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 codeName="{4D1C537B-E38A-612A-F078-A93A15B4B7F4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ka\Downloads\"/>
    </mc:Choice>
  </mc:AlternateContent>
  <xr:revisionPtr revIDLastSave="0" documentId="13_ncr:1_{7ACCF719-82FD-48EC-B9A7-8C79036DCEB6}" xr6:coauthVersionLast="47" xr6:coauthVersionMax="47" xr10:uidLastSave="{00000000-0000-0000-0000-000000000000}"/>
  <bookViews>
    <workbookView xWindow="36" yWindow="0" windowWidth="23004" windowHeight="12504" activeTab="1" xr2:uid="{00000000-000D-0000-FFFF-FFFF00000000}"/>
  </bookViews>
  <sheets>
    <sheet name="Consumer Hardware Pricing" sheetId="18" r:id="rId1"/>
    <sheet name="Financing" sheetId="19" r:id="rId2"/>
    <sheet name="Credit Risk (Medium)" sheetId="20" r:id="rId3"/>
    <sheet name="Credit Risk (High)" sheetId="21" r:id="rId4"/>
    <sheet name="dealer cost formula" sheetId="16" state="hidden" r:id="rId5"/>
    <sheet name="Data" sheetId="11" state="hidden" r:id="rId6"/>
  </sheets>
  <functionGroups builtInGroupCount="19"/>
  <definedNames>
    <definedName name="_xlnm._FilterDatabase" localSheetId="0" hidden="1">'Consumer Hardware Pricing'!$A$14:$AW$14</definedName>
    <definedName name="_xlnm._FilterDatabase" localSheetId="3" hidden="1">'Credit Risk (High)'!$A$3:$K$14</definedName>
    <definedName name="_xlnm._FilterDatabase" localSheetId="2" hidden="1">'Credit Risk (Medium)'!$A$7:$K$14</definedName>
    <definedName name="_xlnm._FilterDatabase" localSheetId="4" hidden="1">'dealer cost formula'!$A$13:$AA$365</definedName>
    <definedName name="_xlnm._FilterDatabase" localSheetId="1" hidden="1">Financing!$A$6:$BU$585</definedName>
    <definedName name="_xlnm.Print_Area" localSheetId="4">'dealer cost formula'!$A$1:$Y$365</definedName>
    <definedName name="_xlnm.Print_Titles" localSheetId="4">'dealer cost formula'!$12:$12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5" i="19" l="1"/>
  <c r="E585" i="19"/>
  <c r="BR169" i="19"/>
  <c r="BT169" i="19" s="1"/>
  <c r="BP169" i="19"/>
  <c r="BU169" i="19" s="1"/>
  <c r="BO169" i="19"/>
  <c r="BN169" i="19"/>
  <c r="BL169" i="19"/>
  <c r="BJ169" i="19"/>
  <c r="BK169" i="19" s="1"/>
  <c r="BF169" i="19"/>
  <c r="BH169" i="19" s="1"/>
  <c r="BD169" i="19"/>
  <c r="BB169" i="19"/>
  <c r="AZ169" i="19"/>
  <c r="AX169" i="19"/>
  <c r="AY169" i="19" s="1"/>
  <c r="AV169" i="19"/>
  <c r="AU169" i="19"/>
  <c r="AT169" i="19"/>
  <c r="AS169" i="19"/>
  <c r="AW169" i="19" s="1"/>
  <c r="AQ169" i="19"/>
  <c r="AO169" i="19"/>
  <c r="AM169" i="19"/>
  <c r="AH169" i="19"/>
  <c r="AD169" i="19"/>
  <c r="AF169" i="19" s="1"/>
  <c r="AB169" i="19"/>
  <c r="AG169" i="19" s="1"/>
  <c r="AA169" i="19"/>
  <c r="Z169" i="19"/>
  <c r="W169" i="19"/>
  <c r="V169" i="19"/>
  <c r="S169" i="19"/>
  <c r="Q169" i="19"/>
  <c r="O169" i="19"/>
  <c r="N169" i="19"/>
  <c r="L169" i="19"/>
  <c r="M169" i="19" s="1"/>
  <c r="J169" i="19"/>
  <c r="H169" i="19"/>
  <c r="G169" i="19"/>
  <c r="R169" i="19" s="1"/>
  <c r="F169" i="19"/>
  <c r="K169" i="19" s="1"/>
  <c r="E169" i="19"/>
  <c r="D169" i="19"/>
  <c r="BU168" i="19"/>
  <c r="BT168" i="19"/>
  <c r="BR168" i="19"/>
  <c r="BP168" i="19"/>
  <c r="BQ168" i="19" s="1"/>
  <c r="BL168" i="19"/>
  <c r="BN168" i="19" s="1"/>
  <c r="BJ168" i="19"/>
  <c r="BO168" i="19" s="1"/>
  <c r="BH168" i="19"/>
  <c r="BF168" i="19"/>
  <c r="BD168" i="19"/>
  <c r="BE168" i="19" s="1"/>
  <c r="AZ168" i="19"/>
  <c r="BB168" i="19" s="1"/>
  <c r="AX168" i="19"/>
  <c r="BC168" i="19" s="1"/>
  <c r="AW168" i="19"/>
  <c r="AS168" i="19"/>
  <c r="AR168" i="19"/>
  <c r="AO168" i="19"/>
  <c r="AN168" i="19"/>
  <c r="AM168" i="19"/>
  <c r="AK168" i="19"/>
  <c r="AJ168" i="19"/>
  <c r="AH168" i="19"/>
  <c r="AI168" i="19" s="1"/>
  <c r="AF168" i="19"/>
  <c r="AD168" i="19"/>
  <c r="AB168" i="19"/>
  <c r="AC168" i="19" s="1"/>
  <c r="Z168" i="19"/>
  <c r="Y168" i="19"/>
  <c r="X168" i="19"/>
  <c r="W168" i="19"/>
  <c r="AA168" i="19" s="1"/>
  <c r="U168" i="19"/>
  <c r="S168" i="19"/>
  <c r="Q168" i="19"/>
  <c r="V168" i="19" s="1"/>
  <c r="P168" i="19"/>
  <c r="M168" i="19"/>
  <c r="L168" i="19"/>
  <c r="H168" i="19"/>
  <c r="J168" i="19" s="1"/>
  <c r="F168" i="19"/>
  <c r="K168" i="19" s="1"/>
  <c r="E168" i="19"/>
  <c r="D168" i="19"/>
  <c r="BR167" i="19"/>
  <c r="BP167" i="19"/>
  <c r="BU167" i="19" s="1"/>
  <c r="BN167" i="19"/>
  <c r="BL167" i="19"/>
  <c r="BJ167" i="19"/>
  <c r="BK167" i="19" s="1"/>
  <c r="BF167" i="19"/>
  <c r="BD167" i="19"/>
  <c r="BB167" i="19"/>
  <c r="AZ167" i="19"/>
  <c r="AX167" i="19"/>
  <c r="AY167" i="19" s="1"/>
  <c r="AV167" i="19"/>
  <c r="AU167" i="19"/>
  <c r="AT167" i="19"/>
  <c r="AS167" i="19"/>
  <c r="AW167" i="19" s="1"/>
  <c r="AQ167" i="19"/>
  <c r="AO167" i="19"/>
  <c r="AM167" i="19"/>
  <c r="AL167" i="19"/>
  <c r="AI167" i="19"/>
  <c r="AH167" i="19"/>
  <c r="AD167" i="19"/>
  <c r="AB167" i="19"/>
  <c r="AG167" i="19" s="1"/>
  <c r="W167" i="19"/>
  <c r="V167" i="19"/>
  <c r="S167" i="19"/>
  <c r="Q167" i="19"/>
  <c r="O167" i="19"/>
  <c r="N167" i="19"/>
  <c r="L167" i="19"/>
  <c r="M167" i="19" s="1"/>
  <c r="J167" i="19"/>
  <c r="H167" i="19"/>
  <c r="F167" i="19"/>
  <c r="G167" i="19" s="1"/>
  <c r="R167" i="19" s="1"/>
  <c r="E167" i="19"/>
  <c r="D167" i="19"/>
  <c r="BT166" i="19"/>
  <c r="BR166" i="19"/>
  <c r="BS166" i="19" s="1"/>
  <c r="BP166" i="19"/>
  <c r="BQ166" i="19" s="1"/>
  <c r="BL166" i="19"/>
  <c r="BN166" i="19" s="1"/>
  <c r="BJ166" i="19"/>
  <c r="BO166" i="19" s="1"/>
  <c r="BH166" i="19"/>
  <c r="BF166" i="19"/>
  <c r="BD166" i="19"/>
  <c r="BE166" i="19" s="1"/>
  <c r="AZ166" i="19"/>
  <c r="BB166" i="19" s="1"/>
  <c r="AX166" i="19"/>
  <c r="BC166" i="19" s="1"/>
  <c r="AS166" i="19"/>
  <c r="AR166" i="19"/>
  <c r="AO166" i="19"/>
  <c r="AN166" i="19"/>
  <c r="AM166" i="19"/>
  <c r="AK166" i="19"/>
  <c r="AJ166" i="19"/>
  <c r="AH166" i="19"/>
  <c r="AI166" i="19" s="1"/>
  <c r="AF166" i="19"/>
  <c r="AD166" i="19"/>
  <c r="AB166" i="19"/>
  <c r="AC166" i="19" s="1"/>
  <c r="Z166" i="19"/>
  <c r="Y166" i="19"/>
  <c r="X166" i="19"/>
  <c r="W166" i="19"/>
  <c r="AA166" i="19" s="1"/>
  <c r="U166" i="19"/>
  <c r="S166" i="19"/>
  <c r="Q166" i="19"/>
  <c r="V166" i="19" s="1"/>
  <c r="L166" i="19"/>
  <c r="H166" i="19"/>
  <c r="J166" i="19" s="1"/>
  <c r="F166" i="19"/>
  <c r="E166" i="19"/>
  <c r="D166" i="19"/>
  <c r="BR165" i="19"/>
  <c r="BP165" i="19"/>
  <c r="BL165" i="19"/>
  <c r="BK165" i="19"/>
  <c r="BJ165" i="19"/>
  <c r="BO165" i="19" s="1"/>
  <c r="BF165" i="19"/>
  <c r="BH165" i="19" s="1"/>
  <c r="BD165" i="19"/>
  <c r="AZ165" i="19"/>
  <c r="AX165" i="19"/>
  <c r="AY165" i="19" s="1"/>
  <c r="AV165" i="19"/>
  <c r="AU165" i="19"/>
  <c r="AT165" i="19"/>
  <c r="AS165" i="19"/>
  <c r="AW165" i="19" s="1"/>
  <c r="AQ165" i="19"/>
  <c r="AO165" i="19"/>
  <c r="AN165" i="19"/>
  <c r="AP165" i="19" s="1"/>
  <c r="AM165" i="19"/>
  <c r="AR165" i="19" s="1"/>
  <c r="AH165" i="19"/>
  <c r="AD165" i="19"/>
  <c r="AB165" i="19"/>
  <c r="W165" i="19"/>
  <c r="V165" i="19"/>
  <c r="S165" i="19"/>
  <c r="Q165" i="19"/>
  <c r="P165" i="19"/>
  <c r="O165" i="19"/>
  <c r="N165" i="19"/>
  <c r="L165" i="19"/>
  <c r="M165" i="19" s="1"/>
  <c r="J165" i="19"/>
  <c r="H165" i="19"/>
  <c r="F165" i="19"/>
  <c r="G165" i="19" s="1"/>
  <c r="R165" i="19" s="1"/>
  <c r="E165" i="19"/>
  <c r="D165" i="19"/>
  <c r="BR164" i="19"/>
  <c r="BQ164" i="19"/>
  <c r="BP164" i="19"/>
  <c r="BU164" i="19" s="1"/>
  <c r="BL164" i="19"/>
  <c r="BN164" i="19" s="1"/>
  <c r="BJ164" i="19"/>
  <c r="BF164" i="19"/>
  <c r="BD164" i="19"/>
  <c r="BB164" i="19"/>
  <c r="AZ164" i="19"/>
  <c r="AX164" i="19"/>
  <c r="AW164" i="19"/>
  <c r="AV164" i="19"/>
  <c r="AS164" i="19"/>
  <c r="AU164" i="19" s="1"/>
  <c r="AR164" i="19"/>
  <c r="AP164" i="19"/>
  <c r="AO164" i="19"/>
  <c r="AQ164" i="19" s="1"/>
  <c r="AN164" i="19"/>
  <c r="AM164" i="19"/>
  <c r="AH164" i="19"/>
  <c r="AG164" i="19"/>
  <c r="AD164" i="19"/>
  <c r="AB164" i="19"/>
  <c r="AC164" i="19" s="1"/>
  <c r="Z164" i="19"/>
  <c r="Y164" i="19"/>
  <c r="X164" i="19"/>
  <c r="W164" i="19"/>
  <c r="AA164" i="19" s="1"/>
  <c r="U164" i="19"/>
  <c r="S164" i="19"/>
  <c r="Q164" i="19"/>
  <c r="V164" i="19" s="1"/>
  <c r="P164" i="19"/>
  <c r="N164" i="19"/>
  <c r="L164" i="19"/>
  <c r="O164" i="19" s="1"/>
  <c r="J164" i="19"/>
  <c r="H164" i="19"/>
  <c r="F164" i="19"/>
  <c r="E164" i="19"/>
  <c r="D164" i="19"/>
  <c r="BR163" i="19"/>
  <c r="BQ163" i="19"/>
  <c r="BP163" i="19"/>
  <c r="BU163" i="19" s="1"/>
  <c r="BN163" i="19"/>
  <c r="BL163" i="19"/>
  <c r="BJ163" i="19"/>
  <c r="BF163" i="19"/>
  <c r="BE163" i="19"/>
  <c r="BD163" i="19"/>
  <c r="BB163" i="19"/>
  <c r="AZ163" i="19"/>
  <c r="AX163" i="19"/>
  <c r="AW163" i="19"/>
  <c r="AS163" i="19"/>
  <c r="AO163" i="19"/>
  <c r="AQ163" i="19" s="1"/>
  <c r="AM163" i="19"/>
  <c r="AR163" i="19" s="1"/>
  <c r="AH163" i="19"/>
  <c r="AG163" i="19"/>
  <c r="AD163" i="19"/>
  <c r="AC163" i="19"/>
  <c r="AB163" i="19"/>
  <c r="Z163" i="19"/>
  <c r="Y163" i="19"/>
  <c r="W163" i="19"/>
  <c r="X163" i="19" s="1"/>
  <c r="U163" i="19"/>
  <c r="S163" i="19"/>
  <c r="Q163" i="19"/>
  <c r="V163" i="19" s="1"/>
  <c r="O163" i="19"/>
  <c r="N163" i="19"/>
  <c r="M163" i="19"/>
  <c r="L163" i="19"/>
  <c r="P163" i="19" s="1"/>
  <c r="J163" i="19"/>
  <c r="H163" i="19"/>
  <c r="F163" i="19"/>
  <c r="E163" i="19"/>
  <c r="D163" i="19"/>
  <c r="BT162" i="19"/>
  <c r="BR162" i="19"/>
  <c r="BP162" i="19"/>
  <c r="BO162" i="19"/>
  <c r="BL162" i="19"/>
  <c r="BK162" i="19"/>
  <c r="BJ162" i="19"/>
  <c r="BH162" i="19"/>
  <c r="BF162" i="19"/>
  <c r="BD162" i="19"/>
  <c r="BC162" i="19"/>
  <c r="AZ162" i="19"/>
  <c r="AY162" i="19"/>
  <c r="AX162" i="19"/>
  <c r="AV162" i="19"/>
  <c r="AU162" i="19"/>
  <c r="AS162" i="19"/>
  <c r="AT162" i="19" s="1"/>
  <c r="AQ162" i="19"/>
  <c r="AO162" i="19"/>
  <c r="AM162" i="19"/>
  <c r="AN162" i="19" s="1"/>
  <c r="AK162" i="19"/>
  <c r="AJ162" i="19"/>
  <c r="AI162" i="19"/>
  <c r="AH162" i="19"/>
  <c r="AL162" i="19" s="1"/>
  <c r="AF162" i="19"/>
  <c r="AD162" i="19"/>
  <c r="AB162" i="19"/>
  <c r="AA162" i="19"/>
  <c r="X162" i="19"/>
  <c r="W162" i="19"/>
  <c r="S162" i="19"/>
  <c r="U162" i="19" s="1"/>
  <c r="Q162" i="19"/>
  <c r="V162" i="19" s="1"/>
  <c r="L162" i="19"/>
  <c r="K162" i="19"/>
  <c r="H162" i="19"/>
  <c r="G162" i="19"/>
  <c r="R162" i="19" s="1"/>
  <c r="F162" i="19"/>
  <c r="E162" i="19"/>
  <c r="D162" i="19"/>
  <c r="BU161" i="19"/>
  <c r="BR161" i="19"/>
  <c r="BQ161" i="19"/>
  <c r="BP161" i="19"/>
  <c r="BN161" i="19"/>
  <c r="BL161" i="19"/>
  <c r="BJ161" i="19"/>
  <c r="BF161" i="19"/>
  <c r="BE161" i="19"/>
  <c r="BD161" i="19"/>
  <c r="BB161" i="19"/>
  <c r="AZ161" i="19"/>
  <c r="AX161" i="19"/>
  <c r="AS161" i="19"/>
  <c r="AO161" i="19"/>
  <c r="AQ161" i="19" s="1"/>
  <c r="AM161" i="19"/>
  <c r="AR161" i="19" s="1"/>
  <c r="AL161" i="19"/>
  <c r="AH161" i="19"/>
  <c r="AG161" i="19"/>
  <c r="AD161" i="19"/>
  <c r="AC161" i="19"/>
  <c r="AB161" i="19"/>
  <c r="Z161" i="19"/>
  <c r="Y161" i="19"/>
  <c r="W161" i="19"/>
  <c r="X161" i="19" s="1"/>
  <c r="U161" i="19"/>
  <c r="S161" i="19"/>
  <c r="Q161" i="19"/>
  <c r="V161" i="19" s="1"/>
  <c r="O161" i="19"/>
  <c r="N161" i="19"/>
  <c r="M161" i="19"/>
  <c r="L161" i="19"/>
  <c r="P161" i="19" s="1"/>
  <c r="J161" i="19"/>
  <c r="H161" i="19"/>
  <c r="F161" i="19"/>
  <c r="E161" i="19"/>
  <c r="D161" i="19"/>
  <c r="BT160" i="19"/>
  <c r="BR160" i="19"/>
  <c r="BP160" i="19"/>
  <c r="BO160" i="19"/>
  <c r="BL160" i="19"/>
  <c r="BK160" i="19"/>
  <c r="BJ160" i="19"/>
  <c r="BH160" i="19"/>
  <c r="BF160" i="19"/>
  <c r="BD160" i="19"/>
  <c r="BC160" i="19"/>
  <c r="AZ160" i="19"/>
  <c r="AY160" i="19"/>
  <c r="AX160" i="19"/>
  <c r="AV160" i="19"/>
  <c r="AU160" i="19"/>
  <c r="AS160" i="19"/>
  <c r="AT160" i="19" s="1"/>
  <c r="AQ160" i="19"/>
  <c r="AO160" i="19"/>
  <c r="AM160" i="19"/>
  <c r="AR160" i="19" s="1"/>
  <c r="AK160" i="19"/>
  <c r="AJ160" i="19"/>
  <c r="AI160" i="19"/>
  <c r="AH160" i="19"/>
  <c r="AL160" i="19" s="1"/>
  <c r="AF160" i="19"/>
  <c r="AD160" i="19"/>
  <c r="AB160" i="19"/>
  <c r="W160" i="19"/>
  <c r="S160" i="19"/>
  <c r="U160" i="19" s="1"/>
  <c r="Q160" i="19"/>
  <c r="V160" i="19" s="1"/>
  <c r="P160" i="19"/>
  <c r="O160" i="19"/>
  <c r="L160" i="19"/>
  <c r="K160" i="19"/>
  <c r="H160" i="19"/>
  <c r="G160" i="19"/>
  <c r="R160" i="19" s="1"/>
  <c r="T160" i="19" s="1"/>
  <c r="F160" i="19"/>
  <c r="E160" i="19"/>
  <c r="D160" i="19"/>
  <c r="BR141" i="19"/>
  <c r="BP141" i="19"/>
  <c r="BU141" i="19" s="1"/>
  <c r="BL141" i="19"/>
  <c r="BN141" i="19" s="1"/>
  <c r="BJ141" i="19"/>
  <c r="BF141" i="19"/>
  <c r="BD141" i="19"/>
  <c r="AZ141" i="19"/>
  <c r="BB141" i="19" s="1"/>
  <c r="AX141" i="19"/>
  <c r="AS141" i="19"/>
  <c r="AW141" i="19" s="1"/>
  <c r="AO141" i="19"/>
  <c r="AQ141" i="19" s="1"/>
  <c r="AM141" i="19"/>
  <c r="AN141" i="19" s="1"/>
  <c r="AH141" i="19"/>
  <c r="AD141" i="19"/>
  <c r="AB141" i="19"/>
  <c r="AG141" i="19" s="1"/>
  <c r="Y141" i="19"/>
  <c r="W141" i="19"/>
  <c r="AA141" i="19" s="1"/>
  <c r="S141" i="19"/>
  <c r="U141" i="19" s="1"/>
  <c r="Q141" i="19"/>
  <c r="V141" i="19" s="1"/>
  <c r="L141" i="19"/>
  <c r="M141" i="19" s="1"/>
  <c r="H141" i="19"/>
  <c r="J141" i="19" s="1"/>
  <c r="F141" i="19"/>
  <c r="E141" i="19"/>
  <c r="D141" i="19"/>
  <c r="BR140" i="19"/>
  <c r="BT140" i="19" s="1"/>
  <c r="BP140" i="19"/>
  <c r="BL140" i="19"/>
  <c r="BJ140" i="19"/>
  <c r="BO140" i="19" s="1"/>
  <c r="BF140" i="19"/>
  <c r="BH140" i="19" s="1"/>
  <c r="BD140" i="19"/>
  <c r="AZ140" i="19"/>
  <c r="AX140" i="19"/>
  <c r="BC140" i="19" s="1"/>
  <c r="AV140" i="19"/>
  <c r="AU140" i="19"/>
  <c r="AS140" i="19"/>
  <c r="AW140" i="19" s="1"/>
  <c r="AO140" i="19"/>
  <c r="AQ140" i="19" s="1"/>
  <c r="AM140" i="19"/>
  <c r="AR140" i="19" s="1"/>
  <c r="AH140" i="19"/>
  <c r="AI140" i="19" s="1"/>
  <c r="AD140" i="19"/>
  <c r="AF140" i="19" s="1"/>
  <c r="AB140" i="19"/>
  <c r="W140" i="19"/>
  <c r="AA140" i="19" s="1"/>
  <c r="S140" i="19"/>
  <c r="U140" i="19" s="1"/>
  <c r="Q140" i="19"/>
  <c r="V140" i="19" s="1"/>
  <c r="L140" i="19"/>
  <c r="H140" i="19"/>
  <c r="F140" i="19"/>
  <c r="K140" i="19" s="1"/>
  <c r="E140" i="19"/>
  <c r="D140" i="19"/>
  <c r="BR139" i="19"/>
  <c r="BP139" i="19"/>
  <c r="BU139" i="19" s="1"/>
  <c r="BL139" i="19"/>
  <c r="BN139" i="19" s="1"/>
  <c r="BJ139" i="19"/>
  <c r="BF139" i="19"/>
  <c r="BD139" i="19"/>
  <c r="AZ139" i="19"/>
  <c r="BB139" i="19" s="1"/>
  <c r="AX139" i="19"/>
  <c r="AS139" i="19"/>
  <c r="AW139" i="19" s="1"/>
  <c r="AO139" i="19"/>
  <c r="AQ139" i="19" s="1"/>
  <c r="AN139" i="19"/>
  <c r="AM139" i="19"/>
  <c r="AR139" i="19" s="1"/>
  <c r="AH139" i="19"/>
  <c r="AL139" i="19" s="1"/>
  <c r="AD139" i="19"/>
  <c r="AB139" i="19"/>
  <c r="AG139" i="19" s="1"/>
  <c r="W139" i="19"/>
  <c r="AA139" i="19" s="1"/>
  <c r="S139" i="19"/>
  <c r="U139" i="19" s="1"/>
  <c r="Q139" i="19"/>
  <c r="V139" i="19" s="1"/>
  <c r="L139" i="19"/>
  <c r="M139" i="19" s="1"/>
  <c r="H139" i="19"/>
  <c r="F139" i="19"/>
  <c r="E139" i="19"/>
  <c r="D139" i="19"/>
  <c r="BR138" i="19"/>
  <c r="BP138" i="19"/>
  <c r="BL138" i="19"/>
  <c r="BJ138" i="19"/>
  <c r="BF138" i="19"/>
  <c r="BH138" i="19" s="1"/>
  <c r="BD138" i="19"/>
  <c r="AZ138" i="19"/>
  <c r="AX138" i="19"/>
  <c r="AS138" i="19"/>
  <c r="AW138" i="19" s="1"/>
  <c r="AO138" i="19"/>
  <c r="AQ138" i="19" s="1"/>
  <c r="AM138" i="19"/>
  <c r="AR138" i="19" s="1"/>
  <c r="AH138" i="19"/>
  <c r="AK138" i="19" s="1"/>
  <c r="AD138" i="19"/>
  <c r="AF138" i="19" s="1"/>
  <c r="AB138" i="19"/>
  <c r="W138" i="19"/>
  <c r="Y138" i="19" s="1"/>
  <c r="S138" i="19"/>
  <c r="U138" i="19" s="1"/>
  <c r="Q138" i="19"/>
  <c r="V138" i="19" s="1"/>
  <c r="L138" i="19"/>
  <c r="H138" i="19"/>
  <c r="F138" i="19"/>
  <c r="K138" i="19" s="1"/>
  <c r="E138" i="19"/>
  <c r="D138" i="19"/>
  <c r="BR137" i="19"/>
  <c r="BP137" i="19"/>
  <c r="BQ137" i="19" s="1"/>
  <c r="BL137" i="19"/>
  <c r="BN137" i="19" s="1"/>
  <c r="BJ137" i="19"/>
  <c r="BF137" i="19"/>
  <c r="BD137" i="19"/>
  <c r="AZ137" i="19"/>
  <c r="AX137" i="19"/>
  <c r="AS137" i="19"/>
  <c r="AU137" i="19" s="1"/>
  <c r="AO137" i="19"/>
  <c r="AM137" i="19"/>
  <c r="AR137" i="19" s="1"/>
  <c r="AH137" i="19"/>
  <c r="AI137" i="19" s="1"/>
  <c r="AD137" i="19"/>
  <c r="AF137" i="19" s="1"/>
  <c r="AB137" i="19"/>
  <c r="AG137" i="19" s="1"/>
  <c r="W137" i="19"/>
  <c r="AA137" i="19" s="1"/>
  <c r="S137" i="19"/>
  <c r="U137" i="19" s="1"/>
  <c r="Q137" i="19"/>
  <c r="V137" i="19" s="1"/>
  <c r="L137" i="19"/>
  <c r="O137" i="19" s="1"/>
  <c r="H137" i="19"/>
  <c r="F137" i="19"/>
  <c r="E137" i="19"/>
  <c r="D137" i="19"/>
  <c r="BR136" i="19"/>
  <c r="BT136" i="19" s="1"/>
  <c r="BP136" i="19"/>
  <c r="BL136" i="19"/>
  <c r="BJ136" i="19"/>
  <c r="BK136" i="19" s="1"/>
  <c r="BF136" i="19"/>
  <c r="BH136" i="19" s="1"/>
  <c r="BD136" i="19"/>
  <c r="AZ136" i="19"/>
  <c r="BB136" i="19" s="1"/>
  <c r="AX136" i="19"/>
  <c r="BC136" i="19" s="1"/>
  <c r="AS136" i="19"/>
  <c r="AW136" i="19" s="1"/>
  <c r="AO136" i="19"/>
  <c r="AQ136" i="19" s="1"/>
  <c r="AM136" i="19"/>
  <c r="AR136" i="19" s="1"/>
  <c r="AH136" i="19"/>
  <c r="AK136" i="19" s="1"/>
  <c r="AD136" i="19"/>
  <c r="AF136" i="19" s="1"/>
  <c r="AB136" i="19"/>
  <c r="W136" i="19"/>
  <c r="Y136" i="19" s="1"/>
  <c r="S136" i="19"/>
  <c r="U136" i="19" s="1"/>
  <c r="Q136" i="19"/>
  <c r="V136" i="19" s="1"/>
  <c r="L136" i="19"/>
  <c r="H136" i="19"/>
  <c r="J136" i="19" s="1"/>
  <c r="F136" i="19"/>
  <c r="K136" i="19" s="1"/>
  <c r="E136" i="19"/>
  <c r="D136" i="19"/>
  <c r="BR135" i="19"/>
  <c r="BP135" i="19"/>
  <c r="BQ135" i="19" s="1"/>
  <c r="BL135" i="19"/>
  <c r="BJ135" i="19"/>
  <c r="BO135" i="19" s="1"/>
  <c r="BF135" i="19"/>
  <c r="BH135" i="19" s="1"/>
  <c r="BD135" i="19"/>
  <c r="AZ135" i="19"/>
  <c r="AX135" i="19"/>
  <c r="BC135" i="19" s="1"/>
  <c r="AS135" i="19"/>
  <c r="AU135" i="19" s="1"/>
  <c r="AO135" i="19"/>
  <c r="AQ135" i="19" s="1"/>
  <c r="AM135" i="19"/>
  <c r="AR135" i="19" s="1"/>
  <c r="AH135" i="19"/>
  <c r="AI135" i="19" s="1"/>
  <c r="AD135" i="19"/>
  <c r="AF135" i="19" s="1"/>
  <c r="AB135" i="19"/>
  <c r="W135" i="19"/>
  <c r="AA135" i="19" s="1"/>
  <c r="S135" i="19"/>
  <c r="U135" i="19" s="1"/>
  <c r="Q135" i="19"/>
  <c r="V135" i="19" s="1"/>
  <c r="L135" i="19"/>
  <c r="H135" i="19"/>
  <c r="F135" i="19"/>
  <c r="K135" i="19" s="1"/>
  <c r="E135" i="19"/>
  <c r="D135" i="19"/>
  <c r="BR134" i="19"/>
  <c r="BP134" i="19"/>
  <c r="BU134" i="19" s="1"/>
  <c r="BL134" i="19"/>
  <c r="BN134" i="19" s="1"/>
  <c r="BJ134" i="19"/>
  <c r="BF134" i="19"/>
  <c r="BD134" i="19"/>
  <c r="AZ134" i="19"/>
  <c r="BB134" i="19" s="1"/>
  <c r="AX134" i="19"/>
  <c r="AS134" i="19"/>
  <c r="AW134" i="19" s="1"/>
  <c r="AO134" i="19"/>
  <c r="AQ134" i="19" s="1"/>
  <c r="AM134" i="19"/>
  <c r="AR134" i="19" s="1"/>
  <c r="AH134" i="19"/>
  <c r="AD134" i="19"/>
  <c r="AF134" i="19" s="1"/>
  <c r="AB134" i="19"/>
  <c r="AG134" i="19" s="1"/>
  <c r="W134" i="19"/>
  <c r="AA134" i="19" s="1"/>
  <c r="S134" i="19"/>
  <c r="Q134" i="19"/>
  <c r="V134" i="19" s="1"/>
  <c r="L134" i="19"/>
  <c r="M134" i="19" s="1"/>
  <c r="J134" i="19"/>
  <c r="H134" i="19"/>
  <c r="F134" i="19"/>
  <c r="K134" i="19" s="1"/>
  <c r="E134" i="19"/>
  <c r="D134" i="19"/>
  <c r="AG160" i="19" l="1"/>
  <c r="AC160" i="19"/>
  <c r="AE160" i="19" s="1"/>
  <c r="BE160" i="19"/>
  <c r="BG160" i="19" s="1"/>
  <c r="BI160" i="19" s="1"/>
  <c r="AF161" i="19"/>
  <c r="AE161" i="19"/>
  <c r="AV161" i="19"/>
  <c r="AU161" i="19"/>
  <c r="BB162" i="19"/>
  <c r="BA162" i="19"/>
  <c r="BG164" i="19"/>
  <c r="BI164" i="19" s="1"/>
  <c r="AG166" i="19"/>
  <c r="AU166" i="19"/>
  <c r="AT166" i="19"/>
  <c r="AW166" i="19"/>
  <c r="AN160" i="19"/>
  <c r="AP160" i="19" s="1"/>
  <c r="BU160" i="19"/>
  <c r="BQ160" i="19"/>
  <c r="BS160" i="19" s="1"/>
  <c r="AP162" i="19"/>
  <c r="BN162" i="19"/>
  <c r="BM162" i="19"/>
  <c r="K163" i="19"/>
  <c r="G163" i="19"/>
  <c r="AJ163" i="19"/>
  <c r="AI163" i="19"/>
  <c r="AF165" i="19"/>
  <c r="BM165" i="19"/>
  <c r="BN165" i="19"/>
  <c r="O166" i="19"/>
  <c r="N166" i="19"/>
  <c r="P166" i="19"/>
  <c r="M166" i="19"/>
  <c r="AF167" i="19"/>
  <c r="BH167" i="19"/>
  <c r="J160" i="19"/>
  <c r="I160" i="19"/>
  <c r="Z160" i="19"/>
  <c r="Y160" i="19"/>
  <c r="AT161" i="19"/>
  <c r="BH161" i="19"/>
  <c r="BG161" i="19"/>
  <c r="BI161" i="19" s="1"/>
  <c r="BT161" i="19"/>
  <c r="BS161" i="19"/>
  <c r="N162" i="19"/>
  <c r="M162" i="19"/>
  <c r="AK163" i="19"/>
  <c r="AP163" i="19"/>
  <c r="BC163" i="19"/>
  <c r="AY163" i="19"/>
  <c r="BA163" i="19" s="1"/>
  <c r="BO163" i="19"/>
  <c r="BK163" i="19"/>
  <c r="BM163" i="19" s="1"/>
  <c r="AI164" i="19"/>
  <c r="AK164" i="19"/>
  <c r="AJ164" i="19"/>
  <c r="BH164" i="19"/>
  <c r="Y165" i="19"/>
  <c r="AA165" i="19"/>
  <c r="Z165" i="19"/>
  <c r="AK165" i="19"/>
  <c r="AL165" i="19"/>
  <c r="AJ165" i="19"/>
  <c r="BA165" i="19"/>
  <c r="BG165" i="19"/>
  <c r="BU165" i="19"/>
  <c r="BQ165" i="19"/>
  <c r="AV166" i="19"/>
  <c r="BA167" i="19"/>
  <c r="BT167" i="19"/>
  <c r="AQ168" i="19"/>
  <c r="AP168" i="19"/>
  <c r="AR169" i="19"/>
  <c r="AN169" i="19"/>
  <c r="AP169" i="19" s="1"/>
  <c r="X160" i="19"/>
  <c r="BB160" i="19"/>
  <c r="BA160" i="19"/>
  <c r="BN160" i="19"/>
  <c r="BM160" i="19"/>
  <c r="K161" i="19"/>
  <c r="G161" i="19"/>
  <c r="AJ161" i="19"/>
  <c r="AI161" i="19"/>
  <c r="AW161" i="19"/>
  <c r="O162" i="19"/>
  <c r="T162" i="19"/>
  <c r="AG162" i="19"/>
  <c r="AC162" i="19"/>
  <c r="AE162" i="19" s="1"/>
  <c r="AR162" i="19"/>
  <c r="BE162" i="19"/>
  <c r="BG162" i="19" s="1"/>
  <c r="BI162" i="19" s="1"/>
  <c r="BU162" i="19"/>
  <c r="BQ162" i="19"/>
  <c r="BS162" i="19" s="1"/>
  <c r="AF163" i="19"/>
  <c r="AE163" i="19"/>
  <c r="AL163" i="19"/>
  <c r="AV163" i="19"/>
  <c r="AU163" i="19"/>
  <c r="AL164" i="19"/>
  <c r="X165" i="19"/>
  <c r="AI165" i="19"/>
  <c r="BB165" i="19"/>
  <c r="BT165" i="19"/>
  <c r="BS165" i="19"/>
  <c r="BG166" i="19"/>
  <c r="Y167" i="19"/>
  <c r="X167" i="19"/>
  <c r="AA167" i="19"/>
  <c r="Z167" i="19"/>
  <c r="BM167" i="19"/>
  <c r="AE168" i="19"/>
  <c r="N160" i="19"/>
  <c r="M160" i="19"/>
  <c r="AA160" i="19"/>
  <c r="AK161" i="19"/>
  <c r="BC161" i="19"/>
  <c r="AY161" i="19"/>
  <c r="BA161" i="19" s="1"/>
  <c r="BO161" i="19"/>
  <c r="BK161" i="19"/>
  <c r="BM161" i="19" s="1"/>
  <c r="J162" i="19"/>
  <c r="I162" i="19"/>
  <c r="P162" i="19"/>
  <c r="Z162" i="19"/>
  <c r="Y162" i="19"/>
  <c r="AT163" i="19"/>
  <c r="BH163" i="19"/>
  <c r="BG163" i="19"/>
  <c r="BI163" i="19" s="1"/>
  <c r="BT163" i="19"/>
  <c r="BS163" i="19"/>
  <c r="BE164" i="19"/>
  <c r="BS164" i="19"/>
  <c r="BT164" i="19"/>
  <c r="I165" i="19"/>
  <c r="U165" i="19"/>
  <c r="T165" i="19"/>
  <c r="AG165" i="19"/>
  <c r="AC165" i="19"/>
  <c r="AE165" i="19" s="1"/>
  <c r="K167" i="19"/>
  <c r="BC169" i="19"/>
  <c r="I169" i="19"/>
  <c r="U169" i="19"/>
  <c r="T169" i="19"/>
  <c r="AK169" i="19"/>
  <c r="AJ169" i="19"/>
  <c r="AW160" i="19"/>
  <c r="AA161" i="19"/>
  <c r="AW162" i="19"/>
  <c r="AA163" i="19"/>
  <c r="K164" i="19"/>
  <c r="G164" i="19"/>
  <c r="AE164" i="19"/>
  <c r="BC164" i="19"/>
  <c r="AY164" i="19"/>
  <c r="BA164" i="19" s="1"/>
  <c r="K165" i="19"/>
  <c r="BC165" i="19"/>
  <c r="K166" i="19"/>
  <c r="G166" i="19"/>
  <c r="AE166" i="19"/>
  <c r="AQ166" i="19"/>
  <c r="AP166" i="19"/>
  <c r="BI166" i="19"/>
  <c r="BU166" i="19"/>
  <c r="AR167" i="19"/>
  <c r="AN167" i="19"/>
  <c r="AP167" i="19" s="1"/>
  <c r="BC167" i="19"/>
  <c r="BO167" i="19"/>
  <c r="I168" i="19"/>
  <c r="AG168" i="19"/>
  <c r="AU168" i="19"/>
  <c r="AT168" i="19"/>
  <c r="BG168" i="19"/>
  <c r="BI168" i="19" s="1"/>
  <c r="BS168" i="19"/>
  <c r="AI169" i="19"/>
  <c r="BA169" i="19"/>
  <c r="BM169" i="19"/>
  <c r="AN161" i="19"/>
  <c r="AP161" i="19" s="1"/>
  <c r="AN163" i="19"/>
  <c r="M164" i="19"/>
  <c r="AF164" i="19"/>
  <c r="AT164" i="19"/>
  <c r="BO164" i="19"/>
  <c r="BK164" i="19"/>
  <c r="BM164" i="19" s="1"/>
  <c r="BI165" i="19"/>
  <c r="BE165" i="19"/>
  <c r="I167" i="19"/>
  <c r="U167" i="19"/>
  <c r="T167" i="19"/>
  <c r="AK167" i="19"/>
  <c r="AJ167" i="19"/>
  <c r="O168" i="19"/>
  <c r="N168" i="19"/>
  <c r="AV168" i="19"/>
  <c r="BM168" i="19"/>
  <c r="Y169" i="19"/>
  <c r="X169" i="19"/>
  <c r="AL169" i="19"/>
  <c r="BG169" i="19"/>
  <c r="BI169" i="19" s="1"/>
  <c r="AL166" i="19"/>
  <c r="P167" i="19"/>
  <c r="AL168" i="19"/>
  <c r="P169" i="19"/>
  <c r="AY166" i="19"/>
  <c r="BA166" i="19" s="1"/>
  <c r="BK166" i="19"/>
  <c r="BM166" i="19" s="1"/>
  <c r="AC167" i="19"/>
  <c r="AE167" i="19" s="1"/>
  <c r="BE167" i="19"/>
  <c r="BG167" i="19" s="1"/>
  <c r="BI167" i="19" s="1"/>
  <c r="BQ167" i="19"/>
  <c r="BS167" i="19" s="1"/>
  <c r="G168" i="19"/>
  <c r="R168" i="19" s="1"/>
  <c r="T168" i="19" s="1"/>
  <c r="AY168" i="19"/>
  <c r="BA168" i="19" s="1"/>
  <c r="BK168" i="19"/>
  <c r="AC169" i="19"/>
  <c r="AE169" i="19" s="1"/>
  <c r="BE169" i="19"/>
  <c r="BQ169" i="19"/>
  <c r="BS169" i="19" s="1"/>
  <c r="Z141" i="19"/>
  <c r="BE137" i="19"/>
  <c r="X141" i="19"/>
  <c r="Z134" i="19"/>
  <c r="Y135" i="19"/>
  <c r="AT136" i="19"/>
  <c r="AY136" i="19"/>
  <c r="Y137" i="19"/>
  <c r="AT141" i="19"/>
  <c r="Z135" i="19"/>
  <c r="AU136" i="19"/>
  <c r="N137" i="19"/>
  <c r="Z137" i="19"/>
  <c r="BU137" i="19"/>
  <c r="AV141" i="19"/>
  <c r="AV136" i="19"/>
  <c r="P137" i="19"/>
  <c r="AA138" i="19"/>
  <c r="AV138" i="19"/>
  <c r="AJ140" i="19"/>
  <c r="Y139" i="19"/>
  <c r="AP139" i="19"/>
  <c r="AV139" i="19"/>
  <c r="X140" i="19"/>
  <c r="AN140" i="19"/>
  <c r="AP140" i="19" s="1"/>
  <c r="N141" i="19"/>
  <c r="AR141" i="19"/>
  <c r="AT134" i="19"/>
  <c r="AN135" i="19"/>
  <c r="AV135" i="19"/>
  <c r="AN137" i="19"/>
  <c r="AT137" i="19"/>
  <c r="G138" i="19"/>
  <c r="R138" i="19" s="1"/>
  <c r="AL138" i="19"/>
  <c r="X139" i="19"/>
  <c r="AT139" i="19"/>
  <c r="AP141" i="19"/>
  <c r="G134" i="19"/>
  <c r="R134" i="19" s="1"/>
  <c r="N134" i="19"/>
  <c r="AU134" i="19"/>
  <c r="AJ135" i="19"/>
  <c r="AA136" i="19"/>
  <c r="BO136" i="19"/>
  <c r="AK137" i="19"/>
  <c r="AV137" i="19"/>
  <c r="AT138" i="19"/>
  <c r="O134" i="19"/>
  <c r="AV134" i="19"/>
  <c r="X135" i="19"/>
  <c r="AK135" i="19"/>
  <c r="BU135" i="19"/>
  <c r="G136" i="19"/>
  <c r="R136" i="19" s="1"/>
  <c r="T136" i="19" s="1"/>
  <c r="AL136" i="19"/>
  <c r="M137" i="19"/>
  <c r="X137" i="19"/>
  <c r="AL137" i="19"/>
  <c r="AW137" i="19"/>
  <c r="AU138" i="19"/>
  <c r="N139" i="19"/>
  <c r="Z139" i="19"/>
  <c r="Z140" i="19"/>
  <c r="AT140" i="19"/>
  <c r="BT134" i="19"/>
  <c r="BB135" i="19"/>
  <c r="BO137" i="19"/>
  <c r="BK137" i="19"/>
  <c r="BM137" i="19" s="1"/>
  <c r="BO139" i="19"/>
  <c r="BK139" i="19"/>
  <c r="BM139" i="19" s="1"/>
  <c r="J140" i="19"/>
  <c r="I134" i="19"/>
  <c r="U134" i="19"/>
  <c r="T134" i="19"/>
  <c r="AK134" i="19"/>
  <c r="AI134" i="19"/>
  <c r="AJ134" i="19"/>
  <c r="BN135" i="19"/>
  <c r="AF139" i="19"/>
  <c r="AK141" i="19"/>
  <c r="AJ141" i="19"/>
  <c r="AI141" i="19"/>
  <c r="AL141" i="19"/>
  <c r="AL134" i="19"/>
  <c r="M136" i="19"/>
  <c r="P136" i="19"/>
  <c r="O136" i="19"/>
  <c r="N136" i="19"/>
  <c r="M138" i="19"/>
  <c r="P138" i="19"/>
  <c r="O138" i="19"/>
  <c r="N138" i="19"/>
  <c r="BB138" i="19"/>
  <c r="K141" i="19"/>
  <c r="G141" i="19"/>
  <c r="R141" i="19" s="1"/>
  <c r="T141" i="19" s="1"/>
  <c r="BO134" i="19"/>
  <c r="BK134" i="19"/>
  <c r="BM134" i="19" s="1"/>
  <c r="J135" i="19"/>
  <c r="BE136" i="19"/>
  <c r="BG136" i="19" s="1"/>
  <c r="BI136" i="19" s="1"/>
  <c r="BB137" i="19"/>
  <c r="BU138" i="19"/>
  <c r="BQ138" i="19"/>
  <c r="BS138" i="19" s="1"/>
  <c r="BT139" i="19"/>
  <c r="O135" i="19"/>
  <c r="M135" i="19"/>
  <c r="N135" i="19"/>
  <c r="BE135" i="19"/>
  <c r="BG135" i="19" s="1"/>
  <c r="BI135" i="19" s="1"/>
  <c r="AQ137" i="19"/>
  <c r="AP137" i="19"/>
  <c r="P135" i="19"/>
  <c r="Y134" i="19"/>
  <c r="X134" i="19"/>
  <c r="AY134" i="19"/>
  <c r="BA134" i="19" s="1"/>
  <c r="BC134" i="19"/>
  <c r="BH134" i="19"/>
  <c r="AG135" i="19"/>
  <c r="AC135" i="19"/>
  <c r="AE135" i="19" s="1"/>
  <c r="J137" i="19"/>
  <c r="AW135" i="19"/>
  <c r="BU136" i="19"/>
  <c r="BQ136" i="19"/>
  <c r="BS136" i="19" s="1"/>
  <c r="BG137" i="19"/>
  <c r="BI137" i="19" s="1"/>
  <c r="I138" i="19"/>
  <c r="O140" i="19"/>
  <c r="N140" i="19"/>
  <c r="M140" i="19"/>
  <c r="I141" i="19"/>
  <c r="P134" i="19"/>
  <c r="AL135" i="19"/>
  <c r="AP135" i="19"/>
  <c r="AT135" i="19"/>
  <c r="BS135" i="19"/>
  <c r="X136" i="19"/>
  <c r="AI136" i="19"/>
  <c r="AN136" i="19"/>
  <c r="AP136" i="19" s="1"/>
  <c r="BM136" i="19"/>
  <c r="AC137" i="19"/>
  <c r="BH137" i="19"/>
  <c r="BS137" i="19"/>
  <c r="J138" i="19"/>
  <c r="X138" i="19"/>
  <c r="AI138" i="19"/>
  <c r="AN138" i="19"/>
  <c r="AP138" i="19" s="1"/>
  <c r="BE138" i="19"/>
  <c r="BG138" i="19" s="1"/>
  <c r="BI138" i="19" s="1"/>
  <c r="BT138" i="19"/>
  <c r="P140" i="19"/>
  <c r="AG140" i="19"/>
  <c r="AC140" i="19"/>
  <c r="AE140" i="19" s="1"/>
  <c r="BE140" i="19"/>
  <c r="BG140" i="19" s="1"/>
  <c r="BI140" i="19" s="1"/>
  <c r="BN140" i="19"/>
  <c r="BC141" i="19"/>
  <c r="AY141" i="19"/>
  <c r="BA141" i="19" s="1"/>
  <c r="BH141" i="19"/>
  <c r="AG136" i="19"/>
  <c r="AC136" i="19"/>
  <c r="AE136" i="19" s="1"/>
  <c r="BA136" i="19"/>
  <c r="AG138" i="19"/>
  <c r="AC138" i="19"/>
  <c r="AE138" i="19" s="1"/>
  <c r="BO138" i="19"/>
  <c r="BK138" i="19"/>
  <c r="BM138" i="19" s="1"/>
  <c r="K139" i="19"/>
  <c r="G139" i="19"/>
  <c r="R139" i="19" s="1"/>
  <c r="T139" i="19" s="1"/>
  <c r="AK139" i="19"/>
  <c r="AJ139" i="19"/>
  <c r="AI139" i="19"/>
  <c r="BB140" i="19"/>
  <c r="AN134" i="19"/>
  <c r="AP134" i="19" s="1"/>
  <c r="AC134" i="19"/>
  <c r="AE134" i="19" s="1"/>
  <c r="BE134" i="19"/>
  <c r="BG134" i="19" s="1"/>
  <c r="BI134" i="19" s="1"/>
  <c r="BQ134" i="19"/>
  <c r="BS134" i="19" s="1"/>
  <c r="G135" i="19"/>
  <c r="R135" i="19" s="1"/>
  <c r="T135" i="19" s="1"/>
  <c r="AY135" i="19"/>
  <c r="BA135" i="19" s="1"/>
  <c r="BK135" i="19"/>
  <c r="BM135" i="19" s="1"/>
  <c r="BT135" i="19"/>
  <c r="Z136" i="19"/>
  <c r="AJ136" i="19"/>
  <c r="BN136" i="19"/>
  <c r="K137" i="19"/>
  <c r="G137" i="19"/>
  <c r="R137" i="19" s="1"/>
  <c r="T137" i="19" s="1"/>
  <c r="AE137" i="19"/>
  <c r="AJ137" i="19"/>
  <c r="BC137" i="19"/>
  <c r="AY137" i="19"/>
  <c r="BA137" i="19" s="1"/>
  <c r="BT137" i="19"/>
  <c r="T138" i="19"/>
  <c r="Z138" i="19"/>
  <c r="AJ138" i="19"/>
  <c r="BC138" i="19"/>
  <c r="AY138" i="19"/>
  <c r="BA138" i="19" s="1"/>
  <c r="BN138" i="19"/>
  <c r="J139" i="19"/>
  <c r="BC139" i="19"/>
  <c r="AY139" i="19"/>
  <c r="BA139" i="19" s="1"/>
  <c r="BH139" i="19"/>
  <c r="BU140" i="19"/>
  <c r="BQ140" i="19"/>
  <c r="BS140" i="19" s="1"/>
  <c r="AF141" i="19"/>
  <c r="BO141" i="19"/>
  <c r="BK141" i="19"/>
  <c r="BM141" i="19" s="1"/>
  <c r="BT141" i="19"/>
  <c r="O139" i="19"/>
  <c r="AU139" i="19"/>
  <c r="Y140" i="19"/>
  <c r="AK140" i="19"/>
  <c r="O141" i="19"/>
  <c r="AU141" i="19"/>
  <c r="P139" i="19"/>
  <c r="AL140" i="19"/>
  <c r="P141" i="19"/>
  <c r="AC139" i="19"/>
  <c r="AE139" i="19" s="1"/>
  <c r="BE139" i="19"/>
  <c r="BG139" i="19" s="1"/>
  <c r="BI139" i="19" s="1"/>
  <c r="BQ139" i="19"/>
  <c r="BS139" i="19" s="1"/>
  <c r="G140" i="19"/>
  <c r="R140" i="19" s="1"/>
  <c r="T140" i="19" s="1"/>
  <c r="AY140" i="19"/>
  <c r="BA140" i="19" s="1"/>
  <c r="BK140" i="19"/>
  <c r="BM140" i="19" s="1"/>
  <c r="AC141" i="19"/>
  <c r="AE141" i="19" s="1"/>
  <c r="BE141" i="19"/>
  <c r="BG141" i="19" s="1"/>
  <c r="BI141" i="19" s="1"/>
  <c r="BQ141" i="19"/>
  <c r="BS141" i="19" s="1"/>
  <c r="R166" i="19" l="1"/>
  <c r="T166" i="19" s="1"/>
  <c r="I166" i="19"/>
  <c r="R164" i="19"/>
  <c r="T164" i="19" s="1"/>
  <c r="I164" i="19"/>
  <c r="I163" i="19"/>
  <c r="R163" i="19"/>
  <c r="T163" i="19" s="1"/>
  <c r="R161" i="19"/>
  <c r="T161" i="19" s="1"/>
  <c r="I161" i="19"/>
  <c r="I136" i="19"/>
  <c r="I139" i="19"/>
  <c r="I137" i="19"/>
  <c r="I140" i="19"/>
  <c r="I135" i="19"/>
  <c r="BR403" i="19" l="1"/>
  <c r="BT403" i="19" s="1"/>
  <c r="BP403" i="19"/>
  <c r="BU403" i="19" s="1"/>
  <c r="BL403" i="19"/>
  <c r="BN403" i="19" s="1"/>
  <c r="BJ403" i="19"/>
  <c r="BO403" i="19" s="1"/>
  <c r="BF403" i="19"/>
  <c r="BD403" i="19"/>
  <c r="BI403" i="19" s="1"/>
  <c r="AZ403" i="19"/>
  <c r="BB403" i="19" s="1"/>
  <c r="AX403" i="19"/>
  <c r="AY403" i="19" s="1"/>
  <c r="AS403" i="19"/>
  <c r="AO403" i="19"/>
  <c r="AQ403" i="19" s="1"/>
  <c r="AM403" i="19"/>
  <c r="AH403" i="19"/>
  <c r="AD403" i="19"/>
  <c r="AF403" i="19" s="1"/>
  <c r="AB403" i="19"/>
  <c r="W403" i="19"/>
  <c r="S403" i="19"/>
  <c r="U403" i="19" s="1"/>
  <c r="Q403" i="19"/>
  <c r="L403" i="19"/>
  <c r="H403" i="19"/>
  <c r="J403" i="19" s="1"/>
  <c r="F403" i="19"/>
  <c r="E403" i="19"/>
  <c r="D403" i="19"/>
  <c r="BR397" i="19"/>
  <c r="BT397" i="19" s="1"/>
  <c r="BP397" i="19"/>
  <c r="BU397" i="19" s="1"/>
  <c r="BL397" i="19"/>
  <c r="BJ397" i="19"/>
  <c r="BO397" i="19" s="1"/>
  <c r="BF397" i="19"/>
  <c r="BH397" i="19" s="1"/>
  <c r="BD397" i="19"/>
  <c r="BI397" i="19" s="1"/>
  <c r="AZ397" i="19"/>
  <c r="BB397" i="19" s="1"/>
  <c r="AX397" i="19"/>
  <c r="BC397" i="19" s="1"/>
  <c r="AS397" i="19"/>
  <c r="AO397" i="19"/>
  <c r="AQ397" i="19" s="1"/>
  <c r="AM397" i="19"/>
  <c r="AH397" i="19"/>
  <c r="AD397" i="19"/>
  <c r="AF397" i="19" s="1"/>
  <c r="AB397" i="19"/>
  <c r="W397" i="19"/>
  <c r="S397" i="19"/>
  <c r="U397" i="19" s="1"/>
  <c r="Q397" i="19"/>
  <c r="L397" i="19"/>
  <c r="H397" i="19"/>
  <c r="F397" i="19"/>
  <c r="E397" i="19"/>
  <c r="D397" i="19"/>
  <c r="AN397" i="19" s="1"/>
  <c r="BR373" i="19"/>
  <c r="BT373" i="19" s="1"/>
  <c r="BP373" i="19"/>
  <c r="BU373" i="19" s="1"/>
  <c r="BL373" i="19"/>
  <c r="BN373" i="19" s="1"/>
  <c r="BJ373" i="19"/>
  <c r="BO373" i="19" s="1"/>
  <c r="BF373" i="19"/>
  <c r="BH373" i="19" s="1"/>
  <c r="BD373" i="19"/>
  <c r="BI373" i="19" s="1"/>
  <c r="AZ373" i="19"/>
  <c r="BB373" i="19" s="1"/>
  <c r="AX373" i="19"/>
  <c r="BC373" i="19" s="1"/>
  <c r="AS373" i="19"/>
  <c r="AO373" i="19"/>
  <c r="AQ373" i="19" s="1"/>
  <c r="AM373" i="19"/>
  <c r="AH373" i="19"/>
  <c r="AD373" i="19"/>
  <c r="AB373" i="19"/>
  <c r="W373" i="19"/>
  <c r="S373" i="19"/>
  <c r="U373" i="19" s="1"/>
  <c r="Q373" i="19"/>
  <c r="L373" i="19"/>
  <c r="H373" i="19"/>
  <c r="J373" i="19" s="1"/>
  <c r="F373" i="19"/>
  <c r="E373" i="19"/>
  <c r="D373" i="19"/>
  <c r="BR367" i="19"/>
  <c r="BP367" i="19"/>
  <c r="BU367" i="19" s="1"/>
  <c r="BL367" i="19"/>
  <c r="BJ367" i="19"/>
  <c r="BK367" i="19" s="1"/>
  <c r="BF367" i="19"/>
  <c r="BH367" i="19" s="1"/>
  <c r="BD367" i="19"/>
  <c r="BI367" i="19" s="1"/>
  <c r="AZ367" i="19"/>
  <c r="BB367" i="19" s="1"/>
  <c r="AX367" i="19"/>
  <c r="AY367" i="19" s="1"/>
  <c r="AS367" i="19"/>
  <c r="AO367" i="19"/>
  <c r="AQ367" i="19" s="1"/>
  <c r="AM367" i="19"/>
  <c r="AH367" i="19"/>
  <c r="AD367" i="19"/>
  <c r="AF367" i="19" s="1"/>
  <c r="AB367" i="19"/>
  <c r="W367" i="19"/>
  <c r="S367" i="19"/>
  <c r="U367" i="19" s="1"/>
  <c r="Q367" i="19"/>
  <c r="L367" i="19"/>
  <c r="H367" i="19"/>
  <c r="J367" i="19" s="1"/>
  <c r="F367" i="19"/>
  <c r="E367" i="19"/>
  <c r="D367" i="19"/>
  <c r="G367" i="19" l="1"/>
  <c r="BA403" i="19"/>
  <c r="G403" i="19"/>
  <c r="I403" i="19" s="1"/>
  <c r="K403" i="19" s="1"/>
  <c r="BC403" i="19"/>
  <c r="BK403" i="19"/>
  <c r="BM403" i="19" s="1"/>
  <c r="BH403" i="19"/>
  <c r="AN403" i="19"/>
  <c r="AC403" i="19"/>
  <c r="AE403" i="19" s="1"/>
  <c r="BE403" i="19"/>
  <c r="BG403" i="19" s="1"/>
  <c r="BQ403" i="19"/>
  <c r="BS403" i="19" s="1"/>
  <c r="G373" i="19"/>
  <c r="M373" i="19" s="1"/>
  <c r="O373" i="19" s="1"/>
  <c r="AT397" i="19"/>
  <c r="AV397" i="19" s="1"/>
  <c r="AP397" i="19"/>
  <c r="AR397" i="19" s="1"/>
  <c r="BN397" i="19"/>
  <c r="J397" i="19"/>
  <c r="G397" i="19"/>
  <c r="R397" i="19" s="1"/>
  <c r="AY397" i="19"/>
  <c r="BA397" i="19" s="1"/>
  <c r="BK397" i="19"/>
  <c r="BM397" i="19" s="1"/>
  <c r="BS397" i="19"/>
  <c r="AC397" i="19"/>
  <c r="AE397" i="19" s="1"/>
  <c r="BE397" i="19"/>
  <c r="BG397" i="19" s="1"/>
  <c r="BQ397" i="19"/>
  <c r="BM367" i="19"/>
  <c r="R373" i="19"/>
  <c r="X373" i="19" s="1"/>
  <c r="AY373" i="19"/>
  <c r="BA373" i="19" s="1"/>
  <c r="BK373" i="19"/>
  <c r="BM373" i="19" s="1"/>
  <c r="AF373" i="19"/>
  <c r="AN373" i="19"/>
  <c r="AC373" i="19"/>
  <c r="AE373" i="19" s="1"/>
  <c r="AG373" i="19" s="1"/>
  <c r="BE373" i="19"/>
  <c r="BG373" i="19" s="1"/>
  <c r="BQ373" i="19"/>
  <c r="BS373" i="19" s="1"/>
  <c r="BN367" i="19"/>
  <c r="I367" i="19"/>
  <c r="R367" i="19"/>
  <c r="T367" i="19" s="1"/>
  <c r="V367" i="19" s="1"/>
  <c r="M367" i="19"/>
  <c r="O367" i="19" s="1"/>
  <c r="BA367" i="19"/>
  <c r="K367" i="19"/>
  <c r="BC367" i="19"/>
  <c r="BO367" i="19"/>
  <c r="AN367" i="19"/>
  <c r="BT367" i="19"/>
  <c r="AC367" i="19"/>
  <c r="AE367" i="19" s="1"/>
  <c r="AG367" i="19" s="1"/>
  <c r="BE367" i="19"/>
  <c r="BG367" i="19" s="1"/>
  <c r="BQ367" i="19"/>
  <c r="BS367" i="19" s="1"/>
  <c r="BR146" i="19"/>
  <c r="BT146" i="19" s="1"/>
  <c r="BP146" i="19"/>
  <c r="BU146" i="19" s="1"/>
  <c r="BL146" i="19"/>
  <c r="BN146" i="19" s="1"/>
  <c r="BJ146" i="19"/>
  <c r="BO146" i="19" s="1"/>
  <c r="BF146" i="19"/>
  <c r="BD146" i="19"/>
  <c r="AZ146" i="19"/>
  <c r="BB146" i="19" s="1"/>
  <c r="AX146" i="19"/>
  <c r="AY146" i="19" s="1"/>
  <c r="AS146" i="19"/>
  <c r="AW146" i="19" s="1"/>
  <c r="AO146" i="19"/>
  <c r="AQ146" i="19" s="1"/>
  <c r="AM146" i="19"/>
  <c r="AR146" i="19" s="1"/>
  <c r="AH146" i="19"/>
  <c r="AK146" i="19" s="1"/>
  <c r="AD146" i="19"/>
  <c r="AF146" i="19" s="1"/>
  <c r="AB146" i="19"/>
  <c r="AG146" i="19" s="1"/>
  <c r="W146" i="19"/>
  <c r="Y146" i="19" s="1"/>
  <c r="S146" i="19"/>
  <c r="U146" i="19" s="1"/>
  <c r="Q146" i="19"/>
  <c r="V146" i="19" s="1"/>
  <c r="L146" i="19"/>
  <c r="M146" i="19" s="1"/>
  <c r="H146" i="19"/>
  <c r="J146" i="19" s="1"/>
  <c r="F146" i="19"/>
  <c r="K146" i="19" s="1"/>
  <c r="E146" i="19"/>
  <c r="D146" i="19"/>
  <c r="BR133" i="19"/>
  <c r="BP133" i="19"/>
  <c r="BU133" i="19" s="1"/>
  <c r="BL133" i="19"/>
  <c r="BN133" i="19" s="1"/>
  <c r="BJ133" i="19"/>
  <c r="BO133" i="19" s="1"/>
  <c r="BF133" i="19"/>
  <c r="BD133" i="19"/>
  <c r="AZ133" i="19"/>
  <c r="BB133" i="19" s="1"/>
  <c r="AX133" i="19"/>
  <c r="BC133" i="19" s="1"/>
  <c r="AS133" i="19"/>
  <c r="AW133" i="19" s="1"/>
  <c r="AO133" i="19"/>
  <c r="AQ133" i="19" s="1"/>
  <c r="AM133" i="19"/>
  <c r="AR133" i="19" s="1"/>
  <c r="AH133" i="19"/>
  <c r="AK133" i="19" s="1"/>
  <c r="AD133" i="19"/>
  <c r="AF133" i="19" s="1"/>
  <c r="AB133" i="19"/>
  <c r="AG133" i="19" s="1"/>
  <c r="W133" i="19"/>
  <c r="Y133" i="19" s="1"/>
  <c r="S133" i="19"/>
  <c r="U133" i="19" s="1"/>
  <c r="Q133" i="19"/>
  <c r="V133" i="19" s="1"/>
  <c r="L133" i="19"/>
  <c r="M133" i="19" s="1"/>
  <c r="H133" i="19"/>
  <c r="J133" i="19" s="1"/>
  <c r="F133" i="19"/>
  <c r="K133" i="19" s="1"/>
  <c r="E133" i="19"/>
  <c r="D133" i="19"/>
  <c r="I373" i="19" l="1"/>
  <c r="K373" i="19" s="1"/>
  <c r="T373" i="19"/>
  <c r="V373" i="19" s="1"/>
  <c r="AG397" i="19"/>
  <c r="AG403" i="19"/>
  <c r="AU397" i="19"/>
  <c r="AW397" i="19" s="1"/>
  <c r="AI403" i="19"/>
  <c r="R403" i="19"/>
  <c r="AT403" i="19"/>
  <c r="AV403" i="19" s="1"/>
  <c r="AP403" i="19"/>
  <c r="AR403" i="19" s="1"/>
  <c r="M403" i="19"/>
  <c r="O403" i="19" s="1"/>
  <c r="X367" i="19"/>
  <c r="Z367" i="19" s="1"/>
  <c r="X397" i="19"/>
  <c r="Z397" i="19" s="1"/>
  <c r="T397" i="19"/>
  <c r="V397" i="19" s="1"/>
  <c r="AI397" i="19"/>
  <c r="AK397" i="19" s="1"/>
  <c r="I397" i="19"/>
  <c r="K397" i="19" s="1"/>
  <c r="M397" i="19"/>
  <c r="O397" i="19" s="1"/>
  <c r="Z373" i="19"/>
  <c r="Y373" i="19"/>
  <c r="AA373" i="19" s="1"/>
  <c r="AP373" i="19"/>
  <c r="AR373" i="19" s="1"/>
  <c r="AT373" i="19"/>
  <c r="AV373" i="19" s="1"/>
  <c r="AI373" i="19"/>
  <c r="AK373" i="19" s="1"/>
  <c r="N373" i="19"/>
  <c r="P373" i="19" s="1"/>
  <c r="N367" i="19"/>
  <c r="P367" i="19" s="1"/>
  <c r="AI367" i="19"/>
  <c r="AK367" i="19" s="1"/>
  <c r="AT367" i="19"/>
  <c r="AV367" i="19" s="1"/>
  <c r="AP367" i="19"/>
  <c r="AR367" i="19" s="1"/>
  <c r="O146" i="19"/>
  <c r="AU146" i="19"/>
  <c r="N133" i="19"/>
  <c r="N146" i="19"/>
  <c r="AV146" i="19"/>
  <c r="Z146" i="19"/>
  <c r="AT146" i="19"/>
  <c r="BA146" i="19"/>
  <c r="AL146" i="19"/>
  <c r="G146" i="19"/>
  <c r="R146" i="19" s="1"/>
  <c r="T146" i="19" s="1"/>
  <c r="AA146" i="19"/>
  <c r="AI146" i="19"/>
  <c r="BC146" i="19"/>
  <c r="BH146" i="19"/>
  <c r="BK146" i="19"/>
  <c r="BM146" i="19" s="1"/>
  <c r="P146" i="19"/>
  <c r="X146" i="19"/>
  <c r="AJ146" i="19"/>
  <c r="AN146" i="19"/>
  <c r="AP146" i="19" s="1"/>
  <c r="AC146" i="19"/>
  <c r="AE146" i="19" s="1"/>
  <c r="BE146" i="19"/>
  <c r="BG146" i="19" s="1"/>
  <c r="BI146" i="19" s="1"/>
  <c r="BQ146" i="19"/>
  <c r="BS146" i="19" s="1"/>
  <c r="P133" i="19"/>
  <c r="AU133" i="19"/>
  <c r="O133" i="19"/>
  <c r="AV133" i="19"/>
  <c r="Z133" i="19"/>
  <c r="AT133" i="19"/>
  <c r="G133" i="19"/>
  <c r="R133" i="19" s="1"/>
  <c r="BH133" i="19"/>
  <c r="BT133" i="19"/>
  <c r="AL133" i="19"/>
  <c r="AA133" i="19"/>
  <c r="AI133" i="19"/>
  <c r="AY133" i="19"/>
  <c r="BA133" i="19" s="1"/>
  <c r="BK133" i="19"/>
  <c r="BM133" i="19" s="1"/>
  <c r="T133" i="19"/>
  <c r="X133" i="19"/>
  <c r="AJ133" i="19"/>
  <c r="AN133" i="19"/>
  <c r="AP133" i="19" s="1"/>
  <c r="AC133" i="19"/>
  <c r="AE133" i="19" s="1"/>
  <c r="BE133" i="19"/>
  <c r="BG133" i="19" s="1"/>
  <c r="BI133" i="19" s="1"/>
  <c r="BQ133" i="19"/>
  <c r="BS133" i="19" s="1"/>
  <c r="BR391" i="19"/>
  <c r="BT391" i="19" s="1"/>
  <c r="BP391" i="19"/>
  <c r="BU391" i="19" s="1"/>
  <c r="BL391" i="19"/>
  <c r="BN391" i="19" s="1"/>
  <c r="BJ391" i="19"/>
  <c r="BO391" i="19" s="1"/>
  <c r="BF391" i="19"/>
  <c r="BH391" i="19" s="1"/>
  <c r="BD391" i="19"/>
  <c r="BI391" i="19" s="1"/>
  <c r="AZ391" i="19"/>
  <c r="BB391" i="19" s="1"/>
  <c r="AX391" i="19"/>
  <c r="BC391" i="19" s="1"/>
  <c r="AS391" i="19"/>
  <c r="AO391" i="19"/>
  <c r="AQ391" i="19" s="1"/>
  <c r="AM391" i="19"/>
  <c r="AH391" i="19"/>
  <c r="AD391" i="19"/>
  <c r="AF391" i="19" s="1"/>
  <c r="AB391" i="19"/>
  <c r="W391" i="19"/>
  <c r="S391" i="19"/>
  <c r="U391" i="19" s="1"/>
  <c r="Q391" i="19"/>
  <c r="L391" i="19"/>
  <c r="H391" i="19"/>
  <c r="J391" i="19" s="1"/>
  <c r="F391" i="19"/>
  <c r="E391" i="19"/>
  <c r="D391" i="19"/>
  <c r="BR361" i="19"/>
  <c r="BT361" i="19" s="1"/>
  <c r="BP361" i="19"/>
  <c r="BU361" i="19" s="1"/>
  <c r="BL361" i="19"/>
  <c r="BN361" i="19" s="1"/>
  <c r="BJ361" i="19"/>
  <c r="BO361" i="19" s="1"/>
  <c r="BF361" i="19"/>
  <c r="BH361" i="19" s="1"/>
  <c r="BD361" i="19"/>
  <c r="BI361" i="19" s="1"/>
  <c r="AZ361" i="19"/>
  <c r="BB361" i="19" s="1"/>
  <c r="AX361" i="19"/>
  <c r="BC361" i="19" s="1"/>
  <c r="AS361" i="19"/>
  <c r="AO361" i="19"/>
  <c r="AQ361" i="19" s="1"/>
  <c r="AM361" i="19"/>
  <c r="AH361" i="19"/>
  <c r="AD361" i="19"/>
  <c r="AF361" i="19" s="1"/>
  <c r="AB361" i="19"/>
  <c r="W361" i="19"/>
  <c r="S361" i="19"/>
  <c r="U361" i="19" s="1"/>
  <c r="Q361" i="19"/>
  <c r="L361" i="19"/>
  <c r="H361" i="19"/>
  <c r="J361" i="19" s="1"/>
  <c r="F361" i="19"/>
  <c r="E361" i="19"/>
  <c r="D361" i="19"/>
  <c r="Y367" i="19" l="1"/>
  <c r="AA367" i="19" s="1"/>
  <c r="T403" i="19"/>
  <c r="V403" i="19" s="1"/>
  <c r="X403" i="19"/>
  <c r="Z403" i="19" s="1"/>
  <c r="N403" i="19"/>
  <c r="P403" i="19" s="1"/>
  <c r="AU403" i="19"/>
  <c r="AW403" i="19" s="1"/>
  <c r="AJ403" i="19"/>
  <c r="AK403" i="19"/>
  <c r="AU373" i="19"/>
  <c r="AW373" i="19" s="1"/>
  <c r="N397" i="19"/>
  <c r="P397" i="19" s="1"/>
  <c r="AJ397" i="19"/>
  <c r="Y397" i="19"/>
  <c r="AA397" i="19" s="1"/>
  <c r="AJ373" i="19"/>
  <c r="AL373" i="19" s="1"/>
  <c r="AJ367" i="19"/>
  <c r="AL367" i="19" s="1"/>
  <c r="AU367" i="19"/>
  <c r="AW367" i="19" s="1"/>
  <c r="I146" i="19"/>
  <c r="I133" i="19"/>
  <c r="AN391" i="19"/>
  <c r="AT391" i="19" s="1"/>
  <c r="AV391" i="19" s="1"/>
  <c r="AN361" i="19"/>
  <c r="AT361" i="19" s="1"/>
  <c r="AV361" i="19" s="1"/>
  <c r="AY391" i="19"/>
  <c r="BA391" i="19" s="1"/>
  <c r="BK391" i="19"/>
  <c r="BM391" i="19" s="1"/>
  <c r="G391" i="19"/>
  <c r="R391" i="19" s="1"/>
  <c r="AC391" i="19"/>
  <c r="AE391" i="19" s="1"/>
  <c r="BE391" i="19"/>
  <c r="BG391" i="19" s="1"/>
  <c r="BQ391" i="19"/>
  <c r="BS391" i="19" s="1"/>
  <c r="AY361" i="19"/>
  <c r="BA361" i="19" s="1"/>
  <c r="BK361" i="19"/>
  <c r="BM361" i="19" s="1"/>
  <c r="G361" i="19"/>
  <c r="R361" i="19" s="1"/>
  <c r="AC361" i="19"/>
  <c r="AE361" i="19" s="1"/>
  <c r="AG361" i="19" s="1"/>
  <c r="BE361" i="19"/>
  <c r="BG361" i="19" s="1"/>
  <c r="BQ361" i="19"/>
  <c r="BS361" i="19" s="1"/>
  <c r="BR575" i="19"/>
  <c r="BT575" i="19" s="1"/>
  <c r="BP575" i="19"/>
  <c r="BU575" i="19" s="1"/>
  <c r="BL575" i="19"/>
  <c r="BN575" i="19" s="1"/>
  <c r="BJ575" i="19"/>
  <c r="BO575" i="19" s="1"/>
  <c r="BF575" i="19"/>
  <c r="BD575" i="19"/>
  <c r="BI575" i="19" s="1"/>
  <c r="AZ575" i="19"/>
  <c r="BB575" i="19" s="1"/>
  <c r="AX575" i="19"/>
  <c r="BC575" i="19" s="1"/>
  <c r="AS575" i="19"/>
  <c r="AW575" i="19" s="1"/>
  <c r="AO575" i="19"/>
  <c r="AQ575" i="19" s="1"/>
  <c r="AM575" i="19"/>
  <c r="AH575" i="19"/>
  <c r="AK575" i="19" s="1"/>
  <c r="AD575" i="19"/>
  <c r="AF575" i="19" s="1"/>
  <c r="AB575" i="19"/>
  <c r="W575" i="19"/>
  <c r="AA575" i="19" s="1"/>
  <c r="S575" i="19"/>
  <c r="U575" i="19" s="1"/>
  <c r="Q575" i="19"/>
  <c r="L575" i="19"/>
  <c r="O575" i="19" s="1"/>
  <c r="H575" i="19"/>
  <c r="F575" i="19"/>
  <c r="E575" i="19"/>
  <c r="D575" i="19"/>
  <c r="BR574" i="19"/>
  <c r="BP574" i="19"/>
  <c r="BU574" i="19" s="1"/>
  <c r="BL574" i="19"/>
  <c r="BJ574" i="19"/>
  <c r="BK574" i="19" s="1"/>
  <c r="BF574" i="19"/>
  <c r="BH574" i="19" s="1"/>
  <c r="BD574" i="19"/>
  <c r="BI574" i="19" s="1"/>
  <c r="AZ574" i="19"/>
  <c r="BB574" i="19" s="1"/>
  <c r="AX574" i="19"/>
  <c r="BC574" i="19" s="1"/>
  <c r="AS574" i="19"/>
  <c r="AW574" i="19" s="1"/>
  <c r="AO574" i="19"/>
  <c r="AQ574" i="19" s="1"/>
  <c r="AM574" i="19"/>
  <c r="AH574" i="19"/>
  <c r="AK574" i="19" s="1"/>
  <c r="AD574" i="19"/>
  <c r="AB574" i="19"/>
  <c r="W574" i="19"/>
  <c r="AA574" i="19" s="1"/>
  <c r="S574" i="19"/>
  <c r="U574" i="19" s="1"/>
  <c r="Q574" i="19"/>
  <c r="L574" i="19"/>
  <c r="P574" i="19" s="1"/>
  <c r="H574" i="19"/>
  <c r="F574" i="19"/>
  <c r="E574" i="19"/>
  <c r="D574" i="19"/>
  <c r="AG391" i="19" l="1"/>
  <c r="AL403" i="19"/>
  <c r="AL397" i="19"/>
  <c r="Y403" i="19"/>
  <c r="AA403" i="19" s="1"/>
  <c r="AP361" i="19"/>
  <c r="AR361" i="19" s="1"/>
  <c r="AP391" i="19"/>
  <c r="AR391" i="19" s="1"/>
  <c r="AI361" i="19"/>
  <c r="AK361" i="19" s="1"/>
  <c r="AU391" i="19"/>
  <c r="AW391" i="19" s="1"/>
  <c r="AU361" i="19"/>
  <c r="AW361" i="19" s="1"/>
  <c r="M391" i="19"/>
  <c r="O391" i="19" s="1"/>
  <c r="X391" i="19"/>
  <c r="Z391" i="19" s="1"/>
  <c r="T391" i="19"/>
  <c r="V391" i="19" s="1"/>
  <c r="AI391" i="19"/>
  <c r="I391" i="19"/>
  <c r="Y574" i="19"/>
  <c r="AT575" i="19"/>
  <c r="I361" i="19"/>
  <c r="X361" i="19"/>
  <c r="Z361" i="19" s="1"/>
  <c r="T361" i="19"/>
  <c r="V361" i="19" s="1"/>
  <c r="M361" i="19"/>
  <c r="O361" i="19" s="1"/>
  <c r="Z575" i="19"/>
  <c r="Z574" i="19"/>
  <c r="Y575" i="19"/>
  <c r="AT574" i="19"/>
  <c r="AU574" i="19"/>
  <c r="BM574" i="19"/>
  <c r="AU575" i="19"/>
  <c r="X574" i="19"/>
  <c r="AV574" i="19"/>
  <c r="BN574" i="19"/>
  <c r="X575" i="19"/>
  <c r="AV575" i="19"/>
  <c r="J574" i="19"/>
  <c r="O574" i="19"/>
  <c r="M574" i="19"/>
  <c r="N574" i="19"/>
  <c r="AL574" i="19"/>
  <c r="P575" i="19"/>
  <c r="AL575" i="19"/>
  <c r="AI574" i="19"/>
  <c r="AY574" i="19"/>
  <c r="BA574" i="19" s="1"/>
  <c r="BO574" i="19"/>
  <c r="M575" i="19"/>
  <c r="AY575" i="19"/>
  <c r="BA575" i="19" s="1"/>
  <c r="BK575" i="19"/>
  <c r="BM575" i="19" s="1"/>
  <c r="AF574" i="19"/>
  <c r="AJ574" i="19"/>
  <c r="AN574" i="19"/>
  <c r="AP574" i="19" s="1"/>
  <c r="AR574" i="19" s="1"/>
  <c r="BT574" i="19"/>
  <c r="J575" i="19"/>
  <c r="N575" i="19"/>
  <c r="AJ575" i="19"/>
  <c r="AN575" i="19"/>
  <c r="AP575" i="19" s="1"/>
  <c r="AR575" i="19" s="1"/>
  <c r="BH575" i="19"/>
  <c r="AI575" i="19"/>
  <c r="G574" i="19"/>
  <c r="R574" i="19" s="1"/>
  <c r="T574" i="19" s="1"/>
  <c r="V574" i="19" s="1"/>
  <c r="AC574" i="19"/>
  <c r="AE574" i="19" s="1"/>
  <c r="BE574" i="19"/>
  <c r="BG574" i="19" s="1"/>
  <c r="BQ574" i="19"/>
  <c r="BS574" i="19" s="1"/>
  <c r="G575" i="19"/>
  <c r="R575" i="19" s="1"/>
  <c r="T575" i="19" s="1"/>
  <c r="V575" i="19" s="1"/>
  <c r="AC575" i="19"/>
  <c r="AE575" i="19" s="1"/>
  <c r="BE575" i="19"/>
  <c r="BG575" i="19" s="1"/>
  <c r="BQ575" i="19"/>
  <c r="BS575" i="19" s="1"/>
  <c r="AG574" i="19" l="1"/>
  <c r="K361" i="19"/>
  <c r="AG575" i="19"/>
  <c r="K391" i="19"/>
  <c r="Y391" i="19"/>
  <c r="AA391" i="19" s="1"/>
  <c r="AJ361" i="19"/>
  <c r="AL361" i="19" s="1"/>
  <c r="N391" i="19"/>
  <c r="AJ391" i="19"/>
  <c r="AK391" i="19"/>
  <c r="Y361" i="19"/>
  <c r="AA361" i="19" s="1"/>
  <c r="N361" i="19"/>
  <c r="I575" i="19"/>
  <c r="I574" i="19"/>
  <c r="P391" i="19" l="1"/>
  <c r="AL391" i="19"/>
  <c r="P361" i="19"/>
  <c r="K574" i="19"/>
  <c r="K575" i="19"/>
  <c r="BR471" i="19"/>
  <c r="BT471" i="19" s="1"/>
  <c r="BP471" i="19"/>
  <c r="BU471" i="19" s="1"/>
  <c r="BL471" i="19"/>
  <c r="BN471" i="19" s="1"/>
  <c r="BJ471" i="19"/>
  <c r="BO471" i="19" s="1"/>
  <c r="BF471" i="19"/>
  <c r="BH471" i="19" s="1"/>
  <c r="BD471" i="19"/>
  <c r="BI471" i="19" s="1"/>
  <c r="AZ471" i="19"/>
  <c r="BB471" i="19" s="1"/>
  <c r="AX471" i="19"/>
  <c r="BC471" i="19" s="1"/>
  <c r="AS471" i="19"/>
  <c r="AW471" i="19" s="1"/>
  <c r="AO471" i="19"/>
  <c r="AQ471" i="19" s="1"/>
  <c r="AM471" i="19"/>
  <c r="AH471" i="19"/>
  <c r="AK471" i="19" s="1"/>
  <c r="AD471" i="19"/>
  <c r="AF471" i="19" s="1"/>
  <c r="AB471" i="19"/>
  <c r="W471" i="19"/>
  <c r="AA471" i="19" s="1"/>
  <c r="S471" i="19"/>
  <c r="U471" i="19" s="1"/>
  <c r="Q471" i="19"/>
  <c r="L471" i="19"/>
  <c r="O471" i="19" s="1"/>
  <c r="H471" i="19"/>
  <c r="F471" i="19"/>
  <c r="E471" i="19"/>
  <c r="D471" i="19"/>
  <c r="BR470" i="19"/>
  <c r="BP470" i="19"/>
  <c r="BU470" i="19" s="1"/>
  <c r="BL470" i="19"/>
  <c r="BN470" i="19" s="1"/>
  <c r="BJ470" i="19"/>
  <c r="BK470" i="19" s="1"/>
  <c r="BF470" i="19"/>
  <c r="BH470" i="19" s="1"/>
  <c r="BD470" i="19"/>
  <c r="BI470" i="19" s="1"/>
  <c r="AZ470" i="19"/>
  <c r="BB470" i="19" s="1"/>
  <c r="AX470" i="19"/>
  <c r="BC470" i="19" s="1"/>
  <c r="AS470" i="19"/>
  <c r="AW470" i="19" s="1"/>
  <c r="AO470" i="19"/>
  <c r="AQ470" i="19" s="1"/>
  <c r="AM470" i="19"/>
  <c r="AH470" i="19"/>
  <c r="AK470" i="19" s="1"/>
  <c r="AD470" i="19"/>
  <c r="AF470" i="19" s="1"/>
  <c r="AB470" i="19"/>
  <c r="W470" i="19"/>
  <c r="AA470" i="19" s="1"/>
  <c r="S470" i="19"/>
  <c r="U470" i="19" s="1"/>
  <c r="Q470" i="19"/>
  <c r="L470" i="19"/>
  <c r="O470" i="19" s="1"/>
  <c r="H470" i="19"/>
  <c r="J470" i="19" s="1"/>
  <c r="F470" i="19"/>
  <c r="E470" i="19"/>
  <c r="D470" i="19"/>
  <c r="Z470" i="19" l="1"/>
  <c r="Z471" i="19"/>
  <c r="AT470" i="19"/>
  <c r="AU470" i="19"/>
  <c r="AT471" i="19"/>
  <c r="AU471" i="19"/>
  <c r="X470" i="19"/>
  <c r="AV470" i="19"/>
  <c r="X471" i="19"/>
  <c r="AV471" i="19"/>
  <c r="BM470" i="19"/>
  <c r="Y470" i="19"/>
  <c r="Y471" i="19"/>
  <c r="AL471" i="19"/>
  <c r="M470" i="19"/>
  <c r="AY470" i="19"/>
  <c r="BA470" i="19" s="1"/>
  <c r="BO470" i="19"/>
  <c r="AI471" i="19"/>
  <c r="AY471" i="19"/>
  <c r="BA471" i="19" s="1"/>
  <c r="BK471" i="19"/>
  <c r="BM471" i="19" s="1"/>
  <c r="P470" i="19"/>
  <c r="AI470" i="19"/>
  <c r="N470" i="19"/>
  <c r="AJ470" i="19"/>
  <c r="AN470" i="19"/>
  <c r="AP470" i="19" s="1"/>
  <c r="AR470" i="19" s="1"/>
  <c r="BT470" i="19"/>
  <c r="J471" i="19"/>
  <c r="N471" i="19"/>
  <c r="AJ471" i="19"/>
  <c r="AN471" i="19"/>
  <c r="AP471" i="19" s="1"/>
  <c r="AR471" i="19" s="1"/>
  <c r="AL470" i="19"/>
  <c r="P471" i="19"/>
  <c r="M471" i="19"/>
  <c r="G470" i="19"/>
  <c r="R470" i="19" s="1"/>
  <c r="T470" i="19" s="1"/>
  <c r="V470" i="19" s="1"/>
  <c r="AC470" i="19"/>
  <c r="AE470" i="19" s="1"/>
  <c r="AG470" i="19" s="1"/>
  <c r="BE470" i="19"/>
  <c r="BG470" i="19" s="1"/>
  <c r="BQ470" i="19"/>
  <c r="BS470" i="19" s="1"/>
  <c r="G471" i="19"/>
  <c r="R471" i="19" s="1"/>
  <c r="T471" i="19" s="1"/>
  <c r="V471" i="19" s="1"/>
  <c r="AC471" i="19"/>
  <c r="AE471" i="19" s="1"/>
  <c r="AG471" i="19" s="1"/>
  <c r="BE471" i="19"/>
  <c r="BG471" i="19" s="1"/>
  <c r="BQ471" i="19"/>
  <c r="BS471" i="19" s="1"/>
  <c r="I470" i="19" l="1"/>
  <c r="I471" i="19"/>
  <c r="K471" i="19" l="1"/>
  <c r="K470" i="19"/>
  <c r="BR460" i="19"/>
  <c r="BT460" i="19" s="1"/>
  <c r="BP460" i="19"/>
  <c r="BU460" i="19" s="1"/>
  <c r="BL460" i="19"/>
  <c r="BN460" i="19" s="1"/>
  <c r="BJ460" i="19"/>
  <c r="BO460" i="19" s="1"/>
  <c r="BF460" i="19"/>
  <c r="BH460" i="19" s="1"/>
  <c r="BD460" i="19"/>
  <c r="AZ460" i="19"/>
  <c r="BB460" i="19" s="1"/>
  <c r="AX460" i="19"/>
  <c r="BC460" i="19" s="1"/>
  <c r="AS460" i="19"/>
  <c r="AW460" i="19" s="1"/>
  <c r="AO460" i="19"/>
  <c r="AQ460" i="19" s="1"/>
  <c r="AM460" i="19"/>
  <c r="AR460" i="19" s="1"/>
  <c r="AH460" i="19"/>
  <c r="AK460" i="19" s="1"/>
  <c r="AD460" i="19"/>
  <c r="AF460" i="19" s="1"/>
  <c r="AB460" i="19"/>
  <c r="AG460" i="19" s="1"/>
  <c r="W460" i="19"/>
  <c r="AA460" i="19" s="1"/>
  <c r="S460" i="19"/>
  <c r="U460" i="19" s="1"/>
  <c r="Q460" i="19"/>
  <c r="V460" i="19" s="1"/>
  <c r="L460" i="19"/>
  <c r="O460" i="19" s="1"/>
  <c r="H460" i="19"/>
  <c r="J460" i="19" s="1"/>
  <c r="F460" i="19"/>
  <c r="K460" i="19" s="1"/>
  <c r="E460" i="19"/>
  <c r="D460" i="19"/>
  <c r="AT460" i="19" l="1"/>
  <c r="AU460" i="19"/>
  <c r="AV460" i="19"/>
  <c r="X460" i="19"/>
  <c r="Z460" i="19"/>
  <c r="Y460" i="19"/>
  <c r="P460" i="19"/>
  <c r="AL460" i="19"/>
  <c r="M460" i="19"/>
  <c r="AI460" i="19"/>
  <c r="AY460" i="19"/>
  <c r="BA460" i="19" s="1"/>
  <c r="BK460" i="19"/>
  <c r="BM460" i="19" s="1"/>
  <c r="N460" i="19"/>
  <c r="AJ460" i="19"/>
  <c r="AN460" i="19"/>
  <c r="AP460" i="19" s="1"/>
  <c r="G460" i="19"/>
  <c r="R460" i="19" s="1"/>
  <c r="T460" i="19" s="1"/>
  <c r="AC460" i="19"/>
  <c r="AE460" i="19" s="1"/>
  <c r="BE460" i="19"/>
  <c r="BG460" i="19" s="1"/>
  <c r="BI460" i="19" s="1"/>
  <c r="BQ460" i="19"/>
  <c r="BS460" i="19" s="1"/>
  <c r="I460" i="19" l="1"/>
  <c r="BR566" i="19" l="1"/>
  <c r="BT566" i="19" s="1"/>
  <c r="BP566" i="19"/>
  <c r="BU566" i="19" s="1"/>
  <c r="BL566" i="19"/>
  <c r="BN566" i="19" s="1"/>
  <c r="BJ566" i="19"/>
  <c r="BO566" i="19" s="1"/>
  <c r="BF566" i="19"/>
  <c r="BH566" i="19" s="1"/>
  <c r="BD566" i="19"/>
  <c r="AZ566" i="19"/>
  <c r="BB566" i="19" s="1"/>
  <c r="AX566" i="19"/>
  <c r="BC566" i="19" s="1"/>
  <c r="AS566" i="19"/>
  <c r="AW566" i="19" s="1"/>
  <c r="AO566" i="19"/>
  <c r="AQ566" i="19" s="1"/>
  <c r="AM566" i="19"/>
  <c r="AN566" i="19" s="1"/>
  <c r="AH566" i="19"/>
  <c r="AK566" i="19" s="1"/>
  <c r="AD566" i="19"/>
  <c r="AF566" i="19" s="1"/>
  <c r="AB566" i="19"/>
  <c r="AG566" i="19" s="1"/>
  <c r="W566" i="19"/>
  <c r="AA566" i="19" s="1"/>
  <c r="S566" i="19"/>
  <c r="U566" i="19" s="1"/>
  <c r="Q566" i="19"/>
  <c r="V566" i="19" s="1"/>
  <c r="L566" i="19"/>
  <c r="O566" i="19" s="1"/>
  <c r="H566" i="19"/>
  <c r="J566" i="19" s="1"/>
  <c r="F566" i="19"/>
  <c r="K566" i="19" s="1"/>
  <c r="E566" i="19"/>
  <c r="D566" i="19"/>
  <c r="Z566" i="19" l="1"/>
  <c r="X566" i="19"/>
  <c r="AT566" i="19"/>
  <c r="AR566" i="19"/>
  <c r="AP566" i="19"/>
  <c r="AV566" i="19"/>
  <c r="AL566" i="19"/>
  <c r="M566" i="19"/>
  <c r="Y566" i="19"/>
  <c r="AI566" i="19"/>
  <c r="AU566" i="19"/>
  <c r="AY566" i="19"/>
  <c r="BA566" i="19" s="1"/>
  <c r="BK566" i="19"/>
  <c r="BM566" i="19" s="1"/>
  <c r="P566" i="19"/>
  <c r="AJ566" i="19"/>
  <c r="N566" i="19"/>
  <c r="G566" i="19"/>
  <c r="R566" i="19" s="1"/>
  <c r="T566" i="19" s="1"/>
  <c r="AC566" i="19"/>
  <c r="AE566" i="19" s="1"/>
  <c r="BE566" i="19"/>
  <c r="BG566" i="19" s="1"/>
  <c r="BI566" i="19" s="1"/>
  <c r="BQ566" i="19"/>
  <c r="BS566" i="19" s="1"/>
  <c r="BR565" i="19"/>
  <c r="BT565" i="19" s="1"/>
  <c r="BP565" i="19"/>
  <c r="BU565" i="19" s="1"/>
  <c r="BL565" i="19"/>
  <c r="BN565" i="19" s="1"/>
  <c r="BJ565" i="19"/>
  <c r="BO565" i="19" s="1"/>
  <c r="BF565" i="19"/>
  <c r="BH565" i="19" s="1"/>
  <c r="BD565" i="19"/>
  <c r="AZ565" i="19"/>
  <c r="BB565" i="19" s="1"/>
  <c r="AX565" i="19"/>
  <c r="BC565" i="19" s="1"/>
  <c r="AS565" i="19"/>
  <c r="AW565" i="19" s="1"/>
  <c r="AO565" i="19"/>
  <c r="AQ565" i="19" s="1"/>
  <c r="AM565" i="19"/>
  <c r="AR565" i="19" s="1"/>
  <c r="AH565" i="19"/>
  <c r="AK565" i="19" s="1"/>
  <c r="AD565" i="19"/>
  <c r="AF565" i="19" s="1"/>
  <c r="AB565" i="19"/>
  <c r="AG565" i="19" s="1"/>
  <c r="W565" i="19"/>
  <c r="AA565" i="19" s="1"/>
  <c r="S565" i="19"/>
  <c r="U565" i="19" s="1"/>
  <c r="Q565" i="19"/>
  <c r="V565" i="19" s="1"/>
  <c r="L565" i="19"/>
  <c r="O565" i="19" s="1"/>
  <c r="H565" i="19"/>
  <c r="J565" i="19" s="1"/>
  <c r="F565" i="19"/>
  <c r="K565" i="19" s="1"/>
  <c r="E565" i="19"/>
  <c r="D565" i="19"/>
  <c r="I566" i="19" l="1"/>
  <c r="X565" i="19"/>
  <c r="Y565" i="19"/>
  <c r="AT565" i="19"/>
  <c r="Z565" i="19"/>
  <c r="AU565" i="19"/>
  <c r="AV565" i="19"/>
  <c r="P565" i="19"/>
  <c r="AL565" i="19"/>
  <c r="M565" i="19"/>
  <c r="AI565" i="19"/>
  <c r="AY565" i="19"/>
  <c r="BA565" i="19" s="1"/>
  <c r="BK565" i="19"/>
  <c r="BM565" i="19" s="1"/>
  <c r="N565" i="19"/>
  <c r="AJ565" i="19"/>
  <c r="AN565" i="19"/>
  <c r="AP565" i="19" s="1"/>
  <c r="G565" i="19"/>
  <c r="R565" i="19" s="1"/>
  <c r="T565" i="19" s="1"/>
  <c r="AC565" i="19"/>
  <c r="AE565" i="19" s="1"/>
  <c r="BE565" i="19"/>
  <c r="BG565" i="19" s="1"/>
  <c r="BI565" i="19" s="1"/>
  <c r="BQ565" i="19"/>
  <c r="BS565" i="19" s="1"/>
  <c r="I565" i="19" l="1"/>
  <c r="BR557" i="19"/>
  <c r="BT557" i="19" s="1"/>
  <c r="BP557" i="19"/>
  <c r="BU557" i="19" s="1"/>
  <c r="BL557" i="19"/>
  <c r="BN557" i="19" s="1"/>
  <c r="BJ557" i="19"/>
  <c r="BO557" i="19" s="1"/>
  <c r="BF557" i="19"/>
  <c r="BH557" i="19" s="1"/>
  <c r="BD557" i="19"/>
  <c r="BI557" i="19" s="1"/>
  <c r="AZ557" i="19"/>
  <c r="BB557" i="19" s="1"/>
  <c r="AX557" i="19"/>
  <c r="BC557" i="19" s="1"/>
  <c r="AS557" i="19"/>
  <c r="AO557" i="19"/>
  <c r="AQ557" i="19" s="1"/>
  <c r="AM557" i="19"/>
  <c r="AH557" i="19"/>
  <c r="AD557" i="19"/>
  <c r="AF557" i="19" s="1"/>
  <c r="AB557" i="19"/>
  <c r="W557" i="19"/>
  <c r="S557" i="19"/>
  <c r="U557" i="19" s="1"/>
  <c r="Q557" i="19"/>
  <c r="L557" i="19"/>
  <c r="H557" i="19"/>
  <c r="J557" i="19" s="1"/>
  <c r="F557" i="19"/>
  <c r="E557" i="19"/>
  <c r="D557" i="19"/>
  <c r="BR556" i="19"/>
  <c r="BT556" i="19" s="1"/>
  <c r="BP556" i="19"/>
  <c r="BU556" i="19" s="1"/>
  <c r="BL556" i="19"/>
  <c r="BN556" i="19" s="1"/>
  <c r="BJ556" i="19"/>
  <c r="BO556" i="19" s="1"/>
  <c r="BF556" i="19"/>
  <c r="BH556" i="19" s="1"/>
  <c r="BD556" i="19"/>
  <c r="BI556" i="19" s="1"/>
  <c r="AZ556" i="19"/>
  <c r="BB556" i="19" s="1"/>
  <c r="AX556" i="19"/>
  <c r="BC556" i="19" s="1"/>
  <c r="AS556" i="19"/>
  <c r="AO556" i="19"/>
  <c r="AQ556" i="19" s="1"/>
  <c r="AM556" i="19"/>
  <c r="AH556" i="19"/>
  <c r="AD556" i="19"/>
  <c r="AF556" i="19" s="1"/>
  <c r="AB556" i="19"/>
  <c r="W556" i="19"/>
  <c r="S556" i="19"/>
  <c r="U556" i="19" s="1"/>
  <c r="Q556" i="19"/>
  <c r="L556" i="19"/>
  <c r="H556" i="19"/>
  <c r="J556" i="19" s="1"/>
  <c r="F556" i="19"/>
  <c r="E556" i="19"/>
  <c r="D556" i="19"/>
  <c r="BR555" i="19"/>
  <c r="BT555" i="19" s="1"/>
  <c r="BP555" i="19"/>
  <c r="BU555" i="19" s="1"/>
  <c r="BL555" i="19"/>
  <c r="BN555" i="19" s="1"/>
  <c r="BJ555" i="19"/>
  <c r="BO555" i="19" s="1"/>
  <c r="BF555" i="19"/>
  <c r="BH555" i="19" s="1"/>
  <c r="BD555" i="19"/>
  <c r="BI555" i="19" s="1"/>
  <c r="AZ555" i="19"/>
  <c r="BB555" i="19" s="1"/>
  <c r="AX555" i="19"/>
  <c r="BC555" i="19" s="1"/>
  <c r="AS555" i="19"/>
  <c r="AO555" i="19"/>
  <c r="AQ555" i="19" s="1"/>
  <c r="AM555" i="19"/>
  <c r="AH555" i="19"/>
  <c r="AD555" i="19"/>
  <c r="AF555" i="19" s="1"/>
  <c r="AB555" i="19"/>
  <c r="W555" i="19"/>
  <c r="S555" i="19"/>
  <c r="U555" i="19" s="1"/>
  <c r="Q555" i="19"/>
  <c r="L555" i="19"/>
  <c r="H555" i="19"/>
  <c r="J555" i="19" s="1"/>
  <c r="F555" i="19"/>
  <c r="E555" i="19"/>
  <c r="D555" i="19"/>
  <c r="BR553" i="19"/>
  <c r="BT553" i="19" s="1"/>
  <c r="BP553" i="19"/>
  <c r="BU553" i="19" s="1"/>
  <c r="BL553" i="19"/>
  <c r="BJ553" i="19"/>
  <c r="BO553" i="19" s="1"/>
  <c r="BF553" i="19"/>
  <c r="BH553" i="19" s="1"/>
  <c r="BD553" i="19"/>
  <c r="BI553" i="19" s="1"/>
  <c r="AZ553" i="19"/>
  <c r="AX553" i="19"/>
  <c r="BC553" i="19" s="1"/>
  <c r="AS553" i="19"/>
  <c r="AO553" i="19"/>
  <c r="AQ553" i="19" s="1"/>
  <c r="AM553" i="19"/>
  <c r="AH553" i="19"/>
  <c r="AD553" i="19"/>
  <c r="AF553" i="19" s="1"/>
  <c r="AB553" i="19"/>
  <c r="W553" i="19"/>
  <c r="S553" i="19"/>
  <c r="U553" i="19" s="1"/>
  <c r="Q553" i="19"/>
  <c r="L553" i="19"/>
  <c r="H553" i="19"/>
  <c r="J553" i="19" s="1"/>
  <c r="F553" i="19"/>
  <c r="E553" i="19"/>
  <c r="D553" i="19"/>
  <c r="BR552" i="19"/>
  <c r="BT552" i="19" s="1"/>
  <c r="BP552" i="19"/>
  <c r="BU552" i="19" s="1"/>
  <c r="BL552" i="19"/>
  <c r="BN552" i="19" s="1"/>
  <c r="BJ552" i="19"/>
  <c r="BO552" i="19" s="1"/>
  <c r="BF552" i="19"/>
  <c r="BH552" i="19" s="1"/>
  <c r="BD552" i="19"/>
  <c r="BI552" i="19" s="1"/>
  <c r="AZ552" i="19"/>
  <c r="BB552" i="19" s="1"/>
  <c r="AX552" i="19"/>
  <c r="BC552" i="19" s="1"/>
  <c r="AS552" i="19"/>
  <c r="AO552" i="19"/>
  <c r="AQ552" i="19" s="1"/>
  <c r="AM552" i="19"/>
  <c r="AH552" i="19"/>
  <c r="AD552" i="19"/>
  <c r="AF552" i="19" s="1"/>
  <c r="AB552" i="19"/>
  <c r="W552" i="19"/>
  <c r="S552" i="19"/>
  <c r="U552" i="19" s="1"/>
  <c r="Q552" i="19"/>
  <c r="L552" i="19"/>
  <c r="H552" i="19"/>
  <c r="J552" i="19" s="1"/>
  <c r="F552" i="19"/>
  <c r="E552" i="19"/>
  <c r="D552" i="19"/>
  <c r="BR551" i="19"/>
  <c r="BT551" i="19" s="1"/>
  <c r="BP551" i="19"/>
  <c r="BU551" i="19" s="1"/>
  <c r="BL551" i="19"/>
  <c r="BN551" i="19" s="1"/>
  <c r="BJ551" i="19"/>
  <c r="BO551" i="19" s="1"/>
  <c r="BF551" i="19"/>
  <c r="BH551" i="19" s="1"/>
  <c r="BD551" i="19"/>
  <c r="BI551" i="19" s="1"/>
  <c r="AZ551" i="19"/>
  <c r="BB551" i="19" s="1"/>
  <c r="AX551" i="19"/>
  <c r="BC551" i="19" s="1"/>
  <c r="AS551" i="19"/>
  <c r="AO551" i="19"/>
  <c r="AQ551" i="19" s="1"/>
  <c r="AM551" i="19"/>
  <c r="AH551" i="19"/>
  <c r="AD551" i="19"/>
  <c r="AF551" i="19" s="1"/>
  <c r="AB551" i="19"/>
  <c r="W551" i="19"/>
  <c r="S551" i="19"/>
  <c r="U551" i="19" s="1"/>
  <c r="Q551" i="19"/>
  <c r="L551" i="19"/>
  <c r="H551" i="19"/>
  <c r="J551" i="19" s="1"/>
  <c r="F551" i="19"/>
  <c r="E551" i="19"/>
  <c r="D551" i="19"/>
  <c r="BR549" i="19"/>
  <c r="BT549" i="19" s="1"/>
  <c r="BP549" i="19"/>
  <c r="BU549" i="19" s="1"/>
  <c r="BL549" i="19"/>
  <c r="BJ549" i="19"/>
  <c r="BO549" i="19" s="1"/>
  <c r="BF549" i="19"/>
  <c r="BH549" i="19" s="1"/>
  <c r="BD549" i="19"/>
  <c r="BI549" i="19" s="1"/>
  <c r="AZ549" i="19"/>
  <c r="AX549" i="19"/>
  <c r="BC549" i="19" s="1"/>
  <c r="AS549" i="19"/>
  <c r="AO549" i="19"/>
  <c r="AQ549" i="19" s="1"/>
  <c r="AM549" i="19"/>
  <c r="AH549" i="19"/>
  <c r="AD549" i="19"/>
  <c r="AF549" i="19" s="1"/>
  <c r="AB549" i="19"/>
  <c r="W549" i="19"/>
  <c r="S549" i="19"/>
  <c r="U549" i="19" s="1"/>
  <c r="Q549" i="19"/>
  <c r="L549" i="19"/>
  <c r="H549" i="19"/>
  <c r="J549" i="19" s="1"/>
  <c r="F549" i="19"/>
  <c r="E549" i="19"/>
  <c r="D549" i="19"/>
  <c r="BR548" i="19"/>
  <c r="BT548" i="19" s="1"/>
  <c r="BP548" i="19"/>
  <c r="BU548" i="19" s="1"/>
  <c r="BL548" i="19"/>
  <c r="BJ548" i="19"/>
  <c r="BO548" i="19" s="1"/>
  <c r="BF548" i="19"/>
  <c r="BH548" i="19" s="1"/>
  <c r="BD548" i="19"/>
  <c r="BI548" i="19" s="1"/>
  <c r="AZ548" i="19"/>
  <c r="AX548" i="19"/>
  <c r="BC548" i="19" s="1"/>
  <c r="AS548" i="19"/>
  <c r="AO548" i="19"/>
  <c r="AQ548" i="19" s="1"/>
  <c r="AM548" i="19"/>
  <c r="AH548" i="19"/>
  <c r="AD548" i="19"/>
  <c r="AF548" i="19" s="1"/>
  <c r="AB548" i="19"/>
  <c r="W548" i="19"/>
  <c r="S548" i="19"/>
  <c r="U548" i="19" s="1"/>
  <c r="Q548" i="19"/>
  <c r="L548" i="19"/>
  <c r="H548" i="19"/>
  <c r="J548" i="19" s="1"/>
  <c r="F548" i="19"/>
  <c r="E548" i="19"/>
  <c r="D548" i="19"/>
  <c r="BR547" i="19"/>
  <c r="BT547" i="19" s="1"/>
  <c r="BP547" i="19"/>
  <c r="BU547" i="19" s="1"/>
  <c r="BL547" i="19"/>
  <c r="BJ547" i="19"/>
  <c r="BO547" i="19" s="1"/>
  <c r="BF547" i="19"/>
  <c r="BH547" i="19" s="1"/>
  <c r="BD547" i="19"/>
  <c r="BI547" i="19" s="1"/>
  <c r="AZ547" i="19"/>
  <c r="AX547" i="19"/>
  <c r="BC547" i="19" s="1"/>
  <c r="AS547" i="19"/>
  <c r="AO547" i="19"/>
  <c r="AQ547" i="19" s="1"/>
  <c r="AM547" i="19"/>
  <c r="AH547" i="19"/>
  <c r="AD547" i="19"/>
  <c r="AF547" i="19" s="1"/>
  <c r="AB547" i="19"/>
  <c r="W547" i="19"/>
  <c r="S547" i="19"/>
  <c r="U547" i="19" s="1"/>
  <c r="Q547" i="19"/>
  <c r="L547" i="19"/>
  <c r="H547" i="19"/>
  <c r="J547" i="19" s="1"/>
  <c r="F547" i="19"/>
  <c r="E547" i="19"/>
  <c r="D547" i="19"/>
  <c r="BR544" i="19"/>
  <c r="BT544" i="19" s="1"/>
  <c r="BP544" i="19"/>
  <c r="BU544" i="19" s="1"/>
  <c r="BL544" i="19"/>
  <c r="BN544" i="19" s="1"/>
  <c r="BJ544" i="19"/>
  <c r="BO544" i="19" s="1"/>
  <c r="BF544" i="19"/>
  <c r="BH544" i="19" s="1"/>
  <c r="BD544" i="19"/>
  <c r="BI544" i="19" s="1"/>
  <c r="AZ544" i="19"/>
  <c r="BB544" i="19" s="1"/>
  <c r="AX544" i="19"/>
  <c r="BC544" i="19" s="1"/>
  <c r="AS544" i="19"/>
  <c r="AO544" i="19"/>
  <c r="AQ544" i="19" s="1"/>
  <c r="AM544" i="19"/>
  <c r="AH544" i="19"/>
  <c r="AD544" i="19"/>
  <c r="AF544" i="19" s="1"/>
  <c r="AB544" i="19"/>
  <c r="W544" i="19"/>
  <c r="S544" i="19"/>
  <c r="U544" i="19" s="1"/>
  <c r="Q544" i="19"/>
  <c r="L544" i="19"/>
  <c r="H544" i="19"/>
  <c r="J544" i="19" s="1"/>
  <c r="F544" i="19"/>
  <c r="E544" i="19"/>
  <c r="D544" i="19"/>
  <c r="BR543" i="19"/>
  <c r="BT543" i="19" s="1"/>
  <c r="BP543" i="19"/>
  <c r="BU543" i="19" s="1"/>
  <c r="BL543" i="19"/>
  <c r="BN543" i="19" s="1"/>
  <c r="BJ543" i="19"/>
  <c r="BO543" i="19" s="1"/>
  <c r="BF543" i="19"/>
  <c r="BH543" i="19" s="1"/>
  <c r="BD543" i="19"/>
  <c r="BI543" i="19" s="1"/>
  <c r="AZ543" i="19"/>
  <c r="BB543" i="19" s="1"/>
  <c r="AX543" i="19"/>
  <c r="BC543" i="19" s="1"/>
  <c r="AS543" i="19"/>
  <c r="AO543" i="19"/>
  <c r="AQ543" i="19" s="1"/>
  <c r="AM543" i="19"/>
  <c r="AH543" i="19"/>
  <c r="AD543" i="19"/>
  <c r="AF543" i="19" s="1"/>
  <c r="AB543" i="19"/>
  <c r="W543" i="19"/>
  <c r="S543" i="19"/>
  <c r="U543" i="19" s="1"/>
  <c r="Q543" i="19"/>
  <c r="L543" i="19"/>
  <c r="H543" i="19"/>
  <c r="J543" i="19" s="1"/>
  <c r="F543" i="19"/>
  <c r="E543" i="19"/>
  <c r="D543" i="19"/>
  <c r="BR542" i="19"/>
  <c r="BT542" i="19" s="1"/>
  <c r="BP542" i="19"/>
  <c r="BU542" i="19" s="1"/>
  <c r="BL542" i="19"/>
  <c r="BJ542" i="19"/>
  <c r="BO542" i="19" s="1"/>
  <c r="BF542" i="19"/>
  <c r="BH542" i="19" s="1"/>
  <c r="BD542" i="19"/>
  <c r="BI542" i="19" s="1"/>
  <c r="AZ542" i="19"/>
  <c r="AX542" i="19"/>
  <c r="BC542" i="19" s="1"/>
  <c r="AS542" i="19"/>
  <c r="AO542" i="19"/>
  <c r="AQ542" i="19" s="1"/>
  <c r="AM542" i="19"/>
  <c r="AH542" i="19"/>
  <c r="AD542" i="19"/>
  <c r="AF542" i="19" s="1"/>
  <c r="AB542" i="19"/>
  <c r="W542" i="19"/>
  <c r="S542" i="19"/>
  <c r="U542" i="19" s="1"/>
  <c r="Q542" i="19"/>
  <c r="L542" i="19"/>
  <c r="H542" i="19"/>
  <c r="J542" i="19" s="1"/>
  <c r="F542" i="19"/>
  <c r="E542" i="19"/>
  <c r="D542" i="19"/>
  <c r="BR540" i="19"/>
  <c r="BT540" i="19" s="1"/>
  <c r="BP540" i="19"/>
  <c r="BU540" i="19" s="1"/>
  <c r="BL540" i="19"/>
  <c r="BN540" i="19" s="1"/>
  <c r="BJ540" i="19"/>
  <c r="BO540" i="19" s="1"/>
  <c r="BF540" i="19"/>
  <c r="BH540" i="19" s="1"/>
  <c r="BD540" i="19"/>
  <c r="BI540" i="19" s="1"/>
  <c r="AZ540" i="19"/>
  <c r="BB540" i="19" s="1"/>
  <c r="AX540" i="19"/>
  <c r="BC540" i="19" s="1"/>
  <c r="AS540" i="19"/>
  <c r="AO540" i="19"/>
  <c r="AQ540" i="19" s="1"/>
  <c r="AM540" i="19"/>
  <c r="AH540" i="19"/>
  <c r="AD540" i="19"/>
  <c r="AF540" i="19" s="1"/>
  <c r="AB540" i="19"/>
  <c r="W540" i="19"/>
  <c r="S540" i="19"/>
  <c r="U540" i="19" s="1"/>
  <c r="Q540" i="19"/>
  <c r="L540" i="19"/>
  <c r="H540" i="19"/>
  <c r="J540" i="19" s="1"/>
  <c r="F540" i="19"/>
  <c r="E540" i="19"/>
  <c r="D540" i="19"/>
  <c r="BR539" i="19"/>
  <c r="BT539" i="19" s="1"/>
  <c r="BP539" i="19"/>
  <c r="BU539" i="19" s="1"/>
  <c r="BL539" i="19"/>
  <c r="BN539" i="19" s="1"/>
  <c r="BJ539" i="19"/>
  <c r="BO539" i="19" s="1"/>
  <c r="BF539" i="19"/>
  <c r="BH539" i="19" s="1"/>
  <c r="BD539" i="19"/>
  <c r="BI539" i="19" s="1"/>
  <c r="AZ539" i="19"/>
  <c r="BB539" i="19" s="1"/>
  <c r="AX539" i="19"/>
  <c r="BC539" i="19" s="1"/>
  <c r="AS539" i="19"/>
  <c r="AO539" i="19"/>
  <c r="AQ539" i="19" s="1"/>
  <c r="AM539" i="19"/>
  <c r="AH539" i="19"/>
  <c r="AD539" i="19"/>
  <c r="AF539" i="19" s="1"/>
  <c r="AB539" i="19"/>
  <c r="W539" i="19"/>
  <c r="S539" i="19"/>
  <c r="U539" i="19" s="1"/>
  <c r="Q539" i="19"/>
  <c r="L539" i="19"/>
  <c r="H539" i="19"/>
  <c r="J539" i="19" s="1"/>
  <c r="F539" i="19"/>
  <c r="E539" i="19"/>
  <c r="D539" i="19"/>
  <c r="BR538" i="19"/>
  <c r="BT538" i="19" s="1"/>
  <c r="BP538" i="19"/>
  <c r="BU538" i="19" s="1"/>
  <c r="BL538" i="19"/>
  <c r="BN538" i="19" s="1"/>
  <c r="BJ538" i="19"/>
  <c r="BO538" i="19" s="1"/>
  <c r="BF538" i="19"/>
  <c r="BH538" i="19" s="1"/>
  <c r="BD538" i="19"/>
  <c r="BI538" i="19" s="1"/>
  <c r="AZ538" i="19"/>
  <c r="BB538" i="19" s="1"/>
  <c r="AX538" i="19"/>
  <c r="BC538" i="19" s="1"/>
  <c r="AS538" i="19"/>
  <c r="AO538" i="19"/>
  <c r="AQ538" i="19" s="1"/>
  <c r="AM538" i="19"/>
  <c r="AH538" i="19"/>
  <c r="AD538" i="19"/>
  <c r="AF538" i="19" s="1"/>
  <c r="AB538" i="19"/>
  <c r="W538" i="19"/>
  <c r="S538" i="19"/>
  <c r="U538" i="19" s="1"/>
  <c r="Q538" i="19"/>
  <c r="L538" i="19"/>
  <c r="H538" i="19"/>
  <c r="J538" i="19" s="1"/>
  <c r="F538" i="19"/>
  <c r="E538" i="19"/>
  <c r="D538" i="19"/>
  <c r="AN538" i="19" l="1"/>
  <c r="AT538" i="19" s="1"/>
  <c r="AV538" i="19" s="1"/>
  <c r="AN548" i="19"/>
  <c r="AP548" i="19" s="1"/>
  <c r="AR548" i="19" s="1"/>
  <c r="AN542" i="19"/>
  <c r="AT542" i="19" s="1"/>
  <c r="AV542" i="19" s="1"/>
  <c r="AN553" i="19"/>
  <c r="AT553" i="19" s="1"/>
  <c r="AV553" i="19" s="1"/>
  <c r="AN551" i="19"/>
  <c r="AT551" i="19" s="1"/>
  <c r="AV551" i="19" s="1"/>
  <c r="AN544" i="19"/>
  <c r="AT544" i="19" s="1"/>
  <c r="AV544" i="19" s="1"/>
  <c r="AN543" i="19"/>
  <c r="AT543" i="19" s="1"/>
  <c r="AV543" i="19" s="1"/>
  <c r="AN557" i="19"/>
  <c r="AP557" i="19" s="1"/>
  <c r="AR557" i="19" s="1"/>
  <c r="AN547" i="19"/>
  <c r="AP547" i="19" s="1"/>
  <c r="AR547" i="19" s="1"/>
  <c r="AN549" i="19"/>
  <c r="AP549" i="19" s="1"/>
  <c r="AR549" i="19" s="1"/>
  <c r="AN555" i="19"/>
  <c r="AP555" i="19" s="1"/>
  <c r="AR555" i="19" s="1"/>
  <c r="AN540" i="19"/>
  <c r="AP540" i="19" s="1"/>
  <c r="AR540" i="19" s="1"/>
  <c r="AN539" i="19"/>
  <c r="AP539" i="19" s="1"/>
  <c r="AR539" i="19" s="1"/>
  <c r="AN552" i="19"/>
  <c r="AT552" i="19" s="1"/>
  <c r="AV552" i="19" s="1"/>
  <c r="AN556" i="19"/>
  <c r="AP556" i="19" s="1"/>
  <c r="AR556" i="19" s="1"/>
  <c r="AY555" i="19"/>
  <c r="BA555" i="19" s="1"/>
  <c r="BK555" i="19"/>
  <c r="BM555" i="19" s="1"/>
  <c r="AY556" i="19"/>
  <c r="BA556" i="19" s="1"/>
  <c r="BK556" i="19"/>
  <c r="BM556" i="19" s="1"/>
  <c r="AY557" i="19"/>
  <c r="BA557" i="19" s="1"/>
  <c r="BK557" i="19"/>
  <c r="BM557" i="19" s="1"/>
  <c r="G555" i="19"/>
  <c r="R555" i="19" s="1"/>
  <c r="AC555" i="19"/>
  <c r="AE555" i="19" s="1"/>
  <c r="BE555" i="19"/>
  <c r="BG555" i="19" s="1"/>
  <c r="BQ555" i="19"/>
  <c r="BS555" i="19" s="1"/>
  <c r="G556" i="19"/>
  <c r="R556" i="19" s="1"/>
  <c r="AC556" i="19"/>
  <c r="AE556" i="19" s="1"/>
  <c r="BE556" i="19"/>
  <c r="BG556" i="19" s="1"/>
  <c r="BQ556" i="19"/>
  <c r="BS556" i="19" s="1"/>
  <c r="G557" i="19"/>
  <c r="R557" i="19" s="1"/>
  <c r="AC557" i="19"/>
  <c r="AE557" i="19" s="1"/>
  <c r="BE557" i="19"/>
  <c r="BG557" i="19" s="1"/>
  <c r="BQ557" i="19"/>
  <c r="BS557" i="19" s="1"/>
  <c r="BB553" i="19"/>
  <c r="BN553" i="19"/>
  <c r="AY551" i="19"/>
  <c r="BA551" i="19" s="1"/>
  <c r="BK551" i="19"/>
  <c r="BM551" i="19" s="1"/>
  <c r="AY552" i="19"/>
  <c r="BA552" i="19" s="1"/>
  <c r="BK552" i="19"/>
  <c r="BM552" i="19" s="1"/>
  <c r="AY553" i="19"/>
  <c r="BA553" i="19" s="1"/>
  <c r="BK553" i="19"/>
  <c r="BM553" i="19" s="1"/>
  <c r="G551" i="19"/>
  <c r="R551" i="19" s="1"/>
  <c r="AC551" i="19"/>
  <c r="AE551" i="19" s="1"/>
  <c r="BE551" i="19"/>
  <c r="BG551" i="19" s="1"/>
  <c r="BQ551" i="19"/>
  <c r="BS551" i="19" s="1"/>
  <c r="G552" i="19"/>
  <c r="R552" i="19" s="1"/>
  <c r="AC552" i="19"/>
  <c r="AE552" i="19" s="1"/>
  <c r="BE552" i="19"/>
  <c r="BG552" i="19" s="1"/>
  <c r="BQ552" i="19"/>
  <c r="BS552" i="19" s="1"/>
  <c r="G553" i="19"/>
  <c r="R553" i="19" s="1"/>
  <c r="AC553" i="19"/>
  <c r="AE553" i="19" s="1"/>
  <c r="BE553" i="19"/>
  <c r="BG553" i="19" s="1"/>
  <c r="BQ553" i="19"/>
  <c r="BS553" i="19" s="1"/>
  <c r="BB547" i="19"/>
  <c r="BN547" i="19"/>
  <c r="BB548" i="19"/>
  <c r="BN548" i="19"/>
  <c r="BB549" i="19"/>
  <c r="BN549" i="19"/>
  <c r="AY547" i="19"/>
  <c r="BA547" i="19" s="1"/>
  <c r="BK547" i="19"/>
  <c r="BM547" i="19" s="1"/>
  <c r="AY548" i="19"/>
  <c r="BA548" i="19" s="1"/>
  <c r="BK548" i="19"/>
  <c r="BM548" i="19" s="1"/>
  <c r="AY549" i="19"/>
  <c r="BA549" i="19" s="1"/>
  <c r="BK549" i="19"/>
  <c r="BM549" i="19" s="1"/>
  <c r="G547" i="19"/>
  <c r="I547" i="19" s="1"/>
  <c r="AC547" i="19"/>
  <c r="AE547" i="19" s="1"/>
  <c r="BE547" i="19"/>
  <c r="BG547" i="19" s="1"/>
  <c r="BQ547" i="19"/>
  <c r="BS547" i="19" s="1"/>
  <c r="G548" i="19"/>
  <c r="I548" i="19" s="1"/>
  <c r="AC548" i="19"/>
  <c r="BE548" i="19"/>
  <c r="BG548" i="19" s="1"/>
  <c r="BQ548" i="19"/>
  <c r="BS548" i="19" s="1"/>
  <c r="G549" i="19"/>
  <c r="AC549" i="19"/>
  <c r="BE549" i="19"/>
  <c r="BG549" i="19" s="1"/>
  <c r="BQ549" i="19"/>
  <c r="BS549" i="19" s="1"/>
  <c r="AY543" i="19"/>
  <c r="BA543" i="19" s="1"/>
  <c r="BK543" i="19"/>
  <c r="BM543" i="19" s="1"/>
  <c r="AY544" i="19"/>
  <c r="BA544" i="19" s="1"/>
  <c r="BK544" i="19"/>
  <c r="BM544" i="19" s="1"/>
  <c r="G543" i="19"/>
  <c r="R543" i="19" s="1"/>
  <c r="AC543" i="19"/>
  <c r="AE543" i="19" s="1"/>
  <c r="BE543" i="19"/>
  <c r="BG543" i="19" s="1"/>
  <c r="BQ543" i="19"/>
  <c r="BS543" i="19" s="1"/>
  <c r="G544" i="19"/>
  <c r="R544" i="19" s="1"/>
  <c r="AC544" i="19"/>
  <c r="AE544" i="19" s="1"/>
  <c r="BE544" i="19"/>
  <c r="BG544" i="19" s="1"/>
  <c r="BQ544" i="19"/>
  <c r="BS544" i="19" s="1"/>
  <c r="BB542" i="19"/>
  <c r="BN542" i="19"/>
  <c r="AY542" i="19"/>
  <c r="BA542" i="19" s="1"/>
  <c r="BK542" i="19"/>
  <c r="BM542" i="19" s="1"/>
  <c r="G542" i="19"/>
  <c r="R542" i="19" s="1"/>
  <c r="AC542" i="19"/>
  <c r="AE542" i="19" s="1"/>
  <c r="BE542" i="19"/>
  <c r="BG542" i="19" s="1"/>
  <c r="BQ542" i="19"/>
  <c r="BS542" i="19" s="1"/>
  <c r="AY538" i="19"/>
  <c r="BA538" i="19" s="1"/>
  <c r="BK538" i="19"/>
  <c r="BM538" i="19" s="1"/>
  <c r="AY539" i="19"/>
  <c r="BA539" i="19" s="1"/>
  <c r="BK539" i="19"/>
  <c r="BM539" i="19" s="1"/>
  <c r="AY540" i="19"/>
  <c r="BA540" i="19" s="1"/>
  <c r="BK540" i="19"/>
  <c r="BM540" i="19" s="1"/>
  <c r="G538" i="19"/>
  <c r="R538" i="19" s="1"/>
  <c r="AC538" i="19"/>
  <c r="AE538" i="19" s="1"/>
  <c r="BE538" i="19"/>
  <c r="BG538" i="19" s="1"/>
  <c r="BQ538" i="19"/>
  <c r="BS538" i="19" s="1"/>
  <c r="G539" i="19"/>
  <c r="R539" i="19" s="1"/>
  <c r="AC539" i="19"/>
  <c r="AE539" i="19" s="1"/>
  <c r="BE539" i="19"/>
  <c r="BG539" i="19" s="1"/>
  <c r="BQ539" i="19"/>
  <c r="BS539" i="19" s="1"/>
  <c r="G540" i="19"/>
  <c r="R540" i="19" s="1"/>
  <c r="AC540" i="19"/>
  <c r="AI540" i="19" s="1"/>
  <c r="AK540" i="19" s="1"/>
  <c r="BE540" i="19"/>
  <c r="BG540" i="19" s="1"/>
  <c r="BQ540" i="19"/>
  <c r="BS540" i="19" s="1"/>
  <c r="AG552" i="19" l="1"/>
  <c r="AG557" i="19"/>
  <c r="AG551" i="19"/>
  <c r="AG556" i="19"/>
  <c r="AG547" i="19"/>
  <c r="AG555" i="19"/>
  <c r="K548" i="19"/>
  <c r="AG553" i="19"/>
  <c r="AT547" i="19"/>
  <c r="AV547" i="19" s="1"/>
  <c r="AP542" i="19"/>
  <c r="AR542" i="19" s="1"/>
  <c r="AT555" i="19"/>
  <c r="AV555" i="19" s="1"/>
  <c r="AG542" i="19"/>
  <c r="AG543" i="19"/>
  <c r="AG539" i="19"/>
  <c r="AG538" i="19"/>
  <c r="AG544" i="19"/>
  <c r="AP538" i="19"/>
  <c r="AR538" i="19" s="1"/>
  <c r="AT548" i="19"/>
  <c r="AV548" i="19" s="1"/>
  <c r="AP553" i="19"/>
  <c r="AR553" i="19" s="1"/>
  <c r="AT557" i="19"/>
  <c r="AV557" i="19" s="1"/>
  <c r="AT540" i="19"/>
  <c r="AV540" i="19" s="1"/>
  <c r="AP551" i="19"/>
  <c r="AR551" i="19" s="1"/>
  <c r="AT556" i="19"/>
  <c r="AV556" i="19" s="1"/>
  <c r="AP543" i="19"/>
  <c r="AR543" i="19" s="1"/>
  <c r="AT539" i="19"/>
  <c r="AV539" i="19" s="1"/>
  <c r="AT549" i="19"/>
  <c r="AV549" i="19" s="1"/>
  <c r="M548" i="19"/>
  <c r="O548" i="19" s="1"/>
  <c r="AP552" i="19"/>
  <c r="AR552" i="19" s="1"/>
  <c r="AP544" i="19"/>
  <c r="AR544" i="19" s="1"/>
  <c r="AU553" i="19"/>
  <c r="AW553" i="19" s="1"/>
  <c r="AU544" i="19"/>
  <c r="AW544" i="19" s="1"/>
  <c r="AU543" i="19"/>
  <c r="AW543" i="19" s="1"/>
  <c r="AU538" i="19"/>
  <c r="AW538" i="19" s="1"/>
  <c r="AU542" i="19"/>
  <c r="AW542" i="19" s="1"/>
  <c r="AI555" i="19"/>
  <c r="M555" i="19"/>
  <c r="O555" i="19" s="1"/>
  <c r="AI557" i="19"/>
  <c r="AK557" i="19" s="1"/>
  <c r="M557" i="19"/>
  <c r="X557" i="19"/>
  <c r="Z557" i="19" s="1"/>
  <c r="T557" i="19"/>
  <c r="V557" i="19" s="1"/>
  <c r="I557" i="19"/>
  <c r="I556" i="19"/>
  <c r="I555" i="19"/>
  <c r="X556" i="19"/>
  <c r="Z556" i="19" s="1"/>
  <c r="T556" i="19"/>
  <c r="V556" i="19" s="1"/>
  <c r="AI556" i="19"/>
  <c r="AK556" i="19" s="1"/>
  <c r="X555" i="19"/>
  <c r="Z555" i="19" s="1"/>
  <c r="T555" i="19"/>
  <c r="V555" i="19" s="1"/>
  <c r="M556" i="19"/>
  <c r="O556" i="19" s="1"/>
  <c r="M553" i="19"/>
  <c r="O553" i="19" s="1"/>
  <c r="M552" i="19"/>
  <c r="O552" i="19" s="1"/>
  <c r="M551" i="19"/>
  <c r="O551" i="19" s="1"/>
  <c r="X553" i="19"/>
  <c r="Z553" i="19" s="1"/>
  <c r="T553" i="19"/>
  <c r="V553" i="19" s="1"/>
  <c r="AI553" i="19"/>
  <c r="AK553" i="19" s="1"/>
  <c r="I553" i="19"/>
  <c r="I552" i="19"/>
  <c r="I551" i="19"/>
  <c r="AU552" i="19"/>
  <c r="AW552" i="19" s="1"/>
  <c r="X552" i="19"/>
  <c r="Z552" i="19" s="1"/>
  <c r="T552" i="19"/>
  <c r="V552" i="19" s="1"/>
  <c r="AI552" i="19"/>
  <c r="AK552" i="19" s="1"/>
  <c r="AI551" i="19"/>
  <c r="AK551" i="19" s="1"/>
  <c r="X551" i="19"/>
  <c r="Z551" i="19" s="1"/>
  <c r="T551" i="19"/>
  <c r="V551" i="19" s="1"/>
  <c r="AU551" i="19"/>
  <c r="AW551" i="19" s="1"/>
  <c r="R549" i="19"/>
  <c r="R548" i="19"/>
  <c r="K547" i="19"/>
  <c r="R547" i="19"/>
  <c r="AI549" i="19"/>
  <c r="AK549" i="19" s="1"/>
  <c r="I549" i="19"/>
  <c r="M549" i="19"/>
  <c r="O549" i="19" s="1"/>
  <c r="AI548" i="19"/>
  <c r="AK548" i="19" s="1"/>
  <c r="AI547" i="19"/>
  <c r="AK547" i="19" s="1"/>
  <c r="M547" i="19"/>
  <c r="O547" i="19" s="1"/>
  <c r="AE548" i="19"/>
  <c r="AE549" i="19"/>
  <c r="X543" i="19"/>
  <c r="Z543" i="19" s="1"/>
  <c r="T543" i="19"/>
  <c r="V543" i="19" s="1"/>
  <c r="AI544" i="19"/>
  <c r="AK544" i="19" s="1"/>
  <c r="I544" i="19"/>
  <c r="M543" i="19"/>
  <c r="I543" i="19"/>
  <c r="AI543" i="19"/>
  <c r="AK543" i="19" s="1"/>
  <c r="X544" i="19"/>
  <c r="Z544" i="19" s="1"/>
  <c r="T544" i="19"/>
  <c r="V544" i="19" s="1"/>
  <c r="M544" i="19"/>
  <c r="X542" i="19"/>
  <c r="Z542" i="19" s="1"/>
  <c r="T542" i="19"/>
  <c r="V542" i="19" s="1"/>
  <c r="M542" i="19"/>
  <c r="O542" i="19" s="1"/>
  <c r="AI542" i="19"/>
  <c r="AK542" i="19" s="1"/>
  <c r="I542" i="19"/>
  <c r="X540" i="19"/>
  <c r="Z540" i="19" s="1"/>
  <c r="T540" i="19"/>
  <c r="V540" i="19" s="1"/>
  <c r="AE540" i="19"/>
  <c r="I540" i="19"/>
  <c r="X539" i="19"/>
  <c r="Z539" i="19" s="1"/>
  <c r="T539" i="19"/>
  <c r="V539" i="19" s="1"/>
  <c r="AI538" i="19"/>
  <c r="AK538" i="19" s="1"/>
  <c r="M538" i="19"/>
  <c r="O538" i="19" s="1"/>
  <c r="X538" i="19"/>
  <c r="Z538" i="19" s="1"/>
  <c r="T538" i="19"/>
  <c r="V538" i="19" s="1"/>
  <c r="AI539" i="19"/>
  <c r="AK539" i="19" s="1"/>
  <c r="M539" i="19"/>
  <c r="O539" i="19" s="1"/>
  <c r="I538" i="19"/>
  <c r="AJ540" i="19"/>
  <c r="M540" i="19"/>
  <c r="O540" i="19" s="1"/>
  <c r="I539" i="19"/>
  <c r="AU547" i="19" l="1"/>
  <c r="AW547" i="19" s="1"/>
  <c r="AG549" i="19"/>
  <c r="AG548" i="19"/>
  <c r="AU555" i="19"/>
  <c r="AW555" i="19" s="1"/>
  <c r="AU557" i="19"/>
  <c r="AW557" i="19" s="1"/>
  <c r="AU548" i="19"/>
  <c r="AW548" i="19" s="1"/>
  <c r="AG540" i="19"/>
  <c r="AL540" i="19"/>
  <c r="AU556" i="19"/>
  <c r="AW556" i="19" s="1"/>
  <c r="AU540" i="19"/>
  <c r="AW540" i="19" s="1"/>
  <c r="N552" i="19"/>
  <c r="AU539" i="19"/>
  <c r="AW539" i="19" s="1"/>
  <c r="AU549" i="19"/>
  <c r="AW549" i="19" s="1"/>
  <c r="N548" i="19"/>
  <c r="N551" i="19"/>
  <c r="Y540" i="19"/>
  <c r="AA540" i="19" s="1"/>
  <c r="Y552" i="19"/>
  <c r="AA552" i="19" s="1"/>
  <c r="AJ551" i="19"/>
  <c r="AJ543" i="19"/>
  <c r="O557" i="19"/>
  <c r="N557" i="19"/>
  <c r="N555" i="19"/>
  <c r="Y539" i="19"/>
  <c r="AA539" i="19" s="1"/>
  <c r="AK555" i="19"/>
  <c r="AJ555" i="19"/>
  <c r="AJ557" i="19"/>
  <c r="AJ538" i="19"/>
  <c r="Y543" i="19"/>
  <c r="AA543" i="19" s="1"/>
  <c r="AJ548" i="19"/>
  <c r="Y556" i="19"/>
  <c r="AA556" i="19" s="1"/>
  <c r="N556" i="19"/>
  <c r="Y557" i="19"/>
  <c r="AA557" i="19" s="1"/>
  <c r="Y555" i="19"/>
  <c r="AA555" i="19" s="1"/>
  <c r="K555" i="19"/>
  <c r="AJ556" i="19"/>
  <c r="K556" i="19"/>
  <c r="K557" i="19"/>
  <c r="K552" i="19"/>
  <c r="AJ552" i="19"/>
  <c r="N553" i="19"/>
  <c r="K553" i="19"/>
  <c r="AJ553" i="19"/>
  <c r="Y551" i="19"/>
  <c r="AA551" i="19" s="1"/>
  <c r="K551" i="19"/>
  <c r="Y553" i="19"/>
  <c r="AA553" i="19" s="1"/>
  <c r="AJ547" i="19"/>
  <c r="N547" i="19"/>
  <c r="K549" i="19"/>
  <c r="X547" i="19"/>
  <c r="Z547" i="19" s="1"/>
  <c r="T547" i="19"/>
  <c r="V547" i="19" s="1"/>
  <c r="N549" i="19"/>
  <c r="AJ549" i="19"/>
  <c r="X548" i="19"/>
  <c r="Z548" i="19" s="1"/>
  <c r="T548" i="19"/>
  <c r="V548" i="19" s="1"/>
  <c r="X549" i="19"/>
  <c r="Z549" i="19" s="1"/>
  <c r="T549" i="19"/>
  <c r="V549" i="19" s="1"/>
  <c r="K543" i="19"/>
  <c r="AJ544" i="19"/>
  <c r="O544" i="19"/>
  <c r="N544" i="19"/>
  <c r="N543" i="19"/>
  <c r="O543" i="19"/>
  <c r="K544" i="19"/>
  <c r="Y544" i="19"/>
  <c r="AA544" i="19" s="1"/>
  <c r="K542" i="19"/>
  <c r="Y542" i="19"/>
  <c r="AA542" i="19" s="1"/>
  <c r="N542" i="19"/>
  <c r="AJ542" i="19"/>
  <c r="K539" i="19"/>
  <c r="K538" i="19"/>
  <c r="AJ539" i="19"/>
  <c r="N538" i="19"/>
  <c r="K540" i="19"/>
  <c r="N540" i="19"/>
  <c r="N539" i="19"/>
  <c r="Y538" i="19"/>
  <c r="AA538" i="19" s="1"/>
  <c r="AL548" i="19" l="1"/>
  <c r="AL555" i="19"/>
  <c r="AL549" i="19"/>
  <c r="AL552" i="19"/>
  <c r="AL556" i="19"/>
  <c r="P551" i="19"/>
  <c r="P552" i="19"/>
  <c r="AL547" i="19"/>
  <c r="AL553" i="19"/>
  <c r="AL557" i="19"/>
  <c r="AL551" i="19"/>
  <c r="P548" i="19"/>
  <c r="AL542" i="19"/>
  <c r="AL538" i="19"/>
  <c r="AL539" i="19"/>
  <c r="AL543" i="19"/>
  <c r="AL544" i="19"/>
  <c r="P555" i="19"/>
  <c r="P557" i="19"/>
  <c r="P556" i="19"/>
  <c r="P553" i="19"/>
  <c r="Y548" i="19"/>
  <c r="AA548" i="19" s="1"/>
  <c r="Y549" i="19"/>
  <c r="AA549" i="19" s="1"/>
  <c r="P549" i="19"/>
  <c r="Y547" i="19"/>
  <c r="AA547" i="19" s="1"/>
  <c r="P547" i="19"/>
  <c r="P543" i="19"/>
  <c r="P544" i="19"/>
  <c r="P542" i="19"/>
  <c r="P538" i="19"/>
  <c r="P539" i="19"/>
  <c r="P540" i="19"/>
  <c r="BR554" i="19" l="1"/>
  <c r="BP554" i="19"/>
  <c r="BL554" i="19"/>
  <c r="BJ554" i="19"/>
  <c r="BK554" i="19" s="1"/>
  <c r="BF554" i="19"/>
  <c r="BH554" i="19" s="1"/>
  <c r="BD554" i="19"/>
  <c r="AZ554" i="19"/>
  <c r="BB554" i="19" s="1"/>
  <c r="AX554" i="19"/>
  <c r="AS554" i="19"/>
  <c r="AO554" i="19"/>
  <c r="AM554" i="19"/>
  <c r="AH554" i="19"/>
  <c r="AD554" i="19"/>
  <c r="AF554" i="19" s="1"/>
  <c r="AB554" i="19"/>
  <c r="W554" i="19"/>
  <c r="S554" i="19"/>
  <c r="Q554" i="19"/>
  <c r="L554" i="19"/>
  <c r="H554" i="19"/>
  <c r="J554" i="19" s="1"/>
  <c r="F554" i="19"/>
  <c r="E554" i="19"/>
  <c r="D554" i="19"/>
  <c r="BR550" i="19"/>
  <c r="BP550" i="19"/>
  <c r="BU550" i="19" s="1"/>
  <c r="BL550" i="19"/>
  <c r="BJ550" i="19"/>
  <c r="BF550" i="19"/>
  <c r="BH550" i="19" s="1"/>
  <c r="BD550" i="19"/>
  <c r="BI550" i="19" s="1"/>
  <c r="AZ550" i="19"/>
  <c r="AX550" i="19"/>
  <c r="AS550" i="19"/>
  <c r="AO550" i="19"/>
  <c r="AM550" i="19"/>
  <c r="AH550" i="19"/>
  <c r="AD550" i="19"/>
  <c r="AF550" i="19" s="1"/>
  <c r="AB550" i="19"/>
  <c r="W550" i="19"/>
  <c r="S550" i="19"/>
  <c r="Q550" i="19"/>
  <c r="L550" i="19"/>
  <c r="H550" i="19"/>
  <c r="F550" i="19"/>
  <c r="E550" i="19"/>
  <c r="D550" i="19"/>
  <c r="BR546" i="19"/>
  <c r="BT546" i="19" s="1"/>
  <c r="BP546" i="19"/>
  <c r="BL546" i="19"/>
  <c r="BJ546" i="19"/>
  <c r="BF546" i="19"/>
  <c r="BD546" i="19"/>
  <c r="BI546" i="19" s="1"/>
  <c r="AZ546" i="19"/>
  <c r="BB546" i="19" s="1"/>
  <c r="AX546" i="19"/>
  <c r="AS546" i="19"/>
  <c r="AO546" i="19"/>
  <c r="AM546" i="19"/>
  <c r="AH546" i="19"/>
  <c r="AD546" i="19"/>
  <c r="AF546" i="19" s="1"/>
  <c r="AB546" i="19"/>
  <c r="W546" i="19"/>
  <c r="S546" i="19"/>
  <c r="U546" i="19" s="1"/>
  <c r="Q546" i="19"/>
  <c r="L546" i="19"/>
  <c r="H546" i="19"/>
  <c r="J546" i="19" s="1"/>
  <c r="F546" i="19"/>
  <c r="E546" i="19"/>
  <c r="D546" i="19"/>
  <c r="BR545" i="19"/>
  <c r="BP545" i="19"/>
  <c r="BU545" i="19" s="1"/>
  <c r="BL545" i="19"/>
  <c r="BN545" i="19" s="1"/>
  <c r="BJ545" i="19"/>
  <c r="BF545" i="19"/>
  <c r="BD545" i="19"/>
  <c r="BE545" i="19" s="1"/>
  <c r="AZ545" i="19"/>
  <c r="BB545" i="19" s="1"/>
  <c r="AX545" i="19"/>
  <c r="AS545" i="19"/>
  <c r="AO545" i="19"/>
  <c r="AQ545" i="19" s="1"/>
  <c r="AM545" i="19"/>
  <c r="AH545" i="19"/>
  <c r="AD545" i="19"/>
  <c r="AB545" i="19"/>
  <c r="W545" i="19"/>
  <c r="S545" i="19"/>
  <c r="U545" i="19" s="1"/>
  <c r="Q545" i="19"/>
  <c r="L545" i="19"/>
  <c r="H545" i="19"/>
  <c r="J545" i="19" s="1"/>
  <c r="F545" i="19"/>
  <c r="E545" i="19"/>
  <c r="D545" i="19"/>
  <c r="BR541" i="19"/>
  <c r="BT541" i="19" s="1"/>
  <c r="BP541" i="19"/>
  <c r="BQ541" i="19" s="1"/>
  <c r="BL541" i="19"/>
  <c r="BJ541" i="19"/>
  <c r="BF541" i="19"/>
  <c r="BD541" i="19"/>
  <c r="BI541" i="19" s="1"/>
  <c r="AZ541" i="19"/>
  <c r="BB541" i="19" s="1"/>
  <c r="AX541" i="19"/>
  <c r="AS541" i="19"/>
  <c r="AO541" i="19"/>
  <c r="AM541" i="19"/>
  <c r="AH541" i="19"/>
  <c r="AD541" i="19"/>
  <c r="AF541" i="19" s="1"/>
  <c r="AB541" i="19"/>
  <c r="W541" i="19"/>
  <c r="S541" i="19"/>
  <c r="U541" i="19" s="1"/>
  <c r="Q541" i="19"/>
  <c r="L541" i="19"/>
  <c r="H541" i="19"/>
  <c r="J541" i="19" s="1"/>
  <c r="F541" i="19"/>
  <c r="E541" i="19"/>
  <c r="D541" i="19"/>
  <c r="BR537" i="19"/>
  <c r="BT537" i="19" s="1"/>
  <c r="BP537" i="19"/>
  <c r="BU537" i="19" s="1"/>
  <c r="BL537" i="19"/>
  <c r="BJ537" i="19"/>
  <c r="BF537" i="19"/>
  <c r="BD537" i="19"/>
  <c r="BI537" i="19" s="1"/>
  <c r="AZ537" i="19"/>
  <c r="AX537" i="19"/>
  <c r="AS537" i="19"/>
  <c r="AO537" i="19"/>
  <c r="AQ537" i="19" s="1"/>
  <c r="AM537" i="19"/>
  <c r="AH537" i="19"/>
  <c r="AD537" i="19"/>
  <c r="AF537" i="19" s="1"/>
  <c r="AB537" i="19"/>
  <c r="W537" i="19"/>
  <c r="S537" i="19"/>
  <c r="U537" i="19" s="1"/>
  <c r="Q537" i="19"/>
  <c r="L537" i="19"/>
  <c r="H537" i="19"/>
  <c r="F537" i="19"/>
  <c r="E537" i="19"/>
  <c r="D537" i="19"/>
  <c r="BR536" i="19"/>
  <c r="BP536" i="19"/>
  <c r="BU536" i="19" s="1"/>
  <c r="BL536" i="19"/>
  <c r="BN536" i="19" s="1"/>
  <c r="BJ536" i="19"/>
  <c r="BF536" i="19"/>
  <c r="BD536" i="19"/>
  <c r="BE536" i="19" s="1"/>
  <c r="AZ536" i="19"/>
  <c r="BB536" i="19" s="1"/>
  <c r="AX536" i="19"/>
  <c r="AS536" i="19"/>
  <c r="AO536" i="19"/>
  <c r="AQ536" i="19" s="1"/>
  <c r="AM536" i="19"/>
  <c r="AH536" i="19"/>
  <c r="AD536" i="19"/>
  <c r="AB536" i="19"/>
  <c r="W536" i="19"/>
  <c r="S536" i="19"/>
  <c r="U536" i="19" s="1"/>
  <c r="Q536" i="19"/>
  <c r="L536" i="19"/>
  <c r="H536" i="19"/>
  <c r="F536" i="19"/>
  <c r="E536" i="19"/>
  <c r="D536" i="19"/>
  <c r="BR535" i="19"/>
  <c r="BT535" i="19" s="1"/>
  <c r="BP535" i="19"/>
  <c r="BU535" i="19" s="1"/>
  <c r="BL535" i="19"/>
  <c r="BN535" i="19" s="1"/>
  <c r="BJ535" i="19"/>
  <c r="BF535" i="19"/>
  <c r="BH535" i="19" s="1"/>
  <c r="BD535" i="19"/>
  <c r="BI535" i="19" s="1"/>
  <c r="AZ535" i="19"/>
  <c r="BB535" i="19" s="1"/>
  <c r="AX535" i="19"/>
  <c r="BC535" i="19" s="1"/>
  <c r="AS535" i="19"/>
  <c r="AO535" i="19"/>
  <c r="AQ535" i="19" s="1"/>
  <c r="AM535" i="19"/>
  <c r="AH535" i="19"/>
  <c r="AD535" i="19"/>
  <c r="AF535" i="19" s="1"/>
  <c r="AB535" i="19"/>
  <c r="W535" i="19"/>
  <c r="S535" i="19"/>
  <c r="U535" i="19" s="1"/>
  <c r="Q535" i="19"/>
  <c r="L535" i="19"/>
  <c r="H535" i="19"/>
  <c r="J535" i="19" s="1"/>
  <c r="F535" i="19"/>
  <c r="E535" i="19"/>
  <c r="D535" i="19"/>
  <c r="BR534" i="19"/>
  <c r="BT534" i="19" s="1"/>
  <c r="BP534" i="19"/>
  <c r="BU534" i="19" s="1"/>
  <c r="BL534" i="19"/>
  <c r="BN534" i="19" s="1"/>
  <c r="BJ534" i="19"/>
  <c r="BO534" i="19" s="1"/>
  <c r="BF534" i="19"/>
  <c r="BD534" i="19"/>
  <c r="BI534" i="19" s="1"/>
  <c r="AZ534" i="19"/>
  <c r="BB534" i="19" s="1"/>
  <c r="AX534" i="19"/>
  <c r="AS534" i="19"/>
  <c r="AO534" i="19"/>
  <c r="AQ534" i="19" s="1"/>
  <c r="AM534" i="19"/>
  <c r="AH534" i="19"/>
  <c r="AD534" i="19"/>
  <c r="AF534" i="19" s="1"/>
  <c r="AB534" i="19"/>
  <c r="W534" i="19"/>
  <c r="S534" i="19"/>
  <c r="U534" i="19" s="1"/>
  <c r="Q534" i="19"/>
  <c r="L534" i="19"/>
  <c r="H534" i="19"/>
  <c r="J534" i="19" s="1"/>
  <c r="F534" i="19"/>
  <c r="E534" i="19"/>
  <c r="D534" i="19"/>
  <c r="BR533" i="19"/>
  <c r="BT533" i="19" s="1"/>
  <c r="BP533" i="19"/>
  <c r="BU533" i="19" s="1"/>
  <c r="BL533" i="19"/>
  <c r="BN533" i="19" s="1"/>
  <c r="BJ533" i="19"/>
  <c r="BK533" i="19" s="1"/>
  <c r="BF533" i="19"/>
  <c r="BH533" i="19" s="1"/>
  <c r="BD533" i="19"/>
  <c r="BE533" i="19" s="1"/>
  <c r="AZ533" i="19"/>
  <c r="BB533" i="19" s="1"/>
  <c r="AX533" i="19"/>
  <c r="AY533" i="19" s="1"/>
  <c r="AS533" i="19"/>
  <c r="AO533" i="19"/>
  <c r="AM533" i="19"/>
  <c r="AH533" i="19"/>
  <c r="AD533" i="19"/>
  <c r="AB533" i="19"/>
  <c r="W533" i="19"/>
  <c r="S533" i="19"/>
  <c r="Q533" i="19"/>
  <c r="L533" i="19"/>
  <c r="H533" i="19"/>
  <c r="F533" i="19"/>
  <c r="E533" i="19"/>
  <c r="D533" i="19"/>
  <c r="BR532" i="19"/>
  <c r="BT532" i="19" s="1"/>
  <c r="BP532" i="19"/>
  <c r="BU532" i="19" s="1"/>
  <c r="BL532" i="19"/>
  <c r="BN532" i="19" s="1"/>
  <c r="BJ532" i="19"/>
  <c r="BO532" i="19" s="1"/>
  <c r="BF532" i="19"/>
  <c r="BH532" i="19" s="1"/>
  <c r="BD532" i="19"/>
  <c r="BE532" i="19" s="1"/>
  <c r="AZ532" i="19"/>
  <c r="BB532" i="19" s="1"/>
  <c r="AX532" i="19"/>
  <c r="BC532" i="19" s="1"/>
  <c r="AS532" i="19"/>
  <c r="AO532" i="19"/>
  <c r="AQ532" i="19" s="1"/>
  <c r="AM532" i="19"/>
  <c r="AH532" i="19"/>
  <c r="AD532" i="19"/>
  <c r="AF532" i="19" s="1"/>
  <c r="AB532" i="19"/>
  <c r="W532" i="19"/>
  <c r="S532" i="19"/>
  <c r="U532" i="19" s="1"/>
  <c r="Q532" i="19"/>
  <c r="L532" i="19"/>
  <c r="H532" i="19"/>
  <c r="J532" i="19" s="1"/>
  <c r="F532" i="19"/>
  <c r="E532" i="19"/>
  <c r="D532" i="19"/>
  <c r="BR531" i="19"/>
  <c r="BP531" i="19"/>
  <c r="BU531" i="19" s="1"/>
  <c r="BL531" i="19"/>
  <c r="BN531" i="19" s="1"/>
  <c r="BJ531" i="19"/>
  <c r="BF531" i="19"/>
  <c r="BH531" i="19" s="1"/>
  <c r="BD531" i="19"/>
  <c r="BE531" i="19" s="1"/>
  <c r="AZ531" i="19"/>
  <c r="BB531" i="19" s="1"/>
  <c r="AX531" i="19"/>
  <c r="BC531" i="19" s="1"/>
  <c r="AS531" i="19"/>
  <c r="AO531" i="19"/>
  <c r="AQ531" i="19" s="1"/>
  <c r="AM531" i="19"/>
  <c r="AH531" i="19"/>
  <c r="AD531" i="19"/>
  <c r="AF531" i="19" s="1"/>
  <c r="AB531" i="19"/>
  <c r="W531" i="19"/>
  <c r="S531" i="19"/>
  <c r="U531" i="19" s="1"/>
  <c r="Q531" i="19"/>
  <c r="L531" i="19"/>
  <c r="H531" i="19"/>
  <c r="J531" i="19" s="1"/>
  <c r="F531" i="19"/>
  <c r="E531" i="19"/>
  <c r="D531" i="19"/>
  <c r="BR530" i="19"/>
  <c r="BT530" i="19" s="1"/>
  <c r="BP530" i="19"/>
  <c r="BU530" i="19" s="1"/>
  <c r="BL530" i="19"/>
  <c r="BN530" i="19" s="1"/>
  <c r="BJ530" i="19"/>
  <c r="BO530" i="19" s="1"/>
  <c r="BF530" i="19"/>
  <c r="BH530" i="19" s="1"/>
  <c r="BD530" i="19"/>
  <c r="BI530" i="19" s="1"/>
  <c r="AZ530" i="19"/>
  <c r="BB530" i="19" s="1"/>
  <c r="AX530" i="19"/>
  <c r="AY530" i="19" s="1"/>
  <c r="AS530" i="19"/>
  <c r="AO530" i="19"/>
  <c r="AQ530" i="19" s="1"/>
  <c r="AM530" i="19"/>
  <c r="AH530" i="19"/>
  <c r="AD530" i="19"/>
  <c r="AF530" i="19" s="1"/>
  <c r="AB530" i="19"/>
  <c r="W530" i="19"/>
  <c r="S530" i="19"/>
  <c r="U530" i="19" s="1"/>
  <c r="Q530" i="19"/>
  <c r="L530" i="19"/>
  <c r="H530" i="19"/>
  <c r="J530" i="19" s="1"/>
  <c r="F530" i="19"/>
  <c r="E530" i="19"/>
  <c r="D530" i="19"/>
  <c r="BQ534" i="19" l="1"/>
  <c r="BS534" i="19" s="1"/>
  <c r="AN545" i="19"/>
  <c r="AP545" i="19" s="1"/>
  <c r="AR545" i="19" s="1"/>
  <c r="BQ537" i="19"/>
  <c r="BS537" i="19" s="1"/>
  <c r="BG531" i="19"/>
  <c r="BQ533" i="19"/>
  <c r="BS533" i="19" s="1"/>
  <c r="AN541" i="19"/>
  <c r="AP541" i="19" s="1"/>
  <c r="AR541" i="19" s="1"/>
  <c r="BE546" i="19"/>
  <c r="BG546" i="19" s="1"/>
  <c r="AC531" i="19"/>
  <c r="AI531" i="19" s="1"/>
  <c r="AK531" i="19" s="1"/>
  <c r="G545" i="19"/>
  <c r="M545" i="19" s="1"/>
  <c r="O545" i="19" s="1"/>
  <c r="AN546" i="19"/>
  <c r="AP546" i="19" s="1"/>
  <c r="AR546" i="19" s="1"/>
  <c r="AC550" i="19"/>
  <c r="AE550" i="19" s="1"/>
  <c r="BM533" i="19"/>
  <c r="BK534" i="19"/>
  <c r="BM534" i="19" s="1"/>
  <c r="AN537" i="19"/>
  <c r="AT537" i="19" s="1"/>
  <c r="AU537" i="19" s="1"/>
  <c r="AW537" i="19" s="1"/>
  <c r="BE541" i="19"/>
  <c r="BG541" i="19" s="1"/>
  <c r="BE530" i="19"/>
  <c r="BG530" i="19" s="1"/>
  <c r="AC534" i="19"/>
  <c r="AE534" i="19" s="1"/>
  <c r="BQ550" i="19"/>
  <c r="BS550" i="19" s="1"/>
  <c r="BQ545" i="19"/>
  <c r="BS545" i="19" s="1"/>
  <c r="AN554" i="19"/>
  <c r="AP554" i="19" s="1"/>
  <c r="AR554" i="19" s="1"/>
  <c r="BI533" i="19"/>
  <c r="G534" i="19"/>
  <c r="M534" i="19" s="1"/>
  <c r="G546" i="19"/>
  <c r="R546" i="19" s="1"/>
  <c r="T546" i="19" s="1"/>
  <c r="V546" i="19" s="1"/>
  <c r="AC554" i="19"/>
  <c r="AI554" i="19" s="1"/>
  <c r="BQ531" i="19"/>
  <c r="BS531" i="19" s="1"/>
  <c r="AY532" i="19"/>
  <c r="BA532" i="19" s="1"/>
  <c r="BQ532" i="19"/>
  <c r="BS532" i="19" s="1"/>
  <c r="BE534" i="19"/>
  <c r="BG534" i="19" s="1"/>
  <c r="BE535" i="19"/>
  <c r="BG535" i="19" s="1"/>
  <c r="BG536" i="19"/>
  <c r="BH536" i="19"/>
  <c r="BE550" i="19"/>
  <c r="BG550" i="19" s="1"/>
  <c r="BA530" i="19"/>
  <c r="BG532" i="19"/>
  <c r="BI536" i="19"/>
  <c r="AY531" i="19"/>
  <c r="BA531" i="19" s="1"/>
  <c r="BI531" i="19"/>
  <c r="G533" i="19"/>
  <c r="R533" i="19" s="1"/>
  <c r="X533" i="19" s="1"/>
  <c r="Y533" i="19" s="1"/>
  <c r="AA533" i="19" s="1"/>
  <c r="AC535" i="19"/>
  <c r="AE535" i="19" s="1"/>
  <c r="AC537" i="19"/>
  <c r="AE537" i="19" s="1"/>
  <c r="G541" i="19"/>
  <c r="M541" i="19" s="1"/>
  <c r="O541" i="19" s="1"/>
  <c r="BU546" i="19"/>
  <c r="BQ546" i="19"/>
  <c r="BS546" i="19" s="1"/>
  <c r="BI532" i="19"/>
  <c r="BK530" i="19"/>
  <c r="BM530" i="19" s="1"/>
  <c r="BQ530" i="19"/>
  <c r="BS530" i="19" s="1"/>
  <c r="BO533" i="19"/>
  <c r="AY535" i="19"/>
  <c r="BA535" i="19" s="1"/>
  <c r="AN536" i="19"/>
  <c r="AP536" i="19" s="1"/>
  <c r="AR536" i="19" s="1"/>
  <c r="BK532" i="19"/>
  <c r="BM532" i="19" s="1"/>
  <c r="BA533" i="19"/>
  <c r="BQ535" i="19"/>
  <c r="BS535" i="19" s="1"/>
  <c r="BQ536" i="19"/>
  <c r="BS536" i="19" s="1"/>
  <c r="BE537" i="19"/>
  <c r="BG537" i="19" s="1"/>
  <c r="G554" i="19"/>
  <c r="R554" i="19" s="1"/>
  <c r="T554" i="19" s="1"/>
  <c r="V554" i="19" s="1"/>
  <c r="BC530" i="19"/>
  <c r="BT531" i="19"/>
  <c r="J533" i="19"/>
  <c r="U533" i="19"/>
  <c r="BO535" i="19"/>
  <c r="BK535" i="19"/>
  <c r="BM535" i="19" s="1"/>
  <c r="J536" i="19"/>
  <c r="AF536" i="19"/>
  <c r="G537" i="19"/>
  <c r="I537" i="19" s="1"/>
  <c r="BN537" i="19"/>
  <c r="BN541" i="19"/>
  <c r="BG545" i="19"/>
  <c r="BH545" i="19"/>
  <c r="AC530" i="19"/>
  <c r="AE530" i="19" s="1"/>
  <c r="G530" i="19"/>
  <c r="R530" i="19" s="1"/>
  <c r="AN530" i="19"/>
  <c r="BH534" i="19"/>
  <c r="BT536" i="19"/>
  <c r="J537" i="19"/>
  <c r="BC546" i="19"/>
  <c r="AY546" i="19"/>
  <c r="BA546" i="19" s="1"/>
  <c r="BO531" i="19"/>
  <c r="BK531" i="19"/>
  <c r="BM531" i="19" s="1"/>
  <c r="AC532" i="19"/>
  <c r="AI532" i="19" s="1"/>
  <c r="AK532" i="19" s="1"/>
  <c r="G532" i="19"/>
  <c r="I532" i="19" s="1"/>
  <c r="AC533" i="19"/>
  <c r="AI533" i="19" s="1"/>
  <c r="AK533" i="19" s="1"/>
  <c r="AN533" i="19"/>
  <c r="AT533" i="19" s="1"/>
  <c r="AV533" i="19" s="1"/>
  <c r="BC533" i="19"/>
  <c r="BG533" i="19"/>
  <c r="AN534" i="19"/>
  <c r="AP534" i="19" s="1"/>
  <c r="AR534" i="19" s="1"/>
  <c r="BC537" i="19"/>
  <c r="AY537" i="19"/>
  <c r="BA537" i="19" s="1"/>
  <c r="AC541" i="19"/>
  <c r="AE541" i="19" s="1"/>
  <c r="BT554" i="19"/>
  <c r="AF533" i="19"/>
  <c r="AQ533" i="19"/>
  <c r="BC534" i="19"/>
  <c r="AY534" i="19"/>
  <c r="BA534" i="19" s="1"/>
  <c r="G536" i="19"/>
  <c r="M536" i="19" s="1"/>
  <c r="O536" i="19" s="1"/>
  <c r="AC536" i="19"/>
  <c r="AE536" i="19" s="1"/>
  <c r="BB537" i="19"/>
  <c r="AQ541" i="19"/>
  <c r="AQ546" i="19"/>
  <c r="AQ554" i="19"/>
  <c r="BH537" i="19"/>
  <c r="BU541" i="19"/>
  <c r="BO546" i="19"/>
  <c r="BK546" i="19"/>
  <c r="BM546" i="19" s="1"/>
  <c r="G531" i="19"/>
  <c r="M531" i="19" s="1"/>
  <c r="O531" i="19" s="1"/>
  <c r="AN531" i="19"/>
  <c r="AT531" i="19" s="1"/>
  <c r="AV531" i="19" s="1"/>
  <c r="G535" i="19"/>
  <c r="M535" i="19" s="1"/>
  <c r="O535" i="19" s="1"/>
  <c r="AN535" i="19"/>
  <c r="AT535" i="19" s="1"/>
  <c r="AV535" i="19" s="1"/>
  <c r="BC536" i="19"/>
  <c r="AY536" i="19"/>
  <c r="BA536" i="19" s="1"/>
  <c r="BH541" i="19"/>
  <c r="AC545" i="19"/>
  <c r="AE545" i="19" s="1"/>
  <c r="BN546" i="19"/>
  <c r="BN550" i="19"/>
  <c r="AN532" i="19"/>
  <c r="BO537" i="19"/>
  <c r="BK537" i="19"/>
  <c r="BM537" i="19" s="1"/>
  <c r="BO541" i="19"/>
  <c r="BK541" i="19"/>
  <c r="BM541" i="19" s="1"/>
  <c r="BT545" i="19"/>
  <c r="U550" i="19"/>
  <c r="BO536" i="19"/>
  <c r="BK536" i="19"/>
  <c r="BM536" i="19" s="1"/>
  <c r="BS541" i="19"/>
  <c r="AF545" i="19"/>
  <c r="BI545" i="19"/>
  <c r="AC546" i="19"/>
  <c r="AE546" i="19" s="1"/>
  <c r="BH546" i="19"/>
  <c r="BC541" i="19"/>
  <c r="AY541" i="19"/>
  <c r="BA541" i="19" s="1"/>
  <c r="BC545" i="19"/>
  <c r="AY545" i="19"/>
  <c r="BA545" i="19" s="1"/>
  <c r="AQ550" i="19"/>
  <c r="BB550" i="19"/>
  <c r="BO545" i="19"/>
  <c r="BK545" i="19"/>
  <c r="BM545" i="19" s="1"/>
  <c r="AN550" i="19"/>
  <c r="AT550" i="19" s="1"/>
  <c r="AV550" i="19" s="1"/>
  <c r="G550" i="19"/>
  <c r="M550" i="19" s="1"/>
  <c r="O550" i="19" s="1"/>
  <c r="J550" i="19"/>
  <c r="BO550" i="19"/>
  <c r="BK550" i="19"/>
  <c r="BM550" i="19" s="1"/>
  <c r="BT550" i="19"/>
  <c r="BM554" i="19"/>
  <c r="BN554" i="19"/>
  <c r="AY554" i="19"/>
  <c r="BA554" i="19" s="1"/>
  <c r="BC554" i="19"/>
  <c r="BC550" i="19"/>
  <c r="AY550" i="19"/>
  <c r="BA550" i="19" s="1"/>
  <c r="U554" i="19"/>
  <c r="BI554" i="19"/>
  <c r="BE554" i="19"/>
  <c r="BG554" i="19" s="1"/>
  <c r="BO554" i="19"/>
  <c r="BU554" i="19"/>
  <c r="BQ554" i="19"/>
  <c r="BS554" i="19" s="1"/>
  <c r="N534" i="19" l="1"/>
  <c r="AG545" i="19"/>
  <c r="AG530" i="19"/>
  <c r="AG550" i="19"/>
  <c r="AG546" i="19"/>
  <c r="AG534" i="19"/>
  <c r="AG537" i="19"/>
  <c r="AG535" i="19"/>
  <c r="AG541" i="19"/>
  <c r="AG536" i="19"/>
  <c r="I545" i="19"/>
  <c r="R534" i="19"/>
  <c r="T534" i="19" s="1"/>
  <c r="V534" i="19" s="1"/>
  <c r="AI550" i="19"/>
  <c r="AK550" i="19" s="1"/>
  <c r="AT546" i="19"/>
  <c r="AV546" i="19" s="1"/>
  <c r="R541" i="19"/>
  <c r="X541" i="19" s="1"/>
  <c r="Z541" i="19" s="1"/>
  <c r="I534" i="19"/>
  <c r="AT554" i="19"/>
  <c r="AV554" i="19" s="1"/>
  <c r="AT541" i="19"/>
  <c r="AV541" i="19" s="1"/>
  <c r="X554" i="19"/>
  <c r="Z554" i="19" s="1"/>
  <c r="I541" i="19"/>
  <c r="AI537" i="19"/>
  <c r="AK537" i="19" s="1"/>
  <c r="R545" i="19"/>
  <c r="T545" i="19" s="1"/>
  <c r="V545" i="19" s="1"/>
  <c r="AI541" i="19"/>
  <c r="AK541" i="19" s="1"/>
  <c r="AT545" i="19"/>
  <c r="AU545" i="19" s="1"/>
  <c r="AW545" i="19" s="1"/>
  <c r="M530" i="19"/>
  <c r="O530" i="19" s="1"/>
  <c r="M546" i="19"/>
  <c r="O546" i="19" s="1"/>
  <c r="M537" i="19"/>
  <c r="O537" i="19" s="1"/>
  <c r="T533" i="19"/>
  <c r="V533" i="19" s="1"/>
  <c r="AI546" i="19"/>
  <c r="AK546" i="19" s="1"/>
  <c r="AT536" i="19"/>
  <c r="AV536" i="19" s="1"/>
  <c r="AP537" i="19"/>
  <c r="AR537" i="19" s="1"/>
  <c r="AI536" i="19"/>
  <c r="AK536" i="19" s="1"/>
  <c r="AE533" i="19"/>
  <c r="AI534" i="19"/>
  <c r="AK534" i="19" s="1"/>
  <c r="AE554" i="19"/>
  <c r="AE531" i="19"/>
  <c r="AI535" i="19"/>
  <c r="AK535" i="19" s="1"/>
  <c r="I554" i="19"/>
  <c r="M554" i="19"/>
  <c r="O554" i="19" s="1"/>
  <c r="AP533" i="19"/>
  <c r="AR533" i="19" s="1"/>
  <c r="I546" i="19"/>
  <c r="AV537" i="19"/>
  <c r="AP550" i="19"/>
  <c r="AR550" i="19" s="1"/>
  <c r="X546" i="19"/>
  <c r="Z546" i="19" s="1"/>
  <c r="N535" i="19"/>
  <c r="AI530" i="19"/>
  <c r="AJ530" i="19" s="1"/>
  <c r="I533" i="19"/>
  <c r="AU550" i="19"/>
  <c r="AW550" i="19" s="1"/>
  <c r="AJ532" i="19"/>
  <c r="N531" i="19"/>
  <c r="M533" i="19"/>
  <c r="N533" i="19" s="1"/>
  <c r="O534" i="19"/>
  <c r="N541" i="19"/>
  <c r="AI545" i="19"/>
  <c r="AK545" i="19" s="1"/>
  <c r="R536" i="19"/>
  <c r="N536" i="19"/>
  <c r="AE532" i="19"/>
  <c r="AT534" i="19"/>
  <c r="AV534" i="19" s="1"/>
  <c r="Z533" i="19"/>
  <c r="I530" i="19"/>
  <c r="AK554" i="19"/>
  <c r="AJ554" i="19"/>
  <c r="R550" i="19"/>
  <c r="N550" i="19"/>
  <c r="I550" i="19"/>
  <c r="R535" i="19"/>
  <c r="I535" i="19"/>
  <c r="AJ531" i="19"/>
  <c r="R531" i="19"/>
  <c r="I531" i="19"/>
  <c r="K532" i="19"/>
  <c r="T530" i="19"/>
  <c r="V530" i="19" s="1"/>
  <c r="X530" i="19"/>
  <c r="Z530" i="19" s="1"/>
  <c r="K537" i="19"/>
  <c r="I536" i="19"/>
  <c r="AU533" i="19"/>
  <c r="AW533" i="19" s="1"/>
  <c r="N545" i="19"/>
  <c r="AT532" i="19"/>
  <c r="AV532" i="19" s="1"/>
  <c r="AP532" i="19"/>
  <c r="AR532" i="19" s="1"/>
  <c r="R532" i="19"/>
  <c r="M532" i="19"/>
  <c r="AP530" i="19"/>
  <c r="AR530" i="19" s="1"/>
  <c r="AT530" i="19"/>
  <c r="AV530" i="19" s="1"/>
  <c r="R537" i="19"/>
  <c r="AJ533" i="19"/>
  <c r="AP535" i="19"/>
  <c r="AR535" i="19" s="1"/>
  <c r="AU535" i="19"/>
  <c r="AW535" i="19" s="1"/>
  <c r="AP531" i="19"/>
  <c r="AR531" i="19" s="1"/>
  <c r="AU531" i="19"/>
  <c r="AW531" i="19" s="1"/>
  <c r="K545" i="19" l="1"/>
  <c r="P534" i="19"/>
  <c r="AL532" i="19"/>
  <c r="AG531" i="19"/>
  <c r="AL533" i="19"/>
  <c r="AL554" i="19"/>
  <c r="AG554" i="19"/>
  <c r="AG532" i="19"/>
  <c r="AL530" i="19"/>
  <c r="AL531" i="19"/>
  <c r="AG533" i="19"/>
  <c r="K534" i="19"/>
  <c r="AJ550" i="19"/>
  <c r="AU541" i="19"/>
  <c r="AW541" i="19" s="1"/>
  <c r="X534" i="19"/>
  <c r="Z534" i="19" s="1"/>
  <c r="AJ537" i="19"/>
  <c r="K554" i="19"/>
  <c r="K546" i="19"/>
  <c r="K533" i="19"/>
  <c r="K541" i="19"/>
  <c r="AJ534" i="19"/>
  <c r="P531" i="19"/>
  <c r="T541" i="19"/>
  <c r="V541" i="19" s="1"/>
  <c r="Y541" i="19"/>
  <c r="AA541" i="19" s="1"/>
  <c r="N537" i="19"/>
  <c r="AU546" i="19"/>
  <c r="AW546" i="19" s="1"/>
  <c r="AJ546" i="19"/>
  <c r="AU554" i="19"/>
  <c r="AW554" i="19" s="1"/>
  <c r="AJ541" i="19"/>
  <c r="N546" i="19"/>
  <c r="X545" i="19"/>
  <c r="Z545" i="19" s="1"/>
  <c r="Y554" i="19"/>
  <c r="AA554" i="19" s="1"/>
  <c r="AV545" i="19"/>
  <c r="AJ535" i="19"/>
  <c r="N530" i="19"/>
  <c r="AU536" i="19"/>
  <c r="AW536" i="19" s="1"/>
  <c r="N554" i="19"/>
  <c r="P535" i="19"/>
  <c r="AJ536" i="19"/>
  <c r="P533" i="19"/>
  <c r="AU534" i="19"/>
  <c r="AW534" i="19" s="1"/>
  <c r="Y530" i="19"/>
  <c r="AA530" i="19" s="1"/>
  <c r="AK530" i="19"/>
  <c r="Y546" i="19"/>
  <c r="AA546" i="19" s="1"/>
  <c r="O533" i="19"/>
  <c r="AJ545" i="19"/>
  <c r="O532" i="19"/>
  <c r="N532" i="19"/>
  <c r="K535" i="19"/>
  <c r="K536" i="19"/>
  <c r="K531" i="19"/>
  <c r="T535" i="19"/>
  <c r="V535" i="19" s="1"/>
  <c r="X535" i="19"/>
  <c r="Z535" i="19" s="1"/>
  <c r="K550" i="19"/>
  <c r="P536" i="19"/>
  <c r="P541" i="19"/>
  <c r="T537" i="19"/>
  <c r="V537" i="19" s="1"/>
  <c r="X537" i="19"/>
  <c r="Z537" i="19" s="1"/>
  <c r="AU530" i="19"/>
  <c r="AW530" i="19" s="1"/>
  <c r="AU532" i="19"/>
  <c r="AW532" i="19" s="1"/>
  <c r="T531" i="19"/>
  <c r="V531" i="19" s="1"/>
  <c r="X531" i="19"/>
  <c r="Z531" i="19" s="1"/>
  <c r="P550" i="19"/>
  <c r="K530" i="19"/>
  <c r="T536" i="19"/>
  <c r="V536" i="19" s="1"/>
  <c r="X536" i="19"/>
  <c r="Z536" i="19" s="1"/>
  <c r="P545" i="19"/>
  <c r="X532" i="19"/>
  <c r="Z532" i="19" s="1"/>
  <c r="T532" i="19"/>
  <c r="V532" i="19" s="1"/>
  <c r="T550" i="19"/>
  <c r="V550" i="19" s="1"/>
  <c r="X550" i="19"/>
  <c r="Z550" i="19" s="1"/>
  <c r="AL546" i="19" l="1"/>
  <c r="AL545" i="19"/>
  <c r="AL534" i="19"/>
  <c r="AL550" i="19"/>
  <c r="AL536" i="19"/>
  <c r="AL537" i="19"/>
  <c r="AL535" i="19"/>
  <c r="AL541" i="19"/>
  <c r="P537" i="19"/>
  <c r="Y534" i="19"/>
  <c r="AA534" i="19" s="1"/>
  <c r="Y545" i="19"/>
  <c r="AA545" i="19" s="1"/>
  <c r="P554" i="19"/>
  <c r="P546" i="19"/>
  <c r="P530" i="19"/>
  <c r="Y537" i="19"/>
  <c r="AA537" i="19" s="1"/>
  <c r="Y550" i="19"/>
  <c r="AA550" i="19" s="1"/>
  <c r="Y536" i="19"/>
  <c r="AA536" i="19" s="1"/>
  <c r="Y532" i="19"/>
  <c r="AA532" i="19" s="1"/>
  <c r="Y531" i="19"/>
  <c r="AA531" i="19" s="1"/>
  <c r="P532" i="19"/>
  <c r="Y535" i="19"/>
  <c r="AA535" i="19" s="1"/>
  <c r="BR372" i="19" l="1"/>
  <c r="BT372" i="19" s="1"/>
  <c r="BP372" i="19"/>
  <c r="BU372" i="19" s="1"/>
  <c r="BL372" i="19"/>
  <c r="BJ372" i="19"/>
  <c r="BK372" i="19" s="1"/>
  <c r="BF372" i="19"/>
  <c r="BH372" i="19" s="1"/>
  <c r="BD372" i="19"/>
  <c r="BI372" i="19" s="1"/>
  <c r="AZ372" i="19"/>
  <c r="AX372" i="19"/>
  <c r="BC372" i="19" s="1"/>
  <c r="AS372" i="19"/>
  <c r="AO372" i="19"/>
  <c r="AQ372" i="19" s="1"/>
  <c r="AM372" i="19"/>
  <c r="AH372" i="19"/>
  <c r="AD372" i="19"/>
  <c r="AF372" i="19" s="1"/>
  <c r="AB372" i="19"/>
  <c r="W372" i="19"/>
  <c r="S372" i="19"/>
  <c r="U372" i="19" s="1"/>
  <c r="Q372" i="19"/>
  <c r="L372" i="19"/>
  <c r="H372" i="19"/>
  <c r="J372" i="19" s="1"/>
  <c r="F372" i="19"/>
  <c r="E372" i="19"/>
  <c r="D372" i="19"/>
  <c r="BR371" i="19"/>
  <c r="BT371" i="19" s="1"/>
  <c r="BP371" i="19"/>
  <c r="BU371" i="19" s="1"/>
  <c r="BL371" i="19"/>
  <c r="BJ371" i="19"/>
  <c r="BO371" i="19" s="1"/>
  <c r="BF371" i="19"/>
  <c r="BH371" i="19" s="1"/>
  <c r="BD371" i="19"/>
  <c r="BI371" i="19" s="1"/>
  <c r="AZ371" i="19"/>
  <c r="AX371" i="19"/>
  <c r="BC371" i="19" s="1"/>
  <c r="AS371" i="19"/>
  <c r="AO371" i="19"/>
  <c r="AQ371" i="19" s="1"/>
  <c r="AM371" i="19"/>
  <c r="AH371" i="19"/>
  <c r="AD371" i="19"/>
  <c r="AF371" i="19" s="1"/>
  <c r="AB371" i="19"/>
  <c r="W371" i="19"/>
  <c r="S371" i="19"/>
  <c r="U371" i="19" s="1"/>
  <c r="Q371" i="19"/>
  <c r="L371" i="19"/>
  <c r="H371" i="19"/>
  <c r="J371" i="19" s="1"/>
  <c r="F371" i="19"/>
  <c r="E371" i="19"/>
  <c r="D371" i="19"/>
  <c r="BR370" i="19"/>
  <c r="BP370" i="19"/>
  <c r="BL370" i="19"/>
  <c r="BJ370" i="19"/>
  <c r="BO370" i="19" s="1"/>
  <c r="BF370" i="19"/>
  <c r="BH370" i="19" s="1"/>
  <c r="BD370" i="19"/>
  <c r="AZ370" i="19"/>
  <c r="BB370" i="19" s="1"/>
  <c r="AX370" i="19"/>
  <c r="AY370" i="19" s="1"/>
  <c r="AS370" i="19"/>
  <c r="AO370" i="19"/>
  <c r="AQ370" i="19" s="1"/>
  <c r="AM370" i="19"/>
  <c r="AH370" i="19"/>
  <c r="AD370" i="19"/>
  <c r="AB370" i="19"/>
  <c r="W370" i="19"/>
  <c r="S370" i="19"/>
  <c r="U370" i="19" s="1"/>
  <c r="Q370" i="19"/>
  <c r="L370" i="19"/>
  <c r="H370" i="19"/>
  <c r="F370" i="19"/>
  <c r="E370" i="19"/>
  <c r="D370" i="19"/>
  <c r="BR369" i="19"/>
  <c r="BT369" i="19" s="1"/>
  <c r="BP369" i="19"/>
  <c r="BL369" i="19"/>
  <c r="BN369" i="19" s="1"/>
  <c r="BJ369" i="19"/>
  <c r="BK369" i="19" s="1"/>
  <c r="BF369" i="19"/>
  <c r="BH369" i="19" s="1"/>
  <c r="BD369" i="19"/>
  <c r="AZ369" i="19"/>
  <c r="AX369" i="19"/>
  <c r="BC369" i="19" s="1"/>
  <c r="AS369" i="19"/>
  <c r="AO369" i="19"/>
  <c r="AQ369" i="19" s="1"/>
  <c r="AM369" i="19"/>
  <c r="AH369" i="19"/>
  <c r="AD369" i="19"/>
  <c r="AB369" i="19"/>
  <c r="W369" i="19"/>
  <c r="S369" i="19"/>
  <c r="U369" i="19" s="1"/>
  <c r="Q369" i="19"/>
  <c r="L369" i="19"/>
  <c r="H369" i="19"/>
  <c r="J369" i="19" s="1"/>
  <c r="F369" i="19"/>
  <c r="E369" i="19"/>
  <c r="D369" i="19"/>
  <c r="BR368" i="19"/>
  <c r="BP368" i="19"/>
  <c r="BQ368" i="19" s="1"/>
  <c r="BL368" i="19"/>
  <c r="BN368" i="19" s="1"/>
  <c r="BJ368" i="19"/>
  <c r="BF368" i="19"/>
  <c r="BH368" i="19" s="1"/>
  <c r="BD368" i="19"/>
  <c r="BE368" i="19" s="1"/>
  <c r="AZ368" i="19"/>
  <c r="BB368" i="19" s="1"/>
  <c r="AX368" i="19"/>
  <c r="BC368" i="19" s="1"/>
  <c r="AS368" i="19"/>
  <c r="AO368" i="19"/>
  <c r="AQ368" i="19" s="1"/>
  <c r="AM368" i="19"/>
  <c r="AH368" i="19"/>
  <c r="AD368" i="19"/>
  <c r="AF368" i="19" s="1"/>
  <c r="AB368" i="19"/>
  <c r="W368" i="19"/>
  <c r="S368" i="19"/>
  <c r="U368" i="19" s="1"/>
  <c r="Q368" i="19"/>
  <c r="L368" i="19"/>
  <c r="H368" i="19"/>
  <c r="J368" i="19" s="1"/>
  <c r="F368" i="19"/>
  <c r="E368" i="19"/>
  <c r="D368" i="19"/>
  <c r="BR366" i="19"/>
  <c r="BT366" i="19" s="1"/>
  <c r="BP366" i="19"/>
  <c r="BU366" i="19" s="1"/>
  <c r="BL366" i="19"/>
  <c r="BN366" i="19" s="1"/>
  <c r="BJ366" i="19"/>
  <c r="BK366" i="19" s="1"/>
  <c r="BF366" i="19"/>
  <c r="BD366" i="19"/>
  <c r="BE366" i="19" s="1"/>
  <c r="AZ366" i="19"/>
  <c r="BB366" i="19" s="1"/>
  <c r="AX366" i="19"/>
  <c r="AS366" i="19"/>
  <c r="AO366" i="19"/>
  <c r="AQ366" i="19" s="1"/>
  <c r="AM366" i="19"/>
  <c r="AH366" i="19"/>
  <c r="AD366" i="19"/>
  <c r="AF366" i="19" s="1"/>
  <c r="AB366" i="19"/>
  <c r="W366" i="19"/>
  <c r="S366" i="19"/>
  <c r="U366" i="19" s="1"/>
  <c r="Q366" i="19"/>
  <c r="L366" i="19"/>
  <c r="H366" i="19"/>
  <c r="J366" i="19" s="1"/>
  <c r="F366" i="19"/>
  <c r="E366" i="19"/>
  <c r="D366" i="19"/>
  <c r="BR365" i="19"/>
  <c r="BT365" i="19" s="1"/>
  <c r="BP365" i="19"/>
  <c r="BL365" i="19"/>
  <c r="BJ365" i="19"/>
  <c r="BO365" i="19" s="1"/>
  <c r="BF365" i="19"/>
  <c r="BH365" i="19" s="1"/>
  <c r="BD365" i="19"/>
  <c r="AZ365" i="19"/>
  <c r="AX365" i="19"/>
  <c r="BC365" i="19" s="1"/>
  <c r="AS365" i="19"/>
  <c r="AO365" i="19"/>
  <c r="AQ365" i="19" s="1"/>
  <c r="AM365" i="19"/>
  <c r="AH365" i="19"/>
  <c r="AD365" i="19"/>
  <c r="AF365" i="19" s="1"/>
  <c r="AB365" i="19"/>
  <c r="W365" i="19"/>
  <c r="S365" i="19"/>
  <c r="U365" i="19" s="1"/>
  <c r="Q365" i="19"/>
  <c r="L365" i="19"/>
  <c r="H365" i="19"/>
  <c r="J365" i="19" s="1"/>
  <c r="F365" i="19"/>
  <c r="E365" i="19"/>
  <c r="D365" i="19"/>
  <c r="BR364" i="19"/>
  <c r="BT364" i="19" s="1"/>
  <c r="BP364" i="19"/>
  <c r="BL364" i="19"/>
  <c r="BJ364" i="19"/>
  <c r="BO364" i="19" s="1"/>
  <c r="BF364" i="19"/>
  <c r="BH364" i="19" s="1"/>
  <c r="BD364" i="19"/>
  <c r="AZ364" i="19"/>
  <c r="BB364" i="19" s="1"/>
  <c r="AX364" i="19"/>
  <c r="AY364" i="19" s="1"/>
  <c r="AS364" i="19"/>
  <c r="AO364" i="19"/>
  <c r="AM364" i="19"/>
  <c r="AH364" i="19"/>
  <c r="AD364" i="19"/>
  <c r="AF364" i="19" s="1"/>
  <c r="AB364" i="19"/>
  <c r="W364" i="19"/>
  <c r="S364" i="19"/>
  <c r="Q364" i="19"/>
  <c r="L364" i="19"/>
  <c r="H364" i="19"/>
  <c r="J364" i="19" s="1"/>
  <c r="F364" i="19"/>
  <c r="E364" i="19"/>
  <c r="D364" i="19"/>
  <c r="BR363" i="19"/>
  <c r="BT363" i="19" s="1"/>
  <c r="BP363" i="19"/>
  <c r="BU363" i="19" s="1"/>
  <c r="BL363" i="19"/>
  <c r="BJ363" i="19"/>
  <c r="BK363" i="19" s="1"/>
  <c r="BF363" i="19"/>
  <c r="BH363" i="19" s="1"/>
  <c r="BD363" i="19"/>
  <c r="BE363" i="19" s="1"/>
  <c r="AZ363" i="19"/>
  <c r="BB363" i="19" s="1"/>
  <c r="AX363" i="19"/>
  <c r="BC363" i="19" s="1"/>
  <c r="AS363" i="19"/>
  <c r="AO363" i="19"/>
  <c r="AM363" i="19"/>
  <c r="AH363" i="19"/>
  <c r="AD363" i="19"/>
  <c r="AF363" i="19" s="1"/>
  <c r="AB363" i="19"/>
  <c r="W363" i="19"/>
  <c r="S363" i="19"/>
  <c r="Q363" i="19"/>
  <c r="L363" i="19"/>
  <c r="H363" i="19"/>
  <c r="J363" i="19" s="1"/>
  <c r="F363" i="19"/>
  <c r="E363" i="19"/>
  <c r="D363" i="19"/>
  <c r="BR362" i="19"/>
  <c r="BT362" i="19" s="1"/>
  <c r="BP362" i="19"/>
  <c r="BU362" i="19" s="1"/>
  <c r="BL362" i="19"/>
  <c r="BN362" i="19" s="1"/>
  <c r="BJ362" i="19"/>
  <c r="BK362" i="19" s="1"/>
  <c r="BF362" i="19"/>
  <c r="BH362" i="19" s="1"/>
  <c r="BD362" i="19"/>
  <c r="BE362" i="19" s="1"/>
  <c r="AZ362" i="19"/>
  <c r="BB362" i="19" s="1"/>
  <c r="AX362" i="19"/>
  <c r="BC362" i="19" s="1"/>
  <c r="AS362" i="19"/>
  <c r="AO362" i="19"/>
  <c r="AM362" i="19"/>
  <c r="AH362" i="19"/>
  <c r="AD362" i="19"/>
  <c r="AF362" i="19" s="1"/>
  <c r="AB362" i="19"/>
  <c r="W362" i="19"/>
  <c r="S362" i="19"/>
  <c r="Q362" i="19"/>
  <c r="L362" i="19"/>
  <c r="H362" i="19"/>
  <c r="J362" i="19" s="1"/>
  <c r="F362" i="19"/>
  <c r="E362" i="19"/>
  <c r="D362" i="19"/>
  <c r="BR360" i="19"/>
  <c r="BT360" i="19" s="1"/>
  <c r="BP360" i="19"/>
  <c r="BL360" i="19"/>
  <c r="BN360" i="19" s="1"/>
  <c r="BJ360" i="19"/>
  <c r="BK360" i="19" s="1"/>
  <c r="BF360" i="19"/>
  <c r="BH360" i="19" s="1"/>
  <c r="BD360" i="19"/>
  <c r="BI360" i="19" s="1"/>
  <c r="AZ360" i="19"/>
  <c r="BB360" i="19" s="1"/>
  <c r="AX360" i="19"/>
  <c r="AY360" i="19" s="1"/>
  <c r="AS360" i="19"/>
  <c r="AO360" i="19"/>
  <c r="AM360" i="19"/>
  <c r="AH360" i="19"/>
  <c r="AD360" i="19"/>
  <c r="AF360" i="19" s="1"/>
  <c r="AB360" i="19"/>
  <c r="W360" i="19"/>
  <c r="S360" i="19"/>
  <c r="Q360" i="19"/>
  <c r="L360" i="19"/>
  <c r="H360" i="19"/>
  <c r="J360" i="19" s="1"/>
  <c r="F360" i="19"/>
  <c r="E360" i="19"/>
  <c r="D360" i="19"/>
  <c r="BR359" i="19"/>
  <c r="BT359" i="19" s="1"/>
  <c r="BP359" i="19"/>
  <c r="BU359" i="19" s="1"/>
  <c r="BL359" i="19"/>
  <c r="BN359" i="19" s="1"/>
  <c r="BJ359" i="19"/>
  <c r="BO359" i="19" s="1"/>
  <c r="BF359" i="19"/>
  <c r="BH359" i="19" s="1"/>
  <c r="BD359" i="19"/>
  <c r="BI359" i="19" s="1"/>
  <c r="AZ359" i="19"/>
  <c r="BB359" i="19" s="1"/>
  <c r="AX359" i="19"/>
  <c r="AY359" i="19" s="1"/>
  <c r="AS359" i="19"/>
  <c r="AO359" i="19"/>
  <c r="AQ359" i="19" s="1"/>
  <c r="AM359" i="19"/>
  <c r="AH359" i="19"/>
  <c r="AD359" i="19"/>
  <c r="AF359" i="19" s="1"/>
  <c r="AB359" i="19"/>
  <c r="W359" i="19"/>
  <c r="S359" i="19"/>
  <c r="U359" i="19" s="1"/>
  <c r="Q359" i="19"/>
  <c r="L359" i="19"/>
  <c r="H359" i="19"/>
  <c r="F359" i="19"/>
  <c r="E359" i="19"/>
  <c r="D359" i="19"/>
  <c r="BR358" i="19"/>
  <c r="BT358" i="19" s="1"/>
  <c r="BP358" i="19"/>
  <c r="BU358" i="19" s="1"/>
  <c r="BL358" i="19"/>
  <c r="BN358" i="19" s="1"/>
  <c r="BJ358" i="19"/>
  <c r="BK358" i="19" s="1"/>
  <c r="BF358" i="19"/>
  <c r="BH358" i="19" s="1"/>
  <c r="BD358" i="19"/>
  <c r="BI358" i="19" s="1"/>
  <c r="AZ358" i="19"/>
  <c r="BB358" i="19" s="1"/>
  <c r="AX358" i="19"/>
  <c r="AY358" i="19" s="1"/>
  <c r="AS358" i="19"/>
  <c r="AO358" i="19"/>
  <c r="AQ358" i="19" s="1"/>
  <c r="AM358" i="19"/>
  <c r="AH358" i="19"/>
  <c r="AD358" i="19"/>
  <c r="AF358" i="19" s="1"/>
  <c r="AB358" i="19"/>
  <c r="W358" i="19"/>
  <c r="S358" i="19"/>
  <c r="U358" i="19" s="1"/>
  <c r="Q358" i="19"/>
  <c r="L358" i="19"/>
  <c r="H358" i="19"/>
  <c r="J358" i="19" s="1"/>
  <c r="F358" i="19"/>
  <c r="E358" i="19"/>
  <c r="D358" i="19"/>
  <c r="BR357" i="19"/>
  <c r="BT357" i="19" s="1"/>
  <c r="BP357" i="19"/>
  <c r="BL357" i="19"/>
  <c r="BJ357" i="19"/>
  <c r="BO357" i="19" s="1"/>
  <c r="BF357" i="19"/>
  <c r="BH357" i="19" s="1"/>
  <c r="BD357" i="19"/>
  <c r="AZ357" i="19"/>
  <c r="BB357" i="19" s="1"/>
  <c r="AX357" i="19"/>
  <c r="AY357" i="19" s="1"/>
  <c r="AS357" i="19"/>
  <c r="AO357" i="19"/>
  <c r="AQ357" i="19" s="1"/>
  <c r="AM357" i="19"/>
  <c r="AH357" i="19"/>
  <c r="AD357" i="19"/>
  <c r="AB357" i="19"/>
  <c r="W357" i="19"/>
  <c r="S357" i="19"/>
  <c r="U357" i="19" s="1"/>
  <c r="Q357" i="19"/>
  <c r="L357" i="19"/>
  <c r="H357" i="19"/>
  <c r="F357" i="19"/>
  <c r="E357" i="19"/>
  <c r="D357" i="19"/>
  <c r="BR356" i="19"/>
  <c r="BT356" i="19" s="1"/>
  <c r="BP356" i="19"/>
  <c r="BL356" i="19"/>
  <c r="BN356" i="19" s="1"/>
  <c r="BJ356" i="19"/>
  <c r="BK356" i="19" s="1"/>
  <c r="BF356" i="19"/>
  <c r="BH356" i="19" s="1"/>
  <c r="BD356" i="19"/>
  <c r="AZ356" i="19"/>
  <c r="AX356" i="19"/>
  <c r="BC356" i="19" s="1"/>
  <c r="AS356" i="19"/>
  <c r="AO356" i="19"/>
  <c r="AQ356" i="19" s="1"/>
  <c r="AM356" i="19"/>
  <c r="AH356" i="19"/>
  <c r="AD356" i="19"/>
  <c r="AF356" i="19" s="1"/>
  <c r="AB356" i="19"/>
  <c r="W356" i="19"/>
  <c r="S356" i="19"/>
  <c r="Q356" i="19"/>
  <c r="L356" i="19"/>
  <c r="H356" i="19"/>
  <c r="J356" i="19" s="1"/>
  <c r="F356" i="19"/>
  <c r="E356" i="19"/>
  <c r="D356" i="19"/>
  <c r="BR355" i="19"/>
  <c r="BT355" i="19" s="1"/>
  <c r="BP355" i="19"/>
  <c r="BU355" i="19" s="1"/>
  <c r="BL355" i="19"/>
  <c r="BN355" i="19" s="1"/>
  <c r="BJ355" i="19"/>
  <c r="BO355" i="19" s="1"/>
  <c r="BF355" i="19"/>
  <c r="BH355" i="19" s="1"/>
  <c r="BD355" i="19"/>
  <c r="BI355" i="19" s="1"/>
  <c r="AZ355" i="19"/>
  <c r="BB355" i="19" s="1"/>
  <c r="AX355" i="19"/>
  <c r="BC355" i="19" s="1"/>
  <c r="AS355" i="19"/>
  <c r="AO355" i="19"/>
  <c r="AM355" i="19"/>
  <c r="AH355" i="19"/>
  <c r="AD355" i="19"/>
  <c r="AF355" i="19" s="1"/>
  <c r="AB355" i="19"/>
  <c r="W355" i="19"/>
  <c r="S355" i="19"/>
  <c r="Q355" i="19"/>
  <c r="L355" i="19"/>
  <c r="H355" i="19"/>
  <c r="J355" i="19" s="1"/>
  <c r="F355" i="19"/>
  <c r="E355" i="19"/>
  <c r="D355" i="19"/>
  <c r="BR354" i="19"/>
  <c r="BT354" i="19" s="1"/>
  <c r="BP354" i="19"/>
  <c r="BQ354" i="19" s="1"/>
  <c r="BL354" i="19"/>
  <c r="BN354" i="19" s="1"/>
  <c r="BJ354" i="19"/>
  <c r="BO354" i="19" s="1"/>
  <c r="BF354" i="19"/>
  <c r="BH354" i="19" s="1"/>
  <c r="BD354" i="19"/>
  <c r="BE354" i="19" s="1"/>
  <c r="AZ354" i="19"/>
  <c r="BB354" i="19" s="1"/>
  <c r="AX354" i="19"/>
  <c r="BC354" i="19" s="1"/>
  <c r="AS354" i="19"/>
  <c r="AO354" i="19"/>
  <c r="AM354" i="19"/>
  <c r="AH354" i="19"/>
  <c r="AD354" i="19"/>
  <c r="AF354" i="19" s="1"/>
  <c r="AB354" i="19"/>
  <c r="W354" i="19"/>
  <c r="S354" i="19"/>
  <c r="U354" i="19" s="1"/>
  <c r="Q354" i="19"/>
  <c r="L354" i="19"/>
  <c r="H354" i="19"/>
  <c r="F354" i="19"/>
  <c r="E354" i="19"/>
  <c r="D354" i="19"/>
  <c r="BR353" i="19"/>
  <c r="BP353" i="19"/>
  <c r="BU353" i="19" s="1"/>
  <c r="BL353" i="19"/>
  <c r="BJ353" i="19"/>
  <c r="BF353" i="19"/>
  <c r="BD353" i="19"/>
  <c r="BI353" i="19" s="1"/>
  <c r="AZ353" i="19"/>
  <c r="BB353" i="19" s="1"/>
  <c r="AX353" i="19"/>
  <c r="AS353" i="19"/>
  <c r="AO353" i="19"/>
  <c r="AQ353" i="19" s="1"/>
  <c r="AM353" i="19"/>
  <c r="AH353" i="19"/>
  <c r="AD353" i="19"/>
  <c r="AF353" i="19" s="1"/>
  <c r="AB353" i="19"/>
  <c r="W353" i="19"/>
  <c r="S353" i="19"/>
  <c r="U353" i="19" s="1"/>
  <c r="Q353" i="19"/>
  <c r="L353" i="19"/>
  <c r="H353" i="19"/>
  <c r="J353" i="19" s="1"/>
  <c r="F353" i="19"/>
  <c r="E353" i="19"/>
  <c r="D353" i="19"/>
  <c r="BR352" i="19"/>
  <c r="BT352" i="19" s="1"/>
  <c r="BP352" i="19"/>
  <c r="BQ352" i="19" s="1"/>
  <c r="BL352" i="19"/>
  <c r="BN352" i="19" s="1"/>
  <c r="BJ352" i="19"/>
  <c r="BF352" i="19"/>
  <c r="BH352" i="19" s="1"/>
  <c r="BD352" i="19"/>
  <c r="BE352" i="19" s="1"/>
  <c r="AZ352" i="19"/>
  <c r="BB352" i="19" s="1"/>
  <c r="AX352" i="19"/>
  <c r="AS352" i="19"/>
  <c r="AO352" i="19"/>
  <c r="AQ352" i="19" s="1"/>
  <c r="AM352" i="19"/>
  <c r="AH352" i="19"/>
  <c r="AD352" i="19"/>
  <c r="AF352" i="19" s="1"/>
  <c r="AB352" i="19"/>
  <c r="W352" i="19"/>
  <c r="S352" i="19"/>
  <c r="U352" i="19" s="1"/>
  <c r="Q352" i="19"/>
  <c r="L352" i="19"/>
  <c r="H352" i="19"/>
  <c r="J352" i="19" s="1"/>
  <c r="F352" i="19"/>
  <c r="E352" i="19"/>
  <c r="D352" i="19"/>
  <c r="BR351" i="19"/>
  <c r="BT351" i="19" s="1"/>
  <c r="BP351" i="19"/>
  <c r="BU351" i="19" s="1"/>
  <c r="BL351" i="19"/>
  <c r="BN351" i="19" s="1"/>
  <c r="BJ351" i="19"/>
  <c r="BK351" i="19" s="1"/>
  <c r="BF351" i="19"/>
  <c r="BH351" i="19" s="1"/>
  <c r="BD351" i="19"/>
  <c r="BI351" i="19" s="1"/>
  <c r="AZ351" i="19"/>
  <c r="BB351" i="19" s="1"/>
  <c r="AX351" i="19"/>
  <c r="AY351" i="19" s="1"/>
  <c r="AS351" i="19"/>
  <c r="AO351" i="19"/>
  <c r="AQ351" i="19" s="1"/>
  <c r="AM351" i="19"/>
  <c r="AH351" i="19"/>
  <c r="AD351" i="19"/>
  <c r="AF351" i="19" s="1"/>
  <c r="AB351" i="19"/>
  <c r="W351" i="19"/>
  <c r="S351" i="19"/>
  <c r="U351" i="19" s="1"/>
  <c r="Q351" i="19"/>
  <c r="L351" i="19"/>
  <c r="H351" i="19"/>
  <c r="J351" i="19" s="1"/>
  <c r="F351" i="19"/>
  <c r="E351" i="19"/>
  <c r="D351" i="19"/>
  <c r="BR350" i="19"/>
  <c r="BT350" i="19" s="1"/>
  <c r="BP350" i="19"/>
  <c r="BU350" i="19" s="1"/>
  <c r="BL350" i="19"/>
  <c r="BN350" i="19" s="1"/>
  <c r="BJ350" i="19"/>
  <c r="BK350" i="19" s="1"/>
  <c r="BF350" i="19"/>
  <c r="BH350" i="19" s="1"/>
  <c r="BD350" i="19"/>
  <c r="BI350" i="19" s="1"/>
  <c r="AZ350" i="19"/>
  <c r="BB350" i="19" s="1"/>
  <c r="AX350" i="19"/>
  <c r="AY350" i="19" s="1"/>
  <c r="AS350" i="19"/>
  <c r="AO350" i="19"/>
  <c r="AQ350" i="19" s="1"/>
  <c r="AM350" i="19"/>
  <c r="AH350" i="19"/>
  <c r="AD350" i="19"/>
  <c r="AF350" i="19" s="1"/>
  <c r="AB350" i="19"/>
  <c r="W350" i="19"/>
  <c r="S350" i="19"/>
  <c r="U350" i="19" s="1"/>
  <c r="Q350" i="19"/>
  <c r="L350" i="19"/>
  <c r="H350" i="19"/>
  <c r="J350" i="19" s="1"/>
  <c r="F350" i="19"/>
  <c r="E350" i="19"/>
  <c r="D350" i="19"/>
  <c r="BR349" i="19"/>
  <c r="BT349" i="19" s="1"/>
  <c r="BP349" i="19"/>
  <c r="BL349" i="19"/>
  <c r="BJ349" i="19"/>
  <c r="BO349" i="19" s="1"/>
  <c r="BF349" i="19"/>
  <c r="BH349" i="19" s="1"/>
  <c r="BD349" i="19"/>
  <c r="AZ349" i="19"/>
  <c r="AX349" i="19"/>
  <c r="BC349" i="19" s="1"/>
  <c r="AS349" i="19"/>
  <c r="AO349" i="19"/>
  <c r="AQ349" i="19" s="1"/>
  <c r="AM349" i="19"/>
  <c r="AH349" i="19"/>
  <c r="AD349" i="19"/>
  <c r="AF349" i="19" s="1"/>
  <c r="AB349" i="19"/>
  <c r="W349" i="19"/>
  <c r="S349" i="19"/>
  <c r="U349" i="19" s="1"/>
  <c r="Q349" i="19"/>
  <c r="L349" i="19"/>
  <c r="H349" i="19"/>
  <c r="J349" i="19" s="1"/>
  <c r="F349" i="19"/>
  <c r="E349" i="19"/>
  <c r="D349" i="19"/>
  <c r="BR348" i="19"/>
  <c r="BT348" i="19" s="1"/>
  <c r="BP348" i="19"/>
  <c r="BL348" i="19"/>
  <c r="BJ348" i="19"/>
  <c r="BK348" i="19" s="1"/>
  <c r="BF348" i="19"/>
  <c r="BH348" i="19" s="1"/>
  <c r="BD348" i="19"/>
  <c r="AZ348" i="19"/>
  <c r="AX348" i="19"/>
  <c r="AY348" i="19" s="1"/>
  <c r="AS348" i="19"/>
  <c r="AO348" i="19"/>
  <c r="AQ348" i="19" s="1"/>
  <c r="AM348" i="19"/>
  <c r="AH348" i="19"/>
  <c r="AD348" i="19"/>
  <c r="AF348" i="19" s="1"/>
  <c r="AB348" i="19"/>
  <c r="W348" i="19"/>
  <c r="S348" i="19"/>
  <c r="U348" i="19" s="1"/>
  <c r="Q348" i="19"/>
  <c r="L348" i="19"/>
  <c r="H348" i="19"/>
  <c r="J348" i="19" s="1"/>
  <c r="F348" i="19"/>
  <c r="E348" i="19"/>
  <c r="D348" i="19"/>
  <c r="BR347" i="19"/>
  <c r="BT347" i="19" s="1"/>
  <c r="BP347" i="19"/>
  <c r="BL347" i="19"/>
  <c r="BJ347" i="19"/>
  <c r="BK347" i="19" s="1"/>
  <c r="BF347" i="19"/>
  <c r="BH347" i="19" s="1"/>
  <c r="BD347" i="19"/>
  <c r="AZ347" i="19"/>
  <c r="AX347" i="19"/>
  <c r="AY347" i="19" s="1"/>
  <c r="AS347" i="19"/>
  <c r="AO347" i="19"/>
  <c r="AQ347" i="19" s="1"/>
  <c r="AM347" i="19"/>
  <c r="AH347" i="19"/>
  <c r="AD347" i="19"/>
  <c r="AF347" i="19" s="1"/>
  <c r="AB347" i="19"/>
  <c r="W347" i="19"/>
  <c r="S347" i="19"/>
  <c r="U347" i="19" s="1"/>
  <c r="Q347" i="19"/>
  <c r="L347" i="19"/>
  <c r="H347" i="19"/>
  <c r="J347" i="19" s="1"/>
  <c r="F347" i="19"/>
  <c r="E347" i="19"/>
  <c r="D347" i="19"/>
  <c r="BR346" i="19"/>
  <c r="BT346" i="19" s="1"/>
  <c r="BP346" i="19"/>
  <c r="BL346" i="19"/>
  <c r="BJ346" i="19"/>
  <c r="BO346" i="19" s="1"/>
  <c r="BF346" i="19"/>
  <c r="BH346" i="19" s="1"/>
  <c r="BD346" i="19"/>
  <c r="AZ346" i="19"/>
  <c r="AX346" i="19"/>
  <c r="AY346" i="19" s="1"/>
  <c r="AS346" i="19"/>
  <c r="AO346" i="19"/>
  <c r="AQ346" i="19" s="1"/>
  <c r="AM346" i="19"/>
  <c r="AH346" i="19"/>
  <c r="AD346" i="19"/>
  <c r="AF346" i="19" s="1"/>
  <c r="AB346" i="19"/>
  <c r="W346" i="19"/>
  <c r="S346" i="19"/>
  <c r="U346" i="19" s="1"/>
  <c r="Q346" i="19"/>
  <c r="L346" i="19"/>
  <c r="H346" i="19"/>
  <c r="J346" i="19" s="1"/>
  <c r="F346" i="19"/>
  <c r="E346" i="19"/>
  <c r="D346" i="19"/>
  <c r="BR345" i="19"/>
  <c r="BT345" i="19" s="1"/>
  <c r="BP345" i="19"/>
  <c r="BL345" i="19"/>
  <c r="BJ345" i="19"/>
  <c r="BK345" i="19" s="1"/>
  <c r="BF345" i="19"/>
  <c r="BH345" i="19" s="1"/>
  <c r="BD345" i="19"/>
  <c r="AZ345" i="19"/>
  <c r="AX345" i="19"/>
  <c r="AY345" i="19" s="1"/>
  <c r="AS345" i="19"/>
  <c r="AO345" i="19"/>
  <c r="AQ345" i="19" s="1"/>
  <c r="AM345" i="19"/>
  <c r="AH345" i="19"/>
  <c r="AD345" i="19"/>
  <c r="AF345" i="19" s="1"/>
  <c r="AB345" i="19"/>
  <c r="W345" i="19"/>
  <c r="S345" i="19"/>
  <c r="U345" i="19" s="1"/>
  <c r="Q345" i="19"/>
  <c r="L345" i="19"/>
  <c r="H345" i="19"/>
  <c r="J345" i="19" s="1"/>
  <c r="F345" i="19"/>
  <c r="E345" i="19"/>
  <c r="D345" i="19"/>
  <c r="BR344" i="19"/>
  <c r="BT344" i="19" s="1"/>
  <c r="BP344" i="19"/>
  <c r="BL344" i="19"/>
  <c r="BJ344" i="19"/>
  <c r="BO344" i="19" s="1"/>
  <c r="BF344" i="19"/>
  <c r="BH344" i="19" s="1"/>
  <c r="BD344" i="19"/>
  <c r="AZ344" i="19"/>
  <c r="BB344" i="19" s="1"/>
  <c r="AX344" i="19"/>
  <c r="BC344" i="19" s="1"/>
  <c r="AS344" i="19"/>
  <c r="AO344" i="19"/>
  <c r="AQ344" i="19" s="1"/>
  <c r="AM344" i="19"/>
  <c r="AH344" i="19"/>
  <c r="AD344" i="19"/>
  <c r="AB344" i="19"/>
  <c r="W344" i="19"/>
  <c r="S344" i="19"/>
  <c r="U344" i="19" s="1"/>
  <c r="Q344" i="19"/>
  <c r="L344" i="19"/>
  <c r="H344" i="19"/>
  <c r="F344" i="19"/>
  <c r="E344" i="19"/>
  <c r="D344" i="19"/>
  <c r="BK371" i="19" l="1"/>
  <c r="BC360" i="19"/>
  <c r="AY362" i="19"/>
  <c r="BA362" i="19" s="1"/>
  <c r="BO356" i="19"/>
  <c r="BC347" i="19"/>
  <c r="BC348" i="19"/>
  <c r="BC350" i="19"/>
  <c r="BO345" i="19"/>
  <c r="BC351" i="19"/>
  <c r="AY349" i="19"/>
  <c r="BA349" i="19" s="1"/>
  <c r="AN364" i="19"/>
  <c r="AP364" i="19" s="1"/>
  <c r="AR364" i="19" s="1"/>
  <c r="BM366" i="19"/>
  <c r="AY365" i="19"/>
  <c r="BA365" i="19" s="1"/>
  <c r="BK346" i="19"/>
  <c r="BM346" i="19" s="1"/>
  <c r="BQ362" i="19"/>
  <c r="BS362" i="19" s="1"/>
  <c r="G363" i="19"/>
  <c r="M363" i="19" s="1"/>
  <c r="O363" i="19" s="1"/>
  <c r="AN363" i="19"/>
  <c r="AT363" i="19" s="1"/>
  <c r="AV363" i="19" s="1"/>
  <c r="AN355" i="19"/>
  <c r="AT355" i="19" s="1"/>
  <c r="AV355" i="19" s="1"/>
  <c r="AC359" i="19"/>
  <c r="AI359" i="19" s="1"/>
  <c r="AK359" i="19" s="1"/>
  <c r="BA360" i="19"/>
  <c r="G364" i="19"/>
  <c r="M364" i="19" s="1"/>
  <c r="AY363" i="19"/>
  <c r="BA363" i="19" s="1"/>
  <c r="AC364" i="19"/>
  <c r="AI364" i="19" s="1"/>
  <c r="BQ366" i="19"/>
  <c r="BS366" i="19" s="1"/>
  <c r="BI368" i="19"/>
  <c r="AY372" i="19"/>
  <c r="BA372" i="19" s="1"/>
  <c r="BQ353" i="19"/>
  <c r="BS353" i="19" s="1"/>
  <c r="BE359" i="19"/>
  <c r="BG359" i="19" s="1"/>
  <c r="BK344" i="19"/>
  <c r="BM344" i="19" s="1"/>
  <c r="AN349" i="19"/>
  <c r="AT349" i="19" s="1"/>
  <c r="AV349" i="19" s="1"/>
  <c r="BI352" i="19"/>
  <c r="G353" i="19"/>
  <c r="R353" i="19" s="1"/>
  <c r="X353" i="19" s="1"/>
  <c r="Z353" i="19" s="1"/>
  <c r="G356" i="19"/>
  <c r="R356" i="19" s="1"/>
  <c r="T356" i="19" s="1"/>
  <c r="V356" i="19" s="1"/>
  <c r="BK357" i="19"/>
  <c r="BM357" i="19" s="1"/>
  <c r="G368" i="19"/>
  <c r="R368" i="19" s="1"/>
  <c r="T368" i="19" s="1"/>
  <c r="V368" i="19" s="1"/>
  <c r="BC364" i="19"/>
  <c r="BM372" i="19"/>
  <c r="BC345" i="19"/>
  <c r="BC346" i="19"/>
  <c r="BO347" i="19"/>
  <c r="BO348" i="19"/>
  <c r="BK349" i="19"/>
  <c r="BM349" i="19" s="1"/>
  <c r="BO350" i="19"/>
  <c r="BO351" i="19"/>
  <c r="BE353" i="19"/>
  <c r="BG353" i="19" s="1"/>
  <c r="BU354" i="19"/>
  <c r="BE355" i="19"/>
  <c r="BG355" i="19" s="1"/>
  <c r="AY356" i="19"/>
  <c r="BA356" i="19" s="1"/>
  <c r="BA359" i="19"/>
  <c r="BK359" i="19"/>
  <c r="BM359" i="19" s="1"/>
  <c r="BO360" i="19"/>
  <c r="AN362" i="19"/>
  <c r="AT362" i="19" s="1"/>
  <c r="AU362" i="19" s="1"/>
  <c r="AW362" i="19" s="1"/>
  <c r="BM362" i="19"/>
  <c r="BO363" i="19"/>
  <c r="BK364" i="19"/>
  <c r="BM364" i="19" s="1"/>
  <c r="BK365" i="19"/>
  <c r="BM365" i="19" s="1"/>
  <c r="BI366" i="19"/>
  <c r="BU368" i="19"/>
  <c r="BK370" i="19"/>
  <c r="BM370" i="19" s="1"/>
  <c r="AY371" i="19"/>
  <c r="BA371" i="19" s="1"/>
  <c r="BO372" i="19"/>
  <c r="AC356" i="19"/>
  <c r="AE356" i="19" s="1"/>
  <c r="BC359" i="19"/>
  <c r="BO362" i="19"/>
  <c r="BO366" i="19"/>
  <c r="AN353" i="19"/>
  <c r="AP353" i="19" s="1"/>
  <c r="AR353" i="19" s="1"/>
  <c r="BQ355" i="19"/>
  <c r="BS355" i="19" s="1"/>
  <c r="BG362" i="19"/>
  <c r="BG363" i="19"/>
  <c r="BQ363" i="19"/>
  <c r="BS363" i="19" s="1"/>
  <c r="BA364" i="19"/>
  <c r="AY369" i="19"/>
  <c r="BA369" i="19" s="1"/>
  <c r="AC368" i="19"/>
  <c r="AE368" i="19" s="1"/>
  <c r="AN370" i="19"/>
  <c r="AT370" i="19" s="1"/>
  <c r="AV370" i="19" s="1"/>
  <c r="AN365" i="19"/>
  <c r="AP365" i="19" s="1"/>
  <c r="AR365" i="19" s="1"/>
  <c r="AN366" i="19"/>
  <c r="AT366" i="19" s="1"/>
  <c r="AC363" i="19"/>
  <c r="AI363" i="19" s="1"/>
  <c r="AK363" i="19" s="1"/>
  <c r="AN357" i="19"/>
  <c r="AP357" i="19" s="1"/>
  <c r="AR357" i="19" s="1"/>
  <c r="AC355" i="19"/>
  <c r="AE355" i="19" s="1"/>
  <c r="G355" i="19"/>
  <c r="M355" i="19" s="1"/>
  <c r="AN352" i="19"/>
  <c r="AT352" i="19" s="1"/>
  <c r="AV352" i="19" s="1"/>
  <c r="AC353" i="19"/>
  <c r="AI353" i="19" s="1"/>
  <c r="AK353" i="19" s="1"/>
  <c r="AN345" i="19"/>
  <c r="AT345" i="19" s="1"/>
  <c r="AV345" i="19" s="1"/>
  <c r="AN346" i="19"/>
  <c r="AP346" i="19" s="1"/>
  <c r="AR346" i="19" s="1"/>
  <c r="AN344" i="19"/>
  <c r="AT344" i="19" s="1"/>
  <c r="AV344" i="19" s="1"/>
  <c r="AN347" i="19"/>
  <c r="AT347" i="19" s="1"/>
  <c r="AV347" i="19" s="1"/>
  <c r="BI345" i="19"/>
  <c r="BE345" i="19"/>
  <c r="BG345" i="19" s="1"/>
  <c r="BU348" i="19"/>
  <c r="BQ348" i="19"/>
  <c r="BS348" i="19" s="1"/>
  <c r="AC347" i="19"/>
  <c r="AC348" i="19"/>
  <c r="AN348" i="19"/>
  <c r="AC349" i="19"/>
  <c r="BH353" i="19"/>
  <c r="AC362" i="19"/>
  <c r="BI346" i="19"/>
  <c r="BE346" i="19"/>
  <c r="BG346" i="19" s="1"/>
  <c r="BU346" i="19"/>
  <c r="BQ346" i="19"/>
  <c r="BS346" i="19" s="1"/>
  <c r="BI347" i="19"/>
  <c r="BE347" i="19"/>
  <c r="BG347" i="19" s="1"/>
  <c r="BU347" i="19"/>
  <c r="BQ347" i="19"/>
  <c r="BS347" i="19" s="1"/>
  <c r="BI348" i="19"/>
  <c r="BE348" i="19"/>
  <c r="BG348" i="19" s="1"/>
  <c r="BC366" i="19"/>
  <c r="AY366" i="19"/>
  <c r="BA366" i="19" s="1"/>
  <c r="BN344" i="19"/>
  <c r="G345" i="19"/>
  <c r="M345" i="19" s="1"/>
  <c r="O345" i="19" s="1"/>
  <c r="AC346" i="19"/>
  <c r="J344" i="19"/>
  <c r="AF344" i="19"/>
  <c r="AY344" i="19"/>
  <c r="BA344" i="19" s="1"/>
  <c r="BI344" i="19"/>
  <c r="BE344" i="19"/>
  <c r="BG344" i="19" s="1"/>
  <c r="BB345" i="19"/>
  <c r="BA345" i="19"/>
  <c r="BN345" i="19"/>
  <c r="BM345" i="19"/>
  <c r="G346" i="19"/>
  <c r="BB346" i="19"/>
  <c r="BA346" i="19"/>
  <c r="BN346" i="19"/>
  <c r="G347" i="19"/>
  <c r="BB347" i="19"/>
  <c r="BA347" i="19"/>
  <c r="BN347" i="19"/>
  <c r="BM347" i="19"/>
  <c r="G348" i="19"/>
  <c r="BB348" i="19"/>
  <c r="BA348" i="19"/>
  <c r="BN348" i="19"/>
  <c r="BM348" i="19"/>
  <c r="G349" i="19"/>
  <c r="BB349" i="19"/>
  <c r="BN349" i="19"/>
  <c r="G350" i="19"/>
  <c r="J354" i="19"/>
  <c r="J357" i="19"/>
  <c r="J359" i="19"/>
  <c r="BU345" i="19"/>
  <c r="BQ345" i="19"/>
  <c r="BS345" i="19" s="1"/>
  <c r="BI349" i="19"/>
  <c r="BE349" i="19"/>
  <c r="BG349" i="19" s="1"/>
  <c r="BU349" i="19"/>
  <c r="BQ349" i="19"/>
  <c r="BS349" i="19" s="1"/>
  <c r="AC345" i="19"/>
  <c r="G344" i="19"/>
  <c r="I344" i="19" s="1"/>
  <c r="AC344" i="19"/>
  <c r="AE344" i="19" s="1"/>
  <c r="BU344" i="19"/>
  <c r="BQ344" i="19"/>
  <c r="BS344" i="19" s="1"/>
  <c r="AN350" i="19"/>
  <c r="AN351" i="19"/>
  <c r="BC352" i="19"/>
  <c r="AY352" i="19"/>
  <c r="BA352" i="19" s="1"/>
  <c r="BN353" i="19"/>
  <c r="AN354" i="19"/>
  <c r="AP354" i="19" s="1"/>
  <c r="AR354" i="19" s="1"/>
  <c r="AC354" i="19"/>
  <c r="AI354" i="19" s="1"/>
  <c r="AK354" i="19" s="1"/>
  <c r="G354" i="19"/>
  <c r="I354" i="19" s="1"/>
  <c r="AQ354" i="19"/>
  <c r="BI354" i="19"/>
  <c r="U356" i="19"/>
  <c r="BU352" i="19"/>
  <c r="U355" i="19"/>
  <c r="AC357" i="19"/>
  <c r="AI357" i="19" s="1"/>
  <c r="AK357" i="19" s="1"/>
  <c r="AN360" i="19"/>
  <c r="AT360" i="19" s="1"/>
  <c r="AV360" i="19" s="1"/>
  <c r="AQ364" i="19"/>
  <c r="BO352" i="19"/>
  <c r="BK352" i="19"/>
  <c r="BM352" i="19" s="1"/>
  <c r="AC350" i="19"/>
  <c r="BA350" i="19"/>
  <c r="BE350" i="19"/>
  <c r="BG350" i="19" s="1"/>
  <c r="BM350" i="19"/>
  <c r="BQ350" i="19"/>
  <c r="BS350" i="19" s="1"/>
  <c r="G351" i="19"/>
  <c r="AC351" i="19"/>
  <c r="BA351" i="19"/>
  <c r="BE351" i="19"/>
  <c r="BG351" i="19" s="1"/>
  <c r="BM351" i="19"/>
  <c r="BQ351" i="19"/>
  <c r="BS351" i="19" s="1"/>
  <c r="G352" i="19"/>
  <c r="AC352" i="19"/>
  <c r="AI352" i="19" s="1"/>
  <c r="AK352" i="19" s="1"/>
  <c r="BG352" i="19"/>
  <c r="BC353" i="19"/>
  <c r="AY353" i="19"/>
  <c r="BA353" i="19" s="1"/>
  <c r="BT353" i="19"/>
  <c r="BG354" i="19"/>
  <c r="BS354" i="19"/>
  <c r="BI356" i="19"/>
  <c r="BE356" i="19"/>
  <c r="BG356" i="19" s="1"/>
  <c r="AF357" i="19"/>
  <c r="BA357" i="19"/>
  <c r="BU357" i="19"/>
  <c r="BQ357" i="19"/>
  <c r="BS357" i="19" s="1"/>
  <c r="BS352" i="19"/>
  <c r="BO353" i="19"/>
  <c r="BK353" i="19"/>
  <c r="BM353" i="19" s="1"/>
  <c r="AQ355" i="19"/>
  <c r="G357" i="19"/>
  <c r="R357" i="19" s="1"/>
  <c r="BC358" i="19"/>
  <c r="BO358" i="19"/>
  <c r="G362" i="19"/>
  <c r="BI362" i="19"/>
  <c r="BU356" i="19"/>
  <c r="BQ356" i="19"/>
  <c r="BS356" i="19" s="1"/>
  <c r="BC357" i="19"/>
  <c r="BN357" i="19"/>
  <c r="G358" i="19"/>
  <c r="AN358" i="19"/>
  <c r="AN359" i="19"/>
  <c r="AT359" i="19" s="1"/>
  <c r="U362" i="19"/>
  <c r="U364" i="19"/>
  <c r="BB365" i="19"/>
  <c r="BO368" i="19"/>
  <c r="BK368" i="19"/>
  <c r="BM368" i="19" s="1"/>
  <c r="AY354" i="19"/>
  <c r="BA354" i="19" s="1"/>
  <c r="BK354" i="19"/>
  <c r="BM354" i="19" s="1"/>
  <c r="AY355" i="19"/>
  <c r="BA355" i="19" s="1"/>
  <c r="BK355" i="19"/>
  <c r="BM355" i="19" s="1"/>
  <c r="AN356" i="19"/>
  <c r="BB356" i="19"/>
  <c r="BM356" i="19"/>
  <c r="BI357" i="19"/>
  <c r="BE357" i="19"/>
  <c r="BG357" i="19" s="1"/>
  <c r="BA358" i="19"/>
  <c r="BM358" i="19"/>
  <c r="BU360" i="19"/>
  <c r="BQ360" i="19"/>
  <c r="BS360" i="19" s="1"/>
  <c r="AQ362" i="19"/>
  <c r="BN363" i="19"/>
  <c r="BM363" i="19"/>
  <c r="BI363" i="19"/>
  <c r="BU364" i="19"/>
  <c r="BQ364" i="19"/>
  <c r="BS364" i="19" s="1"/>
  <c r="BU365" i="19"/>
  <c r="BQ365" i="19"/>
  <c r="BS365" i="19" s="1"/>
  <c r="BH366" i="19"/>
  <c r="BG366" i="19"/>
  <c r="BT368" i="19"/>
  <c r="BS368" i="19"/>
  <c r="AC358" i="19"/>
  <c r="AI358" i="19" s="1"/>
  <c r="AK358" i="19" s="1"/>
  <c r="BE358" i="19"/>
  <c r="BG358" i="19" s="1"/>
  <c r="BQ358" i="19"/>
  <c r="BS358" i="19" s="1"/>
  <c r="G359" i="19"/>
  <c r="R359" i="19" s="1"/>
  <c r="BQ359" i="19"/>
  <c r="BS359" i="19" s="1"/>
  <c r="G360" i="19"/>
  <c r="U360" i="19"/>
  <c r="AC360" i="19"/>
  <c r="AQ360" i="19"/>
  <c r="BE360" i="19"/>
  <c r="BG360" i="19" s="1"/>
  <c r="BM360" i="19"/>
  <c r="BI364" i="19"/>
  <c r="BE364" i="19"/>
  <c r="BG364" i="19" s="1"/>
  <c r="G365" i="19"/>
  <c r="BI365" i="19"/>
  <c r="BE365" i="19"/>
  <c r="BG365" i="19" s="1"/>
  <c r="G366" i="19"/>
  <c r="AF370" i="19"/>
  <c r="U363" i="19"/>
  <c r="AQ363" i="19"/>
  <c r="BN364" i="19"/>
  <c r="AC365" i="19"/>
  <c r="BN365" i="19"/>
  <c r="AC366" i="19"/>
  <c r="AN368" i="19"/>
  <c r="AP368" i="19" s="1"/>
  <c r="AR368" i="19" s="1"/>
  <c r="AF369" i="19"/>
  <c r="BI369" i="19"/>
  <c r="BE369" i="19"/>
  <c r="BG369" i="19" s="1"/>
  <c r="J370" i="19"/>
  <c r="BT370" i="19"/>
  <c r="AY368" i="19"/>
  <c r="BA368" i="19" s="1"/>
  <c r="BG368" i="19"/>
  <c r="BO369" i="19"/>
  <c r="AC369" i="19"/>
  <c r="AE369" i="19" s="1"/>
  <c r="G369" i="19"/>
  <c r="BN370" i="19"/>
  <c r="BU369" i="19"/>
  <c r="BQ369" i="19"/>
  <c r="BS369" i="19" s="1"/>
  <c r="BC370" i="19"/>
  <c r="G371" i="19"/>
  <c r="M371" i="19" s="1"/>
  <c r="O371" i="19" s="1"/>
  <c r="BM371" i="19"/>
  <c r="AN369" i="19"/>
  <c r="BB369" i="19"/>
  <c r="BM369" i="19"/>
  <c r="BI370" i="19"/>
  <c r="BE370" i="19"/>
  <c r="BG370" i="19" s="1"/>
  <c r="AN371" i="19"/>
  <c r="G370" i="19"/>
  <c r="AC370" i="19"/>
  <c r="AI370" i="19" s="1"/>
  <c r="AK370" i="19" s="1"/>
  <c r="BA370" i="19"/>
  <c r="BU370" i="19"/>
  <c r="BQ370" i="19"/>
  <c r="BS370" i="19" s="1"/>
  <c r="BB371" i="19"/>
  <c r="BN371" i="19"/>
  <c r="BB372" i="19"/>
  <c r="BN372" i="19"/>
  <c r="AN372" i="19"/>
  <c r="AC371" i="19"/>
  <c r="BE371" i="19"/>
  <c r="BG371" i="19" s="1"/>
  <c r="BQ371" i="19"/>
  <c r="BS371" i="19" s="1"/>
  <c r="G372" i="19"/>
  <c r="AC372" i="19"/>
  <c r="BE372" i="19"/>
  <c r="BG372" i="19" s="1"/>
  <c r="BQ372" i="19"/>
  <c r="BS372" i="19" s="1"/>
  <c r="BR189" i="19"/>
  <c r="BT189" i="19" s="1"/>
  <c r="BP189" i="19"/>
  <c r="BU189" i="19" s="1"/>
  <c r="BL189" i="19"/>
  <c r="BJ189" i="19"/>
  <c r="BO189" i="19" s="1"/>
  <c r="BF189" i="19"/>
  <c r="BH189" i="19" s="1"/>
  <c r="BD189" i="19"/>
  <c r="BI189" i="19" s="1"/>
  <c r="AZ189" i="19"/>
  <c r="AX189" i="19"/>
  <c r="BC189" i="19" s="1"/>
  <c r="AS189" i="19"/>
  <c r="AW189" i="19" s="1"/>
  <c r="AO189" i="19"/>
  <c r="AQ189" i="19" s="1"/>
  <c r="AM189" i="19"/>
  <c r="AH189" i="19"/>
  <c r="AK189" i="19" s="1"/>
  <c r="AD189" i="19"/>
  <c r="AF189" i="19" s="1"/>
  <c r="AB189" i="19"/>
  <c r="W189" i="19"/>
  <c r="AA189" i="19" s="1"/>
  <c r="S189" i="19"/>
  <c r="U189" i="19" s="1"/>
  <c r="Q189" i="19"/>
  <c r="L189" i="19"/>
  <c r="O189" i="19" s="1"/>
  <c r="H189" i="19"/>
  <c r="J189" i="19" s="1"/>
  <c r="F189" i="19"/>
  <c r="E189" i="19"/>
  <c r="D189" i="19"/>
  <c r="BR187" i="19"/>
  <c r="BT187" i="19" s="1"/>
  <c r="BP187" i="19"/>
  <c r="BU187" i="19" s="1"/>
  <c r="BL187" i="19"/>
  <c r="BN187" i="19" s="1"/>
  <c r="BJ187" i="19"/>
  <c r="BO187" i="19" s="1"/>
  <c r="BF187" i="19"/>
  <c r="BH187" i="19" s="1"/>
  <c r="BD187" i="19"/>
  <c r="BI187" i="19" s="1"/>
  <c r="AZ187" i="19"/>
  <c r="BB187" i="19" s="1"/>
  <c r="AX187" i="19"/>
  <c r="BC187" i="19" s="1"/>
  <c r="AS187" i="19"/>
  <c r="AW187" i="19" s="1"/>
  <c r="AO187" i="19"/>
  <c r="AQ187" i="19" s="1"/>
  <c r="AM187" i="19"/>
  <c r="AH187" i="19"/>
  <c r="AK187" i="19" s="1"/>
  <c r="AD187" i="19"/>
  <c r="AF187" i="19" s="1"/>
  <c r="AB187" i="19"/>
  <c r="W187" i="19"/>
  <c r="AA187" i="19" s="1"/>
  <c r="S187" i="19"/>
  <c r="U187" i="19" s="1"/>
  <c r="Q187" i="19"/>
  <c r="L187" i="19"/>
  <c r="O187" i="19" s="1"/>
  <c r="H187" i="19"/>
  <c r="J187" i="19" s="1"/>
  <c r="F187" i="19"/>
  <c r="E187" i="19"/>
  <c r="D187" i="19"/>
  <c r="X356" i="19" l="1"/>
  <c r="Z356" i="19" s="1"/>
  <c r="AP349" i="19"/>
  <c r="AR349" i="19" s="1"/>
  <c r="T353" i="19"/>
  <c r="V353" i="19" s="1"/>
  <c r="AT365" i="19"/>
  <c r="AV365" i="19" s="1"/>
  <c r="AI368" i="19"/>
  <c r="AK368" i="19" s="1"/>
  <c r="AP362" i="19"/>
  <c r="AR362" i="19" s="1"/>
  <c r="I353" i="19"/>
  <c r="R364" i="19"/>
  <c r="X364" i="19" s="1"/>
  <c r="Z364" i="19" s="1"/>
  <c r="I364" i="19"/>
  <c r="AT364" i="19"/>
  <c r="AV364" i="19" s="1"/>
  <c r="AT353" i="19"/>
  <c r="AV353" i="19" s="1"/>
  <c r="AP352" i="19"/>
  <c r="AR352" i="19" s="1"/>
  <c r="M353" i="19"/>
  <c r="N353" i="19" s="1"/>
  <c r="I355" i="19"/>
  <c r="X368" i="19"/>
  <c r="Y368" i="19" s="1"/>
  <c r="AA368" i="19" s="1"/>
  <c r="AP344" i="19"/>
  <c r="AR344" i="19" s="1"/>
  <c r="AP363" i="19"/>
  <c r="AR363" i="19" s="1"/>
  <c r="M368" i="19"/>
  <c r="N368" i="19" s="1"/>
  <c r="R363" i="19"/>
  <c r="T363" i="19" s="1"/>
  <c r="V363" i="19" s="1"/>
  <c r="AE364" i="19"/>
  <c r="I363" i="19"/>
  <c r="AE359" i="19"/>
  <c r="I356" i="19"/>
  <c r="I368" i="19"/>
  <c r="M356" i="19"/>
  <c r="O356" i="19" s="1"/>
  <c r="AT354" i="19"/>
  <c r="AV354" i="19" s="1"/>
  <c r="AT346" i="19"/>
  <c r="AV346" i="19" s="1"/>
  <c r="AI356" i="19"/>
  <c r="AJ356" i="19" s="1"/>
  <c r="AP370" i="19"/>
  <c r="AR370" i="19" s="1"/>
  <c r="M354" i="19"/>
  <c r="O354" i="19" s="1"/>
  <c r="AP359" i="19"/>
  <c r="AR359" i="19" s="1"/>
  <c r="AP355" i="19"/>
  <c r="AR355" i="19" s="1"/>
  <c r="AT368" i="19"/>
  <c r="AU368" i="19" s="1"/>
  <c r="AW368" i="19" s="1"/>
  <c r="AI355" i="19"/>
  <c r="AK355" i="19" s="1"/>
  <c r="AN189" i="19"/>
  <c r="AP189" i="19" s="1"/>
  <c r="AR189" i="19" s="1"/>
  <c r="AP347" i="19"/>
  <c r="AR347" i="19" s="1"/>
  <c r="K354" i="19"/>
  <c r="AP345" i="19"/>
  <c r="AR345" i="19" s="1"/>
  <c r="K344" i="19"/>
  <c r="AG369" i="19"/>
  <c r="AG368" i="19"/>
  <c r="AG356" i="19"/>
  <c r="AG355" i="19"/>
  <c r="AG344" i="19"/>
  <c r="AU352" i="19"/>
  <c r="AW352" i="19" s="1"/>
  <c r="AJ357" i="19"/>
  <c r="N363" i="19"/>
  <c r="N371" i="19"/>
  <c r="AU366" i="19"/>
  <c r="AW366" i="19" s="1"/>
  <c r="AV366" i="19"/>
  <c r="AV362" i="19"/>
  <c r="AE363" i="19"/>
  <c r="AP366" i="19"/>
  <c r="AR366" i="19" s="1"/>
  <c r="AP360" i="19"/>
  <c r="AR360" i="19" s="1"/>
  <c r="AJ358" i="19"/>
  <c r="AT357" i="19"/>
  <c r="AV357" i="19" s="1"/>
  <c r="O355" i="19"/>
  <c r="N355" i="19"/>
  <c r="AE353" i="19"/>
  <c r="AU355" i="19"/>
  <c r="AW355" i="19" s="1"/>
  <c r="R355" i="19"/>
  <c r="AU349" i="19"/>
  <c r="AW349" i="19" s="1"/>
  <c r="M344" i="19"/>
  <c r="O344" i="19" s="1"/>
  <c r="AU347" i="19"/>
  <c r="AW347" i="19" s="1"/>
  <c r="AV359" i="19"/>
  <c r="AU359" i="19"/>
  <c r="AW359" i="19" s="1"/>
  <c r="O364" i="19"/>
  <c r="N364" i="19"/>
  <c r="R358" i="19"/>
  <c r="I358" i="19"/>
  <c r="M357" i="19"/>
  <c r="O357" i="19" s="1"/>
  <c r="R352" i="19"/>
  <c r="M352" i="19"/>
  <c r="O352" i="19" s="1"/>
  <c r="I352" i="19"/>
  <c r="AJ354" i="19"/>
  <c r="M349" i="19"/>
  <c r="O349" i="19" s="1"/>
  <c r="R349" i="19"/>
  <c r="I349" i="19"/>
  <c r="AT358" i="19"/>
  <c r="AV358" i="19" s="1"/>
  <c r="AP358" i="19"/>
  <c r="AR358" i="19" s="1"/>
  <c r="AJ353" i="19"/>
  <c r="AT351" i="19"/>
  <c r="AV351" i="19" s="1"/>
  <c r="AP351" i="19"/>
  <c r="AR351" i="19" s="1"/>
  <c r="AI344" i="19"/>
  <c r="AK344" i="19" s="1"/>
  <c r="AE346" i="19"/>
  <c r="AI346" i="19"/>
  <c r="AK346" i="19" s="1"/>
  <c r="AI362" i="19"/>
  <c r="AK362" i="19" s="1"/>
  <c r="AE362" i="19"/>
  <c r="R370" i="19"/>
  <c r="T359" i="19"/>
  <c r="V359" i="19" s="1"/>
  <c r="X359" i="19"/>
  <c r="Z359" i="19" s="1"/>
  <c r="X357" i="19"/>
  <c r="Z357" i="19" s="1"/>
  <c r="T357" i="19"/>
  <c r="V357" i="19" s="1"/>
  <c r="AE352" i="19"/>
  <c r="AJ352" i="19"/>
  <c r="M350" i="19"/>
  <c r="O350" i="19" s="1"/>
  <c r="R350" i="19"/>
  <c r="I350" i="19"/>
  <c r="M347" i="19"/>
  <c r="O347" i="19" s="1"/>
  <c r="R347" i="19"/>
  <c r="I347" i="19"/>
  <c r="AE349" i="19"/>
  <c r="AI349" i="19"/>
  <c r="AK349" i="19" s="1"/>
  <c r="AE348" i="19"/>
  <c r="AI348" i="19"/>
  <c r="AK348" i="19" s="1"/>
  <c r="AJ370" i="19"/>
  <c r="M370" i="19"/>
  <c r="O370" i="19" s="1"/>
  <c r="AE371" i="19"/>
  <c r="AI371" i="19"/>
  <c r="AK371" i="19" s="1"/>
  <c r="AT371" i="19"/>
  <c r="AV371" i="19" s="1"/>
  <c r="AP371" i="19"/>
  <c r="AR371" i="19" s="1"/>
  <c r="AP369" i="19"/>
  <c r="AR369" i="19" s="1"/>
  <c r="AT369" i="19"/>
  <c r="AV369" i="19" s="1"/>
  <c r="I371" i="19"/>
  <c r="R371" i="19"/>
  <c r="R369" i="19"/>
  <c r="I369" i="19"/>
  <c r="AI369" i="19"/>
  <c r="AK369" i="19" s="1"/>
  <c r="M369" i="19"/>
  <c r="AI366" i="19"/>
  <c r="AK366" i="19" s="1"/>
  <c r="AE366" i="19"/>
  <c r="AK364" i="19"/>
  <c r="AJ364" i="19"/>
  <c r="M366" i="19"/>
  <c r="O366" i="19" s="1"/>
  <c r="I366" i="19"/>
  <c r="R366" i="19"/>
  <c r="AI360" i="19"/>
  <c r="AK360" i="19" s="1"/>
  <c r="AE360" i="19"/>
  <c r="M360" i="19"/>
  <c r="O360" i="19" s="1"/>
  <c r="R360" i="19"/>
  <c r="I360" i="19"/>
  <c r="AU370" i="19"/>
  <c r="AW370" i="19" s="1"/>
  <c r="AU363" i="19"/>
  <c r="AW363" i="19" s="1"/>
  <c r="I362" i="19"/>
  <c r="M362" i="19"/>
  <c r="O362" i="19" s="1"/>
  <c r="R362" i="19"/>
  <c r="AU360" i="19"/>
  <c r="AW360" i="19" s="1"/>
  <c r="Y353" i="19"/>
  <c r="AA353" i="19" s="1"/>
  <c r="AE351" i="19"/>
  <c r="AI351" i="19"/>
  <c r="AK351" i="19" s="1"/>
  <c r="R351" i="19"/>
  <c r="M351" i="19"/>
  <c r="O351" i="19" s="1"/>
  <c r="I351" i="19"/>
  <c r="AJ359" i="19"/>
  <c r="R354" i="19"/>
  <c r="AE345" i="19"/>
  <c r="AI345" i="19"/>
  <c r="AK345" i="19" s="1"/>
  <c r="I359" i="19"/>
  <c r="I357" i="19"/>
  <c r="AT348" i="19"/>
  <c r="AV348" i="19" s="1"/>
  <c r="AP348" i="19"/>
  <c r="AR348" i="19" s="1"/>
  <c r="AU344" i="19"/>
  <c r="AW344" i="19" s="1"/>
  <c r="AU345" i="19"/>
  <c r="AW345" i="19" s="1"/>
  <c r="AP356" i="19"/>
  <c r="AR356" i="19" s="1"/>
  <c r="AT356" i="19"/>
  <c r="AV356" i="19" s="1"/>
  <c r="AE350" i="19"/>
  <c r="AI350" i="19"/>
  <c r="AK350" i="19" s="1"/>
  <c r="AT350" i="19"/>
  <c r="AV350" i="19" s="1"/>
  <c r="AP350" i="19"/>
  <c r="AR350" i="19" s="1"/>
  <c r="M348" i="19"/>
  <c r="O348" i="19" s="1"/>
  <c r="R348" i="19"/>
  <c r="I348" i="19"/>
  <c r="M346" i="19"/>
  <c r="O346" i="19" s="1"/>
  <c r="I346" i="19"/>
  <c r="R346" i="19"/>
  <c r="I345" i="19"/>
  <c r="R345" i="19"/>
  <c r="AE347" i="19"/>
  <c r="AI347" i="19"/>
  <c r="AK347" i="19" s="1"/>
  <c r="AI372" i="19"/>
  <c r="AK372" i="19" s="1"/>
  <c r="AE372" i="19"/>
  <c r="AI365" i="19"/>
  <c r="AK365" i="19" s="1"/>
  <c r="AE365" i="19"/>
  <c r="AE370" i="19"/>
  <c r="M359" i="19"/>
  <c r="O359" i="19" s="1"/>
  <c r="R372" i="19"/>
  <c r="I372" i="19"/>
  <c r="M372" i="19"/>
  <c r="O372" i="19" s="1"/>
  <c r="AT372" i="19"/>
  <c r="AV372" i="19" s="1"/>
  <c r="AP372" i="19"/>
  <c r="AR372" i="19" s="1"/>
  <c r="I370" i="19"/>
  <c r="M365" i="19"/>
  <c r="O365" i="19" s="1"/>
  <c r="I365" i="19"/>
  <c r="R365" i="19"/>
  <c r="AJ363" i="19"/>
  <c r="M358" i="19"/>
  <c r="O358" i="19" s="1"/>
  <c r="AE358" i="19"/>
  <c r="AE357" i="19"/>
  <c r="N345" i="19"/>
  <c r="R344" i="19"/>
  <c r="AE354" i="19"/>
  <c r="X189" i="19"/>
  <c r="AV187" i="19"/>
  <c r="AJ189" i="19"/>
  <c r="AT187" i="19"/>
  <c r="Y189" i="19"/>
  <c r="AU187" i="19"/>
  <c r="Z189" i="19"/>
  <c r="AT189" i="19"/>
  <c r="X187" i="19"/>
  <c r="Z187" i="19"/>
  <c r="AN187" i="19"/>
  <c r="AP187" i="19" s="1"/>
  <c r="AR187" i="19" s="1"/>
  <c r="AV189" i="19"/>
  <c r="Y187" i="19"/>
  <c r="AL189" i="19"/>
  <c r="BB189" i="19"/>
  <c r="BN189" i="19"/>
  <c r="M189" i="19"/>
  <c r="AI189" i="19"/>
  <c r="AU189" i="19"/>
  <c r="AY189" i="19"/>
  <c r="BA189" i="19" s="1"/>
  <c r="BK189" i="19"/>
  <c r="BM189" i="19" s="1"/>
  <c r="P189" i="19"/>
  <c r="N189" i="19"/>
  <c r="G189" i="19"/>
  <c r="R189" i="19" s="1"/>
  <c r="T189" i="19" s="1"/>
  <c r="V189" i="19" s="1"/>
  <c r="AC189" i="19"/>
  <c r="AE189" i="19" s="1"/>
  <c r="BE189" i="19"/>
  <c r="BG189" i="19" s="1"/>
  <c r="BQ189" i="19"/>
  <c r="BS189" i="19" s="1"/>
  <c r="AL187" i="19"/>
  <c r="AI187" i="19"/>
  <c r="AY187" i="19"/>
  <c r="BA187" i="19" s="1"/>
  <c r="BK187" i="19"/>
  <c r="BM187" i="19" s="1"/>
  <c r="P187" i="19"/>
  <c r="AJ187" i="19"/>
  <c r="M187" i="19"/>
  <c r="N187" i="19"/>
  <c r="G187" i="19"/>
  <c r="R187" i="19" s="1"/>
  <c r="T187" i="19" s="1"/>
  <c r="V187" i="19" s="1"/>
  <c r="AC187" i="19"/>
  <c r="AE187" i="19" s="1"/>
  <c r="BE187" i="19"/>
  <c r="BG187" i="19" s="1"/>
  <c r="BQ187" i="19"/>
  <c r="BS187" i="19" s="1"/>
  <c r="BR426" i="19"/>
  <c r="BT426" i="19" s="1"/>
  <c r="BP426" i="19"/>
  <c r="BU426" i="19" s="1"/>
  <c r="BL426" i="19"/>
  <c r="BN426" i="19" s="1"/>
  <c r="BJ426" i="19"/>
  <c r="BO426" i="19" s="1"/>
  <c r="BF426" i="19"/>
  <c r="BH426" i="19" s="1"/>
  <c r="BD426" i="19"/>
  <c r="BI426" i="19" s="1"/>
  <c r="AZ426" i="19"/>
  <c r="BB426" i="19" s="1"/>
  <c r="AX426" i="19"/>
  <c r="BC426" i="19" s="1"/>
  <c r="AS426" i="19"/>
  <c r="AW426" i="19" s="1"/>
  <c r="AO426" i="19"/>
  <c r="AQ426" i="19" s="1"/>
  <c r="AM426" i="19"/>
  <c r="AH426" i="19"/>
  <c r="AK426" i="19" s="1"/>
  <c r="AD426" i="19"/>
  <c r="AF426" i="19" s="1"/>
  <c r="AB426" i="19"/>
  <c r="W426" i="19"/>
  <c r="AA426" i="19" s="1"/>
  <c r="S426" i="19"/>
  <c r="U426" i="19" s="1"/>
  <c r="Q426" i="19"/>
  <c r="L426" i="19"/>
  <c r="O426" i="19" s="1"/>
  <c r="H426" i="19"/>
  <c r="J426" i="19" s="1"/>
  <c r="F426" i="19"/>
  <c r="E426" i="19"/>
  <c r="D426" i="19"/>
  <c r="Y356" i="19" l="1"/>
  <c r="AA356" i="19" s="1"/>
  <c r="P353" i="19"/>
  <c r="K364" i="19"/>
  <c r="AL356" i="19"/>
  <c r="K368" i="19"/>
  <c r="AG364" i="19"/>
  <c r="K353" i="19"/>
  <c r="AG359" i="19"/>
  <c r="P368" i="19"/>
  <c r="K355" i="19"/>
  <c r="AJ368" i="19"/>
  <c r="AU365" i="19"/>
  <c r="AW365" i="19" s="1"/>
  <c r="Y364" i="19"/>
  <c r="AA364" i="19" s="1"/>
  <c r="O368" i="19"/>
  <c r="AV368" i="19"/>
  <c r="AU354" i="19"/>
  <c r="AW354" i="19" s="1"/>
  <c r="T364" i="19"/>
  <c r="V364" i="19" s="1"/>
  <c r="N354" i="19"/>
  <c r="O353" i="19"/>
  <c r="AU364" i="19"/>
  <c r="AW364" i="19" s="1"/>
  <c r="Z368" i="19"/>
  <c r="AJ355" i="19"/>
  <c r="X363" i="19"/>
  <c r="Z363" i="19" s="1"/>
  <c r="AU353" i="19"/>
  <c r="AW353" i="19" s="1"/>
  <c r="AU346" i="19"/>
  <c r="AW346" i="19" s="1"/>
  <c r="K363" i="19"/>
  <c r="K356" i="19"/>
  <c r="N356" i="19"/>
  <c r="AK356" i="19"/>
  <c r="N347" i="19"/>
  <c r="N350" i="19"/>
  <c r="AN426" i="19"/>
  <c r="AP426" i="19" s="1"/>
  <c r="AR426" i="19" s="1"/>
  <c r="P345" i="19"/>
  <c r="K370" i="19"/>
  <c r="K372" i="19"/>
  <c r="K359" i="19"/>
  <c r="N366" i="19"/>
  <c r="P363" i="19"/>
  <c r="AG189" i="19"/>
  <c r="K346" i="19"/>
  <c r="K362" i="19"/>
  <c r="K360" i="19"/>
  <c r="K366" i="19"/>
  <c r="K371" i="19"/>
  <c r="P364" i="19"/>
  <c r="AG187" i="19"/>
  <c r="K365" i="19"/>
  <c r="K351" i="19"/>
  <c r="K369" i="19"/>
  <c r="K345" i="19"/>
  <c r="K348" i="19"/>
  <c r="K357" i="19"/>
  <c r="K347" i="19"/>
  <c r="K350" i="19"/>
  <c r="K349" i="19"/>
  <c r="K352" i="19"/>
  <c r="K358" i="19"/>
  <c r="P355" i="19"/>
  <c r="P371" i="19"/>
  <c r="AG370" i="19"/>
  <c r="AG371" i="19"/>
  <c r="AG372" i="19"/>
  <c r="AL370" i="19"/>
  <c r="AL364" i="19"/>
  <c r="AG363" i="19"/>
  <c r="AL363" i="19"/>
  <c r="AG365" i="19"/>
  <c r="AG366" i="19"/>
  <c r="AG362" i="19"/>
  <c r="AL359" i="19"/>
  <c r="AG358" i="19"/>
  <c r="AL358" i="19"/>
  <c r="AL357" i="19"/>
  <c r="AG357" i="19"/>
  <c r="AG360" i="19"/>
  <c r="AG352" i="19"/>
  <c r="AL352" i="19"/>
  <c r="AL353" i="19"/>
  <c r="AG354" i="19"/>
  <c r="AL354" i="19"/>
  <c r="AG353" i="19"/>
  <c r="AG351" i="19"/>
  <c r="AG349" i="19"/>
  <c r="AG348" i="19"/>
  <c r="AG350" i="19"/>
  <c r="AJ344" i="19"/>
  <c r="AG345" i="19"/>
  <c r="AJ346" i="19"/>
  <c r="AG347" i="19"/>
  <c r="AG346" i="19"/>
  <c r="AU358" i="19"/>
  <c r="AW358" i="19" s="1"/>
  <c r="AJ369" i="19"/>
  <c r="AJ365" i="19"/>
  <c r="AJ349" i="19"/>
  <c r="AJ362" i="19"/>
  <c r="Y359" i="19"/>
  <c r="AA359" i="19" s="1"/>
  <c r="N351" i="19"/>
  <c r="N344" i="19"/>
  <c r="AJ371" i="19"/>
  <c r="N372" i="19"/>
  <c r="N359" i="19"/>
  <c r="Y357" i="19"/>
  <c r="AA357" i="19" s="1"/>
  <c r="AU357" i="19"/>
  <c r="AW357" i="19" s="1"/>
  <c r="T355" i="19"/>
  <c r="V355" i="19" s="1"/>
  <c r="X355" i="19"/>
  <c r="AU350" i="19"/>
  <c r="AW350" i="19" s="1"/>
  <c r="AU348" i="19"/>
  <c r="AW348" i="19" s="1"/>
  <c r="N348" i="19"/>
  <c r="AJ350" i="19"/>
  <c r="AJ345" i="19"/>
  <c r="AJ347" i="19"/>
  <c r="X348" i="19"/>
  <c r="Z348" i="19" s="1"/>
  <c r="T348" i="19"/>
  <c r="V348" i="19" s="1"/>
  <c r="AU372" i="19"/>
  <c r="AW372" i="19" s="1"/>
  <c r="X360" i="19"/>
  <c r="Z360" i="19" s="1"/>
  <c r="T360" i="19"/>
  <c r="V360" i="19" s="1"/>
  <c r="O369" i="19"/>
  <c r="N369" i="19"/>
  <c r="T369" i="19"/>
  <c r="V369" i="19" s="1"/>
  <c r="X369" i="19"/>
  <c r="Z369" i="19" s="1"/>
  <c r="N349" i="19"/>
  <c r="X352" i="19"/>
  <c r="Z352" i="19" s="1"/>
  <c r="T352" i="19"/>
  <c r="V352" i="19" s="1"/>
  <c r="N358" i="19"/>
  <c r="X346" i="19"/>
  <c r="Z346" i="19" s="1"/>
  <c r="T346" i="19"/>
  <c r="V346" i="19" s="1"/>
  <c r="X362" i="19"/>
  <c r="Z362" i="19" s="1"/>
  <c r="T362" i="19"/>
  <c r="V362" i="19" s="1"/>
  <c r="X366" i="19"/>
  <c r="Z366" i="19" s="1"/>
  <c r="T366" i="19"/>
  <c r="V366" i="19" s="1"/>
  <c r="X365" i="19"/>
  <c r="Z365" i="19" s="1"/>
  <c r="T365" i="19"/>
  <c r="V365" i="19" s="1"/>
  <c r="T345" i="19"/>
  <c r="V345" i="19" s="1"/>
  <c r="X345" i="19"/>
  <c r="Z345" i="19" s="1"/>
  <c r="N365" i="19"/>
  <c r="AU356" i="19"/>
  <c r="AW356" i="19" s="1"/>
  <c r="X354" i="19"/>
  <c r="Z354" i="19" s="1"/>
  <c r="T354" i="19"/>
  <c r="V354" i="19" s="1"/>
  <c r="AJ360" i="19"/>
  <c r="AJ366" i="19"/>
  <c r="T371" i="19"/>
  <c r="V371" i="19" s="1"/>
  <c r="X371" i="19"/>
  <c r="Z371" i="19" s="1"/>
  <c r="AU369" i="19"/>
  <c r="AW369" i="19" s="1"/>
  <c r="AJ348" i="19"/>
  <c r="X370" i="19"/>
  <c r="Z370" i="19" s="1"/>
  <c r="T370" i="19"/>
  <c r="V370" i="19" s="1"/>
  <c r="N357" i="19"/>
  <c r="N352" i="19"/>
  <c r="X358" i="19"/>
  <c r="Z358" i="19" s="1"/>
  <c r="T358" i="19"/>
  <c r="V358" i="19" s="1"/>
  <c r="X344" i="19"/>
  <c r="Z344" i="19" s="1"/>
  <c r="T344" i="19"/>
  <c r="V344" i="19" s="1"/>
  <c r="X372" i="19"/>
  <c r="Z372" i="19" s="1"/>
  <c r="T372" i="19"/>
  <c r="V372" i="19" s="1"/>
  <c r="AJ372" i="19"/>
  <c r="N346" i="19"/>
  <c r="X351" i="19"/>
  <c r="Z351" i="19" s="1"/>
  <c r="T351" i="19"/>
  <c r="V351" i="19" s="1"/>
  <c r="AJ351" i="19"/>
  <c r="N362" i="19"/>
  <c r="N360" i="19"/>
  <c r="AU371" i="19"/>
  <c r="AW371" i="19" s="1"/>
  <c r="X347" i="19"/>
  <c r="Z347" i="19" s="1"/>
  <c r="T347" i="19"/>
  <c r="V347" i="19" s="1"/>
  <c r="X350" i="19"/>
  <c r="Z350" i="19" s="1"/>
  <c r="T350" i="19"/>
  <c r="V350" i="19" s="1"/>
  <c r="N370" i="19"/>
  <c r="AU351" i="19"/>
  <c r="AW351" i="19" s="1"/>
  <c r="X349" i="19"/>
  <c r="Z349" i="19" s="1"/>
  <c r="T349" i="19"/>
  <c r="V349" i="19" s="1"/>
  <c r="I189" i="19"/>
  <c r="I187" i="19"/>
  <c r="AT426" i="19"/>
  <c r="AV426" i="19"/>
  <c r="X426" i="19"/>
  <c r="Z426" i="19"/>
  <c r="P426" i="19"/>
  <c r="AL426" i="19"/>
  <c r="M426" i="19"/>
  <c r="Y426" i="19"/>
  <c r="AI426" i="19"/>
  <c r="AU426" i="19"/>
  <c r="AY426" i="19"/>
  <c r="BA426" i="19" s="1"/>
  <c r="BK426" i="19"/>
  <c r="BM426" i="19" s="1"/>
  <c r="N426" i="19"/>
  <c r="AJ426" i="19"/>
  <c r="G426" i="19"/>
  <c r="R426" i="19" s="1"/>
  <c r="T426" i="19" s="1"/>
  <c r="V426" i="19" s="1"/>
  <c r="AC426" i="19"/>
  <c r="AE426" i="19" s="1"/>
  <c r="BE426" i="19"/>
  <c r="BG426" i="19" s="1"/>
  <c r="BQ426" i="19"/>
  <c r="BS426" i="19" s="1"/>
  <c r="P356" i="19" l="1"/>
  <c r="P350" i="19"/>
  <c r="AL368" i="19"/>
  <c r="P347" i="19"/>
  <c r="AL355" i="19"/>
  <c r="P354" i="19"/>
  <c r="AG426" i="19"/>
  <c r="Y363" i="19"/>
  <c r="AA363" i="19" s="1"/>
  <c r="K189" i="19"/>
  <c r="K187" i="19"/>
  <c r="P357" i="19"/>
  <c r="P369" i="19"/>
  <c r="P344" i="19"/>
  <c r="P370" i="19"/>
  <c r="P360" i="19"/>
  <c r="P349" i="19"/>
  <c r="P359" i="19"/>
  <c r="P351" i="19"/>
  <c r="P365" i="19"/>
  <c r="P362" i="19"/>
  <c r="P346" i="19"/>
  <c r="P352" i="19"/>
  <c r="P358" i="19"/>
  <c r="P348" i="19"/>
  <c r="P372" i="19"/>
  <c r="P366" i="19"/>
  <c r="Y346" i="19"/>
  <c r="AA346" i="19" s="1"/>
  <c r="AL372" i="19"/>
  <c r="AL369" i="19"/>
  <c r="AL371" i="19"/>
  <c r="AL362" i="19"/>
  <c r="AL366" i="19"/>
  <c r="AL365" i="19"/>
  <c r="AL360" i="19"/>
  <c r="AL351" i="19"/>
  <c r="AL349" i="19"/>
  <c r="AL348" i="19"/>
  <c r="AL350" i="19"/>
  <c r="AL345" i="19"/>
  <c r="AL346" i="19"/>
  <c r="AL347" i="19"/>
  <c r="AL344" i="19"/>
  <c r="Y371" i="19"/>
  <c r="AA371" i="19" s="1"/>
  <c r="Y351" i="19"/>
  <c r="AA351" i="19" s="1"/>
  <c r="Y372" i="19"/>
  <c r="AA372" i="19" s="1"/>
  <c r="Z355" i="19"/>
  <c r="Y355" i="19"/>
  <c r="AA355" i="19" s="1"/>
  <c r="Y354" i="19"/>
  <c r="AA354" i="19" s="1"/>
  <c r="Y352" i="19"/>
  <c r="AA352" i="19" s="1"/>
  <c r="Y360" i="19"/>
  <c r="AA360" i="19" s="1"/>
  <c r="Y348" i="19"/>
  <c r="AA348" i="19" s="1"/>
  <c r="Y349" i="19"/>
  <c r="AA349" i="19" s="1"/>
  <c r="Y347" i="19"/>
  <c r="AA347" i="19" s="1"/>
  <c r="Y358" i="19"/>
  <c r="AA358" i="19" s="1"/>
  <c r="Y345" i="19"/>
  <c r="AA345" i="19" s="1"/>
  <c r="Y369" i="19"/>
  <c r="AA369" i="19" s="1"/>
  <c r="Y350" i="19"/>
  <c r="AA350" i="19" s="1"/>
  <c r="Y344" i="19"/>
  <c r="AA344" i="19" s="1"/>
  <c r="Y370" i="19"/>
  <c r="AA370" i="19" s="1"/>
  <c r="Y365" i="19"/>
  <c r="AA365" i="19" s="1"/>
  <c r="Y366" i="19"/>
  <c r="AA366" i="19" s="1"/>
  <c r="Y362" i="19"/>
  <c r="AA362" i="19" s="1"/>
  <c r="I426" i="19"/>
  <c r="K426" i="19" l="1"/>
  <c r="BR425" i="19"/>
  <c r="BT425" i="19" s="1"/>
  <c r="BP425" i="19"/>
  <c r="BU425" i="19" s="1"/>
  <c r="BL425" i="19"/>
  <c r="BN425" i="19" s="1"/>
  <c r="BJ425" i="19"/>
  <c r="BO425" i="19" s="1"/>
  <c r="BF425" i="19"/>
  <c r="BH425" i="19" s="1"/>
  <c r="BD425" i="19"/>
  <c r="BI425" i="19" s="1"/>
  <c r="AZ425" i="19"/>
  <c r="BB425" i="19" s="1"/>
  <c r="AX425" i="19"/>
  <c r="BC425" i="19" s="1"/>
  <c r="AS425" i="19"/>
  <c r="AO425" i="19"/>
  <c r="AQ425" i="19" s="1"/>
  <c r="AM425" i="19"/>
  <c r="AH425" i="19"/>
  <c r="AD425" i="19"/>
  <c r="AF425" i="19" s="1"/>
  <c r="AB425" i="19"/>
  <c r="W425" i="19"/>
  <c r="AA425" i="19" s="1"/>
  <c r="S425" i="19"/>
  <c r="U425" i="19" s="1"/>
  <c r="Q425" i="19"/>
  <c r="L425" i="19"/>
  <c r="O425" i="19" s="1"/>
  <c r="H425" i="19"/>
  <c r="J425" i="19" s="1"/>
  <c r="F425" i="19"/>
  <c r="E425" i="19"/>
  <c r="D425" i="19"/>
  <c r="BR429" i="19"/>
  <c r="BT429" i="19" s="1"/>
  <c r="BP429" i="19"/>
  <c r="BU429" i="19" s="1"/>
  <c r="BL429" i="19"/>
  <c r="BJ429" i="19"/>
  <c r="BO429" i="19" s="1"/>
  <c r="BF429" i="19"/>
  <c r="BH429" i="19" s="1"/>
  <c r="BD429" i="19"/>
  <c r="BI429" i="19" s="1"/>
  <c r="AZ429" i="19"/>
  <c r="BB429" i="19" s="1"/>
  <c r="AX429" i="19"/>
  <c r="BC429" i="19" s="1"/>
  <c r="AS429" i="19"/>
  <c r="AW429" i="19" s="1"/>
  <c r="AO429" i="19"/>
  <c r="AQ429" i="19" s="1"/>
  <c r="AM429" i="19"/>
  <c r="AH429" i="19"/>
  <c r="AK429" i="19" s="1"/>
  <c r="AD429" i="19"/>
  <c r="AF429" i="19" s="1"/>
  <c r="AB429" i="19"/>
  <c r="W429" i="19"/>
  <c r="AA429" i="19" s="1"/>
  <c r="S429" i="19"/>
  <c r="U429" i="19" s="1"/>
  <c r="Q429" i="19"/>
  <c r="L429" i="19"/>
  <c r="O429" i="19" s="1"/>
  <c r="H429" i="19"/>
  <c r="J429" i="19" s="1"/>
  <c r="F429" i="19"/>
  <c r="E429" i="19"/>
  <c r="D429" i="19"/>
  <c r="AN429" i="19" l="1"/>
  <c r="AP429" i="19" s="1"/>
  <c r="AR429" i="19" s="1"/>
  <c r="Z425" i="19"/>
  <c r="X425" i="19"/>
  <c r="N429" i="19"/>
  <c r="X429" i="19"/>
  <c r="Z429" i="19"/>
  <c r="AN425" i="19"/>
  <c r="AP425" i="19" s="1"/>
  <c r="AR425" i="19" s="1"/>
  <c r="AT425" i="19"/>
  <c r="AV425" i="19" s="1"/>
  <c r="P425" i="19"/>
  <c r="M425" i="19"/>
  <c r="Y425" i="19"/>
  <c r="AY425" i="19"/>
  <c r="BA425" i="19" s="1"/>
  <c r="BK425" i="19"/>
  <c r="BM425" i="19" s="1"/>
  <c r="N425" i="19"/>
  <c r="G425" i="19"/>
  <c r="R425" i="19" s="1"/>
  <c r="T425" i="19" s="1"/>
  <c r="V425" i="19" s="1"/>
  <c r="AC425" i="19"/>
  <c r="AI425" i="19" s="1"/>
  <c r="AK425" i="19" s="1"/>
  <c r="BE425" i="19"/>
  <c r="BG425" i="19" s="1"/>
  <c r="BQ425" i="19"/>
  <c r="BS425" i="19" s="1"/>
  <c r="AV429" i="19"/>
  <c r="AT429" i="19"/>
  <c r="P429" i="19"/>
  <c r="BN429" i="19"/>
  <c r="AL429" i="19"/>
  <c r="M429" i="19"/>
  <c r="Y429" i="19"/>
  <c r="AI429" i="19"/>
  <c r="AU429" i="19"/>
  <c r="AY429" i="19"/>
  <c r="BA429" i="19" s="1"/>
  <c r="BK429" i="19"/>
  <c r="BM429" i="19" s="1"/>
  <c r="AJ429" i="19"/>
  <c r="G429" i="19"/>
  <c r="R429" i="19" s="1"/>
  <c r="T429" i="19" s="1"/>
  <c r="V429" i="19" s="1"/>
  <c r="AC429" i="19"/>
  <c r="AE429" i="19" s="1"/>
  <c r="BE429" i="19"/>
  <c r="BG429" i="19" s="1"/>
  <c r="BQ429" i="19"/>
  <c r="BS429" i="19" s="1"/>
  <c r="AG429" i="19" l="1"/>
  <c r="AE425" i="19"/>
  <c r="AJ425" i="19"/>
  <c r="AU425" i="19"/>
  <c r="AW425" i="19" s="1"/>
  <c r="I425" i="19"/>
  <c r="I429" i="19"/>
  <c r="BR121" i="19"/>
  <c r="BP121" i="19"/>
  <c r="BU121" i="19" s="1"/>
  <c r="BL121" i="19"/>
  <c r="BN121" i="19" s="1"/>
  <c r="BJ121" i="19"/>
  <c r="BF121" i="19"/>
  <c r="BD121" i="19"/>
  <c r="AZ121" i="19"/>
  <c r="BB121" i="19" s="1"/>
  <c r="AX121" i="19"/>
  <c r="AS121" i="19"/>
  <c r="AW121" i="19" s="1"/>
  <c r="AO121" i="19"/>
  <c r="AQ121" i="19" s="1"/>
  <c r="AM121" i="19"/>
  <c r="AN121" i="19" s="1"/>
  <c r="AH121" i="19"/>
  <c r="AL121" i="19" s="1"/>
  <c r="AD121" i="19"/>
  <c r="AB121" i="19"/>
  <c r="AG121" i="19" s="1"/>
  <c r="W121" i="19"/>
  <c r="AA121" i="19" s="1"/>
  <c r="S121" i="19"/>
  <c r="U121" i="19" s="1"/>
  <c r="Q121" i="19"/>
  <c r="V121" i="19" s="1"/>
  <c r="L121" i="19"/>
  <c r="H121" i="19"/>
  <c r="F121" i="19"/>
  <c r="K121" i="19" s="1"/>
  <c r="E121" i="19"/>
  <c r="D121" i="19"/>
  <c r="BR120" i="19"/>
  <c r="BP120" i="19"/>
  <c r="BU120" i="19" s="1"/>
  <c r="BL120" i="19"/>
  <c r="BN120" i="19" s="1"/>
  <c r="BJ120" i="19"/>
  <c r="BF120" i="19"/>
  <c r="BD120" i="19"/>
  <c r="AZ120" i="19"/>
  <c r="BB120" i="19" s="1"/>
  <c r="AX120" i="19"/>
  <c r="AS120" i="19"/>
  <c r="AW120" i="19" s="1"/>
  <c r="AO120" i="19"/>
  <c r="AQ120" i="19" s="1"/>
  <c r="AM120" i="19"/>
  <c r="AR120" i="19" s="1"/>
  <c r="AH120" i="19"/>
  <c r="AD120" i="19"/>
  <c r="AB120" i="19"/>
  <c r="AG120" i="19" s="1"/>
  <c r="W120" i="19"/>
  <c r="AA120" i="19" s="1"/>
  <c r="S120" i="19"/>
  <c r="U120" i="19" s="1"/>
  <c r="Q120" i="19"/>
  <c r="V120" i="19" s="1"/>
  <c r="L120" i="19"/>
  <c r="P120" i="19" s="1"/>
  <c r="H120" i="19"/>
  <c r="F120" i="19"/>
  <c r="E120" i="19"/>
  <c r="D120" i="19"/>
  <c r="BR119" i="19"/>
  <c r="BP119" i="19"/>
  <c r="BL119" i="19"/>
  <c r="BJ119" i="19"/>
  <c r="BF119" i="19"/>
  <c r="BH119" i="19" s="1"/>
  <c r="BD119" i="19"/>
  <c r="AZ119" i="19"/>
  <c r="AX119" i="19"/>
  <c r="AS119" i="19"/>
  <c r="AW119" i="19" s="1"/>
  <c r="AO119" i="19"/>
  <c r="AQ119" i="19" s="1"/>
  <c r="AM119" i="19"/>
  <c r="AR119" i="19" s="1"/>
  <c r="AH119" i="19"/>
  <c r="AL119" i="19" s="1"/>
  <c r="AD119" i="19"/>
  <c r="AB119" i="19"/>
  <c r="W119" i="19"/>
  <c r="AA119" i="19" s="1"/>
  <c r="S119" i="19"/>
  <c r="U119" i="19" s="1"/>
  <c r="Q119" i="19"/>
  <c r="V119" i="19" s="1"/>
  <c r="L119" i="19"/>
  <c r="P119" i="19" s="1"/>
  <c r="H119" i="19"/>
  <c r="F119" i="19"/>
  <c r="E119" i="19"/>
  <c r="D119" i="19"/>
  <c r="BR118" i="19"/>
  <c r="BT118" i="19" s="1"/>
  <c r="BP118" i="19"/>
  <c r="BL118" i="19"/>
  <c r="BJ118" i="19"/>
  <c r="BK118" i="19" s="1"/>
  <c r="BF118" i="19"/>
  <c r="BH118" i="19" s="1"/>
  <c r="BD118" i="19"/>
  <c r="AZ118" i="19"/>
  <c r="BB118" i="19" s="1"/>
  <c r="AX118" i="19"/>
  <c r="BC118" i="19" s="1"/>
  <c r="AS118" i="19"/>
  <c r="AO118" i="19"/>
  <c r="AQ118" i="19" s="1"/>
  <c r="AM118" i="19"/>
  <c r="AN118" i="19" s="1"/>
  <c r="AH118" i="19"/>
  <c r="AD118" i="19"/>
  <c r="AB118" i="19"/>
  <c r="AG118" i="19" s="1"/>
  <c r="W118" i="19"/>
  <c r="S118" i="19"/>
  <c r="U118" i="19" s="1"/>
  <c r="Q118" i="19"/>
  <c r="V118" i="19" s="1"/>
  <c r="L118" i="19"/>
  <c r="H118" i="19"/>
  <c r="F118" i="19"/>
  <c r="K118" i="19" s="1"/>
  <c r="E118" i="19"/>
  <c r="D118" i="19"/>
  <c r="BR117" i="19"/>
  <c r="BT117" i="19" s="1"/>
  <c r="BP117" i="19"/>
  <c r="BQ117" i="19" s="1"/>
  <c r="BL117" i="19"/>
  <c r="BN117" i="19" s="1"/>
  <c r="BJ117" i="19"/>
  <c r="BF117" i="19"/>
  <c r="BD117" i="19"/>
  <c r="AZ117" i="19"/>
  <c r="BB117" i="19" s="1"/>
  <c r="AX117" i="19"/>
  <c r="AS117" i="19"/>
  <c r="AO117" i="19"/>
  <c r="AQ117" i="19" s="1"/>
  <c r="AM117" i="19"/>
  <c r="AR117" i="19" s="1"/>
  <c r="AH117" i="19"/>
  <c r="AI117" i="19" s="1"/>
  <c r="AD117" i="19"/>
  <c r="AB117" i="19"/>
  <c r="AC117" i="19" s="1"/>
  <c r="W117" i="19"/>
  <c r="Z117" i="19" s="1"/>
  <c r="S117" i="19"/>
  <c r="U117" i="19" s="1"/>
  <c r="Q117" i="19"/>
  <c r="V117" i="19" s="1"/>
  <c r="L117" i="19"/>
  <c r="M117" i="19" s="1"/>
  <c r="H117" i="19"/>
  <c r="F117" i="19"/>
  <c r="G117" i="19" s="1"/>
  <c r="R117" i="19" s="1"/>
  <c r="E117" i="19"/>
  <c r="D117" i="19"/>
  <c r="BR116" i="19"/>
  <c r="BP116" i="19"/>
  <c r="BU116" i="19" s="1"/>
  <c r="BL116" i="19"/>
  <c r="BN116" i="19" s="1"/>
  <c r="BJ116" i="19"/>
  <c r="BF116" i="19"/>
  <c r="BD116" i="19"/>
  <c r="AZ116" i="19"/>
  <c r="BB116" i="19" s="1"/>
  <c r="AX116" i="19"/>
  <c r="AS116" i="19"/>
  <c r="AO116" i="19"/>
  <c r="AQ116" i="19" s="1"/>
  <c r="AM116" i="19"/>
  <c r="AR116" i="19" s="1"/>
  <c r="AH116" i="19"/>
  <c r="AL116" i="19" s="1"/>
  <c r="AD116" i="19"/>
  <c r="AB116" i="19"/>
  <c r="AG116" i="19" s="1"/>
  <c r="W116" i="19"/>
  <c r="S116" i="19"/>
  <c r="U116" i="19" s="1"/>
  <c r="Q116" i="19"/>
  <c r="V116" i="19" s="1"/>
  <c r="L116" i="19"/>
  <c r="H116" i="19"/>
  <c r="F116" i="19"/>
  <c r="K116" i="19" s="1"/>
  <c r="E116" i="19"/>
  <c r="D116" i="19"/>
  <c r="BR115" i="19"/>
  <c r="BT115" i="19" s="1"/>
  <c r="BP115" i="19"/>
  <c r="BQ115" i="19" s="1"/>
  <c r="BL115" i="19"/>
  <c r="BN115" i="19" s="1"/>
  <c r="BJ115" i="19"/>
  <c r="BF115" i="19"/>
  <c r="BD115" i="19"/>
  <c r="AZ115" i="19"/>
  <c r="BB115" i="19" s="1"/>
  <c r="AX115" i="19"/>
  <c r="AS115" i="19"/>
  <c r="AO115" i="19"/>
  <c r="AQ115" i="19" s="1"/>
  <c r="AM115" i="19"/>
  <c r="AR115" i="19" s="1"/>
  <c r="AH115" i="19"/>
  <c r="AI115" i="19" s="1"/>
  <c r="AD115" i="19"/>
  <c r="AB115" i="19"/>
  <c r="AC115" i="19" s="1"/>
  <c r="W115" i="19"/>
  <c r="Z115" i="19" s="1"/>
  <c r="S115" i="19"/>
  <c r="U115" i="19" s="1"/>
  <c r="Q115" i="19"/>
  <c r="V115" i="19" s="1"/>
  <c r="L115" i="19"/>
  <c r="M115" i="19" s="1"/>
  <c r="H115" i="19"/>
  <c r="F115" i="19"/>
  <c r="G115" i="19" s="1"/>
  <c r="R115" i="19" s="1"/>
  <c r="E115" i="19"/>
  <c r="D115" i="19"/>
  <c r="BR114" i="19"/>
  <c r="BT114" i="19" s="1"/>
  <c r="BP114" i="19"/>
  <c r="BU114" i="19" s="1"/>
  <c r="BL114" i="19"/>
  <c r="BN114" i="19" s="1"/>
  <c r="BJ114" i="19"/>
  <c r="BF114" i="19"/>
  <c r="BD114" i="19"/>
  <c r="AZ114" i="19"/>
  <c r="BB114" i="19" s="1"/>
  <c r="AX114" i="19"/>
  <c r="AS114" i="19"/>
  <c r="AU114" i="19" s="1"/>
  <c r="AO114" i="19"/>
  <c r="AQ114" i="19" s="1"/>
  <c r="AM114" i="19"/>
  <c r="AN114" i="19" s="1"/>
  <c r="AH114" i="19"/>
  <c r="AI114" i="19" s="1"/>
  <c r="AD114" i="19"/>
  <c r="AF114" i="19" s="1"/>
  <c r="AB114" i="19"/>
  <c r="AC114" i="19" s="1"/>
  <c r="W114" i="19"/>
  <c r="Y114" i="19" s="1"/>
  <c r="S114" i="19"/>
  <c r="U114" i="19" s="1"/>
  <c r="Q114" i="19"/>
  <c r="V114" i="19" s="1"/>
  <c r="L114" i="19"/>
  <c r="M114" i="19" s="1"/>
  <c r="H114" i="19"/>
  <c r="J114" i="19" s="1"/>
  <c r="F114" i="19"/>
  <c r="K114" i="19" s="1"/>
  <c r="E114" i="19"/>
  <c r="D114" i="19"/>
  <c r="BR113" i="19"/>
  <c r="BP113" i="19"/>
  <c r="BQ113" i="19" s="1"/>
  <c r="BL113" i="19"/>
  <c r="BN113" i="19" s="1"/>
  <c r="BJ113" i="19"/>
  <c r="BF113" i="19"/>
  <c r="BH113" i="19" s="1"/>
  <c r="BD113" i="19"/>
  <c r="AZ113" i="19"/>
  <c r="BB113" i="19" s="1"/>
  <c r="AX113" i="19"/>
  <c r="AS113" i="19"/>
  <c r="AU113" i="19" s="1"/>
  <c r="AO113" i="19"/>
  <c r="AQ113" i="19" s="1"/>
  <c r="AM113" i="19"/>
  <c r="AR113" i="19" s="1"/>
  <c r="AH113" i="19"/>
  <c r="AI113" i="19" s="1"/>
  <c r="AD113" i="19"/>
  <c r="AF113" i="19" s="1"/>
  <c r="AB113" i="19"/>
  <c r="AG113" i="19" s="1"/>
  <c r="W113" i="19"/>
  <c r="Y113" i="19" s="1"/>
  <c r="S113" i="19"/>
  <c r="U113" i="19" s="1"/>
  <c r="Q113" i="19"/>
  <c r="V113" i="19" s="1"/>
  <c r="L113" i="19"/>
  <c r="M113" i="19" s="1"/>
  <c r="H113" i="19"/>
  <c r="J113" i="19" s="1"/>
  <c r="F113" i="19"/>
  <c r="K113" i="19" s="1"/>
  <c r="E113" i="19"/>
  <c r="D113" i="19"/>
  <c r="BR112" i="19"/>
  <c r="BT112" i="19" s="1"/>
  <c r="BP112" i="19"/>
  <c r="BU112" i="19" s="1"/>
  <c r="BL112" i="19"/>
  <c r="BJ112" i="19"/>
  <c r="BO112" i="19" s="1"/>
  <c r="BF112" i="19"/>
  <c r="BH112" i="19" s="1"/>
  <c r="BD112" i="19"/>
  <c r="AZ112" i="19"/>
  <c r="BB112" i="19" s="1"/>
  <c r="AX112" i="19"/>
  <c r="BC112" i="19" s="1"/>
  <c r="AS112" i="19"/>
  <c r="AU112" i="19" s="1"/>
  <c r="AO112" i="19"/>
  <c r="AQ112" i="19" s="1"/>
  <c r="AM112" i="19"/>
  <c r="AR112" i="19" s="1"/>
  <c r="AH112" i="19"/>
  <c r="AI112" i="19" s="1"/>
  <c r="AD112" i="19"/>
  <c r="AF112" i="19" s="1"/>
  <c r="AB112" i="19"/>
  <c r="AG112" i="19" s="1"/>
  <c r="W112" i="19"/>
  <c r="Y112" i="19" s="1"/>
  <c r="S112" i="19"/>
  <c r="U112" i="19" s="1"/>
  <c r="Q112" i="19"/>
  <c r="V112" i="19" s="1"/>
  <c r="L112" i="19"/>
  <c r="M112" i="19" s="1"/>
  <c r="H112" i="19"/>
  <c r="J112" i="19" s="1"/>
  <c r="F112" i="19"/>
  <c r="K112" i="19" s="1"/>
  <c r="E112" i="19"/>
  <c r="D112" i="19"/>
  <c r="AL425" i="19" l="1"/>
  <c r="AG425" i="19"/>
  <c r="K425" i="19"/>
  <c r="K429" i="19"/>
  <c r="AT120" i="19"/>
  <c r="N115" i="19"/>
  <c r="AE115" i="19"/>
  <c r="AV120" i="19"/>
  <c r="AE117" i="19"/>
  <c r="Y119" i="19"/>
  <c r="AC113" i="19"/>
  <c r="AE113" i="19" s="1"/>
  <c r="AN113" i="19"/>
  <c r="AP113" i="19" s="1"/>
  <c r="AW114" i="19"/>
  <c r="Z119" i="19"/>
  <c r="AT114" i="19"/>
  <c r="BE117" i="19"/>
  <c r="BG117" i="19" s="1"/>
  <c r="BI117" i="19" s="1"/>
  <c r="AW113" i="19"/>
  <c r="AG115" i="19"/>
  <c r="AG117" i="19"/>
  <c r="X120" i="19"/>
  <c r="Y120" i="19"/>
  <c r="AR121" i="19"/>
  <c r="AA113" i="19"/>
  <c r="AV114" i="19"/>
  <c r="O115" i="19"/>
  <c r="AT119" i="19"/>
  <c r="AJ112" i="19"/>
  <c r="X114" i="19"/>
  <c r="O113" i="19"/>
  <c r="T117" i="19"/>
  <c r="O117" i="19"/>
  <c r="AR118" i="19"/>
  <c r="BQ114" i="19"/>
  <c r="BS114" i="19" s="1"/>
  <c r="AC118" i="19"/>
  <c r="AE118" i="19" s="1"/>
  <c r="AK112" i="19"/>
  <c r="AV112" i="19"/>
  <c r="N113" i="19"/>
  <c r="Z114" i="19"/>
  <c r="P115" i="19"/>
  <c r="N117" i="19"/>
  <c r="AL117" i="19"/>
  <c r="AY118" i="19"/>
  <c r="BA118" i="19" s="1"/>
  <c r="AV121" i="19"/>
  <c r="P114" i="19"/>
  <c r="P117" i="19"/>
  <c r="AN117" i="19"/>
  <c r="AP117" i="19" s="1"/>
  <c r="AN119" i="19"/>
  <c r="AP119" i="19" s="1"/>
  <c r="AN120" i="19"/>
  <c r="AP120" i="19" s="1"/>
  <c r="AT121" i="19"/>
  <c r="Z112" i="19"/>
  <c r="AN116" i="19"/>
  <c r="AP116" i="19" s="1"/>
  <c r="BQ116" i="19"/>
  <c r="BS116" i="19" s="1"/>
  <c r="BO118" i="19"/>
  <c r="X121" i="19"/>
  <c r="O114" i="19"/>
  <c r="AN115" i="19"/>
  <c r="AP115" i="19" s="1"/>
  <c r="Z121" i="19"/>
  <c r="X119" i="19"/>
  <c r="AR114" i="19"/>
  <c r="T115" i="19"/>
  <c r="BE115" i="19"/>
  <c r="BG115" i="19" s="1"/>
  <c r="BI115" i="19" s="1"/>
  <c r="AN112" i="19"/>
  <c r="AP112" i="19" s="1"/>
  <c r="K115" i="19"/>
  <c r="AJ115" i="19"/>
  <c r="AU119" i="19"/>
  <c r="Z120" i="19"/>
  <c r="AA114" i="19"/>
  <c r="N112" i="19"/>
  <c r="AK114" i="19"/>
  <c r="AK115" i="19"/>
  <c r="K117" i="19"/>
  <c r="AJ117" i="19"/>
  <c r="AV119" i="19"/>
  <c r="O112" i="19"/>
  <c r="BE113" i="19"/>
  <c r="BG113" i="19" s="1"/>
  <c r="BI113" i="19" s="1"/>
  <c r="AL114" i="19"/>
  <c r="AL115" i="19"/>
  <c r="AK117" i="19"/>
  <c r="AP121" i="19"/>
  <c r="BS113" i="19"/>
  <c r="BH115" i="19"/>
  <c r="M116" i="19"/>
  <c r="O116" i="19"/>
  <c r="Y116" i="19"/>
  <c r="X116" i="19"/>
  <c r="BH117" i="19"/>
  <c r="Y118" i="19"/>
  <c r="X118" i="19"/>
  <c r="AI118" i="19"/>
  <c r="AL118" i="19"/>
  <c r="AK118" i="19"/>
  <c r="AL112" i="19"/>
  <c r="BN112" i="19"/>
  <c r="X113" i="19"/>
  <c r="AK113" i="19"/>
  <c r="BO113" i="19"/>
  <c r="BK113" i="19"/>
  <c r="BM113" i="19" s="1"/>
  <c r="BU113" i="19"/>
  <c r="G114" i="19"/>
  <c r="R114" i="19" s="1"/>
  <c r="T114" i="19" s="1"/>
  <c r="Y115" i="19"/>
  <c r="AA115" i="19"/>
  <c r="AU115" i="19"/>
  <c r="AW115" i="19"/>
  <c r="AI116" i="19"/>
  <c r="AK116" i="19"/>
  <c r="AU116" i="19"/>
  <c r="AT116" i="19"/>
  <c r="AU117" i="19"/>
  <c r="AW117" i="19"/>
  <c r="M118" i="19"/>
  <c r="O118" i="19"/>
  <c r="BE118" i="19"/>
  <c r="BG118" i="19" s="1"/>
  <c r="BI118" i="19" s="1"/>
  <c r="K120" i="19"/>
  <c r="G120" i="19"/>
  <c r="R120" i="19" s="1"/>
  <c r="T120" i="19" s="1"/>
  <c r="AK121" i="19"/>
  <c r="AJ121" i="19"/>
  <c r="AI121" i="19"/>
  <c r="G112" i="19"/>
  <c r="R112" i="19" s="1"/>
  <c r="T112" i="19" s="1"/>
  <c r="AA112" i="19"/>
  <c r="AC112" i="19"/>
  <c r="AE112" i="19" s="1"/>
  <c r="AW112" i="19"/>
  <c r="BE112" i="19"/>
  <c r="BG112" i="19" s="1"/>
  <c r="BI112" i="19" s="1"/>
  <c r="BQ112" i="19"/>
  <c r="BS112" i="19" s="1"/>
  <c r="G113" i="19"/>
  <c r="R113" i="19" s="1"/>
  <c r="T113" i="19" s="1"/>
  <c r="AJ113" i="19"/>
  <c r="BC113" i="19"/>
  <c r="AY113" i="19"/>
  <c r="BA113" i="19" s="1"/>
  <c r="BT113" i="19"/>
  <c r="AG114" i="19"/>
  <c r="AP114" i="19"/>
  <c r="BH114" i="19"/>
  <c r="AF115" i="19"/>
  <c r="AT115" i="19"/>
  <c r="BU115" i="19"/>
  <c r="G116" i="19"/>
  <c r="R116" i="19" s="1"/>
  <c r="T116" i="19" s="1"/>
  <c r="N116" i="19"/>
  <c r="Z116" i="19"/>
  <c r="AC116" i="19"/>
  <c r="AE116" i="19" s="1"/>
  <c r="AJ116" i="19"/>
  <c r="AV116" i="19"/>
  <c r="BH116" i="19"/>
  <c r="AF117" i="19"/>
  <c r="AT117" i="19"/>
  <c r="BU117" i="19"/>
  <c r="G118" i="19"/>
  <c r="R118" i="19" s="1"/>
  <c r="T118" i="19" s="1"/>
  <c r="N118" i="19"/>
  <c r="Z118" i="19"/>
  <c r="AJ118" i="19"/>
  <c r="J119" i="19"/>
  <c r="BB119" i="19"/>
  <c r="BO119" i="19"/>
  <c r="BK119" i="19"/>
  <c r="BM119" i="19" s="1"/>
  <c r="BT119" i="19"/>
  <c r="J120" i="19"/>
  <c r="BO120" i="19"/>
  <c r="BK120" i="19"/>
  <c r="BM120" i="19" s="1"/>
  <c r="BT120" i="19"/>
  <c r="J121" i="19"/>
  <c r="P112" i="19"/>
  <c r="X112" i="19"/>
  <c r="AT112" i="19"/>
  <c r="P113" i="19"/>
  <c r="AT113" i="19"/>
  <c r="I115" i="19"/>
  <c r="AV115" i="19"/>
  <c r="BO115" i="19"/>
  <c r="BK115" i="19"/>
  <c r="BM115" i="19" s="1"/>
  <c r="J116" i="19"/>
  <c r="P116" i="19"/>
  <c r="AA116" i="19"/>
  <c r="AF116" i="19"/>
  <c r="AW116" i="19"/>
  <c r="BT116" i="19"/>
  <c r="I117" i="19"/>
  <c r="Y117" i="19"/>
  <c r="AA117" i="19"/>
  <c r="AV117" i="19"/>
  <c r="BO117" i="19"/>
  <c r="BK117" i="19"/>
  <c r="BM117" i="19" s="1"/>
  <c r="J118" i="19"/>
  <c r="P118" i="19"/>
  <c r="AA118" i="19"/>
  <c r="AW118" i="19"/>
  <c r="AU118" i="19"/>
  <c r="AV118" i="19"/>
  <c r="AT118" i="19"/>
  <c r="AF119" i="19"/>
  <c r="AF120" i="19"/>
  <c r="O121" i="19"/>
  <c r="N121" i="19"/>
  <c r="M121" i="19"/>
  <c r="P121" i="19"/>
  <c r="AY112" i="19"/>
  <c r="BA112" i="19" s="1"/>
  <c r="BK112" i="19"/>
  <c r="BM112" i="19" s="1"/>
  <c r="Z113" i="19"/>
  <c r="AL113" i="19"/>
  <c r="AV113" i="19"/>
  <c r="N114" i="19"/>
  <c r="AE114" i="19"/>
  <c r="AJ114" i="19"/>
  <c r="BC114" i="19"/>
  <c r="AY114" i="19"/>
  <c r="BA114" i="19" s="1"/>
  <c r="BE114" i="19"/>
  <c r="BG114" i="19" s="1"/>
  <c r="BI114" i="19" s="1"/>
  <c r="J115" i="19"/>
  <c r="X115" i="19"/>
  <c r="BC115" i="19"/>
  <c r="AY115" i="19"/>
  <c r="BA115" i="19" s="1"/>
  <c r="BC116" i="19"/>
  <c r="AY116" i="19"/>
  <c r="BA116" i="19" s="1"/>
  <c r="BE116" i="19"/>
  <c r="BG116" i="19" s="1"/>
  <c r="BI116" i="19" s="1"/>
  <c r="J117" i="19"/>
  <c r="X117" i="19"/>
  <c r="BC117" i="19"/>
  <c r="AY117" i="19"/>
  <c r="BA117" i="19" s="1"/>
  <c r="AF118" i="19"/>
  <c r="AK120" i="19"/>
  <c r="AJ120" i="19"/>
  <c r="AI120" i="19"/>
  <c r="AL120" i="19"/>
  <c r="BO114" i="19"/>
  <c r="BK114" i="19"/>
  <c r="BM114" i="19" s="1"/>
  <c r="BS115" i="19"/>
  <c r="BO116" i="19"/>
  <c r="BK116" i="19"/>
  <c r="BM116" i="19" s="1"/>
  <c r="BS117" i="19"/>
  <c r="BM118" i="19"/>
  <c r="O119" i="19"/>
  <c r="N119" i="19"/>
  <c r="BE119" i="19"/>
  <c r="BG119" i="19" s="1"/>
  <c r="BI119" i="19" s="1"/>
  <c r="BN119" i="19"/>
  <c r="O120" i="19"/>
  <c r="M120" i="19"/>
  <c r="BC121" i="19"/>
  <c r="AY121" i="19"/>
  <c r="BA121" i="19" s="1"/>
  <c r="BH121" i="19"/>
  <c r="AP118" i="19"/>
  <c r="BN118" i="19"/>
  <c r="K119" i="19"/>
  <c r="G119" i="19"/>
  <c r="R119" i="19" s="1"/>
  <c r="T119" i="19" s="1"/>
  <c r="M119" i="19"/>
  <c r="AK119" i="19"/>
  <c r="AI119" i="19"/>
  <c r="AJ119" i="19"/>
  <c r="BU119" i="19"/>
  <c r="BQ119" i="19"/>
  <c r="BS119" i="19" s="1"/>
  <c r="N120" i="19"/>
  <c r="BU118" i="19"/>
  <c r="BQ118" i="19"/>
  <c r="BS118" i="19" s="1"/>
  <c r="AG119" i="19"/>
  <c r="AC119" i="19"/>
  <c r="AE119" i="19" s="1"/>
  <c r="BC119" i="19"/>
  <c r="AY119" i="19"/>
  <c r="BA119" i="19" s="1"/>
  <c r="BC120" i="19"/>
  <c r="AY120" i="19"/>
  <c r="BA120" i="19" s="1"/>
  <c r="BH120" i="19"/>
  <c r="AF121" i="19"/>
  <c r="BO121" i="19"/>
  <c r="BK121" i="19"/>
  <c r="BM121" i="19" s="1"/>
  <c r="BT121" i="19"/>
  <c r="AU120" i="19"/>
  <c r="Y121" i="19"/>
  <c r="AU121" i="19"/>
  <c r="AC120" i="19"/>
  <c r="AE120" i="19" s="1"/>
  <c r="BE120" i="19"/>
  <c r="BG120" i="19" s="1"/>
  <c r="BI120" i="19" s="1"/>
  <c r="BQ120" i="19"/>
  <c r="BS120" i="19" s="1"/>
  <c r="G121" i="19"/>
  <c r="R121" i="19" s="1"/>
  <c r="T121" i="19" s="1"/>
  <c r="AC121" i="19"/>
  <c r="AE121" i="19" s="1"/>
  <c r="BE121" i="19"/>
  <c r="BG121" i="19" s="1"/>
  <c r="BI121" i="19" s="1"/>
  <c r="BQ121" i="19"/>
  <c r="BS121" i="19" s="1"/>
  <c r="I120" i="19" l="1"/>
  <c r="I114" i="19"/>
  <c r="I112" i="19"/>
  <c r="I116" i="19"/>
  <c r="I121" i="19"/>
  <c r="I113" i="19"/>
  <c r="I118" i="19"/>
  <c r="I119" i="19"/>
  <c r="BR402" i="19" l="1"/>
  <c r="BP402" i="19"/>
  <c r="BU402" i="19" s="1"/>
  <c r="BL402" i="19"/>
  <c r="BN402" i="19" s="1"/>
  <c r="BJ402" i="19"/>
  <c r="BF402" i="19"/>
  <c r="BD402" i="19"/>
  <c r="BI402" i="19" s="1"/>
  <c r="AZ402" i="19"/>
  <c r="BB402" i="19" s="1"/>
  <c r="AX402" i="19"/>
  <c r="AS402" i="19"/>
  <c r="AO402" i="19"/>
  <c r="AQ402" i="19" s="1"/>
  <c r="AM402" i="19"/>
  <c r="AH402" i="19"/>
  <c r="AD402" i="19"/>
  <c r="AB402" i="19"/>
  <c r="W402" i="19"/>
  <c r="S402" i="19"/>
  <c r="U402" i="19" s="1"/>
  <c r="Q402" i="19"/>
  <c r="L402" i="19"/>
  <c r="H402" i="19"/>
  <c r="F402" i="19"/>
  <c r="E402" i="19"/>
  <c r="D402" i="19"/>
  <c r="BR401" i="19"/>
  <c r="BP401" i="19"/>
  <c r="BU401" i="19" s="1"/>
  <c r="BL401" i="19"/>
  <c r="BN401" i="19" s="1"/>
  <c r="BJ401" i="19"/>
  <c r="BF401" i="19"/>
  <c r="BD401" i="19"/>
  <c r="BI401" i="19" s="1"/>
  <c r="AZ401" i="19"/>
  <c r="BB401" i="19" s="1"/>
  <c r="AX401" i="19"/>
  <c r="AS401" i="19"/>
  <c r="AO401" i="19"/>
  <c r="AQ401" i="19" s="1"/>
  <c r="AM401" i="19"/>
  <c r="AH401" i="19"/>
  <c r="AD401" i="19"/>
  <c r="AB401" i="19"/>
  <c r="W401" i="19"/>
  <c r="S401" i="19"/>
  <c r="U401" i="19" s="1"/>
  <c r="Q401" i="19"/>
  <c r="L401" i="19"/>
  <c r="H401" i="19"/>
  <c r="J401" i="19" s="1"/>
  <c r="F401" i="19"/>
  <c r="E401" i="19"/>
  <c r="D401" i="19"/>
  <c r="BR400" i="19"/>
  <c r="BT400" i="19" s="1"/>
  <c r="BP400" i="19"/>
  <c r="BU400" i="19" s="1"/>
  <c r="BL400" i="19"/>
  <c r="BN400" i="19" s="1"/>
  <c r="BJ400" i="19"/>
  <c r="BK400" i="19" s="1"/>
  <c r="BF400" i="19"/>
  <c r="BH400" i="19" s="1"/>
  <c r="BD400" i="19"/>
  <c r="BI400" i="19" s="1"/>
  <c r="AZ400" i="19"/>
  <c r="BB400" i="19" s="1"/>
  <c r="AX400" i="19"/>
  <c r="AY400" i="19" s="1"/>
  <c r="AS400" i="19"/>
  <c r="AO400" i="19"/>
  <c r="AQ400" i="19" s="1"/>
  <c r="AM400" i="19"/>
  <c r="AH400" i="19"/>
  <c r="AD400" i="19"/>
  <c r="AB400" i="19"/>
  <c r="W400" i="19"/>
  <c r="S400" i="19"/>
  <c r="Q400" i="19"/>
  <c r="L400" i="19"/>
  <c r="H400" i="19"/>
  <c r="F400" i="19"/>
  <c r="E400" i="19"/>
  <c r="D400" i="19"/>
  <c r="BR399" i="19"/>
  <c r="BT399" i="19" s="1"/>
  <c r="BP399" i="19"/>
  <c r="BU399" i="19" s="1"/>
  <c r="BL399" i="19"/>
  <c r="BN399" i="19" s="1"/>
  <c r="BJ399" i="19"/>
  <c r="BO399" i="19" s="1"/>
  <c r="BF399" i="19"/>
  <c r="BH399" i="19" s="1"/>
  <c r="BD399" i="19"/>
  <c r="BI399" i="19" s="1"/>
  <c r="AZ399" i="19"/>
  <c r="BB399" i="19" s="1"/>
  <c r="AX399" i="19"/>
  <c r="BC399" i="19" s="1"/>
  <c r="AS399" i="19"/>
  <c r="AO399" i="19"/>
  <c r="AQ399" i="19" s="1"/>
  <c r="AM399" i="19"/>
  <c r="AH399" i="19"/>
  <c r="AD399" i="19"/>
  <c r="AF399" i="19" s="1"/>
  <c r="AB399" i="19"/>
  <c r="W399" i="19"/>
  <c r="S399" i="19"/>
  <c r="U399" i="19" s="1"/>
  <c r="Q399" i="19"/>
  <c r="L399" i="19"/>
  <c r="H399" i="19"/>
  <c r="J399" i="19" s="1"/>
  <c r="F399" i="19"/>
  <c r="E399" i="19"/>
  <c r="D399" i="19"/>
  <c r="BR398" i="19"/>
  <c r="BT398" i="19" s="1"/>
  <c r="BP398" i="19"/>
  <c r="BU398" i="19" s="1"/>
  <c r="BL398" i="19"/>
  <c r="BN398" i="19" s="1"/>
  <c r="BJ398" i="19"/>
  <c r="BO398" i="19" s="1"/>
  <c r="BF398" i="19"/>
  <c r="BH398" i="19" s="1"/>
  <c r="BD398" i="19"/>
  <c r="BI398" i="19" s="1"/>
  <c r="AZ398" i="19"/>
  <c r="BB398" i="19" s="1"/>
  <c r="AX398" i="19"/>
  <c r="AY398" i="19" s="1"/>
  <c r="AS398" i="19"/>
  <c r="AO398" i="19"/>
  <c r="AM398" i="19"/>
  <c r="AH398" i="19"/>
  <c r="AD398" i="19"/>
  <c r="AF398" i="19" s="1"/>
  <c r="AB398" i="19"/>
  <c r="W398" i="19"/>
  <c r="S398" i="19"/>
  <c r="Q398" i="19"/>
  <c r="L398" i="19"/>
  <c r="H398" i="19"/>
  <c r="J398" i="19" s="1"/>
  <c r="F398" i="19"/>
  <c r="E398" i="19"/>
  <c r="D398" i="19"/>
  <c r="BR396" i="19"/>
  <c r="BT396" i="19" s="1"/>
  <c r="BP396" i="19"/>
  <c r="BQ396" i="19" s="1"/>
  <c r="BL396" i="19"/>
  <c r="BN396" i="19" s="1"/>
  <c r="BJ396" i="19"/>
  <c r="BK396" i="19" s="1"/>
  <c r="BF396" i="19"/>
  <c r="BH396" i="19" s="1"/>
  <c r="BD396" i="19"/>
  <c r="BI396" i="19" s="1"/>
  <c r="AZ396" i="19"/>
  <c r="BB396" i="19" s="1"/>
  <c r="AX396" i="19"/>
  <c r="BC396" i="19" s="1"/>
  <c r="AS396" i="19"/>
  <c r="AO396" i="19"/>
  <c r="AQ396" i="19" s="1"/>
  <c r="AM396" i="19"/>
  <c r="AH396" i="19"/>
  <c r="AD396" i="19"/>
  <c r="AF396" i="19" s="1"/>
  <c r="AB396" i="19"/>
  <c r="W396" i="19"/>
  <c r="S396" i="19"/>
  <c r="U396" i="19" s="1"/>
  <c r="Q396" i="19"/>
  <c r="L396" i="19"/>
  <c r="H396" i="19"/>
  <c r="J396" i="19" s="1"/>
  <c r="F396" i="19"/>
  <c r="E396" i="19"/>
  <c r="D396" i="19"/>
  <c r="BR395" i="19"/>
  <c r="BT395" i="19" s="1"/>
  <c r="BP395" i="19"/>
  <c r="BU395" i="19" s="1"/>
  <c r="BL395" i="19"/>
  <c r="BN395" i="19" s="1"/>
  <c r="BJ395" i="19"/>
  <c r="BO395" i="19" s="1"/>
  <c r="BF395" i="19"/>
  <c r="BH395" i="19" s="1"/>
  <c r="BD395" i="19"/>
  <c r="AZ395" i="19"/>
  <c r="BB395" i="19" s="1"/>
  <c r="AX395" i="19"/>
  <c r="AS395" i="19"/>
  <c r="AO395" i="19"/>
  <c r="AQ395" i="19" s="1"/>
  <c r="AM395" i="19"/>
  <c r="AH395" i="19"/>
  <c r="AD395" i="19"/>
  <c r="AB395" i="19"/>
  <c r="W395" i="19"/>
  <c r="S395" i="19"/>
  <c r="U395" i="19" s="1"/>
  <c r="Q395" i="19"/>
  <c r="L395" i="19"/>
  <c r="H395" i="19"/>
  <c r="F395" i="19"/>
  <c r="E395" i="19"/>
  <c r="D395" i="19"/>
  <c r="BR394" i="19"/>
  <c r="BP394" i="19"/>
  <c r="BL394" i="19"/>
  <c r="BN394" i="19" s="1"/>
  <c r="BJ394" i="19"/>
  <c r="BF394" i="19"/>
  <c r="BD394" i="19"/>
  <c r="BE394" i="19" s="1"/>
  <c r="AZ394" i="19"/>
  <c r="BB394" i="19" s="1"/>
  <c r="AX394" i="19"/>
  <c r="AS394" i="19"/>
  <c r="AO394" i="19"/>
  <c r="AQ394" i="19" s="1"/>
  <c r="AM394" i="19"/>
  <c r="AH394" i="19"/>
  <c r="AD394" i="19"/>
  <c r="AB394" i="19"/>
  <c r="W394" i="19"/>
  <c r="S394" i="19"/>
  <c r="U394" i="19" s="1"/>
  <c r="Q394" i="19"/>
  <c r="L394" i="19"/>
  <c r="H394" i="19"/>
  <c r="F394" i="19"/>
  <c r="E394" i="19"/>
  <c r="D394" i="19"/>
  <c r="BR393" i="19"/>
  <c r="BP393" i="19"/>
  <c r="BL393" i="19"/>
  <c r="BN393" i="19" s="1"/>
  <c r="BJ393" i="19"/>
  <c r="BF393" i="19"/>
  <c r="BD393" i="19"/>
  <c r="BI393" i="19" s="1"/>
  <c r="AZ393" i="19"/>
  <c r="BB393" i="19" s="1"/>
  <c r="AX393" i="19"/>
  <c r="AS393" i="19"/>
  <c r="AO393" i="19"/>
  <c r="AM393" i="19"/>
  <c r="AH393" i="19"/>
  <c r="AD393" i="19"/>
  <c r="AB393" i="19"/>
  <c r="W393" i="19"/>
  <c r="S393" i="19"/>
  <c r="U393" i="19" s="1"/>
  <c r="Q393" i="19"/>
  <c r="L393" i="19"/>
  <c r="H393" i="19"/>
  <c r="F393" i="19"/>
  <c r="E393" i="19"/>
  <c r="D393" i="19"/>
  <c r="BR392" i="19"/>
  <c r="BP392" i="19"/>
  <c r="BL392" i="19"/>
  <c r="BN392" i="19" s="1"/>
  <c r="BJ392" i="19"/>
  <c r="BF392" i="19"/>
  <c r="BD392" i="19"/>
  <c r="BI392" i="19" s="1"/>
  <c r="AZ392" i="19"/>
  <c r="AX392" i="19"/>
  <c r="AS392" i="19"/>
  <c r="AO392" i="19"/>
  <c r="AM392" i="19"/>
  <c r="AH392" i="19"/>
  <c r="AD392" i="19"/>
  <c r="AF392" i="19" s="1"/>
  <c r="AB392" i="19"/>
  <c r="W392" i="19"/>
  <c r="S392" i="19"/>
  <c r="U392" i="19" s="1"/>
  <c r="Q392" i="19"/>
  <c r="L392" i="19"/>
  <c r="H392" i="19"/>
  <c r="J392" i="19" s="1"/>
  <c r="F392" i="19"/>
  <c r="E392" i="19"/>
  <c r="D392" i="19"/>
  <c r="BR390" i="19"/>
  <c r="BT390" i="19" s="1"/>
  <c r="BP390" i="19"/>
  <c r="BQ390" i="19" s="1"/>
  <c r="BL390" i="19"/>
  <c r="BN390" i="19" s="1"/>
  <c r="BJ390" i="19"/>
  <c r="BF390" i="19"/>
  <c r="BH390" i="19" s="1"/>
  <c r="BD390" i="19"/>
  <c r="BE390" i="19" s="1"/>
  <c r="AZ390" i="19"/>
  <c r="BB390" i="19" s="1"/>
  <c r="AX390" i="19"/>
  <c r="AS390" i="19"/>
  <c r="AO390" i="19"/>
  <c r="AQ390" i="19" s="1"/>
  <c r="AM390" i="19"/>
  <c r="AH390" i="19"/>
  <c r="AD390" i="19"/>
  <c r="AB390" i="19"/>
  <c r="W390" i="19"/>
  <c r="S390" i="19"/>
  <c r="U390" i="19" s="1"/>
  <c r="Q390" i="19"/>
  <c r="L390" i="19"/>
  <c r="H390" i="19"/>
  <c r="F390" i="19"/>
  <c r="E390" i="19"/>
  <c r="D390" i="19"/>
  <c r="BR389" i="19"/>
  <c r="BP389" i="19"/>
  <c r="BQ389" i="19" s="1"/>
  <c r="BL389" i="19"/>
  <c r="BJ389" i="19"/>
  <c r="BF389" i="19"/>
  <c r="BD389" i="19"/>
  <c r="BI389" i="19" s="1"/>
  <c r="AZ389" i="19"/>
  <c r="BB389" i="19" s="1"/>
  <c r="AX389" i="19"/>
  <c r="AS389" i="19"/>
  <c r="AO389" i="19"/>
  <c r="AM389" i="19"/>
  <c r="AH389" i="19"/>
  <c r="AD389" i="19"/>
  <c r="AF389" i="19" s="1"/>
  <c r="AB389" i="19"/>
  <c r="W389" i="19"/>
  <c r="S389" i="19"/>
  <c r="U389" i="19" s="1"/>
  <c r="Q389" i="19"/>
  <c r="L389" i="19"/>
  <c r="H389" i="19"/>
  <c r="J389" i="19" s="1"/>
  <c r="F389" i="19"/>
  <c r="E389" i="19"/>
  <c r="D389" i="19"/>
  <c r="BR388" i="19"/>
  <c r="BT388" i="19" s="1"/>
  <c r="BP388" i="19"/>
  <c r="BL388" i="19"/>
  <c r="BN388" i="19" s="1"/>
  <c r="BJ388" i="19"/>
  <c r="BO388" i="19" s="1"/>
  <c r="BF388" i="19"/>
  <c r="BH388" i="19" s="1"/>
  <c r="BD388" i="19"/>
  <c r="BE388" i="19" s="1"/>
  <c r="AZ388" i="19"/>
  <c r="BB388" i="19" s="1"/>
  <c r="AX388" i="19"/>
  <c r="AY388" i="19" s="1"/>
  <c r="AS388" i="19"/>
  <c r="AO388" i="19"/>
  <c r="AQ388" i="19" s="1"/>
  <c r="AM388" i="19"/>
  <c r="AH388" i="19"/>
  <c r="AD388" i="19"/>
  <c r="AF388" i="19" s="1"/>
  <c r="AB388" i="19"/>
  <c r="W388" i="19"/>
  <c r="S388" i="19"/>
  <c r="U388" i="19" s="1"/>
  <c r="Q388" i="19"/>
  <c r="L388" i="19"/>
  <c r="H388" i="19"/>
  <c r="J388" i="19" s="1"/>
  <c r="F388" i="19"/>
  <c r="E388" i="19"/>
  <c r="D388" i="19"/>
  <c r="BR387" i="19"/>
  <c r="BT387" i="19" s="1"/>
  <c r="BP387" i="19"/>
  <c r="BL387" i="19"/>
  <c r="BN387" i="19" s="1"/>
  <c r="BJ387" i="19"/>
  <c r="BO387" i="19" s="1"/>
  <c r="BF387" i="19"/>
  <c r="BH387" i="19" s="1"/>
  <c r="BD387" i="19"/>
  <c r="BI387" i="19" s="1"/>
  <c r="AZ387" i="19"/>
  <c r="BB387" i="19" s="1"/>
  <c r="AX387" i="19"/>
  <c r="AY387" i="19" s="1"/>
  <c r="AS387" i="19"/>
  <c r="AO387" i="19"/>
  <c r="AQ387" i="19" s="1"/>
  <c r="AM387" i="19"/>
  <c r="AH387" i="19"/>
  <c r="AD387" i="19"/>
  <c r="AF387" i="19" s="1"/>
  <c r="AB387" i="19"/>
  <c r="W387" i="19"/>
  <c r="S387" i="19"/>
  <c r="U387" i="19" s="1"/>
  <c r="Q387" i="19"/>
  <c r="L387" i="19"/>
  <c r="H387" i="19"/>
  <c r="J387" i="19" s="1"/>
  <c r="F387" i="19"/>
  <c r="E387" i="19"/>
  <c r="D387" i="19"/>
  <c r="BR386" i="19"/>
  <c r="BT386" i="19" s="1"/>
  <c r="BP386" i="19"/>
  <c r="BL386" i="19"/>
  <c r="BN386" i="19" s="1"/>
  <c r="BJ386" i="19"/>
  <c r="BO386" i="19" s="1"/>
  <c r="BF386" i="19"/>
  <c r="BH386" i="19" s="1"/>
  <c r="BD386" i="19"/>
  <c r="BI386" i="19" s="1"/>
  <c r="AZ386" i="19"/>
  <c r="BB386" i="19" s="1"/>
  <c r="AX386" i="19"/>
  <c r="AY386" i="19" s="1"/>
  <c r="AS386" i="19"/>
  <c r="AO386" i="19"/>
  <c r="AQ386" i="19" s="1"/>
  <c r="AM386" i="19"/>
  <c r="AH386" i="19"/>
  <c r="AD386" i="19"/>
  <c r="AF386" i="19" s="1"/>
  <c r="AB386" i="19"/>
  <c r="W386" i="19"/>
  <c r="S386" i="19"/>
  <c r="U386" i="19" s="1"/>
  <c r="Q386" i="19"/>
  <c r="L386" i="19"/>
  <c r="H386" i="19"/>
  <c r="J386" i="19" s="1"/>
  <c r="F386" i="19"/>
  <c r="E386" i="19"/>
  <c r="D386" i="19"/>
  <c r="BR385" i="19"/>
  <c r="BT385" i="19" s="1"/>
  <c r="BP385" i="19"/>
  <c r="BQ385" i="19" s="1"/>
  <c r="BL385" i="19"/>
  <c r="BN385" i="19" s="1"/>
  <c r="BJ385" i="19"/>
  <c r="BO385" i="19" s="1"/>
  <c r="BF385" i="19"/>
  <c r="BH385" i="19" s="1"/>
  <c r="BD385" i="19"/>
  <c r="BE385" i="19" s="1"/>
  <c r="AZ385" i="19"/>
  <c r="BB385" i="19" s="1"/>
  <c r="AX385" i="19"/>
  <c r="AY385" i="19" s="1"/>
  <c r="AS385" i="19"/>
  <c r="AO385" i="19"/>
  <c r="AQ385" i="19" s="1"/>
  <c r="AM385" i="19"/>
  <c r="AH385" i="19"/>
  <c r="AD385" i="19"/>
  <c r="AB385" i="19"/>
  <c r="W385" i="19"/>
  <c r="S385" i="19"/>
  <c r="U385" i="19" s="1"/>
  <c r="Q385" i="19"/>
  <c r="L385" i="19"/>
  <c r="H385" i="19"/>
  <c r="F385" i="19"/>
  <c r="E385" i="19"/>
  <c r="D385" i="19"/>
  <c r="BR384" i="19"/>
  <c r="BT384" i="19" s="1"/>
  <c r="BP384" i="19"/>
  <c r="BL384" i="19"/>
  <c r="BN384" i="19" s="1"/>
  <c r="BJ384" i="19"/>
  <c r="BF384" i="19"/>
  <c r="BD384" i="19"/>
  <c r="AZ384" i="19"/>
  <c r="BB384" i="19" s="1"/>
  <c r="AX384" i="19"/>
  <c r="AY384" i="19" s="1"/>
  <c r="AS384" i="19"/>
  <c r="AO384" i="19"/>
  <c r="AQ384" i="19" s="1"/>
  <c r="AM384" i="19"/>
  <c r="AH384" i="19"/>
  <c r="AD384" i="19"/>
  <c r="AF384" i="19" s="1"/>
  <c r="AB384" i="19"/>
  <c r="W384" i="19"/>
  <c r="S384" i="19"/>
  <c r="U384" i="19" s="1"/>
  <c r="Q384" i="19"/>
  <c r="L384" i="19"/>
  <c r="H384" i="19"/>
  <c r="J384" i="19" s="1"/>
  <c r="F384" i="19"/>
  <c r="E384" i="19"/>
  <c r="D384" i="19"/>
  <c r="BR383" i="19"/>
  <c r="BT383" i="19" s="1"/>
  <c r="BP383" i="19"/>
  <c r="BQ383" i="19" s="1"/>
  <c r="BL383" i="19"/>
  <c r="BN383" i="19" s="1"/>
  <c r="BJ383" i="19"/>
  <c r="BO383" i="19" s="1"/>
  <c r="BF383" i="19"/>
  <c r="BD383" i="19"/>
  <c r="BE383" i="19" s="1"/>
  <c r="AZ383" i="19"/>
  <c r="BB383" i="19" s="1"/>
  <c r="AX383" i="19"/>
  <c r="AS383" i="19"/>
  <c r="AO383" i="19"/>
  <c r="AQ383" i="19" s="1"/>
  <c r="AM383" i="19"/>
  <c r="AH383" i="19"/>
  <c r="AD383" i="19"/>
  <c r="AF383" i="19" s="1"/>
  <c r="AB383" i="19"/>
  <c r="W383" i="19"/>
  <c r="S383" i="19"/>
  <c r="U383" i="19" s="1"/>
  <c r="Q383" i="19"/>
  <c r="L383" i="19"/>
  <c r="H383" i="19"/>
  <c r="F383" i="19"/>
  <c r="E383" i="19"/>
  <c r="D383" i="19"/>
  <c r="BR382" i="19"/>
  <c r="BP382" i="19"/>
  <c r="BU382" i="19" s="1"/>
  <c r="BL382" i="19"/>
  <c r="BN382" i="19" s="1"/>
  <c r="BJ382" i="19"/>
  <c r="BF382" i="19"/>
  <c r="BD382" i="19"/>
  <c r="AZ382" i="19"/>
  <c r="BB382" i="19" s="1"/>
  <c r="AX382" i="19"/>
  <c r="AS382" i="19"/>
  <c r="AO382" i="19"/>
  <c r="AQ382" i="19" s="1"/>
  <c r="AM382" i="19"/>
  <c r="AH382" i="19"/>
  <c r="AD382" i="19"/>
  <c r="AB382" i="19"/>
  <c r="W382" i="19"/>
  <c r="S382" i="19"/>
  <c r="U382" i="19" s="1"/>
  <c r="Q382" i="19"/>
  <c r="L382" i="19"/>
  <c r="H382" i="19"/>
  <c r="F382" i="19"/>
  <c r="E382" i="19"/>
  <c r="D382" i="19"/>
  <c r="BR381" i="19"/>
  <c r="BP381" i="19"/>
  <c r="BU381" i="19" s="1"/>
  <c r="BL381" i="19"/>
  <c r="BN381" i="19" s="1"/>
  <c r="BJ381" i="19"/>
  <c r="BF381" i="19"/>
  <c r="BD381" i="19"/>
  <c r="BI381" i="19" s="1"/>
  <c r="AZ381" i="19"/>
  <c r="BB381" i="19" s="1"/>
  <c r="AX381" i="19"/>
  <c r="AS381" i="19"/>
  <c r="AO381" i="19"/>
  <c r="AQ381" i="19" s="1"/>
  <c r="AM381" i="19"/>
  <c r="AH381" i="19"/>
  <c r="AD381" i="19"/>
  <c r="AB381" i="19"/>
  <c r="W381" i="19"/>
  <c r="S381" i="19"/>
  <c r="U381" i="19" s="1"/>
  <c r="Q381" i="19"/>
  <c r="L381" i="19"/>
  <c r="H381" i="19"/>
  <c r="F381" i="19"/>
  <c r="E381" i="19"/>
  <c r="D381" i="19"/>
  <c r="BR380" i="19"/>
  <c r="BP380" i="19"/>
  <c r="BU380" i="19" s="1"/>
  <c r="BL380" i="19"/>
  <c r="BN380" i="19" s="1"/>
  <c r="BJ380" i="19"/>
  <c r="BF380" i="19"/>
  <c r="BD380" i="19"/>
  <c r="BI380" i="19" s="1"/>
  <c r="AZ380" i="19"/>
  <c r="BB380" i="19" s="1"/>
  <c r="AX380" i="19"/>
  <c r="AS380" i="19"/>
  <c r="AO380" i="19"/>
  <c r="AQ380" i="19" s="1"/>
  <c r="AM380" i="19"/>
  <c r="AH380" i="19"/>
  <c r="AD380" i="19"/>
  <c r="AB380" i="19"/>
  <c r="W380" i="19"/>
  <c r="S380" i="19"/>
  <c r="U380" i="19" s="1"/>
  <c r="Q380" i="19"/>
  <c r="L380" i="19"/>
  <c r="H380" i="19"/>
  <c r="F380" i="19"/>
  <c r="E380" i="19"/>
  <c r="D380" i="19"/>
  <c r="BR379" i="19"/>
  <c r="BP379" i="19"/>
  <c r="BU379" i="19" s="1"/>
  <c r="BL379" i="19"/>
  <c r="BN379" i="19" s="1"/>
  <c r="BJ379" i="19"/>
  <c r="BF379" i="19"/>
  <c r="BD379" i="19"/>
  <c r="BI379" i="19" s="1"/>
  <c r="AZ379" i="19"/>
  <c r="BB379" i="19" s="1"/>
  <c r="AX379" i="19"/>
  <c r="AS379" i="19"/>
  <c r="AO379" i="19"/>
  <c r="AQ379" i="19" s="1"/>
  <c r="AM379" i="19"/>
  <c r="AH379" i="19"/>
  <c r="AD379" i="19"/>
  <c r="AB379" i="19"/>
  <c r="W379" i="19"/>
  <c r="S379" i="19"/>
  <c r="U379" i="19" s="1"/>
  <c r="Q379" i="19"/>
  <c r="L379" i="19"/>
  <c r="H379" i="19"/>
  <c r="J379" i="19" s="1"/>
  <c r="F379" i="19"/>
  <c r="E379" i="19"/>
  <c r="D379" i="19"/>
  <c r="BR378" i="19"/>
  <c r="BT378" i="19" s="1"/>
  <c r="BP378" i="19"/>
  <c r="BU378" i="19" s="1"/>
  <c r="BL378" i="19"/>
  <c r="BN378" i="19" s="1"/>
  <c r="BJ378" i="19"/>
  <c r="BO378" i="19" s="1"/>
  <c r="BF378" i="19"/>
  <c r="BH378" i="19" s="1"/>
  <c r="BD378" i="19"/>
  <c r="BI378" i="19" s="1"/>
  <c r="AZ378" i="19"/>
  <c r="BB378" i="19" s="1"/>
  <c r="AX378" i="19"/>
  <c r="BC378" i="19" s="1"/>
  <c r="AS378" i="19"/>
  <c r="AO378" i="19"/>
  <c r="AQ378" i="19" s="1"/>
  <c r="AM378" i="19"/>
  <c r="AH378" i="19"/>
  <c r="AD378" i="19"/>
  <c r="AF378" i="19" s="1"/>
  <c r="AB378" i="19"/>
  <c r="W378" i="19"/>
  <c r="S378" i="19"/>
  <c r="U378" i="19" s="1"/>
  <c r="Q378" i="19"/>
  <c r="L378" i="19"/>
  <c r="H378" i="19"/>
  <c r="J378" i="19" s="1"/>
  <c r="F378" i="19"/>
  <c r="E378" i="19"/>
  <c r="D378" i="19"/>
  <c r="BR377" i="19"/>
  <c r="BT377" i="19" s="1"/>
  <c r="BP377" i="19"/>
  <c r="BU377" i="19" s="1"/>
  <c r="BL377" i="19"/>
  <c r="BN377" i="19" s="1"/>
  <c r="BJ377" i="19"/>
  <c r="BK377" i="19" s="1"/>
  <c r="BF377" i="19"/>
  <c r="BH377" i="19" s="1"/>
  <c r="BD377" i="19"/>
  <c r="BI377" i="19" s="1"/>
  <c r="AZ377" i="19"/>
  <c r="BB377" i="19" s="1"/>
  <c r="AX377" i="19"/>
  <c r="BC377" i="19" s="1"/>
  <c r="AS377" i="19"/>
  <c r="AO377" i="19"/>
  <c r="AQ377" i="19" s="1"/>
  <c r="AM377" i="19"/>
  <c r="AH377" i="19"/>
  <c r="AD377" i="19"/>
  <c r="AF377" i="19" s="1"/>
  <c r="AB377" i="19"/>
  <c r="W377" i="19"/>
  <c r="S377" i="19"/>
  <c r="U377" i="19" s="1"/>
  <c r="Q377" i="19"/>
  <c r="L377" i="19"/>
  <c r="H377" i="19"/>
  <c r="J377" i="19" s="1"/>
  <c r="F377" i="19"/>
  <c r="E377" i="19"/>
  <c r="D377" i="19"/>
  <c r="BR376" i="19"/>
  <c r="BT376" i="19" s="1"/>
  <c r="BP376" i="19"/>
  <c r="BQ376" i="19" s="1"/>
  <c r="BL376" i="19"/>
  <c r="BN376" i="19" s="1"/>
  <c r="BJ376" i="19"/>
  <c r="BO376" i="19" s="1"/>
  <c r="BF376" i="19"/>
  <c r="BH376" i="19" s="1"/>
  <c r="BD376" i="19"/>
  <c r="BI376" i="19" s="1"/>
  <c r="AZ376" i="19"/>
  <c r="BB376" i="19" s="1"/>
  <c r="AX376" i="19"/>
  <c r="BC376" i="19" s="1"/>
  <c r="AS376" i="19"/>
  <c r="AO376" i="19"/>
  <c r="AQ376" i="19" s="1"/>
  <c r="AM376" i="19"/>
  <c r="AH376" i="19"/>
  <c r="AD376" i="19"/>
  <c r="AF376" i="19" s="1"/>
  <c r="AB376" i="19"/>
  <c r="W376" i="19"/>
  <c r="S376" i="19"/>
  <c r="U376" i="19" s="1"/>
  <c r="Q376" i="19"/>
  <c r="L376" i="19"/>
  <c r="H376" i="19"/>
  <c r="J376" i="19" s="1"/>
  <c r="F376" i="19"/>
  <c r="E376" i="19"/>
  <c r="D376" i="19"/>
  <c r="BR375" i="19"/>
  <c r="BT375" i="19" s="1"/>
  <c r="BP375" i="19"/>
  <c r="BU375" i="19" s="1"/>
  <c r="BL375" i="19"/>
  <c r="BN375" i="19" s="1"/>
  <c r="BJ375" i="19"/>
  <c r="BO375" i="19" s="1"/>
  <c r="BF375" i="19"/>
  <c r="BH375" i="19" s="1"/>
  <c r="BD375" i="19"/>
  <c r="BI375" i="19" s="1"/>
  <c r="AZ375" i="19"/>
  <c r="BB375" i="19" s="1"/>
  <c r="AX375" i="19"/>
  <c r="BC375" i="19" s="1"/>
  <c r="AS375" i="19"/>
  <c r="AO375" i="19"/>
  <c r="AQ375" i="19" s="1"/>
  <c r="AM375" i="19"/>
  <c r="AH375" i="19"/>
  <c r="AD375" i="19"/>
  <c r="AF375" i="19" s="1"/>
  <c r="AB375" i="19"/>
  <c r="W375" i="19"/>
  <c r="S375" i="19"/>
  <c r="U375" i="19" s="1"/>
  <c r="Q375" i="19"/>
  <c r="L375" i="19"/>
  <c r="H375" i="19"/>
  <c r="J375" i="19" s="1"/>
  <c r="F375" i="19"/>
  <c r="E375" i="19"/>
  <c r="D375" i="19"/>
  <c r="BR374" i="19"/>
  <c r="BT374" i="19" s="1"/>
  <c r="BP374" i="19"/>
  <c r="BQ374" i="19" s="1"/>
  <c r="BL374" i="19"/>
  <c r="BN374" i="19" s="1"/>
  <c r="BJ374" i="19"/>
  <c r="BO374" i="19" s="1"/>
  <c r="BF374" i="19"/>
  <c r="BH374" i="19" s="1"/>
  <c r="BD374" i="19"/>
  <c r="BI374" i="19" s="1"/>
  <c r="AZ374" i="19"/>
  <c r="BB374" i="19" s="1"/>
  <c r="AX374" i="19"/>
  <c r="BC374" i="19" s="1"/>
  <c r="AS374" i="19"/>
  <c r="AO374" i="19"/>
  <c r="AQ374" i="19" s="1"/>
  <c r="AM374" i="19"/>
  <c r="AH374" i="19"/>
  <c r="AD374" i="19"/>
  <c r="AF374" i="19" s="1"/>
  <c r="AB374" i="19"/>
  <c r="W374" i="19"/>
  <c r="S374" i="19"/>
  <c r="U374" i="19" s="1"/>
  <c r="Q374" i="19"/>
  <c r="L374" i="19"/>
  <c r="H374" i="19"/>
  <c r="J374" i="19" s="1"/>
  <c r="F374" i="19"/>
  <c r="E374" i="19"/>
  <c r="D374" i="19"/>
  <c r="AC378" i="19" l="1"/>
  <c r="AI378" i="19" s="1"/>
  <c r="AK378" i="19" s="1"/>
  <c r="AC383" i="19"/>
  <c r="AE383" i="19" s="1"/>
  <c r="BU383" i="19"/>
  <c r="AN389" i="19"/>
  <c r="AP389" i="19" s="1"/>
  <c r="AR389" i="19" s="1"/>
  <c r="AN393" i="19"/>
  <c r="AT393" i="19" s="1"/>
  <c r="AV393" i="19" s="1"/>
  <c r="BI394" i="19"/>
  <c r="G398" i="19"/>
  <c r="R398" i="19" s="1"/>
  <c r="T398" i="19" s="1"/>
  <c r="V398" i="19" s="1"/>
  <c r="AC398" i="19"/>
  <c r="AE398" i="19" s="1"/>
  <c r="G399" i="19"/>
  <c r="R399" i="19" s="1"/>
  <c r="T399" i="19" s="1"/>
  <c r="V399" i="19" s="1"/>
  <c r="BG388" i="19"/>
  <c r="BI385" i="19"/>
  <c r="AC396" i="19"/>
  <c r="AE396" i="19" s="1"/>
  <c r="BC385" i="19"/>
  <c r="BU396" i="19"/>
  <c r="BQ381" i="19"/>
  <c r="BS381" i="19" s="1"/>
  <c r="BG385" i="19"/>
  <c r="AC387" i="19"/>
  <c r="AE387" i="19" s="1"/>
  <c r="BK375" i="19"/>
  <c r="BM375" i="19" s="1"/>
  <c r="BQ380" i="19"/>
  <c r="BS380" i="19" s="1"/>
  <c r="BE386" i="19"/>
  <c r="BG386" i="19" s="1"/>
  <c r="BK386" i="19"/>
  <c r="BM386" i="19" s="1"/>
  <c r="BK387" i="19"/>
  <c r="BM387" i="19" s="1"/>
  <c r="AC388" i="19"/>
  <c r="AE388" i="19" s="1"/>
  <c r="BE393" i="19"/>
  <c r="BG393" i="19" s="1"/>
  <c r="AY376" i="19"/>
  <c r="BA376" i="19" s="1"/>
  <c r="AC377" i="19"/>
  <c r="AI377" i="19" s="1"/>
  <c r="AJ377" i="19" s="1"/>
  <c r="BE377" i="19"/>
  <c r="BG377" i="19" s="1"/>
  <c r="BE378" i="19"/>
  <c r="BG378" i="19" s="1"/>
  <c r="AN382" i="19"/>
  <c r="AP382" i="19" s="1"/>
  <c r="AR382" i="19" s="1"/>
  <c r="BI383" i="19"/>
  <c r="BU385" i="19"/>
  <c r="BE387" i="19"/>
  <c r="BG387" i="19" s="1"/>
  <c r="BI388" i="19"/>
  <c r="AN390" i="19"/>
  <c r="AP390" i="19" s="1"/>
  <c r="AR390" i="19" s="1"/>
  <c r="BQ378" i="19"/>
  <c r="BS378" i="19" s="1"/>
  <c r="BE379" i="19"/>
  <c r="BG379" i="19" s="1"/>
  <c r="AN381" i="19"/>
  <c r="AT381" i="19" s="1"/>
  <c r="AU381" i="19" s="1"/>
  <c r="AW381" i="19" s="1"/>
  <c r="BS396" i="19"/>
  <c r="BA398" i="19"/>
  <c r="BK374" i="19"/>
  <c r="BM374" i="19" s="1"/>
  <c r="AY375" i="19"/>
  <c r="BA375" i="19" s="1"/>
  <c r="BK376" i="19"/>
  <c r="BM376" i="19" s="1"/>
  <c r="BQ379" i="19"/>
  <c r="BS379" i="19" s="1"/>
  <c r="BQ382" i="19"/>
  <c r="BS382" i="19" s="1"/>
  <c r="BE389" i="19"/>
  <c r="BG389" i="19" s="1"/>
  <c r="BE392" i="19"/>
  <c r="BG392" i="19" s="1"/>
  <c r="BQ395" i="19"/>
  <c r="BS395" i="19" s="1"/>
  <c r="BE398" i="19"/>
  <c r="BG398" i="19" s="1"/>
  <c r="BK398" i="19"/>
  <c r="BM398" i="19" s="1"/>
  <c r="BE399" i="19"/>
  <c r="BG399" i="19" s="1"/>
  <c r="BK399" i="19"/>
  <c r="BM399" i="19" s="1"/>
  <c r="AN379" i="19"/>
  <c r="AP379" i="19" s="1"/>
  <c r="AR379" i="19" s="1"/>
  <c r="BE380" i="19"/>
  <c r="BG380" i="19" s="1"/>
  <c r="BE381" i="19"/>
  <c r="BG381" i="19" s="1"/>
  <c r="BK383" i="19"/>
  <c r="BM383" i="19" s="1"/>
  <c r="BK385" i="19"/>
  <c r="BM385" i="19" s="1"/>
  <c r="BK388" i="19"/>
  <c r="BM388" i="19" s="1"/>
  <c r="BI390" i="19"/>
  <c r="BO400" i="19"/>
  <c r="AN394" i="19"/>
  <c r="AP394" i="19" s="1"/>
  <c r="AR394" i="19" s="1"/>
  <c r="AY396" i="19"/>
  <c r="BA396" i="19" s="1"/>
  <c r="BI382" i="19"/>
  <c r="BE382" i="19"/>
  <c r="BG382" i="19" s="1"/>
  <c r="BO384" i="19"/>
  <c r="BK384" i="19"/>
  <c r="BM384" i="19" s="1"/>
  <c r="BU387" i="19"/>
  <c r="BQ387" i="19"/>
  <c r="BS387" i="19" s="1"/>
  <c r="BU388" i="19"/>
  <c r="BQ388" i="19"/>
  <c r="BS388" i="19" s="1"/>
  <c r="BE395" i="19"/>
  <c r="BG395" i="19" s="1"/>
  <c r="BI395" i="19"/>
  <c r="AY374" i="19"/>
  <c r="BA374" i="19" s="1"/>
  <c r="BM377" i="19"/>
  <c r="BQ377" i="19"/>
  <c r="BS377" i="19" s="1"/>
  <c r="BA386" i="19"/>
  <c r="BA387" i="19"/>
  <c r="BA388" i="19"/>
  <c r="BU394" i="19"/>
  <c r="BQ394" i="19"/>
  <c r="BS394" i="19" s="1"/>
  <c r="BU386" i="19"/>
  <c r="BQ386" i="19"/>
  <c r="BS386" i="19" s="1"/>
  <c r="BQ393" i="19"/>
  <c r="BS393" i="19" s="1"/>
  <c r="BU393" i="19"/>
  <c r="BS376" i="19"/>
  <c r="AN380" i="19"/>
  <c r="AP380" i="19" s="1"/>
  <c r="AR380" i="19" s="1"/>
  <c r="BI384" i="19"/>
  <c r="BE384" i="19"/>
  <c r="BG384" i="19" s="1"/>
  <c r="BU384" i="19"/>
  <c r="BQ384" i="19"/>
  <c r="BS384" i="19" s="1"/>
  <c r="BU389" i="19"/>
  <c r="BM396" i="19"/>
  <c r="BS374" i="19"/>
  <c r="BC386" i="19"/>
  <c r="BC387" i="19"/>
  <c r="BC388" i="19"/>
  <c r="BC398" i="19"/>
  <c r="BO396" i="19"/>
  <c r="AC399" i="19"/>
  <c r="AI399" i="19" s="1"/>
  <c r="AK399" i="19" s="1"/>
  <c r="G400" i="19"/>
  <c r="R400" i="19" s="1"/>
  <c r="AC384" i="19"/>
  <c r="AI384" i="19" s="1"/>
  <c r="AJ384" i="19" s="1"/>
  <c r="BA384" i="19"/>
  <c r="BA385" i="19"/>
  <c r="BE396" i="19"/>
  <c r="BG396" i="19" s="1"/>
  <c r="BQ398" i="19"/>
  <c r="BS398" i="19" s="1"/>
  <c r="BQ399" i="19"/>
  <c r="BS399" i="19" s="1"/>
  <c r="AN392" i="19"/>
  <c r="AT392" i="19" s="1"/>
  <c r="AV392" i="19" s="1"/>
  <c r="G377" i="19"/>
  <c r="R377" i="19" s="1"/>
  <c r="X377" i="19" s="1"/>
  <c r="Z377" i="19" s="1"/>
  <c r="AC394" i="19"/>
  <c r="AI394" i="19" s="1"/>
  <c r="G396" i="19"/>
  <c r="R396" i="19" s="1"/>
  <c r="T396" i="19" s="1"/>
  <c r="V396" i="19" s="1"/>
  <c r="G392" i="19"/>
  <c r="R392" i="19" s="1"/>
  <c r="AC392" i="19"/>
  <c r="AI392" i="19" s="1"/>
  <c r="G393" i="19"/>
  <c r="R393" i="19" s="1"/>
  <c r="T393" i="19" s="1"/>
  <c r="V393" i="19" s="1"/>
  <c r="G394" i="19"/>
  <c r="R394" i="19" s="1"/>
  <c r="T394" i="19" s="1"/>
  <c r="V394" i="19" s="1"/>
  <c r="AC390" i="19"/>
  <c r="AE390" i="19" s="1"/>
  <c r="AC389" i="19"/>
  <c r="AE389" i="19" s="1"/>
  <c r="G390" i="19"/>
  <c r="M390" i="19" s="1"/>
  <c r="N390" i="19" s="1"/>
  <c r="BS390" i="19"/>
  <c r="AC382" i="19"/>
  <c r="AE382" i="19" s="1"/>
  <c r="G383" i="19"/>
  <c r="R383" i="19" s="1"/>
  <c r="T383" i="19" s="1"/>
  <c r="V383" i="19" s="1"/>
  <c r="G382" i="19"/>
  <c r="R382" i="19" s="1"/>
  <c r="X382" i="19" s="1"/>
  <c r="Z382" i="19" s="1"/>
  <c r="G378" i="19"/>
  <c r="M378" i="19" s="1"/>
  <c r="O378" i="19" s="1"/>
  <c r="G380" i="19"/>
  <c r="R380" i="19" s="1"/>
  <c r="T380" i="19" s="1"/>
  <c r="V380" i="19" s="1"/>
  <c r="AC380" i="19"/>
  <c r="AE380" i="19" s="1"/>
  <c r="BO380" i="19"/>
  <c r="BK380" i="19"/>
  <c r="BM380" i="19" s="1"/>
  <c r="AN374" i="19"/>
  <c r="AP374" i="19" s="1"/>
  <c r="AR374" i="19" s="1"/>
  <c r="AN375" i="19"/>
  <c r="BU376" i="19"/>
  <c r="BO377" i="19"/>
  <c r="BQ392" i="19"/>
  <c r="BS392" i="19" s="1"/>
  <c r="BU392" i="19"/>
  <c r="AF381" i="19"/>
  <c r="BT382" i="19"/>
  <c r="J385" i="19"/>
  <c r="AN376" i="19"/>
  <c r="AT376" i="19" s="1"/>
  <c r="AV376" i="19" s="1"/>
  <c r="AC379" i="19"/>
  <c r="AE379" i="19" s="1"/>
  <c r="BO379" i="19"/>
  <c r="BK379" i="19"/>
  <c r="BM379" i="19" s="1"/>
  <c r="AF380" i="19"/>
  <c r="BH381" i="19"/>
  <c r="BH383" i="19"/>
  <c r="BG383" i="19"/>
  <c r="AC374" i="19"/>
  <c r="BE374" i="19"/>
  <c r="BG374" i="19" s="1"/>
  <c r="BU374" i="19"/>
  <c r="G375" i="19"/>
  <c r="AC375" i="19"/>
  <c r="BE375" i="19"/>
  <c r="BG375" i="19" s="1"/>
  <c r="BQ375" i="19"/>
  <c r="BS375" i="19" s="1"/>
  <c r="G376" i="19"/>
  <c r="AC376" i="19"/>
  <c r="BE376" i="19"/>
  <c r="BG376" i="19" s="1"/>
  <c r="AY377" i="19"/>
  <c r="BA377" i="19" s="1"/>
  <c r="AN378" i="19"/>
  <c r="AT378" i="19" s="1"/>
  <c r="AV378" i="19" s="1"/>
  <c r="BK378" i="19"/>
  <c r="BM378" i="19" s="1"/>
  <c r="AF379" i="19"/>
  <c r="BH380" i="19"/>
  <c r="BT380" i="19"/>
  <c r="BC382" i="19"/>
  <c r="AY382" i="19"/>
  <c r="BA382" i="19" s="1"/>
  <c r="BO382" i="19"/>
  <c r="BK382" i="19"/>
  <c r="BM382" i="19" s="1"/>
  <c r="J383" i="19"/>
  <c r="AN383" i="19"/>
  <c r="AP383" i="19" s="1"/>
  <c r="AR383" i="19" s="1"/>
  <c r="BH384" i="19"/>
  <c r="AF385" i="19"/>
  <c r="AC386" i="19"/>
  <c r="G386" i="19"/>
  <c r="M386" i="19" s="1"/>
  <c r="N386" i="19" s="1"/>
  <c r="BN389" i="19"/>
  <c r="BC380" i="19"/>
  <c r="AY380" i="19"/>
  <c r="BA380" i="19" s="1"/>
  <c r="J381" i="19"/>
  <c r="BH382" i="19"/>
  <c r="AN377" i="19"/>
  <c r="AP377" i="19" s="1"/>
  <c r="AR377" i="19" s="1"/>
  <c r="BC379" i="19"/>
  <c r="AY379" i="19"/>
  <c r="BA379" i="19" s="1"/>
  <c r="J380" i="19"/>
  <c r="BT381" i="19"/>
  <c r="G374" i="19"/>
  <c r="AY378" i="19"/>
  <c r="BA378" i="19" s="1"/>
  <c r="G379" i="19"/>
  <c r="R379" i="19" s="1"/>
  <c r="BH379" i="19"/>
  <c r="BT379" i="19"/>
  <c r="G381" i="19"/>
  <c r="R381" i="19" s="1"/>
  <c r="T381" i="19" s="1"/>
  <c r="V381" i="19" s="1"/>
  <c r="AC381" i="19"/>
  <c r="BC381" i="19"/>
  <c r="AY381" i="19"/>
  <c r="BA381" i="19" s="1"/>
  <c r="BO381" i="19"/>
  <c r="BK381" i="19"/>
  <c r="BM381" i="19" s="1"/>
  <c r="J382" i="19"/>
  <c r="AF382" i="19"/>
  <c r="BC383" i="19"/>
  <c r="AY383" i="19"/>
  <c r="BA383" i="19" s="1"/>
  <c r="BS383" i="19"/>
  <c r="AN386" i="19"/>
  <c r="BC384" i="19"/>
  <c r="AC385" i="19"/>
  <c r="AE385" i="19" s="1"/>
  <c r="G385" i="19"/>
  <c r="R385" i="19" s="1"/>
  <c r="AN385" i="19"/>
  <c r="AN387" i="19"/>
  <c r="G384" i="19"/>
  <c r="M384" i="19" s="1"/>
  <c r="O384" i="19" s="1"/>
  <c r="AN384" i="19"/>
  <c r="BS385" i="19"/>
  <c r="AN388" i="19"/>
  <c r="BC394" i="19"/>
  <c r="AY394" i="19"/>
  <c r="BA394" i="19" s="1"/>
  <c r="AQ389" i="19"/>
  <c r="J390" i="19"/>
  <c r="AF390" i="19"/>
  <c r="J395" i="19"/>
  <c r="AF395" i="19"/>
  <c r="AF400" i="19"/>
  <c r="G387" i="19"/>
  <c r="G388" i="19"/>
  <c r="G389" i="19"/>
  <c r="BH389" i="19"/>
  <c r="BC390" i="19"/>
  <c r="AY390" i="19"/>
  <c r="BA390" i="19" s="1"/>
  <c r="AQ392" i="19"/>
  <c r="BB392" i="19"/>
  <c r="BO392" i="19"/>
  <c r="BK392" i="19"/>
  <c r="BM392" i="19" s="1"/>
  <c r="AQ393" i="19"/>
  <c r="AN395" i="19"/>
  <c r="AP395" i="19" s="1"/>
  <c r="AR395" i="19" s="1"/>
  <c r="AC395" i="19"/>
  <c r="AE395" i="19" s="1"/>
  <c r="G395" i="19"/>
  <c r="R395" i="19" s="1"/>
  <c r="X395" i="19" s="1"/>
  <c r="Z395" i="19" s="1"/>
  <c r="BO389" i="19"/>
  <c r="BK389" i="19"/>
  <c r="BM389" i="19" s="1"/>
  <c r="BO394" i="19"/>
  <c r="BK394" i="19"/>
  <c r="BM394" i="19" s="1"/>
  <c r="AC393" i="19"/>
  <c r="AE393" i="19" s="1"/>
  <c r="BC393" i="19"/>
  <c r="AY393" i="19"/>
  <c r="BA393" i="19" s="1"/>
  <c r="BO393" i="19"/>
  <c r="BK393" i="19"/>
  <c r="BM393" i="19" s="1"/>
  <c r="J394" i="19"/>
  <c r="AF394" i="19"/>
  <c r="AN398" i="19"/>
  <c r="AT398" i="19" s="1"/>
  <c r="AV398" i="19" s="1"/>
  <c r="BS389" i="19"/>
  <c r="BO390" i="19"/>
  <c r="BK390" i="19"/>
  <c r="BM390" i="19" s="1"/>
  <c r="BU390" i="19"/>
  <c r="BH392" i="19"/>
  <c r="J393" i="19"/>
  <c r="AF393" i="19"/>
  <c r="BH394" i="19"/>
  <c r="BG394" i="19"/>
  <c r="BT394" i="19"/>
  <c r="BC389" i="19"/>
  <c r="AY389" i="19"/>
  <c r="BA389" i="19" s="1"/>
  <c r="BT389" i="19"/>
  <c r="BG390" i="19"/>
  <c r="BC392" i="19"/>
  <c r="AY392" i="19"/>
  <c r="BA392" i="19" s="1"/>
  <c r="BT392" i="19"/>
  <c r="BH393" i="19"/>
  <c r="BT393" i="19"/>
  <c r="BC395" i="19"/>
  <c r="AY395" i="19"/>
  <c r="BA395" i="19" s="1"/>
  <c r="BK395" i="19"/>
  <c r="BM395" i="19" s="1"/>
  <c r="AN396" i="19"/>
  <c r="AT396" i="19" s="1"/>
  <c r="U398" i="19"/>
  <c r="AQ398" i="19"/>
  <c r="J400" i="19"/>
  <c r="U400" i="19"/>
  <c r="BC400" i="19"/>
  <c r="AF401" i="19"/>
  <c r="AN400" i="19"/>
  <c r="AF402" i="19"/>
  <c r="AN399" i="19"/>
  <c r="BA400" i="19"/>
  <c r="BM400" i="19"/>
  <c r="BC401" i="19"/>
  <c r="AY401" i="19"/>
  <c r="BA401" i="19" s="1"/>
  <c r="BH401" i="19"/>
  <c r="BC402" i="19"/>
  <c r="AY402" i="19"/>
  <c r="BA402" i="19" s="1"/>
  <c r="BH402" i="19"/>
  <c r="AY399" i="19"/>
  <c r="BA399" i="19" s="1"/>
  <c r="BO401" i="19"/>
  <c r="BK401" i="19"/>
  <c r="BM401" i="19" s="1"/>
  <c r="BT401" i="19"/>
  <c r="J402" i="19"/>
  <c r="BO402" i="19"/>
  <c r="BK402" i="19"/>
  <c r="BM402" i="19" s="1"/>
  <c r="BT402" i="19"/>
  <c r="AN401" i="19"/>
  <c r="AN402" i="19"/>
  <c r="AC400" i="19"/>
  <c r="AE400" i="19" s="1"/>
  <c r="BE400" i="19"/>
  <c r="BG400" i="19" s="1"/>
  <c r="BQ400" i="19"/>
  <c r="BS400" i="19" s="1"/>
  <c r="G401" i="19"/>
  <c r="AC401" i="19"/>
  <c r="AE401" i="19" s="1"/>
  <c r="BE401" i="19"/>
  <c r="BG401" i="19" s="1"/>
  <c r="BQ401" i="19"/>
  <c r="BS401" i="19" s="1"/>
  <c r="G402" i="19"/>
  <c r="R402" i="19" s="1"/>
  <c r="AC402" i="19"/>
  <c r="AE402" i="19" s="1"/>
  <c r="BE402" i="19"/>
  <c r="BG402" i="19" s="1"/>
  <c r="BQ402" i="19"/>
  <c r="BS402" i="19" s="1"/>
  <c r="AT382" i="19" l="1"/>
  <c r="AV382" i="19" s="1"/>
  <c r="AE378" i="19"/>
  <c r="AP393" i="19"/>
  <c r="AR393" i="19" s="1"/>
  <c r="AG402" i="19"/>
  <c r="AG401" i="19"/>
  <c r="AG395" i="19"/>
  <c r="P386" i="19"/>
  <c r="P390" i="19"/>
  <c r="AG383" i="19"/>
  <c r="AG400" i="19"/>
  <c r="AG385" i="19"/>
  <c r="AG379" i="19"/>
  <c r="AG380" i="19"/>
  <c r="AG389" i="19"/>
  <c r="AL384" i="19"/>
  <c r="AL377" i="19"/>
  <c r="AG388" i="19"/>
  <c r="AG387" i="19"/>
  <c r="AG382" i="19"/>
  <c r="AG390" i="19"/>
  <c r="AG393" i="19"/>
  <c r="AG396" i="19"/>
  <c r="AG398" i="19"/>
  <c r="AI383" i="19"/>
  <c r="AJ383" i="19" s="1"/>
  <c r="AP381" i="19"/>
  <c r="AR381" i="19" s="1"/>
  <c r="AT379" i="19"/>
  <c r="AU379" i="19" s="1"/>
  <c r="AW379" i="19" s="1"/>
  <c r="AE377" i="19"/>
  <c r="X398" i="19"/>
  <c r="Y398" i="19" s="1"/>
  <c r="AA398" i="19" s="1"/>
  <c r="M398" i="19"/>
  <c r="O398" i="19" s="1"/>
  <c r="AI387" i="19"/>
  <c r="AJ387" i="19" s="1"/>
  <c r="I398" i="19"/>
  <c r="AE384" i="19"/>
  <c r="I383" i="19"/>
  <c r="AI388" i="19"/>
  <c r="AJ388" i="19" s="1"/>
  <c r="X383" i="19"/>
  <c r="Z383" i="19" s="1"/>
  <c r="T395" i="19"/>
  <c r="V395" i="19" s="1"/>
  <c r="T377" i="19"/>
  <c r="V377" i="19" s="1"/>
  <c r="AI398" i="19"/>
  <c r="AK398" i="19" s="1"/>
  <c r="M383" i="19"/>
  <c r="N383" i="19" s="1"/>
  <c r="X394" i="19"/>
  <c r="Z394" i="19" s="1"/>
  <c r="AT389" i="19"/>
  <c r="AV389" i="19" s="1"/>
  <c r="M394" i="19"/>
  <c r="O394" i="19" s="1"/>
  <c r="AI389" i="19"/>
  <c r="AK389" i="19" s="1"/>
  <c r="I394" i="19"/>
  <c r="X399" i="19"/>
  <c r="Z399" i="19" s="1"/>
  <c r="Y382" i="19"/>
  <c r="AA382" i="19" s="1"/>
  <c r="AT390" i="19"/>
  <c r="AU390" i="19" s="1"/>
  <c r="AW390" i="19" s="1"/>
  <c r="M399" i="19"/>
  <c r="O399" i="19" s="1"/>
  <c r="I399" i="19"/>
  <c r="I380" i="19"/>
  <c r="AT380" i="19"/>
  <c r="AV380" i="19" s="1"/>
  <c r="AI390" i="19"/>
  <c r="AJ390" i="19" s="1"/>
  <c r="I396" i="19"/>
  <c r="AI382" i="19"/>
  <c r="AJ382" i="19" s="1"/>
  <c r="X393" i="19"/>
  <c r="Y393" i="19" s="1"/>
  <c r="AA393" i="19" s="1"/>
  <c r="M380" i="19"/>
  <c r="O380" i="19" s="1"/>
  <c r="AI396" i="19"/>
  <c r="AE399" i="19"/>
  <c r="M377" i="19"/>
  <c r="N377" i="19" s="1"/>
  <c r="AT394" i="19"/>
  <c r="AV394" i="19" s="1"/>
  <c r="AP392" i="19"/>
  <c r="AR392" i="19" s="1"/>
  <c r="R390" i="19"/>
  <c r="I377" i="19"/>
  <c r="T400" i="19"/>
  <c r="V400" i="19" s="1"/>
  <c r="AU392" i="19"/>
  <c r="AW392" i="19" s="1"/>
  <c r="AI395" i="19"/>
  <c r="AJ395" i="19" s="1"/>
  <c r="AT395" i="19"/>
  <c r="AU395" i="19" s="1"/>
  <c r="AW395" i="19" s="1"/>
  <c r="AK384" i="19"/>
  <c r="I382" i="19"/>
  <c r="M382" i="19"/>
  <c r="N382" i="19" s="1"/>
  <c r="X400" i="19"/>
  <c r="Z400" i="19" s="1"/>
  <c r="M400" i="19"/>
  <c r="O400" i="19" s="1"/>
  <c r="I400" i="19"/>
  <c r="AE392" i="19"/>
  <c r="T382" i="19"/>
  <c r="V382" i="19" s="1"/>
  <c r="AK392" i="19"/>
  <c r="AJ392" i="19"/>
  <c r="X380" i="19"/>
  <c r="M396" i="19"/>
  <c r="O396" i="19" s="1"/>
  <c r="AT383" i="19"/>
  <c r="AV383" i="19" s="1"/>
  <c r="X396" i="19"/>
  <c r="AK377" i="19"/>
  <c r="Y377" i="19"/>
  <c r="AA377" i="19" s="1"/>
  <c r="AI402" i="19"/>
  <c r="AJ402" i="19" s="1"/>
  <c r="AI401" i="19"/>
  <c r="AK401" i="19" s="1"/>
  <c r="AK394" i="19"/>
  <c r="AJ394" i="19"/>
  <c r="AE394" i="19"/>
  <c r="I392" i="19"/>
  <c r="I393" i="19"/>
  <c r="M392" i="19"/>
  <c r="O392" i="19" s="1"/>
  <c r="M393" i="19"/>
  <c r="N393" i="19" s="1"/>
  <c r="I390" i="19"/>
  <c r="AI380" i="19"/>
  <c r="AK380" i="19" s="1"/>
  <c r="AJ399" i="19"/>
  <c r="Y395" i="19"/>
  <c r="AA395" i="19" s="1"/>
  <c r="AP396" i="19"/>
  <c r="AR396" i="19" s="1"/>
  <c r="X392" i="19"/>
  <c r="T392" i="19"/>
  <c r="V392" i="19" s="1"/>
  <c r="AI385" i="19"/>
  <c r="AK385" i="19" s="1"/>
  <c r="I381" i="19"/>
  <c r="T379" i="19"/>
  <c r="V379" i="19" s="1"/>
  <c r="AV381" i="19"/>
  <c r="X379" i="19"/>
  <c r="Z379" i="19" s="1"/>
  <c r="AJ378" i="19"/>
  <c r="R378" i="19"/>
  <c r="I378" i="19"/>
  <c r="AT377" i="19"/>
  <c r="AV377" i="19" s="1"/>
  <c r="AP376" i="19"/>
  <c r="AR376" i="19" s="1"/>
  <c r="AV396" i="19"/>
  <c r="AU396" i="19"/>
  <c r="AW396" i="19" s="1"/>
  <c r="X402" i="19"/>
  <c r="Z402" i="19" s="1"/>
  <c r="T402" i="19"/>
  <c r="V402" i="19" s="1"/>
  <c r="O386" i="19"/>
  <c r="AP402" i="19"/>
  <c r="AR402" i="19" s="1"/>
  <c r="AT402" i="19"/>
  <c r="AV402" i="19" s="1"/>
  <c r="AT388" i="19"/>
  <c r="AV388" i="19" s="1"/>
  <c r="AP388" i="19"/>
  <c r="AR388" i="19" s="1"/>
  <c r="N384" i="19"/>
  <c r="R386" i="19"/>
  <c r="I386" i="19"/>
  <c r="AI381" i="19"/>
  <c r="AK381" i="19" s="1"/>
  <c r="N378" i="19"/>
  <c r="R376" i="19"/>
  <c r="M376" i="19"/>
  <c r="O376" i="19" s="1"/>
  <c r="I376" i="19"/>
  <c r="R375" i="19"/>
  <c r="M375" i="19"/>
  <c r="O375" i="19" s="1"/>
  <c r="I375" i="19"/>
  <c r="X381" i="19"/>
  <c r="Z381" i="19" s="1"/>
  <c r="I379" i="19"/>
  <c r="I385" i="19"/>
  <c r="AE381" i="19"/>
  <c r="AI379" i="19"/>
  <c r="AK379" i="19" s="1"/>
  <c r="M379" i="19"/>
  <c r="O379" i="19" s="1"/>
  <c r="AP399" i="19"/>
  <c r="AR399" i="19" s="1"/>
  <c r="AP400" i="19"/>
  <c r="AR400" i="19" s="1"/>
  <c r="AT400" i="19"/>
  <c r="AV400" i="19" s="1"/>
  <c r="R401" i="19"/>
  <c r="M401" i="19"/>
  <c r="O401" i="19" s="1"/>
  <c r="I401" i="19"/>
  <c r="AP401" i="19"/>
  <c r="AR401" i="19" s="1"/>
  <c r="AT401" i="19"/>
  <c r="AV401" i="19" s="1"/>
  <c r="AI400" i="19"/>
  <c r="AK400" i="19" s="1"/>
  <c r="AP398" i="19"/>
  <c r="AR398" i="19" s="1"/>
  <c r="I402" i="19"/>
  <c r="M395" i="19"/>
  <c r="O395" i="19" s="1"/>
  <c r="AU393" i="19"/>
  <c r="AW393" i="19" s="1"/>
  <c r="O390" i="19"/>
  <c r="I395" i="19"/>
  <c r="R384" i="19"/>
  <c r="I384" i="19"/>
  <c r="AT387" i="19"/>
  <c r="AV387" i="19" s="1"/>
  <c r="AP387" i="19"/>
  <c r="AR387" i="19" s="1"/>
  <c r="AP385" i="19"/>
  <c r="AR385" i="19" s="1"/>
  <c r="AT385" i="19"/>
  <c r="AV385" i="19" s="1"/>
  <c r="T385" i="19"/>
  <c r="V385" i="19" s="1"/>
  <c r="X385" i="19"/>
  <c r="Z385" i="19" s="1"/>
  <c r="AI386" i="19"/>
  <c r="AE386" i="19"/>
  <c r="AU378" i="19"/>
  <c r="AW378" i="19" s="1"/>
  <c r="AP378" i="19"/>
  <c r="AR378" i="19" s="1"/>
  <c r="AI376" i="19"/>
  <c r="AK376" i="19" s="1"/>
  <c r="AE376" i="19"/>
  <c r="AE374" i="19"/>
  <c r="AI374" i="19"/>
  <c r="AK374" i="19" s="1"/>
  <c r="AU376" i="19"/>
  <c r="AW376" i="19" s="1"/>
  <c r="M385" i="19"/>
  <c r="AI393" i="19"/>
  <c r="AK393" i="19" s="1"/>
  <c r="AT375" i="19"/>
  <c r="AV375" i="19" s="1"/>
  <c r="AP375" i="19"/>
  <c r="AR375" i="19" s="1"/>
  <c r="AU398" i="19"/>
  <c r="AW398" i="19" s="1"/>
  <c r="AT399" i="19"/>
  <c r="AV399" i="19" s="1"/>
  <c r="M402" i="19"/>
  <c r="O402" i="19" s="1"/>
  <c r="R389" i="19"/>
  <c r="I389" i="19"/>
  <c r="M389" i="19"/>
  <c r="O389" i="19" s="1"/>
  <c r="R388" i="19"/>
  <c r="I388" i="19"/>
  <c r="M388" i="19"/>
  <c r="R387" i="19"/>
  <c r="M387" i="19"/>
  <c r="O387" i="19" s="1"/>
  <c r="I387" i="19"/>
  <c r="AT384" i="19"/>
  <c r="AV384" i="19" s="1"/>
  <c r="AP384" i="19"/>
  <c r="AR384" i="19" s="1"/>
  <c r="AT386" i="19"/>
  <c r="AV386" i="19" s="1"/>
  <c r="AP386" i="19"/>
  <c r="AR386" i="19" s="1"/>
  <c r="R374" i="19"/>
  <c r="I374" i="19"/>
  <c r="M374" i="19"/>
  <c r="O374" i="19" s="1"/>
  <c r="M381" i="19"/>
  <c r="AE375" i="19"/>
  <c r="AI375" i="19"/>
  <c r="AK375" i="19" s="1"/>
  <c r="AT374" i="19"/>
  <c r="AV374" i="19" s="1"/>
  <c r="AG378" i="19" l="1"/>
  <c r="AK388" i="19"/>
  <c r="AU382" i="19"/>
  <c r="AW382" i="19" s="1"/>
  <c r="Y394" i="19"/>
  <c r="AA394" i="19" s="1"/>
  <c r="N398" i="19"/>
  <c r="AK383" i="19"/>
  <c r="K395" i="19"/>
  <c r="K385" i="19"/>
  <c r="AL378" i="19"/>
  <c r="K381" i="19"/>
  <c r="K390" i="19"/>
  <c r="K393" i="19"/>
  <c r="AG392" i="19"/>
  <c r="P382" i="19"/>
  <c r="AL395" i="19"/>
  <c r="AG399" i="19"/>
  <c r="AL382" i="19"/>
  <c r="K380" i="19"/>
  <c r="K398" i="19"/>
  <c r="AG377" i="19"/>
  <c r="K374" i="19"/>
  <c r="K402" i="19"/>
  <c r="K379" i="19"/>
  <c r="P378" i="19"/>
  <c r="K392" i="19"/>
  <c r="AL392" i="19"/>
  <c r="K400" i="19"/>
  <c r="K382" i="19"/>
  <c r="K396" i="19"/>
  <c r="K399" i="19"/>
  <c r="AL388" i="19"/>
  <c r="AL387" i="19"/>
  <c r="AG375" i="19"/>
  <c r="K389" i="19"/>
  <c r="AG376" i="19"/>
  <c r="AG386" i="19"/>
  <c r="K384" i="19"/>
  <c r="K376" i="19"/>
  <c r="P384" i="19"/>
  <c r="K378" i="19"/>
  <c r="AL399" i="19"/>
  <c r="P393" i="19"/>
  <c r="AG394" i="19"/>
  <c r="AL402" i="19"/>
  <c r="AL390" i="19"/>
  <c r="K394" i="19"/>
  <c r="K383" i="19"/>
  <c r="K387" i="19"/>
  <c r="K388" i="19"/>
  <c r="K401" i="19"/>
  <c r="AG381" i="19"/>
  <c r="K375" i="19"/>
  <c r="K386" i="19"/>
  <c r="AL394" i="19"/>
  <c r="K377" i="19"/>
  <c r="P377" i="19"/>
  <c r="P383" i="19"/>
  <c r="AG384" i="19"/>
  <c r="AL383" i="19"/>
  <c r="AU389" i="19"/>
  <c r="AW389" i="19" s="1"/>
  <c r="AK387" i="19"/>
  <c r="AV379" i="19"/>
  <c r="Y383" i="19"/>
  <c r="AA383" i="19" s="1"/>
  <c r="Z398" i="19"/>
  <c r="O383" i="19"/>
  <c r="Z393" i="19"/>
  <c r="Y399" i="19"/>
  <c r="AA399" i="19" s="1"/>
  <c r="N396" i="19"/>
  <c r="N394" i="19"/>
  <c r="AK382" i="19"/>
  <c r="AJ398" i="19"/>
  <c r="AJ389" i="19"/>
  <c r="AU380" i="19"/>
  <c r="AW380" i="19" s="1"/>
  <c r="AU394" i="19"/>
  <c r="AW394" i="19" s="1"/>
  <c r="AK390" i="19"/>
  <c r="AU383" i="19"/>
  <c r="AW383" i="19" s="1"/>
  <c r="AV390" i="19"/>
  <c r="N399" i="19"/>
  <c r="AJ401" i="19"/>
  <c r="N380" i="19"/>
  <c r="AK396" i="19"/>
  <c r="AJ396" i="19"/>
  <c r="X390" i="19"/>
  <c r="T390" i="19"/>
  <c r="V390" i="19" s="1"/>
  <c r="O377" i="19"/>
  <c r="N395" i="19"/>
  <c r="AV395" i="19"/>
  <c r="O382" i="19"/>
  <c r="N400" i="19"/>
  <c r="AK395" i="19"/>
  <c r="N379" i="19"/>
  <c r="Y400" i="19"/>
  <c r="AA400" i="19" s="1"/>
  <c r="Y396" i="19"/>
  <c r="AA396" i="19" s="1"/>
  <c r="Z396" i="19"/>
  <c r="Z380" i="19"/>
  <c r="Y380" i="19"/>
  <c r="AA380" i="19" s="1"/>
  <c r="O393" i="19"/>
  <c r="AK402" i="19"/>
  <c r="AG374" i="19"/>
  <c r="AJ380" i="19"/>
  <c r="AU400" i="19"/>
  <c r="AW400" i="19" s="1"/>
  <c r="N392" i="19"/>
  <c r="AU386" i="19"/>
  <c r="AW386" i="19" s="1"/>
  <c r="AU377" i="19"/>
  <c r="AW377" i="19" s="1"/>
  <c r="AU375" i="19"/>
  <c r="AW375" i="19" s="1"/>
  <c r="N401" i="19"/>
  <c r="AU401" i="19"/>
  <c r="AW401" i="19" s="1"/>
  <c r="Z392" i="19"/>
  <c r="Y392" i="19"/>
  <c r="AA392" i="19" s="1"/>
  <c r="N389" i="19"/>
  <c r="AU387" i="19"/>
  <c r="AW387" i="19" s="1"/>
  <c r="AU388" i="19"/>
  <c r="AW388" i="19" s="1"/>
  <c r="AU385" i="19"/>
  <c r="AW385" i="19" s="1"/>
  <c r="Y385" i="19"/>
  <c r="AA385" i="19" s="1"/>
  <c r="AJ385" i="19"/>
  <c r="AU384" i="19"/>
  <c r="AW384" i="19" s="1"/>
  <c r="AJ379" i="19"/>
  <c r="T378" i="19"/>
  <c r="V378" i="19" s="1"/>
  <c r="X378" i="19"/>
  <c r="Y379" i="19"/>
  <c r="AA379" i="19" s="1"/>
  <c r="AJ374" i="19"/>
  <c r="N375" i="19"/>
  <c r="O388" i="19"/>
  <c r="N388" i="19"/>
  <c r="T401" i="19"/>
  <c r="V401" i="19" s="1"/>
  <c r="X401" i="19"/>
  <c r="Z401" i="19" s="1"/>
  <c r="T384" i="19"/>
  <c r="V384" i="19" s="1"/>
  <c r="X384" i="19"/>
  <c r="Z384" i="19" s="1"/>
  <c r="AU374" i="19"/>
  <c r="AW374" i="19" s="1"/>
  <c r="Y381" i="19"/>
  <c r="AA381" i="19" s="1"/>
  <c r="AJ393" i="19"/>
  <c r="O381" i="19"/>
  <c r="N381" i="19"/>
  <c r="X374" i="19"/>
  <c r="Z374" i="19" s="1"/>
  <c r="T374" i="19"/>
  <c r="V374" i="19" s="1"/>
  <c r="X388" i="19"/>
  <c r="Z388" i="19" s="1"/>
  <c r="T388" i="19"/>
  <c r="V388" i="19" s="1"/>
  <c r="N402" i="19"/>
  <c r="AU399" i="19"/>
  <c r="AW399" i="19" s="1"/>
  <c r="X376" i="19"/>
  <c r="Z376" i="19" s="1"/>
  <c r="T376" i="19"/>
  <c r="V376" i="19" s="1"/>
  <c r="AJ381" i="19"/>
  <c r="X389" i="19"/>
  <c r="Z389" i="19" s="1"/>
  <c r="T389" i="19"/>
  <c r="V389" i="19" s="1"/>
  <c r="AJ375" i="19"/>
  <c r="N374" i="19"/>
  <c r="N387" i="19"/>
  <c r="X387" i="19"/>
  <c r="Z387" i="19" s="1"/>
  <c r="T387" i="19"/>
  <c r="V387" i="19" s="1"/>
  <c r="N385" i="19"/>
  <c r="O385" i="19"/>
  <c r="AJ376" i="19"/>
  <c r="AJ386" i="19"/>
  <c r="AK386" i="19"/>
  <c r="AJ400" i="19"/>
  <c r="T375" i="19"/>
  <c r="V375" i="19" s="1"/>
  <c r="X375" i="19"/>
  <c r="Z375" i="19" s="1"/>
  <c r="N376" i="19"/>
  <c r="T386" i="19"/>
  <c r="V386" i="19" s="1"/>
  <c r="X386" i="19"/>
  <c r="Z386" i="19" s="1"/>
  <c r="AU402" i="19"/>
  <c r="AW402" i="19" s="1"/>
  <c r="Y402" i="19"/>
  <c r="AA402" i="19" s="1"/>
  <c r="P398" i="19" l="1"/>
  <c r="AL376" i="19"/>
  <c r="AL400" i="19"/>
  <c r="P387" i="19"/>
  <c r="AL393" i="19"/>
  <c r="AL385" i="19"/>
  <c r="P379" i="19"/>
  <c r="AL401" i="19"/>
  <c r="AL398" i="19"/>
  <c r="P374" i="19"/>
  <c r="P402" i="19"/>
  <c r="P375" i="19"/>
  <c r="P389" i="19"/>
  <c r="P401" i="19"/>
  <c r="P392" i="19"/>
  <c r="P395" i="19"/>
  <c r="AL396" i="19"/>
  <c r="P399" i="19"/>
  <c r="P376" i="19"/>
  <c r="P385" i="19"/>
  <c r="AL381" i="19"/>
  <c r="AL386" i="19"/>
  <c r="AL375" i="19"/>
  <c r="P381" i="19"/>
  <c r="AL379" i="19"/>
  <c r="P400" i="19"/>
  <c r="P394" i="19"/>
  <c r="P388" i="19"/>
  <c r="AL380" i="19"/>
  <c r="P380" i="19"/>
  <c r="AL389" i="19"/>
  <c r="P396" i="19"/>
  <c r="Y390" i="19"/>
  <c r="AA390" i="19" s="1"/>
  <c r="Z390" i="19"/>
  <c r="AL374" i="19"/>
  <c r="Y389" i="19"/>
  <c r="AA389" i="19" s="1"/>
  <c r="Y388" i="19"/>
  <c r="AA388" i="19" s="1"/>
  <c r="Y378" i="19"/>
  <c r="AA378" i="19" s="1"/>
  <c r="Z378" i="19"/>
  <c r="Y401" i="19"/>
  <c r="AA401" i="19" s="1"/>
  <c r="Y387" i="19"/>
  <c r="AA387" i="19" s="1"/>
  <c r="Y376" i="19"/>
  <c r="AA376" i="19" s="1"/>
  <c r="Y374" i="19"/>
  <c r="AA374" i="19" s="1"/>
  <c r="Y384" i="19"/>
  <c r="AA384" i="19" s="1"/>
  <c r="Y386" i="19"/>
  <c r="AA386" i="19" s="1"/>
  <c r="Y375" i="19"/>
  <c r="AA375" i="19" s="1"/>
  <c r="BR343" i="19" l="1"/>
  <c r="BP343" i="19"/>
  <c r="BL343" i="19"/>
  <c r="BN343" i="19" s="1"/>
  <c r="BJ343" i="19"/>
  <c r="BF343" i="19"/>
  <c r="BD343" i="19"/>
  <c r="AZ343" i="19"/>
  <c r="BB343" i="19" s="1"/>
  <c r="AX343" i="19"/>
  <c r="AS343" i="19"/>
  <c r="AO343" i="19"/>
  <c r="AQ343" i="19" s="1"/>
  <c r="AM343" i="19"/>
  <c r="AH343" i="19"/>
  <c r="AD343" i="19"/>
  <c r="AB343" i="19"/>
  <c r="W343" i="19"/>
  <c r="S343" i="19"/>
  <c r="U343" i="19" s="1"/>
  <c r="Q343" i="19"/>
  <c r="L343" i="19"/>
  <c r="H343" i="19"/>
  <c r="F343" i="19"/>
  <c r="E343" i="19"/>
  <c r="D343" i="19"/>
  <c r="BR342" i="19"/>
  <c r="BP342" i="19"/>
  <c r="BL342" i="19"/>
  <c r="BN342" i="19" s="1"/>
  <c r="BJ342" i="19"/>
  <c r="BF342" i="19"/>
  <c r="BD342" i="19"/>
  <c r="AZ342" i="19"/>
  <c r="BB342" i="19" s="1"/>
  <c r="AX342" i="19"/>
  <c r="AS342" i="19"/>
  <c r="AO342" i="19"/>
  <c r="AQ342" i="19" s="1"/>
  <c r="AM342" i="19"/>
  <c r="AH342" i="19"/>
  <c r="AD342" i="19"/>
  <c r="AB342" i="19"/>
  <c r="W342" i="19"/>
  <c r="S342" i="19"/>
  <c r="U342" i="19" s="1"/>
  <c r="Q342" i="19"/>
  <c r="L342" i="19"/>
  <c r="H342" i="19"/>
  <c r="F342" i="19"/>
  <c r="E342" i="19"/>
  <c r="D342" i="19"/>
  <c r="BR341" i="19"/>
  <c r="BP341" i="19"/>
  <c r="BQ341" i="19" s="1"/>
  <c r="BL341" i="19"/>
  <c r="BN341" i="19" s="1"/>
  <c r="BJ341" i="19"/>
  <c r="BF341" i="19"/>
  <c r="BD341" i="19"/>
  <c r="AZ341" i="19"/>
  <c r="BB341" i="19" s="1"/>
  <c r="AX341" i="19"/>
  <c r="AS341" i="19"/>
  <c r="AO341" i="19"/>
  <c r="AQ341" i="19" s="1"/>
  <c r="AM341" i="19"/>
  <c r="AH341" i="19"/>
  <c r="AD341" i="19"/>
  <c r="AB341" i="19"/>
  <c r="W341" i="19"/>
  <c r="S341" i="19"/>
  <c r="U341" i="19" s="1"/>
  <c r="Q341" i="19"/>
  <c r="L341" i="19"/>
  <c r="H341" i="19"/>
  <c r="F341" i="19"/>
  <c r="E341" i="19"/>
  <c r="D341" i="19"/>
  <c r="BR340" i="19"/>
  <c r="BT340" i="19" s="1"/>
  <c r="BP340" i="19"/>
  <c r="BL340" i="19"/>
  <c r="BN340" i="19" s="1"/>
  <c r="BJ340" i="19"/>
  <c r="BF340" i="19"/>
  <c r="BD340" i="19"/>
  <c r="AZ340" i="19"/>
  <c r="AX340" i="19"/>
  <c r="AS340" i="19"/>
  <c r="AO340" i="19"/>
  <c r="AM340" i="19"/>
  <c r="AH340" i="19"/>
  <c r="AD340" i="19"/>
  <c r="AB340" i="19"/>
  <c r="W340" i="19"/>
  <c r="S340" i="19"/>
  <c r="Q340" i="19"/>
  <c r="L340" i="19"/>
  <c r="H340" i="19"/>
  <c r="F340" i="19"/>
  <c r="E340" i="19"/>
  <c r="D340" i="19"/>
  <c r="BR339" i="19"/>
  <c r="BT339" i="19" s="1"/>
  <c r="BP339" i="19"/>
  <c r="BL339" i="19"/>
  <c r="BN339" i="19" s="1"/>
  <c r="BJ339" i="19"/>
  <c r="BF339" i="19"/>
  <c r="BH339" i="19" s="1"/>
  <c r="BD339" i="19"/>
  <c r="AZ339" i="19"/>
  <c r="BB339" i="19" s="1"/>
  <c r="AX339" i="19"/>
  <c r="AS339" i="19"/>
  <c r="AO339" i="19"/>
  <c r="AM339" i="19"/>
  <c r="AH339" i="19"/>
  <c r="AD339" i="19"/>
  <c r="AF339" i="19" s="1"/>
  <c r="AB339" i="19"/>
  <c r="W339" i="19"/>
  <c r="S339" i="19"/>
  <c r="Q339" i="19"/>
  <c r="L339" i="19"/>
  <c r="H339" i="19"/>
  <c r="F339" i="19"/>
  <c r="E339" i="19"/>
  <c r="D339" i="19"/>
  <c r="BR338" i="19"/>
  <c r="BP338" i="19"/>
  <c r="BL338" i="19"/>
  <c r="BN338" i="19" s="1"/>
  <c r="BJ338" i="19"/>
  <c r="BF338" i="19"/>
  <c r="BH338" i="19" s="1"/>
  <c r="BD338" i="19"/>
  <c r="AZ338" i="19"/>
  <c r="BB338" i="19" s="1"/>
  <c r="AX338" i="19"/>
  <c r="AS338" i="19"/>
  <c r="AO338" i="19"/>
  <c r="AQ338" i="19" s="1"/>
  <c r="AM338" i="19"/>
  <c r="AH338" i="19"/>
  <c r="AD338" i="19"/>
  <c r="AB338" i="19"/>
  <c r="W338" i="19"/>
  <c r="S338" i="19"/>
  <c r="U338" i="19" s="1"/>
  <c r="Q338" i="19"/>
  <c r="L338" i="19"/>
  <c r="H338" i="19"/>
  <c r="F338" i="19"/>
  <c r="E338" i="19"/>
  <c r="D338" i="19"/>
  <c r="BR337" i="19"/>
  <c r="BP337" i="19"/>
  <c r="BQ337" i="19" s="1"/>
  <c r="BL337" i="19"/>
  <c r="BJ337" i="19"/>
  <c r="BF337" i="19"/>
  <c r="BD337" i="19"/>
  <c r="BE337" i="19" s="1"/>
  <c r="AZ337" i="19"/>
  <c r="BB337" i="19" s="1"/>
  <c r="AX337" i="19"/>
  <c r="AS337" i="19"/>
  <c r="AO337" i="19"/>
  <c r="AM337" i="19"/>
  <c r="AH337" i="19"/>
  <c r="AD337" i="19"/>
  <c r="AF337" i="19" s="1"/>
  <c r="AB337" i="19"/>
  <c r="W337" i="19"/>
  <c r="S337" i="19"/>
  <c r="Q337" i="19"/>
  <c r="L337" i="19"/>
  <c r="H337" i="19"/>
  <c r="J337" i="19" s="1"/>
  <c r="F337" i="19"/>
  <c r="E337" i="19"/>
  <c r="D337" i="19"/>
  <c r="BR336" i="19"/>
  <c r="BT336" i="19" s="1"/>
  <c r="BP336" i="19"/>
  <c r="BL336" i="19"/>
  <c r="BJ336" i="19"/>
  <c r="BF336" i="19"/>
  <c r="BH336" i="19" s="1"/>
  <c r="BD336" i="19"/>
  <c r="AZ336" i="19"/>
  <c r="AX336" i="19"/>
  <c r="AS336" i="19"/>
  <c r="AO336" i="19"/>
  <c r="AM336" i="19"/>
  <c r="AH336" i="19"/>
  <c r="AD336" i="19"/>
  <c r="AF336" i="19" s="1"/>
  <c r="AB336" i="19"/>
  <c r="W336" i="19"/>
  <c r="S336" i="19"/>
  <c r="Q336" i="19"/>
  <c r="L336" i="19"/>
  <c r="H336" i="19"/>
  <c r="J336" i="19" s="1"/>
  <c r="F336" i="19"/>
  <c r="E336" i="19"/>
  <c r="D336" i="19"/>
  <c r="BR335" i="19"/>
  <c r="BP335" i="19"/>
  <c r="BL335" i="19"/>
  <c r="BN335" i="19" s="1"/>
  <c r="BJ335" i="19"/>
  <c r="BF335" i="19"/>
  <c r="BD335" i="19"/>
  <c r="AZ335" i="19"/>
  <c r="BB335" i="19" s="1"/>
  <c r="AX335" i="19"/>
  <c r="AS335" i="19"/>
  <c r="AO335" i="19"/>
  <c r="AQ335" i="19" s="1"/>
  <c r="AM335" i="19"/>
  <c r="AH335" i="19"/>
  <c r="AD335" i="19"/>
  <c r="AB335" i="19"/>
  <c r="W335" i="19"/>
  <c r="S335" i="19"/>
  <c r="U335" i="19" s="1"/>
  <c r="Q335" i="19"/>
  <c r="L335" i="19"/>
  <c r="H335" i="19"/>
  <c r="F335" i="19"/>
  <c r="E335" i="19"/>
  <c r="D335" i="19"/>
  <c r="BR334" i="19"/>
  <c r="BT334" i="19" s="1"/>
  <c r="BP334" i="19"/>
  <c r="BL334" i="19"/>
  <c r="BN334" i="19" s="1"/>
  <c r="BJ334" i="19"/>
  <c r="BF334" i="19"/>
  <c r="BD334" i="19"/>
  <c r="AZ334" i="19"/>
  <c r="AX334" i="19"/>
  <c r="AS334" i="19"/>
  <c r="AO334" i="19"/>
  <c r="AM334" i="19"/>
  <c r="AH334" i="19"/>
  <c r="AD334" i="19"/>
  <c r="AF334" i="19" s="1"/>
  <c r="AB334" i="19"/>
  <c r="W334" i="19"/>
  <c r="S334" i="19"/>
  <c r="Q334" i="19"/>
  <c r="L334" i="19"/>
  <c r="H334" i="19"/>
  <c r="J334" i="19" s="1"/>
  <c r="F334" i="19"/>
  <c r="E334" i="19"/>
  <c r="D334" i="19"/>
  <c r="BR333" i="19"/>
  <c r="BP333" i="19"/>
  <c r="BQ333" i="19" s="1"/>
  <c r="BL333" i="19"/>
  <c r="BN333" i="19" s="1"/>
  <c r="BJ333" i="19"/>
  <c r="BF333" i="19"/>
  <c r="BD333" i="19"/>
  <c r="AZ333" i="19"/>
  <c r="BB333" i="19" s="1"/>
  <c r="AX333" i="19"/>
  <c r="AS333" i="19"/>
  <c r="AO333" i="19"/>
  <c r="AQ333" i="19" s="1"/>
  <c r="AM333" i="19"/>
  <c r="AH333" i="19"/>
  <c r="AD333" i="19"/>
  <c r="AB333" i="19"/>
  <c r="W333" i="19"/>
  <c r="S333" i="19"/>
  <c r="U333" i="19" s="1"/>
  <c r="Q333" i="19"/>
  <c r="L333" i="19"/>
  <c r="H333" i="19"/>
  <c r="F333" i="19"/>
  <c r="E333" i="19"/>
  <c r="D333" i="19"/>
  <c r="BR332" i="19"/>
  <c r="BT332" i="19" s="1"/>
  <c r="BP332" i="19"/>
  <c r="BQ332" i="19" s="1"/>
  <c r="BL332" i="19"/>
  <c r="BN332" i="19" s="1"/>
  <c r="BJ332" i="19"/>
  <c r="BF332" i="19"/>
  <c r="BH332" i="19" s="1"/>
  <c r="BD332" i="19"/>
  <c r="BE332" i="19" s="1"/>
  <c r="AZ332" i="19"/>
  <c r="BB332" i="19" s="1"/>
  <c r="AX332" i="19"/>
  <c r="AS332" i="19"/>
  <c r="AO332" i="19"/>
  <c r="AM332" i="19"/>
  <c r="AH332" i="19"/>
  <c r="AD332" i="19"/>
  <c r="AF332" i="19" s="1"/>
  <c r="AB332" i="19"/>
  <c r="W332" i="19"/>
  <c r="S332" i="19"/>
  <c r="Q332" i="19"/>
  <c r="L332" i="19"/>
  <c r="H332" i="19"/>
  <c r="J332" i="19" s="1"/>
  <c r="F332" i="19"/>
  <c r="E332" i="19"/>
  <c r="D332" i="19"/>
  <c r="BR331" i="19"/>
  <c r="BP331" i="19"/>
  <c r="BL331" i="19"/>
  <c r="BJ331" i="19"/>
  <c r="BF331" i="19"/>
  <c r="BH331" i="19" s="1"/>
  <c r="BD331" i="19"/>
  <c r="AZ331" i="19"/>
  <c r="AX331" i="19"/>
  <c r="AS331" i="19"/>
  <c r="AO331" i="19"/>
  <c r="AM331" i="19"/>
  <c r="AH331" i="19"/>
  <c r="AD331" i="19"/>
  <c r="AF331" i="19" s="1"/>
  <c r="AB331" i="19"/>
  <c r="W331" i="19"/>
  <c r="S331" i="19"/>
  <c r="Q331" i="19"/>
  <c r="L331" i="19"/>
  <c r="H331" i="19"/>
  <c r="J331" i="19" s="1"/>
  <c r="F331" i="19"/>
  <c r="E331" i="19"/>
  <c r="D331" i="19"/>
  <c r="BR330" i="19"/>
  <c r="BT330" i="19" s="1"/>
  <c r="BP330" i="19"/>
  <c r="BL330" i="19"/>
  <c r="BN330" i="19" s="1"/>
  <c r="BJ330" i="19"/>
  <c r="BF330" i="19"/>
  <c r="BH330" i="19" s="1"/>
  <c r="BD330" i="19"/>
  <c r="AZ330" i="19"/>
  <c r="BB330" i="19" s="1"/>
  <c r="AX330" i="19"/>
  <c r="AS330" i="19"/>
  <c r="AO330" i="19"/>
  <c r="AM330" i="19"/>
  <c r="AH330" i="19"/>
  <c r="AD330" i="19"/>
  <c r="AF330" i="19" s="1"/>
  <c r="AB330" i="19"/>
  <c r="W330" i="19"/>
  <c r="S330" i="19"/>
  <c r="U330" i="19" s="1"/>
  <c r="Q330" i="19"/>
  <c r="L330" i="19"/>
  <c r="H330" i="19"/>
  <c r="F330" i="19"/>
  <c r="E330" i="19"/>
  <c r="D330" i="19"/>
  <c r="BR329" i="19"/>
  <c r="BP329" i="19"/>
  <c r="BL329" i="19"/>
  <c r="BN329" i="19" s="1"/>
  <c r="BJ329" i="19"/>
  <c r="BF329" i="19"/>
  <c r="BD329" i="19"/>
  <c r="AZ329" i="19"/>
  <c r="BB329" i="19" s="1"/>
  <c r="AX329" i="19"/>
  <c r="AS329" i="19"/>
  <c r="AO329" i="19"/>
  <c r="AQ329" i="19" s="1"/>
  <c r="AM329" i="19"/>
  <c r="AH329" i="19"/>
  <c r="AD329" i="19"/>
  <c r="AB329" i="19"/>
  <c r="W329" i="19"/>
  <c r="S329" i="19"/>
  <c r="U329" i="19" s="1"/>
  <c r="Q329" i="19"/>
  <c r="L329" i="19"/>
  <c r="H329" i="19"/>
  <c r="F329" i="19"/>
  <c r="E329" i="19"/>
  <c r="D329" i="19"/>
  <c r="BR328" i="19"/>
  <c r="BP328" i="19"/>
  <c r="BL328" i="19"/>
  <c r="BN328" i="19" s="1"/>
  <c r="BJ328" i="19"/>
  <c r="BF328" i="19"/>
  <c r="BD328" i="19"/>
  <c r="AZ328" i="19"/>
  <c r="BB328" i="19" s="1"/>
  <c r="AX328" i="19"/>
  <c r="AS328" i="19"/>
  <c r="AO328" i="19"/>
  <c r="AQ328" i="19" s="1"/>
  <c r="AM328" i="19"/>
  <c r="AH328" i="19"/>
  <c r="AD328" i="19"/>
  <c r="AB328" i="19"/>
  <c r="W328" i="19"/>
  <c r="S328" i="19"/>
  <c r="U328" i="19" s="1"/>
  <c r="Q328" i="19"/>
  <c r="L328" i="19"/>
  <c r="H328" i="19"/>
  <c r="J328" i="19" s="1"/>
  <c r="F328" i="19"/>
  <c r="E328" i="19"/>
  <c r="D328" i="19"/>
  <c r="BR327" i="19"/>
  <c r="BT327" i="19" s="1"/>
  <c r="BP327" i="19"/>
  <c r="BL327" i="19"/>
  <c r="BN327" i="19" s="1"/>
  <c r="BJ327" i="19"/>
  <c r="BF327" i="19"/>
  <c r="BH327" i="19" s="1"/>
  <c r="BD327" i="19"/>
  <c r="AZ327" i="19"/>
  <c r="BB327" i="19" s="1"/>
  <c r="AX327" i="19"/>
  <c r="AS327" i="19"/>
  <c r="AO327" i="19"/>
  <c r="AQ327" i="19" s="1"/>
  <c r="AM327" i="19"/>
  <c r="AH327" i="19"/>
  <c r="AD327" i="19"/>
  <c r="AF327" i="19" s="1"/>
  <c r="AB327" i="19"/>
  <c r="W327" i="19"/>
  <c r="S327" i="19"/>
  <c r="U327" i="19" s="1"/>
  <c r="Q327" i="19"/>
  <c r="L327" i="19"/>
  <c r="H327" i="19"/>
  <c r="J327" i="19" s="1"/>
  <c r="F327" i="19"/>
  <c r="E327" i="19"/>
  <c r="D327" i="19"/>
  <c r="BR326" i="19"/>
  <c r="BT326" i="19" s="1"/>
  <c r="BP326" i="19"/>
  <c r="BL326" i="19"/>
  <c r="BN326" i="19" s="1"/>
  <c r="BJ326" i="19"/>
  <c r="BF326" i="19"/>
  <c r="BH326" i="19" s="1"/>
  <c r="BD326" i="19"/>
  <c r="AZ326" i="19"/>
  <c r="BB326" i="19" s="1"/>
  <c r="AX326" i="19"/>
  <c r="AY326" i="19" s="1"/>
  <c r="AS326" i="19"/>
  <c r="AO326" i="19"/>
  <c r="AQ326" i="19" s="1"/>
  <c r="AM326" i="19"/>
  <c r="AH326" i="19"/>
  <c r="AD326" i="19"/>
  <c r="AF326" i="19" s="1"/>
  <c r="AB326" i="19"/>
  <c r="W326" i="19"/>
  <c r="S326" i="19"/>
  <c r="U326" i="19" s="1"/>
  <c r="Q326" i="19"/>
  <c r="L326" i="19"/>
  <c r="H326" i="19"/>
  <c r="J326" i="19" s="1"/>
  <c r="F326" i="19"/>
  <c r="E326" i="19"/>
  <c r="D326" i="19"/>
  <c r="BR265" i="19"/>
  <c r="BP265" i="19"/>
  <c r="BU265" i="19" s="1"/>
  <c r="BL265" i="19"/>
  <c r="BN265" i="19" s="1"/>
  <c r="BJ265" i="19"/>
  <c r="BF265" i="19"/>
  <c r="BD265" i="19"/>
  <c r="BI265" i="19" s="1"/>
  <c r="AZ265" i="19"/>
  <c r="BB265" i="19" s="1"/>
  <c r="AX265" i="19"/>
  <c r="AS265" i="19"/>
  <c r="AW265" i="19" s="1"/>
  <c r="AO265" i="19"/>
  <c r="AQ265" i="19" s="1"/>
  <c r="AM265" i="19"/>
  <c r="AH265" i="19"/>
  <c r="AD265" i="19"/>
  <c r="AB265" i="19"/>
  <c r="W265" i="19"/>
  <c r="S265" i="19"/>
  <c r="U265" i="19" s="1"/>
  <c r="Q265" i="19"/>
  <c r="L265" i="19"/>
  <c r="H265" i="19"/>
  <c r="F265" i="19"/>
  <c r="E265" i="19"/>
  <c r="D265" i="19"/>
  <c r="BR264" i="19"/>
  <c r="BP264" i="19"/>
  <c r="BU264" i="19" s="1"/>
  <c r="BL264" i="19"/>
  <c r="BN264" i="19" s="1"/>
  <c r="BJ264" i="19"/>
  <c r="BF264" i="19"/>
  <c r="BD264" i="19"/>
  <c r="BI264" i="19" s="1"/>
  <c r="AZ264" i="19"/>
  <c r="BB264" i="19" s="1"/>
  <c r="AX264" i="19"/>
  <c r="AS264" i="19"/>
  <c r="AO264" i="19"/>
  <c r="AQ264" i="19" s="1"/>
  <c r="AM264" i="19"/>
  <c r="AH264" i="19"/>
  <c r="AD264" i="19"/>
  <c r="AB264" i="19"/>
  <c r="W264" i="19"/>
  <c r="AA264" i="19" s="1"/>
  <c r="S264" i="19"/>
  <c r="U264" i="19" s="1"/>
  <c r="Q264" i="19"/>
  <c r="L264" i="19"/>
  <c r="N264" i="19" s="1"/>
  <c r="H264" i="19"/>
  <c r="J264" i="19" s="1"/>
  <c r="F264" i="19"/>
  <c r="E264" i="19"/>
  <c r="D264" i="19"/>
  <c r="BR263" i="19"/>
  <c r="BP263" i="19"/>
  <c r="BL263" i="19"/>
  <c r="BN263" i="19" s="1"/>
  <c r="BJ263" i="19"/>
  <c r="BF263" i="19"/>
  <c r="BD263" i="19"/>
  <c r="AZ263" i="19"/>
  <c r="BB263" i="19" s="1"/>
  <c r="AX263" i="19"/>
  <c r="AS263" i="19"/>
  <c r="AW263" i="19" s="1"/>
  <c r="AO263" i="19"/>
  <c r="AQ263" i="19" s="1"/>
  <c r="AM263" i="19"/>
  <c r="AH263" i="19"/>
  <c r="AJ263" i="19" s="1"/>
  <c r="AD263" i="19"/>
  <c r="AF263" i="19" s="1"/>
  <c r="AB263" i="19"/>
  <c r="W263" i="19"/>
  <c r="Y263" i="19" s="1"/>
  <c r="S263" i="19"/>
  <c r="Q263" i="19"/>
  <c r="L263" i="19"/>
  <c r="M263" i="19" s="1"/>
  <c r="H263" i="19"/>
  <c r="J263" i="19" s="1"/>
  <c r="F263" i="19"/>
  <c r="E263" i="19"/>
  <c r="D263" i="19"/>
  <c r="BR262" i="19"/>
  <c r="BP262" i="19"/>
  <c r="BQ262" i="19" s="1"/>
  <c r="BL262" i="19"/>
  <c r="BN262" i="19" s="1"/>
  <c r="BJ262" i="19"/>
  <c r="BF262" i="19"/>
  <c r="BH262" i="19" s="1"/>
  <c r="BD262" i="19"/>
  <c r="BI262" i="19" s="1"/>
  <c r="AZ262" i="19"/>
  <c r="BB262" i="19" s="1"/>
  <c r="AX262" i="19"/>
  <c r="AS262" i="19"/>
  <c r="AO262" i="19"/>
  <c r="AQ262" i="19" s="1"/>
  <c r="AM262" i="19"/>
  <c r="AH262" i="19"/>
  <c r="AI262" i="19" s="1"/>
  <c r="AD262" i="19"/>
  <c r="AF262" i="19" s="1"/>
  <c r="AB262" i="19"/>
  <c r="W262" i="19"/>
  <c r="S262" i="19"/>
  <c r="U262" i="19" s="1"/>
  <c r="Q262" i="19"/>
  <c r="L262" i="19"/>
  <c r="H262" i="19"/>
  <c r="J262" i="19" s="1"/>
  <c r="F262" i="19"/>
  <c r="E262" i="19"/>
  <c r="D262" i="19"/>
  <c r="BR261" i="19"/>
  <c r="BP261" i="19"/>
  <c r="BL261" i="19"/>
  <c r="BN261" i="19" s="1"/>
  <c r="BJ261" i="19"/>
  <c r="BF261" i="19"/>
  <c r="BH261" i="19" s="1"/>
  <c r="BD261" i="19"/>
  <c r="AZ261" i="19"/>
  <c r="BB261" i="19" s="1"/>
  <c r="AX261" i="19"/>
  <c r="AS261" i="19"/>
  <c r="AO261" i="19"/>
  <c r="AQ261" i="19" s="1"/>
  <c r="AM261" i="19"/>
  <c r="AH261" i="19"/>
  <c r="AD261" i="19"/>
  <c r="AF261" i="19" s="1"/>
  <c r="AB261" i="19"/>
  <c r="W261" i="19"/>
  <c r="AA261" i="19" s="1"/>
  <c r="S261" i="19"/>
  <c r="U261" i="19" s="1"/>
  <c r="Q261" i="19"/>
  <c r="L261" i="19"/>
  <c r="N261" i="19" s="1"/>
  <c r="H261" i="19"/>
  <c r="J261" i="19" s="1"/>
  <c r="F261" i="19"/>
  <c r="E261" i="19"/>
  <c r="D261" i="19"/>
  <c r="BR260" i="19"/>
  <c r="BT260" i="19" s="1"/>
  <c r="BP260" i="19"/>
  <c r="BL260" i="19"/>
  <c r="BN260" i="19" s="1"/>
  <c r="BJ260" i="19"/>
  <c r="BF260" i="19"/>
  <c r="BD260" i="19"/>
  <c r="AZ260" i="19"/>
  <c r="BB260" i="19" s="1"/>
  <c r="AX260" i="19"/>
  <c r="AS260" i="19"/>
  <c r="AW260" i="19" s="1"/>
  <c r="AO260" i="19"/>
  <c r="AQ260" i="19" s="1"/>
  <c r="AM260" i="19"/>
  <c r="AH260" i="19"/>
  <c r="AL260" i="19" s="1"/>
  <c r="AD260" i="19"/>
  <c r="AF260" i="19" s="1"/>
  <c r="AB260" i="19"/>
  <c r="W260" i="19"/>
  <c r="AA260" i="19" s="1"/>
  <c r="S260" i="19"/>
  <c r="U260" i="19" s="1"/>
  <c r="Q260" i="19"/>
  <c r="L260" i="19"/>
  <c r="H260" i="19"/>
  <c r="F260" i="19"/>
  <c r="E260" i="19"/>
  <c r="D260" i="19"/>
  <c r="BR259" i="19"/>
  <c r="BP259" i="19"/>
  <c r="BL259" i="19"/>
  <c r="BJ259" i="19"/>
  <c r="BF259" i="19"/>
  <c r="BH259" i="19" s="1"/>
  <c r="BD259" i="19"/>
  <c r="AZ259" i="19"/>
  <c r="AX259" i="19"/>
  <c r="AS259" i="19"/>
  <c r="AV259" i="19" s="1"/>
  <c r="AO259" i="19"/>
  <c r="AQ259" i="19" s="1"/>
  <c r="AM259" i="19"/>
  <c r="AH259" i="19"/>
  <c r="AD259" i="19"/>
  <c r="AF259" i="19" s="1"/>
  <c r="AB259" i="19"/>
  <c r="W259" i="19"/>
  <c r="S259" i="19"/>
  <c r="U259" i="19" s="1"/>
  <c r="Q259" i="19"/>
  <c r="L259" i="19"/>
  <c r="O259" i="19" s="1"/>
  <c r="H259" i="19"/>
  <c r="J259" i="19" s="1"/>
  <c r="F259" i="19"/>
  <c r="E259" i="19"/>
  <c r="D259" i="19"/>
  <c r="BR258" i="19"/>
  <c r="BP258" i="19"/>
  <c r="BL258" i="19"/>
  <c r="BJ258" i="19"/>
  <c r="BF258" i="19"/>
  <c r="BH258" i="19" s="1"/>
  <c r="BD258" i="19"/>
  <c r="AZ258" i="19"/>
  <c r="AX258" i="19"/>
  <c r="AY258" i="19" s="1"/>
  <c r="AS258" i="19"/>
  <c r="AO258" i="19"/>
  <c r="AQ258" i="19" s="1"/>
  <c r="AM258" i="19"/>
  <c r="AH258" i="19"/>
  <c r="AD258" i="19"/>
  <c r="AF258" i="19" s="1"/>
  <c r="AB258" i="19"/>
  <c r="W258" i="19"/>
  <c r="S258" i="19"/>
  <c r="U258" i="19" s="1"/>
  <c r="Q258" i="19"/>
  <c r="L258" i="19"/>
  <c r="P258" i="19" s="1"/>
  <c r="H258" i="19"/>
  <c r="J258" i="19" s="1"/>
  <c r="F258" i="19"/>
  <c r="E258" i="19"/>
  <c r="D258" i="19"/>
  <c r="BR257" i="19"/>
  <c r="BT257" i="19" s="1"/>
  <c r="BP257" i="19"/>
  <c r="BU257" i="19" s="1"/>
  <c r="BL257" i="19"/>
  <c r="BJ257" i="19"/>
  <c r="BO257" i="19" s="1"/>
  <c r="BF257" i="19"/>
  <c r="BH257" i="19" s="1"/>
  <c r="BD257" i="19"/>
  <c r="BE257" i="19" s="1"/>
  <c r="AZ257" i="19"/>
  <c r="BB257" i="19" s="1"/>
  <c r="AX257" i="19"/>
  <c r="BC257" i="19" s="1"/>
  <c r="AS257" i="19"/>
  <c r="AO257" i="19"/>
  <c r="AQ257" i="19" s="1"/>
  <c r="AM257" i="19"/>
  <c r="AH257" i="19"/>
  <c r="AD257" i="19"/>
  <c r="AF257" i="19" s="1"/>
  <c r="AB257" i="19"/>
  <c r="W257" i="19"/>
  <c r="X257" i="19" s="1"/>
  <c r="S257" i="19"/>
  <c r="U257" i="19" s="1"/>
  <c r="Q257" i="19"/>
  <c r="L257" i="19"/>
  <c r="H257" i="19"/>
  <c r="J257" i="19" s="1"/>
  <c r="F257" i="19"/>
  <c r="E257" i="19"/>
  <c r="D257" i="19"/>
  <c r="BR256" i="19"/>
  <c r="BT256" i="19" s="1"/>
  <c r="BP256" i="19"/>
  <c r="BL256" i="19"/>
  <c r="BN256" i="19" s="1"/>
  <c r="BJ256" i="19"/>
  <c r="BO256" i="19" s="1"/>
  <c r="BF256" i="19"/>
  <c r="BH256" i="19" s="1"/>
  <c r="BD256" i="19"/>
  <c r="BI256" i="19" s="1"/>
  <c r="AZ256" i="19"/>
  <c r="BB256" i="19" s="1"/>
  <c r="AX256" i="19"/>
  <c r="BC256" i="19" s="1"/>
  <c r="AS256" i="19"/>
  <c r="AO256" i="19"/>
  <c r="AQ256" i="19" s="1"/>
  <c r="AM256" i="19"/>
  <c r="AH256" i="19"/>
  <c r="AD256" i="19"/>
  <c r="AF256" i="19" s="1"/>
  <c r="AB256" i="19"/>
  <c r="W256" i="19"/>
  <c r="S256" i="19"/>
  <c r="U256" i="19" s="1"/>
  <c r="Q256" i="19"/>
  <c r="L256" i="19"/>
  <c r="P256" i="19" s="1"/>
  <c r="H256" i="19"/>
  <c r="J256" i="19" s="1"/>
  <c r="F256" i="19"/>
  <c r="E256" i="19"/>
  <c r="D256" i="19"/>
  <c r="BR255" i="19"/>
  <c r="BT255" i="19" s="1"/>
  <c r="BP255" i="19"/>
  <c r="BU255" i="19" s="1"/>
  <c r="BL255" i="19"/>
  <c r="BN255" i="19" s="1"/>
  <c r="BJ255" i="19"/>
  <c r="BK255" i="19" s="1"/>
  <c r="BF255" i="19"/>
  <c r="BH255" i="19" s="1"/>
  <c r="BD255" i="19"/>
  <c r="BI255" i="19" s="1"/>
  <c r="AZ255" i="19"/>
  <c r="BB255" i="19" s="1"/>
  <c r="AX255" i="19"/>
  <c r="BC255" i="19" s="1"/>
  <c r="AS255" i="19"/>
  <c r="AU255" i="19" s="1"/>
  <c r="AO255" i="19"/>
  <c r="AQ255" i="19" s="1"/>
  <c r="AM255" i="19"/>
  <c r="AH255" i="19"/>
  <c r="AD255" i="19"/>
  <c r="AF255" i="19" s="1"/>
  <c r="AB255" i="19"/>
  <c r="W255" i="19"/>
  <c r="S255" i="19"/>
  <c r="U255" i="19" s="1"/>
  <c r="Q255" i="19"/>
  <c r="L255" i="19"/>
  <c r="M255" i="19" s="1"/>
  <c r="H255" i="19"/>
  <c r="J255" i="19" s="1"/>
  <c r="F255" i="19"/>
  <c r="E255" i="19"/>
  <c r="D255" i="19"/>
  <c r="BR254" i="19"/>
  <c r="BT254" i="19" s="1"/>
  <c r="BP254" i="19"/>
  <c r="BU254" i="19" s="1"/>
  <c r="BL254" i="19"/>
  <c r="BN254" i="19" s="1"/>
  <c r="BJ254" i="19"/>
  <c r="BO254" i="19" s="1"/>
  <c r="BF254" i="19"/>
  <c r="BH254" i="19" s="1"/>
  <c r="BD254" i="19"/>
  <c r="BI254" i="19" s="1"/>
  <c r="AZ254" i="19"/>
  <c r="BB254" i="19" s="1"/>
  <c r="AX254" i="19"/>
  <c r="AY254" i="19" s="1"/>
  <c r="AS254" i="19"/>
  <c r="AV254" i="19" s="1"/>
  <c r="AO254" i="19"/>
  <c r="AQ254" i="19" s="1"/>
  <c r="AM254" i="19"/>
  <c r="AH254" i="19"/>
  <c r="AL254" i="19" s="1"/>
  <c r="AD254" i="19"/>
  <c r="AF254" i="19" s="1"/>
  <c r="AB254" i="19"/>
  <c r="W254" i="19"/>
  <c r="Y254" i="19" s="1"/>
  <c r="S254" i="19"/>
  <c r="U254" i="19" s="1"/>
  <c r="Q254" i="19"/>
  <c r="L254" i="19"/>
  <c r="N254" i="19" s="1"/>
  <c r="H254" i="19"/>
  <c r="J254" i="19" s="1"/>
  <c r="F254" i="19"/>
  <c r="E254" i="19"/>
  <c r="D254" i="19"/>
  <c r="BR193" i="19"/>
  <c r="BP193" i="19"/>
  <c r="BU193" i="19" s="1"/>
  <c r="BL193" i="19"/>
  <c r="BN193" i="19" s="1"/>
  <c r="BJ193" i="19"/>
  <c r="BF193" i="19"/>
  <c r="BD193" i="19"/>
  <c r="BI193" i="19" s="1"/>
  <c r="AZ193" i="19"/>
  <c r="BB193" i="19" s="1"/>
  <c r="AX193" i="19"/>
  <c r="AS193" i="19"/>
  <c r="AT193" i="19" s="1"/>
  <c r="AO193" i="19"/>
  <c r="AQ193" i="19" s="1"/>
  <c r="AM193" i="19"/>
  <c r="AH193" i="19"/>
  <c r="AD193" i="19"/>
  <c r="AB193" i="19"/>
  <c r="W193" i="19"/>
  <c r="AA193" i="19" s="1"/>
  <c r="S193" i="19"/>
  <c r="U193" i="19" s="1"/>
  <c r="Q193" i="19"/>
  <c r="L193" i="19"/>
  <c r="H193" i="19"/>
  <c r="F193" i="19"/>
  <c r="E193" i="19"/>
  <c r="D193" i="19"/>
  <c r="BR192" i="19"/>
  <c r="BP192" i="19"/>
  <c r="BU192" i="19" s="1"/>
  <c r="BL192" i="19"/>
  <c r="BN192" i="19" s="1"/>
  <c r="BJ192" i="19"/>
  <c r="BF192" i="19"/>
  <c r="BD192" i="19"/>
  <c r="BI192" i="19" s="1"/>
  <c r="AZ192" i="19"/>
  <c r="BB192" i="19" s="1"/>
  <c r="AX192" i="19"/>
  <c r="AS192" i="19"/>
  <c r="AW192" i="19" s="1"/>
  <c r="AO192" i="19"/>
  <c r="AQ192" i="19" s="1"/>
  <c r="AM192" i="19"/>
  <c r="AH192" i="19"/>
  <c r="AD192" i="19"/>
  <c r="AB192" i="19"/>
  <c r="W192" i="19"/>
  <c r="AA192" i="19" s="1"/>
  <c r="S192" i="19"/>
  <c r="U192" i="19" s="1"/>
  <c r="Q192" i="19"/>
  <c r="L192" i="19"/>
  <c r="H192" i="19"/>
  <c r="J192" i="19" s="1"/>
  <c r="F192" i="19"/>
  <c r="E192" i="19"/>
  <c r="D192" i="19"/>
  <c r="BR191" i="19"/>
  <c r="BP191" i="19"/>
  <c r="BL191" i="19"/>
  <c r="BN191" i="19" s="1"/>
  <c r="BJ191" i="19"/>
  <c r="BF191" i="19"/>
  <c r="BD191" i="19"/>
  <c r="AZ191" i="19"/>
  <c r="AX191" i="19"/>
  <c r="AS191" i="19"/>
  <c r="AW191" i="19" s="1"/>
  <c r="AO191" i="19"/>
  <c r="AQ191" i="19" s="1"/>
  <c r="AM191" i="19"/>
  <c r="AH191" i="19"/>
  <c r="AD191" i="19"/>
  <c r="AF191" i="19" s="1"/>
  <c r="AB191" i="19"/>
  <c r="W191" i="19"/>
  <c r="AA191" i="19" s="1"/>
  <c r="S191" i="19"/>
  <c r="U191" i="19" s="1"/>
  <c r="Q191" i="19"/>
  <c r="L191" i="19"/>
  <c r="H191" i="19"/>
  <c r="F191" i="19"/>
  <c r="E191" i="19"/>
  <c r="D191" i="19"/>
  <c r="BR190" i="19"/>
  <c r="BT190" i="19" s="1"/>
  <c r="BP190" i="19"/>
  <c r="BQ190" i="19" s="1"/>
  <c r="BL190" i="19"/>
  <c r="BJ190" i="19"/>
  <c r="BF190" i="19"/>
  <c r="BD190" i="19"/>
  <c r="AZ190" i="19"/>
  <c r="BB190" i="19" s="1"/>
  <c r="AX190" i="19"/>
  <c r="AS190" i="19"/>
  <c r="AO190" i="19"/>
  <c r="AQ190" i="19" s="1"/>
  <c r="AM190" i="19"/>
  <c r="AH190" i="19"/>
  <c r="AD190" i="19"/>
  <c r="AF190" i="19" s="1"/>
  <c r="AB190" i="19"/>
  <c r="W190" i="19"/>
  <c r="S190" i="19"/>
  <c r="U190" i="19" s="1"/>
  <c r="Q190" i="19"/>
  <c r="L190" i="19"/>
  <c r="H190" i="19"/>
  <c r="J190" i="19" s="1"/>
  <c r="F190" i="19"/>
  <c r="E190" i="19"/>
  <c r="D190" i="19"/>
  <c r="BR188" i="19"/>
  <c r="BP188" i="19"/>
  <c r="BQ188" i="19" s="1"/>
  <c r="BL188" i="19"/>
  <c r="BN188" i="19" s="1"/>
  <c r="BJ188" i="19"/>
  <c r="BK188" i="19" s="1"/>
  <c r="BF188" i="19"/>
  <c r="BH188" i="19" s="1"/>
  <c r="BD188" i="19"/>
  <c r="BI188" i="19" s="1"/>
  <c r="AZ188" i="19"/>
  <c r="BB188" i="19" s="1"/>
  <c r="AX188" i="19"/>
  <c r="BC188" i="19" s="1"/>
  <c r="AS188" i="19"/>
  <c r="AV188" i="19" s="1"/>
  <c r="AO188" i="19"/>
  <c r="AQ188" i="19" s="1"/>
  <c r="AM188" i="19"/>
  <c r="AH188" i="19"/>
  <c r="AJ188" i="19" s="1"/>
  <c r="AD188" i="19"/>
  <c r="AF188" i="19" s="1"/>
  <c r="AB188" i="19"/>
  <c r="W188" i="19"/>
  <c r="Z188" i="19" s="1"/>
  <c r="S188" i="19"/>
  <c r="U188" i="19" s="1"/>
  <c r="Q188" i="19"/>
  <c r="L188" i="19"/>
  <c r="N188" i="19" s="1"/>
  <c r="H188" i="19"/>
  <c r="J188" i="19" s="1"/>
  <c r="F188" i="19"/>
  <c r="E188" i="19"/>
  <c r="D188" i="19"/>
  <c r="BR186" i="19"/>
  <c r="BP186" i="19"/>
  <c r="BU186" i="19" s="1"/>
  <c r="BL186" i="19"/>
  <c r="BN186" i="19" s="1"/>
  <c r="BJ186" i="19"/>
  <c r="BF186" i="19"/>
  <c r="BH186" i="19" s="1"/>
  <c r="BD186" i="19"/>
  <c r="AZ186" i="19"/>
  <c r="BB186" i="19" s="1"/>
  <c r="AX186" i="19"/>
  <c r="BC186" i="19" s="1"/>
  <c r="AS186" i="19"/>
  <c r="AV186" i="19" s="1"/>
  <c r="AO186" i="19"/>
  <c r="AQ186" i="19" s="1"/>
  <c r="AM186" i="19"/>
  <c r="AH186" i="19"/>
  <c r="AJ186" i="19" s="1"/>
  <c r="AD186" i="19"/>
  <c r="AF186" i="19" s="1"/>
  <c r="AB186" i="19"/>
  <c r="W186" i="19"/>
  <c r="S186" i="19"/>
  <c r="U186" i="19" s="1"/>
  <c r="Q186" i="19"/>
  <c r="L186" i="19"/>
  <c r="H186" i="19"/>
  <c r="J186" i="19" s="1"/>
  <c r="F186" i="19"/>
  <c r="E186" i="19"/>
  <c r="D186" i="19"/>
  <c r="BR185" i="19"/>
  <c r="BT185" i="19" s="1"/>
  <c r="BP185" i="19"/>
  <c r="BU185" i="19" s="1"/>
  <c r="BL185" i="19"/>
  <c r="BN185" i="19" s="1"/>
  <c r="BJ185" i="19"/>
  <c r="BF185" i="19"/>
  <c r="BH185" i="19" s="1"/>
  <c r="BD185" i="19"/>
  <c r="BI185" i="19" s="1"/>
  <c r="AZ185" i="19"/>
  <c r="BB185" i="19" s="1"/>
  <c r="AX185" i="19"/>
  <c r="BC185" i="19" s="1"/>
  <c r="AS185" i="19"/>
  <c r="AU185" i="19" s="1"/>
  <c r="AO185" i="19"/>
  <c r="AQ185" i="19" s="1"/>
  <c r="AM185" i="19"/>
  <c r="AH185" i="19"/>
  <c r="AK185" i="19" s="1"/>
  <c r="AD185" i="19"/>
  <c r="AF185" i="19" s="1"/>
  <c r="AB185" i="19"/>
  <c r="W185" i="19"/>
  <c r="AA185" i="19" s="1"/>
  <c r="S185" i="19"/>
  <c r="U185" i="19" s="1"/>
  <c r="Q185" i="19"/>
  <c r="L185" i="19"/>
  <c r="M185" i="19" s="1"/>
  <c r="H185" i="19"/>
  <c r="J185" i="19" s="1"/>
  <c r="F185" i="19"/>
  <c r="E185" i="19"/>
  <c r="D185" i="19"/>
  <c r="BR184" i="19"/>
  <c r="BT184" i="19" s="1"/>
  <c r="BP184" i="19"/>
  <c r="BL184" i="19"/>
  <c r="BJ184" i="19"/>
  <c r="BK184" i="19" s="1"/>
  <c r="BF184" i="19"/>
  <c r="BH184" i="19" s="1"/>
  <c r="BD184" i="19"/>
  <c r="AZ184" i="19"/>
  <c r="BB184" i="19" s="1"/>
  <c r="AX184" i="19"/>
  <c r="BC184" i="19" s="1"/>
  <c r="AS184" i="19"/>
  <c r="AW184" i="19" s="1"/>
  <c r="AO184" i="19"/>
  <c r="AQ184" i="19" s="1"/>
  <c r="AM184" i="19"/>
  <c r="AH184" i="19"/>
  <c r="AD184" i="19"/>
  <c r="AF184" i="19" s="1"/>
  <c r="AB184" i="19"/>
  <c r="W184" i="19"/>
  <c r="Y184" i="19" s="1"/>
  <c r="S184" i="19"/>
  <c r="U184" i="19" s="1"/>
  <c r="Q184" i="19"/>
  <c r="L184" i="19"/>
  <c r="M184" i="19" s="1"/>
  <c r="H184" i="19"/>
  <c r="J184" i="19" s="1"/>
  <c r="F184" i="19"/>
  <c r="E184" i="19"/>
  <c r="D184" i="19"/>
  <c r="BR183" i="19"/>
  <c r="BT183" i="19" s="1"/>
  <c r="BP183" i="19"/>
  <c r="BU183" i="19" s="1"/>
  <c r="BL183" i="19"/>
  <c r="BN183" i="19" s="1"/>
  <c r="BJ183" i="19"/>
  <c r="BO183" i="19" s="1"/>
  <c r="BF183" i="19"/>
  <c r="BH183" i="19" s="1"/>
  <c r="BD183" i="19"/>
  <c r="BI183" i="19" s="1"/>
  <c r="AZ183" i="19"/>
  <c r="BB183" i="19" s="1"/>
  <c r="AX183" i="19"/>
  <c r="BC183" i="19" s="1"/>
  <c r="AS183" i="19"/>
  <c r="AU183" i="19" s="1"/>
  <c r="AO183" i="19"/>
  <c r="AQ183" i="19" s="1"/>
  <c r="AM183" i="19"/>
  <c r="AH183" i="19"/>
  <c r="AI183" i="19" s="1"/>
  <c r="AD183" i="19"/>
  <c r="AF183" i="19" s="1"/>
  <c r="AB183" i="19"/>
  <c r="W183" i="19"/>
  <c r="Y183" i="19" s="1"/>
  <c r="S183" i="19"/>
  <c r="U183" i="19" s="1"/>
  <c r="Q183" i="19"/>
  <c r="L183" i="19"/>
  <c r="M183" i="19" s="1"/>
  <c r="H183" i="19"/>
  <c r="J183" i="19" s="1"/>
  <c r="F183" i="19"/>
  <c r="E183" i="19"/>
  <c r="D183" i="19"/>
  <c r="N256" i="19" l="1"/>
  <c r="Z257" i="19"/>
  <c r="AN183" i="19"/>
  <c r="AP183" i="19" s="1"/>
  <c r="AR183" i="19" s="1"/>
  <c r="AN184" i="19"/>
  <c r="AP184" i="19" s="1"/>
  <c r="AR184" i="19" s="1"/>
  <c r="P261" i="19"/>
  <c r="X261" i="19"/>
  <c r="AN264" i="19"/>
  <c r="AP264" i="19" s="1"/>
  <c r="AR264" i="19" s="1"/>
  <c r="AN337" i="19"/>
  <c r="AP337" i="19" s="1"/>
  <c r="AR337" i="19" s="1"/>
  <c r="AV260" i="19"/>
  <c r="G257" i="19"/>
  <c r="R257" i="19" s="1"/>
  <c r="T257" i="19" s="1"/>
  <c r="V257" i="19" s="1"/>
  <c r="AN260" i="19"/>
  <c r="AP260" i="19" s="1"/>
  <c r="AR260" i="19" s="1"/>
  <c r="X191" i="19"/>
  <c r="AN192" i="19"/>
  <c r="AP192" i="19" s="1"/>
  <c r="AR192" i="19" s="1"/>
  <c r="AN262" i="19"/>
  <c r="AP262" i="19" s="1"/>
  <c r="AR262" i="19" s="1"/>
  <c r="AN263" i="19"/>
  <c r="AP263" i="19" s="1"/>
  <c r="AR263" i="19" s="1"/>
  <c r="X264" i="19"/>
  <c r="AJ254" i="19"/>
  <c r="AU254" i="19"/>
  <c r="BC254" i="19"/>
  <c r="M258" i="19"/>
  <c r="N259" i="19"/>
  <c r="Z260" i="19"/>
  <c r="BE262" i="19"/>
  <c r="BG262" i="19" s="1"/>
  <c r="G263" i="19"/>
  <c r="R263" i="19" s="1"/>
  <c r="T263" i="19" s="1"/>
  <c r="V263" i="19" s="1"/>
  <c r="Z264" i="19"/>
  <c r="AT265" i="19"/>
  <c r="AN332" i="19"/>
  <c r="AT332" i="19" s="1"/>
  <c r="AV332" i="19" s="1"/>
  <c r="G337" i="19"/>
  <c r="R337" i="19" s="1"/>
  <c r="X337" i="19" s="1"/>
  <c r="Z337" i="19" s="1"/>
  <c r="AC340" i="19"/>
  <c r="AE340" i="19" s="1"/>
  <c r="AC341" i="19"/>
  <c r="AE341" i="19" s="1"/>
  <c r="AK188" i="19"/>
  <c r="AN255" i="19"/>
  <c r="AP255" i="19" s="1"/>
  <c r="AR255" i="19" s="1"/>
  <c r="BE256" i="19"/>
  <c r="BG256" i="19" s="1"/>
  <c r="BK257" i="19"/>
  <c r="BM257" i="19" s="1"/>
  <c r="Y260" i="19"/>
  <c r="AY184" i="19"/>
  <c r="BA184" i="19" s="1"/>
  <c r="AL188" i="19"/>
  <c r="BO255" i="19"/>
  <c r="M256" i="19"/>
  <c r="Y257" i="19"/>
  <c r="N258" i="19"/>
  <c r="P259" i="19"/>
  <c r="AJ260" i="19"/>
  <c r="AU260" i="19"/>
  <c r="AV265" i="19"/>
  <c r="BA326" i="19"/>
  <c r="AN331" i="19"/>
  <c r="AP331" i="19" s="1"/>
  <c r="AR331" i="19" s="1"/>
  <c r="G333" i="19"/>
  <c r="R333" i="19" s="1"/>
  <c r="T333" i="19" s="1"/>
  <c r="V333" i="19" s="1"/>
  <c r="AC333" i="19"/>
  <c r="AI333" i="19" s="1"/>
  <c r="AK333" i="19" s="1"/>
  <c r="G338" i="19"/>
  <c r="R338" i="19" s="1"/>
  <c r="X338" i="19" s="1"/>
  <c r="Y338" i="19" s="1"/>
  <c r="AA338" i="19" s="1"/>
  <c r="G339" i="19"/>
  <c r="R339" i="19" s="1"/>
  <c r="X339" i="19" s="1"/>
  <c r="Y339" i="19" s="1"/>
  <c r="AA339" i="19" s="1"/>
  <c r="G340" i="19"/>
  <c r="R340" i="19" s="1"/>
  <c r="AN334" i="19"/>
  <c r="AT334" i="19" s="1"/>
  <c r="AU334" i="19" s="1"/>
  <c r="AW334" i="19" s="1"/>
  <c r="AA255" i="19"/>
  <c r="Y255" i="19"/>
  <c r="X258" i="19"/>
  <c r="Z258" i="19"/>
  <c r="BT331" i="19"/>
  <c r="AN335" i="19"/>
  <c r="AP335" i="19" s="1"/>
  <c r="AR335" i="19" s="1"/>
  <c r="G335" i="19"/>
  <c r="R335" i="19" s="1"/>
  <c r="T335" i="19" s="1"/>
  <c r="V335" i="19" s="1"/>
  <c r="AT185" i="19"/>
  <c r="BQ186" i="19"/>
  <c r="BS186" i="19" s="1"/>
  <c r="X254" i="19"/>
  <c r="AN254" i="19"/>
  <c r="AP254" i="19" s="1"/>
  <c r="AR254" i="19" s="1"/>
  <c r="X255" i="19"/>
  <c r="AL257" i="19"/>
  <c r="AK257" i="19"/>
  <c r="AJ257" i="19"/>
  <c r="Y258" i="19"/>
  <c r="BC259" i="19"/>
  <c r="AY259" i="19"/>
  <c r="BA259" i="19" s="1"/>
  <c r="AJ262" i="19"/>
  <c r="BE331" i="19"/>
  <c r="BG331" i="19" s="1"/>
  <c r="BI331" i="19" s="1"/>
  <c r="AN341" i="19"/>
  <c r="AP341" i="19" s="1"/>
  <c r="AR341" i="19" s="1"/>
  <c r="BE341" i="19"/>
  <c r="BG341" i="19" s="1"/>
  <c r="BI341" i="19" s="1"/>
  <c r="G341" i="19"/>
  <c r="R341" i="19" s="1"/>
  <c r="T341" i="19" s="1"/>
  <c r="V341" i="19" s="1"/>
  <c r="AU184" i="19"/>
  <c r="BU188" i="19"/>
  <c r="Z255" i="19"/>
  <c r="AY256" i="19"/>
  <c r="BA256" i="19" s="1"/>
  <c r="AI257" i="19"/>
  <c r="BN257" i="19"/>
  <c r="AC335" i="19"/>
  <c r="AI335" i="19" s="1"/>
  <c r="AK335" i="19" s="1"/>
  <c r="AI185" i="19"/>
  <c r="AN193" i="19"/>
  <c r="AP193" i="19" s="1"/>
  <c r="AR193" i="19" s="1"/>
  <c r="AN261" i="19"/>
  <c r="AP261" i="19" s="1"/>
  <c r="AR261" i="19" s="1"/>
  <c r="AN191" i="19"/>
  <c r="AP191" i="19" s="1"/>
  <c r="AR191" i="19" s="1"/>
  <c r="AI254" i="19"/>
  <c r="AY257" i="19"/>
  <c r="BA257" i="19" s="1"/>
  <c r="AW259" i="19"/>
  <c r="AU259" i="19"/>
  <c r="AT259" i="19"/>
  <c r="AL261" i="19"/>
  <c r="AJ261" i="19"/>
  <c r="AA262" i="19"/>
  <c r="Z262" i="19"/>
  <c r="BQ331" i="19"/>
  <c r="BS331" i="19" s="1"/>
  <c r="BU331" i="19" s="1"/>
  <c r="BE335" i="19"/>
  <c r="BG335" i="19" s="1"/>
  <c r="BI335" i="19" s="1"/>
  <c r="BQ335" i="19"/>
  <c r="BS335" i="19" s="1"/>
  <c r="BU335" i="19" s="1"/>
  <c r="AN256" i="19"/>
  <c r="AP256" i="19" s="1"/>
  <c r="AR256" i="19" s="1"/>
  <c r="BI257" i="19"/>
  <c r="AN265" i="19"/>
  <c r="AP265" i="19" s="1"/>
  <c r="AR265" i="19" s="1"/>
  <c r="G331" i="19"/>
  <c r="M331" i="19" s="1"/>
  <c r="AN333" i="19"/>
  <c r="AP333" i="19" s="1"/>
  <c r="AR333" i="19" s="1"/>
  <c r="AC337" i="19"/>
  <c r="AE337" i="19" s="1"/>
  <c r="AC257" i="19"/>
  <c r="AE257" i="19" s="1"/>
  <c r="BG257" i="19"/>
  <c r="AC331" i="19"/>
  <c r="AI331" i="19" s="1"/>
  <c r="AK331" i="19" s="1"/>
  <c r="BE333" i="19"/>
  <c r="BG333" i="19" s="1"/>
  <c r="BQ327" i="19"/>
  <c r="BS327" i="19" s="1"/>
  <c r="BU327" i="19" s="1"/>
  <c r="BE327" i="19"/>
  <c r="BG327" i="19" s="1"/>
  <c r="BI327" i="19" s="1"/>
  <c r="AC327" i="19"/>
  <c r="AE327" i="19" s="1"/>
  <c r="G327" i="19"/>
  <c r="M327" i="19" s="1"/>
  <c r="N327" i="19" s="1"/>
  <c r="BK327" i="19"/>
  <c r="BM327" i="19" s="1"/>
  <c r="BO327" i="19" s="1"/>
  <c r="BT328" i="19"/>
  <c r="BT329" i="19"/>
  <c r="BB331" i="19"/>
  <c r="BK326" i="19"/>
  <c r="BM326" i="19" s="1"/>
  <c r="BO326" i="19" s="1"/>
  <c r="BQ329" i="19"/>
  <c r="BS329" i="19" s="1"/>
  <c r="BU329" i="19" s="1"/>
  <c r="BE329" i="19"/>
  <c r="BG329" i="19" s="1"/>
  <c r="BI329" i="19" s="1"/>
  <c r="AC329" i="19"/>
  <c r="AE329" i="19" s="1"/>
  <c r="G329" i="19"/>
  <c r="R329" i="19" s="1"/>
  <c r="BK330" i="19"/>
  <c r="BM330" i="19" s="1"/>
  <c r="BO330" i="19" s="1"/>
  <c r="AY330" i="19"/>
  <c r="BA330" i="19" s="1"/>
  <c r="BC330" i="19" s="1"/>
  <c r="G330" i="19"/>
  <c r="R330" i="19" s="1"/>
  <c r="T330" i="19" s="1"/>
  <c r="V330" i="19" s="1"/>
  <c r="BQ334" i="19"/>
  <c r="BS334" i="19" s="1"/>
  <c r="BU334" i="19" s="1"/>
  <c r="AN336" i="19"/>
  <c r="AP336" i="19" s="1"/>
  <c r="AR336" i="19" s="1"/>
  <c r="BQ336" i="19"/>
  <c r="BS336" i="19" s="1"/>
  <c r="BU336" i="19" s="1"/>
  <c r="AF328" i="19"/>
  <c r="AF329" i="19"/>
  <c r="AC330" i="19"/>
  <c r="BN331" i="19"/>
  <c r="AC334" i="19"/>
  <c r="AI334" i="19" s="1"/>
  <c r="AK334" i="19" s="1"/>
  <c r="BB334" i="19"/>
  <c r="BH335" i="19"/>
  <c r="AQ337" i="19"/>
  <c r="BC326" i="19"/>
  <c r="AN327" i="19"/>
  <c r="AY327" i="19"/>
  <c r="BA327" i="19" s="1"/>
  <c r="BC327" i="19" s="1"/>
  <c r="BK328" i="19"/>
  <c r="BM328" i="19" s="1"/>
  <c r="BO328" i="19" s="1"/>
  <c r="J329" i="19"/>
  <c r="BK329" i="19"/>
  <c r="BM329" i="19" s="1"/>
  <c r="BO329" i="19" s="1"/>
  <c r="J330" i="19"/>
  <c r="BH333" i="19"/>
  <c r="BQ326" i="19"/>
  <c r="BS326" i="19" s="1"/>
  <c r="BU326" i="19" s="1"/>
  <c r="BE326" i="19"/>
  <c r="BG326" i="19" s="1"/>
  <c r="BI326" i="19" s="1"/>
  <c r="AC326" i="19"/>
  <c r="AE326" i="19" s="1"/>
  <c r="G326" i="19"/>
  <c r="R326" i="19" s="1"/>
  <c r="AN326" i="19"/>
  <c r="BQ328" i="19"/>
  <c r="BS328" i="19" s="1"/>
  <c r="BU328" i="19" s="1"/>
  <c r="BE328" i="19"/>
  <c r="BG328" i="19" s="1"/>
  <c r="BI328" i="19" s="1"/>
  <c r="AC328" i="19"/>
  <c r="AE328" i="19" s="1"/>
  <c r="G328" i="19"/>
  <c r="M328" i="19" s="1"/>
  <c r="O328" i="19" s="1"/>
  <c r="AY328" i="19"/>
  <c r="BA328" i="19" s="1"/>
  <c r="BC328" i="19" s="1"/>
  <c r="BH328" i="19"/>
  <c r="BC329" i="19"/>
  <c r="AY329" i="19"/>
  <c r="BA329" i="19" s="1"/>
  <c r="BH329" i="19"/>
  <c r="AN330" i="19"/>
  <c r="AT330" i="19" s="1"/>
  <c r="AV330" i="19" s="1"/>
  <c r="AQ334" i="19"/>
  <c r="BE334" i="19"/>
  <c r="BG334" i="19" s="1"/>
  <c r="BI334" i="19" s="1"/>
  <c r="BE336" i="19"/>
  <c r="BG336" i="19" s="1"/>
  <c r="BN336" i="19"/>
  <c r="AQ340" i="19"/>
  <c r="BK342" i="19"/>
  <c r="BM342" i="19" s="1"/>
  <c r="BO342" i="19" s="1"/>
  <c r="BT342" i="19"/>
  <c r="J343" i="19"/>
  <c r="AN328" i="19"/>
  <c r="AN329" i="19"/>
  <c r="BE330" i="19"/>
  <c r="BG330" i="19" s="1"/>
  <c r="BI330" i="19" s="1"/>
  <c r="BQ330" i="19"/>
  <c r="BS330" i="19" s="1"/>
  <c r="BU330" i="19" s="1"/>
  <c r="U331" i="19"/>
  <c r="AQ331" i="19"/>
  <c r="G332" i="19"/>
  <c r="M332" i="19" s="1"/>
  <c r="O332" i="19" s="1"/>
  <c r="AC332" i="19"/>
  <c r="AI332" i="19" s="1"/>
  <c r="AK332" i="19" s="1"/>
  <c r="G334" i="19"/>
  <c r="I334" i="19" s="1"/>
  <c r="U334" i="19"/>
  <c r="G336" i="19"/>
  <c r="M336" i="19" s="1"/>
  <c r="O336" i="19" s="1"/>
  <c r="U336" i="19"/>
  <c r="BB336" i="19"/>
  <c r="U337" i="19"/>
  <c r="BN337" i="19"/>
  <c r="AN338" i="19"/>
  <c r="AP338" i="19" s="1"/>
  <c r="AR338" i="19" s="1"/>
  <c r="AC338" i="19"/>
  <c r="J338" i="19"/>
  <c r="BT338" i="19"/>
  <c r="AQ330" i="19"/>
  <c r="BG332" i="19"/>
  <c r="BI332" i="19" s="1"/>
  <c r="BS332" i="19"/>
  <c r="BU332" i="19" s="1"/>
  <c r="BK334" i="19"/>
  <c r="BM334" i="19" s="1"/>
  <c r="BO334" i="19" s="1"/>
  <c r="U332" i="19"/>
  <c r="AQ332" i="19"/>
  <c r="BS333" i="19"/>
  <c r="BU333" i="19" s="1"/>
  <c r="BT333" i="19"/>
  <c r="AY334" i="19"/>
  <c r="BA334" i="19" s="1"/>
  <c r="BC334" i="19" s="1"/>
  <c r="BT335" i="19"/>
  <c r="AC336" i="19"/>
  <c r="AI336" i="19" s="1"/>
  <c r="AK336" i="19" s="1"/>
  <c r="BI336" i="19"/>
  <c r="AY338" i="19"/>
  <c r="BA338" i="19" s="1"/>
  <c r="BC338" i="19" s="1"/>
  <c r="BC333" i="19"/>
  <c r="AY333" i="19"/>
  <c r="BA333" i="19" s="1"/>
  <c r="BI333" i="19"/>
  <c r="AY335" i="19"/>
  <c r="BA335" i="19" s="1"/>
  <c r="BC335" i="19" s="1"/>
  <c r="BG337" i="19"/>
  <c r="BI337" i="19" s="1"/>
  <c r="BH337" i="19"/>
  <c r="U339" i="19"/>
  <c r="AQ339" i="19"/>
  <c r="AY340" i="19"/>
  <c r="BA340" i="19" s="1"/>
  <c r="BC340" i="19" s="1"/>
  <c r="BQ340" i="19"/>
  <c r="BS340" i="19" s="1"/>
  <c r="BU340" i="19" s="1"/>
  <c r="AY331" i="19"/>
  <c r="BA331" i="19" s="1"/>
  <c r="BC331" i="19" s="1"/>
  <c r="BK331" i="19"/>
  <c r="BM331" i="19" s="1"/>
  <c r="BO331" i="19" s="1"/>
  <c r="AY332" i="19"/>
  <c r="BA332" i="19" s="1"/>
  <c r="BC332" i="19" s="1"/>
  <c r="BK332" i="19"/>
  <c r="BM332" i="19" s="1"/>
  <c r="BO332" i="19" s="1"/>
  <c r="J333" i="19"/>
  <c r="AF333" i="19"/>
  <c r="BK333" i="19"/>
  <c r="BM333" i="19" s="1"/>
  <c r="BO333" i="19" s="1"/>
  <c r="BH334" i="19"/>
  <c r="J335" i="19"/>
  <c r="AF335" i="19"/>
  <c r="BO335" i="19"/>
  <c r="BK335" i="19"/>
  <c r="BM335" i="19" s="1"/>
  <c r="AQ336" i="19"/>
  <c r="BK337" i="19"/>
  <c r="BM337" i="19" s="1"/>
  <c r="BO337" i="19" s="1"/>
  <c r="AF338" i="19"/>
  <c r="BE338" i="19"/>
  <c r="BG338" i="19" s="1"/>
  <c r="BI338" i="19" s="1"/>
  <c r="BQ338" i="19"/>
  <c r="BS338" i="19" s="1"/>
  <c r="BU338" i="19" s="1"/>
  <c r="BB340" i="19"/>
  <c r="J342" i="19"/>
  <c r="BS337" i="19"/>
  <c r="BU337" i="19" s="1"/>
  <c r="BK338" i="19"/>
  <c r="BM338" i="19" s="1"/>
  <c r="BO338" i="19" s="1"/>
  <c r="BK339" i="19"/>
  <c r="BM339" i="19" s="1"/>
  <c r="BO339" i="19" s="1"/>
  <c r="AC339" i="19"/>
  <c r="AI339" i="19" s="1"/>
  <c r="AK339" i="19" s="1"/>
  <c r="BE339" i="19"/>
  <c r="BG339" i="19" s="1"/>
  <c r="BI339" i="19" s="1"/>
  <c r="J339" i="19"/>
  <c r="AY339" i="19"/>
  <c r="BA339" i="19" s="1"/>
  <c r="BC339" i="19" s="1"/>
  <c r="BE340" i="19"/>
  <c r="BG340" i="19" s="1"/>
  <c r="BI340" i="19" s="1"/>
  <c r="J340" i="19"/>
  <c r="U340" i="19"/>
  <c r="AY341" i="19"/>
  <c r="BA341" i="19" s="1"/>
  <c r="BC341" i="19" s="1"/>
  <c r="BQ342" i="19"/>
  <c r="BS342" i="19" s="1"/>
  <c r="BU342" i="19" s="1"/>
  <c r="BE342" i="19"/>
  <c r="BG342" i="19" s="1"/>
  <c r="BI342" i="19" s="1"/>
  <c r="AC342" i="19"/>
  <c r="AE342" i="19" s="1"/>
  <c r="AN342" i="19"/>
  <c r="G342" i="19"/>
  <c r="R342" i="19" s="1"/>
  <c r="T342" i="19" s="1"/>
  <c r="V342" i="19" s="1"/>
  <c r="AY336" i="19"/>
  <c r="BA336" i="19" s="1"/>
  <c r="BC336" i="19" s="1"/>
  <c r="BK336" i="19"/>
  <c r="BM336" i="19" s="1"/>
  <c r="BO336" i="19" s="1"/>
  <c r="AY337" i="19"/>
  <c r="BA337" i="19" s="1"/>
  <c r="BC337" i="19" s="1"/>
  <c r="BT337" i="19"/>
  <c r="BQ339" i="19"/>
  <c r="BS339" i="19" s="1"/>
  <c r="BU339" i="19" s="1"/>
  <c r="AF340" i="19"/>
  <c r="BK340" i="19"/>
  <c r="BM340" i="19" s="1"/>
  <c r="BO340" i="19" s="1"/>
  <c r="AC343" i="19"/>
  <c r="AE343" i="19" s="1"/>
  <c r="G343" i="19"/>
  <c r="R343" i="19" s="1"/>
  <c r="AN343" i="19"/>
  <c r="AN339" i="19"/>
  <c r="AT339" i="19" s="1"/>
  <c r="AV339" i="19" s="1"/>
  <c r="BK341" i="19"/>
  <c r="BM341" i="19" s="1"/>
  <c r="BO341" i="19" s="1"/>
  <c r="BH341" i="19"/>
  <c r="BT341" i="19"/>
  <c r="BS341" i="19"/>
  <c r="BU341" i="19" s="1"/>
  <c r="AF343" i="19"/>
  <c r="AY343" i="19"/>
  <c r="BA343" i="19" s="1"/>
  <c r="BC343" i="19" s="1"/>
  <c r="BH343" i="19"/>
  <c r="AN340" i="19"/>
  <c r="BH340" i="19"/>
  <c r="J341" i="19"/>
  <c r="AF341" i="19"/>
  <c r="AF342" i="19"/>
  <c r="AY342" i="19"/>
  <c r="BA342" i="19" s="1"/>
  <c r="BC342" i="19" s="1"/>
  <c r="BH342" i="19"/>
  <c r="BK343" i="19"/>
  <c r="BM343" i="19" s="1"/>
  <c r="BO343" i="19" s="1"/>
  <c r="BT343" i="19"/>
  <c r="BE343" i="19"/>
  <c r="BG343" i="19" s="1"/>
  <c r="BI343" i="19" s="1"/>
  <c r="BQ343" i="19"/>
  <c r="BS343" i="19" s="1"/>
  <c r="BU343" i="19" s="1"/>
  <c r="AA256" i="19"/>
  <c r="Y256" i="19"/>
  <c r="X256" i="19"/>
  <c r="P257" i="19"/>
  <c r="O257" i="19"/>
  <c r="N257" i="19"/>
  <c r="M257" i="19"/>
  <c r="Y188" i="19"/>
  <c r="BE188" i="19"/>
  <c r="BG188" i="19" s="1"/>
  <c r="AL255" i="19"/>
  <c r="AJ255" i="19"/>
  <c r="Z256" i="19"/>
  <c r="AL258" i="19"/>
  <c r="AK258" i="19"/>
  <c r="AJ258" i="19"/>
  <c r="AI258" i="19"/>
  <c r="AU262" i="19"/>
  <c r="AW262" i="19"/>
  <c r="AV262" i="19"/>
  <c r="AT262" i="19"/>
  <c r="AT183" i="19"/>
  <c r="N184" i="19"/>
  <c r="X184" i="19"/>
  <c r="AL186" i="19"/>
  <c r="AW186" i="19"/>
  <c r="BI186" i="19"/>
  <c r="BE186" i="19"/>
  <c r="BG186" i="19" s="1"/>
  <c r="AU190" i="19"/>
  <c r="AV190" i="19"/>
  <c r="BI190" i="19"/>
  <c r="BE190" i="19"/>
  <c r="BG190" i="19" s="1"/>
  <c r="AV191" i="19"/>
  <c r="AI255" i="19"/>
  <c r="AW255" i="19"/>
  <c r="AV255" i="19"/>
  <c r="AY255" i="19"/>
  <c r="BA255" i="19" s="1"/>
  <c r="AL256" i="19"/>
  <c r="AJ256" i="19"/>
  <c r="AI256" i="19"/>
  <c r="AT256" i="19"/>
  <c r="AV256" i="19"/>
  <c r="AN258" i="19"/>
  <c r="AP258" i="19" s="1"/>
  <c r="AR258" i="19" s="1"/>
  <c r="BO258" i="19"/>
  <c r="BK258" i="19"/>
  <c r="BM258" i="19" s="1"/>
  <c r="AK259" i="19"/>
  <c r="AL259" i="19"/>
  <c r="AJ259" i="19"/>
  <c r="AW261" i="19"/>
  <c r="AV261" i="19"/>
  <c r="AU261" i="19"/>
  <c r="AT261" i="19"/>
  <c r="AK184" i="19"/>
  <c r="AI184" i="19"/>
  <c r="AA190" i="19"/>
  <c r="Y190" i="19"/>
  <c r="BK254" i="19"/>
  <c r="BM254" i="19" s="1"/>
  <c r="BQ256" i="19"/>
  <c r="BS256" i="19" s="1"/>
  <c r="BU256" i="19"/>
  <c r="AW258" i="19"/>
  <c r="AV258" i="19"/>
  <c r="AU258" i="19"/>
  <c r="AT258" i="19"/>
  <c r="AJ184" i="19"/>
  <c r="AV183" i="19"/>
  <c r="AT184" i="19"/>
  <c r="AN185" i="19"/>
  <c r="AP185" i="19" s="1"/>
  <c r="AR185" i="19" s="1"/>
  <c r="O185" i="19"/>
  <c r="P185" i="19"/>
  <c r="AW185" i="19"/>
  <c r="AV185" i="19"/>
  <c r="AY185" i="19"/>
  <c r="BA185" i="19" s="1"/>
  <c r="BO185" i="19"/>
  <c r="BK185" i="19"/>
  <c r="BM185" i="19" s="1"/>
  <c r="G188" i="19"/>
  <c r="R188" i="19" s="1"/>
  <c r="T188" i="19" s="1"/>
  <c r="V188" i="19" s="1"/>
  <c r="AT190" i="19"/>
  <c r="Z192" i="19"/>
  <c r="AW193" i="19"/>
  <c r="AV193" i="19"/>
  <c r="P254" i="19"/>
  <c r="M254" i="19"/>
  <c r="AA254" i="19"/>
  <c r="Z254" i="19"/>
  <c r="AW254" i="19"/>
  <c r="AT254" i="19"/>
  <c r="P255" i="19"/>
  <c r="N255" i="19"/>
  <c r="AT255" i="19"/>
  <c r="AC256" i="19"/>
  <c r="AE256" i="19" s="1"/>
  <c r="AK256" i="19"/>
  <c r="AU256" i="19"/>
  <c r="BK256" i="19"/>
  <c r="BM256" i="19" s="1"/>
  <c r="AT257" i="19"/>
  <c r="AW257" i="19"/>
  <c r="AV257" i="19"/>
  <c r="P260" i="19"/>
  <c r="N260" i="19"/>
  <c r="P262" i="19"/>
  <c r="N262" i="19"/>
  <c r="AW264" i="19"/>
  <c r="AV264" i="19"/>
  <c r="AT264" i="19"/>
  <c r="AA265" i="19"/>
  <c r="Z265" i="19"/>
  <c r="X265" i="19"/>
  <c r="G191" i="19"/>
  <c r="R191" i="19" s="1"/>
  <c r="T191" i="19" s="1"/>
  <c r="V191" i="19" s="1"/>
  <c r="AA259" i="19"/>
  <c r="Z259" i="19"/>
  <c r="Y259" i="19"/>
  <c r="X259" i="19"/>
  <c r="AA257" i="19"/>
  <c r="AN257" i="19"/>
  <c r="AP257" i="19" s="1"/>
  <c r="AR257" i="19" s="1"/>
  <c r="O258" i="19"/>
  <c r="BA258" i="19"/>
  <c r="Y261" i="19"/>
  <c r="X260" i="19"/>
  <c r="AT260" i="19"/>
  <c r="Z261" i="19"/>
  <c r="X262" i="19"/>
  <c r="O263" i="19"/>
  <c r="X263" i="19"/>
  <c r="AT263" i="19"/>
  <c r="Y262" i="19"/>
  <c r="AA263" i="19"/>
  <c r="AV263" i="19"/>
  <c r="G258" i="19"/>
  <c r="BU258" i="19"/>
  <c r="BQ258" i="19"/>
  <c r="BS258" i="19" s="1"/>
  <c r="BH260" i="19"/>
  <c r="G262" i="19"/>
  <c r="R262" i="19" s="1"/>
  <c r="T262" i="19" s="1"/>
  <c r="V262" i="19" s="1"/>
  <c r="G254" i="19"/>
  <c r="O254" i="19"/>
  <c r="AC254" i="19"/>
  <c r="AE254" i="19" s="1"/>
  <c r="AK254" i="19"/>
  <c r="BA254" i="19"/>
  <c r="BE254" i="19"/>
  <c r="BG254" i="19" s="1"/>
  <c r="BQ254" i="19"/>
  <c r="BS254" i="19" s="1"/>
  <c r="G255" i="19"/>
  <c r="O255" i="19"/>
  <c r="AC255" i="19"/>
  <c r="AE255" i="19" s="1"/>
  <c r="AK255" i="19"/>
  <c r="BE255" i="19"/>
  <c r="BG255" i="19" s="1"/>
  <c r="BM255" i="19"/>
  <c r="BQ255" i="19"/>
  <c r="BS255" i="19" s="1"/>
  <c r="G256" i="19"/>
  <c r="O256" i="19"/>
  <c r="AW256" i="19"/>
  <c r="BB258" i="19"/>
  <c r="BT258" i="19"/>
  <c r="G260" i="19"/>
  <c r="R260" i="19" s="1"/>
  <c r="T260" i="19" s="1"/>
  <c r="V260" i="19" s="1"/>
  <c r="BO261" i="19"/>
  <c r="BK261" i="19"/>
  <c r="BM261" i="19" s="1"/>
  <c r="BT261" i="19"/>
  <c r="O265" i="19"/>
  <c r="N265" i="19"/>
  <c r="M265" i="19"/>
  <c r="P265" i="19"/>
  <c r="BI259" i="19"/>
  <c r="BE259" i="19"/>
  <c r="BG259" i="19" s="1"/>
  <c r="BC260" i="19"/>
  <c r="AY260" i="19"/>
  <c r="BA260" i="19" s="1"/>
  <c r="AU257" i="19"/>
  <c r="BQ257" i="19"/>
  <c r="BS257" i="19" s="1"/>
  <c r="AC258" i="19"/>
  <c r="AE258" i="19" s="1"/>
  <c r="BT259" i="19"/>
  <c r="BS262" i="19"/>
  <c r="BT262" i="19"/>
  <c r="BN258" i="19"/>
  <c r="BO259" i="19"/>
  <c r="BK259" i="19"/>
  <c r="BM259" i="19" s="1"/>
  <c r="AC260" i="19"/>
  <c r="AE260" i="19" s="1"/>
  <c r="AA258" i="19"/>
  <c r="BC258" i="19"/>
  <c r="G259" i="19"/>
  <c r="AC259" i="19"/>
  <c r="AE259" i="19" s="1"/>
  <c r="BU260" i="19"/>
  <c r="BQ260" i="19"/>
  <c r="BS260" i="19" s="1"/>
  <c r="M261" i="19"/>
  <c r="O261" i="19"/>
  <c r="AI261" i="19"/>
  <c r="AK261" i="19"/>
  <c r="BI261" i="19"/>
  <c r="BE261" i="19"/>
  <c r="BG261" i="19" s="1"/>
  <c r="BI258" i="19"/>
  <c r="BE258" i="19"/>
  <c r="BG258" i="19" s="1"/>
  <c r="M259" i="19"/>
  <c r="AI259" i="19"/>
  <c r="AN259" i="19"/>
  <c r="AP259" i="19" s="1"/>
  <c r="AR259" i="19" s="1"/>
  <c r="BB259" i="19"/>
  <c r="BN259" i="19"/>
  <c r="J260" i="19"/>
  <c r="BO260" i="19"/>
  <c r="BK260" i="19"/>
  <c r="BM260" i="19" s="1"/>
  <c r="G261" i="19"/>
  <c r="R261" i="19" s="1"/>
  <c r="T261" i="19" s="1"/>
  <c r="V261" i="19" s="1"/>
  <c r="AC261" i="19"/>
  <c r="AE261" i="19" s="1"/>
  <c r="BC261" i="19"/>
  <c r="AY261" i="19"/>
  <c r="BA261" i="19" s="1"/>
  <c r="U263" i="19"/>
  <c r="BC263" i="19"/>
  <c r="AY263" i="19"/>
  <c r="BA263" i="19" s="1"/>
  <c r="BH263" i="19"/>
  <c r="BU259" i="19"/>
  <c r="BQ259" i="19"/>
  <c r="BS259" i="19" s="1"/>
  <c r="M260" i="19"/>
  <c r="O260" i="19"/>
  <c r="AI260" i="19"/>
  <c r="AK260" i="19"/>
  <c r="BI260" i="19"/>
  <c r="BE260" i="19"/>
  <c r="BG260" i="19" s="1"/>
  <c r="BU261" i="19"/>
  <c r="BQ261" i="19"/>
  <c r="BS261" i="19" s="1"/>
  <c r="M262" i="19"/>
  <c r="O262" i="19"/>
  <c r="AC262" i="19"/>
  <c r="AE262" i="19" s="1"/>
  <c r="AK262" i="19"/>
  <c r="BC262" i="19"/>
  <c r="AY262" i="19"/>
  <c r="BA262" i="19" s="1"/>
  <c r="P263" i="19"/>
  <c r="Z263" i="19"/>
  <c r="AK263" i="19"/>
  <c r="AI263" i="19"/>
  <c r="BU263" i="19"/>
  <c r="BQ263" i="19"/>
  <c r="BS263" i="19" s="1"/>
  <c r="O264" i="19"/>
  <c r="M264" i="19"/>
  <c r="AF264" i="19"/>
  <c r="AF265" i="19"/>
  <c r="AL262" i="19"/>
  <c r="BO262" i="19"/>
  <c r="BK262" i="19"/>
  <c r="BM262" i="19" s="1"/>
  <c r="BU262" i="19"/>
  <c r="AC263" i="19"/>
  <c r="AE263" i="19" s="1"/>
  <c r="BO263" i="19"/>
  <c r="BK263" i="19"/>
  <c r="BM263" i="19" s="1"/>
  <c r="G264" i="19"/>
  <c r="R264" i="19" s="1"/>
  <c r="T264" i="19" s="1"/>
  <c r="V264" i="19" s="1"/>
  <c r="AK264" i="19"/>
  <c r="AJ264" i="19"/>
  <c r="AI264" i="19"/>
  <c r="BC264" i="19"/>
  <c r="AY264" i="19"/>
  <c r="BA264" i="19" s="1"/>
  <c r="BH264" i="19"/>
  <c r="AK265" i="19"/>
  <c r="AJ265" i="19"/>
  <c r="AI265" i="19"/>
  <c r="BC265" i="19"/>
  <c r="AY265" i="19"/>
  <c r="BA265" i="19" s="1"/>
  <c r="BH265" i="19"/>
  <c r="N263" i="19"/>
  <c r="AL263" i="19"/>
  <c r="BI263" i="19"/>
  <c r="BE263" i="19"/>
  <c r="BG263" i="19" s="1"/>
  <c r="BT263" i="19"/>
  <c r="P264" i="19"/>
  <c r="AL264" i="19"/>
  <c r="BO264" i="19"/>
  <c r="BK264" i="19"/>
  <c r="BM264" i="19" s="1"/>
  <c r="BT264" i="19"/>
  <c r="J265" i="19"/>
  <c r="AL265" i="19"/>
  <c r="BO265" i="19"/>
  <c r="BK265" i="19"/>
  <c r="BM265" i="19" s="1"/>
  <c r="BT265" i="19"/>
  <c r="AU263" i="19"/>
  <c r="Y264" i="19"/>
  <c r="AU264" i="19"/>
  <c r="Y265" i="19"/>
  <c r="AU265" i="19"/>
  <c r="AC264" i="19"/>
  <c r="AE264" i="19" s="1"/>
  <c r="BE264" i="19"/>
  <c r="BG264" i="19" s="1"/>
  <c r="BQ264" i="19"/>
  <c r="BS264" i="19" s="1"/>
  <c r="G265" i="19"/>
  <c r="R265" i="19" s="1"/>
  <c r="T265" i="19" s="1"/>
  <c r="V265" i="19" s="1"/>
  <c r="AC265" i="19"/>
  <c r="AE265" i="19" s="1"/>
  <c r="BE265" i="19"/>
  <c r="BG265" i="19" s="1"/>
  <c r="BQ265" i="19"/>
  <c r="BS265" i="19" s="1"/>
  <c r="N183" i="19"/>
  <c r="X183" i="19"/>
  <c r="AJ183" i="19"/>
  <c r="Z184" i="19"/>
  <c r="AL184" i="19"/>
  <c r="AV184" i="19"/>
  <c r="X185" i="19"/>
  <c r="AL185" i="19"/>
  <c r="AC186" i="19"/>
  <c r="AE186" i="19" s="1"/>
  <c r="O188" i="19"/>
  <c r="AA188" i="19"/>
  <c r="AU188" i="19"/>
  <c r="Z191" i="19"/>
  <c r="AT192" i="19"/>
  <c r="X193" i="19"/>
  <c r="Z183" i="19"/>
  <c r="Y185" i="19"/>
  <c r="AC188" i="19"/>
  <c r="AE188" i="19" s="1"/>
  <c r="P188" i="19"/>
  <c r="AW188" i="19"/>
  <c r="BM188" i="19"/>
  <c r="X190" i="19"/>
  <c r="AT191" i="19"/>
  <c r="X192" i="19"/>
  <c r="AV192" i="19"/>
  <c r="Z193" i="19"/>
  <c r="Z185" i="19"/>
  <c r="BM184" i="19"/>
  <c r="O186" i="19"/>
  <c r="N186" i="19"/>
  <c r="BT188" i="19"/>
  <c r="BS188" i="19"/>
  <c r="AK190" i="19"/>
  <c r="AJ190" i="19"/>
  <c r="AL190" i="19"/>
  <c r="AI190" i="19"/>
  <c r="G183" i="19"/>
  <c r="R183" i="19" s="1"/>
  <c r="T183" i="19" s="1"/>
  <c r="V183" i="19" s="1"/>
  <c r="O183" i="19"/>
  <c r="AA183" i="19"/>
  <c r="AC183" i="19"/>
  <c r="AE183" i="19" s="1"/>
  <c r="AK183" i="19"/>
  <c r="AW183" i="19"/>
  <c r="BE183" i="19"/>
  <c r="BG183" i="19" s="1"/>
  <c r="BQ183" i="19"/>
  <c r="BS183" i="19" s="1"/>
  <c r="G184" i="19"/>
  <c r="R184" i="19" s="1"/>
  <c r="T184" i="19" s="1"/>
  <c r="V184" i="19" s="1"/>
  <c r="O184" i="19"/>
  <c r="AA184" i="19"/>
  <c r="BN184" i="19"/>
  <c r="G185" i="19"/>
  <c r="R185" i="19" s="1"/>
  <c r="T185" i="19" s="1"/>
  <c r="V185" i="19" s="1"/>
  <c r="AC185" i="19"/>
  <c r="AE185" i="19" s="1"/>
  <c r="M186" i="19"/>
  <c r="BO186" i="19"/>
  <c r="BK186" i="19"/>
  <c r="BM186" i="19" s="1"/>
  <c r="BO190" i="19"/>
  <c r="BK190" i="19"/>
  <c r="BM190" i="19" s="1"/>
  <c r="O192" i="19"/>
  <c r="M192" i="19"/>
  <c r="P192" i="19"/>
  <c r="N192" i="19"/>
  <c r="P183" i="19"/>
  <c r="P184" i="19"/>
  <c r="BI184" i="19"/>
  <c r="BE184" i="19"/>
  <c r="BG184" i="19" s="1"/>
  <c r="BO184" i="19"/>
  <c r="P186" i="19"/>
  <c r="Z186" i="19"/>
  <c r="Y186" i="19"/>
  <c r="X186" i="19"/>
  <c r="BT186" i="19"/>
  <c r="O190" i="19"/>
  <c r="N190" i="19"/>
  <c r="P190" i="19"/>
  <c r="M190" i="19"/>
  <c r="BH191" i="19"/>
  <c r="AL183" i="19"/>
  <c r="AY183" i="19"/>
  <c r="BA183" i="19" s="1"/>
  <c r="BK183" i="19"/>
  <c r="BM183" i="19" s="1"/>
  <c r="AC184" i="19"/>
  <c r="AE184" i="19" s="1"/>
  <c r="BU184" i="19"/>
  <c r="BQ184" i="19"/>
  <c r="BS184" i="19" s="1"/>
  <c r="N185" i="19"/>
  <c r="AJ185" i="19"/>
  <c r="AA186" i="19"/>
  <c r="M191" i="19"/>
  <c r="P191" i="19"/>
  <c r="O191" i="19"/>
  <c r="N191" i="19"/>
  <c r="AN186" i="19"/>
  <c r="AP186" i="19" s="1"/>
  <c r="AR186" i="19" s="1"/>
  <c r="BO188" i="19"/>
  <c r="BN190" i="19"/>
  <c r="AK191" i="19"/>
  <c r="AI191" i="19"/>
  <c r="AL191" i="19"/>
  <c r="AJ191" i="19"/>
  <c r="BC191" i="19"/>
  <c r="AY191" i="19"/>
  <c r="BA191" i="19" s="1"/>
  <c r="BU191" i="19"/>
  <c r="BQ191" i="19"/>
  <c r="BS191" i="19" s="1"/>
  <c r="AF192" i="19"/>
  <c r="AI186" i="19"/>
  <c r="AT186" i="19"/>
  <c r="AY186" i="19"/>
  <c r="BA186" i="19" s="1"/>
  <c r="AN188" i="19"/>
  <c r="AP188" i="19" s="1"/>
  <c r="AR188" i="19" s="1"/>
  <c r="BU190" i="19"/>
  <c r="BB191" i="19"/>
  <c r="O193" i="19"/>
  <c r="N193" i="19"/>
  <c r="M193" i="19"/>
  <c r="BE185" i="19"/>
  <c r="BG185" i="19" s="1"/>
  <c r="BQ185" i="19"/>
  <c r="BS185" i="19" s="1"/>
  <c r="G186" i="19"/>
  <c r="R186" i="19" s="1"/>
  <c r="T186" i="19" s="1"/>
  <c r="V186" i="19" s="1"/>
  <c r="AK186" i="19"/>
  <c r="AU186" i="19"/>
  <c r="M188" i="19"/>
  <c r="X188" i="19"/>
  <c r="AI188" i="19"/>
  <c r="AT188" i="19"/>
  <c r="AY188" i="19"/>
  <c r="BA188" i="19" s="1"/>
  <c r="AC190" i="19"/>
  <c r="AE190" i="19" s="1"/>
  <c r="G190" i="19"/>
  <c r="R190" i="19" s="1"/>
  <c r="T190" i="19" s="1"/>
  <c r="V190" i="19" s="1"/>
  <c r="AN190" i="19"/>
  <c r="AP190" i="19" s="1"/>
  <c r="AR190" i="19" s="1"/>
  <c r="BH190" i="19"/>
  <c r="J191" i="19"/>
  <c r="P193" i="19"/>
  <c r="AF193" i="19"/>
  <c r="Z190" i="19"/>
  <c r="AW190" i="19"/>
  <c r="BS190" i="19"/>
  <c r="AC191" i="19"/>
  <c r="AE191" i="19" s="1"/>
  <c r="BO191" i="19"/>
  <c r="BK191" i="19"/>
  <c r="BM191" i="19" s="1"/>
  <c r="G192" i="19"/>
  <c r="R192" i="19" s="1"/>
  <c r="T192" i="19" s="1"/>
  <c r="V192" i="19" s="1"/>
  <c r="AK192" i="19"/>
  <c r="AJ192" i="19"/>
  <c r="AI192" i="19"/>
  <c r="BC192" i="19"/>
  <c r="AY192" i="19"/>
  <c r="BA192" i="19" s="1"/>
  <c r="BH192" i="19"/>
  <c r="AK193" i="19"/>
  <c r="AJ193" i="19"/>
  <c r="AI193" i="19"/>
  <c r="BC193" i="19"/>
  <c r="AY193" i="19"/>
  <c r="BA193" i="19" s="1"/>
  <c r="BH193" i="19"/>
  <c r="BC190" i="19"/>
  <c r="AY190" i="19"/>
  <c r="BA190" i="19" s="1"/>
  <c r="BI191" i="19"/>
  <c r="BE191" i="19"/>
  <c r="BG191" i="19" s="1"/>
  <c r="BT191" i="19"/>
  <c r="AL192" i="19"/>
  <c r="BO192" i="19"/>
  <c r="BK192" i="19"/>
  <c r="BM192" i="19" s="1"/>
  <c r="BT192" i="19"/>
  <c r="J193" i="19"/>
  <c r="AL193" i="19"/>
  <c r="BO193" i="19"/>
  <c r="BK193" i="19"/>
  <c r="BM193" i="19" s="1"/>
  <c r="BT193" i="19"/>
  <c r="Y191" i="19"/>
  <c r="AU191" i="19"/>
  <c r="Y192" i="19"/>
  <c r="AU192" i="19"/>
  <c r="Y193" i="19"/>
  <c r="AU193" i="19"/>
  <c r="AC192" i="19"/>
  <c r="AE192" i="19" s="1"/>
  <c r="BE192" i="19"/>
  <c r="BG192" i="19" s="1"/>
  <c r="BQ192" i="19"/>
  <c r="BS192" i="19" s="1"/>
  <c r="G193" i="19"/>
  <c r="R193" i="19" s="1"/>
  <c r="T193" i="19" s="1"/>
  <c r="V193" i="19" s="1"/>
  <c r="AC193" i="19"/>
  <c r="AE193" i="19" s="1"/>
  <c r="BE193" i="19"/>
  <c r="BG193" i="19" s="1"/>
  <c r="BQ193" i="19"/>
  <c r="BS193" i="19" s="1"/>
  <c r="AG265" i="19" l="1"/>
  <c r="AG259" i="19"/>
  <c r="AG258" i="19"/>
  <c r="AG264" i="19"/>
  <c r="AG255" i="19"/>
  <c r="AG257" i="19"/>
  <c r="AG262" i="19"/>
  <c r="AG261" i="19"/>
  <c r="AG260" i="19"/>
  <c r="AG263" i="19"/>
  <c r="AG254" i="19"/>
  <c r="AG256" i="19"/>
  <c r="P327" i="19"/>
  <c r="K334" i="19"/>
  <c r="AG193" i="19"/>
  <c r="AG183" i="19"/>
  <c r="AG329" i="19"/>
  <c r="AG341" i="19"/>
  <c r="AG191" i="19"/>
  <c r="AG192" i="19"/>
  <c r="AG184" i="19"/>
  <c r="AG188" i="19"/>
  <c r="AG186" i="19"/>
  <c r="AG343" i="19"/>
  <c r="AG342" i="19"/>
  <c r="AG337" i="19"/>
  <c r="AG340" i="19"/>
  <c r="AG190" i="19"/>
  <c r="AG185" i="19"/>
  <c r="AG327" i="19"/>
  <c r="AG328" i="19"/>
  <c r="AG326" i="19"/>
  <c r="I337" i="19"/>
  <c r="I341" i="19"/>
  <c r="AE333" i="19"/>
  <c r="AI328" i="19"/>
  <c r="AJ328" i="19" s="1"/>
  <c r="M333" i="19"/>
  <c r="O333" i="19" s="1"/>
  <c r="AI326" i="19"/>
  <c r="AK326" i="19" s="1"/>
  <c r="I340" i="19"/>
  <c r="X333" i="19"/>
  <c r="Z333" i="19" s="1"/>
  <c r="I333" i="19"/>
  <c r="I330" i="19"/>
  <c r="M340" i="19"/>
  <c r="O340" i="19" s="1"/>
  <c r="AT337" i="19"/>
  <c r="AU337" i="19" s="1"/>
  <c r="AW337" i="19" s="1"/>
  <c r="I192" i="19"/>
  <c r="AE335" i="19"/>
  <c r="AP332" i="19"/>
  <c r="AR332" i="19" s="1"/>
  <c r="AI340" i="19"/>
  <c r="AJ340" i="19" s="1"/>
  <c r="AE334" i="19"/>
  <c r="AI341" i="19"/>
  <c r="AJ341" i="19" s="1"/>
  <c r="AJ339" i="19"/>
  <c r="T338" i="19"/>
  <c r="V338" i="19" s="1"/>
  <c r="I263" i="19"/>
  <c r="I257" i="19"/>
  <c r="X342" i="19"/>
  <c r="Z342" i="19" s="1"/>
  <c r="AJ333" i="19"/>
  <c r="AT336" i="19"/>
  <c r="AV336" i="19" s="1"/>
  <c r="AP334" i="19"/>
  <c r="AR334" i="19" s="1"/>
  <c r="I331" i="19"/>
  <c r="I264" i="19"/>
  <c r="AT338" i="19"/>
  <c r="AU338" i="19" s="1"/>
  <c r="AW338" i="19" s="1"/>
  <c r="T339" i="19"/>
  <c r="V339" i="19" s="1"/>
  <c r="T337" i="19"/>
  <c r="V337" i="19" s="1"/>
  <c r="AT331" i="19"/>
  <c r="AU331" i="19" s="1"/>
  <c r="AW331" i="19" s="1"/>
  <c r="I339" i="19"/>
  <c r="M339" i="19"/>
  <c r="O339" i="19" s="1"/>
  <c r="M337" i="19"/>
  <c r="O337" i="19" s="1"/>
  <c r="AE332" i="19"/>
  <c r="I335" i="19"/>
  <c r="AP330" i="19"/>
  <c r="AR330" i="19" s="1"/>
  <c r="AE331" i="19"/>
  <c r="M342" i="19"/>
  <c r="O342" i="19" s="1"/>
  <c r="M341" i="19"/>
  <c r="O341" i="19" s="1"/>
  <c r="M343" i="19"/>
  <c r="O343" i="19" s="1"/>
  <c r="AI342" i="19"/>
  <c r="AK342" i="19" s="1"/>
  <c r="AT335" i="19"/>
  <c r="AV335" i="19" s="1"/>
  <c r="M334" i="19"/>
  <c r="O334" i="19" s="1"/>
  <c r="M338" i="19"/>
  <c r="O338" i="19" s="1"/>
  <c r="I338" i="19"/>
  <c r="X340" i="19"/>
  <c r="Z340" i="19" s="1"/>
  <c r="AE339" i="19"/>
  <c r="X341" i="19"/>
  <c r="Z341" i="19" s="1"/>
  <c r="Z339" i="19"/>
  <c r="AI337" i="19"/>
  <c r="AK337" i="19" s="1"/>
  <c r="X335" i="19"/>
  <c r="Z335" i="19" s="1"/>
  <c r="AV334" i="19"/>
  <c r="AT333" i="19"/>
  <c r="M335" i="19"/>
  <c r="N335" i="19" s="1"/>
  <c r="M330" i="19"/>
  <c r="O330" i="19" s="1"/>
  <c r="I329" i="19"/>
  <c r="R331" i="19"/>
  <c r="T331" i="19" s="1"/>
  <c r="V331" i="19" s="1"/>
  <c r="M326" i="19"/>
  <c r="O326" i="19" s="1"/>
  <c r="O331" i="19"/>
  <c r="N331" i="19"/>
  <c r="T340" i="19"/>
  <c r="V340" i="19" s="1"/>
  <c r="AT341" i="19"/>
  <c r="AV341" i="19" s="1"/>
  <c r="AU332" i="19"/>
  <c r="AW332" i="19" s="1"/>
  <c r="I343" i="19"/>
  <c r="I260" i="19"/>
  <c r="AI343" i="19"/>
  <c r="AJ343" i="19" s="1"/>
  <c r="Z338" i="19"/>
  <c r="I332" i="19"/>
  <c r="AU330" i="19"/>
  <c r="AW330" i="19" s="1"/>
  <c r="M329" i="19"/>
  <c r="O329" i="19" s="1"/>
  <c r="I342" i="19"/>
  <c r="AI338" i="19"/>
  <c r="AK338" i="19" s="1"/>
  <c r="AT342" i="19"/>
  <c r="AV342" i="19" s="1"/>
  <c r="AP342" i="19"/>
  <c r="AR342" i="19" s="1"/>
  <c r="AJ336" i="19"/>
  <c r="R336" i="19"/>
  <c r="N336" i="19"/>
  <c r="AP328" i="19"/>
  <c r="AR328" i="19" s="1"/>
  <c r="AT328" i="19"/>
  <c r="AV328" i="19" s="1"/>
  <c r="AT340" i="19"/>
  <c r="AV340" i="19" s="1"/>
  <c r="AI329" i="19"/>
  <c r="R328" i="19"/>
  <c r="I328" i="19"/>
  <c r="AP326" i="19"/>
  <c r="AR326" i="19" s="1"/>
  <c r="AT326" i="19"/>
  <c r="AV326" i="19" s="1"/>
  <c r="AI330" i="19"/>
  <c r="AK330" i="19" s="1"/>
  <c r="AE330" i="19"/>
  <c r="AJ326" i="19"/>
  <c r="AI327" i="19"/>
  <c r="AP343" i="19"/>
  <c r="AR343" i="19" s="1"/>
  <c r="AT343" i="19"/>
  <c r="AP339" i="19"/>
  <c r="AR339" i="19" s="1"/>
  <c r="Y337" i="19"/>
  <c r="AA337" i="19" s="1"/>
  <c r="I336" i="19"/>
  <c r="X330" i="19"/>
  <c r="AJ335" i="19"/>
  <c r="I326" i="19"/>
  <c r="AP327" i="19"/>
  <c r="AR327" i="19" s="1"/>
  <c r="AT327" i="19"/>
  <c r="AV327" i="19" s="1"/>
  <c r="T329" i="19"/>
  <c r="V329" i="19" s="1"/>
  <c r="X329" i="19"/>
  <c r="Z329" i="19" s="1"/>
  <c r="AP329" i="19"/>
  <c r="AR329" i="19" s="1"/>
  <c r="AT329" i="19"/>
  <c r="AV329" i="19" s="1"/>
  <c r="AP340" i="19"/>
  <c r="AR340" i="19" s="1"/>
  <c r="AJ331" i="19"/>
  <c r="O327" i="19"/>
  <c r="AU339" i="19"/>
  <c r="AW339" i="19" s="1"/>
  <c r="X343" i="19"/>
  <c r="Z343" i="19" s="1"/>
  <c r="T343" i="19"/>
  <c r="V343" i="19" s="1"/>
  <c r="AE338" i="19"/>
  <c r="AE336" i="19"/>
  <c r="R334" i="19"/>
  <c r="AJ332" i="19"/>
  <c r="N332" i="19"/>
  <c r="R332" i="19"/>
  <c r="T326" i="19"/>
  <c r="V326" i="19" s="1"/>
  <c r="X326" i="19"/>
  <c r="Z326" i="19" s="1"/>
  <c r="N328" i="19"/>
  <c r="AJ334" i="19"/>
  <c r="R327" i="19"/>
  <c r="I327" i="19"/>
  <c r="I191" i="19"/>
  <c r="I188" i="19"/>
  <c r="I255" i="19"/>
  <c r="R255" i="19"/>
  <c r="T255" i="19" s="1"/>
  <c r="V255" i="19" s="1"/>
  <c r="I261" i="19"/>
  <c r="I258" i="19"/>
  <c r="R258" i="19"/>
  <c r="T258" i="19" s="1"/>
  <c r="V258" i="19" s="1"/>
  <c r="I262" i="19"/>
  <c r="I256" i="19"/>
  <c r="R256" i="19"/>
  <c r="T256" i="19" s="1"/>
  <c r="V256" i="19" s="1"/>
  <c r="I254" i="19"/>
  <c r="R254" i="19"/>
  <c r="T254" i="19" s="1"/>
  <c r="V254" i="19" s="1"/>
  <c r="I265" i="19"/>
  <c r="R259" i="19"/>
  <c r="T259" i="19" s="1"/>
  <c r="V259" i="19" s="1"/>
  <c r="I259" i="19"/>
  <c r="I193" i="19"/>
  <c r="I186" i="19"/>
  <c r="I183" i="19"/>
  <c r="I184" i="19"/>
  <c r="I190" i="19"/>
  <c r="I185" i="19"/>
  <c r="P332" i="19" l="1"/>
  <c r="P336" i="19"/>
  <c r="P328" i="19"/>
  <c r="P335" i="19"/>
  <c r="P331" i="19"/>
  <c r="K190" i="19"/>
  <c r="K193" i="19"/>
  <c r="K262" i="19"/>
  <c r="K328" i="19"/>
  <c r="K264" i="19"/>
  <c r="K259" i="19"/>
  <c r="K260" i="19"/>
  <c r="K338" i="19"/>
  <c r="K331" i="19"/>
  <c r="K340" i="19"/>
  <c r="K183" i="19"/>
  <c r="K258" i="19"/>
  <c r="K188" i="19"/>
  <c r="K257" i="19"/>
  <c r="K330" i="19"/>
  <c r="K341" i="19"/>
  <c r="K327" i="19"/>
  <c r="K336" i="19"/>
  <c r="K342" i="19"/>
  <c r="K332" i="19"/>
  <c r="K343" i="19"/>
  <c r="K329" i="19"/>
  <c r="K184" i="19"/>
  <c r="K254" i="19"/>
  <c r="K255" i="19"/>
  <c r="K185" i="19"/>
  <c r="K186" i="19"/>
  <c r="K265" i="19"/>
  <c r="K256" i="19"/>
  <c r="K261" i="19"/>
  <c r="K191" i="19"/>
  <c r="K326" i="19"/>
  <c r="K335" i="19"/>
  <c r="K339" i="19"/>
  <c r="K263" i="19"/>
  <c r="K192" i="19"/>
  <c r="K333" i="19"/>
  <c r="K337" i="19"/>
  <c r="AL333" i="19"/>
  <c r="AL340" i="19"/>
  <c r="AG338" i="19"/>
  <c r="AG331" i="19"/>
  <c r="AL339" i="19"/>
  <c r="AG333" i="19"/>
  <c r="AL332" i="19"/>
  <c r="AL343" i="19"/>
  <c r="AG332" i="19"/>
  <c r="AL328" i="19"/>
  <c r="AL334" i="19"/>
  <c r="AG336" i="19"/>
  <c r="AL331" i="19"/>
  <c r="AL335" i="19"/>
  <c r="AL326" i="19"/>
  <c r="AG339" i="19"/>
  <c r="AL341" i="19"/>
  <c r="AG335" i="19"/>
  <c r="AG330" i="19"/>
  <c r="AL336" i="19"/>
  <c r="AG334" i="19"/>
  <c r="N341" i="19"/>
  <c r="AK340" i="19"/>
  <c r="N333" i="19"/>
  <c r="AU342" i="19"/>
  <c r="AW342" i="19" s="1"/>
  <c r="AK328" i="19"/>
  <c r="X331" i="19"/>
  <c r="Z331" i="19" s="1"/>
  <c r="Y333" i="19"/>
  <c r="AA333" i="19" s="1"/>
  <c r="AV337" i="19"/>
  <c r="N340" i="19"/>
  <c r="O335" i="19"/>
  <c r="AJ337" i="19"/>
  <c r="Y341" i="19"/>
  <c r="AA341" i="19" s="1"/>
  <c r="Y335" i="19"/>
  <c r="AA335" i="19" s="1"/>
  <c r="N339" i="19"/>
  <c r="N334" i="19"/>
  <c r="AU336" i="19"/>
  <c r="AW336" i="19" s="1"/>
  <c r="AV338" i="19"/>
  <c r="AK341" i="19"/>
  <c r="AK343" i="19"/>
  <c r="Y340" i="19"/>
  <c r="AA340" i="19" s="1"/>
  <c r="N330" i="19"/>
  <c r="AJ342" i="19"/>
  <c r="N329" i="19"/>
  <c r="Y342" i="19"/>
  <c r="AA342" i="19" s="1"/>
  <c r="N338" i="19"/>
  <c r="AU335" i="19"/>
  <c r="AW335" i="19" s="1"/>
  <c r="N337" i="19"/>
  <c r="N342" i="19"/>
  <c r="N326" i="19"/>
  <c r="N343" i="19"/>
  <c r="AV331" i="19"/>
  <c r="AV333" i="19"/>
  <c r="AU333" i="19"/>
  <c r="AW333" i="19" s="1"/>
  <c r="AU328" i="19"/>
  <c r="AW328" i="19" s="1"/>
  <c r="AU326" i="19"/>
  <c r="AW326" i="19" s="1"/>
  <c r="AU341" i="19"/>
  <c r="AW341" i="19" s="1"/>
  <c r="AJ338" i="19"/>
  <c r="Y326" i="19"/>
  <c r="AA326" i="19" s="1"/>
  <c r="AJ330" i="19"/>
  <c r="AU329" i="19"/>
  <c r="AW329" i="19" s="1"/>
  <c r="X327" i="19"/>
  <c r="Z327" i="19" s="1"/>
  <c r="T327" i="19"/>
  <c r="V327" i="19" s="1"/>
  <c r="AJ329" i="19"/>
  <c r="AK329" i="19"/>
  <c r="X336" i="19"/>
  <c r="Z336" i="19" s="1"/>
  <c r="T336" i="19"/>
  <c r="V336" i="19" s="1"/>
  <c r="Y330" i="19"/>
  <c r="AA330" i="19" s="1"/>
  <c r="Z330" i="19"/>
  <c r="AV343" i="19"/>
  <c r="AU343" i="19"/>
  <c r="AW343" i="19" s="1"/>
  <c r="AU340" i="19"/>
  <c r="AW340" i="19" s="1"/>
  <c r="T328" i="19"/>
  <c r="V328" i="19" s="1"/>
  <c r="X328" i="19"/>
  <c r="Z328" i="19" s="1"/>
  <c r="T332" i="19"/>
  <c r="V332" i="19" s="1"/>
  <c r="X332" i="19"/>
  <c r="Z332" i="19" s="1"/>
  <c r="X334" i="19"/>
  <c r="Z334" i="19" s="1"/>
  <c r="T334" i="19"/>
  <c r="V334" i="19" s="1"/>
  <c r="Y329" i="19"/>
  <c r="AA329" i="19" s="1"/>
  <c r="AU327" i="19"/>
  <c r="AW327" i="19" s="1"/>
  <c r="AK327" i="19"/>
  <c r="AJ327" i="19"/>
  <c r="Y343" i="19"/>
  <c r="AA343" i="19" s="1"/>
  <c r="P342" i="19" l="1"/>
  <c r="P337" i="19"/>
  <c r="P329" i="19"/>
  <c r="P334" i="19"/>
  <c r="P333" i="19"/>
  <c r="P343" i="19"/>
  <c r="P339" i="19"/>
  <c r="P326" i="19"/>
  <c r="P338" i="19"/>
  <c r="P330" i="19"/>
  <c r="P340" i="19"/>
  <c r="P341" i="19"/>
  <c r="AL342" i="19"/>
  <c r="AL327" i="19"/>
  <c r="AL329" i="19"/>
  <c r="AL330" i="19"/>
  <c r="AL338" i="19"/>
  <c r="AL337" i="19"/>
  <c r="Y331" i="19"/>
  <c r="AA331" i="19" s="1"/>
  <c r="Y336" i="19"/>
  <c r="AA336" i="19" s="1"/>
  <c r="Y327" i="19"/>
  <c r="AA327" i="19" s="1"/>
  <c r="Y334" i="19"/>
  <c r="AA334" i="19" s="1"/>
  <c r="Y332" i="19"/>
  <c r="AA332" i="19" s="1"/>
  <c r="Y328" i="19"/>
  <c r="AA328" i="19" s="1"/>
  <c r="BR515" i="19" l="1"/>
  <c r="BP515" i="19"/>
  <c r="BU515" i="19" s="1"/>
  <c r="BL515" i="19"/>
  <c r="BN515" i="19" s="1"/>
  <c r="BJ515" i="19"/>
  <c r="BF515" i="19"/>
  <c r="BD515" i="19"/>
  <c r="BI515" i="19" s="1"/>
  <c r="AZ515" i="19"/>
  <c r="BB515" i="19" s="1"/>
  <c r="AX515" i="19"/>
  <c r="AS515" i="19"/>
  <c r="AW515" i="19" s="1"/>
  <c r="AO515" i="19"/>
  <c r="AQ515" i="19" s="1"/>
  <c r="AM515" i="19"/>
  <c r="AH515" i="19"/>
  <c r="AD515" i="19"/>
  <c r="AB515" i="19"/>
  <c r="W515" i="19"/>
  <c r="AA515" i="19" s="1"/>
  <c r="S515" i="19"/>
  <c r="U515" i="19" s="1"/>
  <c r="Q515" i="19"/>
  <c r="L515" i="19"/>
  <c r="H515" i="19"/>
  <c r="F515" i="19"/>
  <c r="E515" i="19"/>
  <c r="D515" i="19"/>
  <c r="BR514" i="19"/>
  <c r="BP514" i="19"/>
  <c r="BU514" i="19" s="1"/>
  <c r="BL514" i="19"/>
  <c r="BN514" i="19" s="1"/>
  <c r="BJ514" i="19"/>
  <c r="BF514" i="19"/>
  <c r="BD514" i="19"/>
  <c r="BI514" i="19" s="1"/>
  <c r="AZ514" i="19"/>
  <c r="BB514" i="19" s="1"/>
  <c r="AX514" i="19"/>
  <c r="AS514" i="19"/>
  <c r="AW514" i="19" s="1"/>
  <c r="AO514" i="19"/>
  <c r="AQ514" i="19" s="1"/>
  <c r="AM514" i="19"/>
  <c r="AH514" i="19"/>
  <c r="AD514" i="19"/>
  <c r="AB514" i="19"/>
  <c r="W514" i="19"/>
  <c r="AA514" i="19" s="1"/>
  <c r="S514" i="19"/>
  <c r="U514" i="19" s="1"/>
  <c r="Q514" i="19"/>
  <c r="L514" i="19"/>
  <c r="H514" i="19"/>
  <c r="F514" i="19"/>
  <c r="E514" i="19"/>
  <c r="D514" i="19"/>
  <c r="BR513" i="19"/>
  <c r="BP513" i="19"/>
  <c r="BU513" i="19" s="1"/>
  <c r="BL513" i="19"/>
  <c r="BJ513" i="19"/>
  <c r="BF513" i="19"/>
  <c r="BD513" i="19"/>
  <c r="BI513" i="19" s="1"/>
  <c r="AZ513" i="19"/>
  <c r="AX513" i="19"/>
  <c r="AS513" i="19"/>
  <c r="AU513" i="19" s="1"/>
  <c r="AO513" i="19"/>
  <c r="AQ513" i="19" s="1"/>
  <c r="AM513" i="19"/>
  <c r="AH513" i="19"/>
  <c r="AI513" i="19" s="1"/>
  <c r="AD513" i="19"/>
  <c r="AF513" i="19" s="1"/>
  <c r="AB513" i="19"/>
  <c r="W513" i="19"/>
  <c r="Y513" i="19" s="1"/>
  <c r="S513" i="19"/>
  <c r="U513" i="19" s="1"/>
  <c r="Q513" i="19"/>
  <c r="L513" i="19"/>
  <c r="M513" i="19" s="1"/>
  <c r="H513" i="19"/>
  <c r="J513" i="19" s="1"/>
  <c r="F513" i="19"/>
  <c r="E513" i="19"/>
  <c r="D513" i="19"/>
  <c r="BR512" i="19"/>
  <c r="BT512" i="19" s="1"/>
  <c r="BP512" i="19"/>
  <c r="BQ512" i="19" s="1"/>
  <c r="BL512" i="19"/>
  <c r="BN512" i="19" s="1"/>
  <c r="BJ512" i="19"/>
  <c r="BF512" i="19"/>
  <c r="BH512" i="19" s="1"/>
  <c r="BD512" i="19"/>
  <c r="BE512" i="19" s="1"/>
  <c r="AZ512" i="19"/>
  <c r="BB512" i="19" s="1"/>
  <c r="AX512" i="19"/>
  <c r="AS512" i="19"/>
  <c r="AO512" i="19"/>
  <c r="AM512" i="19"/>
  <c r="AH512" i="19"/>
  <c r="AI512" i="19" s="1"/>
  <c r="AD512" i="19"/>
  <c r="AF512" i="19" s="1"/>
  <c r="AB512" i="19"/>
  <c r="W512" i="19"/>
  <c r="Z512" i="19" s="1"/>
  <c r="S512" i="19"/>
  <c r="Q512" i="19"/>
  <c r="L512" i="19"/>
  <c r="M512" i="19" s="1"/>
  <c r="H512" i="19"/>
  <c r="F512" i="19"/>
  <c r="E512" i="19"/>
  <c r="D512" i="19"/>
  <c r="BR511" i="19"/>
  <c r="BT511" i="19" s="1"/>
  <c r="BP511" i="19"/>
  <c r="BQ511" i="19" s="1"/>
  <c r="BL511" i="19"/>
  <c r="BN511" i="19" s="1"/>
  <c r="BJ511" i="19"/>
  <c r="BF511" i="19"/>
  <c r="BD511" i="19"/>
  <c r="BI511" i="19" s="1"/>
  <c r="AZ511" i="19"/>
  <c r="AX511" i="19"/>
  <c r="AS511" i="19"/>
  <c r="AT511" i="19" s="1"/>
  <c r="AO511" i="19"/>
  <c r="AM511" i="19"/>
  <c r="AH511" i="19"/>
  <c r="AI511" i="19" s="1"/>
  <c r="AD511" i="19"/>
  <c r="AF511" i="19" s="1"/>
  <c r="AB511" i="19"/>
  <c r="W511" i="19"/>
  <c r="S511" i="19"/>
  <c r="Q511" i="19"/>
  <c r="L511" i="19"/>
  <c r="M511" i="19" s="1"/>
  <c r="H511" i="19"/>
  <c r="J511" i="19" s="1"/>
  <c r="F511" i="19"/>
  <c r="E511" i="19"/>
  <c r="D511" i="19"/>
  <c r="BR510" i="19"/>
  <c r="BP510" i="19"/>
  <c r="BU510" i="19" s="1"/>
  <c r="BL510" i="19"/>
  <c r="BN510" i="19" s="1"/>
  <c r="BJ510" i="19"/>
  <c r="BF510" i="19"/>
  <c r="BD510" i="19"/>
  <c r="BE510" i="19" s="1"/>
  <c r="AZ510" i="19"/>
  <c r="BB510" i="19" s="1"/>
  <c r="AX510" i="19"/>
  <c r="AS510" i="19"/>
  <c r="AU510" i="19" s="1"/>
  <c r="AO510" i="19"/>
  <c r="AQ510" i="19" s="1"/>
  <c r="AM510" i="19"/>
  <c r="AH510" i="19"/>
  <c r="AL510" i="19" s="1"/>
  <c r="AD510" i="19"/>
  <c r="AB510" i="19"/>
  <c r="W510" i="19"/>
  <c r="AA510" i="19" s="1"/>
  <c r="S510" i="19"/>
  <c r="U510" i="19" s="1"/>
  <c r="Q510" i="19"/>
  <c r="L510" i="19"/>
  <c r="H510" i="19"/>
  <c r="F510" i="19"/>
  <c r="E510" i="19"/>
  <c r="D510" i="19"/>
  <c r="BR509" i="19"/>
  <c r="BP509" i="19"/>
  <c r="BU509" i="19" s="1"/>
  <c r="BL509" i="19"/>
  <c r="BN509" i="19" s="1"/>
  <c r="BJ509" i="19"/>
  <c r="BF509" i="19"/>
  <c r="BD509" i="19"/>
  <c r="BI509" i="19" s="1"/>
  <c r="AZ509" i="19"/>
  <c r="BB509" i="19" s="1"/>
  <c r="AX509" i="19"/>
  <c r="AS509" i="19"/>
  <c r="AW509" i="19" s="1"/>
  <c r="AO509" i="19"/>
  <c r="AQ509" i="19" s="1"/>
  <c r="AM509" i="19"/>
  <c r="AH509" i="19"/>
  <c r="AD509" i="19"/>
  <c r="AB509" i="19"/>
  <c r="W509" i="19"/>
  <c r="S509" i="19"/>
  <c r="U509" i="19" s="1"/>
  <c r="Q509" i="19"/>
  <c r="L509" i="19"/>
  <c r="P509" i="19" s="1"/>
  <c r="H509" i="19"/>
  <c r="F509" i="19"/>
  <c r="E509" i="19"/>
  <c r="D509" i="19"/>
  <c r="BR508" i="19"/>
  <c r="BP508" i="19"/>
  <c r="BU508" i="19" s="1"/>
  <c r="BL508" i="19"/>
  <c r="BN508" i="19" s="1"/>
  <c r="BJ508" i="19"/>
  <c r="BF508" i="19"/>
  <c r="BD508" i="19"/>
  <c r="BE508" i="19" s="1"/>
  <c r="AZ508" i="19"/>
  <c r="BB508" i="19" s="1"/>
  <c r="AX508" i="19"/>
  <c r="AS508" i="19"/>
  <c r="AT508" i="19" s="1"/>
  <c r="AO508" i="19"/>
  <c r="AQ508" i="19" s="1"/>
  <c r="AM508" i="19"/>
  <c r="AH508" i="19"/>
  <c r="AJ508" i="19" s="1"/>
  <c r="AD508" i="19"/>
  <c r="AF508" i="19" s="1"/>
  <c r="AB508" i="19"/>
  <c r="W508" i="19"/>
  <c r="Z508" i="19" s="1"/>
  <c r="S508" i="19"/>
  <c r="U508" i="19" s="1"/>
  <c r="Q508" i="19"/>
  <c r="L508" i="19"/>
  <c r="N508" i="19" s="1"/>
  <c r="H508" i="19"/>
  <c r="J508" i="19" s="1"/>
  <c r="F508" i="19"/>
  <c r="E508" i="19"/>
  <c r="D508" i="19"/>
  <c r="BR507" i="19"/>
  <c r="BT507" i="19" s="1"/>
  <c r="BP507" i="19"/>
  <c r="BU507" i="19" s="1"/>
  <c r="BL507" i="19"/>
  <c r="BN507" i="19" s="1"/>
  <c r="BJ507" i="19"/>
  <c r="BO507" i="19" s="1"/>
  <c r="BF507" i="19"/>
  <c r="BH507" i="19" s="1"/>
  <c r="BD507" i="19"/>
  <c r="BI507" i="19" s="1"/>
  <c r="AZ507" i="19"/>
  <c r="BB507" i="19" s="1"/>
  <c r="AX507" i="19"/>
  <c r="BC507" i="19" s="1"/>
  <c r="AS507" i="19"/>
  <c r="AV507" i="19" s="1"/>
  <c r="AO507" i="19"/>
  <c r="AQ507" i="19" s="1"/>
  <c r="AM507" i="19"/>
  <c r="AH507" i="19"/>
  <c r="AJ507" i="19" s="1"/>
  <c r="AD507" i="19"/>
  <c r="AF507" i="19" s="1"/>
  <c r="AB507" i="19"/>
  <c r="W507" i="19"/>
  <c r="Z507" i="19" s="1"/>
  <c r="S507" i="19"/>
  <c r="U507" i="19" s="1"/>
  <c r="Q507" i="19"/>
  <c r="L507" i="19"/>
  <c r="N507" i="19" s="1"/>
  <c r="H507" i="19"/>
  <c r="J507" i="19" s="1"/>
  <c r="F507" i="19"/>
  <c r="E507" i="19"/>
  <c r="D507" i="19"/>
  <c r="BR506" i="19"/>
  <c r="BT506" i="19" s="1"/>
  <c r="BP506" i="19"/>
  <c r="BQ506" i="19" s="1"/>
  <c r="BL506" i="19"/>
  <c r="BN506" i="19" s="1"/>
  <c r="BJ506" i="19"/>
  <c r="BK506" i="19" s="1"/>
  <c r="BF506" i="19"/>
  <c r="BH506" i="19" s="1"/>
  <c r="BD506" i="19"/>
  <c r="BI506" i="19" s="1"/>
  <c r="AZ506" i="19"/>
  <c r="BB506" i="19" s="1"/>
  <c r="AX506" i="19"/>
  <c r="BC506" i="19" s="1"/>
  <c r="AS506" i="19"/>
  <c r="AV506" i="19" s="1"/>
  <c r="AO506" i="19"/>
  <c r="AQ506" i="19" s="1"/>
  <c r="AM506" i="19"/>
  <c r="AH506" i="19"/>
  <c r="AJ506" i="19" s="1"/>
  <c r="AD506" i="19"/>
  <c r="AF506" i="19" s="1"/>
  <c r="AB506" i="19"/>
  <c r="W506" i="19"/>
  <c r="Z506" i="19" s="1"/>
  <c r="S506" i="19"/>
  <c r="U506" i="19" s="1"/>
  <c r="Q506" i="19"/>
  <c r="L506" i="19"/>
  <c r="N506" i="19" s="1"/>
  <c r="H506" i="19"/>
  <c r="J506" i="19" s="1"/>
  <c r="F506" i="19"/>
  <c r="E506" i="19"/>
  <c r="D506" i="19"/>
  <c r="G509" i="19" l="1"/>
  <c r="R509" i="19" s="1"/>
  <c r="T509" i="19" s="1"/>
  <c r="V509" i="19" s="1"/>
  <c r="BU506" i="19"/>
  <c r="AN510" i="19"/>
  <c r="AP510" i="19" s="1"/>
  <c r="AR510" i="19" s="1"/>
  <c r="BO506" i="19"/>
  <c r="BI508" i="19"/>
  <c r="AL507" i="19"/>
  <c r="AL513" i="19"/>
  <c r="AL508" i="19"/>
  <c r="BQ508" i="19"/>
  <c r="BS508" i="19" s="1"/>
  <c r="AJ512" i="19"/>
  <c r="AC507" i="19"/>
  <c r="AE507" i="19" s="1"/>
  <c r="P508" i="19"/>
  <c r="X508" i="19"/>
  <c r="AV514" i="19"/>
  <c r="G510" i="19"/>
  <c r="R510" i="19" s="1"/>
  <c r="T510" i="19" s="1"/>
  <c r="V510" i="19" s="1"/>
  <c r="AC506" i="19"/>
  <c r="AE506" i="19" s="1"/>
  <c r="G507" i="19"/>
  <c r="R507" i="19" s="1"/>
  <c r="T507" i="19" s="1"/>
  <c r="V507" i="19" s="1"/>
  <c r="AK508" i="19"/>
  <c r="AC512" i="19"/>
  <c r="AE512" i="19" s="1"/>
  <c r="AK512" i="19"/>
  <c r="AA513" i="19"/>
  <c r="BQ510" i="19"/>
  <c r="BS510" i="19" s="1"/>
  <c r="O513" i="19"/>
  <c r="M508" i="19"/>
  <c r="AW508" i="19"/>
  <c r="AC510" i="19"/>
  <c r="AE510" i="19" s="1"/>
  <c r="P513" i="19"/>
  <c r="X513" i="19"/>
  <c r="AN515" i="19"/>
  <c r="AP515" i="19" s="1"/>
  <c r="AR515" i="19" s="1"/>
  <c r="AC508" i="19"/>
  <c r="AE508" i="19" s="1"/>
  <c r="BM506" i="19"/>
  <c r="O508" i="19"/>
  <c r="AI508" i="19"/>
  <c r="AN511" i="19"/>
  <c r="AP511" i="19" s="1"/>
  <c r="AR511" i="19" s="1"/>
  <c r="AL511" i="19"/>
  <c r="Z513" i="19"/>
  <c r="AK513" i="19"/>
  <c r="AT514" i="19"/>
  <c r="AT515" i="19"/>
  <c r="AV515" i="19"/>
  <c r="AT509" i="19"/>
  <c r="X515" i="19"/>
  <c r="P507" i="19"/>
  <c r="AW507" i="19"/>
  <c r="BQ507" i="19"/>
  <c r="BS507" i="19" s="1"/>
  <c r="O509" i="19"/>
  <c r="BQ509" i="19"/>
  <c r="BS509" i="19" s="1"/>
  <c r="X510" i="19"/>
  <c r="AW510" i="19"/>
  <c r="AT513" i="19"/>
  <c r="Z515" i="19"/>
  <c r="AJ511" i="19"/>
  <c r="N512" i="19"/>
  <c r="BS512" i="19"/>
  <c r="AV513" i="19"/>
  <c r="G506" i="19"/>
  <c r="R506" i="19" s="1"/>
  <c r="T506" i="19" s="1"/>
  <c r="V506" i="19" s="1"/>
  <c r="AK511" i="19"/>
  <c r="O512" i="19"/>
  <c r="AW513" i="19"/>
  <c r="AC513" i="19"/>
  <c r="AE513" i="19" s="1"/>
  <c r="AN513" i="19"/>
  <c r="AP513" i="19" s="1"/>
  <c r="AR513" i="19" s="1"/>
  <c r="BS506" i="19"/>
  <c r="Y508" i="19"/>
  <c r="BE506" i="19"/>
  <c r="BG506" i="19" s="1"/>
  <c r="BG510" i="19"/>
  <c r="N511" i="19"/>
  <c r="AC509" i="19"/>
  <c r="AE509" i="19" s="1"/>
  <c r="O511" i="19"/>
  <c r="BE513" i="19"/>
  <c r="BG513" i="19" s="1"/>
  <c r="BE511" i="19"/>
  <c r="BG511" i="19" s="1"/>
  <c r="AA507" i="19"/>
  <c r="BE507" i="19"/>
  <c r="BG507" i="19" s="1"/>
  <c r="AA508" i="19"/>
  <c r="BE509" i="19"/>
  <c r="BG509" i="19" s="1"/>
  <c r="P511" i="19"/>
  <c r="BU511" i="19"/>
  <c r="AV510" i="19"/>
  <c r="AN512" i="19"/>
  <c r="AP512" i="19" s="1"/>
  <c r="AR512" i="19" s="1"/>
  <c r="BI512" i="19"/>
  <c r="AN506" i="19"/>
  <c r="AP506" i="19" s="1"/>
  <c r="AR506" i="19" s="1"/>
  <c r="BH509" i="19"/>
  <c r="BT509" i="19"/>
  <c r="N510" i="19"/>
  <c r="M510" i="19"/>
  <c r="AF510" i="19"/>
  <c r="Y511" i="19"/>
  <c r="AA511" i="19"/>
  <c r="Z511" i="19"/>
  <c r="AQ512" i="19"/>
  <c r="AF514" i="19"/>
  <c r="M506" i="19"/>
  <c r="X506" i="19"/>
  <c r="AI506" i="19"/>
  <c r="AT506" i="19"/>
  <c r="AY506" i="19"/>
  <c r="BA506" i="19" s="1"/>
  <c r="AN507" i="19"/>
  <c r="AP507" i="19" s="1"/>
  <c r="AR507" i="19" s="1"/>
  <c r="BK507" i="19"/>
  <c r="BM507" i="19" s="1"/>
  <c r="BC508" i="19"/>
  <c r="AY508" i="19"/>
  <c r="BA508" i="19" s="1"/>
  <c r="BO508" i="19"/>
  <c r="BK508" i="19"/>
  <c r="BM508" i="19" s="1"/>
  <c r="J509" i="19"/>
  <c r="Z509" i="19"/>
  <c r="Y509" i="19"/>
  <c r="AJ509" i="19"/>
  <c r="AI509" i="19"/>
  <c r="O510" i="19"/>
  <c r="BH510" i="19"/>
  <c r="X511" i="19"/>
  <c r="AC511" i="19"/>
  <c r="AE511" i="19" s="1"/>
  <c r="BC511" i="19"/>
  <c r="AY511" i="19"/>
  <c r="BA511" i="19" s="1"/>
  <c r="G512" i="19"/>
  <c r="R512" i="19" s="1"/>
  <c r="T512" i="19" s="1"/>
  <c r="V512" i="19" s="1"/>
  <c r="BH513" i="19"/>
  <c r="BQ513" i="19"/>
  <c r="BS513" i="19" s="1"/>
  <c r="O506" i="19"/>
  <c r="Y506" i="19"/>
  <c r="AK506" i="19"/>
  <c r="AU506" i="19"/>
  <c r="M507" i="19"/>
  <c r="X507" i="19"/>
  <c r="AI507" i="19"/>
  <c r="AT507" i="19"/>
  <c r="AY507" i="19"/>
  <c r="BA507" i="19" s="1"/>
  <c r="G508" i="19"/>
  <c r="AN508" i="19"/>
  <c r="AP508" i="19" s="1"/>
  <c r="AR508" i="19" s="1"/>
  <c r="AV508" i="19"/>
  <c r="AU508" i="19"/>
  <c r="X509" i="19"/>
  <c r="AK509" i="19"/>
  <c r="BC509" i="19"/>
  <c r="AY509" i="19"/>
  <c r="BA509" i="19" s="1"/>
  <c r="BO509" i="19"/>
  <c r="BK509" i="19"/>
  <c r="BM509" i="19" s="1"/>
  <c r="J510" i="19"/>
  <c r="P510" i="19"/>
  <c r="Z510" i="19"/>
  <c r="Y510" i="19"/>
  <c r="AI510" i="19"/>
  <c r="AK510" i="19"/>
  <c r="AJ510" i="19"/>
  <c r="G511" i="19"/>
  <c r="R511" i="19" s="1"/>
  <c r="T511" i="19" s="1"/>
  <c r="V511" i="19" s="1"/>
  <c r="AQ511" i="19"/>
  <c r="BB511" i="19"/>
  <c r="Y512" i="19"/>
  <c r="X512" i="19"/>
  <c r="AA512" i="19"/>
  <c r="BB513" i="19"/>
  <c r="J514" i="19"/>
  <c r="P506" i="19"/>
  <c r="AA506" i="19"/>
  <c r="AL506" i="19"/>
  <c r="AW506" i="19"/>
  <c r="O507" i="19"/>
  <c r="Y507" i="19"/>
  <c r="AK507" i="19"/>
  <c r="AU507" i="19"/>
  <c r="BH508" i="19"/>
  <c r="BG508" i="19"/>
  <c r="BT508" i="19"/>
  <c r="N509" i="19"/>
  <c r="M509" i="19"/>
  <c r="AA509" i="19"/>
  <c r="AF509" i="19"/>
  <c r="AL509" i="19"/>
  <c r="AV509" i="19"/>
  <c r="AU509" i="19"/>
  <c r="BT510" i="19"/>
  <c r="U511" i="19"/>
  <c r="AU511" i="19"/>
  <c r="AW511" i="19"/>
  <c r="AV511" i="19"/>
  <c r="BO511" i="19"/>
  <c r="BK511" i="19"/>
  <c r="BM511" i="19" s="1"/>
  <c r="BC512" i="19"/>
  <c r="AY512" i="19"/>
  <c r="BA512" i="19" s="1"/>
  <c r="G513" i="19"/>
  <c r="R513" i="19" s="1"/>
  <c r="T513" i="19" s="1"/>
  <c r="V513" i="19" s="1"/>
  <c r="AN514" i="19"/>
  <c r="AP514" i="19" s="1"/>
  <c r="AR514" i="19" s="1"/>
  <c r="G514" i="19"/>
  <c r="R514" i="19" s="1"/>
  <c r="T514" i="19" s="1"/>
  <c r="V514" i="19" s="1"/>
  <c r="M514" i="19"/>
  <c r="P514" i="19"/>
  <c r="O514" i="19"/>
  <c r="N514" i="19"/>
  <c r="BC510" i="19"/>
  <c r="AY510" i="19"/>
  <c r="BA510" i="19" s="1"/>
  <c r="BI510" i="19"/>
  <c r="U512" i="19"/>
  <c r="AU512" i="19"/>
  <c r="AV512" i="19"/>
  <c r="AT512" i="19"/>
  <c r="BO513" i="19"/>
  <c r="BK513" i="19"/>
  <c r="BM513" i="19" s="1"/>
  <c r="O515" i="19"/>
  <c r="N515" i="19"/>
  <c r="M515" i="19"/>
  <c r="AN509" i="19"/>
  <c r="AP509" i="19" s="1"/>
  <c r="AR509" i="19" s="1"/>
  <c r="AT510" i="19"/>
  <c r="BO510" i="19"/>
  <c r="BK510" i="19"/>
  <c r="BM510" i="19" s="1"/>
  <c r="BH511" i="19"/>
  <c r="BS511" i="19"/>
  <c r="J512" i="19"/>
  <c r="AW512" i="19"/>
  <c r="BN513" i="19"/>
  <c r="Y514" i="19"/>
  <c r="Z514" i="19"/>
  <c r="X514" i="19"/>
  <c r="P515" i="19"/>
  <c r="AF515" i="19"/>
  <c r="P512" i="19"/>
  <c r="AL512" i="19"/>
  <c r="BO512" i="19"/>
  <c r="BK512" i="19"/>
  <c r="BM512" i="19" s="1"/>
  <c r="BU512" i="19"/>
  <c r="AK514" i="19"/>
  <c r="AJ514" i="19"/>
  <c r="AI514" i="19"/>
  <c r="BC514" i="19"/>
  <c r="AY514" i="19"/>
  <c r="BA514" i="19" s="1"/>
  <c r="BH514" i="19"/>
  <c r="AK515" i="19"/>
  <c r="AJ515" i="19"/>
  <c r="AI515" i="19"/>
  <c r="BC515" i="19"/>
  <c r="AY515" i="19"/>
  <c r="BA515" i="19" s="1"/>
  <c r="BH515" i="19"/>
  <c r="BG512" i="19"/>
  <c r="N513" i="19"/>
  <c r="AJ513" i="19"/>
  <c r="BC513" i="19"/>
  <c r="AY513" i="19"/>
  <c r="BA513" i="19" s="1"/>
  <c r="BT513" i="19"/>
  <c r="AL514" i="19"/>
  <c r="BO514" i="19"/>
  <c r="BK514" i="19"/>
  <c r="BM514" i="19" s="1"/>
  <c r="BT514" i="19"/>
  <c r="J515" i="19"/>
  <c r="AL515" i="19"/>
  <c r="BO515" i="19"/>
  <c r="BK515" i="19"/>
  <c r="BM515" i="19" s="1"/>
  <c r="BT515" i="19"/>
  <c r="AU514" i="19"/>
  <c r="Y515" i="19"/>
  <c r="AU515" i="19"/>
  <c r="AC514" i="19"/>
  <c r="AE514" i="19" s="1"/>
  <c r="BE514" i="19"/>
  <c r="BG514" i="19" s="1"/>
  <c r="BQ514" i="19"/>
  <c r="BS514" i="19" s="1"/>
  <c r="G515" i="19"/>
  <c r="R515" i="19" s="1"/>
  <c r="T515" i="19" s="1"/>
  <c r="V515" i="19" s="1"/>
  <c r="AC515" i="19"/>
  <c r="AE515" i="19" s="1"/>
  <c r="BE515" i="19"/>
  <c r="BG515" i="19" s="1"/>
  <c r="BQ515" i="19"/>
  <c r="BS515" i="19" s="1"/>
  <c r="AG515" i="19" l="1"/>
  <c r="AG514" i="19"/>
  <c r="AG511" i="19"/>
  <c r="AG512" i="19"/>
  <c r="AG506" i="19"/>
  <c r="AG507" i="19"/>
  <c r="AG509" i="19"/>
  <c r="AG510" i="19"/>
  <c r="AG513" i="19"/>
  <c r="AG508" i="19"/>
  <c r="I509" i="19"/>
  <c r="I510" i="19"/>
  <c r="I506" i="19"/>
  <c r="I507" i="19"/>
  <c r="I513" i="19"/>
  <c r="I512" i="19"/>
  <c r="I511" i="19"/>
  <c r="I514" i="19"/>
  <c r="I515" i="19"/>
  <c r="R508" i="19"/>
  <c r="T508" i="19" s="1"/>
  <c r="V508" i="19" s="1"/>
  <c r="I508" i="19"/>
  <c r="K514" i="19" l="1"/>
  <c r="K506" i="19"/>
  <c r="K510" i="19"/>
  <c r="K508" i="19"/>
  <c r="K511" i="19"/>
  <c r="K512" i="19"/>
  <c r="K515" i="19"/>
  <c r="K513" i="19"/>
  <c r="K509" i="19"/>
  <c r="K507" i="19"/>
  <c r="BR521" i="19"/>
  <c r="BP521" i="19"/>
  <c r="BL521" i="19"/>
  <c r="BN521" i="19" s="1"/>
  <c r="BJ521" i="19"/>
  <c r="BF521" i="19"/>
  <c r="BD521" i="19"/>
  <c r="AZ521" i="19"/>
  <c r="BB521" i="19" s="1"/>
  <c r="AX521" i="19"/>
  <c r="AS521" i="19"/>
  <c r="AO521" i="19"/>
  <c r="AQ521" i="19" s="1"/>
  <c r="AM521" i="19"/>
  <c r="AH521" i="19"/>
  <c r="AD521" i="19"/>
  <c r="AB521" i="19"/>
  <c r="W521" i="19"/>
  <c r="S521" i="19"/>
  <c r="U521" i="19" s="1"/>
  <c r="Q521" i="19"/>
  <c r="L521" i="19"/>
  <c r="H521" i="19"/>
  <c r="F521" i="19"/>
  <c r="E521" i="19"/>
  <c r="D521" i="19"/>
  <c r="BR520" i="19"/>
  <c r="BP520" i="19"/>
  <c r="BL520" i="19"/>
  <c r="BN520" i="19" s="1"/>
  <c r="BJ520" i="19"/>
  <c r="BF520" i="19"/>
  <c r="BD520" i="19"/>
  <c r="AZ520" i="19"/>
  <c r="BB520" i="19" s="1"/>
  <c r="AX520" i="19"/>
  <c r="AS520" i="19"/>
  <c r="AO520" i="19"/>
  <c r="AQ520" i="19" s="1"/>
  <c r="AM520" i="19"/>
  <c r="AH520" i="19"/>
  <c r="AD520" i="19"/>
  <c r="AB520" i="19"/>
  <c r="W520" i="19"/>
  <c r="S520" i="19"/>
  <c r="U520" i="19" s="1"/>
  <c r="Q520" i="19"/>
  <c r="L520" i="19"/>
  <c r="H520" i="19"/>
  <c r="J520" i="19" s="1"/>
  <c r="F520" i="19"/>
  <c r="E520" i="19"/>
  <c r="D520" i="19"/>
  <c r="BR519" i="19"/>
  <c r="BP519" i="19"/>
  <c r="BL519" i="19"/>
  <c r="BN519" i="19" s="1"/>
  <c r="BJ519" i="19"/>
  <c r="BF519" i="19"/>
  <c r="BH519" i="19" s="1"/>
  <c r="BD519" i="19"/>
  <c r="AZ519" i="19"/>
  <c r="AX519" i="19"/>
  <c r="AS519" i="19"/>
  <c r="AO519" i="19"/>
  <c r="AQ519" i="19" s="1"/>
  <c r="AM519" i="19"/>
  <c r="AH519" i="19"/>
  <c r="AD519" i="19"/>
  <c r="AB519" i="19"/>
  <c r="W519" i="19"/>
  <c r="S519" i="19"/>
  <c r="U519" i="19" s="1"/>
  <c r="Q519" i="19"/>
  <c r="L519" i="19"/>
  <c r="H519" i="19"/>
  <c r="J519" i="19" s="1"/>
  <c r="F519" i="19"/>
  <c r="E519" i="19"/>
  <c r="D519" i="19"/>
  <c r="BR518" i="19"/>
  <c r="BT518" i="19" s="1"/>
  <c r="BP518" i="19"/>
  <c r="BL518" i="19"/>
  <c r="BN518" i="19" s="1"/>
  <c r="BJ518" i="19"/>
  <c r="BK518" i="19" s="1"/>
  <c r="BF518" i="19"/>
  <c r="BH518" i="19" s="1"/>
  <c r="BD518" i="19"/>
  <c r="AZ518" i="19"/>
  <c r="BB518" i="19" s="1"/>
  <c r="AX518" i="19"/>
  <c r="AY518" i="19" s="1"/>
  <c r="AS518" i="19"/>
  <c r="AO518" i="19"/>
  <c r="AM518" i="19"/>
  <c r="AH518" i="19"/>
  <c r="AD518" i="19"/>
  <c r="AF518" i="19" s="1"/>
  <c r="AB518" i="19"/>
  <c r="W518" i="19"/>
  <c r="S518" i="19"/>
  <c r="Q518" i="19"/>
  <c r="L518" i="19"/>
  <c r="H518" i="19"/>
  <c r="J518" i="19" s="1"/>
  <c r="F518" i="19"/>
  <c r="E518" i="19"/>
  <c r="D518" i="19"/>
  <c r="BR517" i="19"/>
  <c r="BT517" i="19" s="1"/>
  <c r="BP517" i="19"/>
  <c r="BQ517" i="19" s="1"/>
  <c r="BL517" i="19"/>
  <c r="BN517" i="19" s="1"/>
  <c r="BJ517" i="19"/>
  <c r="BF517" i="19"/>
  <c r="BH517" i="19" s="1"/>
  <c r="BD517" i="19"/>
  <c r="BE517" i="19" s="1"/>
  <c r="AZ517" i="19"/>
  <c r="BB517" i="19" s="1"/>
  <c r="AX517" i="19"/>
  <c r="AS517" i="19"/>
  <c r="AO517" i="19"/>
  <c r="AM517" i="19"/>
  <c r="AH517" i="19"/>
  <c r="AD517" i="19"/>
  <c r="AF517" i="19" s="1"/>
  <c r="AB517" i="19"/>
  <c r="W517" i="19"/>
  <c r="S517" i="19"/>
  <c r="U517" i="19" s="1"/>
  <c r="Q517" i="19"/>
  <c r="L517" i="19"/>
  <c r="H517" i="19"/>
  <c r="J517" i="19" s="1"/>
  <c r="F517" i="19"/>
  <c r="E517" i="19"/>
  <c r="D517" i="19"/>
  <c r="BR516" i="19"/>
  <c r="BT516" i="19" s="1"/>
  <c r="BP516" i="19"/>
  <c r="BL516" i="19"/>
  <c r="BN516" i="19" s="1"/>
  <c r="BJ516" i="19"/>
  <c r="BK516" i="19" s="1"/>
  <c r="BF516" i="19"/>
  <c r="BH516" i="19" s="1"/>
  <c r="BD516" i="19"/>
  <c r="AZ516" i="19"/>
  <c r="BB516" i="19" s="1"/>
  <c r="AX516" i="19"/>
  <c r="AY516" i="19" s="1"/>
  <c r="AS516" i="19"/>
  <c r="AO516" i="19"/>
  <c r="AQ516" i="19" s="1"/>
  <c r="AM516" i="19"/>
  <c r="AH516" i="19"/>
  <c r="AD516" i="19"/>
  <c r="AF516" i="19" s="1"/>
  <c r="AB516" i="19"/>
  <c r="W516" i="19"/>
  <c r="S516" i="19"/>
  <c r="U516" i="19" s="1"/>
  <c r="Q516" i="19"/>
  <c r="L516" i="19"/>
  <c r="H516" i="19"/>
  <c r="J516" i="19" s="1"/>
  <c r="F516" i="19"/>
  <c r="E516" i="19"/>
  <c r="D516" i="19"/>
  <c r="AN519" i="19" l="1"/>
  <c r="AP519" i="19" s="1"/>
  <c r="AR519" i="19" s="1"/>
  <c r="AN518" i="19"/>
  <c r="AP518" i="19" s="1"/>
  <c r="AR518" i="19" s="1"/>
  <c r="AC517" i="19"/>
  <c r="AI517" i="19" s="1"/>
  <c r="AK517" i="19" s="1"/>
  <c r="AN516" i="19"/>
  <c r="AT516" i="19" s="1"/>
  <c r="AC518" i="19"/>
  <c r="AE518" i="19" s="1"/>
  <c r="AN517" i="19"/>
  <c r="AP517" i="19" s="1"/>
  <c r="AR517" i="19" s="1"/>
  <c r="G518" i="19"/>
  <c r="R518" i="19" s="1"/>
  <c r="T518" i="19" s="1"/>
  <c r="V518" i="19" s="1"/>
  <c r="U518" i="19"/>
  <c r="G519" i="19"/>
  <c r="R519" i="19" s="1"/>
  <c r="BB519" i="19"/>
  <c r="G516" i="19"/>
  <c r="AC516" i="19"/>
  <c r="BA516" i="19"/>
  <c r="BC516" i="19" s="1"/>
  <c r="BE516" i="19"/>
  <c r="BG516" i="19" s="1"/>
  <c r="BI516" i="19" s="1"/>
  <c r="BM516" i="19"/>
  <c r="BO516" i="19" s="1"/>
  <c r="BQ516" i="19"/>
  <c r="BS516" i="19" s="1"/>
  <c r="BU516" i="19" s="1"/>
  <c r="G517" i="19"/>
  <c r="BG517" i="19"/>
  <c r="BI517" i="19" s="1"/>
  <c r="BS517" i="19"/>
  <c r="BU517" i="19" s="1"/>
  <c r="BK520" i="19"/>
  <c r="BM520" i="19" s="1"/>
  <c r="BO520" i="19" s="1"/>
  <c r="BT520" i="19"/>
  <c r="J521" i="19"/>
  <c r="AQ517" i="19"/>
  <c r="AQ518" i="19"/>
  <c r="AC519" i="19"/>
  <c r="AE519" i="19" s="1"/>
  <c r="BU519" i="19"/>
  <c r="BQ519" i="19"/>
  <c r="BS519" i="19" s="1"/>
  <c r="BE518" i="19"/>
  <c r="BG518" i="19" s="1"/>
  <c r="BI518" i="19" s="1"/>
  <c r="BK519" i="19"/>
  <c r="BM519" i="19" s="1"/>
  <c r="BO519" i="19" s="1"/>
  <c r="G520" i="19"/>
  <c r="R520" i="19" s="1"/>
  <c r="AN521" i="19"/>
  <c r="AY517" i="19"/>
  <c r="BA517" i="19" s="1"/>
  <c r="BC517" i="19" s="1"/>
  <c r="BK517" i="19"/>
  <c r="BM517" i="19" s="1"/>
  <c r="BO517" i="19" s="1"/>
  <c r="BA518" i="19"/>
  <c r="BC518" i="19" s="1"/>
  <c r="BU518" i="19"/>
  <c r="BQ518" i="19"/>
  <c r="BS518" i="19" s="1"/>
  <c r="AF519" i="19"/>
  <c r="BE519" i="19"/>
  <c r="BG519" i="19" s="1"/>
  <c r="BI519" i="19" s="1"/>
  <c r="BT519" i="19"/>
  <c r="AF520" i="19"/>
  <c r="AF521" i="19"/>
  <c r="BC521" i="19"/>
  <c r="AY521" i="19"/>
  <c r="BA521" i="19" s="1"/>
  <c r="BH521" i="19"/>
  <c r="BM518" i="19"/>
  <c r="BO518" i="19" s="1"/>
  <c r="AY519" i="19"/>
  <c r="BA519" i="19" s="1"/>
  <c r="BC519" i="19" s="1"/>
  <c r="AN520" i="19"/>
  <c r="AY520" i="19"/>
  <c r="BA520" i="19" s="1"/>
  <c r="BC520" i="19" s="1"/>
  <c r="BH520" i="19"/>
  <c r="BK521" i="19"/>
  <c r="BM521" i="19" s="1"/>
  <c r="BO521" i="19" s="1"/>
  <c r="BT521" i="19"/>
  <c r="AC520" i="19"/>
  <c r="AE520" i="19" s="1"/>
  <c r="BE520" i="19"/>
  <c r="BG520" i="19" s="1"/>
  <c r="BI520" i="19" s="1"/>
  <c r="BQ520" i="19"/>
  <c r="BS520" i="19" s="1"/>
  <c r="BU520" i="19" s="1"/>
  <c r="G521" i="19"/>
  <c r="R521" i="19" s="1"/>
  <c r="AC521" i="19"/>
  <c r="AI521" i="19" s="1"/>
  <c r="AK521" i="19" s="1"/>
  <c r="BE521" i="19"/>
  <c r="BG521" i="19" s="1"/>
  <c r="BI521" i="19" s="1"/>
  <c r="BQ521" i="19"/>
  <c r="BS521" i="19" s="1"/>
  <c r="BU521" i="19" s="1"/>
  <c r="AS585" i="19"/>
  <c r="AW585" i="19" s="1"/>
  <c r="AO585" i="19"/>
  <c r="AQ585" i="19" s="1"/>
  <c r="AM585" i="19"/>
  <c r="AR585" i="19" s="1"/>
  <c r="AH585" i="19"/>
  <c r="AK585" i="19" s="1"/>
  <c r="AD585" i="19"/>
  <c r="AF585" i="19" s="1"/>
  <c r="AB585" i="19"/>
  <c r="AS584" i="19"/>
  <c r="AO584" i="19"/>
  <c r="AQ584" i="19" s="1"/>
  <c r="AM584" i="19"/>
  <c r="AR584" i="19" s="1"/>
  <c r="AH584" i="19"/>
  <c r="AD584" i="19"/>
  <c r="AB584" i="19"/>
  <c r="AS583" i="19"/>
  <c r="AW583" i="19" s="1"/>
  <c r="AO583" i="19"/>
  <c r="AQ583" i="19" s="1"/>
  <c r="AM583" i="19"/>
  <c r="AN583" i="19" s="1"/>
  <c r="AH583" i="19"/>
  <c r="AL583" i="19" s="1"/>
  <c r="AD583" i="19"/>
  <c r="AF583" i="19" s="1"/>
  <c r="AB583" i="19"/>
  <c r="AC583" i="19" s="1"/>
  <c r="AS582" i="19"/>
  <c r="AO582" i="19"/>
  <c r="AQ582" i="19" s="1"/>
  <c r="AM582" i="19"/>
  <c r="AR582" i="19" s="1"/>
  <c r="AH582" i="19"/>
  <c r="AD582" i="19"/>
  <c r="AB582" i="19"/>
  <c r="AG582" i="19" s="1"/>
  <c r="AS581" i="19"/>
  <c r="AU581" i="19" s="1"/>
  <c r="AO581" i="19"/>
  <c r="AM581" i="19"/>
  <c r="AN581" i="19" s="1"/>
  <c r="AH581" i="19"/>
  <c r="AD581" i="19"/>
  <c r="AB581" i="19"/>
  <c r="AC581" i="19" s="1"/>
  <c r="AS580" i="19"/>
  <c r="AO580" i="19"/>
  <c r="AQ580" i="19" s="1"/>
  <c r="AM580" i="19"/>
  <c r="AH580" i="19"/>
  <c r="AD580" i="19"/>
  <c r="AB580" i="19"/>
  <c r="AG580" i="19" s="1"/>
  <c r="AS579" i="19"/>
  <c r="AU579" i="19" s="1"/>
  <c r="AO579" i="19"/>
  <c r="AQ579" i="19" s="1"/>
  <c r="AM579" i="19"/>
  <c r="AN579" i="19" s="1"/>
  <c r="AH579" i="19"/>
  <c r="AI579" i="19" s="1"/>
  <c r="AD579" i="19"/>
  <c r="AF579" i="19" s="1"/>
  <c r="AB579" i="19"/>
  <c r="AC579" i="19" s="1"/>
  <c r="AS578" i="19"/>
  <c r="AO578" i="19"/>
  <c r="AQ578" i="19" s="1"/>
  <c r="AM578" i="19"/>
  <c r="AH578" i="19"/>
  <c r="AL578" i="19" s="1"/>
  <c r="AD578" i="19"/>
  <c r="AF578" i="19" s="1"/>
  <c r="AB578" i="19"/>
  <c r="AG578" i="19" s="1"/>
  <c r="AS577" i="19"/>
  <c r="AT577" i="19" s="1"/>
  <c r="AO577" i="19"/>
  <c r="AQ577" i="19" s="1"/>
  <c r="AM577" i="19"/>
  <c r="AH577" i="19"/>
  <c r="AD577" i="19"/>
  <c r="AB577" i="19"/>
  <c r="AS576" i="19"/>
  <c r="AO576" i="19"/>
  <c r="AQ576" i="19" s="1"/>
  <c r="AM576" i="19"/>
  <c r="AH576" i="19"/>
  <c r="AK576" i="19" s="1"/>
  <c r="AD576" i="19"/>
  <c r="AF576" i="19" s="1"/>
  <c r="AB576" i="19"/>
  <c r="AC576" i="19" s="1"/>
  <c r="AS573" i="19"/>
  <c r="AW573" i="19" s="1"/>
  <c r="AO573" i="19"/>
  <c r="AQ573" i="19" s="1"/>
  <c r="AM573" i="19"/>
  <c r="AN573" i="19" s="1"/>
  <c r="AH573" i="19"/>
  <c r="AD573" i="19"/>
  <c r="AB573" i="19"/>
  <c r="AS572" i="19"/>
  <c r="AW572" i="19" s="1"/>
  <c r="AO572" i="19"/>
  <c r="AQ572" i="19" s="1"/>
  <c r="AM572" i="19"/>
  <c r="AH572" i="19"/>
  <c r="AK572" i="19" s="1"/>
  <c r="AD572" i="19"/>
  <c r="AF572" i="19" s="1"/>
  <c r="AB572" i="19"/>
  <c r="AS571" i="19"/>
  <c r="AU571" i="19" s="1"/>
  <c r="AO571" i="19"/>
  <c r="AQ571" i="19" s="1"/>
  <c r="AM571" i="19"/>
  <c r="AH571" i="19"/>
  <c r="AD571" i="19"/>
  <c r="AF571" i="19" s="1"/>
  <c r="AB571" i="19"/>
  <c r="AS570" i="19"/>
  <c r="AW570" i="19" s="1"/>
  <c r="AO570" i="19"/>
  <c r="AQ570" i="19" s="1"/>
  <c r="AM570" i="19"/>
  <c r="AH570" i="19"/>
  <c r="AD570" i="19"/>
  <c r="AF570" i="19" s="1"/>
  <c r="AB570" i="19"/>
  <c r="AG570" i="19" s="1"/>
  <c r="AS569" i="19"/>
  <c r="AO569" i="19"/>
  <c r="AQ569" i="19" s="1"/>
  <c r="AM569" i="19"/>
  <c r="AR569" i="19" s="1"/>
  <c r="AH569" i="19"/>
  <c r="AD569" i="19"/>
  <c r="AB569" i="19"/>
  <c r="AC569" i="19" s="1"/>
  <c r="AS568" i="19"/>
  <c r="AU568" i="19" s="1"/>
  <c r="AO568" i="19"/>
  <c r="AQ568" i="19" s="1"/>
  <c r="AM568" i="19"/>
  <c r="AH568" i="19"/>
  <c r="AL568" i="19" s="1"/>
  <c r="AD568" i="19"/>
  <c r="AF568" i="19" s="1"/>
  <c r="AB568" i="19"/>
  <c r="AS567" i="19"/>
  <c r="AW567" i="19" s="1"/>
  <c r="AO567" i="19"/>
  <c r="AQ567" i="19" s="1"/>
  <c r="AM567" i="19"/>
  <c r="AH567" i="19"/>
  <c r="AI567" i="19" s="1"/>
  <c r="AD567" i="19"/>
  <c r="AB567" i="19"/>
  <c r="AS564" i="19"/>
  <c r="AO564" i="19"/>
  <c r="AM564" i="19"/>
  <c r="AR564" i="19" s="1"/>
  <c r="AH564" i="19"/>
  <c r="AL564" i="19" s="1"/>
  <c r="AD564" i="19"/>
  <c r="AF564" i="19" s="1"/>
  <c r="AB564" i="19"/>
  <c r="AG564" i="19" s="1"/>
  <c r="AS563" i="19"/>
  <c r="AT563" i="19" s="1"/>
  <c r="AO563" i="19"/>
  <c r="AQ563" i="19" s="1"/>
  <c r="AM563" i="19"/>
  <c r="AR563" i="19" s="1"/>
  <c r="AH563" i="19"/>
  <c r="AD563" i="19"/>
  <c r="AB563" i="19"/>
  <c r="AC563" i="19" s="1"/>
  <c r="AS562" i="19"/>
  <c r="AO562" i="19"/>
  <c r="AQ562" i="19" s="1"/>
  <c r="AM562" i="19"/>
  <c r="AN562" i="19" s="1"/>
  <c r="AH562" i="19"/>
  <c r="AD562" i="19"/>
  <c r="AF562" i="19" s="1"/>
  <c r="AB562" i="19"/>
  <c r="AC562" i="19" s="1"/>
  <c r="AS561" i="19"/>
  <c r="AO561" i="19"/>
  <c r="AM561" i="19"/>
  <c r="AH561" i="19"/>
  <c r="AD561" i="19"/>
  <c r="AF561" i="19" s="1"/>
  <c r="AB561" i="19"/>
  <c r="AS560" i="19"/>
  <c r="AO560" i="19"/>
  <c r="AQ560" i="19" s="1"/>
  <c r="AM560" i="19"/>
  <c r="AH560" i="19"/>
  <c r="AD560" i="19"/>
  <c r="AB560" i="19"/>
  <c r="AS559" i="19"/>
  <c r="AO559" i="19"/>
  <c r="AQ559" i="19" s="1"/>
  <c r="AM559" i="19"/>
  <c r="AH559" i="19"/>
  <c r="AD559" i="19"/>
  <c r="AF559" i="19" s="1"/>
  <c r="AB559" i="19"/>
  <c r="AS558" i="19"/>
  <c r="AO558" i="19"/>
  <c r="AQ558" i="19" s="1"/>
  <c r="AM558" i="19"/>
  <c r="AH558" i="19"/>
  <c r="AD558" i="19"/>
  <c r="AF558" i="19" s="1"/>
  <c r="AB558" i="19"/>
  <c r="AS529" i="19"/>
  <c r="AO529" i="19"/>
  <c r="AM529" i="19"/>
  <c r="AH529" i="19"/>
  <c r="AD529" i="19"/>
  <c r="AB529" i="19"/>
  <c r="AS528" i="19"/>
  <c r="AO528" i="19"/>
  <c r="AQ528" i="19" s="1"/>
  <c r="AM528" i="19"/>
  <c r="AH528" i="19"/>
  <c r="AD528" i="19"/>
  <c r="AF528" i="19" s="1"/>
  <c r="AB528" i="19"/>
  <c r="AS527" i="19"/>
  <c r="AO527" i="19"/>
  <c r="AM527" i="19"/>
  <c r="AH527" i="19"/>
  <c r="AD527" i="19"/>
  <c r="AB527" i="19"/>
  <c r="AS526" i="19"/>
  <c r="AO526" i="19"/>
  <c r="AQ526" i="19" s="1"/>
  <c r="AM526" i="19"/>
  <c r="AH526" i="19"/>
  <c r="AD526" i="19"/>
  <c r="AB526" i="19"/>
  <c r="AS525" i="19"/>
  <c r="AO525" i="19"/>
  <c r="AQ525" i="19" s="1"/>
  <c r="AM525" i="19"/>
  <c r="AH525" i="19"/>
  <c r="AD525" i="19"/>
  <c r="AF525" i="19" s="1"/>
  <c r="AB525" i="19"/>
  <c r="AS524" i="19"/>
  <c r="AO524" i="19"/>
  <c r="AQ524" i="19" s="1"/>
  <c r="AM524" i="19"/>
  <c r="AH524" i="19"/>
  <c r="AD524" i="19"/>
  <c r="AF524" i="19" s="1"/>
  <c r="AB524" i="19"/>
  <c r="AS523" i="19"/>
  <c r="AO523" i="19"/>
  <c r="AQ523" i="19" s="1"/>
  <c r="AM523" i="19"/>
  <c r="AH523" i="19"/>
  <c r="AD523" i="19"/>
  <c r="AB523" i="19"/>
  <c r="AS522" i="19"/>
  <c r="AO522" i="19"/>
  <c r="AQ522" i="19" s="1"/>
  <c r="AM522" i="19"/>
  <c r="AH522" i="19"/>
  <c r="AD522" i="19"/>
  <c r="AF522" i="19" s="1"/>
  <c r="AB522" i="19"/>
  <c r="AS505" i="19"/>
  <c r="AT505" i="19" s="1"/>
  <c r="AO505" i="19"/>
  <c r="AQ505" i="19" s="1"/>
  <c r="AM505" i="19"/>
  <c r="AH505" i="19"/>
  <c r="AJ505" i="19" s="1"/>
  <c r="AD505" i="19"/>
  <c r="AB505" i="19"/>
  <c r="AS504" i="19"/>
  <c r="AV504" i="19" s="1"/>
  <c r="AO504" i="19"/>
  <c r="AQ504" i="19" s="1"/>
  <c r="AM504" i="19"/>
  <c r="AH504" i="19"/>
  <c r="AD504" i="19"/>
  <c r="AB504" i="19"/>
  <c r="AS503" i="19"/>
  <c r="AU503" i="19" s="1"/>
  <c r="AO503" i="19"/>
  <c r="AQ503" i="19" s="1"/>
  <c r="AM503" i="19"/>
  <c r="AH503" i="19"/>
  <c r="AL503" i="19" s="1"/>
  <c r="AD503" i="19"/>
  <c r="AF503" i="19" s="1"/>
  <c r="AB503" i="19"/>
  <c r="AS502" i="19"/>
  <c r="AO502" i="19"/>
  <c r="AM502" i="19"/>
  <c r="AH502" i="19"/>
  <c r="AJ502" i="19" s="1"/>
  <c r="AD502" i="19"/>
  <c r="AB502" i="19"/>
  <c r="AS501" i="19"/>
  <c r="AW501" i="19" s="1"/>
  <c r="AO501" i="19"/>
  <c r="AQ501" i="19" s="1"/>
  <c r="AM501" i="19"/>
  <c r="AH501" i="19"/>
  <c r="AJ501" i="19" s="1"/>
  <c r="AD501" i="19"/>
  <c r="AF501" i="19" s="1"/>
  <c r="AB501" i="19"/>
  <c r="AS500" i="19"/>
  <c r="AO500" i="19"/>
  <c r="AQ500" i="19" s="1"/>
  <c r="AM500" i="19"/>
  <c r="AH500" i="19"/>
  <c r="AI500" i="19" s="1"/>
  <c r="AD500" i="19"/>
  <c r="AF500" i="19" s="1"/>
  <c r="AB500" i="19"/>
  <c r="AS499" i="19"/>
  <c r="AO499" i="19"/>
  <c r="AQ499" i="19" s="1"/>
  <c r="AM499" i="19"/>
  <c r="AH499" i="19"/>
  <c r="AI499" i="19" s="1"/>
  <c r="AD499" i="19"/>
  <c r="AF499" i="19" s="1"/>
  <c r="AB499" i="19"/>
  <c r="AS498" i="19"/>
  <c r="AT498" i="19" s="1"/>
  <c r="AO498" i="19"/>
  <c r="AQ498" i="19" s="1"/>
  <c r="AM498" i="19"/>
  <c r="AH498" i="19"/>
  <c r="AJ498" i="19" s="1"/>
  <c r="AD498" i="19"/>
  <c r="AB498" i="19"/>
  <c r="AS497" i="19"/>
  <c r="AT497" i="19" s="1"/>
  <c r="AO497" i="19"/>
  <c r="AQ497" i="19" s="1"/>
  <c r="AM497" i="19"/>
  <c r="AH497" i="19"/>
  <c r="AK497" i="19" s="1"/>
  <c r="AD497" i="19"/>
  <c r="AF497" i="19" s="1"/>
  <c r="AB497" i="19"/>
  <c r="AS496" i="19"/>
  <c r="AO496" i="19"/>
  <c r="AQ496" i="19" s="1"/>
  <c r="AM496" i="19"/>
  <c r="AH496" i="19"/>
  <c r="AI496" i="19" s="1"/>
  <c r="AD496" i="19"/>
  <c r="AF496" i="19" s="1"/>
  <c r="AB496" i="19"/>
  <c r="AS495" i="19"/>
  <c r="AW495" i="19" s="1"/>
  <c r="AO495" i="19"/>
  <c r="AQ495" i="19" s="1"/>
  <c r="AM495" i="19"/>
  <c r="AH495" i="19"/>
  <c r="AD495" i="19"/>
  <c r="AF495" i="19" s="1"/>
  <c r="AB495" i="19"/>
  <c r="AS494" i="19"/>
  <c r="AO494" i="19"/>
  <c r="AQ494" i="19" s="1"/>
  <c r="AM494" i="19"/>
  <c r="AH494" i="19"/>
  <c r="AI494" i="19" s="1"/>
  <c r="AD494" i="19"/>
  <c r="AB494" i="19"/>
  <c r="AS493" i="19"/>
  <c r="AV493" i="19" s="1"/>
  <c r="AO493" i="19"/>
  <c r="AQ493" i="19" s="1"/>
  <c r="AM493" i="19"/>
  <c r="AH493" i="19"/>
  <c r="AD493" i="19"/>
  <c r="AF493" i="19" s="1"/>
  <c r="AB493" i="19"/>
  <c r="AS492" i="19"/>
  <c r="AO492" i="19"/>
  <c r="AQ492" i="19" s="1"/>
  <c r="AM492" i="19"/>
  <c r="AH492" i="19"/>
  <c r="AD492" i="19"/>
  <c r="AB492" i="19"/>
  <c r="AS491" i="19"/>
  <c r="AW491" i="19" s="1"/>
  <c r="AO491" i="19"/>
  <c r="AQ491" i="19" s="1"/>
  <c r="AM491" i="19"/>
  <c r="AH491" i="19"/>
  <c r="AL491" i="19" s="1"/>
  <c r="AD491" i="19"/>
  <c r="AF491" i="19" s="1"/>
  <c r="AB491" i="19"/>
  <c r="AS490" i="19"/>
  <c r="AW490" i="19" s="1"/>
  <c r="AO490" i="19"/>
  <c r="AQ490" i="19" s="1"/>
  <c r="AM490" i="19"/>
  <c r="AH490" i="19"/>
  <c r="AD490" i="19"/>
  <c r="AF490" i="19" s="1"/>
  <c r="AB490" i="19"/>
  <c r="AS489" i="19"/>
  <c r="AT489" i="19" s="1"/>
  <c r="AO489" i="19"/>
  <c r="AM489" i="19"/>
  <c r="AH489" i="19"/>
  <c r="AD489" i="19"/>
  <c r="AB489" i="19"/>
  <c r="AS488" i="19"/>
  <c r="AO488" i="19"/>
  <c r="AQ488" i="19" s="1"/>
  <c r="AM488" i="19"/>
  <c r="AH488" i="19"/>
  <c r="AD488" i="19"/>
  <c r="AF488" i="19" s="1"/>
  <c r="AB488" i="19"/>
  <c r="AS487" i="19"/>
  <c r="AO487" i="19"/>
  <c r="AM487" i="19"/>
  <c r="AH487" i="19"/>
  <c r="AD487" i="19"/>
  <c r="AB487" i="19"/>
  <c r="AS486" i="19"/>
  <c r="AO486" i="19"/>
  <c r="AQ486" i="19" s="1"/>
  <c r="AM486" i="19"/>
  <c r="AH486" i="19"/>
  <c r="AD486" i="19"/>
  <c r="AF486" i="19" s="1"/>
  <c r="AB486" i="19"/>
  <c r="AS485" i="19"/>
  <c r="AO485" i="19"/>
  <c r="AM485" i="19"/>
  <c r="AH485" i="19"/>
  <c r="AD485" i="19"/>
  <c r="AF485" i="19" s="1"/>
  <c r="AB485" i="19"/>
  <c r="AS484" i="19"/>
  <c r="AO484" i="19"/>
  <c r="AQ484" i="19" s="1"/>
  <c r="AM484" i="19"/>
  <c r="AH484" i="19"/>
  <c r="AD484" i="19"/>
  <c r="AF484" i="19" s="1"/>
  <c r="AB484" i="19"/>
  <c r="AS483" i="19"/>
  <c r="AO483" i="19"/>
  <c r="AM483" i="19"/>
  <c r="AH483" i="19"/>
  <c r="AD483" i="19"/>
  <c r="AF483" i="19" s="1"/>
  <c r="AB483" i="19"/>
  <c r="AS482" i="19"/>
  <c r="AO482" i="19"/>
  <c r="AM482" i="19"/>
  <c r="AH482" i="19"/>
  <c r="AI482" i="19" s="1"/>
  <c r="AD482" i="19"/>
  <c r="AF482" i="19" s="1"/>
  <c r="AB482" i="19"/>
  <c r="AS481" i="19"/>
  <c r="AW481" i="19" s="1"/>
  <c r="AO481" i="19"/>
  <c r="AQ481" i="19" s="1"/>
  <c r="AM481" i="19"/>
  <c r="AH481" i="19"/>
  <c r="AI481" i="19" s="1"/>
  <c r="AD481" i="19"/>
  <c r="AB481" i="19"/>
  <c r="AS480" i="19"/>
  <c r="AO480" i="19"/>
  <c r="AM480" i="19"/>
  <c r="AH480" i="19"/>
  <c r="AL480" i="19" s="1"/>
  <c r="AD480" i="19"/>
  <c r="AB480" i="19"/>
  <c r="AS479" i="19"/>
  <c r="AO479" i="19"/>
  <c r="AQ479" i="19" s="1"/>
  <c r="AM479" i="19"/>
  <c r="AH479" i="19"/>
  <c r="AD479" i="19"/>
  <c r="AF479" i="19" s="1"/>
  <c r="AB479" i="19"/>
  <c r="AS478" i="19"/>
  <c r="AO478" i="19"/>
  <c r="AM478" i="19"/>
  <c r="AH478" i="19"/>
  <c r="AD478" i="19"/>
  <c r="AF478" i="19" s="1"/>
  <c r="AB478" i="19"/>
  <c r="AS477" i="19"/>
  <c r="AO477" i="19"/>
  <c r="AQ477" i="19" s="1"/>
  <c r="AM477" i="19"/>
  <c r="AH477" i="19"/>
  <c r="AD477" i="19"/>
  <c r="AF477" i="19" s="1"/>
  <c r="AB477" i="19"/>
  <c r="AS476" i="19"/>
  <c r="AO476" i="19"/>
  <c r="AQ476" i="19" s="1"/>
  <c r="AM476" i="19"/>
  <c r="AH476" i="19"/>
  <c r="AD476" i="19"/>
  <c r="AF476" i="19" s="1"/>
  <c r="AB476" i="19"/>
  <c r="AS475" i="19"/>
  <c r="AO475" i="19"/>
  <c r="AQ475" i="19" s="1"/>
  <c r="AM475" i="19"/>
  <c r="AH475" i="19"/>
  <c r="AD475" i="19"/>
  <c r="AF475" i="19" s="1"/>
  <c r="AB475" i="19"/>
  <c r="AS474" i="19"/>
  <c r="AO474" i="19"/>
  <c r="AQ474" i="19" s="1"/>
  <c r="AM474" i="19"/>
  <c r="AH474" i="19"/>
  <c r="AI474" i="19" s="1"/>
  <c r="AD474" i="19"/>
  <c r="AB474" i="19"/>
  <c r="AS473" i="19"/>
  <c r="AW473" i="19" s="1"/>
  <c r="AO473" i="19"/>
  <c r="AQ473" i="19" s="1"/>
  <c r="AM473" i="19"/>
  <c r="AH473" i="19"/>
  <c r="AJ473" i="19" s="1"/>
  <c r="AD473" i="19"/>
  <c r="AF473" i="19" s="1"/>
  <c r="AB473" i="19"/>
  <c r="AS472" i="19"/>
  <c r="AV472" i="19" s="1"/>
  <c r="AO472" i="19"/>
  <c r="AM472" i="19"/>
  <c r="AH472" i="19"/>
  <c r="AD472" i="19"/>
  <c r="AF472" i="19" s="1"/>
  <c r="AB472" i="19"/>
  <c r="AS469" i="19"/>
  <c r="AO469" i="19"/>
  <c r="AQ469" i="19" s="1"/>
  <c r="AM469" i="19"/>
  <c r="AH469" i="19"/>
  <c r="AD469" i="19"/>
  <c r="AF469" i="19" s="1"/>
  <c r="AB469" i="19"/>
  <c r="AS468" i="19"/>
  <c r="AO468" i="19"/>
  <c r="AQ468" i="19" s="1"/>
  <c r="AM468" i="19"/>
  <c r="AH468" i="19"/>
  <c r="AD468" i="19"/>
  <c r="AF468" i="19" s="1"/>
  <c r="AB468" i="19"/>
  <c r="AS467" i="19"/>
  <c r="AO467" i="19"/>
  <c r="AM467" i="19"/>
  <c r="AH467" i="19"/>
  <c r="AK467" i="19" s="1"/>
  <c r="AD467" i="19"/>
  <c r="AF467" i="19" s="1"/>
  <c r="AB467" i="19"/>
  <c r="AS466" i="19"/>
  <c r="AT466" i="19" s="1"/>
  <c r="AO466" i="19"/>
  <c r="AQ466" i="19" s="1"/>
  <c r="AM466" i="19"/>
  <c r="AH466" i="19"/>
  <c r="AD466" i="19"/>
  <c r="AF466" i="19" s="1"/>
  <c r="AB466" i="19"/>
  <c r="AS465" i="19"/>
  <c r="AU465" i="19" s="1"/>
  <c r="AO465" i="19"/>
  <c r="AM465" i="19"/>
  <c r="AH465" i="19"/>
  <c r="AD465" i="19"/>
  <c r="AF465" i="19" s="1"/>
  <c r="AB465" i="19"/>
  <c r="AS464" i="19"/>
  <c r="AO464" i="19"/>
  <c r="AQ464" i="19" s="1"/>
  <c r="AM464" i="19"/>
  <c r="AH464" i="19"/>
  <c r="AI464" i="19" s="1"/>
  <c r="AD464" i="19"/>
  <c r="AF464" i="19" s="1"/>
  <c r="AB464" i="19"/>
  <c r="AS463" i="19"/>
  <c r="AO463" i="19"/>
  <c r="AM463" i="19"/>
  <c r="AH463" i="19"/>
  <c r="AD463" i="19"/>
  <c r="AB463" i="19"/>
  <c r="AS462" i="19"/>
  <c r="AW462" i="19" s="1"/>
  <c r="AO462" i="19"/>
  <c r="AM462" i="19"/>
  <c r="AH462" i="19"/>
  <c r="AL462" i="19" s="1"/>
  <c r="AD462" i="19"/>
  <c r="AF462" i="19" s="1"/>
  <c r="AB462" i="19"/>
  <c r="AS461" i="19"/>
  <c r="AO461" i="19"/>
  <c r="AQ461" i="19" s="1"/>
  <c r="AM461" i="19"/>
  <c r="AH461" i="19"/>
  <c r="AL461" i="19" s="1"/>
  <c r="AD461" i="19"/>
  <c r="AB461" i="19"/>
  <c r="AS459" i="19"/>
  <c r="AO459" i="19"/>
  <c r="AQ459" i="19" s="1"/>
  <c r="AM459" i="19"/>
  <c r="AH459" i="19"/>
  <c r="AI459" i="19" s="1"/>
  <c r="AD459" i="19"/>
  <c r="AB459" i="19"/>
  <c r="AC459" i="19" s="1"/>
  <c r="AS458" i="19"/>
  <c r="AU458" i="19" s="1"/>
  <c r="AO458" i="19"/>
  <c r="AQ458" i="19" s="1"/>
  <c r="AM458" i="19"/>
  <c r="AH458" i="19"/>
  <c r="AD458" i="19"/>
  <c r="AF458" i="19" s="1"/>
  <c r="AB458" i="19"/>
  <c r="AS457" i="19"/>
  <c r="AO457" i="19"/>
  <c r="AQ457" i="19" s="1"/>
  <c r="AM457" i="19"/>
  <c r="AH457" i="19"/>
  <c r="AD457" i="19"/>
  <c r="AB457" i="19"/>
  <c r="AS456" i="19"/>
  <c r="AO456" i="19"/>
  <c r="AM456" i="19"/>
  <c r="AH456" i="19"/>
  <c r="AD456" i="19"/>
  <c r="AF456" i="19" s="1"/>
  <c r="AB456" i="19"/>
  <c r="AS455" i="19"/>
  <c r="AO455" i="19"/>
  <c r="AQ455" i="19" s="1"/>
  <c r="AM455" i="19"/>
  <c r="AH455" i="19"/>
  <c r="AK455" i="19" s="1"/>
  <c r="AD455" i="19"/>
  <c r="AB455" i="19"/>
  <c r="AS454" i="19"/>
  <c r="AO454" i="19"/>
  <c r="AM454" i="19"/>
  <c r="AH454" i="19"/>
  <c r="AD454" i="19"/>
  <c r="AF454" i="19" s="1"/>
  <c r="AB454" i="19"/>
  <c r="AS453" i="19"/>
  <c r="AO453" i="19"/>
  <c r="AQ453" i="19" s="1"/>
  <c r="AM453" i="19"/>
  <c r="AH453" i="19"/>
  <c r="AL453" i="19" s="1"/>
  <c r="AD453" i="19"/>
  <c r="AF453" i="19" s="1"/>
  <c r="AB453" i="19"/>
  <c r="AS452" i="19"/>
  <c r="AO452" i="19"/>
  <c r="AQ452" i="19" s="1"/>
  <c r="AM452" i="19"/>
  <c r="AH452" i="19"/>
  <c r="AI452" i="19" s="1"/>
  <c r="AD452" i="19"/>
  <c r="AF452" i="19" s="1"/>
  <c r="AB452" i="19"/>
  <c r="AS451" i="19"/>
  <c r="AV451" i="19" s="1"/>
  <c r="AO451" i="19"/>
  <c r="AM451" i="19"/>
  <c r="AH451" i="19"/>
  <c r="AD451" i="19"/>
  <c r="AF451" i="19" s="1"/>
  <c r="AB451" i="19"/>
  <c r="AS450" i="19"/>
  <c r="AW450" i="19" s="1"/>
  <c r="AO450" i="19"/>
  <c r="AQ450" i="19" s="1"/>
  <c r="AM450" i="19"/>
  <c r="AH450" i="19"/>
  <c r="AL450" i="19" s="1"/>
  <c r="AD450" i="19"/>
  <c r="AF450" i="19" s="1"/>
  <c r="AB450" i="19"/>
  <c r="AS449" i="19"/>
  <c r="AO449" i="19"/>
  <c r="AM449" i="19"/>
  <c r="AH449" i="19"/>
  <c r="AD449" i="19"/>
  <c r="AB449" i="19"/>
  <c r="AS448" i="19"/>
  <c r="AO448" i="19"/>
  <c r="AM448" i="19"/>
  <c r="AH448" i="19"/>
  <c r="AD448" i="19"/>
  <c r="AB448" i="19"/>
  <c r="AS447" i="19"/>
  <c r="AO447" i="19"/>
  <c r="AQ447" i="19" s="1"/>
  <c r="AM447" i="19"/>
  <c r="AH447" i="19"/>
  <c r="AD447" i="19"/>
  <c r="AF447" i="19" s="1"/>
  <c r="AB447" i="19"/>
  <c r="AS446" i="19"/>
  <c r="AO446" i="19"/>
  <c r="AM446" i="19"/>
  <c r="AH446" i="19"/>
  <c r="AD446" i="19"/>
  <c r="AB446" i="19"/>
  <c r="AS445" i="19"/>
  <c r="AO445" i="19"/>
  <c r="AQ445" i="19" s="1"/>
  <c r="AM445" i="19"/>
  <c r="AH445" i="19"/>
  <c r="AD445" i="19"/>
  <c r="AF445" i="19" s="1"/>
  <c r="AB445" i="19"/>
  <c r="AS444" i="19"/>
  <c r="AO444" i="19"/>
  <c r="AM444" i="19"/>
  <c r="AH444" i="19"/>
  <c r="AD444" i="19"/>
  <c r="AF444" i="19" s="1"/>
  <c r="AB444" i="19"/>
  <c r="AS443" i="19"/>
  <c r="AU443" i="19" s="1"/>
  <c r="AO443" i="19"/>
  <c r="AM443" i="19"/>
  <c r="AH443" i="19"/>
  <c r="AL443" i="19" s="1"/>
  <c r="AD443" i="19"/>
  <c r="AB443" i="19"/>
  <c r="AG443" i="19" s="1"/>
  <c r="AS442" i="19"/>
  <c r="AV442" i="19" s="1"/>
  <c r="AO442" i="19"/>
  <c r="AM442" i="19"/>
  <c r="AH442" i="19"/>
  <c r="AL442" i="19" s="1"/>
  <c r="AD442" i="19"/>
  <c r="AF442" i="19" s="1"/>
  <c r="AB442" i="19"/>
  <c r="AS441" i="19"/>
  <c r="AO441" i="19"/>
  <c r="AQ441" i="19" s="1"/>
  <c r="AM441" i="19"/>
  <c r="AN441" i="19" s="1"/>
  <c r="AH441" i="19"/>
  <c r="AI441" i="19" s="1"/>
  <c r="AD441" i="19"/>
  <c r="AF441" i="19" s="1"/>
  <c r="AB441" i="19"/>
  <c r="AG441" i="19" s="1"/>
  <c r="AS440" i="19"/>
  <c r="AO440" i="19"/>
  <c r="AQ440" i="19" s="1"/>
  <c r="AM440" i="19"/>
  <c r="AH440" i="19"/>
  <c r="AD440" i="19"/>
  <c r="AB440" i="19"/>
  <c r="AS439" i="19"/>
  <c r="AV439" i="19" s="1"/>
  <c r="AO439" i="19"/>
  <c r="AM439" i="19"/>
  <c r="AH439" i="19"/>
  <c r="AL439" i="19" s="1"/>
  <c r="AD439" i="19"/>
  <c r="AF439" i="19" s="1"/>
  <c r="AB439" i="19"/>
  <c r="AS438" i="19"/>
  <c r="AO438" i="19"/>
  <c r="AQ438" i="19" s="1"/>
  <c r="AM438" i="19"/>
  <c r="AH438" i="19"/>
  <c r="AI438" i="19" s="1"/>
  <c r="AD438" i="19"/>
  <c r="AF438" i="19" s="1"/>
  <c r="AB438" i="19"/>
  <c r="AS437" i="19"/>
  <c r="AT437" i="19" s="1"/>
  <c r="AO437" i="19"/>
  <c r="AQ437" i="19" s="1"/>
  <c r="AM437" i="19"/>
  <c r="AH437" i="19"/>
  <c r="AD437" i="19"/>
  <c r="AF437" i="19" s="1"/>
  <c r="AB437" i="19"/>
  <c r="AS436" i="19"/>
  <c r="AT436" i="19" s="1"/>
  <c r="AO436" i="19"/>
  <c r="AQ436" i="19" s="1"/>
  <c r="AM436" i="19"/>
  <c r="AH436" i="19"/>
  <c r="AJ436" i="19" s="1"/>
  <c r="AD436" i="19"/>
  <c r="AF436" i="19" s="1"/>
  <c r="AB436" i="19"/>
  <c r="AS435" i="19"/>
  <c r="AO435" i="19"/>
  <c r="AQ435" i="19" s="1"/>
  <c r="AM435" i="19"/>
  <c r="AH435" i="19"/>
  <c r="AI435" i="19" s="1"/>
  <c r="AD435" i="19"/>
  <c r="AF435" i="19" s="1"/>
  <c r="AB435" i="19"/>
  <c r="AS434" i="19"/>
  <c r="AU434" i="19" s="1"/>
  <c r="AO434" i="19"/>
  <c r="AQ434" i="19" s="1"/>
  <c r="AM434" i="19"/>
  <c r="AH434" i="19"/>
  <c r="AD434" i="19"/>
  <c r="AF434" i="19" s="1"/>
  <c r="AB434" i="19"/>
  <c r="AS433" i="19"/>
  <c r="AO433" i="19"/>
  <c r="AQ433" i="19" s="1"/>
  <c r="AM433" i="19"/>
  <c r="AH433" i="19"/>
  <c r="AJ433" i="19" s="1"/>
  <c r="AD433" i="19"/>
  <c r="AB433" i="19"/>
  <c r="AS432" i="19"/>
  <c r="AT432" i="19" s="1"/>
  <c r="AO432" i="19"/>
  <c r="AQ432" i="19" s="1"/>
  <c r="AM432" i="19"/>
  <c r="AH432" i="19"/>
  <c r="AD432" i="19"/>
  <c r="AB432" i="19"/>
  <c r="AS431" i="19"/>
  <c r="AO431" i="19"/>
  <c r="AM431" i="19"/>
  <c r="AH431" i="19"/>
  <c r="AJ431" i="19" s="1"/>
  <c r="AD431" i="19"/>
  <c r="AF431" i="19" s="1"/>
  <c r="AB431" i="19"/>
  <c r="AG431" i="19" s="1"/>
  <c r="AS430" i="19"/>
  <c r="AO430" i="19"/>
  <c r="AQ430" i="19" s="1"/>
  <c r="AM430" i="19"/>
  <c r="AH430" i="19"/>
  <c r="AJ430" i="19" s="1"/>
  <c r="AD430" i="19"/>
  <c r="AB430" i="19"/>
  <c r="AS428" i="19"/>
  <c r="AO428" i="19"/>
  <c r="AM428" i="19"/>
  <c r="AH428" i="19"/>
  <c r="AK428" i="19" s="1"/>
  <c r="AD428" i="19"/>
  <c r="AF428" i="19" s="1"/>
  <c r="AB428" i="19"/>
  <c r="AS427" i="19"/>
  <c r="AO427" i="19"/>
  <c r="AQ427" i="19" s="1"/>
  <c r="AM427" i="19"/>
  <c r="AH427" i="19"/>
  <c r="AD427" i="19"/>
  <c r="AB427" i="19"/>
  <c r="AS424" i="19"/>
  <c r="AO424" i="19"/>
  <c r="AQ424" i="19" s="1"/>
  <c r="AM424" i="19"/>
  <c r="AH424" i="19"/>
  <c r="AJ424" i="19" s="1"/>
  <c r="AD424" i="19"/>
  <c r="AB424" i="19"/>
  <c r="AS423" i="19"/>
  <c r="AW423" i="19" s="1"/>
  <c r="AO423" i="19"/>
  <c r="AQ423" i="19" s="1"/>
  <c r="AM423" i="19"/>
  <c r="AH423" i="19"/>
  <c r="AD423" i="19"/>
  <c r="AB423" i="19"/>
  <c r="AS422" i="19"/>
  <c r="AV422" i="19" s="1"/>
  <c r="AO422" i="19"/>
  <c r="AM422" i="19"/>
  <c r="AH422" i="19"/>
  <c r="AI422" i="19" s="1"/>
  <c r="AD422" i="19"/>
  <c r="AF422" i="19" s="1"/>
  <c r="AB422" i="19"/>
  <c r="AS421" i="19"/>
  <c r="AT421" i="19" s="1"/>
  <c r="AO421" i="19"/>
  <c r="AM421" i="19"/>
  <c r="AH421" i="19"/>
  <c r="AD421" i="19"/>
  <c r="AF421" i="19" s="1"/>
  <c r="AB421" i="19"/>
  <c r="AS420" i="19"/>
  <c r="AO420" i="19"/>
  <c r="AM420" i="19"/>
  <c r="AH420" i="19"/>
  <c r="AK420" i="19" s="1"/>
  <c r="AD420" i="19"/>
  <c r="AF420" i="19" s="1"/>
  <c r="AB420" i="19"/>
  <c r="AS419" i="19"/>
  <c r="AO419" i="19"/>
  <c r="AQ419" i="19" s="1"/>
  <c r="AM419" i="19"/>
  <c r="AH419" i="19"/>
  <c r="AD419" i="19"/>
  <c r="AF419" i="19" s="1"/>
  <c r="AB419" i="19"/>
  <c r="AS418" i="19"/>
  <c r="AO418" i="19"/>
  <c r="AQ418" i="19" s="1"/>
  <c r="AM418" i="19"/>
  <c r="AH418" i="19"/>
  <c r="AD418" i="19"/>
  <c r="AB418" i="19"/>
  <c r="AS417" i="19"/>
  <c r="AW417" i="19" s="1"/>
  <c r="AO417" i="19"/>
  <c r="AQ417" i="19" s="1"/>
  <c r="AM417" i="19"/>
  <c r="AH417" i="19"/>
  <c r="AI417" i="19" s="1"/>
  <c r="AD417" i="19"/>
  <c r="AF417" i="19" s="1"/>
  <c r="AB417" i="19"/>
  <c r="AS416" i="19"/>
  <c r="AO416" i="19"/>
  <c r="AM416" i="19"/>
  <c r="AH416" i="19"/>
  <c r="AK416" i="19" s="1"/>
  <c r="AD416" i="19"/>
  <c r="AF416" i="19" s="1"/>
  <c r="AB416" i="19"/>
  <c r="AS415" i="19"/>
  <c r="AV415" i="19" s="1"/>
  <c r="AO415" i="19"/>
  <c r="AM415" i="19"/>
  <c r="AH415" i="19"/>
  <c r="AD415" i="19"/>
  <c r="AF415" i="19" s="1"/>
  <c r="AB415" i="19"/>
  <c r="AS414" i="19"/>
  <c r="AO414" i="19"/>
  <c r="AQ414" i="19" s="1"/>
  <c r="AM414" i="19"/>
  <c r="AH414" i="19"/>
  <c r="AD414" i="19"/>
  <c r="AF414" i="19" s="1"/>
  <c r="AB414" i="19"/>
  <c r="AS413" i="19"/>
  <c r="AT413" i="19" s="1"/>
  <c r="AO413" i="19"/>
  <c r="AQ413" i="19" s="1"/>
  <c r="AM413" i="19"/>
  <c r="AH413" i="19"/>
  <c r="AD413" i="19"/>
  <c r="AB413" i="19"/>
  <c r="AS412" i="19"/>
  <c r="AV412" i="19" s="1"/>
  <c r="AO412" i="19"/>
  <c r="AQ412" i="19" s="1"/>
  <c r="AM412" i="19"/>
  <c r="AH412" i="19"/>
  <c r="AD412" i="19"/>
  <c r="AB412" i="19"/>
  <c r="AS411" i="19"/>
  <c r="AO411" i="19"/>
  <c r="AQ411" i="19" s="1"/>
  <c r="AM411" i="19"/>
  <c r="AH411" i="19"/>
  <c r="AD411" i="19"/>
  <c r="AF411" i="19" s="1"/>
  <c r="AB411" i="19"/>
  <c r="AS410" i="19"/>
  <c r="AV410" i="19" s="1"/>
  <c r="AO410" i="19"/>
  <c r="AQ410" i="19" s="1"/>
  <c r="AM410" i="19"/>
  <c r="AH410" i="19"/>
  <c r="AD410" i="19"/>
  <c r="AB410" i="19"/>
  <c r="AS409" i="19"/>
  <c r="AT409" i="19" s="1"/>
  <c r="AO409" i="19"/>
  <c r="AQ409" i="19" s="1"/>
  <c r="AM409" i="19"/>
  <c r="AH409" i="19"/>
  <c r="AD409" i="19"/>
  <c r="AF409" i="19" s="1"/>
  <c r="AB409" i="19"/>
  <c r="AS408" i="19"/>
  <c r="AV408" i="19" s="1"/>
  <c r="AO408" i="19"/>
  <c r="AQ408" i="19" s="1"/>
  <c r="AM408" i="19"/>
  <c r="AH408" i="19"/>
  <c r="AL408" i="19" s="1"/>
  <c r="AD408" i="19"/>
  <c r="AB408" i="19"/>
  <c r="AS407" i="19"/>
  <c r="AO407" i="19"/>
  <c r="AQ407" i="19" s="1"/>
  <c r="AM407" i="19"/>
  <c r="AH407" i="19"/>
  <c r="AD407" i="19"/>
  <c r="AB407" i="19"/>
  <c r="AS406" i="19"/>
  <c r="AV406" i="19" s="1"/>
  <c r="AO406" i="19"/>
  <c r="AQ406" i="19" s="1"/>
  <c r="AM406" i="19"/>
  <c r="AH406" i="19"/>
  <c r="AD406" i="19"/>
  <c r="AB406" i="19"/>
  <c r="AS405" i="19"/>
  <c r="AO405" i="19"/>
  <c r="AQ405" i="19" s="1"/>
  <c r="AM405" i="19"/>
  <c r="AH405" i="19"/>
  <c r="AL405" i="19" s="1"/>
  <c r="AD405" i="19"/>
  <c r="AB405" i="19"/>
  <c r="AS404" i="19"/>
  <c r="AV404" i="19" s="1"/>
  <c r="AO404" i="19"/>
  <c r="AQ404" i="19" s="1"/>
  <c r="AM404" i="19"/>
  <c r="AH404" i="19"/>
  <c r="AD404" i="19"/>
  <c r="AF404" i="19" s="1"/>
  <c r="AB404" i="19"/>
  <c r="AS325" i="19"/>
  <c r="AO325" i="19"/>
  <c r="AQ325" i="19" s="1"/>
  <c r="AM325" i="19"/>
  <c r="AH325" i="19"/>
  <c r="AD325" i="19"/>
  <c r="AB325" i="19"/>
  <c r="AS324" i="19"/>
  <c r="AO324" i="19"/>
  <c r="AQ324" i="19" s="1"/>
  <c r="AM324" i="19"/>
  <c r="AH324" i="19"/>
  <c r="AD324" i="19"/>
  <c r="AF324" i="19" s="1"/>
  <c r="AB324" i="19"/>
  <c r="AS323" i="19"/>
  <c r="AO323" i="19"/>
  <c r="AQ323" i="19" s="1"/>
  <c r="AM323" i="19"/>
  <c r="AH323" i="19"/>
  <c r="AD323" i="19"/>
  <c r="AB323" i="19"/>
  <c r="AS322" i="19"/>
  <c r="AO322" i="19"/>
  <c r="AQ322" i="19" s="1"/>
  <c r="AM322" i="19"/>
  <c r="AH322" i="19"/>
  <c r="AD322" i="19"/>
  <c r="AF322" i="19" s="1"/>
  <c r="AB322" i="19"/>
  <c r="AS321" i="19"/>
  <c r="AO321" i="19"/>
  <c r="AQ321" i="19" s="1"/>
  <c r="AM321" i="19"/>
  <c r="AH321" i="19"/>
  <c r="AD321" i="19"/>
  <c r="AF321" i="19" s="1"/>
  <c r="AB321" i="19"/>
  <c r="AS320" i="19"/>
  <c r="AO320" i="19"/>
  <c r="AM320" i="19"/>
  <c r="AH320" i="19"/>
  <c r="AD320" i="19"/>
  <c r="AF320" i="19" s="1"/>
  <c r="AB320" i="19"/>
  <c r="AS319" i="19"/>
  <c r="AO319" i="19"/>
  <c r="AM319" i="19"/>
  <c r="AH319" i="19"/>
  <c r="AD319" i="19"/>
  <c r="AB319" i="19"/>
  <c r="AS318" i="19"/>
  <c r="AO318" i="19"/>
  <c r="AQ318" i="19" s="1"/>
  <c r="AM318" i="19"/>
  <c r="AH318" i="19"/>
  <c r="AD318" i="19"/>
  <c r="AF318" i="19" s="1"/>
  <c r="AB318" i="19"/>
  <c r="AS317" i="19"/>
  <c r="AO317" i="19"/>
  <c r="AM317" i="19"/>
  <c r="AH317" i="19"/>
  <c r="AD317" i="19"/>
  <c r="AB317" i="19"/>
  <c r="AS316" i="19"/>
  <c r="AO316" i="19"/>
  <c r="AM316" i="19"/>
  <c r="AH316" i="19"/>
  <c r="AD316" i="19"/>
  <c r="AF316" i="19" s="1"/>
  <c r="AB316" i="19"/>
  <c r="AS315" i="19"/>
  <c r="AO315" i="19"/>
  <c r="AM315" i="19"/>
  <c r="AH315" i="19"/>
  <c r="AD315" i="19"/>
  <c r="AF315" i="19" s="1"/>
  <c r="AB315" i="19"/>
  <c r="AS314" i="19"/>
  <c r="AO314" i="19"/>
  <c r="AM314" i="19"/>
  <c r="AH314" i="19"/>
  <c r="AD314" i="19"/>
  <c r="AF314" i="19" s="1"/>
  <c r="AB314" i="19"/>
  <c r="AS313" i="19"/>
  <c r="AO313" i="19"/>
  <c r="AQ313" i="19" s="1"/>
  <c r="AM313" i="19"/>
  <c r="AH313" i="19"/>
  <c r="AD313" i="19"/>
  <c r="AF313" i="19" s="1"/>
  <c r="AB313" i="19"/>
  <c r="AS312" i="19"/>
  <c r="AO312" i="19"/>
  <c r="AM312" i="19"/>
  <c r="AH312" i="19"/>
  <c r="AD312" i="19"/>
  <c r="AF312" i="19" s="1"/>
  <c r="AB312" i="19"/>
  <c r="AS311" i="19"/>
  <c r="AO311" i="19"/>
  <c r="AQ311" i="19" s="1"/>
  <c r="AM311" i="19"/>
  <c r="AH311" i="19"/>
  <c r="AD311" i="19"/>
  <c r="AF311" i="19" s="1"/>
  <c r="AB311" i="19"/>
  <c r="AS310" i="19"/>
  <c r="AO310" i="19"/>
  <c r="AQ310" i="19" s="1"/>
  <c r="AM310" i="19"/>
  <c r="AH310" i="19"/>
  <c r="AD310" i="19"/>
  <c r="AB310" i="19"/>
  <c r="AS309" i="19"/>
  <c r="AO309" i="19"/>
  <c r="AM309" i="19"/>
  <c r="AH309" i="19"/>
  <c r="AD309" i="19"/>
  <c r="AB309" i="19"/>
  <c r="AS308" i="19"/>
  <c r="AO308" i="19"/>
  <c r="AQ308" i="19" s="1"/>
  <c r="AM308" i="19"/>
  <c r="AH308" i="19"/>
  <c r="AD308" i="19"/>
  <c r="AF308" i="19" s="1"/>
  <c r="AB308" i="19"/>
  <c r="AS307" i="19"/>
  <c r="AO307" i="19"/>
  <c r="AQ307" i="19" s="1"/>
  <c r="AM307" i="19"/>
  <c r="AH307" i="19"/>
  <c r="AD307" i="19"/>
  <c r="AF307" i="19" s="1"/>
  <c r="AB307" i="19"/>
  <c r="AS306" i="19"/>
  <c r="AO306" i="19"/>
  <c r="AM306" i="19"/>
  <c r="AH306" i="19"/>
  <c r="AD306" i="19"/>
  <c r="AF306" i="19" s="1"/>
  <c r="AB306" i="19"/>
  <c r="AS305" i="19"/>
  <c r="AO305" i="19"/>
  <c r="AM305" i="19"/>
  <c r="AH305" i="19"/>
  <c r="AD305" i="19"/>
  <c r="AB305" i="19"/>
  <c r="AS304" i="19"/>
  <c r="AO304" i="19"/>
  <c r="AQ304" i="19" s="1"/>
  <c r="AM304" i="19"/>
  <c r="AH304" i="19"/>
  <c r="AD304" i="19"/>
  <c r="AB304" i="19"/>
  <c r="AS303" i="19"/>
  <c r="AO303" i="19"/>
  <c r="AM303" i="19"/>
  <c r="AH303" i="19"/>
  <c r="AD303" i="19"/>
  <c r="AF303" i="19" s="1"/>
  <c r="AB303" i="19"/>
  <c r="AS302" i="19"/>
  <c r="AO302" i="19"/>
  <c r="AQ302" i="19" s="1"/>
  <c r="AM302" i="19"/>
  <c r="AH302" i="19"/>
  <c r="AD302" i="19"/>
  <c r="AB302" i="19"/>
  <c r="AS301" i="19"/>
  <c r="AO301" i="19"/>
  <c r="AQ301" i="19" s="1"/>
  <c r="AM301" i="19"/>
  <c r="AH301" i="19"/>
  <c r="AD301" i="19"/>
  <c r="AB301" i="19"/>
  <c r="AS300" i="19"/>
  <c r="AO300" i="19"/>
  <c r="AQ300" i="19" s="1"/>
  <c r="AM300" i="19"/>
  <c r="AH300" i="19"/>
  <c r="AD300" i="19"/>
  <c r="AF300" i="19" s="1"/>
  <c r="AB300" i="19"/>
  <c r="AS299" i="19"/>
  <c r="AO299" i="19"/>
  <c r="AQ299" i="19" s="1"/>
  <c r="AM299" i="19"/>
  <c r="AH299" i="19"/>
  <c r="AD299" i="19"/>
  <c r="AB299" i="19"/>
  <c r="AS298" i="19"/>
  <c r="AO298" i="19"/>
  <c r="AQ298" i="19" s="1"/>
  <c r="AM298" i="19"/>
  <c r="AH298" i="19"/>
  <c r="AD298" i="19"/>
  <c r="AB298" i="19"/>
  <c r="AS297" i="19"/>
  <c r="AO297" i="19"/>
  <c r="AM297" i="19"/>
  <c r="AH297" i="19"/>
  <c r="AD297" i="19"/>
  <c r="AF297" i="19" s="1"/>
  <c r="AB297" i="19"/>
  <c r="AS296" i="19"/>
  <c r="AO296" i="19"/>
  <c r="AM296" i="19"/>
  <c r="AH296" i="19"/>
  <c r="AD296" i="19"/>
  <c r="AF296" i="19" s="1"/>
  <c r="AB296" i="19"/>
  <c r="AS295" i="19"/>
  <c r="AO295" i="19"/>
  <c r="AQ295" i="19" s="1"/>
  <c r="AM295" i="19"/>
  <c r="AH295" i="19"/>
  <c r="AD295" i="19"/>
  <c r="AF295" i="19" s="1"/>
  <c r="AB295" i="19"/>
  <c r="AS294" i="19"/>
  <c r="AO294" i="19"/>
  <c r="AM294" i="19"/>
  <c r="AH294" i="19"/>
  <c r="AD294" i="19"/>
  <c r="AF294" i="19" s="1"/>
  <c r="AB294" i="19"/>
  <c r="AS293" i="19"/>
  <c r="AO293" i="19"/>
  <c r="AQ293" i="19" s="1"/>
  <c r="AM293" i="19"/>
  <c r="AH293" i="19"/>
  <c r="AD293" i="19"/>
  <c r="AF293" i="19" s="1"/>
  <c r="AB293" i="19"/>
  <c r="AS292" i="19"/>
  <c r="AO292" i="19"/>
  <c r="AQ292" i="19" s="1"/>
  <c r="AM292" i="19"/>
  <c r="AH292" i="19"/>
  <c r="AD292" i="19"/>
  <c r="AB292" i="19"/>
  <c r="AS291" i="19"/>
  <c r="AO291" i="19"/>
  <c r="AM291" i="19"/>
  <c r="AH291" i="19"/>
  <c r="AD291" i="19"/>
  <c r="AB291" i="19"/>
  <c r="AS290" i="19"/>
  <c r="AO290" i="19"/>
  <c r="AQ290" i="19" s="1"/>
  <c r="AM290" i="19"/>
  <c r="AH290" i="19"/>
  <c r="AD290" i="19"/>
  <c r="AF290" i="19" s="1"/>
  <c r="AB290" i="19"/>
  <c r="AS289" i="19"/>
  <c r="AO289" i="19"/>
  <c r="AQ289" i="19" s="1"/>
  <c r="AM289" i="19"/>
  <c r="AH289" i="19"/>
  <c r="AD289" i="19"/>
  <c r="AF289" i="19" s="1"/>
  <c r="AB289" i="19"/>
  <c r="AS288" i="19"/>
  <c r="AO288" i="19"/>
  <c r="AM288" i="19"/>
  <c r="AH288" i="19"/>
  <c r="AD288" i="19"/>
  <c r="AF288" i="19" s="1"/>
  <c r="AB288" i="19"/>
  <c r="AS287" i="19"/>
  <c r="AO287" i="19"/>
  <c r="AQ287" i="19" s="1"/>
  <c r="AM287" i="19"/>
  <c r="AH287" i="19"/>
  <c r="AD287" i="19"/>
  <c r="AF287" i="19" s="1"/>
  <c r="AB287" i="19"/>
  <c r="AS286" i="19"/>
  <c r="AO286" i="19"/>
  <c r="AM286" i="19"/>
  <c r="AH286" i="19"/>
  <c r="AD286" i="19"/>
  <c r="AF286" i="19" s="1"/>
  <c r="AB286" i="19"/>
  <c r="AS285" i="19"/>
  <c r="AO285" i="19"/>
  <c r="AQ285" i="19" s="1"/>
  <c r="AM285" i="19"/>
  <c r="AH285" i="19"/>
  <c r="AD285" i="19"/>
  <c r="AF285" i="19" s="1"/>
  <c r="AB285" i="19"/>
  <c r="AS284" i="19"/>
  <c r="AO284" i="19"/>
  <c r="AQ284" i="19" s="1"/>
  <c r="AM284" i="19"/>
  <c r="AH284" i="19"/>
  <c r="AD284" i="19"/>
  <c r="AF284" i="19" s="1"/>
  <c r="AB284" i="19"/>
  <c r="AS283" i="19"/>
  <c r="AV283" i="19" s="1"/>
  <c r="AO283" i="19"/>
  <c r="AQ283" i="19" s="1"/>
  <c r="AM283" i="19"/>
  <c r="AH283" i="19"/>
  <c r="AD283" i="19"/>
  <c r="AF283" i="19" s="1"/>
  <c r="AB283" i="19"/>
  <c r="AS282" i="19"/>
  <c r="AV282" i="19" s="1"/>
  <c r="AO282" i="19"/>
  <c r="AQ282" i="19" s="1"/>
  <c r="AM282" i="19"/>
  <c r="AH282" i="19"/>
  <c r="AD282" i="19"/>
  <c r="AF282" i="19" s="1"/>
  <c r="AB282" i="19"/>
  <c r="AS281" i="19"/>
  <c r="AW281" i="19" s="1"/>
  <c r="AO281" i="19"/>
  <c r="AM281" i="19"/>
  <c r="AH281" i="19"/>
  <c r="AD281" i="19"/>
  <c r="AF281" i="19" s="1"/>
  <c r="AB281" i="19"/>
  <c r="AS280" i="19"/>
  <c r="AO280" i="19"/>
  <c r="AM280" i="19"/>
  <c r="AH280" i="19"/>
  <c r="AJ280" i="19" s="1"/>
  <c r="AD280" i="19"/>
  <c r="AB280" i="19"/>
  <c r="AS279" i="19"/>
  <c r="AO279" i="19"/>
  <c r="AM279" i="19"/>
  <c r="AH279" i="19"/>
  <c r="AL279" i="19" s="1"/>
  <c r="AD279" i="19"/>
  <c r="AF279" i="19" s="1"/>
  <c r="AB279" i="19"/>
  <c r="AS278" i="19"/>
  <c r="AO278" i="19"/>
  <c r="AQ278" i="19" s="1"/>
  <c r="AM278" i="19"/>
  <c r="AH278" i="19"/>
  <c r="AI278" i="19" s="1"/>
  <c r="AD278" i="19"/>
  <c r="AB278" i="19"/>
  <c r="AS277" i="19"/>
  <c r="AV277" i="19" s="1"/>
  <c r="AO277" i="19"/>
  <c r="AQ277" i="19" s="1"/>
  <c r="AM277" i="19"/>
  <c r="AH277" i="19"/>
  <c r="AL277" i="19" s="1"/>
  <c r="AD277" i="19"/>
  <c r="AB277" i="19"/>
  <c r="AS276" i="19"/>
  <c r="AU276" i="19" s="1"/>
  <c r="AO276" i="19"/>
  <c r="AM276" i="19"/>
  <c r="AH276" i="19"/>
  <c r="AI276" i="19" s="1"/>
  <c r="AD276" i="19"/>
  <c r="AF276" i="19" s="1"/>
  <c r="AB276" i="19"/>
  <c r="AS275" i="19"/>
  <c r="AO275" i="19"/>
  <c r="AQ275" i="19" s="1"/>
  <c r="AM275" i="19"/>
  <c r="AH275" i="19"/>
  <c r="AD275" i="19"/>
  <c r="AB275" i="19"/>
  <c r="AS274" i="19"/>
  <c r="AO274" i="19"/>
  <c r="AQ274" i="19" s="1"/>
  <c r="AM274" i="19"/>
  <c r="AH274" i="19"/>
  <c r="AD274" i="19"/>
  <c r="AF274" i="19" s="1"/>
  <c r="AB274" i="19"/>
  <c r="AS273" i="19"/>
  <c r="AV273" i="19" s="1"/>
  <c r="AO273" i="19"/>
  <c r="AM273" i="19"/>
  <c r="AH273" i="19"/>
  <c r="AD273" i="19"/>
  <c r="AF273" i="19" s="1"/>
  <c r="AB273" i="19"/>
  <c r="AS272" i="19"/>
  <c r="AO272" i="19"/>
  <c r="AQ272" i="19" s="1"/>
  <c r="AM272" i="19"/>
  <c r="AH272" i="19"/>
  <c r="AD272" i="19"/>
  <c r="AB272" i="19"/>
  <c r="AS271" i="19"/>
  <c r="AO271" i="19"/>
  <c r="AQ271" i="19" s="1"/>
  <c r="AM271" i="19"/>
  <c r="AH271" i="19"/>
  <c r="AD271" i="19"/>
  <c r="AF271" i="19" s="1"/>
  <c r="AB271" i="19"/>
  <c r="AS270" i="19"/>
  <c r="AO270" i="19"/>
  <c r="AM270" i="19"/>
  <c r="AH270" i="19"/>
  <c r="AL270" i="19" s="1"/>
  <c r="AD270" i="19"/>
  <c r="AF270" i="19" s="1"/>
  <c r="AB270" i="19"/>
  <c r="AS269" i="19"/>
  <c r="AO269" i="19"/>
  <c r="AM269" i="19"/>
  <c r="AH269" i="19"/>
  <c r="AJ269" i="19" s="1"/>
  <c r="AD269" i="19"/>
  <c r="AF269" i="19" s="1"/>
  <c r="AB269" i="19"/>
  <c r="AS268" i="19"/>
  <c r="AT268" i="19" s="1"/>
  <c r="AO268" i="19"/>
  <c r="AQ268" i="19" s="1"/>
  <c r="AM268" i="19"/>
  <c r="AH268" i="19"/>
  <c r="AK268" i="19" s="1"/>
  <c r="AD268" i="19"/>
  <c r="AF268" i="19" s="1"/>
  <c r="AB268" i="19"/>
  <c r="AS267" i="19"/>
  <c r="AO267" i="19"/>
  <c r="AM267" i="19"/>
  <c r="AH267" i="19"/>
  <c r="AD267" i="19"/>
  <c r="AF267" i="19" s="1"/>
  <c r="AB267" i="19"/>
  <c r="AS266" i="19"/>
  <c r="AO266" i="19"/>
  <c r="AQ266" i="19" s="1"/>
  <c r="AM266" i="19"/>
  <c r="AH266" i="19"/>
  <c r="AK266" i="19" s="1"/>
  <c r="AD266" i="19"/>
  <c r="AF266" i="19" s="1"/>
  <c r="AB266" i="19"/>
  <c r="AS253" i="19"/>
  <c r="AO253" i="19"/>
  <c r="AQ253" i="19" s="1"/>
  <c r="AM253" i="19"/>
  <c r="AH253" i="19"/>
  <c r="AD253" i="19"/>
  <c r="AF253" i="19" s="1"/>
  <c r="AB253" i="19"/>
  <c r="AS252" i="19"/>
  <c r="AO252" i="19"/>
  <c r="AM252" i="19"/>
  <c r="AH252" i="19"/>
  <c r="AL252" i="19" s="1"/>
  <c r="AD252" i="19"/>
  <c r="AF252" i="19" s="1"/>
  <c r="AB252" i="19"/>
  <c r="AS251" i="19"/>
  <c r="AW251" i="19" s="1"/>
  <c r="AO251" i="19"/>
  <c r="AQ251" i="19" s="1"/>
  <c r="AM251" i="19"/>
  <c r="AH251" i="19"/>
  <c r="AK251" i="19" s="1"/>
  <c r="AD251" i="19"/>
  <c r="AF251" i="19" s="1"/>
  <c r="AB251" i="19"/>
  <c r="AS250" i="19"/>
  <c r="AV250" i="19" s="1"/>
  <c r="AO250" i="19"/>
  <c r="AQ250" i="19" s="1"/>
  <c r="AM250" i="19"/>
  <c r="AH250" i="19"/>
  <c r="AI250" i="19" s="1"/>
  <c r="AD250" i="19"/>
  <c r="AF250" i="19" s="1"/>
  <c r="AB250" i="19"/>
  <c r="AS249" i="19"/>
  <c r="AV249" i="19" s="1"/>
  <c r="AO249" i="19"/>
  <c r="AM249" i="19"/>
  <c r="AH249" i="19"/>
  <c r="AD249" i="19"/>
  <c r="AB249" i="19"/>
  <c r="AS248" i="19"/>
  <c r="AO248" i="19"/>
  <c r="AQ248" i="19" s="1"/>
  <c r="AM248" i="19"/>
  <c r="AH248" i="19"/>
  <c r="AI248" i="19" s="1"/>
  <c r="AD248" i="19"/>
  <c r="AF248" i="19" s="1"/>
  <c r="AB248" i="19"/>
  <c r="AS247" i="19"/>
  <c r="AV247" i="19" s="1"/>
  <c r="AO247" i="19"/>
  <c r="AQ247" i="19" s="1"/>
  <c r="AM247" i="19"/>
  <c r="AH247" i="19"/>
  <c r="AJ247" i="19" s="1"/>
  <c r="AD247" i="19"/>
  <c r="AF247" i="19" s="1"/>
  <c r="AB247" i="19"/>
  <c r="AS246" i="19"/>
  <c r="AO246" i="19"/>
  <c r="AM246" i="19"/>
  <c r="AH246" i="19"/>
  <c r="AD246" i="19"/>
  <c r="AF246" i="19" s="1"/>
  <c r="AB246" i="19"/>
  <c r="AS245" i="19"/>
  <c r="AV245" i="19" s="1"/>
  <c r="AO245" i="19"/>
  <c r="AQ245" i="19" s="1"/>
  <c r="AM245" i="19"/>
  <c r="AH245" i="19"/>
  <c r="AI245" i="19" s="1"/>
  <c r="AD245" i="19"/>
  <c r="AF245" i="19" s="1"/>
  <c r="AB245" i="19"/>
  <c r="AS244" i="19"/>
  <c r="AO244" i="19"/>
  <c r="AQ244" i="19" s="1"/>
  <c r="AM244" i="19"/>
  <c r="AH244" i="19"/>
  <c r="AJ244" i="19" s="1"/>
  <c r="AD244" i="19"/>
  <c r="AB244" i="19"/>
  <c r="AS243" i="19"/>
  <c r="AO243" i="19"/>
  <c r="AQ243" i="19" s="1"/>
  <c r="AM243" i="19"/>
  <c r="AH243" i="19"/>
  <c r="AD243" i="19"/>
  <c r="AF243" i="19" s="1"/>
  <c r="AB243" i="19"/>
  <c r="AS242" i="19"/>
  <c r="AO242" i="19"/>
  <c r="AQ242" i="19" s="1"/>
  <c r="AM242" i="19"/>
  <c r="AH242" i="19"/>
  <c r="AD242" i="19"/>
  <c r="AF242" i="19" s="1"/>
  <c r="AB242" i="19"/>
  <c r="AS241" i="19"/>
  <c r="AO241" i="19"/>
  <c r="AM241" i="19"/>
  <c r="AH241" i="19"/>
  <c r="AD241" i="19"/>
  <c r="AF241" i="19" s="1"/>
  <c r="AB241" i="19"/>
  <c r="AS240" i="19"/>
  <c r="AW240" i="19" s="1"/>
  <c r="AO240" i="19"/>
  <c r="AQ240" i="19" s="1"/>
  <c r="AM240" i="19"/>
  <c r="AH240" i="19"/>
  <c r="AJ240" i="19" s="1"/>
  <c r="AD240" i="19"/>
  <c r="AB240" i="19"/>
  <c r="AS239" i="19"/>
  <c r="AW239" i="19" s="1"/>
  <c r="AO239" i="19"/>
  <c r="AQ239" i="19" s="1"/>
  <c r="AM239" i="19"/>
  <c r="AH239" i="19"/>
  <c r="AD239" i="19"/>
  <c r="AF239" i="19" s="1"/>
  <c r="AB239" i="19"/>
  <c r="AS238" i="19"/>
  <c r="AO238" i="19"/>
  <c r="AQ238" i="19" s="1"/>
  <c r="AM238" i="19"/>
  <c r="AH238" i="19"/>
  <c r="AD238" i="19"/>
  <c r="AB238" i="19"/>
  <c r="AS237" i="19"/>
  <c r="AO237" i="19"/>
  <c r="AM237" i="19"/>
  <c r="AH237" i="19"/>
  <c r="AD237" i="19"/>
  <c r="AF237" i="19" s="1"/>
  <c r="AB237" i="19"/>
  <c r="AS236" i="19"/>
  <c r="AW236" i="19" s="1"/>
  <c r="AO236" i="19"/>
  <c r="AQ236" i="19" s="1"/>
  <c r="AM236" i="19"/>
  <c r="AH236" i="19"/>
  <c r="AD236" i="19"/>
  <c r="AB236" i="19"/>
  <c r="AS235" i="19"/>
  <c r="AO235" i="19"/>
  <c r="AQ235" i="19" s="1"/>
  <c r="AM235" i="19"/>
  <c r="AH235" i="19"/>
  <c r="AI235" i="19" s="1"/>
  <c r="AD235" i="19"/>
  <c r="AF235" i="19" s="1"/>
  <c r="AB235" i="19"/>
  <c r="AS234" i="19"/>
  <c r="AV234" i="19" s="1"/>
  <c r="AO234" i="19"/>
  <c r="AQ234" i="19" s="1"/>
  <c r="AM234" i="19"/>
  <c r="AH234" i="19"/>
  <c r="AD234" i="19"/>
  <c r="AB234" i="19"/>
  <c r="AS233" i="19"/>
  <c r="AO233" i="19"/>
  <c r="AQ233" i="19" s="1"/>
  <c r="AM233" i="19"/>
  <c r="AH233" i="19"/>
  <c r="AJ233" i="19" s="1"/>
  <c r="AD233" i="19"/>
  <c r="AF233" i="19" s="1"/>
  <c r="AB233" i="19"/>
  <c r="AS232" i="19"/>
  <c r="AV232" i="19" s="1"/>
  <c r="AO232" i="19"/>
  <c r="AM232" i="19"/>
  <c r="AH232" i="19"/>
  <c r="AD232" i="19"/>
  <c r="AF232" i="19" s="1"/>
  <c r="AB232" i="19"/>
  <c r="AS231" i="19"/>
  <c r="AW231" i="19" s="1"/>
  <c r="AO231" i="19"/>
  <c r="AM231" i="19"/>
  <c r="AH231" i="19"/>
  <c r="AL231" i="19" s="1"/>
  <c r="AD231" i="19"/>
  <c r="AF231" i="19" s="1"/>
  <c r="AB231" i="19"/>
  <c r="AS230" i="19"/>
  <c r="AO230" i="19"/>
  <c r="AQ230" i="19" s="1"/>
  <c r="AM230" i="19"/>
  <c r="AH230" i="19"/>
  <c r="AD230" i="19"/>
  <c r="AB230" i="19"/>
  <c r="AS229" i="19"/>
  <c r="AW229" i="19" s="1"/>
  <c r="AO229" i="19"/>
  <c r="AQ229" i="19" s="1"/>
  <c r="AM229" i="19"/>
  <c r="AH229" i="19"/>
  <c r="AJ229" i="19" s="1"/>
  <c r="AD229" i="19"/>
  <c r="AB229" i="19"/>
  <c r="AS228" i="19"/>
  <c r="AO228" i="19"/>
  <c r="AM228" i="19"/>
  <c r="AH228" i="19"/>
  <c r="AI228" i="19" s="1"/>
  <c r="AD228" i="19"/>
  <c r="AF228" i="19" s="1"/>
  <c r="AB228" i="19"/>
  <c r="AS227" i="19"/>
  <c r="AV227" i="19" s="1"/>
  <c r="AO227" i="19"/>
  <c r="AQ227" i="19" s="1"/>
  <c r="AM227" i="19"/>
  <c r="AH227" i="19"/>
  <c r="AD227" i="19"/>
  <c r="AB227" i="19"/>
  <c r="AS226" i="19"/>
  <c r="AW226" i="19" s="1"/>
  <c r="AO226" i="19"/>
  <c r="AQ226" i="19" s="1"/>
  <c r="AM226" i="19"/>
  <c r="AH226" i="19"/>
  <c r="AD226" i="19"/>
  <c r="AF226" i="19" s="1"/>
  <c r="AB226" i="19"/>
  <c r="AS225" i="19"/>
  <c r="AV225" i="19" s="1"/>
  <c r="AO225" i="19"/>
  <c r="AM225" i="19"/>
  <c r="AH225" i="19"/>
  <c r="AD225" i="19"/>
  <c r="AF225" i="19" s="1"/>
  <c r="AB225" i="19"/>
  <c r="AS224" i="19"/>
  <c r="AV224" i="19" s="1"/>
  <c r="AO224" i="19"/>
  <c r="AQ224" i="19" s="1"/>
  <c r="AM224" i="19"/>
  <c r="AH224" i="19"/>
  <c r="AD224" i="19"/>
  <c r="AB224" i="19"/>
  <c r="AS223" i="19"/>
  <c r="AO223" i="19"/>
  <c r="AQ223" i="19" s="1"/>
  <c r="AM223" i="19"/>
  <c r="AH223" i="19"/>
  <c r="AJ223" i="19" s="1"/>
  <c r="AD223" i="19"/>
  <c r="AF223" i="19" s="1"/>
  <c r="AB223" i="19"/>
  <c r="AS222" i="19"/>
  <c r="AW222" i="19" s="1"/>
  <c r="AO222" i="19"/>
  <c r="AM222" i="19"/>
  <c r="AH222" i="19"/>
  <c r="AL222" i="19" s="1"/>
  <c r="AD222" i="19"/>
  <c r="AB222" i="19"/>
  <c r="AS221" i="19"/>
  <c r="AV221" i="19" s="1"/>
  <c r="AO221" i="19"/>
  <c r="AQ221" i="19" s="1"/>
  <c r="AM221" i="19"/>
  <c r="AH221" i="19"/>
  <c r="AJ221" i="19" s="1"/>
  <c r="AD221" i="19"/>
  <c r="AB221" i="19"/>
  <c r="AS220" i="19"/>
  <c r="AV220" i="19" s="1"/>
  <c r="AO220" i="19"/>
  <c r="AQ220" i="19" s="1"/>
  <c r="AM220" i="19"/>
  <c r="AH220" i="19"/>
  <c r="AK220" i="19" s="1"/>
  <c r="AD220" i="19"/>
  <c r="AF220" i="19" s="1"/>
  <c r="AB220" i="19"/>
  <c r="AS219" i="19"/>
  <c r="AO219" i="19"/>
  <c r="AM219" i="19"/>
  <c r="AH219" i="19"/>
  <c r="AD219" i="19"/>
  <c r="AF219" i="19" s="1"/>
  <c r="AB219" i="19"/>
  <c r="AS218" i="19"/>
  <c r="AO218" i="19"/>
  <c r="AQ218" i="19" s="1"/>
  <c r="AM218" i="19"/>
  <c r="AH218" i="19"/>
  <c r="AD218" i="19"/>
  <c r="AF218" i="19" s="1"/>
  <c r="AB218" i="19"/>
  <c r="AS217" i="19"/>
  <c r="AU217" i="19" s="1"/>
  <c r="AO217" i="19"/>
  <c r="AM217" i="19"/>
  <c r="AH217" i="19"/>
  <c r="AL217" i="19" s="1"/>
  <c r="AD217" i="19"/>
  <c r="AF217" i="19" s="1"/>
  <c r="AB217" i="19"/>
  <c r="AS216" i="19"/>
  <c r="AO216" i="19"/>
  <c r="AQ216" i="19" s="1"/>
  <c r="AM216" i="19"/>
  <c r="AH216" i="19"/>
  <c r="AK216" i="19" s="1"/>
  <c r="AD216" i="19"/>
  <c r="AB216" i="19"/>
  <c r="AS215" i="19"/>
  <c r="AO215" i="19"/>
  <c r="AM215" i="19"/>
  <c r="AH215" i="19"/>
  <c r="AD215" i="19"/>
  <c r="AF215" i="19" s="1"/>
  <c r="AB215" i="19"/>
  <c r="AS214" i="19"/>
  <c r="AO214" i="19"/>
  <c r="AM214" i="19"/>
  <c r="AH214" i="19"/>
  <c r="AD214" i="19"/>
  <c r="AF214" i="19" s="1"/>
  <c r="AB214" i="19"/>
  <c r="AS213" i="19"/>
  <c r="AO213" i="19"/>
  <c r="AQ213" i="19" s="1"/>
  <c r="AM213" i="19"/>
  <c r="AH213" i="19"/>
  <c r="AJ213" i="19" s="1"/>
  <c r="AD213" i="19"/>
  <c r="AB213" i="19"/>
  <c r="AS212" i="19"/>
  <c r="AW212" i="19" s="1"/>
  <c r="AO212" i="19"/>
  <c r="AQ212" i="19" s="1"/>
  <c r="AM212" i="19"/>
  <c r="AH212" i="19"/>
  <c r="AL212" i="19" s="1"/>
  <c r="AD212" i="19"/>
  <c r="AB212" i="19"/>
  <c r="AS211" i="19"/>
  <c r="AO211" i="19"/>
  <c r="AM211" i="19"/>
  <c r="AH211" i="19"/>
  <c r="AD211" i="19"/>
  <c r="AB211" i="19"/>
  <c r="AS210" i="19"/>
  <c r="AO210" i="19"/>
  <c r="AQ210" i="19" s="1"/>
  <c r="AM210" i="19"/>
  <c r="AH210" i="19"/>
  <c r="AI210" i="19" s="1"/>
  <c r="AD210" i="19"/>
  <c r="AB210" i="19"/>
  <c r="AS209" i="19"/>
  <c r="AO209" i="19"/>
  <c r="AM209" i="19"/>
  <c r="AH209" i="19"/>
  <c r="AD209" i="19"/>
  <c r="AB209" i="19"/>
  <c r="AS208" i="19"/>
  <c r="AO208" i="19"/>
  <c r="AQ208" i="19" s="1"/>
  <c r="AM208" i="19"/>
  <c r="AH208" i="19"/>
  <c r="AI208" i="19" s="1"/>
  <c r="AD208" i="19"/>
  <c r="AB208" i="19"/>
  <c r="AS207" i="19"/>
  <c r="AO207" i="19"/>
  <c r="AM207" i="19"/>
  <c r="AH207" i="19"/>
  <c r="AD207" i="19"/>
  <c r="AB207" i="19"/>
  <c r="AS206" i="19"/>
  <c r="AU206" i="19" s="1"/>
  <c r="AO206" i="19"/>
  <c r="AQ206" i="19" s="1"/>
  <c r="AM206" i="19"/>
  <c r="AH206" i="19"/>
  <c r="AL206" i="19" s="1"/>
  <c r="AD206" i="19"/>
  <c r="AF206" i="19" s="1"/>
  <c r="AB206" i="19"/>
  <c r="AS205" i="19"/>
  <c r="AO205" i="19"/>
  <c r="AQ205" i="19" s="1"/>
  <c r="AM205" i="19"/>
  <c r="AH205" i="19"/>
  <c r="AL205" i="19" s="1"/>
  <c r="AD205" i="19"/>
  <c r="AF205" i="19" s="1"/>
  <c r="AB205" i="19"/>
  <c r="AS204" i="19"/>
  <c r="AT204" i="19" s="1"/>
  <c r="AO204" i="19"/>
  <c r="AM204" i="19"/>
  <c r="AH204" i="19"/>
  <c r="AD204" i="19"/>
  <c r="AF204" i="19" s="1"/>
  <c r="AB204" i="19"/>
  <c r="AS203" i="19"/>
  <c r="AO203" i="19"/>
  <c r="AQ203" i="19" s="1"/>
  <c r="AM203" i="19"/>
  <c r="AH203" i="19"/>
  <c r="AJ203" i="19" s="1"/>
  <c r="AD203" i="19"/>
  <c r="AF203" i="19" s="1"/>
  <c r="AB203" i="19"/>
  <c r="AS202" i="19"/>
  <c r="AW202" i="19" s="1"/>
  <c r="AO202" i="19"/>
  <c r="AM202" i="19"/>
  <c r="AH202" i="19"/>
  <c r="AL202" i="19" s="1"/>
  <c r="AD202" i="19"/>
  <c r="AF202" i="19" s="1"/>
  <c r="AB202" i="19"/>
  <c r="AS201" i="19"/>
  <c r="AO201" i="19"/>
  <c r="AQ201" i="19" s="1"/>
  <c r="AM201" i="19"/>
  <c r="AH201" i="19"/>
  <c r="AK201" i="19" s="1"/>
  <c r="AD201" i="19"/>
  <c r="AF201" i="19" s="1"/>
  <c r="AB201" i="19"/>
  <c r="AS200" i="19"/>
  <c r="AT200" i="19" s="1"/>
  <c r="AO200" i="19"/>
  <c r="AQ200" i="19" s="1"/>
  <c r="AM200" i="19"/>
  <c r="AH200" i="19"/>
  <c r="AD200" i="19"/>
  <c r="AB200" i="19"/>
  <c r="AS199" i="19"/>
  <c r="AO199" i="19"/>
  <c r="AQ199" i="19" s="1"/>
  <c r="AM199" i="19"/>
  <c r="AH199" i="19"/>
  <c r="AK199" i="19" s="1"/>
  <c r="AD199" i="19"/>
  <c r="AF199" i="19" s="1"/>
  <c r="AB199" i="19"/>
  <c r="AS198" i="19"/>
  <c r="AV198" i="19" s="1"/>
  <c r="AO198" i="19"/>
  <c r="AM198" i="19"/>
  <c r="AH198" i="19"/>
  <c r="AD198" i="19"/>
  <c r="AB198" i="19"/>
  <c r="AS197" i="19"/>
  <c r="AO197" i="19"/>
  <c r="AQ197" i="19" s="1"/>
  <c r="AM197" i="19"/>
  <c r="AH197" i="19"/>
  <c r="AJ197" i="19" s="1"/>
  <c r="AD197" i="19"/>
  <c r="AF197" i="19" s="1"/>
  <c r="AB197" i="19"/>
  <c r="AS196" i="19"/>
  <c r="AO196" i="19"/>
  <c r="AQ196" i="19" s="1"/>
  <c r="AM196" i="19"/>
  <c r="AH196" i="19"/>
  <c r="AD196" i="19"/>
  <c r="AF196" i="19" s="1"/>
  <c r="AB196" i="19"/>
  <c r="AS195" i="19"/>
  <c r="AO195" i="19"/>
  <c r="AQ195" i="19" s="1"/>
  <c r="AM195" i="19"/>
  <c r="AH195" i="19"/>
  <c r="AD195" i="19"/>
  <c r="AF195" i="19" s="1"/>
  <c r="AB195" i="19"/>
  <c r="AS194" i="19"/>
  <c r="AW194" i="19" s="1"/>
  <c r="AO194" i="19"/>
  <c r="AQ194" i="19" s="1"/>
  <c r="AM194" i="19"/>
  <c r="AH194" i="19"/>
  <c r="AJ194" i="19" s="1"/>
  <c r="AD194" i="19"/>
  <c r="AF194" i="19" s="1"/>
  <c r="AB194" i="19"/>
  <c r="AS182" i="19"/>
  <c r="AO182" i="19"/>
  <c r="AQ182" i="19" s="1"/>
  <c r="AM182" i="19"/>
  <c r="AH182" i="19"/>
  <c r="AD182" i="19"/>
  <c r="AF182" i="19" s="1"/>
  <c r="AB182" i="19"/>
  <c r="AS181" i="19"/>
  <c r="AT181" i="19" s="1"/>
  <c r="AO181" i="19"/>
  <c r="AM181" i="19"/>
  <c r="AH181" i="19"/>
  <c r="AI181" i="19" s="1"/>
  <c r="AD181" i="19"/>
  <c r="AB181" i="19"/>
  <c r="AS180" i="19"/>
  <c r="AT180" i="19" s="1"/>
  <c r="AO180" i="19"/>
  <c r="AQ180" i="19" s="1"/>
  <c r="AM180" i="19"/>
  <c r="AH180" i="19"/>
  <c r="AD180" i="19"/>
  <c r="AF180" i="19" s="1"/>
  <c r="AB180" i="19"/>
  <c r="AS179" i="19"/>
  <c r="AO179" i="19"/>
  <c r="AQ179" i="19" s="1"/>
  <c r="AM179" i="19"/>
  <c r="AH179" i="19"/>
  <c r="AD179" i="19"/>
  <c r="AB179" i="19"/>
  <c r="AS178" i="19"/>
  <c r="AO178" i="19"/>
  <c r="AQ178" i="19" s="1"/>
  <c r="AM178" i="19"/>
  <c r="AH178" i="19"/>
  <c r="AD178" i="19"/>
  <c r="AB178" i="19"/>
  <c r="AS177" i="19"/>
  <c r="AW177" i="19" s="1"/>
  <c r="AO177" i="19"/>
  <c r="AM177" i="19"/>
  <c r="AH177" i="19"/>
  <c r="AD177" i="19"/>
  <c r="AF177" i="19" s="1"/>
  <c r="AB177" i="19"/>
  <c r="AS176" i="19"/>
  <c r="AT176" i="19" s="1"/>
  <c r="AO176" i="19"/>
  <c r="AQ176" i="19" s="1"/>
  <c r="AM176" i="19"/>
  <c r="AH176" i="19"/>
  <c r="AD176" i="19"/>
  <c r="AF176" i="19" s="1"/>
  <c r="AB176" i="19"/>
  <c r="AS175" i="19"/>
  <c r="AO175" i="19"/>
  <c r="AM175" i="19"/>
  <c r="AH175" i="19"/>
  <c r="AL175" i="19" s="1"/>
  <c r="AD175" i="19"/>
  <c r="AF175" i="19" s="1"/>
  <c r="AB175" i="19"/>
  <c r="AS174" i="19"/>
  <c r="AO174" i="19"/>
  <c r="AQ174" i="19" s="1"/>
  <c r="AM174" i="19"/>
  <c r="AH174" i="19"/>
  <c r="AJ174" i="19" s="1"/>
  <c r="AD174" i="19"/>
  <c r="AF174" i="19" s="1"/>
  <c r="AB174" i="19"/>
  <c r="AS173" i="19"/>
  <c r="AO173" i="19"/>
  <c r="AQ173" i="19" s="1"/>
  <c r="AM173" i="19"/>
  <c r="AH173" i="19"/>
  <c r="AD173" i="19"/>
  <c r="AF173" i="19" s="1"/>
  <c r="AB173" i="19"/>
  <c r="AS172" i="19"/>
  <c r="AT172" i="19" s="1"/>
  <c r="AO172" i="19"/>
  <c r="AQ172" i="19" s="1"/>
  <c r="AM172" i="19"/>
  <c r="AH172" i="19"/>
  <c r="AK172" i="19" s="1"/>
  <c r="AD172" i="19"/>
  <c r="AF172" i="19" s="1"/>
  <c r="AB172" i="19"/>
  <c r="AS171" i="19"/>
  <c r="AO171" i="19"/>
  <c r="AQ171" i="19" s="1"/>
  <c r="AM171" i="19"/>
  <c r="AH171" i="19"/>
  <c r="AD171" i="19"/>
  <c r="AB171" i="19"/>
  <c r="AS170" i="19"/>
  <c r="AW170" i="19" s="1"/>
  <c r="AO170" i="19"/>
  <c r="AM170" i="19"/>
  <c r="AH170" i="19"/>
  <c r="AJ170" i="19" s="1"/>
  <c r="AD170" i="19"/>
  <c r="AF170" i="19" s="1"/>
  <c r="AB170" i="19"/>
  <c r="AS159" i="19"/>
  <c r="AV159" i="19" s="1"/>
  <c r="AO159" i="19"/>
  <c r="AQ159" i="19" s="1"/>
  <c r="AM159" i="19"/>
  <c r="AR159" i="19" s="1"/>
  <c r="AH159" i="19"/>
  <c r="AD159" i="19"/>
  <c r="AF159" i="19" s="1"/>
  <c r="AB159" i="19"/>
  <c r="AC159" i="19" s="1"/>
  <c r="AS158" i="19"/>
  <c r="AO158" i="19"/>
  <c r="AQ158" i="19" s="1"/>
  <c r="AM158" i="19"/>
  <c r="AH158" i="19"/>
  <c r="AJ158" i="19" s="1"/>
  <c r="AD158" i="19"/>
  <c r="AF158" i="19" s="1"/>
  <c r="AB158" i="19"/>
  <c r="AS157" i="19"/>
  <c r="AO157" i="19"/>
  <c r="AM157" i="19"/>
  <c r="AR157" i="19" s="1"/>
  <c r="AH157" i="19"/>
  <c r="AI157" i="19" s="1"/>
  <c r="AD157" i="19"/>
  <c r="AF157" i="19" s="1"/>
  <c r="AB157" i="19"/>
  <c r="AC157" i="19" s="1"/>
  <c r="AS156" i="19"/>
  <c r="AO156" i="19"/>
  <c r="AQ156" i="19" s="1"/>
  <c r="AM156" i="19"/>
  <c r="AN156" i="19" s="1"/>
  <c r="AH156" i="19"/>
  <c r="AK156" i="19" s="1"/>
  <c r="AD156" i="19"/>
  <c r="AF156" i="19" s="1"/>
  <c r="AB156" i="19"/>
  <c r="AS155" i="19"/>
  <c r="AO155" i="19"/>
  <c r="AQ155" i="19" s="1"/>
  <c r="AM155" i="19"/>
  <c r="AH155" i="19"/>
  <c r="AD155" i="19"/>
  <c r="AF155" i="19" s="1"/>
  <c r="AB155" i="19"/>
  <c r="AS154" i="19"/>
  <c r="AV154" i="19" s="1"/>
  <c r="AO154" i="19"/>
  <c r="AM154" i="19"/>
  <c r="AR154" i="19" s="1"/>
  <c r="AH154" i="19"/>
  <c r="AD154" i="19"/>
  <c r="AF154" i="19" s="1"/>
  <c r="AB154" i="19"/>
  <c r="AC154" i="19" s="1"/>
  <c r="AS153" i="19"/>
  <c r="AW153" i="19" s="1"/>
  <c r="AO153" i="19"/>
  <c r="AM153" i="19"/>
  <c r="AH153" i="19"/>
  <c r="AD153" i="19"/>
  <c r="AF153" i="19" s="1"/>
  <c r="AB153" i="19"/>
  <c r="AC153" i="19" s="1"/>
  <c r="AS152" i="19"/>
  <c r="AW152" i="19" s="1"/>
  <c r="AO152" i="19"/>
  <c r="AQ152" i="19" s="1"/>
  <c r="AM152" i="19"/>
  <c r="AN152" i="19" s="1"/>
  <c r="AH152" i="19"/>
  <c r="AD152" i="19"/>
  <c r="AB152" i="19"/>
  <c r="AC152" i="19" s="1"/>
  <c r="AS151" i="19"/>
  <c r="AT151" i="19" s="1"/>
  <c r="AO151" i="19"/>
  <c r="AQ151" i="19" s="1"/>
  <c r="AM151" i="19"/>
  <c r="AH151" i="19"/>
  <c r="AD151" i="19"/>
  <c r="AF151" i="19" s="1"/>
  <c r="AB151" i="19"/>
  <c r="AS150" i="19"/>
  <c r="AW150" i="19" s="1"/>
  <c r="AO150" i="19"/>
  <c r="AQ150" i="19" s="1"/>
  <c r="AM150" i="19"/>
  <c r="AH150" i="19"/>
  <c r="AD150" i="19"/>
  <c r="AF150" i="19" s="1"/>
  <c r="AB150" i="19"/>
  <c r="AS149" i="19"/>
  <c r="AU149" i="19" s="1"/>
  <c r="AO149" i="19"/>
  <c r="AQ149" i="19" s="1"/>
  <c r="AM149" i="19"/>
  <c r="AR149" i="19" s="1"/>
  <c r="AH149" i="19"/>
  <c r="AD149" i="19"/>
  <c r="AB149" i="19"/>
  <c r="AG149" i="19" s="1"/>
  <c r="AS148" i="19"/>
  <c r="AO148" i="19"/>
  <c r="AM148" i="19"/>
  <c r="AH148" i="19"/>
  <c r="AK148" i="19" s="1"/>
  <c r="AD148" i="19"/>
  <c r="AB148" i="19"/>
  <c r="AC148" i="19" s="1"/>
  <c r="AS147" i="19"/>
  <c r="AW147" i="19" s="1"/>
  <c r="AO147" i="19"/>
  <c r="AQ147" i="19" s="1"/>
  <c r="AM147" i="19"/>
  <c r="AN147" i="19" s="1"/>
  <c r="AH147" i="19"/>
  <c r="AJ147" i="19" s="1"/>
  <c r="AD147" i="19"/>
  <c r="AF147" i="19" s="1"/>
  <c r="AB147" i="19"/>
  <c r="AS145" i="19"/>
  <c r="AO145" i="19"/>
  <c r="AM145" i="19"/>
  <c r="AH145" i="19"/>
  <c r="AL145" i="19" s="1"/>
  <c r="AD145" i="19"/>
  <c r="AF145" i="19" s="1"/>
  <c r="AB145" i="19"/>
  <c r="AC145" i="19" s="1"/>
  <c r="AS144" i="19"/>
  <c r="AU144" i="19" s="1"/>
  <c r="AO144" i="19"/>
  <c r="AQ144" i="19" s="1"/>
  <c r="AM144" i="19"/>
  <c r="AN144" i="19" s="1"/>
  <c r="AH144" i="19"/>
  <c r="AI144" i="19" s="1"/>
  <c r="AD144" i="19"/>
  <c r="AF144" i="19" s="1"/>
  <c r="AB144" i="19"/>
  <c r="AG144" i="19" s="1"/>
  <c r="AS143" i="19"/>
  <c r="AO143" i="19"/>
  <c r="AQ143" i="19" s="1"/>
  <c r="AM143" i="19"/>
  <c r="AR143" i="19" s="1"/>
  <c r="AH143" i="19"/>
  <c r="AD143" i="19"/>
  <c r="AB143" i="19"/>
  <c r="AG143" i="19" s="1"/>
  <c r="AS142" i="19"/>
  <c r="AU142" i="19" s="1"/>
  <c r="AO142" i="19"/>
  <c r="AQ142" i="19" s="1"/>
  <c r="AM142" i="19"/>
  <c r="AN142" i="19" s="1"/>
  <c r="AH142" i="19"/>
  <c r="AD142" i="19"/>
  <c r="AF142" i="19" s="1"/>
  <c r="AB142" i="19"/>
  <c r="AS132" i="19"/>
  <c r="AO132" i="19"/>
  <c r="AM132" i="19"/>
  <c r="AH132" i="19"/>
  <c r="AD132" i="19"/>
  <c r="AB132" i="19"/>
  <c r="AS131" i="19"/>
  <c r="AW131" i="19" s="1"/>
  <c r="AO131" i="19"/>
  <c r="AM131" i="19"/>
  <c r="AN131" i="19" s="1"/>
  <c r="AH131" i="19"/>
  <c r="AD131" i="19"/>
  <c r="AF131" i="19" s="1"/>
  <c r="AB131" i="19"/>
  <c r="AS130" i="19"/>
  <c r="AT130" i="19" s="1"/>
  <c r="AO130" i="19"/>
  <c r="AQ130" i="19" s="1"/>
  <c r="AM130" i="19"/>
  <c r="AH130" i="19"/>
  <c r="AD130" i="19"/>
  <c r="AB130" i="19"/>
  <c r="AG130" i="19" s="1"/>
  <c r="AS129" i="19"/>
  <c r="AO129" i="19"/>
  <c r="AQ129" i="19" s="1"/>
  <c r="AM129" i="19"/>
  <c r="AR129" i="19" s="1"/>
  <c r="AH129" i="19"/>
  <c r="AD129" i="19"/>
  <c r="AF129" i="19" s="1"/>
  <c r="AB129" i="19"/>
  <c r="AS128" i="19"/>
  <c r="AW128" i="19" s="1"/>
  <c r="AO128" i="19"/>
  <c r="AM128" i="19"/>
  <c r="AR128" i="19" s="1"/>
  <c r="AH128" i="19"/>
  <c r="AK128" i="19" s="1"/>
  <c r="AD128" i="19"/>
  <c r="AF128" i="19" s="1"/>
  <c r="AB128" i="19"/>
  <c r="AS127" i="19"/>
  <c r="AO127" i="19"/>
  <c r="AM127" i="19"/>
  <c r="AH127" i="19"/>
  <c r="AD127" i="19"/>
  <c r="AB127" i="19"/>
  <c r="AC127" i="19" s="1"/>
  <c r="AS126" i="19"/>
  <c r="AU126" i="19" s="1"/>
  <c r="AO126" i="19"/>
  <c r="AM126" i="19"/>
  <c r="AH126" i="19"/>
  <c r="AD126" i="19"/>
  <c r="AF126" i="19" s="1"/>
  <c r="AB126" i="19"/>
  <c r="AS125" i="19"/>
  <c r="AO125" i="19"/>
  <c r="AM125" i="19"/>
  <c r="AH125" i="19"/>
  <c r="AL125" i="19" s="1"/>
  <c r="AD125" i="19"/>
  <c r="AF125" i="19" s="1"/>
  <c r="AB125" i="19"/>
  <c r="AC125" i="19" s="1"/>
  <c r="AS124" i="19"/>
  <c r="AU124" i="19" s="1"/>
  <c r="AO124" i="19"/>
  <c r="AQ124" i="19" s="1"/>
  <c r="AM124" i="19"/>
  <c r="AN124" i="19" s="1"/>
  <c r="AH124" i="19"/>
  <c r="AD124" i="19"/>
  <c r="AB124" i="19"/>
  <c r="AG124" i="19" s="1"/>
  <c r="AS123" i="19"/>
  <c r="AO123" i="19"/>
  <c r="AQ123" i="19" s="1"/>
  <c r="AM123" i="19"/>
  <c r="AR123" i="19" s="1"/>
  <c r="AH123" i="19"/>
  <c r="AK123" i="19" s="1"/>
  <c r="AD123" i="19"/>
  <c r="AB123" i="19"/>
  <c r="AS122" i="19"/>
  <c r="AO122" i="19"/>
  <c r="AQ122" i="19" s="1"/>
  <c r="AM122" i="19"/>
  <c r="AR122" i="19" s="1"/>
  <c r="AH122" i="19"/>
  <c r="AI122" i="19" s="1"/>
  <c r="AD122" i="19"/>
  <c r="AB122" i="19"/>
  <c r="AS111" i="19"/>
  <c r="AT111" i="19" s="1"/>
  <c r="AO111" i="19"/>
  <c r="AQ111" i="19" s="1"/>
  <c r="AM111" i="19"/>
  <c r="AN111" i="19" s="1"/>
  <c r="AH111" i="19"/>
  <c r="AD111" i="19"/>
  <c r="AB111" i="19"/>
  <c r="AC111" i="19" s="1"/>
  <c r="AS110" i="19"/>
  <c r="AU110" i="19" s="1"/>
  <c r="AO110" i="19"/>
  <c r="AQ110" i="19" s="1"/>
  <c r="AM110" i="19"/>
  <c r="AN110" i="19" s="1"/>
  <c r="AH110" i="19"/>
  <c r="AD110" i="19"/>
  <c r="AF110" i="19" s="1"/>
  <c r="AB110" i="19"/>
  <c r="AS109" i="19"/>
  <c r="AU109" i="19" s="1"/>
  <c r="AO109" i="19"/>
  <c r="AQ109" i="19" s="1"/>
  <c r="AM109" i="19"/>
  <c r="AH109" i="19"/>
  <c r="AL109" i="19" s="1"/>
  <c r="AD109" i="19"/>
  <c r="AB109" i="19"/>
  <c r="AS108" i="19"/>
  <c r="AO108" i="19"/>
  <c r="AQ108" i="19" s="1"/>
  <c r="AM108" i="19"/>
  <c r="AR108" i="19" s="1"/>
  <c r="AH108" i="19"/>
  <c r="AD108" i="19"/>
  <c r="AB108" i="19"/>
  <c r="AS107" i="19"/>
  <c r="AO107" i="19"/>
  <c r="AQ107" i="19" s="1"/>
  <c r="AM107" i="19"/>
  <c r="AN107" i="19" s="1"/>
  <c r="AH107" i="19"/>
  <c r="AD107" i="19"/>
  <c r="AF107" i="19" s="1"/>
  <c r="AB107" i="19"/>
  <c r="AS106" i="19"/>
  <c r="AO106" i="19"/>
  <c r="AQ106" i="19" s="1"/>
  <c r="AM106" i="19"/>
  <c r="AH106" i="19"/>
  <c r="AD106" i="19"/>
  <c r="AB106" i="19"/>
  <c r="AS105" i="19"/>
  <c r="AV105" i="19" s="1"/>
  <c r="AO105" i="19"/>
  <c r="AQ105" i="19" s="1"/>
  <c r="AM105" i="19"/>
  <c r="AH105" i="19"/>
  <c r="AJ105" i="19" s="1"/>
  <c r="AD105" i="19"/>
  <c r="AB105" i="19"/>
  <c r="AS104" i="19"/>
  <c r="AO104" i="19"/>
  <c r="AQ104" i="19" s="1"/>
  <c r="AM104" i="19"/>
  <c r="AR104" i="19" s="1"/>
  <c r="AH104" i="19"/>
  <c r="AD104" i="19"/>
  <c r="AB104" i="19"/>
  <c r="AC104" i="19" s="1"/>
  <c r="AS103" i="19"/>
  <c r="AO103" i="19"/>
  <c r="AQ103" i="19" s="1"/>
  <c r="AM103" i="19"/>
  <c r="AH103" i="19"/>
  <c r="AJ103" i="19" s="1"/>
  <c r="AD103" i="19"/>
  <c r="AB103" i="19"/>
  <c r="AC103" i="19" s="1"/>
  <c r="AS102" i="19"/>
  <c r="AV102" i="19" s="1"/>
  <c r="AO102" i="19"/>
  <c r="AQ102" i="19" s="1"/>
  <c r="AM102" i="19"/>
  <c r="AR102" i="19" s="1"/>
  <c r="AH102" i="19"/>
  <c r="AJ102" i="19" s="1"/>
  <c r="AD102" i="19"/>
  <c r="AB102" i="19"/>
  <c r="AC102" i="19" s="1"/>
  <c r="AS101" i="19"/>
  <c r="AO101" i="19"/>
  <c r="AQ101" i="19" s="1"/>
  <c r="AM101" i="19"/>
  <c r="AR101" i="19" s="1"/>
  <c r="AH101" i="19"/>
  <c r="AD101" i="19"/>
  <c r="AF101" i="19" s="1"/>
  <c r="AB101" i="19"/>
  <c r="AC101" i="19" s="1"/>
  <c r="AS100" i="19"/>
  <c r="AO100" i="19"/>
  <c r="AQ100" i="19" s="1"/>
  <c r="AM100" i="19"/>
  <c r="AH100" i="19"/>
  <c r="AK100" i="19" s="1"/>
  <c r="AD100" i="19"/>
  <c r="AF100" i="19" s="1"/>
  <c r="AB100" i="19"/>
  <c r="AG100" i="19" s="1"/>
  <c r="AS99" i="19"/>
  <c r="AW99" i="19" s="1"/>
  <c r="AO99" i="19"/>
  <c r="AQ99" i="19" s="1"/>
  <c r="AM99" i="19"/>
  <c r="AR99" i="19" s="1"/>
  <c r="AH99" i="19"/>
  <c r="AL99" i="19" s="1"/>
  <c r="AD99" i="19"/>
  <c r="AF99" i="19" s="1"/>
  <c r="AB99" i="19"/>
  <c r="AG99" i="19" s="1"/>
  <c r="AS98" i="19"/>
  <c r="AO98" i="19"/>
  <c r="AQ98" i="19" s="1"/>
  <c r="AM98" i="19"/>
  <c r="AH98" i="19"/>
  <c r="AI98" i="19" s="1"/>
  <c r="AD98" i="19"/>
  <c r="AB98" i="19"/>
  <c r="AS97" i="19"/>
  <c r="AO97" i="19"/>
  <c r="AQ97" i="19" s="1"/>
  <c r="AM97" i="19"/>
  <c r="AR97" i="19" s="1"/>
  <c r="AH97" i="19"/>
  <c r="AD97" i="19"/>
  <c r="AF97" i="19" s="1"/>
  <c r="AB97" i="19"/>
  <c r="AS96" i="19"/>
  <c r="AW96" i="19" s="1"/>
  <c r="AO96" i="19"/>
  <c r="AQ96" i="19" s="1"/>
  <c r="AM96" i="19"/>
  <c r="AH96" i="19"/>
  <c r="AK96" i="19" s="1"/>
  <c r="AD96" i="19"/>
  <c r="AB96" i="19"/>
  <c r="AG96" i="19" s="1"/>
  <c r="AS95" i="19"/>
  <c r="AU95" i="19" s="1"/>
  <c r="AO95" i="19"/>
  <c r="AQ95" i="19" s="1"/>
  <c r="AM95" i="19"/>
  <c r="AN95" i="19" s="1"/>
  <c r="AH95" i="19"/>
  <c r="AD95" i="19"/>
  <c r="AB95" i="19"/>
  <c r="AS94" i="19"/>
  <c r="AV94" i="19" s="1"/>
  <c r="AO94" i="19"/>
  <c r="AQ94" i="19" s="1"/>
  <c r="AM94" i="19"/>
  <c r="AN94" i="19" s="1"/>
  <c r="AH94" i="19"/>
  <c r="AK94" i="19" s="1"/>
  <c r="AD94" i="19"/>
  <c r="AF94" i="19" s="1"/>
  <c r="AB94" i="19"/>
  <c r="AS93" i="19"/>
  <c r="AO93" i="19"/>
  <c r="AQ93" i="19" s="1"/>
  <c r="AM93" i="19"/>
  <c r="AN93" i="19" s="1"/>
  <c r="AH93" i="19"/>
  <c r="AJ93" i="19" s="1"/>
  <c r="AD93" i="19"/>
  <c r="AB93" i="19"/>
  <c r="AS92" i="19"/>
  <c r="AO92" i="19"/>
  <c r="AQ92" i="19" s="1"/>
  <c r="AM92" i="19"/>
  <c r="AN92" i="19" s="1"/>
  <c r="AH92" i="19"/>
  <c r="AD92" i="19"/>
  <c r="AF92" i="19" s="1"/>
  <c r="AB92" i="19"/>
  <c r="AS91" i="19"/>
  <c r="AO91" i="19"/>
  <c r="AQ91" i="19" s="1"/>
  <c r="AM91" i="19"/>
  <c r="AN91" i="19" s="1"/>
  <c r="AH91" i="19"/>
  <c r="AJ91" i="19" s="1"/>
  <c r="AD91" i="19"/>
  <c r="AF91" i="19" s="1"/>
  <c r="AB91" i="19"/>
  <c r="AG91" i="19" s="1"/>
  <c r="AS90" i="19"/>
  <c r="AO90" i="19"/>
  <c r="AQ90" i="19" s="1"/>
  <c r="AM90" i="19"/>
  <c r="AR90" i="19" s="1"/>
  <c r="AH90" i="19"/>
  <c r="AD90" i="19"/>
  <c r="AF90" i="19" s="1"/>
  <c r="AB90" i="19"/>
  <c r="AC90" i="19" s="1"/>
  <c r="AS89" i="19"/>
  <c r="AU89" i="19" s="1"/>
  <c r="AO89" i="19"/>
  <c r="AQ89" i="19" s="1"/>
  <c r="AM89" i="19"/>
  <c r="AR89" i="19" s="1"/>
  <c r="AH89" i="19"/>
  <c r="AD89" i="19"/>
  <c r="AF89" i="19" s="1"/>
  <c r="AB89" i="19"/>
  <c r="AS88" i="19"/>
  <c r="AW88" i="19" s="1"/>
  <c r="AO88" i="19"/>
  <c r="AM88" i="19"/>
  <c r="AH88" i="19"/>
  <c r="AD88" i="19"/>
  <c r="AB88" i="19"/>
  <c r="AG88" i="19" s="1"/>
  <c r="AS87" i="19"/>
  <c r="AW87" i="19" s="1"/>
  <c r="AO87" i="19"/>
  <c r="AQ87" i="19" s="1"/>
  <c r="AM87" i="19"/>
  <c r="AH87" i="19"/>
  <c r="AD87" i="19"/>
  <c r="AF87" i="19" s="1"/>
  <c r="AB87" i="19"/>
  <c r="AC87" i="19" s="1"/>
  <c r="AS86" i="19"/>
  <c r="AO86" i="19"/>
  <c r="AQ86" i="19" s="1"/>
  <c r="AM86" i="19"/>
  <c r="AR86" i="19" s="1"/>
  <c r="AH86" i="19"/>
  <c r="AD86" i="19"/>
  <c r="AB86" i="19"/>
  <c r="AC86" i="19" s="1"/>
  <c r="AS85" i="19"/>
  <c r="AO85" i="19"/>
  <c r="AM85" i="19"/>
  <c r="AR85" i="19" s="1"/>
  <c r="AH85" i="19"/>
  <c r="AJ85" i="19" s="1"/>
  <c r="AD85" i="19"/>
  <c r="AB85" i="19"/>
  <c r="AS84" i="19"/>
  <c r="AW84" i="19" s="1"/>
  <c r="AO84" i="19"/>
  <c r="AM84" i="19"/>
  <c r="AN84" i="19" s="1"/>
  <c r="AH84" i="19"/>
  <c r="AK84" i="19" s="1"/>
  <c r="AD84" i="19"/>
  <c r="AB84" i="19"/>
  <c r="AG84" i="19" s="1"/>
  <c r="AS83" i="19"/>
  <c r="AO83" i="19"/>
  <c r="AQ83" i="19" s="1"/>
  <c r="AM83" i="19"/>
  <c r="AH83" i="19"/>
  <c r="AL83" i="19" s="1"/>
  <c r="AD83" i="19"/>
  <c r="AB83" i="19"/>
  <c r="AC83" i="19" s="1"/>
  <c r="AS82" i="19"/>
  <c r="AO82" i="19"/>
  <c r="AM82" i="19"/>
  <c r="AN82" i="19" s="1"/>
  <c r="AH82" i="19"/>
  <c r="AD82" i="19"/>
  <c r="AF82" i="19" s="1"/>
  <c r="AB82" i="19"/>
  <c r="AG82" i="19" s="1"/>
  <c r="AS81" i="19"/>
  <c r="AW81" i="19" s="1"/>
  <c r="AO81" i="19"/>
  <c r="AM81" i="19"/>
  <c r="AH81" i="19"/>
  <c r="AK81" i="19" s="1"/>
  <c r="AD81" i="19"/>
  <c r="AB81" i="19"/>
  <c r="AS80" i="19"/>
  <c r="AW80" i="19" s="1"/>
  <c r="AO80" i="19"/>
  <c r="AQ80" i="19" s="1"/>
  <c r="AM80" i="19"/>
  <c r="AR80" i="19" s="1"/>
  <c r="AH80" i="19"/>
  <c r="AD80" i="19"/>
  <c r="AB80" i="19"/>
  <c r="AS79" i="19"/>
  <c r="AW79" i="19" s="1"/>
  <c r="AO79" i="19"/>
  <c r="AQ79" i="19" s="1"/>
  <c r="AM79" i="19"/>
  <c r="AR79" i="19" s="1"/>
  <c r="AH79" i="19"/>
  <c r="AD79" i="19"/>
  <c r="AF79" i="19" s="1"/>
  <c r="AB79" i="19"/>
  <c r="AS78" i="19"/>
  <c r="AO78" i="19"/>
  <c r="AQ78" i="19" s="1"/>
  <c r="AM78" i="19"/>
  <c r="AH78" i="19"/>
  <c r="AD78" i="19"/>
  <c r="AB78" i="19"/>
  <c r="AG78" i="19" s="1"/>
  <c r="AS77" i="19"/>
  <c r="AO77" i="19"/>
  <c r="AQ77" i="19" s="1"/>
  <c r="AM77" i="19"/>
  <c r="AN77" i="19" s="1"/>
  <c r="AH77" i="19"/>
  <c r="AD77" i="19"/>
  <c r="AB77" i="19"/>
  <c r="AS76" i="19"/>
  <c r="AW76" i="19" s="1"/>
  <c r="AO76" i="19"/>
  <c r="AQ76" i="19" s="1"/>
  <c r="AM76" i="19"/>
  <c r="AN76" i="19" s="1"/>
  <c r="AH76" i="19"/>
  <c r="AK76" i="19" s="1"/>
  <c r="AD76" i="19"/>
  <c r="AF76" i="19" s="1"/>
  <c r="AB76" i="19"/>
  <c r="AS75" i="19"/>
  <c r="AO75" i="19"/>
  <c r="AQ75" i="19" s="1"/>
  <c r="AM75" i="19"/>
  <c r="AN75" i="19" s="1"/>
  <c r="AH75" i="19"/>
  <c r="AD75" i="19"/>
  <c r="AB75" i="19"/>
  <c r="AS74" i="19"/>
  <c r="AO74" i="19"/>
  <c r="AQ74" i="19" s="1"/>
  <c r="AM74" i="19"/>
  <c r="AN74" i="19" s="1"/>
  <c r="AH74" i="19"/>
  <c r="AD74" i="19"/>
  <c r="AF74" i="19" s="1"/>
  <c r="AB74" i="19"/>
  <c r="AS73" i="19"/>
  <c r="AV73" i="19" s="1"/>
  <c r="AO73" i="19"/>
  <c r="AQ73" i="19" s="1"/>
  <c r="AM73" i="19"/>
  <c r="AH73" i="19"/>
  <c r="AJ73" i="19" s="1"/>
  <c r="AD73" i="19"/>
  <c r="AB73" i="19"/>
  <c r="AG73" i="19" s="1"/>
  <c r="AS72" i="19"/>
  <c r="AU72" i="19" s="1"/>
  <c r="AO72" i="19"/>
  <c r="AQ72" i="19" s="1"/>
  <c r="AM72" i="19"/>
  <c r="AH72" i="19"/>
  <c r="AD72" i="19"/>
  <c r="AF72" i="19" s="1"/>
  <c r="AB72" i="19"/>
  <c r="AC72" i="19" s="1"/>
  <c r="AS71" i="19"/>
  <c r="AO71" i="19"/>
  <c r="AQ71" i="19" s="1"/>
  <c r="AM71" i="19"/>
  <c r="AH71" i="19"/>
  <c r="AD71" i="19"/>
  <c r="AF71" i="19" s="1"/>
  <c r="AB71" i="19"/>
  <c r="AS70" i="19"/>
  <c r="AT70" i="19" s="1"/>
  <c r="AO70" i="19"/>
  <c r="AQ70" i="19" s="1"/>
  <c r="AM70" i="19"/>
  <c r="AR70" i="19" s="1"/>
  <c r="AH70" i="19"/>
  <c r="AL70" i="19" s="1"/>
  <c r="AD70" i="19"/>
  <c r="AF70" i="19" s="1"/>
  <c r="AB70" i="19"/>
  <c r="AS69" i="19"/>
  <c r="AV69" i="19" s="1"/>
  <c r="AO69" i="19"/>
  <c r="AM69" i="19"/>
  <c r="AH69" i="19"/>
  <c r="AJ69" i="19" s="1"/>
  <c r="AD69" i="19"/>
  <c r="AF69" i="19" s="1"/>
  <c r="AB69" i="19"/>
  <c r="AS68" i="19"/>
  <c r="AT68" i="19" s="1"/>
  <c r="AO68" i="19"/>
  <c r="AM68" i="19"/>
  <c r="AN68" i="19" s="1"/>
  <c r="AH68" i="19"/>
  <c r="AD68" i="19"/>
  <c r="AF68" i="19" s="1"/>
  <c r="AB68" i="19"/>
  <c r="AC68" i="19" s="1"/>
  <c r="AS67" i="19"/>
  <c r="AV67" i="19" s="1"/>
  <c r="AO67" i="19"/>
  <c r="AQ67" i="19" s="1"/>
  <c r="AM67" i="19"/>
  <c r="AN67" i="19" s="1"/>
  <c r="AH67" i="19"/>
  <c r="AI67" i="19" s="1"/>
  <c r="AD67" i="19"/>
  <c r="AB67" i="19"/>
  <c r="AG67" i="19" s="1"/>
  <c r="AS66" i="19"/>
  <c r="AV66" i="19" s="1"/>
  <c r="AO66" i="19"/>
  <c r="AQ66" i="19" s="1"/>
  <c r="AM66" i="19"/>
  <c r="AR66" i="19" s="1"/>
  <c r="AH66" i="19"/>
  <c r="AD66" i="19"/>
  <c r="AB66" i="19"/>
  <c r="AG66" i="19" s="1"/>
  <c r="AS65" i="19"/>
  <c r="AW65" i="19" s="1"/>
  <c r="AO65" i="19"/>
  <c r="AQ65" i="19" s="1"/>
  <c r="AM65" i="19"/>
  <c r="AH65" i="19"/>
  <c r="AD65" i="19"/>
  <c r="AF65" i="19" s="1"/>
  <c r="AB65" i="19"/>
  <c r="AC65" i="19" s="1"/>
  <c r="AS64" i="19"/>
  <c r="AT64" i="19" s="1"/>
  <c r="AO64" i="19"/>
  <c r="AQ64" i="19" s="1"/>
  <c r="AM64" i="19"/>
  <c r="AH64" i="19"/>
  <c r="AL64" i="19" s="1"/>
  <c r="AD64" i="19"/>
  <c r="AF64" i="19" s="1"/>
  <c r="AB64" i="19"/>
  <c r="AS63" i="19"/>
  <c r="AO63" i="19"/>
  <c r="AQ63" i="19" s="1"/>
  <c r="AM63" i="19"/>
  <c r="AR63" i="19" s="1"/>
  <c r="AH63" i="19"/>
  <c r="AK63" i="19" s="1"/>
  <c r="AD63" i="19"/>
  <c r="AF63" i="19" s="1"/>
  <c r="AB63" i="19"/>
  <c r="AC63" i="19" s="1"/>
  <c r="AS62" i="19"/>
  <c r="AV62" i="19" s="1"/>
  <c r="AO62" i="19"/>
  <c r="AM62" i="19"/>
  <c r="AN62" i="19" s="1"/>
  <c r="AH62" i="19"/>
  <c r="AI62" i="19" s="1"/>
  <c r="AD62" i="19"/>
  <c r="AF62" i="19" s="1"/>
  <c r="AB62" i="19"/>
  <c r="AG62" i="19" s="1"/>
  <c r="AS61" i="19"/>
  <c r="AV61" i="19" s="1"/>
  <c r="AO61" i="19"/>
  <c r="AQ61" i="19" s="1"/>
  <c r="AM61" i="19"/>
  <c r="AN61" i="19" s="1"/>
  <c r="AH61" i="19"/>
  <c r="AL61" i="19" s="1"/>
  <c r="AD61" i="19"/>
  <c r="AF61" i="19" s="1"/>
  <c r="AB61" i="19"/>
  <c r="AG61" i="19" s="1"/>
  <c r="AS60" i="19"/>
  <c r="AV60" i="19" s="1"/>
  <c r="AO60" i="19"/>
  <c r="AQ60" i="19" s="1"/>
  <c r="AM60" i="19"/>
  <c r="AR60" i="19" s="1"/>
  <c r="AH60" i="19"/>
  <c r="AK60" i="19" s="1"/>
  <c r="AD60" i="19"/>
  <c r="AF60" i="19" s="1"/>
  <c r="AB60" i="19"/>
  <c r="AC60" i="19" s="1"/>
  <c r="AS59" i="19"/>
  <c r="AU59" i="19" s="1"/>
  <c r="AO59" i="19"/>
  <c r="AQ59" i="19" s="1"/>
  <c r="AM59" i="19"/>
  <c r="AN59" i="19" s="1"/>
  <c r="AH59" i="19"/>
  <c r="AI59" i="19" s="1"/>
  <c r="AD59" i="19"/>
  <c r="AF59" i="19" s="1"/>
  <c r="AB59" i="19"/>
  <c r="AC59" i="19" s="1"/>
  <c r="AS58" i="19"/>
  <c r="AT58" i="19" s="1"/>
  <c r="AO58" i="19"/>
  <c r="AQ58" i="19" s="1"/>
  <c r="AM58" i="19"/>
  <c r="AR58" i="19" s="1"/>
  <c r="AH58" i="19"/>
  <c r="AK58" i="19" s="1"/>
  <c r="AD58" i="19"/>
  <c r="AF58" i="19" s="1"/>
  <c r="AB58" i="19"/>
  <c r="AG58" i="19" s="1"/>
  <c r="AS57" i="19"/>
  <c r="AO57" i="19"/>
  <c r="AM57" i="19"/>
  <c r="AR57" i="19" s="1"/>
  <c r="AH57" i="19"/>
  <c r="AD57" i="19"/>
  <c r="AF57" i="19" s="1"/>
  <c r="AB57" i="19"/>
  <c r="AC57" i="19" s="1"/>
  <c r="AS56" i="19"/>
  <c r="AV56" i="19" s="1"/>
  <c r="AO56" i="19"/>
  <c r="AQ56" i="19" s="1"/>
  <c r="AM56" i="19"/>
  <c r="AN56" i="19" s="1"/>
  <c r="AH56" i="19"/>
  <c r="AD56" i="19"/>
  <c r="AF56" i="19" s="1"/>
  <c r="AB56" i="19"/>
  <c r="AS55" i="19"/>
  <c r="AO55" i="19"/>
  <c r="AM55" i="19"/>
  <c r="AN55" i="19" s="1"/>
  <c r="AH55" i="19"/>
  <c r="AI55" i="19" s="1"/>
  <c r="AD55" i="19"/>
  <c r="AF55" i="19" s="1"/>
  <c r="AB55" i="19"/>
  <c r="AG55" i="19" s="1"/>
  <c r="AS54" i="19"/>
  <c r="AV54" i="19" s="1"/>
  <c r="AO54" i="19"/>
  <c r="AQ54" i="19" s="1"/>
  <c r="AM54" i="19"/>
  <c r="AN54" i="19" s="1"/>
  <c r="AH54" i="19"/>
  <c r="AD54" i="19"/>
  <c r="AF54" i="19" s="1"/>
  <c r="AB54" i="19"/>
  <c r="AG54" i="19" s="1"/>
  <c r="AS53" i="19"/>
  <c r="AW53" i="19" s="1"/>
  <c r="AO53" i="19"/>
  <c r="AQ53" i="19" s="1"/>
  <c r="AM53" i="19"/>
  <c r="AR53" i="19" s="1"/>
  <c r="AH53" i="19"/>
  <c r="AD53" i="19"/>
  <c r="AF53" i="19" s="1"/>
  <c r="AB53" i="19"/>
  <c r="AC53" i="19" s="1"/>
  <c r="AS52" i="19"/>
  <c r="AT52" i="19" s="1"/>
  <c r="AO52" i="19"/>
  <c r="AQ52" i="19" s="1"/>
  <c r="AM52" i="19"/>
  <c r="AR52" i="19" s="1"/>
  <c r="AH52" i="19"/>
  <c r="AK52" i="19" s="1"/>
  <c r="AD52" i="19"/>
  <c r="AF52" i="19" s="1"/>
  <c r="AB52" i="19"/>
  <c r="AS51" i="19"/>
  <c r="AW51" i="19" s="1"/>
  <c r="AO51" i="19"/>
  <c r="AQ51" i="19" s="1"/>
  <c r="AM51" i="19"/>
  <c r="AR51" i="19" s="1"/>
  <c r="AH51" i="19"/>
  <c r="AK51" i="19" s="1"/>
  <c r="AD51" i="19"/>
  <c r="AF51" i="19" s="1"/>
  <c r="AB51" i="19"/>
  <c r="AC51" i="19" s="1"/>
  <c r="AS50" i="19"/>
  <c r="AO50" i="19"/>
  <c r="AM50" i="19"/>
  <c r="AH50" i="19"/>
  <c r="AL50" i="19" s="1"/>
  <c r="AD50" i="19"/>
  <c r="AB50" i="19"/>
  <c r="AC50" i="19" s="1"/>
  <c r="AS49" i="19"/>
  <c r="AT49" i="19" s="1"/>
  <c r="AO49" i="19"/>
  <c r="AM49" i="19"/>
  <c r="AN49" i="19" s="1"/>
  <c r="AH49" i="19"/>
  <c r="AL49" i="19" s="1"/>
  <c r="AD49" i="19"/>
  <c r="AF49" i="19" s="1"/>
  <c r="AB49" i="19"/>
  <c r="AS48" i="19"/>
  <c r="AT48" i="19" s="1"/>
  <c r="AO48" i="19"/>
  <c r="AQ48" i="19" s="1"/>
  <c r="AM48" i="19"/>
  <c r="AN48" i="19" s="1"/>
  <c r="AH48" i="19"/>
  <c r="AK48" i="19" s="1"/>
  <c r="AD48" i="19"/>
  <c r="AB48" i="19"/>
  <c r="AS47" i="19"/>
  <c r="AW47" i="19" s="1"/>
  <c r="AO47" i="19"/>
  <c r="AQ47" i="19" s="1"/>
  <c r="AM47" i="19"/>
  <c r="AH47" i="19"/>
  <c r="AL47" i="19" s="1"/>
  <c r="AD47" i="19"/>
  <c r="AB47" i="19"/>
  <c r="AC47" i="19" s="1"/>
  <c r="AS46" i="19"/>
  <c r="AT46" i="19" s="1"/>
  <c r="AO46" i="19"/>
  <c r="AQ46" i="19" s="1"/>
  <c r="AM46" i="19"/>
  <c r="AR46" i="19" s="1"/>
  <c r="AH46" i="19"/>
  <c r="AL46" i="19" s="1"/>
  <c r="AD46" i="19"/>
  <c r="AF46" i="19" s="1"/>
  <c r="AB46" i="19"/>
  <c r="AG46" i="19" s="1"/>
  <c r="AS45" i="19"/>
  <c r="AW45" i="19" s="1"/>
  <c r="AO45" i="19"/>
  <c r="AQ45" i="19" s="1"/>
  <c r="AM45" i="19"/>
  <c r="AR45" i="19" s="1"/>
  <c r="AH45" i="19"/>
  <c r="AJ45" i="19" s="1"/>
  <c r="AD45" i="19"/>
  <c r="AB45" i="19"/>
  <c r="AS44" i="19"/>
  <c r="AO44" i="19"/>
  <c r="AM44" i="19"/>
  <c r="AN44" i="19" s="1"/>
  <c r="AH44" i="19"/>
  <c r="AI44" i="19" s="1"/>
  <c r="AD44" i="19"/>
  <c r="AF44" i="19" s="1"/>
  <c r="AB44" i="19"/>
  <c r="AC44" i="19" s="1"/>
  <c r="AS43" i="19"/>
  <c r="AW43" i="19" s="1"/>
  <c r="AO43" i="19"/>
  <c r="AQ43" i="19" s="1"/>
  <c r="AM43" i="19"/>
  <c r="AN43" i="19" s="1"/>
  <c r="AH43" i="19"/>
  <c r="AL43" i="19" s="1"/>
  <c r="AD43" i="19"/>
  <c r="AB43" i="19"/>
  <c r="AS42" i="19"/>
  <c r="AV42" i="19" s="1"/>
  <c r="AO42" i="19"/>
  <c r="AQ42" i="19" s="1"/>
  <c r="AM42" i="19"/>
  <c r="AH42" i="19"/>
  <c r="AK42" i="19" s="1"/>
  <c r="AD42" i="19"/>
  <c r="AF42" i="19" s="1"/>
  <c r="AB42" i="19"/>
  <c r="AG42" i="19" s="1"/>
  <c r="AS41" i="19"/>
  <c r="AO41" i="19"/>
  <c r="AQ41" i="19" s="1"/>
  <c r="AM41" i="19"/>
  <c r="AR41" i="19" s="1"/>
  <c r="AH41" i="19"/>
  <c r="AL41" i="19" s="1"/>
  <c r="AD41" i="19"/>
  <c r="AB41" i="19"/>
  <c r="AC41" i="19" s="1"/>
  <c r="AS40" i="19"/>
  <c r="AT40" i="19" s="1"/>
  <c r="AO40" i="19"/>
  <c r="AQ40" i="19" s="1"/>
  <c r="AM40" i="19"/>
  <c r="AH40" i="19"/>
  <c r="AJ40" i="19" s="1"/>
  <c r="AD40" i="19"/>
  <c r="AF40" i="19" s="1"/>
  <c r="AB40" i="19"/>
  <c r="AC40" i="19" s="1"/>
  <c r="AS39" i="19"/>
  <c r="AW39" i="19" s="1"/>
  <c r="AO39" i="19"/>
  <c r="AM39" i="19"/>
  <c r="AR39" i="19" s="1"/>
  <c r="AH39" i="19"/>
  <c r="AD39" i="19"/>
  <c r="AF39" i="19" s="1"/>
  <c r="AB39" i="19"/>
  <c r="AC39" i="19" s="1"/>
  <c r="AS38" i="19"/>
  <c r="AO38" i="19"/>
  <c r="AM38" i="19"/>
  <c r="AN38" i="19" s="1"/>
  <c r="AH38" i="19"/>
  <c r="AI38" i="19" s="1"/>
  <c r="AD38" i="19"/>
  <c r="AF38" i="19" s="1"/>
  <c r="AB38" i="19"/>
  <c r="AG38" i="19" s="1"/>
  <c r="AS37" i="19"/>
  <c r="AV37" i="19" s="1"/>
  <c r="AO37" i="19"/>
  <c r="AQ37" i="19" s="1"/>
  <c r="AM37" i="19"/>
  <c r="AN37" i="19" s="1"/>
  <c r="AH37" i="19"/>
  <c r="AL37" i="19" s="1"/>
  <c r="AD37" i="19"/>
  <c r="AB37" i="19"/>
  <c r="AG37" i="19" s="1"/>
  <c r="AS36" i="19"/>
  <c r="AV36" i="19" s="1"/>
  <c r="AO36" i="19"/>
  <c r="AM36" i="19"/>
  <c r="AR36" i="19" s="1"/>
  <c r="AH36" i="19"/>
  <c r="AI36" i="19" s="1"/>
  <c r="AD36" i="19"/>
  <c r="AF36" i="19" s="1"/>
  <c r="AB36" i="19"/>
  <c r="AC36" i="19" s="1"/>
  <c r="AS35" i="19"/>
  <c r="AW35" i="19" s="1"/>
  <c r="AO35" i="19"/>
  <c r="AQ35" i="19" s="1"/>
  <c r="AM35" i="19"/>
  <c r="AR35" i="19" s="1"/>
  <c r="AH35" i="19"/>
  <c r="AI35" i="19" s="1"/>
  <c r="AD35" i="19"/>
  <c r="AF35" i="19" s="1"/>
  <c r="AB35" i="19"/>
  <c r="AS34" i="19"/>
  <c r="AT34" i="19" s="1"/>
  <c r="AO34" i="19"/>
  <c r="AQ34" i="19" s="1"/>
  <c r="AM34" i="19"/>
  <c r="AR34" i="19" s="1"/>
  <c r="AH34" i="19"/>
  <c r="AL34" i="19" s="1"/>
  <c r="AD34" i="19"/>
  <c r="AF34" i="19" s="1"/>
  <c r="AB34" i="19"/>
  <c r="AG34" i="19" s="1"/>
  <c r="AS33" i="19"/>
  <c r="AW33" i="19" s="1"/>
  <c r="AO33" i="19"/>
  <c r="AQ33" i="19" s="1"/>
  <c r="AM33" i="19"/>
  <c r="AH33" i="19"/>
  <c r="AK33" i="19" s="1"/>
  <c r="AD33" i="19"/>
  <c r="AF33" i="19" s="1"/>
  <c r="AB33" i="19"/>
  <c r="AG33" i="19" s="1"/>
  <c r="AS32" i="19"/>
  <c r="AU32" i="19" s="1"/>
  <c r="AO32" i="19"/>
  <c r="AM32" i="19"/>
  <c r="AN32" i="19" s="1"/>
  <c r="AH32" i="19"/>
  <c r="AD32" i="19"/>
  <c r="AF32" i="19" s="1"/>
  <c r="AB32" i="19"/>
  <c r="AC32" i="19" s="1"/>
  <c r="AS31" i="19"/>
  <c r="AW31" i="19" s="1"/>
  <c r="AO31" i="19"/>
  <c r="AM31" i="19"/>
  <c r="AR31" i="19" s="1"/>
  <c r="AH31" i="19"/>
  <c r="AD31" i="19"/>
  <c r="AF31" i="19" s="1"/>
  <c r="AB31" i="19"/>
  <c r="AG31" i="19" s="1"/>
  <c r="AS30" i="19"/>
  <c r="AV30" i="19" s="1"/>
  <c r="AO30" i="19"/>
  <c r="AQ30" i="19" s="1"/>
  <c r="AM30" i="19"/>
  <c r="AR30" i="19" s="1"/>
  <c r="AH30" i="19"/>
  <c r="AJ30" i="19" s="1"/>
  <c r="AD30" i="19"/>
  <c r="AF30" i="19" s="1"/>
  <c r="AB30" i="19"/>
  <c r="AG30" i="19" s="1"/>
  <c r="AS29" i="19"/>
  <c r="AU29" i="19" s="1"/>
  <c r="AO29" i="19"/>
  <c r="AQ29" i="19" s="1"/>
  <c r="AM29" i="19"/>
  <c r="AN29" i="19" s="1"/>
  <c r="AH29" i="19"/>
  <c r="AD29" i="19"/>
  <c r="AF29" i="19" s="1"/>
  <c r="AB29" i="19"/>
  <c r="AC29" i="19" s="1"/>
  <c r="AS28" i="19"/>
  <c r="AT28" i="19" s="1"/>
  <c r="AO28" i="19"/>
  <c r="AM28" i="19"/>
  <c r="AR28" i="19" s="1"/>
  <c r="AH28" i="19"/>
  <c r="AJ28" i="19" s="1"/>
  <c r="AD28" i="19"/>
  <c r="AF28" i="19" s="1"/>
  <c r="AB28" i="19"/>
  <c r="AG28" i="19" s="1"/>
  <c r="AS27" i="19"/>
  <c r="AT27" i="19" s="1"/>
  <c r="AO27" i="19"/>
  <c r="AM27" i="19"/>
  <c r="AH27" i="19"/>
  <c r="AK27" i="19" s="1"/>
  <c r="AD27" i="19"/>
  <c r="AF27" i="19" s="1"/>
  <c r="AB27" i="19"/>
  <c r="AS26" i="19"/>
  <c r="AU26" i="19" s="1"/>
  <c r="AO26" i="19"/>
  <c r="AQ26" i="19" s="1"/>
  <c r="AM26" i="19"/>
  <c r="AH26" i="19"/>
  <c r="AD26" i="19"/>
  <c r="AB26" i="19"/>
  <c r="AS25" i="19"/>
  <c r="AW25" i="19" s="1"/>
  <c r="AO25" i="19"/>
  <c r="AQ25" i="19" s="1"/>
  <c r="AM25" i="19"/>
  <c r="AN25" i="19" s="1"/>
  <c r="AH25" i="19"/>
  <c r="AD25" i="19"/>
  <c r="AF25" i="19" s="1"/>
  <c r="AB25" i="19"/>
  <c r="AG25" i="19" s="1"/>
  <c r="AS24" i="19"/>
  <c r="AW24" i="19" s="1"/>
  <c r="AO24" i="19"/>
  <c r="AQ24" i="19" s="1"/>
  <c r="AM24" i="19"/>
  <c r="AN24" i="19" s="1"/>
  <c r="AH24" i="19"/>
  <c r="AD24" i="19"/>
  <c r="AF24" i="19" s="1"/>
  <c r="AB24" i="19"/>
  <c r="AS23" i="19"/>
  <c r="AT23" i="19" s="1"/>
  <c r="AO23" i="19"/>
  <c r="AQ23" i="19" s="1"/>
  <c r="AM23" i="19"/>
  <c r="AR23" i="19" s="1"/>
  <c r="AH23" i="19"/>
  <c r="AD23" i="19"/>
  <c r="AF23" i="19" s="1"/>
  <c r="AB23" i="19"/>
  <c r="AG23" i="19" s="1"/>
  <c r="AS22" i="19"/>
  <c r="AW22" i="19" s="1"/>
  <c r="AO22" i="19"/>
  <c r="AQ22" i="19" s="1"/>
  <c r="AM22" i="19"/>
  <c r="AR22" i="19" s="1"/>
  <c r="AH22" i="19"/>
  <c r="AD22" i="19"/>
  <c r="AF22" i="19" s="1"/>
  <c r="AB22" i="19"/>
  <c r="AS21" i="19"/>
  <c r="AU21" i="19" s="1"/>
  <c r="AO21" i="19"/>
  <c r="AQ21" i="19" s="1"/>
  <c r="AM21" i="19"/>
  <c r="AN21" i="19" s="1"/>
  <c r="AH21" i="19"/>
  <c r="AD21" i="19"/>
  <c r="AF21" i="19" s="1"/>
  <c r="AB21" i="19"/>
  <c r="AS20" i="19"/>
  <c r="AW20" i="19" s="1"/>
  <c r="AO20" i="19"/>
  <c r="AQ20" i="19" s="1"/>
  <c r="AM20" i="19"/>
  <c r="AH20" i="19"/>
  <c r="AL20" i="19" s="1"/>
  <c r="AD20" i="19"/>
  <c r="AB20" i="19"/>
  <c r="AG20" i="19" s="1"/>
  <c r="AS19" i="19"/>
  <c r="AW19" i="19" s="1"/>
  <c r="AO19" i="19"/>
  <c r="AQ19" i="19" s="1"/>
  <c r="AM19" i="19"/>
  <c r="AR19" i="19" s="1"/>
  <c r="AH19" i="19"/>
  <c r="AD19" i="19"/>
  <c r="AF19" i="19" s="1"/>
  <c r="AB19" i="19"/>
  <c r="AC19" i="19" s="1"/>
  <c r="AS18" i="19"/>
  <c r="AW18" i="19" s="1"/>
  <c r="AO18" i="19"/>
  <c r="AQ18" i="19" s="1"/>
  <c r="AM18" i="19"/>
  <c r="AN18" i="19" s="1"/>
  <c r="AH18" i="19"/>
  <c r="AD18" i="19"/>
  <c r="AF18" i="19" s="1"/>
  <c r="AB18" i="19"/>
  <c r="AC18" i="19" s="1"/>
  <c r="AS17" i="19"/>
  <c r="AW17" i="19" s="1"/>
  <c r="AO17" i="19"/>
  <c r="AQ17" i="19" s="1"/>
  <c r="AM17" i="19"/>
  <c r="AN17" i="19" s="1"/>
  <c r="AH17" i="19"/>
  <c r="AL17" i="19" s="1"/>
  <c r="AD17" i="19"/>
  <c r="AF17" i="19" s="1"/>
  <c r="AB17" i="19"/>
  <c r="AG17" i="19" s="1"/>
  <c r="AS16" i="19"/>
  <c r="AT16" i="19" s="1"/>
  <c r="AO16" i="19"/>
  <c r="AQ16" i="19" s="1"/>
  <c r="AM16" i="19"/>
  <c r="AR16" i="19" s="1"/>
  <c r="AH16" i="19"/>
  <c r="AK16" i="19" s="1"/>
  <c r="AD16" i="19"/>
  <c r="AB16" i="19"/>
  <c r="AG16" i="19" s="1"/>
  <c r="AS15" i="19"/>
  <c r="AU15" i="19" s="1"/>
  <c r="AO15" i="19"/>
  <c r="AQ15" i="19" s="1"/>
  <c r="AM15" i="19"/>
  <c r="AH15" i="19"/>
  <c r="AD15" i="19"/>
  <c r="AB15" i="19"/>
  <c r="AS14" i="19"/>
  <c r="AW14" i="19" s="1"/>
  <c r="AO14" i="19"/>
  <c r="AQ14" i="19" s="1"/>
  <c r="AM14" i="19"/>
  <c r="AH14" i="19"/>
  <c r="AL14" i="19" s="1"/>
  <c r="AD14" i="19"/>
  <c r="AF14" i="19" s="1"/>
  <c r="AB14" i="19"/>
  <c r="AG14" i="19" s="1"/>
  <c r="AS13" i="19"/>
  <c r="AW13" i="19" s="1"/>
  <c r="AO13" i="19"/>
  <c r="AQ13" i="19" s="1"/>
  <c r="AM13" i="19"/>
  <c r="AR13" i="19" s="1"/>
  <c r="AH13" i="19"/>
  <c r="AD13" i="19"/>
  <c r="AF13" i="19" s="1"/>
  <c r="AB13" i="19"/>
  <c r="AC13" i="19" s="1"/>
  <c r="AS12" i="19"/>
  <c r="AW12" i="19" s="1"/>
  <c r="AO12" i="19"/>
  <c r="AQ12" i="19" s="1"/>
  <c r="AM12" i="19"/>
  <c r="AN12" i="19" s="1"/>
  <c r="AH12" i="19"/>
  <c r="AD12" i="19"/>
  <c r="AF12" i="19" s="1"/>
  <c r="AB12" i="19"/>
  <c r="AC12" i="19" s="1"/>
  <c r="AS11" i="19"/>
  <c r="AW11" i="19" s="1"/>
  <c r="AO11" i="19"/>
  <c r="AQ11" i="19" s="1"/>
  <c r="AM11" i="19"/>
  <c r="AN11" i="19" s="1"/>
  <c r="AH11" i="19"/>
  <c r="AL11" i="19" s="1"/>
  <c r="AD11" i="19"/>
  <c r="AF11" i="19" s="1"/>
  <c r="AB11" i="19"/>
  <c r="AG11" i="19" s="1"/>
  <c r="AS10" i="19"/>
  <c r="AT10" i="19" s="1"/>
  <c r="AO10" i="19"/>
  <c r="AQ10" i="19" s="1"/>
  <c r="AM10" i="19"/>
  <c r="AR10" i="19" s="1"/>
  <c r="AH10" i="19"/>
  <c r="AK10" i="19" s="1"/>
  <c r="AD10" i="19"/>
  <c r="AB10" i="19"/>
  <c r="AG10" i="19" s="1"/>
  <c r="AS9" i="19"/>
  <c r="AU9" i="19" s="1"/>
  <c r="AO9" i="19"/>
  <c r="AQ9" i="19" s="1"/>
  <c r="AM9" i="19"/>
  <c r="AH9" i="19"/>
  <c r="AL9" i="19" s="1"/>
  <c r="AD9" i="19"/>
  <c r="AF9" i="19" s="1"/>
  <c r="AB9" i="19"/>
  <c r="AS8" i="19"/>
  <c r="AV8" i="19" s="1"/>
  <c r="AO8" i="19"/>
  <c r="AQ8" i="19" s="1"/>
  <c r="AM8" i="19"/>
  <c r="AH8" i="19"/>
  <c r="AL8" i="19" s="1"/>
  <c r="AD8" i="19"/>
  <c r="AF8" i="19" s="1"/>
  <c r="AB8" i="19"/>
  <c r="AT519" i="19" l="1"/>
  <c r="AV519" i="19" s="1"/>
  <c r="AG520" i="19"/>
  <c r="AG519" i="19"/>
  <c r="AG518" i="19"/>
  <c r="AT518" i="19"/>
  <c r="AU518" i="19" s="1"/>
  <c r="AW518" i="19" s="1"/>
  <c r="AT517" i="19"/>
  <c r="AU517" i="19" s="1"/>
  <c r="AW517" i="19" s="1"/>
  <c r="AE517" i="19"/>
  <c r="M518" i="19"/>
  <c r="N518" i="19" s="1"/>
  <c r="X518" i="19"/>
  <c r="Z518" i="19" s="1"/>
  <c r="AI519" i="19"/>
  <c r="AK519" i="19" s="1"/>
  <c r="AI518" i="19"/>
  <c r="AK518" i="19" s="1"/>
  <c r="I520" i="19"/>
  <c r="AV516" i="19"/>
  <c r="AU516" i="19"/>
  <c r="AW516" i="19" s="1"/>
  <c r="AP516" i="19"/>
  <c r="AR516" i="19" s="1"/>
  <c r="AJ517" i="19"/>
  <c r="I518" i="19"/>
  <c r="AJ521" i="19"/>
  <c r="X519" i="19"/>
  <c r="Z519" i="19" s="1"/>
  <c r="T519" i="19"/>
  <c r="V519" i="19" s="1"/>
  <c r="AI520" i="19"/>
  <c r="AK520" i="19" s="1"/>
  <c r="AE521" i="19"/>
  <c r="I521" i="19"/>
  <c r="I519" i="19"/>
  <c r="M517" i="19"/>
  <c r="O517" i="19" s="1"/>
  <c r="I517" i="19"/>
  <c r="R517" i="19"/>
  <c r="M516" i="19"/>
  <c r="O516" i="19" s="1"/>
  <c r="I516" i="19"/>
  <c r="R516" i="19"/>
  <c r="T521" i="19"/>
  <c r="V521" i="19" s="1"/>
  <c r="X521" i="19"/>
  <c r="Z521" i="19" s="1"/>
  <c r="AP520" i="19"/>
  <c r="AR520" i="19" s="1"/>
  <c r="AT520" i="19"/>
  <c r="AV520" i="19" s="1"/>
  <c r="M521" i="19"/>
  <c r="O521" i="19" s="1"/>
  <c r="AP521" i="19"/>
  <c r="AR521" i="19" s="1"/>
  <c r="AT521" i="19"/>
  <c r="X520" i="19"/>
  <c r="Z520" i="19" s="1"/>
  <c r="T520" i="19"/>
  <c r="V520" i="19" s="1"/>
  <c r="M519" i="19"/>
  <c r="M520" i="19"/>
  <c r="O520" i="19" s="1"/>
  <c r="AI516" i="19"/>
  <c r="AK516" i="19" s="1"/>
  <c r="AE516" i="19"/>
  <c r="AV110" i="19"/>
  <c r="AT194" i="19"/>
  <c r="AT226" i="19"/>
  <c r="AC46" i="19"/>
  <c r="AE46" i="19" s="1"/>
  <c r="AP54" i="19"/>
  <c r="AG159" i="19"/>
  <c r="AU202" i="19"/>
  <c r="AU413" i="19"/>
  <c r="AI436" i="19"/>
  <c r="AE32" i="19"/>
  <c r="AW110" i="19"/>
  <c r="AI128" i="19"/>
  <c r="AJ172" i="19"/>
  <c r="AJ248" i="19"/>
  <c r="AI467" i="19"/>
  <c r="AG53" i="19"/>
  <c r="AR110" i="19"/>
  <c r="AK248" i="19"/>
  <c r="AJ84" i="19"/>
  <c r="AN159" i="19"/>
  <c r="AP159" i="19" s="1"/>
  <c r="AJ202" i="19"/>
  <c r="AT202" i="19"/>
  <c r="AK250" i="19"/>
  <c r="AT250" i="19"/>
  <c r="AT273" i="19"/>
  <c r="AJ564" i="19"/>
  <c r="AT581" i="19"/>
  <c r="AJ44" i="19"/>
  <c r="AI64" i="19"/>
  <c r="AT124" i="19"/>
  <c r="AV126" i="19"/>
  <c r="AJ128" i="19"/>
  <c r="AT170" i="19"/>
  <c r="AL172" i="19"/>
  <c r="AU273" i="19"/>
  <c r="AW451" i="19"/>
  <c r="AL481" i="19"/>
  <c r="AV581" i="19"/>
  <c r="AK41" i="19"/>
  <c r="AK44" i="19"/>
  <c r="AR44" i="19"/>
  <c r="AJ46" i="19"/>
  <c r="AK55" i="19"/>
  <c r="AJ64" i="19"/>
  <c r="AP76" i="19"/>
  <c r="AI84" i="19"/>
  <c r="AR84" i="19"/>
  <c r="AN86" i="19"/>
  <c r="AP86" i="19" s="1"/>
  <c r="AR111" i="19"/>
  <c r="AV124" i="19"/>
  <c r="AG125" i="19"/>
  <c r="AW126" i="19"/>
  <c r="AP142" i="19"/>
  <c r="AW159" i="19"/>
  <c r="AU170" i="19"/>
  <c r="AK210" i="19"/>
  <c r="AE39" i="19"/>
  <c r="AL44" i="19"/>
  <c r="AR68" i="19"/>
  <c r="AG87" i="19"/>
  <c r="AU226" i="19"/>
  <c r="AU250" i="19"/>
  <c r="AJ441" i="19"/>
  <c r="AK473" i="19"/>
  <c r="AC582" i="19"/>
  <c r="AE582" i="19" s="1"/>
  <c r="AN584" i="19"/>
  <c r="AP584" i="19" s="1"/>
  <c r="AT20" i="19"/>
  <c r="AT45" i="19"/>
  <c r="AI51" i="19"/>
  <c r="AN51" i="19"/>
  <c r="AP51" i="19" s="1"/>
  <c r="AT76" i="19"/>
  <c r="AT102" i="19"/>
  <c r="AU154" i="19"/>
  <c r="AJ201" i="19"/>
  <c r="AT222" i="19"/>
  <c r="AT231" i="19"/>
  <c r="AJ251" i="19"/>
  <c r="AI252" i="19"/>
  <c r="AL276" i="19"/>
  <c r="AJ435" i="19"/>
  <c r="AW439" i="19"/>
  <c r="AC441" i="19"/>
  <c r="AE441" i="19" s="1"/>
  <c r="AT25" i="19"/>
  <c r="AT13" i="19"/>
  <c r="AU20" i="19"/>
  <c r="AU25" i="19"/>
  <c r="AJ27" i="19"/>
  <c r="AR29" i="19"/>
  <c r="AW30" i="19"/>
  <c r="AV39" i="19"/>
  <c r="AE41" i="19"/>
  <c r="AG44" i="19"/>
  <c r="AU45" i="19"/>
  <c r="AW49" i="19"/>
  <c r="AJ51" i="19"/>
  <c r="AN57" i="19"/>
  <c r="AP57" i="19" s="1"/>
  <c r="AW61" i="19"/>
  <c r="AW62" i="19"/>
  <c r="AU70" i="19"/>
  <c r="AU76" i="19"/>
  <c r="AV96" i="19"/>
  <c r="AV99" i="19"/>
  <c r="AL100" i="19"/>
  <c r="AW154" i="19"/>
  <c r="AJ216" i="19"/>
  <c r="AU222" i="19"/>
  <c r="AK223" i="19"/>
  <c r="AU231" i="19"/>
  <c r="AT282" i="19"/>
  <c r="AU283" i="19"/>
  <c r="AT442" i="19"/>
  <c r="AJ467" i="19"/>
  <c r="AL473" i="19"/>
  <c r="AK480" i="19"/>
  <c r="AL499" i="19"/>
  <c r="AW503" i="19"/>
  <c r="AV568" i="19"/>
  <c r="AU573" i="19"/>
  <c r="AN582" i="19"/>
  <c r="AP582" i="19" s="1"/>
  <c r="AR583" i="19"/>
  <c r="AL76" i="19"/>
  <c r="AU96" i="19"/>
  <c r="AV149" i="19"/>
  <c r="AU19" i="19"/>
  <c r="AU13" i="19"/>
  <c r="AG18" i="19"/>
  <c r="AV24" i="19"/>
  <c r="AI46" i="19"/>
  <c r="AG51" i="19"/>
  <c r="AL51" i="19"/>
  <c r="AV70" i="19"/>
  <c r="AL91" i="19"/>
  <c r="AN143" i="19"/>
  <c r="AP143" i="19" s="1"/>
  <c r="AL148" i="19"/>
  <c r="AE154" i="19"/>
  <c r="AL216" i="19"/>
  <c r="AW249" i="19"/>
  <c r="AU282" i="19"/>
  <c r="AC431" i="19"/>
  <c r="AE431" i="19" s="1"/>
  <c r="AU442" i="19"/>
  <c r="AN563" i="19"/>
  <c r="AP563" i="19" s="1"/>
  <c r="AV570" i="19"/>
  <c r="AW581" i="19"/>
  <c r="AW489" i="19"/>
  <c r="AV427" i="19"/>
  <c r="AU427" i="19"/>
  <c r="AT467" i="19"/>
  <c r="AV467" i="19"/>
  <c r="AN19" i="19"/>
  <c r="AP19" i="19" s="1"/>
  <c r="AI37" i="19"/>
  <c r="AL58" i="19"/>
  <c r="AJ62" i="19"/>
  <c r="AL63" i="19"/>
  <c r="AU67" i="19"/>
  <c r="AN70" i="19"/>
  <c r="AP70" i="19" s="1"/>
  <c r="AC84" i="19"/>
  <c r="AE84" i="19" s="1"/>
  <c r="AN123" i="19"/>
  <c r="AP123" i="19" s="1"/>
  <c r="AP124" i="19"/>
  <c r="AV128" i="19"/>
  <c r="AN154" i="19"/>
  <c r="AP154" i="19" s="1"/>
  <c r="AR155" i="19"/>
  <c r="AN155" i="19"/>
  <c r="AP155" i="19" s="1"/>
  <c r="AW199" i="19"/>
  <c r="AU199" i="19"/>
  <c r="AW206" i="19"/>
  <c r="AW209" i="19"/>
  <c r="AU209" i="19"/>
  <c r="AT209" i="19"/>
  <c r="AT407" i="19"/>
  <c r="AW407" i="19"/>
  <c r="AV407" i="19"/>
  <c r="AC444" i="19"/>
  <c r="AE444" i="19" s="1"/>
  <c r="AG444" i="19"/>
  <c r="AW448" i="19"/>
  <c r="AT448" i="19"/>
  <c r="AT453" i="19"/>
  <c r="AU453" i="19"/>
  <c r="AT459" i="19"/>
  <c r="AV459" i="19"/>
  <c r="AU459" i="19"/>
  <c r="AP12" i="19"/>
  <c r="AP17" i="19"/>
  <c r="AN23" i="19"/>
  <c r="AP23" i="19" s="1"/>
  <c r="AV25" i="19"/>
  <c r="AJ37" i="19"/>
  <c r="AR37" i="19"/>
  <c r="AT39" i="19"/>
  <c r="AI41" i="19"/>
  <c r="AN41" i="19"/>
  <c r="AP41" i="19" s="1"/>
  <c r="AC42" i="19"/>
  <c r="AE42" i="19" s="1"/>
  <c r="AV45" i="19"/>
  <c r="AK46" i="19"/>
  <c r="AJ49" i="19"/>
  <c r="AG50" i="19"/>
  <c r="AR54" i="19"/>
  <c r="AE59" i="19"/>
  <c r="AK62" i="19"/>
  <c r="AR62" i="19"/>
  <c r="AK64" i="19"/>
  <c r="AW67" i="19"/>
  <c r="AT72" i="19"/>
  <c r="AP75" i="19"/>
  <c r="AU81" i="19"/>
  <c r="AR91" i="19"/>
  <c r="AN128" i="19"/>
  <c r="AP128" i="19" s="1"/>
  <c r="AT144" i="19"/>
  <c r="AG145" i="19"/>
  <c r="AT147" i="19"/>
  <c r="AG148" i="19"/>
  <c r="AG152" i="19"/>
  <c r="AQ154" i="19"/>
  <c r="AV157" i="19"/>
  <c r="AW157" i="19"/>
  <c r="AU157" i="19"/>
  <c r="AI197" i="19"/>
  <c r="AL197" i="19"/>
  <c r="AJ199" i="19"/>
  <c r="AT199" i="19"/>
  <c r="AW205" i="19"/>
  <c r="AT205" i="19"/>
  <c r="AJ212" i="19"/>
  <c r="AW220" i="19"/>
  <c r="AU220" i="19"/>
  <c r="AT220" i="19"/>
  <c r="AL407" i="19"/>
  <c r="AI407" i="19"/>
  <c r="AV428" i="19"/>
  <c r="AW428" i="19"/>
  <c r="AT428" i="19"/>
  <c r="AK437" i="19"/>
  <c r="AJ437" i="19"/>
  <c r="AR442" i="19"/>
  <c r="AN442" i="19"/>
  <c r="AP442" i="19" s="1"/>
  <c r="AK448" i="19"/>
  <c r="AJ448" i="19"/>
  <c r="AJ465" i="19"/>
  <c r="AK465" i="19"/>
  <c r="AT469" i="19"/>
  <c r="AW469" i="19"/>
  <c r="AL492" i="19"/>
  <c r="AJ492" i="19"/>
  <c r="AP581" i="19"/>
  <c r="AQ581" i="19"/>
  <c r="AL446" i="19"/>
  <c r="AJ446" i="19"/>
  <c r="AI446" i="19"/>
  <c r="AW23" i="19"/>
  <c r="AC38" i="19"/>
  <c r="AE38" i="19" s="1"/>
  <c r="AP43" i="19"/>
  <c r="AK47" i="19"/>
  <c r="AI49" i="19"/>
  <c r="AJ52" i="19"/>
  <c r="AC55" i="19"/>
  <c r="AE55" i="19" s="1"/>
  <c r="AK37" i="19"/>
  <c r="AU39" i="19"/>
  <c r="AJ41" i="19"/>
  <c r="AK49" i="19"/>
  <c r="AL62" i="19"/>
  <c r="AG63" i="19"/>
  <c r="AR74" i="19"/>
  <c r="AR77" i="19"/>
  <c r="AG83" i="19"/>
  <c r="AV144" i="19"/>
  <c r="AU147" i="19"/>
  <c r="AE153" i="19"/>
  <c r="AK154" i="19"/>
  <c r="AL154" i="19"/>
  <c r="AK181" i="19"/>
  <c r="AJ181" i="19"/>
  <c r="AW431" i="19"/>
  <c r="AV431" i="19"/>
  <c r="AT449" i="19"/>
  <c r="AV449" i="19"/>
  <c r="AU449" i="19"/>
  <c r="AJ468" i="19"/>
  <c r="AI468" i="19"/>
  <c r="AW564" i="19"/>
  <c r="AV564" i="19"/>
  <c r="AG573" i="19"/>
  <c r="AC573" i="19"/>
  <c r="AE573" i="19" s="1"/>
  <c r="AE581" i="19"/>
  <c r="AF581" i="19"/>
  <c r="AW282" i="19"/>
  <c r="AW283" i="19"/>
  <c r="AV413" i="19"/>
  <c r="AK435" i="19"/>
  <c r="AE563" i="19"/>
  <c r="AK244" i="19"/>
  <c r="AL269" i="19"/>
  <c r="AW277" i="19"/>
  <c r="AT408" i="19"/>
  <c r="AV417" i="19"/>
  <c r="AU423" i="19"/>
  <c r="AI424" i="19"/>
  <c r="AJ443" i="19"/>
  <c r="AJ464" i="19"/>
  <c r="AT501" i="19"/>
  <c r="AU505" i="19"/>
  <c r="AN564" i="19"/>
  <c r="AP564" i="19" s="1"/>
  <c r="AN569" i="19"/>
  <c r="AP569" i="19" s="1"/>
  <c r="AT572" i="19"/>
  <c r="AI578" i="19"/>
  <c r="AL579" i="19"/>
  <c r="AK583" i="19"/>
  <c r="AN157" i="19"/>
  <c r="AP157" i="19" s="1"/>
  <c r="AI172" i="19"/>
  <c r="AI175" i="19"/>
  <c r="AI202" i="19"/>
  <c r="AJ210" i="19"/>
  <c r="AJ416" i="19"/>
  <c r="AK424" i="19"/>
  <c r="AU439" i="19"/>
  <c r="AP441" i="19"/>
  <c r="AC443" i="19"/>
  <c r="AE443" i="19" s="1"/>
  <c r="AK443" i="19"/>
  <c r="AJ480" i="19"/>
  <c r="AT495" i="19"/>
  <c r="AK500" i="19"/>
  <c r="AU501" i="19"/>
  <c r="AV505" i="19"/>
  <c r="AV563" i="19"/>
  <c r="AI564" i="19"/>
  <c r="AK567" i="19"/>
  <c r="AG569" i="19"/>
  <c r="AW571" i="19"/>
  <c r="AU572" i="19"/>
  <c r="AT573" i="19"/>
  <c r="AE576" i="19"/>
  <c r="AP579" i="19"/>
  <c r="AW106" i="19"/>
  <c r="AV106" i="19"/>
  <c r="AU106" i="19"/>
  <c r="AN126" i="19"/>
  <c r="AP126" i="19" s="1"/>
  <c r="AR126" i="19"/>
  <c r="AR127" i="19"/>
  <c r="AN127" i="19"/>
  <c r="AP127" i="19" s="1"/>
  <c r="AU129" i="19"/>
  <c r="AW129" i="19"/>
  <c r="AV129" i="19"/>
  <c r="AR153" i="19"/>
  <c r="AN153" i="19"/>
  <c r="AP153" i="19" s="1"/>
  <c r="AW235" i="19"/>
  <c r="AU235" i="19"/>
  <c r="AT235" i="19"/>
  <c r="AL469" i="19"/>
  <c r="AI469" i="19"/>
  <c r="AT494" i="19"/>
  <c r="AV494" i="19"/>
  <c r="AN13" i="19"/>
  <c r="AP13" i="19" s="1"/>
  <c r="AC25" i="19"/>
  <c r="AE25" i="19" s="1"/>
  <c r="AG32" i="19"/>
  <c r="AP38" i="19"/>
  <c r="AN39" i="19"/>
  <c r="AP39" i="19" s="1"/>
  <c r="AW93" i="19"/>
  <c r="AV93" i="19"/>
  <c r="AC105" i="19"/>
  <c r="AE105" i="19" s="1"/>
  <c r="AG105" i="19"/>
  <c r="AW122" i="19"/>
  <c r="AV122" i="19"/>
  <c r="AW214" i="19"/>
  <c r="AU214" i="19"/>
  <c r="AT214" i="19"/>
  <c r="AJ11" i="19"/>
  <c r="AG12" i="19"/>
  <c r="AU14" i="19"/>
  <c r="AC16" i="19"/>
  <c r="AE16" i="19" s="1"/>
  <c r="AT22" i="19"/>
  <c r="AR25" i="19"/>
  <c r="AT30" i="19"/>
  <c r="AC34" i="19"/>
  <c r="AE34" i="19" s="1"/>
  <c r="AR38" i="19"/>
  <c r="AI40" i="19"/>
  <c r="AF41" i="19"/>
  <c r="AI45" i="19"/>
  <c r="AI47" i="19"/>
  <c r="AU49" i="19"/>
  <c r="AJ50" i="19"/>
  <c r="AN52" i="19"/>
  <c r="AP52" i="19" s="1"/>
  <c r="AV52" i="19"/>
  <c r="AU54" i="19"/>
  <c r="AW56" i="19"/>
  <c r="AI58" i="19"/>
  <c r="AN58" i="19"/>
  <c r="AP58" i="19" s="1"/>
  <c r="AJ59" i="19"/>
  <c r="AN60" i="19"/>
  <c r="AP60" i="19" s="1"/>
  <c r="AK61" i="19"/>
  <c r="AT61" i="19"/>
  <c r="AC62" i="19"/>
  <c r="AE62" i="19" s="1"/>
  <c r="AI63" i="19"/>
  <c r="AG70" i="19"/>
  <c r="AC70" i="19"/>
  <c r="AE70" i="19" s="1"/>
  <c r="AU77" i="19"/>
  <c r="AT77" i="19"/>
  <c r="AW85" i="19"/>
  <c r="AT85" i="19"/>
  <c r="AC95" i="19"/>
  <c r="AE95" i="19" s="1"/>
  <c r="AG95" i="19"/>
  <c r="AW100" i="19"/>
  <c r="AV100" i="19"/>
  <c r="AU100" i="19"/>
  <c r="AU122" i="19"/>
  <c r="AQ128" i="19"/>
  <c r="AC132" i="19"/>
  <c r="AE132" i="19" s="1"/>
  <c r="AG132" i="19"/>
  <c r="AR142" i="19"/>
  <c r="AW219" i="19"/>
  <c r="AU219" i="19"/>
  <c r="AL225" i="19"/>
  <c r="AI225" i="19"/>
  <c r="AU237" i="19"/>
  <c r="AV237" i="19"/>
  <c r="AJ271" i="19"/>
  <c r="AI271" i="19"/>
  <c r="AL275" i="19"/>
  <c r="AK275" i="19"/>
  <c r="AW278" i="19"/>
  <c r="AU278" i="19"/>
  <c r="AW69" i="19"/>
  <c r="AU69" i="19"/>
  <c r="AT69" i="19"/>
  <c r="AR88" i="19"/>
  <c r="AN88" i="19"/>
  <c r="AP88" i="19" s="1"/>
  <c r="AW94" i="19"/>
  <c r="AU94" i="19"/>
  <c r="AT94" i="19"/>
  <c r="AK122" i="19"/>
  <c r="AL122" i="19"/>
  <c r="AJ122" i="19"/>
  <c r="AU125" i="19"/>
  <c r="AT125" i="19"/>
  <c r="AU131" i="19"/>
  <c r="AV131" i="19"/>
  <c r="AT131" i="19"/>
  <c r="AC150" i="19"/>
  <c r="AE150" i="19" s="1"/>
  <c r="AG150" i="19"/>
  <c r="AJ196" i="19"/>
  <c r="AK196" i="19"/>
  <c r="AI196" i="19"/>
  <c r="AK218" i="19"/>
  <c r="AL218" i="19"/>
  <c r="AJ218" i="19"/>
  <c r="AK246" i="19"/>
  <c r="AL246" i="19"/>
  <c r="AK282" i="19"/>
  <c r="AI282" i="19"/>
  <c r="AL413" i="19"/>
  <c r="AK413" i="19"/>
  <c r="AJ413" i="19"/>
  <c r="AI413" i="19"/>
  <c r="AL434" i="19"/>
  <c r="AK434" i="19"/>
  <c r="AJ434" i="19"/>
  <c r="AK451" i="19"/>
  <c r="AJ451" i="19"/>
  <c r="AI451" i="19"/>
  <c r="AJ456" i="19"/>
  <c r="AL456" i="19"/>
  <c r="AK456" i="19"/>
  <c r="AT14" i="19"/>
  <c r="AL16" i="19"/>
  <c r="AJ17" i="19"/>
  <c r="AV21" i="19"/>
  <c r="AN28" i="19"/>
  <c r="AP28" i="19" s="1"/>
  <c r="AJ33" i="19"/>
  <c r="AN36" i="19"/>
  <c r="AP36" i="19" s="1"/>
  <c r="AC37" i="19"/>
  <c r="AE37" i="19" s="1"/>
  <c r="AU60" i="19"/>
  <c r="AJ70" i="19"/>
  <c r="AN73" i="19"/>
  <c r="AP73" i="19" s="1"/>
  <c r="AR73" i="19"/>
  <c r="AW75" i="19"/>
  <c r="AV75" i="19"/>
  <c r="AK78" i="19"/>
  <c r="AL78" i="19"/>
  <c r="AJ78" i="19"/>
  <c r="AT91" i="19"/>
  <c r="AV91" i="19"/>
  <c r="AU91" i="19"/>
  <c r="AT106" i="19"/>
  <c r="AC108" i="19"/>
  <c r="AE108" i="19" s="1"/>
  <c r="AG108" i="19"/>
  <c r="AK109" i="19"/>
  <c r="AJ109" i="19"/>
  <c r="AI109" i="19"/>
  <c r="AN129" i="19"/>
  <c r="AP129" i="19" s="1"/>
  <c r="AR132" i="19"/>
  <c r="AN132" i="19"/>
  <c r="AP132" i="19" s="1"/>
  <c r="AW173" i="19"/>
  <c r="AV173" i="19"/>
  <c r="AL209" i="19"/>
  <c r="AJ209" i="19"/>
  <c r="AI209" i="19"/>
  <c r="AJ418" i="19"/>
  <c r="AK418" i="19"/>
  <c r="AI418" i="19"/>
  <c r="AV447" i="19"/>
  <c r="AW447" i="19"/>
  <c r="AU447" i="19"/>
  <c r="AT447" i="19"/>
  <c r="AJ458" i="19"/>
  <c r="AI458" i="19"/>
  <c r="AL10" i="19"/>
  <c r="AV18" i="19"/>
  <c r="AC10" i="19"/>
  <c r="AE10" i="19" s="1"/>
  <c r="AP11" i="19"/>
  <c r="AV12" i="19"/>
  <c r="AP18" i="19"/>
  <c r="AT19" i="19"/>
  <c r="AN22" i="19"/>
  <c r="AP22" i="19" s="1"/>
  <c r="AU22" i="19"/>
  <c r="AU30" i="19"/>
  <c r="AN34" i="19"/>
  <c r="AP34" i="19" s="1"/>
  <c r="AV34" i="19"/>
  <c r="AK40" i="19"/>
  <c r="AE44" i="19"/>
  <c r="AJ47" i="19"/>
  <c r="AV49" i="19"/>
  <c r="AV51" i="19"/>
  <c r="AI52" i="19"/>
  <c r="AR56" i="19"/>
  <c r="AE57" i="19"/>
  <c r="AJ58" i="19"/>
  <c r="AK59" i="19"/>
  <c r="AW59" i="19"/>
  <c r="AG60" i="19"/>
  <c r="AC61" i="19"/>
  <c r="AE61" i="19" s="1"/>
  <c r="AU61" i="19"/>
  <c r="AJ63" i="19"/>
  <c r="AE65" i="19"/>
  <c r="AJ67" i="19"/>
  <c r="AK67" i="19"/>
  <c r="AP67" i="19"/>
  <c r="AR71" i="19"/>
  <c r="AN71" i="19"/>
  <c r="AP71" i="19" s="1"/>
  <c r="AT79" i="19"/>
  <c r="AV88" i="19"/>
  <c r="AU92" i="19"/>
  <c r="AV92" i="19"/>
  <c r="AT100" i="19"/>
  <c r="AN102" i="19"/>
  <c r="AP102" i="19" s="1"/>
  <c r="AR109" i="19"/>
  <c r="AN109" i="19"/>
  <c r="AP109" i="19" s="1"/>
  <c r="AN122" i="19"/>
  <c r="AP122" i="19" s="1"/>
  <c r="AR131" i="19"/>
  <c r="AK147" i="19"/>
  <c r="AL147" i="19"/>
  <c r="AU150" i="19"/>
  <c r="AR151" i="19"/>
  <c r="AN151" i="19"/>
  <c r="AP151" i="19" s="1"/>
  <c r="AG155" i="19"/>
  <c r="AC155" i="19"/>
  <c r="AE155" i="19" s="1"/>
  <c r="AL178" i="19"/>
  <c r="AJ178" i="19"/>
  <c r="AW196" i="19"/>
  <c r="AU196" i="19"/>
  <c r="AT196" i="19"/>
  <c r="AI200" i="19"/>
  <c r="AL200" i="19"/>
  <c r="AK200" i="19"/>
  <c r="AW203" i="19"/>
  <c r="AV203" i="19"/>
  <c r="AT219" i="19"/>
  <c r="AV76" i="19"/>
  <c r="AL84" i="19"/>
  <c r="AR107" i="19"/>
  <c r="AE125" i="19"/>
  <c r="AL128" i="19"/>
  <c r="AR144" i="19"/>
  <c r="AR147" i="19"/>
  <c r="AV147" i="19"/>
  <c r="AL155" i="19"/>
  <c r="AJ155" i="19"/>
  <c r="AI171" i="19"/>
  <c r="AL171" i="19"/>
  <c r="AW179" i="19"/>
  <c r="AU179" i="19"/>
  <c r="AL180" i="19"/>
  <c r="AK180" i="19"/>
  <c r="AW210" i="19"/>
  <c r="AV210" i="19"/>
  <c r="AI221" i="19"/>
  <c r="AL221" i="19"/>
  <c r="AK221" i="19"/>
  <c r="AI230" i="19"/>
  <c r="AL230" i="19"/>
  <c r="AJ230" i="19"/>
  <c r="AW238" i="19"/>
  <c r="AV238" i="19"/>
  <c r="AU238" i="19"/>
  <c r="AJ243" i="19"/>
  <c r="AK243" i="19"/>
  <c r="AI243" i="19"/>
  <c r="AL266" i="19"/>
  <c r="AJ266" i="19"/>
  <c r="AI266" i="19"/>
  <c r="AJ274" i="19"/>
  <c r="AK274" i="19"/>
  <c r="AP74" i="19"/>
  <c r="AN85" i="19"/>
  <c r="AP85" i="19" s="1"/>
  <c r="AP93" i="19"/>
  <c r="AL96" i="19"/>
  <c r="AT96" i="19"/>
  <c r="AN97" i="19"/>
  <c r="AP97" i="19" s="1"/>
  <c r="AU99" i="19"/>
  <c r="AE101" i="19"/>
  <c r="AT110" i="19"/>
  <c r="AJ148" i="19"/>
  <c r="AI155" i="19"/>
  <c r="AL157" i="19"/>
  <c r="AK157" i="19"/>
  <c r="AK171" i="19"/>
  <c r="AT179" i="19"/>
  <c r="AW225" i="19"/>
  <c r="AU225" i="19"/>
  <c r="AT225" i="19"/>
  <c r="AT229" i="19"/>
  <c r="AT238" i="19"/>
  <c r="AL243" i="19"/>
  <c r="AK247" i="19"/>
  <c r="AW247" i="19"/>
  <c r="AU247" i="19"/>
  <c r="AT247" i="19"/>
  <c r="AV268" i="19"/>
  <c r="AU268" i="19"/>
  <c r="AV199" i="19"/>
  <c r="AL210" i="19"/>
  <c r="AV226" i="19"/>
  <c r="AW273" i="19"/>
  <c r="AW445" i="19"/>
  <c r="AU445" i="19"/>
  <c r="AW578" i="19"/>
  <c r="AV578" i="19"/>
  <c r="AU578" i="19"/>
  <c r="AW580" i="19"/>
  <c r="AT580" i="19"/>
  <c r="AI201" i="19"/>
  <c r="AV206" i="19"/>
  <c r="AV240" i="19"/>
  <c r="AK277" i="19"/>
  <c r="AI419" i="19"/>
  <c r="AK419" i="19"/>
  <c r="AJ419" i="19"/>
  <c r="AF459" i="19"/>
  <c r="AE459" i="19"/>
  <c r="AU562" i="19"/>
  <c r="AV562" i="19"/>
  <c r="AT562" i="19"/>
  <c r="AQ564" i="19"/>
  <c r="AL570" i="19"/>
  <c r="AI570" i="19"/>
  <c r="AI573" i="19"/>
  <c r="AK573" i="19"/>
  <c r="AJ573" i="19"/>
  <c r="AJ407" i="19"/>
  <c r="AW408" i="19"/>
  <c r="AW413" i="19"/>
  <c r="AL416" i="19"/>
  <c r="AL424" i="19"/>
  <c r="AK441" i="19"/>
  <c r="AW442" i="19"/>
  <c r="AK446" i="19"/>
  <c r="AV453" i="19"/>
  <c r="AW459" i="19"/>
  <c r="AK464" i="19"/>
  <c r="AK468" i="19"/>
  <c r="AU495" i="19"/>
  <c r="AG563" i="19"/>
  <c r="AK564" i="19"/>
  <c r="AW568" i="19"/>
  <c r="AR573" i="19"/>
  <c r="AV573" i="19"/>
  <c r="AR581" i="19"/>
  <c r="AK405" i="19"/>
  <c r="AK407" i="19"/>
  <c r="AU407" i="19"/>
  <c r="AT439" i="19"/>
  <c r="AU451" i="19"/>
  <c r="AL464" i="19"/>
  <c r="AI473" i="19"/>
  <c r="AI480" i="19"/>
  <c r="AV491" i="19"/>
  <c r="AI492" i="19"/>
  <c r="AU493" i="19"/>
  <c r="AK499" i="19"/>
  <c r="AJ503" i="19"/>
  <c r="AV503" i="19"/>
  <c r="AJ567" i="19"/>
  <c r="AU570" i="19"/>
  <c r="AL576" i="19"/>
  <c r="AG579" i="19"/>
  <c r="AI583" i="19"/>
  <c r="AJ583" i="19"/>
  <c r="AT585" i="19"/>
  <c r="AI15" i="19"/>
  <c r="AL15" i="19"/>
  <c r="AK15" i="19"/>
  <c r="AI21" i="19"/>
  <c r="AL21" i="19"/>
  <c r="AK24" i="19"/>
  <c r="AL24" i="19"/>
  <c r="AF26" i="19"/>
  <c r="AK39" i="19"/>
  <c r="AL39" i="19"/>
  <c r="AG43" i="19"/>
  <c r="AC43" i="19"/>
  <c r="AE43" i="19" s="1"/>
  <c r="AI53" i="19"/>
  <c r="AL53" i="19"/>
  <c r="AK53" i="19"/>
  <c r="AJ53" i="19"/>
  <c r="AK57" i="19"/>
  <c r="AL57" i="19"/>
  <c r="AN83" i="19"/>
  <c r="AP83" i="19" s="1"/>
  <c r="AR83" i="19"/>
  <c r="AK127" i="19"/>
  <c r="AL127" i="19"/>
  <c r="AJ127" i="19"/>
  <c r="AI237" i="19"/>
  <c r="AL237" i="19"/>
  <c r="AJ237" i="19"/>
  <c r="AL241" i="19"/>
  <c r="AI241" i="19"/>
  <c r="AJ241" i="19"/>
  <c r="AT419" i="19"/>
  <c r="AV419" i="19"/>
  <c r="AW419" i="19"/>
  <c r="AU419" i="19"/>
  <c r="AL447" i="19"/>
  <c r="AI447" i="19"/>
  <c r="AV452" i="19"/>
  <c r="AW452" i="19"/>
  <c r="AU452" i="19"/>
  <c r="AT452" i="19"/>
  <c r="AU584" i="19"/>
  <c r="AW584" i="19"/>
  <c r="AF10" i="19"/>
  <c r="AN10" i="19"/>
  <c r="AP10" i="19" s="1"/>
  <c r="AV15" i="19"/>
  <c r="AJ29" i="19"/>
  <c r="AI29" i="19"/>
  <c r="AU36" i="19"/>
  <c r="AF37" i="19"/>
  <c r="AR64" i="19"/>
  <c r="AN64" i="19"/>
  <c r="AP64" i="19" s="1"/>
  <c r="AI80" i="19"/>
  <c r="AJ80" i="19"/>
  <c r="AV97" i="19"/>
  <c r="AU97" i="19"/>
  <c r="AT97" i="19"/>
  <c r="AW97" i="19"/>
  <c r="AF221" i="19"/>
  <c r="AV243" i="19"/>
  <c r="AT243" i="19"/>
  <c r="AV499" i="19"/>
  <c r="AU499" i="19"/>
  <c r="AW499" i="19"/>
  <c r="AT499" i="19"/>
  <c r="AU11" i="19"/>
  <c r="AT11" i="19"/>
  <c r="AN15" i="19"/>
  <c r="AP15" i="19" s="1"/>
  <c r="AR15" i="19"/>
  <c r="AU17" i="19"/>
  <c r="AT17" i="19"/>
  <c r="AL25" i="19"/>
  <c r="AJ25" i="19"/>
  <c r="AI26" i="19"/>
  <c r="AL26" i="19"/>
  <c r="AC28" i="19"/>
  <c r="AE28" i="19" s="1"/>
  <c r="AK29" i="19"/>
  <c r="AU31" i="19"/>
  <c r="AT31" i="19"/>
  <c r="AI32" i="19"/>
  <c r="AL32" i="19"/>
  <c r="AK32" i="19"/>
  <c r="AV33" i="19"/>
  <c r="AJ34" i="19"/>
  <c r="AI34" i="19"/>
  <c r="AL38" i="19"/>
  <c r="AU38" i="19"/>
  <c r="AV38" i="19"/>
  <c r="AT38" i="19"/>
  <c r="AF45" i="19"/>
  <c r="AF47" i="19"/>
  <c r="AE47" i="19"/>
  <c r="AP49" i="19"/>
  <c r="AQ49" i="19"/>
  <c r="AG52" i="19"/>
  <c r="AC52" i="19"/>
  <c r="AE52" i="19" s="1"/>
  <c r="AU55" i="19"/>
  <c r="AW55" i="19"/>
  <c r="AT55" i="19"/>
  <c r="AV55" i="19"/>
  <c r="AG69" i="19"/>
  <c r="AC69" i="19"/>
  <c r="AE69" i="19" s="1"/>
  <c r="AC77" i="19"/>
  <c r="AE77" i="19" s="1"/>
  <c r="AG77" i="19"/>
  <c r="AU82" i="19"/>
  <c r="AT82" i="19"/>
  <c r="AV82" i="19"/>
  <c r="AW82" i="19"/>
  <c r="AI86" i="19"/>
  <c r="AL86" i="19"/>
  <c r="AF95" i="19"/>
  <c r="AR103" i="19"/>
  <c r="AN103" i="19"/>
  <c r="AP103" i="19" s="1"/>
  <c r="AU143" i="19"/>
  <c r="AV143" i="19"/>
  <c r="AT143" i="19"/>
  <c r="AW143" i="19"/>
  <c r="AV158" i="19"/>
  <c r="AU158" i="19"/>
  <c r="AW158" i="19"/>
  <c r="AT158" i="19"/>
  <c r="AW178" i="19"/>
  <c r="AV178" i="19"/>
  <c r="AU178" i="19"/>
  <c r="AF222" i="19"/>
  <c r="AJ273" i="19"/>
  <c r="AL273" i="19"/>
  <c r="AK273" i="19"/>
  <c r="AI273" i="19"/>
  <c r="AF275" i="19"/>
  <c r="AL283" i="19"/>
  <c r="AI283" i="19"/>
  <c r="AJ283" i="19"/>
  <c r="AQ296" i="19"/>
  <c r="AK12" i="19"/>
  <c r="AL12" i="19"/>
  <c r="AJ12" i="19"/>
  <c r="AK13" i="19"/>
  <c r="AL13" i="19"/>
  <c r="AK18" i="19"/>
  <c r="AL18" i="19"/>
  <c r="AJ18" i="19"/>
  <c r="AK19" i="19"/>
  <c r="AL19" i="19"/>
  <c r="AK28" i="19"/>
  <c r="AL28" i="19"/>
  <c r="AQ28" i="19"/>
  <c r="AU44" i="19"/>
  <c r="AT44" i="19"/>
  <c r="AW44" i="19"/>
  <c r="AV44" i="19"/>
  <c r="AU50" i="19"/>
  <c r="AW50" i="19"/>
  <c r="AJ65" i="19"/>
  <c r="AL65" i="19"/>
  <c r="AK65" i="19"/>
  <c r="AI65" i="19"/>
  <c r="AW90" i="19"/>
  <c r="AV90" i="19"/>
  <c r="AU90" i="19"/>
  <c r="AT90" i="19"/>
  <c r="AI224" i="19"/>
  <c r="AL224" i="19"/>
  <c r="AJ224" i="19"/>
  <c r="AV271" i="19"/>
  <c r="AW271" i="19"/>
  <c r="AU271" i="19"/>
  <c r="AF291" i="19"/>
  <c r="AT418" i="19"/>
  <c r="AV418" i="19"/>
  <c r="AU418" i="19"/>
  <c r="AL466" i="19"/>
  <c r="AJ466" i="19"/>
  <c r="AK466" i="19"/>
  <c r="AI584" i="19"/>
  <c r="AL584" i="19"/>
  <c r="AK584" i="19"/>
  <c r="AU8" i="19"/>
  <c r="AT8" i="19"/>
  <c r="AV9" i="19"/>
  <c r="AR11" i="19"/>
  <c r="AI13" i="19"/>
  <c r="AJ15" i="19"/>
  <c r="AF16" i="19"/>
  <c r="AN16" i="19"/>
  <c r="AP16" i="19" s="1"/>
  <c r="AR17" i="19"/>
  <c r="AI19" i="19"/>
  <c r="AJ21" i="19"/>
  <c r="AJ24" i="19"/>
  <c r="AV28" i="19"/>
  <c r="AW28" i="19"/>
  <c r="AT29" i="19"/>
  <c r="AW29" i="19"/>
  <c r="AV29" i="19"/>
  <c r="AP32" i="19"/>
  <c r="AQ32" i="19"/>
  <c r="AK35" i="19"/>
  <c r="AJ35" i="19"/>
  <c r="AU37" i="19"/>
  <c r="AT37" i="19"/>
  <c r="AR42" i="19"/>
  <c r="AN42" i="19"/>
  <c r="AP42" i="19" s="1"/>
  <c r="AF50" i="19"/>
  <c r="AE50" i="19"/>
  <c r="AI56" i="19"/>
  <c r="AL56" i="19"/>
  <c r="AN65" i="19"/>
  <c r="AP65" i="19" s="1"/>
  <c r="AR65" i="19"/>
  <c r="AU223" i="19"/>
  <c r="AT223" i="19"/>
  <c r="AW223" i="19"/>
  <c r="AV223" i="19"/>
  <c r="AC15" i="19"/>
  <c r="AE15" i="19" s="1"/>
  <c r="AG15" i="19"/>
  <c r="AC21" i="19"/>
  <c r="AE21" i="19" s="1"/>
  <c r="AG21" i="19"/>
  <c r="AK22" i="19"/>
  <c r="AL22" i="19"/>
  <c r="AC24" i="19"/>
  <c r="AE24" i="19" s="1"/>
  <c r="AG24" i="19"/>
  <c r="AW8" i="19"/>
  <c r="AI9" i="19"/>
  <c r="AK9" i="19"/>
  <c r="AJ9" i="19"/>
  <c r="AW10" i="19"/>
  <c r="AV10" i="19"/>
  <c r="AU10" i="19"/>
  <c r="AV11" i="19"/>
  <c r="AR14" i="19"/>
  <c r="AN14" i="19"/>
  <c r="AP14" i="19" s="1"/>
  <c r="AF15" i="19"/>
  <c r="AW16" i="19"/>
  <c r="AV16" i="19"/>
  <c r="AU16" i="19"/>
  <c r="AV17" i="19"/>
  <c r="AR20" i="19"/>
  <c r="AN20" i="19"/>
  <c r="AP20" i="19" s="1"/>
  <c r="AG22" i="19"/>
  <c r="AC22" i="19"/>
  <c r="AE22" i="19" s="1"/>
  <c r="AL23" i="19"/>
  <c r="AJ23" i="19"/>
  <c r="AV23" i="19"/>
  <c r="AU23" i="19"/>
  <c r="AW27" i="19"/>
  <c r="AV27" i="19"/>
  <c r="AU27" i="19"/>
  <c r="AL29" i="19"/>
  <c r="AP29" i="19"/>
  <c r="AL31" i="19"/>
  <c r="AI31" i="19"/>
  <c r="AV31" i="19"/>
  <c r="AJ32" i="19"/>
  <c r="AN33" i="19"/>
  <c r="AP33" i="19" s="1"/>
  <c r="AR33" i="19"/>
  <c r="AK34" i="19"/>
  <c r="AC35" i="19"/>
  <c r="AE35" i="19" s="1"/>
  <c r="AG35" i="19"/>
  <c r="AL35" i="19"/>
  <c r="AQ36" i="19"/>
  <c r="AW37" i="19"/>
  <c r="AW38" i="19"/>
  <c r="AG39" i="19"/>
  <c r="AK43" i="19"/>
  <c r="AU43" i="19"/>
  <c r="AV43" i="19"/>
  <c r="AT43" i="19"/>
  <c r="AG48" i="19"/>
  <c r="AC48" i="19"/>
  <c r="AE48" i="19" s="1"/>
  <c r="AG49" i="19"/>
  <c r="AC49" i="19"/>
  <c r="AE49" i="19" s="1"/>
  <c r="AG56" i="19"/>
  <c r="AC56" i="19"/>
  <c r="AE56" i="19" s="1"/>
  <c r="AC64" i="19"/>
  <c r="AE64" i="19" s="1"/>
  <c r="AG64" i="19"/>
  <c r="AR72" i="19"/>
  <c r="AN72" i="19"/>
  <c r="AP72" i="19" s="1"/>
  <c r="AU98" i="19"/>
  <c r="AV98" i="19"/>
  <c r="AV101" i="19"/>
  <c r="AT101" i="19"/>
  <c r="AQ127" i="19"/>
  <c r="AN130" i="19"/>
  <c r="AP130" i="19" s="1"/>
  <c r="AR130" i="19"/>
  <c r="AP131" i="19"/>
  <c r="AQ131" i="19"/>
  <c r="AV241" i="19"/>
  <c r="AU241" i="19"/>
  <c r="AT241" i="19"/>
  <c r="AW241" i="19"/>
  <c r="AJ272" i="19"/>
  <c r="AK272" i="19"/>
  <c r="AI272" i="19"/>
  <c r="AL272" i="19"/>
  <c r="AF408" i="19"/>
  <c r="AW57" i="19"/>
  <c r="AT57" i="19"/>
  <c r="AW63" i="19"/>
  <c r="AT63" i="19"/>
  <c r="AF77" i="19"/>
  <c r="AJ79" i="19"/>
  <c r="AI79" i="19"/>
  <c r="AK87" i="19"/>
  <c r="AJ87" i="19"/>
  <c r="AI87" i="19"/>
  <c r="AI88" i="19"/>
  <c r="AL88" i="19"/>
  <c r="AK88" i="19"/>
  <c r="AR100" i="19"/>
  <c r="AN100" i="19"/>
  <c r="AP100" i="19" s="1"/>
  <c r="AT107" i="19"/>
  <c r="AV107" i="19"/>
  <c r="AU107" i="19"/>
  <c r="AT123" i="19"/>
  <c r="AW123" i="19"/>
  <c r="AV123" i="19"/>
  <c r="AK131" i="19"/>
  <c r="AL131" i="19"/>
  <c r="AJ131" i="19"/>
  <c r="AK142" i="19"/>
  <c r="AJ142" i="19"/>
  <c r="AL142" i="19"/>
  <c r="AW145" i="19"/>
  <c r="AV145" i="19"/>
  <c r="AU145" i="19"/>
  <c r="AT145" i="19"/>
  <c r="AR148" i="19"/>
  <c r="AN148" i="19"/>
  <c r="AP148" i="19" s="1"/>
  <c r="AK182" i="19"/>
  <c r="AJ182" i="19"/>
  <c r="AL182" i="19"/>
  <c r="AV182" i="19"/>
  <c r="AU182" i="19"/>
  <c r="AW182" i="19"/>
  <c r="AT182" i="19"/>
  <c r="AU197" i="19"/>
  <c r="AW197" i="19"/>
  <c r="AU208" i="19"/>
  <c r="AT208" i="19"/>
  <c r="AW208" i="19"/>
  <c r="AV208" i="19"/>
  <c r="AQ215" i="19"/>
  <c r="AU233" i="19"/>
  <c r="AT233" i="19"/>
  <c r="AW233" i="19"/>
  <c r="AK234" i="19"/>
  <c r="AL234" i="19"/>
  <c r="AJ234" i="19"/>
  <c r="AJ249" i="19"/>
  <c r="AI249" i="19"/>
  <c r="AK249" i="19"/>
  <c r="AT272" i="19"/>
  <c r="AV272" i="19"/>
  <c r="AW272" i="19"/>
  <c r="AU272" i="19"/>
  <c r="AF277" i="19"/>
  <c r="AI281" i="19"/>
  <c r="AL281" i="19"/>
  <c r="AK281" i="19"/>
  <c r="AQ297" i="19"/>
  <c r="AW416" i="19"/>
  <c r="AV416" i="19"/>
  <c r="AN431" i="19"/>
  <c r="AP431" i="19" s="1"/>
  <c r="AR431" i="19"/>
  <c r="AU500" i="19"/>
  <c r="AV500" i="19"/>
  <c r="AT500" i="19"/>
  <c r="AW500" i="19"/>
  <c r="AV502" i="19"/>
  <c r="AU502" i="19"/>
  <c r="AW502" i="19"/>
  <c r="AT502" i="19"/>
  <c r="AL504" i="19"/>
  <c r="AJ504" i="19"/>
  <c r="AI580" i="19"/>
  <c r="AL580" i="19"/>
  <c r="AK580" i="19"/>
  <c r="AJ580" i="19"/>
  <c r="AK581" i="19"/>
  <c r="AL581" i="19"/>
  <c r="AE13" i="19"/>
  <c r="AV14" i="19"/>
  <c r="AV20" i="19"/>
  <c r="AR21" i="19"/>
  <c r="AV22" i="19"/>
  <c r="AL40" i="19"/>
  <c r="AG41" i="19"/>
  <c r="AN46" i="19"/>
  <c r="AP46" i="19" s="1"/>
  <c r="AU46" i="19"/>
  <c r="AV48" i="19"/>
  <c r="AU48" i="19"/>
  <c r="AN50" i="19"/>
  <c r="AP50" i="19" s="1"/>
  <c r="AR50" i="19"/>
  <c r="AE51" i="19"/>
  <c r="AL52" i="19"/>
  <c r="AL55" i="19"/>
  <c r="AJ55" i="19"/>
  <c r="AP55" i="19"/>
  <c r="AQ55" i="19"/>
  <c r="AU56" i="19"/>
  <c r="AT56" i="19"/>
  <c r="AU57" i="19"/>
  <c r="AV58" i="19"/>
  <c r="AL59" i="19"/>
  <c r="AE63" i="19"/>
  <c r="AU63" i="19"/>
  <c r="AC66" i="19"/>
  <c r="AE66" i="19" s="1"/>
  <c r="AL67" i="19"/>
  <c r="AV68" i="19"/>
  <c r="AW68" i="19"/>
  <c r="AW70" i="19"/>
  <c r="AU74" i="19"/>
  <c r="AV74" i="19"/>
  <c r="AJ76" i="19"/>
  <c r="AI76" i="19"/>
  <c r="AG79" i="19"/>
  <c r="AC79" i="19"/>
  <c r="AE79" i="19" s="1"/>
  <c r="AK79" i="19"/>
  <c r="AC80" i="19"/>
  <c r="AE80" i="19" s="1"/>
  <c r="AG80" i="19"/>
  <c r="AI83" i="19"/>
  <c r="AK83" i="19"/>
  <c r="AJ83" i="19"/>
  <c r="AV85" i="19"/>
  <c r="AU85" i="19"/>
  <c r="AL87" i="19"/>
  <c r="AT87" i="19"/>
  <c r="AJ88" i="19"/>
  <c r="AN90" i="19"/>
  <c r="AP90" i="19" s="1"/>
  <c r="AP92" i="19"/>
  <c r="AG94" i="19"/>
  <c r="AC94" i="19"/>
  <c r="AE94" i="19" s="1"/>
  <c r="AP94" i="19"/>
  <c r="AI95" i="19"/>
  <c r="AK95" i="19"/>
  <c r="AL102" i="19"/>
  <c r="AN106" i="19"/>
  <c r="AP106" i="19" s="1"/>
  <c r="AR106" i="19"/>
  <c r="AW107" i="19"/>
  <c r="AG109" i="19"/>
  <c r="AC109" i="19"/>
  <c r="AE109" i="19" s="1"/>
  <c r="AP110" i="19"/>
  <c r="AU123" i="19"/>
  <c r="AU130" i="19"/>
  <c r="AV130" i="19"/>
  <c r="AI142" i="19"/>
  <c r="AJ144" i="19"/>
  <c r="AQ148" i="19"/>
  <c r="AC151" i="19"/>
  <c r="AE151" i="19" s="1"/>
  <c r="AG151" i="19"/>
  <c r="AG153" i="19"/>
  <c r="AW172" i="19"/>
  <c r="AV172" i="19"/>
  <c r="AU172" i="19"/>
  <c r="AK173" i="19"/>
  <c r="AJ173" i="19"/>
  <c r="AL173" i="19"/>
  <c r="AI173" i="19"/>
  <c r="AQ177" i="19"/>
  <c r="AU180" i="19"/>
  <c r="AW180" i="19"/>
  <c r="AV180" i="19"/>
  <c r="AI182" i="19"/>
  <c r="AV197" i="19"/>
  <c r="AW204" i="19"/>
  <c r="AV204" i="19"/>
  <c r="AV215" i="19"/>
  <c r="AU215" i="19"/>
  <c r="AW215" i="19"/>
  <c r="AT215" i="19"/>
  <c r="AV233" i="19"/>
  <c r="AV267" i="19"/>
  <c r="AU267" i="19"/>
  <c r="AW267" i="19"/>
  <c r="AT267" i="19"/>
  <c r="AJ281" i="19"/>
  <c r="AF309" i="19"/>
  <c r="AJ427" i="19"/>
  <c r="AL427" i="19"/>
  <c r="AK427" i="19"/>
  <c r="AI427" i="19"/>
  <c r="AJ445" i="19"/>
  <c r="AI445" i="19"/>
  <c r="AL445" i="19"/>
  <c r="AK445" i="19"/>
  <c r="AL457" i="19"/>
  <c r="AJ457" i="19"/>
  <c r="AJ472" i="19"/>
  <c r="AI472" i="19"/>
  <c r="AL472" i="19"/>
  <c r="AK472" i="19"/>
  <c r="AU73" i="19"/>
  <c r="AT73" i="19"/>
  <c r="AU80" i="19"/>
  <c r="AV80" i="19"/>
  <c r="AT80" i="19"/>
  <c r="AJ94" i="19"/>
  <c r="AI94" i="19"/>
  <c r="AK99" i="19"/>
  <c r="AJ99" i="19"/>
  <c r="AI99" i="19"/>
  <c r="AT108" i="19"/>
  <c r="AV108" i="19"/>
  <c r="AQ126" i="19"/>
  <c r="AP21" i="19"/>
  <c r="AP24" i="19"/>
  <c r="AR40" i="19"/>
  <c r="AN40" i="19"/>
  <c r="AP40" i="19" s="1"/>
  <c r="AF43" i="19"/>
  <c r="AG45" i="19"/>
  <c r="AC45" i="19"/>
  <c r="AE45" i="19" s="1"/>
  <c r="AK45" i="19"/>
  <c r="AL45" i="19"/>
  <c r="AN47" i="19"/>
  <c r="AP47" i="19" s="1"/>
  <c r="AR47" i="19"/>
  <c r="AI50" i="19"/>
  <c r="AK50" i="19"/>
  <c r="AR55" i="19"/>
  <c r="AV57" i="19"/>
  <c r="AU62" i="19"/>
  <c r="AT62" i="19"/>
  <c r="AV63" i="19"/>
  <c r="AR67" i="19"/>
  <c r="AI70" i="19"/>
  <c r="AK70" i="19"/>
  <c r="AW72" i="19"/>
  <c r="AV72" i="19"/>
  <c r="AW73" i="19"/>
  <c r="AG76" i="19"/>
  <c r="AC76" i="19"/>
  <c r="AE76" i="19" s="1"/>
  <c r="AI77" i="19"/>
  <c r="AK77" i="19"/>
  <c r="AL79" i="19"/>
  <c r="AV79" i="19"/>
  <c r="AU79" i="19"/>
  <c r="AC81" i="19"/>
  <c r="AE81" i="19" s="1"/>
  <c r="AG81" i="19"/>
  <c r="AR82" i="19"/>
  <c r="AU83" i="19"/>
  <c r="AW83" i="19"/>
  <c r="AG86" i="19"/>
  <c r="AN87" i="19"/>
  <c r="AP87" i="19" s="1"/>
  <c r="AR87" i="19"/>
  <c r="AU88" i="19"/>
  <c r="AT88" i="19"/>
  <c r="AI92" i="19"/>
  <c r="AK92" i="19"/>
  <c r="AL94" i="19"/>
  <c r="AC98" i="19"/>
  <c r="AE98" i="19" s="1"/>
  <c r="AG98" i="19"/>
  <c r="AC106" i="19"/>
  <c r="AE106" i="19" s="1"/>
  <c r="AG106" i="19"/>
  <c r="AW109" i="19"/>
  <c r="AV109" i="19"/>
  <c r="AN125" i="19"/>
  <c r="AP125" i="19" s="1"/>
  <c r="AR125" i="19"/>
  <c r="AK152" i="19"/>
  <c r="AJ152" i="19"/>
  <c r="AV175" i="19"/>
  <c r="AT175" i="19"/>
  <c r="AV176" i="19"/>
  <c r="AU176" i="19"/>
  <c r="AW176" i="19"/>
  <c r="AF200" i="19"/>
  <c r="AJ278" i="19"/>
  <c r="AL278" i="19"/>
  <c r="AK278" i="19"/>
  <c r="AF317" i="19"/>
  <c r="AV420" i="19"/>
  <c r="AW420" i="19"/>
  <c r="AT420" i="19"/>
  <c r="AT424" i="19"/>
  <c r="AW424" i="19"/>
  <c r="AT438" i="19"/>
  <c r="AU438" i="19"/>
  <c r="AR443" i="19"/>
  <c r="AN443" i="19"/>
  <c r="AP443" i="19" s="1"/>
  <c r="AJ444" i="19"/>
  <c r="AK444" i="19"/>
  <c r="AI444" i="19"/>
  <c r="AL444" i="19"/>
  <c r="AV456" i="19"/>
  <c r="AT456" i="19"/>
  <c r="AU456" i="19"/>
  <c r="AR75" i="19"/>
  <c r="AR76" i="19"/>
  <c r="AE86" i="19"/>
  <c r="AW91" i="19"/>
  <c r="AR93" i="19"/>
  <c r="AR94" i="19"/>
  <c r="AI107" i="19"/>
  <c r="AJ107" i="19"/>
  <c r="AL110" i="19"/>
  <c r="AK110" i="19"/>
  <c r="AK132" i="19"/>
  <c r="AL132" i="19"/>
  <c r="AK151" i="19"/>
  <c r="AL151" i="19"/>
  <c r="AF152" i="19"/>
  <c r="AE152" i="19"/>
  <c r="AL153" i="19"/>
  <c r="AK153" i="19"/>
  <c r="AJ153" i="19"/>
  <c r="AV153" i="19"/>
  <c r="AU153" i="19"/>
  <c r="AT155" i="19"/>
  <c r="AV155" i="19"/>
  <c r="AR158" i="19"/>
  <c r="AN158" i="19"/>
  <c r="AP158" i="19" s="1"/>
  <c r="AQ170" i="19"/>
  <c r="AI177" i="19"/>
  <c r="AL177" i="19"/>
  <c r="AK177" i="19"/>
  <c r="AQ181" i="19"/>
  <c r="AW201" i="19"/>
  <c r="AU201" i="19"/>
  <c r="AT201" i="19"/>
  <c r="AF208" i="19"/>
  <c r="AU212" i="19"/>
  <c r="AT212" i="19"/>
  <c r="AK227" i="19"/>
  <c r="AL227" i="19"/>
  <c r="AJ227" i="19"/>
  <c r="AW228" i="19"/>
  <c r="AU228" i="19"/>
  <c r="AT228" i="19"/>
  <c r="AU230" i="19"/>
  <c r="AV230" i="19"/>
  <c r="AU236" i="19"/>
  <c r="AT236" i="19"/>
  <c r="AQ237" i="19"/>
  <c r="AU239" i="19"/>
  <c r="AT239" i="19"/>
  <c r="AI242" i="19"/>
  <c r="AK242" i="19"/>
  <c r="AJ242" i="19"/>
  <c r="AU244" i="19"/>
  <c r="AV244" i="19"/>
  <c r="AT244" i="19"/>
  <c r="AL253" i="19"/>
  <c r="AJ253" i="19"/>
  <c r="AK253" i="19"/>
  <c r="AI253" i="19"/>
  <c r="AT266" i="19"/>
  <c r="AV266" i="19"/>
  <c r="AU274" i="19"/>
  <c r="AW274" i="19"/>
  <c r="AV274" i="19"/>
  <c r="AV279" i="19"/>
  <c r="AU279" i="19"/>
  <c r="AW279" i="19"/>
  <c r="AF304" i="19"/>
  <c r="AF405" i="19"/>
  <c r="AF410" i="19"/>
  <c r="AF423" i="19"/>
  <c r="AT435" i="19"/>
  <c r="AW435" i="19"/>
  <c r="AV435" i="19"/>
  <c r="AC442" i="19"/>
  <c r="AE442" i="19" s="1"/>
  <c r="AG442" i="19"/>
  <c r="AG445" i="19"/>
  <c r="AC445" i="19"/>
  <c r="AE445" i="19" s="1"/>
  <c r="AE40" i="19"/>
  <c r="AP48" i="19"/>
  <c r="AP56" i="19"/>
  <c r="AP59" i="19"/>
  <c r="AP68" i="19"/>
  <c r="AL73" i="19"/>
  <c r="AP77" i="19"/>
  <c r="AN79" i="19"/>
  <c r="AP79" i="19" s="1"/>
  <c r="AP82" i="19"/>
  <c r="AU84" i="19"/>
  <c r="AF86" i="19"/>
  <c r="AQ88" i="19"/>
  <c r="AN89" i="19"/>
  <c r="AP89" i="19" s="1"/>
  <c r="AV89" i="19"/>
  <c r="AR92" i="19"/>
  <c r="AP95" i="19"/>
  <c r="AT95" i="19"/>
  <c r="AJ96" i="19"/>
  <c r="AC100" i="19"/>
  <c r="AE100" i="19" s="1"/>
  <c r="AG101" i="19"/>
  <c r="AN105" i="19"/>
  <c r="AP105" i="19" s="1"/>
  <c r="AR105" i="19"/>
  <c r="AT105" i="19"/>
  <c r="AK106" i="19"/>
  <c r="AJ106" i="19"/>
  <c r="AL107" i="19"/>
  <c r="AE111" i="19"/>
  <c r="AR124" i="19"/>
  <c r="AW125" i="19"/>
  <c r="AV125" i="19"/>
  <c r="AT126" i="19"/>
  <c r="AU128" i="19"/>
  <c r="AT129" i="19"/>
  <c r="AJ132" i="19"/>
  <c r="AQ132" i="19"/>
  <c r="AW142" i="19"/>
  <c r="AV142" i="19"/>
  <c r="AN145" i="19"/>
  <c r="AP145" i="19" s="1"/>
  <c r="AR145" i="19"/>
  <c r="AP147" i="19"/>
  <c r="AJ151" i="19"/>
  <c r="AV151" i="19"/>
  <c r="AW151" i="19"/>
  <c r="AU151" i="19"/>
  <c r="AP152" i="19"/>
  <c r="AT153" i="19"/>
  <c r="AU155" i="19"/>
  <c r="AG156" i="19"/>
  <c r="AC156" i="19"/>
  <c r="AE156" i="19" s="1"/>
  <c r="AG158" i="19"/>
  <c r="AC158" i="19"/>
  <c r="AE158" i="19" s="1"/>
  <c r="AL159" i="19"/>
  <c r="AK159" i="19"/>
  <c r="AJ159" i="19"/>
  <c r="AF171" i="19"/>
  <c r="AU173" i="19"/>
  <c r="AT173" i="19"/>
  <c r="AJ177" i="19"/>
  <c r="AI194" i="19"/>
  <c r="AL194" i="19"/>
  <c r="AK194" i="19"/>
  <c r="AV201" i="19"/>
  <c r="AV205" i="19"/>
  <c r="AU205" i="19"/>
  <c r="AL208" i="19"/>
  <c r="AK208" i="19"/>
  <c r="AJ208" i="19"/>
  <c r="AV212" i="19"/>
  <c r="AI213" i="19"/>
  <c r="AL213" i="19"/>
  <c r="AK213" i="19"/>
  <c r="AV229" i="19"/>
  <c r="AU229" i="19"/>
  <c r="AW232" i="19"/>
  <c r="AU232" i="19"/>
  <c r="AT232" i="19"/>
  <c r="AK235" i="19"/>
  <c r="AL235" i="19"/>
  <c r="AV236" i="19"/>
  <c r="AF238" i="19"/>
  <c r="AV239" i="19"/>
  <c r="AK240" i="19"/>
  <c r="AL240" i="19"/>
  <c r="AL242" i="19"/>
  <c r="AW244" i="19"/>
  <c r="AU245" i="19"/>
  <c r="AT245" i="19"/>
  <c r="AW245" i="19"/>
  <c r="AV253" i="19"/>
  <c r="AW253" i="19"/>
  <c r="AT274" i="19"/>
  <c r="AT276" i="19"/>
  <c r="AT279" i="19"/>
  <c r="AV421" i="19"/>
  <c r="AL423" i="19"/>
  <c r="AJ423" i="19"/>
  <c r="AK423" i="19"/>
  <c r="AJ449" i="19"/>
  <c r="AK449" i="19"/>
  <c r="AI449" i="19"/>
  <c r="AL449" i="19"/>
  <c r="AV458" i="19"/>
  <c r="AT458" i="19"/>
  <c r="AW458" i="19"/>
  <c r="AT461" i="19"/>
  <c r="AU461" i="19"/>
  <c r="AK463" i="19"/>
  <c r="AI463" i="19"/>
  <c r="AJ475" i="19"/>
  <c r="AI475" i="19"/>
  <c r="AL475" i="19"/>
  <c r="AK475" i="19"/>
  <c r="AP111" i="19"/>
  <c r="AP144" i="19"/>
  <c r="AK155" i="19"/>
  <c r="AG157" i="19"/>
  <c r="AE159" i="19"/>
  <c r="AV170" i="19"/>
  <c r="AV179" i="19"/>
  <c r="AL181" i="19"/>
  <c r="AL196" i="19"/>
  <c r="AV196" i="19"/>
  <c r="AL201" i="19"/>
  <c r="AK202" i="19"/>
  <c r="AV202" i="19"/>
  <c r="AK209" i="19"/>
  <c r="AV209" i="19"/>
  <c r="AV214" i="19"/>
  <c r="AV231" i="19"/>
  <c r="AL248" i="19"/>
  <c r="AT248" i="19"/>
  <c r="AV248" i="19"/>
  <c r="AL250" i="19"/>
  <c r="AJ250" i="19"/>
  <c r="AW250" i="19"/>
  <c r="AI251" i="19"/>
  <c r="AL251" i="19"/>
  <c r="AW268" i="19"/>
  <c r="AL271" i="19"/>
  <c r="AK271" i="19"/>
  <c r="AV414" i="19"/>
  <c r="AW414" i="19"/>
  <c r="AT414" i="19"/>
  <c r="AT434" i="19"/>
  <c r="AW434" i="19"/>
  <c r="AV434" i="19"/>
  <c r="AV437" i="19"/>
  <c r="AW437" i="19"/>
  <c r="AU437" i="19"/>
  <c r="AN444" i="19"/>
  <c r="AP444" i="19" s="1"/>
  <c r="AR444" i="19"/>
  <c r="AQ467" i="19"/>
  <c r="AV468" i="19"/>
  <c r="AW468" i="19"/>
  <c r="AU468" i="19"/>
  <c r="AT468" i="19"/>
  <c r="AV482" i="19"/>
  <c r="AU482" i="19"/>
  <c r="AE157" i="19"/>
  <c r="AL244" i="19"/>
  <c r="AI244" i="19"/>
  <c r="AI269" i="19"/>
  <c r="AK269" i="19"/>
  <c r="AQ269" i="19"/>
  <c r="AI275" i="19"/>
  <c r="AJ275" i="19"/>
  <c r="AU277" i="19"/>
  <c r="AT277" i="19"/>
  <c r="AT278" i="19"/>
  <c r="AV278" i="19"/>
  <c r="AL411" i="19"/>
  <c r="AK411" i="19"/>
  <c r="AJ438" i="19"/>
  <c r="AL438" i="19"/>
  <c r="AK438" i="19"/>
  <c r="AQ446" i="19"/>
  <c r="AT450" i="19"/>
  <c r="AI453" i="19"/>
  <c r="AK453" i="19"/>
  <c r="AJ453" i="19"/>
  <c r="AI461" i="19"/>
  <c r="AK461" i="19"/>
  <c r="AJ461" i="19"/>
  <c r="AU481" i="19"/>
  <c r="AL418" i="19"/>
  <c r="AL419" i="19"/>
  <c r="AK422" i="19"/>
  <c r="AJ422" i="19"/>
  <c r="AW422" i="19"/>
  <c r="AU422" i="19"/>
  <c r="AT427" i="19"/>
  <c r="AW427" i="19"/>
  <c r="AQ428" i="19"/>
  <c r="AV432" i="19"/>
  <c r="AW432" i="19"/>
  <c r="AF433" i="19"/>
  <c r="AL435" i="19"/>
  <c r="AL441" i="19"/>
  <c r="AV445" i="19"/>
  <c r="AT445" i="19"/>
  <c r="AL451" i="19"/>
  <c r="AL459" i="19"/>
  <c r="AJ459" i="19"/>
  <c r="AW466" i="19"/>
  <c r="AU466" i="19"/>
  <c r="AL467" i="19"/>
  <c r="AV473" i="19"/>
  <c r="AU473" i="19"/>
  <c r="AT473" i="19"/>
  <c r="AL474" i="19"/>
  <c r="AK474" i="19"/>
  <c r="AJ474" i="19"/>
  <c r="AK481" i="19"/>
  <c r="AJ481" i="19"/>
  <c r="AQ489" i="19"/>
  <c r="AC577" i="19"/>
  <c r="AE577" i="19" s="1"/>
  <c r="AG577" i="19"/>
  <c r="AK431" i="19"/>
  <c r="AI431" i="19"/>
  <c r="AV436" i="19"/>
  <c r="AU436" i="19"/>
  <c r="AL437" i="19"/>
  <c r="AI437" i="19"/>
  <c r="AR445" i="19"/>
  <c r="AN445" i="19"/>
  <c r="AP445" i="19" s="1"/>
  <c r="AV469" i="19"/>
  <c r="AU469" i="19"/>
  <c r="AQ502" i="19"/>
  <c r="AI571" i="19"/>
  <c r="AL571" i="19"/>
  <c r="AK571" i="19"/>
  <c r="AN576" i="19"/>
  <c r="AP576" i="19" s="1"/>
  <c r="AR576" i="19"/>
  <c r="AR441" i="19"/>
  <c r="AF489" i="19"/>
  <c r="AV489" i="19"/>
  <c r="AU489" i="19"/>
  <c r="AR579" i="19"/>
  <c r="AN580" i="19"/>
  <c r="AP580" i="19" s="1"/>
  <c r="AR580" i="19"/>
  <c r="AC584" i="19"/>
  <c r="AE584" i="19" s="1"/>
  <c r="AG584" i="19"/>
  <c r="AV567" i="19"/>
  <c r="AU567" i="19"/>
  <c r="AT567" i="19"/>
  <c r="AR570" i="19"/>
  <c r="AN570" i="19"/>
  <c r="AP570" i="19" s="1"/>
  <c r="AU576" i="19"/>
  <c r="AW576" i="19"/>
  <c r="AV576" i="19"/>
  <c r="AT576" i="19"/>
  <c r="AR577" i="19"/>
  <c r="AN577" i="19"/>
  <c r="AP577" i="19" s="1"/>
  <c r="AR578" i="19"/>
  <c r="AN578" i="19"/>
  <c r="AP578" i="19" s="1"/>
  <c r="AK492" i="19"/>
  <c r="AV495" i="19"/>
  <c r="AV501" i="19"/>
  <c r="AW505" i="19"/>
  <c r="AR562" i="19"/>
  <c r="AW562" i="19"/>
  <c r="AL567" i="19"/>
  <c r="AJ570" i="19"/>
  <c r="AV572" i="19"/>
  <c r="AL573" i="19"/>
  <c r="AJ578" i="19"/>
  <c r="AU580" i="19"/>
  <c r="AG583" i="19"/>
  <c r="AU585" i="19"/>
  <c r="AT491" i="19"/>
  <c r="AJ499" i="19"/>
  <c r="AT503" i="19"/>
  <c r="AE562" i="19"/>
  <c r="AU564" i="19"/>
  <c r="AT568" i="19"/>
  <c r="AK570" i="19"/>
  <c r="AK578" i="19"/>
  <c r="AK579" i="19"/>
  <c r="AW579" i="19"/>
  <c r="AC580" i="19"/>
  <c r="AE580" i="19" s="1"/>
  <c r="AV580" i="19"/>
  <c r="AP583" i="19"/>
  <c r="AU583" i="19"/>
  <c r="AF584" i="19"/>
  <c r="AV585" i="19"/>
  <c r="AE583" i="19"/>
  <c r="AV583" i="19"/>
  <c r="AI497" i="19"/>
  <c r="AJ497" i="19"/>
  <c r="AJ496" i="19"/>
  <c r="AL497" i="19"/>
  <c r="AK496" i="19"/>
  <c r="AL496" i="19"/>
  <c r="AE19" i="19"/>
  <c r="AL66" i="19"/>
  <c r="AJ66" i="19"/>
  <c r="AK75" i="19"/>
  <c r="AL75" i="19"/>
  <c r="AI75" i="19"/>
  <c r="AW78" i="19"/>
  <c r="AV78" i="19"/>
  <c r="AU78" i="19"/>
  <c r="AT78" i="19"/>
  <c r="AF88" i="19"/>
  <c r="AI8" i="19"/>
  <c r="AW9" i="19"/>
  <c r="AC11" i="19"/>
  <c r="AE11" i="19" s="1"/>
  <c r="AE12" i="19"/>
  <c r="AG13" i="19"/>
  <c r="AI14" i="19"/>
  <c r="AW15" i="19"/>
  <c r="AC17" i="19"/>
  <c r="AE17" i="19" s="1"/>
  <c r="AE18" i="19"/>
  <c r="AG19" i="19"/>
  <c r="AI20" i="19"/>
  <c r="AK21" i="19"/>
  <c r="AW21" i="19"/>
  <c r="AC23" i="19"/>
  <c r="AE23" i="19" s="1"/>
  <c r="AP25" i="19"/>
  <c r="AT26" i="19"/>
  <c r="AL27" i="19"/>
  <c r="AN30" i="19"/>
  <c r="AP30" i="19" s="1"/>
  <c r="AC33" i="19"/>
  <c r="AE33" i="19" s="1"/>
  <c r="AW34" i="19"/>
  <c r="AN35" i="19"/>
  <c r="AP35" i="19" s="1"/>
  <c r="AG36" i="19"/>
  <c r="AW36" i="19"/>
  <c r="AP37" i="19"/>
  <c r="AG40" i="19"/>
  <c r="AU40" i="19"/>
  <c r="AT42" i="19"/>
  <c r="AR48" i="19"/>
  <c r="AQ50" i="19"/>
  <c r="AU53" i="19"/>
  <c r="AR59" i="19"/>
  <c r="AI66" i="19"/>
  <c r="AE68" i="19"/>
  <c r="AI74" i="19"/>
  <c r="AL74" i="19"/>
  <c r="AJ74" i="19"/>
  <c r="AJ75" i="19"/>
  <c r="AR81" i="19"/>
  <c r="AN81" i="19"/>
  <c r="AP81" i="19" s="1"/>
  <c r="AF96" i="19"/>
  <c r="AJ8" i="19"/>
  <c r="AR12" i="19"/>
  <c r="AJ14" i="19"/>
  <c r="AR18" i="19"/>
  <c r="AJ20" i="19"/>
  <c r="AR24" i="19"/>
  <c r="AV26" i="19"/>
  <c r="AL36" i="19"/>
  <c r="AJ36" i="19"/>
  <c r="AV40" i="19"/>
  <c r="AU42" i="19"/>
  <c r="AG57" i="19"/>
  <c r="AG59" i="19"/>
  <c r="AV59" i="19"/>
  <c r="AT59" i="19"/>
  <c r="AK66" i="19"/>
  <c r="AL69" i="19"/>
  <c r="AK69" i="19"/>
  <c r="AI69" i="19"/>
  <c r="AK74" i="19"/>
  <c r="AQ81" i="19"/>
  <c r="AG129" i="19"/>
  <c r="AC129" i="19"/>
  <c r="AE129" i="19" s="1"/>
  <c r="AV53" i="19"/>
  <c r="AT53" i="19"/>
  <c r="AK20" i="19"/>
  <c r="AW42" i="19"/>
  <c r="AL68" i="19"/>
  <c r="AJ68" i="19"/>
  <c r="AI68" i="19"/>
  <c r="AQ85" i="19"/>
  <c r="AC89" i="19"/>
  <c r="AE89" i="19" s="1"/>
  <c r="AG89" i="19"/>
  <c r="AL97" i="19"/>
  <c r="AK97" i="19"/>
  <c r="AJ97" i="19"/>
  <c r="AI97" i="19"/>
  <c r="AK8" i="19"/>
  <c r="AK14" i="19"/>
  <c r="AJ13" i="19"/>
  <c r="AT18" i="19"/>
  <c r="AT24" i="19"/>
  <c r="AU28" i="19"/>
  <c r="AC30" i="19"/>
  <c r="AE30" i="19" s="1"/>
  <c r="AJ31" i="19"/>
  <c r="AT33" i="19"/>
  <c r="AK36" i="19"/>
  <c r="AJ38" i="19"/>
  <c r="AQ39" i="19"/>
  <c r="AL42" i="19"/>
  <c r="AJ42" i="19"/>
  <c r="AN45" i="19"/>
  <c r="AP45" i="19" s="1"/>
  <c r="AV46" i="19"/>
  <c r="AF48" i="19"/>
  <c r="AT50" i="19"/>
  <c r="AC54" i="19"/>
  <c r="AE54" i="19" s="1"/>
  <c r="AI57" i="19"/>
  <c r="AC58" i="19"/>
  <c r="AE58" i="19" s="1"/>
  <c r="AI61" i="19"/>
  <c r="AP62" i="19"/>
  <c r="AG65" i="19"/>
  <c r="AV65" i="19"/>
  <c r="AT65" i="19"/>
  <c r="AN66" i="19"/>
  <c r="AP66" i="19" s="1"/>
  <c r="AK68" i="19"/>
  <c r="AR69" i="19"/>
  <c r="AN69" i="19"/>
  <c r="AP69" i="19" s="1"/>
  <c r="AU71" i="19"/>
  <c r="AW71" i="19"/>
  <c r="AT71" i="19"/>
  <c r="AW26" i="19"/>
  <c r="AW40" i="19"/>
  <c r="AT12" i="19"/>
  <c r="AV13" i="19"/>
  <c r="AJ19" i="19"/>
  <c r="AV19" i="19"/>
  <c r="AJ26" i="19"/>
  <c r="AI12" i="19"/>
  <c r="AU12" i="19"/>
  <c r="AI18" i="19"/>
  <c r="AU18" i="19"/>
  <c r="AI24" i="19"/>
  <c r="AU24" i="19"/>
  <c r="AK26" i="19"/>
  <c r="AQ27" i="19"/>
  <c r="AI28" i="19"/>
  <c r="AK31" i="19"/>
  <c r="AU33" i="19"/>
  <c r="AK38" i="19"/>
  <c r="AI42" i="19"/>
  <c r="AR43" i="19"/>
  <c r="AW46" i="19"/>
  <c r="AW48" i="19"/>
  <c r="AV50" i="19"/>
  <c r="AU52" i="19"/>
  <c r="AT54" i="19"/>
  <c r="AJ57" i="19"/>
  <c r="AJ61" i="19"/>
  <c r="AQ62" i="19"/>
  <c r="AU65" i="19"/>
  <c r="AQ69" i="19"/>
  <c r="AV71" i="19"/>
  <c r="AQ84" i="19"/>
  <c r="AP84" i="19"/>
  <c r="AK90" i="19"/>
  <c r="AL90" i="19"/>
  <c r="AJ90" i="19"/>
  <c r="AI90" i="19"/>
  <c r="AC92" i="19"/>
  <c r="AE92" i="19" s="1"/>
  <c r="AG92" i="19"/>
  <c r="AC93" i="19"/>
  <c r="AE93" i="19" s="1"/>
  <c r="AG93" i="19"/>
  <c r="AN96" i="19"/>
  <c r="AP96" i="19" s="1"/>
  <c r="AR96" i="19"/>
  <c r="AV35" i="19"/>
  <c r="AT35" i="19"/>
  <c r="AL48" i="19"/>
  <c r="AJ48" i="19"/>
  <c r="AF78" i="19"/>
  <c r="AI89" i="19"/>
  <c r="AL89" i="19"/>
  <c r="AK89" i="19"/>
  <c r="AJ89" i="19"/>
  <c r="AR98" i="19"/>
  <c r="AN98" i="19"/>
  <c r="AP98" i="19" s="1"/>
  <c r="AK104" i="19"/>
  <c r="AI104" i="19"/>
  <c r="AJ104" i="19"/>
  <c r="AW148" i="19"/>
  <c r="AV148" i="19"/>
  <c r="AU148" i="19"/>
  <c r="AT148" i="19"/>
  <c r="AI11" i="19"/>
  <c r="AC14" i="19"/>
  <c r="AE14" i="19" s="1"/>
  <c r="AI17" i="19"/>
  <c r="AC20" i="19"/>
  <c r="AE20" i="19" s="1"/>
  <c r="AI23" i="19"/>
  <c r="AI25" i="19"/>
  <c r="AN31" i="19"/>
  <c r="AP31" i="19" s="1"/>
  <c r="AR32" i="19"/>
  <c r="AI33" i="19"/>
  <c r="AU35" i="19"/>
  <c r="AI48" i="19"/>
  <c r="AR49" i="19"/>
  <c r="AW52" i="19"/>
  <c r="AN53" i="19"/>
  <c r="AP53" i="19" s="1"/>
  <c r="AW54" i="19"/>
  <c r="AU58" i="19"/>
  <c r="AE60" i="19"/>
  <c r="AT60" i="19"/>
  <c r="AC71" i="19"/>
  <c r="AE71" i="19" s="1"/>
  <c r="AG71" i="19"/>
  <c r="AK93" i="19"/>
  <c r="AL93" i="19"/>
  <c r="AI93" i="19"/>
  <c r="AL104" i="19"/>
  <c r="AF106" i="19"/>
  <c r="AV41" i="19"/>
  <c r="AT41" i="19"/>
  <c r="AL54" i="19"/>
  <c r="AJ54" i="19"/>
  <c r="AF83" i="19"/>
  <c r="AE83" i="19"/>
  <c r="AU86" i="19"/>
  <c r="AW86" i="19"/>
  <c r="AV86" i="19"/>
  <c r="AT86" i="19"/>
  <c r="AW132" i="19"/>
  <c r="AV132" i="19"/>
  <c r="AU132" i="19"/>
  <c r="AT132" i="19"/>
  <c r="AI10" i="19"/>
  <c r="AK11" i="19"/>
  <c r="AI22" i="19"/>
  <c r="AK23" i="19"/>
  <c r="AE29" i="19"/>
  <c r="AI30" i="19"/>
  <c r="AL33" i="19"/>
  <c r="AQ38" i="19"/>
  <c r="AU41" i="19"/>
  <c r="AI54" i="19"/>
  <c r="AW58" i="19"/>
  <c r="AW60" i="19"/>
  <c r="AP61" i="19"/>
  <c r="AU64" i="19"/>
  <c r="AT66" i="19"/>
  <c r="AK72" i="19"/>
  <c r="AJ72" i="19"/>
  <c r="AI72" i="19"/>
  <c r="AF73" i="19"/>
  <c r="AL82" i="19"/>
  <c r="AK82" i="19"/>
  <c r="AJ82" i="19"/>
  <c r="AI82" i="19"/>
  <c r="AG85" i="19"/>
  <c r="AC85" i="19"/>
  <c r="AE85" i="19" s="1"/>
  <c r="AP91" i="19"/>
  <c r="AR95" i="19"/>
  <c r="AI16" i="19"/>
  <c r="AF20" i="19"/>
  <c r="AT21" i="19"/>
  <c r="AJ22" i="19"/>
  <c r="AK30" i="19"/>
  <c r="AC31" i="19"/>
  <c r="AE31" i="19" s="1"/>
  <c r="AQ31" i="19"/>
  <c r="AV32" i="19"/>
  <c r="AI39" i="19"/>
  <c r="AW41" i="19"/>
  <c r="AI43" i="19"/>
  <c r="AP44" i="19"/>
  <c r="AG47" i="19"/>
  <c r="AV47" i="19"/>
  <c r="AT47" i="19"/>
  <c r="AT51" i="19"/>
  <c r="AE53" i="19"/>
  <c r="AK54" i="19"/>
  <c r="AJ56" i="19"/>
  <c r="AQ57" i="19"/>
  <c r="AL60" i="19"/>
  <c r="AJ60" i="19"/>
  <c r="AN63" i="19"/>
  <c r="AP63" i="19" s="1"/>
  <c r="AV64" i="19"/>
  <c r="AF66" i="19"/>
  <c r="AU66" i="19"/>
  <c r="AF67" i="19"/>
  <c r="AI71" i="19"/>
  <c r="AL71" i="19"/>
  <c r="AK71" i="19"/>
  <c r="AJ71" i="19"/>
  <c r="AL72" i="19"/>
  <c r="AC74" i="19"/>
  <c r="AE74" i="19" s="1"/>
  <c r="AG74" i="19"/>
  <c r="AC75" i="19"/>
  <c r="AE75" i="19" s="1"/>
  <c r="AG75" i="19"/>
  <c r="AR78" i="19"/>
  <c r="AN78" i="19"/>
  <c r="AP78" i="19" s="1"/>
  <c r="AK17" i="19"/>
  <c r="AK25" i="19"/>
  <c r="AT32" i="19"/>
  <c r="AT9" i="19"/>
  <c r="AJ10" i="19"/>
  <c r="AT15" i="19"/>
  <c r="AJ16" i="19"/>
  <c r="AI27" i="19"/>
  <c r="AG29" i="19"/>
  <c r="AL30" i="19"/>
  <c r="AW32" i="19"/>
  <c r="AU34" i="19"/>
  <c r="AE36" i="19"/>
  <c r="AT36" i="19"/>
  <c r="AJ39" i="19"/>
  <c r="AJ43" i="19"/>
  <c r="AQ44" i="19"/>
  <c r="AU47" i="19"/>
  <c r="AU51" i="19"/>
  <c r="AK56" i="19"/>
  <c r="AI60" i="19"/>
  <c r="AR61" i="19"/>
  <c r="AW64" i="19"/>
  <c r="AW66" i="19"/>
  <c r="AL85" i="19"/>
  <c r="AK85" i="19"/>
  <c r="AI85" i="19"/>
  <c r="AF108" i="19"/>
  <c r="AF124" i="19"/>
  <c r="AC67" i="19"/>
  <c r="AE67" i="19" s="1"/>
  <c r="AQ68" i="19"/>
  <c r="AE72" i="19"/>
  <c r="AK73" i="19"/>
  <c r="AU75" i="19"/>
  <c r="AI78" i="19"/>
  <c r="AF80" i="19"/>
  <c r="AL81" i="19"/>
  <c r="AQ82" i="19"/>
  <c r="AV83" i="19"/>
  <c r="AF85" i="19"/>
  <c r="AK86" i="19"/>
  <c r="AE90" i="19"/>
  <c r="AK91" i="19"/>
  <c r="AU93" i="19"/>
  <c r="AI96" i="19"/>
  <c r="AL98" i="19"/>
  <c r="AN101" i="19"/>
  <c r="AP101" i="19" s="1"/>
  <c r="AI103" i="19"/>
  <c r="AL103" i="19"/>
  <c r="AK103" i="19"/>
  <c r="AG104" i="19"/>
  <c r="AF105" i="19"/>
  <c r="AK107" i="19"/>
  <c r="AK145" i="19"/>
  <c r="AJ145" i="19"/>
  <c r="AI145" i="19"/>
  <c r="AG68" i="19"/>
  <c r="AG72" i="19"/>
  <c r="AE87" i="19"/>
  <c r="AG90" i="19"/>
  <c r="AI105" i="19"/>
  <c r="AL105" i="19"/>
  <c r="AK105" i="19"/>
  <c r="AU111" i="19"/>
  <c r="AW111" i="19"/>
  <c r="AC142" i="19"/>
  <c r="AE142" i="19" s="1"/>
  <c r="AG142" i="19"/>
  <c r="AK108" i="19"/>
  <c r="AI108" i="19"/>
  <c r="AI124" i="19"/>
  <c r="AL124" i="19"/>
  <c r="AK124" i="19"/>
  <c r="AF132" i="19"/>
  <c r="AQ145" i="19"/>
  <c r="AF148" i="19"/>
  <c r="AE148" i="19"/>
  <c r="AW195" i="19"/>
  <c r="AV195" i="19"/>
  <c r="AU195" i="19"/>
  <c r="AT195" i="19"/>
  <c r="AK207" i="19"/>
  <c r="AJ207" i="19"/>
  <c r="AI207" i="19"/>
  <c r="AL207" i="19"/>
  <c r="AU68" i="19"/>
  <c r="AV77" i="19"/>
  <c r="AK80" i="19"/>
  <c r="AU87" i="19"/>
  <c r="AV95" i="19"/>
  <c r="AP107" i="19"/>
  <c r="AJ108" i="19"/>
  <c r="AF111" i="19"/>
  <c r="AV111" i="19"/>
  <c r="AJ124" i="19"/>
  <c r="AG126" i="19"/>
  <c r="AC126" i="19"/>
  <c r="AE126" i="19" s="1"/>
  <c r="AL129" i="19"/>
  <c r="AJ129" i="19"/>
  <c r="AI129" i="19"/>
  <c r="AK214" i="19"/>
  <c r="AJ214" i="19"/>
  <c r="AI214" i="19"/>
  <c r="AL214" i="19"/>
  <c r="AT67" i="19"/>
  <c r="AC73" i="19"/>
  <c r="AE73" i="19" s="1"/>
  <c r="AT74" i="19"/>
  <c r="AJ77" i="19"/>
  <c r="AW77" i="19"/>
  <c r="AL80" i="19"/>
  <c r="AF84" i="19"/>
  <c r="AT84" i="19"/>
  <c r="AV87" i="19"/>
  <c r="AC91" i="19"/>
  <c r="AE91" i="19" s="1"/>
  <c r="AT92" i="19"/>
  <c r="AJ95" i="19"/>
  <c r="AW95" i="19"/>
  <c r="AU101" i="19"/>
  <c r="AW101" i="19"/>
  <c r="AN104" i="19"/>
  <c r="AP104" i="19" s="1"/>
  <c r="AL108" i="19"/>
  <c r="AF109" i="19"/>
  <c r="AG111" i="19"/>
  <c r="AC122" i="19"/>
  <c r="AE122" i="19" s="1"/>
  <c r="AG122" i="19"/>
  <c r="AK129" i="19"/>
  <c r="AF143" i="19"/>
  <c r="AF149" i="19"/>
  <c r="AQ175" i="19"/>
  <c r="AG107" i="19"/>
  <c r="AC107" i="19"/>
  <c r="AE107" i="19" s="1"/>
  <c r="AG110" i="19"/>
  <c r="AC110" i="19"/>
  <c r="AE110" i="19" s="1"/>
  <c r="AI111" i="19"/>
  <c r="AL111" i="19"/>
  <c r="AK111" i="19"/>
  <c r="AK125" i="19"/>
  <c r="AI125" i="19"/>
  <c r="AL143" i="19"/>
  <c r="AJ143" i="19"/>
  <c r="AI143" i="19"/>
  <c r="AI149" i="19"/>
  <c r="AK149" i="19"/>
  <c r="AJ149" i="19"/>
  <c r="AK150" i="19"/>
  <c r="AL150" i="19"/>
  <c r="AJ150" i="19"/>
  <c r="AI150" i="19"/>
  <c r="AW156" i="19"/>
  <c r="AV156" i="19"/>
  <c r="AU156" i="19"/>
  <c r="AT156" i="19"/>
  <c r="AW74" i="19"/>
  <c r="AL77" i="19"/>
  <c r="AC78" i="19"/>
  <c r="AE78" i="19" s="1"/>
  <c r="AN80" i="19"/>
  <c r="AP80" i="19" s="1"/>
  <c r="AF81" i="19"/>
  <c r="AT81" i="19"/>
  <c r="AV84" i="19"/>
  <c r="AC88" i="19"/>
  <c r="AE88" i="19" s="1"/>
  <c r="AT89" i="19"/>
  <c r="AJ92" i="19"/>
  <c r="AW92" i="19"/>
  <c r="AL95" i="19"/>
  <c r="AC96" i="19"/>
  <c r="AE96" i="19" s="1"/>
  <c r="AF98" i="19"/>
  <c r="AT98" i="19"/>
  <c r="AN99" i="19"/>
  <c r="AP99" i="19" s="1"/>
  <c r="AJ100" i="19"/>
  <c r="AI100" i="19"/>
  <c r="AW102" i="19"/>
  <c r="AU102" i="19"/>
  <c r="AI106" i="19"/>
  <c r="AN108" i="19"/>
  <c r="AP108" i="19" s="1"/>
  <c r="AJ111" i="19"/>
  <c r="AF122" i="19"/>
  <c r="AJ125" i="19"/>
  <c r="AF130" i="19"/>
  <c r="AK143" i="19"/>
  <c r="AL149" i="19"/>
  <c r="AR150" i="19"/>
  <c r="AN150" i="19"/>
  <c r="AP150" i="19" s="1"/>
  <c r="AQ204" i="19"/>
  <c r="AK211" i="19"/>
  <c r="AJ211" i="19"/>
  <c r="AI211" i="19"/>
  <c r="AL211" i="19"/>
  <c r="AU103" i="19"/>
  <c r="AW103" i="19"/>
  <c r="AG123" i="19"/>
  <c r="AC123" i="19"/>
  <c r="AE123" i="19" s="1"/>
  <c r="AK126" i="19"/>
  <c r="AI126" i="19"/>
  <c r="AW127" i="19"/>
  <c r="AU127" i="19"/>
  <c r="AT127" i="19"/>
  <c r="AI130" i="19"/>
  <c r="AL130" i="19"/>
  <c r="AK130" i="19"/>
  <c r="AV81" i="19"/>
  <c r="AW89" i="19"/>
  <c r="AL92" i="19"/>
  <c r="AW98" i="19"/>
  <c r="AI101" i="19"/>
  <c r="AL101" i="19"/>
  <c r="AK101" i="19"/>
  <c r="AF102" i="19"/>
  <c r="AE102" i="19"/>
  <c r="AE103" i="19"/>
  <c r="AT103" i="19"/>
  <c r="AW104" i="19"/>
  <c r="AU104" i="19"/>
  <c r="AL106" i="19"/>
  <c r="AJ126" i="19"/>
  <c r="AV127" i="19"/>
  <c r="AJ130" i="19"/>
  <c r="AG131" i="19"/>
  <c r="AC131" i="19"/>
  <c r="AE131" i="19" s="1"/>
  <c r="AE145" i="19"/>
  <c r="AG147" i="19"/>
  <c r="AC147" i="19"/>
  <c r="AE147" i="19" s="1"/>
  <c r="AU174" i="19"/>
  <c r="AW174" i="19"/>
  <c r="AV174" i="19"/>
  <c r="AT174" i="19"/>
  <c r="AI73" i="19"/>
  <c r="AI81" i="19"/>
  <c r="AI91" i="19"/>
  <c r="AJ98" i="19"/>
  <c r="AJ101" i="19"/>
  <c r="AG102" i="19"/>
  <c r="AF103" i="19"/>
  <c r="AV103" i="19"/>
  <c r="AT104" i="19"/>
  <c r="AU105" i="19"/>
  <c r="AW105" i="19"/>
  <c r="AJ110" i="19"/>
  <c r="AI110" i="19"/>
  <c r="AF123" i="19"/>
  <c r="AQ125" i="19"/>
  <c r="AL126" i="19"/>
  <c r="AF127" i="19"/>
  <c r="AE127" i="19"/>
  <c r="AC128" i="19"/>
  <c r="AE128" i="19" s="1"/>
  <c r="AG128" i="19"/>
  <c r="AQ209" i="19"/>
  <c r="AF75" i="19"/>
  <c r="AT75" i="19"/>
  <c r="AJ81" i="19"/>
  <c r="AC82" i="19"/>
  <c r="AE82" i="19" s="1"/>
  <c r="AT83" i="19"/>
  <c r="AJ86" i="19"/>
  <c r="AF93" i="19"/>
  <c r="AT93" i="19"/>
  <c r="AG97" i="19"/>
  <c r="AC97" i="19"/>
  <c r="AE97" i="19" s="1"/>
  <c r="AK98" i="19"/>
  <c r="AC99" i="19"/>
  <c r="AE99" i="19" s="1"/>
  <c r="AK102" i="19"/>
  <c r="AI102" i="19"/>
  <c r="AG103" i="19"/>
  <c r="AF104" i="19"/>
  <c r="AE104" i="19"/>
  <c r="AV104" i="19"/>
  <c r="AW108" i="19"/>
  <c r="AU108" i="19"/>
  <c r="AL123" i="19"/>
  <c r="AJ123" i="19"/>
  <c r="AI123" i="19"/>
  <c r="AG127" i="19"/>
  <c r="AW124" i="19"/>
  <c r="AW130" i="19"/>
  <c r="AK144" i="19"/>
  <c r="AW144" i="19"/>
  <c r="AW149" i="19"/>
  <c r="AW175" i="19"/>
  <c r="AU175" i="19"/>
  <c r="AI180" i="19"/>
  <c r="AJ180" i="19"/>
  <c r="AU194" i="19"/>
  <c r="AV194" i="19"/>
  <c r="AF198" i="19"/>
  <c r="AF310" i="19"/>
  <c r="AT99" i="19"/>
  <c r="AT109" i="19"/>
  <c r="AT122" i="19"/>
  <c r="AT128" i="19"/>
  <c r="AT142" i="19"/>
  <c r="AL144" i="19"/>
  <c r="AR152" i="19"/>
  <c r="AI153" i="19"/>
  <c r="AW181" i="19"/>
  <c r="AV181" i="19"/>
  <c r="AU181" i="19"/>
  <c r="AU203" i="19"/>
  <c r="AT203" i="19"/>
  <c r="AQ214" i="19"/>
  <c r="AF240" i="19"/>
  <c r="AK198" i="19"/>
  <c r="AL198" i="19"/>
  <c r="AQ207" i="19"/>
  <c r="AL239" i="19"/>
  <c r="AK239" i="19"/>
  <c r="AI239" i="19"/>
  <c r="AJ239" i="19"/>
  <c r="AT152" i="19"/>
  <c r="AI156" i="19"/>
  <c r="AQ157" i="19"/>
  <c r="AI158" i="19"/>
  <c r="AF181" i="19"/>
  <c r="AI198" i="19"/>
  <c r="AF209" i="19"/>
  <c r="AQ211" i="19"/>
  <c r="AC124" i="19"/>
  <c r="AE124" i="19" s="1"/>
  <c r="AI127" i="19"/>
  <c r="AC130" i="19"/>
  <c r="AE130" i="19" s="1"/>
  <c r="AI132" i="19"/>
  <c r="AC144" i="19"/>
  <c r="AE144" i="19" s="1"/>
  <c r="AI148" i="19"/>
  <c r="AN149" i="19"/>
  <c r="AP149" i="19" s="1"/>
  <c r="AI151" i="19"/>
  <c r="AU152" i="19"/>
  <c r="AW155" i="19"/>
  <c r="AJ156" i="19"/>
  <c r="AK158" i="19"/>
  <c r="AI174" i="19"/>
  <c r="AL174" i="19"/>
  <c r="AK174" i="19"/>
  <c r="AK178" i="19"/>
  <c r="AI178" i="19"/>
  <c r="AJ198" i="19"/>
  <c r="AI199" i="19"/>
  <c r="AL199" i="19"/>
  <c r="AU200" i="19"/>
  <c r="AW200" i="19"/>
  <c r="AV200" i="19"/>
  <c r="AW207" i="19"/>
  <c r="AV207" i="19"/>
  <c r="AU207" i="19"/>
  <c r="AT207" i="19"/>
  <c r="AK238" i="19"/>
  <c r="AJ238" i="19"/>
  <c r="AI238" i="19"/>
  <c r="AL238" i="19"/>
  <c r="AV152" i="19"/>
  <c r="AL156" i="19"/>
  <c r="AL158" i="19"/>
  <c r="AW211" i="19"/>
  <c r="AV211" i="19"/>
  <c r="AU211" i="19"/>
  <c r="AT211" i="19"/>
  <c r="AF224" i="19"/>
  <c r="AI131" i="19"/>
  <c r="AC143" i="19"/>
  <c r="AE143" i="19" s="1"/>
  <c r="AI147" i="19"/>
  <c r="AC149" i="19"/>
  <c r="AE149" i="19" s="1"/>
  <c r="AT150" i="19"/>
  <c r="AI152" i="19"/>
  <c r="AG154" i="19"/>
  <c r="AT154" i="19"/>
  <c r="AT157" i="19"/>
  <c r="AU159" i="19"/>
  <c r="AT159" i="19"/>
  <c r="AK175" i="19"/>
  <c r="AJ175" i="19"/>
  <c r="AF179" i="19"/>
  <c r="AI203" i="19"/>
  <c r="AL203" i="19"/>
  <c r="AK203" i="19"/>
  <c r="AK205" i="19"/>
  <c r="AJ205" i="19"/>
  <c r="AI205" i="19"/>
  <c r="AU213" i="19"/>
  <c r="AT213" i="19"/>
  <c r="AW213" i="19"/>
  <c r="AV213" i="19"/>
  <c r="AF280" i="19"/>
  <c r="AJ176" i="19"/>
  <c r="AI176" i="19"/>
  <c r="AL179" i="19"/>
  <c r="AK179" i="19"/>
  <c r="AK195" i="19"/>
  <c r="AL195" i="19"/>
  <c r="AJ195" i="19"/>
  <c r="AI195" i="19"/>
  <c r="AQ198" i="19"/>
  <c r="AK204" i="19"/>
  <c r="AI204" i="19"/>
  <c r="AJ204" i="19"/>
  <c r="AF210" i="19"/>
  <c r="AV150" i="19"/>
  <c r="AL152" i="19"/>
  <c r="AQ153" i="19"/>
  <c r="AI154" i="19"/>
  <c r="AP156" i="19"/>
  <c r="AI170" i="19"/>
  <c r="AL170" i="19"/>
  <c r="AK176" i="19"/>
  <c r="AI179" i="19"/>
  <c r="AQ202" i="19"/>
  <c r="AL204" i="19"/>
  <c r="AF212" i="19"/>
  <c r="AQ231" i="19"/>
  <c r="AJ154" i="19"/>
  <c r="AU171" i="19"/>
  <c r="AW171" i="19"/>
  <c r="AV171" i="19"/>
  <c r="AL176" i="19"/>
  <c r="AU177" i="19"/>
  <c r="AT177" i="19"/>
  <c r="AJ179" i="19"/>
  <c r="AW198" i="19"/>
  <c r="AT198" i="19"/>
  <c r="AI206" i="19"/>
  <c r="AJ206" i="19"/>
  <c r="AL215" i="19"/>
  <c r="AI215" i="19"/>
  <c r="AJ215" i="19"/>
  <c r="AT149" i="19"/>
  <c r="AR156" i="19"/>
  <c r="AJ157" i="19"/>
  <c r="AK170" i="19"/>
  <c r="AT171" i="19"/>
  <c r="AV177" i="19"/>
  <c r="AU198" i="19"/>
  <c r="AK206" i="19"/>
  <c r="AF213" i="19"/>
  <c r="AK215" i="19"/>
  <c r="AF216" i="19"/>
  <c r="AT206" i="19"/>
  <c r="AU210" i="19"/>
  <c r="AT210" i="19"/>
  <c r="AI212" i="19"/>
  <c r="AU224" i="19"/>
  <c r="AT224" i="19"/>
  <c r="AW224" i="19"/>
  <c r="AK212" i="19"/>
  <c r="AF229" i="19"/>
  <c r="AW216" i="19"/>
  <c r="AU216" i="19"/>
  <c r="AT216" i="19"/>
  <c r="AQ217" i="19"/>
  <c r="AQ222" i="19"/>
  <c r="AK228" i="19"/>
  <c r="AJ228" i="19"/>
  <c r="AL229" i="19"/>
  <c r="AI229" i="19"/>
  <c r="AW234" i="19"/>
  <c r="AU234" i="19"/>
  <c r="AT234" i="19"/>
  <c r="AJ267" i="19"/>
  <c r="AL267" i="19"/>
  <c r="AK267" i="19"/>
  <c r="AI267" i="19"/>
  <c r="AV216" i="19"/>
  <c r="AK219" i="19"/>
  <c r="AJ219" i="19"/>
  <c r="AT242" i="19"/>
  <c r="AW242" i="19"/>
  <c r="AV242" i="19"/>
  <c r="AU242" i="19"/>
  <c r="AW246" i="19"/>
  <c r="AV246" i="19"/>
  <c r="AU246" i="19"/>
  <c r="AT246" i="19"/>
  <c r="AW217" i="19"/>
  <c r="AV217" i="19"/>
  <c r="AI219" i="19"/>
  <c r="AL220" i="19"/>
  <c r="AI220" i="19"/>
  <c r="AL228" i="19"/>
  <c r="AK229" i="19"/>
  <c r="AK232" i="19"/>
  <c r="AJ232" i="19"/>
  <c r="AI232" i="19"/>
  <c r="AQ303" i="19"/>
  <c r="AI159" i="19"/>
  <c r="AJ171" i="19"/>
  <c r="AF178" i="19"/>
  <c r="AT178" i="19"/>
  <c r="AT197" i="19"/>
  <c r="AJ200" i="19"/>
  <c r="AF207" i="19"/>
  <c r="AF211" i="19"/>
  <c r="AT217" i="19"/>
  <c r="AL219" i="19"/>
  <c r="AJ220" i="19"/>
  <c r="AK225" i="19"/>
  <c r="AJ225" i="19"/>
  <c r="AF230" i="19"/>
  <c r="AL232" i="19"/>
  <c r="AL233" i="19"/>
  <c r="AK233" i="19"/>
  <c r="AI233" i="19"/>
  <c r="AF234" i="19"/>
  <c r="AF244" i="19"/>
  <c r="AQ252" i="19"/>
  <c r="AW270" i="19"/>
  <c r="AV270" i="19"/>
  <c r="AU270" i="19"/>
  <c r="AT270" i="19"/>
  <c r="AU221" i="19"/>
  <c r="AT221" i="19"/>
  <c r="AW221" i="19"/>
  <c r="AF236" i="19"/>
  <c r="AL226" i="19"/>
  <c r="AI226" i="19"/>
  <c r="AQ228" i="19"/>
  <c r="AL236" i="19"/>
  <c r="AJ236" i="19"/>
  <c r="AI236" i="19"/>
  <c r="AQ241" i="19"/>
  <c r="AK197" i="19"/>
  <c r="AU204" i="19"/>
  <c r="AQ219" i="19"/>
  <c r="AJ226" i="19"/>
  <c r="AW227" i="19"/>
  <c r="AU227" i="19"/>
  <c r="AT227" i="19"/>
  <c r="AK231" i="19"/>
  <c r="AJ231" i="19"/>
  <c r="AI231" i="19"/>
  <c r="AQ232" i="19"/>
  <c r="AK236" i="19"/>
  <c r="AK217" i="19"/>
  <c r="AJ217" i="19"/>
  <c r="AW218" i="19"/>
  <c r="AU218" i="19"/>
  <c r="AT218" i="19"/>
  <c r="AK222" i="19"/>
  <c r="AJ222" i="19"/>
  <c r="AK226" i="19"/>
  <c r="AI217" i="19"/>
  <c r="AV218" i="19"/>
  <c r="AI222" i="19"/>
  <c r="AL223" i="19"/>
  <c r="AI223" i="19"/>
  <c r="AQ225" i="19"/>
  <c r="AF227" i="19"/>
  <c r="AK224" i="19"/>
  <c r="AK230" i="19"/>
  <c r="AW230" i="19"/>
  <c r="AK237" i="19"/>
  <c r="AW237" i="19"/>
  <c r="AL247" i="19"/>
  <c r="AQ273" i="19"/>
  <c r="AJ279" i="19"/>
  <c r="AK279" i="19"/>
  <c r="AI279" i="19"/>
  <c r="AT281" i="19"/>
  <c r="AV281" i="19"/>
  <c r="AU281" i="19"/>
  <c r="AQ312" i="19"/>
  <c r="AQ316" i="19"/>
  <c r="AQ320" i="19"/>
  <c r="AJ412" i="19"/>
  <c r="AI412" i="19"/>
  <c r="AL412" i="19"/>
  <c r="AK412" i="19"/>
  <c r="AL280" i="19"/>
  <c r="AI280" i="19"/>
  <c r="AW252" i="19"/>
  <c r="AV252" i="19"/>
  <c r="AW275" i="19"/>
  <c r="AU275" i="19"/>
  <c r="AT275" i="19"/>
  <c r="AF292" i="19"/>
  <c r="AV219" i="19"/>
  <c r="AV222" i="19"/>
  <c r="AV228" i="19"/>
  <c r="AJ235" i="19"/>
  <c r="AV235" i="19"/>
  <c r="AT240" i="19"/>
  <c r="AK241" i="19"/>
  <c r="AU243" i="19"/>
  <c r="AI246" i="19"/>
  <c r="AL249" i="19"/>
  <c r="AT252" i="19"/>
  <c r="AI268" i="19"/>
  <c r="AL268" i="19"/>
  <c r="AK270" i="19"/>
  <c r="AJ270" i="19"/>
  <c r="AV275" i="19"/>
  <c r="AI277" i="19"/>
  <c r="AK280" i="19"/>
  <c r="AQ421" i="19"/>
  <c r="AI216" i="19"/>
  <c r="AI218" i="19"/>
  <c r="AI227" i="19"/>
  <c r="AI234" i="19"/>
  <c r="AI240" i="19"/>
  <c r="AU240" i="19"/>
  <c r="AW243" i="19"/>
  <c r="AJ246" i="19"/>
  <c r="AU248" i="19"/>
  <c r="AU252" i="19"/>
  <c r="AU266" i="19"/>
  <c r="AJ268" i="19"/>
  <c r="AI270" i="19"/>
  <c r="AT271" i="19"/>
  <c r="AQ276" i="19"/>
  <c r="AJ277" i="19"/>
  <c r="AF278" i="19"/>
  <c r="AQ279" i="19"/>
  <c r="AQ294" i="19"/>
  <c r="AQ267" i="19"/>
  <c r="AW248" i="19"/>
  <c r="AQ249" i="19"/>
  <c r="AK252" i="19"/>
  <c r="AJ252" i="19"/>
  <c r="AW266" i="19"/>
  <c r="AV276" i="19"/>
  <c r="AW276" i="19"/>
  <c r="AQ280" i="19"/>
  <c r="AJ282" i="19"/>
  <c r="AL282" i="19"/>
  <c r="AF302" i="19"/>
  <c r="AW269" i="19"/>
  <c r="AU269" i="19"/>
  <c r="AT269" i="19"/>
  <c r="AT280" i="19"/>
  <c r="AW280" i="19"/>
  <c r="AF301" i="19"/>
  <c r="AQ305" i="19"/>
  <c r="AJ245" i="19"/>
  <c r="AT253" i="19"/>
  <c r="AV269" i="19"/>
  <c r="AU280" i="19"/>
  <c r="AQ286" i="19"/>
  <c r="AF298" i="19"/>
  <c r="AJ406" i="19"/>
  <c r="AI406" i="19"/>
  <c r="AL406" i="19"/>
  <c r="AK406" i="19"/>
  <c r="AT230" i="19"/>
  <c r="AT237" i="19"/>
  <c r="AK245" i="19"/>
  <c r="AQ246" i="19"/>
  <c r="AI247" i="19"/>
  <c r="AT249" i="19"/>
  <c r="AU251" i="19"/>
  <c r="AT251" i="19"/>
  <c r="AU253" i="19"/>
  <c r="AQ270" i="19"/>
  <c r="AV280" i="19"/>
  <c r="AQ291" i="19"/>
  <c r="AF299" i="19"/>
  <c r="AL245" i="19"/>
  <c r="AF249" i="19"/>
  <c r="AU249" i="19"/>
  <c r="AV251" i="19"/>
  <c r="AF272" i="19"/>
  <c r="AI274" i="19"/>
  <c r="AL274" i="19"/>
  <c r="AK276" i="19"/>
  <c r="AJ276" i="19"/>
  <c r="AQ281" i="19"/>
  <c r="AQ317" i="19"/>
  <c r="AK283" i="19"/>
  <c r="AU417" i="19"/>
  <c r="AT417" i="19"/>
  <c r="AL428" i="19"/>
  <c r="AJ428" i="19"/>
  <c r="AI428" i="19"/>
  <c r="AQ420" i="19"/>
  <c r="AF432" i="19"/>
  <c r="AQ487" i="19"/>
  <c r="AF319" i="19"/>
  <c r="AT441" i="19"/>
  <c r="AV441" i="19"/>
  <c r="AW441" i="19"/>
  <c r="AU441" i="19"/>
  <c r="AK404" i="19"/>
  <c r="AJ404" i="19"/>
  <c r="AI404" i="19"/>
  <c r="AK410" i="19"/>
  <c r="AJ410" i="19"/>
  <c r="AI410" i="19"/>
  <c r="AF323" i="19"/>
  <c r="AL404" i="19"/>
  <c r="AL410" i="19"/>
  <c r="AQ288" i="19"/>
  <c r="AF305" i="19"/>
  <c r="AQ314" i="19"/>
  <c r="AL417" i="19"/>
  <c r="AK417" i="19"/>
  <c r="AJ417" i="19"/>
  <c r="AW430" i="19"/>
  <c r="AU430" i="19"/>
  <c r="AV430" i="19"/>
  <c r="AT430" i="19"/>
  <c r="AT283" i="19"/>
  <c r="AQ306" i="19"/>
  <c r="AW406" i="19"/>
  <c r="AU406" i="19"/>
  <c r="AT406" i="19"/>
  <c r="AW412" i="19"/>
  <c r="AU412" i="19"/>
  <c r="AT412" i="19"/>
  <c r="AQ415" i="19"/>
  <c r="AU463" i="19"/>
  <c r="AT463" i="19"/>
  <c r="AW463" i="19"/>
  <c r="AV463" i="19"/>
  <c r="AQ309" i="19"/>
  <c r="AW404" i="19"/>
  <c r="AU404" i="19"/>
  <c r="AT404" i="19"/>
  <c r="AW409" i="19"/>
  <c r="AU409" i="19"/>
  <c r="AV409" i="19"/>
  <c r="AW410" i="19"/>
  <c r="AU410" i="19"/>
  <c r="AT410" i="19"/>
  <c r="AQ462" i="19"/>
  <c r="AW405" i="19"/>
  <c r="AV405" i="19"/>
  <c r="AU405" i="19"/>
  <c r="AT405" i="19"/>
  <c r="AW411" i="19"/>
  <c r="AV411" i="19"/>
  <c r="AU411" i="19"/>
  <c r="AT411" i="19"/>
  <c r="AW455" i="19"/>
  <c r="AU455" i="19"/>
  <c r="AT455" i="19"/>
  <c r="AV455" i="19"/>
  <c r="AQ315" i="19"/>
  <c r="AQ319" i="19"/>
  <c r="AF407" i="19"/>
  <c r="AF413" i="19"/>
  <c r="AQ416" i="19"/>
  <c r="AF430" i="19"/>
  <c r="AQ431" i="19"/>
  <c r="AT446" i="19"/>
  <c r="AV446" i="19"/>
  <c r="AU446" i="19"/>
  <c r="AQ448" i="19"/>
  <c r="AK562" i="19"/>
  <c r="AJ562" i="19"/>
  <c r="AI562" i="19"/>
  <c r="AL562" i="19"/>
  <c r="AF440" i="19"/>
  <c r="AW446" i="19"/>
  <c r="AU448" i="19"/>
  <c r="AV448" i="19"/>
  <c r="AQ449" i="19"/>
  <c r="AQ480" i="19"/>
  <c r="AL415" i="19"/>
  <c r="AK415" i="19"/>
  <c r="AI415" i="19"/>
  <c r="AF418" i="19"/>
  <c r="AL432" i="19"/>
  <c r="AJ432" i="19"/>
  <c r="AI432" i="19"/>
  <c r="AW433" i="19"/>
  <c r="AU433" i="19"/>
  <c r="AL440" i="19"/>
  <c r="AK440" i="19"/>
  <c r="AJ440" i="19"/>
  <c r="AI440" i="19"/>
  <c r="AQ454" i="19"/>
  <c r="AT474" i="19"/>
  <c r="AW474" i="19"/>
  <c r="AU474" i="19"/>
  <c r="AV474" i="19"/>
  <c r="AI405" i="19"/>
  <c r="AL409" i="19"/>
  <c r="AK409" i="19"/>
  <c r="AI409" i="19"/>
  <c r="AI411" i="19"/>
  <c r="AJ415" i="19"/>
  <c r="AT416" i="19"/>
  <c r="AF427" i="19"/>
  <c r="AT431" i="19"/>
  <c r="AK432" i="19"/>
  <c r="AT433" i="19"/>
  <c r="AJ439" i="19"/>
  <c r="AK439" i="19"/>
  <c r="AQ443" i="19"/>
  <c r="AF446" i="19"/>
  <c r="AV454" i="19"/>
  <c r="AU454" i="19"/>
  <c r="AT454" i="19"/>
  <c r="AJ405" i="19"/>
  <c r="AJ409" i="19"/>
  <c r="AJ411" i="19"/>
  <c r="AU416" i="19"/>
  <c r="AW418" i="19"/>
  <c r="AL420" i="19"/>
  <c r="AJ420" i="19"/>
  <c r="AI420" i="19"/>
  <c r="AW421" i="19"/>
  <c r="AU421" i="19"/>
  <c r="AL422" i="19"/>
  <c r="AT423" i="19"/>
  <c r="AL430" i="19"/>
  <c r="AK430" i="19"/>
  <c r="AI430" i="19"/>
  <c r="AU431" i="19"/>
  <c r="AV433" i="19"/>
  <c r="AI439" i="19"/>
  <c r="AW443" i="19"/>
  <c r="AV443" i="19"/>
  <c r="AT443" i="19"/>
  <c r="AW454" i="19"/>
  <c r="AF325" i="19"/>
  <c r="AF406" i="19"/>
  <c r="AF412" i="19"/>
  <c r="AV423" i="19"/>
  <c r="AW440" i="19"/>
  <c r="AU440" i="19"/>
  <c r="AT440" i="19"/>
  <c r="AJ442" i="19"/>
  <c r="AI442" i="19"/>
  <c r="AQ444" i="19"/>
  <c r="AF448" i="19"/>
  <c r="AF449" i="19"/>
  <c r="AF455" i="19"/>
  <c r="AQ478" i="19"/>
  <c r="AI416" i="19"/>
  <c r="AQ422" i="19"/>
  <c r="AI423" i="19"/>
  <c r="AL433" i="19"/>
  <c r="AK433" i="19"/>
  <c r="AI433" i="19"/>
  <c r="AQ439" i="19"/>
  <c r="AV440" i="19"/>
  <c r="AK442" i="19"/>
  <c r="AF443" i="19"/>
  <c r="AJ447" i="19"/>
  <c r="AK447" i="19"/>
  <c r="AQ451" i="19"/>
  <c r="AT444" i="19"/>
  <c r="AU444" i="19"/>
  <c r="AJ408" i="19"/>
  <c r="AI408" i="19"/>
  <c r="AL414" i="19"/>
  <c r="AJ414" i="19"/>
  <c r="AI414" i="19"/>
  <c r="AW415" i="19"/>
  <c r="AU415" i="19"/>
  <c r="AL421" i="19"/>
  <c r="AK421" i="19"/>
  <c r="AI421" i="19"/>
  <c r="AF424" i="19"/>
  <c r="AU424" i="19"/>
  <c r="AV444" i="19"/>
  <c r="AK408" i="19"/>
  <c r="AK414" i="19"/>
  <c r="AT415" i="19"/>
  <c r="AJ421" i="19"/>
  <c r="AT422" i="19"/>
  <c r="AV424" i="19"/>
  <c r="AL431" i="19"/>
  <c r="AI434" i="19"/>
  <c r="AW444" i="19"/>
  <c r="AW436" i="19"/>
  <c r="AG459" i="19"/>
  <c r="AV462" i="19"/>
  <c r="AU462" i="19"/>
  <c r="AT462" i="19"/>
  <c r="AF474" i="19"/>
  <c r="AT480" i="19"/>
  <c r="AV480" i="19"/>
  <c r="AU480" i="19"/>
  <c r="AQ483" i="19"/>
  <c r="AQ485" i="19"/>
  <c r="AU496" i="19"/>
  <c r="AW496" i="19"/>
  <c r="AV496" i="19"/>
  <c r="AT496" i="19"/>
  <c r="AU408" i="19"/>
  <c r="AU414" i="19"/>
  <c r="AU420" i="19"/>
  <c r="AU428" i="19"/>
  <c r="AU432" i="19"/>
  <c r="AK436" i="19"/>
  <c r="AV438" i="19"/>
  <c r="AJ450" i="19"/>
  <c r="AI450" i="19"/>
  <c r="AL455" i="19"/>
  <c r="AI455" i="19"/>
  <c r="AW457" i="19"/>
  <c r="AV457" i="19"/>
  <c r="AT457" i="19"/>
  <c r="AF461" i="19"/>
  <c r="AT464" i="19"/>
  <c r="AV464" i="19"/>
  <c r="AU464" i="19"/>
  <c r="AV475" i="19"/>
  <c r="AT475" i="19"/>
  <c r="AW475" i="19"/>
  <c r="AU475" i="19"/>
  <c r="AV479" i="19"/>
  <c r="AU479" i="19"/>
  <c r="AT479" i="19"/>
  <c r="AW480" i="19"/>
  <c r="AQ482" i="19"/>
  <c r="AU435" i="19"/>
  <c r="AL436" i="19"/>
  <c r="AW438" i="19"/>
  <c r="AQ442" i="19"/>
  <c r="AI443" i="19"/>
  <c r="AL448" i="19"/>
  <c r="AI448" i="19"/>
  <c r="AK450" i="19"/>
  <c r="AJ455" i="19"/>
  <c r="AU457" i="19"/>
  <c r="AW464" i="19"/>
  <c r="AV465" i="19"/>
  <c r="AW465" i="19"/>
  <c r="AT465" i="19"/>
  <c r="AW479" i="19"/>
  <c r="AQ527" i="19"/>
  <c r="AJ454" i="19"/>
  <c r="AK454" i="19"/>
  <c r="AR459" i="19"/>
  <c r="AN459" i="19"/>
  <c r="AP459" i="19" s="1"/>
  <c r="AF463" i="19"/>
  <c r="AT492" i="19"/>
  <c r="AV492" i="19"/>
  <c r="AW492" i="19"/>
  <c r="AF498" i="19"/>
  <c r="AI454" i="19"/>
  <c r="AL463" i="19"/>
  <c r="AJ463" i="19"/>
  <c r="AF480" i="19"/>
  <c r="AF481" i="19"/>
  <c r="AU492" i="19"/>
  <c r="AK495" i="19"/>
  <c r="AJ495" i="19"/>
  <c r="AL495" i="19"/>
  <c r="AI495" i="19"/>
  <c r="AL454" i="19"/>
  <c r="AF457" i="19"/>
  <c r="AT472" i="19"/>
  <c r="AW472" i="19"/>
  <c r="AU472" i="19"/>
  <c r="AF487" i="19"/>
  <c r="AF502" i="19"/>
  <c r="AL452" i="19"/>
  <c r="AK452" i="19"/>
  <c r="AJ452" i="19"/>
  <c r="AJ462" i="19"/>
  <c r="AK462" i="19"/>
  <c r="AI462" i="19"/>
  <c r="AJ479" i="19"/>
  <c r="AL479" i="19"/>
  <c r="AI479" i="19"/>
  <c r="AL489" i="19"/>
  <c r="AK489" i="19"/>
  <c r="AJ489" i="19"/>
  <c r="AI489" i="19"/>
  <c r="AV450" i="19"/>
  <c r="AU450" i="19"/>
  <c r="AQ463" i="19"/>
  <c r="AK479" i="19"/>
  <c r="AI490" i="19"/>
  <c r="AK490" i="19"/>
  <c r="AL490" i="19"/>
  <c r="AJ490" i="19"/>
  <c r="AW449" i="19"/>
  <c r="AW497" i="19"/>
  <c r="AV497" i="19"/>
  <c r="AU497" i="19"/>
  <c r="AF504" i="19"/>
  <c r="AL582" i="19"/>
  <c r="AK582" i="19"/>
  <c r="AJ582" i="19"/>
  <c r="AI582" i="19"/>
  <c r="AG585" i="19"/>
  <c r="AC585" i="19"/>
  <c r="AE585" i="19" s="1"/>
  <c r="AU490" i="19"/>
  <c r="AT490" i="19"/>
  <c r="AT451" i="19"/>
  <c r="AW453" i="19"/>
  <c r="AQ456" i="19"/>
  <c r="AI457" i="19"/>
  <c r="AK459" i="19"/>
  <c r="AI465" i="19"/>
  <c r="AU467" i="19"/>
  <c r="AL468" i="19"/>
  <c r="AT482" i="19"/>
  <c r="AV490" i="19"/>
  <c r="AU494" i="19"/>
  <c r="AQ529" i="19"/>
  <c r="AJ493" i="19"/>
  <c r="AI493" i="19"/>
  <c r="AF494" i="19"/>
  <c r="AF560" i="19"/>
  <c r="AK457" i="19"/>
  <c r="AL465" i="19"/>
  <c r="AW467" i="19"/>
  <c r="AW482" i="19"/>
  <c r="AU491" i="19"/>
  <c r="AK493" i="19"/>
  <c r="AW494" i="19"/>
  <c r="AW498" i="19"/>
  <c r="AV498" i="19"/>
  <c r="AU498" i="19"/>
  <c r="AF505" i="19"/>
  <c r="AL482" i="19"/>
  <c r="AJ482" i="19"/>
  <c r="AL493" i="19"/>
  <c r="AL494" i="19"/>
  <c r="AK494" i="19"/>
  <c r="AI505" i="19"/>
  <c r="AL505" i="19"/>
  <c r="AK505" i="19"/>
  <c r="AW569" i="19"/>
  <c r="AV569" i="19"/>
  <c r="AU569" i="19"/>
  <c r="AT569" i="19"/>
  <c r="AW456" i="19"/>
  <c r="AK458" i="19"/>
  <c r="AV461" i="19"/>
  <c r="AV466" i="19"/>
  <c r="AJ469" i="19"/>
  <c r="AK482" i="19"/>
  <c r="AJ494" i="19"/>
  <c r="AI456" i="19"/>
  <c r="AL458" i="19"/>
  <c r="AW461" i="19"/>
  <c r="AQ465" i="19"/>
  <c r="AI466" i="19"/>
  <c r="AK469" i="19"/>
  <c r="AQ472" i="19"/>
  <c r="AV481" i="19"/>
  <c r="AT481" i="19"/>
  <c r="AK491" i="19"/>
  <c r="AJ491" i="19"/>
  <c r="AI491" i="19"/>
  <c r="AF492" i="19"/>
  <c r="AI502" i="19"/>
  <c r="AL502" i="19"/>
  <c r="AK502" i="19"/>
  <c r="AL563" i="19"/>
  <c r="AK563" i="19"/>
  <c r="AI563" i="19"/>
  <c r="AE579" i="19"/>
  <c r="AJ563" i="19"/>
  <c r="AP573" i="19"/>
  <c r="AL577" i="19"/>
  <c r="AK577" i="19"/>
  <c r="AJ577" i="19"/>
  <c r="AI577" i="19"/>
  <c r="AF526" i="19"/>
  <c r="AQ561" i="19"/>
  <c r="AP562" i="19"/>
  <c r="AF567" i="19"/>
  <c r="AF580" i="19"/>
  <c r="AW582" i="19"/>
  <c r="AV582" i="19"/>
  <c r="AU582" i="19"/>
  <c r="AT493" i="19"/>
  <c r="AJ500" i="19"/>
  <c r="AT582" i="19"/>
  <c r="AN585" i="19"/>
  <c r="AP585" i="19" s="1"/>
  <c r="AK498" i="19"/>
  <c r="AL498" i="19"/>
  <c r="AW504" i="19"/>
  <c r="AU504" i="19"/>
  <c r="AW493" i="19"/>
  <c r="AI498" i="19"/>
  <c r="AL500" i="19"/>
  <c r="AK503" i="19"/>
  <c r="AI503" i="19"/>
  <c r="AT504" i="19"/>
  <c r="AF527" i="19"/>
  <c r="AW563" i="19"/>
  <c r="AU563" i="19"/>
  <c r="AE569" i="19"/>
  <c r="AW577" i="19"/>
  <c r="AV577" i="19"/>
  <c r="AU577" i="19"/>
  <c r="AF523" i="19"/>
  <c r="AF573" i="19"/>
  <c r="AL569" i="19"/>
  <c r="AK569" i="19"/>
  <c r="AJ569" i="19"/>
  <c r="AI569" i="19"/>
  <c r="AK501" i="19"/>
  <c r="AL501" i="19"/>
  <c r="AI501" i="19"/>
  <c r="AK504" i="19"/>
  <c r="AI504" i="19"/>
  <c r="AF529" i="19"/>
  <c r="AF563" i="19"/>
  <c r="AT564" i="19"/>
  <c r="AF569" i="19"/>
  <c r="AT570" i="19"/>
  <c r="AJ571" i="19"/>
  <c r="AV571" i="19"/>
  <c r="AL572" i="19"/>
  <c r="AF577" i="19"/>
  <c r="AT578" i="19"/>
  <c r="AJ579" i="19"/>
  <c r="AV579" i="19"/>
  <c r="AF582" i="19"/>
  <c r="AT583" i="19"/>
  <c r="AJ584" i="19"/>
  <c r="AV584" i="19"/>
  <c r="AL585" i="19"/>
  <c r="AG562" i="19"/>
  <c r="AG576" i="19"/>
  <c r="AG581" i="19"/>
  <c r="AI568" i="19"/>
  <c r="AI576" i="19"/>
  <c r="AI581" i="19"/>
  <c r="AJ568" i="19"/>
  <c r="AJ576" i="19"/>
  <c r="AJ581" i="19"/>
  <c r="AC564" i="19"/>
  <c r="AE564" i="19" s="1"/>
  <c r="AK568" i="19"/>
  <c r="AC570" i="19"/>
  <c r="AE570" i="19" s="1"/>
  <c r="AC578" i="19"/>
  <c r="AE578" i="19" s="1"/>
  <c r="AI572" i="19"/>
  <c r="AI585" i="19"/>
  <c r="AT571" i="19"/>
  <c r="AJ572" i="19"/>
  <c r="AT579" i="19"/>
  <c r="AT584" i="19"/>
  <c r="AJ585" i="19"/>
  <c r="AU519" i="19" l="1"/>
  <c r="AW519" i="19" s="1"/>
  <c r="AV517" i="19"/>
  <c r="AV518" i="19"/>
  <c r="AG516" i="19"/>
  <c r="AG517" i="19"/>
  <c r="AL517" i="19"/>
  <c r="AG521" i="19"/>
  <c r="AL521" i="19"/>
  <c r="K520" i="19"/>
  <c r="Y518" i="19"/>
  <c r="AA518" i="19" s="1"/>
  <c r="O518" i="19"/>
  <c r="AJ519" i="19"/>
  <c r="AJ518" i="19"/>
  <c r="N521" i="19"/>
  <c r="K517" i="19"/>
  <c r="K521" i="19"/>
  <c r="P518" i="19"/>
  <c r="N516" i="19"/>
  <c r="K519" i="19"/>
  <c r="K518" i="19"/>
  <c r="O519" i="19"/>
  <c r="N519" i="19"/>
  <c r="N520" i="19"/>
  <c r="AU520" i="19"/>
  <c r="AW520" i="19" s="1"/>
  <c r="T516" i="19"/>
  <c r="V516" i="19" s="1"/>
  <c r="X516" i="19"/>
  <c r="Z516" i="19" s="1"/>
  <c r="N517" i="19"/>
  <c r="AJ516" i="19"/>
  <c r="Y520" i="19"/>
  <c r="AA520" i="19" s="1"/>
  <c r="AV521" i="19"/>
  <c r="AU521" i="19"/>
  <c r="AW521" i="19" s="1"/>
  <c r="Y521" i="19"/>
  <c r="AA521" i="19" s="1"/>
  <c r="K516" i="19"/>
  <c r="X517" i="19"/>
  <c r="Z517" i="19" s="1"/>
  <c r="T517" i="19"/>
  <c r="V517" i="19" s="1"/>
  <c r="Y519" i="19"/>
  <c r="AA519" i="19" s="1"/>
  <c r="AJ520" i="19"/>
  <c r="AS7" i="19"/>
  <c r="AV7" i="19" s="1"/>
  <c r="AO7" i="19"/>
  <c r="AQ7" i="19" s="1"/>
  <c r="AM7" i="19"/>
  <c r="AR7" i="19" s="1"/>
  <c r="AH7" i="19"/>
  <c r="AK7" i="19" s="1"/>
  <c r="AD7" i="19"/>
  <c r="AF7" i="19" s="1"/>
  <c r="AB7" i="19"/>
  <c r="AC7" i="19" s="1"/>
  <c r="AL519" i="19" l="1"/>
  <c r="AL520" i="19"/>
  <c r="AL516" i="19"/>
  <c r="AL518" i="19"/>
  <c r="P521" i="19"/>
  <c r="P516" i="19"/>
  <c r="P519" i="19"/>
  <c r="Y516" i="19"/>
  <c r="AA516" i="19" s="1"/>
  <c r="P517" i="19"/>
  <c r="P520" i="19"/>
  <c r="Y517" i="19"/>
  <c r="AA517" i="19" s="1"/>
  <c r="AG7" i="19"/>
  <c r="AN7" i="19"/>
  <c r="AP7" i="19" s="1"/>
  <c r="AI7" i="19"/>
  <c r="AJ7" i="19"/>
  <c r="AE7" i="19"/>
  <c r="AW7" i="19"/>
  <c r="AL7" i="19"/>
  <c r="AT7" i="19"/>
  <c r="AU7" i="19"/>
  <c r="BR430" i="19" l="1"/>
  <c r="BP430" i="19"/>
  <c r="BU430" i="19" s="1"/>
  <c r="BL430" i="19"/>
  <c r="BN430" i="19" s="1"/>
  <c r="BJ430" i="19"/>
  <c r="BO430" i="19" s="1"/>
  <c r="BF430" i="19"/>
  <c r="BD430" i="19"/>
  <c r="BI430" i="19" s="1"/>
  <c r="AZ430" i="19"/>
  <c r="BB430" i="19" s="1"/>
  <c r="AX430" i="19"/>
  <c r="BC430" i="19" s="1"/>
  <c r="W430" i="19"/>
  <c r="AA430" i="19" s="1"/>
  <c r="S430" i="19"/>
  <c r="U430" i="19" s="1"/>
  <c r="Q430" i="19"/>
  <c r="L430" i="19"/>
  <c r="O430" i="19" s="1"/>
  <c r="H430" i="19"/>
  <c r="J430" i="19" s="1"/>
  <c r="F430" i="19"/>
  <c r="E430" i="19"/>
  <c r="D430" i="19"/>
  <c r="BR428" i="19"/>
  <c r="BT428" i="19" s="1"/>
  <c r="BP428" i="19"/>
  <c r="BU428" i="19" s="1"/>
  <c r="BL428" i="19"/>
  <c r="BJ428" i="19"/>
  <c r="BO428" i="19" s="1"/>
  <c r="BF428" i="19"/>
  <c r="BH428" i="19" s="1"/>
  <c r="BD428" i="19"/>
  <c r="BI428" i="19" s="1"/>
  <c r="AZ428" i="19"/>
  <c r="AX428" i="19"/>
  <c r="BC428" i="19" s="1"/>
  <c r="W428" i="19"/>
  <c r="AA428" i="19" s="1"/>
  <c r="S428" i="19"/>
  <c r="U428" i="19" s="1"/>
  <c r="Q428" i="19"/>
  <c r="L428" i="19"/>
  <c r="M428" i="19" s="1"/>
  <c r="H428" i="19"/>
  <c r="F428" i="19"/>
  <c r="E428" i="19"/>
  <c r="D428" i="19"/>
  <c r="AC430" i="19" l="1"/>
  <c r="AE430" i="19" s="1"/>
  <c r="AN430" i="19"/>
  <c r="AP430" i="19" s="1"/>
  <c r="AR430" i="19" s="1"/>
  <c r="AN428" i="19"/>
  <c r="AP428" i="19" s="1"/>
  <c r="AR428" i="19" s="1"/>
  <c r="AC428" i="19"/>
  <c r="AE428" i="19" s="1"/>
  <c r="N430" i="19"/>
  <c r="X430" i="19"/>
  <c r="X428" i="19"/>
  <c r="Z430" i="19"/>
  <c r="Y428" i="19"/>
  <c r="Z428" i="19"/>
  <c r="N428" i="19"/>
  <c r="BB428" i="19"/>
  <c r="BN428" i="19"/>
  <c r="P430" i="19"/>
  <c r="BH430" i="19"/>
  <c r="BT430" i="19"/>
  <c r="P428" i="19"/>
  <c r="J428" i="19"/>
  <c r="G428" i="19"/>
  <c r="R428" i="19" s="1"/>
  <c r="T428" i="19" s="1"/>
  <c r="V428" i="19" s="1"/>
  <c r="O428" i="19"/>
  <c r="AY428" i="19"/>
  <c r="BA428" i="19" s="1"/>
  <c r="BK428" i="19"/>
  <c r="BM428" i="19" s="1"/>
  <c r="M430" i="19"/>
  <c r="Y430" i="19"/>
  <c r="BE430" i="19"/>
  <c r="BG430" i="19" s="1"/>
  <c r="BQ430" i="19"/>
  <c r="BS430" i="19" s="1"/>
  <c r="BE428" i="19"/>
  <c r="BG428" i="19" s="1"/>
  <c r="BQ428" i="19"/>
  <c r="BS428" i="19" s="1"/>
  <c r="G430" i="19"/>
  <c r="R430" i="19" s="1"/>
  <c r="T430" i="19" s="1"/>
  <c r="V430" i="19" s="1"/>
  <c r="AY430" i="19"/>
  <c r="BA430" i="19" s="1"/>
  <c r="BK430" i="19"/>
  <c r="BM430" i="19" s="1"/>
  <c r="BR450" i="19"/>
  <c r="BT450" i="19" s="1"/>
  <c r="BP450" i="19"/>
  <c r="BU450" i="19" s="1"/>
  <c r="BL450" i="19"/>
  <c r="BJ450" i="19"/>
  <c r="BO450" i="19" s="1"/>
  <c r="BF450" i="19"/>
  <c r="BH450" i="19" s="1"/>
  <c r="BD450" i="19"/>
  <c r="BI450" i="19" s="1"/>
  <c r="AZ450" i="19"/>
  <c r="AX450" i="19"/>
  <c r="BC450" i="19" s="1"/>
  <c r="W450" i="19"/>
  <c r="Y450" i="19" s="1"/>
  <c r="S450" i="19"/>
  <c r="U450" i="19" s="1"/>
  <c r="Q450" i="19"/>
  <c r="L450" i="19"/>
  <c r="M450" i="19" s="1"/>
  <c r="H450" i="19"/>
  <c r="F450" i="19"/>
  <c r="E450" i="19"/>
  <c r="D450" i="19"/>
  <c r="AG430" i="19" l="1"/>
  <c r="AG428" i="19"/>
  <c r="AN450" i="19"/>
  <c r="AP450" i="19" s="1"/>
  <c r="AR450" i="19" s="1"/>
  <c r="AC450" i="19"/>
  <c r="AE450" i="19" s="1"/>
  <c r="I428" i="19"/>
  <c r="I430" i="19"/>
  <c r="X450" i="19"/>
  <c r="Z450" i="19"/>
  <c r="P450" i="19"/>
  <c r="J450" i="19"/>
  <c r="N450" i="19"/>
  <c r="BB450" i="19"/>
  <c r="BN450" i="19"/>
  <c r="G450" i="19"/>
  <c r="R450" i="19" s="1"/>
  <c r="T450" i="19" s="1"/>
  <c r="V450" i="19" s="1"/>
  <c r="O450" i="19"/>
  <c r="AA450" i="19"/>
  <c r="AY450" i="19"/>
  <c r="BA450" i="19" s="1"/>
  <c r="BK450" i="19"/>
  <c r="BM450" i="19" s="1"/>
  <c r="BE450" i="19"/>
  <c r="BG450" i="19" s="1"/>
  <c r="BQ450" i="19"/>
  <c r="BS450" i="19" s="1"/>
  <c r="BR427" i="19"/>
  <c r="BP427" i="19"/>
  <c r="BU427" i="19" s="1"/>
  <c r="BL427" i="19"/>
  <c r="BJ427" i="19"/>
  <c r="BK427" i="19" s="1"/>
  <c r="BF427" i="19"/>
  <c r="BH427" i="19" s="1"/>
  <c r="BD427" i="19"/>
  <c r="BI427" i="19" s="1"/>
  <c r="AZ427" i="19"/>
  <c r="BB427" i="19" s="1"/>
  <c r="AX427" i="19"/>
  <c r="BC427" i="19" s="1"/>
  <c r="W427" i="19"/>
  <c r="Y427" i="19" s="1"/>
  <c r="S427" i="19"/>
  <c r="U427" i="19" s="1"/>
  <c r="Q427" i="19"/>
  <c r="L427" i="19"/>
  <c r="M427" i="19" s="1"/>
  <c r="H427" i="19"/>
  <c r="J427" i="19" s="1"/>
  <c r="F427" i="19"/>
  <c r="E427" i="19"/>
  <c r="D427" i="19"/>
  <c r="AG450" i="19" l="1"/>
  <c r="K428" i="19"/>
  <c r="K430" i="19"/>
  <c r="AN427" i="19"/>
  <c r="AP427" i="19" s="1"/>
  <c r="AR427" i="19" s="1"/>
  <c r="AC427" i="19"/>
  <c r="AE427" i="19" s="1"/>
  <c r="AG427" i="19" s="1"/>
  <c r="I450" i="19"/>
  <c r="BM427" i="19"/>
  <c r="N427" i="19"/>
  <c r="O427" i="19"/>
  <c r="Z427" i="19"/>
  <c r="BN427" i="19"/>
  <c r="BO427" i="19"/>
  <c r="X427" i="19"/>
  <c r="BT427" i="19"/>
  <c r="G427" i="19"/>
  <c r="R427" i="19" s="1"/>
  <c r="T427" i="19" s="1"/>
  <c r="V427" i="19" s="1"/>
  <c r="AA427" i="19"/>
  <c r="AY427" i="19"/>
  <c r="BA427" i="19" s="1"/>
  <c r="P427" i="19"/>
  <c r="BE427" i="19"/>
  <c r="BG427" i="19" s="1"/>
  <c r="BQ427" i="19"/>
  <c r="BS427" i="19" s="1"/>
  <c r="BR455" i="19"/>
  <c r="BT455" i="19" s="1"/>
  <c r="BP455" i="19"/>
  <c r="BU455" i="19" s="1"/>
  <c r="BL455" i="19"/>
  <c r="BN455" i="19" s="1"/>
  <c r="BJ455" i="19"/>
  <c r="BO455" i="19" s="1"/>
  <c r="BF455" i="19"/>
  <c r="BH455" i="19" s="1"/>
  <c r="BD455" i="19"/>
  <c r="BI455" i="19" s="1"/>
  <c r="AZ455" i="19"/>
  <c r="BB455" i="19" s="1"/>
  <c r="AX455" i="19"/>
  <c r="W455" i="19"/>
  <c r="Y455" i="19" s="1"/>
  <c r="S455" i="19"/>
  <c r="U455" i="19" s="1"/>
  <c r="Q455" i="19"/>
  <c r="L455" i="19"/>
  <c r="M455" i="19" s="1"/>
  <c r="H455" i="19"/>
  <c r="J455" i="19" s="1"/>
  <c r="F455" i="19"/>
  <c r="E455" i="19"/>
  <c r="D455" i="19"/>
  <c r="K450" i="19" l="1"/>
  <c r="AN455" i="19"/>
  <c r="AP455" i="19" s="1"/>
  <c r="AR455" i="19" s="1"/>
  <c r="AC455" i="19"/>
  <c r="AE455" i="19" s="1"/>
  <c r="I427" i="19"/>
  <c r="O455" i="19"/>
  <c r="Z455" i="19"/>
  <c r="N455" i="19"/>
  <c r="AY455" i="19"/>
  <c r="BA455" i="19" s="1"/>
  <c r="BC455" i="19" s="1"/>
  <c r="X455" i="19"/>
  <c r="G455" i="19"/>
  <c r="R455" i="19" s="1"/>
  <c r="T455" i="19" s="1"/>
  <c r="V455" i="19" s="1"/>
  <c r="AA455" i="19"/>
  <c r="BK455" i="19"/>
  <c r="BM455" i="19" s="1"/>
  <c r="P455" i="19"/>
  <c r="BE455" i="19"/>
  <c r="BG455" i="19" s="1"/>
  <c r="BQ455" i="19"/>
  <c r="BS455" i="19" s="1"/>
  <c r="BR110" i="19"/>
  <c r="BT110" i="19" s="1"/>
  <c r="BP110" i="19"/>
  <c r="BU110" i="19" s="1"/>
  <c r="BL110" i="19"/>
  <c r="BN110" i="19" s="1"/>
  <c r="BJ110" i="19"/>
  <c r="BO110" i="19" s="1"/>
  <c r="BF110" i="19"/>
  <c r="BH110" i="19" s="1"/>
  <c r="BD110" i="19"/>
  <c r="AZ110" i="19"/>
  <c r="BB110" i="19" s="1"/>
  <c r="AX110" i="19"/>
  <c r="AY110" i="19" s="1"/>
  <c r="W110" i="19"/>
  <c r="Y110" i="19" s="1"/>
  <c r="S110" i="19"/>
  <c r="U110" i="19" s="1"/>
  <c r="Q110" i="19"/>
  <c r="V110" i="19" s="1"/>
  <c r="L110" i="19"/>
  <c r="M110" i="19" s="1"/>
  <c r="H110" i="19"/>
  <c r="J110" i="19" s="1"/>
  <c r="F110" i="19"/>
  <c r="K110" i="19" s="1"/>
  <c r="E110" i="19"/>
  <c r="D110" i="19"/>
  <c r="BR109" i="19"/>
  <c r="BT109" i="19" s="1"/>
  <c r="BP109" i="19"/>
  <c r="BQ109" i="19" s="1"/>
  <c r="BL109" i="19"/>
  <c r="BN109" i="19" s="1"/>
  <c r="BJ109" i="19"/>
  <c r="BO109" i="19" s="1"/>
  <c r="BF109" i="19"/>
  <c r="BH109" i="19" s="1"/>
  <c r="BD109" i="19"/>
  <c r="AZ109" i="19"/>
  <c r="BB109" i="19" s="1"/>
  <c r="AX109" i="19"/>
  <c r="BC109" i="19" s="1"/>
  <c r="W109" i="19"/>
  <c r="AA109" i="19" s="1"/>
  <c r="S109" i="19"/>
  <c r="U109" i="19" s="1"/>
  <c r="Q109" i="19"/>
  <c r="V109" i="19" s="1"/>
  <c r="L109" i="19"/>
  <c r="O109" i="19" s="1"/>
  <c r="H109" i="19"/>
  <c r="J109" i="19" s="1"/>
  <c r="F109" i="19"/>
  <c r="K109" i="19" s="1"/>
  <c r="E109" i="19"/>
  <c r="D109" i="19"/>
  <c r="BR107" i="19"/>
  <c r="BT107" i="19" s="1"/>
  <c r="BP107" i="19"/>
  <c r="BU107" i="19" s="1"/>
  <c r="BL107" i="19"/>
  <c r="BN107" i="19" s="1"/>
  <c r="BJ107" i="19"/>
  <c r="BO107" i="19" s="1"/>
  <c r="BF107" i="19"/>
  <c r="BH107" i="19" s="1"/>
  <c r="BD107" i="19"/>
  <c r="AZ107" i="19"/>
  <c r="BB107" i="19" s="1"/>
  <c r="AX107" i="19"/>
  <c r="BC107" i="19" s="1"/>
  <c r="W107" i="19"/>
  <c r="Y107" i="19" s="1"/>
  <c r="S107" i="19"/>
  <c r="U107" i="19" s="1"/>
  <c r="Q107" i="19"/>
  <c r="V107" i="19" s="1"/>
  <c r="L107" i="19"/>
  <c r="M107" i="19" s="1"/>
  <c r="H107" i="19"/>
  <c r="J107" i="19" s="1"/>
  <c r="F107" i="19"/>
  <c r="K107" i="19" s="1"/>
  <c r="E107" i="19"/>
  <c r="D107" i="19"/>
  <c r="BR66" i="19"/>
  <c r="BT66" i="19" s="1"/>
  <c r="BP66" i="19"/>
  <c r="BU66" i="19" s="1"/>
  <c r="BL66" i="19"/>
  <c r="BN66" i="19" s="1"/>
  <c r="BJ66" i="19"/>
  <c r="BK66" i="19" s="1"/>
  <c r="BF66" i="19"/>
  <c r="BH66" i="19" s="1"/>
  <c r="BD66" i="19"/>
  <c r="AZ66" i="19"/>
  <c r="BB66" i="19" s="1"/>
  <c r="AX66" i="19"/>
  <c r="W66" i="19"/>
  <c r="AA66" i="19" s="1"/>
  <c r="S66" i="19"/>
  <c r="Q66" i="19"/>
  <c r="V66" i="19" s="1"/>
  <c r="L66" i="19"/>
  <c r="H66" i="19"/>
  <c r="J66" i="19" s="1"/>
  <c r="F66" i="19"/>
  <c r="G66" i="19" s="1"/>
  <c r="R66" i="19" s="1"/>
  <c r="E66" i="19"/>
  <c r="D66" i="19"/>
  <c r="BR65" i="19"/>
  <c r="BT65" i="19" s="1"/>
  <c r="BP65" i="19"/>
  <c r="BU65" i="19" s="1"/>
  <c r="BL65" i="19"/>
  <c r="BN65" i="19" s="1"/>
  <c r="BJ65" i="19"/>
  <c r="BO65" i="19" s="1"/>
  <c r="BF65" i="19"/>
  <c r="BH65" i="19" s="1"/>
  <c r="BD65" i="19"/>
  <c r="AZ65" i="19"/>
  <c r="BB65" i="19" s="1"/>
  <c r="AX65" i="19"/>
  <c r="BC65" i="19" s="1"/>
  <c r="W65" i="19"/>
  <c r="AA65" i="19" s="1"/>
  <c r="S65" i="19"/>
  <c r="U65" i="19" s="1"/>
  <c r="Q65" i="19"/>
  <c r="V65" i="19" s="1"/>
  <c r="L65" i="19"/>
  <c r="M65" i="19" s="1"/>
  <c r="H65" i="19"/>
  <c r="J65" i="19" s="1"/>
  <c r="F65" i="19"/>
  <c r="K65" i="19" s="1"/>
  <c r="E65" i="19"/>
  <c r="D65" i="19"/>
  <c r="BR64" i="19"/>
  <c r="BT64" i="19" s="1"/>
  <c r="BP64" i="19"/>
  <c r="BU64" i="19" s="1"/>
  <c r="BL64" i="19"/>
  <c r="BN64" i="19" s="1"/>
  <c r="BJ64" i="19"/>
  <c r="BK64" i="19" s="1"/>
  <c r="BF64" i="19"/>
  <c r="BH64" i="19" s="1"/>
  <c r="BD64" i="19"/>
  <c r="AZ64" i="19"/>
  <c r="BB64" i="19" s="1"/>
  <c r="AX64" i="19"/>
  <c r="W64" i="19"/>
  <c r="Y64" i="19" s="1"/>
  <c r="S64" i="19"/>
  <c r="U64" i="19" s="1"/>
  <c r="Q64" i="19"/>
  <c r="V64" i="19" s="1"/>
  <c r="L64" i="19"/>
  <c r="H64" i="19"/>
  <c r="F64" i="19"/>
  <c r="E64" i="19"/>
  <c r="D64" i="19"/>
  <c r="BR63" i="19"/>
  <c r="BT63" i="19" s="1"/>
  <c r="BP63" i="19"/>
  <c r="BL63" i="19"/>
  <c r="BN63" i="19" s="1"/>
  <c r="BJ63" i="19"/>
  <c r="BF63" i="19"/>
  <c r="BD63" i="19"/>
  <c r="AZ63" i="19"/>
  <c r="BB63" i="19" s="1"/>
  <c r="AX63" i="19"/>
  <c r="W63" i="19"/>
  <c r="AA63" i="19" s="1"/>
  <c r="S63" i="19"/>
  <c r="U63" i="19" s="1"/>
  <c r="Q63" i="19"/>
  <c r="V63" i="19" s="1"/>
  <c r="L63" i="19"/>
  <c r="P63" i="19" s="1"/>
  <c r="H63" i="19"/>
  <c r="J63" i="19" s="1"/>
  <c r="F63" i="19"/>
  <c r="G63" i="19" s="1"/>
  <c r="E63" i="19"/>
  <c r="D63" i="19"/>
  <c r="BR62" i="19"/>
  <c r="BT62" i="19" s="1"/>
  <c r="BP62" i="19"/>
  <c r="BQ62" i="19" s="1"/>
  <c r="BL62" i="19"/>
  <c r="BN62" i="19" s="1"/>
  <c r="BJ62" i="19"/>
  <c r="BK62" i="19" s="1"/>
  <c r="BF62" i="19"/>
  <c r="BH62" i="19" s="1"/>
  <c r="BD62" i="19"/>
  <c r="AZ62" i="19"/>
  <c r="BB62" i="19" s="1"/>
  <c r="AX62" i="19"/>
  <c r="AY62" i="19" s="1"/>
  <c r="W62" i="19"/>
  <c r="S62" i="19"/>
  <c r="Q62" i="19"/>
  <c r="V62" i="19" s="1"/>
  <c r="L62" i="19"/>
  <c r="H62" i="19"/>
  <c r="J62" i="19" s="1"/>
  <c r="F62" i="19"/>
  <c r="E62" i="19"/>
  <c r="D62" i="19"/>
  <c r="BR61" i="19"/>
  <c r="BT61" i="19" s="1"/>
  <c r="BP61" i="19"/>
  <c r="BL61" i="19"/>
  <c r="BN61" i="19" s="1"/>
  <c r="BJ61" i="19"/>
  <c r="BF61" i="19"/>
  <c r="BH61" i="19" s="1"/>
  <c r="BD61" i="19"/>
  <c r="AZ61" i="19"/>
  <c r="BB61" i="19" s="1"/>
  <c r="AX61" i="19"/>
  <c r="AY61" i="19" s="1"/>
  <c r="W61" i="19"/>
  <c r="S61" i="19"/>
  <c r="Q61" i="19"/>
  <c r="V61" i="19" s="1"/>
  <c r="L61" i="19"/>
  <c r="P61" i="19" s="1"/>
  <c r="H61" i="19"/>
  <c r="J61" i="19" s="1"/>
  <c r="F61" i="19"/>
  <c r="G61" i="19" s="1"/>
  <c r="E61" i="19"/>
  <c r="D61" i="19"/>
  <c r="BR60" i="19"/>
  <c r="BT60" i="19" s="1"/>
  <c r="BP60" i="19"/>
  <c r="BU60" i="19" s="1"/>
  <c r="BL60" i="19"/>
  <c r="BN60" i="19" s="1"/>
  <c r="BJ60" i="19"/>
  <c r="BO60" i="19" s="1"/>
  <c r="BF60" i="19"/>
  <c r="BH60" i="19" s="1"/>
  <c r="BD60" i="19"/>
  <c r="AZ60" i="19"/>
  <c r="BB60" i="19" s="1"/>
  <c r="AX60" i="19"/>
  <c r="W60" i="19"/>
  <c r="AA60" i="19" s="1"/>
  <c r="S60" i="19"/>
  <c r="Q60" i="19"/>
  <c r="V60" i="19" s="1"/>
  <c r="L60" i="19"/>
  <c r="O60" i="19" s="1"/>
  <c r="H60" i="19"/>
  <c r="J60" i="19" s="1"/>
  <c r="F60" i="19"/>
  <c r="E60" i="19"/>
  <c r="D60" i="19"/>
  <c r="BR59" i="19"/>
  <c r="BT59" i="19" s="1"/>
  <c r="BP59" i="19"/>
  <c r="BL59" i="19"/>
  <c r="BN59" i="19" s="1"/>
  <c r="BJ59" i="19"/>
  <c r="BF59" i="19"/>
  <c r="BD59" i="19"/>
  <c r="AZ59" i="19"/>
  <c r="BB59" i="19" s="1"/>
  <c r="AX59" i="19"/>
  <c r="W59" i="19"/>
  <c r="S59" i="19"/>
  <c r="Q59" i="19"/>
  <c r="V59" i="19" s="1"/>
  <c r="L59" i="19"/>
  <c r="H59" i="19"/>
  <c r="J59" i="19" s="1"/>
  <c r="F59" i="19"/>
  <c r="K59" i="19" s="1"/>
  <c r="E59" i="19"/>
  <c r="D59" i="19"/>
  <c r="BR58" i="19"/>
  <c r="BT58" i="19" s="1"/>
  <c r="BP58" i="19"/>
  <c r="BU58" i="19" s="1"/>
  <c r="BL58" i="19"/>
  <c r="BJ58" i="19"/>
  <c r="BO58" i="19" s="1"/>
  <c r="BF58" i="19"/>
  <c r="BH58" i="19" s="1"/>
  <c r="BD58" i="19"/>
  <c r="AZ58" i="19"/>
  <c r="AX58" i="19"/>
  <c r="W58" i="19"/>
  <c r="S58" i="19"/>
  <c r="Q58" i="19"/>
  <c r="V58" i="19" s="1"/>
  <c r="L58" i="19"/>
  <c r="N58" i="19" s="1"/>
  <c r="H58" i="19"/>
  <c r="F58" i="19"/>
  <c r="G58" i="19" s="1"/>
  <c r="R58" i="19" s="1"/>
  <c r="E58" i="19"/>
  <c r="D58" i="19"/>
  <c r="BR57" i="19"/>
  <c r="BT57" i="19" s="1"/>
  <c r="BP57" i="19"/>
  <c r="BU57" i="19" s="1"/>
  <c r="BL57" i="19"/>
  <c r="BJ57" i="19"/>
  <c r="BK57" i="19" s="1"/>
  <c r="BF57" i="19"/>
  <c r="BH57" i="19" s="1"/>
  <c r="BD57" i="19"/>
  <c r="AZ57" i="19"/>
  <c r="BB57" i="19" s="1"/>
  <c r="AX57" i="19"/>
  <c r="BC57" i="19" s="1"/>
  <c r="W57" i="19"/>
  <c r="X57" i="19" s="1"/>
  <c r="S57" i="19"/>
  <c r="Q57" i="19"/>
  <c r="V57" i="19" s="1"/>
  <c r="L57" i="19"/>
  <c r="N57" i="19" s="1"/>
  <c r="H57" i="19"/>
  <c r="J57" i="19" s="1"/>
  <c r="F57" i="19"/>
  <c r="K57" i="19" s="1"/>
  <c r="E57" i="19"/>
  <c r="D57" i="19"/>
  <c r="BR56" i="19"/>
  <c r="BP56" i="19"/>
  <c r="BU56" i="19" s="1"/>
  <c r="BL56" i="19"/>
  <c r="BN56" i="19" s="1"/>
  <c r="BJ56" i="19"/>
  <c r="BF56" i="19"/>
  <c r="BD56" i="19"/>
  <c r="AZ56" i="19"/>
  <c r="BB56" i="19" s="1"/>
  <c r="AX56" i="19"/>
  <c r="W56" i="19"/>
  <c r="S56" i="19"/>
  <c r="U56" i="19" s="1"/>
  <c r="Q56" i="19"/>
  <c r="V56" i="19" s="1"/>
  <c r="L56" i="19"/>
  <c r="M56" i="19" s="1"/>
  <c r="H56" i="19"/>
  <c r="J56" i="19" s="1"/>
  <c r="F56" i="19"/>
  <c r="E56" i="19"/>
  <c r="D56" i="19"/>
  <c r="BR55" i="19"/>
  <c r="BT55" i="19" s="1"/>
  <c r="BP55" i="19"/>
  <c r="BL55" i="19"/>
  <c r="BJ55" i="19"/>
  <c r="BO55" i="19" s="1"/>
  <c r="BF55" i="19"/>
  <c r="BH55" i="19" s="1"/>
  <c r="BD55" i="19"/>
  <c r="AZ55" i="19"/>
  <c r="AX55" i="19"/>
  <c r="BC55" i="19" s="1"/>
  <c r="W55" i="19"/>
  <c r="S55" i="19"/>
  <c r="U55" i="19" s="1"/>
  <c r="Q55" i="19"/>
  <c r="V55" i="19" s="1"/>
  <c r="L55" i="19"/>
  <c r="H55" i="19"/>
  <c r="F55" i="19"/>
  <c r="E55" i="19"/>
  <c r="D55" i="19"/>
  <c r="BR54" i="19"/>
  <c r="BT54" i="19" s="1"/>
  <c r="BP54" i="19"/>
  <c r="BL54" i="19"/>
  <c r="BJ54" i="19"/>
  <c r="BF54" i="19"/>
  <c r="BH54" i="19" s="1"/>
  <c r="BD54" i="19"/>
  <c r="AZ54" i="19"/>
  <c r="AX54" i="19"/>
  <c r="W54" i="19"/>
  <c r="X54" i="19" s="1"/>
  <c r="S54" i="19"/>
  <c r="U54" i="19" s="1"/>
  <c r="Q54" i="19"/>
  <c r="V54" i="19" s="1"/>
  <c r="L54" i="19"/>
  <c r="P54" i="19" s="1"/>
  <c r="H54" i="19"/>
  <c r="F54" i="19"/>
  <c r="E54" i="19"/>
  <c r="D54" i="19"/>
  <c r="BR53" i="19"/>
  <c r="BT53" i="19" s="1"/>
  <c r="BP53" i="19"/>
  <c r="BL53" i="19"/>
  <c r="BJ53" i="19"/>
  <c r="BF53" i="19"/>
  <c r="BH53" i="19" s="1"/>
  <c r="BD53" i="19"/>
  <c r="AZ53" i="19"/>
  <c r="AX53" i="19"/>
  <c r="W53" i="19"/>
  <c r="S53" i="19"/>
  <c r="U53" i="19" s="1"/>
  <c r="Q53" i="19"/>
  <c r="V53" i="19" s="1"/>
  <c r="L53" i="19"/>
  <c r="H53" i="19"/>
  <c r="F53" i="19"/>
  <c r="E53" i="19"/>
  <c r="D53" i="19"/>
  <c r="BR52" i="19"/>
  <c r="BT52" i="19" s="1"/>
  <c r="BP52" i="19"/>
  <c r="BL52" i="19"/>
  <c r="BJ52" i="19"/>
  <c r="BF52" i="19"/>
  <c r="BH52" i="19" s="1"/>
  <c r="BD52" i="19"/>
  <c r="AZ52" i="19"/>
  <c r="AX52" i="19"/>
  <c r="W52" i="19"/>
  <c r="Z52" i="19" s="1"/>
  <c r="S52" i="19"/>
  <c r="U52" i="19" s="1"/>
  <c r="Q52" i="19"/>
  <c r="V52" i="19" s="1"/>
  <c r="L52" i="19"/>
  <c r="P52" i="19" s="1"/>
  <c r="H52" i="19"/>
  <c r="F52" i="19"/>
  <c r="E52" i="19"/>
  <c r="D52" i="19"/>
  <c r="BR51" i="19"/>
  <c r="BT51" i="19" s="1"/>
  <c r="BP51" i="19"/>
  <c r="BL51" i="19"/>
  <c r="BJ51" i="19"/>
  <c r="BF51" i="19"/>
  <c r="BH51" i="19" s="1"/>
  <c r="BD51" i="19"/>
  <c r="AZ51" i="19"/>
  <c r="AX51" i="19"/>
  <c r="W51" i="19"/>
  <c r="S51" i="19"/>
  <c r="U51" i="19" s="1"/>
  <c r="Q51" i="19"/>
  <c r="V51" i="19" s="1"/>
  <c r="L51" i="19"/>
  <c r="O51" i="19" s="1"/>
  <c r="H51" i="19"/>
  <c r="J51" i="19" s="1"/>
  <c r="F51" i="19"/>
  <c r="K51" i="19" s="1"/>
  <c r="E51" i="19"/>
  <c r="D51" i="19"/>
  <c r="BR50" i="19"/>
  <c r="BP50" i="19"/>
  <c r="BL50" i="19"/>
  <c r="BN50" i="19" s="1"/>
  <c r="BJ50" i="19"/>
  <c r="BO50" i="19" s="1"/>
  <c r="BF50" i="19"/>
  <c r="BH50" i="19" s="1"/>
  <c r="BD50" i="19"/>
  <c r="AZ50" i="19"/>
  <c r="BB50" i="19" s="1"/>
  <c r="AX50" i="19"/>
  <c r="AY50" i="19" s="1"/>
  <c r="W50" i="19"/>
  <c r="S50" i="19"/>
  <c r="Q50" i="19"/>
  <c r="V50" i="19" s="1"/>
  <c r="L50" i="19"/>
  <c r="O50" i="19" s="1"/>
  <c r="H50" i="19"/>
  <c r="J50" i="19" s="1"/>
  <c r="F50" i="19"/>
  <c r="G50" i="19" s="1"/>
  <c r="E50" i="19"/>
  <c r="D50" i="19"/>
  <c r="BR49" i="19"/>
  <c r="BT49" i="19" s="1"/>
  <c r="BP49" i="19"/>
  <c r="BL49" i="19"/>
  <c r="BN49" i="19" s="1"/>
  <c r="BJ49" i="19"/>
  <c r="BK49" i="19" s="1"/>
  <c r="BF49" i="19"/>
  <c r="BH49" i="19" s="1"/>
  <c r="BD49" i="19"/>
  <c r="AZ49" i="19"/>
  <c r="BB49" i="19" s="1"/>
  <c r="AX49" i="19"/>
  <c r="W49" i="19"/>
  <c r="AA49" i="19" s="1"/>
  <c r="S49" i="19"/>
  <c r="Q49" i="19"/>
  <c r="V49" i="19" s="1"/>
  <c r="L49" i="19"/>
  <c r="O49" i="19" s="1"/>
  <c r="H49" i="19"/>
  <c r="J49" i="19" s="1"/>
  <c r="F49" i="19"/>
  <c r="G49" i="19" s="1"/>
  <c r="E49" i="19"/>
  <c r="D49" i="19"/>
  <c r="BR48" i="19"/>
  <c r="BT48" i="19" s="1"/>
  <c r="BP48" i="19"/>
  <c r="BU48" i="19" s="1"/>
  <c r="BL48" i="19"/>
  <c r="BN48" i="19" s="1"/>
  <c r="BJ48" i="19"/>
  <c r="BF48" i="19"/>
  <c r="BD48" i="19"/>
  <c r="AZ48" i="19"/>
  <c r="BB48" i="19" s="1"/>
  <c r="AX48" i="19"/>
  <c r="W48" i="19"/>
  <c r="X48" i="19" s="1"/>
  <c r="S48" i="19"/>
  <c r="U48" i="19" s="1"/>
  <c r="Q48" i="19"/>
  <c r="V48" i="19" s="1"/>
  <c r="L48" i="19"/>
  <c r="H48" i="19"/>
  <c r="J48" i="19" s="1"/>
  <c r="F48" i="19"/>
  <c r="G48" i="19" s="1"/>
  <c r="E48" i="19"/>
  <c r="D48" i="19"/>
  <c r="BR47" i="19"/>
  <c r="BT47" i="19" s="1"/>
  <c r="BP47" i="19"/>
  <c r="BU47" i="19" s="1"/>
  <c r="BL47" i="19"/>
  <c r="BJ47" i="19"/>
  <c r="BO47" i="19" s="1"/>
  <c r="BF47" i="19"/>
  <c r="BH47" i="19" s="1"/>
  <c r="BD47" i="19"/>
  <c r="AZ47" i="19"/>
  <c r="BB47" i="19" s="1"/>
  <c r="AX47" i="19"/>
  <c r="W47" i="19"/>
  <c r="S47" i="19"/>
  <c r="U47" i="19" s="1"/>
  <c r="Q47" i="19"/>
  <c r="V47" i="19" s="1"/>
  <c r="L47" i="19"/>
  <c r="H47" i="19"/>
  <c r="J47" i="19" s="1"/>
  <c r="F47" i="19"/>
  <c r="E47" i="19"/>
  <c r="D47" i="19"/>
  <c r="BR46" i="19"/>
  <c r="BT46" i="19" s="1"/>
  <c r="BP46" i="19"/>
  <c r="BL46" i="19"/>
  <c r="BN46" i="19" s="1"/>
  <c r="BJ46" i="19"/>
  <c r="BO46" i="19" s="1"/>
  <c r="BF46" i="19"/>
  <c r="BH46" i="19" s="1"/>
  <c r="BD46" i="19"/>
  <c r="AZ46" i="19"/>
  <c r="BB46" i="19" s="1"/>
  <c r="AX46" i="19"/>
  <c r="AY46" i="19" s="1"/>
  <c r="W46" i="19"/>
  <c r="X46" i="19" s="1"/>
  <c r="S46" i="19"/>
  <c r="U46" i="19" s="1"/>
  <c r="Q46" i="19"/>
  <c r="V46" i="19" s="1"/>
  <c r="L46" i="19"/>
  <c r="H46" i="19"/>
  <c r="J46" i="19" s="1"/>
  <c r="F46" i="19"/>
  <c r="K46" i="19" s="1"/>
  <c r="E46" i="19"/>
  <c r="D46" i="19"/>
  <c r="BR45" i="19"/>
  <c r="BT45" i="19" s="1"/>
  <c r="BP45" i="19"/>
  <c r="BL45" i="19"/>
  <c r="BJ45" i="19"/>
  <c r="BO45" i="19" s="1"/>
  <c r="BF45" i="19"/>
  <c r="BH45" i="19" s="1"/>
  <c r="BD45" i="19"/>
  <c r="AZ45" i="19"/>
  <c r="BB45" i="19" s="1"/>
  <c r="AX45" i="19"/>
  <c r="W45" i="19"/>
  <c r="S45" i="19"/>
  <c r="U45" i="19" s="1"/>
  <c r="Q45" i="19"/>
  <c r="V45" i="19" s="1"/>
  <c r="L45" i="19"/>
  <c r="H45" i="19"/>
  <c r="J45" i="19" s="1"/>
  <c r="F45" i="19"/>
  <c r="G45" i="19" s="1"/>
  <c r="E45" i="19"/>
  <c r="D45" i="19"/>
  <c r="BR44" i="19"/>
  <c r="BT44" i="19" s="1"/>
  <c r="BP44" i="19"/>
  <c r="BU44" i="19" s="1"/>
  <c r="BL44" i="19"/>
  <c r="BN44" i="19" s="1"/>
  <c r="BJ44" i="19"/>
  <c r="BO44" i="19" s="1"/>
  <c r="BF44" i="19"/>
  <c r="BH44" i="19" s="1"/>
  <c r="BD44" i="19"/>
  <c r="AZ44" i="19"/>
  <c r="BB44" i="19" s="1"/>
  <c r="AX44" i="19"/>
  <c r="AY44" i="19" s="1"/>
  <c r="W44" i="19"/>
  <c r="S44" i="19"/>
  <c r="U44" i="19" s="1"/>
  <c r="Q44" i="19"/>
  <c r="V44" i="19" s="1"/>
  <c r="L44" i="19"/>
  <c r="M44" i="19" s="1"/>
  <c r="H44" i="19"/>
  <c r="J44" i="19" s="1"/>
  <c r="F44" i="19"/>
  <c r="K44" i="19" s="1"/>
  <c r="E44" i="19"/>
  <c r="D44" i="19"/>
  <c r="BR43" i="19"/>
  <c r="BT43" i="19" s="1"/>
  <c r="BP43" i="19"/>
  <c r="BU43" i="19" s="1"/>
  <c r="BL43" i="19"/>
  <c r="BJ43" i="19"/>
  <c r="BO43" i="19" s="1"/>
  <c r="BF43" i="19"/>
  <c r="BH43" i="19" s="1"/>
  <c r="BD43" i="19"/>
  <c r="AZ43" i="19"/>
  <c r="BB43" i="19" s="1"/>
  <c r="AX43" i="19"/>
  <c r="W43" i="19"/>
  <c r="X43" i="19" s="1"/>
  <c r="S43" i="19"/>
  <c r="U43" i="19" s="1"/>
  <c r="Q43" i="19"/>
  <c r="V43" i="19" s="1"/>
  <c r="L43" i="19"/>
  <c r="H43" i="19"/>
  <c r="J43" i="19" s="1"/>
  <c r="F43" i="19"/>
  <c r="E43" i="19"/>
  <c r="D43" i="19"/>
  <c r="BR42" i="19"/>
  <c r="BT42" i="19" s="1"/>
  <c r="BP42" i="19"/>
  <c r="BL42" i="19"/>
  <c r="BJ42" i="19"/>
  <c r="BO42" i="19" s="1"/>
  <c r="BF42" i="19"/>
  <c r="BH42" i="19" s="1"/>
  <c r="BD42" i="19"/>
  <c r="AZ42" i="19"/>
  <c r="AX42" i="19"/>
  <c r="BC42" i="19" s="1"/>
  <c r="W42" i="19"/>
  <c r="S42" i="19"/>
  <c r="U42" i="19" s="1"/>
  <c r="Q42" i="19"/>
  <c r="V42" i="19" s="1"/>
  <c r="L42" i="19"/>
  <c r="P42" i="19" s="1"/>
  <c r="H42" i="19"/>
  <c r="F42" i="19"/>
  <c r="E42" i="19"/>
  <c r="D42" i="19"/>
  <c r="BR41" i="19"/>
  <c r="BT41" i="19" s="1"/>
  <c r="BP41" i="19"/>
  <c r="BL41" i="19"/>
  <c r="BJ41" i="19"/>
  <c r="BF41" i="19"/>
  <c r="BH41" i="19" s="1"/>
  <c r="BD41" i="19"/>
  <c r="AZ41" i="19"/>
  <c r="BB41" i="19" s="1"/>
  <c r="AX41" i="19"/>
  <c r="W41" i="19"/>
  <c r="Z41" i="19" s="1"/>
  <c r="S41" i="19"/>
  <c r="U41" i="19" s="1"/>
  <c r="Q41" i="19"/>
  <c r="V41" i="19" s="1"/>
  <c r="L41" i="19"/>
  <c r="P41" i="19" s="1"/>
  <c r="H41" i="19"/>
  <c r="J41" i="19" s="1"/>
  <c r="F41" i="19"/>
  <c r="E41" i="19"/>
  <c r="D41" i="19"/>
  <c r="BR40" i="19"/>
  <c r="BT40" i="19" s="1"/>
  <c r="BP40" i="19"/>
  <c r="BL40" i="19"/>
  <c r="BN40" i="19" s="1"/>
  <c r="BJ40" i="19"/>
  <c r="BF40" i="19"/>
  <c r="BH40" i="19" s="1"/>
  <c r="BD40" i="19"/>
  <c r="AZ40" i="19"/>
  <c r="AX40" i="19"/>
  <c r="W40" i="19"/>
  <c r="S40" i="19"/>
  <c r="U40" i="19" s="1"/>
  <c r="Q40" i="19"/>
  <c r="V40" i="19" s="1"/>
  <c r="L40" i="19"/>
  <c r="N40" i="19" s="1"/>
  <c r="H40" i="19"/>
  <c r="F40" i="19"/>
  <c r="E40" i="19"/>
  <c r="D40" i="19"/>
  <c r="BR39" i="19"/>
  <c r="BT39" i="19" s="1"/>
  <c r="BP39" i="19"/>
  <c r="BL39" i="19"/>
  <c r="BJ39" i="19"/>
  <c r="BF39" i="19"/>
  <c r="BH39" i="19" s="1"/>
  <c r="BD39" i="19"/>
  <c r="AZ39" i="19"/>
  <c r="BB39" i="19" s="1"/>
  <c r="AX39" i="19"/>
  <c r="W39" i="19"/>
  <c r="Z39" i="19" s="1"/>
  <c r="S39" i="19"/>
  <c r="U39" i="19" s="1"/>
  <c r="Q39" i="19"/>
  <c r="V39" i="19" s="1"/>
  <c r="L39" i="19"/>
  <c r="P39" i="19" s="1"/>
  <c r="H39" i="19"/>
  <c r="J39" i="19" s="1"/>
  <c r="F39" i="19"/>
  <c r="E39" i="19"/>
  <c r="D39" i="19"/>
  <c r="BR38" i="19"/>
  <c r="BT38" i="19" s="1"/>
  <c r="BP38" i="19"/>
  <c r="BL38" i="19"/>
  <c r="BJ38" i="19"/>
  <c r="BO38" i="19" s="1"/>
  <c r="BF38" i="19"/>
  <c r="BH38" i="19" s="1"/>
  <c r="BD38" i="19"/>
  <c r="AZ38" i="19"/>
  <c r="BB38" i="19" s="1"/>
  <c r="AX38" i="19"/>
  <c r="BC38" i="19" s="1"/>
  <c r="W38" i="19"/>
  <c r="Y38" i="19" s="1"/>
  <c r="S38" i="19"/>
  <c r="U38" i="19" s="1"/>
  <c r="Q38" i="19"/>
  <c r="V38" i="19" s="1"/>
  <c r="L38" i="19"/>
  <c r="M38" i="19" s="1"/>
  <c r="H38" i="19"/>
  <c r="J38" i="19" s="1"/>
  <c r="F38" i="19"/>
  <c r="K38" i="19" s="1"/>
  <c r="E38" i="19"/>
  <c r="D38" i="19"/>
  <c r="BR37" i="19"/>
  <c r="BP37" i="19"/>
  <c r="BQ37" i="19" s="1"/>
  <c r="BL37" i="19"/>
  <c r="BN37" i="19" s="1"/>
  <c r="BJ37" i="19"/>
  <c r="BF37" i="19"/>
  <c r="BH37" i="19" s="1"/>
  <c r="BD37" i="19"/>
  <c r="AZ37" i="19"/>
  <c r="BB37" i="19" s="1"/>
  <c r="AX37" i="19"/>
  <c r="W37" i="19"/>
  <c r="S37" i="19"/>
  <c r="U37" i="19" s="1"/>
  <c r="Q37" i="19"/>
  <c r="V37" i="19" s="1"/>
  <c r="L37" i="19"/>
  <c r="P37" i="19" s="1"/>
  <c r="H37" i="19"/>
  <c r="J37" i="19" s="1"/>
  <c r="F37" i="19"/>
  <c r="E37" i="19"/>
  <c r="D37" i="19"/>
  <c r="BR36" i="19"/>
  <c r="BT36" i="19" s="1"/>
  <c r="BP36" i="19"/>
  <c r="BL36" i="19"/>
  <c r="BN36" i="19" s="1"/>
  <c r="BJ36" i="19"/>
  <c r="BK36" i="19" s="1"/>
  <c r="BF36" i="19"/>
  <c r="BH36" i="19" s="1"/>
  <c r="BD36" i="19"/>
  <c r="AZ36" i="19"/>
  <c r="BB36" i="19" s="1"/>
  <c r="AX36" i="19"/>
  <c r="W36" i="19"/>
  <c r="AA36" i="19" s="1"/>
  <c r="S36" i="19"/>
  <c r="U36" i="19" s="1"/>
  <c r="Q36" i="19"/>
  <c r="V36" i="19" s="1"/>
  <c r="L36" i="19"/>
  <c r="H36" i="19"/>
  <c r="J36" i="19" s="1"/>
  <c r="F36" i="19"/>
  <c r="E36" i="19"/>
  <c r="D36" i="19"/>
  <c r="BR35" i="19"/>
  <c r="BP35" i="19"/>
  <c r="BQ35" i="19" s="1"/>
  <c r="BL35" i="19"/>
  <c r="BN35" i="19" s="1"/>
  <c r="BJ35" i="19"/>
  <c r="BF35" i="19"/>
  <c r="BH35" i="19" s="1"/>
  <c r="BD35" i="19"/>
  <c r="AZ35" i="19"/>
  <c r="BB35" i="19" s="1"/>
  <c r="AX35" i="19"/>
  <c r="W35" i="19"/>
  <c r="S35" i="19"/>
  <c r="U35" i="19" s="1"/>
  <c r="Q35" i="19"/>
  <c r="V35" i="19" s="1"/>
  <c r="L35" i="19"/>
  <c r="M35" i="19" s="1"/>
  <c r="H35" i="19"/>
  <c r="J35" i="19" s="1"/>
  <c r="F35" i="19"/>
  <c r="E35" i="19"/>
  <c r="D35" i="19"/>
  <c r="AG455" i="19" l="1"/>
  <c r="BE46" i="19"/>
  <c r="BG46" i="19" s="1"/>
  <c r="BE65" i="19"/>
  <c r="BG65" i="19" s="1"/>
  <c r="BI65" i="19" s="1"/>
  <c r="K427" i="19"/>
  <c r="Z110" i="19"/>
  <c r="I455" i="19"/>
  <c r="O107" i="19"/>
  <c r="N107" i="19"/>
  <c r="Z109" i="19"/>
  <c r="O110" i="19"/>
  <c r="Z107" i="19"/>
  <c r="X109" i="19"/>
  <c r="K63" i="19"/>
  <c r="Y109" i="19"/>
  <c r="BS109" i="19"/>
  <c r="N110" i="19"/>
  <c r="BA110" i="19"/>
  <c r="BE109" i="19"/>
  <c r="BG109" i="19" s="1"/>
  <c r="BI109" i="19" s="1"/>
  <c r="BU109" i="19"/>
  <c r="G110" i="19"/>
  <c r="R110" i="19" s="1"/>
  <c r="T110" i="19" s="1"/>
  <c r="AA110" i="19"/>
  <c r="BC110" i="19"/>
  <c r="N109" i="19"/>
  <c r="P110" i="19"/>
  <c r="X110" i="19"/>
  <c r="P109" i="19"/>
  <c r="M109" i="19"/>
  <c r="BK110" i="19"/>
  <c r="BM110" i="19" s="1"/>
  <c r="G109" i="19"/>
  <c r="R109" i="19" s="1"/>
  <c r="T109" i="19" s="1"/>
  <c r="AY109" i="19"/>
  <c r="BA109" i="19" s="1"/>
  <c r="BK109" i="19"/>
  <c r="BM109" i="19" s="1"/>
  <c r="BE110" i="19"/>
  <c r="BG110" i="19" s="1"/>
  <c r="BI110" i="19" s="1"/>
  <c r="BQ110" i="19"/>
  <c r="BS110" i="19" s="1"/>
  <c r="G107" i="19"/>
  <c r="R107" i="19" s="1"/>
  <c r="T107" i="19" s="1"/>
  <c r="AA107" i="19"/>
  <c r="AY107" i="19"/>
  <c r="BA107" i="19" s="1"/>
  <c r="BK107" i="19"/>
  <c r="BM107" i="19" s="1"/>
  <c r="P107" i="19"/>
  <c r="X107" i="19"/>
  <c r="BE107" i="19"/>
  <c r="BG107" i="19" s="1"/>
  <c r="BI107" i="19" s="1"/>
  <c r="BQ107" i="19"/>
  <c r="BS107" i="19" s="1"/>
  <c r="Z57" i="19"/>
  <c r="AA57" i="19"/>
  <c r="BQ57" i="19"/>
  <c r="BS57" i="19" s="1"/>
  <c r="M61" i="19"/>
  <c r="BM49" i="19"/>
  <c r="N61" i="19"/>
  <c r="Y57" i="19"/>
  <c r="O61" i="19"/>
  <c r="BA62" i="19"/>
  <c r="BE35" i="19"/>
  <c r="BG35" i="19" s="1"/>
  <c r="G44" i="19"/>
  <c r="R44" i="19" s="1"/>
  <c r="T44" i="19" s="1"/>
  <c r="BA61" i="19"/>
  <c r="BO62" i="19"/>
  <c r="Z46" i="19"/>
  <c r="BA46" i="19"/>
  <c r="K49" i="19"/>
  <c r="BS62" i="19"/>
  <c r="BK60" i="19"/>
  <c r="BM60" i="19" s="1"/>
  <c r="BQ60" i="19"/>
  <c r="BS60" i="19" s="1"/>
  <c r="BE62" i="19"/>
  <c r="BG62" i="19" s="1"/>
  <c r="BQ47" i="19"/>
  <c r="BS47" i="19" s="1"/>
  <c r="BQ48" i="19"/>
  <c r="BS48" i="19" s="1"/>
  <c r="K58" i="19"/>
  <c r="BE60" i="19"/>
  <c r="BG60" i="19" s="1"/>
  <c r="BE37" i="19"/>
  <c r="BG37" i="19" s="1"/>
  <c r="AY38" i="19"/>
  <c r="BA38" i="19" s="1"/>
  <c r="BC46" i="19"/>
  <c r="BO49" i="19"/>
  <c r="BE50" i="19"/>
  <c r="BG50" i="19" s="1"/>
  <c r="BI50" i="19" s="1"/>
  <c r="BE59" i="19"/>
  <c r="BG59" i="19" s="1"/>
  <c r="BM62" i="19"/>
  <c r="BU45" i="19"/>
  <c r="BQ45" i="19"/>
  <c r="BS45" i="19" s="1"/>
  <c r="O48" i="19"/>
  <c r="M48" i="19"/>
  <c r="AY49" i="19"/>
  <c r="BA49" i="19" s="1"/>
  <c r="BC49" i="19"/>
  <c r="BU49" i="19"/>
  <c r="BQ49" i="19"/>
  <c r="BS49" i="19" s="1"/>
  <c r="O38" i="19"/>
  <c r="AA38" i="19"/>
  <c r="BQ44" i="19"/>
  <c r="BS44" i="19" s="1"/>
  <c r="BC48" i="19"/>
  <c r="AY48" i="19"/>
  <c r="BA48" i="19" s="1"/>
  <c r="BN58" i="19"/>
  <c r="BC59" i="19"/>
  <c r="AY59" i="19"/>
  <c r="BA59" i="19" s="1"/>
  <c r="BE61" i="19"/>
  <c r="BG61" i="19" s="1"/>
  <c r="M64" i="19"/>
  <c r="N64" i="19"/>
  <c r="G38" i="19"/>
  <c r="R38" i="19" s="1"/>
  <c r="T38" i="19" s="1"/>
  <c r="BC45" i="19"/>
  <c r="AY45" i="19"/>
  <c r="BA45" i="19" s="1"/>
  <c r="P46" i="19"/>
  <c r="N46" i="19"/>
  <c r="M46" i="19"/>
  <c r="BK47" i="19"/>
  <c r="BM47" i="19" s="1"/>
  <c r="BU50" i="19"/>
  <c r="BQ50" i="19"/>
  <c r="BS50" i="19" s="1"/>
  <c r="Z55" i="19"/>
  <c r="X55" i="19"/>
  <c r="BN57" i="19"/>
  <c r="BM57" i="19"/>
  <c r="R63" i="19"/>
  <c r="T63" i="19" s="1"/>
  <c r="I63" i="19"/>
  <c r="BU63" i="19"/>
  <c r="BQ63" i="19"/>
  <c r="BS63" i="19" s="1"/>
  <c r="AA43" i="19"/>
  <c r="Y43" i="19"/>
  <c r="X44" i="19"/>
  <c r="Z44" i="19"/>
  <c r="K45" i="19"/>
  <c r="K48" i="19"/>
  <c r="P50" i="19"/>
  <c r="N50" i="19"/>
  <c r="M50" i="19"/>
  <c r="Y54" i="19"/>
  <c r="Z54" i="19"/>
  <c r="BC61" i="19"/>
  <c r="BU62" i="19"/>
  <c r="BC44" i="19"/>
  <c r="N56" i="19"/>
  <c r="BO57" i="19"/>
  <c r="M58" i="19"/>
  <c r="K61" i="19"/>
  <c r="M63" i="19"/>
  <c r="Z64" i="19"/>
  <c r="X65" i="19"/>
  <c r="BA44" i="19"/>
  <c r="BE44" i="19"/>
  <c r="BG44" i="19" s="1"/>
  <c r="BK45" i="19"/>
  <c r="BM45" i="19" s="1"/>
  <c r="G46" i="19"/>
  <c r="R46" i="19" s="1"/>
  <c r="T46" i="19" s="1"/>
  <c r="Z48" i="19"/>
  <c r="BK50" i="19"/>
  <c r="BM50" i="19" s="1"/>
  <c r="G51" i="19"/>
  <c r="N51" i="19"/>
  <c r="BE57" i="19"/>
  <c r="BG57" i="19" s="1"/>
  <c r="P58" i="19"/>
  <c r="BK58" i="19"/>
  <c r="BM58" i="19" s="1"/>
  <c r="O63" i="19"/>
  <c r="Z65" i="19"/>
  <c r="BQ65" i="19"/>
  <c r="BS65" i="19" s="1"/>
  <c r="AA37" i="19"/>
  <c r="Y37" i="19"/>
  <c r="Z37" i="19"/>
  <c r="BQ61" i="19"/>
  <c r="BS61" i="19" s="1"/>
  <c r="BU61" i="19"/>
  <c r="AA40" i="19"/>
  <c r="Z40" i="19"/>
  <c r="K62" i="19"/>
  <c r="G62" i="19"/>
  <c r="I62" i="19" s="1"/>
  <c r="X37" i="19"/>
  <c r="AY43" i="19"/>
  <c r="BA43" i="19" s="1"/>
  <c r="BC43" i="19"/>
  <c r="BH48" i="19"/>
  <c r="AA35" i="19"/>
  <c r="Z35" i="19"/>
  <c r="Y35" i="19"/>
  <c r="M36" i="19"/>
  <c r="O36" i="19"/>
  <c r="X40" i="19"/>
  <c r="X35" i="19"/>
  <c r="K36" i="19"/>
  <c r="G36" i="19"/>
  <c r="R36" i="19" s="1"/>
  <c r="T36" i="19" s="1"/>
  <c r="BC36" i="19"/>
  <c r="AY36" i="19"/>
  <c r="BA36" i="19" s="1"/>
  <c r="P59" i="19"/>
  <c r="M59" i="19"/>
  <c r="O59" i="19"/>
  <c r="N59" i="19"/>
  <c r="AA39" i="19"/>
  <c r="Y39" i="19"/>
  <c r="AA41" i="19"/>
  <c r="X41" i="19"/>
  <c r="AA42" i="19"/>
  <c r="Z42" i="19"/>
  <c r="X42" i="19"/>
  <c r="M43" i="19"/>
  <c r="N43" i="19"/>
  <c r="BQ43" i="19"/>
  <c r="BS43" i="19" s="1"/>
  <c r="AY58" i="19"/>
  <c r="BA58" i="19" s="1"/>
  <c r="BC58" i="19"/>
  <c r="Y36" i="19"/>
  <c r="X36" i="19"/>
  <c r="O35" i="19"/>
  <c r="P35" i="19"/>
  <c r="Z36" i="19"/>
  <c r="O37" i="19"/>
  <c r="M37" i="19"/>
  <c r="X38" i="19"/>
  <c r="X39" i="19"/>
  <c r="Y41" i="19"/>
  <c r="BK43" i="19"/>
  <c r="BM43" i="19" s="1"/>
  <c r="P44" i="19"/>
  <c r="O44" i="19"/>
  <c r="N44" i="19"/>
  <c r="BQ46" i="19"/>
  <c r="BS46" i="19" s="1"/>
  <c r="BU46" i="19"/>
  <c r="K47" i="19"/>
  <c r="G47" i="19"/>
  <c r="R47" i="19" s="1"/>
  <c r="T47" i="19" s="1"/>
  <c r="AY47" i="19"/>
  <c r="BA47" i="19" s="1"/>
  <c r="BC47" i="19"/>
  <c r="BT50" i="19"/>
  <c r="AA51" i="19"/>
  <c r="Z51" i="19"/>
  <c r="AA53" i="19"/>
  <c r="Z53" i="19"/>
  <c r="Z58" i="19"/>
  <c r="X58" i="19"/>
  <c r="AA58" i="19"/>
  <c r="Y58" i="19"/>
  <c r="BH59" i="19"/>
  <c r="BU59" i="19"/>
  <c r="BQ59" i="19"/>
  <c r="BS59" i="19" s="1"/>
  <c r="G60" i="19"/>
  <c r="R60" i="19" s="1"/>
  <c r="T60" i="19" s="1"/>
  <c r="K60" i="19"/>
  <c r="X61" i="19"/>
  <c r="Y61" i="19"/>
  <c r="BO61" i="19"/>
  <c r="BK61" i="19"/>
  <c r="BM61" i="19" s="1"/>
  <c r="Z43" i="19"/>
  <c r="O46" i="19"/>
  <c r="P48" i="19"/>
  <c r="N48" i="19"/>
  <c r="BO48" i="19"/>
  <c r="BK48" i="19"/>
  <c r="BM48" i="19" s="1"/>
  <c r="P49" i="19"/>
  <c r="M49" i="19"/>
  <c r="BE49" i="19"/>
  <c r="BG49" i="19" s="1"/>
  <c r="K50" i="19"/>
  <c r="BC50" i="19"/>
  <c r="X51" i="19"/>
  <c r="Y52" i="19"/>
  <c r="X52" i="19"/>
  <c r="X53" i="19"/>
  <c r="AY60" i="19"/>
  <c r="BA60" i="19" s="1"/>
  <c r="BC60" i="19"/>
  <c r="BE48" i="19"/>
  <c r="BG48" i="19" s="1"/>
  <c r="BI48" i="19" s="1"/>
  <c r="BA50" i="19"/>
  <c r="Y51" i="19"/>
  <c r="Y53" i="19"/>
  <c r="AA55" i="19"/>
  <c r="Y55" i="19"/>
  <c r="Y56" i="19"/>
  <c r="X56" i="19"/>
  <c r="Z56" i="19"/>
  <c r="P57" i="19"/>
  <c r="M57" i="19"/>
  <c r="O57" i="19"/>
  <c r="N60" i="19"/>
  <c r="M60" i="19"/>
  <c r="R61" i="19"/>
  <c r="T61" i="19" s="1"/>
  <c r="I61" i="19"/>
  <c r="BO59" i="19"/>
  <c r="BK59" i="19"/>
  <c r="BM59" i="19" s="1"/>
  <c r="N62" i="19"/>
  <c r="O62" i="19"/>
  <c r="M62" i="19"/>
  <c r="M66" i="19"/>
  <c r="O66" i="19"/>
  <c r="N66" i="19"/>
  <c r="U61" i="19"/>
  <c r="AY64" i="19"/>
  <c r="BA64" i="19" s="1"/>
  <c r="BC64" i="19"/>
  <c r="BC62" i="19"/>
  <c r="N63" i="19"/>
  <c r="P64" i="19"/>
  <c r="BO64" i="19"/>
  <c r="BE58" i="19"/>
  <c r="BG58" i="19" s="1"/>
  <c r="Y63" i="19"/>
  <c r="Y65" i="19"/>
  <c r="BS35" i="19"/>
  <c r="BS37" i="19"/>
  <c r="BE40" i="19"/>
  <c r="BG40" i="19" s="1"/>
  <c r="BB42" i="19"/>
  <c r="BB58" i="19"/>
  <c r="K35" i="19"/>
  <c r="G35" i="19"/>
  <c r="R35" i="19" s="1"/>
  <c r="T35" i="19" s="1"/>
  <c r="BC35" i="19"/>
  <c r="AY35" i="19"/>
  <c r="BA35" i="19" s="1"/>
  <c r="BT35" i="19"/>
  <c r="P36" i="19"/>
  <c r="K37" i="19"/>
  <c r="G37" i="19"/>
  <c r="R37" i="19" s="1"/>
  <c r="T37" i="19" s="1"/>
  <c r="BC37" i="19"/>
  <c r="AY37" i="19"/>
  <c r="BA37" i="19" s="1"/>
  <c r="BT37" i="19"/>
  <c r="P38" i="19"/>
  <c r="Z38" i="19"/>
  <c r="BN38" i="19"/>
  <c r="BO39" i="19"/>
  <c r="BK39" i="19"/>
  <c r="BM39" i="19" s="1"/>
  <c r="K40" i="19"/>
  <c r="G40" i="19"/>
  <c r="R40" i="19" s="1"/>
  <c r="T40" i="19" s="1"/>
  <c r="BC40" i="19"/>
  <c r="AY40" i="19"/>
  <c r="BA40" i="19" s="1"/>
  <c r="BO41" i="19"/>
  <c r="BK41" i="19"/>
  <c r="BM41" i="19" s="1"/>
  <c r="K42" i="19"/>
  <c r="G42" i="19"/>
  <c r="R42" i="19" s="1"/>
  <c r="T42" i="19" s="1"/>
  <c r="N42" i="19"/>
  <c r="BE42" i="19"/>
  <c r="BG42" i="19" s="1"/>
  <c r="BN42" i="19"/>
  <c r="R45" i="19"/>
  <c r="T45" i="19" s="1"/>
  <c r="I45" i="19"/>
  <c r="BE47" i="19"/>
  <c r="BG47" i="19" s="1"/>
  <c r="U49" i="19"/>
  <c r="BE53" i="19"/>
  <c r="BG53" i="19" s="1"/>
  <c r="BN53" i="19"/>
  <c r="BU54" i="19"/>
  <c r="BQ54" i="19"/>
  <c r="BS54" i="19" s="1"/>
  <c r="O40" i="19"/>
  <c r="M40" i="19"/>
  <c r="BU41" i="19"/>
  <c r="BQ41" i="19"/>
  <c r="BS41" i="19" s="1"/>
  <c r="BN43" i="19"/>
  <c r="N45" i="19"/>
  <c r="P45" i="19"/>
  <c r="O45" i="19"/>
  <c r="M45" i="19"/>
  <c r="Z50" i="19"/>
  <c r="X50" i="19"/>
  <c r="AA50" i="19"/>
  <c r="Y50" i="19"/>
  <c r="BO35" i="19"/>
  <c r="BK35" i="19"/>
  <c r="BM35" i="19" s="1"/>
  <c r="BU35" i="19"/>
  <c r="BO37" i="19"/>
  <c r="BK37" i="19"/>
  <c r="BM37" i="19" s="1"/>
  <c r="BU37" i="19"/>
  <c r="BE38" i="19"/>
  <c r="BG38" i="19" s="1"/>
  <c r="BU38" i="19"/>
  <c r="BQ38" i="19"/>
  <c r="BS38" i="19" s="1"/>
  <c r="M39" i="19"/>
  <c r="O39" i="19"/>
  <c r="BE39" i="19"/>
  <c r="BG39" i="19" s="1"/>
  <c r="P40" i="19"/>
  <c r="BU40" i="19"/>
  <c r="BQ40" i="19"/>
  <c r="BS40" i="19" s="1"/>
  <c r="M41" i="19"/>
  <c r="O41" i="19"/>
  <c r="BE41" i="19"/>
  <c r="BG41" i="19" s="1"/>
  <c r="BU42" i="19"/>
  <c r="BQ42" i="19"/>
  <c r="BS42" i="19" s="1"/>
  <c r="BE45" i="19"/>
  <c r="BG45" i="19" s="1"/>
  <c r="BN47" i="19"/>
  <c r="R49" i="19"/>
  <c r="T49" i="19" s="1"/>
  <c r="I49" i="19"/>
  <c r="R50" i="19"/>
  <c r="T50" i="19" s="1"/>
  <c r="I50" i="19"/>
  <c r="O53" i="19"/>
  <c r="M53" i="19"/>
  <c r="P53" i="19"/>
  <c r="N53" i="19"/>
  <c r="BM36" i="19"/>
  <c r="BU39" i="19"/>
  <c r="BQ39" i="19"/>
  <c r="BS39" i="19" s="1"/>
  <c r="O42" i="19"/>
  <c r="M42" i="19"/>
  <c r="Z45" i="19"/>
  <c r="AA45" i="19"/>
  <c r="Y45" i="19"/>
  <c r="X45" i="19"/>
  <c r="R48" i="19"/>
  <c r="T48" i="19" s="1"/>
  <c r="I48" i="19"/>
  <c r="BE36" i="19"/>
  <c r="BG36" i="19" s="1"/>
  <c r="BO36" i="19"/>
  <c r="N35" i="19"/>
  <c r="N36" i="19"/>
  <c r="BU36" i="19"/>
  <c r="BQ36" i="19"/>
  <c r="BS36" i="19" s="1"/>
  <c r="N37" i="19"/>
  <c r="N38" i="19"/>
  <c r="BK38" i="19"/>
  <c r="BM38" i="19" s="1"/>
  <c r="K39" i="19"/>
  <c r="G39" i="19"/>
  <c r="R39" i="19" s="1"/>
  <c r="T39" i="19" s="1"/>
  <c r="N39" i="19"/>
  <c r="BC39" i="19"/>
  <c r="AY39" i="19"/>
  <c r="BA39" i="19" s="1"/>
  <c r="BN39" i="19"/>
  <c r="J40" i="19"/>
  <c r="BB40" i="19"/>
  <c r="BO40" i="19"/>
  <c r="BK40" i="19"/>
  <c r="BM40" i="19" s="1"/>
  <c r="K41" i="19"/>
  <c r="G41" i="19"/>
  <c r="R41" i="19" s="1"/>
  <c r="T41" i="19" s="1"/>
  <c r="N41" i="19"/>
  <c r="BC41" i="19"/>
  <c r="AY41" i="19"/>
  <c r="BA41" i="19" s="1"/>
  <c r="BN41" i="19"/>
  <c r="J42" i="19"/>
  <c r="K43" i="19"/>
  <c r="G43" i="19"/>
  <c r="R43" i="19" s="1"/>
  <c r="T43" i="19" s="1"/>
  <c r="BE43" i="19"/>
  <c r="BG43" i="19" s="1"/>
  <c r="BN45" i="19"/>
  <c r="N47" i="19"/>
  <c r="P47" i="19"/>
  <c r="O47" i="19"/>
  <c r="M47" i="19"/>
  <c r="Z47" i="19"/>
  <c r="AA47" i="19"/>
  <c r="Y47" i="19"/>
  <c r="X47" i="19"/>
  <c r="J52" i="19"/>
  <c r="Y40" i="19"/>
  <c r="Y42" i="19"/>
  <c r="O43" i="19"/>
  <c r="AA44" i="19"/>
  <c r="AA46" i="19"/>
  <c r="AA48" i="19"/>
  <c r="BE51" i="19"/>
  <c r="BG51" i="19" s="1"/>
  <c r="BN51" i="19"/>
  <c r="BU52" i="19"/>
  <c r="BQ52" i="19"/>
  <c r="BS52" i="19" s="1"/>
  <c r="P43" i="19"/>
  <c r="X49" i="19"/>
  <c r="Z49" i="19"/>
  <c r="BB54" i="19"/>
  <c r="BO56" i="19"/>
  <c r="BK56" i="19"/>
  <c r="BM56" i="19" s="1"/>
  <c r="BT56" i="19"/>
  <c r="U60" i="19"/>
  <c r="BE63" i="19"/>
  <c r="BG63" i="19" s="1"/>
  <c r="AY42" i="19"/>
  <c r="BA42" i="19" s="1"/>
  <c r="BK42" i="19"/>
  <c r="BM42" i="19" s="1"/>
  <c r="Y44" i="19"/>
  <c r="BK44" i="19"/>
  <c r="BM44" i="19" s="1"/>
  <c r="Y46" i="19"/>
  <c r="BK46" i="19"/>
  <c r="BM46" i="19" s="1"/>
  <c r="Y48" i="19"/>
  <c r="Y49" i="19"/>
  <c r="U50" i="19"/>
  <c r="BB52" i="19"/>
  <c r="J54" i="19"/>
  <c r="O55" i="19"/>
  <c r="M55" i="19"/>
  <c r="P55" i="19"/>
  <c r="N55" i="19"/>
  <c r="BB55" i="19"/>
  <c r="N49" i="19"/>
  <c r="P51" i="19"/>
  <c r="BC51" i="19"/>
  <c r="AY51" i="19"/>
  <c r="BA51" i="19" s="1"/>
  <c r="BO52" i="19"/>
  <c r="BK52" i="19"/>
  <c r="BM52" i="19" s="1"/>
  <c r="K53" i="19"/>
  <c r="G53" i="19"/>
  <c r="R53" i="19" s="1"/>
  <c r="T53" i="19" s="1"/>
  <c r="BC53" i="19"/>
  <c r="AY53" i="19"/>
  <c r="BA53" i="19" s="1"/>
  <c r="BO54" i="19"/>
  <c r="BK54" i="19"/>
  <c r="BM54" i="19" s="1"/>
  <c r="K55" i="19"/>
  <c r="G55" i="19"/>
  <c r="R55" i="19" s="1"/>
  <c r="T55" i="19" s="1"/>
  <c r="BE55" i="19"/>
  <c r="BG55" i="19" s="1"/>
  <c r="BI55" i="19" s="1"/>
  <c r="BN55" i="19"/>
  <c r="U58" i="19"/>
  <c r="T58" i="19"/>
  <c r="BU51" i="19"/>
  <c r="BQ51" i="19"/>
  <c r="BS51" i="19" s="1"/>
  <c r="M52" i="19"/>
  <c r="O52" i="19"/>
  <c r="BE52" i="19"/>
  <c r="BG52" i="19" s="1"/>
  <c r="BI52" i="19" s="1"/>
  <c r="BU53" i="19"/>
  <c r="BQ53" i="19"/>
  <c r="BS53" i="19" s="1"/>
  <c r="M54" i="19"/>
  <c r="O54" i="19"/>
  <c r="BE54" i="19"/>
  <c r="BG54" i="19" s="1"/>
  <c r="BI54" i="19" s="1"/>
  <c r="BU55" i="19"/>
  <c r="BQ55" i="19"/>
  <c r="BS55" i="19" s="1"/>
  <c r="X59" i="19"/>
  <c r="Z59" i="19"/>
  <c r="AA59" i="19"/>
  <c r="Y59" i="19"/>
  <c r="AY66" i="19"/>
  <c r="BA66" i="19" s="1"/>
  <c r="BC66" i="19"/>
  <c r="M51" i="19"/>
  <c r="BB51" i="19"/>
  <c r="BO51" i="19"/>
  <c r="BK51" i="19"/>
  <c r="BM51" i="19" s="1"/>
  <c r="K52" i="19"/>
  <c r="G52" i="19"/>
  <c r="R52" i="19" s="1"/>
  <c r="T52" i="19" s="1"/>
  <c r="N52" i="19"/>
  <c r="BC52" i="19"/>
  <c r="AY52" i="19"/>
  <c r="BA52" i="19" s="1"/>
  <c r="BN52" i="19"/>
  <c r="J53" i="19"/>
  <c r="BB53" i="19"/>
  <c r="BO53" i="19"/>
  <c r="BK53" i="19"/>
  <c r="BM53" i="19" s="1"/>
  <c r="K54" i="19"/>
  <c r="G54" i="19"/>
  <c r="R54" i="19" s="1"/>
  <c r="T54" i="19" s="1"/>
  <c r="N54" i="19"/>
  <c r="BC54" i="19"/>
  <c r="AY54" i="19"/>
  <c r="BA54" i="19" s="1"/>
  <c r="BN54" i="19"/>
  <c r="J55" i="19"/>
  <c r="K56" i="19"/>
  <c r="G56" i="19"/>
  <c r="R56" i="19" s="1"/>
  <c r="T56" i="19" s="1"/>
  <c r="BC56" i="19"/>
  <c r="AY56" i="19"/>
  <c r="BA56" i="19" s="1"/>
  <c r="BH56" i="19"/>
  <c r="J58" i="19"/>
  <c r="I58" i="19"/>
  <c r="Z62" i="19"/>
  <c r="Y62" i="19"/>
  <c r="X62" i="19"/>
  <c r="AA62" i="19"/>
  <c r="G64" i="19"/>
  <c r="R64" i="19" s="1"/>
  <c r="T64" i="19" s="1"/>
  <c r="K64" i="19"/>
  <c r="AA52" i="19"/>
  <c r="AA54" i="19"/>
  <c r="O56" i="19"/>
  <c r="AA56" i="19"/>
  <c r="O58" i="19"/>
  <c r="U66" i="19"/>
  <c r="T66" i="19"/>
  <c r="BO66" i="19"/>
  <c r="P56" i="19"/>
  <c r="Z60" i="19"/>
  <c r="X60" i="19"/>
  <c r="BC63" i="19"/>
  <c r="AY63" i="19"/>
  <c r="BA63" i="19" s="1"/>
  <c r="AY55" i="19"/>
  <c r="BA55" i="19" s="1"/>
  <c r="BK55" i="19"/>
  <c r="BM55" i="19" s="1"/>
  <c r="BE56" i="19"/>
  <c r="BG56" i="19" s="1"/>
  <c r="BQ56" i="19"/>
  <c r="BS56" i="19" s="1"/>
  <c r="G57" i="19"/>
  <c r="U57" i="19"/>
  <c r="AY57" i="19"/>
  <c r="BA57" i="19" s="1"/>
  <c r="BQ58" i="19"/>
  <c r="BS58" i="19" s="1"/>
  <c r="G59" i="19"/>
  <c r="U59" i="19"/>
  <c r="Y60" i="19"/>
  <c r="U62" i="19"/>
  <c r="I66" i="19"/>
  <c r="P60" i="19"/>
  <c r="Z61" i="19"/>
  <c r="P62" i="19"/>
  <c r="Z63" i="19"/>
  <c r="BO63" i="19"/>
  <c r="BK63" i="19"/>
  <c r="BM63" i="19" s="1"/>
  <c r="AA64" i="19"/>
  <c r="O65" i="19"/>
  <c r="N65" i="19"/>
  <c r="AA61" i="19"/>
  <c r="BM64" i="19"/>
  <c r="K66" i="19"/>
  <c r="Y66" i="19"/>
  <c r="X66" i="19"/>
  <c r="BM66" i="19"/>
  <c r="X63" i="19"/>
  <c r="BH63" i="19"/>
  <c r="J64" i="19"/>
  <c r="O64" i="19"/>
  <c r="X64" i="19"/>
  <c r="P65" i="19"/>
  <c r="Z66" i="19"/>
  <c r="P66" i="19"/>
  <c r="BE64" i="19"/>
  <c r="BG64" i="19" s="1"/>
  <c r="BQ64" i="19"/>
  <c r="BS64" i="19" s="1"/>
  <c r="G65" i="19"/>
  <c r="AY65" i="19"/>
  <c r="BA65" i="19" s="1"/>
  <c r="BK65" i="19"/>
  <c r="BM65" i="19" s="1"/>
  <c r="BE66" i="19"/>
  <c r="BG66" i="19" s="1"/>
  <c r="BI66" i="19" s="1"/>
  <c r="BQ66" i="19"/>
  <c r="BS66" i="19" s="1"/>
  <c r="BI56" i="19" l="1"/>
  <c r="BI43" i="19"/>
  <c r="BI39" i="19"/>
  <c r="BI38" i="19"/>
  <c r="BI47" i="19"/>
  <c r="BI61" i="19"/>
  <c r="BI62" i="19"/>
  <c r="BI63" i="19"/>
  <c r="BI45" i="19"/>
  <c r="BI57" i="19"/>
  <c r="BI64" i="19"/>
  <c r="BI36" i="19"/>
  <c r="BI53" i="19"/>
  <c r="BI49" i="19"/>
  <c r="BI44" i="19"/>
  <c r="BI46" i="19"/>
  <c r="BI59" i="19"/>
  <c r="BI51" i="19"/>
  <c r="BI41" i="19"/>
  <c r="BI42" i="19"/>
  <c r="BI40" i="19"/>
  <c r="BI58" i="19"/>
  <c r="BI37" i="19"/>
  <c r="BI60" i="19"/>
  <c r="BI35" i="19"/>
  <c r="K455" i="19"/>
  <c r="I109" i="19"/>
  <c r="I44" i="19"/>
  <c r="I107" i="19"/>
  <c r="I110" i="19"/>
  <c r="I36" i="19"/>
  <c r="I60" i="19"/>
  <c r="R62" i="19"/>
  <c r="T62" i="19" s="1"/>
  <c r="I46" i="19"/>
  <c r="I38" i="19"/>
  <c r="R51" i="19"/>
  <c r="T51" i="19" s="1"/>
  <c r="I51" i="19"/>
  <c r="I42" i="19"/>
  <c r="I53" i="19"/>
  <c r="I47" i="19"/>
  <c r="I37" i="19"/>
  <c r="I39" i="19"/>
  <c r="R65" i="19"/>
  <c r="T65" i="19" s="1"/>
  <c r="I65" i="19"/>
  <c r="R57" i="19"/>
  <c r="T57" i="19" s="1"/>
  <c r="I57" i="19"/>
  <c r="I56" i="19"/>
  <c r="I52" i="19"/>
  <c r="I64" i="19"/>
  <c r="I55" i="19"/>
  <c r="I54" i="19"/>
  <c r="I41" i="19"/>
  <c r="I40" i="19"/>
  <c r="I35" i="19"/>
  <c r="R59" i="19"/>
  <c r="T59" i="19" s="1"/>
  <c r="I59" i="19"/>
  <c r="I43" i="19"/>
  <c r="BR34" i="19" l="1"/>
  <c r="BP34" i="19"/>
  <c r="BU34" i="19" s="1"/>
  <c r="BL34" i="19"/>
  <c r="BN34" i="19" s="1"/>
  <c r="BJ34" i="19"/>
  <c r="BF34" i="19"/>
  <c r="BD34" i="19"/>
  <c r="AZ34" i="19"/>
  <c r="BB34" i="19" s="1"/>
  <c r="AX34" i="19"/>
  <c r="W34" i="19"/>
  <c r="S34" i="19"/>
  <c r="U34" i="19" s="1"/>
  <c r="Q34" i="19"/>
  <c r="V34" i="19" s="1"/>
  <c r="L34" i="19"/>
  <c r="M34" i="19" s="1"/>
  <c r="H34" i="19"/>
  <c r="J34" i="19" s="1"/>
  <c r="F34" i="19"/>
  <c r="E34" i="19"/>
  <c r="D34" i="19"/>
  <c r="BR33" i="19"/>
  <c r="BT33" i="19" s="1"/>
  <c r="BP33" i="19"/>
  <c r="BL33" i="19"/>
  <c r="BJ33" i="19"/>
  <c r="BO33" i="19" s="1"/>
  <c r="BF33" i="19"/>
  <c r="BH33" i="19" s="1"/>
  <c r="BD33" i="19"/>
  <c r="AZ33" i="19"/>
  <c r="AX33" i="19"/>
  <c r="BC33" i="19" s="1"/>
  <c r="W33" i="19"/>
  <c r="AA33" i="19" s="1"/>
  <c r="S33" i="19"/>
  <c r="U33" i="19" s="1"/>
  <c r="Q33" i="19"/>
  <c r="V33" i="19" s="1"/>
  <c r="L33" i="19"/>
  <c r="N33" i="19" s="1"/>
  <c r="H33" i="19"/>
  <c r="J33" i="19" s="1"/>
  <c r="F33" i="19"/>
  <c r="E33" i="19"/>
  <c r="D33" i="19"/>
  <c r="BR32" i="19"/>
  <c r="BP32" i="19"/>
  <c r="BL32" i="19"/>
  <c r="BN32" i="19" s="1"/>
  <c r="BJ32" i="19"/>
  <c r="BF32" i="19"/>
  <c r="BD32" i="19"/>
  <c r="AZ32" i="19"/>
  <c r="BB32" i="19" s="1"/>
  <c r="AX32" i="19"/>
  <c r="W32" i="19"/>
  <c r="AA32" i="19" s="1"/>
  <c r="S32" i="19"/>
  <c r="U32" i="19" s="1"/>
  <c r="Q32" i="19"/>
  <c r="V32" i="19" s="1"/>
  <c r="L32" i="19"/>
  <c r="P32" i="19" s="1"/>
  <c r="H32" i="19"/>
  <c r="J32" i="19" s="1"/>
  <c r="F32" i="19"/>
  <c r="E32" i="19"/>
  <c r="D32" i="19"/>
  <c r="BR31" i="19"/>
  <c r="BP31" i="19"/>
  <c r="BL31" i="19"/>
  <c r="BN31" i="19" s="1"/>
  <c r="BJ31" i="19"/>
  <c r="BF31" i="19"/>
  <c r="BD31" i="19"/>
  <c r="AZ31" i="19"/>
  <c r="BB31" i="19" s="1"/>
  <c r="AX31" i="19"/>
  <c r="W31" i="19"/>
  <c r="S31" i="19"/>
  <c r="Q31" i="19"/>
  <c r="V31" i="19" s="1"/>
  <c r="L31" i="19"/>
  <c r="H31" i="19"/>
  <c r="J31" i="19" s="1"/>
  <c r="F31" i="19"/>
  <c r="K31" i="19" s="1"/>
  <c r="E31" i="19"/>
  <c r="D31" i="19"/>
  <c r="BR30" i="19"/>
  <c r="BT30" i="19" s="1"/>
  <c r="BP30" i="19"/>
  <c r="BQ30" i="19" s="1"/>
  <c r="BL30" i="19"/>
  <c r="BN30" i="19" s="1"/>
  <c r="BJ30" i="19"/>
  <c r="BK30" i="19" s="1"/>
  <c r="BF30" i="19"/>
  <c r="BH30" i="19" s="1"/>
  <c r="BD30" i="19"/>
  <c r="AZ30" i="19"/>
  <c r="AX30" i="19"/>
  <c r="BC30" i="19" s="1"/>
  <c r="W30" i="19"/>
  <c r="AA30" i="19" s="1"/>
  <c r="S30" i="19"/>
  <c r="Q30" i="19"/>
  <c r="V30" i="19" s="1"/>
  <c r="L30" i="19"/>
  <c r="P30" i="19" s="1"/>
  <c r="H30" i="19"/>
  <c r="J30" i="19" s="1"/>
  <c r="F30" i="19"/>
  <c r="G30" i="19" s="1"/>
  <c r="E30" i="19"/>
  <c r="D30" i="19"/>
  <c r="BR29" i="19"/>
  <c r="BT29" i="19" s="1"/>
  <c r="BP29" i="19"/>
  <c r="BU29" i="19" s="1"/>
  <c r="BL29" i="19"/>
  <c r="BJ29" i="19"/>
  <c r="BO29" i="19" s="1"/>
  <c r="BF29" i="19"/>
  <c r="BH29" i="19" s="1"/>
  <c r="BD29" i="19"/>
  <c r="AZ29" i="19"/>
  <c r="BB29" i="19" s="1"/>
  <c r="AX29" i="19"/>
  <c r="BC29" i="19" s="1"/>
  <c r="W29" i="19"/>
  <c r="S29" i="19"/>
  <c r="U29" i="19" s="1"/>
  <c r="Q29" i="19"/>
  <c r="V29" i="19" s="1"/>
  <c r="L29" i="19"/>
  <c r="N29" i="19" s="1"/>
  <c r="H29" i="19"/>
  <c r="J29" i="19" s="1"/>
  <c r="F29" i="19"/>
  <c r="K29" i="19" s="1"/>
  <c r="E29" i="19"/>
  <c r="D29" i="19"/>
  <c r="BR28" i="19"/>
  <c r="BT28" i="19" s="1"/>
  <c r="BP28" i="19"/>
  <c r="BU28" i="19" s="1"/>
  <c r="BL28" i="19"/>
  <c r="BN28" i="19" s="1"/>
  <c r="BJ28" i="19"/>
  <c r="BK28" i="19" s="1"/>
  <c r="BF28" i="19"/>
  <c r="BH28" i="19" s="1"/>
  <c r="BD28" i="19"/>
  <c r="AZ28" i="19"/>
  <c r="BB28" i="19" s="1"/>
  <c r="AX28" i="19"/>
  <c r="BC28" i="19" s="1"/>
  <c r="W28" i="19"/>
  <c r="Y28" i="19" s="1"/>
  <c r="S28" i="19"/>
  <c r="U28" i="19" s="1"/>
  <c r="Q28" i="19"/>
  <c r="V28" i="19" s="1"/>
  <c r="L28" i="19"/>
  <c r="P28" i="19" s="1"/>
  <c r="H28" i="19"/>
  <c r="J28" i="19" s="1"/>
  <c r="F28" i="19"/>
  <c r="E28" i="19"/>
  <c r="D28" i="19"/>
  <c r="BR27" i="19"/>
  <c r="BT27" i="19" s="1"/>
  <c r="BP27" i="19"/>
  <c r="BL27" i="19"/>
  <c r="BJ27" i="19"/>
  <c r="BO27" i="19" s="1"/>
  <c r="BF27" i="19"/>
  <c r="BH27" i="19" s="1"/>
  <c r="BD27" i="19"/>
  <c r="AZ27" i="19"/>
  <c r="AX27" i="19"/>
  <c r="W27" i="19"/>
  <c r="AA27" i="19" s="1"/>
  <c r="S27" i="19"/>
  <c r="U27" i="19" s="1"/>
  <c r="Q27" i="19"/>
  <c r="L27" i="19"/>
  <c r="P27" i="19" s="1"/>
  <c r="H27" i="19"/>
  <c r="J27" i="19" s="1"/>
  <c r="F27" i="19"/>
  <c r="E27" i="19"/>
  <c r="D27" i="19"/>
  <c r="BR26" i="19"/>
  <c r="BT26" i="19" s="1"/>
  <c r="BP26" i="19"/>
  <c r="BQ26" i="19" s="1"/>
  <c r="BL26" i="19"/>
  <c r="BN26" i="19" s="1"/>
  <c r="BJ26" i="19"/>
  <c r="BF26" i="19"/>
  <c r="BH26" i="19" s="1"/>
  <c r="BD26" i="19"/>
  <c r="AZ26" i="19"/>
  <c r="BB26" i="19" s="1"/>
  <c r="AX26" i="19"/>
  <c r="W26" i="19"/>
  <c r="S26" i="19"/>
  <c r="Q26" i="19"/>
  <c r="L26" i="19"/>
  <c r="P26" i="19" s="1"/>
  <c r="H26" i="19"/>
  <c r="J26" i="19" s="1"/>
  <c r="F26" i="19"/>
  <c r="E26" i="19"/>
  <c r="D26" i="19"/>
  <c r="BR25" i="19"/>
  <c r="BT25" i="19" s="1"/>
  <c r="BP25" i="19"/>
  <c r="BQ25" i="19" s="1"/>
  <c r="BL25" i="19"/>
  <c r="BN25" i="19" s="1"/>
  <c r="BJ25" i="19"/>
  <c r="BO25" i="19" s="1"/>
  <c r="BF25" i="19"/>
  <c r="BH25" i="19" s="1"/>
  <c r="BD25" i="19"/>
  <c r="AZ25" i="19"/>
  <c r="BB25" i="19" s="1"/>
  <c r="AX25" i="19"/>
  <c r="AY25" i="19" s="1"/>
  <c r="W25" i="19"/>
  <c r="S25" i="19"/>
  <c r="U25" i="19" s="1"/>
  <c r="Q25" i="19"/>
  <c r="V25" i="19" s="1"/>
  <c r="L25" i="19"/>
  <c r="N25" i="19" s="1"/>
  <c r="H25" i="19"/>
  <c r="J25" i="19" s="1"/>
  <c r="F25" i="19"/>
  <c r="K25" i="19" s="1"/>
  <c r="E25" i="19"/>
  <c r="D25" i="19"/>
  <c r="G26" i="19" l="1"/>
  <c r="AC26" i="19"/>
  <c r="AE26" i="19" s="1"/>
  <c r="AG26" i="19" s="1"/>
  <c r="AN26" i="19"/>
  <c r="AP26" i="19" s="1"/>
  <c r="AR26" i="19" s="1"/>
  <c r="AY26" i="19"/>
  <c r="BA26" i="19" s="1"/>
  <c r="BC26" i="19" s="1"/>
  <c r="AN27" i="19"/>
  <c r="AP27" i="19" s="1"/>
  <c r="AR27" i="19" s="1"/>
  <c r="AC27" i="19"/>
  <c r="AE27" i="19" s="1"/>
  <c r="AG27" i="19" s="1"/>
  <c r="X27" i="19"/>
  <c r="AY28" i="19"/>
  <c r="BA28" i="19" s="1"/>
  <c r="BU30" i="19"/>
  <c r="BE28" i="19"/>
  <c r="BG28" i="19" s="1"/>
  <c r="BE29" i="19"/>
  <c r="BG29" i="19" s="1"/>
  <c r="BE26" i="19"/>
  <c r="BG26" i="19" s="1"/>
  <c r="M30" i="19"/>
  <c r="BS25" i="19"/>
  <c r="M28" i="19"/>
  <c r="N30" i="19"/>
  <c r="Y27" i="19"/>
  <c r="N28" i="19"/>
  <c r="BO28" i="19"/>
  <c r="O30" i="19"/>
  <c r="BE30" i="19"/>
  <c r="BG30" i="19" s="1"/>
  <c r="Y32" i="19"/>
  <c r="BK29" i="19"/>
  <c r="BM29" i="19" s="1"/>
  <c r="BM30" i="19"/>
  <c r="G27" i="19"/>
  <c r="R27" i="19" s="1"/>
  <c r="T27" i="19" s="1"/>
  <c r="V27" i="19" s="1"/>
  <c r="Z28" i="19"/>
  <c r="M29" i="19"/>
  <c r="M26" i="19"/>
  <c r="AY30" i="19"/>
  <c r="BA30" i="19" s="1"/>
  <c r="N26" i="19"/>
  <c r="AY29" i="19"/>
  <c r="BA29" i="19" s="1"/>
  <c r="BC25" i="19"/>
  <c r="BK25" i="19"/>
  <c r="BM25" i="19" s="1"/>
  <c r="BK27" i="19"/>
  <c r="BM27" i="19" s="1"/>
  <c r="G29" i="19"/>
  <c r="R29" i="19" s="1"/>
  <c r="T29" i="19" s="1"/>
  <c r="O29" i="19"/>
  <c r="BQ29" i="19"/>
  <c r="BS29" i="19" s="1"/>
  <c r="N32" i="19"/>
  <c r="X32" i="19"/>
  <c r="N34" i="19"/>
  <c r="R30" i="19"/>
  <c r="T30" i="19" s="1"/>
  <c r="I30" i="19"/>
  <c r="N31" i="19"/>
  <c r="O31" i="19"/>
  <c r="G25" i="19"/>
  <c r="R25" i="19" s="1"/>
  <c r="T25" i="19" s="1"/>
  <c r="P25" i="19"/>
  <c r="Z25" i="19"/>
  <c r="AA25" i="19"/>
  <c r="BO26" i="19"/>
  <c r="BK26" i="19"/>
  <c r="BM26" i="19" s="1"/>
  <c r="M31" i="19"/>
  <c r="Y34" i="19"/>
  <c r="Z34" i="19"/>
  <c r="X34" i="19"/>
  <c r="X26" i="19"/>
  <c r="Z26" i="19"/>
  <c r="Y26" i="19"/>
  <c r="BU26" i="19"/>
  <c r="AY27" i="19"/>
  <c r="BA27" i="19" s="1"/>
  <c r="BC27" i="19" s="1"/>
  <c r="BQ28" i="19"/>
  <c r="BS28" i="19" s="1"/>
  <c r="BN29" i="19"/>
  <c r="K30" i="19"/>
  <c r="Y30" i="19"/>
  <c r="BB30" i="19"/>
  <c r="BO30" i="19"/>
  <c r="G31" i="19"/>
  <c r="I31" i="19" s="1"/>
  <c r="AA26" i="19"/>
  <c r="BM28" i="19"/>
  <c r="O26" i="19"/>
  <c r="O28" i="19"/>
  <c r="Z32" i="19"/>
  <c r="X33" i="19"/>
  <c r="BS30" i="19"/>
  <c r="Z33" i="19"/>
  <c r="R26" i="19"/>
  <c r="T26" i="19" s="1"/>
  <c r="V26" i="19" s="1"/>
  <c r="I26" i="19"/>
  <c r="K26" i="19" s="1"/>
  <c r="BU25" i="19"/>
  <c r="U26" i="19"/>
  <c r="M27" i="19"/>
  <c r="BN27" i="19"/>
  <c r="U31" i="19"/>
  <c r="K28" i="19"/>
  <c r="G28" i="19"/>
  <c r="M25" i="19"/>
  <c r="BB27" i="19"/>
  <c r="O27" i="19"/>
  <c r="N27" i="19"/>
  <c r="BE27" i="19"/>
  <c r="BG27" i="19" s="1"/>
  <c r="X25" i="19"/>
  <c r="BE25" i="19"/>
  <c r="BG25" i="19" s="1"/>
  <c r="O25" i="19"/>
  <c r="Y25" i="19"/>
  <c r="BA25" i="19"/>
  <c r="BS26" i="19"/>
  <c r="BU27" i="19"/>
  <c r="BQ27" i="19"/>
  <c r="BS27" i="19" s="1"/>
  <c r="Z29" i="19"/>
  <c r="X29" i="19"/>
  <c r="Y31" i="19"/>
  <c r="AA31" i="19"/>
  <c r="Z31" i="19"/>
  <c r="X31" i="19"/>
  <c r="K32" i="19"/>
  <c r="G32" i="19"/>
  <c r="R32" i="19" s="1"/>
  <c r="T32" i="19" s="1"/>
  <c r="BC32" i="19"/>
  <c r="AY32" i="19"/>
  <c r="BA32" i="19" s="1"/>
  <c r="BH32" i="19"/>
  <c r="AA28" i="19"/>
  <c r="Z27" i="19"/>
  <c r="X28" i="19"/>
  <c r="Y29" i="19"/>
  <c r="U30" i="19"/>
  <c r="BO31" i="19"/>
  <c r="BK31" i="19"/>
  <c r="BM31" i="19" s="1"/>
  <c r="BT31" i="19"/>
  <c r="BE33" i="19"/>
  <c r="BG33" i="19" s="1"/>
  <c r="BN33" i="19"/>
  <c r="AA29" i="19"/>
  <c r="X30" i="19"/>
  <c r="Z30" i="19"/>
  <c r="P29" i="19"/>
  <c r="P31" i="19"/>
  <c r="BE31" i="19"/>
  <c r="BG31" i="19" s="1"/>
  <c r="BU32" i="19"/>
  <c r="BQ32" i="19"/>
  <c r="BS32" i="19" s="1"/>
  <c r="O33" i="19"/>
  <c r="M33" i="19"/>
  <c r="BU33" i="19"/>
  <c r="BQ33" i="19"/>
  <c r="BS33" i="19" s="1"/>
  <c r="BC31" i="19"/>
  <c r="AY31" i="19"/>
  <c r="BA31" i="19" s="1"/>
  <c r="BO32" i="19"/>
  <c r="BK32" i="19"/>
  <c r="BM32" i="19" s="1"/>
  <c r="K33" i="19"/>
  <c r="G33" i="19"/>
  <c r="R33" i="19" s="1"/>
  <c r="T33" i="19" s="1"/>
  <c r="K34" i="19"/>
  <c r="G34" i="19"/>
  <c r="R34" i="19" s="1"/>
  <c r="T34" i="19" s="1"/>
  <c r="BC34" i="19"/>
  <c r="AY34" i="19"/>
  <c r="BA34" i="19" s="1"/>
  <c r="BH34" i="19"/>
  <c r="BH31" i="19"/>
  <c r="BU31" i="19"/>
  <c r="BQ31" i="19"/>
  <c r="BS31" i="19" s="1"/>
  <c r="M32" i="19"/>
  <c r="O32" i="19"/>
  <c r="BE32" i="19"/>
  <c r="BG32" i="19" s="1"/>
  <c r="BT32" i="19"/>
  <c r="P33" i="19"/>
  <c r="BB33" i="19"/>
  <c r="BO34" i="19"/>
  <c r="BK34" i="19"/>
  <c r="BM34" i="19" s="1"/>
  <c r="BT34" i="19"/>
  <c r="Y33" i="19"/>
  <c r="O34" i="19"/>
  <c r="AA34" i="19"/>
  <c r="P34" i="19"/>
  <c r="AY33" i="19"/>
  <c r="BA33" i="19" s="1"/>
  <c r="BK33" i="19"/>
  <c r="BM33" i="19" s="1"/>
  <c r="BE34" i="19"/>
  <c r="BG34" i="19" s="1"/>
  <c r="BQ34" i="19"/>
  <c r="BS34" i="19" s="1"/>
  <c r="BI32" i="19" l="1"/>
  <c r="BI25" i="19"/>
  <c r="BI27" i="19"/>
  <c r="BI26" i="19"/>
  <c r="BI29" i="19"/>
  <c r="BI28" i="19"/>
  <c r="BI33" i="19"/>
  <c r="BI34" i="19"/>
  <c r="BI31" i="19"/>
  <c r="BI30" i="19"/>
  <c r="I25" i="19"/>
  <c r="I29" i="19"/>
  <c r="R31" i="19"/>
  <c r="T31" i="19" s="1"/>
  <c r="I34" i="19"/>
  <c r="I32" i="19"/>
  <c r="I27" i="19"/>
  <c r="K27" i="19" s="1"/>
  <c r="I28" i="19"/>
  <c r="R28" i="19"/>
  <c r="T28" i="19" s="1"/>
  <c r="I33" i="19"/>
  <c r="BR106" i="19" l="1"/>
  <c r="BP106" i="19"/>
  <c r="BU106" i="19" s="1"/>
  <c r="BL106" i="19"/>
  <c r="BN106" i="19" s="1"/>
  <c r="BJ106" i="19"/>
  <c r="BK106" i="19" s="1"/>
  <c r="BF106" i="19"/>
  <c r="BH106" i="19" s="1"/>
  <c r="BD106" i="19"/>
  <c r="AZ106" i="19"/>
  <c r="BB106" i="19" s="1"/>
  <c r="AX106" i="19"/>
  <c r="BC106" i="19" s="1"/>
  <c r="W106" i="19"/>
  <c r="Y106" i="19" s="1"/>
  <c r="S106" i="19"/>
  <c r="U106" i="19" s="1"/>
  <c r="Q106" i="19"/>
  <c r="V106" i="19" s="1"/>
  <c r="L106" i="19"/>
  <c r="M106" i="19" s="1"/>
  <c r="H106" i="19"/>
  <c r="J106" i="19" s="1"/>
  <c r="F106" i="19"/>
  <c r="K106" i="19" s="1"/>
  <c r="E106" i="19"/>
  <c r="D106" i="19"/>
  <c r="N106" i="19" l="1"/>
  <c r="O106" i="19"/>
  <c r="Z106" i="19"/>
  <c r="BM106" i="19"/>
  <c r="AA106" i="19"/>
  <c r="AY106" i="19"/>
  <c r="BA106" i="19" s="1"/>
  <c r="BO106" i="19"/>
  <c r="P106" i="19"/>
  <c r="X106" i="19"/>
  <c r="BT106" i="19"/>
  <c r="G106" i="19"/>
  <c r="R106" i="19" s="1"/>
  <c r="T106" i="19" s="1"/>
  <c r="BE106" i="19"/>
  <c r="BG106" i="19" s="1"/>
  <c r="BQ106" i="19"/>
  <c r="BS106" i="19" s="1"/>
  <c r="BI106" i="19" l="1"/>
  <c r="I106" i="19"/>
  <c r="BR108" i="19" l="1"/>
  <c r="BP108" i="19"/>
  <c r="BU108" i="19" s="1"/>
  <c r="BL108" i="19"/>
  <c r="BN108" i="19" s="1"/>
  <c r="BJ108" i="19"/>
  <c r="BO108" i="19" s="1"/>
  <c r="BF108" i="19"/>
  <c r="BD108" i="19"/>
  <c r="AZ108" i="19"/>
  <c r="BB108" i="19" s="1"/>
  <c r="AX108" i="19"/>
  <c r="AY108" i="19" s="1"/>
  <c r="W108" i="19"/>
  <c r="Y108" i="19" s="1"/>
  <c r="S108" i="19"/>
  <c r="U108" i="19" s="1"/>
  <c r="Q108" i="19"/>
  <c r="V108" i="19" s="1"/>
  <c r="L108" i="19"/>
  <c r="M108" i="19" s="1"/>
  <c r="H108" i="19"/>
  <c r="J108" i="19" s="1"/>
  <c r="F108" i="19"/>
  <c r="K108" i="19" s="1"/>
  <c r="E108" i="19"/>
  <c r="D108" i="19"/>
  <c r="BR105" i="19"/>
  <c r="BT105" i="19" s="1"/>
  <c r="BP105" i="19"/>
  <c r="BU105" i="19" s="1"/>
  <c r="BL105" i="19"/>
  <c r="BN105" i="19" s="1"/>
  <c r="BJ105" i="19"/>
  <c r="BO105" i="19" s="1"/>
  <c r="BF105" i="19"/>
  <c r="BH105" i="19" s="1"/>
  <c r="BD105" i="19"/>
  <c r="AZ105" i="19"/>
  <c r="BB105" i="19" s="1"/>
  <c r="AX105" i="19"/>
  <c r="BC105" i="19" s="1"/>
  <c r="W105" i="19"/>
  <c r="AA105" i="19" s="1"/>
  <c r="S105" i="19"/>
  <c r="U105" i="19" s="1"/>
  <c r="Q105" i="19"/>
  <c r="V105" i="19" s="1"/>
  <c r="L105" i="19"/>
  <c r="O105" i="19" s="1"/>
  <c r="H105" i="19"/>
  <c r="J105" i="19" s="1"/>
  <c r="F105" i="19"/>
  <c r="K105" i="19" s="1"/>
  <c r="E105" i="19"/>
  <c r="D105" i="19"/>
  <c r="X105" i="19" l="1"/>
  <c r="Z105" i="19"/>
  <c r="Y105" i="19"/>
  <c r="N108" i="19"/>
  <c r="O108" i="19"/>
  <c r="Z108" i="19"/>
  <c r="BA108" i="19"/>
  <c r="M105" i="19"/>
  <c r="BE105" i="19"/>
  <c r="BG105" i="19" s="1"/>
  <c r="BQ105" i="19"/>
  <c r="BS105" i="19" s="1"/>
  <c r="G108" i="19"/>
  <c r="R108" i="19" s="1"/>
  <c r="T108" i="19" s="1"/>
  <c r="AA108" i="19"/>
  <c r="BC108" i="19"/>
  <c r="BK108" i="19"/>
  <c r="BM108" i="19" s="1"/>
  <c r="P108" i="19"/>
  <c r="X108" i="19"/>
  <c r="BH108" i="19"/>
  <c r="BT108" i="19"/>
  <c r="P105" i="19"/>
  <c r="N105" i="19"/>
  <c r="G105" i="19"/>
  <c r="R105" i="19" s="1"/>
  <c r="T105" i="19" s="1"/>
  <c r="AY105" i="19"/>
  <c r="BA105" i="19" s="1"/>
  <c r="BK105" i="19"/>
  <c r="BM105" i="19" s="1"/>
  <c r="BE108" i="19"/>
  <c r="BG108" i="19" s="1"/>
  <c r="BQ108" i="19"/>
  <c r="BS108" i="19" s="1"/>
  <c r="BR424" i="19"/>
  <c r="BT424" i="19" s="1"/>
  <c r="BP424" i="19"/>
  <c r="BL424" i="19"/>
  <c r="BJ424" i="19"/>
  <c r="BK424" i="19" s="1"/>
  <c r="BF424" i="19"/>
  <c r="BH424" i="19" s="1"/>
  <c r="BD424" i="19"/>
  <c r="AZ424" i="19"/>
  <c r="BB424" i="19" s="1"/>
  <c r="AX424" i="19"/>
  <c r="W424" i="19"/>
  <c r="Z424" i="19" s="1"/>
  <c r="S424" i="19"/>
  <c r="U424" i="19" s="1"/>
  <c r="Q424" i="19"/>
  <c r="L424" i="19"/>
  <c r="M424" i="19" s="1"/>
  <c r="H424" i="19"/>
  <c r="J424" i="19" s="1"/>
  <c r="F424" i="19"/>
  <c r="E424" i="19"/>
  <c r="D424" i="19"/>
  <c r="AN424" i="19" l="1"/>
  <c r="AP424" i="19" s="1"/>
  <c r="AR424" i="19" s="1"/>
  <c r="AC424" i="19"/>
  <c r="AE424" i="19" s="1"/>
  <c r="BI105" i="19"/>
  <c r="BI108" i="19"/>
  <c r="I105" i="19"/>
  <c r="I108" i="19"/>
  <c r="N424" i="19"/>
  <c r="G424" i="19"/>
  <c r="R424" i="19" s="1"/>
  <c r="T424" i="19" s="1"/>
  <c r="V424" i="19" s="1"/>
  <c r="O424" i="19"/>
  <c r="BM424" i="19"/>
  <c r="BI424" i="19"/>
  <c r="BE424" i="19"/>
  <c r="BG424" i="19" s="1"/>
  <c r="BN424" i="19"/>
  <c r="BC424" i="19"/>
  <c r="AY424" i="19"/>
  <c r="BA424" i="19" s="1"/>
  <c r="BU424" i="19"/>
  <c r="BQ424" i="19"/>
  <c r="BS424" i="19" s="1"/>
  <c r="Y424" i="19"/>
  <c r="X424" i="19"/>
  <c r="AA424" i="19"/>
  <c r="BO424" i="19"/>
  <c r="P424" i="19"/>
  <c r="BR581" i="19"/>
  <c r="BT581" i="19" s="1"/>
  <c r="BP581" i="19"/>
  <c r="BL581" i="19"/>
  <c r="BN581" i="19" s="1"/>
  <c r="BJ581" i="19"/>
  <c r="BF581" i="19"/>
  <c r="BH581" i="19" s="1"/>
  <c r="BD581" i="19"/>
  <c r="AZ581" i="19"/>
  <c r="BB581" i="19" s="1"/>
  <c r="AX581" i="19"/>
  <c r="W581" i="19"/>
  <c r="S581" i="19"/>
  <c r="U581" i="19" s="1"/>
  <c r="Q581" i="19"/>
  <c r="V581" i="19" s="1"/>
  <c r="L581" i="19"/>
  <c r="H581" i="19"/>
  <c r="J581" i="19" s="1"/>
  <c r="F581" i="19"/>
  <c r="E581" i="19"/>
  <c r="D581" i="19"/>
  <c r="AG424" i="19" l="1"/>
  <c r="BE581" i="19"/>
  <c r="BG581" i="19" s="1"/>
  <c r="BI581" i="19" s="1"/>
  <c r="BU581" i="19"/>
  <c r="BQ581" i="19"/>
  <c r="BS581" i="19" s="1"/>
  <c r="AA581" i="19"/>
  <c r="X581" i="19"/>
  <c r="K581" i="19"/>
  <c r="G581" i="19"/>
  <c r="P581" i="19"/>
  <c r="M581" i="19"/>
  <c r="BC581" i="19"/>
  <c r="AY581" i="19"/>
  <c r="BA581" i="19" s="1"/>
  <c r="BO581" i="19"/>
  <c r="BK581" i="19"/>
  <c r="BM581" i="19" s="1"/>
  <c r="I424" i="19"/>
  <c r="Y581" i="19"/>
  <c r="N581" i="19"/>
  <c r="Z581" i="19"/>
  <c r="O581" i="19"/>
  <c r="BR454" i="19"/>
  <c r="BT454" i="19" s="1"/>
  <c r="BP454" i="19"/>
  <c r="BL454" i="19"/>
  <c r="BN454" i="19" s="1"/>
  <c r="BJ454" i="19"/>
  <c r="BF454" i="19"/>
  <c r="BH454" i="19" s="1"/>
  <c r="BD454" i="19"/>
  <c r="AZ454" i="19"/>
  <c r="BB454" i="19" s="1"/>
  <c r="AX454" i="19"/>
  <c r="W454" i="19"/>
  <c r="S454" i="19"/>
  <c r="U454" i="19" s="1"/>
  <c r="Q454" i="19"/>
  <c r="L454" i="19"/>
  <c r="M454" i="19" s="1"/>
  <c r="H454" i="19"/>
  <c r="J454" i="19" s="1"/>
  <c r="F454" i="19"/>
  <c r="E454" i="19"/>
  <c r="D454" i="19"/>
  <c r="AN454" i="19" l="1"/>
  <c r="AP454" i="19" s="1"/>
  <c r="AR454" i="19" s="1"/>
  <c r="AC454" i="19"/>
  <c r="AE454" i="19" s="1"/>
  <c r="K424" i="19"/>
  <c r="BU454" i="19"/>
  <c r="BQ454" i="19"/>
  <c r="BS454" i="19" s="1"/>
  <c r="BI454" i="19"/>
  <c r="BE454" i="19"/>
  <c r="BG454" i="19" s="1"/>
  <c r="G454" i="19"/>
  <c r="R454" i="19" s="1"/>
  <c r="T454" i="19" s="1"/>
  <c r="V454" i="19" s="1"/>
  <c r="AY454" i="19"/>
  <c r="BA454" i="19" s="1"/>
  <c r="BC454" i="19" s="1"/>
  <c r="BO454" i="19"/>
  <c r="BK454" i="19"/>
  <c r="BM454" i="19" s="1"/>
  <c r="Y454" i="19"/>
  <c r="X454" i="19"/>
  <c r="N454" i="19"/>
  <c r="Z454" i="19"/>
  <c r="R581" i="19"/>
  <c r="T581" i="19" s="1"/>
  <c r="I581" i="19"/>
  <c r="O454" i="19"/>
  <c r="AA454" i="19"/>
  <c r="P454" i="19"/>
  <c r="AG454" i="19" l="1"/>
  <c r="I454" i="19"/>
  <c r="K454" i="19" l="1"/>
  <c r="BR488" i="19"/>
  <c r="BP488" i="19"/>
  <c r="BL488" i="19"/>
  <c r="BN488" i="19" s="1"/>
  <c r="BJ488" i="19"/>
  <c r="BK488" i="19" s="1"/>
  <c r="BF488" i="19"/>
  <c r="BD488" i="19"/>
  <c r="AZ488" i="19"/>
  <c r="BB488" i="19" s="1"/>
  <c r="AX488" i="19"/>
  <c r="AY488" i="19" s="1"/>
  <c r="W488" i="19"/>
  <c r="S488" i="19"/>
  <c r="U488" i="19" s="1"/>
  <c r="Q488" i="19"/>
  <c r="L488" i="19"/>
  <c r="H488" i="19"/>
  <c r="J488" i="19" s="1"/>
  <c r="F488" i="19"/>
  <c r="E488" i="19"/>
  <c r="D488" i="19"/>
  <c r="BR487" i="19"/>
  <c r="BT487" i="19" s="1"/>
  <c r="BP487" i="19"/>
  <c r="BQ487" i="19" s="1"/>
  <c r="BL487" i="19"/>
  <c r="BJ487" i="19"/>
  <c r="BF487" i="19"/>
  <c r="BH487" i="19" s="1"/>
  <c r="BD487" i="19"/>
  <c r="BE487" i="19" s="1"/>
  <c r="AZ487" i="19"/>
  <c r="AX487" i="19"/>
  <c r="W487" i="19"/>
  <c r="S487" i="19"/>
  <c r="U487" i="19" s="1"/>
  <c r="Q487" i="19"/>
  <c r="L487" i="19"/>
  <c r="H487" i="19"/>
  <c r="F487" i="19"/>
  <c r="E487" i="19"/>
  <c r="D487" i="19"/>
  <c r="BR486" i="19"/>
  <c r="BT486" i="19" s="1"/>
  <c r="BP486" i="19"/>
  <c r="BQ486" i="19" s="1"/>
  <c r="BL486" i="19"/>
  <c r="BJ486" i="19"/>
  <c r="BK486" i="19" s="1"/>
  <c r="BF486" i="19"/>
  <c r="BH486" i="19" s="1"/>
  <c r="BD486" i="19"/>
  <c r="BE486" i="19" s="1"/>
  <c r="AZ486" i="19"/>
  <c r="AX486" i="19"/>
  <c r="AY486" i="19" s="1"/>
  <c r="W486" i="19"/>
  <c r="S486" i="19"/>
  <c r="U486" i="19" s="1"/>
  <c r="Q486" i="19"/>
  <c r="L486" i="19"/>
  <c r="H486" i="19"/>
  <c r="F486" i="19"/>
  <c r="E486" i="19"/>
  <c r="D486" i="19"/>
  <c r="BR485" i="19"/>
  <c r="BT485" i="19" s="1"/>
  <c r="BP485" i="19"/>
  <c r="BQ485" i="19" s="1"/>
  <c r="BL485" i="19"/>
  <c r="BJ485" i="19"/>
  <c r="BK485" i="19" s="1"/>
  <c r="BF485" i="19"/>
  <c r="BD485" i="19"/>
  <c r="BE485" i="19" s="1"/>
  <c r="AZ485" i="19"/>
  <c r="AX485" i="19"/>
  <c r="AY485" i="19" s="1"/>
  <c r="W485" i="19"/>
  <c r="S485" i="19"/>
  <c r="U485" i="19" s="1"/>
  <c r="Q485" i="19"/>
  <c r="L485" i="19"/>
  <c r="H485" i="19"/>
  <c r="J485" i="19" s="1"/>
  <c r="F485" i="19"/>
  <c r="E485" i="19"/>
  <c r="D485" i="19"/>
  <c r="BR484" i="19"/>
  <c r="BT484" i="19" s="1"/>
  <c r="BP484" i="19"/>
  <c r="BL484" i="19"/>
  <c r="BN484" i="19" s="1"/>
  <c r="BJ484" i="19"/>
  <c r="BF484" i="19"/>
  <c r="BH484" i="19" s="1"/>
  <c r="BD484" i="19"/>
  <c r="AZ484" i="19"/>
  <c r="BB484" i="19" s="1"/>
  <c r="AX484" i="19"/>
  <c r="W484" i="19"/>
  <c r="S484" i="19"/>
  <c r="Q484" i="19"/>
  <c r="L484" i="19"/>
  <c r="H484" i="19"/>
  <c r="J484" i="19" s="1"/>
  <c r="F484" i="19"/>
  <c r="E484" i="19"/>
  <c r="D484" i="19"/>
  <c r="BR483" i="19"/>
  <c r="BT483" i="19" s="1"/>
  <c r="BP483" i="19"/>
  <c r="BL483" i="19"/>
  <c r="BN483" i="19" s="1"/>
  <c r="BJ483" i="19"/>
  <c r="BF483" i="19"/>
  <c r="BH483" i="19" s="1"/>
  <c r="BD483" i="19"/>
  <c r="AZ483" i="19"/>
  <c r="BB483" i="19" s="1"/>
  <c r="AX483" i="19"/>
  <c r="W483" i="19"/>
  <c r="S483" i="19"/>
  <c r="U483" i="19" s="1"/>
  <c r="Q483" i="19"/>
  <c r="L483" i="19"/>
  <c r="H483" i="19"/>
  <c r="J483" i="19" s="1"/>
  <c r="F483" i="19"/>
  <c r="E483" i="19"/>
  <c r="D483" i="19"/>
  <c r="AC483" i="19" l="1"/>
  <c r="AN483" i="19"/>
  <c r="AC484" i="19"/>
  <c r="AN484" i="19"/>
  <c r="AN486" i="19"/>
  <c r="AC486" i="19"/>
  <c r="AN488" i="19"/>
  <c r="AC488" i="19"/>
  <c r="AN485" i="19"/>
  <c r="AC485" i="19"/>
  <c r="AC487" i="19"/>
  <c r="AN487" i="19"/>
  <c r="G486" i="19"/>
  <c r="M486" i="19" s="1"/>
  <c r="G488" i="19"/>
  <c r="M488" i="19" s="1"/>
  <c r="G484" i="19"/>
  <c r="R484" i="19" s="1"/>
  <c r="BI483" i="19"/>
  <c r="BE483" i="19"/>
  <c r="BG483" i="19" s="1"/>
  <c r="BU483" i="19"/>
  <c r="BQ483" i="19"/>
  <c r="BS483" i="19" s="1"/>
  <c r="BC484" i="19"/>
  <c r="AY484" i="19"/>
  <c r="BA484" i="19" s="1"/>
  <c r="BO484" i="19"/>
  <c r="BK484" i="19"/>
  <c r="BM484" i="19" s="1"/>
  <c r="G483" i="19"/>
  <c r="M483" i="19" s="1"/>
  <c r="BO483" i="19"/>
  <c r="BK483" i="19"/>
  <c r="BM483" i="19" s="1"/>
  <c r="BI484" i="19"/>
  <c r="BE484" i="19"/>
  <c r="BG484" i="19" s="1"/>
  <c r="BU484" i="19"/>
  <c r="BQ484" i="19"/>
  <c r="BS484" i="19" s="1"/>
  <c r="G485" i="19"/>
  <c r="M485" i="19" s="1"/>
  <c r="G487" i="19"/>
  <c r="M487" i="19" s="1"/>
  <c r="BC487" i="19"/>
  <c r="AY487" i="19"/>
  <c r="BA487" i="19" s="1"/>
  <c r="BO487" i="19"/>
  <c r="BK487" i="19"/>
  <c r="BM487" i="19" s="1"/>
  <c r="BI488" i="19"/>
  <c r="BE488" i="19"/>
  <c r="BG488" i="19" s="1"/>
  <c r="BU488" i="19"/>
  <c r="BQ488" i="19"/>
  <c r="BS488" i="19" s="1"/>
  <c r="BC483" i="19"/>
  <c r="AY483" i="19"/>
  <c r="BA483" i="19" s="1"/>
  <c r="BI485" i="19"/>
  <c r="BG485" i="19"/>
  <c r="U484" i="19"/>
  <c r="J486" i="19"/>
  <c r="BB487" i="19"/>
  <c r="BU486" i="19"/>
  <c r="BS486" i="19"/>
  <c r="BN485" i="19"/>
  <c r="BB486" i="19"/>
  <c r="BO486" i="19"/>
  <c r="BM486" i="19"/>
  <c r="BI487" i="19"/>
  <c r="BG487" i="19"/>
  <c r="BH485" i="19"/>
  <c r="BU485" i="19"/>
  <c r="BS485" i="19"/>
  <c r="BI486" i="19"/>
  <c r="BG486" i="19"/>
  <c r="BU487" i="19"/>
  <c r="BC488" i="19"/>
  <c r="BH488" i="19"/>
  <c r="BC485" i="19"/>
  <c r="BA485" i="19"/>
  <c r="BN487" i="19"/>
  <c r="BB485" i="19"/>
  <c r="BO485" i="19"/>
  <c r="BM485" i="19"/>
  <c r="BC486" i="19"/>
  <c r="BA486" i="19"/>
  <c r="BN486" i="19"/>
  <c r="J487" i="19"/>
  <c r="BS487" i="19"/>
  <c r="BA488" i="19"/>
  <c r="BO488" i="19"/>
  <c r="BM488" i="19"/>
  <c r="BT488" i="19"/>
  <c r="AP487" i="19" l="1"/>
  <c r="AR487" i="19" s="1"/>
  <c r="AT487" i="19"/>
  <c r="AV487" i="19" s="1"/>
  <c r="AE488" i="19"/>
  <c r="AI488" i="19"/>
  <c r="AK488" i="19" s="1"/>
  <c r="AP484" i="19"/>
  <c r="AR484" i="19" s="1"/>
  <c r="AT484" i="19"/>
  <c r="AV484" i="19" s="1"/>
  <c r="AI487" i="19"/>
  <c r="AK487" i="19" s="1"/>
  <c r="AE487" i="19"/>
  <c r="AP488" i="19"/>
  <c r="AR488" i="19" s="1"/>
  <c r="AT488" i="19"/>
  <c r="AV488" i="19" s="1"/>
  <c r="AI484" i="19"/>
  <c r="AK484" i="19" s="1"/>
  <c r="AE484" i="19"/>
  <c r="AE485" i="19"/>
  <c r="AI485" i="19"/>
  <c r="AK485" i="19" s="1"/>
  <c r="AI486" i="19"/>
  <c r="AK486" i="19" s="1"/>
  <c r="AE486" i="19"/>
  <c r="AP483" i="19"/>
  <c r="AR483" i="19" s="1"/>
  <c r="AT483" i="19"/>
  <c r="AV483" i="19" s="1"/>
  <c r="AT485" i="19"/>
  <c r="AP485" i="19"/>
  <c r="AR485" i="19" s="1"/>
  <c r="AT486" i="19"/>
  <c r="AP486" i="19"/>
  <c r="AR486" i="19" s="1"/>
  <c r="AI483" i="19"/>
  <c r="AE483" i="19"/>
  <c r="M484" i="19"/>
  <c r="N484" i="19" s="1"/>
  <c r="R486" i="19"/>
  <c r="X486" i="19" s="1"/>
  <c r="R487" i="19"/>
  <c r="X487" i="19" s="1"/>
  <c r="T484" i="19"/>
  <c r="V484" i="19" s="1"/>
  <c r="X484" i="19"/>
  <c r="Z484" i="19" s="1"/>
  <c r="I484" i="19"/>
  <c r="I487" i="19"/>
  <c r="O487" i="19"/>
  <c r="R488" i="19"/>
  <c r="X488" i="19" s="1"/>
  <c r="T486" i="19"/>
  <c r="V486" i="19" s="1"/>
  <c r="O488" i="19"/>
  <c r="R485" i="19"/>
  <c r="X485" i="19" s="1"/>
  <c r="I485" i="19"/>
  <c r="O485" i="19"/>
  <c r="O483" i="19"/>
  <c r="I483" i="19"/>
  <c r="R483" i="19"/>
  <c r="X483" i="19" s="1"/>
  <c r="I488" i="19"/>
  <c r="I486" i="19"/>
  <c r="AG483" i="19" l="1"/>
  <c r="AG486" i="19"/>
  <c r="AG484" i="19"/>
  <c r="AG487" i="19"/>
  <c r="AG488" i="19"/>
  <c r="AG485" i="19"/>
  <c r="T487" i="19"/>
  <c r="V487" i="19" s="1"/>
  <c r="K488" i="19"/>
  <c r="K484" i="19"/>
  <c r="K487" i="19"/>
  <c r="P484" i="19"/>
  <c r="AJ483" i="19"/>
  <c r="AK483" i="19"/>
  <c r="AU485" i="19"/>
  <c r="AW485" i="19" s="1"/>
  <c r="AV485" i="19"/>
  <c r="AJ486" i="19"/>
  <c r="AU486" i="19"/>
  <c r="AW486" i="19" s="1"/>
  <c r="AV486" i="19"/>
  <c r="AU488" i="19"/>
  <c r="AW488" i="19" s="1"/>
  <c r="AJ487" i="19"/>
  <c r="AU487" i="19"/>
  <c r="AW487" i="19" s="1"/>
  <c r="AU483" i="19"/>
  <c r="AW483" i="19" s="1"/>
  <c r="AJ485" i="19"/>
  <c r="AJ484" i="19"/>
  <c r="AU484" i="19"/>
  <c r="AW484" i="19" s="1"/>
  <c r="AJ488" i="19"/>
  <c r="O484" i="19"/>
  <c r="Y484" i="19"/>
  <c r="AA484" i="19" s="1"/>
  <c r="K486" i="19"/>
  <c r="K483" i="19"/>
  <c r="K485" i="19"/>
  <c r="N487" i="19"/>
  <c r="Z485" i="19"/>
  <c r="T485" i="19"/>
  <c r="V485" i="19" s="1"/>
  <c r="N488" i="19"/>
  <c r="N486" i="19"/>
  <c r="O486" i="19"/>
  <c r="Z488" i="19"/>
  <c r="T488" i="19"/>
  <c r="V488" i="19" s="1"/>
  <c r="Z483" i="19"/>
  <c r="T483" i="19"/>
  <c r="V483" i="19" s="1"/>
  <c r="N483" i="19"/>
  <c r="Z487" i="19"/>
  <c r="Y487" i="19"/>
  <c r="AA487" i="19" s="1"/>
  <c r="N485" i="19"/>
  <c r="Z486" i="19"/>
  <c r="Y486" i="19"/>
  <c r="AA486" i="19" s="1"/>
  <c r="AL488" i="19" l="1"/>
  <c r="AL487" i="19"/>
  <c r="AL484" i="19"/>
  <c r="AL486" i="19"/>
  <c r="AL483" i="19"/>
  <c r="AL485" i="19"/>
  <c r="P487" i="19"/>
  <c r="P488" i="19"/>
  <c r="P483" i="19"/>
  <c r="P485" i="19"/>
  <c r="P486" i="19"/>
  <c r="Y483" i="19"/>
  <c r="AA483" i="19" s="1"/>
  <c r="Y488" i="19"/>
  <c r="AA488" i="19" s="1"/>
  <c r="Y485" i="19"/>
  <c r="AA485" i="19" s="1"/>
  <c r="BR561" i="19" l="1"/>
  <c r="BT561" i="19" s="1"/>
  <c r="BP561" i="19"/>
  <c r="BL561" i="19"/>
  <c r="BJ561" i="19"/>
  <c r="BF561" i="19"/>
  <c r="BH561" i="19" s="1"/>
  <c r="BD561" i="19"/>
  <c r="AZ561" i="19"/>
  <c r="BB561" i="19" s="1"/>
  <c r="AX561" i="19"/>
  <c r="W561" i="19"/>
  <c r="S561" i="19"/>
  <c r="U561" i="19" s="1"/>
  <c r="Q561" i="19"/>
  <c r="L561" i="19"/>
  <c r="H561" i="19"/>
  <c r="J561" i="19" s="1"/>
  <c r="F561" i="19"/>
  <c r="E561" i="19"/>
  <c r="D561" i="19"/>
  <c r="BR560" i="19"/>
  <c r="BP560" i="19"/>
  <c r="BL560" i="19"/>
  <c r="BN560" i="19" s="1"/>
  <c r="BJ560" i="19"/>
  <c r="BF560" i="19"/>
  <c r="BD560" i="19"/>
  <c r="AZ560" i="19"/>
  <c r="BB560" i="19" s="1"/>
  <c r="AX560" i="19"/>
  <c r="W560" i="19"/>
  <c r="S560" i="19"/>
  <c r="U560" i="19" s="1"/>
  <c r="Q560" i="19"/>
  <c r="L560" i="19"/>
  <c r="H560" i="19"/>
  <c r="J560" i="19" s="1"/>
  <c r="F560" i="19"/>
  <c r="E560" i="19"/>
  <c r="D560" i="19"/>
  <c r="AN560" i="19" l="1"/>
  <c r="AC560" i="19"/>
  <c r="AC561" i="19"/>
  <c r="AN561" i="19"/>
  <c r="G561" i="19"/>
  <c r="M561" i="19" s="1"/>
  <c r="BU560" i="19"/>
  <c r="BQ560" i="19"/>
  <c r="BS560" i="19" s="1"/>
  <c r="BC561" i="19"/>
  <c r="AY561" i="19"/>
  <c r="BA561" i="19" s="1"/>
  <c r="BO561" i="19"/>
  <c r="BK561" i="19"/>
  <c r="BM561" i="19" s="1"/>
  <c r="BI561" i="19"/>
  <c r="BE561" i="19"/>
  <c r="BG561" i="19" s="1"/>
  <c r="BU561" i="19"/>
  <c r="BQ561" i="19"/>
  <c r="BS561" i="19" s="1"/>
  <c r="BI560" i="19"/>
  <c r="BE560" i="19"/>
  <c r="BG560" i="19" s="1"/>
  <c r="G560" i="19"/>
  <c r="M560" i="19" s="1"/>
  <c r="BC560" i="19"/>
  <c r="AY560" i="19"/>
  <c r="BA560" i="19" s="1"/>
  <c r="BO560" i="19"/>
  <c r="BK560" i="19"/>
  <c r="BM560" i="19" s="1"/>
  <c r="BN561" i="19"/>
  <c r="BH560" i="19"/>
  <c r="BT560" i="19"/>
  <c r="AT561" i="19" l="1"/>
  <c r="AV561" i="19" s="1"/>
  <c r="AP561" i="19"/>
  <c r="AR561" i="19" s="1"/>
  <c r="AI561" i="19"/>
  <c r="AK561" i="19" s="1"/>
  <c r="AE561" i="19"/>
  <c r="AE560" i="19"/>
  <c r="AI560" i="19"/>
  <c r="AK560" i="19" s="1"/>
  <c r="AP560" i="19"/>
  <c r="AR560" i="19" s="1"/>
  <c r="AT560" i="19"/>
  <c r="AV560" i="19" s="1"/>
  <c r="R560" i="19"/>
  <c r="X560" i="19" s="1"/>
  <c r="Z560" i="19" s="1"/>
  <c r="R561" i="19"/>
  <c r="X561" i="19" s="1"/>
  <c r="O560" i="19"/>
  <c r="I561" i="19"/>
  <c r="O561" i="19"/>
  <c r="I560" i="19"/>
  <c r="AG561" i="19" l="1"/>
  <c r="AG560" i="19"/>
  <c r="K561" i="19"/>
  <c r="AU560" i="19"/>
  <c r="AW560" i="19" s="1"/>
  <c r="AJ560" i="19"/>
  <c r="AJ561" i="19"/>
  <c r="AU561" i="19"/>
  <c r="AW561" i="19" s="1"/>
  <c r="T560" i="19"/>
  <c r="V560" i="19" s="1"/>
  <c r="K560" i="19"/>
  <c r="N561" i="19"/>
  <c r="N560" i="19"/>
  <c r="Z561" i="19"/>
  <c r="T561" i="19"/>
  <c r="V561" i="19" s="1"/>
  <c r="Y560" i="19"/>
  <c r="AA560" i="19" s="1"/>
  <c r="AL560" i="19" l="1"/>
  <c r="AL561" i="19"/>
  <c r="P561" i="19"/>
  <c r="P560" i="19"/>
  <c r="Y561" i="19"/>
  <c r="AA561" i="19" s="1"/>
  <c r="BR463" i="19" l="1"/>
  <c r="BT463" i="19" s="1"/>
  <c r="BP463" i="19"/>
  <c r="BL463" i="19"/>
  <c r="BJ463" i="19"/>
  <c r="BF463" i="19"/>
  <c r="BH463" i="19" s="1"/>
  <c r="BD463" i="19"/>
  <c r="AZ463" i="19"/>
  <c r="AX463" i="19"/>
  <c r="W463" i="19"/>
  <c r="S463" i="19"/>
  <c r="U463" i="19" s="1"/>
  <c r="Q463" i="19"/>
  <c r="L463" i="19"/>
  <c r="M463" i="19" s="1"/>
  <c r="H463" i="19"/>
  <c r="F463" i="19"/>
  <c r="E463" i="19"/>
  <c r="D463" i="19"/>
  <c r="E584" i="19"/>
  <c r="E583" i="19"/>
  <c r="E582" i="19"/>
  <c r="E580" i="19"/>
  <c r="E579" i="19"/>
  <c r="E578" i="19"/>
  <c r="E577" i="19"/>
  <c r="E576" i="19"/>
  <c r="E573" i="19"/>
  <c r="E572" i="19"/>
  <c r="E571" i="19"/>
  <c r="E570" i="19"/>
  <c r="E569" i="19"/>
  <c r="E568" i="19"/>
  <c r="E567" i="19"/>
  <c r="E564" i="19"/>
  <c r="E563" i="19"/>
  <c r="E562" i="19"/>
  <c r="E559" i="19"/>
  <c r="E558" i="19"/>
  <c r="E529" i="19"/>
  <c r="E528" i="19"/>
  <c r="E527" i="19"/>
  <c r="E526" i="19"/>
  <c r="E525" i="19"/>
  <c r="E524" i="19"/>
  <c r="E523" i="19"/>
  <c r="E522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2" i="19"/>
  <c r="E481" i="19"/>
  <c r="E480" i="19"/>
  <c r="E479" i="19"/>
  <c r="E478" i="19"/>
  <c r="E477" i="19"/>
  <c r="E476" i="19"/>
  <c r="E475" i="19"/>
  <c r="E474" i="19"/>
  <c r="E473" i="19"/>
  <c r="E472" i="19"/>
  <c r="E469" i="19"/>
  <c r="E468" i="19"/>
  <c r="E467" i="19"/>
  <c r="E466" i="19"/>
  <c r="E465" i="19"/>
  <c r="E464" i="19"/>
  <c r="E462" i="19"/>
  <c r="E461" i="19"/>
  <c r="E459" i="19"/>
  <c r="E458" i="19"/>
  <c r="E457" i="19"/>
  <c r="E456" i="19"/>
  <c r="E453" i="19"/>
  <c r="E452" i="19"/>
  <c r="E451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E437" i="19"/>
  <c r="E436" i="19"/>
  <c r="E435" i="19"/>
  <c r="E434" i="19"/>
  <c r="E433" i="19"/>
  <c r="E432" i="19"/>
  <c r="E431" i="19"/>
  <c r="E423" i="19"/>
  <c r="E422" i="19"/>
  <c r="E421" i="19"/>
  <c r="E420" i="19"/>
  <c r="E419" i="19"/>
  <c r="E418" i="19"/>
  <c r="E417" i="19"/>
  <c r="E416" i="19"/>
  <c r="E415" i="19"/>
  <c r="E414" i="19"/>
  <c r="E413" i="19"/>
  <c r="E412" i="19"/>
  <c r="E411" i="19"/>
  <c r="E410" i="19"/>
  <c r="E409" i="19"/>
  <c r="E408" i="19"/>
  <c r="E407" i="19"/>
  <c r="E406" i="19"/>
  <c r="E405" i="19"/>
  <c r="E404" i="19"/>
  <c r="E325" i="19"/>
  <c r="E324" i="19"/>
  <c r="E323" i="19"/>
  <c r="E322" i="19"/>
  <c r="E321" i="19"/>
  <c r="E320" i="19"/>
  <c r="E319" i="19"/>
  <c r="E318" i="19"/>
  <c r="E317" i="19"/>
  <c r="E316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E293" i="19"/>
  <c r="E292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E269" i="19"/>
  <c r="E268" i="19"/>
  <c r="E267" i="19"/>
  <c r="E266" i="19"/>
  <c r="E253" i="19"/>
  <c r="E252" i="19"/>
  <c r="E251" i="19"/>
  <c r="E250" i="19"/>
  <c r="E249" i="19"/>
  <c r="E248" i="19"/>
  <c r="E247" i="19"/>
  <c r="E246" i="19"/>
  <c r="E245" i="19"/>
  <c r="E244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E221" i="19"/>
  <c r="E220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E197" i="19"/>
  <c r="E196" i="19"/>
  <c r="E195" i="19"/>
  <c r="E194" i="19"/>
  <c r="E182" i="19"/>
  <c r="E181" i="19"/>
  <c r="E180" i="19"/>
  <c r="E179" i="19"/>
  <c r="E178" i="19"/>
  <c r="E177" i="19"/>
  <c r="E176" i="19"/>
  <c r="E175" i="19"/>
  <c r="E174" i="19"/>
  <c r="E173" i="19"/>
  <c r="E172" i="19"/>
  <c r="E171" i="19"/>
  <c r="E170" i="19"/>
  <c r="E159" i="19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5" i="19"/>
  <c r="E144" i="19"/>
  <c r="E143" i="19"/>
  <c r="E142" i="19"/>
  <c r="E132" i="19"/>
  <c r="E131" i="19"/>
  <c r="E130" i="19"/>
  <c r="E129" i="19"/>
  <c r="E128" i="19"/>
  <c r="E127" i="19"/>
  <c r="E126" i="19"/>
  <c r="E125" i="19"/>
  <c r="E124" i="19"/>
  <c r="E123" i="19"/>
  <c r="E122" i="19"/>
  <c r="E111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AC463" i="19" l="1"/>
  <c r="AE463" i="19" s="1"/>
  <c r="AG463" i="19" s="1"/>
  <c r="AN463" i="19"/>
  <c r="AP463" i="19" s="1"/>
  <c r="AR463" i="19" s="1"/>
  <c r="G463" i="19"/>
  <c r="R463" i="19" s="1"/>
  <c r="T463" i="19" s="1"/>
  <c r="V463" i="19" s="1"/>
  <c r="AY463" i="19"/>
  <c r="BA463" i="19" s="1"/>
  <c r="BC463" i="19" s="1"/>
  <c r="BO463" i="19"/>
  <c r="BK463" i="19"/>
  <c r="BM463" i="19" s="1"/>
  <c r="Y463" i="19"/>
  <c r="X463" i="19"/>
  <c r="BI463" i="19"/>
  <c r="BE463" i="19"/>
  <c r="BG463" i="19" s="1"/>
  <c r="BU463" i="19"/>
  <c r="BQ463" i="19"/>
  <c r="BS463" i="19" s="1"/>
  <c r="J463" i="19"/>
  <c r="N463" i="19"/>
  <c r="Z463" i="19"/>
  <c r="BB463" i="19"/>
  <c r="BN463" i="19"/>
  <c r="O463" i="19"/>
  <c r="AA463" i="19"/>
  <c r="P463" i="19"/>
  <c r="I463" i="19" l="1"/>
  <c r="K463" i="19" l="1"/>
  <c r="BR449" i="19"/>
  <c r="BT449" i="19" s="1"/>
  <c r="BP449" i="19"/>
  <c r="BL449" i="19"/>
  <c r="BN449" i="19" s="1"/>
  <c r="BJ449" i="19"/>
  <c r="BF449" i="19"/>
  <c r="BH449" i="19" s="1"/>
  <c r="BD449" i="19"/>
  <c r="AZ449" i="19"/>
  <c r="BB449" i="19" s="1"/>
  <c r="AX449" i="19"/>
  <c r="W449" i="19"/>
  <c r="S449" i="19"/>
  <c r="U449" i="19" s="1"/>
  <c r="Q449" i="19"/>
  <c r="L449" i="19"/>
  <c r="M449" i="19" s="1"/>
  <c r="H449" i="19"/>
  <c r="F449" i="19"/>
  <c r="D449" i="19"/>
  <c r="AN449" i="19" l="1"/>
  <c r="AP449" i="19" s="1"/>
  <c r="AR449" i="19" s="1"/>
  <c r="AC449" i="19"/>
  <c r="AE449" i="19" s="1"/>
  <c r="G449" i="19"/>
  <c r="R449" i="19" s="1"/>
  <c r="T449" i="19" s="1"/>
  <c r="V449" i="19" s="1"/>
  <c r="BC449" i="19"/>
  <c r="AY449" i="19"/>
  <c r="BA449" i="19" s="1"/>
  <c r="BO449" i="19"/>
  <c r="BK449" i="19"/>
  <c r="BM449" i="19" s="1"/>
  <c r="AA449" i="19"/>
  <c r="X449" i="19"/>
  <c r="BI449" i="19"/>
  <c r="BE449" i="19"/>
  <c r="BG449" i="19" s="1"/>
  <c r="BU449" i="19"/>
  <c r="BQ449" i="19"/>
  <c r="BS449" i="19" s="1"/>
  <c r="J449" i="19"/>
  <c r="N449" i="19"/>
  <c r="Y449" i="19"/>
  <c r="Z449" i="19"/>
  <c r="O449" i="19"/>
  <c r="P449" i="19"/>
  <c r="BR580" i="19"/>
  <c r="BT580" i="19" s="1"/>
  <c r="BP580" i="19"/>
  <c r="BL580" i="19"/>
  <c r="BN580" i="19" s="1"/>
  <c r="BJ580" i="19"/>
  <c r="BF580" i="19"/>
  <c r="BH580" i="19" s="1"/>
  <c r="BD580" i="19"/>
  <c r="AZ580" i="19"/>
  <c r="BB580" i="19" s="1"/>
  <c r="AX580" i="19"/>
  <c r="W580" i="19"/>
  <c r="S580" i="19"/>
  <c r="U580" i="19" s="1"/>
  <c r="Q580" i="19"/>
  <c r="V580" i="19" s="1"/>
  <c r="L580" i="19"/>
  <c r="M580" i="19" s="1"/>
  <c r="H580" i="19"/>
  <c r="F580" i="19"/>
  <c r="D580" i="19"/>
  <c r="AG449" i="19" l="1"/>
  <c r="BE580" i="19"/>
  <c r="BG580" i="19" s="1"/>
  <c r="BI580" i="19" s="1"/>
  <c r="AA580" i="19"/>
  <c r="X580" i="19"/>
  <c r="BU580" i="19"/>
  <c r="BQ580" i="19"/>
  <c r="BS580" i="19" s="1"/>
  <c r="K580" i="19"/>
  <c r="G580" i="19"/>
  <c r="R580" i="19" s="1"/>
  <c r="T580" i="19" s="1"/>
  <c r="BC580" i="19"/>
  <c r="AY580" i="19"/>
  <c r="BA580" i="19" s="1"/>
  <c r="BO580" i="19"/>
  <c r="BK580" i="19"/>
  <c r="BM580" i="19" s="1"/>
  <c r="J580" i="19"/>
  <c r="N580" i="19"/>
  <c r="I449" i="19"/>
  <c r="Z580" i="19"/>
  <c r="Y580" i="19"/>
  <c r="O580" i="19"/>
  <c r="P580" i="19"/>
  <c r="BR145" i="19"/>
  <c r="BT145" i="19" s="1"/>
  <c r="BP145" i="19"/>
  <c r="BL145" i="19"/>
  <c r="BN145" i="19" s="1"/>
  <c r="BJ145" i="19"/>
  <c r="BF145" i="19"/>
  <c r="BH145" i="19" s="1"/>
  <c r="BD145" i="19"/>
  <c r="AZ145" i="19"/>
  <c r="BB145" i="19" s="1"/>
  <c r="AX145" i="19"/>
  <c r="W145" i="19"/>
  <c r="S145" i="19"/>
  <c r="U145" i="19" s="1"/>
  <c r="Q145" i="19"/>
  <c r="V145" i="19" s="1"/>
  <c r="L145" i="19"/>
  <c r="H145" i="19"/>
  <c r="J145" i="19" s="1"/>
  <c r="F145" i="19"/>
  <c r="D145" i="19"/>
  <c r="BR144" i="19"/>
  <c r="BT144" i="19" s="1"/>
  <c r="BP144" i="19"/>
  <c r="BQ144" i="19" s="1"/>
  <c r="BL144" i="19"/>
  <c r="BN144" i="19" s="1"/>
  <c r="BJ144" i="19"/>
  <c r="BF144" i="19"/>
  <c r="BH144" i="19" s="1"/>
  <c r="BD144" i="19"/>
  <c r="AZ144" i="19"/>
  <c r="BB144" i="19" s="1"/>
  <c r="AX144" i="19"/>
  <c r="AY144" i="19" s="1"/>
  <c r="W144" i="19"/>
  <c r="S144" i="19"/>
  <c r="U144" i="19" s="1"/>
  <c r="Q144" i="19"/>
  <c r="V144" i="19" s="1"/>
  <c r="L144" i="19"/>
  <c r="H144" i="19"/>
  <c r="J144" i="19" s="1"/>
  <c r="F144" i="19"/>
  <c r="D144" i="19"/>
  <c r="BR159" i="19"/>
  <c r="BT159" i="19" s="1"/>
  <c r="BP159" i="19"/>
  <c r="BQ159" i="19" s="1"/>
  <c r="BL159" i="19"/>
  <c r="BJ159" i="19"/>
  <c r="BF159" i="19"/>
  <c r="BH159" i="19" s="1"/>
  <c r="BD159" i="19"/>
  <c r="AZ159" i="19"/>
  <c r="AX159" i="19"/>
  <c r="W159" i="19"/>
  <c r="S159" i="19"/>
  <c r="U159" i="19" s="1"/>
  <c r="Q159" i="19"/>
  <c r="V159" i="19" s="1"/>
  <c r="L159" i="19"/>
  <c r="H159" i="19"/>
  <c r="F159" i="19"/>
  <c r="G159" i="19" s="1"/>
  <c r="D159" i="19"/>
  <c r="BR158" i="19"/>
  <c r="BT158" i="19" s="1"/>
  <c r="BP158" i="19"/>
  <c r="BQ158" i="19" s="1"/>
  <c r="BL158" i="19"/>
  <c r="BN158" i="19" s="1"/>
  <c r="BJ158" i="19"/>
  <c r="BK158" i="19" s="1"/>
  <c r="BF158" i="19"/>
  <c r="BH158" i="19" s="1"/>
  <c r="BD158" i="19"/>
  <c r="AZ158" i="19"/>
  <c r="BB158" i="19" s="1"/>
  <c r="AX158" i="19"/>
  <c r="AY158" i="19" s="1"/>
  <c r="W158" i="19"/>
  <c r="X158" i="19" s="1"/>
  <c r="S158" i="19"/>
  <c r="Q158" i="19"/>
  <c r="V158" i="19" s="1"/>
  <c r="L158" i="19"/>
  <c r="H158" i="19"/>
  <c r="J158" i="19" s="1"/>
  <c r="F158" i="19"/>
  <c r="G158" i="19" s="1"/>
  <c r="D158" i="19"/>
  <c r="BR157" i="19"/>
  <c r="BP157" i="19"/>
  <c r="BQ157" i="19" s="1"/>
  <c r="BL157" i="19"/>
  <c r="BN157" i="19" s="1"/>
  <c r="BJ157" i="19"/>
  <c r="BK157" i="19" s="1"/>
  <c r="BF157" i="19"/>
  <c r="BD157" i="19"/>
  <c r="AZ157" i="19"/>
  <c r="BB157" i="19" s="1"/>
  <c r="AX157" i="19"/>
  <c r="AY157" i="19" s="1"/>
  <c r="W157" i="19"/>
  <c r="X157" i="19" s="1"/>
  <c r="S157" i="19"/>
  <c r="U157" i="19" s="1"/>
  <c r="Q157" i="19"/>
  <c r="V157" i="19" s="1"/>
  <c r="L157" i="19"/>
  <c r="M157" i="19" s="1"/>
  <c r="H157" i="19"/>
  <c r="J157" i="19" s="1"/>
  <c r="F157" i="19"/>
  <c r="D157" i="19"/>
  <c r="BR156" i="19"/>
  <c r="BT156" i="19" s="1"/>
  <c r="BP156" i="19"/>
  <c r="BQ156" i="19" s="1"/>
  <c r="BL156" i="19"/>
  <c r="BJ156" i="19"/>
  <c r="BK156" i="19" s="1"/>
  <c r="BF156" i="19"/>
  <c r="BD156" i="19"/>
  <c r="AZ156" i="19"/>
  <c r="AX156" i="19"/>
  <c r="W156" i="19"/>
  <c r="X156" i="19" s="1"/>
  <c r="S156" i="19"/>
  <c r="Q156" i="19"/>
  <c r="V156" i="19" s="1"/>
  <c r="L156" i="19"/>
  <c r="M156" i="19" s="1"/>
  <c r="H156" i="19"/>
  <c r="J156" i="19" s="1"/>
  <c r="F156" i="19"/>
  <c r="D156" i="19"/>
  <c r="BR155" i="19"/>
  <c r="BT155" i="19" s="1"/>
  <c r="BP155" i="19"/>
  <c r="BQ155" i="19" s="1"/>
  <c r="BL155" i="19"/>
  <c r="BN155" i="19" s="1"/>
  <c r="BJ155" i="19"/>
  <c r="BK155" i="19" s="1"/>
  <c r="BF155" i="19"/>
  <c r="BD155" i="19"/>
  <c r="AZ155" i="19"/>
  <c r="BB155" i="19" s="1"/>
  <c r="AX155" i="19"/>
  <c r="AY155" i="19" s="1"/>
  <c r="W155" i="19"/>
  <c r="S155" i="19"/>
  <c r="U155" i="19" s="1"/>
  <c r="Q155" i="19"/>
  <c r="V155" i="19" s="1"/>
  <c r="L155" i="19"/>
  <c r="H155" i="19"/>
  <c r="F155" i="19"/>
  <c r="D155" i="19"/>
  <c r="BR154" i="19"/>
  <c r="BT154" i="19" s="1"/>
  <c r="BP154" i="19"/>
  <c r="BL154" i="19"/>
  <c r="BN154" i="19" s="1"/>
  <c r="BJ154" i="19"/>
  <c r="BF154" i="19"/>
  <c r="BH154" i="19" s="1"/>
  <c r="BD154" i="19"/>
  <c r="AZ154" i="19"/>
  <c r="BB154" i="19" s="1"/>
  <c r="AX154" i="19"/>
  <c r="W154" i="19"/>
  <c r="S154" i="19"/>
  <c r="U154" i="19" s="1"/>
  <c r="Q154" i="19"/>
  <c r="V154" i="19" s="1"/>
  <c r="L154" i="19"/>
  <c r="H154" i="19"/>
  <c r="J154" i="19" s="1"/>
  <c r="F154" i="19"/>
  <c r="D154" i="19"/>
  <c r="BR153" i="19"/>
  <c r="BP153" i="19"/>
  <c r="BL153" i="19"/>
  <c r="BN153" i="19" s="1"/>
  <c r="BJ153" i="19"/>
  <c r="BK153" i="19" s="1"/>
  <c r="BF153" i="19"/>
  <c r="BD153" i="19"/>
  <c r="AZ153" i="19"/>
  <c r="BB153" i="19" s="1"/>
  <c r="AX153" i="19"/>
  <c r="AY153" i="19" s="1"/>
  <c r="W153" i="19"/>
  <c r="S153" i="19"/>
  <c r="Q153" i="19"/>
  <c r="V153" i="19" s="1"/>
  <c r="L153" i="19"/>
  <c r="H153" i="19"/>
  <c r="J153" i="19" s="1"/>
  <c r="F153" i="19"/>
  <c r="D153" i="19"/>
  <c r="BR152" i="19"/>
  <c r="BT152" i="19" s="1"/>
  <c r="BP152" i="19"/>
  <c r="BQ152" i="19" s="1"/>
  <c r="BL152" i="19"/>
  <c r="BJ152" i="19"/>
  <c r="BF152" i="19"/>
  <c r="BH152" i="19" s="1"/>
  <c r="BD152" i="19"/>
  <c r="AZ152" i="19"/>
  <c r="AX152" i="19"/>
  <c r="W152" i="19"/>
  <c r="S152" i="19"/>
  <c r="U152" i="19" s="1"/>
  <c r="Q152" i="19"/>
  <c r="V152" i="19" s="1"/>
  <c r="L152" i="19"/>
  <c r="H152" i="19"/>
  <c r="F152" i="19"/>
  <c r="D152" i="19"/>
  <c r="BR151" i="19"/>
  <c r="BT151" i="19" s="1"/>
  <c r="BP151" i="19"/>
  <c r="BQ151" i="19" s="1"/>
  <c r="BL151" i="19"/>
  <c r="BN151" i="19" s="1"/>
  <c r="BJ151" i="19"/>
  <c r="BF151" i="19"/>
  <c r="BH151" i="19" s="1"/>
  <c r="BD151" i="19"/>
  <c r="AZ151" i="19"/>
  <c r="BB151" i="19" s="1"/>
  <c r="AX151" i="19"/>
  <c r="W151" i="19"/>
  <c r="X151" i="19" s="1"/>
  <c r="S151" i="19"/>
  <c r="U151" i="19" s="1"/>
  <c r="Q151" i="19"/>
  <c r="V151" i="19" s="1"/>
  <c r="L151" i="19"/>
  <c r="H151" i="19"/>
  <c r="J151" i="19" s="1"/>
  <c r="F151" i="19"/>
  <c r="D151" i="19"/>
  <c r="BR150" i="19"/>
  <c r="BT150" i="19" s="1"/>
  <c r="BP150" i="19"/>
  <c r="BQ150" i="19" s="1"/>
  <c r="BL150" i="19"/>
  <c r="BJ150" i="19"/>
  <c r="BK150" i="19" s="1"/>
  <c r="BF150" i="19"/>
  <c r="BH150" i="19" s="1"/>
  <c r="BD150" i="19"/>
  <c r="AZ150" i="19"/>
  <c r="BB150" i="19" s="1"/>
  <c r="AX150" i="19"/>
  <c r="W150" i="19"/>
  <c r="S150" i="19"/>
  <c r="U150" i="19" s="1"/>
  <c r="Q150" i="19"/>
  <c r="V150" i="19" s="1"/>
  <c r="L150" i="19"/>
  <c r="H150" i="19"/>
  <c r="J150" i="19" s="1"/>
  <c r="F150" i="19"/>
  <c r="D150" i="19"/>
  <c r="BR149" i="19"/>
  <c r="BT149" i="19" s="1"/>
  <c r="BP149" i="19"/>
  <c r="BL149" i="19"/>
  <c r="BN149" i="19" s="1"/>
  <c r="BJ149" i="19"/>
  <c r="BF149" i="19"/>
  <c r="BH149" i="19" s="1"/>
  <c r="BD149" i="19"/>
  <c r="AZ149" i="19"/>
  <c r="BB149" i="19" s="1"/>
  <c r="AX149" i="19"/>
  <c r="W149" i="19"/>
  <c r="S149" i="19"/>
  <c r="U149" i="19" s="1"/>
  <c r="Q149" i="19"/>
  <c r="V149" i="19" s="1"/>
  <c r="L149" i="19"/>
  <c r="H149" i="19"/>
  <c r="J149" i="19" s="1"/>
  <c r="F149" i="19"/>
  <c r="D149" i="19"/>
  <c r="BE149" i="19" l="1"/>
  <c r="BG149" i="19" s="1"/>
  <c r="BI149" i="19" s="1"/>
  <c r="BE155" i="19"/>
  <c r="BG155" i="19" s="1"/>
  <c r="BI155" i="19" s="1"/>
  <c r="BE157" i="19"/>
  <c r="BG157" i="19" s="1"/>
  <c r="BI157" i="19" s="1"/>
  <c r="BE159" i="19"/>
  <c r="BG159" i="19" s="1"/>
  <c r="BI159" i="19" s="1"/>
  <c r="BE144" i="19"/>
  <c r="BG144" i="19" s="1"/>
  <c r="BI144" i="19" s="1"/>
  <c r="BE145" i="19"/>
  <c r="BG145" i="19" s="1"/>
  <c r="BI145" i="19" s="1"/>
  <c r="O149" i="19"/>
  <c r="M149" i="19"/>
  <c r="BU149" i="19"/>
  <c r="BQ149" i="19"/>
  <c r="BS149" i="19" s="1"/>
  <c r="K151" i="19"/>
  <c r="G151" i="19"/>
  <c r="BO151" i="19"/>
  <c r="BK151" i="19"/>
  <c r="BM151" i="19" s="1"/>
  <c r="P150" i="19"/>
  <c r="M150" i="19"/>
  <c r="BE150" i="19"/>
  <c r="BG150" i="19" s="1"/>
  <c r="BI150" i="19" s="1"/>
  <c r="P152" i="19"/>
  <c r="M152" i="19"/>
  <c r="BE152" i="19"/>
  <c r="BG152" i="19" s="1"/>
  <c r="BI152" i="19" s="1"/>
  <c r="AA153" i="19"/>
  <c r="X153" i="19"/>
  <c r="K154" i="19"/>
  <c r="G154" i="19"/>
  <c r="BC154" i="19"/>
  <c r="AY154" i="19"/>
  <c r="BA154" i="19" s="1"/>
  <c r="BO154" i="19"/>
  <c r="BK154" i="19"/>
  <c r="BM154" i="19" s="1"/>
  <c r="G156" i="19"/>
  <c r="R156" i="19" s="1"/>
  <c r="T156" i="19" s="1"/>
  <c r="BC156" i="19"/>
  <c r="AY156" i="19"/>
  <c r="BA156" i="19" s="1"/>
  <c r="P145" i="19"/>
  <c r="M145" i="19"/>
  <c r="BU145" i="19"/>
  <c r="BQ145" i="19"/>
  <c r="BS145" i="19" s="1"/>
  <c r="Z150" i="19"/>
  <c r="X150" i="19"/>
  <c r="BC151" i="19"/>
  <c r="AY151" i="19"/>
  <c r="BA151" i="19" s="1"/>
  <c r="AA152" i="19"/>
  <c r="X152" i="19"/>
  <c r="K153" i="19"/>
  <c r="G153" i="19"/>
  <c r="I153" i="19" s="1"/>
  <c r="P155" i="19"/>
  <c r="M155" i="19"/>
  <c r="N159" i="19"/>
  <c r="M159" i="19"/>
  <c r="P144" i="19"/>
  <c r="M144" i="19"/>
  <c r="AA145" i="19"/>
  <c r="X145" i="19"/>
  <c r="K149" i="19"/>
  <c r="G149" i="19"/>
  <c r="R149" i="19" s="1"/>
  <c r="T149" i="19" s="1"/>
  <c r="BC149" i="19"/>
  <c r="AY149" i="19"/>
  <c r="BA149" i="19" s="1"/>
  <c r="BO149" i="19"/>
  <c r="BK149" i="19"/>
  <c r="BM149" i="19" s="1"/>
  <c r="P151" i="19"/>
  <c r="M151" i="19"/>
  <c r="BE151" i="19"/>
  <c r="BG151" i="19" s="1"/>
  <c r="BI151" i="19" s="1"/>
  <c r="P153" i="19"/>
  <c r="M153" i="19"/>
  <c r="BE153" i="19"/>
  <c r="BG153" i="19" s="1"/>
  <c r="BI153" i="19" s="1"/>
  <c r="BU153" i="19"/>
  <c r="BQ153" i="19"/>
  <c r="BS153" i="19" s="1"/>
  <c r="AA154" i="19"/>
  <c r="X154" i="19"/>
  <c r="K155" i="19"/>
  <c r="G155" i="19"/>
  <c r="R155" i="19" s="1"/>
  <c r="T155" i="19" s="1"/>
  <c r="K157" i="19"/>
  <c r="G157" i="19"/>
  <c r="BC159" i="19"/>
  <c r="AY159" i="19"/>
  <c r="BA159" i="19" s="1"/>
  <c r="BO159" i="19"/>
  <c r="BK159" i="19"/>
  <c r="BM159" i="19" s="1"/>
  <c r="G144" i="19"/>
  <c r="R144" i="19" s="1"/>
  <c r="T144" i="19" s="1"/>
  <c r="BO144" i="19"/>
  <c r="BK144" i="19"/>
  <c r="BM144" i="19" s="1"/>
  <c r="AA149" i="19"/>
  <c r="X149" i="19"/>
  <c r="K150" i="19"/>
  <c r="G150" i="19"/>
  <c r="R150" i="19" s="1"/>
  <c r="T150" i="19" s="1"/>
  <c r="BC150" i="19"/>
  <c r="AY150" i="19"/>
  <c r="BA150" i="19" s="1"/>
  <c r="K152" i="19"/>
  <c r="G152" i="19"/>
  <c r="R152" i="19" s="1"/>
  <c r="T152" i="19" s="1"/>
  <c r="BC152" i="19"/>
  <c r="AY152" i="19"/>
  <c r="BA152" i="19" s="1"/>
  <c r="BO152" i="19"/>
  <c r="BK152" i="19"/>
  <c r="BM152" i="19" s="1"/>
  <c r="P154" i="19"/>
  <c r="M154" i="19"/>
  <c r="BE154" i="19"/>
  <c r="BG154" i="19" s="1"/>
  <c r="BI154" i="19" s="1"/>
  <c r="BU154" i="19"/>
  <c r="BQ154" i="19"/>
  <c r="BS154" i="19" s="1"/>
  <c r="Y155" i="19"/>
  <c r="X155" i="19"/>
  <c r="BE156" i="19"/>
  <c r="BG156" i="19" s="1"/>
  <c r="BI156" i="19" s="1"/>
  <c r="P158" i="19"/>
  <c r="M158" i="19"/>
  <c r="BE158" i="19"/>
  <c r="BG158" i="19" s="1"/>
  <c r="BI158" i="19" s="1"/>
  <c r="AA159" i="19"/>
  <c r="X159" i="19"/>
  <c r="Z144" i="19"/>
  <c r="X144" i="19"/>
  <c r="K145" i="19"/>
  <c r="G145" i="19"/>
  <c r="BC145" i="19"/>
  <c r="AY145" i="19"/>
  <c r="BA145" i="19" s="1"/>
  <c r="BO145" i="19"/>
  <c r="BK145" i="19"/>
  <c r="BM145" i="19" s="1"/>
  <c r="K449" i="19"/>
  <c r="BA144" i="19"/>
  <c r="I580" i="19"/>
  <c r="Z145" i="19"/>
  <c r="N144" i="19"/>
  <c r="O144" i="19"/>
  <c r="N145" i="19"/>
  <c r="BS144" i="19"/>
  <c r="K144" i="19"/>
  <c r="BC144" i="19"/>
  <c r="BU144" i="19"/>
  <c r="Y145" i="19"/>
  <c r="AA144" i="19"/>
  <c r="O145" i="19"/>
  <c r="Y144" i="19"/>
  <c r="BM155" i="19"/>
  <c r="O153" i="19"/>
  <c r="N151" i="19"/>
  <c r="O151" i="19"/>
  <c r="Y151" i="19"/>
  <c r="O156" i="19"/>
  <c r="N153" i="19"/>
  <c r="BS155" i="19"/>
  <c r="BO156" i="19"/>
  <c r="Y157" i="19"/>
  <c r="BC158" i="19"/>
  <c r="Z149" i="19"/>
  <c r="Y154" i="19"/>
  <c r="O158" i="19"/>
  <c r="P159" i="19"/>
  <c r="Z154" i="19"/>
  <c r="BA158" i="19"/>
  <c r="BU151" i="19"/>
  <c r="R158" i="19"/>
  <c r="T158" i="19" s="1"/>
  <c r="I158" i="19"/>
  <c r="O152" i="19"/>
  <c r="N154" i="19"/>
  <c r="AA155" i="19"/>
  <c r="BO155" i="19"/>
  <c r="BU158" i="19"/>
  <c r="BS158" i="19"/>
  <c r="N150" i="19"/>
  <c r="P157" i="19"/>
  <c r="O157" i="19"/>
  <c r="N157" i="19"/>
  <c r="K158" i="19"/>
  <c r="O150" i="19"/>
  <c r="AA151" i="19"/>
  <c r="BS151" i="19"/>
  <c r="BU157" i="19"/>
  <c r="BS157" i="19"/>
  <c r="BO158" i="19"/>
  <c r="BM158" i="19"/>
  <c r="BU155" i="19"/>
  <c r="Z157" i="19"/>
  <c r="Z159" i="19"/>
  <c r="N156" i="19"/>
  <c r="BB156" i="19"/>
  <c r="AA150" i="19"/>
  <c r="BM150" i="19"/>
  <c r="Y149" i="19"/>
  <c r="BN150" i="19"/>
  <c r="Z151" i="19"/>
  <c r="J152" i="19"/>
  <c r="Y156" i="19"/>
  <c r="AA156" i="19"/>
  <c r="Z156" i="19"/>
  <c r="P149" i="19"/>
  <c r="BU152" i="19"/>
  <c r="BS152" i="19"/>
  <c r="U153" i="19"/>
  <c r="N149" i="19"/>
  <c r="Y150" i="19"/>
  <c r="BO150" i="19"/>
  <c r="Z152" i="19"/>
  <c r="Y152" i="19"/>
  <c r="BB152" i="19"/>
  <c r="BN152" i="19"/>
  <c r="Y153" i="19"/>
  <c r="BC153" i="19"/>
  <c r="BA153" i="19"/>
  <c r="BH153" i="19"/>
  <c r="J155" i="19"/>
  <c r="BC155" i="19"/>
  <c r="BA155" i="19"/>
  <c r="BH155" i="19"/>
  <c r="K156" i="19"/>
  <c r="BO157" i="19"/>
  <c r="BM157" i="19"/>
  <c r="BT153" i="19"/>
  <c r="O155" i="19"/>
  <c r="N155" i="19"/>
  <c r="BU150" i="19"/>
  <c r="BS150" i="19"/>
  <c r="N152" i="19"/>
  <c r="Z153" i="19"/>
  <c r="BO153" i="19"/>
  <c r="BM153" i="19"/>
  <c r="BH156" i="19"/>
  <c r="O154" i="19"/>
  <c r="Z155" i="19"/>
  <c r="U156" i="19"/>
  <c r="BU156" i="19"/>
  <c r="BS156" i="19"/>
  <c r="BC157" i="19"/>
  <c r="BA157" i="19"/>
  <c r="P156" i="19"/>
  <c r="BM156" i="19"/>
  <c r="BN156" i="19"/>
  <c r="BH157" i="19"/>
  <c r="BT157" i="19"/>
  <c r="Z158" i="19"/>
  <c r="AA158" i="19"/>
  <c r="Y158" i="19"/>
  <c r="K159" i="19"/>
  <c r="R159" i="19"/>
  <c r="T159" i="19" s="1"/>
  <c r="BB159" i="19"/>
  <c r="AA157" i="19"/>
  <c r="J159" i="19"/>
  <c r="BN159" i="19"/>
  <c r="U158" i="19"/>
  <c r="O159" i="19"/>
  <c r="BU159" i="19"/>
  <c r="BS159" i="19"/>
  <c r="N158" i="19"/>
  <c r="Y159" i="19"/>
  <c r="BR457" i="19"/>
  <c r="BT457" i="19" s="1"/>
  <c r="BP457" i="19"/>
  <c r="BL457" i="19"/>
  <c r="BN457" i="19" s="1"/>
  <c r="BJ457" i="19"/>
  <c r="BF457" i="19"/>
  <c r="BH457" i="19" s="1"/>
  <c r="BD457" i="19"/>
  <c r="AZ457" i="19"/>
  <c r="BB457" i="19" s="1"/>
  <c r="AX457" i="19"/>
  <c r="W457" i="19"/>
  <c r="S457" i="19"/>
  <c r="U457" i="19" s="1"/>
  <c r="Q457" i="19"/>
  <c r="L457" i="19"/>
  <c r="M457" i="19" s="1"/>
  <c r="H457" i="19"/>
  <c r="F457" i="19"/>
  <c r="D457" i="19"/>
  <c r="AC457" i="19" l="1"/>
  <c r="AE457" i="19" s="1"/>
  <c r="AG457" i="19" s="1"/>
  <c r="AN457" i="19"/>
  <c r="AP457" i="19" s="1"/>
  <c r="AR457" i="19" s="1"/>
  <c r="I152" i="19"/>
  <c r="I144" i="19"/>
  <c r="I156" i="19"/>
  <c r="G457" i="19"/>
  <c r="R457" i="19" s="1"/>
  <c r="T457" i="19" s="1"/>
  <c r="V457" i="19" s="1"/>
  <c r="AY457" i="19"/>
  <c r="BA457" i="19" s="1"/>
  <c r="BC457" i="19" s="1"/>
  <c r="BO457" i="19"/>
  <c r="BK457" i="19"/>
  <c r="BM457" i="19" s="1"/>
  <c r="Y457" i="19"/>
  <c r="X457" i="19"/>
  <c r="BI457" i="19"/>
  <c r="BE457" i="19"/>
  <c r="BG457" i="19" s="1"/>
  <c r="BU457" i="19"/>
  <c r="BQ457" i="19"/>
  <c r="BS457" i="19" s="1"/>
  <c r="J457" i="19"/>
  <c r="I145" i="19"/>
  <c r="R145" i="19"/>
  <c r="T145" i="19" s="1"/>
  <c r="R153" i="19"/>
  <c r="T153" i="19" s="1"/>
  <c r="I155" i="19"/>
  <c r="I159" i="19"/>
  <c r="I150" i="19"/>
  <c r="R157" i="19"/>
  <c r="T157" i="19" s="1"/>
  <c r="I157" i="19"/>
  <c r="R151" i="19"/>
  <c r="T151" i="19" s="1"/>
  <c r="I151" i="19"/>
  <c r="I149" i="19"/>
  <c r="R154" i="19"/>
  <c r="T154" i="19" s="1"/>
  <c r="I154" i="19"/>
  <c r="O457" i="19"/>
  <c r="Z457" i="19"/>
  <c r="N457" i="19"/>
  <c r="AA457" i="19"/>
  <c r="P457" i="19"/>
  <c r="BR445" i="19"/>
  <c r="BT445" i="19" s="1"/>
  <c r="BP445" i="19"/>
  <c r="BL445" i="19"/>
  <c r="BJ445" i="19"/>
  <c r="BK445" i="19" s="1"/>
  <c r="BF445" i="19"/>
  <c r="BH445" i="19" s="1"/>
  <c r="BD445" i="19"/>
  <c r="AZ445" i="19"/>
  <c r="BB445" i="19" s="1"/>
  <c r="AX445" i="19"/>
  <c r="W445" i="19"/>
  <c r="S445" i="19"/>
  <c r="U445" i="19" s="1"/>
  <c r="Q445" i="19"/>
  <c r="V445" i="19" s="1"/>
  <c r="L445" i="19"/>
  <c r="M445" i="19" s="1"/>
  <c r="H445" i="19"/>
  <c r="J445" i="19" s="1"/>
  <c r="F445" i="19"/>
  <c r="D445" i="19"/>
  <c r="BE445" i="19" l="1"/>
  <c r="BG445" i="19" s="1"/>
  <c r="BI445" i="19" s="1"/>
  <c r="Y445" i="19"/>
  <c r="X445" i="19"/>
  <c r="BU445" i="19"/>
  <c r="BQ445" i="19"/>
  <c r="BS445" i="19" s="1"/>
  <c r="K445" i="19"/>
  <c r="G445" i="19"/>
  <c r="R445" i="19" s="1"/>
  <c r="T445" i="19" s="1"/>
  <c r="BC445" i="19"/>
  <c r="AY445" i="19"/>
  <c r="BA445" i="19" s="1"/>
  <c r="I457" i="19"/>
  <c r="O445" i="19"/>
  <c r="BM445" i="19"/>
  <c r="Z445" i="19"/>
  <c r="BN445" i="19"/>
  <c r="N445" i="19"/>
  <c r="AA445" i="19"/>
  <c r="BO445" i="19"/>
  <c r="P445" i="19"/>
  <c r="BR458" i="19"/>
  <c r="BP458" i="19"/>
  <c r="BL458" i="19"/>
  <c r="BJ458" i="19"/>
  <c r="BK458" i="19" s="1"/>
  <c r="BF458" i="19"/>
  <c r="BH458" i="19" s="1"/>
  <c r="BD458" i="19"/>
  <c r="AZ458" i="19"/>
  <c r="BB458" i="19" s="1"/>
  <c r="AX458" i="19"/>
  <c r="W458" i="19"/>
  <c r="X458" i="19" s="1"/>
  <c r="S458" i="19"/>
  <c r="U458" i="19" s="1"/>
  <c r="Q458" i="19"/>
  <c r="L458" i="19"/>
  <c r="M458" i="19" s="1"/>
  <c r="H458" i="19"/>
  <c r="F458" i="19"/>
  <c r="D458" i="19"/>
  <c r="K457" i="19" l="1"/>
  <c r="AC458" i="19"/>
  <c r="AE458" i="19" s="1"/>
  <c r="AG458" i="19" s="1"/>
  <c r="AN458" i="19"/>
  <c r="AP458" i="19" s="1"/>
  <c r="AR458" i="19" s="1"/>
  <c r="BC458" i="19"/>
  <c r="AY458" i="19"/>
  <c r="BA458" i="19" s="1"/>
  <c r="G458" i="19"/>
  <c r="R458" i="19" s="1"/>
  <c r="T458" i="19" s="1"/>
  <c r="V458" i="19" s="1"/>
  <c r="BI458" i="19"/>
  <c r="BE458" i="19"/>
  <c r="BG458" i="19" s="1"/>
  <c r="BU458" i="19"/>
  <c r="BQ458" i="19"/>
  <c r="BS458" i="19" s="1"/>
  <c r="J458" i="19"/>
  <c r="I445" i="19"/>
  <c r="BM458" i="19"/>
  <c r="BN458" i="19"/>
  <c r="BO458" i="19"/>
  <c r="BT458" i="19"/>
  <c r="Z458" i="19" l="1"/>
  <c r="I458" i="19"/>
  <c r="N458" i="19" l="1"/>
  <c r="P458" i="19"/>
  <c r="O458" i="19"/>
  <c r="Y458" i="19"/>
  <c r="AA458" i="19" s="1"/>
  <c r="K458" i="19"/>
  <c r="BR568" i="19" l="1"/>
  <c r="BP568" i="19"/>
  <c r="BL568" i="19"/>
  <c r="BJ568" i="19"/>
  <c r="BK568" i="19" s="1"/>
  <c r="BF568" i="19"/>
  <c r="BD568" i="19"/>
  <c r="AZ568" i="19"/>
  <c r="BB568" i="19" s="1"/>
  <c r="AX568" i="19"/>
  <c r="W568" i="19"/>
  <c r="S568" i="19"/>
  <c r="U568" i="19" s="1"/>
  <c r="Q568" i="19"/>
  <c r="L568" i="19"/>
  <c r="M568" i="19" s="1"/>
  <c r="H568" i="19"/>
  <c r="J568" i="19" s="1"/>
  <c r="F568" i="19"/>
  <c r="D568" i="19"/>
  <c r="BR563" i="19"/>
  <c r="BT563" i="19" s="1"/>
  <c r="BP563" i="19"/>
  <c r="BL563" i="19"/>
  <c r="BN563" i="19" s="1"/>
  <c r="BJ563" i="19"/>
  <c r="BF563" i="19"/>
  <c r="BH563" i="19" s="1"/>
  <c r="BD563" i="19"/>
  <c r="AZ563" i="19"/>
  <c r="BB563" i="19" s="1"/>
  <c r="AX563" i="19"/>
  <c r="W563" i="19"/>
  <c r="S563" i="19"/>
  <c r="U563" i="19" s="1"/>
  <c r="Q563" i="19"/>
  <c r="V563" i="19" s="1"/>
  <c r="L563" i="19"/>
  <c r="H563" i="19"/>
  <c r="F563" i="19"/>
  <c r="D563" i="19"/>
  <c r="AN568" i="19" l="1"/>
  <c r="AP568" i="19" s="1"/>
  <c r="AR568" i="19" s="1"/>
  <c r="AC568" i="19"/>
  <c r="AE568" i="19" s="1"/>
  <c r="AG568" i="19" s="1"/>
  <c r="G568" i="19"/>
  <c r="R568" i="19" s="1"/>
  <c r="T568" i="19" s="1"/>
  <c r="V568" i="19" s="1"/>
  <c r="BE563" i="19"/>
  <c r="BG563" i="19" s="1"/>
  <c r="BI563" i="19" s="1"/>
  <c r="P563" i="19"/>
  <c r="M563" i="19"/>
  <c r="Y568" i="19"/>
  <c r="X568" i="19"/>
  <c r="Y563" i="19"/>
  <c r="X563" i="19"/>
  <c r="BC568" i="19"/>
  <c r="AY568" i="19"/>
  <c r="BA568" i="19" s="1"/>
  <c r="BI568" i="19"/>
  <c r="BE568" i="19"/>
  <c r="BG568" i="19" s="1"/>
  <c r="BU568" i="19"/>
  <c r="BQ568" i="19"/>
  <c r="BS568" i="19" s="1"/>
  <c r="BU563" i="19"/>
  <c r="BQ563" i="19"/>
  <c r="BS563" i="19" s="1"/>
  <c r="K563" i="19"/>
  <c r="G563" i="19"/>
  <c r="BC563" i="19"/>
  <c r="AY563" i="19"/>
  <c r="BA563" i="19" s="1"/>
  <c r="BO563" i="19"/>
  <c r="BK563" i="19"/>
  <c r="BM563" i="19" s="1"/>
  <c r="J563" i="19"/>
  <c r="Z563" i="19"/>
  <c r="BM568" i="19"/>
  <c r="N568" i="19"/>
  <c r="O568" i="19"/>
  <c r="Z568" i="19"/>
  <c r="BN568" i="19"/>
  <c r="AA568" i="19"/>
  <c r="BO568" i="19"/>
  <c r="P568" i="19"/>
  <c r="BH568" i="19"/>
  <c r="BT568" i="19"/>
  <c r="N563" i="19"/>
  <c r="O563" i="19"/>
  <c r="AA563" i="19"/>
  <c r="I568" i="19" l="1"/>
  <c r="I563" i="19"/>
  <c r="R563" i="19"/>
  <c r="T563" i="19" s="1"/>
  <c r="K568" i="19" l="1"/>
  <c r="BR182" i="19"/>
  <c r="BP182" i="19"/>
  <c r="BL182" i="19"/>
  <c r="BN182" i="19" s="1"/>
  <c r="BJ182" i="19"/>
  <c r="BK182" i="19" s="1"/>
  <c r="BF182" i="19"/>
  <c r="BD182" i="19"/>
  <c r="AZ182" i="19"/>
  <c r="BB182" i="19" s="1"/>
  <c r="AX182" i="19"/>
  <c r="AY182" i="19" s="1"/>
  <c r="W182" i="19"/>
  <c r="S182" i="19"/>
  <c r="U182" i="19" s="1"/>
  <c r="Q182" i="19"/>
  <c r="L182" i="19"/>
  <c r="M182" i="19" s="1"/>
  <c r="H182" i="19"/>
  <c r="J182" i="19" s="1"/>
  <c r="F182" i="19"/>
  <c r="D182" i="19"/>
  <c r="BR181" i="19"/>
  <c r="BT181" i="19" s="1"/>
  <c r="BP181" i="19"/>
  <c r="BQ181" i="19" s="1"/>
  <c r="BL181" i="19"/>
  <c r="BN181" i="19" s="1"/>
  <c r="BJ181" i="19"/>
  <c r="BF181" i="19"/>
  <c r="BH181" i="19" s="1"/>
  <c r="BD181" i="19"/>
  <c r="AZ181" i="19"/>
  <c r="BB181" i="19" s="1"/>
  <c r="AX181" i="19"/>
  <c r="W181" i="19"/>
  <c r="S181" i="19"/>
  <c r="Q181" i="19"/>
  <c r="L181" i="19"/>
  <c r="H181" i="19"/>
  <c r="J181" i="19" s="1"/>
  <c r="F181" i="19"/>
  <c r="D181" i="19"/>
  <c r="BR180" i="19"/>
  <c r="BP180" i="19"/>
  <c r="BQ180" i="19" s="1"/>
  <c r="BL180" i="19"/>
  <c r="BJ180" i="19"/>
  <c r="BK180" i="19" s="1"/>
  <c r="BF180" i="19"/>
  <c r="BH180" i="19" s="1"/>
  <c r="BD180" i="19"/>
  <c r="BE180" i="19" s="1"/>
  <c r="AZ180" i="19"/>
  <c r="BB180" i="19" s="1"/>
  <c r="AX180" i="19"/>
  <c r="AY180" i="19" s="1"/>
  <c r="W180" i="19"/>
  <c r="S180" i="19"/>
  <c r="U180" i="19" s="1"/>
  <c r="Q180" i="19"/>
  <c r="L180" i="19"/>
  <c r="H180" i="19"/>
  <c r="F180" i="19"/>
  <c r="D180" i="19"/>
  <c r="BR179" i="19"/>
  <c r="BT179" i="19" s="1"/>
  <c r="BP179" i="19"/>
  <c r="BQ179" i="19" s="1"/>
  <c r="BL179" i="19"/>
  <c r="BN179" i="19" s="1"/>
  <c r="BJ179" i="19"/>
  <c r="BF179" i="19"/>
  <c r="BH179" i="19" s="1"/>
  <c r="BD179" i="19"/>
  <c r="BE179" i="19" s="1"/>
  <c r="AZ179" i="19"/>
  <c r="BB179" i="19" s="1"/>
  <c r="AX179" i="19"/>
  <c r="W179" i="19"/>
  <c r="X179" i="19" s="1"/>
  <c r="S179" i="19"/>
  <c r="U179" i="19" s="1"/>
  <c r="Q179" i="19"/>
  <c r="L179" i="19"/>
  <c r="H179" i="19"/>
  <c r="J179" i="19" s="1"/>
  <c r="F179" i="19"/>
  <c r="D179" i="19"/>
  <c r="BR178" i="19"/>
  <c r="BT178" i="19" s="1"/>
  <c r="BP178" i="19"/>
  <c r="BQ178" i="19" s="1"/>
  <c r="BL178" i="19"/>
  <c r="BJ178" i="19"/>
  <c r="BK178" i="19" s="1"/>
  <c r="BF178" i="19"/>
  <c r="BH178" i="19" s="1"/>
  <c r="BD178" i="19"/>
  <c r="BE178" i="19" s="1"/>
  <c r="AZ178" i="19"/>
  <c r="BB178" i="19" s="1"/>
  <c r="AX178" i="19"/>
  <c r="W178" i="19"/>
  <c r="X178" i="19" s="1"/>
  <c r="S178" i="19"/>
  <c r="Q178" i="19"/>
  <c r="L178" i="19"/>
  <c r="M178" i="19" s="1"/>
  <c r="H178" i="19"/>
  <c r="J178" i="19" s="1"/>
  <c r="F178" i="19"/>
  <c r="D178" i="19"/>
  <c r="BR177" i="19"/>
  <c r="BT177" i="19" s="1"/>
  <c r="BP177" i="19"/>
  <c r="BQ177" i="19" s="1"/>
  <c r="BL177" i="19"/>
  <c r="BJ177" i="19"/>
  <c r="BF177" i="19"/>
  <c r="BH177" i="19" s="1"/>
  <c r="BD177" i="19"/>
  <c r="BE177" i="19" s="1"/>
  <c r="AZ177" i="19"/>
  <c r="AX177" i="19"/>
  <c r="AY177" i="19" s="1"/>
  <c r="W177" i="19"/>
  <c r="S177" i="19"/>
  <c r="U177" i="19" s="1"/>
  <c r="Q177" i="19"/>
  <c r="L177" i="19"/>
  <c r="H177" i="19"/>
  <c r="F177" i="19"/>
  <c r="D177" i="19"/>
  <c r="BR176" i="19"/>
  <c r="BT176" i="19" s="1"/>
  <c r="BP176" i="19"/>
  <c r="BQ176" i="19" s="1"/>
  <c r="BL176" i="19"/>
  <c r="BN176" i="19" s="1"/>
  <c r="BJ176" i="19"/>
  <c r="BF176" i="19"/>
  <c r="BH176" i="19" s="1"/>
  <c r="BD176" i="19"/>
  <c r="BE176" i="19" s="1"/>
  <c r="AZ176" i="19"/>
  <c r="BB176" i="19" s="1"/>
  <c r="AX176" i="19"/>
  <c r="W176" i="19"/>
  <c r="S176" i="19"/>
  <c r="U176" i="19" s="1"/>
  <c r="Q176" i="19"/>
  <c r="L176" i="19"/>
  <c r="H176" i="19"/>
  <c r="J176" i="19" s="1"/>
  <c r="F176" i="19"/>
  <c r="D176" i="19"/>
  <c r="BR175" i="19"/>
  <c r="BP175" i="19"/>
  <c r="BQ175" i="19" s="1"/>
  <c r="BL175" i="19"/>
  <c r="BN175" i="19" s="1"/>
  <c r="BJ175" i="19"/>
  <c r="BK175" i="19" s="1"/>
  <c r="BF175" i="19"/>
  <c r="BD175" i="19"/>
  <c r="AZ175" i="19"/>
  <c r="BB175" i="19" s="1"/>
  <c r="AX175" i="19"/>
  <c r="AY175" i="19" s="1"/>
  <c r="W175" i="19"/>
  <c r="X175" i="19" s="1"/>
  <c r="S175" i="19"/>
  <c r="U175" i="19" s="1"/>
  <c r="Q175" i="19"/>
  <c r="L175" i="19"/>
  <c r="H175" i="19"/>
  <c r="J175" i="19" s="1"/>
  <c r="F175" i="19"/>
  <c r="D175" i="19"/>
  <c r="BR174" i="19"/>
  <c r="BT174" i="19" s="1"/>
  <c r="BP174" i="19"/>
  <c r="BQ174" i="19" s="1"/>
  <c r="BL174" i="19"/>
  <c r="BN174" i="19" s="1"/>
  <c r="BJ174" i="19"/>
  <c r="BF174" i="19"/>
  <c r="BH174" i="19" s="1"/>
  <c r="BD174" i="19"/>
  <c r="BE174" i="19" s="1"/>
  <c r="AZ174" i="19"/>
  <c r="AX174" i="19"/>
  <c r="AY174" i="19" s="1"/>
  <c r="W174" i="19"/>
  <c r="X174" i="19" s="1"/>
  <c r="S174" i="19"/>
  <c r="U174" i="19" s="1"/>
  <c r="Q174" i="19"/>
  <c r="L174" i="19"/>
  <c r="H174" i="19"/>
  <c r="J174" i="19" s="1"/>
  <c r="F174" i="19"/>
  <c r="D174" i="19"/>
  <c r="AN174" i="19" l="1"/>
  <c r="AP174" i="19" s="1"/>
  <c r="AR174" i="19" s="1"/>
  <c r="AC174" i="19"/>
  <c r="AE174" i="19" s="1"/>
  <c r="AC175" i="19"/>
  <c r="AE175" i="19" s="1"/>
  <c r="AN175" i="19"/>
  <c r="AP175" i="19" s="1"/>
  <c r="AR175" i="19" s="1"/>
  <c r="AC178" i="19"/>
  <c r="AE178" i="19" s="1"/>
  <c r="AN178" i="19"/>
  <c r="AP178" i="19" s="1"/>
  <c r="AR178" i="19" s="1"/>
  <c r="AN179" i="19"/>
  <c r="AP179" i="19" s="1"/>
  <c r="AR179" i="19" s="1"/>
  <c r="AC179" i="19"/>
  <c r="AE179" i="19" s="1"/>
  <c r="AN180" i="19"/>
  <c r="AP180" i="19" s="1"/>
  <c r="AR180" i="19" s="1"/>
  <c r="AC180" i="19"/>
  <c r="AE180" i="19" s="1"/>
  <c r="AN181" i="19"/>
  <c r="AP181" i="19" s="1"/>
  <c r="AR181" i="19" s="1"/>
  <c r="AC181" i="19"/>
  <c r="AE181" i="19" s="1"/>
  <c r="AN176" i="19"/>
  <c r="AP176" i="19" s="1"/>
  <c r="AR176" i="19" s="1"/>
  <c r="AC176" i="19"/>
  <c r="AE176" i="19" s="1"/>
  <c r="AN177" i="19"/>
  <c r="AP177" i="19" s="1"/>
  <c r="AR177" i="19" s="1"/>
  <c r="AC177" i="19"/>
  <c r="AE177" i="19" s="1"/>
  <c r="AN182" i="19"/>
  <c r="AP182" i="19" s="1"/>
  <c r="AR182" i="19" s="1"/>
  <c r="AC182" i="19"/>
  <c r="AE182" i="19" s="1"/>
  <c r="G176" i="19"/>
  <c r="R176" i="19" s="1"/>
  <c r="T176" i="19" s="1"/>
  <c r="V176" i="19" s="1"/>
  <c r="G180" i="19"/>
  <c r="R180" i="19" s="1"/>
  <c r="T180" i="19" s="1"/>
  <c r="V180" i="19" s="1"/>
  <c r="G174" i="19"/>
  <c r="G178" i="19"/>
  <c r="R178" i="19" s="1"/>
  <c r="T178" i="19" s="1"/>
  <c r="V178" i="19" s="1"/>
  <c r="G182" i="19"/>
  <c r="R182" i="19" s="1"/>
  <c r="T182" i="19" s="1"/>
  <c r="V182" i="19" s="1"/>
  <c r="P176" i="19"/>
  <c r="M176" i="19"/>
  <c r="AA177" i="19"/>
  <c r="X177" i="19"/>
  <c r="BC178" i="19"/>
  <c r="AY178" i="19"/>
  <c r="BA178" i="19" s="1"/>
  <c r="P180" i="19"/>
  <c r="M180" i="19"/>
  <c r="AA181" i="19"/>
  <c r="X181" i="19"/>
  <c r="G175" i="19"/>
  <c r="R175" i="19" s="1"/>
  <c r="T175" i="19" s="1"/>
  <c r="V175" i="19" s="1"/>
  <c r="P177" i="19"/>
  <c r="M177" i="19"/>
  <c r="G179" i="19"/>
  <c r="R179" i="19" s="1"/>
  <c r="T179" i="19" s="1"/>
  <c r="V179" i="19" s="1"/>
  <c r="BC179" i="19"/>
  <c r="AY179" i="19"/>
  <c r="BA179" i="19" s="1"/>
  <c r="BO179" i="19"/>
  <c r="BK179" i="19"/>
  <c r="BM179" i="19" s="1"/>
  <c r="N181" i="19"/>
  <c r="M181" i="19"/>
  <c r="BI181" i="19"/>
  <c r="BE181" i="19"/>
  <c r="BG181" i="19" s="1"/>
  <c r="Y182" i="19"/>
  <c r="X182" i="19"/>
  <c r="BI182" i="19"/>
  <c r="BE182" i="19"/>
  <c r="BG182" i="19" s="1"/>
  <c r="BU182" i="19"/>
  <c r="BQ182" i="19"/>
  <c r="BS182" i="19" s="1"/>
  <c r="BO174" i="19"/>
  <c r="BK174" i="19"/>
  <c r="BM174" i="19" s="1"/>
  <c r="P174" i="19"/>
  <c r="M174" i="19"/>
  <c r="BC176" i="19"/>
  <c r="AY176" i="19"/>
  <c r="BA176" i="19" s="1"/>
  <c r="BO176" i="19"/>
  <c r="BK176" i="19"/>
  <c r="BM176" i="19" s="1"/>
  <c r="P175" i="19"/>
  <c r="M175" i="19"/>
  <c r="BI175" i="19"/>
  <c r="BE175" i="19"/>
  <c r="BG175" i="19" s="1"/>
  <c r="AA176" i="19"/>
  <c r="X176" i="19"/>
  <c r="G177" i="19"/>
  <c r="R177" i="19" s="1"/>
  <c r="T177" i="19" s="1"/>
  <c r="V177" i="19" s="1"/>
  <c r="BO177" i="19"/>
  <c r="BK177" i="19"/>
  <c r="BM177" i="19" s="1"/>
  <c r="P179" i="19"/>
  <c r="M179" i="19"/>
  <c r="AA180" i="19"/>
  <c r="X180" i="19"/>
  <c r="G181" i="19"/>
  <c r="R181" i="19" s="1"/>
  <c r="T181" i="19" s="1"/>
  <c r="V181" i="19" s="1"/>
  <c r="BC181" i="19"/>
  <c r="AY181" i="19"/>
  <c r="BA181" i="19" s="1"/>
  <c r="BO181" i="19"/>
  <c r="BK181" i="19"/>
  <c r="BM181" i="19" s="1"/>
  <c r="Z174" i="19"/>
  <c r="O181" i="19"/>
  <c r="Z180" i="19"/>
  <c r="BU175" i="19"/>
  <c r="Y176" i="19"/>
  <c r="BC177" i="19"/>
  <c r="AA179" i="19"/>
  <c r="BI179" i="19"/>
  <c r="Y180" i="19"/>
  <c r="O174" i="19"/>
  <c r="Y174" i="19"/>
  <c r="N178" i="19"/>
  <c r="N179" i="19"/>
  <c r="N182" i="19"/>
  <c r="BU181" i="19"/>
  <c r="N175" i="19"/>
  <c r="O178" i="19"/>
  <c r="O179" i="19"/>
  <c r="Y179" i="19"/>
  <c r="BS181" i="19"/>
  <c r="Z182" i="19"/>
  <c r="O175" i="19"/>
  <c r="Z175" i="19"/>
  <c r="Z176" i="19"/>
  <c r="BS179" i="19"/>
  <c r="Y181" i="19"/>
  <c r="BU179" i="19"/>
  <c r="AA175" i="19"/>
  <c r="N174" i="19"/>
  <c r="Z179" i="19"/>
  <c r="BH175" i="19"/>
  <c r="BI176" i="19"/>
  <c r="BU176" i="19"/>
  <c r="BI174" i="19"/>
  <c r="BG174" i="19"/>
  <c r="Y178" i="19"/>
  <c r="BM178" i="19"/>
  <c r="U181" i="19"/>
  <c r="AA174" i="19"/>
  <c r="BA174" i="19"/>
  <c r="BU174" i="19"/>
  <c r="BS174" i="19"/>
  <c r="BC175" i="19"/>
  <c r="BA175" i="19"/>
  <c r="BO175" i="19"/>
  <c r="BM175" i="19"/>
  <c r="O176" i="19"/>
  <c r="N176" i="19"/>
  <c r="BG176" i="19"/>
  <c r="BS176" i="19"/>
  <c r="N177" i="19"/>
  <c r="BB177" i="19"/>
  <c r="BA177" i="19"/>
  <c r="BN177" i="19"/>
  <c r="Z178" i="19"/>
  <c r="BN178" i="19"/>
  <c r="J180" i="19"/>
  <c r="BU180" i="19"/>
  <c r="BS180" i="19"/>
  <c r="BC174" i="19"/>
  <c r="BT175" i="19"/>
  <c r="BS175" i="19"/>
  <c r="J177" i="19"/>
  <c r="Z177" i="19"/>
  <c r="Y177" i="19"/>
  <c r="BI177" i="19"/>
  <c r="BG177" i="19"/>
  <c r="BU177" i="19"/>
  <c r="BS177" i="19"/>
  <c r="BO180" i="19"/>
  <c r="BM180" i="19"/>
  <c r="BB174" i="19"/>
  <c r="Y175" i="19"/>
  <c r="O177" i="19"/>
  <c r="U178" i="19"/>
  <c r="AA178" i="19"/>
  <c r="BG179" i="19"/>
  <c r="BT180" i="19"/>
  <c r="P178" i="19"/>
  <c r="BI178" i="19"/>
  <c r="BG178" i="19"/>
  <c r="BO178" i="19"/>
  <c r="O180" i="19"/>
  <c r="BI180" i="19"/>
  <c r="BG180" i="19"/>
  <c r="BC182" i="19"/>
  <c r="BA182" i="19"/>
  <c r="BH182" i="19"/>
  <c r="BU178" i="19"/>
  <c r="BS178" i="19"/>
  <c r="N180" i="19"/>
  <c r="BC180" i="19"/>
  <c r="BA180" i="19"/>
  <c r="BN180" i="19"/>
  <c r="Z181" i="19"/>
  <c r="BO182" i="19"/>
  <c r="BM182" i="19"/>
  <c r="BT182" i="19"/>
  <c r="P181" i="19"/>
  <c r="O182" i="19"/>
  <c r="AA182" i="19"/>
  <c r="P182" i="19"/>
  <c r="AG177" i="19" l="1"/>
  <c r="AG181" i="19"/>
  <c r="AG179" i="19"/>
  <c r="AG175" i="19"/>
  <c r="AG182" i="19"/>
  <c r="AG176" i="19"/>
  <c r="AG180" i="19"/>
  <c r="AG174" i="19"/>
  <c r="AG178" i="19"/>
  <c r="I175" i="19"/>
  <c r="I177" i="19"/>
  <c r="I178" i="19"/>
  <c r="I181" i="19"/>
  <c r="I182" i="19"/>
  <c r="I179" i="19"/>
  <c r="I176" i="19"/>
  <c r="R174" i="19"/>
  <c r="T174" i="19" s="1"/>
  <c r="V174" i="19" s="1"/>
  <c r="I174" i="19"/>
  <c r="I180" i="19"/>
  <c r="K181" i="19" l="1"/>
  <c r="K176" i="19"/>
  <c r="K178" i="19"/>
  <c r="K180" i="19"/>
  <c r="K179" i="19"/>
  <c r="K177" i="19"/>
  <c r="K174" i="19"/>
  <c r="K182" i="19"/>
  <c r="K175" i="19"/>
  <c r="BR469" i="19"/>
  <c r="BP469" i="19"/>
  <c r="BL469" i="19"/>
  <c r="BJ469" i="19"/>
  <c r="BK469" i="19" s="1"/>
  <c r="BF469" i="19"/>
  <c r="BH469" i="19" s="1"/>
  <c r="BD469" i="19"/>
  <c r="AZ469" i="19"/>
  <c r="BB469" i="19" s="1"/>
  <c r="AX469" i="19"/>
  <c r="W469" i="19"/>
  <c r="S469" i="19"/>
  <c r="U469" i="19" s="1"/>
  <c r="Q469" i="19"/>
  <c r="L469" i="19"/>
  <c r="M469" i="19" s="1"/>
  <c r="H469" i="19"/>
  <c r="F469" i="19"/>
  <c r="D469" i="19"/>
  <c r="BR467" i="19"/>
  <c r="BT467" i="19" s="1"/>
  <c r="BP467" i="19"/>
  <c r="BL467" i="19"/>
  <c r="BJ467" i="19"/>
  <c r="BF467" i="19"/>
  <c r="BH467" i="19" s="1"/>
  <c r="BD467" i="19"/>
  <c r="AZ467" i="19"/>
  <c r="AX467" i="19"/>
  <c r="W467" i="19"/>
  <c r="S467" i="19"/>
  <c r="U467" i="19" s="1"/>
  <c r="Q467" i="19"/>
  <c r="L467" i="19"/>
  <c r="H467" i="19"/>
  <c r="F467" i="19"/>
  <c r="D467" i="19"/>
  <c r="AC467" i="19" l="1"/>
  <c r="AE467" i="19" s="1"/>
  <c r="AN467" i="19"/>
  <c r="AP467" i="19" s="1"/>
  <c r="AR467" i="19" s="1"/>
  <c r="AN469" i="19"/>
  <c r="AP469" i="19" s="1"/>
  <c r="AR469" i="19" s="1"/>
  <c r="AC469" i="19"/>
  <c r="AE469" i="19" s="1"/>
  <c r="G469" i="19"/>
  <c r="R469" i="19" s="1"/>
  <c r="T469" i="19" s="1"/>
  <c r="V469" i="19" s="1"/>
  <c r="BC469" i="19"/>
  <c r="AY469" i="19"/>
  <c r="BA469" i="19" s="1"/>
  <c r="P467" i="19"/>
  <c r="M467" i="19"/>
  <c r="BU467" i="19"/>
  <c r="BQ467" i="19"/>
  <c r="BS467" i="19" s="1"/>
  <c r="Y469" i="19"/>
  <c r="X469" i="19"/>
  <c r="BI469" i="19"/>
  <c r="BE469" i="19"/>
  <c r="BG469" i="19" s="1"/>
  <c r="BU469" i="19"/>
  <c r="BQ469" i="19"/>
  <c r="BS469" i="19" s="1"/>
  <c r="AA467" i="19"/>
  <c r="X467" i="19"/>
  <c r="BI467" i="19"/>
  <c r="BE467" i="19"/>
  <c r="BG467" i="19" s="1"/>
  <c r="G467" i="19"/>
  <c r="R467" i="19" s="1"/>
  <c r="T467" i="19" s="1"/>
  <c r="V467" i="19" s="1"/>
  <c r="BC467" i="19"/>
  <c r="AY467" i="19"/>
  <c r="BA467" i="19" s="1"/>
  <c r="BO467" i="19"/>
  <c r="BK467" i="19"/>
  <c r="BM467" i="19" s="1"/>
  <c r="J469" i="19"/>
  <c r="J467" i="19"/>
  <c r="BM469" i="19"/>
  <c r="Z467" i="19"/>
  <c r="N469" i="19"/>
  <c r="Y467" i="19"/>
  <c r="O469" i="19"/>
  <c r="Z469" i="19"/>
  <c r="BN469" i="19"/>
  <c r="BO469" i="19"/>
  <c r="P469" i="19"/>
  <c r="BT469" i="19"/>
  <c r="AA469" i="19"/>
  <c r="N467" i="19"/>
  <c r="BB467" i="19"/>
  <c r="BN467" i="19"/>
  <c r="O467" i="19"/>
  <c r="AG467" i="19" l="1"/>
  <c r="AG469" i="19"/>
  <c r="I469" i="19"/>
  <c r="I467" i="19"/>
  <c r="K469" i="19" l="1"/>
  <c r="K467" i="19"/>
  <c r="BR148" i="19"/>
  <c r="BP148" i="19"/>
  <c r="BQ148" i="19" s="1"/>
  <c r="BL148" i="19"/>
  <c r="BN148" i="19" s="1"/>
  <c r="BJ148" i="19"/>
  <c r="BK148" i="19" s="1"/>
  <c r="BF148" i="19"/>
  <c r="BH148" i="19" s="1"/>
  <c r="BD148" i="19"/>
  <c r="AZ148" i="19"/>
  <c r="BB148" i="19" s="1"/>
  <c r="AX148" i="19"/>
  <c r="AY148" i="19" s="1"/>
  <c r="W148" i="19"/>
  <c r="S148" i="19"/>
  <c r="U148" i="19" s="1"/>
  <c r="Q148" i="19"/>
  <c r="V148" i="19" s="1"/>
  <c r="L148" i="19"/>
  <c r="H148" i="19"/>
  <c r="J148" i="19" s="1"/>
  <c r="F148" i="19"/>
  <c r="G148" i="19" s="1"/>
  <c r="D148" i="19"/>
  <c r="BR147" i="19"/>
  <c r="BP147" i="19"/>
  <c r="BQ147" i="19" s="1"/>
  <c r="BL147" i="19"/>
  <c r="BN147" i="19" s="1"/>
  <c r="BJ147" i="19"/>
  <c r="BK147" i="19" s="1"/>
  <c r="BF147" i="19"/>
  <c r="BH147" i="19" s="1"/>
  <c r="BD147" i="19"/>
  <c r="AZ147" i="19"/>
  <c r="BB147" i="19" s="1"/>
  <c r="AX147" i="19"/>
  <c r="W147" i="19"/>
  <c r="X147" i="19" s="1"/>
  <c r="S147" i="19"/>
  <c r="Q147" i="19"/>
  <c r="V147" i="19" s="1"/>
  <c r="L147" i="19"/>
  <c r="H147" i="19"/>
  <c r="J147" i="19" s="1"/>
  <c r="F147" i="19"/>
  <c r="D147" i="19"/>
  <c r="BR143" i="19"/>
  <c r="BT143" i="19" s="1"/>
  <c r="BP143" i="19"/>
  <c r="BQ143" i="19" s="1"/>
  <c r="BL143" i="19"/>
  <c r="BJ143" i="19"/>
  <c r="BK143" i="19" s="1"/>
  <c r="BF143" i="19"/>
  <c r="BD143" i="19"/>
  <c r="AZ143" i="19"/>
  <c r="AX143" i="19"/>
  <c r="W143" i="19"/>
  <c r="X143" i="19" s="1"/>
  <c r="S143" i="19"/>
  <c r="U143" i="19" s="1"/>
  <c r="Q143" i="19"/>
  <c r="V143" i="19" s="1"/>
  <c r="L143" i="19"/>
  <c r="H143" i="19"/>
  <c r="F143" i="19"/>
  <c r="D143" i="19"/>
  <c r="BR142" i="19"/>
  <c r="BT142" i="19" s="1"/>
  <c r="BP142" i="19"/>
  <c r="BQ142" i="19" s="1"/>
  <c r="BL142" i="19"/>
  <c r="BJ142" i="19"/>
  <c r="BK142" i="19" s="1"/>
  <c r="BF142" i="19"/>
  <c r="BH142" i="19" s="1"/>
  <c r="BD142" i="19"/>
  <c r="AZ142" i="19"/>
  <c r="BB142" i="19" s="1"/>
  <c r="AX142" i="19"/>
  <c r="AY142" i="19" s="1"/>
  <c r="W142" i="19"/>
  <c r="S142" i="19"/>
  <c r="U142" i="19" s="1"/>
  <c r="Q142" i="19"/>
  <c r="V142" i="19" s="1"/>
  <c r="L142" i="19"/>
  <c r="H142" i="19"/>
  <c r="J142" i="19" s="1"/>
  <c r="F142" i="19"/>
  <c r="D142" i="19"/>
  <c r="BR132" i="19"/>
  <c r="BP132" i="19"/>
  <c r="BQ132" i="19" s="1"/>
  <c r="BL132" i="19"/>
  <c r="BN132" i="19" s="1"/>
  <c r="BJ132" i="19"/>
  <c r="BK132" i="19" s="1"/>
  <c r="BF132" i="19"/>
  <c r="BD132" i="19"/>
  <c r="AZ132" i="19"/>
  <c r="BB132" i="19" s="1"/>
  <c r="AX132" i="19"/>
  <c r="AY132" i="19" s="1"/>
  <c r="W132" i="19"/>
  <c r="X132" i="19" s="1"/>
  <c r="S132" i="19"/>
  <c r="Q132" i="19"/>
  <c r="V132" i="19" s="1"/>
  <c r="L132" i="19"/>
  <c r="H132" i="19"/>
  <c r="J132" i="19" s="1"/>
  <c r="F132" i="19"/>
  <c r="D132" i="19"/>
  <c r="BR131" i="19"/>
  <c r="BT131" i="19" s="1"/>
  <c r="BP131" i="19"/>
  <c r="BQ131" i="19" s="1"/>
  <c r="BL131" i="19"/>
  <c r="BJ131" i="19"/>
  <c r="BK131" i="19" s="1"/>
  <c r="BF131" i="19"/>
  <c r="BH131" i="19" s="1"/>
  <c r="BD131" i="19"/>
  <c r="AZ131" i="19"/>
  <c r="BB131" i="19" s="1"/>
  <c r="AX131" i="19"/>
  <c r="AY131" i="19" s="1"/>
  <c r="W131" i="19"/>
  <c r="S131" i="19"/>
  <c r="U131" i="19" s="1"/>
  <c r="Q131" i="19"/>
  <c r="V131" i="19" s="1"/>
  <c r="L131" i="19"/>
  <c r="M131" i="19" s="1"/>
  <c r="H131" i="19"/>
  <c r="J131" i="19" s="1"/>
  <c r="F131" i="19"/>
  <c r="D131" i="19"/>
  <c r="BE132" i="19" l="1"/>
  <c r="BG132" i="19" s="1"/>
  <c r="BI132" i="19" s="1"/>
  <c r="BE148" i="19"/>
  <c r="BG148" i="19" s="1"/>
  <c r="BI148" i="19" s="1"/>
  <c r="BE131" i="19"/>
  <c r="BG131" i="19" s="1"/>
  <c r="BI131" i="19" s="1"/>
  <c r="AA142" i="19"/>
  <c r="X142" i="19"/>
  <c r="K143" i="19"/>
  <c r="G143" i="19"/>
  <c r="R143" i="19" s="1"/>
  <c r="T143" i="19" s="1"/>
  <c r="BC143" i="19"/>
  <c r="AY143" i="19"/>
  <c r="BA143" i="19" s="1"/>
  <c r="P148" i="19"/>
  <c r="M148" i="19"/>
  <c r="K131" i="19"/>
  <c r="G131" i="19"/>
  <c r="R131" i="19" s="1"/>
  <c r="T131" i="19" s="1"/>
  <c r="P142" i="19"/>
  <c r="M142" i="19"/>
  <c r="BE142" i="19"/>
  <c r="BG142" i="19" s="1"/>
  <c r="BI142" i="19" s="1"/>
  <c r="K147" i="19"/>
  <c r="G147" i="19"/>
  <c r="BC147" i="19"/>
  <c r="AY147" i="19"/>
  <c r="BA147" i="19" s="1"/>
  <c r="P132" i="19"/>
  <c r="M132" i="19"/>
  <c r="Y131" i="19"/>
  <c r="X131" i="19"/>
  <c r="K132" i="19"/>
  <c r="G132" i="19"/>
  <c r="N143" i="19"/>
  <c r="M143" i="19"/>
  <c r="BE143" i="19"/>
  <c r="BG143" i="19" s="1"/>
  <c r="BI143" i="19" s="1"/>
  <c r="K142" i="19"/>
  <c r="G142" i="19"/>
  <c r="R142" i="19" s="1"/>
  <c r="T142" i="19" s="1"/>
  <c r="P147" i="19"/>
  <c r="M147" i="19"/>
  <c r="BE147" i="19"/>
  <c r="BG147" i="19" s="1"/>
  <c r="BI147" i="19" s="1"/>
  <c r="AA148" i="19"/>
  <c r="X148" i="19"/>
  <c r="BU132" i="19"/>
  <c r="BO142" i="19"/>
  <c r="O147" i="19"/>
  <c r="P131" i="19"/>
  <c r="Y148" i="19"/>
  <c r="N132" i="19"/>
  <c r="Y142" i="19"/>
  <c r="Z142" i="19"/>
  <c r="BO143" i="19"/>
  <c r="Z148" i="19"/>
  <c r="O132" i="19"/>
  <c r="Y132" i="19"/>
  <c r="BC142" i="19"/>
  <c r="BS142" i="19"/>
  <c r="BU147" i="19"/>
  <c r="Z131" i="19"/>
  <c r="Z132" i="19"/>
  <c r="O131" i="19"/>
  <c r="AA131" i="19"/>
  <c r="AA132" i="19"/>
  <c r="N147" i="19"/>
  <c r="BS148" i="19"/>
  <c r="BO131" i="19"/>
  <c r="BA132" i="19"/>
  <c r="BC132" i="19"/>
  <c r="BU142" i="19"/>
  <c r="BM131" i="19"/>
  <c r="BH132" i="19"/>
  <c r="BT132" i="19"/>
  <c r="BS132" i="19"/>
  <c r="BN142" i="19"/>
  <c r="BM142" i="19"/>
  <c r="BH143" i="19"/>
  <c r="K148" i="19"/>
  <c r="R148" i="19"/>
  <c r="T148" i="19" s="1"/>
  <c r="BC148" i="19"/>
  <c r="BA148" i="19"/>
  <c r="BC131" i="19"/>
  <c r="BN131" i="19"/>
  <c r="U132" i="19"/>
  <c r="Y143" i="19"/>
  <c r="Z143" i="19"/>
  <c r="BU143" i="19"/>
  <c r="BS143" i="19"/>
  <c r="Z147" i="19"/>
  <c r="Y147" i="19"/>
  <c r="BT147" i="19"/>
  <c r="BS147" i="19"/>
  <c r="BT148" i="19"/>
  <c r="BO132" i="19"/>
  <c r="BM132" i="19"/>
  <c r="O142" i="19"/>
  <c r="N142" i="19"/>
  <c r="J143" i="19"/>
  <c r="AA143" i="19"/>
  <c r="BB143" i="19"/>
  <c r="AA147" i="19"/>
  <c r="N131" i="19"/>
  <c r="BA131" i="19"/>
  <c r="BU131" i="19"/>
  <c r="BS131" i="19"/>
  <c r="P143" i="19"/>
  <c r="O143" i="19"/>
  <c r="BO147" i="19"/>
  <c r="BM147" i="19"/>
  <c r="O148" i="19"/>
  <c r="N148" i="19"/>
  <c r="BM143" i="19"/>
  <c r="BO148" i="19"/>
  <c r="BM148" i="19"/>
  <c r="BU148" i="19"/>
  <c r="BA142" i="19"/>
  <c r="BN143" i="19"/>
  <c r="U147" i="19"/>
  <c r="I143" i="19" l="1"/>
  <c r="I142" i="19"/>
  <c r="I131" i="19"/>
  <c r="I147" i="19"/>
  <c r="R147" i="19"/>
  <c r="T147" i="19" s="1"/>
  <c r="R132" i="19"/>
  <c r="T132" i="19" s="1"/>
  <c r="I132" i="19"/>
  <c r="I148" i="19"/>
  <c r="F9" i="19" l="1"/>
  <c r="H9" i="19"/>
  <c r="J9" i="19" s="1"/>
  <c r="L9" i="19"/>
  <c r="Q9" i="19"/>
  <c r="S9" i="19"/>
  <c r="U9" i="19" s="1"/>
  <c r="W9" i="19"/>
  <c r="AX9" i="19"/>
  <c r="AZ9" i="19"/>
  <c r="BB9" i="19" s="1"/>
  <c r="BD9" i="19"/>
  <c r="BF9" i="19"/>
  <c r="BH9" i="19" s="1"/>
  <c r="BJ9" i="19"/>
  <c r="BK9" i="19" s="1"/>
  <c r="BL9" i="19"/>
  <c r="BN9" i="19" s="1"/>
  <c r="BP9" i="19"/>
  <c r="BQ9" i="19" s="1"/>
  <c r="BR9" i="19"/>
  <c r="BT9" i="19" s="1"/>
  <c r="D9" i="19"/>
  <c r="AC9" i="19" l="1"/>
  <c r="AE9" i="19" s="1"/>
  <c r="AG9" i="19" s="1"/>
  <c r="AN9" i="19"/>
  <c r="AP9" i="19" s="1"/>
  <c r="AR9" i="19" s="1"/>
  <c r="AY9" i="19"/>
  <c r="BA9" i="19" s="1"/>
  <c r="BC9" i="19" s="1"/>
  <c r="BI9" i="19"/>
  <c r="BE9" i="19"/>
  <c r="BG9" i="19" s="1"/>
  <c r="N9" i="19"/>
  <c r="M9" i="19"/>
  <c r="G9" i="19"/>
  <c r="I9" i="19" s="1"/>
  <c r="K9" i="19" s="1"/>
  <c r="Z9" i="19"/>
  <c r="X9" i="19"/>
  <c r="BU9" i="19"/>
  <c r="BM9" i="19"/>
  <c r="AA9" i="19"/>
  <c r="BS9" i="19"/>
  <c r="Y9" i="19"/>
  <c r="BO9" i="19"/>
  <c r="P9" i="19"/>
  <c r="O9" i="19"/>
  <c r="F558" i="19"/>
  <c r="H558" i="19"/>
  <c r="L558" i="19"/>
  <c r="Q558" i="19"/>
  <c r="S558" i="19"/>
  <c r="U558" i="19" s="1"/>
  <c r="W558" i="19"/>
  <c r="AX558" i="19"/>
  <c r="AZ558" i="19"/>
  <c r="BD558" i="19"/>
  <c r="BE558" i="19" s="1"/>
  <c r="BF558" i="19"/>
  <c r="BJ558" i="19"/>
  <c r="BL558" i="19"/>
  <c r="BN558" i="19" s="1"/>
  <c r="BP558" i="19"/>
  <c r="BQ558" i="19" s="1"/>
  <c r="BR558" i="19"/>
  <c r="F559" i="19"/>
  <c r="H559" i="19"/>
  <c r="L559" i="19"/>
  <c r="Q559" i="19"/>
  <c r="S559" i="19"/>
  <c r="U559" i="19" s="1"/>
  <c r="W559" i="19"/>
  <c r="AX559" i="19"/>
  <c r="AZ559" i="19"/>
  <c r="BD559" i="19"/>
  <c r="BF559" i="19"/>
  <c r="BH559" i="19" s="1"/>
  <c r="BJ559" i="19"/>
  <c r="BK559" i="19" s="1"/>
  <c r="BL559" i="19"/>
  <c r="BN559" i="19" s="1"/>
  <c r="BP559" i="19"/>
  <c r="BQ559" i="19" s="1"/>
  <c r="BR559" i="19"/>
  <c r="D558" i="19"/>
  <c r="D559" i="19"/>
  <c r="AN558" i="19" l="1"/>
  <c r="AC558" i="19"/>
  <c r="AN559" i="19"/>
  <c r="AC559" i="19"/>
  <c r="BC559" i="19"/>
  <c r="AY559" i="19"/>
  <c r="BA559" i="19" s="1"/>
  <c r="G559" i="19"/>
  <c r="M559" i="19" s="1"/>
  <c r="BC558" i="19"/>
  <c r="AY558" i="19"/>
  <c r="BA558" i="19" s="1"/>
  <c r="BO558" i="19"/>
  <c r="BK558" i="19"/>
  <c r="BM558" i="19" s="1"/>
  <c r="G558" i="19"/>
  <c r="R558" i="19" s="1"/>
  <c r="BI559" i="19"/>
  <c r="BE559" i="19"/>
  <c r="BG559" i="19" s="1"/>
  <c r="R9" i="19"/>
  <c r="T9" i="19" s="1"/>
  <c r="V9" i="19" s="1"/>
  <c r="BG558" i="19"/>
  <c r="BI558" i="19"/>
  <c r="BS559" i="19"/>
  <c r="BS558" i="19"/>
  <c r="BM559" i="19"/>
  <c r="BH558" i="19"/>
  <c r="BO559" i="19"/>
  <c r="BU559" i="19"/>
  <c r="BT558" i="19"/>
  <c r="BU558" i="19"/>
  <c r="BT559" i="19"/>
  <c r="BB559" i="19"/>
  <c r="BB558" i="19"/>
  <c r="J559" i="19"/>
  <c r="J558" i="19"/>
  <c r="F522" i="19"/>
  <c r="H522" i="19"/>
  <c r="L522" i="19"/>
  <c r="Q522" i="19"/>
  <c r="S522" i="19"/>
  <c r="U522" i="19" s="1"/>
  <c r="W522" i="19"/>
  <c r="AX522" i="19"/>
  <c r="AZ522" i="19"/>
  <c r="BD522" i="19"/>
  <c r="BF522" i="19"/>
  <c r="BH522" i="19" s="1"/>
  <c r="BJ522" i="19"/>
  <c r="BK522" i="19" s="1"/>
  <c r="BL522" i="19"/>
  <c r="BP522" i="19"/>
  <c r="BQ522" i="19" s="1"/>
  <c r="BR522" i="19"/>
  <c r="BT522" i="19" s="1"/>
  <c r="F523" i="19"/>
  <c r="H523" i="19"/>
  <c r="L523" i="19"/>
  <c r="Q523" i="19"/>
  <c r="S523" i="19"/>
  <c r="U523" i="19" s="1"/>
  <c r="W523" i="19"/>
  <c r="AX523" i="19"/>
  <c r="AZ523" i="19"/>
  <c r="BD523" i="19"/>
  <c r="BF523" i="19"/>
  <c r="BH523" i="19" s="1"/>
  <c r="BJ523" i="19"/>
  <c r="BK523" i="19" s="1"/>
  <c r="BL523" i="19"/>
  <c r="BP523" i="19"/>
  <c r="BQ523" i="19" s="1"/>
  <c r="BR523" i="19"/>
  <c r="BT523" i="19" s="1"/>
  <c r="F524" i="19"/>
  <c r="H524" i="19"/>
  <c r="L524" i="19"/>
  <c r="Q524" i="19"/>
  <c r="S524" i="19"/>
  <c r="U524" i="19" s="1"/>
  <c r="W524" i="19"/>
  <c r="AX524" i="19"/>
  <c r="AZ524" i="19"/>
  <c r="BD524" i="19"/>
  <c r="BF524" i="19"/>
  <c r="BH524" i="19" s="1"/>
  <c r="BJ524" i="19"/>
  <c r="BL524" i="19"/>
  <c r="BP524" i="19"/>
  <c r="BQ524" i="19" s="1"/>
  <c r="BR524" i="19"/>
  <c r="BT524" i="19" s="1"/>
  <c r="F525" i="19"/>
  <c r="H525" i="19"/>
  <c r="L525" i="19"/>
  <c r="Q525" i="19"/>
  <c r="S525" i="19"/>
  <c r="U525" i="19" s="1"/>
  <c r="W525" i="19"/>
  <c r="AX525" i="19"/>
  <c r="AZ525" i="19"/>
  <c r="BD525" i="19"/>
  <c r="BF525" i="19"/>
  <c r="BH525" i="19" s="1"/>
  <c r="BJ525" i="19"/>
  <c r="BK525" i="19" s="1"/>
  <c r="BL525" i="19"/>
  <c r="BN525" i="19" s="1"/>
  <c r="BP525" i="19"/>
  <c r="BQ525" i="19" s="1"/>
  <c r="BR525" i="19"/>
  <c r="BT525" i="19" s="1"/>
  <c r="F526" i="19"/>
  <c r="H526" i="19"/>
  <c r="L526" i="19"/>
  <c r="Q526" i="19"/>
  <c r="S526" i="19"/>
  <c r="U526" i="19" s="1"/>
  <c r="W526" i="19"/>
  <c r="AX526" i="19"/>
  <c r="AY526" i="19" s="1"/>
  <c r="AZ526" i="19"/>
  <c r="BD526" i="19"/>
  <c r="BF526" i="19"/>
  <c r="BH526" i="19" s="1"/>
  <c r="BJ526" i="19"/>
  <c r="BK526" i="19" s="1"/>
  <c r="BL526" i="19"/>
  <c r="BP526" i="19"/>
  <c r="BQ526" i="19" s="1"/>
  <c r="BR526" i="19"/>
  <c r="BT526" i="19" s="1"/>
  <c r="F527" i="19"/>
  <c r="H527" i="19"/>
  <c r="L527" i="19"/>
  <c r="Q527" i="19"/>
  <c r="S527" i="19"/>
  <c r="U527" i="19" s="1"/>
  <c r="W527" i="19"/>
  <c r="AX527" i="19"/>
  <c r="AY527" i="19" s="1"/>
  <c r="AZ527" i="19"/>
  <c r="BD527" i="19"/>
  <c r="BF527" i="19"/>
  <c r="BH527" i="19" s="1"/>
  <c r="BJ527" i="19"/>
  <c r="BL527" i="19"/>
  <c r="BN527" i="19" s="1"/>
  <c r="BP527" i="19"/>
  <c r="BQ527" i="19" s="1"/>
  <c r="BR527" i="19"/>
  <c r="BT527" i="19" s="1"/>
  <c r="F528" i="19"/>
  <c r="H528" i="19"/>
  <c r="L528" i="19"/>
  <c r="Q528" i="19"/>
  <c r="S528" i="19"/>
  <c r="U528" i="19" s="1"/>
  <c r="W528" i="19"/>
  <c r="AX528" i="19"/>
  <c r="AZ528" i="19"/>
  <c r="BB528" i="19" s="1"/>
  <c r="BD528" i="19"/>
  <c r="BF528" i="19"/>
  <c r="BH528" i="19" s="1"/>
  <c r="BJ528" i="19"/>
  <c r="BK528" i="19" s="1"/>
  <c r="BL528" i="19"/>
  <c r="BP528" i="19"/>
  <c r="BQ528" i="19" s="1"/>
  <c r="BR528" i="19"/>
  <c r="F529" i="19"/>
  <c r="H529" i="19"/>
  <c r="L529" i="19"/>
  <c r="Q529" i="19"/>
  <c r="S529" i="19"/>
  <c r="W529" i="19"/>
  <c r="AX529" i="19"/>
  <c r="AY529" i="19" s="1"/>
  <c r="AZ529" i="19"/>
  <c r="BB529" i="19" s="1"/>
  <c r="BD529" i="19"/>
  <c r="BE529" i="19" s="1"/>
  <c r="BF529" i="19"/>
  <c r="BH529" i="19" s="1"/>
  <c r="BJ529" i="19"/>
  <c r="BK529" i="19" s="1"/>
  <c r="BL529" i="19"/>
  <c r="BN529" i="19" s="1"/>
  <c r="BP529" i="19"/>
  <c r="BQ529" i="19" s="1"/>
  <c r="BR529" i="19"/>
  <c r="D522" i="19"/>
  <c r="D523" i="19"/>
  <c r="D524" i="19"/>
  <c r="D525" i="19"/>
  <c r="D526" i="19"/>
  <c r="D527" i="19"/>
  <c r="D528" i="19"/>
  <c r="D529" i="19"/>
  <c r="AN529" i="19" l="1"/>
  <c r="AC529" i="19"/>
  <c r="AN525" i="19"/>
  <c r="AC525" i="19"/>
  <c r="AE558" i="19"/>
  <c r="AG558" i="19" s="1"/>
  <c r="AI558" i="19"/>
  <c r="AK558" i="19" s="1"/>
  <c r="AN524" i="19"/>
  <c r="AC524" i="19"/>
  <c r="AC527" i="19"/>
  <c r="AN527" i="19"/>
  <c r="AC523" i="19"/>
  <c r="AN523" i="19"/>
  <c r="AI559" i="19"/>
  <c r="AK559" i="19" s="1"/>
  <c r="AE559" i="19"/>
  <c r="AG559" i="19" s="1"/>
  <c r="AC528" i="19"/>
  <c r="AN528" i="19"/>
  <c r="AN526" i="19"/>
  <c r="AC526" i="19"/>
  <c r="AN522" i="19"/>
  <c r="AC522" i="19"/>
  <c r="AP559" i="19"/>
  <c r="AR559" i="19" s="1"/>
  <c r="AT559" i="19"/>
  <c r="AV559" i="19" s="1"/>
  <c r="AP558" i="19"/>
  <c r="AR558" i="19" s="1"/>
  <c r="AT558" i="19"/>
  <c r="AV558" i="19" s="1"/>
  <c r="R559" i="19"/>
  <c r="T559" i="19" s="1"/>
  <c r="V559" i="19" s="1"/>
  <c r="G529" i="19"/>
  <c r="M529" i="19" s="1"/>
  <c r="G528" i="19"/>
  <c r="M528" i="19" s="1"/>
  <c r="G525" i="19"/>
  <c r="R525" i="19" s="1"/>
  <c r="G524" i="19"/>
  <c r="M524" i="19" s="1"/>
  <c r="G523" i="19"/>
  <c r="R523" i="19" s="1"/>
  <c r="G527" i="19"/>
  <c r="M527" i="19" s="1"/>
  <c r="BO524" i="19"/>
  <c r="BK524" i="19"/>
  <c r="BM524" i="19" s="1"/>
  <c r="BC524" i="19"/>
  <c r="AY524" i="19"/>
  <c r="BA524" i="19" s="1"/>
  <c r="BC522" i="19"/>
  <c r="AY522" i="19"/>
  <c r="BA522" i="19" s="1"/>
  <c r="BC528" i="19"/>
  <c r="AY528" i="19"/>
  <c r="BA528" i="19" s="1"/>
  <c r="G526" i="19"/>
  <c r="I526" i="19" s="1"/>
  <c r="BC525" i="19"/>
  <c r="AY525" i="19"/>
  <c r="BA525" i="19" s="1"/>
  <c r="BC523" i="19"/>
  <c r="AY523" i="19"/>
  <c r="BA523" i="19" s="1"/>
  <c r="G522" i="19"/>
  <c r="M522" i="19" s="1"/>
  <c r="M558" i="19"/>
  <c r="O558" i="19" s="1"/>
  <c r="BI528" i="19"/>
  <c r="BE528" i="19"/>
  <c r="BG528" i="19" s="1"/>
  <c r="BI527" i="19"/>
  <c r="BE527" i="19"/>
  <c r="BG527" i="19" s="1"/>
  <c r="BI526" i="19"/>
  <c r="BE526" i="19"/>
  <c r="BG526" i="19" s="1"/>
  <c r="BI525" i="19"/>
  <c r="BE525" i="19"/>
  <c r="BG525" i="19" s="1"/>
  <c r="BI524" i="19"/>
  <c r="BE524" i="19"/>
  <c r="BG524" i="19" s="1"/>
  <c r="BI523" i="19"/>
  <c r="BE523" i="19"/>
  <c r="BG523" i="19" s="1"/>
  <c r="BI522" i="19"/>
  <c r="BE522" i="19"/>
  <c r="BG522" i="19" s="1"/>
  <c r="BO527" i="19"/>
  <c r="BK527" i="19"/>
  <c r="BM527" i="19" s="1"/>
  <c r="T558" i="19"/>
  <c r="V558" i="19" s="1"/>
  <c r="X558" i="19"/>
  <c r="Y558" i="19" s="1"/>
  <c r="AA558" i="19" s="1"/>
  <c r="J529" i="19"/>
  <c r="I558" i="19"/>
  <c r="O559" i="19"/>
  <c r="I559" i="19"/>
  <c r="BO523" i="19"/>
  <c r="BS526" i="19"/>
  <c r="BA529" i="19"/>
  <c r="BM522" i="19"/>
  <c r="BM523" i="19"/>
  <c r="BG529" i="19"/>
  <c r="BO526" i="19"/>
  <c r="BS527" i="19"/>
  <c r="BO525" i="19"/>
  <c r="BU524" i="19"/>
  <c r="BU529" i="19"/>
  <c r="BO522" i="19"/>
  <c r="BI529" i="19"/>
  <c r="BC527" i="19"/>
  <c r="BS529" i="19"/>
  <c r="BU528" i="19"/>
  <c r="BS524" i="19"/>
  <c r="BN523" i="19"/>
  <c r="BU522" i="19"/>
  <c r="BS528" i="19"/>
  <c r="BU527" i="19"/>
  <c r="BU526" i="19"/>
  <c r="BM525" i="19"/>
  <c r="BM529" i="19"/>
  <c r="BC529" i="19"/>
  <c r="BN524" i="19"/>
  <c r="BM528" i="19"/>
  <c r="BU525" i="19"/>
  <c r="BU523" i="19"/>
  <c r="BS522" i="19"/>
  <c r="BC526" i="19"/>
  <c r="BA526" i="19"/>
  <c r="BN522" i="19"/>
  <c r="BM526" i="19"/>
  <c r="BS525" i="19"/>
  <c r="BS523" i="19"/>
  <c r="BO528" i="19"/>
  <c r="BO529" i="19"/>
  <c r="BN528" i="19"/>
  <c r="BA527" i="19"/>
  <c r="BT529" i="19"/>
  <c r="U529" i="19"/>
  <c r="BT528" i="19"/>
  <c r="BN526" i="19"/>
  <c r="J528" i="19"/>
  <c r="BB527" i="19"/>
  <c r="J527" i="19"/>
  <c r="BB526" i="19"/>
  <c r="J526" i="19"/>
  <c r="BB525" i="19"/>
  <c r="J525" i="19"/>
  <c r="BB524" i="19"/>
  <c r="J524" i="19"/>
  <c r="BB523" i="19"/>
  <c r="J523" i="19"/>
  <c r="BB522" i="19"/>
  <c r="J522" i="19"/>
  <c r="X559" i="19" l="1"/>
  <c r="Z559" i="19" s="1"/>
  <c r="K559" i="19"/>
  <c r="K558" i="19"/>
  <c r="AU558" i="19"/>
  <c r="AW558" i="19" s="1"/>
  <c r="AU559" i="19"/>
  <c r="AW559" i="19" s="1"/>
  <c r="AT528" i="19"/>
  <c r="AV528" i="19" s="1"/>
  <c r="AP528" i="19"/>
  <c r="AR528" i="19" s="1"/>
  <c r="AI526" i="19"/>
  <c r="AK526" i="19" s="1"/>
  <c r="AE526" i="19"/>
  <c r="AJ559" i="19"/>
  <c r="AL559" i="19" s="1"/>
  <c r="AE523" i="19"/>
  <c r="AI523" i="19"/>
  <c r="AP524" i="19"/>
  <c r="AR524" i="19" s="1"/>
  <c r="AT524" i="19"/>
  <c r="AV524" i="19" s="1"/>
  <c r="AE525" i="19"/>
  <c r="AI525" i="19"/>
  <c r="AK525" i="19" s="1"/>
  <c r="AI522" i="19"/>
  <c r="AK522" i="19" s="1"/>
  <c r="AE522" i="19"/>
  <c r="AE529" i="19"/>
  <c r="AI529" i="19"/>
  <c r="AK529" i="19" s="1"/>
  <c r="AP526" i="19"/>
  <c r="AR526" i="19" s="1"/>
  <c r="AT526" i="19"/>
  <c r="AV526" i="19" s="1"/>
  <c r="AT527" i="19"/>
  <c r="AV527" i="19" s="1"/>
  <c r="AP527" i="19"/>
  <c r="AR527" i="19" s="1"/>
  <c r="AJ558" i="19"/>
  <c r="AL558" i="19" s="1"/>
  <c r="AP525" i="19"/>
  <c r="AR525" i="19" s="1"/>
  <c r="AT525" i="19"/>
  <c r="AE527" i="19"/>
  <c r="AI527" i="19"/>
  <c r="AK527" i="19" s="1"/>
  <c r="AT522" i="19"/>
  <c r="AV522" i="19" s="1"/>
  <c r="AP522" i="19"/>
  <c r="AR522" i="19" s="1"/>
  <c r="AE528" i="19"/>
  <c r="AI528" i="19"/>
  <c r="AK528" i="19" s="1"/>
  <c r="AP523" i="19"/>
  <c r="AR523" i="19" s="1"/>
  <c r="AT523" i="19"/>
  <c r="AV523" i="19" s="1"/>
  <c r="AI524" i="19"/>
  <c r="AK524" i="19" s="1"/>
  <c r="AE524" i="19"/>
  <c r="AT529" i="19"/>
  <c r="AV529" i="19" s="1"/>
  <c r="AP529" i="19"/>
  <c r="AR529" i="19" s="1"/>
  <c r="R529" i="19"/>
  <c r="T529" i="19" s="1"/>
  <c r="V529" i="19" s="1"/>
  <c r="R528" i="19"/>
  <c r="X528" i="19" s="1"/>
  <c r="R524" i="19"/>
  <c r="T524" i="19" s="1"/>
  <c r="V524" i="19" s="1"/>
  <c r="M525" i="19"/>
  <c r="N525" i="19" s="1"/>
  <c r="M526" i="19"/>
  <c r="R527" i="19"/>
  <c r="X527" i="19" s="1"/>
  <c r="M523" i="19"/>
  <c r="N523" i="19" s="1"/>
  <c r="T525" i="19"/>
  <c r="V525" i="19" s="1"/>
  <c r="X525" i="19"/>
  <c r="T523" i="19"/>
  <c r="V523" i="19" s="1"/>
  <c r="X523" i="19"/>
  <c r="Y523" i="19" s="1"/>
  <c r="AA523" i="19" s="1"/>
  <c r="O522" i="19"/>
  <c r="K526" i="19"/>
  <c r="N558" i="19"/>
  <c r="Z558" i="19"/>
  <c r="N559" i="19"/>
  <c r="I523" i="19"/>
  <c r="I525" i="19"/>
  <c r="I527" i="19"/>
  <c r="I522" i="19"/>
  <c r="I529" i="19"/>
  <c r="R526" i="19"/>
  <c r="O528" i="19"/>
  <c r="I524" i="19"/>
  <c r="I528" i="19"/>
  <c r="R522" i="19"/>
  <c r="N522" i="19"/>
  <c r="Y559" i="19" l="1"/>
  <c r="AA559" i="19" s="1"/>
  <c r="P558" i="19"/>
  <c r="P559" i="19"/>
  <c r="AG524" i="19"/>
  <c r="AG526" i="19"/>
  <c r="AG528" i="19"/>
  <c r="AG527" i="19"/>
  <c r="AG529" i="19"/>
  <c r="AG525" i="19"/>
  <c r="AG523" i="19"/>
  <c r="AG522" i="19"/>
  <c r="AU529" i="19"/>
  <c r="AW529" i="19" s="1"/>
  <c r="AU524" i="19"/>
  <c r="AW524" i="19" s="1"/>
  <c r="AJ524" i="19"/>
  <c r="AU526" i="19"/>
  <c r="AW526" i="19" s="1"/>
  <c r="AJ526" i="19"/>
  <c r="AJ528" i="19"/>
  <c r="AU522" i="19"/>
  <c r="AW522" i="19" s="1"/>
  <c r="AJ527" i="19"/>
  <c r="AU527" i="19"/>
  <c r="AW527" i="19" s="1"/>
  <c r="AJ525" i="19"/>
  <c r="AU528" i="19"/>
  <c r="AW528" i="19" s="1"/>
  <c r="AU525" i="19"/>
  <c r="AW525" i="19" s="1"/>
  <c r="AV525" i="19"/>
  <c r="AU523" i="19"/>
  <c r="AW523" i="19" s="1"/>
  <c r="AJ529" i="19"/>
  <c r="AJ522" i="19"/>
  <c r="AJ523" i="19"/>
  <c r="AK523" i="19"/>
  <c r="X529" i="19"/>
  <c r="Z529" i="19" s="1"/>
  <c r="T528" i="19"/>
  <c r="V528" i="19" s="1"/>
  <c r="X524" i="19"/>
  <c r="Y524" i="19" s="1"/>
  <c r="AA524" i="19" s="1"/>
  <c r="K525" i="19"/>
  <c r="P525" i="19"/>
  <c r="K528" i="19"/>
  <c r="K523" i="19"/>
  <c r="P523" i="19"/>
  <c r="Y527" i="19"/>
  <c r="AA527" i="19" s="1"/>
  <c r="T527" i="19"/>
  <c r="V527" i="19" s="1"/>
  <c r="T526" i="19"/>
  <c r="V526" i="19" s="1"/>
  <c r="X526" i="19"/>
  <c r="Z526" i="19" s="1"/>
  <c r="T522" i="19"/>
  <c r="V522" i="19" s="1"/>
  <c r="X522" i="19"/>
  <c r="Z522" i="19" s="1"/>
  <c r="O527" i="19"/>
  <c r="O526" i="19"/>
  <c r="O524" i="19"/>
  <c r="K529" i="19"/>
  <c r="K527" i="19"/>
  <c r="K524" i="19"/>
  <c r="P522" i="19"/>
  <c r="K522" i="19"/>
  <c r="N527" i="19"/>
  <c r="O525" i="19"/>
  <c r="Z527" i="19"/>
  <c r="Y525" i="19"/>
  <c r="AA525" i="19" s="1"/>
  <c r="Z525" i="19"/>
  <c r="O523" i="19"/>
  <c r="Z523" i="19"/>
  <c r="N526" i="19"/>
  <c r="N524" i="19"/>
  <c r="N529" i="19"/>
  <c r="O529" i="19"/>
  <c r="N528" i="19"/>
  <c r="Z528" i="19"/>
  <c r="Y528" i="19"/>
  <c r="AA528" i="19" s="1"/>
  <c r="AL522" i="19" l="1"/>
  <c r="AL527" i="19"/>
  <c r="AL523" i="19"/>
  <c r="AL526" i="19"/>
  <c r="AL529" i="19"/>
  <c r="AL524" i="19"/>
  <c r="AL528" i="19"/>
  <c r="AL525" i="19"/>
  <c r="Y529" i="19"/>
  <c r="AA529" i="19" s="1"/>
  <c r="Z524" i="19"/>
  <c r="P528" i="19"/>
  <c r="P529" i="19"/>
  <c r="P527" i="19"/>
  <c r="P526" i="19"/>
  <c r="P524" i="19"/>
  <c r="Y522" i="19"/>
  <c r="AA522" i="19" s="1"/>
  <c r="Y526" i="19"/>
  <c r="AA526" i="19" s="1"/>
  <c r="S8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11" i="19"/>
  <c r="S122" i="19"/>
  <c r="S123" i="19"/>
  <c r="S124" i="19"/>
  <c r="S125" i="19"/>
  <c r="S126" i="19"/>
  <c r="S127" i="19"/>
  <c r="S128" i="19"/>
  <c r="S129" i="19"/>
  <c r="S130" i="19"/>
  <c r="S170" i="19"/>
  <c r="S171" i="19"/>
  <c r="S172" i="19"/>
  <c r="S17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289" i="19"/>
  <c r="S290" i="19"/>
  <c r="S291" i="19"/>
  <c r="S292" i="19"/>
  <c r="S293" i="19"/>
  <c r="S294" i="19"/>
  <c r="S295" i="19"/>
  <c r="S296" i="19"/>
  <c r="S297" i="19"/>
  <c r="S298" i="19"/>
  <c r="S299" i="19"/>
  <c r="S300" i="19"/>
  <c r="S301" i="19"/>
  <c r="S302" i="19"/>
  <c r="S303" i="19"/>
  <c r="S304" i="19"/>
  <c r="S305" i="19"/>
  <c r="S306" i="19"/>
  <c r="S307" i="19"/>
  <c r="S308" i="19"/>
  <c r="S309" i="19"/>
  <c r="S310" i="19"/>
  <c r="S311" i="19"/>
  <c r="S312" i="19"/>
  <c r="S313" i="19"/>
  <c r="S314" i="19"/>
  <c r="S315" i="19"/>
  <c r="S316" i="19"/>
  <c r="S317" i="19"/>
  <c r="S318" i="19"/>
  <c r="S319" i="19"/>
  <c r="S320" i="19"/>
  <c r="S321" i="19"/>
  <c r="S322" i="19"/>
  <c r="S323" i="19"/>
  <c r="S324" i="19"/>
  <c r="S325" i="19"/>
  <c r="S404" i="19"/>
  <c r="S405" i="19"/>
  <c r="S406" i="19"/>
  <c r="S407" i="19"/>
  <c r="S408" i="19"/>
  <c r="S409" i="19"/>
  <c r="S410" i="19"/>
  <c r="S411" i="19"/>
  <c r="S412" i="19"/>
  <c r="S413" i="19"/>
  <c r="S414" i="19"/>
  <c r="S415" i="19"/>
  <c r="S416" i="19"/>
  <c r="S417" i="19"/>
  <c r="S418" i="19"/>
  <c r="S419" i="19"/>
  <c r="S420" i="19"/>
  <c r="S421" i="19"/>
  <c r="S422" i="19"/>
  <c r="S423" i="19"/>
  <c r="S431" i="19"/>
  <c r="S432" i="19"/>
  <c r="S433" i="19"/>
  <c r="S434" i="19"/>
  <c r="S435" i="19"/>
  <c r="S436" i="19"/>
  <c r="S437" i="19"/>
  <c r="S438" i="19"/>
  <c r="S439" i="19"/>
  <c r="S440" i="19"/>
  <c r="S441" i="19"/>
  <c r="S442" i="19"/>
  <c r="S443" i="19"/>
  <c r="S444" i="19"/>
  <c r="S446" i="19"/>
  <c r="S447" i="19"/>
  <c r="S448" i="19"/>
  <c r="S451" i="19"/>
  <c r="S452" i="19"/>
  <c r="S453" i="19"/>
  <c r="S456" i="19"/>
  <c r="S459" i="19"/>
  <c r="S461" i="19"/>
  <c r="S462" i="19"/>
  <c r="S464" i="19"/>
  <c r="S465" i="19"/>
  <c r="S466" i="19"/>
  <c r="S468" i="19"/>
  <c r="S472" i="19"/>
  <c r="S473" i="19"/>
  <c r="S474" i="19"/>
  <c r="S475" i="19"/>
  <c r="S476" i="19"/>
  <c r="S477" i="19"/>
  <c r="S478" i="19"/>
  <c r="S479" i="19"/>
  <c r="S480" i="19"/>
  <c r="S481" i="19"/>
  <c r="S482" i="19"/>
  <c r="S489" i="19"/>
  <c r="S490" i="19"/>
  <c r="S491" i="19"/>
  <c r="S492" i="19"/>
  <c r="S493" i="19"/>
  <c r="S494" i="19"/>
  <c r="S495" i="19"/>
  <c r="S496" i="19"/>
  <c r="S497" i="19"/>
  <c r="S498" i="19"/>
  <c r="S499" i="19"/>
  <c r="S500" i="19"/>
  <c r="S501" i="19"/>
  <c r="S502" i="19"/>
  <c r="S503" i="19"/>
  <c r="S504" i="19"/>
  <c r="S505" i="19"/>
  <c r="S562" i="19"/>
  <c r="S564" i="19"/>
  <c r="S567" i="19"/>
  <c r="S569" i="19"/>
  <c r="S570" i="19"/>
  <c r="S571" i="19"/>
  <c r="S572" i="19"/>
  <c r="S573" i="19"/>
  <c r="S576" i="19"/>
  <c r="S577" i="19"/>
  <c r="S578" i="19"/>
  <c r="S579" i="19"/>
  <c r="S582" i="19"/>
  <c r="S583" i="19"/>
  <c r="S584" i="19"/>
  <c r="S585" i="19"/>
  <c r="S7" i="19"/>
  <c r="BL8" i="19" l="1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11" i="19"/>
  <c r="BL122" i="19"/>
  <c r="BL123" i="19"/>
  <c r="BL124" i="19"/>
  <c r="BL125" i="19"/>
  <c r="BL126" i="19"/>
  <c r="BL127" i="19"/>
  <c r="BL128" i="19"/>
  <c r="BL129" i="19"/>
  <c r="BL130" i="19"/>
  <c r="BL170" i="19"/>
  <c r="BL171" i="19"/>
  <c r="BL172" i="19"/>
  <c r="BL17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404" i="19"/>
  <c r="BL405" i="19"/>
  <c r="BL406" i="19"/>
  <c r="BL407" i="19"/>
  <c r="BL408" i="19"/>
  <c r="BL409" i="19"/>
  <c r="BL410" i="19"/>
  <c r="BL411" i="19"/>
  <c r="BL412" i="19"/>
  <c r="BL413" i="19"/>
  <c r="BL414" i="19"/>
  <c r="BL415" i="19"/>
  <c r="BL416" i="19"/>
  <c r="BL417" i="19"/>
  <c r="BL418" i="19"/>
  <c r="BL419" i="19"/>
  <c r="BL420" i="19"/>
  <c r="BL421" i="19"/>
  <c r="BL422" i="19"/>
  <c r="BL423" i="19"/>
  <c r="BL431" i="19"/>
  <c r="BL432" i="19"/>
  <c r="BL433" i="19"/>
  <c r="BL434" i="19"/>
  <c r="BL435" i="19"/>
  <c r="BL436" i="19"/>
  <c r="BL437" i="19"/>
  <c r="BL438" i="19"/>
  <c r="BL439" i="19"/>
  <c r="BL440" i="19"/>
  <c r="BL441" i="19"/>
  <c r="BL442" i="19"/>
  <c r="BL443" i="19"/>
  <c r="BL444" i="19"/>
  <c r="BL446" i="19"/>
  <c r="BL447" i="19"/>
  <c r="BL448" i="19"/>
  <c r="BL451" i="19"/>
  <c r="BL452" i="19"/>
  <c r="BL453" i="19"/>
  <c r="BL456" i="19"/>
  <c r="BL459" i="19"/>
  <c r="BL461" i="19"/>
  <c r="BL462" i="19"/>
  <c r="BL464" i="19"/>
  <c r="BL465" i="19"/>
  <c r="BL466" i="19"/>
  <c r="BL468" i="19"/>
  <c r="BL472" i="19"/>
  <c r="BL473" i="19"/>
  <c r="BL474" i="19"/>
  <c r="BL475" i="19"/>
  <c r="BL476" i="19"/>
  <c r="BL477" i="19"/>
  <c r="BL478" i="19"/>
  <c r="BL479" i="19"/>
  <c r="BL480" i="19"/>
  <c r="BL481" i="19"/>
  <c r="BL482" i="19"/>
  <c r="BL489" i="19"/>
  <c r="BL490" i="19"/>
  <c r="BL491" i="19"/>
  <c r="BL492" i="19"/>
  <c r="BL493" i="19"/>
  <c r="BL494" i="19"/>
  <c r="BL495" i="19"/>
  <c r="BL496" i="19"/>
  <c r="BL497" i="19"/>
  <c r="BL498" i="19"/>
  <c r="BL499" i="19"/>
  <c r="BL500" i="19"/>
  <c r="BL501" i="19"/>
  <c r="BL502" i="19"/>
  <c r="BL503" i="19"/>
  <c r="BL504" i="19"/>
  <c r="BL505" i="19"/>
  <c r="BL562" i="19"/>
  <c r="BL564" i="19"/>
  <c r="BL567" i="19"/>
  <c r="BL569" i="19"/>
  <c r="BL570" i="19"/>
  <c r="BL571" i="19"/>
  <c r="BL572" i="19"/>
  <c r="BL573" i="19"/>
  <c r="BL576" i="19"/>
  <c r="BL577" i="19"/>
  <c r="BL578" i="19"/>
  <c r="BL579" i="19"/>
  <c r="BL582" i="19"/>
  <c r="BL583" i="19"/>
  <c r="BL584" i="19"/>
  <c r="BL585" i="19"/>
  <c r="BL7" i="19"/>
  <c r="BR10" i="19" l="1"/>
  <c r="BR11" i="19"/>
  <c r="BT11" i="19" s="1"/>
  <c r="BR12" i="19"/>
  <c r="BT12" i="19" s="1"/>
  <c r="BR13" i="19"/>
  <c r="BT13" i="19" s="1"/>
  <c r="BR14" i="19"/>
  <c r="BT14" i="19" s="1"/>
  <c r="BR15" i="19"/>
  <c r="BR16" i="19"/>
  <c r="BT16" i="19" s="1"/>
  <c r="BR17" i="19"/>
  <c r="BR18" i="19"/>
  <c r="BR19" i="19"/>
  <c r="BT19" i="19" s="1"/>
  <c r="BR20" i="19"/>
  <c r="BT20" i="19" s="1"/>
  <c r="BR21" i="19"/>
  <c r="BR22" i="19"/>
  <c r="BT22" i="19" s="1"/>
  <c r="BR23" i="19"/>
  <c r="BT23" i="19" s="1"/>
  <c r="BR24" i="19"/>
  <c r="BT24" i="19" s="1"/>
  <c r="BR67" i="19"/>
  <c r="BT67" i="19" s="1"/>
  <c r="BR68" i="19"/>
  <c r="BR69" i="19"/>
  <c r="BT69" i="19" s="1"/>
  <c r="BR70" i="19"/>
  <c r="BT70" i="19" s="1"/>
  <c r="BR71" i="19"/>
  <c r="BT71" i="19" s="1"/>
  <c r="BR72" i="19"/>
  <c r="BR73" i="19"/>
  <c r="BT73" i="19" s="1"/>
  <c r="BR74" i="19"/>
  <c r="BT74" i="19" s="1"/>
  <c r="BR75" i="19"/>
  <c r="BT75" i="19" s="1"/>
  <c r="BR76" i="19"/>
  <c r="BR77" i="19"/>
  <c r="BT77" i="19" s="1"/>
  <c r="BR78" i="19"/>
  <c r="BT78" i="19" s="1"/>
  <c r="BR79" i="19"/>
  <c r="BT79" i="19" s="1"/>
  <c r="BR80" i="19"/>
  <c r="BT80" i="19" s="1"/>
  <c r="BR81" i="19"/>
  <c r="BR82" i="19"/>
  <c r="BT82" i="19" s="1"/>
  <c r="BR83" i="19"/>
  <c r="BT83" i="19" s="1"/>
  <c r="BR84" i="19"/>
  <c r="BT84" i="19" s="1"/>
  <c r="BR85" i="19"/>
  <c r="BT85" i="19" s="1"/>
  <c r="BR86" i="19"/>
  <c r="BT86" i="19" s="1"/>
  <c r="BR87" i="19"/>
  <c r="BT87" i="19" s="1"/>
  <c r="BR88" i="19"/>
  <c r="BT88" i="19" s="1"/>
  <c r="BR89" i="19"/>
  <c r="BT89" i="19" s="1"/>
  <c r="BR90" i="19"/>
  <c r="BT90" i="19" s="1"/>
  <c r="BR91" i="19"/>
  <c r="BT91" i="19" s="1"/>
  <c r="BR92" i="19"/>
  <c r="BT92" i="19" s="1"/>
  <c r="BR93" i="19"/>
  <c r="BT93" i="19" s="1"/>
  <c r="BR94" i="19"/>
  <c r="BT94" i="19" s="1"/>
  <c r="BR95" i="19"/>
  <c r="BT95" i="19" s="1"/>
  <c r="BR96" i="19"/>
  <c r="BT96" i="19" s="1"/>
  <c r="BR97" i="19"/>
  <c r="BT97" i="19" s="1"/>
  <c r="BR98" i="19"/>
  <c r="BT98" i="19" s="1"/>
  <c r="BR99" i="19"/>
  <c r="BT99" i="19" s="1"/>
  <c r="BR100" i="19"/>
  <c r="BT100" i="19" s="1"/>
  <c r="BR101" i="19"/>
  <c r="BT101" i="19" s="1"/>
  <c r="BR102" i="19"/>
  <c r="BT102" i="19" s="1"/>
  <c r="BR103" i="19"/>
  <c r="BR104" i="19"/>
  <c r="BR111" i="19"/>
  <c r="BT111" i="19" s="1"/>
  <c r="BR122" i="19"/>
  <c r="BT122" i="19" s="1"/>
  <c r="BR123" i="19"/>
  <c r="BT123" i="19" s="1"/>
  <c r="BR124" i="19"/>
  <c r="BT124" i="19" s="1"/>
  <c r="BR125" i="19"/>
  <c r="BR126" i="19"/>
  <c r="BT126" i="19" s="1"/>
  <c r="BR127" i="19"/>
  <c r="BR128" i="19"/>
  <c r="BT128" i="19" s="1"/>
  <c r="BR129" i="19"/>
  <c r="BT129" i="19" s="1"/>
  <c r="BR130" i="19"/>
  <c r="BT130" i="19" s="1"/>
  <c r="BR170" i="19"/>
  <c r="BT170" i="19" s="1"/>
  <c r="BR171" i="19"/>
  <c r="BT171" i="19" s="1"/>
  <c r="BR172" i="19"/>
  <c r="BR173" i="19"/>
  <c r="BT173" i="19" s="1"/>
  <c r="BR194" i="19"/>
  <c r="BT194" i="19" s="1"/>
  <c r="BR195" i="19"/>
  <c r="BR196" i="19"/>
  <c r="BT196" i="19" s="1"/>
  <c r="BR197" i="19"/>
  <c r="BT197" i="19" s="1"/>
  <c r="BR198" i="19"/>
  <c r="BR199" i="19"/>
  <c r="BT199" i="19" s="1"/>
  <c r="BR200" i="19"/>
  <c r="BR201" i="19"/>
  <c r="BT201" i="19" s="1"/>
  <c r="BR202" i="19"/>
  <c r="BT202" i="19" s="1"/>
  <c r="BR203" i="19"/>
  <c r="BT203" i="19" s="1"/>
  <c r="BR204" i="19"/>
  <c r="BT204" i="19" s="1"/>
  <c r="BR205" i="19"/>
  <c r="BT205" i="19" s="1"/>
  <c r="BR206" i="19"/>
  <c r="BT206" i="19" s="1"/>
  <c r="BR207" i="19"/>
  <c r="BT207" i="19" s="1"/>
  <c r="BR208" i="19"/>
  <c r="BT208" i="19" s="1"/>
  <c r="BR209" i="19"/>
  <c r="BT209" i="19" s="1"/>
  <c r="BR210" i="19"/>
  <c r="BT210" i="19" s="1"/>
  <c r="BR211" i="19"/>
  <c r="BT211" i="19" s="1"/>
  <c r="BR212" i="19"/>
  <c r="BT212" i="19" s="1"/>
  <c r="BR213" i="19"/>
  <c r="BT213" i="19" s="1"/>
  <c r="BR214" i="19"/>
  <c r="BT214" i="19" s="1"/>
  <c r="BR215" i="19"/>
  <c r="BT215" i="19" s="1"/>
  <c r="BR216" i="19"/>
  <c r="BT216" i="19" s="1"/>
  <c r="BR217" i="19"/>
  <c r="BT217" i="19" s="1"/>
  <c r="BR218" i="19"/>
  <c r="BT218" i="19" s="1"/>
  <c r="BR219" i="19"/>
  <c r="BT219" i="19" s="1"/>
  <c r="BR220" i="19"/>
  <c r="BT220" i="19" s="1"/>
  <c r="BR221" i="19"/>
  <c r="BR222" i="19"/>
  <c r="BT222" i="19" s="1"/>
  <c r="BR223" i="19"/>
  <c r="BT223" i="19" s="1"/>
  <c r="BR224" i="19"/>
  <c r="BT224" i="19" s="1"/>
  <c r="BR225" i="19"/>
  <c r="BT225" i="19" s="1"/>
  <c r="BR226" i="19"/>
  <c r="BR227" i="19"/>
  <c r="BT227" i="19" s="1"/>
  <c r="BR228" i="19"/>
  <c r="BT228" i="19" s="1"/>
  <c r="BR229" i="19"/>
  <c r="BT229" i="19" s="1"/>
  <c r="BR230" i="19"/>
  <c r="BT230" i="19" s="1"/>
  <c r="BR231" i="19"/>
  <c r="BR232" i="19"/>
  <c r="BT232" i="19" s="1"/>
  <c r="BR233" i="19"/>
  <c r="BT233" i="19" s="1"/>
  <c r="BR234" i="19"/>
  <c r="BR235" i="19"/>
  <c r="BT235" i="19" s="1"/>
  <c r="BR236" i="19"/>
  <c r="BT236" i="19" s="1"/>
  <c r="BR237" i="19"/>
  <c r="BT237" i="19" s="1"/>
  <c r="BR238" i="19"/>
  <c r="BT238" i="19" s="1"/>
  <c r="BR239" i="19"/>
  <c r="BT239" i="19" s="1"/>
  <c r="BR240" i="19"/>
  <c r="BT240" i="19" s="1"/>
  <c r="BR241" i="19"/>
  <c r="BT241" i="19" s="1"/>
  <c r="BR242" i="19"/>
  <c r="BT242" i="19" s="1"/>
  <c r="BR243" i="19"/>
  <c r="BT243" i="19" s="1"/>
  <c r="BR244" i="19"/>
  <c r="BT244" i="19" s="1"/>
  <c r="BR245" i="19"/>
  <c r="BT245" i="19" s="1"/>
  <c r="BR246" i="19"/>
  <c r="BT246" i="19" s="1"/>
  <c r="BR247" i="19"/>
  <c r="BT247" i="19" s="1"/>
  <c r="BR248" i="19"/>
  <c r="BT248" i="19" s="1"/>
  <c r="BR249" i="19"/>
  <c r="BT249" i="19" s="1"/>
  <c r="BR250" i="19"/>
  <c r="BT250" i="19" s="1"/>
  <c r="BR251" i="19"/>
  <c r="BT251" i="19" s="1"/>
  <c r="BR252" i="19"/>
  <c r="BT252" i="19" s="1"/>
  <c r="BR253" i="19"/>
  <c r="BT253" i="19" s="1"/>
  <c r="BR266" i="19"/>
  <c r="BT266" i="19" s="1"/>
  <c r="BR267" i="19"/>
  <c r="BR268" i="19"/>
  <c r="BT268" i="19" s="1"/>
  <c r="BR269" i="19"/>
  <c r="BT269" i="19" s="1"/>
  <c r="BR270" i="19"/>
  <c r="BT270" i="19" s="1"/>
  <c r="BR271" i="19"/>
  <c r="BR272" i="19"/>
  <c r="BT272" i="19" s="1"/>
  <c r="BR273" i="19"/>
  <c r="BT273" i="19" s="1"/>
  <c r="BR274" i="19"/>
  <c r="BT274" i="19" s="1"/>
  <c r="BR275" i="19"/>
  <c r="BT275" i="19" s="1"/>
  <c r="BR276" i="19"/>
  <c r="BR277" i="19"/>
  <c r="BT277" i="19" s="1"/>
  <c r="BR278" i="19"/>
  <c r="BT278" i="19" s="1"/>
  <c r="BR279" i="19"/>
  <c r="BT279" i="19" s="1"/>
  <c r="BR280" i="19"/>
  <c r="BT280" i="19" s="1"/>
  <c r="BR281" i="19"/>
  <c r="BT281" i="19" s="1"/>
  <c r="BR282" i="19"/>
  <c r="BR283" i="19"/>
  <c r="BT283" i="19" s="1"/>
  <c r="BR284" i="19"/>
  <c r="BR285" i="19"/>
  <c r="BT285" i="19" s="1"/>
  <c r="BR286" i="19"/>
  <c r="BT286" i="19" s="1"/>
  <c r="BR287" i="19"/>
  <c r="BT287" i="19" s="1"/>
  <c r="BR288" i="19"/>
  <c r="BR289" i="19"/>
  <c r="BT289" i="19" s="1"/>
  <c r="BR290" i="19"/>
  <c r="BT290" i="19" s="1"/>
  <c r="BR291" i="19"/>
  <c r="BR292" i="19"/>
  <c r="BT292" i="19" s="1"/>
  <c r="BR293" i="19"/>
  <c r="BT293" i="19" s="1"/>
  <c r="BR294" i="19"/>
  <c r="BT294" i="19" s="1"/>
  <c r="BR295" i="19"/>
  <c r="BR296" i="19"/>
  <c r="BR297" i="19"/>
  <c r="BT297" i="19" s="1"/>
  <c r="BR298" i="19"/>
  <c r="BT298" i="19" s="1"/>
  <c r="BR299" i="19"/>
  <c r="BR300" i="19"/>
  <c r="BT300" i="19" s="1"/>
  <c r="BR301" i="19"/>
  <c r="BT301" i="19" s="1"/>
  <c r="BR302" i="19"/>
  <c r="BT302" i="19" s="1"/>
  <c r="BR303" i="19"/>
  <c r="BT303" i="19" s="1"/>
  <c r="BR304" i="19"/>
  <c r="BT304" i="19" s="1"/>
  <c r="BR305" i="19"/>
  <c r="BR306" i="19"/>
  <c r="BR307" i="19"/>
  <c r="BT307" i="19" s="1"/>
  <c r="BR308" i="19"/>
  <c r="BT308" i="19" s="1"/>
  <c r="BR309" i="19"/>
  <c r="BT309" i="19" s="1"/>
  <c r="BR310" i="19"/>
  <c r="BT310" i="19" s="1"/>
  <c r="BR311" i="19"/>
  <c r="BT311" i="19" s="1"/>
  <c r="BR312" i="19"/>
  <c r="BT312" i="19" s="1"/>
  <c r="BR313" i="19"/>
  <c r="BT313" i="19" s="1"/>
  <c r="BR314" i="19"/>
  <c r="BT314" i="19" s="1"/>
  <c r="BR315" i="19"/>
  <c r="BR316" i="19"/>
  <c r="BT316" i="19" s="1"/>
  <c r="BR317" i="19"/>
  <c r="BT317" i="19" s="1"/>
  <c r="BR318" i="19"/>
  <c r="BT318" i="19" s="1"/>
  <c r="BR319" i="19"/>
  <c r="BT319" i="19" s="1"/>
  <c r="BR320" i="19"/>
  <c r="BT320" i="19" s="1"/>
  <c r="BR321" i="19"/>
  <c r="BT321" i="19" s="1"/>
  <c r="BR322" i="19"/>
  <c r="BR323" i="19"/>
  <c r="BR324" i="19"/>
  <c r="BR325" i="19"/>
  <c r="BT325" i="19" s="1"/>
  <c r="BR404" i="19"/>
  <c r="BT404" i="19" s="1"/>
  <c r="BR405" i="19"/>
  <c r="BT405" i="19" s="1"/>
  <c r="BR406" i="19"/>
  <c r="BT406" i="19" s="1"/>
  <c r="BR407" i="19"/>
  <c r="BR408" i="19"/>
  <c r="BT408" i="19" s="1"/>
  <c r="BR409" i="19"/>
  <c r="BT409" i="19" s="1"/>
  <c r="BR410" i="19"/>
  <c r="BT410" i="19" s="1"/>
  <c r="BR411" i="19"/>
  <c r="BT411" i="19" s="1"/>
  <c r="BR412" i="19"/>
  <c r="BR413" i="19"/>
  <c r="BT413" i="19" s="1"/>
  <c r="BR414" i="19"/>
  <c r="BT414" i="19" s="1"/>
  <c r="BR415" i="19"/>
  <c r="BR416" i="19"/>
  <c r="BT416" i="19" s="1"/>
  <c r="BR417" i="19"/>
  <c r="BT417" i="19" s="1"/>
  <c r="BR418" i="19"/>
  <c r="BT418" i="19" s="1"/>
  <c r="BR419" i="19"/>
  <c r="BR420" i="19"/>
  <c r="BT420" i="19" s="1"/>
  <c r="BR421" i="19"/>
  <c r="BT421" i="19" s="1"/>
  <c r="BR422" i="19"/>
  <c r="BT422" i="19" s="1"/>
  <c r="BR423" i="19"/>
  <c r="BT423" i="19" s="1"/>
  <c r="BR431" i="19"/>
  <c r="BR432" i="19"/>
  <c r="BT432" i="19" s="1"/>
  <c r="BR433" i="19"/>
  <c r="BT433" i="19" s="1"/>
  <c r="BR434" i="19"/>
  <c r="BR435" i="19"/>
  <c r="BT435" i="19" s="1"/>
  <c r="BR436" i="19"/>
  <c r="BT436" i="19" s="1"/>
  <c r="BR437" i="19"/>
  <c r="BR438" i="19"/>
  <c r="BT438" i="19" s="1"/>
  <c r="BR439" i="19"/>
  <c r="BT439" i="19" s="1"/>
  <c r="BR440" i="19"/>
  <c r="BT440" i="19" s="1"/>
  <c r="BR441" i="19"/>
  <c r="BR442" i="19"/>
  <c r="BT442" i="19" s="1"/>
  <c r="BR443" i="19"/>
  <c r="BT443" i="19" s="1"/>
  <c r="BR444" i="19"/>
  <c r="BT444" i="19" s="1"/>
  <c r="BR446" i="19"/>
  <c r="BT446" i="19" s="1"/>
  <c r="BR447" i="19"/>
  <c r="BR448" i="19"/>
  <c r="BT448" i="19" s="1"/>
  <c r="BR451" i="19"/>
  <c r="BR452" i="19"/>
  <c r="BT452" i="19" s="1"/>
  <c r="BR453" i="19"/>
  <c r="BT453" i="19" s="1"/>
  <c r="BR456" i="19"/>
  <c r="BT456" i="19" s="1"/>
  <c r="BR459" i="19"/>
  <c r="BT459" i="19" s="1"/>
  <c r="BR461" i="19"/>
  <c r="BR462" i="19"/>
  <c r="BR464" i="19"/>
  <c r="BT464" i="19" s="1"/>
  <c r="BR465" i="19"/>
  <c r="BT465" i="19" s="1"/>
  <c r="BR466" i="19"/>
  <c r="BT466" i="19" s="1"/>
  <c r="BR468" i="19"/>
  <c r="BR472" i="19"/>
  <c r="BT472" i="19" s="1"/>
  <c r="BR473" i="19"/>
  <c r="BT473" i="19" s="1"/>
  <c r="BR474" i="19"/>
  <c r="BR475" i="19"/>
  <c r="BR476" i="19"/>
  <c r="BT476" i="19" s="1"/>
  <c r="BR477" i="19"/>
  <c r="BR478" i="19"/>
  <c r="BR479" i="19"/>
  <c r="BT479" i="19" s="1"/>
  <c r="BR480" i="19"/>
  <c r="BT480" i="19" s="1"/>
  <c r="BR481" i="19"/>
  <c r="BT481" i="19" s="1"/>
  <c r="BR482" i="19"/>
  <c r="BR489" i="19"/>
  <c r="BR490" i="19"/>
  <c r="BT490" i="19" s="1"/>
  <c r="BR491" i="19"/>
  <c r="BT491" i="19" s="1"/>
  <c r="BR492" i="19"/>
  <c r="BR493" i="19"/>
  <c r="BT493" i="19" s="1"/>
  <c r="BR494" i="19"/>
  <c r="BT494" i="19" s="1"/>
  <c r="BR495" i="19"/>
  <c r="BT495" i="19" s="1"/>
  <c r="BR496" i="19"/>
  <c r="BR497" i="19"/>
  <c r="BT497" i="19" s="1"/>
  <c r="BR498" i="19"/>
  <c r="BT498" i="19" s="1"/>
  <c r="BR499" i="19"/>
  <c r="BT499" i="19" s="1"/>
  <c r="BR500" i="19"/>
  <c r="BT500" i="19" s="1"/>
  <c r="BR501" i="19"/>
  <c r="BT501" i="19" s="1"/>
  <c r="BR502" i="19"/>
  <c r="BT502" i="19" s="1"/>
  <c r="BR503" i="19"/>
  <c r="BT503" i="19" s="1"/>
  <c r="BR504" i="19"/>
  <c r="BR505" i="19"/>
  <c r="BT505" i="19" s="1"/>
  <c r="BR562" i="19"/>
  <c r="BT562" i="19" s="1"/>
  <c r="BR564" i="19"/>
  <c r="BT564" i="19" s="1"/>
  <c r="BR567" i="19"/>
  <c r="BT567" i="19" s="1"/>
  <c r="BR569" i="19"/>
  <c r="BT569" i="19" s="1"/>
  <c r="BR570" i="19"/>
  <c r="BT570" i="19" s="1"/>
  <c r="BR571" i="19"/>
  <c r="BT571" i="19" s="1"/>
  <c r="BR572" i="19"/>
  <c r="BT572" i="19" s="1"/>
  <c r="BR573" i="19"/>
  <c r="BT573" i="19" s="1"/>
  <c r="BR576" i="19"/>
  <c r="BR577" i="19"/>
  <c r="BT577" i="19" s="1"/>
  <c r="BR578" i="19"/>
  <c r="BT578" i="19" s="1"/>
  <c r="BR579" i="19"/>
  <c r="BT579" i="19" s="1"/>
  <c r="BR582" i="19"/>
  <c r="BT582" i="19" s="1"/>
  <c r="BR583" i="19"/>
  <c r="BR584" i="19"/>
  <c r="BT584" i="19" s="1"/>
  <c r="BR585" i="19"/>
  <c r="BT585" i="19" s="1"/>
  <c r="BR8" i="19"/>
  <c r="BT8" i="19" s="1"/>
  <c r="BP8" i="19"/>
  <c r="BQ8" i="19" s="1"/>
  <c r="BP10" i="19"/>
  <c r="BP11" i="19"/>
  <c r="BP12" i="19"/>
  <c r="BP13" i="19"/>
  <c r="BP14" i="19"/>
  <c r="BQ14" i="19" s="1"/>
  <c r="BP15" i="19"/>
  <c r="BP16" i="19"/>
  <c r="BQ16" i="19" s="1"/>
  <c r="BP17" i="19"/>
  <c r="BQ17" i="19" s="1"/>
  <c r="BP18" i="19"/>
  <c r="BP19" i="19"/>
  <c r="BP20" i="19"/>
  <c r="BP21" i="19"/>
  <c r="BP22" i="19"/>
  <c r="BP23" i="19"/>
  <c r="BP24" i="19"/>
  <c r="BP67" i="19"/>
  <c r="BP68" i="19"/>
  <c r="BQ68" i="19" s="1"/>
  <c r="BP69" i="19"/>
  <c r="BQ69" i="19" s="1"/>
  <c r="BP70" i="19"/>
  <c r="BQ70" i="19" s="1"/>
  <c r="BP71" i="19"/>
  <c r="BQ71" i="19" s="1"/>
  <c r="BP72" i="19"/>
  <c r="BP73" i="19"/>
  <c r="BP74" i="19"/>
  <c r="BQ74" i="19" s="1"/>
  <c r="BP75" i="19"/>
  <c r="BP76" i="19"/>
  <c r="BP77" i="19"/>
  <c r="BQ77" i="19" s="1"/>
  <c r="BP78" i="19"/>
  <c r="BP79" i="19"/>
  <c r="BQ79" i="19" s="1"/>
  <c r="BP80" i="19"/>
  <c r="BQ80" i="19" s="1"/>
  <c r="BP81" i="19"/>
  <c r="BQ81" i="19" s="1"/>
  <c r="BP82" i="19"/>
  <c r="BP83" i="19"/>
  <c r="BP84" i="19"/>
  <c r="BQ84" i="19" s="1"/>
  <c r="BP85" i="19"/>
  <c r="BP86" i="19"/>
  <c r="BP87" i="19"/>
  <c r="BQ87" i="19" s="1"/>
  <c r="BP88" i="19"/>
  <c r="BQ88" i="19" s="1"/>
  <c r="BP89" i="19"/>
  <c r="BQ89" i="19" s="1"/>
  <c r="BP90" i="19"/>
  <c r="BP91" i="19"/>
  <c r="BQ91" i="19" s="1"/>
  <c r="BP92" i="19"/>
  <c r="BQ92" i="19" s="1"/>
  <c r="BP93" i="19"/>
  <c r="BQ93" i="19" s="1"/>
  <c r="BP94" i="19"/>
  <c r="BP95" i="19"/>
  <c r="BQ95" i="19" s="1"/>
  <c r="BP96" i="19"/>
  <c r="BP97" i="19"/>
  <c r="BQ97" i="19" s="1"/>
  <c r="BP98" i="19"/>
  <c r="BP99" i="19"/>
  <c r="BQ99" i="19" s="1"/>
  <c r="BP100" i="19"/>
  <c r="BQ100" i="19" s="1"/>
  <c r="BP101" i="19"/>
  <c r="BQ101" i="19" s="1"/>
  <c r="BP102" i="19"/>
  <c r="BQ102" i="19" s="1"/>
  <c r="BP103" i="19"/>
  <c r="BP104" i="19"/>
  <c r="BQ104" i="19" s="1"/>
  <c r="BP111" i="19"/>
  <c r="BP122" i="19"/>
  <c r="BP123" i="19"/>
  <c r="BP124" i="19"/>
  <c r="BQ124" i="19" s="1"/>
  <c r="BP125" i="19"/>
  <c r="BQ125" i="19" s="1"/>
  <c r="BP126" i="19"/>
  <c r="BP127" i="19"/>
  <c r="BP128" i="19"/>
  <c r="BP129" i="19"/>
  <c r="BQ129" i="19" s="1"/>
  <c r="BP130" i="19"/>
  <c r="BP170" i="19"/>
  <c r="BP171" i="19"/>
  <c r="BP172" i="19"/>
  <c r="BP173" i="19"/>
  <c r="BQ173" i="19" s="1"/>
  <c r="BP194" i="19"/>
  <c r="BP195" i="19"/>
  <c r="BQ195" i="19" s="1"/>
  <c r="BP196" i="19"/>
  <c r="BP197" i="19"/>
  <c r="BP198" i="19"/>
  <c r="BP199" i="19"/>
  <c r="BQ199" i="19" s="1"/>
  <c r="BP200" i="19"/>
  <c r="BP201" i="19"/>
  <c r="BQ201" i="19" s="1"/>
  <c r="BP202" i="19"/>
  <c r="BP203" i="19"/>
  <c r="BQ203" i="19" s="1"/>
  <c r="BP204" i="19"/>
  <c r="BP205" i="19"/>
  <c r="BQ205" i="19" s="1"/>
  <c r="BP206" i="19"/>
  <c r="BQ206" i="19" s="1"/>
  <c r="BP207" i="19"/>
  <c r="BQ207" i="19" s="1"/>
  <c r="BP208" i="19"/>
  <c r="BP209" i="19"/>
  <c r="BQ209" i="19" s="1"/>
  <c r="BP210" i="19"/>
  <c r="BP211" i="19"/>
  <c r="BP212" i="19"/>
  <c r="BQ212" i="19" s="1"/>
  <c r="BP213" i="19"/>
  <c r="BQ213" i="19" s="1"/>
  <c r="BP214" i="19"/>
  <c r="BP215" i="19"/>
  <c r="BP216" i="19"/>
  <c r="BQ216" i="19" s="1"/>
  <c r="BP217" i="19"/>
  <c r="BQ217" i="19" s="1"/>
  <c r="BP218" i="19"/>
  <c r="BQ218" i="19" s="1"/>
  <c r="BP219" i="19"/>
  <c r="BP220" i="19"/>
  <c r="BP221" i="19"/>
  <c r="BQ221" i="19" s="1"/>
  <c r="BP222" i="19"/>
  <c r="BQ222" i="19" s="1"/>
  <c r="BP223" i="19"/>
  <c r="BP224" i="19"/>
  <c r="BP225" i="19"/>
  <c r="BP226" i="19"/>
  <c r="BQ226" i="19" s="1"/>
  <c r="BP227" i="19"/>
  <c r="BP228" i="19"/>
  <c r="BP229" i="19"/>
  <c r="BP230" i="19"/>
  <c r="BQ230" i="19" s="1"/>
  <c r="BP231" i="19"/>
  <c r="BQ231" i="19" s="1"/>
  <c r="BP232" i="19"/>
  <c r="BP233" i="19"/>
  <c r="BQ233" i="19" s="1"/>
  <c r="BP234" i="19"/>
  <c r="BP235" i="19"/>
  <c r="BQ235" i="19" s="1"/>
  <c r="BP236" i="19"/>
  <c r="BQ236" i="19" s="1"/>
  <c r="BP237" i="19"/>
  <c r="BP238" i="19"/>
  <c r="BQ238" i="19" s="1"/>
  <c r="BP239" i="19"/>
  <c r="BP240" i="19"/>
  <c r="BQ240" i="19" s="1"/>
  <c r="BP241" i="19"/>
  <c r="BQ241" i="19" s="1"/>
  <c r="BP242" i="19"/>
  <c r="BQ242" i="19" s="1"/>
  <c r="BP243" i="19"/>
  <c r="BP244" i="19"/>
  <c r="BQ244" i="19" s="1"/>
  <c r="BP245" i="19"/>
  <c r="BQ245" i="19" s="1"/>
  <c r="BP246" i="19"/>
  <c r="BQ246" i="19" s="1"/>
  <c r="BP247" i="19"/>
  <c r="BP248" i="19"/>
  <c r="BQ248" i="19" s="1"/>
  <c r="BP249" i="19"/>
  <c r="BQ249" i="19" s="1"/>
  <c r="BP250" i="19"/>
  <c r="BQ250" i="19" s="1"/>
  <c r="BP251" i="19"/>
  <c r="BQ251" i="19" s="1"/>
  <c r="BP252" i="19"/>
  <c r="BQ252" i="19" s="1"/>
  <c r="BP253" i="19"/>
  <c r="BP266" i="19"/>
  <c r="BQ266" i="19" s="1"/>
  <c r="BP267" i="19"/>
  <c r="BQ267" i="19" s="1"/>
  <c r="BP268" i="19"/>
  <c r="BP269" i="19"/>
  <c r="BQ269" i="19" s="1"/>
  <c r="BP270" i="19"/>
  <c r="BP271" i="19"/>
  <c r="BQ271" i="19" s="1"/>
  <c r="BP272" i="19"/>
  <c r="BQ272" i="19" s="1"/>
  <c r="BP273" i="19"/>
  <c r="BQ273" i="19" s="1"/>
  <c r="BP274" i="19"/>
  <c r="BP275" i="19"/>
  <c r="BQ275" i="19" s="1"/>
  <c r="BP276" i="19"/>
  <c r="BQ276" i="19" s="1"/>
  <c r="BP277" i="19"/>
  <c r="BP278" i="19"/>
  <c r="BQ278" i="19" s="1"/>
  <c r="BP279" i="19"/>
  <c r="BQ279" i="19" s="1"/>
  <c r="BP280" i="19"/>
  <c r="BQ280" i="19" s="1"/>
  <c r="BP281" i="19"/>
  <c r="BP282" i="19"/>
  <c r="BQ282" i="19" s="1"/>
  <c r="BP283" i="19"/>
  <c r="BQ283" i="19" s="1"/>
  <c r="BP284" i="19"/>
  <c r="BQ284" i="19" s="1"/>
  <c r="BP285" i="19"/>
  <c r="BP286" i="19"/>
  <c r="BQ286" i="19" s="1"/>
  <c r="BP287" i="19"/>
  <c r="BQ287" i="19" s="1"/>
  <c r="BP288" i="19"/>
  <c r="BQ288" i="19" s="1"/>
  <c r="BP289" i="19"/>
  <c r="BP290" i="19"/>
  <c r="BQ290" i="19" s="1"/>
  <c r="BP291" i="19"/>
  <c r="BQ291" i="19" s="1"/>
  <c r="BP292" i="19"/>
  <c r="BQ292" i="19" s="1"/>
  <c r="BP293" i="19"/>
  <c r="BQ293" i="19" s="1"/>
  <c r="BP294" i="19"/>
  <c r="BP295" i="19"/>
  <c r="BQ295" i="19" s="1"/>
  <c r="BP296" i="19"/>
  <c r="BQ296" i="19" s="1"/>
  <c r="BP297" i="19"/>
  <c r="BQ297" i="19" s="1"/>
  <c r="BP298" i="19"/>
  <c r="BP299" i="19"/>
  <c r="BQ299" i="19" s="1"/>
  <c r="BP300" i="19"/>
  <c r="BQ300" i="19" s="1"/>
  <c r="BP301" i="19"/>
  <c r="BQ301" i="19" s="1"/>
  <c r="BP302" i="19"/>
  <c r="BQ302" i="19" s="1"/>
  <c r="BP303" i="19"/>
  <c r="BP304" i="19"/>
  <c r="BP305" i="19"/>
  <c r="BP306" i="19"/>
  <c r="BP307" i="19"/>
  <c r="BP308" i="19"/>
  <c r="BP309" i="19"/>
  <c r="BQ309" i="19" s="1"/>
  <c r="BP310" i="19"/>
  <c r="BQ310" i="19" s="1"/>
  <c r="BP311" i="19"/>
  <c r="BQ311" i="19" s="1"/>
  <c r="BP312" i="19"/>
  <c r="BQ312" i="19" s="1"/>
  <c r="BP313" i="19"/>
  <c r="BP314" i="19"/>
  <c r="BQ314" i="19" s="1"/>
  <c r="BP315" i="19"/>
  <c r="BQ315" i="19" s="1"/>
  <c r="BP316" i="19"/>
  <c r="BQ316" i="19" s="1"/>
  <c r="BP317" i="19"/>
  <c r="BQ317" i="19" s="1"/>
  <c r="BP318" i="19"/>
  <c r="BQ318" i="19" s="1"/>
  <c r="BP319" i="19"/>
  <c r="BQ319" i="19" s="1"/>
  <c r="BP320" i="19"/>
  <c r="BP321" i="19"/>
  <c r="BQ321" i="19" s="1"/>
  <c r="BP322" i="19"/>
  <c r="BP323" i="19"/>
  <c r="BQ323" i="19" s="1"/>
  <c r="BP324" i="19"/>
  <c r="BQ324" i="19" s="1"/>
  <c r="BP325" i="19"/>
  <c r="BP404" i="19"/>
  <c r="BP405" i="19"/>
  <c r="BQ405" i="19" s="1"/>
  <c r="BP406" i="19"/>
  <c r="BQ406" i="19" s="1"/>
  <c r="BP407" i="19"/>
  <c r="BQ407" i="19" s="1"/>
  <c r="BP408" i="19"/>
  <c r="BP409" i="19"/>
  <c r="BP410" i="19"/>
  <c r="BQ410" i="19" s="1"/>
  <c r="BP411" i="19"/>
  <c r="BQ411" i="19" s="1"/>
  <c r="BP412" i="19"/>
  <c r="BQ412" i="19" s="1"/>
  <c r="BP413" i="19"/>
  <c r="BP414" i="19"/>
  <c r="BQ414" i="19" s="1"/>
  <c r="BP415" i="19"/>
  <c r="BQ415" i="19" s="1"/>
  <c r="BP416" i="19"/>
  <c r="BQ416" i="19" s="1"/>
  <c r="BP417" i="19"/>
  <c r="BQ417" i="19" s="1"/>
  <c r="BP418" i="19"/>
  <c r="BQ418" i="19" s="1"/>
  <c r="BP419" i="19"/>
  <c r="BQ419" i="19" s="1"/>
  <c r="BP420" i="19"/>
  <c r="BP421" i="19"/>
  <c r="BQ421" i="19" s="1"/>
  <c r="BP422" i="19"/>
  <c r="BQ422" i="19" s="1"/>
  <c r="BP423" i="19"/>
  <c r="BQ423" i="19" s="1"/>
  <c r="BP431" i="19"/>
  <c r="BP432" i="19"/>
  <c r="BQ432" i="19" s="1"/>
  <c r="BP433" i="19"/>
  <c r="BQ433" i="19" s="1"/>
  <c r="BP434" i="19"/>
  <c r="BQ434" i="19" s="1"/>
  <c r="BP435" i="19"/>
  <c r="BQ435" i="19" s="1"/>
  <c r="BP436" i="19"/>
  <c r="BP437" i="19"/>
  <c r="BQ437" i="19" s="1"/>
  <c r="BP438" i="19"/>
  <c r="BP439" i="19"/>
  <c r="BQ439" i="19" s="1"/>
  <c r="BP440" i="19"/>
  <c r="BQ440" i="19" s="1"/>
  <c r="BP441" i="19"/>
  <c r="BQ441" i="19" s="1"/>
  <c r="BP442" i="19"/>
  <c r="BQ442" i="19" s="1"/>
  <c r="BP443" i="19"/>
  <c r="BQ443" i="19" s="1"/>
  <c r="BP444" i="19"/>
  <c r="BQ444" i="19" s="1"/>
  <c r="BP446" i="19"/>
  <c r="BQ446" i="19" s="1"/>
  <c r="BP447" i="19"/>
  <c r="BQ447" i="19" s="1"/>
  <c r="BP448" i="19"/>
  <c r="BQ448" i="19" s="1"/>
  <c r="BP451" i="19"/>
  <c r="BQ451" i="19" s="1"/>
  <c r="BP452" i="19"/>
  <c r="BQ452" i="19" s="1"/>
  <c r="BP453" i="19"/>
  <c r="BP456" i="19"/>
  <c r="BQ456" i="19" s="1"/>
  <c r="BP459" i="19"/>
  <c r="BQ459" i="19" s="1"/>
  <c r="BP461" i="19"/>
  <c r="BQ461" i="19" s="1"/>
  <c r="BP462" i="19"/>
  <c r="BQ462" i="19" s="1"/>
  <c r="BP464" i="19"/>
  <c r="BP465" i="19"/>
  <c r="BQ465" i="19" s="1"/>
  <c r="BP466" i="19"/>
  <c r="BQ466" i="19" s="1"/>
  <c r="BP468" i="19"/>
  <c r="BP472" i="19"/>
  <c r="BQ472" i="19" s="1"/>
  <c r="BP473" i="19"/>
  <c r="BP474" i="19"/>
  <c r="BQ474" i="19" s="1"/>
  <c r="BP475" i="19"/>
  <c r="BQ475" i="19" s="1"/>
  <c r="BP476" i="19"/>
  <c r="BQ476" i="19" s="1"/>
  <c r="BP477" i="19"/>
  <c r="BQ477" i="19" s="1"/>
  <c r="BP478" i="19"/>
  <c r="BQ478" i="19" s="1"/>
  <c r="BP479" i="19"/>
  <c r="BP480" i="19"/>
  <c r="BP481" i="19"/>
  <c r="BP482" i="19"/>
  <c r="BP489" i="19"/>
  <c r="BQ489" i="19" s="1"/>
  <c r="BP490" i="19"/>
  <c r="BQ490" i="19" s="1"/>
  <c r="BP491" i="19"/>
  <c r="BP492" i="19"/>
  <c r="BQ492" i="19" s="1"/>
  <c r="BP493" i="19"/>
  <c r="BQ493" i="19" s="1"/>
  <c r="BP494" i="19"/>
  <c r="BQ494" i="19" s="1"/>
  <c r="BP495" i="19"/>
  <c r="BQ495" i="19" s="1"/>
  <c r="BP496" i="19"/>
  <c r="BP497" i="19"/>
  <c r="BQ497" i="19" s="1"/>
  <c r="BP498" i="19"/>
  <c r="BQ498" i="19" s="1"/>
  <c r="BP499" i="19"/>
  <c r="BQ499" i="19" s="1"/>
  <c r="BP500" i="19"/>
  <c r="BQ500" i="19" s="1"/>
  <c r="BP501" i="19"/>
  <c r="BQ501" i="19" s="1"/>
  <c r="BP502" i="19"/>
  <c r="BQ502" i="19" s="1"/>
  <c r="BP503" i="19"/>
  <c r="BQ503" i="19" s="1"/>
  <c r="BP504" i="19"/>
  <c r="BQ504" i="19" s="1"/>
  <c r="BP505" i="19"/>
  <c r="BQ505" i="19" s="1"/>
  <c r="BP562" i="19"/>
  <c r="BQ562" i="19" s="1"/>
  <c r="BP564" i="19"/>
  <c r="BQ564" i="19" s="1"/>
  <c r="BP567" i="19"/>
  <c r="BQ567" i="19" s="1"/>
  <c r="BP569" i="19"/>
  <c r="BQ569" i="19" s="1"/>
  <c r="BP570" i="19"/>
  <c r="BQ570" i="19" s="1"/>
  <c r="BP571" i="19"/>
  <c r="BQ571" i="19" s="1"/>
  <c r="BP572" i="19"/>
  <c r="BQ572" i="19" s="1"/>
  <c r="BP573" i="19"/>
  <c r="BQ573" i="19" s="1"/>
  <c r="BP576" i="19"/>
  <c r="BP577" i="19"/>
  <c r="BP578" i="19"/>
  <c r="BP579" i="19"/>
  <c r="BP582" i="19"/>
  <c r="BQ582" i="19" s="1"/>
  <c r="BP583" i="19"/>
  <c r="BQ583" i="19" s="1"/>
  <c r="BP584" i="19"/>
  <c r="BQ584" i="19" s="1"/>
  <c r="BP585" i="19"/>
  <c r="BP7" i="19"/>
  <c r="BQ7" i="19" s="1"/>
  <c r="BJ8" i="19"/>
  <c r="BK8" i="19" s="1"/>
  <c r="BJ10" i="19"/>
  <c r="BK10" i="19" s="1"/>
  <c r="BJ11" i="19"/>
  <c r="BJ12" i="19"/>
  <c r="BK12" i="19" s="1"/>
  <c r="BJ13" i="19"/>
  <c r="BK13" i="19" s="1"/>
  <c r="BJ14" i="19"/>
  <c r="BJ15" i="19"/>
  <c r="BJ16" i="19"/>
  <c r="BK16" i="19" s="1"/>
  <c r="BJ17" i="19"/>
  <c r="BK17" i="19" s="1"/>
  <c r="BJ18" i="19"/>
  <c r="BK18" i="19" s="1"/>
  <c r="BM18" i="19" s="1"/>
  <c r="BJ19" i="19"/>
  <c r="BJ20" i="19"/>
  <c r="BJ21" i="19"/>
  <c r="BJ22" i="19"/>
  <c r="BJ23" i="19"/>
  <c r="BK23" i="19" s="1"/>
  <c r="BJ24" i="19"/>
  <c r="BK24" i="19" s="1"/>
  <c r="BJ67" i="19"/>
  <c r="BK67" i="19" s="1"/>
  <c r="BJ68" i="19"/>
  <c r="BK68" i="19" s="1"/>
  <c r="BJ69" i="19"/>
  <c r="BJ70" i="19"/>
  <c r="BJ71" i="19"/>
  <c r="BJ72" i="19"/>
  <c r="BK72" i="19" s="1"/>
  <c r="BJ73" i="19"/>
  <c r="BK73" i="19" s="1"/>
  <c r="BJ74" i="19"/>
  <c r="BJ75" i="19"/>
  <c r="BJ76" i="19"/>
  <c r="BK76" i="19" s="1"/>
  <c r="BJ77" i="19"/>
  <c r="BK77" i="19" s="1"/>
  <c r="BJ78" i="19"/>
  <c r="BK78" i="19" s="1"/>
  <c r="BJ79" i="19"/>
  <c r="BJ80" i="19"/>
  <c r="BJ81" i="19"/>
  <c r="BK81" i="19" s="1"/>
  <c r="BM81" i="19" s="1"/>
  <c r="BJ82" i="19"/>
  <c r="BJ83" i="19"/>
  <c r="BK83" i="19" s="1"/>
  <c r="BJ84" i="19"/>
  <c r="BJ85" i="19"/>
  <c r="BJ86" i="19"/>
  <c r="BJ87" i="19"/>
  <c r="BK87" i="19" s="1"/>
  <c r="BJ88" i="19"/>
  <c r="BJ89" i="19"/>
  <c r="BK89" i="19" s="1"/>
  <c r="BJ90" i="19"/>
  <c r="BK90" i="19" s="1"/>
  <c r="BJ91" i="19"/>
  <c r="BK91" i="19" s="1"/>
  <c r="BJ92" i="19"/>
  <c r="BK92" i="19" s="1"/>
  <c r="BJ93" i="19"/>
  <c r="BK93" i="19" s="1"/>
  <c r="BJ94" i="19"/>
  <c r="BJ95" i="19"/>
  <c r="BK95" i="19" s="1"/>
  <c r="BJ96" i="19"/>
  <c r="BK96" i="19" s="1"/>
  <c r="BJ97" i="19"/>
  <c r="BK97" i="19" s="1"/>
  <c r="BJ98" i="19"/>
  <c r="BK98" i="19" s="1"/>
  <c r="BJ99" i="19"/>
  <c r="BK99" i="19" s="1"/>
  <c r="BJ100" i="19"/>
  <c r="BJ101" i="19"/>
  <c r="BJ102" i="19"/>
  <c r="BK102" i="19" s="1"/>
  <c r="BJ103" i="19"/>
  <c r="BK103" i="19" s="1"/>
  <c r="BJ104" i="19"/>
  <c r="BK104" i="19" s="1"/>
  <c r="BJ111" i="19"/>
  <c r="BJ122" i="19"/>
  <c r="BK122" i="19" s="1"/>
  <c r="BJ123" i="19"/>
  <c r="BJ124" i="19"/>
  <c r="BK124" i="19" s="1"/>
  <c r="BJ125" i="19"/>
  <c r="BJ126" i="19"/>
  <c r="BK126" i="19" s="1"/>
  <c r="BJ127" i="19"/>
  <c r="BK127" i="19" s="1"/>
  <c r="BJ128" i="19"/>
  <c r="BJ129" i="19"/>
  <c r="BK129" i="19" s="1"/>
  <c r="BJ130" i="19"/>
  <c r="BJ170" i="19"/>
  <c r="BJ171" i="19"/>
  <c r="BK171" i="19" s="1"/>
  <c r="BJ172" i="19"/>
  <c r="BJ173" i="19"/>
  <c r="BJ194" i="19"/>
  <c r="BJ195" i="19"/>
  <c r="BJ196" i="19"/>
  <c r="BJ197" i="19"/>
  <c r="BJ198" i="19"/>
  <c r="BK198" i="19" s="1"/>
  <c r="BJ199" i="19"/>
  <c r="BK199" i="19" s="1"/>
  <c r="BJ200" i="19"/>
  <c r="BK200" i="19" s="1"/>
  <c r="BJ201" i="19"/>
  <c r="BK201" i="19" s="1"/>
  <c r="BJ202" i="19"/>
  <c r="BK202" i="19" s="1"/>
  <c r="BJ203" i="19"/>
  <c r="BK203" i="19" s="1"/>
  <c r="BJ204" i="19"/>
  <c r="BJ205" i="19"/>
  <c r="BK205" i="19" s="1"/>
  <c r="BJ206" i="19"/>
  <c r="BJ207" i="19"/>
  <c r="BK207" i="19" s="1"/>
  <c r="BJ208" i="19"/>
  <c r="BJ209" i="19"/>
  <c r="BJ210" i="19"/>
  <c r="BJ211" i="19"/>
  <c r="BK211" i="19" s="1"/>
  <c r="BJ212" i="19"/>
  <c r="BK212" i="19" s="1"/>
  <c r="BJ213" i="19"/>
  <c r="BK213" i="19" s="1"/>
  <c r="BJ214" i="19"/>
  <c r="BJ215" i="19"/>
  <c r="BK215" i="19" s="1"/>
  <c r="BJ216" i="19"/>
  <c r="BK216" i="19" s="1"/>
  <c r="BJ217" i="19"/>
  <c r="BK217" i="19" s="1"/>
  <c r="BJ218" i="19"/>
  <c r="BJ219" i="19"/>
  <c r="BK219" i="19" s="1"/>
  <c r="BJ220" i="19"/>
  <c r="BJ221" i="19"/>
  <c r="BK221" i="19" s="1"/>
  <c r="BJ222" i="19"/>
  <c r="BJ223" i="19"/>
  <c r="BJ224" i="19"/>
  <c r="BK224" i="19" s="1"/>
  <c r="BJ225" i="19"/>
  <c r="BK225" i="19" s="1"/>
  <c r="BJ226" i="19"/>
  <c r="BK226" i="19" s="1"/>
  <c r="BJ227" i="19"/>
  <c r="BJ228" i="19"/>
  <c r="BJ229" i="19"/>
  <c r="BK229" i="19" s="1"/>
  <c r="BJ230" i="19"/>
  <c r="BK230" i="19" s="1"/>
  <c r="BJ231" i="19"/>
  <c r="BJ232" i="19"/>
  <c r="BK232" i="19" s="1"/>
  <c r="BJ233" i="19"/>
  <c r="BK233" i="19" s="1"/>
  <c r="BJ234" i="19"/>
  <c r="BJ235" i="19"/>
  <c r="BJ236" i="19"/>
  <c r="BK236" i="19" s="1"/>
  <c r="BJ237" i="19"/>
  <c r="BJ238" i="19"/>
  <c r="BJ239" i="19"/>
  <c r="BJ240" i="19"/>
  <c r="BK240" i="19" s="1"/>
  <c r="BJ241" i="19"/>
  <c r="BO241" i="19" s="1"/>
  <c r="BJ242" i="19"/>
  <c r="BK242" i="19" s="1"/>
  <c r="BJ243" i="19"/>
  <c r="BJ244" i="19"/>
  <c r="BK244" i="19" s="1"/>
  <c r="BJ245" i="19"/>
  <c r="BJ246" i="19"/>
  <c r="BK246" i="19" s="1"/>
  <c r="BJ247" i="19"/>
  <c r="BJ248" i="19"/>
  <c r="BK248" i="19" s="1"/>
  <c r="BJ249" i="19"/>
  <c r="BK249" i="19" s="1"/>
  <c r="BM249" i="19" s="1"/>
  <c r="BJ250" i="19"/>
  <c r="BK250" i="19" s="1"/>
  <c r="BJ251" i="19"/>
  <c r="BK251" i="19" s="1"/>
  <c r="BJ252" i="19"/>
  <c r="BK252" i="19" s="1"/>
  <c r="BJ253" i="19"/>
  <c r="BK253" i="19" s="1"/>
  <c r="BJ266" i="19"/>
  <c r="BJ267" i="19"/>
  <c r="BK267" i="19" s="1"/>
  <c r="BJ268" i="19"/>
  <c r="BJ269" i="19"/>
  <c r="BK269" i="19" s="1"/>
  <c r="BJ270" i="19"/>
  <c r="BK270" i="19" s="1"/>
  <c r="BJ271" i="19"/>
  <c r="BK271" i="19" s="1"/>
  <c r="BJ272" i="19"/>
  <c r="BJ273" i="19"/>
  <c r="BJ274" i="19"/>
  <c r="BK274" i="19" s="1"/>
  <c r="BJ275" i="19"/>
  <c r="BJ276" i="19"/>
  <c r="BJ277" i="19"/>
  <c r="BO277" i="19" s="1"/>
  <c r="BJ278" i="19"/>
  <c r="BK278" i="19" s="1"/>
  <c r="BJ279" i="19"/>
  <c r="BK279" i="19" s="1"/>
  <c r="BJ280" i="19"/>
  <c r="BJ281" i="19"/>
  <c r="BJ282" i="19"/>
  <c r="BJ283" i="19"/>
  <c r="BK283" i="19" s="1"/>
  <c r="BJ284" i="19"/>
  <c r="BK284" i="19" s="1"/>
  <c r="BJ285" i="19"/>
  <c r="BK285" i="19" s="1"/>
  <c r="BM285" i="19" s="1"/>
  <c r="BJ286" i="19"/>
  <c r="BK286" i="19" s="1"/>
  <c r="BJ287" i="19"/>
  <c r="BJ288" i="19"/>
  <c r="BK288" i="19" s="1"/>
  <c r="BJ289" i="19"/>
  <c r="BJ290" i="19"/>
  <c r="BJ291" i="19"/>
  <c r="BJ292" i="19"/>
  <c r="BJ293" i="19"/>
  <c r="BK293" i="19" s="1"/>
  <c r="BM293" i="19" s="1"/>
  <c r="BJ294" i="19"/>
  <c r="BK294" i="19" s="1"/>
  <c r="BJ295" i="19"/>
  <c r="BK295" i="19" s="1"/>
  <c r="BJ296" i="19"/>
  <c r="BK296" i="19" s="1"/>
  <c r="BJ297" i="19"/>
  <c r="BK297" i="19" s="1"/>
  <c r="BJ298" i="19"/>
  <c r="BJ299" i="19"/>
  <c r="BJ300" i="19"/>
  <c r="BK300" i="19" s="1"/>
  <c r="BJ301" i="19"/>
  <c r="BK301" i="19" s="1"/>
  <c r="BJ302" i="19"/>
  <c r="BJ303" i="19"/>
  <c r="BK303" i="19" s="1"/>
  <c r="BJ304" i="19"/>
  <c r="BK304" i="19" s="1"/>
  <c r="BJ305" i="19"/>
  <c r="BK305" i="19" s="1"/>
  <c r="BJ306" i="19"/>
  <c r="BJ307" i="19"/>
  <c r="BK307" i="19" s="1"/>
  <c r="BJ308" i="19"/>
  <c r="BK308" i="19" s="1"/>
  <c r="BJ309" i="19"/>
  <c r="BK309" i="19" s="1"/>
  <c r="BJ310" i="19"/>
  <c r="BK310" i="19" s="1"/>
  <c r="BJ311" i="19"/>
  <c r="BK311" i="19" s="1"/>
  <c r="BJ312" i="19"/>
  <c r="BK312" i="19" s="1"/>
  <c r="BJ313" i="19"/>
  <c r="BJ314" i="19"/>
  <c r="BJ315" i="19"/>
  <c r="BJ316" i="19"/>
  <c r="BK316" i="19" s="1"/>
  <c r="BJ317" i="19"/>
  <c r="BJ318" i="19"/>
  <c r="BK318" i="19" s="1"/>
  <c r="BJ319" i="19"/>
  <c r="BJ320" i="19"/>
  <c r="BK320" i="19" s="1"/>
  <c r="BJ321" i="19"/>
  <c r="BJ322" i="19"/>
  <c r="BJ323" i="19"/>
  <c r="BJ324" i="19"/>
  <c r="BK324" i="19" s="1"/>
  <c r="BJ325" i="19"/>
  <c r="BK325" i="19" s="1"/>
  <c r="BJ404" i="19"/>
  <c r="BJ405" i="19"/>
  <c r="BK405" i="19" s="1"/>
  <c r="BJ406" i="19"/>
  <c r="BJ407" i="19"/>
  <c r="BJ408" i="19"/>
  <c r="BJ409" i="19"/>
  <c r="BJ410" i="19"/>
  <c r="BK410" i="19" s="1"/>
  <c r="BJ411" i="19"/>
  <c r="BK411" i="19" s="1"/>
  <c r="BJ412" i="19"/>
  <c r="BK412" i="19" s="1"/>
  <c r="BJ413" i="19"/>
  <c r="BK413" i="19" s="1"/>
  <c r="BJ414" i="19"/>
  <c r="BK414" i="19" s="1"/>
  <c r="BJ415" i="19"/>
  <c r="BK415" i="19" s="1"/>
  <c r="BJ416" i="19"/>
  <c r="BJ417" i="19"/>
  <c r="BJ418" i="19"/>
  <c r="BK418" i="19" s="1"/>
  <c r="BJ419" i="19"/>
  <c r="BK419" i="19" s="1"/>
  <c r="BJ420" i="19"/>
  <c r="BK420" i="19" s="1"/>
  <c r="BJ421" i="19"/>
  <c r="BK421" i="19" s="1"/>
  <c r="BJ422" i="19"/>
  <c r="BK422" i="19" s="1"/>
  <c r="BJ423" i="19"/>
  <c r="BJ431" i="19"/>
  <c r="BK431" i="19" s="1"/>
  <c r="BJ432" i="19"/>
  <c r="BK432" i="19" s="1"/>
  <c r="BJ433" i="19"/>
  <c r="BO433" i="19" s="1"/>
  <c r="BJ434" i="19"/>
  <c r="BK434" i="19" s="1"/>
  <c r="BJ435" i="19"/>
  <c r="BK435" i="19" s="1"/>
  <c r="BJ436" i="19"/>
  <c r="BK436" i="19" s="1"/>
  <c r="BJ437" i="19"/>
  <c r="BK437" i="19" s="1"/>
  <c r="BJ438" i="19"/>
  <c r="BJ439" i="19"/>
  <c r="BJ440" i="19"/>
  <c r="BJ441" i="19"/>
  <c r="BK441" i="19" s="1"/>
  <c r="BJ442" i="19"/>
  <c r="BJ443" i="19"/>
  <c r="BK443" i="19" s="1"/>
  <c r="BJ444" i="19"/>
  <c r="BK444" i="19" s="1"/>
  <c r="BJ446" i="19"/>
  <c r="BJ447" i="19"/>
  <c r="BK447" i="19" s="1"/>
  <c r="BJ448" i="19"/>
  <c r="BJ451" i="19"/>
  <c r="BJ452" i="19"/>
  <c r="BJ453" i="19"/>
  <c r="BJ456" i="19"/>
  <c r="BK456" i="19" s="1"/>
  <c r="BJ459" i="19"/>
  <c r="BJ461" i="19"/>
  <c r="BK461" i="19" s="1"/>
  <c r="BJ462" i="19"/>
  <c r="BJ464" i="19"/>
  <c r="BJ465" i="19"/>
  <c r="BK465" i="19" s="1"/>
  <c r="BJ466" i="19"/>
  <c r="BJ468" i="19"/>
  <c r="BJ472" i="19"/>
  <c r="BJ473" i="19"/>
  <c r="BK473" i="19" s="1"/>
  <c r="BJ474" i="19"/>
  <c r="BJ475" i="19"/>
  <c r="BK475" i="19" s="1"/>
  <c r="BJ476" i="19"/>
  <c r="BK476" i="19" s="1"/>
  <c r="BJ477" i="19"/>
  <c r="BK477" i="19" s="1"/>
  <c r="BJ478" i="19"/>
  <c r="BJ479" i="19"/>
  <c r="BJ480" i="19"/>
  <c r="BJ481" i="19"/>
  <c r="BJ482" i="19"/>
  <c r="BK482" i="19" s="1"/>
  <c r="BJ489" i="19"/>
  <c r="BJ490" i="19"/>
  <c r="BK490" i="19" s="1"/>
  <c r="BJ491" i="19"/>
  <c r="BK491" i="19" s="1"/>
  <c r="BJ492" i="19"/>
  <c r="BK492" i="19" s="1"/>
  <c r="BJ493" i="19"/>
  <c r="BK493" i="19" s="1"/>
  <c r="BJ494" i="19"/>
  <c r="BJ495" i="19"/>
  <c r="BJ496" i="19"/>
  <c r="BJ497" i="19"/>
  <c r="BK497" i="19" s="1"/>
  <c r="BJ498" i="19"/>
  <c r="BK498" i="19" s="1"/>
  <c r="BJ499" i="19"/>
  <c r="BK499" i="19" s="1"/>
  <c r="BJ500" i="19"/>
  <c r="BJ501" i="19"/>
  <c r="BO501" i="19" s="1"/>
  <c r="BJ502" i="19"/>
  <c r="BJ503" i="19"/>
  <c r="BJ504" i="19"/>
  <c r="BK504" i="19" s="1"/>
  <c r="BJ505" i="19"/>
  <c r="BK505" i="19" s="1"/>
  <c r="BJ562" i="19"/>
  <c r="BK562" i="19" s="1"/>
  <c r="BJ564" i="19"/>
  <c r="BK564" i="19" s="1"/>
  <c r="BJ567" i="19"/>
  <c r="BJ569" i="19"/>
  <c r="BJ570" i="19"/>
  <c r="BK570" i="19" s="1"/>
  <c r="BJ571" i="19"/>
  <c r="BJ572" i="19"/>
  <c r="BK572" i="19" s="1"/>
  <c r="BJ573" i="19"/>
  <c r="BK573" i="19" s="1"/>
  <c r="BJ576" i="19"/>
  <c r="BK576" i="19" s="1"/>
  <c r="BJ577" i="19"/>
  <c r="BK577" i="19" s="1"/>
  <c r="BJ578" i="19"/>
  <c r="BK578" i="19" s="1"/>
  <c r="BJ579" i="19"/>
  <c r="BJ582" i="19"/>
  <c r="BJ583" i="19"/>
  <c r="BK583" i="19" s="1"/>
  <c r="BJ584" i="19"/>
  <c r="BJ585" i="19"/>
  <c r="BK585" i="19" s="1"/>
  <c r="BJ7" i="19"/>
  <c r="BF8" i="19"/>
  <c r="BH8" i="19" s="1"/>
  <c r="BF10" i="19"/>
  <c r="BH10" i="19" s="1"/>
  <c r="BF11" i="19"/>
  <c r="BF12" i="19"/>
  <c r="BH12" i="19" s="1"/>
  <c r="BF13" i="19"/>
  <c r="BH13" i="19" s="1"/>
  <c r="BF14" i="19"/>
  <c r="BF15" i="19"/>
  <c r="BH15" i="19" s="1"/>
  <c r="BF16" i="19"/>
  <c r="BH16" i="19" s="1"/>
  <c r="BF17" i="19"/>
  <c r="BH17" i="19" s="1"/>
  <c r="BF18" i="19"/>
  <c r="BH18" i="19" s="1"/>
  <c r="BF19" i="19"/>
  <c r="BF20" i="19"/>
  <c r="BH20" i="19" s="1"/>
  <c r="BF21" i="19"/>
  <c r="BH21" i="19" s="1"/>
  <c r="BF22" i="19"/>
  <c r="BH22" i="19" s="1"/>
  <c r="BF23" i="19"/>
  <c r="BF24" i="19"/>
  <c r="BH24" i="19" s="1"/>
  <c r="BF67" i="19"/>
  <c r="BH67" i="19" s="1"/>
  <c r="BF68" i="19"/>
  <c r="BF69" i="19"/>
  <c r="BH69" i="19" s="1"/>
  <c r="BF70" i="19"/>
  <c r="BH70" i="19" s="1"/>
  <c r="BF71" i="19"/>
  <c r="BH71" i="19" s="1"/>
  <c r="BF72" i="19"/>
  <c r="BF73" i="19"/>
  <c r="BH73" i="19" s="1"/>
  <c r="BF74" i="19"/>
  <c r="BH74" i="19" s="1"/>
  <c r="BF75" i="19"/>
  <c r="BH75" i="19" s="1"/>
  <c r="BF76" i="19"/>
  <c r="BF77" i="19"/>
  <c r="BH77" i="19" s="1"/>
  <c r="BF78" i="19"/>
  <c r="BH78" i="19" s="1"/>
  <c r="BF79" i="19"/>
  <c r="BF80" i="19"/>
  <c r="BH80" i="19" s="1"/>
  <c r="BF81" i="19"/>
  <c r="BH81" i="19" s="1"/>
  <c r="BF82" i="19"/>
  <c r="BH82" i="19" s="1"/>
  <c r="BF83" i="19"/>
  <c r="BH83" i="19" s="1"/>
  <c r="BF84" i="19"/>
  <c r="BH84" i="19" s="1"/>
  <c r="BF85" i="19"/>
  <c r="BH85" i="19" s="1"/>
  <c r="BF86" i="19"/>
  <c r="BH86" i="19" s="1"/>
  <c r="BF87" i="19"/>
  <c r="BH87" i="19" s="1"/>
  <c r="BF88" i="19"/>
  <c r="BH88" i="19" s="1"/>
  <c r="BF89" i="19"/>
  <c r="BH89" i="19" s="1"/>
  <c r="BF90" i="19"/>
  <c r="BH90" i="19" s="1"/>
  <c r="BF91" i="19"/>
  <c r="BH91" i="19" s="1"/>
  <c r="BF92" i="19"/>
  <c r="BH92" i="19" s="1"/>
  <c r="BF93" i="19"/>
  <c r="BH93" i="19" s="1"/>
  <c r="BF94" i="19"/>
  <c r="BH94" i="19" s="1"/>
  <c r="BF95" i="19"/>
  <c r="BH95" i="19" s="1"/>
  <c r="BF96" i="19"/>
  <c r="BH96" i="19" s="1"/>
  <c r="BF97" i="19"/>
  <c r="BH97" i="19" s="1"/>
  <c r="BF98" i="19"/>
  <c r="BH98" i="19" s="1"/>
  <c r="BF99" i="19"/>
  <c r="BH99" i="19" s="1"/>
  <c r="BF100" i="19"/>
  <c r="BH100" i="19" s="1"/>
  <c r="BF101" i="19"/>
  <c r="BH101" i="19" s="1"/>
  <c r="BF102" i="19"/>
  <c r="BH102" i="19" s="1"/>
  <c r="BF103" i="19"/>
  <c r="BF104" i="19"/>
  <c r="BF111" i="19"/>
  <c r="BF122" i="19"/>
  <c r="BH122" i="19" s="1"/>
  <c r="BF123" i="19"/>
  <c r="BH123" i="19" s="1"/>
  <c r="BF124" i="19"/>
  <c r="BH124" i="19" s="1"/>
  <c r="BF125" i="19"/>
  <c r="BH125" i="19" s="1"/>
  <c r="BF126" i="19"/>
  <c r="BH126" i="19" s="1"/>
  <c r="BF127" i="19"/>
  <c r="BH127" i="19" s="1"/>
  <c r="BF128" i="19"/>
  <c r="BH128" i="19" s="1"/>
  <c r="BF129" i="19"/>
  <c r="BH129" i="19" s="1"/>
  <c r="BF130" i="19"/>
  <c r="BH130" i="19" s="1"/>
  <c r="BF170" i="19"/>
  <c r="BH170" i="19" s="1"/>
  <c r="BF171" i="19"/>
  <c r="BH171" i="19" s="1"/>
  <c r="BF172" i="19"/>
  <c r="BH172" i="19" s="1"/>
  <c r="BF173" i="19"/>
  <c r="BH173" i="19" s="1"/>
  <c r="BF194" i="19"/>
  <c r="BH194" i="19" s="1"/>
  <c r="BF195" i="19"/>
  <c r="BF196" i="19"/>
  <c r="BH196" i="19" s="1"/>
  <c r="BF197" i="19"/>
  <c r="BH197" i="19" s="1"/>
  <c r="BF198" i="19"/>
  <c r="BH198" i="19" s="1"/>
  <c r="BF199" i="19"/>
  <c r="BH199" i="19" s="1"/>
  <c r="BF200" i="19"/>
  <c r="BF201" i="19"/>
  <c r="BH201" i="19" s="1"/>
  <c r="BF202" i="19"/>
  <c r="BH202" i="19" s="1"/>
  <c r="BF203" i="19"/>
  <c r="BH203" i="19" s="1"/>
  <c r="BF204" i="19"/>
  <c r="BH204" i="19" s="1"/>
  <c r="BF205" i="19"/>
  <c r="BH205" i="19" s="1"/>
  <c r="BF206" i="19"/>
  <c r="BH206" i="19" s="1"/>
  <c r="BF207" i="19"/>
  <c r="BH207" i="19" s="1"/>
  <c r="BF208" i="19"/>
  <c r="BH208" i="19" s="1"/>
  <c r="BF209" i="19"/>
  <c r="BH209" i="19" s="1"/>
  <c r="BF210" i="19"/>
  <c r="BH210" i="19" s="1"/>
  <c r="BF211" i="19"/>
  <c r="BH211" i="19" s="1"/>
  <c r="BF212" i="19"/>
  <c r="BH212" i="19" s="1"/>
  <c r="BF213" i="19"/>
  <c r="BH213" i="19" s="1"/>
  <c r="BF214" i="19"/>
  <c r="BH214" i="19" s="1"/>
  <c r="BF215" i="19"/>
  <c r="BH215" i="19" s="1"/>
  <c r="BF216" i="19"/>
  <c r="BH216" i="19" s="1"/>
  <c r="BF217" i="19"/>
  <c r="BH217" i="19" s="1"/>
  <c r="BF218" i="19"/>
  <c r="BH218" i="19" s="1"/>
  <c r="BF219" i="19"/>
  <c r="BH219" i="19" s="1"/>
  <c r="BF220" i="19"/>
  <c r="BH220" i="19" s="1"/>
  <c r="BF221" i="19"/>
  <c r="BH221" i="19" s="1"/>
  <c r="BF222" i="19"/>
  <c r="BF223" i="19"/>
  <c r="BH223" i="19" s="1"/>
  <c r="BF224" i="19"/>
  <c r="BH224" i="19" s="1"/>
  <c r="BF225" i="19"/>
  <c r="BH225" i="19" s="1"/>
  <c r="BF226" i="19"/>
  <c r="BH226" i="19" s="1"/>
  <c r="BF227" i="19"/>
  <c r="BH227" i="19" s="1"/>
  <c r="BF228" i="19"/>
  <c r="BF229" i="19"/>
  <c r="BH229" i="19" s="1"/>
  <c r="BF230" i="19"/>
  <c r="BF231" i="19"/>
  <c r="BH231" i="19" s="1"/>
  <c r="BF232" i="19"/>
  <c r="BH232" i="19" s="1"/>
  <c r="BF233" i="19"/>
  <c r="BH233" i="19" s="1"/>
  <c r="BF234" i="19"/>
  <c r="BH234" i="19" s="1"/>
  <c r="BF235" i="19"/>
  <c r="BH235" i="19" s="1"/>
  <c r="BF236" i="19"/>
  <c r="BH236" i="19" s="1"/>
  <c r="BF237" i="19"/>
  <c r="BH237" i="19" s="1"/>
  <c r="BF238" i="19"/>
  <c r="BH238" i="19" s="1"/>
  <c r="BF239" i="19"/>
  <c r="BH239" i="19" s="1"/>
  <c r="BF240" i="19"/>
  <c r="BH240" i="19" s="1"/>
  <c r="BF241" i="19"/>
  <c r="BH241" i="19" s="1"/>
  <c r="BF242" i="19"/>
  <c r="BH242" i="19" s="1"/>
  <c r="BF243" i="19"/>
  <c r="BH243" i="19" s="1"/>
  <c r="BF244" i="19"/>
  <c r="BH244" i="19" s="1"/>
  <c r="BF245" i="19"/>
  <c r="BH245" i="19" s="1"/>
  <c r="BF246" i="19"/>
  <c r="BH246" i="19" s="1"/>
  <c r="BF247" i="19"/>
  <c r="BH247" i="19" s="1"/>
  <c r="BF248" i="19"/>
  <c r="BH248" i="19" s="1"/>
  <c r="BF249" i="19"/>
  <c r="BH249" i="19" s="1"/>
  <c r="BF250" i="19"/>
  <c r="BH250" i="19" s="1"/>
  <c r="BF251" i="19"/>
  <c r="BH251" i="19" s="1"/>
  <c r="BF252" i="19"/>
  <c r="BH252" i="19" s="1"/>
  <c r="BF253" i="19"/>
  <c r="BH253" i="19" s="1"/>
  <c r="BF266" i="19"/>
  <c r="BH266" i="19" s="1"/>
  <c r="BF267" i="19"/>
  <c r="BF268" i="19"/>
  <c r="BH268" i="19" s="1"/>
  <c r="BF269" i="19"/>
  <c r="BH269" i="19" s="1"/>
  <c r="BF270" i="19"/>
  <c r="BH270" i="19" s="1"/>
  <c r="BF271" i="19"/>
  <c r="BF272" i="19"/>
  <c r="BH272" i="19" s="1"/>
  <c r="BF273" i="19"/>
  <c r="BF274" i="19"/>
  <c r="BH274" i="19" s="1"/>
  <c r="BF275" i="19"/>
  <c r="BH275" i="19" s="1"/>
  <c r="BF276" i="19"/>
  <c r="BH276" i="19" s="1"/>
  <c r="BF277" i="19"/>
  <c r="BH277" i="19" s="1"/>
  <c r="BF278" i="19"/>
  <c r="BH278" i="19" s="1"/>
  <c r="BF279" i="19"/>
  <c r="BH279" i="19" s="1"/>
  <c r="BF280" i="19"/>
  <c r="BF281" i="19"/>
  <c r="BH281" i="19" s="1"/>
  <c r="BF282" i="19"/>
  <c r="BH282" i="19" s="1"/>
  <c r="BF283" i="19"/>
  <c r="BH283" i="19" s="1"/>
  <c r="BF284" i="19"/>
  <c r="BH284" i="19" s="1"/>
  <c r="BF285" i="19"/>
  <c r="BH285" i="19" s="1"/>
  <c r="BF286" i="19"/>
  <c r="BH286" i="19" s="1"/>
  <c r="BF287" i="19"/>
  <c r="BH287" i="19" s="1"/>
  <c r="BF288" i="19"/>
  <c r="BF289" i="19"/>
  <c r="BH289" i="19" s="1"/>
  <c r="BF290" i="19"/>
  <c r="BH290" i="19" s="1"/>
  <c r="BF291" i="19"/>
  <c r="BH291" i="19" s="1"/>
  <c r="BF292" i="19"/>
  <c r="BF293" i="19"/>
  <c r="BH293" i="19" s="1"/>
  <c r="BF294" i="19"/>
  <c r="BH294" i="19" s="1"/>
  <c r="BF295" i="19"/>
  <c r="BH295" i="19" s="1"/>
  <c r="BF296" i="19"/>
  <c r="BH296" i="19" s="1"/>
  <c r="BF297" i="19"/>
  <c r="BH297" i="19" s="1"/>
  <c r="BF298" i="19"/>
  <c r="BH298" i="19" s="1"/>
  <c r="BF299" i="19"/>
  <c r="BH299" i="19" s="1"/>
  <c r="BF300" i="19"/>
  <c r="BH300" i="19" s="1"/>
  <c r="BF301" i="19"/>
  <c r="BH301" i="19" s="1"/>
  <c r="BF302" i="19"/>
  <c r="BH302" i="19" s="1"/>
  <c r="BF303" i="19"/>
  <c r="BH303" i="19" s="1"/>
  <c r="BF304" i="19"/>
  <c r="BH304" i="19" s="1"/>
  <c r="BF305" i="19"/>
  <c r="BH305" i="19" s="1"/>
  <c r="BF306" i="19"/>
  <c r="BH306" i="19" s="1"/>
  <c r="BF307" i="19"/>
  <c r="BH307" i="19" s="1"/>
  <c r="BF308" i="19"/>
  <c r="BH308" i="19" s="1"/>
  <c r="BF309" i="19"/>
  <c r="BH309" i="19" s="1"/>
  <c r="BF310" i="19"/>
  <c r="BH310" i="19" s="1"/>
  <c r="BF311" i="19"/>
  <c r="BF312" i="19"/>
  <c r="BH312" i="19" s="1"/>
  <c r="BF313" i="19"/>
  <c r="BH313" i="19" s="1"/>
  <c r="BF314" i="19"/>
  <c r="BH314" i="19" s="1"/>
  <c r="BF315" i="19"/>
  <c r="BH315" i="19" s="1"/>
  <c r="BF316" i="19"/>
  <c r="BF317" i="19"/>
  <c r="BH317" i="19" s="1"/>
  <c r="BF318" i="19"/>
  <c r="BH318" i="19" s="1"/>
  <c r="BF319" i="19"/>
  <c r="BF320" i="19"/>
  <c r="BH320" i="19" s="1"/>
  <c r="BF321" i="19"/>
  <c r="BH321" i="19" s="1"/>
  <c r="BF322" i="19"/>
  <c r="BH322" i="19" s="1"/>
  <c r="BF323" i="19"/>
  <c r="BH323" i="19" s="1"/>
  <c r="BF324" i="19"/>
  <c r="BF325" i="19"/>
  <c r="BF404" i="19"/>
  <c r="BH404" i="19" s="1"/>
  <c r="BF405" i="19"/>
  <c r="BH405" i="19" s="1"/>
  <c r="BF406" i="19"/>
  <c r="BF407" i="19"/>
  <c r="BH407" i="19" s="1"/>
  <c r="BF408" i="19"/>
  <c r="BH408" i="19" s="1"/>
  <c r="BF409" i="19"/>
  <c r="BH409" i="19" s="1"/>
  <c r="BF410" i="19"/>
  <c r="BH410" i="19" s="1"/>
  <c r="BF411" i="19"/>
  <c r="BF412" i="19"/>
  <c r="BH412" i="19" s="1"/>
  <c r="BF413" i="19"/>
  <c r="BH413" i="19" s="1"/>
  <c r="BF414" i="19"/>
  <c r="BH414" i="19" s="1"/>
  <c r="BF415" i="19"/>
  <c r="BF416" i="19"/>
  <c r="BH416" i="19" s="1"/>
  <c r="BF417" i="19"/>
  <c r="BH417" i="19" s="1"/>
  <c r="BF418" i="19"/>
  <c r="BH418" i="19" s="1"/>
  <c r="BF419" i="19"/>
  <c r="BH419" i="19" s="1"/>
  <c r="BF420" i="19"/>
  <c r="BH420" i="19" s="1"/>
  <c r="BF421" i="19"/>
  <c r="BH421" i="19" s="1"/>
  <c r="BF422" i="19"/>
  <c r="BH422" i="19" s="1"/>
  <c r="BF423" i="19"/>
  <c r="BH423" i="19" s="1"/>
  <c r="BF431" i="19"/>
  <c r="BH431" i="19" s="1"/>
  <c r="BF432" i="19"/>
  <c r="BH432" i="19" s="1"/>
  <c r="BF433" i="19"/>
  <c r="BH433" i="19" s="1"/>
  <c r="BF434" i="19"/>
  <c r="BF435" i="19"/>
  <c r="BH435" i="19" s="1"/>
  <c r="BF436" i="19"/>
  <c r="BH436" i="19" s="1"/>
  <c r="BF437" i="19"/>
  <c r="BF438" i="19"/>
  <c r="BH438" i="19" s="1"/>
  <c r="BF439" i="19"/>
  <c r="BH439" i="19" s="1"/>
  <c r="BF440" i="19"/>
  <c r="BH440" i="19" s="1"/>
  <c r="BF441" i="19"/>
  <c r="BF442" i="19"/>
  <c r="BH442" i="19" s="1"/>
  <c r="BF443" i="19"/>
  <c r="BH443" i="19" s="1"/>
  <c r="BF444" i="19"/>
  <c r="BH444" i="19" s="1"/>
  <c r="BF446" i="19"/>
  <c r="BF447" i="19"/>
  <c r="BH447" i="19" s="1"/>
  <c r="BF448" i="19"/>
  <c r="BH448" i="19" s="1"/>
  <c r="BF451" i="19"/>
  <c r="BH451" i="19" s="1"/>
  <c r="BF452" i="19"/>
  <c r="BH452" i="19" s="1"/>
  <c r="BF453" i="19"/>
  <c r="BH453" i="19" s="1"/>
  <c r="BF456" i="19"/>
  <c r="BH456" i="19" s="1"/>
  <c r="BF459" i="19"/>
  <c r="BH459" i="19" s="1"/>
  <c r="BF461" i="19"/>
  <c r="BH461" i="19" s="1"/>
  <c r="BF462" i="19"/>
  <c r="BH462" i="19" s="1"/>
  <c r="BF464" i="19"/>
  <c r="BF465" i="19"/>
  <c r="BH465" i="19" s="1"/>
  <c r="BF466" i="19"/>
  <c r="BF468" i="19"/>
  <c r="BF472" i="19"/>
  <c r="BH472" i="19" s="1"/>
  <c r="BF473" i="19"/>
  <c r="BH473" i="19" s="1"/>
  <c r="BF474" i="19"/>
  <c r="BF475" i="19"/>
  <c r="BH475" i="19" s="1"/>
  <c r="BF476" i="19"/>
  <c r="BH476" i="19" s="1"/>
  <c r="BF477" i="19"/>
  <c r="BH477" i="19" s="1"/>
  <c r="BF478" i="19"/>
  <c r="BH478" i="19" s="1"/>
  <c r="BF479" i="19"/>
  <c r="BH479" i="19" s="1"/>
  <c r="BF480" i="19"/>
  <c r="BH480" i="19" s="1"/>
  <c r="BF481" i="19"/>
  <c r="BF482" i="19"/>
  <c r="BH482" i="19" s="1"/>
  <c r="BF489" i="19"/>
  <c r="BH489" i="19" s="1"/>
  <c r="BF490" i="19"/>
  <c r="BH490" i="19" s="1"/>
  <c r="BF491" i="19"/>
  <c r="BH491" i="19" s="1"/>
  <c r="BF492" i="19"/>
  <c r="BF493" i="19"/>
  <c r="BH493" i="19" s="1"/>
  <c r="BF494" i="19"/>
  <c r="BH494" i="19" s="1"/>
  <c r="BF495" i="19"/>
  <c r="BH495" i="19" s="1"/>
  <c r="BF496" i="19"/>
  <c r="BH496" i="19" s="1"/>
  <c r="BF497" i="19"/>
  <c r="BH497" i="19" s="1"/>
  <c r="BF498" i="19"/>
  <c r="BH498" i="19" s="1"/>
  <c r="BF499" i="19"/>
  <c r="BH499" i="19" s="1"/>
  <c r="BF500" i="19"/>
  <c r="BH500" i="19" s="1"/>
  <c r="BF501" i="19"/>
  <c r="BH501" i="19" s="1"/>
  <c r="BF502" i="19"/>
  <c r="BH502" i="19" s="1"/>
  <c r="BF503" i="19"/>
  <c r="BH503" i="19" s="1"/>
  <c r="BF504" i="19"/>
  <c r="BH504" i="19" s="1"/>
  <c r="BF505" i="19"/>
  <c r="BH505" i="19" s="1"/>
  <c r="BF562" i="19"/>
  <c r="BF564" i="19"/>
  <c r="BF567" i="19"/>
  <c r="BH567" i="19" s="1"/>
  <c r="BF569" i="19"/>
  <c r="BH569" i="19" s="1"/>
  <c r="BF570" i="19"/>
  <c r="BH570" i="19" s="1"/>
  <c r="BF571" i="19"/>
  <c r="BH571" i="19" s="1"/>
  <c r="BF572" i="19"/>
  <c r="BF573" i="19"/>
  <c r="BH573" i="19" s="1"/>
  <c r="BF576" i="19"/>
  <c r="BH576" i="19" s="1"/>
  <c r="BF577" i="19"/>
  <c r="BH577" i="19" s="1"/>
  <c r="BF578" i="19"/>
  <c r="BF579" i="19"/>
  <c r="BF582" i="19"/>
  <c r="BH582" i="19" s="1"/>
  <c r="BF583" i="19"/>
  <c r="BF584" i="19"/>
  <c r="BH584" i="19" s="1"/>
  <c r="BF585" i="19"/>
  <c r="BF7" i="19"/>
  <c r="BH7" i="19" s="1"/>
  <c r="BD8" i="19"/>
  <c r="BD10" i="19"/>
  <c r="BD11" i="19"/>
  <c r="BD12" i="19"/>
  <c r="BD13" i="19"/>
  <c r="BD14" i="19"/>
  <c r="BD15" i="19"/>
  <c r="BD16" i="19"/>
  <c r="BD17" i="19"/>
  <c r="BD18" i="19"/>
  <c r="BD19" i="19"/>
  <c r="BD20" i="19"/>
  <c r="BD21" i="19"/>
  <c r="BD22" i="19"/>
  <c r="BD23" i="19"/>
  <c r="BD24" i="19"/>
  <c r="BD67" i="19"/>
  <c r="BD68" i="19"/>
  <c r="BD69" i="19"/>
  <c r="BD70" i="19"/>
  <c r="BD71" i="19"/>
  <c r="BD72" i="19"/>
  <c r="BD73" i="19"/>
  <c r="BD74" i="19"/>
  <c r="BD75" i="19"/>
  <c r="BD76" i="19"/>
  <c r="BD77" i="19"/>
  <c r="BD78" i="19"/>
  <c r="BD79" i="19"/>
  <c r="BD80" i="19"/>
  <c r="BD81" i="19"/>
  <c r="BD82" i="19"/>
  <c r="BD83" i="19"/>
  <c r="BD84" i="19"/>
  <c r="BD85" i="19"/>
  <c r="BD86" i="19"/>
  <c r="BD87" i="19"/>
  <c r="BD88" i="19"/>
  <c r="BD89" i="19"/>
  <c r="BD90" i="19"/>
  <c r="BD91" i="19"/>
  <c r="BD92" i="19"/>
  <c r="BD93" i="19"/>
  <c r="BD94" i="19"/>
  <c r="BD95" i="19"/>
  <c r="BD96" i="19"/>
  <c r="BD97" i="19"/>
  <c r="BD98" i="19"/>
  <c r="BD99" i="19"/>
  <c r="BD100" i="19"/>
  <c r="BD101" i="19"/>
  <c r="BD102" i="19"/>
  <c r="BD103" i="19"/>
  <c r="BD104" i="19"/>
  <c r="BD111" i="19"/>
  <c r="BD122" i="19"/>
  <c r="BD123" i="19"/>
  <c r="BD124" i="19"/>
  <c r="BD125" i="19"/>
  <c r="BD126" i="19"/>
  <c r="BD127" i="19"/>
  <c r="BD128" i="19"/>
  <c r="BD129" i="19"/>
  <c r="BD130" i="19"/>
  <c r="BD170" i="19"/>
  <c r="BE170" i="19" s="1"/>
  <c r="BD171" i="19"/>
  <c r="BD172" i="19"/>
  <c r="BE172" i="19" s="1"/>
  <c r="BD173" i="19"/>
  <c r="BE173" i="19" s="1"/>
  <c r="BD194" i="19"/>
  <c r="BD195" i="19"/>
  <c r="BE195" i="19" s="1"/>
  <c r="BD196" i="19"/>
  <c r="BE196" i="19" s="1"/>
  <c r="BD197" i="19"/>
  <c r="BE197" i="19" s="1"/>
  <c r="BD198" i="19"/>
  <c r="BD199" i="19"/>
  <c r="BE199" i="19" s="1"/>
  <c r="BD200" i="19"/>
  <c r="BE200" i="19" s="1"/>
  <c r="BD201" i="19"/>
  <c r="BD202" i="19"/>
  <c r="BE202" i="19" s="1"/>
  <c r="BD203" i="19"/>
  <c r="BE203" i="19" s="1"/>
  <c r="BD204" i="19"/>
  <c r="BE204" i="19" s="1"/>
  <c r="BD205" i="19"/>
  <c r="BD206" i="19"/>
  <c r="BE206" i="19" s="1"/>
  <c r="BD207" i="19"/>
  <c r="BE207" i="19" s="1"/>
  <c r="BD208" i="19"/>
  <c r="BE208" i="19" s="1"/>
  <c r="BD209" i="19"/>
  <c r="BE209" i="19" s="1"/>
  <c r="BD210" i="19"/>
  <c r="BE210" i="19" s="1"/>
  <c r="BD211" i="19"/>
  <c r="BE211" i="19" s="1"/>
  <c r="BD212" i="19"/>
  <c r="BD213" i="19"/>
  <c r="BE213" i="19" s="1"/>
  <c r="BD214" i="19"/>
  <c r="BD215" i="19"/>
  <c r="BE215" i="19" s="1"/>
  <c r="BD216" i="19"/>
  <c r="BD217" i="19"/>
  <c r="BE217" i="19" s="1"/>
  <c r="BD218" i="19"/>
  <c r="BE218" i="19" s="1"/>
  <c r="BD219" i="19"/>
  <c r="BD220" i="19"/>
  <c r="BE220" i="19" s="1"/>
  <c r="BD221" i="19"/>
  <c r="BE221" i="19" s="1"/>
  <c r="BD222" i="19"/>
  <c r="BE222" i="19" s="1"/>
  <c r="BD223" i="19"/>
  <c r="BE223" i="19" s="1"/>
  <c r="BD224" i="19"/>
  <c r="BE224" i="19" s="1"/>
  <c r="BD225" i="19"/>
  <c r="BE225" i="19" s="1"/>
  <c r="BD226" i="19"/>
  <c r="BE226" i="19" s="1"/>
  <c r="BD227" i="19"/>
  <c r="BE227" i="19" s="1"/>
  <c r="BD228" i="19"/>
  <c r="BE228" i="19" s="1"/>
  <c r="BD229" i="19"/>
  <c r="BE229" i="19" s="1"/>
  <c r="BD230" i="19"/>
  <c r="BD231" i="19"/>
  <c r="BE231" i="19" s="1"/>
  <c r="BD232" i="19"/>
  <c r="BE232" i="19" s="1"/>
  <c r="BD233" i="19"/>
  <c r="BD234" i="19"/>
  <c r="BE234" i="19" s="1"/>
  <c r="BD235" i="19"/>
  <c r="BD236" i="19"/>
  <c r="BE236" i="19" s="1"/>
  <c r="BD237" i="19"/>
  <c r="BE237" i="19" s="1"/>
  <c r="BD238" i="19"/>
  <c r="BD239" i="19"/>
  <c r="BD240" i="19"/>
  <c r="BE240" i="19" s="1"/>
  <c r="BD241" i="19"/>
  <c r="BE241" i="19" s="1"/>
  <c r="BD242" i="19"/>
  <c r="BE242" i="19" s="1"/>
  <c r="BD243" i="19"/>
  <c r="BE243" i="19" s="1"/>
  <c r="BD244" i="19"/>
  <c r="BE244" i="19" s="1"/>
  <c r="BD245" i="19"/>
  <c r="BD246" i="19"/>
  <c r="BE246" i="19" s="1"/>
  <c r="BD247" i="19"/>
  <c r="BE247" i="19" s="1"/>
  <c r="BD248" i="19"/>
  <c r="BE248" i="19" s="1"/>
  <c r="BD249" i="19"/>
  <c r="BE249" i="19" s="1"/>
  <c r="BD250" i="19"/>
  <c r="BE250" i="19" s="1"/>
  <c r="BD251" i="19"/>
  <c r="BE251" i="19" s="1"/>
  <c r="BD252" i="19"/>
  <c r="BD253" i="19"/>
  <c r="BE253" i="19" s="1"/>
  <c r="BD266" i="19"/>
  <c r="BD267" i="19"/>
  <c r="BD268" i="19"/>
  <c r="BD269" i="19"/>
  <c r="BE269" i="19" s="1"/>
  <c r="BD270" i="19"/>
  <c r="BE270" i="19" s="1"/>
  <c r="BD271" i="19"/>
  <c r="BD272" i="19"/>
  <c r="BE272" i="19" s="1"/>
  <c r="BD273" i="19"/>
  <c r="BE273" i="19" s="1"/>
  <c r="BD274" i="19"/>
  <c r="BE274" i="19" s="1"/>
  <c r="BD275" i="19"/>
  <c r="BD276" i="19"/>
  <c r="BE276" i="19" s="1"/>
  <c r="BD277" i="19"/>
  <c r="BE277" i="19" s="1"/>
  <c r="BD278" i="19"/>
  <c r="BD279" i="19"/>
  <c r="BD280" i="19"/>
  <c r="BE280" i="19" s="1"/>
  <c r="BD281" i="19"/>
  <c r="BE281" i="19" s="1"/>
  <c r="BD282" i="19"/>
  <c r="BE282" i="19" s="1"/>
  <c r="BD283" i="19"/>
  <c r="BD284" i="19"/>
  <c r="BE284" i="19" s="1"/>
  <c r="BD285" i="19"/>
  <c r="BD286" i="19"/>
  <c r="BE286" i="19" s="1"/>
  <c r="BD287" i="19"/>
  <c r="BD288" i="19"/>
  <c r="BE288" i="19" s="1"/>
  <c r="BD289" i="19"/>
  <c r="BE289" i="19" s="1"/>
  <c r="BD290" i="19"/>
  <c r="BE290" i="19" s="1"/>
  <c r="BD291" i="19"/>
  <c r="BD292" i="19"/>
  <c r="BE292" i="19" s="1"/>
  <c r="BD293" i="19"/>
  <c r="BD294" i="19"/>
  <c r="BE294" i="19" s="1"/>
  <c r="BD295" i="19"/>
  <c r="BE295" i="19" s="1"/>
  <c r="BD296" i="19"/>
  <c r="BD297" i="19"/>
  <c r="BE297" i="19" s="1"/>
  <c r="BD298" i="19"/>
  <c r="BE298" i="19" s="1"/>
  <c r="BD299" i="19"/>
  <c r="BE299" i="19" s="1"/>
  <c r="BD300" i="19"/>
  <c r="BD301" i="19"/>
  <c r="BE301" i="19" s="1"/>
  <c r="BD302" i="19"/>
  <c r="BE302" i="19" s="1"/>
  <c r="BD303" i="19"/>
  <c r="BD304" i="19"/>
  <c r="BE304" i="19" s="1"/>
  <c r="BD305" i="19"/>
  <c r="BE305" i="19" s="1"/>
  <c r="BD306" i="19"/>
  <c r="BD307" i="19"/>
  <c r="BE307" i="19" s="1"/>
  <c r="BD308" i="19"/>
  <c r="BD309" i="19"/>
  <c r="BE309" i="19" s="1"/>
  <c r="BD310" i="19"/>
  <c r="BE310" i="19" s="1"/>
  <c r="BD311" i="19"/>
  <c r="BE311" i="19" s="1"/>
  <c r="BD312" i="19"/>
  <c r="BE312" i="19" s="1"/>
  <c r="BD313" i="19"/>
  <c r="BE313" i="19" s="1"/>
  <c r="BD314" i="19"/>
  <c r="BE314" i="19" s="1"/>
  <c r="BD315" i="19"/>
  <c r="BE315" i="19" s="1"/>
  <c r="BD316" i="19"/>
  <c r="BE316" i="19" s="1"/>
  <c r="BD317" i="19"/>
  <c r="BD318" i="19"/>
  <c r="BD319" i="19"/>
  <c r="BE319" i="19" s="1"/>
  <c r="BD320" i="19"/>
  <c r="BE320" i="19" s="1"/>
  <c r="BD321" i="19"/>
  <c r="BE321" i="19" s="1"/>
  <c r="BD322" i="19"/>
  <c r="BD323" i="19"/>
  <c r="BD324" i="19"/>
  <c r="BD325" i="19"/>
  <c r="BE325" i="19" s="1"/>
  <c r="BD404" i="19"/>
  <c r="BE404" i="19" s="1"/>
  <c r="BD405" i="19"/>
  <c r="BE405" i="19" s="1"/>
  <c r="BD406" i="19"/>
  <c r="BE406" i="19" s="1"/>
  <c r="BD407" i="19"/>
  <c r="BE407" i="19" s="1"/>
  <c r="BD408" i="19"/>
  <c r="BE408" i="19" s="1"/>
  <c r="BD409" i="19"/>
  <c r="BE409" i="19" s="1"/>
  <c r="BD410" i="19"/>
  <c r="BD411" i="19"/>
  <c r="BE411" i="19" s="1"/>
  <c r="BD412" i="19"/>
  <c r="BD413" i="19"/>
  <c r="BE413" i="19" s="1"/>
  <c r="BD414" i="19"/>
  <c r="BD415" i="19"/>
  <c r="BE415" i="19" s="1"/>
  <c r="BD416" i="19"/>
  <c r="BE416" i="19" s="1"/>
  <c r="BD417" i="19"/>
  <c r="BE417" i="19" s="1"/>
  <c r="BD418" i="19"/>
  <c r="BE418" i="19" s="1"/>
  <c r="BD419" i="19"/>
  <c r="BE419" i="19" s="1"/>
  <c r="BD420" i="19"/>
  <c r="BE420" i="19" s="1"/>
  <c r="BD421" i="19"/>
  <c r="BD422" i="19"/>
  <c r="BE422" i="19" s="1"/>
  <c r="BD423" i="19"/>
  <c r="BE423" i="19" s="1"/>
  <c r="BD431" i="19"/>
  <c r="BD432" i="19"/>
  <c r="BE432" i="19" s="1"/>
  <c r="BD433" i="19"/>
  <c r="BE433" i="19" s="1"/>
  <c r="BD434" i="19"/>
  <c r="BE434" i="19" s="1"/>
  <c r="BD435" i="19"/>
  <c r="BE435" i="19" s="1"/>
  <c r="BD436" i="19"/>
  <c r="BE436" i="19" s="1"/>
  <c r="BD437" i="19"/>
  <c r="BE437" i="19" s="1"/>
  <c r="BD438" i="19"/>
  <c r="BD439" i="19"/>
  <c r="BE439" i="19" s="1"/>
  <c r="BD440" i="19"/>
  <c r="BD441" i="19"/>
  <c r="BD442" i="19"/>
  <c r="BE442" i="19" s="1"/>
  <c r="BD443" i="19"/>
  <c r="BD444" i="19"/>
  <c r="BD446" i="19"/>
  <c r="BE446" i="19" s="1"/>
  <c r="BD447" i="19"/>
  <c r="BE447" i="19" s="1"/>
  <c r="BD448" i="19"/>
  <c r="BE448" i="19" s="1"/>
  <c r="BD451" i="19"/>
  <c r="BE451" i="19" s="1"/>
  <c r="BD452" i="19"/>
  <c r="BE452" i="19" s="1"/>
  <c r="BD453" i="19"/>
  <c r="BD456" i="19"/>
  <c r="BE456" i="19" s="1"/>
  <c r="BD459" i="19"/>
  <c r="BD461" i="19"/>
  <c r="BD462" i="19"/>
  <c r="BD464" i="19"/>
  <c r="BE464" i="19" s="1"/>
  <c r="BD465" i="19"/>
  <c r="BE465" i="19" s="1"/>
  <c r="BD466" i="19"/>
  <c r="BE466" i="19" s="1"/>
  <c r="BD468" i="19"/>
  <c r="BE468" i="19" s="1"/>
  <c r="BD472" i="19"/>
  <c r="BE472" i="19" s="1"/>
  <c r="BD473" i="19"/>
  <c r="BE473" i="19" s="1"/>
  <c r="BD474" i="19"/>
  <c r="BE474" i="19" s="1"/>
  <c r="BD475" i="19"/>
  <c r="BE475" i="19" s="1"/>
  <c r="BD476" i="19"/>
  <c r="BE476" i="19" s="1"/>
  <c r="BD477" i="19"/>
  <c r="BD478" i="19"/>
  <c r="BD479" i="19"/>
  <c r="BD480" i="19"/>
  <c r="BD481" i="19"/>
  <c r="BE481" i="19" s="1"/>
  <c r="BD482" i="19"/>
  <c r="BE482" i="19" s="1"/>
  <c r="BD489" i="19"/>
  <c r="BE489" i="19" s="1"/>
  <c r="BD490" i="19"/>
  <c r="BE490" i="19" s="1"/>
  <c r="BD491" i="19"/>
  <c r="BE491" i="19" s="1"/>
  <c r="BD492" i="19"/>
  <c r="BE492" i="19" s="1"/>
  <c r="BD493" i="19"/>
  <c r="BD494" i="19"/>
  <c r="BE494" i="19" s="1"/>
  <c r="BD495" i="19"/>
  <c r="BE495" i="19" s="1"/>
  <c r="BD496" i="19"/>
  <c r="BD497" i="19"/>
  <c r="BD498" i="19"/>
  <c r="BE498" i="19" s="1"/>
  <c r="BD499" i="19"/>
  <c r="BE499" i="19" s="1"/>
  <c r="BD500" i="19"/>
  <c r="BE500" i="19" s="1"/>
  <c r="BD501" i="19"/>
  <c r="BE501" i="19" s="1"/>
  <c r="BD502" i="19"/>
  <c r="BE502" i="19" s="1"/>
  <c r="BD503" i="19"/>
  <c r="BE503" i="19" s="1"/>
  <c r="BD504" i="19"/>
  <c r="BD505" i="19"/>
  <c r="BD562" i="19"/>
  <c r="BD564" i="19"/>
  <c r="BD567" i="19"/>
  <c r="BE567" i="19" s="1"/>
  <c r="BD569" i="19"/>
  <c r="BD570" i="19"/>
  <c r="BD571" i="19"/>
  <c r="BE571" i="19" s="1"/>
  <c r="BD572" i="19"/>
  <c r="BE572" i="19" s="1"/>
  <c r="BD573" i="19"/>
  <c r="BD576" i="19"/>
  <c r="BE576" i="19" s="1"/>
  <c r="BD577" i="19"/>
  <c r="BE577" i="19" s="1"/>
  <c r="BD578" i="19"/>
  <c r="BE578" i="19" s="1"/>
  <c r="BD579" i="19"/>
  <c r="BD582" i="19"/>
  <c r="BD583" i="19"/>
  <c r="BD584" i="19"/>
  <c r="BD585" i="19"/>
  <c r="BD7" i="19"/>
  <c r="AZ8" i="19"/>
  <c r="BB8" i="19" s="1"/>
  <c r="AZ10" i="19"/>
  <c r="BB10" i="19" s="1"/>
  <c r="AZ11" i="19"/>
  <c r="BB11" i="19" s="1"/>
  <c r="AZ12" i="19"/>
  <c r="BB12" i="19" s="1"/>
  <c r="AZ13" i="19"/>
  <c r="BB13" i="19" s="1"/>
  <c r="AZ14" i="19"/>
  <c r="BB14" i="19" s="1"/>
  <c r="AZ15" i="19"/>
  <c r="BB15" i="19" s="1"/>
  <c r="AZ16" i="19"/>
  <c r="BB16" i="19" s="1"/>
  <c r="AZ17" i="19"/>
  <c r="BB17" i="19" s="1"/>
  <c r="AZ18" i="19"/>
  <c r="BB18" i="19" s="1"/>
  <c r="AZ19" i="19"/>
  <c r="BB19" i="19" s="1"/>
  <c r="AZ20" i="19"/>
  <c r="BB20" i="19" s="1"/>
  <c r="AZ21" i="19"/>
  <c r="BB21" i="19" s="1"/>
  <c r="AZ22" i="19"/>
  <c r="BB22" i="19" s="1"/>
  <c r="AZ23" i="19"/>
  <c r="AZ24" i="19"/>
  <c r="BB24" i="19" s="1"/>
  <c r="AZ67" i="19"/>
  <c r="BB67" i="19" s="1"/>
  <c r="AZ68" i="19"/>
  <c r="BB68" i="19" s="1"/>
  <c r="AZ69" i="19"/>
  <c r="BB69" i="19" s="1"/>
  <c r="AZ70" i="19"/>
  <c r="AZ71" i="19"/>
  <c r="BB71" i="19" s="1"/>
  <c r="AZ72" i="19"/>
  <c r="BB72" i="19" s="1"/>
  <c r="AZ73" i="19"/>
  <c r="BB73" i="19" s="1"/>
  <c r="AZ74" i="19"/>
  <c r="AZ75" i="19"/>
  <c r="BB75" i="19" s="1"/>
  <c r="AZ76" i="19"/>
  <c r="BB76" i="19" s="1"/>
  <c r="AZ77" i="19"/>
  <c r="AZ78" i="19"/>
  <c r="BB78" i="19" s="1"/>
  <c r="AZ79" i="19"/>
  <c r="BB79" i="19" s="1"/>
  <c r="AZ80" i="19"/>
  <c r="AZ81" i="19"/>
  <c r="AZ82" i="19"/>
  <c r="BB82" i="19" s="1"/>
  <c r="AZ83" i="19"/>
  <c r="BB83" i="19" s="1"/>
  <c r="AZ84" i="19"/>
  <c r="BB84" i="19" s="1"/>
  <c r="AZ85" i="19"/>
  <c r="BB85" i="19" s="1"/>
  <c r="AZ86" i="19"/>
  <c r="BB86" i="19" s="1"/>
  <c r="AZ87" i="19"/>
  <c r="BB87" i="19" s="1"/>
  <c r="AZ88" i="19"/>
  <c r="BB88" i="19" s="1"/>
  <c r="AZ89" i="19"/>
  <c r="BB89" i="19" s="1"/>
  <c r="AZ90" i="19"/>
  <c r="BB90" i="19" s="1"/>
  <c r="AZ91" i="19"/>
  <c r="BB91" i="19" s="1"/>
  <c r="AZ92" i="19"/>
  <c r="BB92" i="19" s="1"/>
  <c r="AZ93" i="19"/>
  <c r="BB93" i="19" s="1"/>
  <c r="AZ94" i="19"/>
  <c r="BB94" i="19" s="1"/>
  <c r="AZ95" i="19"/>
  <c r="BB95" i="19" s="1"/>
  <c r="AZ96" i="19"/>
  <c r="BB96" i="19" s="1"/>
  <c r="AZ97" i="19"/>
  <c r="BB97" i="19" s="1"/>
  <c r="AZ98" i="19"/>
  <c r="BB98" i="19" s="1"/>
  <c r="AZ99" i="19"/>
  <c r="BB99" i="19" s="1"/>
  <c r="AZ100" i="19"/>
  <c r="BB100" i="19" s="1"/>
  <c r="AZ101" i="19"/>
  <c r="AZ102" i="19"/>
  <c r="BB102" i="19" s="1"/>
  <c r="AZ103" i="19"/>
  <c r="BB103" i="19" s="1"/>
  <c r="AZ104" i="19"/>
  <c r="BB104" i="19" s="1"/>
  <c r="AZ111" i="19"/>
  <c r="BB111" i="19" s="1"/>
  <c r="AZ122" i="19"/>
  <c r="BB122" i="19" s="1"/>
  <c r="AZ123" i="19"/>
  <c r="BB123" i="19" s="1"/>
  <c r="AZ124" i="19"/>
  <c r="BB124" i="19" s="1"/>
  <c r="AZ125" i="19"/>
  <c r="BB125" i="19" s="1"/>
  <c r="AZ126" i="19"/>
  <c r="BB126" i="19" s="1"/>
  <c r="AZ127" i="19"/>
  <c r="BB127" i="19" s="1"/>
  <c r="AZ128" i="19"/>
  <c r="BB128" i="19" s="1"/>
  <c r="AZ129" i="19"/>
  <c r="AZ130" i="19"/>
  <c r="BB130" i="19" s="1"/>
  <c r="AZ170" i="19"/>
  <c r="BB170" i="19" s="1"/>
  <c r="AZ171" i="19"/>
  <c r="BB171" i="19" s="1"/>
  <c r="AZ172" i="19"/>
  <c r="BB172" i="19" s="1"/>
  <c r="AZ173" i="19"/>
  <c r="BB173" i="19" s="1"/>
  <c r="AZ194" i="19"/>
  <c r="BB194" i="19" s="1"/>
  <c r="AZ195" i="19"/>
  <c r="BB195" i="19" s="1"/>
  <c r="AZ196" i="19"/>
  <c r="BB196" i="19" s="1"/>
  <c r="AZ197" i="19"/>
  <c r="BB197" i="19" s="1"/>
  <c r="AZ198" i="19"/>
  <c r="BB198" i="19" s="1"/>
  <c r="AZ199" i="19"/>
  <c r="BB199" i="19" s="1"/>
  <c r="AZ200" i="19"/>
  <c r="BB200" i="19" s="1"/>
  <c r="AZ201" i="19"/>
  <c r="AZ202" i="19"/>
  <c r="BB202" i="19" s="1"/>
  <c r="AZ203" i="19"/>
  <c r="BB203" i="19" s="1"/>
  <c r="AZ204" i="19"/>
  <c r="BB204" i="19" s="1"/>
  <c r="AZ205" i="19"/>
  <c r="AZ206" i="19"/>
  <c r="BB206" i="19" s="1"/>
  <c r="AZ207" i="19"/>
  <c r="BB207" i="19" s="1"/>
  <c r="AZ208" i="19"/>
  <c r="BB208" i="19" s="1"/>
  <c r="AZ209" i="19"/>
  <c r="BB209" i="19" s="1"/>
  <c r="AZ210" i="19"/>
  <c r="BB210" i="19" s="1"/>
  <c r="AZ211" i="19"/>
  <c r="BB211" i="19" s="1"/>
  <c r="AZ212" i="19"/>
  <c r="BB212" i="19" s="1"/>
  <c r="AZ213" i="19"/>
  <c r="BB213" i="19" s="1"/>
  <c r="AZ214" i="19"/>
  <c r="BB214" i="19" s="1"/>
  <c r="AZ215" i="19"/>
  <c r="BB215" i="19" s="1"/>
  <c r="AZ216" i="19"/>
  <c r="BB216" i="19" s="1"/>
  <c r="AZ217" i="19"/>
  <c r="BB217" i="19" s="1"/>
  <c r="AZ218" i="19"/>
  <c r="BB218" i="19" s="1"/>
  <c r="AZ219" i="19"/>
  <c r="BB219" i="19" s="1"/>
  <c r="AZ220" i="19"/>
  <c r="BB220" i="19" s="1"/>
  <c r="AZ221" i="19"/>
  <c r="AZ222" i="19"/>
  <c r="BB222" i="19" s="1"/>
  <c r="AZ223" i="19"/>
  <c r="BB223" i="19" s="1"/>
  <c r="AZ224" i="19"/>
  <c r="BB224" i="19" s="1"/>
  <c r="AZ225" i="19"/>
  <c r="BB225" i="19" s="1"/>
  <c r="AZ226" i="19"/>
  <c r="BB226" i="19" s="1"/>
  <c r="AZ227" i="19"/>
  <c r="BB227" i="19" s="1"/>
  <c r="AZ228" i="19"/>
  <c r="AZ229" i="19"/>
  <c r="BB229" i="19" s="1"/>
  <c r="AZ230" i="19"/>
  <c r="BB230" i="19" s="1"/>
  <c r="AZ231" i="19"/>
  <c r="BB231" i="19" s="1"/>
  <c r="AZ232" i="19"/>
  <c r="BB232" i="19" s="1"/>
  <c r="AZ233" i="19"/>
  <c r="BB233" i="19" s="1"/>
  <c r="AZ234" i="19"/>
  <c r="BB234" i="19" s="1"/>
  <c r="AZ235" i="19"/>
  <c r="BB235" i="19" s="1"/>
  <c r="AZ236" i="19"/>
  <c r="AZ237" i="19"/>
  <c r="BB237" i="19" s="1"/>
  <c r="AZ238" i="19"/>
  <c r="BB238" i="19" s="1"/>
  <c r="AZ239" i="19"/>
  <c r="BB239" i="19" s="1"/>
  <c r="AZ240" i="19"/>
  <c r="BB240" i="19" s="1"/>
  <c r="AZ241" i="19"/>
  <c r="BB241" i="19" s="1"/>
  <c r="AZ242" i="19"/>
  <c r="BB242" i="19" s="1"/>
  <c r="AZ243" i="19"/>
  <c r="BB243" i="19" s="1"/>
  <c r="AZ244" i="19"/>
  <c r="BB244" i="19" s="1"/>
  <c r="AZ245" i="19"/>
  <c r="BB245" i="19" s="1"/>
  <c r="AZ246" i="19"/>
  <c r="BB246" i="19" s="1"/>
  <c r="AZ247" i="19"/>
  <c r="BB247" i="19" s="1"/>
  <c r="AZ248" i="19"/>
  <c r="BB248" i="19" s="1"/>
  <c r="AZ249" i="19"/>
  <c r="BB249" i="19" s="1"/>
  <c r="AZ250" i="19"/>
  <c r="BB250" i="19" s="1"/>
  <c r="AZ251" i="19"/>
  <c r="BB251" i="19" s="1"/>
  <c r="AZ252" i="19"/>
  <c r="BB252" i="19" s="1"/>
  <c r="AZ253" i="19"/>
  <c r="BB253" i="19" s="1"/>
  <c r="AZ266" i="19"/>
  <c r="AZ267" i="19"/>
  <c r="BB267" i="19" s="1"/>
  <c r="AZ268" i="19"/>
  <c r="BB268" i="19" s="1"/>
  <c r="AZ269" i="19"/>
  <c r="AZ270" i="19"/>
  <c r="BB270" i="19" s="1"/>
  <c r="AZ271" i="19"/>
  <c r="BB271" i="19" s="1"/>
  <c r="AZ272" i="19"/>
  <c r="BB272" i="19" s="1"/>
  <c r="AZ273" i="19"/>
  <c r="BB273" i="19" s="1"/>
  <c r="AZ274" i="19"/>
  <c r="BB274" i="19" s="1"/>
  <c r="AZ275" i="19"/>
  <c r="BB275" i="19" s="1"/>
  <c r="AZ276" i="19"/>
  <c r="BB276" i="19" s="1"/>
  <c r="AZ277" i="19"/>
  <c r="BB277" i="19" s="1"/>
  <c r="AZ278" i="19"/>
  <c r="AZ279" i="19"/>
  <c r="BB279" i="19" s="1"/>
  <c r="AZ280" i="19"/>
  <c r="BB280" i="19" s="1"/>
  <c r="AZ281" i="19"/>
  <c r="BB281" i="19" s="1"/>
  <c r="AZ282" i="19"/>
  <c r="AZ283" i="19"/>
  <c r="BB283" i="19" s="1"/>
  <c r="AZ284" i="19"/>
  <c r="BB284" i="19" s="1"/>
  <c r="AZ285" i="19"/>
  <c r="BB285" i="19" s="1"/>
  <c r="AZ286" i="19"/>
  <c r="AZ287" i="19"/>
  <c r="BB287" i="19" s="1"/>
  <c r="AZ288" i="19"/>
  <c r="BB288" i="19" s="1"/>
  <c r="AZ289" i="19"/>
  <c r="BB289" i="19" s="1"/>
  <c r="AZ290" i="19"/>
  <c r="AZ291" i="19"/>
  <c r="BB291" i="19" s="1"/>
  <c r="AZ292" i="19"/>
  <c r="BB292" i="19" s="1"/>
  <c r="AZ293" i="19"/>
  <c r="AZ294" i="19"/>
  <c r="AZ295" i="19"/>
  <c r="AZ296" i="19"/>
  <c r="BB296" i="19" s="1"/>
  <c r="AZ297" i="19"/>
  <c r="BB297" i="19" s="1"/>
  <c r="AZ298" i="19"/>
  <c r="BB298" i="19" s="1"/>
  <c r="AZ299" i="19"/>
  <c r="BB299" i="19" s="1"/>
  <c r="AZ300" i="19"/>
  <c r="BB300" i="19" s="1"/>
  <c r="AZ301" i="19"/>
  <c r="AZ302" i="19"/>
  <c r="BB302" i="19" s="1"/>
  <c r="AZ303" i="19"/>
  <c r="BB303" i="19" s="1"/>
  <c r="AZ304" i="19"/>
  <c r="AZ305" i="19"/>
  <c r="BB305" i="19" s="1"/>
  <c r="AZ306" i="19"/>
  <c r="BB306" i="19" s="1"/>
  <c r="AZ307" i="19"/>
  <c r="BB307" i="19" s="1"/>
  <c r="AZ308" i="19"/>
  <c r="BB308" i="19" s="1"/>
  <c r="AZ309" i="19"/>
  <c r="BB309" i="19" s="1"/>
  <c r="AZ310" i="19"/>
  <c r="BB310" i="19" s="1"/>
  <c r="AZ311" i="19"/>
  <c r="BB311" i="19" s="1"/>
  <c r="AZ312" i="19"/>
  <c r="BB312" i="19" s="1"/>
  <c r="AZ313" i="19"/>
  <c r="BB313" i="19" s="1"/>
  <c r="AZ314" i="19"/>
  <c r="AZ315" i="19"/>
  <c r="BB315" i="19" s="1"/>
  <c r="AZ316" i="19"/>
  <c r="BB316" i="19" s="1"/>
  <c r="AZ317" i="19"/>
  <c r="AZ318" i="19"/>
  <c r="BB318" i="19" s="1"/>
  <c r="AZ319" i="19"/>
  <c r="BB319" i="19" s="1"/>
  <c r="AZ320" i="19"/>
  <c r="BB320" i="19" s="1"/>
  <c r="AZ321" i="19"/>
  <c r="BB321" i="19" s="1"/>
  <c r="AZ322" i="19"/>
  <c r="BB322" i="19" s="1"/>
  <c r="AZ323" i="19"/>
  <c r="BB323" i="19" s="1"/>
  <c r="AZ324" i="19"/>
  <c r="BB324" i="19" s="1"/>
  <c r="AZ325" i="19"/>
  <c r="BB325" i="19" s="1"/>
  <c r="AZ404" i="19"/>
  <c r="BB404" i="19" s="1"/>
  <c r="AZ405" i="19"/>
  <c r="AZ406" i="19"/>
  <c r="BB406" i="19" s="1"/>
  <c r="AZ407" i="19"/>
  <c r="BB407" i="19" s="1"/>
  <c r="AZ408" i="19"/>
  <c r="BB408" i="19" s="1"/>
  <c r="AZ409" i="19"/>
  <c r="AZ410" i="19"/>
  <c r="BB410" i="19" s="1"/>
  <c r="AZ411" i="19"/>
  <c r="BB411" i="19" s="1"/>
  <c r="AZ412" i="19"/>
  <c r="BB412" i="19" s="1"/>
  <c r="AZ413" i="19"/>
  <c r="BB413" i="19" s="1"/>
  <c r="AZ414" i="19"/>
  <c r="BB414" i="19" s="1"/>
  <c r="AZ415" i="19"/>
  <c r="BB415" i="19" s="1"/>
  <c r="AZ416" i="19"/>
  <c r="BB416" i="19" s="1"/>
  <c r="AZ417" i="19"/>
  <c r="BB417" i="19" s="1"/>
  <c r="AZ418" i="19"/>
  <c r="BB418" i="19" s="1"/>
  <c r="AZ419" i="19"/>
  <c r="BB419" i="19" s="1"/>
  <c r="AZ420" i="19"/>
  <c r="BB420" i="19" s="1"/>
  <c r="AZ421" i="19"/>
  <c r="AZ422" i="19"/>
  <c r="BB422" i="19" s="1"/>
  <c r="AZ423" i="19"/>
  <c r="BB423" i="19" s="1"/>
  <c r="AZ431" i="19"/>
  <c r="BB431" i="19" s="1"/>
  <c r="AZ432" i="19"/>
  <c r="BB432" i="19" s="1"/>
  <c r="AZ433" i="19"/>
  <c r="BB433" i="19" s="1"/>
  <c r="AZ434" i="19"/>
  <c r="BB434" i="19" s="1"/>
  <c r="AZ435" i="19"/>
  <c r="BB435" i="19" s="1"/>
  <c r="AZ436" i="19"/>
  <c r="AZ437" i="19"/>
  <c r="BB437" i="19" s="1"/>
  <c r="AZ438" i="19"/>
  <c r="BB438" i="19" s="1"/>
  <c r="AZ439" i="19"/>
  <c r="AZ440" i="19"/>
  <c r="BB440" i="19" s="1"/>
  <c r="AZ441" i="19"/>
  <c r="BB441" i="19" s="1"/>
  <c r="AZ442" i="19"/>
  <c r="BB442" i="19" s="1"/>
  <c r="AZ443" i="19"/>
  <c r="AZ444" i="19"/>
  <c r="BB444" i="19" s="1"/>
  <c r="AZ446" i="19"/>
  <c r="BB446" i="19" s="1"/>
  <c r="AZ447" i="19"/>
  <c r="BB447" i="19" s="1"/>
  <c r="AZ448" i="19"/>
  <c r="BB448" i="19" s="1"/>
  <c r="AZ451" i="19"/>
  <c r="BB451" i="19" s="1"/>
  <c r="AZ452" i="19"/>
  <c r="BB452" i="19" s="1"/>
  <c r="AZ453" i="19"/>
  <c r="BB453" i="19" s="1"/>
  <c r="AZ456" i="19"/>
  <c r="BB456" i="19" s="1"/>
  <c r="AZ459" i="19"/>
  <c r="BB459" i="19" s="1"/>
  <c r="AZ461" i="19"/>
  <c r="BB461" i="19" s="1"/>
  <c r="AZ462" i="19"/>
  <c r="BB462" i="19" s="1"/>
  <c r="AZ464" i="19"/>
  <c r="AZ465" i="19"/>
  <c r="AZ466" i="19"/>
  <c r="BB466" i="19" s="1"/>
  <c r="AZ468" i="19"/>
  <c r="BB468" i="19" s="1"/>
  <c r="AZ472" i="19"/>
  <c r="BB472" i="19" s="1"/>
  <c r="AZ473" i="19"/>
  <c r="BB473" i="19" s="1"/>
  <c r="AZ474" i="19"/>
  <c r="BB474" i="19" s="1"/>
  <c r="AZ475" i="19"/>
  <c r="BB475" i="19" s="1"/>
  <c r="AZ476" i="19"/>
  <c r="BB476" i="19" s="1"/>
  <c r="AZ477" i="19"/>
  <c r="AZ478" i="19"/>
  <c r="BB478" i="19" s="1"/>
  <c r="AZ479" i="19"/>
  <c r="BB479" i="19" s="1"/>
  <c r="AZ480" i="19"/>
  <c r="BB480" i="19" s="1"/>
  <c r="AZ481" i="19"/>
  <c r="BB481" i="19" s="1"/>
  <c r="AZ482" i="19"/>
  <c r="BB482" i="19" s="1"/>
  <c r="AZ489" i="19"/>
  <c r="AZ490" i="19"/>
  <c r="BB490" i="19" s="1"/>
  <c r="AZ491" i="19"/>
  <c r="BB491" i="19" s="1"/>
  <c r="AZ492" i="19"/>
  <c r="AZ493" i="19"/>
  <c r="BB493" i="19" s="1"/>
  <c r="AZ494" i="19"/>
  <c r="BB494" i="19" s="1"/>
  <c r="AZ495" i="19"/>
  <c r="BB495" i="19" s="1"/>
  <c r="AZ496" i="19"/>
  <c r="BB496" i="19" s="1"/>
  <c r="AZ497" i="19"/>
  <c r="AZ498" i="19"/>
  <c r="BB498" i="19" s="1"/>
  <c r="AZ499" i="19"/>
  <c r="AZ500" i="19"/>
  <c r="BB500" i="19" s="1"/>
  <c r="AZ501" i="19"/>
  <c r="BB501" i="19" s="1"/>
  <c r="AZ502" i="19"/>
  <c r="BB502" i="19" s="1"/>
  <c r="AZ503" i="19"/>
  <c r="BB503" i="19" s="1"/>
  <c r="AZ504" i="19"/>
  <c r="BB504" i="19" s="1"/>
  <c r="AZ505" i="19"/>
  <c r="AZ562" i="19"/>
  <c r="BB562" i="19" s="1"/>
  <c r="AZ564" i="19"/>
  <c r="BB564" i="19" s="1"/>
  <c r="AZ567" i="19"/>
  <c r="BB567" i="19" s="1"/>
  <c r="AZ569" i="19"/>
  <c r="AZ570" i="19"/>
  <c r="BB570" i="19" s="1"/>
  <c r="AZ571" i="19"/>
  <c r="AZ572" i="19"/>
  <c r="BB572" i="19" s="1"/>
  <c r="AZ573" i="19"/>
  <c r="BB573" i="19" s="1"/>
  <c r="AZ576" i="19"/>
  <c r="AZ577" i="19"/>
  <c r="AZ578" i="19"/>
  <c r="AZ579" i="19"/>
  <c r="BB579" i="19" s="1"/>
  <c r="AZ582" i="19"/>
  <c r="AZ583" i="19"/>
  <c r="AZ584" i="19"/>
  <c r="BB584" i="19" s="1"/>
  <c r="AZ585" i="19"/>
  <c r="AZ7" i="19"/>
  <c r="BB7" i="19" s="1"/>
  <c r="AX8" i="19"/>
  <c r="AX10" i="19"/>
  <c r="AX11" i="19"/>
  <c r="AY11" i="19" s="1"/>
  <c r="AX12" i="19"/>
  <c r="AY12" i="19" s="1"/>
  <c r="AX13" i="19"/>
  <c r="AY13" i="19" s="1"/>
  <c r="AX14" i="19"/>
  <c r="AX15" i="19"/>
  <c r="AX16" i="19"/>
  <c r="AX17" i="19"/>
  <c r="AY17" i="19" s="1"/>
  <c r="AX18" i="19"/>
  <c r="AX19" i="19"/>
  <c r="AY19" i="19" s="1"/>
  <c r="AX20" i="19"/>
  <c r="AX21" i="19"/>
  <c r="AY21" i="19" s="1"/>
  <c r="AX22" i="19"/>
  <c r="AY22" i="19" s="1"/>
  <c r="AX23" i="19"/>
  <c r="AY23" i="19" s="1"/>
  <c r="AX24" i="19"/>
  <c r="AY24" i="19" s="1"/>
  <c r="AX67" i="19"/>
  <c r="AY67" i="19" s="1"/>
  <c r="AX68" i="19"/>
  <c r="AY68" i="19" s="1"/>
  <c r="AX69" i="19"/>
  <c r="AX70" i="19"/>
  <c r="AY70" i="19" s="1"/>
  <c r="AX71" i="19"/>
  <c r="AX72" i="19"/>
  <c r="AY72" i="19" s="1"/>
  <c r="AX73" i="19"/>
  <c r="AY73" i="19" s="1"/>
  <c r="AX74" i="19"/>
  <c r="AY74" i="19" s="1"/>
  <c r="AX75" i="19"/>
  <c r="AX76" i="19"/>
  <c r="AY76" i="19" s="1"/>
  <c r="AX77" i="19"/>
  <c r="AX78" i="19"/>
  <c r="AY78" i="19" s="1"/>
  <c r="AX79" i="19"/>
  <c r="AY79" i="19" s="1"/>
  <c r="AX80" i="19"/>
  <c r="AX81" i="19"/>
  <c r="AY81" i="19" s="1"/>
  <c r="AX82" i="19"/>
  <c r="AY82" i="19" s="1"/>
  <c r="AX83" i="19"/>
  <c r="AY83" i="19" s="1"/>
  <c r="AX84" i="19"/>
  <c r="AY84" i="19" s="1"/>
  <c r="AX85" i="19"/>
  <c r="AY85" i="19" s="1"/>
  <c r="AX86" i="19"/>
  <c r="AX87" i="19"/>
  <c r="AY87" i="19" s="1"/>
  <c r="AX88" i="19"/>
  <c r="AX89" i="19"/>
  <c r="AY89" i="19" s="1"/>
  <c r="AX90" i="19"/>
  <c r="AY90" i="19" s="1"/>
  <c r="AX91" i="19"/>
  <c r="AY91" i="19" s="1"/>
  <c r="AX92" i="19"/>
  <c r="AY92" i="19" s="1"/>
  <c r="AX93" i="19"/>
  <c r="AY93" i="19" s="1"/>
  <c r="AX94" i="19"/>
  <c r="AY94" i="19" s="1"/>
  <c r="AX95" i="19"/>
  <c r="AY95" i="19" s="1"/>
  <c r="AX96" i="19"/>
  <c r="AY96" i="19" s="1"/>
  <c r="AX97" i="19"/>
  <c r="AY97" i="19" s="1"/>
  <c r="AX98" i="19"/>
  <c r="AY98" i="19" s="1"/>
  <c r="AX99" i="19"/>
  <c r="AX100" i="19"/>
  <c r="AY100" i="19" s="1"/>
  <c r="AX101" i="19"/>
  <c r="AY101" i="19" s="1"/>
  <c r="AX102" i="19"/>
  <c r="AX103" i="19"/>
  <c r="AY103" i="19" s="1"/>
  <c r="AX104" i="19"/>
  <c r="AY104" i="19" s="1"/>
  <c r="AX111" i="19"/>
  <c r="AY111" i="19" s="1"/>
  <c r="AX122" i="19"/>
  <c r="AX123" i="19"/>
  <c r="AY123" i="19" s="1"/>
  <c r="AX124" i="19"/>
  <c r="AX125" i="19"/>
  <c r="AX126" i="19"/>
  <c r="AY126" i="19" s="1"/>
  <c r="AX127" i="19"/>
  <c r="AX128" i="19"/>
  <c r="AX129" i="19"/>
  <c r="AX130" i="19"/>
  <c r="AX170" i="19"/>
  <c r="AX171" i="19"/>
  <c r="AX172" i="19"/>
  <c r="AX173" i="19"/>
  <c r="AX194" i="19"/>
  <c r="AX195" i="19"/>
  <c r="AX196" i="19"/>
  <c r="AY196" i="19" s="1"/>
  <c r="AX197" i="19"/>
  <c r="AX198" i="19"/>
  <c r="AX199" i="19"/>
  <c r="AY199" i="19" s="1"/>
  <c r="AX200" i="19"/>
  <c r="AY200" i="19" s="1"/>
  <c r="AX201" i="19"/>
  <c r="AY201" i="19" s="1"/>
  <c r="AX202" i="19"/>
  <c r="AY202" i="19" s="1"/>
  <c r="AX203" i="19"/>
  <c r="AY203" i="19" s="1"/>
  <c r="AX204" i="19"/>
  <c r="AY204" i="19" s="1"/>
  <c r="AX205" i="19"/>
  <c r="AY205" i="19" s="1"/>
  <c r="AX206" i="19"/>
  <c r="AY206" i="19" s="1"/>
  <c r="AX207" i="19"/>
  <c r="AY207" i="19" s="1"/>
  <c r="AX208" i="19"/>
  <c r="AY208" i="19" s="1"/>
  <c r="AX209" i="19"/>
  <c r="AY209" i="19" s="1"/>
  <c r="AX210" i="19"/>
  <c r="AY210" i="19" s="1"/>
  <c r="AX211" i="19"/>
  <c r="AY211" i="19" s="1"/>
  <c r="AX212" i="19"/>
  <c r="AX213" i="19"/>
  <c r="AY213" i="19" s="1"/>
  <c r="AX214" i="19"/>
  <c r="AY214" i="19" s="1"/>
  <c r="AX215" i="19"/>
  <c r="AY215" i="19" s="1"/>
  <c r="AX216" i="19"/>
  <c r="AY216" i="19" s="1"/>
  <c r="AX217" i="19"/>
  <c r="AY217" i="19" s="1"/>
  <c r="AX218" i="19"/>
  <c r="AX219" i="19"/>
  <c r="AX220" i="19"/>
  <c r="AX221" i="19"/>
  <c r="AX222" i="19"/>
  <c r="AX223" i="19"/>
  <c r="AX224" i="19"/>
  <c r="AX225" i="19"/>
  <c r="AX226" i="19"/>
  <c r="AX227" i="19"/>
  <c r="AX228" i="19"/>
  <c r="AY228" i="19" s="1"/>
  <c r="AX229" i="19"/>
  <c r="AY229" i="19" s="1"/>
  <c r="AX230" i="19"/>
  <c r="AY230" i="19" s="1"/>
  <c r="AX231" i="19"/>
  <c r="AY231" i="19" s="1"/>
  <c r="AX232" i="19"/>
  <c r="AY232" i="19" s="1"/>
  <c r="AX233" i="19"/>
  <c r="AX234" i="19"/>
  <c r="AY234" i="19" s="1"/>
  <c r="AX235" i="19"/>
  <c r="AY235" i="19" s="1"/>
  <c r="AX236" i="19"/>
  <c r="AX237" i="19"/>
  <c r="AY237" i="19" s="1"/>
  <c r="AX238" i="19"/>
  <c r="AY238" i="19" s="1"/>
  <c r="AX239" i="19"/>
  <c r="AX240" i="19"/>
  <c r="AY240" i="19" s="1"/>
  <c r="AX241" i="19"/>
  <c r="AY241" i="19" s="1"/>
  <c r="AX242" i="19"/>
  <c r="AY242" i="19" s="1"/>
  <c r="AX243" i="19"/>
  <c r="AX244" i="19"/>
  <c r="AY244" i="19" s="1"/>
  <c r="AX245" i="19"/>
  <c r="AY245" i="19" s="1"/>
  <c r="AX246" i="19"/>
  <c r="AX247" i="19"/>
  <c r="AX248" i="19"/>
  <c r="AY248" i="19" s="1"/>
  <c r="AX249" i="19"/>
  <c r="AY249" i="19" s="1"/>
  <c r="AX250" i="19"/>
  <c r="AY250" i="19" s="1"/>
  <c r="AX251" i="19"/>
  <c r="AX252" i="19"/>
  <c r="AY252" i="19" s="1"/>
  <c r="AX253" i="19"/>
  <c r="AY253" i="19" s="1"/>
  <c r="AX266" i="19"/>
  <c r="AX267" i="19"/>
  <c r="AY267" i="19" s="1"/>
  <c r="AX268" i="19"/>
  <c r="AY268" i="19" s="1"/>
  <c r="AX269" i="19"/>
  <c r="AY269" i="19" s="1"/>
  <c r="AX270" i="19"/>
  <c r="AY270" i="19" s="1"/>
  <c r="AX271" i="19"/>
  <c r="AY271" i="19" s="1"/>
  <c r="AX272" i="19"/>
  <c r="AX273" i="19"/>
  <c r="AY273" i="19" s="1"/>
  <c r="AX274" i="19"/>
  <c r="AY274" i="19" s="1"/>
  <c r="AX275" i="19"/>
  <c r="AY275" i="19" s="1"/>
  <c r="AX276" i="19"/>
  <c r="AY276" i="19" s="1"/>
  <c r="AX277" i="19"/>
  <c r="AX278" i="19"/>
  <c r="AY278" i="19" s="1"/>
  <c r="AX279" i="19"/>
  <c r="AY279" i="19" s="1"/>
  <c r="AX280" i="19"/>
  <c r="AY280" i="19" s="1"/>
  <c r="AX281" i="19"/>
  <c r="AY281" i="19" s="1"/>
  <c r="AX282" i="19"/>
  <c r="AY282" i="19" s="1"/>
  <c r="AX283" i="19"/>
  <c r="AX284" i="19"/>
  <c r="AY284" i="19" s="1"/>
  <c r="AX285" i="19"/>
  <c r="AY285" i="19" s="1"/>
  <c r="AX286" i="19"/>
  <c r="AY286" i="19" s="1"/>
  <c r="AX287" i="19"/>
  <c r="AX288" i="19"/>
  <c r="AY288" i="19" s="1"/>
  <c r="AX289" i="19"/>
  <c r="AX290" i="19"/>
  <c r="AY290" i="19" s="1"/>
  <c r="AX291" i="19"/>
  <c r="AX292" i="19"/>
  <c r="AY292" i="19" s="1"/>
  <c r="AX293" i="19"/>
  <c r="AX294" i="19"/>
  <c r="AY294" i="19" s="1"/>
  <c r="AX295" i="19"/>
  <c r="AY295" i="19" s="1"/>
  <c r="AX296" i="19"/>
  <c r="AY296" i="19" s="1"/>
  <c r="AX297" i="19"/>
  <c r="AY297" i="19" s="1"/>
  <c r="AX298" i="19"/>
  <c r="AX299" i="19"/>
  <c r="AX300" i="19"/>
  <c r="AY300" i="19" s="1"/>
  <c r="AX301" i="19"/>
  <c r="AY301" i="19" s="1"/>
  <c r="AX302" i="19"/>
  <c r="AY302" i="19" s="1"/>
  <c r="AX303" i="19"/>
  <c r="AY303" i="19" s="1"/>
  <c r="AX304" i="19"/>
  <c r="AY304" i="19" s="1"/>
  <c r="AX305" i="19"/>
  <c r="AX306" i="19"/>
  <c r="AY306" i="19" s="1"/>
  <c r="AX307" i="19"/>
  <c r="AY307" i="19" s="1"/>
  <c r="AX308" i="19"/>
  <c r="AY308" i="19" s="1"/>
  <c r="AX309" i="19"/>
  <c r="AY309" i="19" s="1"/>
  <c r="AX310" i="19"/>
  <c r="AY310" i="19" s="1"/>
  <c r="AX311" i="19"/>
  <c r="AY311" i="19" s="1"/>
  <c r="AX312" i="19"/>
  <c r="AX313" i="19"/>
  <c r="AY313" i="19" s="1"/>
  <c r="AX314" i="19"/>
  <c r="AY314" i="19" s="1"/>
  <c r="AX315" i="19"/>
  <c r="AY315" i="19" s="1"/>
  <c r="AX316" i="19"/>
  <c r="AY316" i="19" s="1"/>
  <c r="AX317" i="19"/>
  <c r="AX318" i="19"/>
  <c r="AY318" i="19" s="1"/>
  <c r="AX319" i="19"/>
  <c r="AY319" i="19" s="1"/>
  <c r="AX320" i="19"/>
  <c r="AY320" i="19" s="1"/>
  <c r="AX321" i="19"/>
  <c r="AY321" i="19" s="1"/>
  <c r="AX322" i="19"/>
  <c r="AY322" i="19" s="1"/>
  <c r="AX323" i="19"/>
  <c r="AY323" i="19" s="1"/>
  <c r="AX324" i="19"/>
  <c r="AX325" i="19"/>
  <c r="AY325" i="19" s="1"/>
  <c r="AX404" i="19"/>
  <c r="AY404" i="19" s="1"/>
  <c r="AX405" i="19"/>
  <c r="AY405" i="19" s="1"/>
  <c r="AX406" i="19"/>
  <c r="AY406" i="19" s="1"/>
  <c r="AX407" i="19"/>
  <c r="AY407" i="19" s="1"/>
  <c r="AX408" i="19"/>
  <c r="AX409" i="19"/>
  <c r="AX410" i="19"/>
  <c r="AX411" i="19"/>
  <c r="AY411" i="19" s="1"/>
  <c r="AX412" i="19"/>
  <c r="AY412" i="19" s="1"/>
  <c r="AX413" i="19"/>
  <c r="AY413" i="19" s="1"/>
  <c r="AX414" i="19"/>
  <c r="AY414" i="19" s="1"/>
  <c r="AX415" i="19"/>
  <c r="AY415" i="19" s="1"/>
  <c r="AX416" i="19"/>
  <c r="AY416" i="19" s="1"/>
  <c r="AX417" i="19"/>
  <c r="AY417" i="19" s="1"/>
  <c r="AX418" i="19"/>
  <c r="AX419" i="19"/>
  <c r="AY419" i="19" s="1"/>
  <c r="AX420" i="19"/>
  <c r="AY420" i="19" s="1"/>
  <c r="AX421" i="19"/>
  <c r="AY421" i="19" s="1"/>
  <c r="AX422" i="19"/>
  <c r="AX423" i="19"/>
  <c r="AX431" i="19"/>
  <c r="AY431" i="19" s="1"/>
  <c r="AX432" i="19"/>
  <c r="AX433" i="19"/>
  <c r="AX434" i="19"/>
  <c r="AY434" i="19" s="1"/>
  <c r="AX435" i="19"/>
  <c r="AY435" i="19" s="1"/>
  <c r="AX436" i="19"/>
  <c r="AY436" i="19" s="1"/>
  <c r="AX437" i="19"/>
  <c r="AY437" i="19" s="1"/>
  <c r="AX438" i="19"/>
  <c r="AX439" i="19"/>
  <c r="AY439" i="19" s="1"/>
  <c r="AX440" i="19"/>
  <c r="AX441" i="19"/>
  <c r="AY441" i="19" s="1"/>
  <c r="AX442" i="19"/>
  <c r="AY442" i="19" s="1"/>
  <c r="AX443" i="19"/>
  <c r="AY443" i="19" s="1"/>
  <c r="AX444" i="19"/>
  <c r="AY444" i="19" s="1"/>
  <c r="AX446" i="19"/>
  <c r="AY446" i="19" s="1"/>
  <c r="AX447" i="19"/>
  <c r="AY447" i="19" s="1"/>
  <c r="AX448" i="19"/>
  <c r="AY448" i="19" s="1"/>
  <c r="AX451" i="19"/>
  <c r="AX452" i="19"/>
  <c r="AX453" i="19"/>
  <c r="AX456" i="19"/>
  <c r="AX459" i="19"/>
  <c r="AY459" i="19" s="1"/>
  <c r="AX461" i="19"/>
  <c r="AX462" i="19"/>
  <c r="AX464" i="19"/>
  <c r="AX465" i="19"/>
  <c r="AX466" i="19"/>
  <c r="AX468" i="19"/>
  <c r="AX472" i="19"/>
  <c r="AX473" i="19"/>
  <c r="AY473" i="19" s="1"/>
  <c r="AX474" i="19"/>
  <c r="AY474" i="19" s="1"/>
  <c r="AX475" i="19"/>
  <c r="AY475" i="19" s="1"/>
  <c r="AX476" i="19"/>
  <c r="AY476" i="19" s="1"/>
  <c r="AX477" i="19"/>
  <c r="AY477" i="19" s="1"/>
  <c r="AX478" i="19"/>
  <c r="AY478" i="19" s="1"/>
  <c r="AX479" i="19"/>
  <c r="AY479" i="19" s="1"/>
  <c r="AX480" i="19"/>
  <c r="AX481" i="19"/>
  <c r="AY481" i="19" s="1"/>
  <c r="AX482" i="19"/>
  <c r="AY482" i="19" s="1"/>
  <c r="AX489" i="19"/>
  <c r="AY489" i="19" s="1"/>
  <c r="AX490" i="19"/>
  <c r="AY490" i="19" s="1"/>
  <c r="AX491" i="19"/>
  <c r="AY491" i="19" s="1"/>
  <c r="AX492" i="19"/>
  <c r="AX493" i="19"/>
  <c r="AY493" i="19" s="1"/>
  <c r="AX494" i="19"/>
  <c r="AX495" i="19"/>
  <c r="AY495" i="19" s="1"/>
  <c r="AX496" i="19"/>
  <c r="AX497" i="19"/>
  <c r="AY497" i="19" s="1"/>
  <c r="AX498" i="19"/>
  <c r="AX499" i="19"/>
  <c r="AY499" i="19" s="1"/>
  <c r="AX500" i="19"/>
  <c r="AY500" i="19" s="1"/>
  <c r="AX501" i="19"/>
  <c r="AY501" i="19" s="1"/>
  <c r="AX502" i="19"/>
  <c r="AY502" i="19" s="1"/>
  <c r="AX503" i="19"/>
  <c r="AY503" i="19" s="1"/>
  <c r="AX504" i="19"/>
  <c r="AY504" i="19" s="1"/>
  <c r="AX505" i="19"/>
  <c r="AY505" i="19" s="1"/>
  <c r="AX562" i="19"/>
  <c r="AY562" i="19" s="1"/>
  <c r="AX564" i="19"/>
  <c r="AY564" i="19" s="1"/>
  <c r="AX567" i="19"/>
  <c r="AX569" i="19"/>
  <c r="AY569" i="19" s="1"/>
  <c r="AX570" i="19"/>
  <c r="AY570" i="19" s="1"/>
  <c r="AX571" i="19"/>
  <c r="AX572" i="19"/>
  <c r="AY572" i="19" s="1"/>
  <c r="AX573" i="19"/>
  <c r="AY573" i="19" s="1"/>
  <c r="AX576" i="19"/>
  <c r="AY576" i="19" s="1"/>
  <c r="AX577" i="19"/>
  <c r="AY577" i="19" s="1"/>
  <c r="AX578" i="19"/>
  <c r="AX579" i="19"/>
  <c r="AY579" i="19" s="1"/>
  <c r="AX582" i="19"/>
  <c r="AY582" i="19" s="1"/>
  <c r="AX583" i="19"/>
  <c r="AY583" i="19" s="1"/>
  <c r="AX584" i="19"/>
  <c r="AY584" i="19" s="1"/>
  <c r="AX585" i="19"/>
  <c r="AY585" i="19" s="1"/>
  <c r="AX7" i="19"/>
  <c r="AY7" i="19" s="1"/>
  <c r="W8" i="19"/>
  <c r="X8" i="19" s="1"/>
  <c r="W10" i="19"/>
  <c r="W11" i="19"/>
  <c r="W12" i="19"/>
  <c r="X12" i="19" s="1"/>
  <c r="W13" i="19"/>
  <c r="W14" i="19"/>
  <c r="W15" i="19"/>
  <c r="X15" i="19" s="1"/>
  <c r="W16" i="19"/>
  <c r="W17" i="19"/>
  <c r="X17" i="19" s="1"/>
  <c r="W18" i="19"/>
  <c r="W19" i="19"/>
  <c r="W20" i="19"/>
  <c r="X20" i="19" s="1"/>
  <c r="W21" i="19"/>
  <c r="Y21" i="19" s="1"/>
  <c r="W22" i="19"/>
  <c r="W23" i="19"/>
  <c r="X23" i="19" s="1"/>
  <c r="W24" i="19"/>
  <c r="W67" i="19"/>
  <c r="W68" i="19"/>
  <c r="W69" i="19"/>
  <c r="X69" i="19" s="1"/>
  <c r="W70" i="19"/>
  <c r="W71" i="19"/>
  <c r="W72" i="19"/>
  <c r="AA72" i="19" s="1"/>
  <c r="W73" i="19"/>
  <c r="W74" i="19"/>
  <c r="X74" i="19" s="1"/>
  <c r="W75" i="19"/>
  <c r="X75" i="19" s="1"/>
  <c r="W76" i="19"/>
  <c r="W77" i="19"/>
  <c r="X77" i="19" s="1"/>
  <c r="W78" i="19"/>
  <c r="W79" i="19"/>
  <c r="W80" i="19"/>
  <c r="AA80" i="19" s="1"/>
  <c r="W81" i="19"/>
  <c r="X81" i="19" s="1"/>
  <c r="W82" i="19"/>
  <c r="W83" i="19"/>
  <c r="W84" i="19"/>
  <c r="X84" i="19" s="1"/>
  <c r="W85" i="19"/>
  <c r="X85" i="19" s="1"/>
  <c r="W86" i="19"/>
  <c r="X86" i="19" s="1"/>
  <c r="W87" i="19"/>
  <c r="X87" i="19" s="1"/>
  <c r="W88" i="19"/>
  <c r="AA88" i="19" s="1"/>
  <c r="W89" i="19"/>
  <c r="X89" i="19" s="1"/>
  <c r="W90" i="19"/>
  <c r="X90" i="19" s="1"/>
  <c r="W91" i="19"/>
  <c r="W92" i="19"/>
  <c r="W93" i="19"/>
  <c r="W94" i="19"/>
  <c r="X94" i="19" s="1"/>
  <c r="W95" i="19"/>
  <c r="W96" i="19"/>
  <c r="X96" i="19" s="1"/>
  <c r="W97" i="19"/>
  <c r="X97" i="19" s="1"/>
  <c r="W98" i="19"/>
  <c r="W99" i="19"/>
  <c r="W100" i="19"/>
  <c r="W101" i="19"/>
  <c r="X101" i="19" s="1"/>
  <c r="W102" i="19"/>
  <c r="X102" i="19" s="1"/>
  <c r="W103" i="19"/>
  <c r="X103" i="19" s="1"/>
  <c r="W104" i="19"/>
  <c r="X104" i="19" s="1"/>
  <c r="W111" i="19"/>
  <c r="W122" i="19"/>
  <c r="W123" i="19"/>
  <c r="W124" i="19"/>
  <c r="W125" i="19"/>
  <c r="Y125" i="19" s="1"/>
  <c r="W126" i="19"/>
  <c r="X126" i="19" s="1"/>
  <c r="W127" i="19"/>
  <c r="W128" i="19"/>
  <c r="W129" i="19"/>
  <c r="W130" i="19"/>
  <c r="X130" i="19" s="1"/>
  <c r="W170" i="19"/>
  <c r="X170" i="19" s="1"/>
  <c r="W171" i="19"/>
  <c r="W172" i="19"/>
  <c r="W173" i="19"/>
  <c r="X173" i="19" s="1"/>
  <c r="W194" i="19"/>
  <c r="W195" i="19"/>
  <c r="X195" i="19" s="1"/>
  <c r="W196" i="19"/>
  <c r="X196" i="19" s="1"/>
  <c r="W197" i="19"/>
  <c r="W198" i="19"/>
  <c r="W199" i="19"/>
  <c r="W200" i="19"/>
  <c r="X200" i="19" s="1"/>
  <c r="W201" i="19"/>
  <c r="X201" i="19" s="1"/>
  <c r="W202" i="19"/>
  <c r="X202" i="19" s="1"/>
  <c r="W203" i="19"/>
  <c r="X203" i="19" s="1"/>
  <c r="W204" i="19"/>
  <c r="X204" i="19" s="1"/>
  <c r="W205" i="19"/>
  <c r="X205" i="19" s="1"/>
  <c r="W206" i="19"/>
  <c r="X206" i="19" s="1"/>
  <c r="W207" i="19"/>
  <c r="X207" i="19" s="1"/>
  <c r="W208" i="19"/>
  <c r="X208" i="19" s="1"/>
  <c r="W209" i="19"/>
  <c r="X209" i="19" s="1"/>
  <c r="W210" i="19"/>
  <c r="W211" i="19"/>
  <c r="X211" i="19" s="1"/>
  <c r="W212" i="19"/>
  <c r="W213" i="19"/>
  <c r="X213" i="19" s="1"/>
  <c r="W214" i="19"/>
  <c r="W215" i="19"/>
  <c r="W216" i="19"/>
  <c r="W217" i="19"/>
  <c r="X217" i="19" s="1"/>
  <c r="W218" i="19"/>
  <c r="X218" i="19" s="1"/>
  <c r="W219" i="19"/>
  <c r="X219" i="19" s="1"/>
  <c r="W220" i="19"/>
  <c r="X220" i="19" s="1"/>
  <c r="W221" i="19"/>
  <c r="W222" i="19"/>
  <c r="X222" i="19" s="1"/>
  <c r="W223" i="19"/>
  <c r="X223" i="19" s="1"/>
  <c r="W224" i="19"/>
  <c r="X224" i="19" s="1"/>
  <c r="W225" i="19"/>
  <c r="W226" i="19"/>
  <c r="X226" i="19" s="1"/>
  <c r="W227" i="19"/>
  <c r="X227" i="19" s="1"/>
  <c r="W228" i="19"/>
  <c r="W229" i="19"/>
  <c r="X229" i="19" s="1"/>
  <c r="W230" i="19"/>
  <c r="W231" i="19"/>
  <c r="X231" i="19" s="1"/>
  <c r="W232" i="19"/>
  <c r="X232" i="19" s="1"/>
  <c r="W233" i="19"/>
  <c r="X233" i="19" s="1"/>
  <c r="W234" i="19"/>
  <c r="X234" i="19" s="1"/>
  <c r="W235" i="19"/>
  <c r="X235" i="19" s="1"/>
  <c r="W236" i="19"/>
  <c r="W237" i="19"/>
  <c r="W238" i="19"/>
  <c r="W239" i="19"/>
  <c r="W240" i="19"/>
  <c r="X240" i="19" s="1"/>
  <c r="W241" i="19"/>
  <c r="W242" i="19"/>
  <c r="W243" i="19"/>
  <c r="X243" i="19" s="1"/>
  <c r="W244" i="19"/>
  <c r="X244" i="19" s="1"/>
  <c r="W245" i="19"/>
  <c r="W246" i="19"/>
  <c r="W247" i="19"/>
  <c r="X247" i="19" s="1"/>
  <c r="W248" i="19"/>
  <c r="W249" i="19"/>
  <c r="W250" i="19"/>
  <c r="W251" i="19"/>
  <c r="X251" i="19" s="1"/>
  <c r="W252" i="19"/>
  <c r="X252" i="19" s="1"/>
  <c r="W253" i="19"/>
  <c r="W266" i="19"/>
  <c r="W267" i="19"/>
  <c r="X267" i="19" s="1"/>
  <c r="W268" i="19"/>
  <c r="X268" i="19" s="1"/>
  <c r="W269" i="19"/>
  <c r="X269" i="19" s="1"/>
  <c r="W270" i="19"/>
  <c r="W271" i="19"/>
  <c r="X271" i="19" s="1"/>
  <c r="W272" i="19"/>
  <c r="W273" i="19"/>
  <c r="X273" i="19" s="1"/>
  <c r="W274" i="19"/>
  <c r="W275" i="19"/>
  <c r="W276" i="19"/>
  <c r="W277" i="19"/>
  <c r="X277" i="19" s="1"/>
  <c r="W278" i="19"/>
  <c r="X278" i="19" s="1"/>
  <c r="W279" i="19"/>
  <c r="W280" i="19"/>
  <c r="W281" i="19"/>
  <c r="X281" i="19" s="1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404" i="19"/>
  <c r="X404" i="19" s="1"/>
  <c r="W405" i="19"/>
  <c r="X405" i="19" s="1"/>
  <c r="W406" i="19"/>
  <c r="X406" i="19" s="1"/>
  <c r="W407" i="19"/>
  <c r="W408" i="19"/>
  <c r="X408" i="19" s="1"/>
  <c r="W409" i="19"/>
  <c r="X409" i="19" s="1"/>
  <c r="W410" i="19"/>
  <c r="X410" i="19" s="1"/>
  <c r="W411" i="19"/>
  <c r="X411" i="19" s="1"/>
  <c r="W412" i="19"/>
  <c r="W413" i="19"/>
  <c r="X413" i="19" s="1"/>
  <c r="W414" i="19"/>
  <c r="X414" i="19" s="1"/>
  <c r="W415" i="19"/>
  <c r="X415" i="19" s="1"/>
  <c r="W416" i="19"/>
  <c r="X416" i="19" s="1"/>
  <c r="W417" i="19"/>
  <c r="W418" i="19"/>
  <c r="X418" i="19" s="1"/>
  <c r="W419" i="19"/>
  <c r="X419" i="19" s="1"/>
  <c r="W420" i="19"/>
  <c r="X420" i="19" s="1"/>
  <c r="W421" i="19"/>
  <c r="X421" i="19" s="1"/>
  <c r="W422" i="19"/>
  <c r="X422" i="19" s="1"/>
  <c r="W423" i="19"/>
  <c r="X423" i="19" s="1"/>
  <c r="W431" i="19"/>
  <c r="W432" i="19"/>
  <c r="X432" i="19" s="1"/>
  <c r="W433" i="19"/>
  <c r="X433" i="19" s="1"/>
  <c r="W434" i="19"/>
  <c r="X434" i="19" s="1"/>
  <c r="W435" i="19"/>
  <c r="X435" i="19" s="1"/>
  <c r="W436" i="19"/>
  <c r="W437" i="19"/>
  <c r="X437" i="19" s="1"/>
  <c r="W438" i="19"/>
  <c r="X438" i="19" s="1"/>
  <c r="W439" i="19"/>
  <c r="X439" i="19" s="1"/>
  <c r="W440" i="19"/>
  <c r="W441" i="19"/>
  <c r="X441" i="19" s="1"/>
  <c r="W442" i="19"/>
  <c r="W443" i="19"/>
  <c r="X443" i="19" s="1"/>
  <c r="W444" i="19"/>
  <c r="X444" i="19" s="1"/>
  <c r="W446" i="19"/>
  <c r="X446" i="19" s="1"/>
  <c r="W447" i="19"/>
  <c r="X447" i="19" s="1"/>
  <c r="W448" i="19"/>
  <c r="W451" i="19"/>
  <c r="X451" i="19" s="1"/>
  <c r="W452" i="19"/>
  <c r="W453" i="19"/>
  <c r="X453" i="19" s="1"/>
  <c r="W456" i="19"/>
  <c r="W459" i="19"/>
  <c r="X459" i="19" s="1"/>
  <c r="W461" i="19"/>
  <c r="X461" i="19" s="1"/>
  <c r="W462" i="19"/>
  <c r="X462" i="19" s="1"/>
  <c r="W464" i="19"/>
  <c r="X464" i="19" s="1"/>
  <c r="W465" i="19"/>
  <c r="X465" i="19" s="1"/>
  <c r="W466" i="19"/>
  <c r="X466" i="19" s="1"/>
  <c r="W468" i="19"/>
  <c r="W472" i="19"/>
  <c r="X472" i="19" s="1"/>
  <c r="W473" i="19"/>
  <c r="X473" i="19" s="1"/>
  <c r="W474" i="19"/>
  <c r="W475" i="19"/>
  <c r="X475" i="19" s="1"/>
  <c r="W476" i="19"/>
  <c r="W477" i="19"/>
  <c r="W478" i="19"/>
  <c r="W479" i="19"/>
  <c r="W480" i="19"/>
  <c r="X480" i="19" s="1"/>
  <c r="W481" i="19"/>
  <c r="X481" i="19" s="1"/>
  <c r="W482" i="19"/>
  <c r="W489" i="19"/>
  <c r="X489" i="19" s="1"/>
  <c r="W490" i="19"/>
  <c r="X490" i="19" s="1"/>
  <c r="W491" i="19"/>
  <c r="X491" i="19" s="1"/>
  <c r="W492" i="19"/>
  <c r="X492" i="19" s="1"/>
  <c r="W493" i="19"/>
  <c r="X493" i="19" s="1"/>
  <c r="W494" i="19"/>
  <c r="X494" i="19" s="1"/>
  <c r="W495" i="19"/>
  <c r="W496" i="19"/>
  <c r="W497" i="19"/>
  <c r="X497" i="19" s="1"/>
  <c r="W498" i="19"/>
  <c r="X498" i="19" s="1"/>
  <c r="W499" i="19"/>
  <c r="X499" i="19" s="1"/>
  <c r="W500" i="19"/>
  <c r="X500" i="19" s="1"/>
  <c r="W501" i="19"/>
  <c r="W502" i="19"/>
  <c r="X502" i="19" s="1"/>
  <c r="W503" i="19"/>
  <c r="W504" i="19"/>
  <c r="W505" i="19"/>
  <c r="X505" i="19" s="1"/>
  <c r="W562" i="19"/>
  <c r="W564" i="19"/>
  <c r="X564" i="19" s="1"/>
  <c r="W567" i="19"/>
  <c r="X567" i="19" s="1"/>
  <c r="W569" i="19"/>
  <c r="W570" i="19"/>
  <c r="X570" i="19" s="1"/>
  <c r="W571" i="19"/>
  <c r="X571" i="19" s="1"/>
  <c r="W572" i="19"/>
  <c r="W573" i="19"/>
  <c r="X573" i="19" s="1"/>
  <c r="W576" i="19"/>
  <c r="W577" i="19"/>
  <c r="W578" i="19"/>
  <c r="W579" i="19"/>
  <c r="X579" i="19" s="1"/>
  <c r="W582" i="19"/>
  <c r="W583" i="19"/>
  <c r="W584" i="19"/>
  <c r="W585" i="19"/>
  <c r="X585" i="19" s="1"/>
  <c r="W7" i="19"/>
  <c r="X7" i="19" s="1"/>
  <c r="U15" i="19"/>
  <c r="U23" i="19"/>
  <c r="U70" i="19"/>
  <c r="U78" i="19"/>
  <c r="U123" i="19"/>
  <c r="U196" i="19"/>
  <c r="U204" i="19"/>
  <c r="U210" i="19"/>
  <c r="U238" i="19"/>
  <c r="U246" i="19"/>
  <c r="U274" i="19"/>
  <c r="U282" i="19"/>
  <c r="U298" i="19"/>
  <c r="U306" i="19"/>
  <c r="U314" i="19"/>
  <c r="U431" i="19"/>
  <c r="U438" i="19"/>
  <c r="U448" i="19"/>
  <c r="U479" i="19"/>
  <c r="U489" i="19"/>
  <c r="U569" i="19"/>
  <c r="Q8" i="19"/>
  <c r="Q10" i="19"/>
  <c r="V10" i="19" s="1"/>
  <c r="Q11" i="19"/>
  <c r="V11" i="19" s="1"/>
  <c r="Q12" i="19"/>
  <c r="V12" i="19" s="1"/>
  <c r="Q13" i="19"/>
  <c r="V13" i="19" s="1"/>
  <c r="Q14" i="19"/>
  <c r="V14" i="19" s="1"/>
  <c r="Q15" i="19"/>
  <c r="V15" i="19" s="1"/>
  <c r="Q16" i="19"/>
  <c r="V16" i="19" s="1"/>
  <c r="Q17" i="19"/>
  <c r="V17" i="19" s="1"/>
  <c r="Q18" i="19"/>
  <c r="V18" i="19" s="1"/>
  <c r="Q19" i="19"/>
  <c r="V19" i="19" s="1"/>
  <c r="Q20" i="19"/>
  <c r="V20" i="19" s="1"/>
  <c r="Q21" i="19"/>
  <c r="V21" i="19" s="1"/>
  <c r="Q22" i="19"/>
  <c r="V22" i="19" s="1"/>
  <c r="Q23" i="19"/>
  <c r="V23" i="19" s="1"/>
  <c r="Q24" i="19"/>
  <c r="V24" i="19" s="1"/>
  <c r="Q67" i="19"/>
  <c r="V67" i="19" s="1"/>
  <c r="Q68" i="19"/>
  <c r="V68" i="19" s="1"/>
  <c r="Q69" i="19"/>
  <c r="V69" i="19" s="1"/>
  <c r="Q70" i="19"/>
  <c r="V70" i="19" s="1"/>
  <c r="Q71" i="19"/>
  <c r="V71" i="19" s="1"/>
  <c r="Q72" i="19"/>
  <c r="V72" i="19" s="1"/>
  <c r="Q73" i="19"/>
  <c r="V73" i="19" s="1"/>
  <c r="Q74" i="19"/>
  <c r="V74" i="19" s="1"/>
  <c r="Q75" i="19"/>
  <c r="V75" i="19" s="1"/>
  <c r="Q76" i="19"/>
  <c r="V76" i="19" s="1"/>
  <c r="Q77" i="19"/>
  <c r="V77" i="19" s="1"/>
  <c r="Q78" i="19"/>
  <c r="V78" i="19" s="1"/>
  <c r="Q79" i="19"/>
  <c r="V79" i="19" s="1"/>
  <c r="Q80" i="19"/>
  <c r="V80" i="19" s="1"/>
  <c r="Q81" i="19"/>
  <c r="V81" i="19" s="1"/>
  <c r="Q82" i="19"/>
  <c r="V82" i="19" s="1"/>
  <c r="Q83" i="19"/>
  <c r="V83" i="19" s="1"/>
  <c r="Q84" i="19"/>
  <c r="V84" i="19" s="1"/>
  <c r="Q85" i="19"/>
  <c r="V85" i="19" s="1"/>
  <c r="Q86" i="19"/>
  <c r="V86" i="19" s="1"/>
  <c r="Q87" i="19"/>
  <c r="V87" i="19" s="1"/>
  <c r="Q88" i="19"/>
  <c r="V88" i="19" s="1"/>
  <c r="Q89" i="19"/>
  <c r="V89" i="19" s="1"/>
  <c r="Q90" i="19"/>
  <c r="V90" i="19" s="1"/>
  <c r="Q91" i="19"/>
  <c r="V91" i="19" s="1"/>
  <c r="Q92" i="19"/>
  <c r="V92" i="19" s="1"/>
  <c r="Q93" i="19"/>
  <c r="V93" i="19" s="1"/>
  <c r="Q94" i="19"/>
  <c r="V94" i="19" s="1"/>
  <c r="Q95" i="19"/>
  <c r="V95" i="19" s="1"/>
  <c r="Q96" i="19"/>
  <c r="V96" i="19" s="1"/>
  <c r="Q97" i="19"/>
  <c r="V97" i="19" s="1"/>
  <c r="Q98" i="19"/>
  <c r="V98" i="19" s="1"/>
  <c r="Q99" i="19"/>
  <c r="V99" i="19" s="1"/>
  <c r="Q100" i="19"/>
  <c r="V100" i="19" s="1"/>
  <c r="Q101" i="19"/>
  <c r="V101" i="19" s="1"/>
  <c r="Q102" i="19"/>
  <c r="V102" i="19" s="1"/>
  <c r="Q103" i="19"/>
  <c r="V103" i="19" s="1"/>
  <c r="Q104" i="19"/>
  <c r="V104" i="19" s="1"/>
  <c r="Q111" i="19"/>
  <c r="V111" i="19" s="1"/>
  <c r="Q122" i="19"/>
  <c r="V122" i="19" s="1"/>
  <c r="Q123" i="19"/>
  <c r="V123" i="19" s="1"/>
  <c r="Q124" i="19"/>
  <c r="V124" i="19" s="1"/>
  <c r="Q125" i="19"/>
  <c r="V125" i="19" s="1"/>
  <c r="Q126" i="19"/>
  <c r="V126" i="19" s="1"/>
  <c r="Q127" i="19"/>
  <c r="V127" i="19" s="1"/>
  <c r="Q128" i="19"/>
  <c r="V128" i="19" s="1"/>
  <c r="Q129" i="19"/>
  <c r="V129" i="19" s="1"/>
  <c r="Q130" i="19"/>
  <c r="V130" i="19" s="1"/>
  <c r="Q170" i="19"/>
  <c r="Q171" i="19"/>
  <c r="Q172" i="19"/>
  <c r="Q17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219" i="19"/>
  <c r="Q220" i="19"/>
  <c r="Q221" i="19"/>
  <c r="Q222" i="19"/>
  <c r="Q223" i="19"/>
  <c r="Q224" i="19"/>
  <c r="Q225" i="19"/>
  <c r="Q226" i="19"/>
  <c r="Q227" i="19"/>
  <c r="Q228" i="19"/>
  <c r="Q229" i="19"/>
  <c r="Q230" i="19"/>
  <c r="Q231" i="19"/>
  <c r="Q232" i="19"/>
  <c r="Q233" i="19"/>
  <c r="Q234" i="19"/>
  <c r="Q235" i="19"/>
  <c r="Q236" i="19"/>
  <c r="Q237" i="19"/>
  <c r="Q238" i="19"/>
  <c r="Q239" i="19"/>
  <c r="Q240" i="19"/>
  <c r="Q241" i="19"/>
  <c r="Q242" i="19"/>
  <c r="Q243" i="19"/>
  <c r="Q244" i="19"/>
  <c r="Q245" i="19"/>
  <c r="Q246" i="19"/>
  <c r="Q247" i="19"/>
  <c r="Q248" i="19"/>
  <c r="Q249" i="19"/>
  <c r="Q250" i="19"/>
  <c r="Q251" i="19"/>
  <c r="Q252" i="19"/>
  <c r="Q253" i="19"/>
  <c r="Q266" i="19"/>
  <c r="Q267" i="19"/>
  <c r="Q268" i="19"/>
  <c r="Q269" i="19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5" i="19"/>
  <c r="Q286" i="19"/>
  <c r="Q287" i="19"/>
  <c r="Q288" i="19"/>
  <c r="Q289" i="19"/>
  <c r="Q290" i="19"/>
  <c r="Q291" i="19"/>
  <c r="Q292" i="19"/>
  <c r="Q293" i="19"/>
  <c r="Q294" i="19"/>
  <c r="Q295" i="19"/>
  <c r="Q296" i="19"/>
  <c r="Q297" i="19"/>
  <c r="Q298" i="19"/>
  <c r="Q299" i="19"/>
  <c r="Q300" i="19"/>
  <c r="Q301" i="19"/>
  <c r="Q302" i="19"/>
  <c r="Q303" i="19"/>
  <c r="Q304" i="19"/>
  <c r="Q305" i="19"/>
  <c r="Q306" i="19"/>
  <c r="Q307" i="19"/>
  <c r="Q308" i="19"/>
  <c r="Q309" i="19"/>
  <c r="Q310" i="19"/>
  <c r="Q311" i="19"/>
  <c r="Q312" i="19"/>
  <c r="Q313" i="19"/>
  <c r="Q314" i="19"/>
  <c r="Q315" i="19"/>
  <c r="Q316" i="19"/>
  <c r="Q317" i="19"/>
  <c r="Q318" i="19"/>
  <c r="Q319" i="19"/>
  <c r="Q320" i="19"/>
  <c r="Q321" i="19"/>
  <c r="Q322" i="19"/>
  <c r="Q323" i="19"/>
  <c r="Q324" i="19"/>
  <c r="Q325" i="19"/>
  <c r="Q404" i="19"/>
  <c r="Q405" i="19"/>
  <c r="Q406" i="19"/>
  <c r="Q407" i="19"/>
  <c r="Q408" i="19"/>
  <c r="Q409" i="19"/>
  <c r="Q410" i="19"/>
  <c r="Q411" i="19"/>
  <c r="Q412" i="19"/>
  <c r="Q413" i="19"/>
  <c r="Q414" i="19"/>
  <c r="Q415" i="19"/>
  <c r="Q416" i="19"/>
  <c r="Q417" i="19"/>
  <c r="Q418" i="19"/>
  <c r="Q419" i="19"/>
  <c r="Q420" i="19"/>
  <c r="Q421" i="19"/>
  <c r="Q422" i="19"/>
  <c r="Q423" i="19"/>
  <c r="Q431" i="19"/>
  <c r="V431" i="19" s="1"/>
  <c r="Q432" i="19"/>
  <c r="Q433" i="19"/>
  <c r="Q434" i="19"/>
  <c r="Q435" i="19"/>
  <c r="Q436" i="19"/>
  <c r="Q437" i="19"/>
  <c r="Q438" i="19"/>
  <c r="Q439" i="19"/>
  <c r="Q440" i="19"/>
  <c r="Q441" i="19"/>
  <c r="V441" i="19" s="1"/>
  <c r="Q442" i="19"/>
  <c r="V442" i="19" s="1"/>
  <c r="Q443" i="19"/>
  <c r="V443" i="19" s="1"/>
  <c r="Q444" i="19"/>
  <c r="V444" i="19" s="1"/>
  <c r="Q446" i="19"/>
  <c r="Q447" i="19"/>
  <c r="Q448" i="19"/>
  <c r="Q451" i="19"/>
  <c r="Q452" i="19"/>
  <c r="Q453" i="19"/>
  <c r="Q456" i="19"/>
  <c r="Q459" i="19"/>
  <c r="V459" i="19" s="1"/>
  <c r="Q461" i="19"/>
  <c r="Q462" i="19"/>
  <c r="Q464" i="19"/>
  <c r="Q465" i="19"/>
  <c r="Q466" i="19"/>
  <c r="Q468" i="19"/>
  <c r="Q472" i="19"/>
  <c r="Q473" i="19"/>
  <c r="Q474" i="19"/>
  <c r="Q475" i="19"/>
  <c r="Q476" i="19"/>
  <c r="Q477" i="19"/>
  <c r="Q478" i="19"/>
  <c r="Q479" i="19"/>
  <c r="Q480" i="19"/>
  <c r="Q481" i="19"/>
  <c r="Q482" i="19"/>
  <c r="Q489" i="19"/>
  <c r="Q490" i="19"/>
  <c r="Q491" i="19"/>
  <c r="Q492" i="19"/>
  <c r="Q493" i="19"/>
  <c r="Q494" i="19"/>
  <c r="Q495" i="19"/>
  <c r="Q496" i="19"/>
  <c r="Q497" i="19"/>
  <c r="Q498" i="19"/>
  <c r="Q499" i="19"/>
  <c r="Q500" i="19"/>
  <c r="Q501" i="19"/>
  <c r="Q502" i="19"/>
  <c r="Q503" i="19"/>
  <c r="Q504" i="19"/>
  <c r="Q505" i="19"/>
  <c r="Q562" i="19"/>
  <c r="V562" i="19" s="1"/>
  <c r="Q564" i="19"/>
  <c r="V564" i="19" s="1"/>
  <c r="Q567" i="19"/>
  <c r="Q569" i="19"/>
  <c r="V569" i="19" s="1"/>
  <c r="Q570" i="19"/>
  <c r="V570" i="19" s="1"/>
  <c r="Q571" i="19"/>
  <c r="Q572" i="19"/>
  <c r="Q573" i="19"/>
  <c r="V573" i="19" s="1"/>
  <c r="Q576" i="19"/>
  <c r="V576" i="19" s="1"/>
  <c r="Q577" i="19"/>
  <c r="V577" i="19" s="1"/>
  <c r="Q578" i="19"/>
  <c r="V578" i="19" s="1"/>
  <c r="Q579" i="19"/>
  <c r="V579" i="19" s="1"/>
  <c r="Q582" i="19"/>
  <c r="V582" i="19" s="1"/>
  <c r="Q583" i="19"/>
  <c r="V583" i="19" s="1"/>
  <c r="Q584" i="19"/>
  <c r="V584" i="19" s="1"/>
  <c r="Q585" i="19"/>
  <c r="V585" i="19" s="1"/>
  <c r="Q7" i="19"/>
  <c r="V7" i="19" s="1"/>
  <c r="L8" i="19"/>
  <c r="L10" i="19"/>
  <c r="M10" i="19" s="1"/>
  <c r="L11" i="19"/>
  <c r="L12" i="19"/>
  <c r="M12" i="19" s="1"/>
  <c r="L13" i="19"/>
  <c r="M13" i="19" s="1"/>
  <c r="L14" i="19"/>
  <c r="P14" i="19" s="1"/>
  <c r="L15" i="19"/>
  <c r="L16" i="19"/>
  <c r="M16" i="19" s="1"/>
  <c r="L17" i="19"/>
  <c r="L18" i="19"/>
  <c r="L19" i="19"/>
  <c r="M19" i="19" s="1"/>
  <c r="L20" i="19"/>
  <c r="M20" i="19" s="1"/>
  <c r="L21" i="19"/>
  <c r="L22" i="19"/>
  <c r="O22" i="19" s="1"/>
  <c r="L23" i="19"/>
  <c r="L24" i="19"/>
  <c r="L67" i="19"/>
  <c r="M67" i="19" s="1"/>
  <c r="L68" i="19"/>
  <c r="L69" i="19"/>
  <c r="M69" i="19" s="1"/>
  <c r="L70" i="19"/>
  <c r="L71" i="19"/>
  <c r="L72" i="19"/>
  <c r="L73" i="19"/>
  <c r="M73" i="19" s="1"/>
  <c r="L74" i="19"/>
  <c r="M74" i="19" s="1"/>
  <c r="L75" i="19"/>
  <c r="M75" i="19" s="1"/>
  <c r="L76" i="19"/>
  <c r="M76" i="19" s="1"/>
  <c r="L77" i="19"/>
  <c r="L78" i="19"/>
  <c r="L79" i="19"/>
  <c r="L80" i="19"/>
  <c r="L81" i="19"/>
  <c r="L82" i="19"/>
  <c r="L83" i="19"/>
  <c r="L84" i="19"/>
  <c r="L85" i="19"/>
  <c r="L86" i="19"/>
  <c r="L87" i="19"/>
  <c r="M87" i="19" s="1"/>
  <c r="L88" i="19"/>
  <c r="L89" i="19"/>
  <c r="L90" i="19"/>
  <c r="M90" i="19" s="1"/>
  <c r="L91" i="19"/>
  <c r="M91" i="19" s="1"/>
  <c r="L92" i="19"/>
  <c r="M92" i="19" s="1"/>
  <c r="L93" i="19"/>
  <c r="O93" i="19" s="1"/>
  <c r="L94" i="19"/>
  <c r="M94" i="19" s="1"/>
  <c r="L95" i="19"/>
  <c r="L96" i="19"/>
  <c r="M96" i="19" s="1"/>
  <c r="L97" i="19"/>
  <c r="L98" i="19"/>
  <c r="M98" i="19" s="1"/>
  <c r="L99" i="19"/>
  <c r="M99" i="19" s="1"/>
  <c r="L100" i="19"/>
  <c r="M100" i="19" s="1"/>
  <c r="L101" i="19"/>
  <c r="L102" i="19"/>
  <c r="M102" i="19" s="1"/>
  <c r="L103" i="19"/>
  <c r="L104" i="19"/>
  <c r="M104" i="19" s="1"/>
  <c r="L111" i="19"/>
  <c r="L122" i="19"/>
  <c r="L123" i="19"/>
  <c r="L124" i="19"/>
  <c r="L125" i="19"/>
  <c r="L126" i="19"/>
  <c r="L127" i="19"/>
  <c r="M127" i="19" s="1"/>
  <c r="L128" i="19"/>
  <c r="L129" i="19"/>
  <c r="M129" i="19" s="1"/>
  <c r="L130" i="19"/>
  <c r="L170" i="19"/>
  <c r="M170" i="19" s="1"/>
  <c r="L171" i="19"/>
  <c r="L172" i="19"/>
  <c r="L173" i="19"/>
  <c r="M173" i="19" s="1"/>
  <c r="L194" i="19"/>
  <c r="M194" i="19" s="1"/>
  <c r="L195" i="19"/>
  <c r="M195" i="19" s="1"/>
  <c r="L196" i="19"/>
  <c r="M196" i="19" s="1"/>
  <c r="L197" i="19"/>
  <c r="L198" i="19"/>
  <c r="M198" i="19" s="1"/>
  <c r="L199" i="19"/>
  <c r="M199" i="19" s="1"/>
  <c r="L200" i="19"/>
  <c r="L201" i="19"/>
  <c r="M201" i="19" s="1"/>
  <c r="L202" i="19"/>
  <c r="M202" i="19" s="1"/>
  <c r="L203" i="19"/>
  <c r="M203" i="19" s="1"/>
  <c r="L204" i="19"/>
  <c r="L205" i="19"/>
  <c r="M205" i="19" s="1"/>
  <c r="L206" i="19"/>
  <c r="M206" i="19" s="1"/>
  <c r="L207" i="19"/>
  <c r="M207" i="19" s="1"/>
  <c r="L208" i="19"/>
  <c r="M208" i="19" s="1"/>
  <c r="L209" i="19"/>
  <c r="M209" i="19" s="1"/>
  <c r="L210" i="19"/>
  <c r="L211" i="19"/>
  <c r="M211" i="19" s="1"/>
  <c r="L212" i="19"/>
  <c r="L213" i="19"/>
  <c r="M213" i="19" s="1"/>
  <c r="L214" i="19"/>
  <c r="M214" i="19" s="1"/>
  <c r="L215" i="19"/>
  <c r="M215" i="19" s="1"/>
  <c r="L216" i="19"/>
  <c r="L217" i="19"/>
  <c r="M217" i="19" s="1"/>
  <c r="L218" i="19"/>
  <c r="M218" i="19" s="1"/>
  <c r="L219" i="19"/>
  <c r="M219" i="19" s="1"/>
  <c r="L220" i="19"/>
  <c r="L221" i="19"/>
  <c r="L222" i="19"/>
  <c r="M222" i="19" s="1"/>
  <c r="L223" i="19"/>
  <c r="L224" i="19"/>
  <c r="M224" i="19" s="1"/>
  <c r="L225" i="19"/>
  <c r="L226" i="19"/>
  <c r="L227" i="19"/>
  <c r="L228" i="19"/>
  <c r="L229" i="19"/>
  <c r="L230" i="19"/>
  <c r="L231" i="19"/>
  <c r="L232" i="19"/>
  <c r="L233" i="19"/>
  <c r="M233" i="19" s="1"/>
  <c r="L234" i="19"/>
  <c r="M234" i="19" s="1"/>
  <c r="L235" i="19"/>
  <c r="L236" i="19"/>
  <c r="M236" i="19" s="1"/>
  <c r="L237" i="19"/>
  <c r="L238" i="19"/>
  <c r="M238" i="19" s="1"/>
  <c r="L239" i="19"/>
  <c r="M239" i="19" s="1"/>
  <c r="L240" i="19"/>
  <c r="M240" i="19" s="1"/>
  <c r="L241" i="19"/>
  <c r="L242" i="19"/>
  <c r="M242" i="19" s="1"/>
  <c r="L243" i="19"/>
  <c r="M243" i="19" s="1"/>
  <c r="L244" i="19"/>
  <c r="M244" i="19" s="1"/>
  <c r="L245" i="19"/>
  <c r="L246" i="19"/>
  <c r="M246" i="19" s="1"/>
  <c r="L247" i="19"/>
  <c r="M247" i="19" s="1"/>
  <c r="L248" i="19"/>
  <c r="M248" i="19" s="1"/>
  <c r="L249" i="19"/>
  <c r="L250" i="19"/>
  <c r="M250" i="19" s="1"/>
  <c r="L251" i="19"/>
  <c r="M251" i="19" s="1"/>
  <c r="L252" i="19"/>
  <c r="M252" i="19" s="1"/>
  <c r="L253" i="19"/>
  <c r="L266" i="19"/>
  <c r="L267" i="19"/>
  <c r="M267" i="19" s="1"/>
  <c r="L268" i="19"/>
  <c r="M268" i="19" s="1"/>
  <c r="L269" i="19"/>
  <c r="L270" i="19"/>
  <c r="M270" i="19" s="1"/>
  <c r="L271" i="19"/>
  <c r="M271" i="19" s="1"/>
  <c r="L272" i="19"/>
  <c r="M272" i="19" s="1"/>
  <c r="L273" i="19"/>
  <c r="M273" i="19" s="1"/>
  <c r="L274" i="19"/>
  <c r="L275" i="19"/>
  <c r="L276" i="19"/>
  <c r="M276" i="19" s="1"/>
  <c r="L277" i="19"/>
  <c r="M277" i="19" s="1"/>
  <c r="L278" i="19"/>
  <c r="M278" i="19" s="1"/>
  <c r="L279" i="19"/>
  <c r="L280" i="19"/>
  <c r="L281" i="19"/>
  <c r="L282" i="19"/>
  <c r="L283" i="19"/>
  <c r="M283" i="19" s="1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404" i="19"/>
  <c r="L405" i="19"/>
  <c r="M405" i="19" s="1"/>
  <c r="L406" i="19"/>
  <c r="M406" i="19" s="1"/>
  <c r="L407" i="19"/>
  <c r="M407" i="19" s="1"/>
  <c r="L408" i="19"/>
  <c r="L409" i="19"/>
  <c r="M409" i="19" s="1"/>
  <c r="L410" i="19"/>
  <c r="L411" i="19"/>
  <c r="M411" i="19" s="1"/>
  <c r="L412" i="19"/>
  <c r="L413" i="19"/>
  <c r="M413" i="19" s="1"/>
  <c r="L414" i="19"/>
  <c r="M414" i="19" s="1"/>
  <c r="L415" i="19"/>
  <c r="L416" i="19"/>
  <c r="L417" i="19"/>
  <c r="M417" i="19" s="1"/>
  <c r="L418" i="19"/>
  <c r="L419" i="19"/>
  <c r="M419" i="19" s="1"/>
  <c r="L420" i="19"/>
  <c r="M420" i="19" s="1"/>
  <c r="L421" i="19"/>
  <c r="M421" i="19" s="1"/>
  <c r="L422" i="19"/>
  <c r="L423" i="19"/>
  <c r="M423" i="19" s="1"/>
  <c r="L431" i="19"/>
  <c r="M431" i="19" s="1"/>
  <c r="L432" i="19"/>
  <c r="L433" i="19"/>
  <c r="M433" i="19" s="1"/>
  <c r="L434" i="19"/>
  <c r="M434" i="19" s="1"/>
  <c r="L435" i="19"/>
  <c r="L436" i="19"/>
  <c r="L437" i="19"/>
  <c r="M437" i="19" s="1"/>
  <c r="L438" i="19"/>
  <c r="L439" i="19"/>
  <c r="L440" i="19"/>
  <c r="L441" i="19"/>
  <c r="M441" i="19" s="1"/>
  <c r="L442" i="19"/>
  <c r="M442" i="19" s="1"/>
  <c r="L443" i="19"/>
  <c r="M443" i="19" s="1"/>
  <c r="L444" i="19"/>
  <c r="L446" i="19"/>
  <c r="L447" i="19"/>
  <c r="M447" i="19" s="1"/>
  <c r="L448" i="19"/>
  <c r="L451" i="19"/>
  <c r="L452" i="19"/>
  <c r="L453" i="19"/>
  <c r="M453" i="19" s="1"/>
  <c r="L456" i="19"/>
  <c r="M456" i="19" s="1"/>
  <c r="L459" i="19"/>
  <c r="M459" i="19" s="1"/>
  <c r="L461" i="19"/>
  <c r="M461" i="19" s="1"/>
  <c r="L462" i="19"/>
  <c r="M462" i="19" s="1"/>
  <c r="L464" i="19"/>
  <c r="L465" i="19"/>
  <c r="M465" i="19" s="1"/>
  <c r="L466" i="19"/>
  <c r="M466" i="19" s="1"/>
  <c r="L468" i="19"/>
  <c r="M468" i="19" s="1"/>
  <c r="L472" i="19"/>
  <c r="M472" i="19" s="1"/>
  <c r="L473" i="19"/>
  <c r="M473" i="19" s="1"/>
  <c r="L474" i="19"/>
  <c r="L475" i="19"/>
  <c r="M475" i="19" s="1"/>
  <c r="L476" i="19"/>
  <c r="L477" i="19"/>
  <c r="L478" i="19"/>
  <c r="L479" i="19"/>
  <c r="L480" i="19"/>
  <c r="L481" i="19"/>
  <c r="M481" i="19" s="1"/>
  <c r="L482" i="19"/>
  <c r="M482" i="19" s="1"/>
  <c r="L489" i="19"/>
  <c r="M489" i="19" s="1"/>
  <c r="L490" i="19"/>
  <c r="M490" i="19" s="1"/>
  <c r="L491" i="19"/>
  <c r="L492" i="19"/>
  <c r="M492" i="19" s="1"/>
  <c r="L493" i="19"/>
  <c r="M493" i="19" s="1"/>
  <c r="L494" i="19"/>
  <c r="M494" i="19" s="1"/>
  <c r="L495" i="19"/>
  <c r="L496" i="19"/>
  <c r="M496" i="19" s="1"/>
  <c r="L497" i="19"/>
  <c r="L498" i="19"/>
  <c r="M498" i="19" s="1"/>
  <c r="L499" i="19"/>
  <c r="L500" i="19"/>
  <c r="L501" i="19"/>
  <c r="M501" i="19" s="1"/>
  <c r="L502" i="19"/>
  <c r="M502" i="19" s="1"/>
  <c r="L503" i="19"/>
  <c r="M503" i="19" s="1"/>
  <c r="L504" i="19"/>
  <c r="M504" i="19" s="1"/>
  <c r="L505" i="19"/>
  <c r="M505" i="19" s="1"/>
  <c r="L562" i="19"/>
  <c r="M562" i="19" s="1"/>
  <c r="L564" i="19"/>
  <c r="M564" i="19" s="1"/>
  <c r="L567" i="19"/>
  <c r="L569" i="19"/>
  <c r="M569" i="19" s="1"/>
  <c r="L570" i="19"/>
  <c r="L571" i="19"/>
  <c r="M571" i="19" s="1"/>
  <c r="L572" i="19"/>
  <c r="M572" i="19" s="1"/>
  <c r="L573" i="19"/>
  <c r="M573" i="19" s="1"/>
  <c r="L576" i="19"/>
  <c r="L577" i="19"/>
  <c r="M577" i="19" s="1"/>
  <c r="L578" i="19"/>
  <c r="M578" i="19" s="1"/>
  <c r="L579" i="19"/>
  <c r="L582" i="19"/>
  <c r="M582" i="19" s="1"/>
  <c r="L583" i="19"/>
  <c r="M583" i="19" s="1"/>
  <c r="L584" i="19"/>
  <c r="M584" i="19" s="1"/>
  <c r="L585" i="19"/>
  <c r="M585" i="19" s="1"/>
  <c r="L7" i="19"/>
  <c r="H8" i="19"/>
  <c r="H10" i="19"/>
  <c r="J10" i="19" s="1"/>
  <c r="H11" i="19"/>
  <c r="J11" i="19" s="1"/>
  <c r="H12" i="19"/>
  <c r="H13" i="19"/>
  <c r="J13" i="19" s="1"/>
  <c r="H14" i="19"/>
  <c r="J14" i="19" s="1"/>
  <c r="H15" i="19"/>
  <c r="J15" i="19" s="1"/>
  <c r="H16" i="19"/>
  <c r="J16" i="19" s="1"/>
  <c r="H17" i="19"/>
  <c r="J17" i="19" s="1"/>
  <c r="H18" i="19"/>
  <c r="J18" i="19" s="1"/>
  <c r="H19" i="19"/>
  <c r="J19" i="19" s="1"/>
  <c r="H20" i="19"/>
  <c r="J20" i="19" s="1"/>
  <c r="H21" i="19"/>
  <c r="J21" i="19" s="1"/>
  <c r="H22" i="19"/>
  <c r="J22" i="19" s="1"/>
  <c r="H23" i="19"/>
  <c r="H24" i="19"/>
  <c r="J24" i="19" s="1"/>
  <c r="H67" i="19"/>
  <c r="J67" i="19" s="1"/>
  <c r="H68" i="19"/>
  <c r="J68" i="19" s="1"/>
  <c r="H69" i="19"/>
  <c r="J69" i="19" s="1"/>
  <c r="H70" i="19"/>
  <c r="H71" i="19"/>
  <c r="J71" i="19" s="1"/>
  <c r="H72" i="19"/>
  <c r="J72" i="19" s="1"/>
  <c r="H73" i="19"/>
  <c r="J73" i="19" s="1"/>
  <c r="H74" i="19"/>
  <c r="H75" i="19"/>
  <c r="J75" i="19" s="1"/>
  <c r="H76" i="19"/>
  <c r="J76" i="19" s="1"/>
  <c r="H77" i="19"/>
  <c r="J77" i="19" s="1"/>
  <c r="H78" i="19"/>
  <c r="J78" i="19" s="1"/>
  <c r="H79" i="19"/>
  <c r="J79" i="19" s="1"/>
  <c r="H80" i="19"/>
  <c r="J80" i="19" s="1"/>
  <c r="H81" i="19"/>
  <c r="H82" i="19"/>
  <c r="J82" i="19" s="1"/>
  <c r="H83" i="19"/>
  <c r="J83" i="19" s="1"/>
  <c r="H84" i="19"/>
  <c r="J84" i="19" s="1"/>
  <c r="H85" i="19"/>
  <c r="J85" i="19" s="1"/>
  <c r="H86" i="19"/>
  <c r="J86" i="19" s="1"/>
  <c r="H87" i="19"/>
  <c r="H88" i="19"/>
  <c r="J88" i="19" s="1"/>
  <c r="H89" i="19"/>
  <c r="J89" i="19" s="1"/>
  <c r="H90" i="19"/>
  <c r="J90" i="19" s="1"/>
  <c r="H91" i="19"/>
  <c r="H92" i="19"/>
  <c r="J92" i="19" s="1"/>
  <c r="H93" i="19"/>
  <c r="J93" i="19" s="1"/>
  <c r="H94" i="19"/>
  <c r="J94" i="19" s="1"/>
  <c r="H95" i="19"/>
  <c r="H96" i="19"/>
  <c r="J96" i="19" s="1"/>
  <c r="H97" i="19"/>
  <c r="J97" i="19" s="1"/>
  <c r="H98" i="19"/>
  <c r="J98" i="19" s="1"/>
  <c r="H99" i="19"/>
  <c r="H100" i="19"/>
  <c r="J100" i="19" s="1"/>
  <c r="H101" i="19"/>
  <c r="H102" i="19"/>
  <c r="J102" i="19" s="1"/>
  <c r="H103" i="19"/>
  <c r="J103" i="19" s="1"/>
  <c r="H104" i="19"/>
  <c r="J104" i="19" s="1"/>
  <c r="H111" i="19"/>
  <c r="J111" i="19" s="1"/>
  <c r="H122" i="19"/>
  <c r="J122" i="19" s="1"/>
  <c r="H123" i="19"/>
  <c r="J123" i="19" s="1"/>
  <c r="H124" i="19"/>
  <c r="J124" i="19" s="1"/>
  <c r="H125" i="19"/>
  <c r="J125" i="19" s="1"/>
  <c r="H126" i="19"/>
  <c r="J126" i="19" s="1"/>
  <c r="H127" i="19"/>
  <c r="J127" i="19" s="1"/>
  <c r="H128" i="19"/>
  <c r="J128" i="19" s="1"/>
  <c r="H129" i="19"/>
  <c r="H130" i="19"/>
  <c r="J130" i="19" s="1"/>
  <c r="H170" i="19"/>
  <c r="J170" i="19" s="1"/>
  <c r="H171" i="19"/>
  <c r="J171" i="19" s="1"/>
  <c r="H172" i="19"/>
  <c r="J172" i="19" s="1"/>
  <c r="H173" i="19"/>
  <c r="J173" i="19" s="1"/>
  <c r="H194" i="19"/>
  <c r="H195" i="19"/>
  <c r="J195" i="19" s="1"/>
  <c r="H196" i="19"/>
  <c r="J196" i="19" s="1"/>
  <c r="H197" i="19"/>
  <c r="J197" i="19" s="1"/>
  <c r="H198" i="19"/>
  <c r="J198" i="19" s="1"/>
  <c r="H199" i="19"/>
  <c r="J199" i="19" s="1"/>
  <c r="H200" i="19"/>
  <c r="H201" i="19"/>
  <c r="J201" i="19" s="1"/>
  <c r="H202" i="19"/>
  <c r="H203" i="19"/>
  <c r="H204" i="19"/>
  <c r="J204" i="19" s="1"/>
  <c r="H205" i="19"/>
  <c r="H206" i="19"/>
  <c r="J206" i="19" s="1"/>
  <c r="H207" i="19"/>
  <c r="H208" i="19"/>
  <c r="J208" i="19" s="1"/>
  <c r="H209" i="19"/>
  <c r="H210" i="19"/>
  <c r="J210" i="19" s="1"/>
  <c r="H211" i="19"/>
  <c r="J211" i="19" s="1"/>
  <c r="H212" i="19"/>
  <c r="J212" i="19" s="1"/>
  <c r="H213" i="19"/>
  <c r="H214" i="19"/>
  <c r="H215" i="19"/>
  <c r="J215" i="19" s="1"/>
  <c r="H216" i="19"/>
  <c r="J216" i="19" s="1"/>
  <c r="H217" i="19"/>
  <c r="H218" i="19"/>
  <c r="H219" i="19"/>
  <c r="J219" i="19" s="1"/>
  <c r="H220" i="19"/>
  <c r="J220" i="19" s="1"/>
  <c r="H221" i="19"/>
  <c r="J221" i="19" s="1"/>
  <c r="H222" i="19"/>
  <c r="H223" i="19"/>
  <c r="J223" i="19" s="1"/>
  <c r="H224" i="19"/>
  <c r="J224" i="19" s="1"/>
  <c r="H225" i="19"/>
  <c r="J225" i="19" s="1"/>
  <c r="H226" i="19"/>
  <c r="H227" i="19"/>
  <c r="J227" i="19" s="1"/>
  <c r="H228" i="19"/>
  <c r="H229" i="19"/>
  <c r="J229" i="19" s="1"/>
  <c r="H230" i="19"/>
  <c r="H231" i="19"/>
  <c r="J231" i="19" s="1"/>
  <c r="H232" i="19"/>
  <c r="J232" i="19" s="1"/>
  <c r="H233" i="19"/>
  <c r="J233" i="19" s="1"/>
  <c r="H234" i="19"/>
  <c r="J234" i="19" s="1"/>
  <c r="H235" i="19"/>
  <c r="J235" i="19" s="1"/>
  <c r="H236" i="19"/>
  <c r="H237" i="19"/>
  <c r="J237" i="19" s="1"/>
  <c r="H238" i="19"/>
  <c r="J238" i="19" s="1"/>
  <c r="H239" i="19"/>
  <c r="J239" i="19" s="1"/>
  <c r="H240" i="19"/>
  <c r="J240" i="19" s="1"/>
  <c r="H241" i="19"/>
  <c r="J241" i="19" s="1"/>
  <c r="H242" i="19"/>
  <c r="H243" i="19"/>
  <c r="J243" i="19" s="1"/>
  <c r="H244" i="19"/>
  <c r="J244" i="19" s="1"/>
  <c r="H245" i="19"/>
  <c r="J245" i="19" s="1"/>
  <c r="H246" i="19"/>
  <c r="H247" i="19"/>
  <c r="J247" i="19" s="1"/>
  <c r="H248" i="19"/>
  <c r="H249" i="19"/>
  <c r="J249" i="19" s="1"/>
  <c r="H250" i="19"/>
  <c r="H251" i="19"/>
  <c r="J251" i="19" s="1"/>
  <c r="H252" i="19"/>
  <c r="J252" i="19" s="1"/>
  <c r="H253" i="19"/>
  <c r="J253" i="19" s="1"/>
  <c r="H266" i="19"/>
  <c r="H267" i="19"/>
  <c r="J267" i="19" s="1"/>
  <c r="H268" i="19"/>
  <c r="J268" i="19" s="1"/>
  <c r="H269" i="19"/>
  <c r="H270" i="19"/>
  <c r="J270" i="19" s="1"/>
  <c r="H271" i="19"/>
  <c r="J271" i="19" s="1"/>
  <c r="H272" i="19"/>
  <c r="J272" i="19" s="1"/>
  <c r="H273" i="19"/>
  <c r="H274" i="19"/>
  <c r="J274" i="19" s="1"/>
  <c r="H275" i="19"/>
  <c r="J275" i="19" s="1"/>
  <c r="H276" i="19"/>
  <c r="J276" i="19" s="1"/>
  <c r="H277" i="19"/>
  <c r="J277" i="19" s="1"/>
  <c r="H278" i="19"/>
  <c r="H279" i="19"/>
  <c r="J279" i="19" s="1"/>
  <c r="H280" i="19"/>
  <c r="J280" i="19" s="1"/>
  <c r="H281" i="19"/>
  <c r="J281" i="19" s="1"/>
  <c r="H282" i="19"/>
  <c r="J282" i="19" s="1"/>
  <c r="H283" i="19"/>
  <c r="J283" i="19" s="1"/>
  <c r="H284" i="19"/>
  <c r="H285" i="19"/>
  <c r="J285" i="19" s="1"/>
  <c r="H286" i="19"/>
  <c r="H287" i="19"/>
  <c r="J287" i="19" s="1"/>
  <c r="H288" i="19"/>
  <c r="H289" i="19"/>
  <c r="J289" i="19" s="1"/>
  <c r="H290" i="19"/>
  <c r="H291" i="19"/>
  <c r="J291" i="19" s="1"/>
  <c r="H292" i="19"/>
  <c r="H293" i="19"/>
  <c r="H294" i="19"/>
  <c r="J294" i="19" s="1"/>
  <c r="H295" i="19"/>
  <c r="H296" i="19"/>
  <c r="H297" i="19"/>
  <c r="H298" i="19"/>
  <c r="H299" i="19"/>
  <c r="H300" i="19"/>
  <c r="H301" i="19"/>
  <c r="H302" i="19"/>
  <c r="J302" i="19" s="1"/>
  <c r="H303" i="19"/>
  <c r="J303" i="19" s="1"/>
  <c r="H304" i="19"/>
  <c r="H305" i="19"/>
  <c r="H306" i="19"/>
  <c r="J306" i="19" s="1"/>
  <c r="H307" i="19"/>
  <c r="H308" i="19"/>
  <c r="H309" i="19"/>
  <c r="H310" i="19"/>
  <c r="H311" i="19"/>
  <c r="H312" i="19"/>
  <c r="H313" i="19"/>
  <c r="H314" i="19"/>
  <c r="H315" i="19"/>
  <c r="H316" i="19"/>
  <c r="J316" i="19" s="1"/>
  <c r="H317" i="19"/>
  <c r="H318" i="19"/>
  <c r="J318" i="19" s="1"/>
  <c r="H319" i="19"/>
  <c r="J319" i="19" s="1"/>
  <c r="H320" i="19"/>
  <c r="H321" i="19"/>
  <c r="J321" i="19" s="1"/>
  <c r="H322" i="19"/>
  <c r="J322" i="19" s="1"/>
  <c r="H323" i="19"/>
  <c r="J323" i="19" s="1"/>
  <c r="H324" i="19"/>
  <c r="J324" i="19" s="1"/>
  <c r="H325" i="19"/>
  <c r="J325" i="19" s="1"/>
  <c r="H404" i="19"/>
  <c r="J404" i="19" s="1"/>
  <c r="H405" i="19"/>
  <c r="J405" i="19" s="1"/>
  <c r="H406" i="19"/>
  <c r="J406" i="19" s="1"/>
  <c r="H407" i="19"/>
  <c r="J407" i="19" s="1"/>
  <c r="H408" i="19"/>
  <c r="J408" i="19" s="1"/>
  <c r="H409" i="19"/>
  <c r="H410" i="19"/>
  <c r="J410" i="19" s="1"/>
  <c r="H411" i="19"/>
  <c r="J411" i="19" s="1"/>
  <c r="H412" i="19"/>
  <c r="H413" i="19"/>
  <c r="J413" i="19" s="1"/>
  <c r="H414" i="19"/>
  <c r="H415" i="19"/>
  <c r="J415" i="19" s="1"/>
  <c r="H416" i="19"/>
  <c r="H417" i="19"/>
  <c r="H418" i="19"/>
  <c r="H419" i="19"/>
  <c r="H420" i="19"/>
  <c r="H421" i="19"/>
  <c r="H422" i="19"/>
  <c r="H423" i="19"/>
  <c r="H431" i="19"/>
  <c r="J431" i="19" s="1"/>
  <c r="H432" i="19"/>
  <c r="H433" i="19"/>
  <c r="J433" i="19" s="1"/>
  <c r="H434" i="19"/>
  <c r="J434" i="19" s="1"/>
  <c r="H435" i="19"/>
  <c r="J435" i="19" s="1"/>
  <c r="H436" i="19"/>
  <c r="H437" i="19"/>
  <c r="J437" i="19" s="1"/>
  <c r="H438" i="19"/>
  <c r="H439" i="19"/>
  <c r="H440" i="19"/>
  <c r="H441" i="19"/>
  <c r="J441" i="19" s="1"/>
  <c r="H442" i="19"/>
  <c r="J442" i="19" s="1"/>
  <c r="H443" i="19"/>
  <c r="H444" i="19"/>
  <c r="H446" i="19"/>
  <c r="J446" i="19" s="1"/>
  <c r="H447" i="19"/>
  <c r="J447" i="19" s="1"/>
  <c r="H448" i="19"/>
  <c r="J448" i="19" s="1"/>
  <c r="H451" i="19"/>
  <c r="J451" i="19" s="1"/>
  <c r="H452" i="19"/>
  <c r="J452" i="19" s="1"/>
  <c r="H453" i="19"/>
  <c r="H456" i="19"/>
  <c r="J456" i="19" s="1"/>
  <c r="H459" i="19"/>
  <c r="J459" i="19" s="1"/>
  <c r="H461" i="19"/>
  <c r="J461" i="19" s="1"/>
  <c r="H462" i="19"/>
  <c r="J462" i="19" s="1"/>
  <c r="H464" i="19"/>
  <c r="J464" i="19" s="1"/>
  <c r="H465" i="19"/>
  <c r="H466" i="19"/>
  <c r="J466" i="19" s="1"/>
  <c r="H468" i="19"/>
  <c r="J468" i="19" s="1"/>
  <c r="H472" i="19"/>
  <c r="J472" i="19" s="1"/>
  <c r="H473" i="19"/>
  <c r="J473" i="19" s="1"/>
  <c r="H474" i="19"/>
  <c r="J474" i="19" s="1"/>
  <c r="H475" i="19"/>
  <c r="J475" i="19" s="1"/>
  <c r="H476" i="19"/>
  <c r="H477" i="19"/>
  <c r="H478" i="19"/>
  <c r="J478" i="19" s="1"/>
  <c r="H479" i="19"/>
  <c r="J479" i="19" s="1"/>
  <c r="H480" i="19"/>
  <c r="H481" i="19"/>
  <c r="J481" i="19" s="1"/>
  <c r="H482" i="19"/>
  <c r="J482" i="19" s="1"/>
  <c r="H489" i="19"/>
  <c r="H490" i="19"/>
  <c r="J490" i="19" s="1"/>
  <c r="H491" i="19"/>
  <c r="J491" i="19" s="1"/>
  <c r="H492" i="19"/>
  <c r="H493" i="19"/>
  <c r="J493" i="19" s="1"/>
  <c r="H494" i="19"/>
  <c r="H495" i="19"/>
  <c r="J495" i="19" s="1"/>
  <c r="H496" i="19"/>
  <c r="J496" i="19" s="1"/>
  <c r="H497" i="19"/>
  <c r="H498" i="19"/>
  <c r="J498" i="19" s="1"/>
  <c r="H499" i="19"/>
  <c r="H500" i="19"/>
  <c r="J500" i="19" s="1"/>
  <c r="H501" i="19"/>
  <c r="H502" i="19"/>
  <c r="H503" i="19"/>
  <c r="J503" i="19" s="1"/>
  <c r="H504" i="19"/>
  <c r="H505" i="19"/>
  <c r="H562" i="19"/>
  <c r="H564" i="19"/>
  <c r="J564" i="19" s="1"/>
  <c r="H567" i="19"/>
  <c r="H569" i="19"/>
  <c r="J569" i="19" s="1"/>
  <c r="H570" i="19"/>
  <c r="J570" i="19" s="1"/>
  <c r="H571" i="19"/>
  <c r="J571" i="19" s="1"/>
  <c r="H572" i="19"/>
  <c r="J572" i="19" s="1"/>
  <c r="H573" i="19"/>
  <c r="H576" i="19"/>
  <c r="H577" i="19"/>
  <c r="H578" i="19"/>
  <c r="H579" i="19"/>
  <c r="J579" i="19" s="1"/>
  <c r="H582" i="19"/>
  <c r="J582" i="19" s="1"/>
  <c r="H583" i="19"/>
  <c r="J583" i="19" s="1"/>
  <c r="H584" i="19"/>
  <c r="J584" i="19" s="1"/>
  <c r="H585" i="19"/>
  <c r="H7" i="19"/>
  <c r="F8" i="19"/>
  <c r="F10" i="19"/>
  <c r="F11" i="19"/>
  <c r="F12" i="19"/>
  <c r="F13" i="19"/>
  <c r="G13" i="19" s="1"/>
  <c r="F14" i="19"/>
  <c r="F15" i="19"/>
  <c r="F16" i="19"/>
  <c r="F17" i="19"/>
  <c r="F18" i="19"/>
  <c r="F19" i="19"/>
  <c r="F20" i="19"/>
  <c r="F21" i="19"/>
  <c r="F22" i="19"/>
  <c r="F23" i="19"/>
  <c r="F24" i="19"/>
  <c r="F67" i="19"/>
  <c r="F68" i="19"/>
  <c r="G68" i="19" s="1"/>
  <c r="F69" i="19"/>
  <c r="F70" i="19"/>
  <c r="F71" i="19"/>
  <c r="F72" i="19"/>
  <c r="G72" i="19" s="1"/>
  <c r="F73" i="19"/>
  <c r="F74" i="19"/>
  <c r="F75" i="19"/>
  <c r="F76" i="19"/>
  <c r="G76" i="19" s="1"/>
  <c r="F77" i="19"/>
  <c r="F78" i="19"/>
  <c r="G78" i="19" s="1"/>
  <c r="F79" i="19"/>
  <c r="F80" i="19"/>
  <c r="F81" i="19"/>
  <c r="F82" i="19"/>
  <c r="F83" i="19"/>
  <c r="F84" i="19"/>
  <c r="G84" i="19" s="1"/>
  <c r="F85" i="19"/>
  <c r="F86" i="19"/>
  <c r="G86" i="19" s="1"/>
  <c r="F87" i="19"/>
  <c r="F88" i="19"/>
  <c r="F89" i="19"/>
  <c r="G89" i="19" s="1"/>
  <c r="F90" i="19"/>
  <c r="F91" i="19"/>
  <c r="F92" i="19"/>
  <c r="F93" i="19"/>
  <c r="G93" i="19" s="1"/>
  <c r="F94" i="19"/>
  <c r="F95" i="19"/>
  <c r="F96" i="19"/>
  <c r="F97" i="19"/>
  <c r="G97" i="19" s="1"/>
  <c r="F98" i="19"/>
  <c r="F99" i="19"/>
  <c r="F100" i="19"/>
  <c r="G100" i="19" s="1"/>
  <c r="F101" i="19"/>
  <c r="F102" i="19"/>
  <c r="F103" i="19"/>
  <c r="G103" i="19" s="1"/>
  <c r="F104" i="19"/>
  <c r="G104" i="19" s="1"/>
  <c r="F111" i="19"/>
  <c r="F122" i="19"/>
  <c r="F123" i="19"/>
  <c r="F124" i="19"/>
  <c r="F125" i="19"/>
  <c r="F126" i="19"/>
  <c r="F127" i="19"/>
  <c r="F128" i="19"/>
  <c r="F129" i="19"/>
  <c r="F130" i="19"/>
  <c r="F170" i="19"/>
  <c r="F171" i="19"/>
  <c r="F172" i="19"/>
  <c r="F17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31" i="19"/>
  <c r="G431" i="19" s="1"/>
  <c r="F432" i="19"/>
  <c r="F433" i="19"/>
  <c r="F434" i="19"/>
  <c r="F435" i="19"/>
  <c r="F436" i="19"/>
  <c r="F437" i="19"/>
  <c r="F438" i="19"/>
  <c r="F439" i="19"/>
  <c r="F440" i="19"/>
  <c r="F441" i="19"/>
  <c r="G441" i="19" s="1"/>
  <c r="F442" i="19"/>
  <c r="F443" i="19"/>
  <c r="G443" i="19" s="1"/>
  <c r="F444" i="19"/>
  <c r="G444" i="19" s="1"/>
  <c r="F446" i="19"/>
  <c r="F447" i="19"/>
  <c r="F448" i="19"/>
  <c r="F451" i="19"/>
  <c r="F452" i="19"/>
  <c r="F453" i="19"/>
  <c r="F456" i="19"/>
  <c r="F459" i="19"/>
  <c r="F461" i="19"/>
  <c r="F462" i="19"/>
  <c r="F464" i="19"/>
  <c r="F465" i="19"/>
  <c r="F466" i="19"/>
  <c r="F468" i="19"/>
  <c r="F472" i="19"/>
  <c r="F473" i="19"/>
  <c r="F474" i="19"/>
  <c r="F475" i="19"/>
  <c r="F476" i="19"/>
  <c r="F477" i="19"/>
  <c r="F478" i="19"/>
  <c r="F479" i="19"/>
  <c r="F480" i="19"/>
  <c r="F481" i="19"/>
  <c r="F482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62" i="19"/>
  <c r="G562" i="19" s="1"/>
  <c r="F564" i="19"/>
  <c r="G564" i="19" s="1"/>
  <c r="F567" i="19"/>
  <c r="F569" i="19"/>
  <c r="G569" i="19" s="1"/>
  <c r="F570" i="19"/>
  <c r="G570" i="19" s="1"/>
  <c r="F571" i="19"/>
  <c r="F572" i="19"/>
  <c r="F573" i="19"/>
  <c r="G573" i="19" s="1"/>
  <c r="F576" i="19"/>
  <c r="G576" i="19" s="1"/>
  <c r="F577" i="19"/>
  <c r="F578" i="19"/>
  <c r="F579" i="19"/>
  <c r="G579" i="19" s="1"/>
  <c r="F582" i="19"/>
  <c r="G582" i="19" s="1"/>
  <c r="F583" i="19"/>
  <c r="G583" i="19" s="1"/>
  <c r="F584" i="19"/>
  <c r="G584" i="19" s="1"/>
  <c r="F585" i="19"/>
  <c r="G585" i="19" s="1"/>
  <c r="F7" i="19"/>
  <c r="D8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11" i="19"/>
  <c r="D122" i="19"/>
  <c r="D123" i="19"/>
  <c r="D124" i="19"/>
  <c r="D125" i="19"/>
  <c r="D126" i="19"/>
  <c r="D127" i="19"/>
  <c r="D128" i="19"/>
  <c r="D129" i="19"/>
  <c r="D130" i="19"/>
  <c r="D170" i="19"/>
  <c r="D171" i="19"/>
  <c r="D172" i="19"/>
  <c r="D17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6" i="19"/>
  <c r="D447" i="19"/>
  <c r="D448" i="19"/>
  <c r="D451" i="19"/>
  <c r="D452" i="19"/>
  <c r="D453" i="19"/>
  <c r="D456" i="19"/>
  <c r="D459" i="19"/>
  <c r="D461" i="19"/>
  <c r="D462" i="19"/>
  <c r="D464" i="19"/>
  <c r="D465" i="19"/>
  <c r="D466" i="19"/>
  <c r="D468" i="19"/>
  <c r="D472" i="19"/>
  <c r="D473" i="19"/>
  <c r="D474" i="19"/>
  <c r="D475" i="19"/>
  <c r="D476" i="19"/>
  <c r="D477" i="19"/>
  <c r="D478" i="19"/>
  <c r="D479" i="19"/>
  <c r="D480" i="19"/>
  <c r="D481" i="19"/>
  <c r="D482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62" i="19"/>
  <c r="D564" i="19"/>
  <c r="D567" i="19"/>
  <c r="D569" i="19"/>
  <c r="D570" i="19"/>
  <c r="D571" i="19"/>
  <c r="D572" i="19"/>
  <c r="D573" i="19"/>
  <c r="D576" i="19"/>
  <c r="D577" i="19"/>
  <c r="D578" i="19"/>
  <c r="D579" i="19"/>
  <c r="D582" i="19"/>
  <c r="D583" i="19"/>
  <c r="D584" i="19"/>
  <c r="D7" i="19"/>
  <c r="U585" i="19"/>
  <c r="BN584" i="19"/>
  <c r="U584" i="19"/>
  <c r="BN583" i="19"/>
  <c r="U583" i="19"/>
  <c r="U582" i="19"/>
  <c r="BN579" i="19"/>
  <c r="U579" i="19"/>
  <c r="BN576" i="19"/>
  <c r="U576" i="19"/>
  <c r="BN572" i="19"/>
  <c r="BN571" i="19"/>
  <c r="U571" i="19"/>
  <c r="U570" i="19"/>
  <c r="BN569" i="19"/>
  <c r="BN564" i="19"/>
  <c r="BN562" i="19"/>
  <c r="U505" i="19"/>
  <c r="BN504" i="19"/>
  <c r="U504" i="19"/>
  <c r="BN503" i="19"/>
  <c r="U503" i="19"/>
  <c r="BN502" i="19"/>
  <c r="U502" i="19"/>
  <c r="BN501" i="19"/>
  <c r="U501" i="19"/>
  <c r="BN500" i="19"/>
  <c r="U499" i="19"/>
  <c r="BN498" i="19"/>
  <c r="BN497" i="19"/>
  <c r="U497" i="19"/>
  <c r="BN496" i="19"/>
  <c r="U496" i="19"/>
  <c r="BN495" i="19"/>
  <c r="BN494" i="19"/>
  <c r="BN493" i="19"/>
  <c r="U493" i="19"/>
  <c r="BN492" i="19"/>
  <c r="U491" i="19"/>
  <c r="BN490" i="19"/>
  <c r="U490" i="19"/>
  <c r="BN489" i="19"/>
  <c r="BN482" i="19"/>
  <c r="U482" i="19"/>
  <c r="BN481" i="19"/>
  <c r="U481" i="19"/>
  <c r="BN480" i="19"/>
  <c r="U480" i="19"/>
  <c r="BN479" i="19"/>
  <c r="BN478" i="19"/>
  <c r="U478" i="19"/>
  <c r="BN477" i="19"/>
  <c r="U476" i="19"/>
  <c r="BN475" i="19"/>
  <c r="U475" i="19"/>
  <c r="BN474" i="19"/>
  <c r="U474" i="19"/>
  <c r="BN473" i="19"/>
  <c r="U473" i="19"/>
  <c r="BN472" i="19"/>
  <c r="U472" i="19"/>
  <c r="BN468" i="19"/>
  <c r="U466" i="19"/>
  <c r="BN465" i="19"/>
  <c r="U465" i="19"/>
  <c r="BN464" i="19"/>
  <c r="U464" i="19"/>
  <c r="BN462" i="19"/>
  <c r="U462" i="19"/>
  <c r="BN461" i="19"/>
  <c r="U461" i="19"/>
  <c r="BN459" i="19"/>
  <c r="BN456" i="19"/>
  <c r="U456" i="19"/>
  <c r="BN453" i="19"/>
  <c r="U453" i="19"/>
  <c r="BN452" i="19"/>
  <c r="BN451" i="19"/>
  <c r="U451" i="19"/>
  <c r="BN447" i="19"/>
  <c r="U447" i="19"/>
  <c r="BN446" i="19"/>
  <c r="U446" i="19"/>
  <c r="BN444" i="19"/>
  <c r="U444" i="19"/>
  <c r="BN443" i="19"/>
  <c r="U443" i="19"/>
  <c r="BN442" i="19"/>
  <c r="U442" i="19"/>
  <c r="BN441" i="19"/>
  <c r="U441" i="19"/>
  <c r="BN440" i="19"/>
  <c r="U439" i="19"/>
  <c r="BN438" i="19"/>
  <c r="BN437" i="19"/>
  <c r="U437" i="19"/>
  <c r="BN436" i="19"/>
  <c r="U436" i="19"/>
  <c r="BN435" i="19"/>
  <c r="U435" i="19"/>
  <c r="BN434" i="19"/>
  <c r="U434" i="19"/>
  <c r="BN433" i="19"/>
  <c r="U432" i="19"/>
  <c r="BN423" i="19"/>
  <c r="BN422" i="19"/>
  <c r="U422" i="19"/>
  <c r="BN421" i="19"/>
  <c r="U420" i="19"/>
  <c r="BN419" i="19"/>
  <c r="U419" i="19"/>
  <c r="BN418" i="19"/>
  <c r="U417" i="19"/>
  <c r="BN416" i="19"/>
  <c r="BN415" i="19"/>
  <c r="U415" i="19"/>
  <c r="BN414" i="19"/>
  <c r="U414" i="19"/>
  <c r="BN413" i="19"/>
  <c r="U413" i="19"/>
  <c r="BN412" i="19"/>
  <c r="U412" i="19"/>
  <c r="BN411" i="19"/>
  <c r="U410" i="19"/>
  <c r="BN409" i="19"/>
  <c r="BN407" i="19"/>
  <c r="U407" i="19"/>
  <c r="BN406" i="19"/>
  <c r="BN405" i="19"/>
  <c r="U405" i="19"/>
  <c r="BN404" i="19"/>
  <c r="U404" i="19"/>
  <c r="BN325" i="19"/>
  <c r="BN324" i="19"/>
  <c r="U324" i="19"/>
  <c r="BN323" i="19"/>
  <c r="U323" i="19"/>
  <c r="BN322" i="19"/>
  <c r="U322" i="19"/>
  <c r="BN321" i="19"/>
  <c r="U320" i="19"/>
  <c r="BN319" i="19"/>
  <c r="U319" i="19"/>
  <c r="U318" i="19"/>
  <c r="BN317" i="19"/>
  <c r="U317" i="19"/>
  <c r="BN316" i="19"/>
  <c r="U316" i="19"/>
  <c r="BN315" i="19"/>
  <c r="U315" i="19"/>
  <c r="BN314" i="19"/>
  <c r="BN313" i="19"/>
  <c r="U312" i="19"/>
  <c r="BN311" i="19"/>
  <c r="U311" i="19"/>
  <c r="BN310" i="19"/>
  <c r="U310" i="19"/>
  <c r="BN309" i="19"/>
  <c r="U309" i="19"/>
  <c r="BN308" i="19"/>
  <c r="U307" i="19"/>
  <c r="BN306" i="19"/>
  <c r="BN305" i="19"/>
  <c r="BN304" i="19"/>
  <c r="BN303" i="19"/>
  <c r="U303" i="19"/>
  <c r="BN302" i="19"/>
  <c r="U302" i="19"/>
  <c r="BN301" i="19"/>
  <c r="U301" i="19"/>
  <c r="BN300" i="19"/>
  <c r="U300" i="19"/>
  <c r="BN299" i="19"/>
  <c r="U299" i="19"/>
  <c r="BN298" i="19"/>
  <c r="BN297" i="19"/>
  <c r="U297" i="19"/>
  <c r="BN296" i="19"/>
  <c r="BN295" i="19"/>
  <c r="U295" i="19"/>
  <c r="BN294" i="19"/>
  <c r="U294" i="19"/>
  <c r="BN293" i="19"/>
  <c r="U293" i="19"/>
  <c r="BN292" i="19"/>
  <c r="U292" i="19"/>
  <c r="BN291" i="19"/>
  <c r="U291" i="19"/>
  <c r="BN290" i="19"/>
  <c r="U290" i="19"/>
  <c r="BN289" i="19"/>
  <c r="U289" i="19"/>
  <c r="BN288" i="19"/>
  <c r="U288" i="19"/>
  <c r="BN287" i="19"/>
  <c r="U287" i="19"/>
  <c r="BN286" i="19"/>
  <c r="U286" i="19"/>
  <c r="BN285" i="19"/>
  <c r="U285" i="19"/>
  <c r="BN284" i="19"/>
  <c r="U284" i="19"/>
  <c r="BN283" i="19"/>
  <c r="BN281" i="19"/>
  <c r="U281" i="19"/>
  <c r="BN280" i="19"/>
  <c r="U280" i="19"/>
  <c r="BN279" i="19"/>
  <c r="U279" i="19"/>
  <c r="BN278" i="19"/>
  <c r="U278" i="19"/>
  <c r="BN277" i="19"/>
  <c r="U277" i="19"/>
  <c r="BN276" i="19"/>
  <c r="U276" i="19"/>
  <c r="BN275" i="19"/>
  <c r="U273" i="19"/>
  <c r="BN272" i="19"/>
  <c r="U272" i="19"/>
  <c r="BN271" i="19"/>
  <c r="U271" i="19"/>
  <c r="BN270" i="19"/>
  <c r="U269" i="19"/>
  <c r="BN268" i="19"/>
  <c r="U268" i="19"/>
  <c r="BN267" i="19"/>
  <c r="U267" i="19"/>
  <c r="BN266" i="19"/>
  <c r="BN252" i="19"/>
  <c r="U252" i="19"/>
  <c r="BN251" i="19"/>
  <c r="U251" i="19"/>
  <c r="BN250" i="19"/>
  <c r="U250" i="19"/>
  <c r="BN249" i="19"/>
  <c r="BN248" i="19"/>
  <c r="U248" i="19"/>
  <c r="BN247" i="19"/>
  <c r="U247" i="19"/>
  <c r="BN246" i="19"/>
  <c r="BN245" i="19"/>
  <c r="BN244" i="19"/>
  <c r="U244" i="19"/>
  <c r="BN243" i="19"/>
  <c r="U243" i="19"/>
  <c r="BN242" i="19"/>
  <c r="U242" i="19"/>
  <c r="BN241" i="19"/>
  <c r="BN240" i="19"/>
  <c r="U240" i="19"/>
  <c r="BN239" i="19"/>
  <c r="U239" i="19"/>
  <c r="BN238" i="19"/>
  <c r="BN237" i="19"/>
  <c r="U237" i="19"/>
  <c r="BN236" i="19"/>
  <c r="U236" i="19"/>
  <c r="BN235" i="19"/>
  <c r="U235" i="19"/>
  <c r="BN234" i="19"/>
  <c r="U234" i="19"/>
  <c r="BN233" i="19"/>
  <c r="U232" i="19"/>
  <c r="BN231" i="19"/>
  <c r="U231" i="19"/>
  <c r="BN230" i="19"/>
  <c r="U229" i="19"/>
  <c r="BN228" i="19"/>
  <c r="U228" i="19"/>
  <c r="BN227" i="19"/>
  <c r="U227" i="19"/>
  <c r="BN226" i="19"/>
  <c r="U226" i="19"/>
  <c r="BN225" i="19"/>
  <c r="U224" i="19"/>
  <c r="BN223" i="19"/>
  <c r="U223" i="19"/>
  <c r="BN222" i="19"/>
  <c r="U222" i="19"/>
  <c r="BN221" i="19"/>
  <c r="U221" i="19"/>
  <c r="BN220" i="19"/>
  <c r="BN219" i="19"/>
  <c r="U219" i="19"/>
  <c r="BN218" i="19"/>
  <c r="U218" i="19"/>
  <c r="BN217" i="19"/>
  <c r="U217" i="19"/>
  <c r="BN216" i="19"/>
  <c r="BN215" i="19"/>
  <c r="U215" i="19"/>
  <c r="BN214" i="19"/>
  <c r="BN213" i="19"/>
  <c r="U213" i="19"/>
  <c r="BN212" i="19"/>
  <c r="BN211" i="19"/>
  <c r="U211" i="19"/>
  <c r="BN210" i="19"/>
  <c r="BN209" i="19"/>
  <c r="U209" i="19"/>
  <c r="BN208" i="19"/>
  <c r="BN207" i="19"/>
  <c r="U207" i="19"/>
  <c r="BN205" i="19"/>
  <c r="U205" i="19"/>
  <c r="BN204" i="19"/>
  <c r="BN203" i="19"/>
  <c r="U203" i="19"/>
  <c r="BN201" i="19"/>
  <c r="U201" i="19"/>
  <c r="BN200" i="19"/>
  <c r="BN199" i="19"/>
  <c r="U199" i="19"/>
  <c r="U197" i="19"/>
  <c r="BN196" i="19"/>
  <c r="BN195" i="19"/>
  <c r="U195" i="19"/>
  <c r="BN194" i="19"/>
  <c r="U194" i="19"/>
  <c r="BN173" i="19"/>
  <c r="U173" i="19"/>
  <c r="BN172" i="19"/>
  <c r="U172" i="19"/>
  <c r="BN171" i="19"/>
  <c r="U170" i="19"/>
  <c r="BN130" i="19"/>
  <c r="U130" i="19"/>
  <c r="BN129" i="19"/>
  <c r="U129" i="19"/>
  <c r="U128" i="19"/>
  <c r="BN127" i="19"/>
  <c r="U127" i="19"/>
  <c r="BN126" i="19"/>
  <c r="U126" i="19"/>
  <c r="BN125" i="19"/>
  <c r="U125" i="19"/>
  <c r="BN124" i="19"/>
  <c r="BN122" i="19"/>
  <c r="U122" i="19"/>
  <c r="BN111" i="19"/>
  <c r="U111" i="19"/>
  <c r="BN104" i="19"/>
  <c r="U104" i="19"/>
  <c r="BN103" i="19"/>
  <c r="U103" i="19"/>
  <c r="BN102" i="19"/>
  <c r="U102" i="19"/>
  <c r="U101" i="19"/>
  <c r="BN100" i="19"/>
  <c r="U100" i="19"/>
  <c r="BN99" i="19"/>
  <c r="U99" i="19"/>
  <c r="BN98" i="19"/>
  <c r="BN97" i="19"/>
  <c r="U97" i="19"/>
  <c r="BN96" i="19"/>
  <c r="U96" i="19"/>
  <c r="BN95" i="19"/>
  <c r="U95" i="19"/>
  <c r="BN94" i="19"/>
  <c r="BN93" i="19"/>
  <c r="U93" i="19"/>
  <c r="BN92" i="19"/>
  <c r="U92" i="19"/>
  <c r="BN91" i="19"/>
  <c r="U91" i="19"/>
  <c r="BN90" i="19"/>
  <c r="BN89" i="19"/>
  <c r="U89" i="19"/>
  <c r="BN88" i="19"/>
  <c r="U88" i="19"/>
  <c r="BN87" i="19"/>
  <c r="U87" i="19"/>
  <c r="BN86" i="19"/>
  <c r="U86" i="19"/>
  <c r="BN85" i="19"/>
  <c r="U85" i="19"/>
  <c r="BN84" i="19"/>
  <c r="U84" i="19"/>
  <c r="BN82" i="19"/>
  <c r="U82" i="19"/>
  <c r="BN81" i="19"/>
  <c r="U81" i="19"/>
  <c r="BN80" i="19"/>
  <c r="U80" i="19"/>
  <c r="BN79" i="19"/>
  <c r="BN77" i="19"/>
  <c r="U77" i="19"/>
  <c r="BN76" i="19"/>
  <c r="U76" i="19"/>
  <c r="BN75" i="19"/>
  <c r="U74" i="19"/>
  <c r="BN73" i="19"/>
  <c r="U73" i="19"/>
  <c r="BN72" i="19"/>
  <c r="U72" i="19"/>
  <c r="BN71" i="19"/>
  <c r="BN69" i="19"/>
  <c r="U69" i="19"/>
  <c r="BN68" i="19"/>
  <c r="U68" i="19"/>
  <c r="BN67" i="19"/>
  <c r="BN24" i="19"/>
  <c r="U24" i="19"/>
  <c r="BN23" i="19"/>
  <c r="BN22" i="19"/>
  <c r="BN21" i="19"/>
  <c r="U21" i="19"/>
  <c r="BN20" i="19"/>
  <c r="U20" i="19"/>
  <c r="BN19" i="19"/>
  <c r="BN18" i="19"/>
  <c r="U18" i="19"/>
  <c r="BN17" i="19"/>
  <c r="U17" i="19"/>
  <c r="BN16" i="19"/>
  <c r="U16" i="19"/>
  <c r="BN15" i="19"/>
  <c r="BN14" i="19"/>
  <c r="U13" i="19"/>
  <c r="BN12" i="19"/>
  <c r="BN11" i="19"/>
  <c r="U11" i="19"/>
  <c r="BN10" i="19"/>
  <c r="U10" i="19"/>
  <c r="BN8" i="19"/>
  <c r="U8" i="19"/>
  <c r="BT7" i="19"/>
  <c r="BN7" i="19"/>
  <c r="U7" i="19"/>
  <c r="BE8" i="19" l="1"/>
  <c r="AY468" i="19"/>
  <c r="AY221" i="19"/>
  <c r="AY466" i="19"/>
  <c r="BA466" i="19" s="1"/>
  <c r="BC466" i="19" s="1"/>
  <c r="AY224" i="19"/>
  <c r="BA224" i="19" s="1"/>
  <c r="BC224" i="19" s="1"/>
  <c r="AY220" i="19"/>
  <c r="AY465" i="19"/>
  <c r="AY440" i="19"/>
  <c r="BA440" i="19" s="1"/>
  <c r="BC440" i="19" s="1"/>
  <c r="AY223" i="19"/>
  <c r="BA223" i="19" s="1"/>
  <c r="BC223" i="19" s="1"/>
  <c r="AY219" i="19"/>
  <c r="AY218" i="19"/>
  <c r="BI502" i="19"/>
  <c r="BO286" i="19"/>
  <c r="BU231" i="19"/>
  <c r="AN572" i="19"/>
  <c r="AP572" i="19" s="1"/>
  <c r="AR572" i="19" s="1"/>
  <c r="AC572" i="19"/>
  <c r="AE572" i="19" s="1"/>
  <c r="AG572" i="19" s="1"/>
  <c r="AC567" i="19"/>
  <c r="AE567" i="19" s="1"/>
  <c r="AG567" i="19" s="1"/>
  <c r="AN567" i="19"/>
  <c r="AP567" i="19" s="1"/>
  <c r="AR567" i="19" s="1"/>
  <c r="AN501" i="19"/>
  <c r="AP501" i="19" s="1"/>
  <c r="AR501" i="19" s="1"/>
  <c r="AC501" i="19"/>
  <c r="AE501" i="19" s="1"/>
  <c r="AG501" i="19" s="1"/>
  <c r="AC500" i="19"/>
  <c r="AE500" i="19" s="1"/>
  <c r="AG500" i="19" s="1"/>
  <c r="AN500" i="19"/>
  <c r="AP500" i="19" s="1"/>
  <c r="AR500" i="19" s="1"/>
  <c r="AN494" i="19"/>
  <c r="AP494" i="19" s="1"/>
  <c r="AR494" i="19" s="1"/>
  <c r="AC494" i="19"/>
  <c r="AE494" i="19" s="1"/>
  <c r="AC490" i="19"/>
  <c r="AE490" i="19" s="1"/>
  <c r="AG490" i="19" s="1"/>
  <c r="AN490" i="19"/>
  <c r="AP490" i="19" s="1"/>
  <c r="AR490" i="19" s="1"/>
  <c r="AC481" i="19"/>
  <c r="AE481" i="19" s="1"/>
  <c r="AG481" i="19" s="1"/>
  <c r="AN481" i="19"/>
  <c r="AP481" i="19" s="1"/>
  <c r="AR481" i="19" s="1"/>
  <c r="AC477" i="19"/>
  <c r="AN477" i="19"/>
  <c r="AC473" i="19"/>
  <c r="AE473" i="19" s="1"/>
  <c r="AG473" i="19" s="1"/>
  <c r="AN473" i="19"/>
  <c r="AP473" i="19" s="1"/>
  <c r="AR473" i="19" s="1"/>
  <c r="AN465" i="19"/>
  <c r="AP465" i="19" s="1"/>
  <c r="AR465" i="19" s="1"/>
  <c r="AC465" i="19"/>
  <c r="AE465" i="19" s="1"/>
  <c r="AG465" i="19" s="1"/>
  <c r="AC453" i="19"/>
  <c r="AE453" i="19" s="1"/>
  <c r="AG453" i="19" s="1"/>
  <c r="AN453" i="19"/>
  <c r="AP453" i="19" s="1"/>
  <c r="AR453" i="19" s="1"/>
  <c r="AN447" i="19"/>
  <c r="AP447" i="19" s="1"/>
  <c r="AR447" i="19" s="1"/>
  <c r="AC447" i="19"/>
  <c r="AE447" i="19" s="1"/>
  <c r="AG447" i="19" s="1"/>
  <c r="AC438" i="19"/>
  <c r="AE438" i="19" s="1"/>
  <c r="AG438" i="19" s="1"/>
  <c r="AN438" i="19"/>
  <c r="AP438" i="19" s="1"/>
  <c r="AR438" i="19" s="1"/>
  <c r="AC434" i="19"/>
  <c r="AE434" i="19" s="1"/>
  <c r="AG434" i="19" s="1"/>
  <c r="AN434" i="19"/>
  <c r="AP434" i="19" s="1"/>
  <c r="AR434" i="19" s="1"/>
  <c r="AC422" i="19"/>
  <c r="AE422" i="19" s="1"/>
  <c r="AG422" i="19" s="1"/>
  <c r="AN422" i="19"/>
  <c r="AP422" i="19" s="1"/>
  <c r="AR422" i="19" s="1"/>
  <c r="AC418" i="19"/>
  <c r="AE418" i="19" s="1"/>
  <c r="AG418" i="19" s="1"/>
  <c r="AN418" i="19"/>
  <c r="AP418" i="19" s="1"/>
  <c r="AR418" i="19" s="1"/>
  <c r="AN414" i="19"/>
  <c r="AP414" i="19" s="1"/>
  <c r="AR414" i="19" s="1"/>
  <c r="AC414" i="19"/>
  <c r="AE414" i="19" s="1"/>
  <c r="AG414" i="19" s="1"/>
  <c r="AC410" i="19"/>
  <c r="AE410" i="19" s="1"/>
  <c r="AG410" i="19" s="1"/>
  <c r="AN410" i="19"/>
  <c r="AP410" i="19" s="1"/>
  <c r="AR410" i="19" s="1"/>
  <c r="AN406" i="19"/>
  <c r="AP406" i="19" s="1"/>
  <c r="AR406" i="19" s="1"/>
  <c r="AC406" i="19"/>
  <c r="AE406" i="19" s="1"/>
  <c r="AG406" i="19" s="1"/>
  <c r="AC323" i="19"/>
  <c r="AN323" i="19"/>
  <c r="AN319" i="19"/>
  <c r="AC319" i="19"/>
  <c r="AN315" i="19"/>
  <c r="AC315" i="19"/>
  <c r="AC311" i="19"/>
  <c r="AN311" i="19"/>
  <c r="AN307" i="19"/>
  <c r="AC307" i="19"/>
  <c r="AN303" i="19"/>
  <c r="AC303" i="19"/>
  <c r="AC299" i="19"/>
  <c r="AN299" i="19"/>
  <c r="AN295" i="19"/>
  <c r="AC295" i="19"/>
  <c r="AC291" i="19"/>
  <c r="AN291" i="19"/>
  <c r="AC287" i="19"/>
  <c r="AN287" i="19"/>
  <c r="AC283" i="19"/>
  <c r="AE283" i="19" s="1"/>
  <c r="AG283" i="19" s="1"/>
  <c r="AN283" i="19"/>
  <c r="AP283" i="19" s="1"/>
  <c r="AR283" i="19" s="1"/>
  <c r="AN279" i="19"/>
  <c r="AP279" i="19" s="1"/>
  <c r="AR279" i="19" s="1"/>
  <c r="AC279" i="19"/>
  <c r="AE279" i="19" s="1"/>
  <c r="AG279" i="19" s="1"/>
  <c r="AN275" i="19"/>
  <c r="AP275" i="19" s="1"/>
  <c r="AR275" i="19" s="1"/>
  <c r="AC275" i="19"/>
  <c r="AE275" i="19" s="1"/>
  <c r="AG275" i="19" s="1"/>
  <c r="AN271" i="19"/>
  <c r="AP271" i="19" s="1"/>
  <c r="AR271" i="19" s="1"/>
  <c r="AC271" i="19"/>
  <c r="AE271" i="19" s="1"/>
  <c r="AG271" i="19" s="1"/>
  <c r="AN267" i="19"/>
  <c r="AP267" i="19" s="1"/>
  <c r="AR267" i="19" s="1"/>
  <c r="AC267" i="19"/>
  <c r="AE267" i="19" s="1"/>
  <c r="AG267" i="19" s="1"/>
  <c r="AC251" i="19"/>
  <c r="AE251" i="19" s="1"/>
  <c r="AN251" i="19"/>
  <c r="AP251" i="19" s="1"/>
  <c r="AR251" i="19" s="1"/>
  <c r="AN247" i="19"/>
  <c r="AP247" i="19" s="1"/>
  <c r="AR247" i="19" s="1"/>
  <c r="AC247" i="19"/>
  <c r="AE247" i="19" s="1"/>
  <c r="AN243" i="19"/>
  <c r="AP243" i="19" s="1"/>
  <c r="AR243" i="19" s="1"/>
  <c r="AC243" i="19"/>
  <c r="AE243" i="19" s="1"/>
  <c r="AN239" i="19"/>
  <c r="AP239" i="19" s="1"/>
  <c r="AR239" i="19" s="1"/>
  <c r="AC239" i="19"/>
  <c r="AE239" i="19" s="1"/>
  <c r="AN235" i="19"/>
  <c r="AP235" i="19" s="1"/>
  <c r="AR235" i="19" s="1"/>
  <c r="AC235" i="19"/>
  <c r="AE235" i="19" s="1"/>
  <c r="AG235" i="19" s="1"/>
  <c r="AN228" i="19"/>
  <c r="AP228" i="19" s="1"/>
  <c r="AR228" i="19" s="1"/>
  <c r="AC228" i="19"/>
  <c r="AE228" i="19" s="1"/>
  <c r="AG228" i="19" s="1"/>
  <c r="AC224" i="19"/>
  <c r="AE224" i="19" s="1"/>
  <c r="AG224" i="19" s="1"/>
  <c r="AN224" i="19"/>
  <c r="AP224" i="19" s="1"/>
  <c r="AR224" i="19" s="1"/>
  <c r="AC219" i="19"/>
  <c r="AE219" i="19" s="1"/>
  <c r="AG219" i="19" s="1"/>
  <c r="AN219" i="19"/>
  <c r="AP219" i="19" s="1"/>
  <c r="AR219" i="19" s="1"/>
  <c r="AN215" i="19"/>
  <c r="AP215" i="19" s="1"/>
  <c r="AR215" i="19" s="1"/>
  <c r="AC215" i="19"/>
  <c r="AE215" i="19" s="1"/>
  <c r="AG215" i="19" s="1"/>
  <c r="AN211" i="19"/>
  <c r="AP211" i="19" s="1"/>
  <c r="AR211" i="19" s="1"/>
  <c r="AC211" i="19"/>
  <c r="AE211" i="19" s="1"/>
  <c r="AG211" i="19" s="1"/>
  <c r="AN205" i="19"/>
  <c r="AP205" i="19" s="1"/>
  <c r="AR205" i="19" s="1"/>
  <c r="AC205" i="19"/>
  <c r="AE205" i="19" s="1"/>
  <c r="AG205" i="19" s="1"/>
  <c r="AC201" i="19"/>
  <c r="AE201" i="19" s="1"/>
  <c r="AG201" i="19" s="1"/>
  <c r="AN201" i="19"/>
  <c r="AP201" i="19" s="1"/>
  <c r="AR201" i="19" s="1"/>
  <c r="AN197" i="19"/>
  <c r="AP197" i="19" s="1"/>
  <c r="AR197" i="19" s="1"/>
  <c r="AC197" i="19"/>
  <c r="AE197" i="19" s="1"/>
  <c r="AG197" i="19" s="1"/>
  <c r="AC173" i="19"/>
  <c r="AE173" i="19" s="1"/>
  <c r="AG173" i="19" s="1"/>
  <c r="AN173" i="19"/>
  <c r="AP173" i="19" s="1"/>
  <c r="AR173" i="19" s="1"/>
  <c r="AN504" i="19"/>
  <c r="AP504" i="19" s="1"/>
  <c r="AR504" i="19" s="1"/>
  <c r="AC504" i="19"/>
  <c r="AE504" i="19" s="1"/>
  <c r="AG504" i="19" s="1"/>
  <c r="AC499" i="19"/>
  <c r="AE499" i="19" s="1"/>
  <c r="AG499" i="19" s="1"/>
  <c r="AN499" i="19"/>
  <c r="AP499" i="19" s="1"/>
  <c r="AR499" i="19" s="1"/>
  <c r="AC493" i="19"/>
  <c r="AE493" i="19" s="1"/>
  <c r="AG493" i="19" s="1"/>
  <c r="AN493" i="19"/>
  <c r="AP493" i="19" s="1"/>
  <c r="AR493" i="19" s="1"/>
  <c r="AN480" i="19"/>
  <c r="AP480" i="19" s="1"/>
  <c r="AR480" i="19" s="1"/>
  <c r="AC480" i="19"/>
  <c r="AE480" i="19" s="1"/>
  <c r="AG480" i="19" s="1"/>
  <c r="AN472" i="19"/>
  <c r="AP472" i="19" s="1"/>
  <c r="AR472" i="19" s="1"/>
  <c r="AC472" i="19"/>
  <c r="AE472" i="19" s="1"/>
  <c r="AG472" i="19" s="1"/>
  <c r="AC451" i="19"/>
  <c r="AE451" i="19" s="1"/>
  <c r="AG451" i="19" s="1"/>
  <c r="AN451" i="19"/>
  <c r="AP451" i="19" s="1"/>
  <c r="AR451" i="19" s="1"/>
  <c r="AN437" i="19"/>
  <c r="AP437" i="19" s="1"/>
  <c r="AR437" i="19" s="1"/>
  <c r="AC437" i="19"/>
  <c r="AE437" i="19" s="1"/>
  <c r="AG437" i="19" s="1"/>
  <c r="AN417" i="19"/>
  <c r="AP417" i="19" s="1"/>
  <c r="AR417" i="19" s="1"/>
  <c r="AC417" i="19"/>
  <c r="AE417" i="19" s="1"/>
  <c r="AG417" i="19" s="1"/>
  <c r="AN405" i="19"/>
  <c r="AP405" i="19" s="1"/>
  <c r="AR405" i="19" s="1"/>
  <c r="AC405" i="19"/>
  <c r="AE405" i="19" s="1"/>
  <c r="AG405" i="19" s="1"/>
  <c r="AC322" i="19"/>
  <c r="AN322" i="19"/>
  <c r="AC314" i="19"/>
  <c r="AN314" i="19"/>
  <c r="AN306" i="19"/>
  <c r="AC306" i="19"/>
  <c r="AN298" i="19"/>
  <c r="AC298" i="19"/>
  <c r="AN290" i="19"/>
  <c r="AC290" i="19"/>
  <c r="AN282" i="19"/>
  <c r="AP282" i="19" s="1"/>
  <c r="AR282" i="19" s="1"/>
  <c r="AC282" i="19"/>
  <c r="AE282" i="19" s="1"/>
  <c r="AG282" i="19" s="1"/>
  <c r="AC274" i="19"/>
  <c r="AE274" i="19" s="1"/>
  <c r="AG274" i="19" s="1"/>
  <c r="AN274" i="19"/>
  <c r="AP274" i="19" s="1"/>
  <c r="AR274" i="19" s="1"/>
  <c r="AN266" i="19"/>
  <c r="AP266" i="19" s="1"/>
  <c r="AR266" i="19" s="1"/>
  <c r="AC266" i="19"/>
  <c r="AE266" i="19" s="1"/>
  <c r="AG266" i="19" s="1"/>
  <c r="AN246" i="19"/>
  <c r="AP246" i="19" s="1"/>
  <c r="AR246" i="19" s="1"/>
  <c r="AC246" i="19"/>
  <c r="AE246" i="19" s="1"/>
  <c r="AC238" i="19"/>
  <c r="AE238" i="19" s="1"/>
  <c r="AN238" i="19"/>
  <c r="AP238" i="19" s="1"/>
  <c r="AR238" i="19" s="1"/>
  <c r="AC227" i="19"/>
  <c r="AE227" i="19" s="1"/>
  <c r="AG227" i="19" s="1"/>
  <c r="AN227" i="19"/>
  <c r="AP227" i="19" s="1"/>
  <c r="AR227" i="19" s="1"/>
  <c r="AC214" i="19"/>
  <c r="AE214" i="19" s="1"/>
  <c r="AG214" i="19" s="1"/>
  <c r="AN214" i="19"/>
  <c r="AP214" i="19" s="1"/>
  <c r="AR214" i="19" s="1"/>
  <c r="AC208" i="19"/>
  <c r="AE208" i="19" s="1"/>
  <c r="AG208" i="19" s="1"/>
  <c r="AN208" i="19"/>
  <c r="AP208" i="19" s="1"/>
  <c r="AR208" i="19" s="1"/>
  <c r="AN200" i="19"/>
  <c r="AP200" i="19" s="1"/>
  <c r="AR200" i="19" s="1"/>
  <c r="AC200" i="19"/>
  <c r="AE200" i="19" s="1"/>
  <c r="AG200" i="19" s="1"/>
  <c r="AN172" i="19"/>
  <c r="AP172" i="19" s="1"/>
  <c r="AR172" i="19" s="1"/>
  <c r="AC172" i="19"/>
  <c r="AE172" i="19" s="1"/>
  <c r="AG172" i="19" s="1"/>
  <c r="AN8" i="19"/>
  <c r="AP8" i="19" s="1"/>
  <c r="AR8" i="19" s="1"/>
  <c r="AC8" i="19"/>
  <c r="AE8" i="19" s="1"/>
  <c r="AG8" i="19" s="1"/>
  <c r="AN503" i="19"/>
  <c r="AP503" i="19" s="1"/>
  <c r="AR503" i="19" s="1"/>
  <c r="AC503" i="19"/>
  <c r="AE503" i="19" s="1"/>
  <c r="AG503" i="19" s="1"/>
  <c r="AN498" i="19"/>
  <c r="AP498" i="19" s="1"/>
  <c r="AR498" i="19" s="1"/>
  <c r="AC498" i="19"/>
  <c r="AE498" i="19" s="1"/>
  <c r="AG498" i="19" s="1"/>
  <c r="AN496" i="19"/>
  <c r="AP496" i="19" s="1"/>
  <c r="AR496" i="19" s="1"/>
  <c r="AC496" i="19"/>
  <c r="AE496" i="19" s="1"/>
  <c r="AN492" i="19"/>
  <c r="AP492" i="19" s="1"/>
  <c r="AR492" i="19" s="1"/>
  <c r="AC492" i="19"/>
  <c r="AE492" i="19" s="1"/>
  <c r="AG492" i="19" s="1"/>
  <c r="AC479" i="19"/>
  <c r="AE479" i="19" s="1"/>
  <c r="AG479" i="19" s="1"/>
  <c r="AN479" i="19"/>
  <c r="AP479" i="19" s="1"/>
  <c r="AR479" i="19" s="1"/>
  <c r="AC475" i="19"/>
  <c r="AE475" i="19" s="1"/>
  <c r="AG475" i="19" s="1"/>
  <c r="AN475" i="19"/>
  <c r="AP475" i="19" s="1"/>
  <c r="AR475" i="19" s="1"/>
  <c r="AC468" i="19"/>
  <c r="AE468" i="19" s="1"/>
  <c r="AG468" i="19" s="1"/>
  <c r="AN468" i="19"/>
  <c r="AP468" i="19" s="1"/>
  <c r="AR468" i="19" s="1"/>
  <c r="AN462" i="19"/>
  <c r="AP462" i="19" s="1"/>
  <c r="AR462" i="19" s="1"/>
  <c r="AC462" i="19"/>
  <c r="AE462" i="19" s="1"/>
  <c r="AG462" i="19" s="1"/>
  <c r="AN456" i="19"/>
  <c r="AP456" i="19" s="1"/>
  <c r="AR456" i="19" s="1"/>
  <c r="AC456" i="19"/>
  <c r="AE456" i="19" s="1"/>
  <c r="AG456" i="19" s="1"/>
  <c r="AC440" i="19"/>
  <c r="AE440" i="19" s="1"/>
  <c r="AG440" i="19" s="1"/>
  <c r="AN440" i="19"/>
  <c r="AP440" i="19" s="1"/>
  <c r="AR440" i="19" s="1"/>
  <c r="AC436" i="19"/>
  <c r="AE436" i="19" s="1"/>
  <c r="AG436" i="19" s="1"/>
  <c r="AN436" i="19"/>
  <c r="AP436" i="19" s="1"/>
  <c r="AR436" i="19" s="1"/>
  <c r="AN432" i="19"/>
  <c r="AP432" i="19" s="1"/>
  <c r="AR432" i="19" s="1"/>
  <c r="AC432" i="19"/>
  <c r="AE432" i="19" s="1"/>
  <c r="AG432" i="19" s="1"/>
  <c r="AN420" i="19"/>
  <c r="AP420" i="19" s="1"/>
  <c r="AR420" i="19" s="1"/>
  <c r="AC420" i="19"/>
  <c r="AE420" i="19" s="1"/>
  <c r="AG420" i="19" s="1"/>
  <c r="AN416" i="19"/>
  <c r="AP416" i="19" s="1"/>
  <c r="AR416" i="19" s="1"/>
  <c r="AC416" i="19"/>
  <c r="AE416" i="19" s="1"/>
  <c r="AG416" i="19" s="1"/>
  <c r="AN412" i="19"/>
  <c r="AP412" i="19" s="1"/>
  <c r="AR412" i="19" s="1"/>
  <c r="AC412" i="19"/>
  <c r="AE412" i="19" s="1"/>
  <c r="AG412" i="19" s="1"/>
  <c r="AC408" i="19"/>
  <c r="AE408" i="19" s="1"/>
  <c r="AG408" i="19" s="1"/>
  <c r="AN408" i="19"/>
  <c r="AP408" i="19" s="1"/>
  <c r="AR408" i="19" s="1"/>
  <c r="AC404" i="19"/>
  <c r="AE404" i="19" s="1"/>
  <c r="AG404" i="19" s="1"/>
  <c r="AN404" i="19"/>
  <c r="AP404" i="19" s="1"/>
  <c r="AR404" i="19" s="1"/>
  <c r="AN325" i="19"/>
  <c r="AC325" i="19"/>
  <c r="AN321" i="19"/>
  <c r="AC321" i="19"/>
  <c r="AC317" i="19"/>
  <c r="AN317" i="19"/>
  <c r="AC313" i="19"/>
  <c r="AN313" i="19"/>
  <c r="AC309" i="19"/>
  <c r="AN309" i="19"/>
  <c r="AC305" i="19"/>
  <c r="AN305" i="19"/>
  <c r="AC301" i="19"/>
  <c r="AN301" i="19"/>
  <c r="AN297" i="19"/>
  <c r="AC297" i="19"/>
  <c r="AC293" i="19"/>
  <c r="AN293" i="19"/>
  <c r="AC289" i="19"/>
  <c r="AN289" i="19"/>
  <c r="AC285" i="19"/>
  <c r="AN285" i="19"/>
  <c r="AC281" i="19"/>
  <c r="AE281" i="19" s="1"/>
  <c r="AG281" i="19" s="1"/>
  <c r="AN281" i="19"/>
  <c r="AP281" i="19" s="1"/>
  <c r="AR281" i="19" s="1"/>
  <c r="AC277" i="19"/>
  <c r="AE277" i="19" s="1"/>
  <c r="AG277" i="19" s="1"/>
  <c r="AN277" i="19"/>
  <c r="AP277" i="19" s="1"/>
  <c r="AR277" i="19" s="1"/>
  <c r="AN273" i="19"/>
  <c r="AP273" i="19" s="1"/>
  <c r="AR273" i="19" s="1"/>
  <c r="AC273" i="19"/>
  <c r="AE273" i="19" s="1"/>
  <c r="AG273" i="19" s="1"/>
  <c r="AC269" i="19"/>
  <c r="AE269" i="19" s="1"/>
  <c r="AG269" i="19" s="1"/>
  <c r="AN269" i="19"/>
  <c r="AP269" i="19" s="1"/>
  <c r="AR269" i="19" s="1"/>
  <c r="AN253" i="19"/>
  <c r="AP253" i="19" s="1"/>
  <c r="AR253" i="19" s="1"/>
  <c r="AC253" i="19"/>
  <c r="AE253" i="19" s="1"/>
  <c r="AN249" i="19"/>
  <c r="AP249" i="19" s="1"/>
  <c r="AR249" i="19" s="1"/>
  <c r="AC249" i="19"/>
  <c r="AE249" i="19" s="1"/>
  <c r="AC245" i="19"/>
  <c r="AE245" i="19" s="1"/>
  <c r="AN245" i="19"/>
  <c r="AP245" i="19" s="1"/>
  <c r="AR245" i="19" s="1"/>
  <c r="AN241" i="19"/>
  <c r="AP241" i="19" s="1"/>
  <c r="AR241" i="19" s="1"/>
  <c r="AC241" i="19"/>
  <c r="AE241" i="19" s="1"/>
  <c r="AC237" i="19"/>
  <c r="AE237" i="19" s="1"/>
  <c r="AN237" i="19"/>
  <c r="AP237" i="19" s="1"/>
  <c r="AR237" i="19" s="1"/>
  <c r="AN233" i="19"/>
  <c r="AP233" i="19" s="1"/>
  <c r="AR233" i="19" s="1"/>
  <c r="AC233" i="19"/>
  <c r="AE233" i="19" s="1"/>
  <c r="AG233" i="19" s="1"/>
  <c r="AN230" i="19"/>
  <c r="AP230" i="19" s="1"/>
  <c r="AR230" i="19" s="1"/>
  <c r="AC230" i="19"/>
  <c r="AE230" i="19" s="1"/>
  <c r="AG230" i="19" s="1"/>
  <c r="AN226" i="19"/>
  <c r="AP226" i="19" s="1"/>
  <c r="AR226" i="19" s="1"/>
  <c r="AC226" i="19"/>
  <c r="AE226" i="19" s="1"/>
  <c r="AG226" i="19" s="1"/>
  <c r="AC222" i="19"/>
  <c r="AE222" i="19" s="1"/>
  <c r="AG222" i="19" s="1"/>
  <c r="AN222" i="19"/>
  <c r="AP222" i="19" s="1"/>
  <c r="AR222" i="19" s="1"/>
  <c r="AN221" i="19"/>
  <c r="AP221" i="19" s="1"/>
  <c r="AR221" i="19" s="1"/>
  <c r="AC221" i="19"/>
  <c r="AE221" i="19" s="1"/>
  <c r="AG221" i="19" s="1"/>
  <c r="AN217" i="19"/>
  <c r="AP217" i="19" s="1"/>
  <c r="AR217" i="19" s="1"/>
  <c r="AC217" i="19"/>
  <c r="AE217" i="19" s="1"/>
  <c r="AG217" i="19" s="1"/>
  <c r="AC213" i="19"/>
  <c r="AE213" i="19" s="1"/>
  <c r="AG213" i="19" s="1"/>
  <c r="AN213" i="19"/>
  <c r="AP213" i="19" s="1"/>
  <c r="AR213" i="19" s="1"/>
  <c r="AN209" i="19"/>
  <c r="AP209" i="19" s="1"/>
  <c r="AR209" i="19" s="1"/>
  <c r="AC209" i="19"/>
  <c r="AE209" i="19" s="1"/>
  <c r="AG209" i="19" s="1"/>
  <c r="AN207" i="19"/>
  <c r="AP207" i="19" s="1"/>
  <c r="AR207" i="19" s="1"/>
  <c r="AC207" i="19"/>
  <c r="AE207" i="19" s="1"/>
  <c r="AG207" i="19" s="1"/>
  <c r="AN203" i="19"/>
  <c r="AP203" i="19" s="1"/>
  <c r="AR203" i="19" s="1"/>
  <c r="AC203" i="19"/>
  <c r="AE203" i="19" s="1"/>
  <c r="AG203" i="19" s="1"/>
  <c r="AN199" i="19"/>
  <c r="AP199" i="19" s="1"/>
  <c r="AR199" i="19" s="1"/>
  <c r="AC199" i="19"/>
  <c r="AE199" i="19" s="1"/>
  <c r="AG199" i="19" s="1"/>
  <c r="AC195" i="19"/>
  <c r="AE195" i="19" s="1"/>
  <c r="AG195" i="19" s="1"/>
  <c r="AN195" i="19"/>
  <c r="AP195" i="19" s="1"/>
  <c r="AR195" i="19" s="1"/>
  <c r="AN171" i="19"/>
  <c r="AP171" i="19" s="1"/>
  <c r="AR171" i="19" s="1"/>
  <c r="AC171" i="19"/>
  <c r="AE171" i="19" s="1"/>
  <c r="AG171" i="19" s="1"/>
  <c r="AN571" i="19"/>
  <c r="AP571" i="19" s="1"/>
  <c r="AR571" i="19" s="1"/>
  <c r="AC571" i="19"/>
  <c r="AE571" i="19" s="1"/>
  <c r="AG571" i="19" s="1"/>
  <c r="AC505" i="19"/>
  <c r="AE505" i="19" s="1"/>
  <c r="AG505" i="19" s="1"/>
  <c r="AN505" i="19"/>
  <c r="AP505" i="19" s="1"/>
  <c r="AR505" i="19" s="1"/>
  <c r="AC497" i="19"/>
  <c r="AE497" i="19" s="1"/>
  <c r="AN497" i="19"/>
  <c r="AP497" i="19" s="1"/>
  <c r="AR497" i="19" s="1"/>
  <c r="AC489" i="19"/>
  <c r="AE489" i="19" s="1"/>
  <c r="AG489" i="19" s="1"/>
  <c r="AN489" i="19"/>
  <c r="AP489" i="19" s="1"/>
  <c r="AR489" i="19" s="1"/>
  <c r="AC476" i="19"/>
  <c r="AN476" i="19"/>
  <c r="AC464" i="19"/>
  <c r="AE464" i="19" s="1"/>
  <c r="AG464" i="19" s="1"/>
  <c r="AN464" i="19"/>
  <c r="AP464" i="19" s="1"/>
  <c r="AR464" i="19" s="1"/>
  <c r="AC452" i="19"/>
  <c r="AE452" i="19" s="1"/>
  <c r="AG452" i="19" s="1"/>
  <c r="AN452" i="19"/>
  <c r="AP452" i="19" s="1"/>
  <c r="AR452" i="19" s="1"/>
  <c r="AC446" i="19"/>
  <c r="AE446" i="19" s="1"/>
  <c r="AG446" i="19" s="1"/>
  <c r="AN446" i="19"/>
  <c r="AP446" i="19" s="1"/>
  <c r="AR446" i="19" s="1"/>
  <c r="AC433" i="19"/>
  <c r="AE433" i="19" s="1"/>
  <c r="AG433" i="19" s="1"/>
  <c r="AN433" i="19"/>
  <c r="AP433" i="19" s="1"/>
  <c r="AR433" i="19" s="1"/>
  <c r="AC421" i="19"/>
  <c r="AE421" i="19" s="1"/>
  <c r="AG421" i="19" s="1"/>
  <c r="AN421" i="19"/>
  <c r="AP421" i="19" s="1"/>
  <c r="AR421" i="19" s="1"/>
  <c r="AN413" i="19"/>
  <c r="AP413" i="19" s="1"/>
  <c r="AR413" i="19" s="1"/>
  <c r="AC413" i="19"/>
  <c r="AE413" i="19" s="1"/>
  <c r="AG413" i="19" s="1"/>
  <c r="AC409" i="19"/>
  <c r="AE409" i="19" s="1"/>
  <c r="AG409" i="19" s="1"/>
  <c r="AN409" i="19"/>
  <c r="AP409" i="19" s="1"/>
  <c r="AR409" i="19" s="1"/>
  <c r="AC318" i="19"/>
  <c r="AN318" i="19"/>
  <c r="AN310" i="19"/>
  <c r="AC310" i="19"/>
  <c r="AC302" i="19"/>
  <c r="AN302" i="19"/>
  <c r="AN294" i="19"/>
  <c r="AC294" i="19"/>
  <c r="AC286" i="19"/>
  <c r="AN286" i="19"/>
  <c r="AN278" i="19"/>
  <c r="AP278" i="19" s="1"/>
  <c r="AR278" i="19" s="1"/>
  <c r="AC278" i="19"/>
  <c r="AE278" i="19" s="1"/>
  <c r="AG278" i="19" s="1"/>
  <c r="AC270" i="19"/>
  <c r="AE270" i="19" s="1"/>
  <c r="AG270" i="19" s="1"/>
  <c r="AN270" i="19"/>
  <c r="AP270" i="19" s="1"/>
  <c r="AR270" i="19" s="1"/>
  <c r="AC250" i="19"/>
  <c r="AE250" i="19" s="1"/>
  <c r="AN250" i="19"/>
  <c r="AP250" i="19" s="1"/>
  <c r="AR250" i="19" s="1"/>
  <c r="AN242" i="19"/>
  <c r="AP242" i="19" s="1"/>
  <c r="AR242" i="19" s="1"/>
  <c r="AC242" i="19"/>
  <c r="AE242" i="19" s="1"/>
  <c r="AN234" i="19"/>
  <c r="AP234" i="19" s="1"/>
  <c r="AR234" i="19" s="1"/>
  <c r="AC234" i="19"/>
  <c r="AE234" i="19" s="1"/>
  <c r="AG234" i="19" s="1"/>
  <c r="AN231" i="19"/>
  <c r="AP231" i="19" s="1"/>
  <c r="AR231" i="19" s="1"/>
  <c r="AC231" i="19"/>
  <c r="AE231" i="19" s="1"/>
  <c r="AG231" i="19" s="1"/>
  <c r="AN223" i="19"/>
  <c r="AP223" i="19" s="1"/>
  <c r="AR223" i="19" s="1"/>
  <c r="AC223" i="19"/>
  <c r="AE223" i="19" s="1"/>
  <c r="AG223" i="19" s="1"/>
  <c r="AN218" i="19"/>
  <c r="AP218" i="19" s="1"/>
  <c r="AR218" i="19" s="1"/>
  <c r="AC218" i="19"/>
  <c r="AE218" i="19" s="1"/>
  <c r="AG218" i="19" s="1"/>
  <c r="AN210" i="19"/>
  <c r="AP210" i="19" s="1"/>
  <c r="AR210" i="19" s="1"/>
  <c r="AC210" i="19"/>
  <c r="AE210" i="19" s="1"/>
  <c r="AG210" i="19" s="1"/>
  <c r="AN204" i="19"/>
  <c r="AP204" i="19" s="1"/>
  <c r="AR204" i="19" s="1"/>
  <c r="AC204" i="19"/>
  <c r="AE204" i="19" s="1"/>
  <c r="AG204" i="19" s="1"/>
  <c r="AN196" i="19"/>
  <c r="AP196" i="19" s="1"/>
  <c r="AR196" i="19" s="1"/>
  <c r="AC196" i="19"/>
  <c r="AE196" i="19" s="1"/>
  <c r="AG196" i="19" s="1"/>
  <c r="AC502" i="19"/>
  <c r="AE502" i="19" s="1"/>
  <c r="AG502" i="19" s="1"/>
  <c r="AN502" i="19"/>
  <c r="AP502" i="19" s="1"/>
  <c r="AR502" i="19" s="1"/>
  <c r="AN495" i="19"/>
  <c r="AP495" i="19" s="1"/>
  <c r="AR495" i="19" s="1"/>
  <c r="AC495" i="19"/>
  <c r="AE495" i="19" s="1"/>
  <c r="AN491" i="19"/>
  <c r="AP491" i="19" s="1"/>
  <c r="AR491" i="19" s="1"/>
  <c r="AC491" i="19"/>
  <c r="AE491" i="19" s="1"/>
  <c r="AG491" i="19" s="1"/>
  <c r="AC482" i="19"/>
  <c r="AE482" i="19" s="1"/>
  <c r="AG482" i="19" s="1"/>
  <c r="AN482" i="19"/>
  <c r="AP482" i="19" s="1"/>
  <c r="AR482" i="19" s="1"/>
  <c r="AC478" i="19"/>
  <c r="AN478" i="19"/>
  <c r="AC474" i="19"/>
  <c r="AE474" i="19" s="1"/>
  <c r="AG474" i="19" s="1"/>
  <c r="AN474" i="19"/>
  <c r="AP474" i="19" s="1"/>
  <c r="AR474" i="19" s="1"/>
  <c r="AN466" i="19"/>
  <c r="AP466" i="19" s="1"/>
  <c r="AR466" i="19" s="1"/>
  <c r="AC466" i="19"/>
  <c r="AE466" i="19" s="1"/>
  <c r="AG466" i="19" s="1"/>
  <c r="AC461" i="19"/>
  <c r="AE461" i="19" s="1"/>
  <c r="AG461" i="19" s="1"/>
  <c r="AN461" i="19"/>
  <c r="AP461" i="19" s="1"/>
  <c r="AR461" i="19" s="1"/>
  <c r="AN448" i="19"/>
  <c r="AP448" i="19" s="1"/>
  <c r="AR448" i="19" s="1"/>
  <c r="AC448" i="19"/>
  <c r="AE448" i="19" s="1"/>
  <c r="AG448" i="19" s="1"/>
  <c r="AN439" i="19"/>
  <c r="AP439" i="19" s="1"/>
  <c r="AR439" i="19" s="1"/>
  <c r="AC439" i="19"/>
  <c r="AE439" i="19" s="1"/>
  <c r="AG439" i="19" s="1"/>
  <c r="AC435" i="19"/>
  <c r="AE435" i="19" s="1"/>
  <c r="AG435" i="19" s="1"/>
  <c r="AN435" i="19"/>
  <c r="AP435" i="19" s="1"/>
  <c r="AR435" i="19" s="1"/>
  <c r="AN423" i="19"/>
  <c r="AP423" i="19" s="1"/>
  <c r="AR423" i="19" s="1"/>
  <c r="AC423" i="19"/>
  <c r="AE423" i="19" s="1"/>
  <c r="AG423" i="19" s="1"/>
  <c r="AC419" i="19"/>
  <c r="AE419" i="19" s="1"/>
  <c r="AG419" i="19" s="1"/>
  <c r="AN419" i="19"/>
  <c r="AP419" i="19" s="1"/>
  <c r="AR419" i="19" s="1"/>
  <c r="AC415" i="19"/>
  <c r="AE415" i="19" s="1"/>
  <c r="AG415" i="19" s="1"/>
  <c r="AN415" i="19"/>
  <c r="AP415" i="19" s="1"/>
  <c r="AR415" i="19" s="1"/>
  <c r="AN411" i="19"/>
  <c r="AP411" i="19" s="1"/>
  <c r="AR411" i="19" s="1"/>
  <c r="AC411" i="19"/>
  <c r="AE411" i="19" s="1"/>
  <c r="AG411" i="19" s="1"/>
  <c r="AN407" i="19"/>
  <c r="AP407" i="19" s="1"/>
  <c r="AR407" i="19" s="1"/>
  <c r="AC407" i="19"/>
  <c r="AE407" i="19" s="1"/>
  <c r="AG407" i="19" s="1"/>
  <c r="AN324" i="19"/>
  <c r="AC324" i="19"/>
  <c r="AN320" i="19"/>
  <c r="AC320" i="19"/>
  <c r="AN316" i="19"/>
  <c r="AC316" i="19"/>
  <c r="AC312" i="19"/>
  <c r="AN312" i="19"/>
  <c r="AN308" i="19"/>
  <c r="AC308" i="19"/>
  <c r="AC304" i="19"/>
  <c r="AN304" i="19"/>
  <c r="AN300" i="19"/>
  <c r="AC300" i="19"/>
  <c r="AC296" i="19"/>
  <c r="AN296" i="19"/>
  <c r="AC292" i="19"/>
  <c r="AN292" i="19"/>
  <c r="AC288" i="19"/>
  <c r="AN288" i="19"/>
  <c r="AC284" i="19"/>
  <c r="AN284" i="19"/>
  <c r="AN280" i="19"/>
  <c r="AP280" i="19" s="1"/>
  <c r="AR280" i="19" s="1"/>
  <c r="AC280" i="19"/>
  <c r="AE280" i="19" s="1"/>
  <c r="AG280" i="19" s="1"/>
  <c r="AC276" i="19"/>
  <c r="AE276" i="19" s="1"/>
  <c r="AG276" i="19" s="1"/>
  <c r="AN276" i="19"/>
  <c r="AP276" i="19" s="1"/>
  <c r="AR276" i="19" s="1"/>
  <c r="AN272" i="19"/>
  <c r="AP272" i="19" s="1"/>
  <c r="AR272" i="19" s="1"/>
  <c r="AC272" i="19"/>
  <c r="AE272" i="19" s="1"/>
  <c r="AG272" i="19" s="1"/>
  <c r="AN268" i="19"/>
  <c r="AP268" i="19" s="1"/>
  <c r="AR268" i="19" s="1"/>
  <c r="AC268" i="19"/>
  <c r="AE268" i="19" s="1"/>
  <c r="AG268" i="19" s="1"/>
  <c r="AC252" i="19"/>
  <c r="AE252" i="19" s="1"/>
  <c r="AN252" i="19"/>
  <c r="AP252" i="19" s="1"/>
  <c r="AR252" i="19" s="1"/>
  <c r="AN248" i="19"/>
  <c r="AP248" i="19" s="1"/>
  <c r="AR248" i="19" s="1"/>
  <c r="AC248" i="19"/>
  <c r="AE248" i="19" s="1"/>
  <c r="AN244" i="19"/>
  <c r="AP244" i="19" s="1"/>
  <c r="AR244" i="19" s="1"/>
  <c r="AC244" i="19"/>
  <c r="AE244" i="19" s="1"/>
  <c r="AC240" i="19"/>
  <c r="AE240" i="19" s="1"/>
  <c r="AN240" i="19"/>
  <c r="AP240" i="19" s="1"/>
  <c r="AR240" i="19" s="1"/>
  <c r="AN236" i="19"/>
  <c r="AP236" i="19" s="1"/>
  <c r="AR236" i="19" s="1"/>
  <c r="AC236" i="19"/>
  <c r="AE236" i="19" s="1"/>
  <c r="AN232" i="19"/>
  <c r="AP232" i="19" s="1"/>
  <c r="AR232" i="19" s="1"/>
  <c r="AC232" i="19"/>
  <c r="AE232" i="19" s="1"/>
  <c r="AG232" i="19" s="1"/>
  <c r="AN229" i="19"/>
  <c r="AP229" i="19" s="1"/>
  <c r="AR229" i="19" s="1"/>
  <c r="AC229" i="19"/>
  <c r="AE229" i="19" s="1"/>
  <c r="AG229" i="19" s="1"/>
  <c r="AN225" i="19"/>
  <c r="AP225" i="19" s="1"/>
  <c r="AR225" i="19" s="1"/>
  <c r="AC225" i="19"/>
  <c r="AE225" i="19" s="1"/>
  <c r="AG225" i="19" s="1"/>
  <c r="AN220" i="19"/>
  <c r="AP220" i="19" s="1"/>
  <c r="AR220" i="19" s="1"/>
  <c r="AC220" i="19"/>
  <c r="AE220" i="19" s="1"/>
  <c r="AG220" i="19" s="1"/>
  <c r="AN216" i="19"/>
  <c r="AP216" i="19" s="1"/>
  <c r="AR216" i="19" s="1"/>
  <c r="AC216" i="19"/>
  <c r="AE216" i="19" s="1"/>
  <c r="AG216" i="19" s="1"/>
  <c r="AN212" i="19"/>
  <c r="AP212" i="19" s="1"/>
  <c r="AR212" i="19" s="1"/>
  <c r="AC212" i="19"/>
  <c r="AE212" i="19" s="1"/>
  <c r="AG212" i="19" s="1"/>
  <c r="AN206" i="19"/>
  <c r="AP206" i="19" s="1"/>
  <c r="AR206" i="19" s="1"/>
  <c r="AC206" i="19"/>
  <c r="AE206" i="19" s="1"/>
  <c r="AG206" i="19" s="1"/>
  <c r="AN202" i="19"/>
  <c r="AP202" i="19" s="1"/>
  <c r="AR202" i="19" s="1"/>
  <c r="AC202" i="19"/>
  <c r="AE202" i="19" s="1"/>
  <c r="AG202" i="19" s="1"/>
  <c r="AN198" i="19"/>
  <c r="AP198" i="19" s="1"/>
  <c r="AR198" i="19" s="1"/>
  <c r="AC198" i="19"/>
  <c r="AE198" i="19" s="1"/>
  <c r="AG198" i="19" s="1"/>
  <c r="AN194" i="19"/>
  <c r="AP194" i="19" s="1"/>
  <c r="AR194" i="19" s="1"/>
  <c r="AC194" i="19"/>
  <c r="AE194" i="19" s="1"/>
  <c r="AG194" i="19" s="1"/>
  <c r="AN170" i="19"/>
  <c r="AP170" i="19" s="1"/>
  <c r="AR170" i="19" s="1"/>
  <c r="AC170" i="19"/>
  <c r="AE170" i="19" s="1"/>
  <c r="AG170" i="19" s="1"/>
  <c r="N93" i="19"/>
  <c r="N22" i="19"/>
  <c r="BO98" i="19"/>
  <c r="BI208" i="19"/>
  <c r="BU318" i="19"/>
  <c r="O14" i="19"/>
  <c r="P69" i="19"/>
  <c r="BO126" i="19"/>
  <c r="BI234" i="19"/>
  <c r="BI302" i="19"/>
  <c r="BO10" i="19"/>
  <c r="BO73" i="19"/>
  <c r="BU104" i="19"/>
  <c r="BI223" i="19"/>
  <c r="BO278" i="19"/>
  <c r="BO420" i="19"/>
  <c r="BI218" i="19"/>
  <c r="BO233" i="19"/>
  <c r="BO293" i="19"/>
  <c r="BO285" i="19"/>
  <c r="P217" i="19"/>
  <c r="BC92" i="19"/>
  <c r="Z96" i="19"/>
  <c r="BO249" i="19"/>
  <c r="BO269" i="19"/>
  <c r="BO309" i="19"/>
  <c r="BO207" i="19"/>
  <c r="BO230" i="19"/>
  <c r="BC21" i="19"/>
  <c r="AA125" i="19"/>
  <c r="N195" i="19"/>
  <c r="BO213" i="19"/>
  <c r="BO301" i="19"/>
  <c r="BC13" i="19"/>
  <c r="BC84" i="19"/>
  <c r="BC100" i="19"/>
  <c r="BO411" i="19"/>
  <c r="Y17" i="19"/>
  <c r="Z72" i="19"/>
  <c r="AA96" i="19"/>
  <c r="N209" i="19"/>
  <c r="AA8" i="19"/>
  <c r="Z80" i="19"/>
  <c r="Z88" i="19"/>
  <c r="Z103" i="19"/>
  <c r="Y96" i="19"/>
  <c r="AA103" i="19"/>
  <c r="BU17" i="19"/>
  <c r="G571" i="19"/>
  <c r="R571" i="19" s="1"/>
  <c r="T571" i="19" s="1"/>
  <c r="V571" i="19" s="1"/>
  <c r="G505" i="19"/>
  <c r="R505" i="19" s="1"/>
  <c r="T505" i="19" s="1"/>
  <c r="V505" i="19" s="1"/>
  <c r="G504" i="19"/>
  <c r="R504" i="19" s="1"/>
  <c r="T504" i="19" s="1"/>
  <c r="V504" i="19" s="1"/>
  <c r="G499" i="19"/>
  <c r="R499" i="19" s="1"/>
  <c r="T499" i="19" s="1"/>
  <c r="V499" i="19" s="1"/>
  <c r="G497" i="19"/>
  <c r="R497" i="19" s="1"/>
  <c r="T497" i="19" s="1"/>
  <c r="V497" i="19" s="1"/>
  <c r="G493" i="19"/>
  <c r="G481" i="19"/>
  <c r="G477" i="19"/>
  <c r="I477" i="19" s="1"/>
  <c r="G473" i="19"/>
  <c r="R473" i="19" s="1"/>
  <c r="T473" i="19" s="1"/>
  <c r="V473" i="19" s="1"/>
  <c r="G472" i="19"/>
  <c r="G464" i="19"/>
  <c r="R464" i="19" s="1"/>
  <c r="T464" i="19" s="1"/>
  <c r="V464" i="19" s="1"/>
  <c r="G461" i="19"/>
  <c r="R461" i="19" s="1"/>
  <c r="T461" i="19" s="1"/>
  <c r="V461" i="19" s="1"/>
  <c r="G451" i="19"/>
  <c r="G446" i="19"/>
  <c r="I446" i="19" s="1"/>
  <c r="G440" i="19"/>
  <c r="R440" i="19" s="1"/>
  <c r="T440" i="19" s="1"/>
  <c r="V440" i="19" s="1"/>
  <c r="G436" i="19"/>
  <c r="R436" i="19" s="1"/>
  <c r="T436" i="19" s="1"/>
  <c r="V436" i="19" s="1"/>
  <c r="G432" i="19"/>
  <c r="R432" i="19" s="1"/>
  <c r="T432" i="19" s="1"/>
  <c r="V432" i="19" s="1"/>
  <c r="G422" i="19"/>
  <c r="R422" i="19" s="1"/>
  <c r="T422" i="19" s="1"/>
  <c r="V422" i="19" s="1"/>
  <c r="G418" i="19"/>
  <c r="I418" i="19" s="1"/>
  <c r="G414" i="19"/>
  <c r="R414" i="19" s="1"/>
  <c r="T414" i="19" s="1"/>
  <c r="V414" i="19" s="1"/>
  <c r="G410" i="19"/>
  <c r="I410" i="19" s="1"/>
  <c r="G406" i="19"/>
  <c r="R406" i="19" s="1"/>
  <c r="T406" i="19" s="1"/>
  <c r="V406" i="19" s="1"/>
  <c r="G324" i="19"/>
  <c r="I324" i="19" s="1"/>
  <c r="G320" i="19"/>
  <c r="M320" i="19" s="1"/>
  <c r="G316" i="19"/>
  <c r="M316" i="19" s="1"/>
  <c r="G312" i="19"/>
  <c r="M312" i="19" s="1"/>
  <c r="G308" i="19"/>
  <c r="M308" i="19" s="1"/>
  <c r="G304" i="19"/>
  <c r="M304" i="19" s="1"/>
  <c r="G300" i="19"/>
  <c r="M300" i="19" s="1"/>
  <c r="G296" i="19"/>
  <c r="M296" i="19" s="1"/>
  <c r="G292" i="19"/>
  <c r="M292" i="19" s="1"/>
  <c r="G288" i="19"/>
  <c r="M288" i="19" s="1"/>
  <c r="G284" i="19"/>
  <c r="M284" i="19" s="1"/>
  <c r="G280" i="19"/>
  <c r="I280" i="19" s="1"/>
  <c r="G276" i="19"/>
  <c r="R276" i="19" s="1"/>
  <c r="T276" i="19" s="1"/>
  <c r="V276" i="19" s="1"/>
  <c r="G272" i="19"/>
  <c r="R272" i="19" s="1"/>
  <c r="T272" i="19" s="1"/>
  <c r="V272" i="19" s="1"/>
  <c r="G268" i="19"/>
  <c r="G252" i="19"/>
  <c r="R252" i="19" s="1"/>
  <c r="T252" i="19" s="1"/>
  <c r="V252" i="19" s="1"/>
  <c r="G248" i="19"/>
  <c r="R248" i="19" s="1"/>
  <c r="T248" i="19" s="1"/>
  <c r="V248" i="19" s="1"/>
  <c r="G244" i="19"/>
  <c r="R244" i="19" s="1"/>
  <c r="T244" i="19" s="1"/>
  <c r="V244" i="19" s="1"/>
  <c r="G240" i="19"/>
  <c r="R240" i="19" s="1"/>
  <c r="T240" i="19" s="1"/>
  <c r="V240" i="19" s="1"/>
  <c r="G236" i="19"/>
  <c r="R236" i="19" s="1"/>
  <c r="T236" i="19" s="1"/>
  <c r="V236" i="19" s="1"/>
  <c r="G232" i="19"/>
  <c r="R232" i="19" s="1"/>
  <c r="T232" i="19" s="1"/>
  <c r="V232" i="19" s="1"/>
  <c r="G229" i="19"/>
  <c r="R229" i="19" s="1"/>
  <c r="T229" i="19" s="1"/>
  <c r="V229" i="19" s="1"/>
  <c r="G225" i="19"/>
  <c r="R225" i="19" s="1"/>
  <c r="T225" i="19" s="1"/>
  <c r="V225" i="19" s="1"/>
  <c r="G220" i="19"/>
  <c r="R220" i="19" s="1"/>
  <c r="T220" i="19" s="1"/>
  <c r="V220" i="19" s="1"/>
  <c r="G216" i="19"/>
  <c r="R216" i="19" s="1"/>
  <c r="T216" i="19" s="1"/>
  <c r="V216" i="19" s="1"/>
  <c r="G212" i="19"/>
  <c r="R212" i="19" s="1"/>
  <c r="T212" i="19" s="1"/>
  <c r="V212" i="19" s="1"/>
  <c r="G206" i="19"/>
  <c r="R206" i="19" s="1"/>
  <c r="T206" i="19" s="1"/>
  <c r="V206" i="19" s="1"/>
  <c r="G202" i="19"/>
  <c r="R202" i="19" s="1"/>
  <c r="T202" i="19" s="1"/>
  <c r="V202" i="19" s="1"/>
  <c r="G198" i="19"/>
  <c r="R198" i="19" s="1"/>
  <c r="T198" i="19" s="1"/>
  <c r="V198" i="19" s="1"/>
  <c r="G194" i="19"/>
  <c r="R194" i="19" s="1"/>
  <c r="T194" i="19" s="1"/>
  <c r="V194" i="19" s="1"/>
  <c r="G171" i="19"/>
  <c r="R171" i="19" s="1"/>
  <c r="T171" i="19" s="1"/>
  <c r="V171" i="19" s="1"/>
  <c r="AY571" i="19"/>
  <c r="BA571" i="19" s="1"/>
  <c r="BC571" i="19" s="1"/>
  <c r="AY472" i="19"/>
  <c r="BA472" i="19" s="1"/>
  <c r="BC472" i="19" s="1"/>
  <c r="AY464" i="19"/>
  <c r="BA464" i="19" s="1"/>
  <c r="BC464" i="19" s="1"/>
  <c r="AY461" i="19"/>
  <c r="BA461" i="19" s="1"/>
  <c r="BC461" i="19" s="1"/>
  <c r="AY451" i="19"/>
  <c r="BA451" i="19" s="1"/>
  <c r="BC451" i="19" s="1"/>
  <c r="AY432" i="19"/>
  <c r="BA432" i="19" s="1"/>
  <c r="BC432" i="19" s="1"/>
  <c r="AY194" i="19"/>
  <c r="BA194" i="19" s="1"/>
  <c r="BC194" i="19" s="1"/>
  <c r="AY171" i="19"/>
  <c r="BA171" i="19" s="1"/>
  <c r="BC171" i="19" s="1"/>
  <c r="BE584" i="19"/>
  <c r="BG584" i="19" s="1"/>
  <c r="BI584" i="19" s="1"/>
  <c r="BE579" i="19"/>
  <c r="BG579" i="19" s="1"/>
  <c r="BI579" i="19" s="1"/>
  <c r="BE573" i="19"/>
  <c r="BG573" i="19" s="1"/>
  <c r="BI573" i="19" s="1"/>
  <c r="BE444" i="19"/>
  <c r="BG444" i="19" s="1"/>
  <c r="BI444" i="19" s="1"/>
  <c r="BE128" i="19"/>
  <c r="BG128" i="19" s="1"/>
  <c r="BI128" i="19" s="1"/>
  <c r="BE124" i="19"/>
  <c r="BG124" i="19" s="1"/>
  <c r="BI124" i="19" s="1"/>
  <c r="BE104" i="19"/>
  <c r="BG104" i="19" s="1"/>
  <c r="BI104" i="19" s="1"/>
  <c r="BE99" i="19"/>
  <c r="BG99" i="19" s="1"/>
  <c r="BI99" i="19" s="1"/>
  <c r="BE95" i="19"/>
  <c r="BG95" i="19" s="1"/>
  <c r="BI95" i="19" s="1"/>
  <c r="BE91" i="19"/>
  <c r="BG91" i="19" s="1"/>
  <c r="BI91" i="19" s="1"/>
  <c r="BE87" i="19"/>
  <c r="BG87" i="19" s="1"/>
  <c r="BI87" i="19" s="1"/>
  <c r="BE83" i="19"/>
  <c r="BG83" i="19" s="1"/>
  <c r="BI83" i="19" s="1"/>
  <c r="BE79" i="19"/>
  <c r="BG79" i="19" s="1"/>
  <c r="BI79" i="19" s="1"/>
  <c r="BE75" i="19"/>
  <c r="BG75" i="19" s="1"/>
  <c r="BI75" i="19" s="1"/>
  <c r="BE71" i="19"/>
  <c r="BG71" i="19" s="1"/>
  <c r="BI71" i="19" s="1"/>
  <c r="BE67" i="19"/>
  <c r="BG67" i="19" s="1"/>
  <c r="BI67" i="19" s="1"/>
  <c r="BE24" i="19"/>
  <c r="BG24" i="19" s="1"/>
  <c r="BI24" i="19" s="1"/>
  <c r="BE20" i="19"/>
  <c r="BG20" i="19" s="1"/>
  <c r="BI20" i="19" s="1"/>
  <c r="BE16" i="19"/>
  <c r="BG16" i="19" s="1"/>
  <c r="BI16" i="19" s="1"/>
  <c r="BE12" i="19"/>
  <c r="BG12" i="19" s="1"/>
  <c r="BI12" i="19" s="1"/>
  <c r="G567" i="19"/>
  <c r="R567" i="19" s="1"/>
  <c r="T567" i="19" s="1"/>
  <c r="V567" i="19" s="1"/>
  <c r="G501" i="19"/>
  <c r="R501" i="19" s="1"/>
  <c r="T501" i="19" s="1"/>
  <c r="V501" i="19" s="1"/>
  <c r="G500" i="19"/>
  <c r="R500" i="19" s="1"/>
  <c r="T500" i="19" s="1"/>
  <c r="V500" i="19" s="1"/>
  <c r="G494" i="19"/>
  <c r="G490" i="19"/>
  <c r="R490" i="19" s="1"/>
  <c r="T490" i="19" s="1"/>
  <c r="V490" i="19" s="1"/>
  <c r="G482" i="19"/>
  <c r="R482" i="19" s="1"/>
  <c r="T482" i="19" s="1"/>
  <c r="V482" i="19" s="1"/>
  <c r="G478" i="19"/>
  <c r="M478" i="19" s="1"/>
  <c r="G474" i="19"/>
  <c r="G465" i="19"/>
  <c r="R465" i="19" s="1"/>
  <c r="T465" i="19" s="1"/>
  <c r="V465" i="19" s="1"/>
  <c r="G456" i="19"/>
  <c r="G447" i="19"/>
  <c r="R447" i="19" s="1"/>
  <c r="T447" i="19" s="1"/>
  <c r="V447" i="19" s="1"/>
  <c r="G437" i="19"/>
  <c r="G433" i="19"/>
  <c r="R433" i="19" s="1"/>
  <c r="T433" i="19" s="1"/>
  <c r="V433" i="19" s="1"/>
  <c r="G423" i="19"/>
  <c r="R423" i="19" s="1"/>
  <c r="T423" i="19" s="1"/>
  <c r="V423" i="19" s="1"/>
  <c r="G419" i="19"/>
  <c r="R419" i="19" s="1"/>
  <c r="T419" i="19" s="1"/>
  <c r="V419" i="19" s="1"/>
  <c r="G415" i="19"/>
  <c r="G411" i="19"/>
  <c r="R411" i="19" s="1"/>
  <c r="T411" i="19" s="1"/>
  <c r="V411" i="19" s="1"/>
  <c r="G407" i="19"/>
  <c r="I407" i="19" s="1"/>
  <c r="G325" i="19"/>
  <c r="M325" i="19" s="1"/>
  <c r="O325" i="19" s="1"/>
  <c r="G321" i="19"/>
  <c r="M321" i="19" s="1"/>
  <c r="G317" i="19"/>
  <c r="M317" i="19" s="1"/>
  <c r="G313" i="19"/>
  <c r="M313" i="19" s="1"/>
  <c r="G309" i="19"/>
  <c r="M309" i="19" s="1"/>
  <c r="G305" i="19"/>
  <c r="M305" i="19" s="1"/>
  <c r="G301" i="19"/>
  <c r="M301" i="19" s="1"/>
  <c r="G297" i="19"/>
  <c r="M297" i="19" s="1"/>
  <c r="G293" i="19"/>
  <c r="M293" i="19" s="1"/>
  <c r="G289" i="19"/>
  <c r="M289" i="19" s="1"/>
  <c r="O289" i="19" s="1"/>
  <c r="G285" i="19"/>
  <c r="M285" i="19" s="1"/>
  <c r="O285" i="19" s="1"/>
  <c r="G281" i="19"/>
  <c r="R281" i="19" s="1"/>
  <c r="T281" i="19" s="1"/>
  <c r="V281" i="19" s="1"/>
  <c r="G277" i="19"/>
  <c r="G273" i="19"/>
  <c r="R273" i="19" s="1"/>
  <c r="T273" i="19" s="1"/>
  <c r="V273" i="19" s="1"/>
  <c r="G269" i="19"/>
  <c r="R269" i="19" s="1"/>
  <c r="T269" i="19" s="1"/>
  <c r="V269" i="19" s="1"/>
  <c r="G253" i="19"/>
  <c r="R253" i="19" s="1"/>
  <c r="T253" i="19" s="1"/>
  <c r="V253" i="19" s="1"/>
  <c r="G249" i="19"/>
  <c r="R249" i="19" s="1"/>
  <c r="T249" i="19" s="1"/>
  <c r="V249" i="19" s="1"/>
  <c r="G245" i="19"/>
  <c r="R245" i="19" s="1"/>
  <c r="T245" i="19" s="1"/>
  <c r="V245" i="19" s="1"/>
  <c r="G241" i="19"/>
  <c r="R241" i="19" s="1"/>
  <c r="T241" i="19" s="1"/>
  <c r="V241" i="19" s="1"/>
  <c r="G237" i="19"/>
  <c r="R237" i="19" s="1"/>
  <c r="T237" i="19" s="1"/>
  <c r="V237" i="19" s="1"/>
  <c r="G233" i="19"/>
  <c r="R233" i="19" s="1"/>
  <c r="T233" i="19" s="1"/>
  <c r="V233" i="19" s="1"/>
  <c r="G230" i="19"/>
  <c r="R230" i="19" s="1"/>
  <c r="T230" i="19" s="1"/>
  <c r="V230" i="19" s="1"/>
  <c r="G226" i="19"/>
  <c r="R226" i="19" s="1"/>
  <c r="T226" i="19" s="1"/>
  <c r="V226" i="19" s="1"/>
  <c r="G222" i="19"/>
  <c r="R222" i="19" s="1"/>
  <c r="T222" i="19" s="1"/>
  <c r="V222" i="19" s="1"/>
  <c r="G221" i="19"/>
  <c r="R221" i="19" s="1"/>
  <c r="T221" i="19" s="1"/>
  <c r="V221" i="19" s="1"/>
  <c r="G217" i="19"/>
  <c r="R217" i="19" s="1"/>
  <c r="T217" i="19" s="1"/>
  <c r="V217" i="19" s="1"/>
  <c r="G213" i="19"/>
  <c r="R213" i="19" s="1"/>
  <c r="T213" i="19" s="1"/>
  <c r="V213" i="19" s="1"/>
  <c r="G209" i="19"/>
  <c r="R209" i="19" s="1"/>
  <c r="T209" i="19" s="1"/>
  <c r="V209" i="19" s="1"/>
  <c r="G207" i="19"/>
  <c r="R207" i="19" s="1"/>
  <c r="T207" i="19" s="1"/>
  <c r="V207" i="19" s="1"/>
  <c r="G203" i="19"/>
  <c r="R203" i="19" s="1"/>
  <c r="T203" i="19" s="1"/>
  <c r="V203" i="19" s="1"/>
  <c r="G199" i="19"/>
  <c r="R199" i="19" s="1"/>
  <c r="T199" i="19" s="1"/>
  <c r="V199" i="19" s="1"/>
  <c r="G195" i="19"/>
  <c r="G172" i="19"/>
  <c r="K128" i="19"/>
  <c r="G128" i="19"/>
  <c r="R128" i="19" s="1"/>
  <c r="T128" i="19" s="1"/>
  <c r="K124" i="19"/>
  <c r="G124" i="19"/>
  <c r="R124" i="19" s="1"/>
  <c r="T124" i="19" s="1"/>
  <c r="K99" i="19"/>
  <c r="G99" i="19"/>
  <c r="R99" i="19" s="1"/>
  <c r="T99" i="19" s="1"/>
  <c r="K95" i="19"/>
  <c r="G95" i="19"/>
  <c r="R95" i="19" s="1"/>
  <c r="T95" i="19" s="1"/>
  <c r="G91" i="19"/>
  <c r="R91" i="19" s="1"/>
  <c r="T91" i="19" s="1"/>
  <c r="K87" i="19"/>
  <c r="G87" i="19"/>
  <c r="R87" i="19" s="1"/>
  <c r="T87" i="19" s="1"/>
  <c r="G83" i="19"/>
  <c r="R83" i="19" s="1"/>
  <c r="T83" i="19" s="1"/>
  <c r="K79" i="19"/>
  <c r="G79" i="19"/>
  <c r="R79" i="19" s="1"/>
  <c r="T79" i="19" s="1"/>
  <c r="K75" i="19"/>
  <c r="G75" i="19"/>
  <c r="R75" i="19" s="1"/>
  <c r="T75" i="19" s="1"/>
  <c r="G71" i="19"/>
  <c r="R71" i="19" s="1"/>
  <c r="T71" i="19" s="1"/>
  <c r="K67" i="19"/>
  <c r="G67" i="19"/>
  <c r="R67" i="19" s="1"/>
  <c r="T67" i="19" s="1"/>
  <c r="G24" i="19"/>
  <c r="R24" i="19" s="1"/>
  <c r="T24" i="19" s="1"/>
  <c r="K20" i="19"/>
  <c r="G20" i="19"/>
  <c r="R20" i="19" s="1"/>
  <c r="T20" i="19" s="1"/>
  <c r="G16" i="19"/>
  <c r="R16" i="19" s="1"/>
  <c r="T16" i="19" s="1"/>
  <c r="G12" i="19"/>
  <c r="R12" i="19" s="1"/>
  <c r="T12" i="19" s="1"/>
  <c r="N579" i="19"/>
  <c r="M579" i="19"/>
  <c r="P499" i="19"/>
  <c r="M499" i="19"/>
  <c r="N497" i="19"/>
  <c r="M497" i="19"/>
  <c r="O464" i="19"/>
  <c r="M464" i="19"/>
  <c r="P451" i="19"/>
  <c r="M451" i="19"/>
  <c r="N446" i="19"/>
  <c r="M446" i="19"/>
  <c r="O444" i="19"/>
  <c r="M444" i="19"/>
  <c r="O440" i="19"/>
  <c r="M440" i="19"/>
  <c r="P436" i="19"/>
  <c r="M436" i="19"/>
  <c r="P432" i="19"/>
  <c r="M432" i="19"/>
  <c r="P422" i="19"/>
  <c r="M422" i="19"/>
  <c r="O418" i="19"/>
  <c r="M418" i="19"/>
  <c r="O410" i="19"/>
  <c r="M410" i="19"/>
  <c r="N280" i="19"/>
  <c r="M280" i="19"/>
  <c r="O232" i="19"/>
  <c r="M232" i="19"/>
  <c r="O229" i="19"/>
  <c r="M229" i="19"/>
  <c r="O225" i="19"/>
  <c r="M225" i="19"/>
  <c r="P220" i="19"/>
  <c r="M220" i="19"/>
  <c r="O216" i="19"/>
  <c r="M216" i="19"/>
  <c r="N212" i="19"/>
  <c r="M212" i="19"/>
  <c r="N171" i="19"/>
  <c r="M171" i="19"/>
  <c r="O128" i="19"/>
  <c r="M128" i="19"/>
  <c r="O124" i="19"/>
  <c r="M124" i="19"/>
  <c r="N95" i="19"/>
  <c r="M95" i="19"/>
  <c r="N83" i="19"/>
  <c r="M83" i="19"/>
  <c r="P79" i="19"/>
  <c r="M79" i="19"/>
  <c r="O71" i="19"/>
  <c r="M71" i="19"/>
  <c r="O24" i="19"/>
  <c r="M24" i="19"/>
  <c r="Y584" i="19"/>
  <c r="X584" i="19"/>
  <c r="AA504" i="19"/>
  <c r="X504" i="19"/>
  <c r="AA440" i="19"/>
  <c r="X440" i="19"/>
  <c r="AA436" i="19"/>
  <c r="X436" i="19"/>
  <c r="Z280" i="19"/>
  <c r="X280" i="19"/>
  <c r="AA276" i="19"/>
  <c r="X276" i="19"/>
  <c r="Z272" i="19"/>
  <c r="X272" i="19"/>
  <c r="AA248" i="19"/>
  <c r="X248" i="19"/>
  <c r="Y236" i="19"/>
  <c r="X236" i="19"/>
  <c r="Z225" i="19"/>
  <c r="X225" i="19"/>
  <c r="Z216" i="19"/>
  <c r="X216" i="19"/>
  <c r="Z212" i="19"/>
  <c r="X212" i="19"/>
  <c r="AA198" i="19"/>
  <c r="X198" i="19"/>
  <c r="AA194" i="19"/>
  <c r="X194" i="19"/>
  <c r="Y171" i="19"/>
  <c r="X171" i="19"/>
  <c r="AA128" i="19"/>
  <c r="X128" i="19"/>
  <c r="Y124" i="19"/>
  <c r="X124" i="19"/>
  <c r="Y99" i="19"/>
  <c r="X99" i="19"/>
  <c r="AA95" i="19"/>
  <c r="X95" i="19"/>
  <c r="Y91" i="19"/>
  <c r="X91" i="19"/>
  <c r="Y83" i="19"/>
  <c r="X83" i="19"/>
  <c r="AA79" i="19"/>
  <c r="X79" i="19"/>
  <c r="AA71" i="19"/>
  <c r="X71" i="19"/>
  <c r="AA67" i="19"/>
  <c r="X67" i="19"/>
  <c r="Y24" i="19"/>
  <c r="X24" i="19"/>
  <c r="Z16" i="19"/>
  <c r="X16" i="19"/>
  <c r="BC422" i="19"/>
  <c r="AY422" i="19"/>
  <c r="BA422" i="19" s="1"/>
  <c r="BC418" i="19"/>
  <c r="AY418" i="19"/>
  <c r="BA418" i="19" s="1"/>
  <c r="BC410" i="19"/>
  <c r="AY410" i="19"/>
  <c r="BA410" i="19" s="1"/>
  <c r="BC324" i="19"/>
  <c r="AY324" i="19"/>
  <c r="BA324" i="19" s="1"/>
  <c r="BC312" i="19"/>
  <c r="AY312" i="19"/>
  <c r="BA312" i="19" s="1"/>
  <c r="BC272" i="19"/>
  <c r="AY272" i="19"/>
  <c r="BA272" i="19" s="1"/>
  <c r="BC236" i="19"/>
  <c r="AY236" i="19"/>
  <c r="BA236" i="19" s="1"/>
  <c r="AY225" i="19"/>
  <c r="BA225" i="19" s="1"/>
  <c r="BC225" i="19" s="1"/>
  <c r="BC212" i="19"/>
  <c r="AY212" i="19"/>
  <c r="BA212" i="19" s="1"/>
  <c r="BC198" i="19"/>
  <c r="AY198" i="19"/>
  <c r="BA198" i="19" s="1"/>
  <c r="BC128" i="19"/>
  <c r="AY128" i="19"/>
  <c r="BA128" i="19" s="1"/>
  <c r="BC124" i="19"/>
  <c r="AY124" i="19"/>
  <c r="BA124" i="19" s="1"/>
  <c r="BC99" i="19"/>
  <c r="AY99" i="19"/>
  <c r="BA99" i="19" s="1"/>
  <c r="BC75" i="19"/>
  <c r="AY75" i="19"/>
  <c r="BA75" i="19" s="1"/>
  <c r="BC71" i="19"/>
  <c r="AY71" i="19"/>
  <c r="BA71" i="19" s="1"/>
  <c r="BC20" i="19"/>
  <c r="AY20" i="19"/>
  <c r="BA20" i="19" s="1"/>
  <c r="BC16" i="19"/>
  <c r="AY16" i="19"/>
  <c r="BA16" i="19" s="1"/>
  <c r="BI505" i="19"/>
  <c r="BE505" i="19"/>
  <c r="BG505" i="19" s="1"/>
  <c r="BI504" i="19"/>
  <c r="BE504" i="19"/>
  <c r="BG504" i="19" s="1"/>
  <c r="BI497" i="19"/>
  <c r="BE497" i="19"/>
  <c r="BG497" i="19" s="1"/>
  <c r="BI493" i="19"/>
  <c r="BE493" i="19"/>
  <c r="BG493" i="19" s="1"/>
  <c r="BI477" i="19"/>
  <c r="BE477" i="19"/>
  <c r="BG477" i="19" s="1"/>
  <c r="BI461" i="19"/>
  <c r="BE461" i="19"/>
  <c r="BG461" i="19" s="1"/>
  <c r="BI440" i="19"/>
  <c r="BE440" i="19"/>
  <c r="BG440" i="19" s="1"/>
  <c r="BI414" i="19"/>
  <c r="BE414" i="19"/>
  <c r="BG414" i="19" s="1"/>
  <c r="BI410" i="19"/>
  <c r="BE410" i="19"/>
  <c r="BG410" i="19" s="1"/>
  <c r="BI324" i="19"/>
  <c r="BE324" i="19"/>
  <c r="BG324" i="19" s="1"/>
  <c r="BI308" i="19"/>
  <c r="BE308" i="19"/>
  <c r="BG308" i="19" s="1"/>
  <c r="BI300" i="19"/>
  <c r="BE300" i="19"/>
  <c r="BG300" i="19" s="1"/>
  <c r="BI296" i="19"/>
  <c r="BE296" i="19"/>
  <c r="BG296" i="19" s="1"/>
  <c r="BI268" i="19"/>
  <c r="BE268" i="19"/>
  <c r="BG268" i="19" s="1"/>
  <c r="BI252" i="19"/>
  <c r="BE252" i="19"/>
  <c r="BG252" i="19" s="1"/>
  <c r="BI216" i="19"/>
  <c r="BE216" i="19"/>
  <c r="BG216" i="19" s="1"/>
  <c r="BI212" i="19"/>
  <c r="BE212" i="19"/>
  <c r="BG212" i="19" s="1"/>
  <c r="BI198" i="19"/>
  <c r="BE198" i="19"/>
  <c r="BG198" i="19" s="1"/>
  <c r="BI194" i="19"/>
  <c r="BE194" i="19"/>
  <c r="BG194" i="19" s="1"/>
  <c r="BI171" i="19"/>
  <c r="BE171" i="19"/>
  <c r="BG171" i="19" s="1"/>
  <c r="BO584" i="19"/>
  <c r="BK584" i="19"/>
  <c r="BM584" i="19" s="1"/>
  <c r="BO579" i="19"/>
  <c r="BK579" i="19"/>
  <c r="BM579" i="19" s="1"/>
  <c r="BK571" i="19"/>
  <c r="BM571" i="19" s="1"/>
  <c r="BO481" i="19"/>
  <c r="BK481" i="19"/>
  <c r="BM481" i="19" s="1"/>
  <c r="BO472" i="19"/>
  <c r="BK472" i="19"/>
  <c r="BM472" i="19" s="1"/>
  <c r="BK464" i="19"/>
  <c r="BM464" i="19" s="1"/>
  <c r="BK451" i="19"/>
  <c r="BM451" i="19" s="1"/>
  <c r="BO446" i="19"/>
  <c r="BK446" i="19"/>
  <c r="BM446" i="19" s="1"/>
  <c r="BO440" i="19"/>
  <c r="BK440" i="19"/>
  <c r="BM440" i="19" s="1"/>
  <c r="BK406" i="19"/>
  <c r="BM406" i="19" s="1"/>
  <c r="BK292" i="19"/>
  <c r="BM292" i="19" s="1"/>
  <c r="BO280" i="19"/>
  <c r="BK280" i="19"/>
  <c r="BM280" i="19" s="1"/>
  <c r="BK276" i="19"/>
  <c r="BM276" i="19" s="1"/>
  <c r="BK272" i="19"/>
  <c r="BM272" i="19" s="1"/>
  <c r="BO268" i="19"/>
  <c r="BK268" i="19"/>
  <c r="BM268" i="19" s="1"/>
  <c r="BO220" i="19"/>
  <c r="BK220" i="19"/>
  <c r="BM220" i="19" s="1"/>
  <c r="BO206" i="19"/>
  <c r="BK206" i="19"/>
  <c r="BM206" i="19" s="1"/>
  <c r="BO194" i="19"/>
  <c r="BK194" i="19"/>
  <c r="BM194" i="19" s="1"/>
  <c r="BO128" i="19"/>
  <c r="BK128" i="19"/>
  <c r="BM128" i="19" s="1"/>
  <c r="BO79" i="19"/>
  <c r="BK79" i="19"/>
  <c r="BM79" i="19" s="1"/>
  <c r="BO75" i="19"/>
  <c r="BK75" i="19"/>
  <c r="BM75" i="19" s="1"/>
  <c r="BO71" i="19"/>
  <c r="BK71" i="19"/>
  <c r="BM71" i="19" s="1"/>
  <c r="BO20" i="19"/>
  <c r="BK20" i="19"/>
  <c r="BM20" i="19" s="1"/>
  <c r="BQ578" i="19"/>
  <c r="BS578" i="19" s="1"/>
  <c r="BU578" i="19" s="1"/>
  <c r="BU496" i="19"/>
  <c r="BQ496" i="19"/>
  <c r="BS496" i="19" s="1"/>
  <c r="BU480" i="19"/>
  <c r="BQ480" i="19"/>
  <c r="BS480" i="19" s="1"/>
  <c r="BU468" i="19"/>
  <c r="BQ468" i="19"/>
  <c r="BS468" i="19" s="1"/>
  <c r="BU453" i="19"/>
  <c r="BQ453" i="19"/>
  <c r="BS453" i="19" s="1"/>
  <c r="BU413" i="19"/>
  <c r="BQ413" i="19"/>
  <c r="BS413" i="19" s="1"/>
  <c r="BU409" i="19"/>
  <c r="BQ409" i="19"/>
  <c r="BS409" i="19" s="1"/>
  <c r="BU307" i="19"/>
  <c r="BQ307" i="19"/>
  <c r="BS307" i="19" s="1"/>
  <c r="BU303" i="19"/>
  <c r="BQ303" i="19"/>
  <c r="BS303" i="19" s="1"/>
  <c r="BU247" i="19"/>
  <c r="BQ247" i="19"/>
  <c r="BS247" i="19" s="1"/>
  <c r="BU243" i="19"/>
  <c r="BQ243" i="19"/>
  <c r="BS243" i="19" s="1"/>
  <c r="BU239" i="19"/>
  <c r="BQ239" i="19"/>
  <c r="BS239" i="19" s="1"/>
  <c r="BU228" i="19"/>
  <c r="BQ228" i="19"/>
  <c r="BS228" i="19" s="1"/>
  <c r="BU224" i="19"/>
  <c r="BQ224" i="19"/>
  <c r="BS224" i="19" s="1"/>
  <c r="BU219" i="19"/>
  <c r="BQ219" i="19"/>
  <c r="BS219" i="19" s="1"/>
  <c r="BU215" i="19"/>
  <c r="BQ215" i="19"/>
  <c r="BS215" i="19" s="1"/>
  <c r="BU211" i="19"/>
  <c r="BQ211" i="19"/>
  <c r="BS211" i="19" s="1"/>
  <c r="BU197" i="19"/>
  <c r="BQ197" i="19"/>
  <c r="BS197" i="19" s="1"/>
  <c r="BU170" i="19"/>
  <c r="BQ170" i="19"/>
  <c r="BS170" i="19" s="1"/>
  <c r="BU127" i="19"/>
  <c r="BQ127" i="19"/>
  <c r="BS127" i="19" s="1"/>
  <c r="BU123" i="19"/>
  <c r="BQ123" i="19"/>
  <c r="BS123" i="19" s="1"/>
  <c r="BQ98" i="19"/>
  <c r="BS98" i="19" s="1"/>
  <c r="BU94" i="19"/>
  <c r="BQ94" i="19"/>
  <c r="BS94" i="19" s="1"/>
  <c r="BU90" i="19"/>
  <c r="BQ90" i="19"/>
  <c r="BS90" i="19" s="1"/>
  <c r="BU86" i="19"/>
  <c r="BQ86" i="19"/>
  <c r="BS86" i="19" s="1"/>
  <c r="BQ82" i="19"/>
  <c r="BS82" i="19" s="1"/>
  <c r="BU78" i="19"/>
  <c r="BQ78" i="19"/>
  <c r="BS78" i="19" s="1"/>
  <c r="BU23" i="19"/>
  <c r="BQ23" i="19"/>
  <c r="BS23" i="19" s="1"/>
  <c r="BU19" i="19"/>
  <c r="BQ19" i="19"/>
  <c r="BS19" i="19" s="1"/>
  <c r="BU15" i="19"/>
  <c r="BQ15" i="19"/>
  <c r="BS15" i="19" s="1"/>
  <c r="BU11" i="19"/>
  <c r="BQ11" i="19"/>
  <c r="BS11" i="19" s="1"/>
  <c r="K578" i="19"/>
  <c r="G578" i="19"/>
  <c r="R578" i="19" s="1"/>
  <c r="T578" i="19" s="1"/>
  <c r="G503" i="19"/>
  <c r="I503" i="19" s="1"/>
  <c r="G498" i="19"/>
  <c r="G496" i="19"/>
  <c r="G492" i="19"/>
  <c r="R492" i="19" s="1"/>
  <c r="T492" i="19" s="1"/>
  <c r="V492" i="19" s="1"/>
  <c r="G480" i="19"/>
  <c r="R480" i="19" s="1"/>
  <c r="T480" i="19" s="1"/>
  <c r="V480" i="19" s="1"/>
  <c r="G476" i="19"/>
  <c r="M476" i="19" s="1"/>
  <c r="G468" i="19"/>
  <c r="G462" i="19"/>
  <c r="K459" i="19"/>
  <c r="G459" i="19"/>
  <c r="G453" i="19"/>
  <c r="R453" i="19" s="1"/>
  <c r="T453" i="19" s="1"/>
  <c r="V453" i="19" s="1"/>
  <c r="G439" i="19"/>
  <c r="R439" i="19" s="1"/>
  <c r="T439" i="19" s="1"/>
  <c r="V439" i="19" s="1"/>
  <c r="G435" i="19"/>
  <c r="R435" i="19" s="1"/>
  <c r="T435" i="19" s="1"/>
  <c r="V435" i="19" s="1"/>
  <c r="G421" i="19"/>
  <c r="R421" i="19" s="1"/>
  <c r="T421" i="19" s="1"/>
  <c r="V421" i="19" s="1"/>
  <c r="G417" i="19"/>
  <c r="R417" i="19" s="1"/>
  <c r="T417" i="19" s="1"/>
  <c r="V417" i="19" s="1"/>
  <c r="G413" i="19"/>
  <c r="I413" i="19" s="1"/>
  <c r="G409" i="19"/>
  <c r="R409" i="19" s="1"/>
  <c r="T409" i="19" s="1"/>
  <c r="V409" i="19" s="1"/>
  <c r="G405" i="19"/>
  <c r="R405" i="19" s="1"/>
  <c r="T405" i="19" s="1"/>
  <c r="V405" i="19" s="1"/>
  <c r="G323" i="19"/>
  <c r="M323" i="19" s="1"/>
  <c r="O323" i="19" s="1"/>
  <c r="G319" i="19"/>
  <c r="M319" i="19" s="1"/>
  <c r="G315" i="19"/>
  <c r="M315" i="19" s="1"/>
  <c r="G311" i="19"/>
  <c r="M311" i="19" s="1"/>
  <c r="G307" i="19"/>
  <c r="M307" i="19" s="1"/>
  <c r="G303" i="19"/>
  <c r="M303" i="19" s="1"/>
  <c r="G299" i="19"/>
  <c r="M299" i="19" s="1"/>
  <c r="G295" i="19"/>
  <c r="M295" i="19" s="1"/>
  <c r="G291" i="19"/>
  <c r="M291" i="19" s="1"/>
  <c r="O291" i="19" s="1"/>
  <c r="G287" i="19"/>
  <c r="M287" i="19" s="1"/>
  <c r="G283" i="19"/>
  <c r="G279" i="19"/>
  <c r="R279" i="19" s="1"/>
  <c r="T279" i="19" s="1"/>
  <c r="V279" i="19" s="1"/>
  <c r="G275" i="19"/>
  <c r="R275" i="19" s="1"/>
  <c r="T275" i="19" s="1"/>
  <c r="V275" i="19" s="1"/>
  <c r="G271" i="19"/>
  <c r="G267" i="19"/>
  <c r="G251" i="19"/>
  <c r="R251" i="19" s="1"/>
  <c r="T251" i="19" s="1"/>
  <c r="V251" i="19" s="1"/>
  <c r="G247" i="19"/>
  <c r="R247" i="19" s="1"/>
  <c r="T247" i="19" s="1"/>
  <c r="V247" i="19" s="1"/>
  <c r="G243" i="19"/>
  <c r="R243" i="19" s="1"/>
  <c r="T243" i="19" s="1"/>
  <c r="V243" i="19" s="1"/>
  <c r="G239" i="19"/>
  <c r="R239" i="19" s="1"/>
  <c r="T239" i="19" s="1"/>
  <c r="V239" i="19" s="1"/>
  <c r="G235" i="19"/>
  <c r="R235" i="19" s="1"/>
  <c r="T235" i="19" s="1"/>
  <c r="V235" i="19" s="1"/>
  <c r="G228" i="19"/>
  <c r="R228" i="19" s="1"/>
  <c r="T228" i="19" s="1"/>
  <c r="V228" i="19" s="1"/>
  <c r="G224" i="19"/>
  <c r="I224" i="19" s="1"/>
  <c r="G219" i="19"/>
  <c r="R219" i="19" s="1"/>
  <c r="T219" i="19" s="1"/>
  <c r="V219" i="19" s="1"/>
  <c r="G215" i="19"/>
  <c r="G211" i="19"/>
  <c r="G205" i="19"/>
  <c r="R205" i="19" s="1"/>
  <c r="T205" i="19" s="1"/>
  <c r="V205" i="19" s="1"/>
  <c r="G201" i="19"/>
  <c r="G197" i="19"/>
  <c r="R197" i="19" s="1"/>
  <c r="T197" i="19" s="1"/>
  <c r="V197" i="19" s="1"/>
  <c r="G170" i="19"/>
  <c r="R170" i="19" s="1"/>
  <c r="T170" i="19" s="1"/>
  <c r="V170" i="19" s="1"/>
  <c r="K127" i="19"/>
  <c r="G127" i="19"/>
  <c r="R127" i="19" s="1"/>
  <c r="T127" i="19" s="1"/>
  <c r="G123" i="19"/>
  <c r="R123" i="19" s="1"/>
  <c r="T123" i="19" s="1"/>
  <c r="K101" i="19"/>
  <c r="G101" i="19"/>
  <c r="R101" i="19" s="1"/>
  <c r="T101" i="19" s="1"/>
  <c r="G98" i="19"/>
  <c r="R98" i="19" s="1"/>
  <c r="T98" i="19" s="1"/>
  <c r="G94" i="19"/>
  <c r="R94" i="19" s="1"/>
  <c r="T94" i="19" s="1"/>
  <c r="K90" i="19"/>
  <c r="G90" i="19"/>
  <c r="R90" i="19" s="1"/>
  <c r="T90" i="19" s="1"/>
  <c r="K82" i="19"/>
  <c r="G82" i="19"/>
  <c r="R82" i="19" s="1"/>
  <c r="T82" i="19" s="1"/>
  <c r="G74" i="19"/>
  <c r="R74" i="19" s="1"/>
  <c r="T74" i="19" s="1"/>
  <c r="K70" i="19"/>
  <c r="G70" i="19"/>
  <c r="R70" i="19" s="1"/>
  <c r="T70" i="19" s="1"/>
  <c r="G23" i="19"/>
  <c r="R23" i="19" s="1"/>
  <c r="T23" i="19" s="1"/>
  <c r="G19" i="19"/>
  <c r="R19" i="19" s="1"/>
  <c r="T19" i="19" s="1"/>
  <c r="K15" i="19"/>
  <c r="G15" i="19"/>
  <c r="R15" i="19" s="1"/>
  <c r="T15" i="19" s="1"/>
  <c r="K11" i="19"/>
  <c r="G11" i="19"/>
  <c r="I11" i="19" s="1"/>
  <c r="P570" i="19"/>
  <c r="M570" i="19"/>
  <c r="N480" i="19"/>
  <c r="M480" i="19"/>
  <c r="P439" i="19"/>
  <c r="M439" i="19"/>
  <c r="P435" i="19"/>
  <c r="M435" i="19"/>
  <c r="P279" i="19"/>
  <c r="M279" i="19"/>
  <c r="P275" i="19"/>
  <c r="M275" i="19"/>
  <c r="P235" i="19"/>
  <c r="M235" i="19"/>
  <c r="O228" i="19"/>
  <c r="M228" i="19"/>
  <c r="P197" i="19"/>
  <c r="M197" i="19"/>
  <c r="O123" i="19"/>
  <c r="M123" i="19"/>
  <c r="P101" i="19"/>
  <c r="M101" i="19"/>
  <c r="P86" i="19"/>
  <c r="M86" i="19"/>
  <c r="N82" i="19"/>
  <c r="M82" i="19"/>
  <c r="O78" i="19"/>
  <c r="M78" i="19"/>
  <c r="P70" i="19"/>
  <c r="M70" i="19"/>
  <c r="O23" i="19"/>
  <c r="M23" i="19"/>
  <c r="P15" i="19"/>
  <c r="M15" i="19"/>
  <c r="N11" i="19"/>
  <c r="M11" i="19"/>
  <c r="Z583" i="19"/>
  <c r="X583" i="19"/>
  <c r="AA578" i="19"/>
  <c r="X578" i="19"/>
  <c r="Z503" i="19"/>
  <c r="X503" i="19"/>
  <c r="Y496" i="19"/>
  <c r="X496" i="19"/>
  <c r="Z468" i="19"/>
  <c r="X468" i="19"/>
  <c r="Y417" i="19"/>
  <c r="X417" i="19"/>
  <c r="Z283" i="19"/>
  <c r="X283" i="19"/>
  <c r="AA279" i="19"/>
  <c r="X279" i="19"/>
  <c r="Z275" i="19"/>
  <c r="X275" i="19"/>
  <c r="Y239" i="19"/>
  <c r="X239" i="19"/>
  <c r="Z228" i="19"/>
  <c r="X228" i="19"/>
  <c r="AA215" i="19"/>
  <c r="X215" i="19"/>
  <c r="Y197" i="19"/>
  <c r="X197" i="19"/>
  <c r="Z127" i="19"/>
  <c r="X127" i="19"/>
  <c r="AA123" i="19"/>
  <c r="X123" i="19"/>
  <c r="Z98" i="19"/>
  <c r="X98" i="19"/>
  <c r="Z82" i="19"/>
  <c r="X82" i="19"/>
  <c r="AA78" i="19"/>
  <c r="X78" i="19"/>
  <c r="AA70" i="19"/>
  <c r="X70" i="19"/>
  <c r="AA19" i="19"/>
  <c r="X19" i="19"/>
  <c r="Y11" i="19"/>
  <c r="X11" i="19"/>
  <c r="BC578" i="19"/>
  <c r="AY578" i="19"/>
  <c r="BA578" i="19" s="1"/>
  <c r="BC498" i="19"/>
  <c r="AY498" i="19"/>
  <c r="BA498" i="19" s="1"/>
  <c r="BC496" i="19"/>
  <c r="AY496" i="19"/>
  <c r="BA496" i="19" s="1"/>
  <c r="BC492" i="19"/>
  <c r="AY492" i="19"/>
  <c r="BA492" i="19" s="1"/>
  <c r="BC480" i="19"/>
  <c r="AY480" i="19"/>
  <c r="BA480" i="19" s="1"/>
  <c r="AY462" i="19"/>
  <c r="BA462" i="19" s="1"/>
  <c r="BC462" i="19" s="1"/>
  <c r="AY453" i="19"/>
  <c r="BA453" i="19" s="1"/>
  <c r="BC453" i="19" s="1"/>
  <c r="BC409" i="19"/>
  <c r="AY409" i="19"/>
  <c r="BA409" i="19" s="1"/>
  <c r="BC299" i="19"/>
  <c r="AY299" i="19"/>
  <c r="BA299" i="19" s="1"/>
  <c r="BC291" i="19"/>
  <c r="AY291" i="19"/>
  <c r="BA291" i="19" s="1"/>
  <c r="BC287" i="19"/>
  <c r="AY287" i="19"/>
  <c r="BA287" i="19" s="1"/>
  <c r="BC283" i="19"/>
  <c r="AY283" i="19"/>
  <c r="BA283" i="19" s="1"/>
  <c r="BC251" i="19"/>
  <c r="AY251" i="19"/>
  <c r="BA251" i="19" s="1"/>
  <c r="BC247" i="19"/>
  <c r="AY247" i="19"/>
  <c r="BA247" i="19" s="1"/>
  <c r="BC243" i="19"/>
  <c r="AY243" i="19"/>
  <c r="BA243" i="19" s="1"/>
  <c r="BC239" i="19"/>
  <c r="AY239" i="19"/>
  <c r="BA239" i="19" s="1"/>
  <c r="BC197" i="19"/>
  <c r="AY197" i="19"/>
  <c r="BA197" i="19" s="1"/>
  <c r="AY170" i="19"/>
  <c r="BA170" i="19" s="1"/>
  <c r="BC170" i="19" s="1"/>
  <c r="BC127" i="19"/>
  <c r="AY127" i="19"/>
  <c r="BA127" i="19" s="1"/>
  <c r="BC86" i="19"/>
  <c r="AY86" i="19"/>
  <c r="BA86" i="19" s="1"/>
  <c r="BC15" i="19"/>
  <c r="AY15" i="19"/>
  <c r="BA15" i="19" s="1"/>
  <c r="BE583" i="19"/>
  <c r="BG583" i="19" s="1"/>
  <c r="BI583" i="19" s="1"/>
  <c r="BE570" i="19"/>
  <c r="BG570" i="19" s="1"/>
  <c r="BI570" i="19" s="1"/>
  <c r="BI496" i="19"/>
  <c r="BE496" i="19"/>
  <c r="BG496" i="19" s="1"/>
  <c r="BI480" i="19"/>
  <c r="BE480" i="19"/>
  <c r="BG480" i="19" s="1"/>
  <c r="BI462" i="19"/>
  <c r="BE462" i="19"/>
  <c r="BG462" i="19" s="1"/>
  <c r="BE459" i="19"/>
  <c r="BG459" i="19" s="1"/>
  <c r="BI459" i="19" s="1"/>
  <c r="BI453" i="19"/>
  <c r="BE453" i="19"/>
  <c r="BG453" i="19" s="1"/>
  <c r="BI443" i="19"/>
  <c r="BE443" i="19"/>
  <c r="BG443" i="19" s="1"/>
  <c r="BI421" i="19"/>
  <c r="BE421" i="19"/>
  <c r="BG421" i="19" s="1"/>
  <c r="BI323" i="19"/>
  <c r="BE323" i="19"/>
  <c r="BG323" i="19" s="1"/>
  <c r="BI303" i="19"/>
  <c r="BE303" i="19"/>
  <c r="BG303" i="19" s="1"/>
  <c r="BI291" i="19"/>
  <c r="BE291" i="19"/>
  <c r="BG291" i="19" s="1"/>
  <c r="BI287" i="19"/>
  <c r="BE287" i="19"/>
  <c r="BG287" i="19" s="1"/>
  <c r="BI283" i="19"/>
  <c r="BE283" i="19"/>
  <c r="BG283" i="19" s="1"/>
  <c r="BI279" i="19"/>
  <c r="BE279" i="19"/>
  <c r="BG279" i="19" s="1"/>
  <c r="BI275" i="19"/>
  <c r="BE275" i="19"/>
  <c r="BG275" i="19" s="1"/>
  <c r="BI271" i="19"/>
  <c r="BE271" i="19"/>
  <c r="BG271" i="19" s="1"/>
  <c r="BI267" i="19"/>
  <c r="BE267" i="19"/>
  <c r="BG267" i="19" s="1"/>
  <c r="BI239" i="19"/>
  <c r="BE239" i="19"/>
  <c r="BG239" i="19" s="1"/>
  <c r="BI235" i="19"/>
  <c r="BE235" i="19"/>
  <c r="BG235" i="19" s="1"/>
  <c r="BI219" i="19"/>
  <c r="BE219" i="19"/>
  <c r="BG219" i="19" s="1"/>
  <c r="BI205" i="19"/>
  <c r="BE205" i="19"/>
  <c r="BG205" i="19" s="1"/>
  <c r="BI201" i="19"/>
  <c r="BE201" i="19"/>
  <c r="BG201" i="19" s="1"/>
  <c r="BE127" i="19"/>
  <c r="BG127" i="19" s="1"/>
  <c r="BI127" i="19" s="1"/>
  <c r="BE123" i="19"/>
  <c r="BG123" i="19" s="1"/>
  <c r="BI123" i="19" s="1"/>
  <c r="BE101" i="19"/>
  <c r="BG101" i="19" s="1"/>
  <c r="BI101" i="19" s="1"/>
  <c r="BE98" i="19"/>
  <c r="BG98" i="19" s="1"/>
  <c r="BI98" i="19" s="1"/>
  <c r="BE94" i="19"/>
  <c r="BG94" i="19" s="1"/>
  <c r="BI94" i="19" s="1"/>
  <c r="BE90" i="19"/>
  <c r="BG90" i="19" s="1"/>
  <c r="BI90" i="19" s="1"/>
  <c r="BE86" i="19"/>
  <c r="BG86" i="19" s="1"/>
  <c r="BI86" i="19" s="1"/>
  <c r="BE82" i="19"/>
  <c r="BG82" i="19" s="1"/>
  <c r="BI82" i="19" s="1"/>
  <c r="BE78" i="19"/>
  <c r="BG78" i="19" s="1"/>
  <c r="BI78" i="19" s="1"/>
  <c r="BE74" i="19"/>
  <c r="BG74" i="19" s="1"/>
  <c r="BI74" i="19" s="1"/>
  <c r="BE70" i="19"/>
  <c r="BG70" i="19" s="1"/>
  <c r="BI70" i="19" s="1"/>
  <c r="BE23" i="19"/>
  <c r="BG23" i="19" s="1"/>
  <c r="BI23" i="19" s="1"/>
  <c r="BE19" i="19"/>
  <c r="BG19" i="19" s="1"/>
  <c r="BI19" i="19" s="1"/>
  <c r="BE15" i="19"/>
  <c r="BG15" i="19" s="1"/>
  <c r="BI15" i="19" s="1"/>
  <c r="BE11" i="19"/>
  <c r="BG11" i="19" s="1"/>
  <c r="BI11" i="19" s="1"/>
  <c r="BO503" i="19"/>
  <c r="BK503" i="19"/>
  <c r="BM503" i="19" s="1"/>
  <c r="BK496" i="19"/>
  <c r="BM496" i="19" s="1"/>
  <c r="BO480" i="19"/>
  <c r="BK480" i="19"/>
  <c r="BM480" i="19" s="1"/>
  <c r="BO468" i="19"/>
  <c r="BK468" i="19"/>
  <c r="BM468" i="19" s="1"/>
  <c r="BK462" i="19"/>
  <c r="BM462" i="19" s="1"/>
  <c r="BK459" i="19"/>
  <c r="BM459" i="19" s="1"/>
  <c r="BO453" i="19"/>
  <c r="BK453" i="19"/>
  <c r="BM453" i="19" s="1"/>
  <c r="BO439" i="19"/>
  <c r="BK439" i="19"/>
  <c r="BM439" i="19" s="1"/>
  <c r="BO417" i="19"/>
  <c r="BK417" i="19"/>
  <c r="BM417" i="19" s="1"/>
  <c r="BO409" i="19"/>
  <c r="BK409" i="19"/>
  <c r="BM409" i="19" s="1"/>
  <c r="BO323" i="19"/>
  <c r="BK323" i="19"/>
  <c r="BM323" i="19" s="1"/>
  <c r="BO319" i="19"/>
  <c r="BK319" i="19"/>
  <c r="BM319" i="19" s="1"/>
  <c r="BK315" i="19"/>
  <c r="BM315" i="19" s="1"/>
  <c r="BO299" i="19"/>
  <c r="BK299" i="19"/>
  <c r="BM299" i="19" s="1"/>
  <c r="BO291" i="19"/>
  <c r="BK291" i="19"/>
  <c r="BM291" i="19" s="1"/>
  <c r="BK287" i="19"/>
  <c r="BM287" i="19" s="1"/>
  <c r="BO275" i="19"/>
  <c r="BK275" i="19"/>
  <c r="BM275" i="19" s="1"/>
  <c r="BO247" i="19"/>
  <c r="BK247" i="19"/>
  <c r="BM247" i="19" s="1"/>
  <c r="BO243" i="19"/>
  <c r="BK243" i="19"/>
  <c r="BM243" i="19" s="1"/>
  <c r="BO239" i="19"/>
  <c r="BK239" i="19"/>
  <c r="BM239" i="19" s="1"/>
  <c r="BO235" i="19"/>
  <c r="BK235" i="19"/>
  <c r="BM235" i="19" s="1"/>
  <c r="BK228" i="19"/>
  <c r="BM228" i="19" s="1"/>
  <c r="BO197" i="19"/>
  <c r="BK197" i="19"/>
  <c r="BM197" i="19" s="1"/>
  <c r="BO170" i="19"/>
  <c r="BK170" i="19"/>
  <c r="BM170" i="19" s="1"/>
  <c r="BO123" i="19"/>
  <c r="BK123" i="19"/>
  <c r="BM123" i="19" s="1"/>
  <c r="BO101" i="19"/>
  <c r="BK101" i="19"/>
  <c r="BM101" i="19" s="1"/>
  <c r="BO94" i="19"/>
  <c r="BK94" i="19"/>
  <c r="BM94" i="19" s="1"/>
  <c r="BO86" i="19"/>
  <c r="BK86" i="19"/>
  <c r="BM86" i="19" s="1"/>
  <c r="BO82" i="19"/>
  <c r="BK82" i="19"/>
  <c r="BM82" i="19" s="1"/>
  <c r="BO74" i="19"/>
  <c r="BK74" i="19"/>
  <c r="BM74" i="19" s="1"/>
  <c r="BO70" i="19"/>
  <c r="BK70" i="19"/>
  <c r="BM70" i="19" s="1"/>
  <c r="BO19" i="19"/>
  <c r="BK19" i="19"/>
  <c r="BM19" i="19" s="1"/>
  <c r="BK15" i="19"/>
  <c r="BM15" i="19" s="1"/>
  <c r="BO11" i="19"/>
  <c r="BK11" i="19"/>
  <c r="BM11" i="19" s="1"/>
  <c r="BQ577" i="19"/>
  <c r="BS577" i="19" s="1"/>
  <c r="BU577" i="19" s="1"/>
  <c r="BU491" i="19"/>
  <c r="BQ491" i="19"/>
  <c r="BS491" i="19" s="1"/>
  <c r="BU479" i="19"/>
  <c r="BQ479" i="19"/>
  <c r="BS479" i="19" s="1"/>
  <c r="BU438" i="19"/>
  <c r="BQ438" i="19"/>
  <c r="BS438" i="19" s="1"/>
  <c r="BU431" i="19"/>
  <c r="BQ431" i="19"/>
  <c r="BS431" i="19" s="1"/>
  <c r="BU420" i="19"/>
  <c r="BQ420" i="19"/>
  <c r="BS420" i="19" s="1"/>
  <c r="BU408" i="19"/>
  <c r="BQ408" i="19"/>
  <c r="BS408" i="19" s="1"/>
  <c r="BU404" i="19"/>
  <c r="BQ404" i="19"/>
  <c r="BS404" i="19" s="1"/>
  <c r="BU322" i="19"/>
  <c r="BQ322" i="19"/>
  <c r="BS322" i="19" s="1"/>
  <c r="BU306" i="19"/>
  <c r="BQ306" i="19"/>
  <c r="BS306" i="19" s="1"/>
  <c r="BU298" i="19"/>
  <c r="BQ298" i="19"/>
  <c r="BS298" i="19" s="1"/>
  <c r="BU294" i="19"/>
  <c r="BQ294" i="19"/>
  <c r="BS294" i="19" s="1"/>
  <c r="BU274" i="19"/>
  <c r="BQ274" i="19"/>
  <c r="BS274" i="19" s="1"/>
  <c r="BU270" i="19"/>
  <c r="BQ270" i="19"/>
  <c r="BS270" i="19" s="1"/>
  <c r="BU234" i="19"/>
  <c r="BQ234" i="19"/>
  <c r="BS234" i="19" s="1"/>
  <c r="BU227" i="19"/>
  <c r="BQ227" i="19"/>
  <c r="BS227" i="19" s="1"/>
  <c r="BU223" i="19"/>
  <c r="BQ223" i="19"/>
  <c r="BS223" i="19" s="1"/>
  <c r="BU214" i="19"/>
  <c r="BQ214" i="19"/>
  <c r="BS214" i="19" s="1"/>
  <c r="BU210" i="19"/>
  <c r="BQ210" i="19"/>
  <c r="BS210" i="19" s="1"/>
  <c r="BU208" i="19"/>
  <c r="BQ208" i="19"/>
  <c r="BS208" i="19" s="1"/>
  <c r="BU204" i="19"/>
  <c r="BQ204" i="19"/>
  <c r="BS204" i="19" s="1"/>
  <c r="BU200" i="19"/>
  <c r="BQ200" i="19"/>
  <c r="BS200" i="19" s="1"/>
  <c r="BU196" i="19"/>
  <c r="BQ196" i="19"/>
  <c r="BS196" i="19" s="1"/>
  <c r="BU130" i="19"/>
  <c r="BQ130" i="19"/>
  <c r="BS130" i="19" s="1"/>
  <c r="BU126" i="19"/>
  <c r="BQ126" i="19"/>
  <c r="BS126" i="19" s="1"/>
  <c r="BU122" i="19"/>
  <c r="BQ122" i="19"/>
  <c r="BS122" i="19" s="1"/>
  <c r="BU85" i="19"/>
  <c r="BQ85" i="19"/>
  <c r="BS85" i="19" s="1"/>
  <c r="BU73" i="19"/>
  <c r="BQ73" i="19"/>
  <c r="BS73" i="19" s="1"/>
  <c r="BU22" i="19"/>
  <c r="BQ22" i="19"/>
  <c r="BS22" i="19" s="1"/>
  <c r="BU18" i="19"/>
  <c r="BQ18" i="19"/>
  <c r="BS18" i="19" s="1"/>
  <c r="BU10" i="19"/>
  <c r="BQ10" i="19"/>
  <c r="BS10" i="19" s="1"/>
  <c r="G7" i="19"/>
  <c r="R7" i="19" s="1"/>
  <c r="T7" i="19" s="1"/>
  <c r="G577" i="19"/>
  <c r="R577" i="19" s="1"/>
  <c r="T577" i="19" s="1"/>
  <c r="G572" i="19"/>
  <c r="I572" i="19" s="1"/>
  <c r="G502" i="19"/>
  <c r="R502" i="19" s="1"/>
  <c r="T502" i="19" s="1"/>
  <c r="V502" i="19" s="1"/>
  <c r="G495" i="19"/>
  <c r="R495" i="19" s="1"/>
  <c r="T495" i="19" s="1"/>
  <c r="V495" i="19" s="1"/>
  <c r="G491" i="19"/>
  <c r="R491" i="19" s="1"/>
  <c r="T491" i="19" s="1"/>
  <c r="V491" i="19" s="1"/>
  <c r="G489" i="19"/>
  <c r="R489" i="19" s="1"/>
  <c r="T489" i="19" s="1"/>
  <c r="V489" i="19" s="1"/>
  <c r="G479" i="19"/>
  <c r="R479" i="19" s="1"/>
  <c r="T479" i="19" s="1"/>
  <c r="V479" i="19" s="1"/>
  <c r="G475" i="19"/>
  <c r="R475" i="19" s="1"/>
  <c r="T475" i="19" s="1"/>
  <c r="V475" i="19" s="1"/>
  <c r="G466" i="19"/>
  <c r="R466" i="19" s="1"/>
  <c r="T466" i="19" s="1"/>
  <c r="V466" i="19" s="1"/>
  <c r="G452" i="19"/>
  <c r="R452" i="19" s="1"/>
  <c r="T452" i="19" s="1"/>
  <c r="V452" i="19" s="1"/>
  <c r="G448" i="19"/>
  <c r="I448" i="19" s="1"/>
  <c r="G442" i="19"/>
  <c r="R442" i="19" s="1"/>
  <c r="T442" i="19" s="1"/>
  <c r="G438" i="19"/>
  <c r="G434" i="19"/>
  <c r="G420" i="19"/>
  <c r="R420" i="19" s="1"/>
  <c r="T420" i="19" s="1"/>
  <c r="V420" i="19" s="1"/>
  <c r="G416" i="19"/>
  <c r="R416" i="19" s="1"/>
  <c r="T416" i="19" s="1"/>
  <c r="V416" i="19" s="1"/>
  <c r="G412" i="19"/>
  <c r="R412" i="19" s="1"/>
  <c r="T412" i="19" s="1"/>
  <c r="V412" i="19" s="1"/>
  <c r="G408" i="19"/>
  <c r="R408" i="19" s="1"/>
  <c r="T408" i="19" s="1"/>
  <c r="V408" i="19" s="1"/>
  <c r="G404" i="19"/>
  <c r="R404" i="19" s="1"/>
  <c r="T404" i="19" s="1"/>
  <c r="V404" i="19" s="1"/>
  <c r="G322" i="19"/>
  <c r="M322" i="19" s="1"/>
  <c r="O322" i="19" s="1"/>
  <c r="G318" i="19"/>
  <c r="M318" i="19" s="1"/>
  <c r="G314" i="19"/>
  <c r="M314" i="19" s="1"/>
  <c r="G310" i="19"/>
  <c r="M310" i="19" s="1"/>
  <c r="G306" i="19"/>
  <c r="M306" i="19" s="1"/>
  <c r="O306" i="19" s="1"/>
  <c r="G302" i="19"/>
  <c r="M302" i="19" s="1"/>
  <c r="G298" i="19"/>
  <c r="M298" i="19" s="1"/>
  <c r="G294" i="19"/>
  <c r="M294" i="19" s="1"/>
  <c r="G290" i="19"/>
  <c r="M290" i="19" s="1"/>
  <c r="G286" i="19"/>
  <c r="I286" i="19" s="1"/>
  <c r="G282" i="19"/>
  <c r="R282" i="19" s="1"/>
  <c r="T282" i="19" s="1"/>
  <c r="V282" i="19" s="1"/>
  <c r="G278" i="19"/>
  <c r="R278" i="19" s="1"/>
  <c r="T278" i="19" s="1"/>
  <c r="V278" i="19" s="1"/>
  <c r="G274" i="19"/>
  <c r="R274" i="19" s="1"/>
  <c r="T274" i="19" s="1"/>
  <c r="V274" i="19" s="1"/>
  <c r="G270" i="19"/>
  <c r="R270" i="19" s="1"/>
  <c r="T270" i="19" s="1"/>
  <c r="V270" i="19" s="1"/>
  <c r="G266" i="19"/>
  <c r="R266" i="19" s="1"/>
  <c r="T266" i="19" s="1"/>
  <c r="V266" i="19" s="1"/>
  <c r="G250" i="19"/>
  <c r="R250" i="19" s="1"/>
  <c r="T250" i="19" s="1"/>
  <c r="V250" i="19" s="1"/>
  <c r="G246" i="19"/>
  <c r="R246" i="19" s="1"/>
  <c r="T246" i="19" s="1"/>
  <c r="V246" i="19" s="1"/>
  <c r="G242" i="19"/>
  <c r="R242" i="19" s="1"/>
  <c r="T242" i="19" s="1"/>
  <c r="V242" i="19" s="1"/>
  <c r="G238" i="19"/>
  <c r="R238" i="19" s="1"/>
  <c r="T238" i="19" s="1"/>
  <c r="V238" i="19" s="1"/>
  <c r="G234" i="19"/>
  <c r="R234" i="19" s="1"/>
  <c r="T234" i="19" s="1"/>
  <c r="V234" i="19" s="1"/>
  <c r="G231" i="19"/>
  <c r="R231" i="19" s="1"/>
  <c r="T231" i="19" s="1"/>
  <c r="V231" i="19" s="1"/>
  <c r="G227" i="19"/>
  <c r="R227" i="19" s="1"/>
  <c r="T227" i="19" s="1"/>
  <c r="V227" i="19" s="1"/>
  <c r="G223" i="19"/>
  <c r="R223" i="19" s="1"/>
  <c r="T223" i="19" s="1"/>
  <c r="V223" i="19" s="1"/>
  <c r="G218" i="19"/>
  <c r="R218" i="19" s="1"/>
  <c r="T218" i="19" s="1"/>
  <c r="V218" i="19" s="1"/>
  <c r="G214" i="19"/>
  <c r="R214" i="19" s="1"/>
  <c r="T214" i="19" s="1"/>
  <c r="V214" i="19" s="1"/>
  <c r="G210" i="19"/>
  <c r="R210" i="19" s="1"/>
  <c r="T210" i="19" s="1"/>
  <c r="V210" i="19" s="1"/>
  <c r="G208" i="19"/>
  <c r="R208" i="19" s="1"/>
  <c r="T208" i="19" s="1"/>
  <c r="V208" i="19" s="1"/>
  <c r="G204" i="19"/>
  <c r="R204" i="19" s="1"/>
  <c r="T204" i="19" s="1"/>
  <c r="V204" i="19" s="1"/>
  <c r="G200" i="19"/>
  <c r="G196" i="19"/>
  <c r="G173" i="19"/>
  <c r="R173" i="19" s="1"/>
  <c r="T173" i="19" s="1"/>
  <c r="V173" i="19" s="1"/>
  <c r="K130" i="19"/>
  <c r="G130" i="19"/>
  <c r="G126" i="19"/>
  <c r="R126" i="19" s="1"/>
  <c r="T126" i="19" s="1"/>
  <c r="K122" i="19"/>
  <c r="G122" i="19"/>
  <c r="R122" i="19" s="1"/>
  <c r="T122" i="19" s="1"/>
  <c r="K102" i="19"/>
  <c r="G102" i="19"/>
  <c r="R102" i="19" s="1"/>
  <c r="T102" i="19" s="1"/>
  <c r="G85" i="19"/>
  <c r="R85" i="19" s="1"/>
  <c r="T85" i="19" s="1"/>
  <c r="K81" i="19"/>
  <c r="G81" i="19"/>
  <c r="R81" i="19" s="1"/>
  <c r="T81" i="19" s="1"/>
  <c r="K77" i="19"/>
  <c r="G77" i="19"/>
  <c r="R77" i="19" s="1"/>
  <c r="T77" i="19" s="1"/>
  <c r="G73" i="19"/>
  <c r="R73" i="19" s="1"/>
  <c r="T73" i="19" s="1"/>
  <c r="K69" i="19"/>
  <c r="G69" i="19"/>
  <c r="R69" i="19" s="1"/>
  <c r="T69" i="19" s="1"/>
  <c r="G22" i="19"/>
  <c r="R22" i="19" s="1"/>
  <c r="T22" i="19" s="1"/>
  <c r="G18" i="19"/>
  <c r="R18" i="19" s="1"/>
  <c r="T18" i="19" s="1"/>
  <c r="K14" i="19"/>
  <c r="G14" i="19"/>
  <c r="K10" i="19"/>
  <c r="G10" i="19"/>
  <c r="R10" i="19" s="1"/>
  <c r="T10" i="19" s="1"/>
  <c r="P7" i="19"/>
  <c r="M7" i="19"/>
  <c r="N495" i="19"/>
  <c r="M495" i="19"/>
  <c r="P491" i="19"/>
  <c r="M491" i="19"/>
  <c r="P479" i="19"/>
  <c r="M479" i="19"/>
  <c r="P452" i="19"/>
  <c r="M452" i="19"/>
  <c r="P448" i="19"/>
  <c r="M448" i="19"/>
  <c r="N438" i="19"/>
  <c r="M438" i="19"/>
  <c r="P416" i="19"/>
  <c r="M416" i="19"/>
  <c r="P412" i="19"/>
  <c r="M412" i="19"/>
  <c r="P408" i="19"/>
  <c r="M408" i="19"/>
  <c r="P404" i="19"/>
  <c r="M404" i="19"/>
  <c r="P282" i="19"/>
  <c r="M282" i="19"/>
  <c r="P274" i="19"/>
  <c r="M274" i="19"/>
  <c r="P266" i="19"/>
  <c r="M266" i="19"/>
  <c r="P231" i="19"/>
  <c r="M231" i="19"/>
  <c r="N227" i="19"/>
  <c r="M227" i="19"/>
  <c r="P223" i="19"/>
  <c r="M223" i="19"/>
  <c r="O210" i="19"/>
  <c r="M210" i="19"/>
  <c r="O204" i="19"/>
  <c r="M204" i="19"/>
  <c r="N200" i="19"/>
  <c r="M200" i="19"/>
  <c r="P130" i="19"/>
  <c r="M130" i="19"/>
  <c r="P126" i="19"/>
  <c r="M126" i="19"/>
  <c r="P122" i="19"/>
  <c r="M122" i="19"/>
  <c r="P97" i="19"/>
  <c r="M97" i="19"/>
  <c r="P93" i="19"/>
  <c r="M93" i="19"/>
  <c r="N89" i="19"/>
  <c r="M89" i="19"/>
  <c r="O85" i="19"/>
  <c r="M85" i="19"/>
  <c r="P81" i="19"/>
  <c r="M81" i="19"/>
  <c r="P77" i="19"/>
  <c r="M77" i="19"/>
  <c r="P22" i="19"/>
  <c r="M22" i="19"/>
  <c r="O18" i="19"/>
  <c r="M18" i="19"/>
  <c r="N14" i="19"/>
  <c r="M14" i="19"/>
  <c r="AA582" i="19"/>
  <c r="X582" i="19"/>
  <c r="AA577" i="19"/>
  <c r="X577" i="19"/>
  <c r="Y572" i="19"/>
  <c r="X572" i="19"/>
  <c r="Z569" i="19"/>
  <c r="X569" i="19"/>
  <c r="Z495" i="19"/>
  <c r="X495" i="19"/>
  <c r="Y479" i="19"/>
  <c r="X479" i="19"/>
  <c r="AA452" i="19"/>
  <c r="X452" i="19"/>
  <c r="Z448" i="19"/>
  <c r="X448" i="19"/>
  <c r="Y442" i="19"/>
  <c r="X442" i="19"/>
  <c r="Z431" i="19"/>
  <c r="X431" i="19"/>
  <c r="Y412" i="19"/>
  <c r="X412" i="19"/>
  <c r="Y282" i="19"/>
  <c r="X282" i="19"/>
  <c r="AA274" i="19"/>
  <c r="X274" i="19"/>
  <c r="Z270" i="19"/>
  <c r="X270" i="19"/>
  <c r="AA266" i="19"/>
  <c r="X266" i="19"/>
  <c r="Y250" i="19"/>
  <c r="X250" i="19"/>
  <c r="AA246" i="19"/>
  <c r="X246" i="19"/>
  <c r="Y242" i="19"/>
  <c r="X242" i="19"/>
  <c r="AA238" i="19"/>
  <c r="X238" i="19"/>
  <c r="Z214" i="19"/>
  <c r="X214" i="19"/>
  <c r="AA210" i="19"/>
  <c r="X210" i="19"/>
  <c r="Z122" i="19"/>
  <c r="X122" i="19"/>
  <c r="Z93" i="19"/>
  <c r="X93" i="19"/>
  <c r="AA73" i="19"/>
  <c r="X73" i="19"/>
  <c r="AA22" i="19"/>
  <c r="X22" i="19"/>
  <c r="AA18" i="19"/>
  <c r="X18" i="19"/>
  <c r="AA14" i="19"/>
  <c r="X14" i="19"/>
  <c r="AA10" i="19"/>
  <c r="X10" i="19"/>
  <c r="AY452" i="19"/>
  <c r="BA452" i="19" s="1"/>
  <c r="BC452" i="19" s="1"/>
  <c r="BC438" i="19"/>
  <c r="AY438" i="19"/>
  <c r="BA438" i="19" s="1"/>
  <c r="BC408" i="19"/>
  <c r="AY408" i="19"/>
  <c r="BA408" i="19" s="1"/>
  <c r="BC298" i="19"/>
  <c r="AY298" i="19"/>
  <c r="BA298" i="19" s="1"/>
  <c r="BC266" i="19"/>
  <c r="AY266" i="19"/>
  <c r="BA266" i="19" s="1"/>
  <c r="BC246" i="19"/>
  <c r="AY246" i="19"/>
  <c r="BA246" i="19" s="1"/>
  <c r="BC227" i="19"/>
  <c r="AY227" i="19"/>
  <c r="BA227" i="19" s="1"/>
  <c r="BC173" i="19"/>
  <c r="AY173" i="19"/>
  <c r="BA173" i="19" s="1"/>
  <c r="BC130" i="19"/>
  <c r="AY130" i="19"/>
  <c r="BA130" i="19" s="1"/>
  <c r="BC122" i="19"/>
  <c r="AY122" i="19"/>
  <c r="BA122" i="19" s="1"/>
  <c r="BC102" i="19"/>
  <c r="AY102" i="19"/>
  <c r="BA102" i="19" s="1"/>
  <c r="BC77" i="19"/>
  <c r="AY77" i="19"/>
  <c r="BA77" i="19" s="1"/>
  <c r="BC69" i="19"/>
  <c r="AY69" i="19"/>
  <c r="BA69" i="19" s="1"/>
  <c r="BC18" i="19"/>
  <c r="AY18" i="19"/>
  <c r="BA18" i="19" s="1"/>
  <c r="BC14" i="19"/>
  <c r="AY14" i="19"/>
  <c r="BA14" i="19" s="1"/>
  <c r="BC10" i="19"/>
  <c r="AY10" i="19"/>
  <c r="BA10" i="19" s="1"/>
  <c r="BE7" i="19"/>
  <c r="BG7" i="19" s="1"/>
  <c r="BI7" i="19" s="1"/>
  <c r="BE582" i="19"/>
  <c r="BG582" i="19" s="1"/>
  <c r="BI582" i="19" s="1"/>
  <c r="BE569" i="19"/>
  <c r="BG569" i="19" s="1"/>
  <c r="BI569" i="19" s="1"/>
  <c r="BE564" i="19"/>
  <c r="BG564" i="19" s="1"/>
  <c r="BI564" i="19" s="1"/>
  <c r="BI479" i="19"/>
  <c r="BE479" i="19"/>
  <c r="BG479" i="19" s="1"/>
  <c r="BI438" i="19"/>
  <c r="BE438" i="19"/>
  <c r="BG438" i="19" s="1"/>
  <c r="BE431" i="19"/>
  <c r="BG431" i="19" s="1"/>
  <c r="BI431" i="19" s="1"/>
  <c r="BI412" i="19"/>
  <c r="BE412" i="19"/>
  <c r="BG412" i="19" s="1"/>
  <c r="BI322" i="19"/>
  <c r="BE322" i="19"/>
  <c r="BG322" i="19" s="1"/>
  <c r="BI318" i="19"/>
  <c r="BE318" i="19"/>
  <c r="BG318" i="19" s="1"/>
  <c r="BI306" i="19"/>
  <c r="BE306" i="19"/>
  <c r="BG306" i="19" s="1"/>
  <c r="BI278" i="19"/>
  <c r="BE278" i="19"/>
  <c r="BG278" i="19" s="1"/>
  <c r="BI266" i="19"/>
  <c r="BE266" i="19"/>
  <c r="BG266" i="19" s="1"/>
  <c r="BI238" i="19"/>
  <c r="BE238" i="19"/>
  <c r="BG238" i="19" s="1"/>
  <c r="BI214" i="19"/>
  <c r="BE214" i="19"/>
  <c r="BG214" i="19" s="1"/>
  <c r="BE130" i="19"/>
  <c r="BG130" i="19" s="1"/>
  <c r="BI130" i="19" s="1"/>
  <c r="BE126" i="19"/>
  <c r="BG126" i="19" s="1"/>
  <c r="BI126" i="19" s="1"/>
  <c r="BE122" i="19"/>
  <c r="BG122" i="19" s="1"/>
  <c r="BI122" i="19" s="1"/>
  <c r="BE102" i="19"/>
  <c r="BG102" i="19" s="1"/>
  <c r="BI102" i="19" s="1"/>
  <c r="BE97" i="19"/>
  <c r="BG97" i="19" s="1"/>
  <c r="BI97" i="19" s="1"/>
  <c r="BE93" i="19"/>
  <c r="BG93" i="19" s="1"/>
  <c r="BI93" i="19" s="1"/>
  <c r="BE89" i="19"/>
  <c r="BG89" i="19" s="1"/>
  <c r="BI89" i="19" s="1"/>
  <c r="BE85" i="19"/>
  <c r="BG85" i="19" s="1"/>
  <c r="BI85" i="19" s="1"/>
  <c r="BE81" i="19"/>
  <c r="BG81" i="19" s="1"/>
  <c r="BI81" i="19" s="1"/>
  <c r="BE77" i="19"/>
  <c r="BG77" i="19" s="1"/>
  <c r="BI77" i="19" s="1"/>
  <c r="BE73" i="19"/>
  <c r="BG73" i="19" s="1"/>
  <c r="BI73" i="19" s="1"/>
  <c r="BE69" i="19"/>
  <c r="BG69" i="19" s="1"/>
  <c r="BI69" i="19" s="1"/>
  <c r="BE22" i="19"/>
  <c r="BG22" i="19" s="1"/>
  <c r="BI22" i="19" s="1"/>
  <c r="BE18" i="19"/>
  <c r="BG18" i="19" s="1"/>
  <c r="BI18" i="19" s="1"/>
  <c r="BE14" i="19"/>
  <c r="BG14" i="19" s="1"/>
  <c r="BI14" i="19" s="1"/>
  <c r="BE10" i="19"/>
  <c r="BG10" i="19" s="1"/>
  <c r="BI10" i="19" s="1"/>
  <c r="BO7" i="19"/>
  <c r="BK7" i="19"/>
  <c r="BM7" i="19" s="1"/>
  <c r="BO582" i="19"/>
  <c r="BK582" i="19"/>
  <c r="BM582" i="19" s="1"/>
  <c r="BO569" i="19"/>
  <c r="BK569" i="19"/>
  <c r="BM569" i="19" s="1"/>
  <c r="BK502" i="19"/>
  <c r="BM502" i="19" s="1"/>
  <c r="BO495" i="19"/>
  <c r="BK495" i="19"/>
  <c r="BM495" i="19" s="1"/>
  <c r="BO489" i="19"/>
  <c r="BK489" i="19"/>
  <c r="BM489" i="19" s="1"/>
  <c r="BO479" i="19"/>
  <c r="BK479" i="19"/>
  <c r="BM479" i="19" s="1"/>
  <c r="BO466" i="19"/>
  <c r="BK466" i="19"/>
  <c r="BM466" i="19" s="1"/>
  <c r="BO452" i="19"/>
  <c r="BK452" i="19"/>
  <c r="BM452" i="19" s="1"/>
  <c r="BO448" i="19"/>
  <c r="BK448" i="19"/>
  <c r="BM448" i="19" s="1"/>
  <c r="BO442" i="19"/>
  <c r="BK442" i="19"/>
  <c r="BM442" i="19" s="1"/>
  <c r="BK438" i="19"/>
  <c r="BM438" i="19" s="1"/>
  <c r="BK416" i="19"/>
  <c r="BM416" i="19" s="1"/>
  <c r="BO408" i="19"/>
  <c r="BK408" i="19"/>
  <c r="BM408" i="19" s="1"/>
  <c r="BO404" i="19"/>
  <c r="BK404" i="19"/>
  <c r="BM404" i="19" s="1"/>
  <c r="BK322" i="19"/>
  <c r="BM322" i="19" s="1"/>
  <c r="BO314" i="19"/>
  <c r="BK314" i="19"/>
  <c r="BM314" i="19" s="1"/>
  <c r="BO306" i="19"/>
  <c r="BK306" i="19"/>
  <c r="BM306" i="19" s="1"/>
  <c r="BK302" i="19"/>
  <c r="BM302" i="19" s="1"/>
  <c r="BK298" i="19"/>
  <c r="BM298" i="19" s="1"/>
  <c r="BO290" i="19"/>
  <c r="BK290" i="19"/>
  <c r="BM290" i="19" s="1"/>
  <c r="BO282" i="19"/>
  <c r="BK282" i="19"/>
  <c r="BM282" i="19" s="1"/>
  <c r="BO266" i="19"/>
  <c r="BK266" i="19"/>
  <c r="BM266" i="19" s="1"/>
  <c r="BO238" i="19"/>
  <c r="BK238" i="19"/>
  <c r="BM238" i="19" s="1"/>
  <c r="BK234" i="19"/>
  <c r="BM234" i="19" s="1"/>
  <c r="BK231" i="19"/>
  <c r="BM231" i="19" s="1"/>
  <c r="BO227" i="19"/>
  <c r="BK227" i="19"/>
  <c r="BM227" i="19" s="1"/>
  <c r="BO223" i="19"/>
  <c r="BK223" i="19"/>
  <c r="BM223" i="19" s="1"/>
  <c r="BK218" i="19"/>
  <c r="BM218" i="19" s="1"/>
  <c r="BO214" i="19"/>
  <c r="BK214" i="19"/>
  <c r="BM214" i="19" s="1"/>
  <c r="BO210" i="19"/>
  <c r="BK210" i="19"/>
  <c r="BM210" i="19" s="1"/>
  <c r="BO208" i="19"/>
  <c r="BK208" i="19"/>
  <c r="BM208" i="19" s="1"/>
  <c r="BK204" i="19"/>
  <c r="BM204" i="19" s="1"/>
  <c r="BO196" i="19"/>
  <c r="BK196" i="19"/>
  <c r="BM196" i="19" s="1"/>
  <c r="BO173" i="19"/>
  <c r="BK173" i="19"/>
  <c r="BM173" i="19" s="1"/>
  <c r="BO130" i="19"/>
  <c r="BK130" i="19"/>
  <c r="BM130" i="19" s="1"/>
  <c r="BO85" i="19"/>
  <c r="BK85" i="19"/>
  <c r="BM85" i="19" s="1"/>
  <c r="BK69" i="19"/>
  <c r="BM69" i="19" s="1"/>
  <c r="BO22" i="19"/>
  <c r="BK22" i="19"/>
  <c r="BM22" i="19" s="1"/>
  <c r="BO14" i="19"/>
  <c r="BK14" i="19"/>
  <c r="BM14" i="19" s="1"/>
  <c r="BU585" i="19"/>
  <c r="BQ585" i="19"/>
  <c r="BS585" i="19" s="1"/>
  <c r="BQ576" i="19"/>
  <c r="BS576" i="19" s="1"/>
  <c r="BU576" i="19" s="1"/>
  <c r="BU482" i="19"/>
  <c r="BQ482" i="19"/>
  <c r="BS482" i="19" s="1"/>
  <c r="BU325" i="19"/>
  <c r="BQ325" i="19"/>
  <c r="BS325" i="19" s="1"/>
  <c r="BU313" i="19"/>
  <c r="BQ313" i="19"/>
  <c r="BS313" i="19" s="1"/>
  <c r="BU305" i="19"/>
  <c r="BQ305" i="19"/>
  <c r="BS305" i="19" s="1"/>
  <c r="BU289" i="19"/>
  <c r="BQ289" i="19"/>
  <c r="BS289" i="19" s="1"/>
  <c r="BU285" i="19"/>
  <c r="BQ285" i="19"/>
  <c r="BS285" i="19" s="1"/>
  <c r="BU281" i="19"/>
  <c r="BQ281" i="19"/>
  <c r="BS281" i="19" s="1"/>
  <c r="BU277" i="19"/>
  <c r="BQ277" i="19"/>
  <c r="BS277" i="19" s="1"/>
  <c r="BU253" i="19"/>
  <c r="BQ253" i="19"/>
  <c r="BS253" i="19" s="1"/>
  <c r="BU237" i="19"/>
  <c r="BQ237" i="19"/>
  <c r="BS237" i="19" s="1"/>
  <c r="BU172" i="19"/>
  <c r="BQ172" i="19"/>
  <c r="BS172" i="19" s="1"/>
  <c r="BU111" i="19"/>
  <c r="BQ111" i="19"/>
  <c r="BS111" i="19" s="1"/>
  <c r="BU103" i="19"/>
  <c r="BQ103" i="19"/>
  <c r="BS103" i="19" s="1"/>
  <c r="BU96" i="19"/>
  <c r="BQ96" i="19"/>
  <c r="BS96" i="19" s="1"/>
  <c r="BU76" i="19"/>
  <c r="BQ76" i="19"/>
  <c r="BS76" i="19" s="1"/>
  <c r="BU72" i="19"/>
  <c r="BQ72" i="19"/>
  <c r="BS72" i="19" s="1"/>
  <c r="BU21" i="19"/>
  <c r="BQ21" i="19"/>
  <c r="BS21" i="19" s="1"/>
  <c r="BU13" i="19"/>
  <c r="BQ13" i="19"/>
  <c r="BS13" i="19" s="1"/>
  <c r="K129" i="19"/>
  <c r="G129" i="19"/>
  <c r="R129" i="19" s="1"/>
  <c r="T129" i="19" s="1"/>
  <c r="K125" i="19"/>
  <c r="G125" i="19"/>
  <c r="G111" i="19"/>
  <c r="I111" i="19" s="1"/>
  <c r="K96" i="19"/>
  <c r="G96" i="19"/>
  <c r="R96" i="19" s="1"/>
  <c r="T96" i="19" s="1"/>
  <c r="K92" i="19"/>
  <c r="G92" i="19"/>
  <c r="R92" i="19" s="1"/>
  <c r="T92" i="19" s="1"/>
  <c r="K88" i="19"/>
  <c r="G88" i="19"/>
  <c r="R88" i="19" s="1"/>
  <c r="T88" i="19" s="1"/>
  <c r="K80" i="19"/>
  <c r="G80" i="19"/>
  <c r="G21" i="19"/>
  <c r="R21" i="19" s="1"/>
  <c r="T21" i="19" s="1"/>
  <c r="G17" i="19"/>
  <c r="R17" i="19" s="1"/>
  <c r="T17" i="19" s="1"/>
  <c r="G8" i="19"/>
  <c r="R8" i="19" s="1"/>
  <c r="T8" i="19" s="1"/>
  <c r="V8" i="19" s="1"/>
  <c r="N576" i="19"/>
  <c r="M576" i="19"/>
  <c r="N567" i="19"/>
  <c r="M567" i="19"/>
  <c r="N500" i="19"/>
  <c r="M500" i="19"/>
  <c r="N474" i="19"/>
  <c r="M474" i="19"/>
  <c r="N415" i="19"/>
  <c r="M415" i="19"/>
  <c r="P281" i="19"/>
  <c r="M281" i="19"/>
  <c r="O269" i="19"/>
  <c r="M269" i="19"/>
  <c r="N253" i="19"/>
  <c r="M253" i="19"/>
  <c r="N249" i="19"/>
  <c r="M249" i="19"/>
  <c r="N245" i="19"/>
  <c r="M245" i="19"/>
  <c r="N241" i="19"/>
  <c r="M241" i="19"/>
  <c r="P237" i="19"/>
  <c r="M237" i="19"/>
  <c r="N230" i="19"/>
  <c r="M230" i="19"/>
  <c r="O226" i="19"/>
  <c r="M226" i="19"/>
  <c r="O221" i="19"/>
  <c r="M221" i="19"/>
  <c r="N172" i="19"/>
  <c r="M172" i="19"/>
  <c r="P125" i="19"/>
  <c r="M125" i="19"/>
  <c r="N111" i="19"/>
  <c r="M111" i="19"/>
  <c r="N103" i="19"/>
  <c r="M103" i="19"/>
  <c r="P88" i="19"/>
  <c r="M88" i="19"/>
  <c r="P84" i="19"/>
  <c r="M84" i="19"/>
  <c r="P80" i="19"/>
  <c r="M80" i="19"/>
  <c r="N72" i="19"/>
  <c r="M72" i="19"/>
  <c r="N68" i="19"/>
  <c r="M68" i="19"/>
  <c r="O21" i="19"/>
  <c r="M21" i="19"/>
  <c r="P17" i="19"/>
  <c r="M17" i="19"/>
  <c r="O8" i="19"/>
  <c r="M8" i="19"/>
  <c r="AA576" i="19"/>
  <c r="X576" i="19"/>
  <c r="AA562" i="19"/>
  <c r="X562" i="19"/>
  <c r="AA501" i="19"/>
  <c r="X501" i="19"/>
  <c r="Y482" i="19"/>
  <c r="X482" i="19"/>
  <c r="Y474" i="19"/>
  <c r="X474" i="19"/>
  <c r="Y456" i="19"/>
  <c r="X456" i="19"/>
  <c r="Z407" i="19"/>
  <c r="X407" i="19"/>
  <c r="Z253" i="19"/>
  <c r="X253" i="19"/>
  <c r="Z249" i="19"/>
  <c r="X249" i="19"/>
  <c r="Z245" i="19"/>
  <c r="X245" i="19"/>
  <c r="Z241" i="19"/>
  <c r="X241" i="19"/>
  <c r="Z237" i="19"/>
  <c r="X237" i="19"/>
  <c r="Y230" i="19"/>
  <c r="X230" i="19"/>
  <c r="Z221" i="19"/>
  <c r="X221" i="19"/>
  <c r="Z199" i="19"/>
  <c r="X199" i="19"/>
  <c r="AA172" i="19"/>
  <c r="X172" i="19"/>
  <c r="Y129" i="19"/>
  <c r="X129" i="19"/>
  <c r="Z125" i="19"/>
  <c r="X125" i="19"/>
  <c r="AA111" i="19"/>
  <c r="X111" i="19"/>
  <c r="AA100" i="19"/>
  <c r="X100" i="19"/>
  <c r="Z92" i="19"/>
  <c r="X92" i="19"/>
  <c r="Y88" i="19"/>
  <c r="X88" i="19"/>
  <c r="Y80" i="19"/>
  <c r="X80" i="19"/>
  <c r="Y76" i="19"/>
  <c r="X76" i="19"/>
  <c r="Y72" i="19"/>
  <c r="X72" i="19"/>
  <c r="Y68" i="19"/>
  <c r="X68" i="19"/>
  <c r="Z21" i="19"/>
  <c r="X21" i="19"/>
  <c r="AA13" i="19"/>
  <c r="X13" i="19"/>
  <c r="AY567" i="19"/>
  <c r="BA567" i="19" s="1"/>
  <c r="BC567" i="19" s="1"/>
  <c r="BC494" i="19"/>
  <c r="AY494" i="19"/>
  <c r="BA494" i="19" s="1"/>
  <c r="AY456" i="19"/>
  <c r="BA456" i="19" s="1"/>
  <c r="BC456" i="19" s="1"/>
  <c r="BC433" i="19"/>
  <c r="AY433" i="19"/>
  <c r="BA433" i="19" s="1"/>
  <c r="BC423" i="19"/>
  <c r="AY423" i="19"/>
  <c r="BA423" i="19" s="1"/>
  <c r="BC317" i="19"/>
  <c r="AY317" i="19"/>
  <c r="BA317" i="19" s="1"/>
  <c r="BC305" i="19"/>
  <c r="AY305" i="19"/>
  <c r="BA305" i="19" s="1"/>
  <c r="BC293" i="19"/>
  <c r="AY293" i="19"/>
  <c r="BA293" i="19" s="1"/>
  <c r="BC289" i="19"/>
  <c r="AY289" i="19"/>
  <c r="BA289" i="19" s="1"/>
  <c r="BC277" i="19"/>
  <c r="AY277" i="19"/>
  <c r="BA277" i="19" s="1"/>
  <c r="BC233" i="19"/>
  <c r="AY233" i="19"/>
  <c r="BA233" i="19" s="1"/>
  <c r="BC226" i="19"/>
  <c r="AY226" i="19"/>
  <c r="BA226" i="19" s="1"/>
  <c r="AY222" i="19"/>
  <c r="BA222" i="19" s="1"/>
  <c r="BC222" i="19" s="1"/>
  <c r="AY195" i="19"/>
  <c r="BA195" i="19" s="1"/>
  <c r="BC195" i="19" s="1"/>
  <c r="BC172" i="19"/>
  <c r="AY172" i="19"/>
  <c r="BA172" i="19" s="1"/>
  <c r="BC129" i="19"/>
  <c r="AY129" i="19"/>
  <c r="BA129" i="19" s="1"/>
  <c r="BC125" i="19"/>
  <c r="AY125" i="19"/>
  <c r="BA125" i="19" s="1"/>
  <c r="BC88" i="19"/>
  <c r="AY88" i="19"/>
  <c r="BA88" i="19" s="1"/>
  <c r="BC80" i="19"/>
  <c r="AY80" i="19"/>
  <c r="BA80" i="19" s="1"/>
  <c r="AY8" i="19"/>
  <c r="BA8" i="19" s="1"/>
  <c r="BC8" i="19" s="1"/>
  <c r="BE585" i="19"/>
  <c r="BG585" i="19" s="1"/>
  <c r="BI585" i="19" s="1"/>
  <c r="BE562" i="19"/>
  <c r="BG562" i="19" s="1"/>
  <c r="BI562" i="19" s="1"/>
  <c r="BI478" i="19"/>
  <c r="BE478" i="19"/>
  <c r="BG478" i="19" s="1"/>
  <c r="BE441" i="19"/>
  <c r="BG441" i="19" s="1"/>
  <c r="BI441" i="19" s="1"/>
  <c r="BI317" i="19"/>
  <c r="BE317" i="19"/>
  <c r="BG317" i="19" s="1"/>
  <c r="BI293" i="19"/>
  <c r="BE293" i="19"/>
  <c r="BG293" i="19" s="1"/>
  <c r="BI285" i="19"/>
  <c r="BE285" i="19"/>
  <c r="BG285" i="19" s="1"/>
  <c r="BI245" i="19"/>
  <c r="BE245" i="19"/>
  <c r="BG245" i="19" s="1"/>
  <c r="BI233" i="19"/>
  <c r="BE233" i="19"/>
  <c r="BG233" i="19" s="1"/>
  <c r="BI230" i="19"/>
  <c r="BE230" i="19"/>
  <c r="BG230" i="19" s="1"/>
  <c r="BE129" i="19"/>
  <c r="BG129" i="19" s="1"/>
  <c r="BI129" i="19" s="1"/>
  <c r="BE125" i="19"/>
  <c r="BG125" i="19" s="1"/>
  <c r="BI125" i="19" s="1"/>
  <c r="BE111" i="19"/>
  <c r="BG111" i="19" s="1"/>
  <c r="BI111" i="19" s="1"/>
  <c r="BE103" i="19"/>
  <c r="BG103" i="19" s="1"/>
  <c r="BI103" i="19" s="1"/>
  <c r="BE100" i="19"/>
  <c r="BG100" i="19" s="1"/>
  <c r="BI100" i="19" s="1"/>
  <c r="BE96" i="19"/>
  <c r="BG96" i="19" s="1"/>
  <c r="BI96" i="19" s="1"/>
  <c r="BE92" i="19"/>
  <c r="BG92" i="19" s="1"/>
  <c r="BI92" i="19" s="1"/>
  <c r="BE88" i="19"/>
  <c r="BG88" i="19" s="1"/>
  <c r="BI88" i="19" s="1"/>
  <c r="BE84" i="19"/>
  <c r="BG84" i="19" s="1"/>
  <c r="BI84" i="19" s="1"/>
  <c r="BE80" i="19"/>
  <c r="BG80" i="19" s="1"/>
  <c r="BI80" i="19" s="1"/>
  <c r="BE76" i="19"/>
  <c r="BG76" i="19" s="1"/>
  <c r="BI76" i="19" s="1"/>
  <c r="BE72" i="19"/>
  <c r="BG72" i="19" s="1"/>
  <c r="BI72" i="19" s="1"/>
  <c r="BE68" i="19"/>
  <c r="BG68" i="19" s="1"/>
  <c r="BI68" i="19" s="1"/>
  <c r="BE21" i="19"/>
  <c r="BG21" i="19" s="1"/>
  <c r="BI21" i="19" s="1"/>
  <c r="BE17" i="19"/>
  <c r="BG17" i="19" s="1"/>
  <c r="BI17" i="19" s="1"/>
  <c r="BE13" i="19"/>
  <c r="BG13" i="19" s="1"/>
  <c r="BI13" i="19" s="1"/>
  <c r="BO567" i="19"/>
  <c r="BK567" i="19"/>
  <c r="BM567" i="19" s="1"/>
  <c r="BK501" i="19"/>
  <c r="BM501" i="19" s="1"/>
  <c r="BO500" i="19"/>
  <c r="BK500" i="19"/>
  <c r="BM500" i="19" s="1"/>
  <c r="BO494" i="19"/>
  <c r="BK494" i="19"/>
  <c r="BM494" i="19" s="1"/>
  <c r="BK478" i="19"/>
  <c r="BM478" i="19" s="1"/>
  <c r="BO474" i="19"/>
  <c r="BK474" i="19"/>
  <c r="BM474" i="19" s="1"/>
  <c r="BK433" i="19"/>
  <c r="BM433" i="19" s="1"/>
  <c r="BO423" i="19"/>
  <c r="BK423" i="19"/>
  <c r="BM423" i="19" s="1"/>
  <c r="BK407" i="19"/>
  <c r="BM407" i="19" s="1"/>
  <c r="BO321" i="19"/>
  <c r="BK321" i="19"/>
  <c r="BM321" i="19" s="1"/>
  <c r="BO317" i="19"/>
  <c r="BK317" i="19"/>
  <c r="BM317" i="19" s="1"/>
  <c r="BO313" i="19"/>
  <c r="BK313" i="19"/>
  <c r="BM313" i="19" s="1"/>
  <c r="BO289" i="19"/>
  <c r="BK289" i="19"/>
  <c r="BM289" i="19" s="1"/>
  <c r="BK281" i="19"/>
  <c r="BM281" i="19" s="1"/>
  <c r="BK277" i="19"/>
  <c r="BM277" i="19" s="1"/>
  <c r="BO273" i="19"/>
  <c r="BK273" i="19"/>
  <c r="BM273" i="19" s="1"/>
  <c r="BO245" i="19"/>
  <c r="BK245" i="19"/>
  <c r="BM245" i="19" s="1"/>
  <c r="BK241" i="19"/>
  <c r="BM241" i="19" s="1"/>
  <c r="BO237" i="19"/>
  <c r="BK237" i="19"/>
  <c r="BM237" i="19" s="1"/>
  <c r="BO222" i="19"/>
  <c r="BK222" i="19"/>
  <c r="BM222" i="19" s="1"/>
  <c r="BO209" i="19"/>
  <c r="BK209" i="19"/>
  <c r="BM209" i="19" s="1"/>
  <c r="BO195" i="19"/>
  <c r="BK195" i="19"/>
  <c r="BM195" i="19" s="1"/>
  <c r="BK172" i="19"/>
  <c r="BM172" i="19" s="1"/>
  <c r="BK125" i="19"/>
  <c r="BM125" i="19" s="1"/>
  <c r="BO111" i="19"/>
  <c r="BK111" i="19"/>
  <c r="BM111" i="19" s="1"/>
  <c r="BO100" i="19"/>
  <c r="BK100" i="19"/>
  <c r="BM100" i="19" s="1"/>
  <c r="BO88" i="19"/>
  <c r="BK88" i="19"/>
  <c r="BM88" i="19" s="1"/>
  <c r="BK84" i="19"/>
  <c r="BM84" i="19" s="1"/>
  <c r="BO80" i="19"/>
  <c r="BK80" i="19"/>
  <c r="BM80" i="19" s="1"/>
  <c r="BO21" i="19"/>
  <c r="BK21" i="19"/>
  <c r="BM21" i="19" s="1"/>
  <c r="BU579" i="19"/>
  <c r="BQ579" i="19"/>
  <c r="BS579" i="19" s="1"/>
  <c r="BU481" i="19"/>
  <c r="BQ481" i="19"/>
  <c r="BS481" i="19" s="1"/>
  <c r="BU473" i="19"/>
  <c r="BQ473" i="19"/>
  <c r="BS473" i="19" s="1"/>
  <c r="BU464" i="19"/>
  <c r="BQ464" i="19"/>
  <c r="BS464" i="19" s="1"/>
  <c r="BU436" i="19"/>
  <c r="BQ436" i="19"/>
  <c r="BS436" i="19" s="1"/>
  <c r="BU320" i="19"/>
  <c r="BQ320" i="19"/>
  <c r="BS320" i="19" s="1"/>
  <c r="BU308" i="19"/>
  <c r="BQ308" i="19"/>
  <c r="BS308" i="19" s="1"/>
  <c r="BU304" i="19"/>
  <c r="BQ304" i="19"/>
  <c r="BS304" i="19" s="1"/>
  <c r="BU268" i="19"/>
  <c r="BQ268" i="19"/>
  <c r="BS268" i="19" s="1"/>
  <c r="BU232" i="19"/>
  <c r="BQ232" i="19"/>
  <c r="BS232" i="19" s="1"/>
  <c r="BU229" i="19"/>
  <c r="BQ229" i="19"/>
  <c r="BS229" i="19" s="1"/>
  <c r="BU225" i="19"/>
  <c r="BQ225" i="19"/>
  <c r="BS225" i="19" s="1"/>
  <c r="BU220" i="19"/>
  <c r="BQ220" i="19"/>
  <c r="BS220" i="19" s="1"/>
  <c r="BU202" i="19"/>
  <c r="BQ202" i="19"/>
  <c r="BS202" i="19" s="1"/>
  <c r="BU198" i="19"/>
  <c r="BQ198" i="19"/>
  <c r="BS198" i="19" s="1"/>
  <c r="BU194" i="19"/>
  <c r="BQ194" i="19"/>
  <c r="BS194" i="19" s="1"/>
  <c r="BU171" i="19"/>
  <c r="BQ171" i="19"/>
  <c r="BS171" i="19" s="1"/>
  <c r="BU128" i="19"/>
  <c r="BQ128" i="19"/>
  <c r="BS128" i="19" s="1"/>
  <c r="BU83" i="19"/>
  <c r="BQ83" i="19"/>
  <c r="BS83" i="19" s="1"/>
  <c r="BU75" i="19"/>
  <c r="BQ75" i="19"/>
  <c r="BS75" i="19" s="1"/>
  <c r="BU67" i="19"/>
  <c r="BQ67" i="19"/>
  <c r="BS67" i="19" s="1"/>
  <c r="BU24" i="19"/>
  <c r="BQ24" i="19"/>
  <c r="BS24" i="19" s="1"/>
  <c r="BU20" i="19"/>
  <c r="BQ20" i="19"/>
  <c r="BS20" i="19" s="1"/>
  <c r="BU12" i="19"/>
  <c r="BQ12" i="19"/>
  <c r="BS12" i="19" s="1"/>
  <c r="J310" i="19"/>
  <c r="J313" i="19"/>
  <c r="J312" i="19"/>
  <c r="J311" i="19"/>
  <c r="J298" i="19"/>
  <c r="J297" i="19"/>
  <c r="J299" i="19"/>
  <c r="BU302" i="19"/>
  <c r="J438" i="19"/>
  <c r="J420" i="19"/>
  <c r="J416" i="19"/>
  <c r="J218" i="19"/>
  <c r="J214" i="19"/>
  <c r="J562" i="19"/>
  <c r="J230" i="19"/>
  <c r="J226" i="19"/>
  <c r="J222" i="19"/>
  <c r="BH562" i="19"/>
  <c r="J444" i="19"/>
  <c r="J440" i="19"/>
  <c r="J422" i="19"/>
  <c r="J418" i="19"/>
  <c r="J304" i="19"/>
  <c r="J300" i="19"/>
  <c r="J296" i="19"/>
  <c r="J292" i="19"/>
  <c r="J288" i="19"/>
  <c r="J194" i="19"/>
  <c r="J200" i="19"/>
  <c r="J205" i="19"/>
  <c r="BU310" i="19"/>
  <c r="BU412" i="19"/>
  <c r="BU434" i="19"/>
  <c r="BO90" i="19"/>
  <c r="BU7" i="19"/>
  <c r="BU218" i="19"/>
  <c r="J320" i="19"/>
  <c r="J308" i="19"/>
  <c r="J248" i="19"/>
  <c r="J504" i="19"/>
  <c r="J501" i="19"/>
  <c r="J497" i="19"/>
  <c r="J494" i="19"/>
  <c r="J476" i="19"/>
  <c r="BC216" i="19"/>
  <c r="BU311" i="19"/>
  <c r="BU98" i="19"/>
  <c r="AA171" i="19"/>
  <c r="Z198" i="19"/>
  <c r="BU201" i="19"/>
  <c r="BU271" i="19"/>
  <c r="BC304" i="19"/>
  <c r="BC406" i="19"/>
  <c r="BU459" i="19"/>
  <c r="BC202" i="19"/>
  <c r="BU235" i="19"/>
  <c r="Y240" i="19"/>
  <c r="AA268" i="19"/>
  <c r="BU279" i="19"/>
  <c r="BU405" i="19"/>
  <c r="P102" i="19"/>
  <c r="N122" i="19"/>
  <c r="BU251" i="19"/>
  <c r="BU287" i="19"/>
  <c r="BU503" i="19"/>
  <c r="BU295" i="19"/>
  <c r="BO318" i="19"/>
  <c r="BU319" i="19"/>
  <c r="BU498" i="19"/>
  <c r="BO502" i="19"/>
  <c r="BS278" i="19"/>
  <c r="BO302" i="19"/>
  <c r="BO412" i="19"/>
  <c r="BO413" i="19"/>
  <c r="BU573" i="19"/>
  <c r="N221" i="19"/>
  <c r="BS466" i="19"/>
  <c r="BS310" i="19"/>
  <c r="BG294" i="19"/>
  <c r="BC78" i="19"/>
  <c r="BS498" i="19"/>
  <c r="BI244" i="19"/>
  <c r="K24" i="19"/>
  <c r="Y103" i="19"/>
  <c r="N237" i="19"/>
  <c r="O217" i="19"/>
  <c r="N217" i="19"/>
  <c r="Y212" i="19"/>
  <c r="Y198" i="19"/>
  <c r="Z171" i="19"/>
  <c r="BC493" i="19"/>
  <c r="BA493" i="19"/>
  <c r="BA446" i="19"/>
  <c r="BC446" i="19"/>
  <c r="BC296" i="19"/>
  <c r="BA296" i="19"/>
  <c r="BI572" i="19"/>
  <c r="BG572" i="19"/>
  <c r="BG210" i="19"/>
  <c r="BI210" i="19"/>
  <c r="BG200" i="19"/>
  <c r="BI200" i="19"/>
  <c r="BM465" i="19"/>
  <c r="BO465" i="19"/>
  <c r="BO456" i="19"/>
  <c r="BM456" i="19"/>
  <c r="BS582" i="19"/>
  <c r="BU582" i="19"/>
  <c r="BS572" i="19"/>
  <c r="BU572" i="19"/>
  <c r="BU564" i="19"/>
  <c r="BS564" i="19"/>
  <c r="BU475" i="19"/>
  <c r="BS475" i="19"/>
  <c r="BS442" i="19"/>
  <c r="BU442" i="19"/>
  <c r="BS465" i="19"/>
  <c r="BS411" i="19"/>
  <c r="BS317" i="19"/>
  <c r="BS301" i="19"/>
  <c r="BS233" i="19"/>
  <c r="BS230" i="19"/>
  <c r="BS199" i="19"/>
  <c r="BO295" i="19"/>
  <c r="BI406" i="19"/>
  <c r="BO12" i="19"/>
  <c r="Y19" i="19"/>
  <c r="P71" i="19"/>
  <c r="AA101" i="19"/>
  <c r="Z19" i="19"/>
  <c r="BC23" i="19"/>
  <c r="N24" i="19"/>
  <c r="BU84" i="19"/>
  <c r="BU92" i="19"/>
  <c r="BC196" i="19"/>
  <c r="BC210" i="19"/>
  <c r="AA242" i="19"/>
  <c r="N275" i="19"/>
  <c r="BU288" i="19"/>
  <c r="BC306" i="19"/>
  <c r="BS311" i="19"/>
  <c r="N247" i="19"/>
  <c r="O247" i="19"/>
  <c r="P247" i="19"/>
  <c r="O239" i="19"/>
  <c r="P239" i="19"/>
  <c r="AA404" i="19"/>
  <c r="Z404" i="19"/>
  <c r="AA214" i="19"/>
  <c r="BC416" i="19"/>
  <c r="BA416" i="19"/>
  <c r="BA282" i="19"/>
  <c r="BC282" i="19"/>
  <c r="P453" i="19"/>
  <c r="N453" i="19"/>
  <c r="O409" i="19"/>
  <c r="N170" i="19"/>
  <c r="P170" i="19"/>
  <c r="AA234" i="19"/>
  <c r="Z234" i="19"/>
  <c r="AA127" i="19"/>
  <c r="Y127" i="19"/>
  <c r="BA274" i="19"/>
  <c r="BC274" i="19"/>
  <c r="BC123" i="19"/>
  <c r="BA123" i="19"/>
  <c r="BC94" i="19"/>
  <c r="BA94" i="19"/>
  <c r="BI422" i="19"/>
  <c r="BG422" i="19"/>
  <c r="BI288" i="19"/>
  <c r="BG288" i="19"/>
  <c r="BI272" i="19"/>
  <c r="BG272" i="19"/>
  <c r="BG236" i="19"/>
  <c r="BI236" i="19"/>
  <c r="BG225" i="19"/>
  <c r="BI225" i="19"/>
  <c r="BI220" i="19"/>
  <c r="BG220" i="19"/>
  <c r="BM498" i="19"/>
  <c r="BO498" i="19"/>
  <c r="BM492" i="19"/>
  <c r="BO492" i="19"/>
  <c r="BO476" i="19"/>
  <c r="BM476" i="19"/>
  <c r="BO279" i="19"/>
  <c r="BM279" i="19"/>
  <c r="BM251" i="19"/>
  <c r="BO251" i="19"/>
  <c r="BO83" i="19"/>
  <c r="BM83" i="19"/>
  <c r="BU504" i="19"/>
  <c r="BS504" i="19"/>
  <c r="BU493" i="19"/>
  <c r="BS493" i="19"/>
  <c r="BS472" i="19"/>
  <c r="BU472" i="19"/>
  <c r="BU444" i="19"/>
  <c r="BS444" i="19"/>
  <c r="BS414" i="19"/>
  <c r="BU414" i="19"/>
  <c r="BS406" i="19"/>
  <c r="BU406" i="19"/>
  <c r="BU312" i="19"/>
  <c r="BS312" i="19"/>
  <c r="BU296" i="19"/>
  <c r="BS296" i="19"/>
  <c r="BU280" i="19"/>
  <c r="BS280" i="19"/>
  <c r="BU100" i="19"/>
  <c r="BS100" i="19"/>
  <c r="BU68" i="19"/>
  <c r="BS68" i="19"/>
  <c r="BC7" i="19"/>
  <c r="Z11" i="19"/>
  <c r="P24" i="19"/>
  <c r="N71" i="19"/>
  <c r="P124" i="19"/>
  <c r="BU272" i="19"/>
  <c r="BS279" i="19"/>
  <c r="BI280" i="19"/>
  <c r="BO287" i="19"/>
  <c r="BI304" i="19"/>
  <c r="BO405" i="19"/>
  <c r="BO435" i="19"/>
  <c r="BO443" i="19"/>
  <c r="O267" i="19"/>
  <c r="P267" i="19"/>
  <c r="O211" i="19"/>
  <c r="N211" i="19"/>
  <c r="N205" i="19"/>
  <c r="O79" i="19"/>
  <c r="N79" i="19"/>
  <c r="AA250" i="19"/>
  <c r="Z231" i="19"/>
  <c r="Y231" i="19"/>
  <c r="Y223" i="19"/>
  <c r="AA223" i="19"/>
  <c r="AA208" i="19"/>
  <c r="Z208" i="19"/>
  <c r="Y208" i="19"/>
  <c r="BC322" i="19"/>
  <c r="BA322" i="19"/>
  <c r="BC290" i="19"/>
  <c r="BA290" i="19"/>
  <c r="BC70" i="19"/>
  <c r="BA70" i="19"/>
  <c r="AA11" i="19"/>
  <c r="K18" i="19"/>
  <c r="BO67" i="19"/>
  <c r="Z90" i="19"/>
  <c r="N124" i="19"/>
  <c r="O170" i="19"/>
  <c r="O205" i="19"/>
  <c r="Y214" i="19"/>
  <c r="Z223" i="19"/>
  <c r="O283" i="19"/>
  <c r="BI320" i="19"/>
  <c r="BO421" i="19"/>
  <c r="BS435" i="19"/>
  <c r="BS443" i="19"/>
  <c r="BS251" i="19"/>
  <c r="BS405" i="19"/>
  <c r="Y12" i="19"/>
  <c r="Z12" i="19"/>
  <c r="BS102" i="19"/>
  <c r="BU102" i="19"/>
  <c r="BU14" i="19"/>
  <c r="Z67" i="19"/>
  <c r="AA231" i="19"/>
  <c r="Y234" i="19"/>
  <c r="N283" i="19"/>
  <c r="AA75" i="19"/>
  <c r="Z75" i="19"/>
  <c r="AA20" i="19"/>
  <c r="BM92" i="19"/>
  <c r="BO92" i="19"/>
  <c r="BU273" i="19"/>
  <c r="BU415" i="19"/>
  <c r="BU407" i="19"/>
  <c r="BS407" i="19"/>
  <c r="BU195" i="19"/>
  <c r="BS478" i="19"/>
  <c r="BU478" i="19"/>
  <c r="BS447" i="19"/>
  <c r="BU447" i="19"/>
  <c r="BS437" i="19"/>
  <c r="BU437" i="19"/>
  <c r="BU423" i="19"/>
  <c r="BS423" i="19"/>
  <c r="BS69" i="19"/>
  <c r="BU69" i="19"/>
  <c r="BO13" i="19"/>
  <c r="P72" i="19"/>
  <c r="BU245" i="19"/>
  <c r="BU297" i="19"/>
  <c r="BU321" i="19"/>
  <c r="BS236" i="19"/>
  <c r="BS216" i="19"/>
  <c r="N267" i="19"/>
  <c r="O275" i="19"/>
  <c r="P283" i="19"/>
  <c r="AA412" i="19"/>
  <c r="BI472" i="19"/>
  <c r="BC569" i="19"/>
  <c r="BS92" i="19"/>
  <c r="Y404" i="19"/>
  <c r="BC495" i="19"/>
  <c r="Z564" i="19"/>
  <c r="BA235" i="19"/>
  <c r="BG277" i="19"/>
  <c r="BU448" i="19"/>
  <c r="BU569" i="19"/>
  <c r="BS245" i="19"/>
  <c r="BO407" i="19"/>
  <c r="BU452" i="19"/>
  <c r="Y84" i="19"/>
  <c r="O81" i="19"/>
  <c r="BI503" i="19"/>
  <c r="BC273" i="19"/>
  <c r="Y18" i="19"/>
  <c r="Y97" i="19"/>
  <c r="AA199" i="19"/>
  <c r="BS567" i="19"/>
  <c r="BS500" i="19"/>
  <c r="BS494" i="19"/>
  <c r="BO571" i="19"/>
  <c r="O276" i="19"/>
  <c r="P276" i="19"/>
  <c r="N276" i="19"/>
  <c r="P198" i="19"/>
  <c r="O198" i="19"/>
  <c r="N198" i="19"/>
  <c r="O96" i="19"/>
  <c r="O88" i="19"/>
  <c r="AA492" i="19"/>
  <c r="Y492" i="19"/>
  <c r="AA468" i="19"/>
  <c r="Y468" i="19"/>
  <c r="Y405" i="19"/>
  <c r="Z405" i="19"/>
  <c r="Z243" i="19"/>
  <c r="AA243" i="19"/>
  <c r="Y243" i="19"/>
  <c r="Z215" i="19"/>
  <c r="Y215" i="19"/>
  <c r="BG500" i="19"/>
  <c r="BI500" i="19"/>
  <c r="BI447" i="19"/>
  <c r="BG447" i="19"/>
  <c r="BI437" i="19"/>
  <c r="BG437" i="19"/>
  <c r="BI415" i="19"/>
  <c r="BG415" i="19"/>
  <c r="BG289" i="19"/>
  <c r="BI289" i="19"/>
  <c r="Y20" i="19"/>
  <c r="N125" i="19"/>
  <c r="BI423" i="19"/>
  <c r="N571" i="19"/>
  <c r="O473" i="19"/>
  <c r="P268" i="19"/>
  <c r="O212" i="19"/>
  <c r="Y435" i="19"/>
  <c r="AA435" i="19"/>
  <c r="Y413" i="19"/>
  <c r="AA413" i="19"/>
  <c r="Y271" i="19"/>
  <c r="AA271" i="19"/>
  <c r="Y251" i="19"/>
  <c r="Z251" i="19"/>
  <c r="Z219" i="19"/>
  <c r="Y219" i="19"/>
  <c r="AA219" i="19"/>
  <c r="BC439" i="19"/>
  <c r="BA439" i="19"/>
  <c r="BC307" i="19"/>
  <c r="BA307" i="19"/>
  <c r="BA275" i="19"/>
  <c r="BC275" i="19"/>
  <c r="BG576" i="19"/>
  <c r="BI576" i="19"/>
  <c r="BI567" i="19"/>
  <c r="BG567" i="19"/>
  <c r="BI321" i="19"/>
  <c r="BG321" i="19"/>
  <c r="BG305" i="19"/>
  <c r="BI305" i="19"/>
  <c r="BG273" i="19"/>
  <c r="BI273" i="19"/>
  <c r="BI195" i="19"/>
  <c r="BG195" i="19"/>
  <c r="AA12" i="19"/>
  <c r="Z20" i="19"/>
  <c r="K74" i="19"/>
  <c r="AA83" i="19"/>
  <c r="N96" i="19"/>
  <c r="AA251" i="19"/>
  <c r="Z271" i="19"/>
  <c r="P481" i="19"/>
  <c r="O481" i="19"/>
  <c r="P248" i="19"/>
  <c r="O248" i="19"/>
  <c r="N248" i="19"/>
  <c r="P240" i="19"/>
  <c r="O240" i="19"/>
  <c r="N240" i="19"/>
  <c r="P171" i="19"/>
  <c r="O171" i="19"/>
  <c r="O125" i="19"/>
  <c r="O103" i="19"/>
  <c r="O80" i="19"/>
  <c r="AA498" i="19"/>
  <c r="Y498" i="19"/>
  <c r="Z459" i="19"/>
  <c r="Y459" i="19"/>
  <c r="AA443" i="19"/>
  <c r="AA235" i="19"/>
  <c r="Z235" i="19"/>
  <c r="Y224" i="19"/>
  <c r="Z224" i="19"/>
  <c r="AA224" i="19"/>
  <c r="Z201" i="19"/>
  <c r="Y201" i="19"/>
  <c r="Y128" i="19"/>
  <c r="Z128" i="19"/>
  <c r="BA417" i="19"/>
  <c r="BC417" i="19"/>
  <c r="O72" i="19"/>
  <c r="N80" i="19"/>
  <c r="N88" i="19"/>
  <c r="AA91" i="19"/>
  <c r="P96" i="19"/>
  <c r="K98" i="19"/>
  <c r="P103" i="19"/>
  <c r="Z104" i="19"/>
  <c r="AA201" i="19"/>
  <c r="Y235" i="19"/>
  <c r="Z413" i="19"/>
  <c r="P440" i="19"/>
  <c r="BG436" i="19"/>
  <c r="BU494" i="19"/>
  <c r="BU500" i="19"/>
  <c r="BU567" i="19"/>
  <c r="BG304" i="19"/>
  <c r="BG320" i="19"/>
  <c r="BS573" i="19"/>
  <c r="K94" i="19"/>
  <c r="P111" i="19"/>
  <c r="O111" i="19"/>
  <c r="N92" i="19"/>
  <c r="P92" i="19"/>
  <c r="P68" i="19"/>
  <c r="Z239" i="19"/>
  <c r="AA239" i="19"/>
  <c r="AA211" i="19"/>
  <c r="BC83" i="19"/>
  <c r="BA83" i="19"/>
  <c r="BG490" i="19"/>
  <c r="BI490" i="19"/>
  <c r="BM418" i="19"/>
  <c r="BO418" i="19"/>
  <c r="BM324" i="19"/>
  <c r="BO324" i="19"/>
  <c r="BO300" i="19"/>
  <c r="BM300" i="19"/>
  <c r="BM96" i="19"/>
  <c r="BO96" i="19"/>
  <c r="K86" i="19"/>
  <c r="R86" i="19"/>
  <c r="T86" i="19" s="1"/>
  <c r="P129" i="19"/>
  <c r="O129" i="19"/>
  <c r="P100" i="19"/>
  <c r="AA170" i="19"/>
  <c r="AA87" i="19"/>
  <c r="Y87" i="19"/>
  <c r="BA311" i="19"/>
  <c r="BC311" i="19"/>
  <c r="BA91" i="19"/>
  <c r="BC91" i="19"/>
  <c r="BG419" i="19"/>
  <c r="BI419" i="19"/>
  <c r="BO410" i="19"/>
  <c r="BM410" i="19"/>
  <c r="BO316" i="19"/>
  <c r="BM316" i="19"/>
  <c r="BM198" i="19"/>
  <c r="BO198" i="19"/>
  <c r="O68" i="19"/>
  <c r="BO8" i="19"/>
  <c r="BO171" i="19"/>
  <c r="Y228" i="19"/>
  <c r="AA228" i="19"/>
  <c r="AA124" i="19"/>
  <c r="Z124" i="19"/>
  <c r="BC12" i="19"/>
  <c r="BA12" i="19"/>
  <c r="Y170" i="19"/>
  <c r="O76" i="19"/>
  <c r="N76" i="19"/>
  <c r="P76" i="19"/>
  <c r="AA205" i="19"/>
  <c r="Z205" i="19"/>
  <c r="Z79" i="19"/>
  <c r="Y79" i="19"/>
  <c r="BA413" i="19"/>
  <c r="BC413" i="19"/>
  <c r="BI249" i="19"/>
  <c r="BG249" i="19"/>
  <c r="BI199" i="19"/>
  <c r="BG199" i="19"/>
  <c r="BM505" i="19"/>
  <c r="BO505" i="19"/>
  <c r="BO229" i="19"/>
  <c r="BM229" i="19"/>
  <c r="K7" i="19"/>
  <c r="P21" i="19"/>
  <c r="O92" i="19"/>
  <c r="Z170" i="19"/>
  <c r="P13" i="19"/>
  <c r="O13" i="19"/>
  <c r="BI301" i="19"/>
  <c r="BG301" i="19"/>
  <c r="BO212" i="19"/>
  <c r="BM212" i="19"/>
  <c r="N100" i="19"/>
  <c r="Y211" i="19"/>
  <c r="K78" i="19"/>
  <c r="R78" i="19"/>
  <c r="T78" i="19" s="1"/>
  <c r="O194" i="19"/>
  <c r="P194" i="19"/>
  <c r="BC405" i="19"/>
  <c r="BA405" i="19"/>
  <c r="BC67" i="19"/>
  <c r="BA67" i="19"/>
  <c r="BI474" i="19"/>
  <c r="BG474" i="19"/>
  <c r="BI172" i="19"/>
  <c r="BG172" i="19"/>
  <c r="Y95" i="19"/>
  <c r="O100" i="19"/>
  <c r="Z211" i="19"/>
  <c r="BA295" i="19"/>
  <c r="BC295" i="19"/>
  <c r="BI456" i="19"/>
  <c r="BG456" i="19"/>
  <c r="BI325" i="19"/>
  <c r="BG325" i="19"/>
  <c r="BO17" i="19"/>
  <c r="BM17" i="19"/>
  <c r="Y205" i="19"/>
  <c r="BO78" i="19"/>
  <c r="P82" i="19"/>
  <c r="BA96" i="19"/>
  <c r="K569" i="19"/>
  <c r="R569" i="19"/>
  <c r="T569" i="19" s="1"/>
  <c r="O584" i="19"/>
  <c r="N584" i="19"/>
  <c r="P584" i="19"/>
  <c r="N504" i="19"/>
  <c r="O504" i="19"/>
  <c r="O493" i="19"/>
  <c r="N493" i="19"/>
  <c r="P493" i="19"/>
  <c r="N461" i="19"/>
  <c r="O461" i="19"/>
  <c r="P444" i="19"/>
  <c r="N444" i="19"/>
  <c r="O422" i="19"/>
  <c r="N422" i="19"/>
  <c r="P414" i="19"/>
  <c r="O414" i="19"/>
  <c r="O406" i="19"/>
  <c r="N406" i="19"/>
  <c r="O252" i="19"/>
  <c r="P252" i="19"/>
  <c r="N252" i="19"/>
  <c r="O244" i="19"/>
  <c r="P244" i="19"/>
  <c r="N244" i="19"/>
  <c r="N236" i="19"/>
  <c r="N225" i="19"/>
  <c r="P225" i="19"/>
  <c r="N220" i="19"/>
  <c r="Z570" i="19"/>
  <c r="AA570" i="19"/>
  <c r="Y453" i="19"/>
  <c r="AA453" i="19"/>
  <c r="AA439" i="19"/>
  <c r="Z439" i="19"/>
  <c r="Z417" i="19"/>
  <c r="Y283" i="19"/>
  <c r="AA283" i="19"/>
  <c r="BA476" i="19"/>
  <c r="BC476" i="19"/>
  <c r="BC459" i="19"/>
  <c r="BA459" i="19"/>
  <c r="BC443" i="19"/>
  <c r="BA443" i="19"/>
  <c r="BC435" i="19"/>
  <c r="BA435" i="19"/>
  <c r="BC319" i="19"/>
  <c r="BA319" i="19"/>
  <c r="BC279" i="19"/>
  <c r="BA279" i="19"/>
  <c r="BI501" i="19"/>
  <c r="BG501" i="19"/>
  <c r="BI433" i="19"/>
  <c r="BG433" i="19"/>
  <c r="BI411" i="19"/>
  <c r="BG411" i="19"/>
  <c r="BI241" i="19"/>
  <c r="BG241" i="19"/>
  <c r="BM497" i="19"/>
  <c r="BO497" i="19"/>
  <c r="BO473" i="19"/>
  <c r="BM473" i="19"/>
  <c r="BO432" i="19"/>
  <c r="BM432" i="19"/>
  <c r="BO308" i="19"/>
  <c r="BM308" i="19"/>
  <c r="BO232" i="19"/>
  <c r="BM232" i="19"/>
  <c r="K123" i="19"/>
  <c r="O220" i="19"/>
  <c r="AA417" i="19"/>
  <c r="N216" i="19"/>
  <c r="O236" i="19"/>
  <c r="N414" i="19"/>
  <c r="Z453" i="19"/>
  <c r="Z496" i="19"/>
  <c r="K23" i="19"/>
  <c r="P236" i="19"/>
  <c r="Z247" i="19"/>
  <c r="P406" i="19"/>
  <c r="Y439" i="19"/>
  <c r="K577" i="19"/>
  <c r="Y570" i="19"/>
  <c r="BA442" i="19"/>
  <c r="BA318" i="19"/>
  <c r="BA82" i="19"/>
  <c r="BA11" i="19"/>
  <c r="BG451" i="19"/>
  <c r="BG276" i="19"/>
  <c r="BG232" i="19"/>
  <c r="P73" i="19"/>
  <c r="AA84" i="19"/>
  <c r="K12" i="19"/>
  <c r="BO217" i="19"/>
  <c r="BO253" i="19"/>
  <c r="BO305" i="19"/>
  <c r="BC17" i="19"/>
  <c r="P18" i="19"/>
  <c r="BC96" i="19"/>
  <c r="N97" i="19"/>
  <c r="BC300" i="19"/>
  <c r="BS416" i="19"/>
  <c r="Y443" i="19"/>
  <c r="K83" i="19"/>
  <c r="Z84" i="19"/>
  <c r="O89" i="19"/>
  <c r="K91" i="19"/>
  <c r="P269" i="19"/>
  <c r="BO281" i="19"/>
  <c r="BI408" i="19"/>
  <c r="BS448" i="19"/>
  <c r="Z498" i="19"/>
  <c r="O579" i="19"/>
  <c r="AA21" i="19"/>
  <c r="Z76" i="19"/>
  <c r="P89" i="19"/>
  <c r="P230" i="19"/>
  <c r="BI274" i="19"/>
  <c r="BC276" i="19"/>
  <c r="O497" i="19"/>
  <c r="AA76" i="19"/>
  <c r="P10" i="19"/>
  <c r="O97" i="19"/>
  <c r="Z194" i="19"/>
  <c r="O432" i="19"/>
  <c r="BS452" i="19"/>
  <c r="P497" i="19"/>
  <c r="N498" i="19"/>
  <c r="P498" i="19"/>
  <c r="O498" i="19"/>
  <c r="N99" i="19"/>
  <c r="P20" i="19"/>
  <c r="O20" i="19"/>
  <c r="N20" i="19"/>
  <c r="Z15" i="19"/>
  <c r="BC294" i="19"/>
  <c r="BA294" i="19"/>
  <c r="BA234" i="19"/>
  <c r="BC234" i="19"/>
  <c r="BC101" i="19"/>
  <c r="BA101" i="19"/>
  <c r="BI571" i="19"/>
  <c r="BG571" i="19"/>
  <c r="BG481" i="19"/>
  <c r="BI481" i="19"/>
  <c r="O459" i="19"/>
  <c r="N459" i="19"/>
  <c r="Y416" i="19"/>
  <c r="AA416" i="19"/>
  <c r="AA196" i="19"/>
  <c r="BA502" i="19"/>
  <c r="BC502" i="19"/>
  <c r="BA278" i="19"/>
  <c r="BC278" i="19"/>
  <c r="BC90" i="19"/>
  <c r="BA90" i="19"/>
  <c r="BG418" i="19"/>
  <c r="BI418" i="19"/>
  <c r="BC82" i="19"/>
  <c r="K85" i="19"/>
  <c r="P468" i="19"/>
  <c r="O468" i="19"/>
  <c r="N421" i="19"/>
  <c r="P421" i="19"/>
  <c r="O421" i="19"/>
  <c r="P201" i="19"/>
  <c r="O201" i="19"/>
  <c r="P83" i="19"/>
  <c r="O83" i="19"/>
  <c r="BA404" i="19"/>
  <c r="BC404" i="19"/>
  <c r="BC302" i="19"/>
  <c r="BA302" i="19"/>
  <c r="BC242" i="19"/>
  <c r="BA242" i="19"/>
  <c r="BA218" i="19"/>
  <c r="BC218" i="19" s="1"/>
  <c r="BC74" i="19"/>
  <c r="BA74" i="19"/>
  <c r="P443" i="19"/>
  <c r="O443" i="19"/>
  <c r="N405" i="19"/>
  <c r="O405" i="19"/>
  <c r="P251" i="19"/>
  <c r="O251" i="19"/>
  <c r="N251" i="19"/>
  <c r="N215" i="19"/>
  <c r="O215" i="19"/>
  <c r="P104" i="19"/>
  <c r="O104" i="19"/>
  <c r="N104" i="19"/>
  <c r="P67" i="19"/>
  <c r="O67" i="19"/>
  <c r="N67" i="19"/>
  <c r="AA438" i="19"/>
  <c r="Y438" i="19"/>
  <c r="Z408" i="19"/>
  <c r="AA204" i="19"/>
  <c r="BA491" i="19"/>
  <c r="BC491" i="19"/>
  <c r="BC412" i="19"/>
  <c r="BA412" i="19"/>
  <c r="BC310" i="19"/>
  <c r="BA310" i="19"/>
  <c r="BC250" i="19"/>
  <c r="BA250" i="19"/>
  <c r="BI316" i="19"/>
  <c r="BG316" i="19"/>
  <c r="N201" i="19"/>
  <c r="BC286" i="19"/>
  <c r="BI451" i="19"/>
  <c r="P243" i="19"/>
  <c r="O243" i="19"/>
  <c r="N243" i="19"/>
  <c r="N91" i="19"/>
  <c r="P12" i="19"/>
  <c r="N12" i="19"/>
  <c r="BA420" i="19"/>
  <c r="BC420" i="19"/>
  <c r="BA231" i="19"/>
  <c r="BC231" i="19"/>
  <c r="BA208" i="19"/>
  <c r="BC208" i="19"/>
  <c r="BC98" i="19"/>
  <c r="BA98" i="19"/>
  <c r="BC11" i="19"/>
  <c r="K22" i="19"/>
  <c r="P583" i="19"/>
  <c r="O583" i="19"/>
  <c r="O413" i="19"/>
  <c r="P271" i="19"/>
  <c r="O271" i="19"/>
  <c r="N271" i="19"/>
  <c r="P75" i="19"/>
  <c r="O75" i="19"/>
  <c r="N75" i="19"/>
  <c r="BC582" i="19"/>
  <c r="BA582" i="19"/>
  <c r="BC475" i="19"/>
  <c r="BA475" i="19"/>
  <c r="BC270" i="19"/>
  <c r="BA270" i="19"/>
  <c r="BA214" i="19"/>
  <c r="BC214" i="19"/>
  <c r="BG473" i="19"/>
  <c r="BI473" i="19"/>
  <c r="P413" i="19"/>
  <c r="BS441" i="19"/>
  <c r="BU441" i="19"/>
  <c r="BS309" i="19"/>
  <c r="BU309" i="19"/>
  <c r="BU293" i="19"/>
  <c r="BS293" i="19"/>
  <c r="BS249" i="19"/>
  <c r="BU249" i="19"/>
  <c r="BS241" i="19"/>
  <c r="BU241" i="19"/>
  <c r="BI292" i="19"/>
  <c r="BU81" i="19"/>
  <c r="BU199" i="19"/>
  <c r="BI240" i="19"/>
  <c r="BG240" i="19"/>
  <c r="BI284" i="19"/>
  <c r="BG284" i="19"/>
  <c r="BI248" i="19"/>
  <c r="BG248" i="19"/>
  <c r="BI276" i="19"/>
  <c r="N464" i="19"/>
  <c r="BA411" i="19"/>
  <c r="BG409" i="19"/>
  <c r="BG315" i="19"/>
  <c r="BG307" i="19"/>
  <c r="BG197" i="19"/>
  <c r="BG170" i="19"/>
  <c r="P464" i="19"/>
  <c r="P473" i="19"/>
  <c r="P418" i="19"/>
  <c r="N451" i="19"/>
  <c r="N473" i="19"/>
  <c r="N418" i="19"/>
  <c r="O451" i="19"/>
  <c r="N481" i="19"/>
  <c r="O571" i="19"/>
  <c r="R583" i="19"/>
  <c r="T583" i="19" s="1"/>
  <c r="K583" i="19"/>
  <c r="K443" i="19"/>
  <c r="R443" i="19"/>
  <c r="T443" i="19" s="1"/>
  <c r="N562" i="19"/>
  <c r="O562" i="19"/>
  <c r="P501" i="19"/>
  <c r="O501" i="19"/>
  <c r="N501" i="19"/>
  <c r="P490" i="19"/>
  <c r="P482" i="19"/>
  <c r="P465" i="19"/>
  <c r="N465" i="19"/>
  <c r="N456" i="19"/>
  <c r="P456" i="19"/>
  <c r="O456" i="19"/>
  <c r="P441" i="19"/>
  <c r="N441" i="19"/>
  <c r="O441" i="19"/>
  <c r="P433" i="19"/>
  <c r="N433" i="19"/>
  <c r="O433" i="19"/>
  <c r="O419" i="19"/>
  <c r="P419" i="19"/>
  <c r="N419" i="19"/>
  <c r="P411" i="19"/>
  <c r="N411" i="19"/>
  <c r="O411" i="19"/>
  <c r="N233" i="19"/>
  <c r="P233" i="19"/>
  <c r="O213" i="19"/>
  <c r="N213" i="19"/>
  <c r="N207" i="19"/>
  <c r="P172" i="19"/>
  <c r="O172" i="19"/>
  <c r="O126" i="19"/>
  <c r="N126" i="19"/>
  <c r="Z504" i="19"/>
  <c r="Y504" i="19"/>
  <c r="Z499" i="19"/>
  <c r="Y499" i="19"/>
  <c r="Z472" i="19"/>
  <c r="Y472" i="19"/>
  <c r="AA472" i="19"/>
  <c r="AA461" i="19"/>
  <c r="Z461" i="19"/>
  <c r="Y461" i="19"/>
  <c r="Z446" i="19"/>
  <c r="Y446" i="19"/>
  <c r="Y414" i="19"/>
  <c r="AA414" i="19"/>
  <c r="Z414" i="19"/>
  <c r="Z406" i="19"/>
  <c r="Y406" i="19"/>
  <c r="AA280" i="19"/>
  <c r="Y280" i="19"/>
  <c r="Y272" i="19"/>
  <c r="AA272" i="19"/>
  <c r="Z252" i="19"/>
  <c r="Y252" i="19"/>
  <c r="AA252" i="19"/>
  <c r="Z244" i="19"/>
  <c r="Y244" i="19"/>
  <c r="AA244" i="19"/>
  <c r="Z236" i="19"/>
  <c r="AA236" i="19"/>
  <c r="AA220" i="19"/>
  <c r="Z220" i="19"/>
  <c r="AA216" i="19"/>
  <c r="Y216" i="19"/>
  <c r="Z111" i="19"/>
  <c r="Y111" i="19"/>
  <c r="Z100" i="19"/>
  <c r="AA92" i="19"/>
  <c r="AA68" i="19"/>
  <c r="Z68" i="19"/>
  <c r="BA505" i="19"/>
  <c r="BC505" i="19"/>
  <c r="BA481" i="19"/>
  <c r="BC481" i="19"/>
  <c r="BC473" i="19"/>
  <c r="BA473" i="19"/>
  <c r="BA316" i="19"/>
  <c r="BC316" i="19"/>
  <c r="BC232" i="19"/>
  <c r="BA232" i="19"/>
  <c r="BC229" i="19"/>
  <c r="BA229" i="19"/>
  <c r="BA206" i="19"/>
  <c r="BC206" i="19"/>
  <c r="BI495" i="19"/>
  <c r="BG495" i="19"/>
  <c r="BG489" i="19"/>
  <c r="BI489" i="19"/>
  <c r="BG452" i="19"/>
  <c r="BI452" i="19"/>
  <c r="BI314" i="19"/>
  <c r="BG314" i="19"/>
  <c r="BI298" i="19"/>
  <c r="BG298" i="19"/>
  <c r="BI227" i="19"/>
  <c r="BG227" i="19"/>
  <c r="BI204" i="19"/>
  <c r="BG204" i="19"/>
  <c r="BI196" i="19"/>
  <c r="BG196" i="19"/>
  <c r="AA446" i="19"/>
  <c r="AA499" i="19"/>
  <c r="BU433" i="19"/>
  <c r="BS433" i="19"/>
  <c r="N578" i="19"/>
  <c r="O578" i="19"/>
  <c r="O570" i="19"/>
  <c r="P496" i="19"/>
  <c r="N496" i="19"/>
  <c r="P462" i="19"/>
  <c r="O462" i="19"/>
  <c r="N462" i="19"/>
  <c r="O453" i="19"/>
  <c r="AA491" i="19"/>
  <c r="Y491" i="19"/>
  <c r="Z491" i="19"/>
  <c r="AA475" i="19"/>
  <c r="Z475" i="19"/>
  <c r="Y475" i="19"/>
  <c r="Z442" i="19"/>
  <c r="AA434" i="19"/>
  <c r="Z434" i="19"/>
  <c r="Y434" i="19"/>
  <c r="BC577" i="19"/>
  <c r="BA577" i="19"/>
  <c r="BC489" i="19"/>
  <c r="BA489" i="19"/>
  <c r="BC448" i="19"/>
  <c r="BA448" i="19"/>
  <c r="Z412" i="19"/>
  <c r="AA442" i="19"/>
  <c r="N409" i="19"/>
  <c r="O496" i="19"/>
  <c r="BA570" i="19"/>
  <c r="BS8" i="19"/>
  <c r="BO447" i="19"/>
  <c r="BA297" i="19"/>
  <c r="BA22" i="19"/>
  <c r="BG503" i="19"/>
  <c r="BG476" i="19"/>
  <c r="BG405" i="19"/>
  <c r="BS569" i="19"/>
  <c r="BC22" i="19"/>
  <c r="Z73" i="19"/>
  <c r="Z81" i="19"/>
  <c r="BC85" i="19"/>
  <c r="BI224" i="19"/>
  <c r="BI319" i="19"/>
  <c r="N238" i="19"/>
  <c r="P238" i="19"/>
  <c r="P196" i="19"/>
  <c r="Z490" i="19"/>
  <c r="AA441" i="19"/>
  <c r="Z441" i="19"/>
  <c r="Y441" i="19"/>
  <c r="Y433" i="19"/>
  <c r="AA419" i="19"/>
  <c r="Z419" i="19"/>
  <c r="AA411" i="19"/>
  <c r="Y411" i="19"/>
  <c r="Y277" i="19"/>
  <c r="AA233" i="19"/>
  <c r="Y233" i="19"/>
  <c r="Z230" i="19"/>
  <c r="AA230" i="19"/>
  <c r="AA222" i="19"/>
  <c r="Z222" i="19"/>
  <c r="Y222" i="19"/>
  <c r="Y213" i="19"/>
  <c r="AA213" i="19"/>
  <c r="Y199" i="19"/>
  <c r="AA126" i="19"/>
  <c r="Z126" i="19"/>
  <c r="Z97" i="19"/>
  <c r="AA97" i="19"/>
  <c r="Z89" i="19"/>
  <c r="AA89" i="19"/>
  <c r="BA500" i="19"/>
  <c r="BC500" i="19"/>
  <c r="BA478" i="19"/>
  <c r="BC478" i="19"/>
  <c r="BA407" i="19"/>
  <c r="BC407" i="19"/>
  <c r="BC321" i="19"/>
  <c r="BA321" i="19"/>
  <c r="BC313" i="19"/>
  <c r="BA313" i="19"/>
  <c r="BA253" i="19"/>
  <c r="BC253" i="19"/>
  <c r="BC245" i="19"/>
  <c r="BA245" i="19"/>
  <c r="BC237" i="19"/>
  <c r="BA237" i="19"/>
  <c r="BC203" i="19"/>
  <c r="BA203" i="19"/>
  <c r="BI498" i="19"/>
  <c r="BG498" i="19"/>
  <c r="BI492" i="19"/>
  <c r="BG492" i="19"/>
  <c r="BI468" i="19"/>
  <c r="BG468" i="19"/>
  <c r="BI435" i="19"/>
  <c r="BG435" i="19"/>
  <c r="BI413" i="19"/>
  <c r="BG413" i="19"/>
  <c r="BI311" i="19"/>
  <c r="BG311" i="19"/>
  <c r="BI251" i="19"/>
  <c r="BG251" i="19"/>
  <c r="BI243" i="19"/>
  <c r="BG243" i="19"/>
  <c r="BO236" i="19"/>
  <c r="BM236" i="19"/>
  <c r="BO225" i="19"/>
  <c r="BM225" i="19"/>
  <c r="BO216" i="19"/>
  <c r="BM216" i="19"/>
  <c r="BO202" i="19"/>
  <c r="BM202" i="19"/>
  <c r="Y89" i="19"/>
  <c r="BA100" i="19"/>
  <c r="Y419" i="19"/>
  <c r="Z18" i="19"/>
  <c r="BC281" i="19"/>
  <c r="Z10" i="19"/>
  <c r="K17" i="19"/>
  <c r="Z233" i="19"/>
  <c r="Z411" i="19"/>
  <c r="O448" i="19"/>
  <c r="AA81" i="19"/>
  <c r="Y126" i="19"/>
  <c r="Y73" i="19"/>
  <c r="Y81" i="19"/>
  <c r="BI295" i="19"/>
  <c r="BC297" i="19"/>
  <c r="BA84" i="19"/>
  <c r="BA111" i="19"/>
  <c r="BA504" i="19"/>
  <c r="BA304" i="19"/>
  <c r="BA280" i="19"/>
  <c r="BG502" i="19"/>
  <c r="BG420" i="19"/>
  <c r="BG302" i="19"/>
  <c r="BG270" i="19"/>
  <c r="BG234" i="19"/>
  <c r="BG218" i="19"/>
  <c r="BG208" i="19"/>
  <c r="BA92" i="19"/>
  <c r="BG223" i="19"/>
  <c r="BM573" i="19"/>
  <c r="BO573" i="19"/>
  <c r="BM504" i="19"/>
  <c r="BO504" i="19"/>
  <c r="BO444" i="19"/>
  <c r="BM444" i="19"/>
  <c r="BO414" i="19"/>
  <c r="BM414" i="19"/>
  <c r="BM320" i="19"/>
  <c r="BO320" i="19"/>
  <c r="P567" i="19"/>
  <c r="O567" i="19"/>
  <c r="P500" i="19"/>
  <c r="O500" i="19"/>
  <c r="O494" i="19"/>
  <c r="O437" i="19"/>
  <c r="N437" i="19"/>
  <c r="P437" i="19"/>
  <c r="P423" i="19"/>
  <c r="O423" i="19"/>
  <c r="N423" i="19"/>
  <c r="P226" i="19"/>
  <c r="N226" i="19"/>
  <c r="P221" i="19"/>
  <c r="AA579" i="19"/>
  <c r="Y579" i="19"/>
  <c r="AA571" i="19"/>
  <c r="Y571" i="19"/>
  <c r="Z571" i="19"/>
  <c r="AA497" i="19"/>
  <c r="Y497" i="19"/>
  <c r="Z497" i="19"/>
  <c r="Z481" i="19"/>
  <c r="Y481" i="19"/>
  <c r="AA481" i="19"/>
  <c r="AA473" i="19"/>
  <c r="Y473" i="19"/>
  <c r="Z464" i="19"/>
  <c r="Y464" i="19"/>
  <c r="AA464" i="19"/>
  <c r="AA432" i="19"/>
  <c r="Y432" i="19"/>
  <c r="AA410" i="19"/>
  <c r="Z276" i="19"/>
  <c r="Y276" i="19"/>
  <c r="Z268" i="19"/>
  <c r="Y268" i="19"/>
  <c r="Z248" i="19"/>
  <c r="Y248" i="19"/>
  <c r="AA240" i="19"/>
  <c r="Z240" i="19"/>
  <c r="BA584" i="19"/>
  <c r="BC584" i="19"/>
  <c r="BC573" i="19"/>
  <c r="BA573" i="19"/>
  <c r="BC499" i="19"/>
  <c r="BA499" i="19"/>
  <c r="BC444" i="19"/>
  <c r="BA444" i="19"/>
  <c r="BC436" i="19"/>
  <c r="BA436" i="19"/>
  <c r="BC320" i="19"/>
  <c r="BA320" i="19"/>
  <c r="BA220" i="19"/>
  <c r="BC220" i="19" s="1"/>
  <c r="BI475" i="19"/>
  <c r="BG475" i="19"/>
  <c r="BI442" i="19"/>
  <c r="BG442" i="19"/>
  <c r="BI434" i="19"/>
  <c r="BG434" i="19"/>
  <c r="BI404" i="19"/>
  <c r="BG404" i="19"/>
  <c r="BI310" i="19"/>
  <c r="BG310" i="19"/>
  <c r="BI231" i="19"/>
  <c r="BG231" i="19"/>
  <c r="BO477" i="19"/>
  <c r="BO436" i="19"/>
  <c r="Z579" i="19"/>
  <c r="O237" i="19"/>
  <c r="P495" i="19"/>
  <c r="BA468" i="19"/>
  <c r="BC468" i="19" s="1"/>
  <c r="Z562" i="19"/>
  <c r="BA303" i="19"/>
  <c r="R444" i="19"/>
  <c r="T444" i="19" s="1"/>
  <c r="K444" i="19"/>
  <c r="BU410" i="19"/>
  <c r="BS410" i="19"/>
  <c r="BU324" i="19"/>
  <c r="BS324" i="19"/>
  <c r="BS284" i="19"/>
  <c r="BU284" i="19"/>
  <c r="O82" i="19"/>
  <c r="BU451" i="19"/>
  <c r="BS451" i="19"/>
  <c r="BU316" i="19"/>
  <c r="BS316" i="19"/>
  <c r="BU292" i="19"/>
  <c r="BS292" i="19"/>
  <c r="BU125" i="19"/>
  <c r="BS125" i="19"/>
  <c r="BU8" i="19"/>
  <c r="N412" i="19"/>
  <c r="K584" i="19"/>
  <c r="R584" i="19"/>
  <c r="T584" i="19" s="1"/>
  <c r="K100" i="19"/>
  <c r="R100" i="19"/>
  <c r="T100" i="19" s="1"/>
  <c r="K13" i="19"/>
  <c r="R13" i="19"/>
  <c r="T13" i="19" s="1"/>
  <c r="P582" i="19"/>
  <c r="O582" i="19"/>
  <c r="N442" i="19"/>
  <c r="O442" i="19"/>
  <c r="P442" i="19"/>
  <c r="O218" i="19"/>
  <c r="N218" i="19"/>
  <c r="P218" i="19"/>
  <c r="P127" i="19"/>
  <c r="O127" i="19"/>
  <c r="N127" i="19"/>
  <c r="Z585" i="19"/>
  <c r="Y585" i="19"/>
  <c r="AA585" i="19"/>
  <c r="Y567" i="19"/>
  <c r="Z494" i="19"/>
  <c r="Y494" i="19"/>
  <c r="Z447" i="19"/>
  <c r="AA447" i="19"/>
  <c r="Y447" i="19"/>
  <c r="Z437" i="19"/>
  <c r="AA437" i="19"/>
  <c r="Y423" i="19"/>
  <c r="Z415" i="19"/>
  <c r="Y415" i="19"/>
  <c r="AA415" i="19"/>
  <c r="AA281" i="19"/>
  <c r="Y281" i="19"/>
  <c r="AA273" i="19"/>
  <c r="Z226" i="19"/>
  <c r="AA217" i="19"/>
  <c r="Y217" i="19"/>
  <c r="AA209" i="19"/>
  <c r="Y209" i="19"/>
  <c r="AA195" i="19"/>
  <c r="Z195" i="19"/>
  <c r="Y195" i="19"/>
  <c r="AA130" i="19"/>
  <c r="Z130" i="19"/>
  <c r="AA122" i="19"/>
  <c r="Y122" i="19"/>
  <c r="AA102" i="19"/>
  <c r="Z102" i="19"/>
  <c r="Y102" i="19"/>
  <c r="AA93" i="19"/>
  <c r="Y93" i="19"/>
  <c r="Z85" i="19"/>
  <c r="AA77" i="19"/>
  <c r="Z77" i="19"/>
  <c r="Y77" i="19"/>
  <c r="AA69" i="19"/>
  <c r="Z69" i="19"/>
  <c r="Y69" i="19"/>
  <c r="Y22" i="19"/>
  <c r="Z22" i="19"/>
  <c r="BC490" i="19"/>
  <c r="BA490" i="19"/>
  <c r="BC482" i="19"/>
  <c r="BA482" i="19"/>
  <c r="BA465" i="19"/>
  <c r="BC465" i="19" s="1"/>
  <c r="BA285" i="19"/>
  <c r="BC285" i="19"/>
  <c r="BC269" i="19"/>
  <c r="BA269" i="19"/>
  <c r="BA249" i="19"/>
  <c r="BC249" i="19"/>
  <c r="BC241" i="19"/>
  <c r="BA241" i="19"/>
  <c r="BC199" i="19"/>
  <c r="BA199" i="19"/>
  <c r="BA81" i="19"/>
  <c r="BC81" i="19"/>
  <c r="N572" i="19"/>
  <c r="P572" i="19"/>
  <c r="O572" i="19"/>
  <c r="O502" i="19"/>
  <c r="N502" i="19"/>
  <c r="P502" i="19"/>
  <c r="P434" i="19"/>
  <c r="N434" i="19"/>
  <c r="O434" i="19"/>
  <c r="N278" i="19"/>
  <c r="P278" i="19"/>
  <c r="O278" i="19"/>
  <c r="O231" i="19"/>
  <c r="N231" i="19"/>
  <c r="N214" i="19"/>
  <c r="P214" i="19"/>
  <c r="O214" i="19"/>
  <c r="P200" i="19"/>
  <c r="O200" i="19"/>
  <c r="N98" i="19"/>
  <c r="P74" i="19"/>
  <c r="O74" i="19"/>
  <c r="Z281" i="19"/>
  <c r="N420" i="19"/>
  <c r="K84" i="19"/>
  <c r="R84" i="19"/>
  <c r="T84" i="19" s="1"/>
  <c r="N564" i="19"/>
  <c r="O564" i="19"/>
  <c r="P564" i="19"/>
  <c r="O223" i="19"/>
  <c r="N223" i="19"/>
  <c r="P208" i="19"/>
  <c r="O208" i="19"/>
  <c r="N208" i="19"/>
  <c r="P173" i="19"/>
  <c r="O173" i="19"/>
  <c r="N173" i="19"/>
  <c r="N90" i="19"/>
  <c r="Y85" i="19"/>
  <c r="R573" i="19"/>
  <c r="T573" i="19" s="1"/>
  <c r="K573" i="19"/>
  <c r="O270" i="19"/>
  <c r="N270" i="19"/>
  <c r="P270" i="19"/>
  <c r="P234" i="19"/>
  <c r="N234" i="19"/>
  <c r="O234" i="19"/>
  <c r="P19" i="19"/>
  <c r="N19" i="19"/>
  <c r="O19" i="19"/>
  <c r="K21" i="19"/>
  <c r="AA85" i="19"/>
  <c r="BO572" i="19"/>
  <c r="BM572" i="19"/>
  <c r="BO491" i="19"/>
  <c r="BM491" i="19"/>
  <c r="BM475" i="19"/>
  <c r="BO475" i="19"/>
  <c r="BO310" i="19"/>
  <c r="BM310" i="19"/>
  <c r="BO294" i="19"/>
  <c r="BM294" i="19"/>
  <c r="BO270" i="19"/>
  <c r="BM270" i="19"/>
  <c r="BU501" i="19"/>
  <c r="BS501" i="19"/>
  <c r="BU490" i="19"/>
  <c r="BS490" i="19"/>
  <c r="BS474" i="19"/>
  <c r="BU474" i="19"/>
  <c r="BU419" i="19"/>
  <c r="BS419" i="19"/>
  <c r="BS79" i="19"/>
  <c r="K576" i="19"/>
  <c r="R576" i="19"/>
  <c r="T576" i="19" s="1"/>
  <c r="P503" i="19"/>
  <c r="P492" i="19"/>
  <c r="N492" i="19"/>
  <c r="BI464" i="19"/>
  <c r="BG464" i="19"/>
  <c r="BO578" i="19"/>
  <c r="Z482" i="19"/>
  <c r="N503" i="19"/>
  <c r="BA300" i="19"/>
  <c r="P459" i="19"/>
  <c r="O492" i="19"/>
  <c r="Z501" i="19"/>
  <c r="O503" i="19"/>
  <c r="R582" i="19"/>
  <c r="T582" i="19" s="1"/>
  <c r="K582" i="19"/>
  <c r="I564" i="19"/>
  <c r="K564" i="19"/>
  <c r="P579" i="19"/>
  <c r="BU584" i="19"/>
  <c r="BS584" i="19"/>
  <c r="BU446" i="19"/>
  <c r="BS446" i="19"/>
  <c r="N468" i="19"/>
  <c r="P569" i="19"/>
  <c r="N569" i="19"/>
  <c r="Y490" i="19"/>
  <c r="AA490" i="19"/>
  <c r="AA474" i="19"/>
  <c r="Z474" i="19"/>
  <c r="BC447" i="19"/>
  <c r="BA447" i="19"/>
  <c r="BS16" i="19"/>
  <c r="BS283" i="19"/>
  <c r="BA24" i="19"/>
  <c r="BG491" i="19"/>
  <c r="BA579" i="19"/>
  <c r="BG221" i="19"/>
  <c r="BM286" i="19"/>
  <c r="BS571" i="19"/>
  <c r="BS212" i="19"/>
  <c r="BS88" i="19"/>
  <c r="BS206" i="19"/>
  <c r="BS497" i="19"/>
  <c r="BS440" i="19"/>
  <c r="BS300" i="19"/>
  <c r="BU267" i="19"/>
  <c r="BU570" i="19"/>
  <c r="BU462" i="19"/>
  <c r="BS238" i="19"/>
  <c r="BU88" i="19"/>
  <c r="BU205" i="19"/>
  <c r="BU497" i="19"/>
  <c r="BS17" i="19"/>
  <c r="BU571" i="19"/>
  <c r="BU283" i="19"/>
  <c r="BU291" i="19"/>
  <c r="BU300" i="19"/>
  <c r="BU418" i="19"/>
  <c r="BS235" i="19"/>
  <c r="BS195" i="19"/>
  <c r="BU275" i="19"/>
  <c r="BU276" i="19"/>
  <c r="BS318" i="19"/>
  <c r="BO577" i="19"/>
  <c r="BO204" i="19"/>
  <c r="BO298" i="19"/>
  <c r="BO416" i="19"/>
  <c r="BM23" i="19"/>
  <c r="BO16" i="19"/>
  <c r="BO24" i="19"/>
  <c r="BM221" i="19"/>
  <c r="BM124" i="19"/>
  <c r="BG237" i="19"/>
  <c r="BG274" i="19"/>
  <c r="BG448" i="19"/>
  <c r="BG290" i="19"/>
  <c r="BG297" i="19"/>
  <c r="BG253" i="19"/>
  <c r="BI247" i="19"/>
  <c r="BI315" i="19"/>
  <c r="BI228" i="19"/>
  <c r="BI307" i="19"/>
  <c r="BG228" i="19"/>
  <c r="BI409" i="19"/>
  <c r="BI299" i="19"/>
  <c r="BG224" i="19"/>
  <c r="BA204" i="19"/>
  <c r="BA210" i="19"/>
  <c r="BA196" i="19"/>
  <c r="BA23" i="19"/>
  <c r="BA273" i="19"/>
  <c r="BC24" i="19"/>
  <c r="BC95" i="19"/>
  <c r="BC570" i="19"/>
  <c r="BC87" i="19"/>
  <c r="BC323" i="19"/>
  <c r="Y15" i="19"/>
  <c r="Z23" i="19"/>
  <c r="Z204" i="19"/>
  <c r="AA282" i="19"/>
  <c r="Y408" i="19"/>
  <c r="Z416" i="19"/>
  <c r="Y564" i="19"/>
  <c r="AA569" i="19"/>
  <c r="Y196" i="19"/>
  <c r="AA408" i="19"/>
  <c r="Z438" i="19"/>
  <c r="Y495" i="19"/>
  <c r="AA564" i="19"/>
  <c r="Z196" i="19"/>
  <c r="Y238" i="19"/>
  <c r="Y266" i="19"/>
  <c r="Y274" i="19"/>
  <c r="AA448" i="19"/>
  <c r="Z94" i="19"/>
  <c r="Z274" i="19"/>
  <c r="AA431" i="19"/>
  <c r="Y246" i="19"/>
  <c r="Z266" i="19"/>
  <c r="Y448" i="19"/>
  <c r="AA479" i="19"/>
  <c r="AA15" i="19"/>
  <c r="Y86" i="19"/>
  <c r="Z210" i="19"/>
  <c r="Y431" i="19"/>
  <c r="Y569" i="19"/>
  <c r="P204" i="19"/>
  <c r="O227" i="19"/>
  <c r="O238" i="19"/>
  <c r="O452" i="19"/>
  <c r="O479" i="19"/>
  <c r="O495" i="19"/>
  <c r="N15" i="19"/>
  <c r="N204" i="19"/>
  <c r="N479" i="19"/>
  <c r="O569" i="19"/>
  <c r="O15" i="19"/>
  <c r="N86" i="19"/>
  <c r="P210" i="19"/>
  <c r="P438" i="19"/>
  <c r="N583" i="19"/>
  <c r="N94" i="19"/>
  <c r="N266" i="19"/>
  <c r="O86" i="19"/>
  <c r="N210" i="19"/>
  <c r="P227" i="19"/>
  <c r="O266" i="19"/>
  <c r="I570" i="19"/>
  <c r="R570" i="19"/>
  <c r="T570" i="19" s="1"/>
  <c r="K579" i="19"/>
  <c r="K16" i="19"/>
  <c r="K71" i="19"/>
  <c r="K570" i="19"/>
  <c r="BM24" i="19"/>
  <c r="BS84" i="19"/>
  <c r="BM13" i="19"/>
  <c r="BM127" i="19"/>
  <c r="BM233" i="19"/>
  <c r="BA309" i="19"/>
  <c r="BM230" i="19"/>
  <c r="BS231" i="19"/>
  <c r="BA276" i="19"/>
  <c r="BM585" i="19"/>
  <c r="BS570" i="19"/>
  <c r="BS7" i="19"/>
  <c r="BM10" i="19"/>
  <c r="O7" i="19"/>
  <c r="N8" i="19"/>
  <c r="Z13" i="19"/>
  <c r="Y14" i="19"/>
  <c r="Y7" i="19"/>
  <c r="BM12" i="19"/>
  <c r="J7" i="19"/>
  <c r="Z7" i="19"/>
  <c r="Y8" i="19"/>
  <c r="O11" i="19"/>
  <c r="AA7" i="19"/>
  <c r="J8" i="19"/>
  <c r="Z8" i="19"/>
  <c r="Y10" i="19"/>
  <c r="P11" i="19"/>
  <c r="BH11" i="19"/>
  <c r="O12" i="19"/>
  <c r="N13" i="19"/>
  <c r="BN13" i="19"/>
  <c r="U14" i="19"/>
  <c r="BT15" i="19"/>
  <c r="AA17" i="19"/>
  <c r="BT17" i="19"/>
  <c r="BT18" i="19"/>
  <c r="U19" i="19"/>
  <c r="N21" i="19"/>
  <c r="P23" i="19"/>
  <c r="BH23" i="19"/>
  <c r="Z24" i="19"/>
  <c r="N7" i="19"/>
  <c r="BM8" i="19"/>
  <c r="BT10" i="19"/>
  <c r="J12" i="19"/>
  <c r="Y13" i="19"/>
  <c r="BA13" i="19"/>
  <c r="BH14" i="19"/>
  <c r="BO15" i="19"/>
  <c r="N16" i="19"/>
  <c r="BM16" i="19"/>
  <c r="BU16" i="19"/>
  <c r="N18" i="19"/>
  <c r="BO18" i="19"/>
  <c r="BH19" i="19"/>
  <c r="J23" i="19"/>
  <c r="BB23" i="19"/>
  <c r="AA24" i="19"/>
  <c r="N17" i="19"/>
  <c r="O16" i="19"/>
  <c r="BG8" i="19"/>
  <c r="BI8" i="19" s="1"/>
  <c r="Z14" i="19"/>
  <c r="P16" i="19"/>
  <c r="O17" i="19"/>
  <c r="BA19" i="19"/>
  <c r="U22" i="19"/>
  <c r="BO23" i="19"/>
  <c r="N10" i="19"/>
  <c r="P8" i="19"/>
  <c r="O10" i="19"/>
  <c r="U12" i="19"/>
  <c r="BS14" i="19"/>
  <c r="Y16" i="19"/>
  <c r="N23" i="19"/>
  <c r="BA7" i="19"/>
  <c r="AA16" i="19"/>
  <c r="Z17" i="19"/>
  <c r="BA17" i="19"/>
  <c r="K19" i="19"/>
  <c r="BC19" i="19"/>
  <c r="BA21" i="19"/>
  <c r="BT21" i="19"/>
  <c r="AA23" i="19"/>
  <c r="Y23" i="19"/>
  <c r="Y67" i="19"/>
  <c r="K68" i="19"/>
  <c r="N69" i="19"/>
  <c r="O69" i="19"/>
  <c r="BB70" i="19"/>
  <c r="BN70" i="19"/>
  <c r="BC72" i="19"/>
  <c r="BA72" i="19"/>
  <c r="BM72" i="19"/>
  <c r="BO72" i="19"/>
  <c r="J74" i="19"/>
  <c r="Y74" i="19"/>
  <c r="Z74" i="19"/>
  <c r="Y75" i="19"/>
  <c r="K76" i="19"/>
  <c r="N77" i="19"/>
  <c r="O77" i="19"/>
  <c r="BM77" i="19"/>
  <c r="BC79" i="19"/>
  <c r="BS80" i="19"/>
  <c r="BU80" i="19"/>
  <c r="BM67" i="19"/>
  <c r="U71" i="19"/>
  <c r="BB77" i="19"/>
  <c r="BH68" i="19"/>
  <c r="BT68" i="19"/>
  <c r="BU70" i="19"/>
  <c r="BS70" i="19"/>
  <c r="BS71" i="19"/>
  <c r="N74" i="19"/>
  <c r="AA74" i="19"/>
  <c r="BH76" i="19"/>
  <c r="BT76" i="19"/>
  <c r="BS77" i="19"/>
  <c r="P78" i="19"/>
  <c r="N78" i="19"/>
  <c r="BH79" i="19"/>
  <c r="BB81" i="19"/>
  <c r="U83" i="19"/>
  <c r="Y71" i="19"/>
  <c r="BA68" i="19"/>
  <c r="BC68" i="19"/>
  <c r="BO68" i="19"/>
  <c r="BM68" i="19"/>
  <c r="J70" i="19"/>
  <c r="Z70" i="19"/>
  <c r="Y70" i="19"/>
  <c r="Z71" i="19"/>
  <c r="K72" i="19"/>
  <c r="O73" i="19"/>
  <c r="N73" i="19"/>
  <c r="BB74" i="19"/>
  <c r="BN74" i="19"/>
  <c r="BA76" i="19"/>
  <c r="BC76" i="19"/>
  <c r="BO76" i="19"/>
  <c r="BM76" i="19"/>
  <c r="BU77" i="19"/>
  <c r="BN83" i="19"/>
  <c r="BB80" i="19"/>
  <c r="J81" i="19"/>
  <c r="BS81" i="19"/>
  <c r="BT81" i="19"/>
  <c r="U67" i="19"/>
  <c r="N70" i="19"/>
  <c r="BH72" i="19"/>
  <c r="BT72" i="19"/>
  <c r="BS74" i="19"/>
  <c r="BU74" i="19"/>
  <c r="U75" i="19"/>
  <c r="BA79" i="19"/>
  <c r="O70" i="19"/>
  <c r="BA73" i="19"/>
  <c r="Z78" i="19"/>
  <c r="Y78" i="19"/>
  <c r="BM78" i="19"/>
  <c r="BN78" i="19"/>
  <c r="U79" i="19"/>
  <c r="BO69" i="19"/>
  <c r="BU71" i="19"/>
  <c r="K73" i="19"/>
  <c r="BC73" i="19"/>
  <c r="BM73" i="19"/>
  <c r="BO77" i="19"/>
  <c r="BU79" i="19"/>
  <c r="BU82" i="19"/>
  <c r="N84" i="19"/>
  <c r="BO84" i="19"/>
  <c r="P85" i="19"/>
  <c r="Z86" i="19"/>
  <c r="BM87" i="19"/>
  <c r="K89" i="19"/>
  <c r="BS89" i="19"/>
  <c r="U90" i="19"/>
  <c r="BM91" i="19"/>
  <c r="Y92" i="19"/>
  <c r="K93" i="19"/>
  <c r="BS93" i="19"/>
  <c r="U94" i="19"/>
  <c r="BM95" i="19"/>
  <c r="K97" i="19"/>
  <c r="BS97" i="19"/>
  <c r="U98" i="19"/>
  <c r="BM99" i="19"/>
  <c r="Y100" i="19"/>
  <c r="BB101" i="19"/>
  <c r="BN101" i="19"/>
  <c r="K103" i="19"/>
  <c r="O84" i="19"/>
  <c r="AA86" i="19"/>
  <c r="BA89" i="19"/>
  <c r="BC89" i="19"/>
  <c r="BC93" i="19"/>
  <c r="BA93" i="19"/>
  <c r="BA97" i="19"/>
  <c r="BC97" i="19"/>
  <c r="BA85" i="19"/>
  <c r="N87" i="19"/>
  <c r="BO87" i="19"/>
  <c r="BO89" i="19"/>
  <c r="BM89" i="19"/>
  <c r="BU89" i="19"/>
  <c r="BO91" i="19"/>
  <c r="BM93" i="19"/>
  <c r="BO93" i="19"/>
  <c r="BU93" i="19"/>
  <c r="BO95" i="19"/>
  <c r="BO97" i="19"/>
  <c r="BM97" i="19"/>
  <c r="BU97" i="19"/>
  <c r="BO99" i="19"/>
  <c r="BS101" i="19"/>
  <c r="BU101" i="19"/>
  <c r="BH103" i="19"/>
  <c r="BT103" i="19"/>
  <c r="BH104" i="19"/>
  <c r="BA78" i="19"/>
  <c r="N81" i="19"/>
  <c r="BO81" i="19"/>
  <c r="Y82" i="19"/>
  <c r="O87" i="19"/>
  <c r="BS87" i="19"/>
  <c r="BU87" i="19"/>
  <c r="O90" i="19"/>
  <c r="Y90" i="19"/>
  <c r="BM90" i="19"/>
  <c r="O91" i="19"/>
  <c r="BU91" i="19"/>
  <c r="BS91" i="19"/>
  <c r="O94" i="19"/>
  <c r="Y94" i="19"/>
  <c r="O95" i="19"/>
  <c r="BS95" i="19"/>
  <c r="BU95" i="19"/>
  <c r="O98" i="19"/>
  <c r="Y98" i="19"/>
  <c r="BM98" i="19"/>
  <c r="O99" i="19"/>
  <c r="BU99" i="19"/>
  <c r="BS99" i="19"/>
  <c r="R104" i="19"/>
  <c r="T104" i="19" s="1"/>
  <c r="K104" i="19"/>
  <c r="BO104" i="19"/>
  <c r="BM104" i="19"/>
  <c r="AA82" i="19"/>
  <c r="Z83" i="19"/>
  <c r="P87" i="19"/>
  <c r="Z87" i="19"/>
  <c r="P90" i="19"/>
  <c r="AA90" i="19"/>
  <c r="P91" i="19"/>
  <c r="Z91" i="19"/>
  <c r="P94" i="19"/>
  <c r="AA94" i="19"/>
  <c r="P95" i="19"/>
  <c r="Z95" i="19"/>
  <c r="P98" i="19"/>
  <c r="AA98" i="19"/>
  <c r="P99" i="19"/>
  <c r="Z99" i="19"/>
  <c r="J101" i="19"/>
  <c r="Y101" i="19"/>
  <c r="Z101" i="19"/>
  <c r="N102" i="19"/>
  <c r="O102" i="19"/>
  <c r="BC103" i="19"/>
  <c r="BA103" i="19"/>
  <c r="BM103" i="19"/>
  <c r="BO103" i="19"/>
  <c r="AA99" i="19"/>
  <c r="N101" i="19"/>
  <c r="BA104" i="19"/>
  <c r="BC104" i="19"/>
  <c r="N85" i="19"/>
  <c r="J87" i="19"/>
  <c r="BA87" i="19"/>
  <c r="J91" i="19"/>
  <c r="J95" i="19"/>
  <c r="BA95" i="19"/>
  <c r="J99" i="19"/>
  <c r="O101" i="19"/>
  <c r="BM102" i="19"/>
  <c r="BT104" i="19"/>
  <c r="BO102" i="19"/>
  <c r="Y104" i="19"/>
  <c r="BS104" i="19"/>
  <c r="BH111" i="19"/>
  <c r="O122" i="19"/>
  <c r="BO122" i="19"/>
  <c r="N123" i="19"/>
  <c r="BN123" i="19"/>
  <c r="U124" i="19"/>
  <c r="BU124" i="19"/>
  <c r="BT125" i="19"/>
  <c r="K126" i="19"/>
  <c r="BC126" i="19"/>
  <c r="BM126" i="19"/>
  <c r="N128" i="19"/>
  <c r="BN128" i="19"/>
  <c r="N129" i="19"/>
  <c r="BO129" i="19"/>
  <c r="O130" i="19"/>
  <c r="Y130" i="19"/>
  <c r="BI173" i="19"/>
  <c r="BS173" i="19"/>
  <c r="N194" i="19"/>
  <c r="Y194" i="19"/>
  <c r="BT195" i="19"/>
  <c r="N196" i="19"/>
  <c r="O196" i="19"/>
  <c r="Z197" i="19"/>
  <c r="BA200" i="19"/>
  <c r="BC200" i="19"/>
  <c r="BO200" i="19"/>
  <c r="BM200" i="19"/>
  <c r="BB201" i="19"/>
  <c r="N202" i="19"/>
  <c r="P202" i="19"/>
  <c r="O202" i="19"/>
  <c r="BN202" i="19"/>
  <c r="BU206" i="19"/>
  <c r="U171" i="19"/>
  <c r="BO172" i="19"/>
  <c r="AA197" i="19"/>
  <c r="U198" i="19"/>
  <c r="Y200" i="19"/>
  <c r="Y203" i="19"/>
  <c r="Z203" i="19"/>
  <c r="BC204" i="19"/>
  <c r="Y207" i="19"/>
  <c r="Z207" i="19"/>
  <c r="AA104" i="19"/>
  <c r="P123" i="19"/>
  <c r="BO124" i="19"/>
  <c r="BO127" i="19"/>
  <c r="P128" i="19"/>
  <c r="BI170" i="19"/>
  <c r="BM171" i="19"/>
  <c r="BU173" i="19"/>
  <c r="BI197" i="19"/>
  <c r="BN198" i="19"/>
  <c r="Z200" i="19"/>
  <c r="BI202" i="19"/>
  <c r="BG202" i="19"/>
  <c r="J203" i="19"/>
  <c r="AA203" i="19"/>
  <c r="Z206" i="19"/>
  <c r="AA206" i="19"/>
  <c r="Y206" i="19"/>
  <c r="AA207" i="19"/>
  <c r="K111" i="19"/>
  <c r="BC111" i="19"/>
  <c r="Y123" i="19"/>
  <c r="BO125" i="19"/>
  <c r="Z129" i="19"/>
  <c r="BS129" i="19"/>
  <c r="Y172" i="19"/>
  <c r="O195" i="19"/>
  <c r="P195" i="19"/>
  <c r="BO199" i="19"/>
  <c r="BM199" i="19"/>
  <c r="AA200" i="19"/>
  <c r="U202" i="19"/>
  <c r="P203" i="19"/>
  <c r="O203" i="19"/>
  <c r="BM205" i="19"/>
  <c r="BO205" i="19"/>
  <c r="BN206" i="19"/>
  <c r="Z123" i="19"/>
  <c r="J129" i="19"/>
  <c r="AA129" i="19"/>
  <c r="BB129" i="19"/>
  <c r="Z172" i="19"/>
  <c r="BT172" i="19"/>
  <c r="Z202" i="19"/>
  <c r="AA202" i="19"/>
  <c r="Y202" i="19"/>
  <c r="N203" i="19"/>
  <c r="BO203" i="19"/>
  <c r="BA207" i="19"/>
  <c r="BC207" i="19"/>
  <c r="BU129" i="19"/>
  <c r="BN170" i="19"/>
  <c r="Z173" i="19"/>
  <c r="AA173" i="19"/>
  <c r="BH195" i="19"/>
  <c r="BN197" i="19"/>
  <c r="BO201" i="19"/>
  <c r="BM201" i="19"/>
  <c r="BI206" i="19"/>
  <c r="BG206" i="19"/>
  <c r="U208" i="19"/>
  <c r="BM122" i="19"/>
  <c r="BS124" i="19"/>
  <c r="BA126" i="19"/>
  <c r="BT127" i="19"/>
  <c r="BM129" i="19"/>
  <c r="BG173" i="19"/>
  <c r="N197" i="19"/>
  <c r="BT198" i="19"/>
  <c r="N199" i="19"/>
  <c r="O199" i="19"/>
  <c r="BH200" i="19"/>
  <c r="BT200" i="19"/>
  <c r="BG203" i="19"/>
  <c r="BI203" i="19"/>
  <c r="BC205" i="19"/>
  <c r="BA205" i="19"/>
  <c r="N206" i="19"/>
  <c r="P206" i="19"/>
  <c r="O206" i="19"/>
  <c r="BI207" i="19"/>
  <c r="BG207" i="19"/>
  <c r="N130" i="19"/>
  <c r="Y173" i="19"/>
  <c r="O197" i="19"/>
  <c r="P199" i="19"/>
  <c r="U200" i="19"/>
  <c r="BA201" i="19"/>
  <c r="BC201" i="19"/>
  <c r="J202" i="19"/>
  <c r="BB205" i="19"/>
  <c r="BS201" i="19"/>
  <c r="BA202" i="19"/>
  <c r="BM203" i="19"/>
  <c r="Y204" i="19"/>
  <c r="BS205" i="19"/>
  <c r="U206" i="19"/>
  <c r="BM207" i="19"/>
  <c r="Y210" i="19"/>
  <c r="U212" i="19"/>
  <c r="BM213" i="19"/>
  <c r="U216" i="19"/>
  <c r="BA216" i="19"/>
  <c r="BM217" i="19"/>
  <c r="Z218" i="19"/>
  <c r="BU221" i="19"/>
  <c r="BS221" i="19"/>
  <c r="Y225" i="19"/>
  <c r="BG226" i="19"/>
  <c r="P228" i="19"/>
  <c r="P229" i="19"/>
  <c r="N229" i="19"/>
  <c r="BC209" i="19"/>
  <c r="BC211" i="19"/>
  <c r="BA211" i="19"/>
  <c r="BI211" i="19"/>
  <c r="BC213" i="19"/>
  <c r="BA215" i="19"/>
  <c r="BC215" i="19"/>
  <c r="BI215" i="19"/>
  <c r="BC217" i="19"/>
  <c r="AA218" i="19"/>
  <c r="Y220" i="19"/>
  <c r="BT221" i="19"/>
  <c r="AA225" i="19"/>
  <c r="AA226" i="19"/>
  <c r="Y226" i="19"/>
  <c r="BG209" i="19"/>
  <c r="BI209" i="19"/>
  <c r="BM211" i="19"/>
  <c r="BO211" i="19"/>
  <c r="BU212" i="19"/>
  <c r="BI213" i="19"/>
  <c r="BG213" i="19"/>
  <c r="BO215" i="19"/>
  <c r="BM215" i="19"/>
  <c r="BU216" i="19"/>
  <c r="BG217" i="19"/>
  <c r="BI217" i="19"/>
  <c r="BO218" i="19"/>
  <c r="BN229" i="19"/>
  <c r="U230" i="19"/>
  <c r="AA232" i="19"/>
  <c r="Z232" i="19"/>
  <c r="Y232" i="19"/>
  <c r="BU203" i="19"/>
  <c r="BS203" i="19"/>
  <c r="O207" i="19"/>
  <c r="BS207" i="19"/>
  <c r="BU207" i="19"/>
  <c r="O209" i="19"/>
  <c r="BU209" i="19"/>
  <c r="BS209" i="19"/>
  <c r="BS213" i="19"/>
  <c r="BU213" i="19"/>
  <c r="BU217" i="19"/>
  <c r="BS217" i="19"/>
  <c r="BA219" i="19"/>
  <c r="BC219" i="19" s="1"/>
  <c r="BO219" i="19"/>
  <c r="BM219" i="19"/>
  <c r="AA221" i="19"/>
  <c r="Y221" i="19"/>
  <c r="BI222" i="19"/>
  <c r="BG222" i="19"/>
  <c r="BS222" i="19"/>
  <c r="O224" i="19"/>
  <c r="N224" i="19"/>
  <c r="BM226" i="19"/>
  <c r="BH228" i="19"/>
  <c r="BC230" i="19"/>
  <c r="BA230" i="19"/>
  <c r="P207" i="19"/>
  <c r="P209" i="19"/>
  <c r="Z209" i="19"/>
  <c r="P212" i="19"/>
  <c r="AA212" i="19"/>
  <c r="P213" i="19"/>
  <c r="Z213" i="19"/>
  <c r="P216" i="19"/>
  <c r="Z217" i="19"/>
  <c r="BH222" i="19"/>
  <c r="P224" i="19"/>
  <c r="BO224" i="19"/>
  <c r="BM224" i="19"/>
  <c r="J228" i="19"/>
  <c r="BG229" i="19"/>
  <c r="BI229" i="19"/>
  <c r="O219" i="19"/>
  <c r="BN224" i="19"/>
  <c r="U225" i="19"/>
  <c r="BO226" i="19"/>
  <c r="U214" i="19"/>
  <c r="BS218" i="19"/>
  <c r="N219" i="19"/>
  <c r="U220" i="19"/>
  <c r="BA221" i="19"/>
  <c r="BC221" i="19" s="1"/>
  <c r="P222" i="19"/>
  <c r="O222" i="19"/>
  <c r="BU226" i="19"/>
  <c r="BS226" i="19"/>
  <c r="AA227" i="19"/>
  <c r="Z227" i="19"/>
  <c r="BC228" i="19"/>
  <c r="BA228" i="19"/>
  <c r="P205" i="19"/>
  <c r="J207" i="19"/>
  <c r="J209" i="19"/>
  <c r="BA209" i="19"/>
  <c r="P211" i="19"/>
  <c r="BG211" i="19"/>
  <c r="J213" i="19"/>
  <c r="BA213" i="19"/>
  <c r="P215" i="19"/>
  <c r="BG215" i="19"/>
  <c r="J217" i="19"/>
  <c r="BA217" i="19"/>
  <c r="Y218" i="19"/>
  <c r="P219" i="19"/>
  <c r="BB221" i="19"/>
  <c r="BO221" i="19"/>
  <c r="N222" i="19"/>
  <c r="BT226" i="19"/>
  <c r="Y227" i="19"/>
  <c r="N228" i="19"/>
  <c r="BB228" i="19"/>
  <c r="AA229" i="19"/>
  <c r="Z229" i="19"/>
  <c r="Y229" i="19"/>
  <c r="BH230" i="19"/>
  <c r="BI221" i="19"/>
  <c r="BU222" i="19"/>
  <c r="BI226" i="19"/>
  <c r="BO228" i="19"/>
  <c r="BU230" i="19"/>
  <c r="BT231" i="19"/>
  <c r="N232" i="19"/>
  <c r="BN232" i="19"/>
  <c r="U233" i="19"/>
  <c r="BU233" i="19"/>
  <c r="BT234" i="19"/>
  <c r="BC235" i="19"/>
  <c r="J236" i="19"/>
  <c r="BB236" i="19"/>
  <c r="Y237" i="19"/>
  <c r="BI237" i="19"/>
  <c r="Z238" i="19"/>
  <c r="BA238" i="19"/>
  <c r="BS240" i="19"/>
  <c r="U241" i="19"/>
  <c r="BM242" i="19"/>
  <c r="BS244" i="19"/>
  <c r="U245" i="19"/>
  <c r="BM246" i="19"/>
  <c r="Y247" i="19"/>
  <c r="BS248" i="19"/>
  <c r="U249" i="19"/>
  <c r="BM250" i="19"/>
  <c r="BS252" i="19"/>
  <c r="U253" i="19"/>
  <c r="U270" i="19"/>
  <c r="P277" i="19"/>
  <c r="O277" i="19"/>
  <c r="N277" i="19"/>
  <c r="BA240" i="19"/>
  <c r="BC240" i="19"/>
  <c r="BC244" i="19"/>
  <c r="BA244" i="19"/>
  <c r="BA248" i="19"/>
  <c r="BC248" i="19"/>
  <c r="BC252" i="19"/>
  <c r="BA252" i="19"/>
  <c r="AA267" i="19"/>
  <c r="BH267" i="19"/>
  <c r="BS267" i="19"/>
  <c r="BT267" i="19"/>
  <c r="BI269" i="19"/>
  <c r="BG269" i="19"/>
  <c r="BS269" i="19"/>
  <c r="BU269" i="19"/>
  <c r="BS272" i="19"/>
  <c r="N273" i="19"/>
  <c r="BH273" i="19"/>
  <c r="O230" i="19"/>
  <c r="P232" i="19"/>
  <c r="O233" i="19"/>
  <c r="AA237" i="19"/>
  <c r="BC238" i="19"/>
  <c r="BU238" i="19"/>
  <c r="BO240" i="19"/>
  <c r="BM240" i="19"/>
  <c r="BU240" i="19"/>
  <c r="N242" i="19"/>
  <c r="BG242" i="19"/>
  <c r="BI242" i="19"/>
  <c r="BO242" i="19"/>
  <c r="BM244" i="19"/>
  <c r="BO244" i="19"/>
  <c r="BU244" i="19"/>
  <c r="N246" i="19"/>
  <c r="BI246" i="19"/>
  <c r="BG246" i="19"/>
  <c r="BO246" i="19"/>
  <c r="AA247" i="19"/>
  <c r="BG247" i="19"/>
  <c r="BO248" i="19"/>
  <c r="BM248" i="19"/>
  <c r="BU248" i="19"/>
  <c r="N250" i="19"/>
  <c r="BG250" i="19"/>
  <c r="BI250" i="19"/>
  <c r="BO250" i="19"/>
  <c r="BM252" i="19"/>
  <c r="BO252" i="19"/>
  <c r="BU252" i="19"/>
  <c r="J266" i="19"/>
  <c r="U266" i="19"/>
  <c r="Y267" i="19"/>
  <c r="BA268" i="19"/>
  <c r="Y270" i="19"/>
  <c r="O273" i="19"/>
  <c r="BO231" i="19"/>
  <c r="BI232" i="19"/>
  <c r="BO234" i="19"/>
  <c r="N235" i="19"/>
  <c r="BU236" i="19"/>
  <c r="O241" i="19"/>
  <c r="Y241" i="19"/>
  <c r="O242" i="19"/>
  <c r="BU242" i="19"/>
  <c r="BS242" i="19"/>
  <c r="O245" i="19"/>
  <c r="Y245" i="19"/>
  <c r="O246" i="19"/>
  <c r="BS246" i="19"/>
  <c r="BU246" i="19"/>
  <c r="O249" i="19"/>
  <c r="Y249" i="19"/>
  <c r="O250" i="19"/>
  <c r="BU250" i="19"/>
  <c r="BS250" i="19"/>
  <c r="O253" i="19"/>
  <c r="Y253" i="19"/>
  <c r="Z267" i="19"/>
  <c r="BC267" i="19"/>
  <c r="BA267" i="19"/>
  <c r="BM267" i="19"/>
  <c r="BO267" i="19"/>
  <c r="J269" i="19"/>
  <c r="Y269" i="19"/>
  <c r="Z269" i="19"/>
  <c r="N272" i="19"/>
  <c r="O272" i="19"/>
  <c r="P273" i="19"/>
  <c r="O235" i="19"/>
  <c r="N239" i="19"/>
  <c r="P241" i="19"/>
  <c r="AA241" i="19"/>
  <c r="P242" i="19"/>
  <c r="Z242" i="19"/>
  <c r="P245" i="19"/>
  <c r="AA245" i="19"/>
  <c r="P246" i="19"/>
  <c r="Z246" i="19"/>
  <c r="P249" i="19"/>
  <c r="AA249" i="19"/>
  <c r="P250" i="19"/>
  <c r="Z250" i="19"/>
  <c r="P253" i="19"/>
  <c r="AA253" i="19"/>
  <c r="BI253" i="19"/>
  <c r="BB266" i="19"/>
  <c r="AA270" i="19"/>
  <c r="BO274" i="19"/>
  <c r="N269" i="19"/>
  <c r="AA269" i="19"/>
  <c r="BH271" i="19"/>
  <c r="BT271" i="19"/>
  <c r="BS271" i="19"/>
  <c r="P272" i="19"/>
  <c r="BN273" i="19"/>
  <c r="AA275" i="19"/>
  <c r="Y275" i="19"/>
  <c r="J242" i="19"/>
  <c r="BG244" i="19"/>
  <c r="J246" i="19"/>
  <c r="J250" i="19"/>
  <c r="BM253" i="19"/>
  <c r="BN253" i="19"/>
  <c r="BS266" i="19"/>
  <c r="BU266" i="19"/>
  <c r="O268" i="19"/>
  <c r="N268" i="19"/>
  <c r="BB269" i="19"/>
  <c r="BN269" i="19"/>
  <c r="BM269" i="19"/>
  <c r="BA271" i="19"/>
  <c r="BC271" i="19"/>
  <c r="BO271" i="19"/>
  <c r="BM271" i="19"/>
  <c r="J273" i="19"/>
  <c r="Z273" i="19"/>
  <c r="Y273" i="19"/>
  <c r="BS273" i="19"/>
  <c r="N274" i="19"/>
  <c r="O274" i="19"/>
  <c r="BC268" i="19"/>
  <c r="BI270" i="19"/>
  <c r="BO272" i="19"/>
  <c r="BN274" i="19"/>
  <c r="BM274" i="19"/>
  <c r="AA277" i="19"/>
  <c r="Z277" i="19"/>
  <c r="BH280" i="19"/>
  <c r="BG280" i="19"/>
  <c r="BG281" i="19"/>
  <c r="BT282" i="19"/>
  <c r="BM283" i="19"/>
  <c r="BT284" i="19"/>
  <c r="BS286" i="19"/>
  <c r="BU286" i="19"/>
  <c r="BS287" i="19"/>
  <c r="BH288" i="19"/>
  <c r="BT288" i="19"/>
  <c r="BS288" i="19"/>
  <c r="BC292" i="19"/>
  <c r="BA292" i="19"/>
  <c r="J278" i="19"/>
  <c r="BB278" i="19"/>
  <c r="BC284" i="19"/>
  <c r="BA284" i="19"/>
  <c r="BT291" i="19"/>
  <c r="BS291" i="19"/>
  <c r="BB295" i="19"/>
  <c r="BU278" i="19"/>
  <c r="BI281" i="19"/>
  <c r="BO283" i="19"/>
  <c r="BM284" i="19"/>
  <c r="BO284" i="19"/>
  <c r="BA288" i="19"/>
  <c r="BC288" i="19"/>
  <c r="BO288" i="19"/>
  <c r="BM288" i="19"/>
  <c r="J293" i="19"/>
  <c r="BB293" i="19"/>
  <c r="J295" i="19"/>
  <c r="BS275" i="19"/>
  <c r="BI277" i="19"/>
  <c r="BM278" i="19"/>
  <c r="N279" i="19"/>
  <c r="Y279" i="19"/>
  <c r="O281" i="19"/>
  <c r="N281" i="19"/>
  <c r="N282" i="19"/>
  <c r="BB282" i="19"/>
  <c r="BN282" i="19"/>
  <c r="J284" i="19"/>
  <c r="J286" i="19"/>
  <c r="J290" i="19"/>
  <c r="BB294" i="19"/>
  <c r="BT295" i="19"/>
  <c r="BS295" i="19"/>
  <c r="U275" i="19"/>
  <c r="BO276" i="19"/>
  <c r="O279" i="19"/>
  <c r="Z279" i="19"/>
  <c r="BA281" i="19"/>
  <c r="O282" i="19"/>
  <c r="Z282" i="19"/>
  <c r="BB290" i="19"/>
  <c r="BT296" i="19"/>
  <c r="Z278" i="19"/>
  <c r="Y278" i="19"/>
  <c r="BC280" i="19"/>
  <c r="BG282" i="19"/>
  <c r="BI282" i="19"/>
  <c r="BU282" i="19"/>
  <c r="BS282" i="19"/>
  <c r="BB286" i="19"/>
  <c r="BA286" i="19"/>
  <c r="P280" i="19"/>
  <c r="O280" i="19"/>
  <c r="U283" i="19"/>
  <c r="BU290" i="19"/>
  <c r="BS290" i="19"/>
  <c r="BH292" i="19"/>
  <c r="BG292" i="19"/>
  <c r="BT276" i="19"/>
  <c r="BS276" i="19"/>
  <c r="AA278" i="19"/>
  <c r="BI286" i="19"/>
  <c r="BG286" i="19"/>
  <c r="BO296" i="19"/>
  <c r="BM296" i="19"/>
  <c r="BI290" i="19"/>
  <c r="BO292" i="19"/>
  <c r="BG295" i="19"/>
  <c r="BI297" i="19"/>
  <c r="BS297" i="19"/>
  <c r="BO303" i="19"/>
  <c r="BM303" i="19"/>
  <c r="J305" i="19"/>
  <c r="BT305" i="19"/>
  <c r="BB314" i="19"/>
  <c r="BA314" i="19"/>
  <c r="J307" i="19"/>
  <c r="BM307" i="19"/>
  <c r="BO307" i="19"/>
  <c r="J314" i="19"/>
  <c r="BU315" i="19"/>
  <c r="BS315" i="19"/>
  <c r="BT306" i="19"/>
  <c r="BG313" i="19"/>
  <c r="BI313" i="19"/>
  <c r="BI294" i="19"/>
  <c r="BM297" i="19"/>
  <c r="BG299" i="19"/>
  <c r="BS299" i="19"/>
  <c r="J301" i="19"/>
  <c r="BA301" i="19"/>
  <c r="BM301" i="19"/>
  <c r="BU301" i="19"/>
  <c r="BS302" i="19"/>
  <c r="BC303" i="19"/>
  <c r="BB304" i="19"/>
  <c r="BN307" i="19"/>
  <c r="J309" i="19"/>
  <c r="BN318" i="19"/>
  <c r="BM318" i="19"/>
  <c r="U296" i="19"/>
  <c r="BT299" i="19"/>
  <c r="BB301" i="19"/>
  <c r="BM304" i="19"/>
  <c r="BA306" i="19"/>
  <c r="U308" i="19"/>
  <c r="BC309" i="19"/>
  <c r="BM309" i="19"/>
  <c r="BH311" i="19"/>
  <c r="BN312" i="19"/>
  <c r="BM312" i="19"/>
  <c r="U313" i="19"/>
  <c r="BU314" i="19"/>
  <c r="BC315" i="19"/>
  <c r="BA315" i="19"/>
  <c r="BM295" i="19"/>
  <c r="BO297" i="19"/>
  <c r="BU299" i="19"/>
  <c r="BC301" i="19"/>
  <c r="U304" i="19"/>
  <c r="BO304" i="19"/>
  <c r="BA308" i="19"/>
  <c r="BI309" i="19"/>
  <c r="BG309" i="19"/>
  <c r="BO311" i="19"/>
  <c r="BM311" i="19"/>
  <c r="BO312" i="19"/>
  <c r="BB317" i="19"/>
  <c r="U305" i="19"/>
  <c r="BC308" i="19"/>
  <c r="BG312" i="19"/>
  <c r="BI312" i="19"/>
  <c r="J315" i="19"/>
  <c r="BC314" i="19"/>
  <c r="BS314" i="19"/>
  <c r="BO315" i="19"/>
  <c r="BH316" i="19"/>
  <c r="J317" i="19"/>
  <c r="BO322" i="19"/>
  <c r="BS323" i="19"/>
  <c r="BU323" i="19"/>
  <c r="BM305" i="19"/>
  <c r="BU317" i="19"/>
  <c r="BC318" i="19"/>
  <c r="BT323" i="19"/>
  <c r="BH324" i="19"/>
  <c r="BT324" i="19"/>
  <c r="BH325" i="19"/>
  <c r="BT315" i="19"/>
  <c r="BT322" i="19"/>
  <c r="BA325" i="19"/>
  <c r="BC325" i="19"/>
  <c r="BH319" i="19"/>
  <c r="BG319" i="19"/>
  <c r="BN320" i="19"/>
  <c r="BO325" i="19"/>
  <c r="BM325" i="19"/>
  <c r="BS319" i="19"/>
  <c r="U321" i="19"/>
  <c r="U325" i="19"/>
  <c r="BS321" i="19"/>
  <c r="O404" i="19"/>
  <c r="BG408" i="19"/>
  <c r="BO406" i="19"/>
  <c r="O408" i="19"/>
  <c r="N408" i="19"/>
  <c r="P407" i="19"/>
  <c r="O407" i="19"/>
  <c r="N407" i="19"/>
  <c r="BB405" i="19"/>
  <c r="BH406" i="19"/>
  <c r="BG406" i="19"/>
  <c r="BI407" i="19"/>
  <c r="BT407" i="19"/>
  <c r="BN408" i="19"/>
  <c r="Y409" i="19"/>
  <c r="Z409" i="19"/>
  <c r="BB409" i="19"/>
  <c r="J409" i="19"/>
  <c r="AA409" i="19"/>
  <c r="BA323" i="19"/>
  <c r="N404" i="19"/>
  <c r="BI405" i="19"/>
  <c r="U406" i="19"/>
  <c r="BA406" i="19"/>
  <c r="BM405" i="19"/>
  <c r="BG407" i="19"/>
  <c r="U408" i="19"/>
  <c r="U409" i="19"/>
  <c r="Z410" i="19"/>
  <c r="J412" i="19"/>
  <c r="N413" i="19"/>
  <c r="BA414" i="19"/>
  <c r="U416" i="19"/>
  <c r="BI416" i="19"/>
  <c r="BN417" i="19"/>
  <c r="J419" i="19"/>
  <c r="BI420" i="19"/>
  <c r="BC421" i="19"/>
  <c r="BU422" i="19"/>
  <c r="BS422" i="19"/>
  <c r="Z423" i="19"/>
  <c r="AA423" i="19"/>
  <c r="K431" i="19"/>
  <c r="R431" i="19"/>
  <c r="T431" i="19" s="1"/>
  <c r="BN431" i="19"/>
  <c r="N417" i="19"/>
  <c r="BM411" i="19"/>
  <c r="BU411" i="19"/>
  <c r="BM412" i="19"/>
  <c r="BC414" i="19"/>
  <c r="BH415" i="19"/>
  <c r="BS415" i="19"/>
  <c r="N416" i="19"/>
  <c r="O416" i="19"/>
  <c r="BU416" i="19"/>
  <c r="O417" i="19"/>
  <c r="BG417" i="19"/>
  <c r="BI417" i="19"/>
  <c r="BU417" i="19"/>
  <c r="BS417" i="19"/>
  <c r="U418" i="19"/>
  <c r="BN420" i="19"/>
  <c r="BM420" i="19"/>
  <c r="U421" i="19"/>
  <c r="BS421" i="19"/>
  <c r="BU421" i="19"/>
  <c r="BT431" i="19"/>
  <c r="P405" i="19"/>
  <c r="AA405" i="19"/>
  <c r="AA406" i="19"/>
  <c r="P409" i="19"/>
  <c r="U411" i="19"/>
  <c r="BC411" i="19"/>
  <c r="O412" i="19"/>
  <c r="J414" i="19"/>
  <c r="BT415" i="19"/>
  <c r="P417" i="19"/>
  <c r="BS418" i="19"/>
  <c r="J421" i="19"/>
  <c r="O431" i="19"/>
  <c r="N431" i="19"/>
  <c r="P431" i="19"/>
  <c r="BA415" i="19"/>
  <c r="BC415" i="19"/>
  <c r="BO415" i="19"/>
  <c r="BM415" i="19"/>
  <c r="Z420" i="19"/>
  <c r="AA420" i="19"/>
  <c r="Y421" i="19"/>
  <c r="Z421" i="19"/>
  <c r="Y418" i="19"/>
  <c r="BT419" i="19"/>
  <c r="AA422" i="19"/>
  <c r="Y422" i="19"/>
  <c r="AA407" i="19"/>
  <c r="P410" i="19"/>
  <c r="BN410" i="19"/>
  <c r="BS412" i="19"/>
  <c r="O415" i="19"/>
  <c r="P415" i="19"/>
  <c r="BG416" i="19"/>
  <c r="Z418" i="19"/>
  <c r="BC419" i="19"/>
  <c r="BA419" i="19"/>
  <c r="O420" i="19"/>
  <c r="Y420" i="19"/>
  <c r="AA421" i="19"/>
  <c r="Z422" i="19"/>
  <c r="Y407" i="19"/>
  <c r="N410" i="19"/>
  <c r="Y410" i="19"/>
  <c r="BH411" i="19"/>
  <c r="BT412" i="19"/>
  <c r="BM413" i="19"/>
  <c r="J417" i="19"/>
  <c r="AA418" i="19"/>
  <c r="BM419" i="19"/>
  <c r="BO419" i="19"/>
  <c r="P420" i="19"/>
  <c r="BA421" i="19"/>
  <c r="BB421" i="19"/>
  <c r="BM421" i="19"/>
  <c r="BO422" i="19"/>
  <c r="J423" i="19"/>
  <c r="U423" i="19"/>
  <c r="Z432" i="19"/>
  <c r="BN432" i="19"/>
  <c r="AA433" i="19"/>
  <c r="BU435" i="19"/>
  <c r="BT437" i="19"/>
  <c r="BH441" i="19"/>
  <c r="BH437" i="19"/>
  <c r="BN439" i="19"/>
  <c r="BM441" i="19"/>
  <c r="BO441" i="19"/>
  <c r="J443" i="19"/>
  <c r="BC431" i="19"/>
  <c r="BA431" i="19"/>
  <c r="BI432" i="19"/>
  <c r="BG432" i="19"/>
  <c r="BS432" i="19"/>
  <c r="BU432" i="19"/>
  <c r="O435" i="19"/>
  <c r="N435" i="19"/>
  <c r="BM435" i="19"/>
  <c r="BB439" i="19"/>
  <c r="BM422" i="19"/>
  <c r="BG423" i="19"/>
  <c r="BM431" i="19"/>
  <c r="BO431" i="19"/>
  <c r="U433" i="19"/>
  <c r="BO437" i="19"/>
  <c r="BM437" i="19"/>
  <c r="BU439" i="19"/>
  <c r="BS439" i="19"/>
  <c r="BH434" i="19"/>
  <c r="BT434" i="19"/>
  <c r="BS434" i="19"/>
  <c r="J436" i="19"/>
  <c r="Z436" i="19"/>
  <c r="Y436" i="19"/>
  <c r="BA437" i="19"/>
  <c r="BC437" i="19"/>
  <c r="J439" i="19"/>
  <c r="BG439" i="19"/>
  <c r="BI439" i="19"/>
  <c r="BC441" i="19"/>
  <c r="BA441" i="19"/>
  <c r="J432" i="19"/>
  <c r="O439" i="19"/>
  <c r="N439" i="19"/>
  <c r="K441" i="19"/>
  <c r="BA434" i="19"/>
  <c r="BC434" i="19"/>
  <c r="BO434" i="19"/>
  <c r="BM434" i="19"/>
  <c r="N436" i="19"/>
  <c r="BB436" i="19"/>
  <c r="U440" i="19"/>
  <c r="BT441" i="19"/>
  <c r="N432" i="19"/>
  <c r="Z433" i="19"/>
  <c r="O436" i="19"/>
  <c r="Z440" i="19"/>
  <c r="Y440" i="19"/>
  <c r="Z435" i="19"/>
  <c r="BI436" i="19"/>
  <c r="O438" i="19"/>
  <c r="BO438" i="19"/>
  <c r="BU440" i="19"/>
  <c r="K442" i="19"/>
  <c r="BC442" i="19"/>
  <c r="Z443" i="19"/>
  <c r="BB443" i="19"/>
  <c r="Y444" i="19"/>
  <c r="BH446" i="19"/>
  <c r="BG446" i="19"/>
  <c r="BT447" i="19"/>
  <c r="Y452" i="19"/>
  <c r="Z456" i="19"/>
  <c r="AA456" i="19"/>
  <c r="BI465" i="19"/>
  <c r="BG465" i="19"/>
  <c r="BT468" i="19"/>
  <c r="Y437" i="19"/>
  <c r="N440" i="19"/>
  <c r="Z444" i="19"/>
  <c r="BI446" i="19"/>
  <c r="N448" i="19"/>
  <c r="BU456" i="19"/>
  <c r="BS456" i="19"/>
  <c r="BU461" i="19"/>
  <c r="BS461" i="19"/>
  <c r="AA444" i="19"/>
  <c r="AA451" i="19"/>
  <c r="BM443" i="19"/>
  <c r="BU443" i="19"/>
  <c r="O447" i="19"/>
  <c r="N447" i="19"/>
  <c r="BM447" i="19"/>
  <c r="BI448" i="19"/>
  <c r="Y451" i="19"/>
  <c r="BO451" i="19"/>
  <c r="BH466" i="19"/>
  <c r="BM436" i="19"/>
  <c r="N443" i="19"/>
  <c r="Z451" i="19"/>
  <c r="J453" i="19"/>
  <c r="P447" i="19"/>
  <c r="P446" i="19"/>
  <c r="O446" i="19"/>
  <c r="BN448" i="19"/>
  <c r="BT451" i="19"/>
  <c r="U452" i="19"/>
  <c r="P472" i="19"/>
  <c r="O472" i="19"/>
  <c r="N472" i="19"/>
  <c r="Z452" i="19"/>
  <c r="BB464" i="19"/>
  <c r="P461" i="19"/>
  <c r="BU476" i="19"/>
  <c r="BS476" i="19"/>
  <c r="BO490" i="19"/>
  <c r="BM490" i="19"/>
  <c r="J465" i="19"/>
  <c r="Z466" i="19"/>
  <c r="Y466" i="19"/>
  <c r="BT474" i="19"/>
  <c r="BO459" i="19"/>
  <c r="BT461" i="19"/>
  <c r="Y462" i="19"/>
  <c r="AA465" i="19"/>
  <c r="Z465" i="19"/>
  <c r="Y465" i="19"/>
  <c r="P466" i="19"/>
  <c r="AA466" i="19"/>
  <c r="BC477" i="19"/>
  <c r="BA477" i="19"/>
  <c r="AA459" i="19"/>
  <c r="BO461" i="19"/>
  <c r="BM461" i="19"/>
  <c r="Z462" i="19"/>
  <c r="BO462" i="19"/>
  <c r="N466" i="19"/>
  <c r="N452" i="19"/>
  <c r="AA462" i="19"/>
  <c r="BH464" i="19"/>
  <c r="O465" i="19"/>
  <c r="BU465" i="19"/>
  <c r="O466" i="19"/>
  <c r="BN466" i="19"/>
  <c r="Y489" i="19"/>
  <c r="AA489" i="19"/>
  <c r="Z489" i="19"/>
  <c r="BB465" i="19"/>
  <c r="J477" i="19"/>
  <c r="BT477" i="19"/>
  <c r="U459" i="19"/>
  <c r="BS459" i="19"/>
  <c r="BT462" i="19"/>
  <c r="BS462" i="19"/>
  <c r="BI466" i="19"/>
  <c r="BG466" i="19"/>
  <c r="U468" i="19"/>
  <c r="BH468" i="19"/>
  <c r="BA474" i="19"/>
  <c r="BC474" i="19"/>
  <c r="BO464" i="19"/>
  <c r="BU466" i="19"/>
  <c r="BH474" i="19"/>
  <c r="BT475" i="19"/>
  <c r="BU477" i="19"/>
  <c r="BS477" i="19"/>
  <c r="J480" i="19"/>
  <c r="N482" i="19"/>
  <c r="O482" i="19"/>
  <c r="U477" i="19"/>
  <c r="Z480" i="19"/>
  <c r="Y480" i="19"/>
  <c r="BU492" i="19"/>
  <c r="BS492" i="19"/>
  <c r="O475" i="19"/>
  <c r="N475" i="19"/>
  <c r="BO478" i="19"/>
  <c r="BC479" i="19"/>
  <c r="BA479" i="19"/>
  <c r="BI482" i="19"/>
  <c r="BG482" i="19"/>
  <c r="N489" i="19"/>
  <c r="O489" i="19"/>
  <c r="BG472" i="19"/>
  <c r="BI476" i="19"/>
  <c r="BB477" i="19"/>
  <c r="O480" i="19"/>
  <c r="AA480" i="19"/>
  <c r="BH492" i="19"/>
  <c r="Z473" i="19"/>
  <c r="P475" i="19"/>
  <c r="BM477" i="19"/>
  <c r="P480" i="19"/>
  <c r="P489" i="19"/>
  <c r="P474" i="19"/>
  <c r="O474" i="19"/>
  <c r="BT478" i="19"/>
  <c r="BN476" i="19"/>
  <c r="AA482" i="19"/>
  <c r="BM482" i="19"/>
  <c r="BO482" i="19"/>
  <c r="BT489" i="19"/>
  <c r="BS489" i="19"/>
  <c r="AA493" i="19"/>
  <c r="Z493" i="19"/>
  <c r="Y493" i="19"/>
  <c r="BN491" i="19"/>
  <c r="Z492" i="19"/>
  <c r="BT492" i="19"/>
  <c r="U494" i="19"/>
  <c r="BG494" i="19"/>
  <c r="BI494" i="19"/>
  <c r="BA562" i="19"/>
  <c r="BC562" i="19"/>
  <c r="U498" i="19"/>
  <c r="Z479" i="19"/>
  <c r="J492" i="19"/>
  <c r="BO493" i="19"/>
  <c r="BH481" i="19"/>
  <c r="BT482" i="19"/>
  <c r="J489" i="19"/>
  <c r="BB489" i="19"/>
  <c r="BU489" i="19"/>
  <c r="U492" i="19"/>
  <c r="BB492" i="19"/>
  <c r="N491" i="19"/>
  <c r="BI491" i="19"/>
  <c r="O490" i="19"/>
  <c r="N490" i="19"/>
  <c r="O491" i="19"/>
  <c r="BM493" i="19"/>
  <c r="N494" i="19"/>
  <c r="O499" i="19"/>
  <c r="N499" i="19"/>
  <c r="BB499" i="19"/>
  <c r="P494" i="19"/>
  <c r="AA495" i="19"/>
  <c r="BI499" i="19"/>
  <c r="BG499" i="19"/>
  <c r="Y502" i="19"/>
  <c r="AA502" i="19"/>
  <c r="Z502" i="19"/>
  <c r="BC503" i="19"/>
  <c r="BA503" i="19"/>
  <c r="AA494" i="19"/>
  <c r="BO496" i="19"/>
  <c r="BC497" i="19"/>
  <c r="BA497" i="19"/>
  <c r="BS505" i="19"/>
  <c r="BU505" i="19"/>
  <c r="BB497" i="19"/>
  <c r="U500" i="19"/>
  <c r="U495" i="19"/>
  <c r="BU495" i="19"/>
  <c r="BS495" i="19"/>
  <c r="BO499" i="19"/>
  <c r="BM499" i="19"/>
  <c r="Z500" i="19"/>
  <c r="BC501" i="19"/>
  <c r="BA501" i="19"/>
  <c r="BT496" i="19"/>
  <c r="BN499" i="19"/>
  <c r="Y500" i="19"/>
  <c r="BA495" i="19"/>
  <c r="AA496" i="19"/>
  <c r="J499" i="19"/>
  <c r="BS499" i="19"/>
  <c r="BU499" i="19"/>
  <c r="AA500" i="19"/>
  <c r="BA564" i="19"/>
  <c r="BC564" i="19"/>
  <c r="BS503" i="19"/>
  <c r="BC504" i="19"/>
  <c r="Z505" i="19"/>
  <c r="Y505" i="19"/>
  <c r="AA505" i="19"/>
  <c r="BO562" i="19"/>
  <c r="U564" i="19"/>
  <c r="J502" i="19"/>
  <c r="BS562" i="19"/>
  <c r="Y501" i="19"/>
  <c r="BS502" i="19"/>
  <c r="P504" i="19"/>
  <c r="U562" i="19"/>
  <c r="BU502" i="19"/>
  <c r="N505" i="19"/>
  <c r="O505" i="19"/>
  <c r="P505" i="19"/>
  <c r="BB569" i="19"/>
  <c r="BA569" i="19"/>
  <c r="AA503" i="19"/>
  <c r="BN505" i="19"/>
  <c r="Y503" i="19"/>
  <c r="BT504" i="19"/>
  <c r="BB505" i="19"/>
  <c r="BO564" i="19"/>
  <c r="BM564" i="19"/>
  <c r="R562" i="19"/>
  <c r="T562" i="19" s="1"/>
  <c r="J567" i="19"/>
  <c r="AA567" i="19"/>
  <c r="Z567" i="19"/>
  <c r="J505" i="19"/>
  <c r="BM562" i="19"/>
  <c r="J578" i="19"/>
  <c r="P562" i="19"/>
  <c r="Y562" i="19"/>
  <c r="BH564" i="19"/>
  <c r="BM570" i="19"/>
  <c r="BO570" i="19"/>
  <c r="BN570" i="19"/>
  <c r="BB571" i="19"/>
  <c r="U567" i="19"/>
  <c r="N573" i="19"/>
  <c r="O573" i="19"/>
  <c r="P573" i="19"/>
  <c r="BU562" i="19"/>
  <c r="P571" i="19"/>
  <c r="U572" i="19"/>
  <c r="BG577" i="19"/>
  <c r="BI577" i="19"/>
  <c r="AA572" i="19"/>
  <c r="BN573" i="19"/>
  <c r="Y576" i="19"/>
  <c r="Z576" i="19"/>
  <c r="BH572" i="19"/>
  <c r="U573" i="19"/>
  <c r="BM576" i="19"/>
  <c r="BO576" i="19"/>
  <c r="N570" i="19"/>
  <c r="Z572" i="19"/>
  <c r="Z573" i="19"/>
  <c r="Y573" i="19"/>
  <c r="AA573" i="19"/>
  <c r="BN567" i="19"/>
  <c r="BA572" i="19"/>
  <c r="BC572" i="19"/>
  <c r="O576" i="19"/>
  <c r="P576" i="19"/>
  <c r="BC576" i="19"/>
  <c r="BA576" i="19"/>
  <c r="BH578" i="19"/>
  <c r="BH579" i="19"/>
  <c r="J573" i="19"/>
  <c r="BB576" i="19"/>
  <c r="U578" i="19"/>
  <c r="U577" i="19"/>
  <c r="BN577" i="19"/>
  <c r="BM577" i="19"/>
  <c r="J577" i="19"/>
  <c r="Z577" i="19"/>
  <c r="Y577" i="19"/>
  <c r="BU583" i="19"/>
  <c r="BS583" i="19"/>
  <c r="O585" i="19"/>
  <c r="P585" i="19"/>
  <c r="N585" i="19"/>
  <c r="N577" i="19"/>
  <c r="O577" i="19"/>
  <c r="BM578" i="19"/>
  <c r="BN578" i="19"/>
  <c r="BB583" i="19"/>
  <c r="BH585" i="19"/>
  <c r="J576" i="19"/>
  <c r="BT576" i="19"/>
  <c r="Y578" i="19"/>
  <c r="Z578" i="19"/>
  <c r="BB578" i="19"/>
  <c r="P577" i="19"/>
  <c r="BB577" i="19"/>
  <c r="Z582" i="19"/>
  <c r="Y582" i="19"/>
  <c r="BH583" i="19"/>
  <c r="BB582" i="19"/>
  <c r="R579" i="19"/>
  <c r="T579" i="19" s="1"/>
  <c r="I579" i="19"/>
  <c r="AA583" i="19"/>
  <c r="Y583" i="19"/>
  <c r="BT583" i="19"/>
  <c r="BI578" i="19"/>
  <c r="BG578" i="19"/>
  <c r="BN585" i="19"/>
  <c r="P578" i="19"/>
  <c r="BC579" i="19"/>
  <c r="N582" i="19"/>
  <c r="BN582" i="19"/>
  <c r="BO583" i="19"/>
  <c r="BM583" i="19"/>
  <c r="BC585" i="19"/>
  <c r="BA585" i="19"/>
  <c r="K585" i="19"/>
  <c r="R585" i="19"/>
  <c r="T585" i="19" s="1"/>
  <c r="BB585" i="19"/>
  <c r="BA583" i="19"/>
  <c r="BC583" i="19"/>
  <c r="AA584" i="19"/>
  <c r="Z584" i="19"/>
  <c r="J585" i="19"/>
  <c r="BO585" i="19"/>
  <c r="AG236" i="19" l="1"/>
  <c r="AG244" i="19"/>
  <c r="AG241" i="19"/>
  <c r="AG249" i="19"/>
  <c r="AG243" i="19"/>
  <c r="AG252" i="19"/>
  <c r="AG250" i="19"/>
  <c r="AG238" i="19"/>
  <c r="AG251" i="19"/>
  <c r="AG248" i="19"/>
  <c r="AG242" i="19"/>
  <c r="AG253" i="19"/>
  <c r="AG246" i="19"/>
  <c r="AG239" i="19"/>
  <c r="AG247" i="19"/>
  <c r="AG240" i="19"/>
  <c r="AG237" i="19"/>
  <c r="AG245" i="19"/>
  <c r="AG495" i="19"/>
  <c r="AG496" i="19"/>
  <c r="AG494" i="19"/>
  <c r="AG497" i="19"/>
  <c r="K280" i="19"/>
  <c r="K286" i="19"/>
  <c r="K448" i="19"/>
  <c r="K224" i="19"/>
  <c r="K407" i="19"/>
  <c r="K410" i="19"/>
  <c r="K446" i="19"/>
  <c r="K572" i="19"/>
  <c r="I74" i="19"/>
  <c r="K324" i="19"/>
  <c r="K413" i="19"/>
  <c r="R304" i="19"/>
  <c r="X304" i="19" s="1"/>
  <c r="Z304" i="19" s="1"/>
  <c r="AT288" i="19"/>
  <c r="AV288" i="19" s="1"/>
  <c r="AP288" i="19"/>
  <c r="AR288" i="19" s="1"/>
  <c r="AP296" i="19"/>
  <c r="AR296" i="19" s="1"/>
  <c r="AT296" i="19"/>
  <c r="AV296" i="19" s="1"/>
  <c r="AP304" i="19"/>
  <c r="AR304" i="19" s="1"/>
  <c r="AT304" i="19"/>
  <c r="AV304" i="19" s="1"/>
  <c r="AT312" i="19"/>
  <c r="AP312" i="19"/>
  <c r="AR312" i="19" s="1"/>
  <c r="AI320" i="19"/>
  <c r="AK320" i="19" s="1"/>
  <c r="AE320" i="19"/>
  <c r="AT478" i="19"/>
  <c r="AV478" i="19" s="1"/>
  <c r="AP478" i="19"/>
  <c r="AR478" i="19" s="1"/>
  <c r="AT286" i="19"/>
  <c r="AV286" i="19" s="1"/>
  <c r="AP286" i="19"/>
  <c r="AR286" i="19" s="1"/>
  <c r="AT302" i="19"/>
  <c r="AV302" i="19" s="1"/>
  <c r="AP302" i="19"/>
  <c r="AR302" i="19" s="1"/>
  <c r="AT318" i="19"/>
  <c r="AV318" i="19" s="1"/>
  <c r="AP318" i="19"/>
  <c r="AR318" i="19" s="1"/>
  <c r="AP289" i="19"/>
  <c r="AR289" i="19" s="1"/>
  <c r="AT289" i="19"/>
  <c r="AV289" i="19" s="1"/>
  <c r="AE297" i="19"/>
  <c r="AI297" i="19"/>
  <c r="AK297" i="19" s="1"/>
  <c r="AT305" i="19"/>
  <c r="AP305" i="19"/>
  <c r="AR305" i="19" s="1"/>
  <c r="AP313" i="19"/>
  <c r="AR313" i="19" s="1"/>
  <c r="AT313" i="19"/>
  <c r="AV313" i="19" s="1"/>
  <c r="AE321" i="19"/>
  <c r="AI321" i="19"/>
  <c r="AK321" i="19" s="1"/>
  <c r="AI290" i="19"/>
  <c r="AK290" i="19" s="1"/>
  <c r="AE290" i="19"/>
  <c r="AI306" i="19"/>
  <c r="AK306" i="19" s="1"/>
  <c r="AE306" i="19"/>
  <c r="AP322" i="19"/>
  <c r="AR322" i="19" s="1"/>
  <c r="AT322" i="19"/>
  <c r="AP287" i="19"/>
  <c r="AR287" i="19" s="1"/>
  <c r="AT287" i="19"/>
  <c r="AV287" i="19" s="1"/>
  <c r="AI295" i="19"/>
  <c r="AK295" i="19" s="1"/>
  <c r="AE295" i="19"/>
  <c r="AE303" i="19"/>
  <c r="AI303" i="19"/>
  <c r="AK303" i="19" s="1"/>
  <c r="AP311" i="19"/>
  <c r="AR311" i="19" s="1"/>
  <c r="AT311" i="19"/>
  <c r="AV311" i="19" s="1"/>
  <c r="AE319" i="19"/>
  <c r="AI319" i="19"/>
  <c r="AK319" i="19" s="1"/>
  <c r="AP477" i="19"/>
  <c r="AR477" i="19" s="1"/>
  <c r="AT477" i="19"/>
  <c r="AV477" i="19" s="1"/>
  <c r="AE288" i="19"/>
  <c r="AI288" i="19"/>
  <c r="AK288" i="19" s="1"/>
  <c r="AI296" i="19"/>
  <c r="AK296" i="19" s="1"/>
  <c r="AE296" i="19"/>
  <c r="AE304" i="19"/>
  <c r="AI304" i="19"/>
  <c r="AE312" i="19"/>
  <c r="AI312" i="19"/>
  <c r="AP320" i="19"/>
  <c r="AR320" i="19" s="1"/>
  <c r="AT320" i="19"/>
  <c r="AV320" i="19" s="1"/>
  <c r="AI478" i="19"/>
  <c r="AK478" i="19" s="1"/>
  <c r="AE478" i="19"/>
  <c r="AE286" i="19"/>
  <c r="AI286" i="19"/>
  <c r="AK286" i="19" s="1"/>
  <c r="AE302" i="19"/>
  <c r="AI302" i="19"/>
  <c r="AK302" i="19" s="1"/>
  <c r="AE318" i="19"/>
  <c r="AI318" i="19"/>
  <c r="AK318" i="19" s="1"/>
  <c r="AE289" i="19"/>
  <c r="AI289" i="19"/>
  <c r="AK289" i="19" s="1"/>
  <c r="AT297" i="19"/>
  <c r="AV297" i="19" s="1"/>
  <c r="AP297" i="19"/>
  <c r="AR297" i="19" s="1"/>
  <c r="AE305" i="19"/>
  <c r="AI305" i="19"/>
  <c r="AK305" i="19" s="1"/>
  <c r="AI313" i="19"/>
  <c r="AK313" i="19" s="1"/>
  <c r="AE313" i="19"/>
  <c r="AP321" i="19"/>
  <c r="AR321" i="19" s="1"/>
  <c r="AT321" i="19"/>
  <c r="AT290" i="19"/>
  <c r="AV290" i="19" s="1"/>
  <c r="AP290" i="19"/>
  <c r="AR290" i="19" s="1"/>
  <c r="AT306" i="19"/>
  <c r="AV306" i="19" s="1"/>
  <c r="AP306" i="19"/>
  <c r="AR306" i="19" s="1"/>
  <c r="AI322" i="19"/>
  <c r="AK322" i="19" s="1"/>
  <c r="AE322" i="19"/>
  <c r="AE287" i="19"/>
  <c r="AI287" i="19"/>
  <c r="AK287" i="19" s="1"/>
  <c r="AP295" i="19"/>
  <c r="AR295" i="19" s="1"/>
  <c r="AT295" i="19"/>
  <c r="AV295" i="19" s="1"/>
  <c r="AP303" i="19"/>
  <c r="AR303" i="19" s="1"/>
  <c r="AT303" i="19"/>
  <c r="AV303" i="19" s="1"/>
  <c r="AI311" i="19"/>
  <c r="AK311" i="19" s="1"/>
  <c r="AE311" i="19"/>
  <c r="AP319" i="19"/>
  <c r="AR319" i="19" s="1"/>
  <c r="AT319" i="19"/>
  <c r="AV319" i="19" s="1"/>
  <c r="AE477" i="19"/>
  <c r="AI477" i="19"/>
  <c r="AK477" i="19" s="1"/>
  <c r="AT284" i="19"/>
  <c r="AV284" i="19" s="1"/>
  <c r="AP284" i="19"/>
  <c r="AR284" i="19" s="1"/>
  <c r="AP292" i="19"/>
  <c r="AR292" i="19" s="1"/>
  <c r="AT292" i="19"/>
  <c r="AV292" i="19" s="1"/>
  <c r="AE300" i="19"/>
  <c r="AI300" i="19"/>
  <c r="AK300" i="19" s="1"/>
  <c r="AI308" i="19"/>
  <c r="AK308" i="19" s="1"/>
  <c r="AE308" i="19"/>
  <c r="AI316" i="19"/>
  <c r="AK316" i="19" s="1"/>
  <c r="AE316" i="19"/>
  <c r="AE324" i="19"/>
  <c r="AI324" i="19"/>
  <c r="AK324" i="19" s="1"/>
  <c r="AE294" i="19"/>
  <c r="AI294" i="19"/>
  <c r="AK294" i="19" s="1"/>
  <c r="AE310" i="19"/>
  <c r="AI310" i="19"/>
  <c r="AK310" i="19" s="1"/>
  <c r="AT476" i="19"/>
  <c r="AV476" i="19" s="1"/>
  <c r="AP476" i="19"/>
  <c r="AR476" i="19" s="1"/>
  <c r="AP285" i="19"/>
  <c r="AR285" i="19" s="1"/>
  <c r="AT285" i="19"/>
  <c r="AT293" i="19"/>
  <c r="AP293" i="19"/>
  <c r="AR293" i="19" s="1"/>
  <c r="AT301" i="19"/>
  <c r="AV301" i="19" s="1"/>
  <c r="AP301" i="19"/>
  <c r="AR301" i="19" s="1"/>
  <c r="AP309" i="19"/>
  <c r="AR309" i="19" s="1"/>
  <c r="AT309" i="19"/>
  <c r="AT317" i="19"/>
  <c r="AP317" i="19"/>
  <c r="AR317" i="19" s="1"/>
  <c r="AI325" i="19"/>
  <c r="AK325" i="19" s="1"/>
  <c r="AE325" i="19"/>
  <c r="AI298" i="19"/>
  <c r="AK298" i="19" s="1"/>
  <c r="AE298" i="19"/>
  <c r="AT314" i="19"/>
  <c r="AV314" i="19" s="1"/>
  <c r="AP314" i="19"/>
  <c r="AR314" i="19" s="1"/>
  <c r="AP291" i="19"/>
  <c r="AR291" i="19" s="1"/>
  <c r="AT291" i="19"/>
  <c r="AT299" i="19"/>
  <c r="AV299" i="19" s="1"/>
  <c r="AP299" i="19"/>
  <c r="AR299" i="19" s="1"/>
  <c r="AE307" i="19"/>
  <c r="AI307" i="19"/>
  <c r="AE315" i="19"/>
  <c r="AI315" i="19"/>
  <c r="AP323" i="19"/>
  <c r="AR323" i="19" s="1"/>
  <c r="AT323" i="19"/>
  <c r="AV323" i="19" s="1"/>
  <c r="AI284" i="19"/>
  <c r="AK284" i="19" s="1"/>
  <c r="AE284" i="19"/>
  <c r="AI292" i="19"/>
  <c r="AK292" i="19" s="1"/>
  <c r="AE292" i="19"/>
  <c r="AT300" i="19"/>
  <c r="AP300" i="19"/>
  <c r="AR300" i="19" s="1"/>
  <c r="AP308" i="19"/>
  <c r="AR308" i="19" s="1"/>
  <c r="AT308" i="19"/>
  <c r="AV308" i="19" s="1"/>
  <c r="AP316" i="19"/>
  <c r="AR316" i="19" s="1"/>
  <c r="AT316" i="19"/>
  <c r="AV316" i="19" s="1"/>
  <c r="AP324" i="19"/>
  <c r="AR324" i="19" s="1"/>
  <c r="AT324" i="19"/>
  <c r="AV324" i="19" s="1"/>
  <c r="AT294" i="19"/>
  <c r="AP294" i="19"/>
  <c r="AR294" i="19" s="1"/>
  <c r="AP310" i="19"/>
  <c r="AR310" i="19" s="1"/>
  <c r="AT310" i="19"/>
  <c r="AV310" i="19" s="1"/>
  <c r="AE476" i="19"/>
  <c r="AI476" i="19"/>
  <c r="AE285" i="19"/>
  <c r="AI285" i="19"/>
  <c r="AK285" i="19" s="1"/>
  <c r="AI293" i="19"/>
  <c r="AK293" i="19" s="1"/>
  <c r="AE293" i="19"/>
  <c r="AE301" i="19"/>
  <c r="AI301" i="19"/>
  <c r="AK301" i="19" s="1"/>
  <c r="AE309" i="19"/>
  <c r="AI309" i="19"/>
  <c r="AK309" i="19" s="1"/>
  <c r="AE317" i="19"/>
  <c r="AI317" i="19"/>
  <c r="AP325" i="19"/>
  <c r="AR325" i="19" s="1"/>
  <c r="AT325" i="19"/>
  <c r="AP298" i="19"/>
  <c r="AR298" i="19" s="1"/>
  <c r="AT298" i="19"/>
  <c r="AV298" i="19" s="1"/>
  <c r="AI314" i="19"/>
  <c r="AK314" i="19" s="1"/>
  <c r="AE314" i="19"/>
  <c r="AE291" i="19"/>
  <c r="AI291" i="19"/>
  <c r="AK291" i="19" s="1"/>
  <c r="AI299" i="19"/>
  <c r="AK299" i="19" s="1"/>
  <c r="AE299" i="19"/>
  <c r="AP307" i="19"/>
  <c r="AR307" i="19" s="1"/>
  <c r="AT307" i="19"/>
  <c r="AV307" i="19" s="1"/>
  <c r="AT315" i="19"/>
  <c r="AP315" i="19"/>
  <c r="AR315" i="19" s="1"/>
  <c r="AE323" i="19"/>
  <c r="AI323" i="19"/>
  <c r="M477" i="19"/>
  <c r="O477" i="19" s="1"/>
  <c r="I94" i="19"/>
  <c r="I21" i="19"/>
  <c r="I83" i="19"/>
  <c r="R312" i="19"/>
  <c r="X312" i="19" s="1"/>
  <c r="Z312" i="19" s="1"/>
  <c r="R313" i="19"/>
  <c r="X313" i="19" s="1"/>
  <c r="Z313" i="19" s="1"/>
  <c r="R290" i="19"/>
  <c r="X290" i="19" s="1"/>
  <c r="Z290" i="19" s="1"/>
  <c r="R297" i="19"/>
  <c r="X297" i="19" s="1"/>
  <c r="Y297" i="19" s="1"/>
  <c r="AA297" i="19" s="1"/>
  <c r="R315" i="19"/>
  <c r="X315" i="19" s="1"/>
  <c r="Z315" i="19" s="1"/>
  <c r="K477" i="19"/>
  <c r="K503" i="19"/>
  <c r="I73" i="19"/>
  <c r="I302" i="19"/>
  <c r="I318" i="19"/>
  <c r="I22" i="19"/>
  <c r="R305" i="19"/>
  <c r="T305" i="19" s="1"/>
  <c r="V305" i="19" s="1"/>
  <c r="R294" i="19"/>
  <c r="T294" i="19" s="1"/>
  <c r="V294" i="19" s="1"/>
  <c r="R320" i="19"/>
  <c r="T320" i="19" s="1"/>
  <c r="V320" i="19" s="1"/>
  <c r="R321" i="19"/>
  <c r="T321" i="19" s="1"/>
  <c r="V321" i="19" s="1"/>
  <c r="I98" i="19"/>
  <c r="I24" i="19"/>
  <c r="I12" i="19"/>
  <c r="I85" i="19"/>
  <c r="R299" i="19"/>
  <c r="X299" i="19" s="1"/>
  <c r="Z299" i="19" s="1"/>
  <c r="I442" i="19"/>
  <c r="I577" i="19"/>
  <c r="I7" i="19"/>
  <c r="R308" i="19"/>
  <c r="X308" i="19" s="1"/>
  <c r="Z308" i="19" s="1"/>
  <c r="I18" i="19"/>
  <c r="I478" i="19"/>
  <c r="M324" i="19"/>
  <c r="O324" i="19" s="1"/>
  <c r="I71" i="19"/>
  <c r="I19" i="19"/>
  <c r="R307" i="19"/>
  <c r="T307" i="19" s="1"/>
  <c r="V307" i="19" s="1"/>
  <c r="R293" i="19"/>
  <c r="X293" i="19" s="1"/>
  <c r="Z293" i="19" s="1"/>
  <c r="I126" i="19"/>
  <c r="I16" i="19"/>
  <c r="I91" i="19"/>
  <c r="R309" i="19"/>
  <c r="X309" i="19" s="1"/>
  <c r="Z309" i="19" s="1"/>
  <c r="I17" i="19"/>
  <c r="R295" i="19"/>
  <c r="X295" i="19" s="1"/>
  <c r="R298" i="19"/>
  <c r="T298" i="19" s="1"/>
  <c r="V298" i="19" s="1"/>
  <c r="I23" i="19"/>
  <c r="R287" i="19"/>
  <c r="M286" i="19"/>
  <c r="O286" i="19" s="1"/>
  <c r="I123" i="19"/>
  <c r="I303" i="19"/>
  <c r="R301" i="19"/>
  <c r="T301" i="19" s="1"/>
  <c r="V301" i="19" s="1"/>
  <c r="R111" i="19"/>
  <c r="T111" i="19" s="1"/>
  <c r="K418" i="19"/>
  <c r="O288" i="19"/>
  <c r="O296" i="19"/>
  <c r="O284" i="19"/>
  <c r="O314" i="19"/>
  <c r="O476" i="19"/>
  <c r="I95" i="19"/>
  <c r="I87" i="19"/>
  <c r="I81" i="19"/>
  <c r="I234" i="19"/>
  <c r="I101" i="19"/>
  <c r="I10" i="19"/>
  <c r="I210" i="19"/>
  <c r="I90" i="19"/>
  <c r="I421" i="19"/>
  <c r="R324" i="19"/>
  <c r="I404" i="19"/>
  <c r="I452" i="19"/>
  <c r="I20" i="19"/>
  <c r="I440" i="19"/>
  <c r="R11" i="19"/>
  <c r="T11" i="19" s="1"/>
  <c r="I230" i="19"/>
  <c r="I576" i="19"/>
  <c r="I223" i="19"/>
  <c r="I278" i="19"/>
  <c r="I82" i="19"/>
  <c r="N298" i="19"/>
  <c r="I214" i="19"/>
  <c r="I99" i="19"/>
  <c r="I249" i="19"/>
  <c r="I239" i="19"/>
  <c r="I173" i="19"/>
  <c r="N295" i="19"/>
  <c r="I295" i="19"/>
  <c r="I282" i="19"/>
  <c r="I204" i="19"/>
  <c r="I480" i="19"/>
  <c r="I569" i="19"/>
  <c r="I242" i="19"/>
  <c r="R413" i="19"/>
  <c r="T413" i="19" s="1"/>
  <c r="V413" i="19" s="1"/>
  <c r="I439" i="19"/>
  <c r="I209" i="19"/>
  <c r="I220" i="19"/>
  <c r="I290" i="19"/>
  <c r="O290" i="19"/>
  <c r="O293" i="19"/>
  <c r="I293" i="19"/>
  <c r="I171" i="19"/>
  <c r="I213" i="19"/>
  <c r="I208" i="19"/>
  <c r="I406" i="19"/>
  <c r="R410" i="19"/>
  <c r="T410" i="19" s="1"/>
  <c r="V410" i="19" s="1"/>
  <c r="I504" i="19"/>
  <c r="I405" i="19"/>
  <c r="I270" i="19"/>
  <c r="I237" i="19"/>
  <c r="I250" i="19"/>
  <c r="I412" i="19"/>
  <c r="I294" i="19"/>
  <c r="I199" i="19"/>
  <c r="O294" i="19"/>
  <c r="I298" i="19"/>
  <c r="I245" i="19"/>
  <c r="I269" i="19"/>
  <c r="I243" i="19"/>
  <c r="R448" i="19"/>
  <c r="T448" i="19" s="1"/>
  <c r="V448" i="19" s="1"/>
  <c r="I492" i="19"/>
  <c r="I218" i="19"/>
  <c r="R302" i="19"/>
  <c r="I236" i="19"/>
  <c r="I443" i="19"/>
  <c r="N301" i="19"/>
  <c r="O287" i="19"/>
  <c r="I501" i="19"/>
  <c r="R418" i="19"/>
  <c r="T418" i="19" s="1"/>
  <c r="V418" i="19" s="1"/>
  <c r="I8" i="19"/>
  <c r="K8" i="19" s="1"/>
  <c r="I281" i="19"/>
  <c r="I307" i="19"/>
  <c r="I466" i="19"/>
  <c r="I414" i="19"/>
  <c r="I287" i="19"/>
  <c r="I229" i="19"/>
  <c r="I301" i="19"/>
  <c r="R446" i="19"/>
  <c r="T446" i="19" s="1"/>
  <c r="V446" i="19" s="1"/>
  <c r="I217" i="19"/>
  <c r="I78" i="19"/>
  <c r="O297" i="19"/>
  <c r="I231" i="19"/>
  <c r="I84" i="19"/>
  <c r="I476" i="19"/>
  <c r="I320" i="19"/>
  <c r="I482" i="19"/>
  <c r="I227" i="19"/>
  <c r="I203" i="19"/>
  <c r="I422" i="19"/>
  <c r="I70" i="19"/>
  <c r="I86" i="19"/>
  <c r="I489" i="19"/>
  <c r="I505" i="19"/>
  <c r="I274" i="19"/>
  <c r="I235" i="19"/>
  <c r="I573" i="19"/>
  <c r="I238" i="19"/>
  <c r="I465" i="19"/>
  <c r="O303" i="19"/>
  <c r="I312" i="19"/>
  <c r="I432" i="19"/>
  <c r="O312" i="19"/>
  <c r="R303" i="19"/>
  <c r="I216" i="19"/>
  <c r="I96" i="19"/>
  <c r="I198" i="19"/>
  <c r="R476" i="19"/>
  <c r="I297" i="19"/>
  <c r="I225" i="19"/>
  <c r="I79" i="19"/>
  <c r="I499" i="19"/>
  <c r="R572" i="19"/>
  <c r="T572" i="19" s="1"/>
  <c r="V572" i="19" s="1"/>
  <c r="I305" i="19"/>
  <c r="I247" i="19"/>
  <c r="I206" i="19"/>
  <c r="I221" i="19"/>
  <c r="I490" i="19"/>
  <c r="I207" i="19"/>
  <c r="I571" i="19"/>
  <c r="R503" i="19"/>
  <c r="T503" i="19" s="1"/>
  <c r="V503" i="19" s="1"/>
  <c r="N305" i="19"/>
  <c r="I285" i="19"/>
  <c r="I246" i="19"/>
  <c r="N285" i="19"/>
  <c r="R285" i="19"/>
  <c r="I423" i="19"/>
  <c r="I273" i="19"/>
  <c r="I435" i="19"/>
  <c r="I197" i="19"/>
  <c r="R564" i="19"/>
  <c r="T564" i="19" s="1"/>
  <c r="I578" i="19"/>
  <c r="I279" i="19"/>
  <c r="I436" i="19"/>
  <c r="I241" i="19"/>
  <c r="I420" i="19"/>
  <c r="I308" i="19"/>
  <c r="I253" i="19"/>
  <c r="I251" i="19"/>
  <c r="N302" i="19"/>
  <c r="I567" i="19"/>
  <c r="I433" i="19"/>
  <c r="R407" i="19"/>
  <c r="T407" i="19" s="1"/>
  <c r="V407" i="19" s="1"/>
  <c r="I275" i="19"/>
  <c r="I500" i="19"/>
  <c r="I304" i="19"/>
  <c r="I299" i="19"/>
  <c r="I92" i="19"/>
  <c r="I222" i="19"/>
  <c r="I583" i="19"/>
  <c r="R318" i="19"/>
  <c r="N318" i="19"/>
  <c r="O299" i="19"/>
  <c r="R280" i="19"/>
  <c r="T280" i="19" s="1"/>
  <c r="V280" i="19" s="1"/>
  <c r="I212" i="19"/>
  <c r="I475" i="19"/>
  <c r="R224" i="19"/>
  <c r="T224" i="19" s="1"/>
  <c r="V224" i="19" s="1"/>
  <c r="I444" i="19"/>
  <c r="I582" i="19"/>
  <c r="O321" i="19"/>
  <c r="I321" i="19"/>
  <c r="O309" i="19"/>
  <c r="I232" i="19"/>
  <c r="I309" i="19"/>
  <c r="I276" i="19"/>
  <c r="I202" i="19"/>
  <c r="I88" i="19"/>
  <c r="R296" i="19"/>
  <c r="I296" i="19"/>
  <c r="I100" i="19"/>
  <c r="I491" i="19"/>
  <c r="I473" i="19"/>
  <c r="I584" i="19"/>
  <c r="I13" i="19"/>
  <c r="I447" i="19"/>
  <c r="I409" i="19"/>
  <c r="I417" i="19"/>
  <c r="I170" i="19"/>
  <c r="O478" i="19"/>
  <c r="R478" i="19"/>
  <c r="I226" i="19"/>
  <c r="I244" i="19"/>
  <c r="I129" i="19"/>
  <c r="I306" i="19"/>
  <c r="I495" i="19"/>
  <c r="I228" i="19"/>
  <c r="I284" i="19"/>
  <c r="I128" i="19"/>
  <c r="I502" i="19"/>
  <c r="N476" i="19"/>
  <c r="I464" i="19"/>
  <c r="I322" i="19"/>
  <c r="I453" i="19"/>
  <c r="I67" i="19"/>
  <c r="I240" i="19"/>
  <c r="I219" i="19"/>
  <c r="I127" i="19"/>
  <c r="I323" i="19"/>
  <c r="I315" i="19"/>
  <c r="I266" i="19"/>
  <c r="I104" i="19"/>
  <c r="I69" i="19"/>
  <c r="I497" i="19"/>
  <c r="I408" i="19"/>
  <c r="I585" i="19"/>
  <c r="I461" i="19"/>
  <c r="I75" i="19"/>
  <c r="N296" i="19"/>
  <c r="I479" i="19"/>
  <c r="I252" i="19"/>
  <c r="N310" i="19"/>
  <c r="O310" i="19"/>
  <c r="I496" i="19"/>
  <c r="R496" i="19"/>
  <c r="T496" i="19" s="1"/>
  <c r="V496" i="19" s="1"/>
  <c r="I474" i="19"/>
  <c r="R474" i="19"/>
  <c r="T474" i="19" s="1"/>
  <c r="V474" i="19" s="1"/>
  <c r="R462" i="19"/>
  <c r="T462" i="19" s="1"/>
  <c r="V462" i="19" s="1"/>
  <c r="I462" i="19"/>
  <c r="R438" i="19"/>
  <c r="T438" i="19" s="1"/>
  <c r="V438" i="19" s="1"/>
  <c r="I438" i="19"/>
  <c r="R283" i="19"/>
  <c r="T283" i="19" s="1"/>
  <c r="V283" i="19" s="1"/>
  <c r="I283" i="19"/>
  <c r="I267" i="19"/>
  <c r="R267" i="19"/>
  <c r="T267" i="19" s="1"/>
  <c r="V267" i="19" s="1"/>
  <c r="I211" i="19"/>
  <c r="R211" i="19"/>
  <c r="T211" i="19" s="1"/>
  <c r="V211" i="19" s="1"/>
  <c r="I102" i="19"/>
  <c r="I76" i="19"/>
  <c r="R76" i="19"/>
  <c r="T76" i="19" s="1"/>
  <c r="R481" i="19"/>
  <c r="T481" i="19" s="1"/>
  <c r="V481" i="19" s="1"/>
  <c r="I481" i="19"/>
  <c r="R494" i="19"/>
  <c r="T494" i="19" s="1"/>
  <c r="V494" i="19" s="1"/>
  <c r="I494" i="19"/>
  <c r="R459" i="19"/>
  <c r="T459" i="19" s="1"/>
  <c r="I459" i="19"/>
  <c r="O315" i="19"/>
  <c r="R277" i="19"/>
  <c r="T277" i="19" s="1"/>
  <c r="V277" i="19" s="1"/>
  <c r="I277" i="19"/>
  <c r="I272" i="19"/>
  <c r="I93" i="19"/>
  <c r="R93" i="19"/>
  <c r="T93" i="19" s="1"/>
  <c r="R451" i="19"/>
  <c r="T451" i="19" s="1"/>
  <c r="V451" i="19" s="1"/>
  <c r="I451" i="19"/>
  <c r="I416" i="19"/>
  <c r="I411" i="19"/>
  <c r="I248" i="19"/>
  <c r="R200" i="19"/>
  <c r="T200" i="19" s="1"/>
  <c r="V200" i="19" s="1"/>
  <c r="I200" i="19"/>
  <c r="I196" i="19"/>
  <c r="R196" i="19"/>
  <c r="T196" i="19" s="1"/>
  <c r="V196" i="19" s="1"/>
  <c r="I122" i="19"/>
  <c r="I77" i="19"/>
  <c r="I68" i="19"/>
  <c r="R68" i="19"/>
  <c r="T68" i="19" s="1"/>
  <c r="R498" i="19"/>
  <c r="T498" i="19" s="1"/>
  <c r="V498" i="19" s="1"/>
  <c r="I498" i="19"/>
  <c r="I431" i="19"/>
  <c r="I319" i="19"/>
  <c r="R319" i="19"/>
  <c r="X319" i="19" s="1"/>
  <c r="I313" i="19"/>
  <c r="O311" i="19"/>
  <c r="R306" i="19"/>
  <c r="X306" i="19" s="1"/>
  <c r="N306" i="19"/>
  <c r="I291" i="19"/>
  <c r="R291" i="19"/>
  <c r="X291" i="19" s="1"/>
  <c r="N291" i="19"/>
  <c r="R286" i="19"/>
  <c r="X286" i="19" s="1"/>
  <c r="R271" i="19"/>
  <c r="T271" i="19" s="1"/>
  <c r="V271" i="19" s="1"/>
  <c r="I271" i="19"/>
  <c r="R195" i="19"/>
  <c r="T195" i="19" s="1"/>
  <c r="V195" i="19" s="1"/>
  <c r="I195" i="19"/>
  <c r="I205" i="19"/>
  <c r="R493" i="19"/>
  <c r="T493" i="19" s="1"/>
  <c r="V493" i="19" s="1"/>
  <c r="I493" i="19"/>
  <c r="R472" i="19"/>
  <c r="T472" i="19" s="1"/>
  <c r="V472" i="19" s="1"/>
  <c r="I472" i="19"/>
  <c r="R323" i="19"/>
  <c r="X323" i="19" s="1"/>
  <c r="N323" i="19"/>
  <c r="O313" i="19"/>
  <c r="R289" i="19"/>
  <c r="X289" i="19" s="1"/>
  <c r="I289" i="19"/>
  <c r="R268" i="19"/>
  <c r="T268" i="19" s="1"/>
  <c r="V268" i="19" s="1"/>
  <c r="I268" i="19"/>
  <c r="I233" i="19"/>
  <c r="I194" i="19"/>
  <c r="R172" i="19"/>
  <c r="T172" i="19" s="1"/>
  <c r="V172" i="19" s="1"/>
  <c r="I172" i="19"/>
  <c r="I201" i="19"/>
  <c r="R201" i="19"/>
  <c r="T201" i="19" s="1"/>
  <c r="V201" i="19" s="1"/>
  <c r="R130" i="19"/>
  <c r="T130" i="19" s="1"/>
  <c r="I130" i="19"/>
  <c r="I124" i="19"/>
  <c r="I15" i="19"/>
  <c r="I562" i="19"/>
  <c r="R456" i="19"/>
  <c r="T456" i="19" s="1"/>
  <c r="V456" i="19" s="1"/>
  <c r="I456" i="19"/>
  <c r="I325" i="19"/>
  <c r="R325" i="19"/>
  <c r="X325" i="19" s="1"/>
  <c r="N325" i="19"/>
  <c r="N289" i="19"/>
  <c r="R80" i="19"/>
  <c r="T80" i="19" s="1"/>
  <c r="I80" i="19"/>
  <c r="R103" i="19"/>
  <c r="T103" i="19" s="1"/>
  <c r="I103" i="19"/>
  <c r="I97" i="19"/>
  <c r="R97" i="19"/>
  <c r="T97" i="19" s="1"/>
  <c r="I14" i="19"/>
  <c r="R14" i="19"/>
  <c r="T14" i="19" s="1"/>
  <c r="R477" i="19"/>
  <c r="X477" i="19" s="1"/>
  <c r="I441" i="19"/>
  <c r="R441" i="19"/>
  <c r="T441" i="19" s="1"/>
  <c r="I415" i="19"/>
  <c r="R415" i="19"/>
  <c r="T415" i="19" s="1"/>
  <c r="V415" i="19" s="1"/>
  <c r="I419" i="19"/>
  <c r="R316" i="19"/>
  <c r="X316" i="19" s="1"/>
  <c r="O316" i="19"/>
  <c r="I316" i="19"/>
  <c r="R311" i="19"/>
  <c r="X311" i="19" s="1"/>
  <c r="I311" i="19"/>
  <c r="R317" i="19"/>
  <c r="X317" i="19" s="1"/>
  <c r="O317" i="19"/>
  <c r="R300" i="19"/>
  <c r="X300" i="19" s="1"/>
  <c r="I300" i="19"/>
  <c r="R292" i="19"/>
  <c r="X292" i="19" s="1"/>
  <c r="I292" i="19"/>
  <c r="I288" i="19"/>
  <c r="R288" i="19"/>
  <c r="X288" i="19" s="1"/>
  <c r="N288" i="19"/>
  <c r="N284" i="19"/>
  <c r="R284" i="19"/>
  <c r="X284" i="19" s="1"/>
  <c r="R125" i="19"/>
  <c r="T125" i="19" s="1"/>
  <c r="I125" i="19"/>
  <c r="I89" i="19"/>
  <c r="R89" i="19"/>
  <c r="T89" i="19" s="1"/>
  <c r="R72" i="19"/>
  <c r="T72" i="19" s="1"/>
  <c r="I72" i="19"/>
  <c r="I468" i="19"/>
  <c r="R468" i="19"/>
  <c r="T468" i="19" s="1"/>
  <c r="V468" i="19" s="1"/>
  <c r="R434" i="19"/>
  <c r="T434" i="19" s="1"/>
  <c r="V434" i="19" s="1"/>
  <c r="I434" i="19"/>
  <c r="I437" i="19"/>
  <c r="R437" i="19"/>
  <c r="T437" i="19" s="1"/>
  <c r="V437" i="19" s="1"/>
  <c r="N322" i="19"/>
  <c r="R322" i="19"/>
  <c r="X322" i="19" s="1"/>
  <c r="I317" i="19"/>
  <c r="O319" i="19"/>
  <c r="R310" i="19"/>
  <c r="X310" i="19" s="1"/>
  <c r="I310" i="19"/>
  <c r="R314" i="19"/>
  <c r="X314" i="19" s="1"/>
  <c r="N314" i="19"/>
  <c r="I314" i="19"/>
  <c r="I215" i="19"/>
  <c r="R215" i="19"/>
  <c r="T215" i="19" s="1"/>
  <c r="V215" i="19" s="1"/>
  <c r="P288" i="19" l="1"/>
  <c r="P291" i="19"/>
  <c r="P285" i="19"/>
  <c r="AG476" i="19"/>
  <c r="P302" i="19"/>
  <c r="P301" i="19"/>
  <c r="P295" i="19"/>
  <c r="AG477" i="19"/>
  <c r="P284" i="19"/>
  <c r="P289" i="19"/>
  <c r="P306" i="19"/>
  <c r="P305" i="19"/>
  <c r="AG478" i="19"/>
  <c r="AG292" i="19"/>
  <c r="AG291" i="19"/>
  <c r="AG285" i="19"/>
  <c r="AG286" i="19"/>
  <c r="AG288" i="19"/>
  <c r="AG293" i="19"/>
  <c r="AG284" i="19"/>
  <c r="AG295" i="19"/>
  <c r="AG290" i="19"/>
  <c r="AG294" i="19"/>
  <c r="AG287" i="19"/>
  <c r="AG289" i="19"/>
  <c r="AG298" i="19"/>
  <c r="AG306" i="19"/>
  <c r="AG301" i="19"/>
  <c r="AG307" i="19"/>
  <c r="AG304" i="19"/>
  <c r="AG303" i="19"/>
  <c r="AG299" i="19"/>
  <c r="AG296" i="19"/>
  <c r="AG300" i="19"/>
  <c r="AG305" i="19"/>
  <c r="AG302" i="19"/>
  <c r="AG297" i="19"/>
  <c r="K292" i="19"/>
  <c r="K456" i="19"/>
  <c r="K233" i="19"/>
  <c r="K474" i="19"/>
  <c r="K284" i="19"/>
  <c r="K409" i="19"/>
  <c r="K251" i="19"/>
  <c r="K241" i="19"/>
  <c r="K246" i="19"/>
  <c r="K571" i="19"/>
  <c r="K221" i="19"/>
  <c r="K225" i="19"/>
  <c r="K505" i="19"/>
  <c r="K229" i="19"/>
  <c r="K307" i="19"/>
  <c r="K405" i="19"/>
  <c r="K213" i="19"/>
  <c r="K173" i="19"/>
  <c r="K214" i="19"/>
  <c r="K278" i="19"/>
  <c r="K210" i="19"/>
  <c r="K234" i="19"/>
  <c r="K303" i="19"/>
  <c r="K302" i="19"/>
  <c r="K215" i="19"/>
  <c r="K434" i="19"/>
  <c r="K468" i="19"/>
  <c r="K194" i="19"/>
  <c r="K472" i="19"/>
  <c r="K195" i="19"/>
  <c r="K196" i="19"/>
  <c r="K451" i="19"/>
  <c r="K283" i="19"/>
  <c r="K462" i="19"/>
  <c r="K252" i="19"/>
  <c r="K240" i="19"/>
  <c r="K228" i="19"/>
  <c r="K244" i="19"/>
  <c r="K170" i="19"/>
  <c r="K447" i="19"/>
  <c r="K276" i="19"/>
  <c r="K222" i="19"/>
  <c r="K304" i="19"/>
  <c r="K433" i="19"/>
  <c r="K253" i="19"/>
  <c r="K197" i="19"/>
  <c r="K285" i="19"/>
  <c r="K499" i="19"/>
  <c r="K198" i="19"/>
  <c r="K489" i="19"/>
  <c r="K227" i="19"/>
  <c r="K217" i="19"/>
  <c r="K287" i="19"/>
  <c r="K281" i="19"/>
  <c r="K243" i="19"/>
  <c r="K199" i="19"/>
  <c r="K250" i="19"/>
  <c r="K406" i="19"/>
  <c r="K171" i="19"/>
  <c r="K282" i="19"/>
  <c r="K239" i="19"/>
  <c r="K230" i="19"/>
  <c r="K300" i="19"/>
  <c r="K562" i="19"/>
  <c r="K291" i="19"/>
  <c r="K498" i="19"/>
  <c r="K277" i="19"/>
  <c r="K211" i="19"/>
  <c r="K479" i="19"/>
  <c r="K461" i="19"/>
  <c r="K408" i="19"/>
  <c r="K464" i="19"/>
  <c r="K473" i="19"/>
  <c r="K475" i="19"/>
  <c r="K500" i="19"/>
  <c r="K567" i="19"/>
  <c r="K279" i="19"/>
  <c r="K247" i="19"/>
  <c r="K465" i="19"/>
  <c r="K235" i="19"/>
  <c r="K231" i="19"/>
  <c r="K218" i="19"/>
  <c r="K245" i="19"/>
  <c r="K294" i="19"/>
  <c r="K237" i="19"/>
  <c r="K293" i="19"/>
  <c r="K290" i="19"/>
  <c r="K209" i="19"/>
  <c r="K295" i="19"/>
  <c r="K452" i="19"/>
  <c r="K288" i="19"/>
  <c r="K172" i="19"/>
  <c r="K289" i="19"/>
  <c r="K493" i="19"/>
  <c r="K411" i="19"/>
  <c r="K219" i="19"/>
  <c r="K453" i="19"/>
  <c r="K306" i="19"/>
  <c r="K226" i="19"/>
  <c r="K491" i="19"/>
  <c r="K232" i="19"/>
  <c r="K212" i="19"/>
  <c r="K275" i="19"/>
  <c r="K435" i="19"/>
  <c r="K490" i="19"/>
  <c r="K305" i="19"/>
  <c r="K216" i="19"/>
  <c r="K432" i="19"/>
  <c r="K238" i="19"/>
  <c r="K301" i="19"/>
  <c r="K466" i="19"/>
  <c r="K492" i="19"/>
  <c r="K220" i="19"/>
  <c r="K249" i="19"/>
  <c r="K223" i="19"/>
  <c r="K404" i="19"/>
  <c r="AG315" i="19"/>
  <c r="AG308" i="19"/>
  <c r="AG311" i="19"/>
  <c r="AG322" i="19"/>
  <c r="AG313" i="19"/>
  <c r="AG309" i="19"/>
  <c r="AG312" i="19"/>
  <c r="AG323" i="19"/>
  <c r="AG317" i="19"/>
  <c r="AG310" i="19"/>
  <c r="AG324" i="19"/>
  <c r="AG318" i="19"/>
  <c r="AG319" i="19"/>
  <c r="AG321" i="19"/>
  <c r="AG314" i="19"/>
  <c r="AG325" i="19"/>
  <c r="AG316" i="19"/>
  <c r="AG320" i="19"/>
  <c r="K274" i="19"/>
  <c r="K270" i="19"/>
  <c r="K273" i="19"/>
  <c r="K271" i="19"/>
  <c r="T304" i="19"/>
  <c r="V304" i="19" s="1"/>
  <c r="T315" i="19"/>
  <c r="V315" i="19" s="1"/>
  <c r="P323" i="19"/>
  <c r="K313" i="19"/>
  <c r="P298" i="19"/>
  <c r="K311" i="19"/>
  <c r="P318" i="19"/>
  <c r="K325" i="19"/>
  <c r="K315" i="19"/>
  <c r="K299" i="19"/>
  <c r="K201" i="19"/>
  <c r="K309" i="19"/>
  <c r="K206" i="19"/>
  <c r="K317" i="19"/>
  <c r="K310" i="19"/>
  <c r="K316" i="19"/>
  <c r="K319" i="19"/>
  <c r="K267" i="19"/>
  <c r="P310" i="19"/>
  <c r="K323" i="19"/>
  <c r="K202" i="19"/>
  <c r="K298" i="19"/>
  <c r="K208" i="19"/>
  <c r="K207" i="19"/>
  <c r="K297" i="19"/>
  <c r="P322" i="19"/>
  <c r="P325" i="19"/>
  <c r="K268" i="19"/>
  <c r="K322" i="19"/>
  <c r="K321" i="19"/>
  <c r="K312" i="19"/>
  <c r="K203" i="19"/>
  <c r="K204" i="19"/>
  <c r="K318" i="19"/>
  <c r="K437" i="19"/>
  <c r="K419" i="19"/>
  <c r="K438" i="19"/>
  <c r="K417" i="19"/>
  <c r="K439" i="19"/>
  <c r="K440" i="19"/>
  <c r="K415" i="19"/>
  <c r="K423" i="19"/>
  <c r="K421" i="19"/>
  <c r="AJ296" i="19"/>
  <c r="AU316" i="19"/>
  <c r="AW316" i="19" s="1"/>
  <c r="AJ287" i="19"/>
  <c r="AU310" i="19"/>
  <c r="AW310" i="19" s="1"/>
  <c r="AJ309" i="19"/>
  <c r="AU320" i="19"/>
  <c r="AW320" i="19" s="1"/>
  <c r="AU308" i="19"/>
  <c r="AW308" i="19" s="1"/>
  <c r="AJ292" i="19"/>
  <c r="AU290" i="19"/>
  <c r="AW290" i="19" s="1"/>
  <c r="AJ324" i="19"/>
  <c r="AJ316" i="19"/>
  <c r="AJ290" i="19"/>
  <c r="AJ320" i="19"/>
  <c r="AJ286" i="19"/>
  <c r="AU289" i="19"/>
  <c r="AW289" i="19" s="1"/>
  <c r="AJ293" i="19"/>
  <c r="AU306" i="19"/>
  <c r="AW306" i="19" s="1"/>
  <c r="AU297" i="19"/>
  <c r="AW297" i="19" s="1"/>
  <c r="AJ314" i="19"/>
  <c r="AU301" i="19"/>
  <c r="AW301" i="19" s="1"/>
  <c r="AJ303" i="19"/>
  <c r="AJ325" i="19"/>
  <c r="AU319" i="19"/>
  <c r="AW319" i="19" s="1"/>
  <c r="AU295" i="19"/>
  <c r="AW295" i="19" s="1"/>
  <c r="AJ318" i="19"/>
  <c r="AJ288" i="19"/>
  <c r="AU477" i="19"/>
  <c r="AW477" i="19" s="1"/>
  <c r="AJ319" i="19"/>
  <c r="AU287" i="19"/>
  <c r="AW287" i="19" s="1"/>
  <c r="AU313" i="19"/>
  <c r="AW313" i="19" s="1"/>
  <c r="AJ291" i="19"/>
  <c r="AU324" i="19"/>
  <c r="AW324" i="19" s="1"/>
  <c r="AJ284" i="19"/>
  <c r="AJ315" i="19"/>
  <c r="AK315" i="19"/>
  <c r="AU299" i="19"/>
  <c r="AW299" i="19" s="1"/>
  <c r="AJ298" i="19"/>
  <c r="AU309" i="19"/>
  <c r="AW309" i="19" s="1"/>
  <c r="AV309" i="19"/>
  <c r="AJ310" i="19"/>
  <c r="AJ294" i="19"/>
  <c r="AJ300" i="19"/>
  <c r="AJ477" i="19"/>
  <c r="AJ311" i="19"/>
  <c r="AJ322" i="19"/>
  <c r="AJ305" i="19"/>
  <c r="AJ302" i="19"/>
  <c r="AJ312" i="19"/>
  <c r="AK312" i="19"/>
  <c r="AU311" i="19"/>
  <c r="AW311" i="19" s="1"/>
  <c r="AU322" i="19"/>
  <c r="AW322" i="19" s="1"/>
  <c r="AV322" i="19"/>
  <c r="AJ321" i="19"/>
  <c r="AJ297" i="19"/>
  <c r="AU318" i="19"/>
  <c r="AW318" i="19" s="1"/>
  <c r="AU304" i="19"/>
  <c r="AW304" i="19" s="1"/>
  <c r="AU315" i="19"/>
  <c r="AW315" i="19" s="1"/>
  <c r="AV315" i="19"/>
  <c r="AJ299" i="19"/>
  <c r="AU325" i="19"/>
  <c r="AW325" i="19" s="1"/>
  <c r="AV325" i="19"/>
  <c r="AJ476" i="19"/>
  <c r="AK476" i="19"/>
  <c r="AU314" i="19"/>
  <c r="AW314" i="19" s="1"/>
  <c r="AJ313" i="19"/>
  <c r="AU302" i="19"/>
  <c r="AW302" i="19" s="1"/>
  <c r="AU478" i="19"/>
  <c r="AW478" i="19" s="1"/>
  <c r="AU288" i="19"/>
  <c r="AW288" i="19" s="1"/>
  <c r="AJ323" i="19"/>
  <c r="AK323" i="19"/>
  <c r="AU307" i="19"/>
  <c r="AW307" i="19" s="1"/>
  <c r="AU298" i="19"/>
  <c r="AW298" i="19" s="1"/>
  <c r="AJ301" i="19"/>
  <c r="AJ285" i="19"/>
  <c r="AU300" i="19"/>
  <c r="AW300" i="19" s="1"/>
  <c r="AV300" i="19"/>
  <c r="AU323" i="19"/>
  <c r="AW323" i="19" s="1"/>
  <c r="AJ307" i="19"/>
  <c r="AK307" i="19"/>
  <c r="AU293" i="19"/>
  <c r="AW293" i="19" s="1"/>
  <c r="AV293" i="19"/>
  <c r="AU476" i="19"/>
  <c r="AW476" i="19" s="1"/>
  <c r="AJ308" i="19"/>
  <c r="AU292" i="19"/>
  <c r="AW292" i="19" s="1"/>
  <c r="AU284" i="19"/>
  <c r="AW284" i="19" s="1"/>
  <c r="AU303" i="19"/>
  <c r="AW303" i="19" s="1"/>
  <c r="AJ289" i="19"/>
  <c r="AJ478" i="19"/>
  <c r="AJ304" i="19"/>
  <c r="AK304" i="19"/>
  <c r="AJ295" i="19"/>
  <c r="AJ306" i="19"/>
  <c r="AU286" i="19"/>
  <c r="AW286" i="19" s="1"/>
  <c r="AU312" i="19"/>
  <c r="AW312" i="19" s="1"/>
  <c r="AV312" i="19"/>
  <c r="AU296" i="19"/>
  <c r="AW296" i="19" s="1"/>
  <c r="AJ317" i="19"/>
  <c r="AK317" i="19"/>
  <c r="AU294" i="19"/>
  <c r="AW294" i="19" s="1"/>
  <c r="AV294" i="19"/>
  <c r="AU291" i="19"/>
  <c r="AW291" i="19" s="1"/>
  <c r="AV291" i="19"/>
  <c r="AU317" i="19"/>
  <c r="AW317" i="19" s="1"/>
  <c r="AV317" i="19"/>
  <c r="AU285" i="19"/>
  <c r="AW285" i="19" s="1"/>
  <c r="AV285" i="19"/>
  <c r="AU321" i="19"/>
  <c r="AW321" i="19" s="1"/>
  <c r="AV321" i="19"/>
  <c r="AU305" i="19"/>
  <c r="AW305" i="19" s="1"/>
  <c r="AV305" i="19"/>
  <c r="T312" i="19"/>
  <c r="V312" i="19" s="1"/>
  <c r="Y312" i="19"/>
  <c r="AA312" i="19" s="1"/>
  <c r="T313" i="19"/>
  <c r="V313" i="19" s="1"/>
  <c r="T290" i="19"/>
  <c r="V290" i="19" s="1"/>
  <c r="T297" i="19"/>
  <c r="V297" i="19" s="1"/>
  <c r="K496" i="19"/>
  <c r="K495" i="19"/>
  <c r="K478" i="19"/>
  <c r="K481" i="19"/>
  <c r="K482" i="19"/>
  <c r="K502" i="19"/>
  <c r="X294" i="19"/>
  <c r="Z294" i="19" s="1"/>
  <c r="T309" i="19"/>
  <c r="V309" i="19" s="1"/>
  <c r="T308" i="19"/>
  <c r="V308" i="19" s="1"/>
  <c r="X305" i="19"/>
  <c r="Z305" i="19" s="1"/>
  <c r="T299" i="19"/>
  <c r="V299" i="19" s="1"/>
  <c r="X321" i="19"/>
  <c r="Y321" i="19" s="1"/>
  <c r="AA321" i="19" s="1"/>
  <c r="X320" i="19"/>
  <c r="Z320" i="19" s="1"/>
  <c r="T293" i="19"/>
  <c r="V293" i="19" s="1"/>
  <c r="X307" i="19"/>
  <c r="Y307" i="19" s="1"/>
  <c r="AA307" i="19" s="1"/>
  <c r="Y308" i="19"/>
  <c r="AA308" i="19" s="1"/>
  <c r="T295" i="19"/>
  <c r="V295" i="19" s="1"/>
  <c r="Z295" i="19"/>
  <c r="Y295" i="19"/>
  <c r="AA295" i="19" s="1"/>
  <c r="Y304" i="19"/>
  <c r="AA304" i="19" s="1"/>
  <c r="X298" i="19"/>
  <c r="Y298" i="19" s="1"/>
  <c r="AA298" i="19" s="1"/>
  <c r="X301" i="19"/>
  <c r="Z301" i="19" s="1"/>
  <c r="X287" i="19"/>
  <c r="Y287" i="19" s="1"/>
  <c r="AA287" i="19" s="1"/>
  <c r="T287" i="19"/>
  <c r="V287" i="19" s="1"/>
  <c r="K296" i="19"/>
  <c r="P296" i="19"/>
  <c r="Y315" i="19"/>
  <c r="AA315" i="19" s="1"/>
  <c r="Y290" i="19"/>
  <c r="AA290" i="19" s="1"/>
  <c r="Y293" i="19"/>
  <c r="AA293" i="19" s="1"/>
  <c r="Z297" i="19"/>
  <c r="X478" i="19"/>
  <c r="Z478" i="19" s="1"/>
  <c r="X476" i="19"/>
  <c r="Z476" i="19" s="1"/>
  <c r="X318" i="19"/>
  <c r="Z318" i="19" s="1"/>
  <c r="X303" i="19"/>
  <c r="Z303" i="19" s="1"/>
  <c r="T302" i="19"/>
  <c r="V302" i="19" s="1"/>
  <c r="X302" i="19"/>
  <c r="Y302" i="19" s="1"/>
  <c r="AA302" i="19" s="1"/>
  <c r="T324" i="19"/>
  <c r="V324" i="19" s="1"/>
  <c r="X324" i="19"/>
  <c r="Z324" i="19" s="1"/>
  <c r="X296" i="19"/>
  <c r="Z296" i="19" s="1"/>
  <c r="T285" i="19"/>
  <c r="V285" i="19" s="1"/>
  <c r="X285" i="19"/>
  <c r="Z285" i="19" s="1"/>
  <c r="O292" i="19"/>
  <c r="K416" i="19"/>
  <c r="K266" i="19"/>
  <c r="K414" i="19"/>
  <c r="O300" i="19"/>
  <c r="K422" i="19"/>
  <c r="K476" i="19"/>
  <c r="K272" i="19"/>
  <c r="N304" i="19"/>
  <c r="K269" i="19"/>
  <c r="K480" i="19"/>
  <c r="P476" i="19"/>
  <c r="K420" i="19"/>
  <c r="K412" i="19"/>
  <c r="K205" i="19"/>
  <c r="K200" i="19"/>
  <c r="O308" i="19"/>
  <c r="O320" i="19"/>
  <c r="K314" i="19"/>
  <c r="P314" i="19"/>
  <c r="K320" i="19"/>
  <c r="K308" i="19"/>
  <c r="K248" i="19"/>
  <c r="K242" i="19"/>
  <c r="K236" i="19"/>
  <c r="K504" i="19"/>
  <c r="K501" i="19"/>
  <c r="K497" i="19"/>
  <c r="K494" i="19"/>
  <c r="K436" i="19"/>
  <c r="N324" i="19"/>
  <c r="O295" i="19"/>
  <c r="T303" i="19"/>
  <c r="V303" i="19" s="1"/>
  <c r="N293" i="19"/>
  <c r="O298" i="19"/>
  <c r="N312" i="19"/>
  <c r="N297" i="19"/>
  <c r="N290" i="19"/>
  <c r="N294" i="19"/>
  <c r="N303" i="19"/>
  <c r="T318" i="19"/>
  <c r="V318" i="19" s="1"/>
  <c r="O301" i="19"/>
  <c r="N287" i="19"/>
  <c r="N320" i="19"/>
  <c r="O302" i="19"/>
  <c r="N309" i="19"/>
  <c r="O305" i="19"/>
  <c r="T476" i="19"/>
  <c r="V476" i="19" s="1"/>
  <c r="N321" i="19"/>
  <c r="T296" i="19"/>
  <c r="V296" i="19" s="1"/>
  <c r="Y309" i="19"/>
  <c r="AA309" i="19" s="1"/>
  <c r="O304" i="19"/>
  <c r="N308" i="19"/>
  <c r="O318" i="19"/>
  <c r="N299" i="19"/>
  <c r="N478" i="19"/>
  <c r="N286" i="19"/>
  <c r="T478" i="19"/>
  <c r="V478" i="19" s="1"/>
  <c r="N477" i="19"/>
  <c r="N315" i="19"/>
  <c r="O307" i="19"/>
  <c r="N307" i="19"/>
  <c r="Y299" i="19"/>
  <c r="AA299" i="19" s="1"/>
  <c r="N317" i="19"/>
  <c r="N292" i="19"/>
  <c r="Z316" i="19"/>
  <c r="T316" i="19"/>
  <c r="V316" i="19" s="1"/>
  <c r="N300" i="19"/>
  <c r="Z311" i="19"/>
  <c r="T311" i="19"/>
  <c r="V311" i="19" s="1"/>
  <c r="Z289" i="19"/>
  <c r="T289" i="19"/>
  <c r="V289" i="19" s="1"/>
  <c r="T317" i="19"/>
  <c r="V317" i="19" s="1"/>
  <c r="Z317" i="19"/>
  <c r="N313" i="19"/>
  <c r="T319" i="19"/>
  <c r="V319" i="19" s="1"/>
  <c r="Z319" i="19"/>
  <c r="N319" i="19"/>
  <c r="Z284" i="19"/>
  <c r="T284" i="19"/>
  <c r="V284" i="19" s="1"/>
  <c r="Z292" i="19"/>
  <c r="T292" i="19"/>
  <c r="V292" i="19" s="1"/>
  <c r="Z286" i="19"/>
  <c r="T286" i="19"/>
  <c r="V286" i="19" s="1"/>
  <c r="Z314" i="19"/>
  <c r="T314" i="19"/>
  <c r="V314" i="19" s="1"/>
  <c r="Z310" i="19"/>
  <c r="T310" i="19"/>
  <c r="V310" i="19" s="1"/>
  <c r="N316" i="19"/>
  <c r="Y313" i="19"/>
  <c r="AA313" i="19" s="1"/>
  <c r="N311" i="19"/>
  <c r="T477" i="19"/>
  <c r="V477" i="19" s="1"/>
  <c r="Z477" i="19"/>
  <c r="T323" i="19"/>
  <c r="V323" i="19" s="1"/>
  <c r="Z323" i="19"/>
  <c r="Z306" i="19"/>
  <c r="T306" i="19"/>
  <c r="V306" i="19" s="1"/>
  <c r="T322" i="19"/>
  <c r="V322" i="19" s="1"/>
  <c r="Z322" i="19"/>
  <c r="T288" i="19"/>
  <c r="V288" i="19" s="1"/>
  <c r="Z288" i="19"/>
  <c r="Z291" i="19"/>
  <c r="T291" i="19"/>
  <c r="V291" i="19" s="1"/>
  <c r="T300" i="19"/>
  <c r="V300" i="19" s="1"/>
  <c r="Z300" i="19"/>
  <c r="T325" i="19"/>
  <c r="V325" i="19" s="1"/>
  <c r="Z325" i="19"/>
  <c r="P307" i="19" l="1"/>
  <c r="P290" i="19"/>
  <c r="P293" i="19"/>
  <c r="AL478" i="19"/>
  <c r="P292" i="19"/>
  <c r="P286" i="19"/>
  <c r="P304" i="19"/>
  <c r="AL477" i="19"/>
  <c r="P300" i="19"/>
  <c r="P303" i="19"/>
  <c r="AL476" i="19"/>
  <c r="P287" i="19"/>
  <c r="P294" i="19"/>
  <c r="AL293" i="19"/>
  <c r="AL290" i="19"/>
  <c r="AL292" i="19"/>
  <c r="AL295" i="19"/>
  <c r="AL289" i="19"/>
  <c r="AL291" i="19"/>
  <c r="AL287" i="19"/>
  <c r="AL285" i="19"/>
  <c r="AL286" i="19"/>
  <c r="AL288" i="19"/>
  <c r="AL294" i="19"/>
  <c r="AL284" i="19"/>
  <c r="AL297" i="19"/>
  <c r="AL300" i="19"/>
  <c r="AL304" i="19"/>
  <c r="AL301" i="19"/>
  <c r="AL298" i="19"/>
  <c r="AL303" i="19"/>
  <c r="AL296" i="19"/>
  <c r="AL307" i="19"/>
  <c r="AL305" i="19"/>
  <c r="AL306" i="19"/>
  <c r="AL299" i="19"/>
  <c r="AL302" i="19"/>
  <c r="AL308" i="19"/>
  <c r="AL314" i="19"/>
  <c r="AL316" i="19"/>
  <c r="AL315" i="19"/>
  <c r="AL325" i="19"/>
  <c r="AL317" i="19"/>
  <c r="AL323" i="19"/>
  <c r="AL313" i="19"/>
  <c r="AL321" i="19"/>
  <c r="AL322" i="19"/>
  <c r="AL318" i="19"/>
  <c r="AL320" i="19"/>
  <c r="AL309" i="19"/>
  <c r="AL324" i="19"/>
  <c r="AL312" i="19"/>
  <c r="AL311" i="19"/>
  <c r="AL310" i="19"/>
  <c r="AL319" i="19"/>
  <c r="P309" i="19"/>
  <c r="P316" i="19"/>
  <c r="P321" i="19"/>
  <c r="P297" i="19"/>
  <c r="P317" i="19"/>
  <c r="P315" i="19"/>
  <c r="P312" i="19"/>
  <c r="P319" i="19"/>
  <c r="P311" i="19"/>
  <c r="P313" i="19"/>
  <c r="P299" i="19"/>
  <c r="P324" i="19"/>
  <c r="Z307" i="19"/>
  <c r="Z321" i="19"/>
  <c r="Y301" i="19"/>
  <c r="AA301" i="19" s="1"/>
  <c r="Y294" i="19"/>
  <c r="AA294" i="19" s="1"/>
  <c r="P477" i="19"/>
  <c r="P478" i="19"/>
  <c r="Y305" i="19"/>
  <c r="AA305" i="19" s="1"/>
  <c r="Y320" i="19"/>
  <c r="AA320" i="19" s="1"/>
  <c r="Z298" i="19"/>
  <c r="Y478" i="19"/>
  <c r="AA478" i="19" s="1"/>
  <c r="Z287" i="19"/>
  <c r="Y318" i="19"/>
  <c r="AA318" i="19" s="1"/>
  <c r="Y303" i="19"/>
  <c r="AA303" i="19" s="1"/>
  <c r="Y476" i="19"/>
  <c r="AA476" i="19" s="1"/>
  <c r="Z302" i="19"/>
  <c r="Y296" i="19"/>
  <c r="AA296" i="19" s="1"/>
  <c r="P308" i="19"/>
  <c r="P320" i="19"/>
  <c r="Y324" i="19"/>
  <c r="AA324" i="19" s="1"/>
  <c r="Y285" i="19"/>
  <c r="AA285" i="19" s="1"/>
  <c r="Y310" i="19"/>
  <c r="AA310" i="19" s="1"/>
  <c r="Y323" i="19"/>
  <c r="AA323" i="19" s="1"/>
  <c r="Y311" i="19"/>
  <c r="AA311" i="19" s="1"/>
  <c r="Y317" i="19"/>
  <c r="AA317" i="19" s="1"/>
  <c r="Y477" i="19"/>
  <c r="AA477" i="19" s="1"/>
  <c r="Y300" i="19"/>
  <c r="AA300" i="19" s="1"/>
  <c r="Y289" i="19"/>
  <c r="AA289" i="19" s="1"/>
  <c r="Y322" i="19"/>
  <c r="AA322" i="19" s="1"/>
  <c r="Y292" i="19"/>
  <c r="AA292" i="19" s="1"/>
  <c r="Y319" i="19"/>
  <c r="AA319" i="19" s="1"/>
  <c r="Y291" i="19"/>
  <c r="AA291" i="19" s="1"/>
  <c r="Y314" i="19"/>
  <c r="AA314" i="19" s="1"/>
  <c r="Y306" i="19"/>
  <c r="AA306" i="19" s="1"/>
  <c r="Y325" i="19"/>
  <c r="AA325" i="19" s="1"/>
  <c r="Y288" i="19"/>
  <c r="AA288" i="19" s="1"/>
  <c r="Y286" i="19"/>
  <c r="AA286" i="19" s="1"/>
  <c r="Y284" i="19"/>
  <c r="AA284" i="19" s="1"/>
  <c r="Y316" i="19"/>
  <c r="AA316" i="19" s="1"/>
  <c r="U342" i="16" l="1"/>
  <c r="T342" i="16"/>
  <c r="S342" i="16"/>
  <c r="R342" i="16"/>
  <c r="Q342" i="16"/>
  <c r="P342" i="16"/>
  <c r="H342" i="16"/>
  <c r="U341" i="16"/>
  <c r="T341" i="16"/>
  <c r="S341" i="16"/>
  <c r="R341" i="16"/>
  <c r="Q341" i="16"/>
  <c r="P341" i="16"/>
  <c r="H341" i="16"/>
  <c r="U340" i="16"/>
  <c r="T340" i="16"/>
  <c r="S340" i="16"/>
  <c r="R340" i="16"/>
  <c r="Q340" i="16"/>
  <c r="P340" i="16"/>
  <c r="H340" i="16"/>
  <c r="U339" i="16"/>
  <c r="T339" i="16"/>
  <c r="S339" i="16"/>
  <c r="R339" i="16"/>
  <c r="Q339" i="16"/>
  <c r="P339" i="16"/>
  <c r="H339" i="16"/>
  <c r="U338" i="16"/>
  <c r="T338" i="16"/>
  <c r="S338" i="16"/>
  <c r="R338" i="16"/>
  <c r="Q338" i="16"/>
  <c r="P338" i="16"/>
  <c r="J338" i="16"/>
  <c r="H338" i="16" s="1"/>
  <c r="U337" i="16"/>
  <c r="T337" i="16"/>
  <c r="S337" i="16"/>
  <c r="R337" i="16"/>
  <c r="Q337" i="16"/>
  <c r="P337" i="16"/>
  <c r="J337" i="16"/>
  <c r="H337" i="16" s="1"/>
  <c r="U336" i="16"/>
  <c r="T336" i="16"/>
  <c r="S336" i="16"/>
  <c r="R336" i="16"/>
  <c r="Q336" i="16"/>
  <c r="P336" i="16"/>
  <c r="J336" i="16"/>
  <c r="H336" i="16" s="1"/>
  <c r="U335" i="16"/>
  <c r="T335" i="16"/>
  <c r="S335" i="16"/>
  <c r="R335" i="16"/>
  <c r="Q335" i="16"/>
  <c r="P335" i="16"/>
  <c r="J335" i="16"/>
  <c r="H335" i="16" s="1"/>
  <c r="U334" i="16"/>
  <c r="T334" i="16"/>
  <c r="S334" i="16"/>
  <c r="R334" i="16"/>
  <c r="Q334" i="16"/>
  <c r="P334" i="16"/>
  <c r="J334" i="16"/>
  <c r="H334" i="16" s="1"/>
  <c r="U333" i="16"/>
  <c r="T333" i="16"/>
  <c r="S333" i="16"/>
  <c r="R333" i="16"/>
  <c r="Q333" i="16"/>
  <c r="P333" i="16"/>
  <c r="J333" i="16"/>
  <c r="H333" i="16" s="1"/>
  <c r="U332" i="16"/>
  <c r="T332" i="16"/>
  <c r="S332" i="16"/>
  <c r="R332" i="16"/>
  <c r="Q332" i="16"/>
  <c r="P332" i="16"/>
  <c r="H332" i="16"/>
  <c r="U331" i="16"/>
  <c r="T331" i="16"/>
  <c r="S331" i="16"/>
  <c r="R331" i="16"/>
  <c r="Q331" i="16"/>
  <c r="P331" i="16"/>
  <c r="H331" i="16"/>
  <c r="U330" i="16"/>
  <c r="T330" i="16"/>
  <c r="S330" i="16"/>
  <c r="R330" i="16"/>
  <c r="Q330" i="16"/>
  <c r="P330" i="16"/>
  <c r="H330" i="16"/>
  <c r="U329" i="16"/>
  <c r="T329" i="16"/>
  <c r="S329" i="16"/>
  <c r="R329" i="16"/>
  <c r="Q329" i="16"/>
  <c r="P329" i="16"/>
  <c r="J329" i="16"/>
  <c r="H329" i="16" s="1"/>
  <c r="U328" i="16"/>
  <c r="T328" i="16"/>
  <c r="S328" i="16"/>
  <c r="R328" i="16"/>
  <c r="Q328" i="16"/>
  <c r="P328" i="16"/>
  <c r="J328" i="16"/>
  <c r="H328" i="16" s="1"/>
  <c r="U327" i="16"/>
  <c r="T327" i="16"/>
  <c r="S327" i="16"/>
  <c r="R327" i="16"/>
  <c r="Q327" i="16"/>
  <c r="P327" i="16"/>
  <c r="J327" i="16"/>
  <c r="H327" i="16" s="1"/>
  <c r="U326" i="16"/>
  <c r="T326" i="16"/>
  <c r="S326" i="16"/>
  <c r="R326" i="16"/>
  <c r="Q326" i="16"/>
  <c r="P326" i="16"/>
  <c r="J326" i="16"/>
  <c r="H326" i="16" s="1"/>
  <c r="U325" i="16"/>
  <c r="T325" i="16"/>
  <c r="S325" i="16"/>
  <c r="R325" i="16"/>
  <c r="Q325" i="16"/>
  <c r="P325" i="16"/>
  <c r="J325" i="16"/>
  <c r="H325" i="16" s="1"/>
  <c r="U324" i="16"/>
  <c r="T324" i="16"/>
  <c r="S324" i="16"/>
  <c r="R324" i="16"/>
  <c r="Q324" i="16"/>
  <c r="P324" i="16"/>
  <c r="J324" i="16"/>
  <c r="H324" i="16" s="1"/>
  <c r="U323" i="16"/>
  <c r="T323" i="16"/>
  <c r="S323" i="16"/>
  <c r="R323" i="16"/>
  <c r="Q323" i="16"/>
  <c r="P323" i="16"/>
  <c r="J323" i="16"/>
  <c r="H323" i="16" s="1"/>
  <c r="U322" i="16"/>
  <c r="T322" i="16"/>
  <c r="S322" i="16"/>
  <c r="R322" i="16"/>
  <c r="Q322" i="16"/>
  <c r="P322" i="16"/>
  <c r="J322" i="16"/>
  <c r="H322" i="16" s="1"/>
  <c r="U321" i="16"/>
  <c r="T321" i="16"/>
  <c r="S321" i="16"/>
  <c r="R321" i="16"/>
  <c r="Q321" i="16"/>
  <c r="P321" i="16"/>
  <c r="H321" i="16"/>
  <c r="U320" i="16"/>
  <c r="T320" i="16"/>
  <c r="S320" i="16"/>
  <c r="R320" i="16"/>
  <c r="Q320" i="16"/>
  <c r="P320" i="16"/>
  <c r="H320" i="16"/>
  <c r="U319" i="16"/>
  <c r="T319" i="16"/>
  <c r="S319" i="16"/>
  <c r="R319" i="16"/>
  <c r="Q319" i="16"/>
  <c r="P319" i="16"/>
  <c r="J319" i="16"/>
  <c r="H319" i="16" s="1"/>
  <c r="U318" i="16"/>
  <c r="T318" i="16"/>
  <c r="S318" i="16"/>
  <c r="R318" i="16"/>
  <c r="Q318" i="16"/>
  <c r="P318" i="16"/>
  <c r="J318" i="16"/>
  <c r="H318" i="16" s="1"/>
  <c r="U317" i="16"/>
  <c r="T317" i="16"/>
  <c r="S317" i="16"/>
  <c r="R317" i="16"/>
  <c r="Q317" i="16"/>
  <c r="P317" i="16"/>
  <c r="J317" i="16"/>
  <c r="H317" i="16" s="1"/>
  <c r="U316" i="16"/>
  <c r="T316" i="16"/>
  <c r="S316" i="16"/>
  <c r="R316" i="16"/>
  <c r="Q316" i="16"/>
  <c r="P316" i="16"/>
  <c r="J316" i="16"/>
  <c r="H316" i="16" s="1"/>
  <c r="U291" i="16"/>
  <c r="T291" i="16"/>
  <c r="S291" i="16"/>
  <c r="R291" i="16"/>
  <c r="Q291" i="16"/>
  <c r="P291" i="16"/>
  <c r="J291" i="16"/>
  <c r="H291" i="16" s="1"/>
  <c r="U290" i="16"/>
  <c r="T290" i="16"/>
  <c r="S290" i="16"/>
  <c r="R290" i="16"/>
  <c r="Q290" i="16"/>
  <c r="P290" i="16"/>
  <c r="J290" i="16"/>
  <c r="H290" i="16" s="1"/>
  <c r="U285" i="16"/>
  <c r="T285" i="16"/>
  <c r="S285" i="16"/>
  <c r="R285" i="16"/>
  <c r="Q285" i="16"/>
  <c r="P285" i="16"/>
  <c r="H285" i="16"/>
  <c r="U284" i="16"/>
  <c r="T284" i="16"/>
  <c r="S284" i="16"/>
  <c r="R284" i="16"/>
  <c r="Q284" i="16"/>
  <c r="P284" i="16"/>
  <c r="J284" i="16"/>
  <c r="H284" i="16" s="1"/>
  <c r="U283" i="16"/>
  <c r="T283" i="16"/>
  <c r="S283" i="16"/>
  <c r="R283" i="16"/>
  <c r="Q283" i="16"/>
  <c r="P283" i="16"/>
  <c r="H283" i="16"/>
  <c r="U282" i="16"/>
  <c r="T282" i="16"/>
  <c r="S282" i="16"/>
  <c r="R282" i="16"/>
  <c r="Q282" i="16"/>
  <c r="P282" i="16"/>
  <c r="J282" i="16"/>
  <c r="H282" i="16" s="1"/>
  <c r="U281" i="16"/>
  <c r="T281" i="16"/>
  <c r="S281" i="16"/>
  <c r="R281" i="16"/>
  <c r="Q281" i="16"/>
  <c r="P281" i="16"/>
  <c r="J281" i="16"/>
  <c r="H281" i="16" s="1"/>
  <c r="U280" i="16"/>
  <c r="T280" i="16"/>
  <c r="S280" i="16"/>
  <c r="R280" i="16"/>
  <c r="Q280" i="16"/>
  <c r="P280" i="16"/>
  <c r="J280" i="16"/>
  <c r="H280" i="16" s="1"/>
  <c r="U279" i="16"/>
  <c r="T279" i="16"/>
  <c r="S279" i="16"/>
  <c r="R279" i="16"/>
  <c r="Q279" i="16"/>
  <c r="P279" i="16"/>
  <c r="J279" i="16"/>
  <c r="H279" i="16" s="1"/>
  <c r="U273" i="16"/>
  <c r="T273" i="16"/>
  <c r="S273" i="16"/>
  <c r="R273" i="16"/>
  <c r="Q273" i="16"/>
  <c r="P273" i="16"/>
  <c r="U270" i="16"/>
  <c r="T270" i="16"/>
  <c r="S270" i="16"/>
  <c r="R270" i="16"/>
  <c r="Q270" i="16"/>
  <c r="P270" i="16"/>
  <c r="J270" i="16"/>
  <c r="I270" i="16" s="1"/>
  <c r="U267" i="16"/>
  <c r="T267" i="16"/>
  <c r="S267" i="16"/>
  <c r="R267" i="16"/>
  <c r="Q267" i="16"/>
  <c r="P267" i="16"/>
  <c r="J267" i="16"/>
  <c r="I267" i="16" s="1"/>
  <c r="U266" i="16"/>
  <c r="T266" i="16"/>
  <c r="S266" i="16"/>
  <c r="R266" i="16"/>
  <c r="Q266" i="16"/>
  <c r="P266" i="16"/>
  <c r="J266" i="16"/>
  <c r="I266" i="16" s="1"/>
  <c r="U264" i="16"/>
  <c r="T264" i="16"/>
  <c r="S264" i="16"/>
  <c r="R264" i="16"/>
  <c r="Q264" i="16"/>
  <c r="P264" i="16"/>
  <c r="J264" i="16"/>
  <c r="I264" i="16" s="1"/>
  <c r="U263" i="16"/>
  <c r="T263" i="16"/>
  <c r="S263" i="16"/>
  <c r="R263" i="16"/>
  <c r="Q263" i="16"/>
  <c r="P263" i="16"/>
  <c r="I263" i="16"/>
  <c r="H263" i="16"/>
  <c r="U262" i="16"/>
  <c r="T262" i="16"/>
  <c r="S262" i="16"/>
  <c r="R262" i="16"/>
  <c r="Q262" i="16"/>
  <c r="P262" i="16"/>
  <c r="I262" i="16"/>
  <c r="H262" i="16"/>
  <c r="U261" i="16"/>
  <c r="T261" i="16"/>
  <c r="S261" i="16"/>
  <c r="R261" i="16"/>
  <c r="Q261" i="16"/>
  <c r="P261" i="16"/>
  <c r="I261" i="16"/>
  <c r="H261" i="16"/>
  <c r="U260" i="16"/>
  <c r="T260" i="16"/>
  <c r="S260" i="16"/>
  <c r="R260" i="16"/>
  <c r="Q260" i="16"/>
  <c r="P260" i="16"/>
  <c r="J260" i="16"/>
  <c r="I260" i="16" s="1"/>
  <c r="U259" i="16"/>
  <c r="T259" i="16"/>
  <c r="S259" i="16"/>
  <c r="R259" i="16"/>
  <c r="Q259" i="16"/>
  <c r="P259" i="16"/>
  <c r="J259" i="16"/>
  <c r="I259" i="16" s="1"/>
  <c r="U247" i="16"/>
  <c r="T247" i="16"/>
  <c r="S247" i="16"/>
  <c r="R247" i="16"/>
  <c r="Q247" i="16"/>
  <c r="P247" i="16"/>
  <c r="U246" i="16"/>
  <c r="T246" i="16"/>
  <c r="S246" i="16"/>
  <c r="R246" i="16"/>
  <c r="Q246" i="16"/>
  <c r="P246" i="16"/>
  <c r="J246" i="16"/>
  <c r="I246" i="16" s="1"/>
  <c r="U245" i="16"/>
  <c r="T245" i="16"/>
  <c r="S245" i="16"/>
  <c r="R245" i="16"/>
  <c r="Q245" i="16"/>
  <c r="P245" i="16"/>
  <c r="J245" i="16"/>
  <c r="I245" i="16" s="1"/>
  <c r="U244" i="16"/>
  <c r="T244" i="16"/>
  <c r="S244" i="16"/>
  <c r="R244" i="16"/>
  <c r="Q244" i="16"/>
  <c r="P244" i="16"/>
  <c r="U243" i="16"/>
  <c r="T243" i="16"/>
  <c r="S243" i="16"/>
  <c r="R243" i="16"/>
  <c r="Q243" i="16"/>
  <c r="P243" i="16"/>
  <c r="U242" i="16"/>
  <c r="T242" i="16"/>
  <c r="S242" i="16"/>
  <c r="R242" i="16"/>
  <c r="Q242" i="16"/>
  <c r="P242" i="16"/>
  <c r="J242" i="16"/>
  <c r="I242" i="16" s="1"/>
  <c r="U241" i="16"/>
  <c r="T241" i="16"/>
  <c r="S241" i="16"/>
  <c r="R241" i="16"/>
  <c r="Q241" i="16"/>
  <c r="P241" i="16"/>
  <c r="J241" i="16"/>
  <c r="I241" i="16" s="1"/>
  <c r="U240" i="16"/>
  <c r="T240" i="16"/>
  <c r="S240" i="16"/>
  <c r="R240" i="16"/>
  <c r="Q240" i="16"/>
  <c r="P240" i="16"/>
  <c r="J240" i="16"/>
  <c r="I240" i="16" s="1"/>
  <c r="U239" i="16"/>
  <c r="T239" i="16"/>
  <c r="S239" i="16"/>
  <c r="R239" i="16"/>
  <c r="Q239" i="16"/>
  <c r="P239" i="16"/>
  <c r="J239" i="16"/>
  <c r="H239" i="16" s="1"/>
  <c r="U230" i="16"/>
  <c r="T230" i="16"/>
  <c r="S230" i="16"/>
  <c r="R230" i="16"/>
  <c r="Q230" i="16"/>
  <c r="P230" i="16"/>
  <c r="J230" i="16"/>
  <c r="I230" i="16" s="1"/>
  <c r="U229" i="16"/>
  <c r="T229" i="16"/>
  <c r="S229" i="16"/>
  <c r="R229" i="16"/>
  <c r="Q229" i="16"/>
  <c r="P229" i="16"/>
  <c r="J229" i="16"/>
  <c r="I229" i="16" s="1"/>
  <c r="U227" i="16"/>
  <c r="T227" i="16"/>
  <c r="S227" i="16"/>
  <c r="R227" i="16"/>
  <c r="Q227" i="16"/>
  <c r="P227" i="16"/>
  <c r="I227" i="16"/>
  <c r="H227" i="16"/>
  <c r="U226" i="16"/>
  <c r="T226" i="16"/>
  <c r="S226" i="16"/>
  <c r="R226" i="16"/>
  <c r="Q226" i="16"/>
  <c r="P226" i="16"/>
  <c r="I226" i="16"/>
  <c r="H226" i="16"/>
  <c r="U225" i="16"/>
  <c r="T225" i="16"/>
  <c r="S225" i="16"/>
  <c r="R225" i="16"/>
  <c r="Q225" i="16"/>
  <c r="P225" i="16"/>
  <c r="I225" i="16"/>
  <c r="H225" i="16"/>
  <c r="U224" i="16"/>
  <c r="T224" i="16"/>
  <c r="S224" i="16"/>
  <c r="R224" i="16"/>
  <c r="Q224" i="16"/>
  <c r="P224" i="16"/>
  <c r="I224" i="16"/>
  <c r="H224" i="16"/>
  <c r="U223" i="16"/>
  <c r="T223" i="16"/>
  <c r="S223" i="16"/>
  <c r="R223" i="16"/>
  <c r="Q223" i="16"/>
  <c r="P223" i="16"/>
  <c r="J223" i="16"/>
  <c r="I223" i="16" s="1"/>
  <c r="U222" i="16"/>
  <c r="T222" i="16"/>
  <c r="S222" i="16"/>
  <c r="R222" i="16"/>
  <c r="Q222" i="16"/>
  <c r="P222" i="16"/>
  <c r="J222" i="16"/>
  <c r="H222" i="16" s="1"/>
  <c r="U221" i="16"/>
  <c r="T221" i="16"/>
  <c r="S221" i="16"/>
  <c r="R221" i="16"/>
  <c r="Q221" i="16"/>
  <c r="P221" i="16"/>
  <c r="I221" i="16"/>
  <c r="H221" i="16"/>
  <c r="U220" i="16"/>
  <c r="T220" i="16"/>
  <c r="S220" i="16"/>
  <c r="R220" i="16"/>
  <c r="Q220" i="16"/>
  <c r="P220" i="16"/>
  <c r="I220" i="16"/>
  <c r="H220" i="16"/>
  <c r="U219" i="16"/>
  <c r="T219" i="16"/>
  <c r="S219" i="16"/>
  <c r="R219" i="16"/>
  <c r="Q219" i="16"/>
  <c r="P219" i="16"/>
  <c r="I219" i="16"/>
  <c r="H219" i="16"/>
  <c r="U218" i="16"/>
  <c r="T218" i="16"/>
  <c r="S218" i="16"/>
  <c r="R218" i="16"/>
  <c r="Q218" i="16"/>
  <c r="P218" i="16"/>
  <c r="I218" i="16"/>
  <c r="H218" i="16"/>
  <c r="U217" i="16"/>
  <c r="T217" i="16"/>
  <c r="S217" i="16"/>
  <c r="R217" i="16"/>
  <c r="Q217" i="16"/>
  <c r="P217" i="16"/>
  <c r="U216" i="16"/>
  <c r="T216" i="16"/>
  <c r="S216" i="16"/>
  <c r="R216" i="16"/>
  <c r="Q216" i="16"/>
  <c r="P216" i="16"/>
  <c r="U215" i="16"/>
  <c r="T215" i="16"/>
  <c r="S215" i="16"/>
  <c r="R215" i="16"/>
  <c r="Q215" i="16"/>
  <c r="P215" i="16"/>
  <c r="J215" i="16"/>
  <c r="I215" i="16" s="1"/>
  <c r="U214" i="16"/>
  <c r="T214" i="16"/>
  <c r="S214" i="16"/>
  <c r="R214" i="16"/>
  <c r="Q214" i="16"/>
  <c r="P214" i="16"/>
  <c r="J214" i="16"/>
  <c r="I214" i="16" s="1"/>
  <c r="U213" i="16"/>
  <c r="T213" i="16"/>
  <c r="S213" i="16"/>
  <c r="R213" i="16"/>
  <c r="Q213" i="16"/>
  <c r="P213" i="16"/>
  <c r="J213" i="16"/>
  <c r="I213" i="16" s="1"/>
  <c r="U212" i="16"/>
  <c r="T212" i="16"/>
  <c r="S212" i="16"/>
  <c r="R212" i="16"/>
  <c r="Q212" i="16"/>
  <c r="P212" i="16"/>
  <c r="J212" i="16"/>
  <c r="I212" i="16" s="1"/>
  <c r="Q211" i="16"/>
  <c r="P211" i="16"/>
  <c r="J211" i="16"/>
  <c r="I211" i="16" s="1"/>
  <c r="Q210" i="16"/>
  <c r="P210" i="16"/>
  <c r="J210" i="16"/>
  <c r="I210" i="16" s="1"/>
  <c r="J209" i="16"/>
  <c r="I209" i="16" s="1"/>
  <c r="J208" i="16"/>
  <c r="H208" i="16" s="1"/>
  <c r="U194" i="16"/>
  <c r="T194" i="16"/>
  <c r="S194" i="16"/>
  <c r="R194" i="16"/>
  <c r="Q194" i="16"/>
  <c r="P194" i="16"/>
  <c r="I194" i="16"/>
  <c r="H194" i="16"/>
  <c r="U193" i="16"/>
  <c r="T193" i="16"/>
  <c r="S193" i="16"/>
  <c r="R193" i="16"/>
  <c r="Q193" i="16"/>
  <c r="P193" i="16"/>
  <c r="V189" i="16"/>
  <c r="U189" i="16"/>
  <c r="T189" i="16"/>
  <c r="S189" i="16"/>
  <c r="R189" i="16"/>
  <c r="Q189" i="16"/>
  <c r="P189" i="16"/>
  <c r="V188" i="16"/>
  <c r="U188" i="16"/>
  <c r="T188" i="16"/>
  <c r="S188" i="16"/>
  <c r="R188" i="16"/>
  <c r="Q188" i="16"/>
  <c r="P188" i="16"/>
  <c r="V187" i="16"/>
  <c r="U187" i="16"/>
  <c r="T187" i="16"/>
  <c r="S187" i="16"/>
  <c r="R187" i="16"/>
  <c r="Q187" i="16"/>
  <c r="P187" i="16"/>
  <c r="V186" i="16"/>
  <c r="U186" i="16"/>
  <c r="T186" i="16"/>
  <c r="S186" i="16"/>
  <c r="R186" i="16"/>
  <c r="Q186" i="16"/>
  <c r="P186" i="16"/>
  <c r="V185" i="16"/>
  <c r="U185" i="16"/>
  <c r="T185" i="16"/>
  <c r="S185" i="16"/>
  <c r="R185" i="16"/>
  <c r="Q185" i="16"/>
  <c r="P185" i="16"/>
  <c r="V184" i="16"/>
  <c r="U184" i="16"/>
  <c r="T184" i="16"/>
  <c r="S184" i="16"/>
  <c r="R184" i="16"/>
  <c r="Q184" i="16"/>
  <c r="P184" i="16"/>
  <c r="V183" i="16"/>
  <c r="U183" i="16"/>
  <c r="T183" i="16"/>
  <c r="S183" i="16"/>
  <c r="R183" i="16"/>
  <c r="Q183" i="16"/>
  <c r="P183" i="16"/>
  <c r="V182" i="16"/>
  <c r="U182" i="16"/>
  <c r="T182" i="16"/>
  <c r="S182" i="16"/>
  <c r="R182" i="16"/>
  <c r="Q182" i="16"/>
  <c r="P182" i="16"/>
  <c r="V181" i="16"/>
  <c r="U181" i="16"/>
  <c r="T181" i="16"/>
  <c r="S181" i="16"/>
  <c r="R181" i="16"/>
  <c r="Q181" i="16"/>
  <c r="P181" i="16"/>
  <c r="V180" i="16"/>
  <c r="U180" i="16"/>
  <c r="T180" i="16"/>
  <c r="S180" i="16"/>
  <c r="R180" i="16"/>
  <c r="Q180" i="16"/>
  <c r="P180" i="16"/>
  <c r="V179" i="16"/>
  <c r="U179" i="16"/>
  <c r="T179" i="16"/>
  <c r="S179" i="16"/>
  <c r="R179" i="16"/>
  <c r="Q179" i="16"/>
  <c r="P179" i="16"/>
  <c r="V178" i="16"/>
  <c r="U178" i="16"/>
  <c r="T178" i="16"/>
  <c r="S178" i="16"/>
  <c r="R178" i="16"/>
  <c r="Q178" i="16"/>
  <c r="P178" i="16"/>
  <c r="V177" i="16"/>
  <c r="U177" i="16"/>
  <c r="T177" i="16"/>
  <c r="S177" i="16"/>
  <c r="R177" i="16"/>
  <c r="Q177" i="16"/>
  <c r="P177" i="16"/>
  <c r="V176" i="16"/>
  <c r="U176" i="16"/>
  <c r="T176" i="16"/>
  <c r="S176" i="16"/>
  <c r="R176" i="16"/>
  <c r="Q176" i="16"/>
  <c r="P176" i="16"/>
  <c r="V175" i="16"/>
  <c r="U175" i="16"/>
  <c r="T175" i="16"/>
  <c r="S175" i="16"/>
  <c r="R175" i="16"/>
  <c r="Q175" i="16"/>
  <c r="P175" i="16"/>
  <c r="V174" i="16"/>
  <c r="U174" i="16"/>
  <c r="T174" i="16"/>
  <c r="S174" i="16"/>
  <c r="R174" i="16"/>
  <c r="Q174" i="16"/>
  <c r="P174" i="16"/>
  <c r="V173" i="16"/>
  <c r="U173" i="16"/>
  <c r="T173" i="16"/>
  <c r="S173" i="16"/>
  <c r="R173" i="16"/>
  <c r="Q173" i="16"/>
  <c r="P173" i="16"/>
  <c r="V172" i="16"/>
  <c r="U172" i="16"/>
  <c r="T172" i="16"/>
  <c r="S172" i="16"/>
  <c r="R172" i="16"/>
  <c r="Q172" i="16"/>
  <c r="P172" i="16"/>
  <c r="V171" i="16"/>
  <c r="U171" i="16"/>
  <c r="T171" i="16"/>
  <c r="S171" i="16"/>
  <c r="R171" i="16"/>
  <c r="Q171" i="16"/>
  <c r="P171" i="16"/>
  <c r="V170" i="16"/>
  <c r="U170" i="16"/>
  <c r="T170" i="16"/>
  <c r="S170" i="16"/>
  <c r="R170" i="16"/>
  <c r="Q170" i="16"/>
  <c r="P170" i="16"/>
  <c r="V169" i="16"/>
  <c r="U169" i="16"/>
  <c r="T169" i="16"/>
  <c r="S169" i="16"/>
  <c r="R169" i="16"/>
  <c r="Q169" i="16"/>
  <c r="P169" i="16"/>
  <c r="V168" i="16"/>
  <c r="U168" i="16"/>
  <c r="T168" i="16"/>
  <c r="S168" i="16"/>
  <c r="R168" i="16"/>
  <c r="Q168" i="16"/>
  <c r="P168" i="16"/>
  <c r="V167" i="16"/>
  <c r="U167" i="16"/>
  <c r="T167" i="16"/>
  <c r="S167" i="16"/>
  <c r="R167" i="16"/>
  <c r="Q167" i="16"/>
  <c r="P167" i="16"/>
  <c r="V166" i="16"/>
  <c r="U166" i="16"/>
  <c r="T166" i="16"/>
  <c r="S166" i="16"/>
  <c r="R166" i="16"/>
  <c r="Q166" i="16"/>
  <c r="P166" i="16"/>
  <c r="V165" i="16"/>
  <c r="U165" i="16"/>
  <c r="T165" i="16"/>
  <c r="S165" i="16"/>
  <c r="R165" i="16"/>
  <c r="Q165" i="16"/>
  <c r="P165" i="16"/>
  <c r="V164" i="16"/>
  <c r="U164" i="16"/>
  <c r="T164" i="16"/>
  <c r="S164" i="16"/>
  <c r="R164" i="16"/>
  <c r="Q164" i="16"/>
  <c r="P164" i="16"/>
  <c r="V163" i="16"/>
  <c r="U163" i="16"/>
  <c r="T163" i="16"/>
  <c r="S163" i="16"/>
  <c r="R163" i="16"/>
  <c r="Q163" i="16"/>
  <c r="P163" i="16"/>
  <c r="V162" i="16"/>
  <c r="U162" i="16"/>
  <c r="T162" i="16"/>
  <c r="S162" i="16"/>
  <c r="R162" i="16"/>
  <c r="Q162" i="16"/>
  <c r="P162" i="16"/>
  <c r="V161" i="16"/>
  <c r="U161" i="16"/>
  <c r="T161" i="16"/>
  <c r="S161" i="16"/>
  <c r="R161" i="16"/>
  <c r="Q161" i="16"/>
  <c r="P161" i="16"/>
  <c r="V160" i="16"/>
  <c r="U160" i="16"/>
  <c r="T160" i="16"/>
  <c r="S160" i="16"/>
  <c r="R160" i="16"/>
  <c r="Q160" i="16"/>
  <c r="P160" i="16"/>
  <c r="V159" i="16"/>
  <c r="U159" i="16"/>
  <c r="T159" i="16"/>
  <c r="S159" i="16"/>
  <c r="R159" i="16"/>
  <c r="Q159" i="16"/>
  <c r="P159" i="16"/>
  <c r="V158" i="16"/>
  <c r="U158" i="16"/>
  <c r="T158" i="16"/>
  <c r="S158" i="16"/>
  <c r="R158" i="16"/>
  <c r="Q158" i="16"/>
  <c r="P158" i="16"/>
  <c r="V157" i="16"/>
  <c r="U157" i="16"/>
  <c r="T157" i="16"/>
  <c r="S157" i="16"/>
  <c r="R157" i="16"/>
  <c r="Q157" i="16"/>
  <c r="P157" i="16"/>
  <c r="V156" i="16"/>
  <c r="U156" i="16"/>
  <c r="T156" i="16"/>
  <c r="S156" i="16"/>
  <c r="R156" i="16"/>
  <c r="Q156" i="16"/>
  <c r="P156" i="16"/>
  <c r="V155" i="16"/>
  <c r="U155" i="16"/>
  <c r="T155" i="16"/>
  <c r="S155" i="16"/>
  <c r="R155" i="16"/>
  <c r="Q155" i="16"/>
  <c r="P155" i="16"/>
  <c r="V154" i="16"/>
  <c r="U154" i="16"/>
  <c r="T154" i="16"/>
  <c r="S154" i="16"/>
  <c r="R154" i="16"/>
  <c r="Q154" i="16"/>
  <c r="P154" i="16"/>
  <c r="V153" i="16"/>
  <c r="U153" i="16"/>
  <c r="T153" i="16"/>
  <c r="S153" i="16"/>
  <c r="R153" i="16"/>
  <c r="Q153" i="16"/>
  <c r="P153" i="16"/>
  <c r="J153" i="16"/>
  <c r="I153" i="16" s="1"/>
  <c r="V152" i="16"/>
  <c r="U152" i="16"/>
  <c r="T152" i="16"/>
  <c r="S152" i="16"/>
  <c r="R152" i="16"/>
  <c r="Q152" i="16"/>
  <c r="P152" i="16"/>
  <c r="J152" i="16"/>
  <c r="I152" i="16" s="1"/>
  <c r="V151" i="16"/>
  <c r="U151" i="16"/>
  <c r="T151" i="16"/>
  <c r="S151" i="16"/>
  <c r="R151" i="16"/>
  <c r="Q151" i="16"/>
  <c r="P151" i="16"/>
  <c r="J151" i="16"/>
  <c r="I151" i="16" s="1"/>
  <c r="V150" i="16"/>
  <c r="U150" i="16"/>
  <c r="T150" i="16"/>
  <c r="S150" i="16"/>
  <c r="R150" i="16"/>
  <c r="Q150" i="16"/>
  <c r="P150" i="16"/>
  <c r="J150" i="16"/>
  <c r="I150" i="16" s="1"/>
  <c r="V149" i="16"/>
  <c r="U149" i="16"/>
  <c r="T149" i="16"/>
  <c r="S149" i="16"/>
  <c r="R149" i="16"/>
  <c r="Q149" i="16"/>
  <c r="P149" i="16"/>
  <c r="V148" i="16"/>
  <c r="U148" i="16"/>
  <c r="T148" i="16"/>
  <c r="S148" i="16"/>
  <c r="R148" i="16"/>
  <c r="Q148" i="16"/>
  <c r="P148" i="16"/>
  <c r="V147" i="16"/>
  <c r="U147" i="16"/>
  <c r="T147" i="16"/>
  <c r="S147" i="16"/>
  <c r="R147" i="16"/>
  <c r="Q147" i="16"/>
  <c r="P147" i="16"/>
  <c r="V146" i="16"/>
  <c r="U146" i="16"/>
  <c r="T146" i="16"/>
  <c r="S146" i="16"/>
  <c r="R146" i="16"/>
  <c r="Q146" i="16"/>
  <c r="P146" i="16"/>
  <c r="V145" i="16"/>
  <c r="U145" i="16"/>
  <c r="T145" i="16"/>
  <c r="S145" i="16"/>
  <c r="R145" i="16"/>
  <c r="Q145" i="16"/>
  <c r="P145" i="16"/>
  <c r="V144" i="16"/>
  <c r="U144" i="16"/>
  <c r="T144" i="16"/>
  <c r="S144" i="16"/>
  <c r="R144" i="16"/>
  <c r="Q144" i="16"/>
  <c r="P144" i="16"/>
  <c r="V143" i="16"/>
  <c r="U143" i="16"/>
  <c r="T143" i="16"/>
  <c r="S143" i="16"/>
  <c r="R143" i="16"/>
  <c r="Q143" i="16"/>
  <c r="P143" i="16"/>
  <c r="V142" i="16"/>
  <c r="U142" i="16"/>
  <c r="T142" i="16"/>
  <c r="S142" i="16"/>
  <c r="R142" i="16"/>
  <c r="Q142" i="16"/>
  <c r="P142" i="16"/>
  <c r="V141" i="16"/>
  <c r="U141" i="16"/>
  <c r="T141" i="16"/>
  <c r="S141" i="16"/>
  <c r="R141" i="16"/>
  <c r="Q141" i="16"/>
  <c r="P141" i="16"/>
  <c r="V140" i="16"/>
  <c r="U140" i="16"/>
  <c r="T140" i="16"/>
  <c r="S140" i="16"/>
  <c r="R140" i="16"/>
  <c r="Q140" i="16"/>
  <c r="P140" i="16"/>
  <c r="V139" i="16"/>
  <c r="U139" i="16"/>
  <c r="T139" i="16"/>
  <c r="S139" i="16"/>
  <c r="R139" i="16"/>
  <c r="Q139" i="16"/>
  <c r="P139" i="16"/>
  <c r="V138" i="16"/>
  <c r="U138" i="16"/>
  <c r="T138" i="16"/>
  <c r="S138" i="16"/>
  <c r="R138" i="16"/>
  <c r="Q138" i="16"/>
  <c r="P138" i="16"/>
  <c r="V137" i="16"/>
  <c r="U137" i="16"/>
  <c r="T137" i="16"/>
  <c r="S137" i="16"/>
  <c r="R137" i="16"/>
  <c r="Q137" i="16"/>
  <c r="P137" i="16"/>
  <c r="V136" i="16"/>
  <c r="U136" i="16"/>
  <c r="T136" i="16"/>
  <c r="S136" i="16"/>
  <c r="R136" i="16"/>
  <c r="Q136" i="16"/>
  <c r="P136" i="16"/>
  <c r="V135" i="16"/>
  <c r="U135" i="16"/>
  <c r="T135" i="16"/>
  <c r="S135" i="16"/>
  <c r="R135" i="16"/>
  <c r="Q135" i="16"/>
  <c r="P135" i="16"/>
  <c r="V134" i="16"/>
  <c r="U134" i="16"/>
  <c r="T134" i="16"/>
  <c r="S134" i="16"/>
  <c r="R134" i="16"/>
  <c r="Q134" i="16"/>
  <c r="P134" i="16"/>
  <c r="V133" i="16"/>
  <c r="U133" i="16"/>
  <c r="T133" i="16"/>
  <c r="S133" i="16"/>
  <c r="R133" i="16"/>
  <c r="Q133" i="16"/>
  <c r="P133" i="16"/>
  <c r="I133" i="16"/>
  <c r="V132" i="16"/>
  <c r="U132" i="16"/>
  <c r="T132" i="16"/>
  <c r="S132" i="16"/>
  <c r="R132" i="16"/>
  <c r="Q132" i="16"/>
  <c r="P132" i="16"/>
  <c r="I132" i="16"/>
  <c r="V131" i="16"/>
  <c r="U131" i="16"/>
  <c r="T131" i="16"/>
  <c r="S131" i="16"/>
  <c r="R131" i="16"/>
  <c r="Q131" i="16"/>
  <c r="P131" i="16"/>
  <c r="I131" i="16"/>
  <c r="V130" i="16"/>
  <c r="U130" i="16"/>
  <c r="T130" i="16"/>
  <c r="S130" i="16"/>
  <c r="R130" i="16"/>
  <c r="Q130" i="16"/>
  <c r="P130" i="16"/>
  <c r="I130" i="16"/>
  <c r="V129" i="16"/>
  <c r="U129" i="16"/>
  <c r="T129" i="16"/>
  <c r="S129" i="16"/>
  <c r="R129" i="16"/>
  <c r="Q129" i="16"/>
  <c r="P129" i="16"/>
  <c r="I129" i="16"/>
  <c r="V128" i="16"/>
  <c r="U128" i="16"/>
  <c r="T128" i="16"/>
  <c r="S128" i="16"/>
  <c r="R128" i="16"/>
  <c r="Q128" i="16"/>
  <c r="P128" i="16"/>
  <c r="I128" i="16"/>
  <c r="V127" i="16"/>
  <c r="U127" i="16"/>
  <c r="T127" i="16"/>
  <c r="S127" i="16"/>
  <c r="R127" i="16"/>
  <c r="Q127" i="16"/>
  <c r="P127" i="16"/>
  <c r="V126" i="16"/>
  <c r="U126" i="16"/>
  <c r="T126" i="16"/>
  <c r="S126" i="16"/>
  <c r="R126" i="16"/>
  <c r="Q126" i="16"/>
  <c r="P126" i="16"/>
  <c r="V125" i="16"/>
  <c r="U125" i="16"/>
  <c r="T125" i="16"/>
  <c r="S125" i="16"/>
  <c r="R125" i="16"/>
  <c r="Q125" i="16"/>
  <c r="P125" i="16"/>
  <c r="V124" i="16"/>
  <c r="U124" i="16"/>
  <c r="T124" i="16"/>
  <c r="S124" i="16"/>
  <c r="R124" i="16"/>
  <c r="Q124" i="16"/>
  <c r="P124" i="16"/>
  <c r="V123" i="16"/>
  <c r="U123" i="16"/>
  <c r="T123" i="16"/>
  <c r="S123" i="16"/>
  <c r="R123" i="16"/>
  <c r="Q123" i="16"/>
  <c r="P123" i="16"/>
  <c r="V122" i="16"/>
  <c r="U122" i="16"/>
  <c r="T122" i="16"/>
  <c r="S122" i="16"/>
  <c r="R122" i="16"/>
  <c r="Q122" i="16"/>
  <c r="P122" i="16"/>
  <c r="V121" i="16"/>
  <c r="U121" i="16"/>
  <c r="T121" i="16"/>
  <c r="S121" i="16"/>
  <c r="R121" i="16"/>
  <c r="Q121" i="16"/>
  <c r="P121" i="16"/>
  <c r="V120" i="16"/>
  <c r="U120" i="16"/>
  <c r="T120" i="16"/>
  <c r="S120" i="16"/>
  <c r="R120" i="16"/>
  <c r="Q120" i="16"/>
  <c r="P120" i="16"/>
  <c r="V119" i="16"/>
  <c r="U119" i="16"/>
  <c r="T119" i="16"/>
  <c r="S119" i="16"/>
  <c r="R119" i="16"/>
  <c r="Q119" i="16"/>
  <c r="P119" i="16"/>
  <c r="V118" i="16"/>
  <c r="U118" i="16"/>
  <c r="T118" i="16"/>
  <c r="S118" i="16"/>
  <c r="R118" i="16"/>
  <c r="Q118" i="16"/>
  <c r="P118" i="16"/>
  <c r="V117" i="16"/>
  <c r="U117" i="16"/>
  <c r="T117" i="16"/>
  <c r="S117" i="16"/>
  <c r="R117" i="16"/>
  <c r="Q117" i="16"/>
  <c r="P117" i="16"/>
  <c r="V116" i="16"/>
  <c r="U116" i="16"/>
  <c r="T116" i="16"/>
  <c r="S116" i="16"/>
  <c r="R116" i="16"/>
  <c r="Q116" i="16"/>
  <c r="P116" i="16"/>
  <c r="I116" i="16"/>
  <c r="V115" i="16"/>
  <c r="U115" i="16"/>
  <c r="T115" i="16"/>
  <c r="S115" i="16"/>
  <c r="R115" i="16"/>
  <c r="Q115" i="16"/>
  <c r="P115" i="16"/>
  <c r="I115" i="16"/>
  <c r="V114" i="16"/>
  <c r="U114" i="16"/>
  <c r="T114" i="16"/>
  <c r="S114" i="16"/>
  <c r="R114" i="16"/>
  <c r="Q114" i="16"/>
  <c r="P114" i="16"/>
  <c r="I114" i="16"/>
  <c r="V113" i="16"/>
  <c r="U113" i="16"/>
  <c r="T113" i="16"/>
  <c r="S113" i="16"/>
  <c r="R113" i="16"/>
  <c r="Q113" i="16"/>
  <c r="P113" i="16"/>
  <c r="I113" i="16"/>
  <c r="V112" i="16"/>
  <c r="U112" i="16"/>
  <c r="T112" i="16"/>
  <c r="S112" i="16"/>
  <c r="R112" i="16"/>
  <c r="Q112" i="16"/>
  <c r="P112" i="16"/>
  <c r="I112" i="16"/>
  <c r="V111" i="16"/>
  <c r="U111" i="16"/>
  <c r="T111" i="16"/>
  <c r="S111" i="16"/>
  <c r="R111" i="16"/>
  <c r="Q111" i="16"/>
  <c r="P111" i="16"/>
  <c r="I111" i="16"/>
  <c r="V110" i="16"/>
  <c r="U110" i="16"/>
  <c r="T110" i="16"/>
  <c r="S110" i="16"/>
  <c r="R110" i="16"/>
  <c r="Q110" i="16"/>
  <c r="P110" i="16"/>
  <c r="V109" i="16"/>
  <c r="U109" i="16"/>
  <c r="T109" i="16"/>
  <c r="S109" i="16"/>
  <c r="R109" i="16"/>
  <c r="Q109" i="16"/>
  <c r="P109" i="16"/>
  <c r="V108" i="16"/>
  <c r="U108" i="16"/>
  <c r="T108" i="16"/>
  <c r="S108" i="16"/>
  <c r="R108" i="16"/>
  <c r="Q108" i="16"/>
  <c r="P108" i="16"/>
  <c r="V107" i="16"/>
  <c r="U107" i="16"/>
  <c r="T107" i="16"/>
  <c r="S107" i="16"/>
  <c r="R107" i="16"/>
  <c r="Q107" i="16"/>
  <c r="P107" i="16"/>
  <c r="V106" i="16"/>
  <c r="U106" i="16"/>
  <c r="T106" i="16"/>
  <c r="S106" i="16"/>
  <c r="R106" i="16"/>
  <c r="Q106" i="16"/>
  <c r="P106" i="16"/>
  <c r="V105" i="16"/>
  <c r="U105" i="16"/>
  <c r="T105" i="16"/>
  <c r="S105" i="16"/>
  <c r="R105" i="16"/>
  <c r="Q105" i="16"/>
  <c r="P105" i="16"/>
  <c r="V104" i="16"/>
  <c r="U104" i="16"/>
  <c r="T104" i="16"/>
  <c r="S104" i="16"/>
  <c r="R104" i="16"/>
  <c r="Q104" i="16"/>
  <c r="P104" i="16"/>
  <c r="V103" i="16"/>
  <c r="U103" i="16"/>
  <c r="T103" i="16"/>
  <c r="S103" i="16"/>
  <c r="R103" i="16"/>
  <c r="Q103" i="16"/>
  <c r="P103" i="16"/>
  <c r="V102" i="16"/>
  <c r="U102" i="16"/>
  <c r="T102" i="16"/>
  <c r="S102" i="16"/>
  <c r="R102" i="16"/>
  <c r="Q102" i="16"/>
  <c r="P102" i="16"/>
  <c r="V101" i="16"/>
  <c r="U101" i="16"/>
  <c r="T101" i="16"/>
  <c r="S101" i="16"/>
  <c r="R101" i="16"/>
  <c r="Q101" i="16"/>
  <c r="P101" i="16"/>
  <c r="V100" i="16"/>
  <c r="U100" i="16"/>
  <c r="T100" i="16"/>
  <c r="S100" i="16"/>
  <c r="R100" i="16"/>
  <c r="Q100" i="16"/>
  <c r="P100" i="16"/>
  <c r="U95" i="16"/>
  <c r="T95" i="16"/>
  <c r="S95" i="16"/>
  <c r="R95" i="16"/>
  <c r="Q95" i="16"/>
  <c r="P95" i="16"/>
  <c r="I95" i="16"/>
  <c r="U94" i="16"/>
  <c r="T94" i="16"/>
  <c r="S94" i="16"/>
  <c r="R94" i="16"/>
  <c r="Q94" i="16"/>
  <c r="P94" i="16"/>
  <c r="I94" i="16"/>
  <c r="U93" i="16"/>
  <c r="T93" i="16"/>
  <c r="S93" i="16"/>
  <c r="R93" i="16"/>
  <c r="Q93" i="16"/>
  <c r="P93" i="16"/>
  <c r="I93" i="16"/>
  <c r="U92" i="16"/>
  <c r="T92" i="16"/>
  <c r="S92" i="16"/>
  <c r="R92" i="16"/>
  <c r="Q92" i="16"/>
  <c r="P92" i="16"/>
  <c r="I92" i="16"/>
  <c r="U87" i="16"/>
  <c r="T87" i="16"/>
  <c r="S87" i="16"/>
  <c r="R87" i="16"/>
  <c r="Q87" i="16"/>
  <c r="P87" i="16"/>
  <c r="J87" i="16"/>
  <c r="I87" i="16" s="1"/>
  <c r="U86" i="16"/>
  <c r="T86" i="16"/>
  <c r="S86" i="16"/>
  <c r="R86" i="16"/>
  <c r="Q86" i="16"/>
  <c r="P86" i="16"/>
  <c r="J86" i="16"/>
  <c r="I86" i="16" s="1"/>
  <c r="U85" i="16"/>
  <c r="T85" i="16"/>
  <c r="S85" i="16"/>
  <c r="R85" i="16"/>
  <c r="Q85" i="16"/>
  <c r="P85" i="16"/>
  <c r="J85" i="16"/>
  <c r="I85" i="16" s="1"/>
  <c r="U84" i="16"/>
  <c r="T84" i="16"/>
  <c r="S84" i="16"/>
  <c r="R84" i="16"/>
  <c r="Q84" i="16"/>
  <c r="P84" i="16"/>
  <c r="J84" i="16"/>
  <c r="I84" i="16" s="1"/>
  <c r="U14" i="16"/>
  <c r="T14" i="16"/>
  <c r="S14" i="16"/>
  <c r="R14" i="16"/>
  <c r="Q14" i="16"/>
  <c r="P14" i="16"/>
  <c r="B4" i="16"/>
  <c r="H212" i="16" l="1"/>
  <c r="H245" i="16"/>
  <c r="H267" i="16"/>
  <c r="I222" i="16"/>
  <c r="H259" i="16"/>
  <c r="I208" i="16"/>
  <c r="I239" i="16"/>
  <c r="H213" i="16"/>
  <c r="H246" i="16"/>
  <c r="H260" i="16"/>
  <c r="H270" i="16"/>
  <c r="H223" i="16"/>
  <c r="H240" i="16"/>
  <c r="H210" i="16"/>
  <c r="H214" i="16"/>
  <c r="H229" i="16"/>
  <c r="H241" i="16"/>
  <c r="H264" i="16"/>
  <c r="H209" i="16"/>
  <c r="H211" i="16"/>
  <c r="H215" i="16"/>
  <c r="H230" i="16"/>
  <c r="H242" i="16"/>
  <c r="H266" i="16"/>
</calcChain>
</file>

<file path=xl/sharedStrings.xml><?xml version="1.0" encoding="utf-8"?>
<sst xmlns="http://schemas.openxmlformats.org/spreadsheetml/2006/main" count="67524" uniqueCount="1301">
  <si>
    <t>SKU</t>
  </si>
  <si>
    <t>-</t>
  </si>
  <si>
    <t>Terms &amp; Conditions</t>
  </si>
  <si>
    <t>Apple</t>
  </si>
  <si>
    <t>BlackBerry</t>
  </si>
  <si>
    <t>LG</t>
  </si>
  <si>
    <t>Motorola</t>
  </si>
  <si>
    <t>Samsung</t>
  </si>
  <si>
    <t>Sierra Wireless</t>
  </si>
  <si>
    <t>ZTE</t>
  </si>
  <si>
    <t>Modalités</t>
  </si>
  <si>
    <t>Sony Mobile</t>
  </si>
  <si>
    <t>AC763SBLK</t>
  </si>
  <si>
    <t>RIMNWHT</t>
  </si>
  <si>
    <t>IP5S16GRY</t>
  </si>
  <si>
    <t>IP5S16SIL</t>
  </si>
  <si>
    <t>IP5S16GLD</t>
  </si>
  <si>
    <t>Discontinued</t>
  </si>
  <si>
    <t>In Market</t>
  </si>
  <si>
    <t xml:space="preserve">     1) Des frais d’administration de 15 $ seront portés à la facture suivante des clients grand public</t>
  </si>
  <si>
    <t>NOTERM</t>
  </si>
  <si>
    <t xml:space="preserve">     2)  All prices, terms &amp; conditions are subject to change at anytime without notice</t>
  </si>
  <si>
    <t xml:space="preserve">     2) Tous les tarifs et les modalités sont peuvent être modifiés sans préavis</t>
  </si>
  <si>
    <t>Effective Date:</t>
  </si>
  <si>
    <t>Rogers Consumer NAC Pricing Chart</t>
  </si>
  <si>
    <t>Wireless Home Phone</t>
  </si>
  <si>
    <t>Apple iPhone 5S 16GB</t>
  </si>
  <si>
    <t>BlackBerry Q10</t>
  </si>
  <si>
    <t>2 Year / Ans
DATAONLY</t>
  </si>
  <si>
    <t>Manufacturer / Fabricant</t>
  </si>
  <si>
    <t>Life Cycle
Status / Statut</t>
  </si>
  <si>
    <t>Market Name / Nom De Marketing</t>
  </si>
  <si>
    <t>Sierra LTE Mobile Hotspot AC763S</t>
  </si>
  <si>
    <t>Device Type</t>
  </si>
  <si>
    <t>Handset</t>
  </si>
  <si>
    <t>Mobile Internet</t>
  </si>
  <si>
    <t>Dealer Cost</t>
  </si>
  <si>
    <t>2 Year / Ans
TALKANDTEXT</t>
  </si>
  <si>
    <t>PDP:</t>
  </si>
  <si>
    <t>Subsidy Removal Date</t>
  </si>
  <si>
    <t>Non-Customer Facing Pricing (NOVA / Sales Bulletin = "N/A")</t>
  </si>
  <si>
    <t xml:space="preserve">     1)  Consumer customers will be charged a $15 Connection Fee on their next invoice </t>
  </si>
  <si>
    <t>AC763SBLKR</t>
  </si>
  <si>
    <t>New SKU or Price / Nouveau SKU ou Prix</t>
  </si>
  <si>
    <t>Price Change / Changement De Prix</t>
  </si>
  <si>
    <t>MF271BLK</t>
  </si>
  <si>
    <t>ZTE Rocket Hub MF271CA</t>
  </si>
  <si>
    <t>Delisted SKU or Price Removal / Modèles D'expiration</t>
  </si>
  <si>
    <t>Samsung Galaxy Tab S</t>
  </si>
  <si>
    <t>TABS10BRZ</t>
  </si>
  <si>
    <t>IP6PL64GRY</t>
  </si>
  <si>
    <t>IP6PL64SIL</t>
  </si>
  <si>
    <t>Apple iPhone 6 Plus 64GB</t>
  </si>
  <si>
    <t>PASSPORTBLK</t>
  </si>
  <si>
    <t>BlackBerry Passport</t>
  </si>
  <si>
    <t>Region</t>
  </si>
  <si>
    <t>Available Prefixs to select</t>
  </si>
  <si>
    <t>Tracker</t>
  </si>
  <si>
    <t>RPP</t>
  </si>
  <si>
    <t>National</t>
  </si>
  <si>
    <t>RNT</t>
  </si>
  <si>
    <t>National - Excluding Future Shop, Best Buy &amp; Apple</t>
  </si>
  <si>
    <t>National - Only Applicable for Best Buy, Future Shop &amp; Apple</t>
  </si>
  <si>
    <t>PIC:</t>
  </si>
  <si>
    <t>MSRP</t>
  </si>
  <si>
    <t>Z3TABWHT</t>
  </si>
  <si>
    <t>Sony Xperia Z3 Tablet Compact</t>
  </si>
  <si>
    <t>CLASSICBLK</t>
  </si>
  <si>
    <t>BlackBerry Classic</t>
  </si>
  <si>
    <t>NOTEEDGEBLK</t>
  </si>
  <si>
    <t>Samsung Galaxy Note Edge</t>
  </si>
  <si>
    <t>IPADAIR2128SIL</t>
  </si>
  <si>
    <t>Apple iPad Air 2 128GB</t>
  </si>
  <si>
    <t>Sonim</t>
  </si>
  <si>
    <t>XP7YEL</t>
  </si>
  <si>
    <t>Sonim XP7</t>
  </si>
  <si>
    <t>2 Year / Ans
ACCESSONLYR</t>
  </si>
  <si>
    <t>GS632BLK</t>
  </si>
  <si>
    <t>Samsung Galaxy S6 32GB</t>
  </si>
  <si>
    <t>GS632WHT</t>
  </si>
  <si>
    <t>GS664BLK</t>
  </si>
  <si>
    <t>Samsung Galaxy S6 64GB</t>
  </si>
  <si>
    <t>GS664WHT</t>
  </si>
  <si>
    <t>GS6ED32BLK</t>
  </si>
  <si>
    <t>Samsung Galaxy S6 Edge 32GB</t>
  </si>
  <si>
    <t>GS632GLD</t>
  </si>
  <si>
    <t>GS664GLD</t>
  </si>
  <si>
    <t>G4SIL</t>
  </si>
  <si>
    <t>LG G4</t>
  </si>
  <si>
    <t>WF721BLKR</t>
  </si>
  <si>
    <t>Huawei</t>
  </si>
  <si>
    <t>E8372HWHT</t>
  </si>
  <si>
    <t>Huawei LTE Rocket Stick E8372</t>
  </si>
  <si>
    <t>Quebec</t>
  </si>
  <si>
    <t>IP6S128GRY</t>
  </si>
  <si>
    <t>IP6S128SIL</t>
  </si>
  <si>
    <t>IP6S128GLD</t>
  </si>
  <si>
    <t>IP6S128RGD</t>
  </si>
  <si>
    <t>Apple iPhone 6S 128GB</t>
  </si>
  <si>
    <t>IP6SPL128GRY</t>
  </si>
  <si>
    <t>IP6SPL128SIL</t>
  </si>
  <si>
    <t>IP6SPL128GLD</t>
  </si>
  <si>
    <t>IP6SPL128RGD</t>
  </si>
  <si>
    <t>Apple iPhone 6S Plus 128GB</t>
  </si>
  <si>
    <t>TABS2BLK</t>
  </si>
  <si>
    <t>Samsung Galaxy Tab S 2</t>
  </si>
  <si>
    <t>MF275RGRY</t>
  </si>
  <si>
    <t>ZTE Rocket Hub MF275</t>
  </si>
  <si>
    <t>MF970WHT</t>
  </si>
  <si>
    <t>ZTE Rocket Hub MF970</t>
  </si>
  <si>
    <t>IPD4M128GRY</t>
  </si>
  <si>
    <t>IPD4M128SIL</t>
  </si>
  <si>
    <t>IPD4M128GLD</t>
  </si>
  <si>
    <t>BlackBerry Priv</t>
  </si>
  <si>
    <t>PRIVBLK</t>
  </si>
  <si>
    <t>GS5NEOBLK</t>
  </si>
  <si>
    <t>Samsung Galaxy S5 Neo</t>
  </si>
  <si>
    <t>IPDPRO128GRY</t>
  </si>
  <si>
    <t>IPDPRO128SIL</t>
  </si>
  <si>
    <t>IPDPRO128GLD</t>
  </si>
  <si>
    <t>Apple iPad Pro 128GB</t>
  </si>
  <si>
    <t>#2016-C032</t>
  </si>
  <si>
    <t>S7BLK</t>
  </si>
  <si>
    <t xml:space="preserve">Samsung Galaxy S7 </t>
  </si>
  <si>
    <t>S7SIL</t>
  </si>
  <si>
    <t>S7EDBLK</t>
  </si>
  <si>
    <t>Samsung Galaxy S7 Edge</t>
  </si>
  <si>
    <t>WHP_C</t>
  </si>
  <si>
    <t>2 Year / Ans
WHP_TERM</t>
  </si>
  <si>
    <t>G5GRY</t>
  </si>
  <si>
    <t>LG G5</t>
  </si>
  <si>
    <t>G5SIL</t>
  </si>
  <si>
    <t>IPSE16GRY</t>
  </si>
  <si>
    <t>IPSE16SIL</t>
  </si>
  <si>
    <t>IPSE16GLD</t>
  </si>
  <si>
    <t>IPSE16RGD</t>
  </si>
  <si>
    <t>IPSE64GRY</t>
  </si>
  <si>
    <t>IPSE64SIL</t>
  </si>
  <si>
    <t>IPSE64GLD</t>
  </si>
  <si>
    <t>IPSE64RGD</t>
  </si>
  <si>
    <t>G4WHT</t>
  </si>
  <si>
    <t>SPRO2SIL</t>
  </si>
  <si>
    <t>ZTE SPro2</t>
  </si>
  <si>
    <t>Huawei GR5</t>
  </si>
  <si>
    <t>GR5GRY</t>
  </si>
  <si>
    <t xml:space="preserve">LG </t>
  </si>
  <si>
    <t>GPAD38BLK</t>
  </si>
  <si>
    <t>LG G Pad 3 8.0</t>
  </si>
  <si>
    <t>Old SKU</t>
  </si>
  <si>
    <t>Samsung Galaxy Tab E LTE</t>
  </si>
  <si>
    <t>TABEBLK</t>
  </si>
  <si>
    <t>Apple iPhone SE 16GB</t>
  </si>
  <si>
    <t>Apple iPhone SE 64GB</t>
  </si>
  <si>
    <t>MOTOGPLBLK</t>
  </si>
  <si>
    <t>Motorola Moto G Plus</t>
  </si>
  <si>
    <t>XPERIAXBLK</t>
  </si>
  <si>
    <t>Sony Xperia X Performance</t>
  </si>
  <si>
    <t>STYLO2BRN</t>
  </si>
  <si>
    <t>LG Stylo 2 Plus</t>
  </si>
  <si>
    <t>BBDTEK50BLK</t>
  </si>
  <si>
    <t>BlackBerry DTEK50</t>
  </si>
  <si>
    <t>IP7128GLD</t>
  </si>
  <si>
    <t>Apple iPhone 7 128GB</t>
  </si>
  <si>
    <t>IP7128RGD</t>
  </si>
  <si>
    <t>IP7128SIL</t>
  </si>
  <si>
    <t>IP7PL128GLD</t>
  </si>
  <si>
    <t>Apple iPhone 7 Plus 128GB</t>
  </si>
  <si>
    <t>IP7PL128RGD</t>
  </si>
  <si>
    <t>IP7PL128SIL</t>
  </si>
  <si>
    <t>IP732GLD</t>
  </si>
  <si>
    <t>IP732RGD</t>
  </si>
  <si>
    <t>IP732SIL</t>
  </si>
  <si>
    <t>IP732BLK</t>
  </si>
  <si>
    <t>IP7256GLD</t>
  </si>
  <si>
    <t>IP7256RGD</t>
  </si>
  <si>
    <t>IP7256SIL</t>
  </si>
  <si>
    <t>IP7PL32GLD</t>
  </si>
  <si>
    <t>IP7PL32RGD</t>
  </si>
  <si>
    <t>IP7PL32SIL</t>
  </si>
  <si>
    <t>IP7PL256GLD</t>
  </si>
  <si>
    <t>IP7PL256RGD</t>
  </si>
  <si>
    <t>IP7PL256SIL</t>
  </si>
  <si>
    <t>Apple iPhone 7 32GB</t>
  </si>
  <si>
    <t>Apple iPhone 7 256GB</t>
  </si>
  <si>
    <t>Apple iPhone 7 Plus 32GB</t>
  </si>
  <si>
    <t>Apple iPhone 7 Plus 256GB</t>
  </si>
  <si>
    <t>IP7128BLK</t>
  </si>
  <si>
    <t>IP7256BLK</t>
  </si>
  <si>
    <t>IP7PL32BLK</t>
  </si>
  <si>
    <t>IP7PL128BLK</t>
  </si>
  <si>
    <t>IP7PL256BLK</t>
  </si>
  <si>
    <t>IP6S32GLD</t>
  </si>
  <si>
    <t>IP6S32GRY</t>
  </si>
  <si>
    <t>IP6S32RGD</t>
  </si>
  <si>
    <t>IP6S32SIL</t>
  </si>
  <si>
    <t>Apple iPhone 6S 32GB</t>
  </si>
  <si>
    <t>IP6SPL32GLD</t>
  </si>
  <si>
    <t>IP6SPL32GRY</t>
  </si>
  <si>
    <t>IP6SPL32RGD</t>
  </si>
  <si>
    <t>IP6SPL32SIL</t>
  </si>
  <si>
    <t>Apple iPhone 6S Plus 32GB</t>
  </si>
  <si>
    <t>IP7128JBLK</t>
  </si>
  <si>
    <t>IP7256JBLK</t>
  </si>
  <si>
    <t>IP7PL128JBLK</t>
  </si>
  <si>
    <t>IP7PL256JBLK</t>
  </si>
  <si>
    <t>MOTOZBLK</t>
  </si>
  <si>
    <t>MZPLAYBLK</t>
  </si>
  <si>
    <t>Motorola Moto Z</t>
  </si>
  <si>
    <t>Motorola Moto Z Play</t>
  </si>
  <si>
    <t>Google</t>
  </si>
  <si>
    <t>PIX32BLK</t>
  </si>
  <si>
    <t>Google Pixel 32GB</t>
  </si>
  <si>
    <t>PIX32SIL</t>
  </si>
  <si>
    <t>PIX128BLK</t>
  </si>
  <si>
    <t>Google Pixel 128GB</t>
  </si>
  <si>
    <t>PIX128SIL</t>
  </si>
  <si>
    <t>PXL32BLK</t>
  </si>
  <si>
    <t>Google Pixel XL 32GB</t>
  </si>
  <si>
    <t>PXL32SIL</t>
  </si>
  <si>
    <t>PXL128BLK</t>
  </si>
  <si>
    <t>Google Pixel XL 128GB</t>
  </si>
  <si>
    <t>PXL128SIL</t>
  </si>
  <si>
    <t>Huawei Nova Plus</t>
  </si>
  <si>
    <t>NOVAPLBLK</t>
  </si>
  <si>
    <t>K4BLK</t>
  </si>
  <si>
    <t>LG K4</t>
  </si>
  <si>
    <t>IPDA232GRY</t>
  </si>
  <si>
    <t>Apple iPad Air 2 32GB</t>
  </si>
  <si>
    <t>Apple iPad Mini 4 128GB</t>
  </si>
  <si>
    <t>IPD4M32GRY</t>
  </si>
  <si>
    <t>Apple iPad Mini 4 32GB</t>
  </si>
  <si>
    <t>IPDA2128GLD</t>
  </si>
  <si>
    <t>IPDA2128GRY</t>
  </si>
  <si>
    <t>IPDA2128SIL</t>
  </si>
  <si>
    <t>S7EDBLU</t>
  </si>
  <si>
    <t>S7EDSIL</t>
  </si>
  <si>
    <t>TABS2V2BLK</t>
  </si>
  <si>
    <t>PIX32BLU</t>
  </si>
  <si>
    <t>PXL32BLU</t>
  </si>
  <si>
    <t>IPDA232GLD</t>
  </si>
  <si>
    <t>V20BLK</t>
  </si>
  <si>
    <t>LG V20</t>
  </si>
  <si>
    <t>A517BLK</t>
  </si>
  <si>
    <t>Samsung Galaxy A5 (2017)</t>
  </si>
  <si>
    <t>A517BLU</t>
  </si>
  <si>
    <t>Alcatel</t>
  </si>
  <si>
    <t>POP7GRY</t>
  </si>
  <si>
    <t>Alcatel Pop 7 LTE</t>
  </si>
  <si>
    <t>IPSE32GRY</t>
  </si>
  <si>
    <t>IPSE32SIL</t>
  </si>
  <si>
    <t>IPSE32GLD</t>
  </si>
  <si>
    <t>IPSE32RGD</t>
  </si>
  <si>
    <t>Apple iPhone SE 32GB</t>
  </si>
  <si>
    <t>IPSE128GRY</t>
  </si>
  <si>
    <t>IPSE128SIL</t>
  </si>
  <si>
    <t>IPSE128GLD</t>
  </si>
  <si>
    <t>IPSE128RGD</t>
  </si>
  <si>
    <t>IP7128RED</t>
  </si>
  <si>
    <t>IP7256RED</t>
  </si>
  <si>
    <t>IP7PL128RED</t>
  </si>
  <si>
    <t>IP7PL256RED</t>
  </si>
  <si>
    <t>Apple iPhone SE 128GB</t>
  </si>
  <si>
    <t>G6BLK</t>
  </si>
  <si>
    <t>G6PLT</t>
  </si>
  <si>
    <t>LG G6</t>
  </si>
  <si>
    <t>S8BLK</t>
  </si>
  <si>
    <t>S8GRY</t>
  </si>
  <si>
    <t>S8PLBLK</t>
  </si>
  <si>
    <t>S8PLGRY</t>
  </si>
  <si>
    <t>Samsung Galaxy S8</t>
  </si>
  <si>
    <t>Samsung Galaxy S8 Plus</t>
  </si>
  <si>
    <t>IPD5L32GRY</t>
  </si>
  <si>
    <t>IPD5L32SIL</t>
  </si>
  <si>
    <t>IPD5L128GRY</t>
  </si>
  <si>
    <t>IPD5L128SIL</t>
  </si>
  <si>
    <t>Apple iPad 32GB</t>
  </si>
  <si>
    <t>Apple iPad 128GB</t>
  </si>
  <si>
    <t>BBKEY1SIL</t>
  </si>
  <si>
    <t>BlackBerry KEYone</t>
  </si>
  <si>
    <t>P10LTBLK</t>
  </si>
  <si>
    <t>Huawei P10 Lite</t>
  </si>
  <si>
    <t>P10BLK</t>
  </si>
  <si>
    <t>Huawei P10</t>
  </si>
  <si>
    <t>P10GLD</t>
  </si>
  <si>
    <t>P10PLBLK</t>
  </si>
  <si>
    <t>Huawei P10 Plus</t>
  </si>
  <si>
    <t>IPDP10256GRY</t>
  </si>
  <si>
    <t>Apple iPad Pro 10.5" 256GB</t>
  </si>
  <si>
    <t>XC4BLK</t>
  </si>
  <si>
    <t xml:space="preserve">Samsung Galaxy XCover 4 </t>
  </si>
  <si>
    <t>XPOWERBLK</t>
  </si>
  <si>
    <t>P10BLU</t>
  </si>
  <si>
    <t>P10PLBLU</t>
  </si>
  <si>
    <t>IP632GRY</t>
  </si>
  <si>
    <t>Apple iPhone 6 32GB</t>
  </si>
  <si>
    <t>GXVIEWBLK</t>
  </si>
  <si>
    <t>ZTE Grand X View 2</t>
  </si>
  <si>
    <t>Z6200BLK</t>
  </si>
  <si>
    <t>Samsung Galaxy Note8</t>
  </si>
  <si>
    <t>NOTE8BLK</t>
  </si>
  <si>
    <t>NOTE8BLU</t>
  </si>
  <si>
    <t>LG G Pad IV</t>
  </si>
  <si>
    <t>GPAD4BLK</t>
  </si>
  <si>
    <t>Apple iPhone 8 64GB</t>
  </si>
  <si>
    <t>Apple iPhone 8 256GB</t>
  </si>
  <si>
    <t>Apple iPhone 8 Plus 64GB</t>
  </si>
  <si>
    <t>Apple iPhone 8 Plus 256GB</t>
  </si>
  <si>
    <t>IP864GRY</t>
  </si>
  <si>
    <t>IP864SIL</t>
  </si>
  <si>
    <t>IP8256GRY</t>
  </si>
  <si>
    <t>IP8256SIL</t>
  </si>
  <si>
    <t>IP8PL64GRY</t>
  </si>
  <si>
    <t>IP8PL64SIL</t>
  </si>
  <si>
    <t>IP8PL256GRY</t>
  </si>
  <si>
    <t>IP8PL256SIL</t>
  </si>
  <si>
    <t>IP864GLD</t>
  </si>
  <si>
    <t>IP8256GLD</t>
  </si>
  <si>
    <t>IP8PL64GLD</t>
  </si>
  <si>
    <t>IP8PL256GLD</t>
  </si>
  <si>
    <t>IP732JBLK</t>
  </si>
  <si>
    <t>IP7PL32JBLK</t>
  </si>
  <si>
    <t>PIX264BLK</t>
  </si>
  <si>
    <t>PIX264WHT</t>
  </si>
  <si>
    <t>PIX2128BLK</t>
  </si>
  <si>
    <t>PIX2128WHT</t>
  </si>
  <si>
    <t>PXL264BLK</t>
  </si>
  <si>
    <t>PXL2128BLK</t>
  </si>
  <si>
    <t>PXL264BWHT</t>
  </si>
  <si>
    <t>PXL2128BWHT</t>
  </si>
  <si>
    <t>Google Pixel 2 64GB</t>
  </si>
  <si>
    <t>Google Pixel 2 128GB</t>
  </si>
  <si>
    <t>Google Pixel 2 XL 64GB</t>
  </si>
  <si>
    <t>Google Pixel 2 XL 128GB</t>
  </si>
  <si>
    <t>V30SIL</t>
  </si>
  <si>
    <t>IPX64GRY</t>
  </si>
  <si>
    <t>Apple iPhone X 64GB</t>
  </si>
  <si>
    <t>IPX64SIL</t>
  </si>
  <si>
    <t>Apple iPhone X 256GB</t>
  </si>
  <si>
    <t>IPX256GRY</t>
  </si>
  <si>
    <t>IPX256SIL</t>
  </si>
  <si>
    <t>2 Year / Ans
PREM_MBB</t>
  </si>
  <si>
    <t>J3PRMBLK</t>
  </si>
  <si>
    <t>Samsung Galaxy J3 Prime</t>
  </si>
  <si>
    <t>LG Q6</t>
  </si>
  <si>
    <t>Q6PLT</t>
  </si>
  <si>
    <t>WF723BLKR</t>
  </si>
  <si>
    <t>Apple iPhone 6 16GB</t>
  </si>
  <si>
    <t>IP616GRY</t>
  </si>
  <si>
    <t>IP616SIL</t>
  </si>
  <si>
    <t>IP6S16GLD</t>
  </si>
  <si>
    <t>Apple iPhone 6S 16GB</t>
  </si>
  <si>
    <t>IP6S16GRY</t>
  </si>
  <si>
    <t>IP6S16RGD</t>
  </si>
  <si>
    <t>IP6S16SIL</t>
  </si>
  <si>
    <t>IP6SPL16GLD</t>
  </si>
  <si>
    <t>Apple iPhone 6S Plus 16GB</t>
  </si>
  <si>
    <t>IP6SPL16GRY</t>
  </si>
  <si>
    <t>IP6SPL16RGD</t>
  </si>
  <si>
    <t>IP6SPL16SIL</t>
  </si>
  <si>
    <t>NEXUS15GRY</t>
  </si>
  <si>
    <t>Huawei Nexus 6P</t>
  </si>
  <si>
    <t>GS6128BLK</t>
  </si>
  <si>
    <t>Samsung Galaxy S6 128GB</t>
  </si>
  <si>
    <t>GS6ED32GLD</t>
  </si>
  <si>
    <t>GS6ED32WHT</t>
  </si>
  <si>
    <t>GS6ED64BLK</t>
  </si>
  <si>
    <t>Samsung Galaxy S6 Edge 64GB</t>
  </si>
  <si>
    <t>GS6ED64GLD</t>
  </si>
  <si>
    <t>GS6ED64WHT</t>
  </si>
  <si>
    <t>GS6PL32BLK</t>
  </si>
  <si>
    <t>Samsung Galaxy S6 Edge Plus 32GB</t>
  </si>
  <si>
    <t>GS6ED128BLK</t>
  </si>
  <si>
    <t>Samsung Galaxy S6 Edge 128GB</t>
  </si>
  <si>
    <t>Samsung Galaxy S9</t>
  </si>
  <si>
    <t>Samsung Galaxy S9 Plus</t>
  </si>
  <si>
    <t>S9GRY</t>
  </si>
  <si>
    <t>S9PUR</t>
  </si>
  <si>
    <t>S9PLGRY</t>
  </si>
  <si>
    <t>S9PLPUR</t>
  </si>
  <si>
    <t>A8BLK</t>
  </si>
  <si>
    <t>Samsung Galaxy A8</t>
  </si>
  <si>
    <t>A8GRY</t>
  </si>
  <si>
    <t>IP864RED</t>
  </si>
  <si>
    <t>IP8PL64RED</t>
  </si>
  <si>
    <t>IP8256RED</t>
  </si>
  <si>
    <t>IP8PL256RED</t>
  </si>
  <si>
    <t>IPD6L32GRY</t>
  </si>
  <si>
    <t>IPD6L128GRY</t>
  </si>
  <si>
    <t>GS6PL64BLK</t>
  </si>
  <si>
    <t>Samsung Galaxy S6 Edge Plus 64GB</t>
  </si>
  <si>
    <t>P20LTBLK</t>
  </si>
  <si>
    <t>P20BLK</t>
  </si>
  <si>
    <t>P20PRBLK</t>
  </si>
  <si>
    <t>Huawei P20 Lite</t>
  </si>
  <si>
    <t>Huawei P20</t>
  </si>
  <si>
    <t>Huawei P20 Pro</t>
  </si>
  <si>
    <t>MPADT3GRYGWP</t>
  </si>
  <si>
    <t>MPADT3GRY</t>
  </si>
  <si>
    <t xml:space="preserve">Huawei MediaPad T3 10 </t>
  </si>
  <si>
    <t>IP6128GLD</t>
  </si>
  <si>
    <t>IP6128GRY</t>
  </si>
  <si>
    <t>IP6128SIL</t>
  </si>
  <si>
    <t>MPADT3GRYGWPUN</t>
  </si>
  <si>
    <t>G7BLK</t>
  </si>
  <si>
    <t>G7PLT</t>
  </si>
  <si>
    <t>LG G7</t>
  </si>
  <si>
    <t>IPD5L32GLD</t>
  </si>
  <si>
    <t>Apple iPad 6 32GB</t>
  </si>
  <si>
    <t>Apple iPad 6 128GB</t>
  </si>
  <si>
    <t>All</t>
  </si>
  <si>
    <t>Eligible Channels</t>
  </si>
  <si>
    <t>Corporate, Dealer</t>
  </si>
  <si>
    <t>Apple iPhone 6 128GB</t>
  </si>
  <si>
    <t>Direct, Online, Apple, BBY</t>
  </si>
  <si>
    <t>Apple, BBY</t>
  </si>
  <si>
    <t>Coprorate</t>
  </si>
  <si>
    <t>Dealers</t>
  </si>
  <si>
    <t>Huawei MediaPad T3 10</t>
  </si>
  <si>
    <t>Glentel</t>
  </si>
  <si>
    <t>LG V30</t>
  </si>
  <si>
    <t>LG X power 2</t>
  </si>
  <si>
    <t>Direct</t>
  </si>
  <si>
    <t>Online</t>
  </si>
  <si>
    <t>Coprorate, Dealer, Direct</t>
  </si>
  <si>
    <t>Corporate, Dealer, Glentel</t>
  </si>
  <si>
    <t>Connected Car</t>
  </si>
  <si>
    <r>
      <t xml:space="preserve">Direct, Partner </t>
    </r>
    <r>
      <rPr>
        <sz val="1"/>
        <color theme="0"/>
        <rFont val="Arial"/>
        <family val="2"/>
      </rPr>
      <t>BBY</t>
    </r>
  </si>
  <si>
    <r>
      <t xml:space="preserve">Partner </t>
    </r>
    <r>
      <rPr>
        <sz val="1"/>
        <color theme="0"/>
        <rFont val="Arial"/>
        <family val="2"/>
      </rPr>
      <t>BBY</t>
    </r>
  </si>
  <si>
    <r>
      <t xml:space="preserve">Direct, NRS, Partner </t>
    </r>
    <r>
      <rPr>
        <sz val="1"/>
        <color theme="0"/>
        <rFont val="Arial"/>
        <family val="2"/>
      </rPr>
      <t>BBY</t>
    </r>
  </si>
  <si>
    <t>MEPLAYBLK</t>
  </si>
  <si>
    <t>Motorola Moto E5 Play</t>
  </si>
  <si>
    <t>BlackBerry KEY2</t>
  </si>
  <si>
    <t>KEY2BLK</t>
  </si>
  <si>
    <t>A30BLK</t>
  </si>
  <si>
    <t>Alcatel A30</t>
  </si>
  <si>
    <t>QSTYLOBLK</t>
  </si>
  <si>
    <t>LG Q Stylo+</t>
  </si>
  <si>
    <r>
      <t xml:space="preserve">Partner </t>
    </r>
    <r>
      <rPr>
        <sz val="1"/>
        <color rgb="FF92D050"/>
        <rFont val="Arial"/>
        <family val="2"/>
      </rPr>
      <t>BBY</t>
    </r>
  </si>
  <si>
    <t>GOFLIPBLK</t>
  </si>
  <si>
    <t>Alcatel Go Flip</t>
  </si>
  <si>
    <t>Novatel</t>
  </si>
  <si>
    <t>M7000BLK</t>
  </si>
  <si>
    <t xml:space="preserve">Novatel MiFi 7000 </t>
  </si>
  <si>
    <t>BB/APPL
Comp</t>
  </si>
  <si>
    <t>SSG Comp</t>
  </si>
  <si>
    <t>NOTE9BLU</t>
  </si>
  <si>
    <t>P20PRTWL</t>
  </si>
  <si>
    <t>XP8BLK</t>
  </si>
  <si>
    <t>Sonim XP8</t>
  </si>
  <si>
    <t>Apple iPhone XS 64GB</t>
  </si>
  <si>
    <t>Apple iPhone XS 256GB</t>
  </si>
  <si>
    <t>Apple iPhone XS Max 64GB</t>
  </si>
  <si>
    <t>Apple iPhone XS Max 256GB</t>
  </si>
  <si>
    <t>Apple iPhone XS 512GB</t>
  </si>
  <si>
    <t>Apple iPhone XS Max 512GB</t>
  </si>
  <si>
    <t>IPXS64GRY</t>
  </si>
  <si>
    <t>IPXS64GLD</t>
  </si>
  <si>
    <t>IPXS64SIL</t>
  </si>
  <si>
    <t>IPXS256GLD</t>
  </si>
  <si>
    <t>IPXS256GRY</t>
  </si>
  <si>
    <t>IPXS256SIL</t>
  </si>
  <si>
    <t>IPXS512GLD</t>
  </si>
  <si>
    <t>IPXS512GRY</t>
  </si>
  <si>
    <t>IPXS512SIL</t>
  </si>
  <si>
    <t>IPXSMX64GLD</t>
  </si>
  <si>
    <t>IPXSMX64GRY</t>
  </si>
  <si>
    <t>IPXSMX64SIL</t>
  </si>
  <si>
    <t>IPXSMX256GLD</t>
  </si>
  <si>
    <t>IPXSMX256GRY</t>
  </si>
  <si>
    <t>IPXSMX256SIL</t>
  </si>
  <si>
    <t>IPXSMX512GLD</t>
  </si>
  <si>
    <t>IPXSMX512GRY</t>
  </si>
  <si>
    <t>IPXSMX512SIL</t>
  </si>
  <si>
    <t>AW4AL40SIL</t>
  </si>
  <si>
    <t>AW4AL40GLD</t>
  </si>
  <si>
    <t>AW4AL40GRY</t>
  </si>
  <si>
    <t>AW4AL44GLD</t>
  </si>
  <si>
    <t>AW4AL44GRY</t>
  </si>
  <si>
    <t>AW4AL44SIL</t>
  </si>
  <si>
    <t>Apple Watch Series 4 40mm Aluminum</t>
  </si>
  <si>
    <t>Apple Watch Series 4 44mm Aluminum</t>
  </si>
  <si>
    <t>Corporate, Dealer, Online, Glentel</t>
  </si>
  <si>
    <t>AW3AL38GRY</t>
  </si>
  <si>
    <t>AW3AL42GRY</t>
  </si>
  <si>
    <t>Apple Watch Series 3 38mm Aluminum</t>
  </si>
  <si>
    <t>Apple Watch Series 3 42mm Aluminum</t>
  </si>
  <si>
    <t>J318BLK</t>
  </si>
  <si>
    <t>Samsung Galaxy J3 (2018)</t>
  </si>
  <si>
    <t>Sonim XP5S</t>
  </si>
  <si>
    <t>XP5SBLK</t>
  </si>
  <si>
    <t>KEY2LEBLK</t>
  </si>
  <si>
    <t>BlackBerry KEY2LE</t>
  </si>
  <si>
    <t>Google Pixel 3 64GB</t>
  </si>
  <si>
    <t>Google Pixel 3 128GB</t>
  </si>
  <si>
    <t>Google Pixel 3 XL 64GB</t>
  </si>
  <si>
    <t>Google Pixel 3 XL 128GB</t>
  </si>
  <si>
    <t>PIX364BLK</t>
  </si>
  <si>
    <t>PIX364WHT</t>
  </si>
  <si>
    <t>PIX3128BLK</t>
  </si>
  <si>
    <t>PIX3128WHT</t>
  </si>
  <si>
    <t>PXL364BLK</t>
  </si>
  <si>
    <t>PXL364WHT</t>
  </si>
  <si>
    <t>PXL3128BLK</t>
  </si>
  <si>
    <t>PXL3128WHT</t>
  </si>
  <si>
    <t>Apple iPhone XR 64GB</t>
  </si>
  <si>
    <t>Apple iPhone XR 256GB</t>
  </si>
  <si>
    <t>Apple iPhone XR 128GB</t>
  </si>
  <si>
    <t>IPXR64BLK</t>
  </si>
  <si>
    <t>IPXR64COR</t>
  </si>
  <si>
    <t>IPXR64BLU</t>
  </si>
  <si>
    <t>IPXR64RED</t>
  </si>
  <si>
    <t>IPXR64WHT</t>
  </si>
  <si>
    <t>IPXR64YEL</t>
  </si>
  <si>
    <t>IPXR128BLK</t>
  </si>
  <si>
    <t>IPXR128BLU</t>
  </si>
  <si>
    <t>IPXR128COR</t>
  </si>
  <si>
    <t>IPXR128RED</t>
  </si>
  <si>
    <t>IPXR128WHT</t>
  </si>
  <si>
    <t>IPXR128YEL</t>
  </si>
  <si>
    <t>IPXR256BLK</t>
  </si>
  <si>
    <t>IPXR256BLU</t>
  </si>
  <si>
    <t>IPXR256COR</t>
  </si>
  <si>
    <t>IPXR256RED</t>
  </si>
  <si>
    <t>IPXR256WHT</t>
  </si>
  <si>
    <t>IPXR256YEL</t>
  </si>
  <si>
    <t>G7ONEBLK</t>
  </si>
  <si>
    <t>LG G7 One</t>
  </si>
  <si>
    <t>M20PRBLK</t>
  </si>
  <si>
    <t>M20PRTWL</t>
  </si>
  <si>
    <t>Motorola G6 Play</t>
  </si>
  <si>
    <t>G6PLAYBLU</t>
  </si>
  <si>
    <t>TABA10BLK</t>
  </si>
  <si>
    <t>Samsung Galaxy Tab A 10.5</t>
  </si>
  <si>
    <t>IPDP1164GRY</t>
  </si>
  <si>
    <t>IPDP11256GRY</t>
  </si>
  <si>
    <t>Apple iPad Pro 11" 256GB</t>
  </si>
  <si>
    <t>Apple iPad Pro 11" 64GB</t>
  </si>
  <si>
    <t>Huawei Mate 20 Pro</t>
  </si>
  <si>
    <t>NOTE9LBLK</t>
  </si>
  <si>
    <t>Samsung Galaxy Note9 128GB</t>
  </si>
  <si>
    <t>Samsung Galaxy Note9 512GB</t>
  </si>
  <si>
    <t>Direct, NRS</t>
  </si>
  <si>
    <t>MF279TBLK</t>
  </si>
  <si>
    <t xml:space="preserve">ZTE MF279T Rocket Hub </t>
  </si>
  <si>
    <t>NOTE9BLK</t>
  </si>
  <si>
    <t>S10128WHT</t>
  </si>
  <si>
    <t>Samsung Galaxy S10 128GB</t>
  </si>
  <si>
    <t>S10128BLK</t>
  </si>
  <si>
    <t>S10128BLU</t>
  </si>
  <si>
    <t>S10512BLK</t>
  </si>
  <si>
    <t>Samsung Galaxy S10 512GB</t>
  </si>
  <si>
    <t>S10512WHT</t>
  </si>
  <si>
    <t>S10512BLU</t>
  </si>
  <si>
    <t>S10E128WHT</t>
  </si>
  <si>
    <t>Samsung Galaxy S10 Essential  128GB</t>
  </si>
  <si>
    <t>S10E128BLK</t>
  </si>
  <si>
    <t>S10E128BLU</t>
  </si>
  <si>
    <t>S10E256WHT</t>
  </si>
  <si>
    <t>Samsung Galaxy S10 Essential  256GB</t>
  </si>
  <si>
    <t>S10E256BLK</t>
  </si>
  <si>
    <t>S10E256BLU</t>
  </si>
  <si>
    <t>S10PL128BLU</t>
  </si>
  <si>
    <t>Samsung Galaxy S10 Plus 128GB</t>
  </si>
  <si>
    <t>S10PL128WHT</t>
  </si>
  <si>
    <t>S10PL128BLK</t>
  </si>
  <si>
    <t>S10PL512BLKC</t>
  </si>
  <si>
    <t>Samsung Galaxy S10 Plus 512GB</t>
  </si>
  <si>
    <t>S10PL512WHTC</t>
  </si>
  <si>
    <t>S10PL1TWHTC</t>
  </si>
  <si>
    <t>Samsung Galaxy S10 Plus 1T</t>
  </si>
  <si>
    <t>S10PL1TBLKC</t>
  </si>
  <si>
    <t>SSTABA8</t>
  </si>
  <si>
    <t>Samsung Galaxy Tab A 8.0</t>
  </si>
  <si>
    <t>P30PRBC</t>
  </si>
  <si>
    <t>P30PRBLK</t>
  </si>
  <si>
    <t>P30BC</t>
  </si>
  <si>
    <t>P30BLK</t>
  </si>
  <si>
    <t>P30LTBLK</t>
  </si>
  <si>
    <t>IPDA1064GRY</t>
  </si>
  <si>
    <t xml:space="preserve">Apple iPad Air 10.5 </t>
  </si>
  <si>
    <t>Huawei P30 128GB</t>
  </si>
  <si>
    <t>Huawei P30 Pro 128GB</t>
  </si>
  <si>
    <t>LG G8</t>
  </si>
  <si>
    <t>Huawei P30  128GB</t>
  </si>
  <si>
    <t>Huawei P30 Lite 128GB</t>
  </si>
  <si>
    <t>G7PLAYBLU</t>
  </si>
  <si>
    <t>Motorola G7 Play</t>
  </si>
  <si>
    <t>G8BLK</t>
  </si>
  <si>
    <t>Huawei MediaPad T5</t>
  </si>
  <si>
    <t>MPADT5BLK</t>
  </si>
  <si>
    <t>PIX3ABLK</t>
  </si>
  <si>
    <t>PIX3AWHT</t>
  </si>
  <si>
    <t>PXL3ABLK</t>
  </si>
  <si>
    <t>PXL3AWHT</t>
  </si>
  <si>
    <t>Google Pixel 3A 64GB</t>
  </si>
  <si>
    <t>Google Pixel 3A XL 64GB</t>
  </si>
  <si>
    <t>2 Year / Ans
PPL_MBB</t>
  </si>
  <si>
    <t>A20BLK</t>
  </si>
  <si>
    <t>A50BLK</t>
  </si>
  <si>
    <t>A70BLK</t>
  </si>
  <si>
    <t>Samsung A20</t>
  </si>
  <si>
    <t>Samsung A50</t>
  </si>
  <si>
    <t>Samsung A70</t>
  </si>
  <si>
    <t>Edge 20</t>
  </si>
  <si>
    <t>2 Year / Ans
EDGE20TAB</t>
  </si>
  <si>
    <t>2 Year / Ans
EDGE20TABQC</t>
  </si>
  <si>
    <t>Edge 30</t>
  </si>
  <si>
    <t>Edge 40</t>
  </si>
  <si>
    <t>2 Year / Ans
EDGE30TAB</t>
  </si>
  <si>
    <t>2 Year / Ans
EDGE30TABQC</t>
  </si>
  <si>
    <t>2 Year / Ans
EDGE40TAB</t>
  </si>
  <si>
    <t>2 Year / Ans
EDGE40TABQC</t>
  </si>
  <si>
    <t>2019-XXXX</t>
  </si>
  <si>
    <t>EDGE20_NAC /
EDGE20_HUP</t>
  </si>
  <si>
    <t>2 Year / Ans
EDGEFIN2TAB</t>
  </si>
  <si>
    <t>Edge Financing</t>
  </si>
  <si>
    <t>Subsidized Tablets</t>
  </si>
  <si>
    <t xml:space="preserve">EDGEF2_NAC /
EDGEF2_HUP </t>
  </si>
  <si>
    <t xml:space="preserve">EDGEF3_NAC /
EDGEF3_HUP </t>
  </si>
  <si>
    <t>EDGE20NACQC / 
EDGE20HUPQC</t>
  </si>
  <si>
    <t>EDGE30_NAC /
EDGE30_HUP</t>
  </si>
  <si>
    <t>EDGE30NACQC / 
EDGE30HUPQC</t>
  </si>
  <si>
    <t>EDGE40_NAC /
EDGE40_HUP</t>
  </si>
  <si>
    <t>EDGE40NACQC / 
EDGE40HUPQC</t>
  </si>
  <si>
    <t>ACCESS_NAC_R / 
ACCESS_HUP_R</t>
  </si>
  <si>
    <t>TT_C / 
TALKTEXT_C</t>
  </si>
  <si>
    <t>FINANC_NAC /
FINANC_HUP</t>
  </si>
  <si>
    <t>DO_C / 
DATAONLY_C</t>
  </si>
  <si>
    <t>PREM_MBB_NAC / 
PREM_MBB_HUP</t>
  </si>
  <si>
    <t>PPL_MBB_NAC / 
PPL_MBB_HUP</t>
  </si>
  <si>
    <t>WHP</t>
  </si>
  <si>
    <t>3 Year / Ans
EDGEFIN3TAB</t>
  </si>
  <si>
    <t>Tablet Financing</t>
  </si>
  <si>
    <t>Talk &amp; Text</t>
  </si>
  <si>
    <t xml:space="preserve">EDGEF2NACQC /
EDGEF2HUPQC </t>
  </si>
  <si>
    <t xml:space="preserve">EDGEF3NACQC /
EDGEF3HUPQC </t>
  </si>
  <si>
    <t>2 Year / Ans
EDGEF2TABQC</t>
  </si>
  <si>
    <t>3 Year / Ans
EDGEF3TABQC</t>
  </si>
  <si>
    <t>2 Year / Ans
FINANCING</t>
  </si>
  <si>
    <t>*NEW*</t>
  </si>
  <si>
    <t>EDGEF2_NAC / EDGEF2_HUP</t>
  </si>
  <si>
    <t>EDGEF2NACQC / EDGEF2HUPQC</t>
  </si>
  <si>
    <t>N10PBLK</t>
  </si>
  <si>
    <t>N10PSIL</t>
  </si>
  <si>
    <t>N10BLK</t>
  </si>
  <si>
    <t>N10SIL</t>
  </si>
  <si>
    <t>Samsung Galaxy Note 10</t>
  </si>
  <si>
    <t>Samsung, BBY</t>
  </si>
  <si>
    <t>N10PWHT</t>
  </si>
  <si>
    <t>Samsung Galaxy Note 10+ 256GB</t>
  </si>
  <si>
    <t>N10PBLK512</t>
  </si>
  <si>
    <t>Samsung Galaxy Note 10+ 512GB</t>
  </si>
  <si>
    <t>N10WHT</t>
  </si>
  <si>
    <t>Upfront Edge</t>
  </si>
  <si>
    <t>Apple iPhone 11 64GB</t>
  </si>
  <si>
    <t>Apple iPhone 11 128GB</t>
  </si>
  <si>
    <t>Apple iPhone 11 256GB</t>
  </si>
  <si>
    <t>Apple iPhone 11 Pro 64GB</t>
  </si>
  <si>
    <t>Apple iPhone 11 Pro 256GB</t>
  </si>
  <si>
    <t>Apple iPhone 11 Pro Max 64GB</t>
  </si>
  <si>
    <t>Apple iPhone 11 Pro Max 256GB</t>
  </si>
  <si>
    <t>Apple iPhone 11 Pro Max 512GB</t>
  </si>
  <si>
    <t>Apple iPhone 11 Pro 512GB</t>
  </si>
  <si>
    <t>IP11256BLK</t>
  </si>
  <si>
    <t>IP11256GRN</t>
  </si>
  <si>
    <t>IP11256YEL</t>
  </si>
  <si>
    <t>IP11256PUR</t>
  </si>
  <si>
    <t>IP11256RED</t>
  </si>
  <si>
    <t>IP11256WHT</t>
  </si>
  <si>
    <t>IP11128BLK</t>
  </si>
  <si>
    <t>IP11128GRN</t>
  </si>
  <si>
    <t>IP11128YEL</t>
  </si>
  <si>
    <t>IP11128PUR</t>
  </si>
  <si>
    <t>IP11128RED</t>
  </si>
  <si>
    <t>IP11128WHT</t>
  </si>
  <si>
    <t>IP1164BLK</t>
  </si>
  <si>
    <t>IP1164GRN</t>
  </si>
  <si>
    <t>IP1164YEL</t>
  </si>
  <si>
    <t>IP1164PUR</t>
  </si>
  <si>
    <t>IP1164RED</t>
  </si>
  <si>
    <t>IP1164WHT</t>
  </si>
  <si>
    <t>IP11P512GLD</t>
  </si>
  <si>
    <t>IP11P512GRY</t>
  </si>
  <si>
    <t>IP11P512SIL</t>
  </si>
  <si>
    <t>IP11P512GRN</t>
  </si>
  <si>
    <t>IP11P256GLD</t>
  </si>
  <si>
    <t>IP11P256GRY</t>
  </si>
  <si>
    <t>IP11P256SIL</t>
  </si>
  <si>
    <t>IP11P256GRN</t>
  </si>
  <si>
    <t>IP11P64GLD</t>
  </si>
  <si>
    <t>IP11P64GRY</t>
  </si>
  <si>
    <t>IP11P64SIL</t>
  </si>
  <si>
    <t>IP11P64GRN</t>
  </si>
  <si>
    <t>IP11PM512GLD</t>
  </si>
  <si>
    <t>IP11PM512GRY</t>
  </si>
  <si>
    <t>IP11PM512SIL</t>
  </si>
  <si>
    <t>IP11PM512GRN</t>
  </si>
  <si>
    <t>IP11PM256GLD</t>
  </si>
  <si>
    <t>IP11PM256GRY</t>
  </si>
  <si>
    <t>IP11PM256SIL</t>
  </si>
  <si>
    <t>IP11PM256GRN</t>
  </si>
  <si>
    <t>IP11PM64GLD</t>
  </si>
  <si>
    <t>IP11PM64GRY</t>
  </si>
  <si>
    <t>IP11PM64SIL</t>
  </si>
  <si>
    <t>IP11PM64GRN</t>
  </si>
  <si>
    <t>Apple Watch Series 5 - 40mm Aluminum</t>
  </si>
  <si>
    <t>Apple Watch Series 5 - 44mm Aluminum</t>
  </si>
  <si>
    <t>Apple iPad 7 32GB</t>
  </si>
  <si>
    <t>Apple iPad 7 128GB</t>
  </si>
  <si>
    <t>IPD732GRY</t>
  </si>
  <si>
    <t>IPD7128GRY</t>
  </si>
  <si>
    <t>AW5AL40SIL</t>
  </si>
  <si>
    <t>AW5AL40GLD</t>
  </si>
  <si>
    <t>AW5AL40GRY</t>
  </si>
  <si>
    <t>AW5AL44SIL</t>
  </si>
  <si>
    <t>AW5AL44GLD</t>
  </si>
  <si>
    <t>AW5AL44GRY</t>
  </si>
  <si>
    <t>Apple Watch Series 5 - 44mm Gold Stainless Steel Gold Loop</t>
  </si>
  <si>
    <t>AW5SS44GLDL</t>
  </si>
  <si>
    <t>IP8PL128GRY</t>
  </si>
  <si>
    <t>IP8PL128SIL</t>
  </si>
  <si>
    <t>Apple iPhone 8 Plus 128GB</t>
  </si>
  <si>
    <t>Motorola Moto E6</t>
  </si>
  <si>
    <t>ME6BLK</t>
  </si>
  <si>
    <t>Samsung Galaxy A10e</t>
  </si>
  <si>
    <t>A10EBLK</t>
  </si>
  <si>
    <t>PIX464BLK</t>
  </si>
  <si>
    <t>Google Pixel 4 64GB</t>
  </si>
  <si>
    <t>PIX464WHT</t>
  </si>
  <si>
    <t>PIX4128BLK</t>
  </si>
  <si>
    <t>Google Pixel 4 128GB</t>
  </si>
  <si>
    <t>PIX4128WHT</t>
  </si>
  <si>
    <t>PXL464BLK</t>
  </si>
  <si>
    <t>Google Pixel 4 XL 64GB</t>
  </si>
  <si>
    <t>PXL464WHT</t>
  </si>
  <si>
    <t>PXL4128BLK</t>
  </si>
  <si>
    <t>Google Pixel 4 XL 128GB</t>
  </si>
  <si>
    <t>PXL4128WHT</t>
  </si>
  <si>
    <t>WF723BLK</t>
  </si>
  <si>
    <t>Financing Discount</t>
  </si>
  <si>
    <t>Discount Duration (month)</t>
  </si>
  <si>
    <t>A50WHT</t>
  </si>
  <si>
    <t>Corporate, Dealer, Online, Glentel, Apple, BBY</t>
  </si>
  <si>
    <t>AWN342GLD</t>
  </si>
  <si>
    <t>AWN342SIL</t>
  </si>
  <si>
    <t>AW3AL38BLS</t>
  </si>
  <si>
    <t>AW3AL42BLS</t>
  </si>
  <si>
    <t>AW3AL38PNKL</t>
  </si>
  <si>
    <t>AW3AL38PNKS</t>
  </si>
  <si>
    <t>AW3AL38SILS</t>
  </si>
  <si>
    <t>AW3AL38SHEL</t>
  </si>
  <si>
    <t>AW3AL38BLKS</t>
  </si>
  <si>
    <t>AW3AL38BLKL</t>
  </si>
  <si>
    <t>AW3AL38GRYS</t>
  </si>
  <si>
    <t>AW3AL38GRYL</t>
  </si>
  <si>
    <t>AW3SS38L</t>
  </si>
  <si>
    <t>AW3SS38SB</t>
  </si>
  <si>
    <t>AW3AL42PNKL</t>
  </si>
  <si>
    <t>AW3AL42PNKS</t>
  </si>
  <si>
    <t>AW3AL42SILS</t>
  </si>
  <si>
    <t>AW3AL42SHEL</t>
  </si>
  <si>
    <t>AW3AL42BLKS</t>
  </si>
  <si>
    <t>AW3AL42BLKL</t>
  </si>
  <si>
    <t>AW3AL42GRYS</t>
  </si>
  <si>
    <t>AW3AL42GRYL</t>
  </si>
  <si>
    <t>AW3SS42L</t>
  </si>
  <si>
    <t>AW3SS42SB</t>
  </si>
  <si>
    <t>AWN338GLDS</t>
  </si>
  <si>
    <t>AWN338GLDL</t>
  </si>
  <si>
    <t>AWN3AL42L</t>
  </si>
  <si>
    <t>AW3AL38GSB</t>
  </si>
  <si>
    <t>AW3AL42GSB</t>
  </si>
  <si>
    <t>AWN342MSS</t>
  </si>
  <si>
    <t>AWN342MGL</t>
  </si>
  <si>
    <t>AWN338MSL</t>
  </si>
  <si>
    <t>AWN338ALL</t>
  </si>
  <si>
    <t>AWN338MSS</t>
  </si>
  <si>
    <t>APPLE NIKE+ S3 GPS+CELL 42MMG ARC/B SP</t>
  </si>
  <si>
    <t>APPLE NIKE+ S3 GPS+CELL 42MMSL PLN/B SP</t>
  </si>
  <si>
    <t>APPLE S3 GPS + CELL 38MM SG AL BLK SL</t>
  </si>
  <si>
    <t>APPLE S3 GPS + CELL 42MM SG AL BLK SL</t>
  </si>
  <si>
    <t>APPLE S3 GPS+CELL 38MM GDAL PNKSD SPLOOP</t>
  </si>
  <si>
    <t>APPLE S3 GPS+CELL 38MM GLD AL PNKSD SPBN</t>
  </si>
  <si>
    <t>APPLE S3 GPS+CELL 38MM SIL AL FOG SPBN</t>
  </si>
  <si>
    <t>APPLE S3 GPS+CELL 38MM SLAL SSHEL SPLOOP</t>
  </si>
  <si>
    <t>APPLE S3 GPS+CELL 38MM SPCBLK SS BK SPBN</t>
  </si>
  <si>
    <t>APPLE S3 GPS+CELL 38MM SPCBLKSS MILSLOOP</t>
  </si>
  <si>
    <t>APPLE S3 GPS+CELL 38MM SPCGY AL BLK SPBN</t>
  </si>
  <si>
    <t>APPLE S3 GPS+CELL 38MM SPGYAL OLV SPLOOP</t>
  </si>
  <si>
    <t>APPLE S3 GPS+CELL 38MM SS MILANESE LOOP</t>
  </si>
  <si>
    <t>APPLE S3 GPS+CELL 38MM SS SOFT WHT SPRBN</t>
  </si>
  <si>
    <t>APPLE S3 GPS+CELL 42MM GDAL PNKSD SPLOOP</t>
  </si>
  <si>
    <t>APPLE S3 GPS+CELL 42MM GLD AL PNKSD SPBN</t>
  </si>
  <si>
    <t>APPLE S3 GPS+CELL 42MM SIL AL FOG SPBN</t>
  </si>
  <si>
    <t>APPLE S3 GPS+CELL 42MM SLAL SSHEL SPLOOP</t>
  </si>
  <si>
    <t>APPLE S3 GPS+CELL 42MM SPCBLK SS BK SPBN</t>
  </si>
  <si>
    <t>APPLE S3 GPS+CELL 42MM SPCBLKSS MILSLOOP</t>
  </si>
  <si>
    <t>APPLE S3 GPS+CELL 42MM SPCGY AL BLK SPBN</t>
  </si>
  <si>
    <t>APPLE S3 GPS+CELL 42MM SPGYAL OLV SPLOOP</t>
  </si>
  <si>
    <t>APPLE S3 GPS+CELL 42MM SS MILANESE LOOP</t>
  </si>
  <si>
    <t>APPLE S3 GPS+CELL 42MM SS SOFT WHT SPRBN</t>
  </si>
  <si>
    <t>APPLE NIKE+ S3 GPS+CELL 38MMG ARC/B SP</t>
  </si>
  <si>
    <t>APPLE NIKE+ S3 GPS+CELL 38MMG PLN/B SLP</t>
  </si>
  <si>
    <t>APPLE NIKE+ S3 CELL 42MM AL LOOP MIDFOG</t>
  </si>
  <si>
    <t>APPLE S3 GPS+CELL 38MM SPCGY AL GRY SPBN</t>
  </si>
  <si>
    <t>APPLE S3 GPS+CELL 42MM SPCGY AL GRY SPBN</t>
  </si>
  <si>
    <t>APPLE NIKE+ S3 GPS+CELL 42MMSL CRM/B SPL</t>
  </si>
  <si>
    <t>APPLE NIKE+ S3 GPS+CELL 42MMG PLN/B SPL</t>
  </si>
  <si>
    <t>APPLE NIKE+ S3 GPS+CELL 38MMSL CRM/B SLP</t>
  </si>
  <si>
    <t>APPLE NIKE+ S3 CELL 38MM AL LOOP MIDFOG</t>
  </si>
  <si>
    <t>APPLE NIKE+ S3 GPS+CELL 38MMSL PLN/B SPN</t>
  </si>
  <si>
    <t>FOLDBLK</t>
  </si>
  <si>
    <t>Samsung Fold</t>
  </si>
  <si>
    <t>Financing Zero Downpayment</t>
  </si>
  <si>
    <t>Talk &amp; Text Financing</t>
  </si>
  <si>
    <t>Data Only Financing</t>
  </si>
  <si>
    <t>Access Only Financing</t>
  </si>
  <si>
    <t>WHP Financing</t>
  </si>
  <si>
    <t>TT_FIN_NAC / TT_FIN_HUP</t>
  </si>
  <si>
    <t>DO_FIN_NAC / DO_FIN_HUP</t>
  </si>
  <si>
    <t>RFIN_ACC_NAC / RFIN_ACC_HUP</t>
  </si>
  <si>
    <t>2 Year / Ans
TALKTEXTFIN</t>
  </si>
  <si>
    <t>Discount Duration</t>
  </si>
  <si>
    <t>2 Year / Ans
DATAONLY_R</t>
  </si>
  <si>
    <t>2 Year / Ans
ACCESS_FINR</t>
  </si>
  <si>
    <t>2 Year / Ans
WHP_FINR</t>
  </si>
  <si>
    <t>WHP_FIN_NAC / WHP_FIN_HUP</t>
  </si>
  <si>
    <t>WHP_FIN_NAC/WHP_FIN_HUP</t>
  </si>
  <si>
    <t>Downpayment</t>
  </si>
  <si>
    <t>Monthly Charge</t>
  </si>
  <si>
    <t>Monthly Discount (Discount/Duration)</t>
  </si>
  <si>
    <t>Net Monthly Price</t>
  </si>
  <si>
    <t>Total Discount</t>
  </si>
  <si>
    <t>Net Financing Price</t>
  </si>
  <si>
    <t>Monthly Discount (w. UE)</t>
  </si>
  <si>
    <t>Net Monthly Price (w. UE)</t>
  </si>
  <si>
    <t>Total Discount (w.UE)</t>
  </si>
  <si>
    <t>Net Financing Price (w. UE)</t>
  </si>
  <si>
    <t>S20128GRY</t>
  </si>
  <si>
    <t>Samsung Galaxy S20 5G 128GB</t>
  </si>
  <si>
    <t>S20128BLU</t>
  </si>
  <si>
    <t>S20PL128BLK</t>
  </si>
  <si>
    <t>Samsung Galaxy S20+ 5G 128GB</t>
  </si>
  <si>
    <t>S20PL128BLU</t>
  </si>
  <si>
    <t>S20PL512BLK</t>
  </si>
  <si>
    <t>Samsung Galaxy S20+ 5G 512GB</t>
  </si>
  <si>
    <t>S20U128GRY</t>
  </si>
  <si>
    <t>Samsung Galaxy S20 Ultra 5G 128GB</t>
  </si>
  <si>
    <t>S20U128BLK</t>
  </si>
  <si>
    <t>S20U512GRY</t>
  </si>
  <si>
    <t>Samsung Galaxy S20 Ultra 5G 512GB</t>
  </si>
  <si>
    <t>ZFLIPBLK</t>
  </si>
  <si>
    <t>ZFLIPPUR</t>
  </si>
  <si>
    <t>Samsung Galaxy Z Flip</t>
  </si>
  <si>
    <t>Corporate, Dealer, Direct, BBY, Samsung</t>
  </si>
  <si>
    <t>Alcatel Go Flip 3</t>
  </si>
  <si>
    <t>GOFLIP3BLK</t>
  </si>
  <si>
    <t>IPDP11128GR2</t>
  </si>
  <si>
    <t>IPDP11128SI2</t>
  </si>
  <si>
    <t>IPDP11256GR2</t>
  </si>
  <si>
    <t>IPDP11256SI2</t>
  </si>
  <si>
    <t>IPDP11512GR2</t>
  </si>
  <si>
    <t>IPDP11512SI2</t>
  </si>
  <si>
    <t>IPDP111TBGR2</t>
  </si>
  <si>
    <t>IPDP111TBSI2</t>
  </si>
  <si>
    <t>IPDP13128GR2</t>
  </si>
  <si>
    <t>IPDP13128SI2</t>
  </si>
  <si>
    <t>IPDP13256GR2</t>
  </si>
  <si>
    <t>IPDP13256SI2</t>
  </si>
  <si>
    <t>IPDP13512GR2</t>
  </si>
  <si>
    <t>IPDP13512SI2</t>
  </si>
  <si>
    <t>IPDP131TBGR2</t>
  </si>
  <si>
    <t>IPDP131TBSI2</t>
  </si>
  <si>
    <t>Apple iPad Pro 11" 128GB</t>
  </si>
  <si>
    <t>Apple iPad Pro 11" 512GB</t>
  </si>
  <si>
    <t>Apple iPad Pro 11" 1TB</t>
  </si>
  <si>
    <t>Apple iPad Pro 12.9" 128GB</t>
  </si>
  <si>
    <t>Apple iPad Pro 12.9" 256GB</t>
  </si>
  <si>
    <t>Apple iPad Pro 12.9" 512GB</t>
  </si>
  <si>
    <t>Apple iPad Pro 12.9" 1TB</t>
  </si>
  <si>
    <t>A51BLK</t>
  </si>
  <si>
    <t>Samsung A51</t>
  </si>
  <si>
    <t>A71BLK</t>
  </si>
  <si>
    <t>Samsung A71</t>
  </si>
  <si>
    <t>IPSE264WHT</t>
  </si>
  <si>
    <t>IPSE264BLK</t>
  </si>
  <si>
    <t>IPSE264RED</t>
  </si>
  <si>
    <t>IPSE2128WHT</t>
  </si>
  <si>
    <t>IPSE2128BLK</t>
  </si>
  <si>
    <t>IPSE2128RED</t>
  </si>
  <si>
    <t>IPSE2256WHT</t>
  </si>
  <si>
    <t>IPSE2256BLK</t>
  </si>
  <si>
    <t>IPSE2256RED</t>
  </si>
  <si>
    <t>Apple iPhone SE (2nd Gen) 64GB</t>
  </si>
  <si>
    <t>Apple iPhone SE (2nd Gen) 128GB</t>
  </si>
  <si>
    <t>Apple iPhone SE (2nd Gen) 256GB</t>
  </si>
  <si>
    <t>TABA84</t>
  </si>
  <si>
    <t>Samsung Galaxy Tab A 8.4</t>
  </si>
  <si>
    <t>XCOVERPRO</t>
  </si>
  <si>
    <t>Samsung Galaxy XCover Pro</t>
  </si>
  <si>
    <t>EDGEPLGRY</t>
  </si>
  <si>
    <t>Motorola Edge+</t>
  </si>
  <si>
    <t>MPADT532BLK</t>
  </si>
  <si>
    <t>Huawei MediaPad T5 32GB</t>
  </si>
  <si>
    <t>MEBLU</t>
  </si>
  <si>
    <t>Motorola moto e</t>
  </si>
  <si>
    <t>IPDP11512SIL</t>
  </si>
  <si>
    <t>Direct, Apple, BBY</t>
  </si>
  <si>
    <t>IPDP11256SIL</t>
  </si>
  <si>
    <t>ZTE Grand X View 3</t>
  </si>
  <si>
    <t>GRANDXV3</t>
  </si>
  <si>
    <t>VELVETAG</t>
  </si>
  <si>
    <t>LG Velvet</t>
  </si>
  <si>
    <t>A11BLK</t>
  </si>
  <si>
    <t>Samsung Galaxy A11</t>
  </si>
  <si>
    <t>ZFLIP5GRY</t>
  </si>
  <si>
    <t>ZFLIP5BRZ</t>
  </si>
  <si>
    <t>Samsung Galaxy Z Flip 5G</t>
  </si>
  <si>
    <t>N20UBRZ</t>
  </si>
  <si>
    <t>Samsung Galaxy Note 20 Ultra 5G 128GB</t>
  </si>
  <si>
    <t>N20UBLK</t>
  </si>
  <si>
    <t>N20UBLK512</t>
  </si>
  <si>
    <t>Samsung Galaxy Note 20 Ultra 5G 512GB</t>
  </si>
  <si>
    <t>N20BRZ</t>
  </si>
  <si>
    <t>Samsung Galaxy Note 20 5G 128GB</t>
  </si>
  <si>
    <t>N20GRY</t>
  </si>
  <si>
    <t>N20GRN</t>
  </si>
  <si>
    <t>Corporate, Dealer, Direct, Partner, BBY</t>
  </si>
  <si>
    <t>GFASTWHT</t>
  </si>
  <si>
    <t>Motorola G Fast</t>
  </si>
  <si>
    <t>GRANDXV4</t>
  </si>
  <si>
    <t>ZTE Grand X View 4</t>
  </si>
  <si>
    <t>PIX4ABLK</t>
  </si>
  <si>
    <t>Google Pixel 4A 128GB</t>
  </si>
  <si>
    <t>Apple iPad 8 32GB</t>
  </si>
  <si>
    <t>Apple iPad 8 128GB</t>
  </si>
  <si>
    <t>Apple Watch Series 6 - 40mm Aluminum</t>
  </si>
  <si>
    <t>Apple Watch Series 6 - 44mm Aluminum</t>
  </si>
  <si>
    <t>IPD832GRY</t>
  </si>
  <si>
    <t>IPD8128GRY</t>
  </si>
  <si>
    <t>AW6AL40GLD</t>
  </si>
  <si>
    <t>AW6AL40GRY</t>
  </si>
  <si>
    <t>AW6AL40BLU</t>
  </si>
  <si>
    <t>AW6AL44GLD</t>
  </si>
  <si>
    <t>AW6AL44GRY</t>
  </si>
  <si>
    <t>AW6AL44BLU</t>
  </si>
  <si>
    <t>Apple Watch SE - 40mm Aluminum</t>
  </si>
  <si>
    <t>Apple Watch SE - 44mm Aluminum</t>
  </si>
  <si>
    <t>AWSEAL40GLD</t>
  </si>
  <si>
    <t>AWSEAL40GRY</t>
  </si>
  <si>
    <t>AWSEAL44GLD</t>
  </si>
  <si>
    <t>AWSEAL44GRY</t>
  </si>
  <si>
    <t>IPD832GLD</t>
  </si>
  <si>
    <t>AWSEAL40SILWB</t>
  </si>
  <si>
    <t>AWSEAL44SILWB</t>
  </si>
  <si>
    <t>AWSEAL40SILNL</t>
  </si>
  <si>
    <t>AWSEAL40GLDPL</t>
  </si>
  <si>
    <t>AWSEAL40GRYCL</t>
  </si>
  <si>
    <t>AWSEAL44SILNL</t>
  </si>
  <si>
    <t>AWSEAL44GLDPL</t>
  </si>
  <si>
    <t>AWSEAL44GLDCL</t>
  </si>
  <si>
    <t>AWNSEAL44SIL</t>
  </si>
  <si>
    <t>AWNSEAL44GRY</t>
  </si>
  <si>
    <t>AWNSEAL40SIL</t>
  </si>
  <si>
    <t>AWNSEAL40GRY</t>
  </si>
  <si>
    <t>AW6AL40SIL</t>
  </si>
  <si>
    <t>AW6AL44SIL</t>
  </si>
  <si>
    <t>AW6AL40RED</t>
  </si>
  <si>
    <t>AW640WSB</t>
  </si>
  <si>
    <t>AW640SILML</t>
  </si>
  <si>
    <t>AW640GLDGSB</t>
  </si>
  <si>
    <t>AW640GLDML</t>
  </si>
  <si>
    <t>AW640GPHBSB</t>
  </si>
  <si>
    <t>AW644RED</t>
  </si>
  <si>
    <t>AW644SILWSB</t>
  </si>
  <si>
    <t>AW644SILML</t>
  </si>
  <si>
    <t>AW644GLDGSB</t>
  </si>
  <si>
    <t>AW644GLDML</t>
  </si>
  <si>
    <t>AW644GPHBSB</t>
  </si>
  <si>
    <t>AW644GPHML</t>
  </si>
  <si>
    <t>AW640GPHML</t>
  </si>
  <si>
    <t>AWN6AL40SIL</t>
  </si>
  <si>
    <t>AWN6AL40GRY</t>
  </si>
  <si>
    <t>AWN6AL44SIL</t>
  </si>
  <si>
    <t>AWN6AL44GRY</t>
  </si>
  <si>
    <t>Apple Watch SE GPS + Cellular, 40mm Silver Aluminium Case with White Sport Band - Regular</t>
  </si>
  <si>
    <t>Apple Watch SE GPS + Cellular, 40mm Silver Aluminium Case with Deep Navy Sport Loop</t>
  </si>
  <si>
    <t>Apple Watch SE GPS + Cellular, 40mm Gold Aluminium Case with Plum Sport Loop</t>
  </si>
  <si>
    <t>Apple Watch SE GPS + Cellular, 40mm Space Gray Aluminium Case with Charcoal Sport Loop</t>
  </si>
  <si>
    <t>Apple Watch SE GPS + Cellular, 44mm Silver Aluminium Case with White Sport Band - Regular</t>
  </si>
  <si>
    <t>Apple Watch SE GPS + Cellular, 44mm Silver Aluminium Case with Deep Navy Sport Loop</t>
  </si>
  <si>
    <t>Apple Watch SE GPS + Cellular, 44mm Gold Aluminium Case with Plum Sport Loop</t>
  </si>
  <si>
    <t>Apple Watch SE GPS + Cellular, 44mm Space Gray Aluminium Case with Charcoal Sport Loop</t>
  </si>
  <si>
    <t>Apple Watch Nike SE GPS + Cellular, 44mm Silver Aluminium Case with Pure Platinum/Black Nike Sport Band - Regular</t>
  </si>
  <si>
    <t>Apple Watch Nike SE GPS + Cellular, 44mm Space Gray Aluminium Case with Anthracite/Black Nike Sport Band - Regular</t>
  </si>
  <si>
    <t>Apple Watch Nike SE GPS + Cellular, 40mm Silver Aluminium Case with Pure Platinum/Black Nike Sport Band - Regular</t>
  </si>
  <si>
    <t>Apple Watch Nike SE GPS + Cellular, 40mm Space Gray Aluminium Case with Anthracite/Black Nike Sport Band - Regular</t>
  </si>
  <si>
    <t>Apple Watch Series 6 GPS + Cellular, 40mm Silver Aluminium Case with White Sport Band - Regular</t>
  </si>
  <si>
    <t>Apple Watch Series 6 GPS + Cellular, 44mm Silver Aluminium Case with White Sport Band - Regular</t>
  </si>
  <si>
    <t>Apple Watch Series 6 GPS + Cellular, 40mm PRODUCT(RED) Aluminium Case with PRODUCT(RED) Sport Band - Regular</t>
  </si>
  <si>
    <t>Apple Watch Series 6 GPS + Cellular, 40mm Silver Stainless Steel Case with White Sport Band - Regular</t>
  </si>
  <si>
    <t>Apple Watch Series 6 GPS + Cellular, 40mm Silver Stainless Steel Case with Silver Milanese Loop</t>
  </si>
  <si>
    <t>Apple Watch Series 6 GPS + Cellular, 40mm Gold Stainless Steel Case with Cyprus Green Sport Band - Regular</t>
  </si>
  <si>
    <t>Apple Watch Series 6 GPS + Cellular, 40mm Gold Stainless Steel Case with Gold Milanese Loop</t>
  </si>
  <si>
    <t>Apple Watch Series 6 GPS + Cellular, 40mm Graphite Stainless Steel Case with Black Sport Band - Regular</t>
  </si>
  <si>
    <t>Apple Watch Series 6 GPS + Cellular, 44mm PRODUCT(RED) Aluminium Case with PRODUCT(RED) Sport Band - Regular</t>
  </si>
  <si>
    <t>Apple Watch Series 6 GPS + Cellular, 44mm Silver Stainless Steel Case with White Sport Band - Regular</t>
  </si>
  <si>
    <t>Apple Watch Series 6 GPS + Cellular, 44mm Silver Stainless Steel Case with Silver Milanese Loop</t>
  </si>
  <si>
    <t>Apple Watch Series 6 GPS + Cellular, 44mm Gold Stainless Steel Case with Cyprus Green Sport Band - Regular</t>
  </si>
  <si>
    <t>Apple Watch Series 6 GPS + Cellular, 44mm Gold Stainless Steel Case with Gold Milanese Loop</t>
  </si>
  <si>
    <t>Apple Watch Series 6 GPS + Cellular, 44mm Graphite Stainless Steel Case with Black Sport Band - Regular</t>
  </si>
  <si>
    <t>Apple Watch Series 6 GPS + Cellular, 44mm Graphite Stainless Steel Case with Graphite Milanese Loop</t>
  </si>
  <si>
    <t>Apple Watch Series 6 GPS + Cellular, 40mm Graphite Stainless Steel Case with Graphite Milanese Loop</t>
  </si>
  <si>
    <t>Apple Watch Nike Series 6 GPS + Cellular, 40mm Silver Aluminium Case with Pure Platinum/Black Nike Sport Band - Regular</t>
  </si>
  <si>
    <t>Apple Watch Nike Series 6 GPS + Cellular, 40mm Space Gray Aluminium Case with Anthracite/Black Nike Sport Band - Regular</t>
  </si>
  <si>
    <t>Apple Watch Nike Series 6 GPS + Cellular, 44mm Silver Aluminium Case with Pure Platinum/Black Nike Sport Band - Regular</t>
  </si>
  <si>
    <t>Apple Watch Nike Series 6 GPS + Cellular, 44mm Space Grey Aluminium Case with Anthracite/Black Nike Sport Band - Regular</t>
  </si>
  <si>
    <t>IPD832SIL</t>
  </si>
  <si>
    <t>IPD8128SIL</t>
  </si>
  <si>
    <t>IPD8128GLD</t>
  </si>
  <si>
    <t>MGSTYBLU</t>
  </si>
  <si>
    <t>Motorola moto g stylus</t>
  </si>
  <si>
    <t>PIX4ABLKBB</t>
  </si>
  <si>
    <t>Pixel 4a 128GB Black - BEST BUY</t>
  </si>
  <si>
    <t>BBY</t>
  </si>
  <si>
    <t>VELVETIS</t>
  </si>
  <si>
    <t>Direct, Partner, BBY</t>
  </si>
  <si>
    <t>PIX5BLKBB</t>
  </si>
  <si>
    <t>Pixel 5 128GB Black - BEST BUY</t>
  </si>
  <si>
    <t>PIX5BLK</t>
  </si>
  <si>
    <t>Google Pixel 5 128GB</t>
  </si>
  <si>
    <t>UPC</t>
  </si>
  <si>
    <t>RPP - Financing</t>
  </si>
  <si>
    <t>National - RPP</t>
  </si>
  <si>
    <t>Quebec - RPP</t>
  </si>
  <si>
    <t>RPPF2_NAC / RPPF2_HUP</t>
  </si>
  <si>
    <t>RPPF2QC_NAC / RPPF2QC_HUP</t>
  </si>
  <si>
    <t>2 Year / Ans
RPP_FIN</t>
  </si>
  <si>
    <t>2 Year / Ans
RPP_FIN_QC</t>
  </si>
  <si>
    <t>S20FEBLU</t>
  </si>
  <si>
    <t>S20FELAV</t>
  </si>
  <si>
    <t>S20FEGRN</t>
  </si>
  <si>
    <t>S20FERED</t>
  </si>
  <si>
    <t>S20FEWHT</t>
  </si>
  <si>
    <t>S20FEORG</t>
  </si>
  <si>
    <t>Samsung Galaxy S20 FE 5G 128GB</t>
  </si>
  <si>
    <t>Samsung Galaxy Z Fold2</t>
  </si>
  <si>
    <t>ZFLD2BLK</t>
  </si>
  <si>
    <t>ZFLD2BLKS</t>
  </si>
  <si>
    <t>ZFLD2BLKR</t>
  </si>
  <si>
    <t>ZFLD2BLKG</t>
  </si>
  <si>
    <t>ZFLD2BLKB</t>
  </si>
  <si>
    <t>ZFLD2BRZ</t>
  </si>
  <si>
    <t>ZFLD2BRZS</t>
  </si>
  <si>
    <t>ZFLD2BRZR</t>
  </si>
  <si>
    <t>ZFLD2BRZG</t>
  </si>
  <si>
    <t>ZFLD2BRZB</t>
  </si>
  <si>
    <t>IP1164BLK20</t>
  </si>
  <si>
    <t>IP1164WHT20</t>
  </si>
  <si>
    <t>IP1164RED20</t>
  </si>
  <si>
    <t>IP1164YEL20</t>
  </si>
  <si>
    <t>IP1164PUR20</t>
  </si>
  <si>
    <t>IP1164GRN20</t>
  </si>
  <si>
    <t>IP11128BLK20</t>
  </si>
  <si>
    <t>IP11128WHT20</t>
  </si>
  <si>
    <t>IP11128RED20</t>
  </si>
  <si>
    <t>IP11128YEL20</t>
  </si>
  <si>
    <t>IP11128PUR20</t>
  </si>
  <si>
    <t>IP11128GRN20</t>
  </si>
  <si>
    <t>IP11256BLK20</t>
  </si>
  <si>
    <t>IP11256WHT20</t>
  </si>
  <si>
    <t>IP11256RED20</t>
  </si>
  <si>
    <t>IP11256YEL20</t>
  </si>
  <si>
    <t>IP11256PUR20</t>
  </si>
  <si>
    <t>IP11256GRN20</t>
  </si>
  <si>
    <t>iPhone 11 64GB 2020</t>
  </si>
  <si>
    <t>iPhone 11 128GB 2020</t>
  </si>
  <si>
    <t>iPhone 11 256GB 2020</t>
  </si>
  <si>
    <t>IPXR64BLK20</t>
  </si>
  <si>
    <t>IPXR64WHT20</t>
  </si>
  <si>
    <t>IPXR64RED20</t>
  </si>
  <si>
    <t>IPXR64YEL20</t>
  </si>
  <si>
    <t>IPXR64COR20</t>
  </si>
  <si>
    <t>IPXR64BLU20</t>
  </si>
  <si>
    <t>IPXR128BLK20</t>
  </si>
  <si>
    <t>IPXR128WHT20</t>
  </si>
  <si>
    <t>IPXR128RED20</t>
  </si>
  <si>
    <t>IPXR128YEL20</t>
  </si>
  <si>
    <t>IPXR128COR20</t>
  </si>
  <si>
    <t>IPXR128BLU20</t>
  </si>
  <si>
    <t>iPhone XR 64GB 2020</t>
  </si>
  <si>
    <t>iPhone XR 128GB 2020</t>
  </si>
  <si>
    <t>IPSE264BLK20</t>
  </si>
  <si>
    <t>IPSE264WHT20</t>
  </si>
  <si>
    <t>IPSE264RED20</t>
  </si>
  <si>
    <t>IPSE2128BLK20</t>
  </si>
  <si>
    <t>IPSE2128WHT20</t>
  </si>
  <si>
    <t>IPSE2128RED20</t>
  </si>
  <si>
    <t>IPSE2256BLK20</t>
  </si>
  <si>
    <t>IPSE2256WHT20</t>
  </si>
  <si>
    <t>IPSE2256RED20</t>
  </si>
  <si>
    <t>Apple iPhone SE (2nd Gen) 64GB 2020</t>
  </si>
  <si>
    <t>Apple iPhone SE (2nd Gen) 128GB 2020</t>
  </si>
  <si>
    <t>Apple iPhone SE (2nd Gen) 256GB 2020</t>
  </si>
  <si>
    <t>IP1264BLK</t>
  </si>
  <si>
    <t>IP1264WHT</t>
  </si>
  <si>
    <t>IP1264RED</t>
  </si>
  <si>
    <t>IP1264BLU</t>
  </si>
  <si>
    <t>IP1264GRN</t>
  </si>
  <si>
    <t>IP12128BLK</t>
  </si>
  <si>
    <t>IP12128WHT</t>
  </si>
  <si>
    <t>IP12128RED</t>
  </si>
  <si>
    <t>IP12128BLU</t>
  </si>
  <si>
    <t>IP12128GRN</t>
  </si>
  <si>
    <t>IP12256BLK</t>
  </si>
  <si>
    <t>IP12256WHT</t>
  </si>
  <si>
    <t>IP12256RED</t>
  </si>
  <si>
    <t>IP12256BLU</t>
  </si>
  <si>
    <t>IP12256GRN</t>
  </si>
  <si>
    <t>Apple iPhone 12 64GB</t>
  </si>
  <si>
    <t>Apple iPhone 12 128GB</t>
  </si>
  <si>
    <t>Apple iPhone 12 256GB</t>
  </si>
  <si>
    <t>IP12P128GRP</t>
  </si>
  <si>
    <t>IP12P128SIL</t>
  </si>
  <si>
    <t>IP12P128GLD</t>
  </si>
  <si>
    <t>IP12P128BLU</t>
  </si>
  <si>
    <t>IP12P256GRP</t>
  </si>
  <si>
    <t>IP12P256SIL</t>
  </si>
  <si>
    <t>IP12P256GLD</t>
  </si>
  <si>
    <t>IP12P256BLU</t>
  </si>
  <si>
    <t>IP12P512GRP</t>
  </si>
  <si>
    <t>IP12P512SIL</t>
  </si>
  <si>
    <t>IP12P512GLD</t>
  </si>
  <si>
    <t>IP12P512BLU</t>
  </si>
  <si>
    <t>Apple iPhone 12 Pro 128GB</t>
  </si>
  <si>
    <t>Apple iPhone 12 Pro 256GB</t>
  </si>
  <si>
    <t>Apple iPhone 12 Pro 512GB</t>
  </si>
  <si>
    <r>
      <t>Rogers Consumer Pricing Chart</t>
    </r>
    <r>
      <rPr>
        <sz val="14"/>
        <color theme="1"/>
        <rFont val="Arial"/>
        <family val="2"/>
      </rPr>
      <t xml:space="preserve"> - Version 10</t>
    </r>
  </si>
  <si>
    <t>IPDA464GRY</t>
  </si>
  <si>
    <t>IPDA464SIL</t>
  </si>
  <si>
    <t>IPDA464RG</t>
  </si>
  <si>
    <t>IPDA464SB</t>
  </si>
  <si>
    <t>IPDA464GRN</t>
  </si>
  <si>
    <t>IPDA4256GRY</t>
  </si>
  <si>
    <t>IPDA4256SIL</t>
  </si>
  <si>
    <t>IPDA4256RG</t>
  </si>
  <si>
    <t>IPDA4256SB</t>
  </si>
  <si>
    <t>IPDA4256GRN</t>
  </si>
  <si>
    <t>Apple iPad Air 4 64GB</t>
  </si>
  <si>
    <t>Apple iPad Air 4 256GB</t>
  </si>
  <si>
    <t>PIX5GRN</t>
  </si>
  <si>
    <t>PIX4A5GBLK</t>
  </si>
  <si>
    <t>Google Pixel 4A 5G 128GB</t>
  </si>
  <si>
    <t>PIX4A5GBLKBB</t>
  </si>
  <si>
    <t>Google Pixel 4A 5G 128GB - BEST BUY</t>
  </si>
  <si>
    <t>IPSE2128BK20</t>
  </si>
  <si>
    <t>IPSE2128WT20</t>
  </si>
  <si>
    <t>IP12PM128GRP</t>
  </si>
  <si>
    <t>IP12PM128SIL</t>
  </si>
  <si>
    <t>IP12PM128GLD</t>
  </si>
  <si>
    <t>IP12PM128BLU</t>
  </si>
  <si>
    <t>IP12PM256GRP</t>
  </si>
  <si>
    <t>IP12PM256SIL</t>
  </si>
  <si>
    <t>IP12PM256GLD</t>
  </si>
  <si>
    <t>IP12PM256BLU</t>
  </si>
  <si>
    <t>IP12PM512GRP</t>
  </si>
  <si>
    <t>IP12PM512SIL</t>
  </si>
  <si>
    <t>IP12PM512GLD</t>
  </si>
  <si>
    <t>IP12PM512BLU</t>
  </si>
  <si>
    <t>IP12MN64BLK</t>
  </si>
  <si>
    <t>IP12MN64WHT</t>
  </si>
  <si>
    <t>IP12MN64RED</t>
  </si>
  <si>
    <t>IP12MN64BLU</t>
  </si>
  <si>
    <t>IP12MN64GRN</t>
  </si>
  <si>
    <t>IP12MN128BLK</t>
  </si>
  <si>
    <t>IP12MN128WHT</t>
  </si>
  <si>
    <t>IP12MN128RED</t>
  </si>
  <si>
    <t>IP12MN128BLU</t>
  </si>
  <si>
    <t>IP12MN128GRN</t>
  </si>
  <si>
    <t>IP12MN256BLK</t>
  </si>
  <si>
    <t>IP12MN256WHT</t>
  </si>
  <si>
    <t>IP12MN256RED</t>
  </si>
  <si>
    <t>IP12MN256BLU</t>
  </si>
  <si>
    <t>IP12MN256GRN</t>
  </si>
  <si>
    <t>Apple iPhone 12 Pro Max 128GB</t>
  </si>
  <si>
    <t>Apple iPhone 12 Pro Max 256GB</t>
  </si>
  <si>
    <t>Apple iPhone 12 Pro Max 512GB</t>
  </si>
  <si>
    <t>Apple iPhone 12 Mini 64GB</t>
  </si>
  <si>
    <t>Apple iPhone 12 Mini 128GB</t>
  </si>
  <si>
    <t>Apple iPhone 12 Mini 256GB</t>
  </si>
  <si>
    <t>S21128GRY</t>
  </si>
  <si>
    <t>S21128PUR</t>
  </si>
  <si>
    <t>S21128WHT</t>
  </si>
  <si>
    <t>S21128PNK</t>
  </si>
  <si>
    <t>S21256GRY</t>
  </si>
  <si>
    <t>S21PL128BLK</t>
  </si>
  <si>
    <t>S21PL128PUR</t>
  </si>
  <si>
    <t>S21PL128SIL</t>
  </si>
  <si>
    <t>S21PL256BLK</t>
  </si>
  <si>
    <t>S21U128BLK</t>
  </si>
  <si>
    <t>S21U128SIL</t>
  </si>
  <si>
    <t>S21U256BLK</t>
  </si>
  <si>
    <t>S21U512BLK</t>
  </si>
  <si>
    <t>Samsung Galaxy S21 5G 128GB</t>
  </si>
  <si>
    <t>Samsung Galaxy S21 5G 256GB</t>
  </si>
  <si>
    <t>Samsung Galaxy S21+ 5G 128GB</t>
  </si>
  <si>
    <t>Samsung Galaxy S21+ 5G 256GB</t>
  </si>
  <si>
    <t>Samsung Galaxy S21 Ultra 5G 128GB</t>
  </si>
  <si>
    <t>Samsung Galaxy S21 Ultra 5G 256GB</t>
  </si>
  <si>
    <t>Samsung Galaxy S21 Ultra 5G 512GB</t>
  </si>
  <si>
    <t>S21PL128GLD</t>
  </si>
  <si>
    <t>S21PL128GRN</t>
  </si>
  <si>
    <t>S21PL128RED</t>
  </si>
  <si>
    <t>S21PL256GLD</t>
  </si>
  <si>
    <t>S21PL256GRN</t>
  </si>
  <si>
    <t>S21PL256RED</t>
  </si>
  <si>
    <t>S21U128BRN</t>
  </si>
  <si>
    <t>S21U128BLU</t>
  </si>
  <si>
    <t>S21U128TIT</t>
  </si>
  <si>
    <t>S21U256BRN</t>
  </si>
  <si>
    <t>S21U256BLU</t>
  </si>
  <si>
    <t>S21U256TIT</t>
  </si>
  <si>
    <t>S21U512BRN</t>
  </si>
  <si>
    <t>S21U512BLUE</t>
  </si>
  <si>
    <t>S21U512TIT</t>
  </si>
  <si>
    <t>TABA3</t>
  </si>
  <si>
    <t>Samsung Galaxy Tab Active3</t>
  </si>
  <si>
    <t>TABAPRO</t>
  </si>
  <si>
    <t>Samsung Active Tab Pro</t>
  </si>
  <si>
    <t>MEBLU1900</t>
  </si>
  <si>
    <t>GF3BLK1900</t>
  </si>
  <si>
    <t>1900mhz test 1</t>
  </si>
  <si>
    <t>1900mhz test 2</t>
  </si>
  <si>
    <t>Direct, Samsung</t>
  </si>
  <si>
    <t>Inseego</t>
  </si>
  <si>
    <t>M8000BLK</t>
  </si>
  <si>
    <t>Inseego MiFi 8000</t>
  </si>
  <si>
    <t>Apple, BBY, Glentel, Dealer</t>
  </si>
  <si>
    <t>A32BLK</t>
  </si>
  <si>
    <t>A52BLK</t>
  </si>
  <si>
    <t>Samsung A32 5G</t>
  </si>
  <si>
    <t>Samsung A52 5G</t>
  </si>
  <si>
    <t>TCL</t>
  </si>
  <si>
    <t>TCL20PROGRY</t>
  </si>
  <si>
    <t>TCL20SBLK</t>
  </si>
  <si>
    <t>TCL 20 Pro 5G</t>
  </si>
  <si>
    <t>TCL 20S</t>
  </si>
  <si>
    <t>IP12MN64PUR</t>
  </si>
  <si>
    <t>IP1264PUR</t>
  </si>
  <si>
    <t>Voluntary Downpayment</t>
  </si>
  <si>
    <t>Medium Risk Percentage</t>
  </si>
  <si>
    <t>Minimum / Increment of Downpayment</t>
  </si>
  <si>
    <t>120 - 240</t>
  </si>
  <si>
    <t>120 - 360</t>
  </si>
  <si>
    <t>120 - 480</t>
  </si>
  <si>
    <t>120 - 600</t>
  </si>
  <si>
    <t>120 - 720</t>
  </si>
  <si>
    <t>120 - 840</t>
  </si>
  <si>
    <t>120 - 960</t>
  </si>
  <si>
    <t>120 - 1080</t>
  </si>
  <si>
    <t>120 - 1200</t>
  </si>
  <si>
    <r>
      <t>Rogers Consumer Pricing Chart</t>
    </r>
    <r>
      <rPr>
        <sz val="14"/>
        <color theme="1"/>
        <rFont val="Arial"/>
        <family val="2"/>
      </rPr>
      <t xml:space="preserve"> - Version 11</t>
    </r>
  </si>
  <si>
    <t>IPDP11128GR3</t>
  </si>
  <si>
    <t>Apple iPad Pro 11" (2021) 128GB</t>
  </si>
  <si>
    <t>IPDP11256GR3</t>
  </si>
  <si>
    <t>Apple iPad Pro 11 (2021) 256GB</t>
  </si>
  <si>
    <t>IP12MN128PUR</t>
  </si>
  <si>
    <t>IP12MN256PUR</t>
  </si>
  <si>
    <t>IP12128PUR</t>
  </si>
  <si>
    <t>IP12256PUR</t>
  </si>
  <si>
    <t>2021-1932</t>
  </si>
  <si>
    <t>IPDP11128SI3</t>
  </si>
  <si>
    <t>IPDP11256SI3</t>
  </si>
  <si>
    <t>IPDP11512GR3</t>
  </si>
  <si>
    <t>IPDP11512SI3</t>
  </si>
  <si>
    <t>IPDP111TBGR3</t>
  </si>
  <si>
    <t>IPDP111TBSI3</t>
  </si>
  <si>
    <t>IPDP112TBGR3</t>
  </si>
  <si>
    <t>IPDP112TBSI3</t>
  </si>
  <si>
    <t>Apple iPad Pro 11" (2021) 256GB</t>
  </si>
  <si>
    <t>Apple iPad Pro 11" (2021) 512GB</t>
  </si>
  <si>
    <t>Apple iPad Pro 11" (2021) 1TB</t>
  </si>
  <si>
    <t>Apple iPad Pro 11" (2021) 2TB</t>
  </si>
  <si>
    <t>IPDP13128GR3</t>
  </si>
  <si>
    <t>IPDP13128SI3</t>
  </si>
  <si>
    <t>IPDP13256GR3</t>
  </si>
  <si>
    <t>IPDP13256SI3</t>
  </si>
  <si>
    <t>IPDP13512GR3</t>
  </si>
  <si>
    <t>IPDP13512SI3</t>
  </si>
  <si>
    <t>IPDP131TBGR3</t>
  </si>
  <si>
    <t>IPDP131TBSI3</t>
  </si>
  <si>
    <t>IPDP132TBGR3</t>
  </si>
  <si>
    <t>IPDP132TBSI3</t>
  </si>
  <si>
    <t>Apple iPad Pro 12.9" (2021) 128GB</t>
  </si>
  <si>
    <t>Apple iPad Pro 12.9" (2021) 256GB</t>
  </si>
  <si>
    <t>Apple iPad Pro 12.9" (2021) 512GB</t>
  </si>
  <si>
    <t>Apple iPad Pro 12.9" (2021) 1TB</t>
  </si>
  <si>
    <t>Apple iPad Pro 12.9" (2021) 2TB</t>
  </si>
  <si>
    <t>120 - 1440</t>
  </si>
  <si>
    <t>Warning!! The following HUP tiers have discount amount greater than the monthly payment: 6079520NP001</t>
  </si>
  <si>
    <t>Select FN_CREDIT_AMT,FN_CREDIT_TERM,PRICE,HUP_TIER From hardware_price_info Where nvl(expiration_date, sysdate+1) &gt; sysdate And Franchise_type = 'R' And SKU = 'TCL20SBLK' And FN_CREDIT_AMT is not null And Hup_Tier not in ('MSRP', 'NOTERM', 'EDGEF2_NAC', 'EDGEF2_HUP', 'EDGEF2NACQC', 'EDGEF2HUPQC', 'RPPF2_NAC', 'RPPF2_HUP', 'RPPF2QC_NAC', 'RPPF2QC_HUP', 'TT_FIN_NAC', 'TT_FIN_HUP', 'DO_FIN_NAC', 'DO_FIN_HUP', 'RFIN_ACC_NAC', 'RFIN_ACC_HUP', 'WHP_FIN_NAC', 'WHP_FIN_HUP')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</si>
</sst>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.00_);_(* \(#,##0.00\);_(* &quot;-&quot;??_);_(@_)"/>
    <numFmt numFmtId="166" formatCode="mmm\ d\,\ yyyy"/>
    <numFmt numFmtId="167" formatCode="[$-1009]d/mmm/yy;@"/>
    <numFmt numFmtId="168" formatCode="mm/dd/yyyy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"/>
      <color theme="0"/>
      <name val="Arial"/>
      <family val="2"/>
    </font>
    <font>
      <sz val="1"/>
      <color rgb="FF92D05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8"/>
      <color theme="1"/>
      <name val="Arial"/>
      <family val="2"/>
    </font>
    <font>
      <sz val="13"/>
      <color theme="1"/>
      <name val="Arial"/>
      <family val="2"/>
    </font>
    <font>
      <sz val="13"/>
      <name val="Arial"/>
      <family val="2"/>
    </font>
    <font>
      <sz val="13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4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4" fillId="9" borderId="0" applyNumberFormat="0" applyBorder="0" applyAlignment="0" applyProtection="0"/>
    <xf numFmtId="165" fontId="2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0" borderId="0"/>
    <xf numFmtId="0" fontId="2" fillId="0" borderId="0"/>
    <xf numFmtId="0" fontId="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7" fontId="2" fillId="0" borderId="0"/>
  </cellStyleXfs>
  <cellXfs count="348">
    <xf numFmtId="0" fontId="0" fillId="0" borderId="0" xfId="0"/>
    <xf numFmtId="2" fontId="13" fillId="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14" borderId="0" xfId="0" applyFont="1" applyFill="1" applyAlignment="1" applyProtection="1">
      <alignment horizontal="center" vertical="center"/>
      <protection locked="0"/>
    </xf>
    <xf numFmtId="0" fontId="8" fillId="14" borderId="0" xfId="0" applyFont="1" applyFill="1" applyAlignment="1" applyProtection="1">
      <alignment horizontal="center" vertical="center"/>
      <protection locked="0"/>
    </xf>
    <xf numFmtId="0" fontId="12" fillId="15" borderId="1" xfId="0" applyFont="1" applyFill="1" applyBorder="1" applyAlignment="1" applyProtection="1">
      <alignment vertical="center"/>
      <protection locked="0"/>
    </xf>
    <xf numFmtId="0" fontId="9" fillId="13" borderId="0" xfId="0" applyFont="1" applyFill="1" applyAlignment="1" applyProtection="1">
      <alignment horizontal="left" vertical="center"/>
      <protection locked="0"/>
    </xf>
    <xf numFmtId="0" fontId="9" fillId="14" borderId="0" xfId="0" applyFont="1" applyFill="1" applyAlignment="1" applyProtection="1">
      <alignment horizontal="left" vertical="center"/>
      <protection locked="0"/>
    </xf>
    <xf numFmtId="0" fontId="12" fillId="16" borderId="1" xfId="0" applyFont="1" applyFill="1" applyBorder="1" applyAlignment="1" applyProtection="1">
      <alignment vertical="center"/>
      <protection locked="0"/>
    </xf>
    <xf numFmtId="0" fontId="9" fillId="14" borderId="0" xfId="0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horizontal="center" vertical="center" wrapText="1"/>
      <protection locked="0"/>
    </xf>
    <xf numFmtId="0" fontId="9" fillId="17" borderId="2" xfId="0" applyFont="1" applyFill="1" applyBorder="1" applyAlignment="1" applyProtection="1">
      <alignment horizontal="center" vertical="center" wrapText="1"/>
      <protection locked="0"/>
    </xf>
    <xf numFmtId="0" fontId="9" fillId="17" borderId="1" xfId="0" applyFont="1" applyFill="1" applyBorder="1" applyAlignment="1" applyProtection="1">
      <alignment horizontal="center" vertical="center" wrapText="1"/>
      <protection locked="0"/>
    </xf>
    <xf numFmtId="0" fontId="9" fillId="14" borderId="0" xfId="0" applyFont="1" applyFill="1" applyBorder="1" applyAlignment="1" applyProtection="1">
      <alignment horizontal="center" vertical="center" wrapText="1"/>
      <protection locked="0"/>
    </xf>
    <xf numFmtId="0" fontId="12" fillId="14" borderId="0" xfId="0" applyFont="1" applyFill="1" applyBorder="1" applyAlignment="1" applyProtection="1">
      <alignment horizontal="center" vertical="center"/>
      <protection locked="0"/>
    </xf>
    <xf numFmtId="2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1" xfId="0" applyNumberFormat="1" applyFont="1" applyFill="1" applyBorder="1" applyAlignment="1" applyProtection="1">
      <alignment horizontal="center" vertical="center"/>
      <protection locked="0"/>
    </xf>
    <xf numFmtId="0" fontId="8" fillId="14" borderId="0" xfId="0" applyFont="1" applyFill="1" applyAlignment="1" applyProtection="1">
      <alignment horizontal="center" vertical="center" wrapText="1"/>
      <protection locked="0"/>
    </xf>
    <xf numFmtId="2" fontId="8" fillId="14" borderId="0" xfId="0" applyNumberFormat="1" applyFont="1" applyFill="1" applyAlignment="1" applyProtection="1">
      <alignment horizontal="center" vertical="center" wrapText="1"/>
      <protection locked="0"/>
    </xf>
    <xf numFmtId="0" fontId="14" fillId="14" borderId="0" xfId="0" applyFont="1" applyFill="1" applyAlignment="1" applyProtection="1">
      <alignment horizontal="left" vertical="center"/>
      <protection locked="0"/>
    </xf>
    <xf numFmtId="0" fontId="11" fillId="14" borderId="0" xfId="0" applyFont="1" applyFill="1" applyAlignment="1" applyProtection="1">
      <alignment horizontal="center" vertical="center" wrapText="1"/>
      <protection locked="0"/>
    </xf>
    <xf numFmtId="0" fontId="8" fillId="14" borderId="0" xfId="0" applyFont="1" applyFill="1" applyAlignment="1" applyProtection="1">
      <alignment horizontal="left" vertical="center"/>
      <protection locked="0"/>
    </xf>
    <xf numFmtId="0" fontId="12" fillId="14" borderId="0" xfId="0" applyFont="1" applyFill="1" applyAlignment="1" applyProtection="1">
      <protection locked="0"/>
    </xf>
    <xf numFmtId="0" fontId="12" fillId="14" borderId="0" xfId="0" applyFont="1" applyFill="1" applyAlignment="1" applyProtection="1">
      <alignment horizontal="center" vertical="center" wrapText="1"/>
      <protection locked="0"/>
    </xf>
    <xf numFmtId="0" fontId="12" fillId="14" borderId="0" xfId="0" applyFont="1" applyFill="1" applyAlignment="1" applyProtection="1">
      <alignment horizontal="left" vertical="center"/>
      <protection locked="0"/>
    </xf>
    <xf numFmtId="0" fontId="8" fillId="14" borderId="0" xfId="0" applyFont="1" applyFill="1" applyAlignment="1" applyProtection="1">
      <protection locked="0"/>
    </xf>
    <xf numFmtId="0" fontId="9" fillId="14" borderId="0" xfId="0" applyFont="1" applyFill="1" applyAlignment="1" applyProtection="1">
      <alignment horizontal="center" vertical="center"/>
      <protection locked="0"/>
    </xf>
    <xf numFmtId="0" fontId="9" fillId="14" borderId="0" xfId="0" applyFont="1" applyFill="1" applyAlignment="1" applyProtection="1">
      <alignment horizontal="center" vertical="center" wrapText="1"/>
      <protection locked="0"/>
    </xf>
    <xf numFmtId="15" fontId="9" fillId="14" borderId="0" xfId="0" applyNumberFormat="1" applyFont="1" applyFill="1" applyAlignment="1" applyProtection="1">
      <alignment horizontal="center" vertical="center"/>
      <protection locked="0"/>
    </xf>
    <xf numFmtId="0" fontId="9" fillId="14" borderId="0" xfId="0" applyFont="1" applyFill="1" applyAlignment="1" applyProtection="1">
      <alignment horizontal="right" vertical="center"/>
      <protection locked="0"/>
    </xf>
    <xf numFmtId="0" fontId="9" fillId="14" borderId="0" xfId="0" applyFont="1" applyFill="1" applyAlignment="1" applyProtection="1">
      <alignment horizontal="right" vertical="center" wrapText="1"/>
      <protection locked="0"/>
    </xf>
    <xf numFmtId="0" fontId="9" fillId="13" borderId="0" xfId="0" applyFont="1" applyFill="1" applyAlignment="1" applyProtection="1">
      <alignment horizontal="left" vertical="center" indent="1"/>
      <protection locked="0"/>
    </xf>
    <xf numFmtId="0" fontId="9" fillId="14" borderId="0" xfId="0" applyFont="1" applyFill="1" applyAlignment="1">
      <alignment horizontal="left" vertical="center" indent="1"/>
    </xf>
    <xf numFmtId="15" fontId="9" fillId="14" borderId="0" xfId="0" applyNumberFormat="1" applyFont="1" applyFill="1" applyAlignment="1">
      <alignment horizontal="left" vertical="center" indent="1"/>
    </xf>
    <xf numFmtId="0" fontId="9" fillId="18" borderId="1" xfId="0" applyFont="1" applyFill="1" applyBorder="1" applyAlignment="1" applyProtection="1">
      <alignment horizontal="center" vertical="center" wrapText="1"/>
      <protection locked="0"/>
    </xf>
    <xf numFmtId="0" fontId="9" fillId="14" borderId="3" xfId="0" applyFont="1" applyFill="1" applyBorder="1" applyAlignment="1" applyProtection="1">
      <alignment horizontal="center" vertical="center" wrapText="1"/>
      <protection locked="0"/>
    </xf>
    <xf numFmtId="0" fontId="12" fillId="18" borderId="1" xfId="0" applyFont="1" applyFill="1" applyBorder="1" applyAlignment="1" applyProtection="1">
      <alignment vertical="center"/>
      <protection locked="0"/>
    </xf>
    <xf numFmtId="0" fontId="12" fillId="19" borderId="1" xfId="0" applyFont="1" applyFill="1" applyBorder="1" applyAlignment="1" applyProtection="1">
      <alignment vertical="center"/>
      <protection locked="0"/>
    </xf>
    <xf numFmtId="0" fontId="2" fillId="0" borderId="0" xfId="0" applyFont="1"/>
    <xf numFmtId="0" fontId="16" fillId="0" borderId="0" xfId="0" applyFont="1" applyAlignment="1">
      <alignment vertical="center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9" fillId="17" borderId="4" xfId="0" applyFont="1" applyFill="1" applyBorder="1" applyAlignment="1" applyProtection="1">
      <alignment horizontal="center" vertical="center" wrapText="1"/>
      <protection locked="0"/>
    </xf>
    <xf numFmtId="2" fontId="13" fillId="0" borderId="4" xfId="0" applyNumberFormat="1" applyFont="1" applyFill="1" applyBorder="1" applyAlignment="1" applyProtection="1">
      <alignment horizontal="center" vertical="center" wrapText="1"/>
      <protection locked="0"/>
    </xf>
    <xf numFmtId="2" fontId="13" fillId="0" borderId="6" xfId="0" applyNumberFormat="1" applyFont="1" applyFill="1" applyBorder="1" applyAlignment="1" applyProtection="1">
      <alignment horizontal="center" vertical="center" wrapText="1"/>
      <protection locked="0"/>
    </xf>
    <xf numFmtId="2" fontId="13" fillId="0" borderId="4" xfId="0" applyNumberFormat="1" applyFont="1" applyFill="1" applyBorder="1" applyAlignment="1" applyProtection="1">
      <alignment horizontal="center" vertical="center"/>
      <protection locked="0"/>
    </xf>
    <xf numFmtId="2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Fill="1" applyBorder="1" applyAlignment="1" applyProtection="1">
      <alignment horizontal="center" vertical="center" wrapText="1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9" fontId="12" fillId="14" borderId="0" xfId="0" applyNumberFormat="1" applyFont="1" applyFill="1" applyBorder="1" applyAlignment="1" applyProtection="1">
      <alignment horizontal="center" vertical="center"/>
      <protection locked="0"/>
    </xf>
    <xf numFmtId="14" fontId="9" fillId="14" borderId="0" xfId="0" applyNumberFormat="1" applyFont="1" applyFill="1" applyAlignment="1">
      <alignment horizontal="left" vertical="center" indent="1"/>
    </xf>
    <xf numFmtId="0" fontId="9" fillId="17" borderId="5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9" fillId="18" borderId="5" xfId="0" applyFont="1" applyFill="1" applyBorder="1" applyAlignment="1" applyProtection="1">
      <alignment horizontal="center" vertical="center" wrapText="1"/>
      <protection locked="0"/>
    </xf>
    <xf numFmtId="2" fontId="13" fillId="0" borderId="1" xfId="0" applyNumberFormat="1" applyFont="1" applyFill="1" applyBorder="1" applyAlignment="1" applyProtection="1">
      <alignment horizontal="center"/>
      <protection locked="0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3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166" fontId="12" fillId="0" borderId="1" xfId="0" applyNumberFormat="1" applyFont="1" applyFill="1" applyBorder="1" applyAlignment="1" applyProtection="1">
      <alignment horizontal="center" vertical="center"/>
      <protection locked="0"/>
    </xf>
    <xf numFmtId="15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15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 applyProtection="1">
      <alignment horizontal="center" vertical="center"/>
      <protection locked="0"/>
    </xf>
    <xf numFmtId="166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8" fillId="14" borderId="0" xfId="25" applyFont="1" applyFill="1" applyAlignment="1" applyProtection="1">
      <alignment horizontal="center" vertical="center"/>
      <protection locked="0"/>
    </xf>
    <xf numFmtId="0" fontId="9" fillId="14" borderId="0" xfId="25" applyFont="1" applyFill="1" applyBorder="1" applyAlignment="1" applyProtection="1">
      <alignment horizontal="center" vertical="center" wrapText="1"/>
      <protection locked="0"/>
    </xf>
    <xf numFmtId="0" fontId="12" fillId="14" borderId="0" xfId="25" applyFont="1" applyFill="1" applyBorder="1" applyAlignment="1" applyProtection="1">
      <alignment horizontal="center" vertical="center"/>
      <protection locked="0"/>
    </xf>
    <xf numFmtId="9" fontId="12" fillId="14" borderId="0" xfId="25" applyNumberFormat="1" applyFont="1" applyFill="1" applyBorder="1" applyAlignment="1" applyProtection="1">
      <alignment horizontal="center" vertical="center"/>
      <protection locked="0"/>
    </xf>
    <xf numFmtId="0" fontId="12" fillId="14" borderId="0" xfId="25" applyFont="1" applyFill="1" applyAlignment="1" applyProtection="1">
      <alignment horizontal="center" vertical="center"/>
      <protection locked="0"/>
    </xf>
    <xf numFmtId="0" fontId="9" fillId="14" borderId="0" xfId="25" applyFont="1" applyFill="1" applyAlignment="1" applyProtection="1">
      <alignment horizontal="right" vertical="center"/>
      <protection locked="0"/>
    </xf>
    <xf numFmtId="0" fontId="9" fillId="14" borderId="0" xfId="25" applyFont="1" applyFill="1" applyAlignment="1" applyProtection="1">
      <alignment horizontal="center" vertical="center"/>
      <protection locked="0"/>
    </xf>
    <xf numFmtId="0" fontId="9" fillId="14" borderId="0" xfId="25" applyFont="1" applyFill="1" applyAlignment="1" applyProtection="1">
      <alignment horizontal="left" vertical="center"/>
      <protection locked="0"/>
    </xf>
    <xf numFmtId="0" fontId="9" fillId="13" borderId="0" xfId="25" applyFont="1" applyFill="1" applyAlignment="1" applyProtection="1">
      <alignment horizontal="left" vertical="center"/>
      <protection locked="0"/>
    </xf>
    <xf numFmtId="0" fontId="9" fillId="14" borderId="0" xfId="25" applyFont="1" applyFill="1" applyAlignment="1" applyProtection="1">
      <alignment horizontal="right" vertical="center" wrapText="1"/>
      <protection locked="0"/>
    </xf>
    <xf numFmtId="15" fontId="9" fillId="14" borderId="0" xfId="25" applyNumberFormat="1" applyFont="1" applyFill="1" applyAlignment="1" applyProtection="1">
      <alignment horizontal="center" vertical="center"/>
      <protection locked="0"/>
    </xf>
    <xf numFmtId="15" fontId="9" fillId="14" borderId="0" xfId="25" applyNumberFormat="1" applyFont="1" applyFill="1" applyAlignment="1">
      <alignment horizontal="left" vertical="center" indent="1"/>
    </xf>
    <xf numFmtId="0" fontId="9" fillId="14" borderId="0" xfId="25" applyFont="1" applyFill="1" applyAlignment="1" applyProtection="1">
      <alignment horizontal="center" vertical="center" wrapText="1"/>
      <protection locked="0"/>
    </xf>
    <xf numFmtId="0" fontId="12" fillId="15" borderId="1" xfId="25" applyFont="1" applyFill="1" applyBorder="1" applyAlignment="1" applyProtection="1">
      <alignment vertical="center"/>
      <protection locked="0"/>
    </xf>
    <xf numFmtId="0" fontId="9" fillId="13" borderId="0" xfId="25" applyFont="1" applyFill="1" applyAlignment="1" applyProtection="1">
      <alignment horizontal="left" vertical="center" indent="1"/>
      <protection locked="0"/>
    </xf>
    <xf numFmtId="0" fontId="2" fillId="0" borderId="0" xfId="25"/>
    <xf numFmtId="0" fontId="9" fillId="14" borderId="0" xfId="25" applyFont="1" applyFill="1" applyAlignment="1" applyProtection="1">
      <alignment vertical="center"/>
      <protection locked="0"/>
    </xf>
    <xf numFmtId="0" fontId="12" fillId="0" borderId="0" xfId="25" applyFont="1" applyFill="1" applyAlignment="1" applyProtection="1">
      <alignment horizontal="center" vertical="center" wrapText="1"/>
      <protection locked="0"/>
    </xf>
    <xf numFmtId="0" fontId="9" fillId="0" borderId="3" xfId="25" applyFont="1" applyFill="1" applyBorder="1" applyAlignment="1" applyProtection="1">
      <alignment horizontal="center" vertical="center" wrapText="1"/>
      <protection locked="0"/>
    </xf>
    <xf numFmtId="0" fontId="9" fillId="17" borderId="2" xfId="25" applyFont="1" applyFill="1" applyBorder="1" applyAlignment="1" applyProtection="1">
      <alignment horizontal="center" vertical="center" wrapText="1"/>
      <protection locked="0"/>
    </xf>
    <xf numFmtId="0" fontId="9" fillId="17" borderId="1" xfId="25" applyFont="1" applyFill="1" applyBorder="1" applyAlignment="1" applyProtection="1">
      <alignment horizontal="center" vertical="center" wrapText="1"/>
      <protection locked="0"/>
    </xf>
    <xf numFmtId="2" fontId="13" fillId="0" borderId="1" xfId="25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25" applyFont="1" applyFill="1" applyBorder="1" applyAlignment="1" applyProtection="1">
      <alignment horizontal="center" vertical="center"/>
      <protection locked="0"/>
    </xf>
    <xf numFmtId="15" fontId="12" fillId="0" borderId="1" xfId="25" applyNumberFormat="1" applyFont="1" applyFill="1" applyBorder="1" applyAlignment="1" applyProtection="1">
      <alignment horizontal="center" vertical="center"/>
      <protection locked="0"/>
    </xf>
    <xf numFmtId="0" fontId="12" fillId="0" borderId="1" xfId="25" applyFont="1" applyFill="1" applyBorder="1" applyAlignment="1" applyProtection="1">
      <alignment horizontal="center" vertical="center" wrapText="1"/>
      <protection locked="0"/>
    </xf>
    <xf numFmtId="0" fontId="12" fillId="0" borderId="4" xfId="25" applyFont="1" applyFill="1" applyBorder="1" applyAlignment="1" applyProtection="1">
      <alignment horizontal="center" vertical="center" wrapText="1"/>
      <protection locked="0"/>
    </xf>
    <xf numFmtId="0" fontId="8" fillId="14" borderId="0" xfId="25" applyFont="1" applyFill="1" applyAlignment="1" applyProtection="1">
      <alignment horizontal="center" vertical="center" wrapText="1"/>
      <protection locked="0"/>
    </xf>
    <xf numFmtId="0" fontId="14" fillId="14" borderId="0" xfId="25" applyFont="1" applyFill="1" applyAlignment="1" applyProtection="1">
      <alignment horizontal="left" vertical="center"/>
      <protection locked="0"/>
    </xf>
    <xf numFmtId="0" fontId="11" fillId="14" borderId="0" xfId="25" applyFont="1" applyFill="1" applyAlignment="1" applyProtection="1">
      <alignment horizontal="center" vertical="center" wrapText="1"/>
      <protection locked="0"/>
    </xf>
    <xf numFmtId="0" fontId="8" fillId="14" borderId="0" xfId="25" applyFont="1" applyFill="1" applyAlignment="1" applyProtection="1">
      <alignment horizontal="left" vertical="center"/>
      <protection locked="0"/>
    </xf>
    <xf numFmtId="0" fontId="12" fillId="14" borderId="0" xfId="25" applyFont="1" applyFill="1" applyAlignment="1" applyProtection="1">
      <alignment horizontal="left" vertical="center"/>
      <protection locked="0"/>
    </xf>
    <xf numFmtId="0" fontId="12" fillId="14" borderId="0" xfId="25" applyFont="1" applyFill="1" applyAlignment="1" applyProtection="1">
      <protection locked="0"/>
    </xf>
    <xf numFmtId="0" fontId="12" fillId="14" borderId="0" xfId="25" applyFont="1" applyFill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/>
    </xf>
    <xf numFmtId="0" fontId="13" fillId="14" borderId="0" xfId="0" applyFont="1" applyFill="1" applyAlignment="1" applyProtection="1">
      <alignment horizontal="center" vertical="center"/>
      <protection locked="0"/>
    </xf>
    <xf numFmtId="0" fontId="12" fillId="0" borderId="2" xfId="0" applyFont="1" applyFill="1" applyBorder="1" applyAlignment="1" applyProtection="1">
      <alignment horizontal="center" vertical="center" wrapText="1"/>
      <protection locked="0"/>
    </xf>
    <xf numFmtId="0" fontId="9" fillId="18" borderId="4" xfId="0" applyFont="1" applyFill="1" applyBorder="1" applyAlignment="1" applyProtection="1">
      <alignment horizontal="center" vertical="center" wrapText="1"/>
      <protection locked="0"/>
    </xf>
    <xf numFmtId="0" fontId="15" fillId="21" borderId="4" xfId="0" applyFont="1" applyFill="1" applyBorder="1" applyAlignment="1" applyProtection="1">
      <alignment horizontal="centerContinuous" vertical="center"/>
      <protection locked="0"/>
    </xf>
    <xf numFmtId="0" fontId="10" fillId="20" borderId="3" xfId="0" applyFont="1" applyFill="1" applyBorder="1" applyAlignment="1" applyProtection="1">
      <alignment horizontal="left" vertical="center"/>
      <protection locked="0"/>
    </xf>
    <xf numFmtId="0" fontId="10" fillId="20" borderId="3" xfId="0" applyFont="1" applyFill="1" applyBorder="1" applyAlignment="1" applyProtection="1">
      <alignment horizontal="centerContinuous" vertical="center"/>
      <protection locked="0"/>
    </xf>
    <xf numFmtId="0" fontId="15" fillId="21" borderId="1" xfId="0" applyFont="1" applyFill="1" applyBorder="1" applyAlignment="1" applyProtection="1">
      <alignment horizontal="centerContinuous" vertical="center"/>
      <protection locked="0"/>
    </xf>
    <xf numFmtId="0" fontId="9" fillId="22" borderId="1" xfId="0" applyFont="1" applyFill="1" applyBorder="1" applyAlignment="1" applyProtection="1">
      <alignment horizontal="center" vertical="center"/>
      <protection locked="0"/>
    </xf>
    <xf numFmtId="0" fontId="9" fillId="23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2" fontId="18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20" borderId="3" xfId="25" applyFont="1" applyFill="1" applyBorder="1" applyAlignment="1" applyProtection="1">
      <alignment horizontal="left" vertical="center"/>
      <protection locked="0"/>
    </xf>
    <xf numFmtId="0" fontId="10" fillId="20" borderId="3" xfId="25" applyFont="1" applyFill="1" applyBorder="1" applyAlignment="1" applyProtection="1">
      <alignment horizontal="centerContinuous" vertical="center"/>
      <protection locked="0"/>
    </xf>
    <xf numFmtId="0" fontId="9" fillId="22" borderId="1" xfId="0" applyFont="1" applyFill="1" applyBorder="1" applyAlignment="1" applyProtection="1">
      <alignment horizontal="centerContinuous" vertical="center"/>
      <protection locked="0"/>
    </xf>
    <xf numFmtId="0" fontId="9" fillId="23" borderId="4" xfId="0" applyFont="1" applyFill="1" applyBorder="1" applyAlignment="1" applyProtection="1">
      <alignment horizontal="center" vertical="center"/>
      <protection locked="0"/>
    </xf>
    <xf numFmtId="0" fontId="12" fillId="16" borderId="0" xfId="0" applyFont="1" applyFill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2" fillId="16" borderId="1" xfId="0" applyFont="1" applyFill="1" applyBorder="1" applyAlignment="1" applyProtection="1">
      <alignment horizontal="center" vertical="center" wrapText="1"/>
      <protection locked="0"/>
    </xf>
    <xf numFmtId="2" fontId="13" fillId="16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16" borderId="1" xfId="0" applyFont="1" applyFill="1" applyBorder="1" applyAlignment="1" applyProtection="1">
      <alignment horizontal="center" vertical="center" wrapText="1"/>
      <protection locked="0"/>
    </xf>
    <xf numFmtId="0" fontId="12" fillId="16" borderId="4" xfId="0" applyFont="1" applyFill="1" applyBorder="1" applyAlignment="1" applyProtection="1">
      <alignment horizontal="center" vertical="center" wrapText="1"/>
      <protection locked="0"/>
    </xf>
    <xf numFmtId="2" fontId="13" fillId="16" borderId="4" xfId="0" applyNumberFormat="1" applyFont="1" applyFill="1" applyBorder="1" applyAlignment="1" applyProtection="1">
      <alignment horizontal="center" vertical="center" wrapText="1"/>
      <protection locked="0"/>
    </xf>
    <xf numFmtId="2" fontId="13" fillId="1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4" borderId="1" xfId="25" applyFont="1" applyFill="1" applyBorder="1" applyAlignment="1" applyProtection="1">
      <alignment horizontal="center" vertical="center" wrapText="1"/>
      <protection locked="0"/>
    </xf>
    <xf numFmtId="0" fontId="12" fillId="16" borderId="1" xfId="25" applyFont="1" applyFill="1" applyBorder="1" applyAlignment="1" applyProtection="1">
      <alignment vertical="center"/>
      <protection locked="0"/>
    </xf>
    <xf numFmtId="0" fontId="12" fillId="18" borderId="1" xfId="25" applyFont="1" applyFill="1" applyBorder="1" applyAlignment="1" applyProtection="1">
      <alignment vertical="center"/>
      <protection locked="0"/>
    </xf>
    <xf numFmtId="0" fontId="12" fillId="19" borderId="1" xfId="25" applyFont="1" applyFill="1" applyBorder="1" applyAlignment="1" applyProtection="1">
      <alignment vertical="center"/>
      <protection locked="0"/>
    </xf>
    <xf numFmtId="0" fontId="9" fillId="22" borderId="1" xfId="25" applyFont="1" applyFill="1" applyBorder="1" applyAlignment="1" applyProtection="1">
      <alignment horizontal="centerContinuous" vertical="center"/>
      <protection locked="0"/>
    </xf>
    <xf numFmtId="0" fontId="9" fillId="14" borderId="3" xfId="25" applyFont="1" applyFill="1" applyBorder="1" applyAlignment="1" applyProtection="1">
      <alignment horizontal="center" vertical="center" wrapText="1"/>
      <protection locked="0"/>
    </xf>
    <xf numFmtId="0" fontId="9" fillId="17" borderId="5" xfId="25" applyFont="1" applyFill="1" applyBorder="1" applyAlignment="1" applyProtection="1">
      <alignment horizontal="center" vertical="center" wrapText="1"/>
      <protection locked="0"/>
    </xf>
    <xf numFmtId="2" fontId="13" fillId="0" borderId="4" xfId="25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25" applyFont="1" applyFill="1" applyBorder="1" applyAlignment="1" applyProtection="1">
      <alignment horizontal="center" vertical="center" wrapText="1"/>
      <protection locked="0"/>
    </xf>
    <xf numFmtId="0" fontId="2" fillId="0" borderId="0" xfId="25" applyFill="1"/>
    <xf numFmtId="0" fontId="12" fillId="0" borderId="2" xfId="25" applyFont="1" applyFill="1" applyBorder="1" applyAlignment="1" applyProtection="1">
      <alignment horizontal="center" vertical="center"/>
      <protection locked="0"/>
    </xf>
    <xf numFmtId="0" fontId="12" fillId="0" borderId="2" xfId="25" applyFont="1" applyFill="1" applyBorder="1" applyAlignment="1" applyProtection="1">
      <alignment horizontal="center" vertical="center" wrapText="1"/>
      <protection locked="0"/>
    </xf>
    <xf numFmtId="2" fontId="8" fillId="14" borderId="0" xfId="25" applyNumberFormat="1" applyFont="1" applyFill="1" applyAlignment="1" applyProtection="1">
      <alignment horizontal="center" vertical="center" wrapText="1"/>
      <protection locked="0"/>
    </xf>
    <xf numFmtId="0" fontId="22" fillId="0" borderId="0" xfId="25" applyFont="1" applyAlignment="1">
      <alignment horizontal="left"/>
    </xf>
    <xf numFmtId="0" fontId="22" fillId="0" borderId="0" xfId="25" applyFont="1" applyFill="1" applyAlignment="1">
      <alignment horizontal="left"/>
    </xf>
    <xf numFmtId="0" fontId="9" fillId="17" borderId="7" xfId="25" applyFont="1" applyFill="1" applyBorder="1" applyAlignment="1" applyProtection="1">
      <alignment horizontal="center" vertical="center" wrapText="1"/>
      <protection locked="0"/>
    </xf>
    <xf numFmtId="0" fontId="9" fillId="17" borderId="8" xfId="25" applyFont="1" applyFill="1" applyBorder="1" applyAlignment="1" applyProtection="1">
      <alignment horizontal="center" vertical="center" wrapText="1"/>
      <protection locked="0"/>
    </xf>
    <xf numFmtId="0" fontId="9" fillId="17" borderId="8" xfId="0" applyFont="1" applyFill="1" applyBorder="1" applyAlignment="1" applyProtection="1">
      <alignment horizontal="center" vertical="center" wrapText="1"/>
      <protection locked="0"/>
    </xf>
    <xf numFmtId="167" fontId="12" fillId="0" borderId="1" xfId="29" applyFont="1" applyFill="1" applyBorder="1" applyAlignment="1" applyProtection="1">
      <alignment horizontal="center" vertical="center" wrapText="1"/>
      <protection locked="0"/>
    </xf>
    <xf numFmtId="15" fontId="12" fillId="0" borderId="2" xfId="25" applyNumberFormat="1" applyFont="1" applyFill="1" applyBorder="1" applyAlignment="1" applyProtection="1">
      <alignment horizontal="center" vertical="center"/>
      <protection locked="0"/>
    </xf>
    <xf numFmtId="0" fontId="10" fillId="20" borderId="11" xfId="25" applyFont="1" applyFill="1" applyBorder="1" applyAlignment="1" applyProtection="1">
      <alignment horizontal="centerContinuous" vertical="center"/>
      <protection locked="0"/>
    </xf>
    <xf numFmtId="0" fontId="10" fillId="20" borderId="12" xfId="25" applyFont="1" applyFill="1" applyBorder="1" applyAlignment="1" applyProtection="1">
      <alignment horizontal="centerContinuous" vertical="center"/>
      <protection locked="0"/>
    </xf>
    <xf numFmtId="0" fontId="12" fillId="14" borderId="13" xfId="25" applyFont="1" applyFill="1" applyBorder="1" applyAlignment="1" applyProtection="1">
      <alignment horizontal="center" vertical="center"/>
      <protection locked="0"/>
    </xf>
    <xf numFmtId="0" fontId="12" fillId="14" borderId="14" xfId="25" applyFont="1" applyFill="1" applyBorder="1" applyAlignment="1" applyProtection="1">
      <alignment horizontal="center" vertical="center"/>
      <protection locked="0"/>
    </xf>
    <xf numFmtId="0" fontId="9" fillId="17" borderId="10" xfId="25" applyFont="1" applyFill="1" applyBorder="1" applyAlignment="1" applyProtection="1">
      <alignment horizontal="center" vertical="center" wrapText="1"/>
      <protection locked="0"/>
    </xf>
    <xf numFmtId="2" fontId="8" fillId="14" borderId="13" xfId="25" applyNumberFormat="1" applyFont="1" applyFill="1" applyBorder="1" applyAlignment="1" applyProtection="1">
      <alignment horizontal="center" vertical="center" wrapText="1"/>
      <protection locked="0"/>
    </xf>
    <xf numFmtId="2" fontId="8" fillId="14" borderId="14" xfId="25" applyNumberFormat="1" applyFont="1" applyFill="1" applyBorder="1" applyAlignment="1" applyProtection="1">
      <alignment horizontal="center" vertical="center" wrapText="1"/>
      <protection locked="0"/>
    </xf>
    <xf numFmtId="0" fontId="14" fillId="14" borderId="13" xfId="25" applyFont="1" applyFill="1" applyBorder="1" applyAlignment="1" applyProtection="1">
      <alignment horizontal="left" vertical="center"/>
      <protection locked="0"/>
    </xf>
    <xf numFmtId="0" fontId="14" fillId="14" borderId="14" xfId="25" applyFont="1" applyFill="1" applyBorder="1" applyAlignment="1" applyProtection="1">
      <alignment horizontal="left" vertical="center"/>
      <protection locked="0"/>
    </xf>
    <xf numFmtId="0" fontId="8" fillId="14" borderId="13" xfId="25" applyFont="1" applyFill="1" applyBorder="1" applyAlignment="1" applyProtection="1">
      <alignment horizontal="center" vertical="center"/>
      <protection locked="0"/>
    </xf>
    <xf numFmtId="0" fontId="8" fillId="14" borderId="14" xfId="25" applyFont="1" applyFill="1" applyBorder="1" applyAlignment="1" applyProtection="1">
      <alignment horizontal="center" vertical="center"/>
      <protection locked="0"/>
    </xf>
    <xf numFmtId="0" fontId="12" fillId="14" borderId="13" xfId="25" applyFont="1" applyFill="1" applyBorder="1" applyAlignment="1" applyProtection="1">
      <protection locked="0"/>
    </xf>
    <xf numFmtId="0" fontId="12" fillId="14" borderId="14" xfId="25" applyFont="1" applyFill="1" applyBorder="1" applyAlignment="1" applyProtection="1">
      <protection locked="0"/>
    </xf>
    <xf numFmtId="0" fontId="8" fillId="14" borderId="13" xfId="25" applyFont="1" applyFill="1" applyBorder="1" applyAlignment="1" applyProtection="1">
      <alignment horizontal="center" vertical="center" wrapText="1"/>
      <protection locked="0"/>
    </xf>
    <xf numFmtId="0" fontId="8" fillId="14" borderId="14" xfId="25" applyFont="1" applyFill="1" applyBorder="1" applyAlignment="1" applyProtection="1">
      <alignment horizontal="center" vertical="center" wrapText="1"/>
      <protection locked="0"/>
    </xf>
    <xf numFmtId="0" fontId="2" fillId="0" borderId="13" xfId="25" applyBorder="1"/>
    <xf numFmtId="0" fontId="2" fillId="0" borderId="14" xfId="25" applyBorder="1"/>
    <xf numFmtId="2" fontId="8" fillId="14" borderId="0" xfId="25" applyNumberFormat="1" applyFont="1" applyFill="1" applyBorder="1" applyAlignment="1" applyProtection="1">
      <alignment horizontal="center" vertical="center" wrapText="1"/>
      <protection locked="0"/>
    </xf>
    <xf numFmtId="0" fontId="14" fillId="14" borderId="0" xfId="25" applyFont="1" applyFill="1" applyBorder="1" applyAlignment="1" applyProtection="1">
      <alignment horizontal="left" vertical="center"/>
      <protection locked="0"/>
    </xf>
    <xf numFmtId="0" fontId="8" fillId="14" borderId="0" xfId="25" applyFont="1" applyFill="1" applyBorder="1" applyAlignment="1" applyProtection="1">
      <alignment horizontal="center" vertical="center"/>
      <protection locked="0"/>
    </xf>
    <xf numFmtId="0" fontId="12" fillId="14" borderId="0" xfId="25" applyFont="1" applyFill="1" applyBorder="1" applyAlignment="1" applyProtection="1">
      <protection locked="0"/>
    </xf>
    <xf numFmtId="0" fontId="8" fillId="14" borderId="0" xfId="25" applyFont="1" applyFill="1" applyBorder="1" applyAlignment="1" applyProtection="1">
      <alignment horizontal="center" vertical="center" wrapText="1"/>
      <protection locked="0"/>
    </xf>
    <xf numFmtId="0" fontId="2" fillId="0" borderId="0" xfId="25" applyBorder="1"/>
    <xf numFmtId="0" fontId="24" fillId="0" borderId="0" xfId="0" applyFont="1" applyBorder="1" applyAlignment="1">
      <alignment vertical="center" wrapText="1"/>
    </xf>
    <xf numFmtId="0" fontId="23" fillId="0" borderId="0" xfId="0" applyFont="1" applyBorder="1" applyAlignment="1">
      <alignment horizontal="center" vertical="center" wrapText="1"/>
    </xf>
    <xf numFmtId="0" fontId="9" fillId="24" borderId="1" xfId="25" applyFont="1" applyFill="1" applyBorder="1" applyAlignment="1" applyProtection="1">
      <alignment horizontal="center" vertical="center" wrapText="1"/>
      <protection locked="0"/>
    </xf>
    <xf numFmtId="0" fontId="9" fillId="17" borderId="4" xfId="25" applyFont="1" applyFill="1" applyBorder="1" applyAlignment="1" applyProtection="1">
      <alignment horizontal="center" vertical="center" wrapText="1"/>
      <protection locked="0"/>
    </xf>
    <xf numFmtId="0" fontId="9" fillId="18" borderId="4" xfId="25" applyFont="1" applyFill="1" applyBorder="1" applyAlignment="1" applyProtection="1">
      <alignment horizontal="center" vertical="center" wrapText="1"/>
      <protection locked="0"/>
    </xf>
    <xf numFmtId="0" fontId="9" fillId="17" borderId="6" xfId="25" applyFont="1" applyFill="1" applyBorder="1" applyAlignment="1" applyProtection="1">
      <alignment horizontal="center" vertical="center" wrapText="1"/>
      <protection locked="0"/>
    </xf>
    <xf numFmtId="0" fontId="9" fillId="17" borderId="17" xfId="25" applyFont="1" applyFill="1" applyBorder="1" applyAlignment="1" applyProtection="1">
      <alignment horizontal="center" vertical="center" wrapText="1"/>
      <protection locked="0"/>
    </xf>
    <xf numFmtId="0" fontId="9" fillId="14" borderId="0" xfId="25" applyFont="1" applyFill="1" applyAlignment="1">
      <alignment horizontal="left" vertical="center"/>
    </xf>
    <xf numFmtId="0" fontId="9" fillId="24" borderId="4" xfId="25" applyFont="1" applyFill="1" applyBorder="1" applyAlignment="1" applyProtection="1">
      <alignment horizontal="center" vertical="center" wrapText="1"/>
      <protection locked="0"/>
    </xf>
    <xf numFmtId="2" fontId="13" fillId="0" borderId="1" xfId="25" applyNumberFormat="1" applyFont="1" applyBorder="1" applyAlignment="1" applyProtection="1">
      <alignment horizontal="center" vertical="center" wrapText="1"/>
      <protection locked="0"/>
    </xf>
    <xf numFmtId="2" fontId="13" fillId="0" borderId="4" xfId="25" applyNumberFormat="1" applyFont="1" applyBorder="1" applyAlignment="1" applyProtection="1">
      <alignment horizontal="center" vertical="center" wrapText="1"/>
      <protection locked="0"/>
    </xf>
    <xf numFmtId="2" fontId="12" fillId="14" borderId="0" xfId="25" applyNumberFormat="1" applyFont="1" applyFill="1" applyAlignment="1" applyProtection="1">
      <alignment horizontal="center" vertical="center"/>
      <protection locked="0"/>
    </xf>
    <xf numFmtId="0" fontId="10" fillId="20" borderId="0" xfId="25" applyFont="1" applyFill="1" applyBorder="1" applyAlignment="1" applyProtection="1">
      <alignment horizontal="centerContinuous" vertical="center"/>
      <protection locked="0"/>
    </xf>
    <xf numFmtId="0" fontId="9" fillId="17" borderId="15" xfId="25" applyFont="1" applyFill="1" applyBorder="1" applyAlignment="1" applyProtection="1">
      <alignment horizontal="center" vertical="center" wrapText="1"/>
      <protection locked="0"/>
    </xf>
    <xf numFmtId="0" fontId="2" fillId="0" borderId="1" xfId="25" applyFill="1" applyBorder="1"/>
    <xf numFmtId="168" fontId="9" fillId="14" borderId="0" xfId="25" applyNumberFormat="1" applyFont="1" applyFill="1" applyAlignment="1">
      <alignment horizontal="left" vertical="center"/>
    </xf>
    <xf numFmtId="9" fontId="9" fillId="16" borderId="0" xfId="25" applyNumberFormat="1" applyFont="1" applyFill="1" applyAlignment="1" applyProtection="1">
      <alignment vertical="center"/>
      <protection locked="0"/>
    </xf>
    <xf numFmtId="0" fontId="9" fillId="16" borderId="0" xfId="25" applyFont="1" applyFill="1" applyAlignment="1" applyProtection="1">
      <alignment horizontal="left" vertical="center" indent="1"/>
      <protection locked="0"/>
    </xf>
    <xf numFmtId="0" fontId="9" fillId="25" borderId="0" xfId="25" applyFont="1" applyFill="1" applyAlignment="1" applyProtection="1">
      <alignment vertical="center"/>
      <protection locked="0"/>
    </xf>
    <xf numFmtId="0" fontId="26" fillId="14" borderId="0" xfId="25" applyFont="1" applyFill="1" applyAlignment="1" applyProtection="1">
      <alignment horizontal="left" vertical="center"/>
      <protection locked="0"/>
    </xf>
    <xf numFmtId="0" fontId="26" fillId="0" borderId="0" xfId="25" applyFont="1" applyFill="1" applyAlignment="1" applyProtection="1">
      <alignment horizontal="left" vertical="center"/>
      <protection locked="0"/>
    </xf>
    <xf numFmtId="0" fontId="9" fillId="24" borderId="1" xfId="25" applyFont="1" applyFill="1" applyBorder="1" applyAlignment="1" applyProtection="1">
      <alignment horizontal="center" vertical="center" wrapText="1"/>
      <protection locked="0"/>
    </xf>
    <xf numFmtId="0" fontId="9" fillId="24" borderId="4" xfId="25" applyFont="1" applyFill="1" applyBorder="1" applyAlignment="1" applyProtection="1">
      <alignment horizontal="center" vertical="center" wrapText="1"/>
      <protection locked="0"/>
    </xf>
    <xf numFmtId="0" fontId="12" fillId="14" borderId="1" xfId="25" applyFont="1" applyFill="1" applyBorder="1" applyAlignment="1" applyProtection="1">
      <alignment horizontal="center" vertical="center"/>
      <protection locked="0"/>
    </xf>
    <xf numFmtId="166" fontId="12" fillId="14" borderId="1" xfId="25" applyNumberFormat="1" applyFont="1" applyFill="1" applyBorder="1" applyAlignment="1" applyProtection="1">
      <alignment horizontal="center" vertical="center"/>
      <protection locked="0"/>
    </xf>
    <xf numFmtId="0" fontId="12" fillId="14" borderId="1" xfId="25" applyFont="1" applyFill="1" applyBorder="1" applyAlignment="1" applyProtection="1">
      <alignment horizontal="center" vertical="center" wrapText="1"/>
      <protection locked="0"/>
    </xf>
    <xf numFmtId="1" fontId="12" fillId="14" borderId="4" xfId="25" applyNumberFormat="1" applyFont="1" applyFill="1" applyBorder="1" applyAlignment="1" applyProtection="1">
      <alignment horizontal="center" vertical="center" wrapText="1"/>
      <protection locked="0"/>
    </xf>
    <xf numFmtId="0" fontId="12" fillId="14" borderId="4" xfId="25" applyFont="1" applyFill="1" applyBorder="1" applyAlignment="1" applyProtection="1">
      <alignment horizontal="center" vertical="center" wrapText="1"/>
      <protection locked="0"/>
    </xf>
    <xf numFmtId="2" fontId="13" fillId="14" borderId="1" xfId="25" applyNumberFormat="1" applyFont="1" applyFill="1" applyBorder="1" applyAlignment="1" applyProtection="1">
      <alignment horizontal="center" vertical="center" wrapText="1"/>
      <protection locked="0"/>
    </xf>
    <xf numFmtId="2" fontId="13" fillId="14" borderId="4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7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9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8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1" xfId="25" applyNumberFormat="1" applyFont="1" applyFill="1" applyBorder="1" applyAlignment="1" applyProtection="1">
      <alignment horizontal="center" vertical="center" wrapText="1"/>
      <protection locked="0"/>
    </xf>
    <xf numFmtId="0" fontId="28" fillId="14" borderId="1" xfId="25" applyFont="1" applyFill="1" applyBorder="1" applyAlignment="1">
      <alignment horizontal="center" vertical="center"/>
    </xf>
    <xf numFmtId="2" fontId="27" fillId="14" borderId="1" xfId="25" applyNumberFormat="1" applyFont="1" applyFill="1" applyBorder="1" applyAlignment="1" applyProtection="1">
      <alignment horizontal="center" vertical="center"/>
      <protection locked="0"/>
    </xf>
    <xf numFmtId="0" fontId="27" fillId="14" borderId="1" xfId="25" applyFont="1" applyFill="1" applyBorder="1" applyAlignment="1">
      <alignment horizontal="center" vertical="center"/>
    </xf>
    <xf numFmtId="0" fontId="28" fillId="14" borderId="4" xfId="25" applyFont="1" applyFill="1" applyBorder="1" applyAlignment="1">
      <alignment horizontal="center" vertical="center"/>
    </xf>
    <xf numFmtId="1" fontId="12" fillId="14" borderId="1" xfId="25" applyNumberFormat="1" applyFont="1" applyFill="1" applyBorder="1" applyAlignment="1" applyProtection="1">
      <alignment horizontal="center" vertical="center" wrapText="1"/>
      <protection locked="0"/>
    </xf>
    <xf numFmtId="167" fontId="12" fillId="14" borderId="1" xfId="29" applyFont="1" applyFill="1" applyBorder="1" applyAlignment="1" applyProtection="1">
      <alignment horizontal="center" vertical="center" wrapText="1"/>
      <protection locked="0"/>
    </xf>
    <xf numFmtId="2" fontId="13" fillId="14" borderId="1" xfId="29" applyNumberFormat="1" applyFont="1" applyFill="1" applyBorder="1" applyAlignment="1" applyProtection="1">
      <alignment horizontal="center" vertical="center" wrapText="1"/>
      <protection locked="0"/>
    </xf>
    <xf numFmtId="2" fontId="13" fillId="14" borderId="4" xfId="29" applyNumberFormat="1" applyFont="1" applyFill="1" applyBorder="1" applyAlignment="1" applyProtection="1">
      <alignment horizontal="center" vertical="center" wrapText="1"/>
      <protection locked="0"/>
    </xf>
    <xf numFmtId="2" fontId="27" fillId="14" borderId="1" xfId="29" applyNumberFormat="1" applyFont="1" applyFill="1" applyBorder="1" applyAlignment="1" applyProtection="1">
      <alignment horizontal="center" vertical="center" wrapText="1"/>
      <protection locked="0"/>
    </xf>
    <xf numFmtId="0" fontId="27" fillId="14" borderId="4" xfId="25" applyFont="1" applyFill="1" applyBorder="1" applyAlignment="1">
      <alignment horizontal="center" vertical="center"/>
    </xf>
    <xf numFmtId="2" fontId="28" fillId="14" borderId="1" xfId="25" applyNumberFormat="1" applyFont="1" applyFill="1" applyBorder="1" applyAlignment="1">
      <alignment horizontal="center" vertical="center"/>
    </xf>
    <xf numFmtId="2" fontId="27" fillId="14" borderId="18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19" xfId="25" applyNumberFormat="1" applyFont="1" applyFill="1" applyBorder="1" applyAlignment="1" applyProtection="1">
      <alignment horizontal="center" vertical="center" wrapText="1"/>
      <protection locked="0"/>
    </xf>
    <xf numFmtId="15" fontId="12" fillId="14" borderId="1" xfId="25" applyNumberFormat="1" applyFont="1" applyFill="1" applyBorder="1" applyAlignment="1" applyProtection="1">
      <alignment horizontal="center" vertical="center"/>
      <protection locked="0"/>
    </xf>
    <xf numFmtId="0" fontId="12" fillId="14" borderId="1" xfId="25" applyFont="1" applyFill="1" applyBorder="1" applyAlignment="1">
      <alignment horizontal="center" vertical="center"/>
    </xf>
    <xf numFmtId="2" fontId="27" fillId="14" borderId="1" xfId="25" applyNumberFormat="1" applyFont="1" applyFill="1" applyBorder="1" applyAlignment="1">
      <alignment horizontal="center" vertical="center" wrapText="1"/>
    </xf>
    <xf numFmtId="49" fontId="27" fillId="14" borderId="1" xfId="25" applyNumberFormat="1" applyFont="1" applyFill="1" applyBorder="1" applyAlignment="1">
      <alignment horizontal="center" vertical="center"/>
    </xf>
    <xf numFmtId="2" fontId="27" fillId="14" borderId="5" xfId="25" applyNumberFormat="1" applyFont="1" applyFill="1" applyBorder="1" applyAlignment="1" applyProtection="1">
      <alignment horizontal="center" vertical="center" wrapText="1"/>
      <protection locked="0"/>
    </xf>
    <xf numFmtId="0" fontId="17" fillId="14" borderId="1" xfId="0" applyFont="1" applyFill="1" applyBorder="1" applyAlignment="1" applyProtection="1">
      <alignment horizontal="center" vertical="center" wrapText="1"/>
      <protection locked="0"/>
    </xf>
    <xf numFmtId="1" fontId="17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14" borderId="4" xfId="0" applyFont="1" applyFill="1" applyBorder="1" applyAlignment="1" applyProtection="1">
      <alignment horizontal="center" vertical="center" wrapText="1"/>
      <protection locked="0"/>
    </xf>
    <xf numFmtId="2" fontId="13" fillId="14" borderId="1" xfId="0" applyNumberFormat="1" applyFont="1" applyFill="1" applyBorder="1" applyAlignment="1" applyProtection="1">
      <alignment horizontal="center" vertical="center" wrapText="1"/>
      <protection locked="0"/>
    </xf>
    <xf numFmtId="2" fontId="27" fillId="14" borderId="1" xfId="0" applyNumberFormat="1" applyFont="1" applyFill="1" applyBorder="1" applyAlignment="1" applyProtection="1">
      <alignment horizontal="center" vertical="center" wrapText="1"/>
      <protection locked="0"/>
    </xf>
    <xf numFmtId="2" fontId="27" fillId="14" borderId="4" xfId="25" applyNumberFormat="1" applyFont="1" applyFill="1" applyBorder="1" applyAlignment="1" applyProtection="1">
      <alignment horizontal="center" vertical="center" wrapText="1"/>
      <protection locked="0"/>
    </xf>
    <xf numFmtId="2" fontId="13" fillId="14" borderId="4" xfId="0" applyNumberFormat="1" applyFont="1" applyFill="1" applyBorder="1" applyAlignment="1" applyProtection="1">
      <alignment horizontal="center" vertical="center" wrapText="1"/>
      <protection locked="0"/>
    </xf>
    <xf numFmtId="2" fontId="27" fillId="14" borderId="4" xfId="0" applyNumberFormat="1" applyFont="1" applyFill="1" applyBorder="1" applyAlignment="1" applyProtection="1">
      <alignment horizontal="center" vertical="center" wrapText="1"/>
      <protection locked="0"/>
    </xf>
    <xf numFmtId="2" fontId="27" fillId="14" borderId="5" xfId="0" applyNumberFormat="1" applyFont="1" applyFill="1" applyBorder="1" applyAlignment="1" applyProtection="1">
      <alignment horizontal="center" vertical="center" wrapText="1"/>
      <protection locked="0"/>
    </xf>
    <xf numFmtId="2" fontId="29" fillId="14" borderId="7" xfId="25" applyNumberFormat="1" applyFont="1" applyFill="1" applyBorder="1" applyAlignment="1" applyProtection="1">
      <alignment horizontal="center" vertical="center" wrapText="1"/>
      <protection locked="0"/>
    </xf>
    <xf numFmtId="2" fontId="29" fillId="14" borderId="9" xfId="25" applyNumberFormat="1" applyFont="1" applyFill="1" applyBorder="1" applyAlignment="1" applyProtection="1">
      <alignment horizontal="center" vertical="center" wrapText="1"/>
      <protection locked="0"/>
    </xf>
    <xf numFmtId="2" fontId="29" fillId="14" borderId="4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20" xfId="25" applyNumberFormat="1" applyFont="1" applyFill="1" applyBorder="1" applyAlignment="1" applyProtection="1">
      <alignment horizontal="center" vertical="center" wrapText="1"/>
      <protection locked="0"/>
    </xf>
    <xf numFmtId="2" fontId="29" fillId="14" borderId="20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21" xfId="25" applyNumberFormat="1" applyFont="1" applyFill="1" applyBorder="1" applyAlignment="1" applyProtection="1">
      <alignment horizontal="center" vertical="center" wrapText="1"/>
      <protection locked="0"/>
    </xf>
    <xf numFmtId="1" fontId="12" fillId="14" borderId="1" xfId="29" applyNumberFormat="1" applyFont="1" applyFill="1" applyBorder="1" applyAlignment="1" applyProtection="1">
      <alignment horizontal="center" vertical="center" wrapText="1"/>
      <protection locked="0"/>
    </xf>
    <xf numFmtId="2" fontId="27" fillId="14" borderId="4" xfId="29" applyNumberFormat="1" applyFont="1" applyFill="1" applyBorder="1" applyAlignment="1" applyProtection="1">
      <alignment horizontal="center" vertical="center" wrapText="1"/>
      <protection locked="0"/>
    </xf>
    <xf numFmtId="49" fontId="27" fillId="14" borderId="1" xfId="25" applyNumberFormat="1" applyFont="1" applyFill="1" applyBorder="1" applyAlignment="1" applyProtection="1">
      <alignment horizontal="center" vertical="center"/>
      <protection locked="0"/>
    </xf>
    <xf numFmtId="2" fontId="29" fillId="14" borderId="8" xfId="25" applyNumberFormat="1" applyFont="1" applyFill="1" applyBorder="1" applyAlignment="1" applyProtection="1">
      <alignment horizontal="center" vertical="center" wrapText="1"/>
      <protection locked="0"/>
    </xf>
    <xf numFmtId="0" fontId="12" fillId="14" borderId="1" xfId="0" applyFont="1" applyFill="1" applyBorder="1" applyAlignment="1" applyProtection="1">
      <alignment horizontal="center" vertical="center"/>
      <protection locked="0"/>
    </xf>
    <xf numFmtId="166" fontId="12" fillId="14" borderId="1" xfId="0" applyNumberFormat="1" applyFont="1" applyFill="1" applyBorder="1" applyAlignment="1" applyProtection="1">
      <alignment horizontal="center" vertical="center"/>
      <protection locked="0"/>
    </xf>
    <xf numFmtId="15" fontId="12" fillId="14" borderId="1" xfId="0" applyNumberFormat="1" applyFont="1" applyFill="1" applyBorder="1" applyAlignment="1" applyProtection="1">
      <alignment horizontal="center" vertical="center"/>
      <protection locked="0"/>
    </xf>
    <xf numFmtId="2" fontId="29" fillId="14" borderId="5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1" xfId="0" applyNumberFormat="1" applyFont="1" applyFill="1" applyBorder="1" applyAlignment="1" applyProtection="1">
      <alignment horizontal="center" vertical="center"/>
      <protection locked="0"/>
    </xf>
    <xf numFmtId="0" fontId="12" fillId="14" borderId="1" xfId="0" applyFont="1" applyFill="1" applyBorder="1" applyAlignment="1" applyProtection="1">
      <alignment horizontal="center" vertical="center" wrapText="1"/>
      <protection locked="0"/>
    </xf>
    <xf numFmtId="1" fontId="12" fillId="14" borderId="1" xfId="0" applyNumberFormat="1" applyFont="1" applyFill="1" applyBorder="1" applyAlignment="1" applyProtection="1">
      <alignment horizontal="center" vertical="center" wrapText="1"/>
      <protection locked="0"/>
    </xf>
    <xf numFmtId="2" fontId="28" fillId="14" borderId="4" xfId="25" applyNumberFormat="1" applyFont="1" applyFill="1" applyBorder="1" applyAlignment="1">
      <alignment horizontal="center" vertical="center"/>
    </xf>
    <xf numFmtId="2" fontId="28" fillId="14" borderId="6" xfId="25" applyNumberFormat="1" applyFont="1" applyFill="1" applyBorder="1" applyAlignment="1">
      <alignment horizontal="center" vertical="center"/>
    </xf>
    <xf numFmtId="2" fontId="27" fillId="14" borderId="6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1" xfId="25" applyNumberFormat="1" applyFont="1" applyFill="1" applyBorder="1" applyAlignment="1">
      <alignment horizontal="center" vertical="center"/>
    </xf>
    <xf numFmtId="2" fontId="27" fillId="14" borderId="6" xfId="25" applyNumberFormat="1" applyFont="1" applyFill="1" applyBorder="1" applyAlignment="1">
      <alignment horizontal="center" vertical="center"/>
    </xf>
    <xf numFmtId="2" fontId="27" fillId="14" borderId="4" xfId="25" applyNumberFormat="1" applyFont="1" applyFill="1" applyBorder="1" applyAlignment="1" applyProtection="1">
      <alignment horizontal="center" vertical="center"/>
      <protection locked="0"/>
    </xf>
    <xf numFmtId="0" fontId="12" fillId="14" borderId="2" xfId="25" applyFont="1" applyFill="1" applyBorder="1" applyAlignment="1" applyProtection="1">
      <alignment horizontal="center" vertical="center"/>
      <protection locked="0"/>
    </xf>
    <xf numFmtId="166" fontId="12" fillId="14" borderId="2" xfId="25" applyNumberFormat="1" applyFont="1" applyFill="1" applyBorder="1" applyAlignment="1" applyProtection="1">
      <alignment horizontal="center" vertical="center"/>
      <protection locked="0"/>
    </xf>
    <xf numFmtId="15" fontId="12" fillId="14" borderId="2" xfId="25" applyNumberFormat="1" applyFont="1" applyFill="1" applyBorder="1" applyAlignment="1" applyProtection="1">
      <alignment horizontal="center" vertical="center"/>
      <protection locked="0"/>
    </xf>
    <xf numFmtId="0" fontId="12" fillId="14" borderId="2" xfId="25" applyFont="1" applyFill="1" applyBorder="1" applyAlignment="1" applyProtection="1">
      <alignment horizontal="center" vertical="center" wrapText="1"/>
      <protection locked="0"/>
    </xf>
    <xf numFmtId="1" fontId="12" fillId="14" borderId="2" xfId="25" applyNumberFormat="1" applyFont="1" applyFill="1" applyBorder="1" applyAlignment="1" applyProtection="1">
      <alignment horizontal="center" vertical="center" wrapText="1"/>
      <protection locked="0"/>
    </xf>
    <xf numFmtId="0" fontId="12" fillId="16" borderId="1" xfId="25" applyFont="1" applyFill="1" applyBorder="1" applyAlignment="1" applyProtection="1">
      <alignment horizontal="center" vertical="center" wrapText="1"/>
      <protection locked="0"/>
    </xf>
    <xf numFmtId="1" fontId="12" fillId="16" borderId="1" xfId="25" applyNumberFormat="1" applyFont="1" applyFill="1" applyBorder="1" applyAlignment="1" applyProtection="1">
      <alignment horizontal="center" vertical="center" wrapText="1"/>
      <protection locked="0"/>
    </xf>
    <xf numFmtId="2" fontId="13" fillId="16" borderId="1" xfId="25" applyNumberFormat="1" applyFont="1" applyFill="1" applyBorder="1" applyAlignment="1" applyProtection="1">
      <alignment horizontal="center" vertical="center" wrapText="1"/>
      <protection locked="0"/>
    </xf>
    <xf numFmtId="2" fontId="13" fillId="16" borderId="4" xfId="25" applyNumberFormat="1" applyFont="1" applyFill="1" applyBorder="1" applyAlignment="1" applyProtection="1">
      <alignment horizontal="center" vertical="center" wrapText="1"/>
      <protection locked="0"/>
    </xf>
    <xf numFmtId="2" fontId="27" fillId="16" borderId="7" xfId="25" applyNumberFormat="1" applyFont="1" applyFill="1" applyBorder="1" applyAlignment="1" applyProtection="1">
      <alignment horizontal="center" vertical="center" wrapText="1"/>
      <protection locked="0"/>
    </xf>
    <xf numFmtId="1" fontId="17" fillId="16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15" borderId="1" xfId="25" applyFont="1" applyFill="1" applyBorder="1" applyAlignment="1" applyProtection="1">
      <alignment horizontal="center" vertical="center"/>
      <protection locked="0"/>
    </xf>
    <xf numFmtId="0" fontId="12" fillId="15" borderId="1" xfId="25" applyFont="1" applyFill="1" applyBorder="1" applyAlignment="1" applyProtection="1">
      <alignment horizontal="center" vertical="center" wrapText="1"/>
      <protection locked="0"/>
    </xf>
    <xf numFmtId="1" fontId="12" fillId="15" borderId="1" xfId="25" applyNumberFormat="1" applyFont="1" applyFill="1" applyBorder="1" applyAlignment="1" applyProtection="1">
      <alignment horizontal="center" vertical="center" wrapText="1"/>
      <protection locked="0"/>
    </xf>
    <xf numFmtId="0" fontId="12" fillId="15" borderId="4" xfId="25" applyFont="1" applyFill="1" applyBorder="1" applyAlignment="1" applyProtection="1">
      <alignment horizontal="center" vertical="center" wrapText="1"/>
      <protection locked="0"/>
    </xf>
    <xf numFmtId="2" fontId="13" fillId="15" borderId="4" xfId="25" applyNumberFormat="1" applyFont="1" applyFill="1" applyBorder="1" applyAlignment="1" applyProtection="1">
      <alignment horizontal="center" vertical="center" wrapText="1"/>
      <protection locked="0"/>
    </xf>
    <xf numFmtId="2" fontId="13" fillId="15" borderId="1" xfId="25" applyNumberFormat="1" applyFont="1" applyFill="1" applyBorder="1" applyAlignment="1" applyProtection="1">
      <alignment horizontal="center" vertical="center" wrapText="1"/>
      <protection locked="0"/>
    </xf>
    <xf numFmtId="2" fontId="27" fillId="15" borderId="22" xfId="25" applyNumberFormat="1" applyFont="1" applyFill="1" applyBorder="1" applyAlignment="1" applyProtection="1">
      <alignment horizontal="center" vertical="center" wrapText="1"/>
      <protection locked="0"/>
    </xf>
    <xf numFmtId="2" fontId="27" fillId="15" borderId="9" xfId="25" applyNumberFormat="1" applyFont="1" applyFill="1" applyBorder="1" applyAlignment="1" applyProtection="1">
      <alignment horizontal="center" vertical="center" wrapText="1"/>
      <protection locked="0"/>
    </xf>
    <xf numFmtId="2" fontId="27" fillId="15" borderId="23" xfId="25" applyNumberFormat="1" applyFont="1" applyFill="1" applyBorder="1" applyAlignment="1" applyProtection="1">
      <alignment horizontal="center" vertical="center" wrapText="1"/>
      <protection locked="0"/>
    </xf>
    <xf numFmtId="2" fontId="27" fillId="15" borderId="1" xfId="25" applyNumberFormat="1" applyFont="1" applyFill="1" applyBorder="1" applyAlignment="1" applyProtection="1">
      <alignment horizontal="center" vertical="center" wrapText="1"/>
      <protection locked="0"/>
    </xf>
    <xf numFmtId="2" fontId="28" fillId="15" borderId="1" xfId="25" applyNumberFormat="1" applyFont="1" applyFill="1" applyBorder="1" applyAlignment="1">
      <alignment horizontal="center" vertical="center"/>
    </xf>
    <xf numFmtId="2" fontId="27" fillId="15" borderId="1" xfId="25" applyNumberFormat="1" applyFont="1" applyFill="1" applyBorder="1" applyAlignment="1" applyProtection="1">
      <alignment horizontal="center" vertical="center"/>
      <protection locked="0"/>
    </xf>
    <xf numFmtId="0" fontId="28" fillId="15" borderId="1" xfId="25" applyFont="1" applyFill="1" applyBorder="1" applyAlignment="1">
      <alignment horizontal="center" vertical="center"/>
    </xf>
    <xf numFmtId="0" fontId="27" fillId="15" borderId="1" xfId="25" applyFont="1" applyFill="1" applyBorder="1" applyAlignment="1">
      <alignment horizontal="center" vertical="center"/>
    </xf>
    <xf numFmtId="0" fontId="28" fillId="15" borderId="4" xfId="25" applyFont="1" applyFill="1" applyBorder="1" applyAlignment="1">
      <alignment horizontal="center" vertical="center"/>
    </xf>
    <xf numFmtId="0" fontId="22" fillId="26" borderId="0" xfId="25" applyFont="1" applyFill="1" applyAlignment="1">
      <alignment horizontal="left"/>
    </xf>
    <xf numFmtId="2" fontId="27" fillId="0" borderId="24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25" xfId="25" applyNumberFormat="1" applyFont="1" applyFill="1" applyBorder="1" applyAlignment="1" applyProtection="1">
      <alignment horizontal="center" vertical="center" wrapText="1"/>
      <protection locked="0"/>
    </xf>
    <xf numFmtId="2" fontId="27" fillId="0" borderId="25" xfId="25" applyNumberFormat="1" applyFont="1" applyFill="1" applyBorder="1" applyAlignment="1" applyProtection="1">
      <alignment horizontal="center" vertical="center" wrapText="1"/>
      <protection locked="0"/>
    </xf>
    <xf numFmtId="0" fontId="28" fillId="14" borderId="25" xfId="25" applyFont="1" applyFill="1" applyBorder="1" applyAlignment="1">
      <alignment horizontal="center" vertical="center"/>
    </xf>
    <xf numFmtId="2" fontId="27" fillId="14" borderId="25" xfId="25" applyNumberFormat="1" applyFont="1" applyFill="1" applyBorder="1" applyAlignment="1" applyProtection="1">
      <alignment horizontal="center" vertical="center"/>
      <protection locked="0"/>
    </xf>
    <xf numFmtId="0" fontId="27" fillId="14" borderId="25" xfId="25" applyFont="1" applyFill="1" applyBorder="1" applyAlignment="1">
      <alignment horizontal="center" vertical="center"/>
    </xf>
    <xf numFmtId="0" fontId="28" fillId="0" borderId="25" xfId="25" applyFont="1" applyFill="1" applyBorder="1" applyAlignment="1">
      <alignment horizontal="center" vertical="center"/>
    </xf>
    <xf numFmtId="0" fontId="28" fillId="14" borderId="26" xfId="25" applyFont="1" applyFill="1" applyBorder="1" applyAlignment="1">
      <alignment horizontal="center" vertical="center"/>
    </xf>
    <xf numFmtId="2" fontId="27" fillId="0" borderId="27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28" xfId="25" applyNumberFormat="1" applyFont="1" applyFill="1" applyBorder="1" applyAlignment="1" applyProtection="1">
      <alignment horizontal="center" vertical="center" wrapText="1"/>
      <protection locked="0"/>
    </xf>
    <xf numFmtId="2" fontId="27" fillId="0" borderId="28" xfId="25" applyNumberFormat="1" applyFont="1" applyFill="1" applyBorder="1" applyAlignment="1" applyProtection="1">
      <alignment horizontal="center" vertical="center" wrapText="1"/>
      <protection locked="0"/>
    </xf>
    <xf numFmtId="0" fontId="28" fillId="14" borderId="28" xfId="25" applyFont="1" applyFill="1" applyBorder="1" applyAlignment="1">
      <alignment horizontal="center" vertical="center"/>
    </xf>
    <xf numFmtId="2" fontId="27" fillId="14" borderId="28" xfId="25" applyNumberFormat="1" applyFont="1" applyFill="1" applyBorder="1" applyAlignment="1" applyProtection="1">
      <alignment horizontal="center" vertical="center"/>
      <protection locked="0"/>
    </xf>
    <xf numFmtId="0" fontId="27" fillId="14" borderId="28" xfId="25" applyFont="1" applyFill="1" applyBorder="1" applyAlignment="1">
      <alignment horizontal="center" vertical="center"/>
    </xf>
    <xf numFmtId="0" fontId="28" fillId="0" borderId="28" xfId="25" applyFont="1" applyFill="1" applyBorder="1" applyAlignment="1">
      <alignment horizontal="center" vertical="center"/>
    </xf>
    <xf numFmtId="0" fontId="28" fillId="14" borderId="29" xfId="25" applyFont="1" applyFill="1" applyBorder="1" applyAlignment="1">
      <alignment horizontal="center" vertical="center"/>
    </xf>
    <xf numFmtId="2" fontId="27" fillId="14" borderId="28" xfId="29" applyNumberFormat="1" applyFont="1" applyFill="1" applyBorder="1" applyAlignment="1" applyProtection="1">
      <alignment horizontal="center" vertical="center" wrapText="1"/>
      <protection locked="0"/>
    </xf>
    <xf numFmtId="0" fontId="27" fillId="0" borderId="28" xfId="25" applyFont="1" applyFill="1" applyBorder="1" applyAlignment="1">
      <alignment horizontal="center" vertical="center"/>
    </xf>
    <xf numFmtId="0" fontId="27" fillId="14" borderId="29" xfId="25" applyFont="1" applyFill="1" applyBorder="1" applyAlignment="1">
      <alignment horizontal="center" vertical="center"/>
    </xf>
    <xf numFmtId="2" fontId="28" fillId="14" borderId="28" xfId="25" applyNumberFormat="1" applyFont="1" applyFill="1" applyBorder="1" applyAlignment="1">
      <alignment horizontal="center" vertical="center"/>
    </xf>
    <xf numFmtId="2" fontId="27" fillId="15" borderId="28" xfId="25" applyNumberFormat="1" applyFont="1" applyFill="1" applyBorder="1" applyAlignment="1" applyProtection="1">
      <alignment horizontal="center" vertical="center" wrapText="1"/>
      <protection locked="0"/>
    </xf>
    <xf numFmtId="2" fontId="28" fillId="15" borderId="28" xfId="25" applyNumberFormat="1" applyFont="1" applyFill="1" applyBorder="1" applyAlignment="1">
      <alignment horizontal="center" vertical="center"/>
    </xf>
    <xf numFmtId="2" fontId="27" fillId="15" borderId="28" xfId="25" applyNumberFormat="1" applyFont="1" applyFill="1" applyBorder="1" applyAlignment="1" applyProtection="1">
      <alignment horizontal="center" vertical="center"/>
      <protection locked="0"/>
    </xf>
    <xf numFmtId="0" fontId="28" fillId="15" borderId="28" xfId="25" applyFont="1" applyFill="1" applyBorder="1" applyAlignment="1">
      <alignment horizontal="center" vertical="center"/>
    </xf>
    <xf numFmtId="0" fontId="27" fillId="15" borderId="28" xfId="25" applyFont="1" applyFill="1" applyBorder="1" applyAlignment="1">
      <alignment horizontal="center" vertical="center"/>
    </xf>
    <xf numFmtId="0" fontId="28" fillId="15" borderId="29" xfId="25" applyFont="1" applyFill="1" applyBorder="1" applyAlignment="1">
      <alignment horizontal="center" vertical="center"/>
    </xf>
    <xf numFmtId="2" fontId="27" fillId="0" borderId="28" xfId="25" applyNumberFormat="1" applyFont="1" applyFill="1" applyBorder="1" applyAlignment="1">
      <alignment horizontal="center" vertical="center" wrapText="1"/>
    </xf>
    <xf numFmtId="49" fontId="27" fillId="14" borderId="28" xfId="25" applyNumberFormat="1" applyFont="1" applyFill="1" applyBorder="1" applyAlignment="1">
      <alignment horizontal="center" vertical="center"/>
    </xf>
    <xf numFmtId="2" fontId="27" fillId="0" borderId="27" xfId="0" applyNumberFormat="1" applyFont="1" applyFill="1" applyBorder="1" applyAlignment="1" applyProtection="1">
      <alignment horizontal="center" vertical="center" wrapText="1"/>
      <protection locked="0"/>
    </xf>
    <xf numFmtId="2" fontId="27" fillId="0" borderId="28" xfId="0" applyNumberFormat="1" applyFont="1" applyFill="1" applyBorder="1" applyAlignment="1" applyProtection="1">
      <alignment horizontal="center" vertical="center" wrapText="1"/>
      <protection locked="0"/>
    </xf>
    <xf numFmtId="2" fontId="29" fillId="14" borderId="28" xfId="25" applyNumberFormat="1" applyFont="1" applyFill="1" applyBorder="1" applyAlignment="1" applyProtection="1">
      <alignment horizontal="center" vertical="center" wrapText="1"/>
      <protection locked="0"/>
    </xf>
    <xf numFmtId="2" fontId="27" fillId="0" borderId="28" xfId="29" applyNumberFormat="1" applyFont="1" applyFill="1" applyBorder="1" applyAlignment="1" applyProtection="1">
      <alignment horizontal="center" vertical="center" wrapText="1"/>
      <protection locked="0"/>
    </xf>
    <xf numFmtId="2" fontId="27" fillId="16" borderId="28" xfId="25" applyNumberFormat="1" applyFont="1" applyFill="1" applyBorder="1" applyAlignment="1" applyProtection="1">
      <alignment horizontal="center" vertical="center" wrapText="1"/>
      <protection locked="0"/>
    </xf>
    <xf numFmtId="49" fontId="27" fillId="14" borderId="28" xfId="25" applyNumberFormat="1" applyFont="1" applyFill="1" applyBorder="1" applyAlignment="1" applyProtection="1">
      <alignment horizontal="center" vertical="center"/>
      <protection locked="0"/>
    </xf>
    <xf numFmtId="2" fontId="27" fillId="14" borderId="28" xfId="0" applyNumberFormat="1" applyFont="1" applyFill="1" applyBorder="1" applyAlignment="1" applyProtection="1">
      <alignment horizontal="center" vertical="center"/>
      <protection locked="0"/>
    </xf>
    <xf numFmtId="2" fontId="27" fillId="14" borderId="28" xfId="0" applyNumberFormat="1" applyFont="1" applyFill="1" applyBorder="1" applyAlignment="1" applyProtection="1">
      <alignment horizontal="center" vertical="center" wrapText="1"/>
      <protection locked="0"/>
    </xf>
    <xf numFmtId="2" fontId="27" fillId="14" borderId="28" xfId="25" applyNumberFormat="1" applyFont="1" applyFill="1" applyBorder="1" applyAlignment="1">
      <alignment horizontal="center" vertical="center"/>
    </xf>
    <xf numFmtId="2" fontId="27" fillId="14" borderId="29" xfId="25" applyNumberFormat="1" applyFont="1" applyFill="1" applyBorder="1" applyAlignment="1" applyProtection="1">
      <alignment horizontal="center" vertical="center" wrapText="1"/>
      <protection locked="0"/>
    </xf>
    <xf numFmtId="2" fontId="27" fillId="0" borderId="30" xfId="25" applyNumberFormat="1" applyFont="1" applyFill="1" applyBorder="1" applyAlignment="1" applyProtection="1">
      <alignment horizontal="center" vertical="center" wrapText="1"/>
      <protection locked="0"/>
    </xf>
    <xf numFmtId="2" fontId="27" fillId="14" borderId="31" xfId="25" applyNumberFormat="1" applyFont="1" applyFill="1" applyBorder="1" applyAlignment="1" applyProtection="1">
      <alignment horizontal="center" vertical="center" wrapText="1"/>
      <protection locked="0"/>
    </xf>
    <xf numFmtId="2" fontId="27" fillId="0" borderId="31" xfId="25" applyNumberFormat="1" applyFont="1" applyFill="1" applyBorder="1" applyAlignment="1" applyProtection="1">
      <alignment horizontal="center" vertical="center" wrapText="1"/>
      <protection locked="0"/>
    </xf>
    <xf numFmtId="2" fontId="28" fillId="14" borderId="31" xfId="25" applyNumberFormat="1" applyFont="1" applyFill="1" applyBorder="1" applyAlignment="1">
      <alignment horizontal="center" vertical="center"/>
    </xf>
    <xf numFmtId="2" fontId="27" fillId="14" borderId="31" xfId="25" applyNumberFormat="1" applyFont="1" applyFill="1" applyBorder="1" applyAlignment="1" applyProtection="1">
      <alignment horizontal="center" vertical="center"/>
      <protection locked="0"/>
    </xf>
    <xf numFmtId="0" fontId="28" fillId="14" borderId="31" xfId="25" applyFont="1" applyFill="1" applyBorder="1" applyAlignment="1">
      <alignment horizontal="center" vertical="center"/>
    </xf>
    <xf numFmtId="0" fontId="27" fillId="14" borderId="31" xfId="25" applyFont="1" applyFill="1" applyBorder="1" applyAlignment="1">
      <alignment horizontal="center" vertical="center"/>
    </xf>
    <xf numFmtId="0" fontId="28" fillId="0" borderId="31" xfId="25" applyFont="1" applyFill="1" applyBorder="1" applyAlignment="1">
      <alignment horizontal="center" vertical="center"/>
    </xf>
    <xf numFmtId="0" fontId="28" fillId="14" borderId="32" xfId="25" applyFont="1" applyFill="1" applyBorder="1" applyAlignment="1">
      <alignment horizontal="center" vertical="center"/>
    </xf>
    <xf numFmtId="2" fontId="27" fillId="16" borderId="20" xfId="25" applyNumberFormat="1" applyFont="1" applyFill="1" applyBorder="1" applyAlignment="1" applyProtection="1">
      <alignment horizontal="center" vertical="center" wrapText="1"/>
      <protection locked="0"/>
    </xf>
    <xf numFmtId="0" fontId="9" fillId="22" borderId="1" xfId="25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9" fillId="24" borderId="1" xfId="25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15" fillId="21" borderId="4" xfId="25" applyFont="1" applyFill="1" applyBorder="1" applyAlignment="1" applyProtection="1">
      <alignment horizontal="center" vertical="center"/>
      <protection locked="0"/>
    </xf>
    <xf numFmtId="0" fontId="15" fillId="21" borderId="9" xfId="25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21" borderId="6" xfId="25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" xfId="0" applyBorder="1" applyAlignment="1">
      <alignment vertical="center"/>
    </xf>
    <xf numFmtId="0" fontId="9" fillId="23" borderId="1" xfId="25" applyFont="1" applyFill="1" applyBorder="1" applyAlignment="1" applyProtection="1">
      <alignment horizontal="center" vertical="center"/>
      <protection locked="0"/>
    </xf>
    <xf numFmtId="0" fontId="15" fillId="21" borderId="5" xfId="25" applyFont="1" applyFill="1" applyBorder="1" applyAlignment="1" applyProtection="1">
      <alignment horizontal="center" vertical="center"/>
      <protection locked="0"/>
    </xf>
    <xf numFmtId="0" fontId="9" fillId="22" borderId="4" xfId="25" applyFont="1" applyFill="1" applyBorder="1" applyAlignment="1" applyProtection="1">
      <alignment horizontal="center" vertical="center"/>
      <protection locked="0"/>
    </xf>
    <xf numFmtId="0" fontId="9" fillId="22" borderId="9" xfId="25" applyFont="1" applyFill="1" applyBorder="1" applyAlignment="1" applyProtection="1">
      <alignment horizontal="center" vertical="center"/>
      <protection locked="0"/>
    </xf>
    <xf numFmtId="0" fontId="9" fillId="22" borderId="5" xfId="25" applyFont="1" applyFill="1" applyBorder="1" applyAlignment="1" applyProtection="1">
      <alignment horizontal="center" vertical="center"/>
      <protection locked="0"/>
    </xf>
    <xf numFmtId="0" fontId="9" fillId="24" borderId="4" xfId="25" applyFont="1" applyFill="1" applyBorder="1" applyAlignment="1" applyProtection="1">
      <alignment horizontal="center" vertical="center" wrapText="1"/>
      <protection locked="0"/>
    </xf>
    <xf numFmtId="0" fontId="9" fillId="24" borderId="9" xfId="25" applyFont="1" applyFill="1" applyBorder="1" applyAlignment="1" applyProtection="1">
      <alignment horizontal="center" vertical="center" wrapText="1"/>
      <protection locked="0"/>
    </xf>
    <xf numFmtId="0" fontId="9" fillId="24" borderId="5" xfId="25" applyFont="1" applyFill="1" applyBorder="1" applyAlignment="1" applyProtection="1">
      <alignment horizontal="center" vertical="center" wrapText="1"/>
      <protection locked="0"/>
    </xf>
    <xf numFmtId="0" fontId="9" fillId="23" borderId="4" xfId="25" applyFont="1" applyFill="1" applyBorder="1" applyAlignment="1" applyProtection="1">
      <alignment horizontal="center" vertical="center"/>
      <protection locked="0"/>
    </xf>
    <xf numFmtId="0" fontId="9" fillId="23" borderId="9" xfId="25" applyFont="1" applyFill="1" applyBorder="1" applyAlignment="1" applyProtection="1">
      <alignment horizontal="center" vertical="center"/>
      <protection locked="0"/>
    </xf>
    <xf numFmtId="0" fontId="9" fillId="23" borderId="5" xfId="25" applyFont="1" applyFill="1" applyBorder="1" applyAlignment="1" applyProtection="1">
      <alignment horizontal="center" vertical="center"/>
      <protection locked="0"/>
    </xf>
    <xf numFmtId="14" fontId="12" fillId="0" borderId="1" xfId="25" applyNumberFormat="1" applyFont="1" applyFill="1" applyBorder="1" applyAlignment="1" applyProtection="1">
      <alignment horizontal="center" vertical="center" wrapText="1"/>
      <protection locked="0"/>
    </xf>
  </cellXfs>
  <cellStyles count="30">
    <cellStyle name="%" xfId="1" xr:uid="{00000000-0005-0000-0000-000000000000}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 - 20%" xfId="5" xr:uid="{00000000-0005-0000-0000-000004000000}"/>
    <cellStyle name="Accent2 - 40%" xfId="6" xr:uid="{00000000-0005-0000-0000-000005000000}"/>
    <cellStyle name="Accent2 - 60%" xfId="7" xr:uid="{00000000-0005-0000-0000-000006000000}"/>
    <cellStyle name="Accent3 - 20%" xfId="8" xr:uid="{00000000-0005-0000-0000-000007000000}"/>
    <cellStyle name="Accent3 - 40%" xfId="9" xr:uid="{00000000-0005-0000-0000-000008000000}"/>
    <cellStyle name="Accent3 - 60%" xfId="10" xr:uid="{00000000-0005-0000-0000-000009000000}"/>
    <cellStyle name="Accent4 - 20%" xfId="11" xr:uid="{00000000-0005-0000-0000-00000A000000}"/>
    <cellStyle name="Accent4 - 40%" xfId="12" xr:uid="{00000000-0005-0000-0000-00000B000000}"/>
    <cellStyle name="Accent4 - 60%" xfId="13" xr:uid="{00000000-0005-0000-0000-00000C000000}"/>
    <cellStyle name="Accent5 - 20%" xfId="14" xr:uid="{00000000-0005-0000-0000-00000D000000}"/>
    <cellStyle name="Accent5 - 40%" xfId="15" xr:uid="{00000000-0005-0000-0000-00000E000000}"/>
    <cellStyle name="Accent5 - 60%" xfId="16" xr:uid="{00000000-0005-0000-0000-00000F000000}"/>
    <cellStyle name="Accent6 - 20%" xfId="17" xr:uid="{00000000-0005-0000-0000-000010000000}"/>
    <cellStyle name="Accent6 - 40%" xfId="18" xr:uid="{00000000-0005-0000-0000-000011000000}"/>
    <cellStyle name="Accent6 - 60%" xfId="19" xr:uid="{00000000-0005-0000-0000-000012000000}"/>
    <cellStyle name="Comma 2" xfId="20" xr:uid="{00000000-0005-0000-0000-000013000000}"/>
    <cellStyle name="Comma 2 2" xfId="27" xr:uid="{00000000-0005-0000-0000-000014000000}"/>
    <cellStyle name="Emphasis 1" xfId="21" xr:uid="{00000000-0005-0000-0000-000015000000}"/>
    <cellStyle name="Emphasis 2" xfId="22" xr:uid="{00000000-0005-0000-0000-000016000000}"/>
    <cellStyle name="Emphasis 3" xfId="23" xr:uid="{00000000-0005-0000-0000-000017000000}"/>
    <cellStyle name="Normal" xfId="0" builtinId="0"/>
    <cellStyle name="Normal 2" xfId="24" xr:uid="{00000000-0005-0000-0000-000019000000}"/>
    <cellStyle name="Normal 2 2" xfId="28" xr:uid="{00000000-0005-0000-0000-00001A000000}"/>
    <cellStyle name="Normal 3" xfId="25" xr:uid="{00000000-0005-0000-0000-00001B000000}"/>
    <cellStyle name="Normal 4" xfId="29" xr:uid="{00000000-0005-0000-0000-00001C000000}"/>
    <cellStyle name="Sheet Title" xfId="26" xr:uid="{00000000-0005-0000-0000-00001D000000}"/>
  </cellStyles>
  <dxfs count="251">
    <dxf>
      <fill>
        <gradientFill degree="90">
          <stop position="0">
            <color theme="4"/>
          </stop>
          <stop position="1">
            <color theme="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06/relationships/vbaProject" Target="vbaProject.bin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190500</xdr:colOff>
          <xdr:row>2</xdr:row>
          <xdr:rowOff>30480</xdr:rowOff>
        </xdr:from>
        <xdr:to>
          <xdr:col>2</xdr:col>
          <xdr:colOff>1165860</xdr:colOff>
          <xdr:row>4</xdr:row>
          <xdr:rowOff>22860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Validate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RCI">
      <a:dk1>
        <a:sysClr val="windowText" lastClr="000000"/>
      </a:dk1>
      <a:lt1>
        <a:sysClr val="window" lastClr="FFFFFF"/>
      </a:lt1>
      <a:dk2>
        <a:srgbClr val="00A0B7"/>
      </a:dk2>
      <a:lt2>
        <a:srgbClr val="DA291C"/>
      </a:lt2>
      <a:accent1>
        <a:srgbClr val="68CBDA"/>
      </a:accent1>
      <a:accent2>
        <a:srgbClr val="BBE4ED"/>
      </a:accent2>
      <a:accent3>
        <a:srgbClr val="FFBF3F"/>
      </a:accent3>
      <a:accent4>
        <a:srgbClr val="FFE600"/>
      </a:accent4>
      <a:accent5>
        <a:srgbClr val="B19800"/>
      </a:accent5>
      <a:accent6>
        <a:srgbClr val="00AFAB"/>
      </a:accent6>
      <a:hlink>
        <a:srgbClr val="035D67"/>
      </a:hlink>
      <a:folHlink>
        <a:srgbClr val="41404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1642"/>
  <sheetViews>
    <sheetView showGridLines="0" zoomScale="60" zoomScaleNormal="60" workbookViewId="0">
      <pane xSplit="7" ySplit="14" topLeftCell="H568" activePane="bottomRight" state="frozen"/>
      <selection pane="topRight" activeCell="H1" sqref="H1"/>
      <selection pane="bottomLeft" activeCell="A15" sqref="A15"/>
      <selection pane="bottomRight" activeCell="AW583" sqref="AW583"/>
    </sheetView>
  </sheetViews>
  <sheetFormatPr defaultColWidth="9.33203125" defaultRowHeight="13.2" x14ac:dyDescent="0.25"/>
  <cols>
    <col min="1" max="1" width="18.44140625" style="64" customWidth="1"/>
    <col min="2" max="2" width="18.6640625" style="64" customWidth="1"/>
    <col min="3" max="3" width="18.44140625" style="64" customWidth="1"/>
    <col min="4" max="4" width="18.44140625" style="90" customWidth="1"/>
    <col min="5" max="5" width="22.44140625" style="90" customWidth="1"/>
    <col min="6" max="6" width="26.44140625" style="90" customWidth="1"/>
    <col min="7" max="7" width="35.33203125" style="90" customWidth="1"/>
    <col min="8" max="8" width="27" style="90" customWidth="1"/>
    <col min="9" max="13" width="19.6640625" style="90" customWidth="1"/>
    <col min="14" max="14" width="16.33203125" style="90" customWidth="1"/>
    <col min="15" max="15" width="12.44140625" style="155" customWidth="1"/>
    <col min="16" max="16" width="12.6640625" style="156" customWidth="1"/>
    <col min="17" max="17" width="12.6640625" style="163" customWidth="1"/>
    <col min="18" max="18" width="16" style="163" bestFit="1" customWidth="1"/>
    <col min="19" max="19" width="17.33203125" style="90" customWidth="1"/>
    <col min="20" max="20" width="13.88671875" style="155" customWidth="1"/>
    <col min="21" max="21" width="12.44140625" style="156" customWidth="1"/>
    <col min="22" max="22" width="12.44140625" style="163" customWidth="1"/>
    <col min="23" max="23" width="16" style="163" bestFit="1" customWidth="1"/>
    <col min="24" max="24" width="16.44140625" style="136" bestFit="1" customWidth="1"/>
    <col min="25" max="25" width="15" style="131" customWidth="1"/>
    <col min="26" max="26" width="10.44140625" style="131" customWidth="1"/>
    <col min="27" max="27" width="14.6640625" style="131" bestFit="1" customWidth="1"/>
    <col min="28" max="28" width="16" style="131" bestFit="1" customWidth="1"/>
    <col min="29" max="29" width="16.44140625" style="131" bestFit="1" customWidth="1"/>
    <col min="30" max="30" width="15.44140625" style="131" customWidth="1"/>
    <col min="31" max="31" width="19" style="131" bestFit="1" customWidth="1"/>
    <col min="32" max="32" width="14.6640625" style="131" bestFit="1" customWidth="1"/>
    <col min="33" max="33" width="16" style="131" bestFit="1" customWidth="1"/>
    <col min="34" max="34" width="16.109375" style="131" bestFit="1" customWidth="1"/>
    <col min="35" max="35" width="11.44140625" style="131" bestFit="1" customWidth="1"/>
    <col min="36" max="36" width="10.33203125" style="131" bestFit="1" customWidth="1"/>
    <col min="37" max="37" width="16" style="131" bestFit="1" customWidth="1"/>
    <col min="38" max="38" width="15.6640625" style="131" bestFit="1" customWidth="1"/>
    <col min="39" max="39" width="13.6640625" style="131" customWidth="1"/>
    <col min="40" max="40" width="12.6640625" style="131" customWidth="1"/>
    <col min="41" max="41" width="16" style="131" bestFit="1" customWidth="1"/>
    <col min="42" max="42" width="16.33203125" style="131" bestFit="1" customWidth="1"/>
    <col min="43" max="43" width="15.6640625" style="131" customWidth="1"/>
    <col min="44" max="44" width="14.44140625" style="131" customWidth="1"/>
    <col min="45" max="45" width="16" style="131" bestFit="1" customWidth="1"/>
    <col min="46" max="46" width="13.44140625" style="131" bestFit="1" customWidth="1"/>
    <col min="47" max="47" width="15.44140625" style="131" customWidth="1"/>
    <col min="48" max="48" width="13.6640625" style="131" customWidth="1"/>
    <col min="49" max="49" width="16" style="179" bestFit="1" customWidth="1"/>
    <col min="50" max="51" width="9.33203125" style="136"/>
    <col min="52" max="16384" width="9.33203125" style="131"/>
  </cols>
  <sheetData>
    <row r="1" spans="1:51" s="79" customFormat="1" ht="38.25" customHeight="1" x14ac:dyDescent="0.25">
      <c r="A1" s="110" t="s">
        <v>1261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42"/>
      <c r="P1" s="143"/>
      <c r="Q1" s="111"/>
      <c r="R1" s="111"/>
      <c r="S1" s="111"/>
      <c r="T1" s="142"/>
      <c r="U1" s="143"/>
      <c r="V1" s="111"/>
      <c r="W1" s="177"/>
      <c r="X1" s="135"/>
      <c r="AW1" s="164"/>
      <c r="AX1" s="136"/>
      <c r="AY1" s="135"/>
    </row>
    <row r="2" spans="1:51" s="79" customFormat="1" ht="15.6" x14ac:dyDescent="0.25">
      <c r="A2" s="76"/>
      <c r="B2" s="76"/>
      <c r="C2" s="65"/>
      <c r="D2" s="66"/>
      <c r="E2" s="66"/>
      <c r="F2" s="66"/>
      <c r="G2" s="66"/>
      <c r="H2" s="66"/>
      <c r="L2" s="67"/>
      <c r="M2" s="67"/>
      <c r="N2" s="66"/>
      <c r="O2" s="144"/>
      <c r="P2" s="145"/>
      <c r="Q2" s="66"/>
      <c r="R2" s="66"/>
      <c r="S2" s="66"/>
      <c r="T2" s="144"/>
      <c r="U2" s="145"/>
      <c r="V2" s="66"/>
      <c r="W2" s="66"/>
      <c r="X2" s="135"/>
      <c r="AW2" s="164"/>
      <c r="AX2" s="136"/>
      <c r="AY2" s="135"/>
    </row>
    <row r="3" spans="1:51" s="79" customFormat="1" ht="15.6" x14ac:dyDescent="0.25">
      <c r="A3" s="69" t="s">
        <v>38</v>
      </c>
      <c r="B3" s="172" t="s">
        <v>1270</v>
      </c>
      <c r="C3" s="70"/>
      <c r="D3" s="70"/>
      <c r="E3" s="71"/>
      <c r="F3" s="71"/>
      <c r="G3" s="72"/>
      <c r="H3" s="72"/>
      <c r="L3" s="68"/>
      <c r="M3" s="68"/>
      <c r="N3" s="68"/>
      <c r="O3" s="144"/>
      <c r="P3" s="145"/>
      <c r="Q3" s="66"/>
      <c r="R3" s="66"/>
      <c r="S3" s="68"/>
      <c r="T3" s="144"/>
      <c r="U3" s="145"/>
      <c r="V3" s="66"/>
      <c r="W3" s="66"/>
      <c r="X3" s="135"/>
      <c r="AW3" s="164"/>
      <c r="AX3" s="136"/>
      <c r="AY3" s="135"/>
    </row>
    <row r="4" spans="1:51" s="79" customFormat="1" ht="31.2" customHeight="1" x14ac:dyDescent="0.25">
      <c r="A4" s="73" t="s">
        <v>23</v>
      </c>
      <c r="B4" s="180">
        <v>44328</v>
      </c>
      <c r="C4" s="74"/>
      <c r="D4" s="74"/>
      <c r="E4" s="71"/>
      <c r="F4" s="71"/>
      <c r="G4" s="68"/>
      <c r="H4" s="68"/>
      <c r="L4" s="68"/>
      <c r="M4" s="68"/>
      <c r="N4" s="68"/>
      <c r="O4" s="144"/>
      <c r="P4" s="145"/>
      <c r="Q4" s="66"/>
      <c r="R4" s="66"/>
      <c r="S4" s="68"/>
      <c r="T4" s="144"/>
      <c r="U4" s="145"/>
      <c r="V4" s="66"/>
      <c r="W4" s="66"/>
      <c r="X4" s="135"/>
      <c r="AW4" s="164"/>
      <c r="AX4" s="136"/>
      <c r="AY4" s="135"/>
    </row>
    <row r="5" spans="1:51" s="79" customFormat="1" ht="15.6" x14ac:dyDescent="0.25">
      <c r="A5" s="73"/>
      <c r="B5" s="75"/>
      <c r="C5" s="74"/>
      <c r="D5" s="74"/>
      <c r="E5" s="71"/>
      <c r="F5" s="71"/>
      <c r="G5" s="68"/>
      <c r="H5" s="68"/>
      <c r="L5" s="68"/>
      <c r="M5" s="68"/>
      <c r="N5" s="68"/>
      <c r="O5" s="144"/>
      <c r="P5" s="145"/>
      <c r="Q5" s="66"/>
      <c r="R5" s="66"/>
      <c r="S5" s="68"/>
      <c r="T5" s="144"/>
      <c r="U5" s="145"/>
      <c r="V5" s="66"/>
      <c r="W5" s="66"/>
      <c r="X5" s="135"/>
      <c r="AW5" s="164"/>
      <c r="AX5" s="136"/>
      <c r="AY5" s="135"/>
    </row>
    <row r="6" spans="1:51" s="79" customFormat="1" ht="15.6" x14ac:dyDescent="0.25">
      <c r="A6" s="77"/>
      <c r="B6" s="78" t="s">
        <v>43</v>
      </c>
      <c r="C6" s="72"/>
      <c r="D6" s="72"/>
      <c r="E6" s="71"/>
      <c r="F6" s="71"/>
      <c r="G6" s="68"/>
      <c r="H6" s="68"/>
      <c r="L6" s="68"/>
      <c r="M6" s="68"/>
      <c r="N6" s="68"/>
      <c r="O6" s="144"/>
      <c r="P6" s="145"/>
      <c r="Q6" s="66"/>
      <c r="R6" s="66"/>
      <c r="S6" s="68"/>
      <c r="T6" s="144"/>
      <c r="U6" s="145"/>
      <c r="V6" s="66"/>
      <c r="W6" s="66"/>
      <c r="X6" s="135"/>
      <c r="AW6" s="164"/>
      <c r="AX6" s="136"/>
      <c r="AY6" s="135"/>
    </row>
    <row r="7" spans="1:51" s="79" customFormat="1" ht="15.6" x14ac:dyDescent="0.25">
      <c r="A7" s="123"/>
      <c r="B7" s="78" t="s">
        <v>44</v>
      </c>
      <c r="C7" s="72"/>
      <c r="D7" s="72"/>
      <c r="E7" s="68"/>
      <c r="F7" s="68"/>
      <c r="G7" s="68"/>
      <c r="H7" s="68"/>
      <c r="I7" s="68"/>
      <c r="J7" s="68"/>
      <c r="K7" s="68"/>
      <c r="L7" s="68"/>
      <c r="M7" s="68"/>
      <c r="N7" s="68"/>
      <c r="O7" s="144"/>
      <c r="P7" s="145"/>
      <c r="Q7" s="66"/>
      <c r="R7" s="66"/>
      <c r="T7" s="157"/>
      <c r="U7" s="158"/>
      <c r="V7" s="164"/>
      <c r="W7" s="164"/>
      <c r="X7" s="135"/>
      <c r="AW7" s="164"/>
      <c r="AX7" s="136"/>
      <c r="AY7" s="135"/>
    </row>
    <row r="8" spans="1:51" s="79" customFormat="1" ht="15.6" x14ac:dyDescent="0.25">
      <c r="A8" s="124"/>
      <c r="B8" s="78" t="s">
        <v>40</v>
      </c>
      <c r="C8" s="72"/>
      <c r="D8" s="72"/>
      <c r="E8" s="68"/>
      <c r="F8" s="68"/>
      <c r="G8" s="176"/>
      <c r="H8" s="68"/>
      <c r="I8" s="68"/>
      <c r="J8" s="68"/>
      <c r="K8" s="68"/>
      <c r="L8" s="68"/>
      <c r="M8" s="68"/>
      <c r="N8" s="68"/>
      <c r="O8" s="144"/>
      <c r="P8" s="145"/>
      <c r="Q8" s="66"/>
      <c r="R8" s="66"/>
      <c r="T8" s="157"/>
      <c r="U8" s="158"/>
      <c r="V8" s="164"/>
      <c r="W8" s="164"/>
      <c r="X8" s="135"/>
      <c r="AW8" s="164"/>
      <c r="AX8" s="136"/>
      <c r="AY8" s="135"/>
    </row>
    <row r="9" spans="1:51" s="79" customFormat="1" ht="15.6" x14ac:dyDescent="0.25">
      <c r="A9" s="125"/>
      <c r="B9" s="78" t="s">
        <v>47</v>
      </c>
      <c r="C9" s="72"/>
      <c r="D9" s="72"/>
      <c r="E9" s="68"/>
      <c r="F9" s="68"/>
      <c r="G9" s="176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185"/>
      <c r="AY9" s="184"/>
    </row>
    <row r="10" spans="1:51" s="79" customFormat="1" ht="15.6" x14ac:dyDescent="0.25">
      <c r="A10" s="183">
        <v>120</v>
      </c>
      <c r="B10" s="80" t="s">
        <v>1251</v>
      </c>
      <c r="C10" s="72"/>
      <c r="D10" s="72"/>
      <c r="E10" s="68"/>
      <c r="F10" s="68"/>
      <c r="G10" s="176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185"/>
      <c r="AY10" s="184"/>
    </row>
    <row r="11" spans="1:51" s="79" customFormat="1" ht="15.6" x14ac:dyDescent="0.25">
      <c r="A11" s="80"/>
      <c r="B11" s="80"/>
      <c r="C11" s="72"/>
      <c r="D11" s="72"/>
      <c r="E11" s="68"/>
      <c r="F11" s="68"/>
      <c r="G11" s="176"/>
      <c r="H11" s="68"/>
      <c r="I11" s="68"/>
      <c r="J11" s="68"/>
      <c r="K11" s="68"/>
      <c r="L11" s="68"/>
      <c r="M11" s="68"/>
      <c r="N11" s="328" t="s">
        <v>813</v>
      </c>
      <c r="O11" s="329"/>
      <c r="P11" s="329"/>
      <c r="Q11" s="329"/>
      <c r="R11" s="329"/>
      <c r="S11" s="329"/>
      <c r="T11" s="329"/>
      <c r="U11" s="329"/>
      <c r="V11" s="329"/>
      <c r="W11" s="330"/>
      <c r="X11" s="328" t="s">
        <v>1032</v>
      </c>
      <c r="Y11" s="329"/>
      <c r="Z11" s="329"/>
      <c r="AA11" s="329"/>
      <c r="AB11" s="329"/>
      <c r="AC11" s="329"/>
      <c r="AD11" s="329"/>
      <c r="AE11" s="329"/>
      <c r="AF11" s="329"/>
      <c r="AG11" s="330"/>
      <c r="AH11" s="328" t="s">
        <v>814</v>
      </c>
      <c r="AI11" s="329"/>
      <c r="AJ11" s="329"/>
      <c r="AK11" s="330"/>
      <c r="AL11" s="328" t="s">
        <v>815</v>
      </c>
      <c r="AM11" s="331"/>
      <c r="AN11" s="331"/>
      <c r="AO11" s="330"/>
      <c r="AP11" s="328" t="s">
        <v>816</v>
      </c>
      <c r="AQ11" s="329"/>
      <c r="AR11" s="329"/>
      <c r="AS11" s="330"/>
      <c r="AT11" s="332" t="s">
        <v>817</v>
      </c>
      <c r="AU11" s="333"/>
      <c r="AV11" s="333"/>
      <c r="AW11" s="334"/>
      <c r="AX11" s="136"/>
      <c r="AY11" s="135"/>
    </row>
    <row r="12" spans="1:51" s="79" customFormat="1" ht="30.15" customHeight="1" x14ac:dyDescent="0.25">
      <c r="A12" s="80"/>
      <c r="B12" s="80"/>
      <c r="C12" s="80"/>
      <c r="D12" s="81"/>
      <c r="E12" s="68"/>
      <c r="F12" s="68"/>
      <c r="G12" s="176"/>
      <c r="H12" s="68"/>
      <c r="I12" s="68"/>
      <c r="J12" s="68"/>
      <c r="K12" s="68"/>
      <c r="L12" s="66"/>
      <c r="M12" s="66"/>
      <c r="N12" s="324" t="s">
        <v>59</v>
      </c>
      <c r="O12" s="324"/>
      <c r="P12" s="324"/>
      <c r="Q12" s="324"/>
      <c r="R12" s="325"/>
      <c r="S12" s="336" t="s">
        <v>93</v>
      </c>
      <c r="T12" s="336"/>
      <c r="U12" s="336"/>
      <c r="V12" s="336"/>
      <c r="W12" s="325"/>
      <c r="X12" s="324" t="s">
        <v>1033</v>
      </c>
      <c r="Y12" s="324"/>
      <c r="Z12" s="324"/>
      <c r="AA12" s="324"/>
      <c r="AB12" s="325"/>
      <c r="AC12" s="336" t="s">
        <v>1034</v>
      </c>
      <c r="AD12" s="325"/>
      <c r="AE12" s="325"/>
      <c r="AF12" s="325"/>
      <c r="AG12" s="325"/>
      <c r="AH12" s="324" t="s">
        <v>59</v>
      </c>
      <c r="AI12" s="324"/>
      <c r="AJ12" s="324"/>
      <c r="AK12" s="325"/>
      <c r="AL12" s="324" t="s">
        <v>59</v>
      </c>
      <c r="AM12" s="335"/>
      <c r="AN12" s="335"/>
      <c r="AO12" s="335"/>
      <c r="AP12" s="324" t="s">
        <v>59</v>
      </c>
      <c r="AQ12" s="324"/>
      <c r="AR12" s="324"/>
      <c r="AS12" s="325"/>
      <c r="AT12" s="126" t="s">
        <v>59</v>
      </c>
      <c r="AU12" s="126"/>
      <c r="AV12" s="126"/>
      <c r="AW12" s="126"/>
      <c r="AX12" s="136"/>
      <c r="AY12" s="135"/>
    </row>
    <row r="13" spans="1:51" s="79" customFormat="1" ht="36.75" customHeight="1" x14ac:dyDescent="0.25">
      <c r="A13" s="82"/>
      <c r="B13" s="82"/>
      <c r="C13" s="82"/>
      <c r="D13" s="82"/>
      <c r="E13" s="82"/>
      <c r="F13" s="82"/>
      <c r="G13" s="82"/>
      <c r="H13" s="82"/>
      <c r="I13" s="127"/>
      <c r="J13" s="127"/>
      <c r="K13" s="127"/>
      <c r="L13" s="122" t="s">
        <v>64</v>
      </c>
      <c r="M13" s="173" t="s">
        <v>20</v>
      </c>
      <c r="N13" s="326" t="s">
        <v>640</v>
      </c>
      <c r="O13" s="326"/>
      <c r="P13" s="326"/>
      <c r="Q13" s="326"/>
      <c r="R13" s="327"/>
      <c r="S13" s="326" t="s">
        <v>641</v>
      </c>
      <c r="T13" s="326"/>
      <c r="U13" s="326"/>
      <c r="V13" s="326"/>
      <c r="W13" s="327"/>
      <c r="X13" s="326" t="s">
        <v>1035</v>
      </c>
      <c r="Y13" s="326"/>
      <c r="Z13" s="326"/>
      <c r="AA13" s="326"/>
      <c r="AB13" s="327"/>
      <c r="AC13" s="326" t="s">
        <v>1036</v>
      </c>
      <c r="AD13" s="327"/>
      <c r="AE13" s="327"/>
      <c r="AF13" s="327"/>
      <c r="AG13" s="327"/>
      <c r="AH13" s="326" t="s">
        <v>818</v>
      </c>
      <c r="AI13" s="326"/>
      <c r="AJ13" s="326"/>
      <c r="AK13" s="327"/>
      <c r="AL13" s="326" t="s">
        <v>819</v>
      </c>
      <c r="AM13" s="327"/>
      <c r="AN13" s="327"/>
      <c r="AO13" s="327"/>
      <c r="AP13" s="326" t="s">
        <v>820</v>
      </c>
      <c r="AQ13" s="327"/>
      <c r="AR13" s="327"/>
      <c r="AS13" s="327"/>
      <c r="AT13" s="326" t="s">
        <v>826</v>
      </c>
      <c r="AU13" s="327"/>
      <c r="AV13" s="327"/>
      <c r="AW13" s="327"/>
      <c r="AX13" s="136"/>
      <c r="AY13" s="135"/>
    </row>
    <row r="14" spans="1:51" s="79" customFormat="1" ht="45.45" customHeight="1" x14ac:dyDescent="0.25">
      <c r="A14" s="83" t="s">
        <v>30</v>
      </c>
      <c r="B14" s="83" t="s">
        <v>39</v>
      </c>
      <c r="C14" s="83" t="s">
        <v>33</v>
      </c>
      <c r="D14" s="84" t="s">
        <v>29</v>
      </c>
      <c r="E14" s="84" t="s">
        <v>0</v>
      </c>
      <c r="F14" s="84" t="s">
        <v>1031</v>
      </c>
      <c r="G14" s="84" t="s">
        <v>31</v>
      </c>
      <c r="H14" s="84" t="s">
        <v>410</v>
      </c>
      <c r="I14" s="84" t="s">
        <v>443</v>
      </c>
      <c r="J14" s="84" t="s">
        <v>444</v>
      </c>
      <c r="K14" s="84" t="s">
        <v>36</v>
      </c>
      <c r="L14" s="84" t="s">
        <v>20</v>
      </c>
      <c r="M14" s="168" t="s">
        <v>20</v>
      </c>
      <c r="N14" s="137" t="s">
        <v>614</v>
      </c>
      <c r="O14" s="146" t="s">
        <v>739</v>
      </c>
      <c r="P14" s="138" t="s">
        <v>740</v>
      </c>
      <c r="Q14" s="139" t="s">
        <v>653</v>
      </c>
      <c r="R14" s="50" t="s">
        <v>1249</v>
      </c>
      <c r="S14" s="128" t="s">
        <v>636</v>
      </c>
      <c r="T14" s="146" t="s">
        <v>739</v>
      </c>
      <c r="U14" s="138" t="s">
        <v>740</v>
      </c>
      <c r="V14" s="12" t="s">
        <v>653</v>
      </c>
      <c r="W14" s="12" t="s">
        <v>1249</v>
      </c>
      <c r="X14" s="128" t="s">
        <v>1037</v>
      </c>
      <c r="Y14" s="146" t="s">
        <v>739</v>
      </c>
      <c r="Z14" s="146" t="s">
        <v>740</v>
      </c>
      <c r="AA14" s="138" t="s">
        <v>653</v>
      </c>
      <c r="AB14" s="128" t="s">
        <v>1249</v>
      </c>
      <c r="AC14" s="128" t="s">
        <v>1038</v>
      </c>
      <c r="AD14" s="146" t="s">
        <v>739</v>
      </c>
      <c r="AE14" s="146" t="s">
        <v>740</v>
      </c>
      <c r="AF14" s="138" t="s">
        <v>653</v>
      </c>
      <c r="AG14" s="138" t="s">
        <v>1249</v>
      </c>
      <c r="AH14" s="138" t="s">
        <v>821</v>
      </c>
      <c r="AI14" s="138" t="s">
        <v>739</v>
      </c>
      <c r="AJ14" s="138" t="s">
        <v>822</v>
      </c>
      <c r="AK14" s="138" t="s">
        <v>1249</v>
      </c>
      <c r="AL14" s="138" t="s">
        <v>823</v>
      </c>
      <c r="AM14" s="138" t="s">
        <v>739</v>
      </c>
      <c r="AN14" s="138" t="s">
        <v>822</v>
      </c>
      <c r="AO14" s="128" t="s">
        <v>1249</v>
      </c>
      <c r="AP14" s="128" t="s">
        <v>824</v>
      </c>
      <c r="AQ14" s="138" t="s">
        <v>739</v>
      </c>
      <c r="AR14" s="138" t="s">
        <v>822</v>
      </c>
      <c r="AS14" s="138" t="s">
        <v>1249</v>
      </c>
      <c r="AT14" s="138" t="s">
        <v>825</v>
      </c>
      <c r="AU14" s="138" t="s">
        <v>739</v>
      </c>
      <c r="AV14" s="178" t="s">
        <v>822</v>
      </c>
      <c r="AW14" s="84" t="s">
        <v>1249</v>
      </c>
      <c r="AX14" s="136"/>
      <c r="AY14" s="135"/>
    </row>
    <row r="15" spans="1:51" ht="30.15" customHeight="1" x14ac:dyDescent="0.25">
      <c r="A15" s="188" t="s">
        <v>18</v>
      </c>
      <c r="B15" s="189" t="s">
        <v>1</v>
      </c>
      <c r="C15" s="188" t="s">
        <v>35</v>
      </c>
      <c r="D15" s="190" t="s">
        <v>245</v>
      </c>
      <c r="E15" s="190" t="s">
        <v>433</v>
      </c>
      <c r="F15" s="191"/>
      <c r="G15" s="192" t="s">
        <v>434</v>
      </c>
      <c r="H15" s="192" t="s">
        <v>409</v>
      </c>
      <c r="I15" s="193">
        <v>150</v>
      </c>
      <c r="J15" s="193">
        <v>150</v>
      </c>
      <c r="K15" s="193">
        <v>150</v>
      </c>
      <c r="L15" s="193">
        <v>190</v>
      </c>
      <c r="M15" s="194">
        <v>190</v>
      </c>
      <c r="N15" s="195" t="s">
        <v>1</v>
      </c>
      <c r="O15" s="195" t="s">
        <v>1</v>
      </c>
      <c r="P15" s="195" t="s">
        <v>1</v>
      </c>
      <c r="Q15" s="195" t="s">
        <v>1</v>
      </c>
      <c r="R15" s="196" t="s">
        <v>1</v>
      </c>
      <c r="S15" s="197" t="s">
        <v>1</v>
      </c>
      <c r="T15" s="197" t="s">
        <v>1</v>
      </c>
      <c r="U15" s="197" t="s">
        <v>1</v>
      </c>
      <c r="V15" s="197" t="s">
        <v>1</v>
      </c>
      <c r="W15" s="196" t="s">
        <v>1</v>
      </c>
      <c r="X15" s="195" t="s">
        <v>1</v>
      </c>
      <c r="Y15" s="195" t="s">
        <v>1</v>
      </c>
      <c r="Z15" s="195" t="s">
        <v>1</v>
      </c>
      <c r="AA15" s="196" t="s">
        <v>1</v>
      </c>
      <c r="AB15" s="196" t="s">
        <v>1</v>
      </c>
      <c r="AC15" s="197" t="s">
        <v>1</v>
      </c>
      <c r="AD15" s="197" t="s">
        <v>1</v>
      </c>
      <c r="AE15" s="197" t="s">
        <v>1</v>
      </c>
      <c r="AF15" s="198" t="s">
        <v>1</v>
      </c>
      <c r="AG15" s="198" t="s">
        <v>1</v>
      </c>
      <c r="AH15" s="198" t="s">
        <v>1</v>
      </c>
      <c r="AI15" s="199" t="s">
        <v>1</v>
      </c>
      <c r="AJ15" s="199" t="s">
        <v>1</v>
      </c>
      <c r="AK15" s="199" t="s">
        <v>1</v>
      </c>
      <c r="AL15" s="198">
        <v>0</v>
      </c>
      <c r="AM15" s="200" t="s">
        <v>1</v>
      </c>
      <c r="AN15" s="199" t="s">
        <v>1</v>
      </c>
      <c r="AO15" s="199" t="s">
        <v>1</v>
      </c>
      <c r="AP15" s="198" t="s">
        <v>1</v>
      </c>
      <c r="AQ15" s="198" t="s">
        <v>1</v>
      </c>
      <c r="AR15" s="201" t="s">
        <v>1</v>
      </c>
      <c r="AS15" s="201" t="s">
        <v>1</v>
      </c>
      <c r="AT15" s="199" t="s">
        <v>1</v>
      </c>
      <c r="AU15" s="199" t="s">
        <v>1</v>
      </c>
      <c r="AV15" s="202" t="s">
        <v>1</v>
      </c>
      <c r="AW15" s="199" t="s">
        <v>1</v>
      </c>
    </row>
    <row r="16" spans="1:51" ht="30.15" customHeight="1" x14ac:dyDescent="0.25">
      <c r="A16" s="188" t="s">
        <v>18</v>
      </c>
      <c r="B16" s="189" t="s">
        <v>1</v>
      </c>
      <c r="C16" s="188" t="s">
        <v>34</v>
      </c>
      <c r="D16" s="190" t="s">
        <v>245</v>
      </c>
      <c r="E16" s="190" t="s">
        <v>438</v>
      </c>
      <c r="F16" s="191"/>
      <c r="G16" s="192" t="s">
        <v>439</v>
      </c>
      <c r="H16" s="192" t="s">
        <v>409</v>
      </c>
      <c r="I16" s="193">
        <v>81</v>
      </c>
      <c r="J16" s="193">
        <v>81</v>
      </c>
      <c r="K16" s="193">
        <v>81</v>
      </c>
      <c r="L16" s="193">
        <v>85</v>
      </c>
      <c r="M16" s="194">
        <v>85</v>
      </c>
      <c r="N16" s="195">
        <v>0</v>
      </c>
      <c r="O16" s="195" t="s">
        <v>1</v>
      </c>
      <c r="P16" s="195" t="s">
        <v>1</v>
      </c>
      <c r="Q16" s="195" t="s">
        <v>1</v>
      </c>
      <c r="R16" s="196" t="s">
        <v>1</v>
      </c>
      <c r="S16" s="197">
        <v>0</v>
      </c>
      <c r="T16" s="197" t="s">
        <v>1</v>
      </c>
      <c r="U16" s="197" t="s">
        <v>1</v>
      </c>
      <c r="V16" s="197" t="s">
        <v>1</v>
      </c>
      <c r="W16" s="196" t="s">
        <v>1</v>
      </c>
      <c r="X16" s="195">
        <v>0</v>
      </c>
      <c r="Y16" s="195" t="s">
        <v>1</v>
      </c>
      <c r="Z16" s="195" t="s">
        <v>1</v>
      </c>
      <c r="AA16" s="196" t="s">
        <v>1</v>
      </c>
      <c r="AB16" s="196" t="s">
        <v>1</v>
      </c>
      <c r="AC16" s="197">
        <v>0</v>
      </c>
      <c r="AD16" s="197" t="s">
        <v>1</v>
      </c>
      <c r="AE16" s="197" t="s">
        <v>1</v>
      </c>
      <c r="AF16" s="198" t="s">
        <v>1</v>
      </c>
      <c r="AG16" s="198" t="s">
        <v>1</v>
      </c>
      <c r="AH16" s="198">
        <v>0</v>
      </c>
      <c r="AI16" s="199" t="s">
        <v>1</v>
      </c>
      <c r="AJ16" s="199" t="s">
        <v>1</v>
      </c>
      <c r="AK16" s="199" t="s">
        <v>1</v>
      </c>
      <c r="AL16" s="198" t="s">
        <v>1</v>
      </c>
      <c r="AM16" s="200" t="s">
        <v>1</v>
      </c>
      <c r="AN16" s="199" t="s">
        <v>1</v>
      </c>
      <c r="AO16" s="199" t="s">
        <v>1</v>
      </c>
      <c r="AP16" s="198" t="s">
        <v>1</v>
      </c>
      <c r="AQ16" s="198" t="s">
        <v>1</v>
      </c>
      <c r="AR16" s="201" t="s">
        <v>1</v>
      </c>
      <c r="AS16" s="201" t="s">
        <v>1</v>
      </c>
      <c r="AT16" s="199" t="s">
        <v>1</v>
      </c>
      <c r="AU16" s="199" t="s">
        <v>1</v>
      </c>
      <c r="AV16" s="202" t="s">
        <v>1</v>
      </c>
      <c r="AW16" s="199" t="s">
        <v>1</v>
      </c>
    </row>
    <row r="17" spans="1:49" ht="30.15" customHeight="1" x14ac:dyDescent="0.25">
      <c r="A17" s="188" t="s">
        <v>18</v>
      </c>
      <c r="B17" s="189" t="s">
        <v>1</v>
      </c>
      <c r="C17" s="188" t="s">
        <v>34</v>
      </c>
      <c r="D17" s="190" t="s">
        <v>245</v>
      </c>
      <c r="E17" s="190" t="s">
        <v>856</v>
      </c>
      <c r="F17" s="203"/>
      <c r="G17" s="204" t="s">
        <v>855</v>
      </c>
      <c r="H17" s="192" t="s">
        <v>409</v>
      </c>
      <c r="I17" s="205">
        <v>58</v>
      </c>
      <c r="J17" s="205">
        <v>58</v>
      </c>
      <c r="K17" s="205">
        <v>58</v>
      </c>
      <c r="L17" s="205">
        <v>75</v>
      </c>
      <c r="M17" s="206">
        <v>75</v>
      </c>
      <c r="N17" s="195">
        <v>0</v>
      </c>
      <c r="O17" s="207" t="s">
        <v>1</v>
      </c>
      <c r="P17" s="207" t="s">
        <v>1</v>
      </c>
      <c r="Q17" s="195" t="s">
        <v>1</v>
      </c>
      <c r="R17" s="196" t="s">
        <v>1</v>
      </c>
      <c r="S17" s="197">
        <v>0</v>
      </c>
      <c r="T17" s="207" t="s">
        <v>1</v>
      </c>
      <c r="U17" s="207" t="s">
        <v>1</v>
      </c>
      <c r="V17" s="197" t="s">
        <v>1</v>
      </c>
      <c r="W17" s="196" t="s">
        <v>1</v>
      </c>
      <c r="X17" s="195">
        <v>0</v>
      </c>
      <c r="Y17" s="195" t="s">
        <v>1</v>
      </c>
      <c r="Z17" s="195" t="s">
        <v>1</v>
      </c>
      <c r="AA17" s="196" t="s">
        <v>1</v>
      </c>
      <c r="AB17" s="196" t="s">
        <v>1</v>
      </c>
      <c r="AC17" s="197">
        <v>0</v>
      </c>
      <c r="AD17" s="197" t="s">
        <v>1</v>
      </c>
      <c r="AE17" s="197" t="s">
        <v>1</v>
      </c>
      <c r="AF17" s="198" t="s">
        <v>1</v>
      </c>
      <c r="AG17" s="198" t="s">
        <v>1</v>
      </c>
      <c r="AH17" s="198">
        <v>0</v>
      </c>
      <c r="AI17" s="201" t="s">
        <v>1</v>
      </c>
      <c r="AJ17" s="201" t="s">
        <v>1</v>
      </c>
      <c r="AK17" s="201" t="s">
        <v>1</v>
      </c>
      <c r="AL17" s="198" t="s">
        <v>1</v>
      </c>
      <c r="AM17" s="200" t="s">
        <v>1</v>
      </c>
      <c r="AN17" s="201" t="s">
        <v>1</v>
      </c>
      <c r="AO17" s="201" t="s">
        <v>1</v>
      </c>
      <c r="AP17" s="198" t="s">
        <v>1</v>
      </c>
      <c r="AQ17" s="198" t="s">
        <v>1</v>
      </c>
      <c r="AR17" s="201" t="s">
        <v>1</v>
      </c>
      <c r="AS17" s="201" t="s">
        <v>1</v>
      </c>
      <c r="AT17" s="201" t="s">
        <v>1</v>
      </c>
      <c r="AU17" s="201" t="s">
        <v>1</v>
      </c>
      <c r="AV17" s="208" t="s">
        <v>1</v>
      </c>
      <c r="AW17" s="201" t="s">
        <v>1</v>
      </c>
    </row>
    <row r="18" spans="1:49" ht="30.15" customHeight="1" x14ac:dyDescent="0.25">
      <c r="A18" s="188" t="s">
        <v>18</v>
      </c>
      <c r="B18" s="188" t="s">
        <v>1</v>
      </c>
      <c r="C18" s="188" t="s">
        <v>35</v>
      </c>
      <c r="D18" s="190" t="s">
        <v>3</v>
      </c>
      <c r="E18" s="190" t="s">
        <v>482</v>
      </c>
      <c r="F18" s="203"/>
      <c r="G18" s="190" t="s">
        <v>484</v>
      </c>
      <c r="H18" s="192" t="s">
        <v>481</v>
      </c>
      <c r="I18" s="194">
        <v>354</v>
      </c>
      <c r="J18" s="194">
        <v>380</v>
      </c>
      <c r="K18" s="193">
        <v>380</v>
      </c>
      <c r="L18" s="193">
        <v>120</v>
      </c>
      <c r="M18" s="194">
        <v>120</v>
      </c>
      <c r="N18" s="195" t="s">
        <v>1</v>
      </c>
      <c r="O18" s="195" t="s">
        <v>1</v>
      </c>
      <c r="P18" s="195" t="s">
        <v>1</v>
      </c>
      <c r="Q18" s="195" t="s">
        <v>1</v>
      </c>
      <c r="R18" s="196" t="s">
        <v>1</v>
      </c>
      <c r="S18" s="197" t="s">
        <v>1</v>
      </c>
      <c r="T18" s="197" t="s">
        <v>1</v>
      </c>
      <c r="U18" s="197" t="s">
        <v>1</v>
      </c>
      <c r="V18" s="197" t="s">
        <v>1</v>
      </c>
      <c r="W18" s="196" t="s">
        <v>1</v>
      </c>
      <c r="X18" s="195" t="s">
        <v>1</v>
      </c>
      <c r="Y18" s="195" t="s">
        <v>1</v>
      </c>
      <c r="Z18" s="195" t="s">
        <v>1</v>
      </c>
      <c r="AA18" s="196" t="s">
        <v>1</v>
      </c>
      <c r="AB18" s="196" t="s">
        <v>1</v>
      </c>
      <c r="AC18" s="197" t="s">
        <v>1</v>
      </c>
      <c r="AD18" s="197" t="s">
        <v>1</v>
      </c>
      <c r="AE18" s="197" t="s">
        <v>1</v>
      </c>
      <c r="AF18" s="198" t="s">
        <v>1</v>
      </c>
      <c r="AG18" s="198" t="s">
        <v>1</v>
      </c>
      <c r="AH18" s="198" t="s">
        <v>1</v>
      </c>
      <c r="AI18" s="199" t="s">
        <v>1</v>
      </c>
      <c r="AJ18" s="199" t="s">
        <v>1</v>
      </c>
      <c r="AK18" s="199" t="s">
        <v>1</v>
      </c>
      <c r="AL18" s="198">
        <v>0</v>
      </c>
      <c r="AM18" s="200" t="s">
        <v>1</v>
      </c>
      <c r="AN18" s="199" t="s">
        <v>1</v>
      </c>
      <c r="AO18" s="199" t="s">
        <v>1</v>
      </c>
      <c r="AP18" s="198" t="s">
        <v>1</v>
      </c>
      <c r="AQ18" s="198" t="s">
        <v>1</v>
      </c>
      <c r="AR18" s="201" t="s">
        <v>1</v>
      </c>
      <c r="AS18" s="201" t="s">
        <v>1</v>
      </c>
      <c r="AT18" s="199" t="s">
        <v>1</v>
      </c>
      <c r="AU18" s="199" t="s">
        <v>1</v>
      </c>
      <c r="AV18" s="202" t="s">
        <v>1</v>
      </c>
      <c r="AW18" s="199" t="s">
        <v>1</v>
      </c>
    </row>
    <row r="19" spans="1:49" ht="30.15" customHeight="1" x14ac:dyDescent="0.25">
      <c r="A19" s="188" t="s">
        <v>18</v>
      </c>
      <c r="B19" s="188" t="s">
        <v>1</v>
      </c>
      <c r="C19" s="188" t="s">
        <v>35</v>
      </c>
      <c r="D19" s="190" t="s">
        <v>3</v>
      </c>
      <c r="E19" s="190" t="s">
        <v>483</v>
      </c>
      <c r="F19" s="203"/>
      <c r="G19" s="190" t="s">
        <v>485</v>
      </c>
      <c r="H19" s="192" t="s">
        <v>481</v>
      </c>
      <c r="I19" s="194">
        <v>390</v>
      </c>
      <c r="J19" s="194">
        <v>420</v>
      </c>
      <c r="K19" s="193">
        <v>420</v>
      </c>
      <c r="L19" s="193">
        <v>160</v>
      </c>
      <c r="M19" s="194">
        <v>160</v>
      </c>
      <c r="N19" s="195" t="s">
        <v>1</v>
      </c>
      <c r="O19" s="195" t="s">
        <v>1</v>
      </c>
      <c r="P19" s="195" t="s">
        <v>1</v>
      </c>
      <c r="Q19" s="195" t="s">
        <v>1</v>
      </c>
      <c r="R19" s="196" t="s">
        <v>1</v>
      </c>
      <c r="S19" s="197" t="s">
        <v>1</v>
      </c>
      <c r="T19" s="197" t="s">
        <v>1</v>
      </c>
      <c r="U19" s="197" t="s">
        <v>1</v>
      </c>
      <c r="V19" s="197" t="s">
        <v>1</v>
      </c>
      <c r="W19" s="196" t="s">
        <v>1</v>
      </c>
      <c r="X19" s="195" t="s">
        <v>1</v>
      </c>
      <c r="Y19" s="195" t="s">
        <v>1</v>
      </c>
      <c r="Z19" s="195" t="s">
        <v>1</v>
      </c>
      <c r="AA19" s="196" t="s">
        <v>1</v>
      </c>
      <c r="AB19" s="196" t="s">
        <v>1</v>
      </c>
      <c r="AC19" s="197" t="s">
        <v>1</v>
      </c>
      <c r="AD19" s="197" t="s">
        <v>1</v>
      </c>
      <c r="AE19" s="197" t="s">
        <v>1</v>
      </c>
      <c r="AF19" s="198" t="s">
        <v>1</v>
      </c>
      <c r="AG19" s="198" t="s">
        <v>1</v>
      </c>
      <c r="AH19" s="198" t="s">
        <v>1</v>
      </c>
      <c r="AI19" s="199" t="s">
        <v>1</v>
      </c>
      <c r="AJ19" s="199" t="s">
        <v>1</v>
      </c>
      <c r="AK19" s="199" t="s">
        <v>1</v>
      </c>
      <c r="AL19" s="198">
        <v>0</v>
      </c>
      <c r="AM19" s="200" t="s">
        <v>1</v>
      </c>
      <c r="AN19" s="199" t="s">
        <v>1</v>
      </c>
      <c r="AO19" s="199" t="s">
        <v>1</v>
      </c>
      <c r="AP19" s="198" t="s">
        <v>1</v>
      </c>
      <c r="AQ19" s="198" t="s">
        <v>1</v>
      </c>
      <c r="AR19" s="201" t="s">
        <v>1</v>
      </c>
      <c r="AS19" s="201" t="s">
        <v>1</v>
      </c>
      <c r="AT19" s="199" t="s">
        <v>1</v>
      </c>
      <c r="AU19" s="199" t="s">
        <v>1</v>
      </c>
      <c r="AV19" s="202" t="s">
        <v>1</v>
      </c>
      <c r="AW19" s="199" t="s">
        <v>1</v>
      </c>
    </row>
    <row r="20" spans="1:49" ht="30.15" customHeight="1" x14ac:dyDescent="0.25">
      <c r="A20" s="188" t="s">
        <v>18</v>
      </c>
      <c r="B20" s="188" t="s">
        <v>1</v>
      </c>
      <c r="C20" s="188" t="s">
        <v>35</v>
      </c>
      <c r="D20" s="190" t="s">
        <v>3</v>
      </c>
      <c r="E20" s="190" t="s">
        <v>474</v>
      </c>
      <c r="F20" s="203"/>
      <c r="G20" s="190" t="s">
        <v>479</v>
      </c>
      <c r="H20" s="192" t="s">
        <v>742</v>
      </c>
      <c r="I20" s="194">
        <v>591</v>
      </c>
      <c r="J20" s="194">
        <v>649</v>
      </c>
      <c r="K20" s="193">
        <v>649</v>
      </c>
      <c r="L20" s="193">
        <v>240</v>
      </c>
      <c r="M20" s="194">
        <v>240</v>
      </c>
      <c r="N20" s="195" t="s">
        <v>1</v>
      </c>
      <c r="O20" s="195" t="s">
        <v>1</v>
      </c>
      <c r="P20" s="195" t="s">
        <v>1</v>
      </c>
      <c r="Q20" s="195" t="s">
        <v>1</v>
      </c>
      <c r="R20" s="196" t="s">
        <v>1</v>
      </c>
      <c r="S20" s="197" t="s">
        <v>1</v>
      </c>
      <c r="T20" s="197" t="s">
        <v>1</v>
      </c>
      <c r="U20" s="197" t="s">
        <v>1</v>
      </c>
      <c r="V20" s="197" t="s">
        <v>1</v>
      </c>
      <c r="W20" s="196" t="s">
        <v>1</v>
      </c>
      <c r="X20" s="195" t="s">
        <v>1</v>
      </c>
      <c r="Y20" s="195" t="s">
        <v>1</v>
      </c>
      <c r="Z20" s="195" t="s">
        <v>1</v>
      </c>
      <c r="AA20" s="196" t="s">
        <v>1</v>
      </c>
      <c r="AB20" s="196" t="s">
        <v>1</v>
      </c>
      <c r="AC20" s="197" t="s">
        <v>1</v>
      </c>
      <c r="AD20" s="197" t="s">
        <v>1</v>
      </c>
      <c r="AE20" s="197" t="s">
        <v>1</v>
      </c>
      <c r="AF20" s="198" t="s">
        <v>1</v>
      </c>
      <c r="AG20" s="198" t="s">
        <v>1</v>
      </c>
      <c r="AH20" s="198" t="s">
        <v>1</v>
      </c>
      <c r="AI20" s="199" t="s">
        <v>1</v>
      </c>
      <c r="AJ20" s="199" t="s">
        <v>1</v>
      </c>
      <c r="AK20" s="199" t="s">
        <v>1</v>
      </c>
      <c r="AL20" s="198">
        <v>0</v>
      </c>
      <c r="AM20" s="200" t="s">
        <v>1</v>
      </c>
      <c r="AN20" s="199" t="s">
        <v>1</v>
      </c>
      <c r="AO20" s="199">
        <v>120</v>
      </c>
      <c r="AP20" s="198" t="s">
        <v>1</v>
      </c>
      <c r="AQ20" s="198" t="s">
        <v>1</v>
      </c>
      <c r="AR20" s="201" t="s">
        <v>1</v>
      </c>
      <c r="AS20" s="201" t="s">
        <v>1</v>
      </c>
      <c r="AT20" s="199" t="s">
        <v>1</v>
      </c>
      <c r="AU20" s="199" t="s">
        <v>1</v>
      </c>
      <c r="AV20" s="202" t="s">
        <v>1</v>
      </c>
      <c r="AW20" s="199" t="s">
        <v>1</v>
      </c>
    </row>
    <row r="21" spans="1:49" ht="30.15" customHeight="1" x14ac:dyDescent="0.25">
      <c r="A21" s="188" t="s">
        <v>18</v>
      </c>
      <c r="B21" s="188" t="s">
        <v>1</v>
      </c>
      <c r="C21" s="188" t="s">
        <v>35</v>
      </c>
      <c r="D21" s="190" t="s">
        <v>3</v>
      </c>
      <c r="E21" s="190" t="s">
        <v>475</v>
      </c>
      <c r="F21" s="203"/>
      <c r="G21" s="190" t="s">
        <v>479</v>
      </c>
      <c r="H21" s="192" t="s">
        <v>742</v>
      </c>
      <c r="I21" s="194">
        <v>591</v>
      </c>
      <c r="J21" s="194">
        <v>649</v>
      </c>
      <c r="K21" s="193">
        <v>649</v>
      </c>
      <c r="L21" s="193">
        <v>240</v>
      </c>
      <c r="M21" s="194">
        <v>240</v>
      </c>
      <c r="N21" s="195" t="s">
        <v>1</v>
      </c>
      <c r="O21" s="195" t="s">
        <v>1</v>
      </c>
      <c r="P21" s="195" t="s">
        <v>1</v>
      </c>
      <c r="Q21" s="195" t="s">
        <v>1</v>
      </c>
      <c r="R21" s="196" t="s">
        <v>1</v>
      </c>
      <c r="S21" s="197" t="s">
        <v>1</v>
      </c>
      <c r="T21" s="197" t="s">
        <v>1</v>
      </c>
      <c r="U21" s="197" t="s">
        <v>1</v>
      </c>
      <c r="V21" s="197" t="s">
        <v>1</v>
      </c>
      <c r="W21" s="196" t="s">
        <v>1</v>
      </c>
      <c r="X21" s="195" t="s">
        <v>1</v>
      </c>
      <c r="Y21" s="195" t="s">
        <v>1</v>
      </c>
      <c r="Z21" s="195" t="s">
        <v>1</v>
      </c>
      <c r="AA21" s="196" t="s">
        <v>1</v>
      </c>
      <c r="AB21" s="196" t="s">
        <v>1</v>
      </c>
      <c r="AC21" s="197" t="s">
        <v>1</v>
      </c>
      <c r="AD21" s="197" t="s">
        <v>1</v>
      </c>
      <c r="AE21" s="197" t="s">
        <v>1</v>
      </c>
      <c r="AF21" s="198" t="s">
        <v>1</v>
      </c>
      <c r="AG21" s="198" t="s">
        <v>1</v>
      </c>
      <c r="AH21" s="198" t="s">
        <v>1</v>
      </c>
      <c r="AI21" s="199" t="s">
        <v>1</v>
      </c>
      <c r="AJ21" s="199" t="s">
        <v>1</v>
      </c>
      <c r="AK21" s="199" t="s">
        <v>1</v>
      </c>
      <c r="AL21" s="198">
        <v>0</v>
      </c>
      <c r="AM21" s="200" t="s">
        <v>1</v>
      </c>
      <c r="AN21" s="199" t="s">
        <v>1</v>
      </c>
      <c r="AO21" s="199">
        <v>120</v>
      </c>
      <c r="AP21" s="198" t="s">
        <v>1</v>
      </c>
      <c r="AQ21" s="198" t="s">
        <v>1</v>
      </c>
      <c r="AR21" s="201" t="s">
        <v>1</v>
      </c>
      <c r="AS21" s="201" t="s">
        <v>1</v>
      </c>
      <c r="AT21" s="199" t="s">
        <v>1</v>
      </c>
      <c r="AU21" s="199" t="s">
        <v>1</v>
      </c>
      <c r="AV21" s="202" t="s">
        <v>1</v>
      </c>
      <c r="AW21" s="199" t="s">
        <v>1</v>
      </c>
    </row>
    <row r="22" spans="1:49" ht="30.15" customHeight="1" x14ac:dyDescent="0.25">
      <c r="A22" s="188" t="s">
        <v>18</v>
      </c>
      <c r="B22" s="188" t="s">
        <v>1</v>
      </c>
      <c r="C22" s="188" t="s">
        <v>35</v>
      </c>
      <c r="D22" s="190" t="s">
        <v>3</v>
      </c>
      <c r="E22" s="190" t="s">
        <v>473</v>
      </c>
      <c r="F22" s="203"/>
      <c r="G22" s="190" t="s">
        <v>479</v>
      </c>
      <c r="H22" s="192" t="s">
        <v>742</v>
      </c>
      <c r="I22" s="194">
        <v>591</v>
      </c>
      <c r="J22" s="194">
        <v>649</v>
      </c>
      <c r="K22" s="193">
        <v>649</v>
      </c>
      <c r="L22" s="193">
        <v>240</v>
      </c>
      <c r="M22" s="194">
        <v>240</v>
      </c>
      <c r="N22" s="195" t="s">
        <v>1</v>
      </c>
      <c r="O22" s="195" t="s">
        <v>1</v>
      </c>
      <c r="P22" s="195" t="s">
        <v>1</v>
      </c>
      <c r="Q22" s="195" t="s">
        <v>1</v>
      </c>
      <c r="R22" s="196" t="s">
        <v>1</v>
      </c>
      <c r="S22" s="197" t="s">
        <v>1</v>
      </c>
      <c r="T22" s="197" t="s">
        <v>1</v>
      </c>
      <c r="U22" s="197" t="s">
        <v>1</v>
      </c>
      <c r="V22" s="197" t="s">
        <v>1</v>
      </c>
      <c r="W22" s="196" t="s">
        <v>1</v>
      </c>
      <c r="X22" s="195" t="s">
        <v>1</v>
      </c>
      <c r="Y22" s="195" t="s">
        <v>1</v>
      </c>
      <c r="Z22" s="195" t="s">
        <v>1</v>
      </c>
      <c r="AA22" s="196" t="s">
        <v>1</v>
      </c>
      <c r="AB22" s="196" t="s">
        <v>1</v>
      </c>
      <c r="AC22" s="197" t="s">
        <v>1</v>
      </c>
      <c r="AD22" s="197" t="s">
        <v>1</v>
      </c>
      <c r="AE22" s="197" t="s">
        <v>1</v>
      </c>
      <c r="AF22" s="198" t="s">
        <v>1</v>
      </c>
      <c r="AG22" s="198" t="s">
        <v>1</v>
      </c>
      <c r="AH22" s="198" t="s">
        <v>1</v>
      </c>
      <c r="AI22" s="199" t="s">
        <v>1</v>
      </c>
      <c r="AJ22" s="199" t="s">
        <v>1</v>
      </c>
      <c r="AK22" s="199" t="s">
        <v>1</v>
      </c>
      <c r="AL22" s="198">
        <v>0</v>
      </c>
      <c r="AM22" s="200" t="s">
        <v>1</v>
      </c>
      <c r="AN22" s="199" t="s">
        <v>1</v>
      </c>
      <c r="AO22" s="199">
        <v>120</v>
      </c>
      <c r="AP22" s="198" t="s">
        <v>1</v>
      </c>
      <c r="AQ22" s="198" t="s">
        <v>1</v>
      </c>
      <c r="AR22" s="201" t="s">
        <v>1</v>
      </c>
      <c r="AS22" s="201" t="s">
        <v>1</v>
      </c>
      <c r="AT22" s="199" t="s">
        <v>1</v>
      </c>
      <c r="AU22" s="199" t="s">
        <v>1</v>
      </c>
      <c r="AV22" s="202" t="s">
        <v>1</v>
      </c>
      <c r="AW22" s="199" t="s">
        <v>1</v>
      </c>
    </row>
    <row r="23" spans="1:49" ht="30.15" customHeight="1" x14ac:dyDescent="0.25">
      <c r="A23" s="188" t="s">
        <v>18</v>
      </c>
      <c r="B23" s="188" t="s">
        <v>1</v>
      </c>
      <c r="C23" s="188" t="s">
        <v>35</v>
      </c>
      <c r="D23" s="190" t="s">
        <v>3</v>
      </c>
      <c r="E23" s="190" t="s">
        <v>476</v>
      </c>
      <c r="F23" s="203"/>
      <c r="G23" s="190" t="s">
        <v>480</v>
      </c>
      <c r="H23" s="192" t="s">
        <v>742</v>
      </c>
      <c r="I23" s="194">
        <v>627</v>
      </c>
      <c r="J23" s="194">
        <v>689</v>
      </c>
      <c r="K23" s="193">
        <v>689</v>
      </c>
      <c r="L23" s="193">
        <v>290</v>
      </c>
      <c r="M23" s="194">
        <v>290</v>
      </c>
      <c r="N23" s="195" t="s">
        <v>1</v>
      </c>
      <c r="O23" s="195" t="s">
        <v>1</v>
      </c>
      <c r="P23" s="195" t="s">
        <v>1</v>
      </c>
      <c r="Q23" s="195" t="s">
        <v>1</v>
      </c>
      <c r="R23" s="196" t="s">
        <v>1</v>
      </c>
      <c r="S23" s="197" t="s">
        <v>1</v>
      </c>
      <c r="T23" s="197" t="s">
        <v>1</v>
      </c>
      <c r="U23" s="197" t="s">
        <v>1</v>
      </c>
      <c r="V23" s="197" t="s">
        <v>1</v>
      </c>
      <c r="W23" s="196" t="s">
        <v>1</v>
      </c>
      <c r="X23" s="195" t="s">
        <v>1</v>
      </c>
      <c r="Y23" s="195" t="s">
        <v>1</v>
      </c>
      <c r="Z23" s="195" t="s">
        <v>1</v>
      </c>
      <c r="AA23" s="196" t="s">
        <v>1</v>
      </c>
      <c r="AB23" s="196" t="s">
        <v>1</v>
      </c>
      <c r="AC23" s="197" t="s">
        <v>1</v>
      </c>
      <c r="AD23" s="197" t="s">
        <v>1</v>
      </c>
      <c r="AE23" s="197" t="s">
        <v>1</v>
      </c>
      <c r="AF23" s="198" t="s">
        <v>1</v>
      </c>
      <c r="AG23" s="198" t="s">
        <v>1</v>
      </c>
      <c r="AH23" s="198" t="s">
        <v>1</v>
      </c>
      <c r="AI23" s="199" t="s">
        <v>1</v>
      </c>
      <c r="AJ23" s="199" t="s">
        <v>1</v>
      </c>
      <c r="AK23" s="199" t="s">
        <v>1</v>
      </c>
      <c r="AL23" s="198">
        <v>0</v>
      </c>
      <c r="AM23" s="200" t="s">
        <v>1</v>
      </c>
      <c r="AN23" s="199" t="s">
        <v>1</v>
      </c>
      <c r="AO23" s="199">
        <v>120</v>
      </c>
      <c r="AP23" s="198" t="s">
        <v>1</v>
      </c>
      <c r="AQ23" s="198" t="s">
        <v>1</v>
      </c>
      <c r="AR23" s="201" t="s">
        <v>1</v>
      </c>
      <c r="AS23" s="201" t="s">
        <v>1</v>
      </c>
      <c r="AT23" s="199" t="s">
        <v>1</v>
      </c>
      <c r="AU23" s="199" t="s">
        <v>1</v>
      </c>
      <c r="AV23" s="202" t="s">
        <v>1</v>
      </c>
      <c r="AW23" s="199" t="s">
        <v>1</v>
      </c>
    </row>
    <row r="24" spans="1:49" ht="30.15" customHeight="1" x14ac:dyDescent="0.25">
      <c r="A24" s="188" t="s">
        <v>18</v>
      </c>
      <c r="B24" s="188" t="s">
        <v>1</v>
      </c>
      <c r="C24" s="188" t="s">
        <v>35</v>
      </c>
      <c r="D24" s="190" t="s">
        <v>3</v>
      </c>
      <c r="E24" s="190" t="s">
        <v>477</v>
      </c>
      <c r="F24" s="203"/>
      <c r="G24" s="190" t="s">
        <v>480</v>
      </c>
      <c r="H24" s="192" t="s">
        <v>742</v>
      </c>
      <c r="I24" s="194">
        <v>627</v>
      </c>
      <c r="J24" s="194">
        <v>689</v>
      </c>
      <c r="K24" s="193">
        <v>689</v>
      </c>
      <c r="L24" s="193">
        <v>290</v>
      </c>
      <c r="M24" s="194">
        <v>290</v>
      </c>
      <c r="N24" s="195" t="s">
        <v>1</v>
      </c>
      <c r="O24" s="195" t="s">
        <v>1</v>
      </c>
      <c r="P24" s="195" t="s">
        <v>1</v>
      </c>
      <c r="Q24" s="195" t="s">
        <v>1</v>
      </c>
      <c r="R24" s="196" t="s">
        <v>1</v>
      </c>
      <c r="S24" s="197" t="s">
        <v>1</v>
      </c>
      <c r="T24" s="197" t="s">
        <v>1</v>
      </c>
      <c r="U24" s="197" t="s">
        <v>1</v>
      </c>
      <c r="V24" s="197" t="s">
        <v>1</v>
      </c>
      <c r="W24" s="196" t="s">
        <v>1</v>
      </c>
      <c r="X24" s="195" t="s">
        <v>1</v>
      </c>
      <c r="Y24" s="195" t="s">
        <v>1</v>
      </c>
      <c r="Z24" s="195" t="s">
        <v>1</v>
      </c>
      <c r="AA24" s="196" t="s">
        <v>1</v>
      </c>
      <c r="AB24" s="196" t="s">
        <v>1</v>
      </c>
      <c r="AC24" s="197" t="s">
        <v>1</v>
      </c>
      <c r="AD24" s="197" t="s">
        <v>1</v>
      </c>
      <c r="AE24" s="197" t="s">
        <v>1</v>
      </c>
      <c r="AF24" s="198" t="s">
        <v>1</v>
      </c>
      <c r="AG24" s="198" t="s">
        <v>1</v>
      </c>
      <c r="AH24" s="198" t="s">
        <v>1</v>
      </c>
      <c r="AI24" s="199" t="s">
        <v>1</v>
      </c>
      <c r="AJ24" s="199" t="s">
        <v>1</v>
      </c>
      <c r="AK24" s="199" t="s">
        <v>1</v>
      </c>
      <c r="AL24" s="198">
        <v>0</v>
      </c>
      <c r="AM24" s="200" t="s">
        <v>1</v>
      </c>
      <c r="AN24" s="199" t="s">
        <v>1</v>
      </c>
      <c r="AO24" s="199">
        <v>120</v>
      </c>
      <c r="AP24" s="198" t="s">
        <v>1</v>
      </c>
      <c r="AQ24" s="198" t="s">
        <v>1</v>
      </c>
      <c r="AR24" s="201" t="s">
        <v>1</v>
      </c>
      <c r="AS24" s="201" t="s">
        <v>1</v>
      </c>
      <c r="AT24" s="199" t="s">
        <v>1</v>
      </c>
      <c r="AU24" s="199" t="s">
        <v>1</v>
      </c>
      <c r="AV24" s="202" t="s">
        <v>1</v>
      </c>
      <c r="AW24" s="199" t="s">
        <v>1</v>
      </c>
    </row>
    <row r="25" spans="1:49" ht="30.15" customHeight="1" x14ac:dyDescent="0.25">
      <c r="A25" s="188" t="s">
        <v>18</v>
      </c>
      <c r="B25" s="188" t="s">
        <v>1</v>
      </c>
      <c r="C25" s="188" t="s">
        <v>35</v>
      </c>
      <c r="D25" s="190" t="s">
        <v>3</v>
      </c>
      <c r="E25" s="190" t="s">
        <v>478</v>
      </c>
      <c r="F25" s="203"/>
      <c r="G25" s="190" t="s">
        <v>480</v>
      </c>
      <c r="H25" s="192" t="s">
        <v>742</v>
      </c>
      <c r="I25" s="194">
        <v>627</v>
      </c>
      <c r="J25" s="194">
        <v>689</v>
      </c>
      <c r="K25" s="193">
        <v>689</v>
      </c>
      <c r="L25" s="193">
        <v>290</v>
      </c>
      <c r="M25" s="194">
        <v>290</v>
      </c>
      <c r="N25" s="195" t="s">
        <v>1</v>
      </c>
      <c r="O25" s="195" t="s">
        <v>1</v>
      </c>
      <c r="P25" s="195" t="s">
        <v>1</v>
      </c>
      <c r="Q25" s="195" t="s">
        <v>1</v>
      </c>
      <c r="R25" s="196" t="s">
        <v>1</v>
      </c>
      <c r="S25" s="197" t="s">
        <v>1</v>
      </c>
      <c r="T25" s="197" t="s">
        <v>1</v>
      </c>
      <c r="U25" s="197" t="s">
        <v>1</v>
      </c>
      <c r="V25" s="197" t="s">
        <v>1</v>
      </c>
      <c r="W25" s="196" t="s">
        <v>1</v>
      </c>
      <c r="X25" s="195" t="s">
        <v>1</v>
      </c>
      <c r="Y25" s="195" t="s">
        <v>1</v>
      </c>
      <c r="Z25" s="195" t="s">
        <v>1</v>
      </c>
      <c r="AA25" s="196" t="s">
        <v>1</v>
      </c>
      <c r="AB25" s="196" t="s">
        <v>1</v>
      </c>
      <c r="AC25" s="197" t="s">
        <v>1</v>
      </c>
      <c r="AD25" s="197" t="s">
        <v>1</v>
      </c>
      <c r="AE25" s="197" t="s">
        <v>1</v>
      </c>
      <c r="AF25" s="198" t="s">
        <v>1</v>
      </c>
      <c r="AG25" s="198" t="s">
        <v>1</v>
      </c>
      <c r="AH25" s="198" t="s">
        <v>1</v>
      </c>
      <c r="AI25" s="199" t="s">
        <v>1</v>
      </c>
      <c r="AJ25" s="199" t="s">
        <v>1</v>
      </c>
      <c r="AK25" s="199" t="s">
        <v>1</v>
      </c>
      <c r="AL25" s="198">
        <v>0</v>
      </c>
      <c r="AM25" s="200" t="s">
        <v>1</v>
      </c>
      <c r="AN25" s="199" t="s">
        <v>1</v>
      </c>
      <c r="AO25" s="199">
        <v>120</v>
      </c>
      <c r="AP25" s="198" t="s">
        <v>1</v>
      </c>
      <c r="AQ25" s="198" t="s">
        <v>1</v>
      </c>
      <c r="AR25" s="201" t="s">
        <v>1</v>
      </c>
      <c r="AS25" s="201" t="s">
        <v>1</v>
      </c>
      <c r="AT25" s="199" t="s">
        <v>1</v>
      </c>
      <c r="AU25" s="199" t="s">
        <v>1</v>
      </c>
      <c r="AV25" s="202" t="s">
        <v>1</v>
      </c>
      <c r="AW25" s="199" t="s">
        <v>1</v>
      </c>
    </row>
    <row r="26" spans="1:49" ht="30.15" customHeight="1" x14ac:dyDescent="0.25">
      <c r="A26" s="188" t="s">
        <v>18</v>
      </c>
      <c r="B26" s="188" t="s">
        <v>1</v>
      </c>
      <c r="C26" s="188" t="s">
        <v>35</v>
      </c>
      <c r="D26" s="190" t="s">
        <v>3</v>
      </c>
      <c r="E26" s="190" t="s">
        <v>711</v>
      </c>
      <c r="F26" s="203"/>
      <c r="G26" s="190" t="s">
        <v>705</v>
      </c>
      <c r="H26" s="192" t="s">
        <v>409</v>
      </c>
      <c r="I26" s="194">
        <v>600</v>
      </c>
      <c r="J26" s="194">
        <v>660</v>
      </c>
      <c r="K26" s="193">
        <v>660</v>
      </c>
      <c r="L26" s="193">
        <v>690</v>
      </c>
      <c r="M26" s="194">
        <v>690</v>
      </c>
      <c r="N26" s="195" t="s">
        <v>1</v>
      </c>
      <c r="O26" s="195" t="s">
        <v>1</v>
      </c>
      <c r="P26" s="195" t="s">
        <v>1</v>
      </c>
      <c r="Q26" s="195" t="s">
        <v>1</v>
      </c>
      <c r="R26" s="196" t="s">
        <v>1</v>
      </c>
      <c r="S26" s="197" t="s">
        <v>1</v>
      </c>
      <c r="T26" s="197" t="s">
        <v>1</v>
      </c>
      <c r="U26" s="197" t="s">
        <v>1</v>
      </c>
      <c r="V26" s="197" t="s">
        <v>1</v>
      </c>
      <c r="W26" s="196" t="s">
        <v>1</v>
      </c>
      <c r="X26" s="195" t="s">
        <v>1</v>
      </c>
      <c r="Y26" s="195" t="s">
        <v>1</v>
      </c>
      <c r="Z26" s="195" t="s">
        <v>1</v>
      </c>
      <c r="AA26" s="196" t="s">
        <v>1</v>
      </c>
      <c r="AB26" s="196" t="s">
        <v>1</v>
      </c>
      <c r="AC26" s="197" t="s">
        <v>1</v>
      </c>
      <c r="AD26" s="197" t="s">
        <v>1</v>
      </c>
      <c r="AE26" s="197" t="s">
        <v>1</v>
      </c>
      <c r="AF26" s="198" t="s">
        <v>1</v>
      </c>
      <c r="AG26" s="198" t="s">
        <v>1</v>
      </c>
      <c r="AH26" s="198" t="s">
        <v>1</v>
      </c>
      <c r="AI26" s="199" t="s">
        <v>1</v>
      </c>
      <c r="AJ26" s="199" t="s">
        <v>1</v>
      </c>
      <c r="AK26" s="199" t="s">
        <v>1</v>
      </c>
      <c r="AL26" s="198">
        <v>0</v>
      </c>
      <c r="AM26" s="200">
        <v>8.75</v>
      </c>
      <c r="AN26" s="195">
        <v>24</v>
      </c>
      <c r="AO26" s="199" t="s">
        <v>1252</v>
      </c>
      <c r="AP26" s="198" t="s">
        <v>1</v>
      </c>
      <c r="AQ26" s="198" t="s">
        <v>1</v>
      </c>
      <c r="AR26" s="201" t="s">
        <v>1</v>
      </c>
      <c r="AS26" s="201" t="s">
        <v>1</v>
      </c>
      <c r="AT26" s="199" t="s">
        <v>1</v>
      </c>
      <c r="AU26" s="199" t="s">
        <v>1</v>
      </c>
      <c r="AV26" s="202" t="s">
        <v>1</v>
      </c>
      <c r="AW26" s="199" t="s">
        <v>1</v>
      </c>
    </row>
    <row r="27" spans="1:49" ht="30.15" customHeight="1" x14ac:dyDescent="0.25">
      <c r="A27" s="188" t="s">
        <v>18</v>
      </c>
      <c r="B27" s="188" t="s">
        <v>1</v>
      </c>
      <c r="C27" s="188" t="s">
        <v>35</v>
      </c>
      <c r="D27" s="190" t="s">
        <v>3</v>
      </c>
      <c r="E27" s="190" t="s">
        <v>712</v>
      </c>
      <c r="F27" s="203"/>
      <c r="G27" s="190" t="s">
        <v>705</v>
      </c>
      <c r="H27" s="192" t="s">
        <v>409</v>
      </c>
      <c r="I27" s="194">
        <v>600</v>
      </c>
      <c r="J27" s="194">
        <v>660</v>
      </c>
      <c r="K27" s="193">
        <v>660</v>
      </c>
      <c r="L27" s="193">
        <v>690</v>
      </c>
      <c r="M27" s="194">
        <v>690</v>
      </c>
      <c r="N27" s="195" t="s">
        <v>1</v>
      </c>
      <c r="O27" s="195" t="s">
        <v>1</v>
      </c>
      <c r="P27" s="195" t="s">
        <v>1</v>
      </c>
      <c r="Q27" s="195" t="s">
        <v>1</v>
      </c>
      <c r="R27" s="196" t="s">
        <v>1</v>
      </c>
      <c r="S27" s="197" t="s">
        <v>1</v>
      </c>
      <c r="T27" s="197" t="s">
        <v>1</v>
      </c>
      <c r="U27" s="197" t="s">
        <v>1</v>
      </c>
      <c r="V27" s="197" t="s">
        <v>1</v>
      </c>
      <c r="W27" s="196" t="s">
        <v>1</v>
      </c>
      <c r="X27" s="195" t="s">
        <v>1</v>
      </c>
      <c r="Y27" s="195" t="s">
        <v>1</v>
      </c>
      <c r="Z27" s="195" t="s">
        <v>1</v>
      </c>
      <c r="AA27" s="196" t="s">
        <v>1</v>
      </c>
      <c r="AB27" s="196" t="s">
        <v>1</v>
      </c>
      <c r="AC27" s="197" t="s">
        <v>1</v>
      </c>
      <c r="AD27" s="197" t="s">
        <v>1</v>
      </c>
      <c r="AE27" s="197" t="s">
        <v>1</v>
      </c>
      <c r="AF27" s="198" t="s">
        <v>1</v>
      </c>
      <c r="AG27" s="198" t="s">
        <v>1</v>
      </c>
      <c r="AH27" s="198" t="s">
        <v>1</v>
      </c>
      <c r="AI27" s="199" t="s">
        <v>1</v>
      </c>
      <c r="AJ27" s="199" t="s">
        <v>1</v>
      </c>
      <c r="AK27" s="199" t="s">
        <v>1</v>
      </c>
      <c r="AL27" s="198">
        <v>0</v>
      </c>
      <c r="AM27" s="200">
        <v>8.75</v>
      </c>
      <c r="AN27" s="195">
        <v>24</v>
      </c>
      <c r="AO27" s="199" t="s">
        <v>1252</v>
      </c>
      <c r="AP27" s="198" t="s">
        <v>1</v>
      </c>
      <c r="AQ27" s="198" t="s">
        <v>1</v>
      </c>
      <c r="AR27" s="201" t="s">
        <v>1</v>
      </c>
      <c r="AS27" s="201" t="s">
        <v>1</v>
      </c>
      <c r="AT27" s="199" t="s">
        <v>1</v>
      </c>
      <c r="AU27" s="199" t="s">
        <v>1</v>
      </c>
      <c r="AV27" s="202" t="s">
        <v>1</v>
      </c>
      <c r="AW27" s="199" t="s">
        <v>1</v>
      </c>
    </row>
    <row r="28" spans="1:49" ht="30.15" customHeight="1" x14ac:dyDescent="0.25">
      <c r="A28" s="188" t="s">
        <v>18</v>
      </c>
      <c r="B28" s="188" t="s">
        <v>1</v>
      </c>
      <c r="C28" s="188" t="s">
        <v>35</v>
      </c>
      <c r="D28" s="190" t="s">
        <v>3</v>
      </c>
      <c r="E28" s="190" t="s">
        <v>713</v>
      </c>
      <c r="F28" s="203"/>
      <c r="G28" s="190" t="s">
        <v>705</v>
      </c>
      <c r="H28" s="192" t="s">
        <v>409</v>
      </c>
      <c r="I28" s="194">
        <v>600</v>
      </c>
      <c r="J28" s="194">
        <v>660</v>
      </c>
      <c r="K28" s="193">
        <v>660</v>
      </c>
      <c r="L28" s="193">
        <v>690</v>
      </c>
      <c r="M28" s="194">
        <v>690</v>
      </c>
      <c r="N28" s="195" t="s">
        <v>1</v>
      </c>
      <c r="O28" s="195" t="s">
        <v>1</v>
      </c>
      <c r="P28" s="195" t="s">
        <v>1</v>
      </c>
      <c r="Q28" s="195" t="s">
        <v>1</v>
      </c>
      <c r="R28" s="196" t="s">
        <v>1</v>
      </c>
      <c r="S28" s="197" t="s">
        <v>1</v>
      </c>
      <c r="T28" s="197" t="s">
        <v>1</v>
      </c>
      <c r="U28" s="197" t="s">
        <v>1</v>
      </c>
      <c r="V28" s="197" t="s">
        <v>1</v>
      </c>
      <c r="W28" s="196" t="s">
        <v>1</v>
      </c>
      <c r="X28" s="195" t="s">
        <v>1</v>
      </c>
      <c r="Y28" s="195" t="s">
        <v>1</v>
      </c>
      <c r="Z28" s="195" t="s">
        <v>1</v>
      </c>
      <c r="AA28" s="196" t="s">
        <v>1</v>
      </c>
      <c r="AB28" s="196" t="s">
        <v>1</v>
      </c>
      <c r="AC28" s="197" t="s">
        <v>1</v>
      </c>
      <c r="AD28" s="197" t="s">
        <v>1</v>
      </c>
      <c r="AE28" s="197" t="s">
        <v>1</v>
      </c>
      <c r="AF28" s="198" t="s">
        <v>1</v>
      </c>
      <c r="AG28" s="198" t="s">
        <v>1</v>
      </c>
      <c r="AH28" s="198" t="s">
        <v>1</v>
      </c>
      <c r="AI28" s="199" t="s">
        <v>1</v>
      </c>
      <c r="AJ28" s="199" t="s">
        <v>1</v>
      </c>
      <c r="AK28" s="199" t="s">
        <v>1</v>
      </c>
      <c r="AL28" s="198">
        <v>0</v>
      </c>
      <c r="AM28" s="200">
        <v>8.75</v>
      </c>
      <c r="AN28" s="195">
        <v>24</v>
      </c>
      <c r="AO28" s="199" t="s">
        <v>1252</v>
      </c>
      <c r="AP28" s="198" t="s">
        <v>1</v>
      </c>
      <c r="AQ28" s="198" t="s">
        <v>1</v>
      </c>
      <c r="AR28" s="201" t="s">
        <v>1</v>
      </c>
      <c r="AS28" s="201" t="s">
        <v>1</v>
      </c>
      <c r="AT28" s="199" t="s">
        <v>1</v>
      </c>
      <c r="AU28" s="199" t="s">
        <v>1</v>
      </c>
      <c r="AV28" s="202" t="s">
        <v>1</v>
      </c>
      <c r="AW28" s="199" t="s">
        <v>1</v>
      </c>
    </row>
    <row r="29" spans="1:49" ht="30.15" customHeight="1" x14ac:dyDescent="0.25">
      <c r="A29" s="188" t="s">
        <v>18</v>
      </c>
      <c r="B29" s="188" t="s">
        <v>1</v>
      </c>
      <c r="C29" s="188" t="s">
        <v>35</v>
      </c>
      <c r="D29" s="190" t="s">
        <v>3</v>
      </c>
      <c r="E29" s="190" t="s">
        <v>714</v>
      </c>
      <c r="F29" s="203"/>
      <c r="G29" s="190" t="s">
        <v>706</v>
      </c>
      <c r="H29" s="192" t="s">
        <v>409</v>
      </c>
      <c r="I29" s="194">
        <v>636</v>
      </c>
      <c r="J29" s="194">
        <v>700</v>
      </c>
      <c r="K29" s="193">
        <v>700</v>
      </c>
      <c r="L29" s="193">
        <v>730</v>
      </c>
      <c r="M29" s="194">
        <v>730</v>
      </c>
      <c r="N29" s="195" t="s">
        <v>1</v>
      </c>
      <c r="O29" s="195" t="s">
        <v>1</v>
      </c>
      <c r="P29" s="195" t="s">
        <v>1</v>
      </c>
      <c r="Q29" s="195" t="s">
        <v>1</v>
      </c>
      <c r="R29" s="196" t="s">
        <v>1</v>
      </c>
      <c r="S29" s="197" t="s">
        <v>1</v>
      </c>
      <c r="T29" s="197" t="s">
        <v>1</v>
      </c>
      <c r="U29" s="197" t="s">
        <v>1</v>
      </c>
      <c r="V29" s="197" t="s">
        <v>1</v>
      </c>
      <c r="W29" s="196" t="s">
        <v>1</v>
      </c>
      <c r="X29" s="195" t="s">
        <v>1</v>
      </c>
      <c r="Y29" s="195" t="s">
        <v>1</v>
      </c>
      <c r="Z29" s="195" t="s">
        <v>1</v>
      </c>
      <c r="AA29" s="196" t="s">
        <v>1</v>
      </c>
      <c r="AB29" s="196" t="s">
        <v>1</v>
      </c>
      <c r="AC29" s="197" t="s">
        <v>1</v>
      </c>
      <c r="AD29" s="197" t="s">
        <v>1</v>
      </c>
      <c r="AE29" s="197" t="s">
        <v>1</v>
      </c>
      <c r="AF29" s="198" t="s">
        <v>1</v>
      </c>
      <c r="AG29" s="198" t="s">
        <v>1</v>
      </c>
      <c r="AH29" s="198" t="s">
        <v>1</v>
      </c>
      <c r="AI29" s="199" t="s">
        <v>1</v>
      </c>
      <c r="AJ29" s="199" t="s">
        <v>1</v>
      </c>
      <c r="AK29" s="199" t="s">
        <v>1</v>
      </c>
      <c r="AL29" s="198">
        <v>0</v>
      </c>
      <c r="AM29" s="200">
        <v>9.4200000000000017</v>
      </c>
      <c r="AN29" s="195">
        <v>24</v>
      </c>
      <c r="AO29" s="199" t="s">
        <v>1252</v>
      </c>
      <c r="AP29" s="198" t="s">
        <v>1</v>
      </c>
      <c r="AQ29" s="198" t="s">
        <v>1</v>
      </c>
      <c r="AR29" s="201" t="s">
        <v>1</v>
      </c>
      <c r="AS29" s="201" t="s">
        <v>1</v>
      </c>
      <c r="AT29" s="199" t="s">
        <v>1</v>
      </c>
      <c r="AU29" s="199" t="s">
        <v>1</v>
      </c>
      <c r="AV29" s="202" t="s">
        <v>1</v>
      </c>
      <c r="AW29" s="199" t="s">
        <v>1</v>
      </c>
    </row>
    <row r="30" spans="1:49" ht="30.15" customHeight="1" x14ac:dyDescent="0.25">
      <c r="A30" s="188" t="s">
        <v>18</v>
      </c>
      <c r="B30" s="188" t="s">
        <v>1</v>
      </c>
      <c r="C30" s="188" t="s">
        <v>35</v>
      </c>
      <c r="D30" s="190" t="s">
        <v>3</v>
      </c>
      <c r="E30" s="190" t="s">
        <v>715</v>
      </c>
      <c r="F30" s="203"/>
      <c r="G30" s="190" t="s">
        <v>706</v>
      </c>
      <c r="H30" s="192" t="s">
        <v>409</v>
      </c>
      <c r="I30" s="194">
        <v>636</v>
      </c>
      <c r="J30" s="194">
        <v>700</v>
      </c>
      <c r="K30" s="193">
        <v>700</v>
      </c>
      <c r="L30" s="193">
        <v>730</v>
      </c>
      <c r="M30" s="194">
        <v>730</v>
      </c>
      <c r="N30" s="195" t="s">
        <v>1</v>
      </c>
      <c r="O30" s="195" t="s">
        <v>1</v>
      </c>
      <c r="P30" s="195" t="s">
        <v>1</v>
      </c>
      <c r="Q30" s="195" t="s">
        <v>1</v>
      </c>
      <c r="R30" s="196" t="s">
        <v>1</v>
      </c>
      <c r="S30" s="197" t="s">
        <v>1</v>
      </c>
      <c r="T30" s="197" t="s">
        <v>1</v>
      </c>
      <c r="U30" s="197" t="s">
        <v>1</v>
      </c>
      <c r="V30" s="197" t="s">
        <v>1</v>
      </c>
      <c r="W30" s="196" t="s">
        <v>1</v>
      </c>
      <c r="X30" s="195" t="s">
        <v>1</v>
      </c>
      <c r="Y30" s="195" t="s">
        <v>1</v>
      </c>
      <c r="Z30" s="195" t="s">
        <v>1</v>
      </c>
      <c r="AA30" s="196" t="s">
        <v>1</v>
      </c>
      <c r="AB30" s="196" t="s">
        <v>1</v>
      </c>
      <c r="AC30" s="197" t="s">
        <v>1</v>
      </c>
      <c r="AD30" s="197" t="s">
        <v>1</v>
      </c>
      <c r="AE30" s="197" t="s">
        <v>1</v>
      </c>
      <c r="AF30" s="198" t="s">
        <v>1</v>
      </c>
      <c r="AG30" s="198" t="s">
        <v>1</v>
      </c>
      <c r="AH30" s="198" t="s">
        <v>1</v>
      </c>
      <c r="AI30" s="199" t="s">
        <v>1</v>
      </c>
      <c r="AJ30" s="199" t="s">
        <v>1</v>
      </c>
      <c r="AK30" s="199" t="s">
        <v>1</v>
      </c>
      <c r="AL30" s="198">
        <v>0</v>
      </c>
      <c r="AM30" s="200">
        <v>9.4200000000000017</v>
      </c>
      <c r="AN30" s="195">
        <v>24</v>
      </c>
      <c r="AO30" s="199" t="s">
        <v>1252</v>
      </c>
      <c r="AP30" s="198" t="s">
        <v>1</v>
      </c>
      <c r="AQ30" s="198" t="s">
        <v>1</v>
      </c>
      <c r="AR30" s="201" t="s">
        <v>1</v>
      </c>
      <c r="AS30" s="201" t="s">
        <v>1</v>
      </c>
      <c r="AT30" s="199" t="s">
        <v>1</v>
      </c>
      <c r="AU30" s="199" t="s">
        <v>1</v>
      </c>
      <c r="AV30" s="202" t="s">
        <v>1</v>
      </c>
      <c r="AW30" s="199" t="s">
        <v>1</v>
      </c>
    </row>
    <row r="31" spans="1:49" ht="30.15" customHeight="1" x14ac:dyDescent="0.25">
      <c r="A31" s="188" t="s">
        <v>18</v>
      </c>
      <c r="B31" s="188" t="s">
        <v>1</v>
      </c>
      <c r="C31" s="188" t="s">
        <v>35</v>
      </c>
      <c r="D31" s="190" t="s">
        <v>3</v>
      </c>
      <c r="E31" s="190" t="s">
        <v>716</v>
      </c>
      <c r="F31" s="203"/>
      <c r="G31" s="190" t="s">
        <v>706</v>
      </c>
      <c r="H31" s="192" t="s">
        <v>409</v>
      </c>
      <c r="I31" s="194">
        <v>636</v>
      </c>
      <c r="J31" s="194">
        <v>700</v>
      </c>
      <c r="K31" s="193">
        <v>700</v>
      </c>
      <c r="L31" s="193">
        <v>730</v>
      </c>
      <c r="M31" s="194">
        <v>730</v>
      </c>
      <c r="N31" s="195" t="s">
        <v>1</v>
      </c>
      <c r="O31" s="195" t="s">
        <v>1</v>
      </c>
      <c r="P31" s="195" t="s">
        <v>1</v>
      </c>
      <c r="Q31" s="195" t="s">
        <v>1</v>
      </c>
      <c r="R31" s="196" t="s">
        <v>1</v>
      </c>
      <c r="S31" s="197" t="s">
        <v>1</v>
      </c>
      <c r="T31" s="197" t="s">
        <v>1</v>
      </c>
      <c r="U31" s="197" t="s">
        <v>1</v>
      </c>
      <c r="V31" s="197" t="s">
        <v>1</v>
      </c>
      <c r="W31" s="196" t="s">
        <v>1</v>
      </c>
      <c r="X31" s="195" t="s">
        <v>1</v>
      </c>
      <c r="Y31" s="195" t="s">
        <v>1</v>
      </c>
      <c r="Z31" s="195" t="s">
        <v>1</v>
      </c>
      <c r="AA31" s="196" t="s">
        <v>1</v>
      </c>
      <c r="AB31" s="196" t="s">
        <v>1</v>
      </c>
      <c r="AC31" s="197" t="s">
        <v>1</v>
      </c>
      <c r="AD31" s="197" t="s">
        <v>1</v>
      </c>
      <c r="AE31" s="197" t="s">
        <v>1</v>
      </c>
      <c r="AF31" s="198" t="s">
        <v>1</v>
      </c>
      <c r="AG31" s="198" t="s">
        <v>1</v>
      </c>
      <c r="AH31" s="198" t="s">
        <v>1</v>
      </c>
      <c r="AI31" s="199" t="s">
        <v>1</v>
      </c>
      <c r="AJ31" s="199" t="s">
        <v>1</v>
      </c>
      <c r="AK31" s="199" t="s">
        <v>1</v>
      </c>
      <c r="AL31" s="198">
        <v>0</v>
      </c>
      <c r="AM31" s="200">
        <v>9.4200000000000017</v>
      </c>
      <c r="AN31" s="195">
        <v>24</v>
      </c>
      <c r="AO31" s="199" t="s">
        <v>1252</v>
      </c>
      <c r="AP31" s="198" t="s">
        <v>1</v>
      </c>
      <c r="AQ31" s="198" t="s">
        <v>1</v>
      </c>
      <c r="AR31" s="201" t="s">
        <v>1</v>
      </c>
      <c r="AS31" s="201" t="s">
        <v>1</v>
      </c>
      <c r="AT31" s="199" t="s">
        <v>1</v>
      </c>
      <c r="AU31" s="199" t="s">
        <v>1</v>
      </c>
      <c r="AV31" s="202" t="s">
        <v>1</v>
      </c>
      <c r="AW31" s="199" t="s">
        <v>1</v>
      </c>
    </row>
    <row r="32" spans="1:49" ht="30.15" customHeight="1" x14ac:dyDescent="0.25">
      <c r="A32" s="188" t="s">
        <v>18</v>
      </c>
      <c r="B32" s="188" t="s">
        <v>1</v>
      </c>
      <c r="C32" s="188" t="s">
        <v>35</v>
      </c>
      <c r="D32" s="190" t="s">
        <v>3</v>
      </c>
      <c r="E32" s="190" t="s">
        <v>718</v>
      </c>
      <c r="F32" s="203"/>
      <c r="G32" s="190" t="s">
        <v>717</v>
      </c>
      <c r="H32" s="192" t="s">
        <v>409</v>
      </c>
      <c r="I32" s="194">
        <v>902</v>
      </c>
      <c r="J32" s="194">
        <v>990</v>
      </c>
      <c r="K32" s="193">
        <v>990</v>
      </c>
      <c r="L32" s="193">
        <v>1040</v>
      </c>
      <c r="M32" s="194">
        <v>1040</v>
      </c>
      <c r="N32" s="195" t="s">
        <v>1</v>
      </c>
      <c r="O32" s="195" t="s">
        <v>1</v>
      </c>
      <c r="P32" s="195" t="s">
        <v>1</v>
      </c>
      <c r="Q32" s="195" t="s">
        <v>1</v>
      </c>
      <c r="R32" s="196" t="s">
        <v>1</v>
      </c>
      <c r="S32" s="197" t="s">
        <v>1</v>
      </c>
      <c r="T32" s="197" t="s">
        <v>1</v>
      </c>
      <c r="U32" s="197" t="s">
        <v>1</v>
      </c>
      <c r="V32" s="197" t="s">
        <v>1</v>
      </c>
      <c r="W32" s="196" t="s">
        <v>1</v>
      </c>
      <c r="X32" s="195" t="s">
        <v>1</v>
      </c>
      <c r="Y32" s="195" t="s">
        <v>1</v>
      </c>
      <c r="Z32" s="195" t="s">
        <v>1</v>
      </c>
      <c r="AA32" s="196" t="s">
        <v>1</v>
      </c>
      <c r="AB32" s="196" t="s">
        <v>1</v>
      </c>
      <c r="AC32" s="197" t="s">
        <v>1</v>
      </c>
      <c r="AD32" s="197" t="s">
        <v>1</v>
      </c>
      <c r="AE32" s="197" t="s">
        <v>1</v>
      </c>
      <c r="AF32" s="198" t="s">
        <v>1</v>
      </c>
      <c r="AG32" s="198" t="s">
        <v>1</v>
      </c>
      <c r="AH32" s="198" t="s">
        <v>1</v>
      </c>
      <c r="AI32" s="199" t="s">
        <v>1</v>
      </c>
      <c r="AJ32" s="199" t="s">
        <v>1</v>
      </c>
      <c r="AK32" s="199" t="s">
        <v>1</v>
      </c>
      <c r="AL32" s="198">
        <v>0</v>
      </c>
      <c r="AM32" s="200" t="s">
        <v>1</v>
      </c>
      <c r="AN32" s="199" t="s">
        <v>1</v>
      </c>
      <c r="AO32" s="199" t="s">
        <v>1254</v>
      </c>
      <c r="AP32" s="198" t="s">
        <v>1</v>
      </c>
      <c r="AQ32" s="198" t="s">
        <v>1</v>
      </c>
      <c r="AR32" s="201" t="s">
        <v>1</v>
      </c>
      <c r="AS32" s="201" t="s">
        <v>1</v>
      </c>
      <c r="AT32" s="199" t="s">
        <v>1</v>
      </c>
      <c r="AU32" s="199" t="s">
        <v>1</v>
      </c>
      <c r="AV32" s="202" t="s">
        <v>1</v>
      </c>
      <c r="AW32" s="199" t="s">
        <v>1</v>
      </c>
    </row>
    <row r="33" spans="1:49" ht="30.15" customHeight="1" x14ac:dyDescent="0.25">
      <c r="A33" s="188" t="s">
        <v>18</v>
      </c>
      <c r="B33" s="188" t="s">
        <v>1</v>
      </c>
      <c r="C33" s="188" t="s">
        <v>35</v>
      </c>
      <c r="D33" s="190" t="s">
        <v>3</v>
      </c>
      <c r="E33" s="190" t="s">
        <v>940</v>
      </c>
      <c r="F33" s="203"/>
      <c r="G33" s="190" t="s">
        <v>936</v>
      </c>
      <c r="H33" s="192" t="s">
        <v>409</v>
      </c>
      <c r="I33" s="194">
        <v>659</v>
      </c>
      <c r="J33" s="194">
        <v>665</v>
      </c>
      <c r="K33" s="194">
        <v>665</v>
      </c>
      <c r="L33" s="193">
        <v>698</v>
      </c>
      <c r="M33" s="194">
        <v>698</v>
      </c>
      <c r="N33" s="195" t="s">
        <v>1</v>
      </c>
      <c r="O33" s="195" t="s">
        <v>1</v>
      </c>
      <c r="P33" s="195" t="s">
        <v>1</v>
      </c>
      <c r="Q33" s="195" t="s">
        <v>1</v>
      </c>
      <c r="R33" s="196" t="s">
        <v>1</v>
      </c>
      <c r="S33" s="197" t="s">
        <v>1</v>
      </c>
      <c r="T33" s="197" t="s">
        <v>1</v>
      </c>
      <c r="U33" s="197" t="s">
        <v>1</v>
      </c>
      <c r="V33" s="197" t="s">
        <v>1</v>
      </c>
      <c r="W33" s="196" t="s">
        <v>1</v>
      </c>
      <c r="X33" s="195" t="s">
        <v>1</v>
      </c>
      <c r="Y33" s="195" t="s">
        <v>1</v>
      </c>
      <c r="Z33" s="195" t="s">
        <v>1</v>
      </c>
      <c r="AA33" s="196" t="s">
        <v>1</v>
      </c>
      <c r="AB33" s="196" t="s">
        <v>1</v>
      </c>
      <c r="AC33" s="197" t="s">
        <v>1</v>
      </c>
      <c r="AD33" s="197" t="s">
        <v>1</v>
      </c>
      <c r="AE33" s="197" t="s">
        <v>1</v>
      </c>
      <c r="AF33" s="198" t="s">
        <v>1</v>
      </c>
      <c r="AG33" s="198" t="s">
        <v>1</v>
      </c>
      <c r="AH33" s="198" t="s">
        <v>1</v>
      </c>
      <c r="AI33" s="199" t="s">
        <v>1</v>
      </c>
      <c r="AJ33" s="199" t="s">
        <v>1</v>
      </c>
      <c r="AK33" s="199" t="s">
        <v>1</v>
      </c>
      <c r="AL33" s="198">
        <v>0</v>
      </c>
      <c r="AM33" s="200" t="s">
        <v>1</v>
      </c>
      <c r="AN33" s="199" t="s">
        <v>1</v>
      </c>
      <c r="AO33" s="199" t="s">
        <v>1252</v>
      </c>
      <c r="AP33" s="198" t="s">
        <v>1</v>
      </c>
      <c r="AQ33" s="198" t="s">
        <v>1</v>
      </c>
      <c r="AR33" s="201" t="s">
        <v>1</v>
      </c>
      <c r="AS33" s="201" t="s">
        <v>1</v>
      </c>
      <c r="AT33" s="199" t="s">
        <v>1</v>
      </c>
      <c r="AU33" s="199" t="s">
        <v>1</v>
      </c>
      <c r="AV33" s="202" t="s">
        <v>1</v>
      </c>
      <c r="AW33" s="199" t="s">
        <v>1</v>
      </c>
    </row>
    <row r="34" spans="1:49" ht="30.15" customHeight="1" x14ac:dyDescent="0.25">
      <c r="A34" s="188" t="s">
        <v>18</v>
      </c>
      <c r="B34" s="188" t="s">
        <v>1</v>
      </c>
      <c r="C34" s="188" t="s">
        <v>35</v>
      </c>
      <c r="D34" s="190" t="s">
        <v>3</v>
      </c>
      <c r="E34" s="190" t="s">
        <v>941</v>
      </c>
      <c r="F34" s="203"/>
      <c r="G34" s="190" t="s">
        <v>936</v>
      </c>
      <c r="H34" s="192" t="s">
        <v>409</v>
      </c>
      <c r="I34" s="194">
        <v>659</v>
      </c>
      <c r="J34" s="194">
        <v>665</v>
      </c>
      <c r="K34" s="194">
        <v>665</v>
      </c>
      <c r="L34" s="193">
        <v>698</v>
      </c>
      <c r="M34" s="194">
        <v>698</v>
      </c>
      <c r="N34" s="195" t="s">
        <v>1</v>
      </c>
      <c r="O34" s="195" t="s">
        <v>1</v>
      </c>
      <c r="P34" s="195" t="s">
        <v>1</v>
      </c>
      <c r="Q34" s="195" t="s">
        <v>1</v>
      </c>
      <c r="R34" s="196" t="s">
        <v>1</v>
      </c>
      <c r="S34" s="197" t="s">
        <v>1</v>
      </c>
      <c r="T34" s="197" t="s">
        <v>1</v>
      </c>
      <c r="U34" s="197" t="s">
        <v>1</v>
      </c>
      <c r="V34" s="197" t="s">
        <v>1</v>
      </c>
      <c r="W34" s="196" t="s">
        <v>1</v>
      </c>
      <c r="X34" s="195" t="s">
        <v>1</v>
      </c>
      <c r="Y34" s="195" t="s">
        <v>1</v>
      </c>
      <c r="Z34" s="195" t="s">
        <v>1</v>
      </c>
      <c r="AA34" s="196" t="s">
        <v>1</v>
      </c>
      <c r="AB34" s="196" t="s">
        <v>1</v>
      </c>
      <c r="AC34" s="197" t="s">
        <v>1</v>
      </c>
      <c r="AD34" s="197" t="s">
        <v>1</v>
      </c>
      <c r="AE34" s="197" t="s">
        <v>1</v>
      </c>
      <c r="AF34" s="198" t="s">
        <v>1</v>
      </c>
      <c r="AG34" s="198" t="s">
        <v>1</v>
      </c>
      <c r="AH34" s="198" t="s">
        <v>1</v>
      </c>
      <c r="AI34" s="199" t="s">
        <v>1</v>
      </c>
      <c r="AJ34" s="199" t="s">
        <v>1</v>
      </c>
      <c r="AK34" s="199" t="s">
        <v>1</v>
      </c>
      <c r="AL34" s="198">
        <v>0</v>
      </c>
      <c r="AM34" s="200" t="s">
        <v>1</v>
      </c>
      <c r="AN34" s="199" t="s">
        <v>1</v>
      </c>
      <c r="AO34" s="199" t="s">
        <v>1252</v>
      </c>
      <c r="AP34" s="198" t="s">
        <v>1</v>
      </c>
      <c r="AQ34" s="198" t="s">
        <v>1</v>
      </c>
      <c r="AR34" s="201" t="s">
        <v>1</v>
      </c>
      <c r="AS34" s="201" t="s">
        <v>1</v>
      </c>
      <c r="AT34" s="199" t="s">
        <v>1</v>
      </c>
      <c r="AU34" s="199" t="s">
        <v>1</v>
      </c>
      <c r="AV34" s="202" t="s">
        <v>1</v>
      </c>
      <c r="AW34" s="199" t="s">
        <v>1</v>
      </c>
    </row>
    <row r="35" spans="1:49" ht="30.15" customHeight="1" x14ac:dyDescent="0.25">
      <c r="A35" s="188" t="s">
        <v>18</v>
      </c>
      <c r="B35" s="188" t="s">
        <v>1</v>
      </c>
      <c r="C35" s="188" t="s">
        <v>35</v>
      </c>
      <c r="D35" s="190" t="s">
        <v>3</v>
      </c>
      <c r="E35" s="190" t="s">
        <v>942</v>
      </c>
      <c r="F35" s="203"/>
      <c r="G35" s="190" t="s">
        <v>936</v>
      </c>
      <c r="H35" s="192" t="s">
        <v>409</v>
      </c>
      <c r="I35" s="194">
        <v>659</v>
      </c>
      <c r="J35" s="194">
        <v>665</v>
      </c>
      <c r="K35" s="194">
        <v>665</v>
      </c>
      <c r="L35" s="193">
        <v>698</v>
      </c>
      <c r="M35" s="194">
        <v>698</v>
      </c>
      <c r="N35" s="195" t="s">
        <v>1</v>
      </c>
      <c r="O35" s="195" t="s">
        <v>1</v>
      </c>
      <c r="P35" s="195" t="s">
        <v>1</v>
      </c>
      <c r="Q35" s="195" t="s">
        <v>1</v>
      </c>
      <c r="R35" s="196" t="s">
        <v>1</v>
      </c>
      <c r="S35" s="197" t="s">
        <v>1</v>
      </c>
      <c r="T35" s="197" t="s">
        <v>1</v>
      </c>
      <c r="U35" s="197" t="s">
        <v>1</v>
      </c>
      <c r="V35" s="197" t="s">
        <v>1</v>
      </c>
      <c r="W35" s="196" t="s">
        <v>1</v>
      </c>
      <c r="X35" s="195" t="s">
        <v>1</v>
      </c>
      <c r="Y35" s="195" t="s">
        <v>1</v>
      </c>
      <c r="Z35" s="195" t="s">
        <v>1</v>
      </c>
      <c r="AA35" s="196" t="s">
        <v>1</v>
      </c>
      <c r="AB35" s="196" t="s">
        <v>1</v>
      </c>
      <c r="AC35" s="197" t="s">
        <v>1</v>
      </c>
      <c r="AD35" s="197" t="s">
        <v>1</v>
      </c>
      <c r="AE35" s="197" t="s">
        <v>1</v>
      </c>
      <c r="AF35" s="198" t="s">
        <v>1</v>
      </c>
      <c r="AG35" s="198" t="s">
        <v>1</v>
      </c>
      <c r="AH35" s="198" t="s">
        <v>1</v>
      </c>
      <c r="AI35" s="199" t="s">
        <v>1</v>
      </c>
      <c r="AJ35" s="199" t="s">
        <v>1</v>
      </c>
      <c r="AK35" s="199" t="s">
        <v>1</v>
      </c>
      <c r="AL35" s="198">
        <v>0</v>
      </c>
      <c r="AM35" s="200" t="s">
        <v>1</v>
      </c>
      <c r="AN35" s="199" t="s">
        <v>1</v>
      </c>
      <c r="AO35" s="199" t="s">
        <v>1252</v>
      </c>
      <c r="AP35" s="198" t="s">
        <v>1</v>
      </c>
      <c r="AQ35" s="198" t="s">
        <v>1</v>
      </c>
      <c r="AR35" s="201" t="s">
        <v>1</v>
      </c>
      <c r="AS35" s="201" t="s">
        <v>1</v>
      </c>
      <c r="AT35" s="199" t="s">
        <v>1</v>
      </c>
      <c r="AU35" s="199" t="s">
        <v>1</v>
      </c>
      <c r="AV35" s="202" t="s">
        <v>1</v>
      </c>
      <c r="AW35" s="199" t="s">
        <v>1</v>
      </c>
    </row>
    <row r="36" spans="1:49" ht="30.15" customHeight="1" x14ac:dyDescent="0.25">
      <c r="A36" s="188" t="s">
        <v>18</v>
      </c>
      <c r="B36" s="188" t="s">
        <v>1</v>
      </c>
      <c r="C36" s="188" t="s">
        <v>35</v>
      </c>
      <c r="D36" s="190" t="s">
        <v>3</v>
      </c>
      <c r="E36" s="190" t="s">
        <v>943</v>
      </c>
      <c r="F36" s="203"/>
      <c r="G36" s="190" t="s">
        <v>937</v>
      </c>
      <c r="H36" s="192" t="s">
        <v>409</v>
      </c>
      <c r="I36" s="194">
        <v>699</v>
      </c>
      <c r="J36" s="194">
        <v>703</v>
      </c>
      <c r="K36" s="194">
        <v>703</v>
      </c>
      <c r="L36" s="193">
        <v>740</v>
      </c>
      <c r="M36" s="194">
        <v>740</v>
      </c>
      <c r="N36" s="195" t="s">
        <v>1</v>
      </c>
      <c r="O36" s="195" t="s">
        <v>1</v>
      </c>
      <c r="P36" s="195" t="s">
        <v>1</v>
      </c>
      <c r="Q36" s="195" t="s">
        <v>1</v>
      </c>
      <c r="R36" s="196" t="s">
        <v>1</v>
      </c>
      <c r="S36" s="197" t="s">
        <v>1</v>
      </c>
      <c r="T36" s="197" t="s">
        <v>1</v>
      </c>
      <c r="U36" s="197" t="s">
        <v>1</v>
      </c>
      <c r="V36" s="197" t="s">
        <v>1</v>
      </c>
      <c r="W36" s="196" t="s">
        <v>1</v>
      </c>
      <c r="X36" s="195" t="s">
        <v>1</v>
      </c>
      <c r="Y36" s="195" t="s">
        <v>1</v>
      </c>
      <c r="Z36" s="195" t="s">
        <v>1</v>
      </c>
      <c r="AA36" s="196" t="s">
        <v>1</v>
      </c>
      <c r="AB36" s="196" t="s">
        <v>1</v>
      </c>
      <c r="AC36" s="197" t="s">
        <v>1</v>
      </c>
      <c r="AD36" s="197" t="s">
        <v>1</v>
      </c>
      <c r="AE36" s="197" t="s">
        <v>1</v>
      </c>
      <c r="AF36" s="198" t="s">
        <v>1</v>
      </c>
      <c r="AG36" s="198" t="s">
        <v>1</v>
      </c>
      <c r="AH36" s="198" t="s">
        <v>1</v>
      </c>
      <c r="AI36" s="209" t="s">
        <v>1</v>
      </c>
      <c r="AJ36" s="209" t="s">
        <v>1</v>
      </c>
      <c r="AK36" s="209" t="s">
        <v>1</v>
      </c>
      <c r="AL36" s="198">
        <v>0</v>
      </c>
      <c r="AM36" s="200" t="s">
        <v>1</v>
      </c>
      <c r="AN36" s="199" t="s">
        <v>1</v>
      </c>
      <c r="AO36" s="199" t="s">
        <v>1253</v>
      </c>
      <c r="AP36" s="198" t="s">
        <v>1</v>
      </c>
      <c r="AQ36" s="198" t="s">
        <v>1</v>
      </c>
      <c r="AR36" s="201" t="s">
        <v>1</v>
      </c>
      <c r="AS36" s="201" t="s">
        <v>1</v>
      </c>
      <c r="AT36" s="199" t="s">
        <v>1</v>
      </c>
      <c r="AU36" s="199" t="s">
        <v>1</v>
      </c>
      <c r="AV36" s="202" t="s">
        <v>1</v>
      </c>
      <c r="AW36" s="199" t="s">
        <v>1</v>
      </c>
    </row>
    <row r="37" spans="1:49" ht="30.15" customHeight="1" x14ac:dyDescent="0.25">
      <c r="A37" s="188" t="s">
        <v>18</v>
      </c>
      <c r="B37" s="188" t="s">
        <v>1</v>
      </c>
      <c r="C37" s="188" t="s">
        <v>35</v>
      </c>
      <c r="D37" s="190" t="s">
        <v>3</v>
      </c>
      <c r="E37" s="190" t="s">
        <v>944</v>
      </c>
      <c r="F37" s="203"/>
      <c r="G37" s="190" t="s">
        <v>937</v>
      </c>
      <c r="H37" s="192" t="s">
        <v>409</v>
      </c>
      <c r="I37" s="194">
        <v>699</v>
      </c>
      <c r="J37" s="194">
        <v>703</v>
      </c>
      <c r="K37" s="194">
        <v>703</v>
      </c>
      <c r="L37" s="193">
        <v>740</v>
      </c>
      <c r="M37" s="194">
        <v>740</v>
      </c>
      <c r="N37" s="195" t="s">
        <v>1</v>
      </c>
      <c r="O37" s="195" t="s">
        <v>1</v>
      </c>
      <c r="P37" s="195" t="s">
        <v>1</v>
      </c>
      <c r="Q37" s="195" t="s">
        <v>1</v>
      </c>
      <c r="R37" s="196" t="s">
        <v>1</v>
      </c>
      <c r="S37" s="197" t="s">
        <v>1</v>
      </c>
      <c r="T37" s="197" t="s">
        <v>1</v>
      </c>
      <c r="U37" s="197" t="s">
        <v>1</v>
      </c>
      <c r="V37" s="197" t="s">
        <v>1</v>
      </c>
      <c r="W37" s="196" t="s">
        <v>1</v>
      </c>
      <c r="X37" s="195" t="s">
        <v>1</v>
      </c>
      <c r="Y37" s="195" t="s">
        <v>1</v>
      </c>
      <c r="Z37" s="195" t="s">
        <v>1</v>
      </c>
      <c r="AA37" s="196" t="s">
        <v>1</v>
      </c>
      <c r="AB37" s="196" t="s">
        <v>1</v>
      </c>
      <c r="AC37" s="197" t="s">
        <v>1</v>
      </c>
      <c r="AD37" s="197" t="s">
        <v>1</v>
      </c>
      <c r="AE37" s="197" t="s">
        <v>1</v>
      </c>
      <c r="AF37" s="198" t="s">
        <v>1</v>
      </c>
      <c r="AG37" s="198" t="s">
        <v>1</v>
      </c>
      <c r="AH37" s="198" t="s">
        <v>1</v>
      </c>
      <c r="AI37" s="209" t="s">
        <v>1</v>
      </c>
      <c r="AJ37" s="209" t="s">
        <v>1</v>
      </c>
      <c r="AK37" s="209" t="s">
        <v>1</v>
      </c>
      <c r="AL37" s="198">
        <v>0</v>
      </c>
      <c r="AM37" s="200" t="s">
        <v>1</v>
      </c>
      <c r="AN37" s="199" t="s">
        <v>1</v>
      </c>
      <c r="AO37" s="199" t="s">
        <v>1253</v>
      </c>
      <c r="AP37" s="198" t="s">
        <v>1</v>
      </c>
      <c r="AQ37" s="198" t="s">
        <v>1</v>
      </c>
      <c r="AR37" s="201" t="s">
        <v>1</v>
      </c>
      <c r="AS37" s="201" t="s">
        <v>1</v>
      </c>
      <c r="AT37" s="199" t="s">
        <v>1</v>
      </c>
      <c r="AU37" s="199" t="s">
        <v>1</v>
      </c>
      <c r="AV37" s="202" t="s">
        <v>1</v>
      </c>
      <c r="AW37" s="199" t="s">
        <v>1</v>
      </c>
    </row>
    <row r="38" spans="1:49" ht="30.15" customHeight="1" x14ac:dyDescent="0.25">
      <c r="A38" s="188" t="s">
        <v>18</v>
      </c>
      <c r="B38" s="188" t="s">
        <v>1</v>
      </c>
      <c r="C38" s="188" t="s">
        <v>35</v>
      </c>
      <c r="D38" s="190" t="s">
        <v>3</v>
      </c>
      <c r="E38" s="190" t="s">
        <v>945</v>
      </c>
      <c r="F38" s="203"/>
      <c r="G38" s="190" t="s">
        <v>937</v>
      </c>
      <c r="H38" s="192" t="s">
        <v>409</v>
      </c>
      <c r="I38" s="194">
        <v>699</v>
      </c>
      <c r="J38" s="194">
        <v>703</v>
      </c>
      <c r="K38" s="194">
        <v>703</v>
      </c>
      <c r="L38" s="193">
        <v>740</v>
      </c>
      <c r="M38" s="194">
        <v>740</v>
      </c>
      <c r="N38" s="195" t="s">
        <v>1</v>
      </c>
      <c r="O38" s="195" t="s">
        <v>1</v>
      </c>
      <c r="P38" s="195" t="s">
        <v>1</v>
      </c>
      <c r="Q38" s="195" t="s">
        <v>1</v>
      </c>
      <c r="R38" s="196" t="s">
        <v>1</v>
      </c>
      <c r="S38" s="197" t="s">
        <v>1</v>
      </c>
      <c r="T38" s="197" t="s">
        <v>1</v>
      </c>
      <c r="U38" s="197" t="s">
        <v>1</v>
      </c>
      <c r="V38" s="197" t="s">
        <v>1</v>
      </c>
      <c r="W38" s="196" t="s">
        <v>1</v>
      </c>
      <c r="X38" s="195" t="s">
        <v>1</v>
      </c>
      <c r="Y38" s="195" t="s">
        <v>1</v>
      </c>
      <c r="Z38" s="195" t="s">
        <v>1</v>
      </c>
      <c r="AA38" s="196" t="s">
        <v>1</v>
      </c>
      <c r="AB38" s="196" t="s">
        <v>1</v>
      </c>
      <c r="AC38" s="197" t="s">
        <v>1</v>
      </c>
      <c r="AD38" s="197" t="s">
        <v>1</v>
      </c>
      <c r="AE38" s="197" t="s">
        <v>1</v>
      </c>
      <c r="AF38" s="198" t="s">
        <v>1</v>
      </c>
      <c r="AG38" s="198" t="s">
        <v>1</v>
      </c>
      <c r="AH38" s="198" t="s">
        <v>1</v>
      </c>
      <c r="AI38" s="209" t="s">
        <v>1</v>
      </c>
      <c r="AJ38" s="209" t="s">
        <v>1</v>
      </c>
      <c r="AK38" s="209" t="s">
        <v>1</v>
      </c>
      <c r="AL38" s="198">
        <v>0</v>
      </c>
      <c r="AM38" s="200" t="s">
        <v>1</v>
      </c>
      <c r="AN38" s="199" t="s">
        <v>1</v>
      </c>
      <c r="AO38" s="199" t="s">
        <v>1253</v>
      </c>
      <c r="AP38" s="198" t="s">
        <v>1</v>
      </c>
      <c r="AQ38" s="198" t="s">
        <v>1</v>
      </c>
      <c r="AR38" s="201" t="s">
        <v>1</v>
      </c>
      <c r="AS38" s="201" t="s">
        <v>1</v>
      </c>
      <c r="AT38" s="199" t="s">
        <v>1</v>
      </c>
      <c r="AU38" s="199" t="s">
        <v>1</v>
      </c>
      <c r="AV38" s="202" t="s">
        <v>1</v>
      </c>
      <c r="AW38" s="199" t="s">
        <v>1</v>
      </c>
    </row>
    <row r="39" spans="1:49" ht="30.15" customHeight="1" x14ac:dyDescent="0.25">
      <c r="A39" s="188" t="s">
        <v>18</v>
      </c>
      <c r="B39" s="188" t="s">
        <v>1</v>
      </c>
      <c r="C39" s="188" t="s">
        <v>35</v>
      </c>
      <c r="D39" s="190" t="s">
        <v>3</v>
      </c>
      <c r="E39" s="190" t="s">
        <v>948</v>
      </c>
      <c r="F39" s="203"/>
      <c r="G39" s="190" t="s">
        <v>946</v>
      </c>
      <c r="H39" s="192" t="s">
        <v>409</v>
      </c>
      <c r="I39" s="194">
        <v>429</v>
      </c>
      <c r="J39" s="194">
        <v>432</v>
      </c>
      <c r="K39" s="194">
        <v>432</v>
      </c>
      <c r="L39" s="193">
        <v>454</v>
      </c>
      <c r="M39" s="194">
        <v>454</v>
      </c>
      <c r="N39" s="195" t="s">
        <v>1</v>
      </c>
      <c r="O39" s="195" t="s">
        <v>1</v>
      </c>
      <c r="P39" s="195" t="s">
        <v>1</v>
      </c>
      <c r="Q39" s="195" t="s">
        <v>1</v>
      </c>
      <c r="R39" s="196" t="s">
        <v>1</v>
      </c>
      <c r="S39" s="197" t="s">
        <v>1</v>
      </c>
      <c r="T39" s="197" t="s">
        <v>1</v>
      </c>
      <c r="U39" s="197" t="s">
        <v>1</v>
      </c>
      <c r="V39" s="197" t="s">
        <v>1</v>
      </c>
      <c r="W39" s="196" t="s">
        <v>1</v>
      </c>
      <c r="X39" s="195" t="s">
        <v>1</v>
      </c>
      <c r="Y39" s="195" t="s">
        <v>1</v>
      </c>
      <c r="Z39" s="195" t="s">
        <v>1</v>
      </c>
      <c r="AA39" s="196" t="s">
        <v>1</v>
      </c>
      <c r="AB39" s="196" t="s">
        <v>1</v>
      </c>
      <c r="AC39" s="197" t="s">
        <v>1</v>
      </c>
      <c r="AD39" s="197" t="s">
        <v>1</v>
      </c>
      <c r="AE39" s="197" t="s">
        <v>1</v>
      </c>
      <c r="AF39" s="198" t="s">
        <v>1</v>
      </c>
      <c r="AG39" s="198" t="s">
        <v>1</v>
      </c>
      <c r="AH39" s="198" t="s">
        <v>1</v>
      </c>
      <c r="AI39" s="209" t="s">
        <v>1</v>
      </c>
      <c r="AJ39" s="209" t="s">
        <v>1</v>
      </c>
      <c r="AK39" s="209" t="s">
        <v>1</v>
      </c>
      <c r="AL39" s="198">
        <v>0</v>
      </c>
      <c r="AM39" s="200" t="s">
        <v>1</v>
      </c>
      <c r="AN39" s="199" t="s">
        <v>1</v>
      </c>
      <c r="AO39" s="199">
        <v>120</v>
      </c>
      <c r="AP39" s="198" t="s">
        <v>1</v>
      </c>
      <c r="AQ39" s="198" t="s">
        <v>1</v>
      </c>
      <c r="AR39" s="201" t="s">
        <v>1</v>
      </c>
      <c r="AS39" s="201" t="s">
        <v>1</v>
      </c>
      <c r="AT39" s="199" t="s">
        <v>1</v>
      </c>
      <c r="AU39" s="199" t="s">
        <v>1</v>
      </c>
      <c r="AV39" s="202" t="s">
        <v>1</v>
      </c>
      <c r="AW39" s="199" t="s">
        <v>1</v>
      </c>
    </row>
    <row r="40" spans="1:49" ht="30.15" customHeight="1" x14ac:dyDescent="0.25">
      <c r="A40" s="188" t="s">
        <v>18</v>
      </c>
      <c r="B40" s="188" t="s">
        <v>1</v>
      </c>
      <c r="C40" s="188" t="s">
        <v>35</v>
      </c>
      <c r="D40" s="190" t="s">
        <v>3</v>
      </c>
      <c r="E40" s="190" t="s">
        <v>949</v>
      </c>
      <c r="F40" s="203"/>
      <c r="G40" s="190" t="s">
        <v>946</v>
      </c>
      <c r="H40" s="192" t="s">
        <v>409</v>
      </c>
      <c r="I40" s="194">
        <v>429</v>
      </c>
      <c r="J40" s="194">
        <v>432</v>
      </c>
      <c r="K40" s="194">
        <v>432</v>
      </c>
      <c r="L40" s="193">
        <v>454</v>
      </c>
      <c r="M40" s="194">
        <v>454</v>
      </c>
      <c r="N40" s="195" t="s">
        <v>1</v>
      </c>
      <c r="O40" s="195" t="s">
        <v>1</v>
      </c>
      <c r="P40" s="195" t="s">
        <v>1</v>
      </c>
      <c r="Q40" s="195" t="s">
        <v>1</v>
      </c>
      <c r="R40" s="196" t="s">
        <v>1</v>
      </c>
      <c r="S40" s="197" t="s">
        <v>1</v>
      </c>
      <c r="T40" s="197" t="s">
        <v>1</v>
      </c>
      <c r="U40" s="197" t="s">
        <v>1</v>
      </c>
      <c r="V40" s="197" t="s">
        <v>1</v>
      </c>
      <c r="W40" s="196" t="s">
        <v>1</v>
      </c>
      <c r="X40" s="195" t="s">
        <v>1</v>
      </c>
      <c r="Y40" s="195" t="s">
        <v>1</v>
      </c>
      <c r="Z40" s="195" t="s">
        <v>1</v>
      </c>
      <c r="AA40" s="196" t="s">
        <v>1</v>
      </c>
      <c r="AB40" s="196" t="s">
        <v>1</v>
      </c>
      <c r="AC40" s="197" t="s">
        <v>1</v>
      </c>
      <c r="AD40" s="197" t="s">
        <v>1</v>
      </c>
      <c r="AE40" s="197" t="s">
        <v>1</v>
      </c>
      <c r="AF40" s="198" t="s">
        <v>1</v>
      </c>
      <c r="AG40" s="198" t="s">
        <v>1</v>
      </c>
      <c r="AH40" s="198" t="s">
        <v>1</v>
      </c>
      <c r="AI40" s="209" t="s">
        <v>1</v>
      </c>
      <c r="AJ40" s="209" t="s">
        <v>1</v>
      </c>
      <c r="AK40" s="209" t="s">
        <v>1</v>
      </c>
      <c r="AL40" s="198">
        <v>0</v>
      </c>
      <c r="AM40" s="200" t="s">
        <v>1</v>
      </c>
      <c r="AN40" s="199" t="s">
        <v>1</v>
      </c>
      <c r="AO40" s="199">
        <v>120</v>
      </c>
      <c r="AP40" s="198" t="s">
        <v>1</v>
      </c>
      <c r="AQ40" s="198" t="s">
        <v>1</v>
      </c>
      <c r="AR40" s="201" t="s">
        <v>1</v>
      </c>
      <c r="AS40" s="201" t="s">
        <v>1</v>
      </c>
      <c r="AT40" s="199" t="s">
        <v>1</v>
      </c>
      <c r="AU40" s="199" t="s">
        <v>1</v>
      </c>
      <c r="AV40" s="202" t="s">
        <v>1</v>
      </c>
      <c r="AW40" s="199" t="s">
        <v>1</v>
      </c>
    </row>
    <row r="41" spans="1:49" ht="30.15" customHeight="1" x14ac:dyDescent="0.25">
      <c r="A41" s="188" t="s">
        <v>18</v>
      </c>
      <c r="B41" s="188" t="s">
        <v>1</v>
      </c>
      <c r="C41" s="188" t="s">
        <v>35</v>
      </c>
      <c r="D41" s="190" t="s">
        <v>3</v>
      </c>
      <c r="E41" s="190" t="s">
        <v>950</v>
      </c>
      <c r="F41" s="203"/>
      <c r="G41" s="190" t="s">
        <v>947</v>
      </c>
      <c r="H41" s="192" t="s">
        <v>409</v>
      </c>
      <c r="I41" s="194">
        <v>469</v>
      </c>
      <c r="J41" s="194">
        <v>475</v>
      </c>
      <c r="K41" s="194">
        <v>475</v>
      </c>
      <c r="L41" s="193">
        <v>497</v>
      </c>
      <c r="M41" s="194">
        <v>497</v>
      </c>
      <c r="N41" s="195" t="s">
        <v>1</v>
      </c>
      <c r="O41" s="195" t="s">
        <v>1</v>
      </c>
      <c r="P41" s="195" t="s">
        <v>1</v>
      </c>
      <c r="Q41" s="195" t="s">
        <v>1</v>
      </c>
      <c r="R41" s="196" t="s">
        <v>1</v>
      </c>
      <c r="S41" s="197" t="s">
        <v>1</v>
      </c>
      <c r="T41" s="197" t="s">
        <v>1</v>
      </c>
      <c r="U41" s="197" t="s">
        <v>1</v>
      </c>
      <c r="V41" s="197" t="s">
        <v>1</v>
      </c>
      <c r="W41" s="196" t="s">
        <v>1</v>
      </c>
      <c r="X41" s="195" t="s">
        <v>1</v>
      </c>
      <c r="Y41" s="195" t="s">
        <v>1</v>
      </c>
      <c r="Z41" s="195" t="s">
        <v>1</v>
      </c>
      <c r="AA41" s="196" t="s">
        <v>1</v>
      </c>
      <c r="AB41" s="196" t="s">
        <v>1</v>
      </c>
      <c r="AC41" s="197" t="s">
        <v>1</v>
      </c>
      <c r="AD41" s="197" t="s">
        <v>1</v>
      </c>
      <c r="AE41" s="197" t="s">
        <v>1</v>
      </c>
      <c r="AF41" s="198" t="s">
        <v>1</v>
      </c>
      <c r="AG41" s="198" t="s">
        <v>1</v>
      </c>
      <c r="AH41" s="198" t="s">
        <v>1</v>
      </c>
      <c r="AI41" s="209" t="s">
        <v>1</v>
      </c>
      <c r="AJ41" s="209" t="s">
        <v>1</v>
      </c>
      <c r="AK41" s="209" t="s">
        <v>1</v>
      </c>
      <c r="AL41" s="198">
        <v>0</v>
      </c>
      <c r="AM41" s="200" t="s">
        <v>1</v>
      </c>
      <c r="AN41" s="199" t="s">
        <v>1</v>
      </c>
      <c r="AO41" s="199" t="s">
        <v>1252</v>
      </c>
      <c r="AP41" s="198" t="s">
        <v>1</v>
      </c>
      <c r="AQ41" s="198" t="s">
        <v>1</v>
      </c>
      <c r="AR41" s="201" t="s">
        <v>1</v>
      </c>
      <c r="AS41" s="201" t="s">
        <v>1</v>
      </c>
      <c r="AT41" s="199" t="s">
        <v>1</v>
      </c>
      <c r="AU41" s="199" t="s">
        <v>1</v>
      </c>
      <c r="AV41" s="202" t="s">
        <v>1</v>
      </c>
      <c r="AW41" s="199" t="s">
        <v>1</v>
      </c>
    </row>
    <row r="42" spans="1:49" ht="30.15" customHeight="1" x14ac:dyDescent="0.25">
      <c r="A42" s="188" t="s">
        <v>18</v>
      </c>
      <c r="B42" s="188" t="s">
        <v>1</v>
      </c>
      <c r="C42" s="188" t="s">
        <v>35</v>
      </c>
      <c r="D42" s="190" t="s">
        <v>3</v>
      </c>
      <c r="E42" s="190" t="s">
        <v>951</v>
      </c>
      <c r="F42" s="203"/>
      <c r="G42" s="190" t="s">
        <v>947</v>
      </c>
      <c r="H42" s="192" t="s">
        <v>409</v>
      </c>
      <c r="I42" s="194">
        <v>469</v>
      </c>
      <c r="J42" s="194">
        <v>475</v>
      </c>
      <c r="K42" s="194">
        <v>475</v>
      </c>
      <c r="L42" s="193">
        <v>497</v>
      </c>
      <c r="M42" s="194">
        <v>497</v>
      </c>
      <c r="N42" s="195" t="s">
        <v>1</v>
      </c>
      <c r="O42" s="195" t="s">
        <v>1</v>
      </c>
      <c r="P42" s="195" t="s">
        <v>1</v>
      </c>
      <c r="Q42" s="195" t="s">
        <v>1</v>
      </c>
      <c r="R42" s="196" t="s">
        <v>1</v>
      </c>
      <c r="S42" s="197" t="s">
        <v>1</v>
      </c>
      <c r="T42" s="197" t="s">
        <v>1</v>
      </c>
      <c r="U42" s="197" t="s">
        <v>1</v>
      </c>
      <c r="V42" s="197" t="s">
        <v>1</v>
      </c>
      <c r="W42" s="196" t="s">
        <v>1</v>
      </c>
      <c r="X42" s="195" t="s">
        <v>1</v>
      </c>
      <c r="Y42" s="195" t="s">
        <v>1</v>
      </c>
      <c r="Z42" s="195" t="s">
        <v>1</v>
      </c>
      <c r="AA42" s="196" t="s">
        <v>1</v>
      </c>
      <c r="AB42" s="196" t="s">
        <v>1</v>
      </c>
      <c r="AC42" s="197" t="s">
        <v>1</v>
      </c>
      <c r="AD42" s="197" t="s">
        <v>1</v>
      </c>
      <c r="AE42" s="197" t="s">
        <v>1</v>
      </c>
      <c r="AF42" s="198" t="s">
        <v>1</v>
      </c>
      <c r="AG42" s="198" t="s">
        <v>1</v>
      </c>
      <c r="AH42" s="198" t="s">
        <v>1</v>
      </c>
      <c r="AI42" s="209" t="s">
        <v>1</v>
      </c>
      <c r="AJ42" s="209" t="s">
        <v>1</v>
      </c>
      <c r="AK42" s="209" t="s">
        <v>1</v>
      </c>
      <c r="AL42" s="198">
        <v>0</v>
      </c>
      <c r="AM42" s="200" t="s">
        <v>1</v>
      </c>
      <c r="AN42" s="199" t="s">
        <v>1</v>
      </c>
      <c r="AO42" s="199" t="s">
        <v>1252</v>
      </c>
      <c r="AP42" s="198" t="s">
        <v>1</v>
      </c>
      <c r="AQ42" s="198" t="s">
        <v>1</v>
      </c>
      <c r="AR42" s="201" t="s">
        <v>1</v>
      </c>
      <c r="AS42" s="201" t="s">
        <v>1</v>
      </c>
      <c r="AT42" s="199" t="s">
        <v>1</v>
      </c>
      <c r="AU42" s="199" t="s">
        <v>1</v>
      </c>
      <c r="AV42" s="202" t="s">
        <v>1</v>
      </c>
      <c r="AW42" s="199" t="s">
        <v>1</v>
      </c>
    </row>
    <row r="43" spans="1:49" ht="30.15" customHeight="1" x14ac:dyDescent="0.25">
      <c r="A43" s="188" t="s">
        <v>18</v>
      </c>
      <c r="B43" s="188" t="s">
        <v>1</v>
      </c>
      <c r="C43" s="188" t="s">
        <v>35</v>
      </c>
      <c r="D43" s="190" t="s">
        <v>3</v>
      </c>
      <c r="E43" s="190" t="s">
        <v>953</v>
      </c>
      <c r="F43" s="203"/>
      <c r="G43" s="190" t="s">
        <v>985</v>
      </c>
      <c r="H43" s="192" t="s">
        <v>414</v>
      </c>
      <c r="I43" s="194">
        <v>429</v>
      </c>
      <c r="J43" s="194">
        <v>432</v>
      </c>
      <c r="K43" s="194">
        <v>432</v>
      </c>
      <c r="L43" s="193">
        <v>454</v>
      </c>
      <c r="M43" s="193">
        <v>454</v>
      </c>
      <c r="N43" s="195" t="s">
        <v>1</v>
      </c>
      <c r="O43" s="195" t="s">
        <v>1</v>
      </c>
      <c r="P43" s="195" t="s">
        <v>1</v>
      </c>
      <c r="Q43" s="195" t="s">
        <v>1</v>
      </c>
      <c r="R43" s="196" t="s">
        <v>1</v>
      </c>
      <c r="S43" s="197" t="s">
        <v>1</v>
      </c>
      <c r="T43" s="197" t="s">
        <v>1</v>
      </c>
      <c r="U43" s="197" t="s">
        <v>1</v>
      </c>
      <c r="V43" s="197" t="s">
        <v>1</v>
      </c>
      <c r="W43" s="196" t="s">
        <v>1</v>
      </c>
      <c r="X43" s="195" t="s">
        <v>1</v>
      </c>
      <c r="Y43" s="195" t="s">
        <v>1</v>
      </c>
      <c r="Z43" s="195" t="s">
        <v>1</v>
      </c>
      <c r="AA43" s="196" t="s">
        <v>1</v>
      </c>
      <c r="AB43" s="196" t="s">
        <v>1</v>
      </c>
      <c r="AC43" s="197" t="s">
        <v>1</v>
      </c>
      <c r="AD43" s="197" t="s">
        <v>1</v>
      </c>
      <c r="AE43" s="197" t="s">
        <v>1</v>
      </c>
      <c r="AF43" s="198" t="s">
        <v>1</v>
      </c>
      <c r="AG43" s="198" t="s">
        <v>1</v>
      </c>
      <c r="AH43" s="198" t="s">
        <v>1</v>
      </c>
      <c r="AI43" s="209" t="s">
        <v>1</v>
      </c>
      <c r="AJ43" s="209" t="s">
        <v>1</v>
      </c>
      <c r="AK43" s="209" t="s">
        <v>1</v>
      </c>
      <c r="AL43" s="198">
        <v>0</v>
      </c>
      <c r="AM43" s="200" t="s">
        <v>1</v>
      </c>
      <c r="AN43" s="199" t="s">
        <v>1</v>
      </c>
      <c r="AO43" s="199">
        <v>120</v>
      </c>
      <c r="AP43" s="198" t="s">
        <v>1</v>
      </c>
      <c r="AQ43" s="198" t="s">
        <v>1</v>
      </c>
      <c r="AR43" s="201" t="s">
        <v>1</v>
      </c>
      <c r="AS43" s="201" t="s">
        <v>1</v>
      </c>
      <c r="AT43" s="199" t="s">
        <v>1</v>
      </c>
      <c r="AU43" s="199" t="s">
        <v>1</v>
      </c>
      <c r="AV43" s="202" t="s">
        <v>1</v>
      </c>
      <c r="AW43" s="199" t="s">
        <v>1</v>
      </c>
    </row>
    <row r="44" spans="1:49" ht="30.15" customHeight="1" x14ac:dyDescent="0.25">
      <c r="A44" s="188" t="s">
        <v>18</v>
      </c>
      <c r="B44" s="188" t="s">
        <v>1</v>
      </c>
      <c r="C44" s="188" t="s">
        <v>35</v>
      </c>
      <c r="D44" s="190" t="s">
        <v>3</v>
      </c>
      <c r="E44" s="190" t="s">
        <v>955</v>
      </c>
      <c r="F44" s="203"/>
      <c r="G44" s="190" t="s">
        <v>986</v>
      </c>
      <c r="H44" s="192" t="s">
        <v>414</v>
      </c>
      <c r="I44" s="194">
        <v>429</v>
      </c>
      <c r="J44" s="194">
        <v>432</v>
      </c>
      <c r="K44" s="194">
        <v>432</v>
      </c>
      <c r="L44" s="193">
        <v>454</v>
      </c>
      <c r="M44" s="193">
        <v>454</v>
      </c>
      <c r="N44" s="195" t="s">
        <v>1</v>
      </c>
      <c r="O44" s="195" t="s">
        <v>1</v>
      </c>
      <c r="P44" s="195" t="s">
        <v>1</v>
      </c>
      <c r="Q44" s="195" t="s">
        <v>1</v>
      </c>
      <c r="R44" s="196" t="s">
        <v>1</v>
      </c>
      <c r="S44" s="197" t="s">
        <v>1</v>
      </c>
      <c r="T44" s="197" t="s">
        <v>1</v>
      </c>
      <c r="U44" s="197" t="s">
        <v>1</v>
      </c>
      <c r="V44" s="197" t="s">
        <v>1</v>
      </c>
      <c r="W44" s="196" t="s">
        <v>1</v>
      </c>
      <c r="X44" s="195" t="s">
        <v>1</v>
      </c>
      <c r="Y44" s="195" t="s">
        <v>1</v>
      </c>
      <c r="Z44" s="195" t="s">
        <v>1</v>
      </c>
      <c r="AA44" s="196" t="s">
        <v>1</v>
      </c>
      <c r="AB44" s="196" t="s">
        <v>1</v>
      </c>
      <c r="AC44" s="197" t="s">
        <v>1</v>
      </c>
      <c r="AD44" s="197" t="s">
        <v>1</v>
      </c>
      <c r="AE44" s="197" t="s">
        <v>1</v>
      </c>
      <c r="AF44" s="198" t="s">
        <v>1</v>
      </c>
      <c r="AG44" s="198" t="s">
        <v>1</v>
      </c>
      <c r="AH44" s="198" t="s">
        <v>1</v>
      </c>
      <c r="AI44" s="209" t="s">
        <v>1</v>
      </c>
      <c r="AJ44" s="209" t="s">
        <v>1</v>
      </c>
      <c r="AK44" s="209" t="s">
        <v>1</v>
      </c>
      <c r="AL44" s="198">
        <v>0</v>
      </c>
      <c r="AM44" s="200" t="s">
        <v>1</v>
      </c>
      <c r="AN44" s="199" t="s">
        <v>1</v>
      </c>
      <c r="AO44" s="199">
        <v>120</v>
      </c>
      <c r="AP44" s="198" t="s">
        <v>1</v>
      </c>
      <c r="AQ44" s="198" t="s">
        <v>1</v>
      </c>
      <c r="AR44" s="201" t="s">
        <v>1</v>
      </c>
      <c r="AS44" s="201" t="s">
        <v>1</v>
      </c>
      <c r="AT44" s="199" t="s">
        <v>1</v>
      </c>
      <c r="AU44" s="199" t="s">
        <v>1</v>
      </c>
      <c r="AV44" s="202" t="s">
        <v>1</v>
      </c>
      <c r="AW44" s="199" t="s">
        <v>1</v>
      </c>
    </row>
    <row r="45" spans="1:49" ht="30.15" customHeight="1" x14ac:dyDescent="0.25">
      <c r="A45" s="188" t="s">
        <v>18</v>
      </c>
      <c r="B45" s="188" t="s">
        <v>1</v>
      </c>
      <c r="C45" s="188" t="s">
        <v>35</v>
      </c>
      <c r="D45" s="190" t="s">
        <v>3</v>
      </c>
      <c r="E45" s="190" t="s">
        <v>956</v>
      </c>
      <c r="F45" s="203"/>
      <c r="G45" s="190" t="s">
        <v>987</v>
      </c>
      <c r="H45" s="192" t="s">
        <v>414</v>
      </c>
      <c r="I45" s="194">
        <v>429</v>
      </c>
      <c r="J45" s="194">
        <v>432</v>
      </c>
      <c r="K45" s="194">
        <v>432</v>
      </c>
      <c r="L45" s="193">
        <v>454</v>
      </c>
      <c r="M45" s="193">
        <v>454</v>
      </c>
      <c r="N45" s="195" t="s">
        <v>1</v>
      </c>
      <c r="O45" s="195" t="s">
        <v>1</v>
      </c>
      <c r="P45" s="195" t="s">
        <v>1</v>
      </c>
      <c r="Q45" s="195" t="s">
        <v>1</v>
      </c>
      <c r="R45" s="196" t="s">
        <v>1</v>
      </c>
      <c r="S45" s="197" t="s">
        <v>1</v>
      </c>
      <c r="T45" s="197" t="s">
        <v>1</v>
      </c>
      <c r="U45" s="197" t="s">
        <v>1</v>
      </c>
      <c r="V45" s="197" t="s">
        <v>1</v>
      </c>
      <c r="W45" s="196" t="s">
        <v>1</v>
      </c>
      <c r="X45" s="195" t="s">
        <v>1</v>
      </c>
      <c r="Y45" s="195" t="s">
        <v>1</v>
      </c>
      <c r="Z45" s="195" t="s">
        <v>1</v>
      </c>
      <c r="AA45" s="196" t="s">
        <v>1</v>
      </c>
      <c r="AB45" s="196" t="s">
        <v>1</v>
      </c>
      <c r="AC45" s="197" t="s">
        <v>1</v>
      </c>
      <c r="AD45" s="197" t="s">
        <v>1</v>
      </c>
      <c r="AE45" s="197" t="s">
        <v>1</v>
      </c>
      <c r="AF45" s="198" t="s">
        <v>1</v>
      </c>
      <c r="AG45" s="198" t="s">
        <v>1</v>
      </c>
      <c r="AH45" s="198" t="s">
        <v>1</v>
      </c>
      <c r="AI45" s="209" t="s">
        <v>1</v>
      </c>
      <c r="AJ45" s="209" t="s">
        <v>1</v>
      </c>
      <c r="AK45" s="209" t="s">
        <v>1</v>
      </c>
      <c r="AL45" s="198">
        <v>0</v>
      </c>
      <c r="AM45" s="200" t="s">
        <v>1</v>
      </c>
      <c r="AN45" s="199" t="s">
        <v>1</v>
      </c>
      <c r="AO45" s="199">
        <v>120</v>
      </c>
      <c r="AP45" s="198" t="s">
        <v>1</v>
      </c>
      <c r="AQ45" s="198" t="s">
        <v>1</v>
      </c>
      <c r="AR45" s="201" t="s">
        <v>1</v>
      </c>
      <c r="AS45" s="201" t="s">
        <v>1</v>
      </c>
      <c r="AT45" s="199" t="s">
        <v>1</v>
      </c>
      <c r="AU45" s="199" t="s">
        <v>1</v>
      </c>
      <c r="AV45" s="202" t="s">
        <v>1</v>
      </c>
      <c r="AW45" s="199" t="s">
        <v>1</v>
      </c>
    </row>
    <row r="46" spans="1:49" ht="30.15" customHeight="1" x14ac:dyDescent="0.25">
      <c r="A46" s="188" t="s">
        <v>18</v>
      </c>
      <c r="B46" s="188" t="s">
        <v>1</v>
      </c>
      <c r="C46" s="188" t="s">
        <v>35</v>
      </c>
      <c r="D46" s="190" t="s">
        <v>3</v>
      </c>
      <c r="E46" s="190" t="s">
        <v>957</v>
      </c>
      <c r="F46" s="203"/>
      <c r="G46" s="190" t="s">
        <v>988</v>
      </c>
      <c r="H46" s="192" t="s">
        <v>414</v>
      </c>
      <c r="I46" s="194">
        <v>429</v>
      </c>
      <c r="J46" s="194">
        <v>432</v>
      </c>
      <c r="K46" s="194">
        <v>432</v>
      </c>
      <c r="L46" s="193">
        <v>454</v>
      </c>
      <c r="M46" s="193">
        <v>454</v>
      </c>
      <c r="N46" s="195" t="s">
        <v>1</v>
      </c>
      <c r="O46" s="195" t="s">
        <v>1</v>
      </c>
      <c r="P46" s="195" t="s">
        <v>1</v>
      </c>
      <c r="Q46" s="195" t="s">
        <v>1</v>
      </c>
      <c r="R46" s="196" t="s">
        <v>1</v>
      </c>
      <c r="S46" s="197" t="s">
        <v>1</v>
      </c>
      <c r="T46" s="197" t="s">
        <v>1</v>
      </c>
      <c r="U46" s="197" t="s">
        <v>1</v>
      </c>
      <c r="V46" s="197" t="s">
        <v>1</v>
      </c>
      <c r="W46" s="196" t="s">
        <v>1</v>
      </c>
      <c r="X46" s="195" t="s">
        <v>1</v>
      </c>
      <c r="Y46" s="195" t="s">
        <v>1</v>
      </c>
      <c r="Z46" s="195" t="s">
        <v>1</v>
      </c>
      <c r="AA46" s="196" t="s">
        <v>1</v>
      </c>
      <c r="AB46" s="196" t="s">
        <v>1</v>
      </c>
      <c r="AC46" s="197" t="s">
        <v>1</v>
      </c>
      <c r="AD46" s="197" t="s">
        <v>1</v>
      </c>
      <c r="AE46" s="197" t="s">
        <v>1</v>
      </c>
      <c r="AF46" s="198" t="s">
        <v>1</v>
      </c>
      <c r="AG46" s="198" t="s">
        <v>1</v>
      </c>
      <c r="AH46" s="198" t="s">
        <v>1</v>
      </c>
      <c r="AI46" s="209" t="s">
        <v>1</v>
      </c>
      <c r="AJ46" s="209" t="s">
        <v>1</v>
      </c>
      <c r="AK46" s="209" t="s">
        <v>1</v>
      </c>
      <c r="AL46" s="198">
        <v>0</v>
      </c>
      <c r="AM46" s="200" t="s">
        <v>1</v>
      </c>
      <c r="AN46" s="199" t="s">
        <v>1</v>
      </c>
      <c r="AO46" s="199">
        <v>120</v>
      </c>
      <c r="AP46" s="198" t="s">
        <v>1</v>
      </c>
      <c r="AQ46" s="198" t="s">
        <v>1</v>
      </c>
      <c r="AR46" s="201" t="s">
        <v>1</v>
      </c>
      <c r="AS46" s="201" t="s">
        <v>1</v>
      </c>
      <c r="AT46" s="199" t="s">
        <v>1</v>
      </c>
      <c r="AU46" s="199" t="s">
        <v>1</v>
      </c>
      <c r="AV46" s="202" t="s">
        <v>1</v>
      </c>
      <c r="AW46" s="199" t="s">
        <v>1</v>
      </c>
    </row>
    <row r="47" spans="1:49" ht="30.15" customHeight="1" x14ac:dyDescent="0.25">
      <c r="A47" s="188" t="s">
        <v>18</v>
      </c>
      <c r="B47" s="188" t="s">
        <v>1</v>
      </c>
      <c r="C47" s="188" t="s">
        <v>35</v>
      </c>
      <c r="D47" s="190" t="s">
        <v>3</v>
      </c>
      <c r="E47" s="190" t="s">
        <v>954</v>
      </c>
      <c r="F47" s="203"/>
      <c r="G47" s="190" t="s">
        <v>989</v>
      </c>
      <c r="H47" s="192" t="s">
        <v>414</v>
      </c>
      <c r="I47" s="194">
        <v>469</v>
      </c>
      <c r="J47" s="194">
        <v>475</v>
      </c>
      <c r="K47" s="194">
        <v>475</v>
      </c>
      <c r="L47" s="193">
        <v>497</v>
      </c>
      <c r="M47" s="193">
        <v>497</v>
      </c>
      <c r="N47" s="195" t="s">
        <v>1</v>
      </c>
      <c r="O47" s="195" t="s">
        <v>1</v>
      </c>
      <c r="P47" s="195" t="s">
        <v>1</v>
      </c>
      <c r="Q47" s="195" t="s">
        <v>1</v>
      </c>
      <c r="R47" s="196" t="s">
        <v>1</v>
      </c>
      <c r="S47" s="197" t="s">
        <v>1</v>
      </c>
      <c r="T47" s="197" t="s">
        <v>1</v>
      </c>
      <c r="U47" s="197" t="s">
        <v>1</v>
      </c>
      <c r="V47" s="197" t="s">
        <v>1</v>
      </c>
      <c r="W47" s="196" t="s">
        <v>1</v>
      </c>
      <c r="X47" s="195" t="s">
        <v>1</v>
      </c>
      <c r="Y47" s="195" t="s">
        <v>1</v>
      </c>
      <c r="Z47" s="195" t="s">
        <v>1</v>
      </c>
      <c r="AA47" s="196" t="s">
        <v>1</v>
      </c>
      <c r="AB47" s="196" t="s">
        <v>1</v>
      </c>
      <c r="AC47" s="197" t="s">
        <v>1</v>
      </c>
      <c r="AD47" s="197" t="s">
        <v>1</v>
      </c>
      <c r="AE47" s="197" t="s">
        <v>1</v>
      </c>
      <c r="AF47" s="198" t="s">
        <v>1</v>
      </c>
      <c r="AG47" s="198" t="s">
        <v>1</v>
      </c>
      <c r="AH47" s="198" t="s">
        <v>1</v>
      </c>
      <c r="AI47" s="209" t="s">
        <v>1</v>
      </c>
      <c r="AJ47" s="209" t="s">
        <v>1</v>
      </c>
      <c r="AK47" s="209" t="s">
        <v>1</v>
      </c>
      <c r="AL47" s="198">
        <v>0</v>
      </c>
      <c r="AM47" s="200" t="s">
        <v>1</v>
      </c>
      <c r="AN47" s="199" t="s">
        <v>1</v>
      </c>
      <c r="AO47" s="199" t="s">
        <v>1252</v>
      </c>
      <c r="AP47" s="198" t="s">
        <v>1</v>
      </c>
      <c r="AQ47" s="198" t="s">
        <v>1</v>
      </c>
      <c r="AR47" s="201" t="s">
        <v>1</v>
      </c>
      <c r="AS47" s="201" t="s">
        <v>1</v>
      </c>
      <c r="AT47" s="199" t="s">
        <v>1</v>
      </c>
      <c r="AU47" s="199" t="s">
        <v>1</v>
      </c>
      <c r="AV47" s="202" t="s">
        <v>1</v>
      </c>
      <c r="AW47" s="199" t="s">
        <v>1</v>
      </c>
    </row>
    <row r="48" spans="1:49" ht="30.15" customHeight="1" x14ac:dyDescent="0.25">
      <c r="A48" s="188" t="s">
        <v>18</v>
      </c>
      <c r="B48" s="188" t="s">
        <v>1</v>
      </c>
      <c r="C48" s="188" t="s">
        <v>35</v>
      </c>
      <c r="D48" s="190" t="s">
        <v>3</v>
      </c>
      <c r="E48" s="190" t="s">
        <v>958</v>
      </c>
      <c r="F48" s="203"/>
      <c r="G48" s="190" t="s">
        <v>990</v>
      </c>
      <c r="H48" s="192" t="s">
        <v>414</v>
      </c>
      <c r="I48" s="194">
        <v>469</v>
      </c>
      <c r="J48" s="194">
        <v>475</v>
      </c>
      <c r="K48" s="194">
        <v>475</v>
      </c>
      <c r="L48" s="193">
        <v>497</v>
      </c>
      <c r="M48" s="193">
        <v>497</v>
      </c>
      <c r="N48" s="195" t="s">
        <v>1</v>
      </c>
      <c r="O48" s="195" t="s">
        <v>1</v>
      </c>
      <c r="P48" s="195" t="s">
        <v>1</v>
      </c>
      <c r="Q48" s="195" t="s">
        <v>1</v>
      </c>
      <c r="R48" s="196" t="s">
        <v>1</v>
      </c>
      <c r="S48" s="197" t="s">
        <v>1</v>
      </c>
      <c r="T48" s="197" t="s">
        <v>1</v>
      </c>
      <c r="U48" s="197" t="s">
        <v>1</v>
      </c>
      <c r="V48" s="197" t="s">
        <v>1</v>
      </c>
      <c r="W48" s="196" t="s">
        <v>1</v>
      </c>
      <c r="X48" s="195" t="s">
        <v>1</v>
      </c>
      <c r="Y48" s="195" t="s">
        <v>1</v>
      </c>
      <c r="Z48" s="195" t="s">
        <v>1</v>
      </c>
      <c r="AA48" s="196" t="s">
        <v>1</v>
      </c>
      <c r="AB48" s="196" t="s">
        <v>1</v>
      </c>
      <c r="AC48" s="197" t="s">
        <v>1</v>
      </c>
      <c r="AD48" s="197" t="s">
        <v>1</v>
      </c>
      <c r="AE48" s="197" t="s">
        <v>1</v>
      </c>
      <c r="AF48" s="198" t="s">
        <v>1</v>
      </c>
      <c r="AG48" s="198" t="s">
        <v>1</v>
      </c>
      <c r="AH48" s="198" t="s">
        <v>1</v>
      </c>
      <c r="AI48" s="209" t="s">
        <v>1</v>
      </c>
      <c r="AJ48" s="209" t="s">
        <v>1</v>
      </c>
      <c r="AK48" s="209" t="s">
        <v>1</v>
      </c>
      <c r="AL48" s="198">
        <v>0</v>
      </c>
      <c r="AM48" s="200" t="s">
        <v>1</v>
      </c>
      <c r="AN48" s="199" t="s">
        <v>1</v>
      </c>
      <c r="AO48" s="199" t="s">
        <v>1252</v>
      </c>
      <c r="AP48" s="198" t="s">
        <v>1</v>
      </c>
      <c r="AQ48" s="198" t="s">
        <v>1</v>
      </c>
      <c r="AR48" s="201" t="s">
        <v>1</v>
      </c>
      <c r="AS48" s="201" t="s">
        <v>1</v>
      </c>
      <c r="AT48" s="199" t="s">
        <v>1</v>
      </c>
      <c r="AU48" s="199" t="s">
        <v>1</v>
      </c>
      <c r="AV48" s="202" t="s">
        <v>1</v>
      </c>
      <c r="AW48" s="199" t="s">
        <v>1</v>
      </c>
    </row>
    <row r="49" spans="1:49" ht="30.15" customHeight="1" x14ac:dyDescent="0.25">
      <c r="A49" s="188" t="s">
        <v>18</v>
      </c>
      <c r="B49" s="188" t="s">
        <v>1</v>
      </c>
      <c r="C49" s="188" t="s">
        <v>35</v>
      </c>
      <c r="D49" s="190" t="s">
        <v>3</v>
      </c>
      <c r="E49" s="190" t="s">
        <v>959</v>
      </c>
      <c r="F49" s="203"/>
      <c r="G49" s="190" t="s">
        <v>991</v>
      </c>
      <c r="H49" s="192" t="s">
        <v>414</v>
      </c>
      <c r="I49" s="194">
        <v>469</v>
      </c>
      <c r="J49" s="194">
        <v>475</v>
      </c>
      <c r="K49" s="194">
        <v>475</v>
      </c>
      <c r="L49" s="193">
        <v>497</v>
      </c>
      <c r="M49" s="193">
        <v>497</v>
      </c>
      <c r="N49" s="195" t="s">
        <v>1</v>
      </c>
      <c r="O49" s="195" t="s">
        <v>1</v>
      </c>
      <c r="P49" s="195" t="s">
        <v>1</v>
      </c>
      <c r="Q49" s="195" t="s">
        <v>1</v>
      </c>
      <c r="R49" s="196" t="s">
        <v>1</v>
      </c>
      <c r="S49" s="197" t="s">
        <v>1</v>
      </c>
      <c r="T49" s="197" t="s">
        <v>1</v>
      </c>
      <c r="U49" s="197" t="s">
        <v>1</v>
      </c>
      <c r="V49" s="197" t="s">
        <v>1</v>
      </c>
      <c r="W49" s="196" t="s">
        <v>1</v>
      </c>
      <c r="X49" s="195" t="s">
        <v>1</v>
      </c>
      <c r="Y49" s="195" t="s">
        <v>1</v>
      </c>
      <c r="Z49" s="195" t="s">
        <v>1</v>
      </c>
      <c r="AA49" s="196" t="s">
        <v>1</v>
      </c>
      <c r="AB49" s="196" t="s">
        <v>1</v>
      </c>
      <c r="AC49" s="197" t="s">
        <v>1</v>
      </c>
      <c r="AD49" s="197" t="s">
        <v>1</v>
      </c>
      <c r="AE49" s="197" t="s">
        <v>1</v>
      </c>
      <c r="AF49" s="198" t="s">
        <v>1</v>
      </c>
      <c r="AG49" s="198" t="s">
        <v>1</v>
      </c>
      <c r="AH49" s="198" t="s">
        <v>1</v>
      </c>
      <c r="AI49" s="209" t="s">
        <v>1</v>
      </c>
      <c r="AJ49" s="209" t="s">
        <v>1</v>
      </c>
      <c r="AK49" s="209" t="s">
        <v>1</v>
      </c>
      <c r="AL49" s="198">
        <v>0</v>
      </c>
      <c r="AM49" s="200" t="s">
        <v>1</v>
      </c>
      <c r="AN49" s="199" t="s">
        <v>1</v>
      </c>
      <c r="AO49" s="199" t="s">
        <v>1252</v>
      </c>
      <c r="AP49" s="198" t="s">
        <v>1</v>
      </c>
      <c r="AQ49" s="198" t="s">
        <v>1</v>
      </c>
      <c r="AR49" s="201" t="s">
        <v>1</v>
      </c>
      <c r="AS49" s="201" t="s">
        <v>1</v>
      </c>
      <c r="AT49" s="199" t="s">
        <v>1</v>
      </c>
      <c r="AU49" s="199" t="s">
        <v>1</v>
      </c>
      <c r="AV49" s="202" t="s">
        <v>1</v>
      </c>
      <c r="AW49" s="199" t="s">
        <v>1</v>
      </c>
    </row>
    <row r="50" spans="1:49" ht="30.15" customHeight="1" x14ac:dyDescent="0.25">
      <c r="A50" s="188" t="s">
        <v>18</v>
      </c>
      <c r="B50" s="188" t="s">
        <v>1</v>
      </c>
      <c r="C50" s="188" t="s">
        <v>35</v>
      </c>
      <c r="D50" s="190" t="s">
        <v>3</v>
      </c>
      <c r="E50" s="190" t="s">
        <v>960</v>
      </c>
      <c r="F50" s="203"/>
      <c r="G50" s="190" t="s">
        <v>992</v>
      </c>
      <c r="H50" s="192" t="s">
        <v>414</v>
      </c>
      <c r="I50" s="194">
        <v>469</v>
      </c>
      <c r="J50" s="194">
        <v>475</v>
      </c>
      <c r="K50" s="194">
        <v>475</v>
      </c>
      <c r="L50" s="193">
        <v>497</v>
      </c>
      <c r="M50" s="193">
        <v>497</v>
      </c>
      <c r="N50" s="195" t="s">
        <v>1</v>
      </c>
      <c r="O50" s="195" t="s">
        <v>1</v>
      </c>
      <c r="P50" s="195" t="s">
        <v>1</v>
      </c>
      <c r="Q50" s="195" t="s">
        <v>1</v>
      </c>
      <c r="R50" s="196" t="s">
        <v>1</v>
      </c>
      <c r="S50" s="197" t="s">
        <v>1</v>
      </c>
      <c r="T50" s="197" t="s">
        <v>1</v>
      </c>
      <c r="U50" s="197" t="s">
        <v>1</v>
      </c>
      <c r="V50" s="197" t="s">
        <v>1</v>
      </c>
      <c r="W50" s="196" t="s">
        <v>1</v>
      </c>
      <c r="X50" s="195" t="s">
        <v>1</v>
      </c>
      <c r="Y50" s="195" t="s">
        <v>1</v>
      </c>
      <c r="Z50" s="195" t="s">
        <v>1</v>
      </c>
      <c r="AA50" s="196" t="s">
        <v>1</v>
      </c>
      <c r="AB50" s="196" t="s">
        <v>1</v>
      </c>
      <c r="AC50" s="197" t="s">
        <v>1</v>
      </c>
      <c r="AD50" s="197" t="s">
        <v>1</v>
      </c>
      <c r="AE50" s="197" t="s">
        <v>1</v>
      </c>
      <c r="AF50" s="198" t="s">
        <v>1</v>
      </c>
      <c r="AG50" s="198" t="s">
        <v>1</v>
      </c>
      <c r="AH50" s="198" t="s">
        <v>1</v>
      </c>
      <c r="AI50" s="209" t="s">
        <v>1</v>
      </c>
      <c r="AJ50" s="209" t="s">
        <v>1</v>
      </c>
      <c r="AK50" s="209" t="s">
        <v>1</v>
      </c>
      <c r="AL50" s="198">
        <v>0</v>
      </c>
      <c r="AM50" s="200" t="s">
        <v>1</v>
      </c>
      <c r="AN50" s="199" t="s">
        <v>1</v>
      </c>
      <c r="AO50" s="199" t="s">
        <v>1252</v>
      </c>
      <c r="AP50" s="198" t="s">
        <v>1</v>
      </c>
      <c r="AQ50" s="198" t="s">
        <v>1</v>
      </c>
      <c r="AR50" s="201" t="s">
        <v>1</v>
      </c>
      <c r="AS50" s="201" t="s">
        <v>1</v>
      </c>
      <c r="AT50" s="199" t="s">
        <v>1</v>
      </c>
      <c r="AU50" s="199" t="s">
        <v>1</v>
      </c>
      <c r="AV50" s="202" t="s">
        <v>1</v>
      </c>
      <c r="AW50" s="199" t="s">
        <v>1</v>
      </c>
    </row>
    <row r="51" spans="1:49" ht="30.15" customHeight="1" x14ac:dyDescent="0.25">
      <c r="A51" s="188" t="s">
        <v>18</v>
      </c>
      <c r="B51" s="188" t="s">
        <v>1</v>
      </c>
      <c r="C51" s="188" t="s">
        <v>35</v>
      </c>
      <c r="D51" s="190" t="s">
        <v>3</v>
      </c>
      <c r="E51" s="190" t="s">
        <v>961</v>
      </c>
      <c r="F51" s="203"/>
      <c r="G51" s="190" t="s">
        <v>993</v>
      </c>
      <c r="H51" s="192" t="s">
        <v>414</v>
      </c>
      <c r="I51" s="194">
        <v>469</v>
      </c>
      <c r="J51" s="194">
        <v>475</v>
      </c>
      <c r="K51" s="194">
        <v>475</v>
      </c>
      <c r="L51" s="193">
        <v>497</v>
      </c>
      <c r="M51" s="193">
        <v>497</v>
      </c>
      <c r="N51" s="195" t="s">
        <v>1</v>
      </c>
      <c r="O51" s="195" t="s">
        <v>1</v>
      </c>
      <c r="P51" s="195" t="s">
        <v>1</v>
      </c>
      <c r="Q51" s="195" t="s">
        <v>1</v>
      </c>
      <c r="R51" s="196" t="s">
        <v>1</v>
      </c>
      <c r="S51" s="197" t="s">
        <v>1</v>
      </c>
      <c r="T51" s="197" t="s">
        <v>1</v>
      </c>
      <c r="U51" s="197" t="s">
        <v>1</v>
      </c>
      <c r="V51" s="197" t="s">
        <v>1</v>
      </c>
      <c r="W51" s="196" t="s">
        <v>1</v>
      </c>
      <c r="X51" s="195" t="s">
        <v>1</v>
      </c>
      <c r="Y51" s="195" t="s">
        <v>1</v>
      </c>
      <c r="Z51" s="195" t="s">
        <v>1</v>
      </c>
      <c r="AA51" s="196" t="s">
        <v>1</v>
      </c>
      <c r="AB51" s="196" t="s">
        <v>1</v>
      </c>
      <c r="AC51" s="197" t="s">
        <v>1</v>
      </c>
      <c r="AD51" s="197" t="s">
        <v>1</v>
      </c>
      <c r="AE51" s="197" t="s">
        <v>1</v>
      </c>
      <c r="AF51" s="198" t="s">
        <v>1</v>
      </c>
      <c r="AG51" s="198" t="s">
        <v>1</v>
      </c>
      <c r="AH51" s="198" t="s">
        <v>1</v>
      </c>
      <c r="AI51" s="209" t="s">
        <v>1</v>
      </c>
      <c r="AJ51" s="209" t="s">
        <v>1</v>
      </c>
      <c r="AK51" s="209" t="s">
        <v>1</v>
      </c>
      <c r="AL51" s="198">
        <v>0</v>
      </c>
      <c r="AM51" s="200" t="s">
        <v>1</v>
      </c>
      <c r="AN51" s="199" t="s">
        <v>1</v>
      </c>
      <c r="AO51" s="199" t="s">
        <v>1252</v>
      </c>
      <c r="AP51" s="198" t="s">
        <v>1</v>
      </c>
      <c r="AQ51" s="198" t="s">
        <v>1</v>
      </c>
      <c r="AR51" s="201" t="s">
        <v>1</v>
      </c>
      <c r="AS51" s="201" t="s">
        <v>1</v>
      </c>
      <c r="AT51" s="199" t="s">
        <v>1</v>
      </c>
      <c r="AU51" s="199" t="s">
        <v>1</v>
      </c>
      <c r="AV51" s="202" t="s">
        <v>1</v>
      </c>
      <c r="AW51" s="199" t="s">
        <v>1</v>
      </c>
    </row>
    <row r="52" spans="1:49" ht="30.15" customHeight="1" x14ac:dyDescent="0.25">
      <c r="A52" s="188" t="s">
        <v>18</v>
      </c>
      <c r="B52" s="188" t="s">
        <v>1</v>
      </c>
      <c r="C52" s="188" t="s">
        <v>35</v>
      </c>
      <c r="D52" s="190" t="s">
        <v>3</v>
      </c>
      <c r="E52" s="190" t="s">
        <v>962</v>
      </c>
      <c r="F52" s="203"/>
      <c r="G52" s="190" t="s">
        <v>994</v>
      </c>
      <c r="H52" s="192" t="s">
        <v>414</v>
      </c>
      <c r="I52" s="194">
        <v>469</v>
      </c>
      <c r="J52" s="194">
        <v>475</v>
      </c>
      <c r="K52" s="194">
        <v>475</v>
      </c>
      <c r="L52" s="193">
        <v>497</v>
      </c>
      <c r="M52" s="193">
        <v>497</v>
      </c>
      <c r="N52" s="195" t="s">
        <v>1</v>
      </c>
      <c r="O52" s="195" t="s">
        <v>1</v>
      </c>
      <c r="P52" s="195" t="s">
        <v>1</v>
      </c>
      <c r="Q52" s="195" t="s">
        <v>1</v>
      </c>
      <c r="R52" s="196" t="s">
        <v>1</v>
      </c>
      <c r="S52" s="197" t="s">
        <v>1</v>
      </c>
      <c r="T52" s="197" t="s">
        <v>1</v>
      </c>
      <c r="U52" s="197" t="s">
        <v>1</v>
      </c>
      <c r="V52" s="197" t="s">
        <v>1</v>
      </c>
      <c r="W52" s="196" t="s">
        <v>1</v>
      </c>
      <c r="X52" s="195" t="s">
        <v>1</v>
      </c>
      <c r="Y52" s="195" t="s">
        <v>1</v>
      </c>
      <c r="Z52" s="195" t="s">
        <v>1</v>
      </c>
      <c r="AA52" s="196" t="s">
        <v>1</v>
      </c>
      <c r="AB52" s="196" t="s">
        <v>1</v>
      </c>
      <c r="AC52" s="197" t="s">
        <v>1</v>
      </c>
      <c r="AD52" s="197" t="s">
        <v>1</v>
      </c>
      <c r="AE52" s="197" t="s">
        <v>1</v>
      </c>
      <c r="AF52" s="198" t="s">
        <v>1</v>
      </c>
      <c r="AG52" s="198" t="s">
        <v>1</v>
      </c>
      <c r="AH52" s="198" t="s">
        <v>1</v>
      </c>
      <c r="AI52" s="209" t="s">
        <v>1</v>
      </c>
      <c r="AJ52" s="209" t="s">
        <v>1</v>
      </c>
      <c r="AK52" s="209" t="s">
        <v>1</v>
      </c>
      <c r="AL52" s="198">
        <v>0</v>
      </c>
      <c r="AM52" s="200" t="s">
        <v>1</v>
      </c>
      <c r="AN52" s="199" t="s">
        <v>1</v>
      </c>
      <c r="AO52" s="199" t="s">
        <v>1252</v>
      </c>
      <c r="AP52" s="198" t="s">
        <v>1</v>
      </c>
      <c r="AQ52" s="198" t="s">
        <v>1</v>
      </c>
      <c r="AR52" s="201" t="s">
        <v>1</v>
      </c>
      <c r="AS52" s="201" t="s">
        <v>1</v>
      </c>
      <c r="AT52" s="199" t="s">
        <v>1</v>
      </c>
      <c r="AU52" s="199" t="s">
        <v>1</v>
      </c>
      <c r="AV52" s="202" t="s">
        <v>1</v>
      </c>
      <c r="AW52" s="199" t="s">
        <v>1</v>
      </c>
    </row>
    <row r="53" spans="1:49" ht="30.15" customHeight="1" x14ac:dyDescent="0.25">
      <c r="A53" s="188" t="s">
        <v>18</v>
      </c>
      <c r="B53" s="188" t="s">
        <v>1</v>
      </c>
      <c r="C53" s="188" t="s">
        <v>35</v>
      </c>
      <c r="D53" s="190" t="s">
        <v>3</v>
      </c>
      <c r="E53" s="190" t="s">
        <v>963</v>
      </c>
      <c r="F53" s="203"/>
      <c r="G53" s="190" t="s">
        <v>995</v>
      </c>
      <c r="H53" s="192" t="s">
        <v>414</v>
      </c>
      <c r="I53" s="194">
        <v>429</v>
      </c>
      <c r="J53" s="194">
        <v>432</v>
      </c>
      <c r="K53" s="194">
        <v>432</v>
      </c>
      <c r="L53" s="193">
        <v>454</v>
      </c>
      <c r="M53" s="193">
        <v>454</v>
      </c>
      <c r="N53" s="195" t="s">
        <v>1</v>
      </c>
      <c r="O53" s="195" t="s">
        <v>1</v>
      </c>
      <c r="P53" s="195" t="s">
        <v>1</v>
      </c>
      <c r="Q53" s="195" t="s">
        <v>1</v>
      </c>
      <c r="R53" s="196" t="s">
        <v>1</v>
      </c>
      <c r="S53" s="197" t="s">
        <v>1</v>
      </c>
      <c r="T53" s="197" t="s">
        <v>1</v>
      </c>
      <c r="U53" s="197" t="s">
        <v>1</v>
      </c>
      <c r="V53" s="197" t="s">
        <v>1</v>
      </c>
      <c r="W53" s="196" t="s">
        <v>1</v>
      </c>
      <c r="X53" s="195" t="s">
        <v>1</v>
      </c>
      <c r="Y53" s="195" t="s">
        <v>1</v>
      </c>
      <c r="Z53" s="195" t="s">
        <v>1</v>
      </c>
      <c r="AA53" s="196" t="s">
        <v>1</v>
      </c>
      <c r="AB53" s="196" t="s">
        <v>1</v>
      </c>
      <c r="AC53" s="197" t="s">
        <v>1</v>
      </c>
      <c r="AD53" s="197" t="s">
        <v>1</v>
      </c>
      <c r="AE53" s="197" t="s">
        <v>1</v>
      </c>
      <c r="AF53" s="198" t="s">
        <v>1</v>
      </c>
      <c r="AG53" s="198" t="s">
        <v>1</v>
      </c>
      <c r="AH53" s="198" t="s">
        <v>1</v>
      </c>
      <c r="AI53" s="209" t="s">
        <v>1</v>
      </c>
      <c r="AJ53" s="209" t="s">
        <v>1</v>
      </c>
      <c r="AK53" s="209" t="s">
        <v>1</v>
      </c>
      <c r="AL53" s="198">
        <v>0</v>
      </c>
      <c r="AM53" s="200" t="s">
        <v>1</v>
      </c>
      <c r="AN53" s="199" t="s">
        <v>1</v>
      </c>
      <c r="AO53" s="199">
        <v>120</v>
      </c>
      <c r="AP53" s="198" t="s">
        <v>1</v>
      </c>
      <c r="AQ53" s="198" t="s">
        <v>1</v>
      </c>
      <c r="AR53" s="201" t="s">
        <v>1</v>
      </c>
      <c r="AS53" s="201" t="s">
        <v>1</v>
      </c>
      <c r="AT53" s="199" t="s">
        <v>1</v>
      </c>
      <c r="AU53" s="199" t="s">
        <v>1</v>
      </c>
      <c r="AV53" s="202" t="s">
        <v>1</v>
      </c>
      <c r="AW53" s="199" t="s">
        <v>1</v>
      </c>
    </row>
    <row r="54" spans="1:49" ht="30.15" customHeight="1" x14ac:dyDescent="0.25">
      <c r="A54" s="188" t="s">
        <v>18</v>
      </c>
      <c r="B54" s="188" t="s">
        <v>1</v>
      </c>
      <c r="C54" s="188" t="s">
        <v>35</v>
      </c>
      <c r="D54" s="190" t="s">
        <v>3</v>
      </c>
      <c r="E54" s="190" t="s">
        <v>964</v>
      </c>
      <c r="F54" s="203"/>
      <c r="G54" s="190" t="s">
        <v>996</v>
      </c>
      <c r="H54" s="192" t="s">
        <v>414</v>
      </c>
      <c r="I54" s="194">
        <v>429</v>
      </c>
      <c r="J54" s="194">
        <v>432</v>
      </c>
      <c r="K54" s="194">
        <v>432</v>
      </c>
      <c r="L54" s="193">
        <v>454</v>
      </c>
      <c r="M54" s="193">
        <v>454</v>
      </c>
      <c r="N54" s="195" t="s">
        <v>1</v>
      </c>
      <c r="O54" s="195" t="s">
        <v>1</v>
      </c>
      <c r="P54" s="195" t="s">
        <v>1</v>
      </c>
      <c r="Q54" s="195" t="s">
        <v>1</v>
      </c>
      <c r="R54" s="196" t="s">
        <v>1</v>
      </c>
      <c r="S54" s="197" t="s">
        <v>1</v>
      </c>
      <c r="T54" s="197" t="s">
        <v>1</v>
      </c>
      <c r="U54" s="197" t="s">
        <v>1</v>
      </c>
      <c r="V54" s="197" t="s">
        <v>1</v>
      </c>
      <c r="W54" s="196" t="s">
        <v>1</v>
      </c>
      <c r="X54" s="195" t="s">
        <v>1</v>
      </c>
      <c r="Y54" s="195" t="s">
        <v>1</v>
      </c>
      <c r="Z54" s="195" t="s">
        <v>1</v>
      </c>
      <c r="AA54" s="196" t="s">
        <v>1</v>
      </c>
      <c r="AB54" s="196" t="s">
        <v>1</v>
      </c>
      <c r="AC54" s="197" t="s">
        <v>1</v>
      </c>
      <c r="AD54" s="197" t="s">
        <v>1</v>
      </c>
      <c r="AE54" s="197" t="s">
        <v>1</v>
      </c>
      <c r="AF54" s="198" t="s">
        <v>1</v>
      </c>
      <c r="AG54" s="198" t="s">
        <v>1</v>
      </c>
      <c r="AH54" s="198" t="s">
        <v>1</v>
      </c>
      <c r="AI54" s="209" t="s">
        <v>1</v>
      </c>
      <c r="AJ54" s="209" t="s">
        <v>1</v>
      </c>
      <c r="AK54" s="209" t="s">
        <v>1</v>
      </c>
      <c r="AL54" s="198">
        <v>0</v>
      </c>
      <c r="AM54" s="200" t="s">
        <v>1</v>
      </c>
      <c r="AN54" s="199" t="s">
        <v>1</v>
      </c>
      <c r="AO54" s="199">
        <v>120</v>
      </c>
      <c r="AP54" s="198" t="s">
        <v>1</v>
      </c>
      <c r="AQ54" s="198" t="s">
        <v>1</v>
      </c>
      <c r="AR54" s="201" t="s">
        <v>1</v>
      </c>
      <c r="AS54" s="201" t="s">
        <v>1</v>
      </c>
      <c r="AT54" s="199" t="s">
        <v>1</v>
      </c>
      <c r="AU54" s="199" t="s">
        <v>1</v>
      </c>
      <c r="AV54" s="202" t="s">
        <v>1</v>
      </c>
      <c r="AW54" s="199" t="s">
        <v>1</v>
      </c>
    </row>
    <row r="55" spans="1:49" ht="30.15" customHeight="1" x14ac:dyDescent="0.25">
      <c r="A55" s="188" t="s">
        <v>18</v>
      </c>
      <c r="B55" s="188" t="s">
        <v>1</v>
      </c>
      <c r="C55" s="188" t="s">
        <v>35</v>
      </c>
      <c r="D55" s="190" t="s">
        <v>3</v>
      </c>
      <c r="E55" s="190" t="s">
        <v>965</v>
      </c>
      <c r="F55" s="203"/>
      <c r="G55" s="190" t="s">
        <v>997</v>
      </c>
      <c r="H55" s="192" t="s">
        <v>414</v>
      </c>
      <c r="I55" s="194">
        <v>659</v>
      </c>
      <c r="J55" s="194">
        <v>665</v>
      </c>
      <c r="K55" s="194">
        <v>665</v>
      </c>
      <c r="L55" s="193">
        <v>698</v>
      </c>
      <c r="M55" s="193">
        <v>698</v>
      </c>
      <c r="N55" s="195" t="s">
        <v>1</v>
      </c>
      <c r="O55" s="195" t="s">
        <v>1</v>
      </c>
      <c r="P55" s="195" t="s">
        <v>1</v>
      </c>
      <c r="Q55" s="195" t="s">
        <v>1</v>
      </c>
      <c r="R55" s="196" t="s">
        <v>1</v>
      </c>
      <c r="S55" s="197" t="s">
        <v>1</v>
      </c>
      <c r="T55" s="197" t="s">
        <v>1</v>
      </c>
      <c r="U55" s="197" t="s">
        <v>1</v>
      </c>
      <c r="V55" s="197" t="s">
        <v>1</v>
      </c>
      <c r="W55" s="196" t="s">
        <v>1</v>
      </c>
      <c r="X55" s="195" t="s">
        <v>1</v>
      </c>
      <c r="Y55" s="195" t="s">
        <v>1</v>
      </c>
      <c r="Z55" s="195" t="s">
        <v>1</v>
      </c>
      <c r="AA55" s="196" t="s">
        <v>1</v>
      </c>
      <c r="AB55" s="196" t="s">
        <v>1</v>
      </c>
      <c r="AC55" s="197" t="s">
        <v>1</v>
      </c>
      <c r="AD55" s="197" t="s">
        <v>1</v>
      </c>
      <c r="AE55" s="197" t="s">
        <v>1</v>
      </c>
      <c r="AF55" s="198" t="s">
        <v>1</v>
      </c>
      <c r="AG55" s="198" t="s">
        <v>1</v>
      </c>
      <c r="AH55" s="198" t="s">
        <v>1</v>
      </c>
      <c r="AI55" s="209" t="s">
        <v>1</v>
      </c>
      <c r="AJ55" s="209" t="s">
        <v>1</v>
      </c>
      <c r="AK55" s="209" t="s">
        <v>1</v>
      </c>
      <c r="AL55" s="198">
        <v>0</v>
      </c>
      <c r="AM55" s="200" t="s">
        <v>1</v>
      </c>
      <c r="AN55" s="199" t="s">
        <v>1</v>
      </c>
      <c r="AO55" s="199" t="s">
        <v>1252</v>
      </c>
      <c r="AP55" s="198" t="s">
        <v>1</v>
      </c>
      <c r="AQ55" s="198" t="s">
        <v>1</v>
      </c>
      <c r="AR55" s="201" t="s">
        <v>1</v>
      </c>
      <c r="AS55" s="201" t="s">
        <v>1</v>
      </c>
      <c r="AT55" s="199" t="s">
        <v>1</v>
      </c>
      <c r="AU55" s="199" t="s">
        <v>1</v>
      </c>
      <c r="AV55" s="202" t="s">
        <v>1</v>
      </c>
      <c r="AW55" s="199" t="s">
        <v>1</v>
      </c>
    </row>
    <row r="56" spans="1:49" ht="30.15" customHeight="1" x14ac:dyDescent="0.25">
      <c r="A56" s="188" t="s">
        <v>18</v>
      </c>
      <c r="B56" s="188" t="s">
        <v>1</v>
      </c>
      <c r="C56" s="188" t="s">
        <v>35</v>
      </c>
      <c r="D56" s="190" t="s">
        <v>3</v>
      </c>
      <c r="E56" s="190" t="s">
        <v>966</v>
      </c>
      <c r="F56" s="203"/>
      <c r="G56" s="190" t="s">
        <v>998</v>
      </c>
      <c r="H56" s="192" t="s">
        <v>414</v>
      </c>
      <c r="I56" s="194">
        <v>699</v>
      </c>
      <c r="J56" s="194">
        <v>703</v>
      </c>
      <c r="K56" s="194">
        <v>703</v>
      </c>
      <c r="L56" s="193">
        <v>740</v>
      </c>
      <c r="M56" s="194">
        <v>740</v>
      </c>
      <c r="N56" s="195" t="s">
        <v>1</v>
      </c>
      <c r="O56" s="195" t="s">
        <v>1</v>
      </c>
      <c r="P56" s="195" t="s">
        <v>1</v>
      </c>
      <c r="Q56" s="195" t="s">
        <v>1</v>
      </c>
      <c r="R56" s="196" t="s">
        <v>1</v>
      </c>
      <c r="S56" s="197" t="s">
        <v>1</v>
      </c>
      <c r="T56" s="197" t="s">
        <v>1</v>
      </c>
      <c r="U56" s="197" t="s">
        <v>1</v>
      </c>
      <c r="V56" s="197" t="s">
        <v>1</v>
      </c>
      <c r="W56" s="196" t="s">
        <v>1</v>
      </c>
      <c r="X56" s="195" t="s">
        <v>1</v>
      </c>
      <c r="Y56" s="195" t="s">
        <v>1</v>
      </c>
      <c r="Z56" s="195" t="s">
        <v>1</v>
      </c>
      <c r="AA56" s="196" t="s">
        <v>1</v>
      </c>
      <c r="AB56" s="196" t="s">
        <v>1</v>
      </c>
      <c r="AC56" s="197" t="s">
        <v>1</v>
      </c>
      <c r="AD56" s="197" t="s">
        <v>1</v>
      </c>
      <c r="AE56" s="197" t="s">
        <v>1</v>
      </c>
      <c r="AF56" s="198" t="s">
        <v>1</v>
      </c>
      <c r="AG56" s="198" t="s">
        <v>1</v>
      </c>
      <c r="AH56" s="198" t="s">
        <v>1</v>
      </c>
      <c r="AI56" s="209" t="s">
        <v>1</v>
      </c>
      <c r="AJ56" s="209" t="s">
        <v>1</v>
      </c>
      <c r="AK56" s="209" t="s">
        <v>1</v>
      </c>
      <c r="AL56" s="198">
        <v>0</v>
      </c>
      <c r="AM56" s="200" t="s">
        <v>1</v>
      </c>
      <c r="AN56" s="199" t="s">
        <v>1</v>
      </c>
      <c r="AO56" s="199" t="s">
        <v>1253</v>
      </c>
      <c r="AP56" s="198" t="s">
        <v>1</v>
      </c>
      <c r="AQ56" s="198" t="s">
        <v>1</v>
      </c>
      <c r="AR56" s="201" t="s">
        <v>1</v>
      </c>
      <c r="AS56" s="201" t="s">
        <v>1</v>
      </c>
      <c r="AT56" s="199" t="s">
        <v>1</v>
      </c>
      <c r="AU56" s="199" t="s">
        <v>1</v>
      </c>
      <c r="AV56" s="202" t="s">
        <v>1</v>
      </c>
      <c r="AW56" s="199" t="s">
        <v>1</v>
      </c>
    </row>
    <row r="57" spans="1:49" ht="30.15" customHeight="1" x14ac:dyDescent="0.25">
      <c r="A57" s="188" t="s">
        <v>18</v>
      </c>
      <c r="B57" s="188" t="s">
        <v>1</v>
      </c>
      <c r="C57" s="188" t="s">
        <v>35</v>
      </c>
      <c r="D57" s="190" t="s">
        <v>3</v>
      </c>
      <c r="E57" s="190" t="s">
        <v>967</v>
      </c>
      <c r="F57" s="203"/>
      <c r="G57" s="190" t="s">
        <v>999</v>
      </c>
      <c r="H57" s="192" t="s">
        <v>414</v>
      </c>
      <c r="I57" s="194">
        <v>659</v>
      </c>
      <c r="J57" s="194">
        <v>665</v>
      </c>
      <c r="K57" s="194">
        <v>665</v>
      </c>
      <c r="L57" s="193">
        <v>698</v>
      </c>
      <c r="M57" s="194">
        <v>698</v>
      </c>
      <c r="N57" s="195" t="s">
        <v>1</v>
      </c>
      <c r="O57" s="195" t="s">
        <v>1</v>
      </c>
      <c r="P57" s="195" t="s">
        <v>1</v>
      </c>
      <c r="Q57" s="195" t="s">
        <v>1</v>
      </c>
      <c r="R57" s="196" t="s">
        <v>1</v>
      </c>
      <c r="S57" s="197" t="s">
        <v>1</v>
      </c>
      <c r="T57" s="197" t="s">
        <v>1</v>
      </c>
      <c r="U57" s="197" t="s">
        <v>1</v>
      </c>
      <c r="V57" s="197" t="s">
        <v>1</v>
      </c>
      <c r="W57" s="196" t="s">
        <v>1</v>
      </c>
      <c r="X57" s="195" t="s">
        <v>1</v>
      </c>
      <c r="Y57" s="195" t="s">
        <v>1</v>
      </c>
      <c r="Z57" s="195" t="s">
        <v>1</v>
      </c>
      <c r="AA57" s="196" t="s">
        <v>1</v>
      </c>
      <c r="AB57" s="196" t="s">
        <v>1</v>
      </c>
      <c r="AC57" s="197" t="s">
        <v>1</v>
      </c>
      <c r="AD57" s="197" t="s">
        <v>1</v>
      </c>
      <c r="AE57" s="197" t="s">
        <v>1</v>
      </c>
      <c r="AF57" s="198" t="s">
        <v>1</v>
      </c>
      <c r="AG57" s="198" t="s">
        <v>1</v>
      </c>
      <c r="AH57" s="198" t="s">
        <v>1</v>
      </c>
      <c r="AI57" s="209" t="s">
        <v>1</v>
      </c>
      <c r="AJ57" s="209" t="s">
        <v>1</v>
      </c>
      <c r="AK57" s="209" t="s">
        <v>1</v>
      </c>
      <c r="AL57" s="198">
        <v>0</v>
      </c>
      <c r="AM57" s="200" t="s">
        <v>1</v>
      </c>
      <c r="AN57" s="199" t="s">
        <v>1</v>
      </c>
      <c r="AO57" s="199" t="s">
        <v>1252</v>
      </c>
      <c r="AP57" s="198" t="s">
        <v>1</v>
      </c>
      <c r="AQ57" s="198" t="s">
        <v>1</v>
      </c>
      <c r="AR57" s="201" t="s">
        <v>1</v>
      </c>
      <c r="AS57" s="201" t="s">
        <v>1</v>
      </c>
      <c r="AT57" s="199" t="s">
        <v>1</v>
      </c>
      <c r="AU57" s="199" t="s">
        <v>1</v>
      </c>
      <c r="AV57" s="202" t="s">
        <v>1</v>
      </c>
      <c r="AW57" s="199" t="s">
        <v>1</v>
      </c>
    </row>
    <row r="58" spans="1:49" ht="30.15" customHeight="1" x14ac:dyDescent="0.25">
      <c r="A58" s="188" t="s">
        <v>18</v>
      </c>
      <c r="B58" s="188" t="s">
        <v>1</v>
      </c>
      <c r="C58" s="188" t="s">
        <v>35</v>
      </c>
      <c r="D58" s="190" t="s">
        <v>3</v>
      </c>
      <c r="E58" s="190" t="s">
        <v>968</v>
      </c>
      <c r="F58" s="203"/>
      <c r="G58" s="190" t="s">
        <v>1000</v>
      </c>
      <c r="H58" s="192" t="s">
        <v>414</v>
      </c>
      <c r="I58" s="194">
        <v>883</v>
      </c>
      <c r="J58" s="194">
        <v>888</v>
      </c>
      <c r="K58" s="194">
        <v>888</v>
      </c>
      <c r="L58" s="193">
        <v>935</v>
      </c>
      <c r="M58" s="194">
        <v>935</v>
      </c>
      <c r="N58" s="195" t="s">
        <v>1</v>
      </c>
      <c r="O58" s="195" t="s">
        <v>1</v>
      </c>
      <c r="P58" s="195" t="s">
        <v>1</v>
      </c>
      <c r="Q58" s="195" t="s">
        <v>1</v>
      </c>
      <c r="R58" s="196" t="s">
        <v>1</v>
      </c>
      <c r="S58" s="197" t="s">
        <v>1</v>
      </c>
      <c r="T58" s="197" t="s">
        <v>1</v>
      </c>
      <c r="U58" s="197" t="s">
        <v>1</v>
      </c>
      <c r="V58" s="197" t="s">
        <v>1</v>
      </c>
      <c r="W58" s="196" t="s">
        <v>1</v>
      </c>
      <c r="X58" s="195" t="s">
        <v>1</v>
      </c>
      <c r="Y58" s="195" t="s">
        <v>1</v>
      </c>
      <c r="Z58" s="195" t="s">
        <v>1</v>
      </c>
      <c r="AA58" s="196" t="s">
        <v>1</v>
      </c>
      <c r="AB58" s="196" t="s">
        <v>1</v>
      </c>
      <c r="AC58" s="197" t="s">
        <v>1</v>
      </c>
      <c r="AD58" s="197" t="s">
        <v>1</v>
      </c>
      <c r="AE58" s="197" t="s">
        <v>1</v>
      </c>
      <c r="AF58" s="198" t="s">
        <v>1</v>
      </c>
      <c r="AG58" s="198" t="s">
        <v>1</v>
      </c>
      <c r="AH58" s="198" t="s">
        <v>1</v>
      </c>
      <c r="AI58" s="209" t="s">
        <v>1</v>
      </c>
      <c r="AJ58" s="209" t="s">
        <v>1</v>
      </c>
      <c r="AK58" s="209" t="s">
        <v>1</v>
      </c>
      <c r="AL58" s="198">
        <v>0</v>
      </c>
      <c r="AM58" s="200" t="s">
        <v>1</v>
      </c>
      <c r="AN58" s="199" t="s">
        <v>1</v>
      </c>
      <c r="AO58" s="199" t="s">
        <v>1253</v>
      </c>
      <c r="AP58" s="198" t="s">
        <v>1</v>
      </c>
      <c r="AQ58" s="198" t="s">
        <v>1</v>
      </c>
      <c r="AR58" s="201" t="s">
        <v>1</v>
      </c>
      <c r="AS58" s="201" t="s">
        <v>1</v>
      </c>
      <c r="AT58" s="199" t="s">
        <v>1</v>
      </c>
      <c r="AU58" s="199" t="s">
        <v>1</v>
      </c>
      <c r="AV58" s="202" t="s">
        <v>1</v>
      </c>
      <c r="AW58" s="199" t="s">
        <v>1</v>
      </c>
    </row>
    <row r="59" spans="1:49" ht="30.15" customHeight="1" x14ac:dyDescent="0.25">
      <c r="A59" s="188" t="s">
        <v>18</v>
      </c>
      <c r="B59" s="188" t="s">
        <v>1</v>
      </c>
      <c r="C59" s="188" t="s">
        <v>35</v>
      </c>
      <c r="D59" s="190" t="s">
        <v>3</v>
      </c>
      <c r="E59" s="190" t="s">
        <v>969</v>
      </c>
      <c r="F59" s="203"/>
      <c r="G59" s="190" t="s">
        <v>1001</v>
      </c>
      <c r="H59" s="192" t="s">
        <v>414</v>
      </c>
      <c r="I59" s="194">
        <v>940</v>
      </c>
      <c r="J59" s="194">
        <v>945</v>
      </c>
      <c r="K59" s="194">
        <v>945</v>
      </c>
      <c r="L59" s="193">
        <v>996</v>
      </c>
      <c r="M59" s="194">
        <v>996</v>
      </c>
      <c r="N59" s="195" t="s">
        <v>1</v>
      </c>
      <c r="O59" s="195" t="s">
        <v>1</v>
      </c>
      <c r="P59" s="195" t="s">
        <v>1</v>
      </c>
      <c r="Q59" s="195" t="s">
        <v>1</v>
      </c>
      <c r="R59" s="196" t="s">
        <v>1</v>
      </c>
      <c r="S59" s="197" t="s">
        <v>1</v>
      </c>
      <c r="T59" s="197" t="s">
        <v>1</v>
      </c>
      <c r="U59" s="197" t="s">
        <v>1</v>
      </c>
      <c r="V59" s="197" t="s">
        <v>1</v>
      </c>
      <c r="W59" s="196" t="s">
        <v>1</v>
      </c>
      <c r="X59" s="195" t="s">
        <v>1</v>
      </c>
      <c r="Y59" s="195" t="s">
        <v>1</v>
      </c>
      <c r="Z59" s="195" t="s">
        <v>1</v>
      </c>
      <c r="AA59" s="196" t="s">
        <v>1</v>
      </c>
      <c r="AB59" s="196" t="s">
        <v>1</v>
      </c>
      <c r="AC59" s="197" t="s">
        <v>1</v>
      </c>
      <c r="AD59" s="197" t="s">
        <v>1</v>
      </c>
      <c r="AE59" s="197" t="s">
        <v>1</v>
      </c>
      <c r="AF59" s="198" t="s">
        <v>1</v>
      </c>
      <c r="AG59" s="198" t="s">
        <v>1</v>
      </c>
      <c r="AH59" s="198" t="s">
        <v>1</v>
      </c>
      <c r="AI59" s="209" t="s">
        <v>1</v>
      </c>
      <c r="AJ59" s="209" t="s">
        <v>1</v>
      </c>
      <c r="AK59" s="209" t="s">
        <v>1</v>
      </c>
      <c r="AL59" s="198">
        <v>0</v>
      </c>
      <c r="AM59" s="200" t="s">
        <v>1</v>
      </c>
      <c r="AN59" s="199" t="s">
        <v>1</v>
      </c>
      <c r="AO59" s="199" t="s">
        <v>1254</v>
      </c>
      <c r="AP59" s="198" t="s">
        <v>1</v>
      </c>
      <c r="AQ59" s="198" t="s">
        <v>1</v>
      </c>
      <c r="AR59" s="201" t="s">
        <v>1</v>
      </c>
      <c r="AS59" s="201" t="s">
        <v>1</v>
      </c>
      <c r="AT59" s="199" t="s">
        <v>1</v>
      </c>
      <c r="AU59" s="199" t="s">
        <v>1</v>
      </c>
      <c r="AV59" s="202" t="s">
        <v>1</v>
      </c>
      <c r="AW59" s="199" t="s">
        <v>1</v>
      </c>
    </row>
    <row r="60" spans="1:49" ht="30.15" customHeight="1" x14ac:dyDescent="0.25">
      <c r="A60" s="188" t="s">
        <v>18</v>
      </c>
      <c r="B60" s="188" t="s">
        <v>1</v>
      </c>
      <c r="C60" s="188" t="s">
        <v>35</v>
      </c>
      <c r="D60" s="190" t="s">
        <v>3</v>
      </c>
      <c r="E60" s="190" t="s">
        <v>970</v>
      </c>
      <c r="F60" s="203"/>
      <c r="G60" s="190" t="s">
        <v>1002</v>
      </c>
      <c r="H60" s="192" t="s">
        <v>414</v>
      </c>
      <c r="I60" s="194">
        <v>883</v>
      </c>
      <c r="J60" s="194">
        <v>888</v>
      </c>
      <c r="K60" s="194">
        <v>888</v>
      </c>
      <c r="L60" s="193">
        <v>935</v>
      </c>
      <c r="M60" s="194">
        <v>935</v>
      </c>
      <c r="N60" s="195" t="s">
        <v>1</v>
      </c>
      <c r="O60" s="195" t="s">
        <v>1</v>
      </c>
      <c r="P60" s="195" t="s">
        <v>1</v>
      </c>
      <c r="Q60" s="195" t="s">
        <v>1</v>
      </c>
      <c r="R60" s="196" t="s">
        <v>1</v>
      </c>
      <c r="S60" s="197" t="s">
        <v>1</v>
      </c>
      <c r="T60" s="197" t="s">
        <v>1</v>
      </c>
      <c r="U60" s="197" t="s">
        <v>1</v>
      </c>
      <c r="V60" s="197" t="s">
        <v>1</v>
      </c>
      <c r="W60" s="196" t="s">
        <v>1</v>
      </c>
      <c r="X60" s="195" t="s">
        <v>1</v>
      </c>
      <c r="Y60" s="195" t="s">
        <v>1</v>
      </c>
      <c r="Z60" s="195" t="s">
        <v>1</v>
      </c>
      <c r="AA60" s="196" t="s">
        <v>1</v>
      </c>
      <c r="AB60" s="196" t="s">
        <v>1</v>
      </c>
      <c r="AC60" s="197" t="s">
        <v>1</v>
      </c>
      <c r="AD60" s="197" t="s">
        <v>1</v>
      </c>
      <c r="AE60" s="197" t="s">
        <v>1</v>
      </c>
      <c r="AF60" s="198" t="s">
        <v>1</v>
      </c>
      <c r="AG60" s="198" t="s">
        <v>1</v>
      </c>
      <c r="AH60" s="198" t="s">
        <v>1</v>
      </c>
      <c r="AI60" s="209" t="s">
        <v>1</v>
      </c>
      <c r="AJ60" s="209" t="s">
        <v>1</v>
      </c>
      <c r="AK60" s="209" t="s">
        <v>1</v>
      </c>
      <c r="AL60" s="198">
        <v>0</v>
      </c>
      <c r="AM60" s="200" t="s">
        <v>1</v>
      </c>
      <c r="AN60" s="199" t="s">
        <v>1</v>
      </c>
      <c r="AO60" s="199" t="s">
        <v>1253</v>
      </c>
      <c r="AP60" s="198" t="s">
        <v>1</v>
      </c>
      <c r="AQ60" s="198" t="s">
        <v>1</v>
      </c>
      <c r="AR60" s="201" t="s">
        <v>1</v>
      </c>
      <c r="AS60" s="201" t="s">
        <v>1</v>
      </c>
      <c r="AT60" s="199" t="s">
        <v>1</v>
      </c>
      <c r="AU60" s="199" t="s">
        <v>1</v>
      </c>
      <c r="AV60" s="202" t="s">
        <v>1</v>
      </c>
      <c r="AW60" s="199" t="s">
        <v>1</v>
      </c>
    </row>
    <row r="61" spans="1:49" ht="30.15" customHeight="1" x14ac:dyDescent="0.25">
      <c r="A61" s="188" t="s">
        <v>18</v>
      </c>
      <c r="B61" s="188" t="s">
        <v>1</v>
      </c>
      <c r="C61" s="188" t="s">
        <v>35</v>
      </c>
      <c r="D61" s="190" t="s">
        <v>3</v>
      </c>
      <c r="E61" s="190" t="s">
        <v>971</v>
      </c>
      <c r="F61" s="203"/>
      <c r="G61" s="190" t="s">
        <v>1003</v>
      </c>
      <c r="H61" s="192" t="s">
        <v>414</v>
      </c>
      <c r="I61" s="194">
        <v>940</v>
      </c>
      <c r="J61" s="194">
        <v>945</v>
      </c>
      <c r="K61" s="194">
        <v>945</v>
      </c>
      <c r="L61" s="193">
        <v>996</v>
      </c>
      <c r="M61" s="194">
        <v>996</v>
      </c>
      <c r="N61" s="195" t="s">
        <v>1</v>
      </c>
      <c r="O61" s="195" t="s">
        <v>1</v>
      </c>
      <c r="P61" s="195" t="s">
        <v>1</v>
      </c>
      <c r="Q61" s="195" t="s">
        <v>1</v>
      </c>
      <c r="R61" s="196" t="s">
        <v>1</v>
      </c>
      <c r="S61" s="197" t="s">
        <v>1</v>
      </c>
      <c r="T61" s="197" t="s">
        <v>1</v>
      </c>
      <c r="U61" s="197" t="s">
        <v>1</v>
      </c>
      <c r="V61" s="197" t="s">
        <v>1</v>
      </c>
      <c r="W61" s="196" t="s">
        <v>1</v>
      </c>
      <c r="X61" s="195" t="s">
        <v>1</v>
      </c>
      <c r="Y61" s="195" t="s">
        <v>1</v>
      </c>
      <c r="Z61" s="195" t="s">
        <v>1</v>
      </c>
      <c r="AA61" s="196" t="s">
        <v>1</v>
      </c>
      <c r="AB61" s="196" t="s">
        <v>1</v>
      </c>
      <c r="AC61" s="197" t="s">
        <v>1</v>
      </c>
      <c r="AD61" s="197" t="s">
        <v>1</v>
      </c>
      <c r="AE61" s="197" t="s">
        <v>1</v>
      </c>
      <c r="AF61" s="198" t="s">
        <v>1</v>
      </c>
      <c r="AG61" s="198" t="s">
        <v>1</v>
      </c>
      <c r="AH61" s="198" t="s">
        <v>1</v>
      </c>
      <c r="AI61" s="209" t="s">
        <v>1</v>
      </c>
      <c r="AJ61" s="209" t="s">
        <v>1</v>
      </c>
      <c r="AK61" s="209" t="s">
        <v>1</v>
      </c>
      <c r="AL61" s="198">
        <v>0</v>
      </c>
      <c r="AM61" s="200" t="s">
        <v>1</v>
      </c>
      <c r="AN61" s="199" t="s">
        <v>1</v>
      </c>
      <c r="AO61" s="199" t="s">
        <v>1254</v>
      </c>
      <c r="AP61" s="198" t="s">
        <v>1</v>
      </c>
      <c r="AQ61" s="198" t="s">
        <v>1</v>
      </c>
      <c r="AR61" s="201" t="s">
        <v>1</v>
      </c>
      <c r="AS61" s="201" t="s">
        <v>1</v>
      </c>
      <c r="AT61" s="199" t="s">
        <v>1</v>
      </c>
      <c r="AU61" s="199" t="s">
        <v>1</v>
      </c>
      <c r="AV61" s="202" t="s">
        <v>1</v>
      </c>
      <c r="AW61" s="199" t="s">
        <v>1</v>
      </c>
    </row>
    <row r="62" spans="1:49" ht="30.15" customHeight="1" x14ac:dyDescent="0.25">
      <c r="A62" s="188" t="s">
        <v>18</v>
      </c>
      <c r="B62" s="188" t="s">
        <v>1</v>
      </c>
      <c r="C62" s="188" t="s">
        <v>35</v>
      </c>
      <c r="D62" s="190" t="s">
        <v>3</v>
      </c>
      <c r="E62" s="190" t="s">
        <v>972</v>
      </c>
      <c r="F62" s="203"/>
      <c r="G62" s="190" t="s">
        <v>1004</v>
      </c>
      <c r="H62" s="192" t="s">
        <v>414</v>
      </c>
      <c r="I62" s="194">
        <v>883</v>
      </c>
      <c r="J62" s="194">
        <v>888</v>
      </c>
      <c r="K62" s="194">
        <v>888</v>
      </c>
      <c r="L62" s="193">
        <v>935</v>
      </c>
      <c r="M62" s="194">
        <v>935</v>
      </c>
      <c r="N62" s="195" t="s">
        <v>1</v>
      </c>
      <c r="O62" s="195" t="s">
        <v>1</v>
      </c>
      <c r="P62" s="195" t="s">
        <v>1</v>
      </c>
      <c r="Q62" s="195" t="s">
        <v>1</v>
      </c>
      <c r="R62" s="196" t="s">
        <v>1</v>
      </c>
      <c r="S62" s="197" t="s">
        <v>1</v>
      </c>
      <c r="T62" s="197" t="s">
        <v>1</v>
      </c>
      <c r="U62" s="197" t="s">
        <v>1</v>
      </c>
      <c r="V62" s="197" t="s">
        <v>1</v>
      </c>
      <c r="W62" s="196" t="s">
        <v>1</v>
      </c>
      <c r="X62" s="195" t="s">
        <v>1</v>
      </c>
      <c r="Y62" s="195" t="s">
        <v>1</v>
      </c>
      <c r="Z62" s="195" t="s">
        <v>1</v>
      </c>
      <c r="AA62" s="196" t="s">
        <v>1</v>
      </c>
      <c r="AB62" s="196" t="s">
        <v>1</v>
      </c>
      <c r="AC62" s="197" t="s">
        <v>1</v>
      </c>
      <c r="AD62" s="197" t="s">
        <v>1</v>
      </c>
      <c r="AE62" s="197" t="s">
        <v>1</v>
      </c>
      <c r="AF62" s="198" t="s">
        <v>1</v>
      </c>
      <c r="AG62" s="198" t="s">
        <v>1</v>
      </c>
      <c r="AH62" s="198" t="s">
        <v>1</v>
      </c>
      <c r="AI62" s="209" t="s">
        <v>1</v>
      </c>
      <c r="AJ62" s="209" t="s">
        <v>1</v>
      </c>
      <c r="AK62" s="209" t="s">
        <v>1</v>
      </c>
      <c r="AL62" s="198">
        <v>0</v>
      </c>
      <c r="AM62" s="200" t="s">
        <v>1</v>
      </c>
      <c r="AN62" s="199" t="s">
        <v>1</v>
      </c>
      <c r="AO62" s="199" t="s">
        <v>1253</v>
      </c>
      <c r="AP62" s="198" t="s">
        <v>1</v>
      </c>
      <c r="AQ62" s="198" t="s">
        <v>1</v>
      </c>
      <c r="AR62" s="201" t="s">
        <v>1</v>
      </c>
      <c r="AS62" s="201" t="s">
        <v>1</v>
      </c>
      <c r="AT62" s="199" t="s">
        <v>1</v>
      </c>
      <c r="AU62" s="199" t="s">
        <v>1</v>
      </c>
      <c r="AV62" s="202" t="s">
        <v>1</v>
      </c>
      <c r="AW62" s="199" t="s">
        <v>1</v>
      </c>
    </row>
    <row r="63" spans="1:49" ht="30.15" customHeight="1" x14ac:dyDescent="0.25">
      <c r="A63" s="188" t="s">
        <v>18</v>
      </c>
      <c r="B63" s="188" t="s">
        <v>1</v>
      </c>
      <c r="C63" s="188" t="s">
        <v>35</v>
      </c>
      <c r="D63" s="190" t="s">
        <v>3</v>
      </c>
      <c r="E63" s="190" t="s">
        <v>973</v>
      </c>
      <c r="F63" s="203"/>
      <c r="G63" s="190" t="s">
        <v>1005</v>
      </c>
      <c r="H63" s="192" t="s">
        <v>414</v>
      </c>
      <c r="I63" s="194">
        <v>699</v>
      </c>
      <c r="J63" s="194">
        <v>703</v>
      </c>
      <c r="K63" s="194">
        <v>703</v>
      </c>
      <c r="L63" s="193">
        <v>740</v>
      </c>
      <c r="M63" s="194">
        <v>740</v>
      </c>
      <c r="N63" s="195" t="s">
        <v>1</v>
      </c>
      <c r="O63" s="195" t="s">
        <v>1</v>
      </c>
      <c r="P63" s="195" t="s">
        <v>1</v>
      </c>
      <c r="Q63" s="195" t="s">
        <v>1</v>
      </c>
      <c r="R63" s="196" t="s">
        <v>1</v>
      </c>
      <c r="S63" s="197" t="s">
        <v>1</v>
      </c>
      <c r="T63" s="197" t="s">
        <v>1</v>
      </c>
      <c r="U63" s="197" t="s">
        <v>1</v>
      </c>
      <c r="V63" s="197" t="s">
        <v>1</v>
      </c>
      <c r="W63" s="196" t="s">
        <v>1</v>
      </c>
      <c r="X63" s="195" t="s">
        <v>1</v>
      </c>
      <c r="Y63" s="195" t="s">
        <v>1</v>
      </c>
      <c r="Z63" s="195" t="s">
        <v>1</v>
      </c>
      <c r="AA63" s="196" t="s">
        <v>1</v>
      </c>
      <c r="AB63" s="196" t="s">
        <v>1</v>
      </c>
      <c r="AC63" s="197" t="s">
        <v>1</v>
      </c>
      <c r="AD63" s="197" t="s">
        <v>1</v>
      </c>
      <c r="AE63" s="197" t="s">
        <v>1</v>
      </c>
      <c r="AF63" s="198" t="s">
        <v>1</v>
      </c>
      <c r="AG63" s="198" t="s">
        <v>1</v>
      </c>
      <c r="AH63" s="198" t="s">
        <v>1</v>
      </c>
      <c r="AI63" s="209" t="s">
        <v>1</v>
      </c>
      <c r="AJ63" s="209" t="s">
        <v>1</v>
      </c>
      <c r="AK63" s="209" t="s">
        <v>1</v>
      </c>
      <c r="AL63" s="198">
        <v>0</v>
      </c>
      <c r="AM63" s="200" t="s">
        <v>1</v>
      </c>
      <c r="AN63" s="199" t="s">
        <v>1</v>
      </c>
      <c r="AO63" s="199" t="s">
        <v>1253</v>
      </c>
      <c r="AP63" s="198" t="s">
        <v>1</v>
      </c>
      <c r="AQ63" s="198" t="s">
        <v>1</v>
      </c>
      <c r="AR63" s="201" t="s">
        <v>1</v>
      </c>
      <c r="AS63" s="201" t="s">
        <v>1</v>
      </c>
      <c r="AT63" s="199" t="s">
        <v>1</v>
      </c>
      <c r="AU63" s="199" t="s">
        <v>1</v>
      </c>
      <c r="AV63" s="202" t="s">
        <v>1</v>
      </c>
      <c r="AW63" s="199" t="s">
        <v>1</v>
      </c>
    </row>
    <row r="64" spans="1:49" ht="30.15" customHeight="1" x14ac:dyDescent="0.25">
      <c r="A64" s="188" t="s">
        <v>18</v>
      </c>
      <c r="B64" s="188" t="s">
        <v>1</v>
      </c>
      <c r="C64" s="188" t="s">
        <v>35</v>
      </c>
      <c r="D64" s="190" t="s">
        <v>3</v>
      </c>
      <c r="E64" s="190" t="s">
        <v>974</v>
      </c>
      <c r="F64" s="203"/>
      <c r="G64" s="190" t="s">
        <v>1006</v>
      </c>
      <c r="H64" s="192" t="s">
        <v>414</v>
      </c>
      <c r="I64" s="194">
        <v>940</v>
      </c>
      <c r="J64" s="194">
        <v>945</v>
      </c>
      <c r="K64" s="194">
        <v>945</v>
      </c>
      <c r="L64" s="193">
        <v>996</v>
      </c>
      <c r="M64" s="194">
        <v>996</v>
      </c>
      <c r="N64" s="195" t="s">
        <v>1</v>
      </c>
      <c r="O64" s="195" t="s">
        <v>1</v>
      </c>
      <c r="P64" s="195" t="s">
        <v>1</v>
      </c>
      <c r="Q64" s="195" t="s">
        <v>1</v>
      </c>
      <c r="R64" s="196" t="s">
        <v>1</v>
      </c>
      <c r="S64" s="197" t="s">
        <v>1</v>
      </c>
      <c r="T64" s="197" t="s">
        <v>1</v>
      </c>
      <c r="U64" s="197" t="s">
        <v>1</v>
      </c>
      <c r="V64" s="197" t="s">
        <v>1</v>
      </c>
      <c r="W64" s="196" t="s">
        <v>1</v>
      </c>
      <c r="X64" s="195" t="s">
        <v>1</v>
      </c>
      <c r="Y64" s="195" t="s">
        <v>1</v>
      </c>
      <c r="Z64" s="195" t="s">
        <v>1</v>
      </c>
      <c r="AA64" s="196" t="s">
        <v>1</v>
      </c>
      <c r="AB64" s="196" t="s">
        <v>1</v>
      </c>
      <c r="AC64" s="197" t="s">
        <v>1</v>
      </c>
      <c r="AD64" s="197" t="s">
        <v>1</v>
      </c>
      <c r="AE64" s="197" t="s">
        <v>1</v>
      </c>
      <c r="AF64" s="198" t="s">
        <v>1</v>
      </c>
      <c r="AG64" s="198" t="s">
        <v>1</v>
      </c>
      <c r="AH64" s="198" t="s">
        <v>1</v>
      </c>
      <c r="AI64" s="209" t="s">
        <v>1</v>
      </c>
      <c r="AJ64" s="209" t="s">
        <v>1</v>
      </c>
      <c r="AK64" s="209" t="s">
        <v>1</v>
      </c>
      <c r="AL64" s="198">
        <v>0</v>
      </c>
      <c r="AM64" s="200" t="s">
        <v>1</v>
      </c>
      <c r="AN64" s="199" t="s">
        <v>1</v>
      </c>
      <c r="AO64" s="199" t="s">
        <v>1254</v>
      </c>
      <c r="AP64" s="198" t="s">
        <v>1</v>
      </c>
      <c r="AQ64" s="198" t="s">
        <v>1</v>
      </c>
      <c r="AR64" s="201" t="s">
        <v>1</v>
      </c>
      <c r="AS64" s="201" t="s">
        <v>1</v>
      </c>
      <c r="AT64" s="199" t="s">
        <v>1</v>
      </c>
      <c r="AU64" s="199" t="s">
        <v>1</v>
      </c>
      <c r="AV64" s="202" t="s">
        <v>1</v>
      </c>
      <c r="AW64" s="199" t="s">
        <v>1</v>
      </c>
    </row>
    <row r="65" spans="1:49" ht="30.15" customHeight="1" x14ac:dyDescent="0.25">
      <c r="A65" s="188" t="s">
        <v>18</v>
      </c>
      <c r="B65" s="188" t="s">
        <v>1</v>
      </c>
      <c r="C65" s="188" t="s">
        <v>35</v>
      </c>
      <c r="D65" s="190" t="s">
        <v>3</v>
      </c>
      <c r="E65" s="190" t="s">
        <v>975</v>
      </c>
      <c r="F65" s="203"/>
      <c r="G65" s="190" t="s">
        <v>1007</v>
      </c>
      <c r="H65" s="192" t="s">
        <v>414</v>
      </c>
      <c r="I65" s="194">
        <v>997</v>
      </c>
      <c r="J65" s="194">
        <v>1002</v>
      </c>
      <c r="K65" s="194">
        <v>1002</v>
      </c>
      <c r="L65" s="193">
        <v>1056</v>
      </c>
      <c r="M65" s="194">
        <v>1056</v>
      </c>
      <c r="N65" s="195" t="s">
        <v>1</v>
      </c>
      <c r="O65" s="195" t="s">
        <v>1</v>
      </c>
      <c r="P65" s="195" t="s">
        <v>1</v>
      </c>
      <c r="Q65" s="195" t="s">
        <v>1</v>
      </c>
      <c r="R65" s="196" t="s">
        <v>1</v>
      </c>
      <c r="S65" s="197" t="s">
        <v>1</v>
      </c>
      <c r="T65" s="197" t="s">
        <v>1</v>
      </c>
      <c r="U65" s="197" t="s">
        <v>1</v>
      </c>
      <c r="V65" s="197" t="s">
        <v>1</v>
      </c>
      <c r="W65" s="196" t="s">
        <v>1</v>
      </c>
      <c r="X65" s="195" t="s">
        <v>1</v>
      </c>
      <c r="Y65" s="195" t="s">
        <v>1</v>
      </c>
      <c r="Z65" s="195" t="s">
        <v>1</v>
      </c>
      <c r="AA65" s="196" t="s">
        <v>1</v>
      </c>
      <c r="AB65" s="196" t="s">
        <v>1</v>
      </c>
      <c r="AC65" s="197" t="s">
        <v>1</v>
      </c>
      <c r="AD65" s="197" t="s">
        <v>1</v>
      </c>
      <c r="AE65" s="197" t="s">
        <v>1</v>
      </c>
      <c r="AF65" s="198" t="s">
        <v>1</v>
      </c>
      <c r="AG65" s="198" t="s">
        <v>1</v>
      </c>
      <c r="AH65" s="198" t="s">
        <v>1</v>
      </c>
      <c r="AI65" s="209" t="s">
        <v>1</v>
      </c>
      <c r="AJ65" s="209" t="s">
        <v>1</v>
      </c>
      <c r="AK65" s="209" t="s">
        <v>1</v>
      </c>
      <c r="AL65" s="198">
        <v>0</v>
      </c>
      <c r="AM65" s="200" t="s">
        <v>1</v>
      </c>
      <c r="AN65" s="199" t="s">
        <v>1</v>
      </c>
      <c r="AO65" s="199" t="s">
        <v>1254</v>
      </c>
      <c r="AP65" s="198" t="s">
        <v>1</v>
      </c>
      <c r="AQ65" s="198" t="s">
        <v>1</v>
      </c>
      <c r="AR65" s="201" t="s">
        <v>1</v>
      </c>
      <c r="AS65" s="201" t="s">
        <v>1</v>
      </c>
      <c r="AT65" s="199" t="s">
        <v>1</v>
      </c>
      <c r="AU65" s="199" t="s">
        <v>1</v>
      </c>
      <c r="AV65" s="202" t="s">
        <v>1</v>
      </c>
      <c r="AW65" s="199" t="s">
        <v>1</v>
      </c>
    </row>
    <row r="66" spans="1:49" ht="30.15" customHeight="1" x14ac:dyDescent="0.25">
      <c r="A66" s="188" t="s">
        <v>18</v>
      </c>
      <c r="B66" s="188" t="s">
        <v>1</v>
      </c>
      <c r="C66" s="188" t="s">
        <v>35</v>
      </c>
      <c r="D66" s="190" t="s">
        <v>3</v>
      </c>
      <c r="E66" s="190" t="s">
        <v>976</v>
      </c>
      <c r="F66" s="203"/>
      <c r="G66" s="190" t="s">
        <v>1008</v>
      </c>
      <c r="H66" s="192" t="s">
        <v>414</v>
      </c>
      <c r="I66" s="194">
        <v>940</v>
      </c>
      <c r="J66" s="194">
        <v>945</v>
      </c>
      <c r="K66" s="194">
        <v>945</v>
      </c>
      <c r="L66" s="193">
        <v>996</v>
      </c>
      <c r="M66" s="194">
        <v>996</v>
      </c>
      <c r="N66" s="195" t="s">
        <v>1</v>
      </c>
      <c r="O66" s="195" t="s">
        <v>1</v>
      </c>
      <c r="P66" s="195" t="s">
        <v>1</v>
      </c>
      <c r="Q66" s="195" t="s">
        <v>1</v>
      </c>
      <c r="R66" s="196" t="s">
        <v>1</v>
      </c>
      <c r="S66" s="197" t="s">
        <v>1</v>
      </c>
      <c r="T66" s="197" t="s">
        <v>1</v>
      </c>
      <c r="U66" s="197" t="s">
        <v>1</v>
      </c>
      <c r="V66" s="197" t="s">
        <v>1</v>
      </c>
      <c r="W66" s="196" t="s">
        <v>1</v>
      </c>
      <c r="X66" s="195" t="s">
        <v>1</v>
      </c>
      <c r="Y66" s="195" t="s">
        <v>1</v>
      </c>
      <c r="Z66" s="195" t="s">
        <v>1</v>
      </c>
      <c r="AA66" s="196" t="s">
        <v>1</v>
      </c>
      <c r="AB66" s="196" t="s">
        <v>1</v>
      </c>
      <c r="AC66" s="197" t="s">
        <v>1</v>
      </c>
      <c r="AD66" s="197" t="s">
        <v>1</v>
      </c>
      <c r="AE66" s="197" t="s">
        <v>1</v>
      </c>
      <c r="AF66" s="198" t="s">
        <v>1</v>
      </c>
      <c r="AG66" s="198" t="s">
        <v>1</v>
      </c>
      <c r="AH66" s="198" t="s">
        <v>1</v>
      </c>
      <c r="AI66" s="209" t="s">
        <v>1</v>
      </c>
      <c r="AJ66" s="209" t="s">
        <v>1</v>
      </c>
      <c r="AK66" s="209" t="s">
        <v>1</v>
      </c>
      <c r="AL66" s="198">
        <v>0</v>
      </c>
      <c r="AM66" s="200" t="s">
        <v>1</v>
      </c>
      <c r="AN66" s="199" t="s">
        <v>1</v>
      </c>
      <c r="AO66" s="199" t="s">
        <v>1254</v>
      </c>
      <c r="AP66" s="198" t="s">
        <v>1</v>
      </c>
      <c r="AQ66" s="198" t="s">
        <v>1</v>
      </c>
      <c r="AR66" s="201" t="s">
        <v>1</v>
      </c>
      <c r="AS66" s="201" t="s">
        <v>1</v>
      </c>
      <c r="AT66" s="199" t="s">
        <v>1</v>
      </c>
      <c r="AU66" s="199" t="s">
        <v>1</v>
      </c>
      <c r="AV66" s="202" t="s">
        <v>1</v>
      </c>
      <c r="AW66" s="199" t="s">
        <v>1</v>
      </c>
    </row>
    <row r="67" spans="1:49" ht="30.15" customHeight="1" x14ac:dyDescent="0.25">
      <c r="A67" s="188" t="s">
        <v>18</v>
      </c>
      <c r="B67" s="188" t="s">
        <v>1</v>
      </c>
      <c r="C67" s="188" t="s">
        <v>35</v>
      </c>
      <c r="D67" s="190" t="s">
        <v>3</v>
      </c>
      <c r="E67" s="190" t="s">
        <v>977</v>
      </c>
      <c r="F67" s="203"/>
      <c r="G67" s="190" t="s">
        <v>1009</v>
      </c>
      <c r="H67" s="192" t="s">
        <v>414</v>
      </c>
      <c r="I67" s="194">
        <v>997</v>
      </c>
      <c r="J67" s="194">
        <v>1002</v>
      </c>
      <c r="K67" s="194">
        <v>1002</v>
      </c>
      <c r="L67" s="193">
        <v>1056</v>
      </c>
      <c r="M67" s="194">
        <v>1056</v>
      </c>
      <c r="N67" s="195" t="s">
        <v>1</v>
      </c>
      <c r="O67" s="195" t="s">
        <v>1</v>
      </c>
      <c r="P67" s="195" t="s">
        <v>1</v>
      </c>
      <c r="Q67" s="195" t="s">
        <v>1</v>
      </c>
      <c r="R67" s="196" t="s">
        <v>1</v>
      </c>
      <c r="S67" s="197" t="s">
        <v>1</v>
      </c>
      <c r="T67" s="197" t="s">
        <v>1</v>
      </c>
      <c r="U67" s="197" t="s">
        <v>1</v>
      </c>
      <c r="V67" s="197" t="s">
        <v>1</v>
      </c>
      <c r="W67" s="196" t="s">
        <v>1</v>
      </c>
      <c r="X67" s="195" t="s">
        <v>1</v>
      </c>
      <c r="Y67" s="195" t="s">
        <v>1</v>
      </c>
      <c r="Z67" s="195" t="s">
        <v>1</v>
      </c>
      <c r="AA67" s="196" t="s">
        <v>1</v>
      </c>
      <c r="AB67" s="196" t="s">
        <v>1</v>
      </c>
      <c r="AC67" s="197" t="s">
        <v>1</v>
      </c>
      <c r="AD67" s="197" t="s">
        <v>1</v>
      </c>
      <c r="AE67" s="197" t="s">
        <v>1</v>
      </c>
      <c r="AF67" s="198" t="s">
        <v>1</v>
      </c>
      <c r="AG67" s="198" t="s">
        <v>1</v>
      </c>
      <c r="AH67" s="198" t="s">
        <v>1</v>
      </c>
      <c r="AI67" s="209" t="s">
        <v>1</v>
      </c>
      <c r="AJ67" s="209" t="s">
        <v>1</v>
      </c>
      <c r="AK67" s="209" t="s">
        <v>1</v>
      </c>
      <c r="AL67" s="198">
        <v>0</v>
      </c>
      <c r="AM67" s="200" t="s">
        <v>1</v>
      </c>
      <c r="AN67" s="199" t="s">
        <v>1</v>
      </c>
      <c r="AO67" s="199" t="s">
        <v>1254</v>
      </c>
      <c r="AP67" s="198" t="s">
        <v>1</v>
      </c>
      <c r="AQ67" s="198" t="s">
        <v>1</v>
      </c>
      <c r="AR67" s="201" t="s">
        <v>1</v>
      </c>
      <c r="AS67" s="201" t="s">
        <v>1</v>
      </c>
      <c r="AT67" s="199" t="s">
        <v>1</v>
      </c>
      <c r="AU67" s="199" t="s">
        <v>1</v>
      </c>
      <c r="AV67" s="202" t="s">
        <v>1</v>
      </c>
      <c r="AW67" s="199" t="s">
        <v>1</v>
      </c>
    </row>
    <row r="68" spans="1:49" ht="30.15" customHeight="1" x14ac:dyDescent="0.25">
      <c r="A68" s="188" t="s">
        <v>18</v>
      </c>
      <c r="B68" s="188" t="s">
        <v>1</v>
      </c>
      <c r="C68" s="188" t="s">
        <v>35</v>
      </c>
      <c r="D68" s="190" t="s">
        <v>3</v>
      </c>
      <c r="E68" s="190" t="s">
        <v>978</v>
      </c>
      <c r="F68" s="203"/>
      <c r="G68" s="190" t="s">
        <v>1010</v>
      </c>
      <c r="H68" s="192" t="s">
        <v>414</v>
      </c>
      <c r="I68" s="194">
        <v>940</v>
      </c>
      <c r="J68" s="194">
        <v>945</v>
      </c>
      <c r="K68" s="194">
        <v>945</v>
      </c>
      <c r="L68" s="193">
        <v>996</v>
      </c>
      <c r="M68" s="194">
        <v>996</v>
      </c>
      <c r="N68" s="195" t="s">
        <v>1</v>
      </c>
      <c r="O68" s="195" t="s">
        <v>1</v>
      </c>
      <c r="P68" s="195" t="s">
        <v>1</v>
      </c>
      <c r="Q68" s="195" t="s">
        <v>1</v>
      </c>
      <c r="R68" s="196" t="s">
        <v>1</v>
      </c>
      <c r="S68" s="197" t="s">
        <v>1</v>
      </c>
      <c r="T68" s="197" t="s">
        <v>1</v>
      </c>
      <c r="U68" s="197" t="s">
        <v>1</v>
      </c>
      <c r="V68" s="197" t="s">
        <v>1</v>
      </c>
      <c r="W68" s="196" t="s">
        <v>1</v>
      </c>
      <c r="X68" s="195" t="s">
        <v>1</v>
      </c>
      <c r="Y68" s="195" t="s">
        <v>1</v>
      </c>
      <c r="Z68" s="195" t="s">
        <v>1</v>
      </c>
      <c r="AA68" s="196" t="s">
        <v>1</v>
      </c>
      <c r="AB68" s="196" t="s">
        <v>1</v>
      </c>
      <c r="AC68" s="197" t="s">
        <v>1</v>
      </c>
      <c r="AD68" s="197" t="s">
        <v>1</v>
      </c>
      <c r="AE68" s="197" t="s">
        <v>1</v>
      </c>
      <c r="AF68" s="198" t="s">
        <v>1</v>
      </c>
      <c r="AG68" s="198" t="s">
        <v>1</v>
      </c>
      <c r="AH68" s="198" t="s">
        <v>1</v>
      </c>
      <c r="AI68" s="209" t="s">
        <v>1</v>
      </c>
      <c r="AJ68" s="209" t="s">
        <v>1</v>
      </c>
      <c r="AK68" s="209" t="s">
        <v>1</v>
      </c>
      <c r="AL68" s="198">
        <v>0</v>
      </c>
      <c r="AM68" s="200" t="s">
        <v>1</v>
      </c>
      <c r="AN68" s="199" t="s">
        <v>1</v>
      </c>
      <c r="AO68" s="199" t="s">
        <v>1254</v>
      </c>
      <c r="AP68" s="198" t="s">
        <v>1</v>
      </c>
      <c r="AQ68" s="198" t="s">
        <v>1</v>
      </c>
      <c r="AR68" s="201" t="s">
        <v>1</v>
      </c>
      <c r="AS68" s="201" t="s">
        <v>1</v>
      </c>
      <c r="AT68" s="199" t="s">
        <v>1</v>
      </c>
      <c r="AU68" s="199" t="s">
        <v>1</v>
      </c>
      <c r="AV68" s="202" t="s">
        <v>1</v>
      </c>
      <c r="AW68" s="199" t="s">
        <v>1</v>
      </c>
    </row>
    <row r="69" spans="1:49" ht="30.15" customHeight="1" x14ac:dyDescent="0.25">
      <c r="A69" s="188" t="s">
        <v>18</v>
      </c>
      <c r="B69" s="188" t="s">
        <v>1</v>
      </c>
      <c r="C69" s="188" t="s">
        <v>35</v>
      </c>
      <c r="D69" s="190" t="s">
        <v>3</v>
      </c>
      <c r="E69" s="190" t="s">
        <v>979</v>
      </c>
      <c r="F69" s="203"/>
      <c r="G69" s="190" t="s">
        <v>1011</v>
      </c>
      <c r="H69" s="192" t="s">
        <v>414</v>
      </c>
      <c r="I69" s="194">
        <v>997</v>
      </c>
      <c r="J69" s="194">
        <v>1002</v>
      </c>
      <c r="K69" s="194">
        <v>1002</v>
      </c>
      <c r="L69" s="193">
        <v>1056</v>
      </c>
      <c r="M69" s="194">
        <v>1056</v>
      </c>
      <c r="N69" s="195" t="s">
        <v>1</v>
      </c>
      <c r="O69" s="195" t="s">
        <v>1</v>
      </c>
      <c r="P69" s="195" t="s">
        <v>1</v>
      </c>
      <c r="Q69" s="195" t="s">
        <v>1</v>
      </c>
      <c r="R69" s="196" t="s">
        <v>1</v>
      </c>
      <c r="S69" s="197" t="s">
        <v>1</v>
      </c>
      <c r="T69" s="197" t="s">
        <v>1</v>
      </c>
      <c r="U69" s="197" t="s">
        <v>1</v>
      </c>
      <c r="V69" s="197" t="s">
        <v>1</v>
      </c>
      <c r="W69" s="196" t="s">
        <v>1</v>
      </c>
      <c r="X69" s="195" t="s">
        <v>1</v>
      </c>
      <c r="Y69" s="195" t="s">
        <v>1</v>
      </c>
      <c r="Z69" s="195" t="s">
        <v>1</v>
      </c>
      <c r="AA69" s="196" t="s">
        <v>1</v>
      </c>
      <c r="AB69" s="196" t="s">
        <v>1</v>
      </c>
      <c r="AC69" s="197" t="s">
        <v>1</v>
      </c>
      <c r="AD69" s="197" t="s">
        <v>1</v>
      </c>
      <c r="AE69" s="197" t="s">
        <v>1</v>
      </c>
      <c r="AF69" s="198" t="s">
        <v>1</v>
      </c>
      <c r="AG69" s="198" t="s">
        <v>1</v>
      </c>
      <c r="AH69" s="198" t="s">
        <v>1</v>
      </c>
      <c r="AI69" s="209" t="s">
        <v>1</v>
      </c>
      <c r="AJ69" s="209" t="s">
        <v>1</v>
      </c>
      <c r="AK69" s="209" t="s">
        <v>1</v>
      </c>
      <c r="AL69" s="198">
        <v>0</v>
      </c>
      <c r="AM69" s="200" t="s">
        <v>1</v>
      </c>
      <c r="AN69" s="199" t="s">
        <v>1</v>
      </c>
      <c r="AO69" s="199" t="s">
        <v>1254</v>
      </c>
      <c r="AP69" s="198" t="s">
        <v>1</v>
      </c>
      <c r="AQ69" s="198" t="s">
        <v>1</v>
      </c>
      <c r="AR69" s="201" t="s">
        <v>1</v>
      </c>
      <c r="AS69" s="201" t="s">
        <v>1</v>
      </c>
      <c r="AT69" s="199" t="s">
        <v>1</v>
      </c>
      <c r="AU69" s="199" t="s">
        <v>1</v>
      </c>
      <c r="AV69" s="202" t="s">
        <v>1</v>
      </c>
      <c r="AW69" s="199" t="s">
        <v>1</v>
      </c>
    </row>
    <row r="70" spans="1:49" ht="30.15" customHeight="1" x14ac:dyDescent="0.25">
      <c r="A70" s="188" t="s">
        <v>18</v>
      </c>
      <c r="B70" s="188" t="s">
        <v>1</v>
      </c>
      <c r="C70" s="188" t="s">
        <v>35</v>
      </c>
      <c r="D70" s="190" t="s">
        <v>3</v>
      </c>
      <c r="E70" s="190" t="s">
        <v>980</v>
      </c>
      <c r="F70" s="203"/>
      <c r="G70" s="190" t="s">
        <v>1012</v>
      </c>
      <c r="H70" s="192" t="s">
        <v>414</v>
      </c>
      <c r="I70" s="194">
        <v>940</v>
      </c>
      <c r="J70" s="194">
        <v>945</v>
      </c>
      <c r="K70" s="194">
        <v>945</v>
      </c>
      <c r="L70" s="193">
        <v>996</v>
      </c>
      <c r="M70" s="194">
        <v>996</v>
      </c>
      <c r="N70" s="195" t="s">
        <v>1</v>
      </c>
      <c r="O70" s="195" t="s">
        <v>1</v>
      </c>
      <c r="P70" s="195" t="s">
        <v>1</v>
      </c>
      <c r="Q70" s="195" t="s">
        <v>1</v>
      </c>
      <c r="R70" s="196" t="s">
        <v>1</v>
      </c>
      <c r="S70" s="197" t="s">
        <v>1</v>
      </c>
      <c r="T70" s="197" t="s">
        <v>1</v>
      </c>
      <c r="U70" s="197" t="s">
        <v>1</v>
      </c>
      <c r="V70" s="197" t="s">
        <v>1</v>
      </c>
      <c r="W70" s="196" t="s">
        <v>1</v>
      </c>
      <c r="X70" s="195" t="s">
        <v>1</v>
      </c>
      <c r="Y70" s="195" t="s">
        <v>1</v>
      </c>
      <c r="Z70" s="195" t="s">
        <v>1</v>
      </c>
      <c r="AA70" s="196" t="s">
        <v>1</v>
      </c>
      <c r="AB70" s="196" t="s">
        <v>1</v>
      </c>
      <c r="AC70" s="197" t="s">
        <v>1</v>
      </c>
      <c r="AD70" s="197" t="s">
        <v>1</v>
      </c>
      <c r="AE70" s="197" t="s">
        <v>1</v>
      </c>
      <c r="AF70" s="198" t="s">
        <v>1</v>
      </c>
      <c r="AG70" s="198" t="s">
        <v>1</v>
      </c>
      <c r="AH70" s="198" t="s">
        <v>1</v>
      </c>
      <c r="AI70" s="209" t="s">
        <v>1</v>
      </c>
      <c r="AJ70" s="209" t="s">
        <v>1</v>
      </c>
      <c r="AK70" s="209" t="s">
        <v>1</v>
      </c>
      <c r="AL70" s="198">
        <v>0</v>
      </c>
      <c r="AM70" s="200" t="s">
        <v>1</v>
      </c>
      <c r="AN70" s="199" t="s">
        <v>1</v>
      </c>
      <c r="AO70" s="199" t="s">
        <v>1254</v>
      </c>
      <c r="AP70" s="198" t="s">
        <v>1</v>
      </c>
      <c r="AQ70" s="198" t="s">
        <v>1</v>
      </c>
      <c r="AR70" s="201" t="s">
        <v>1</v>
      </c>
      <c r="AS70" s="201" t="s">
        <v>1</v>
      </c>
      <c r="AT70" s="199" t="s">
        <v>1</v>
      </c>
      <c r="AU70" s="199" t="s">
        <v>1</v>
      </c>
      <c r="AV70" s="202" t="s">
        <v>1</v>
      </c>
      <c r="AW70" s="199" t="s">
        <v>1</v>
      </c>
    </row>
    <row r="71" spans="1:49" ht="30.15" customHeight="1" x14ac:dyDescent="0.25">
      <c r="A71" s="188" t="s">
        <v>18</v>
      </c>
      <c r="B71" s="188" t="s">
        <v>1</v>
      </c>
      <c r="C71" s="188" t="s">
        <v>35</v>
      </c>
      <c r="D71" s="190" t="s">
        <v>3</v>
      </c>
      <c r="E71" s="190" t="s">
        <v>981</v>
      </c>
      <c r="F71" s="203"/>
      <c r="G71" s="190" t="s">
        <v>1013</v>
      </c>
      <c r="H71" s="192" t="s">
        <v>414</v>
      </c>
      <c r="I71" s="194">
        <v>659</v>
      </c>
      <c r="J71" s="194">
        <v>665</v>
      </c>
      <c r="K71" s="194">
        <v>665</v>
      </c>
      <c r="L71" s="193">
        <v>698</v>
      </c>
      <c r="M71" s="194">
        <v>698</v>
      </c>
      <c r="N71" s="195" t="s">
        <v>1</v>
      </c>
      <c r="O71" s="195" t="s">
        <v>1</v>
      </c>
      <c r="P71" s="195" t="s">
        <v>1</v>
      </c>
      <c r="Q71" s="195" t="s">
        <v>1</v>
      </c>
      <c r="R71" s="196" t="s">
        <v>1</v>
      </c>
      <c r="S71" s="197" t="s">
        <v>1</v>
      </c>
      <c r="T71" s="197" t="s">
        <v>1</v>
      </c>
      <c r="U71" s="197" t="s">
        <v>1</v>
      </c>
      <c r="V71" s="197" t="s">
        <v>1</v>
      </c>
      <c r="W71" s="196" t="s">
        <v>1</v>
      </c>
      <c r="X71" s="195" t="s">
        <v>1</v>
      </c>
      <c r="Y71" s="195" t="s">
        <v>1</v>
      </c>
      <c r="Z71" s="195" t="s">
        <v>1</v>
      </c>
      <c r="AA71" s="196" t="s">
        <v>1</v>
      </c>
      <c r="AB71" s="196" t="s">
        <v>1</v>
      </c>
      <c r="AC71" s="197" t="s">
        <v>1</v>
      </c>
      <c r="AD71" s="197" t="s">
        <v>1</v>
      </c>
      <c r="AE71" s="197" t="s">
        <v>1</v>
      </c>
      <c r="AF71" s="198" t="s">
        <v>1</v>
      </c>
      <c r="AG71" s="198" t="s">
        <v>1</v>
      </c>
      <c r="AH71" s="198" t="s">
        <v>1</v>
      </c>
      <c r="AI71" s="209" t="s">
        <v>1</v>
      </c>
      <c r="AJ71" s="209" t="s">
        <v>1</v>
      </c>
      <c r="AK71" s="209" t="s">
        <v>1</v>
      </c>
      <c r="AL71" s="198">
        <v>0</v>
      </c>
      <c r="AM71" s="200" t="s">
        <v>1</v>
      </c>
      <c r="AN71" s="199" t="s">
        <v>1</v>
      </c>
      <c r="AO71" s="199" t="s">
        <v>1252</v>
      </c>
      <c r="AP71" s="198" t="s">
        <v>1</v>
      </c>
      <c r="AQ71" s="198" t="s">
        <v>1</v>
      </c>
      <c r="AR71" s="201" t="s">
        <v>1</v>
      </c>
      <c r="AS71" s="201" t="s">
        <v>1</v>
      </c>
      <c r="AT71" s="199" t="s">
        <v>1</v>
      </c>
      <c r="AU71" s="199" t="s">
        <v>1</v>
      </c>
      <c r="AV71" s="202" t="s">
        <v>1</v>
      </c>
      <c r="AW71" s="199" t="s">
        <v>1</v>
      </c>
    </row>
    <row r="72" spans="1:49" ht="30.15" customHeight="1" x14ac:dyDescent="0.25">
      <c r="A72" s="188" t="s">
        <v>18</v>
      </c>
      <c r="B72" s="188" t="s">
        <v>1</v>
      </c>
      <c r="C72" s="188" t="s">
        <v>35</v>
      </c>
      <c r="D72" s="190" t="s">
        <v>3</v>
      </c>
      <c r="E72" s="190" t="s">
        <v>982</v>
      </c>
      <c r="F72" s="203"/>
      <c r="G72" s="190" t="s">
        <v>1014</v>
      </c>
      <c r="H72" s="192" t="s">
        <v>414</v>
      </c>
      <c r="I72" s="194">
        <v>659</v>
      </c>
      <c r="J72" s="194">
        <v>665</v>
      </c>
      <c r="K72" s="194">
        <v>665</v>
      </c>
      <c r="L72" s="193">
        <v>698</v>
      </c>
      <c r="M72" s="194">
        <v>698</v>
      </c>
      <c r="N72" s="195" t="s">
        <v>1</v>
      </c>
      <c r="O72" s="195" t="s">
        <v>1</v>
      </c>
      <c r="P72" s="195" t="s">
        <v>1</v>
      </c>
      <c r="Q72" s="195" t="s">
        <v>1</v>
      </c>
      <c r="R72" s="196" t="s">
        <v>1</v>
      </c>
      <c r="S72" s="197" t="s">
        <v>1</v>
      </c>
      <c r="T72" s="197" t="s">
        <v>1</v>
      </c>
      <c r="U72" s="197" t="s">
        <v>1</v>
      </c>
      <c r="V72" s="197" t="s">
        <v>1</v>
      </c>
      <c r="W72" s="196" t="s">
        <v>1</v>
      </c>
      <c r="X72" s="195" t="s">
        <v>1</v>
      </c>
      <c r="Y72" s="195" t="s">
        <v>1</v>
      </c>
      <c r="Z72" s="195" t="s">
        <v>1</v>
      </c>
      <c r="AA72" s="196" t="s">
        <v>1</v>
      </c>
      <c r="AB72" s="196" t="s">
        <v>1</v>
      </c>
      <c r="AC72" s="197" t="s">
        <v>1</v>
      </c>
      <c r="AD72" s="197" t="s">
        <v>1</v>
      </c>
      <c r="AE72" s="197" t="s">
        <v>1</v>
      </c>
      <c r="AF72" s="198" t="s">
        <v>1</v>
      </c>
      <c r="AG72" s="198" t="s">
        <v>1</v>
      </c>
      <c r="AH72" s="198" t="s">
        <v>1</v>
      </c>
      <c r="AI72" s="209" t="s">
        <v>1</v>
      </c>
      <c r="AJ72" s="209" t="s">
        <v>1</v>
      </c>
      <c r="AK72" s="209" t="s">
        <v>1</v>
      </c>
      <c r="AL72" s="198">
        <v>0</v>
      </c>
      <c r="AM72" s="200" t="s">
        <v>1</v>
      </c>
      <c r="AN72" s="199" t="s">
        <v>1</v>
      </c>
      <c r="AO72" s="199" t="s">
        <v>1252</v>
      </c>
      <c r="AP72" s="198" t="s">
        <v>1</v>
      </c>
      <c r="AQ72" s="198" t="s">
        <v>1</v>
      </c>
      <c r="AR72" s="201" t="s">
        <v>1</v>
      </c>
      <c r="AS72" s="201" t="s">
        <v>1</v>
      </c>
      <c r="AT72" s="199" t="s">
        <v>1</v>
      </c>
      <c r="AU72" s="199" t="s">
        <v>1</v>
      </c>
      <c r="AV72" s="202" t="s">
        <v>1</v>
      </c>
      <c r="AW72" s="199" t="s">
        <v>1</v>
      </c>
    </row>
    <row r="73" spans="1:49" ht="30.15" customHeight="1" x14ac:dyDescent="0.25">
      <c r="A73" s="188" t="s">
        <v>18</v>
      </c>
      <c r="B73" s="188" t="s">
        <v>1</v>
      </c>
      <c r="C73" s="188" t="s">
        <v>35</v>
      </c>
      <c r="D73" s="190" t="s">
        <v>3</v>
      </c>
      <c r="E73" s="190" t="s">
        <v>983</v>
      </c>
      <c r="F73" s="203"/>
      <c r="G73" s="190" t="s">
        <v>1015</v>
      </c>
      <c r="H73" s="192" t="s">
        <v>414</v>
      </c>
      <c r="I73" s="194">
        <v>699</v>
      </c>
      <c r="J73" s="194">
        <v>703</v>
      </c>
      <c r="K73" s="194">
        <v>703</v>
      </c>
      <c r="L73" s="193">
        <v>740</v>
      </c>
      <c r="M73" s="194">
        <v>740</v>
      </c>
      <c r="N73" s="195" t="s">
        <v>1</v>
      </c>
      <c r="O73" s="195" t="s">
        <v>1</v>
      </c>
      <c r="P73" s="195" t="s">
        <v>1</v>
      </c>
      <c r="Q73" s="195" t="s">
        <v>1</v>
      </c>
      <c r="R73" s="196" t="s">
        <v>1</v>
      </c>
      <c r="S73" s="197" t="s">
        <v>1</v>
      </c>
      <c r="T73" s="197" t="s">
        <v>1</v>
      </c>
      <c r="U73" s="197" t="s">
        <v>1</v>
      </c>
      <c r="V73" s="197" t="s">
        <v>1</v>
      </c>
      <c r="W73" s="196" t="s">
        <v>1</v>
      </c>
      <c r="X73" s="195" t="s">
        <v>1</v>
      </c>
      <c r="Y73" s="195" t="s">
        <v>1</v>
      </c>
      <c r="Z73" s="195" t="s">
        <v>1</v>
      </c>
      <c r="AA73" s="196" t="s">
        <v>1</v>
      </c>
      <c r="AB73" s="196" t="s">
        <v>1</v>
      </c>
      <c r="AC73" s="197" t="s">
        <v>1</v>
      </c>
      <c r="AD73" s="197" t="s">
        <v>1</v>
      </c>
      <c r="AE73" s="197" t="s">
        <v>1</v>
      </c>
      <c r="AF73" s="198" t="s">
        <v>1</v>
      </c>
      <c r="AG73" s="198" t="s">
        <v>1</v>
      </c>
      <c r="AH73" s="198" t="s">
        <v>1</v>
      </c>
      <c r="AI73" s="209" t="s">
        <v>1</v>
      </c>
      <c r="AJ73" s="209" t="s">
        <v>1</v>
      </c>
      <c r="AK73" s="209" t="s">
        <v>1</v>
      </c>
      <c r="AL73" s="198">
        <v>0</v>
      </c>
      <c r="AM73" s="200" t="s">
        <v>1</v>
      </c>
      <c r="AN73" s="199" t="s">
        <v>1</v>
      </c>
      <c r="AO73" s="199" t="s">
        <v>1253</v>
      </c>
      <c r="AP73" s="198" t="s">
        <v>1</v>
      </c>
      <c r="AQ73" s="198" t="s">
        <v>1</v>
      </c>
      <c r="AR73" s="201" t="s">
        <v>1</v>
      </c>
      <c r="AS73" s="201" t="s">
        <v>1</v>
      </c>
      <c r="AT73" s="199" t="s">
        <v>1</v>
      </c>
      <c r="AU73" s="199" t="s">
        <v>1</v>
      </c>
      <c r="AV73" s="202" t="s">
        <v>1</v>
      </c>
      <c r="AW73" s="199" t="s">
        <v>1</v>
      </c>
    </row>
    <row r="74" spans="1:49" ht="30.15" customHeight="1" x14ac:dyDescent="0.25">
      <c r="A74" s="188" t="s">
        <v>18</v>
      </c>
      <c r="B74" s="188" t="s">
        <v>1</v>
      </c>
      <c r="C74" s="188" t="s">
        <v>35</v>
      </c>
      <c r="D74" s="190" t="s">
        <v>3</v>
      </c>
      <c r="E74" s="190" t="s">
        <v>984</v>
      </c>
      <c r="F74" s="203"/>
      <c r="G74" s="190" t="s">
        <v>1016</v>
      </c>
      <c r="H74" s="192" t="s">
        <v>414</v>
      </c>
      <c r="I74" s="194">
        <v>699</v>
      </c>
      <c r="J74" s="194">
        <v>703</v>
      </c>
      <c r="K74" s="194">
        <v>703</v>
      </c>
      <c r="L74" s="193">
        <v>740</v>
      </c>
      <c r="M74" s="194">
        <v>740</v>
      </c>
      <c r="N74" s="195" t="s">
        <v>1</v>
      </c>
      <c r="O74" s="195" t="s">
        <v>1</v>
      </c>
      <c r="P74" s="195" t="s">
        <v>1</v>
      </c>
      <c r="Q74" s="195" t="s">
        <v>1</v>
      </c>
      <c r="R74" s="196" t="s">
        <v>1</v>
      </c>
      <c r="S74" s="197" t="s">
        <v>1</v>
      </c>
      <c r="T74" s="197" t="s">
        <v>1</v>
      </c>
      <c r="U74" s="197" t="s">
        <v>1</v>
      </c>
      <c r="V74" s="197" t="s">
        <v>1</v>
      </c>
      <c r="W74" s="196" t="s">
        <v>1</v>
      </c>
      <c r="X74" s="195" t="s">
        <v>1</v>
      </c>
      <c r="Y74" s="195" t="s">
        <v>1</v>
      </c>
      <c r="Z74" s="195" t="s">
        <v>1</v>
      </c>
      <c r="AA74" s="196" t="s">
        <v>1</v>
      </c>
      <c r="AB74" s="196" t="s">
        <v>1</v>
      </c>
      <c r="AC74" s="197" t="s">
        <v>1</v>
      </c>
      <c r="AD74" s="197" t="s">
        <v>1</v>
      </c>
      <c r="AE74" s="197" t="s">
        <v>1</v>
      </c>
      <c r="AF74" s="198" t="s">
        <v>1</v>
      </c>
      <c r="AG74" s="198" t="s">
        <v>1</v>
      </c>
      <c r="AH74" s="198" t="s">
        <v>1</v>
      </c>
      <c r="AI74" s="209" t="s">
        <v>1</v>
      </c>
      <c r="AJ74" s="209" t="s">
        <v>1</v>
      </c>
      <c r="AK74" s="209" t="s">
        <v>1</v>
      </c>
      <c r="AL74" s="198">
        <v>0</v>
      </c>
      <c r="AM74" s="200" t="s">
        <v>1</v>
      </c>
      <c r="AN74" s="199" t="s">
        <v>1</v>
      </c>
      <c r="AO74" s="199" t="s">
        <v>1253</v>
      </c>
      <c r="AP74" s="198" t="s">
        <v>1</v>
      </c>
      <c r="AQ74" s="198" t="s">
        <v>1</v>
      </c>
      <c r="AR74" s="201" t="s">
        <v>1</v>
      </c>
      <c r="AS74" s="201" t="s">
        <v>1</v>
      </c>
      <c r="AT74" s="199" t="s">
        <v>1</v>
      </c>
      <c r="AU74" s="199" t="s">
        <v>1</v>
      </c>
      <c r="AV74" s="202" t="s">
        <v>1</v>
      </c>
      <c r="AW74" s="199" t="s">
        <v>1</v>
      </c>
    </row>
    <row r="75" spans="1:49" ht="30.15" customHeight="1" x14ac:dyDescent="0.25">
      <c r="A75" s="188" t="s">
        <v>18</v>
      </c>
      <c r="B75" s="188" t="s">
        <v>1</v>
      </c>
      <c r="C75" s="188" t="s">
        <v>35</v>
      </c>
      <c r="D75" s="190" t="s">
        <v>3</v>
      </c>
      <c r="E75" s="190" t="s">
        <v>743</v>
      </c>
      <c r="F75" s="203"/>
      <c r="G75" s="190" t="s">
        <v>777</v>
      </c>
      <c r="H75" s="192" t="s">
        <v>414</v>
      </c>
      <c r="I75" s="194">
        <v>490</v>
      </c>
      <c r="J75" s="194">
        <v>532</v>
      </c>
      <c r="K75" s="193">
        <v>532</v>
      </c>
      <c r="L75" s="193">
        <v>560</v>
      </c>
      <c r="M75" s="194">
        <v>560</v>
      </c>
      <c r="N75" s="195" t="s">
        <v>1</v>
      </c>
      <c r="O75" s="195" t="s">
        <v>1</v>
      </c>
      <c r="P75" s="195" t="s">
        <v>1</v>
      </c>
      <c r="Q75" s="195" t="s">
        <v>1</v>
      </c>
      <c r="R75" s="196" t="s">
        <v>1</v>
      </c>
      <c r="S75" s="197" t="s">
        <v>1</v>
      </c>
      <c r="T75" s="197" t="s">
        <v>1</v>
      </c>
      <c r="U75" s="197" t="s">
        <v>1</v>
      </c>
      <c r="V75" s="197" t="s">
        <v>1</v>
      </c>
      <c r="W75" s="196" t="s">
        <v>1</v>
      </c>
      <c r="X75" s="195" t="s">
        <v>1</v>
      </c>
      <c r="Y75" s="195" t="s">
        <v>1</v>
      </c>
      <c r="Z75" s="195" t="s">
        <v>1</v>
      </c>
      <c r="AA75" s="196" t="s">
        <v>1</v>
      </c>
      <c r="AB75" s="196" t="s">
        <v>1</v>
      </c>
      <c r="AC75" s="197" t="s">
        <v>1</v>
      </c>
      <c r="AD75" s="197" t="s">
        <v>1</v>
      </c>
      <c r="AE75" s="197" t="s">
        <v>1</v>
      </c>
      <c r="AF75" s="198" t="s">
        <v>1</v>
      </c>
      <c r="AG75" s="198" t="s">
        <v>1</v>
      </c>
      <c r="AH75" s="198" t="s">
        <v>1</v>
      </c>
      <c r="AI75" s="209" t="s">
        <v>1</v>
      </c>
      <c r="AJ75" s="209" t="s">
        <v>1</v>
      </c>
      <c r="AK75" s="209" t="s">
        <v>1</v>
      </c>
      <c r="AL75" s="198">
        <v>0</v>
      </c>
      <c r="AM75" s="200" t="s">
        <v>1</v>
      </c>
      <c r="AN75" s="199" t="s">
        <v>1</v>
      </c>
      <c r="AO75" s="199" t="s">
        <v>1252</v>
      </c>
      <c r="AP75" s="198" t="s">
        <v>1</v>
      </c>
      <c r="AQ75" s="198" t="s">
        <v>1</v>
      </c>
      <c r="AR75" s="201" t="s">
        <v>1</v>
      </c>
      <c r="AS75" s="201" t="s">
        <v>1</v>
      </c>
      <c r="AT75" s="199" t="s">
        <v>1</v>
      </c>
      <c r="AU75" s="199" t="s">
        <v>1</v>
      </c>
      <c r="AV75" s="202" t="s">
        <v>1</v>
      </c>
      <c r="AW75" s="199" t="s">
        <v>1</v>
      </c>
    </row>
    <row r="76" spans="1:49" ht="30.15" customHeight="1" x14ac:dyDescent="0.25">
      <c r="A76" s="188" t="s">
        <v>18</v>
      </c>
      <c r="B76" s="188" t="s">
        <v>1</v>
      </c>
      <c r="C76" s="188" t="s">
        <v>35</v>
      </c>
      <c r="D76" s="190" t="s">
        <v>3</v>
      </c>
      <c r="E76" s="190" t="s">
        <v>744</v>
      </c>
      <c r="F76" s="203"/>
      <c r="G76" s="190" t="s">
        <v>778</v>
      </c>
      <c r="H76" s="192" t="s">
        <v>414</v>
      </c>
      <c r="I76" s="194">
        <v>490</v>
      </c>
      <c r="J76" s="194">
        <v>532</v>
      </c>
      <c r="K76" s="193">
        <v>532</v>
      </c>
      <c r="L76" s="193">
        <v>560</v>
      </c>
      <c r="M76" s="194">
        <v>560</v>
      </c>
      <c r="N76" s="195" t="s">
        <v>1</v>
      </c>
      <c r="O76" s="195" t="s">
        <v>1</v>
      </c>
      <c r="P76" s="195" t="s">
        <v>1</v>
      </c>
      <c r="Q76" s="195" t="s">
        <v>1</v>
      </c>
      <c r="R76" s="196" t="s">
        <v>1</v>
      </c>
      <c r="S76" s="197" t="s">
        <v>1</v>
      </c>
      <c r="T76" s="197" t="s">
        <v>1</v>
      </c>
      <c r="U76" s="197" t="s">
        <v>1</v>
      </c>
      <c r="V76" s="197" t="s">
        <v>1</v>
      </c>
      <c r="W76" s="196" t="s">
        <v>1</v>
      </c>
      <c r="X76" s="195" t="s">
        <v>1</v>
      </c>
      <c r="Y76" s="195" t="s">
        <v>1</v>
      </c>
      <c r="Z76" s="195" t="s">
        <v>1</v>
      </c>
      <c r="AA76" s="196" t="s">
        <v>1</v>
      </c>
      <c r="AB76" s="196" t="s">
        <v>1</v>
      </c>
      <c r="AC76" s="197" t="s">
        <v>1</v>
      </c>
      <c r="AD76" s="197" t="s">
        <v>1</v>
      </c>
      <c r="AE76" s="197" t="s">
        <v>1</v>
      </c>
      <c r="AF76" s="198" t="s">
        <v>1</v>
      </c>
      <c r="AG76" s="198" t="s">
        <v>1</v>
      </c>
      <c r="AH76" s="198" t="s">
        <v>1</v>
      </c>
      <c r="AI76" s="209" t="s">
        <v>1</v>
      </c>
      <c r="AJ76" s="209" t="s">
        <v>1</v>
      </c>
      <c r="AK76" s="209" t="s">
        <v>1</v>
      </c>
      <c r="AL76" s="198">
        <v>0</v>
      </c>
      <c r="AM76" s="200" t="s">
        <v>1</v>
      </c>
      <c r="AN76" s="199" t="s">
        <v>1</v>
      </c>
      <c r="AO76" s="199" t="s">
        <v>1252</v>
      </c>
      <c r="AP76" s="198" t="s">
        <v>1</v>
      </c>
      <c r="AQ76" s="198" t="s">
        <v>1</v>
      </c>
      <c r="AR76" s="201" t="s">
        <v>1</v>
      </c>
      <c r="AS76" s="201" t="s">
        <v>1</v>
      </c>
      <c r="AT76" s="199" t="s">
        <v>1</v>
      </c>
      <c r="AU76" s="199" t="s">
        <v>1</v>
      </c>
      <c r="AV76" s="202" t="s">
        <v>1</v>
      </c>
      <c r="AW76" s="199" t="s">
        <v>1</v>
      </c>
    </row>
    <row r="77" spans="1:49" ht="30.15" customHeight="1" x14ac:dyDescent="0.25">
      <c r="A77" s="188" t="s">
        <v>18</v>
      </c>
      <c r="B77" s="188" t="s">
        <v>1</v>
      </c>
      <c r="C77" s="188" t="s">
        <v>35</v>
      </c>
      <c r="D77" s="190" t="s">
        <v>3</v>
      </c>
      <c r="E77" s="190" t="s">
        <v>745</v>
      </c>
      <c r="F77" s="203"/>
      <c r="G77" s="190" t="s">
        <v>779</v>
      </c>
      <c r="H77" s="192" t="s">
        <v>414</v>
      </c>
      <c r="I77" s="194">
        <v>454</v>
      </c>
      <c r="J77" s="194">
        <v>494</v>
      </c>
      <c r="K77" s="193">
        <v>494</v>
      </c>
      <c r="L77" s="193">
        <v>520</v>
      </c>
      <c r="M77" s="194">
        <v>520</v>
      </c>
      <c r="N77" s="195" t="s">
        <v>1</v>
      </c>
      <c r="O77" s="195" t="s">
        <v>1</v>
      </c>
      <c r="P77" s="195" t="s">
        <v>1</v>
      </c>
      <c r="Q77" s="195" t="s">
        <v>1</v>
      </c>
      <c r="R77" s="196" t="s">
        <v>1</v>
      </c>
      <c r="S77" s="197" t="s">
        <v>1</v>
      </c>
      <c r="T77" s="197" t="s">
        <v>1</v>
      </c>
      <c r="U77" s="197" t="s">
        <v>1</v>
      </c>
      <c r="V77" s="197" t="s">
        <v>1</v>
      </c>
      <c r="W77" s="196" t="s">
        <v>1</v>
      </c>
      <c r="X77" s="195" t="s">
        <v>1</v>
      </c>
      <c r="Y77" s="195" t="s">
        <v>1</v>
      </c>
      <c r="Z77" s="195" t="s">
        <v>1</v>
      </c>
      <c r="AA77" s="196" t="s">
        <v>1</v>
      </c>
      <c r="AB77" s="196" t="s">
        <v>1</v>
      </c>
      <c r="AC77" s="197" t="s">
        <v>1</v>
      </c>
      <c r="AD77" s="197" t="s">
        <v>1</v>
      </c>
      <c r="AE77" s="197" t="s">
        <v>1</v>
      </c>
      <c r="AF77" s="198" t="s">
        <v>1</v>
      </c>
      <c r="AG77" s="198" t="s">
        <v>1</v>
      </c>
      <c r="AH77" s="198" t="s">
        <v>1</v>
      </c>
      <c r="AI77" s="209" t="s">
        <v>1</v>
      </c>
      <c r="AJ77" s="209" t="s">
        <v>1</v>
      </c>
      <c r="AK77" s="209" t="s">
        <v>1</v>
      </c>
      <c r="AL77" s="198">
        <v>0</v>
      </c>
      <c r="AM77" s="200" t="s">
        <v>1</v>
      </c>
      <c r="AN77" s="199" t="s">
        <v>1</v>
      </c>
      <c r="AO77" s="199" t="s">
        <v>1252</v>
      </c>
      <c r="AP77" s="198" t="s">
        <v>1</v>
      </c>
      <c r="AQ77" s="198" t="s">
        <v>1</v>
      </c>
      <c r="AR77" s="201" t="s">
        <v>1</v>
      </c>
      <c r="AS77" s="201" t="s">
        <v>1</v>
      </c>
      <c r="AT77" s="199" t="s">
        <v>1</v>
      </c>
      <c r="AU77" s="199" t="s">
        <v>1</v>
      </c>
      <c r="AV77" s="202" t="s">
        <v>1</v>
      </c>
      <c r="AW77" s="199" t="s">
        <v>1</v>
      </c>
    </row>
    <row r="78" spans="1:49" ht="30.15" customHeight="1" x14ac:dyDescent="0.25">
      <c r="A78" s="188" t="s">
        <v>18</v>
      </c>
      <c r="B78" s="188" t="s">
        <v>1</v>
      </c>
      <c r="C78" s="188" t="s">
        <v>35</v>
      </c>
      <c r="D78" s="190" t="s">
        <v>3</v>
      </c>
      <c r="E78" s="190" t="s">
        <v>746</v>
      </c>
      <c r="F78" s="203"/>
      <c r="G78" s="190" t="s">
        <v>780</v>
      </c>
      <c r="H78" s="192" t="s">
        <v>414</v>
      </c>
      <c r="I78" s="194">
        <v>490</v>
      </c>
      <c r="J78" s="194">
        <v>532</v>
      </c>
      <c r="K78" s="193">
        <v>532</v>
      </c>
      <c r="L78" s="193">
        <v>560</v>
      </c>
      <c r="M78" s="194">
        <v>560</v>
      </c>
      <c r="N78" s="195" t="s">
        <v>1</v>
      </c>
      <c r="O78" s="195" t="s">
        <v>1</v>
      </c>
      <c r="P78" s="195" t="s">
        <v>1</v>
      </c>
      <c r="Q78" s="195" t="s">
        <v>1</v>
      </c>
      <c r="R78" s="196" t="s">
        <v>1</v>
      </c>
      <c r="S78" s="197" t="s">
        <v>1</v>
      </c>
      <c r="T78" s="197" t="s">
        <v>1</v>
      </c>
      <c r="U78" s="197" t="s">
        <v>1</v>
      </c>
      <c r="V78" s="197" t="s">
        <v>1</v>
      </c>
      <c r="W78" s="196" t="s">
        <v>1</v>
      </c>
      <c r="X78" s="195" t="s">
        <v>1</v>
      </c>
      <c r="Y78" s="195" t="s">
        <v>1</v>
      </c>
      <c r="Z78" s="195" t="s">
        <v>1</v>
      </c>
      <c r="AA78" s="196" t="s">
        <v>1</v>
      </c>
      <c r="AB78" s="196" t="s">
        <v>1</v>
      </c>
      <c r="AC78" s="197" t="s">
        <v>1</v>
      </c>
      <c r="AD78" s="197" t="s">
        <v>1</v>
      </c>
      <c r="AE78" s="197" t="s">
        <v>1</v>
      </c>
      <c r="AF78" s="198" t="s">
        <v>1</v>
      </c>
      <c r="AG78" s="198" t="s">
        <v>1</v>
      </c>
      <c r="AH78" s="198" t="s">
        <v>1</v>
      </c>
      <c r="AI78" s="209" t="s">
        <v>1</v>
      </c>
      <c r="AJ78" s="209" t="s">
        <v>1</v>
      </c>
      <c r="AK78" s="209" t="s">
        <v>1</v>
      </c>
      <c r="AL78" s="198">
        <v>0</v>
      </c>
      <c r="AM78" s="200" t="s">
        <v>1</v>
      </c>
      <c r="AN78" s="199" t="s">
        <v>1</v>
      </c>
      <c r="AO78" s="199" t="s">
        <v>1252</v>
      </c>
      <c r="AP78" s="198" t="s">
        <v>1</v>
      </c>
      <c r="AQ78" s="198" t="s">
        <v>1</v>
      </c>
      <c r="AR78" s="201" t="s">
        <v>1</v>
      </c>
      <c r="AS78" s="201" t="s">
        <v>1</v>
      </c>
      <c r="AT78" s="199" t="s">
        <v>1</v>
      </c>
      <c r="AU78" s="199" t="s">
        <v>1</v>
      </c>
      <c r="AV78" s="202" t="s">
        <v>1</v>
      </c>
      <c r="AW78" s="199" t="s">
        <v>1</v>
      </c>
    </row>
    <row r="79" spans="1:49" ht="30.15" customHeight="1" x14ac:dyDescent="0.25">
      <c r="A79" s="188" t="s">
        <v>18</v>
      </c>
      <c r="B79" s="188" t="s">
        <v>1</v>
      </c>
      <c r="C79" s="188" t="s">
        <v>35</v>
      </c>
      <c r="D79" s="190" t="s">
        <v>3</v>
      </c>
      <c r="E79" s="190" t="s">
        <v>747</v>
      </c>
      <c r="F79" s="203"/>
      <c r="G79" s="190" t="s">
        <v>781</v>
      </c>
      <c r="H79" s="192" t="s">
        <v>414</v>
      </c>
      <c r="I79" s="194">
        <v>454</v>
      </c>
      <c r="J79" s="194">
        <v>494</v>
      </c>
      <c r="K79" s="193">
        <v>494</v>
      </c>
      <c r="L79" s="193">
        <v>520</v>
      </c>
      <c r="M79" s="194">
        <v>520</v>
      </c>
      <c r="N79" s="195" t="s">
        <v>1</v>
      </c>
      <c r="O79" s="195" t="s">
        <v>1</v>
      </c>
      <c r="P79" s="195" t="s">
        <v>1</v>
      </c>
      <c r="Q79" s="195" t="s">
        <v>1</v>
      </c>
      <c r="R79" s="196" t="s">
        <v>1</v>
      </c>
      <c r="S79" s="197" t="s">
        <v>1</v>
      </c>
      <c r="T79" s="197" t="s">
        <v>1</v>
      </c>
      <c r="U79" s="197" t="s">
        <v>1</v>
      </c>
      <c r="V79" s="197" t="s">
        <v>1</v>
      </c>
      <c r="W79" s="196" t="s">
        <v>1</v>
      </c>
      <c r="X79" s="195" t="s">
        <v>1</v>
      </c>
      <c r="Y79" s="195" t="s">
        <v>1</v>
      </c>
      <c r="Z79" s="195" t="s">
        <v>1</v>
      </c>
      <c r="AA79" s="196" t="s">
        <v>1</v>
      </c>
      <c r="AB79" s="196" t="s">
        <v>1</v>
      </c>
      <c r="AC79" s="197" t="s">
        <v>1</v>
      </c>
      <c r="AD79" s="197" t="s">
        <v>1</v>
      </c>
      <c r="AE79" s="197" t="s">
        <v>1</v>
      </c>
      <c r="AF79" s="198" t="s">
        <v>1</v>
      </c>
      <c r="AG79" s="198" t="s">
        <v>1</v>
      </c>
      <c r="AH79" s="198" t="s">
        <v>1</v>
      </c>
      <c r="AI79" s="209" t="s">
        <v>1</v>
      </c>
      <c r="AJ79" s="209" t="s">
        <v>1</v>
      </c>
      <c r="AK79" s="209" t="s">
        <v>1</v>
      </c>
      <c r="AL79" s="198">
        <v>0</v>
      </c>
      <c r="AM79" s="200" t="s">
        <v>1</v>
      </c>
      <c r="AN79" s="199" t="s">
        <v>1</v>
      </c>
      <c r="AO79" s="199" t="s">
        <v>1252</v>
      </c>
      <c r="AP79" s="198" t="s">
        <v>1</v>
      </c>
      <c r="AQ79" s="198" t="s">
        <v>1</v>
      </c>
      <c r="AR79" s="201" t="s">
        <v>1</v>
      </c>
      <c r="AS79" s="201" t="s">
        <v>1</v>
      </c>
      <c r="AT79" s="199" t="s">
        <v>1</v>
      </c>
      <c r="AU79" s="199" t="s">
        <v>1</v>
      </c>
      <c r="AV79" s="202" t="s">
        <v>1</v>
      </c>
      <c r="AW79" s="199" t="s">
        <v>1</v>
      </c>
    </row>
    <row r="80" spans="1:49" ht="30.15" customHeight="1" x14ac:dyDescent="0.25">
      <c r="A80" s="188" t="s">
        <v>18</v>
      </c>
      <c r="B80" s="188" t="s">
        <v>1</v>
      </c>
      <c r="C80" s="188" t="s">
        <v>35</v>
      </c>
      <c r="D80" s="190" t="s">
        <v>3</v>
      </c>
      <c r="E80" s="190" t="s">
        <v>748</v>
      </c>
      <c r="F80" s="203"/>
      <c r="G80" s="190" t="s">
        <v>782</v>
      </c>
      <c r="H80" s="192" t="s">
        <v>414</v>
      </c>
      <c r="I80" s="194">
        <v>454</v>
      </c>
      <c r="J80" s="194">
        <v>494</v>
      </c>
      <c r="K80" s="193">
        <v>494</v>
      </c>
      <c r="L80" s="193">
        <v>520</v>
      </c>
      <c r="M80" s="194">
        <v>520</v>
      </c>
      <c r="N80" s="195" t="s">
        <v>1</v>
      </c>
      <c r="O80" s="195" t="s">
        <v>1</v>
      </c>
      <c r="P80" s="195" t="s">
        <v>1</v>
      </c>
      <c r="Q80" s="195" t="s">
        <v>1</v>
      </c>
      <c r="R80" s="196" t="s">
        <v>1</v>
      </c>
      <c r="S80" s="197" t="s">
        <v>1</v>
      </c>
      <c r="T80" s="197" t="s">
        <v>1</v>
      </c>
      <c r="U80" s="197" t="s">
        <v>1</v>
      </c>
      <c r="V80" s="197" t="s">
        <v>1</v>
      </c>
      <c r="W80" s="196" t="s">
        <v>1</v>
      </c>
      <c r="X80" s="195" t="s">
        <v>1</v>
      </c>
      <c r="Y80" s="195" t="s">
        <v>1</v>
      </c>
      <c r="Z80" s="195" t="s">
        <v>1</v>
      </c>
      <c r="AA80" s="196" t="s">
        <v>1</v>
      </c>
      <c r="AB80" s="196" t="s">
        <v>1</v>
      </c>
      <c r="AC80" s="197" t="s">
        <v>1</v>
      </c>
      <c r="AD80" s="197" t="s">
        <v>1</v>
      </c>
      <c r="AE80" s="197" t="s">
        <v>1</v>
      </c>
      <c r="AF80" s="198" t="s">
        <v>1</v>
      </c>
      <c r="AG80" s="198" t="s">
        <v>1</v>
      </c>
      <c r="AH80" s="198" t="s">
        <v>1</v>
      </c>
      <c r="AI80" s="209" t="s">
        <v>1</v>
      </c>
      <c r="AJ80" s="209" t="s">
        <v>1</v>
      </c>
      <c r="AK80" s="209" t="s">
        <v>1</v>
      </c>
      <c r="AL80" s="198">
        <v>0</v>
      </c>
      <c r="AM80" s="200" t="s">
        <v>1</v>
      </c>
      <c r="AN80" s="199" t="s">
        <v>1</v>
      </c>
      <c r="AO80" s="199" t="s">
        <v>1252</v>
      </c>
      <c r="AP80" s="198" t="s">
        <v>1</v>
      </c>
      <c r="AQ80" s="198" t="s">
        <v>1</v>
      </c>
      <c r="AR80" s="201" t="s">
        <v>1</v>
      </c>
      <c r="AS80" s="201" t="s">
        <v>1</v>
      </c>
      <c r="AT80" s="199" t="s">
        <v>1</v>
      </c>
      <c r="AU80" s="199" t="s">
        <v>1</v>
      </c>
      <c r="AV80" s="202" t="s">
        <v>1</v>
      </c>
      <c r="AW80" s="199" t="s">
        <v>1</v>
      </c>
    </row>
    <row r="81" spans="1:49" ht="30.15" customHeight="1" x14ac:dyDescent="0.25">
      <c r="A81" s="188" t="s">
        <v>18</v>
      </c>
      <c r="B81" s="188" t="s">
        <v>1</v>
      </c>
      <c r="C81" s="188" t="s">
        <v>35</v>
      </c>
      <c r="D81" s="190" t="s">
        <v>3</v>
      </c>
      <c r="E81" s="190" t="s">
        <v>749</v>
      </c>
      <c r="F81" s="203"/>
      <c r="G81" s="190" t="s">
        <v>783</v>
      </c>
      <c r="H81" s="192" t="s">
        <v>414</v>
      </c>
      <c r="I81" s="194">
        <v>454</v>
      </c>
      <c r="J81" s="194">
        <v>494</v>
      </c>
      <c r="K81" s="193">
        <v>494</v>
      </c>
      <c r="L81" s="193">
        <v>520</v>
      </c>
      <c r="M81" s="194">
        <v>520</v>
      </c>
      <c r="N81" s="195" t="s">
        <v>1</v>
      </c>
      <c r="O81" s="195" t="s">
        <v>1</v>
      </c>
      <c r="P81" s="195" t="s">
        <v>1</v>
      </c>
      <c r="Q81" s="195" t="s">
        <v>1</v>
      </c>
      <c r="R81" s="196" t="s">
        <v>1</v>
      </c>
      <c r="S81" s="197" t="s">
        <v>1</v>
      </c>
      <c r="T81" s="197" t="s">
        <v>1</v>
      </c>
      <c r="U81" s="197" t="s">
        <v>1</v>
      </c>
      <c r="V81" s="197" t="s">
        <v>1</v>
      </c>
      <c r="W81" s="196" t="s">
        <v>1</v>
      </c>
      <c r="X81" s="195" t="s">
        <v>1</v>
      </c>
      <c r="Y81" s="195" t="s">
        <v>1</v>
      </c>
      <c r="Z81" s="195" t="s">
        <v>1</v>
      </c>
      <c r="AA81" s="196" t="s">
        <v>1</v>
      </c>
      <c r="AB81" s="196" t="s">
        <v>1</v>
      </c>
      <c r="AC81" s="197" t="s">
        <v>1</v>
      </c>
      <c r="AD81" s="197" t="s">
        <v>1</v>
      </c>
      <c r="AE81" s="197" t="s">
        <v>1</v>
      </c>
      <c r="AF81" s="198" t="s">
        <v>1</v>
      </c>
      <c r="AG81" s="198" t="s">
        <v>1</v>
      </c>
      <c r="AH81" s="198" t="s">
        <v>1</v>
      </c>
      <c r="AI81" s="209" t="s">
        <v>1</v>
      </c>
      <c r="AJ81" s="209" t="s">
        <v>1</v>
      </c>
      <c r="AK81" s="209" t="s">
        <v>1</v>
      </c>
      <c r="AL81" s="198">
        <v>0</v>
      </c>
      <c r="AM81" s="200" t="s">
        <v>1</v>
      </c>
      <c r="AN81" s="199" t="s">
        <v>1</v>
      </c>
      <c r="AO81" s="199" t="s">
        <v>1252</v>
      </c>
      <c r="AP81" s="198" t="s">
        <v>1</v>
      </c>
      <c r="AQ81" s="198" t="s">
        <v>1</v>
      </c>
      <c r="AR81" s="201" t="s">
        <v>1</v>
      </c>
      <c r="AS81" s="201" t="s">
        <v>1</v>
      </c>
      <c r="AT81" s="199" t="s">
        <v>1</v>
      </c>
      <c r="AU81" s="199" t="s">
        <v>1</v>
      </c>
      <c r="AV81" s="202" t="s">
        <v>1</v>
      </c>
      <c r="AW81" s="199" t="s">
        <v>1</v>
      </c>
    </row>
    <row r="82" spans="1:49" ht="30.15" customHeight="1" x14ac:dyDescent="0.25">
      <c r="A82" s="188" t="s">
        <v>18</v>
      </c>
      <c r="B82" s="188" t="s">
        <v>1</v>
      </c>
      <c r="C82" s="188" t="s">
        <v>35</v>
      </c>
      <c r="D82" s="190" t="s">
        <v>3</v>
      </c>
      <c r="E82" s="190" t="s">
        <v>750</v>
      </c>
      <c r="F82" s="203"/>
      <c r="G82" s="190" t="s">
        <v>784</v>
      </c>
      <c r="H82" s="192" t="s">
        <v>414</v>
      </c>
      <c r="I82" s="194">
        <v>454</v>
      </c>
      <c r="J82" s="194">
        <v>494</v>
      </c>
      <c r="K82" s="193">
        <v>494</v>
      </c>
      <c r="L82" s="193">
        <v>520</v>
      </c>
      <c r="M82" s="194">
        <v>520</v>
      </c>
      <c r="N82" s="195" t="s">
        <v>1</v>
      </c>
      <c r="O82" s="195" t="s">
        <v>1</v>
      </c>
      <c r="P82" s="195" t="s">
        <v>1</v>
      </c>
      <c r="Q82" s="195" t="s">
        <v>1</v>
      </c>
      <c r="R82" s="196" t="s">
        <v>1</v>
      </c>
      <c r="S82" s="197" t="s">
        <v>1</v>
      </c>
      <c r="T82" s="197" t="s">
        <v>1</v>
      </c>
      <c r="U82" s="197" t="s">
        <v>1</v>
      </c>
      <c r="V82" s="197" t="s">
        <v>1</v>
      </c>
      <c r="W82" s="196" t="s">
        <v>1</v>
      </c>
      <c r="X82" s="195" t="s">
        <v>1</v>
      </c>
      <c r="Y82" s="195" t="s">
        <v>1</v>
      </c>
      <c r="Z82" s="195" t="s">
        <v>1</v>
      </c>
      <c r="AA82" s="196" t="s">
        <v>1</v>
      </c>
      <c r="AB82" s="196" t="s">
        <v>1</v>
      </c>
      <c r="AC82" s="197" t="s">
        <v>1</v>
      </c>
      <c r="AD82" s="197" t="s">
        <v>1</v>
      </c>
      <c r="AE82" s="197" t="s">
        <v>1</v>
      </c>
      <c r="AF82" s="198" t="s">
        <v>1</v>
      </c>
      <c r="AG82" s="198" t="s">
        <v>1</v>
      </c>
      <c r="AH82" s="198" t="s">
        <v>1</v>
      </c>
      <c r="AI82" s="209" t="s">
        <v>1</v>
      </c>
      <c r="AJ82" s="209" t="s">
        <v>1</v>
      </c>
      <c r="AK82" s="209" t="s">
        <v>1</v>
      </c>
      <c r="AL82" s="198">
        <v>0</v>
      </c>
      <c r="AM82" s="200" t="s">
        <v>1</v>
      </c>
      <c r="AN82" s="199" t="s">
        <v>1</v>
      </c>
      <c r="AO82" s="199" t="s">
        <v>1252</v>
      </c>
      <c r="AP82" s="198" t="s">
        <v>1</v>
      </c>
      <c r="AQ82" s="198" t="s">
        <v>1</v>
      </c>
      <c r="AR82" s="201" t="s">
        <v>1</v>
      </c>
      <c r="AS82" s="201" t="s">
        <v>1</v>
      </c>
      <c r="AT82" s="199" t="s">
        <v>1</v>
      </c>
      <c r="AU82" s="199" t="s">
        <v>1</v>
      </c>
      <c r="AV82" s="202" t="s">
        <v>1</v>
      </c>
      <c r="AW82" s="199" t="s">
        <v>1</v>
      </c>
    </row>
    <row r="83" spans="1:49" ht="30.15" customHeight="1" x14ac:dyDescent="0.25">
      <c r="A83" s="188" t="s">
        <v>18</v>
      </c>
      <c r="B83" s="188" t="s">
        <v>1</v>
      </c>
      <c r="C83" s="188" t="s">
        <v>35</v>
      </c>
      <c r="D83" s="190" t="s">
        <v>3</v>
      </c>
      <c r="E83" s="190" t="s">
        <v>751</v>
      </c>
      <c r="F83" s="203"/>
      <c r="G83" s="190" t="s">
        <v>785</v>
      </c>
      <c r="H83" s="192" t="s">
        <v>414</v>
      </c>
      <c r="I83" s="194">
        <v>610</v>
      </c>
      <c r="J83" s="194">
        <v>665</v>
      </c>
      <c r="K83" s="193">
        <v>665</v>
      </c>
      <c r="L83" s="193">
        <v>700</v>
      </c>
      <c r="M83" s="194">
        <v>700</v>
      </c>
      <c r="N83" s="195" t="s">
        <v>1</v>
      </c>
      <c r="O83" s="195" t="s">
        <v>1</v>
      </c>
      <c r="P83" s="195" t="s">
        <v>1</v>
      </c>
      <c r="Q83" s="195" t="s">
        <v>1</v>
      </c>
      <c r="R83" s="196" t="s">
        <v>1</v>
      </c>
      <c r="S83" s="197" t="s">
        <v>1</v>
      </c>
      <c r="T83" s="197" t="s">
        <v>1</v>
      </c>
      <c r="U83" s="197" t="s">
        <v>1</v>
      </c>
      <c r="V83" s="197" t="s">
        <v>1</v>
      </c>
      <c r="W83" s="196" t="s">
        <v>1</v>
      </c>
      <c r="X83" s="195" t="s">
        <v>1</v>
      </c>
      <c r="Y83" s="195" t="s">
        <v>1</v>
      </c>
      <c r="Z83" s="195" t="s">
        <v>1</v>
      </c>
      <c r="AA83" s="196" t="s">
        <v>1</v>
      </c>
      <c r="AB83" s="196" t="s">
        <v>1</v>
      </c>
      <c r="AC83" s="197" t="s">
        <v>1</v>
      </c>
      <c r="AD83" s="197" t="s">
        <v>1</v>
      </c>
      <c r="AE83" s="197" t="s">
        <v>1</v>
      </c>
      <c r="AF83" s="198" t="s">
        <v>1</v>
      </c>
      <c r="AG83" s="198" t="s">
        <v>1</v>
      </c>
      <c r="AH83" s="198" t="s">
        <v>1</v>
      </c>
      <c r="AI83" s="209" t="s">
        <v>1</v>
      </c>
      <c r="AJ83" s="209" t="s">
        <v>1</v>
      </c>
      <c r="AK83" s="209" t="s">
        <v>1</v>
      </c>
      <c r="AL83" s="198">
        <v>0</v>
      </c>
      <c r="AM83" s="200" t="s">
        <v>1</v>
      </c>
      <c r="AN83" s="199" t="s">
        <v>1</v>
      </c>
      <c r="AO83" s="199" t="s">
        <v>1252</v>
      </c>
      <c r="AP83" s="198" t="s">
        <v>1</v>
      </c>
      <c r="AQ83" s="198" t="s">
        <v>1</v>
      </c>
      <c r="AR83" s="201" t="s">
        <v>1</v>
      </c>
      <c r="AS83" s="201" t="s">
        <v>1</v>
      </c>
      <c r="AT83" s="199" t="s">
        <v>1</v>
      </c>
      <c r="AU83" s="199" t="s">
        <v>1</v>
      </c>
      <c r="AV83" s="202" t="s">
        <v>1</v>
      </c>
      <c r="AW83" s="199" t="s">
        <v>1</v>
      </c>
    </row>
    <row r="84" spans="1:49" ht="30.15" customHeight="1" x14ac:dyDescent="0.25">
      <c r="A84" s="188" t="s">
        <v>18</v>
      </c>
      <c r="B84" s="188" t="s">
        <v>1</v>
      </c>
      <c r="C84" s="188" t="s">
        <v>35</v>
      </c>
      <c r="D84" s="190" t="s">
        <v>3</v>
      </c>
      <c r="E84" s="190" t="s">
        <v>752</v>
      </c>
      <c r="F84" s="203"/>
      <c r="G84" s="190" t="s">
        <v>786</v>
      </c>
      <c r="H84" s="192" t="s">
        <v>414</v>
      </c>
      <c r="I84" s="194">
        <v>713</v>
      </c>
      <c r="J84" s="194">
        <v>779</v>
      </c>
      <c r="K84" s="193">
        <v>779</v>
      </c>
      <c r="L84" s="193">
        <v>820</v>
      </c>
      <c r="M84" s="194">
        <v>820</v>
      </c>
      <c r="N84" s="195" t="s">
        <v>1</v>
      </c>
      <c r="O84" s="195" t="s">
        <v>1</v>
      </c>
      <c r="P84" s="195" t="s">
        <v>1</v>
      </c>
      <c r="Q84" s="195" t="s">
        <v>1</v>
      </c>
      <c r="R84" s="196" t="s">
        <v>1</v>
      </c>
      <c r="S84" s="197" t="s">
        <v>1</v>
      </c>
      <c r="T84" s="197" t="s">
        <v>1</v>
      </c>
      <c r="U84" s="197" t="s">
        <v>1</v>
      </c>
      <c r="V84" s="197" t="s">
        <v>1</v>
      </c>
      <c r="W84" s="196" t="s">
        <v>1</v>
      </c>
      <c r="X84" s="195" t="s">
        <v>1</v>
      </c>
      <c r="Y84" s="195" t="s">
        <v>1</v>
      </c>
      <c r="Z84" s="195" t="s">
        <v>1</v>
      </c>
      <c r="AA84" s="196" t="s">
        <v>1</v>
      </c>
      <c r="AB84" s="196" t="s">
        <v>1</v>
      </c>
      <c r="AC84" s="197" t="s">
        <v>1</v>
      </c>
      <c r="AD84" s="197" t="s">
        <v>1</v>
      </c>
      <c r="AE84" s="197" t="s">
        <v>1</v>
      </c>
      <c r="AF84" s="198" t="s">
        <v>1</v>
      </c>
      <c r="AG84" s="198" t="s">
        <v>1</v>
      </c>
      <c r="AH84" s="198" t="s">
        <v>1</v>
      </c>
      <c r="AI84" s="209" t="s">
        <v>1</v>
      </c>
      <c r="AJ84" s="209" t="s">
        <v>1</v>
      </c>
      <c r="AK84" s="209" t="s">
        <v>1</v>
      </c>
      <c r="AL84" s="198">
        <v>0</v>
      </c>
      <c r="AM84" s="200" t="s">
        <v>1</v>
      </c>
      <c r="AN84" s="199" t="s">
        <v>1</v>
      </c>
      <c r="AO84" s="199" t="s">
        <v>1253</v>
      </c>
      <c r="AP84" s="198" t="s">
        <v>1</v>
      </c>
      <c r="AQ84" s="198" t="s">
        <v>1</v>
      </c>
      <c r="AR84" s="201" t="s">
        <v>1</v>
      </c>
      <c r="AS84" s="201" t="s">
        <v>1</v>
      </c>
      <c r="AT84" s="199" t="s">
        <v>1</v>
      </c>
      <c r="AU84" s="199" t="s">
        <v>1</v>
      </c>
      <c r="AV84" s="202" t="s">
        <v>1</v>
      </c>
      <c r="AW84" s="199" t="s">
        <v>1</v>
      </c>
    </row>
    <row r="85" spans="1:49" ht="30.15" customHeight="1" x14ac:dyDescent="0.25">
      <c r="A85" s="188" t="s">
        <v>18</v>
      </c>
      <c r="B85" s="188" t="s">
        <v>1</v>
      </c>
      <c r="C85" s="188" t="s">
        <v>35</v>
      </c>
      <c r="D85" s="190" t="s">
        <v>3</v>
      </c>
      <c r="E85" s="190" t="s">
        <v>753</v>
      </c>
      <c r="F85" s="203"/>
      <c r="G85" s="190" t="s">
        <v>787</v>
      </c>
      <c r="H85" s="192" t="s">
        <v>414</v>
      </c>
      <c r="I85" s="194">
        <v>454</v>
      </c>
      <c r="J85" s="194">
        <v>494</v>
      </c>
      <c r="K85" s="193">
        <v>494</v>
      </c>
      <c r="L85" s="193">
        <v>520</v>
      </c>
      <c r="M85" s="194">
        <v>520</v>
      </c>
      <c r="N85" s="195" t="s">
        <v>1</v>
      </c>
      <c r="O85" s="195" t="s">
        <v>1</v>
      </c>
      <c r="P85" s="195" t="s">
        <v>1</v>
      </c>
      <c r="Q85" s="195" t="s">
        <v>1</v>
      </c>
      <c r="R85" s="196" t="s">
        <v>1</v>
      </c>
      <c r="S85" s="197" t="s">
        <v>1</v>
      </c>
      <c r="T85" s="197" t="s">
        <v>1</v>
      </c>
      <c r="U85" s="197" t="s">
        <v>1</v>
      </c>
      <c r="V85" s="197" t="s">
        <v>1</v>
      </c>
      <c r="W85" s="196" t="s">
        <v>1</v>
      </c>
      <c r="X85" s="195" t="s">
        <v>1</v>
      </c>
      <c r="Y85" s="195" t="s">
        <v>1</v>
      </c>
      <c r="Z85" s="195" t="s">
        <v>1</v>
      </c>
      <c r="AA85" s="196" t="s">
        <v>1</v>
      </c>
      <c r="AB85" s="196" t="s">
        <v>1</v>
      </c>
      <c r="AC85" s="197" t="s">
        <v>1</v>
      </c>
      <c r="AD85" s="197" t="s">
        <v>1</v>
      </c>
      <c r="AE85" s="197" t="s">
        <v>1</v>
      </c>
      <c r="AF85" s="198" t="s">
        <v>1</v>
      </c>
      <c r="AG85" s="198" t="s">
        <v>1</v>
      </c>
      <c r="AH85" s="198" t="s">
        <v>1</v>
      </c>
      <c r="AI85" s="209" t="s">
        <v>1</v>
      </c>
      <c r="AJ85" s="209" t="s">
        <v>1</v>
      </c>
      <c r="AK85" s="209" t="s">
        <v>1</v>
      </c>
      <c r="AL85" s="198">
        <v>0</v>
      </c>
      <c r="AM85" s="200" t="s">
        <v>1</v>
      </c>
      <c r="AN85" s="199" t="s">
        <v>1</v>
      </c>
      <c r="AO85" s="199" t="s">
        <v>1252</v>
      </c>
      <c r="AP85" s="198" t="s">
        <v>1</v>
      </c>
      <c r="AQ85" s="198" t="s">
        <v>1</v>
      </c>
      <c r="AR85" s="201" t="s">
        <v>1</v>
      </c>
      <c r="AS85" s="201" t="s">
        <v>1</v>
      </c>
      <c r="AT85" s="199" t="s">
        <v>1</v>
      </c>
      <c r="AU85" s="199" t="s">
        <v>1</v>
      </c>
      <c r="AV85" s="202" t="s">
        <v>1</v>
      </c>
      <c r="AW85" s="199" t="s">
        <v>1</v>
      </c>
    </row>
    <row r="86" spans="1:49" ht="30.15" customHeight="1" x14ac:dyDescent="0.25">
      <c r="A86" s="188" t="s">
        <v>18</v>
      </c>
      <c r="B86" s="188" t="s">
        <v>1</v>
      </c>
      <c r="C86" s="188" t="s">
        <v>35</v>
      </c>
      <c r="D86" s="190" t="s">
        <v>3</v>
      </c>
      <c r="E86" s="190" t="s">
        <v>754</v>
      </c>
      <c r="F86" s="203"/>
      <c r="G86" s="190" t="s">
        <v>788</v>
      </c>
      <c r="H86" s="192" t="s">
        <v>414</v>
      </c>
      <c r="I86" s="194">
        <v>472</v>
      </c>
      <c r="J86" s="194">
        <v>513</v>
      </c>
      <c r="K86" s="193">
        <v>513</v>
      </c>
      <c r="L86" s="193">
        <v>540</v>
      </c>
      <c r="M86" s="194">
        <v>540</v>
      </c>
      <c r="N86" s="195" t="s">
        <v>1</v>
      </c>
      <c r="O86" s="195" t="s">
        <v>1</v>
      </c>
      <c r="P86" s="195" t="s">
        <v>1</v>
      </c>
      <c r="Q86" s="195" t="s">
        <v>1</v>
      </c>
      <c r="R86" s="196" t="s">
        <v>1</v>
      </c>
      <c r="S86" s="197" t="s">
        <v>1</v>
      </c>
      <c r="T86" s="197" t="s">
        <v>1</v>
      </c>
      <c r="U86" s="197" t="s">
        <v>1</v>
      </c>
      <c r="V86" s="197" t="s">
        <v>1</v>
      </c>
      <c r="W86" s="196" t="s">
        <v>1</v>
      </c>
      <c r="X86" s="195" t="s">
        <v>1</v>
      </c>
      <c r="Y86" s="195" t="s">
        <v>1</v>
      </c>
      <c r="Z86" s="195" t="s">
        <v>1</v>
      </c>
      <c r="AA86" s="196" t="s">
        <v>1</v>
      </c>
      <c r="AB86" s="196" t="s">
        <v>1</v>
      </c>
      <c r="AC86" s="197" t="s">
        <v>1</v>
      </c>
      <c r="AD86" s="197" t="s">
        <v>1</v>
      </c>
      <c r="AE86" s="197" t="s">
        <v>1</v>
      </c>
      <c r="AF86" s="198" t="s">
        <v>1</v>
      </c>
      <c r="AG86" s="198" t="s">
        <v>1</v>
      </c>
      <c r="AH86" s="198" t="s">
        <v>1</v>
      </c>
      <c r="AI86" s="209" t="s">
        <v>1</v>
      </c>
      <c r="AJ86" s="209" t="s">
        <v>1</v>
      </c>
      <c r="AK86" s="209" t="s">
        <v>1</v>
      </c>
      <c r="AL86" s="198">
        <v>0</v>
      </c>
      <c r="AM86" s="200" t="s">
        <v>1</v>
      </c>
      <c r="AN86" s="199" t="s">
        <v>1</v>
      </c>
      <c r="AO86" s="199" t="s">
        <v>1252</v>
      </c>
      <c r="AP86" s="198" t="s">
        <v>1</v>
      </c>
      <c r="AQ86" s="198" t="s">
        <v>1</v>
      </c>
      <c r="AR86" s="201" t="s">
        <v>1</v>
      </c>
      <c r="AS86" s="201" t="s">
        <v>1</v>
      </c>
      <c r="AT86" s="199" t="s">
        <v>1</v>
      </c>
      <c r="AU86" s="199" t="s">
        <v>1</v>
      </c>
      <c r="AV86" s="202" t="s">
        <v>1</v>
      </c>
      <c r="AW86" s="199" t="s">
        <v>1</v>
      </c>
    </row>
    <row r="87" spans="1:49" ht="30.15" customHeight="1" x14ac:dyDescent="0.25">
      <c r="A87" s="188" t="s">
        <v>18</v>
      </c>
      <c r="B87" s="188" t="s">
        <v>1</v>
      </c>
      <c r="C87" s="188" t="s">
        <v>35</v>
      </c>
      <c r="D87" s="190" t="s">
        <v>3</v>
      </c>
      <c r="E87" s="190" t="s">
        <v>755</v>
      </c>
      <c r="F87" s="203"/>
      <c r="G87" s="190" t="s">
        <v>789</v>
      </c>
      <c r="H87" s="192" t="s">
        <v>414</v>
      </c>
      <c r="I87" s="194">
        <v>713</v>
      </c>
      <c r="J87" s="194">
        <v>779</v>
      </c>
      <c r="K87" s="193">
        <v>779</v>
      </c>
      <c r="L87" s="193">
        <v>820</v>
      </c>
      <c r="M87" s="194">
        <v>820</v>
      </c>
      <c r="N87" s="195" t="s">
        <v>1</v>
      </c>
      <c r="O87" s="195" t="s">
        <v>1</v>
      </c>
      <c r="P87" s="195" t="s">
        <v>1</v>
      </c>
      <c r="Q87" s="195" t="s">
        <v>1</v>
      </c>
      <c r="R87" s="196" t="s">
        <v>1</v>
      </c>
      <c r="S87" s="197" t="s">
        <v>1</v>
      </c>
      <c r="T87" s="197" t="s">
        <v>1</v>
      </c>
      <c r="U87" s="197" t="s">
        <v>1</v>
      </c>
      <c r="V87" s="197" t="s">
        <v>1</v>
      </c>
      <c r="W87" s="196" t="s">
        <v>1</v>
      </c>
      <c r="X87" s="195" t="s">
        <v>1</v>
      </c>
      <c r="Y87" s="195" t="s">
        <v>1</v>
      </c>
      <c r="Z87" s="195" t="s">
        <v>1</v>
      </c>
      <c r="AA87" s="196" t="s">
        <v>1</v>
      </c>
      <c r="AB87" s="196" t="s">
        <v>1</v>
      </c>
      <c r="AC87" s="197" t="s">
        <v>1</v>
      </c>
      <c r="AD87" s="197" t="s">
        <v>1</v>
      </c>
      <c r="AE87" s="197" t="s">
        <v>1</v>
      </c>
      <c r="AF87" s="198" t="s">
        <v>1</v>
      </c>
      <c r="AG87" s="198" t="s">
        <v>1</v>
      </c>
      <c r="AH87" s="198" t="s">
        <v>1</v>
      </c>
      <c r="AI87" s="209" t="s">
        <v>1</v>
      </c>
      <c r="AJ87" s="209" t="s">
        <v>1</v>
      </c>
      <c r="AK87" s="209" t="s">
        <v>1</v>
      </c>
      <c r="AL87" s="198">
        <v>0</v>
      </c>
      <c r="AM87" s="200" t="s">
        <v>1</v>
      </c>
      <c r="AN87" s="199" t="s">
        <v>1</v>
      </c>
      <c r="AO87" s="199" t="s">
        <v>1253</v>
      </c>
      <c r="AP87" s="198" t="s">
        <v>1</v>
      </c>
      <c r="AQ87" s="198" t="s">
        <v>1</v>
      </c>
      <c r="AR87" s="201" t="s">
        <v>1</v>
      </c>
      <c r="AS87" s="201" t="s">
        <v>1</v>
      </c>
      <c r="AT87" s="199" t="s">
        <v>1</v>
      </c>
      <c r="AU87" s="199" t="s">
        <v>1</v>
      </c>
      <c r="AV87" s="202" t="s">
        <v>1</v>
      </c>
      <c r="AW87" s="199" t="s">
        <v>1</v>
      </c>
    </row>
    <row r="88" spans="1:49" ht="30.15" customHeight="1" x14ac:dyDescent="0.25">
      <c r="A88" s="188" t="s">
        <v>18</v>
      </c>
      <c r="B88" s="188" t="s">
        <v>1</v>
      </c>
      <c r="C88" s="188" t="s">
        <v>35</v>
      </c>
      <c r="D88" s="190" t="s">
        <v>3</v>
      </c>
      <c r="E88" s="190" t="s">
        <v>756</v>
      </c>
      <c r="F88" s="203"/>
      <c r="G88" s="190" t="s">
        <v>790</v>
      </c>
      <c r="H88" s="192" t="s">
        <v>414</v>
      </c>
      <c r="I88" s="194">
        <v>610</v>
      </c>
      <c r="J88" s="194">
        <v>665</v>
      </c>
      <c r="K88" s="193">
        <v>665</v>
      </c>
      <c r="L88" s="193">
        <v>700</v>
      </c>
      <c r="M88" s="194">
        <v>700</v>
      </c>
      <c r="N88" s="195" t="s">
        <v>1</v>
      </c>
      <c r="O88" s="195" t="s">
        <v>1</v>
      </c>
      <c r="P88" s="195" t="s">
        <v>1</v>
      </c>
      <c r="Q88" s="195" t="s">
        <v>1</v>
      </c>
      <c r="R88" s="196" t="s">
        <v>1</v>
      </c>
      <c r="S88" s="197" t="s">
        <v>1</v>
      </c>
      <c r="T88" s="197" t="s">
        <v>1</v>
      </c>
      <c r="U88" s="197" t="s">
        <v>1</v>
      </c>
      <c r="V88" s="197" t="s">
        <v>1</v>
      </c>
      <c r="W88" s="196" t="s">
        <v>1</v>
      </c>
      <c r="X88" s="195" t="s">
        <v>1</v>
      </c>
      <c r="Y88" s="195" t="s">
        <v>1</v>
      </c>
      <c r="Z88" s="195" t="s">
        <v>1</v>
      </c>
      <c r="AA88" s="196" t="s">
        <v>1</v>
      </c>
      <c r="AB88" s="196" t="s">
        <v>1</v>
      </c>
      <c r="AC88" s="197" t="s">
        <v>1</v>
      </c>
      <c r="AD88" s="197" t="s">
        <v>1</v>
      </c>
      <c r="AE88" s="197" t="s">
        <v>1</v>
      </c>
      <c r="AF88" s="198" t="s">
        <v>1</v>
      </c>
      <c r="AG88" s="198" t="s">
        <v>1</v>
      </c>
      <c r="AH88" s="198" t="s">
        <v>1</v>
      </c>
      <c r="AI88" s="209" t="s">
        <v>1</v>
      </c>
      <c r="AJ88" s="209" t="s">
        <v>1</v>
      </c>
      <c r="AK88" s="209" t="s">
        <v>1</v>
      </c>
      <c r="AL88" s="198">
        <v>0</v>
      </c>
      <c r="AM88" s="200" t="s">
        <v>1</v>
      </c>
      <c r="AN88" s="199" t="s">
        <v>1</v>
      </c>
      <c r="AO88" s="199" t="s">
        <v>1252</v>
      </c>
      <c r="AP88" s="198" t="s">
        <v>1</v>
      </c>
      <c r="AQ88" s="198" t="s">
        <v>1</v>
      </c>
      <c r="AR88" s="201" t="s">
        <v>1</v>
      </c>
      <c r="AS88" s="201" t="s">
        <v>1</v>
      </c>
      <c r="AT88" s="199" t="s">
        <v>1</v>
      </c>
      <c r="AU88" s="199" t="s">
        <v>1</v>
      </c>
      <c r="AV88" s="202" t="s">
        <v>1</v>
      </c>
      <c r="AW88" s="199" t="s">
        <v>1</v>
      </c>
    </row>
    <row r="89" spans="1:49" ht="30.15" customHeight="1" x14ac:dyDescent="0.25">
      <c r="A89" s="188" t="s">
        <v>18</v>
      </c>
      <c r="B89" s="188" t="s">
        <v>1</v>
      </c>
      <c r="C89" s="188" t="s">
        <v>35</v>
      </c>
      <c r="D89" s="190" t="s">
        <v>3</v>
      </c>
      <c r="E89" s="190" t="s">
        <v>757</v>
      </c>
      <c r="F89" s="203"/>
      <c r="G89" s="190" t="s">
        <v>791</v>
      </c>
      <c r="H89" s="192" t="s">
        <v>414</v>
      </c>
      <c r="I89" s="194">
        <v>490</v>
      </c>
      <c r="J89" s="194">
        <v>532</v>
      </c>
      <c r="K89" s="193">
        <v>532</v>
      </c>
      <c r="L89" s="193">
        <v>560</v>
      </c>
      <c r="M89" s="194">
        <v>560</v>
      </c>
      <c r="N89" s="195" t="s">
        <v>1</v>
      </c>
      <c r="O89" s="195" t="s">
        <v>1</v>
      </c>
      <c r="P89" s="195" t="s">
        <v>1</v>
      </c>
      <c r="Q89" s="195" t="s">
        <v>1</v>
      </c>
      <c r="R89" s="196" t="s">
        <v>1</v>
      </c>
      <c r="S89" s="197" t="s">
        <v>1</v>
      </c>
      <c r="T89" s="197" t="s">
        <v>1</v>
      </c>
      <c r="U89" s="197" t="s">
        <v>1</v>
      </c>
      <c r="V89" s="197" t="s">
        <v>1</v>
      </c>
      <c r="W89" s="196" t="s">
        <v>1</v>
      </c>
      <c r="X89" s="195" t="s">
        <v>1</v>
      </c>
      <c r="Y89" s="195" t="s">
        <v>1</v>
      </c>
      <c r="Z89" s="195" t="s">
        <v>1</v>
      </c>
      <c r="AA89" s="196" t="s">
        <v>1</v>
      </c>
      <c r="AB89" s="196" t="s">
        <v>1</v>
      </c>
      <c r="AC89" s="197" t="s">
        <v>1</v>
      </c>
      <c r="AD89" s="197" t="s">
        <v>1</v>
      </c>
      <c r="AE89" s="197" t="s">
        <v>1</v>
      </c>
      <c r="AF89" s="198" t="s">
        <v>1</v>
      </c>
      <c r="AG89" s="198" t="s">
        <v>1</v>
      </c>
      <c r="AH89" s="198" t="s">
        <v>1</v>
      </c>
      <c r="AI89" s="209" t="s">
        <v>1</v>
      </c>
      <c r="AJ89" s="209" t="s">
        <v>1</v>
      </c>
      <c r="AK89" s="209" t="s">
        <v>1</v>
      </c>
      <c r="AL89" s="198">
        <v>0</v>
      </c>
      <c r="AM89" s="200" t="s">
        <v>1</v>
      </c>
      <c r="AN89" s="199" t="s">
        <v>1</v>
      </c>
      <c r="AO89" s="199" t="s">
        <v>1252</v>
      </c>
      <c r="AP89" s="198" t="s">
        <v>1</v>
      </c>
      <c r="AQ89" s="198" t="s">
        <v>1</v>
      </c>
      <c r="AR89" s="201" t="s">
        <v>1</v>
      </c>
      <c r="AS89" s="201" t="s">
        <v>1</v>
      </c>
      <c r="AT89" s="199" t="s">
        <v>1</v>
      </c>
      <c r="AU89" s="199" t="s">
        <v>1</v>
      </c>
      <c r="AV89" s="202" t="s">
        <v>1</v>
      </c>
      <c r="AW89" s="199" t="s">
        <v>1</v>
      </c>
    </row>
    <row r="90" spans="1:49" ht="30.15" customHeight="1" x14ac:dyDescent="0.25">
      <c r="A90" s="188" t="s">
        <v>18</v>
      </c>
      <c r="B90" s="188" t="s">
        <v>1</v>
      </c>
      <c r="C90" s="188" t="s">
        <v>35</v>
      </c>
      <c r="D90" s="190" t="s">
        <v>3</v>
      </c>
      <c r="E90" s="190" t="s">
        <v>758</v>
      </c>
      <c r="F90" s="203"/>
      <c r="G90" s="190" t="s">
        <v>792</v>
      </c>
      <c r="H90" s="192" t="s">
        <v>414</v>
      </c>
      <c r="I90" s="194">
        <v>490</v>
      </c>
      <c r="J90" s="194">
        <v>532</v>
      </c>
      <c r="K90" s="193">
        <v>532</v>
      </c>
      <c r="L90" s="193">
        <v>560</v>
      </c>
      <c r="M90" s="194">
        <v>560</v>
      </c>
      <c r="N90" s="195" t="s">
        <v>1</v>
      </c>
      <c r="O90" s="195" t="s">
        <v>1</v>
      </c>
      <c r="P90" s="195" t="s">
        <v>1</v>
      </c>
      <c r="Q90" s="195" t="s">
        <v>1</v>
      </c>
      <c r="R90" s="196" t="s">
        <v>1</v>
      </c>
      <c r="S90" s="197" t="s">
        <v>1</v>
      </c>
      <c r="T90" s="197" t="s">
        <v>1</v>
      </c>
      <c r="U90" s="197" t="s">
        <v>1</v>
      </c>
      <c r="V90" s="197" t="s">
        <v>1</v>
      </c>
      <c r="W90" s="196" t="s">
        <v>1</v>
      </c>
      <c r="X90" s="195" t="s">
        <v>1</v>
      </c>
      <c r="Y90" s="195" t="s">
        <v>1</v>
      </c>
      <c r="Z90" s="195" t="s">
        <v>1</v>
      </c>
      <c r="AA90" s="196" t="s">
        <v>1</v>
      </c>
      <c r="AB90" s="196" t="s">
        <v>1</v>
      </c>
      <c r="AC90" s="197" t="s">
        <v>1</v>
      </c>
      <c r="AD90" s="197" t="s">
        <v>1</v>
      </c>
      <c r="AE90" s="197" t="s">
        <v>1</v>
      </c>
      <c r="AF90" s="198" t="s">
        <v>1</v>
      </c>
      <c r="AG90" s="198" t="s">
        <v>1</v>
      </c>
      <c r="AH90" s="198" t="s">
        <v>1</v>
      </c>
      <c r="AI90" s="209" t="s">
        <v>1</v>
      </c>
      <c r="AJ90" s="209" t="s">
        <v>1</v>
      </c>
      <c r="AK90" s="209" t="s">
        <v>1</v>
      </c>
      <c r="AL90" s="198">
        <v>0</v>
      </c>
      <c r="AM90" s="200" t="s">
        <v>1</v>
      </c>
      <c r="AN90" s="199" t="s">
        <v>1</v>
      </c>
      <c r="AO90" s="199" t="s">
        <v>1252</v>
      </c>
      <c r="AP90" s="198" t="s">
        <v>1</v>
      </c>
      <c r="AQ90" s="198" t="s">
        <v>1</v>
      </c>
      <c r="AR90" s="201" t="s">
        <v>1</v>
      </c>
      <c r="AS90" s="201" t="s">
        <v>1</v>
      </c>
      <c r="AT90" s="199" t="s">
        <v>1</v>
      </c>
      <c r="AU90" s="199" t="s">
        <v>1</v>
      </c>
      <c r="AV90" s="202" t="s">
        <v>1</v>
      </c>
      <c r="AW90" s="199" t="s">
        <v>1</v>
      </c>
    </row>
    <row r="91" spans="1:49" ht="30.15" customHeight="1" x14ac:dyDescent="0.25">
      <c r="A91" s="188" t="s">
        <v>18</v>
      </c>
      <c r="B91" s="188" t="s">
        <v>1</v>
      </c>
      <c r="C91" s="188" t="s">
        <v>35</v>
      </c>
      <c r="D91" s="190" t="s">
        <v>3</v>
      </c>
      <c r="E91" s="190" t="s">
        <v>759</v>
      </c>
      <c r="F91" s="203"/>
      <c r="G91" s="190" t="s">
        <v>793</v>
      </c>
      <c r="H91" s="192" t="s">
        <v>414</v>
      </c>
      <c r="I91" s="194">
        <v>490</v>
      </c>
      <c r="J91" s="194">
        <v>532</v>
      </c>
      <c r="K91" s="193">
        <v>532</v>
      </c>
      <c r="L91" s="193">
        <v>560</v>
      </c>
      <c r="M91" s="194">
        <v>560</v>
      </c>
      <c r="N91" s="195" t="s">
        <v>1</v>
      </c>
      <c r="O91" s="195" t="s">
        <v>1</v>
      </c>
      <c r="P91" s="195" t="s">
        <v>1</v>
      </c>
      <c r="Q91" s="195" t="s">
        <v>1</v>
      </c>
      <c r="R91" s="196" t="s">
        <v>1</v>
      </c>
      <c r="S91" s="197" t="s">
        <v>1</v>
      </c>
      <c r="T91" s="197" t="s">
        <v>1</v>
      </c>
      <c r="U91" s="197" t="s">
        <v>1</v>
      </c>
      <c r="V91" s="197" t="s">
        <v>1</v>
      </c>
      <c r="W91" s="196" t="s">
        <v>1</v>
      </c>
      <c r="X91" s="195" t="s">
        <v>1</v>
      </c>
      <c r="Y91" s="195" t="s">
        <v>1</v>
      </c>
      <c r="Z91" s="195" t="s">
        <v>1</v>
      </c>
      <c r="AA91" s="196" t="s">
        <v>1</v>
      </c>
      <c r="AB91" s="196" t="s">
        <v>1</v>
      </c>
      <c r="AC91" s="197" t="s">
        <v>1</v>
      </c>
      <c r="AD91" s="197" t="s">
        <v>1</v>
      </c>
      <c r="AE91" s="197" t="s">
        <v>1</v>
      </c>
      <c r="AF91" s="198" t="s">
        <v>1</v>
      </c>
      <c r="AG91" s="198" t="s">
        <v>1</v>
      </c>
      <c r="AH91" s="198" t="s">
        <v>1</v>
      </c>
      <c r="AI91" s="209" t="s">
        <v>1</v>
      </c>
      <c r="AJ91" s="209" t="s">
        <v>1</v>
      </c>
      <c r="AK91" s="209" t="s">
        <v>1</v>
      </c>
      <c r="AL91" s="198">
        <v>0</v>
      </c>
      <c r="AM91" s="200" t="s">
        <v>1</v>
      </c>
      <c r="AN91" s="199" t="s">
        <v>1</v>
      </c>
      <c r="AO91" s="199" t="s">
        <v>1252</v>
      </c>
      <c r="AP91" s="198" t="s">
        <v>1</v>
      </c>
      <c r="AQ91" s="198" t="s">
        <v>1</v>
      </c>
      <c r="AR91" s="201" t="s">
        <v>1</v>
      </c>
      <c r="AS91" s="201" t="s">
        <v>1</v>
      </c>
      <c r="AT91" s="199" t="s">
        <v>1</v>
      </c>
      <c r="AU91" s="199" t="s">
        <v>1</v>
      </c>
      <c r="AV91" s="202" t="s">
        <v>1</v>
      </c>
      <c r="AW91" s="199" t="s">
        <v>1</v>
      </c>
    </row>
    <row r="92" spans="1:49" ht="30.15" customHeight="1" x14ac:dyDescent="0.25">
      <c r="A92" s="188" t="s">
        <v>18</v>
      </c>
      <c r="B92" s="188" t="s">
        <v>1</v>
      </c>
      <c r="C92" s="188" t="s">
        <v>35</v>
      </c>
      <c r="D92" s="190" t="s">
        <v>3</v>
      </c>
      <c r="E92" s="190" t="s">
        <v>760</v>
      </c>
      <c r="F92" s="203"/>
      <c r="G92" s="190" t="s">
        <v>794</v>
      </c>
      <c r="H92" s="192" t="s">
        <v>414</v>
      </c>
      <c r="I92" s="194">
        <v>490</v>
      </c>
      <c r="J92" s="194">
        <v>532</v>
      </c>
      <c r="K92" s="193">
        <v>532</v>
      </c>
      <c r="L92" s="193">
        <v>560</v>
      </c>
      <c r="M92" s="194">
        <v>560</v>
      </c>
      <c r="N92" s="195" t="s">
        <v>1</v>
      </c>
      <c r="O92" s="195" t="s">
        <v>1</v>
      </c>
      <c r="P92" s="195" t="s">
        <v>1</v>
      </c>
      <c r="Q92" s="195" t="s">
        <v>1</v>
      </c>
      <c r="R92" s="196" t="s">
        <v>1</v>
      </c>
      <c r="S92" s="197" t="s">
        <v>1</v>
      </c>
      <c r="T92" s="197" t="s">
        <v>1</v>
      </c>
      <c r="U92" s="197" t="s">
        <v>1</v>
      </c>
      <c r="V92" s="197" t="s">
        <v>1</v>
      </c>
      <c r="W92" s="196" t="s">
        <v>1</v>
      </c>
      <c r="X92" s="195" t="s">
        <v>1</v>
      </c>
      <c r="Y92" s="195" t="s">
        <v>1</v>
      </c>
      <c r="Z92" s="195" t="s">
        <v>1</v>
      </c>
      <c r="AA92" s="196" t="s">
        <v>1</v>
      </c>
      <c r="AB92" s="196" t="s">
        <v>1</v>
      </c>
      <c r="AC92" s="197" t="s">
        <v>1</v>
      </c>
      <c r="AD92" s="197" t="s">
        <v>1</v>
      </c>
      <c r="AE92" s="197" t="s">
        <v>1</v>
      </c>
      <c r="AF92" s="198" t="s">
        <v>1</v>
      </c>
      <c r="AG92" s="198" t="s">
        <v>1</v>
      </c>
      <c r="AH92" s="198" t="s">
        <v>1</v>
      </c>
      <c r="AI92" s="209" t="s">
        <v>1</v>
      </c>
      <c r="AJ92" s="209" t="s">
        <v>1</v>
      </c>
      <c r="AK92" s="209" t="s">
        <v>1</v>
      </c>
      <c r="AL92" s="198">
        <v>0</v>
      </c>
      <c r="AM92" s="200" t="s">
        <v>1</v>
      </c>
      <c r="AN92" s="199" t="s">
        <v>1</v>
      </c>
      <c r="AO92" s="199" t="s">
        <v>1252</v>
      </c>
      <c r="AP92" s="198" t="s">
        <v>1</v>
      </c>
      <c r="AQ92" s="198" t="s">
        <v>1</v>
      </c>
      <c r="AR92" s="201" t="s">
        <v>1</v>
      </c>
      <c r="AS92" s="201" t="s">
        <v>1</v>
      </c>
      <c r="AT92" s="199" t="s">
        <v>1</v>
      </c>
      <c r="AU92" s="199" t="s">
        <v>1</v>
      </c>
      <c r="AV92" s="202" t="s">
        <v>1</v>
      </c>
      <c r="AW92" s="199" t="s">
        <v>1</v>
      </c>
    </row>
    <row r="93" spans="1:49" ht="30.15" customHeight="1" x14ac:dyDescent="0.25">
      <c r="A93" s="188" t="s">
        <v>18</v>
      </c>
      <c r="B93" s="188" t="s">
        <v>1</v>
      </c>
      <c r="C93" s="188" t="s">
        <v>35</v>
      </c>
      <c r="D93" s="190" t="s">
        <v>3</v>
      </c>
      <c r="E93" s="190" t="s">
        <v>761</v>
      </c>
      <c r="F93" s="203"/>
      <c r="G93" s="190" t="s">
        <v>795</v>
      </c>
      <c r="H93" s="192" t="s">
        <v>414</v>
      </c>
      <c r="I93" s="194">
        <v>661</v>
      </c>
      <c r="J93" s="194">
        <v>722</v>
      </c>
      <c r="K93" s="193">
        <v>722</v>
      </c>
      <c r="L93" s="193">
        <v>760</v>
      </c>
      <c r="M93" s="194">
        <v>760</v>
      </c>
      <c r="N93" s="195" t="s">
        <v>1</v>
      </c>
      <c r="O93" s="195" t="s">
        <v>1</v>
      </c>
      <c r="P93" s="195" t="s">
        <v>1</v>
      </c>
      <c r="Q93" s="195" t="s">
        <v>1</v>
      </c>
      <c r="R93" s="196" t="s">
        <v>1</v>
      </c>
      <c r="S93" s="197" t="s">
        <v>1</v>
      </c>
      <c r="T93" s="197" t="s">
        <v>1</v>
      </c>
      <c r="U93" s="197" t="s">
        <v>1</v>
      </c>
      <c r="V93" s="197" t="s">
        <v>1</v>
      </c>
      <c r="W93" s="196" t="s">
        <v>1</v>
      </c>
      <c r="X93" s="195" t="s">
        <v>1</v>
      </c>
      <c r="Y93" s="195" t="s">
        <v>1</v>
      </c>
      <c r="Z93" s="195" t="s">
        <v>1</v>
      </c>
      <c r="AA93" s="196" t="s">
        <v>1</v>
      </c>
      <c r="AB93" s="196" t="s">
        <v>1</v>
      </c>
      <c r="AC93" s="197" t="s">
        <v>1</v>
      </c>
      <c r="AD93" s="197" t="s">
        <v>1</v>
      </c>
      <c r="AE93" s="197" t="s">
        <v>1</v>
      </c>
      <c r="AF93" s="198" t="s">
        <v>1</v>
      </c>
      <c r="AG93" s="198" t="s">
        <v>1</v>
      </c>
      <c r="AH93" s="198" t="s">
        <v>1</v>
      </c>
      <c r="AI93" s="209" t="s">
        <v>1</v>
      </c>
      <c r="AJ93" s="209" t="s">
        <v>1</v>
      </c>
      <c r="AK93" s="209" t="s">
        <v>1</v>
      </c>
      <c r="AL93" s="198">
        <v>0</v>
      </c>
      <c r="AM93" s="200" t="s">
        <v>1</v>
      </c>
      <c r="AN93" s="199" t="s">
        <v>1</v>
      </c>
      <c r="AO93" s="199" t="s">
        <v>1253</v>
      </c>
      <c r="AP93" s="198" t="s">
        <v>1</v>
      </c>
      <c r="AQ93" s="198" t="s">
        <v>1</v>
      </c>
      <c r="AR93" s="201" t="s">
        <v>1</v>
      </c>
      <c r="AS93" s="201" t="s">
        <v>1</v>
      </c>
      <c r="AT93" s="199" t="s">
        <v>1</v>
      </c>
      <c r="AU93" s="199" t="s">
        <v>1</v>
      </c>
      <c r="AV93" s="202" t="s">
        <v>1</v>
      </c>
      <c r="AW93" s="199" t="s">
        <v>1</v>
      </c>
    </row>
    <row r="94" spans="1:49" ht="30.15" customHeight="1" x14ac:dyDescent="0.25">
      <c r="A94" s="188" t="s">
        <v>18</v>
      </c>
      <c r="B94" s="188" t="s">
        <v>1</v>
      </c>
      <c r="C94" s="188" t="s">
        <v>35</v>
      </c>
      <c r="D94" s="190" t="s">
        <v>3</v>
      </c>
      <c r="E94" s="190" t="s">
        <v>762</v>
      </c>
      <c r="F94" s="203"/>
      <c r="G94" s="190" t="s">
        <v>796</v>
      </c>
      <c r="H94" s="192" t="s">
        <v>414</v>
      </c>
      <c r="I94" s="194">
        <v>765</v>
      </c>
      <c r="J94" s="194">
        <v>836</v>
      </c>
      <c r="K94" s="193">
        <v>836</v>
      </c>
      <c r="L94" s="193">
        <v>880</v>
      </c>
      <c r="M94" s="194">
        <v>880</v>
      </c>
      <c r="N94" s="195" t="s">
        <v>1</v>
      </c>
      <c r="O94" s="195" t="s">
        <v>1</v>
      </c>
      <c r="P94" s="195" t="s">
        <v>1</v>
      </c>
      <c r="Q94" s="195" t="s">
        <v>1</v>
      </c>
      <c r="R94" s="196" t="s">
        <v>1</v>
      </c>
      <c r="S94" s="197" t="s">
        <v>1</v>
      </c>
      <c r="T94" s="197" t="s">
        <v>1</v>
      </c>
      <c r="U94" s="197" t="s">
        <v>1</v>
      </c>
      <c r="V94" s="197" t="s">
        <v>1</v>
      </c>
      <c r="W94" s="196" t="s">
        <v>1</v>
      </c>
      <c r="X94" s="195" t="s">
        <v>1</v>
      </c>
      <c r="Y94" s="195" t="s">
        <v>1</v>
      </c>
      <c r="Z94" s="195" t="s">
        <v>1</v>
      </c>
      <c r="AA94" s="196" t="s">
        <v>1</v>
      </c>
      <c r="AB94" s="196" t="s">
        <v>1</v>
      </c>
      <c r="AC94" s="197" t="s">
        <v>1</v>
      </c>
      <c r="AD94" s="197" t="s">
        <v>1</v>
      </c>
      <c r="AE94" s="197" t="s">
        <v>1</v>
      </c>
      <c r="AF94" s="198" t="s">
        <v>1</v>
      </c>
      <c r="AG94" s="198" t="s">
        <v>1</v>
      </c>
      <c r="AH94" s="198" t="s">
        <v>1</v>
      </c>
      <c r="AI94" s="209" t="s">
        <v>1</v>
      </c>
      <c r="AJ94" s="209" t="s">
        <v>1</v>
      </c>
      <c r="AK94" s="209" t="s">
        <v>1</v>
      </c>
      <c r="AL94" s="198">
        <v>0</v>
      </c>
      <c r="AM94" s="200" t="s">
        <v>1</v>
      </c>
      <c r="AN94" s="199" t="s">
        <v>1</v>
      </c>
      <c r="AO94" s="199" t="s">
        <v>1253</v>
      </c>
      <c r="AP94" s="198" t="s">
        <v>1</v>
      </c>
      <c r="AQ94" s="198" t="s">
        <v>1</v>
      </c>
      <c r="AR94" s="201" t="s">
        <v>1</v>
      </c>
      <c r="AS94" s="201" t="s">
        <v>1</v>
      </c>
      <c r="AT94" s="199" t="s">
        <v>1</v>
      </c>
      <c r="AU94" s="199" t="s">
        <v>1</v>
      </c>
      <c r="AV94" s="202" t="s">
        <v>1</v>
      </c>
      <c r="AW94" s="199" t="s">
        <v>1</v>
      </c>
    </row>
    <row r="95" spans="1:49" ht="30.15" customHeight="1" x14ac:dyDescent="0.25">
      <c r="A95" s="188" t="s">
        <v>18</v>
      </c>
      <c r="B95" s="188" t="s">
        <v>1</v>
      </c>
      <c r="C95" s="188" t="s">
        <v>35</v>
      </c>
      <c r="D95" s="190" t="s">
        <v>3</v>
      </c>
      <c r="E95" s="190" t="s">
        <v>763</v>
      </c>
      <c r="F95" s="203"/>
      <c r="G95" s="190" t="s">
        <v>797</v>
      </c>
      <c r="H95" s="192" t="s">
        <v>414</v>
      </c>
      <c r="I95" s="194">
        <v>490</v>
      </c>
      <c r="J95" s="194">
        <v>532</v>
      </c>
      <c r="K95" s="193">
        <v>532</v>
      </c>
      <c r="L95" s="193">
        <v>560</v>
      </c>
      <c r="M95" s="194">
        <v>560</v>
      </c>
      <c r="N95" s="195" t="s">
        <v>1</v>
      </c>
      <c r="O95" s="195" t="s">
        <v>1</v>
      </c>
      <c r="P95" s="195" t="s">
        <v>1</v>
      </c>
      <c r="Q95" s="195" t="s">
        <v>1</v>
      </c>
      <c r="R95" s="196" t="s">
        <v>1</v>
      </c>
      <c r="S95" s="197" t="s">
        <v>1</v>
      </c>
      <c r="T95" s="197" t="s">
        <v>1</v>
      </c>
      <c r="U95" s="197" t="s">
        <v>1</v>
      </c>
      <c r="V95" s="197" t="s">
        <v>1</v>
      </c>
      <c r="W95" s="196" t="s">
        <v>1</v>
      </c>
      <c r="X95" s="195" t="s">
        <v>1</v>
      </c>
      <c r="Y95" s="195" t="s">
        <v>1</v>
      </c>
      <c r="Z95" s="195" t="s">
        <v>1</v>
      </c>
      <c r="AA95" s="196" t="s">
        <v>1</v>
      </c>
      <c r="AB95" s="196" t="s">
        <v>1</v>
      </c>
      <c r="AC95" s="197" t="s">
        <v>1</v>
      </c>
      <c r="AD95" s="197" t="s">
        <v>1</v>
      </c>
      <c r="AE95" s="197" t="s">
        <v>1</v>
      </c>
      <c r="AF95" s="198" t="s">
        <v>1</v>
      </c>
      <c r="AG95" s="198" t="s">
        <v>1</v>
      </c>
      <c r="AH95" s="198" t="s">
        <v>1</v>
      </c>
      <c r="AI95" s="209" t="s">
        <v>1</v>
      </c>
      <c r="AJ95" s="209" t="s">
        <v>1</v>
      </c>
      <c r="AK95" s="209" t="s">
        <v>1</v>
      </c>
      <c r="AL95" s="198">
        <v>0</v>
      </c>
      <c r="AM95" s="200" t="s">
        <v>1</v>
      </c>
      <c r="AN95" s="199" t="s">
        <v>1</v>
      </c>
      <c r="AO95" s="199" t="s">
        <v>1252</v>
      </c>
      <c r="AP95" s="198" t="s">
        <v>1</v>
      </c>
      <c r="AQ95" s="198" t="s">
        <v>1</v>
      </c>
      <c r="AR95" s="201" t="s">
        <v>1</v>
      </c>
      <c r="AS95" s="201" t="s">
        <v>1</v>
      </c>
      <c r="AT95" s="199" t="s">
        <v>1</v>
      </c>
      <c r="AU95" s="199" t="s">
        <v>1</v>
      </c>
      <c r="AV95" s="202" t="s">
        <v>1</v>
      </c>
      <c r="AW95" s="199" t="s">
        <v>1</v>
      </c>
    </row>
    <row r="96" spans="1:49" ht="30.15" customHeight="1" x14ac:dyDescent="0.25">
      <c r="A96" s="188" t="s">
        <v>18</v>
      </c>
      <c r="B96" s="188" t="s">
        <v>1</v>
      </c>
      <c r="C96" s="188" t="s">
        <v>35</v>
      </c>
      <c r="D96" s="190" t="s">
        <v>3</v>
      </c>
      <c r="E96" s="190" t="s">
        <v>764</v>
      </c>
      <c r="F96" s="203"/>
      <c r="G96" s="190" t="s">
        <v>798</v>
      </c>
      <c r="H96" s="192" t="s">
        <v>414</v>
      </c>
      <c r="I96" s="194">
        <v>509</v>
      </c>
      <c r="J96" s="194">
        <v>561</v>
      </c>
      <c r="K96" s="193">
        <v>561</v>
      </c>
      <c r="L96" s="193">
        <v>590</v>
      </c>
      <c r="M96" s="194">
        <v>590</v>
      </c>
      <c r="N96" s="195" t="s">
        <v>1</v>
      </c>
      <c r="O96" s="195" t="s">
        <v>1</v>
      </c>
      <c r="P96" s="195" t="s">
        <v>1</v>
      </c>
      <c r="Q96" s="195" t="s">
        <v>1</v>
      </c>
      <c r="R96" s="196" t="s">
        <v>1</v>
      </c>
      <c r="S96" s="197" t="s">
        <v>1</v>
      </c>
      <c r="T96" s="197" t="s">
        <v>1</v>
      </c>
      <c r="U96" s="197" t="s">
        <v>1</v>
      </c>
      <c r="V96" s="197" t="s">
        <v>1</v>
      </c>
      <c r="W96" s="196" t="s">
        <v>1</v>
      </c>
      <c r="X96" s="195" t="s">
        <v>1</v>
      </c>
      <c r="Y96" s="195" t="s">
        <v>1</v>
      </c>
      <c r="Z96" s="195" t="s">
        <v>1</v>
      </c>
      <c r="AA96" s="196" t="s">
        <v>1</v>
      </c>
      <c r="AB96" s="196" t="s">
        <v>1</v>
      </c>
      <c r="AC96" s="197" t="s">
        <v>1</v>
      </c>
      <c r="AD96" s="197" t="s">
        <v>1</v>
      </c>
      <c r="AE96" s="197" t="s">
        <v>1</v>
      </c>
      <c r="AF96" s="198" t="s">
        <v>1</v>
      </c>
      <c r="AG96" s="198" t="s">
        <v>1</v>
      </c>
      <c r="AH96" s="198" t="s">
        <v>1</v>
      </c>
      <c r="AI96" s="209" t="s">
        <v>1</v>
      </c>
      <c r="AJ96" s="209" t="s">
        <v>1</v>
      </c>
      <c r="AK96" s="209" t="s">
        <v>1</v>
      </c>
      <c r="AL96" s="198">
        <v>0</v>
      </c>
      <c r="AM96" s="200" t="s">
        <v>1</v>
      </c>
      <c r="AN96" s="199" t="s">
        <v>1</v>
      </c>
      <c r="AO96" s="199" t="s">
        <v>1252</v>
      </c>
      <c r="AP96" s="198" t="s">
        <v>1</v>
      </c>
      <c r="AQ96" s="198" t="s">
        <v>1</v>
      </c>
      <c r="AR96" s="201" t="s">
        <v>1</v>
      </c>
      <c r="AS96" s="201" t="s">
        <v>1</v>
      </c>
      <c r="AT96" s="199" t="s">
        <v>1</v>
      </c>
      <c r="AU96" s="199" t="s">
        <v>1</v>
      </c>
      <c r="AV96" s="202" t="s">
        <v>1</v>
      </c>
      <c r="AW96" s="199" t="s">
        <v>1</v>
      </c>
    </row>
    <row r="97" spans="1:49" ht="30.15" customHeight="1" x14ac:dyDescent="0.25">
      <c r="A97" s="188" t="s">
        <v>18</v>
      </c>
      <c r="B97" s="188" t="s">
        <v>1</v>
      </c>
      <c r="C97" s="188" t="s">
        <v>35</v>
      </c>
      <c r="D97" s="190" t="s">
        <v>3</v>
      </c>
      <c r="E97" s="190" t="s">
        <v>765</v>
      </c>
      <c r="F97" s="203"/>
      <c r="G97" s="190" t="s">
        <v>799</v>
      </c>
      <c r="H97" s="192" t="s">
        <v>414</v>
      </c>
      <c r="I97" s="194">
        <v>765</v>
      </c>
      <c r="J97" s="194">
        <v>836</v>
      </c>
      <c r="K97" s="193">
        <v>836</v>
      </c>
      <c r="L97" s="193">
        <v>880</v>
      </c>
      <c r="M97" s="194">
        <v>880</v>
      </c>
      <c r="N97" s="195" t="s">
        <v>1</v>
      </c>
      <c r="O97" s="195" t="s">
        <v>1</v>
      </c>
      <c r="P97" s="195" t="s">
        <v>1</v>
      </c>
      <c r="Q97" s="195" t="s">
        <v>1</v>
      </c>
      <c r="R97" s="196" t="s">
        <v>1</v>
      </c>
      <c r="S97" s="197" t="s">
        <v>1</v>
      </c>
      <c r="T97" s="197" t="s">
        <v>1</v>
      </c>
      <c r="U97" s="197" t="s">
        <v>1</v>
      </c>
      <c r="V97" s="197" t="s">
        <v>1</v>
      </c>
      <c r="W97" s="196" t="s">
        <v>1</v>
      </c>
      <c r="X97" s="195" t="s">
        <v>1</v>
      </c>
      <c r="Y97" s="195" t="s">
        <v>1</v>
      </c>
      <c r="Z97" s="195" t="s">
        <v>1</v>
      </c>
      <c r="AA97" s="196" t="s">
        <v>1</v>
      </c>
      <c r="AB97" s="196" t="s">
        <v>1</v>
      </c>
      <c r="AC97" s="197" t="s">
        <v>1</v>
      </c>
      <c r="AD97" s="197" t="s">
        <v>1</v>
      </c>
      <c r="AE97" s="197" t="s">
        <v>1</v>
      </c>
      <c r="AF97" s="198" t="s">
        <v>1</v>
      </c>
      <c r="AG97" s="198" t="s">
        <v>1</v>
      </c>
      <c r="AH97" s="198" t="s">
        <v>1</v>
      </c>
      <c r="AI97" s="209" t="s">
        <v>1</v>
      </c>
      <c r="AJ97" s="209" t="s">
        <v>1</v>
      </c>
      <c r="AK97" s="209" t="s">
        <v>1</v>
      </c>
      <c r="AL97" s="198">
        <v>0</v>
      </c>
      <c r="AM97" s="200" t="s">
        <v>1</v>
      </c>
      <c r="AN97" s="199" t="s">
        <v>1</v>
      </c>
      <c r="AO97" s="199" t="s">
        <v>1253</v>
      </c>
      <c r="AP97" s="198" t="s">
        <v>1</v>
      </c>
      <c r="AQ97" s="198" t="s">
        <v>1</v>
      </c>
      <c r="AR97" s="201" t="s">
        <v>1</v>
      </c>
      <c r="AS97" s="201" t="s">
        <v>1</v>
      </c>
      <c r="AT97" s="199" t="s">
        <v>1</v>
      </c>
      <c r="AU97" s="199" t="s">
        <v>1</v>
      </c>
      <c r="AV97" s="202" t="s">
        <v>1</v>
      </c>
      <c r="AW97" s="199" t="s">
        <v>1</v>
      </c>
    </row>
    <row r="98" spans="1:49" ht="30.15" customHeight="1" x14ac:dyDescent="0.25">
      <c r="A98" s="188" t="s">
        <v>18</v>
      </c>
      <c r="B98" s="188" t="s">
        <v>1</v>
      </c>
      <c r="C98" s="188" t="s">
        <v>35</v>
      </c>
      <c r="D98" s="190" t="s">
        <v>3</v>
      </c>
      <c r="E98" s="190" t="s">
        <v>766</v>
      </c>
      <c r="F98" s="203"/>
      <c r="G98" s="190" t="s">
        <v>800</v>
      </c>
      <c r="H98" s="192" t="s">
        <v>414</v>
      </c>
      <c r="I98" s="194">
        <v>661</v>
      </c>
      <c r="J98" s="194">
        <v>722</v>
      </c>
      <c r="K98" s="193">
        <v>722</v>
      </c>
      <c r="L98" s="193">
        <v>760</v>
      </c>
      <c r="M98" s="194">
        <v>760</v>
      </c>
      <c r="N98" s="195" t="s">
        <v>1</v>
      </c>
      <c r="O98" s="195" t="s">
        <v>1</v>
      </c>
      <c r="P98" s="195" t="s">
        <v>1</v>
      </c>
      <c r="Q98" s="195" t="s">
        <v>1</v>
      </c>
      <c r="R98" s="196" t="s">
        <v>1</v>
      </c>
      <c r="S98" s="197" t="s">
        <v>1</v>
      </c>
      <c r="T98" s="197" t="s">
        <v>1</v>
      </c>
      <c r="U98" s="197" t="s">
        <v>1</v>
      </c>
      <c r="V98" s="197" t="s">
        <v>1</v>
      </c>
      <c r="W98" s="196" t="s">
        <v>1</v>
      </c>
      <c r="X98" s="195" t="s">
        <v>1</v>
      </c>
      <c r="Y98" s="195" t="s">
        <v>1</v>
      </c>
      <c r="Z98" s="195" t="s">
        <v>1</v>
      </c>
      <c r="AA98" s="196" t="s">
        <v>1</v>
      </c>
      <c r="AB98" s="196" t="s">
        <v>1</v>
      </c>
      <c r="AC98" s="197" t="s">
        <v>1</v>
      </c>
      <c r="AD98" s="197" t="s">
        <v>1</v>
      </c>
      <c r="AE98" s="197" t="s">
        <v>1</v>
      </c>
      <c r="AF98" s="198" t="s">
        <v>1</v>
      </c>
      <c r="AG98" s="198" t="s">
        <v>1</v>
      </c>
      <c r="AH98" s="198" t="s">
        <v>1</v>
      </c>
      <c r="AI98" s="209" t="s">
        <v>1</v>
      </c>
      <c r="AJ98" s="209" t="s">
        <v>1</v>
      </c>
      <c r="AK98" s="209" t="s">
        <v>1</v>
      </c>
      <c r="AL98" s="198">
        <v>0</v>
      </c>
      <c r="AM98" s="200" t="s">
        <v>1</v>
      </c>
      <c r="AN98" s="199" t="s">
        <v>1</v>
      </c>
      <c r="AO98" s="199" t="s">
        <v>1253</v>
      </c>
      <c r="AP98" s="198" t="s">
        <v>1</v>
      </c>
      <c r="AQ98" s="198" t="s">
        <v>1</v>
      </c>
      <c r="AR98" s="201" t="s">
        <v>1</v>
      </c>
      <c r="AS98" s="201" t="s">
        <v>1</v>
      </c>
      <c r="AT98" s="199" t="s">
        <v>1</v>
      </c>
      <c r="AU98" s="199" t="s">
        <v>1</v>
      </c>
      <c r="AV98" s="202" t="s">
        <v>1</v>
      </c>
      <c r="AW98" s="199" t="s">
        <v>1</v>
      </c>
    </row>
    <row r="99" spans="1:49" ht="30.15" customHeight="1" x14ac:dyDescent="0.25">
      <c r="A99" s="188" t="s">
        <v>18</v>
      </c>
      <c r="B99" s="188" t="s">
        <v>1</v>
      </c>
      <c r="C99" s="188" t="s">
        <v>35</v>
      </c>
      <c r="D99" s="190" t="s">
        <v>3</v>
      </c>
      <c r="E99" s="190" t="s">
        <v>767</v>
      </c>
      <c r="F99" s="203"/>
      <c r="G99" s="190" t="s">
        <v>801</v>
      </c>
      <c r="H99" s="192" t="s">
        <v>414</v>
      </c>
      <c r="I99" s="194">
        <v>454</v>
      </c>
      <c r="J99" s="194">
        <v>494</v>
      </c>
      <c r="K99" s="193">
        <v>494</v>
      </c>
      <c r="L99" s="193">
        <v>520</v>
      </c>
      <c r="M99" s="194">
        <v>520</v>
      </c>
      <c r="N99" s="195" t="s">
        <v>1</v>
      </c>
      <c r="O99" s="195" t="s">
        <v>1</v>
      </c>
      <c r="P99" s="195" t="s">
        <v>1</v>
      </c>
      <c r="Q99" s="195" t="s">
        <v>1</v>
      </c>
      <c r="R99" s="196" t="s">
        <v>1</v>
      </c>
      <c r="S99" s="197" t="s">
        <v>1</v>
      </c>
      <c r="T99" s="197" t="s">
        <v>1</v>
      </c>
      <c r="U99" s="197" t="s">
        <v>1</v>
      </c>
      <c r="V99" s="197" t="s">
        <v>1</v>
      </c>
      <c r="W99" s="196" t="s">
        <v>1</v>
      </c>
      <c r="X99" s="195" t="s">
        <v>1</v>
      </c>
      <c r="Y99" s="195" t="s">
        <v>1</v>
      </c>
      <c r="Z99" s="195" t="s">
        <v>1</v>
      </c>
      <c r="AA99" s="196" t="s">
        <v>1</v>
      </c>
      <c r="AB99" s="196" t="s">
        <v>1</v>
      </c>
      <c r="AC99" s="197" t="s">
        <v>1</v>
      </c>
      <c r="AD99" s="197" t="s">
        <v>1</v>
      </c>
      <c r="AE99" s="197" t="s">
        <v>1</v>
      </c>
      <c r="AF99" s="198" t="s">
        <v>1</v>
      </c>
      <c r="AG99" s="198" t="s">
        <v>1</v>
      </c>
      <c r="AH99" s="198" t="s">
        <v>1</v>
      </c>
      <c r="AI99" s="209" t="s">
        <v>1</v>
      </c>
      <c r="AJ99" s="209" t="s">
        <v>1</v>
      </c>
      <c r="AK99" s="209" t="s">
        <v>1</v>
      </c>
      <c r="AL99" s="198">
        <v>0</v>
      </c>
      <c r="AM99" s="200" t="s">
        <v>1</v>
      </c>
      <c r="AN99" s="199" t="s">
        <v>1</v>
      </c>
      <c r="AO99" s="199" t="s">
        <v>1252</v>
      </c>
      <c r="AP99" s="198" t="s">
        <v>1</v>
      </c>
      <c r="AQ99" s="198" t="s">
        <v>1</v>
      </c>
      <c r="AR99" s="201" t="s">
        <v>1</v>
      </c>
      <c r="AS99" s="201" t="s">
        <v>1</v>
      </c>
      <c r="AT99" s="199" t="s">
        <v>1</v>
      </c>
      <c r="AU99" s="199" t="s">
        <v>1</v>
      </c>
      <c r="AV99" s="202" t="s">
        <v>1</v>
      </c>
      <c r="AW99" s="199" t="s">
        <v>1</v>
      </c>
    </row>
    <row r="100" spans="1:49" ht="30.15" customHeight="1" x14ac:dyDescent="0.25">
      <c r="A100" s="188" t="s">
        <v>18</v>
      </c>
      <c r="B100" s="188" t="s">
        <v>1</v>
      </c>
      <c r="C100" s="188" t="s">
        <v>35</v>
      </c>
      <c r="D100" s="190" t="s">
        <v>3</v>
      </c>
      <c r="E100" s="190" t="s">
        <v>768</v>
      </c>
      <c r="F100" s="203"/>
      <c r="G100" s="190" t="s">
        <v>802</v>
      </c>
      <c r="H100" s="192" t="s">
        <v>414</v>
      </c>
      <c r="I100" s="194">
        <v>454</v>
      </c>
      <c r="J100" s="194">
        <v>494</v>
      </c>
      <c r="K100" s="193">
        <v>494</v>
      </c>
      <c r="L100" s="193">
        <v>520</v>
      </c>
      <c r="M100" s="194">
        <v>520</v>
      </c>
      <c r="N100" s="195" t="s">
        <v>1</v>
      </c>
      <c r="O100" s="195" t="s">
        <v>1</v>
      </c>
      <c r="P100" s="195" t="s">
        <v>1</v>
      </c>
      <c r="Q100" s="195" t="s">
        <v>1</v>
      </c>
      <c r="R100" s="196" t="s">
        <v>1</v>
      </c>
      <c r="S100" s="197" t="s">
        <v>1</v>
      </c>
      <c r="T100" s="197" t="s">
        <v>1</v>
      </c>
      <c r="U100" s="197" t="s">
        <v>1</v>
      </c>
      <c r="V100" s="197" t="s">
        <v>1</v>
      </c>
      <c r="W100" s="196" t="s">
        <v>1</v>
      </c>
      <c r="X100" s="195" t="s">
        <v>1</v>
      </c>
      <c r="Y100" s="195" t="s">
        <v>1</v>
      </c>
      <c r="Z100" s="195" t="s">
        <v>1</v>
      </c>
      <c r="AA100" s="196" t="s">
        <v>1</v>
      </c>
      <c r="AB100" s="196" t="s">
        <v>1</v>
      </c>
      <c r="AC100" s="197" t="s">
        <v>1</v>
      </c>
      <c r="AD100" s="197" t="s">
        <v>1</v>
      </c>
      <c r="AE100" s="197" t="s">
        <v>1</v>
      </c>
      <c r="AF100" s="198" t="s">
        <v>1</v>
      </c>
      <c r="AG100" s="198" t="s">
        <v>1</v>
      </c>
      <c r="AH100" s="198" t="s">
        <v>1</v>
      </c>
      <c r="AI100" s="209" t="s">
        <v>1</v>
      </c>
      <c r="AJ100" s="209" t="s">
        <v>1</v>
      </c>
      <c r="AK100" s="209" t="s">
        <v>1</v>
      </c>
      <c r="AL100" s="198">
        <v>0</v>
      </c>
      <c r="AM100" s="200" t="s">
        <v>1</v>
      </c>
      <c r="AN100" s="199" t="s">
        <v>1</v>
      </c>
      <c r="AO100" s="199" t="s">
        <v>1252</v>
      </c>
      <c r="AP100" s="198" t="s">
        <v>1</v>
      </c>
      <c r="AQ100" s="198" t="s">
        <v>1</v>
      </c>
      <c r="AR100" s="201" t="s">
        <v>1</v>
      </c>
      <c r="AS100" s="201" t="s">
        <v>1</v>
      </c>
      <c r="AT100" s="199" t="s">
        <v>1</v>
      </c>
      <c r="AU100" s="199" t="s">
        <v>1</v>
      </c>
      <c r="AV100" s="202" t="s">
        <v>1</v>
      </c>
      <c r="AW100" s="199" t="s">
        <v>1</v>
      </c>
    </row>
    <row r="101" spans="1:49" ht="30.15" customHeight="1" x14ac:dyDescent="0.25">
      <c r="A101" s="188" t="s">
        <v>18</v>
      </c>
      <c r="B101" s="188" t="s">
        <v>1</v>
      </c>
      <c r="C101" s="188" t="s">
        <v>35</v>
      </c>
      <c r="D101" s="190" t="s">
        <v>3</v>
      </c>
      <c r="E101" s="190" t="s">
        <v>769</v>
      </c>
      <c r="F101" s="203"/>
      <c r="G101" s="190" t="s">
        <v>803</v>
      </c>
      <c r="H101" s="192" t="s">
        <v>414</v>
      </c>
      <c r="I101" s="194">
        <v>490</v>
      </c>
      <c r="J101" s="194">
        <v>532</v>
      </c>
      <c r="K101" s="193">
        <v>532</v>
      </c>
      <c r="L101" s="193">
        <v>560</v>
      </c>
      <c r="M101" s="194">
        <v>560</v>
      </c>
      <c r="N101" s="195" t="s">
        <v>1</v>
      </c>
      <c r="O101" s="195" t="s">
        <v>1</v>
      </c>
      <c r="P101" s="195" t="s">
        <v>1</v>
      </c>
      <c r="Q101" s="195" t="s">
        <v>1</v>
      </c>
      <c r="R101" s="196" t="s">
        <v>1</v>
      </c>
      <c r="S101" s="197" t="s">
        <v>1</v>
      </c>
      <c r="T101" s="197" t="s">
        <v>1</v>
      </c>
      <c r="U101" s="197" t="s">
        <v>1</v>
      </c>
      <c r="V101" s="197" t="s">
        <v>1</v>
      </c>
      <c r="W101" s="196" t="s">
        <v>1</v>
      </c>
      <c r="X101" s="195" t="s">
        <v>1</v>
      </c>
      <c r="Y101" s="195" t="s">
        <v>1</v>
      </c>
      <c r="Z101" s="195" t="s">
        <v>1</v>
      </c>
      <c r="AA101" s="196" t="s">
        <v>1</v>
      </c>
      <c r="AB101" s="196" t="s">
        <v>1</v>
      </c>
      <c r="AC101" s="197" t="s">
        <v>1</v>
      </c>
      <c r="AD101" s="197" t="s">
        <v>1</v>
      </c>
      <c r="AE101" s="197" t="s">
        <v>1</v>
      </c>
      <c r="AF101" s="198" t="s">
        <v>1</v>
      </c>
      <c r="AG101" s="198" t="s">
        <v>1</v>
      </c>
      <c r="AH101" s="198" t="s">
        <v>1</v>
      </c>
      <c r="AI101" s="209" t="s">
        <v>1</v>
      </c>
      <c r="AJ101" s="209" t="s">
        <v>1</v>
      </c>
      <c r="AK101" s="209" t="s">
        <v>1</v>
      </c>
      <c r="AL101" s="198">
        <v>0</v>
      </c>
      <c r="AM101" s="200" t="s">
        <v>1</v>
      </c>
      <c r="AN101" s="199" t="s">
        <v>1</v>
      </c>
      <c r="AO101" s="199" t="s">
        <v>1252</v>
      </c>
      <c r="AP101" s="198" t="s">
        <v>1</v>
      </c>
      <c r="AQ101" s="198" t="s">
        <v>1</v>
      </c>
      <c r="AR101" s="201" t="s">
        <v>1</v>
      </c>
      <c r="AS101" s="201" t="s">
        <v>1</v>
      </c>
      <c r="AT101" s="199" t="s">
        <v>1</v>
      </c>
      <c r="AU101" s="199" t="s">
        <v>1</v>
      </c>
      <c r="AV101" s="202" t="s">
        <v>1</v>
      </c>
      <c r="AW101" s="199" t="s">
        <v>1</v>
      </c>
    </row>
    <row r="102" spans="1:49" ht="30.15" customHeight="1" x14ac:dyDescent="0.25">
      <c r="A102" s="188" t="s">
        <v>18</v>
      </c>
      <c r="B102" s="188" t="s">
        <v>1</v>
      </c>
      <c r="C102" s="188" t="s">
        <v>35</v>
      </c>
      <c r="D102" s="190" t="s">
        <v>3</v>
      </c>
      <c r="E102" s="190" t="s">
        <v>770</v>
      </c>
      <c r="F102" s="203"/>
      <c r="G102" s="190" t="s">
        <v>804</v>
      </c>
      <c r="H102" s="192" t="s">
        <v>414</v>
      </c>
      <c r="I102" s="194">
        <v>454</v>
      </c>
      <c r="J102" s="194">
        <v>494</v>
      </c>
      <c r="K102" s="193">
        <v>494</v>
      </c>
      <c r="L102" s="193">
        <v>520</v>
      </c>
      <c r="M102" s="194">
        <v>520</v>
      </c>
      <c r="N102" s="195" t="s">
        <v>1</v>
      </c>
      <c r="O102" s="195" t="s">
        <v>1</v>
      </c>
      <c r="P102" s="195" t="s">
        <v>1</v>
      </c>
      <c r="Q102" s="195" t="s">
        <v>1</v>
      </c>
      <c r="R102" s="196" t="s">
        <v>1</v>
      </c>
      <c r="S102" s="197" t="s">
        <v>1</v>
      </c>
      <c r="T102" s="197" t="s">
        <v>1</v>
      </c>
      <c r="U102" s="197" t="s">
        <v>1</v>
      </c>
      <c r="V102" s="197" t="s">
        <v>1</v>
      </c>
      <c r="W102" s="196" t="s">
        <v>1</v>
      </c>
      <c r="X102" s="195" t="s">
        <v>1</v>
      </c>
      <c r="Y102" s="195" t="s">
        <v>1</v>
      </c>
      <c r="Z102" s="195" t="s">
        <v>1</v>
      </c>
      <c r="AA102" s="196" t="s">
        <v>1</v>
      </c>
      <c r="AB102" s="196" t="s">
        <v>1</v>
      </c>
      <c r="AC102" s="197" t="s">
        <v>1</v>
      </c>
      <c r="AD102" s="197" t="s">
        <v>1</v>
      </c>
      <c r="AE102" s="197" t="s">
        <v>1</v>
      </c>
      <c r="AF102" s="198" t="s">
        <v>1</v>
      </c>
      <c r="AG102" s="198" t="s">
        <v>1</v>
      </c>
      <c r="AH102" s="198" t="s">
        <v>1</v>
      </c>
      <c r="AI102" s="209" t="s">
        <v>1</v>
      </c>
      <c r="AJ102" s="209" t="s">
        <v>1</v>
      </c>
      <c r="AK102" s="209" t="s">
        <v>1</v>
      </c>
      <c r="AL102" s="198">
        <v>0</v>
      </c>
      <c r="AM102" s="200" t="s">
        <v>1</v>
      </c>
      <c r="AN102" s="199" t="s">
        <v>1</v>
      </c>
      <c r="AO102" s="199" t="s">
        <v>1252</v>
      </c>
      <c r="AP102" s="198" t="s">
        <v>1</v>
      </c>
      <c r="AQ102" s="198" t="s">
        <v>1</v>
      </c>
      <c r="AR102" s="201" t="s">
        <v>1</v>
      </c>
      <c r="AS102" s="201" t="s">
        <v>1</v>
      </c>
      <c r="AT102" s="199" t="s">
        <v>1</v>
      </c>
      <c r="AU102" s="199" t="s">
        <v>1</v>
      </c>
      <c r="AV102" s="202" t="s">
        <v>1</v>
      </c>
      <c r="AW102" s="199" t="s">
        <v>1</v>
      </c>
    </row>
    <row r="103" spans="1:49" ht="30.15" customHeight="1" x14ac:dyDescent="0.25">
      <c r="A103" s="188" t="s">
        <v>18</v>
      </c>
      <c r="B103" s="188" t="s">
        <v>1</v>
      </c>
      <c r="C103" s="188" t="s">
        <v>35</v>
      </c>
      <c r="D103" s="190" t="s">
        <v>3</v>
      </c>
      <c r="E103" s="190" t="s">
        <v>771</v>
      </c>
      <c r="F103" s="203"/>
      <c r="G103" s="190" t="s">
        <v>805</v>
      </c>
      <c r="H103" s="192" t="s">
        <v>414</v>
      </c>
      <c r="I103" s="194">
        <v>490</v>
      </c>
      <c r="J103" s="194">
        <v>532</v>
      </c>
      <c r="K103" s="193">
        <v>532</v>
      </c>
      <c r="L103" s="193">
        <v>560</v>
      </c>
      <c r="M103" s="194">
        <v>560</v>
      </c>
      <c r="N103" s="195" t="s">
        <v>1</v>
      </c>
      <c r="O103" s="195" t="s">
        <v>1</v>
      </c>
      <c r="P103" s="195" t="s">
        <v>1</v>
      </c>
      <c r="Q103" s="195" t="s">
        <v>1</v>
      </c>
      <c r="R103" s="196" t="s">
        <v>1</v>
      </c>
      <c r="S103" s="197" t="s">
        <v>1</v>
      </c>
      <c r="T103" s="197" t="s">
        <v>1</v>
      </c>
      <c r="U103" s="197" t="s">
        <v>1</v>
      </c>
      <c r="V103" s="197" t="s">
        <v>1</v>
      </c>
      <c r="W103" s="196" t="s">
        <v>1</v>
      </c>
      <c r="X103" s="195" t="s">
        <v>1</v>
      </c>
      <c r="Y103" s="195" t="s">
        <v>1</v>
      </c>
      <c r="Z103" s="195" t="s">
        <v>1</v>
      </c>
      <c r="AA103" s="196" t="s">
        <v>1</v>
      </c>
      <c r="AB103" s="196" t="s">
        <v>1</v>
      </c>
      <c r="AC103" s="197" t="s">
        <v>1</v>
      </c>
      <c r="AD103" s="197" t="s">
        <v>1</v>
      </c>
      <c r="AE103" s="197" t="s">
        <v>1</v>
      </c>
      <c r="AF103" s="198" t="s">
        <v>1</v>
      </c>
      <c r="AG103" s="198" t="s">
        <v>1</v>
      </c>
      <c r="AH103" s="198" t="s">
        <v>1</v>
      </c>
      <c r="AI103" s="209" t="s">
        <v>1</v>
      </c>
      <c r="AJ103" s="209" t="s">
        <v>1</v>
      </c>
      <c r="AK103" s="209" t="s">
        <v>1</v>
      </c>
      <c r="AL103" s="198">
        <v>0</v>
      </c>
      <c r="AM103" s="200" t="s">
        <v>1</v>
      </c>
      <c r="AN103" s="199" t="s">
        <v>1</v>
      </c>
      <c r="AO103" s="199" t="s">
        <v>1252</v>
      </c>
      <c r="AP103" s="198" t="s">
        <v>1</v>
      </c>
      <c r="AQ103" s="198" t="s">
        <v>1</v>
      </c>
      <c r="AR103" s="201" t="s">
        <v>1</v>
      </c>
      <c r="AS103" s="201" t="s">
        <v>1</v>
      </c>
      <c r="AT103" s="199" t="s">
        <v>1</v>
      </c>
      <c r="AU103" s="199" t="s">
        <v>1</v>
      </c>
      <c r="AV103" s="202" t="s">
        <v>1</v>
      </c>
      <c r="AW103" s="199" t="s">
        <v>1</v>
      </c>
    </row>
    <row r="104" spans="1:49" ht="30.15" customHeight="1" x14ac:dyDescent="0.25">
      <c r="A104" s="188" t="s">
        <v>18</v>
      </c>
      <c r="B104" s="188" t="s">
        <v>1</v>
      </c>
      <c r="C104" s="188" t="s">
        <v>35</v>
      </c>
      <c r="D104" s="190" t="s">
        <v>3</v>
      </c>
      <c r="E104" s="190" t="s">
        <v>772</v>
      </c>
      <c r="F104" s="203"/>
      <c r="G104" s="190" t="s">
        <v>806</v>
      </c>
      <c r="H104" s="192" t="s">
        <v>414</v>
      </c>
      <c r="I104" s="194">
        <v>490</v>
      </c>
      <c r="J104" s="194">
        <v>532</v>
      </c>
      <c r="K104" s="193">
        <v>532</v>
      </c>
      <c r="L104" s="193">
        <v>560</v>
      </c>
      <c r="M104" s="194">
        <v>560</v>
      </c>
      <c r="N104" s="195" t="s">
        <v>1</v>
      </c>
      <c r="O104" s="195" t="s">
        <v>1</v>
      </c>
      <c r="P104" s="195" t="s">
        <v>1</v>
      </c>
      <c r="Q104" s="195" t="s">
        <v>1</v>
      </c>
      <c r="R104" s="196" t="s">
        <v>1</v>
      </c>
      <c r="S104" s="197" t="s">
        <v>1</v>
      </c>
      <c r="T104" s="197" t="s">
        <v>1</v>
      </c>
      <c r="U104" s="197" t="s">
        <v>1</v>
      </c>
      <c r="V104" s="197" t="s">
        <v>1</v>
      </c>
      <c r="W104" s="196" t="s">
        <v>1</v>
      </c>
      <c r="X104" s="195" t="s">
        <v>1</v>
      </c>
      <c r="Y104" s="195" t="s">
        <v>1</v>
      </c>
      <c r="Z104" s="195" t="s">
        <v>1</v>
      </c>
      <c r="AA104" s="196" t="s">
        <v>1</v>
      </c>
      <c r="AB104" s="196" t="s">
        <v>1</v>
      </c>
      <c r="AC104" s="197" t="s">
        <v>1</v>
      </c>
      <c r="AD104" s="197" t="s">
        <v>1</v>
      </c>
      <c r="AE104" s="197" t="s">
        <v>1</v>
      </c>
      <c r="AF104" s="198" t="s">
        <v>1</v>
      </c>
      <c r="AG104" s="198" t="s">
        <v>1</v>
      </c>
      <c r="AH104" s="198" t="s">
        <v>1</v>
      </c>
      <c r="AI104" s="209" t="s">
        <v>1</v>
      </c>
      <c r="AJ104" s="209" t="s">
        <v>1</v>
      </c>
      <c r="AK104" s="209" t="s">
        <v>1</v>
      </c>
      <c r="AL104" s="198">
        <v>0</v>
      </c>
      <c r="AM104" s="200" t="s">
        <v>1</v>
      </c>
      <c r="AN104" s="199" t="s">
        <v>1</v>
      </c>
      <c r="AO104" s="199" t="s">
        <v>1252</v>
      </c>
      <c r="AP104" s="198" t="s">
        <v>1</v>
      </c>
      <c r="AQ104" s="198" t="s">
        <v>1</v>
      </c>
      <c r="AR104" s="201" t="s">
        <v>1</v>
      </c>
      <c r="AS104" s="201" t="s">
        <v>1</v>
      </c>
      <c r="AT104" s="199" t="s">
        <v>1</v>
      </c>
      <c r="AU104" s="199" t="s">
        <v>1</v>
      </c>
      <c r="AV104" s="202" t="s">
        <v>1</v>
      </c>
      <c r="AW104" s="199" t="s">
        <v>1</v>
      </c>
    </row>
    <row r="105" spans="1:49" ht="30.15" customHeight="1" x14ac:dyDescent="0.25">
      <c r="A105" s="188" t="s">
        <v>18</v>
      </c>
      <c r="B105" s="188" t="s">
        <v>1</v>
      </c>
      <c r="C105" s="188" t="s">
        <v>35</v>
      </c>
      <c r="D105" s="190" t="s">
        <v>3</v>
      </c>
      <c r="E105" s="190" t="s">
        <v>773</v>
      </c>
      <c r="F105" s="203"/>
      <c r="G105" s="190" t="s">
        <v>807</v>
      </c>
      <c r="H105" s="192" t="s">
        <v>414</v>
      </c>
      <c r="I105" s="194">
        <v>490</v>
      </c>
      <c r="J105" s="194">
        <v>532</v>
      </c>
      <c r="K105" s="193">
        <v>532</v>
      </c>
      <c r="L105" s="193">
        <v>560</v>
      </c>
      <c r="M105" s="194">
        <v>560</v>
      </c>
      <c r="N105" s="195" t="s">
        <v>1</v>
      </c>
      <c r="O105" s="195" t="s">
        <v>1</v>
      </c>
      <c r="P105" s="195" t="s">
        <v>1</v>
      </c>
      <c r="Q105" s="195" t="s">
        <v>1</v>
      </c>
      <c r="R105" s="196" t="s">
        <v>1</v>
      </c>
      <c r="S105" s="197" t="s">
        <v>1</v>
      </c>
      <c r="T105" s="197" t="s">
        <v>1</v>
      </c>
      <c r="U105" s="197" t="s">
        <v>1</v>
      </c>
      <c r="V105" s="197" t="s">
        <v>1</v>
      </c>
      <c r="W105" s="196" t="s">
        <v>1</v>
      </c>
      <c r="X105" s="195" t="s">
        <v>1</v>
      </c>
      <c r="Y105" s="195" t="s">
        <v>1</v>
      </c>
      <c r="Z105" s="195" t="s">
        <v>1</v>
      </c>
      <c r="AA105" s="196" t="s">
        <v>1</v>
      </c>
      <c r="AB105" s="196" t="s">
        <v>1</v>
      </c>
      <c r="AC105" s="197" t="s">
        <v>1</v>
      </c>
      <c r="AD105" s="197" t="s">
        <v>1</v>
      </c>
      <c r="AE105" s="197" t="s">
        <v>1</v>
      </c>
      <c r="AF105" s="198" t="s">
        <v>1</v>
      </c>
      <c r="AG105" s="198" t="s">
        <v>1</v>
      </c>
      <c r="AH105" s="198" t="s">
        <v>1</v>
      </c>
      <c r="AI105" s="209" t="s">
        <v>1</v>
      </c>
      <c r="AJ105" s="209" t="s">
        <v>1</v>
      </c>
      <c r="AK105" s="209" t="s">
        <v>1</v>
      </c>
      <c r="AL105" s="198">
        <v>0</v>
      </c>
      <c r="AM105" s="200" t="s">
        <v>1</v>
      </c>
      <c r="AN105" s="199" t="s">
        <v>1</v>
      </c>
      <c r="AO105" s="199" t="s">
        <v>1252</v>
      </c>
      <c r="AP105" s="198" t="s">
        <v>1</v>
      </c>
      <c r="AQ105" s="198" t="s">
        <v>1</v>
      </c>
      <c r="AR105" s="201" t="s">
        <v>1</v>
      </c>
      <c r="AS105" s="201" t="s">
        <v>1</v>
      </c>
      <c r="AT105" s="199" t="s">
        <v>1</v>
      </c>
      <c r="AU105" s="199" t="s">
        <v>1</v>
      </c>
      <c r="AV105" s="202" t="s">
        <v>1</v>
      </c>
      <c r="AW105" s="199" t="s">
        <v>1</v>
      </c>
    </row>
    <row r="106" spans="1:49" ht="30.15" customHeight="1" x14ac:dyDescent="0.25">
      <c r="A106" s="188" t="s">
        <v>18</v>
      </c>
      <c r="B106" s="188" t="s">
        <v>1</v>
      </c>
      <c r="C106" s="188" t="s">
        <v>35</v>
      </c>
      <c r="D106" s="190" t="s">
        <v>3</v>
      </c>
      <c r="E106" s="190" t="s">
        <v>774</v>
      </c>
      <c r="F106" s="203"/>
      <c r="G106" s="190" t="s">
        <v>808</v>
      </c>
      <c r="H106" s="192" t="s">
        <v>414</v>
      </c>
      <c r="I106" s="194">
        <v>472</v>
      </c>
      <c r="J106" s="194">
        <v>513</v>
      </c>
      <c r="K106" s="193">
        <v>513</v>
      </c>
      <c r="L106" s="193">
        <v>540</v>
      </c>
      <c r="M106" s="194">
        <v>540</v>
      </c>
      <c r="N106" s="195" t="s">
        <v>1</v>
      </c>
      <c r="O106" s="195" t="s">
        <v>1</v>
      </c>
      <c r="P106" s="195" t="s">
        <v>1</v>
      </c>
      <c r="Q106" s="195" t="s">
        <v>1</v>
      </c>
      <c r="R106" s="196" t="s">
        <v>1</v>
      </c>
      <c r="S106" s="197" t="s">
        <v>1</v>
      </c>
      <c r="T106" s="197" t="s">
        <v>1</v>
      </c>
      <c r="U106" s="197" t="s">
        <v>1</v>
      </c>
      <c r="V106" s="197" t="s">
        <v>1</v>
      </c>
      <c r="W106" s="196" t="s">
        <v>1</v>
      </c>
      <c r="X106" s="195" t="s">
        <v>1</v>
      </c>
      <c r="Y106" s="195" t="s">
        <v>1</v>
      </c>
      <c r="Z106" s="195" t="s">
        <v>1</v>
      </c>
      <c r="AA106" s="196" t="s">
        <v>1</v>
      </c>
      <c r="AB106" s="196" t="s">
        <v>1</v>
      </c>
      <c r="AC106" s="197" t="s">
        <v>1</v>
      </c>
      <c r="AD106" s="197" t="s">
        <v>1</v>
      </c>
      <c r="AE106" s="197" t="s">
        <v>1</v>
      </c>
      <c r="AF106" s="198" t="s">
        <v>1</v>
      </c>
      <c r="AG106" s="198" t="s">
        <v>1</v>
      </c>
      <c r="AH106" s="198" t="s">
        <v>1</v>
      </c>
      <c r="AI106" s="209" t="s">
        <v>1</v>
      </c>
      <c r="AJ106" s="209" t="s">
        <v>1</v>
      </c>
      <c r="AK106" s="209" t="s">
        <v>1</v>
      </c>
      <c r="AL106" s="198">
        <v>0</v>
      </c>
      <c r="AM106" s="200" t="s">
        <v>1</v>
      </c>
      <c r="AN106" s="199" t="s">
        <v>1</v>
      </c>
      <c r="AO106" s="199" t="s">
        <v>1252</v>
      </c>
      <c r="AP106" s="198" t="s">
        <v>1</v>
      </c>
      <c r="AQ106" s="198" t="s">
        <v>1</v>
      </c>
      <c r="AR106" s="201" t="s">
        <v>1</v>
      </c>
      <c r="AS106" s="201" t="s">
        <v>1</v>
      </c>
      <c r="AT106" s="199" t="s">
        <v>1</v>
      </c>
      <c r="AU106" s="199" t="s">
        <v>1</v>
      </c>
      <c r="AV106" s="202" t="s">
        <v>1</v>
      </c>
      <c r="AW106" s="199" t="s">
        <v>1</v>
      </c>
    </row>
    <row r="107" spans="1:49" ht="30.15" customHeight="1" x14ac:dyDescent="0.25">
      <c r="A107" s="188" t="s">
        <v>18</v>
      </c>
      <c r="B107" s="188" t="s">
        <v>1</v>
      </c>
      <c r="C107" s="188" t="s">
        <v>35</v>
      </c>
      <c r="D107" s="190" t="s">
        <v>3</v>
      </c>
      <c r="E107" s="190" t="s">
        <v>775</v>
      </c>
      <c r="F107" s="203"/>
      <c r="G107" s="190" t="s">
        <v>809</v>
      </c>
      <c r="H107" s="192" t="s">
        <v>414</v>
      </c>
      <c r="I107" s="194">
        <v>454</v>
      </c>
      <c r="J107" s="194">
        <v>494</v>
      </c>
      <c r="K107" s="193">
        <v>494</v>
      </c>
      <c r="L107" s="193">
        <v>520</v>
      </c>
      <c r="M107" s="194">
        <v>520</v>
      </c>
      <c r="N107" s="195" t="s">
        <v>1</v>
      </c>
      <c r="O107" s="195" t="s">
        <v>1</v>
      </c>
      <c r="P107" s="195" t="s">
        <v>1</v>
      </c>
      <c r="Q107" s="195" t="s">
        <v>1</v>
      </c>
      <c r="R107" s="196" t="s">
        <v>1</v>
      </c>
      <c r="S107" s="197" t="s">
        <v>1</v>
      </c>
      <c r="T107" s="197" t="s">
        <v>1</v>
      </c>
      <c r="U107" s="197" t="s">
        <v>1</v>
      </c>
      <c r="V107" s="197" t="s">
        <v>1</v>
      </c>
      <c r="W107" s="196" t="s">
        <v>1</v>
      </c>
      <c r="X107" s="195" t="s">
        <v>1</v>
      </c>
      <c r="Y107" s="195" t="s">
        <v>1</v>
      </c>
      <c r="Z107" s="195" t="s">
        <v>1</v>
      </c>
      <c r="AA107" s="196" t="s">
        <v>1</v>
      </c>
      <c r="AB107" s="196" t="s">
        <v>1</v>
      </c>
      <c r="AC107" s="197" t="s">
        <v>1</v>
      </c>
      <c r="AD107" s="197" t="s">
        <v>1</v>
      </c>
      <c r="AE107" s="197" t="s">
        <v>1</v>
      </c>
      <c r="AF107" s="198" t="s">
        <v>1</v>
      </c>
      <c r="AG107" s="198" t="s">
        <v>1</v>
      </c>
      <c r="AH107" s="198" t="s">
        <v>1</v>
      </c>
      <c r="AI107" s="209" t="s">
        <v>1</v>
      </c>
      <c r="AJ107" s="209" t="s">
        <v>1</v>
      </c>
      <c r="AK107" s="209" t="s">
        <v>1</v>
      </c>
      <c r="AL107" s="198">
        <v>0</v>
      </c>
      <c r="AM107" s="200" t="s">
        <v>1</v>
      </c>
      <c r="AN107" s="199" t="s">
        <v>1</v>
      </c>
      <c r="AO107" s="199" t="s">
        <v>1252</v>
      </c>
      <c r="AP107" s="198" t="s">
        <v>1</v>
      </c>
      <c r="AQ107" s="198" t="s">
        <v>1</v>
      </c>
      <c r="AR107" s="201" t="s">
        <v>1</v>
      </c>
      <c r="AS107" s="201" t="s">
        <v>1</v>
      </c>
      <c r="AT107" s="199" t="s">
        <v>1</v>
      </c>
      <c r="AU107" s="199" t="s">
        <v>1</v>
      </c>
      <c r="AV107" s="202" t="s">
        <v>1</v>
      </c>
      <c r="AW107" s="199" t="s">
        <v>1</v>
      </c>
    </row>
    <row r="108" spans="1:49" ht="30.15" customHeight="1" x14ac:dyDescent="0.25">
      <c r="A108" s="188" t="s">
        <v>18</v>
      </c>
      <c r="B108" s="188" t="s">
        <v>1</v>
      </c>
      <c r="C108" s="188" t="s">
        <v>35</v>
      </c>
      <c r="D108" s="190" t="s">
        <v>3</v>
      </c>
      <c r="E108" s="190" t="s">
        <v>776</v>
      </c>
      <c r="F108" s="203"/>
      <c r="G108" s="190" t="s">
        <v>810</v>
      </c>
      <c r="H108" s="192" t="s">
        <v>414</v>
      </c>
      <c r="I108" s="194">
        <v>454</v>
      </c>
      <c r="J108" s="194">
        <v>494</v>
      </c>
      <c r="K108" s="193">
        <v>494</v>
      </c>
      <c r="L108" s="193">
        <v>520</v>
      </c>
      <c r="M108" s="194">
        <v>520</v>
      </c>
      <c r="N108" s="195" t="s">
        <v>1</v>
      </c>
      <c r="O108" s="195" t="s">
        <v>1</v>
      </c>
      <c r="P108" s="195" t="s">
        <v>1</v>
      </c>
      <c r="Q108" s="195" t="s">
        <v>1</v>
      </c>
      <c r="R108" s="196" t="s">
        <v>1</v>
      </c>
      <c r="S108" s="197" t="s">
        <v>1</v>
      </c>
      <c r="T108" s="197" t="s">
        <v>1</v>
      </c>
      <c r="U108" s="197" t="s">
        <v>1</v>
      </c>
      <c r="V108" s="197" t="s">
        <v>1</v>
      </c>
      <c r="W108" s="196" t="s">
        <v>1</v>
      </c>
      <c r="X108" s="195" t="s">
        <v>1</v>
      </c>
      <c r="Y108" s="195" t="s">
        <v>1</v>
      </c>
      <c r="Z108" s="195" t="s">
        <v>1</v>
      </c>
      <c r="AA108" s="196" t="s">
        <v>1</v>
      </c>
      <c r="AB108" s="196" t="s">
        <v>1</v>
      </c>
      <c r="AC108" s="197" t="s">
        <v>1</v>
      </c>
      <c r="AD108" s="197" t="s">
        <v>1</v>
      </c>
      <c r="AE108" s="197" t="s">
        <v>1</v>
      </c>
      <c r="AF108" s="198" t="s">
        <v>1</v>
      </c>
      <c r="AG108" s="198" t="s">
        <v>1</v>
      </c>
      <c r="AH108" s="198" t="s">
        <v>1</v>
      </c>
      <c r="AI108" s="209" t="s">
        <v>1</v>
      </c>
      <c r="AJ108" s="209" t="s">
        <v>1</v>
      </c>
      <c r="AK108" s="209" t="s">
        <v>1</v>
      </c>
      <c r="AL108" s="198">
        <v>0</v>
      </c>
      <c r="AM108" s="200" t="s">
        <v>1</v>
      </c>
      <c r="AN108" s="199" t="s">
        <v>1</v>
      </c>
      <c r="AO108" s="199" t="s">
        <v>1252</v>
      </c>
      <c r="AP108" s="198" t="s">
        <v>1</v>
      </c>
      <c r="AQ108" s="198" t="s">
        <v>1</v>
      </c>
      <c r="AR108" s="201" t="s">
        <v>1</v>
      </c>
      <c r="AS108" s="201" t="s">
        <v>1</v>
      </c>
      <c r="AT108" s="199" t="s">
        <v>1</v>
      </c>
      <c r="AU108" s="199" t="s">
        <v>1</v>
      </c>
      <c r="AV108" s="202" t="s">
        <v>1</v>
      </c>
      <c r="AW108" s="199" t="s">
        <v>1</v>
      </c>
    </row>
    <row r="109" spans="1:49" ht="30.15" customHeight="1" x14ac:dyDescent="0.25">
      <c r="A109" s="188" t="s">
        <v>18</v>
      </c>
      <c r="B109" s="189" t="s">
        <v>1</v>
      </c>
      <c r="C109" s="188" t="s">
        <v>35</v>
      </c>
      <c r="D109" s="190" t="s">
        <v>3</v>
      </c>
      <c r="E109" s="190" t="s">
        <v>386</v>
      </c>
      <c r="F109" s="203"/>
      <c r="G109" s="190" t="s">
        <v>407</v>
      </c>
      <c r="H109" s="192" t="s">
        <v>409</v>
      </c>
      <c r="I109" s="193">
        <v>518</v>
      </c>
      <c r="J109" s="193">
        <v>531</v>
      </c>
      <c r="K109" s="193">
        <v>531</v>
      </c>
      <c r="L109" s="193">
        <v>559</v>
      </c>
      <c r="M109" s="194">
        <v>559</v>
      </c>
      <c r="N109" s="195" t="s">
        <v>1</v>
      </c>
      <c r="O109" s="195" t="s">
        <v>1</v>
      </c>
      <c r="P109" s="195" t="s">
        <v>1</v>
      </c>
      <c r="Q109" s="195" t="s">
        <v>1</v>
      </c>
      <c r="R109" s="196" t="s">
        <v>1</v>
      </c>
      <c r="S109" s="197" t="s">
        <v>1</v>
      </c>
      <c r="T109" s="197" t="s">
        <v>1</v>
      </c>
      <c r="U109" s="197" t="s">
        <v>1</v>
      </c>
      <c r="V109" s="197" t="s">
        <v>1</v>
      </c>
      <c r="W109" s="196" t="s">
        <v>1</v>
      </c>
      <c r="X109" s="195" t="s">
        <v>1</v>
      </c>
      <c r="Y109" s="195" t="s">
        <v>1</v>
      </c>
      <c r="Z109" s="195" t="s">
        <v>1</v>
      </c>
      <c r="AA109" s="196" t="s">
        <v>1</v>
      </c>
      <c r="AB109" s="196" t="s">
        <v>1</v>
      </c>
      <c r="AC109" s="197" t="s">
        <v>1</v>
      </c>
      <c r="AD109" s="197" t="s">
        <v>1</v>
      </c>
      <c r="AE109" s="197" t="s">
        <v>1</v>
      </c>
      <c r="AF109" s="198" t="s">
        <v>1</v>
      </c>
      <c r="AG109" s="198" t="s">
        <v>1</v>
      </c>
      <c r="AH109" s="198" t="s">
        <v>1</v>
      </c>
      <c r="AI109" s="209" t="s">
        <v>1</v>
      </c>
      <c r="AJ109" s="209" t="s">
        <v>1</v>
      </c>
      <c r="AK109" s="209" t="s">
        <v>1</v>
      </c>
      <c r="AL109" s="198">
        <v>0</v>
      </c>
      <c r="AM109" s="200" t="s">
        <v>1</v>
      </c>
      <c r="AN109" s="199" t="s">
        <v>1</v>
      </c>
      <c r="AO109" s="199" t="s">
        <v>1252</v>
      </c>
      <c r="AP109" s="198" t="s">
        <v>1</v>
      </c>
      <c r="AQ109" s="198" t="s">
        <v>1</v>
      </c>
      <c r="AR109" s="201" t="s">
        <v>1</v>
      </c>
      <c r="AS109" s="201" t="s">
        <v>1</v>
      </c>
      <c r="AT109" s="199" t="s">
        <v>1</v>
      </c>
      <c r="AU109" s="199" t="s">
        <v>1</v>
      </c>
      <c r="AV109" s="202" t="s">
        <v>1</v>
      </c>
      <c r="AW109" s="199" t="s">
        <v>1</v>
      </c>
    </row>
    <row r="110" spans="1:49" ht="30.15" customHeight="1" x14ac:dyDescent="0.25">
      <c r="A110" s="188" t="s">
        <v>18</v>
      </c>
      <c r="B110" s="189" t="s">
        <v>1</v>
      </c>
      <c r="C110" s="188" t="s">
        <v>35</v>
      </c>
      <c r="D110" s="190" t="s">
        <v>3</v>
      </c>
      <c r="E110" s="190" t="s">
        <v>387</v>
      </c>
      <c r="F110" s="203"/>
      <c r="G110" s="190" t="s">
        <v>408</v>
      </c>
      <c r="H110" s="192" t="s">
        <v>409</v>
      </c>
      <c r="I110" s="193">
        <v>629</v>
      </c>
      <c r="J110" s="193">
        <v>645</v>
      </c>
      <c r="K110" s="193">
        <v>645</v>
      </c>
      <c r="L110" s="193">
        <v>679</v>
      </c>
      <c r="M110" s="194">
        <v>679</v>
      </c>
      <c r="N110" s="195" t="s">
        <v>1</v>
      </c>
      <c r="O110" s="195" t="s">
        <v>1</v>
      </c>
      <c r="P110" s="195" t="s">
        <v>1</v>
      </c>
      <c r="Q110" s="195" t="s">
        <v>1</v>
      </c>
      <c r="R110" s="196" t="s">
        <v>1</v>
      </c>
      <c r="S110" s="197" t="s">
        <v>1</v>
      </c>
      <c r="T110" s="197" t="s">
        <v>1</v>
      </c>
      <c r="U110" s="197" t="s">
        <v>1</v>
      </c>
      <c r="V110" s="197" t="s">
        <v>1</v>
      </c>
      <c r="W110" s="196" t="s">
        <v>1</v>
      </c>
      <c r="X110" s="195" t="s">
        <v>1</v>
      </c>
      <c r="Y110" s="195" t="s">
        <v>1</v>
      </c>
      <c r="Z110" s="195" t="s">
        <v>1</v>
      </c>
      <c r="AA110" s="196" t="s">
        <v>1</v>
      </c>
      <c r="AB110" s="196" t="s">
        <v>1</v>
      </c>
      <c r="AC110" s="197" t="s">
        <v>1</v>
      </c>
      <c r="AD110" s="197" t="s">
        <v>1</v>
      </c>
      <c r="AE110" s="197" t="s">
        <v>1</v>
      </c>
      <c r="AF110" s="198" t="s">
        <v>1</v>
      </c>
      <c r="AG110" s="198" t="s">
        <v>1</v>
      </c>
      <c r="AH110" s="198" t="s">
        <v>1</v>
      </c>
      <c r="AI110" s="209" t="s">
        <v>1</v>
      </c>
      <c r="AJ110" s="209" t="s">
        <v>1</v>
      </c>
      <c r="AK110" s="209" t="s">
        <v>1</v>
      </c>
      <c r="AL110" s="198">
        <v>0</v>
      </c>
      <c r="AM110" s="200" t="s">
        <v>1</v>
      </c>
      <c r="AN110" s="199" t="s">
        <v>1</v>
      </c>
      <c r="AO110" s="199" t="s">
        <v>1252</v>
      </c>
      <c r="AP110" s="198" t="s">
        <v>1</v>
      </c>
      <c r="AQ110" s="198" t="s">
        <v>1</v>
      </c>
      <c r="AR110" s="201" t="s">
        <v>1</v>
      </c>
      <c r="AS110" s="201" t="s">
        <v>1</v>
      </c>
      <c r="AT110" s="199" t="s">
        <v>1</v>
      </c>
      <c r="AU110" s="199" t="s">
        <v>1</v>
      </c>
      <c r="AV110" s="202" t="s">
        <v>1</v>
      </c>
      <c r="AW110" s="199" t="s">
        <v>1</v>
      </c>
    </row>
    <row r="111" spans="1:49" ht="30.15" customHeight="1" x14ac:dyDescent="0.25">
      <c r="A111" s="188" t="s">
        <v>18</v>
      </c>
      <c r="B111" s="189" t="s">
        <v>1</v>
      </c>
      <c r="C111" s="188" t="s">
        <v>35</v>
      </c>
      <c r="D111" s="190" t="s">
        <v>3</v>
      </c>
      <c r="E111" s="190" t="s">
        <v>709</v>
      </c>
      <c r="F111" s="203"/>
      <c r="G111" s="190" t="s">
        <v>707</v>
      </c>
      <c r="H111" s="192" t="s">
        <v>409</v>
      </c>
      <c r="I111" s="193">
        <v>555</v>
      </c>
      <c r="J111" s="193">
        <v>569</v>
      </c>
      <c r="K111" s="193">
        <v>569</v>
      </c>
      <c r="L111" s="193">
        <v>599</v>
      </c>
      <c r="M111" s="194">
        <v>599</v>
      </c>
      <c r="N111" s="195" t="s">
        <v>1</v>
      </c>
      <c r="O111" s="195" t="s">
        <v>1</v>
      </c>
      <c r="P111" s="195" t="s">
        <v>1</v>
      </c>
      <c r="Q111" s="195" t="s">
        <v>1</v>
      </c>
      <c r="R111" s="196" t="s">
        <v>1</v>
      </c>
      <c r="S111" s="197" t="s">
        <v>1</v>
      </c>
      <c r="T111" s="197" t="s">
        <v>1</v>
      </c>
      <c r="U111" s="197" t="s">
        <v>1</v>
      </c>
      <c r="V111" s="197" t="s">
        <v>1</v>
      </c>
      <c r="W111" s="196" t="s">
        <v>1</v>
      </c>
      <c r="X111" s="195" t="s">
        <v>1</v>
      </c>
      <c r="Y111" s="195" t="s">
        <v>1</v>
      </c>
      <c r="Z111" s="195" t="s">
        <v>1</v>
      </c>
      <c r="AA111" s="196" t="s">
        <v>1</v>
      </c>
      <c r="AB111" s="196" t="s">
        <v>1</v>
      </c>
      <c r="AC111" s="197" t="s">
        <v>1</v>
      </c>
      <c r="AD111" s="197" t="s">
        <v>1</v>
      </c>
      <c r="AE111" s="197" t="s">
        <v>1</v>
      </c>
      <c r="AF111" s="198" t="s">
        <v>1</v>
      </c>
      <c r="AG111" s="198" t="s">
        <v>1</v>
      </c>
      <c r="AH111" s="198" t="s">
        <v>1</v>
      </c>
      <c r="AI111" s="209" t="s">
        <v>1</v>
      </c>
      <c r="AJ111" s="209" t="s">
        <v>1</v>
      </c>
      <c r="AK111" s="209" t="s">
        <v>1</v>
      </c>
      <c r="AL111" s="198">
        <v>0</v>
      </c>
      <c r="AM111" s="200" t="s">
        <v>1</v>
      </c>
      <c r="AN111" s="200" t="s">
        <v>1</v>
      </c>
      <c r="AO111" s="200" t="s">
        <v>1252</v>
      </c>
      <c r="AP111" s="198" t="s">
        <v>1</v>
      </c>
      <c r="AQ111" s="198" t="s">
        <v>1</v>
      </c>
      <c r="AR111" s="201" t="s">
        <v>1</v>
      </c>
      <c r="AS111" s="201" t="s">
        <v>1</v>
      </c>
      <c r="AT111" s="199" t="s">
        <v>1</v>
      </c>
      <c r="AU111" s="199" t="s">
        <v>1</v>
      </c>
      <c r="AV111" s="202" t="s">
        <v>1</v>
      </c>
      <c r="AW111" s="199" t="s">
        <v>1</v>
      </c>
    </row>
    <row r="112" spans="1:49" ht="30.15" customHeight="1" x14ac:dyDescent="0.25">
      <c r="A112" s="188" t="s">
        <v>18</v>
      </c>
      <c r="B112" s="189" t="s">
        <v>1</v>
      </c>
      <c r="C112" s="188" t="s">
        <v>35</v>
      </c>
      <c r="D112" s="190" t="s">
        <v>3</v>
      </c>
      <c r="E112" s="190" t="s">
        <v>710</v>
      </c>
      <c r="F112" s="203"/>
      <c r="G112" s="190" t="s">
        <v>708</v>
      </c>
      <c r="H112" s="192" t="s">
        <v>409</v>
      </c>
      <c r="I112" s="193">
        <v>666</v>
      </c>
      <c r="J112" s="193">
        <v>683</v>
      </c>
      <c r="K112" s="193">
        <v>683</v>
      </c>
      <c r="L112" s="193">
        <v>719</v>
      </c>
      <c r="M112" s="194">
        <v>719</v>
      </c>
      <c r="N112" s="195" t="s">
        <v>1</v>
      </c>
      <c r="O112" s="195" t="s">
        <v>1</v>
      </c>
      <c r="P112" s="195" t="s">
        <v>1</v>
      </c>
      <c r="Q112" s="195" t="s">
        <v>1</v>
      </c>
      <c r="R112" s="196" t="s">
        <v>1</v>
      </c>
      <c r="S112" s="197" t="s">
        <v>1</v>
      </c>
      <c r="T112" s="197" t="s">
        <v>1</v>
      </c>
      <c r="U112" s="197" t="s">
        <v>1</v>
      </c>
      <c r="V112" s="197" t="s">
        <v>1</v>
      </c>
      <c r="W112" s="196" t="s">
        <v>1</v>
      </c>
      <c r="X112" s="195" t="s">
        <v>1</v>
      </c>
      <c r="Y112" s="195" t="s">
        <v>1</v>
      </c>
      <c r="Z112" s="195" t="s">
        <v>1</v>
      </c>
      <c r="AA112" s="196" t="s">
        <v>1</v>
      </c>
      <c r="AB112" s="196" t="s">
        <v>1</v>
      </c>
      <c r="AC112" s="197" t="s">
        <v>1</v>
      </c>
      <c r="AD112" s="197" t="s">
        <v>1</v>
      </c>
      <c r="AE112" s="197" t="s">
        <v>1</v>
      </c>
      <c r="AF112" s="198" t="s">
        <v>1</v>
      </c>
      <c r="AG112" s="198" t="s">
        <v>1</v>
      </c>
      <c r="AH112" s="198" t="s">
        <v>1</v>
      </c>
      <c r="AI112" s="209" t="s">
        <v>1</v>
      </c>
      <c r="AJ112" s="209" t="s">
        <v>1</v>
      </c>
      <c r="AK112" s="209" t="s">
        <v>1</v>
      </c>
      <c r="AL112" s="198">
        <v>0</v>
      </c>
      <c r="AM112" s="200" t="s">
        <v>1</v>
      </c>
      <c r="AN112" s="200" t="s">
        <v>1</v>
      </c>
      <c r="AO112" s="200" t="s">
        <v>1252</v>
      </c>
      <c r="AP112" s="198" t="s">
        <v>1</v>
      </c>
      <c r="AQ112" s="198" t="s">
        <v>1</v>
      </c>
      <c r="AR112" s="201" t="s">
        <v>1</v>
      </c>
      <c r="AS112" s="201" t="s">
        <v>1</v>
      </c>
      <c r="AT112" s="199" t="s">
        <v>1</v>
      </c>
      <c r="AU112" s="199" t="s">
        <v>1</v>
      </c>
      <c r="AV112" s="202" t="s">
        <v>1</v>
      </c>
      <c r="AW112" s="199" t="s">
        <v>1</v>
      </c>
    </row>
    <row r="113" spans="1:49" ht="30.15" customHeight="1" x14ac:dyDescent="0.25">
      <c r="A113" s="188" t="s">
        <v>18</v>
      </c>
      <c r="B113" s="189" t="s">
        <v>1</v>
      </c>
      <c r="C113" s="188" t="s">
        <v>35</v>
      </c>
      <c r="D113" s="190" t="s">
        <v>3</v>
      </c>
      <c r="E113" s="190" t="s">
        <v>938</v>
      </c>
      <c r="F113" s="203"/>
      <c r="G113" s="190" t="s">
        <v>934</v>
      </c>
      <c r="H113" s="192" t="s">
        <v>409</v>
      </c>
      <c r="I113" s="193">
        <v>555</v>
      </c>
      <c r="J113" s="193">
        <v>570</v>
      </c>
      <c r="K113" s="193">
        <v>570</v>
      </c>
      <c r="L113" s="193">
        <v>600</v>
      </c>
      <c r="M113" s="194">
        <v>600</v>
      </c>
      <c r="N113" s="195" t="s">
        <v>1</v>
      </c>
      <c r="O113" s="195" t="s">
        <v>1</v>
      </c>
      <c r="P113" s="195" t="s">
        <v>1</v>
      </c>
      <c r="Q113" s="195" t="s">
        <v>1</v>
      </c>
      <c r="R113" s="196" t="s">
        <v>1</v>
      </c>
      <c r="S113" s="197" t="s">
        <v>1</v>
      </c>
      <c r="T113" s="197" t="s">
        <v>1</v>
      </c>
      <c r="U113" s="197" t="s">
        <v>1</v>
      </c>
      <c r="V113" s="197" t="s">
        <v>1</v>
      </c>
      <c r="W113" s="196" t="s">
        <v>1</v>
      </c>
      <c r="X113" s="195" t="s">
        <v>1</v>
      </c>
      <c r="Y113" s="195" t="s">
        <v>1</v>
      </c>
      <c r="Z113" s="195" t="s">
        <v>1</v>
      </c>
      <c r="AA113" s="196" t="s">
        <v>1</v>
      </c>
      <c r="AB113" s="196" t="s">
        <v>1</v>
      </c>
      <c r="AC113" s="197" t="s">
        <v>1</v>
      </c>
      <c r="AD113" s="197" t="s">
        <v>1</v>
      </c>
      <c r="AE113" s="197" t="s">
        <v>1</v>
      </c>
      <c r="AF113" s="198" t="s">
        <v>1</v>
      </c>
      <c r="AG113" s="198" t="s">
        <v>1</v>
      </c>
      <c r="AH113" s="198" t="s">
        <v>1</v>
      </c>
      <c r="AI113" s="209" t="s">
        <v>1</v>
      </c>
      <c r="AJ113" s="209" t="s">
        <v>1</v>
      </c>
      <c r="AK113" s="209" t="s">
        <v>1</v>
      </c>
      <c r="AL113" s="198">
        <v>0</v>
      </c>
      <c r="AM113" s="200" t="s">
        <v>1</v>
      </c>
      <c r="AN113" s="200" t="s">
        <v>1</v>
      </c>
      <c r="AO113" s="200" t="s">
        <v>1252</v>
      </c>
      <c r="AP113" s="198" t="s">
        <v>1</v>
      </c>
      <c r="AQ113" s="198" t="s">
        <v>1</v>
      </c>
      <c r="AR113" s="201" t="s">
        <v>1</v>
      </c>
      <c r="AS113" s="201" t="s">
        <v>1</v>
      </c>
      <c r="AT113" s="199" t="s">
        <v>1</v>
      </c>
      <c r="AU113" s="199" t="s">
        <v>1</v>
      </c>
      <c r="AV113" s="202" t="s">
        <v>1</v>
      </c>
      <c r="AW113" s="199" t="s">
        <v>1</v>
      </c>
    </row>
    <row r="114" spans="1:49" ht="30.15" customHeight="1" x14ac:dyDescent="0.25">
      <c r="A114" s="188" t="s">
        <v>18</v>
      </c>
      <c r="B114" s="189" t="s">
        <v>1</v>
      </c>
      <c r="C114" s="188" t="s">
        <v>35</v>
      </c>
      <c r="D114" s="190" t="s">
        <v>3</v>
      </c>
      <c r="E114" s="190" t="s">
        <v>952</v>
      </c>
      <c r="F114" s="203"/>
      <c r="G114" s="190" t="s">
        <v>934</v>
      </c>
      <c r="H114" s="192" t="s">
        <v>907</v>
      </c>
      <c r="I114" s="193">
        <v>555</v>
      </c>
      <c r="J114" s="193">
        <v>570</v>
      </c>
      <c r="K114" s="193">
        <v>570</v>
      </c>
      <c r="L114" s="193">
        <v>600</v>
      </c>
      <c r="M114" s="194">
        <v>600</v>
      </c>
      <c r="N114" s="195" t="s">
        <v>1</v>
      </c>
      <c r="O114" s="195" t="s">
        <v>1</v>
      </c>
      <c r="P114" s="195" t="s">
        <v>1</v>
      </c>
      <c r="Q114" s="195" t="s">
        <v>1</v>
      </c>
      <c r="R114" s="196" t="s">
        <v>1</v>
      </c>
      <c r="S114" s="197" t="s">
        <v>1</v>
      </c>
      <c r="T114" s="197" t="s">
        <v>1</v>
      </c>
      <c r="U114" s="197" t="s">
        <v>1</v>
      </c>
      <c r="V114" s="197" t="s">
        <v>1</v>
      </c>
      <c r="W114" s="196" t="s">
        <v>1</v>
      </c>
      <c r="X114" s="195" t="s">
        <v>1</v>
      </c>
      <c r="Y114" s="195" t="s">
        <v>1</v>
      </c>
      <c r="Z114" s="195" t="s">
        <v>1</v>
      </c>
      <c r="AA114" s="196" t="s">
        <v>1</v>
      </c>
      <c r="AB114" s="196" t="s">
        <v>1</v>
      </c>
      <c r="AC114" s="197" t="s">
        <v>1</v>
      </c>
      <c r="AD114" s="197" t="s">
        <v>1</v>
      </c>
      <c r="AE114" s="197" t="s">
        <v>1</v>
      </c>
      <c r="AF114" s="198" t="s">
        <v>1</v>
      </c>
      <c r="AG114" s="198" t="s">
        <v>1</v>
      </c>
      <c r="AH114" s="198" t="s">
        <v>1</v>
      </c>
      <c r="AI114" s="209" t="s">
        <v>1</v>
      </c>
      <c r="AJ114" s="209" t="s">
        <v>1</v>
      </c>
      <c r="AK114" s="209" t="s">
        <v>1</v>
      </c>
      <c r="AL114" s="198">
        <v>0</v>
      </c>
      <c r="AM114" s="200" t="s">
        <v>1</v>
      </c>
      <c r="AN114" s="200" t="s">
        <v>1</v>
      </c>
      <c r="AO114" s="200" t="s">
        <v>1252</v>
      </c>
      <c r="AP114" s="198" t="s">
        <v>1</v>
      </c>
      <c r="AQ114" s="198" t="s">
        <v>1</v>
      </c>
      <c r="AR114" s="201" t="s">
        <v>1</v>
      </c>
      <c r="AS114" s="201" t="s">
        <v>1</v>
      </c>
      <c r="AT114" s="199" t="s">
        <v>1</v>
      </c>
      <c r="AU114" s="199" t="s">
        <v>1</v>
      </c>
      <c r="AV114" s="202" t="s">
        <v>1</v>
      </c>
      <c r="AW114" s="199" t="s">
        <v>1</v>
      </c>
    </row>
    <row r="115" spans="1:49" ht="30.15" customHeight="1" x14ac:dyDescent="0.25">
      <c r="A115" s="188" t="s">
        <v>18</v>
      </c>
      <c r="B115" s="189" t="s">
        <v>1</v>
      </c>
      <c r="C115" s="188" t="s">
        <v>35</v>
      </c>
      <c r="D115" s="190" t="s">
        <v>3</v>
      </c>
      <c r="E115" s="190" t="s">
        <v>1017</v>
      </c>
      <c r="F115" s="203"/>
      <c r="G115" s="190" t="s">
        <v>934</v>
      </c>
      <c r="H115" s="192" t="s">
        <v>414</v>
      </c>
      <c r="I115" s="193">
        <v>555</v>
      </c>
      <c r="J115" s="193">
        <v>570</v>
      </c>
      <c r="K115" s="193">
        <v>570</v>
      </c>
      <c r="L115" s="193">
        <v>600</v>
      </c>
      <c r="M115" s="194">
        <v>600</v>
      </c>
      <c r="N115" s="195" t="s">
        <v>1</v>
      </c>
      <c r="O115" s="195" t="s">
        <v>1</v>
      </c>
      <c r="P115" s="195" t="s">
        <v>1</v>
      </c>
      <c r="Q115" s="195" t="s">
        <v>1</v>
      </c>
      <c r="R115" s="196" t="s">
        <v>1</v>
      </c>
      <c r="S115" s="197" t="s">
        <v>1</v>
      </c>
      <c r="T115" s="197" t="s">
        <v>1</v>
      </c>
      <c r="U115" s="197" t="s">
        <v>1</v>
      </c>
      <c r="V115" s="197" t="s">
        <v>1</v>
      </c>
      <c r="W115" s="196" t="s">
        <v>1</v>
      </c>
      <c r="X115" s="195" t="s">
        <v>1</v>
      </c>
      <c r="Y115" s="195" t="s">
        <v>1</v>
      </c>
      <c r="Z115" s="195" t="s">
        <v>1</v>
      </c>
      <c r="AA115" s="196" t="s">
        <v>1</v>
      </c>
      <c r="AB115" s="196" t="s">
        <v>1</v>
      </c>
      <c r="AC115" s="197" t="s">
        <v>1</v>
      </c>
      <c r="AD115" s="197" t="s">
        <v>1</v>
      </c>
      <c r="AE115" s="197" t="s">
        <v>1</v>
      </c>
      <c r="AF115" s="198" t="s">
        <v>1</v>
      </c>
      <c r="AG115" s="198" t="s">
        <v>1</v>
      </c>
      <c r="AH115" s="198" t="s">
        <v>1</v>
      </c>
      <c r="AI115" s="209" t="s">
        <v>1</v>
      </c>
      <c r="AJ115" s="209" t="s">
        <v>1</v>
      </c>
      <c r="AK115" s="209" t="s">
        <v>1</v>
      </c>
      <c r="AL115" s="198">
        <v>0</v>
      </c>
      <c r="AM115" s="200" t="s">
        <v>1</v>
      </c>
      <c r="AN115" s="200" t="s">
        <v>1</v>
      </c>
      <c r="AO115" s="200" t="s">
        <v>1252</v>
      </c>
      <c r="AP115" s="198" t="s">
        <v>1</v>
      </c>
      <c r="AQ115" s="198" t="s">
        <v>1</v>
      </c>
      <c r="AR115" s="201" t="s">
        <v>1</v>
      </c>
      <c r="AS115" s="201" t="s">
        <v>1</v>
      </c>
      <c r="AT115" s="199" t="s">
        <v>1</v>
      </c>
      <c r="AU115" s="199" t="s">
        <v>1</v>
      </c>
      <c r="AV115" s="202" t="s">
        <v>1</v>
      </c>
      <c r="AW115" s="199" t="s">
        <v>1</v>
      </c>
    </row>
    <row r="116" spans="1:49" ht="30.15" customHeight="1" x14ac:dyDescent="0.25">
      <c r="A116" s="188" t="s">
        <v>18</v>
      </c>
      <c r="B116" s="189" t="s">
        <v>1</v>
      </c>
      <c r="C116" s="188" t="s">
        <v>35</v>
      </c>
      <c r="D116" s="190" t="s">
        <v>3</v>
      </c>
      <c r="E116" s="190" t="s">
        <v>939</v>
      </c>
      <c r="F116" s="203"/>
      <c r="G116" s="190" t="s">
        <v>935</v>
      </c>
      <c r="H116" s="192" t="s">
        <v>409</v>
      </c>
      <c r="I116" s="193">
        <v>666</v>
      </c>
      <c r="J116" s="193">
        <v>684</v>
      </c>
      <c r="K116" s="193">
        <v>684</v>
      </c>
      <c r="L116" s="193">
        <v>720</v>
      </c>
      <c r="M116" s="194">
        <v>720</v>
      </c>
      <c r="N116" s="195" t="s">
        <v>1</v>
      </c>
      <c r="O116" s="195" t="s">
        <v>1</v>
      </c>
      <c r="P116" s="195" t="s">
        <v>1</v>
      </c>
      <c r="Q116" s="195" t="s">
        <v>1</v>
      </c>
      <c r="R116" s="196" t="s">
        <v>1</v>
      </c>
      <c r="S116" s="197" t="s">
        <v>1</v>
      </c>
      <c r="T116" s="197" t="s">
        <v>1</v>
      </c>
      <c r="U116" s="197" t="s">
        <v>1</v>
      </c>
      <c r="V116" s="197" t="s">
        <v>1</v>
      </c>
      <c r="W116" s="196" t="s">
        <v>1</v>
      </c>
      <c r="X116" s="195" t="s">
        <v>1</v>
      </c>
      <c r="Y116" s="195" t="s">
        <v>1</v>
      </c>
      <c r="Z116" s="195" t="s">
        <v>1</v>
      </c>
      <c r="AA116" s="196" t="s">
        <v>1</v>
      </c>
      <c r="AB116" s="196" t="s">
        <v>1</v>
      </c>
      <c r="AC116" s="197" t="s">
        <v>1</v>
      </c>
      <c r="AD116" s="197" t="s">
        <v>1</v>
      </c>
      <c r="AE116" s="197" t="s">
        <v>1</v>
      </c>
      <c r="AF116" s="198" t="s">
        <v>1</v>
      </c>
      <c r="AG116" s="198" t="s">
        <v>1</v>
      </c>
      <c r="AH116" s="198" t="s">
        <v>1</v>
      </c>
      <c r="AI116" s="209" t="s">
        <v>1</v>
      </c>
      <c r="AJ116" s="209" t="s">
        <v>1</v>
      </c>
      <c r="AK116" s="209" t="s">
        <v>1</v>
      </c>
      <c r="AL116" s="198">
        <v>0</v>
      </c>
      <c r="AM116" s="200" t="s">
        <v>1</v>
      </c>
      <c r="AN116" s="200" t="s">
        <v>1</v>
      </c>
      <c r="AO116" s="200" t="s">
        <v>1253</v>
      </c>
      <c r="AP116" s="198" t="s">
        <v>1</v>
      </c>
      <c r="AQ116" s="198" t="s">
        <v>1</v>
      </c>
      <c r="AR116" s="201" t="s">
        <v>1</v>
      </c>
      <c r="AS116" s="201" t="s">
        <v>1</v>
      </c>
      <c r="AT116" s="199" t="s">
        <v>1</v>
      </c>
      <c r="AU116" s="199" t="s">
        <v>1</v>
      </c>
      <c r="AV116" s="202" t="s">
        <v>1</v>
      </c>
      <c r="AW116" s="199" t="s">
        <v>1</v>
      </c>
    </row>
    <row r="117" spans="1:49" ht="30.15" customHeight="1" x14ac:dyDescent="0.25">
      <c r="A117" s="188" t="s">
        <v>18</v>
      </c>
      <c r="B117" s="189" t="s">
        <v>1</v>
      </c>
      <c r="C117" s="188" t="s">
        <v>35</v>
      </c>
      <c r="D117" s="190" t="s">
        <v>3</v>
      </c>
      <c r="E117" s="190" t="s">
        <v>1018</v>
      </c>
      <c r="F117" s="203"/>
      <c r="G117" s="190" t="s">
        <v>935</v>
      </c>
      <c r="H117" s="192" t="s">
        <v>414</v>
      </c>
      <c r="I117" s="193">
        <v>666</v>
      </c>
      <c r="J117" s="193">
        <v>684</v>
      </c>
      <c r="K117" s="193">
        <v>684</v>
      </c>
      <c r="L117" s="193">
        <v>720</v>
      </c>
      <c r="M117" s="194">
        <v>720</v>
      </c>
      <c r="N117" s="195" t="s">
        <v>1</v>
      </c>
      <c r="O117" s="195" t="s">
        <v>1</v>
      </c>
      <c r="P117" s="195" t="s">
        <v>1</v>
      </c>
      <c r="Q117" s="195" t="s">
        <v>1</v>
      </c>
      <c r="R117" s="196" t="s">
        <v>1</v>
      </c>
      <c r="S117" s="197" t="s">
        <v>1</v>
      </c>
      <c r="T117" s="197" t="s">
        <v>1</v>
      </c>
      <c r="U117" s="197" t="s">
        <v>1</v>
      </c>
      <c r="V117" s="197" t="s">
        <v>1</v>
      </c>
      <c r="W117" s="196" t="s">
        <v>1</v>
      </c>
      <c r="X117" s="195" t="s">
        <v>1</v>
      </c>
      <c r="Y117" s="195" t="s">
        <v>1</v>
      </c>
      <c r="Z117" s="195" t="s">
        <v>1</v>
      </c>
      <c r="AA117" s="196" t="s">
        <v>1</v>
      </c>
      <c r="AB117" s="196" t="s">
        <v>1</v>
      </c>
      <c r="AC117" s="197" t="s">
        <v>1</v>
      </c>
      <c r="AD117" s="197" t="s">
        <v>1</v>
      </c>
      <c r="AE117" s="197" t="s">
        <v>1</v>
      </c>
      <c r="AF117" s="198" t="s">
        <v>1</v>
      </c>
      <c r="AG117" s="198" t="s">
        <v>1</v>
      </c>
      <c r="AH117" s="198" t="s">
        <v>1</v>
      </c>
      <c r="AI117" s="209" t="s">
        <v>1</v>
      </c>
      <c r="AJ117" s="209" t="s">
        <v>1</v>
      </c>
      <c r="AK117" s="209" t="s">
        <v>1</v>
      </c>
      <c r="AL117" s="198">
        <v>0</v>
      </c>
      <c r="AM117" s="200" t="s">
        <v>1</v>
      </c>
      <c r="AN117" s="200" t="s">
        <v>1</v>
      </c>
      <c r="AO117" s="200" t="s">
        <v>1253</v>
      </c>
      <c r="AP117" s="198" t="s">
        <v>1</v>
      </c>
      <c r="AQ117" s="198" t="s">
        <v>1</v>
      </c>
      <c r="AR117" s="201" t="s">
        <v>1</v>
      </c>
      <c r="AS117" s="201" t="s">
        <v>1</v>
      </c>
      <c r="AT117" s="199" t="s">
        <v>1</v>
      </c>
      <c r="AU117" s="199" t="s">
        <v>1</v>
      </c>
      <c r="AV117" s="202" t="s">
        <v>1</v>
      </c>
      <c r="AW117" s="199" t="s">
        <v>1</v>
      </c>
    </row>
    <row r="118" spans="1:49" ht="30.15" customHeight="1" x14ac:dyDescent="0.25">
      <c r="A118" s="188" t="s">
        <v>18</v>
      </c>
      <c r="B118" s="189" t="s">
        <v>1</v>
      </c>
      <c r="C118" s="188" t="s">
        <v>35</v>
      </c>
      <c r="D118" s="190" t="s">
        <v>3</v>
      </c>
      <c r="E118" s="190" t="s">
        <v>1019</v>
      </c>
      <c r="F118" s="203"/>
      <c r="G118" s="190" t="s">
        <v>935</v>
      </c>
      <c r="H118" s="192" t="s">
        <v>414</v>
      </c>
      <c r="I118" s="193">
        <v>666</v>
      </c>
      <c r="J118" s="193">
        <v>684</v>
      </c>
      <c r="K118" s="193">
        <v>684</v>
      </c>
      <c r="L118" s="193">
        <v>720</v>
      </c>
      <c r="M118" s="194">
        <v>720</v>
      </c>
      <c r="N118" s="195" t="s">
        <v>1</v>
      </c>
      <c r="O118" s="195" t="s">
        <v>1</v>
      </c>
      <c r="P118" s="195" t="s">
        <v>1</v>
      </c>
      <c r="Q118" s="195" t="s">
        <v>1</v>
      </c>
      <c r="R118" s="196" t="s">
        <v>1</v>
      </c>
      <c r="S118" s="197" t="s">
        <v>1</v>
      </c>
      <c r="T118" s="197" t="s">
        <v>1</v>
      </c>
      <c r="U118" s="197" t="s">
        <v>1</v>
      </c>
      <c r="V118" s="197" t="s">
        <v>1</v>
      </c>
      <c r="W118" s="196" t="s">
        <v>1</v>
      </c>
      <c r="X118" s="195" t="s">
        <v>1</v>
      </c>
      <c r="Y118" s="195" t="s">
        <v>1</v>
      </c>
      <c r="Z118" s="195" t="s">
        <v>1</v>
      </c>
      <c r="AA118" s="196" t="s">
        <v>1</v>
      </c>
      <c r="AB118" s="196" t="s">
        <v>1</v>
      </c>
      <c r="AC118" s="197" t="s">
        <v>1</v>
      </c>
      <c r="AD118" s="197" t="s">
        <v>1</v>
      </c>
      <c r="AE118" s="197" t="s">
        <v>1</v>
      </c>
      <c r="AF118" s="198" t="s">
        <v>1</v>
      </c>
      <c r="AG118" s="198" t="s">
        <v>1</v>
      </c>
      <c r="AH118" s="198" t="s">
        <v>1</v>
      </c>
      <c r="AI118" s="209" t="s">
        <v>1</v>
      </c>
      <c r="AJ118" s="209" t="s">
        <v>1</v>
      </c>
      <c r="AK118" s="209" t="s">
        <v>1</v>
      </c>
      <c r="AL118" s="198">
        <v>0</v>
      </c>
      <c r="AM118" s="200" t="s">
        <v>1</v>
      </c>
      <c r="AN118" s="200" t="s">
        <v>1</v>
      </c>
      <c r="AO118" s="200" t="s">
        <v>1253</v>
      </c>
      <c r="AP118" s="198" t="s">
        <v>1</v>
      </c>
      <c r="AQ118" s="198" t="s">
        <v>1</v>
      </c>
      <c r="AR118" s="201" t="s">
        <v>1</v>
      </c>
      <c r="AS118" s="201" t="s">
        <v>1</v>
      </c>
      <c r="AT118" s="199" t="s">
        <v>1</v>
      </c>
      <c r="AU118" s="199" t="s">
        <v>1</v>
      </c>
      <c r="AV118" s="202" t="s">
        <v>1</v>
      </c>
      <c r="AW118" s="199" t="s">
        <v>1</v>
      </c>
    </row>
    <row r="119" spans="1:49" ht="30.15" customHeight="1" x14ac:dyDescent="0.25">
      <c r="A119" s="188" t="s">
        <v>18</v>
      </c>
      <c r="B119" s="189" t="s">
        <v>1</v>
      </c>
      <c r="C119" s="188" t="s">
        <v>35</v>
      </c>
      <c r="D119" s="190" t="s">
        <v>3</v>
      </c>
      <c r="E119" s="190" t="s">
        <v>578</v>
      </c>
      <c r="F119" s="203"/>
      <c r="G119" s="190" t="s">
        <v>579</v>
      </c>
      <c r="H119" s="192" t="s">
        <v>409</v>
      </c>
      <c r="I119" s="193">
        <v>758</v>
      </c>
      <c r="J119" s="193">
        <v>1129</v>
      </c>
      <c r="K119" s="193">
        <v>1129</v>
      </c>
      <c r="L119" s="193">
        <v>819</v>
      </c>
      <c r="M119" s="194">
        <v>819</v>
      </c>
      <c r="N119" s="195" t="s">
        <v>1</v>
      </c>
      <c r="O119" s="195" t="s">
        <v>1</v>
      </c>
      <c r="P119" s="195" t="s">
        <v>1</v>
      </c>
      <c r="Q119" s="195" t="s">
        <v>1</v>
      </c>
      <c r="R119" s="196" t="s">
        <v>1</v>
      </c>
      <c r="S119" s="197" t="s">
        <v>1</v>
      </c>
      <c r="T119" s="197" t="s">
        <v>1</v>
      </c>
      <c r="U119" s="197" t="s">
        <v>1</v>
      </c>
      <c r="V119" s="197" t="s">
        <v>1</v>
      </c>
      <c r="W119" s="196" t="s">
        <v>1</v>
      </c>
      <c r="X119" s="195" t="s">
        <v>1</v>
      </c>
      <c r="Y119" s="195" t="s">
        <v>1</v>
      </c>
      <c r="Z119" s="195" t="s">
        <v>1</v>
      </c>
      <c r="AA119" s="196" t="s">
        <v>1</v>
      </c>
      <c r="AB119" s="196" t="s">
        <v>1</v>
      </c>
      <c r="AC119" s="197" t="s">
        <v>1</v>
      </c>
      <c r="AD119" s="197" t="s">
        <v>1</v>
      </c>
      <c r="AE119" s="197" t="s">
        <v>1</v>
      </c>
      <c r="AF119" s="198" t="s">
        <v>1</v>
      </c>
      <c r="AG119" s="198" t="s">
        <v>1</v>
      </c>
      <c r="AH119" s="198" t="s">
        <v>1</v>
      </c>
      <c r="AI119" s="209" t="s">
        <v>1</v>
      </c>
      <c r="AJ119" s="209" t="s">
        <v>1</v>
      </c>
      <c r="AK119" s="209" t="s">
        <v>1</v>
      </c>
      <c r="AL119" s="198">
        <v>0</v>
      </c>
      <c r="AM119" s="200" t="s">
        <v>1</v>
      </c>
      <c r="AN119" s="199" t="s">
        <v>1</v>
      </c>
      <c r="AO119" s="199" t="s">
        <v>1253</v>
      </c>
      <c r="AP119" s="198" t="s">
        <v>1</v>
      </c>
      <c r="AQ119" s="198" t="s">
        <v>1</v>
      </c>
      <c r="AR119" s="201" t="s">
        <v>1</v>
      </c>
      <c r="AS119" s="201" t="s">
        <v>1</v>
      </c>
      <c r="AT119" s="199" t="s">
        <v>1</v>
      </c>
      <c r="AU119" s="199" t="s">
        <v>1</v>
      </c>
      <c r="AV119" s="202" t="s">
        <v>1</v>
      </c>
      <c r="AW119" s="199" t="s">
        <v>1</v>
      </c>
    </row>
    <row r="120" spans="1:49" ht="30.15" customHeight="1" x14ac:dyDescent="0.25">
      <c r="A120" s="188" t="s">
        <v>18</v>
      </c>
      <c r="B120" s="189" t="s">
        <v>1</v>
      </c>
      <c r="C120" s="188" t="s">
        <v>35</v>
      </c>
      <c r="D120" s="190" t="s">
        <v>3</v>
      </c>
      <c r="E120" s="190" t="s">
        <v>1138</v>
      </c>
      <c r="F120" s="203"/>
      <c r="G120" s="190" t="s">
        <v>1148</v>
      </c>
      <c r="H120" s="192" t="s">
        <v>409</v>
      </c>
      <c r="I120" s="193">
        <v>879</v>
      </c>
      <c r="J120" s="193">
        <v>903</v>
      </c>
      <c r="K120" s="193">
        <v>903</v>
      </c>
      <c r="L120" s="193">
        <v>950</v>
      </c>
      <c r="M120" s="194">
        <v>950</v>
      </c>
      <c r="N120" s="195" t="s">
        <v>1</v>
      </c>
      <c r="O120" s="195" t="s">
        <v>1</v>
      </c>
      <c r="P120" s="195" t="s">
        <v>1</v>
      </c>
      <c r="Q120" s="195" t="s">
        <v>1</v>
      </c>
      <c r="R120" s="196" t="s">
        <v>1</v>
      </c>
      <c r="S120" s="197" t="s">
        <v>1</v>
      </c>
      <c r="T120" s="197" t="s">
        <v>1</v>
      </c>
      <c r="U120" s="197" t="s">
        <v>1</v>
      </c>
      <c r="V120" s="197" t="s">
        <v>1</v>
      </c>
      <c r="W120" s="196" t="s">
        <v>1</v>
      </c>
      <c r="X120" s="195" t="s">
        <v>1</v>
      </c>
      <c r="Y120" s="195" t="s">
        <v>1</v>
      </c>
      <c r="Z120" s="195" t="s">
        <v>1</v>
      </c>
      <c r="AA120" s="196" t="s">
        <v>1</v>
      </c>
      <c r="AB120" s="196" t="s">
        <v>1</v>
      </c>
      <c r="AC120" s="197" t="s">
        <v>1</v>
      </c>
      <c r="AD120" s="197" t="s">
        <v>1</v>
      </c>
      <c r="AE120" s="197" t="s">
        <v>1</v>
      </c>
      <c r="AF120" s="198" t="s">
        <v>1</v>
      </c>
      <c r="AG120" s="198" t="s">
        <v>1</v>
      </c>
      <c r="AH120" s="198" t="s">
        <v>1</v>
      </c>
      <c r="AI120" s="209" t="s">
        <v>1</v>
      </c>
      <c r="AJ120" s="209" t="s">
        <v>1</v>
      </c>
      <c r="AK120" s="209" t="s">
        <v>1</v>
      </c>
      <c r="AL120" s="198">
        <v>0</v>
      </c>
      <c r="AM120" s="200" t="s">
        <v>1</v>
      </c>
      <c r="AN120" s="199" t="s">
        <v>1</v>
      </c>
      <c r="AO120" s="199" t="s">
        <v>1253</v>
      </c>
      <c r="AP120" s="198" t="s">
        <v>1</v>
      </c>
      <c r="AQ120" s="198" t="s">
        <v>1</v>
      </c>
      <c r="AR120" s="201" t="s">
        <v>1</v>
      </c>
      <c r="AS120" s="201" t="s">
        <v>1</v>
      </c>
      <c r="AT120" s="199" t="s">
        <v>1</v>
      </c>
      <c r="AU120" s="199" t="s">
        <v>1</v>
      </c>
      <c r="AV120" s="202" t="s">
        <v>1</v>
      </c>
      <c r="AW120" s="199" t="s">
        <v>1</v>
      </c>
    </row>
    <row r="121" spans="1:49" ht="30.15" customHeight="1" x14ac:dyDescent="0.25">
      <c r="A121" s="188" t="s">
        <v>18</v>
      </c>
      <c r="B121" s="189" t="s">
        <v>1</v>
      </c>
      <c r="C121" s="188" t="s">
        <v>35</v>
      </c>
      <c r="D121" s="190" t="s">
        <v>3</v>
      </c>
      <c r="E121" s="190" t="s">
        <v>1139</v>
      </c>
      <c r="F121" s="203"/>
      <c r="G121" s="190" t="s">
        <v>1148</v>
      </c>
      <c r="H121" s="192" t="s">
        <v>414</v>
      </c>
      <c r="I121" s="193">
        <v>879</v>
      </c>
      <c r="J121" s="193">
        <v>903</v>
      </c>
      <c r="K121" s="193">
        <v>903</v>
      </c>
      <c r="L121" s="193">
        <v>950</v>
      </c>
      <c r="M121" s="194">
        <v>950</v>
      </c>
      <c r="N121" s="195" t="s">
        <v>1</v>
      </c>
      <c r="O121" s="195" t="s">
        <v>1</v>
      </c>
      <c r="P121" s="195" t="s">
        <v>1</v>
      </c>
      <c r="Q121" s="195" t="s">
        <v>1</v>
      </c>
      <c r="R121" s="196" t="s">
        <v>1</v>
      </c>
      <c r="S121" s="197" t="s">
        <v>1</v>
      </c>
      <c r="T121" s="197" t="s">
        <v>1</v>
      </c>
      <c r="U121" s="197" t="s">
        <v>1</v>
      </c>
      <c r="V121" s="197" t="s">
        <v>1</v>
      </c>
      <c r="W121" s="196" t="s">
        <v>1</v>
      </c>
      <c r="X121" s="195" t="s">
        <v>1</v>
      </c>
      <c r="Y121" s="195" t="s">
        <v>1</v>
      </c>
      <c r="Z121" s="195" t="s">
        <v>1</v>
      </c>
      <c r="AA121" s="196" t="s">
        <v>1</v>
      </c>
      <c r="AB121" s="196" t="s">
        <v>1</v>
      </c>
      <c r="AC121" s="197" t="s">
        <v>1</v>
      </c>
      <c r="AD121" s="197" t="s">
        <v>1</v>
      </c>
      <c r="AE121" s="197" t="s">
        <v>1</v>
      </c>
      <c r="AF121" s="198" t="s">
        <v>1</v>
      </c>
      <c r="AG121" s="198" t="s">
        <v>1</v>
      </c>
      <c r="AH121" s="198" t="s">
        <v>1</v>
      </c>
      <c r="AI121" s="209" t="s">
        <v>1</v>
      </c>
      <c r="AJ121" s="209" t="s">
        <v>1</v>
      </c>
      <c r="AK121" s="209" t="s">
        <v>1</v>
      </c>
      <c r="AL121" s="198">
        <v>0</v>
      </c>
      <c r="AM121" s="200" t="s">
        <v>1</v>
      </c>
      <c r="AN121" s="199" t="s">
        <v>1</v>
      </c>
      <c r="AO121" s="199" t="s">
        <v>1253</v>
      </c>
      <c r="AP121" s="198" t="s">
        <v>1</v>
      </c>
      <c r="AQ121" s="198" t="s">
        <v>1</v>
      </c>
      <c r="AR121" s="201" t="s">
        <v>1</v>
      </c>
      <c r="AS121" s="201" t="s">
        <v>1</v>
      </c>
      <c r="AT121" s="199" t="s">
        <v>1</v>
      </c>
      <c r="AU121" s="199" t="s">
        <v>1</v>
      </c>
      <c r="AV121" s="202" t="s">
        <v>1</v>
      </c>
      <c r="AW121" s="199" t="s">
        <v>1</v>
      </c>
    </row>
    <row r="122" spans="1:49" ht="30.15" customHeight="1" x14ac:dyDescent="0.25">
      <c r="A122" s="188" t="s">
        <v>18</v>
      </c>
      <c r="B122" s="189" t="s">
        <v>1</v>
      </c>
      <c r="C122" s="188" t="s">
        <v>35</v>
      </c>
      <c r="D122" s="190" t="s">
        <v>3</v>
      </c>
      <c r="E122" s="190" t="s">
        <v>1140</v>
      </c>
      <c r="F122" s="203"/>
      <c r="G122" s="190" t="s">
        <v>1148</v>
      </c>
      <c r="H122" s="192" t="s">
        <v>414</v>
      </c>
      <c r="I122" s="193">
        <v>879</v>
      </c>
      <c r="J122" s="193">
        <v>903</v>
      </c>
      <c r="K122" s="193">
        <v>903</v>
      </c>
      <c r="L122" s="193">
        <v>950</v>
      </c>
      <c r="M122" s="194">
        <v>950</v>
      </c>
      <c r="N122" s="195" t="s">
        <v>1</v>
      </c>
      <c r="O122" s="195" t="s">
        <v>1</v>
      </c>
      <c r="P122" s="195" t="s">
        <v>1</v>
      </c>
      <c r="Q122" s="195" t="s">
        <v>1</v>
      </c>
      <c r="R122" s="196" t="s">
        <v>1</v>
      </c>
      <c r="S122" s="197" t="s">
        <v>1</v>
      </c>
      <c r="T122" s="197" t="s">
        <v>1</v>
      </c>
      <c r="U122" s="197" t="s">
        <v>1</v>
      </c>
      <c r="V122" s="197" t="s">
        <v>1</v>
      </c>
      <c r="W122" s="196" t="s">
        <v>1</v>
      </c>
      <c r="X122" s="195" t="s">
        <v>1</v>
      </c>
      <c r="Y122" s="195" t="s">
        <v>1</v>
      </c>
      <c r="Z122" s="195" t="s">
        <v>1</v>
      </c>
      <c r="AA122" s="196" t="s">
        <v>1</v>
      </c>
      <c r="AB122" s="196" t="s">
        <v>1</v>
      </c>
      <c r="AC122" s="197" t="s">
        <v>1</v>
      </c>
      <c r="AD122" s="197" t="s">
        <v>1</v>
      </c>
      <c r="AE122" s="197" t="s">
        <v>1</v>
      </c>
      <c r="AF122" s="198" t="s">
        <v>1</v>
      </c>
      <c r="AG122" s="198" t="s">
        <v>1</v>
      </c>
      <c r="AH122" s="198" t="s">
        <v>1</v>
      </c>
      <c r="AI122" s="209" t="s">
        <v>1</v>
      </c>
      <c r="AJ122" s="209" t="s">
        <v>1</v>
      </c>
      <c r="AK122" s="209" t="s">
        <v>1</v>
      </c>
      <c r="AL122" s="198">
        <v>0</v>
      </c>
      <c r="AM122" s="200" t="s">
        <v>1</v>
      </c>
      <c r="AN122" s="199" t="s">
        <v>1</v>
      </c>
      <c r="AO122" s="199" t="s">
        <v>1253</v>
      </c>
      <c r="AP122" s="198" t="s">
        <v>1</v>
      </c>
      <c r="AQ122" s="198" t="s">
        <v>1</v>
      </c>
      <c r="AR122" s="201" t="s">
        <v>1</v>
      </c>
      <c r="AS122" s="201" t="s">
        <v>1</v>
      </c>
      <c r="AT122" s="199" t="s">
        <v>1</v>
      </c>
      <c r="AU122" s="199" t="s">
        <v>1</v>
      </c>
      <c r="AV122" s="202" t="s">
        <v>1</v>
      </c>
      <c r="AW122" s="199" t="s">
        <v>1</v>
      </c>
    </row>
    <row r="123" spans="1:49" ht="30.15" customHeight="1" x14ac:dyDescent="0.25">
      <c r="A123" s="188" t="s">
        <v>18</v>
      </c>
      <c r="B123" s="189" t="s">
        <v>1</v>
      </c>
      <c r="C123" s="188" t="s">
        <v>35</v>
      </c>
      <c r="D123" s="190" t="s">
        <v>3</v>
      </c>
      <c r="E123" s="190" t="s">
        <v>1141</v>
      </c>
      <c r="F123" s="203"/>
      <c r="G123" s="190" t="s">
        <v>1148</v>
      </c>
      <c r="H123" s="192" t="s">
        <v>409</v>
      </c>
      <c r="I123" s="193">
        <v>879</v>
      </c>
      <c r="J123" s="193">
        <v>903</v>
      </c>
      <c r="K123" s="193">
        <v>903</v>
      </c>
      <c r="L123" s="193">
        <v>950</v>
      </c>
      <c r="M123" s="194">
        <v>950</v>
      </c>
      <c r="N123" s="195" t="s">
        <v>1</v>
      </c>
      <c r="O123" s="195" t="s">
        <v>1</v>
      </c>
      <c r="P123" s="195" t="s">
        <v>1</v>
      </c>
      <c r="Q123" s="195" t="s">
        <v>1</v>
      </c>
      <c r="R123" s="196" t="s">
        <v>1</v>
      </c>
      <c r="S123" s="197" t="s">
        <v>1</v>
      </c>
      <c r="T123" s="197" t="s">
        <v>1</v>
      </c>
      <c r="U123" s="197" t="s">
        <v>1</v>
      </c>
      <c r="V123" s="197" t="s">
        <v>1</v>
      </c>
      <c r="W123" s="196" t="s">
        <v>1</v>
      </c>
      <c r="X123" s="195" t="s">
        <v>1</v>
      </c>
      <c r="Y123" s="195" t="s">
        <v>1</v>
      </c>
      <c r="Z123" s="195" t="s">
        <v>1</v>
      </c>
      <c r="AA123" s="196" t="s">
        <v>1</v>
      </c>
      <c r="AB123" s="196" t="s">
        <v>1</v>
      </c>
      <c r="AC123" s="197" t="s">
        <v>1</v>
      </c>
      <c r="AD123" s="197" t="s">
        <v>1</v>
      </c>
      <c r="AE123" s="197" t="s">
        <v>1</v>
      </c>
      <c r="AF123" s="198" t="s">
        <v>1</v>
      </c>
      <c r="AG123" s="198" t="s">
        <v>1</v>
      </c>
      <c r="AH123" s="198" t="s">
        <v>1</v>
      </c>
      <c r="AI123" s="209" t="s">
        <v>1</v>
      </c>
      <c r="AJ123" s="209" t="s">
        <v>1</v>
      </c>
      <c r="AK123" s="209" t="s">
        <v>1</v>
      </c>
      <c r="AL123" s="198">
        <v>0</v>
      </c>
      <c r="AM123" s="200" t="s">
        <v>1</v>
      </c>
      <c r="AN123" s="199" t="s">
        <v>1</v>
      </c>
      <c r="AO123" s="199" t="s">
        <v>1253</v>
      </c>
      <c r="AP123" s="198" t="s">
        <v>1</v>
      </c>
      <c r="AQ123" s="198" t="s">
        <v>1</v>
      </c>
      <c r="AR123" s="201" t="s">
        <v>1</v>
      </c>
      <c r="AS123" s="201" t="s">
        <v>1</v>
      </c>
      <c r="AT123" s="199" t="s">
        <v>1</v>
      </c>
      <c r="AU123" s="199" t="s">
        <v>1</v>
      </c>
      <c r="AV123" s="202" t="s">
        <v>1</v>
      </c>
      <c r="AW123" s="199" t="s">
        <v>1</v>
      </c>
    </row>
    <row r="124" spans="1:49" ht="30.15" customHeight="1" x14ac:dyDescent="0.25">
      <c r="A124" s="188" t="s">
        <v>18</v>
      </c>
      <c r="B124" s="189" t="s">
        <v>1</v>
      </c>
      <c r="C124" s="188" t="s">
        <v>35</v>
      </c>
      <c r="D124" s="190" t="s">
        <v>3</v>
      </c>
      <c r="E124" s="190" t="s">
        <v>1142</v>
      </c>
      <c r="F124" s="203"/>
      <c r="G124" s="190" t="s">
        <v>1148</v>
      </c>
      <c r="H124" s="192" t="s">
        <v>414</v>
      </c>
      <c r="I124" s="193">
        <v>879</v>
      </c>
      <c r="J124" s="193">
        <v>903</v>
      </c>
      <c r="K124" s="193">
        <v>903</v>
      </c>
      <c r="L124" s="193">
        <v>950</v>
      </c>
      <c r="M124" s="194">
        <v>950</v>
      </c>
      <c r="N124" s="195" t="s">
        <v>1</v>
      </c>
      <c r="O124" s="195" t="s">
        <v>1</v>
      </c>
      <c r="P124" s="195" t="s">
        <v>1</v>
      </c>
      <c r="Q124" s="195" t="s">
        <v>1</v>
      </c>
      <c r="R124" s="196" t="s">
        <v>1</v>
      </c>
      <c r="S124" s="197" t="s">
        <v>1</v>
      </c>
      <c r="T124" s="197" t="s">
        <v>1</v>
      </c>
      <c r="U124" s="197" t="s">
        <v>1</v>
      </c>
      <c r="V124" s="197" t="s">
        <v>1</v>
      </c>
      <c r="W124" s="196" t="s">
        <v>1</v>
      </c>
      <c r="X124" s="195" t="s">
        <v>1</v>
      </c>
      <c r="Y124" s="195" t="s">
        <v>1</v>
      </c>
      <c r="Z124" s="195" t="s">
        <v>1</v>
      </c>
      <c r="AA124" s="196" t="s">
        <v>1</v>
      </c>
      <c r="AB124" s="196" t="s">
        <v>1</v>
      </c>
      <c r="AC124" s="197" t="s">
        <v>1</v>
      </c>
      <c r="AD124" s="197" t="s">
        <v>1</v>
      </c>
      <c r="AE124" s="197" t="s">
        <v>1</v>
      </c>
      <c r="AF124" s="198" t="s">
        <v>1</v>
      </c>
      <c r="AG124" s="198" t="s">
        <v>1</v>
      </c>
      <c r="AH124" s="198" t="s">
        <v>1</v>
      </c>
      <c r="AI124" s="209" t="s">
        <v>1</v>
      </c>
      <c r="AJ124" s="209" t="s">
        <v>1</v>
      </c>
      <c r="AK124" s="209" t="s">
        <v>1</v>
      </c>
      <c r="AL124" s="198">
        <v>0</v>
      </c>
      <c r="AM124" s="200" t="s">
        <v>1</v>
      </c>
      <c r="AN124" s="199" t="s">
        <v>1</v>
      </c>
      <c r="AO124" s="199" t="s">
        <v>1253</v>
      </c>
      <c r="AP124" s="198" t="s">
        <v>1</v>
      </c>
      <c r="AQ124" s="198" t="s">
        <v>1</v>
      </c>
      <c r="AR124" s="201" t="s">
        <v>1</v>
      </c>
      <c r="AS124" s="201" t="s">
        <v>1</v>
      </c>
      <c r="AT124" s="199" t="s">
        <v>1</v>
      </c>
      <c r="AU124" s="199" t="s">
        <v>1</v>
      </c>
      <c r="AV124" s="202" t="s">
        <v>1</v>
      </c>
      <c r="AW124" s="199" t="s">
        <v>1</v>
      </c>
    </row>
    <row r="125" spans="1:49" ht="30.15" customHeight="1" x14ac:dyDescent="0.25">
      <c r="A125" s="188" t="s">
        <v>18</v>
      </c>
      <c r="B125" s="189" t="s">
        <v>1</v>
      </c>
      <c r="C125" s="188" t="s">
        <v>35</v>
      </c>
      <c r="D125" s="190" t="s">
        <v>3</v>
      </c>
      <c r="E125" s="190" t="s">
        <v>1143</v>
      </c>
      <c r="F125" s="203"/>
      <c r="G125" s="190" t="s">
        <v>1149</v>
      </c>
      <c r="H125" s="192" t="s">
        <v>414</v>
      </c>
      <c r="I125" s="193">
        <v>1064</v>
      </c>
      <c r="J125" s="193">
        <v>1093</v>
      </c>
      <c r="K125" s="193">
        <v>1093</v>
      </c>
      <c r="L125" s="193">
        <v>1150</v>
      </c>
      <c r="M125" s="194">
        <v>1150</v>
      </c>
      <c r="N125" s="195" t="s">
        <v>1</v>
      </c>
      <c r="O125" s="195" t="s">
        <v>1</v>
      </c>
      <c r="P125" s="195" t="s">
        <v>1</v>
      </c>
      <c r="Q125" s="195" t="s">
        <v>1</v>
      </c>
      <c r="R125" s="196" t="s">
        <v>1</v>
      </c>
      <c r="S125" s="197" t="s">
        <v>1</v>
      </c>
      <c r="T125" s="197" t="s">
        <v>1</v>
      </c>
      <c r="U125" s="197" t="s">
        <v>1</v>
      </c>
      <c r="V125" s="197" t="s">
        <v>1</v>
      </c>
      <c r="W125" s="196" t="s">
        <v>1</v>
      </c>
      <c r="X125" s="195" t="s">
        <v>1</v>
      </c>
      <c r="Y125" s="195" t="s">
        <v>1</v>
      </c>
      <c r="Z125" s="195" t="s">
        <v>1</v>
      </c>
      <c r="AA125" s="196" t="s">
        <v>1</v>
      </c>
      <c r="AB125" s="196" t="s">
        <v>1</v>
      </c>
      <c r="AC125" s="197" t="s">
        <v>1</v>
      </c>
      <c r="AD125" s="197" t="s">
        <v>1</v>
      </c>
      <c r="AE125" s="197" t="s">
        <v>1</v>
      </c>
      <c r="AF125" s="198" t="s">
        <v>1</v>
      </c>
      <c r="AG125" s="198" t="s">
        <v>1</v>
      </c>
      <c r="AH125" s="198" t="s">
        <v>1</v>
      </c>
      <c r="AI125" s="209" t="s">
        <v>1</v>
      </c>
      <c r="AJ125" s="209" t="s">
        <v>1</v>
      </c>
      <c r="AK125" s="209" t="s">
        <v>1</v>
      </c>
      <c r="AL125" s="198">
        <v>0</v>
      </c>
      <c r="AM125" s="200" t="s">
        <v>1</v>
      </c>
      <c r="AN125" s="199" t="s">
        <v>1</v>
      </c>
      <c r="AO125" s="199" t="s">
        <v>1254</v>
      </c>
      <c r="AP125" s="198" t="s">
        <v>1</v>
      </c>
      <c r="AQ125" s="198" t="s">
        <v>1</v>
      </c>
      <c r="AR125" s="201" t="s">
        <v>1</v>
      </c>
      <c r="AS125" s="201" t="s">
        <v>1</v>
      </c>
      <c r="AT125" s="199" t="s">
        <v>1</v>
      </c>
      <c r="AU125" s="199" t="s">
        <v>1</v>
      </c>
      <c r="AV125" s="202" t="s">
        <v>1</v>
      </c>
      <c r="AW125" s="199" t="s">
        <v>1</v>
      </c>
    </row>
    <row r="126" spans="1:49" ht="30.15" customHeight="1" x14ac:dyDescent="0.25">
      <c r="A126" s="188" t="s">
        <v>18</v>
      </c>
      <c r="B126" s="189" t="s">
        <v>1</v>
      </c>
      <c r="C126" s="188" t="s">
        <v>35</v>
      </c>
      <c r="D126" s="190" t="s">
        <v>3</v>
      </c>
      <c r="E126" s="190" t="s">
        <v>1144</v>
      </c>
      <c r="F126" s="203"/>
      <c r="G126" s="190" t="s">
        <v>1149</v>
      </c>
      <c r="H126" s="192" t="s">
        <v>414</v>
      </c>
      <c r="I126" s="193">
        <v>1064</v>
      </c>
      <c r="J126" s="193">
        <v>1093</v>
      </c>
      <c r="K126" s="193">
        <v>1093</v>
      </c>
      <c r="L126" s="193">
        <v>1150</v>
      </c>
      <c r="M126" s="194">
        <v>1150</v>
      </c>
      <c r="N126" s="195" t="s">
        <v>1</v>
      </c>
      <c r="O126" s="195" t="s">
        <v>1</v>
      </c>
      <c r="P126" s="195" t="s">
        <v>1</v>
      </c>
      <c r="Q126" s="195" t="s">
        <v>1</v>
      </c>
      <c r="R126" s="196" t="s">
        <v>1</v>
      </c>
      <c r="S126" s="197" t="s">
        <v>1</v>
      </c>
      <c r="T126" s="197" t="s">
        <v>1</v>
      </c>
      <c r="U126" s="197" t="s">
        <v>1</v>
      </c>
      <c r="V126" s="197" t="s">
        <v>1</v>
      </c>
      <c r="W126" s="196" t="s">
        <v>1</v>
      </c>
      <c r="X126" s="195" t="s">
        <v>1</v>
      </c>
      <c r="Y126" s="195" t="s">
        <v>1</v>
      </c>
      <c r="Z126" s="195" t="s">
        <v>1</v>
      </c>
      <c r="AA126" s="196" t="s">
        <v>1</v>
      </c>
      <c r="AB126" s="196" t="s">
        <v>1</v>
      </c>
      <c r="AC126" s="197" t="s">
        <v>1</v>
      </c>
      <c r="AD126" s="197" t="s">
        <v>1</v>
      </c>
      <c r="AE126" s="197" t="s">
        <v>1</v>
      </c>
      <c r="AF126" s="198" t="s">
        <v>1</v>
      </c>
      <c r="AG126" s="198" t="s">
        <v>1</v>
      </c>
      <c r="AH126" s="198" t="s">
        <v>1</v>
      </c>
      <c r="AI126" s="209" t="s">
        <v>1</v>
      </c>
      <c r="AJ126" s="209" t="s">
        <v>1</v>
      </c>
      <c r="AK126" s="209" t="s">
        <v>1</v>
      </c>
      <c r="AL126" s="198">
        <v>0</v>
      </c>
      <c r="AM126" s="200" t="s">
        <v>1</v>
      </c>
      <c r="AN126" s="199" t="s">
        <v>1</v>
      </c>
      <c r="AO126" s="199" t="s">
        <v>1254</v>
      </c>
      <c r="AP126" s="198" t="s">
        <v>1</v>
      </c>
      <c r="AQ126" s="198" t="s">
        <v>1</v>
      </c>
      <c r="AR126" s="201" t="s">
        <v>1</v>
      </c>
      <c r="AS126" s="201" t="s">
        <v>1</v>
      </c>
      <c r="AT126" s="199" t="s">
        <v>1</v>
      </c>
      <c r="AU126" s="199" t="s">
        <v>1</v>
      </c>
      <c r="AV126" s="202" t="s">
        <v>1</v>
      </c>
      <c r="AW126" s="199" t="s">
        <v>1</v>
      </c>
    </row>
    <row r="127" spans="1:49" ht="30.15" customHeight="1" x14ac:dyDescent="0.25">
      <c r="A127" s="188" t="s">
        <v>18</v>
      </c>
      <c r="B127" s="189" t="s">
        <v>1</v>
      </c>
      <c r="C127" s="188" t="s">
        <v>35</v>
      </c>
      <c r="D127" s="190" t="s">
        <v>3</v>
      </c>
      <c r="E127" s="190" t="s">
        <v>1145</v>
      </c>
      <c r="F127" s="203"/>
      <c r="G127" s="190" t="s">
        <v>1149</v>
      </c>
      <c r="H127" s="192" t="s">
        <v>414</v>
      </c>
      <c r="I127" s="193">
        <v>1064</v>
      </c>
      <c r="J127" s="193">
        <v>1093</v>
      </c>
      <c r="K127" s="193">
        <v>1093</v>
      </c>
      <c r="L127" s="193">
        <v>1150</v>
      </c>
      <c r="M127" s="194">
        <v>1150</v>
      </c>
      <c r="N127" s="195" t="s">
        <v>1</v>
      </c>
      <c r="O127" s="195" t="s">
        <v>1</v>
      </c>
      <c r="P127" s="195" t="s">
        <v>1</v>
      </c>
      <c r="Q127" s="195" t="s">
        <v>1</v>
      </c>
      <c r="R127" s="196" t="s">
        <v>1</v>
      </c>
      <c r="S127" s="197" t="s">
        <v>1</v>
      </c>
      <c r="T127" s="197" t="s">
        <v>1</v>
      </c>
      <c r="U127" s="197" t="s">
        <v>1</v>
      </c>
      <c r="V127" s="197" t="s">
        <v>1</v>
      </c>
      <c r="W127" s="196" t="s">
        <v>1</v>
      </c>
      <c r="X127" s="195" t="s">
        <v>1</v>
      </c>
      <c r="Y127" s="195" t="s">
        <v>1</v>
      </c>
      <c r="Z127" s="195" t="s">
        <v>1</v>
      </c>
      <c r="AA127" s="196" t="s">
        <v>1</v>
      </c>
      <c r="AB127" s="196" t="s">
        <v>1</v>
      </c>
      <c r="AC127" s="197" t="s">
        <v>1</v>
      </c>
      <c r="AD127" s="197" t="s">
        <v>1</v>
      </c>
      <c r="AE127" s="197" t="s">
        <v>1</v>
      </c>
      <c r="AF127" s="198" t="s">
        <v>1</v>
      </c>
      <c r="AG127" s="198" t="s">
        <v>1</v>
      </c>
      <c r="AH127" s="198" t="s">
        <v>1</v>
      </c>
      <c r="AI127" s="209" t="s">
        <v>1</v>
      </c>
      <c r="AJ127" s="209" t="s">
        <v>1</v>
      </c>
      <c r="AK127" s="209" t="s">
        <v>1</v>
      </c>
      <c r="AL127" s="198">
        <v>0</v>
      </c>
      <c r="AM127" s="200" t="s">
        <v>1</v>
      </c>
      <c r="AN127" s="199" t="s">
        <v>1</v>
      </c>
      <c r="AO127" s="199" t="s">
        <v>1254</v>
      </c>
      <c r="AP127" s="198" t="s">
        <v>1</v>
      </c>
      <c r="AQ127" s="198" t="s">
        <v>1</v>
      </c>
      <c r="AR127" s="201" t="s">
        <v>1</v>
      </c>
      <c r="AS127" s="201" t="s">
        <v>1</v>
      </c>
      <c r="AT127" s="199" t="s">
        <v>1</v>
      </c>
      <c r="AU127" s="199" t="s">
        <v>1</v>
      </c>
      <c r="AV127" s="202" t="s">
        <v>1</v>
      </c>
      <c r="AW127" s="199" t="s">
        <v>1</v>
      </c>
    </row>
    <row r="128" spans="1:49" ht="30.15" customHeight="1" x14ac:dyDescent="0.25">
      <c r="A128" s="188" t="s">
        <v>18</v>
      </c>
      <c r="B128" s="189" t="s">
        <v>1</v>
      </c>
      <c r="C128" s="188" t="s">
        <v>35</v>
      </c>
      <c r="D128" s="190" t="s">
        <v>3</v>
      </c>
      <c r="E128" s="190" t="s">
        <v>1146</v>
      </c>
      <c r="F128" s="203"/>
      <c r="G128" s="190" t="s">
        <v>1149</v>
      </c>
      <c r="H128" s="192" t="s">
        <v>414</v>
      </c>
      <c r="I128" s="193">
        <v>1064</v>
      </c>
      <c r="J128" s="193">
        <v>1093</v>
      </c>
      <c r="K128" s="193">
        <v>1093</v>
      </c>
      <c r="L128" s="193">
        <v>1150</v>
      </c>
      <c r="M128" s="194">
        <v>1150</v>
      </c>
      <c r="N128" s="195" t="s">
        <v>1</v>
      </c>
      <c r="O128" s="195" t="s">
        <v>1</v>
      </c>
      <c r="P128" s="195" t="s">
        <v>1</v>
      </c>
      <c r="Q128" s="195" t="s">
        <v>1</v>
      </c>
      <c r="R128" s="196" t="s">
        <v>1</v>
      </c>
      <c r="S128" s="197" t="s">
        <v>1</v>
      </c>
      <c r="T128" s="197" t="s">
        <v>1</v>
      </c>
      <c r="U128" s="197" t="s">
        <v>1</v>
      </c>
      <c r="V128" s="197" t="s">
        <v>1</v>
      </c>
      <c r="W128" s="196" t="s">
        <v>1</v>
      </c>
      <c r="X128" s="195" t="s">
        <v>1</v>
      </c>
      <c r="Y128" s="195" t="s">
        <v>1</v>
      </c>
      <c r="Z128" s="195" t="s">
        <v>1</v>
      </c>
      <c r="AA128" s="196" t="s">
        <v>1</v>
      </c>
      <c r="AB128" s="196" t="s">
        <v>1</v>
      </c>
      <c r="AC128" s="197" t="s">
        <v>1</v>
      </c>
      <c r="AD128" s="197" t="s">
        <v>1</v>
      </c>
      <c r="AE128" s="197" t="s">
        <v>1</v>
      </c>
      <c r="AF128" s="198" t="s">
        <v>1</v>
      </c>
      <c r="AG128" s="198" t="s">
        <v>1</v>
      </c>
      <c r="AH128" s="198" t="s">
        <v>1</v>
      </c>
      <c r="AI128" s="209" t="s">
        <v>1</v>
      </c>
      <c r="AJ128" s="209" t="s">
        <v>1</v>
      </c>
      <c r="AK128" s="209" t="s">
        <v>1</v>
      </c>
      <c r="AL128" s="198">
        <v>0</v>
      </c>
      <c r="AM128" s="200" t="s">
        <v>1</v>
      </c>
      <c r="AN128" s="199" t="s">
        <v>1</v>
      </c>
      <c r="AO128" s="199" t="s">
        <v>1254</v>
      </c>
      <c r="AP128" s="198" t="s">
        <v>1</v>
      </c>
      <c r="AQ128" s="198" t="s">
        <v>1</v>
      </c>
      <c r="AR128" s="201" t="s">
        <v>1</v>
      </c>
      <c r="AS128" s="201" t="s">
        <v>1</v>
      </c>
      <c r="AT128" s="199" t="s">
        <v>1</v>
      </c>
      <c r="AU128" s="199" t="s">
        <v>1</v>
      </c>
      <c r="AV128" s="202" t="s">
        <v>1</v>
      </c>
      <c r="AW128" s="199" t="s">
        <v>1</v>
      </c>
    </row>
    <row r="129" spans="1:49" ht="30.15" customHeight="1" x14ac:dyDescent="0.25">
      <c r="A129" s="188" t="s">
        <v>18</v>
      </c>
      <c r="B129" s="189" t="s">
        <v>1</v>
      </c>
      <c r="C129" s="188" t="s">
        <v>35</v>
      </c>
      <c r="D129" s="190" t="s">
        <v>3</v>
      </c>
      <c r="E129" s="190" t="s">
        <v>1147</v>
      </c>
      <c r="F129" s="203"/>
      <c r="G129" s="190" t="s">
        <v>1149</v>
      </c>
      <c r="H129" s="192" t="s">
        <v>414</v>
      </c>
      <c r="I129" s="193">
        <v>1064</v>
      </c>
      <c r="J129" s="193">
        <v>1093</v>
      </c>
      <c r="K129" s="193">
        <v>1093</v>
      </c>
      <c r="L129" s="193">
        <v>1150</v>
      </c>
      <c r="M129" s="194">
        <v>1150</v>
      </c>
      <c r="N129" s="195" t="s">
        <v>1</v>
      </c>
      <c r="O129" s="195" t="s">
        <v>1</v>
      </c>
      <c r="P129" s="195" t="s">
        <v>1</v>
      </c>
      <c r="Q129" s="195" t="s">
        <v>1</v>
      </c>
      <c r="R129" s="196" t="s">
        <v>1</v>
      </c>
      <c r="S129" s="197" t="s">
        <v>1</v>
      </c>
      <c r="T129" s="197" t="s">
        <v>1</v>
      </c>
      <c r="U129" s="197" t="s">
        <v>1</v>
      </c>
      <c r="V129" s="197" t="s">
        <v>1</v>
      </c>
      <c r="W129" s="196" t="s">
        <v>1</v>
      </c>
      <c r="X129" s="195" t="s">
        <v>1</v>
      </c>
      <c r="Y129" s="195" t="s">
        <v>1</v>
      </c>
      <c r="Z129" s="195" t="s">
        <v>1</v>
      </c>
      <c r="AA129" s="196" t="s">
        <v>1</v>
      </c>
      <c r="AB129" s="196" t="s">
        <v>1</v>
      </c>
      <c r="AC129" s="197" t="s">
        <v>1</v>
      </c>
      <c r="AD129" s="197" t="s">
        <v>1</v>
      </c>
      <c r="AE129" s="197" t="s">
        <v>1</v>
      </c>
      <c r="AF129" s="198" t="s">
        <v>1</v>
      </c>
      <c r="AG129" s="198" t="s">
        <v>1</v>
      </c>
      <c r="AH129" s="198" t="s">
        <v>1</v>
      </c>
      <c r="AI129" s="209" t="s">
        <v>1</v>
      </c>
      <c r="AJ129" s="209" t="s">
        <v>1</v>
      </c>
      <c r="AK129" s="209" t="s">
        <v>1</v>
      </c>
      <c r="AL129" s="198">
        <v>0</v>
      </c>
      <c r="AM129" s="200" t="s">
        <v>1</v>
      </c>
      <c r="AN129" s="199" t="s">
        <v>1</v>
      </c>
      <c r="AO129" s="199" t="s">
        <v>1254</v>
      </c>
      <c r="AP129" s="198" t="s">
        <v>1</v>
      </c>
      <c r="AQ129" s="198" t="s">
        <v>1</v>
      </c>
      <c r="AR129" s="201" t="s">
        <v>1</v>
      </c>
      <c r="AS129" s="201" t="s">
        <v>1</v>
      </c>
      <c r="AT129" s="199" t="s">
        <v>1</v>
      </c>
      <c r="AU129" s="199" t="s">
        <v>1</v>
      </c>
      <c r="AV129" s="202" t="s">
        <v>1</v>
      </c>
      <c r="AW129" s="199" t="s">
        <v>1</v>
      </c>
    </row>
    <row r="130" spans="1:49" ht="30.15" customHeight="1" x14ac:dyDescent="0.25">
      <c r="A130" s="188" t="s">
        <v>18</v>
      </c>
      <c r="B130" s="189" t="s">
        <v>1</v>
      </c>
      <c r="C130" s="188" t="s">
        <v>35</v>
      </c>
      <c r="D130" s="190" t="s">
        <v>3</v>
      </c>
      <c r="E130" s="190" t="s">
        <v>112</v>
      </c>
      <c r="F130" s="203"/>
      <c r="G130" s="190" t="s">
        <v>228</v>
      </c>
      <c r="H130" s="192" t="s">
        <v>409</v>
      </c>
      <c r="I130" s="193">
        <v>666</v>
      </c>
      <c r="J130" s="193">
        <v>712</v>
      </c>
      <c r="K130" s="193">
        <v>712</v>
      </c>
      <c r="L130" s="193">
        <v>519</v>
      </c>
      <c r="M130" s="194">
        <v>519</v>
      </c>
      <c r="N130" s="195" t="s">
        <v>1</v>
      </c>
      <c r="O130" s="195" t="s">
        <v>1</v>
      </c>
      <c r="P130" s="195" t="s">
        <v>1</v>
      </c>
      <c r="Q130" s="195" t="s">
        <v>1</v>
      </c>
      <c r="R130" s="196" t="s">
        <v>1</v>
      </c>
      <c r="S130" s="197" t="s">
        <v>1</v>
      </c>
      <c r="T130" s="197" t="s">
        <v>1</v>
      </c>
      <c r="U130" s="197" t="s">
        <v>1</v>
      </c>
      <c r="V130" s="197" t="s">
        <v>1</v>
      </c>
      <c r="W130" s="196" t="s">
        <v>1</v>
      </c>
      <c r="X130" s="195" t="s">
        <v>1</v>
      </c>
      <c r="Y130" s="195" t="s">
        <v>1</v>
      </c>
      <c r="Z130" s="195" t="s">
        <v>1</v>
      </c>
      <c r="AA130" s="196" t="s">
        <v>1</v>
      </c>
      <c r="AB130" s="196" t="s">
        <v>1</v>
      </c>
      <c r="AC130" s="197" t="s">
        <v>1</v>
      </c>
      <c r="AD130" s="197" t="s">
        <v>1</v>
      </c>
      <c r="AE130" s="197" t="s">
        <v>1</v>
      </c>
      <c r="AF130" s="198" t="s">
        <v>1</v>
      </c>
      <c r="AG130" s="198" t="s">
        <v>1</v>
      </c>
      <c r="AH130" s="198" t="s">
        <v>1</v>
      </c>
      <c r="AI130" s="209" t="s">
        <v>1</v>
      </c>
      <c r="AJ130" s="209" t="s">
        <v>1</v>
      </c>
      <c r="AK130" s="209" t="s">
        <v>1</v>
      </c>
      <c r="AL130" s="198">
        <v>0</v>
      </c>
      <c r="AM130" s="200" t="s">
        <v>1</v>
      </c>
      <c r="AN130" s="199" t="s">
        <v>1</v>
      </c>
      <c r="AO130" s="199" t="s">
        <v>1252</v>
      </c>
      <c r="AP130" s="198" t="s">
        <v>1</v>
      </c>
      <c r="AQ130" s="198" t="s">
        <v>1</v>
      </c>
      <c r="AR130" s="201" t="s">
        <v>1</v>
      </c>
      <c r="AS130" s="201" t="s">
        <v>1</v>
      </c>
      <c r="AT130" s="199" t="s">
        <v>1</v>
      </c>
      <c r="AU130" s="199" t="s">
        <v>1</v>
      </c>
      <c r="AV130" s="202" t="s">
        <v>1</v>
      </c>
      <c r="AW130" s="199" t="s">
        <v>1</v>
      </c>
    </row>
    <row r="131" spans="1:49" ht="30.15" customHeight="1" x14ac:dyDescent="0.25">
      <c r="A131" s="188" t="s">
        <v>18</v>
      </c>
      <c r="B131" s="189" t="s">
        <v>1</v>
      </c>
      <c r="C131" s="188" t="s">
        <v>35</v>
      </c>
      <c r="D131" s="190" t="s">
        <v>3</v>
      </c>
      <c r="E131" s="190" t="s">
        <v>110</v>
      </c>
      <c r="F131" s="203"/>
      <c r="G131" s="190" t="s">
        <v>228</v>
      </c>
      <c r="H131" s="192" t="s">
        <v>409</v>
      </c>
      <c r="I131" s="193">
        <v>666</v>
      </c>
      <c r="J131" s="193">
        <v>712</v>
      </c>
      <c r="K131" s="193">
        <v>712</v>
      </c>
      <c r="L131" s="193">
        <v>519</v>
      </c>
      <c r="M131" s="194">
        <v>519</v>
      </c>
      <c r="N131" s="195" t="s">
        <v>1</v>
      </c>
      <c r="O131" s="195" t="s">
        <v>1</v>
      </c>
      <c r="P131" s="195" t="s">
        <v>1</v>
      </c>
      <c r="Q131" s="195" t="s">
        <v>1</v>
      </c>
      <c r="R131" s="196" t="s">
        <v>1</v>
      </c>
      <c r="S131" s="197" t="s">
        <v>1</v>
      </c>
      <c r="T131" s="197" t="s">
        <v>1</v>
      </c>
      <c r="U131" s="197" t="s">
        <v>1</v>
      </c>
      <c r="V131" s="197" t="s">
        <v>1</v>
      </c>
      <c r="W131" s="196" t="s">
        <v>1</v>
      </c>
      <c r="X131" s="195" t="s">
        <v>1</v>
      </c>
      <c r="Y131" s="195" t="s">
        <v>1</v>
      </c>
      <c r="Z131" s="195" t="s">
        <v>1</v>
      </c>
      <c r="AA131" s="196" t="s">
        <v>1</v>
      </c>
      <c r="AB131" s="196" t="s">
        <v>1</v>
      </c>
      <c r="AC131" s="197" t="s">
        <v>1</v>
      </c>
      <c r="AD131" s="197" t="s">
        <v>1</v>
      </c>
      <c r="AE131" s="197" t="s">
        <v>1</v>
      </c>
      <c r="AF131" s="198" t="s">
        <v>1</v>
      </c>
      <c r="AG131" s="198" t="s">
        <v>1</v>
      </c>
      <c r="AH131" s="198" t="s">
        <v>1</v>
      </c>
      <c r="AI131" s="209" t="s">
        <v>1</v>
      </c>
      <c r="AJ131" s="209" t="s">
        <v>1</v>
      </c>
      <c r="AK131" s="209" t="s">
        <v>1</v>
      </c>
      <c r="AL131" s="198">
        <v>0</v>
      </c>
      <c r="AM131" s="200" t="s">
        <v>1</v>
      </c>
      <c r="AN131" s="199" t="s">
        <v>1</v>
      </c>
      <c r="AO131" s="199" t="s">
        <v>1252</v>
      </c>
      <c r="AP131" s="198" t="s">
        <v>1</v>
      </c>
      <c r="AQ131" s="198" t="s">
        <v>1</v>
      </c>
      <c r="AR131" s="201" t="s">
        <v>1</v>
      </c>
      <c r="AS131" s="201" t="s">
        <v>1</v>
      </c>
      <c r="AT131" s="199" t="s">
        <v>1</v>
      </c>
      <c r="AU131" s="199" t="s">
        <v>1</v>
      </c>
      <c r="AV131" s="202" t="s">
        <v>1</v>
      </c>
      <c r="AW131" s="199" t="s">
        <v>1</v>
      </c>
    </row>
    <row r="132" spans="1:49" ht="30.15" customHeight="1" x14ac:dyDescent="0.25">
      <c r="A132" s="188" t="s">
        <v>18</v>
      </c>
      <c r="B132" s="189" t="s">
        <v>1</v>
      </c>
      <c r="C132" s="188" t="s">
        <v>35</v>
      </c>
      <c r="D132" s="190" t="s">
        <v>3</v>
      </c>
      <c r="E132" s="190" t="s">
        <v>111</v>
      </c>
      <c r="F132" s="203"/>
      <c r="G132" s="190" t="s">
        <v>228</v>
      </c>
      <c r="H132" s="192" t="s">
        <v>409</v>
      </c>
      <c r="I132" s="193">
        <v>666</v>
      </c>
      <c r="J132" s="193">
        <v>712</v>
      </c>
      <c r="K132" s="193">
        <v>712</v>
      </c>
      <c r="L132" s="193">
        <v>519</v>
      </c>
      <c r="M132" s="194">
        <v>519</v>
      </c>
      <c r="N132" s="195" t="s">
        <v>1</v>
      </c>
      <c r="O132" s="195" t="s">
        <v>1</v>
      </c>
      <c r="P132" s="195" t="s">
        <v>1</v>
      </c>
      <c r="Q132" s="195" t="s">
        <v>1</v>
      </c>
      <c r="R132" s="196" t="s">
        <v>1</v>
      </c>
      <c r="S132" s="197" t="s">
        <v>1</v>
      </c>
      <c r="T132" s="197" t="s">
        <v>1</v>
      </c>
      <c r="U132" s="197" t="s">
        <v>1</v>
      </c>
      <c r="V132" s="197" t="s">
        <v>1</v>
      </c>
      <c r="W132" s="196" t="s">
        <v>1</v>
      </c>
      <c r="X132" s="195" t="s">
        <v>1</v>
      </c>
      <c r="Y132" s="195" t="s">
        <v>1</v>
      </c>
      <c r="Z132" s="195" t="s">
        <v>1</v>
      </c>
      <c r="AA132" s="196" t="s">
        <v>1</v>
      </c>
      <c r="AB132" s="196" t="s">
        <v>1</v>
      </c>
      <c r="AC132" s="197" t="s">
        <v>1</v>
      </c>
      <c r="AD132" s="197" t="s">
        <v>1</v>
      </c>
      <c r="AE132" s="197" t="s">
        <v>1</v>
      </c>
      <c r="AF132" s="198" t="s">
        <v>1</v>
      </c>
      <c r="AG132" s="198" t="s">
        <v>1</v>
      </c>
      <c r="AH132" s="198" t="s">
        <v>1</v>
      </c>
      <c r="AI132" s="209" t="s">
        <v>1</v>
      </c>
      <c r="AJ132" s="209" t="s">
        <v>1</v>
      </c>
      <c r="AK132" s="209" t="s">
        <v>1</v>
      </c>
      <c r="AL132" s="198">
        <v>0</v>
      </c>
      <c r="AM132" s="200" t="s">
        <v>1</v>
      </c>
      <c r="AN132" s="199" t="s">
        <v>1</v>
      </c>
      <c r="AO132" s="199" t="s">
        <v>1252</v>
      </c>
      <c r="AP132" s="198" t="s">
        <v>1</v>
      </c>
      <c r="AQ132" s="198" t="s">
        <v>1</v>
      </c>
      <c r="AR132" s="201" t="s">
        <v>1</v>
      </c>
      <c r="AS132" s="201" t="s">
        <v>1</v>
      </c>
      <c r="AT132" s="199" t="s">
        <v>1</v>
      </c>
      <c r="AU132" s="199" t="s">
        <v>1</v>
      </c>
      <c r="AV132" s="202" t="s">
        <v>1</v>
      </c>
      <c r="AW132" s="199" t="s">
        <v>1</v>
      </c>
    </row>
    <row r="133" spans="1:49" ht="30.15" customHeight="1" x14ac:dyDescent="0.25">
      <c r="A133" s="188" t="s">
        <v>18</v>
      </c>
      <c r="B133" s="189" t="s">
        <v>1</v>
      </c>
      <c r="C133" s="188" t="s">
        <v>35</v>
      </c>
      <c r="D133" s="190" t="s">
        <v>3</v>
      </c>
      <c r="E133" s="190" t="s">
        <v>229</v>
      </c>
      <c r="F133" s="203"/>
      <c r="G133" s="190" t="s">
        <v>230</v>
      </c>
      <c r="H133" s="192" t="s">
        <v>409</v>
      </c>
      <c r="I133" s="193">
        <v>592</v>
      </c>
      <c r="J133" s="194">
        <v>620</v>
      </c>
      <c r="K133" s="193">
        <v>620</v>
      </c>
      <c r="L133" s="193">
        <v>389</v>
      </c>
      <c r="M133" s="194">
        <v>389</v>
      </c>
      <c r="N133" s="195" t="s">
        <v>1</v>
      </c>
      <c r="O133" s="195" t="s">
        <v>1</v>
      </c>
      <c r="P133" s="195" t="s">
        <v>1</v>
      </c>
      <c r="Q133" s="195" t="s">
        <v>1</v>
      </c>
      <c r="R133" s="196" t="s">
        <v>1</v>
      </c>
      <c r="S133" s="197" t="s">
        <v>1</v>
      </c>
      <c r="T133" s="197" t="s">
        <v>1</v>
      </c>
      <c r="U133" s="197" t="s">
        <v>1</v>
      </c>
      <c r="V133" s="197" t="s">
        <v>1</v>
      </c>
      <c r="W133" s="196" t="s">
        <v>1</v>
      </c>
      <c r="X133" s="195" t="s">
        <v>1</v>
      </c>
      <c r="Y133" s="195" t="s">
        <v>1</v>
      </c>
      <c r="Z133" s="195" t="s">
        <v>1</v>
      </c>
      <c r="AA133" s="196" t="s">
        <v>1</v>
      </c>
      <c r="AB133" s="196" t="s">
        <v>1</v>
      </c>
      <c r="AC133" s="197" t="s">
        <v>1</v>
      </c>
      <c r="AD133" s="197" t="s">
        <v>1</v>
      </c>
      <c r="AE133" s="197" t="s">
        <v>1</v>
      </c>
      <c r="AF133" s="198" t="s">
        <v>1</v>
      </c>
      <c r="AG133" s="198" t="s">
        <v>1</v>
      </c>
      <c r="AH133" s="198" t="s">
        <v>1</v>
      </c>
      <c r="AI133" s="209" t="s">
        <v>1</v>
      </c>
      <c r="AJ133" s="209" t="s">
        <v>1</v>
      </c>
      <c r="AK133" s="209" t="s">
        <v>1</v>
      </c>
      <c r="AL133" s="198">
        <v>0</v>
      </c>
      <c r="AM133" s="200" t="s">
        <v>1</v>
      </c>
      <c r="AN133" s="199" t="s">
        <v>1</v>
      </c>
      <c r="AO133" s="199">
        <v>120</v>
      </c>
      <c r="AP133" s="198" t="s">
        <v>1</v>
      </c>
      <c r="AQ133" s="198" t="s">
        <v>1</v>
      </c>
      <c r="AR133" s="201" t="s">
        <v>1</v>
      </c>
      <c r="AS133" s="201" t="s">
        <v>1</v>
      </c>
      <c r="AT133" s="199" t="s">
        <v>1</v>
      </c>
      <c r="AU133" s="199" t="s">
        <v>1</v>
      </c>
      <c r="AV133" s="202" t="s">
        <v>1</v>
      </c>
      <c r="AW133" s="199" t="s">
        <v>1</v>
      </c>
    </row>
    <row r="134" spans="1:49" ht="30.15" customHeight="1" x14ac:dyDescent="0.25">
      <c r="A134" s="188" t="s">
        <v>18</v>
      </c>
      <c r="B134" s="189" t="s">
        <v>1</v>
      </c>
      <c r="C134" s="188" t="s">
        <v>35</v>
      </c>
      <c r="D134" s="190" t="s">
        <v>3</v>
      </c>
      <c r="E134" s="190" t="s">
        <v>117</v>
      </c>
      <c r="F134" s="203"/>
      <c r="G134" s="190" t="s">
        <v>120</v>
      </c>
      <c r="H134" s="192" t="s">
        <v>409</v>
      </c>
      <c r="I134" s="193">
        <v>1258</v>
      </c>
      <c r="J134" s="193">
        <v>1330</v>
      </c>
      <c r="K134" s="193">
        <v>1330</v>
      </c>
      <c r="L134" s="193">
        <v>1359</v>
      </c>
      <c r="M134" s="194">
        <v>1359</v>
      </c>
      <c r="N134" s="195" t="s">
        <v>1</v>
      </c>
      <c r="O134" s="195" t="s">
        <v>1</v>
      </c>
      <c r="P134" s="195" t="s">
        <v>1</v>
      </c>
      <c r="Q134" s="195" t="s">
        <v>1</v>
      </c>
      <c r="R134" s="196" t="s">
        <v>1</v>
      </c>
      <c r="S134" s="197" t="s">
        <v>1</v>
      </c>
      <c r="T134" s="197" t="s">
        <v>1</v>
      </c>
      <c r="U134" s="197" t="s">
        <v>1</v>
      </c>
      <c r="V134" s="197" t="s">
        <v>1</v>
      </c>
      <c r="W134" s="196" t="s">
        <v>1</v>
      </c>
      <c r="X134" s="195" t="s">
        <v>1</v>
      </c>
      <c r="Y134" s="195" t="s">
        <v>1</v>
      </c>
      <c r="Z134" s="195" t="s">
        <v>1</v>
      </c>
      <c r="AA134" s="196" t="s">
        <v>1</v>
      </c>
      <c r="AB134" s="196" t="s">
        <v>1</v>
      </c>
      <c r="AC134" s="197" t="s">
        <v>1</v>
      </c>
      <c r="AD134" s="197" t="s">
        <v>1</v>
      </c>
      <c r="AE134" s="197" t="s">
        <v>1</v>
      </c>
      <c r="AF134" s="198" t="s">
        <v>1</v>
      </c>
      <c r="AG134" s="198" t="s">
        <v>1</v>
      </c>
      <c r="AH134" s="198" t="s">
        <v>1</v>
      </c>
      <c r="AI134" s="209" t="s">
        <v>1</v>
      </c>
      <c r="AJ134" s="209" t="s">
        <v>1</v>
      </c>
      <c r="AK134" s="209" t="s">
        <v>1</v>
      </c>
      <c r="AL134" s="198">
        <v>0</v>
      </c>
      <c r="AM134" s="200" t="s">
        <v>1</v>
      </c>
      <c r="AN134" s="199" t="s">
        <v>1</v>
      </c>
      <c r="AO134" s="199" t="s">
        <v>1255</v>
      </c>
      <c r="AP134" s="198" t="s">
        <v>1</v>
      </c>
      <c r="AQ134" s="198" t="s">
        <v>1</v>
      </c>
      <c r="AR134" s="201" t="s">
        <v>1</v>
      </c>
      <c r="AS134" s="201" t="s">
        <v>1</v>
      </c>
      <c r="AT134" s="199" t="s">
        <v>1</v>
      </c>
      <c r="AU134" s="199" t="s">
        <v>1</v>
      </c>
      <c r="AV134" s="202" t="s">
        <v>1</v>
      </c>
      <c r="AW134" s="199" t="s">
        <v>1</v>
      </c>
    </row>
    <row r="135" spans="1:49" ht="30.15" customHeight="1" x14ac:dyDescent="0.25">
      <c r="A135" s="188" t="s">
        <v>18</v>
      </c>
      <c r="B135" s="189" t="s">
        <v>1</v>
      </c>
      <c r="C135" s="188" t="s">
        <v>35</v>
      </c>
      <c r="D135" s="190" t="s">
        <v>3</v>
      </c>
      <c r="E135" s="190" t="s">
        <v>119</v>
      </c>
      <c r="F135" s="203"/>
      <c r="G135" s="190" t="s">
        <v>120</v>
      </c>
      <c r="H135" s="192" t="s">
        <v>409</v>
      </c>
      <c r="I135" s="193">
        <v>1258</v>
      </c>
      <c r="J135" s="193">
        <v>1330</v>
      </c>
      <c r="K135" s="193">
        <v>1330</v>
      </c>
      <c r="L135" s="193">
        <v>1359</v>
      </c>
      <c r="M135" s="194">
        <v>1359</v>
      </c>
      <c r="N135" s="195" t="s">
        <v>1</v>
      </c>
      <c r="O135" s="195" t="s">
        <v>1</v>
      </c>
      <c r="P135" s="195" t="s">
        <v>1</v>
      </c>
      <c r="Q135" s="195" t="s">
        <v>1</v>
      </c>
      <c r="R135" s="196" t="s">
        <v>1</v>
      </c>
      <c r="S135" s="197" t="s">
        <v>1</v>
      </c>
      <c r="T135" s="197" t="s">
        <v>1</v>
      </c>
      <c r="U135" s="197" t="s">
        <v>1</v>
      </c>
      <c r="V135" s="197" t="s">
        <v>1</v>
      </c>
      <c r="W135" s="196" t="s">
        <v>1</v>
      </c>
      <c r="X135" s="195" t="s">
        <v>1</v>
      </c>
      <c r="Y135" s="195" t="s">
        <v>1</v>
      </c>
      <c r="Z135" s="195" t="s">
        <v>1</v>
      </c>
      <c r="AA135" s="196" t="s">
        <v>1</v>
      </c>
      <c r="AB135" s="196" t="s">
        <v>1</v>
      </c>
      <c r="AC135" s="197" t="s">
        <v>1</v>
      </c>
      <c r="AD135" s="197" t="s">
        <v>1</v>
      </c>
      <c r="AE135" s="197" t="s">
        <v>1</v>
      </c>
      <c r="AF135" s="198" t="s">
        <v>1</v>
      </c>
      <c r="AG135" s="198" t="s">
        <v>1</v>
      </c>
      <c r="AH135" s="198" t="s">
        <v>1</v>
      </c>
      <c r="AI135" s="209" t="s">
        <v>1</v>
      </c>
      <c r="AJ135" s="209" t="s">
        <v>1</v>
      </c>
      <c r="AK135" s="209" t="s">
        <v>1</v>
      </c>
      <c r="AL135" s="198">
        <v>0</v>
      </c>
      <c r="AM135" s="200" t="s">
        <v>1</v>
      </c>
      <c r="AN135" s="199" t="s">
        <v>1</v>
      </c>
      <c r="AO135" s="199" t="s">
        <v>1255</v>
      </c>
      <c r="AP135" s="198" t="s">
        <v>1</v>
      </c>
      <c r="AQ135" s="198" t="s">
        <v>1</v>
      </c>
      <c r="AR135" s="201" t="s">
        <v>1</v>
      </c>
      <c r="AS135" s="201" t="s">
        <v>1</v>
      </c>
      <c r="AT135" s="199" t="s">
        <v>1</v>
      </c>
      <c r="AU135" s="199" t="s">
        <v>1</v>
      </c>
      <c r="AV135" s="202" t="s">
        <v>1</v>
      </c>
      <c r="AW135" s="199" t="s">
        <v>1</v>
      </c>
    </row>
    <row r="136" spans="1:49" ht="30.15" customHeight="1" x14ac:dyDescent="0.25">
      <c r="A136" s="188" t="s">
        <v>18</v>
      </c>
      <c r="B136" s="189" t="s">
        <v>1</v>
      </c>
      <c r="C136" s="188" t="s">
        <v>35</v>
      </c>
      <c r="D136" s="190" t="s">
        <v>3</v>
      </c>
      <c r="E136" s="190" t="s">
        <v>118</v>
      </c>
      <c r="F136" s="203"/>
      <c r="G136" s="190" t="s">
        <v>120</v>
      </c>
      <c r="H136" s="192" t="s">
        <v>409</v>
      </c>
      <c r="I136" s="193">
        <v>1258</v>
      </c>
      <c r="J136" s="193">
        <v>1330</v>
      </c>
      <c r="K136" s="193">
        <v>1330</v>
      </c>
      <c r="L136" s="193">
        <v>1359</v>
      </c>
      <c r="M136" s="194">
        <v>1359</v>
      </c>
      <c r="N136" s="195" t="s">
        <v>1</v>
      </c>
      <c r="O136" s="195" t="s">
        <v>1</v>
      </c>
      <c r="P136" s="195" t="s">
        <v>1</v>
      </c>
      <c r="Q136" s="195" t="s">
        <v>1</v>
      </c>
      <c r="R136" s="196" t="s">
        <v>1</v>
      </c>
      <c r="S136" s="197" t="s">
        <v>1</v>
      </c>
      <c r="T136" s="197" t="s">
        <v>1</v>
      </c>
      <c r="U136" s="197" t="s">
        <v>1</v>
      </c>
      <c r="V136" s="197" t="s">
        <v>1</v>
      </c>
      <c r="W136" s="196" t="s">
        <v>1</v>
      </c>
      <c r="X136" s="195" t="s">
        <v>1</v>
      </c>
      <c r="Y136" s="195" t="s">
        <v>1</v>
      </c>
      <c r="Z136" s="195" t="s">
        <v>1</v>
      </c>
      <c r="AA136" s="196" t="s">
        <v>1</v>
      </c>
      <c r="AB136" s="196" t="s">
        <v>1</v>
      </c>
      <c r="AC136" s="197" t="s">
        <v>1</v>
      </c>
      <c r="AD136" s="197" t="s">
        <v>1</v>
      </c>
      <c r="AE136" s="197" t="s">
        <v>1</v>
      </c>
      <c r="AF136" s="198" t="s">
        <v>1</v>
      </c>
      <c r="AG136" s="198" t="s">
        <v>1</v>
      </c>
      <c r="AH136" s="198" t="s">
        <v>1</v>
      </c>
      <c r="AI136" s="209" t="s">
        <v>1</v>
      </c>
      <c r="AJ136" s="209" t="s">
        <v>1</v>
      </c>
      <c r="AK136" s="209" t="s">
        <v>1</v>
      </c>
      <c r="AL136" s="198">
        <v>0</v>
      </c>
      <c r="AM136" s="200" t="s">
        <v>1</v>
      </c>
      <c r="AN136" s="199" t="s">
        <v>1</v>
      </c>
      <c r="AO136" s="199" t="s">
        <v>1255</v>
      </c>
      <c r="AP136" s="198" t="s">
        <v>1</v>
      </c>
      <c r="AQ136" s="198" t="s">
        <v>1</v>
      </c>
      <c r="AR136" s="201" t="s">
        <v>1</v>
      </c>
      <c r="AS136" s="201" t="s">
        <v>1</v>
      </c>
      <c r="AT136" s="199" t="s">
        <v>1</v>
      </c>
      <c r="AU136" s="199" t="s">
        <v>1</v>
      </c>
      <c r="AV136" s="202" t="s">
        <v>1</v>
      </c>
      <c r="AW136" s="199" t="s">
        <v>1</v>
      </c>
    </row>
    <row r="137" spans="1:49" ht="30.15" customHeight="1" x14ac:dyDescent="0.25">
      <c r="A137" s="188" t="s">
        <v>18</v>
      </c>
      <c r="B137" s="188" t="s">
        <v>1</v>
      </c>
      <c r="C137" s="188" t="s">
        <v>35</v>
      </c>
      <c r="D137" s="190" t="s">
        <v>3</v>
      </c>
      <c r="E137" s="190" t="s">
        <v>286</v>
      </c>
      <c r="F137" s="203"/>
      <c r="G137" s="190" t="s">
        <v>287</v>
      </c>
      <c r="H137" s="192" t="s">
        <v>409</v>
      </c>
      <c r="I137" s="194">
        <v>1129</v>
      </c>
      <c r="J137" s="194">
        <v>1149</v>
      </c>
      <c r="K137" s="193">
        <v>1149</v>
      </c>
      <c r="L137" s="193">
        <v>1219</v>
      </c>
      <c r="M137" s="194">
        <v>1219</v>
      </c>
      <c r="N137" s="195" t="s">
        <v>1</v>
      </c>
      <c r="O137" s="195" t="s">
        <v>1</v>
      </c>
      <c r="P137" s="195" t="s">
        <v>1</v>
      </c>
      <c r="Q137" s="195" t="s">
        <v>1</v>
      </c>
      <c r="R137" s="196" t="s">
        <v>1</v>
      </c>
      <c r="S137" s="197" t="s">
        <v>1</v>
      </c>
      <c r="T137" s="197" t="s">
        <v>1</v>
      </c>
      <c r="U137" s="197" t="s">
        <v>1</v>
      </c>
      <c r="V137" s="197" t="s">
        <v>1</v>
      </c>
      <c r="W137" s="196" t="s">
        <v>1</v>
      </c>
      <c r="X137" s="195" t="s">
        <v>1</v>
      </c>
      <c r="Y137" s="195" t="s">
        <v>1</v>
      </c>
      <c r="Z137" s="195" t="s">
        <v>1</v>
      </c>
      <c r="AA137" s="196" t="s">
        <v>1</v>
      </c>
      <c r="AB137" s="196" t="s">
        <v>1</v>
      </c>
      <c r="AC137" s="197" t="s">
        <v>1</v>
      </c>
      <c r="AD137" s="197" t="s">
        <v>1</v>
      </c>
      <c r="AE137" s="197" t="s">
        <v>1</v>
      </c>
      <c r="AF137" s="198" t="s">
        <v>1</v>
      </c>
      <c r="AG137" s="198" t="s">
        <v>1</v>
      </c>
      <c r="AH137" s="198" t="s">
        <v>1</v>
      </c>
      <c r="AI137" s="209" t="s">
        <v>1</v>
      </c>
      <c r="AJ137" s="209" t="s">
        <v>1</v>
      </c>
      <c r="AK137" s="209" t="s">
        <v>1</v>
      </c>
      <c r="AL137" s="198">
        <v>0</v>
      </c>
      <c r="AM137" s="200" t="s">
        <v>1</v>
      </c>
      <c r="AN137" s="199" t="s">
        <v>1</v>
      </c>
      <c r="AO137" s="199" t="s">
        <v>1255</v>
      </c>
      <c r="AP137" s="198" t="s">
        <v>1</v>
      </c>
      <c r="AQ137" s="198" t="s">
        <v>1</v>
      </c>
      <c r="AR137" s="201" t="s">
        <v>1</v>
      </c>
      <c r="AS137" s="201" t="s">
        <v>1</v>
      </c>
      <c r="AT137" s="199" t="s">
        <v>1</v>
      </c>
      <c r="AU137" s="199" t="s">
        <v>1</v>
      </c>
      <c r="AV137" s="202" t="s">
        <v>1</v>
      </c>
      <c r="AW137" s="199" t="s">
        <v>1</v>
      </c>
    </row>
    <row r="138" spans="1:49" ht="30.15" customHeight="1" x14ac:dyDescent="0.25">
      <c r="A138" s="188" t="s">
        <v>18</v>
      </c>
      <c r="B138" s="188" t="s">
        <v>1</v>
      </c>
      <c r="C138" s="188" t="s">
        <v>35</v>
      </c>
      <c r="D138" s="190" t="s">
        <v>3</v>
      </c>
      <c r="E138" s="190" t="s">
        <v>533</v>
      </c>
      <c r="F138" s="203"/>
      <c r="G138" s="190" t="s">
        <v>536</v>
      </c>
      <c r="H138" s="192" t="s">
        <v>907</v>
      </c>
      <c r="I138" s="194">
        <v>1110</v>
      </c>
      <c r="J138" s="194">
        <v>1160</v>
      </c>
      <c r="K138" s="193">
        <v>1160</v>
      </c>
      <c r="L138" s="193">
        <v>1199</v>
      </c>
      <c r="M138" s="194">
        <v>1199</v>
      </c>
      <c r="N138" s="195" t="s">
        <v>1</v>
      </c>
      <c r="O138" s="195" t="s">
        <v>1</v>
      </c>
      <c r="P138" s="195" t="s">
        <v>1</v>
      </c>
      <c r="Q138" s="195" t="s">
        <v>1</v>
      </c>
      <c r="R138" s="196" t="s">
        <v>1</v>
      </c>
      <c r="S138" s="197" t="s">
        <v>1</v>
      </c>
      <c r="T138" s="197" t="s">
        <v>1</v>
      </c>
      <c r="U138" s="197" t="s">
        <v>1</v>
      </c>
      <c r="V138" s="197" t="s">
        <v>1</v>
      </c>
      <c r="W138" s="196" t="s">
        <v>1</v>
      </c>
      <c r="X138" s="195" t="s">
        <v>1</v>
      </c>
      <c r="Y138" s="195" t="s">
        <v>1</v>
      </c>
      <c r="Z138" s="195" t="s">
        <v>1</v>
      </c>
      <c r="AA138" s="196" t="s">
        <v>1</v>
      </c>
      <c r="AB138" s="196" t="s">
        <v>1</v>
      </c>
      <c r="AC138" s="197" t="s">
        <v>1</v>
      </c>
      <c r="AD138" s="197" t="s">
        <v>1</v>
      </c>
      <c r="AE138" s="197" t="s">
        <v>1</v>
      </c>
      <c r="AF138" s="198" t="s">
        <v>1</v>
      </c>
      <c r="AG138" s="198" t="s">
        <v>1</v>
      </c>
      <c r="AH138" s="198" t="s">
        <v>1</v>
      </c>
      <c r="AI138" s="209" t="s">
        <v>1</v>
      </c>
      <c r="AJ138" s="209" t="s">
        <v>1</v>
      </c>
      <c r="AK138" s="209" t="s">
        <v>1</v>
      </c>
      <c r="AL138" s="198">
        <v>0</v>
      </c>
      <c r="AM138" s="200" t="s">
        <v>1</v>
      </c>
      <c r="AN138" s="199" t="s">
        <v>1</v>
      </c>
      <c r="AO138" s="199" t="s">
        <v>1254</v>
      </c>
      <c r="AP138" s="198" t="s">
        <v>1</v>
      </c>
      <c r="AQ138" s="198" t="s">
        <v>1</v>
      </c>
      <c r="AR138" s="201" t="s">
        <v>1</v>
      </c>
      <c r="AS138" s="201" t="s">
        <v>1</v>
      </c>
      <c r="AT138" s="199" t="s">
        <v>1</v>
      </c>
      <c r="AU138" s="199" t="s">
        <v>1</v>
      </c>
      <c r="AV138" s="202" t="s">
        <v>1</v>
      </c>
      <c r="AW138" s="199" t="s">
        <v>1</v>
      </c>
    </row>
    <row r="139" spans="1:49" ht="30.15" customHeight="1" x14ac:dyDescent="0.25">
      <c r="A139" s="188" t="s">
        <v>18</v>
      </c>
      <c r="B139" s="188" t="s">
        <v>1</v>
      </c>
      <c r="C139" s="188" t="s">
        <v>35</v>
      </c>
      <c r="D139" s="190" t="s">
        <v>3</v>
      </c>
      <c r="E139" s="190" t="s">
        <v>857</v>
      </c>
      <c r="F139" s="203"/>
      <c r="G139" s="190" t="s">
        <v>873</v>
      </c>
      <c r="H139" s="192" t="s">
        <v>414</v>
      </c>
      <c r="I139" s="194">
        <v>1157</v>
      </c>
      <c r="J139" s="194">
        <v>1187.5</v>
      </c>
      <c r="K139" s="194">
        <v>1187.5</v>
      </c>
      <c r="L139" s="193">
        <v>1250</v>
      </c>
      <c r="M139" s="194">
        <v>1250</v>
      </c>
      <c r="N139" s="195" t="s">
        <v>1</v>
      </c>
      <c r="O139" s="195" t="s">
        <v>1</v>
      </c>
      <c r="P139" s="195" t="s">
        <v>1</v>
      </c>
      <c r="Q139" s="195" t="s">
        <v>1</v>
      </c>
      <c r="R139" s="196" t="s">
        <v>1</v>
      </c>
      <c r="S139" s="197" t="s">
        <v>1</v>
      </c>
      <c r="T139" s="197" t="s">
        <v>1</v>
      </c>
      <c r="U139" s="197" t="s">
        <v>1</v>
      </c>
      <c r="V139" s="197" t="s">
        <v>1</v>
      </c>
      <c r="W139" s="196" t="s">
        <v>1</v>
      </c>
      <c r="X139" s="195" t="s">
        <v>1</v>
      </c>
      <c r="Y139" s="195" t="s">
        <v>1</v>
      </c>
      <c r="Z139" s="195" t="s">
        <v>1</v>
      </c>
      <c r="AA139" s="196" t="s">
        <v>1</v>
      </c>
      <c r="AB139" s="196" t="s">
        <v>1</v>
      </c>
      <c r="AC139" s="197" t="s">
        <v>1</v>
      </c>
      <c r="AD139" s="197" t="s">
        <v>1</v>
      </c>
      <c r="AE139" s="197" t="s">
        <v>1</v>
      </c>
      <c r="AF139" s="198" t="s">
        <v>1</v>
      </c>
      <c r="AG139" s="198" t="s">
        <v>1</v>
      </c>
      <c r="AH139" s="198" t="s">
        <v>1</v>
      </c>
      <c r="AI139" s="209" t="s">
        <v>1</v>
      </c>
      <c r="AJ139" s="209" t="s">
        <v>1</v>
      </c>
      <c r="AK139" s="209" t="s">
        <v>1</v>
      </c>
      <c r="AL139" s="198">
        <v>0</v>
      </c>
      <c r="AM139" s="200" t="s">
        <v>1</v>
      </c>
      <c r="AN139" s="199" t="s">
        <v>1</v>
      </c>
      <c r="AO139" s="199" t="s">
        <v>1255</v>
      </c>
      <c r="AP139" s="198" t="s">
        <v>1</v>
      </c>
      <c r="AQ139" s="198" t="s">
        <v>1</v>
      </c>
      <c r="AR139" s="201" t="s">
        <v>1</v>
      </c>
      <c r="AS139" s="201" t="s">
        <v>1</v>
      </c>
      <c r="AT139" s="199" t="s">
        <v>1</v>
      </c>
      <c r="AU139" s="199" t="s">
        <v>1</v>
      </c>
      <c r="AV139" s="202" t="s">
        <v>1</v>
      </c>
      <c r="AW139" s="199" t="s">
        <v>1</v>
      </c>
    </row>
    <row r="140" spans="1:49" ht="30.15" customHeight="1" x14ac:dyDescent="0.25">
      <c r="A140" s="188" t="s">
        <v>18</v>
      </c>
      <c r="B140" s="188" t="s">
        <v>1</v>
      </c>
      <c r="C140" s="188" t="s">
        <v>35</v>
      </c>
      <c r="D140" s="190" t="s">
        <v>3</v>
      </c>
      <c r="E140" s="190" t="s">
        <v>858</v>
      </c>
      <c r="F140" s="203"/>
      <c r="G140" s="190" t="s">
        <v>873</v>
      </c>
      <c r="H140" s="192" t="s">
        <v>414</v>
      </c>
      <c r="I140" s="194">
        <v>1157</v>
      </c>
      <c r="J140" s="194">
        <v>1187.5</v>
      </c>
      <c r="K140" s="194">
        <v>1187.5</v>
      </c>
      <c r="L140" s="193">
        <v>1250</v>
      </c>
      <c r="M140" s="194">
        <v>1250</v>
      </c>
      <c r="N140" s="195" t="s">
        <v>1</v>
      </c>
      <c r="O140" s="195" t="s">
        <v>1</v>
      </c>
      <c r="P140" s="195" t="s">
        <v>1</v>
      </c>
      <c r="Q140" s="195" t="s">
        <v>1</v>
      </c>
      <c r="R140" s="196" t="s">
        <v>1</v>
      </c>
      <c r="S140" s="197" t="s">
        <v>1</v>
      </c>
      <c r="T140" s="197" t="s">
        <v>1</v>
      </c>
      <c r="U140" s="197" t="s">
        <v>1</v>
      </c>
      <c r="V140" s="197" t="s">
        <v>1</v>
      </c>
      <c r="W140" s="196" t="s">
        <v>1</v>
      </c>
      <c r="X140" s="195" t="s">
        <v>1</v>
      </c>
      <c r="Y140" s="195" t="s">
        <v>1</v>
      </c>
      <c r="Z140" s="195" t="s">
        <v>1</v>
      </c>
      <c r="AA140" s="196" t="s">
        <v>1</v>
      </c>
      <c r="AB140" s="196" t="s">
        <v>1</v>
      </c>
      <c r="AC140" s="197" t="s">
        <v>1</v>
      </c>
      <c r="AD140" s="197" t="s">
        <v>1</v>
      </c>
      <c r="AE140" s="197" t="s">
        <v>1</v>
      </c>
      <c r="AF140" s="198" t="s">
        <v>1</v>
      </c>
      <c r="AG140" s="198" t="s">
        <v>1</v>
      </c>
      <c r="AH140" s="198" t="s">
        <v>1</v>
      </c>
      <c r="AI140" s="209" t="s">
        <v>1</v>
      </c>
      <c r="AJ140" s="209" t="s">
        <v>1</v>
      </c>
      <c r="AK140" s="209" t="s">
        <v>1</v>
      </c>
      <c r="AL140" s="198">
        <v>0</v>
      </c>
      <c r="AM140" s="200" t="s">
        <v>1</v>
      </c>
      <c r="AN140" s="199" t="s">
        <v>1</v>
      </c>
      <c r="AO140" s="199" t="s">
        <v>1255</v>
      </c>
      <c r="AP140" s="198" t="s">
        <v>1</v>
      </c>
      <c r="AQ140" s="198" t="s">
        <v>1</v>
      </c>
      <c r="AR140" s="201" t="s">
        <v>1</v>
      </c>
      <c r="AS140" s="201" t="s">
        <v>1</v>
      </c>
      <c r="AT140" s="199" t="s">
        <v>1</v>
      </c>
      <c r="AU140" s="199" t="s">
        <v>1</v>
      </c>
      <c r="AV140" s="202" t="s">
        <v>1</v>
      </c>
      <c r="AW140" s="199" t="s">
        <v>1</v>
      </c>
    </row>
    <row r="141" spans="1:49" ht="30.15" customHeight="1" x14ac:dyDescent="0.25">
      <c r="A141" s="188" t="s">
        <v>18</v>
      </c>
      <c r="B141" s="188" t="s">
        <v>1</v>
      </c>
      <c r="C141" s="188" t="s">
        <v>35</v>
      </c>
      <c r="D141" s="190" t="s">
        <v>3</v>
      </c>
      <c r="E141" s="190" t="s">
        <v>1262</v>
      </c>
      <c r="F141" s="203"/>
      <c r="G141" s="190" t="s">
        <v>1263</v>
      </c>
      <c r="H141" s="192" t="s">
        <v>409</v>
      </c>
      <c r="I141" s="194">
        <v>1110</v>
      </c>
      <c r="J141" s="194">
        <v>1132</v>
      </c>
      <c r="K141" s="194">
        <v>1132</v>
      </c>
      <c r="L141" s="193">
        <v>1199</v>
      </c>
      <c r="M141" s="194">
        <v>1199</v>
      </c>
      <c r="N141" s="210" t="s">
        <v>1</v>
      </c>
      <c r="O141" s="210" t="s">
        <v>1</v>
      </c>
      <c r="P141" s="210" t="s">
        <v>1</v>
      </c>
      <c r="Q141" s="210" t="s">
        <v>1</v>
      </c>
      <c r="R141" s="196" t="s">
        <v>1</v>
      </c>
      <c r="S141" s="211" t="s">
        <v>1</v>
      </c>
      <c r="T141" s="211" t="s">
        <v>1</v>
      </c>
      <c r="U141" s="211" t="s">
        <v>1</v>
      </c>
      <c r="V141" s="211" t="s">
        <v>1</v>
      </c>
      <c r="W141" s="196" t="s">
        <v>1</v>
      </c>
      <c r="X141" s="210" t="s">
        <v>1</v>
      </c>
      <c r="Y141" s="210" t="s">
        <v>1</v>
      </c>
      <c r="Z141" s="210" t="s">
        <v>1</v>
      </c>
      <c r="AA141" s="196" t="s">
        <v>1</v>
      </c>
      <c r="AB141" s="196" t="s">
        <v>1</v>
      </c>
      <c r="AC141" s="211" t="s">
        <v>1</v>
      </c>
      <c r="AD141" s="211" t="s">
        <v>1</v>
      </c>
      <c r="AE141" s="211" t="s">
        <v>1</v>
      </c>
      <c r="AF141" s="198" t="s">
        <v>1</v>
      </c>
      <c r="AG141" s="198" t="s">
        <v>1</v>
      </c>
      <c r="AH141" s="198" t="s">
        <v>1</v>
      </c>
      <c r="AI141" s="209" t="s">
        <v>1</v>
      </c>
      <c r="AJ141" s="209" t="s">
        <v>1</v>
      </c>
      <c r="AK141" s="209" t="s">
        <v>1</v>
      </c>
      <c r="AL141" s="198">
        <v>0</v>
      </c>
      <c r="AM141" s="200" t="s">
        <v>1</v>
      </c>
      <c r="AN141" s="199" t="s">
        <v>1</v>
      </c>
      <c r="AO141" s="199" t="s">
        <v>1254</v>
      </c>
      <c r="AP141" s="198" t="s">
        <v>1</v>
      </c>
      <c r="AQ141" s="198" t="s">
        <v>1</v>
      </c>
      <c r="AR141" s="201" t="s">
        <v>1</v>
      </c>
      <c r="AS141" s="201" t="s">
        <v>1</v>
      </c>
      <c r="AT141" s="199" t="s">
        <v>1</v>
      </c>
      <c r="AU141" s="199" t="s">
        <v>1</v>
      </c>
      <c r="AV141" s="202" t="s">
        <v>1</v>
      </c>
      <c r="AW141" s="199" t="s">
        <v>1</v>
      </c>
    </row>
    <row r="142" spans="1:49" ht="30.15" customHeight="1" x14ac:dyDescent="0.25">
      <c r="A142" s="260" t="s">
        <v>18</v>
      </c>
      <c r="B142" s="260" t="s">
        <v>1</v>
      </c>
      <c r="C142" s="260" t="s">
        <v>35</v>
      </c>
      <c r="D142" s="261" t="s">
        <v>3</v>
      </c>
      <c r="E142" s="261" t="s">
        <v>1271</v>
      </c>
      <c r="F142" s="262"/>
      <c r="G142" s="261" t="s">
        <v>1263</v>
      </c>
      <c r="H142" s="263" t="s">
        <v>414</v>
      </c>
      <c r="I142" s="264">
        <v>1110</v>
      </c>
      <c r="J142" s="264">
        <v>1132</v>
      </c>
      <c r="K142" s="264">
        <v>1132</v>
      </c>
      <c r="L142" s="265">
        <v>1199</v>
      </c>
      <c r="M142" s="264">
        <v>1199</v>
      </c>
      <c r="N142" s="266" t="s">
        <v>1</v>
      </c>
      <c r="O142" s="266" t="s">
        <v>1</v>
      </c>
      <c r="P142" s="266" t="s">
        <v>1</v>
      </c>
      <c r="Q142" s="266" t="s">
        <v>1</v>
      </c>
      <c r="R142" s="267" t="s">
        <v>1</v>
      </c>
      <c r="S142" s="268" t="s">
        <v>1</v>
      </c>
      <c r="T142" s="268" t="s">
        <v>1</v>
      </c>
      <c r="U142" s="268" t="s">
        <v>1</v>
      </c>
      <c r="V142" s="268" t="s">
        <v>1</v>
      </c>
      <c r="W142" s="267" t="s">
        <v>1</v>
      </c>
      <c r="X142" s="266" t="s">
        <v>1</v>
      </c>
      <c r="Y142" s="266" t="s">
        <v>1</v>
      </c>
      <c r="Z142" s="266" t="s">
        <v>1</v>
      </c>
      <c r="AA142" s="267" t="s">
        <v>1</v>
      </c>
      <c r="AB142" s="267" t="s">
        <v>1</v>
      </c>
      <c r="AC142" s="268" t="s">
        <v>1</v>
      </c>
      <c r="AD142" s="268" t="s">
        <v>1</v>
      </c>
      <c r="AE142" s="268" t="s">
        <v>1</v>
      </c>
      <c r="AF142" s="269" t="s">
        <v>1</v>
      </c>
      <c r="AG142" s="269" t="s">
        <v>1</v>
      </c>
      <c r="AH142" s="269" t="s">
        <v>1</v>
      </c>
      <c r="AI142" s="270" t="s">
        <v>1</v>
      </c>
      <c r="AJ142" s="270" t="s">
        <v>1</v>
      </c>
      <c r="AK142" s="270" t="s">
        <v>1</v>
      </c>
      <c r="AL142" s="269">
        <v>0</v>
      </c>
      <c r="AM142" s="271" t="s">
        <v>1</v>
      </c>
      <c r="AN142" s="272" t="s">
        <v>1</v>
      </c>
      <c r="AO142" s="272" t="s">
        <v>1254</v>
      </c>
      <c r="AP142" s="269" t="s">
        <v>1</v>
      </c>
      <c r="AQ142" s="269" t="s">
        <v>1</v>
      </c>
      <c r="AR142" s="273" t="s">
        <v>1</v>
      </c>
      <c r="AS142" s="273" t="s">
        <v>1</v>
      </c>
      <c r="AT142" s="272" t="s">
        <v>1</v>
      </c>
      <c r="AU142" s="272" t="s">
        <v>1</v>
      </c>
      <c r="AV142" s="274" t="s">
        <v>1</v>
      </c>
      <c r="AW142" s="272" t="s">
        <v>1</v>
      </c>
    </row>
    <row r="143" spans="1:49" ht="30.15" customHeight="1" x14ac:dyDescent="0.25">
      <c r="A143" s="260" t="s">
        <v>18</v>
      </c>
      <c r="B143" s="260" t="s">
        <v>1</v>
      </c>
      <c r="C143" s="260" t="s">
        <v>35</v>
      </c>
      <c r="D143" s="261" t="s">
        <v>3</v>
      </c>
      <c r="E143" s="261" t="s">
        <v>1272</v>
      </c>
      <c r="F143" s="262"/>
      <c r="G143" s="261" t="s">
        <v>1279</v>
      </c>
      <c r="H143" s="263" t="s">
        <v>414</v>
      </c>
      <c r="I143" s="264">
        <v>1231</v>
      </c>
      <c r="J143" s="264">
        <v>1256</v>
      </c>
      <c r="K143" s="264">
        <v>1256</v>
      </c>
      <c r="L143" s="265">
        <v>1330</v>
      </c>
      <c r="M143" s="264">
        <v>1330</v>
      </c>
      <c r="N143" s="266" t="s">
        <v>1</v>
      </c>
      <c r="O143" s="266" t="s">
        <v>1</v>
      </c>
      <c r="P143" s="266" t="s">
        <v>1</v>
      </c>
      <c r="Q143" s="266" t="s">
        <v>1</v>
      </c>
      <c r="R143" s="267" t="s">
        <v>1</v>
      </c>
      <c r="S143" s="268" t="s">
        <v>1</v>
      </c>
      <c r="T143" s="268" t="s">
        <v>1</v>
      </c>
      <c r="U143" s="268" t="s">
        <v>1</v>
      </c>
      <c r="V143" s="268" t="s">
        <v>1</v>
      </c>
      <c r="W143" s="267" t="s">
        <v>1</v>
      </c>
      <c r="X143" s="266" t="s">
        <v>1</v>
      </c>
      <c r="Y143" s="266" t="s">
        <v>1</v>
      </c>
      <c r="Z143" s="266" t="s">
        <v>1</v>
      </c>
      <c r="AA143" s="267" t="s">
        <v>1</v>
      </c>
      <c r="AB143" s="267" t="s">
        <v>1</v>
      </c>
      <c r="AC143" s="268" t="s">
        <v>1</v>
      </c>
      <c r="AD143" s="268" t="s">
        <v>1</v>
      </c>
      <c r="AE143" s="268" t="s">
        <v>1</v>
      </c>
      <c r="AF143" s="269" t="s">
        <v>1</v>
      </c>
      <c r="AG143" s="269" t="s">
        <v>1</v>
      </c>
      <c r="AH143" s="269" t="s">
        <v>1</v>
      </c>
      <c r="AI143" s="270" t="s">
        <v>1</v>
      </c>
      <c r="AJ143" s="270" t="s">
        <v>1</v>
      </c>
      <c r="AK143" s="270" t="s">
        <v>1</v>
      </c>
      <c r="AL143" s="269">
        <v>0</v>
      </c>
      <c r="AM143" s="271" t="s">
        <v>1</v>
      </c>
      <c r="AN143" s="272" t="s">
        <v>1</v>
      </c>
      <c r="AO143" s="272" t="s">
        <v>1255</v>
      </c>
      <c r="AP143" s="269" t="s">
        <v>1</v>
      </c>
      <c r="AQ143" s="269" t="s">
        <v>1</v>
      </c>
      <c r="AR143" s="273" t="s">
        <v>1</v>
      </c>
      <c r="AS143" s="273" t="s">
        <v>1</v>
      </c>
      <c r="AT143" s="272" t="s">
        <v>1</v>
      </c>
      <c r="AU143" s="272" t="s">
        <v>1</v>
      </c>
      <c r="AV143" s="274" t="s">
        <v>1</v>
      </c>
      <c r="AW143" s="272" t="s">
        <v>1</v>
      </c>
    </row>
    <row r="144" spans="1:49" ht="30.15" customHeight="1" x14ac:dyDescent="0.25">
      <c r="A144" s="260" t="s">
        <v>18</v>
      </c>
      <c r="B144" s="260" t="s">
        <v>1</v>
      </c>
      <c r="C144" s="260" t="s">
        <v>35</v>
      </c>
      <c r="D144" s="261" t="s">
        <v>3</v>
      </c>
      <c r="E144" s="261" t="s">
        <v>1273</v>
      </c>
      <c r="F144" s="262"/>
      <c r="G144" s="261" t="s">
        <v>1280</v>
      </c>
      <c r="H144" s="263" t="s">
        <v>414</v>
      </c>
      <c r="I144" s="264">
        <v>1462</v>
      </c>
      <c r="J144" s="264">
        <v>1491</v>
      </c>
      <c r="K144" s="264">
        <v>1491</v>
      </c>
      <c r="L144" s="265">
        <v>1579</v>
      </c>
      <c r="M144" s="264">
        <v>1579</v>
      </c>
      <c r="N144" s="266" t="s">
        <v>1</v>
      </c>
      <c r="O144" s="266" t="s">
        <v>1</v>
      </c>
      <c r="P144" s="266" t="s">
        <v>1</v>
      </c>
      <c r="Q144" s="266" t="s">
        <v>1</v>
      </c>
      <c r="R144" s="267" t="s">
        <v>1</v>
      </c>
      <c r="S144" s="268" t="s">
        <v>1</v>
      </c>
      <c r="T144" s="268" t="s">
        <v>1</v>
      </c>
      <c r="U144" s="268" t="s">
        <v>1</v>
      </c>
      <c r="V144" s="268" t="s">
        <v>1</v>
      </c>
      <c r="W144" s="267" t="s">
        <v>1</v>
      </c>
      <c r="X144" s="266" t="s">
        <v>1</v>
      </c>
      <c r="Y144" s="266" t="s">
        <v>1</v>
      </c>
      <c r="Z144" s="266" t="s">
        <v>1</v>
      </c>
      <c r="AA144" s="267" t="s">
        <v>1</v>
      </c>
      <c r="AB144" s="267" t="s">
        <v>1</v>
      </c>
      <c r="AC144" s="268" t="s">
        <v>1</v>
      </c>
      <c r="AD144" s="268" t="s">
        <v>1</v>
      </c>
      <c r="AE144" s="268" t="s">
        <v>1</v>
      </c>
      <c r="AF144" s="269" t="s">
        <v>1</v>
      </c>
      <c r="AG144" s="269" t="s">
        <v>1</v>
      </c>
      <c r="AH144" s="269" t="s">
        <v>1</v>
      </c>
      <c r="AI144" s="270" t="s">
        <v>1</v>
      </c>
      <c r="AJ144" s="270" t="s">
        <v>1</v>
      </c>
      <c r="AK144" s="270" t="s">
        <v>1</v>
      </c>
      <c r="AL144" s="269">
        <v>0</v>
      </c>
      <c r="AM144" s="271" t="s">
        <v>1</v>
      </c>
      <c r="AN144" s="272" t="s">
        <v>1</v>
      </c>
      <c r="AO144" s="272" t="s">
        <v>1256</v>
      </c>
      <c r="AP144" s="269" t="s">
        <v>1</v>
      </c>
      <c r="AQ144" s="269" t="s">
        <v>1</v>
      </c>
      <c r="AR144" s="273" t="s">
        <v>1</v>
      </c>
      <c r="AS144" s="273" t="s">
        <v>1</v>
      </c>
      <c r="AT144" s="272" t="s">
        <v>1</v>
      </c>
      <c r="AU144" s="272" t="s">
        <v>1</v>
      </c>
      <c r="AV144" s="274" t="s">
        <v>1</v>
      </c>
      <c r="AW144" s="272" t="s">
        <v>1</v>
      </c>
    </row>
    <row r="145" spans="1:49" ht="30.15" customHeight="1" x14ac:dyDescent="0.25">
      <c r="A145" s="260" t="s">
        <v>18</v>
      </c>
      <c r="B145" s="260" t="s">
        <v>1</v>
      </c>
      <c r="C145" s="260" t="s">
        <v>35</v>
      </c>
      <c r="D145" s="261" t="s">
        <v>3</v>
      </c>
      <c r="E145" s="261" t="s">
        <v>1274</v>
      </c>
      <c r="F145" s="262"/>
      <c r="G145" s="261" t="s">
        <v>1280</v>
      </c>
      <c r="H145" s="263" t="s">
        <v>414</v>
      </c>
      <c r="I145" s="264">
        <v>1462</v>
      </c>
      <c r="J145" s="264">
        <v>1491</v>
      </c>
      <c r="K145" s="264">
        <v>1491</v>
      </c>
      <c r="L145" s="265">
        <v>1579</v>
      </c>
      <c r="M145" s="264">
        <v>1579</v>
      </c>
      <c r="N145" s="266" t="s">
        <v>1</v>
      </c>
      <c r="O145" s="266" t="s">
        <v>1</v>
      </c>
      <c r="P145" s="266" t="s">
        <v>1</v>
      </c>
      <c r="Q145" s="266" t="s">
        <v>1</v>
      </c>
      <c r="R145" s="267" t="s">
        <v>1</v>
      </c>
      <c r="S145" s="268" t="s">
        <v>1</v>
      </c>
      <c r="T145" s="268" t="s">
        <v>1</v>
      </c>
      <c r="U145" s="268" t="s">
        <v>1</v>
      </c>
      <c r="V145" s="268" t="s">
        <v>1</v>
      </c>
      <c r="W145" s="267" t="s">
        <v>1</v>
      </c>
      <c r="X145" s="266" t="s">
        <v>1</v>
      </c>
      <c r="Y145" s="266" t="s">
        <v>1</v>
      </c>
      <c r="Z145" s="266" t="s">
        <v>1</v>
      </c>
      <c r="AA145" s="267" t="s">
        <v>1</v>
      </c>
      <c r="AB145" s="267" t="s">
        <v>1</v>
      </c>
      <c r="AC145" s="268" t="s">
        <v>1</v>
      </c>
      <c r="AD145" s="268" t="s">
        <v>1</v>
      </c>
      <c r="AE145" s="268" t="s">
        <v>1</v>
      </c>
      <c r="AF145" s="269" t="s">
        <v>1</v>
      </c>
      <c r="AG145" s="269" t="s">
        <v>1</v>
      </c>
      <c r="AH145" s="269" t="s">
        <v>1</v>
      </c>
      <c r="AI145" s="270" t="s">
        <v>1</v>
      </c>
      <c r="AJ145" s="270" t="s">
        <v>1</v>
      </c>
      <c r="AK145" s="270" t="s">
        <v>1</v>
      </c>
      <c r="AL145" s="269">
        <v>0</v>
      </c>
      <c r="AM145" s="271" t="s">
        <v>1</v>
      </c>
      <c r="AN145" s="272" t="s">
        <v>1</v>
      </c>
      <c r="AO145" s="272" t="s">
        <v>1256</v>
      </c>
      <c r="AP145" s="269" t="s">
        <v>1</v>
      </c>
      <c r="AQ145" s="269" t="s">
        <v>1</v>
      </c>
      <c r="AR145" s="273" t="s">
        <v>1</v>
      </c>
      <c r="AS145" s="273" t="s">
        <v>1</v>
      </c>
      <c r="AT145" s="272" t="s">
        <v>1</v>
      </c>
      <c r="AU145" s="272" t="s">
        <v>1</v>
      </c>
      <c r="AV145" s="274" t="s">
        <v>1</v>
      </c>
      <c r="AW145" s="272" t="s">
        <v>1</v>
      </c>
    </row>
    <row r="146" spans="1:49" ht="30.15" customHeight="1" x14ac:dyDescent="0.25">
      <c r="A146" s="260" t="s">
        <v>18</v>
      </c>
      <c r="B146" s="260" t="s">
        <v>1</v>
      </c>
      <c r="C146" s="260" t="s">
        <v>35</v>
      </c>
      <c r="D146" s="261" t="s">
        <v>3</v>
      </c>
      <c r="E146" s="261" t="s">
        <v>1275</v>
      </c>
      <c r="F146" s="262"/>
      <c r="G146" s="261" t="s">
        <v>1281</v>
      </c>
      <c r="H146" s="263" t="s">
        <v>414</v>
      </c>
      <c r="I146" s="264">
        <v>1925</v>
      </c>
      <c r="J146" s="264">
        <v>1964</v>
      </c>
      <c r="K146" s="264">
        <v>1964</v>
      </c>
      <c r="L146" s="265">
        <v>2079</v>
      </c>
      <c r="M146" s="264">
        <v>2079</v>
      </c>
      <c r="N146" s="266" t="s">
        <v>1</v>
      </c>
      <c r="O146" s="266" t="s">
        <v>1</v>
      </c>
      <c r="P146" s="266" t="s">
        <v>1</v>
      </c>
      <c r="Q146" s="266" t="s">
        <v>1</v>
      </c>
      <c r="R146" s="267" t="s">
        <v>1</v>
      </c>
      <c r="S146" s="268" t="s">
        <v>1</v>
      </c>
      <c r="T146" s="268" t="s">
        <v>1</v>
      </c>
      <c r="U146" s="268" t="s">
        <v>1</v>
      </c>
      <c r="V146" s="268" t="s">
        <v>1</v>
      </c>
      <c r="W146" s="267" t="s">
        <v>1</v>
      </c>
      <c r="X146" s="266" t="s">
        <v>1</v>
      </c>
      <c r="Y146" s="266" t="s">
        <v>1</v>
      </c>
      <c r="Z146" s="266" t="s">
        <v>1</v>
      </c>
      <c r="AA146" s="267" t="s">
        <v>1</v>
      </c>
      <c r="AB146" s="267" t="s">
        <v>1</v>
      </c>
      <c r="AC146" s="268" t="s">
        <v>1</v>
      </c>
      <c r="AD146" s="268" t="s">
        <v>1</v>
      </c>
      <c r="AE146" s="268" t="s">
        <v>1</v>
      </c>
      <c r="AF146" s="269" t="s">
        <v>1</v>
      </c>
      <c r="AG146" s="269" t="s">
        <v>1</v>
      </c>
      <c r="AH146" s="269" t="s">
        <v>1</v>
      </c>
      <c r="AI146" s="270" t="s">
        <v>1</v>
      </c>
      <c r="AJ146" s="270" t="s">
        <v>1</v>
      </c>
      <c r="AK146" s="270" t="s">
        <v>1</v>
      </c>
      <c r="AL146" s="269">
        <v>0</v>
      </c>
      <c r="AM146" s="271" t="s">
        <v>1</v>
      </c>
      <c r="AN146" s="272" t="s">
        <v>1</v>
      </c>
      <c r="AO146" s="272" t="s">
        <v>1258</v>
      </c>
      <c r="AP146" s="269" t="s">
        <v>1</v>
      </c>
      <c r="AQ146" s="269" t="s">
        <v>1</v>
      </c>
      <c r="AR146" s="273" t="s">
        <v>1</v>
      </c>
      <c r="AS146" s="273" t="s">
        <v>1</v>
      </c>
      <c r="AT146" s="272" t="s">
        <v>1</v>
      </c>
      <c r="AU146" s="272" t="s">
        <v>1</v>
      </c>
      <c r="AV146" s="274" t="s">
        <v>1</v>
      </c>
      <c r="AW146" s="272" t="s">
        <v>1</v>
      </c>
    </row>
    <row r="147" spans="1:49" ht="30.15" customHeight="1" x14ac:dyDescent="0.25">
      <c r="A147" s="260" t="s">
        <v>18</v>
      </c>
      <c r="B147" s="260" t="s">
        <v>1</v>
      </c>
      <c r="C147" s="260" t="s">
        <v>35</v>
      </c>
      <c r="D147" s="261" t="s">
        <v>3</v>
      </c>
      <c r="E147" s="261" t="s">
        <v>1276</v>
      </c>
      <c r="F147" s="262"/>
      <c r="G147" s="261" t="s">
        <v>1281</v>
      </c>
      <c r="H147" s="263" t="s">
        <v>414</v>
      </c>
      <c r="I147" s="264">
        <v>1925</v>
      </c>
      <c r="J147" s="264">
        <v>1964</v>
      </c>
      <c r="K147" s="264">
        <v>1964</v>
      </c>
      <c r="L147" s="265">
        <v>2079</v>
      </c>
      <c r="M147" s="264">
        <v>2079</v>
      </c>
      <c r="N147" s="266" t="s">
        <v>1</v>
      </c>
      <c r="O147" s="266" t="s">
        <v>1</v>
      </c>
      <c r="P147" s="266" t="s">
        <v>1</v>
      </c>
      <c r="Q147" s="266" t="s">
        <v>1</v>
      </c>
      <c r="R147" s="267" t="s">
        <v>1</v>
      </c>
      <c r="S147" s="268" t="s">
        <v>1</v>
      </c>
      <c r="T147" s="268" t="s">
        <v>1</v>
      </c>
      <c r="U147" s="268" t="s">
        <v>1</v>
      </c>
      <c r="V147" s="268" t="s">
        <v>1</v>
      </c>
      <c r="W147" s="267" t="s">
        <v>1</v>
      </c>
      <c r="X147" s="266" t="s">
        <v>1</v>
      </c>
      <c r="Y147" s="266" t="s">
        <v>1</v>
      </c>
      <c r="Z147" s="266" t="s">
        <v>1</v>
      </c>
      <c r="AA147" s="267" t="s">
        <v>1</v>
      </c>
      <c r="AB147" s="267" t="s">
        <v>1</v>
      </c>
      <c r="AC147" s="268" t="s">
        <v>1</v>
      </c>
      <c r="AD147" s="268" t="s">
        <v>1</v>
      </c>
      <c r="AE147" s="268" t="s">
        <v>1</v>
      </c>
      <c r="AF147" s="269" t="s">
        <v>1</v>
      </c>
      <c r="AG147" s="269" t="s">
        <v>1</v>
      </c>
      <c r="AH147" s="269" t="s">
        <v>1</v>
      </c>
      <c r="AI147" s="270" t="s">
        <v>1</v>
      </c>
      <c r="AJ147" s="270" t="s">
        <v>1</v>
      </c>
      <c r="AK147" s="270" t="s">
        <v>1</v>
      </c>
      <c r="AL147" s="269">
        <v>0</v>
      </c>
      <c r="AM147" s="271" t="s">
        <v>1</v>
      </c>
      <c r="AN147" s="272" t="s">
        <v>1</v>
      </c>
      <c r="AO147" s="272" t="s">
        <v>1258</v>
      </c>
      <c r="AP147" s="269" t="s">
        <v>1</v>
      </c>
      <c r="AQ147" s="269" t="s">
        <v>1</v>
      </c>
      <c r="AR147" s="273" t="s">
        <v>1</v>
      </c>
      <c r="AS147" s="273" t="s">
        <v>1</v>
      </c>
      <c r="AT147" s="272" t="s">
        <v>1</v>
      </c>
      <c r="AU147" s="272" t="s">
        <v>1</v>
      </c>
      <c r="AV147" s="274" t="s">
        <v>1</v>
      </c>
      <c r="AW147" s="272" t="s">
        <v>1</v>
      </c>
    </row>
    <row r="148" spans="1:49" ht="30.15" customHeight="1" x14ac:dyDescent="0.25">
      <c r="A148" s="260" t="s">
        <v>18</v>
      </c>
      <c r="B148" s="260" t="s">
        <v>1</v>
      </c>
      <c r="C148" s="260" t="s">
        <v>35</v>
      </c>
      <c r="D148" s="261" t="s">
        <v>3</v>
      </c>
      <c r="E148" s="261" t="s">
        <v>1277</v>
      </c>
      <c r="F148" s="262"/>
      <c r="G148" s="261" t="s">
        <v>1282</v>
      </c>
      <c r="H148" s="263" t="s">
        <v>414</v>
      </c>
      <c r="I148" s="264">
        <v>2388</v>
      </c>
      <c r="J148" s="264">
        <v>2436</v>
      </c>
      <c r="K148" s="264">
        <v>2436</v>
      </c>
      <c r="L148" s="265">
        <v>2580</v>
      </c>
      <c r="M148" s="264">
        <v>2580</v>
      </c>
      <c r="N148" s="266" t="s">
        <v>1</v>
      </c>
      <c r="O148" s="266" t="s">
        <v>1</v>
      </c>
      <c r="P148" s="266" t="s">
        <v>1</v>
      </c>
      <c r="Q148" s="266" t="s">
        <v>1</v>
      </c>
      <c r="R148" s="267" t="s">
        <v>1</v>
      </c>
      <c r="S148" s="268" t="s">
        <v>1</v>
      </c>
      <c r="T148" s="268" t="s">
        <v>1</v>
      </c>
      <c r="U148" s="268" t="s">
        <v>1</v>
      </c>
      <c r="V148" s="268" t="s">
        <v>1</v>
      </c>
      <c r="W148" s="267" t="s">
        <v>1</v>
      </c>
      <c r="X148" s="266" t="s">
        <v>1</v>
      </c>
      <c r="Y148" s="266" t="s">
        <v>1</v>
      </c>
      <c r="Z148" s="266" t="s">
        <v>1</v>
      </c>
      <c r="AA148" s="267" t="s">
        <v>1</v>
      </c>
      <c r="AB148" s="267" t="s">
        <v>1</v>
      </c>
      <c r="AC148" s="268" t="s">
        <v>1</v>
      </c>
      <c r="AD148" s="268" t="s">
        <v>1</v>
      </c>
      <c r="AE148" s="268" t="s">
        <v>1</v>
      </c>
      <c r="AF148" s="269" t="s">
        <v>1</v>
      </c>
      <c r="AG148" s="269" t="s">
        <v>1</v>
      </c>
      <c r="AH148" s="269" t="s">
        <v>1</v>
      </c>
      <c r="AI148" s="270" t="s">
        <v>1</v>
      </c>
      <c r="AJ148" s="270" t="s">
        <v>1</v>
      </c>
      <c r="AK148" s="270" t="s">
        <v>1</v>
      </c>
      <c r="AL148" s="269">
        <v>0</v>
      </c>
      <c r="AM148" s="271" t="s">
        <v>1</v>
      </c>
      <c r="AN148" s="272" t="s">
        <v>1</v>
      </c>
      <c r="AO148" s="272" t="s">
        <v>1260</v>
      </c>
      <c r="AP148" s="269" t="s">
        <v>1</v>
      </c>
      <c r="AQ148" s="269" t="s">
        <v>1</v>
      </c>
      <c r="AR148" s="273" t="s">
        <v>1</v>
      </c>
      <c r="AS148" s="273" t="s">
        <v>1</v>
      </c>
      <c r="AT148" s="272" t="s">
        <v>1</v>
      </c>
      <c r="AU148" s="272" t="s">
        <v>1</v>
      </c>
      <c r="AV148" s="274" t="s">
        <v>1</v>
      </c>
      <c r="AW148" s="272" t="s">
        <v>1</v>
      </c>
    </row>
    <row r="149" spans="1:49" ht="30.15" customHeight="1" x14ac:dyDescent="0.25">
      <c r="A149" s="260" t="s">
        <v>18</v>
      </c>
      <c r="B149" s="260" t="s">
        <v>1</v>
      </c>
      <c r="C149" s="260" t="s">
        <v>35</v>
      </c>
      <c r="D149" s="261" t="s">
        <v>3</v>
      </c>
      <c r="E149" s="261" t="s">
        <v>1278</v>
      </c>
      <c r="F149" s="262"/>
      <c r="G149" s="261" t="s">
        <v>1282</v>
      </c>
      <c r="H149" s="263" t="s">
        <v>414</v>
      </c>
      <c r="I149" s="264">
        <v>2388</v>
      </c>
      <c r="J149" s="264">
        <v>2436</v>
      </c>
      <c r="K149" s="264">
        <v>2436</v>
      </c>
      <c r="L149" s="265">
        <v>2580</v>
      </c>
      <c r="M149" s="264">
        <v>2580</v>
      </c>
      <c r="N149" s="266" t="s">
        <v>1</v>
      </c>
      <c r="O149" s="266" t="s">
        <v>1</v>
      </c>
      <c r="P149" s="266" t="s">
        <v>1</v>
      </c>
      <c r="Q149" s="266" t="s">
        <v>1</v>
      </c>
      <c r="R149" s="267" t="s">
        <v>1</v>
      </c>
      <c r="S149" s="268" t="s">
        <v>1</v>
      </c>
      <c r="T149" s="268" t="s">
        <v>1</v>
      </c>
      <c r="U149" s="268" t="s">
        <v>1</v>
      </c>
      <c r="V149" s="268" t="s">
        <v>1</v>
      </c>
      <c r="W149" s="267" t="s">
        <v>1</v>
      </c>
      <c r="X149" s="266" t="s">
        <v>1</v>
      </c>
      <c r="Y149" s="266" t="s">
        <v>1</v>
      </c>
      <c r="Z149" s="266" t="s">
        <v>1</v>
      </c>
      <c r="AA149" s="267" t="s">
        <v>1</v>
      </c>
      <c r="AB149" s="267" t="s">
        <v>1</v>
      </c>
      <c r="AC149" s="268" t="s">
        <v>1</v>
      </c>
      <c r="AD149" s="268" t="s">
        <v>1</v>
      </c>
      <c r="AE149" s="268" t="s">
        <v>1</v>
      </c>
      <c r="AF149" s="269" t="s">
        <v>1</v>
      </c>
      <c r="AG149" s="269" t="s">
        <v>1</v>
      </c>
      <c r="AH149" s="269" t="s">
        <v>1</v>
      </c>
      <c r="AI149" s="270" t="s">
        <v>1</v>
      </c>
      <c r="AJ149" s="270" t="s">
        <v>1</v>
      </c>
      <c r="AK149" s="270" t="s">
        <v>1</v>
      </c>
      <c r="AL149" s="269">
        <v>0</v>
      </c>
      <c r="AM149" s="271" t="s">
        <v>1</v>
      </c>
      <c r="AN149" s="272" t="s">
        <v>1</v>
      </c>
      <c r="AO149" s="272" t="s">
        <v>1260</v>
      </c>
      <c r="AP149" s="269" t="s">
        <v>1</v>
      </c>
      <c r="AQ149" s="269" t="s">
        <v>1</v>
      </c>
      <c r="AR149" s="273" t="s">
        <v>1</v>
      </c>
      <c r="AS149" s="273" t="s">
        <v>1</v>
      </c>
      <c r="AT149" s="272" t="s">
        <v>1</v>
      </c>
      <c r="AU149" s="272" t="s">
        <v>1</v>
      </c>
      <c r="AV149" s="274" t="s">
        <v>1</v>
      </c>
      <c r="AW149" s="272" t="s">
        <v>1</v>
      </c>
    </row>
    <row r="150" spans="1:49" ht="30.15" customHeight="1" x14ac:dyDescent="0.25">
      <c r="A150" s="188" t="s">
        <v>18</v>
      </c>
      <c r="B150" s="188" t="s">
        <v>1</v>
      </c>
      <c r="C150" s="188" t="s">
        <v>35</v>
      </c>
      <c r="D150" s="190" t="s">
        <v>3</v>
      </c>
      <c r="E150" s="190" t="s">
        <v>859</v>
      </c>
      <c r="F150" s="203"/>
      <c r="G150" s="190" t="s">
        <v>535</v>
      </c>
      <c r="H150" s="192" t="s">
        <v>409</v>
      </c>
      <c r="I150" s="194">
        <v>1277</v>
      </c>
      <c r="J150" s="194">
        <v>1311</v>
      </c>
      <c r="K150" s="194">
        <v>1311</v>
      </c>
      <c r="L150" s="193">
        <v>1380</v>
      </c>
      <c r="M150" s="194">
        <v>1380</v>
      </c>
      <c r="N150" s="195" t="s">
        <v>1</v>
      </c>
      <c r="O150" s="195" t="s">
        <v>1</v>
      </c>
      <c r="P150" s="195" t="s">
        <v>1</v>
      </c>
      <c r="Q150" s="195" t="s">
        <v>1</v>
      </c>
      <c r="R150" s="196" t="s">
        <v>1</v>
      </c>
      <c r="S150" s="197" t="s">
        <v>1</v>
      </c>
      <c r="T150" s="197" t="s">
        <v>1</v>
      </c>
      <c r="U150" s="197" t="s">
        <v>1</v>
      </c>
      <c r="V150" s="197" t="s">
        <v>1</v>
      </c>
      <c r="W150" s="196" t="s">
        <v>1</v>
      </c>
      <c r="X150" s="195" t="s">
        <v>1</v>
      </c>
      <c r="Y150" s="195" t="s">
        <v>1</v>
      </c>
      <c r="Z150" s="195" t="s">
        <v>1</v>
      </c>
      <c r="AA150" s="196" t="s">
        <v>1</v>
      </c>
      <c r="AB150" s="196" t="s">
        <v>1</v>
      </c>
      <c r="AC150" s="197" t="s">
        <v>1</v>
      </c>
      <c r="AD150" s="197" t="s">
        <v>1</v>
      </c>
      <c r="AE150" s="197" t="s">
        <v>1</v>
      </c>
      <c r="AF150" s="198" t="s">
        <v>1</v>
      </c>
      <c r="AG150" s="198" t="s">
        <v>1</v>
      </c>
      <c r="AH150" s="198" t="s">
        <v>1</v>
      </c>
      <c r="AI150" s="209" t="s">
        <v>1</v>
      </c>
      <c r="AJ150" s="209" t="s">
        <v>1</v>
      </c>
      <c r="AK150" s="209" t="s">
        <v>1</v>
      </c>
      <c r="AL150" s="198">
        <v>0</v>
      </c>
      <c r="AM150" s="200" t="s">
        <v>1</v>
      </c>
      <c r="AN150" s="199" t="s">
        <v>1</v>
      </c>
      <c r="AO150" s="199" t="s">
        <v>1255</v>
      </c>
      <c r="AP150" s="198" t="s">
        <v>1</v>
      </c>
      <c r="AQ150" s="198" t="s">
        <v>1</v>
      </c>
      <c r="AR150" s="201" t="s">
        <v>1</v>
      </c>
      <c r="AS150" s="201" t="s">
        <v>1</v>
      </c>
      <c r="AT150" s="199" t="s">
        <v>1</v>
      </c>
      <c r="AU150" s="199" t="s">
        <v>1</v>
      </c>
      <c r="AV150" s="202" t="s">
        <v>1</v>
      </c>
      <c r="AW150" s="199" t="s">
        <v>1</v>
      </c>
    </row>
    <row r="151" spans="1:49" ht="30.15" customHeight="1" x14ac:dyDescent="0.25">
      <c r="A151" s="188" t="s">
        <v>18</v>
      </c>
      <c r="B151" s="188" t="s">
        <v>1</v>
      </c>
      <c r="C151" s="188" t="s">
        <v>35</v>
      </c>
      <c r="D151" s="190" t="s">
        <v>3</v>
      </c>
      <c r="E151" s="190" t="s">
        <v>860</v>
      </c>
      <c r="F151" s="203"/>
      <c r="G151" s="190" t="s">
        <v>535</v>
      </c>
      <c r="H151" s="192" t="s">
        <v>414</v>
      </c>
      <c r="I151" s="194">
        <v>1277</v>
      </c>
      <c r="J151" s="194">
        <v>1311</v>
      </c>
      <c r="K151" s="194">
        <v>1311</v>
      </c>
      <c r="L151" s="193">
        <v>1380</v>
      </c>
      <c r="M151" s="194">
        <v>1380</v>
      </c>
      <c r="N151" s="195" t="s">
        <v>1</v>
      </c>
      <c r="O151" s="195" t="s">
        <v>1</v>
      </c>
      <c r="P151" s="195" t="s">
        <v>1</v>
      </c>
      <c r="Q151" s="195" t="s">
        <v>1</v>
      </c>
      <c r="R151" s="196" t="s">
        <v>1</v>
      </c>
      <c r="S151" s="197" t="s">
        <v>1</v>
      </c>
      <c r="T151" s="197" t="s">
        <v>1</v>
      </c>
      <c r="U151" s="197" t="s">
        <v>1</v>
      </c>
      <c r="V151" s="197" t="s">
        <v>1</v>
      </c>
      <c r="W151" s="196" t="s">
        <v>1</v>
      </c>
      <c r="X151" s="195" t="s">
        <v>1</v>
      </c>
      <c r="Y151" s="195" t="s">
        <v>1</v>
      </c>
      <c r="Z151" s="195" t="s">
        <v>1</v>
      </c>
      <c r="AA151" s="196" t="s">
        <v>1</v>
      </c>
      <c r="AB151" s="196" t="s">
        <v>1</v>
      </c>
      <c r="AC151" s="197" t="s">
        <v>1</v>
      </c>
      <c r="AD151" s="197" t="s">
        <v>1</v>
      </c>
      <c r="AE151" s="197" t="s">
        <v>1</v>
      </c>
      <c r="AF151" s="198" t="s">
        <v>1</v>
      </c>
      <c r="AG151" s="198" t="s">
        <v>1</v>
      </c>
      <c r="AH151" s="198" t="s">
        <v>1</v>
      </c>
      <c r="AI151" s="209" t="s">
        <v>1</v>
      </c>
      <c r="AJ151" s="209" t="s">
        <v>1</v>
      </c>
      <c r="AK151" s="209" t="s">
        <v>1</v>
      </c>
      <c r="AL151" s="198">
        <v>0</v>
      </c>
      <c r="AM151" s="200" t="s">
        <v>1</v>
      </c>
      <c r="AN151" s="199" t="s">
        <v>1</v>
      </c>
      <c r="AO151" s="199" t="s">
        <v>1255</v>
      </c>
      <c r="AP151" s="198" t="s">
        <v>1</v>
      </c>
      <c r="AQ151" s="198" t="s">
        <v>1</v>
      </c>
      <c r="AR151" s="201" t="s">
        <v>1</v>
      </c>
      <c r="AS151" s="201" t="s">
        <v>1</v>
      </c>
      <c r="AT151" s="199" t="s">
        <v>1</v>
      </c>
      <c r="AU151" s="199" t="s">
        <v>1</v>
      </c>
      <c r="AV151" s="202" t="s">
        <v>1</v>
      </c>
      <c r="AW151" s="199" t="s">
        <v>1</v>
      </c>
    </row>
    <row r="152" spans="1:49" ht="30.15" customHeight="1" x14ac:dyDescent="0.25">
      <c r="A152" s="188" t="s">
        <v>18</v>
      </c>
      <c r="B152" s="188" t="s">
        <v>1</v>
      </c>
      <c r="C152" s="188" t="s">
        <v>35</v>
      </c>
      <c r="D152" s="190" t="s">
        <v>3</v>
      </c>
      <c r="E152" s="190" t="s">
        <v>534</v>
      </c>
      <c r="F152" s="203"/>
      <c r="G152" s="190" t="s">
        <v>535</v>
      </c>
      <c r="H152" s="192" t="s">
        <v>907</v>
      </c>
      <c r="I152" s="194">
        <v>1295</v>
      </c>
      <c r="J152" s="194">
        <v>1295</v>
      </c>
      <c r="K152" s="194">
        <v>1295</v>
      </c>
      <c r="L152" s="193">
        <v>1399</v>
      </c>
      <c r="M152" s="194">
        <v>1399</v>
      </c>
      <c r="N152" s="195" t="s">
        <v>1</v>
      </c>
      <c r="O152" s="195" t="s">
        <v>1</v>
      </c>
      <c r="P152" s="195" t="s">
        <v>1</v>
      </c>
      <c r="Q152" s="195" t="s">
        <v>1</v>
      </c>
      <c r="R152" s="196" t="s">
        <v>1</v>
      </c>
      <c r="S152" s="197" t="s">
        <v>1</v>
      </c>
      <c r="T152" s="197" t="s">
        <v>1</v>
      </c>
      <c r="U152" s="197" t="s">
        <v>1</v>
      </c>
      <c r="V152" s="197" t="s">
        <v>1</v>
      </c>
      <c r="W152" s="196" t="s">
        <v>1</v>
      </c>
      <c r="X152" s="195" t="s">
        <v>1</v>
      </c>
      <c r="Y152" s="195" t="s">
        <v>1</v>
      </c>
      <c r="Z152" s="195" t="s">
        <v>1</v>
      </c>
      <c r="AA152" s="196" t="s">
        <v>1</v>
      </c>
      <c r="AB152" s="196" t="s">
        <v>1</v>
      </c>
      <c r="AC152" s="197" t="s">
        <v>1</v>
      </c>
      <c r="AD152" s="197" t="s">
        <v>1</v>
      </c>
      <c r="AE152" s="197" t="s">
        <v>1</v>
      </c>
      <c r="AF152" s="198" t="s">
        <v>1</v>
      </c>
      <c r="AG152" s="198" t="s">
        <v>1</v>
      </c>
      <c r="AH152" s="198" t="s">
        <v>1</v>
      </c>
      <c r="AI152" s="209" t="s">
        <v>1</v>
      </c>
      <c r="AJ152" s="209" t="s">
        <v>1</v>
      </c>
      <c r="AK152" s="209" t="s">
        <v>1</v>
      </c>
      <c r="AL152" s="198">
        <v>0</v>
      </c>
      <c r="AM152" s="200" t="s">
        <v>1</v>
      </c>
      <c r="AN152" s="199" t="s">
        <v>1</v>
      </c>
      <c r="AO152" s="199" t="s">
        <v>1255</v>
      </c>
      <c r="AP152" s="198" t="s">
        <v>1</v>
      </c>
      <c r="AQ152" s="198" t="s">
        <v>1</v>
      </c>
      <c r="AR152" s="201" t="s">
        <v>1</v>
      </c>
      <c r="AS152" s="201" t="s">
        <v>1</v>
      </c>
      <c r="AT152" s="199" t="s">
        <v>1</v>
      </c>
      <c r="AU152" s="199" t="s">
        <v>1</v>
      </c>
      <c r="AV152" s="202" t="s">
        <v>1</v>
      </c>
      <c r="AW152" s="199" t="s">
        <v>1</v>
      </c>
    </row>
    <row r="153" spans="1:49" ht="30.15" customHeight="1" x14ac:dyDescent="0.25">
      <c r="A153" s="188" t="s">
        <v>18</v>
      </c>
      <c r="B153" s="188" t="s">
        <v>1</v>
      </c>
      <c r="C153" s="188" t="s">
        <v>35</v>
      </c>
      <c r="D153" s="190" t="s">
        <v>3</v>
      </c>
      <c r="E153" s="190" t="s">
        <v>908</v>
      </c>
      <c r="F153" s="203"/>
      <c r="G153" s="190" t="s">
        <v>535</v>
      </c>
      <c r="H153" s="192" t="s">
        <v>414</v>
      </c>
      <c r="I153" s="194">
        <v>1199</v>
      </c>
      <c r="J153" s="194">
        <v>1311</v>
      </c>
      <c r="K153" s="194">
        <v>1311</v>
      </c>
      <c r="L153" s="193">
        <v>1399.99</v>
      </c>
      <c r="M153" s="194">
        <v>1399.99</v>
      </c>
      <c r="N153" s="195" t="s">
        <v>1</v>
      </c>
      <c r="O153" s="195" t="s">
        <v>1</v>
      </c>
      <c r="P153" s="195" t="s">
        <v>1</v>
      </c>
      <c r="Q153" s="195" t="s">
        <v>1</v>
      </c>
      <c r="R153" s="196" t="s">
        <v>1</v>
      </c>
      <c r="S153" s="197" t="s">
        <v>1</v>
      </c>
      <c r="T153" s="197" t="s">
        <v>1</v>
      </c>
      <c r="U153" s="197" t="s">
        <v>1</v>
      </c>
      <c r="V153" s="197" t="s">
        <v>1</v>
      </c>
      <c r="W153" s="196" t="s">
        <v>1</v>
      </c>
      <c r="X153" s="195" t="s">
        <v>1</v>
      </c>
      <c r="Y153" s="195" t="s">
        <v>1</v>
      </c>
      <c r="Z153" s="195" t="s">
        <v>1</v>
      </c>
      <c r="AA153" s="196" t="s">
        <v>1</v>
      </c>
      <c r="AB153" s="196" t="s">
        <v>1</v>
      </c>
      <c r="AC153" s="197" t="s">
        <v>1</v>
      </c>
      <c r="AD153" s="197" t="s">
        <v>1</v>
      </c>
      <c r="AE153" s="197" t="s">
        <v>1</v>
      </c>
      <c r="AF153" s="198" t="s">
        <v>1</v>
      </c>
      <c r="AG153" s="198" t="s">
        <v>1</v>
      </c>
      <c r="AH153" s="198" t="s">
        <v>1</v>
      </c>
      <c r="AI153" s="209" t="s">
        <v>1</v>
      </c>
      <c r="AJ153" s="209" t="s">
        <v>1</v>
      </c>
      <c r="AK153" s="209" t="s">
        <v>1</v>
      </c>
      <c r="AL153" s="198">
        <v>0</v>
      </c>
      <c r="AM153" s="200" t="s">
        <v>1</v>
      </c>
      <c r="AN153" s="199" t="s">
        <v>1</v>
      </c>
      <c r="AO153" s="199" t="s">
        <v>1255</v>
      </c>
      <c r="AP153" s="198" t="s">
        <v>1</v>
      </c>
      <c r="AQ153" s="198" t="s">
        <v>1</v>
      </c>
      <c r="AR153" s="201" t="s">
        <v>1</v>
      </c>
      <c r="AS153" s="201" t="s">
        <v>1</v>
      </c>
      <c r="AT153" s="199" t="s">
        <v>1</v>
      </c>
      <c r="AU153" s="199" t="s">
        <v>1</v>
      </c>
      <c r="AV153" s="202" t="s">
        <v>1</v>
      </c>
      <c r="AW153" s="199" t="s">
        <v>1</v>
      </c>
    </row>
    <row r="154" spans="1:49" ht="30.15" customHeight="1" x14ac:dyDescent="0.25">
      <c r="A154" s="188" t="s">
        <v>18</v>
      </c>
      <c r="B154" s="188" t="s">
        <v>1</v>
      </c>
      <c r="C154" s="188" t="s">
        <v>35</v>
      </c>
      <c r="D154" s="190" t="s">
        <v>3</v>
      </c>
      <c r="E154" s="190" t="s">
        <v>1264</v>
      </c>
      <c r="F154" s="203"/>
      <c r="G154" s="190" t="s">
        <v>1265</v>
      </c>
      <c r="H154" s="192" t="s">
        <v>409</v>
      </c>
      <c r="I154" s="194">
        <v>1231</v>
      </c>
      <c r="J154" s="194">
        <v>1256</v>
      </c>
      <c r="K154" s="194">
        <v>1256</v>
      </c>
      <c r="L154" s="193">
        <v>1330</v>
      </c>
      <c r="M154" s="194">
        <v>1330</v>
      </c>
      <c r="N154" s="210" t="s">
        <v>1</v>
      </c>
      <c r="O154" s="210" t="s">
        <v>1</v>
      </c>
      <c r="P154" s="210" t="s">
        <v>1</v>
      </c>
      <c r="Q154" s="210" t="s">
        <v>1</v>
      </c>
      <c r="R154" s="196" t="s">
        <v>1</v>
      </c>
      <c r="S154" s="211" t="s">
        <v>1</v>
      </c>
      <c r="T154" s="211" t="s">
        <v>1</v>
      </c>
      <c r="U154" s="211" t="s">
        <v>1</v>
      </c>
      <c r="V154" s="211" t="s">
        <v>1</v>
      </c>
      <c r="W154" s="196" t="s">
        <v>1</v>
      </c>
      <c r="X154" s="210" t="s">
        <v>1</v>
      </c>
      <c r="Y154" s="210" t="s">
        <v>1</v>
      </c>
      <c r="Z154" s="210" t="s">
        <v>1</v>
      </c>
      <c r="AA154" s="196" t="s">
        <v>1</v>
      </c>
      <c r="AB154" s="196" t="s">
        <v>1</v>
      </c>
      <c r="AC154" s="211" t="s">
        <v>1</v>
      </c>
      <c r="AD154" s="211" t="s">
        <v>1</v>
      </c>
      <c r="AE154" s="211" t="s">
        <v>1</v>
      </c>
      <c r="AF154" s="198" t="s">
        <v>1</v>
      </c>
      <c r="AG154" s="198" t="s">
        <v>1</v>
      </c>
      <c r="AH154" s="198" t="s">
        <v>1</v>
      </c>
      <c r="AI154" s="209" t="s">
        <v>1</v>
      </c>
      <c r="AJ154" s="209" t="s">
        <v>1</v>
      </c>
      <c r="AK154" s="209" t="s">
        <v>1</v>
      </c>
      <c r="AL154" s="198">
        <v>0</v>
      </c>
      <c r="AM154" s="200" t="s">
        <v>1</v>
      </c>
      <c r="AN154" s="199" t="s">
        <v>1</v>
      </c>
      <c r="AO154" s="199" t="s">
        <v>1255</v>
      </c>
      <c r="AP154" s="198" t="s">
        <v>1</v>
      </c>
      <c r="AQ154" s="198" t="s">
        <v>1</v>
      </c>
      <c r="AR154" s="201" t="s">
        <v>1</v>
      </c>
      <c r="AS154" s="201" t="s">
        <v>1</v>
      </c>
      <c r="AT154" s="199" t="s">
        <v>1</v>
      </c>
      <c r="AU154" s="199" t="s">
        <v>1</v>
      </c>
      <c r="AV154" s="202" t="s">
        <v>1</v>
      </c>
      <c r="AW154" s="199" t="s">
        <v>1</v>
      </c>
    </row>
    <row r="155" spans="1:49" ht="30.15" customHeight="1" x14ac:dyDescent="0.25">
      <c r="A155" s="188" t="s">
        <v>18</v>
      </c>
      <c r="B155" s="188" t="s">
        <v>1</v>
      </c>
      <c r="C155" s="188" t="s">
        <v>35</v>
      </c>
      <c r="D155" s="190" t="s">
        <v>3</v>
      </c>
      <c r="E155" s="190" t="s">
        <v>861</v>
      </c>
      <c r="F155" s="203"/>
      <c r="G155" s="190" t="s">
        <v>874</v>
      </c>
      <c r="H155" s="192" t="s">
        <v>414</v>
      </c>
      <c r="I155" s="194">
        <v>1518</v>
      </c>
      <c r="J155" s="194">
        <v>1558</v>
      </c>
      <c r="K155" s="194">
        <v>1558</v>
      </c>
      <c r="L155" s="193">
        <v>1640</v>
      </c>
      <c r="M155" s="194">
        <v>1640</v>
      </c>
      <c r="N155" s="195" t="s">
        <v>1</v>
      </c>
      <c r="O155" s="195" t="s">
        <v>1</v>
      </c>
      <c r="P155" s="195" t="s">
        <v>1</v>
      </c>
      <c r="Q155" s="195" t="s">
        <v>1</v>
      </c>
      <c r="R155" s="196" t="s">
        <v>1</v>
      </c>
      <c r="S155" s="197" t="s">
        <v>1</v>
      </c>
      <c r="T155" s="197" t="s">
        <v>1</v>
      </c>
      <c r="U155" s="197" t="s">
        <v>1</v>
      </c>
      <c r="V155" s="197" t="s">
        <v>1</v>
      </c>
      <c r="W155" s="196" t="s">
        <v>1</v>
      </c>
      <c r="X155" s="195" t="s">
        <v>1</v>
      </c>
      <c r="Y155" s="195" t="s">
        <v>1</v>
      </c>
      <c r="Z155" s="195" t="s">
        <v>1</v>
      </c>
      <c r="AA155" s="196" t="s">
        <v>1</v>
      </c>
      <c r="AB155" s="196" t="s">
        <v>1</v>
      </c>
      <c r="AC155" s="197" t="s">
        <v>1</v>
      </c>
      <c r="AD155" s="197" t="s">
        <v>1</v>
      </c>
      <c r="AE155" s="197" t="s">
        <v>1</v>
      </c>
      <c r="AF155" s="198" t="s">
        <v>1</v>
      </c>
      <c r="AG155" s="198" t="s">
        <v>1</v>
      </c>
      <c r="AH155" s="198" t="s">
        <v>1</v>
      </c>
      <c r="AI155" s="209" t="s">
        <v>1</v>
      </c>
      <c r="AJ155" s="209" t="s">
        <v>1</v>
      </c>
      <c r="AK155" s="209" t="s">
        <v>1</v>
      </c>
      <c r="AL155" s="198">
        <v>0</v>
      </c>
      <c r="AM155" s="200" t="s">
        <v>1</v>
      </c>
      <c r="AN155" s="199" t="s">
        <v>1</v>
      </c>
      <c r="AO155" s="199" t="s">
        <v>1256</v>
      </c>
      <c r="AP155" s="198" t="s">
        <v>1</v>
      </c>
      <c r="AQ155" s="198" t="s">
        <v>1</v>
      </c>
      <c r="AR155" s="201" t="s">
        <v>1</v>
      </c>
      <c r="AS155" s="201" t="s">
        <v>1</v>
      </c>
      <c r="AT155" s="199" t="s">
        <v>1</v>
      </c>
      <c r="AU155" s="199" t="s">
        <v>1</v>
      </c>
      <c r="AV155" s="202" t="s">
        <v>1</v>
      </c>
      <c r="AW155" s="199" t="s">
        <v>1</v>
      </c>
    </row>
    <row r="156" spans="1:49" ht="30.15" customHeight="1" x14ac:dyDescent="0.25">
      <c r="A156" s="188" t="s">
        <v>18</v>
      </c>
      <c r="B156" s="188" t="s">
        <v>1</v>
      </c>
      <c r="C156" s="188" t="s">
        <v>35</v>
      </c>
      <c r="D156" s="190" t="s">
        <v>3</v>
      </c>
      <c r="E156" s="190" t="s">
        <v>862</v>
      </c>
      <c r="F156" s="203"/>
      <c r="G156" s="190" t="s">
        <v>874</v>
      </c>
      <c r="H156" s="192" t="s">
        <v>414</v>
      </c>
      <c r="I156" s="194">
        <v>1518</v>
      </c>
      <c r="J156" s="194">
        <v>1558</v>
      </c>
      <c r="K156" s="194">
        <v>1558</v>
      </c>
      <c r="L156" s="193">
        <v>1640</v>
      </c>
      <c r="M156" s="194">
        <v>1640</v>
      </c>
      <c r="N156" s="195" t="s">
        <v>1</v>
      </c>
      <c r="O156" s="195" t="s">
        <v>1</v>
      </c>
      <c r="P156" s="195" t="s">
        <v>1</v>
      </c>
      <c r="Q156" s="195" t="s">
        <v>1</v>
      </c>
      <c r="R156" s="196" t="s">
        <v>1</v>
      </c>
      <c r="S156" s="197" t="s">
        <v>1</v>
      </c>
      <c r="T156" s="197" t="s">
        <v>1</v>
      </c>
      <c r="U156" s="197" t="s">
        <v>1</v>
      </c>
      <c r="V156" s="197" t="s">
        <v>1</v>
      </c>
      <c r="W156" s="196" t="s">
        <v>1</v>
      </c>
      <c r="X156" s="195" t="s">
        <v>1</v>
      </c>
      <c r="Y156" s="195" t="s">
        <v>1</v>
      </c>
      <c r="Z156" s="195" t="s">
        <v>1</v>
      </c>
      <c r="AA156" s="196" t="s">
        <v>1</v>
      </c>
      <c r="AB156" s="196" t="s">
        <v>1</v>
      </c>
      <c r="AC156" s="197" t="s">
        <v>1</v>
      </c>
      <c r="AD156" s="197" t="s">
        <v>1</v>
      </c>
      <c r="AE156" s="197" t="s">
        <v>1</v>
      </c>
      <c r="AF156" s="198" t="s">
        <v>1</v>
      </c>
      <c r="AG156" s="198" t="s">
        <v>1</v>
      </c>
      <c r="AH156" s="198" t="s">
        <v>1</v>
      </c>
      <c r="AI156" s="209" t="s">
        <v>1</v>
      </c>
      <c r="AJ156" s="209" t="s">
        <v>1</v>
      </c>
      <c r="AK156" s="209" t="s">
        <v>1</v>
      </c>
      <c r="AL156" s="198">
        <v>0</v>
      </c>
      <c r="AM156" s="200" t="s">
        <v>1</v>
      </c>
      <c r="AN156" s="199" t="s">
        <v>1</v>
      </c>
      <c r="AO156" s="199" t="s">
        <v>1256</v>
      </c>
      <c r="AP156" s="198" t="s">
        <v>1</v>
      </c>
      <c r="AQ156" s="198" t="s">
        <v>1</v>
      </c>
      <c r="AR156" s="201" t="s">
        <v>1</v>
      </c>
      <c r="AS156" s="201" t="s">
        <v>1</v>
      </c>
      <c r="AT156" s="199" t="s">
        <v>1</v>
      </c>
      <c r="AU156" s="199" t="s">
        <v>1</v>
      </c>
      <c r="AV156" s="202" t="s">
        <v>1</v>
      </c>
      <c r="AW156" s="199" t="s">
        <v>1</v>
      </c>
    </row>
    <row r="157" spans="1:49" ht="30.15" customHeight="1" x14ac:dyDescent="0.25">
      <c r="A157" s="188" t="s">
        <v>18</v>
      </c>
      <c r="B157" s="188" t="s">
        <v>1</v>
      </c>
      <c r="C157" s="188" t="s">
        <v>35</v>
      </c>
      <c r="D157" s="190" t="s">
        <v>3</v>
      </c>
      <c r="E157" s="190" t="s">
        <v>906</v>
      </c>
      <c r="F157" s="203"/>
      <c r="G157" s="190" t="s">
        <v>874</v>
      </c>
      <c r="H157" s="192" t="s">
        <v>414</v>
      </c>
      <c r="I157" s="194">
        <v>1449</v>
      </c>
      <c r="J157" s="194">
        <v>1558</v>
      </c>
      <c r="K157" s="194">
        <v>1558</v>
      </c>
      <c r="L157" s="193">
        <v>1649.99</v>
      </c>
      <c r="M157" s="194">
        <v>1649.99</v>
      </c>
      <c r="N157" s="195" t="s">
        <v>1</v>
      </c>
      <c r="O157" s="195" t="s">
        <v>1</v>
      </c>
      <c r="P157" s="195" t="s">
        <v>1</v>
      </c>
      <c r="Q157" s="195" t="s">
        <v>1</v>
      </c>
      <c r="R157" s="196" t="s">
        <v>1</v>
      </c>
      <c r="S157" s="197" t="s">
        <v>1</v>
      </c>
      <c r="T157" s="197" t="s">
        <v>1</v>
      </c>
      <c r="U157" s="197" t="s">
        <v>1</v>
      </c>
      <c r="V157" s="197" t="s">
        <v>1</v>
      </c>
      <c r="W157" s="196" t="s">
        <v>1</v>
      </c>
      <c r="X157" s="195" t="s">
        <v>1</v>
      </c>
      <c r="Y157" s="195" t="s">
        <v>1</v>
      </c>
      <c r="Z157" s="195" t="s">
        <v>1</v>
      </c>
      <c r="AA157" s="196" t="s">
        <v>1</v>
      </c>
      <c r="AB157" s="196" t="s">
        <v>1</v>
      </c>
      <c r="AC157" s="197" t="s">
        <v>1</v>
      </c>
      <c r="AD157" s="197" t="s">
        <v>1</v>
      </c>
      <c r="AE157" s="197" t="s">
        <v>1</v>
      </c>
      <c r="AF157" s="198" t="s">
        <v>1</v>
      </c>
      <c r="AG157" s="198" t="s">
        <v>1</v>
      </c>
      <c r="AH157" s="198" t="s">
        <v>1</v>
      </c>
      <c r="AI157" s="209" t="s">
        <v>1</v>
      </c>
      <c r="AJ157" s="209" t="s">
        <v>1</v>
      </c>
      <c r="AK157" s="209" t="s">
        <v>1</v>
      </c>
      <c r="AL157" s="198">
        <v>0</v>
      </c>
      <c r="AM157" s="200" t="s">
        <v>1</v>
      </c>
      <c r="AN157" s="199" t="s">
        <v>1</v>
      </c>
      <c r="AO157" s="199" t="s">
        <v>1256</v>
      </c>
      <c r="AP157" s="198" t="s">
        <v>1</v>
      </c>
      <c r="AQ157" s="198" t="s">
        <v>1</v>
      </c>
      <c r="AR157" s="201" t="s">
        <v>1</v>
      </c>
      <c r="AS157" s="201" t="s">
        <v>1</v>
      </c>
      <c r="AT157" s="199" t="s">
        <v>1</v>
      </c>
      <c r="AU157" s="199" t="s">
        <v>1</v>
      </c>
      <c r="AV157" s="202" t="s">
        <v>1</v>
      </c>
      <c r="AW157" s="199" t="s">
        <v>1</v>
      </c>
    </row>
    <row r="158" spans="1:49" ht="30.15" customHeight="1" x14ac:dyDescent="0.25">
      <c r="A158" s="188" t="s">
        <v>18</v>
      </c>
      <c r="B158" s="188" t="s">
        <v>1</v>
      </c>
      <c r="C158" s="188" t="s">
        <v>35</v>
      </c>
      <c r="D158" s="190" t="s">
        <v>3</v>
      </c>
      <c r="E158" s="190" t="s">
        <v>863</v>
      </c>
      <c r="F158" s="203"/>
      <c r="G158" s="190" t="s">
        <v>875</v>
      </c>
      <c r="H158" s="192" t="s">
        <v>414</v>
      </c>
      <c r="I158" s="194">
        <v>1758</v>
      </c>
      <c r="J158" s="194">
        <v>1804.05</v>
      </c>
      <c r="K158" s="194">
        <v>1804.05</v>
      </c>
      <c r="L158" s="193">
        <v>1899</v>
      </c>
      <c r="M158" s="194">
        <v>1899</v>
      </c>
      <c r="N158" s="195" t="s">
        <v>1</v>
      </c>
      <c r="O158" s="195" t="s">
        <v>1</v>
      </c>
      <c r="P158" s="195" t="s">
        <v>1</v>
      </c>
      <c r="Q158" s="195" t="s">
        <v>1</v>
      </c>
      <c r="R158" s="196" t="s">
        <v>1</v>
      </c>
      <c r="S158" s="197" t="s">
        <v>1</v>
      </c>
      <c r="T158" s="197" t="s">
        <v>1</v>
      </c>
      <c r="U158" s="197" t="s">
        <v>1</v>
      </c>
      <c r="V158" s="197" t="s">
        <v>1</v>
      </c>
      <c r="W158" s="196" t="s">
        <v>1</v>
      </c>
      <c r="X158" s="195" t="s">
        <v>1</v>
      </c>
      <c r="Y158" s="195" t="s">
        <v>1</v>
      </c>
      <c r="Z158" s="195" t="s">
        <v>1</v>
      </c>
      <c r="AA158" s="196" t="s">
        <v>1</v>
      </c>
      <c r="AB158" s="196" t="s">
        <v>1</v>
      </c>
      <c r="AC158" s="197" t="s">
        <v>1</v>
      </c>
      <c r="AD158" s="197" t="s">
        <v>1</v>
      </c>
      <c r="AE158" s="197" t="s">
        <v>1</v>
      </c>
      <c r="AF158" s="198" t="s">
        <v>1</v>
      </c>
      <c r="AG158" s="198" t="s">
        <v>1</v>
      </c>
      <c r="AH158" s="198" t="s">
        <v>1</v>
      </c>
      <c r="AI158" s="209" t="s">
        <v>1</v>
      </c>
      <c r="AJ158" s="209" t="s">
        <v>1</v>
      </c>
      <c r="AK158" s="209" t="s">
        <v>1</v>
      </c>
      <c r="AL158" s="198">
        <v>0</v>
      </c>
      <c r="AM158" s="200" t="s">
        <v>1</v>
      </c>
      <c r="AN158" s="199" t="s">
        <v>1</v>
      </c>
      <c r="AO158" s="199" t="s">
        <v>1257</v>
      </c>
      <c r="AP158" s="198" t="s">
        <v>1</v>
      </c>
      <c r="AQ158" s="198" t="s">
        <v>1</v>
      </c>
      <c r="AR158" s="201" t="s">
        <v>1</v>
      </c>
      <c r="AS158" s="201" t="s">
        <v>1</v>
      </c>
      <c r="AT158" s="199" t="s">
        <v>1</v>
      </c>
      <c r="AU158" s="199" t="s">
        <v>1</v>
      </c>
      <c r="AV158" s="202" t="s">
        <v>1</v>
      </c>
      <c r="AW158" s="199" t="s">
        <v>1</v>
      </c>
    </row>
    <row r="159" spans="1:49" ht="30.15" customHeight="1" x14ac:dyDescent="0.25">
      <c r="A159" s="188" t="s">
        <v>18</v>
      </c>
      <c r="B159" s="188" t="s">
        <v>1</v>
      </c>
      <c r="C159" s="188" t="s">
        <v>35</v>
      </c>
      <c r="D159" s="190" t="s">
        <v>3</v>
      </c>
      <c r="E159" s="190" t="s">
        <v>864</v>
      </c>
      <c r="F159" s="203"/>
      <c r="G159" s="190" t="s">
        <v>875</v>
      </c>
      <c r="H159" s="192" t="s">
        <v>414</v>
      </c>
      <c r="I159" s="194">
        <v>1758</v>
      </c>
      <c r="J159" s="194">
        <v>1804.05</v>
      </c>
      <c r="K159" s="194">
        <v>1804.05</v>
      </c>
      <c r="L159" s="193">
        <v>1899</v>
      </c>
      <c r="M159" s="194">
        <v>1899</v>
      </c>
      <c r="N159" s="195" t="s">
        <v>1</v>
      </c>
      <c r="O159" s="195" t="s">
        <v>1</v>
      </c>
      <c r="P159" s="195" t="s">
        <v>1</v>
      </c>
      <c r="Q159" s="195" t="s">
        <v>1</v>
      </c>
      <c r="R159" s="196" t="s">
        <v>1</v>
      </c>
      <c r="S159" s="197" t="s">
        <v>1</v>
      </c>
      <c r="T159" s="197" t="s">
        <v>1</v>
      </c>
      <c r="U159" s="197" t="s">
        <v>1</v>
      </c>
      <c r="V159" s="197" t="s">
        <v>1</v>
      </c>
      <c r="W159" s="196" t="s">
        <v>1</v>
      </c>
      <c r="X159" s="195" t="s">
        <v>1</v>
      </c>
      <c r="Y159" s="195" t="s">
        <v>1</v>
      </c>
      <c r="Z159" s="195" t="s">
        <v>1</v>
      </c>
      <c r="AA159" s="196" t="s">
        <v>1</v>
      </c>
      <c r="AB159" s="196" t="s">
        <v>1</v>
      </c>
      <c r="AC159" s="197" t="s">
        <v>1</v>
      </c>
      <c r="AD159" s="197" t="s">
        <v>1</v>
      </c>
      <c r="AE159" s="197" t="s">
        <v>1</v>
      </c>
      <c r="AF159" s="198" t="s">
        <v>1</v>
      </c>
      <c r="AG159" s="198" t="s">
        <v>1</v>
      </c>
      <c r="AH159" s="198" t="s">
        <v>1</v>
      </c>
      <c r="AI159" s="209" t="s">
        <v>1</v>
      </c>
      <c r="AJ159" s="209" t="s">
        <v>1</v>
      </c>
      <c r="AK159" s="209" t="s">
        <v>1</v>
      </c>
      <c r="AL159" s="198">
        <v>0</v>
      </c>
      <c r="AM159" s="200" t="s">
        <v>1</v>
      </c>
      <c r="AN159" s="199" t="s">
        <v>1</v>
      </c>
      <c r="AO159" s="199" t="s">
        <v>1257</v>
      </c>
      <c r="AP159" s="198" t="s">
        <v>1</v>
      </c>
      <c r="AQ159" s="198" t="s">
        <v>1</v>
      </c>
      <c r="AR159" s="201" t="s">
        <v>1</v>
      </c>
      <c r="AS159" s="201" t="s">
        <v>1</v>
      </c>
      <c r="AT159" s="199" t="s">
        <v>1</v>
      </c>
      <c r="AU159" s="199" t="s">
        <v>1</v>
      </c>
      <c r="AV159" s="202" t="s">
        <v>1</v>
      </c>
      <c r="AW159" s="199" t="s">
        <v>1</v>
      </c>
    </row>
    <row r="160" spans="1:49" ht="30.15" customHeight="1" x14ac:dyDescent="0.25">
      <c r="A160" s="188" t="s">
        <v>18</v>
      </c>
      <c r="B160" s="188" t="s">
        <v>1</v>
      </c>
      <c r="C160" s="188" t="s">
        <v>35</v>
      </c>
      <c r="D160" s="190" t="s">
        <v>3</v>
      </c>
      <c r="E160" s="190" t="s">
        <v>865</v>
      </c>
      <c r="F160" s="203"/>
      <c r="G160" s="190" t="s">
        <v>876</v>
      </c>
      <c r="H160" s="192" t="s">
        <v>414</v>
      </c>
      <c r="I160" s="194">
        <v>1388</v>
      </c>
      <c r="J160" s="194">
        <v>1425</v>
      </c>
      <c r="K160" s="194">
        <v>1425</v>
      </c>
      <c r="L160" s="193">
        <v>1500</v>
      </c>
      <c r="M160" s="194">
        <v>1500</v>
      </c>
      <c r="N160" s="195" t="s">
        <v>1</v>
      </c>
      <c r="O160" s="195" t="s">
        <v>1</v>
      </c>
      <c r="P160" s="195" t="s">
        <v>1</v>
      </c>
      <c r="Q160" s="195" t="s">
        <v>1</v>
      </c>
      <c r="R160" s="196" t="s">
        <v>1</v>
      </c>
      <c r="S160" s="197" t="s">
        <v>1</v>
      </c>
      <c r="T160" s="197" t="s">
        <v>1</v>
      </c>
      <c r="U160" s="197" t="s">
        <v>1</v>
      </c>
      <c r="V160" s="197" t="s">
        <v>1</v>
      </c>
      <c r="W160" s="196" t="s">
        <v>1</v>
      </c>
      <c r="X160" s="195" t="s">
        <v>1</v>
      </c>
      <c r="Y160" s="195" t="s">
        <v>1</v>
      </c>
      <c r="Z160" s="195" t="s">
        <v>1</v>
      </c>
      <c r="AA160" s="196" t="s">
        <v>1</v>
      </c>
      <c r="AB160" s="196" t="s">
        <v>1</v>
      </c>
      <c r="AC160" s="197" t="s">
        <v>1</v>
      </c>
      <c r="AD160" s="197" t="s">
        <v>1</v>
      </c>
      <c r="AE160" s="197" t="s">
        <v>1</v>
      </c>
      <c r="AF160" s="198" t="s">
        <v>1</v>
      </c>
      <c r="AG160" s="198" t="s">
        <v>1</v>
      </c>
      <c r="AH160" s="198" t="s">
        <v>1</v>
      </c>
      <c r="AI160" s="209" t="s">
        <v>1</v>
      </c>
      <c r="AJ160" s="209" t="s">
        <v>1</v>
      </c>
      <c r="AK160" s="209" t="s">
        <v>1</v>
      </c>
      <c r="AL160" s="198">
        <v>0</v>
      </c>
      <c r="AM160" s="200" t="s">
        <v>1</v>
      </c>
      <c r="AN160" s="199" t="s">
        <v>1</v>
      </c>
      <c r="AO160" s="199" t="s">
        <v>1256</v>
      </c>
      <c r="AP160" s="198" t="s">
        <v>1</v>
      </c>
      <c r="AQ160" s="198" t="s">
        <v>1</v>
      </c>
      <c r="AR160" s="201" t="s">
        <v>1</v>
      </c>
      <c r="AS160" s="201" t="s">
        <v>1</v>
      </c>
      <c r="AT160" s="199" t="s">
        <v>1</v>
      </c>
      <c r="AU160" s="199" t="s">
        <v>1</v>
      </c>
      <c r="AV160" s="202" t="s">
        <v>1</v>
      </c>
      <c r="AW160" s="199" t="s">
        <v>1</v>
      </c>
    </row>
    <row r="161" spans="1:49" ht="30.15" customHeight="1" x14ac:dyDescent="0.25">
      <c r="A161" s="188" t="s">
        <v>18</v>
      </c>
      <c r="B161" s="188" t="s">
        <v>1</v>
      </c>
      <c r="C161" s="188" t="s">
        <v>35</v>
      </c>
      <c r="D161" s="190" t="s">
        <v>3</v>
      </c>
      <c r="E161" s="190" t="s">
        <v>866</v>
      </c>
      <c r="F161" s="203"/>
      <c r="G161" s="190" t="s">
        <v>876</v>
      </c>
      <c r="H161" s="192" t="s">
        <v>414</v>
      </c>
      <c r="I161" s="194">
        <v>1388</v>
      </c>
      <c r="J161" s="194">
        <v>1425</v>
      </c>
      <c r="K161" s="194">
        <v>1425</v>
      </c>
      <c r="L161" s="193">
        <v>1500</v>
      </c>
      <c r="M161" s="194">
        <v>1500</v>
      </c>
      <c r="N161" s="195" t="s">
        <v>1</v>
      </c>
      <c r="O161" s="195" t="s">
        <v>1</v>
      </c>
      <c r="P161" s="195" t="s">
        <v>1</v>
      </c>
      <c r="Q161" s="195" t="s">
        <v>1</v>
      </c>
      <c r="R161" s="196" t="s">
        <v>1</v>
      </c>
      <c r="S161" s="197" t="s">
        <v>1</v>
      </c>
      <c r="T161" s="197" t="s">
        <v>1</v>
      </c>
      <c r="U161" s="197" t="s">
        <v>1</v>
      </c>
      <c r="V161" s="197" t="s">
        <v>1</v>
      </c>
      <c r="W161" s="196" t="s">
        <v>1</v>
      </c>
      <c r="X161" s="195" t="s">
        <v>1</v>
      </c>
      <c r="Y161" s="195" t="s">
        <v>1</v>
      </c>
      <c r="Z161" s="195" t="s">
        <v>1</v>
      </c>
      <c r="AA161" s="196" t="s">
        <v>1</v>
      </c>
      <c r="AB161" s="196" t="s">
        <v>1</v>
      </c>
      <c r="AC161" s="197" t="s">
        <v>1</v>
      </c>
      <c r="AD161" s="197" t="s">
        <v>1</v>
      </c>
      <c r="AE161" s="197" t="s">
        <v>1</v>
      </c>
      <c r="AF161" s="198" t="s">
        <v>1</v>
      </c>
      <c r="AG161" s="198" t="s">
        <v>1</v>
      </c>
      <c r="AH161" s="198" t="s">
        <v>1</v>
      </c>
      <c r="AI161" s="209" t="s">
        <v>1</v>
      </c>
      <c r="AJ161" s="209" t="s">
        <v>1</v>
      </c>
      <c r="AK161" s="209" t="s">
        <v>1</v>
      </c>
      <c r="AL161" s="198">
        <v>0</v>
      </c>
      <c r="AM161" s="200" t="s">
        <v>1</v>
      </c>
      <c r="AN161" s="199" t="s">
        <v>1</v>
      </c>
      <c r="AO161" s="199" t="s">
        <v>1256</v>
      </c>
      <c r="AP161" s="198" t="s">
        <v>1</v>
      </c>
      <c r="AQ161" s="198" t="s">
        <v>1</v>
      </c>
      <c r="AR161" s="201" t="s">
        <v>1</v>
      </c>
      <c r="AS161" s="201" t="s">
        <v>1</v>
      </c>
      <c r="AT161" s="199" t="s">
        <v>1</v>
      </c>
      <c r="AU161" s="199" t="s">
        <v>1</v>
      </c>
      <c r="AV161" s="202" t="s">
        <v>1</v>
      </c>
      <c r="AW161" s="199" t="s">
        <v>1</v>
      </c>
    </row>
    <row r="162" spans="1:49" ht="30.15" customHeight="1" x14ac:dyDescent="0.25">
      <c r="A162" s="188" t="s">
        <v>18</v>
      </c>
      <c r="B162" s="188" t="s">
        <v>1</v>
      </c>
      <c r="C162" s="188" t="s">
        <v>35</v>
      </c>
      <c r="D162" s="190" t="s">
        <v>3</v>
      </c>
      <c r="E162" s="190" t="s">
        <v>867</v>
      </c>
      <c r="F162" s="203"/>
      <c r="G162" s="190" t="s">
        <v>877</v>
      </c>
      <c r="H162" s="192" t="s">
        <v>414</v>
      </c>
      <c r="I162" s="194">
        <v>1508</v>
      </c>
      <c r="J162" s="194">
        <v>1547.55</v>
      </c>
      <c r="K162" s="194">
        <v>1547.55</v>
      </c>
      <c r="L162" s="193">
        <v>1629</v>
      </c>
      <c r="M162" s="194">
        <v>1629</v>
      </c>
      <c r="N162" s="195" t="s">
        <v>1</v>
      </c>
      <c r="O162" s="195" t="s">
        <v>1</v>
      </c>
      <c r="P162" s="195" t="s">
        <v>1</v>
      </c>
      <c r="Q162" s="195" t="s">
        <v>1</v>
      </c>
      <c r="R162" s="196" t="s">
        <v>1</v>
      </c>
      <c r="S162" s="197" t="s">
        <v>1</v>
      </c>
      <c r="T162" s="197" t="s">
        <v>1</v>
      </c>
      <c r="U162" s="197" t="s">
        <v>1</v>
      </c>
      <c r="V162" s="197" t="s">
        <v>1</v>
      </c>
      <c r="W162" s="196" t="s">
        <v>1</v>
      </c>
      <c r="X162" s="195" t="s">
        <v>1</v>
      </c>
      <c r="Y162" s="195" t="s">
        <v>1</v>
      </c>
      <c r="Z162" s="195" t="s">
        <v>1</v>
      </c>
      <c r="AA162" s="196" t="s">
        <v>1</v>
      </c>
      <c r="AB162" s="196" t="s">
        <v>1</v>
      </c>
      <c r="AC162" s="197" t="s">
        <v>1</v>
      </c>
      <c r="AD162" s="197" t="s">
        <v>1</v>
      </c>
      <c r="AE162" s="197" t="s">
        <v>1</v>
      </c>
      <c r="AF162" s="198" t="s">
        <v>1</v>
      </c>
      <c r="AG162" s="198" t="s">
        <v>1</v>
      </c>
      <c r="AH162" s="198" t="s">
        <v>1</v>
      </c>
      <c r="AI162" s="209" t="s">
        <v>1</v>
      </c>
      <c r="AJ162" s="209" t="s">
        <v>1</v>
      </c>
      <c r="AK162" s="209" t="s">
        <v>1</v>
      </c>
      <c r="AL162" s="198">
        <v>0</v>
      </c>
      <c r="AM162" s="200" t="s">
        <v>1</v>
      </c>
      <c r="AN162" s="199" t="s">
        <v>1</v>
      </c>
      <c r="AO162" s="199" t="s">
        <v>1256</v>
      </c>
      <c r="AP162" s="198" t="s">
        <v>1</v>
      </c>
      <c r="AQ162" s="198" t="s">
        <v>1</v>
      </c>
      <c r="AR162" s="201" t="s">
        <v>1</v>
      </c>
      <c r="AS162" s="201" t="s">
        <v>1</v>
      </c>
      <c r="AT162" s="199" t="s">
        <v>1</v>
      </c>
      <c r="AU162" s="199" t="s">
        <v>1</v>
      </c>
      <c r="AV162" s="202" t="s">
        <v>1</v>
      </c>
      <c r="AW162" s="199" t="s">
        <v>1</v>
      </c>
    </row>
    <row r="163" spans="1:49" ht="30.15" customHeight="1" x14ac:dyDescent="0.25">
      <c r="A163" s="188" t="s">
        <v>18</v>
      </c>
      <c r="B163" s="188" t="s">
        <v>1</v>
      </c>
      <c r="C163" s="188" t="s">
        <v>35</v>
      </c>
      <c r="D163" s="190" t="s">
        <v>3</v>
      </c>
      <c r="E163" s="190" t="s">
        <v>868</v>
      </c>
      <c r="F163" s="203"/>
      <c r="G163" s="190" t="s">
        <v>877</v>
      </c>
      <c r="H163" s="192" t="s">
        <v>414</v>
      </c>
      <c r="I163" s="194">
        <v>1508</v>
      </c>
      <c r="J163" s="194">
        <v>1547.55</v>
      </c>
      <c r="K163" s="194">
        <v>1547.55</v>
      </c>
      <c r="L163" s="193">
        <v>1629</v>
      </c>
      <c r="M163" s="194">
        <v>1629</v>
      </c>
      <c r="N163" s="195" t="s">
        <v>1</v>
      </c>
      <c r="O163" s="195" t="s">
        <v>1</v>
      </c>
      <c r="P163" s="195" t="s">
        <v>1</v>
      </c>
      <c r="Q163" s="195" t="s">
        <v>1</v>
      </c>
      <c r="R163" s="196" t="s">
        <v>1</v>
      </c>
      <c r="S163" s="197" t="s">
        <v>1</v>
      </c>
      <c r="T163" s="197" t="s">
        <v>1</v>
      </c>
      <c r="U163" s="197" t="s">
        <v>1</v>
      </c>
      <c r="V163" s="197" t="s">
        <v>1</v>
      </c>
      <c r="W163" s="196" t="s">
        <v>1</v>
      </c>
      <c r="X163" s="195" t="s">
        <v>1</v>
      </c>
      <c r="Y163" s="195" t="s">
        <v>1</v>
      </c>
      <c r="Z163" s="195" t="s">
        <v>1</v>
      </c>
      <c r="AA163" s="196" t="s">
        <v>1</v>
      </c>
      <c r="AB163" s="196" t="s">
        <v>1</v>
      </c>
      <c r="AC163" s="197" t="s">
        <v>1</v>
      </c>
      <c r="AD163" s="197" t="s">
        <v>1</v>
      </c>
      <c r="AE163" s="197" t="s">
        <v>1</v>
      </c>
      <c r="AF163" s="198" t="s">
        <v>1</v>
      </c>
      <c r="AG163" s="198" t="s">
        <v>1</v>
      </c>
      <c r="AH163" s="198" t="s">
        <v>1</v>
      </c>
      <c r="AI163" s="209" t="s">
        <v>1</v>
      </c>
      <c r="AJ163" s="209" t="s">
        <v>1</v>
      </c>
      <c r="AK163" s="209" t="s">
        <v>1</v>
      </c>
      <c r="AL163" s="198">
        <v>0</v>
      </c>
      <c r="AM163" s="200" t="s">
        <v>1</v>
      </c>
      <c r="AN163" s="199" t="s">
        <v>1</v>
      </c>
      <c r="AO163" s="199" t="s">
        <v>1256</v>
      </c>
      <c r="AP163" s="198" t="s">
        <v>1</v>
      </c>
      <c r="AQ163" s="198" t="s">
        <v>1</v>
      </c>
      <c r="AR163" s="201" t="s">
        <v>1</v>
      </c>
      <c r="AS163" s="201" t="s">
        <v>1</v>
      </c>
      <c r="AT163" s="199" t="s">
        <v>1</v>
      </c>
      <c r="AU163" s="199" t="s">
        <v>1</v>
      </c>
      <c r="AV163" s="202" t="s">
        <v>1</v>
      </c>
      <c r="AW163" s="199" t="s">
        <v>1</v>
      </c>
    </row>
    <row r="164" spans="1:49" ht="30.15" customHeight="1" x14ac:dyDescent="0.25">
      <c r="A164" s="188" t="s">
        <v>18</v>
      </c>
      <c r="B164" s="188" t="s">
        <v>1</v>
      </c>
      <c r="C164" s="188" t="s">
        <v>35</v>
      </c>
      <c r="D164" s="190" t="s">
        <v>3</v>
      </c>
      <c r="E164" s="190" t="s">
        <v>869</v>
      </c>
      <c r="F164" s="203"/>
      <c r="G164" s="190" t="s">
        <v>878</v>
      </c>
      <c r="H164" s="192" t="s">
        <v>414</v>
      </c>
      <c r="I164" s="194">
        <v>1749</v>
      </c>
      <c r="J164" s="194">
        <v>1794.55</v>
      </c>
      <c r="K164" s="194">
        <v>1794.55</v>
      </c>
      <c r="L164" s="193">
        <v>1889</v>
      </c>
      <c r="M164" s="194">
        <v>1889</v>
      </c>
      <c r="N164" s="195" t="s">
        <v>1</v>
      </c>
      <c r="O164" s="195" t="s">
        <v>1</v>
      </c>
      <c r="P164" s="195" t="s">
        <v>1</v>
      </c>
      <c r="Q164" s="195" t="s">
        <v>1</v>
      </c>
      <c r="R164" s="196" t="s">
        <v>1</v>
      </c>
      <c r="S164" s="197" t="s">
        <v>1</v>
      </c>
      <c r="T164" s="197" t="s">
        <v>1</v>
      </c>
      <c r="U164" s="197" t="s">
        <v>1</v>
      </c>
      <c r="V164" s="197" t="s">
        <v>1</v>
      </c>
      <c r="W164" s="196" t="s">
        <v>1</v>
      </c>
      <c r="X164" s="195" t="s">
        <v>1</v>
      </c>
      <c r="Y164" s="195" t="s">
        <v>1</v>
      </c>
      <c r="Z164" s="195" t="s">
        <v>1</v>
      </c>
      <c r="AA164" s="196" t="s">
        <v>1</v>
      </c>
      <c r="AB164" s="196" t="s">
        <v>1</v>
      </c>
      <c r="AC164" s="197" t="s">
        <v>1</v>
      </c>
      <c r="AD164" s="197" t="s">
        <v>1</v>
      </c>
      <c r="AE164" s="197" t="s">
        <v>1</v>
      </c>
      <c r="AF164" s="198" t="s">
        <v>1</v>
      </c>
      <c r="AG164" s="198" t="s">
        <v>1</v>
      </c>
      <c r="AH164" s="198" t="s">
        <v>1</v>
      </c>
      <c r="AI164" s="209" t="s">
        <v>1</v>
      </c>
      <c r="AJ164" s="209" t="s">
        <v>1</v>
      </c>
      <c r="AK164" s="209" t="s">
        <v>1</v>
      </c>
      <c r="AL164" s="198">
        <v>0</v>
      </c>
      <c r="AM164" s="200" t="s">
        <v>1</v>
      </c>
      <c r="AN164" s="199" t="s">
        <v>1</v>
      </c>
      <c r="AO164" s="199" t="s">
        <v>1257</v>
      </c>
      <c r="AP164" s="198" t="s">
        <v>1</v>
      </c>
      <c r="AQ164" s="198" t="s">
        <v>1</v>
      </c>
      <c r="AR164" s="201" t="s">
        <v>1</v>
      </c>
      <c r="AS164" s="201" t="s">
        <v>1</v>
      </c>
      <c r="AT164" s="199" t="s">
        <v>1</v>
      </c>
      <c r="AU164" s="199" t="s">
        <v>1</v>
      </c>
      <c r="AV164" s="202" t="s">
        <v>1</v>
      </c>
      <c r="AW164" s="199" t="s">
        <v>1</v>
      </c>
    </row>
    <row r="165" spans="1:49" ht="30.15" customHeight="1" x14ac:dyDescent="0.25">
      <c r="A165" s="188" t="s">
        <v>18</v>
      </c>
      <c r="B165" s="188" t="s">
        <v>1</v>
      </c>
      <c r="C165" s="188" t="s">
        <v>35</v>
      </c>
      <c r="D165" s="190" t="s">
        <v>3</v>
      </c>
      <c r="E165" s="190" t="s">
        <v>870</v>
      </c>
      <c r="F165" s="203"/>
      <c r="G165" s="190" t="s">
        <v>878</v>
      </c>
      <c r="H165" s="192" t="s">
        <v>414</v>
      </c>
      <c r="I165" s="194">
        <v>1749</v>
      </c>
      <c r="J165" s="194">
        <v>1794.55</v>
      </c>
      <c r="K165" s="194">
        <v>1794.55</v>
      </c>
      <c r="L165" s="193">
        <v>1889</v>
      </c>
      <c r="M165" s="194">
        <v>1889</v>
      </c>
      <c r="N165" s="195" t="s">
        <v>1</v>
      </c>
      <c r="O165" s="195" t="s">
        <v>1</v>
      </c>
      <c r="P165" s="195" t="s">
        <v>1</v>
      </c>
      <c r="Q165" s="195" t="s">
        <v>1</v>
      </c>
      <c r="R165" s="196" t="s">
        <v>1</v>
      </c>
      <c r="S165" s="197" t="s">
        <v>1</v>
      </c>
      <c r="T165" s="197" t="s">
        <v>1</v>
      </c>
      <c r="U165" s="197" t="s">
        <v>1</v>
      </c>
      <c r="V165" s="197" t="s">
        <v>1</v>
      </c>
      <c r="W165" s="196" t="s">
        <v>1</v>
      </c>
      <c r="X165" s="195" t="s">
        <v>1</v>
      </c>
      <c r="Y165" s="195" t="s">
        <v>1</v>
      </c>
      <c r="Z165" s="195" t="s">
        <v>1</v>
      </c>
      <c r="AA165" s="196" t="s">
        <v>1</v>
      </c>
      <c r="AB165" s="196" t="s">
        <v>1</v>
      </c>
      <c r="AC165" s="197" t="s">
        <v>1</v>
      </c>
      <c r="AD165" s="197" t="s">
        <v>1</v>
      </c>
      <c r="AE165" s="197" t="s">
        <v>1</v>
      </c>
      <c r="AF165" s="198" t="s">
        <v>1</v>
      </c>
      <c r="AG165" s="198" t="s">
        <v>1</v>
      </c>
      <c r="AH165" s="198" t="s">
        <v>1</v>
      </c>
      <c r="AI165" s="209" t="s">
        <v>1</v>
      </c>
      <c r="AJ165" s="209" t="s">
        <v>1</v>
      </c>
      <c r="AK165" s="209" t="s">
        <v>1</v>
      </c>
      <c r="AL165" s="198">
        <v>0</v>
      </c>
      <c r="AM165" s="200" t="s">
        <v>1</v>
      </c>
      <c r="AN165" s="199" t="s">
        <v>1</v>
      </c>
      <c r="AO165" s="199" t="s">
        <v>1257</v>
      </c>
      <c r="AP165" s="198" t="s">
        <v>1</v>
      </c>
      <c r="AQ165" s="198" t="s">
        <v>1</v>
      </c>
      <c r="AR165" s="201" t="s">
        <v>1</v>
      </c>
      <c r="AS165" s="201" t="s">
        <v>1</v>
      </c>
      <c r="AT165" s="199" t="s">
        <v>1</v>
      </c>
      <c r="AU165" s="199" t="s">
        <v>1</v>
      </c>
      <c r="AV165" s="202" t="s">
        <v>1</v>
      </c>
      <c r="AW165" s="199" t="s">
        <v>1</v>
      </c>
    </row>
    <row r="166" spans="1:49" ht="30.15" customHeight="1" x14ac:dyDescent="0.25">
      <c r="A166" s="188" t="s">
        <v>18</v>
      </c>
      <c r="B166" s="188" t="s">
        <v>1</v>
      </c>
      <c r="C166" s="188" t="s">
        <v>35</v>
      </c>
      <c r="D166" s="190" t="s">
        <v>3</v>
      </c>
      <c r="E166" s="190" t="s">
        <v>871</v>
      </c>
      <c r="F166" s="203"/>
      <c r="G166" s="190" t="s">
        <v>879</v>
      </c>
      <c r="H166" s="192" t="s">
        <v>414</v>
      </c>
      <c r="I166" s="194">
        <v>1990</v>
      </c>
      <c r="J166" s="194">
        <v>2042.5</v>
      </c>
      <c r="K166" s="194">
        <v>2042.5</v>
      </c>
      <c r="L166" s="193">
        <v>2150</v>
      </c>
      <c r="M166" s="194">
        <v>2150</v>
      </c>
      <c r="N166" s="195" t="s">
        <v>1</v>
      </c>
      <c r="O166" s="195" t="s">
        <v>1</v>
      </c>
      <c r="P166" s="195" t="s">
        <v>1</v>
      </c>
      <c r="Q166" s="195" t="s">
        <v>1</v>
      </c>
      <c r="R166" s="196" t="s">
        <v>1</v>
      </c>
      <c r="S166" s="197" t="s">
        <v>1</v>
      </c>
      <c r="T166" s="197" t="s">
        <v>1</v>
      </c>
      <c r="U166" s="197" t="s">
        <v>1</v>
      </c>
      <c r="V166" s="197" t="s">
        <v>1</v>
      </c>
      <c r="W166" s="196" t="s">
        <v>1</v>
      </c>
      <c r="X166" s="195" t="s">
        <v>1</v>
      </c>
      <c r="Y166" s="195" t="s">
        <v>1</v>
      </c>
      <c r="Z166" s="195" t="s">
        <v>1</v>
      </c>
      <c r="AA166" s="196" t="s">
        <v>1</v>
      </c>
      <c r="AB166" s="196" t="s">
        <v>1</v>
      </c>
      <c r="AC166" s="197" t="s">
        <v>1</v>
      </c>
      <c r="AD166" s="197" t="s">
        <v>1</v>
      </c>
      <c r="AE166" s="197" t="s">
        <v>1</v>
      </c>
      <c r="AF166" s="198" t="s">
        <v>1</v>
      </c>
      <c r="AG166" s="198" t="s">
        <v>1</v>
      </c>
      <c r="AH166" s="198" t="s">
        <v>1</v>
      </c>
      <c r="AI166" s="209" t="s">
        <v>1</v>
      </c>
      <c r="AJ166" s="209" t="s">
        <v>1</v>
      </c>
      <c r="AK166" s="209" t="s">
        <v>1</v>
      </c>
      <c r="AL166" s="198">
        <v>0</v>
      </c>
      <c r="AM166" s="200" t="s">
        <v>1</v>
      </c>
      <c r="AN166" s="199" t="s">
        <v>1</v>
      </c>
      <c r="AO166" s="199" t="s">
        <v>1258</v>
      </c>
      <c r="AP166" s="198" t="s">
        <v>1</v>
      </c>
      <c r="AQ166" s="198" t="s">
        <v>1</v>
      </c>
      <c r="AR166" s="201" t="s">
        <v>1</v>
      </c>
      <c r="AS166" s="201" t="s">
        <v>1</v>
      </c>
      <c r="AT166" s="199" t="s">
        <v>1</v>
      </c>
      <c r="AU166" s="199" t="s">
        <v>1</v>
      </c>
      <c r="AV166" s="202" t="s">
        <v>1</v>
      </c>
      <c r="AW166" s="199" t="s">
        <v>1</v>
      </c>
    </row>
    <row r="167" spans="1:49" ht="30.15" customHeight="1" x14ac:dyDescent="0.25">
      <c r="A167" s="188" t="s">
        <v>18</v>
      </c>
      <c r="B167" s="188" t="s">
        <v>1</v>
      </c>
      <c r="C167" s="188" t="s">
        <v>35</v>
      </c>
      <c r="D167" s="190" t="s">
        <v>3</v>
      </c>
      <c r="E167" s="190" t="s">
        <v>872</v>
      </c>
      <c r="F167" s="203"/>
      <c r="G167" s="190" t="s">
        <v>879</v>
      </c>
      <c r="H167" s="192" t="s">
        <v>414</v>
      </c>
      <c r="I167" s="194">
        <v>1990</v>
      </c>
      <c r="J167" s="194">
        <v>2042.5</v>
      </c>
      <c r="K167" s="194">
        <v>2042.5</v>
      </c>
      <c r="L167" s="193">
        <v>2150</v>
      </c>
      <c r="M167" s="194">
        <v>2150</v>
      </c>
      <c r="N167" s="195" t="s">
        <v>1</v>
      </c>
      <c r="O167" s="195" t="s">
        <v>1</v>
      </c>
      <c r="P167" s="195" t="s">
        <v>1</v>
      </c>
      <c r="Q167" s="195" t="s">
        <v>1</v>
      </c>
      <c r="R167" s="196" t="s">
        <v>1</v>
      </c>
      <c r="S167" s="197" t="s">
        <v>1</v>
      </c>
      <c r="T167" s="197" t="s">
        <v>1</v>
      </c>
      <c r="U167" s="197" t="s">
        <v>1</v>
      </c>
      <c r="V167" s="197" t="s">
        <v>1</v>
      </c>
      <c r="W167" s="196" t="s">
        <v>1</v>
      </c>
      <c r="X167" s="195" t="s">
        <v>1</v>
      </c>
      <c r="Y167" s="195" t="s">
        <v>1</v>
      </c>
      <c r="Z167" s="195" t="s">
        <v>1</v>
      </c>
      <c r="AA167" s="196" t="s">
        <v>1</v>
      </c>
      <c r="AB167" s="196" t="s">
        <v>1</v>
      </c>
      <c r="AC167" s="197" t="s">
        <v>1</v>
      </c>
      <c r="AD167" s="197" t="s">
        <v>1</v>
      </c>
      <c r="AE167" s="197" t="s">
        <v>1</v>
      </c>
      <c r="AF167" s="198" t="s">
        <v>1</v>
      </c>
      <c r="AG167" s="198" t="s">
        <v>1</v>
      </c>
      <c r="AH167" s="198" t="s">
        <v>1</v>
      </c>
      <c r="AI167" s="209" t="s">
        <v>1</v>
      </c>
      <c r="AJ167" s="209" t="s">
        <v>1</v>
      </c>
      <c r="AK167" s="209" t="s">
        <v>1</v>
      </c>
      <c r="AL167" s="198">
        <v>0</v>
      </c>
      <c r="AM167" s="200" t="s">
        <v>1</v>
      </c>
      <c r="AN167" s="199" t="s">
        <v>1</v>
      </c>
      <c r="AO167" s="199" t="s">
        <v>1258</v>
      </c>
      <c r="AP167" s="198" t="s">
        <v>1</v>
      </c>
      <c r="AQ167" s="198" t="s">
        <v>1</v>
      </c>
      <c r="AR167" s="201" t="s">
        <v>1</v>
      </c>
      <c r="AS167" s="201" t="s">
        <v>1</v>
      </c>
      <c r="AT167" s="199" t="s">
        <v>1</v>
      </c>
      <c r="AU167" s="199" t="s">
        <v>1</v>
      </c>
      <c r="AV167" s="202" t="s">
        <v>1</v>
      </c>
      <c r="AW167" s="199" t="s">
        <v>1</v>
      </c>
    </row>
    <row r="168" spans="1:49" ht="30.15" customHeight="1" x14ac:dyDescent="0.25">
      <c r="A168" s="260" t="s">
        <v>18</v>
      </c>
      <c r="B168" s="260" t="s">
        <v>1</v>
      </c>
      <c r="C168" s="260" t="s">
        <v>35</v>
      </c>
      <c r="D168" s="261" t="s">
        <v>3</v>
      </c>
      <c r="E168" s="261" t="s">
        <v>1283</v>
      </c>
      <c r="F168" s="262"/>
      <c r="G168" s="261" t="s">
        <v>1293</v>
      </c>
      <c r="H168" s="263" t="s">
        <v>414</v>
      </c>
      <c r="I168" s="264">
        <v>1481</v>
      </c>
      <c r="J168" s="264">
        <v>1511</v>
      </c>
      <c r="K168" s="264">
        <v>1511</v>
      </c>
      <c r="L168" s="264">
        <v>1600</v>
      </c>
      <c r="M168" s="264">
        <v>1600</v>
      </c>
      <c r="N168" s="266" t="s">
        <v>1</v>
      </c>
      <c r="O168" s="266" t="s">
        <v>1</v>
      </c>
      <c r="P168" s="266" t="s">
        <v>1</v>
      </c>
      <c r="Q168" s="266" t="s">
        <v>1</v>
      </c>
      <c r="R168" s="267" t="s">
        <v>1</v>
      </c>
      <c r="S168" s="268" t="s">
        <v>1</v>
      </c>
      <c r="T168" s="268" t="s">
        <v>1</v>
      </c>
      <c r="U168" s="268" t="s">
        <v>1</v>
      </c>
      <c r="V168" s="268" t="s">
        <v>1</v>
      </c>
      <c r="W168" s="267" t="s">
        <v>1</v>
      </c>
      <c r="X168" s="266" t="s">
        <v>1</v>
      </c>
      <c r="Y168" s="266" t="s">
        <v>1</v>
      </c>
      <c r="Z168" s="266" t="s">
        <v>1</v>
      </c>
      <c r="AA168" s="267" t="s">
        <v>1</v>
      </c>
      <c r="AB168" s="267" t="s">
        <v>1</v>
      </c>
      <c r="AC168" s="268" t="s">
        <v>1</v>
      </c>
      <c r="AD168" s="268" t="s">
        <v>1</v>
      </c>
      <c r="AE168" s="268" t="s">
        <v>1</v>
      </c>
      <c r="AF168" s="269" t="s">
        <v>1</v>
      </c>
      <c r="AG168" s="269" t="s">
        <v>1</v>
      </c>
      <c r="AH168" s="269" t="s">
        <v>1</v>
      </c>
      <c r="AI168" s="270" t="s">
        <v>1</v>
      </c>
      <c r="AJ168" s="270" t="s">
        <v>1</v>
      </c>
      <c r="AK168" s="270" t="s">
        <v>1</v>
      </c>
      <c r="AL168" s="269">
        <v>0</v>
      </c>
      <c r="AM168" s="271" t="s">
        <v>1</v>
      </c>
      <c r="AN168" s="272" t="s">
        <v>1</v>
      </c>
      <c r="AO168" s="272" t="s">
        <v>1256</v>
      </c>
      <c r="AP168" s="269" t="s">
        <v>1</v>
      </c>
      <c r="AQ168" s="269" t="s">
        <v>1</v>
      </c>
      <c r="AR168" s="273" t="s">
        <v>1</v>
      </c>
      <c r="AS168" s="273" t="s">
        <v>1</v>
      </c>
      <c r="AT168" s="272" t="s">
        <v>1</v>
      </c>
      <c r="AU168" s="272" t="s">
        <v>1</v>
      </c>
      <c r="AV168" s="274" t="s">
        <v>1</v>
      </c>
      <c r="AW168" s="272" t="s">
        <v>1</v>
      </c>
    </row>
    <row r="169" spans="1:49" ht="30.15" customHeight="1" x14ac:dyDescent="0.25">
      <c r="A169" s="260" t="s">
        <v>18</v>
      </c>
      <c r="B169" s="260" t="s">
        <v>1</v>
      </c>
      <c r="C169" s="260" t="s">
        <v>35</v>
      </c>
      <c r="D169" s="261" t="s">
        <v>3</v>
      </c>
      <c r="E169" s="261" t="s">
        <v>1284</v>
      </c>
      <c r="F169" s="262"/>
      <c r="G169" s="261" t="s">
        <v>1293</v>
      </c>
      <c r="H169" s="263" t="s">
        <v>414</v>
      </c>
      <c r="I169" s="264">
        <v>1481</v>
      </c>
      <c r="J169" s="264">
        <v>1511</v>
      </c>
      <c r="K169" s="264">
        <v>1511</v>
      </c>
      <c r="L169" s="264">
        <v>1600</v>
      </c>
      <c r="M169" s="264">
        <v>1600</v>
      </c>
      <c r="N169" s="266" t="s">
        <v>1</v>
      </c>
      <c r="O169" s="266" t="s">
        <v>1</v>
      </c>
      <c r="P169" s="266" t="s">
        <v>1</v>
      </c>
      <c r="Q169" s="266" t="s">
        <v>1</v>
      </c>
      <c r="R169" s="267" t="s">
        <v>1</v>
      </c>
      <c r="S169" s="268" t="s">
        <v>1</v>
      </c>
      <c r="T169" s="268" t="s">
        <v>1</v>
      </c>
      <c r="U169" s="268" t="s">
        <v>1</v>
      </c>
      <c r="V169" s="268" t="s">
        <v>1</v>
      </c>
      <c r="W169" s="267" t="s">
        <v>1</v>
      </c>
      <c r="X169" s="266" t="s">
        <v>1</v>
      </c>
      <c r="Y169" s="266" t="s">
        <v>1</v>
      </c>
      <c r="Z169" s="266" t="s">
        <v>1</v>
      </c>
      <c r="AA169" s="267" t="s">
        <v>1</v>
      </c>
      <c r="AB169" s="267" t="s">
        <v>1</v>
      </c>
      <c r="AC169" s="268" t="s">
        <v>1</v>
      </c>
      <c r="AD169" s="268" t="s">
        <v>1</v>
      </c>
      <c r="AE169" s="268" t="s">
        <v>1</v>
      </c>
      <c r="AF169" s="269" t="s">
        <v>1</v>
      </c>
      <c r="AG169" s="269" t="s">
        <v>1</v>
      </c>
      <c r="AH169" s="269" t="s">
        <v>1</v>
      </c>
      <c r="AI169" s="270" t="s">
        <v>1</v>
      </c>
      <c r="AJ169" s="270" t="s">
        <v>1</v>
      </c>
      <c r="AK169" s="270" t="s">
        <v>1</v>
      </c>
      <c r="AL169" s="269">
        <v>0</v>
      </c>
      <c r="AM169" s="271" t="s">
        <v>1</v>
      </c>
      <c r="AN169" s="272" t="s">
        <v>1</v>
      </c>
      <c r="AO169" s="272" t="s">
        <v>1256</v>
      </c>
      <c r="AP169" s="269" t="s">
        <v>1</v>
      </c>
      <c r="AQ169" s="269" t="s">
        <v>1</v>
      </c>
      <c r="AR169" s="273" t="s">
        <v>1</v>
      </c>
      <c r="AS169" s="273" t="s">
        <v>1</v>
      </c>
      <c r="AT169" s="272" t="s">
        <v>1</v>
      </c>
      <c r="AU169" s="272" t="s">
        <v>1</v>
      </c>
      <c r="AV169" s="274" t="s">
        <v>1</v>
      </c>
      <c r="AW169" s="272" t="s">
        <v>1</v>
      </c>
    </row>
    <row r="170" spans="1:49" ht="30.15" customHeight="1" x14ac:dyDescent="0.25">
      <c r="A170" s="260" t="s">
        <v>18</v>
      </c>
      <c r="B170" s="260" t="s">
        <v>1</v>
      </c>
      <c r="C170" s="260" t="s">
        <v>35</v>
      </c>
      <c r="D170" s="261" t="s">
        <v>3</v>
      </c>
      <c r="E170" s="261" t="s">
        <v>1285</v>
      </c>
      <c r="F170" s="262"/>
      <c r="G170" s="261" t="s">
        <v>1294</v>
      </c>
      <c r="H170" s="263" t="s">
        <v>414</v>
      </c>
      <c r="I170" s="264">
        <v>1601</v>
      </c>
      <c r="J170" s="264">
        <v>1633</v>
      </c>
      <c r="K170" s="264">
        <v>1633</v>
      </c>
      <c r="L170" s="264">
        <v>1730</v>
      </c>
      <c r="M170" s="264">
        <v>1730</v>
      </c>
      <c r="N170" s="266" t="s">
        <v>1</v>
      </c>
      <c r="O170" s="266" t="s">
        <v>1</v>
      </c>
      <c r="P170" s="266" t="s">
        <v>1</v>
      </c>
      <c r="Q170" s="266" t="s">
        <v>1</v>
      </c>
      <c r="R170" s="267" t="s">
        <v>1</v>
      </c>
      <c r="S170" s="268" t="s">
        <v>1</v>
      </c>
      <c r="T170" s="268" t="s">
        <v>1</v>
      </c>
      <c r="U170" s="268" t="s">
        <v>1</v>
      </c>
      <c r="V170" s="268" t="s">
        <v>1</v>
      </c>
      <c r="W170" s="267" t="s">
        <v>1</v>
      </c>
      <c r="X170" s="266" t="s">
        <v>1</v>
      </c>
      <c r="Y170" s="266" t="s">
        <v>1</v>
      </c>
      <c r="Z170" s="266" t="s">
        <v>1</v>
      </c>
      <c r="AA170" s="267" t="s">
        <v>1</v>
      </c>
      <c r="AB170" s="267" t="s">
        <v>1</v>
      </c>
      <c r="AC170" s="268" t="s">
        <v>1</v>
      </c>
      <c r="AD170" s="268" t="s">
        <v>1</v>
      </c>
      <c r="AE170" s="268" t="s">
        <v>1</v>
      </c>
      <c r="AF170" s="269" t="s">
        <v>1</v>
      </c>
      <c r="AG170" s="269" t="s">
        <v>1</v>
      </c>
      <c r="AH170" s="269" t="s">
        <v>1</v>
      </c>
      <c r="AI170" s="270" t="s">
        <v>1</v>
      </c>
      <c r="AJ170" s="270" t="s">
        <v>1</v>
      </c>
      <c r="AK170" s="270" t="s">
        <v>1</v>
      </c>
      <c r="AL170" s="269">
        <v>0</v>
      </c>
      <c r="AM170" s="271" t="s">
        <v>1</v>
      </c>
      <c r="AN170" s="272" t="s">
        <v>1</v>
      </c>
      <c r="AO170" s="272" t="s">
        <v>1257</v>
      </c>
      <c r="AP170" s="269" t="s">
        <v>1</v>
      </c>
      <c r="AQ170" s="269" t="s">
        <v>1</v>
      </c>
      <c r="AR170" s="273" t="s">
        <v>1</v>
      </c>
      <c r="AS170" s="273" t="s">
        <v>1</v>
      </c>
      <c r="AT170" s="272" t="s">
        <v>1</v>
      </c>
      <c r="AU170" s="272" t="s">
        <v>1</v>
      </c>
      <c r="AV170" s="274" t="s">
        <v>1</v>
      </c>
      <c r="AW170" s="272" t="s">
        <v>1</v>
      </c>
    </row>
    <row r="171" spans="1:49" ht="30.15" customHeight="1" x14ac:dyDescent="0.25">
      <c r="A171" s="260" t="s">
        <v>18</v>
      </c>
      <c r="B171" s="260" t="s">
        <v>1</v>
      </c>
      <c r="C171" s="260" t="s">
        <v>35</v>
      </c>
      <c r="D171" s="261" t="s">
        <v>3</v>
      </c>
      <c r="E171" s="261" t="s">
        <v>1286</v>
      </c>
      <c r="F171" s="262"/>
      <c r="G171" s="261" t="s">
        <v>1294</v>
      </c>
      <c r="H171" s="263" t="s">
        <v>414</v>
      </c>
      <c r="I171" s="264">
        <v>1601</v>
      </c>
      <c r="J171" s="264">
        <v>1633</v>
      </c>
      <c r="K171" s="264">
        <v>1633</v>
      </c>
      <c r="L171" s="264">
        <v>1730</v>
      </c>
      <c r="M171" s="264">
        <v>1730</v>
      </c>
      <c r="N171" s="266" t="s">
        <v>1</v>
      </c>
      <c r="O171" s="266" t="s">
        <v>1</v>
      </c>
      <c r="P171" s="266" t="s">
        <v>1</v>
      </c>
      <c r="Q171" s="266" t="s">
        <v>1</v>
      </c>
      <c r="R171" s="267" t="s">
        <v>1</v>
      </c>
      <c r="S171" s="268" t="s">
        <v>1</v>
      </c>
      <c r="T171" s="268" t="s">
        <v>1</v>
      </c>
      <c r="U171" s="268" t="s">
        <v>1</v>
      </c>
      <c r="V171" s="268" t="s">
        <v>1</v>
      </c>
      <c r="W171" s="267" t="s">
        <v>1</v>
      </c>
      <c r="X171" s="266" t="s">
        <v>1</v>
      </c>
      <c r="Y171" s="266" t="s">
        <v>1</v>
      </c>
      <c r="Z171" s="266" t="s">
        <v>1</v>
      </c>
      <c r="AA171" s="267" t="s">
        <v>1</v>
      </c>
      <c r="AB171" s="267" t="s">
        <v>1</v>
      </c>
      <c r="AC171" s="268" t="s">
        <v>1</v>
      </c>
      <c r="AD171" s="268" t="s">
        <v>1</v>
      </c>
      <c r="AE171" s="268" t="s">
        <v>1</v>
      </c>
      <c r="AF171" s="269" t="s">
        <v>1</v>
      </c>
      <c r="AG171" s="269" t="s">
        <v>1</v>
      </c>
      <c r="AH171" s="269" t="s">
        <v>1</v>
      </c>
      <c r="AI171" s="270" t="s">
        <v>1</v>
      </c>
      <c r="AJ171" s="270" t="s">
        <v>1</v>
      </c>
      <c r="AK171" s="270" t="s">
        <v>1</v>
      </c>
      <c r="AL171" s="269">
        <v>0</v>
      </c>
      <c r="AM171" s="271" t="s">
        <v>1</v>
      </c>
      <c r="AN171" s="272" t="s">
        <v>1</v>
      </c>
      <c r="AO171" s="272" t="s">
        <v>1257</v>
      </c>
      <c r="AP171" s="269" t="s">
        <v>1</v>
      </c>
      <c r="AQ171" s="269" t="s">
        <v>1</v>
      </c>
      <c r="AR171" s="273" t="s">
        <v>1</v>
      </c>
      <c r="AS171" s="273" t="s">
        <v>1</v>
      </c>
      <c r="AT171" s="272" t="s">
        <v>1</v>
      </c>
      <c r="AU171" s="272" t="s">
        <v>1</v>
      </c>
      <c r="AV171" s="274" t="s">
        <v>1</v>
      </c>
      <c r="AW171" s="272" t="s">
        <v>1</v>
      </c>
    </row>
    <row r="172" spans="1:49" ht="30.15" customHeight="1" x14ac:dyDescent="0.25">
      <c r="A172" s="260" t="s">
        <v>18</v>
      </c>
      <c r="B172" s="260" t="s">
        <v>1</v>
      </c>
      <c r="C172" s="260" t="s">
        <v>35</v>
      </c>
      <c r="D172" s="261" t="s">
        <v>3</v>
      </c>
      <c r="E172" s="261" t="s">
        <v>1287</v>
      </c>
      <c r="F172" s="262"/>
      <c r="G172" s="261" t="s">
        <v>1295</v>
      </c>
      <c r="H172" s="263" t="s">
        <v>414</v>
      </c>
      <c r="I172" s="264">
        <v>1833</v>
      </c>
      <c r="J172" s="264">
        <v>1870</v>
      </c>
      <c r="K172" s="264">
        <v>1870</v>
      </c>
      <c r="L172" s="264">
        <v>1980</v>
      </c>
      <c r="M172" s="264">
        <v>1980</v>
      </c>
      <c r="N172" s="266" t="s">
        <v>1</v>
      </c>
      <c r="O172" s="266" t="s">
        <v>1</v>
      </c>
      <c r="P172" s="266" t="s">
        <v>1</v>
      </c>
      <c r="Q172" s="266" t="s">
        <v>1</v>
      </c>
      <c r="R172" s="267" t="s">
        <v>1</v>
      </c>
      <c r="S172" s="268" t="s">
        <v>1</v>
      </c>
      <c r="T172" s="268" t="s">
        <v>1</v>
      </c>
      <c r="U172" s="268" t="s">
        <v>1</v>
      </c>
      <c r="V172" s="268" t="s">
        <v>1</v>
      </c>
      <c r="W172" s="267" t="s">
        <v>1</v>
      </c>
      <c r="X172" s="266" t="s">
        <v>1</v>
      </c>
      <c r="Y172" s="266" t="s">
        <v>1</v>
      </c>
      <c r="Z172" s="266" t="s">
        <v>1</v>
      </c>
      <c r="AA172" s="267" t="s">
        <v>1</v>
      </c>
      <c r="AB172" s="267" t="s">
        <v>1</v>
      </c>
      <c r="AC172" s="268" t="s">
        <v>1</v>
      </c>
      <c r="AD172" s="268" t="s">
        <v>1</v>
      </c>
      <c r="AE172" s="268" t="s">
        <v>1</v>
      </c>
      <c r="AF172" s="269" t="s">
        <v>1</v>
      </c>
      <c r="AG172" s="269" t="s">
        <v>1</v>
      </c>
      <c r="AH172" s="269" t="s">
        <v>1</v>
      </c>
      <c r="AI172" s="270" t="s">
        <v>1</v>
      </c>
      <c r="AJ172" s="270" t="s">
        <v>1</v>
      </c>
      <c r="AK172" s="270" t="s">
        <v>1</v>
      </c>
      <c r="AL172" s="269">
        <v>0</v>
      </c>
      <c r="AM172" s="271" t="s">
        <v>1</v>
      </c>
      <c r="AN172" s="272" t="s">
        <v>1</v>
      </c>
      <c r="AO172" s="272" t="s">
        <v>1258</v>
      </c>
      <c r="AP172" s="269" t="s">
        <v>1</v>
      </c>
      <c r="AQ172" s="269" t="s">
        <v>1</v>
      </c>
      <c r="AR172" s="273" t="s">
        <v>1</v>
      </c>
      <c r="AS172" s="273" t="s">
        <v>1</v>
      </c>
      <c r="AT172" s="272" t="s">
        <v>1</v>
      </c>
      <c r="AU172" s="272" t="s">
        <v>1</v>
      </c>
      <c r="AV172" s="274" t="s">
        <v>1</v>
      </c>
      <c r="AW172" s="272" t="s">
        <v>1</v>
      </c>
    </row>
    <row r="173" spans="1:49" ht="30.15" customHeight="1" x14ac:dyDescent="0.25">
      <c r="A173" s="260" t="s">
        <v>18</v>
      </c>
      <c r="B173" s="260" t="s">
        <v>1</v>
      </c>
      <c r="C173" s="260" t="s">
        <v>35</v>
      </c>
      <c r="D173" s="261" t="s">
        <v>3</v>
      </c>
      <c r="E173" s="261" t="s">
        <v>1288</v>
      </c>
      <c r="F173" s="262"/>
      <c r="G173" s="261" t="s">
        <v>1295</v>
      </c>
      <c r="H173" s="263" t="s">
        <v>414</v>
      </c>
      <c r="I173" s="264">
        <v>1833</v>
      </c>
      <c r="J173" s="264">
        <v>1870</v>
      </c>
      <c r="K173" s="264">
        <v>1870</v>
      </c>
      <c r="L173" s="264">
        <v>1980</v>
      </c>
      <c r="M173" s="264">
        <v>1980</v>
      </c>
      <c r="N173" s="266" t="s">
        <v>1</v>
      </c>
      <c r="O173" s="266" t="s">
        <v>1</v>
      </c>
      <c r="P173" s="266" t="s">
        <v>1</v>
      </c>
      <c r="Q173" s="266" t="s">
        <v>1</v>
      </c>
      <c r="R173" s="267" t="s">
        <v>1</v>
      </c>
      <c r="S173" s="268" t="s">
        <v>1</v>
      </c>
      <c r="T173" s="268" t="s">
        <v>1</v>
      </c>
      <c r="U173" s="268" t="s">
        <v>1</v>
      </c>
      <c r="V173" s="268" t="s">
        <v>1</v>
      </c>
      <c r="W173" s="267" t="s">
        <v>1</v>
      </c>
      <c r="X173" s="266" t="s">
        <v>1</v>
      </c>
      <c r="Y173" s="266" t="s">
        <v>1</v>
      </c>
      <c r="Z173" s="266" t="s">
        <v>1</v>
      </c>
      <c r="AA173" s="267" t="s">
        <v>1</v>
      </c>
      <c r="AB173" s="267" t="s">
        <v>1</v>
      </c>
      <c r="AC173" s="268" t="s">
        <v>1</v>
      </c>
      <c r="AD173" s="268" t="s">
        <v>1</v>
      </c>
      <c r="AE173" s="268" t="s">
        <v>1</v>
      </c>
      <c r="AF173" s="269" t="s">
        <v>1</v>
      </c>
      <c r="AG173" s="269" t="s">
        <v>1</v>
      </c>
      <c r="AH173" s="269" t="s">
        <v>1</v>
      </c>
      <c r="AI173" s="270" t="s">
        <v>1</v>
      </c>
      <c r="AJ173" s="270" t="s">
        <v>1</v>
      </c>
      <c r="AK173" s="270" t="s">
        <v>1</v>
      </c>
      <c r="AL173" s="269">
        <v>0</v>
      </c>
      <c r="AM173" s="271" t="s">
        <v>1</v>
      </c>
      <c r="AN173" s="272" t="s">
        <v>1</v>
      </c>
      <c r="AO173" s="272" t="s">
        <v>1258</v>
      </c>
      <c r="AP173" s="269" t="s">
        <v>1</v>
      </c>
      <c r="AQ173" s="269" t="s">
        <v>1</v>
      </c>
      <c r="AR173" s="273" t="s">
        <v>1</v>
      </c>
      <c r="AS173" s="273" t="s">
        <v>1</v>
      </c>
      <c r="AT173" s="272" t="s">
        <v>1</v>
      </c>
      <c r="AU173" s="272" t="s">
        <v>1</v>
      </c>
      <c r="AV173" s="274" t="s">
        <v>1</v>
      </c>
      <c r="AW173" s="272" t="s">
        <v>1</v>
      </c>
    </row>
    <row r="174" spans="1:49" ht="30.15" customHeight="1" x14ac:dyDescent="0.25">
      <c r="A174" s="260" t="s">
        <v>18</v>
      </c>
      <c r="B174" s="260" t="s">
        <v>1</v>
      </c>
      <c r="C174" s="260" t="s">
        <v>35</v>
      </c>
      <c r="D174" s="261" t="s">
        <v>3</v>
      </c>
      <c r="E174" s="261" t="s">
        <v>1289</v>
      </c>
      <c r="F174" s="262"/>
      <c r="G174" s="261" t="s">
        <v>1296</v>
      </c>
      <c r="H174" s="263" t="s">
        <v>414</v>
      </c>
      <c r="I174" s="264">
        <v>2296</v>
      </c>
      <c r="J174" s="264">
        <v>2342</v>
      </c>
      <c r="K174" s="264">
        <v>2342</v>
      </c>
      <c r="L174" s="264">
        <v>2480</v>
      </c>
      <c r="M174" s="264">
        <v>2480</v>
      </c>
      <c r="N174" s="266" t="s">
        <v>1</v>
      </c>
      <c r="O174" s="266" t="s">
        <v>1</v>
      </c>
      <c r="P174" s="266" t="s">
        <v>1</v>
      </c>
      <c r="Q174" s="266" t="s">
        <v>1</v>
      </c>
      <c r="R174" s="267" t="s">
        <v>1</v>
      </c>
      <c r="S174" s="268" t="s">
        <v>1</v>
      </c>
      <c r="T174" s="268" t="s">
        <v>1</v>
      </c>
      <c r="U174" s="268" t="s">
        <v>1</v>
      </c>
      <c r="V174" s="268" t="s">
        <v>1</v>
      </c>
      <c r="W174" s="267" t="s">
        <v>1</v>
      </c>
      <c r="X174" s="266" t="s">
        <v>1</v>
      </c>
      <c r="Y174" s="266" t="s">
        <v>1</v>
      </c>
      <c r="Z174" s="266" t="s">
        <v>1</v>
      </c>
      <c r="AA174" s="267" t="s">
        <v>1</v>
      </c>
      <c r="AB174" s="267" t="s">
        <v>1</v>
      </c>
      <c r="AC174" s="268" t="s">
        <v>1</v>
      </c>
      <c r="AD174" s="268" t="s">
        <v>1</v>
      </c>
      <c r="AE174" s="268" t="s">
        <v>1</v>
      </c>
      <c r="AF174" s="269" t="s">
        <v>1</v>
      </c>
      <c r="AG174" s="269" t="s">
        <v>1</v>
      </c>
      <c r="AH174" s="269" t="s">
        <v>1</v>
      </c>
      <c r="AI174" s="270" t="s">
        <v>1</v>
      </c>
      <c r="AJ174" s="270" t="s">
        <v>1</v>
      </c>
      <c r="AK174" s="270" t="s">
        <v>1</v>
      </c>
      <c r="AL174" s="269">
        <v>0</v>
      </c>
      <c r="AM174" s="271" t="s">
        <v>1</v>
      </c>
      <c r="AN174" s="272" t="s">
        <v>1</v>
      </c>
      <c r="AO174" s="272" t="s">
        <v>1260</v>
      </c>
      <c r="AP174" s="269" t="s">
        <v>1</v>
      </c>
      <c r="AQ174" s="269" t="s">
        <v>1</v>
      </c>
      <c r="AR174" s="273" t="s">
        <v>1</v>
      </c>
      <c r="AS174" s="273" t="s">
        <v>1</v>
      </c>
      <c r="AT174" s="272" t="s">
        <v>1</v>
      </c>
      <c r="AU174" s="272" t="s">
        <v>1</v>
      </c>
      <c r="AV174" s="274" t="s">
        <v>1</v>
      </c>
      <c r="AW174" s="272" t="s">
        <v>1</v>
      </c>
    </row>
    <row r="175" spans="1:49" ht="30.15" customHeight="1" x14ac:dyDescent="0.25">
      <c r="A175" s="260" t="s">
        <v>18</v>
      </c>
      <c r="B175" s="260" t="s">
        <v>1</v>
      </c>
      <c r="C175" s="260" t="s">
        <v>35</v>
      </c>
      <c r="D175" s="261" t="s">
        <v>3</v>
      </c>
      <c r="E175" s="261" t="s">
        <v>1290</v>
      </c>
      <c r="F175" s="262"/>
      <c r="G175" s="261" t="s">
        <v>1296</v>
      </c>
      <c r="H175" s="263" t="s">
        <v>414</v>
      </c>
      <c r="I175" s="264">
        <v>2296</v>
      </c>
      <c r="J175" s="264">
        <v>2342</v>
      </c>
      <c r="K175" s="264">
        <v>2342</v>
      </c>
      <c r="L175" s="264">
        <v>2480</v>
      </c>
      <c r="M175" s="264">
        <v>2480</v>
      </c>
      <c r="N175" s="266" t="s">
        <v>1</v>
      </c>
      <c r="O175" s="266" t="s">
        <v>1</v>
      </c>
      <c r="P175" s="266" t="s">
        <v>1</v>
      </c>
      <c r="Q175" s="266" t="s">
        <v>1</v>
      </c>
      <c r="R175" s="267" t="s">
        <v>1</v>
      </c>
      <c r="S175" s="268" t="s">
        <v>1</v>
      </c>
      <c r="T175" s="268" t="s">
        <v>1</v>
      </c>
      <c r="U175" s="268" t="s">
        <v>1</v>
      </c>
      <c r="V175" s="268" t="s">
        <v>1</v>
      </c>
      <c r="W175" s="267" t="s">
        <v>1</v>
      </c>
      <c r="X175" s="266" t="s">
        <v>1</v>
      </c>
      <c r="Y175" s="266" t="s">
        <v>1</v>
      </c>
      <c r="Z175" s="266" t="s">
        <v>1</v>
      </c>
      <c r="AA175" s="267" t="s">
        <v>1</v>
      </c>
      <c r="AB175" s="267" t="s">
        <v>1</v>
      </c>
      <c r="AC175" s="268" t="s">
        <v>1</v>
      </c>
      <c r="AD175" s="268" t="s">
        <v>1</v>
      </c>
      <c r="AE175" s="268" t="s">
        <v>1</v>
      </c>
      <c r="AF175" s="269" t="s">
        <v>1</v>
      </c>
      <c r="AG175" s="269" t="s">
        <v>1</v>
      </c>
      <c r="AH175" s="269" t="s">
        <v>1</v>
      </c>
      <c r="AI175" s="270" t="s">
        <v>1</v>
      </c>
      <c r="AJ175" s="270" t="s">
        <v>1</v>
      </c>
      <c r="AK175" s="270" t="s">
        <v>1</v>
      </c>
      <c r="AL175" s="269">
        <v>0</v>
      </c>
      <c r="AM175" s="271" t="s">
        <v>1</v>
      </c>
      <c r="AN175" s="272" t="s">
        <v>1</v>
      </c>
      <c r="AO175" s="272" t="s">
        <v>1260</v>
      </c>
      <c r="AP175" s="269" t="s">
        <v>1</v>
      </c>
      <c r="AQ175" s="269" t="s">
        <v>1</v>
      </c>
      <c r="AR175" s="273" t="s">
        <v>1</v>
      </c>
      <c r="AS175" s="273" t="s">
        <v>1</v>
      </c>
      <c r="AT175" s="272" t="s">
        <v>1</v>
      </c>
      <c r="AU175" s="272" t="s">
        <v>1</v>
      </c>
      <c r="AV175" s="274" t="s">
        <v>1</v>
      </c>
      <c r="AW175" s="272" t="s">
        <v>1</v>
      </c>
    </row>
    <row r="176" spans="1:49" ht="30.15" customHeight="1" x14ac:dyDescent="0.25">
      <c r="A176" s="260" t="s">
        <v>18</v>
      </c>
      <c r="B176" s="260" t="s">
        <v>1</v>
      </c>
      <c r="C176" s="260" t="s">
        <v>35</v>
      </c>
      <c r="D176" s="261" t="s">
        <v>3</v>
      </c>
      <c r="E176" s="261" t="s">
        <v>1291</v>
      </c>
      <c r="F176" s="262"/>
      <c r="G176" s="261" t="s">
        <v>1297</v>
      </c>
      <c r="H176" s="263" t="s">
        <v>414</v>
      </c>
      <c r="I176" s="264">
        <v>2759</v>
      </c>
      <c r="J176" s="264">
        <v>2814</v>
      </c>
      <c r="K176" s="264">
        <v>2814</v>
      </c>
      <c r="L176" s="264">
        <v>2980</v>
      </c>
      <c r="M176" s="264">
        <v>2980</v>
      </c>
      <c r="N176" s="266" t="s">
        <v>1</v>
      </c>
      <c r="O176" s="266" t="s">
        <v>1</v>
      </c>
      <c r="P176" s="266" t="s">
        <v>1</v>
      </c>
      <c r="Q176" s="266" t="s">
        <v>1</v>
      </c>
      <c r="R176" s="267" t="s">
        <v>1</v>
      </c>
      <c r="S176" s="268" t="s">
        <v>1</v>
      </c>
      <c r="T176" s="268" t="s">
        <v>1</v>
      </c>
      <c r="U176" s="268" t="s">
        <v>1</v>
      </c>
      <c r="V176" s="268" t="s">
        <v>1</v>
      </c>
      <c r="W176" s="267" t="s">
        <v>1</v>
      </c>
      <c r="X176" s="266" t="s">
        <v>1</v>
      </c>
      <c r="Y176" s="266" t="s">
        <v>1</v>
      </c>
      <c r="Z176" s="266" t="s">
        <v>1</v>
      </c>
      <c r="AA176" s="267" t="s">
        <v>1</v>
      </c>
      <c r="AB176" s="267" t="s">
        <v>1</v>
      </c>
      <c r="AC176" s="268" t="s">
        <v>1</v>
      </c>
      <c r="AD176" s="268" t="s">
        <v>1</v>
      </c>
      <c r="AE176" s="268" t="s">
        <v>1</v>
      </c>
      <c r="AF176" s="269" t="s">
        <v>1</v>
      </c>
      <c r="AG176" s="269" t="s">
        <v>1</v>
      </c>
      <c r="AH176" s="269" t="s">
        <v>1</v>
      </c>
      <c r="AI176" s="270" t="s">
        <v>1</v>
      </c>
      <c r="AJ176" s="270" t="s">
        <v>1</v>
      </c>
      <c r="AK176" s="270" t="s">
        <v>1</v>
      </c>
      <c r="AL176" s="269">
        <v>0</v>
      </c>
      <c r="AM176" s="271" t="s">
        <v>1</v>
      </c>
      <c r="AN176" s="272" t="s">
        <v>1</v>
      </c>
      <c r="AO176" s="272" t="s">
        <v>1298</v>
      </c>
      <c r="AP176" s="269" t="s">
        <v>1</v>
      </c>
      <c r="AQ176" s="269" t="s">
        <v>1</v>
      </c>
      <c r="AR176" s="273" t="s">
        <v>1</v>
      </c>
      <c r="AS176" s="273" t="s">
        <v>1</v>
      </c>
      <c r="AT176" s="272" t="s">
        <v>1</v>
      </c>
      <c r="AU176" s="272" t="s">
        <v>1</v>
      </c>
      <c r="AV176" s="274" t="s">
        <v>1</v>
      </c>
      <c r="AW176" s="272" t="s">
        <v>1</v>
      </c>
    </row>
    <row r="177" spans="1:49" ht="30.15" customHeight="1" x14ac:dyDescent="0.25">
      <c r="A177" s="260" t="s">
        <v>18</v>
      </c>
      <c r="B177" s="260" t="s">
        <v>1</v>
      </c>
      <c r="C177" s="260" t="s">
        <v>35</v>
      </c>
      <c r="D177" s="261" t="s">
        <v>3</v>
      </c>
      <c r="E177" s="261" t="s">
        <v>1292</v>
      </c>
      <c r="F177" s="262"/>
      <c r="G177" s="261" t="s">
        <v>1297</v>
      </c>
      <c r="H177" s="263" t="s">
        <v>414</v>
      </c>
      <c r="I177" s="264">
        <v>2759</v>
      </c>
      <c r="J177" s="264">
        <v>2814</v>
      </c>
      <c r="K177" s="264">
        <v>2814</v>
      </c>
      <c r="L177" s="264">
        <v>2980</v>
      </c>
      <c r="M177" s="264">
        <v>2980</v>
      </c>
      <c r="N177" s="266" t="s">
        <v>1</v>
      </c>
      <c r="O177" s="266" t="s">
        <v>1</v>
      </c>
      <c r="P177" s="266" t="s">
        <v>1</v>
      </c>
      <c r="Q177" s="266" t="s">
        <v>1</v>
      </c>
      <c r="R177" s="267" t="s">
        <v>1</v>
      </c>
      <c r="S177" s="268" t="s">
        <v>1</v>
      </c>
      <c r="T177" s="268" t="s">
        <v>1</v>
      </c>
      <c r="U177" s="268" t="s">
        <v>1</v>
      </c>
      <c r="V177" s="268" t="s">
        <v>1</v>
      </c>
      <c r="W177" s="267" t="s">
        <v>1</v>
      </c>
      <c r="X177" s="266" t="s">
        <v>1</v>
      </c>
      <c r="Y177" s="266" t="s">
        <v>1</v>
      </c>
      <c r="Z177" s="266" t="s">
        <v>1</v>
      </c>
      <c r="AA177" s="267" t="s">
        <v>1</v>
      </c>
      <c r="AB177" s="267" t="s">
        <v>1</v>
      </c>
      <c r="AC177" s="268" t="s">
        <v>1</v>
      </c>
      <c r="AD177" s="268" t="s">
        <v>1</v>
      </c>
      <c r="AE177" s="268" t="s">
        <v>1</v>
      </c>
      <c r="AF177" s="269" t="s">
        <v>1</v>
      </c>
      <c r="AG177" s="269" t="s">
        <v>1</v>
      </c>
      <c r="AH177" s="269" t="s">
        <v>1</v>
      </c>
      <c r="AI177" s="270" t="s">
        <v>1</v>
      </c>
      <c r="AJ177" s="270" t="s">
        <v>1</v>
      </c>
      <c r="AK177" s="270" t="s">
        <v>1</v>
      </c>
      <c r="AL177" s="269">
        <v>0</v>
      </c>
      <c r="AM177" s="271" t="s">
        <v>1</v>
      </c>
      <c r="AN177" s="272" t="s">
        <v>1</v>
      </c>
      <c r="AO177" s="272" t="s">
        <v>1298</v>
      </c>
      <c r="AP177" s="269" t="s">
        <v>1</v>
      </c>
      <c r="AQ177" s="269" t="s">
        <v>1</v>
      </c>
      <c r="AR177" s="273" t="s">
        <v>1</v>
      </c>
      <c r="AS177" s="273" t="s">
        <v>1</v>
      </c>
      <c r="AT177" s="272" t="s">
        <v>1</v>
      </c>
      <c r="AU177" s="272" t="s">
        <v>1</v>
      </c>
      <c r="AV177" s="274" t="s">
        <v>1</v>
      </c>
      <c r="AW177" s="272" t="s">
        <v>1</v>
      </c>
    </row>
    <row r="178" spans="1:49" ht="30.15" customHeight="1" x14ac:dyDescent="0.25">
      <c r="A178" s="188" t="s">
        <v>18</v>
      </c>
      <c r="B178" s="189" t="s">
        <v>1</v>
      </c>
      <c r="C178" s="212" t="s">
        <v>34</v>
      </c>
      <c r="D178" s="190" t="s">
        <v>3</v>
      </c>
      <c r="E178" s="190" t="s">
        <v>248</v>
      </c>
      <c r="F178" s="203"/>
      <c r="G178" s="190" t="s">
        <v>252</v>
      </c>
      <c r="H178" s="192" t="s">
        <v>409</v>
      </c>
      <c r="I178" s="193">
        <v>450</v>
      </c>
      <c r="J178" s="193">
        <v>469</v>
      </c>
      <c r="K178" s="193">
        <v>469</v>
      </c>
      <c r="L178" s="194">
        <v>489</v>
      </c>
      <c r="M178" s="194">
        <v>489</v>
      </c>
      <c r="N178" s="195">
        <v>0</v>
      </c>
      <c r="O178" s="195" t="s">
        <v>1</v>
      </c>
      <c r="P178" s="195" t="s">
        <v>1</v>
      </c>
      <c r="Q178" s="195" t="s">
        <v>1</v>
      </c>
      <c r="R178" s="196" t="s">
        <v>1252</v>
      </c>
      <c r="S178" s="197">
        <v>0</v>
      </c>
      <c r="T178" s="197" t="s">
        <v>1</v>
      </c>
      <c r="U178" s="197" t="s">
        <v>1</v>
      </c>
      <c r="V178" s="197" t="s">
        <v>1</v>
      </c>
      <c r="W178" s="196" t="s">
        <v>1252</v>
      </c>
      <c r="X178" s="195">
        <v>0</v>
      </c>
      <c r="Y178" s="195" t="s">
        <v>1</v>
      </c>
      <c r="Z178" s="195" t="s">
        <v>1</v>
      </c>
      <c r="AA178" s="196" t="s">
        <v>1</v>
      </c>
      <c r="AB178" s="196" t="s">
        <v>1</v>
      </c>
      <c r="AC178" s="197">
        <v>0</v>
      </c>
      <c r="AD178" s="197" t="s">
        <v>1</v>
      </c>
      <c r="AE178" s="197" t="s">
        <v>1</v>
      </c>
      <c r="AF178" s="198" t="s">
        <v>1</v>
      </c>
      <c r="AG178" s="198" t="s">
        <v>1</v>
      </c>
      <c r="AH178" s="198">
        <v>0</v>
      </c>
      <c r="AI178" s="209" t="s">
        <v>1</v>
      </c>
      <c r="AJ178" s="209" t="s">
        <v>1</v>
      </c>
      <c r="AK178" s="209" t="s">
        <v>1252</v>
      </c>
      <c r="AL178" s="198" t="s">
        <v>1</v>
      </c>
      <c r="AM178" s="200" t="s">
        <v>1</v>
      </c>
      <c r="AN178" s="199" t="s">
        <v>1</v>
      </c>
      <c r="AO178" s="199" t="s">
        <v>1</v>
      </c>
      <c r="AP178" s="198" t="s">
        <v>1</v>
      </c>
      <c r="AQ178" s="198" t="s">
        <v>1</v>
      </c>
      <c r="AR178" s="201" t="s">
        <v>1</v>
      </c>
      <c r="AS178" s="201" t="s">
        <v>1</v>
      </c>
      <c r="AT178" s="199" t="s">
        <v>1</v>
      </c>
      <c r="AU178" s="199" t="s">
        <v>1</v>
      </c>
      <c r="AV178" s="202" t="s">
        <v>1</v>
      </c>
      <c r="AW178" s="199" t="s">
        <v>1</v>
      </c>
    </row>
    <row r="179" spans="1:49" ht="30.15" customHeight="1" x14ac:dyDescent="0.25">
      <c r="A179" s="188" t="s">
        <v>18</v>
      </c>
      <c r="B179" s="189" t="s">
        <v>1</v>
      </c>
      <c r="C179" s="212" t="s">
        <v>34</v>
      </c>
      <c r="D179" s="190" t="s">
        <v>3</v>
      </c>
      <c r="E179" s="190" t="s">
        <v>251</v>
      </c>
      <c r="F179" s="203"/>
      <c r="G179" s="190" t="s">
        <v>252</v>
      </c>
      <c r="H179" s="192" t="s">
        <v>409</v>
      </c>
      <c r="I179" s="193">
        <v>450</v>
      </c>
      <c r="J179" s="193">
        <v>469</v>
      </c>
      <c r="K179" s="193">
        <v>469</v>
      </c>
      <c r="L179" s="194">
        <v>489</v>
      </c>
      <c r="M179" s="194">
        <v>489</v>
      </c>
      <c r="N179" s="195">
        <v>0</v>
      </c>
      <c r="O179" s="195" t="s">
        <v>1</v>
      </c>
      <c r="P179" s="195" t="s">
        <v>1</v>
      </c>
      <c r="Q179" s="195" t="s">
        <v>1</v>
      </c>
      <c r="R179" s="196" t="s">
        <v>1252</v>
      </c>
      <c r="S179" s="197">
        <v>0</v>
      </c>
      <c r="T179" s="197" t="s">
        <v>1</v>
      </c>
      <c r="U179" s="197" t="s">
        <v>1</v>
      </c>
      <c r="V179" s="197" t="s">
        <v>1</v>
      </c>
      <c r="W179" s="196" t="s">
        <v>1252</v>
      </c>
      <c r="X179" s="195">
        <v>0</v>
      </c>
      <c r="Y179" s="195" t="s">
        <v>1</v>
      </c>
      <c r="Z179" s="195" t="s">
        <v>1</v>
      </c>
      <c r="AA179" s="196" t="s">
        <v>1</v>
      </c>
      <c r="AB179" s="196" t="s">
        <v>1</v>
      </c>
      <c r="AC179" s="197">
        <v>0</v>
      </c>
      <c r="AD179" s="197" t="s">
        <v>1</v>
      </c>
      <c r="AE179" s="197" t="s">
        <v>1</v>
      </c>
      <c r="AF179" s="198" t="s">
        <v>1</v>
      </c>
      <c r="AG179" s="198" t="s">
        <v>1</v>
      </c>
      <c r="AH179" s="198">
        <v>0</v>
      </c>
      <c r="AI179" s="209" t="s">
        <v>1</v>
      </c>
      <c r="AJ179" s="209" t="s">
        <v>1</v>
      </c>
      <c r="AK179" s="209" t="s">
        <v>1252</v>
      </c>
      <c r="AL179" s="198" t="s">
        <v>1</v>
      </c>
      <c r="AM179" s="200" t="s">
        <v>1</v>
      </c>
      <c r="AN179" s="199" t="s">
        <v>1</v>
      </c>
      <c r="AO179" s="199" t="s">
        <v>1</v>
      </c>
      <c r="AP179" s="198" t="s">
        <v>1</v>
      </c>
      <c r="AQ179" s="198" t="s">
        <v>1</v>
      </c>
      <c r="AR179" s="201" t="s">
        <v>1</v>
      </c>
      <c r="AS179" s="201" t="s">
        <v>1</v>
      </c>
      <c r="AT179" s="199" t="s">
        <v>1</v>
      </c>
      <c r="AU179" s="199" t="s">
        <v>1</v>
      </c>
      <c r="AV179" s="202" t="s">
        <v>1</v>
      </c>
      <c r="AW179" s="199" t="s">
        <v>1</v>
      </c>
    </row>
    <row r="180" spans="1:49" ht="30.15" customHeight="1" x14ac:dyDescent="0.25">
      <c r="A180" s="188" t="s">
        <v>18</v>
      </c>
      <c r="B180" s="189" t="s">
        <v>1</v>
      </c>
      <c r="C180" s="212" t="s">
        <v>34</v>
      </c>
      <c r="D180" s="190" t="s">
        <v>3</v>
      </c>
      <c r="E180" s="190" t="s">
        <v>254</v>
      </c>
      <c r="F180" s="203"/>
      <c r="G180" s="190" t="s">
        <v>261</v>
      </c>
      <c r="H180" s="192" t="s">
        <v>409</v>
      </c>
      <c r="I180" s="193">
        <v>579</v>
      </c>
      <c r="J180" s="193">
        <v>599</v>
      </c>
      <c r="K180" s="193">
        <v>599</v>
      </c>
      <c r="L180" s="194">
        <v>629</v>
      </c>
      <c r="M180" s="194">
        <v>629</v>
      </c>
      <c r="N180" s="195">
        <v>0</v>
      </c>
      <c r="O180" s="195" t="s">
        <v>1</v>
      </c>
      <c r="P180" s="195" t="s">
        <v>1</v>
      </c>
      <c r="Q180" s="195" t="s">
        <v>1</v>
      </c>
      <c r="R180" s="196" t="s">
        <v>1252</v>
      </c>
      <c r="S180" s="197">
        <v>0</v>
      </c>
      <c r="T180" s="197" t="s">
        <v>1</v>
      </c>
      <c r="U180" s="197" t="s">
        <v>1</v>
      </c>
      <c r="V180" s="197" t="s">
        <v>1</v>
      </c>
      <c r="W180" s="196" t="s">
        <v>1252</v>
      </c>
      <c r="X180" s="195">
        <v>0</v>
      </c>
      <c r="Y180" s="195" t="s">
        <v>1</v>
      </c>
      <c r="Z180" s="195" t="s">
        <v>1</v>
      </c>
      <c r="AA180" s="196" t="s">
        <v>1</v>
      </c>
      <c r="AB180" s="196" t="s">
        <v>1</v>
      </c>
      <c r="AC180" s="197">
        <v>0</v>
      </c>
      <c r="AD180" s="197" t="s">
        <v>1</v>
      </c>
      <c r="AE180" s="197" t="s">
        <v>1</v>
      </c>
      <c r="AF180" s="198" t="s">
        <v>1</v>
      </c>
      <c r="AG180" s="198" t="s">
        <v>1</v>
      </c>
      <c r="AH180" s="198" t="s">
        <v>1</v>
      </c>
      <c r="AI180" s="209" t="s">
        <v>1</v>
      </c>
      <c r="AJ180" s="209" t="s">
        <v>1</v>
      </c>
      <c r="AK180" s="209" t="s">
        <v>1</v>
      </c>
      <c r="AL180" s="198" t="s">
        <v>1</v>
      </c>
      <c r="AM180" s="200" t="s">
        <v>1</v>
      </c>
      <c r="AN180" s="199" t="s">
        <v>1</v>
      </c>
      <c r="AO180" s="199" t="s">
        <v>1</v>
      </c>
      <c r="AP180" s="198" t="s">
        <v>1</v>
      </c>
      <c r="AQ180" s="198" t="s">
        <v>1</v>
      </c>
      <c r="AR180" s="201" t="s">
        <v>1</v>
      </c>
      <c r="AS180" s="201" t="s">
        <v>1</v>
      </c>
      <c r="AT180" s="199" t="s">
        <v>1</v>
      </c>
      <c r="AU180" s="199" t="s">
        <v>1</v>
      </c>
      <c r="AV180" s="202" t="s">
        <v>1</v>
      </c>
      <c r="AW180" s="199" t="s">
        <v>1</v>
      </c>
    </row>
    <row r="181" spans="1:49" ht="30.15" customHeight="1" x14ac:dyDescent="0.25">
      <c r="A181" s="188" t="s">
        <v>18</v>
      </c>
      <c r="B181" s="189" t="s">
        <v>1</v>
      </c>
      <c r="C181" s="212" t="s">
        <v>34</v>
      </c>
      <c r="D181" s="190" t="s">
        <v>3</v>
      </c>
      <c r="E181" s="190" t="s">
        <v>255</v>
      </c>
      <c r="F181" s="203"/>
      <c r="G181" s="190" t="s">
        <v>261</v>
      </c>
      <c r="H181" s="192" t="s">
        <v>409</v>
      </c>
      <c r="I181" s="193">
        <v>579</v>
      </c>
      <c r="J181" s="193">
        <v>599</v>
      </c>
      <c r="K181" s="193">
        <v>599</v>
      </c>
      <c r="L181" s="194">
        <v>629</v>
      </c>
      <c r="M181" s="194">
        <v>629</v>
      </c>
      <c r="N181" s="195">
        <v>0</v>
      </c>
      <c r="O181" s="195" t="s">
        <v>1</v>
      </c>
      <c r="P181" s="195" t="s">
        <v>1</v>
      </c>
      <c r="Q181" s="195" t="s">
        <v>1</v>
      </c>
      <c r="R181" s="196" t="s">
        <v>1252</v>
      </c>
      <c r="S181" s="197">
        <v>0</v>
      </c>
      <c r="T181" s="197" t="s">
        <v>1</v>
      </c>
      <c r="U181" s="197" t="s">
        <v>1</v>
      </c>
      <c r="V181" s="197" t="s">
        <v>1</v>
      </c>
      <c r="W181" s="196" t="s">
        <v>1252</v>
      </c>
      <c r="X181" s="195">
        <v>0</v>
      </c>
      <c r="Y181" s="195" t="s">
        <v>1</v>
      </c>
      <c r="Z181" s="195" t="s">
        <v>1</v>
      </c>
      <c r="AA181" s="196" t="s">
        <v>1</v>
      </c>
      <c r="AB181" s="196" t="s">
        <v>1</v>
      </c>
      <c r="AC181" s="197">
        <v>0</v>
      </c>
      <c r="AD181" s="197" t="s">
        <v>1</v>
      </c>
      <c r="AE181" s="197" t="s">
        <v>1</v>
      </c>
      <c r="AF181" s="198" t="s">
        <v>1</v>
      </c>
      <c r="AG181" s="198" t="s">
        <v>1</v>
      </c>
      <c r="AH181" s="198" t="s">
        <v>1</v>
      </c>
      <c r="AI181" s="209" t="s">
        <v>1</v>
      </c>
      <c r="AJ181" s="209" t="s">
        <v>1</v>
      </c>
      <c r="AK181" s="209" t="s">
        <v>1</v>
      </c>
      <c r="AL181" s="198" t="s">
        <v>1</v>
      </c>
      <c r="AM181" s="200" t="s">
        <v>1</v>
      </c>
      <c r="AN181" s="199" t="s">
        <v>1</v>
      </c>
      <c r="AO181" s="199" t="s">
        <v>1</v>
      </c>
      <c r="AP181" s="198" t="s">
        <v>1</v>
      </c>
      <c r="AQ181" s="198" t="s">
        <v>1</v>
      </c>
      <c r="AR181" s="201" t="s">
        <v>1</v>
      </c>
      <c r="AS181" s="201" t="s">
        <v>1</v>
      </c>
      <c r="AT181" s="199" t="s">
        <v>1</v>
      </c>
      <c r="AU181" s="199" t="s">
        <v>1</v>
      </c>
      <c r="AV181" s="202" t="s">
        <v>1</v>
      </c>
      <c r="AW181" s="199" t="s">
        <v>1</v>
      </c>
    </row>
    <row r="182" spans="1:49" ht="30.15" customHeight="1" x14ac:dyDescent="0.25">
      <c r="A182" s="188" t="s">
        <v>18</v>
      </c>
      <c r="B182" s="189" t="s">
        <v>1</v>
      </c>
      <c r="C182" s="212" t="s">
        <v>34</v>
      </c>
      <c r="D182" s="190" t="s">
        <v>3</v>
      </c>
      <c r="E182" s="190" t="s">
        <v>884</v>
      </c>
      <c r="F182" s="203"/>
      <c r="G182" s="190" t="s">
        <v>893</v>
      </c>
      <c r="H182" s="192" t="s">
        <v>409</v>
      </c>
      <c r="I182" s="193">
        <v>569</v>
      </c>
      <c r="J182" s="193">
        <v>569</v>
      </c>
      <c r="K182" s="193">
        <v>569</v>
      </c>
      <c r="L182" s="194">
        <v>615</v>
      </c>
      <c r="M182" s="194">
        <v>615</v>
      </c>
      <c r="N182" s="195">
        <v>0</v>
      </c>
      <c r="O182" s="195" t="s">
        <v>1</v>
      </c>
      <c r="P182" s="195" t="s">
        <v>1</v>
      </c>
      <c r="Q182" s="195" t="s">
        <v>1</v>
      </c>
      <c r="R182" s="196" t="s">
        <v>1252</v>
      </c>
      <c r="S182" s="197">
        <v>0</v>
      </c>
      <c r="T182" s="195" t="s">
        <v>1</v>
      </c>
      <c r="U182" s="195" t="s">
        <v>1</v>
      </c>
      <c r="V182" s="197" t="s">
        <v>1</v>
      </c>
      <c r="W182" s="196" t="s">
        <v>1252</v>
      </c>
      <c r="X182" s="195">
        <v>0</v>
      </c>
      <c r="Y182" s="195">
        <v>5.63</v>
      </c>
      <c r="Z182" s="195">
        <v>24</v>
      </c>
      <c r="AA182" s="196" t="s">
        <v>1</v>
      </c>
      <c r="AB182" s="196" t="s">
        <v>1</v>
      </c>
      <c r="AC182" s="197">
        <v>0</v>
      </c>
      <c r="AD182" s="195">
        <v>5.63</v>
      </c>
      <c r="AE182" s="195">
        <v>24</v>
      </c>
      <c r="AF182" s="198" t="s">
        <v>1</v>
      </c>
      <c r="AG182" s="198" t="s">
        <v>1</v>
      </c>
      <c r="AH182" s="198" t="s">
        <v>1</v>
      </c>
      <c r="AI182" s="209" t="s">
        <v>1</v>
      </c>
      <c r="AJ182" s="209" t="s">
        <v>1</v>
      </c>
      <c r="AK182" s="209" t="s">
        <v>1</v>
      </c>
      <c r="AL182" s="198" t="s">
        <v>1</v>
      </c>
      <c r="AM182" s="200" t="s">
        <v>1</v>
      </c>
      <c r="AN182" s="199" t="s">
        <v>1</v>
      </c>
      <c r="AO182" s="199" t="s">
        <v>1</v>
      </c>
      <c r="AP182" s="198" t="s">
        <v>1</v>
      </c>
      <c r="AQ182" s="198" t="s">
        <v>1</v>
      </c>
      <c r="AR182" s="201" t="s">
        <v>1</v>
      </c>
      <c r="AS182" s="201" t="s">
        <v>1</v>
      </c>
      <c r="AT182" s="199" t="s">
        <v>1</v>
      </c>
      <c r="AU182" s="199" t="s">
        <v>1</v>
      </c>
      <c r="AV182" s="202" t="s">
        <v>1</v>
      </c>
      <c r="AW182" s="199" t="s">
        <v>1</v>
      </c>
    </row>
    <row r="183" spans="1:49" ht="30.15" customHeight="1" x14ac:dyDescent="0.25">
      <c r="A183" s="188" t="s">
        <v>18</v>
      </c>
      <c r="B183" s="189" t="s">
        <v>1</v>
      </c>
      <c r="C183" s="212" t="s">
        <v>34</v>
      </c>
      <c r="D183" s="190" t="s">
        <v>3</v>
      </c>
      <c r="E183" s="190" t="s">
        <v>885</v>
      </c>
      <c r="F183" s="203"/>
      <c r="G183" s="190" t="s">
        <v>893</v>
      </c>
      <c r="H183" s="192" t="s">
        <v>409</v>
      </c>
      <c r="I183" s="193">
        <v>569</v>
      </c>
      <c r="J183" s="193">
        <v>569</v>
      </c>
      <c r="K183" s="193">
        <v>569</v>
      </c>
      <c r="L183" s="194">
        <v>615</v>
      </c>
      <c r="M183" s="194">
        <v>615</v>
      </c>
      <c r="N183" s="195">
        <v>0</v>
      </c>
      <c r="O183" s="195" t="s">
        <v>1</v>
      </c>
      <c r="P183" s="195" t="s">
        <v>1</v>
      </c>
      <c r="Q183" s="195" t="s">
        <v>1</v>
      </c>
      <c r="R183" s="196" t="s">
        <v>1252</v>
      </c>
      <c r="S183" s="197">
        <v>0</v>
      </c>
      <c r="T183" s="195" t="s">
        <v>1</v>
      </c>
      <c r="U183" s="195" t="s">
        <v>1</v>
      </c>
      <c r="V183" s="197" t="s">
        <v>1</v>
      </c>
      <c r="W183" s="196" t="s">
        <v>1252</v>
      </c>
      <c r="X183" s="195">
        <v>0</v>
      </c>
      <c r="Y183" s="195">
        <v>5.63</v>
      </c>
      <c r="Z183" s="195">
        <v>24</v>
      </c>
      <c r="AA183" s="196" t="s">
        <v>1</v>
      </c>
      <c r="AB183" s="196" t="s">
        <v>1</v>
      </c>
      <c r="AC183" s="197">
        <v>0</v>
      </c>
      <c r="AD183" s="195">
        <v>5.63</v>
      </c>
      <c r="AE183" s="195">
        <v>24</v>
      </c>
      <c r="AF183" s="198" t="s">
        <v>1</v>
      </c>
      <c r="AG183" s="198" t="s">
        <v>1</v>
      </c>
      <c r="AH183" s="198" t="s">
        <v>1</v>
      </c>
      <c r="AI183" s="209" t="s">
        <v>1</v>
      </c>
      <c r="AJ183" s="209" t="s">
        <v>1</v>
      </c>
      <c r="AK183" s="209" t="s">
        <v>1</v>
      </c>
      <c r="AL183" s="198" t="s">
        <v>1</v>
      </c>
      <c r="AM183" s="200" t="s">
        <v>1</v>
      </c>
      <c r="AN183" s="199" t="s">
        <v>1</v>
      </c>
      <c r="AO183" s="199" t="s">
        <v>1</v>
      </c>
      <c r="AP183" s="198" t="s">
        <v>1</v>
      </c>
      <c r="AQ183" s="198" t="s">
        <v>1</v>
      </c>
      <c r="AR183" s="201" t="s">
        <v>1</v>
      </c>
      <c r="AS183" s="201" t="s">
        <v>1</v>
      </c>
      <c r="AT183" s="199" t="s">
        <v>1</v>
      </c>
      <c r="AU183" s="199" t="s">
        <v>1</v>
      </c>
      <c r="AV183" s="202" t="s">
        <v>1</v>
      </c>
      <c r="AW183" s="199" t="s">
        <v>1</v>
      </c>
    </row>
    <row r="184" spans="1:49" ht="30.15" customHeight="1" x14ac:dyDescent="0.25">
      <c r="A184" s="188" t="s">
        <v>18</v>
      </c>
      <c r="B184" s="189" t="s">
        <v>1</v>
      </c>
      <c r="C184" s="212" t="s">
        <v>34</v>
      </c>
      <c r="D184" s="190" t="s">
        <v>3</v>
      </c>
      <c r="E184" s="190" t="s">
        <v>886</v>
      </c>
      <c r="F184" s="203"/>
      <c r="G184" s="190" t="s">
        <v>893</v>
      </c>
      <c r="H184" s="192" t="s">
        <v>409</v>
      </c>
      <c r="I184" s="193">
        <v>569</v>
      </c>
      <c r="J184" s="193">
        <v>569</v>
      </c>
      <c r="K184" s="193">
        <v>569</v>
      </c>
      <c r="L184" s="194">
        <v>615</v>
      </c>
      <c r="M184" s="194">
        <v>615</v>
      </c>
      <c r="N184" s="195">
        <v>0</v>
      </c>
      <c r="O184" s="195" t="s">
        <v>1</v>
      </c>
      <c r="P184" s="195" t="s">
        <v>1</v>
      </c>
      <c r="Q184" s="195" t="s">
        <v>1</v>
      </c>
      <c r="R184" s="196" t="s">
        <v>1252</v>
      </c>
      <c r="S184" s="197">
        <v>0</v>
      </c>
      <c r="T184" s="195" t="s">
        <v>1</v>
      </c>
      <c r="U184" s="195" t="s">
        <v>1</v>
      </c>
      <c r="V184" s="197" t="s">
        <v>1</v>
      </c>
      <c r="W184" s="196" t="s">
        <v>1252</v>
      </c>
      <c r="X184" s="195">
        <v>0</v>
      </c>
      <c r="Y184" s="195">
        <v>5.63</v>
      </c>
      <c r="Z184" s="195">
        <v>24</v>
      </c>
      <c r="AA184" s="196" t="s">
        <v>1</v>
      </c>
      <c r="AB184" s="196" t="s">
        <v>1</v>
      </c>
      <c r="AC184" s="197">
        <v>0</v>
      </c>
      <c r="AD184" s="195">
        <v>5.63</v>
      </c>
      <c r="AE184" s="195">
        <v>24</v>
      </c>
      <c r="AF184" s="198" t="s">
        <v>1</v>
      </c>
      <c r="AG184" s="198" t="s">
        <v>1</v>
      </c>
      <c r="AH184" s="198" t="s">
        <v>1</v>
      </c>
      <c r="AI184" s="209" t="s">
        <v>1</v>
      </c>
      <c r="AJ184" s="209" t="s">
        <v>1</v>
      </c>
      <c r="AK184" s="209" t="s">
        <v>1</v>
      </c>
      <c r="AL184" s="198" t="s">
        <v>1</v>
      </c>
      <c r="AM184" s="200" t="s">
        <v>1</v>
      </c>
      <c r="AN184" s="199" t="s">
        <v>1</v>
      </c>
      <c r="AO184" s="199" t="s">
        <v>1</v>
      </c>
      <c r="AP184" s="198" t="s">
        <v>1</v>
      </c>
      <c r="AQ184" s="198" t="s">
        <v>1</v>
      </c>
      <c r="AR184" s="201" t="s">
        <v>1</v>
      </c>
      <c r="AS184" s="201" t="s">
        <v>1</v>
      </c>
      <c r="AT184" s="199" t="s">
        <v>1</v>
      </c>
      <c r="AU184" s="199" t="s">
        <v>1</v>
      </c>
      <c r="AV184" s="202" t="s">
        <v>1</v>
      </c>
      <c r="AW184" s="199" t="s">
        <v>1</v>
      </c>
    </row>
    <row r="185" spans="1:49" ht="30.15" customHeight="1" x14ac:dyDescent="0.25">
      <c r="A185" s="188" t="s">
        <v>18</v>
      </c>
      <c r="B185" s="189" t="s">
        <v>1</v>
      </c>
      <c r="C185" s="212" t="s">
        <v>34</v>
      </c>
      <c r="D185" s="190" t="s">
        <v>3</v>
      </c>
      <c r="E185" s="190" t="s">
        <v>887</v>
      </c>
      <c r="F185" s="203"/>
      <c r="G185" s="190" t="s">
        <v>894</v>
      </c>
      <c r="H185" s="192" t="s">
        <v>409</v>
      </c>
      <c r="I185" s="193">
        <v>639</v>
      </c>
      <c r="J185" s="193">
        <v>639</v>
      </c>
      <c r="K185" s="193">
        <v>639</v>
      </c>
      <c r="L185" s="194">
        <v>690</v>
      </c>
      <c r="M185" s="194">
        <v>690</v>
      </c>
      <c r="N185" s="195">
        <v>0</v>
      </c>
      <c r="O185" s="195" t="s">
        <v>1</v>
      </c>
      <c r="P185" s="195" t="s">
        <v>1</v>
      </c>
      <c r="Q185" s="195" t="s">
        <v>1</v>
      </c>
      <c r="R185" s="196" t="s">
        <v>1252</v>
      </c>
      <c r="S185" s="197">
        <v>0</v>
      </c>
      <c r="T185" s="195" t="s">
        <v>1</v>
      </c>
      <c r="U185" s="195" t="s">
        <v>1</v>
      </c>
      <c r="V185" s="197" t="s">
        <v>1</v>
      </c>
      <c r="W185" s="196" t="s">
        <v>1252</v>
      </c>
      <c r="X185" s="195">
        <v>0</v>
      </c>
      <c r="Y185" s="195">
        <v>5.63</v>
      </c>
      <c r="Z185" s="195">
        <v>24</v>
      </c>
      <c r="AA185" s="196" t="s">
        <v>1</v>
      </c>
      <c r="AB185" s="196" t="s">
        <v>1</v>
      </c>
      <c r="AC185" s="197">
        <v>0</v>
      </c>
      <c r="AD185" s="195">
        <v>5.63</v>
      </c>
      <c r="AE185" s="195">
        <v>24</v>
      </c>
      <c r="AF185" s="198" t="s">
        <v>1</v>
      </c>
      <c r="AG185" s="198" t="s">
        <v>1</v>
      </c>
      <c r="AH185" s="198" t="s">
        <v>1</v>
      </c>
      <c r="AI185" s="209" t="s">
        <v>1</v>
      </c>
      <c r="AJ185" s="209" t="s">
        <v>1</v>
      </c>
      <c r="AK185" s="209" t="s">
        <v>1</v>
      </c>
      <c r="AL185" s="198" t="s">
        <v>1</v>
      </c>
      <c r="AM185" s="200" t="s">
        <v>1</v>
      </c>
      <c r="AN185" s="199" t="s">
        <v>1</v>
      </c>
      <c r="AO185" s="199" t="s">
        <v>1</v>
      </c>
      <c r="AP185" s="198" t="s">
        <v>1</v>
      </c>
      <c r="AQ185" s="198" t="s">
        <v>1</v>
      </c>
      <c r="AR185" s="201" t="s">
        <v>1</v>
      </c>
      <c r="AS185" s="201" t="s">
        <v>1</v>
      </c>
      <c r="AT185" s="199" t="s">
        <v>1</v>
      </c>
      <c r="AU185" s="199" t="s">
        <v>1</v>
      </c>
      <c r="AV185" s="202" t="s">
        <v>1</v>
      </c>
      <c r="AW185" s="199" t="s">
        <v>1</v>
      </c>
    </row>
    <row r="186" spans="1:49" ht="30.15" customHeight="1" x14ac:dyDescent="0.25">
      <c r="A186" s="188" t="s">
        <v>18</v>
      </c>
      <c r="B186" s="189" t="s">
        <v>1</v>
      </c>
      <c r="C186" s="212" t="s">
        <v>34</v>
      </c>
      <c r="D186" s="190" t="s">
        <v>3</v>
      </c>
      <c r="E186" s="190" t="s">
        <v>888</v>
      </c>
      <c r="F186" s="203"/>
      <c r="G186" s="190" t="s">
        <v>894</v>
      </c>
      <c r="H186" s="192" t="s">
        <v>409</v>
      </c>
      <c r="I186" s="193">
        <v>639</v>
      </c>
      <c r="J186" s="193">
        <v>639</v>
      </c>
      <c r="K186" s="193">
        <v>639</v>
      </c>
      <c r="L186" s="194">
        <v>690</v>
      </c>
      <c r="M186" s="194">
        <v>690</v>
      </c>
      <c r="N186" s="195">
        <v>0</v>
      </c>
      <c r="O186" s="195" t="s">
        <v>1</v>
      </c>
      <c r="P186" s="195" t="s">
        <v>1</v>
      </c>
      <c r="Q186" s="195" t="s">
        <v>1</v>
      </c>
      <c r="R186" s="196" t="s">
        <v>1252</v>
      </c>
      <c r="S186" s="197">
        <v>0</v>
      </c>
      <c r="T186" s="195" t="s">
        <v>1</v>
      </c>
      <c r="U186" s="195" t="s">
        <v>1</v>
      </c>
      <c r="V186" s="197" t="s">
        <v>1</v>
      </c>
      <c r="W186" s="196" t="s">
        <v>1252</v>
      </c>
      <c r="X186" s="195">
        <v>0</v>
      </c>
      <c r="Y186" s="195">
        <v>5.63</v>
      </c>
      <c r="Z186" s="195">
        <v>24</v>
      </c>
      <c r="AA186" s="196" t="s">
        <v>1</v>
      </c>
      <c r="AB186" s="196" t="s">
        <v>1</v>
      </c>
      <c r="AC186" s="197">
        <v>0</v>
      </c>
      <c r="AD186" s="195">
        <v>5.63</v>
      </c>
      <c r="AE186" s="195">
        <v>24</v>
      </c>
      <c r="AF186" s="198" t="s">
        <v>1</v>
      </c>
      <c r="AG186" s="198" t="s">
        <v>1</v>
      </c>
      <c r="AH186" s="198" t="s">
        <v>1</v>
      </c>
      <c r="AI186" s="209" t="s">
        <v>1</v>
      </c>
      <c r="AJ186" s="209" t="s">
        <v>1</v>
      </c>
      <c r="AK186" s="209" t="s">
        <v>1</v>
      </c>
      <c r="AL186" s="198" t="s">
        <v>1</v>
      </c>
      <c r="AM186" s="200" t="s">
        <v>1</v>
      </c>
      <c r="AN186" s="199" t="s">
        <v>1</v>
      </c>
      <c r="AO186" s="199" t="s">
        <v>1</v>
      </c>
      <c r="AP186" s="198" t="s">
        <v>1</v>
      </c>
      <c r="AQ186" s="198" t="s">
        <v>1</v>
      </c>
      <c r="AR186" s="201" t="s">
        <v>1</v>
      </c>
      <c r="AS186" s="201" t="s">
        <v>1</v>
      </c>
      <c r="AT186" s="199" t="s">
        <v>1</v>
      </c>
      <c r="AU186" s="199" t="s">
        <v>1</v>
      </c>
      <c r="AV186" s="202" t="s">
        <v>1</v>
      </c>
      <c r="AW186" s="199" t="s">
        <v>1</v>
      </c>
    </row>
    <row r="187" spans="1:49" ht="30.15" customHeight="1" x14ac:dyDescent="0.25">
      <c r="A187" s="188" t="s">
        <v>18</v>
      </c>
      <c r="B187" s="189" t="s">
        <v>1</v>
      </c>
      <c r="C187" s="212" t="s">
        <v>34</v>
      </c>
      <c r="D187" s="190" t="s">
        <v>3</v>
      </c>
      <c r="E187" s="190" t="s">
        <v>889</v>
      </c>
      <c r="F187" s="203"/>
      <c r="G187" s="190" t="s">
        <v>894</v>
      </c>
      <c r="H187" s="192" t="s">
        <v>414</v>
      </c>
      <c r="I187" s="193">
        <v>639</v>
      </c>
      <c r="J187" s="193">
        <v>639</v>
      </c>
      <c r="K187" s="193">
        <v>639</v>
      </c>
      <c r="L187" s="194">
        <v>690</v>
      </c>
      <c r="M187" s="194">
        <v>690</v>
      </c>
      <c r="N187" s="195">
        <v>0</v>
      </c>
      <c r="O187" s="195" t="s">
        <v>1</v>
      </c>
      <c r="P187" s="195" t="s">
        <v>1</v>
      </c>
      <c r="Q187" s="195" t="s">
        <v>1</v>
      </c>
      <c r="R187" s="196" t="s">
        <v>1252</v>
      </c>
      <c r="S187" s="197">
        <v>0</v>
      </c>
      <c r="T187" s="195" t="s">
        <v>1</v>
      </c>
      <c r="U187" s="195" t="s">
        <v>1</v>
      </c>
      <c r="V187" s="197" t="s">
        <v>1</v>
      </c>
      <c r="W187" s="196" t="s">
        <v>1252</v>
      </c>
      <c r="X187" s="195">
        <v>0</v>
      </c>
      <c r="Y187" s="195">
        <v>5.63</v>
      </c>
      <c r="Z187" s="195">
        <v>24</v>
      </c>
      <c r="AA187" s="196" t="s">
        <v>1</v>
      </c>
      <c r="AB187" s="196" t="s">
        <v>1</v>
      </c>
      <c r="AC187" s="197">
        <v>0</v>
      </c>
      <c r="AD187" s="195">
        <v>5.63</v>
      </c>
      <c r="AE187" s="195">
        <v>24</v>
      </c>
      <c r="AF187" s="198" t="s">
        <v>1</v>
      </c>
      <c r="AG187" s="198" t="s">
        <v>1</v>
      </c>
      <c r="AH187" s="198" t="s">
        <v>1</v>
      </c>
      <c r="AI187" s="209" t="s">
        <v>1</v>
      </c>
      <c r="AJ187" s="209" t="s">
        <v>1</v>
      </c>
      <c r="AK187" s="209" t="s">
        <v>1</v>
      </c>
      <c r="AL187" s="198" t="s">
        <v>1</v>
      </c>
      <c r="AM187" s="200" t="s">
        <v>1</v>
      </c>
      <c r="AN187" s="199" t="s">
        <v>1</v>
      </c>
      <c r="AO187" s="199" t="s">
        <v>1</v>
      </c>
      <c r="AP187" s="198" t="s">
        <v>1</v>
      </c>
      <c r="AQ187" s="198" t="s">
        <v>1</v>
      </c>
      <c r="AR187" s="201" t="s">
        <v>1</v>
      </c>
      <c r="AS187" s="201" t="s">
        <v>1</v>
      </c>
      <c r="AT187" s="199" t="s">
        <v>1</v>
      </c>
      <c r="AU187" s="199" t="s">
        <v>1</v>
      </c>
      <c r="AV187" s="202" t="s">
        <v>1</v>
      </c>
      <c r="AW187" s="199" t="s">
        <v>1</v>
      </c>
    </row>
    <row r="188" spans="1:49" ht="30.15" customHeight="1" x14ac:dyDescent="0.25">
      <c r="A188" s="188" t="s">
        <v>18</v>
      </c>
      <c r="B188" s="189" t="s">
        <v>1</v>
      </c>
      <c r="C188" s="212" t="s">
        <v>34</v>
      </c>
      <c r="D188" s="190" t="s">
        <v>3</v>
      </c>
      <c r="E188" s="190" t="s">
        <v>890</v>
      </c>
      <c r="F188" s="203"/>
      <c r="G188" s="190" t="s">
        <v>895</v>
      </c>
      <c r="H188" s="192" t="s">
        <v>414</v>
      </c>
      <c r="I188" s="193">
        <v>769</v>
      </c>
      <c r="J188" s="193">
        <v>769</v>
      </c>
      <c r="K188" s="193">
        <v>769</v>
      </c>
      <c r="L188" s="194">
        <v>830</v>
      </c>
      <c r="M188" s="194">
        <v>830</v>
      </c>
      <c r="N188" s="195">
        <v>0</v>
      </c>
      <c r="O188" s="195" t="s">
        <v>1</v>
      </c>
      <c r="P188" s="195" t="s">
        <v>1</v>
      </c>
      <c r="Q188" s="195" t="s">
        <v>1</v>
      </c>
      <c r="R188" s="196" t="s">
        <v>1253</v>
      </c>
      <c r="S188" s="197">
        <v>0</v>
      </c>
      <c r="T188" s="195" t="s">
        <v>1</v>
      </c>
      <c r="U188" s="195" t="s">
        <v>1</v>
      </c>
      <c r="V188" s="197" t="s">
        <v>1</v>
      </c>
      <c r="W188" s="196" t="s">
        <v>1253</v>
      </c>
      <c r="X188" s="195">
        <v>0</v>
      </c>
      <c r="Y188" s="195">
        <v>5.63</v>
      </c>
      <c r="Z188" s="195">
        <v>24</v>
      </c>
      <c r="AA188" s="196" t="s">
        <v>1</v>
      </c>
      <c r="AB188" s="196" t="s">
        <v>1</v>
      </c>
      <c r="AC188" s="197">
        <v>0</v>
      </c>
      <c r="AD188" s="195">
        <v>5.63</v>
      </c>
      <c r="AE188" s="195">
        <v>24</v>
      </c>
      <c r="AF188" s="198" t="s">
        <v>1</v>
      </c>
      <c r="AG188" s="198" t="s">
        <v>1</v>
      </c>
      <c r="AH188" s="198" t="s">
        <v>1</v>
      </c>
      <c r="AI188" s="209" t="s">
        <v>1</v>
      </c>
      <c r="AJ188" s="209" t="s">
        <v>1</v>
      </c>
      <c r="AK188" s="209" t="s">
        <v>1</v>
      </c>
      <c r="AL188" s="198" t="s">
        <v>1</v>
      </c>
      <c r="AM188" s="200" t="s">
        <v>1</v>
      </c>
      <c r="AN188" s="199" t="s">
        <v>1</v>
      </c>
      <c r="AO188" s="199" t="s">
        <v>1</v>
      </c>
      <c r="AP188" s="198" t="s">
        <v>1</v>
      </c>
      <c r="AQ188" s="198" t="s">
        <v>1</v>
      </c>
      <c r="AR188" s="201" t="s">
        <v>1</v>
      </c>
      <c r="AS188" s="201" t="s">
        <v>1</v>
      </c>
      <c r="AT188" s="199" t="s">
        <v>1</v>
      </c>
      <c r="AU188" s="199" t="s">
        <v>1</v>
      </c>
      <c r="AV188" s="202" t="s">
        <v>1</v>
      </c>
      <c r="AW188" s="199" t="s">
        <v>1</v>
      </c>
    </row>
    <row r="189" spans="1:49" ht="30.15" customHeight="1" x14ac:dyDescent="0.25">
      <c r="A189" s="188" t="s">
        <v>18</v>
      </c>
      <c r="B189" s="189" t="s">
        <v>1</v>
      </c>
      <c r="C189" s="212" t="s">
        <v>34</v>
      </c>
      <c r="D189" s="190" t="s">
        <v>3</v>
      </c>
      <c r="E189" s="190" t="s">
        <v>891</v>
      </c>
      <c r="F189" s="203"/>
      <c r="G189" s="190" t="s">
        <v>895</v>
      </c>
      <c r="H189" s="192" t="s">
        <v>409</v>
      </c>
      <c r="I189" s="193">
        <v>769</v>
      </c>
      <c r="J189" s="193">
        <v>769</v>
      </c>
      <c r="K189" s="193">
        <v>769</v>
      </c>
      <c r="L189" s="194">
        <v>830</v>
      </c>
      <c r="M189" s="194">
        <v>830</v>
      </c>
      <c r="N189" s="195">
        <v>0</v>
      </c>
      <c r="O189" s="195" t="s">
        <v>1</v>
      </c>
      <c r="P189" s="195" t="s">
        <v>1</v>
      </c>
      <c r="Q189" s="195" t="s">
        <v>1</v>
      </c>
      <c r="R189" s="196" t="s">
        <v>1253</v>
      </c>
      <c r="S189" s="197">
        <v>0</v>
      </c>
      <c r="T189" s="195" t="s">
        <v>1</v>
      </c>
      <c r="U189" s="195" t="s">
        <v>1</v>
      </c>
      <c r="V189" s="197" t="s">
        <v>1</v>
      </c>
      <c r="W189" s="196" t="s">
        <v>1253</v>
      </c>
      <c r="X189" s="195">
        <v>0</v>
      </c>
      <c r="Y189" s="195">
        <v>5.63</v>
      </c>
      <c r="Z189" s="195">
        <v>24</v>
      </c>
      <c r="AA189" s="196" t="s">
        <v>1</v>
      </c>
      <c r="AB189" s="196" t="s">
        <v>1</v>
      </c>
      <c r="AC189" s="197">
        <v>0</v>
      </c>
      <c r="AD189" s="195">
        <v>5.63</v>
      </c>
      <c r="AE189" s="195">
        <v>24</v>
      </c>
      <c r="AF189" s="198" t="s">
        <v>1</v>
      </c>
      <c r="AG189" s="198" t="s">
        <v>1</v>
      </c>
      <c r="AH189" s="198" t="s">
        <v>1</v>
      </c>
      <c r="AI189" s="209" t="s">
        <v>1</v>
      </c>
      <c r="AJ189" s="209" t="s">
        <v>1</v>
      </c>
      <c r="AK189" s="209" t="s">
        <v>1</v>
      </c>
      <c r="AL189" s="198" t="s">
        <v>1</v>
      </c>
      <c r="AM189" s="200" t="s">
        <v>1</v>
      </c>
      <c r="AN189" s="199" t="s">
        <v>1</v>
      </c>
      <c r="AO189" s="199" t="s">
        <v>1</v>
      </c>
      <c r="AP189" s="198" t="s">
        <v>1</v>
      </c>
      <c r="AQ189" s="198" t="s">
        <v>1</v>
      </c>
      <c r="AR189" s="201" t="s">
        <v>1</v>
      </c>
      <c r="AS189" s="201" t="s">
        <v>1</v>
      </c>
      <c r="AT189" s="199" t="s">
        <v>1</v>
      </c>
      <c r="AU189" s="199" t="s">
        <v>1</v>
      </c>
      <c r="AV189" s="202" t="s">
        <v>1</v>
      </c>
      <c r="AW189" s="199" t="s">
        <v>1</v>
      </c>
    </row>
    <row r="190" spans="1:49" ht="30.15" customHeight="1" x14ac:dyDescent="0.25">
      <c r="A190" s="188" t="s">
        <v>18</v>
      </c>
      <c r="B190" s="189" t="s">
        <v>1</v>
      </c>
      <c r="C190" s="212" t="s">
        <v>34</v>
      </c>
      <c r="D190" s="190" t="s">
        <v>3</v>
      </c>
      <c r="E190" s="190" t="s">
        <v>892</v>
      </c>
      <c r="F190" s="203"/>
      <c r="G190" s="190" t="s">
        <v>895</v>
      </c>
      <c r="H190" s="192" t="s">
        <v>414</v>
      </c>
      <c r="I190" s="193">
        <v>769</v>
      </c>
      <c r="J190" s="193">
        <v>769</v>
      </c>
      <c r="K190" s="193">
        <v>769</v>
      </c>
      <c r="L190" s="194">
        <v>830</v>
      </c>
      <c r="M190" s="194">
        <v>830</v>
      </c>
      <c r="N190" s="195">
        <v>0</v>
      </c>
      <c r="O190" s="195" t="s">
        <v>1</v>
      </c>
      <c r="P190" s="195" t="s">
        <v>1</v>
      </c>
      <c r="Q190" s="195" t="s">
        <v>1</v>
      </c>
      <c r="R190" s="196" t="s">
        <v>1253</v>
      </c>
      <c r="S190" s="197">
        <v>0</v>
      </c>
      <c r="T190" s="195" t="s">
        <v>1</v>
      </c>
      <c r="U190" s="195" t="s">
        <v>1</v>
      </c>
      <c r="V190" s="197" t="s">
        <v>1</v>
      </c>
      <c r="W190" s="196" t="s">
        <v>1253</v>
      </c>
      <c r="X190" s="195">
        <v>0</v>
      </c>
      <c r="Y190" s="195">
        <v>5.63</v>
      </c>
      <c r="Z190" s="195">
        <v>24</v>
      </c>
      <c r="AA190" s="196" t="s">
        <v>1</v>
      </c>
      <c r="AB190" s="196" t="s">
        <v>1</v>
      </c>
      <c r="AC190" s="197">
        <v>0</v>
      </c>
      <c r="AD190" s="195">
        <v>5.63</v>
      </c>
      <c r="AE190" s="195">
        <v>24</v>
      </c>
      <c r="AF190" s="198" t="s">
        <v>1</v>
      </c>
      <c r="AG190" s="198" t="s">
        <v>1</v>
      </c>
      <c r="AH190" s="198" t="s">
        <v>1</v>
      </c>
      <c r="AI190" s="209" t="s">
        <v>1</v>
      </c>
      <c r="AJ190" s="209" t="s">
        <v>1</v>
      </c>
      <c r="AK190" s="209" t="s">
        <v>1</v>
      </c>
      <c r="AL190" s="198" t="s">
        <v>1</v>
      </c>
      <c r="AM190" s="200" t="s">
        <v>1</v>
      </c>
      <c r="AN190" s="199" t="s">
        <v>1</v>
      </c>
      <c r="AO190" s="199" t="s">
        <v>1</v>
      </c>
      <c r="AP190" s="198" t="s">
        <v>1</v>
      </c>
      <c r="AQ190" s="198" t="s">
        <v>1</v>
      </c>
      <c r="AR190" s="201" t="s">
        <v>1</v>
      </c>
      <c r="AS190" s="201" t="s">
        <v>1</v>
      </c>
      <c r="AT190" s="199" t="s">
        <v>1</v>
      </c>
      <c r="AU190" s="199" t="s">
        <v>1</v>
      </c>
      <c r="AV190" s="202" t="s">
        <v>1</v>
      </c>
      <c r="AW190" s="199" t="s">
        <v>1</v>
      </c>
    </row>
    <row r="191" spans="1:49" ht="30.15" customHeight="1" x14ac:dyDescent="0.25">
      <c r="A191" s="188" t="s">
        <v>18</v>
      </c>
      <c r="B191" s="189" t="s">
        <v>1</v>
      </c>
      <c r="C191" s="212" t="s">
        <v>34</v>
      </c>
      <c r="D191" s="190" t="s">
        <v>3</v>
      </c>
      <c r="E191" s="190" t="s">
        <v>1092</v>
      </c>
      <c r="F191" s="203"/>
      <c r="G191" s="190" t="s">
        <v>1101</v>
      </c>
      <c r="H191" s="192" t="s">
        <v>409</v>
      </c>
      <c r="I191" s="193">
        <v>569</v>
      </c>
      <c r="J191" s="193">
        <v>569</v>
      </c>
      <c r="K191" s="193">
        <v>569</v>
      </c>
      <c r="L191" s="194">
        <v>615</v>
      </c>
      <c r="M191" s="194">
        <v>615</v>
      </c>
      <c r="N191" s="195">
        <v>0</v>
      </c>
      <c r="O191" s="195" t="s">
        <v>1</v>
      </c>
      <c r="P191" s="195" t="s">
        <v>1</v>
      </c>
      <c r="Q191" s="195" t="s">
        <v>1</v>
      </c>
      <c r="R191" s="196" t="s">
        <v>1252</v>
      </c>
      <c r="S191" s="197">
        <v>0</v>
      </c>
      <c r="T191" s="195" t="s">
        <v>1</v>
      </c>
      <c r="U191" s="195" t="s">
        <v>1</v>
      </c>
      <c r="V191" s="197" t="s">
        <v>1</v>
      </c>
      <c r="W191" s="196" t="s">
        <v>1252</v>
      </c>
      <c r="X191" s="195">
        <v>0</v>
      </c>
      <c r="Y191" s="195">
        <v>5.63</v>
      </c>
      <c r="Z191" s="195">
        <v>24</v>
      </c>
      <c r="AA191" s="196" t="s">
        <v>1</v>
      </c>
      <c r="AB191" s="196" t="s">
        <v>1</v>
      </c>
      <c r="AC191" s="197">
        <v>0</v>
      </c>
      <c r="AD191" s="195">
        <v>5.63</v>
      </c>
      <c r="AE191" s="195">
        <v>24</v>
      </c>
      <c r="AF191" s="198" t="s">
        <v>1</v>
      </c>
      <c r="AG191" s="198" t="s">
        <v>1</v>
      </c>
      <c r="AH191" s="198" t="s">
        <v>1</v>
      </c>
      <c r="AI191" s="209" t="s">
        <v>1</v>
      </c>
      <c r="AJ191" s="209" t="s">
        <v>1</v>
      </c>
      <c r="AK191" s="209" t="s">
        <v>1</v>
      </c>
      <c r="AL191" s="198" t="s">
        <v>1</v>
      </c>
      <c r="AM191" s="200" t="s">
        <v>1</v>
      </c>
      <c r="AN191" s="199" t="s">
        <v>1</v>
      </c>
      <c r="AO191" s="199" t="s">
        <v>1</v>
      </c>
      <c r="AP191" s="198" t="s">
        <v>1</v>
      </c>
      <c r="AQ191" s="198" t="s">
        <v>1</v>
      </c>
      <c r="AR191" s="201" t="s">
        <v>1</v>
      </c>
      <c r="AS191" s="201" t="s">
        <v>1</v>
      </c>
      <c r="AT191" s="199" t="s">
        <v>1</v>
      </c>
      <c r="AU191" s="199" t="s">
        <v>1</v>
      </c>
      <c r="AV191" s="202" t="s">
        <v>1</v>
      </c>
      <c r="AW191" s="199" t="s">
        <v>1</v>
      </c>
    </row>
    <row r="192" spans="1:49" ht="30.15" customHeight="1" x14ac:dyDescent="0.25">
      <c r="A192" s="188" t="s">
        <v>18</v>
      </c>
      <c r="B192" s="189" t="s">
        <v>1</v>
      </c>
      <c r="C192" s="212" t="s">
        <v>34</v>
      </c>
      <c r="D192" s="190" t="s">
        <v>3</v>
      </c>
      <c r="E192" s="190" t="s">
        <v>1093</v>
      </c>
      <c r="F192" s="203"/>
      <c r="G192" s="190" t="s">
        <v>1101</v>
      </c>
      <c r="H192" s="192" t="s">
        <v>409</v>
      </c>
      <c r="I192" s="193">
        <v>569</v>
      </c>
      <c r="J192" s="193">
        <v>569</v>
      </c>
      <c r="K192" s="193">
        <v>569</v>
      </c>
      <c r="L192" s="194">
        <v>615</v>
      </c>
      <c r="M192" s="194">
        <v>615</v>
      </c>
      <c r="N192" s="195">
        <v>0</v>
      </c>
      <c r="O192" s="195" t="s">
        <v>1</v>
      </c>
      <c r="P192" s="195" t="s">
        <v>1</v>
      </c>
      <c r="Q192" s="195" t="s">
        <v>1</v>
      </c>
      <c r="R192" s="196" t="s">
        <v>1252</v>
      </c>
      <c r="S192" s="197">
        <v>0</v>
      </c>
      <c r="T192" s="195" t="s">
        <v>1</v>
      </c>
      <c r="U192" s="195" t="s">
        <v>1</v>
      </c>
      <c r="V192" s="197" t="s">
        <v>1</v>
      </c>
      <c r="W192" s="196" t="s">
        <v>1252</v>
      </c>
      <c r="X192" s="195">
        <v>0</v>
      </c>
      <c r="Y192" s="195">
        <v>5.63</v>
      </c>
      <c r="Z192" s="195">
        <v>24</v>
      </c>
      <c r="AA192" s="196" t="s">
        <v>1</v>
      </c>
      <c r="AB192" s="196" t="s">
        <v>1</v>
      </c>
      <c r="AC192" s="197">
        <v>0</v>
      </c>
      <c r="AD192" s="195">
        <v>5.63</v>
      </c>
      <c r="AE192" s="195">
        <v>24</v>
      </c>
      <c r="AF192" s="198" t="s">
        <v>1</v>
      </c>
      <c r="AG192" s="198" t="s">
        <v>1</v>
      </c>
      <c r="AH192" s="198" t="s">
        <v>1</v>
      </c>
      <c r="AI192" s="209" t="s">
        <v>1</v>
      </c>
      <c r="AJ192" s="209" t="s">
        <v>1</v>
      </c>
      <c r="AK192" s="209" t="s">
        <v>1</v>
      </c>
      <c r="AL192" s="198" t="s">
        <v>1</v>
      </c>
      <c r="AM192" s="200" t="s">
        <v>1</v>
      </c>
      <c r="AN192" s="199" t="s">
        <v>1</v>
      </c>
      <c r="AO192" s="199" t="s">
        <v>1</v>
      </c>
      <c r="AP192" s="198" t="s">
        <v>1</v>
      </c>
      <c r="AQ192" s="198" t="s">
        <v>1</v>
      </c>
      <c r="AR192" s="201" t="s">
        <v>1</v>
      </c>
      <c r="AS192" s="201" t="s">
        <v>1</v>
      </c>
      <c r="AT192" s="199" t="s">
        <v>1</v>
      </c>
      <c r="AU192" s="199" t="s">
        <v>1</v>
      </c>
      <c r="AV192" s="202" t="s">
        <v>1</v>
      </c>
      <c r="AW192" s="199" t="s">
        <v>1</v>
      </c>
    </row>
    <row r="193" spans="1:49" ht="30.15" customHeight="1" x14ac:dyDescent="0.25">
      <c r="A193" s="188" t="s">
        <v>18</v>
      </c>
      <c r="B193" s="189" t="s">
        <v>1</v>
      </c>
      <c r="C193" s="212" t="s">
        <v>34</v>
      </c>
      <c r="D193" s="190" t="s">
        <v>3</v>
      </c>
      <c r="E193" s="190" t="s">
        <v>1094</v>
      </c>
      <c r="F193" s="203"/>
      <c r="G193" s="190" t="s">
        <v>1101</v>
      </c>
      <c r="H193" s="192" t="s">
        <v>414</v>
      </c>
      <c r="I193" s="193">
        <v>569</v>
      </c>
      <c r="J193" s="193">
        <v>569</v>
      </c>
      <c r="K193" s="193">
        <v>569</v>
      </c>
      <c r="L193" s="194">
        <v>615</v>
      </c>
      <c r="M193" s="194">
        <v>615</v>
      </c>
      <c r="N193" s="195">
        <v>0</v>
      </c>
      <c r="O193" s="195" t="s">
        <v>1</v>
      </c>
      <c r="P193" s="195" t="s">
        <v>1</v>
      </c>
      <c r="Q193" s="195" t="s">
        <v>1</v>
      </c>
      <c r="R193" s="196" t="s">
        <v>1252</v>
      </c>
      <c r="S193" s="197">
        <v>0</v>
      </c>
      <c r="T193" s="195" t="s">
        <v>1</v>
      </c>
      <c r="U193" s="195" t="s">
        <v>1</v>
      </c>
      <c r="V193" s="197" t="s">
        <v>1</v>
      </c>
      <c r="W193" s="196" t="s">
        <v>1252</v>
      </c>
      <c r="X193" s="195">
        <v>0</v>
      </c>
      <c r="Y193" s="195">
        <v>5.63</v>
      </c>
      <c r="Z193" s="195">
        <v>24</v>
      </c>
      <c r="AA193" s="196" t="s">
        <v>1</v>
      </c>
      <c r="AB193" s="196" t="s">
        <v>1</v>
      </c>
      <c r="AC193" s="197">
        <v>0</v>
      </c>
      <c r="AD193" s="195">
        <v>5.63</v>
      </c>
      <c r="AE193" s="195">
        <v>24</v>
      </c>
      <c r="AF193" s="198" t="s">
        <v>1</v>
      </c>
      <c r="AG193" s="198" t="s">
        <v>1</v>
      </c>
      <c r="AH193" s="198" t="s">
        <v>1</v>
      </c>
      <c r="AI193" s="209" t="s">
        <v>1</v>
      </c>
      <c r="AJ193" s="209" t="s">
        <v>1</v>
      </c>
      <c r="AK193" s="209" t="s">
        <v>1</v>
      </c>
      <c r="AL193" s="198" t="s">
        <v>1</v>
      </c>
      <c r="AM193" s="200" t="s">
        <v>1</v>
      </c>
      <c r="AN193" s="199" t="s">
        <v>1</v>
      </c>
      <c r="AO193" s="199" t="s">
        <v>1</v>
      </c>
      <c r="AP193" s="198" t="s">
        <v>1</v>
      </c>
      <c r="AQ193" s="198" t="s">
        <v>1</v>
      </c>
      <c r="AR193" s="201" t="s">
        <v>1</v>
      </c>
      <c r="AS193" s="201" t="s">
        <v>1</v>
      </c>
      <c r="AT193" s="199" t="s">
        <v>1</v>
      </c>
      <c r="AU193" s="199" t="s">
        <v>1</v>
      </c>
      <c r="AV193" s="202" t="s">
        <v>1</v>
      </c>
      <c r="AW193" s="199" t="s">
        <v>1</v>
      </c>
    </row>
    <row r="194" spans="1:49" ht="30.15" customHeight="1" x14ac:dyDescent="0.25">
      <c r="A194" s="188" t="s">
        <v>18</v>
      </c>
      <c r="B194" s="189" t="s">
        <v>1</v>
      </c>
      <c r="C194" s="212" t="s">
        <v>34</v>
      </c>
      <c r="D194" s="190" t="s">
        <v>3</v>
      </c>
      <c r="E194" s="190" t="s">
        <v>1095</v>
      </c>
      <c r="F194" s="203"/>
      <c r="G194" s="190" t="s">
        <v>1102</v>
      </c>
      <c r="H194" s="192" t="s">
        <v>409</v>
      </c>
      <c r="I194" s="193">
        <v>639</v>
      </c>
      <c r="J194" s="193">
        <v>639</v>
      </c>
      <c r="K194" s="193">
        <v>639</v>
      </c>
      <c r="L194" s="194">
        <v>690</v>
      </c>
      <c r="M194" s="194">
        <v>690</v>
      </c>
      <c r="N194" s="195">
        <v>0</v>
      </c>
      <c r="O194" s="195" t="s">
        <v>1</v>
      </c>
      <c r="P194" s="195" t="s">
        <v>1</v>
      </c>
      <c r="Q194" s="195" t="s">
        <v>1</v>
      </c>
      <c r="R194" s="196" t="s">
        <v>1252</v>
      </c>
      <c r="S194" s="197">
        <v>0</v>
      </c>
      <c r="T194" s="195" t="s">
        <v>1</v>
      </c>
      <c r="U194" s="195" t="s">
        <v>1</v>
      </c>
      <c r="V194" s="197" t="s">
        <v>1</v>
      </c>
      <c r="W194" s="196" t="s">
        <v>1252</v>
      </c>
      <c r="X194" s="195">
        <v>0</v>
      </c>
      <c r="Y194" s="195">
        <v>5.63</v>
      </c>
      <c r="Z194" s="195">
        <v>24</v>
      </c>
      <c r="AA194" s="196" t="s">
        <v>1</v>
      </c>
      <c r="AB194" s="196" t="s">
        <v>1</v>
      </c>
      <c r="AC194" s="197">
        <v>0</v>
      </c>
      <c r="AD194" s="195">
        <v>5.63</v>
      </c>
      <c r="AE194" s="195">
        <v>24</v>
      </c>
      <c r="AF194" s="198" t="s">
        <v>1</v>
      </c>
      <c r="AG194" s="198" t="s">
        <v>1</v>
      </c>
      <c r="AH194" s="198" t="s">
        <v>1</v>
      </c>
      <c r="AI194" s="209" t="s">
        <v>1</v>
      </c>
      <c r="AJ194" s="209" t="s">
        <v>1</v>
      </c>
      <c r="AK194" s="209" t="s">
        <v>1</v>
      </c>
      <c r="AL194" s="198" t="s">
        <v>1</v>
      </c>
      <c r="AM194" s="200" t="s">
        <v>1</v>
      </c>
      <c r="AN194" s="199" t="s">
        <v>1</v>
      </c>
      <c r="AO194" s="199" t="s">
        <v>1</v>
      </c>
      <c r="AP194" s="198" t="s">
        <v>1</v>
      </c>
      <c r="AQ194" s="198" t="s">
        <v>1</v>
      </c>
      <c r="AR194" s="201" t="s">
        <v>1</v>
      </c>
      <c r="AS194" s="201" t="s">
        <v>1</v>
      </c>
      <c r="AT194" s="199" t="s">
        <v>1</v>
      </c>
      <c r="AU194" s="199" t="s">
        <v>1</v>
      </c>
      <c r="AV194" s="202" t="s">
        <v>1</v>
      </c>
      <c r="AW194" s="199" t="s">
        <v>1</v>
      </c>
    </row>
    <row r="195" spans="1:49" ht="30.15" customHeight="1" x14ac:dyDescent="0.25">
      <c r="A195" s="188" t="s">
        <v>18</v>
      </c>
      <c r="B195" s="189" t="s">
        <v>1</v>
      </c>
      <c r="C195" s="212" t="s">
        <v>34</v>
      </c>
      <c r="D195" s="190" t="s">
        <v>3</v>
      </c>
      <c r="E195" s="190" t="s">
        <v>1155</v>
      </c>
      <c r="F195" s="203"/>
      <c r="G195" s="190" t="s">
        <v>1102</v>
      </c>
      <c r="H195" s="192" t="s">
        <v>409</v>
      </c>
      <c r="I195" s="193">
        <v>639</v>
      </c>
      <c r="J195" s="193">
        <v>639</v>
      </c>
      <c r="K195" s="193">
        <v>639</v>
      </c>
      <c r="L195" s="194">
        <v>690</v>
      </c>
      <c r="M195" s="194">
        <v>690</v>
      </c>
      <c r="N195" s="195">
        <v>0</v>
      </c>
      <c r="O195" s="195" t="s">
        <v>1</v>
      </c>
      <c r="P195" s="195" t="s">
        <v>1</v>
      </c>
      <c r="Q195" s="195" t="s">
        <v>1</v>
      </c>
      <c r="R195" s="196" t="s">
        <v>1252</v>
      </c>
      <c r="S195" s="197">
        <v>0</v>
      </c>
      <c r="T195" s="195" t="s">
        <v>1</v>
      </c>
      <c r="U195" s="195" t="s">
        <v>1</v>
      </c>
      <c r="V195" s="197" t="s">
        <v>1</v>
      </c>
      <c r="W195" s="196" t="s">
        <v>1252</v>
      </c>
      <c r="X195" s="195">
        <v>0</v>
      </c>
      <c r="Y195" s="195">
        <v>5.63</v>
      </c>
      <c r="Z195" s="195">
        <v>24</v>
      </c>
      <c r="AA195" s="196" t="s">
        <v>1</v>
      </c>
      <c r="AB195" s="196" t="s">
        <v>1</v>
      </c>
      <c r="AC195" s="197">
        <v>0</v>
      </c>
      <c r="AD195" s="195">
        <v>5.63</v>
      </c>
      <c r="AE195" s="195">
        <v>24</v>
      </c>
      <c r="AF195" s="198" t="s">
        <v>1</v>
      </c>
      <c r="AG195" s="198" t="s">
        <v>1</v>
      </c>
      <c r="AH195" s="198" t="s">
        <v>1</v>
      </c>
      <c r="AI195" s="209" t="s">
        <v>1</v>
      </c>
      <c r="AJ195" s="209" t="s">
        <v>1</v>
      </c>
      <c r="AK195" s="209" t="s">
        <v>1</v>
      </c>
      <c r="AL195" s="198" t="s">
        <v>1</v>
      </c>
      <c r="AM195" s="200" t="s">
        <v>1</v>
      </c>
      <c r="AN195" s="199" t="s">
        <v>1</v>
      </c>
      <c r="AO195" s="199" t="s">
        <v>1</v>
      </c>
      <c r="AP195" s="198" t="s">
        <v>1</v>
      </c>
      <c r="AQ195" s="198" t="s">
        <v>1</v>
      </c>
      <c r="AR195" s="201" t="s">
        <v>1</v>
      </c>
      <c r="AS195" s="201" t="s">
        <v>1</v>
      </c>
      <c r="AT195" s="199" t="s">
        <v>1</v>
      </c>
      <c r="AU195" s="199" t="s">
        <v>1</v>
      </c>
      <c r="AV195" s="202" t="s">
        <v>1</v>
      </c>
      <c r="AW195" s="199" t="s">
        <v>1</v>
      </c>
    </row>
    <row r="196" spans="1:49" ht="30.15" customHeight="1" x14ac:dyDescent="0.25">
      <c r="A196" s="188" t="s">
        <v>18</v>
      </c>
      <c r="B196" s="189" t="s">
        <v>1</v>
      </c>
      <c r="C196" s="212" t="s">
        <v>34</v>
      </c>
      <c r="D196" s="190" t="s">
        <v>3</v>
      </c>
      <c r="E196" s="190" t="s">
        <v>1096</v>
      </c>
      <c r="F196" s="203"/>
      <c r="G196" s="190" t="s">
        <v>1102</v>
      </c>
      <c r="H196" s="192" t="s">
        <v>409</v>
      </c>
      <c r="I196" s="193">
        <v>639</v>
      </c>
      <c r="J196" s="193">
        <v>639</v>
      </c>
      <c r="K196" s="193">
        <v>639</v>
      </c>
      <c r="L196" s="194">
        <v>690</v>
      </c>
      <c r="M196" s="194">
        <v>690</v>
      </c>
      <c r="N196" s="195">
        <v>0</v>
      </c>
      <c r="O196" s="195" t="s">
        <v>1</v>
      </c>
      <c r="P196" s="195" t="s">
        <v>1</v>
      </c>
      <c r="Q196" s="195" t="s">
        <v>1</v>
      </c>
      <c r="R196" s="196" t="s">
        <v>1252</v>
      </c>
      <c r="S196" s="197">
        <v>0</v>
      </c>
      <c r="T196" s="195" t="s">
        <v>1</v>
      </c>
      <c r="U196" s="195" t="s">
        <v>1</v>
      </c>
      <c r="V196" s="197" t="s">
        <v>1</v>
      </c>
      <c r="W196" s="196" t="s">
        <v>1252</v>
      </c>
      <c r="X196" s="195">
        <v>0</v>
      </c>
      <c r="Y196" s="195">
        <v>5.63</v>
      </c>
      <c r="Z196" s="195">
        <v>24</v>
      </c>
      <c r="AA196" s="196" t="s">
        <v>1</v>
      </c>
      <c r="AB196" s="196" t="s">
        <v>1</v>
      </c>
      <c r="AC196" s="197">
        <v>0</v>
      </c>
      <c r="AD196" s="195">
        <v>5.63</v>
      </c>
      <c r="AE196" s="195">
        <v>24</v>
      </c>
      <c r="AF196" s="198" t="s">
        <v>1</v>
      </c>
      <c r="AG196" s="198" t="s">
        <v>1</v>
      </c>
      <c r="AH196" s="198" t="s">
        <v>1</v>
      </c>
      <c r="AI196" s="209" t="s">
        <v>1</v>
      </c>
      <c r="AJ196" s="209" t="s">
        <v>1</v>
      </c>
      <c r="AK196" s="209" t="s">
        <v>1</v>
      </c>
      <c r="AL196" s="198" t="s">
        <v>1</v>
      </c>
      <c r="AM196" s="200" t="s">
        <v>1</v>
      </c>
      <c r="AN196" s="199" t="s">
        <v>1</v>
      </c>
      <c r="AO196" s="199" t="s">
        <v>1</v>
      </c>
      <c r="AP196" s="198" t="s">
        <v>1</v>
      </c>
      <c r="AQ196" s="198" t="s">
        <v>1</v>
      </c>
      <c r="AR196" s="201" t="s">
        <v>1</v>
      </c>
      <c r="AS196" s="201" t="s">
        <v>1</v>
      </c>
      <c r="AT196" s="199" t="s">
        <v>1</v>
      </c>
      <c r="AU196" s="199" t="s">
        <v>1</v>
      </c>
      <c r="AV196" s="202" t="s">
        <v>1</v>
      </c>
      <c r="AW196" s="199" t="s">
        <v>1</v>
      </c>
    </row>
    <row r="197" spans="1:49" ht="30.15" customHeight="1" x14ac:dyDescent="0.25">
      <c r="A197" s="188" t="s">
        <v>18</v>
      </c>
      <c r="B197" s="189" t="s">
        <v>1</v>
      </c>
      <c r="C197" s="212" t="s">
        <v>34</v>
      </c>
      <c r="D197" s="190" t="s">
        <v>3</v>
      </c>
      <c r="E197" s="190" t="s">
        <v>1156</v>
      </c>
      <c r="F197" s="203"/>
      <c r="G197" s="190" t="s">
        <v>1102</v>
      </c>
      <c r="H197" s="192" t="s">
        <v>409</v>
      </c>
      <c r="I197" s="193">
        <v>639</v>
      </c>
      <c r="J197" s="193">
        <v>639</v>
      </c>
      <c r="K197" s="193">
        <v>639</v>
      </c>
      <c r="L197" s="194">
        <v>690</v>
      </c>
      <c r="M197" s="194">
        <v>690</v>
      </c>
      <c r="N197" s="195">
        <v>0</v>
      </c>
      <c r="O197" s="195" t="s">
        <v>1</v>
      </c>
      <c r="P197" s="195" t="s">
        <v>1</v>
      </c>
      <c r="Q197" s="195" t="s">
        <v>1</v>
      </c>
      <c r="R197" s="196" t="s">
        <v>1252</v>
      </c>
      <c r="S197" s="197">
        <v>0</v>
      </c>
      <c r="T197" s="195" t="s">
        <v>1</v>
      </c>
      <c r="U197" s="195" t="s">
        <v>1</v>
      </c>
      <c r="V197" s="197" t="s">
        <v>1</v>
      </c>
      <c r="W197" s="196" t="s">
        <v>1252</v>
      </c>
      <c r="X197" s="195">
        <v>0</v>
      </c>
      <c r="Y197" s="195">
        <v>5.63</v>
      </c>
      <c r="Z197" s="195">
        <v>24</v>
      </c>
      <c r="AA197" s="196" t="s">
        <v>1</v>
      </c>
      <c r="AB197" s="196" t="s">
        <v>1</v>
      </c>
      <c r="AC197" s="197">
        <v>0</v>
      </c>
      <c r="AD197" s="195">
        <v>5.63</v>
      </c>
      <c r="AE197" s="195">
        <v>24</v>
      </c>
      <c r="AF197" s="198" t="s">
        <v>1</v>
      </c>
      <c r="AG197" s="198" t="s">
        <v>1</v>
      </c>
      <c r="AH197" s="198" t="s">
        <v>1</v>
      </c>
      <c r="AI197" s="209" t="s">
        <v>1</v>
      </c>
      <c r="AJ197" s="209" t="s">
        <v>1</v>
      </c>
      <c r="AK197" s="209" t="s">
        <v>1</v>
      </c>
      <c r="AL197" s="198" t="s">
        <v>1</v>
      </c>
      <c r="AM197" s="200" t="s">
        <v>1</v>
      </c>
      <c r="AN197" s="199" t="s">
        <v>1</v>
      </c>
      <c r="AO197" s="199" t="s">
        <v>1</v>
      </c>
      <c r="AP197" s="198" t="s">
        <v>1</v>
      </c>
      <c r="AQ197" s="198" t="s">
        <v>1</v>
      </c>
      <c r="AR197" s="201" t="s">
        <v>1</v>
      </c>
      <c r="AS197" s="201" t="s">
        <v>1</v>
      </c>
      <c r="AT197" s="199" t="s">
        <v>1</v>
      </c>
      <c r="AU197" s="199" t="s">
        <v>1</v>
      </c>
      <c r="AV197" s="202" t="s">
        <v>1</v>
      </c>
      <c r="AW197" s="199" t="s">
        <v>1</v>
      </c>
    </row>
    <row r="198" spans="1:49" ht="30.15" customHeight="1" x14ac:dyDescent="0.25">
      <c r="A198" s="188" t="s">
        <v>18</v>
      </c>
      <c r="B198" s="189" t="s">
        <v>1</v>
      </c>
      <c r="C198" s="212" t="s">
        <v>34</v>
      </c>
      <c r="D198" s="190" t="s">
        <v>3</v>
      </c>
      <c r="E198" s="190" t="s">
        <v>1097</v>
      </c>
      <c r="F198" s="203"/>
      <c r="G198" s="190" t="s">
        <v>1102</v>
      </c>
      <c r="H198" s="192" t="s">
        <v>414</v>
      </c>
      <c r="I198" s="193">
        <v>639</v>
      </c>
      <c r="J198" s="193">
        <v>639</v>
      </c>
      <c r="K198" s="193">
        <v>639</v>
      </c>
      <c r="L198" s="194">
        <v>690</v>
      </c>
      <c r="M198" s="194">
        <v>690</v>
      </c>
      <c r="N198" s="195">
        <v>0</v>
      </c>
      <c r="O198" s="195" t="s">
        <v>1</v>
      </c>
      <c r="P198" s="195" t="s">
        <v>1</v>
      </c>
      <c r="Q198" s="195" t="s">
        <v>1</v>
      </c>
      <c r="R198" s="196" t="s">
        <v>1252</v>
      </c>
      <c r="S198" s="197">
        <v>0</v>
      </c>
      <c r="T198" s="195" t="s">
        <v>1</v>
      </c>
      <c r="U198" s="195" t="s">
        <v>1</v>
      </c>
      <c r="V198" s="197" t="s">
        <v>1</v>
      </c>
      <c r="W198" s="196" t="s">
        <v>1252</v>
      </c>
      <c r="X198" s="195">
        <v>0</v>
      </c>
      <c r="Y198" s="195">
        <v>5.63</v>
      </c>
      <c r="Z198" s="195">
        <v>24</v>
      </c>
      <c r="AA198" s="196" t="s">
        <v>1</v>
      </c>
      <c r="AB198" s="196" t="s">
        <v>1</v>
      </c>
      <c r="AC198" s="197">
        <v>0</v>
      </c>
      <c r="AD198" s="195">
        <v>5.63</v>
      </c>
      <c r="AE198" s="195">
        <v>24</v>
      </c>
      <c r="AF198" s="198" t="s">
        <v>1</v>
      </c>
      <c r="AG198" s="198" t="s">
        <v>1</v>
      </c>
      <c r="AH198" s="198" t="s">
        <v>1</v>
      </c>
      <c r="AI198" s="209" t="s">
        <v>1</v>
      </c>
      <c r="AJ198" s="209" t="s">
        <v>1</v>
      </c>
      <c r="AK198" s="209" t="s">
        <v>1</v>
      </c>
      <c r="AL198" s="198" t="s">
        <v>1</v>
      </c>
      <c r="AM198" s="200" t="s">
        <v>1</v>
      </c>
      <c r="AN198" s="199" t="s">
        <v>1</v>
      </c>
      <c r="AO198" s="199" t="s">
        <v>1</v>
      </c>
      <c r="AP198" s="198" t="s">
        <v>1</v>
      </c>
      <c r="AQ198" s="198" t="s">
        <v>1</v>
      </c>
      <c r="AR198" s="201" t="s">
        <v>1</v>
      </c>
      <c r="AS198" s="201" t="s">
        <v>1</v>
      </c>
      <c r="AT198" s="199" t="s">
        <v>1</v>
      </c>
      <c r="AU198" s="199" t="s">
        <v>1</v>
      </c>
      <c r="AV198" s="202" t="s">
        <v>1</v>
      </c>
      <c r="AW198" s="199" t="s">
        <v>1</v>
      </c>
    </row>
    <row r="199" spans="1:49" ht="30.15" customHeight="1" x14ac:dyDescent="0.25">
      <c r="A199" s="188" t="s">
        <v>18</v>
      </c>
      <c r="B199" s="189" t="s">
        <v>1</v>
      </c>
      <c r="C199" s="212" t="s">
        <v>34</v>
      </c>
      <c r="D199" s="190" t="s">
        <v>3</v>
      </c>
      <c r="E199" s="190" t="s">
        <v>1098</v>
      </c>
      <c r="F199" s="203"/>
      <c r="G199" s="190" t="s">
        <v>1103</v>
      </c>
      <c r="H199" s="192" t="s">
        <v>414</v>
      </c>
      <c r="I199" s="193">
        <v>769</v>
      </c>
      <c r="J199" s="193">
        <v>769</v>
      </c>
      <c r="K199" s="193">
        <v>769</v>
      </c>
      <c r="L199" s="194">
        <v>830</v>
      </c>
      <c r="M199" s="194">
        <v>830</v>
      </c>
      <c r="N199" s="195">
        <v>0</v>
      </c>
      <c r="O199" s="195" t="s">
        <v>1</v>
      </c>
      <c r="P199" s="195" t="s">
        <v>1</v>
      </c>
      <c r="Q199" s="195" t="s">
        <v>1</v>
      </c>
      <c r="R199" s="196" t="s">
        <v>1253</v>
      </c>
      <c r="S199" s="197">
        <v>0</v>
      </c>
      <c r="T199" s="195" t="s">
        <v>1</v>
      </c>
      <c r="U199" s="195" t="s">
        <v>1</v>
      </c>
      <c r="V199" s="197" t="s">
        <v>1</v>
      </c>
      <c r="W199" s="196" t="s">
        <v>1253</v>
      </c>
      <c r="X199" s="195">
        <v>0</v>
      </c>
      <c r="Y199" s="195">
        <v>5.63</v>
      </c>
      <c r="Z199" s="195">
        <v>24</v>
      </c>
      <c r="AA199" s="196" t="s">
        <v>1</v>
      </c>
      <c r="AB199" s="196" t="s">
        <v>1</v>
      </c>
      <c r="AC199" s="197">
        <v>0</v>
      </c>
      <c r="AD199" s="195">
        <v>5.63</v>
      </c>
      <c r="AE199" s="195">
        <v>24</v>
      </c>
      <c r="AF199" s="198" t="s">
        <v>1</v>
      </c>
      <c r="AG199" s="198" t="s">
        <v>1</v>
      </c>
      <c r="AH199" s="198" t="s">
        <v>1</v>
      </c>
      <c r="AI199" s="209" t="s">
        <v>1</v>
      </c>
      <c r="AJ199" s="209" t="s">
        <v>1</v>
      </c>
      <c r="AK199" s="209" t="s">
        <v>1</v>
      </c>
      <c r="AL199" s="198" t="s">
        <v>1</v>
      </c>
      <c r="AM199" s="200" t="s">
        <v>1</v>
      </c>
      <c r="AN199" s="199" t="s">
        <v>1</v>
      </c>
      <c r="AO199" s="199" t="s">
        <v>1</v>
      </c>
      <c r="AP199" s="198" t="s">
        <v>1</v>
      </c>
      <c r="AQ199" s="198" t="s">
        <v>1</v>
      </c>
      <c r="AR199" s="201" t="s">
        <v>1</v>
      </c>
      <c r="AS199" s="201" t="s">
        <v>1</v>
      </c>
      <c r="AT199" s="199" t="s">
        <v>1</v>
      </c>
      <c r="AU199" s="199" t="s">
        <v>1</v>
      </c>
      <c r="AV199" s="202" t="s">
        <v>1</v>
      </c>
      <c r="AW199" s="199" t="s">
        <v>1</v>
      </c>
    </row>
    <row r="200" spans="1:49" ht="30.15" customHeight="1" x14ac:dyDescent="0.25">
      <c r="A200" s="188" t="s">
        <v>18</v>
      </c>
      <c r="B200" s="189" t="s">
        <v>1</v>
      </c>
      <c r="C200" s="212" t="s">
        <v>34</v>
      </c>
      <c r="D200" s="190" t="s">
        <v>3</v>
      </c>
      <c r="E200" s="190" t="s">
        <v>1099</v>
      </c>
      <c r="F200" s="203"/>
      <c r="G200" s="190" t="s">
        <v>1103</v>
      </c>
      <c r="H200" s="192" t="s">
        <v>414</v>
      </c>
      <c r="I200" s="193">
        <v>769</v>
      </c>
      <c r="J200" s="193">
        <v>769</v>
      </c>
      <c r="K200" s="193">
        <v>769</v>
      </c>
      <c r="L200" s="194">
        <v>830</v>
      </c>
      <c r="M200" s="194">
        <v>830</v>
      </c>
      <c r="N200" s="195">
        <v>0</v>
      </c>
      <c r="O200" s="195" t="s">
        <v>1</v>
      </c>
      <c r="P200" s="195" t="s">
        <v>1</v>
      </c>
      <c r="Q200" s="195" t="s">
        <v>1</v>
      </c>
      <c r="R200" s="196" t="s">
        <v>1253</v>
      </c>
      <c r="S200" s="197">
        <v>0</v>
      </c>
      <c r="T200" s="195" t="s">
        <v>1</v>
      </c>
      <c r="U200" s="195" t="s">
        <v>1</v>
      </c>
      <c r="V200" s="197" t="s">
        <v>1</v>
      </c>
      <c r="W200" s="196" t="s">
        <v>1253</v>
      </c>
      <c r="X200" s="195">
        <v>0</v>
      </c>
      <c r="Y200" s="195">
        <v>5.63</v>
      </c>
      <c r="Z200" s="195">
        <v>24</v>
      </c>
      <c r="AA200" s="196" t="s">
        <v>1</v>
      </c>
      <c r="AB200" s="196" t="s">
        <v>1</v>
      </c>
      <c r="AC200" s="197">
        <v>0</v>
      </c>
      <c r="AD200" s="195">
        <v>5.63</v>
      </c>
      <c r="AE200" s="195">
        <v>24</v>
      </c>
      <c r="AF200" s="198" t="s">
        <v>1</v>
      </c>
      <c r="AG200" s="198" t="s">
        <v>1</v>
      </c>
      <c r="AH200" s="198" t="s">
        <v>1</v>
      </c>
      <c r="AI200" s="209" t="s">
        <v>1</v>
      </c>
      <c r="AJ200" s="209" t="s">
        <v>1</v>
      </c>
      <c r="AK200" s="209" t="s">
        <v>1</v>
      </c>
      <c r="AL200" s="198" t="s">
        <v>1</v>
      </c>
      <c r="AM200" s="200" t="s">
        <v>1</v>
      </c>
      <c r="AN200" s="199" t="s">
        <v>1</v>
      </c>
      <c r="AO200" s="199" t="s">
        <v>1</v>
      </c>
      <c r="AP200" s="198" t="s">
        <v>1</v>
      </c>
      <c r="AQ200" s="198" t="s">
        <v>1</v>
      </c>
      <c r="AR200" s="201" t="s">
        <v>1</v>
      </c>
      <c r="AS200" s="201" t="s">
        <v>1</v>
      </c>
      <c r="AT200" s="199" t="s">
        <v>1</v>
      </c>
      <c r="AU200" s="199" t="s">
        <v>1</v>
      </c>
      <c r="AV200" s="202" t="s">
        <v>1</v>
      </c>
      <c r="AW200" s="199" t="s">
        <v>1</v>
      </c>
    </row>
    <row r="201" spans="1:49" ht="30.15" customHeight="1" x14ac:dyDescent="0.25">
      <c r="A201" s="188" t="s">
        <v>18</v>
      </c>
      <c r="B201" s="189" t="s">
        <v>1</v>
      </c>
      <c r="C201" s="212" t="s">
        <v>34</v>
      </c>
      <c r="D201" s="190" t="s">
        <v>3</v>
      </c>
      <c r="E201" s="190" t="s">
        <v>1100</v>
      </c>
      <c r="F201" s="203"/>
      <c r="G201" s="190" t="s">
        <v>1103</v>
      </c>
      <c r="H201" s="192" t="s">
        <v>414</v>
      </c>
      <c r="I201" s="193">
        <v>769</v>
      </c>
      <c r="J201" s="193">
        <v>769</v>
      </c>
      <c r="K201" s="193">
        <v>769</v>
      </c>
      <c r="L201" s="194">
        <v>830</v>
      </c>
      <c r="M201" s="194">
        <v>830</v>
      </c>
      <c r="N201" s="195">
        <v>0</v>
      </c>
      <c r="O201" s="195" t="s">
        <v>1</v>
      </c>
      <c r="P201" s="195" t="s">
        <v>1</v>
      </c>
      <c r="Q201" s="195" t="s">
        <v>1</v>
      </c>
      <c r="R201" s="196" t="s">
        <v>1253</v>
      </c>
      <c r="S201" s="197">
        <v>0</v>
      </c>
      <c r="T201" s="195" t="s">
        <v>1</v>
      </c>
      <c r="U201" s="195" t="s">
        <v>1</v>
      </c>
      <c r="V201" s="197" t="s">
        <v>1</v>
      </c>
      <c r="W201" s="196" t="s">
        <v>1253</v>
      </c>
      <c r="X201" s="195">
        <v>0</v>
      </c>
      <c r="Y201" s="195">
        <v>5.63</v>
      </c>
      <c r="Z201" s="195">
        <v>24</v>
      </c>
      <c r="AA201" s="196" t="s">
        <v>1</v>
      </c>
      <c r="AB201" s="196" t="s">
        <v>1</v>
      </c>
      <c r="AC201" s="197">
        <v>0</v>
      </c>
      <c r="AD201" s="195">
        <v>5.63</v>
      </c>
      <c r="AE201" s="195">
        <v>24</v>
      </c>
      <c r="AF201" s="198" t="s">
        <v>1</v>
      </c>
      <c r="AG201" s="198" t="s">
        <v>1</v>
      </c>
      <c r="AH201" s="198" t="s">
        <v>1</v>
      </c>
      <c r="AI201" s="209" t="s">
        <v>1</v>
      </c>
      <c r="AJ201" s="209" t="s">
        <v>1</v>
      </c>
      <c r="AK201" s="209" t="s">
        <v>1</v>
      </c>
      <c r="AL201" s="198" t="s">
        <v>1</v>
      </c>
      <c r="AM201" s="200" t="s">
        <v>1</v>
      </c>
      <c r="AN201" s="199" t="s">
        <v>1</v>
      </c>
      <c r="AO201" s="199" t="s">
        <v>1</v>
      </c>
      <c r="AP201" s="198" t="s">
        <v>1</v>
      </c>
      <c r="AQ201" s="198" t="s">
        <v>1</v>
      </c>
      <c r="AR201" s="201" t="s">
        <v>1</v>
      </c>
      <c r="AS201" s="201" t="s">
        <v>1</v>
      </c>
      <c r="AT201" s="199" t="s">
        <v>1</v>
      </c>
      <c r="AU201" s="199" t="s">
        <v>1</v>
      </c>
      <c r="AV201" s="202" t="s">
        <v>1</v>
      </c>
      <c r="AW201" s="199" t="s">
        <v>1</v>
      </c>
    </row>
    <row r="202" spans="1:49" ht="30.15" customHeight="1" x14ac:dyDescent="0.25">
      <c r="A202" s="213" t="s">
        <v>18</v>
      </c>
      <c r="B202" s="189" t="s">
        <v>1</v>
      </c>
      <c r="C202" s="212" t="s">
        <v>34</v>
      </c>
      <c r="D202" s="190" t="s">
        <v>3</v>
      </c>
      <c r="E202" s="190" t="s">
        <v>192</v>
      </c>
      <c r="F202" s="203"/>
      <c r="G202" s="190" t="s">
        <v>195</v>
      </c>
      <c r="H202" s="192" t="s">
        <v>409</v>
      </c>
      <c r="I202" s="193">
        <v>479</v>
      </c>
      <c r="J202" s="193">
        <v>599</v>
      </c>
      <c r="K202" s="193">
        <v>599</v>
      </c>
      <c r="L202" s="194">
        <v>625</v>
      </c>
      <c r="M202" s="194">
        <v>625</v>
      </c>
      <c r="N202" s="195">
        <v>0</v>
      </c>
      <c r="O202" s="195">
        <v>16.05</v>
      </c>
      <c r="P202" s="195">
        <v>24</v>
      </c>
      <c r="Q202" s="195" t="s">
        <v>1</v>
      </c>
      <c r="R202" s="196" t="s">
        <v>1</v>
      </c>
      <c r="S202" s="197">
        <v>0</v>
      </c>
      <c r="T202" s="195">
        <v>16.05</v>
      </c>
      <c r="U202" s="195">
        <v>24</v>
      </c>
      <c r="V202" s="197" t="s">
        <v>1</v>
      </c>
      <c r="W202" s="196" t="s">
        <v>1</v>
      </c>
      <c r="X202" s="195">
        <v>0</v>
      </c>
      <c r="Y202" s="195">
        <v>16.05</v>
      </c>
      <c r="Z202" s="195">
        <v>24</v>
      </c>
      <c r="AA202" s="196" t="s">
        <v>1</v>
      </c>
      <c r="AB202" s="196" t="s">
        <v>1</v>
      </c>
      <c r="AC202" s="197">
        <v>0</v>
      </c>
      <c r="AD202" s="195">
        <v>16.05</v>
      </c>
      <c r="AE202" s="195">
        <v>24</v>
      </c>
      <c r="AF202" s="198" t="s">
        <v>1</v>
      </c>
      <c r="AG202" s="198" t="s">
        <v>1</v>
      </c>
      <c r="AH202" s="198">
        <v>0</v>
      </c>
      <c r="AI202" s="209" t="s">
        <v>1</v>
      </c>
      <c r="AJ202" s="209" t="s">
        <v>1</v>
      </c>
      <c r="AK202" s="209" t="s">
        <v>1252</v>
      </c>
      <c r="AL202" s="214" t="s">
        <v>1</v>
      </c>
      <c r="AM202" s="215" t="s">
        <v>1</v>
      </c>
      <c r="AN202" s="199" t="s">
        <v>1</v>
      </c>
      <c r="AO202" s="199" t="s">
        <v>1</v>
      </c>
      <c r="AP202" s="198" t="s">
        <v>1</v>
      </c>
      <c r="AQ202" s="198" t="s">
        <v>1</v>
      </c>
      <c r="AR202" s="201" t="s">
        <v>1</v>
      </c>
      <c r="AS202" s="201" t="s">
        <v>1</v>
      </c>
      <c r="AT202" s="199" t="s">
        <v>1</v>
      </c>
      <c r="AU202" s="199" t="s">
        <v>1</v>
      </c>
      <c r="AV202" s="202" t="s">
        <v>1</v>
      </c>
      <c r="AW202" s="199" t="s">
        <v>1</v>
      </c>
    </row>
    <row r="203" spans="1:49" ht="30.15" customHeight="1" x14ac:dyDescent="0.25">
      <c r="A203" s="213" t="s">
        <v>18</v>
      </c>
      <c r="B203" s="189" t="s">
        <v>1</v>
      </c>
      <c r="C203" s="212" t="s">
        <v>34</v>
      </c>
      <c r="D203" s="190" t="s">
        <v>3</v>
      </c>
      <c r="E203" s="190" t="s">
        <v>193</v>
      </c>
      <c r="F203" s="203"/>
      <c r="G203" s="190" t="s">
        <v>195</v>
      </c>
      <c r="H203" s="192" t="s">
        <v>409</v>
      </c>
      <c r="I203" s="193">
        <v>479</v>
      </c>
      <c r="J203" s="193">
        <v>599</v>
      </c>
      <c r="K203" s="193">
        <v>599</v>
      </c>
      <c r="L203" s="194">
        <v>625</v>
      </c>
      <c r="M203" s="194">
        <v>625</v>
      </c>
      <c r="N203" s="195">
        <v>0</v>
      </c>
      <c r="O203" s="195">
        <v>16.05</v>
      </c>
      <c r="P203" s="195">
        <v>24</v>
      </c>
      <c r="Q203" s="195" t="s">
        <v>1</v>
      </c>
      <c r="R203" s="196" t="s">
        <v>1</v>
      </c>
      <c r="S203" s="197">
        <v>0</v>
      </c>
      <c r="T203" s="195">
        <v>16.05</v>
      </c>
      <c r="U203" s="195">
        <v>24</v>
      </c>
      <c r="V203" s="197" t="s">
        <v>1</v>
      </c>
      <c r="W203" s="196" t="s">
        <v>1</v>
      </c>
      <c r="X203" s="195">
        <v>0</v>
      </c>
      <c r="Y203" s="195">
        <v>16.05</v>
      </c>
      <c r="Z203" s="195">
        <v>24</v>
      </c>
      <c r="AA203" s="196" t="s">
        <v>1</v>
      </c>
      <c r="AB203" s="196" t="s">
        <v>1</v>
      </c>
      <c r="AC203" s="197">
        <v>0</v>
      </c>
      <c r="AD203" s="195">
        <v>16.05</v>
      </c>
      <c r="AE203" s="195">
        <v>24</v>
      </c>
      <c r="AF203" s="198" t="s">
        <v>1</v>
      </c>
      <c r="AG203" s="198" t="s">
        <v>1</v>
      </c>
      <c r="AH203" s="198">
        <v>0</v>
      </c>
      <c r="AI203" s="209" t="s">
        <v>1</v>
      </c>
      <c r="AJ203" s="209" t="s">
        <v>1</v>
      </c>
      <c r="AK203" s="209" t="s">
        <v>1252</v>
      </c>
      <c r="AL203" s="214" t="s">
        <v>1</v>
      </c>
      <c r="AM203" s="215" t="s">
        <v>1</v>
      </c>
      <c r="AN203" s="199" t="s">
        <v>1</v>
      </c>
      <c r="AO203" s="199" t="s">
        <v>1</v>
      </c>
      <c r="AP203" s="198" t="s">
        <v>1</v>
      </c>
      <c r="AQ203" s="198" t="s">
        <v>1</v>
      </c>
      <c r="AR203" s="201" t="s">
        <v>1</v>
      </c>
      <c r="AS203" s="201" t="s">
        <v>1</v>
      </c>
      <c r="AT203" s="199" t="s">
        <v>1</v>
      </c>
      <c r="AU203" s="199" t="s">
        <v>1</v>
      </c>
      <c r="AV203" s="202" t="s">
        <v>1</v>
      </c>
      <c r="AW203" s="199" t="s">
        <v>1</v>
      </c>
    </row>
    <row r="204" spans="1:49" ht="30.15" customHeight="1" x14ac:dyDescent="0.25">
      <c r="A204" s="213" t="s">
        <v>18</v>
      </c>
      <c r="B204" s="189">
        <v>43313</v>
      </c>
      <c r="C204" s="212" t="s">
        <v>34</v>
      </c>
      <c r="D204" s="190" t="s">
        <v>3</v>
      </c>
      <c r="E204" s="190" t="s">
        <v>96</v>
      </c>
      <c r="F204" s="191"/>
      <c r="G204" s="192" t="s">
        <v>98</v>
      </c>
      <c r="H204" s="192" t="s">
        <v>409</v>
      </c>
      <c r="I204" s="193">
        <v>599</v>
      </c>
      <c r="J204" s="193">
        <v>739</v>
      </c>
      <c r="K204" s="193">
        <v>739</v>
      </c>
      <c r="L204" s="194">
        <v>759</v>
      </c>
      <c r="M204" s="194">
        <v>759</v>
      </c>
      <c r="N204" s="195">
        <v>0</v>
      </c>
      <c r="O204" s="195" t="s">
        <v>1</v>
      </c>
      <c r="P204" s="195" t="s">
        <v>1</v>
      </c>
      <c r="Q204" s="195" t="s">
        <v>1</v>
      </c>
      <c r="R204" s="196" t="s">
        <v>1253</v>
      </c>
      <c r="S204" s="197">
        <v>0</v>
      </c>
      <c r="T204" s="197" t="s">
        <v>1</v>
      </c>
      <c r="U204" s="197" t="s">
        <v>1</v>
      </c>
      <c r="V204" s="197" t="s">
        <v>1</v>
      </c>
      <c r="W204" s="196" t="s">
        <v>1253</v>
      </c>
      <c r="X204" s="195">
        <v>0</v>
      </c>
      <c r="Y204" s="195" t="s">
        <v>1</v>
      </c>
      <c r="Z204" s="195" t="s">
        <v>1</v>
      </c>
      <c r="AA204" s="196" t="s">
        <v>1</v>
      </c>
      <c r="AB204" s="196" t="s">
        <v>1</v>
      </c>
      <c r="AC204" s="197">
        <v>0</v>
      </c>
      <c r="AD204" s="197" t="s">
        <v>1</v>
      </c>
      <c r="AE204" s="197" t="s">
        <v>1</v>
      </c>
      <c r="AF204" s="198" t="s">
        <v>1</v>
      </c>
      <c r="AG204" s="198" t="s">
        <v>1</v>
      </c>
      <c r="AH204" s="198" t="s">
        <v>1</v>
      </c>
      <c r="AI204" s="209" t="s">
        <v>1</v>
      </c>
      <c r="AJ204" s="209" t="s">
        <v>1</v>
      </c>
      <c r="AK204" s="209" t="s">
        <v>1</v>
      </c>
      <c r="AL204" s="214" t="s">
        <v>1</v>
      </c>
      <c r="AM204" s="215" t="s">
        <v>1</v>
      </c>
      <c r="AN204" s="199" t="s">
        <v>1</v>
      </c>
      <c r="AO204" s="199" t="s">
        <v>1</v>
      </c>
      <c r="AP204" s="198" t="s">
        <v>1</v>
      </c>
      <c r="AQ204" s="198" t="s">
        <v>1</v>
      </c>
      <c r="AR204" s="201" t="s">
        <v>1</v>
      </c>
      <c r="AS204" s="201" t="s">
        <v>1</v>
      </c>
      <c r="AT204" s="199" t="s">
        <v>1</v>
      </c>
      <c r="AU204" s="199" t="s">
        <v>1</v>
      </c>
      <c r="AV204" s="202" t="s">
        <v>1</v>
      </c>
      <c r="AW204" s="199" t="s">
        <v>1</v>
      </c>
    </row>
    <row r="205" spans="1:49" ht="30.15" customHeight="1" x14ac:dyDescent="0.25">
      <c r="A205" s="213" t="s">
        <v>18</v>
      </c>
      <c r="B205" s="189" t="s">
        <v>1</v>
      </c>
      <c r="C205" s="212" t="s">
        <v>34</v>
      </c>
      <c r="D205" s="190" t="s">
        <v>3</v>
      </c>
      <c r="E205" s="190" t="s">
        <v>94</v>
      </c>
      <c r="F205" s="191"/>
      <c r="G205" s="192" t="s">
        <v>98</v>
      </c>
      <c r="H205" s="192" t="s">
        <v>409</v>
      </c>
      <c r="I205" s="193">
        <v>599</v>
      </c>
      <c r="J205" s="193">
        <v>739</v>
      </c>
      <c r="K205" s="193">
        <v>739</v>
      </c>
      <c r="L205" s="194">
        <v>759</v>
      </c>
      <c r="M205" s="194">
        <v>759</v>
      </c>
      <c r="N205" s="195">
        <v>0</v>
      </c>
      <c r="O205" s="195" t="s">
        <v>1</v>
      </c>
      <c r="P205" s="195" t="s">
        <v>1</v>
      </c>
      <c r="Q205" s="195" t="s">
        <v>1</v>
      </c>
      <c r="R205" s="196" t="s">
        <v>1253</v>
      </c>
      <c r="S205" s="197">
        <v>0</v>
      </c>
      <c r="T205" s="197" t="s">
        <v>1</v>
      </c>
      <c r="U205" s="197" t="s">
        <v>1</v>
      </c>
      <c r="V205" s="197" t="s">
        <v>1</v>
      </c>
      <c r="W205" s="196" t="s">
        <v>1253</v>
      </c>
      <c r="X205" s="195">
        <v>0</v>
      </c>
      <c r="Y205" s="195" t="s">
        <v>1</v>
      </c>
      <c r="Z205" s="195" t="s">
        <v>1</v>
      </c>
      <c r="AA205" s="196" t="s">
        <v>1</v>
      </c>
      <c r="AB205" s="196" t="s">
        <v>1</v>
      </c>
      <c r="AC205" s="197">
        <v>0</v>
      </c>
      <c r="AD205" s="197" t="s">
        <v>1</v>
      </c>
      <c r="AE205" s="197" t="s">
        <v>1</v>
      </c>
      <c r="AF205" s="198" t="s">
        <v>1</v>
      </c>
      <c r="AG205" s="198" t="s">
        <v>1</v>
      </c>
      <c r="AH205" s="198" t="s">
        <v>1</v>
      </c>
      <c r="AI205" s="209" t="s">
        <v>1</v>
      </c>
      <c r="AJ205" s="209" t="s">
        <v>1</v>
      </c>
      <c r="AK205" s="209" t="s">
        <v>1</v>
      </c>
      <c r="AL205" s="214" t="s">
        <v>1</v>
      </c>
      <c r="AM205" s="215" t="s">
        <v>1</v>
      </c>
      <c r="AN205" s="199" t="s">
        <v>1</v>
      </c>
      <c r="AO205" s="199" t="s">
        <v>1</v>
      </c>
      <c r="AP205" s="198" t="s">
        <v>1</v>
      </c>
      <c r="AQ205" s="198" t="s">
        <v>1</v>
      </c>
      <c r="AR205" s="201" t="s">
        <v>1</v>
      </c>
      <c r="AS205" s="201" t="s">
        <v>1</v>
      </c>
      <c r="AT205" s="199" t="s">
        <v>1</v>
      </c>
      <c r="AU205" s="199" t="s">
        <v>1</v>
      </c>
      <c r="AV205" s="202" t="s">
        <v>1</v>
      </c>
      <c r="AW205" s="199" t="s">
        <v>1</v>
      </c>
    </row>
    <row r="206" spans="1:49" ht="30.15" customHeight="1" x14ac:dyDescent="0.25">
      <c r="A206" s="213" t="s">
        <v>18</v>
      </c>
      <c r="B206" s="189" t="s">
        <v>1</v>
      </c>
      <c r="C206" s="212" t="s">
        <v>34</v>
      </c>
      <c r="D206" s="190" t="s">
        <v>3</v>
      </c>
      <c r="E206" s="190" t="s">
        <v>97</v>
      </c>
      <c r="F206" s="191"/>
      <c r="G206" s="192" t="s">
        <v>98</v>
      </c>
      <c r="H206" s="192" t="s">
        <v>409</v>
      </c>
      <c r="I206" s="193">
        <v>599</v>
      </c>
      <c r="J206" s="193">
        <v>739</v>
      </c>
      <c r="K206" s="193">
        <v>739</v>
      </c>
      <c r="L206" s="194">
        <v>759</v>
      </c>
      <c r="M206" s="194">
        <v>759</v>
      </c>
      <c r="N206" s="195">
        <v>0</v>
      </c>
      <c r="O206" s="195" t="s">
        <v>1</v>
      </c>
      <c r="P206" s="195" t="s">
        <v>1</v>
      </c>
      <c r="Q206" s="195" t="s">
        <v>1</v>
      </c>
      <c r="R206" s="196" t="s">
        <v>1253</v>
      </c>
      <c r="S206" s="197">
        <v>0</v>
      </c>
      <c r="T206" s="197" t="s">
        <v>1</v>
      </c>
      <c r="U206" s="197" t="s">
        <v>1</v>
      </c>
      <c r="V206" s="197" t="s">
        <v>1</v>
      </c>
      <c r="W206" s="196" t="s">
        <v>1253</v>
      </c>
      <c r="X206" s="195">
        <v>0</v>
      </c>
      <c r="Y206" s="195" t="s">
        <v>1</v>
      </c>
      <c r="Z206" s="195" t="s">
        <v>1</v>
      </c>
      <c r="AA206" s="196" t="s">
        <v>1</v>
      </c>
      <c r="AB206" s="196" t="s">
        <v>1</v>
      </c>
      <c r="AC206" s="197">
        <v>0</v>
      </c>
      <c r="AD206" s="197" t="s">
        <v>1</v>
      </c>
      <c r="AE206" s="197" t="s">
        <v>1</v>
      </c>
      <c r="AF206" s="198" t="s">
        <v>1</v>
      </c>
      <c r="AG206" s="198" t="s">
        <v>1</v>
      </c>
      <c r="AH206" s="198" t="s">
        <v>1</v>
      </c>
      <c r="AI206" s="209" t="s">
        <v>1</v>
      </c>
      <c r="AJ206" s="209" t="s">
        <v>1</v>
      </c>
      <c r="AK206" s="209" t="s">
        <v>1</v>
      </c>
      <c r="AL206" s="214" t="s">
        <v>1</v>
      </c>
      <c r="AM206" s="215" t="s">
        <v>1</v>
      </c>
      <c r="AN206" s="199" t="s">
        <v>1</v>
      </c>
      <c r="AO206" s="199" t="s">
        <v>1</v>
      </c>
      <c r="AP206" s="198" t="s">
        <v>1</v>
      </c>
      <c r="AQ206" s="198" t="s">
        <v>1</v>
      </c>
      <c r="AR206" s="201" t="s">
        <v>1</v>
      </c>
      <c r="AS206" s="201" t="s">
        <v>1</v>
      </c>
      <c r="AT206" s="199" t="s">
        <v>1</v>
      </c>
      <c r="AU206" s="199" t="s">
        <v>1</v>
      </c>
      <c r="AV206" s="202" t="s">
        <v>1</v>
      </c>
      <c r="AW206" s="199" t="s">
        <v>1</v>
      </c>
    </row>
    <row r="207" spans="1:49" ht="30.15" customHeight="1" x14ac:dyDescent="0.25">
      <c r="A207" s="213" t="s">
        <v>18</v>
      </c>
      <c r="B207" s="189" t="s">
        <v>1</v>
      </c>
      <c r="C207" s="212" t="s">
        <v>34</v>
      </c>
      <c r="D207" s="190" t="s">
        <v>3</v>
      </c>
      <c r="E207" s="190" t="s">
        <v>197</v>
      </c>
      <c r="F207" s="203"/>
      <c r="G207" s="190" t="s">
        <v>200</v>
      </c>
      <c r="H207" s="192" t="s">
        <v>409</v>
      </c>
      <c r="I207" s="193">
        <v>699</v>
      </c>
      <c r="J207" s="193">
        <v>739</v>
      </c>
      <c r="K207" s="193">
        <v>739</v>
      </c>
      <c r="L207" s="194">
        <v>750</v>
      </c>
      <c r="M207" s="194">
        <v>750</v>
      </c>
      <c r="N207" s="195">
        <v>0</v>
      </c>
      <c r="O207" s="195" t="s">
        <v>1</v>
      </c>
      <c r="P207" s="195" t="s">
        <v>1</v>
      </c>
      <c r="Q207" s="195" t="s">
        <v>1</v>
      </c>
      <c r="R207" s="196" t="s">
        <v>1253</v>
      </c>
      <c r="S207" s="197">
        <v>0</v>
      </c>
      <c r="T207" s="197" t="s">
        <v>1</v>
      </c>
      <c r="U207" s="197" t="s">
        <v>1</v>
      </c>
      <c r="V207" s="197" t="s">
        <v>1</v>
      </c>
      <c r="W207" s="196" t="s">
        <v>1253</v>
      </c>
      <c r="X207" s="195">
        <v>0</v>
      </c>
      <c r="Y207" s="195" t="s">
        <v>1</v>
      </c>
      <c r="Z207" s="195" t="s">
        <v>1</v>
      </c>
      <c r="AA207" s="196" t="s">
        <v>1</v>
      </c>
      <c r="AB207" s="196" t="s">
        <v>1</v>
      </c>
      <c r="AC207" s="197">
        <v>0</v>
      </c>
      <c r="AD207" s="197" t="s">
        <v>1</v>
      </c>
      <c r="AE207" s="197" t="s">
        <v>1</v>
      </c>
      <c r="AF207" s="198" t="s">
        <v>1</v>
      </c>
      <c r="AG207" s="198" t="s">
        <v>1</v>
      </c>
      <c r="AH207" s="198" t="s">
        <v>1</v>
      </c>
      <c r="AI207" s="209" t="s">
        <v>1</v>
      </c>
      <c r="AJ207" s="209" t="s">
        <v>1</v>
      </c>
      <c r="AK207" s="209" t="s">
        <v>1</v>
      </c>
      <c r="AL207" s="214" t="s">
        <v>1</v>
      </c>
      <c r="AM207" s="215" t="s">
        <v>1</v>
      </c>
      <c r="AN207" s="199" t="s">
        <v>1</v>
      </c>
      <c r="AO207" s="199" t="s">
        <v>1</v>
      </c>
      <c r="AP207" s="198" t="s">
        <v>1</v>
      </c>
      <c r="AQ207" s="198" t="s">
        <v>1</v>
      </c>
      <c r="AR207" s="201" t="s">
        <v>1</v>
      </c>
      <c r="AS207" s="201" t="s">
        <v>1</v>
      </c>
      <c r="AT207" s="199" t="s">
        <v>1</v>
      </c>
      <c r="AU207" s="199" t="s">
        <v>1</v>
      </c>
      <c r="AV207" s="202" t="s">
        <v>1</v>
      </c>
      <c r="AW207" s="199" t="s">
        <v>1</v>
      </c>
    </row>
    <row r="208" spans="1:49" ht="30.15" customHeight="1" x14ac:dyDescent="0.25">
      <c r="A208" s="213" t="s">
        <v>18</v>
      </c>
      <c r="B208" s="189" t="s">
        <v>1</v>
      </c>
      <c r="C208" s="212" t="s">
        <v>34</v>
      </c>
      <c r="D208" s="190" t="s">
        <v>3</v>
      </c>
      <c r="E208" s="190" t="s">
        <v>172</v>
      </c>
      <c r="F208" s="203"/>
      <c r="G208" s="190" t="s">
        <v>182</v>
      </c>
      <c r="H208" s="192" t="s">
        <v>409</v>
      </c>
      <c r="I208" s="193">
        <v>399</v>
      </c>
      <c r="J208" s="193">
        <v>399</v>
      </c>
      <c r="K208" s="193">
        <v>399</v>
      </c>
      <c r="L208" s="193">
        <v>430</v>
      </c>
      <c r="M208" s="194">
        <v>430</v>
      </c>
      <c r="N208" s="195">
        <v>0</v>
      </c>
      <c r="O208" s="197">
        <v>2.92</v>
      </c>
      <c r="P208" s="197">
        <v>24</v>
      </c>
      <c r="Q208" s="195" t="s">
        <v>1</v>
      </c>
      <c r="R208" s="196">
        <v>120</v>
      </c>
      <c r="S208" s="197">
        <v>0</v>
      </c>
      <c r="T208" s="197">
        <v>2.92</v>
      </c>
      <c r="U208" s="197">
        <v>24</v>
      </c>
      <c r="V208" s="197" t="s">
        <v>1</v>
      </c>
      <c r="W208" s="196">
        <v>120</v>
      </c>
      <c r="X208" s="195">
        <v>0</v>
      </c>
      <c r="Y208" s="195">
        <v>17.920000000000002</v>
      </c>
      <c r="Z208" s="195">
        <v>24</v>
      </c>
      <c r="AA208" s="196" t="s">
        <v>1</v>
      </c>
      <c r="AB208" s="196" t="s">
        <v>1</v>
      </c>
      <c r="AC208" s="197">
        <v>0</v>
      </c>
      <c r="AD208" s="195">
        <v>17.920000000000002</v>
      </c>
      <c r="AE208" s="197">
        <v>24</v>
      </c>
      <c r="AF208" s="198" t="s">
        <v>1</v>
      </c>
      <c r="AG208" s="198" t="s">
        <v>1</v>
      </c>
      <c r="AH208" s="198" t="s">
        <v>1</v>
      </c>
      <c r="AI208" s="209" t="s">
        <v>1</v>
      </c>
      <c r="AJ208" s="209" t="s">
        <v>1</v>
      </c>
      <c r="AK208" s="209" t="s">
        <v>1</v>
      </c>
      <c r="AL208" s="214" t="s">
        <v>1</v>
      </c>
      <c r="AM208" s="215" t="s">
        <v>1</v>
      </c>
      <c r="AN208" s="199" t="s">
        <v>1</v>
      </c>
      <c r="AO208" s="199" t="s">
        <v>1</v>
      </c>
      <c r="AP208" s="198" t="s">
        <v>1</v>
      </c>
      <c r="AQ208" s="198" t="s">
        <v>1</v>
      </c>
      <c r="AR208" s="201" t="s">
        <v>1</v>
      </c>
      <c r="AS208" s="201" t="s">
        <v>1</v>
      </c>
      <c r="AT208" s="199" t="s">
        <v>1</v>
      </c>
      <c r="AU208" s="199" t="s">
        <v>1</v>
      </c>
      <c r="AV208" s="202" t="s">
        <v>1</v>
      </c>
      <c r="AW208" s="199" t="s">
        <v>1</v>
      </c>
    </row>
    <row r="209" spans="1:49" ht="30.15" customHeight="1" x14ac:dyDescent="0.25">
      <c r="A209" s="213" t="s">
        <v>18</v>
      </c>
      <c r="B209" s="189" t="s">
        <v>1</v>
      </c>
      <c r="C209" s="212" t="s">
        <v>34</v>
      </c>
      <c r="D209" s="190" t="s">
        <v>3</v>
      </c>
      <c r="E209" s="190" t="s">
        <v>169</v>
      </c>
      <c r="F209" s="203"/>
      <c r="G209" s="190" t="s">
        <v>182</v>
      </c>
      <c r="H209" s="192" t="s">
        <v>409</v>
      </c>
      <c r="I209" s="193">
        <v>399</v>
      </c>
      <c r="J209" s="193">
        <v>399</v>
      </c>
      <c r="K209" s="193">
        <v>399</v>
      </c>
      <c r="L209" s="193">
        <v>430</v>
      </c>
      <c r="M209" s="194">
        <v>430</v>
      </c>
      <c r="N209" s="195">
        <v>0</v>
      </c>
      <c r="O209" s="197">
        <v>2.92</v>
      </c>
      <c r="P209" s="197">
        <v>24</v>
      </c>
      <c r="Q209" s="195" t="s">
        <v>1</v>
      </c>
      <c r="R209" s="196">
        <v>120</v>
      </c>
      <c r="S209" s="197">
        <v>0</v>
      </c>
      <c r="T209" s="197">
        <v>2.92</v>
      </c>
      <c r="U209" s="197">
        <v>24</v>
      </c>
      <c r="V209" s="197" t="s">
        <v>1</v>
      </c>
      <c r="W209" s="196">
        <v>120</v>
      </c>
      <c r="X209" s="195">
        <v>0</v>
      </c>
      <c r="Y209" s="195">
        <v>17.920000000000002</v>
      </c>
      <c r="Z209" s="195">
        <v>24</v>
      </c>
      <c r="AA209" s="196" t="s">
        <v>1</v>
      </c>
      <c r="AB209" s="196" t="s">
        <v>1</v>
      </c>
      <c r="AC209" s="197">
        <v>0</v>
      </c>
      <c r="AD209" s="195">
        <v>17.920000000000002</v>
      </c>
      <c r="AE209" s="197">
        <v>24</v>
      </c>
      <c r="AF209" s="198" t="s">
        <v>1</v>
      </c>
      <c r="AG209" s="198" t="s">
        <v>1</v>
      </c>
      <c r="AH209" s="198" t="s">
        <v>1</v>
      </c>
      <c r="AI209" s="209" t="s">
        <v>1</v>
      </c>
      <c r="AJ209" s="209" t="s">
        <v>1</v>
      </c>
      <c r="AK209" s="209" t="s">
        <v>1</v>
      </c>
      <c r="AL209" s="214" t="s">
        <v>1</v>
      </c>
      <c r="AM209" s="215" t="s">
        <v>1</v>
      </c>
      <c r="AN209" s="199" t="s">
        <v>1</v>
      </c>
      <c r="AO209" s="199" t="s">
        <v>1</v>
      </c>
      <c r="AP209" s="198" t="s">
        <v>1</v>
      </c>
      <c r="AQ209" s="198" t="s">
        <v>1</v>
      </c>
      <c r="AR209" s="201" t="s">
        <v>1</v>
      </c>
      <c r="AS209" s="201" t="s">
        <v>1</v>
      </c>
      <c r="AT209" s="199" t="s">
        <v>1</v>
      </c>
      <c r="AU209" s="199" t="s">
        <v>1</v>
      </c>
      <c r="AV209" s="202" t="s">
        <v>1</v>
      </c>
      <c r="AW209" s="199" t="s">
        <v>1</v>
      </c>
    </row>
    <row r="210" spans="1:49" ht="30.15" customHeight="1" x14ac:dyDescent="0.25">
      <c r="A210" s="213" t="s">
        <v>18</v>
      </c>
      <c r="B210" s="189" t="s">
        <v>1</v>
      </c>
      <c r="C210" s="212" t="s">
        <v>34</v>
      </c>
      <c r="D210" s="190" t="s">
        <v>3</v>
      </c>
      <c r="E210" s="190" t="s">
        <v>319</v>
      </c>
      <c r="F210" s="203"/>
      <c r="G210" s="190" t="s">
        <v>182</v>
      </c>
      <c r="H210" s="192" t="s">
        <v>409</v>
      </c>
      <c r="I210" s="193">
        <v>399</v>
      </c>
      <c r="J210" s="193">
        <v>399</v>
      </c>
      <c r="K210" s="193">
        <v>399</v>
      </c>
      <c r="L210" s="193">
        <v>430</v>
      </c>
      <c r="M210" s="194">
        <v>430</v>
      </c>
      <c r="N210" s="195">
        <v>0</v>
      </c>
      <c r="O210" s="197">
        <v>2.92</v>
      </c>
      <c r="P210" s="197">
        <v>24</v>
      </c>
      <c r="Q210" s="195" t="s">
        <v>1</v>
      </c>
      <c r="R210" s="196">
        <v>120</v>
      </c>
      <c r="S210" s="197">
        <v>0</v>
      </c>
      <c r="T210" s="197">
        <v>2.92</v>
      </c>
      <c r="U210" s="197">
        <v>24</v>
      </c>
      <c r="V210" s="197" t="s">
        <v>1</v>
      </c>
      <c r="W210" s="196">
        <v>120</v>
      </c>
      <c r="X210" s="195">
        <v>0</v>
      </c>
      <c r="Y210" s="195">
        <v>17.920000000000002</v>
      </c>
      <c r="Z210" s="195">
        <v>24</v>
      </c>
      <c r="AA210" s="196" t="s">
        <v>1</v>
      </c>
      <c r="AB210" s="196" t="s">
        <v>1</v>
      </c>
      <c r="AC210" s="197">
        <v>0</v>
      </c>
      <c r="AD210" s="195">
        <v>17.920000000000002</v>
      </c>
      <c r="AE210" s="197">
        <v>24</v>
      </c>
      <c r="AF210" s="198" t="s">
        <v>1</v>
      </c>
      <c r="AG210" s="198" t="s">
        <v>1</v>
      </c>
      <c r="AH210" s="198" t="s">
        <v>1</v>
      </c>
      <c r="AI210" s="209" t="s">
        <v>1</v>
      </c>
      <c r="AJ210" s="209" t="s">
        <v>1</v>
      </c>
      <c r="AK210" s="209" t="s">
        <v>1</v>
      </c>
      <c r="AL210" s="214" t="s">
        <v>1</v>
      </c>
      <c r="AM210" s="215" t="s">
        <v>1</v>
      </c>
      <c r="AN210" s="199" t="s">
        <v>1</v>
      </c>
      <c r="AO210" s="199" t="s">
        <v>1</v>
      </c>
      <c r="AP210" s="198" t="s">
        <v>1</v>
      </c>
      <c r="AQ210" s="198" t="s">
        <v>1</v>
      </c>
      <c r="AR210" s="201" t="s">
        <v>1</v>
      </c>
      <c r="AS210" s="201" t="s">
        <v>1</v>
      </c>
      <c r="AT210" s="199" t="s">
        <v>1</v>
      </c>
      <c r="AU210" s="199" t="s">
        <v>1</v>
      </c>
      <c r="AV210" s="202" t="s">
        <v>1</v>
      </c>
      <c r="AW210" s="199" t="s">
        <v>1</v>
      </c>
    </row>
    <row r="211" spans="1:49" ht="30.15" customHeight="1" x14ac:dyDescent="0.25">
      <c r="A211" s="213" t="s">
        <v>18</v>
      </c>
      <c r="B211" s="189" t="s">
        <v>1</v>
      </c>
      <c r="C211" s="212" t="s">
        <v>34</v>
      </c>
      <c r="D211" s="190" t="s">
        <v>3</v>
      </c>
      <c r="E211" s="190" t="s">
        <v>170</v>
      </c>
      <c r="F211" s="203"/>
      <c r="G211" s="190" t="s">
        <v>182</v>
      </c>
      <c r="H211" s="192" t="s">
        <v>409</v>
      </c>
      <c r="I211" s="193">
        <v>399</v>
      </c>
      <c r="J211" s="193">
        <v>399</v>
      </c>
      <c r="K211" s="193">
        <v>399</v>
      </c>
      <c r="L211" s="193">
        <v>430</v>
      </c>
      <c r="M211" s="194">
        <v>430</v>
      </c>
      <c r="N211" s="195">
        <v>0</v>
      </c>
      <c r="O211" s="197">
        <v>2.92</v>
      </c>
      <c r="P211" s="197">
        <v>24</v>
      </c>
      <c r="Q211" s="195" t="s">
        <v>1</v>
      </c>
      <c r="R211" s="196">
        <v>120</v>
      </c>
      <c r="S211" s="197">
        <v>0</v>
      </c>
      <c r="T211" s="197">
        <v>2.92</v>
      </c>
      <c r="U211" s="197">
        <v>24</v>
      </c>
      <c r="V211" s="197" t="s">
        <v>1</v>
      </c>
      <c r="W211" s="196">
        <v>120</v>
      </c>
      <c r="X211" s="195">
        <v>0</v>
      </c>
      <c r="Y211" s="195">
        <v>17.920000000000002</v>
      </c>
      <c r="Z211" s="195">
        <v>24</v>
      </c>
      <c r="AA211" s="196" t="s">
        <v>1</v>
      </c>
      <c r="AB211" s="196" t="s">
        <v>1</v>
      </c>
      <c r="AC211" s="197">
        <v>0</v>
      </c>
      <c r="AD211" s="195">
        <v>17.920000000000002</v>
      </c>
      <c r="AE211" s="197">
        <v>24</v>
      </c>
      <c r="AF211" s="198" t="s">
        <v>1</v>
      </c>
      <c r="AG211" s="198" t="s">
        <v>1</v>
      </c>
      <c r="AH211" s="198" t="s">
        <v>1</v>
      </c>
      <c r="AI211" s="209" t="s">
        <v>1</v>
      </c>
      <c r="AJ211" s="209" t="s">
        <v>1</v>
      </c>
      <c r="AK211" s="209" t="s">
        <v>1</v>
      </c>
      <c r="AL211" s="214" t="s">
        <v>1</v>
      </c>
      <c r="AM211" s="215" t="s">
        <v>1</v>
      </c>
      <c r="AN211" s="199" t="s">
        <v>1</v>
      </c>
      <c r="AO211" s="199" t="s">
        <v>1</v>
      </c>
      <c r="AP211" s="198" t="s">
        <v>1</v>
      </c>
      <c r="AQ211" s="198" t="s">
        <v>1</v>
      </c>
      <c r="AR211" s="201" t="s">
        <v>1</v>
      </c>
      <c r="AS211" s="201" t="s">
        <v>1</v>
      </c>
      <c r="AT211" s="199" t="s">
        <v>1</v>
      </c>
      <c r="AU211" s="199" t="s">
        <v>1</v>
      </c>
      <c r="AV211" s="202" t="s">
        <v>1</v>
      </c>
      <c r="AW211" s="199" t="s">
        <v>1</v>
      </c>
    </row>
    <row r="212" spans="1:49" ht="30.15" customHeight="1" x14ac:dyDescent="0.25">
      <c r="A212" s="213" t="s">
        <v>18</v>
      </c>
      <c r="B212" s="189" t="s">
        <v>1</v>
      </c>
      <c r="C212" s="212" t="s">
        <v>34</v>
      </c>
      <c r="D212" s="190" t="s">
        <v>3</v>
      </c>
      <c r="E212" s="190" t="s">
        <v>171</v>
      </c>
      <c r="F212" s="203"/>
      <c r="G212" s="190" t="s">
        <v>182</v>
      </c>
      <c r="H212" s="192" t="s">
        <v>409</v>
      </c>
      <c r="I212" s="193">
        <v>399</v>
      </c>
      <c r="J212" s="193">
        <v>399</v>
      </c>
      <c r="K212" s="193">
        <v>399</v>
      </c>
      <c r="L212" s="193">
        <v>430</v>
      </c>
      <c r="M212" s="194">
        <v>430</v>
      </c>
      <c r="N212" s="195">
        <v>0</v>
      </c>
      <c r="O212" s="197">
        <v>2.92</v>
      </c>
      <c r="P212" s="197">
        <v>24</v>
      </c>
      <c r="Q212" s="195" t="s">
        <v>1</v>
      </c>
      <c r="R212" s="196">
        <v>120</v>
      </c>
      <c r="S212" s="197">
        <v>0</v>
      </c>
      <c r="T212" s="197">
        <v>2.92</v>
      </c>
      <c r="U212" s="197">
        <v>24</v>
      </c>
      <c r="V212" s="197" t="s">
        <v>1</v>
      </c>
      <c r="W212" s="196">
        <v>120</v>
      </c>
      <c r="X212" s="195">
        <v>0</v>
      </c>
      <c r="Y212" s="195">
        <v>17.920000000000002</v>
      </c>
      <c r="Z212" s="195">
        <v>24</v>
      </c>
      <c r="AA212" s="196" t="s">
        <v>1</v>
      </c>
      <c r="AB212" s="196" t="s">
        <v>1</v>
      </c>
      <c r="AC212" s="197">
        <v>0</v>
      </c>
      <c r="AD212" s="195">
        <v>17.920000000000002</v>
      </c>
      <c r="AE212" s="197">
        <v>24</v>
      </c>
      <c r="AF212" s="198" t="s">
        <v>1</v>
      </c>
      <c r="AG212" s="198" t="s">
        <v>1</v>
      </c>
      <c r="AH212" s="198" t="s">
        <v>1</v>
      </c>
      <c r="AI212" s="209" t="s">
        <v>1</v>
      </c>
      <c r="AJ212" s="209" t="s">
        <v>1</v>
      </c>
      <c r="AK212" s="209" t="s">
        <v>1</v>
      </c>
      <c r="AL212" s="214" t="s">
        <v>1</v>
      </c>
      <c r="AM212" s="215" t="s">
        <v>1</v>
      </c>
      <c r="AN212" s="199" t="s">
        <v>1</v>
      </c>
      <c r="AO212" s="199" t="s">
        <v>1</v>
      </c>
      <c r="AP212" s="198" t="s">
        <v>1</v>
      </c>
      <c r="AQ212" s="198" t="s">
        <v>1</v>
      </c>
      <c r="AR212" s="201" t="s">
        <v>1</v>
      </c>
      <c r="AS212" s="201" t="s">
        <v>1</v>
      </c>
      <c r="AT212" s="199" t="s">
        <v>1</v>
      </c>
      <c r="AU212" s="199" t="s">
        <v>1</v>
      </c>
      <c r="AV212" s="202" t="s">
        <v>1</v>
      </c>
      <c r="AW212" s="199" t="s">
        <v>1</v>
      </c>
    </row>
    <row r="213" spans="1:49" ht="30.15" customHeight="1" x14ac:dyDescent="0.25">
      <c r="A213" s="213" t="s">
        <v>18</v>
      </c>
      <c r="B213" s="189" t="s">
        <v>1</v>
      </c>
      <c r="C213" s="212" t="s">
        <v>34</v>
      </c>
      <c r="D213" s="190" t="s">
        <v>3</v>
      </c>
      <c r="E213" s="190" t="s">
        <v>186</v>
      </c>
      <c r="F213" s="203"/>
      <c r="G213" s="190" t="s">
        <v>162</v>
      </c>
      <c r="H213" s="192" t="s">
        <v>409</v>
      </c>
      <c r="I213" s="193">
        <v>525</v>
      </c>
      <c r="J213" s="193">
        <v>532</v>
      </c>
      <c r="K213" s="193">
        <v>532</v>
      </c>
      <c r="L213" s="193">
        <v>560</v>
      </c>
      <c r="M213" s="194">
        <v>560</v>
      </c>
      <c r="N213" s="195">
        <v>0</v>
      </c>
      <c r="O213" s="197">
        <v>2.92</v>
      </c>
      <c r="P213" s="195">
        <v>24</v>
      </c>
      <c r="Q213" s="195" t="s">
        <v>1</v>
      </c>
      <c r="R213" s="196" t="s">
        <v>1252</v>
      </c>
      <c r="S213" s="197">
        <v>0</v>
      </c>
      <c r="T213" s="197">
        <v>2.92</v>
      </c>
      <c r="U213" s="195">
        <v>24</v>
      </c>
      <c r="V213" s="197" t="s">
        <v>1</v>
      </c>
      <c r="W213" s="196" t="s">
        <v>1252</v>
      </c>
      <c r="X213" s="195">
        <v>0</v>
      </c>
      <c r="Y213" s="195">
        <v>17.920000000000002</v>
      </c>
      <c r="Z213" s="195">
        <v>24</v>
      </c>
      <c r="AA213" s="196" t="s">
        <v>1</v>
      </c>
      <c r="AB213" s="196" t="s">
        <v>1</v>
      </c>
      <c r="AC213" s="197">
        <v>0</v>
      </c>
      <c r="AD213" s="195">
        <v>17.920000000000002</v>
      </c>
      <c r="AE213" s="197">
        <v>24</v>
      </c>
      <c r="AF213" s="198" t="s">
        <v>1</v>
      </c>
      <c r="AG213" s="198" t="s">
        <v>1</v>
      </c>
      <c r="AH213" s="198" t="s">
        <v>1</v>
      </c>
      <c r="AI213" s="209" t="s">
        <v>1</v>
      </c>
      <c r="AJ213" s="209" t="s">
        <v>1</v>
      </c>
      <c r="AK213" s="209" t="s">
        <v>1</v>
      </c>
      <c r="AL213" s="214" t="s">
        <v>1</v>
      </c>
      <c r="AM213" s="215" t="s">
        <v>1</v>
      </c>
      <c r="AN213" s="199" t="s">
        <v>1</v>
      </c>
      <c r="AO213" s="199" t="s">
        <v>1</v>
      </c>
      <c r="AP213" s="198" t="s">
        <v>1</v>
      </c>
      <c r="AQ213" s="198" t="s">
        <v>1</v>
      </c>
      <c r="AR213" s="201" t="s">
        <v>1</v>
      </c>
      <c r="AS213" s="201" t="s">
        <v>1</v>
      </c>
      <c r="AT213" s="199" t="s">
        <v>1</v>
      </c>
      <c r="AU213" s="199" t="s">
        <v>1</v>
      </c>
      <c r="AV213" s="202" t="s">
        <v>1</v>
      </c>
      <c r="AW213" s="199" t="s">
        <v>1</v>
      </c>
    </row>
    <row r="214" spans="1:49" ht="30.15" customHeight="1" x14ac:dyDescent="0.25">
      <c r="A214" s="213" t="s">
        <v>18</v>
      </c>
      <c r="B214" s="189" t="s">
        <v>1</v>
      </c>
      <c r="C214" s="212" t="s">
        <v>34</v>
      </c>
      <c r="D214" s="190" t="s">
        <v>3</v>
      </c>
      <c r="E214" s="190" t="s">
        <v>201</v>
      </c>
      <c r="F214" s="203"/>
      <c r="G214" s="190" t="s">
        <v>162</v>
      </c>
      <c r="H214" s="192" t="s">
        <v>409</v>
      </c>
      <c r="I214" s="193">
        <v>525</v>
      </c>
      <c r="J214" s="193">
        <v>532</v>
      </c>
      <c r="K214" s="193">
        <v>532</v>
      </c>
      <c r="L214" s="193">
        <v>560</v>
      </c>
      <c r="M214" s="194">
        <v>560</v>
      </c>
      <c r="N214" s="195">
        <v>0</v>
      </c>
      <c r="O214" s="197">
        <v>2.92</v>
      </c>
      <c r="P214" s="195">
        <v>24</v>
      </c>
      <c r="Q214" s="195" t="s">
        <v>1</v>
      </c>
      <c r="R214" s="196" t="s">
        <v>1252</v>
      </c>
      <c r="S214" s="197">
        <v>0</v>
      </c>
      <c r="T214" s="197">
        <v>2.92</v>
      </c>
      <c r="U214" s="195">
        <v>24</v>
      </c>
      <c r="V214" s="197" t="s">
        <v>1</v>
      </c>
      <c r="W214" s="196" t="s">
        <v>1252</v>
      </c>
      <c r="X214" s="195">
        <v>0</v>
      </c>
      <c r="Y214" s="195">
        <v>17.920000000000002</v>
      </c>
      <c r="Z214" s="195">
        <v>24</v>
      </c>
      <c r="AA214" s="196" t="s">
        <v>1</v>
      </c>
      <c r="AB214" s="196" t="s">
        <v>1</v>
      </c>
      <c r="AC214" s="197">
        <v>0</v>
      </c>
      <c r="AD214" s="195">
        <v>17.920000000000002</v>
      </c>
      <c r="AE214" s="197">
        <v>24</v>
      </c>
      <c r="AF214" s="198" t="s">
        <v>1</v>
      </c>
      <c r="AG214" s="198" t="s">
        <v>1</v>
      </c>
      <c r="AH214" s="198" t="s">
        <v>1</v>
      </c>
      <c r="AI214" s="209" t="s">
        <v>1</v>
      </c>
      <c r="AJ214" s="209" t="s">
        <v>1</v>
      </c>
      <c r="AK214" s="209" t="s">
        <v>1</v>
      </c>
      <c r="AL214" s="214" t="s">
        <v>1</v>
      </c>
      <c r="AM214" s="215" t="s">
        <v>1</v>
      </c>
      <c r="AN214" s="199" t="s">
        <v>1</v>
      </c>
      <c r="AO214" s="199" t="s">
        <v>1</v>
      </c>
      <c r="AP214" s="198" t="s">
        <v>1</v>
      </c>
      <c r="AQ214" s="198" t="s">
        <v>1</v>
      </c>
      <c r="AR214" s="201" t="s">
        <v>1</v>
      </c>
      <c r="AS214" s="201" t="s">
        <v>1</v>
      </c>
      <c r="AT214" s="199" t="s">
        <v>1</v>
      </c>
      <c r="AU214" s="199" t="s">
        <v>1</v>
      </c>
      <c r="AV214" s="202" t="s">
        <v>1</v>
      </c>
      <c r="AW214" s="199" t="s">
        <v>1</v>
      </c>
    </row>
    <row r="215" spans="1:49" ht="30.15" customHeight="1" x14ac:dyDescent="0.25">
      <c r="A215" s="213" t="s">
        <v>18</v>
      </c>
      <c r="B215" s="189" t="s">
        <v>1</v>
      </c>
      <c r="C215" s="212" t="s">
        <v>34</v>
      </c>
      <c r="D215" s="190" t="s">
        <v>3</v>
      </c>
      <c r="E215" s="190" t="s">
        <v>163</v>
      </c>
      <c r="F215" s="203"/>
      <c r="G215" s="190" t="s">
        <v>162</v>
      </c>
      <c r="H215" s="192" t="s">
        <v>409</v>
      </c>
      <c r="I215" s="193">
        <v>525</v>
      </c>
      <c r="J215" s="193">
        <v>532</v>
      </c>
      <c r="K215" s="193">
        <v>532</v>
      </c>
      <c r="L215" s="193">
        <v>560</v>
      </c>
      <c r="M215" s="194">
        <v>560</v>
      </c>
      <c r="N215" s="195">
        <v>0</v>
      </c>
      <c r="O215" s="197">
        <v>2.92</v>
      </c>
      <c r="P215" s="195">
        <v>24</v>
      </c>
      <c r="Q215" s="195" t="s">
        <v>1</v>
      </c>
      <c r="R215" s="196" t="s">
        <v>1252</v>
      </c>
      <c r="S215" s="197">
        <v>0</v>
      </c>
      <c r="T215" s="197">
        <v>2.92</v>
      </c>
      <c r="U215" s="195">
        <v>24</v>
      </c>
      <c r="V215" s="197" t="s">
        <v>1</v>
      </c>
      <c r="W215" s="196" t="s">
        <v>1252</v>
      </c>
      <c r="X215" s="195">
        <v>0</v>
      </c>
      <c r="Y215" s="195">
        <v>17.920000000000002</v>
      </c>
      <c r="Z215" s="195">
        <v>24</v>
      </c>
      <c r="AA215" s="196" t="s">
        <v>1</v>
      </c>
      <c r="AB215" s="196" t="s">
        <v>1</v>
      </c>
      <c r="AC215" s="197">
        <v>0</v>
      </c>
      <c r="AD215" s="195">
        <v>17.920000000000002</v>
      </c>
      <c r="AE215" s="197">
        <v>24</v>
      </c>
      <c r="AF215" s="198" t="s">
        <v>1</v>
      </c>
      <c r="AG215" s="198" t="s">
        <v>1</v>
      </c>
      <c r="AH215" s="198" t="s">
        <v>1</v>
      </c>
      <c r="AI215" s="209" t="s">
        <v>1</v>
      </c>
      <c r="AJ215" s="209" t="s">
        <v>1</v>
      </c>
      <c r="AK215" s="209" t="s">
        <v>1</v>
      </c>
      <c r="AL215" s="214" t="s">
        <v>1</v>
      </c>
      <c r="AM215" s="215" t="s">
        <v>1</v>
      </c>
      <c r="AN215" s="199" t="s">
        <v>1</v>
      </c>
      <c r="AO215" s="199" t="s">
        <v>1</v>
      </c>
      <c r="AP215" s="198" t="s">
        <v>1</v>
      </c>
      <c r="AQ215" s="198" t="s">
        <v>1</v>
      </c>
      <c r="AR215" s="201" t="s">
        <v>1</v>
      </c>
      <c r="AS215" s="201" t="s">
        <v>1</v>
      </c>
      <c r="AT215" s="199" t="s">
        <v>1</v>
      </c>
      <c r="AU215" s="199" t="s">
        <v>1</v>
      </c>
      <c r="AV215" s="202" t="s">
        <v>1</v>
      </c>
      <c r="AW215" s="199" t="s">
        <v>1</v>
      </c>
    </row>
    <row r="216" spans="1:49" ht="30.15" customHeight="1" x14ac:dyDescent="0.25">
      <c r="A216" s="213" t="s">
        <v>18</v>
      </c>
      <c r="B216" s="189" t="s">
        <v>1</v>
      </c>
      <c r="C216" s="212" t="s">
        <v>34</v>
      </c>
      <c r="D216" s="190" t="s">
        <v>3</v>
      </c>
      <c r="E216" s="190" t="s">
        <v>164</v>
      </c>
      <c r="F216" s="203"/>
      <c r="G216" s="190" t="s">
        <v>162</v>
      </c>
      <c r="H216" s="192" t="s">
        <v>409</v>
      </c>
      <c r="I216" s="193">
        <v>525</v>
      </c>
      <c r="J216" s="193">
        <v>532</v>
      </c>
      <c r="K216" s="193">
        <v>532</v>
      </c>
      <c r="L216" s="193">
        <v>560</v>
      </c>
      <c r="M216" s="194">
        <v>560</v>
      </c>
      <c r="N216" s="195">
        <v>0</v>
      </c>
      <c r="O216" s="197">
        <v>2.92</v>
      </c>
      <c r="P216" s="195">
        <v>24</v>
      </c>
      <c r="Q216" s="195" t="s">
        <v>1</v>
      </c>
      <c r="R216" s="196" t="s">
        <v>1252</v>
      </c>
      <c r="S216" s="197">
        <v>0</v>
      </c>
      <c r="T216" s="197">
        <v>2.92</v>
      </c>
      <c r="U216" s="195">
        <v>24</v>
      </c>
      <c r="V216" s="197" t="s">
        <v>1</v>
      </c>
      <c r="W216" s="196" t="s">
        <v>1252</v>
      </c>
      <c r="X216" s="195">
        <v>0</v>
      </c>
      <c r="Y216" s="195">
        <v>17.920000000000002</v>
      </c>
      <c r="Z216" s="195">
        <v>24</v>
      </c>
      <c r="AA216" s="196" t="s">
        <v>1</v>
      </c>
      <c r="AB216" s="196" t="s">
        <v>1</v>
      </c>
      <c r="AC216" s="197">
        <v>0</v>
      </c>
      <c r="AD216" s="195">
        <v>17.920000000000002</v>
      </c>
      <c r="AE216" s="197">
        <v>24</v>
      </c>
      <c r="AF216" s="198" t="s">
        <v>1</v>
      </c>
      <c r="AG216" s="198" t="s">
        <v>1</v>
      </c>
      <c r="AH216" s="198" t="s">
        <v>1</v>
      </c>
      <c r="AI216" s="209" t="s">
        <v>1</v>
      </c>
      <c r="AJ216" s="209" t="s">
        <v>1</v>
      </c>
      <c r="AK216" s="209" t="s">
        <v>1</v>
      </c>
      <c r="AL216" s="214" t="s">
        <v>1</v>
      </c>
      <c r="AM216" s="215" t="s">
        <v>1</v>
      </c>
      <c r="AN216" s="199" t="s">
        <v>1</v>
      </c>
      <c r="AO216" s="199" t="s">
        <v>1</v>
      </c>
      <c r="AP216" s="198" t="s">
        <v>1</v>
      </c>
      <c r="AQ216" s="198" t="s">
        <v>1</v>
      </c>
      <c r="AR216" s="201" t="s">
        <v>1</v>
      </c>
      <c r="AS216" s="201" t="s">
        <v>1</v>
      </c>
      <c r="AT216" s="199" t="s">
        <v>1</v>
      </c>
      <c r="AU216" s="199" t="s">
        <v>1</v>
      </c>
      <c r="AV216" s="202" t="s">
        <v>1</v>
      </c>
      <c r="AW216" s="199" t="s">
        <v>1</v>
      </c>
    </row>
    <row r="217" spans="1:49" ht="30.15" customHeight="1" x14ac:dyDescent="0.25">
      <c r="A217" s="213" t="s">
        <v>18</v>
      </c>
      <c r="B217" s="189" t="s">
        <v>1</v>
      </c>
      <c r="C217" s="212" t="s">
        <v>34</v>
      </c>
      <c r="D217" s="190" t="s">
        <v>3</v>
      </c>
      <c r="E217" s="190" t="s">
        <v>188</v>
      </c>
      <c r="F217" s="203"/>
      <c r="G217" s="190" t="s">
        <v>184</v>
      </c>
      <c r="H217" s="192" t="s">
        <v>409</v>
      </c>
      <c r="I217" s="193">
        <v>749</v>
      </c>
      <c r="J217" s="193">
        <v>749</v>
      </c>
      <c r="K217" s="193">
        <v>749</v>
      </c>
      <c r="L217" s="193">
        <v>710</v>
      </c>
      <c r="M217" s="194">
        <v>710</v>
      </c>
      <c r="N217" s="195">
        <v>0</v>
      </c>
      <c r="O217" s="197">
        <v>2.92</v>
      </c>
      <c r="P217" s="197">
        <v>24</v>
      </c>
      <c r="Q217" s="195" t="s">
        <v>1</v>
      </c>
      <c r="R217" s="196" t="s">
        <v>1252</v>
      </c>
      <c r="S217" s="197">
        <v>0</v>
      </c>
      <c r="T217" s="197">
        <v>2.92</v>
      </c>
      <c r="U217" s="197">
        <v>24</v>
      </c>
      <c r="V217" s="197" t="s">
        <v>1</v>
      </c>
      <c r="W217" s="196" t="s">
        <v>1252</v>
      </c>
      <c r="X217" s="195">
        <v>0</v>
      </c>
      <c r="Y217" s="195">
        <v>2.92</v>
      </c>
      <c r="Z217" s="195">
        <v>24</v>
      </c>
      <c r="AA217" s="196" t="s">
        <v>1</v>
      </c>
      <c r="AB217" s="196" t="s">
        <v>1</v>
      </c>
      <c r="AC217" s="197">
        <v>0</v>
      </c>
      <c r="AD217" s="197">
        <v>2.92</v>
      </c>
      <c r="AE217" s="197">
        <v>24</v>
      </c>
      <c r="AF217" s="198" t="s">
        <v>1</v>
      </c>
      <c r="AG217" s="198" t="s">
        <v>1</v>
      </c>
      <c r="AH217" s="198" t="s">
        <v>1</v>
      </c>
      <c r="AI217" s="209" t="s">
        <v>1</v>
      </c>
      <c r="AJ217" s="209" t="s">
        <v>1</v>
      </c>
      <c r="AK217" s="209" t="s">
        <v>1</v>
      </c>
      <c r="AL217" s="214" t="s">
        <v>1</v>
      </c>
      <c r="AM217" s="215" t="s">
        <v>1</v>
      </c>
      <c r="AN217" s="199" t="s">
        <v>1</v>
      </c>
      <c r="AO217" s="199" t="s">
        <v>1</v>
      </c>
      <c r="AP217" s="198" t="s">
        <v>1</v>
      </c>
      <c r="AQ217" s="198" t="s">
        <v>1</v>
      </c>
      <c r="AR217" s="201" t="s">
        <v>1</v>
      </c>
      <c r="AS217" s="201" t="s">
        <v>1</v>
      </c>
      <c r="AT217" s="199" t="s">
        <v>1</v>
      </c>
      <c r="AU217" s="199" t="s">
        <v>1</v>
      </c>
      <c r="AV217" s="202" t="s">
        <v>1</v>
      </c>
      <c r="AW217" s="199" t="s">
        <v>1</v>
      </c>
    </row>
    <row r="218" spans="1:49" ht="30.15" customHeight="1" x14ac:dyDescent="0.25">
      <c r="A218" s="213" t="s">
        <v>18</v>
      </c>
      <c r="B218" s="189" t="s">
        <v>1</v>
      </c>
      <c r="C218" s="212" t="s">
        <v>34</v>
      </c>
      <c r="D218" s="190" t="s">
        <v>3</v>
      </c>
      <c r="E218" s="190" t="s">
        <v>176</v>
      </c>
      <c r="F218" s="203"/>
      <c r="G218" s="190" t="s">
        <v>184</v>
      </c>
      <c r="H218" s="192" t="s">
        <v>409</v>
      </c>
      <c r="I218" s="193">
        <v>749</v>
      </c>
      <c r="J218" s="193">
        <v>749</v>
      </c>
      <c r="K218" s="193">
        <v>749</v>
      </c>
      <c r="L218" s="193">
        <v>710</v>
      </c>
      <c r="M218" s="194">
        <v>710</v>
      </c>
      <c r="N218" s="195">
        <v>0</v>
      </c>
      <c r="O218" s="197">
        <v>2.92</v>
      </c>
      <c r="P218" s="197">
        <v>24</v>
      </c>
      <c r="Q218" s="195" t="s">
        <v>1</v>
      </c>
      <c r="R218" s="196" t="s">
        <v>1252</v>
      </c>
      <c r="S218" s="197">
        <v>0</v>
      </c>
      <c r="T218" s="197">
        <v>2.92</v>
      </c>
      <c r="U218" s="197">
        <v>24</v>
      </c>
      <c r="V218" s="197" t="s">
        <v>1</v>
      </c>
      <c r="W218" s="196" t="s">
        <v>1252</v>
      </c>
      <c r="X218" s="195">
        <v>0</v>
      </c>
      <c r="Y218" s="195">
        <v>2.92</v>
      </c>
      <c r="Z218" s="195">
        <v>24</v>
      </c>
      <c r="AA218" s="196" t="s">
        <v>1</v>
      </c>
      <c r="AB218" s="196" t="s">
        <v>1</v>
      </c>
      <c r="AC218" s="197">
        <v>0</v>
      </c>
      <c r="AD218" s="197">
        <v>2.92</v>
      </c>
      <c r="AE218" s="197">
        <v>24</v>
      </c>
      <c r="AF218" s="198" t="s">
        <v>1</v>
      </c>
      <c r="AG218" s="198" t="s">
        <v>1</v>
      </c>
      <c r="AH218" s="198" t="s">
        <v>1</v>
      </c>
      <c r="AI218" s="209" t="s">
        <v>1</v>
      </c>
      <c r="AJ218" s="209" t="s">
        <v>1</v>
      </c>
      <c r="AK218" s="209" t="s">
        <v>1</v>
      </c>
      <c r="AL218" s="214" t="s">
        <v>1</v>
      </c>
      <c r="AM218" s="215" t="s">
        <v>1</v>
      </c>
      <c r="AN218" s="199" t="s">
        <v>1</v>
      </c>
      <c r="AO218" s="199" t="s">
        <v>1</v>
      </c>
      <c r="AP218" s="198" t="s">
        <v>1</v>
      </c>
      <c r="AQ218" s="198" t="s">
        <v>1</v>
      </c>
      <c r="AR218" s="201" t="s">
        <v>1</v>
      </c>
      <c r="AS218" s="201" t="s">
        <v>1</v>
      </c>
      <c r="AT218" s="199" t="s">
        <v>1</v>
      </c>
      <c r="AU218" s="199" t="s">
        <v>1</v>
      </c>
      <c r="AV218" s="202" t="s">
        <v>1</v>
      </c>
      <c r="AW218" s="199" t="s">
        <v>1</v>
      </c>
    </row>
    <row r="219" spans="1:49" ht="30.15" customHeight="1" x14ac:dyDescent="0.25">
      <c r="A219" s="213" t="s">
        <v>18</v>
      </c>
      <c r="B219" s="189" t="s">
        <v>1</v>
      </c>
      <c r="C219" s="212" t="s">
        <v>34</v>
      </c>
      <c r="D219" s="190" t="s">
        <v>3</v>
      </c>
      <c r="E219" s="190" t="s">
        <v>320</v>
      </c>
      <c r="F219" s="203"/>
      <c r="G219" s="190" t="s">
        <v>184</v>
      </c>
      <c r="H219" s="192" t="s">
        <v>409</v>
      </c>
      <c r="I219" s="193">
        <v>749</v>
      </c>
      <c r="J219" s="193">
        <v>749</v>
      </c>
      <c r="K219" s="193">
        <v>749</v>
      </c>
      <c r="L219" s="193">
        <v>710</v>
      </c>
      <c r="M219" s="194">
        <v>710</v>
      </c>
      <c r="N219" s="195">
        <v>0</v>
      </c>
      <c r="O219" s="197">
        <v>2.92</v>
      </c>
      <c r="P219" s="197">
        <v>24</v>
      </c>
      <c r="Q219" s="195" t="s">
        <v>1</v>
      </c>
      <c r="R219" s="196" t="s">
        <v>1252</v>
      </c>
      <c r="S219" s="197">
        <v>0</v>
      </c>
      <c r="T219" s="197">
        <v>2.92</v>
      </c>
      <c r="U219" s="197">
        <v>24</v>
      </c>
      <c r="V219" s="197" t="s">
        <v>1</v>
      </c>
      <c r="W219" s="196" t="s">
        <v>1252</v>
      </c>
      <c r="X219" s="195">
        <v>0</v>
      </c>
      <c r="Y219" s="195">
        <v>2.92</v>
      </c>
      <c r="Z219" s="195">
        <v>24</v>
      </c>
      <c r="AA219" s="196" t="s">
        <v>1</v>
      </c>
      <c r="AB219" s="196" t="s">
        <v>1</v>
      </c>
      <c r="AC219" s="197">
        <v>0</v>
      </c>
      <c r="AD219" s="197">
        <v>2.92</v>
      </c>
      <c r="AE219" s="197">
        <v>24</v>
      </c>
      <c r="AF219" s="198" t="s">
        <v>1</v>
      </c>
      <c r="AG219" s="198" t="s">
        <v>1</v>
      </c>
      <c r="AH219" s="198" t="s">
        <v>1</v>
      </c>
      <c r="AI219" s="209" t="s">
        <v>1</v>
      </c>
      <c r="AJ219" s="209" t="s">
        <v>1</v>
      </c>
      <c r="AK219" s="209" t="s">
        <v>1</v>
      </c>
      <c r="AL219" s="214" t="s">
        <v>1</v>
      </c>
      <c r="AM219" s="215" t="s">
        <v>1</v>
      </c>
      <c r="AN219" s="199" t="s">
        <v>1</v>
      </c>
      <c r="AO219" s="199" t="s">
        <v>1</v>
      </c>
      <c r="AP219" s="198" t="s">
        <v>1</v>
      </c>
      <c r="AQ219" s="198" t="s">
        <v>1</v>
      </c>
      <c r="AR219" s="201" t="s">
        <v>1</v>
      </c>
      <c r="AS219" s="201" t="s">
        <v>1</v>
      </c>
      <c r="AT219" s="199" t="s">
        <v>1</v>
      </c>
      <c r="AU219" s="199" t="s">
        <v>1</v>
      </c>
      <c r="AV219" s="202" t="s">
        <v>1</v>
      </c>
      <c r="AW219" s="199" t="s">
        <v>1</v>
      </c>
    </row>
    <row r="220" spans="1:49" ht="30.15" customHeight="1" x14ac:dyDescent="0.25">
      <c r="A220" s="213" t="s">
        <v>18</v>
      </c>
      <c r="B220" s="189" t="s">
        <v>1</v>
      </c>
      <c r="C220" s="212" t="s">
        <v>34</v>
      </c>
      <c r="D220" s="190" t="s">
        <v>3</v>
      </c>
      <c r="E220" s="190" t="s">
        <v>177</v>
      </c>
      <c r="F220" s="203"/>
      <c r="G220" s="190" t="s">
        <v>184</v>
      </c>
      <c r="H220" s="192" t="s">
        <v>409</v>
      </c>
      <c r="I220" s="193">
        <v>749</v>
      </c>
      <c r="J220" s="193">
        <v>749</v>
      </c>
      <c r="K220" s="193">
        <v>749</v>
      </c>
      <c r="L220" s="193">
        <v>710</v>
      </c>
      <c r="M220" s="194">
        <v>710</v>
      </c>
      <c r="N220" s="195">
        <v>0</v>
      </c>
      <c r="O220" s="197">
        <v>2.92</v>
      </c>
      <c r="P220" s="197">
        <v>24</v>
      </c>
      <c r="Q220" s="195" t="s">
        <v>1</v>
      </c>
      <c r="R220" s="196" t="s">
        <v>1252</v>
      </c>
      <c r="S220" s="197">
        <v>0</v>
      </c>
      <c r="T220" s="197">
        <v>2.92</v>
      </c>
      <c r="U220" s="197">
        <v>24</v>
      </c>
      <c r="V220" s="197" t="s">
        <v>1</v>
      </c>
      <c r="W220" s="196" t="s">
        <v>1252</v>
      </c>
      <c r="X220" s="195">
        <v>0</v>
      </c>
      <c r="Y220" s="195">
        <v>2.92</v>
      </c>
      <c r="Z220" s="195">
        <v>24</v>
      </c>
      <c r="AA220" s="196" t="s">
        <v>1</v>
      </c>
      <c r="AB220" s="196" t="s">
        <v>1</v>
      </c>
      <c r="AC220" s="197">
        <v>0</v>
      </c>
      <c r="AD220" s="197">
        <v>2.92</v>
      </c>
      <c r="AE220" s="197">
        <v>24</v>
      </c>
      <c r="AF220" s="198" t="s">
        <v>1</v>
      </c>
      <c r="AG220" s="198" t="s">
        <v>1</v>
      </c>
      <c r="AH220" s="198" t="s">
        <v>1</v>
      </c>
      <c r="AI220" s="209" t="s">
        <v>1</v>
      </c>
      <c r="AJ220" s="209" t="s">
        <v>1</v>
      </c>
      <c r="AK220" s="209" t="s">
        <v>1</v>
      </c>
      <c r="AL220" s="214" t="s">
        <v>1</v>
      </c>
      <c r="AM220" s="215" t="s">
        <v>1</v>
      </c>
      <c r="AN220" s="199" t="s">
        <v>1</v>
      </c>
      <c r="AO220" s="199" t="s">
        <v>1</v>
      </c>
      <c r="AP220" s="198" t="s">
        <v>1</v>
      </c>
      <c r="AQ220" s="198" t="s">
        <v>1</v>
      </c>
      <c r="AR220" s="201" t="s">
        <v>1</v>
      </c>
      <c r="AS220" s="201" t="s">
        <v>1</v>
      </c>
      <c r="AT220" s="199" t="s">
        <v>1</v>
      </c>
      <c r="AU220" s="199" t="s">
        <v>1</v>
      </c>
      <c r="AV220" s="202" t="s">
        <v>1</v>
      </c>
      <c r="AW220" s="199" t="s">
        <v>1</v>
      </c>
    </row>
    <row r="221" spans="1:49" ht="30.15" customHeight="1" x14ac:dyDescent="0.25">
      <c r="A221" s="213" t="s">
        <v>18</v>
      </c>
      <c r="B221" s="189" t="s">
        <v>1</v>
      </c>
      <c r="C221" s="212" t="s">
        <v>34</v>
      </c>
      <c r="D221" s="190" t="s">
        <v>3</v>
      </c>
      <c r="E221" s="190" t="s">
        <v>178</v>
      </c>
      <c r="F221" s="203"/>
      <c r="G221" s="190" t="s">
        <v>184</v>
      </c>
      <c r="H221" s="192" t="s">
        <v>409</v>
      </c>
      <c r="I221" s="193">
        <v>749</v>
      </c>
      <c r="J221" s="193">
        <v>749</v>
      </c>
      <c r="K221" s="193">
        <v>749</v>
      </c>
      <c r="L221" s="193">
        <v>710</v>
      </c>
      <c r="M221" s="194">
        <v>710</v>
      </c>
      <c r="N221" s="195">
        <v>0</v>
      </c>
      <c r="O221" s="197">
        <v>2.92</v>
      </c>
      <c r="P221" s="197">
        <v>24</v>
      </c>
      <c r="Q221" s="195" t="s">
        <v>1</v>
      </c>
      <c r="R221" s="196" t="s">
        <v>1252</v>
      </c>
      <c r="S221" s="197">
        <v>0</v>
      </c>
      <c r="T221" s="197">
        <v>2.92</v>
      </c>
      <c r="U221" s="197">
        <v>24</v>
      </c>
      <c r="V221" s="197" t="s">
        <v>1</v>
      </c>
      <c r="W221" s="196" t="s">
        <v>1252</v>
      </c>
      <c r="X221" s="195">
        <v>0</v>
      </c>
      <c r="Y221" s="195">
        <v>2.92</v>
      </c>
      <c r="Z221" s="195">
        <v>24</v>
      </c>
      <c r="AA221" s="196" t="s">
        <v>1</v>
      </c>
      <c r="AB221" s="196" t="s">
        <v>1</v>
      </c>
      <c r="AC221" s="197">
        <v>0</v>
      </c>
      <c r="AD221" s="197">
        <v>2.92</v>
      </c>
      <c r="AE221" s="197">
        <v>24</v>
      </c>
      <c r="AF221" s="198" t="s">
        <v>1</v>
      </c>
      <c r="AG221" s="198" t="s">
        <v>1</v>
      </c>
      <c r="AH221" s="198" t="s">
        <v>1</v>
      </c>
      <c r="AI221" s="209" t="s">
        <v>1</v>
      </c>
      <c r="AJ221" s="209" t="s">
        <v>1</v>
      </c>
      <c r="AK221" s="209" t="s">
        <v>1</v>
      </c>
      <c r="AL221" s="214" t="s">
        <v>1</v>
      </c>
      <c r="AM221" s="215" t="s">
        <v>1</v>
      </c>
      <c r="AN221" s="199" t="s">
        <v>1</v>
      </c>
      <c r="AO221" s="199" t="s">
        <v>1</v>
      </c>
      <c r="AP221" s="198" t="s">
        <v>1</v>
      </c>
      <c r="AQ221" s="198" t="s">
        <v>1</v>
      </c>
      <c r="AR221" s="201" t="s">
        <v>1</v>
      </c>
      <c r="AS221" s="201" t="s">
        <v>1</v>
      </c>
      <c r="AT221" s="199" t="s">
        <v>1</v>
      </c>
      <c r="AU221" s="199" t="s">
        <v>1</v>
      </c>
      <c r="AV221" s="202" t="s">
        <v>1</v>
      </c>
      <c r="AW221" s="199" t="s">
        <v>1</v>
      </c>
    </row>
    <row r="222" spans="1:49" ht="30.15" customHeight="1" x14ac:dyDescent="0.25">
      <c r="A222" s="213" t="s">
        <v>18</v>
      </c>
      <c r="B222" s="189" t="s">
        <v>1</v>
      </c>
      <c r="C222" s="212" t="s">
        <v>34</v>
      </c>
      <c r="D222" s="190" t="s">
        <v>3</v>
      </c>
      <c r="E222" s="190" t="s">
        <v>189</v>
      </c>
      <c r="F222" s="203"/>
      <c r="G222" s="190" t="s">
        <v>166</v>
      </c>
      <c r="H222" s="192" t="s">
        <v>409</v>
      </c>
      <c r="I222" s="193">
        <v>659</v>
      </c>
      <c r="J222" s="193">
        <v>675</v>
      </c>
      <c r="K222" s="193">
        <v>675</v>
      </c>
      <c r="L222" s="193">
        <v>710</v>
      </c>
      <c r="M222" s="194">
        <v>710</v>
      </c>
      <c r="N222" s="195">
        <v>0</v>
      </c>
      <c r="O222" s="197">
        <v>2.92</v>
      </c>
      <c r="P222" s="197">
        <v>24</v>
      </c>
      <c r="Q222" s="195" t="s">
        <v>1</v>
      </c>
      <c r="R222" s="196" t="s">
        <v>1252</v>
      </c>
      <c r="S222" s="197">
        <v>0</v>
      </c>
      <c r="T222" s="197">
        <v>2.92</v>
      </c>
      <c r="U222" s="197">
        <v>24</v>
      </c>
      <c r="V222" s="197" t="s">
        <v>1</v>
      </c>
      <c r="W222" s="196" t="s">
        <v>1252</v>
      </c>
      <c r="X222" s="195">
        <v>0</v>
      </c>
      <c r="Y222" s="195">
        <v>2.92</v>
      </c>
      <c r="Z222" s="195">
        <v>24</v>
      </c>
      <c r="AA222" s="196" t="s">
        <v>1</v>
      </c>
      <c r="AB222" s="196" t="s">
        <v>1</v>
      </c>
      <c r="AC222" s="197">
        <v>0</v>
      </c>
      <c r="AD222" s="197">
        <v>2.92</v>
      </c>
      <c r="AE222" s="197">
        <v>24</v>
      </c>
      <c r="AF222" s="198" t="s">
        <v>1</v>
      </c>
      <c r="AG222" s="198" t="s">
        <v>1</v>
      </c>
      <c r="AH222" s="198" t="s">
        <v>1</v>
      </c>
      <c r="AI222" s="209" t="s">
        <v>1</v>
      </c>
      <c r="AJ222" s="209" t="s">
        <v>1</v>
      </c>
      <c r="AK222" s="209" t="s">
        <v>1</v>
      </c>
      <c r="AL222" s="214" t="s">
        <v>1</v>
      </c>
      <c r="AM222" s="215" t="s">
        <v>1</v>
      </c>
      <c r="AN222" s="199" t="s">
        <v>1</v>
      </c>
      <c r="AO222" s="199" t="s">
        <v>1</v>
      </c>
      <c r="AP222" s="198" t="s">
        <v>1</v>
      </c>
      <c r="AQ222" s="198" t="s">
        <v>1</v>
      </c>
      <c r="AR222" s="201" t="s">
        <v>1</v>
      </c>
      <c r="AS222" s="201" t="s">
        <v>1</v>
      </c>
      <c r="AT222" s="199" t="s">
        <v>1</v>
      </c>
      <c r="AU222" s="199" t="s">
        <v>1</v>
      </c>
      <c r="AV222" s="202" t="s">
        <v>1</v>
      </c>
      <c r="AW222" s="199" t="s">
        <v>1</v>
      </c>
    </row>
    <row r="223" spans="1:49" ht="30.15" customHeight="1" x14ac:dyDescent="0.25">
      <c r="A223" s="213" t="s">
        <v>18</v>
      </c>
      <c r="B223" s="189" t="s">
        <v>1</v>
      </c>
      <c r="C223" s="212" t="s">
        <v>34</v>
      </c>
      <c r="D223" s="190" t="s">
        <v>3</v>
      </c>
      <c r="E223" s="190" t="s">
        <v>203</v>
      </c>
      <c r="F223" s="203"/>
      <c r="G223" s="190" t="s">
        <v>166</v>
      </c>
      <c r="H223" s="192" t="s">
        <v>409</v>
      </c>
      <c r="I223" s="193">
        <v>659</v>
      </c>
      <c r="J223" s="193">
        <v>675</v>
      </c>
      <c r="K223" s="193">
        <v>675</v>
      </c>
      <c r="L223" s="193">
        <v>710</v>
      </c>
      <c r="M223" s="194">
        <v>710</v>
      </c>
      <c r="N223" s="195">
        <v>0</v>
      </c>
      <c r="O223" s="197">
        <v>2.92</v>
      </c>
      <c r="P223" s="197">
        <v>24</v>
      </c>
      <c r="Q223" s="195" t="s">
        <v>1</v>
      </c>
      <c r="R223" s="196" t="s">
        <v>1252</v>
      </c>
      <c r="S223" s="197">
        <v>0</v>
      </c>
      <c r="T223" s="197">
        <v>2.92</v>
      </c>
      <c r="U223" s="197">
        <v>24</v>
      </c>
      <c r="V223" s="197" t="s">
        <v>1</v>
      </c>
      <c r="W223" s="196" t="s">
        <v>1252</v>
      </c>
      <c r="X223" s="195">
        <v>0</v>
      </c>
      <c r="Y223" s="195">
        <v>2.92</v>
      </c>
      <c r="Z223" s="195">
        <v>24</v>
      </c>
      <c r="AA223" s="196" t="s">
        <v>1</v>
      </c>
      <c r="AB223" s="196" t="s">
        <v>1</v>
      </c>
      <c r="AC223" s="197">
        <v>0</v>
      </c>
      <c r="AD223" s="197">
        <v>2.92</v>
      </c>
      <c r="AE223" s="197">
        <v>24</v>
      </c>
      <c r="AF223" s="198" t="s">
        <v>1</v>
      </c>
      <c r="AG223" s="198" t="s">
        <v>1</v>
      </c>
      <c r="AH223" s="198" t="s">
        <v>1</v>
      </c>
      <c r="AI223" s="209" t="s">
        <v>1</v>
      </c>
      <c r="AJ223" s="209" t="s">
        <v>1</v>
      </c>
      <c r="AK223" s="209" t="s">
        <v>1</v>
      </c>
      <c r="AL223" s="214" t="s">
        <v>1</v>
      </c>
      <c r="AM223" s="215" t="s">
        <v>1</v>
      </c>
      <c r="AN223" s="199" t="s">
        <v>1</v>
      </c>
      <c r="AO223" s="199" t="s">
        <v>1</v>
      </c>
      <c r="AP223" s="198" t="s">
        <v>1</v>
      </c>
      <c r="AQ223" s="198" t="s">
        <v>1</v>
      </c>
      <c r="AR223" s="201" t="s">
        <v>1</v>
      </c>
      <c r="AS223" s="201" t="s">
        <v>1</v>
      </c>
      <c r="AT223" s="199" t="s">
        <v>1</v>
      </c>
      <c r="AU223" s="199" t="s">
        <v>1</v>
      </c>
      <c r="AV223" s="202" t="s">
        <v>1</v>
      </c>
      <c r="AW223" s="199" t="s">
        <v>1</v>
      </c>
    </row>
    <row r="224" spans="1:49" ht="30.15" customHeight="1" x14ac:dyDescent="0.25">
      <c r="A224" s="213" t="s">
        <v>18</v>
      </c>
      <c r="B224" s="189" t="s">
        <v>1</v>
      </c>
      <c r="C224" s="212" t="s">
        <v>34</v>
      </c>
      <c r="D224" s="190" t="s">
        <v>3</v>
      </c>
      <c r="E224" s="190" t="s">
        <v>167</v>
      </c>
      <c r="F224" s="203"/>
      <c r="G224" s="190" t="s">
        <v>166</v>
      </c>
      <c r="H224" s="192" t="s">
        <v>409</v>
      </c>
      <c r="I224" s="193">
        <v>659</v>
      </c>
      <c r="J224" s="193">
        <v>675</v>
      </c>
      <c r="K224" s="193">
        <v>675</v>
      </c>
      <c r="L224" s="193">
        <v>710</v>
      </c>
      <c r="M224" s="194">
        <v>710</v>
      </c>
      <c r="N224" s="195">
        <v>0</v>
      </c>
      <c r="O224" s="197">
        <v>2.92</v>
      </c>
      <c r="P224" s="197">
        <v>24</v>
      </c>
      <c r="Q224" s="195" t="s">
        <v>1</v>
      </c>
      <c r="R224" s="196" t="s">
        <v>1252</v>
      </c>
      <c r="S224" s="197">
        <v>0</v>
      </c>
      <c r="T224" s="197">
        <v>2.92</v>
      </c>
      <c r="U224" s="197">
        <v>24</v>
      </c>
      <c r="V224" s="197" t="s">
        <v>1</v>
      </c>
      <c r="W224" s="196" t="s">
        <v>1252</v>
      </c>
      <c r="X224" s="195">
        <v>0</v>
      </c>
      <c r="Y224" s="195">
        <v>2.92</v>
      </c>
      <c r="Z224" s="195">
        <v>24</v>
      </c>
      <c r="AA224" s="196" t="s">
        <v>1</v>
      </c>
      <c r="AB224" s="196" t="s">
        <v>1</v>
      </c>
      <c r="AC224" s="197">
        <v>0</v>
      </c>
      <c r="AD224" s="197">
        <v>2.92</v>
      </c>
      <c r="AE224" s="197">
        <v>24</v>
      </c>
      <c r="AF224" s="198" t="s">
        <v>1</v>
      </c>
      <c r="AG224" s="198" t="s">
        <v>1</v>
      </c>
      <c r="AH224" s="198" t="s">
        <v>1</v>
      </c>
      <c r="AI224" s="209" t="s">
        <v>1</v>
      </c>
      <c r="AJ224" s="209" t="s">
        <v>1</v>
      </c>
      <c r="AK224" s="209" t="s">
        <v>1</v>
      </c>
      <c r="AL224" s="214" t="s">
        <v>1</v>
      </c>
      <c r="AM224" s="215" t="s">
        <v>1</v>
      </c>
      <c r="AN224" s="199" t="s">
        <v>1</v>
      </c>
      <c r="AO224" s="199" t="s">
        <v>1</v>
      </c>
      <c r="AP224" s="198" t="s">
        <v>1</v>
      </c>
      <c r="AQ224" s="198" t="s">
        <v>1</v>
      </c>
      <c r="AR224" s="201" t="s">
        <v>1</v>
      </c>
      <c r="AS224" s="201" t="s">
        <v>1</v>
      </c>
      <c r="AT224" s="199" t="s">
        <v>1</v>
      </c>
      <c r="AU224" s="199" t="s">
        <v>1</v>
      </c>
      <c r="AV224" s="202" t="s">
        <v>1</v>
      </c>
      <c r="AW224" s="199" t="s">
        <v>1</v>
      </c>
    </row>
    <row r="225" spans="1:49" ht="30.15" customHeight="1" x14ac:dyDescent="0.25">
      <c r="A225" s="213" t="s">
        <v>18</v>
      </c>
      <c r="B225" s="189" t="s">
        <v>1</v>
      </c>
      <c r="C225" s="212" t="s">
        <v>34</v>
      </c>
      <c r="D225" s="190" t="s">
        <v>3</v>
      </c>
      <c r="E225" s="190" t="s">
        <v>168</v>
      </c>
      <c r="F225" s="203"/>
      <c r="G225" s="190" t="s">
        <v>166</v>
      </c>
      <c r="H225" s="192" t="s">
        <v>409</v>
      </c>
      <c r="I225" s="193">
        <v>659</v>
      </c>
      <c r="J225" s="193">
        <v>675</v>
      </c>
      <c r="K225" s="193">
        <v>675</v>
      </c>
      <c r="L225" s="193">
        <v>710</v>
      </c>
      <c r="M225" s="194">
        <v>710</v>
      </c>
      <c r="N225" s="195">
        <v>0</v>
      </c>
      <c r="O225" s="197">
        <v>2.92</v>
      </c>
      <c r="P225" s="197">
        <v>24</v>
      </c>
      <c r="Q225" s="195" t="s">
        <v>1</v>
      </c>
      <c r="R225" s="196" t="s">
        <v>1252</v>
      </c>
      <c r="S225" s="197">
        <v>0</v>
      </c>
      <c r="T225" s="197">
        <v>2.92</v>
      </c>
      <c r="U225" s="197">
        <v>24</v>
      </c>
      <c r="V225" s="197" t="s">
        <v>1</v>
      </c>
      <c r="W225" s="196" t="s">
        <v>1252</v>
      </c>
      <c r="X225" s="195">
        <v>0</v>
      </c>
      <c r="Y225" s="195">
        <v>2.92</v>
      </c>
      <c r="Z225" s="195">
        <v>24</v>
      </c>
      <c r="AA225" s="196" t="s">
        <v>1</v>
      </c>
      <c r="AB225" s="196" t="s">
        <v>1</v>
      </c>
      <c r="AC225" s="197">
        <v>0</v>
      </c>
      <c r="AD225" s="197">
        <v>2.92</v>
      </c>
      <c r="AE225" s="197">
        <v>24</v>
      </c>
      <c r="AF225" s="198" t="s">
        <v>1</v>
      </c>
      <c r="AG225" s="198" t="s">
        <v>1</v>
      </c>
      <c r="AH225" s="198" t="s">
        <v>1</v>
      </c>
      <c r="AI225" s="209" t="s">
        <v>1</v>
      </c>
      <c r="AJ225" s="209" t="s">
        <v>1</v>
      </c>
      <c r="AK225" s="209" t="s">
        <v>1</v>
      </c>
      <c r="AL225" s="214" t="s">
        <v>1</v>
      </c>
      <c r="AM225" s="215" t="s">
        <v>1</v>
      </c>
      <c r="AN225" s="199" t="s">
        <v>1</v>
      </c>
      <c r="AO225" s="199" t="s">
        <v>1</v>
      </c>
      <c r="AP225" s="198" t="s">
        <v>1</v>
      </c>
      <c r="AQ225" s="198" t="s">
        <v>1</v>
      </c>
      <c r="AR225" s="201" t="s">
        <v>1</v>
      </c>
      <c r="AS225" s="201" t="s">
        <v>1</v>
      </c>
      <c r="AT225" s="199" t="s">
        <v>1</v>
      </c>
      <c r="AU225" s="199" t="s">
        <v>1</v>
      </c>
      <c r="AV225" s="202" t="s">
        <v>1</v>
      </c>
      <c r="AW225" s="199" t="s">
        <v>1</v>
      </c>
    </row>
    <row r="226" spans="1:49" ht="30.15" customHeight="1" x14ac:dyDescent="0.25">
      <c r="A226" s="213" t="s">
        <v>18</v>
      </c>
      <c r="B226" s="188" t="s">
        <v>1</v>
      </c>
      <c r="C226" s="212" t="s">
        <v>34</v>
      </c>
      <c r="D226" s="190" t="s">
        <v>3</v>
      </c>
      <c r="E226" s="190" t="s">
        <v>315</v>
      </c>
      <c r="F226" s="203"/>
      <c r="G226" s="190" t="s">
        <v>303</v>
      </c>
      <c r="H226" s="192" t="s">
        <v>409</v>
      </c>
      <c r="I226" s="193">
        <v>569</v>
      </c>
      <c r="J226" s="193">
        <v>580</v>
      </c>
      <c r="K226" s="193">
        <v>580</v>
      </c>
      <c r="L226" s="193">
        <v>610</v>
      </c>
      <c r="M226" s="194">
        <v>610</v>
      </c>
      <c r="N226" s="195">
        <v>0</v>
      </c>
      <c r="O226" s="197">
        <v>10.42</v>
      </c>
      <c r="P226" s="197">
        <v>24</v>
      </c>
      <c r="Q226" s="195" t="s">
        <v>1</v>
      </c>
      <c r="R226" s="196">
        <v>120</v>
      </c>
      <c r="S226" s="197">
        <v>0</v>
      </c>
      <c r="T226" s="197">
        <v>10.42</v>
      </c>
      <c r="U226" s="197">
        <v>24</v>
      </c>
      <c r="V226" s="197" t="s">
        <v>1</v>
      </c>
      <c r="W226" s="196">
        <v>120</v>
      </c>
      <c r="X226" s="195">
        <v>0</v>
      </c>
      <c r="Y226" s="195">
        <v>10.42</v>
      </c>
      <c r="Z226" s="195">
        <v>24</v>
      </c>
      <c r="AA226" s="196" t="s">
        <v>1</v>
      </c>
      <c r="AB226" s="196" t="s">
        <v>1</v>
      </c>
      <c r="AC226" s="197">
        <v>0</v>
      </c>
      <c r="AD226" s="197">
        <v>10.42</v>
      </c>
      <c r="AE226" s="197">
        <v>24</v>
      </c>
      <c r="AF226" s="198" t="s">
        <v>1</v>
      </c>
      <c r="AG226" s="198" t="s">
        <v>1</v>
      </c>
      <c r="AH226" s="198">
        <v>0</v>
      </c>
      <c r="AI226" s="209">
        <v>10.42</v>
      </c>
      <c r="AJ226" s="197">
        <v>24</v>
      </c>
      <c r="AK226" s="216" t="s">
        <v>1252</v>
      </c>
      <c r="AL226" s="214" t="s">
        <v>1</v>
      </c>
      <c r="AM226" s="200" t="s">
        <v>1</v>
      </c>
      <c r="AN226" s="199" t="s">
        <v>1</v>
      </c>
      <c r="AO226" s="199" t="s">
        <v>1</v>
      </c>
      <c r="AP226" s="198" t="s">
        <v>1</v>
      </c>
      <c r="AQ226" s="198" t="s">
        <v>1</v>
      </c>
      <c r="AR226" s="201" t="s">
        <v>1</v>
      </c>
      <c r="AS226" s="201" t="s">
        <v>1</v>
      </c>
      <c r="AT226" s="199" t="s">
        <v>1</v>
      </c>
      <c r="AU226" s="199" t="s">
        <v>1</v>
      </c>
      <c r="AV226" s="202" t="s">
        <v>1</v>
      </c>
      <c r="AW226" s="199" t="s">
        <v>1</v>
      </c>
    </row>
    <row r="227" spans="1:49" ht="30.15" customHeight="1" x14ac:dyDescent="0.25">
      <c r="A227" s="213" t="s">
        <v>18</v>
      </c>
      <c r="B227" s="188" t="s">
        <v>1</v>
      </c>
      <c r="C227" s="212" t="s">
        <v>34</v>
      </c>
      <c r="D227" s="190" t="s">
        <v>3</v>
      </c>
      <c r="E227" s="190" t="s">
        <v>307</v>
      </c>
      <c r="F227" s="203"/>
      <c r="G227" s="190" t="s">
        <v>303</v>
      </c>
      <c r="H227" s="192" t="s">
        <v>409</v>
      </c>
      <c r="I227" s="193">
        <v>569</v>
      </c>
      <c r="J227" s="193">
        <v>580</v>
      </c>
      <c r="K227" s="193">
        <v>580</v>
      </c>
      <c r="L227" s="193">
        <v>610</v>
      </c>
      <c r="M227" s="194">
        <v>610</v>
      </c>
      <c r="N227" s="195">
        <v>0</v>
      </c>
      <c r="O227" s="197">
        <v>10.42</v>
      </c>
      <c r="P227" s="197">
        <v>24</v>
      </c>
      <c r="Q227" s="195" t="s">
        <v>1</v>
      </c>
      <c r="R227" s="196">
        <v>120</v>
      </c>
      <c r="S227" s="197">
        <v>0</v>
      </c>
      <c r="T227" s="197">
        <v>10.42</v>
      </c>
      <c r="U227" s="197">
        <v>24</v>
      </c>
      <c r="V227" s="197" t="s">
        <v>1</v>
      </c>
      <c r="W227" s="196">
        <v>120</v>
      </c>
      <c r="X227" s="195">
        <v>0</v>
      </c>
      <c r="Y227" s="195">
        <v>10.42</v>
      </c>
      <c r="Z227" s="195">
        <v>24</v>
      </c>
      <c r="AA227" s="196" t="s">
        <v>1</v>
      </c>
      <c r="AB227" s="196" t="s">
        <v>1</v>
      </c>
      <c r="AC227" s="197">
        <v>0</v>
      </c>
      <c r="AD227" s="197">
        <v>10.42</v>
      </c>
      <c r="AE227" s="197">
        <v>24</v>
      </c>
      <c r="AF227" s="198" t="s">
        <v>1</v>
      </c>
      <c r="AG227" s="198" t="s">
        <v>1</v>
      </c>
      <c r="AH227" s="198">
        <v>0</v>
      </c>
      <c r="AI227" s="209">
        <v>10.42</v>
      </c>
      <c r="AJ227" s="197">
        <v>24</v>
      </c>
      <c r="AK227" s="216" t="s">
        <v>1252</v>
      </c>
      <c r="AL227" s="214" t="s">
        <v>1</v>
      </c>
      <c r="AM227" s="200" t="s">
        <v>1</v>
      </c>
      <c r="AN227" s="199" t="s">
        <v>1</v>
      </c>
      <c r="AO227" s="199" t="s">
        <v>1</v>
      </c>
      <c r="AP227" s="198" t="s">
        <v>1</v>
      </c>
      <c r="AQ227" s="198" t="s">
        <v>1</v>
      </c>
      <c r="AR227" s="201" t="s">
        <v>1</v>
      </c>
      <c r="AS227" s="201" t="s">
        <v>1</v>
      </c>
      <c r="AT227" s="199" t="s">
        <v>1</v>
      </c>
      <c r="AU227" s="199" t="s">
        <v>1</v>
      </c>
      <c r="AV227" s="202" t="s">
        <v>1</v>
      </c>
      <c r="AW227" s="199" t="s">
        <v>1</v>
      </c>
    </row>
    <row r="228" spans="1:49" ht="30.15" customHeight="1" x14ac:dyDescent="0.25">
      <c r="A228" s="213" t="s">
        <v>18</v>
      </c>
      <c r="B228" s="188" t="s">
        <v>1</v>
      </c>
      <c r="C228" s="212" t="s">
        <v>34</v>
      </c>
      <c r="D228" s="190" t="s">
        <v>3</v>
      </c>
      <c r="E228" s="190" t="s">
        <v>382</v>
      </c>
      <c r="F228" s="203"/>
      <c r="G228" s="190" t="s">
        <v>303</v>
      </c>
      <c r="H228" s="192" t="s">
        <v>413</v>
      </c>
      <c r="I228" s="193">
        <v>569</v>
      </c>
      <c r="J228" s="193">
        <v>580</v>
      </c>
      <c r="K228" s="193">
        <v>580</v>
      </c>
      <c r="L228" s="193">
        <v>610</v>
      </c>
      <c r="M228" s="194">
        <v>610</v>
      </c>
      <c r="N228" s="195">
        <v>0</v>
      </c>
      <c r="O228" s="197">
        <v>10.42</v>
      </c>
      <c r="P228" s="197">
        <v>24</v>
      </c>
      <c r="Q228" s="195" t="s">
        <v>1</v>
      </c>
      <c r="R228" s="196">
        <v>120</v>
      </c>
      <c r="S228" s="197">
        <v>0</v>
      </c>
      <c r="T228" s="197">
        <v>10.42</v>
      </c>
      <c r="U228" s="197">
        <v>24</v>
      </c>
      <c r="V228" s="197" t="s">
        <v>1</v>
      </c>
      <c r="W228" s="196">
        <v>120</v>
      </c>
      <c r="X228" s="195">
        <v>0</v>
      </c>
      <c r="Y228" s="195">
        <v>10.42</v>
      </c>
      <c r="Z228" s="195">
        <v>24</v>
      </c>
      <c r="AA228" s="196" t="s">
        <v>1</v>
      </c>
      <c r="AB228" s="196" t="s">
        <v>1</v>
      </c>
      <c r="AC228" s="197">
        <v>0</v>
      </c>
      <c r="AD228" s="197">
        <v>10.42</v>
      </c>
      <c r="AE228" s="197">
        <v>24</v>
      </c>
      <c r="AF228" s="198" t="s">
        <v>1</v>
      </c>
      <c r="AG228" s="198" t="s">
        <v>1</v>
      </c>
      <c r="AH228" s="198">
        <v>0</v>
      </c>
      <c r="AI228" s="209">
        <v>10.42</v>
      </c>
      <c r="AJ228" s="197">
        <v>24</v>
      </c>
      <c r="AK228" s="216" t="s">
        <v>1252</v>
      </c>
      <c r="AL228" s="214" t="s">
        <v>1</v>
      </c>
      <c r="AM228" s="200" t="s">
        <v>1</v>
      </c>
      <c r="AN228" s="199" t="s">
        <v>1</v>
      </c>
      <c r="AO228" s="199" t="s">
        <v>1</v>
      </c>
      <c r="AP228" s="198" t="s">
        <v>1</v>
      </c>
      <c r="AQ228" s="198" t="s">
        <v>1</v>
      </c>
      <c r="AR228" s="201" t="s">
        <v>1</v>
      </c>
      <c r="AS228" s="201" t="s">
        <v>1</v>
      </c>
      <c r="AT228" s="199" t="s">
        <v>1</v>
      </c>
      <c r="AU228" s="199" t="s">
        <v>1</v>
      </c>
      <c r="AV228" s="202" t="s">
        <v>1</v>
      </c>
      <c r="AW228" s="199" t="s">
        <v>1</v>
      </c>
    </row>
    <row r="229" spans="1:49" ht="30.15" customHeight="1" x14ac:dyDescent="0.25">
      <c r="A229" s="213" t="s">
        <v>18</v>
      </c>
      <c r="B229" s="188" t="s">
        <v>1</v>
      </c>
      <c r="C229" s="212" t="s">
        <v>34</v>
      </c>
      <c r="D229" s="190" t="s">
        <v>3</v>
      </c>
      <c r="E229" s="190" t="s">
        <v>308</v>
      </c>
      <c r="F229" s="203"/>
      <c r="G229" s="190" t="s">
        <v>303</v>
      </c>
      <c r="H229" s="192" t="s">
        <v>409</v>
      </c>
      <c r="I229" s="193">
        <v>569</v>
      </c>
      <c r="J229" s="193">
        <v>580</v>
      </c>
      <c r="K229" s="193">
        <v>580</v>
      </c>
      <c r="L229" s="193">
        <v>610</v>
      </c>
      <c r="M229" s="194">
        <v>610</v>
      </c>
      <c r="N229" s="195">
        <v>0</v>
      </c>
      <c r="O229" s="197">
        <v>10.42</v>
      </c>
      <c r="P229" s="197">
        <v>24</v>
      </c>
      <c r="Q229" s="195" t="s">
        <v>1</v>
      </c>
      <c r="R229" s="196">
        <v>120</v>
      </c>
      <c r="S229" s="197">
        <v>0</v>
      </c>
      <c r="T229" s="197">
        <v>10.42</v>
      </c>
      <c r="U229" s="197">
        <v>24</v>
      </c>
      <c r="V229" s="197" t="s">
        <v>1</v>
      </c>
      <c r="W229" s="196">
        <v>120</v>
      </c>
      <c r="X229" s="195">
        <v>0</v>
      </c>
      <c r="Y229" s="195">
        <v>10.42</v>
      </c>
      <c r="Z229" s="195">
        <v>24</v>
      </c>
      <c r="AA229" s="196" t="s">
        <v>1</v>
      </c>
      <c r="AB229" s="196" t="s">
        <v>1</v>
      </c>
      <c r="AC229" s="197">
        <v>0</v>
      </c>
      <c r="AD229" s="197">
        <v>10.42</v>
      </c>
      <c r="AE229" s="197">
        <v>24</v>
      </c>
      <c r="AF229" s="198" t="s">
        <v>1</v>
      </c>
      <c r="AG229" s="198" t="s">
        <v>1</v>
      </c>
      <c r="AH229" s="198">
        <v>0</v>
      </c>
      <c r="AI229" s="209">
        <v>10.42</v>
      </c>
      <c r="AJ229" s="197">
        <v>24</v>
      </c>
      <c r="AK229" s="216" t="s">
        <v>1252</v>
      </c>
      <c r="AL229" s="214" t="s">
        <v>1</v>
      </c>
      <c r="AM229" s="200" t="s">
        <v>1</v>
      </c>
      <c r="AN229" s="199" t="s">
        <v>1</v>
      </c>
      <c r="AO229" s="199" t="s">
        <v>1</v>
      </c>
      <c r="AP229" s="198" t="s">
        <v>1</v>
      </c>
      <c r="AQ229" s="198" t="s">
        <v>1</v>
      </c>
      <c r="AR229" s="201" t="s">
        <v>1</v>
      </c>
      <c r="AS229" s="201" t="s">
        <v>1</v>
      </c>
      <c r="AT229" s="199" t="s">
        <v>1</v>
      </c>
      <c r="AU229" s="199" t="s">
        <v>1</v>
      </c>
      <c r="AV229" s="202" t="s">
        <v>1</v>
      </c>
      <c r="AW229" s="199" t="s">
        <v>1</v>
      </c>
    </row>
    <row r="230" spans="1:49" ht="30.15" customHeight="1" x14ac:dyDescent="0.25">
      <c r="A230" s="213" t="s">
        <v>18</v>
      </c>
      <c r="B230" s="188" t="s">
        <v>1</v>
      </c>
      <c r="C230" s="212" t="s">
        <v>34</v>
      </c>
      <c r="D230" s="190" t="s">
        <v>3</v>
      </c>
      <c r="E230" s="190" t="s">
        <v>316</v>
      </c>
      <c r="F230" s="203"/>
      <c r="G230" s="190" t="s">
        <v>304</v>
      </c>
      <c r="H230" s="192" t="s">
        <v>409</v>
      </c>
      <c r="I230" s="193">
        <v>979</v>
      </c>
      <c r="J230" s="193">
        <v>979</v>
      </c>
      <c r="K230" s="193">
        <v>979</v>
      </c>
      <c r="L230" s="193">
        <v>1050</v>
      </c>
      <c r="M230" s="194">
        <v>1050</v>
      </c>
      <c r="N230" s="195">
        <v>0</v>
      </c>
      <c r="O230" s="197">
        <v>10.42</v>
      </c>
      <c r="P230" s="197">
        <v>24</v>
      </c>
      <c r="Q230" s="195" t="s">
        <v>1</v>
      </c>
      <c r="R230" s="196" t="s">
        <v>1253</v>
      </c>
      <c r="S230" s="197">
        <v>0</v>
      </c>
      <c r="T230" s="197">
        <v>10.42</v>
      </c>
      <c r="U230" s="197">
        <v>24</v>
      </c>
      <c r="V230" s="197" t="s">
        <v>1</v>
      </c>
      <c r="W230" s="196" t="s">
        <v>1253</v>
      </c>
      <c r="X230" s="195">
        <v>0</v>
      </c>
      <c r="Y230" s="195">
        <v>10.42</v>
      </c>
      <c r="Z230" s="195">
        <v>24</v>
      </c>
      <c r="AA230" s="196" t="s">
        <v>1</v>
      </c>
      <c r="AB230" s="196" t="s">
        <v>1</v>
      </c>
      <c r="AC230" s="197">
        <v>0</v>
      </c>
      <c r="AD230" s="197">
        <v>10.42</v>
      </c>
      <c r="AE230" s="197">
        <v>24</v>
      </c>
      <c r="AF230" s="198" t="s">
        <v>1</v>
      </c>
      <c r="AG230" s="198" t="s">
        <v>1</v>
      </c>
      <c r="AH230" s="198">
        <v>0</v>
      </c>
      <c r="AI230" s="209">
        <v>10.42</v>
      </c>
      <c r="AJ230" s="197">
        <v>24</v>
      </c>
      <c r="AK230" s="216" t="s">
        <v>1254</v>
      </c>
      <c r="AL230" s="214" t="s">
        <v>1</v>
      </c>
      <c r="AM230" s="200" t="s">
        <v>1</v>
      </c>
      <c r="AN230" s="199" t="s">
        <v>1</v>
      </c>
      <c r="AO230" s="199" t="s">
        <v>1</v>
      </c>
      <c r="AP230" s="198" t="s">
        <v>1</v>
      </c>
      <c r="AQ230" s="198" t="s">
        <v>1</v>
      </c>
      <c r="AR230" s="201" t="s">
        <v>1</v>
      </c>
      <c r="AS230" s="201" t="s">
        <v>1</v>
      </c>
      <c r="AT230" s="199" t="s">
        <v>1</v>
      </c>
      <c r="AU230" s="199" t="s">
        <v>1</v>
      </c>
      <c r="AV230" s="202" t="s">
        <v>1</v>
      </c>
      <c r="AW230" s="199" t="s">
        <v>1</v>
      </c>
    </row>
    <row r="231" spans="1:49" ht="30.15" customHeight="1" x14ac:dyDescent="0.25">
      <c r="A231" s="213" t="s">
        <v>18</v>
      </c>
      <c r="B231" s="188" t="s">
        <v>1</v>
      </c>
      <c r="C231" s="212" t="s">
        <v>34</v>
      </c>
      <c r="D231" s="190" t="s">
        <v>3</v>
      </c>
      <c r="E231" s="190" t="s">
        <v>309</v>
      </c>
      <c r="F231" s="203"/>
      <c r="G231" s="190" t="s">
        <v>304</v>
      </c>
      <c r="H231" s="192" t="s">
        <v>409</v>
      </c>
      <c r="I231" s="193">
        <v>979</v>
      </c>
      <c r="J231" s="193">
        <v>979</v>
      </c>
      <c r="K231" s="193">
        <v>979</v>
      </c>
      <c r="L231" s="193">
        <v>1050</v>
      </c>
      <c r="M231" s="194">
        <v>1050</v>
      </c>
      <c r="N231" s="195">
        <v>0</v>
      </c>
      <c r="O231" s="197">
        <v>10.42</v>
      </c>
      <c r="P231" s="197">
        <v>24</v>
      </c>
      <c r="Q231" s="195" t="s">
        <v>1</v>
      </c>
      <c r="R231" s="196" t="s">
        <v>1253</v>
      </c>
      <c r="S231" s="197">
        <v>0</v>
      </c>
      <c r="T231" s="197">
        <v>10.42</v>
      </c>
      <c r="U231" s="197">
        <v>24</v>
      </c>
      <c r="V231" s="197" t="s">
        <v>1</v>
      </c>
      <c r="W231" s="196" t="s">
        <v>1253</v>
      </c>
      <c r="X231" s="195">
        <v>0</v>
      </c>
      <c r="Y231" s="195">
        <v>10.42</v>
      </c>
      <c r="Z231" s="195">
        <v>24</v>
      </c>
      <c r="AA231" s="196" t="s">
        <v>1</v>
      </c>
      <c r="AB231" s="196" t="s">
        <v>1</v>
      </c>
      <c r="AC231" s="197">
        <v>0</v>
      </c>
      <c r="AD231" s="197">
        <v>10.42</v>
      </c>
      <c r="AE231" s="197">
        <v>24</v>
      </c>
      <c r="AF231" s="198" t="s">
        <v>1</v>
      </c>
      <c r="AG231" s="198" t="s">
        <v>1</v>
      </c>
      <c r="AH231" s="198">
        <v>0</v>
      </c>
      <c r="AI231" s="209">
        <v>10.42</v>
      </c>
      <c r="AJ231" s="197">
        <v>24</v>
      </c>
      <c r="AK231" s="216" t="s">
        <v>1254</v>
      </c>
      <c r="AL231" s="214" t="s">
        <v>1</v>
      </c>
      <c r="AM231" s="200" t="s">
        <v>1</v>
      </c>
      <c r="AN231" s="199" t="s">
        <v>1</v>
      </c>
      <c r="AO231" s="199" t="s">
        <v>1</v>
      </c>
      <c r="AP231" s="198" t="s">
        <v>1</v>
      </c>
      <c r="AQ231" s="198" t="s">
        <v>1</v>
      </c>
      <c r="AR231" s="201" t="s">
        <v>1</v>
      </c>
      <c r="AS231" s="201" t="s">
        <v>1</v>
      </c>
      <c r="AT231" s="199" t="s">
        <v>1</v>
      </c>
      <c r="AU231" s="199" t="s">
        <v>1</v>
      </c>
      <c r="AV231" s="202" t="s">
        <v>1</v>
      </c>
      <c r="AW231" s="199" t="s">
        <v>1</v>
      </c>
    </row>
    <row r="232" spans="1:49" ht="30.15" customHeight="1" x14ac:dyDescent="0.25">
      <c r="A232" s="213" t="s">
        <v>18</v>
      </c>
      <c r="B232" s="188" t="s">
        <v>1</v>
      </c>
      <c r="C232" s="212" t="s">
        <v>34</v>
      </c>
      <c r="D232" s="190" t="s">
        <v>3</v>
      </c>
      <c r="E232" s="190" t="s">
        <v>384</v>
      </c>
      <c r="F232" s="203"/>
      <c r="G232" s="190" t="s">
        <v>304</v>
      </c>
      <c r="H232" s="192" t="s">
        <v>414</v>
      </c>
      <c r="I232" s="193">
        <v>979</v>
      </c>
      <c r="J232" s="193">
        <v>979</v>
      </c>
      <c r="K232" s="193">
        <v>979</v>
      </c>
      <c r="L232" s="193">
        <v>1050</v>
      </c>
      <c r="M232" s="194">
        <v>1050</v>
      </c>
      <c r="N232" s="195">
        <v>0</v>
      </c>
      <c r="O232" s="197">
        <v>10.42</v>
      </c>
      <c r="P232" s="197">
        <v>24</v>
      </c>
      <c r="Q232" s="195" t="s">
        <v>1</v>
      </c>
      <c r="R232" s="196" t="s">
        <v>1253</v>
      </c>
      <c r="S232" s="197">
        <v>0</v>
      </c>
      <c r="T232" s="197">
        <v>10.42</v>
      </c>
      <c r="U232" s="197">
        <v>24</v>
      </c>
      <c r="V232" s="197" t="s">
        <v>1</v>
      </c>
      <c r="W232" s="196" t="s">
        <v>1253</v>
      </c>
      <c r="X232" s="195">
        <v>0</v>
      </c>
      <c r="Y232" s="195">
        <v>10.42</v>
      </c>
      <c r="Z232" s="195">
        <v>24</v>
      </c>
      <c r="AA232" s="196" t="s">
        <v>1</v>
      </c>
      <c r="AB232" s="196" t="s">
        <v>1</v>
      </c>
      <c r="AC232" s="197">
        <v>0</v>
      </c>
      <c r="AD232" s="197">
        <v>10.42</v>
      </c>
      <c r="AE232" s="197">
        <v>24</v>
      </c>
      <c r="AF232" s="198" t="s">
        <v>1</v>
      </c>
      <c r="AG232" s="198" t="s">
        <v>1</v>
      </c>
      <c r="AH232" s="198">
        <v>0</v>
      </c>
      <c r="AI232" s="209">
        <v>10.42</v>
      </c>
      <c r="AJ232" s="197">
        <v>24</v>
      </c>
      <c r="AK232" s="216" t="s">
        <v>1254</v>
      </c>
      <c r="AL232" s="214" t="s">
        <v>1</v>
      </c>
      <c r="AM232" s="200" t="s">
        <v>1</v>
      </c>
      <c r="AN232" s="199" t="s">
        <v>1</v>
      </c>
      <c r="AO232" s="199" t="s">
        <v>1</v>
      </c>
      <c r="AP232" s="198" t="s">
        <v>1</v>
      </c>
      <c r="AQ232" s="198" t="s">
        <v>1</v>
      </c>
      <c r="AR232" s="201" t="s">
        <v>1</v>
      </c>
      <c r="AS232" s="201" t="s">
        <v>1</v>
      </c>
      <c r="AT232" s="199" t="s">
        <v>1</v>
      </c>
      <c r="AU232" s="199" t="s">
        <v>1</v>
      </c>
      <c r="AV232" s="202" t="s">
        <v>1</v>
      </c>
      <c r="AW232" s="199" t="s">
        <v>1</v>
      </c>
    </row>
    <row r="233" spans="1:49" ht="30.15" customHeight="1" x14ac:dyDescent="0.25">
      <c r="A233" s="213" t="s">
        <v>18</v>
      </c>
      <c r="B233" s="188" t="s">
        <v>1</v>
      </c>
      <c r="C233" s="212" t="s">
        <v>34</v>
      </c>
      <c r="D233" s="190" t="s">
        <v>3</v>
      </c>
      <c r="E233" s="190" t="s">
        <v>310</v>
      </c>
      <c r="F233" s="203"/>
      <c r="G233" s="190" t="s">
        <v>304</v>
      </c>
      <c r="H233" s="192" t="s">
        <v>409</v>
      </c>
      <c r="I233" s="193">
        <v>979</v>
      </c>
      <c r="J233" s="193">
        <v>979</v>
      </c>
      <c r="K233" s="193">
        <v>979</v>
      </c>
      <c r="L233" s="193">
        <v>1050</v>
      </c>
      <c r="M233" s="194">
        <v>1050</v>
      </c>
      <c r="N233" s="195">
        <v>0</v>
      </c>
      <c r="O233" s="197">
        <v>10.42</v>
      </c>
      <c r="P233" s="197">
        <v>24</v>
      </c>
      <c r="Q233" s="195" t="s">
        <v>1</v>
      </c>
      <c r="R233" s="196" t="s">
        <v>1253</v>
      </c>
      <c r="S233" s="197">
        <v>0</v>
      </c>
      <c r="T233" s="197">
        <v>10.42</v>
      </c>
      <c r="U233" s="197">
        <v>24</v>
      </c>
      <c r="V233" s="197" t="s">
        <v>1</v>
      </c>
      <c r="W233" s="196" t="s">
        <v>1253</v>
      </c>
      <c r="X233" s="195">
        <v>0</v>
      </c>
      <c r="Y233" s="195">
        <v>10.42</v>
      </c>
      <c r="Z233" s="195">
        <v>24</v>
      </c>
      <c r="AA233" s="196" t="s">
        <v>1</v>
      </c>
      <c r="AB233" s="196" t="s">
        <v>1</v>
      </c>
      <c r="AC233" s="197">
        <v>0</v>
      </c>
      <c r="AD233" s="197">
        <v>10.42</v>
      </c>
      <c r="AE233" s="197">
        <v>24</v>
      </c>
      <c r="AF233" s="198" t="s">
        <v>1</v>
      </c>
      <c r="AG233" s="198" t="s">
        <v>1</v>
      </c>
      <c r="AH233" s="198">
        <v>0</v>
      </c>
      <c r="AI233" s="209">
        <v>10.42</v>
      </c>
      <c r="AJ233" s="197">
        <v>24</v>
      </c>
      <c r="AK233" s="216" t="s">
        <v>1254</v>
      </c>
      <c r="AL233" s="214" t="s">
        <v>1</v>
      </c>
      <c r="AM233" s="200" t="s">
        <v>1</v>
      </c>
      <c r="AN233" s="199" t="s">
        <v>1</v>
      </c>
      <c r="AO233" s="199" t="s">
        <v>1</v>
      </c>
      <c r="AP233" s="198" t="s">
        <v>1</v>
      </c>
      <c r="AQ233" s="198" t="s">
        <v>1</v>
      </c>
      <c r="AR233" s="201" t="s">
        <v>1</v>
      </c>
      <c r="AS233" s="201" t="s">
        <v>1</v>
      </c>
      <c r="AT233" s="199" t="s">
        <v>1</v>
      </c>
      <c r="AU233" s="199" t="s">
        <v>1</v>
      </c>
      <c r="AV233" s="202" t="s">
        <v>1</v>
      </c>
      <c r="AW233" s="199" t="s">
        <v>1</v>
      </c>
    </row>
    <row r="234" spans="1:49" ht="30.15" customHeight="1" x14ac:dyDescent="0.25">
      <c r="A234" s="213" t="s">
        <v>18</v>
      </c>
      <c r="B234" s="188" t="s">
        <v>1</v>
      </c>
      <c r="C234" s="212" t="s">
        <v>34</v>
      </c>
      <c r="D234" s="190" t="s">
        <v>3</v>
      </c>
      <c r="E234" s="190" t="s">
        <v>317</v>
      </c>
      <c r="F234" s="203"/>
      <c r="G234" s="190" t="s">
        <v>305</v>
      </c>
      <c r="H234" s="192" t="s">
        <v>409</v>
      </c>
      <c r="I234" s="193">
        <v>709</v>
      </c>
      <c r="J234" s="193">
        <v>722</v>
      </c>
      <c r="K234" s="193">
        <v>722</v>
      </c>
      <c r="L234" s="193">
        <v>760</v>
      </c>
      <c r="M234" s="194">
        <v>760</v>
      </c>
      <c r="N234" s="195">
        <v>0</v>
      </c>
      <c r="O234" s="197">
        <v>10.42</v>
      </c>
      <c r="P234" s="197">
        <v>24</v>
      </c>
      <c r="Q234" s="195" t="s">
        <v>1</v>
      </c>
      <c r="R234" s="196" t="s">
        <v>1252</v>
      </c>
      <c r="S234" s="197">
        <v>0</v>
      </c>
      <c r="T234" s="197">
        <v>10.42</v>
      </c>
      <c r="U234" s="197">
        <v>24</v>
      </c>
      <c r="V234" s="197" t="s">
        <v>1</v>
      </c>
      <c r="W234" s="196" t="s">
        <v>1252</v>
      </c>
      <c r="X234" s="195">
        <v>0</v>
      </c>
      <c r="Y234" s="195">
        <v>10.42</v>
      </c>
      <c r="Z234" s="195">
        <v>24</v>
      </c>
      <c r="AA234" s="196" t="s">
        <v>1</v>
      </c>
      <c r="AB234" s="196" t="s">
        <v>1</v>
      </c>
      <c r="AC234" s="197">
        <v>0</v>
      </c>
      <c r="AD234" s="197">
        <v>10.42</v>
      </c>
      <c r="AE234" s="197">
        <v>24</v>
      </c>
      <c r="AF234" s="198" t="s">
        <v>1</v>
      </c>
      <c r="AG234" s="198" t="s">
        <v>1</v>
      </c>
      <c r="AH234" s="198" t="s">
        <v>1</v>
      </c>
      <c r="AI234" s="209" t="s">
        <v>1</v>
      </c>
      <c r="AJ234" s="209" t="s">
        <v>1</v>
      </c>
      <c r="AK234" s="209" t="s">
        <v>1</v>
      </c>
      <c r="AL234" s="214" t="s">
        <v>1</v>
      </c>
      <c r="AM234" s="200" t="s">
        <v>1</v>
      </c>
      <c r="AN234" s="199" t="s">
        <v>1</v>
      </c>
      <c r="AO234" s="199" t="s">
        <v>1</v>
      </c>
      <c r="AP234" s="198" t="s">
        <v>1</v>
      </c>
      <c r="AQ234" s="198" t="s">
        <v>1</v>
      </c>
      <c r="AR234" s="201" t="s">
        <v>1</v>
      </c>
      <c r="AS234" s="201" t="s">
        <v>1</v>
      </c>
      <c r="AT234" s="199" t="s">
        <v>1</v>
      </c>
      <c r="AU234" s="199" t="s">
        <v>1</v>
      </c>
      <c r="AV234" s="202" t="s">
        <v>1</v>
      </c>
      <c r="AW234" s="199" t="s">
        <v>1</v>
      </c>
    </row>
    <row r="235" spans="1:49" ht="30.15" customHeight="1" x14ac:dyDescent="0.25">
      <c r="A235" s="213" t="s">
        <v>18</v>
      </c>
      <c r="B235" s="188" t="s">
        <v>1</v>
      </c>
      <c r="C235" s="212" t="s">
        <v>34</v>
      </c>
      <c r="D235" s="190" t="s">
        <v>3</v>
      </c>
      <c r="E235" s="190" t="s">
        <v>311</v>
      </c>
      <c r="F235" s="203"/>
      <c r="G235" s="190" t="s">
        <v>305</v>
      </c>
      <c r="H235" s="192" t="s">
        <v>409</v>
      </c>
      <c r="I235" s="193">
        <v>709</v>
      </c>
      <c r="J235" s="193">
        <v>722</v>
      </c>
      <c r="K235" s="193">
        <v>722</v>
      </c>
      <c r="L235" s="193">
        <v>760</v>
      </c>
      <c r="M235" s="194">
        <v>760</v>
      </c>
      <c r="N235" s="195">
        <v>0</v>
      </c>
      <c r="O235" s="197">
        <v>10.42</v>
      </c>
      <c r="P235" s="197">
        <v>24</v>
      </c>
      <c r="Q235" s="195" t="s">
        <v>1</v>
      </c>
      <c r="R235" s="196" t="s">
        <v>1252</v>
      </c>
      <c r="S235" s="197">
        <v>0</v>
      </c>
      <c r="T235" s="197">
        <v>10.42</v>
      </c>
      <c r="U235" s="197">
        <v>24</v>
      </c>
      <c r="V235" s="197" t="s">
        <v>1</v>
      </c>
      <c r="W235" s="196" t="s">
        <v>1252</v>
      </c>
      <c r="X235" s="195">
        <v>0</v>
      </c>
      <c r="Y235" s="195">
        <v>10.42</v>
      </c>
      <c r="Z235" s="195">
        <v>24</v>
      </c>
      <c r="AA235" s="196" t="s">
        <v>1</v>
      </c>
      <c r="AB235" s="196" t="s">
        <v>1</v>
      </c>
      <c r="AC235" s="197">
        <v>0</v>
      </c>
      <c r="AD235" s="197">
        <v>10.42</v>
      </c>
      <c r="AE235" s="197">
        <v>24</v>
      </c>
      <c r="AF235" s="198" t="s">
        <v>1</v>
      </c>
      <c r="AG235" s="198" t="s">
        <v>1</v>
      </c>
      <c r="AH235" s="198" t="s">
        <v>1</v>
      </c>
      <c r="AI235" s="209" t="s">
        <v>1</v>
      </c>
      <c r="AJ235" s="209" t="s">
        <v>1</v>
      </c>
      <c r="AK235" s="209" t="s">
        <v>1</v>
      </c>
      <c r="AL235" s="214" t="s">
        <v>1</v>
      </c>
      <c r="AM235" s="200" t="s">
        <v>1</v>
      </c>
      <c r="AN235" s="199" t="s">
        <v>1</v>
      </c>
      <c r="AO235" s="199" t="s">
        <v>1</v>
      </c>
      <c r="AP235" s="198" t="s">
        <v>1</v>
      </c>
      <c r="AQ235" s="198" t="s">
        <v>1</v>
      </c>
      <c r="AR235" s="201" t="s">
        <v>1</v>
      </c>
      <c r="AS235" s="201" t="s">
        <v>1</v>
      </c>
      <c r="AT235" s="199" t="s">
        <v>1</v>
      </c>
      <c r="AU235" s="199" t="s">
        <v>1</v>
      </c>
      <c r="AV235" s="202" t="s">
        <v>1</v>
      </c>
      <c r="AW235" s="199" t="s">
        <v>1</v>
      </c>
    </row>
    <row r="236" spans="1:49" ht="30.15" customHeight="1" x14ac:dyDescent="0.25">
      <c r="A236" s="213" t="s">
        <v>18</v>
      </c>
      <c r="B236" s="188" t="s">
        <v>1</v>
      </c>
      <c r="C236" s="212" t="s">
        <v>34</v>
      </c>
      <c r="D236" s="190" t="s">
        <v>3</v>
      </c>
      <c r="E236" s="190" t="s">
        <v>383</v>
      </c>
      <c r="F236" s="203"/>
      <c r="G236" s="190" t="s">
        <v>305</v>
      </c>
      <c r="H236" s="192" t="s">
        <v>413</v>
      </c>
      <c r="I236" s="193">
        <v>709</v>
      </c>
      <c r="J236" s="193">
        <v>722</v>
      </c>
      <c r="K236" s="193">
        <v>722</v>
      </c>
      <c r="L236" s="193">
        <v>760</v>
      </c>
      <c r="M236" s="194">
        <v>760</v>
      </c>
      <c r="N236" s="195">
        <v>0</v>
      </c>
      <c r="O236" s="197">
        <v>10.42</v>
      </c>
      <c r="P236" s="197">
        <v>24</v>
      </c>
      <c r="Q236" s="195" t="s">
        <v>1</v>
      </c>
      <c r="R236" s="196" t="s">
        <v>1252</v>
      </c>
      <c r="S236" s="197">
        <v>0</v>
      </c>
      <c r="T236" s="197">
        <v>10.42</v>
      </c>
      <c r="U236" s="197">
        <v>24</v>
      </c>
      <c r="V236" s="197" t="s">
        <v>1</v>
      </c>
      <c r="W236" s="196" t="s">
        <v>1252</v>
      </c>
      <c r="X236" s="195">
        <v>0</v>
      </c>
      <c r="Y236" s="195">
        <v>10.42</v>
      </c>
      <c r="Z236" s="195">
        <v>24</v>
      </c>
      <c r="AA236" s="196" t="s">
        <v>1</v>
      </c>
      <c r="AB236" s="196" t="s">
        <v>1</v>
      </c>
      <c r="AC236" s="197">
        <v>0</v>
      </c>
      <c r="AD236" s="197">
        <v>10.42</v>
      </c>
      <c r="AE236" s="197">
        <v>24</v>
      </c>
      <c r="AF236" s="198" t="s">
        <v>1</v>
      </c>
      <c r="AG236" s="198" t="s">
        <v>1</v>
      </c>
      <c r="AH236" s="198" t="s">
        <v>1</v>
      </c>
      <c r="AI236" s="209" t="s">
        <v>1</v>
      </c>
      <c r="AJ236" s="209" t="s">
        <v>1</v>
      </c>
      <c r="AK236" s="209" t="s">
        <v>1</v>
      </c>
      <c r="AL236" s="214" t="s">
        <v>1</v>
      </c>
      <c r="AM236" s="200" t="s">
        <v>1</v>
      </c>
      <c r="AN236" s="199" t="s">
        <v>1</v>
      </c>
      <c r="AO236" s="199" t="s">
        <v>1</v>
      </c>
      <c r="AP236" s="198" t="s">
        <v>1</v>
      </c>
      <c r="AQ236" s="198" t="s">
        <v>1</v>
      </c>
      <c r="AR236" s="201" t="s">
        <v>1</v>
      </c>
      <c r="AS236" s="201" t="s">
        <v>1</v>
      </c>
      <c r="AT236" s="199" t="s">
        <v>1</v>
      </c>
      <c r="AU236" s="199" t="s">
        <v>1</v>
      </c>
      <c r="AV236" s="202" t="s">
        <v>1</v>
      </c>
      <c r="AW236" s="199" t="s">
        <v>1</v>
      </c>
    </row>
    <row r="237" spans="1:49" ht="30.15" customHeight="1" x14ac:dyDescent="0.25">
      <c r="A237" s="213" t="s">
        <v>18</v>
      </c>
      <c r="B237" s="188" t="s">
        <v>1</v>
      </c>
      <c r="C237" s="212" t="s">
        <v>34</v>
      </c>
      <c r="D237" s="190" t="s">
        <v>3</v>
      </c>
      <c r="E237" s="190" t="s">
        <v>312</v>
      </c>
      <c r="F237" s="203"/>
      <c r="G237" s="190" t="s">
        <v>305</v>
      </c>
      <c r="H237" s="192" t="s">
        <v>409</v>
      </c>
      <c r="I237" s="193">
        <v>709</v>
      </c>
      <c r="J237" s="193">
        <v>722</v>
      </c>
      <c r="K237" s="193">
        <v>722</v>
      </c>
      <c r="L237" s="193">
        <v>760</v>
      </c>
      <c r="M237" s="194">
        <v>760</v>
      </c>
      <c r="N237" s="195">
        <v>0</v>
      </c>
      <c r="O237" s="197">
        <v>10.42</v>
      </c>
      <c r="P237" s="197">
        <v>24</v>
      </c>
      <c r="Q237" s="195" t="s">
        <v>1</v>
      </c>
      <c r="R237" s="196" t="s">
        <v>1252</v>
      </c>
      <c r="S237" s="197">
        <v>0</v>
      </c>
      <c r="T237" s="197">
        <v>10.42</v>
      </c>
      <c r="U237" s="197">
        <v>24</v>
      </c>
      <c r="V237" s="197" t="s">
        <v>1</v>
      </c>
      <c r="W237" s="196" t="s">
        <v>1252</v>
      </c>
      <c r="X237" s="195">
        <v>0</v>
      </c>
      <c r="Y237" s="195">
        <v>10.42</v>
      </c>
      <c r="Z237" s="195">
        <v>24</v>
      </c>
      <c r="AA237" s="196" t="s">
        <v>1</v>
      </c>
      <c r="AB237" s="196" t="s">
        <v>1</v>
      </c>
      <c r="AC237" s="197">
        <v>0</v>
      </c>
      <c r="AD237" s="197">
        <v>10.42</v>
      </c>
      <c r="AE237" s="197">
        <v>24</v>
      </c>
      <c r="AF237" s="198" t="s">
        <v>1</v>
      </c>
      <c r="AG237" s="198" t="s">
        <v>1</v>
      </c>
      <c r="AH237" s="198" t="s">
        <v>1</v>
      </c>
      <c r="AI237" s="209" t="s">
        <v>1</v>
      </c>
      <c r="AJ237" s="209" t="s">
        <v>1</v>
      </c>
      <c r="AK237" s="209" t="s">
        <v>1</v>
      </c>
      <c r="AL237" s="214" t="s">
        <v>1</v>
      </c>
      <c r="AM237" s="200" t="s">
        <v>1</v>
      </c>
      <c r="AN237" s="199" t="s">
        <v>1</v>
      </c>
      <c r="AO237" s="199" t="s">
        <v>1</v>
      </c>
      <c r="AP237" s="198" t="s">
        <v>1</v>
      </c>
      <c r="AQ237" s="198" t="s">
        <v>1</v>
      </c>
      <c r="AR237" s="201" t="s">
        <v>1</v>
      </c>
      <c r="AS237" s="201" t="s">
        <v>1</v>
      </c>
      <c r="AT237" s="199" t="s">
        <v>1</v>
      </c>
      <c r="AU237" s="199" t="s">
        <v>1</v>
      </c>
      <c r="AV237" s="202" t="s">
        <v>1</v>
      </c>
      <c r="AW237" s="199" t="s">
        <v>1</v>
      </c>
    </row>
    <row r="238" spans="1:49" ht="30.15" customHeight="1" x14ac:dyDescent="0.25">
      <c r="A238" s="213" t="s">
        <v>18</v>
      </c>
      <c r="B238" s="188" t="s">
        <v>1</v>
      </c>
      <c r="C238" s="212" t="s">
        <v>34</v>
      </c>
      <c r="D238" s="190" t="s">
        <v>3</v>
      </c>
      <c r="E238" s="190" t="s">
        <v>719</v>
      </c>
      <c r="F238" s="203"/>
      <c r="G238" s="190" t="s">
        <v>721</v>
      </c>
      <c r="H238" s="192" t="s">
        <v>414</v>
      </c>
      <c r="I238" s="193">
        <v>779</v>
      </c>
      <c r="J238" s="193">
        <v>798</v>
      </c>
      <c r="K238" s="193">
        <v>798</v>
      </c>
      <c r="L238" s="193">
        <v>840</v>
      </c>
      <c r="M238" s="194">
        <v>840</v>
      </c>
      <c r="N238" s="195">
        <v>0</v>
      </c>
      <c r="O238" s="195">
        <v>10.42</v>
      </c>
      <c r="P238" s="195">
        <v>24</v>
      </c>
      <c r="Q238" s="195" t="s">
        <v>1</v>
      </c>
      <c r="R238" s="196" t="s">
        <v>1252</v>
      </c>
      <c r="S238" s="197">
        <v>0</v>
      </c>
      <c r="T238" s="195">
        <v>10.42</v>
      </c>
      <c r="U238" s="195">
        <v>24</v>
      </c>
      <c r="V238" s="197" t="s">
        <v>1</v>
      </c>
      <c r="W238" s="196" t="s">
        <v>1252</v>
      </c>
      <c r="X238" s="195">
        <v>0</v>
      </c>
      <c r="Y238" s="195">
        <v>10.42</v>
      </c>
      <c r="Z238" s="195">
        <v>24</v>
      </c>
      <c r="AA238" s="196" t="s">
        <v>1</v>
      </c>
      <c r="AB238" s="196" t="s">
        <v>1</v>
      </c>
      <c r="AC238" s="197">
        <v>0</v>
      </c>
      <c r="AD238" s="197">
        <v>10.42</v>
      </c>
      <c r="AE238" s="197">
        <v>24</v>
      </c>
      <c r="AF238" s="198" t="s">
        <v>1</v>
      </c>
      <c r="AG238" s="198" t="s">
        <v>1</v>
      </c>
      <c r="AH238" s="198" t="s">
        <v>1</v>
      </c>
      <c r="AI238" s="209" t="s">
        <v>1</v>
      </c>
      <c r="AJ238" s="209" t="s">
        <v>1</v>
      </c>
      <c r="AK238" s="209" t="s">
        <v>1</v>
      </c>
      <c r="AL238" s="214" t="s">
        <v>1</v>
      </c>
      <c r="AM238" s="200" t="s">
        <v>1</v>
      </c>
      <c r="AN238" s="199" t="s">
        <v>1</v>
      </c>
      <c r="AO238" s="199" t="s">
        <v>1</v>
      </c>
      <c r="AP238" s="198" t="s">
        <v>1</v>
      </c>
      <c r="AQ238" s="198" t="s">
        <v>1</v>
      </c>
      <c r="AR238" s="201" t="s">
        <v>1</v>
      </c>
      <c r="AS238" s="201" t="s">
        <v>1</v>
      </c>
      <c r="AT238" s="199" t="s">
        <v>1</v>
      </c>
      <c r="AU238" s="199" t="s">
        <v>1</v>
      </c>
      <c r="AV238" s="202" t="s">
        <v>1</v>
      </c>
      <c r="AW238" s="199" t="s">
        <v>1</v>
      </c>
    </row>
    <row r="239" spans="1:49" ht="30.15" customHeight="1" x14ac:dyDescent="0.25">
      <c r="A239" s="213" t="s">
        <v>18</v>
      </c>
      <c r="B239" s="188" t="s">
        <v>1</v>
      </c>
      <c r="C239" s="212" t="s">
        <v>34</v>
      </c>
      <c r="D239" s="190" t="s">
        <v>3</v>
      </c>
      <c r="E239" s="190" t="s">
        <v>720</v>
      </c>
      <c r="F239" s="203"/>
      <c r="G239" s="190" t="s">
        <v>721</v>
      </c>
      <c r="H239" s="192" t="s">
        <v>414</v>
      </c>
      <c r="I239" s="193">
        <v>779</v>
      </c>
      <c r="J239" s="193">
        <v>798</v>
      </c>
      <c r="K239" s="193">
        <v>798</v>
      </c>
      <c r="L239" s="193">
        <v>840</v>
      </c>
      <c r="M239" s="194">
        <v>840</v>
      </c>
      <c r="N239" s="195">
        <v>0</v>
      </c>
      <c r="O239" s="195">
        <v>10.42</v>
      </c>
      <c r="P239" s="195">
        <v>24</v>
      </c>
      <c r="Q239" s="195" t="s">
        <v>1</v>
      </c>
      <c r="R239" s="196" t="s">
        <v>1252</v>
      </c>
      <c r="S239" s="197">
        <v>0</v>
      </c>
      <c r="T239" s="195">
        <v>10.42</v>
      </c>
      <c r="U239" s="195">
        <v>24</v>
      </c>
      <c r="V239" s="197" t="s">
        <v>1</v>
      </c>
      <c r="W239" s="196" t="s">
        <v>1252</v>
      </c>
      <c r="X239" s="195">
        <v>0</v>
      </c>
      <c r="Y239" s="195">
        <v>10.42</v>
      </c>
      <c r="Z239" s="195">
        <v>24</v>
      </c>
      <c r="AA239" s="196" t="s">
        <v>1</v>
      </c>
      <c r="AB239" s="196" t="s">
        <v>1</v>
      </c>
      <c r="AC239" s="197">
        <v>0</v>
      </c>
      <c r="AD239" s="197">
        <v>10.42</v>
      </c>
      <c r="AE239" s="197">
        <v>24</v>
      </c>
      <c r="AF239" s="198" t="s">
        <v>1</v>
      </c>
      <c r="AG239" s="198" t="s">
        <v>1</v>
      </c>
      <c r="AH239" s="198" t="s">
        <v>1</v>
      </c>
      <c r="AI239" s="209" t="s">
        <v>1</v>
      </c>
      <c r="AJ239" s="209" t="s">
        <v>1</v>
      </c>
      <c r="AK239" s="209" t="s">
        <v>1</v>
      </c>
      <c r="AL239" s="214" t="s">
        <v>1</v>
      </c>
      <c r="AM239" s="200" t="s">
        <v>1</v>
      </c>
      <c r="AN239" s="199" t="s">
        <v>1</v>
      </c>
      <c r="AO239" s="199" t="s">
        <v>1</v>
      </c>
      <c r="AP239" s="198" t="s">
        <v>1</v>
      </c>
      <c r="AQ239" s="198" t="s">
        <v>1</v>
      </c>
      <c r="AR239" s="201" t="s">
        <v>1</v>
      </c>
      <c r="AS239" s="201" t="s">
        <v>1</v>
      </c>
      <c r="AT239" s="199" t="s">
        <v>1</v>
      </c>
      <c r="AU239" s="199" t="s">
        <v>1</v>
      </c>
      <c r="AV239" s="202" t="s">
        <v>1</v>
      </c>
      <c r="AW239" s="199" t="s">
        <v>1</v>
      </c>
    </row>
    <row r="240" spans="1:49" ht="30.15" customHeight="1" x14ac:dyDescent="0.25">
      <c r="A240" s="213" t="s">
        <v>18</v>
      </c>
      <c r="B240" s="188" t="s">
        <v>1</v>
      </c>
      <c r="C240" s="212" t="s">
        <v>34</v>
      </c>
      <c r="D240" s="217" t="s">
        <v>3</v>
      </c>
      <c r="E240" s="217" t="s">
        <v>334</v>
      </c>
      <c r="F240" s="218"/>
      <c r="G240" s="217" t="s">
        <v>335</v>
      </c>
      <c r="H240" s="219" t="s">
        <v>409</v>
      </c>
      <c r="I240" s="220">
        <v>1179</v>
      </c>
      <c r="J240" s="220">
        <v>1209</v>
      </c>
      <c r="K240" s="220">
        <v>1209</v>
      </c>
      <c r="L240" s="220">
        <v>1080</v>
      </c>
      <c r="M240" s="220">
        <v>1080</v>
      </c>
      <c r="N240" s="221">
        <v>0</v>
      </c>
      <c r="O240" s="195">
        <v>25</v>
      </c>
      <c r="P240" s="195">
        <v>24</v>
      </c>
      <c r="Q240" s="195" t="s">
        <v>1</v>
      </c>
      <c r="R240" s="222" t="s">
        <v>1252</v>
      </c>
      <c r="S240" s="221">
        <v>0</v>
      </c>
      <c r="T240" s="197">
        <v>25</v>
      </c>
      <c r="U240" s="197">
        <v>24</v>
      </c>
      <c r="V240" s="197" t="s">
        <v>1</v>
      </c>
      <c r="W240" s="216" t="s">
        <v>1252</v>
      </c>
      <c r="X240" s="221">
        <v>0</v>
      </c>
      <c r="Y240" s="195">
        <v>25</v>
      </c>
      <c r="Z240" s="195">
        <v>24</v>
      </c>
      <c r="AA240" s="222" t="s">
        <v>1</v>
      </c>
      <c r="AB240" s="222" t="s">
        <v>1</v>
      </c>
      <c r="AC240" s="221">
        <v>0</v>
      </c>
      <c r="AD240" s="197">
        <v>25</v>
      </c>
      <c r="AE240" s="197">
        <v>24</v>
      </c>
      <c r="AF240" s="198" t="s">
        <v>1</v>
      </c>
      <c r="AG240" s="198" t="s">
        <v>1</v>
      </c>
      <c r="AH240" s="198" t="s">
        <v>1</v>
      </c>
      <c r="AI240" s="209" t="s">
        <v>1</v>
      </c>
      <c r="AJ240" s="209" t="s">
        <v>1</v>
      </c>
      <c r="AK240" s="209" t="s">
        <v>1</v>
      </c>
      <c r="AL240" s="214" t="s">
        <v>1</v>
      </c>
      <c r="AM240" s="200" t="s">
        <v>1</v>
      </c>
      <c r="AN240" s="199" t="s">
        <v>1</v>
      </c>
      <c r="AO240" s="199" t="s">
        <v>1</v>
      </c>
      <c r="AP240" s="198" t="s">
        <v>1</v>
      </c>
      <c r="AQ240" s="198" t="s">
        <v>1</v>
      </c>
      <c r="AR240" s="201" t="s">
        <v>1</v>
      </c>
      <c r="AS240" s="201" t="s">
        <v>1</v>
      </c>
      <c r="AT240" s="199" t="s">
        <v>1</v>
      </c>
      <c r="AU240" s="199" t="s">
        <v>1</v>
      </c>
      <c r="AV240" s="202" t="s">
        <v>1</v>
      </c>
      <c r="AW240" s="199" t="s">
        <v>1</v>
      </c>
    </row>
    <row r="241" spans="1:49" ht="30.15" customHeight="1" x14ac:dyDescent="0.25">
      <c r="A241" s="213" t="s">
        <v>18</v>
      </c>
      <c r="B241" s="188" t="s">
        <v>1</v>
      </c>
      <c r="C241" s="212" t="s">
        <v>34</v>
      </c>
      <c r="D241" s="217" t="s">
        <v>3</v>
      </c>
      <c r="E241" s="217" t="s">
        <v>336</v>
      </c>
      <c r="F241" s="218"/>
      <c r="G241" s="217" t="s">
        <v>335</v>
      </c>
      <c r="H241" s="219" t="s">
        <v>409</v>
      </c>
      <c r="I241" s="220">
        <v>1179</v>
      </c>
      <c r="J241" s="220">
        <v>1209</v>
      </c>
      <c r="K241" s="220">
        <v>1209</v>
      </c>
      <c r="L241" s="220">
        <v>1080</v>
      </c>
      <c r="M241" s="220">
        <v>1080</v>
      </c>
      <c r="N241" s="221">
        <v>0</v>
      </c>
      <c r="O241" s="195">
        <v>25</v>
      </c>
      <c r="P241" s="195">
        <v>24</v>
      </c>
      <c r="Q241" s="195" t="s">
        <v>1</v>
      </c>
      <c r="R241" s="222" t="s">
        <v>1252</v>
      </c>
      <c r="S241" s="221">
        <v>0</v>
      </c>
      <c r="T241" s="197">
        <v>25</v>
      </c>
      <c r="U241" s="197">
        <v>24</v>
      </c>
      <c r="V241" s="197" t="s">
        <v>1</v>
      </c>
      <c r="W241" s="216" t="s">
        <v>1252</v>
      </c>
      <c r="X241" s="221">
        <v>0</v>
      </c>
      <c r="Y241" s="195">
        <v>25</v>
      </c>
      <c r="Z241" s="195">
        <v>24</v>
      </c>
      <c r="AA241" s="222" t="s">
        <v>1</v>
      </c>
      <c r="AB241" s="222" t="s">
        <v>1</v>
      </c>
      <c r="AC241" s="221">
        <v>0</v>
      </c>
      <c r="AD241" s="197">
        <v>25</v>
      </c>
      <c r="AE241" s="197">
        <v>24</v>
      </c>
      <c r="AF241" s="198" t="s">
        <v>1</v>
      </c>
      <c r="AG241" s="198" t="s">
        <v>1</v>
      </c>
      <c r="AH241" s="198" t="s">
        <v>1</v>
      </c>
      <c r="AI241" s="209" t="s">
        <v>1</v>
      </c>
      <c r="AJ241" s="209" t="s">
        <v>1</v>
      </c>
      <c r="AK241" s="209" t="s">
        <v>1</v>
      </c>
      <c r="AL241" s="214" t="s">
        <v>1</v>
      </c>
      <c r="AM241" s="200" t="s">
        <v>1</v>
      </c>
      <c r="AN241" s="199" t="s">
        <v>1</v>
      </c>
      <c r="AO241" s="199" t="s">
        <v>1</v>
      </c>
      <c r="AP241" s="198" t="s">
        <v>1</v>
      </c>
      <c r="AQ241" s="198" t="s">
        <v>1</v>
      </c>
      <c r="AR241" s="201" t="s">
        <v>1</v>
      </c>
      <c r="AS241" s="201" t="s">
        <v>1</v>
      </c>
      <c r="AT241" s="199" t="s">
        <v>1</v>
      </c>
      <c r="AU241" s="199" t="s">
        <v>1</v>
      </c>
      <c r="AV241" s="202" t="s">
        <v>1</v>
      </c>
      <c r="AW241" s="199" t="s">
        <v>1</v>
      </c>
    </row>
    <row r="242" spans="1:49" ht="30.15" customHeight="1" x14ac:dyDescent="0.25">
      <c r="A242" s="213" t="s">
        <v>18</v>
      </c>
      <c r="B242" s="188" t="s">
        <v>1</v>
      </c>
      <c r="C242" s="212" t="s">
        <v>34</v>
      </c>
      <c r="D242" s="217" t="s">
        <v>3</v>
      </c>
      <c r="E242" s="217" t="s">
        <v>338</v>
      </c>
      <c r="F242" s="218"/>
      <c r="G242" s="217" t="s">
        <v>337</v>
      </c>
      <c r="H242" s="219" t="s">
        <v>409</v>
      </c>
      <c r="I242" s="220">
        <v>1379</v>
      </c>
      <c r="J242" s="220">
        <v>1409</v>
      </c>
      <c r="K242" s="220">
        <v>1409</v>
      </c>
      <c r="L242" s="220">
        <v>1290</v>
      </c>
      <c r="M242" s="220">
        <v>1290</v>
      </c>
      <c r="N242" s="221">
        <v>0</v>
      </c>
      <c r="O242" s="195">
        <v>29.17</v>
      </c>
      <c r="P242" s="195">
        <v>24</v>
      </c>
      <c r="Q242" s="195" t="s">
        <v>1</v>
      </c>
      <c r="R242" s="222" t="s">
        <v>1252</v>
      </c>
      <c r="S242" s="221">
        <v>0</v>
      </c>
      <c r="T242" s="195">
        <v>29.17</v>
      </c>
      <c r="U242" s="195">
        <v>24</v>
      </c>
      <c r="V242" s="197" t="s">
        <v>1</v>
      </c>
      <c r="W242" s="216" t="s">
        <v>1252</v>
      </c>
      <c r="X242" s="221">
        <v>0</v>
      </c>
      <c r="Y242" s="195">
        <v>29.17</v>
      </c>
      <c r="Z242" s="195">
        <v>24</v>
      </c>
      <c r="AA242" s="222" t="s">
        <v>1</v>
      </c>
      <c r="AB242" s="222" t="s">
        <v>1</v>
      </c>
      <c r="AC242" s="221">
        <v>0</v>
      </c>
      <c r="AD242" s="197">
        <v>29.17</v>
      </c>
      <c r="AE242" s="197">
        <v>24</v>
      </c>
      <c r="AF242" s="198" t="s">
        <v>1</v>
      </c>
      <c r="AG242" s="198" t="s">
        <v>1</v>
      </c>
      <c r="AH242" s="198" t="s">
        <v>1</v>
      </c>
      <c r="AI242" s="209" t="s">
        <v>1</v>
      </c>
      <c r="AJ242" s="209" t="s">
        <v>1</v>
      </c>
      <c r="AK242" s="209" t="s">
        <v>1</v>
      </c>
      <c r="AL242" s="214" t="s">
        <v>1</v>
      </c>
      <c r="AM242" s="200" t="s">
        <v>1</v>
      </c>
      <c r="AN242" s="199" t="s">
        <v>1</v>
      </c>
      <c r="AO242" s="199" t="s">
        <v>1</v>
      </c>
      <c r="AP242" s="198" t="s">
        <v>1</v>
      </c>
      <c r="AQ242" s="198" t="s">
        <v>1</v>
      </c>
      <c r="AR242" s="201" t="s">
        <v>1</v>
      </c>
      <c r="AS242" s="201" t="s">
        <v>1</v>
      </c>
      <c r="AT242" s="199" t="s">
        <v>1</v>
      </c>
      <c r="AU242" s="199" t="s">
        <v>1</v>
      </c>
      <c r="AV242" s="202" t="s">
        <v>1</v>
      </c>
      <c r="AW242" s="199" t="s">
        <v>1</v>
      </c>
    </row>
    <row r="243" spans="1:49" ht="30.15" customHeight="1" x14ac:dyDescent="0.25">
      <c r="A243" s="213" t="s">
        <v>18</v>
      </c>
      <c r="B243" s="188" t="s">
        <v>1</v>
      </c>
      <c r="C243" s="212" t="s">
        <v>34</v>
      </c>
      <c r="D243" s="217" t="s">
        <v>3</v>
      </c>
      <c r="E243" s="217" t="s">
        <v>339</v>
      </c>
      <c r="F243" s="218"/>
      <c r="G243" s="217" t="s">
        <v>337</v>
      </c>
      <c r="H243" s="219" t="s">
        <v>409</v>
      </c>
      <c r="I243" s="220">
        <v>1379</v>
      </c>
      <c r="J243" s="220">
        <v>1409</v>
      </c>
      <c r="K243" s="220">
        <v>1409</v>
      </c>
      <c r="L243" s="220">
        <v>1290</v>
      </c>
      <c r="M243" s="220">
        <v>1290</v>
      </c>
      <c r="N243" s="221">
        <v>0</v>
      </c>
      <c r="O243" s="195">
        <v>29.17</v>
      </c>
      <c r="P243" s="195">
        <v>24</v>
      </c>
      <c r="Q243" s="195" t="s">
        <v>1</v>
      </c>
      <c r="R243" s="222" t="s">
        <v>1252</v>
      </c>
      <c r="S243" s="221">
        <v>0</v>
      </c>
      <c r="T243" s="195">
        <v>29.17</v>
      </c>
      <c r="U243" s="195">
        <v>24</v>
      </c>
      <c r="V243" s="197" t="s">
        <v>1</v>
      </c>
      <c r="W243" s="216" t="s">
        <v>1252</v>
      </c>
      <c r="X243" s="221">
        <v>0</v>
      </c>
      <c r="Y243" s="195">
        <v>29.17</v>
      </c>
      <c r="Z243" s="195">
        <v>24</v>
      </c>
      <c r="AA243" s="222" t="s">
        <v>1</v>
      </c>
      <c r="AB243" s="222" t="s">
        <v>1</v>
      </c>
      <c r="AC243" s="221">
        <v>0</v>
      </c>
      <c r="AD243" s="197">
        <v>29.17</v>
      </c>
      <c r="AE243" s="197">
        <v>24</v>
      </c>
      <c r="AF243" s="198" t="s">
        <v>1</v>
      </c>
      <c r="AG243" s="198" t="s">
        <v>1</v>
      </c>
      <c r="AH243" s="198" t="s">
        <v>1</v>
      </c>
      <c r="AI243" s="209" t="s">
        <v>1</v>
      </c>
      <c r="AJ243" s="209" t="s">
        <v>1</v>
      </c>
      <c r="AK243" s="209" t="s">
        <v>1</v>
      </c>
      <c r="AL243" s="214" t="s">
        <v>1</v>
      </c>
      <c r="AM243" s="200" t="s">
        <v>1</v>
      </c>
      <c r="AN243" s="199" t="s">
        <v>1</v>
      </c>
      <c r="AO243" s="199" t="s">
        <v>1</v>
      </c>
      <c r="AP243" s="198" t="s">
        <v>1</v>
      </c>
      <c r="AQ243" s="198" t="s">
        <v>1</v>
      </c>
      <c r="AR243" s="201" t="s">
        <v>1</v>
      </c>
      <c r="AS243" s="201" t="s">
        <v>1</v>
      </c>
      <c r="AT243" s="199" t="s">
        <v>1</v>
      </c>
      <c r="AU243" s="199" t="s">
        <v>1</v>
      </c>
      <c r="AV243" s="202" t="s">
        <v>1</v>
      </c>
      <c r="AW243" s="199" t="s">
        <v>1</v>
      </c>
    </row>
    <row r="244" spans="1:49" ht="30.15" customHeight="1" x14ac:dyDescent="0.25">
      <c r="A244" s="213" t="s">
        <v>18</v>
      </c>
      <c r="B244" s="188" t="s">
        <v>1</v>
      </c>
      <c r="C244" s="212" t="s">
        <v>34</v>
      </c>
      <c r="D244" s="217" t="s">
        <v>3</v>
      </c>
      <c r="E244" s="217" t="s">
        <v>507</v>
      </c>
      <c r="F244" s="218"/>
      <c r="G244" s="217" t="s">
        <v>504</v>
      </c>
      <c r="H244" s="219" t="s">
        <v>409</v>
      </c>
      <c r="I244" s="220">
        <v>666</v>
      </c>
      <c r="J244" s="220">
        <v>679</v>
      </c>
      <c r="K244" s="220">
        <v>679</v>
      </c>
      <c r="L244" s="220">
        <v>720</v>
      </c>
      <c r="M244" s="220">
        <v>720</v>
      </c>
      <c r="N244" s="221">
        <v>0</v>
      </c>
      <c r="O244" s="195" t="s">
        <v>1</v>
      </c>
      <c r="P244" s="195" t="s">
        <v>1</v>
      </c>
      <c r="Q244" s="195" t="s">
        <v>1</v>
      </c>
      <c r="R244" s="222" t="s">
        <v>1253</v>
      </c>
      <c r="S244" s="221">
        <v>0</v>
      </c>
      <c r="T244" s="195" t="s">
        <v>1</v>
      </c>
      <c r="U244" s="195" t="s">
        <v>1</v>
      </c>
      <c r="V244" s="197" t="s">
        <v>1</v>
      </c>
      <c r="W244" s="216" t="s">
        <v>1253</v>
      </c>
      <c r="X244" s="221">
        <v>0</v>
      </c>
      <c r="Y244" s="195">
        <v>15</v>
      </c>
      <c r="Z244" s="195">
        <v>24</v>
      </c>
      <c r="AA244" s="222" t="s">
        <v>1</v>
      </c>
      <c r="AB244" s="222" t="s">
        <v>1</v>
      </c>
      <c r="AC244" s="221">
        <v>0</v>
      </c>
      <c r="AD244" s="195">
        <v>15</v>
      </c>
      <c r="AE244" s="195">
        <v>24</v>
      </c>
      <c r="AF244" s="222" t="s">
        <v>1</v>
      </c>
      <c r="AG244" s="222" t="s">
        <v>1</v>
      </c>
      <c r="AH244" s="198" t="s">
        <v>1</v>
      </c>
      <c r="AI244" s="209" t="s">
        <v>1</v>
      </c>
      <c r="AJ244" s="209" t="s">
        <v>1</v>
      </c>
      <c r="AK244" s="209" t="s">
        <v>1</v>
      </c>
      <c r="AL244" s="214" t="s">
        <v>1</v>
      </c>
      <c r="AM244" s="200" t="s">
        <v>1</v>
      </c>
      <c r="AN244" s="199" t="s">
        <v>1</v>
      </c>
      <c r="AO244" s="199" t="s">
        <v>1</v>
      </c>
      <c r="AP244" s="198" t="s">
        <v>1</v>
      </c>
      <c r="AQ244" s="198" t="s">
        <v>1</v>
      </c>
      <c r="AR244" s="201" t="s">
        <v>1</v>
      </c>
      <c r="AS244" s="201" t="s">
        <v>1</v>
      </c>
      <c r="AT244" s="199" t="s">
        <v>1</v>
      </c>
      <c r="AU244" s="199" t="s">
        <v>1</v>
      </c>
      <c r="AV244" s="202" t="s">
        <v>1</v>
      </c>
      <c r="AW244" s="199" t="s">
        <v>1</v>
      </c>
    </row>
    <row r="245" spans="1:49" ht="30.15" customHeight="1" x14ac:dyDescent="0.25">
      <c r="A245" s="213" t="s">
        <v>18</v>
      </c>
      <c r="B245" s="188" t="s">
        <v>1</v>
      </c>
      <c r="C245" s="212" t="s">
        <v>34</v>
      </c>
      <c r="D245" s="217" t="s">
        <v>3</v>
      </c>
      <c r="E245" s="217" t="s">
        <v>509</v>
      </c>
      <c r="F245" s="203"/>
      <c r="G245" s="217" t="s">
        <v>504</v>
      </c>
      <c r="H245" s="219" t="s">
        <v>409</v>
      </c>
      <c r="I245" s="220">
        <v>666</v>
      </c>
      <c r="J245" s="220">
        <v>679</v>
      </c>
      <c r="K245" s="220">
        <v>679</v>
      </c>
      <c r="L245" s="220">
        <v>720</v>
      </c>
      <c r="M245" s="220">
        <v>720</v>
      </c>
      <c r="N245" s="221">
        <v>0</v>
      </c>
      <c r="O245" s="195" t="s">
        <v>1</v>
      </c>
      <c r="P245" s="195" t="s">
        <v>1</v>
      </c>
      <c r="Q245" s="195" t="s">
        <v>1</v>
      </c>
      <c r="R245" s="222" t="s">
        <v>1253</v>
      </c>
      <c r="S245" s="221">
        <v>0</v>
      </c>
      <c r="T245" s="195" t="s">
        <v>1</v>
      </c>
      <c r="U245" s="195" t="s">
        <v>1</v>
      </c>
      <c r="V245" s="197" t="s">
        <v>1</v>
      </c>
      <c r="W245" s="216" t="s">
        <v>1253</v>
      </c>
      <c r="X245" s="221">
        <v>0</v>
      </c>
      <c r="Y245" s="195">
        <v>15</v>
      </c>
      <c r="Z245" s="195">
        <v>24</v>
      </c>
      <c r="AA245" s="222" t="s">
        <v>1</v>
      </c>
      <c r="AB245" s="222" t="s">
        <v>1</v>
      </c>
      <c r="AC245" s="221">
        <v>0</v>
      </c>
      <c r="AD245" s="195">
        <v>15</v>
      </c>
      <c r="AE245" s="195">
        <v>24</v>
      </c>
      <c r="AF245" s="222" t="s">
        <v>1</v>
      </c>
      <c r="AG245" s="222" t="s">
        <v>1</v>
      </c>
      <c r="AH245" s="198" t="s">
        <v>1</v>
      </c>
      <c r="AI245" s="209" t="s">
        <v>1</v>
      </c>
      <c r="AJ245" s="209" t="s">
        <v>1</v>
      </c>
      <c r="AK245" s="209" t="s">
        <v>1</v>
      </c>
      <c r="AL245" s="214" t="s">
        <v>1</v>
      </c>
      <c r="AM245" s="200" t="s">
        <v>1</v>
      </c>
      <c r="AN245" s="199" t="s">
        <v>1</v>
      </c>
      <c r="AO245" s="199" t="s">
        <v>1</v>
      </c>
      <c r="AP245" s="198" t="s">
        <v>1</v>
      </c>
      <c r="AQ245" s="198" t="s">
        <v>1</v>
      </c>
      <c r="AR245" s="201" t="s">
        <v>1</v>
      </c>
      <c r="AS245" s="201" t="s">
        <v>1</v>
      </c>
      <c r="AT245" s="199" t="s">
        <v>1</v>
      </c>
      <c r="AU245" s="199" t="s">
        <v>1</v>
      </c>
      <c r="AV245" s="202" t="s">
        <v>1</v>
      </c>
      <c r="AW245" s="199" t="s">
        <v>1</v>
      </c>
    </row>
    <row r="246" spans="1:49" ht="30.15" customHeight="1" x14ac:dyDescent="0.25">
      <c r="A246" s="213" t="s">
        <v>18</v>
      </c>
      <c r="B246" s="188" t="s">
        <v>1</v>
      </c>
      <c r="C246" s="212" t="s">
        <v>34</v>
      </c>
      <c r="D246" s="217" t="s">
        <v>3</v>
      </c>
      <c r="E246" s="217" t="s">
        <v>508</v>
      </c>
      <c r="F246" s="203"/>
      <c r="G246" s="217" t="s">
        <v>504</v>
      </c>
      <c r="H246" s="219" t="s">
        <v>409</v>
      </c>
      <c r="I246" s="220">
        <v>666</v>
      </c>
      <c r="J246" s="220">
        <v>679</v>
      </c>
      <c r="K246" s="220">
        <v>679</v>
      </c>
      <c r="L246" s="220">
        <v>720</v>
      </c>
      <c r="M246" s="220">
        <v>720</v>
      </c>
      <c r="N246" s="221">
        <v>0</v>
      </c>
      <c r="O246" s="195" t="s">
        <v>1</v>
      </c>
      <c r="P246" s="195" t="s">
        <v>1</v>
      </c>
      <c r="Q246" s="195" t="s">
        <v>1</v>
      </c>
      <c r="R246" s="222" t="s">
        <v>1253</v>
      </c>
      <c r="S246" s="221">
        <v>0</v>
      </c>
      <c r="T246" s="195" t="s">
        <v>1</v>
      </c>
      <c r="U246" s="195" t="s">
        <v>1</v>
      </c>
      <c r="V246" s="197" t="s">
        <v>1</v>
      </c>
      <c r="W246" s="216" t="s">
        <v>1253</v>
      </c>
      <c r="X246" s="221">
        <v>0</v>
      </c>
      <c r="Y246" s="195">
        <v>15</v>
      </c>
      <c r="Z246" s="195">
        <v>24</v>
      </c>
      <c r="AA246" s="222" t="s">
        <v>1</v>
      </c>
      <c r="AB246" s="222" t="s">
        <v>1</v>
      </c>
      <c r="AC246" s="221">
        <v>0</v>
      </c>
      <c r="AD246" s="195">
        <v>15</v>
      </c>
      <c r="AE246" s="195">
        <v>24</v>
      </c>
      <c r="AF246" s="222" t="s">
        <v>1</v>
      </c>
      <c r="AG246" s="222" t="s">
        <v>1</v>
      </c>
      <c r="AH246" s="198" t="s">
        <v>1</v>
      </c>
      <c r="AI246" s="209" t="s">
        <v>1</v>
      </c>
      <c r="AJ246" s="209" t="s">
        <v>1</v>
      </c>
      <c r="AK246" s="209" t="s">
        <v>1</v>
      </c>
      <c r="AL246" s="214" t="s">
        <v>1</v>
      </c>
      <c r="AM246" s="200" t="s">
        <v>1</v>
      </c>
      <c r="AN246" s="199" t="s">
        <v>1</v>
      </c>
      <c r="AO246" s="199" t="s">
        <v>1</v>
      </c>
      <c r="AP246" s="198" t="s">
        <v>1</v>
      </c>
      <c r="AQ246" s="198" t="s">
        <v>1</v>
      </c>
      <c r="AR246" s="201" t="s">
        <v>1</v>
      </c>
      <c r="AS246" s="201" t="s">
        <v>1</v>
      </c>
      <c r="AT246" s="199" t="s">
        <v>1</v>
      </c>
      <c r="AU246" s="199" t="s">
        <v>1</v>
      </c>
      <c r="AV246" s="202" t="s">
        <v>1</v>
      </c>
      <c r="AW246" s="199" t="s">
        <v>1</v>
      </c>
    </row>
    <row r="247" spans="1:49" ht="30.15" customHeight="1" x14ac:dyDescent="0.25">
      <c r="A247" s="213" t="s">
        <v>18</v>
      </c>
      <c r="B247" s="188" t="s">
        <v>1</v>
      </c>
      <c r="C247" s="212" t="s">
        <v>34</v>
      </c>
      <c r="D247" s="217" t="s">
        <v>3</v>
      </c>
      <c r="E247" s="217" t="s">
        <v>510</v>
      </c>
      <c r="F247" s="203"/>
      <c r="G247" s="217" t="s">
        <v>504</v>
      </c>
      <c r="H247" s="219" t="s">
        <v>409</v>
      </c>
      <c r="I247" s="220">
        <v>666</v>
      </c>
      <c r="J247" s="220">
        <v>679</v>
      </c>
      <c r="K247" s="220">
        <v>679</v>
      </c>
      <c r="L247" s="220">
        <v>720</v>
      </c>
      <c r="M247" s="220">
        <v>720</v>
      </c>
      <c r="N247" s="221">
        <v>0</v>
      </c>
      <c r="O247" s="195" t="s">
        <v>1</v>
      </c>
      <c r="P247" s="195" t="s">
        <v>1</v>
      </c>
      <c r="Q247" s="195" t="s">
        <v>1</v>
      </c>
      <c r="R247" s="222" t="s">
        <v>1253</v>
      </c>
      <c r="S247" s="221">
        <v>0</v>
      </c>
      <c r="T247" s="195" t="s">
        <v>1</v>
      </c>
      <c r="U247" s="195" t="s">
        <v>1</v>
      </c>
      <c r="V247" s="197" t="s">
        <v>1</v>
      </c>
      <c r="W247" s="216" t="s">
        <v>1253</v>
      </c>
      <c r="X247" s="221">
        <v>0</v>
      </c>
      <c r="Y247" s="195">
        <v>15</v>
      </c>
      <c r="Z247" s="195">
        <v>24</v>
      </c>
      <c r="AA247" s="222" t="s">
        <v>1</v>
      </c>
      <c r="AB247" s="222" t="s">
        <v>1</v>
      </c>
      <c r="AC247" s="221">
        <v>0</v>
      </c>
      <c r="AD247" s="195">
        <v>15</v>
      </c>
      <c r="AE247" s="195">
        <v>24</v>
      </c>
      <c r="AF247" s="222" t="s">
        <v>1</v>
      </c>
      <c r="AG247" s="222" t="s">
        <v>1</v>
      </c>
      <c r="AH247" s="198" t="s">
        <v>1</v>
      </c>
      <c r="AI247" s="209" t="s">
        <v>1</v>
      </c>
      <c r="AJ247" s="209" t="s">
        <v>1</v>
      </c>
      <c r="AK247" s="209" t="s">
        <v>1</v>
      </c>
      <c r="AL247" s="214" t="s">
        <v>1</v>
      </c>
      <c r="AM247" s="200" t="s">
        <v>1</v>
      </c>
      <c r="AN247" s="199" t="s">
        <v>1</v>
      </c>
      <c r="AO247" s="199" t="s">
        <v>1</v>
      </c>
      <c r="AP247" s="198" t="s">
        <v>1</v>
      </c>
      <c r="AQ247" s="198" t="s">
        <v>1</v>
      </c>
      <c r="AR247" s="201" t="s">
        <v>1</v>
      </c>
      <c r="AS247" s="201" t="s">
        <v>1</v>
      </c>
      <c r="AT247" s="199" t="s">
        <v>1</v>
      </c>
      <c r="AU247" s="199" t="s">
        <v>1</v>
      </c>
      <c r="AV247" s="202" t="s">
        <v>1</v>
      </c>
      <c r="AW247" s="199" t="s">
        <v>1</v>
      </c>
    </row>
    <row r="248" spans="1:49" ht="30.15" customHeight="1" x14ac:dyDescent="0.25">
      <c r="A248" s="213" t="s">
        <v>18</v>
      </c>
      <c r="B248" s="188" t="s">
        <v>1</v>
      </c>
      <c r="C248" s="212" t="s">
        <v>34</v>
      </c>
      <c r="D248" s="217" t="s">
        <v>3</v>
      </c>
      <c r="E248" s="217" t="s">
        <v>511</v>
      </c>
      <c r="F248" s="218"/>
      <c r="G248" s="217" t="s">
        <v>504</v>
      </c>
      <c r="H248" s="219" t="s">
        <v>409</v>
      </c>
      <c r="I248" s="220">
        <v>666</v>
      </c>
      <c r="J248" s="220">
        <v>679</v>
      </c>
      <c r="K248" s="220">
        <v>679</v>
      </c>
      <c r="L248" s="220">
        <v>720</v>
      </c>
      <c r="M248" s="220">
        <v>720</v>
      </c>
      <c r="N248" s="221">
        <v>0</v>
      </c>
      <c r="O248" s="195" t="s">
        <v>1</v>
      </c>
      <c r="P248" s="195" t="s">
        <v>1</v>
      </c>
      <c r="Q248" s="195" t="s">
        <v>1</v>
      </c>
      <c r="R248" s="222" t="s">
        <v>1253</v>
      </c>
      <c r="S248" s="221">
        <v>0</v>
      </c>
      <c r="T248" s="195" t="s">
        <v>1</v>
      </c>
      <c r="U248" s="195" t="s">
        <v>1</v>
      </c>
      <c r="V248" s="197" t="s">
        <v>1</v>
      </c>
      <c r="W248" s="216" t="s">
        <v>1253</v>
      </c>
      <c r="X248" s="221">
        <v>0</v>
      </c>
      <c r="Y248" s="195">
        <v>15</v>
      </c>
      <c r="Z248" s="195">
        <v>24</v>
      </c>
      <c r="AA248" s="222" t="s">
        <v>1</v>
      </c>
      <c r="AB248" s="222" t="s">
        <v>1</v>
      </c>
      <c r="AC248" s="221">
        <v>0</v>
      </c>
      <c r="AD248" s="195">
        <v>15</v>
      </c>
      <c r="AE248" s="195">
        <v>24</v>
      </c>
      <c r="AF248" s="222" t="s">
        <v>1</v>
      </c>
      <c r="AG248" s="222" t="s">
        <v>1</v>
      </c>
      <c r="AH248" s="198" t="s">
        <v>1</v>
      </c>
      <c r="AI248" s="209" t="s">
        <v>1</v>
      </c>
      <c r="AJ248" s="209" t="s">
        <v>1</v>
      </c>
      <c r="AK248" s="209" t="s">
        <v>1</v>
      </c>
      <c r="AL248" s="214" t="s">
        <v>1</v>
      </c>
      <c r="AM248" s="200" t="s">
        <v>1</v>
      </c>
      <c r="AN248" s="199" t="s">
        <v>1</v>
      </c>
      <c r="AO248" s="199" t="s">
        <v>1</v>
      </c>
      <c r="AP248" s="198" t="s">
        <v>1</v>
      </c>
      <c r="AQ248" s="198" t="s">
        <v>1</v>
      </c>
      <c r="AR248" s="201" t="s">
        <v>1</v>
      </c>
      <c r="AS248" s="201" t="s">
        <v>1</v>
      </c>
      <c r="AT248" s="199" t="s">
        <v>1</v>
      </c>
      <c r="AU248" s="199" t="s">
        <v>1</v>
      </c>
      <c r="AV248" s="202" t="s">
        <v>1</v>
      </c>
      <c r="AW248" s="199" t="s">
        <v>1</v>
      </c>
    </row>
    <row r="249" spans="1:49" ht="30.15" customHeight="1" x14ac:dyDescent="0.25">
      <c r="A249" s="213" t="s">
        <v>18</v>
      </c>
      <c r="B249" s="188" t="s">
        <v>1</v>
      </c>
      <c r="C249" s="212" t="s">
        <v>34</v>
      </c>
      <c r="D249" s="217" t="s">
        <v>3</v>
      </c>
      <c r="E249" s="217" t="s">
        <v>512</v>
      </c>
      <c r="F249" s="203"/>
      <c r="G249" s="217" t="s">
        <v>504</v>
      </c>
      <c r="H249" s="219" t="s">
        <v>409</v>
      </c>
      <c r="I249" s="220">
        <v>666</v>
      </c>
      <c r="J249" s="220">
        <v>679</v>
      </c>
      <c r="K249" s="220">
        <v>679</v>
      </c>
      <c r="L249" s="220">
        <v>720</v>
      </c>
      <c r="M249" s="220">
        <v>720</v>
      </c>
      <c r="N249" s="221">
        <v>0</v>
      </c>
      <c r="O249" s="195" t="s">
        <v>1</v>
      </c>
      <c r="P249" s="195" t="s">
        <v>1</v>
      </c>
      <c r="Q249" s="195" t="s">
        <v>1</v>
      </c>
      <c r="R249" s="222" t="s">
        <v>1253</v>
      </c>
      <c r="S249" s="221">
        <v>0</v>
      </c>
      <c r="T249" s="195" t="s">
        <v>1</v>
      </c>
      <c r="U249" s="195" t="s">
        <v>1</v>
      </c>
      <c r="V249" s="197" t="s">
        <v>1</v>
      </c>
      <c r="W249" s="216" t="s">
        <v>1253</v>
      </c>
      <c r="X249" s="221">
        <v>0</v>
      </c>
      <c r="Y249" s="195">
        <v>15</v>
      </c>
      <c r="Z249" s="195">
        <v>24</v>
      </c>
      <c r="AA249" s="222" t="s">
        <v>1</v>
      </c>
      <c r="AB249" s="222" t="s">
        <v>1</v>
      </c>
      <c r="AC249" s="221">
        <v>0</v>
      </c>
      <c r="AD249" s="195">
        <v>15</v>
      </c>
      <c r="AE249" s="195">
        <v>24</v>
      </c>
      <c r="AF249" s="222" t="s">
        <v>1</v>
      </c>
      <c r="AG249" s="222" t="s">
        <v>1</v>
      </c>
      <c r="AH249" s="198" t="s">
        <v>1</v>
      </c>
      <c r="AI249" s="209" t="s">
        <v>1</v>
      </c>
      <c r="AJ249" s="209" t="s">
        <v>1</v>
      </c>
      <c r="AK249" s="209" t="s">
        <v>1</v>
      </c>
      <c r="AL249" s="214" t="s">
        <v>1</v>
      </c>
      <c r="AM249" s="200" t="s">
        <v>1</v>
      </c>
      <c r="AN249" s="199" t="s">
        <v>1</v>
      </c>
      <c r="AO249" s="199" t="s">
        <v>1</v>
      </c>
      <c r="AP249" s="198" t="s">
        <v>1</v>
      </c>
      <c r="AQ249" s="198" t="s">
        <v>1</v>
      </c>
      <c r="AR249" s="201" t="s">
        <v>1</v>
      </c>
      <c r="AS249" s="201" t="s">
        <v>1</v>
      </c>
      <c r="AT249" s="199" t="s">
        <v>1</v>
      </c>
      <c r="AU249" s="199" t="s">
        <v>1</v>
      </c>
      <c r="AV249" s="202" t="s">
        <v>1</v>
      </c>
      <c r="AW249" s="199" t="s">
        <v>1</v>
      </c>
    </row>
    <row r="250" spans="1:49" ht="30.15" customHeight="1" x14ac:dyDescent="0.25">
      <c r="A250" s="213" t="s">
        <v>18</v>
      </c>
      <c r="B250" s="188" t="s">
        <v>1</v>
      </c>
      <c r="C250" s="212" t="s">
        <v>34</v>
      </c>
      <c r="D250" s="217" t="s">
        <v>3</v>
      </c>
      <c r="E250" s="217" t="s">
        <v>513</v>
      </c>
      <c r="F250" s="218"/>
      <c r="G250" s="217" t="s">
        <v>506</v>
      </c>
      <c r="H250" s="219" t="s">
        <v>409</v>
      </c>
      <c r="I250" s="220">
        <v>732</v>
      </c>
      <c r="J250" s="220">
        <v>751</v>
      </c>
      <c r="K250" s="220">
        <v>751</v>
      </c>
      <c r="L250" s="220">
        <v>790</v>
      </c>
      <c r="M250" s="220">
        <v>790</v>
      </c>
      <c r="N250" s="221">
        <v>0</v>
      </c>
      <c r="O250" s="195" t="s">
        <v>1</v>
      </c>
      <c r="P250" s="195" t="s">
        <v>1</v>
      </c>
      <c r="Q250" s="195" t="s">
        <v>1</v>
      </c>
      <c r="R250" s="222" t="s">
        <v>1253</v>
      </c>
      <c r="S250" s="221">
        <v>0</v>
      </c>
      <c r="T250" s="195" t="s">
        <v>1</v>
      </c>
      <c r="U250" s="195" t="s">
        <v>1</v>
      </c>
      <c r="V250" s="197" t="s">
        <v>1</v>
      </c>
      <c r="W250" s="216" t="s">
        <v>1253</v>
      </c>
      <c r="X250" s="221">
        <v>0</v>
      </c>
      <c r="Y250" s="195">
        <v>15</v>
      </c>
      <c r="Z250" s="195">
        <v>24</v>
      </c>
      <c r="AA250" s="222" t="s">
        <v>1</v>
      </c>
      <c r="AB250" s="222" t="s">
        <v>1</v>
      </c>
      <c r="AC250" s="221">
        <v>0</v>
      </c>
      <c r="AD250" s="195">
        <v>15</v>
      </c>
      <c r="AE250" s="195">
        <v>24</v>
      </c>
      <c r="AF250" s="222" t="s">
        <v>1</v>
      </c>
      <c r="AG250" s="222" t="s">
        <v>1</v>
      </c>
      <c r="AH250" s="198" t="s">
        <v>1</v>
      </c>
      <c r="AI250" s="209" t="s">
        <v>1</v>
      </c>
      <c r="AJ250" s="209" t="s">
        <v>1</v>
      </c>
      <c r="AK250" s="209" t="s">
        <v>1</v>
      </c>
      <c r="AL250" s="214" t="s">
        <v>1</v>
      </c>
      <c r="AM250" s="200" t="s">
        <v>1</v>
      </c>
      <c r="AN250" s="199" t="s">
        <v>1</v>
      </c>
      <c r="AO250" s="199" t="s">
        <v>1</v>
      </c>
      <c r="AP250" s="198" t="s">
        <v>1</v>
      </c>
      <c r="AQ250" s="198" t="s">
        <v>1</v>
      </c>
      <c r="AR250" s="201" t="s">
        <v>1</v>
      </c>
      <c r="AS250" s="201" t="s">
        <v>1</v>
      </c>
      <c r="AT250" s="199" t="s">
        <v>1</v>
      </c>
      <c r="AU250" s="199" t="s">
        <v>1</v>
      </c>
      <c r="AV250" s="202" t="s">
        <v>1</v>
      </c>
      <c r="AW250" s="199" t="s">
        <v>1</v>
      </c>
    </row>
    <row r="251" spans="1:49" ht="30.15" customHeight="1" x14ac:dyDescent="0.25">
      <c r="A251" s="213" t="s">
        <v>18</v>
      </c>
      <c r="B251" s="188" t="s">
        <v>1</v>
      </c>
      <c r="C251" s="212" t="s">
        <v>34</v>
      </c>
      <c r="D251" s="217" t="s">
        <v>3</v>
      </c>
      <c r="E251" s="217" t="s">
        <v>514</v>
      </c>
      <c r="F251" s="203"/>
      <c r="G251" s="217" t="s">
        <v>506</v>
      </c>
      <c r="H251" s="219" t="s">
        <v>409</v>
      </c>
      <c r="I251" s="220">
        <v>732</v>
      </c>
      <c r="J251" s="220">
        <v>751</v>
      </c>
      <c r="K251" s="220">
        <v>751</v>
      </c>
      <c r="L251" s="220">
        <v>790</v>
      </c>
      <c r="M251" s="220">
        <v>790</v>
      </c>
      <c r="N251" s="221">
        <v>0</v>
      </c>
      <c r="O251" s="195" t="s">
        <v>1</v>
      </c>
      <c r="P251" s="195" t="s">
        <v>1</v>
      </c>
      <c r="Q251" s="195" t="s">
        <v>1</v>
      </c>
      <c r="R251" s="222" t="s">
        <v>1253</v>
      </c>
      <c r="S251" s="221">
        <v>0</v>
      </c>
      <c r="T251" s="195" t="s">
        <v>1</v>
      </c>
      <c r="U251" s="195" t="s">
        <v>1</v>
      </c>
      <c r="V251" s="197" t="s">
        <v>1</v>
      </c>
      <c r="W251" s="216" t="s">
        <v>1253</v>
      </c>
      <c r="X251" s="221">
        <v>0</v>
      </c>
      <c r="Y251" s="195">
        <v>15</v>
      </c>
      <c r="Z251" s="195">
        <v>24</v>
      </c>
      <c r="AA251" s="222" t="s">
        <v>1</v>
      </c>
      <c r="AB251" s="222" t="s">
        <v>1</v>
      </c>
      <c r="AC251" s="221">
        <v>0</v>
      </c>
      <c r="AD251" s="195">
        <v>15</v>
      </c>
      <c r="AE251" s="195">
        <v>24</v>
      </c>
      <c r="AF251" s="222" t="s">
        <v>1</v>
      </c>
      <c r="AG251" s="222" t="s">
        <v>1</v>
      </c>
      <c r="AH251" s="198" t="s">
        <v>1</v>
      </c>
      <c r="AI251" s="209" t="s">
        <v>1</v>
      </c>
      <c r="AJ251" s="209" t="s">
        <v>1</v>
      </c>
      <c r="AK251" s="209" t="s">
        <v>1</v>
      </c>
      <c r="AL251" s="214" t="s">
        <v>1</v>
      </c>
      <c r="AM251" s="200" t="s">
        <v>1</v>
      </c>
      <c r="AN251" s="199" t="s">
        <v>1</v>
      </c>
      <c r="AO251" s="199" t="s">
        <v>1</v>
      </c>
      <c r="AP251" s="198" t="s">
        <v>1</v>
      </c>
      <c r="AQ251" s="198" t="s">
        <v>1</v>
      </c>
      <c r="AR251" s="201" t="s">
        <v>1</v>
      </c>
      <c r="AS251" s="201" t="s">
        <v>1</v>
      </c>
      <c r="AT251" s="199" t="s">
        <v>1</v>
      </c>
      <c r="AU251" s="199" t="s">
        <v>1</v>
      </c>
      <c r="AV251" s="202" t="s">
        <v>1</v>
      </c>
      <c r="AW251" s="199" t="s">
        <v>1</v>
      </c>
    </row>
    <row r="252" spans="1:49" ht="30.15" customHeight="1" x14ac:dyDescent="0.25">
      <c r="A252" s="213" t="s">
        <v>18</v>
      </c>
      <c r="B252" s="188" t="s">
        <v>1</v>
      </c>
      <c r="C252" s="212" t="s">
        <v>34</v>
      </c>
      <c r="D252" s="217" t="s">
        <v>3</v>
      </c>
      <c r="E252" s="217" t="s">
        <v>515</v>
      </c>
      <c r="F252" s="203"/>
      <c r="G252" s="217" t="s">
        <v>506</v>
      </c>
      <c r="H252" s="219" t="s">
        <v>409</v>
      </c>
      <c r="I252" s="220">
        <v>732</v>
      </c>
      <c r="J252" s="220">
        <v>751</v>
      </c>
      <c r="K252" s="220">
        <v>751</v>
      </c>
      <c r="L252" s="220">
        <v>790</v>
      </c>
      <c r="M252" s="220">
        <v>790</v>
      </c>
      <c r="N252" s="221">
        <v>0</v>
      </c>
      <c r="O252" s="195" t="s">
        <v>1</v>
      </c>
      <c r="P252" s="195" t="s">
        <v>1</v>
      </c>
      <c r="Q252" s="195" t="s">
        <v>1</v>
      </c>
      <c r="R252" s="222" t="s">
        <v>1253</v>
      </c>
      <c r="S252" s="221">
        <v>0</v>
      </c>
      <c r="T252" s="195" t="s">
        <v>1</v>
      </c>
      <c r="U252" s="195" t="s">
        <v>1</v>
      </c>
      <c r="V252" s="197" t="s">
        <v>1</v>
      </c>
      <c r="W252" s="216" t="s">
        <v>1253</v>
      </c>
      <c r="X252" s="221">
        <v>0</v>
      </c>
      <c r="Y252" s="195">
        <v>15</v>
      </c>
      <c r="Z252" s="195">
        <v>24</v>
      </c>
      <c r="AA252" s="222" t="s">
        <v>1</v>
      </c>
      <c r="AB252" s="222" t="s">
        <v>1</v>
      </c>
      <c r="AC252" s="221">
        <v>0</v>
      </c>
      <c r="AD252" s="195">
        <v>15</v>
      </c>
      <c r="AE252" s="195">
        <v>24</v>
      </c>
      <c r="AF252" s="222" t="s">
        <v>1</v>
      </c>
      <c r="AG252" s="222" t="s">
        <v>1</v>
      </c>
      <c r="AH252" s="198" t="s">
        <v>1</v>
      </c>
      <c r="AI252" s="209" t="s">
        <v>1</v>
      </c>
      <c r="AJ252" s="209" t="s">
        <v>1</v>
      </c>
      <c r="AK252" s="209" t="s">
        <v>1</v>
      </c>
      <c r="AL252" s="214" t="s">
        <v>1</v>
      </c>
      <c r="AM252" s="200" t="s">
        <v>1</v>
      </c>
      <c r="AN252" s="199" t="s">
        <v>1</v>
      </c>
      <c r="AO252" s="199" t="s">
        <v>1</v>
      </c>
      <c r="AP252" s="198" t="s">
        <v>1</v>
      </c>
      <c r="AQ252" s="198" t="s">
        <v>1</v>
      </c>
      <c r="AR252" s="201" t="s">
        <v>1</v>
      </c>
      <c r="AS252" s="201" t="s">
        <v>1</v>
      </c>
      <c r="AT252" s="199" t="s">
        <v>1</v>
      </c>
      <c r="AU252" s="199" t="s">
        <v>1</v>
      </c>
      <c r="AV252" s="202" t="s">
        <v>1</v>
      </c>
      <c r="AW252" s="199" t="s">
        <v>1</v>
      </c>
    </row>
    <row r="253" spans="1:49" ht="30.15" customHeight="1" x14ac:dyDescent="0.25">
      <c r="A253" s="213" t="s">
        <v>18</v>
      </c>
      <c r="B253" s="188" t="s">
        <v>1</v>
      </c>
      <c r="C253" s="212" t="s">
        <v>34</v>
      </c>
      <c r="D253" s="217" t="s">
        <v>3</v>
      </c>
      <c r="E253" s="217" t="s">
        <v>516</v>
      </c>
      <c r="F253" s="203"/>
      <c r="G253" s="217" t="s">
        <v>506</v>
      </c>
      <c r="H253" s="219" t="s">
        <v>409</v>
      </c>
      <c r="I253" s="220">
        <v>732</v>
      </c>
      <c r="J253" s="220">
        <v>751</v>
      </c>
      <c r="K253" s="220">
        <v>751</v>
      </c>
      <c r="L253" s="220">
        <v>790</v>
      </c>
      <c r="M253" s="220">
        <v>790</v>
      </c>
      <c r="N253" s="221">
        <v>0</v>
      </c>
      <c r="O253" s="195" t="s">
        <v>1</v>
      </c>
      <c r="P253" s="195" t="s">
        <v>1</v>
      </c>
      <c r="Q253" s="195" t="s">
        <v>1</v>
      </c>
      <c r="R253" s="222" t="s">
        <v>1253</v>
      </c>
      <c r="S253" s="221">
        <v>0</v>
      </c>
      <c r="T253" s="195" t="s">
        <v>1</v>
      </c>
      <c r="U253" s="195" t="s">
        <v>1</v>
      </c>
      <c r="V253" s="197" t="s">
        <v>1</v>
      </c>
      <c r="W253" s="216" t="s">
        <v>1253</v>
      </c>
      <c r="X253" s="221">
        <v>0</v>
      </c>
      <c r="Y253" s="195">
        <v>15</v>
      </c>
      <c r="Z253" s="195">
        <v>24</v>
      </c>
      <c r="AA253" s="222" t="s">
        <v>1</v>
      </c>
      <c r="AB253" s="222" t="s">
        <v>1</v>
      </c>
      <c r="AC253" s="221">
        <v>0</v>
      </c>
      <c r="AD253" s="195">
        <v>15</v>
      </c>
      <c r="AE253" s="195">
        <v>24</v>
      </c>
      <c r="AF253" s="222" t="s">
        <v>1</v>
      </c>
      <c r="AG253" s="222" t="s">
        <v>1</v>
      </c>
      <c r="AH253" s="198" t="s">
        <v>1</v>
      </c>
      <c r="AI253" s="209" t="s">
        <v>1</v>
      </c>
      <c r="AJ253" s="209" t="s">
        <v>1</v>
      </c>
      <c r="AK253" s="209" t="s">
        <v>1</v>
      </c>
      <c r="AL253" s="214" t="s">
        <v>1</v>
      </c>
      <c r="AM253" s="200" t="s">
        <v>1</v>
      </c>
      <c r="AN253" s="199" t="s">
        <v>1</v>
      </c>
      <c r="AO253" s="199" t="s">
        <v>1</v>
      </c>
      <c r="AP253" s="198" t="s">
        <v>1</v>
      </c>
      <c r="AQ253" s="198" t="s">
        <v>1</v>
      </c>
      <c r="AR253" s="201" t="s">
        <v>1</v>
      </c>
      <c r="AS253" s="201" t="s">
        <v>1</v>
      </c>
      <c r="AT253" s="199" t="s">
        <v>1</v>
      </c>
      <c r="AU253" s="199" t="s">
        <v>1</v>
      </c>
      <c r="AV253" s="202" t="s">
        <v>1</v>
      </c>
      <c r="AW253" s="199" t="s">
        <v>1</v>
      </c>
    </row>
    <row r="254" spans="1:49" ht="30.15" customHeight="1" x14ac:dyDescent="0.25">
      <c r="A254" s="213" t="s">
        <v>18</v>
      </c>
      <c r="B254" s="188" t="s">
        <v>1</v>
      </c>
      <c r="C254" s="212" t="s">
        <v>34</v>
      </c>
      <c r="D254" s="217" t="s">
        <v>3</v>
      </c>
      <c r="E254" s="217" t="s">
        <v>517</v>
      </c>
      <c r="F254" s="203"/>
      <c r="G254" s="217" t="s">
        <v>506</v>
      </c>
      <c r="H254" s="219" t="s">
        <v>409</v>
      </c>
      <c r="I254" s="220">
        <v>732</v>
      </c>
      <c r="J254" s="220">
        <v>751</v>
      </c>
      <c r="K254" s="220">
        <v>751</v>
      </c>
      <c r="L254" s="220">
        <v>790</v>
      </c>
      <c r="M254" s="220">
        <v>790</v>
      </c>
      <c r="N254" s="221">
        <v>0</v>
      </c>
      <c r="O254" s="195" t="s">
        <v>1</v>
      </c>
      <c r="P254" s="195" t="s">
        <v>1</v>
      </c>
      <c r="Q254" s="195" t="s">
        <v>1</v>
      </c>
      <c r="R254" s="222" t="s">
        <v>1253</v>
      </c>
      <c r="S254" s="221">
        <v>0</v>
      </c>
      <c r="T254" s="195" t="s">
        <v>1</v>
      </c>
      <c r="U254" s="195" t="s">
        <v>1</v>
      </c>
      <c r="V254" s="197" t="s">
        <v>1</v>
      </c>
      <c r="W254" s="216" t="s">
        <v>1253</v>
      </c>
      <c r="X254" s="221">
        <v>0</v>
      </c>
      <c r="Y254" s="195">
        <v>15</v>
      </c>
      <c r="Z254" s="195">
        <v>24</v>
      </c>
      <c r="AA254" s="222" t="s">
        <v>1</v>
      </c>
      <c r="AB254" s="222" t="s">
        <v>1</v>
      </c>
      <c r="AC254" s="221">
        <v>0</v>
      </c>
      <c r="AD254" s="195">
        <v>15</v>
      </c>
      <c r="AE254" s="195">
        <v>24</v>
      </c>
      <c r="AF254" s="222" t="s">
        <v>1</v>
      </c>
      <c r="AG254" s="222" t="s">
        <v>1</v>
      </c>
      <c r="AH254" s="198" t="s">
        <v>1</v>
      </c>
      <c r="AI254" s="209" t="s">
        <v>1</v>
      </c>
      <c r="AJ254" s="209" t="s">
        <v>1</v>
      </c>
      <c r="AK254" s="209" t="s">
        <v>1</v>
      </c>
      <c r="AL254" s="214" t="s">
        <v>1</v>
      </c>
      <c r="AM254" s="200" t="s">
        <v>1</v>
      </c>
      <c r="AN254" s="199" t="s">
        <v>1</v>
      </c>
      <c r="AO254" s="199" t="s">
        <v>1</v>
      </c>
      <c r="AP254" s="198" t="s">
        <v>1</v>
      </c>
      <c r="AQ254" s="198" t="s">
        <v>1</v>
      </c>
      <c r="AR254" s="201" t="s">
        <v>1</v>
      </c>
      <c r="AS254" s="201" t="s">
        <v>1</v>
      </c>
      <c r="AT254" s="199" t="s">
        <v>1</v>
      </c>
      <c r="AU254" s="199" t="s">
        <v>1</v>
      </c>
      <c r="AV254" s="202" t="s">
        <v>1</v>
      </c>
      <c r="AW254" s="199" t="s">
        <v>1</v>
      </c>
    </row>
    <row r="255" spans="1:49" ht="30.15" customHeight="1" x14ac:dyDescent="0.25">
      <c r="A255" s="213" t="s">
        <v>18</v>
      </c>
      <c r="B255" s="188" t="s">
        <v>1</v>
      </c>
      <c r="C255" s="212" t="s">
        <v>34</v>
      </c>
      <c r="D255" s="217" t="s">
        <v>3</v>
      </c>
      <c r="E255" s="217" t="s">
        <v>518</v>
      </c>
      <c r="F255" s="203"/>
      <c r="G255" s="217" t="s">
        <v>506</v>
      </c>
      <c r="H255" s="219" t="s">
        <v>409</v>
      </c>
      <c r="I255" s="220">
        <v>732</v>
      </c>
      <c r="J255" s="220">
        <v>751</v>
      </c>
      <c r="K255" s="220">
        <v>751</v>
      </c>
      <c r="L255" s="220">
        <v>790</v>
      </c>
      <c r="M255" s="220">
        <v>790</v>
      </c>
      <c r="N255" s="221">
        <v>0</v>
      </c>
      <c r="O255" s="195" t="s">
        <v>1</v>
      </c>
      <c r="P255" s="195" t="s">
        <v>1</v>
      </c>
      <c r="Q255" s="195" t="s">
        <v>1</v>
      </c>
      <c r="R255" s="222" t="s">
        <v>1253</v>
      </c>
      <c r="S255" s="221">
        <v>0</v>
      </c>
      <c r="T255" s="195" t="s">
        <v>1</v>
      </c>
      <c r="U255" s="195" t="s">
        <v>1</v>
      </c>
      <c r="V255" s="197" t="s">
        <v>1</v>
      </c>
      <c r="W255" s="216" t="s">
        <v>1253</v>
      </c>
      <c r="X255" s="221">
        <v>0</v>
      </c>
      <c r="Y255" s="195">
        <v>15</v>
      </c>
      <c r="Z255" s="195">
        <v>24</v>
      </c>
      <c r="AA255" s="222" t="s">
        <v>1</v>
      </c>
      <c r="AB255" s="222" t="s">
        <v>1</v>
      </c>
      <c r="AC255" s="221">
        <v>0</v>
      </c>
      <c r="AD255" s="195">
        <v>15</v>
      </c>
      <c r="AE255" s="195">
        <v>24</v>
      </c>
      <c r="AF255" s="222" t="s">
        <v>1</v>
      </c>
      <c r="AG255" s="222" t="s">
        <v>1</v>
      </c>
      <c r="AH255" s="198" t="s">
        <v>1</v>
      </c>
      <c r="AI255" s="209" t="s">
        <v>1</v>
      </c>
      <c r="AJ255" s="209" t="s">
        <v>1</v>
      </c>
      <c r="AK255" s="209" t="s">
        <v>1</v>
      </c>
      <c r="AL255" s="214" t="s">
        <v>1</v>
      </c>
      <c r="AM255" s="200" t="s">
        <v>1</v>
      </c>
      <c r="AN255" s="199" t="s">
        <v>1</v>
      </c>
      <c r="AO255" s="199" t="s">
        <v>1</v>
      </c>
      <c r="AP255" s="198" t="s">
        <v>1</v>
      </c>
      <c r="AQ255" s="198" t="s">
        <v>1</v>
      </c>
      <c r="AR255" s="201" t="s">
        <v>1</v>
      </c>
      <c r="AS255" s="201" t="s">
        <v>1</v>
      </c>
      <c r="AT255" s="199" t="s">
        <v>1</v>
      </c>
      <c r="AU255" s="199" t="s">
        <v>1</v>
      </c>
      <c r="AV255" s="202" t="s">
        <v>1</v>
      </c>
      <c r="AW255" s="199" t="s">
        <v>1</v>
      </c>
    </row>
    <row r="256" spans="1:49" ht="30.15" customHeight="1" x14ac:dyDescent="0.25">
      <c r="A256" s="213" t="s">
        <v>18</v>
      </c>
      <c r="B256" s="188" t="s">
        <v>1</v>
      </c>
      <c r="C256" s="212" t="s">
        <v>34</v>
      </c>
      <c r="D256" s="217" t="s">
        <v>3</v>
      </c>
      <c r="E256" s="217" t="s">
        <v>519</v>
      </c>
      <c r="F256" s="218"/>
      <c r="G256" s="217" t="s">
        <v>505</v>
      </c>
      <c r="H256" s="219" t="s">
        <v>409</v>
      </c>
      <c r="I256" s="220">
        <v>1179</v>
      </c>
      <c r="J256" s="220">
        <v>1179</v>
      </c>
      <c r="K256" s="220">
        <v>1179</v>
      </c>
      <c r="L256" s="220">
        <v>1270</v>
      </c>
      <c r="M256" s="220">
        <v>1270</v>
      </c>
      <c r="N256" s="221">
        <v>0</v>
      </c>
      <c r="O256" s="195" t="s">
        <v>1</v>
      </c>
      <c r="P256" s="195" t="s">
        <v>1</v>
      </c>
      <c r="Q256" s="195" t="s">
        <v>1</v>
      </c>
      <c r="R256" s="222" t="s">
        <v>1255</v>
      </c>
      <c r="S256" s="221">
        <v>0</v>
      </c>
      <c r="T256" s="195" t="s">
        <v>1</v>
      </c>
      <c r="U256" s="195" t="s">
        <v>1</v>
      </c>
      <c r="V256" s="197" t="s">
        <v>1</v>
      </c>
      <c r="W256" s="216" t="s">
        <v>1255</v>
      </c>
      <c r="X256" s="221">
        <v>0</v>
      </c>
      <c r="Y256" s="195">
        <v>15</v>
      </c>
      <c r="Z256" s="195">
        <v>24</v>
      </c>
      <c r="AA256" s="222" t="s">
        <v>1</v>
      </c>
      <c r="AB256" s="222" t="s">
        <v>1</v>
      </c>
      <c r="AC256" s="221">
        <v>0</v>
      </c>
      <c r="AD256" s="195">
        <v>15</v>
      </c>
      <c r="AE256" s="195">
        <v>24</v>
      </c>
      <c r="AF256" s="222" t="s">
        <v>1</v>
      </c>
      <c r="AG256" s="222" t="s">
        <v>1</v>
      </c>
      <c r="AH256" s="198" t="s">
        <v>1</v>
      </c>
      <c r="AI256" s="209" t="s">
        <v>1</v>
      </c>
      <c r="AJ256" s="209" t="s">
        <v>1</v>
      </c>
      <c r="AK256" s="209" t="s">
        <v>1</v>
      </c>
      <c r="AL256" s="214" t="s">
        <v>1</v>
      </c>
      <c r="AM256" s="200" t="s">
        <v>1</v>
      </c>
      <c r="AN256" s="199" t="s">
        <v>1</v>
      </c>
      <c r="AO256" s="199" t="s">
        <v>1</v>
      </c>
      <c r="AP256" s="198" t="s">
        <v>1</v>
      </c>
      <c r="AQ256" s="198" t="s">
        <v>1</v>
      </c>
      <c r="AR256" s="201" t="s">
        <v>1</v>
      </c>
      <c r="AS256" s="201" t="s">
        <v>1</v>
      </c>
      <c r="AT256" s="199" t="s">
        <v>1</v>
      </c>
      <c r="AU256" s="199" t="s">
        <v>1</v>
      </c>
      <c r="AV256" s="202" t="s">
        <v>1</v>
      </c>
      <c r="AW256" s="199" t="s">
        <v>1</v>
      </c>
    </row>
    <row r="257" spans="1:49" ht="30.15" customHeight="1" x14ac:dyDescent="0.25">
      <c r="A257" s="213" t="s">
        <v>18</v>
      </c>
      <c r="B257" s="188" t="s">
        <v>1</v>
      </c>
      <c r="C257" s="212" t="s">
        <v>34</v>
      </c>
      <c r="D257" s="217" t="s">
        <v>3</v>
      </c>
      <c r="E257" s="217" t="s">
        <v>520</v>
      </c>
      <c r="F257" s="203"/>
      <c r="G257" s="217" t="s">
        <v>505</v>
      </c>
      <c r="H257" s="219" t="s">
        <v>409</v>
      </c>
      <c r="I257" s="220">
        <v>1179</v>
      </c>
      <c r="J257" s="220">
        <v>1179</v>
      </c>
      <c r="K257" s="220">
        <v>1179</v>
      </c>
      <c r="L257" s="220">
        <v>1270</v>
      </c>
      <c r="M257" s="220">
        <v>1270</v>
      </c>
      <c r="N257" s="221">
        <v>0</v>
      </c>
      <c r="O257" s="195" t="s">
        <v>1</v>
      </c>
      <c r="P257" s="195" t="s">
        <v>1</v>
      </c>
      <c r="Q257" s="195" t="s">
        <v>1</v>
      </c>
      <c r="R257" s="222" t="s">
        <v>1255</v>
      </c>
      <c r="S257" s="221">
        <v>0</v>
      </c>
      <c r="T257" s="195" t="s">
        <v>1</v>
      </c>
      <c r="U257" s="195" t="s">
        <v>1</v>
      </c>
      <c r="V257" s="197" t="s">
        <v>1</v>
      </c>
      <c r="W257" s="216" t="s">
        <v>1255</v>
      </c>
      <c r="X257" s="221">
        <v>0</v>
      </c>
      <c r="Y257" s="195">
        <v>15</v>
      </c>
      <c r="Z257" s="195">
        <v>24</v>
      </c>
      <c r="AA257" s="222" t="s">
        <v>1</v>
      </c>
      <c r="AB257" s="222" t="s">
        <v>1</v>
      </c>
      <c r="AC257" s="221">
        <v>0</v>
      </c>
      <c r="AD257" s="195">
        <v>15</v>
      </c>
      <c r="AE257" s="195">
        <v>24</v>
      </c>
      <c r="AF257" s="222" t="s">
        <v>1</v>
      </c>
      <c r="AG257" s="222" t="s">
        <v>1</v>
      </c>
      <c r="AH257" s="198" t="s">
        <v>1</v>
      </c>
      <c r="AI257" s="209" t="s">
        <v>1</v>
      </c>
      <c r="AJ257" s="209" t="s">
        <v>1</v>
      </c>
      <c r="AK257" s="209" t="s">
        <v>1</v>
      </c>
      <c r="AL257" s="214" t="s">
        <v>1</v>
      </c>
      <c r="AM257" s="200" t="s">
        <v>1</v>
      </c>
      <c r="AN257" s="199" t="s">
        <v>1</v>
      </c>
      <c r="AO257" s="199" t="s">
        <v>1</v>
      </c>
      <c r="AP257" s="198" t="s">
        <v>1</v>
      </c>
      <c r="AQ257" s="198" t="s">
        <v>1</v>
      </c>
      <c r="AR257" s="201" t="s">
        <v>1</v>
      </c>
      <c r="AS257" s="201" t="s">
        <v>1</v>
      </c>
      <c r="AT257" s="199" t="s">
        <v>1</v>
      </c>
      <c r="AU257" s="199" t="s">
        <v>1</v>
      </c>
      <c r="AV257" s="202" t="s">
        <v>1</v>
      </c>
      <c r="AW257" s="199" t="s">
        <v>1</v>
      </c>
    </row>
    <row r="258" spans="1:49" ht="30.15" customHeight="1" x14ac:dyDescent="0.25">
      <c r="A258" s="213" t="s">
        <v>18</v>
      </c>
      <c r="B258" s="188" t="s">
        <v>1</v>
      </c>
      <c r="C258" s="212" t="s">
        <v>34</v>
      </c>
      <c r="D258" s="217" t="s">
        <v>3</v>
      </c>
      <c r="E258" s="217" t="s">
        <v>521</v>
      </c>
      <c r="F258" s="218"/>
      <c r="G258" s="217" t="s">
        <v>505</v>
      </c>
      <c r="H258" s="219" t="s">
        <v>409</v>
      </c>
      <c r="I258" s="220">
        <v>1179</v>
      </c>
      <c r="J258" s="220">
        <v>1179</v>
      </c>
      <c r="K258" s="220">
        <v>1179</v>
      </c>
      <c r="L258" s="220">
        <v>1270</v>
      </c>
      <c r="M258" s="220">
        <v>1270</v>
      </c>
      <c r="N258" s="221">
        <v>0</v>
      </c>
      <c r="O258" s="195" t="s">
        <v>1</v>
      </c>
      <c r="P258" s="195" t="s">
        <v>1</v>
      </c>
      <c r="Q258" s="195" t="s">
        <v>1</v>
      </c>
      <c r="R258" s="222" t="s">
        <v>1255</v>
      </c>
      <c r="S258" s="221">
        <v>0</v>
      </c>
      <c r="T258" s="195" t="s">
        <v>1</v>
      </c>
      <c r="U258" s="195" t="s">
        <v>1</v>
      </c>
      <c r="V258" s="197" t="s">
        <v>1</v>
      </c>
      <c r="W258" s="216" t="s">
        <v>1255</v>
      </c>
      <c r="X258" s="221">
        <v>0</v>
      </c>
      <c r="Y258" s="195">
        <v>15</v>
      </c>
      <c r="Z258" s="195">
        <v>24</v>
      </c>
      <c r="AA258" s="222" t="s">
        <v>1</v>
      </c>
      <c r="AB258" s="222" t="s">
        <v>1</v>
      </c>
      <c r="AC258" s="221">
        <v>0</v>
      </c>
      <c r="AD258" s="195">
        <v>15</v>
      </c>
      <c r="AE258" s="195">
        <v>24</v>
      </c>
      <c r="AF258" s="222" t="s">
        <v>1</v>
      </c>
      <c r="AG258" s="222" t="s">
        <v>1</v>
      </c>
      <c r="AH258" s="198" t="s">
        <v>1</v>
      </c>
      <c r="AI258" s="209" t="s">
        <v>1</v>
      </c>
      <c r="AJ258" s="209" t="s">
        <v>1</v>
      </c>
      <c r="AK258" s="209" t="s">
        <v>1</v>
      </c>
      <c r="AL258" s="214" t="s">
        <v>1</v>
      </c>
      <c r="AM258" s="200" t="s">
        <v>1</v>
      </c>
      <c r="AN258" s="199" t="s">
        <v>1</v>
      </c>
      <c r="AO258" s="199" t="s">
        <v>1</v>
      </c>
      <c r="AP258" s="198" t="s">
        <v>1</v>
      </c>
      <c r="AQ258" s="198" t="s">
        <v>1</v>
      </c>
      <c r="AR258" s="201" t="s">
        <v>1</v>
      </c>
      <c r="AS258" s="201" t="s">
        <v>1</v>
      </c>
      <c r="AT258" s="199" t="s">
        <v>1</v>
      </c>
      <c r="AU258" s="199" t="s">
        <v>1</v>
      </c>
      <c r="AV258" s="202" t="s">
        <v>1</v>
      </c>
      <c r="AW258" s="199" t="s">
        <v>1</v>
      </c>
    </row>
    <row r="259" spans="1:49" ht="30.15" customHeight="1" x14ac:dyDescent="0.25">
      <c r="A259" s="213" t="s">
        <v>18</v>
      </c>
      <c r="B259" s="188" t="s">
        <v>1</v>
      </c>
      <c r="C259" s="212" t="s">
        <v>34</v>
      </c>
      <c r="D259" s="217" t="s">
        <v>3</v>
      </c>
      <c r="E259" s="217" t="s">
        <v>522</v>
      </c>
      <c r="F259" s="218"/>
      <c r="G259" s="217" t="s">
        <v>505</v>
      </c>
      <c r="H259" s="219" t="s">
        <v>409</v>
      </c>
      <c r="I259" s="220">
        <v>1179</v>
      </c>
      <c r="J259" s="220">
        <v>1179</v>
      </c>
      <c r="K259" s="220">
        <v>1179</v>
      </c>
      <c r="L259" s="220">
        <v>1270</v>
      </c>
      <c r="M259" s="220">
        <v>1270</v>
      </c>
      <c r="N259" s="221">
        <v>0</v>
      </c>
      <c r="O259" s="195" t="s">
        <v>1</v>
      </c>
      <c r="P259" s="195" t="s">
        <v>1</v>
      </c>
      <c r="Q259" s="195" t="s">
        <v>1</v>
      </c>
      <c r="R259" s="222" t="s">
        <v>1255</v>
      </c>
      <c r="S259" s="221">
        <v>0</v>
      </c>
      <c r="T259" s="195" t="s">
        <v>1</v>
      </c>
      <c r="U259" s="195" t="s">
        <v>1</v>
      </c>
      <c r="V259" s="197" t="s">
        <v>1</v>
      </c>
      <c r="W259" s="216" t="s">
        <v>1255</v>
      </c>
      <c r="X259" s="221">
        <v>0</v>
      </c>
      <c r="Y259" s="195">
        <v>15</v>
      </c>
      <c r="Z259" s="195">
        <v>24</v>
      </c>
      <c r="AA259" s="222" t="s">
        <v>1</v>
      </c>
      <c r="AB259" s="222" t="s">
        <v>1</v>
      </c>
      <c r="AC259" s="221">
        <v>0</v>
      </c>
      <c r="AD259" s="195">
        <v>15</v>
      </c>
      <c r="AE259" s="195">
        <v>24</v>
      </c>
      <c r="AF259" s="222" t="s">
        <v>1</v>
      </c>
      <c r="AG259" s="222" t="s">
        <v>1</v>
      </c>
      <c r="AH259" s="198" t="s">
        <v>1</v>
      </c>
      <c r="AI259" s="209" t="s">
        <v>1</v>
      </c>
      <c r="AJ259" s="209" t="s">
        <v>1</v>
      </c>
      <c r="AK259" s="209" t="s">
        <v>1</v>
      </c>
      <c r="AL259" s="214" t="s">
        <v>1</v>
      </c>
      <c r="AM259" s="200" t="s">
        <v>1</v>
      </c>
      <c r="AN259" s="199" t="s">
        <v>1</v>
      </c>
      <c r="AO259" s="199" t="s">
        <v>1</v>
      </c>
      <c r="AP259" s="198" t="s">
        <v>1</v>
      </c>
      <c r="AQ259" s="198" t="s">
        <v>1</v>
      </c>
      <c r="AR259" s="201" t="s">
        <v>1</v>
      </c>
      <c r="AS259" s="201" t="s">
        <v>1</v>
      </c>
      <c r="AT259" s="199" t="s">
        <v>1</v>
      </c>
      <c r="AU259" s="199" t="s">
        <v>1</v>
      </c>
      <c r="AV259" s="202" t="s">
        <v>1</v>
      </c>
      <c r="AW259" s="199" t="s">
        <v>1</v>
      </c>
    </row>
    <row r="260" spans="1:49" ht="30.15" customHeight="1" x14ac:dyDescent="0.25">
      <c r="A260" s="213" t="s">
        <v>18</v>
      </c>
      <c r="B260" s="188" t="s">
        <v>1</v>
      </c>
      <c r="C260" s="212" t="s">
        <v>34</v>
      </c>
      <c r="D260" s="217" t="s">
        <v>3</v>
      </c>
      <c r="E260" s="217" t="s">
        <v>523</v>
      </c>
      <c r="F260" s="218"/>
      <c r="G260" s="217" t="s">
        <v>505</v>
      </c>
      <c r="H260" s="219" t="s">
        <v>409</v>
      </c>
      <c r="I260" s="220">
        <v>1179</v>
      </c>
      <c r="J260" s="220">
        <v>1179</v>
      </c>
      <c r="K260" s="220">
        <v>1179</v>
      </c>
      <c r="L260" s="220">
        <v>1270</v>
      </c>
      <c r="M260" s="220">
        <v>1270</v>
      </c>
      <c r="N260" s="221">
        <v>0</v>
      </c>
      <c r="O260" s="195" t="s">
        <v>1</v>
      </c>
      <c r="P260" s="195" t="s">
        <v>1</v>
      </c>
      <c r="Q260" s="195" t="s">
        <v>1</v>
      </c>
      <c r="R260" s="222" t="s">
        <v>1255</v>
      </c>
      <c r="S260" s="221">
        <v>0</v>
      </c>
      <c r="T260" s="195" t="s">
        <v>1</v>
      </c>
      <c r="U260" s="195" t="s">
        <v>1</v>
      </c>
      <c r="V260" s="197" t="s">
        <v>1</v>
      </c>
      <c r="W260" s="216" t="s">
        <v>1255</v>
      </c>
      <c r="X260" s="221">
        <v>0</v>
      </c>
      <c r="Y260" s="195">
        <v>15</v>
      </c>
      <c r="Z260" s="195">
        <v>24</v>
      </c>
      <c r="AA260" s="222" t="s">
        <v>1</v>
      </c>
      <c r="AB260" s="222" t="s">
        <v>1</v>
      </c>
      <c r="AC260" s="221">
        <v>0</v>
      </c>
      <c r="AD260" s="195">
        <v>15</v>
      </c>
      <c r="AE260" s="195">
        <v>24</v>
      </c>
      <c r="AF260" s="222" t="s">
        <v>1</v>
      </c>
      <c r="AG260" s="222" t="s">
        <v>1</v>
      </c>
      <c r="AH260" s="198" t="s">
        <v>1</v>
      </c>
      <c r="AI260" s="209" t="s">
        <v>1</v>
      </c>
      <c r="AJ260" s="209" t="s">
        <v>1</v>
      </c>
      <c r="AK260" s="209" t="s">
        <v>1</v>
      </c>
      <c r="AL260" s="214" t="s">
        <v>1</v>
      </c>
      <c r="AM260" s="200" t="s">
        <v>1</v>
      </c>
      <c r="AN260" s="199" t="s">
        <v>1</v>
      </c>
      <c r="AO260" s="199" t="s">
        <v>1</v>
      </c>
      <c r="AP260" s="198" t="s">
        <v>1</v>
      </c>
      <c r="AQ260" s="198" t="s">
        <v>1</v>
      </c>
      <c r="AR260" s="201" t="s">
        <v>1</v>
      </c>
      <c r="AS260" s="201" t="s">
        <v>1</v>
      </c>
      <c r="AT260" s="199" t="s">
        <v>1</v>
      </c>
      <c r="AU260" s="199" t="s">
        <v>1</v>
      </c>
      <c r="AV260" s="202" t="s">
        <v>1</v>
      </c>
      <c r="AW260" s="199" t="s">
        <v>1</v>
      </c>
    </row>
    <row r="261" spans="1:49" ht="30.15" customHeight="1" x14ac:dyDescent="0.25">
      <c r="A261" s="213" t="s">
        <v>18</v>
      </c>
      <c r="B261" s="188" t="s">
        <v>1</v>
      </c>
      <c r="C261" s="212" t="s">
        <v>34</v>
      </c>
      <c r="D261" s="217" t="s">
        <v>3</v>
      </c>
      <c r="E261" s="217" t="s">
        <v>524</v>
      </c>
      <c r="F261" s="203"/>
      <c r="G261" s="217" t="s">
        <v>505</v>
      </c>
      <c r="H261" s="219" t="s">
        <v>409</v>
      </c>
      <c r="I261" s="220">
        <v>1179</v>
      </c>
      <c r="J261" s="220">
        <v>1179</v>
      </c>
      <c r="K261" s="220">
        <v>1179</v>
      </c>
      <c r="L261" s="220">
        <v>1270</v>
      </c>
      <c r="M261" s="220">
        <v>1270</v>
      </c>
      <c r="N261" s="221">
        <v>0</v>
      </c>
      <c r="O261" s="195" t="s">
        <v>1</v>
      </c>
      <c r="P261" s="195" t="s">
        <v>1</v>
      </c>
      <c r="Q261" s="195" t="s">
        <v>1</v>
      </c>
      <c r="R261" s="222" t="s">
        <v>1255</v>
      </c>
      <c r="S261" s="221">
        <v>0</v>
      </c>
      <c r="T261" s="195" t="s">
        <v>1</v>
      </c>
      <c r="U261" s="195" t="s">
        <v>1</v>
      </c>
      <c r="V261" s="197" t="s">
        <v>1</v>
      </c>
      <c r="W261" s="216" t="s">
        <v>1255</v>
      </c>
      <c r="X261" s="221">
        <v>0</v>
      </c>
      <c r="Y261" s="195">
        <v>15</v>
      </c>
      <c r="Z261" s="195">
        <v>24</v>
      </c>
      <c r="AA261" s="222" t="s">
        <v>1</v>
      </c>
      <c r="AB261" s="222" t="s">
        <v>1</v>
      </c>
      <c r="AC261" s="221">
        <v>0</v>
      </c>
      <c r="AD261" s="195">
        <v>15</v>
      </c>
      <c r="AE261" s="195">
        <v>24</v>
      </c>
      <c r="AF261" s="222" t="s">
        <v>1</v>
      </c>
      <c r="AG261" s="222" t="s">
        <v>1</v>
      </c>
      <c r="AH261" s="198" t="s">
        <v>1</v>
      </c>
      <c r="AI261" s="209" t="s">
        <v>1</v>
      </c>
      <c r="AJ261" s="209" t="s">
        <v>1</v>
      </c>
      <c r="AK261" s="209" t="s">
        <v>1</v>
      </c>
      <c r="AL261" s="214" t="s">
        <v>1</v>
      </c>
      <c r="AM261" s="200" t="s">
        <v>1</v>
      </c>
      <c r="AN261" s="199" t="s">
        <v>1</v>
      </c>
      <c r="AO261" s="199" t="s">
        <v>1</v>
      </c>
      <c r="AP261" s="198" t="s">
        <v>1</v>
      </c>
      <c r="AQ261" s="198" t="s">
        <v>1</v>
      </c>
      <c r="AR261" s="201" t="s">
        <v>1</v>
      </c>
      <c r="AS261" s="201" t="s">
        <v>1</v>
      </c>
      <c r="AT261" s="199" t="s">
        <v>1</v>
      </c>
      <c r="AU261" s="199" t="s">
        <v>1</v>
      </c>
      <c r="AV261" s="202" t="s">
        <v>1</v>
      </c>
      <c r="AW261" s="199" t="s">
        <v>1</v>
      </c>
    </row>
    <row r="262" spans="1:49" ht="30.15" customHeight="1" x14ac:dyDescent="0.25">
      <c r="A262" s="213" t="s">
        <v>18</v>
      </c>
      <c r="B262" s="188" t="s">
        <v>1</v>
      </c>
      <c r="C262" s="212" t="s">
        <v>34</v>
      </c>
      <c r="D262" s="217" t="s">
        <v>3</v>
      </c>
      <c r="E262" s="217" t="s">
        <v>1078</v>
      </c>
      <c r="F262" s="218"/>
      <c r="G262" s="217" t="s">
        <v>1090</v>
      </c>
      <c r="H262" s="219" t="s">
        <v>409</v>
      </c>
      <c r="I262" s="220">
        <v>666</v>
      </c>
      <c r="J262" s="220">
        <v>679</v>
      </c>
      <c r="K262" s="220">
        <v>679</v>
      </c>
      <c r="L262" s="220">
        <v>720</v>
      </c>
      <c r="M262" s="223">
        <v>720</v>
      </c>
      <c r="N262" s="224">
        <v>0</v>
      </c>
      <c r="O262" s="195" t="s">
        <v>1</v>
      </c>
      <c r="P262" s="195" t="s">
        <v>1</v>
      </c>
      <c r="Q262" s="195" t="s">
        <v>1</v>
      </c>
      <c r="R262" s="196" t="s">
        <v>1253</v>
      </c>
      <c r="S262" s="225">
        <v>0</v>
      </c>
      <c r="T262" s="195" t="s">
        <v>1</v>
      </c>
      <c r="U262" s="195" t="s">
        <v>1</v>
      </c>
      <c r="V262" s="197" t="s">
        <v>1</v>
      </c>
      <c r="W262" s="196" t="s">
        <v>1253</v>
      </c>
      <c r="X262" s="224">
        <v>0</v>
      </c>
      <c r="Y262" s="195">
        <v>15</v>
      </c>
      <c r="Z262" s="195">
        <v>24</v>
      </c>
      <c r="AA262" s="196" t="s">
        <v>1</v>
      </c>
      <c r="AB262" s="196" t="s">
        <v>1</v>
      </c>
      <c r="AC262" s="225">
        <v>0</v>
      </c>
      <c r="AD262" s="195">
        <v>15</v>
      </c>
      <c r="AE262" s="195">
        <v>24</v>
      </c>
      <c r="AF262" s="222" t="s">
        <v>1</v>
      </c>
      <c r="AG262" s="222" t="s">
        <v>1</v>
      </c>
      <c r="AH262" s="198" t="s">
        <v>1</v>
      </c>
      <c r="AI262" s="209" t="s">
        <v>1</v>
      </c>
      <c r="AJ262" s="209" t="s">
        <v>1</v>
      </c>
      <c r="AK262" s="209" t="s">
        <v>1</v>
      </c>
      <c r="AL262" s="214" t="s">
        <v>1</v>
      </c>
      <c r="AM262" s="200" t="s">
        <v>1</v>
      </c>
      <c r="AN262" s="199" t="s">
        <v>1</v>
      </c>
      <c r="AO262" s="199" t="s">
        <v>1</v>
      </c>
      <c r="AP262" s="198" t="s">
        <v>1</v>
      </c>
      <c r="AQ262" s="198" t="s">
        <v>1</v>
      </c>
      <c r="AR262" s="201" t="s">
        <v>1</v>
      </c>
      <c r="AS262" s="201" t="s">
        <v>1</v>
      </c>
      <c r="AT262" s="199" t="s">
        <v>1</v>
      </c>
      <c r="AU262" s="199" t="s">
        <v>1</v>
      </c>
      <c r="AV262" s="202" t="s">
        <v>1</v>
      </c>
      <c r="AW262" s="199" t="s">
        <v>1</v>
      </c>
    </row>
    <row r="263" spans="1:49" ht="30.15" customHeight="1" x14ac:dyDescent="0.25">
      <c r="A263" s="213" t="s">
        <v>18</v>
      </c>
      <c r="B263" s="188" t="s">
        <v>1</v>
      </c>
      <c r="C263" s="212" t="s">
        <v>34</v>
      </c>
      <c r="D263" s="217" t="s">
        <v>3</v>
      </c>
      <c r="E263" s="217" t="s">
        <v>1079</v>
      </c>
      <c r="F263" s="203"/>
      <c r="G263" s="217" t="s">
        <v>1090</v>
      </c>
      <c r="H263" s="219" t="s">
        <v>414</v>
      </c>
      <c r="I263" s="220">
        <v>666</v>
      </c>
      <c r="J263" s="220">
        <v>679</v>
      </c>
      <c r="K263" s="220">
        <v>679</v>
      </c>
      <c r="L263" s="220">
        <v>720</v>
      </c>
      <c r="M263" s="223">
        <v>720</v>
      </c>
      <c r="N263" s="224">
        <v>0</v>
      </c>
      <c r="O263" s="195" t="s">
        <v>1</v>
      </c>
      <c r="P263" s="195" t="s">
        <v>1</v>
      </c>
      <c r="Q263" s="195" t="s">
        <v>1</v>
      </c>
      <c r="R263" s="196" t="s">
        <v>1253</v>
      </c>
      <c r="S263" s="225">
        <v>0</v>
      </c>
      <c r="T263" s="195" t="s">
        <v>1</v>
      </c>
      <c r="U263" s="195" t="s">
        <v>1</v>
      </c>
      <c r="V263" s="197" t="s">
        <v>1</v>
      </c>
      <c r="W263" s="196" t="s">
        <v>1253</v>
      </c>
      <c r="X263" s="224">
        <v>0</v>
      </c>
      <c r="Y263" s="195">
        <v>15</v>
      </c>
      <c r="Z263" s="195">
        <v>24</v>
      </c>
      <c r="AA263" s="196" t="s">
        <v>1</v>
      </c>
      <c r="AB263" s="196" t="s">
        <v>1</v>
      </c>
      <c r="AC263" s="225">
        <v>0</v>
      </c>
      <c r="AD263" s="195">
        <v>15</v>
      </c>
      <c r="AE263" s="195">
        <v>24</v>
      </c>
      <c r="AF263" s="222" t="s">
        <v>1</v>
      </c>
      <c r="AG263" s="222" t="s">
        <v>1</v>
      </c>
      <c r="AH263" s="198" t="s">
        <v>1</v>
      </c>
      <c r="AI263" s="209" t="s">
        <v>1</v>
      </c>
      <c r="AJ263" s="209" t="s">
        <v>1</v>
      </c>
      <c r="AK263" s="209" t="s">
        <v>1</v>
      </c>
      <c r="AL263" s="214" t="s">
        <v>1</v>
      </c>
      <c r="AM263" s="200" t="s">
        <v>1</v>
      </c>
      <c r="AN263" s="199" t="s">
        <v>1</v>
      </c>
      <c r="AO263" s="199" t="s">
        <v>1</v>
      </c>
      <c r="AP263" s="198" t="s">
        <v>1</v>
      </c>
      <c r="AQ263" s="198" t="s">
        <v>1</v>
      </c>
      <c r="AR263" s="201" t="s">
        <v>1</v>
      </c>
      <c r="AS263" s="201" t="s">
        <v>1</v>
      </c>
      <c r="AT263" s="199" t="s">
        <v>1</v>
      </c>
      <c r="AU263" s="199" t="s">
        <v>1</v>
      </c>
      <c r="AV263" s="202" t="s">
        <v>1</v>
      </c>
      <c r="AW263" s="199" t="s">
        <v>1</v>
      </c>
    </row>
    <row r="264" spans="1:49" ht="30.15" customHeight="1" x14ac:dyDescent="0.25">
      <c r="A264" s="213" t="s">
        <v>18</v>
      </c>
      <c r="B264" s="188" t="s">
        <v>1</v>
      </c>
      <c r="C264" s="212" t="s">
        <v>34</v>
      </c>
      <c r="D264" s="217" t="s">
        <v>3</v>
      </c>
      <c r="E264" s="217" t="s">
        <v>1080</v>
      </c>
      <c r="F264" s="203"/>
      <c r="G264" s="217" t="s">
        <v>1090</v>
      </c>
      <c r="H264" s="219" t="s">
        <v>414</v>
      </c>
      <c r="I264" s="220">
        <v>666</v>
      </c>
      <c r="J264" s="220">
        <v>679</v>
      </c>
      <c r="K264" s="220">
        <v>679</v>
      </c>
      <c r="L264" s="220">
        <v>720</v>
      </c>
      <c r="M264" s="223">
        <v>720</v>
      </c>
      <c r="N264" s="224">
        <v>0</v>
      </c>
      <c r="O264" s="195" t="s">
        <v>1</v>
      </c>
      <c r="P264" s="195" t="s">
        <v>1</v>
      </c>
      <c r="Q264" s="195" t="s">
        <v>1</v>
      </c>
      <c r="R264" s="196" t="s">
        <v>1253</v>
      </c>
      <c r="S264" s="225">
        <v>0</v>
      </c>
      <c r="T264" s="195" t="s">
        <v>1</v>
      </c>
      <c r="U264" s="195" t="s">
        <v>1</v>
      </c>
      <c r="V264" s="197" t="s">
        <v>1</v>
      </c>
      <c r="W264" s="196" t="s">
        <v>1253</v>
      </c>
      <c r="X264" s="224">
        <v>0</v>
      </c>
      <c r="Y264" s="195">
        <v>15</v>
      </c>
      <c r="Z264" s="195">
        <v>24</v>
      </c>
      <c r="AA264" s="196" t="s">
        <v>1</v>
      </c>
      <c r="AB264" s="196" t="s">
        <v>1</v>
      </c>
      <c r="AC264" s="225">
        <v>0</v>
      </c>
      <c r="AD264" s="195">
        <v>15</v>
      </c>
      <c r="AE264" s="195">
        <v>24</v>
      </c>
      <c r="AF264" s="222" t="s">
        <v>1</v>
      </c>
      <c r="AG264" s="222" t="s">
        <v>1</v>
      </c>
      <c r="AH264" s="198" t="s">
        <v>1</v>
      </c>
      <c r="AI264" s="209" t="s">
        <v>1</v>
      </c>
      <c r="AJ264" s="209" t="s">
        <v>1</v>
      </c>
      <c r="AK264" s="209" t="s">
        <v>1</v>
      </c>
      <c r="AL264" s="214" t="s">
        <v>1</v>
      </c>
      <c r="AM264" s="200" t="s">
        <v>1</v>
      </c>
      <c r="AN264" s="199" t="s">
        <v>1</v>
      </c>
      <c r="AO264" s="199" t="s">
        <v>1</v>
      </c>
      <c r="AP264" s="198" t="s">
        <v>1</v>
      </c>
      <c r="AQ264" s="198" t="s">
        <v>1</v>
      </c>
      <c r="AR264" s="201" t="s">
        <v>1</v>
      </c>
      <c r="AS264" s="201" t="s">
        <v>1</v>
      </c>
      <c r="AT264" s="199" t="s">
        <v>1</v>
      </c>
      <c r="AU264" s="199" t="s">
        <v>1</v>
      </c>
      <c r="AV264" s="202" t="s">
        <v>1</v>
      </c>
      <c r="AW264" s="199" t="s">
        <v>1</v>
      </c>
    </row>
    <row r="265" spans="1:49" ht="30.15" customHeight="1" x14ac:dyDescent="0.25">
      <c r="A265" s="213" t="s">
        <v>18</v>
      </c>
      <c r="B265" s="188" t="s">
        <v>1</v>
      </c>
      <c r="C265" s="212" t="s">
        <v>34</v>
      </c>
      <c r="D265" s="217" t="s">
        <v>3</v>
      </c>
      <c r="E265" s="217" t="s">
        <v>1081</v>
      </c>
      <c r="F265" s="203"/>
      <c r="G265" s="217" t="s">
        <v>1090</v>
      </c>
      <c r="H265" s="219" t="s">
        <v>414</v>
      </c>
      <c r="I265" s="220">
        <v>666</v>
      </c>
      <c r="J265" s="220">
        <v>679</v>
      </c>
      <c r="K265" s="220">
        <v>679</v>
      </c>
      <c r="L265" s="220">
        <v>720</v>
      </c>
      <c r="M265" s="223">
        <v>720</v>
      </c>
      <c r="N265" s="224">
        <v>0</v>
      </c>
      <c r="O265" s="195" t="s">
        <v>1</v>
      </c>
      <c r="P265" s="195" t="s">
        <v>1</v>
      </c>
      <c r="Q265" s="195" t="s">
        <v>1</v>
      </c>
      <c r="R265" s="196" t="s">
        <v>1253</v>
      </c>
      <c r="S265" s="225">
        <v>0</v>
      </c>
      <c r="T265" s="195" t="s">
        <v>1</v>
      </c>
      <c r="U265" s="195" t="s">
        <v>1</v>
      </c>
      <c r="V265" s="197" t="s">
        <v>1</v>
      </c>
      <c r="W265" s="196" t="s">
        <v>1253</v>
      </c>
      <c r="X265" s="224">
        <v>0</v>
      </c>
      <c r="Y265" s="195">
        <v>15</v>
      </c>
      <c r="Z265" s="195">
        <v>24</v>
      </c>
      <c r="AA265" s="196" t="s">
        <v>1</v>
      </c>
      <c r="AB265" s="196" t="s">
        <v>1</v>
      </c>
      <c r="AC265" s="225">
        <v>0</v>
      </c>
      <c r="AD265" s="195">
        <v>15</v>
      </c>
      <c r="AE265" s="195">
        <v>24</v>
      </c>
      <c r="AF265" s="222" t="s">
        <v>1</v>
      </c>
      <c r="AG265" s="222" t="s">
        <v>1</v>
      </c>
      <c r="AH265" s="198" t="s">
        <v>1</v>
      </c>
      <c r="AI265" s="209" t="s">
        <v>1</v>
      </c>
      <c r="AJ265" s="209" t="s">
        <v>1</v>
      </c>
      <c r="AK265" s="209" t="s">
        <v>1</v>
      </c>
      <c r="AL265" s="214" t="s">
        <v>1</v>
      </c>
      <c r="AM265" s="200" t="s">
        <v>1</v>
      </c>
      <c r="AN265" s="199" t="s">
        <v>1</v>
      </c>
      <c r="AO265" s="199" t="s">
        <v>1</v>
      </c>
      <c r="AP265" s="198" t="s">
        <v>1</v>
      </c>
      <c r="AQ265" s="198" t="s">
        <v>1</v>
      </c>
      <c r="AR265" s="201" t="s">
        <v>1</v>
      </c>
      <c r="AS265" s="201" t="s">
        <v>1</v>
      </c>
      <c r="AT265" s="199" t="s">
        <v>1</v>
      </c>
      <c r="AU265" s="199" t="s">
        <v>1</v>
      </c>
      <c r="AV265" s="202" t="s">
        <v>1</v>
      </c>
      <c r="AW265" s="199" t="s">
        <v>1</v>
      </c>
    </row>
    <row r="266" spans="1:49" ht="30.15" customHeight="1" x14ac:dyDescent="0.25">
      <c r="A266" s="213" t="s">
        <v>18</v>
      </c>
      <c r="B266" s="188" t="s">
        <v>1</v>
      </c>
      <c r="C266" s="212" t="s">
        <v>34</v>
      </c>
      <c r="D266" s="217" t="s">
        <v>3</v>
      </c>
      <c r="E266" s="217" t="s">
        <v>1082</v>
      </c>
      <c r="F266" s="203"/>
      <c r="G266" s="217" t="s">
        <v>1090</v>
      </c>
      <c r="H266" s="219" t="s">
        <v>414</v>
      </c>
      <c r="I266" s="220">
        <v>666</v>
      </c>
      <c r="J266" s="220">
        <v>679</v>
      </c>
      <c r="K266" s="220">
        <v>679</v>
      </c>
      <c r="L266" s="220">
        <v>720</v>
      </c>
      <c r="M266" s="223">
        <v>720</v>
      </c>
      <c r="N266" s="224">
        <v>0</v>
      </c>
      <c r="O266" s="195" t="s">
        <v>1</v>
      </c>
      <c r="P266" s="195" t="s">
        <v>1</v>
      </c>
      <c r="Q266" s="195" t="s">
        <v>1</v>
      </c>
      <c r="R266" s="196" t="s">
        <v>1253</v>
      </c>
      <c r="S266" s="225">
        <v>0</v>
      </c>
      <c r="T266" s="195" t="s">
        <v>1</v>
      </c>
      <c r="U266" s="195" t="s">
        <v>1</v>
      </c>
      <c r="V266" s="197" t="s">
        <v>1</v>
      </c>
      <c r="W266" s="196" t="s">
        <v>1253</v>
      </c>
      <c r="X266" s="224">
        <v>0</v>
      </c>
      <c r="Y266" s="195">
        <v>15</v>
      </c>
      <c r="Z266" s="195">
        <v>24</v>
      </c>
      <c r="AA266" s="196" t="s">
        <v>1</v>
      </c>
      <c r="AB266" s="196" t="s">
        <v>1</v>
      </c>
      <c r="AC266" s="225">
        <v>0</v>
      </c>
      <c r="AD266" s="195">
        <v>15</v>
      </c>
      <c r="AE266" s="195">
        <v>24</v>
      </c>
      <c r="AF266" s="222" t="s">
        <v>1</v>
      </c>
      <c r="AG266" s="222" t="s">
        <v>1</v>
      </c>
      <c r="AH266" s="198" t="s">
        <v>1</v>
      </c>
      <c r="AI266" s="209" t="s">
        <v>1</v>
      </c>
      <c r="AJ266" s="209" t="s">
        <v>1</v>
      </c>
      <c r="AK266" s="209" t="s">
        <v>1</v>
      </c>
      <c r="AL266" s="214" t="s">
        <v>1</v>
      </c>
      <c r="AM266" s="200" t="s">
        <v>1</v>
      </c>
      <c r="AN266" s="199" t="s">
        <v>1</v>
      </c>
      <c r="AO266" s="199" t="s">
        <v>1</v>
      </c>
      <c r="AP266" s="198" t="s">
        <v>1</v>
      </c>
      <c r="AQ266" s="198" t="s">
        <v>1</v>
      </c>
      <c r="AR266" s="201" t="s">
        <v>1</v>
      </c>
      <c r="AS266" s="201" t="s">
        <v>1</v>
      </c>
      <c r="AT266" s="199" t="s">
        <v>1</v>
      </c>
      <c r="AU266" s="199" t="s">
        <v>1</v>
      </c>
      <c r="AV266" s="202" t="s">
        <v>1</v>
      </c>
      <c r="AW266" s="199" t="s">
        <v>1</v>
      </c>
    </row>
    <row r="267" spans="1:49" ht="30.15" customHeight="1" x14ac:dyDescent="0.25">
      <c r="A267" s="213" t="s">
        <v>18</v>
      </c>
      <c r="B267" s="188" t="s">
        <v>1</v>
      </c>
      <c r="C267" s="212" t="s">
        <v>34</v>
      </c>
      <c r="D267" s="217" t="s">
        <v>3</v>
      </c>
      <c r="E267" s="217" t="s">
        <v>1083</v>
      </c>
      <c r="F267" s="203"/>
      <c r="G267" s="217" t="s">
        <v>1090</v>
      </c>
      <c r="H267" s="219" t="s">
        <v>414</v>
      </c>
      <c r="I267" s="220">
        <v>666</v>
      </c>
      <c r="J267" s="220">
        <v>679</v>
      </c>
      <c r="K267" s="220">
        <v>679</v>
      </c>
      <c r="L267" s="220">
        <v>720</v>
      </c>
      <c r="M267" s="223">
        <v>720</v>
      </c>
      <c r="N267" s="224">
        <v>0</v>
      </c>
      <c r="O267" s="195" t="s">
        <v>1</v>
      </c>
      <c r="P267" s="195" t="s">
        <v>1</v>
      </c>
      <c r="Q267" s="195" t="s">
        <v>1</v>
      </c>
      <c r="R267" s="196" t="s">
        <v>1253</v>
      </c>
      <c r="S267" s="225">
        <v>0</v>
      </c>
      <c r="T267" s="195" t="s">
        <v>1</v>
      </c>
      <c r="U267" s="195" t="s">
        <v>1</v>
      </c>
      <c r="V267" s="197" t="s">
        <v>1</v>
      </c>
      <c r="W267" s="196" t="s">
        <v>1253</v>
      </c>
      <c r="X267" s="224">
        <v>0</v>
      </c>
      <c r="Y267" s="195">
        <v>15</v>
      </c>
      <c r="Z267" s="195">
        <v>24</v>
      </c>
      <c r="AA267" s="196" t="s">
        <v>1</v>
      </c>
      <c r="AB267" s="196" t="s">
        <v>1</v>
      </c>
      <c r="AC267" s="225">
        <v>0</v>
      </c>
      <c r="AD267" s="195">
        <v>15</v>
      </c>
      <c r="AE267" s="195">
        <v>24</v>
      </c>
      <c r="AF267" s="222" t="s">
        <v>1</v>
      </c>
      <c r="AG267" s="222" t="s">
        <v>1</v>
      </c>
      <c r="AH267" s="198" t="s">
        <v>1</v>
      </c>
      <c r="AI267" s="209" t="s">
        <v>1</v>
      </c>
      <c r="AJ267" s="209" t="s">
        <v>1</v>
      </c>
      <c r="AK267" s="209" t="s">
        <v>1</v>
      </c>
      <c r="AL267" s="214" t="s">
        <v>1</v>
      </c>
      <c r="AM267" s="200" t="s">
        <v>1</v>
      </c>
      <c r="AN267" s="199" t="s">
        <v>1</v>
      </c>
      <c r="AO267" s="199" t="s">
        <v>1</v>
      </c>
      <c r="AP267" s="198" t="s">
        <v>1</v>
      </c>
      <c r="AQ267" s="198" t="s">
        <v>1</v>
      </c>
      <c r="AR267" s="201" t="s">
        <v>1</v>
      </c>
      <c r="AS267" s="201" t="s">
        <v>1</v>
      </c>
      <c r="AT267" s="199" t="s">
        <v>1</v>
      </c>
      <c r="AU267" s="199" t="s">
        <v>1</v>
      </c>
      <c r="AV267" s="202" t="s">
        <v>1</v>
      </c>
      <c r="AW267" s="199" t="s">
        <v>1</v>
      </c>
    </row>
    <row r="268" spans="1:49" ht="30.15" customHeight="1" x14ac:dyDescent="0.25">
      <c r="A268" s="213" t="s">
        <v>18</v>
      </c>
      <c r="B268" s="188" t="s">
        <v>1</v>
      </c>
      <c r="C268" s="212" t="s">
        <v>34</v>
      </c>
      <c r="D268" s="217" t="s">
        <v>3</v>
      </c>
      <c r="E268" s="217" t="s">
        <v>1084</v>
      </c>
      <c r="F268" s="203"/>
      <c r="G268" s="217" t="s">
        <v>1091</v>
      </c>
      <c r="H268" s="219" t="s">
        <v>414</v>
      </c>
      <c r="I268" s="220">
        <v>732</v>
      </c>
      <c r="J268" s="220">
        <v>751</v>
      </c>
      <c r="K268" s="220">
        <v>751</v>
      </c>
      <c r="L268" s="220">
        <v>790</v>
      </c>
      <c r="M268" s="223">
        <v>790</v>
      </c>
      <c r="N268" s="224">
        <v>0</v>
      </c>
      <c r="O268" s="195" t="s">
        <v>1</v>
      </c>
      <c r="P268" s="195" t="s">
        <v>1</v>
      </c>
      <c r="Q268" s="195" t="s">
        <v>1</v>
      </c>
      <c r="R268" s="196" t="s">
        <v>1253</v>
      </c>
      <c r="S268" s="225">
        <v>0</v>
      </c>
      <c r="T268" s="195" t="s">
        <v>1</v>
      </c>
      <c r="U268" s="195" t="s">
        <v>1</v>
      </c>
      <c r="V268" s="197" t="s">
        <v>1</v>
      </c>
      <c r="W268" s="196" t="s">
        <v>1253</v>
      </c>
      <c r="X268" s="224">
        <v>0</v>
      </c>
      <c r="Y268" s="195">
        <v>15</v>
      </c>
      <c r="Z268" s="195">
        <v>24</v>
      </c>
      <c r="AA268" s="196" t="s">
        <v>1</v>
      </c>
      <c r="AB268" s="196" t="s">
        <v>1</v>
      </c>
      <c r="AC268" s="225">
        <v>0</v>
      </c>
      <c r="AD268" s="195">
        <v>15</v>
      </c>
      <c r="AE268" s="195">
        <v>24</v>
      </c>
      <c r="AF268" s="222" t="s">
        <v>1</v>
      </c>
      <c r="AG268" s="222" t="s">
        <v>1</v>
      </c>
      <c r="AH268" s="198" t="s">
        <v>1</v>
      </c>
      <c r="AI268" s="209" t="s">
        <v>1</v>
      </c>
      <c r="AJ268" s="209" t="s">
        <v>1</v>
      </c>
      <c r="AK268" s="209" t="s">
        <v>1</v>
      </c>
      <c r="AL268" s="214" t="s">
        <v>1</v>
      </c>
      <c r="AM268" s="200" t="s">
        <v>1</v>
      </c>
      <c r="AN268" s="199" t="s">
        <v>1</v>
      </c>
      <c r="AO268" s="199" t="s">
        <v>1</v>
      </c>
      <c r="AP268" s="198" t="s">
        <v>1</v>
      </c>
      <c r="AQ268" s="198" t="s">
        <v>1</v>
      </c>
      <c r="AR268" s="201" t="s">
        <v>1</v>
      </c>
      <c r="AS268" s="201" t="s">
        <v>1</v>
      </c>
      <c r="AT268" s="199" t="s">
        <v>1</v>
      </c>
      <c r="AU268" s="199" t="s">
        <v>1</v>
      </c>
      <c r="AV268" s="202" t="s">
        <v>1</v>
      </c>
      <c r="AW268" s="199" t="s">
        <v>1</v>
      </c>
    </row>
    <row r="269" spans="1:49" ht="30.15" customHeight="1" x14ac:dyDescent="0.25">
      <c r="A269" s="213" t="s">
        <v>18</v>
      </c>
      <c r="B269" s="188" t="s">
        <v>1</v>
      </c>
      <c r="C269" s="212" t="s">
        <v>34</v>
      </c>
      <c r="D269" s="217" t="s">
        <v>3</v>
      </c>
      <c r="E269" s="217" t="s">
        <v>1085</v>
      </c>
      <c r="F269" s="203"/>
      <c r="G269" s="217" t="s">
        <v>1091</v>
      </c>
      <c r="H269" s="219" t="s">
        <v>414</v>
      </c>
      <c r="I269" s="220">
        <v>732</v>
      </c>
      <c r="J269" s="220">
        <v>751</v>
      </c>
      <c r="K269" s="220">
        <v>751</v>
      </c>
      <c r="L269" s="220">
        <v>790</v>
      </c>
      <c r="M269" s="223">
        <v>790</v>
      </c>
      <c r="N269" s="224">
        <v>0</v>
      </c>
      <c r="O269" s="195" t="s">
        <v>1</v>
      </c>
      <c r="P269" s="195" t="s">
        <v>1</v>
      </c>
      <c r="Q269" s="195" t="s">
        <v>1</v>
      </c>
      <c r="R269" s="196" t="s">
        <v>1253</v>
      </c>
      <c r="S269" s="225">
        <v>0</v>
      </c>
      <c r="T269" s="195" t="s">
        <v>1</v>
      </c>
      <c r="U269" s="195" t="s">
        <v>1</v>
      </c>
      <c r="V269" s="197" t="s">
        <v>1</v>
      </c>
      <c r="W269" s="196" t="s">
        <v>1253</v>
      </c>
      <c r="X269" s="224">
        <v>0</v>
      </c>
      <c r="Y269" s="195">
        <v>15</v>
      </c>
      <c r="Z269" s="195">
        <v>24</v>
      </c>
      <c r="AA269" s="196" t="s">
        <v>1</v>
      </c>
      <c r="AB269" s="196" t="s">
        <v>1</v>
      </c>
      <c r="AC269" s="225">
        <v>0</v>
      </c>
      <c r="AD269" s="195">
        <v>15</v>
      </c>
      <c r="AE269" s="195">
        <v>24</v>
      </c>
      <c r="AF269" s="222" t="s">
        <v>1</v>
      </c>
      <c r="AG269" s="222" t="s">
        <v>1</v>
      </c>
      <c r="AH269" s="198" t="s">
        <v>1</v>
      </c>
      <c r="AI269" s="209" t="s">
        <v>1</v>
      </c>
      <c r="AJ269" s="209" t="s">
        <v>1</v>
      </c>
      <c r="AK269" s="209" t="s">
        <v>1</v>
      </c>
      <c r="AL269" s="214" t="s">
        <v>1</v>
      </c>
      <c r="AM269" s="200" t="s">
        <v>1</v>
      </c>
      <c r="AN269" s="199" t="s">
        <v>1</v>
      </c>
      <c r="AO269" s="199" t="s">
        <v>1</v>
      </c>
      <c r="AP269" s="198" t="s">
        <v>1</v>
      </c>
      <c r="AQ269" s="198" t="s">
        <v>1</v>
      </c>
      <c r="AR269" s="201" t="s">
        <v>1</v>
      </c>
      <c r="AS269" s="201" t="s">
        <v>1</v>
      </c>
      <c r="AT269" s="199" t="s">
        <v>1</v>
      </c>
      <c r="AU269" s="199" t="s">
        <v>1</v>
      </c>
      <c r="AV269" s="202" t="s">
        <v>1</v>
      </c>
      <c r="AW269" s="199" t="s">
        <v>1</v>
      </c>
    </row>
    <row r="270" spans="1:49" ht="30.15" customHeight="1" x14ac:dyDescent="0.25">
      <c r="A270" s="213" t="s">
        <v>18</v>
      </c>
      <c r="B270" s="188" t="s">
        <v>1</v>
      </c>
      <c r="C270" s="212" t="s">
        <v>34</v>
      </c>
      <c r="D270" s="217" t="s">
        <v>3</v>
      </c>
      <c r="E270" s="217" t="s">
        <v>1086</v>
      </c>
      <c r="F270" s="203"/>
      <c r="G270" s="217" t="s">
        <v>1091</v>
      </c>
      <c r="H270" s="219" t="s">
        <v>414</v>
      </c>
      <c r="I270" s="220">
        <v>732</v>
      </c>
      <c r="J270" s="220">
        <v>751</v>
      </c>
      <c r="K270" s="220">
        <v>751</v>
      </c>
      <c r="L270" s="220">
        <v>790</v>
      </c>
      <c r="M270" s="223">
        <v>790</v>
      </c>
      <c r="N270" s="224">
        <v>0</v>
      </c>
      <c r="O270" s="195" t="s">
        <v>1</v>
      </c>
      <c r="P270" s="195" t="s">
        <v>1</v>
      </c>
      <c r="Q270" s="195" t="s">
        <v>1</v>
      </c>
      <c r="R270" s="196" t="s">
        <v>1253</v>
      </c>
      <c r="S270" s="225">
        <v>0</v>
      </c>
      <c r="T270" s="195" t="s">
        <v>1</v>
      </c>
      <c r="U270" s="195" t="s">
        <v>1</v>
      </c>
      <c r="V270" s="197" t="s">
        <v>1</v>
      </c>
      <c r="W270" s="196" t="s">
        <v>1253</v>
      </c>
      <c r="X270" s="224">
        <v>0</v>
      </c>
      <c r="Y270" s="195">
        <v>15</v>
      </c>
      <c r="Z270" s="195">
        <v>24</v>
      </c>
      <c r="AA270" s="196" t="s">
        <v>1</v>
      </c>
      <c r="AB270" s="196" t="s">
        <v>1</v>
      </c>
      <c r="AC270" s="225">
        <v>0</v>
      </c>
      <c r="AD270" s="195">
        <v>15</v>
      </c>
      <c r="AE270" s="195">
        <v>24</v>
      </c>
      <c r="AF270" s="222" t="s">
        <v>1</v>
      </c>
      <c r="AG270" s="222" t="s">
        <v>1</v>
      </c>
      <c r="AH270" s="198" t="s">
        <v>1</v>
      </c>
      <c r="AI270" s="209" t="s">
        <v>1</v>
      </c>
      <c r="AJ270" s="209" t="s">
        <v>1</v>
      </c>
      <c r="AK270" s="209" t="s">
        <v>1</v>
      </c>
      <c r="AL270" s="214" t="s">
        <v>1</v>
      </c>
      <c r="AM270" s="200" t="s">
        <v>1</v>
      </c>
      <c r="AN270" s="199" t="s">
        <v>1</v>
      </c>
      <c r="AO270" s="199" t="s">
        <v>1</v>
      </c>
      <c r="AP270" s="198" t="s">
        <v>1</v>
      </c>
      <c r="AQ270" s="198" t="s">
        <v>1</v>
      </c>
      <c r="AR270" s="201" t="s">
        <v>1</v>
      </c>
      <c r="AS270" s="201" t="s">
        <v>1</v>
      </c>
      <c r="AT270" s="199" t="s">
        <v>1</v>
      </c>
      <c r="AU270" s="199" t="s">
        <v>1</v>
      </c>
      <c r="AV270" s="202" t="s">
        <v>1</v>
      </c>
      <c r="AW270" s="199" t="s">
        <v>1</v>
      </c>
    </row>
    <row r="271" spans="1:49" ht="30.15" customHeight="1" x14ac:dyDescent="0.25">
      <c r="A271" s="213" t="s">
        <v>18</v>
      </c>
      <c r="B271" s="188" t="s">
        <v>1</v>
      </c>
      <c r="C271" s="212" t="s">
        <v>34</v>
      </c>
      <c r="D271" s="217" t="s">
        <v>3</v>
      </c>
      <c r="E271" s="217" t="s">
        <v>1087</v>
      </c>
      <c r="F271" s="203"/>
      <c r="G271" s="217" t="s">
        <v>1091</v>
      </c>
      <c r="H271" s="219" t="s">
        <v>414</v>
      </c>
      <c r="I271" s="220">
        <v>732</v>
      </c>
      <c r="J271" s="220">
        <v>751</v>
      </c>
      <c r="K271" s="220">
        <v>751</v>
      </c>
      <c r="L271" s="220">
        <v>790</v>
      </c>
      <c r="M271" s="223">
        <v>790</v>
      </c>
      <c r="N271" s="224">
        <v>0</v>
      </c>
      <c r="O271" s="195" t="s">
        <v>1</v>
      </c>
      <c r="P271" s="195" t="s">
        <v>1</v>
      </c>
      <c r="Q271" s="195" t="s">
        <v>1</v>
      </c>
      <c r="R271" s="196" t="s">
        <v>1253</v>
      </c>
      <c r="S271" s="225">
        <v>0</v>
      </c>
      <c r="T271" s="195" t="s">
        <v>1</v>
      </c>
      <c r="U271" s="195" t="s">
        <v>1</v>
      </c>
      <c r="V271" s="197" t="s">
        <v>1</v>
      </c>
      <c r="W271" s="196" t="s">
        <v>1253</v>
      </c>
      <c r="X271" s="224">
        <v>0</v>
      </c>
      <c r="Y271" s="195">
        <v>15</v>
      </c>
      <c r="Z271" s="195">
        <v>24</v>
      </c>
      <c r="AA271" s="196" t="s">
        <v>1</v>
      </c>
      <c r="AB271" s="196" t="s">
        <v>1</v>
      </c>
      <c r="AC271" s="225">
        <v>0</v>
      </c>
      <c r="AD271" s="195">
        <v>15</v>
      </c>
      <c r="AE271" s="195">
        <v>24</v>
      </c>
      <c r="AF271" s="222" t="s">
        <v>1</v>
      </c>
      <c r="AG271" s="222" t="s">
        <v>1</v>
      </c>
      <c r="AH271" s="198" t="s">
        <v>1</v>
      </c>
      <c r="AI271" s="209" t="s">
        <v>1</v>
      </c>
      <c r="AJ271" s="209" t="s">
        <v>1</v>
      </c>
      <c r="AK271" s="209" t="s">
        <v>1</v>
      </c>
      <c r="AL271" s="214" t="s">
        <v>1</v>
      </c>
      <c r="AM271" s="200" t="s">
        <v>1</v>
      </c>
      <c r="AN271" s="199" t="s">
        <v>1</v>
      </c>
      <c r="AO271" s="199" t="s">
        <v>1</v>
      </c>
      <c r="AP271" s="198" t="s">
        <v>1</v>
      </c>
      <c r="AQ271" s="198" t="s">
        <v>1</v>
      </c>
      <c r="AR271" s="201" t="s">
        <v>1</v>
      </c>
      <c r="AS271" s="201" t="s">
        <v>1</v>
      </c>
      <c r="AT271" s="199" t="s">
        <v>1</v>
      </c>
      <c r="AU271" s="199" t="s">
        <v>1</v>
      </c>
      <c r="AV271" s="202" t="s">
        <v>1</v>
      </c>
      <c r="AW271" s="199" t="s">
        <v>1</v>
      </c>
    </row>
    <row r="272" spans="1:49" ht="30.15" customHeight="1" x14ac:dyDescent="0.25">
      <c r="A272" s="213" t="s">
        <v>18</v>
      </c>
      <c r="B272" s="188" t="s">
        <v>1</v>
      </c>
      <c r="C272" s="212" t="s">
        <v>34</v>
      </c>
      <c r="D272" s="217" t="s">
        <v>3</v>
      </c>
      <c r="E272" s="217" t="s">
        <v>1088</v>
      </c>
      <c r="F272" s="203"/>
      <c r="G272" s="217" t="s">
        <v>1091</v>
      </c>
      <c r="H272" s="219" t="s">
        <v>414</v>
      </c>
      <c r="I272" s="220">
        <v>732</v>
      </c>
      <c r="J272" s="220">
        <v>751</v>
      </c>
      <c r="K272" s="220">
        <v>751</v>
      </c>
      <c r="L272" s="220">
        <v>790</v>
      </c>
      <c r="M272" s="223">
        <v>790</v>
      </c>
      <c r="N272" s="224">
        <v>0</v>
      </c>
      <c r="O272" s="195" t="s">
        <v>1</v>
      </c>
      <c r="P272" s="195" t="s">
        <v>1</v>
      </c>
      <c r="Q272" s="195" t="s">
        <v>1</v>
      </c>
      <c r="R272" s="196" t="s">
        <v>1253</v>
      </c>
      <c r="S272" s="225">
        <v>0</v>
      </c>
      <c r="T272" s="195" t="s">
        <v>1</v>
      </c>
      <c r="U272" s="195" t="s">
        <v>1</v>
      </c>
      <c r="V272" s="197" t="s">
        <v>1</v>
      </c>
      <c r="W272" s="196" t="s">
        <v>1253</v>
      </c>
      <c r="X272" s="224">
        <v>0</v>
      </c>
      <c r="Y272" s="195">
        <v>15</v>
      </c>
      <c r="Z272" s="195">
        <v>24</v>
      </c>
      <c r="AA272" s="196" t="s">
        <v>1</v>
      </c>
      <c r="AB272" s="196" t="s">
        <v>1</v>
      </c>
      <c r="AC272" s="225">
        <v>0</v>
      </c>
      <c r="AD272" s="195">
        <v>15</v>
      </c>
      <c r="AE272" s="195">
        <v>24</v>
      </c>
      <c r="AF272" s="222" t="s">
        <v>1</v>
      </c>
      <c r="AG272" s="222" t="s">
        <v>1</v>
      </c>
      <c r="AH272" s="198" t="s">
        <v>1</v>
      </c>
      <c r="AI272" s="209" t="s">
        <v>1</v>
      </c>
      <c r="AJ272" s="209" t="s">
        <v>1</v>
      </c>
      <c r="AK272" s="209" t="s">
        <v>1</v>
      </c>
      <c r="AL272" s="214" t="s">
        <v>1</v>
      </c>
      <c r="AM272" s="200" t="s">
        <v>1</v>
      </c>
      <c r="AN272" s="199" t="s">
        <v>1</v>
      </c>
      <c r="AO272" s="199" t="s">
        <v>1</v>
      </c>
      <c r="AP272" s="198" t="s">
        <v>1</v>
      </c>
      <c r="AQ272" s="198" t="s">
        <v>1</v>
      </c>
      <c r="AR272" s="201" t="s">
        <v>1</v>
      </c>
      <c r="AS272" s="201" t="s">
        <v>1</v>
      </c>
      <c r="AT272" s="199" t="s">
        <v>1</v>
      </c>
      <c r="AU272" s="199" t="s">
        <v>1</v>
      </c>
      <c r="AV272" s="202" t="s">
        <v>1</v>
      </c>
      <c r="AW272" s="199" t="s">
        <v>1</v>
      </c>
    </row>
    <row r="273" spans="1:49" ht="30.15" customHeight="1" x14ac:dyDescent="0.25">
      <c r="A273" s="213" t="s">
        <v>18</v>
      </c>
      <c r="B273" s="188" t="s">
        <v>1</v>
      </c>
      <c r="C273" s="212" t="s">
        <v>34</v>
      </c>
      <c r="D273" s="217" t="s">
        <v>3</v>
      </c>
      <c r="E273" s="217" t="s">
        <v>1089</v>
      </c>
      <c r="F273" s="203"/>
      <c r="G273" s="217" t="s">
        <v>1091</v>
      </c>
      <c r="H273" s="219" t="s">
        <v>414</v>
      </c>
      <c r="I273" s="220">
        <v>732</v>
      </c>
      <c r="J273" s="220">
        <v>751</v>
      </c>
      <c r="K273" s="220">
        <v>751</v>
      </c>
      <c r="L273" s="220">
        <v>790</v>
      </c>
      <c r="M273" s="223">
        <v>790</v>
      </c>
      <c r="N273" s="224">
        <v>0</v>
      </c>
      <c r="O273" s="195" t="s">
        <v>1</v>
      </c>
      <c r="P273" s="195" t="s">
        <v>1</v>
      </c>
      <c r="Q273" s="195" t="s">
        <v>1</v>
      </c>
      <c r="R273" s="196" t="s">
        <v>1253</v>
      </c>
      <c r="S273" s="225">
        <v>0</v>
      </c>
      <c r="T273" s="195" t="s">
        <v>1</v>
      </c>
      <c r="U273" s="195" t="s">
        <v>1</v>
      </c>
      <c r="V273" s="197" t="s">
        <v>1</v>
      </c>
      <c r="W273" s="196" t="s">
        <v>1253</v>
      </c>
      <c r="X273" s="224">
        <v>0</v>
      </c>
      <c r="Y273" s="195">
        <v>15</v>
      </c>
      <c r="Z273" s="195">
        <v>24</v>
      </c>
      <c r="AA273" s="196" t="s">
        <v>1</v>
      </c>
      <c r="AB273" s="196" t="s">
        <v>1</v>
      </c>
      <c r="AC273" s="225">
        <v>0</v>
      </c>
      <c r="AD273" s="195">
        <v>15</v>
      </c>
      <c r="AE273" s="195">
        <v>24</v>
      </c>
      <c r="AF273" s="222" t="s">
        <v>1</v>
      </c>
      <c r="AG273" s="222" t="s">
        <v>1</v>
      </c>
      <c r="AH273" s="198" t="s">
        <v>1</v>
      </c>
      <c r="AI273" s="209" t="s">
        <v>1</v>
      </c>
      <c r="AJ273" s="209" t="s">
        <v>1</v>
      </c>
      <c r="AK273" s="209" t="s">
        <v>1</v>
      </c>
      <c r="AL273" s="214" t="s">
        <v>1</v>
      </c>
      <c r="AM273" s="200" t="s">
        <v>1</v>
      </c>
      <c r="AN273" s="199" t="s">
        <v>1</v>
      </c>
      <c r="AO273" s="199" t="s">
        <v>1</v>
      </c>
      <c r="AP273" s="198" t="s">
        <v>1</v>
      </c>
      <c r="AQ273" s="198" t="s">
        <v>1</v>
      </c>
      <c r="AR273" s="201" t="s">
        <v>1</v>
      </c>
      <c r="AS273" s="201" t="s">
        <v>1</v>
      </c>
      <c r="AT273" s="199" t="s">
        <v>1</v>
      </c>
      <c r="AU273" s="199" t="s">
        <v>1</v>
      </c>
      <c r="AV273" s="202" t="s">
        <v>1</v>
      </c>
      <c r="AW273" s="199" t="s">
        <v>1</v>
      </c>
    </row>
    <row r="274" spans="1:49" ht="30.15" customHeight="1" x14ac:dyDescent="0.25">
      <c r="A274" s="213" t="s">
        <v>18</v>
      </c>
      <c r="B274" s="188" t="s">
        <v>1</v>
      </c>
      <c r="C274" s="212" t="s">
        <v>34</v>
      </c>
      <c r="D274" s="190" t="s">
        <v>3</v>
      </c>
      <c r="E274" s="190" t="s">
        <v>456</v>
      </c>
      <c r="F274" s="203"/>
      <c r="G274" s="190" t="s">
        <v>449</v>
      </c>
      <c r="H274" s="192" t="s">
        <v>409</v>
      </c>
      <c r="I274" s="193">
        <v>1189</v>
      </c>
      <c r="J274" s="193">
        <v>1216</v>
      </c>
      <c r="K274" s="193">
        <v>1216</v>
      </c>
      <c r="L274" s="193">
        <v>1285</v>
      </c>
      <c r="M274" s="194">
        <v>1285</v>
      </c>
      <c r="N274" s="195">
        <v>0</v>
      </c>
      <c r="O274" s="195">
        <v>28.55</v>
      </c>
      <c r="P274" s="195">
        <v>24</v>
      </c>
      <c r="Q274" s="195" t="s">
        <v>1</v>
      </c>
      <c r="R274" s="196" t="s">
        <v>1252</v>
      </c>
      <c r="S274" s="197">
        <v>0</v>
      </c>
      <c r="T274" s="195">
        <v>28.55</v>
      </c>
      <c r="U274" s="195">
        <v>24</v>
      </c>
      <c r="V274" s="197" t="s">
        <v>1</v>
      </c>
      <c r="W274" s="196" t="s">
        <v>1252</v>
      </c>
      <c r="X274" s="195">
        <v>0</v>
      </c>
      <c r="Y274" s="195">
        <v>41.05</v>
      </c>
      <c r="Z274" s="195">
        <v>24</v>
      </c>
      <c r="AA274" s="196" t="s">
        <v>1</v>
      </c>
      <c r="AB274" s="196" t="s">
        <v>1</v>
      </c>
      <c r="AC274" s="197">
        <v>0</v>
      </c>
      <c r="AD274" s="197">
        <v>41.05</v>
      </c>
      <c r="AE274" s="197">
        <v>24</v>
      </c>
      <c r="AF274" s="198" t="s">
        <v>1</v>
      </c>
      <c r="AG274" s="198" t="s">
        <v>1</v>
      </c>
      <c r="AH274" s="198" t="s">
        <v>1</v>
      </c>
      <c r="AI274" s="209" t="s">
        <v>1</v>
      </c>
      <c r="AJ274" s="209" t="s">
        <v>1</v>
      </c>
      <c r="AK274" s="209" t="s">
        <v>1</v>
      </c>
      <c r="AL274" s="214" t="s">
        <v>1</v>
      </c>
      <c r="AM274" s="200" t="s">
        <v>1</v>
      </c>
      <c r="AN274" s="199" t="s">
        <v>1</v>
      </c>
      <c r="AO274" s="199" t="s">
        <v>1</v>
      </c>
      <c r="AP274" s="198" t="s">
        <v>1</v>
      </c>
      <c r="AQ274" s="198" t="s">
        <v>1</v>
      </c>
      <c r="AR274" s="201" t="s">
        <v>1</v>
      </c>
      <c r="AS274" s="201" t="s">
        <v>1</v>
      </c>
      <c r="AT274" s="199" t="s">
        <v>1</v>
      </c>
      <c r="AU274" s="199" t="s">
        <v>1</v>
      </c>
      <c r="AV274" s="202" t="s">
        <v>1</v>
      </c>
      <c r="AW274" s="199" t="s">
        <v>1</v>
      </c>
    </row>
    <row r="275" spans="1:49" ht="30.15" customHeight="1" x14ac:dyDescent="0.25">
      <c r="A275" s="213" t="s">
        <v>18</v>
      </c>
      <c r="B275" s="188" t="s">
        <v>1</v>
      </c>
      <c r="C275" s="212" t="s">
        <v>34</v>
      </c>
      <c r="D275" s="190" t="s">
        <v>3</v>
      </c>
      <c r="E275" s="190" t="s">
        <v>455</v>
      </c>
      <c r="F275" s="203"/>
      <c r="G275" s="190" t="s">
        <v>449</v>
      </c>
      <c r="H275" s="192" t="s">
        <v>409</v>
      </c>
      <c r="I275" s="193">
        <v>1189</v>
      </c>
      <c r="J275" s="193">
        <v>1216</v>
      </c>
      <c r="K275" s="193">
        <v>1216</v>
      </c>
      <c r="L275" s="193">
        <v>1285</v>
      </c>
      <c r="M275" s="194">
        <v>1285</v>
      </c>
      <c r="N275" s="195">
        <v>0</v>
      </c>
      <c r="O275" s="195">
        <v>28.55</v>
      </c>
      <c r="P275" s="195">
        <v>24</v>
      </c>
      <c r="Q275" s="195" t="s">
        <v>1</v>
      </c>
      <c r="R275" s="196" t="s">
        <v>1252</v>
      </c>
      <c r="S275" s="197">
        <v>0</v>
      </c>
      <c r="T275" s="195">
        <v>28.55</v>
      </c>
      <c r="U275" s="195">
        <v>24</v>
      </c>
      <c r="V275" s="197" t="s">
        <v>1</v>
      </c>
      <c r="W275" s="196" t="s">
        <v>1252</v>
      </c>
      <c r="X275" s="195">
        <v>0</v>
      </c>
      <c r="Y275" s="195">
        <v>41.05</v>
      </c>
      <c r="Z275" s="195">
        <v>24</v>
      </c>
      <c r="AA275" s="196" t="s">
        <v>1</v>
      </c>
      <c r="AB275" s="196" t="s">
        <v>1</v>
      </c>
      <c r="AC275" s="197">
        <v>0</v>
      </c>
      <c r="AD275" s="197">
        <v>41.05</v>
      </c>
      <c r="AE275" s="197">
        <v>24</v>
      </c>
      <c r="AF275" s="198" t="s">
        <v>1</v>
      </c>
      <c r="AG275" s="198" t="s">
        <v>1</v>
      </c>
      <c r="AH275" s="198" t="s">
        <v>1</v>
      </c>
      <c r="AI275" s="209" t="s">
        <v>1</v>
      </c>
      <c r="AJ275" s="209" t="s">
        <v>1</v>
      </c>
      <c r="AK275" s="209" t="s">
        <v>1</v>
      </c>
      <c r="AL275" s="214" t="s">
        <v>1</v>
      </c>
      <c r="AM275" s="200" t="s">
        <v>1</v>
      </c>
      <c r="AN275" s="199" t="s">
        <v>1</v>
      </c>
      <c r="AO275" s="199" t="s">
        <v>1</v>
      </c>
      <c r="AP275" s="198" t="s">
        <v>1</v>
      </c>
      <c r="AQ275" s="198" t="s">
        <v>1</v>
      </c>
      <c r="AR275" s="201" t="s">
        <v>1</v>
      </c>
      <c r="AS275" s="201" t="s">
        <v>1</v>
      </c>
      <c r="AT275" s="199" t="s">
        <v>1</v>
      </c>
      <c r="AU275" s="199" t="s">
        <v>1</v>
      </c>
      <c r="AV275" s="202" t="s">
        <v>1</v>
      </c>
      <c r="AW275" s="199" t="s">
        <v>1</v>
      </c>
    </row>
    <row r="276" spans="1:49" ht="30.15" customHeight="1" x14ac:dyDescent="0.25">
      <c r="A276" s="213" t="s">
        <v>18</v>
      </c>
      <c r="B276" s="188" t="s">
        <v>1</v>
      </c>
      <c r="C276" s="212" t="s">
        <v>34</v>
      </c>
      <c r="D276" s="190" t="s">
        <v>3</v>
      </c>
      <c r="E276" s="190" t="s">
        <v>457</v>
      </c>
      <c r="F276" s="203"/>
      <c r="G276" s="190" t="s">
        <v>449</v>
      </c>
      <c r="H276" s="192" t="s">
        <v>409</v>
      </c>
      <c r="I276" s="193">
        <v>1189</v>
      </c>
      <c r="J276" s="193">
        <v>1216</v>
      </c>
      <c r="K276" s="193">
        <v>1216</v>
      </c>
      <c r="L276" s="193">
        <v>1285</v>
      </c>
      <c r="M276" s="194">
        <v>1285</v>
      </c>
      <c r="N276" s="195">
        <v>0</v>
      </c>
      <c r="O276" s="195">
        <v>28.55</v>
      </c>
      <c r="P276" s="195">
        <v>24</v>
      </c>
      <c r="Q276" s="195" t="s">
        <v>1</v>
      </c>
      <c r="R276" s="196" t="s">
        <v>1252</v>
      </c>
      <c r="S276" s="197">
        <v>0</v>
      </c>
      <c r="T276" s="195">
        <v>28.55</v>
      </c>
      <c r="U276" s="195">
        <v>24</v>
      </c>
      <c r="V276" s="197" t="s">
        <v>1</v>
      </c>
      <c r="W276" s="196" t="s">
        <v>1252</v>
      </c>
      <c r="X276" s="195">
        <v>0</v>
      </c>
      <c r="Y276" s="195">
        <v>41.05</v>
      </c>
      <c r="Z276" s="195">
        <v>24</v>
      </c>
      <c r="AA276" s="196" t="s">
        <v>1</v>
      </c>
      <c r="AB276" s="196" t="s">
        <v>1</v>
      </c>
      <c r="AC276" s="197">
        <v>0</v>
      </c>
      <c r="AD276" s="197">
        <v>41.05</v>
      </c>
      <c r="AE276" s="197">
        <v>24</v>
      </c>
      <c r="AF276" s="198" t="s">
        <v>1</v>
      </c>
      <c r="AG276" s="198" t="s">
        <v>1</v>
      </c>
      <c r="AH276" s="198" t="s">
        <v>1</v>
      </c>
      <c r="AI276" s="209" t="s">
        <v>1</v>
      </c>
      <c r="AJ276" s="209" t="s">
        <v>1</v>
      </c>
      <c r="AK276" s="209" t="s">
        <v>1</v>
      </c>
      <c r="AL276" s="214" t="s">
        <v>1</v>
      </c>
      <c r="AM276" s="200" t="s">
        <v>1</v>
      </c>
      <c r="AN276" s="199" t="s">
        <v>1</v>
      </c>
      <c r="AO276" s="199" t="s">
        <v>1</v>
      </c>
      <c r="AP276" s="198" t="s">
        <v>1</v>
      </c>
      <c r="AQ276" s="198" t="s">
        <v>1</v>
      </c>
      <c r="AR276" s="201" t="s">
        <v>1</v>
      </c>
      <c r="AS276" s="201" t="s">
        <v>1</v>
      </c>
      <c r="AT276" s="199" t="s">
        <v>1</v>
      </c>
      <c r="AU276" s="199" t="s">
        <v>1</v>
      </c>
      <c r="AV276" s="202" t="s">
        <v>1</v>
      </c>
      <c r="AW276" s="199" t="s">
        <v>1</v>
      </c>
    </row>
    <row r="277" spans="1:49" ht="30.15" customHeight="1" x14ac:dyDescent="0.25">
      <c r="A277" s="213" t="s">
        <v>18</v>
      </c>
      <c r="B277" s="188" t="s">
        <v>1</v>
      </c>
      <c r="C277" s="212" t="s">
        <v>34</v>
      </c>
      <c r="D277" s="190" t="s">
        <v>3</v>
      </c>
      <c r="E277" s="190" t="s">
        <v>458</v>
      </c>
      <c r="F277" s="203"/>
      <c r="G277" s="190" t="s">
        <v>450</v>
      </c>
      <c r="H277" s="192" t="s">
        <v>409</v>
      </c>
      <c r="I277" s="193">
        <v>1389</v>
      </c>
      <c r="J277" s="193">
        <v>1425</v>
      </c>
      <c r="K277" s="193">
        <v>1425</v>
      </c>
      <c r="L277" s="193">
        <v>1500</v>
      </c>
      <c r="M277" s="194">
        <v>1500</v>
      </c>
      <c r="N277" s="195">
        <v>0</v>
      </c>
      <c r="O277" s="195">
        <v>28.55</v>
      </c>
      <c r="P277" s="195">
        <v>24</v>
      </c>
      <c r="Q277" s="195" t="s">
        <v>1</v>
      </c>
      <c r="R277" s="196" t="s">
        <v>1253</v>
      </c>
      <c r="S277" s="197">
        <v>0</v>
      </c>
      <c r="T277" s="195">
        <v>28.55</v>
      </c>
      <c r="U277" s="195">
        <v>24</v>
      </c>
      <c r="V277" s="197" t="s">
        <v>1</v>
      </c>
      <c r="W277" s="196" t="s">
        <v>1253</v>
      </c>
      <c r="X277" s="195">
        <v>0</v>
      </c>
      <c r="Y277" s="195">
        <v>41.05</v>
      </c>
      <c r="Z277" s="195">
        <v>24</v>
      </c>
      <c r="AA277" s="196" t="s">
        <v>1</v>
      </c>
      <c r="AB277" s="196" t="s">
        <v>1</v>
      </c>
      <c r="AC277" s="197">
        <v>0</v>
      </c>
      <c r="AD277" s="197">
        <v>41.05</v>
      </c>
      <c r="AE277" s="197">
        <v>24</v>
      </c>
      <c r="AF277" s="198" t="s">
        <v>1</v>
      </c>
      <c r="AG277" s="198" t="s">
        <v>1</v>
      </c>
      <c r="AH277" s="198" t="s">
        <v>1</v>
      </c>
      <c r="AI277" s="209" t="s">
        <v>1</v>
      </c>
      <c r="AJ277" s="209" t="s">
        <v>1</v>
      </c>
      <c r="AK277" s="209" t="s">
        <v>1</v>
      </c>
      <c r="AL277" s="214" t="s">
        <v>1</v>
      </c>
      <c r="AM277" s="200" t="s">
        <v>1</v>
      </c>
      <c r="AN277" s="199" t="s">
        <v>1</v>
      </c>
      <c r="AO277" s="199" t="s">
        <v>1</v>
      </c>
      <c r="AP277" s="198" t="s">
        <v>1</v>
      </c>
      <c r="AQ277" s="198" t="s">
        <v>1</v>
      </c>
      <c r="AR277" s="201" t="s">
        <v>1</v>
      </c>
      <c r="AS277" s="201" t="s">
        <v>1</v>
      </c>
      <c r="AT277" s="199" t="s">
        <v>1</v>
      </c>
      <c r="AU277" s="199" t="s">
        <v>1</v>
      </c>
      <c r="AV277" s="202" t="s">
        <v>1</v>
      </c>
      <c r="AW277" s="199" t="s">
        <v>1</v>
      </c>
    </row>
    <row r="278" spans="1:49" ht="30.15" customHeight="1" x14ac:dyDescent="0.25">
      <c r="A278" s="213" t="s">
        <v>18</v>
      </c>
      <c r="B278" s="188" t="s">
        <v>1</v>
      </c>
      <c r="C278" s="212" t="s">
        <v>34</v>
      </c>
      <c r="D278" s="190" t="s">
        <v>3</v>
      </c>
      <c r="E278" s="190" t="s">
        <v>459</v>
      </c>
      <c r="F278" s="203"/>
      <c r="G278" s="190" t="s">
        <v>450</v>
      </c>
      <c r="H278" s="192" t="s">
        <v>409</v>
      </c>
      <c r="I278" s="193">
        <v>1389</v>
      </c>
      <c r="J278" s="193">
        <v>1425</v>
      </c>
      <c r="K278" s="193">
        <v>1425</v>
      </c>
      <c r="L278" s="193">
        <v>1500</v>
      </c>
      <c r="M278" s="194">
        <v>1500</v>
      </c>
      <c r="N278" s="195">
        <v>0</v>
      </c>
      <c r="O278" s="195">
        <v>28.55</v>
      </c>
      <c r="P278" s="195">
        <v>24</v>
      </c>
      <c r="Q278" s="195" t="s">
        <v>1</v>
      </c>
      <c r="R278" s="196" t="s">
        <v>1253</v>
      </c>
      <c r="S278" s="197">
        <v>0</v>
      </c>
      <c r="T278" s="195">
        <v>28.55</v>
      </c>
      <c r="U278" s="195">
        <v>24</v>
      </c>
      <c r="V278" s="197" t="s">
        <v>1</v>
      </c>
      <c r="W278" s="196" t="s">
        <v>1253</v>
      </c>
      <c r="X278" s="195">
        <v>0</v>
      </c>
      <c r="Y278" s="195">
        <v>41.05</v>
      </c>
      <c r="Z278" s="195">
        <v>24</v>
      </c>
      <c r="AA278" s="196" t="s">
        <v>1</v>
      </c>
      <c r="AB278" s="196" t="s">
        <v>1</v>
      </c>
      <c r="AC278" s="197">
        <v>0</v>
      </c>
      <c r="AD278" s="197">
        <v>41.05</v>
      </c>
      <c r="AE278" s="197">
        <v>24</v>
      </c>
      <c r="AF278" s="198" t="s">
        <v>1</v>
      </c>
      <c r="AG278" s="198" t="s">
        <v>1</v>
      </c>
      <c r="AH278" s="198" t="s">
        <v>1</v>
      </c>
      <c r="AI278" s="209" t="s">
        <v>1</v>
      </c>
      <c r="AJ278" s="209" t="s">
        <v>1</v>
      </c>
      <c r="AK278" s="209" t="s">
        <v>1</v>
      </c>
      <c r="AL278" s="214" t="s">
        <v>1</v>
      </c>
      <c r="AM278" s="200" t="s">
        <v>1</v>
      </c>
      <c r="AN278" s="199" t="s">
        <v>1</v>
      </c>
      <c r="AO278" s="199" t="s">
        <v>1</v>
      </c>
      <c r="AP278" s="198" t="s">
        <v>1</v>
      </c>
      <c r="AQ278" s="198" t="s">
        <v>1</v>
      </c>
      <c r="AR278" s="201" t="s">
        <v>1</v>
      </c>
      <c r="AS278" s="201" t="s">
        <v>1</v>
      </c>
      <c r="AT278" s="199" t="s">
        <v>1</v>
      </c>
      <c r="AU278" s="199" t="s">
        <v>1</v>
      </c>
      <c r="AV278" s="202" t="s">
        <v>1</v>
      </c>
      <c r="AW278" s="199" t="s">
        <v>1</v>
      </c>
    </row>
    <row r="279" spans="1:49" ht="30.15" customHeight="1" x14ac:dyDescent="0.25">
      <c r="A279" s="213" t="s">
        <v>18</v>
      </c>
      <c r="B279" s="188" t="s">
        <v>1</v>
      </c>
      <c r="C279" s="212" t="s">
        <v>34</v>
      </c>
      <c r="D279" s="190" t="s">
        <v>3</v>
      </c>
      <c r="E279" s="190" t="s">
        <v>460</v>
      </c>
      <c r="F279" s="203"/>
      <c r="G279" s="190" t="s">
        <v>450</v>
      </c>
      <c r="H279" s="192" t="s">
        <v>409</v>
      </c>
      <c r="I279" s="193">
        <v>1389</v>
      </c>
      <c r="J279" s="193">
        <v>1425</v>
      </c>
      <c r="K279" s="193">
        <v>1425</v>
      </c>
      <c r="L279" s="193">
        <v>1500</v>
      </c>
      <c r="M279" s="194">
        <v>1500</v>
      </c>
      <c r="N279" s="195">
        <v>0</v>
      </c>
      <c r="O279" s="195">
        <v>28.55</v>
      </c>
      <c r="P279" s="195">
        <v>24</v>
      </c>
      <c r="Q279" s="195" t="s">
        <v>1</v>
      </c>
      <c r="R279" s="196" t="s">
        <v>1253</v>
      </c>
      <c r="S279" s="197">
        <v>0</v>
      </c>
      <c r="T279" s="195">
        <v>28.55</v>
      </c>
      <c r="U279" s="195">
        <v>24</v>
      </c>
      <c r="V279" s="197" t="s">
        <v>1</v>
      </c>
      <c r="W279" s="196" t="s">
        <v>1253</v>
      </c>
      <c r="X279" s="195">
        <v>0</v>
      </c>
      <c r="Y279" s="195">
        <v>41.05</v>
      </c>
      <c r="Z279" s="195">
        <v>24</v>
      </c>
      <c r="AA279" s="196" t="s">
        <v>1</v>
      </c>
      <c r="AB279" s="196" t="s">
        <v>1</v>
      </c>
      <c r="AC279" s="197">
        <v>0</v>
      </c>
      <c r="AD279" s="197">
        <v>41.05</v>
      </c>
      <c r="AE279" s="197">
        <v>24</v>
      </c>
      <c r="AF279" s="198" t="s">
        <v>1</v>
      </c>
      <c r="AG279" s="198" t="s">
        <v>1</v>
      </c>
      <c r="AH279" s="198" t="s">
        <v>1</v>
      </c>
      <c r="AI279" s="209" t="s">
        <v>1</v>
      </c>
      <c r="AJ279" s="209" t="s">
        <v>1</v>
      </c>
      <c r="AK279" s="209" t="s">
        <v>1</v>
      </c>
      <c r="AL279" s="214" t="s">
        <v>1</v>
      </c>
      <c r="AM279" s="200" t="s">
        <v>1</v>
      </c>
      <c r="AN279" s="199" t="s">
        <v>1</v>
      </c>
      <c r="AO279" s="199" t="s">
        <v>1</v>
      </c>
      <c r="AP279" s="198" t="s">
        <v>1</v>
      </c>
      <c r="AQ279" s="198" t="s">
        <v>1</v>
      </c>
      <c r="AR279" s="201" t="s">
        <v>1</v>
      </c>
      <c r="AS279" s="201" t="s">
        <v>1</v>
      </c>
      <c r="AT279" s="199" t="s">
        <v>1</v>
      </c>
      <c r="AU279" s="199" t="s">
        <v>1</v>
      </c>
      <c r="AV279" s="202" t="s">
        <v>1</v>
      </c>
      <c r="AW279" s="199" t="s">
        <v>1</v>
      </c>
    </row>
    <row r="280" spans="1:49" ht="30.15" customHeight="1" x14ac:dyDescent="0.25">
      <c r="A280" s="213" t="s">
        <v>18</v>
      </c>
      <c r="B280" s="188" t="s">
        <v>1</v>
      </c>
      <c r="C280" s="212" t="s">
        <v>34</v>
      </c>
      <c r="D280" s="190" t="s">
        <v>3</v>
      </c>
      <c r="E280" s="190" t="s">
        <v>461</v>
      </c>
      <c r="F280" s="203"/>
      <c r="G280" s="190" t="s">
        <v>453</v>
      </c>
      <c r="H280" s="192" t="s">
        <v>409</v>
      </c>
      <c r="I280" s="193">
        <v>1769</v>
      </c>
      <c r="J280" s="193">
        <v>1769</v>
      </c>
      <c r="K280" s="193">
        <v>1769</v>
      </c>
      <c r="L280" s="193">
        <v>1910</v>
      </c>
      <c r="M280" s="194">
        <v>1910</v>
      </c>
      <c r="N280" s="195">
        <v>0</v>
      </c>
      <c r="O280" s="197">
        <v>28.55</v>
      </c>
      <c r="P280" s="195">
        <v>24</v>
      </c>
      <c r="Q280" s="195" t="s">
        <v>1</v>
      </c>
      <c r="R280" s="196" t="s">
        <v>1255</v>
      </c>
      <c r="S280" s="197">
        <v>0</v>
      </c>
      <c r="T280" s="197">
        <v>28.55</v>
      </c>
      <c r="U280" s="195">
        <v>24</v>
      </c>
      <c r="V280" s="197" t="s">
        <v>1</v>
      </c>
      <c r="W280" s="196" t="s">
        <v>1255</v>
      </c>
      <c r="X280" s="195">
        <v>0</v>
      </c>
      <c r="Y280" s="195">
        <v>41.05</v>
      </c>
      <c r="Z280" s="195">
        <v>24</v>
      </c>
      <c r="AA280" s="196" t="s">
        <v>1</v>
      </c>
      <c r="AB280" s="196" t="s">
        <v>1</v>
      </c>
      <c r="AC280" s="197">
        <v>0</v>
      </c>
      <c r="AD280" s="197">
        <v>41.05</v>
      </c>
      <c r="AE280" s="197">
        <v>24</v>
      </c>
      <c r="AF280" s="198" t="s">
        <v>1</v>
      </c>
      <c r="AG280" s="198" t="s">
        <v>1</v>
      </c>
      <c r="AH280" s="198" t="s">
        <v>1</v>
      </c>
      <c r="AI280" s="209" t="s">
        <v>1</v>
      </c>
      <c r="AJ280" s="209" t="s">
        <v>1</v>
      </c>
      <c r="AK280" s="209" t="s">
        <v>1</v>
      </c>
      <c r="AL280" s="214" t="s">
        <v>1</v>
      </c>
      <c r="AM280" s="200" t="s">
        <v>1</v>
      </c>
      <c r="AN280" s="199" t="s">
        <v>1</v>
      </c>
      <c r="AO280" s="199" t="s">
        <v>1</v>
      </c>
      <c r="AP280" s="198" t="s">
        <v>1</v>
      </c>
      <c r="AQ280" s="198" t="s">
        <v>1</v>
      </c>
      <c r="AR280" s="201" t="s">
        <v>1</v>
      </c>
      <c r="AS280" s="201" t="s">
        <v>1</v>
      </c>
      <c r="AT280" s="199" t="s">
        <v>1</v>
      </c>
      <c r="AU280" s="199" t="s">
        <v>1</v>
      </c>
      <c r="AV280" s="202" t="s">
        <v>1</v>
      </c>
      <c r="AW280" s="199" t="s">
        <v>1</v>
      </c>
    </row>
    <row r="281" spans="1:49" ht="30.15" customHeight="1" x14ac:dyDescent="0.25">
      <c r="A281" s="213" t="s">
        <v>18</v>
      </c>
      <c r="B281" s="188" t="s">
        <v>1</v>
      </c>
      <c r="C281" s="212" t="s">
        <v>34</v>
      </c>
      <c r="D281" s="190" t="s">
        <v>3</v>
      </c>
      <c r="E281" s="190" t="s">
        <v>462</v>
      </c>
      <c r="F281" s="203"/>
      <c r="G281" s="190" t="s">
        <v>453</v>
      </c>
      <c r="H281" s="192" t="s">
        <v>409</v>
      </c>
      <c r="I281" s="193">
        <v>1769</v>
      </c>
      <c r="J281" s="193">
        <v>1769</v>
      </c>
      <c r="K281" s="193">
        <v>1769</v>
      </c>
      <c r="L281" s="193">
        <v>1910</v>
      </c>
      <c r="M281" s="194">
        <v>1910</v>
      </c>
      <c r="N281" s="195">
        <v>0</v>
      </c>
      <c r="O281" s="197">
        <v>28.55</v>
      </c>
      <c r="P281" s="195">
        <v>24</v>
      </c>
      <c r="Q281" s="195" t="s">
        <v>1</v>
      </c>
      <c r="R281" s="196" t="s">
        <v>1255</v>
      </c>
      <c r="S281" s="197">
        <v>0</v>
      </c>
      <c r="T281" s="197">
        <v>28.55</v>
      </c>
      <c r="U281" s="195">
        <v>24</v>
      </c>
      <c r="V281" s="197" t="s">
        <v>1</v>
      </c>
      <c r="W281" s="196" t="s">
        <v>1255</v>
      </c>
      <c r="X281" s="195">
        <v>0</v>
      </c>
      <c r="Y281" s="195">
        <v>41.05</v>
      </c>
      <c r="Z281" s="195">
        <v>24</v>
      </c>
      <c r="AA281" s="196" t="s">
        <v>1</v>
      </c>
      <c r="AB281" s="196" t="s">
        <v>1</v>
      </c>
      <c r="AC281" s="197">
        <v>0</v>
      </c>
      <c r="AD281" s="197">
        <v>41.05</v>
      </c>
      <c r="AE281" s="197">
        <v>24</v>
      </c>
      <c r="AF281" s="198" t="s">
        <v>1</v>
      </c>
      <c r="AG281" s="198" t="s">
        <v>1</v>
      </c>
      <c r="AH281" s="198" t="s">
        <v>1</v>
      </c>
      <c r="AI281" s="209" t="s">
        <v>1</v>
      </c>
      <c r="AJ281" s="209" t="s">
        <v>1</v>
      </c>
      <c r="AK281" s="209" t="s">
        <v>1</v>
      </c>
      <c r="AL281" s="214" t="s">
        <v>1</v>
      </c>
      <c r="AM281" s="200" t="s">
        <v>1</v>
      </c>
      <c r="AN281" s="199" t="s">
        <v>1</v>
      </c>
      <c r="AO281" s="199" t="s">
        <v>1</v>
      </c>
      <c r="AP281" s="198" t="s">
        <v>1</v>
      </c>
      <c r="AQ281" s="198" t="s">
        <v>1</v>
      </c>
      <c r="AR281" s="201" t="s">
        <v>1</v>
      </c>
      <c r="AS281" s="201" t="s">
        <v>1</v>
      </c>
      <c r="AT281" s="199" t="s">
        <v>1</v>
      </c>
      <c r="AU281" s="199" t="s">
        <v>1</v>
      </c>
      <c r="AV281" s="202" t="s">
        <v>1</v>
      </c>
      <c r="AW281" s="199" t="s">
        <v>1</v>
      </c>
    </row>
    <row r="282" spans="1:49" ht="30.15" customHeight="1" x14ac:dyDescent="0.25">
      <c r="A282" s="213" t="s">
        <v>18</v>
      </c>
      <c r="B282" s="188" t="s">
        <v>1</v>
      </c>
      <c r="C282" s="212" t="s">
        <v>34</v>
      </c>
      <c r="D282" s="190" t="s">
        <v>3</v>
      </c>
      <c r="E282" s="190" t="s">
        <v>463</v>
      </c>
      <c r="F282" s="203"/>
      <c r="G282" s="190" t="s">
        <v>453</v>
      </c>
      <c r="H282" s="192" t="s">
        <v>409</v>
      </c>
      <c r="I282" s="193">
        <v>1769</v>
      </c>
      <c r="J282" s="193">
        <v>1769</v>
      </c>
      <c r="K282" s="193">
        <v>1769</v>
      </c>
      <c r="L282" s="193">
        <v>1910</v>
      </c>
      <c r="M282" s="194">
        <v>1910</v>
      </c>
      <c r="N282" s="195">
        <v>0</v>
      </c>
      <c r="O282" s="197">
        <v>28.55</v>
      </c>
      <c r="P282" s="195">
        <v>24</v>
      </c>
      <c r="Q282" s="195" t="s">
        <v>1</v>
      </c>
      <c r="R282" s="196" t="s">
        <v>1255</v>
      </c>
      <c r="S282" s="197">
        <v>0</v>
      </c>
      <c r="T282" s="197">
        <v>28.55</v>
      </c>
      <c r="U282" s="195">
        <v>24</v>
      </c>
      <c r="V282" s="197" t="s">
        <v>1</v>
      </c>
      <c r="W282" s="196" t="s">
        <v>1255</v>
      </c>
      <c r="X282" s="195">
        <v>0</v>
      </c>
      <c r="Y282" s="195">
        <v>41.05</v>
      </c>
      <c r="Z282" s="195">
        <v>24</v>
      </c>
      <c r="AA282" s="196" t="s">
        <v>1</v>
      </c>
      <c r="AB282" s="196" t="s">
        <v>1</v>
      </c>
      <c r="AC282" s="197">
        <v>0</v>
      </c>
      <c r="AD282" s="197">
        <v>41.05</v>
      </c>
      <c r="AE282" s="197">
        <v>24</v>
      </c>
      <c r="AF282" s="198" t="s">
        <v>1</v>
      </c>
      <c r="AG282" s="198" t="s">
        <v>1</v>
      </c>
      <c r="AH282" s="198" t="s">
        <v>1</v>
      </c>
      <c r="AI282" s="209" t="s">
        <v>1</v>
      </c>
      <c r="AJ282" s="209" t="s">
        <v>1</v>
      </c>
      <c r="AK282" s="209" t="s">
        <v>1</v>
      </c>
      <c r="AL282" s="214" t="s">
        <v>1</v>
      </c>
      <c r="AM282" s="200" t="s">
        <v>1</v>
      </c>
      <c r="AN282" s="199" t="s">
        <v>1</v>
      </c>
      <c r="AO282" s="199" t="s">
        <v>1</v>
      </c>
      <c r="AP282" s="198" t="s">
        <v>1</v>
      </c>
      <c r="AQ282" s="198" t="s">
        <v>1</v>
      </c>
      <c r="AR282" s="201" t="s">
        <v>1</v>
      </c>
      <c r="AS282" s="201" t="s">
        <v>1</v>
      </c>
      <c r="AT282" s="199" t="s">
        <v>1</v>
      </c>
      <c r="AU282" s="199" t="s">
        <v>1</v>
      </c>
      <c r="AV282" s="202" t="s">
        <v>1</v>
      </c>
      <c r="AW282" s="199" t="s">
        <v>1</v>
      </c>
    </row>
    <row r="283" spans="1:49" ht="30.15" customHeight="1" x14ac:dyDescent="0.25">
      <c r="A283" s="213" t="s">
        <v>18</v>
      </c>
      <c r="B283" s="188" t="s">
        <v>1</v>
      </c>
      <c r="C283" s="212" t="s">
        <v>34</v>
      </c>
      <c r="D283" s="190" t="s">
        <v>3</v>
      </c>
      <c r="E283" s="190" t="s">
        <v>464</v>
      </c>
      <c r="F283" s="203"/>
      <c r="G283" s="190" t="s">
        <v>451</v>
      </c>
      <c r="H283" s="192" t="s">
        <v>409</v>
      </c>
      <c r="I283" s="193">
        <v>1319</v>
      </c>
      <c r="J283" s="193">
        <v>1349</v>
      </c>
      <c r="K283" s="193">
        <v>1349</v>
      </c>
      <c r="L283" s="193">
        <v>1425</v>
      </c>
      <c r="M283" s="194">
        <v>1425</v>
      </c>
      <c r="N283" s="195">
        <v>0</v>
      </c>
      <c r="O283" s="195">
        <v>42.379999999999995</v>
      </c>
      <c r="P283" s="195">
        <v>24</v>
      </c>
      <c r="Q283" s="195" t="s">
        <v>1</v>
      </c>
      <c r="R283" s="196">
        <v>120</v>
      </c>
      <c r="S283" s="197">
        <v>0</v>
      </c>
      <c r="T283" s="195">
        <v>42.379999999999995</v>
      </c>
      <c r="U283" s="195">
        <v>24</v>
      </c>
      <c r="V283" s="197" t="s">
        <v>1</v>
      </c>
      <c r="W283" s="196">
        <v>120</v>
      </c>
      <c r="X283" s="195">
        <v>0</v>
      </c>
      <c r="Y283" s="195">
        <v>42.379999999999995</v>
      </c>
      <c r="Z283" s="195">
        <v>24</v>
      </c>
      <c r="AA283" s="196" t="s">
        <v>1</v>
      </c>
      <c r="AB283" s="196" t="s">
        <v>1</v>
      </c>
      <c r="AC283" s="197">
        <v>0</v>
      </c>
      <c r="AD283" s="195">
        <v>42.379999999999995</v>
      </c>
      <c r="AE283" s="197">
        <v>24</v>
      </c>
      <c r="AF283" s="198" t="s">
        <v>1</v>
      </c>
      <c r="AG283" s="198" t="s">
        <v>1</v>
      </c>
      <c r="AH283" s="198" t="s">
        <v>1</v>
      </c>
      <c r="AI283" s="209" t="s">
        <v>1</v>
      </c>
      <c r="AJ283" s="209" t="s">
        <v>1</v>
      </c>
      <c r="AK283" s="209" t="s">
        <v>1</v>
      </c>
      <c r="AL283" s="214" t="s">
        <v>1</v>
      </c>
      <c r="AM283" s="200" t="s">
        <v>1</v>
      </c>
      <c r="AN283" s="199" t="s">
        <v>1</v>
      </c>
      <c r="AO283" s="199" t="s">
        <v>1</v>
      </c>
      <c r="AP283" s="198" t="s">
        <v>1</v>
      </c>
      <c r="AQ283" s="198" t="s">
        <v>1</v>
      </c>
      <c r="AR283" s="201" t="s">
        <v>1</v>
      </c>
      <c r="AS283" s="201" t="s">
        <v>1</v>
      </c>
      <c r="AT283" s="199" t="s">
        <v>1</v>
      </c>
      <c r="AU283" s="199" t="s">
        <v>1</v>
      </c>
      <c r="AV283" s="202" t="s">
        <v>1</v>
      </c>
      <c r="AW283" s="199" t="s">
        <v>1</v>
      </c>
    </row>
    <row r="284" spans="1:49" ht="30.15" customHeight="1" x14ac:dyDescent="0.25">
      <c r="A284" s="213" t="s">
        <v>18</v>
      </c>
      <c r="B284" s="188" t="s">
        <v>1</v>
      </c>
      <c r="C284" s="212" t="s">
        <v>34</v>
      </c>
      <c r="D284" s="190" t="s">
        <v>3</v>
      </c>
      <c r="E284" s="190" t="s">
        <v>465</v>
      </c>
      <c r="F284" s="203"/>
      <c r="G284" s="190" t="s">
        <v>451</v>
      </c>
      <c r="H284" s="192" t="s">
        <v>409</v>
      </c>
      <c r="I284" s="193">
        <v>1319</v>
      </c>
      <c r="J284" s="193">
        <v>1349</v>
      </c>
      <c r="K284" s="193">
        <v>1349</v>
      </c>
      <c r="L284" s="193">
        <v>1425</v>
      </c>
      <c r="M284" s="194">
        <v>1425</v>
      </c>
      <c r="N284" s="195">
        <v>0</v>
      </c>
      <c r="O284" s="195">
        <v>42.379999999999995</v>
      </c>
      <c r="P284" s="195">
        <v>24</v>
      </c>
      <c r="Q284" s="195" t="s">
        <v>1</v>
      </c>
      <c r="R284" s="196">
        <v>120</v>
      </c>
      <c r="S284" s="197">
        <v>0</v>
      </c>
      <c r="T284" s="195">
        <v>42.379999999999995</v>
      </c>
      <c r="U284" s="195">
        <v>24</v>
      </c>
      <c r="V284" s="197" t="s">
        <v>1</v>
      </c>
      <c r="W284" s="196">
        <v>120</v>
      </c>
      <c r="X284" s="195">
        <v>0</v>
      </c>
      <c r="Y284" s="195">
        <v>42.379999999999995</v>
      </c>
      <c r="Z284" s="195">
        <v>24</v>
      </c>
      <c r="AA284" s="196" t="s">
        <v>1</v>
      </c>
      <c r="AB284" s="196" t="s">
        <v>1</v>
      </c>
      <c r="AC284" s="197">
        <v>0</v>
      </c>
      <c r="AD284" s="195">
        <v>42.379999999999995</v>
      </c>
      <c r="AE284" s="197">
        <v>24</v>
      </c>
      <c r="AF284" s="198" t="s">
        <v>1</v>
      </c>
      <c r="AG284" s="198" t="s">
        <v>1</v>
      </c>
      <c r="AH284" s="198" t="s">
        <v>1</v>
      </c>
      <c r="AI284" s="209" t="s">
        <v>1</v>
      </c>
      <c r="AJ284" s="209" t="s">
        <v>1</v>
      </c>
      <c r="AK284" s="209" t="s">
        <v>1</v>
      </c>
      <c r="AL284" s="214" t="s">
        <v>1</v>
      </c>
      <c r="AM284" s="200" t="s">
        <v>1</v>
      </c>
      <c r="AN284" s="199" t="s">
        <v>1</v>
      </c>
      <c r="AO284" s="199" t="s">
        <v>1</v>
      </c>
      <c r="AP284" s="198" t="s">
        <v>1</v>
      </c>
      <c r="AQ284" s="198" t="s">
        <v>1</v>
      </c>
      <c r="AR284" s="201" t="s">
        <v>1</v>
      </c>
      <c r="AS284" s="201" t="s">
        <v>1</v>
      </c>
      <c r="AT284" s="199" t="s">
        <v>1</v>
      </c>
      <c r="AU284" s="199" t="s">
        <v>1</v>
      </c>
      <c r="AV284" s="202" t="s">
        <v>1</v>
      </c>
      <c r="AW284" s="199" t="s">
        <v>1</v>
      </c>
    </row>
    <row r="285" spans="1:49" ht="30.15" customHeight="1" x14ac:dyDescent="0.25">
      <c r="A285" s="213" t="s">
        <v>18</v>
      </c>
      <c r="B285" s="188" t="s">
        <v>1</v>
      </c>
      <c r="C285" s="212" t="s">
        <v>34</v>
      </c>
      <c r="D285" s="190" t="s">
        <v>3</v>
      </c>
      <c r="E285" s="190" t="s">
        <v>466</v>
      </c>
      <c r="F285" s="203"/>
      <c r="G285" s="190" t="s">
        <v>451</v>
      </c>
      <c r="H285" s="192" t="s">
        <v>409</v>
      </c>
      <c r="I285" s="193">
        <v>1319</v>
      </c>
      <c r="J285" s="193">
        <v>1349</v>
      </c>
      <c r="K285" s="193">
        <v>1349</v>
      </c>
      <c r="L285" s="193">
        <v>1425</v>
      </c>
      <c r="M285" s="194">
        <v>1425</v>
      </c>
      <c r="N285" s="195">
        <v>0</v>
      </c>
      <c r="O285" s="195">
        <v>42.379999999999995</v>
      </c>
      <c r="P285" s="195">
        <v>24</v>
      </c>
      <c r="Q285" s="195" t="s">
        <v>1</v>
      </c>
      <c r="R285" s="196">
        <v>120</v>
      </c>
      <c r="S285" s="197">
        <v>0</v>
      </c>
      <c r="T285" s="195">
        <v>42.379999999999995</v>
      </c>
      <c r="U285" s="195">
        <v>24</v>
      </c>
      <c r="V285" s="197" t="s">
        <v>1</v>
      </c>
      <c r="W285" s="196">
        <v>120</v>
      </c>
      <c r="X285" s="195">
        <v>0</v>
      </c>
      <c r="Y285" s="195">
        <v>42.379999999999995</v>
      </c>
      <c r="Z285" s="195">
        <v>24</v>
      </c>
      <c r="AA285" s="196" t="s">
        <v>1</v>
      </c>
      <c r="AB285" s="196" t="s">
        <v>1</v>
      </c>
      <c r="AC285" s="197">
        <v>0</v>
      </c>
      <c r="AD285" s="195">
        <v>42.379999999999995</v>
      </c>
      <c r="AE285" s="197">
        <v>24</v>
      </c>
      <c r="AF285" s="198" t="s">
        <v>1</v>
      </c>
      <c r="AG285" s="198" t="s">
        <v>1</v>
      </c>
      <c r="AH285" s="198" t="s">
        <v>1</v>
      </c>
      <c r="AI285" s="209" t="s">
        <v>1</v>
      </c>
      <c r="AJ285" s="209" t="s">
        <v>1</v>
      </c>
      <c r="AK285" s="209" t="s">
        <v>1</v>
      </c>
      <c r="AL285" s="214" t="s">
        <v>1</v>
      </c>
      <c r="AM285" s="200" t="s">
        <v>1</v>
      </c>
      <c r="AN285" s="199" t="s">
        <v>1</v>
      </c>
      <c r="AO285" s="199" t="s">
        <v>1</v>
      </c>
      <c r="AP285" s="198" t="s">
        <v>1</v>
      </c>
      <c r="AQ285" s="198" t="s">
        <v>1</v>
      </c>
      <c r="AR285" s="201" t="s">
        <v>1</v>
      </c>
      <c r="AS285" s="201" t="s">
        <v>1</v>
      </c>
      <c r="AT285" s="199" t="s">
        <v>1</v>
      </c>
      <c r="AU285" s="199" t="s">
        <v>1</v>
      </c>
      <c r="AV285" s="202" t="s">
        <v>1</v>
      </c>
      <c r="AW285" s="199" t="s">
        <v>1</v>
      </c>
    </row>
    <row r="286" spans="1:49" ht="30.15" customHeight="1" x14ac:dyDescent="0.25">
      <c r="A286" s="213" t="s">
        <v>18</v>
      </c>
      <c r="B286" s="188" t="s">
        <v>1</v>
      </c>
      <c r="C286" s="212" t="s">
        <v>34</v>
      </c>
      <c r="D286" s="190" t="s">
        <v>3</v>
      </c>
      <c r="E286" s="190" t="s">
        <v>467</v>
      </c>
      <c r="F286" s="203"/>
      <c r="G286" s="190" t="s">
        <v>452</v>
      </c>
      <c r="H286" s="192" t="s">
        <v>409</v>
      </c>
      <c r="I286" s="193">
        <v>1519</v>
      </c>
      <c r="J286" s="193">
        <v>1558</v>
      </c>
      <c r="K286" s="193">
        <v>1558</v>
      </c>
      <c r="L286" s="193">
        <v>1640</v>
      </c>
      <c r="M286" s="194">
        <v>1640</v>
      </c>
      <c r="N286" s="195">
        <v>0</v>
      </c>
      <c r="O286" s="195">
        <v>47.34</v>
      </c>
      <c r="P286" s="195">
        <v>24</v>
      </c>
      <c r="Q286" s="195" t="s">
        <v>1</v>
      </c>
      <c r="R286" s="196" t="s">
        <v>1252</v>
      </c>
      <c r="S286" s="197">
        <v>0</v>
      </c>
      <c r="T286" s="195">
        <v>47.34</v>
      </c>
      <c r="U286" s="195">
        <v>24</v>
      </c>
      <c r="V286" s="197" t="s">
        <v>1</v>
      </c>
      <c r="W286" s="196" t="s">
        <v>1252</v>
      </c>
      <c r="X286" s="195">
        <v>0</v>
      </c>
      <c r="Y286" s="195">
        <v>47.34</v>
      </c>
      <c r="Z286" s="195">
        <v>24</v>
      </c>
      <c r="AA286" s="196" t="s">
        <v>1</v>
      </c>
      <c r="AB286" s="196" t="s">
        <v>1</v>
      </c>
      <c r="AC286" s="197">
        <v>0</v>
      </c>
      <c r="AD286" s="195">
        <v>47.34</v>
      </c>
      <c r="AE286" s="197">
        <v>24</v>
      </c>
      <c r="AF286" s="198" t="s">
        <v>1</v>
      </c>
      <c r="AG286" s="198" t="s">
        <v>1</v>
      </c>
      <c r="AH286" s="198" t="s">
        <v>1</v>
      </c>
      <c r="AI286" s="209" t="s">
        <v>1</v>
      </c>
      <c r="AJ286" s="209" t="s">
        <v>1</v>
      </c>
      <c r="AK286" s="209" t="s">
        <v>1</v>
      </c>
      <c r="AL286" s="214" t="s">
        <v>1</v>
      </c>
      <c r="AM286" s="200" t="s">
        <v>1</v>
      </c>
      <c r="AN286" s="199" t="s">
        <v>1</v>
      </c>
      <c r="AO286" s="199" t="s">
        <v>1</v>
      </c>
      <c r="AP286" s="198" t="s">
        <v>1</v>
      </c>
      <c r="AQ286" s="198" t="s">
        <v>1</v>
      </c>
      <c r="AR286" s="201" t="s">
        <v>1</v>
      </c>
      <c r="AS286" s="201" t="s">
        <v>1</v>
      </c>
      <c r="AT286" s="199" t="s">
        <v>1</v>
      </c>
      <c r="AU286" s="199" t="s">
        <v>1</v>
      </c>
      <c r="AV286" s="202" t="s">
        <v>1</v>
      </c>
      <c r="AW286" s="199" t="s">
        <v>1</v>
      </c>
    </row>
    <row r="287" spans="1:49" ht="30.15" customHeight="1" x14ac:dyDescent="0.25">
      <c r="A287" s="213" t="s">
        <v>18</v>
      </c>
      <c r="B287" s="188" t="s">
        <v>1</v>
      </c>
      <c r="C287" s="212" t="s">
        <v>34</v>
      </c>
      <c r="D287" s="190" t="s">
        <v>3</v>
      </c>
      <c r="E287" s="190" t="s">
        <v>468</v>
      </c>
      <c r="F287" s="203"/>
      <c r="G287" s="190" t="s">
        <v>452</v>
      </c>
      <c r="H287" s="192" t="s">
        <v>409</v>
      </c>
      <c r="I287" s="193">
        <v>1519</v>
      </c>
      <c r="J287" s="193">
        <v>1558</v>
      </c>
      <c r="K287" s="193">
        <v>1558</v>
      </c>
      <c r="L287" s="193">
        <v>1640</v>
      </c>
      <c r="M287" s="194">
        <v>1640</v>
      </c>
      <c r="N287" s="195">
        <v>0</v>
      </c>
      <c r="O287" s="195">
        <v>47.34</v>
      </c>
      <c r="P287" s="195">
        <v>24</v>
      </c>
      <c r="Q287" s="195" t="s">
        <v>1</v>
      </c>
      <c r="R287" s="196" t="s">
        <v>1252</v>
      </c>
      <c r="S287" s="197">
        <v>0</v>
      </c>
      <c r="T287" s="195">
        <v>47.34</v>
      </c>
      <c r="U287" s="195">
        <v>24</v>
      </c>
      <c r="V287" s="197" t="s">
        <v>1</v>
      </c>
      <c r="W287" s="196" t="s">
        <v>1252</v>
      </c>
      <c r="X287" s="195">
        <v>0</v>
      </c>
      <c r="Y287" s="195">
        <v>47.34</v>
      </c>
      <c r="Z287" s="195">
        <v>24</v>
      </c>
      <c r="AA287" s="196" t="s">
        <v>1</v>
      </c>
      <c r="AB287" s="196" t="s">
        <v>1</v>
      </c>
      <c r="AC287" s="197">
        <v>0</v>
      </c>
      <c r="AD287" s="195">
        <v>47.34</v>
      </c>
      <c r="AE287" s="197">
        <v>24</v>
      </c>
      <c r="AF287" s="198" t="s">
        <v>1</v>
      </c>
      <c r="AG287" s="198" t="s">
        <v>1</v>
      </c>
      <c r="AH287" s="198" t="s">
        <v>1</v>
      </c>
      <c r="AI287" s="209" t="s">
        <v>1</v>
      </c>
      <c r="AJ287" s="209" t="s">
        <v>1</v>
      </c>
      <c r="AK287" s="209" t="s">
        <v>1</v>
      </c>
      <c r="AL287" s="214" t="s">
        <v>1</v>
      </c>
      <c r="AM287" s="200" t="s">
        <v>1</v>
      </c>
      <c r="AN287" s="199" t="s">
        <v>1</v>
      </c>
      <c r="AO287" s="199" t="s">
        <v>1</v>
      </c>
      <c r="AP287" s="198" t="s">
        <v>1</v>
      </c>
      <c r="AQ287" s="198" t="s">
        <v>1</v>
      </c>
      <c r="AR287" s="201" t="s">
        <v>1</v>
      </c>
      <c r="AS287" s="201" t="s">
        <v>1</v>
      </c>
      <c r="AT287" s="199" t="s">
        <v>1</v>
      </c>
      <c r="AU287" s="199" t="s">
        <v>1</v>
      </c>
      <c r="AV287" s="202" t="s">
        <v>1</v>
      </c>
      <c r="AW287" s="199" t="s">
        <v>1</v>
      </c>
    </row>
    <row r="288" spans="1:49" ht="30.15" customHeight="1" x14ac:dyDescent="0.25">
      <c r="A288" s="213" t="s">
        <v>18</v>
      </c>
      <c r="B288" s="188" t="s">
        <v>1</v>
      </c>
      <c r="C288" s="212" t="s">
        <v>34</v>
      </c>
      <c r="D288" s="190" t="s">
        <v>3</v>
      </c>
      <c r="E288" s="190" t="s">
        <v>469</v>
      </c>
      <c r="F288" s="203"/>
      <c r="G288" s="190" t="s">
        <v>452</v>
      </c>
      <c r="H288" s="192" t="s">
        <v>409</v>
      </c>
      <c r="I288" s="193">
        <v>1519</v>
      </c>
      <c r="J288" s="193">
        <v>1558</v>
      </c>
      <c r="K288" s="193">
        <v>1558</v>
      </c>
      <c r="L288" s="193">
        <v>1640</v>
      </c>
      <c r="M288" s="194">
        <v>1640</v>
      </c>
      <c r="N288" s="195">
        <v>0</v>
      </c>
      <c r="O288" s="195">
        <v>47.34</v>
      </c>
      <c r="P288" s="195">
        <v>24</v>
      </c>
      <c r="Q288" s="195" t="s">
        <v>1</v>
      </c>
      <c r="R288" s="196" t="s">
        <v>1252</v>
      </c>
      <c r="S288" s="197">
        <v>0</v>
      </c>
      <c r="T288" s="195">
        <v>47.34</v>
      </c>
      <c r="U288" s="195">
        <v>24</v>
      </c>
      <c r="V288" s="197" t="s">
        <v>1</v>
      </c>
      <c r="W288" s="196" t="s">
        <v>1252</v>
      </c>
      <c r="X288" s="195">
        <v>0</v>
      </c>
      <c r="Y288" s="195">
        <v>47.34</v>
      </c>
      <c r="Z288" s="195">
        <v>24</v>
      </c>
      <c r="AA288" s="196" t="s">
        <v>1</v>
      </c>
      <c r="AB288" s="196" t="s">
        <v>1</v>
      </c>
      <c r="AC288" s="197">
        <v>0</v>
      </c>
      <c r="AD288" s="195">
        <v>47.34</v>
      </c>
      <c r="AE288" s="197">
        <v>24</v>
      </c>
      <c r="AF288" s="198" t="s">
        <v>1</v>
      </c>
      <c r="AG288" s="198" t="s">
        <v>1</v>
      </c>
      <c r="AH288" s="198" t="s">
        <v>1</v>
      </c>
      <c r="AI288" s="209" t="s">
        <v>1</v>
      </c>
      <c r="AJ288" s="209" t="s">
        <v>1</v>
      </c>
      <c r="AK288" s="209" t="s">
        <v>1</v>
      </c>
      <c r="AL288" s="214" t="s">
        <v>1</v>
      </c>
      <c r="AM288" s="200" t="s">
        <v>1</v>
      </c>
      <c r="AN288" s="199" t="s">
        <v>1</v>
      </c>
      <c r="AO288" s="199" t="s">
        <v>1</v>
      </c>
      <c r="AP288" s="198" t="s">
        <v>1</v>
      </c>
      <c r="AQ288" s="198" t="s">
        <v>1</v>
      </c>
      <c r="AR288" s="201" t="s">
        <v>1</v>
      </c>
      <c r="AS288" s="201" t="s">
        <v>1</v>
      </c>
      <c r="AT288" s="199" t="s">
        <v>1</v>
      </c>
      <c r="AU288" s="199" t="s">
        <v>1</v>
      </c>
      <c r="AV288" s="202" t="s">
        <v>1</v>
      </c>
      <c r="AW288" s="199" t="s">
        <v>1</v>
      </c>
    </row>
    <row r="289" spans="1:49" ht="30.15" customHeight="1" x14ac:dyDescent="0.25">
      <c r="A289" s="213" t="s">
        <v>18</v>
      </c>
      <c r="B289" s="188" t="s">
        <v>1</v>
      </c>
      <c r="C289" s="212" t="s">
        <v>34</v>
      </c>
      <c r="D289" s="190" t="s">
        <v>3</v>
      </c>
      <c r="E289" s="190" t="s">
        <v>470</v>
      </c>
      <c r="F289" s="203"/>
      <c r="G289" s="190" t="s">
        <v>454</v>
      </c>
      <c r="H289" s="192" t="s">
        <v>409</v>
      </c>
      <c r="I289" s="193">
        <v>1789</v>
      </c>
      <c r="J289" s="193">
        <v>1834</v>
      </c>
      <c r="K289" s="193">
        <v>1834</v>
      </c>
      <c r="L289" s="193">
        <v>1930</v>
      </c>
      <c r="M289" s="194">
        <v>1930</v>
      </c>
      <c r="N289" s="195">
        <v>0</v>
      </c>
      <c r="O289" s="197">
        <v>53.42</v>
      </c>
      <c r="P289" s="195">
        <v>24</v>
      </c>
      <c r="Q289" s="195" t="s">
        <v>1</v>
      </c>
      <c r="R289" s="196" t="s">
        <v>1252</v>
      </c>
      <c r="S289" s="197">
        <v>0</v>
      </c>
      <c r="T289" s="197">
        <v>53.42</v>
      </c>
      <c r="U289" s="195">
        <v>24</v>
      </c>
      <c r="V289" s="197" t="s">
        <v>1</v>
      </c>
      <c r="W289" s="196" t="s">
        <v>1252</v>
      </c>
      <c r="X289" s="195">
        <v>0</v>
      </c>
      <c r="Y289" s="197">
        <v>53.42</v>
      </c>
      <c r="Z289" s="195">
        <v>24</v>
      </c>
      <c r="AA289" s="196" t="s">
        <v>1</v>
      </c>
      <c r="AB289" s="196" t="s">
        <v>1</v>
      </c>
      <c r="AC289" s="197">
        <v>0</v>
      </c>
      <c r="AD289" s="197">
        <v>53.42</v>
      </c>
      <c r="AE289" s="197">
        <v>24</v>
      </c>
      <c r="AF289" s="198" t="s">
        <v>1</v>
      </c>
      <c r="AG289" s="198" t="s">
        <v>1</v>
      </c>
      <c r="AH289" s="198" t="s">
        <v>1</v>
      </c>
      <c r="AI289" s="209" t="s">
        <v>1</v>
      </c>
      <c r="AJ289" s="209" t="s">
        <v>1</v>
      </c>
      <c r="AK289" s="209" t="s">
        <v>1</v>
      </c>
      <c r="AL289" s="214" t="s">
        <v>1</v>
      </c>
      <c r="AM289" s="200" t="s">
        <v>1</v>
      </c>
      <c r="AN289" s="199" t="s">
        <v>1</v>
      </c>
      <c r="AO289" s="199" t="s">
        <v>1</v>
      </c>
      <c r="AP289" s="198" t="s">
        <v>1</v>
      </c>
      <c r="AQ289" s="198" t="s">
        <v>1</v>
      </c>
      <c r="AR289" s="201" t="s">
        <v>1</v>
      </c>
      <c r="AS289" s="201" t="s">
        <v>1</v>
      </c>
      <c r="AT289" s="199" t="s">
        <v>1</v>
      </c>
      <c r="AU289" s="199" t="s">
        <v>1</v>
      </c>
      <c r="AV289" s="202" t="s">
        <v>1</v>
      </c>
      <c r="AW289" s="199" t="s">
        <v>1</v>
      </c>
    </row>
    <row r="290" spans="1:49" ht="30.15" customHeight="1" x14ac:dyDescent="0.25">
      <c r="A290" s="213" t="s">
        <v>18</v>
      </c>
      <c r="B290" s="188" t="s">
        <v>1</v>
      </c>
      <c r="C290" s="212" t="s">
        <v>34</v>
      </c>
      <c r="D290" s="190" t="s">
        <v>3</v>
      </c>
      <c r="E290" s="190" t="s">
        <v>471</v>
      </c>
      <c r="F290" s="203"/>
      <c r="G290" s="190" t="s">
        <v>454</v>
      </c>
      <c r="H290" s="192" t="s">
        <v>409</v>
      </c>
      <c r="I290" s="193">
        <v>1789</v>
      </c>
      <c r="J290" s="193">
        <v>1834</v>
      </c>
      <c r="K290" s="193">
        <v>1834</v>
      </c>
      <c r="L290" s="193">
        <v>1930</v>
      </c>
      <c r="M290" s="194">
        <v>1930</v>
      </c>
      <c r="N290" s="195">
        <v>0</v>
      </c>
      <c r="O290" s="197">
        <v>53.42</v>
      </c>
      <c r="P290" s="195">
        <v>24</v>
      </c>
      <c r="Q290" s="195" t="s">
        <v>1</v>
      </c>
      <c r="R290" s="196" t="s">
        <v>1252</v>
      </c>
      <c r="S290" s="197">
        <v>0</v>
      </c>
      <c r="T290" s="197">
        <v>53.42</v>
      </c>
      <c r="U290" s="195">
        <v>24</v>
      </c>
      <c r="V290" s="197" t="s">
        <v>1</v>
      </c>
      <c r="W290" s="196" t="s">
        <v>1252</v>
      </c>
      <c r="X290" s="195">
        <v>0</v>
      </c>
      <c r="Y290" s="197">
        <v>53.42</v>
      </c>
      <c r="Z290" s="195">
        <v>24</v>
      </c>
      <c r="AA290" s="196" t="s">
        <v>1</v>
      </c>
      <c r="AB290" s="196" t="s">
        <v>1</v>
      </c>
      <c r="AC290" s="197">
        <v>0</v>
      </c>
      <c r="AD290" s="197">
        <v>53.42</v>
      </c>
      <c r="AE290" s="197">
        <v>24</v>
      </c>
      <c r="AF290" s="198" t="s">
        <v>1</v>
      </c>
      <c r="AG290" s="198" t="s">
        <v>1</v>
      </c>
      <c r="AH290" s="198" t="s">
        <v>1</v>
      </c>
      <c r="AI290" s="209" t="s">
        <v>1</v>
      </c>
      <c r="AJ290" s="209" t="s">
        <v>1</v>
      </c>
      <c r="AK290" s="209" t="s">
        <v>1</v>
      </c>
      <c r="AL290" s="214" t="s">
        <v>1</v>
      </c>
      <c r="AM290" s="200" t="s">
        <v>1</v>
      </c>
      <c r="AN290" s="199" t="s">
        <v>1</v>
      </c>
      <c r="AO290" s="199" t="s">
        <v>1</v>
      </c>
      <c r="AP290" s="198" t="s">
        <v>1</v>
      </c>
      <c r="AQ290" s="198" t="s">
        <v>1</v>
      </c>
      <c r="AR290" s="201" t="s">
        <v>1</v>
      </c>
      <c r="AS290" s="201" t="s">
        <v>1</v>
      </c>
      <c r="AT290" s="199" t="s">
        <v>1</v>
      </c>
      <c r="AU290" s="199" t="s">
        <v>1</v>
      </c>
      <c r="AV290" s="202" t="s">
        <v>1</v>
      </c>
      <c r="AW290" s="199" t="s">
        <v>1</v>
      </c>
    </row>
    <row r="291" spans="1:49" ht="30.15" customHeight="1" x14ac:dyDescent="0.25">
      <c r="A291" s="213" t="s">
        <v>18</v>
      </c>
      <c r="B291" s="188" t="s">
        <v>1</v>
      </c>
      <c r="C291" s="212" t="s">
        <v>34</v>
      </c>
      <c r="D291" s="190" t="s">
        <v>3</v>
      </c>
      <c r="E291" s="190" t="s">
        <v>472</v>
      </c>
      <c r="F291" s="203"/>
      <c r="G291" s="190" t="s">
        <v>454</v>
      </c>
      <c r="H291" s="192" t="s">
        <v>409</v>
      </c>
      <c r="I291" s="193">
        <v>1789</v>
      </c>
      <c r="J291" s="193">
        <v>1834</v>
      </c>
      <c r="K291" s="193">
        <v>1834</v>
      </c>
      <c r="L291" s="193">
        <v>1930</v>
      </c>
      <c r="M291" s="194">
        <v>1930</v>
      </c>
      <c r="N291" s="195">
        <v>0</v>
      </c>
      <c r="O291" s="197">
        <v>53.42</v>
      </c>
      <c r="P291" s="195">
        <v>24</v>
      </c>
      <c r="Q291" s="195" t="s">
        <v>1</v>
      </c>
      <c r="R291" s="196" t="s">
        <v>1252</v>
      </c>
      <c r="S291" s="197">
        <v>0</v>
      </c>
      <c r="T291" s="197">
        <v>53.42</v>
      </c>
      <c r="U291" s="195">
        <v>24</v>
      </c>
      <c r="V291" s="197" t="s">
        <v>1</v>
      </c>
      <c r="W291" s="196" t="s">
        <v>1252</v>
      </c>
      <c r="X291" s="195">
        <v>0</v>
      </c>
      <c r="Y291" s="197">
        <v>53.42</v>
      </c>
      <c r="Z291" s="195">
        <v>24</v>
      </c>
      <c r="AA291" s="196" t="s">
        <v>1</v>
      </c>
      <c r="AB291" s="196" t="s">
        <v>1</v>
      </c>
      <c r="AC291" s="197">
        <v>0</v>
      </c>
      <c r="AD291" s="197">
        <v>53.42</v>
      </c>
      <c r="AE291" s="197">
        <v>24</v>
      </c>
      <c r="AF291" s="198" t="s">
        <v>1</v>
      </c>
      <c r="AG291" s="198" t="s">
        <v>1</v>
      </c>
      <c r="AH291" s="198" t="s">
        <v>1</v>
      </c>
      <c r="AI291" s="209" t="s">
        <v>1</v>
      </c>
      <c r="AJ291" s="209" t="s">
        <v>1</v>
      </c>
      <c r="AK291" s="209" t="s">
        <v>1</v>
      </c>
      <c r="AL291" s="214" t="s">
        <v>1</v>
      </c>
      <c r="AM291" s="200" t="s">
        <v>1</v>
      </c>
      <c r="AN291" s="199" t="s">
        <v>1</v>
      </c>
      <c r="AO291" s="199" t="s">
        <v>1</v>
      </c>
      <c r="AP291" s="198" t="s">
        <v>1</v>
      </c>
      <c r="AQ291" s="198" t="s">
        <v>1</v>
      </c>
      <c r="AR291" s="201" t="s">
        <v>1</v>
      </c>
      <c r="AS291" s="201" t="s">
        <v>1</v>
      </c>
      <c r="AT291" s="199" t="s">
        <v>1</v>
      </c>
      <c r="AU291" s="199" t="s">
        <v>1</v>
      </c>
      <c r="AV291" s="202" t="s">
        <v>1</v>
      </c>
      <c r="AW291" s="199" t="s">
        <v>1</v>
      </c>
    </row>
    <row r="292" spans="1:49" ht="30.15" customHeight="1" x14ac:dyDescent="0.25">
      <c r="A292" s="213" t="s">
        <v>18</v>
      </c>
      <c r="B292" s="188" t="s">
        <v>1</v>
      </c>
      <c r="C292" s="212" t="s">
        <v>34</v>
      </c>
      <c r="D292" s="190" t="s">
        <v>3</v>
      </c>
      <c r="E292" s="190" t="s">
        <v>701</v>
      </c>
      <c r="F292" s="203"/>
      <c r="G292" s="190" t="s">
        <v>659</v>
      </c>
      <c r="H292" s="192" t="s">
        <v>409</v>
      </c>
      <c r="I292" s="193">
        <v>1439</v>
      </c>
      <c r="J292" s="193">
        <v>1473</v>
      </c>
      <c r="K292" s="193">
        <v>1473</v>
      </c>
      <c r="L292" s="193">
        <v>1555</v>
      </c>
      <c r="M292" s="194">
        <v>1555</v>
      </c>
      <c r="N292" s="195">
        <v>0</v>
      </c>
      <c r="O292" s="195">
        <v>12.709999999999999</v>
      </c>
      <c r="P292" s="195">
        <v>24</v>
      </c>
      <c r="Q292" s="226">
        <v>290</v>
      </c>
      <c r="R292" s="227" t="s">
        <v>1253</v>
      </c>
      <c r="S292" s="197">
        <v>0</v>
      </c>
      <c r="T292" s="195">
        <v>12.709999999999999</v>
      </c>
      <c r="U292" s="195">
        <v>24</v>
      </c>
      <c r="V292" s="226">
        <v>290</v>
      </c>
      <c r="W292" s="226" t="s">
        <v>1253</v>
      </c>
      <c r="X292" s="195">
        <v>0</v>
      </c>
      <c r="Y292" s="195">
        <v>14.709999999999999</v>
      </c>
      <c r="Z292" s="195">
        <v>24</v>
      </c>
      <c r="AA292" s="196">
        <v>290</v>
      </c>
      <c r="AB292" s="196" t="s">
        <v>1</v>
      </c>
      <c r="AC292" s="197">
        <v>0</v>
      </c>
      <c r="AD292" s="195">
        <v>14.709999999999999</v>
      </c>
      <c r="AE292" s="197">
        <v>24</v>
      </c>
      <c r="AF292" s="198">
        <v>290</v>
      </c>
      <c r="AG292" s="198" t="s">
        <v>1</v>
      </c>
      <c r="AH292" s="198" t="s">
        <v>1</v>
      </c>
      <c r="AI292" s="209" t="s">
        <v>1</v>
      </c>
      <c r="AJ292" s="209" t="s">
        <v>1</v>
      </c>
      <c r="AK292" s="209" t="s">
        <v>1</v>
      </c>
      <c r="AL292" s="214" t="s">
        <v>1</v>
      </c>
      <c r="AM292" s="200" t="s">
        <v>1</v>
      </c>
      <c r="AN292" s="199" t="s">
        <v>1</v>
      </c>
      <c r="AO292" s="199" t="s">
        <v>1</v>
      </c>
      <c r="AP292" s="198" t="s">
        <v>1</v>
      </c>
      <c r="AQ292" s="198" t="s">
        <v>1</v>
      </c>
      <c r="AR292" s="201" t="s">
        <v>1</v>
      </c>
      <c r="AS292" s="201" t="s">
        <v>1</v>
      </c>
      <c r="AT292" s="199" t="s">
        <v>1</v>
      </c>
      <c r="AU292" s="199" t="s">
        <v>1</v>
      </c>
      <c r="AV292" s="202" t="s">
        <v>1</v>
      </c>
      <c r="AW292" s="199" t="s">
        <v>1</v>
      </c>
    </row>
    <row r="293" spans="1:49" ht="30.15" customHeight="1" x14ac:dyDescent="0.25">
      <c r="A293" s="213" t="s">
        <v>18</v>
      </c>
      <c r="B293" s="188" t="s">
        <v>1</v>
      </c>
      <c r="C293" s="212" t="s">
        <v>34</v>
      </c>
      <c r="D293" s="190" t="s">
        <v>3</v>
      </c>
      <c r="E293" s="190" t="s">
        <v>702</v>
      </c>
      <c r="F293" s="203"/>
      <c r="G293" s="190" t="s">
        <v>659</v>
      </c>
      <c r="H293" s="192" t="s">
        <v>409</v>
      </c>
      <c r="I293" s="193">
        <v>1439</v>
      </c>
      <c r="J293" s="193">
        <v>1473</v>
      </c>
      <c r="K293" s="193">
        <v>1473</v>
      </c>
      <c r="L293" s="193">
        <v>1555</v>
      </c>
      <c r="M293" s="194">
        <v>1555</v>
      </c>
      <c r="N293" s="195">
        <v>0</v>
      </c>
      <c r="O293" s="195">
        <v>12.709999999999999</v>
      </c>
      <c r="P293" s="195">
        <v>24</v>
      </c>
      <c r="Q293" s="226">
        <v>290</v>
      </c>
      <c r="R293" s="227" t="s">
        <v>1253</v>
      </c>
      <c r="S293" s="197">
        <v>0</v>
      </c>
      <c r="T293" s="195">
        <v>12.709999999999999</v>
      </c>
      <c r="U293" s="195">
        <v>24</v>
      </c>
      <c r="V293" s="226">
        <v>290</v>
      </c>
      <c r="W293" s="226" t="s">
        <v>1253</v>
      </c>
      <c r="X293" s="195">
        <v>0</v>
      </c>
      <c r="Y293" s="195">
        <v>14.709999999999999</v>
      </c>
      <c r="Z293" s="195">
        <v>24</v>
      </c>
      <c r="AA293" s="196">
        <v>290</v>
      </c>
      <c r="AB293" s="196" t="s">
        <v>1</v>
      </c>
      <c r="AC293" s="197">
        <v>0</v>
      </c>
      <c r="AD293" s="195">
        <v>14.709999999999999</v>
      </c>
      <c r="AE293" s="197">
        <v>24</v>
      </c>
      <c r="AF293" s="198">
        <v>290</v>
      </c>
      <c r="AG293" s="198" t="s">
        <v>1</v>
      </c>
      <c r="AH293" s="198" t="s">
        <v>1</v>
      </c>
      <c r="AI293" s="209" t="s">
        <v>1</v>
      </c>
      <c r="AJ293" s="209" t="s">
        <v>1</v>
      </c>
      <c r="AK293" s="209" t="s">
        <v>1</v>
      </c>
      <c r="AL293" s="214" t="s">
        <v>1</v>
      </c>
      <c r="AM293" s="200" t="s">
        <v>1</v>
      </c>
      <c r="AN293" s="199" t="s">
        <v>1</v>
      </c>
      <c r="AO293" s="199" t="s">
        <v>1</v>
      </c>
      <c r="AP293" s="198" t="s">
        <v>1</v>
      </c>
      <c r="AQ293" s="198" t="s">
        <v>1</v>
      </c>
      <c r="AR293" s="201" t="s">
        <v>1</v>
      </c>
      <c r="AS293" s="201" t="s">
        <v>1</v>
      </c>
      <c r="AT293" s="199" t="s">
        <v>1</v>
      </c>
      <c r="AU293" s="199" t="s">
        <v>1</v>
      </c>
      <c r="AV293" s="202" t="s">
        <v>1</v>
      </c>
      <c r="AW293" s="199" t="s">
        <v>1</v>
      </c>
    </row>
    <row r="294" spans="1:49" ht="30.15" customHeight="1" x14ac:dyDescent="0.25">
      <c r="A294" s="213" t="s">
        <v>18</v>
      </c>
      <c r="B294" s="188" t="s">
        <v>1</v>
      </c>
      <c r="C294" s="212" t="s">
        <v>34</v>
      </c>
      <c r="D294" s="190" t="s">
        <v>3</v>
      </c>
      <c r="E294" s="190" t="s">
        <v>703</v>
      </c>
      <c r="F294" s="203"/>
      <c r="G294" s="190" t="s">
        <v>659</v>
      </c>
      <c r="H294" s="192" t="s">
        <v>409</v>
      </c>
      <c r="I294" s="193">
        <v>1439</v>
      </c>
      <c r="J294" s="193">
        <v>1473</v>
      </c>
      <c r="K294" s="193">
        <v>1473</v>
      </c>
      <c r="L294" s="193">
        <v>1555</v>
      </c>
      <c r="M294" s="194">
        <v>1555</v>
      </c>
      <c r="N294" s="195">
        <v>0</v>
      </c>
      <c r="O294" s="195">
        <v>12.709999999999999</v>
      </c>
      <c r="P294" s="195">
        <v>24</v>
      </c>
      <c r="Q294" s="226">
        <v>290</v>
      </c>
      <c r="R294" s="227" t="s">
        <v>1253</v>
      </c>
      <c r="S294" s="197">
        <v>0</v>
      </c>
      <c r="T294" s="195">
        <v>12.709999999999999</v>
      </c>
      <c r="U294" s="195">
        <v>24</v>
      </c>
      <c r="V294" s="226">
        <v>290</v>
      </c>
      <c r="W294" s="226" t="s">
        <v>1253</v>
      </c>
      <c r="X294" s="195">
        <v>0</v>
      </c>
      <c r="Y294" s="195">
        <v>14.709999999999999</v>
      </c>
      <c r="Z294" s="195">
        <v>24</v>
      </c>
      <c r="AA294" s="196">
        <v>290</v>
      </c>
      <c r="AB294" s="196" t="s">
        <v>1</v>
      </c>
      <c r="AC294" s="197">
        <v>0</v>
      </c>
      <c r="AD294" s="195">
        <v>14.709999999999999</v>
      </c>
      <c r="AE294" s="197">
        <v>24</v>
      </c>
      <c r="AF294" s="198">
        <v>290</v>
      </c>
      <c r="AG294" s="198" t="s">
        <v>1</v>
      </c>
      <c r="AH294" s="198" t="s">
        <v>1</v>
      </c>
      <c r="AI294" s="209" t="s">
        <v>1</v>
      </c>
      <c r="AJ294" s="209" t="s">
        <v>1</v>
      </c>
      <c r="AK294" s="209" t="s">
        <v>1</v>
      </c>
      <c r="AL294" s="214" t="s">
        <v>1</v>
      </c>
      <c r="AM294" s="200" t="s">
        <v>1</v>
      </c>
      <c r="AN294" s="199" t="s">
        <v>1</v>
      </c>
      <c r="AO294" s="199" t="s">
        <v>1</v>
      </c>
      <c r="AP294" s="198" t="s">
        <v>1</v>
      </c>
      <c r="AQ294" s="198" t="s">
        <v>1</v>
      </c>
      <c r="AR294" s="201" t="s">
        <v>1</v>
      </c>
      <c r="AS294" s="201" t="s">
        <v>1</v>
      </c>
      <c r="AT294" s="199" t="s">
        <v>1</v>
      </c>
      <c r="AU294" s="199" t="s">
        <v>1</v>
      </c>
      <c r="AV294" s="202" t="s">
        <v>1</v>
      </c>
      <c r="AW294" s="199" t="s">
        <v>1</v>
      </c>
    </row>
    <row r="295" spans="1:49" ht="30.15" customHeight="1" x14ac:dyDescent="0.25">
      <c r="A295" s="213" t="s">
        <v>18</v>
      </c>
      <c r="B295" s="188" t="s">
        <v>1</v>
      </c>
      <c r="C295" s="212" t="s">
        <v>34</v>
      </c>
      <c r="D295" s="190" t="s">
        <v>3</v>
      </c>
      <c r="E295" s="190" t="s">
        <v>704</v>
      </c>
      <c r="F295" s="203"/>
      <c r="G295" s="190" t="s">
        <v>659</v>
      </c>
      <c r="H295" s="192" t="s">
        <v>409</v>
      </c>
      <c r="I295" s="193">
        <v>1439</v>
      </c>
      <c r="J295" s="193">
        <v>1473</v>
      </c>
      <c r="K295" s="193">
        <v>1473</v>
      </c>
      <c r="L295" s="193">
        <v>1555</v>
      </c>
      <c r="M295" s="194">
        <v>1555</v>
      </c>
      <c r="N295" s="195">
        <v>0</v>
      </c>
      <c r="O295" s="195">
        <v>12.709999999999999</v>
      </c>
      <c r="P295" s="195">
        <v>24</v>
      </c>
      <c r="Q295" s="226">
        <v>290</v>
      </c>
      <c r="R295" s="227" t="s">
        <v>1253</v>
      </c>
      <c r="S295" s="197">
        <v>0</v>
      </c>
      <c r="T295" s="195">
        <v>12.709999999999999</v>
      </c>
      <c r="U295" s="195">
        <v>24</v>
      </c>
      <c r="V295" s="226">
        <v>290</v>
      </c>
      <c r="W295" s="226" t="s">
        <v>1253</v>
      </c>
      <c r="X295" s="195">
        <v>0</v>
      </c>
      <c r="Y295" s="195">
        <v>14.709999999999999</v>
      </c>
      <c r="Z295" s="195">
        <v>24</v>
      </c>
      <c r="AA295" s="196">
        <v>290</v>
      </c>
      <c r="AB295" s="196" t="s">
        <v>1</v>
      </c>
      <c r="AC295" s="197">
        <v>0</v>
      </c>
      <c r="AD295" s="195">
        <v>14.709999999999999</v>
      </c>
      <c r="AE295" s="197">
        <v>24</v>
      </c>
      <c r="AF295" s="198">
        <v>290</v>
      </c>
      <c r="AG295" s="198" t="s">
        <v>1</v>
      </c>
      <c r="AH295" s="198" t="s">
        <v>1</v>
      </c>
      <c r="AI295" s="209" t="s">
        <v>1</v>
      </c>
      <c r="AJ295" s="209" t="s">
        <v>1</v>
      </c>
      <c r="AK295" s="209" t="s">
        <v>1</v>
      </c>
      <c r="AL295" s="214" t="s">
        <v>1</v>
      </c>
      <c r="AM295" s="200" t="s">
        <v>1</v>
      </c>
      <c r="AN295" s="199" t="s">
        <v>1</v>
      </c>
      <c r="AO295" s="199" t="s">
        <v>1</v>
      </c>
      <c r="AP295" s="198" t="s">
        <v>1</v>
      </c>
      <c r="AQ295" s="198" t="s">
        <v>1</v>
      </c>
      <c r="AR295" s="201" t="s">
        <v>1</v>
      </c>
      <c r="AS295" s="201" t="s">
        <v>1</v>
      </c>
      <c r="AT295" s="199" t="s">
        <v>1</v>
      </c>
      <c r="AU295" s="199" t="s">
        <v>1</v>
      </c>
      <c r="AV295" s="202" t="s">
        <v>1</v>
      </c>
      <c r="AW295" s="199" t="s">
        <v>1</v>
      </c>
    </row>
    <row r="296" spans="1:49" ht="30.15" customHeight="1" x14ac:dyDescent="0.25">
      <c r="A296" s="213" t="s">
        <v>18</v>
      </c>
      <c r="B296" s="188" t="s">
        <v>1</v>
      </c>
      <c r="C296" s="212" t="s">
        <v>34</v>
      </c>
      <c r="D296" s="190" t="s">
        <v>3</v>
      </c>
      <c r="E296" s="190" t="s">
        <v>697</v>
      </c>
      <c r="F296" s="203"/>
      <c r="G296" s="190" t="s">
        <v>660</v>
      </c>
      <c r="H296" s="192" t="s">
        <v>409</v>
      </c>
      <c r="I296" s="193">
        <v>1639</v>
      </c>
      <c r="J296" s="193">
        <v>1682</v>
      </c>
      <c r="K296" s="193">
        <v>1682</v>
      </c>
      <c r="L296" s="193">
        <v>1775</v>
      </c>
      <c r="M296" s="194">
        <v>1775</v>
      </c>
      <c r="N296" s="195">
        <v>0</v>
      </c>
      <c r="O296" s="195">
        <v>12.709999999999999</v>
      </c>
      <c r="P296" s="195">
        <v>24</v>
      </c>
      <c r="Q296" s="226">
        <v>330</v>
      </c>
      <c r="R296" s="227" t="s">
        <v>1254</v>
      </c>
      <c r="S296" s="197">
        <v>0</v>
      </c>
      <c r="T296" s="195">
        <v>12.709999999999999</v>
      </c>
      <c r="U296" s="195">
        <v>24</v>
      </c>
      <c r="V296" s="226">
        <v>330</v>
      </c>
      <c r="W296" s="226" t="s">
        <v>1254</v>
      </c>
      <c r="X296" s="195">
        <v>0</v>
      </c>
      <c r="Y296" s="195">
        <v>14.709999999999999</v>
      </c>
      <c r="Z296" s="195">
        <v>24</v>
      </c>
      <c r="AA296" s="196">
        <v>330</v>
      </c>
      <c r="AB296" s="196" t="s">
        <v>1</v>
      </c>
      <c r="AC296" s="197">
        <v>0</v>
      </c>
      <c r="AD296" s="195">
        <v>14.709999999999999</v>
      </c>
      <c r="AE296" s="197">
        <v>24</v>
      </c>
      <c r="AF296" s="198">
        <v>330</v>
      </c>
      <c r="AG296" s="198" t="s">
        <v>1</v>
      </c>
      <c r="AH296" s="198" t="s">
        <v>1</v>
      </c>
      <c r="AI296" s="209" t="s">
        <v>1</v>
      </c>
      <c r="AJ296" s="209" t="s">
        <v>1</v>
      </c>
      <c r="AK296" s="209" t="s">
        <v>1</v>
      </c>
      <c r="AL296" s="214" t="s">
        <v>1</v>
      </c>
      <c r="AM296" s="200" t="s">
        <v>1</v>
      </c>
      <c r="AN296" s="199" t="s">
        <v>1</v>
      </c>
      <c r="AO296" s="199" t="s">
        <v>1</v>
      </c>
      <c r="AP296" s="198" t="s">
        <v>1</v>
      </c>
      <c r="AQ296" s="198" t="s">
        <v>1</v>
      </c>
      <c r="AR296" s="201" t="s">
        <v>1</v>
      </c>
      <c r="AS296" s="201" t="s">
        <v>1</v>
      </c>
      <c r="AT296" s="199" t="s">
        <v>1</v>
      </c>
      <c r="AU296" s="199" t="s">
        <v>1</v>
      </c>
      <c r="AV296" s="202" t="s">
        <v>1</v>
      </c>
      <c r="AW296" s="199" t="s">
        <v>1</v>
      </c>
    </row>
    <row r="297" spans="1:49" ht="30.15" customHeight="1" x14ac:dyDescent="0.25">
      <c r="A297" s="213" t="s">
        <v>18</v>
      </c>
      <c r="B297" s="188" t="s">
        <v>1</v>
      </c>
      <c r="C297" s="212" t="s">
        <v>34</v>
      </c>
      <c r="D297" s="190" t="s">
        <v>3</v>
      </c>
      <c r="E297" s="190" t="s">
        <v>698</v>
      </c>
      <c r="F297" s="203"/>
      <c r="G297" s="190" t="s">
        <v>660</v>
      </c>
      <c r="H297" s="192" t="s">
        <v>409</v>
      </c>
      <c r="I297" s="193">
        <v>1639</v>
      </c>
      <c r="J297" s="193">
        <v>1682</v>
      </c>
      <c r="K297" s="193">
        <v>1682</v>
      </c>
      <c r="L297" s="193">
        <v>1775</v>
      </c>
      <c r="M297" s="194">
        <v>1775</v>
      </c>
      <c r="N297" s="195">
        <v>0</v>
      </c>
      <c r="O297" s="195">
        <v>12.709999999999999</v>
      </c>
      <c r="P297" s="195">
        <v>24</v>
      </c>
      <c r="Q297" s="226">
        <v>330</v>
      </c>
      <c r="R297" s="227" t="s">
        <v>1254</v>
      </c>
      <c r="S297" s="197">
        <v>0</v>
      </c>
      <c r="T297" s="195">
        <v>12.709999999999999</v>
      </c>
      <c r="U297" s="195">
        <v>24</v>
      </c>
      <c r="V297" s="226">
        <v>330</v>
      </c>
      <c r="W297" s="226" t="s">
        <v>1254</v>
      </c>
      <c r="X297" s="195">
        <v>0</v>
      </c>
      <c r="Y297" s="195">
        <v>14.709999999999999</v>
      </c>
      <c r="Z297" s="195">
        <v>24</v>
      </c>
      <c r="AA297" s="196">
        <v>330</v>
      </c>
      <c r="AB297" s="196" t="s">
        <v>1</v>
      </c>
      <c r="AC297" s="197">
        <v>0</v>
      </c>
      <c r="AD297" s="195">
        <v>14.709999999999999</v>
      </c>
      <c r="AE297" s="197">
        <v>24</v>
      </c>
      <c r="AF297" s="198">
        <v>330</v>
      </c>
      <c r="AG297" s="198" t="s">
        <v>1</v>
      </c>
      <c r="AH297" s="198" t="s">
        <v>1</v>
      </c>
      <c r="AI297" s="209" t="s">
        <v>1</v>
      </c>
      <c r="AJ297" s="209" t="s">
        <v>1</v>
      </c>
      <c r="AK297" s="209" t="s">
        <v>1</v>
      </c>
      <c r="AL297" s="214" t="s">
        <v>1</v>
      </c>
      <c r="AM297" s="200" t="s">
        <v>1</v>
      </c>
      <c r="AN297" s="199" t="s">
        <v>1</v>
      </c>
      <c r="AO297" s="199" t="s">
        <v>1</v>
      </c>
      <c r="AP297" s="198" t="s">
        <v>1</v>
      </c>
      <c r="AQ297" s="198" t="s">
        <v>1</v>
      </c>
      <c r="AR297" s="201" t="s">
        <v>1</v>
      </c>
      <c r="AS297" s="201" t="s">
        <v>1</v>
      </c>
      <c r="AT297" s="199" t="s">
        <v>1</v>
      </c>
      <c r="AU297" s="199" t="s">
        <v>1</v>
      </c>
      <c r="AV297" s="202" t="s">
        <v>1</v>
      </c>
      <c r="AW297" s="199" t="s">
        <v>1</v>
      </c>
    </row>
    <row r="298" spans="1:49" ht="30.15" customHeight="1" x14ac:dyDescent="0.25">
      <c r="A298" s="213" t="s">
        <v>18</v>
      </c>
      <c r="B298" s="188" t="s">
        <v>1</v>
      </c>
      <c r="C298" s="212" t="s">
        <v>34</v>
      </c>
      <c r="D298" s="190" t="s">
        <v>3</v>
      </c>
      <c r="E298" s="190" t="s">
        <v>699</v>
      </c>
      <c r="F298" s="203"/>
      <c r="G298" s="190" t="s">
        <v>660</v>
      </c>
      <c r="H298" s="192" t="s">
        <v>409</v>
      </c>
      <c r="I298" s="193">
        <v>1639</v>
      </c>
      <c r="J298" s="193">
        <v>1682</v>
      </c>
      <c r="K298" s="193">
        <v>1682</v>
      </c>
      <c r="L298" s="193">
        <v>1775</v>
      </c>
      <c r="M298" s="194">
        <v>1775</v>
      </c>
      <c r="N298" s="195">
        <v>0</v>
      </c>
      <c r="O298" s="195">
        <v>12.709999999999999</v>
      </c>
      <c r="P298" s="195">
        <v>24</v>
      </c>
      <c r="Q298" s="226">
        <v>330</v>
      </c>
      <c r="R298" s="227" t="s">
        <v>1254</v>
      </c>
      <c r="S298" s="197">
        <v>0</v>
      </c>
      <c r="T298" s="195">
        <v>12.709999999999999</v>
      </c>
      <c r="U298" s="195">
        <v>24</v>
      </c>
      <c r="V298" s="226">
        <v>330</v>
      </c>
      <c r="W298" s="226" t="s">
        <v>1254</v>
      </c>
      <c r="X298" s="195">
        <v>0</v>
      </c>
      <c r="Y298" s="195">
        <v>14.709999999999999</v>
      </c>
      <c r="Z298" s="195">
        <v>24</v>
      </c>
      <c r="AA298" s="196">
        <v>330</v>
      </c>
      <c r="AB298" s="196" t="s">
        <v>1</v>
      </c>
      <c r="AC298" s="197">
        <v>0</v>
      </c>
      <c r="AD298" s="195">
        <v>14.709999999999999</v>
      </c>
      <c r="AE298" s="197">
        <v>24</v>
      </c>
      <c r="AF298" s="198">
        <v>330</v>
      </c>
      <c r="AG298" s="198" t="s">
        <v>1</v>
      </c>
      <c r="AH298" s="198" t="s">
        <v>1</v>
      </c>
      <c r="AI298" s="209" t="s">
        <v>1</v>
      </c>
      <c r="AJ298" s="209" t="s">
        <v>1</v>
      </c>
      <c r="AK298" s="209" t="s">
        <v>1</v>
      </c>
      <c r="AL298" s="214" t="s">
        <v>1</v>
      </c>
      <c r="AM298" s="200" t="s">
        <v>1</v>
      </c>
      <c r="AN298" s="199" t="s">
        <v>1</v>
      </c>
      <c r="AO298" s="199" t="s">
        <v>1</v>
      </c>
      <c r="AP298" s="198" t="s">
        <v>1</v>
      </c>
      <c r="AQ298" s="198" t="s">
        <v>1</v>
      </c>
      <c r="AR298" s="201" t="s">
        <v>1</v>
      </c>
      <c r="AS298" s="201" t="s">
        <v>1</v>
      </c>
      <c r="AT298" s="199" t="s">
        <v>1</v>
      </c>
      <c r="AU298" s="199" t="s">
        <v>1</v>
      </c>
      <c r="AV298" s="202" t="s">
        <v>1</v>
      </c>
      <c r="AW298" s="199" t="s">
        <v>1</v>
      </c>
    </row>
    <row r="299" spans="1:49" ht="30.15" customHeight="1" x14ac:dyDescent="0.25">
      <c r="A299" s="213" t="s">
        <v>18</v>
      </c>
      <c r="B299" s="188" t="s">
        <v>1</v>
      </c>
      <c r="C299" s="212" t="s">
        <v>34</v>
      </c>
      <c r="D299" s="190" t="s">
        <v>3</v>
      </c>
      <c r="E299" s="190" t="s">
        <v>700</v>
      </c>
      <c r="F299" s="203"/>
      <c r="G299" s="190" t="s">
        <v>660</v>
      </c>
      <c r="H299" s="192" t="s">
        <v>409</v>
      </c>
      <c r="I299" s="193">
        <v>1639</v>
      </c>
      <c r="J299" s="193">
        <v>1682</v>
      </c>
      <c r="K299" s="193">
        <v>1682</v>
      </c>
      <c r="L299" s="193">
        <v>1775</v>
      </c>
      <c r="M299" s="194">
        <v>1775</v>
      </c>
      <c r="N299" s="195">
        <v>0</v>
      </c>
      <c r="O299" s="195">
        <v>12.709999999999999</v>
      </c>
      <c r="P299" s="195">
        <v>24</v>
      </c>
      <c r="Q299" s="226">
        <v>330</v>
      </c>
      <c r="R299" s="227" t="s">
        <v>1254</v>
      </c>
      <c r="S299" s="197">
        <v>0</v>
      </c>
      <c r="T299" s="195">
        <v>12.709999999999999</v>
      </c>
      <c r="U299" s="195">
        <v>24</v>
      </c>
      <c r="V299" s="226">
        <v>330</v>
      </c>
      <c r="W299" s="226" t="s">
        <v>1254</v>
      </c>
      <c r="X299" s="195">
        <v>0</v>
      </c>
      <c r="Y299" s="195">
        <v>14.709999999999999</v>
      </c>
      <c r="Z299" s="195">
        <v>24</v>
      </c>
      <c r="AA299" s="196">
        <v>330</v>
      </c>
      <c r="AB299" s="196" t="s">
        <v>1</v>
      </c>
      <c r="AC299" s="197">
        <v>0</v>
      </c>
      <c r="AD299" s="195">
        <v>14.709999999999999</v>
      </c>
      <c r="AE299" s="197">
        <v>24</v>
      </c>
      <c r="AF299" s="198">
        <v>330</v>
      </c>
      <c r="AG299" s="198" t="s">
        <v>1</v>
      </c>
      <c r="AH299" s="198" t="s">
        <v>1</v>
      </c>
      <c r="AI299" s="209" t="s">
        <v>1</v>
      </c>
      <c r="AJ299" s="209" t="s">
        <v>1</v>
      </c>
      <c r="AK299" s="209" t="s">
        <v>1</v>
      </c>
      <c r="AL299" s="214" t="s">
        <v>1</v>
      </c>
      <c r="AM299" s="200" t="s">
        <v>1</v>
      </c>
      <c r="AN299" s="199" t="s">
        <v>1</v>
      </c>
      <c r="AO299" s="199" t="s">
        <v>1</v>
      </c>
      <c r="AP299" s="198" t="s">
        <v>1</v>
      </c>
      <c r="AQ299" s="198" t="s">
        <v>1</v>
      </c>
      <c r="AR299" s="201" t="s">
        <v>1</v>
      </c>
      <c r="AS299" s="201" t="s">
        <v>1</v>
      </c>
      <c r="AT299" s="199" t="s">
        <v>1</v>
      </c>
      <c r="AU299" s="199" t="s">
        <v>1</v>
      </c>
      <c r="AV299" s="202" t="s">
        <v>1</v>
      </c>
      <c r="AW299" s="199" t="s">
        <v>1</v>
      </c>
    </row>
    <row r="300" spans="1:49" ht="30.15" customHeight="1" x14ac:dyDescent="0.25">
      <c r="A300" s="213" t="s">
        <v>18</v>
      </c>
      <c r="B300" s="188" t="s">
        <v>1</v>
      </c>
      <c r="C300" s="212" t="s">
        <v>34</v>
      </c>
      <c r="D300" s="190" t="s">
        <v>3</v>
      </c>
      <c r="E300" s="190" t="s">
        <v>693</v>
      </c>
      <c r="F300" s="203"/>
      <c r="G300" s="190" t="s">
        <v>661</v>
      </c>
      <c r="H300" s="192" t="s">
        <v>409</v>
      </c>
      <c r="I300" s="193">
        <v>1909</v>
      </c>
      <c r="J300" s="193">
        <v>1957</v>
      </c>
      <c r="K300" s="193">
        <v>1957</v>
      </c>
      <c r="L300" s="193">
        <v>2065</v>
      </c>
      <c r="M300" s="194">
        <v>2065</v>
      </c>
      <c r="N300" s="195">
        <v>0</v>
      </c>
      <c r="O300" s="195">
        <v>12.709999999999999</v>
      </c>
      <c r="P300" s="195">
        <v>24</v>
      </c>
      <c r="Q300" s="226">
        <v>390</v>
      </c>
      <c r="R300" s="227" t="s">
        <v>1255</v>
      </c>
      <c r="S300" s="197">
        <v>0</v>
      </c>
      <c r="T300" s="195">
        <v>12.709999999999999</v>
      </c>
      <c r="U300" s="195">
        <v>24</v>
      </c>
      <c r="V300" s="226">
        <v>390</v>
      </c>
      <c r="W300" s="226" t="s">
        <v>1255</v>
      </c>
      <c r="X300" s="195">
        <v>0</v>
      </c>
      <c r="Y300" s="195">
        <v>14.709999999999999</v>
      </c>
      <c r="Z300" s="195">
        <v>24</v>
      </c>
      <c r="AA300" s="196">
        <v>390</v>
      </c>
      <c r="AB300" s="196" t="s">
        <v>1</v>
      </c>
      <c r="AC300" s="197">
        <v>0</v>
      </c>
      <c r="AD300" s="195">
        <v>14.709999999999999</v>
      </c>
      <c r="AE300" s="197">
        <v>24</v>
      </c>
      <c r="AF300" s="198">
        <v>390</v>
      </c>
      <c r="AG300" s="198" t="s">
        <v>1</v>
      </c>
      <c r="AH300" s="198" t="s">
        <v>1</v>
      </c>
      <c r="AI300" s="209" t="s">
        <v>1</v>
      </c>
      <c r="AJ300" s="209" t="s">
        <v>1</v>
      </c>
      <c r="AK300" s="209" t="s">
        <v>1</v>
      </c>
      <c r="AL300" s="214" t="s">
        <v>1</v>
      </c>
      <c r="AM300" s="200" t="s">
        <v>1</v>
      </c>
      <c r="AN300" s="199" t="s">
        <v>1</v>
      </c>
      <c r="AO300" s="199" t="s">
        <v>1</v>
      </c>
      <c r="AP300" s="198" t="s">
        <v>1</v>
      </c>
      <c r="AQ300" s="198" t="s">
        <v>1</v>
      </c>
      <c r="AR300" s="201" t="s">
        <v>1</v>
      </c>
      <c r="AS300" s="201" t="s">
        <v>1</v>
      </c>
      <c r="AT300" s="199" t="s">
        <v>1</v>
      </c>
      <c r="AU300" s="199" t="s">
        <v>1</v>
      </c>
      <c r="AV300" s="202" t="s">
        <v>1</v>
      </c>
      <c r="AW300" s="199" t="s">
        <v>1</v>
      </c>
    </row>
    <row r="301" spans="1:49" ht="30.15" customHeight="1" x14ac:dyDescent="0.25">
      <c r="A301" s="213" t="s">
        <v>18</v>
      </c>
      <c r="B301" s="188" t="s">
        <v>1</v>
      </c>
      <c r="C301" s="212" t="s">
        <v>34</v>
      </c>
      <c r="D301" s="190" t="s">
        <v>3</v>
      </c>
      <c r="E301" s="190" t="s">
        <v>694</v>
      </c>
      <c r="F301" s="203"/>
      <c r="G301" s="190" t="s">
        <v>661</v>
      </c>
      <c r="H301" s="192" t="s">
        <v>409</v>
      </c>
      <c r="I301" s="193">
        <v>1909</v>
      </c>
      <c r="J301" s="193">
        <v>1957</v>
      </c>
      <c r="K301" s="193">
        <v>1957</v>
      </c>
      <c r="L301" s="193">
        <v>2065</v>
      </c>
      <c r="M301" s="194">
        <v>2065</v>
      </c>
      <c r="N301" s="195">
        <v>0</v>
      </c>
      <c r="O301" s="195">
        <v>12.709999999999999</v>
      </c>
      <c r="P301" s="195">
        <v>24</v>
      </c>
      <c r="Q301" s="226">
        <v>390</v>
      </c>
      <c r="R301" s="227" t="s">
        <v>1255</v>
      </c>
      <c r="S301" s="197">
        <v>0</v>
      </c>
      <c r="T301" s="195">
        <v>12.709999999999999</v>
      </c>
      <c r="U301" s="195">
        <v>24</v>
      </c>
      <c r="V301" s="226">
        <v>390</v>
      </c>
      <c r="W301" s="226" t="s">
        <v>1255</v>
      </c>
      <c r="X301" s="195">
        <v>0</v>
      </c>
      <c r="Y301" s="195">
        <v>14.709999999999999</v>
      </c>
      <c r="Z301" s="195">
        <v>24</v>
      </c>
      <c r="AA301" s="196">
        <v>390</v>
      </c>
      <c r="AB301" s="196" t="s">
        <v>1</v>
      </c>
      <c r="AC301" s="197">
        <v>0</v>
      </c>
      <c r="AD301" s="195">
        <v>14.709999999999999</v>
      </c>
      <c r="AE301" s="197">
        <v>24</v>
      </c>
      <c r="AF301" s="198">
        <v>390</v>
      </c>
      <c r="AG301" s="198" t="s">
        <v>1</v>
      </c>
      <c r="AH301" s="198" t="s">
        <v>1</v>
      </c>
      <c r="AI301" s="209" t="s">
        <v>1</v>
      </c>
      <c r="AJ301" s="209" t="s">
        <v>1</v>
      </c>
      <c r="AK301" s="209" t="s">
        <v>1</v>
      </c>
      <c r="AL301" s="214" t="s">
        <v>1</v>
      </c>
      <c r="AM301" s="200" t="s">
        <v>1</v>
      </c>
      <c r="AN301" s="199" t="s">
        <v>1</v>
      </c>
      <c r="AO301" s="199" t="s">
        <v>1</v>
      </c>
      <c r="AP301" s="198" t="s">
        <v>1</v>
      </c>
      <c r="AQ301" s="198" t="s">
        <v>1</v>
      </c>
      <c r="AR301" s="201" t="s">
        <v>1</v>
      </c>
      <c r="AS301" s="201" t="s">
        <v>1</v>
      </c>
      <c r="AT301" s="199" t="s">
        <v>1</v>
      </c>
      <c r="AU301" s="199" t="s">
        <v>1</v>
      </c>
      <c r="AV301" s="202" t="s">
        <v>1</v>
      </c>
      <c r="AW301" s="199" t="s">
        <v>1</v>
      </c>
    </row>
    <row r="302" spans="1:49" ht="30.15" customHeight="1" x14ac:dyDescent="0.25">
      <c r="A302" s="213" t="s">
        <v>18</v>
      </c>
      <c r="B302" s="188" t="s">
        <v>1</v>
      </c>
      <c r="C302" s="212" t="s">
        <v>34</v>
      </c>
      <c r="D302" s="190" t="s">
        <v>3</v>
      </c>
      <c r="E302" s="190" t="s">
        <v>695</v>
      </c>
      <c r="F302" s="203"/>
      <c r="G302" s="190" t="s">
        <v>661</v>
      </c>
      <c r="H302" s="192" t="s">
        <v>409</v>
      </c>
      <c r="I302" s="193">
        <v>1909</v>
      </c>
      <c r="J302" s="193">
        <v>1957</v>
      </c>
      <c r="K302" s="193">
        <v>1957</v>
      </c>
      <c r="L302" s="193">
        <v>2065</v>
      </c>
      <c r="M302" s="194">
        <v>2065</v>
      </c>
      <c r="N302" s="195">
        <v>0</v>
      </c>
      <c r="O302" s="195">
        <v>12.709999999999999</v>
      </c>
      <c r="P302" s="195">
        <v>24</v>
      </c>
      <c r="Q302" s="226">
        <v>390</v>
      </c>
      <c r="R302" s="227" t="s">
        <v>1255</v>
      </c>
      <c r="S302" s="197">
        <v>0</v>
      </c>
      <c r="T302" s="195">
        <v>12.709999999999999</v>
      </c>
      <c r="U302" s="195">
        <v>24</v>
      </c>
      <c r="V302" s="226">
        <v>390</v>
      </c>
      <c r="W302" s="226" t="s">
        <v>1255</v>
      </c>
      <c r="X302" s="195">
        <v>0</v>
      </c>
      <c r="Y302" s="195">
        <v>14.709999999999999</v>
      </c>
      <c r="Z302" s="195">
        <v>24</v>
      </c>
      <c r="AA302" s="196">
        <v>390</v>
      </c>
      <c r="AB302" s="196" t="s">
        <v>1</v>
      </c>
      <c r="AC302" s="197">
        <v>0</v>
      </c>
      <c r="AD302" s="195">
        <v>14.709999999999999</v>
      </c>
      <c r="AE302" s="197">
        <v>24</v>
      </c>
      <c r="AF302" s="198">
        <v>390</v>
      </c>
      <c r="AG302" s="198" t="s">
        <v>1</v>
      </c>
      <c r="AH302" s="198" t="s">
        <v>1</v>
      </c>
      <c r="AI302" s="209" t="s">
        <v>1</v>
      </c>
      <c r="AJ302" s="209" t="s">
        <v>1</v>
      </c>
      <c r="AK302" s="209" t="s">
        <v>1</v>
      </c>
      <c r="AL302" s="214" t="s">
        <v>1</v>
      </c>
      <c r="AM302" s="200" t="s">
        <v>1</v>
      </c>
      <c r="AN302" s="199" t="s">
        <v>1</v>
      </c>
      <c r="AO302" s="199" t="s">
        <v>1</v>
      </c>
      <c r="AP302" s="198" t="s">
        <v>1</v>
      </c>
      <c r="AQ302" s="198" t="s">
        <v>1</v>
      </c>
      <c r="AR302" s="201" t="s">
        <v>1</v>
      </c>
      <c r="AS302" s="201" t="s">
        <v>1</v>
      </c>
      <c r="AT302" s="199" t="s">
        <v>1</v>
      </c>
      <c r="AU302" s="199" t="s">
        <v>1</v>
      </c>
      <c r="AV302" s="202" t="s">
        <v>1</v>
      </c>
      <c r="AW302" s="199" t="s">
        <v>1</v>
      </c>
    </row>
    <row r="303" spans="1:49" ht="30.15" customHeight="1" x14ac:dyDescent="0.25">
      <c r="A303" s="213" t="s">
        <v>18</v>
      </c>
      <c r="B303" s="188" t="s">
        <v>1</v>
      </c>
      <c r="C303" s="212" t="s">
        <v>34</v>
      </c>
      <c r="D303" s="190" t="s">
        <v>3</v>
      </c>
      <c r="E303" s="190" t="s">
        <v>696</v>
      </c>
      <c r="F303" s="203"/>
      <c r="G303" s="190" t="s">
        <v>661</v>
      </c>
      <c r="H303" s="192" t="s">
        <v>409</v>
      </c>
      <c r="I303" s="193">
        <v>1909</v>
      </c>
      <c r="J303" s="193">
        <v>1957</v>
      </c>
      <c r="K303" s="193">
        <v>1957</v>
      </c>
      <c r="L303" s="193">
        <v>2065</v>
      </c>
      <c r="M303" s="194">
        <v>2065</v>
      </c>
      <c r="N303" s="195">
        <v>0</v>
      </c>
      <c r="O303" s="195">
        <v>12.709999999999999</v>
      </c>
      <c r="P303" s="195">
        <v>24</v>
      </c>
      <c r="Q303" s="226">
        <v>390</v>
      </c>
      <c r="R303" s="227" t="s">
        <v>1255</v>
      </c>
      <c r="S303" s="197">
        <v>0</v>
      </c>
      <c r="T303" s="195">
        <v>12.709999999999999</v>
      </c>
      <c r="U303" s="195">
        <v>24</v>
      </c>
      <c r="V303" s="226">
        <v>390</v>
      </c>
      <c r="W303" s="226" t="s">
        <v>1255</v>
      </c>
      <c r="X303" s="195">
        <v>0</v>
      </c>
      <c r="Y303" s="195">
        <v>14.709999999999999</v>
      </c>
      <c r="Z303" s="195">
        <v>24</v>
      </c>
      <c r="AA303" s="196">
        <v>390</v>
      </c>
      <c r="AB303" s="196" t="s">
        <v>1</v>
      </c>
      <c r="AC303" s="197">
        <v>0</v>
      </c>
      <c r="AD303" s="195">
        <v>14.709999999999999</v>
      </c>
      <c r="AE303" s="197">
        <v>24</v>
      </c>
      <c r="AF303" s="198">
        <v>390</v>
      </c>
      <c r="AG303" s="198" t="s">
        <v>1</v>
      </c>
      <c r="AH303" s="198" t="s">
        <v>1</v>
      </c>
      <c r="AI303" s="209" t="s">
        <v>1</v>
      </c>
      <c r="AJ303" s="209" t="s">
        <v>1</v>
      </c>
      <c r="AK303" s="209" t="s">
        <v>1</v>
      </c>
      <c r="AL303" s="214" t="s">
        <v>1</v>
      </c>
      <c r="AM303" s="200" t="s">
        <v>1</v>
      </c>
      <c r="AN303" s="199" t="s">
        <v>1</v>
      </c>
      <c r="AO303" s="199" t="s">
        <v>1</v>
      </c>
      <c r="AP303" s="198" t="s">
        <v>1</v>
      </c>
      <c r="AQ303" s="198" t="s">
        <v>1</v>
      </c>
      <c r="AR303" s="201" t="s">
        <v>1</v>
      </c>
      <c r="AS303" s="201" t="s">
        <v>1</v>
      </c>
      <c r="AT303" s="199" t="s">
        <v>1</v>
      </c>
      <c r="AU303" s="199" t="s">
        <v>1</v>
      </c>
      <c r="AV303" s="202" t="s">
        <v>1</v>
      </c>
      <c r="AW303" s="199" t="s">
        <v>1</v>
      </c>
    </row>
    <row r="304" spans="1:49" ht="30.15" customHeight="1" x14ac:dyDescent="0.25">
      <c r="A304" s="213" t="s">
        <v>18</v>
      </c>
      <c r="B304" s="188" t="s">
        <v>1</v>
      </c>
      <c r="C304" s="212" t="s">
        <v>34</v>
      </c>
      <c r="D304" s="190" t="s">
        <v>3</v>
      </c>
      <c r="E304" s="190" t="s">
        <v>689</v>
      </c>
      <c r="F304" s="203"/>
      <c r="G304" s="190" t="s">
        <v>657</v>
      </c>
      <c r="H304" s="192" t="s">
        <v>409</v>
      </c>
      <c r="I304" s="193">
        <v>1309</v>
      </c>
      <c r="J304" s="193">
        <v>1340</v>
      </c>
      <c r="K304" s="193">
        <v>1340</v>
      </c>
      <c r="L304" s="193">
        <v>1415</v>
      </c>
      <c r="M304" s="194">
        <v>1415</v>
      </c>
      <c r="N304" s="195">
        <v>0</v>
      </c>
      <c r="O304" s="195">
        <v>12.709999999999999</v>
      </c>
      <c r="P304" s="195">
        <v>24</v>
      </c>
      <c r="Q304" s="226">
        <v>270</v>
      </c>
      <c r="R304" s="227" t="s">
        <v>1253</v>
      </c>
      <c r="S304" s="197">
        <v>0</v>
      </c>
      <c r="T304" s="195">
        <v>12.709999999999999</v>
      </c>
      <c r="U304" s="195">
        <v>24</v>
      </c>
      <c r="V304" s="226">
        <v>270</v>
      </c>
      <c r="W304" s="226" t="s">
        <v>1253</v>
      </c>
      <c r="X304" s="195">
        <v>0</v>
      </c>
      <c r="Y304" s="195">
        <v>13.129999999999999</v>
      </c>
      <c r="Z304" s="195">
        <v>24</v>
      </c>
      <c r="AA304" s="196">
        <v>270</v>
      </c>
      <c r="AB304" s="196" t="s">
        <v>1</v>
      </c>
      <c r="AC304" s="197">
        <v>0</v>
      </c>
      <c r="AD304" s="195">
        <v>13.129999999999999</v>
      </c>
      <c r="AE304" s="197">
        <v>24</v>
      </c>
      <c r="AF304" s="198">
        <v>270</v>
      </c>
      <c r="AG304" s="198" t="s">
        <v>1</v>
      </c>
      <c r="AH304" s="198" t="s">
        <v>1</v>
      </c>
      <c r="AI304" s="209" t="s">
        <v>1</v>
      </c>
      <c r="AJ304" s="209" t="s">
        <v>1</v>
      </c>
      <c r="AK304" s="209" t="s">
        <v>1</v>
      </c>
      <c r="AL304" s="214" t="s">
        <v>1</v>
      </c>
      <c r="AM304" s="200" t="s">
        <v>1</v>
      </c>
      <c r="AN304" s="199" t="s">
        <v>1</v>
      </c>
      <c r="AO304" s="199" t="s">
        <v>1</v>
      </c>
      <c r="AP304" s="198" t="s">
        <v>1</v>
      </c>
      <c r="AQ304" s="198" t="s">
        <v>1</v>
      </c>
      <c r="AR304" s="201" t="s">
        <v>1</v>
      </c>
      <c r="AS304" s="201" t="s">
        <v>1</v>
      </c>
      <c r="AT304" s="199" t="s">
        <v>1</v>
      </c>
      <c r="AU304" s="199" t="s">
        <v>1</v>
      </c>
      <c r="AV304" s="202" t="s">
        <v>1</v>
      </c>
      <c r="AW304" s="199" t="s">
        <v>1</v>
      </c>
    </row>
    <row r="305" spans="1:49" ht="30.15" customHeight="1" x14ac:dyDescent="0.25">
      <c r="A305" s="213" t="s">
        <v>18</v>
      </c>
      <c r="B305" s="188" t="s">
        <v>1</v>
      </c>
      <c r="C305" s="212" t="s">
        <v>34</v>
      </c>
      <c r="D305" s="190" t="s">
        <v>3</v>
      </c>
      <c r="E305" s="190" t="s">
        <v>690</v>
      </c>
      <c r="F305" s="203"/>
      <c r="G305" s="190" t="s">
        <v>657</v>
      </c>
      <c r="H305" s="192" t="s">
        <v>409</v>
      </c>
      <c r="I305" s="193">
        <v>1309</v>
      </c>
      <c r="J305" s="193">
        <v>1340</v>
      </c>
      <c r="K305" s="193">
        <v>1340</v>
      </c>
      <c r="L305" s="193">
        <v>1415</v>
      </c>
      <c r="M305" s="194">
        <v>1415</v>
      </c>
      <c r="N305" s="195">
        <v>0</v>
      </c>
      <c r="O305" s="195">
        <v>12.709999999999999</v>
      </c>
      <c r="P305" s="195">
        <v>24</v>
      </c>
      <c r="Q305" s="226">
        <v>270</v>
      </c>
      <c r="R305" s="227" t="s">
        <v>1253</v>
      </c>
      <c r="S305" s="197">
        <v>0</v>
      </c>
      <c r="T305" s="195">
        <v>12.709999999999999</v>
      </c>
      <c r="U305" s="195">
        <v>24</v>
      </c>
      <c r="V305" s="226">
        <v>270</v>
      </c>
      <c r="W305" s="226" t="s">
        <v>1253</v>
      </c>
      <c r="X305" s="195">
        <v>0</v>
      </c>
      <c r="Y305" s="195">
        <v>13.129999999999999</v>
      </c>
      <c r="Z305" s="195">
        <v>24</v>
      </c>
      <c r="AA305" s="196">
        <v>270</v>
      </c>
      <c r="AB305" s="196" t="s">
        <v>1</v>
      </c>
      <c r="AC305" s="197">
        <v>0</v>
      </c>
      <c r="AD305" s="195">
        <v>13.129999999999999</v>
      </c>
      <c r="AE305" s="197">
        <v>24</v>
      </c>
      <c r="AF305" s="198">
        <v>270</v>
      </c>
      <c r="AG305" s="198" t="s">
        <v>1</v>
      </c>
      <c r="AH305" s="198" t="s">
        <v>1</v>
      </c>
      <c r="AI305" s="209" t="s">
        <v>1</v>
      </c>
      <c r="AJ305" s="209" t="s">
        <v>1</v>
      </c>
      <c r="AK305" s="209" t="s">
        <v>1</v>
      </c>
      <c r="AL305" s="214" t="s">
        <v>1</v>
      </c>
      <c r="AM305" s="200" t="s">
        <v>1</v>
      </c>
      <c r="AN305" s="199" t="s">
        <v>1</v>
      </c>
      <c r="AO305" s="199" t="s">
        <v>1</v>
      </c>
      <c r="AP305" s="198" t="s">
        <v>1</v>
      </c>
      <c r="AQ305" s="198" t="s">
        <v>1</v>
      </c>
      <c r="AR305" s="201" t="s">
        <v>1</v>
      </c>
      <c r="AS305" s="201" t="s">
        <v>1</v>
      </c>
      <c r="AT305" s="199" t="s">
        <v>1</v>
      </c>
      <c r="AU305" s="199" t="s">
        <v>1</v>
      </c>
      <c r="AV305" s="202" t="s">
        <v>1</v>
      </c>
      <c r="AW305" s="199" t="s">
        <v>1</v>
      </c>
    </row>
    <row r="306" spans="1:49" ht="30.15" customHeight="1" x14ac:dyDescent="0.25">
      <c r="A306" s="213" t="s">
        <v>18</v>
      </c>
      <c r="B306" s="188" t="s">
        <v>1</v>
      </c>
      <c r="C306" s="212" t="s">
        <v>34</v>
      </c>
      <c r="D306" s="190" t="s">
        <v>3</v>
      </c>
      <c r="E306" s="190" t="s">
        <v>691</v>
      </c>
      <c r="F306" s="203"/>
      <c r="G306" s="190" t="s">
        <v>657</v>
      </c>
      <c r="H306" s="192" t="s">
        <v>409</v>
      </c>
      <c r="I306" s="193">
        <v>1309</v>
      </c>
      <c r="J306" s="193">
        <v>1340</v>
      </c>
      <c r="K306" s="193">
        <v>1340</v>
      </c>
      <c r="L306" s="193">
        <v>1415</v>
      </c>
      <c r="M306" s="194">
        <v>1415</v>
      </c>
      <c r="N306" s="195">
        <v>0</v>
      </c>
      <c r="O306" s="195">
        <v>12.709999999999999</v>
      </c>
      <c r="P306" s="195">
        <v>24</v>
      </c>
      <c r="Q306" s="226">
        <v>270</v>
      </c>
      <c r="R306" s="227" t="s">
        <v>1253</v>
      </c>
      <c r="S306" s="197">
        <v>0</v>
      </c>
      <c r="T306" s="195">
        <v>12.709999999999999</v>
      </c>
      <c r="U306" s="195">
        <v>24</v>
      </c>
      <c r="V306" s="226">
        <v>270</v>
      </c>
      <c r="W306" s="226" t="s">
        <v>1253</v>
      </c>
      <c r="X306" s="195">
        <v>0</v>
      </c>
      <c r="Y306" s="195">
        <v>13.129999999999999</v>
      </c>
      <c r="Z306" s="195">
        <v>24</v>
      </c>
      <c r="AA306" s="196">
        <v>270</v>
      </c>
      <c r="AB306" s="196" t="s">
        <v>1</v>
      </c>
      <c r="AC306" s="197">
        <v>0</v>
      </c>
      <c r="AD306" s="195">
        <v>13.129999999999999</v>
      </c>
      <c r="AE306" s="197">
        <v>24</v>
      </c>
      <c r="AF306" s="198">
        <v>270</v>
      </c>
      <c r="AG306" s="198" t="s">
        <v>1</v>
      </c>
      <c r="AH306" s="198" t="s">
        <v>1</v>
      </c>
      <c r="AI306" s="209" t="s">
        <v>1</v>
      </c>
      <c r="AJ306" s="209" t="s">
        <v>1</v>
      </c>
      <c r="AK306" s="209" t="s">
        <v>1</v>
      </c>
      <c r="AL306" s="214" t="s">
        <v>1</v>
      </c>
      <c r="AM306" s="200" t="s">
        <v>1</v>
      </c>
      <c r="AN306" s="199" t="s">
        <v>1</v>
      </c>
      <c r="AO306" s="199" t="s">
        <v>1</v>
      </c>
      <c r="AP306" s="198" t="s">
        <v>1</v>
      </c>
      <c r="AQ306" s="198" t="s">
        <v>1</v>
      </c>
      <c r="AR306" s="201" t="s">
        <v>1</v>
      </c>
      <c r="AS306" s="201" t="s">
        <v>1</v>
      </c>
      <c r="AT306" s="199" t="s">
        <v>1</v>
      </c>
      <c r="AU306" s="199" t="s">
        <v>1</v>
      </c>
      <c r="AV306" s="202" t="s">
        <v>1</v>
      </c>
      <c r="AW306" s="199" t="s">
        <v>1</v>
      </c>
    </row>
    <row r="307" spans="1:49" ht="30.15" customHeight="1" x14ac:dyDescent="0.25">
      <c r="A307" s="213" t="s">
        <v>18</v>
      </c>
      <c r="B307" s="188" t="s">
        <v>1</v>
      </c>
      <c r="C307" s="212" t="s">
        <v>34</v>
      </c>
      <c r="D307" s="190" t="s">
        <v>3</v>
      </c>
      <c r="E307" s="190" t="s">
        <v>692</v>
      </c>
      <c r="F307" s="203"/>
      <c r="G307" s="190" t="s">
        <v>657</v>
      </c>
      <c r="H307" s="192" t="s">
        <v>409</v>
      </c>
      <c r="I307" s="193">
        <v>1309</v>
      </c>
      <c r="J307" s="193">
        <v>1340</v>
      </c>
      <c r="K307" s="193">
        <v>1340</v>
      </c>
      <c r="L307" s="193">
        <v>1415</v>
      </c>
      <c r="M307" s="194">
        <v>1415</v>
      </c>
      <c r="N307" s="195">
        <v>0</v>
      </c>
      <c r="O307" s="195">
        <v>12.709999999999999</v>
      </c>
      <c r="P307" s="195">
        <v>24</v>
      </c>
      <c r="Q307" s="226">
        <v>270</v>
      </c>
      <c r="R307" s="227" t="s">
        <v>1253</v>
      </c>
      <c r="S307" s="197">
        <v>0</v>
      </c>
      <c r="T307" s="195">
        <v>12.709999999999999</v>
      </c>
      <c r="U307" s="195">
        <v>24</v>
      </c>
      <c r="V307" s="226">
        <v>270</v>
      </c>
      <c r="W307" s="226" t="s">
        <v>1253</v>
      </c>
      <c r="X307" s="195">
        <v>0</v>
      </c>
      <c r="Y307" s="195">
        <v>13.129999999999999</v>
      </c>
      <c r="Z307" s="195">
        <v>24</v>
      </c>
      <c r="AA307" s="196">
        <v>270</v>
      </c>
      <c r="AB307" s="196" t="s">
        <v>1</v>
      </c>
      <c r="AC307" s="197">
        <v>0</v>
      </c>
      <c r="AD307" s="195">
        <v>13.129999999999999</v>
      </c>
      <c r="AE307" s="197">
        <v>24</v>
      </c>
      <c r="AF307" s="198">
        <v>270</v>
      </c>
      <c r="AG307" s="198" t="s">
        <v>1</v>
      </c>
      <c r="AH307" s="198" t="s">
        <v>1</v>
      </c>
      <c r="AI307" s="209" t="s">
        <v>1</v>
      </c>
      <c r="AJ307" s="209" t="s">
        <v>1</v>
      </c>
      <c r="AK307" s="209" t="s">
        <v>1</v>
      </c>
      <c r="AL307" s="214" t="s">
        <v>1</v>
      </c>
      <c r="AM307" s="200" t="s">
        <v>1</v>
      </c>
      <c r="AN307" s="199" t="s">
        <v>1</v>
      </c>
      <c r="AO307" s="199" t="s">
        <v>1</v>
      </c>
      <c r="AP307" s="198" t="s">
        <v>1</v>
      </c>
      <c r="AQ307" s="198" t="s">
        <v>1</v>
      </c>
      <c r="AR307" s="201" t="s">
        <v>1</v>
      </c>
      <c r="AS307" s="201" t="s">
        <v>1</v>
      </c>
      <c r="AT307" s="199" t="s">
        <v>1</v>
      </c>
      <c r="AU307" s="199" t="s">
        <v>1</v>
      </c>
      <c r="AV307" s="202" t="s">
        <v>1</v>
      </c>
      <c r="AW307" s="199" t="s">
        <v>1</v>
      </c>
    </row>
    <row r="308" spans="1:49" ht="30.15" customHeight="1" x14ac:dyDescent="0.25">
      <c r="A308" s="213" t="s">
        <v>18</v>
      </c>
      <c r="B308" s="188" t="s">
        <v>1</v>
      </c>
      <c r="C308" s="212" t="s">
        <v>34</v>
      </c>
      <c r="D308" s="190" t="s">
        <v>3</v>
      </c>
      <c r="E308" s="190" t="s">
        <v>685</v>
      </c>
      <c r="F308" s="203"/>
      <c r="G308" s="190" t="s">
        <v>658</v>
      </c>
      <c r="H308" s="192" t="s">
        <v>409</v>
      </c>
      <c r="I308" s="193">
        <v>1509</v>
      </c>
      <c r="J308" s="193">
        <v>1539</v>
      </c>
      <c r="K308" s="193">
        <v>1539</v>
      </c>
      <c r="L308" s="193">
        <v>1625</v>
      </c>
      <c r="M308" s="194">
        <v>1625</v>
      </c>
      <c r="N308" s="195">
        <v>0</v>
      </c>
      <c r="O308" s="195">
        <v>12.709999999999999</v>
      </c>
      <c r="P308" s="195">
        <v>24</v>
      </c>
      <c r="Q308" s="226">
        <v>310</v>
      </c>
      <c r="R308" s="227" t="s">
        <v>1254</v>
      </c>
      <c r="S308" s="197">
        <v>0</v>
      </c>
      <c r="T308" s="195">
        <v>12.709999999999999</v>
      </c>
      <c r="U308" s="195">
        <v>24</v>
      </c>
      <c r="V308" s="226">
        <v>310</v>
      </c>
      <c r="W308" s="226" t="s">
        <v>1254</v>
      </c>
      <c r="X308" s="195">
        <v>0</v>
      </c>
      <c r="Y308" s="195">
        <v>13.129999999999999</v>
      </c>
      <c r="Z308" s="195">
        <v>24</v>
      </c>
      <c r="AA308" s="196">
        <v>310</v>
      </c>
      <c r="AB308" s="196" t="s">
        <v>1</v>
      </c>
      <c r="AC308" s="197">
        <v>0</v>
      </c>
      <c r="AD308" s="195">
        <v>13.129999999999999</v>
      </c>
      <c r="AE308" s="197">
        <v>24</v>
      </c>
      <c r="AF308" s="198">
        <v>310</v>
      </c>
      <c r="AG308" s="198" t="s">
        <v>1</v>
      </c>
      <c r="AH308" s="198" t="s">
        <v>1</v>
      </c>
      <c r="AI308" s="209" t="s">
        <v>1</v>
      </c>
      <c r="AJ308" s="209" t="s">
        <v>1</v>
      </c>
      <c r="AK308" s="209" t="s">
        <v>1</v>
      </c>
      <c r="AL308" s="214" t="s">
        <v>1</v>
      </c>
      <c r="AM308" s="200" t="s">
        <v>1</v>
      </c>
      <c r="AN308" s="199" t="s">
        <v>1</v>
      </c>
      <c r="AO308" s="199" t="s">
        <v>1</v>
      </c>
      <c r="AP308" s="198" t="s">
        <v>1</v>
      </c>
      <c r="AQ308" s="198" t="s">
        <v>1</v>
      </c>
      <c r="AR308" s="201" t="s">
        <v>1</v>
      </c>
      <c r="AS308" s="201" t="s">
        <v>1</v>
      </c>
      <c r="AT308" s="199" t="s">
        <v>1</v>
      </c>
      <c r="AU308" s="199" t="s">
        <v>1</v>
      </c>
      <c r="AV308" s="202" t="s">
        <v>1</v>
      </c>
      <c r="AW308" s="199" t="s">
        <v>1</v>
      </c>
    </row>
    <row r="309" spans="1:49" ht="30.15" customHeight="1" x14ac:dyDescent="0.25">
      <c r="A309" s="213" t="s">
        <v>18</v>
      </c>
      <c r="B309" s="188" t="s">
        <v>1</v>
      </c>
      <c r="C309" s="212" t="s">
        <v>34</v>
      </c>
      <c r="D309" s="190" t="s">
        <v>3</v>
      </c>
      <c r="E309" s="190" t="s">
        <v>686</v>
      </c>
      <c r="F309" s="203"/>
      <c r="G309" s="190" t="s">
        <v>658</v>
      </c>
      <c r="H309" s="192" t="s">
        <v>409</v>
      </c>
      <c r="I309" s="193">
        <v>1509</v>
      </c>
      <c r="J309" s="193">
        <v>1539</v>
      </c>
      <c r="K309" s="193">
        <v>1539</v>
      </c>
      <c r="L309" s="193">
        <v>1625</v>
      </c>
      <c r="M309" s="194">
        <v>1625</v>
      </c>
      <c r="N309" s="195">
        <v>0</v>
      </c>
      <c r="O309" s="195">
        <v>12.709999999999999</v>
      </c>
      <c r="P309" s="195">
        <v>24</v>
      </c>
      <c r="Q309" s="226">
        <v>310</v>
      </c>
      <c r="R309" s="227" t="s">
        <v>1254</v>
      </c>
      <c r="S309" s="197">
        <v>0</v>
      </c>
      <c r="T309" s="195">
        <v>12.709999999999999</v>
      </c>
      <c r="U309" s="195">
        <v>24</v>
      </c>
      <c r="V309" s="226">
        <v>310</v>
      </c>
      <c r="W309" s="226" t="s">
        <v>1254</v>
      </c>
      <c r="X309" s="195">
        <v>0</v>
      </c>
      <c r="Y309" s="195">
        <v>13.129999999999999</v>
      </c>
      <c r="Z309" s="195">
        <v>24</v>
      </c>
      <c r="AA309" s="196">
        <v>310</v>
      </c>
      <c r="AB309" s="196" t="s">
        <v>1</v>
      </c>
      <c r="AC309" s="197">
        <v>0</v>
      </c>
      <c r="AD309" s="195">
        <v>13.129999999999999</v>
      </c>
      <c r="AE309" s="197">
        <v>24</v>
      </c>
      <c r="AF309" s="198">
        <v>310</v>
      </c>
      <c r="AG309" s="198" t="s">
        <v>1</v>
      </c>
      <c r="AH309" s="198" t="s">
        <v>1</v>
      </c>
      <c r="AI309" s="209" t="s">
        <v>1</v>
      </c>
      <c r="AJ309" s="209" t="s">
        <v>1</v>
      </c>
      <c r="AK309" s="209" t="s">
        <v>1</v>
      </c>
      <c r="AL309" s="214" t="s">
        <v>1</v>
      </c>
      <c r="AM309" s="200" t="s">
        <v>1</v>
      </c>
      <c r="AN309" s="199" t="s">
        <v>1</v>
      </c>
      <c r="AO309" s="199" t="s">
        <v>1</v>
      </c>
      <c r="AP309" s="198" t="s">
        <v>1</v>
      </c>
      <c r="AQ309" s="198" t="s">
        <v>1</v>
      </c>
      <c r="AR309" s="201" t="s">
        <v>1</v>
      </c>
      <c r="AS309" s="201" t="s">
        <v>1</v>
      </c>
      <c r="AT309" s="199" t="s">
        <v>1</v>
      </c>
      <c r="AU309" s="199" t="s">
        <v>1</v>
      </c>
      <c r="AV309" s="202" t="s">
        <v>1</v>
      </c>
      <c r="AW309" s="199" t="s">
        <v>1</v>
      </c>
    </row>
    <row r="310" spans="1:49" ht="30.15" customHeight="1" x14ac:dyDescent="0.25">
      <c r="A310" s="213" t="s">
        <v>18</v>
      </c>
      <c r="B310" s="188" t="s">
        <v>1</v>
      </c>
      <c r="C310" s="212" t="s">
        <v>34</v>
      </c>
      <c r="D310" s="190" t="s">
        <v>3</v>
      </c>
      <c r="E310" s="190" t="s">
        <v>687</v>
      </c>
      <c r="F310" s="203"/>
      <c r="G310" s="190" t="s">
        <v>658</v>
      </c>
      <c r="H310" s="192" t="s">
        <v>409</v>
      </c>
      <c r="I310" s="193">
        <v>1509</v>
      </c>
      <c r="J310" s="193">
        <v>1539</v>
      </c>
      <c r="K310" s="193">
        <v>1539</v>
      </c>
      <c r="L310" s="193">
        <v>1625</v>
      </c>
      <c r="M310" s="194">
        <v>1625</v>
      </c>
      <c r="N310" s="195">
        <v>0</v>
      </c>
      <c r="O310" s="195">
        <v>12.709999999999999</v>
      </c>
      <c r="P310" s="195">
        <v>24</v>
      </c>
      <c r="Q310" s="226">
        <v>310</v>
      </c>
      <c r="R310" s="227" t="s">
        <v>1254</v>
      </c>
      <c r="S310" s="197">
        <v>0</v>
      </c>
      <c r="T310" s="195">
        <v>12.709999999999999</v>
      </c>
      <c r="U310" s="195">
        <v>24</v>
      </c>
      <c r="V310" s="226">
        <v>310</v>
      </c>
      <c r="W310" s="226" t="s">
        <v>1254</v>
      </c>
      <c r="X310" s="195">
        <v>0</v>
      </c>
      <c r="Y310" s="195">
        <v>13.129999999999999</v>
      </c>
      <c r="Z310" s="195">
        <v>24</v>
      </c>
      <c r="AA310" s="196">
        <v>310</v>
      </c>
      <c r="AB310" s="196" t="s">
        <v>1</v>
      </c>
      <c r="AC310" s="197">
        <v>0</v>
      </c>
      <c r="AD310" s="195">
        <v>13.129999999999999</v>
      </c>
      <c r="AE310" s="197">
        <v>24</v>
      </c>
      <c r="AF310" s="198">
        <v>310</v>
      </c>
      <c r="AG310" s="198" t="s">
        <v>1</v>
      </c>
      <c r="AH310" s="198" t="s">
        <v>1</v>
      </c>
      <c r="AI310" s="209" t="s">
        <v>1</v>
      </c>
      <c r="AJ310" s="209" t="s">
        <v>1</v>
      </c>
      <c r="AK310" s="209" t="s">
        <v>1</v>
      </c>
      <c r="AL310" s="214" t="s">
        <v>1</v>
      </c>
      <c r="AM310" s="200" t="s">
        <v>1</v>
      </c>
      <c r="AN310" s="199" t="s">
        <v>1</v>
      </c>
      <c r="AO310" s="199" t="s">
        <v>1</v>
      </c>
      <c r="AP310" s="198" t="s">
        <v>1</v>
      </c>
      <c r="AQ310" s="198" t="s">
        <v>1</v>
      </c>
      <c r="AR310" s="201" t="s">
        <v>1</v>
      </c>
      <c r="AS310" s="201" t="s">
        <v>1</v>
      </c>
      <c r="AT310" s="199" t="s">
        <v>1</v>
      </c>
      <c r="AU310" s="199" t="s">
        <v>1</v>
      </c>
      <c r="AV310" s="202" t="s">
        <v>1</v>
      </c>
      <c r="AW310" s="199" t="s">
        <v>1</v>
      </c>
    </row>
    <row r="311" spans="1:49" ht="30.15" customHeight="1" x14ac:dyDescent="0.25">
      <c r="A311" s="213" t="s">
        <v>18</v>
      </c>
      <c r="B311" s="188" t="s">
        <v>1</v>
      </c>
      <c r="C311" s="212" t="s">
        <v>34</v>
      </c>
      <c r="D311" s="190" t="s">
        <v>3</v>
      </c>
      <c r="E311" s="190" t="s">
        <v>688</v>
      </c>
      <c r="F311" s="203"/>
      <c r="G311" s="190" t="s">
        <v>658</v>
      </c>
      <c r="H311" s="192" t="s">
        <v>409</v>
      </c>
      <c r="I311" s="193">
        <v>1509</v>
      </c>
      <c r="J311" s="193">
        <v>1539</v>
      </c>
      <c r="K311" s="193">
        <v>1539</v>
      </c>
      <c r="L311" s="193">
        <v>1625</v>
      </c>
      <c r="M311" s="194">
        <v>1625</v>
      </c>
      <c r="N311" s="195">
        <v>0</v>
      </c>
      <c r="O311" s="195">
        <v>12.709999999999999</v>
      </c>
      <c r="P311" s="195">
        <v>24</v>
      </c>
      <c r="Q311" s="226">
        <v>310</v>
      </c>
      <c r="R311" s="227" t="s">
        <v>1254</v>
      </c>
      <c r="S311" s="197">
        <v>0</v>
      </c>
      <c r="T311" s="195">
        <v>12.709999999999999</v>
      </c>
      <c r="U311" s="195">
        <v>24</v>
      </c>
      <c r="V311" s="226">
        <v>310</v>
      </c>
      <c r="W311" s="226" t="s">
        <v>1254</v>
      </c>
      <c r="X311" s="195">
        <v>0</v>
      </c>
      <c r="Y311" s="195">
        <v>13.129999999999999</v>
      </c>
      <c r="Z311" s="195">
        <v>24</v>
      </c>
      <c r="AA311" s="196">
        <v>310</v>
      </c>
      <c r="AB311" s="196" t="s">
        <v>1</v>
      </c>
      <c r="AC311" s="197">
        <v>0</v>
      </c>
      <c r="AD311" s="195">
        <v>13.129999999999999</v>
      </c>
      <c r="AE311" s="197">
        <v>24</v>
      </c>
      <c r="AF311" s="198">
        <v>310</v>
      </c>
      <c r="AG311" s="198" t="s">
        <v>1</v>
      </c>
      <c r="AH311" s="198" t="s">
        <v>1</v>
      </c>
      <c r="AI311" s="209" t="s">
        <v>1</v>
      </c>
      <c r="AJ311" s="209" t="s">
        <v>1</v>
      </c>
      <c r="AK311" s="209" t="s">
        <v>1</v>
      </c>
      <c r="AL311" s="214" t="s">
        <v>1</v>
      </c>
      <c r="AM311" s="200" t="s">
        <v>1</v>
      </c>
      <c r="AN311" s="199" t="s">
        <v>1</v>
      </c>
      <c r="AO311" s="199" t="s">
        <v>1</v>
      </c>
      <c r="AP311" s="198" t="s">
        <v>1</v>
      </c>
      <c r="AQ311" s="198" t="s">
        <v>1</v>
      </c>
      <c r="AR311" s="201" t="s">
        <v>1</v>
      </c>
      <c r="AS311" s="201" t="s">
        <v>1</v>
      </c>
      <c r="AT311" s="199" t="s">
        <v>1</v>
      </c>
      <c r="AU311" s="199" t="s">
        <v>1</v>
      </c>
      <c r="AV311" s="202" t="s">
        <v>1</v>
      </c>
      <c r="AW311" s="199" t="s">
        <v>1</v>
      </c>
    </row>
    <row r="312" spans="1:49" ht="30.15" customHeight="1" x14ac:dyDescent="0.25">
      <c r="A312" s="213" t="s">
        <v>18</v>
      </c>
      <c r="B312" s="188" t="s">
        <v>1</v>
      </c>
      <c r="C312" s="212" t="s">
        <v>34</v>
      </c>
      <c r="D312" s="190" t="s">
        <v>3</v>
      </c>
      <c r="E312" s="190" t="s">
        <v>681</v>
      </c>
      <c r="F312" s="203"/>
      <c r="G312" s="190" t="s">
        <v>662</v>
      </c>
      <c r="H312" s="192" t="s">
        <v>409</v>
      </c>
      <c r="I312" s="193">
        <v>1769</v>
      </c>
      <c r="J312" s="193">
        <v>1815</v>
      </c>
      <c r="K312" s="193">
        <v>1815</v>
      </c>
      <c r="L312" s="193">
        <v>1910</v>
      </c>
      <c r="M312" s="194">
        <v>1910</v>
      </c>
      <c r="N312" s="195">
        <v>0</v>
      </c>
      <c r="O312" s="195">
        <v>12.709999999999999</v>
      </c>
      <c r="P312" s="195">
        <v>24</v>
      </c>
      <c r="Q312" s="226">
        <v>360</v>
      </c>
      <c r="R312" s="227" t="s">
        <v>1255</v>
      </c>
      <c r="S312" s="197">
        <v>0</v>
      </c>
      <c r="T312" s="195">
        <v>12.709999999999999</v>
      </c>
      <c r="U312" s="195">
        <v>24</v>
      </c>
      <c r="V312" s="226">
        <v>360</v>
      </c>
      <c r="W312" s="226" t="s">
        <v>1255</v>
      </c>
      <c r="X312" s="195">
        <v>0</v>
      </c>
      <c r="Y312" s="195">
        <v>13.129999999999999</v>
      </c>
      <c r="Z312" s="195">
        <v>24</v>
      </c>
      <c r="AA312" s="196">
        <v>360</v>
      </c>
      <c r="AB312" s="196" t="s">
        <v>1</v>
      </c>
      <c r="AC312" s="197">
        <v>0</v>
      </c>
      <c r="AD312" s="195">
        <v>13.129999999999999</v>
      </c>
      <c r="AE312" s="197">
        <v>24</v>
      </c>
      <c r="AF312" s="198">
        <v>360</v>
      </c>
      <c r="AG312" s="198" t="s">
        <v>1</v>
      </c>
      <c r="AH312" s="198" t="s">
        <v>1</v>
      </c>
      <c r="AI312" s="209" t="s">
        <v>1</v>
      </c>
      <c r="AJ312" s="209" t="s">
        <v>1</v>
      </c>
      <c r="AK312" s="209" t="s">
        <v>1</v>
      </c>
      <c r="AL312" s="214" t="s">
        <v>1</v>
      </c>
      <c r="AM312" s="200" t="s">
        <v>1</v>
      </c>
      <c r="AN312" s="199" t="s">
        <v>1</v>
      </c>
      <c r="AO312" s="199" t="s">
        <v>1</v>
      </c>
      <c r="AP312" s="198" t="s">
        <v>1</v>
      </c>
      <c r="AQ312" s="198" t="s">
        <v>1</v>
      </c>
      <c r="AR312" s="201" t="s">
        <v>1</v>
      </c>
      <c r="AS312" s="201" t="s">
        <v>1</v>
      </c>
      <c r="AT312" s="199" t="s">
        <v>1</v>
      </c>
      <c r="AU312" s="199" t="s">
        <v>1</v>
      </c>
      <c r="AV312" s="202" t="s">
        <v>1</v>
      </c>
      <c r="AW312" s="199" t="s">
        <v>1</v>
      </c>
    </row>
    <row r="313" spans="1:49" ht="30.15" customHeight="1" x14ac:dyDescent="0.25">
      <c r="A313" s="213" t="s">
        <v>18</v>
      </c>
      <c r="B313" s="188" t="s">
        <v>1</v>
      </c>
      <c r="C313" s="212" t="s">
        <v>34</v>
      </c>
      <c r="D313" s="190" t="s">
        <v>3</v>
      </c>
      <c r="E313" s="190" t="s">
        <v>682</v>
      </c>
      <c r="F313" s="203"/>
      <c r="G313" s="190" t="s">
        <v>662</v>
      </c>
      <c r="H313" s="192" t="s">
        <v>409</v>
      </c>
      <c r="I313" s="193">
        <v>1769</v>
      </c>
      <c r="J313" s="193">
        <v>1815</v>
      </c>
      <c r="K313" s="193">
        <v>1815</v>
      </c>
      <c r="L313" s="193">
        <v>1910</v>
      </c>
      <c r="M313" s="194">
        <v>1910</v>
      </c>
      <c r="N313" s="195">
        <v>0</v>
      </c>
      <c r="O313" s="195">
        <v>12.709999999999999</v>
      </c>
      <c r="P313" s="195">
        <v>24</v>
      </c>
      <c r="Q313" s="226">
        <v>360</v>
      </c>
      <c r="R313" s="227" t="s">
        <v>1255</v>
      </c>
      <c r="S313" s="197">
        <v>0</v>
      </c>
      <c r="T313" s="195">
        <v>12.709999999999999</v>
      </c>
      <c r="U313" s="195">
        <v>24</v>
      </c>
      <c r="V313" s="226">
        <v>360</v>
      </c>
      <c r="W313" s="226" t="s">
        <v>1255</v>
      </c>
      <c r="X313" s="195">
        <v>0</v>
      </c>
      <c r="Y313" s="195">
        <v>13.129999999999999</v>
      </c>
      <c r="Z313" s="195">
        <v>24</v>
      </c>
      <c r="AA313" s="196">
        <v>360</v>
      </c>
      <c r="AB313" s="196" t="s">
        <v>1</v>
      </c>
      <c r="AC313" s="197">
        <v>0</v>
      </c>
      <c r="AD313" s="195">
        <v>13.129999999999999</v>
      </c>
      <c r="AE313" s="197">
        <v>24</v>
      </c>
      <c r="AF313" s="198">
        <v>360</v>
      </c>
      <c r="AG313" s="198" t="s">
        <v>1</v>
      </c>
      <c r="AH313" s="198" t="s">
        <v>1</v>
      </c>
      <c r="AI313" s="209" t="s">
        <v>1</v>
      </c>
      <c r="AJ313" s="209" t="s">
        <v>1</v>
      </c>
      <c r="AK313" s="209" t="s">
        <v>1</v>
      </c>
      <c r="AL313" s="214" t="s">
        <v>1</v>
      </c>
      <c r="AM313" s="200" t="s">
        <v>1</v>
      </c>
      <c r="AN313" s="199" t="s">
        <v>1</v>
      </c>
      <c r="AO313" s="199" t="s">
        <v>1</v>
      </c>
      <c r="AP313" s="198" t="s">
        <v>1</v>
      </c>
      <c r="AQ313" s="198" t="s">
        <v>1</v>
      </c>
      <c r="AR313" s="201" t="s">
        <v>1</v>
      </c>
      <c r="AS313" s="201" t="s">
        <v>1</v>
      </c>
      <c r="AT313" s="199" t="s">
        <v>1</v>
      </c>
      <c r="AU313" s="199" t="s">
        <v>1</v>
      </c>
      <c r="AV313" s="202" t="s">
        <v>1</v>
      </c>
      <c r="AW313" s="199" t="s">
        <v>1</v>
      </c>
    </row>
    <row r="314" spans="1:49" ht="30.15" customHeight="1" x14ac:dyDescent="0.25">
      <c r="A314" s="213" t="s">
        <v>18</v>
      </c>
      <c r="B314" s="188" t="s">
        <v>1</v>
      </c>
      <c r="C314" s="212" t="s">
        <v>34</v>
      </c>
      <c r="D314" s="190" t="s">
        <v>3</v>
      </c>
      <c r="E314" s="190" t="s">
        <v>683</v>
      </c>
      <c r="F314" s="203"/>
      <c r="G314" s="190" t="s">
        <v>662</v>
      </c>
      <c r="H314" s="192" t="s">
        <v>409</v>
      </c>
      <c r="I314" s="193">
        <v>1769</v>
      </c>
      <c r="J314" s="193">
        <v>1815</v>
      </c>
      <c r="K314" s="193">
        <v>1815</v>
      </c>
      <c r="L314" s="193">
        <v>1910</v>
      </c>
      <c r="M314" s="194">
        <v>1910</v>
      </c>
      <c r="N314" s="195">
        <v>0</v>
      </c>
      <c r="O314" s="195">
        <v>12.709999999999999</v>
      </c>
      <c r="P314" s="195">
        <v>24</v>
      </c>
      <c r="Q314" s="226">
        <v>360</v>
      </c>
      <c r="R314" s="227" t="s">
        <v>1255</v>
      </c>
      <c r="S314" s="197">
        <v>0</v>
      </c>
      <c r="T314" s="195">
        <v>12.709999999999999</v>
      </c>
      <c r="U314" s="195">
        <v>24</v>
      </c>
      <c r="V314" s="226">
        <v>360</v>
      </c>
      <c r="W314" s="226" t="s">
        <v>1255</v>
      </c>
      <c r="X314" s="195">
        <v>0</v>
      </c>
      <c r="Y314" s="195">
        <v>13.129999999999999</v>
      </c>
      <c r="Z314" s="195">
        <v>24</v>
      </c>
      <c r="AA314" s="196">
        <v>360</v>
      </c>
      <c r="AB314" s="196" t="s">
        <v>1</v>
      </c>
      <c r="AC314" s="197">
        <v>0</v>
      </c>
      <c r="AD314" s="195">
        <v>13.129999999999999</v>
      </c>
      <c r="AE314" s="197">
        <v>24</v>
      </c>
      <c r="AF314" s="198">
        <v>360</v>
      </c>
      <c r="AG314" s="198" t="s">
        <v>1</v>
      </c>
      <c r="AH314" s="198" t="s">
        <v>1</v>
      </c>
      <c r="AI314" s="209" t="s">
        <v>1</v>
      </c>
      <c r="AJ314" s="209" t="s">
        <v>1</v>
      </c>
      <c r="AK314" s="209" t="s">
        <v>1</v>
      </c>
      <c r="AL314" s="214" t="s">
        <v>1</v>
      </c>
      <c r="AM314" s="200" t="s">
        <v>1</v>
      </c>
      <c r="AN314" s="199" t="s">
        <v>1</v>
      </c>
      <c r="AO314" s="199" t="s">
        <v>1</v>
      </c>
      <c r="AP314" s="198" t="s">
        <v>1</v>
      </c>
      <c r="AQ314" s="198" t="s">
        <v>1</v>
      </c>
      <c r="AR314" s="201" t="s">
        <v>1</v>
      </c>
      <c r="AS314" s="201" t="s">
        <v>1</v>
      </c>
      <c r="AT314" s="199" t="s">
        <v>1</v>
      </c>
      <c r="AU314" s="199" t="s">
        <v>1</v>
      </c>
      <c r="AV314" s="202" t="s">
        <v>1</v>
      </c>
      <c r="AW314" s="199" t="s">
        <v>1</v>
      </c>
    </row>
    <row r="315" spans="1:49" ht="30.15" customHeight="1" x14ac:dyDescent="0.25">
      <c r="A315" s="213" t="s">
        <v>18</v>
      </c>
      <c r="B315" s="188" t="s">
        <v>1</v>
      </c>
      <c r="C315" s="212" t="s">
        <v>34</v>
      </c>
      <c r="D315" s="190" t="s">
        <v>3</v>
      </c>
      <c r="E315" s="190" t="s">
        <v>684</v>
      </c>
      <c r="F315" s="203"/>
      <c r="G315" s="190" t="s">
        <v>662</v>
      </c>
      <c r="H315" s="192" t="s">
        <v>409</v>
      </c>
      <c r="I315" s="193">
        <v>1769</v>
      </c>
      <c r="J315" s="193">
        <v>1815</v>
      </c>
      <c r="K315" s="193">
        <v>1815</v>
      </c>
      <c r="L315" s="193">
        <v>1910</v>
      </c>
      <c r="M315" s="194">
        <v>1910</v>
      </c>
      <c r="N315" s="195">
        <v>0</v>
      </c>
      <c r="O315" s="195">
        <v>12.709999999999999</v>
      </c>
      <c r="P315" s="195">
        <v>24</v>
      </c>
      <c r="Q315" s="226">
        <v>360</v>
      </c>
      <c r="R315" s="227" t="s">
        <v>1255</v>
      </c>
      <c r="S315" s="197">
        <v>0</v>
      </c>
      <c r="T315" s="195">
        <v>12.709999999999999</v>
      </c>
      <c r="U315" s="195">
        <v>24</v>
      </c>
      <c r="V315" s="226">
        <v>360</v>
      </c>
      <c r="W315" s="226" t="s">
        <v>1255</v>
      </c>
      <c r="X315" s="195">
        <v>0</v>
      </c>
      <c r="Y315" s="195">
        <v>13.129999999999999</v>
      </c>
      <c r="Z315" s="195">
        <v>24</v>
      </c>
      <c r="AA315" s="196">
        <v>360</v>
      </c>
      <c r="AB315" s="196" t="s">
        <v>1</v>
      </c>
      <c r="AC315" s="197">
        <v>0</v>
      </c>
      <c r="AD315" s="195">
        <v>13.129999999999999</v>
      </c>
      <c r="AE315" s="197">
        <v>24</v>
      </c>
      <c r="AF315" s="198">
        <v>360</v>
      </c>
      <c r="AG315" s="198" t="s">
        <v>1</v>
      </c>
      <c r="AH315" s="198" t="s">
        <v>1</v>
      </c>
      <c r="AI315" s="209" t="s">
        <v>1</v>
      </c>
      <c r="AJ315" s="209" t="s">
        <v>1</v>
      </c>
      <c r="AK315" s="209" t="s">
        <v>1</v>
      </c>
      <c r="AL315" s="214" t="s">
        <v>1</v>
      </c>
      <c r="AM315" s="200" t="s">
        <v>1</v>
      </c>
      <c r="AN315" s="199" t="s">
        <v>1</v>
      </c>
      <c r="AO315" s="199" t="s">
        <v>1</v>
      </c>
      <c r="AP315" s="198" t="s">
        <v>1</v>
      </c>
      <c r="AQ315" s="198" t="s">
        <v>1</v>
      </c>
      <c r="AR315" s="201" t="s">
        <v>1</v>
      </c>
      <c r="AS315" s="201" t="s">
        <v>1</v>
      </c>
      <c r="AT315" s="199" t="s">
        <v>1</v>
      </c>
      <c r="AU315" s="199" t="s">
        <v>1</v>
      </c>
      <c r="AV315" s="202" t="s">
        <v>1</v>
      </c>
      <c r="AW315" s="199" t="s">
        <v>1</v>
      </c>
    </row>
    <row r="316" spans="1:49" ht="30.15" customHeight="1" x14ac:dyDescent="0.25">
      <c r="A316" s="213" t="s">
        <v>18</v>
      </c>
      <c r="B316" s="188" t="s">
        <v>1</v>
      </c>
      <c r="C316" s="212" t="s">
        <v>34</v>
      </c>
      <c r="D316" s="190" t="s">
        <v>3</v>
      </c>
      <c r="E316" s="190" t="s">
        <v>675</v>
      </c>
      <c r="F316" s="203"/>
      <c r="G316" s="190" t="s">
        <v>654</v>
      </c>
      <c r="H316" s="192" t="s">
        <v>409</v>
      </c>
      <c r="I316" s="193">
        <v>809</v>
      </c>
      <c r="J316" s="193">
        <v>827</v>
      </c>
      <c r="K316" s="193">
        <v>827</v>
      </c>
      <c r="L316" s="193">
        <v>875</v>
      </c>
      <c r="M316" s="194">
        <v>875</v>
      </c>
      <c r="N316" s="195">
        <v>0</v>
      </c>
      <c r="O316" s="195" t="s">
        <v>1</v>
      </c>
      <c r="P316" s="195" t="s">
        <v>1</v>
      </c>
      <c r="Q316" s="226">
        <v>299</v>
      </c>
      <c r="R316" s="227" t="s">
        <v>1252</v>
      </c>
      <c r="S316" s="197">
        <v>0</v>
      </c>
      <c r="T316" s="195" t="s">
        <v>1</v>
      </c>
      <c r="U316" s="195" t="s">
        <v>1</v>
      </c>
      <c r="V316" s="226">
        <v>299</v>
      </c>
      <c r="W316" s="226" t="s">
        <v>1252</v>
      </c>
      <c r="X316" s="195">
        <v>0</v>
      </c>
      <c r="Y316" s="195">
        <v>10</v>
      </c>
      <c r="Z316" s="195">
        <v>24</v>
      </c>
      <c r="AA316" s="226">
        <v>299</v>
      </c>
      <c r="AB316" s="227" t="s">
        <v>1</v>
      </c>
      <c r="AC316" s="197">
        <v>0</v>
      </c>
      <c r="AD316" s="195">
        <v>10</v>
      </c>
      <c r="AE316" s="197">
        <v>24</v>
      </c>
      <c r="AF316" s="226">
        <v>299</v>
      </c>
      <c r="AG316" s="228" t="s">
        <v>1</v>
      </c>
      <c r="AH316" s="198" t="s">
        <v>1</v>
      </c>
      <c r="AI316" s="209" t="s">
        <v>1</v>
      </c>
      <c r="AJ316" s="209" t="s">
        <v>1</v>
      </c>
      <c r="AK316" s="209" t="s">
        <v>1</v>
      </c>
      <c r="AL316" s="214" t="s">
        <v>1</v>
      </c>
      <c r="AM316" s="200" t="s">
        <v>1</v>
      </c>
      <c r="AN316" s="199" t="s">
        <v>1</v>
      </c>
      <c r="AO316" s="199" t="s">
        <v>1</v>
      </c>
      <c r="AP316" s="198" t="s">
        <v>1</v>
      </c>
      <c r="AQ316" s="198" t="s">
        <v>1</v>
      </c>
      <c r="AR316" s="201" t="s">
        <v>1</v>
      </c>
      <c r="AS316" s="201" t="s">
        <v>1</v>
      </c>
      <c r="AT316" s="199" t="s">
        <v>1</v>
      </c>
      <c r="AU316" s="199" t="s">
        <v>1</v>
      </c>
      <c r="AV316" s="202" t="s">
        <v>1</v>
      </c>
      <c r="AW316" s="199" t="s">
        <v>1</v>
      </c>
    </row>
    <row r="317" spans="1:49" ht="30.15" customHeight="1" x14ac:dyDescent="0.25">
      <c r="A317" s="213" t="s">
        <v>18</v>
      </c>
      <c r="B317" s="188" t="s">
        <v>1</v>
      </c>
      <c r="C317" s="212" t="s">
        <v>34</v>
      </c>
      <c r="D317" s="190" t="s">
        <v>3</v>
      </c>
      <c r="E317" s="190" t="s">
        <v>676</v>
      </c>
      <c r="F317" s="203"/>
      <c r="G317" s="190" t="s">
        <v>654</v>
      </c>
      <c r="H317" s="192" t="s">
        <v>409</v>
      </c>
      <c r="I317" s="193">
        <v>809</v>
      </c>
      <c r="J317" s="193">
        <v>827</v>
      </c>
      <c r="K317" s="193">
        <v>827</v>
      </c>
      <c r="L317" s="193">
        <v>875</v>
      </c>
      <c r="M317" s="194">
        <v>875</v>
      </c>
      <c r="N317" s="195">
        <v>0</v>
      </c>
      <c r="O317" s="195" t="s">
        <v>1</v>
      </c>
      <c r="P317" s="195" t="s">
        <v>1</v>
      </c>
      <c r="Q317" s="226">
        <v>299</v>
      </c>
      <c r="R317" s="227" t="s">
        <v>1252</v>
      </c>
      <c r="S317" s="197">
        <v>0</v>
      </c>
      <c r="T317" s="195" t="s">
        <v>1</v>
      </c>
      <c r="U317" s="195" t="s">
        <v>1</v>
      </c>
      <c r="V317" s="226">
        <v>299</v>
      </c>
      <c r="W317" s="226" t="s">
        <v>1252</v>
      </c>
      <c r="X317" s="195">
        <v>0</v>
      </c>
      <c r="Y317" s="195">
        <v>10</v>
      </c>
      <c r="Z317" s="195">
        <v>24</v>
      </c>
      <c r="AA317" s="226">
        <v>299</v>
      </c>
      <c r="AB317" s="227" t="s">
        <v>1</v>
      </c>
      <c r="AC317" s="197">
        <v>0</v>
      </c>
      <c r="AD317" s="195">
        <v>10</v>
      </c>
      <c r="AE317" s="197">
        <v>24</v>
      </c>
      <c r="AF317" s="226">
        <v>299</v>
      </c>
      <c r="AG317" s="228" t="s">
        <v>1</v>
      </c>
      <c r="AH317" s="198" t="s">
        <v>1</v>
      </c>
      <c r="AI317" s="209" t="s">
        <v>1</v>
      </c>
      <c r="AJ317" s="209" t="s">
        <v>1</v>
      </c>
      <c r="AK317" s="209" t="s">
        <v>1</v>
      </c>
      <c r="AL317" s="214" t="s">
        <v>1</v>
      </c>
      <c r="AM317" s="200" t="s">
        <v>1</v>
      </c>
      <c r="AN317" s="199" t="s">
        <v>1</v>
      </c>
      <c r="AO317" s="199" t="s">
        <v>1</v>
      </c>
      <c r="AP317" s="198" t="s">
        <v>1</v>
      </c>
      <c r="AQ317" s="198" t="s">
        <v>1</v>
      </c>
      <c r="AR317" s="201" t="s">
        <v>1</v>
      </c>
      <c r="AS317" s="201" t="s">
        <v>1</v>
      </c>
      <c r="AT317" s="199" t="s">
        <v>1</v>
      </c>
      <c r="AU317" s="199" t="s">
        <v>1</v>
      </c>
      <c r="AV317" s="202" t="s">
        <v>1</v>
      </c>
      <c r="AW317" s="199" t="s">
        <v>1</v>
      </c>
    </row>
    <row r="318" spans="1:49" ht="30.15" customHeight="1" x14ac:dyDescent="0.25">
      <c r="A318" s="213" t="s">
        <v>18</v>
      </c>
      <c r="B318" s="188" t="s">
        <v>1</v>
      </c>
      <c r="C318" s="212" t="s">
        <v>34</v>
      </c>
      <c r="D318" s="190" t="s">
        <v>3</v>
      </c>
      <c r="E318" s="190" t="s">
        <v>677</v>
      </c>
      <c r="F318" s="203"/>
      <c r="G318" s="190" t="s">
        <v>654</v>
      </c>
      <c r="H318" s="192" t="s">
        <v>409</v>
      </c>
      <c r="I318" s="193">
        <v>809</v>
      </c>
      <c r="J318" s="193">
        <v>827</v>
      </c>
      <c r="K318" s="193">
        <v>827</v>
      </c>
      <c r="L318" s="193">
        <v>875</v>
      </c>
      <c r="M318" s="194">
        <v>875</v>
      </c>
      <c r="N318" s="195">
        <v>0</v>
      </c>
      <c r="O318" s="195" t="s">
        <v>1</v>
      </c>
      <c r="P318" s="195" t="s">
        <v>1</v>
      </c>
      <c r="Q318" s="226">
        <v>299</v>
      </c>
      <c r="R318" s="227" t="s">
        <v>1252</v>
      </c>
      <c r="S318" s="197">
        <v>0</v>
      </c>
      <c r="T318" s="195" t="s">
        <v>1</v>
      </c>
      <c r="U318" s="195" t="s">
        <v>1</v>
      </c>
      <c r="V318" s="226">
        <v>299</v>
      </c>
      <c r="W318" s="226" t="s">
        <v>1252</v>
      </c>
      <c r="X318" s="195">
        <v>0</v>
      </c>
      <c r="Y318" s="195">
        <v>10</v>
      </c>
      <c r="Z318" s="195">
        <v>24</v>
      </c>
      <c r="AA318" s="226">
        <v>299</v>
      </c>
      <c r="AB318" s="227" t="s">
        <v>1</v>
      </c>
      <c r="AC318" s="197">
        <v>0</v>
      </c>
      <c r="AD318" s="195">
        <v>10</v>
      </c>
      <c r="AE318" s="197">
        <v>24</v>
      </c>
      <c r="AF318" s="226">
        <v>299</v>
      </c>
      <c r="AG318" s="228" t="s">
        <v>1</v>
      </c>
      <c r="AH318" s="198" t="s">
        <v>1</v>
      </c>
      <c r="AI318" s="209" t="s">
        <v>1</v>
      </c>
      <c r="AJ318" s="209" t="s">
        <v>1</v>
      </c>
      <c r="AK318" s="209" t="s">
        <v>1</v>
      </c>
      <c r="AL318" s="214" t="s">
        <v>1</v>
      </c>
      <c r="AM318" s="200" t="s">
        <v>1</v>
      </c>
      <c r="AN318" s="199" t="s">
        <v>1</v>
      </c>
      <c r="AO318" s="199" t="s">
        <v>1</v>
      </c>
      <c r="AP318" s="198" t="s">
        <v>1</v>
      </c>
      <c r="AQ318" s="198" t="s">
        <v>1</v>
      </c>
      <c r="AR318" s="201" t="s">
        <v>1</v>
      </c>
      <c r="AS318" s="201" t="s">
        <v>1</v>
      </c>
      <c r="AT318" s="199" t="s">
        <v>1</v>
      </c>
      <c r="AU318" s="199" t="s">
        <v>1</v>
      </c>
      <c r="AV318" s="202" t="s">
        <v>1</v>
      </c>
      <c r="AW318" s="199" t="s">
        <v>1</v>
      </c>
    </row>
    <row r="319" spans="1:49" ht="30.15" customHeight="1" x14ac:dyDescent="0.25">
      <c r="A319" s="213" t="s">
        <v>18</v>
      </c>
      <c r="B319" s="188" t="s">
        <v>1</v>
      </c>
      <c r="C319" s="212" t="s">
        <v>34</v>
      </c>
      <c r="D319" s="190" t="s">
        <v>3</v>
      </c>
      <c r="E319" s="190" t="s">
        <v>678</v>
      </c>
      <c r="F319" s="203"/>
      <c r="G319" s="190" t="s">
        <v>654</v>
      </c>
      <c r="H319" s="192" t="s">
        <v>409</v>
      </c>
      <c r="I319" s="193">
        <v>809</v>
      </c>
      <c r="J319" s="193">
        <v>827</v>
      </c>
      <c r="K319" s="193">
        <v>827</v>
      </c>
      <c r="L319" s="193">
        <v>875</v>
      </c>
      <c r="M319" s="194">
        <v>875</v>
      </c>
      <c r="N319" s="195">
        <v>0</v>
      </c>
      <c r="O319" s="195" t="s">
        <v>1</v>
      </c>
      <c r="P319" s="195" t="s">
        <v>1</v>
      </c>
      <c r="Q319" s="226">
        <v>299</v>
      </c>
      <c r="R319" s="227" t="s">
        <v>1252</v>
      </c>
      <c r="S319" s="197">
        <v>0</v>
      </c>
      <c r="T319" s="195" t="s">
        <v>1</v>
      </c>
      <c r="U319" s="195" t="s">
        <v>1</v>
      </c>
      <c r="V319" s="226">
        <v>299</v>
      </c>
      <c r="W319" s="226" t="s">
        <v>1252</v>
      </c>
      <c r="X319" s="195">
        <v>0</v>
      </c>
      <c r="Y319" s="195">
        <v>10</v>
      </c>
      <c r="Z319" s="195">
        <v>24</v>
      </c>
      <c r="AA319" s="226">
        <v>299</v>
      </c>
      <c r="AB319" s="227" t="s">
        <v>1</v>
      </c>
      <c r="AC319" s="197">
        <v>0</v>
      </c>
      <c r="AD319" s="195">
        <v>10</v>
      </c>
      <c r="AE319" s="197">
        <v>24</v>
      </c>
      <c r="AF319" s="226">
        <v>299</v>
      </c>
      <c r="AG319" s="228" t="s">
        <v>1</v>
      </c>
      <c r="AH319" s="198" t="s">
        <v>1</v>
      </c>
      <c r="AI319" s="209" t="s">
        <v>1</v>
      </c>
      <c r="AJ319" s="209" t="s">
        <v>1</v>
      </c>
      <c r="AK319" s="209" t="s">
        <v>1</v>
      </c>
      <c r="AL319" s="214" t="s">
        <v>1</v>
      </c>
      <c r="AM319" s="200" t="s">
        <v>1</v>
      </c>
      <c r="AN319" s="199" t="s">
        <v>1</v>
      </c>
      <c r="AO319" s="199" t="s">
        <v>1</v>
      </c>
      <c r="AP319" s="198" t="s">
        <v>1</v>
      </c>
      <c r="AQ319" s="198" t="s">
        <v>1</v>
      </c>
      <c r="AR319" s="201" t="s">
        <v>1</v>
      </c>
      <c r="AS319" s="201" t="s">
        <v>1</v>
      </c>
      <c r="AT319" s="199" t="s">
        <v>1</v>
      </c>
      <c r="AU319" s="199" t="s">
        <v>1</v>
      </c>
      <c r="AV319" s="202" t="s">
        <v>1</v>
      </c>
      <c r="AW319" s="199" t="s">
        <v>1</v>
      </c>
    </row>
    <row r="320" spans="1:49" ht="30.15" customHeight="1" x14ac:dyDescent="0.25">
      <c r="A320" s="213" t="s">
        <v>18</v>
      </c>
      <c r="B320" s="188" t="s">
        <v>1</v>
      </c>
      <c r="C320" s="212" t="s">
        <v>34</v>
      </c>
      <c r="D320" s="190" t="s">
        <v>3</v>
      </c>
      <c r="E320" s="190" t="s">
        <v>679</v>
      </c>
      <c r="F320" s="203"/>
      <c r="G320" s="190" t="s">
        <v>654</v>
      </c>
      <c r="H320" s="192" t="s">
        <v>409</v>
      </c>
      <c r="I320" s="193">
        <v>809</v>
      </c>
      <c r="J320" s="193">
        <v>827</v>
      </c>
      <c r="K320" s="193">
        <v>827</v>
      </c>
      <c r="L320" s="193">
        <v>875</v>
      </c>
      <c r="M320" s="194">
        <v>875</v>
      </c>
      <c r="N320" s="195">
        <v>0</v>
      </c>
      <c r="O320" s="195" t="s">
        <v>1</v>
      </c>
      <c r="P320" s="195" t="s">
        <v>1</v>
      </c>
      <c r="Q320" s="226">
        <v>299</v>
      </c>
      <c r="R320" s="227" t="s">
        <v>1252</v>
      </c>
      <c r="S320" s="197">
        <v>0</v>
      </c>
      <c r="T320" s="195" t="s">
        <v>1</v>
      </c>
      <c r="U320" s="195" t="s">
        <v>1</v>
      </c>
      <c r="V320" s="226">
        <v>299</v>
      </c>
      <c r="W320" s="226" t="s">
        <v>1252</v>
      </c>
      <c r="X320" s="195">
        <v>0</v>
      </c>
      <c r="Y320" s="195">
        <v>10</v>
      </c>
      <c r="Z320" s="195">
        <v>24</v>
      </c>
      <c r="AA320" s="226">
        <v>299</v>
      </c>
      <c r="AB320" s="227" t="s">
        <v>1</v>
      </c>
      <c r="AC320" s="197">
        <v>0</v>
      </c>
      <c r="AD320" s="195">
        <v>10</v>
      </c>
      <c r="AE320" s="197">
        <v>24</v>
      </c>
      <c r="AF320" s="226">
        <v>299</v>
      </c>
      <c r="AG320" s="228" t="s">
        <v>1</v>
      </c>
      <c r="AH320" s="198" t="s">
        <v>1</v>
      </c>
      <c r="AI320" s="209" t="s">
        <v>1</v>
      </c>
      <c r="AJ320" s="209" t="s">
        <v>1</v>
      </c>
      <c r="AK320" s="209" t="s">
        <v>1</v>
      </c>
      <c r="AL320" s="214" t="s">
        <v>1</v>
      </c>
      <c r="AM320" s="200" t="s">
        <v>1</v>
      </c>
      <c r="AN320" s="199" t="s">
        <v>1</v>
      </c>
      <c r="AO320" s="199" t="s">
        <v>1</v>
      </c>
      <c r="AP320" s="198" t="s">
        <v>1</v>
      </c>
      <c r="AQ320" s="198" t="s">
        <v>1</v>
      </c>
      <c r="AR320" s="201" t="s">
        <v>1</v>
      </c>
      <c r="AS320" s="201" t="s">
        <v>1</v>
      </c>
      <c r="AT320" s="199" t="s">
        <v>1</v>
      </c>
      <c r="AU320" s="199" t="s">
        <v>1</v>
      </c>
      <c r="AV320" s="202" t="s">
        <v>1</v>
      </c>
      <c r="AW320" s="199" t="s">
        <v>1</v>
      </c>
    </row>
    <row r="321" spans="1:49" ht="30.15" customHeight="1" x14ac:dyDescent="0.25">
      <c r="A321" s="213" t="s">
        <v>18</v>
      </c>
      <c r="B321" s="188" t="s">
        <v>1</v>
      </c>
      <c r="C321" s="212" t="s">
        <v>34</v>
      </c>
      <c r="D321" s="190" t="s">
        <v>3</v>
      </c>
      <c r="E321" s="190" t="s">
        <v>680</v>
      </c>
      <c r="F321" s="203"/>
      <c r="G321" s="190" t="s">
        <v>654</v>
      </c>
      <c r="H321" s="192" t="s">
        <v>409</v>
      </c>
      <c r="I321" s="193">
        <v>809</v>
      </c>
      <c r="J321" s="193">
        <v>827</v>
      </c>
      <c r="K321" s="193">
        <v>827</v>
      </c>
      <c r="L321" s="193">
        <v>875</v>
      </c>
      <c r="M321" s="194">
        <v>875</v>
      </c>
      <c r="N321" s="195">
        <v>0</v>
      </c>
      <c r="O321" s="195" t="s">
        <v>1</v>
      </c>
      <c r="P321" s="195" t="s">
        <v>1</v>
      </c>
      <c r="Q321" s="226">
        <v>299</v>
      </c>
      <c r="R321" s="227" t="s">
        <v>1252</v>
      </c>
      <c r="S321" s="197">
        <v>0</v>
      </c>
      <c r="T321" s="195" t="s">
        <v>1</v>
      </c>
      <c r="U321" s="195" t="s">
        <v>1</v>
      </c>
      <c r="V321" s="226">
        <v>299</v>
      </c>
      <c r="W321" s="226" t="s">
        <v>1252</v>
      </c>
      <c r="X321" s="195">
        <v>0</v>
      </c>
      <c r="Y321" s="195">
        <v>10</v>
      </c>
      <c r="Z321" s="195">
        <v>24</v>
      </c>
      <c r="AA321" s="226">
        <v>299</v>
      </c>
      <c r="AB321" s="227" t="s">
        <v>1</v>
      </c>
      <c r="AC321" s="197">
        <v>0</v>
      </c>
      <c r="AD321" s="195">
        <v>10</v>
      </c>
      <c r="AE321" s="197">
        <v>24</v>
      </c>
      <c r="AF321" s="226">
        <v>299</v>
      </c>
      <c r="AG321" s="228" t="s">
        <v>1</v>
      </c>
      <c r="AH321" s="198" t="s">
        <v>1</v>
      </c>
      <c r="AI321" s="209" t="s">
        <v>1</v>
      </c>
      <c r="AJ321" s="209" t="s">
        <v>1</v>
      </c>
      <c r="AK321" s="209" t="s">
        <v>1</v>
      </c>
      <c r="AL321" s="214" t="s">
        <v>1</v>
      </c>
      <c r="AM321" s="200" t="s">
        <v>1</v>
      </c>
      <c r="AN321" s="199" t="s">
        <v>1</v>
      </c>
      <c r="AO321" s="199" t="s">
        <v>1</v>
      </c>
      <c r="AP321" s="198" t="s">
        <v>1</v>
      </c>
      <c r="AQ321" s="198" t="s">
        <v>1</v>
      </c>
      <c r="AR321" s="201" t="s">
        <v>1</v>
      </c>
      <c r="AS321" s="201" t="s">
        <v>1</v>
      </c>
      <c r="AT321" s="199" t="s">
        <v>1</v>
      </c>
      <c r="AU321" s="199" t="s">
        <v>1</v>
      </c>
      <c r="AV321" s="202" t="s">
        <v>1</v>
      </c>
      <c r="AW321" s="199" t="s">
        <v>1</v>
      </c>
    </row>
    <row r="322" spans="1:49" ht="30.15" customHeight="1" x14ac:dyDescent="0.25">
      <c r="A322" s="213" t="s">
        <v>18</v>
      </c>
      <c r="B322" s="188" t="s">
        <v>1</v>
      </c>
      <c r="C322" s="212" t="s">
        <v>34</v>
      </c>
      <c r="D322" s="190" t="s">
        <v>3</v>
      </c>
      <c r="E322" s="190" t="s">
        <v>669</v>
      </c>
      <c r="F322" s="203"/>
      <c r="G322" s="190" t="s">
        <v>655</v>
      </c>
      <c r="H322" s="192" t="s">
        <v>409</v>
      </c>
      <c r="I322" s="193">
        <v>875</v>
      </c>
      <c r="J322" s="193">
        <v>898</v>
      </c>
      <c r="K322" s="193">
        <v>898</v>
      </c>
      <c r="L322" s="193">
        <v>945</v>
      </c>
      <c r="M322" s="194">
        <v>945</v>
      </c>
      <c r="N322" s="195">
        <v>0</v>
      </c>
      <c r="O322" s="195" t="s">
        <v>1</v>
      </c>
      <c r="P322" s="195" t="s">
        <v>1</v>
      </c>
      <c r="Q322" s="226">
        <v>309</v>
      </c>
      <c r="R322" s="227" t="s">
        <v>1252</v>
      </c>
      <c r="S322" s="197">
        <v>0</v>
      </c>
      <c r="T322" s="195" t="s">
        <v>1</v>
      </c>
      <c r="U322" s="195" t="s">
        <v>1</v>
      </c>
      <c r="V322" s="226">
        <v>309</v>
      </c>
      <c r="W322" s="226" t="s">
        <v>1252</v>
      </c>
      <c r="X322" s="195">
        <v>0</v>
      </c>
      <c r="Y322" s="195">
        <v>10</v>
      </c>
      <c r="Z322" s="195">
        <v>24</v>
      </c>
      <c r="AA322" s="226">
        <v>309</v>
      </c>
      <c r="AB322" s="227" t="s">
        <v>1</v>
      </c>
      <c r="AC322" s="197">
        <v>0</v>
      </c>
      <c r="AD322" s="195">
        <v>10</v>
      </c>
      <c r="AE322" s="197">
        <v>24</v>
      </c>
      <c r="AF322" s="226">
        <v>309</v>
      </c>
      <c r="AG322" s="228" t="s">
        <v>1</v>
      </c>
      <c r="AH322" s="198" t="s">
        <v>1</v>
      </c>
      <c r="AI322" s="209" t="s">
        <v>1</v>
      </c>
      <c r="AJ322" s="209" t="s">
        <v>1</v>
      </c>
      <c r="AK322" s="209" t="s">
        <v>1</v>
      </c>
      <c r="AL322" s="214" t="s">
        <v>1</v>
      </c>
      <c r="AM322" s="200" t="s">
        <v>1</v>
      </c>
      <c r="AN322" s="199" t="s">
        <v>1</v>
      </c>
      <c r="AO322" s="199" t="s">
        <v>1</v>
      </c>
      <c r="AP322" s="198" t="s">
        <v>1</v>
      </c>
      <c r="AQ322" s="198" t="s">
        <v>1</v>
      </c>
      <c r="AR322" s="201" t="s">
        <v>1</v>
      </c>
      <c r="AS322" s="201" t="s">
        <v>1</v>
      </c>
      <c r="AT322" s="199" t="s">
        <v>1</v>
      </c>
      <c r="AU322" s="199" t="s">
        <v>1</v>
      </c>
      <c r="AV322" s="202" t="s">
        <v>1</v>
      </c>
      <c r="AW322" s="199" t="s">
        <v>1</v>
      </c>
    </row>
    <row r="323" spans="1:49" ht="30.15" customHeight="1" x14ac:dyDescent="0.25">
      <c r="A323" s="213" t="s">
        <v>18</v>
      </c>
      <c r="B323" s="188" t="s">
        <v>1</v>
      </c>
      <c r="C323" s="212" t="s">
        <v>34</v>
      </c>
      <c r="D323" s="190" t="s">
        <v>3</v>
      </c>
      <c r="E323" s="190" t="s">
        <v>670</v>
      </c>
      <c r="F323" s="203"/>
      <c r="G323" s="190" t="s">
        <v>655</v>
      </c>
      <c r="H323" s="192" t="s">
        <v>409</v>
      </c>
      <c r="I323" s="193">
        <v>875</v>
      </c>
      <c r="J323" s="193">
        <v>898</v>
      </c>
      <c r="K323" s="193">
        <v>898</v>
      </c>
      <c r="L323" s="193">
        <v>945</v>
      </c>
      <c r="M323" s="194">
        <v>945</v>
      </c>
      <c r="N323" s="195">
        <v>0</v>
      </c>
      <c r="O323" s="195" t="s">
        <v>1</v>
      </c>
      <c r="P323" s="195" t="s">
        <v>1</v>
      </c>
      <c r="Q323" s="226">
        <v>309</v>
      </c>
      <c r="R323" s="227" t="s">
        <v>1252</v>
      </c>
      <c r="S323" s="197">
        <v>0</v>
      </c>
      <c r="T323" s="195" t="s">
        <v>1</v>
      </c>
      <c r="U323" s="195" t="s">
        <v>1</v>
      </c>
      <c r="V323" s="226">
        <v>309</v>
      </c>
      <c r="W323" s="226" t="s">
        <v>1252</v>
      </c>
      <c r="X323" s="195">
        <v>0</v>
      </c>
      <c r="Y323" s="195">
        <v>10</v>
      </c>
      <c r="Z323" s="195">
        <v>24</v>
      </c>
      <c r="AA323" s="226">
        <v>309</v>
      </c>
      <c r="AB323" s="227" t="s">
        <v>1</v>
      </c>
      <c r="AC323" s="197">
        <v>0</v>
      </c>
      <c r="AD323" s="195">
        <v>10</v>
      </c>
      <c r="AE323" s="197">
        <v>24</v>
      </c>
      <c r="AF323" s="226">
        <v>309</v>
      </c>
      <c r="AG323" s="228" t="s">
        <v>1</v>
      </c>
      <c r="AH323" s="198" t="s">
        <v>1</v>
      </c>
      <c r="AI323" s="209" t="s">
        <v>1</v>
      </c>
      <c r="AJ323" s="209" t="s">
        <v>1</v>
      </c>
      <c r="AK323" s="209" t="s">
        <v>1</v>
      </c>
      <c r="AL323" s="214" t="s">
        <v>1</v>
      </c>
      <c r="AM323" s="200" t="s">
        <v>1</v>
      </c>
      <c r="AN323" s="199" t="s">
        <v>1</v>
      </c>
      <c r="AO323" s="199" t="s">
        <v>1</v>
      </c>
      <c r="AP323" s="198" t="s">
        <v>1</v>
      </c>
      <c r="AQ323" s="198" t="s">
        <v>1</v>
      </c>
      <c r="AR323" s="201" t="s">
        <v>1</v>
      </c>
      <c r="AS323" s="201" t="s">
        <v>1</v>
      </c>
      <c r="AT323" s="199" t="s">
        <v>1</v>
      </c>
      <c r="AU323" s="199" t="s">
        <v>1</v>
      </c>
      <c r="AV323" s="202" t="s">
        <v>1</v>
      </c>
      <c r="AW323" s="199" t="s">
        <v>1</v>
      </c>
    </row>
    <row r="324" spans="1:49" ht="30.15" customHeight="1" x14ac:dyDescent="0.25">
      <c r="A324" s="213" t="s">
        <v>18</v>
      </c>
      <c r="B324" s="188" t="s">
        <v>1</v>
      </c>
      <c r="C324" s="212" t="s">
        <v>34</v>
      </c>
      <c r="D324" s="190" t="s">
        <v>3</v>
      </c>
      <c r="E324" s="190" t="s">
        <v>671</v>
      </c>
      <c r="F324" s="203"/>
      <c r="G324" s="190" t="s">
        <v>655</v>
      </c>
      <c r="H324" s="192" t="s">
        <v>409</v>
      </c>
      <c r="I324" s="193">
        <v>875</v>
      </c>
      <c r="J324" s="193">
        <v>898</v>
      </c>
      <c r="K324" s="193">
        <v>898</v>
      </c>
      <c r="L324" s="193">
        <v>945</v>
      </c>
      <c r="M324" s="194">
        <v>945</v>
      </c>
      <c r="N324" s="195">
        <v>0</v>
      </c>
      <c r="O324" s="195" t="s">
        <v>1</v>
      </c>
      <c r="P324" s="195" t="s">
        <v>1</v>
      </c>
      <c r="Q324" s="226">
        <v>309</v>
      </c>
      <c r="R324" s="227" t="s">
        <v>1252</v>
      </c>
      <c r="S324" s="197">
        <v>0</v>
      </c>
      <c r="T324" s="195" t="s">
        <v>1</v>
      </c>
      <c r="U324" s="195" t="s">
        <v>1</v>
      </c>
      <c r="V324" s="226">
        <v>309</v>
      </c>
      <c r="W324" s="226" t="s">
        <v>1252</v>
      </c>
      <c r="X324" s="195">
        <v>0</v>
      </c>
      <c r="Y324" s="195">
        <v>10</v>
      </c>
      <c r="Z324" s="195">
        <v>24</v>
      </c>
      <c r="AA324" s="226">
        <v>309</v>
      </c>
      <c r="AB324" s="227" t="s">
        <v>1</v>
      </c>
      <c r="AC324" s="197">
        <v>0</v>
      </c>
      <c r="AD324" s="195">
        <v>10</v>
      </c>
      <c r="AE324" s="197">
        <v>24</v>
      </c>
      <c r="AF324" s="226">
        <v>309</v>
      </c>
      <c r="AG324" s="228" t="s">
        <v>1</v>
      </c>
      <c r="AH324" s="198" t="s">
        <v>1</v>
      </c>
      <c r="AI324" s="209" t="s">
        <v>1</v>
      </c>
      <c r="AJ324" s="209" t="s">
        <v>1</v>
      </c>
      <c r="AK324" s="209" t="s">
        <v>1</v>
      </c>
      <c r="AL324" s="214" t="s">
        <v>1</v>
      </c>
      <c r="AM324" s="200" t="s">
        <v>1</v>
      </c>
      <c r="AN324" s="199" t="s">
        <v>1</v>
      </c>
      <c r="AO324" s="199" t="s">
        <v>1</v>
      </c>
      <c r="AP324" s="198" t="s">
        <v>1</v>
      </c>
      <c r="AQ324" s="198" t="s">
        <v>1</v>
      </c>
      <c r="AR324" s="201" t="s">
        <v>1</v>
      </c>
      <c r="AS324" s="201" t="s">
        <v>1</v>
      </c>
      <c r="AT324" s="199" t="s">
        <v>1</v>
      </c>
      <c r="AU324" s="199" t="s">
        <v>1</v>
      </c>
      <c r="AV324" s="202" t="s">
        <v>1</v>
      </c>
      <c r="AW324" s="199" t="s">
        <v>1</v>
      </c>
    </row>
    <row r="325" spans="1:49" ht="30.15" customHeight="1" x14ac:dyDescent="0.25">
      <c r="A325" s="213" t="s">
        <v>18</v>
      </c>
      <c r="B325" s="188" t="s">
        <v>1</v>
      </c>
      <c r="C325" s="212" t="s">
        <v>34</v>
      </c>
      <c r="D325" s="190" t="s">
        <v>3</v>
      </c>
      <c r="E325" s="190" t="s">
        <v>672</v>
      </c>
      <c r="F325" s="203"/>
      <c r="G325" s="190" t="s">
        <v>655</v>
      </c>
      <c r="H325" s="192" t="s">
        <v>409</v>
      </c>
      <c r="I325" s="193">
        <v>875</v>
      </c>
      <c r="J325" s="193">
        <v>898</v>
      </c>
      <c r="K325" s="193">
        <v>898</v>
      </c>
      <c r="L325" s="193">
        <v>945</v>
      </c>
      <c r="M325" s="194">
        <v>945</v>
      </c>
      <c r="N325" s="195">
        <v>0</v>
      </c>
      <c r="O325" s="195" t="s">
        <v>1</v>
      </c>
      <c r="P325" s="195" t="s">
        <v>1</v>
      </c>
      <c r="Q325" s="226">
        <v>309</v>
      </c>
      <c r="R325" s="227" t="s">
        <v>1252</v>
      </c>
      <c r="S325" s="197">
        <v>0</v>
      </c>
      <c r="T325" s="195" t="s">
        <v>1</v>
      </c>
      <c r="U325" s="195" t="s">
        <v>1</v>
      </c>
      <c r="V325" s="226">
        <v>309</v>
      </c>
      <c r="W325" s="226" t="s">
        <v>1252</v>
      </c>
      <c r="X325" s="195">
        <v>0</v>
      </c>
      <c r="Y325" s="195">
        <v>10</v>
      </c>
      <c r="Z325" s="195">
        <v>24</v>
      </c>
      <c r="AA325" s="226">
        <v>309</v>
      </c>
      <c r="AB325" s="227" t="s">
        <v>1</v>
      </c>
      <c r="AC325" s="197">
        <v>0</v>
      </c>
      <c r="AD325" s="195">
        <v>10</v>
      </c>
      <c r="AE325" s="197">
        <v>24</v>
      </c>
      <c r="AF325" s="226">
        <v>309</v>
      </c>
      <c r="AG325" s="228" t="s">
        <v>1</v>
      </c>
      <c r="AH325" s="198" t="s">
        <v>1</v>
      </c>
      <c r="AI325" s="209" t="s">
        <v>1</v>
      </c>
      <c r="AJ325" s="209" t="s">
        <v>1</v>
      </c>
      <c r="AK325" s="209" t="s">
        <v>1</v>
      </c>
      <c r="AL325" s="214" t="s">
        <v>1</v>
      </c>
      <c r="AM325" s="200" t="s">
        <v>1</v>
      </c>
      <c r="AN325" s="199" t="s">
        <v>1</v>
      </c>
      <c r="AO325" s="199" t="s">
        <v>1</v>
      </c>
      <c r="AP325" s="198" t="s">
        <v>1</v>
      </c>
      <c r="AQ325" s="198" t="s">
        <v>1</v>
      </c>
      <c r="AR325" s="201" t="s">
        <v>1</v>
      </c>
      <c r="AS325" s="201" t="s">
        <v>1</v>
      </c>
      <c r="AT325" s="199" t="s">
        <v>1</v>
      </c>
      <c r="AU325" s="199" t="s">
        <v>1</v>
      </c>
      <c r="AV325" s="202" t="s">
        <v>1</v>
      </c>
      <c r="AW325" s="199" t="s">
        <v>1</v>
      </c>
    </row>
    <row r="326" spans="1:49" ht="30.15" customHeight="1" x14ac:dyDescent="0.25">
      <c r="A326" s="213" t="s">
        <v>18</v>
      </c>
      <c r="B326" s="188" t="s">
        <v>1</v>
      </c>
      <c r="C326" s="212" t="s">
        <v>34</v>
      </c>
      <c r="D326" s="190" t="s">
        <v>3</v>
      </c>
      <c r="E326" s="190" t="s">
        <v>673</v>
      </c>
      <c r="F326" s="203"/>
      <c r="G326" s="190" t="s">
        <v>655</v>
      </c>
      <c r="H326" s="192" t="s">
        <v>409</v>
      </c>
      <c r="I326" s="193">
        <v>875</v>
      </c>
      <c r="J326" s="193">
        <v>898</v>
      </c>
      <c r="K326" s="193">
        <v>898</v>
      </c>
      <c r="L326" s="193">
        <v>945</v>
      </c>
      <c r="M326" s="194">
        <v>945</v>
      </c>
      <c r="N326" s="195">
        <v>0</v>
      </c>
      <c r="O326" s="195" t="s">
        <v>1</v>
      </c>
      <c r="P326" s="195" t="s">
        <v>1</v>
      </c>
      <c r="Q326" s="226">
        <v>309</v>
      </c>
      <c r="R326" s="227" t="s">
        <v>1252</v>
      </c>
      <c r="S326" s="197">
        <v>0</v>
      </c>
      <c r="T326" s="195" t="s">
        <v>1</v>
      </c>
      <c r="U326" s="195" t="s">
        <v>1</v>
      </c>
      <c r="V326" s="226">
        <v>309</v>
      </c>
      <c r="W326" s="226" t="s">
        <v>1252</v>
      </c>
      <c r="X326" s="195">
        <v>0</v>
      </c>
      <c r="Y326" s="195">
        <v>10</v>
      </c>
      <c r="Z326" s="195">
        <v>24</v>
      </c>
      <c r="AA326" s="226">
        <v>309</v>
      </c>
      <c r="AB326" s="227" t="s">
        <v>1</v>
      </c>
      <c r="AC326" s="197">
        <v>0</v>
      </c>
      <c r="AD326" s="195">
        <v>10</v>
      </c>
      <c r="AE326" s="197">
        <v>24</v>
      </c>
      <c r="AF326" s="226">
        <v>309</v>
      </c>
      <c r="AG326" s="228" t="s">
        <v>1</v>
      </c>
      <c r="AH326" s="198" t="s">
        <v>1</v>
      </c>
      <c r="AI326" s="209" t="s">
        <v>1</v>
      </c>
      <c r="AJ326" s="209" t="s">
        <v>1</v>
      </c>
      <c r="AK326" s="209" t="s">
        <v>1</v>
      </c>
      <c r="AL326" s="214" t="s">
        <v>1</v>
      </c>
      <c r="AM326" s="200" t="s">
        <v>1</v>
      </c>
      <c r="AN326" s="199" t="s">
        <v>1</v>
      </c>
      <c r="AO326" s="199" t="s">
        <v>1</v>
      </c>
      <c r="AP326" s="198" t="s">
        <v>1</v>
      </c>
      <c r="AQ326" s="198" t="s">
        <v>1</v>
      </c>
      <c r="AR326" s="201" t="s">
        <v>1</v>
      </c>
      <c r="AS326" s="201" t="s">
        <v>1</v>
      </c>
      <c r="AT326" s="199" t="s">
        <v>1</v>
      </c>
      <c r="AU326" s="199" t="s">
        <v>1</v>
      </c>
      <c r="AV326" s="202" t="s">
        <v>1</v>
      </c>
      <c r="AW326" s="199" t="s">
        <v>1</v>
      </c>
    </row>
    <row r="327" spans="1:49" ht="30.15" customHeight="1" x14ac:dyDescent="0.25">
      <c r="A327" s="213" t="s">
        <v>18</v>
      </c>
      <c r="B327" s="188" t="s">
        <v>1</v>
      </c>
      <c r="C327" s="212" t="s">
        <v>34</v>
      </c>
      <c r="D327" s="190" t="s">
        <v>3</v>
      </c>
      <c r="E327" s="190" t="s">
        <v>674</v>
      </c>
      <c r="F327" s="203"/>
      <c r="G327" s="190" t="s">
        <v>655</v>
      </c>
      <c r="H327" s="192" t="s">
        <v>409</v>
      </c>
      <c r="I327" s="193">
        <v>875</v>
      </c>
      <c r="J327" s="193">
        <v>898</v>
      </c>
      <c r="K327" s="193">
        <v>898</v>
      </c>
      <c r="L327" s="193">
        <v>945</v>
      </c>
      <c r="M327" s="194">
        <v>945</v>
      </c>
      <c r="N327" s="195">
        <v>0</v>
      </c>
      <c r="O327" s="195" t="s">
        <v>1</v>
      </c>
      <c r="P327" s="195" t="s">
        <v>1</v>
      </c>
      <c r="Q327" s="226">
        <v>309</v>
      </c>
      <c r="R327" s="227" t="s">
        <v>1252</v>
      </c>
      <c r="S327" s="197">
        <v>0</v>
      </c>
      <c r="T327" s="195" t="s">
        <v>1</v>
      </c>
      <c r="U327" s="195" t="s">
        <v>1</v>
      </c>
      <c r="V327" s="226">
        <v>309</v>
      </c>
      <c r="W327" s="226" t="s">
        <v>1252</v>
      </c>
      <c r="X327" s="195">
        <v>0</v>
      </c>
      <c r="Y327" s="195">
        <v>10</v>
      </c>
      <c r="Z327" s="195">
        <v>24</v>
      </c>
      <c r="AA327" s="226">
        <v>309</v>
      </c>
      <c r="AB327" s="227" t="s">
        <v>1</v>
      </c>
      <c r="AC327" s="197">
        <v>0</v>
      </c>
      <c r="AD327" s="195">
        <v>10</v>
      </c>
      <c r="AE327" s="197">
        <v>24</v>
      </c>
      <c r="AF327" s="226">
        <v>309</v>
      </c>
      <c r="AG327" s="228" t="s">
        <v>1</v>
      </c>
      <c r="AH327" s="198" t="s">
        <v>1</v>
      </c>
      <c r="AI327" s="209" t="s">
        <v>1</v>
      </c>
      <c r="AJ327" s="209" t="s">
        <v>1</v>
      </c>
      <c r="AK327" s="209" t="s">
        <v>1</v>
      </c>
      <c r="AL327" s="214" t="s">
        <v>1</v>
      </c>
      <c r="AM327" s="200" t="s">
        <v>1</v>
      </c>
      <c r="AN327" s="199" t="s">
        <v>1</v>
      </c>
      <c r="AO327" s="199" t="s">
        <v>1</v>
      </c>
      <c r="AP327" s="198" t="s">
        <v>1</v>
      </c>
      <c r="AQ327" s="198" t="s">
        <v>1</v>
      </c>
      <c r="AR327" s="201" t="s">
        <v>1</v>
      </c>
      <c r="AS327" s="201" t="s">
        <v>1</v>
      </c>
      <c r="AT327" s="199" t="s">
        <v>1</v>
      </c>
      <c r="AU327" s="199" t="s">
        <v>1</v>
      </c>
      <c r="AV327" s="202" t="s">
        <v>1</v>
      </c>
      <c r="AW327" s="199" t="s">
        <v>1</v>
      </c>
    </row>
    <row r="328" spans="1:49" ht="30.15" customHeight="1" x14ac:dyDescent="0.25">
      <c r="A328" s="213" t="s">
        <v>18</v>
      </c>
      <c r="B328" s="188" t="s">
        <v>1</v>
      </c>
      <c r="C328" s="212" t="s">
        <v>34</v>
      </c>
      <c r="D328" s="190" t="s">
        <v>3</v>
      </c>
      <c r="E328" s="190" t="s">
        <v>663</v>
      </c>
      <c r="F328" s="203"/>
      <c r="G328" s="190" t="s">
        <v>656</v>
      </c>
      <c r="H328" s="192" t="s">
        <v>409</v>
      </c>
      <c r="I328" s="193">
        <v>1009</v>
      </c>
      <c r="J328" s="193">
        <v>1031</v>
      </c>
      <c r="K328" s="193">
        <v>1031</v>
      </c>
      <c r="L328" s="193">
        <v>1089</v>
      </c>
      <c r="M328" s="194">
        <v>1089</v>
      </c>
      <c r="N328" s="195">
        <v>0</v>
      </c>
      <c r="O328" s="195" t="s">
        <v>1</v>
      </c>
      <c r="P328" s="195" t="s">
        <v>1</v>
      </c>
      <c r="Q328" s="226">
        <v>321</v>
      </c>
      <c r="R328" s="227" t="s">
        <v>1253</v>
      </c>
      <c r="S328" s="197">
        <v>0</v>
      </c>
      <c r="T328" s="195" t="s">
        <v>1</v>
      </c>
      <c r="U328" s="195" t="s">
        <v>1</v>
      </c>
      <c r="V328" s="226">
        <v>321</v>
      </c>
      <c r="W328" s="226" t="s">
        <v>1253</v>
      </c>
      <c r="X328" s="195">
        <v>0</v>
      </c>
      <c r="Y328" s="195">
        <v>10</v>
      </c>
      <c r="Z328" s="195">
        <v>24</v>
      </c>
      <c r="AA328" s="226">
        <v>321</v>
      </c>
      <c r="AB328" s="227" t="s">
        <v>1</v>
      </c>
      <c r="AC328" s="197">
        <v>0</v>
      </c>
      <c r="AD328" s="195">
        <v>10</v>
      </c>
      <c r="AE328" s="197">
        <v>24</v>
      </c>
      <c r="AF328" s="226">
        <v>321</v>
      </c>
      <c r="AG328" s="228" t="s">
        <v>1</v>
      </c>
      <c r="AH328" s="198" t="s">
        <v>1</v>
      </c>
      <c r="AI328" s="209" t="s">
        <v>1</v>
      </c>
      <c r="AJ328" s="209" t="s">
        <v>1</v>
      </c>
      <c r="AK328" s="209" t="s">
        <v>1</v>
      </c>
      <c r="AL328" s="214" t="s">
        <v>1</v>
      </c>
      <c r="AM328" s="200" t="s">
        <v>1</v>
      </c>
      <c r="AN328" s="199" t="s">
        <v>1</v>
      </c>
      <c r="AO328" s="199" t="s">
        <v>1</v>
      </c>
      <c r="AP328" s="198" t="s">
        <v>1</v>
      </c>
      <c r="AQ328" s="198" t="s">
        <v>1</v>
      </c>
      <c r="AR328" s="201" t="s">
        <v>1</v>
      </c>
      <c r="AS328" s="201" t="s">
        <v>1</v>
      </c>
      <c r="AT328" s="199" t="s">
        <v>1</v>
      </c>
      <c r="AU328" s="199" t="s">
        <v>1</v>
      </c>
      <c r="AV328" s="202" t="s">
        <v>1</v>
      </c>
      <c r="AW328" s="199" t="s">
        <v>1</v>
      </c>
    </row>
    <row r="329" spans="1:49" ht="30.15" customHeight="1" x14ac:dyDescent="0.25">
      <c r="A329" s="213" t="s">
        <v>18</v>
      </c>
      <c r="B329" s="188" t="s">
        <v>1</v>
      </c>
      <c r="C329" s="212" t="s">
        <v>34</v>
      </c>
      <c r="D329" s="190" t="s">
        <v>3</v>
      </c>
      <c r="E329" s="190" t="s">
        <v>664</v>
      </c>
      <c r="F329" s="203"/>
      <c r="G329" s="190" t="s">
        <v>656</v>
      </c>
      <c r="H329" s="192" t="s">
        <v>409</v>
      </c>
      <c r="I329" s="193">
        <v>1009</v>
      </c>
      <c r="J329" s="193">
        <v>1031</v>
      </c>
      <c r="K329" s="193">
        <v>1031</v>
      </c>
      <c r="L329" s="193">
        <v>1089</v>
      </c>
      <c r="M329" s="194">
        <v>1089</v>
      </c>
      <c r="N329" s="195">
        <v>0</v>
      </c>
      <c r="O329" s="195" t="s">
        <v>1</v>
      </c>
      <c r="P329" s="195" t="s">
        <v>1</v>
      </c>
      <c r="Q329" s="226">
        <v>321</v>
      </c>
      <c r="R329" s="227" t="s">
        <v>1253</v>
      </c>
      <c r="S329" s="197">
        <v>0</v>
      </c>
      <c r="T329" s="195" t="s">
        <v>1</v>
      </c>
      <c r="U329" s="195" t="s">
        <v>1</v>
      </c>
      <c r="V329" s="226">
        <v>321</v>
      </c>
      <c r="W329" s="226" t="s">
        <v>1253</v>
      </c>
      <c r="X329" s="195">
        <v>0</v>
      </c>
      <c r="Y329" s="195">
        <v>10</v>
      </c>
      <c r="Z329" s="195">
        <v>24</v>
      </c>
      <c r="AA329" s="226">
        <v>321</v>
      </c>
      <c r="AB329" s="227" t="s">
        <v>1</v>
      </c>
      <c r="AC329" s="197">
        <v>0</v>
      </c>
      <c r="AD329" s="195">
        <v>10</v>
      </c>
      <c r="AE329" s="197">
        <v>24</v>
      </c>
      <c r="AF329" s="226">
        <v>321</v>
      </c>
      <c r="AG329" s="228" t="s">
        <v>1</v>
      </c>
      <c r="AH329" s="198" t="s">
        <v>1</v>
      </c>
      <c r="AI329" s="209" t="s">
        <v>1</v>
      </c>
      <c r="AJ329" s="209" t="s">
        <v>1</v>
      </c>
      <c r="AK329" s="209" t="s">
        <v>1</v>
      </c>
      <c r="AL329" s="214" t="s">
        <v>1</v>
      </c>
      <c r="AM329" s="200" t="s">
        <v>1</v>
      </c>
      <c r="AN329" s="199" t="s">
        <v>1</v>
      </c>
      <c r="AO329" s="199" t="s">
        <v>1</v>
      </c>
      <c r="AP329" s="198" t="s">
        <v>1</v>
      </c>
      <c r="AQ329" s="198" t="s">
        <v>1</v>
      </c>
      <c r="AR329" s="201" t="s">
        <v>1</v>
      </c>
      <c r="AS329" s="201" t="s">
        <v>1</v>
      </c>
      <c r="AT329" s="199" t="s">
        <v>1</v>
      </c>
      <c r="AU329" s="199" t="s">
        <v>1</v>
      </c>
      <c r="AV329" s="202" t="s">
        <v>1</v>
      </c>
      <c r="AW329" s="199" t="s">
        <v>1</v>
      </c>
    </row>
    <row r="330" spans="1:49" ht="30.15" customHeight="1" x14ac:dyDescent="0.25">
      <c r="A330" s="213" t="s">
        <v>18</v>
      </c>
      <c r="B330" s="188" t="s">
        <v>1</v>
      </c>
      <c r="C330" s="212" t="s">
        <v>34</v>
      </c>
      <c r="D330" s="190" t="s">
        <v>3</v>
      </c>
      <c r="E330" s="190" t="s">
        <v>665</v>
      </c>
      <c r="F330" s="203"/>
      <c r="G330" s="190" t="s">
        <v>656</v>
      </c>
      <c r="H330" s="192" t="s">
        <v>409</v>
      </c>
      <c r="I330" s="193">
        <v>1009</v>
      </c>
      <c r="J330" s="193">
        <v>1031</v>
      </c>
      <c r="K330" s="193">
        <v>1031</v>
      </c>
      <c r="L330" s="193">
        <v>1089</v>
      </c>
      <c r="M330" s="194">
        <v>1089</v>
      </c>
      <c r="N330" s="195">
        <v>0</v>
      </c>
      <c r="O330" s="195" t="s">
        <v>1</v>
      </c>
      <c r="P330" s="195" t="s">
        <v>1</v>
      </c>
      <c r="Q330" s="226">
        <v>321</v>
      </c>
      <c r="R330" s="227" t="s">
        <v>1253</v>
      </c>
      <c r="S330" s="197">
        <v>0</v>
      </c>
      <c r="T330" s="195" t="s">
        <v>1</v>
      </c>
      <c r="U330" s="195" t="s">
        <v>1</v>
      </c>
      <c r="V330" s="226">
        <v>321</v>
      </c>
      <c r="W330" s="226" t="s">
        <v>1253</v>
      </c>
      <c r="X330" s="195">
        <v>0</v>
      </c>
      <c r="Y330" s="195">
        <v>10</v>
      </c>
      <c r="Z330" s="195">
        <v>24</v>
      </c>
      <c r="AA330" s="226">
        <v>321</v>
      </c>
      <c r="AB330" s="227" t="s">
        <v>1</v>
      </c>
      <c r="AC330" s="197">
        <v>0</v>
      </c>
      <c r="AD330" s="195">
        <v>10</v>
      </c>
      <c r="AE330" s="197">
        <v>24</v>
      </c>
      <c r="AF330" s="226">
        <v>321</v>
      </c>
      <c r="AG330" s="228" t="s">
        <v>1</v>
      </c>
      <c r="AH330" s="198" t="s">
        <v>1</v>
      </c>
      <c r="AI330" s="209" t="s">
        <v>1</v>
      </c>
      <c r="AJ330" s="209" t="s">
        <v>1</v>
      </c>
      <c r="AK330" s="209" t="s">
        <v>1</v>
      </c>
      <c r="AL330" s="214" t="s">
        <v>1</v>
      </c>
      <c r="AM330" s="200" t="s">
        <v>1</v>
      </c>
      <c r="AN330" s="199" t="s">
        <v>1</v>
      </c>
      <c r="AO330" s="199" t="s">
        <v>1</v>
      </c>
      <c r="AP330" s="198" t="s">
        <v>1</v>
      </c>
      <c r="AQ330" s="198" t="s">
        <v>1</v>
      </c>
      <c r="AR330" s="201" t="s">
        <v>1</v>
      </c>
      <c r="AS330" s="201" t="s">
        <v>1</v>
      </c>
      <c r="AT330" s="199" t="s">
        <v>1</v>
      </c>
      <c r="AU330" s="199" t="s">
        <v>1</v>
      </c>
      <c r="AV330" s="202" t="s">
        <v>1</v>
      </c>
      <c r="AW330" s="199" t="s">
        <v>1</v>
      </c>
    </row>
    <row r="331" spans="1:49" ht="30.15" customHeight="1" x14ac:dyDescent="0.25">
      <c r="A331" s="213" t="s">
        <v>18</v>
      </c>
      <c r="B331" s="188" t="s">
        <v>1</v>
      </c>
      <c r="C331" s="212" t="s">
        <v>34</v>
      </c>
      <c r="D331" s="190" t="s">
        <v>3</v>
      </c>
      <c r="E331" s="190" t="s">
        <v>666</v>
      </c>
      <c r="F331" s="203"/>
      <c r="G331" s="190" t="s">
        <v>656</v>
      </c>
      <c r="H331" s="192" t="s">
        <v>409</v>
      </c>
      <c r="I331" s="193">
        <v>1009</v>
      </c>
      <c r="J331" s="193">
        <v>1031</v>
      </c>
      <c r="K331" s="193">
        <v>1031</v>
      </c>
      <c r="L331" s="193">
        <v>1089</v>
      </c>
      <c r="M331" s="194">
        <v>1089</v>
      </c>
      <c r="N331" s="195">
        <v>0</v>
      </c>
      <c r="O331" s="195" t="s">
        <v>1</v>
      </c>
      <c r="P331" s="195" t="s">
        <v>1</v>
      </c>
      <c r="Q331" s="226">
        <v>321</v>
      </c>
      <c r="R331" s="227" t="s">
        <v>1253</v>
      </c>
      <c r="S331" s="197">
        <v>0</v>
      </c>
      <c r="T331" s="195" t="s">
        <v>1</v>
      </c>
      <c r="U331" s="195" t="s">
        <v>1</v>
      </c>
      <c r="V331" s="226">
        <v>321</v>
      </c>
      <c r="W331" s="226" t="s">
        <v>1253</v>
      </c>
      <c r="X331" s="195">
        <v>0</v>
      </c>
      <c r="Y331" s="195">
        <v>10</v>
      </c>
      <c r="Z331" s="195">
        <v>24</v>
      </c>
      <c r="AA331" s="226">
        <v>321</v>
      </c>
      <c r="AB331" s="227" t="s">
        <v>1</v>
      </c>
      <c r="AC331" s="197">
        <v>0</v>
      </c>
      <c r="AD331" s="195">
        <v>10</v>
      </c>
      <c r="AE331" s="197">
        <v>24</v>
      </c>
      <c r="AF331" s="226">
        <v>321</v>
      </c>
      <c r="AG331" s="228" t="s">
        <v>1</v>
      </c>
      <c r="AH331" s="198" t="s">
        <v>1</v>
      </c>
      <c r="AI331" s="209" t="s">
        <v>1</v>
      </c>
      <c r="AJ331" s="209" t="s">
        <v>1</v>
      </c>
      <c r="AK331" s="209" t="s">
        <v>1</v>
      </c>
      <c r="AL331" s="214" t="s">
        <v>1</v>
      </c>
      <c r="AM331" s="200" t="s">
        <v>1</v>
      </c>
      <c r="AN331" s="199" t="s">
        <v>1</v>
      </c>
      <c r="AO331" s="199" t="s">
        <v>1</v>
      </c>
      <c r="AP331" s="198" t="s">
        <v>1</v>
      </c>
      <c r="AQ331" s="198" t="s">
        <v>1</v>
      </c>
      <c r="AR331" s="201" t="s">
        <v>1</v>
      </c>
      <c r="AS331" s="201" t="s">
        <v>1</v>
      </c>
      <c r="AT331" s="199" t="s">
        <v>1</v>
      </c>
      <c r="AU331" s="199" t="s">
        <v>1</v>
      </c>
      <c r="AV331" s="202" t="s">
        <v>1</v>
      </c>
      <c r="AW331" s="199" t="s">
        <v>1</v>
      </c>
    </row>
    <row r="332" spans="1:49" ht="30.15" customHeight="1" x14ac:dyDescent="0.25">
      <c r="A332" s="213" t="s">
        <v>18</v>
      </c>
      <c r="B332" s="188" t="s">
        <v>1</v>
      </c>
      <c r="C332" s="212" t="s">
        <v>34</v>
      </c>
      <c r="D332" s="190" t="s">
        <v>3</v>
      </c>
      <c r="E332" s="190" t="s">
        <v>667</v>
      </c>
      <c r="F332" s="203"/>
      <c r="G332" s="190" t="s">
        <v>656</v>
      </c>
      <c r="H332" s="192" t="s">
        <v>409</v>
      </c>
      <c r="I332" s="193">
        <v>1009</v>
      </c>
      <c r="J332" s="193">
        <v>1031</v>
      </c>
      <c r="K332" s="193">
        <v>1031</v>
      </c>
      <c r="L332" s="193">
        <v>1089</v>
      </c>
      <c r="M332" s="194">
        <v>1089</v>
      </c>
      <c r="N332" s="195">
        <v>0</v>
      </c>
      <c r="O332" s="195" t="s">
        <v>1</v>
      </c>
      <c r="P332" s="195" t="s">
        <v>1</v>
      </c>
      <c r="Q332" s="226">
        <v>321</v>
      </c>
      <c r="R332" s="227" t="s">
        <v>1253</v>
      </c>
      <c r="S332" s="197">
        <v>0</v>
      </c>
      <c r="T332" s="195" t="s">
        <v>1</v>
      </c>
      <c r="U332" s="195" t="s">
        <v>1</v>
      </c>
      <c r="V332" s="226">
        <v>321</v>
      </c>
      <c r="W332" s="226" t="s">
        <v>1253</v>
      </c>
      <c r="X332" s="195">
        <v>0</v>
      </c>
      <c r="Y332" s="195">
        <v>10</v>
      </c>
      <c r="Z332" s="195">
        <v>24</v>
      </c>
      <c r="AA332" s="226">
        <v>321</v>
      </c>
      <c r="AB332" s="227" t="s">
        <v>1</v>
      </c>
      <c r="AC332" s="197">
        <v>0</v>
      </c>
      <c r="AD332" s="195">
        <v>10</v>
      </c>
      <c r="AE332" s="197">
        <v>24</v>
      </c>
      <c r="AF332" s="226">
        <v>321</v>
      </c>
      <c r="AG332" s="228" t="s">
        <v>1</v>
      </c>
      <c r="AH332" s="198" t="s">
        <v>1</v>
      </c>
      <c r="AI332" s="209" t="s">
        <v>1</v>
      </c>
      <c r="AJ332" s="209" t="s">
        <v>1</v>
      </c>
      <c r="AK332" s="209" t="s">
        <v>1</v>
      </c>
      <c r="AL332" s="214" t="s">
        <v>1</v>
      </c>
      <c r="AM332" s="200" t="s">
        <v>1</v>
      </c>
      <c r="AN332" s="199" t="s">
        <v>1</v>
      </c>
      <c r="AO332" s="199" t="s">
        <v>1</v>
      </c>
      <c r="AP332" s="198" t="s">
        <v>1</v>
      </c>
      <c r="AQ332" s="198" t="s">
        <v>1</v>
      </c>
      <c r="AR332" s="201" t="s">
        <v>1</v>
      </c>
      <c r="AS332" s="201" t="s">
        <v>1</v>
      </c>
      <c r="AT332" s="199" t="s">
        <v>1</v>
      </c>
      <c r="AU332" s="199" t="s">
        <v>1</v>
      </c>
      <c r="AV332" s="202" t="s">
        <v>1</v>
      </c>
      <c r="AW332" s="199" t="s">
        <v>1</v>
      </c>
    </row>
    <row r="333" spans="1:49" ht="30.15" customHeight="1" x14ac:dyDescent="0.25">
      <c r="A333" s="213" t="s">
        <v>18</v>
      </c>
      <c r="B333" s="188" t="s">
        <v>1</v>
      </c>
      <c r="C333" s="212" t="s">
        <v>34</v>
      </c>
      <c r="D333" s="190" t="s">
        <v>3</v>
      </c>
      <c r="E333" s="190" t="s">
        <v>668</v>
      </c>
      <c r="F333" s="203"/>
      <c r="G333" s="190" t="s">
        <v>656</v>
      </c>
      <c r="H333" s="192" t="s">
        <v>409</v>
      </c>
      <c r="I333" s="193">
        <v>1009</v>
      </c>
      <c r="J333" s="193">
        <v>1031</v>
      </c>
      <c r="K333" s="193">
        <v>1031</v>
      </c>
      <c r="L333" s="193">
        <v>1089</v>
      </c>
      <c r="M333" s="194">
        <v>1089</v>
      </c>
      <c r="N333" s="195">
        <v>0</v>
      </c>
      <c r="O333" s="195" t="s">
        <v>1</v>
      </c>
      <c r="P333" s="195" t="s">
        <v>1</v>
      </c>
      <c r="Q333" s="226">
        <v>321</v>
      </c>
      <c r="R333" s="227" t="s">
        <v>1253</v>
      </c>
      <c r="S333" s="197">
        <v>0</v>
      </c>
      <c r="T333" s="195" t="s">
        <v>1</v>
      </c>
      <c r="U333" s="195" t="s">
        <v>1</v>
      </c>
      <c r="V333" s="226">
        <v>321</v>
      </c>
      <c r="W333" s="226" t="s">
        <v>1253</v>
      </c>
      <c r="X333" s="195">
        <v>0</v>
      </c>
      <c r="Y333" s="195">
        <v>10</v>
      </c>
      <c r="Z333" s="195">
        <v>24</v>
      </c>
      <c r="AA333" s="226">
        <v>321</v>
      </c>
      <c r="AB333" s="227" t="s">
        <v>1</v>
      </c>
      <c r="AC333" s="197">
        <v>0</v>
      </c>
      <c r="AD333" s="195">
        <v>10</v>
      </c>
      <c r="AE333" s="197">
        <v>24</v>
      </c>
      <c r="AF333" s="226">
        <v>321</v>
      </c>
      <c r="AG333" s="228" t="s">
        <v>1</v>
      </c>
      <c r="AH333" s="198" t="s">
        <v>1</v>
      </c>
      <c r="AI333" s="209" t="s">
        <v>1</v>
      </c>
      <c r="AJ333" s="209" t="s">
        <v>1</v>
      </c>
      <c r="AK333" s="209" t="s">
        <v>1</v>
      </c>
      <c r="AL333" s="214" t="s">
        <v>1</v>
      </c>
      <c r="AM333" s="200" t="s">
        <v>1</v>
      </c>
      <c r="AN333" s="199" t="s">
        <v>1</v>
      </c>
      <c r="AO333" s="199" t="s">
        <v>1</v>
      </c>
      <c r="AP333" s="198" t="s">
        <v>1</v>
      </c>
      <c r="AQ333" s="198" t="s">
        <v>1</v>
      </c>
      <c r="AR333" s="201" t="s">
        <v>1</v>
      </c>
      <c r="AS333" s="201" t="s">
        <v>1</v>
      </c>
      <c r="AT333" s="199" t="s">
        <v>1</v>
      </c>
      <c r="AU333" s="199" t="s">
        <v>1</v>
      </c>
      <c r="AV333" s="202" t="s">
        <v>1</v>
      </c>
      <c r="AW333" s="199" t="s">
        <v>1</v>
      </c>
    </row>
    <row r="334" spans="1:49" ht="30.15" customHeight="1" x14ac:dyDescent="0.25">
      <c r="A334" s="213" t="s">
        <v>18</v>
      </c>
      <c r="B334" s="188" t="s">
        <v>1</v>
      </c>
      <c r="C334" s="212" t="s">
        <v>34</v>
      </c>
      <c r="D334" s="190" t="s">
        <v>3</v>
      </c>
      <c r="E334" s="190" t="s">
        <v>1057</v>
      </c>
      <c r="F334" s="203"/>
      <c r="G334" s="190" t="s">
        <v>1075</v>
      </c>
      <c r="H334" s="192" t="s">
        <v>409</v>
      </c>
      <c r="I334" s="193">
        <v>809</v>
      </c>
      <c r="J334" s="193">
        <v>827</v>
      </c>
      <c r="K334" s="193">
        <v>827</v>
      </c>
      <c r="L334" s="193">
        <v>875</v>
      </c>
      <c r="M334" s="194">
        <v>875</v>
      </c>
      <c r="N334" s="195">
        <v>0</v>
      </c>
      <c r="O334" s="195" t="s">
        <v>1</v>
      </c>
      <c r="P334" s="195" t="s">
        <v>1</v>
      </c>
      <c r="Q334" s="226">
        <v>299</v>
      </c>
      <c r="R334" s="227" t="s">
        <v>1252</v>
      </c>
      <c r="S334" s="197">
        <v>0</v>
      </c>
      <c r="T334" s="195" t="s">
        <v>1</v>
      </c>
      <c r="U334" s="195" t="s">
        <v>1</v>
      </c>
      <c r="V334" s="226">
        <v>299</v>
      </c>
      <c r="W334" s="226" t="s">
        <v>1252</v>
      </c>
      <c r="X334" s="195">
        <v>0</v>
      </c>
      <c r="Y334" s="195">
        <v>10</v>
      </c>
      <c r="Z334" s="195">
        <v>24</v>
      </c>
      <c r="AA334" s="226">
        <v>299</v>
      </c>
      <c r="AB334" s="227" t="s">
        <v>1</v>
      </c>
      <c r="AC334" s="197">
        <v>0</v>
      </c>
      <c r="AD334" s="195">
        <v>10</v>
      </c>
      <c r="AE334" s="195">
        <v>24</v>
      </c>
      <c r="AF334" s="226">
        <v>299</v>
      </c>
      <c r="AG334" s="228" t="s">
        <v>1</v>
      </c>
      <c r="AH334" s="198" t="s">
        <v>1</v>
      </c>
      <c r="AI334" s="209" t="s">
        <v>1</v>
      </c>
      <c r="AJ334" s="209" t="s">
        <v>1</v>
      </c>
      <c r="AK334" s="209" t="s">
        <v>1</v>
      </c>
      <c r="AL334" s="214" t="s">
        <v>1</v>
      </c>
      <c r="AM334" s="200" t="s">
        <v>1</v>
      </c>
      <c r="AN334" s="199" t="s">
        <v>1</v>
      </c>
      <c r="AO334" s="199" t="s">
        <v>1</v>
      </c>
      <c r="AP334" s="198" t="s">
        <v>1</v>
      </c>
      <c r="AQ334" s="198" t="s">
        <v>1</v>
      </c>
      <c r="AR334" s="201" t="s">
        <v>1</v>
      </c>
      <c r="AS334" s="201" t="s">
        <v>1</v>
      </c>
      <c r="AT334" s="199" t="s">
        <v>1</v>
      </c>
      <c r="AU334" s="199" t="s">
        <v>1</v>
      </c>
      <c r="AV334" s="202" t="s">
        <v>1</v>
      </c>
      <c r="AW334" s="199" t="s">
        <v>1</v>
      </c>
    </row>
    <row r="335" spans="1:49" ht="30.15" customHeight="1" x14ac:dyDescent="0.25">
      <c r="A335" s="213" t="s">
        <v>18</v>
      </c>
      <c r="B335" s="188" t="s">
        <v>1</v>
      </c>
      <c r="C335" s="212" t="s">
        <v>34</v>
      </c>
      <c r="D335" s="190" t="s">
        <v>3</v>
      </c>
      <c r="E335" s="190" t="s">
        <v>1058</v>
      </c>
      <c r="F335" s="203"/>
      <c r="G335" s="190" t="s">
        <v>1075</v>
      </c>
      <c r="H335" s="192" t="s">
        <v>1237</v>
      </c>
      <c r="I335" s="193">
        <v>809</v>
      </c>
      <c r="J335" s="193">
        <v>827</v>
      </c>
      <c r="K335" s="193">
        <v>827</v>
      </c>
      <c r="L335" s="193">
        <v>875</v>
      </c>
      <c r="M335" s="194">
        <v>875</v>
      </c>
      <c r="N335" s="195">
        <v>0</v>
      </c>
      <c r="O335" s="195" t="s">
        <v>1</v>
      </c>
      <c r="P335" s="195" t="s">
        <v>1</v>
      </c>
      <c r="Q335" s="226">
        <v>299</v>
      </c>
      <c r="R335" s="227" t="s">
        <v>1252</v>
      </c>
      <c r="S335" s="197">
        <v>0</v>
      </c>
      <c r="T335" s="195" t="s">
        <v>1</v>
      </c>
      <c r="U335" s="195" t="s">
        <v>1</v>
      </c>
      <c r="V335" s="226">
        <v>299</v>
      </c>
      <c r="W335" s="226" t="s">
        <v>1252</v>
      </c>
      <c r="X335" s="195">
        <v>0</v>
      </c>
      <c r="Y335" s="195">
        <v>10</v>
      </c>
      <c r="Z335" s="195">
        <v>24</v>
      </c>
      <c r="AA335" s="226">
        <v>299</v>
      </c>
      <c r="AB335" s="227" t="s">
        <v>1</v>
      </c>
      <c r="AC335" s="197">
        <v>0</v>
      </c>
      <c r="AD335" s="195">
        <v>10</v>
      </c>
      <c r="AE335" s="195">
        <v>24</v>
      </c>
      <c r="AF335" s="226">
        <v>299</v>
      </c>
      <c r="AG335" s="228" t="s">
        <v>1</v>
      </c>
      <c r="AH335" s="198" t="s">
        <v>1</v>
      </c>
      <c r="AI335" s="209" t="s">
        <v>1</v>
      </c>
      <c r="AJ335" s="209" t="s">
        <v>1</v>
      </c>
      <c r="AK335" s="209" t="s">
        <v>1</v>
      </c>
      <c r="AL335" s="214" t="s">
        <v>1</v>
      </c>
      <c r="AM335" s="200" t="s">
        <v>1</v>
      </c>
      <c r="AN335" s="199" t="s">
        <v>1</v>
      </c>
      <c r="AO335" s="199" t="s">
        <v>1</v>
      </c>
      <c r="AP335" s="198" t="s">
        <v>1</v>
      </c>
      <c r="AQ335" s="198" t="s">
        <v>1</v>
      </c>
      <c r="AR335" s="201" t="s">
        <v>1</v>
      </c>
      <c r="AS335" s="201" t="s">
        <v>1</v>
      </c>
      <c r="AT335" s="199" t="s">
        <v>1</v>
      </c>
      <c r="AU335" s="199" t="s">
        <v>1</v>
      </c>
      <c r="AV335" s="202" t="s">
        <v>1</v>
      </c>
      <c r="AW335" s="199" t="s">
        <v>1</v>
      </c>
    </row>
    <row r="336" spans="1:49" ht="30.15" customHeight="1" x14ac:dyDescent="0.25">
      <c r="A336" s="213" t="s">
        <v>18</v>
      </c>
      <c r="B336" s="188" t="s">
        <v>1</v>
      </c>
      <c r="C336" s="212" t="s">
        <v>34</v>
      </c>
      <c r="D336" s="190" t="s">
        <v>3</v>
      </c>
      <c r="E336" s="190" t="s">
        <v>1059</v>
      </c>
      <c r="F336" s="203"/>
      <c r="G336" s="190" t="s">
        <v>1075</v>
      </c>
      <c r="H336" s="192" t="s">
        <v>414</v>
      </c>
      <c r="I336" s="193">
        <v>809</v>
      </c>
      <c r="J336" s="193">
        <v>827</v>
      </c>
      <c r="K336" s="193">
        <v>827</v>
      </c>
      <c r="L336" s="193">
        <v>875</v>
      </c>
      <c r="M336" s="194">
        <v>875</v>
      </c>
      <c r="N336" s="195">
        <v>0</v>
      </c>
      <c r="O336" s="195" t="s">
        <v>1</v>
      </c>
      <c r="P336" s="195" t="s">
        <v>1</v>
      </c>
      <c r="Q336" s="226">
        <v>299</v>
      </c>
      <c r="R336" s="227" t="s">
        <v>1252</v>
      </c>
      <c r="S336" s="197">
        <v>0</v>
      </c>
      <c r="T336" s="195" t="s">
        <v>1</v>
      </c>
      <c r="U336" s="195" t="s">
        <v>1</v>
      </c>
      <c r="V336" s="226">
        <v>299</v>
      </c>
      <c r="W336" s="226" t="s">
        <v>1252</v>
      </c>
      <c r="X336" s="195">
        <v>0</v>
      </c>
      <c r="Y336" s="195">
        <v>10</v>
      </c>
      <c r="Z336" s="195">
        <v>24</v>
      </c>
      <c r="AA336" s="226">
        <v>299</v>
      </c>
      <c r="AB336" s="227" t="s">
        <v>1</v>
      </c>
      <c r="AC336" s="197">
        <v>0</v>
      </c>
      <c r="AD336" s="195">
        <v>10</v>
      </c>
      <c r="AE336" s="195">
        <v>24</v>
      </c>
      <c r="AF336" s="226">
        <v>299</v>
      </c>
      <c r="AG336" s="228" t="s">
        <v>1</v>
      </c>
      <c r="AH336" s="198" t="s">
        <v>1</v>
      </c>
      <c r="AI336" s="209" t="s">
        <v>1</v>
      </c>
      <c r="AJ336" s="209" t="s">
        <v>1</v>
      </c>
      <c r="AK336" s="209" t="s">
        <v>1</v>
      </c>
      <c r="AL336" s="214" t="s">
        <v>1</v>
      </c>
      <c r="AM336" s="200" t="s">
        <v>1</v>
      </c>
      <c r="AN336" s="199" t="s">
        <v>1</v>
      </c>
      <c r="AO336" s="199" t="s">
        <v>1</v>
      </c>
      <c r="AP336" s="198" t="s">
        <v>1</v>
      </c>
      <c r="AQ336" s="198" t="s">
        <v>1</v>
      </c>
      <c r="AR336" s="201" t="s">
        <v>1</v>
      </c>
      <c r="AS336" s="201" t="s">
        <v>1</v>
      </c>
      <c r="AT336" s="199" t="s">
        <v>1</v>
      </c>
      <c r="AU336" s="199" t="s">
        <v>1</v>
      </c>
      <c r="AV336" s="202" t="s">
        <v>1</v>
      </c>
      <c r="AW336" s="199" t="s">
        <v>1</v>
      </c>
    </row>
    <row r="337" spans="1:49" ht="30.15" customHeight="1" x14ac:dyDescent="0.25">
      <c r="A337" s="213" t="s">
        <v>18</v>
      </c>
      <c r="B337" s="188" t="s">
        <v>1</v>
      </c>
      <c r="C337" s="212" t="s">
        <v>34</v>
      </c>
      <c r="D337" s="190" t="s">
        <v>3</v>
      </c>
      <c r="E337" s="190" t="s">
        <v>1060</v>
      </c>
      <c r="F337" s="203"/>
      <c r="G337" s="190" t="s">
        <v>1075</v>
      </c>
      <c r="H337" s="192" t="s">
        <v>414</v>
      </c>
      <c r="I337" s="193">
        <v>809</v>
      </c>
      <c r="J337" s="193">
        <v>827</v>
      </c>
      <c r="K337" s="193">
        <v>827</v>
      </c>
      <c r="L337" s="193">
        <v>875</v>
      </c>
      <c r="M337" s="194">
        <v>875</v>
      </c>
      <c r="N337" s="195">
        <v>0</v>
      </c>
      <c r="O337" s="195" t="s">
        <v>1</v>
      </c>
      <c r="P337" s="195" t="s">
        <v>1</v>
      </c>
      <c r="Q337" s="226">
        <v>299</v>
      </c>
      <c r="R337" s="227" t="s">
        <v>1252</v>
      </c>
      <c r="S337" s="197">
        <v>0</v>
      </c>
      <c r="T337" s="195" t="s">
        <v>1</v>
      </c>
      <c r="U337" s="195" t="s">
        <v>1</v>
      </c>
      <c r="V337" s="226">
        <v>299</v>
      </c>
      <c r="W337" s="226" t="s">
        <v>1252</v>
      </c>
      <c r="X337" s="195">
        <v>0</v>
      </c>
      <c r="Y337" s="195">
        <v>10</v>
      </c>
      <c r="Z337" s="195">
        <v>24</v>
      </c>
      <c r="AA337" s="226">
        <v>299</v>
      </c>
      <c r="AB337" s="227" t="s">
        <v>1</v>
      </c>
      <c r="AC337" s="197">
        <v>0</v>
      </c>
      <c r="AD337" s="195">
        <v>10</v>
      </c>
      <c r="AE337" s="195">
        <v>24</v>
      </c>
      <c r="AF337" s="226">
        <v>299</v>
      </c>
      <c r="AG337" s="228" t="s">
        <v>1</v>
      </c>
      <c r="AH337" s="198" t="s">
        <v>1</v>
      </c>
      <c r="AI337" s="209" t="s">
        <v>1</v>
      </c>
      <c r="AJ337" s="209" t="s">
        <v>1</v>
      </c>
      <c r="AK337" s="209" t="s">
        <v>1</v>
      </c>
      <c r="AL337" s="214" t="s">
        <v>1</v>
      </c>
      <c r="AM337" s="200" t="s">
        <v>1</v>
      </c>
      <c r="AN337" s="199" t="s">
        <v>1</v>
      </c>
      <c r="AO337" s="199" t="s">
        <v>1</v>
      </c>
      <c r="AP337" s="198" t="s">
        <v>1</v>
      </c>
      <c r="AQ337" s="198" t="s">
        <v>1</v>
      </c>
      <c r="AR337" s="201" t="s">
        <v>1</v>
      </c>
      <c r="AS337" s="201" t="s">
        <v>1</v>
      </c>
      <c r="AT337" s="199" t="s">
        <v>1</v>
      </c>
      <c r="AU337" s="199" t="s">
        <v>1</v>
      </c>
      <c r="AV337" s="202" t="s">
        <v>1</v>
      </c>
      <c r="AW337" s="199" t="s">
        <v>1</v>
      </c>
    </row>
    <row r="338" spans="1:49" ht="30.15" customHeight="1" x14ac:dyDescent="0.25">
      <c r="A338" s="213" t="s">
        <v>18</v>
      </c>
      <c r="B338" s="188" t="s">
        <v>1</v>
      </c>
      <c r="C338" s="212" t="s">
        <v>34</v>
      </c>
      <c r="D338" s="190" t="s">
        <v>3</v>
      </c>
      <c r="E338" s="190" t="s">
        <v>1061</v>
      </c>
      <c r="F338" s="203"/>
      <c r="G338" s="190" t="s">
        <v>1075</v>
      </c>
      <c r="H338" s="192" t="s">
        <v>414</v>
      </c>
      <c r="I338" s="193">
        <v>809</v>
      </c>
      <c r="J338" s="193">
        <v>827</v>
      </c>
      <c r="K338" s="193">
        <v>827</v>
      </c>
      <c r="L338" s="193">
        <v>875</v>
      </c>
      <c r="M338" s="194">
        <v>875</v>
      </c>
      <c r="N338" s="195">
        <v>0</v>
      </c>
      <c r="O338" s="195" t="s">
        <v>1</v>
      </c>
      <c r="P338" s="195" t="s">
        <v>1</v>
      </c>
      <c r="Q338" s="226">
        <v>299</v>
      </c>
      <c r="R338" s="227" t="s">
        <v>1252</v>
      </c>
      <c r="S338" s="197">
        <v>0</v>
      </c>
      <c r="T338" s="195" t="s">
        <v>1</v>
      </c>
      <c r="U338" s="195" t="s">
        <v>1</v>
      </c>
      <c r="V338" s="226">
        <v>299</v>
      </c>
      <c r="W338" s="226" t="s">
        <v>1252</v>
      </c>
      <c r="X338" s="195">
        <v>0</v>
      </c>
      <c r="Y338" s="195">
        <v>10</v>
      </c>
      <c r="Z338" s="195">
        <v>24</v>
      </c>
      <c r="AA338" s="226">
        <v>299</v>
      </c>
      <c r="AB338" s="227" t="s">
        <v>1</v>
      </c>
      <c r="AC338" s="197">
        <v>0</v>
      </c>
      <c r="AD338" s="195">
        <v>10</v>
      </c>
      <c r="AE338" s="195">
        <v>24</v>
      </c>
      <c r="AF338" s="226">
        <v>299</v>
      </c>
      <c r="AG338" s="228" t="s">
        <v>1</v>
      </c>
      <c r="AH338" s="198" t="s">
        <v>1</v>
      </c>
      <c r="AI338" s="209" t="s">
        <v>1</v>
      </c>
      <c r="AJ338" s="209" t="s">
        <v>1</v>
      </c>
      <c r="AK338" s="209" t="s">
        <v>1</v>
      </c>
      <c r="AL338" s="214" t="s">
        <v>1</v>
      </c>
      <c r="AM338" s="200" t="s">
        <v>1</v>
      </c>
      <c r="AN338" s="199" t="s">
        <v>1</v>
      </c>
      <c r="AO338" s="199" t="s">
        <v>1</v>
      </c>
      <c r="AP338" s="198" t="s">
        <v>1</v>
      </c>
      <c r="AQ338" s="198" t="s">
        <v>1</v>
      </c>
      <c r="AR338" s="201" t="s">
        <v>1</v>
      </c>
      <c r="AS338" s="201" t="s">
        <v>1</v>
      </c>
      <c r="AT338" s="199" t="s">
        <v>1</v>
      </c>
      <c r="AU338" s="199" t="s">
        <v>1</v>
      </c>
      <c r="AV338" s="202" t="s">
        <v>1</v>
      </c>
      <c r="AW338" s="199" t="s">
        <v>1</v>
      </c>
    </row>
    <row r="339" spans="1:49" ht="30.15" customHeight="1" x14ac:dyDescent="0.25">
      <c r="A339" s="213" t="s">
        <v>18</v>
      </c>
      <c r="B339" s="188" t="s">
        <v>1</v>
      </c>
      <c r="C339" s="212" t="s">
        <v>34</v>
      </c>
      <c r="D339" s="190" t="s">
        <v>3</v>
      </c>
      <c r="E339" s="190" t="s">
        <v>1062</v>
      </c>
      <c r="F339" s="203"/>
      <c r="G339" s="190" t="s">
        <v>1075</v>
      </c>
      <c r="H339" s="192" t="s">
        <v>414</v>
      </c>
      <c r="I339" s="193">
        <v>809</v>
      </c>
      <c r="J339" s="193">
        <v>827</v>
      </c>
      <c r="K339" s="193">
        <v>827</v>
      </c>
      <c r="L339" s="193">
        <v>875</v>
      </c>
      <c r="M339" s="194">
        <v>875</v>
      </c>
      <c r="N339" s="195">
        <v>0</v>
      </c>
      <c r="O339" s="195" t="s">
        <v>1</v>
      </c>
      <c r="P339" s="195" t="s">
        <v>1</v>
      </c>
      <c r="Q339" s="226">
        <v>299</v>
      </c>
      <c r="R339" s="227" t="s">
        <v>1252</v>
      </c>
      <c r="S339" s="197">
        <v>0</v>
      </c>
      <c r="T339" s="195" t="s">
        <v>1</v>
      </c>
      <c r="U339" s="195" t="s">
        <v>1</v>
      </c>
      <c r="V339" s="226">
        <v>299</v>
      </c>
      <c r="W339" s="226" t="s">
        <v>1252</v>
      </c>
      <c r="X339" s="195">
        <v>0</v>
      </c>
      <c r="Y339" s="195">
        <v>10</v>
      </c>
      <c r="Z339" s="195">
        <v>24</v>
      </c>
      <c r="AA339" s="226">
        <v>299</v>
      </c>
      <c r="AB339" s="227" t="s">
        <v>1</v>
      </c>
      <c r="AC339" s="197">
        <v>0</v>
      </c>
      <c r="AD339" s="195">
        <v>10</v>
      </c>
      <c r="AE339" s="195">
        <v>24</v>
      </c>
      <c r="AF339" s="226">
        <v>299</v>
      </c>
      <c r="AG339" s="228" t="s">
        <v>1</v>
      </c>
      <c r="AH339" s="198" t="s">
        <v>1</v>
      </c>
      <c r="AI339" s="209" t="s">
        <v>1</v>
      </c>
      <c r="AJ339" s="209" t="s">
        <v>1</v>
      </c>
      <c r="AK339" s="209" t="s">
        <v>1</v>
      </c>
      <c r="AL339" s="214" t="s">
        <v>1</v>
      </c>
      <c r="AM339" s="200" t="s">
        <v>1</v>
      </c>
      <c r="AN339" s="199" t="s">
        <v>1</v>
      </c>
      <c r="AO339" s="199" t="s">
        <v>1</v>
      </c>
      <c r="AP339" s="198" t="s">
        <v>1</v>
      </c>
      <c r="AQ339" s="198" t="s">
        <v>1</v>
      </c>
      <c r="AR339" s="201" t="s">
        <v>1</v>
      </c>
      <c r="AS339" s="201" t="s">
        <v>1</v>
      </c>
      <c r="AT339" s="199" t="s">
        <v>1</v>
      </c>
      <c r="AU339" s="199" t="s">
        <v>1</v>
      </c>
      <c r="AV339" s="202" t="s">
        <v>1</v>
      </c>
      <c r="AW339" s="199" t="s">
        <v>1</v>
      </c>
    </row>
    <row r="340" spans="1:49" ht="30.15" customHeight="1" x14ac:dyDescent="0.25">
      <c r="A340" s="213" t="s">
        <v>18</v>
      </c>
      <c r="B340" s="188" t="s">
        <v>1</v>
      </c>
      <c r="C340" s="212" t="s">
        <v>34</v>
      </c>
      <c r="D340" s="190" t="s">
        <v>3</v>
      </c>
      <c r="E340" s="190" t="s">
        <v>1063</v>
      </c>
      <c r="F340" s="203"/>
      <c r="G340" s="190" t="s">
        <v>1076</v>
      </c>
      <c r="H340" s="192" t="s">
        <v>409</v>
      </c>
      <c r="I340" s="193">
        <v>875</v>
      </c>
      <c r="J340" s="193">
        <v>898</v>
      </c>
      <c r="K340" s="193">
        <v>898</v>
      </c>
      <c r="L340" s="193">
        <v>945</v>
      </c>
      <c r="M340" s="194">
        <v>945</v>
      </c>
      <c r="N340" s="195">
        <v>0</v>
      </c>
      <c r="O340" s="195" t="s">
        <v>1</v>
      </c>
      <c r="P340" s="195" t="s">
        <v>1</v>
      </c>
      <c r="Q340" s="226">
        <v>309</v>
      </c>
      <c r="R340" s="227" t="s">
        <v>1252</v>
      </c>
      <c r="S340" s="197">
        <v>0</v>
      </c>
      <c r="T340" s="195" t="s">
        <v>1</v>
      </c>
      <c r="U340" s="195" t="s">
        <v>1</v>
      </c>
      <c r="V340" s="226">
        <v>309</v>
      </c>
      <c r="W340" s="226" t="s">
        <v>1252</v>
      </c>
      <c r="X340" s="195">
        <v>0</v>
      </c>
      <c r="Y340" s="195">
        <v>10</v>
      </c>
      <c r="Z340" s="195">
        <v>24</v>
      </c>
      <c r="AA340" s="226">
        <v>309</v>
      </c>
      <c r="AB340" s="227" t="s">
        <v>1</v>
      </c>
      <c r="AC340" s="197">
        <v>0</v>
      </c>
      <c r="AD340" s="195">
        <v>10</v>
      </c>
      <c r="AE340" s="195">
        <v>24</v>
      </c>
      <c r="AF340" s="226">
        <v>309</v>
      </c>
      <c r="AG340" s="228" t="s">
        <v>1</v>
      </c>
      <c r="AH340" s="198" t="s">
        <v>1</v>
      </c>
      <c r="AI340" s="209" t="s">
        <v>1</v>
      </c>
      <c r="AJ340" s="209" t="s">
        <v>1</v>
      </c>
      <c r="AK340" s="209" t="s">
        <v>1</v>
      </c>
      <c r="AL340" s="214" t="s">
        <v>1</v>
      </c>
      <c r="AM340" s="200" t="s">
        <v>1</v>
      </c>
      <c r="AN340" s="199" t="s">
        <v>1</v>
      </c>
      <c r="AO340" s="199" t="s">
        <v>1</v>
      </c>
      <c r="AP340" s="198" t="s">
        <v>1</v>
      </c>
      <c r="AQ340" s="198" t="s">
        <v>1</v>
      </c>
      <c r="AR340" s="201" t="s">
        <v>1</v>
      </c>
      <c r="AS340" s="201" t="s">
        <v>1</v>
      </c>
      <c r="AT340" s="199" t="s">
        <v>1</v>
      </c>
      <c r="AU340" s="199" t="s">
        <v>1</v>
      </c>
      <c r="AV340" s="202" t="s">
        <v>1</v>
      </c>
      <c r="AW340" s="199" t="s">
        <v>1</v>
      </c>
    </row>
    <row r="341" spans="1:49" ht="30.15" customHeight="1" x14ac:dyDescent="0.25">
      <c r="A341" s="213" t="s">
        <v>18</v>
      </c>
      <c r="B341" s="188" t="s">
        <v>1</v>
      </c>
      <c r="C341" s="212" t="s">
        <v>34</v>
      </c>
      <c r="D341" s="190" t="s">
        <v>3</v>
      </c>
      <c r="E341" s="190" t="s">
        <v>1064</v>
      </c>
      <c r="F341" s="203"/>
      <c r="G341" s="190" t="s">
        <v>1076</v>
      </c>
      <c r="H341" s="192" t="s">
        <v>414</v>
      </c>
      <c r="I341" s="193">
        <v>875</v>
      </c>
      <c r="J341" s="193">
        <v>898</v>
      </c>
      <c r="K341" s="193">
        <v>898</v>
      </c>
      <c r="L341" s="193">
        <v>945</v>
      </c>
      <c r="M341" s="194">
        <v>945</v>
      </c>
      <c r="N341" s="195">
        <v>0</v>
      </c>
      <c r="O341" s="195" t="s">
        <v>1</v>
      </c>
      <c r="P341" s="195" t="s">
        <v>1</v>
      </c>
      <c r="Q341" s="226">
        <v>309</v>
      </c>
      <c r="R341" s="227" t="s">
        <v>1252</v>
      </c>
      <c r="S341" s="197">
        <v>0</v>
      </c>
      <c r="T341" s="195" t="s">
        <v>1</v>
      </c>
      <c r="U341" s="195" t="s">
        <v>1</v>
      </c>
      <c r="V341" s="226">
        <v>309</v>
      </c>
      <c r="W341" s="226" t="s">
        <v>1252</v>
      </c>
      <c r="X341" s="195">
        <v>0</v>
      </c>
      <c r="Y341" s="195">
        <v>10</v>
      </c>
      <c r="Z341" s="195">
        <v>24</v>
      </c>
      <c r="AA341" s="226">
        <v>309</v>
      </c>
      <c r="AB341" s="227" t="s">
        <v>1</v>
      </c>
      <c r="AC341" s="197">
        <v>0</v>
      </c>
      <c r="AD341" s="195">
        <v>10</v>
      </c>
      <c r="AE341" s="195">
        <v>24</v>
      </c>
      <c r="AF341" s="226">
        <v>309</v>
      </c>
      <c r="AG341" s="228" t="s">
        <v>1</v>
      </c>
      <c r="AH341" s="198" t="s">
        <v>1</v>
      </c>
      <c r="AI341" s="209" t="s">
        <v>1</v>
      </c>
      <c r="AJ341" s="209" t="s">
        <v>1</v>
      </c>
      <c r="AK341" s="209" t="s">
        <v>1</v>
      </c>
      <c r="AL341" s="214" t="s">
        <v>1</v>
      </c>
      <c r="AM341" s="200" t="s">
        <v>1</v>
      </c>
      <c r="AN341" s="199" t="s">
        <v>1</v>
      </c>
      <c r="AO341" s="199" t="s">
        <v>1</v>
      </c>
      <c r="AP341" s="198" t="s">
        <v>1</v>
      </c>
      <c r="AQ341" s="198" t="s">
        <v>1</v>
      </c>
      <c r="AR341" s="201" t="s">
        <v>1</v>
      </c>
      <c r="AS341" s="201" t="s">
        <v>1</v>
      </c>
      <c r="AT341" s="199" t="s">
        <v>1</v>
      </c>
      <c r="AU341" s="199" t="s">
        <v>1</v>
      </c>
      <c r="AV341" s="202" t="s">
        <v>1</v>
      </c>
      <c r="AW341" s="199" t="s">
        <v>1</v>
      </c>
    </row>
    <row r="342" spans="1:49" ht="30.15" customHeight="1" x14ac:dyDescent="0.25">
      <c r="A342" s="213" t="s">
        <v>18</v>
      </c>
      <c r="B342" s="188" t="s">
        <v>1</v>
      </c>
      <c r="C342" s="212" t="s">
        <v>34</v>
      </c>
      <c r="D342" s="190" t="s">
        <v>3</v>
      </c>
      <c r="E342" s="190" t="s">
        <v>1065</v>
      </c>
      <c r="F342" s="203"/>
      <c r="G342" s="190" t="s">
        <v>1076</v>
      </c>
      <c r="H342" s="192" t="s">
        <v>414</v>
      </c>
      <c r="I342" s="193">
        <v>875</v>
      </c>
      <c r="J342" s="193">
        <v>898</v>
      </c>
      <c r="K342" s="193">
        <v>898</v>
      </c>
      <c r="L342" s="193">
        <v>945</v>
      </c>
      <c r="M342" s="194">
        <v>945</v>
      </c>
      <c r="N342" s="195">
        <v>0</v>
      </c>
      <c r="O342" s="195" t="s">
        <v>1</v>
      </c>
      <c r="P342" s="195" t="s">
        <v>1</v>
      </c>
      <c r="Q342" s="226">
        <v>309</v>
      </c>
      <c r="R342" s="227" t="s">
        <v>1252</v>
      </c>
      <c r="S342" s="197">
        <v>0</v>
      </c>
      <c r="T342" s="195" t="s">
        <v>1</v>
      </c>
      <c r="U342" s="195" t="s">
        <v>1</v>
      </c>
      <c r="V342" s="226">
        <v>309</v>
      </c>
      <c r="W342" s="226" t="s">
        <v>1252</v>
      </c>
      <c r="X342" s="195">
        <v>0</v>
      </c>
      <c r="Y342" s="195">
        <v>10</v>
      </c>
      <c r="Z342" s="195">
        <v>24</v>
      </c>
      <c r="AA342" s="226">
        <v>309</v>
      </c>
      <c r="AB342" s="227" t="s">
        <v>1</v>
      </c>
      <c r="AC342" s="197">
        <v>0</v>
      </c>
      <c r="AD342" s="195">
        <v>10</v>
      </c>
      <c r="AE342" s="195">
        <v>24</v>
      </c>
      <c r="AF342" s="226">
        <v>309</v>
      </c>
      <c r="AG342" s="228" t="s">
        <v>1</v>
      </c>
      <c r="AH342" s="198" t="s">
        <v>1</v>
      </c>
      <c r="AI342" s="209" t="s">
        <v>1</v>
      </c>
      <c r="AJ342" s="209" t="s">
        <v>1</v>
      </c>
      <c r="AK342" s="209" t="s">
        <v>1</v>
      </c>
      <c r="AL342" s="214" t="s">
        <v>1</v>
      </c>
      <c r="AM342" s="200" t="s">
        <v>1</v>
      </c>
      <c r="AN342" s="199" t="s">
        <v>1</v>
      </c>
      <c r="AO342" s="199" t="s">
        <v>1</v>
      </c>
      <c r="AP342" s="198" t="s">
        <v>1</v>
      </c>
      <c r="AQ342" s="198" t="s">
        <v>1</v>
      </c>
      <c r="AR342" s="201" t="s">
        <v>1</v>
      </c>
      <c r="AS342" s="201" t="s">
        <v>1</v>
      </c>
      <c r="AT342" s="199" t="s">
        <v>1</v>
      </c>
      <c r="AU342" s="199" t="s">
        <v>1</v>
      </c>
      <c r="AV342" s="202" t="s">
        <v>1</v>
      </c>
      <c r="AW342" s="199" t="s">
        <v>1</v>
      </c>
    </row>
    <row r="343" spans="1:49" ht="30.15" customHeight="1" x14ac:dyDescent="0.25">
      <c r="A343" s="213" t="s">
        <v>18</v>
      </c>
      <c r="B343" s="188" t="s">
        <v>1</v>
      </c>
      <c r="C343" s="212" t="s">
        <v>34</v>
      </c>
      <c r="D343" s="190" t="s">
        <v>3</v>
      </c>
      <c r="E343" s="190" t="s">
        <v>1066</v>
      </c>
      <c r="F343" s="203"/>
      <c r="G343" s="190" t="s">
        <v>1076</v>
      </c>
      <c r="H343" s="192" t="s">
        <v>414</v>
      </c>
      <c r="I343" s="193">
        <v>875</v>
      </c>
      <c r="J343" s="193">
        <v>898</v>
      </c>
      <c r="K343" s="193">
        <v>898</v>
      </c>
      <c r="L343" s="193">
        <v>945</v>
      </c>
      <c r="M343" s="194">
        <v>945</v>
      </c>
      <c r="N343" s="195">
        <v>0</v>
      </c>
      <c r="O343" s="195" t="s">
        <v>1</v>
      </c>
      <c r="P343" s="195" t="s">
        <v>1</v>
      </c>
      <c r="Q343" s="226">
        <v>309</v>
      </c>
      <c r="R343" s="227" t="s">
        <v>1252</v>
      </c>
      <c r="S343" s="197">
        <v>0</v>
      </c>
      <c r="T343" s="195" t="s">
        <v>1</v>
      </c>
      <c r="U343" s="195" t="s">
        <v>1</v>
      </c>
      <c r="V343" s="226">
        <v>309</v>
      </c>
      <c r="W343" s="226" t="s">
        <v>1252</v>
      </c>
      <c r="X343" s="195">
        <v>0</v>
      </c>
      <c r="Y343" s="195">
        <v>10</v>
      </c>
      <c r="Z343" s="195">
        <v>24</v>
      </c>
      <c r="AA343" s="226">
        <v>309</v>
      </c>
      <c r="AB343" s="227" t="s">
        <v>1</v>
      </c>
      <c r="AC343" s="197">
        <v>0</v>
      </c>
      <c r="AD343" s="195">
        <v>10</v>
      </c>
      <c r="AE343" s="195">
        <v>24</v>
      </c>
      <c r="AF343" s="226">
        <v>309</v>
      </c>
      <c r="AG343" s="228" t="s">
        <v>1</v>
      </c>
      <c r="AH343" s="198" t="s">
        <v>1</v>
      </c>
      <c r="AI343" s="209" t="s">
        <v>1</v>
      </c>
      <c r="AJ343" s="209" t="s">
        <v>1</v>
      </c>
      <c r="AK343" s="209" t="s">
        <v>1</v>
      </c>
      <c r="AL343" s="214" t="s">
        <v>1</v>
      </c>
      <c r="AM343" s="200" t="s">
        <v>1</v>
      </c>
      <c r="AN343" s="199" t="s">
        <v>1</v>
      </c>
      <c r="AO343" s="199" t="s">
        <v>1</v>
      </c>
      <c r="AP343" s="198" t="s">
        <v>1</v>
      </c>
      <c r="AQ343" s="198" t="s">
        <v>1</v>
      </c>
      <c r="AR343" s="201" t="s">
        <v>1</v>
      </c>
      <c r="AS343" s="201" t="s">
        <v>1</v>
      </c>
      <c r="AT343" s="199" t="s">
        <v>1</v>
      </c>
      <c r="AU343" s="199" t="s">
        <v>1</v>
      </c>
      <c r="AV343" s="202" t="s">
        <v>1</v>
      </c>
      <c r="AW343" s="199" t="s">
        <v>1</v>
      </c>
    </row>
    <row r="344" spans="1:49" ht="30.15" customHeight="1" x14ac:dyDescent="0.25">
      <c r="A344" s="213" t="s">
        <v>18</v>
      </c>
      <c r="B344" s="188" t="s">
        <v>1</v>
      </c>
      <c r="C344" s="212" t="s">
        <v>34</v>
      </c>
      <c r="D344" s="190" t="s">
        <v>3</v>
      </c>
      <c r="E344" s="190" t="s">
        <v>1067</v>
      </c>
      <c r="F344" s="203"/>
      <c r="G344" s="190" t="s">
        <v>1076</v>
      </c>
      <c r="H344" s="192" t="s">
        <v>414</v>
      </c>
      <c r="I344" s="193">
        <v>875</v>
      </c>
      <c r="J344" s="193">
        <v>898</v>
      </c>
      <c r="K344" s="193">
        <v>898</v>
      </c>
      <c r="L344" s="193">
        <v>945</v>
      </c>
      <c r="M344" s="194">
        <v>945</v>
      </c>
      <c r="N344" s="195">
        <v>0</v>
      </c>
      <c r="O344" s="195" t="s">
        <v>1</v>
      </c>
      <c r="P344" s="195" t="s">
        <v>1</v>
      </c>
      <c r="Q344" s="226">
        <v>309</v>
      </c>
      <c r="R344" s="227" t="s">
        <v>1252</v>
      </c>
      <c r="S344" s="197">
        <v>0</v>
      </c>
      <c r="T344" s="195" t="s">
        <v>1</v>
      </c>
      <c r="U344" s="195" t="s">
        <v>1</v>
      </c>
      <c r="V344" s="226">
        <v>309</v>
      </c>
      <c r="W344" s="226" t="s">
        <v>1252</v>
      </c>
      <c r="X344" s="195">
        <v>0</v>
      </c>
      <c r="Y344" s="195">
        <v>10</v>
      </c>
      <c r="Z344" s="195">
        <v>24</v>
      </c>
      <c r="AA344" s="226">
        <v>309</v>
      </c>
      <c r="AB344" s="227" t="s">
        <v>1</v>
      </c>
      <c r="AC344" s="197">
        <v>0</v>
      </c>
      <c r="AD344" s="195">
        <v>10</v>
      </c>
      <c r="AE344" s="195">
        <v>24</v>
      </c>
      <c r="AF344" s="226">
        <v>309</v>
      </c>
      <c r="AG344" s="228" t="s">
        <v>1</v>
      </c>
      <c r="AH344" s="198" t="s">
        <v>1</v>
      </c>
      <c r="AI344" s="209" t="s">
        <v>1</v>
      </c>
      <c r="AJ344" s="209" t="s">
        <v>1</v>
      </c>
      <c r="AK344" s="209" t="s">
        <v>1</v>
      </c>
      <c r="AL344" s="214" t="s">
        <v>1</v>
      </c>
      <c r="AM344" s="200" t="s">
        <v>1</v>
      </c>
      <c r="AN344" s="199" t="s">
        <v>1</v>
      </c>
      <c r="AO344" s="199" t="s">
        <v>1</v>
      </c>
      <c r="AP344" s="198" t="s">
        <v>1</v>
      </c>
      <c r="AQ344" s="198" t="s">
        <v>1</v>
      </c>
      <c r="AR344" s="201" t="s">
        <v>1</v>
      </c>
      <c r="AS344" s="201" t="s">
        <v>1</v>
      </c>
      <c r="AT344" s="199" t="s">
        <v>1</v>
      </c>
      <c r="AU344" s="199" t="s">
        <v>1</v>
      </c>
      <c r="AV344" s="202" t="s">
        <v>1</v>
      </c>
      <c r="AW344" s="199" t="s">
        <v>1</v>
      </c>
    </row>
    <row r="345" spans="1:49" ht="30.15" customHeight="1" x14ac:dyDescent="0.25">
      <c r="A345" s="213" t="s">
        <v>18</v>
      </c>
      <c r="B345" s="188" t="s">
        <v>1</v>
      </c>
      <c r="C345" s="212" t="s">
        <v>34</v>
      </c>
      <c r="D345" s="190" t="s">
        <v>3</v>
      </c>
      <c r="E345" s="190" t="s">
        <v>1068</v>
      </c>
      <c r="F345" s="203"/>
      <c r="G345" s="190" t="s">
        <v>1076</v>
      </c>
      <c r="H345" s="192" t="s">
        <v>414</v>
      </c>
      <c r="I345" s="193">
        <v>875</v>
      </c>
      <c r="J345" s="193">
        <v>898</v>
      </c>
      <c r="K345" s="193">
        <v>898</v>
      </c>
      <c r="L345" s="193">
        <v>945</v>
      </c>
      <c r="M345" s="194">
        <v>945</v>
      </c>
      <c r="N345" s="195">
        <v>0</v>
      </c>
      <c r="O345" s="195" t="s">
        <v>1</v>
      </c>
      <c r="P345" s="195" t="s">
        <v>1</v>
      </c>
      <c r="Q345" s="226">
        <v>309</v>
      </c>
      <c r="R345" s="227" t="s">
        <v>1252</v>
      </c>
      <c r="S345" s="197">
        <v>0</v>
      </c>
      <c r="T345" s="195" t="s">
        <v>1</v>
      </c>
      <c r="U345" s="195" t="s">
        <v>1</v>
      </c>
      <c r="V345" s="226">
        <v>309</v>
      </c>
      <c r="W345" s="226" t="s">
        <v>1252</v>
      </c>
      <c r="X345" s="195">
        <v>0</v>
      </c>
      <c r="Y345" s="195">
        <v>10</v>
      </c>
      <c r="Z345" s="195">
        <v>24</v>
      </c>
      <c r="AA345" s="226">
        <v>309</v>
      </c>
      <c r="AB345" s="227" t="s">
        <v>1</v>
      </c>
      <c r="AC345" s="197">
        <v>0</v>
      </c>
      <c r="AD345" s="195">
        <v>10</v>
      </c>
      <c r="AE345" s="195">
        <v>24</v>
      </c>
      <c r="AF345" s="226">
        <v>309</v>
      </c>
      <c r="AG345" s="228" t="s">
        <v>1</v>
      </c>
      <c r="AH345" s="198" t="s">
        <v>1</v>
      </c>
      <c r="AI345" s="209" t="s">
        <v>1</v>
      </c>
      <c r="AJ345" s="209" t="s">
        <v>1</v>
      </c>
      <c r="AK345" s="209" t="s">
        <v>1</v>
      </c>
      <c r="AL345" s="214" t="s">
        <v>1</v>
      </c>
      <c r="AM345" s="200" t="s">
        <v>1</v>
      </c>
      <c r="AN345" s="199" t="s">
        <v>1</v>
      </c>
      <c r="AO345" s="199" t="s">
        <v>1</v>
      </c>
      <c r="AP345" s="198" t="s">
        <v>1</v>
      </c>
      <c r="AQ345" s="198" t="s">
        <v>1</v>
      </c>
      <c r="AR345" s="201" t="s">
        <v>1</v>
      </c>
      <c r="AS345" s="201" t="s">
        <v>1</v>
      </c>
      <c r="AT345" s="199" t="s">
        <v>1</v>
      </c>
      <c r="AU345" s="199" t="s">
        <v>1</v>
      </c>
      <c r="AV345" s="202" t="s">
        <v>1</v>
      </c>
      <c r="AW345" s="199" t="s">
        <v>1</v>
      </c>
    </row>
    <row r="346" spans="1:49" ht="30.15" customHeight="1" x14ac:dyDescent="0.25">
      <c r="A346" s="213" t="s">
        <v>18</v>
      </c>
      <c r="B346" s="188" t="s">
        <v>1</v>
      </c>
      <c r="C346" s="212" t="s">
        <v>34</v>
      </c>
      <c r="D346" s="190" t="s">
        <v>3</v>
      </c>
      <c r="E346" s="190" t="s">
        <v>1069</v>
      </c>
      <c r="F346" s="203"/>
      <c r="G346" s="190" t="s">
        <v>1077</v>
      </c>
      <c r="H346" s="192" t="s">
        <v>414</v>
      </c>
      <c r="I346" s="193">
        <v>1009</v>
      </c>
      <c r="J346" s="193">
        <v>1031</v>
      </c>
      <c r="K346" s="193">
        <v>1031</v>
      </c>
      <c r="L346" s="193">
        <v>1089</v>
      </c>
      <c r="M346" s="194">
        <v>1089</v>
      </c>
      <c r="N346" s="195">
        <v>0</v>
      </c>
      <c r="O346" s="195" t="s">
        <v>1</v>
      </c>
      <c r="P346" s="195" t="s">
        <v>1</v>
      </c>
      <c r="Q346" s="226">
        <v>321</v>
      </c>
      <c r="R346" s="227" t="s">
        <v>1253</v>
      </c>
      <c r="S346" s="197">
        <v>0</v>
      </c>
      <c r="T346" s="195" t="s">
        <v>1</v>
      </c>
      <c r="U346" s="195" t="s">
        <v>1</v>
      </c>
      <c r="V346" s="226">
        <v>321</v>
      </c>
      <c r="W346" s="226" t="s">
        <v>1253</v>
      </c>
      <c r="X346" s="195">
        <v>0</v>
      </c>
      <c r="Y346" s="195">
        <v>10</v>
      </c>
      <c r="Z346" s="195">
        <v>24</v>
      </c>
      <c r="AA346" s="226">
        <v>321</v>
      </c>
      <c r="AB346" s="227" t="s">
        <v>1</v>
      </c>
      <c r="AC346" s="197">
        <v>0</v>
      </c>
      <c r="AD346" s="195">
        <v>10</v>
      </c>
      <c r="AE346" s="195">
        <v>24</v>
      </c>
      <c r="AF346" s="226">
        <v>321</v>
      </c>
      <c r="AG346" s="228" t="s">
        <v>1</v>
      </c>
      <c r="AH346" s="198" t="s">
        <v>1</v>
      </c>
      <c r="AI346" s="209" t="s">
        <v>1</v>
      </c>
      <c r="AJ346" s="209" t="s">
        <v>1</v>
      </c>
      <c r="AK346" s="209" t="s">
        <v>1</v>
      </c>
      <c r="AL346" s="214" t="s">
        <v>1</v>
      </c>
      <c r="AM346" s="200" t="s">
        <v>1</v>
      </c>
      <c r="AN346" s="199" t="s">
        <v>1</v>
      </c>
      <c r="AO346" s="199" t="s">
        <v>1</v>
      </c>
      <c r="AP346" s="198" t="s">
        <v>1</v>
      </c>
      <c r="AQ346" s="198" t="s">
        <v>1</v>
      </c>
      <c r="AR346" s="201" t="s">
        <v>1</v>
      </c>
      <c r="AS346" s="201" t="s">
        <v>1</v>
      </c>
      <c r="AT346" s="199" t="s">
        <v>1</v>
      </c>
      <c r="AU346" s="199" t="s">
        <v>1</v>
      </c>
      <c r="AV346" s="202" t="s">
        <v>1</v>
      </c>
      <c r="AW346" s="199" t="s">
        <v>1</v>
      </c>
    </row>
    <row r="347" spans="1:49" ht="30.15" customHeight="1" x14ac:dyDescent="0.25">
      <c r="A347" s="213" t="s">
        <v>18</v>
      </c>
      <c r="B347" s="188" t="s">
        <v>1</v>
      </c>
      <c r="C347" s="212" t="s">
        <v>34</v>
      </c>
      <c r="D347" s="190" t="s">
        <v>3</v>
      </c>
      <c r="E347" s="190" t="s">
        <v>1070</v>
      </c>
      <c r="F347" s="203"/>
      <c r="G347" s="190" t="s">
        <v>1077</v>
      </c>
      <c r="H347" s="192" t="s">
        <v>414</v>
      </c>
      <c r="I347" s="193">
        <v>1009</v>
      </c>
      <c r="J347" s="193">
        <v>1031</v>
      </c>
      <c r="K347" s="193">
        <v>1031</v>
      </c>
      <c r="L347" s="193">
        <v>1089</v>
      </c>
      <c r="M347" s="194">
        <v>1089</v>
      </c>
      <c r="N347" s="195">
        <v>0</v>
      </c>
      <c r="O347" s="195" t="s">
        <v>1</v>
      </c>
      <c r="P347" s="195" t="s">
        <v>1</v>
      </c>
      <c r="Q347" s="226">
        <v>321</v>
      </c>
      <c r="R347" s="227" t="s">
        <v>1253</v>
      </c>
      <c r="S347" s="197">
        <v>0</v>
      </c>
      <c r="T347" s="195" t="s">
        <v>1</v>
      </c>
      <c r="U347" s="195" t="s">
        <v>1</v>
      </c>
      <c r="V347" s="226">
        <v>321</v>
      </c>
      <c r="W347" s="226" t="s">
        <v>1253</v>
      </c>
      <c r="X347" s="195">
        <v>0</v>
      </c>
      <c r="Y347" s="195">
        <v>10</v>
      </c>
      <c r="Z347" s="195">
        <v>24</v>
      </c>
      <c r="AA347" s="226">
        <v>321</v>
      </c>
      <c r="AB347" s="227" t="s">
        <v>1</v>
      </c>
      <c r="AC347" s="197">
        <v>0</v>
      </c>
      <c r="AD347" s="195">
        <v>10</v>
      </c>
      <c r="AE347" s="195">
        <v>24</v>
      </c>
      <c r="AF347" s="226">
        <v>321</v>
      </c>
      <c r="AG347" s="228" t="s">
        <v>1</v>
      </c>
      <c r="AH347" s="198" t="s">
        <v>1</v>
      </c>
      <c r="AI347" s="209" t="s">
        <v>1</v>
      </c>
      <c r="AJ347" s="209" t="s">
        <v>1</v>
      </c>
      <c r="AK347" s="209" t="s">
        <v>1</v>
      </c>
      <c r="AL347" s="214" t="s">
        <v>1</v>
      </c>
      <c r="AM347" s="200" t="s">
        <v>1</v>
      </c>
      <c r="AN347" s="199" t="s">
        <v>1</v>
      </c>
      <c r="AO347" s="199" t="s">
        <v>1</v>
      </c>
      <c r="AP347" s="198" t="s">
        <v>1</v>
      </c>
      <c r="AQ347" s="198" t="s">
        <v>1</v>
      </c>
      <c r="AR347" s="201" t="s">
        <v>1</v>
      </c>
      <c r="AS347" s="201" t="s">
        <v>1</v>
      </c>
      <c r="AT347" s="199" t="s">
        <v>1</v>
      </c>
      <c r="AU347" s="199" t="s">
        <v>1</v>
      </c>
      <c r="AV347" s="202" t="s">
        <v>1</v>
      </c>
      <c r="AW347" s="199" t="s">
        <v>1</v>
      </c>
    </row>
    <row r="348" spans="1:49" ht="30.15" customHeight="1" x14ac:dyDescent="0.25">
      <c r="A348" s="213" t="s">
        <v>18</v>
      </c>
      <c r="B348" s="188" t="s">
        <v>1</v>
      </c>
      <c r="C348" s="212" t="s">
        <v>34</v>
      </c>
      <c r="D348" s="190" t="s">
        <v>3</v>
      </c>
      <c r="E348" s="190" t="s">
        <v>1071</v>
      </c>
      <c r="F348" s="203"/>
      <c r="G348" s="190" t="s">
        <v>1077</v>
      </c>
      <c r="H348" s="192" t="s">
        <v>414</v>
      </c>
      <c r="I348" s="193">
        <v>1009</v>
      </c>
      <c r="J348" s="193">
        <v>1031</v>
      </c>
      <c r="K348" s="193">
        <v>1031</v>
      </c>
      <c r="L348" s="193">
        <v>1089</v>
      </c>
      <c r="M348" s="194">
        <v>1089</v>
      </c>
      <c r="N348" s="195">
        <v>0</v>
      </c>
      <c r="O348" s="195" t="s">
        <v>1</v>
      </c>
      <c r="P348" s="195" t="s">
        <v>1</v>
      </c>
      <c r="Q348" s="226">
        <v>321</v>
      </c>
      <c r="R348" s="227" t="s">
        <v>1253</v>
      </c>
      <c r="S348" s="197">
        <v>0</v>
      </c>
      <c r="T348" s="195" t="s">
        <v>1</v>
      </c>
      <c r="U348" s="195" t="s">
        <v>1</v>
      </c>
      <c r="V348" s="226">
        <v>321</v>
      </c>
      <c r="W348" s="226" t="s">
        <v>1253</v>
      </c>
      <c r="X348" s="195">
        <v>0</v>
      </c>
      <c r="Y348" s="195">
        <v>10</v>
      </c>
      <c r="Z348" s="195">
        <v>24</v>
      </c>
      <c r="AA348" s="226">
        <v>321</v>
      </c>
      <c r="AB348" s="227" t="s">
        <v>1</v>
      </c>
      <c r="AC348" s="197">
        <v>0</v>
      </c>
      <c r="AD348" s="195">
        <v>10</v>
      </c>
      <c r="AE348" s="195">
        <v>24</v>
      </c>
      <c r="AF348" s="226">
        <v>321</v>
      </c>
      <c r="AG348" s="228" t="s">
        <v>1</v>
      </c>
      <c r="AH348" s="198" t="s">
        <v>1</v>
      </c>
      <c r="AI348" s="209" t="s">
        <v>1</v>
      </c>
      <c r="AJ348" s="209" t="s">
        <v>1</v>
      </c>
      <c r="AK348" s="209" t="s">
        <v>1</v>
      </c>
      <c r="AL348" s="214" t="s">
        <v>1</v>
      </c>
      <c r="AM348" s="200" t="s">
        <v>1</v>
      </c>
      <c r="AN348" s="199" t="s">
        <v>1</v>
      </c>
      <c r="AO348" s="199" t="s">
        <v>1</v>
      </c>
      <c r="AP348" s="198" t="s">
        <v>1</v>
      </c>
      <c r="AQ348" s="198" t="s">
        <v>1</v>
      </c>
      <c r="AR348" s="201" t="s">
        <v>1</v>
      </c>
      <c r="AS348" s="201" t="s">
        <v>1</v>
      </c>
      <c r="AT348" s="199" t="s">
        <v>1</v>
      </c>
      <c r="AU348" s="199" t="s">
        <v>1</v>
      </c>
      <c r="AV348" s="202" t="s">
        <v>1</v>
      </c>
      <c r="AW348" s="199" t="s">
        <v>1</v>
      </c>
    </row>
    <row r="349" spans="1:49" ht="30.15" customHeight="1" x14ac:dyDescent="0.25">
      <c r="A349" s="213" t="s">
        <v>18</v>
      </c>
      <c r="B349" s="188" t="s">
        <v>1</v>
      </c>
      <c r="C349" s="212" t="s">
        <v>34</v>
      </c>
      <c r="D349" s="190" t="s">
        <v>3</v>
      </c>
      <c r="E349" s="190" t="s">
        <v>1072</v>
      </c>
      <c r="F349" s="203"/>
      <c r="G349" s="190" t="s">
        <v>1077</v>
      </c>
      <c r="H349" s="192" t="s">
        <v>414</v>
      </c>
      <c r="I349" s="193">
        <v>1009</v>
      </c>
      <c r="J349" s="193">
        <v>1031</v>
      </c>
      <c r="K349" s="193">
        <v>1031</v>
      </c>
      <c r="L349" s="193">
        <v>1089</v>
      </c>
      <c r="M349" s="194">
        <v>1089</v>
      </c>
      <c r="N349" s="195">
        <v>0</v>
      </c>
      <c r="O349" s="195" t="s">
        <v>1</v>
      </c>
      <c r="P349" s="195" t="s">
        <v>1</v>
      </c>
      <c r="Q349" s="226">
        <v>321</v>
      </c>
      <c r="R349" s="227" t="s">
        <v>1253</v>
      </c>
      <c r="S349" s="197">
        <v>0</v>
      </c>
      <c r="T349" s="195" t="s">
        <v>1</v>
      </c>
      <c r="U349" s="195" t="s">
        <v>1</v>
      </c>
      <c r="V349" s="226">
        <v>321</v>
      </c>
      <c r="W349" s="226" t="s">
        <v>1253</v>
      </c>
      <c r="X349" s="195">
        <v>0</v>
      </c>
      <c r="Y349" s="195">
        <v>10</v>
      </c>
      <c r="Z349" s="195">
        <v>24</v>
      </c>
      <c r="AA349" s="226">
        <v>321</v>
      </c>
      <c r="AB349" s="227" t="s">
        <v>1</v>
      </c>
      <c r="AC349" s="197">
        <v>0</v>
      </c>
      <c r="AD349" s="195">
        <v>10</v>
      </c>
      <c r="AE349" s="195">
        <v>24</v>
      </c>
      <c r="AF349" s="226">
        <v>321</v>
      </c>
      <c r="AG349" s="228" t="s">
        <v>1</v>
      </c>
      <c r="AH349" s="198" t="s">
        <v>1</v>
      </c>
      <c r="AI349" s="209" t="s">
        <v>1</v>
      </c>
      <c r="AJ349" s="209" t="s">
        <v>1</v>
      </c>
      <c r="AK349" s="209" t="s">
        <v>1</v>
      </c>
      <c r="AL349" s="214" t="s">
        <v>1</v>
      </c>
      <c r="AM349" s="200" t="s">
        <v>1</v>
      </c>
      <c r="AN349" s="199" t="s">
        <v>1</v>
      </c>
      <c r="AO349" s="199" t="s">
        <v>1</v>
      </c>
      <c r="AP349" s="198" t="s">
        <v>1</v>
      </c>
      <c r="AQ349" s="198" t="s">
        <v>1</v>
      </c>
      <c r="AR349" s="201" t="s">
        <v>1</v>
      </c>
      <c r="AS349" s="201" t="s">
        <v>1</v>
      </c>
      <c r="AT349" s="199" t="s">
        <v>1</v>
      </c>
      <c r="AU349" s="199" t="s">
        <v>1</v>
      </c>
      <c r="AV349" s="202" t="s">
        <v>1</v>
      </c>
      <c r="AW349" s="199" t="s">
        <v>1</v>
      </c>
    </row>
    <row r="350" spans="1:49" ht="30.15" customHeight="1" x14ac:dyDescent="0.25">
      <c r="A350" s="213" t="s">
        <v>18</v>
      </c>
      <c r="B350" s="188" t="s">
        <v>1</v>
      </c>
      <c r="C350" s="212" t="s">
        <v>34</v>
      </c>
      <c r="D350" s="190" t="s">
        <v>3</v>
      </c>
      <c r="E350" s="190" t="s">
        <v>1073</v>
      </c>
      <c r="F350" s="203"/>
      <c r="G350" s="190" t="s">
        <v>1077</v>
      </c>
      <c r="H350" s="192" t="s">
        <v>414</v>
      </c>
      <c r="I350" s="193">
        <v>1009</v>
      </c>
      <c r="J350" s="193">
        <v>1031</v>
      </c>
      <c r="K350" s="193">
        <v>1031</v>
      </c>
      <c r="L350" s="193">
        <v>1089</v>
      </c>
      <c r="M350" s="194">
        <v>1089</v>
      </c>
      <c r="N350" s="195">
        <v>0</v>
      </c>
      <c r="O350" s="195" t="s">
        <v>1</v>
      </c>
      <c r="P350" s="195" t="s">
        <v>1</v>
      </c>
      <c r="Q350" s="226">
        <v>321</v>
      </c>
      <c r="R350" s="227" t="s">
        <v>1253</v>
      </c>
      <c r="S350" s="197">
        <v>0</v>
      </c>
      <c r="T350" s="195" t="s">
        <v>1</v>
      </c>
      <c r="U350" s="195" t="s">
        <v>1</v>
      </c>
      <c r="V350" s="226">
        <v>321</v>
      </c>
      <c r="W350" s="226" t="s">
        <v>1253</v>
      </c>
      <c r="X350" s="195">
        <v>0</v>
      </c>
      <c r="Y350" s="195">
        <v>10</v>
      </c>
      <c r="Z350" s="195">
        <v>24</v>
      </c>
      <c r="AA350" s="226">
        <v>321</v>
      </c>
      <c r="AB350" s="227" t="s">
        <v>1</v>
      </c>
      <c r="AC350" s="197">
        <v>0</v>
      </c>
      <c r="AD350" s="195">
        <v>10</v>
      </c>
      <c r="AE350" s="195">
        <v>24</v>
      </c>
      <c r="AF350" s="226">
        <v>321</v>
      </c>
      <c r="AG350" s="228" t="s">
        <v>1</v>
      </c>
      <c r="AH350" s="198" t="s">
        <v>1</v>
      </c>
      <c r="AI350" s="209" t="s">
        <v>1</v>
      </c>
      <c r="AJ350" s="209" t="s">
        <v>1</v>
      </c>
      <c r="AK350" s="209" t="s">
        <v>1</v>
      </c>
      <c r="AL350" s="214" t="s">
        <v>1</v>
      </c>
      <c r="AM350" s="200" t="s">
        <v>1</v>
      </c>
      <c r="AN350" s="199" t="s">
        <v>1</v>
      </c>
      <c r="AO350" s="199" t="s">
        <v>1</v>
      </c>
      <c r="AP350" s="198" t="s">
        <v>1</v>
      </c>
      <c r="AQ350" s="198" t="s">
        <v>1</v>
      </c>
      <c r="AR350" s="201" t="s">
        <v>1</v>
      </c>
      <c r="AS350" s="201" t="s">
        <v>1</v>
      </c>
      <c r="AT350" s="199" t="s">
        <v>1</v>
      </c>
      <c r="AU350" s="199" t="s">
        <v>1</v>
      </c>
      <c r="AV350" s="202" t="s">
        <v>1</v>
      </c>
      <c r="AW350" s="199" t="s">
        <v>1</v>
      </c>
    </row>
    <row r="351" spans="1:49" ht="30.15" customHeight="1" x14ac:dyDescent="0.25">
      <c r="A351" s="213" t="s">
        <v>18</v>
      </c>
      <c r="B351" s="188" t="s">
        <v>1</v>
      </c>
      <c r="C351" s="212" t="s">
        <v>34</v>
      </c>
      <c r="D351" s="190" t="s">
        <v>3</v>
      </c>
      <c r="E351" s="190" t="s">
        <v>1074</v>
      </c>
      <c r="F351" s="203"/>
      <c r="G351" s="190" t="s">
        <v>1077</v>
      </c>
      <c r="H351" s="192" t="s">
        <v>414</v>
      </c>
      <c r="I351" s="193">
        <v>1009</v>
      </c>
      <c r="J351" s="193">
        <v>1031</v>
      </c>
      <c r="K351" s="193">
        <v>1031</v>
      </c>
      <c r="L351" s="193">
        <v>1089</v>
      </c>
      <c r="M351" s="194">
        <v>1089</v>
      </c>
      <c r="N351" s="195">
        <v>0</v>
      </c>
      <c r="O351" s="195" t="s">
        <v>1</v>
      </c>
      <c r="P351" s="195" t="s">
        <v>1</v>
      </c>
      <c r="Q351" s="226">
        <v>321</v>
      </c>
      <c r="R351" s="227" t="s">
        <v>1253</v>
      </c>
      <c r="S351" s="197">
        <v>0</v>
      </c>
      <c r="T351" s="195" t="s">
        <v>1</v>
      </c>
      <c r="U351" s="195" t="s">
        <v>1</v>
      </c>
      <c r="V351" s="226">
        <v>321</v>
      </c>
      <c r="W351" s="226" t="s">
        <v>1253</v>
      </c>
      <c r="X351" s="195">
        <v>0</v>
      </c>
      <c r="Y351" s="195">
        <v>10</v>
      </c>
      <c r="Z351" s="195">
        <v>24</v>
      </c>
      <c r="AA351" s="226">
        <v>321</v>
      </c>
      <c r="AB351" s="227" t="s">
        <v>1</v>
      </c>
      <c r="AC351" s="197">
        <v>0</v>
      </c>
      <c r="AD351" s="195">
        <v>10</v>
      </c>
      <c r="AE351" s="195">
        <v>24</v>
      </c>
      <c r="AF351" s="226">
        <v>321</v>
      </c>
      <c r="AG351" s="228" t="s">
        <v>1</v>
      </c>
      <c r="AH351" s="198" t="s">
        <v>1</v>
      </c>
      <c r="AI351" s="209" t="s">
        <v>1</v>
      </c>
      <c r="AJ351" s="209" t="s">
        <v>1</v>
      </c>
      <c r="AK351" s="209" t="s">
        <v>1</v>
      </c>
      <c r="AL351" s="214" t="s">
        <v>1</v>
      </c>
      <c r="AM351" s="200" t="s">
        <v>1</v>
      </c>
      <c r="AN351" s="199" t="s">
        <v>1</v>
      </c>
      <c r="AO351" s="199" t="s">
        <v>1</v>
      </c>
      <c r="AP351" s="198" t="s">
        <v>1</v>
      </c>
      <c r="AQ351" s="198" t="s">
        <v>1</v>
      </c>
      <c r="AR351" s="201" t="s">
        <v>1</v>
      </c>
      <c r="AS351" s="201" t="s">
        <v>1</v>
      </c>
      <c r="AT351" s="199" t="s">
        <v>1</v>
      </c>
      <c r="AU351" s="199" t="s">
        <v>1</v>
      </c>
      <c r="AV351" s="202" t="s">
        <v>1</v>
      </c>
      <c r="AW351" s="199" t="s">
        <v>1</v>
      </c>
    </row>
    <row r="352" spans="1:49" ht="30.15" customHeight="1" x14ac:dyDescent="0.25">
      <c r="A352" s="213" t="s">
        <v>18</v>
      </c>
      <c r="B352" s="188" t="s">
        <v>1</v>
      </c>
      <c r="C352" s="212" t="s">
        <v>34</v>
      </c>
      <c r="D352" s="190" t="s">
        <v>3</v>
      </c>
      <c r="E352" s="190" t="s">
        <v>1157</v>
      </c>
      <c r="F352" s="203"/>
      <c r="G352" s="190" t="s">
        <v>1184</v>
      </c>
      <c r="H352" s="192" t="s">
        <v>409</v>
      </c>
      <c r="I352" s="193">
        <v>1475</v>
      </c>
      <c r="J352" s="193">
        <v>1511</v>
      </c>
      <c r="K352" s="193">
        <v>1511</v>
      </c>
      <c r="L352" s="193">
        <v>1596</v>
      </c>
      <c r="M352" s="194">
        <v>1596</v>
      </c>
      <c r="N352" s="195">
        <v>0</v>
      </c>
      <c r="O352" s="195" t="s">
        <v>1</v>
      </c>
      <c r="P352" s="195" t="s">
        <v>1</v>
      </c>
      <c r="Q352" s="226">
        <v>636</v>
      </c>
      <c r="R352" s="226" t="s">
        <v>1254</v>
      </c>
      <c r="S352" s="195">
        <v>0</v>
      </c>
      <c r="T352" s="195" t="s">
        <v>1</v>
      </c>
      <c r="U352" s="195" t="s">
        <v>1</v>
      </c>
      <c r="V352" s="226">
        <v>636</v>
      </c>
      <c r="W352" s="226" t="s">
        <v>1254</v>
      </c>
      <c r="X352" s="195">
        <v>0</v>
      </c>
      <c r="Y352" s="195">
        <v>2</v>
      </c>
      <c r="Z352" s="195">
        <v>24</v>
      </c>
      <c r="AA352" s="226">
        <v>636</v>
      </c>
      <c r="AB352" s="227" t="s">
        <v>1</v>
      </c>
      <c r="AC352" s="197">
        <v>0</v>
      </c>
      <c r="AD352" s="195">
        <v>2</v>
      </c>
      <c r="AE352" s="195">
        <v>24</v>
      </c>
      <c r="AF352" s="226">
        <v>636</v>
      </c>
      <c r="AG352" s="228" t="s">
        <v>1</v>
      </c>
      <c r="AH352" s="198" t="s">
        <v>1</v>
      </c>
      <c r="AI352" s="209" t="s">
        <v>1</v>
      </c>
      <c r="AJ352" s="209" t="s">
        <v>1</v>
      </c>
      <c r="AK352" s="209" t="s">
        <v>1</v>
      </c>
      <c r="AL352" s="214" t="s">
        <v>1</v>
      </c>
      <c r="AM352" s="200" t="s">
        <v>1</v>
      </c>
      <c r="AN352" s="199" t="s">
        <v>1</v>
      </c>
      <c r="AO352" s="199" t="s">
        <v>1</v>
      </c>
      <c r="AP352" s="198" t="s">
        <v>1</v>
      </c>
      <c r="AQ352" s="198" t="s">
        <v>1</v>
      </c>
      <c r="AR352" s="201" t="s">
        <v>1</v>
      </c>
      <c r="AS352" s="201" t="s">
        <v>1</v>
      </c>
      <c r="AT352" s="199" t="s">
        <v>1</v>
      </c>
      <c r="AU352" s="199" t="s">
        <v>1</v>
      </c>
      <c r="AV352" s="202" t="s">
        <v>1</v>
      </c>
      <c r="AW352" s="199" t="s">
        <v>1</v>
      </c>
    </row>
    <row r="353" spans="1:49" ht="30.15" customHeight="1" x14ac:dyDescent="0.25">
      <c r="A353" s="213" t="s">
        <v>18</v>
      </c>
      <c r="B353" s="188" t="s">
        <v>1</v>
      </c>
      <c r="C353" s="212" t="s">
        <v>34</v>
      </c>
      <c r="D353" s="190" t="s">
        <v>3</v>
      </c>
      <c r="E353" s="190" t="s">
        <v>1158</v>
      </c>
      <c r="F353" s="203"/>
      <c r="G353" s="190" t="s">
        <v>1184</v>
      </c>
      <c r="H353" s="192" t="s">
        <v>409</v>
      </c>
      <c r="I353" s="193">
        <v>1475</v>
      </c>
      <c r="J353" s="193">
        <v>1511</v>
      </c>
      <c r="K353" s="193">
        <v>1511</v>
      </c>
      <c r="L353" s="193">
        <v>1596</v>
      </c>
      <c r="M353" s="194">
        <v>1596</v>
      </c>
      <c r="N353" s="195">
        <v>0</v>
      </c>
      <c r="O353" s="195" t="s">
        <v>1</v>
      </c>
      <c r="P353" s="195" t="s">
        <v>1</v>
      </c>
      <c r="Q353" s="226">
        <v>636</v>
      </c>
      <c r="R353" s="226" t="s">
        <v>1254</v>
      </c>
      <c r="S353" s="195">
        <v>0</v>
      </c>
      <c r="T353" s="195" t="s">
        <v>1</v>
      </c>
      <c r="U353" s="195" t="s">
        <v>1</v>
      </c>
      <c r="V353" s="226">
        <v>636</v>
      </c>
      <c r="W353" s="226" t="s">
        <v>1254</v>
      </c>
      <c r="X353" s="195">
        <v>0</v>
      </c>
      <c r="Y353" s="195">
        <v>2</v>
      </c>
      <c r="Z353" s="195">
        <v>24</v>
      </c>
      <c r="AA353" s="226">
        <v>636</v>
      </c>
      <c r="AB353" s="227" t="s">
        <v>1</v>
      </c>
      <c r="AC353" s="197">
        <v>0</v>
      </c>
      <c r="AD353" s="195">
        <v>2</v>
      </c>
      <c r="AE353" s="195">
        <v>24</v>
      </c>
      <c r="AF353" s="226">
        <v>636</v>
      </c>
      <c r="AG353" s="228" t="s">
        <v>1</v>
      </c>
      <c r="AH353" s="198" t="s">
        <v>1</v>
      </c>
      <c r="AI353" s="209" t="s">
        <v>1</v>
      </c>
      <c r="AJ353" s="209" t="s">
        <v>1</v>
      </c>
      <c r="AK353" s="209" t="s">
        <v>1</v>
      </c>
      <c r="AL353" s="214" t="s">
        <v>1</v>
      </c>
      <c r="AM353" s="200" t="s">
        <v>1</v>
      </c>
      <c r="AN353" s="199" t="s">
        <v>1</v>
      </c>
      <c r="AO353" s="199" t="s">
        <v>1</v>
      </c>
      <c r="AP353" s="198" t="s">
        <v>1</v>
      </c>
      <c r="AQ353" s="198" t="s">
        <v>1</v>
      </c>
      <c r="AR353" s="201" t="s">
        <v>1</v>
      </c>
      <c r="AS353" s="201" t="s">
        <v>1</v>
      </c>
      <c r="AT353" s="199" t="s">
        <v>1</v>
      </c>
      <c r="AU353" s="199" t="s">
        <v>1</v>
      </c>
      <c r="AV353" s="202" t="s">
        <v>1</v>
      </c>
      <c r="AW353" s="199" t="s">
        <v>1</v>
      </c>
    </row>
    <row r="354" spans="1:49" ht="30.15" customHeight="1" x14ac:dyDescent="0.25">
      <c r="A354" s="213" t="s">
        <v>18</v>
      </c>
      <c r="B354" s="188" t="s">
        <v>1</v>
      </c>
      <c r="C354" s="212" t="s">
        <v>34</v>
      </c>
      <c r="D354" s="190" t="s">
        <v>3</v>
      </c>
      <c r="E354" s="190" t="s">
        <v>1159</v>
      </c>
      <c r="F354" s="203"/>
      <c r="G354" s="190" t="s">
        <v>1184</v>
      </c>
      <c r="H354" s="192" t="s">
        <v>409</v>
      </c>
      <c r="I354" s="193">
        <v>1475</v>
      </c>
      <c r="J354" s="193">
        <v>1511</v>
      </c>
      <c r="K354" s="193">
        <v>1511</v>
      </c>
      <c r="L354" s="193">
        <v>1596</v>
      </c>
      <c r="M354" s="194">
        <v>1596</v>
      </c>
      <c r="N354" s="195">
        <v>0</v>
      </c>
      <c r="O354" s="195" t="s">
        <v>1</v>
      </c>
      <c r="P354" s="195" t="s">
        <v>1</v>
      </c>
      <c r="Q354" s="226">
        <v>636</v>
      </c>
      <c r="R354" s="226" t="s">
        <v>1254</v>
      </c>
      <c r="S354" s="195">
        <v>0</v>
      </c>
      <c r="T354" s="195" t="s">
        <v>1</v>
      </c>
      <c r="U354" s="195" t="s">
        <v>1</v>
      </c>
      <c r="V354" s="226">
        <v>636</v>
      </c>
      <c r="W354" s="226" t="s">
        <v>1254</v>
      </c>
      <c r="X354" s="195">
        <v>0</v>
      </c>
      <c r="Y354" s="195">
        <v>2</v>
      </c>
      <c r="Z354" s="195">
        <v>24</v>
      </c>
      <c r="AA354" s="226">
        <v>636</v>
      </c>
      <c r="AB354" s="227" t="s">
        <v>1</v>
      </c>
      <c r="AC354" s="197">
        <v>0</v>
      </c>
      <c r="AD354" s="195">
        <v>2</v>
      </c>
      <c r="AE354" s="195">
        <v>24</v>
      </c>
      <c r="AF354" s="226">
        <v>636</v>
      </c>
      <c r="AG354" s="228" t="s">
        <v>1</v>
      </c>
      <c r="AH354" s="198" t="s">
        <v>1</v>
      </c>
      <c r="AI354" s="209" t="s">
        <v>1</v>
      </c>
      <c r="AJ354" s="209" t="s">
        <v>1</v>
      </c>
      <c r="AK354" s="209" t="s">
        <v>1</v>
      </c>
      <c r="AL354" s="214" t="s">
        <v>1</v>
      </c>
      <c r="AM354" s="200" t="s">
        <v>1</v>
      </c>
      <c r="AN354" s="199" t="s">
        <v>1</v>
      </c>
      <c r="AO354" s="199" t="s">
        <v>1</v>
      </c>
      <c r="AP354" s="198" t="s">
        <v>1</v>
      </c>
      <c r="AQ354" s="198" t="s">
        <v>1</v>
      </c>
      <c r="AR354" s="201" t="s">
        <v>1</v>
      </c>
      <c r="AS354" s="201" t="s">
        <v>1</v>
      </c>
      <c r="AT354" s="199" t="s">
        <v>1</v>
      </c>
      <c r="AU354" s="199" t="s">
        <v>1</v>
      </c>
      <c r="AV354" s="202" t="s">
        <v>1</v>
      </c>
      <c r="AW354" s="199" t="s">
        <v>1</v>
      </c>
    </row>
    <row r="355" spans="1:49" ht="30.15" customHeight="1" x14ac:dyDescent="0.25">
      <c r="A355" s="213" t="s">
        <v>18</v>
      </c>
      <c r="B355" s="188" t="s">
        <v>1</v>
      </c>
      <c r="C355" s="212" t="s">
        <v>34</v>
      </c>
      <c r="D355" s="190" t="s">
        <v>3</v>
      </c>
      <c r="E355" s="190" t="s">
        <v>1160</v>
      </c>
      <c r="F355" s="203"/>
      <c r="G355" s="190" t="s">
        <v>1184</v>
      </c>
      <c r="H355" s="192" t="s">
        <v>409</v>
      </c>
      <c r="I355" s="193">
        <v>1475</v>
      </c>
      <c r="J355" s="193">
        <v>1511</v>
      </c>
      <c r="K355" s="193">
        <v>1511</v>
      </c>
      <c r="L355" s="193">
        <v>1596</v>
      </c>
      <c r="M355" s="194">
        <v>1596</v>
      </c>
      <c r="N355" s="195">
        <v>0</v>
      </c>
      <c r="O355" s="195" t="s">
        <v>1</v>
      </c>
      <c r="P355" s="195" t="s">
        <v>1</v>
      </c>
      <c r="Q355" s="226">
        <v>636</v>
      </c>
      <c r="R355" s="226" t="s">
        <v>1254</v>
      </c>
      <c r="S355" s="195">
        <v>0</v>
      </c>
      <c r="T355" s="195" t="s">
        <v>1</v>
      </c>
      <c r="U355" s="195" t="s">
        <v>1</v>
      </c>
      <c r="V355" s="226">
        <v>636</v>
      </c>
      <c r="W355" s="226" t="s">
        <v>1254</v>
      </c>
      <c r="X355" s="195">
        <v>0</v>
      </c>
      <c r="Y355" s="195">
        <v>2</v>
      </c>
      <c r="Z355" s="195">
        <v>24</v>
      </c>
      <c r="AA355" s="226">
        <v>636</v>
      </c>
      <c r="AB355" s="227" t="s">
        <v>1</v>
      </c>
      <c r="AC355" s="197">
        <v>0</v>
      </c>
      <c r="AD355" s="195">
        <v>2</v>
      </c>
      <c r="AE355" s="195">
        <v>24</v>
      </c>
      <c r="AF355" s="226">
        <v>636</v>
      </c>
      <c r="AG355" s="228" t="s">
        <v>1</v>
      </c>
      <c r="AH355" s="198" t="s">
        <v>1</v>
      </c>
      <c r="AI355" s="209" t="s">
        <v>1</v>
      </c>
      <c r="AJ355" s="209" t="s">
        <v>1</v>
      </c>
      <c r="AK355" s="209" t="s">
        <v>1</v>
      </c>
      <c r="AL355" s="214" t="s">
        <v>1</v>
      </c>
      <c r="AM355" s="200" t="s">
        <v>1</v>
      </c>
      <c r="AN355" s="199" t="s">
        <v>1</v>
      </c>
      <c r="AO355" s="199" t="s">
        <v>1</v>
      </c>
      <c r="AP355" s="198" t="s">
        <v>1</v>
      </c>
      <c r="AQ355" s="198" t="s">
        <v>1</v>
      </c>
      <c r="AR355" s="201" t="s">
        <v>1</v>
      </c>
      <c r="AS355" s="201" t="s">
        <v>1</v>
      </c>
      <c r="AT355" s="199" t="s">
        <v>1</v>
      </c>
      <c r="AU355" s="199" t="s">
        <v>1</v>
      </c>
      <c r="AV355" s="202" t="s">
        <v>1</v>
      </c>
      <c r="AW355" s="199" t="s">
        <v>1</v>
      </c>
    </row>
    <row r="356" spans="1:49" ht="30.15" customHeight="1" x14ac:dyDescent="0.25">
      <c r="A356" s="213" t="s">
        <v>18</v>
      </c>
      <c r="B356" s="188" t="s">
        <v>1</v>
      </c>
      <c r="C356" s="212" t="s">
        <v>34</v>
      </c>
      <c r="D356" s="190" t="s">
        <v>3</v>
      </c>
      <c r="E356" s="190" t="s">
        <v>1161</v>
      </c>
      <c r="F356" s="203"/>
      <c r="G356" s="190" t="s">
        <v>1185</v>
      </c>
      <c r="H356" s="192" t="s">
        <v>409</v>
      </c>
      <c r="I356" s="193">
        <v>1609</v>
      </c>
      <c r="J356" s="193">
        <v>1648</v>
      </c>
      <c r="K356" s="193">
        <v>1648</v>
      </c>
      <c r="L356" s="193">
        <v>1740</v>
      </c>
      <c r="M356" s="194">
        <v>1740</v>
      </c>
      <c r="N356" s="195">
        <v>0</v>
      </c>
      <c r="O356" s="195" t="s">
        <v>1</v>
      </c>
      <c r="P356" s="195" t="s">
        <v>1</v>
      </c>
      <c r="Q356" s="226">
        <v>660</v>
      </c>
      <c r="R356" s="226" t="s">
        <v>1254</v>
      </c>
      <c r="S356" s="195">
        <v>0</v>
      </c>
      <c r="T356" s="195" t="s">
        <v>1</v>
      </c>
      <c r="U356" s="195" t="s">
        <v>1</v>
      </c>
      <c r="V356" s="226">
        <v>660</v>
      </c>
      <c r="W356" s="226" t="s">
        <v>1254</v>
      </c>
      <c r="X356" s="195">
        <v>0</v>
      </c>
      <c r="Y356" s="195">
        <v>2</v>
      </c>
      <c r="Z356" s="195">
        <v>24</v>
      </c>
      <c r="AA356" s="226">
        <v>660</v>
      </c>
      <c r="AB356" s="227" t="s">
        <v>1</v>
      </c>
      <c r="AC356" s="197">
        <v>0</v>
      </c>
      <c r="AD356" s="195">
        <v>2</v>
      </c>
      <c r="AE356" s="195">
        <v>24</v>
      </c>
      <c r="AF356" s="226">
        <v>660</v>
      </c>
      <c r="AG356" s="228" t="s">
        <v>1</v>
      </c>
      <c r="AH356" s="198" t="s">
        <v>1</v>
      </c>
      <c r="AI356" s="209" t="s">
        <v>1</v>
      </c>
      <c r="AJ356" s="209" t="s">
        <v>1</v>
      </c>
      <c r="AK356" s="209" t="s">
        <v>1</v>
      </c>
      <c r="AL356" s="214" t="s">
        <v>1</v>
      </c>
      <c r="AM356" s="200" t="s">
        <v>1</v>
      </c>
      <c r="AN356" s="199" t="s">
        <v>1</v>
      </c>
      <c r="AO356" s="199" t="s">
        <v>1</v>
      </c>
      <c r="AP356" s="198" t="s">
        <v>1</v>
      </c>
      <c r="AQ356" s="198" t="s">
        <v>1</v>
      </c>
      <c r="AR356" s="201" t="s">
        <v>1</v>
      </c>
      <c r="AS356" s="201" t="s">
        <v>1</v>
      </c>
      <c r="AT356" s="199" t="s">
        <v>1</v>
      </c>
      <c r="AU356" s="199" t="s">
        <v>1</v>
      </c>
      <c r="AV356" s="202" t="s">
        <v>1</v>
      </c>
      <c r="AW356" s="199" t="s">
        <v>1</v>
      </c>
    </row>
    <row r="357" spans="1:49" ht="30.15" customHeight="1" x14ac:dyDescent="0.25">
      <c r="A357" s="213" t="s">
        <v>18</v>
      </c>
      <c r="B357" s="188" t="s">
        <v>1</v>
      </c>
      <c r="C357" s="212" t="s">
        <v>34</v>
      </c>
      <c r="D357" s="190" t="s">
        <v>3</v>
      </c>
      <c r="E357" s="190" t="s">
        <v>1162</v>
      </c>
      <c r="F357" s="203"/>
      <c r="G357" s="190" t="s">
        <v>1185</v>
      </c>
      <c r="H357" s="192" t="s">
        <v>409</v>
      </c>
      <c r="I357" s="193">
        <v>1609</v>
      </c>
      <c r="J357" s="193">
        <v>1648</v>
      </c>
      <c r="K357" s="193">
        <v>1648</v>
      </c>
      <c r="L357" s="193">
        <v>1740</v>
      </c>
      <c r="M357" s="194">
        <v>1740</v>
      </c>
      <c r="N357" s="195">
        <v>0</v>
      </c>
      <c r="O357" s="195" t="s">
        <v>1</v>
      </c>
      <c r="P357" s="195" t="s">
        <v>1</v>
      </c>
      <c r="Q357" s="226">
        <v>660</v>
      </c>
      <c r="R357" s="226" t="s">
        <v>1254</v>
      </c>
      <c r="S357" s="195">
        <v>0</v>
      </c>
      <c r="T357" s="195" t="s">
        <v>1</v>
      </c>
      <c r="U357" s="195" t="s">
        <v>1</v>
      </c>
      <c r="V357" s="226">
        <v>660</v>
      </c>
      <c r="W357" s="226" t="s">
        <v>1254</v>
      </c>
      <c r="X357" s="195">
        <v>0</v>
      </c>
      <c r="Y357" s="195">
        <v>2</v>
      </c>
      <c r="Z357" s="195">
        <v>24</v>
      </c>
      <c r="AA357" s="226">
        <v>660</v>
      </c>
      <c r="AB357" s="227" t="s">
        <v>1</v>
      </c>
      <c r="AC357" s="197">
        <v>0</v>
      </c>
      <c r="AD357" s="195">
        <v>2</v>
      </c>
      <c r="AE357" s="195">
        <v>24</v>
      </c>
      <c r="AF357" s="226">
        <v>660</v>
      </c>
      <c r="AG357" s="228" t="s">
        <v>1</v>
      </c>
      <c r="AH357" s="198" t="s">
        <v>1</v>
      </c>
      <c r="AI357" s="209" t="s">
        <v>1</v>
      </c>
      <c r="AJ357" s="209" t="s">
        <v>1</v>
      </c>
      <c r="AK357" s="209" t="s">
        <v>1</v>
      </c>
      <c r="AL357" s="214" t="s">
        <v>1</v>
      </c>
      <c r="AM357" s="200" t="s">
        <v>1</v>
      </c>
      <c r="AN357" s="199" t="s">
        <v>1</v>
      </c>
      <c r="AO357" s="199" t="s">
        <v>1</v>
      </c>
      <c r="AP357" s="198" t="s">
        <v>1</v>
      </c>
      <c r="AQ357" s="198" t="s">
        <v>1</v>
      </c>
      <c r="AR357" s="201" t="s">
        <v>1</v>
      </c>
      <c r="AS357" s="201" t="s">
        <v>1</v>
      </c>
      <c r="AT357" s="199" t="s">
        <v>1</v>
      </c>
      <c r="AU357" s="199" t="s">
        <v>1</v>
      </c>
      <c r="AV357" s="202" t="s">
        <v>1</v>
      </c>
      <c r="AW357" s="199" t="s">
        <v>1</v>
      </c>
    </row>
    <row r="358" spans="1:49" ht="30.15" customHeight="1" x14ac:dyDescent="0.25">
      <c r="A358" s="213" t="s">
        <v>18</v>
      </c>
      <c r="B358" s="188" t="s">
        <v>1</v>
      </c>
      <c r="C358" s="212" t="s">
        <v>34</v>
      </c>
      <c r="D358" s="190" t="s">
        <v>3</v>
      </c>
      <c r="E358" s="190" t="s">
        <v>1163</v>
      </c>
      <c r="F358" s="203"/>
      <c r="G358" s="190" t="s">
        <v>1185</v>
      </c>
      <c r="H358" s="192" t="s">
        <v>409</v>
      </c>
      <c r="I358" s="193">
        <v>1609</v>
      </c>
      <c r="J358" s="193">
        <v>1648</v>
      </c>
      <c r="K358" s="193">
        <v>1648</v>
      </c>
      <c r="L358" s="193">
        <v>1740</v>
      </c>
      <c r="M358" s="194">
        <v>1740</v>
      </c>
      <c r="N358" s="195">
        <v>0</v>
      </c>
      <c r="O358" s="195" t="s">
        <v>1</v>
      </c>
      <c r="P358" s="195" t="s">
        <v>1</v>
      </c>
      <c r="Q358" s="226">
        <v>660</v>
      </c>
      <c r="R358" s="226" t="s">
        <v>1254</v>
      </c>
      <c r="S358" s="195">
        <v>0</v>
      </c>
      <c r="T358" s="195" t="s">
        <v>1</v>
      </c>
      <c r="U358" s="195" t="s">
        <v>1</v>
      </c>
      <c r="V358" s="226">
        <v>660</v>
      </c>
      <c r="W358" s="226" t="s">
        <v>1254</v>
      </c>
      <c r="X358" s="195">
        <v>0</v>
      </c>
      <c r="Y358" s="195">
        <v>2</v>
      </c>
      <c r="Z358" s="195">
        <v>24</v>
      </c>
      <c r="AA358" s="226">
        <v>660</v>
      </c>
      <c r="AB358" s="227" t="s">
        <v>1</v>
      </c>
      <c r="AC358" s="197">
        <v>0</v>
      </c>
      <c r="AD358" s="195">
        <v>2</v>
      </c>
      <c r="AE358" s="195">
        <v>24</v>
      </c>
      <c r="AF358" s="226">
        <v>660</v>
      </c>
      <c r="AG358" s="228" t="s">
        <v>1</v>
      </c>
      <c r="AH358" s="198" t="s">
        <v>1</v>
      </c>
      <c r="AI358" s="209" t="s">
        <v>1</v>
      </c>
      <c r="AJ358" s="209" t="s">
        <v>1</v>
      </c>
      <c r="AK358" s="209" t="s">
        <v>1</v>
      </c>
      <c r="AL358" s="214" t="s">
        <v>1</v>
      </c>
      <c r="AM358" s="200" t="s">
        <v>1</v>
      </c>
      <c r="AN358" s="199" t="s">
        <v>1</v>
      </c>
      <c r="AO358" s="199" t="s">
        <v>1</v>
      </c>
      <c r="AP358" s="198" t="s">
        <v>1</v>
      </c>
      <c r="AQ358" s="198" t="s">
        <v>1</v>
      </c>
      <c r="AR358" s="201" t="s">
        <v>1</v>
      </c>
      <c r="AS358" s="201" t="s">
        <v>1</v>
      </c>
      <c r="AT358" s="199" t="s">
        <v>1</v>
      </c>
      <c r="AU358" s="199" t="s">
        <v>1</v>
      </c>
      <c r="AV358" s="202" t="s">
        <v>1</v>
      </c>
      <c r="AW358" s="199" t="s">
        <v>1</v>
      </c>
    </row>
    <row r="359" spans="1:49" ht="30.15" customHeight="1" x14ac:dyDescent="0.25">
      <c r="A359" s="213" t="s">
        <v>18</v>
      </c>
      <c r="B359" s="188" t="s">
        <v>1</v>
      </c>
      <c r="C359" s="212" t="s">
        <v>34</v>
      </c>
      <c r="D359" s="190" t="s">
        <v>3</v>
      </c>
      <c r="E359" s="190" t="s">
        <v>1164</v>
      </c>
      <c r="F359" s="203"/>
      <c r="G359" s="190" t="s">
        <v>1185</v>
      </c>
      <c r="H359" s="192" t="s">
        <v>409</v>
      </c>
      <c r="I359" s="193">
        <v>1609</v>
      </c>
      <c r="J359" s="193">
        <v>1648</v>
      </c>
      <c r="K359" s="193">
        <v>1648</v>
      </c>
      <c r="L359" s="193">
        <v>1740</v>
      </c>
      <c r="M359" s="194">
        <v>1740</v>
      </c>
      <c r="N359" s="195">
        <v>0</v>
      </c>
      <c r="O359" s="195" t="s">
        <v>1</v>
      </c>
      <c r="P359" s="195" t="s">
        <v>1</v>
      </c>
      <c r="Q359" s="226">
        <v>660</v>
      </c>
      <c r="R359" s="226" t="s">
        <v>1254</v>
      </c>
      <c r="S359" s="195">
        <v>0</v>
      </c>
      <c r="T359" s="195" t="s">
        <v>1</v>
      </c>
      <c r="U359" s="195" t="s">
        <v>1</v>
      </c>
      <c r="V359" s="226">
        <v>660</v>
      </c>
      <c r="W359" s="226" t="s">
        <v>1254</v>
      </c>
      <c r="X359" s="195">
        <v>0</v>
      </c>
      <c r="Y359" s="195">
        <v>2</v>
      </c>
      <c r="Z359" s="195">
        <v>24</v>
      </c>
      <c r="AA359" s="226">
        <v>660</v>
      </c>
      <c r="AB359" s="227" t="s">
        <v>1</v>
      </c>
      <c r="AC359" s="197">
        <v>0</v>
      </c>
      <c r="AD359" s="195">
        <v>2</v>
      </c>
      <c r="AE359" s="195">
        <v>24</v>
      </c>
      <c r="AF359" s="226">
        <v>660</v>
      </c>
      <c r="AG359" s="228" t="s">
        <v>1</v>
      </c>
      <c r="AH359" s="198" t="s">
        <v>1</v>
      </c>
      <c r="AI359" s="209" t="s">
        <v>1</v>
      </c>
      <c r="AJ359" s="209" t="s">
        <v>1</v>
      </c>
      <c r="AK359" s="209" t="s">
        <v>1</v>
      </c>
      <c r="AL359" s="214" t="s">
        <v>1</v>
      </c>
      <c r="AM359" s="200" t="s">
        <v>1</v>
      </c>
      <c r="AN359" s="199" t="s">
        <v>1</v>
      </c>
      <c r="AO359" s="199" t="s">
        <v>1</v>
      </c>
      <c r="AP359" s="198" t="s">
        <v>1</v>
      </c>
      <c r="AQ359" s="198" t="s">
        <v>1</v>
      </c>
      <c r="AR359" s="201" t="s">
        <v>1</v>
      </c>
      <c r="AS359" s="201" t="s">
        <v>1</v>
      </c>
      <c r="AT359" s="199" t="s">
        <v>1</v>
      </c>
      <c r="AU359" s="199" t="s">
        <v>1</v>
      </c>
      <c r="AV359" s="202" t="s">
        <v>1</v>
      </c>
      <c r="AW359" s="199" t="s">
        <v>1</v>
      </c>
    </row>
    <row r="360" spans="1:49" ht="30.15" customHeight="1" x14ac:dyDescent="0.25">
      <c r="A360" s="213" t="s">
        <v>18</v>
      </c>
      <c r="B360" s="188" t="s">
        <v>1</v>
      </c>
      <c r="C360" s="212" t="s">
        <v>34</v>
      </c>
      <c r="D360" s="190" t="s">
        <v>3</v>
      </c>
      <c r="E360" s="190" t="s">
        <v>1165</v>
      </c>
      <c r="F360" s="203"/>
      <c r="G360" s="190" t="s">
        <v>1186</v>
      </c>
      <c r="H360" s="192" t="s">
        <v>409</v>
      </c>
      <c r="I360" s="193">
        <v>1866</v>
      </c>
      <c r="J360" s="193">
        <v>1914</v>
      </c>
      <c r="K360" s="193">
        <v>1914</v>
      </c>
      <c r="L360" s="193">
        <v>2016</v>
      </c>
      <c r="M360" s="194">
        <v>2016</v>
      </c>
      <c r="N360" s="195">
        <v>0</v>
      </c>
      <c r="O360" s="195" t="s">
        <v>1</v>
      </c>
      <c r="P360" s="195" t="s">
        <v>1</v>
      </c>
      <c r="Q360" s="226">
        <v>696</v>
      </c>
      <c r="R360" s="226" t="s">
        <v>1255</v>
      </c>
      <c r="S360" s="195">
        <v>0</v>
      </c>
      <c r="T360" s="195" t="s">
        <v>1</v>
      </c>
      <c r="U360" s="195" t="s">
        <v>1</v>
      </c>
      <c r="V360" s="226">
        <v>696</v>
      </c>
      <c r="W360" s="226" t="s">
        <v>1255</v>
      </c>
      <c r="X360" s="195">
        <v>0</v>
      </c>
      <c r="Y360" s="195">
        <v>2</v>
      </c>
      <c r="Z360" s="195">
        <v>24</v>
      </c>
      <c r="AA360" s="226">
        <v>696</v>
      </c>
      <c r="AB360" s="227" t="s">
        <v>1</v>
      </c>
      <c r="AC360" s="197">
        <v>0</v>
      </c>
      <c r="AD360" s="195">
        <v>2</v>
      </c>
      <c r="AE360" s="195">
        <v>24</v>
      </c>
      <c r="AF360" s="226">
        <v>696</v>
      </c>
      <c r="AG360" s="228" t="s">
        <v>1</v>
      </c>
      <c r="AH360" s="198" t="s">
        <v>1</v>
      </c>
      <c r="AI360" s="209" t="s">
        <v>1</v>
      </c>
      <c r="AJ360" s="209" t="s">
        <v>1</v>
      </c>
      <c r="AK360" s="209" t="s">
        <v>1</v>
      </c>
      <c r="AL360" s="214" t="s">
        <v>1</v>
      </c>
      <c r="AM360" s="200" t="s">
        <v>1</v>
      </c>
      <c r="AN360" s="199" t="s">
        <v>1</v>
      </c>
      <c r="AO360" s="199" t="s">
        <v>1</v>
      </c>
      <c r="AP360" s="198" t="s">
        <v>1</v>
      </c>
      <c r="AQ360" s="198" t="s">
        <v>1</v>
      </c>
      <c r="AR360" s="201" t="s">
        <v>1</v>
      </c>
      <c r="AS360" s="201" t="s">
        <v>1</v>
      </c>
      <c r="AT360" s="199" t="s">
        <v>1</v>
      </c>
      <c r="AU360" s="199" t="s">
        <v>1</v>
      </c>
      <c r="AV360" s="202" t="s">
        <v>1</v>
      </c>
      <c r="AW360" s="199" t="s">
        <v>1</v>
      </c>
    </row>
    <row r="361" spans="1:49" ht="30.15" customHeight="1" x14ac:dyDescent="0.25">
      <c r="A361" s="213" t="s">
        <v>18</v>
      </c>
      <c r="B361" s="188" t="s">
        <v>1</v>
      </c>
      <c r="C361" s="212" t="s">
        <v>34</v>
      </c>
      <c r="D361" s="190" t="s">
        <v>3</v>
      </c>
      <c r="E361" s="190" t="s">
        <v>1166</v>
      </c>
      <c r="F361" s="203"/>
      <c r="G361" s="190" t="s">
        <v>1186</v>
      </c>
      <c r="H361" s="192" t="s">
        <v>409</v>
      </c>
      <c r="I361" s="193">
        <v>1866</v>
      </c>
      <c r="J361" s="193">
        <v>1914</v>
      </c>
      <c r="K361" s="193">
        <v>1914</v>
      </c>
      <c r="L361" s="193">
        <v>2016</v>
      </c>
      <c r="M361" s="194">
        <v>2016</v>
      </c>
      <c r="N361" s="195">
        <v>0</v>
      </c>
      <c r="O361" s="195" t="s">
        <v>1</v>
      </c>
      <c r="P361" s="195" t="s">
        <v>1</v>
      </c>
      <c r="Q361" s="226">
        <v>696</v>
      </c>
      <c r="R361" s="226" t="s">
        <v>1255</v>
      </c>
      <c r="S361" s="195">
        <v>0</v>
      </c>
      <c r="T361" s="195" t="s">
        <v>1</v>
      </c>
      <c r="U361" s="195" t="s">
        <v>1</v>
      </c>
      <c r="V361" s="226">
        <v>696</v>
      </c>
      <c r="W361" s="226" t="s">
        <v>1255</v>
      </c>
      <c r="X361" s="195">
        <v>0</v>
      </c>
      <c r="Y361" s="195">
        <v>2</v>
      </c>
      <c r="Z361" s="195">
        <v>24</v>
      </c>
      <c r="AA361" s="226">
        <v>696</v>
      </c>
      <c r="AB361" s="227" t="s">
        <v>1</v>
      </c>
      <c r="AC361" s="197">
        <v>0</v>
      </c>
      <c r="AD361" s="195">
        <v>2</v>
      </c>
      <c r="AE361" s="195">
        <v>24</v>
      </c>
      <c r="AF361" s="226">
        <v>696</v>
      </c>
      <c r="AG361" s="228" t="s">
        <v>1</v>
      </c>
      <c r="AH361" s="198" t="s">
        <v>1</v>
      </c>
      <c r="AI361" s="209" t="s">
        <v>1</v>
      </c>
      <c r="AJ361" s="209" t="s">
        <v>1</v>
      </c>
      <c r="AK361" s="209" t="s">
        <v>1</v>
      </c>
      <c r="AL361" s="214" t="s">
        <v>1</v>
      </c>
      <c r="AM361" s="200" t="s">
        <v>1</v>
      </c>
      <c r="AN361" s="199" t="s">
        <v>1</v>
      </c>
      <c r="AO361" s="199" t="s">
        <v>1</v>
      </c>
      <c r="AP361" s="198" t="s">
        <v>1</v>
      </c>
      <c r="AQ361" s="198" t="s">
        <v>1</v>
      </c>
      <c r="AR361" s="201" t="s">
        <v>1</v>
      </c>
      <c r="AS361" s="201" t="s">
        <v>1</v>
      </c>
      <c r="AT361" s="199" t="s">
        <v>1</v>
      </c>
      <c r="AU361" s="199" t="s">
        <v>1</v>
      </c>
      <c r="AV361" s="202" t="s">
        <v>1</v>
      </c>
      <c r="AW361" s="199" t="s">
        <v>1</v>
      </c>
    </row>
    <row r="362" spans="1:49" ht="30.15" customHeight="1" x14ac:dyDescent="0.25">
      <c r="A362" s="213" t="s">
        <v>18</v>
      </c>
      <c r="B362" s="188" t="s">
        <v>1</v>
      </c>
      <c r="C362" s="212" t="s">
        <v>34</v>
      </c>
      <c r="D362" s="190" t="s">
        <v>3</v>
      </c>
      <c r="E362" s="190" t="s">
        <v>1167</v>
      </c>
      <c r="F362" s="203"/>
      <c r="G362" s="190" t="s">
        <v>1186</v>
      </c>
      <c r="H362" s="192" t="s">
        <v>409</v>
      </c>
      <c r="I362" s="193">
        <v>1866</v>
      </c>
      <c r="J362" s="193">
        <v>1914</v>
      </c>
      <c r="K362" s="193">
        <v>1914</v>
      </c>
      <c r="L362" s="193">
        <v>2016</v>
      </c>
      <c r="M362" s="194">
        <v>2016</v>
      </c>
      <c r="N362" s="195">
        <v>0</v>
      </c>
      <c r="O362" s="195" t="s">
        <v>1</v>
      </c>
      <c r="P362" s="195" t="s">
        <v>1</v>
      </c>
      <c r="Q362" s="226">
        <v>696</v>
      </c>
      <c r="R362" s="226" t="s">
        <v>1255</v>
      </c>
      <c r="S362" s="195">
        <v>0</v>
      </c>
      <c r="T362" s="195" t="s">
        <v>1</v>
      </c>
      <c r="U362" s="195" t="s">
        <v>1</v>
      </c>
      <c r="V362" s="226">
        <v>696</v>
      </c>
      <c r="W362" s="226" t="s">
        <v>1255</v>
      </c>
      <c r="X362" s="195">
        <v>0</v>
      </c>
      <c r="Y362" s="195">
        <v>2</v>
      </c>
      <c r="Z362" s="195">
        <v>24</v>
      </c>
      <c r="AA362" s="226">
        <v>696</v>
      </c>
      <c r="AB362" s="227" t="s">
        <v>1</v>
      </c>
      <c r="AC362" s="197">
        <v>0</v>
      </c>
      <c r="AD362" s="195">
        <v>2</v>
      </c>
      <c r="AE362" s="195">
        <v>24</v>
      </c>
      <c r="AF362" s="226">
        <v>696</v>
      </c>
      <c r="AG362" s="228" t="s">
        <v>1</v>
      </c>
      <c r="AH362" s="198" t="s">
        <v>1</v>
      </c>
      <c r="AI362" s="209" t="s">
        <v>1</v>
      </c>
      <c r="AJ362" s="209" t="s">
        <v>1</v>
      </c>
      <c r="AK362" s="209" t="s">
        <v>1</v>
      </c>
      <c r="AL362" s="214" t="s">
        <v>1</v>
      </c>
      <c r="AM362" s="200" t="s">
        <v>1</v>
      </c>
      <c r="AN362" s="199" t="s">
        <v>1</v>
      </c>
      <c r="AO362" s="199" t="s">
        <v>1</v>
      </c>
      <c r="AP362" s="198" t="s">
        <v>1</v>
      </c>
      <c r="AQ362" s="198" t="s">
        <v>1</v>
      </c>
      <c r="AR362" s="201" t="s">
        <v>1</v>
      </c>
      <c r="AS362" s="201" t="s">
        <v>1</v>
      </c>
      <c r="AT362" s="199" t="s">
        <v>1</v>
      </c>
      <c r="AU362" s="199" t="s">
        <v>1</v>
      </c>
      <c r="AV362" s="202" t="s">
        <v>1</v>
      </c>
      <c r="AW362" s="199" t="s">
        <v>1</v>
      </c>
    </row>
    <row r="363" spans="1:49" ht="30.15" customHeight="1" x14ac:dyDescent="0.25">
      <c r="A363" s="213" t="s">
        <v>18</v>
      </c>
      <c r="B363" s="188" t="s">
        <v>1</v>
      </c>
      <c r="C363" s="212" t="s">
        <v>34</v>
      </c>
      <c r="D363" s="190" t="s">
        <v>3</v>
      </c>
      <c r="E363" s="190" t="s">
        <v>1168</v>
      </c>
      <c r="F363" s="203"/>
      <c r="G363" s="190" t="s">
        <v>1186</v>
      </c>
      <c r="H363" s="192" t="s">
        <v>409</v>
      </c>
      <c r="I363" s="193">
        <v>1866</v>
      </c>
      <c r="J363" s="193">
        <v>1914</v>
      </c>
      <c r="K363" s="193">
        <v>1914</v>
      </c>
      <c r="L363" s="193">
        <v>2016</v>
      </c>
      <c r="M363" s="194">
        <v>2016</v>
      </c>
      <c r="N363" s="195">
        <v>0</v>
      </c>
      <c r="O363" s="195" t="s">
        <v>1</v>
      </c>
      <c r="P363" s="195" t="s">
        <v>1</v>
      </c>
      <c r="Q363" s="226">
        <v>696</v>
      </c>
      <c r="R363" s="226" t="s">
        <v>1255</v>
      </c>
      <c r="S363" s="195">
        <v>0</v>
      </c>
      <c r="T363" s="195" t="s">
        <v>1</v>
      </c>
      <c r="U363" s="195" t="s">
        <v>1</v>
      </c>
      <c r="V363" s="226">
        <v>696</v>
      </c>
      <c r="W363" s="226" t="s">
        <v>1255</v>
      </c>
      <c r="X363" s="195">
        <v>0</v>
      </c>
      <c r="Y363" s="195">
        <v>2</v>
      </c>
      <c r="Z363" s="195">
        <v>24</v>
      </c>
      <c r="AA363" s="226">
        <v>696</v>
      </c>
      <c r="AB363" s="227" t="s">
        <v>1</v>
      </c>
      <c r="AC363" s="197">
        <v>0</v>
      </c>
      <c r="AD363" s="195">
        <v>2</v>
      </c>
      <c r="AE363" s="195">
        <v>24</v>
      </c>
      <c r="AF363" s="226">
        <v>696</v>
      </c>
      <c r="AG363" s="228" t="s">
        <v>1</v>
      </c>
      <c r="AH363" s="198" t="s">
        <v>1</v>
      </c>
      <c r="AI363" s="209" t="s">
        <v>1</v>
      </c>
      <c r="AJ363" s="209" t="s">
        <v>1</v>
      </c>
      <c r="AK363" s="209" t="s">
        <v>1</v>
      </c>
      <c r="AL363" s="214" t="s">
        <v>1</v>
      </c>
      <c r="AM363" s="200" t="s">
        <v>1</v>
      </c>
      <c r="AN363" s="199" t="s">
        <v>1</v>
      </c>
      <c r="AO363" s="199" t="s">
        <v>1</v>
      </c>
      <c r="AP363" s="198" t="s">
        <v>1</v>
      </c>
      <c r="AQ363" s="198" t="s">
        <v>1</v>
      </c>
      <c r="AR363" s="201" t="s">
        <v>1</v>
      </c>
      <c r="AS363" s="201" t="s">
        <v>1</v>
      </c>
      <c r="AT363" s="199" t="s">
        <v>1</v>
      </c>
      <c r="AU363" s="199" t="s">
        <v>1</v>
      </c>
      <c r="AV363" s="202" t="s">
        <v>1</v>
      </c>
      <c r="AW363" s="199" t="s">
        <v>1</v>
      </c>
    </row>
    <row r="364" spans="1:49" ht="30.15" customHeight="1" x14ac:dyDescent="0.25">
      <c r="A364" s="213" t="s">
        <v>18</v>
      </c>
      <c r="B364" s="188" t="s">
        <v>1</v>
      </c>
      <c r="C364" s="212" t="s">
        <v>34</v>
      </c>
      <c r="D364" s="190" t="s">
        <v>3</v>
      </c>
      <c r="E364" s="190" t="s">
        <v>1169</v>
      </c>
      <c r="F364" s="203"/>
      <c r="G364" s="190" t="s">
        <v>1187</v>
      </c>
      <c r="H364" s="192" t="s">
        <v>409</v>
      </c>
      <c r="I364" s="193">
        <v>932</v>
      </c>
      <c r="J364" s="193">
        <v>955</v>
      </c>
      <c r="K364" s="193">
        <v>955</v>
      </c>
      <c r="L364" s="193">
        <v>1008</v>
      </c>
      <c r="M364" s="194">
        <v>1008</v>
      </c>
      <c r="N364" s="195">
        <v>0</v>
      </c>
      <c r="O364" s="195" t="s">
        <v>1</v>
      </c>
      <c r="P364" s="195" t="s">
        <v>1</v>
      </c>
      <c r="Q364" s="226">
        <v>432</v>
      </c>
      <c r="R364" s="226" t="s">
        <v>1252</v>
      </c>
      <c r="S364" s="195">
        <v>0</v>
      </c>
      <c r="T364" s="195" t="s">
        <v>1</v>
      </c>
      <c r="U364" s="195" t="s">
        <v>1</v>
      </c>
      <c r="V364" s="226">
        <v>432</v>
      </c>
      <c r="W364" s="226" t="s">
        <v>1252</v>
      </c>
      <c r="X364" s="195">
        <v>0</v>
      </c>
      <c r="Y364" s="195">
        <v>2</v>
      </c>
      <c r="Z364" s="195">
        <v>24</v>
      </c>
      <c r="AA364" s="226">
        <v>432</v>
      </c>
      <c r="AB364" s="227" t="s">
        <v>1</v>
      </c>
      <c r="AC364" s="197">
        <v>0</v>
      </c>
      <c r="AD364" s="195">
        <v>2</v>
      </c>
      <c r="AE364" s="195">
        <v>24</v>
      </c>
      <c r="AF364" s="226">
        <v>432</v>
      </c>
      <c r="AG364" s="228" t="s">
        <v>1</v>
      </c>
      <c r="AH364" s="198" t="s">
        <v>1</v>
      </c>
      <c r="AI364" s="209" t="s">
        <v>1</v>
      </c>
      <c r="AJ364" s="209" t="s">
        <v>1</v>
      </c>
      <c r="AK364" s="209" t="s">
        <v>1</v>
      </c>
      <c r="AL364" s="214" t="s">
        <v>1</v>
      </c>
      <c r="AM364" s="200" t="s">
        <v>1</v>
      </c>
      <c r="AN364" s="199" t="s">
        <v>1</v>
      </c>
      <c r="AO364" s="199" t="s">
        <v>1</v>
      </c>
      <c r="AP364" s="198" t="s">
        <v>1</v>
      </c>
      <c r="AQ364" s="198" t="s">
        <v>1</v>
      </c>
      <c r="AR364" s="201" t="s">
        <v>1</v>
      </c>
      <c r="AS364" s="201" t="s">
        <v>1</v>
      </c>
      <c r="AT364" s="199" t="s">
        <v>1</v>
      </c>
      <c r="AU364" s="199" t="s">
        <v>1</v>
      </c>
      <c r="AV364" s="202" t="s">
        <v>1</v>
      </c>
      <c r="AW364" s="199" t="s">
        <v>1</v>
      </c>
    </row>
    <row r="365" spans="1:49" ht="30.15" customHeight="1" x14ac:dyDescent="0.25">
      <c r="A365" s="213" t="s">
        <v>18</v>
      </c>
      <c r="B365" s="188" t="s">
        <v>1</v>
      </c>
      <c r="C365" s="212" t="s">
        <v>34</v>
      </c>
      <c r="D365" s="190" t="s">
        <v>3</v>
      </c>
      <c r="E365" s="190" t="s">
        <v>1170</v>
      </c>
      <c r="F365" s="203"/>
      <c r="G365" s="190" t="s">
        <v>1187</v>
      </c>
      <c r="H365" s="192" t="s">
        <v>409</v>
      </c>
      <c r="I365" s="193">
        <v>932</v>
      </c>
      <c r="J365" s="193">
        <v>955</v>
      </c>
      <c r="K365" s="193">
        <v>955</v>
      </c>
      <c r="L365" s="193">
        <v>1008</v>
      </c>
      <c r="M365" s="194">
        <v>1008</v>
      </c>
      <c r="N365" s="195">
        <v>0</v>
      </c>
      <c r="O365" s="195" t="s">
        <v>1</v>
      </c>
      <c r="P365" s="195" t="s">
        <v>1</v>
      </c>
      <c r="Q365" s="226">
        <v>432</v>
      </c>
      <c r="R365" s="226" t="s">
        <v>1252</v>
      </c>
      <c r="S365" s="195">
        <v>0</v>
      </c>
      <c r="T365" s="195" t="s">
        <v>1</v>
      </c>
      <c r="U365" s="195" t="s">
        <v>1</v>
      </c>
      <c r="V365" s="226">
        <v>432</v>
      </c>
      <c r="W365" s="226" t="s">
        <v>1252</v>
      </c>
      <c r="X365" s="195">
        <v>0</v>
      </c>
      <c r="Y365" s="195">
        <v>2</v>
      </c>
      <c r="Z365" s="195">
        <v>24</v>
      </c>
      <c r="AA365" s="226">
        <v>432</v>
      </c>
      <c r="AB365" s="227" t="s">
        <v>1</v>
      </c>
      <c r="AC365" s="197">
        <v>0</v>
      </c>
      <c r="AD365" s="195">
        <v>2</v>
      </c>
      <c r="AE365" s="195">
        <v>24</v>
      </c>
      <c r="AF365" s="226">
        <v>432</v>
      </c>
      <c r="AG365" s="228" t="s">
        <v>1</v>
      </c>
      <c r="AH365" s="198" t="s">
        <v>1</v>
      </c>
      <c r="AI365" s="209" t="s">
        <v>1</v>
      </c>
      <c r="AJ365" s="209" t="s">
        <v>1</v>
      </c>
      <c r="AK365" s="209" t="s">
        <v>1</v>
      </c>
      <c r="AL365" s="214" t="s">
        <v>1</v>
      </c>
      <c r="AM365" s="200" t="s">
        <v>1</v>
      </c>
      <c r="AN365" s="199" t="s">
        <v>1</v>
      </c>
      <c r="AO365" s="199" t="s">
        <v>1</v>
      </c>
      <c r="AP365" s="198" t="s">
        <v>1</v>
      </c>
      <c r="AQ365" s="198" t="s">
        <v>1</v>
      </c>
      <c r="AR365" s="201" t="s">
        <v>1</v>
      </c>
      <c r="AS365" s="201" t="s">
        <v>1</v>
      </c>
      <c r="AT365" s="199" t="s">
        <v>1</v>
      </c>
      <c r="AU365" s="199" t="s">
        <v>1</v>
      </c>
      <c r="AV365" s="202" t="s">
        <v>1</v>
      </c>
      <c r="AW365" s="199" t="s">
        <v>1</v>
      </c>
    </row>
    <row r="366" spans="1:49" ht="30.15" customHeight="1" x14ac:dyDescent="0.25">
      <c r="A366" s="213" t="s">
        <v>18</v>
      </c>
      <c r="B366" s="188" t="s">
        <v>1</v>
      </c>
      <c r="C366" s="212" t="s">
        <v>34</v>
      </c>
      <c r="D366" s="190" t="s">
        <v>3</v>
      </c>
      <c r="E366" s="190" t="s">
        <v>1171</v>
      </c>
      <c r="F366" s="203"/>
      <c r="G366" s="190" t="s">
        <v>1187</v>
      </c>
      <c r="H366" s="192" t="s">
        <v>409</v>
      </c>
      <c r="I366" s="193">
        <v>932</v>
      </c>
      <c r="J366" s="193">
        <v>955</v>
      </c>
      <c r="K366" s="193">
        <v>955</v>
      </c>
      <c r="L366" s="193">
        <v>1008</v>
      </c>
      <c r="M366" s="194">
        <v>1008</v>
      </c>
      <c r="N366" s="195">
        <v>0</v>
      </c>
      <c r="O366" s="195" t="s">
        <v>1</v>
      </c>
      <c r="P366" s="195" t="s">
        <v>1</v>
      </c>
      <c r="Q366" s="226">
        <v>432</v>
      </c>
      <c r="R366" s="226" t="s">
        <v>1252</v>
      </c>
      <c r="S366" s="195">
        <v>0</v>
      </c>
      <c r="T366" s="195" t="s">
        <v>1</v>
      </c>
      <c r="U366" s="195" t="s">
        <v>1</v>
      </c>
      <c r="V366" s="226">
        <v>432</v>
      </c>
      <c r="W366" s="226" t="s">
        <v>1252</v>
      </c>
      <c r="X366" s="195">
        <v>0</v>
      </c>
      <c r="Y366" s="195">
        <v>2</v>
      </c>
      <c r="Z366" s="195">
        <v>24</v>
      </c>
      <c r="AA366" s="226">
        <v>432</v>
      </c>
      <c r="AB366" s="227" t="s">
        <v>1</v>
      </c>
      <c r="AC366" s="197">
        <v>0</v>
      </c>
      <c r="AD366" s="195">
        <v>2</v>
      </c>
      <c r="AE366" s="195">
        <v>24</v>
      </c>
      <c r="AF366" s="226">
        <v>432</v>
      </c>
      <c r="AG366" s="228" t="s">
        <v>1</v>
      </c>
      <c r="AH366" s="198" t="s">
        <v>1</v>
      </c>
      <c r="AI366" s="209" t="s">
        <v>1</v>
      </c>
      <c r="AJ366" s="209" t="s">
        <v>1</v>
      </c>
      <c r="AK366" s="209" t="s">
        <v>1</v>
      </c>
      <c r="AL366" s="214" t="s">
        <v>1</v>
      </c>
      <c r="AM366" s="200" t="s">
        <v>1</v>
      </c>
      <c r="AN366" s="199" t="s">
        <v>1</v>
      </c>
      <c r="AO366" s="199" t="s">
        <v>1</v>
      </c>
      <c r="AP366" s="198" t="s">
        <v>1</v>
      </c>
      <c r="AQ366" s="198" t="s">
        <v>1</v>
      </c>
      <c r="AR366" s="201" t="s">
        <v>1</v>
      </c>
      <c r="AS366" s="201" t="s">
        <v>1</v>
      </c>
      <c r="AT366" s="199" t="s">
        <v>1</v>
      </c>
      <c r="AU366" s="199" t="s">
        <v>1</v>
      </c>
      <c r="AV366" s="202" t="s">
        <v>1</v>
      </c>
      <c r="AW366" s="199" t="s">
        <v>1</v>
      </c>
    </row>
    <row r="367" spans="1:49" ht="30.15" customHeight="1" x14ac:dyDescent="0.25">
      <c r="A367" s="213" t="s">
        <v>18</v>
      </c>
      <c r="B367" s="188" t="s">
        <v>1</v>
      </c>
      <c r="C367" s="212" t="s">
        <v>34</v>
      </c>
      <c r="D367" s="190" t="s">
        <v>3</v>
      </c>
      <c r="E367" s="190" t="s">
        <v>1172</v>
      </c>
      <c r="F367" s="203"/>
      <c r="G367" s="190" t="s">
        <v>1187</v>
      </c>
      <c r="H367" s="192" t="s">
        <v>409</v>
      </c>
      <c r="I367" s="193">
        <v>932</v>
      </c>
      <c r="J367" s="193">
        <v>955</v>
      </c>
      <c r="K367" s="193">
        <v>955</v>
      </c>
      <c r="L367" s="193">
        <v>1008</v>
      </c>
      <c r="M367" s="194">
        <v>1008</v>
      </c>
      <c r="N367" s="195">
        <v>0</v>
      </c>
      <c r="O367" s="195" t="s">
        <v>1</v>
      </c>
      <c r="P367" s="195" t="s">
        <v>1</v>
      </c>
      <c r="Q367" s="226">
        <v>432</v>
      </c>
      <c r="R367" s="226" t="s">
        <v>1252</v>
      </c>
      <c r="S367" s="195">
        <v>0</v>
      </c>
      <c r="T367" s="195" t="s">
        <v>1</v>
      </c>
      <c r="U367" s="195" t="s">
        <v>1</v>
      </c>
      <c r="V367" s="226">
        <v>432</v>
      </c>
      <c r="W367" s="226" t="s">
        <v>1252</v>
      </c>
      <c r="X367" s="195">
        <v>0</v>
      </c>
      <c r="Y367" s="195">
        <v>2</v>
      </c>
      <c r="Z367" s="195">
        <v>24</v>
      </c>
      <c r="AA367" s="226">
        <v>432</v>
      </c>
      <c r="AB367" s="227" t="s">
        <v>1</v>
      </c>
      <c r="AC367" s="197">
        <v>0</v>
      </c>
      <c r="AD367" s="195">
        <v>2</v>
      </c>
      <c r="AE367" s="195">
        <v>24</v>
      </c>
      <c r="AF367" s="226">
        <v>432</v>
      </c>
      <c r="AG367" s="228" t="s">
        <v>1</v>
      </c>
      <c r="AH367" s="198" t="s">
        <v>1</v>
      </c>
      <c r="AI367" s="209" t="s">
        <v>1</v>
      </c>
      <c r="AJ367" s="209" t="s">
        <v>1</v>
      </c>
      <c r="AK367" s="209" t="s">
        <v>1</v>
      </c>
      <c r="AL367" s="214" t="s">
        <v>1</v>
      </c>
      <c r="AM367" s="200" t="s">
        <v>1</v>
      </c>
      <c r="AN367" s="199" t="s">
        <v>1</v>
      </c>
      <c r="AO367" s="199" t="s">
        <v>1</v>
      </c>
      <c r="AP367" s="198" t="s">
        <v>1</v>
      </c>
      <c r="AQ367" s="198" t="s">
        <v>1</v>
      </c>
      <c r="AR367" s="201" t="s">
        <v>1</v>
      </c>
      <c r="AS367" s="201" t="s">
        <v>1</v>
      </c>
      <c r="AT367" s="199" t="s">
        <v>1</v>
      </c>
      <c r="AU367" s="199" t="s">
        <v>1</v>
      </c>
      <c r="AV367" s="202" t="s">
        <v>1</v>
      </c>
      <c r="AW367" s="199" t="s">
        <v>1</v>
      </c>
    </row>
    <row r="368" spans="1:49" ht="30.15" customHeight="1" x14ac:dyDescent="0.25">
      <c r="A368" s="213" t="s">
        <v>18</v>
      </c>
      <c r="B368" s="188" t="s">
        <v>1</v>
      </c>
      <c r="C368" s="212" t="s">
        <v>34</v>
      </c>
      <c r="D368" s="190" t="s">
        <v>3</v>
      </c>
      <c r="E368" s="190" t="s">
        <v>1173</v>
      </c>
      <c r="F368" s="203"/>
      <c r="G368" s="190" t="s">
        <v>1187</v>
      </c>
      <c r="H368" s="192" t="s">
        <v>409</v>
      </c>
      <c r="I368" s="193">
        <v>932</v>
      </c>
      <c r="J368" s="193">
        <v>955</v>
      </c>
      <c r="K368" s="193">
        <v>955</v>
      </c>
      <c r="L368" s="193">
        <v>1008</v>
      </c>
      <c r="M368" s="194">
        <v>1008</v>
      </c>
      <c r="N368" s="195">
        <v>0</v>
      </c>
      <c r="O368" s="195" t="s">
        <v>1</v>
      </c>
      <c r="P368" s="195" t="s">
        <v>1</v>
      </c>
      <c r="Q368" s="226">
        <v>432</v>
      </c>
      <c r="R368" s="226" t="s">
        <v>1252</v>
      </c>
      <c r="S368" s="195">
        <v>0</v>
      </c>
      <c r="T368" s="195" t="s">
        <v>1</v>
      </c>
      <c r="U368" s="195" t="s">
        <v>1</v>
      </c>
      <c r="V368" s="226">
        <v>432</v>
      </c>
      <c r="W368" s="226" t="s">
        <v>1252</v>
      </c>
      <c r="X368" s="195">
        <v>0</v>
      </c>
      <c r="Y368" s="195">
        <v>2</v>
      </c>
      <c r="Z368" s="195">
        <v>24</v>
      </c>
      <c r="AA368" s="226">
        <v>432</v>
      </c>
      <c r="AB368" s="227" t="s">
        <v>1</v>
      </c>
      <c r="AC368" s="197">
        <v>0</v>
      </c>
      <c r="AD368" s="195">
        <v>2</v>
      </c>
      <c r="AE368" s="195">
        <v>24</v>
      </c>
      <c r="AF368" s="226">
        <v>432</v>
      </c>
      <c r="AG368" s="228" t="s">
        <v>1</v>
      </c>
      <c r="AH368" s="198" t="s">
        <v>1</v>
      </c>
      <c r="AI368" s="209" t="s">
        <v>1</v>
      </c>
      <c r="AJ368" s="209" t="s">
        <v>1</v>
      </c>
      <c r="AK368" s="209" t="s">
        <v>1</v>
      </c>
      <c r="AL368" s="214" t="s">
        <v>1</v>
      </c>
      <c r="AM368" s="200" t="s">
        <v>1</v>
      </c>
      <c r="AN368" s="199" t="s">
        <v>1</v>
      </c>
      <c r="AO368" s="199" t="s">
        <v>1</v>
      </c>
      <c r="AP368" s="198" t="s">
        <v>1</v>
      </c>
      <c r="AQ368" s="198" t="s">
        <v>1</v>
      </c>
      <c r="AR368" s="201" t="s">
        <v>1</v>
      </c>
      <c r="AS368" s="201" t="s">
        <v>1</v>
      </c>
      <c r="AT368" s="199" t="s">
        <v>1</v>
      </c>
      <c r="AU368" s="199" t="s">
        <v>1</v>
      </c>
      <c r="AV368" s="202" t="s">
        <v>1</v>
      </c>
      <c r="AW368" s="199" t="s">
        <v>1</v>
      </c>
    </row>
    <row r="369" spans="1:49" ht="30.15" customHeight="1" x14ac:dyDescent="0.25">
      <c r="A369" s="213" t="s">
        <v>18</v>
      </c>
      <c r="B369" s="188" t="s">
        <v>1</v>
      </c>
      <c r="C369" s="212" t="s">
        <v>34</v>
      </c>
      <c r="D369" s="190" t="s">
        <v>3</v>
      </c>
      <c r="E369" s="190" t="s">
        <v>1247</v>
      </c>
      <c r="F369" s="203"/>
      <c r="G369" s="190" t="s">
        <v>1187</v>
      </c>
      <c r="H369" s="192" t="s">
        <v>409</v>
      </c>
      <c r="I369" s="193">
        <v>932</v>
      </c>
      <c r="J369" s="193">
        <v>955</v>
      </c>
      <c r="K369" s="193">
        <v>955</v>
      </c>
      <c r="L369" s="193">
        <v>1008</v>
      </c>
      <c r="M369" s="194">
        <v>1008</v>
      </c>
      <c r="N369" s="195">
        <v>0</v>
      </c>
      <c r="O369" s="195" t="s">
        <v>1</v>
      </c>
      <c r="P369" s="195" t="s">
        <v>1</v>
      </c>
      <c r="Q369" s="226">
        <v>432</v>
      </c>
      <c r="R369" s="226" t="s">
        <v>1252</v>
      </c>
      <c r="S369" s="195">
        <v>0</v>
      </c>
      <c r="T369" s="195" t="s">
        <v>1</v>
      </c>
      <c r="U369" s="195" t="s">
        <v>1</v>
      </c>
      <c r="V369" s="226">
        <v>432</v>
      </c>
      <c r="W369" s="226" t="s">
        <v>1252</v>
      </c>
      <c r="X369" s="195">
        <v>0</v>
      </c>
      <c r="Y369" s="195">
        <v>2</v>
      </c>
      <c r="Z369" s="195">
        <v>24</v>
      </c>
      <c r="AA369" s="226">
        <v>432</v>
      </c>
      <c r="AB369" s="227" t="s">
        <v>1</v>
      </c>
      <c r="AC369" s="197">
        <v>0</v>
      </c>
      <c r="AD369" s="195">
        <v>2</v>
      </c>
      <c r="AE369" s="195">
        <v>24</v>
      </c>
      <c r="AF369" s="226">
        <v>432</v>
      </c>
      <c r="AG369" s="228" t="s">
        <v>1</v>
      </c>
      <c r="AH369" s="198" t="s">
        <v>1</v>
      </c>
      <c r="AI369" s="209" t="s">
        <v>1</v>
      </c>
      <c r="AJ369" s="209" t="s">
        <v>1</v>
      </c>
      <c r="AK369" s="209" t="s">
        <v>1</v>
      </c>
      <c r="AL369" s="214" t="s">
        <v>1</v>
      </c>
      <c r="AM369" s="200" t="s">
        <v>1</v>
      </c>
      <c r="AN369" s="199" t="s">
        <v>1</v>
      </c>
      <c r="AO369" s="199" t="s">
        <v>1</v>
      </c>
      <c r="AP369" s="198" t="s">
        <v>1</v>
      </c>
      <c r="AQ369" s="198" t="s">
        <v>1</v>
      </c>
      <c r="AR369" s="201" t="s">
        <v>1</v>
      </c>
      <c r="AS369" s="201" t="s">
        <v>1</v>
      </c>
      <c r="AT369" s="199" t="s">
        <v>1</v>
      </c>
      <c r="AU369" s="199" t="s">
        <v>1</v>
      </c>
      <c r="AV369" s="202" t="s">
        <v>1</v>
      </c>
      <c r="AW369" s="199" t="s">
        <v>1</v>
      </c>
    </row>
    <row r="370" spans="1:49" ht="30.15" customHeight="1" x14ac:dyDescent="0.25">
      <c r="A370" s="213" t="s">
        <v>18</v>
      </c>
      <c r="B370" s="188" t="s">
        <v>1</v>
      </c>
      <c r="C370" s="212" t="s">
        <v>34</v>
      </c>
      <c r="D370" s="190" t="s">
        <v>3</v>
      </c>
      <c r="E370" s="190" t="s">
        <v>1174</v>
      </c>
      <c r="F370" s="203"/>
      <c r="G370" s="190" t="s">
        <v>1188</v>
      </c>
      <c r="H370" s="192" t="s">
        <v>409</v>
      </c>
      <c r="I370" s="193">
        <v>999</v>
      </c>
      <c r="J370" s="193">
        <v>1021</v>
      </c>
      <c r="K370" s="193">
        <v>1021</v>
      </c>
      <c r="L370" s="193">
        <v>1080</v>
      </c>
      <c r="M370" s="194">
        <v>1080</v>
      </c>
      <c r="N370" s="195">
        <v>0</v>
      </c>
      <c r="O370" s="195" t="s">
        <v>1</v>
      </c>
      <c r="P370" s="195" t="s">
        <v>1</v>
      </c>
      <c r="Q370" s="226">
        <v>444</v>
      </c>
      <c r="R370" s="226" t="s">
        <v>1252</v>
      </c>
      <c r="S370" s="195">
        <v>0</v>
      </c>
      <c r="T370" s="195" t="s">
        <v>1</v>
      </c>
      <c r="U370" s="195" t="s">
        <v>1</v>
      </c>
      <c r="V370" s="226">
        <v>444</v>
      </c>
      <c r="W370" s="226" t="s">
        <v>1252</v>
      </c>
      <c r="X370" s="195">
        <v>0</v>
      </c>
      <c r="Y370" s="195">
        <v>1.5</v>
      </c>
      <c r="Z370" s="195">
        <v>24</v>
      </c>
      <c r="AA370" s="226">
        <v>444</v>
      </c>
      <c r="AB370" s="227" t="s">
        <v>1</v>
      </c>
      <c r="AC370" s="197">
        <v>0</v>
      </c>
      <c r="AD370" s="195">
        <v>1.5</v>
      </c>
      <c r="AE370" s="195">
        <v>24</v>
      </c>
      <c r="AF370" s="226">
        <v>444</v>
      </c>
      <c r="AG370" s="228" t="s">
        <v>1</v>
      </c>
      <c r="AH370" s="198" t="s">
        <v>1</v>
      </c>
      <c r="AI370" s="209" t="s">
        <v>1</v>
      </c>
      <c r="AJ370" s="209" t="s">
        <v>1</v>
      </c>
      <c r="AK370" s="209" t="s">
        <v>1</v>
      </c>
      <c r="AL370" s="214" t="s">
        <v>1</v>
      </c>
      <c r="AM370" s="200" t="s">
        <v>1</v>
      </c>
      <c r="AN370" s="199" t="s">
        <v>1</v>
      </c>
      <c r="AO370" s="199" t="s">
        <v>1</v>
      </c>
      <c r="AP370" s="198" t="s">
        <v>1</v>
      </c>
      <c r="AQ370" s="198" t="s">
        <v>1</v>
      </c>
      <c r="AR370" s="201" t="s">
        <v>1</v>
      </c>
      <c r="AS370" s="201" t="s">
        <v>1</v>
      </c>
      <c r="AT370" s="199" t="s">
        <v>1</v>
      </c>
      <c r="AU370" s="199" t="s">
        <v>1</v>
      </c>
      <c r="AV370" s="202" t="s">
        <v>1</v>
      </c>
      <c r="AW370" s="199" t="s">
        <v>1</v>
      </c>
    </row>
    <row r="371" spans="1:49" ht="30.15" customHeight="1" x14ac:dyDescent="0.25">
      <c r="A371" s="213" t="s">
        <v>18</v>
      </c>
      <c r="B371" s="188" t="s">
        <v>1</v>
      </c>
      <c r="C371" s="212" t="s">
        <v>34</v>
      </c>
      <c r="D371" s="190" t="s">
        <v>3</v>
      </c>
      <c r="E371" s="190" t="s">
        <v>1175</v>
      </c>
      <c r="F371" s="203"/>
      <c r="G371" s="190" t="s">
        <v>1188</v>
      </c>
      <c r="H371" s="192" t="s">
        <v>409</v>
      </c>
      <c r="I371" s="193">
        <v>999</v>
      </c>
      <c r="J371" s="193">
        <v>1021</v>
      </c>
      <c r="K371" s="193">
        <v>1021</v>
      </c>
      <c r="L371" s="193">
        <v>1080</v>
      </c>
      <c r="M371" s="194">
        <v>1080</v>
      </c>
      <c r="N371" s="195">
        <v>0</v>
      </c>
      <c r="O371" s="195" t="s">
        <v>1</v>
      </c>
      <c r="P371" s="195" t="s">
        <v>1</v>
      </c>
      <c r="Q371" s="226">
        <v>444</v>
      </c>
      <c r="R371" s="226" t="s">
        <v>1252</v>
      </c>
      <c r="S371" s="195">
        <v>0</v>
      </c>
      <c r="T371" s="195" t="s">
        <v>1</v>
      </c>
      <c r="U371" s="195" t="s">
        <v>1</v>
      </c>
      <c r="V371" s="226">
        <v>444</v>
      </c>
      <c r="W371" s="226" t="s">
        <v>1252</v>
      </c>
      <c r="X371" s="195">
        <v>0</v>
      </c>
      <c r="Y371" s="195">
        <v>1.5</v>
      </c>
      <c r="Z371" s="195">
        <v>24</v>
      </c>
      <c r="AA371" s="226">
        <v>444</v>
      </c>
      <c r="AB371" s="227" t="s">
        <v>1</v>
      </c>
      <c r="AC371" s="197">
        <v>0</v>
      </c>
      <c r="AD371" s="195">
        <v>1.5</v>
      </c>
      <c r="AE371" s="195">
        <v>24</v>
      </c>
      <c r="AF371" s="226">
        <v>444</v>
      </c>
      <c r="AG371" s="228" t="s">
        <v>1</v>
      </c>
      <c r="AH371" s="198" t="s">
        <v>1</v>
      </c>
      <c r="AI371" s="209" t="s">
        <v>1</v>
      </c>
      <c r="AJ371" s="209" t="s">
        <v>1</v>
      </c>
      <c r="AK371" s="209" t="s">
        <v>1</v>
      </c>
      <c r="AL371" s="214" t="s">
        <v>1</v>
      </c>
      <c r="AM371" s="200" t="s">
        <v>1</v>
      </c>
      <c r="AN371" s="199" t="s">
        <v>1</v>
      </c>
      <c r="AO371" s="199" t="s">
        <v>1</v>
      </c>
      <c r="AP371" s="198" t="s">
        <v>1</v>
      </c>
      <c r="AQ371" s="198" t="s">
        <v>1</v>
      </c>
      <c r="AR371" s="201" t="s">
        <v>1</v>
      </c>
      <c r="AS371" s="201" t="s">
        <v>1</v>
      </c>
      <c r="AT371" s="199" t="s">
        <v>1</v>
      </c>
      <c r="AU371" s="199" t="s">
        <v>1</v>
      </c>
      <c r="AV371" s="202" t="s">
        <v>1</v>
      </c>
      <c r="AW371" s="199" t="s">
        <v>1</v>
      </c>
    </row>
    <row r="372" spans="1:49" ht="30.15" customHeight="1" x14ac:dyDescent="0.25">
      <c r="A372" s="213" t="s">
        <v>18</v>
      </c>
      <c r="B372" s="188" t="s">
        <v>1</v>
      </c>
      <c r="C372" s="212" t="s">
        <v>34</v>
      </c>
      <c r="D372" s="190" t="s">
        <v>3</v>
      </c>
      <c r="E372" s="190" t="s">
        <v>1176</v>
      </c>
      <c r="F372" s="203"/>
      <c r="G372" s="190" t="s">
        <v>1188</v>
      </c>
      <c r="H372" s="192" t="s">
        <v>409</v>
      </c>
      <c r="I372" s="193">
        <v>999</v>
      </c>
      <c r="J372" s="193">
        <v>1021</v>
      </c>
      <c r="K372" s="193">
        <v>1021</v>
      </c>
      <c r="L372" s="193">
        <v>1080</v>
      </c>
      <c r="M372" s="194">
        <v>1080</v>
      </c>
      <c r="N372" s="195">
        <v>0</v>
      </c>
      <c r="O372" s="195" t="s">
        <v>1</v>
      </c>
      <c r="P372" s="195" t="s">
        <v>1</v>
      </c>
      <c r="Q372" s="226">
        <v>444</v>
      </c>
      <c r="R372" s="226" t="s">
        <v>1252</v>
      </c>
      <c r="S372" s="195">
        <v>0</v>
      </c>
      <c r="T372" s="195" t="s">
        <v>1</v>
      </c>
      <c r="U372" s="195" t="s">
        <v>1</v>
      </c>
      <c r="V372" s="226">
        <v>444</v>
      </c>
      <c r="W372" s="226" t="s">
        <v>1252</v>
      </c>
      <c r="X372" s="195">
        <v>0</v>
      </c>
      <c r="Y372" s="195">
        <v>1.5</v>
      </c>
      <c r="Z372" s="195">
        <v>24</v>
      </c>
      <c r="AA372" s="226">
        <v>444</v>
      </c>
      <c r="AB372" s="227" t="s">
        <v>1</v>
      </c>
      <c r="AC372" s="197">
        <v>0</v>
      </c>
      <c r="AD372" s="195">
        <v>1.5</v>
      </c>
      <c r="AE372" s="195">
        <v>24</v>
      </c>
      <c r="AF372" s="226">
        <v>444</v>
      </c>
      <c r="AG372" s="228" t="s">
        <v>1</v>
      </c>
      <c r="AH372" s="198" t="s">
        <v>1</v>
      </c>
      <c r="AI372" s="209" t="s">
        <v>1</v>
      </c>
      <c r="AJ372" s="209" t="s">
        <v>1</v>
      </c>
      <c r="AK372" s="209" t="s">
        <v>1</v>
      </c>
      <c r="AL372" s="214" t="s">
        <v>1</v>
      </c>
      <c r="AM372" s="200" t="s">
        <v>1</v>
      </c>
      <c r="AN372" s="199" t="s">
        <v>1</v>
      </c>
      <c r="AO372" s="199" t="s">
        <v>1</v>
      </c>
      <c r="AP372" s="198" t="s">
        <v>1</v>
      </c>
      <c r="AQ372" s="198" t="s">
        <v>1</v>
      </c>
      <c r="AR372" s="201" t="s">
        <v>1</v>
      </c>
      <c r="AS372" s="201" t="s">
        <v>1</v>
      </c>
      <c r="AT372" s="199" t="s">
        <v>1</v>
      </c>
      <c r="AU372" s="199" t="s">
        <v>1</v>
      </c>
      <c r="AV372" s="202" t="s">
        <v>1</v>
      </c>
      <c r="AW372" s="199" t="s">
        <v>1</v>
      </c>
    </row>
    <row r="373" spans="1:49" ht="30.15" customHeight="1" x14ac:dyDescent="0.25">
      <c r="A373" s="213" t="s">
        <v>18</v>
      </c>
      <c r="B373" s="188" t="s">
        <v>1</v>
      </c>
      <c r="C373" s="212" t="s">
        <v>34</v>
      </c>
      <c r="D373" s="190" t="s">
        <v>3</v>
      </c>
      <c r="E373" s="190" t="s">
        <v>1177</v>
      </c>
      <c r="F373" s="203"/>
      <c r="G373" s="190" t="s">
        <v>1188</v>
      </c>
      <c r="H373" s="192" t="s">
        <v>409</v>
      </c>
      <c r="I373" s="193">
        <v>999</v>
      </c>
      <c r="J373" s="193">
        <v>1021</v>
      </c>
      <c r="K373" s="193">
        <v>1021</v>
      </c>
      <c r="L373" s="193">
        <v>1080</v>
      </c>
      <c r="M373" s="194">
        <v>1080</v>
      </c>
      <c r="N373" s="195">
        <v>0</v>
      </c>
      <c r="O373" s="195" t="s">
        <v>1</v>
      </c>
      <c r="P373" s="195" t="s">
        <v>1</v>
      </c>
      <c r="Q373" s="226">
        <v>444</v>
      </c>
      <c r="R373" s="226" t="s">
        <v>1252</v>
      </c>
      <c r="S373" s="195">
        <v>0</v>
      </c>
      <c r="T373" s="195" t="s">
        <v>1</v>
      </c>
      <c r="U373" s="195" t="s">
        <v>1</v>
      </c>
      <c r="V373" s="226">
        <v>444</v>
      </c>
      <c r="W373" s="226" t="s">
        <v>1252</v>
      </c>
      <c r="X373" s="195">
        <v>0</v>
      </c>
      <c r="Y373" s="195">
        <v>1.5</v>
      </c>
      <c r="Z373" s="195">
        <v>24</v>
      </c>
      <c r="AA373" s="226">
        <v>444</v>
      </c>
      <c r="AB373" s="227" t="s">
        <v>1</v>
      </c>
      <c r="AC373" s="197">
        <v>0</v>
      </c>
      <c r="AD373" s="195">
        <v>1.5</v>
      </c>
      <c r="AE373" s="195">
        <v>24</v>
      </c>
      <c r="AF373" s="226">
        <v>444</v>
      </c>
      <c r="AG373" s="228" t="s">
        <v>1</v>
      </c>
      <c r="AH373" s="198" t="s">
        <v>1</v>
      </c>
      <c r="AI373" s="209" t="s">
        <v>1</v>
      </c>
      <c r="AJ373" s="209" t="s">
        <v>1</v>
      </c>
      <c r="AK373" s="209" t="s">
        <v>1</v>
      </c>
      <c r="AL373" s="214" t="s">
        <v>1</v>
      </c>
      <c r="AM373" s="200" t="s">
        <v>1</v>
      </c>
      <c r="AN373" s="199" t="s">
        <v>1</v>
      </c>
      <c r="AO373" s="199" t="s">
        <v>1</v>
      </c>
      <c r="AP373" s="198" t="s">
        <v>1</v>
      </c>
      <c r="AQ373" s="198" t="s">
        <v>1</v>
      </c>
      <c r="AR373" s="201" t="s">
        <v>1</v>
      </c>
      <c r="AS373" s="201" t="s">
        <v>1</v>
      </c>
      <c r="AT373" s="199" t="s">
        <v>1</v>
      </c>
      <c r="AU373" s="199" t="s">
        <v>1</v>
      </c>
      <c r="AV373" s="202" t="s">
        <v>1</v>
      </c>
      <c r="AW373" s="199" t="s">
        <v>1</v>
      </c>
    </row>
    <row r="374" spans="1:49" ht="30.15" customHeight="1" x14ac:dyDescent="0.25">
      <c r="A374" s="213" t="s">
        <v>18</v>
      </c>
      <c r="B374" s="188" t="s">
        <v>1</v>
      </c>
      <c r="C374" s="212" t="s">
        <v>34</v>
      </c>
      <c r="D374" s="190" t="s">
        <v>3</v>
      </c>
      <c r="E374" s="190" t="s">
        <v>1178</v>
      </c>
      <c r="F374" s="203"/>
      <c r="G374" s="190" t="s">
        <v>1188</v>
      </c>
      <c r="H374" s="192" t="s">
        <v>409</v>
      </c>
      <c r="I374" s="193">
        <v>999</v>
      </c>
      <c r="J374" s="193">
        <v>1021</v>
      </c>
      <c r="K374" s="193">
        <v>1021</v>
      </c>
      <c r="L374" s="193">
        <v>1080</v>
      </c>
      <c r="M374" s="194">
        <v>1080</v>
      </c>
      <c r="N374" s="195">
        <v>0</v>
      </c>
      <c r="O374" s="195" t="s">
        <v>1</v>
      </c>
      <c r="P374" s="195" t="s">
        <v>1</v>
      </c>
      <c r="Q374" s="226">
        <v>444</v>
      </c>
      <c r="R374" s="226" t="s">
        <v>1252</v>
      </c>
      <c r="S374" s="195">
        <v>0</v>
      </c>
      <c r="T374" s="195" t="s">
        <v>1</v>
      </c>
      <c r="U374" s="195" t="s">
        <v>1</v>
      </c>
      <c r="V374" s="226">
        <v>444</v>
      </c>
      <c r="W374" s="226" t="s">
        <v>1252</v>
      </c>
      <c r="X374" s="195">
        <v>0</v>
      </c>
      <c r="Y374" s="195">
        <v>1.5</v>
      </c>
      <c r="Z374" s="195">
        <v>24</v>
      </c>
      <c r="AA374" s="226">
        <v>444</v>
      </c>
      <c r="AB374" s="227" t="s">
        <v>1</v>
      </c>
      <c r="AC374" s="197">
        <v>0</v>
      </c>
      <c r="AD374" s="195">
        <v>1.5</v>
      </c>
      <c r="AE374" s="195">
        <v>24</v>
      </c>
      <c r="AF374" s="226">
        <v>444</v>
      </c>
      <c r="AG374" s="228" t="s">
        <v>1</v>
      </c>
      <c r="AH374" s="198" t="s">
        <v>1</v>
      </c>
      <c r="AI374" s="209" t="s">
        <v>1</v>
      </c>
      <c r="AJ374" s="209" t="s">
        <v>1</v>
      </c>
      <c r="AK374" s="209" t="s">
        <v>1</v>
      </c>
      <c r="AL374" s="214" t="s">
        <v>1</v>
      </c>
      <c r="AM374" s="200" t="s">
        <v>1</v>
      </c>
      <c r="AN374" s="199" t="s">
        <v>1</v>
      </c>
      <c r="AO374" s="199" t="s">
        <v>1</v>
      </c>
      <c r="AP374" s="198" t="s">
        <v>1</v>
      </c>
      <c r="AQ374" s="198" t="s">
        <v>1</v>
      </c>
      <c r="AR374" s="201" t="s">
        <v>1</v>
      </c>
      <c r="AS374" s="201" t="s">
        <v>1</v>
      </c>
      <c r="AT374" s="199" t="s">
        <v>1</v>
      </c>
      <c r="AU374" s="199" t="s">
        <v>1</v>
      </c>
      <c r="AV374" s="202" t="s">
        <v>1</v>
      </c>
      <c r="AW374" s="199" t="s">
        <v>1</v>
      </c>
    </row>
    <row r="375" spans="1:49" ht="30.15" customHeight="1" x14ac:dyDescent="0.25">
      <c r="A375" s="213" t="s">
        <v>18</v>
      </c>
      <c r="B375" s="188" t="s">
        <v>1</v>
      </c>
      <c r="C375" s="212" t="s">
        <v>34</v>
      </c>
      <c r="D375" s="190" t="s">
        <v>3</v>
      </c>
      <c r="E375" s="190" t="s">
        <v>1266</v>
      </c>
      <c r="F375" s="203"/>
      <c r="G375" s="190" t="s">
        <v>1188</v>
      </c>
      <c r="H375" s="192" t="s">
        <v>414</v>
      </c>
      <c r="I375" s="193">
        <v>999</v>
      </c>
      <c r="J375" s="193">
        <v>1021</v>
      </c>
      <c r="K375" s="193">
        <v>1021</v>
      </c>
      <c r="L375" s="193">
        <v>1080</v>
      </c>
      <c r="M375" s="194">
        <v>1080</v>
      </c>
      <c r="N375" s="229">
        <v>0</v>
      </c>
      <c r="O375" s="229" t="s">
        <v>1</v>
      </c>
      <c r="P375" s="229" t="s">
        <v>1</v>
      </c>
      <c r="Q375" s="230">
        <v>444</v>
      </c>
      <c r="R375" s="230" t="s">
        <v>1252</v>
      </c>
      <c r="S375" s="229">
        <v>0</v>
      </c>
      <c r="T375" s="229" t="s">
        <v>1</v>
      </c>
      <c r="U375" s="229" t="s">
        <v>1</v>
      </c>
      <c r="V375" s="230">
        <v>444</v>
      </c>
      <c r="W375" s="226" t="s">
        <v>1252</v>
      </c>
      <c r="X375" s="229">
        <v>0</v>
      </c>
      <c r="Y375" s="229">
        <v>1.5</v>
      </c>
      <c r="Z375" s="229">
        <v>24</v>
      </c>
      <c r="AA375" s="230">
        <v>444</v>
      </c>
      <c r="AB375" s="227" t="s">
        <v>1</v>
      </c>
      <c r="AC375" s="231">
        <v>0</v>
      </c>
      <c r="AD375" s="229">
        <v>1.5</v>
      </c>
      <c r="AE375" s="229">
        <v>24</v>
      </c>
      <c r="AF375" s="230">
        <v>444</v>
      </c>
      <c r="AG375" s="228" t="s">
        <v>1</v>
      </c>
      <c r="AH375" s="198" t="s">
        <v>1</v>
      </c>
      <c r="AI375" s="209" t="s">
        <v>1</v>
      </c>
      <c r="AJ375" s="209" t="s">
        <v>1</v>
      </c>
      <c r="AK375" s="209" t="s">
        <v>1</v>
      </c>
      <c r="AL375" s="214" t="s">
        <v>1</v>
      </c>
      <c r="AM375" s="200" t="s">
        <v>1</v>
      </c>
      <c r="AN375" s="199" t="s">
        <v>1</v>
      </c>
      <c r="AO375" s="199" t="s">
        <v>1</v>
      </c>
      <c r="AP375" s="198" t="s">
        <v>1</v>
      </c>
      <c r="AQ375" s="198" t="s">
        <v>1</v>
      </c>
      <c r="AR375" s="201" t="s">
        <v>1</v>
      </c>
      <c r="AS375" s="201" t="s">
        <v>1</v>
      </c>
      <c r="AT375" s="199" t="s">
        <v>1</v>
      </c>
      <c r="AU375" s="199" t="s">
        <v>1</v>
      </c>
      <c r="AV375" s="202" t="s">
        <v>1</v>
      </c>
      <c r="AW375" s="199" t="s">
        <v>1</v>
      </c>
    </row>
    <row r="376" spans="1:49" ht="30.15" customHeight="1" x14ac:dyDescent="0.25">
      <c r="A376" s="213" t="s">
        <v>18</v>
      </c>
      <c r="B376" s="188" t="s">
        <v>1</v>
      </c>
      <c r="C376" s="212" t="s">
        <v>34</v>
      </c>
      <c r="D376" s="190" t="s">
        <v>3</v>
      </c>
      <c r="E376" s="190" t="s">
        <v>1179</v>
      </c>
      <c r="F376" s="203"/>
      <c r="G376" s="190" t="s">
        <v>1189</v>
      </c>
      <c r="H376" s="192" t="s">
        <v>409</v>
      </c>
      <c r="I376" s="193">
        <v>1132</v>
      </c>
      <c r="J376" s="193">
        <v>1159</v>
      </c>
      <c r="K376" s="193">
        <v>1159</v>
      </c>
      <c r="L376" s="193">
        <v>1225</v>
      </c>
      <c r="M376" s="194">
        <v>1225</v>
      </c>
      <c r="N376" s="195">
        <v>0</v>
      </c>
      <c r="O376" s="195" t="s">
        <v>1</v>
      </c>
      <c r="P376" s="195" t="s">
        <v>1</v>
      </c>
      <c r="Q376" s="226">
        <v>457</v>
      </c>
      <c r="R376" s="226" t="s">
        <v>1253</v>
      </c>
      <c r="S376" s="195">
        <v>0</v>
      </c>
      <c r="T376" s="195" t="s">
        <v>1</v>
      </c>
      <c r="U376" s="195" t="s">
        <v>1</v>
      </c>
      <c r="V376" s="226">
        <v>457</v>
      </c>
      <c r="W376" s="226" t="s">
        <v>1253</v>
      </c>
      <c r="X376" s="195">
        <v>0</v>
      </c>
      <c r="Y376" s="195">
        <v>2</v>
      </c>
      <c r="Z376" s="195">
        <v>24</v>
      </c>
      <c r="AA376" s="226">
        <v>457</v>
      </c>
      <c r="AB376" s="227" t="s">
        <v>1</v>
      </c>
      <c r="AC376" s="197">
        <v>0</v>
      </c>
      <c r="AD376" s="195">
        <v>2</v>
      </c>
      <c r="AE376" s="195">
        <v>24</v>
      </c>
      <c r="AF376" s="226">
        <v>457</v>
      </c>
      <c r="AG376" s="228" t="s">
        <v>1</v>
      </c>
      <c r="AH376" s="198" t="s">
        <v>1</v>
      </c>
      <c r="AI376" s="209" t="s">
        <v>1</v>
      </c>
      <c r="AJ376" s="209" t="s">
        <v>1</v>
      </c>
      <c r="AK376" s="209" t="s">
        <v>1</v>
      </c>
      <c r="AL376" s="214" t="s">
        <v>1</v>
      </c>
      <c r="AM376" s="200" t="s">
        <v>1</v>
      </c>
      <c r="AN376" s="199" t="s">
        <v>1</v>
      </c>
      <c r="AO376" s="199" t="s">
        <v>1</v>
      </c>
      <c r="AP376" s="198" t="s">
        <v>1</v>
      </c>
      <c r="AQ376" s="198" t="s">
        <v>1</v>
      </c>
      <c r="AR376" s="201" t="s">
        <v>1</v>
      </c>
      <c r="AS376" s="201" t="s">
        <v>1</v>
      </c>
      <c r="AT376" s="199" t="s">
        <v>1</v>
      </c>
      <c r="AU376" s="199" t="s">
        <v>1</v>
      </c>
      <c r="AV376" s="202" t="s">
        <v>1</v>
      </c>
      <c r="AW376" s="199" t="s">
        <v>1</v>
      </c>
    </row>
    <row r="377" spans="1:49" ht="30.15" customHeight="1" x14ac:dyDescent="0.25">
      <c r="A377" s="213" t="s">
        <v>18</v>
      </c>
      <c r="B377" s="188" t="s">
        <v>1</v>
      </c>
      <c r="C377" s="212" t="s">
        <v>34</v>
      </c>
      <c r="D377" s="190" t="s">
        <v>3</v>
      </c>
      <c r="E377" s="190" t="s">
        <v>1180</v>
      </c>
      <c r="F377" s="203"/>
      <c r="G377" s="190" t="s">
        <v>1189</v>
      </c>
      <c r="H377" s="192" t="s">
        <v>409</v>
      </c>
      <c r="I377" s="193">
        <v>1132</v>
      </c>
      <c r="J377" s="193">
        <v>1159</v>
      </c>
      <c r="K377" s="193">
        <v>1159</v>
      </c>
      <c r="L377" s="193">
        <v>1225</v>
      </c>
      <c r="M377" s="194">
        <v>1225</v>
      </c>
      <c r="N377" s="195">
        <v>0</v>
      </c>
      <c r="O377" s="195" t="s">
        <v>1</v>
      </c>
      <c r="P377" s="195" t="s">
        <v>1</v>
      </c>
      <c r="Q377" s="226">
        <v>457</v>
      </c>
      <c r="R377" s="226" t="s">
        <v>1253</v>
      </c>
      <c r="S377" s="195">
        <v>0</v>
      </c>
      <c r="T377" s="195" t="s">
        <v>1</v>
      </c>
      <c r="U377" s="195" t="s">
        <v>1</v>
      </c>
      <c r="V377" s="226">
        <v>457</v>
      </c>
      <c r="W377" s="226" t="s">
        <v>1253</v>
      </c>
      <c r="X377" s="195">
        <v>0</v>
      </c>
      <c r="Y377" s="195">
        <v>2</v>
      </c>
      <c r="Z377" s="195">
        <v>24</v>
      </c>
      <c r="AA377" s="226">
        <v>457</v>
      </c>
      <c r="AB377" s="227" t="s">
        <v>1</v>
      </c>
      <c r="AC377" s="197">
        <v>0</v>
      </c>
      <c r="AD377" s="195">
        <v>2</v>
      </c>
      <c r="AE377" s="195">
        <v>24</v>
      </c>
      <c r="AF377" s="226">
        <v>457</v>
      </c>
      <c r="AG377" s="228" t="s">
        <v>1</v>
      </c>
      <c r="AH377" s="198" t="s">
        <v>1</v>
      </c>
      <c r="AI377" s="209" t="s">
        <v>1</v>
      </c>
      <c r="AJ377" s="209" t="s">
        <v>1</v>
      </c>
      <c r="AK377" s="209" t="s">
        <v>1</v>
      </c>
      <c r="AL377" s="214" t="s">
        <v>1</v>
      </c>
      <c r="AM377" s="200" t="s">
        <v>1</v>
      </c>
      <c r="AN377" s="199" t="s">
        <v>1</v>
      </c>
      <c r="AO377" s="199" t="s">
        <v>1</v>
      </c>
      <c r="AP377" s="198" t="s">
        <v>1</v>
      </c>
      <c r="AQ377" s="198" t="s">
        <v>1</v>
      </c>
      <c r="AR377" s="201" t="s">
        <v>1</v>
      </c>
      <c r="AS377" s="201" t="s">
        <v>1</v>
      </c>
      <c r="AT377" s="199" t="s">
        <v>1</v>
      </c>
      <c r="AU377" s="199" t="s">
        <v>1</v>
      </c>
      <c r="AV377" s="202" t="s">
        <v>1</v>
      </c>
      <c r="AW377" s="199" t="s">
        <v>1</v>
      </c>
    </row>
    <row r="378" spans="1:49" ht="30.15" customHeight="1" x14ac:dyDescent="0.25">
      <c r="A378" s="213" t="s">
        <v>18</v>
      </c>
      <c r="B378" s="188" t="s">
        <v>1</v>
      </c>
      <c r="C378" s="212" t="s">
        <v>34</v>
      </c>
      <c r="D378" s="190" t="s">
        <v>3</v>
      </c>
      <c r="E378" s="190" t="s">
        <v>1181</v>
      </c>
      <c r="F378" s="203"/>
      <c r="G378" s="190" t="s">
        <v>1189</v>
      </c>
      <c r="H378" s="192" t="s">
        <v>409</v>
      </c>
      <c r="I378" s="193">
        <v>1132</v>
      </c>
      <c r="J378" s="193">
        <v>1159</v>
      </c>
      <c r="K378" s="193">
        <v>1159</v>
      </c>
      <c r="L378" s="193">
        <v>1225</v>
      </c>
      <c r="M378" s="194">
        <v>1225</v>
      </c>
      <c r="N378" s="195">
        <v>0</v>
      </c>
      <c r="O378" s="195" t="s">
        <v>1</v>
      </c>
      <c r="P378" s="195" t="s">
        <v>1</v>
      </c>
      <c r="Q378" s="226">
        <v>457</v>
      </c>
      <c r="R378" s="226" t="s">
        <v>1253</v>
      </c>
      <c r="S378" s="195">
        <v>0</v>
      </c>
      <c r="T378" s="195" t="s">
        <v>1</v>
      </c>
      <c r="U378" s="195" t="s">
        <v>1</v>
      </c>
      <c r="V378" s="226">
        <v>457</v>
      </c>
      <c r="W378" s="226" t="s">
        <v>1253</v>
      </c>
      <c r="X378" s="195">
        <v>0</v>
      </c>
      <c r="Y378" s="195">
        <v>2</v>
      </c>
      <c r="Z378" s="195">
        <v>24</v>
      </c>
      <c r="AA378" s="226">
        <v>457</v>
      </c>
      <c r="AB378" s="227" t="s">
        <v>1</v>
      </c>
      <c r="AC378" s="197">
        <v>0</v>
      </c>
      <c r="AD378" s="195">
        <v>2</v>
      </c>
      <c r="AE378" s="195">
        <v>24</v>
      </c>
      <c r="AF378" s="226">
        <v>457</v>
      </c>
      <c r="AG378" s="228" t="s">
        <v>1</v>
      </c>
      <c r="AH378" s="198" t="s">
        <v>1</v>
      </c>
      <c r="AI378" s="209" t="s">
        <v>1</v>
      </c>
      <c r="AJ378" s="209" t="s">
        <v>1</v>
      </c>
      <c r="AK378" s="209" t="s">
        <v>1</v>
      </c>
      <c r="AL378" s="214" t="s">
        <v>1</v>
      </c>
      <c r="AM378" s="200" t="s">
        <v>1</v>
      </c>
      <c r="AN378" s="199" t="s">
        <v>1</v>
      </c>
      <c r="AO378" s="199" t="s">
        <v>1</v>
      </c>
      <c r="AP378" s="198" t="s">
        <v>1</v>
      </c>
      <c r="AQ378" s="198" t="s">
        <v>1</v>
      </c>
      <c r="AR378" s="201" t="s">
        <v>1</v>
      </c>
      <c r="AS378" s="201" t="s">
        <v>1</v>
      </c>
      <c r="AT378" s="199" t="s">
        <v>1</v>
      </c>
      <c r="AU378" s="199" t="s">
        <v>1</v>
      </c>
      <c r="AV378" s="202" t="s">
        <v>1</v>
      </c>
      <c r="AW378" s="199" t="s">
        <v>1</v>
      </c>
    </row>
    <row r="379" spans="1:49" ht="30.15" customHeight="1" x14ac:dyDescent="0.25">
      <c r="A379" s="213" t="s">
        <v>18</v>
      </c>
      <c r="B379" s="188" t="s">
        <v>1</v>
      </c>
      <c r="C379" s="212" t="s">
        <v>34</v>
      </c>
      <c r="D379" s="190" t="s">
        <v>3</v>
      </c>
      <c r="E379" s="190" t="s">
        <v>1182</v>
      </c>
      <c r="F379" s="203"/>
      <c r="G379" s="190" t="s">
        <v>1189</v>
      </c>
      <c r="H379" s="192" t="s">
        <v>409</v>
      </c>
      <c r="I379" s="193">
        <v>1132</v>
      </c>
      <c r="J379" s="193">
        <v>1159</v>
      </c>
      <c r="K379" s="193">
        <v>1159</v>
      </c>
      <c r="L379" s="193">
        <v>1225</v>
      </c>
      <c r="M379" s="194">
        <v>1225</v>
      </c>
      <c r="N379" s="195">
        <v>0</v>
      </c>
      <c r="O379" s="195" t="s">
        <v>1</v>
      </c>
      <c r="P379" s="195" t="s">
        <v>1</v>
      </c>
      <c r="Q379" s="226">
        <v>457</v>
      </c>
      <c r="R379" s="226" t="s">
        <v>1253</v>
      </c>
      <c r="S379" s="195">
        <v>0</v>
      </c>
      <c r="T379" s="195" t="s">
        <v>1</v>
      </c>
      <c r="U379" s="195" t="s">
        <v>1</v>
      </c>
      <c r="V379" s="226">
        <v>457</v>
      </c>
      <c r="W379" s="226" t="s">
        <v>1253</v>
      </c>
      <c r="X379" s="195">
        <v>0</v>
      </c>
      <c r="Y379" s="195">
        <v>2</v>
      </c>
      <c r="Z379" s="195">
        <v>24</v>
      </c>
      <c r="AA379" s="226">
        <v>457</v>
      </c>
      <c r="AB379" s="227" t="s">
        <v>1</v>
      </c>
      <c r="AC379" s="197">
        <v>0</v>
      </c>
      <c r="AD379" s="195">
        <v>2</v>
      </c>
      <c r="AE379" s="195">
        <v>24</v>
      </c>
      <c r="AF379" s="226">
        <v>457</v>
      </c>
      <c r="AG379" s="228" t="s">
        <v>1</v>
      </c>
      <c r="AH379" s="198" t="s">
        <v>1</v>
      </c>
      <c r="AI379" s="209" t="s">
        <v>1</v>
      </c>
      <c r="AJ379" s="209" t="s">
        <v>1</v>
      </c>
      <c r="AK379" s="209" t="s">
        <v>1</v>
      </c>
      <c r="AL379" s="214" t="s">
        <v>1</v>
      </c>
      <c r="AM379" s="200" t="s">
        <v>1</v>
      </c>
      <c r="AN379" s="199" t="s">
        <v>1</v>
      </c>
      <c r="AO379" s="199" t="s">
        <v>1</v>
      </c>
      <c r="AP379" s="198" t="s">
        <v>1</v>
      </c>
      <c r="AQ379" s="198" t="s">
        <v>1</v>
      </c>
      <c r="AR379" s="201" t="s">
        <v>1</v>
      </c>
      <c r="AS379" s="201" t="s">
        <v>1</v>
      </c>
      <c r="AT379" s="199" t="s">
        <v>1</v>
      </c>
      <c r="AU379" s="199" t="s">
        <v>1</v>
      </c>
      <c r="AV379" s="202" t="s">
        <v>1</v>
      </c>
      <c r="AW379" s="199" t="s">
        <v>1</v>
      </c>
    </row>
    <row r="380" spans="1:49" ht="30.15" customHeight="1" x14ac:dyDescent="0.25">
      <c r="A380" s="213" t="s">
        <v>18</v>
      </c>
      <c r="B380" s="188" t="s">
        <v>1</v>
      </c>
      <c r="C380" s="212" t="s">
        <v>34</v>
      </c>
      <c r="D380" s="190" t="s">
        <v>3</v>
      </c>
      <c r="E380" s="190" t="s">
        <v>1183</v>
      </c>
      <c r="F380" s="203"/>
      <c r="G380" s="190" t="s">
        <v>1189</v>
      </c>
      <c r="H380" s="192" t="s">
        <v>409</v>
      </c>
      <c r="I380" s="193">
        <v>1132</v>
      </c>
      <c r="J380" s="193">
        <v>1159</v>
      </c>
      <c r="K380" s="193">
        <v>1159</v>
      </c>
      <c r="L380" s="193">
        <v>1225</v>
      </c>
      <c r="M380" s="194">
        <v>1225</v>
      </c>
      <c r="N380" s="195">
        <v>0</v>
      </c>
      <c r="O380" s="195" t="s">
        <v>1</v>
      </c>
      <c r="P380" s="195" t="s">
        <v>1</v>
      </c>
      <c r="Q380" s="226">
        <v>457</v>
      </c>
      <c r="R380" s="226" t="s">
        <v>1253</v>
      </c>
      <c r="S380" s="195">
        <v>0</v>
      </c>
      <c r="T380" s="195" t="s">
        <v>1</v>
      </c>
      <c r="U380" s="195" t="s">
        <v>1</v>
      </c>
      <c r="V380" s="226">
        <v>457</v>
      </c>
      <c r="W380" s="226" t="s">
        <v>1253</v>
      </c>
      <c r="X380" s="195">
        <v>0</v>
      </c>
      <c r="Y380" s="195">
        <v>2</v>
      </c>
      <c r="Z380" s="195">
        <v>24</v>
      </c>
      <c r="AA380" s="226">
        <v>457</v>
      </c>
      <c r="AB380" s="227" t="s">
        <v>1</v>
      </c>
      <c r="AC380" s="197">
        <v>0</v>
      </c>
      <c r="AD380" s="195">
        <v>2</v>
      </c>
      <c r="AE380" s="195">
        <v>24</v>
      </c>
      <c r="AF380" s="226">
        <v>457</v>
      </c>
      <c r="AG380" s="228" t="s">
        <v>1</v>
      </c>
      <c r="AH380" s="198" t="s">
        <v>1</v>
      </c>
      <c r="AI380" s="209" t="s">
        <v>1</v>
      </c>
      <c r="AJ380" s="209" t="s">
        <v>1</v>
      </c>
      <c r="AK380" s="209" t="s">
        <v>1</v>
      </c>
      <c r="AL380" s="214" t="s">
        <v>1</v>
      </c>
      <c r="AM380" s="200" t="s">
        <v>1</v>
      </c>
      <c r="AN380" s="199" t="s">
        <v>1</v>
      </c>
      <c r="AO380" s="199" t="s">
        <v>1</v>
      </c>
      <c r="AP380" s="198" t="s">
        <v>1</v>
      </c>
      <c r="AQ380" s="198" t="s">
        <v>1</v>
      </c>
      <c r="AR380" s="201" t="s">
        <v>1</v>
      </c>
      <c r="AS380" s="201" t="s">
        <v>1</v>
      </c>
      <c r="AT380" s="199" t="s">
        <v>1</v>
      </c>
      <c r="AU380" s="199" t="s">
        <v>1</v>
      </c>
      <c r="AV380" s="202" t="s">
        <v>1</v>
      </c>
      <c r="AW380" s="199" t="s">
        <v>1</v>
      </c>
    </row>
    <row r="381" spans="1:49" ht="30.15" customHeight="1" x14ac:dyDescent="0.25">
      <c r="A381" s="213" t="s">
        <v>18</v>
      </c>
      <c r="B381" s="188" t="s">
        <v>1</v>
      </c>
      <c r="C381" s="212" t="s">
        <v>34</v>
      </c>
      <c r="D381" s="190" t="s">
        <v>3</v>
      </c>
      <c r="E381" s="190" t="s">
        <v>1267</v>
      </c>
      <c r="F381" s="203"/>
      <c r="G381" s="190" t="s">
        <v>1189</v>
      </c>
      <c r="H381" s="192" t="s">
        <v>414</v>
      </c>
      <c r="I381" s="193">
        <v>1132</v>
      </c>
      <c r="J381" s="193">
        <v>1159</v>
      </c>
      <c r="K381" s="193">
        <v>1159</v>
      </c>
      <c r="L381" s="193">
        <v>1225</v>
      </c>
      <c r="M381" s="194">
        <v>1225</v>
      </c>
      <c r="N381" s="229">
        <v>0</v>
      </c>
      <c r="O381" s="229" t="s">
        <v>1</v>
      </c>
      <c r="P381" s="229" t="s">
        <v>1</v>
      </c>
      <c r="Q381" s="230">
        <v>457</v>
      </c>
      <c r="R381" s="227" t="s">
        <v>1253</v>
      </c>
      <c r="S381" s="196">
        <v>0</v>
      </c>
      <c r="T381" s="229" t="s">
        <v>1</v>
      </c>
      <c r="U381" s="229" t="s">
        <v>1</v>
      </c>
      <c r="V381" s="230">
        <v>457</v>
      </c>
      <c r="W381" s="226" t="s">
        <v>1253</v>
      </c>
      <c r="X381" s="229">
        <v>0</v>
      </c>
      <c r="Y381" s="229">
        <v>2</v>
      </c>
      <c r="Z381" s="229">
        <v>24</v>
      </c>
      <c r="AA381" s="230">
        <v>457</v>
      </c>
      <c r="AB381" s="227" t="s">
        <v>1</v>
      </c>
      <c r="AC381" s="231">
        <v>0</v>
      </c>
      <c r="AD381" s="229">
        <v>2</v>
      </c>
      <c r="AE381" s="229">
        <v>24</v>
      </c>
      <c r="AF381" s="230">
        <v>457</v>
      </c>
      <c r="AG381" s="228" t="s">
        <v>1</v>
      </c>
      <c r="AH381" s="198" t="s">
        <v>1</v>
      </c>
      <c r="AI381" s="209" t="s">
        <v>1</v>
      </c>
      <c r="AJ381" s="209" t="s">
        <v>1</v>
      </c>
      <c r="AK381" s="209" t="s">
        <v>1</v>
      </c>
      <c r="AL381" s="214" t="s">
        <v>1</v>
      </c>
      <c r="AM381" s="200" t="s">
        <v>1</v>
      </c>
      <c r="AN381" s="199" t="s">
        <v>1</v>
      </c>
      <c r="AO381" s="199" t="s">
        <v>1</v>
      </c>
      <c r="AP381" s="198" t="s">
        <v>1</v>
      </c>
      <c r="AQ381" s="198" t="s">
        <v>1</v>
      </c>
      <c r="AR381" s="201" t="s">
        <v>1</v>
      </c>
      <c r="AS381" s="201" t="s">
        <v>1</v>
      </c>
      <c r="AT381" s="199" t="s">
        <v>1</v>
      </c>
      <c r="AU381" s="199" t="s">
        <v>1</v>
      </c>
      <c r="AV381" s="202" t="s">
        <v>1</v>
      </c>
      <c r="AW381" s="199" t="s">
        <v>1</v>
      </c>
    </row>
    <row r="382" spans="1:49" ht="30.15" customHeight="1" x14ac:dyDescent="0.25">
      <c r="A382" s="213" t="s">
        <v>18</v>
      </c>
      <c r="B382" s="188" t="s">
        <v>1</v>
      </c>
      <c r="C382" s="212" t="s">
        <v>34</v>
      </c>
      <c r="D382" s="190" t="s">
        <v>3</v>
      </c>
      <c r="E382" s="190" t="s">
        <v>1122</v>
      </c>
      <c r="F382" s="203"/>
      <c r="G382" s="190" t="s">
        <v>1134</v>
      </c>
      <c r="H382" s="192" t="s">
        <v>409</v>
      </c>
      <c r="I382" s="193">
        <v>1332</v>
      </c>
      <c r="J382" s="193">
        <v>1363</v>
      </c>
      <c r="K382" s="193">
        <v>1363</v>
      </c>
      <c r="L382" s="193">
        <v>1440</v>
      </c>
      <c r="M382" s="194">
        <v>1440</v>
      </c>
      <c r="N382" s="195">
        <v>0</v>
      </c>
      <c r="O382" s="195" t="s">
        <v>1</v>
      </c>
      <c r="P382" s="195" t="s">
        <v>1</v>
      </c>
      <c r="Q382" s="226">
        <v>552</v>
      </c>
      <c r="R382" s="227" t="s">
        <v>1253</v>
      </c>
      <c r="S382" s="197">
        <v>0</v>
      </c>
      <c r="T382" s="195" t="s">
        <v>1</v>
      </c>
      <c r="U382" s="195" t="s">
        <v>1</v>
      </c>
      <c r="V382" s="226">
        <v>552</v>
      </c>
      <c r="W382" s="226" t="s">
        <v>1253</v>
      </c>
      <c r="X382" s="195">
        <v>0</v>
      </c>
      <c r="Y382" s="195">
        <v>2</v>
      </c>
      <c r="Z382" s="195">
        <v>24</v>
      </c>
      <c r="AA382" s="226">
        <v>552</v>
      </c>
      <c r="AB382" s="227" t="s">
        <v>1</v>
      </c>
      <c r="AC382" s="197">
        <v>0</v>
      </c>
      <c r="AD382" s="195">
        <v>2</v>
      </c>
      <c r="AE382" s="195">
        <v>24</v>
      </c>
      <c r="AF382" s="226">
        <v>552</v>
      </c>
      <c r="AG382" s="228" t="s">
        <v>1</v>
      </c>
      <c r="AH382" s="198" t="s">
        <v>1</v>
      </c>
      <c r="AI382" s="209" t="s">
        <v>1</v>
      </c>
      <c r="AJ382" s="209" t="s">
        <v>1</v>
      </c>
      <c r="AK382" s="209" t="s">
        <v>1</v>
      </c>
      <c r="AL382" s="214" t="s">
        <v>1</v>
      </c>
      <c r="AM382" s="200" t="s">
        <v>1</v>
      </c>
      <c r="AN382" s="199" t="s">
        <v>1</v>
      </c>
      <c r="AO382" s="199" t="s">
        <v>1</v>
      </c>
      <c r="AP382" s="198" t="s">
        <v>1</v>
      </c>
      <c r="AQ382" s="198" t="s">
        <v>1</v>
      </c>
      <c r="AR382" s="201" t="s">
        <v>1</v>
      </c>
      <c r="AS382" s="201" t="s">
        <v>1</v>
      </c>
      <c r="AT382" s="199" t="s">
        <v>1</v>
      </c>
      <c r="AU382" s="199" t="s">
        <v>1</v>
      </c>
      <c r="AV382" s="202" t="s">
        <v>1</v>
      </c>
      <c r="AW382" s="199" t="s">
        <v>1</v>
      </c>
    </row>
    <row r="383" spans="1:49" ht="30.15" customHeight="1" x14ac:dyDescent="0.25">
      <c r="A383" s="213" t="s">
        <v>18</v>
      </c>
      <c r="B383" s="188" t="s">
        <v>1</v>
      </c>
      <c r="C383" s="212" t="s">
        <v>34</v>
      </c>
      <c r="D383" s="190" t="s">
        <v>3</v>
      </c>
      <c r="E383" s="190" t="s">
        <v>1123</v>
      </c>
      <c r="F383" s="203"/>
      <c r="G383" s="190" t="s">
        <v>1134</v>
      </c>
      <c r="H383" s="192" t="s">
        <v>409</v>
      </c>
      <c r="I383" s="193">
        <v>1332</v>
      </c>
      <c r="J383" s="193">
        <v>1363</v>
      </c>
      <c r="K383" s="193">
        <v>1363</v>
      </c>
      <c r="L383" s="193">
        <v>1440</v>
      </c>
      <c r="M383" s="194">
        <v>1440</v>
      </c>
      <c r="N383" s="195">
        <v>0</v>
      </c>
      <c r="O383" s="195" t="s">
        <v>1</v>
      </c>
      <c r="P383" s="195" t="s">
        <v>1</v>
      </c>
      <c r="Q383" s="226">
        <v>552</v>
      </c>
      <c r="R383" s="227" t="s">
        <v>1253</v>
      </c>
      <c r="S383" s="197">
        <v>0</v>
      </c>
      <c r="T383" s="195" t="s">
        <v>1</v>
      </c>
      <c r="U383" s="195" t="s">
        <v>1</v>
      </c>
      <c r="V383" s="226">
        <v>552</v>
      </c>
      <c r="W383" s="226" t="s">
        <v>1253</v>
      </c>
      <c r="X383" s="195">
        <v>0</v>
      </c>
      <c r="Y383" s="195">
        <v>2</v>
      </c>
      <c r="Z383" s="195">
        <v>24</v>
      </c>
      <c r="AA383" s="226">
        <v>552</v>
      </c>
      <c r="AB383" s="227" t="s">
        <v>1</v>
      </c>
      <c r="AC383" s="197">
        <v>0</v>
      </c>
      <c r="AD383" s="195">
        <v>2</v>
      </c>
      <c r="AE383" s="195">
        <v>24</v>
      </c>
      <c r="AF383" s="226">
        <v>552</v>
      </c>
      <c r="AG383" s="228" t="s">
        <v>1</v>
      </c>
      <c r="AH383" s="198" t="s">
        <v>1</v>
      </c>
      <c r="AI383" s="209" t="s">
        <v>1</v>
      </c>
      <c r="AJ383" s="209" t="s">
        <v>1</v>
      </c>
      <c r="AK383" s="209" t="s">
        <v>1</v>
      </c>
      <c r="AL383" s="214" t="s">
        <v>1</v>
      </c>
      <c r="AM383" s="200" t="s">
        <v>1</v>
      </c>
      <c r="AN383" s="199" t="s">
        <v>1</v>
      </c>
      <c r="AO383" s="199" t="s">
        <v>1</v>
      </c>
      <c r="AP383" s="198" t="s">
        <v>1</v>
      </c>
      <c r="AQ383" s="198" t="s">
        <v>1</v>
      </c>
      <c r="AR383" s="201" t="s">
        <v>1</v>
      </c>
      <c r="AS383" s="201" t="s">
        <v>1</v>
      </c>
      <c r="AT383" s="199" t="s">
        <v>1</v>
      </c>
      <c r="AU383" s="199" t="s">
        <v>1</v>
      </c>
      <c r="AV383" s="202" t="s">
        <v>1</v>
      </c>
      <c r="AW383" s="199" t="s">
        <v>1</v>
      </c>
    </row>
    <row r="384" spans="1:49" ht="30.15" customHeight="1" x14ac:dyDescent="0.25">
      <c r="A384" s="213" t="s">
        <v>18</v>
      </c>
      <c r="B384" s="188" t="s">
        <v>1</v>
      </c>
      <c r="C384" s="212" t="s">
        <v>34</v>
      </c>
      <c r="D384" s="190" t="s">
        <v>3</v>
      </c>
      <c r="E384" s="190" t="s">
        <v>1124</v>
      </c>
      <c r="F384" s="203"/>
      <c r="G384" s="190" t="s">
        <v>1134</v>
      </c>
      <c r="H384" s="192" t="s">
        <v>409</v>
      </c>
      <c r="I384" s="193">
        <v>1332</v>
      </c>
      <c r="J384" s="193">
        <v>1363</v>
      </c>
      <c r="K384" s="193">
        <v>1363</v>
      </c>
      <c r="L384" s="193">
        <v>1440</v>
      </c>
      <c r="M384" s="194">
        <v>1440</v>
      </c>
      <c r="N384" s="195">
        <v>0</v>
      </c>
      <c r="O384" s="195" t="s">
        <v>1</v>
      </c>
      <c r="P384" s="195" t="s">
        <v>1</v>
      </c>
      <c r="Q384" s="226">
        <v>552</v>
      </c>
      <c r="R384" s="227" t="s">
        <v>1253</v>
      </c>
      <c r="S384" s="197">
        <v>0</v>
      </c>
      <c r="T384" s="195" t="s">
        <v>1</v>
      </c>
      <c r="U384" s="195" t="s">
        <v>1</v>
      </c>
      <c r="V384" s="226">
        <v>552</v>
      </c>
      <c r="W384" s="226" t="s">
        <v>1253</v>
      </c>
      <c r="X384" s="195">
        <v>0</v>
      </c>
      <c r="Y384" s="195">
        <v>2</v>
      </c>
      <c r="Z384" s="195">
        <v>24</v>
      </c>
      <c r="AA384" s="226">
        <v>552</v>
      </c>
      <c r="AB384" s="227" t="s">
        <v>1</v>
      </c>
      <c r="AC384" s="197">
        <v>0</v>
      </c>
      <c r="AD384" s="195">
        <v>2</v>
      </c>
      <c r="AE384" s="195">
        <v>24</v>
      </c>
      <c r="AF384" s="226">
        <v>552</v>
      </c>
      <c r="AG384" s="228" t="s">
        <v>1</v>
      </c>
      <c r="AH384" s="198" t="s">
        <v>1</v>
      </c>
      <c r="AI384" s="209" t="s">
        <v>1</v>
      </c>
      <c r="AJ384" s="209" t="s">
        <v>1</v>
      </c>
      <c r="AK384" s="209" t="s">
        <v>1</v>
      </c>
      <c r="AL384" s="214" t="s">
        <v>1</v>
      </c>
      <c r="AM384" s="200" t="s">
        <v>1</v>
      </c>
      <c r="AN384" s="199" t="s">
        <v>1</v>
      </c>
      <c r="AO384" s="199" t="s">
        <v>1</v>
      </c>
      <c r="AP384" s="198" t="s">
        <v>1</v>
      </c>
      <c r="AQ384" s="198" t="s">
        <v>1</v>
      </c>
      <c r="AR384" s="201" t="s">
        <v>1</v>
      </c>
      <c r="AS384" s="201" t="s">
        <v>1</v>
      </c>
      <c r="AT384" s="199" t="s">
        <v>1</v>
      </c>
      <c r="AU384" s="199" t="s">
        <v>1</v>
      </c>
      <c r="AV384" s="202" t="s">
        <v>1</v>
      </c>
      <c r="AW384" s="199" t="s">
        <v>1</v>
      </c>
    </row>
    <row r="385" spans="1:49" ht="30.15" customHeight="1" x14ac:dyDescent="0.25">
      <c r="A385" s="213" t="s">
        <v>18</v>
      </c>
      <c r="B385" s="188" t="s">
        <v>1</v>
      </c>
      <c r="C385" s="212" t="s">
        <v>34</v>
      </c>
      <c r="D385" s="190" t="s">
        <v>3</v>
      </c>
      <c r="E385" s="190" t="s">
        <v>1125</v>
      </c>
      <c r="F385" s="203"/>
      <c r="G385" s="190" t="s">
        <v>1134</v>
      </c>
      <c r="H385" s="192" t="s">
        <v>409</v>
      </c>
      <c r="I385" s="193">
        <v>1332</v>
      </c>
      <c r="J385" s="193">
        <v>1363</v>
      </c>
      <c r="K385" s="193">
        <v>1363</v>
      </c>
      <c r="L385" s="193">
        <v>1440</v>
      </c>
      <c r="M385" s="194">
        <v>1440</v>
      </c>
      <c r="N385" s="195">
        <v>0</v>
      </c>
      <c r="O385" s="195" t="s">
        <v>1</v>
      </c>
      <c r="P385" s="195" t="s">
        <v>1</v>
      </c>
      <c r="Q385" s="226">
        <v>552</v>
      </c>
      <c r="R385" s="227" t="s">
        <v>1253</v>
      </c>
      <c r="S385" s="197">
        <v>0</v>
      </c>
      <c r="T385" s="195" t="s">
        <v>1</v>
      </c>
      <c r="U385" s="195" t="s">
        <v>1</v>
      </c>
      <c r="V385" s="226">
        <v>552</v>
      </c>
      <c r="W385" s="226" t="s">
        <v>1253</v>
      </c>
      <c r="X385" s="195">
        <v>0</v>
      </c>
      <c r="Y385" s="195">
        <v>2</v>
      </c>
      <c r="Z385" s="195">
        <v>24</v>
      </c>
      <c r="AA385" s="226">
        <v>552</v>
      </c>
      <c r="AB385" s="227" t="s">
        <v>1</v>
      </c>
      <c r="AC385" s="197">
        <v>0</v>
      </c>
      <c r="AD385" s="195">
        <v>2</v>
      </c>
      <c r="AE385" s="195">
        <v>24</v>
      </c>
      <c r="AF385" s="226">
        <v>552</v>
      </c>
      <c r="AG385" s="228" t="s">
        <v>1</v>
      </c>
      <c r="AH385" s="198" t="s">
        <v>1</v>
      </c>
      <c r="AI385" s="209" t="s">
        <v>1</v>
      </c>
      <c r="AJ385" s="209" t="s">
        <v>1</v>
      </c>
      <c r="AK385" s="209" t="s">
        <v>1</v>
      </c>
      <c r="AL385" s="214" t="s">
        <v>1</v>
      </c>
      <c r="AM385" s="200" t="s">
        <v>1</v>
      </c>
      <c r="AN385" s="199" t="s">
        <v>1</v>
      </c>
      <c r="AO385" s="199" t="s">
        <v>1</v>
      </c>
      <c r="AP385" s="198" t="s">
        <v>1</v>
      </c>
      <c r="AQ385" s="198" t="s">
        <v>1</v>
      </c>
      <c r="AR385" s="201" t="s">
        <v>1</v>
      </c>
      <c r="AS385" s="201" t="s">
        <v>1</v>
      </c>
      <c r="AT385" s="199" t="s">
        <v>1</v>
      </c>
      <c r="AU385" s="199" t="s">
        <v>1</v>
      </c>
      <c r="AV385" s="202" t="s">
        <v>1</v>
      </c>
      <c r="AW385" s="199" t="s">
        <v>1</v>
      </c>
    </row>
    <row r="386" spans="1:49" ht="30.15" customHeight="1" x14ac:dyDescent="0.25">
      <c r="A386" s="213" t="s">
        <v>18</v>
      </c>
      <c r="B386" s="188" t="s">
        <v>1</v>
      </c>
      <c r="C386" s="212" t="s">
        <v>34</v>
      </c>
      <c r="D386" s="190" t="s">
        <v>3</v>
      </c>
      <c r="E386" s="190" t="s">
        <v>1126</v>
      </c>
      <c r="F386" s="203"/>
      <c r="G386" s="190" t="s">
        <v>1135</v>
      </c>
      <c r="H386" s="192" t="s">
        <v>409</v>
      </c>
      <c r="I386" s="193">
        <v>1466</v>
      </c>
      <c r="J386" s="193">
        <v>1501</v>
      </c>
      <c r="K386" s="193">
        <v>1501</v>
      </c>
      <c r="L386" s="193">
        <v>1584</v>
      </c>
      <c r="M386" s="194">
        <v>1584</v>
      </c>
      <c r="N386" s="195">
        <v>0</v>
      </c>
      <c r="O386" s="195" t="s">
        <v>1</v>
      </c>
      <c r="P386" s="195" t="s">
        <v>1</v>
      </c>
      <c r="Q386" s="226">
        <v>576</v>
      </c>
      <c r="R386" s="227" t="s">
        <v>1254</v>
      </c>
      <c r="S386" s="197">
        <v>0</v>
      </c>
      <c r="T386" s="195" t="s">
        <v>1</v>
      </c>
      <c r="U386" s="195" t="s">
        <v>1</v>
      </c>
      <c r="V386" s="226">
        <v>576</v>
      </c>
      <c r="W386" s="226" t="s">
        <v>1254</v>
      </c>
      <c r="X386" s="195">
        <v>0</v>
      </c>
      <c r="Y386" s="195">
        <v>2</v>
      </c>
      <c r="Z386" s="195">
        <v>24</v>
      </c>
      <c r="AA386" s="226">
        <v>576</v>
      </c>
      <c r="AB386" s="227" t="s">
        <v>1</v>
      </c>
      <c r="AC386" s="197">
        <v>0</v>
      </c>
      <c r="AD386" s="195">
        <v>2</v>
      </c>
      <c r="AE386" s="195">
        <v>24</v>
      </c>
      <c r="AF386" s="226">
        <v>576</v>
      </c>
      <c r="AG386" s="228" t="s">
        <v>1</v>
      </c>
      <c r="AH386" s="198" t="s">
        <v>1</v>
      </c>
      <c r="AI386" s="209" t="s">
        <v>1</v>
      </c>
      <c r="AJ386" s="209" t="s">
        <v>1</v>
      </c>
      <c r="AK386" s="209" t="s">
        <v>1</v>
      </c>
      <c r="AL386" s="214" t="s">
        <v>1</v>
      </c>
      <c r="AM386" s="200" t="s">
        <v>1</v>
      </c>
      <c r="AN386" s="199" t="s">
        <v>1</v>
      </c>
      <c r="AO386" s="199" t="s">
        <v>1</v>
      </c>
      <c r="AP386" s="198" t="s">
        <v>1</v>
      </c>
      <c r="AQ386" s="198" t="s">
        <v>1</v>
      </c>
      <c r="AR386" s="201" t="s">
        <v>1</v>
      </c>
      <c r="AS386" s="201" t="s">
        <v>1</v>
      </c>
      <c r="AT386" s="199" t="s">
        <v>1</v>
      </c>
      <c r="AU386" s="199" t="s">
        <v>1</v>
      </c>
      <c r="AV386" s="202" t="s">
        <v>1</v>
      </c>
      <c r="AW386" s="199" t="s">
        <v>1</v>
      </c>
    </row>
    <row r="387" spans="1:49" ht="30.15" customHeight="1" x14ac:dyDescent="0.25">
      <c r="A387" s="213" t="s">
        <v>18</v>
      </c>
      <c r="B387" s="188" t="s">
        <v>1</v>
      </c>
      <c r="C387" s="212" t="s">
        <v>34</v>
      </c>
      <c r="D387" s="190" t="s">
        <v>3</v>
      </c>
      <c r="E387" s="190" t="s">
        <v>1127</v>
      </c>
      <c r="F387" s="203"/>
      <c r="G387" s="190" t="s">
        <v>1135</v>
      </c>
      <c r="H387" s="192" t="s">
        <v>409</v>
      </c>
      <c r="I387" s="193">
        <v>1466</v>
      </c>
      <c r="J387" s="193">
        <v>1501</v>
      </c>
      <c r="K387" s="193">
        <v>1501</v>
      </c>
      <c r="L387" s="193">
        <v>1584</v>
      </c>
      <c r="M387" s="194">
        <v>1584</v>
      </c>
      <c r="N387" s="195">
        <v>0</v>
      </c>
      <c r="O387" s="195" t="s">
        <v>1</v>
      </c>
      <c r="P387" s="195" t="s">
        <v>1</v>
      </c>
      <c r="Q387" s="226">
        <v>576</v>
      </c>
      <c r="R387" s="227" t="s">
        <v>1254</v>
      </c>
      <c r="S387" s="197">
        <v>0</v>
      </c>
      <c r="T387" s="195" t="s">
        <v>1</v>
      </c>
      <c r="U387" s="195" t="s">
        <v>1</v>
      </c>
      <c r="V387" s="226">
        <v>576</v>
      </c>
      <c r="W387" s="226" t="s">
        <v>1254</v>
      </c>
      <c r="X387" s="195">
        <v>0</v>
      </c>
      <c r="Y387" s="195">
        <v>2</v>
      </c>
      <c r="Z387" s="195">
        <v>24</v>
      </c>
      <c r="AA387" s="226">
        <v>576</v>
      </c>
      <c r="AB387" s="227" t="s">
        <v>1</v>
      </c>
      <c r="AC387" s="197">
        <v>0</v>
      </c>
      <c r="AD387" s="195">
        <v>2</v>
      </c>
      <c r="AE387" s="195">
        <v>24</v>
      </c>
      <c r="AF387" s="226">
        <v>576</v>
      </c>
      <c r="AG387" s="228" t="s">
        <v>1</v>
      </c>
      <c r="AH387" s="198" t="s">
        <v>1</v>
      </c>
      <c r="AI387" s="209" t="s">
        <v>1</v>
      </c>
      <c r="AJ387" s="209" t="s">
        <v>1</v>
      </c>
      <c r="AK387" s="209" t="s">
        <v>1</v>
      </c>
      <c r="AL387" s="214" t="s">
        <v>1</v>
      </c>
      <c r="AM387" s="200" t="s">
        <v>1</v>
      </c>
      <c r="AN387" s="199" t="s">
        <v>1</v>
      </c>
      <c r="AO387" s="199" t="s">
        <v>1</v>
      </c>
      <c r="AP387" s="198" t="s">
        <v>1</v>
      </c>
      <c r="AQ387" s="198" t="s">
        <v>1</v>
      </c>
      <c r="AR387" s="201" t="s">
        <v>1</v>
      </c>
      <c r="AS387" s="201" t="s">
        <v>1</v>
      </c>
      <c r="AT387" s="199" t="s">
        <v>1</v>
      </c>
      <c r="AU387" s="199" t="s">
        <v>1</v>
      </c>
      <c r="AV387" s="202" t="s">
        <v>1</v>
      </c>
      <c r="AW387" s="199" t="s">
        <v>1</v>
      </c>
    </row>
    <row r="388" spans="1:49" ht="30.15" customHeight="1" x14ac:dyDescent="0.25">
      <c r="A388" s="213" t="s">
        <v>18</v>
      </c>
      <c r="B388" s="188" t="s">
        <v>1</v>
      </c>
      <c r="C388" s="212" t="s">
        <v>34</v>
      </c>
      <c r="D388" s="190" t="s">
        <v>3</v>
      </c>
      <c r="E388" s="190" t="s">
        <v>1128</v>
      </c>
      <c r="F388" s="203"/>
      <c r="G388" s="190" t="s">
        <v>1135</v>
      </c>
      <c r="H388" s="192" t="s">
        <v>409</v>
      </c>
      <c r="I388" s="193">
        <v>1466</v>
      </c>
      <c r="J388" s="193">
        <v>1501</v>
      </c>
      <c r="K388" s="193">
        <v>1501</v>
      </c>
      <c r="L388" s="193">
        <v>1584</v>
      </c>
      <c r="M388" s="194">
        <v>1584</v>
      </c>
      <c r="N388" s="195">
        <v>0</v>
      </c>
      <c r="O388" s="195" t="s">
        <v>1</v>
      </c>
      <c r="P388" s="195" t="s">
        <v>1</v>
      </c>
      <c r="Q388" s="226">
        <v>576</v>
      </c>
      <c r="R388" s="227" t="s">
        <v>1254</v>
      </c>
      <c r="S388" s="197">
        <v>0</v>
      </c>
      <c r="T388" s="195" t="s">
        <v>1</v>
      </c>
      <c r="U388" s="195" t="s">
        <v>1</v>
      </c>
      <c r="V388" s="226">
        <v>576</v>
      </c>
      <c r="W388" s="226" t="s">
        <v>1254</v>
      </c>
      <c r="X388" s="195">
        <v>0</v>
      </c>
      <c r="Y388" s="195">
        <v>2</v>
      </c>
      <c r="Z388" s="195">
        <v>24</v>
      </c>
      <c r="AA388" s="226">
        <v>576</v>
      </c>
      <c r="AB388" s="227" t="s">
        <v>1</v>
      </c>
      <c r="AC388" s="197">
        <v>0</v>
      </c>
      <c r="AD388" s="195">
        <v>2</v>
      </c>
      <c r="AE388" s="195">
        <v>24</v>
      </c>
      <c r="AF388" s="226">
        <v>576</v>
      </c>
      <c r="AG388" s="228" t="s">
        <v>1</v>
      </c>
      <c r="AH388" s="198" t="s">
        <v>1</v>
      </c>
      <c r="AI388" s="209" t="s">
        <v>1</v>
      </c>
      <c r="AJ388" s="209" t="s">
        <v>1</v>
      </c>
      <c r="AK388" s="209" t="s">
        <v>1</v>
      </c>
      <c r="AL388" s="214" t="s">
        <v>1</v>
      </c>
      <c r="AM388" s="200" t="s">
        <v>1</v>
      </c>
      <c r="AN388" s="199" t="s">
        <v>1</v>
      </c>
      <c r="AO388" s="199" t="s">
        <v>1</v>
      </c>
      <c r="AP388" s="198" t="s">
        <v>1</v>
      </c>
      <c r="AQ388" s="198" t="s">
        <v>1</v>
      </c>
      <c r="AR388" s="201" t="s">
        <v>1</v>
      </c>
      <c r="AS388" s="201" t="s">
        <v>1</v>
      </c>
      <c r="AT388" s="199" t="s">
        <v>1</v>
      </c>
      <c r="AU388" s="199" t="s">
        <v>1</v>
      </c>
      <c r="AV388" s="202" t="s">
        <v>1</v>
      </c>
      <c r="AW388" s="199" t="s">
        <v>1</v>
      </c>
    </row>
    <row r="389" spans="1:49" ht="30.15" customHeight="1" x14ac:dyDescent="0.25">
      <c r="A389" s="213" t="s">
        <v>18</v>
      </c>
      <c r="B389" s="188" t="s">
        <v>1</v>
      </c>
      <c r="C389" s="212" t="s">
        <v>34</v>
      </c>
      <c r="D389" s="190" t="s">
        <v>3</v>
      </c>
      <c r="E389" s="190" t="s">
        <v>1129</v>
      </c>
      <c r="F389" s="203"/>
      <c r="G389" s="190" t="s">
        <v>1135</v>
      </c>
      <c r="H389" s="192" t="s">
        <v>409</v>
      </c>
      <c r="I389" s="193">
        <v>1466</v>
      </c>
      <c r="J389" s="193">
        <v>1501</v>
      </c>
      <c r="K389" s="193">
        <v>1501</v>
      </c>
      <c r="L389" s="193">
        <v>1584</v>
      </c>
      <c r="M389" s="194">
        <v>1584</v>
      </c>
      <c r="N389" s="195">
        <v>0</v>
      </c>
      <c r="O389" s="195" t="s">
        <v>1</v>
      </c>
      <c r="P389" s="195" t="s">
        <v>1</v>
      </c>
      <c r="Q389" s="226">
        <v>576</v>
      </c>
      <c r="R389" s="227" t="s">
        <v>1254</v>
      </c>
      <c r="S389" s="197">
        <v>0</v>
      </c>
      <c r="T389" s="195" t="s">
        <v>1</v>
      </c>
      <c r="U389" s="195" t="s">
        <v>1</v>
      </c>
      <c r="V389" s="226">
        <v>576</v>
      </c>
      <c r="W389" s="226" t="s">
        <v>1254</v>
      </c>
      <c r="X389" s="195">
        <v>0</v>
      </c>
      <c r="Y389" s="195">
        <v>2</v>
      </c>
      <c r="Z389" s="195">
        <v>24</v>
      </c>
      <c r="AA389" s="226">
        <v>576</v>
      </c>
      <c r="AB389" s="227" t="s">
        <v>1</v>
      </c>
      <c r="AC389" s="197">
        <v>0</v>
      </c>
      <c r="AD389" s="195">
        <v>2</v>
      </c>
      <c r="AE389" s="195">
        <v>24</v>
      </c>
      <c r="AF389" s="226">
        <v>576</v>
      </c>
      <c r="AG389" s="228" t="s">
        <v>1</v>
      </c>
      <c r="AH389" s="198" t="s">
        <v>1</v>
      </c>
      <c r="AI389" s="209" t="s">
        <v>1</v>
      </c>
      <c r="AJ389" s="209" t="s">
        <v>1</v>
      </c>
      <c r="AK389" s="209" t="s">
        <v>1</v>
      </c>
      <c r="AL389" s="214" t="s">
        <v>1</v>
      </c>
      <c r="AM389" s="200" t="s">
        <v>1</v>
      </c>
      <c r="AN389" s="199" t="s">
        <v>1</v>
      </c>
      <c r="AO389" s="199" t="s">
        <v>1</v>
      </c>
      <c r="AP389" s="198" t="s">
        <v>1</v>
      </c>
      <c r="AQ389" s="198" t="s">
        <v>1</v>
      </c>
      <c r="AR389" s="201" t="s">
        <v>1</v>
      </c>
      <c r="AS389" s="201" t="s">
        <v>1</v>
      </c>
      <c r="AT389" s="199" t="s">
        <v>1</v>
      </c>
      <c r="AU389" s="199" t="s">
        <v>1</v>
      </c>
      <c r="AV389" s="202" t="s">
        <v>1</v>
      </c>
      <c r="AW389" s="199" t="s">
        <v>1</v>
      </c>
    </row>
    <row r="390" spans="1:49" ht="30.15" customHeight="1" x14ac:dyDescent="0.25">
      <c r="A390" s="213" t="s">
        <v>18</v>
      </c>
      <c r="B390" s="188" t="s">
        <v>1</v>
      </c>
      <c r="C390" s="212" t="s">
        <v>34</v>
      </c>
      <c r="D390" s="190" t="s">
        <v>3</v>
      </c>
      <c r="E390" s="190" t="s">
        <v>1130</v>
      </c>
      <c r="F390" s="203"/>
      <c r="G390" s="190" t="s">
        <v>1136</v>
      </c>
      <c r="H390" s="192" t="s">
        <v>409</v>
      </c>
      <c r="I390" s="193">
        <v>1723</v>
      </c>
      <c r="J390" s="193">
        <v>1767</v>
      </c>
      <c r="K390" s="193">
        <v>1767</v>
      </c>
      <c r="L390" s="193">
        <v>1860</v>
      </c>
      <c r="M390" s="194">
        <v>1860</v>
      </c>
      <c r="N390" s="195">
        <v>0</v>
      </c>
      <c r="O390" s="195" t="s">
        <v>1</v>
      </c>
      <c r="P390" s="195" t="s">
        <v>1</v>
      </c>
      <c r="Q390" s="226">
        <v>612</v>
      </c>
      <c r="R390" s="227" t="s">
        <v>1255</v>
      </c>
      <c r="S390" s="197">
        <v>0</v>
      </c>
      <c r="T390" s="195" t="s">
        <v>1</v>
      </c>
      <c r="U390" s="195" t="s">
        <v>1</v>
      </c>
      <c r="V390" s="226">
        <v>612</v>
      </c>
      <c r="W390" s="226" t="s">
        <v>1255</v>
      </c>
      <c r="X390" s="195">
        <v>0</v>
      </c>
      <c r="Y390" s="195">
        <v>2</v>
      </c>
      <c r="Z390" s="195">
        <v>24</v>
      </c>
      <c r="AA390" s="226">
        <v>612</v>
      </c>
      <c r="AB390" s="227" t="s">
        <v>1</v>
      </c>
      <c r="AC390" s="197">
        <v>0</v>
      </c>
      <c r="AD390" s="195">
        <v>2</v>
      </c>
      <c r="AE390" s="195">
        <v>24</v>
      </c>
      <c r="AF390" s="226">
        <v>612</v>
      </c>
      <c r="AG390" s="228" t="s">
        <v>1</v>
      </c>
      <c r="AH390" s="198" t="s">
        <v>1</v>
      </c>
      <c r="AI390" s="209" t="s">
        <v>1</v>
      </c>
      <c r="AJ390" s="209" t="s">
        <v>1</v>
      </c>
      <c r="AK390" s="209" t="s">
        <v>1</v>
      </c>
      <c r="AL390" s="214" t="s">
        <v>1</v>
      </c>
      <c r="AM390" s="200" t="s">
        <v>1</v>
      </c>
      <c r="AN390" s="199" t="s">
        <v>1</v>
      </c>
      <c r="AO390" s="199" t="s">
        <v>1</v>
      </c>
      <c r="AP390" s="198" t="s">
        <v>1</v>
      </c>
      <c r="AQ390" s="198" t="s">
        <v>1</v>
      </c>
      <c r="AR390" s="201" t="s">
        <v>1</v>
      </c>
      <c r="AS390" s="201" t="s">
        <v>1</v>
      </c>
      <c r="AT390" s="199" t="s">
        <v>1</v>
      </c>
      <c r="AU390" s="199" t="s">
        <v>1</v>
      </c>
      <c r="AV390" s="202" t="s">
        <v>1</v>
      </c>
      <c r="AW390" s="199" t="s">
        <v>1</v>
      </c>
    </row>
    <row r="391" spans="1:49" ht="30.15" customHeight="1" x14ac:dyDescent="0.25">
      <c r="A391" s="213" t="s">
        <v>18</v>
      </c>
      <c r="B391" s="188" t="s">
        <v>1</v>
      </c>
      <c r="C391" s="212" t="s">
        <v>34</v>
      </c>
      <c r="D391" s="190" t="s">
        <v>3</v>
      </c>
      <c r="E391" s="190" t="s">
        <v>1131</v>
      </c>
      <c r="F391" s="203"/>
      <c r="G391" s="190" t="s">
        <v>1136</v>
      </c>
      <c r="H391" s="192" t="s">
        <v>409</v>
      </c>
      <c r="I391" s="193">
        <v>1723</v>
      </c>
      <c r="J391" s="193">
        <v>1767</v>
      </c>
      <c r="K391" s="193">
        <v>1767</v>
      </c>
      <c r="L391" s="193">
        <v>1860</v>
      </c>
      <c r="M391" s="194">
        <v>1860</v>
      </c>
      <c r="N391" s="195">
        <v>0</v>
      </c>
      <c r="O391" s="195" t="s">
        <v>1</v>
      </c>
      <c r="P391" s="195" t="s">
        <v>1</v>
      </c>
      <c r="Q391" s="226">
        <v>612</v>
      </c>
      <c r="R391" s="227" t="s">
        <v>1255</v>
      </c>
      <c r="S391" s="197">
        <v>0</v>
      </c>
      <c r="T391" s="195" t="s">
        <v>1</v>
      </c>
      <c r="U391" s="195" t="s">
        <v>1</v>
      </c>
      <c r="V391" s="226">
        <v>612</v>
      </c>
      <c r="W391" s="226" t="s">
        <v>1255</v>
      </c>
      <c r="X391" s="195">
        <v>0</v>
      </c>
      <c r="Y391" s="195">
        <v>2</v>
      </c>
      <c r="Z391" s="195">
        <v>24</v>
      </c>
      <c r="AA391" s="226">
        <v>612</v>
      </c>
      <c r="AB391" s="227" t="s">
        <v>1</v>
      </c>
      <c r="AC391" s="197">
        <v>0</v>
      </c>
      <c r="AD391" s="195">
        <v>2</v>
      </c>
      <c r="AE391" s="195">
        <v>24</v>
      </c>
      <c r="AF391" s="226">
        <v>612</v>
      </c>
      <c r="AG391" s="228" t="s">
        <v>1</v>
      </c>
      <c r="AH391" s="198" t="s">
        <v>1</v>
      </c>
      <c r="AI391" s="209" t="s">
        <v>1</v>
      </c>
      <c r="AJ391" s="209" t="s">
        <v>1</v>
      </c>
      <c r="AK391" s="209" t="s">
        <v>1</v>
      </c>
      <c r="AL391" s="214" t="s">
        <v>1</v>
      </c>
      <c r="AM391" s="200" t="s">
        <v>1</v>
      </c>
      <c r="AN391" s="199" t="s">
        <v>1</v>
      </c>
      <c r="AO391" s="199" t="s">
        <v>1</v>
      </c>
      <c r="AP391" s="198" t="s">
        <v>1</v>
      </c>
      <c r="AQ391" s="198" t="s">
        <v>1</v>
      </c>
      <c r="AR391" s="201" t="s">
        <v>1</v>
      </c>
      <c r="AS391" s="201" t="s">
        <v>1</v>
      </c>
      <c r="AT391" s="199" t="s">
        <v>1</v>
      </c>
      <c r="AU391" s="199" t="s">
        <v>1</v>
      </c>
      <c r="AV391" s="202" t="s">
        <v>1</v>
      </c>
      <c r="AW391" s="199" t="s">
        <v>1</v>
      </c>
    </row>
    <row r="392" spans="1:49" ht="30.15" customHeight="1" x14ac:dyDescent="0.25">
      <c r="A392" s="213" t="s">
        <v>18</v>
      </c>
      <c r="B392" s="188" t="s">
        <v>1</v>
      </c>
      <c r="C392" s="212" t="s">
        <v>34</v>
      </c>
      <c r="D392" s="190" t="s">
        <v>3</v>
      </c>
      <c r="E392" s="190" t="s">
        <v>1132</v>
      </c>
      <c r="F392" s="203"/>
      <c r="G392" s="190" t="s">
        <v>1136</v>
      </c>
      <c r="H392" s="192" t="s">
        <v>409</v>
      </c>
      <c r="I392" s="193">
        <v>1723</v>
      </c>
      <c r="J392" s="193">
        <v>1767</v>
      </c>
      <c r="K392" s="193">
        <v>1767</v>
      </c>
      <c r="L392" s="193">
        <v>1860</v>
      </c>
      <c r="M392" s="194">
        <v>1860</v>
      </c>
      <c r="N392" s="195">
        <v>0</v>
      </c>
      <c r="O392" s="195" t="s">
        <v>1</v>
      </c>
      <c r="P392" s="195" t="s">
        <v>1</v>
      </c>
      <c r="Q392" s="226">
        <v>612</v>
      </c>
      <c r="R392" s="227" t="s">
        <v>1255</v>
      </c>
      <c r="S392" s="197">
        <v>0</v>
      </c>
      <c r="T392" s="195" t="s">
        <v>1</v>
      </c>
      <c r="U392" s="195" t="s">
        <v>1</v>
      </c>
      <c r="V392" s="226">
        <v>612</v>
      </c>
      <c r="W392" s="226" t="s">
        <v>1255</v>
      </c>
      <c r="X392" s="195">
        <v>0</v>
      </c>
      <c r="Y392" s="195">
        <v>2</v>
      </c>
      <c r="Z392" s="195">
        <v>24</v>
      </c>
      <c r="AA392" s="226">
        <v>612</v>
      </c>
      <c r="AB392" s="227" t="s">
        <v>1</v>
      </c>
      <c r="AC392" s="197">
        <v>0</v>
      </c>
      <c r="AD392" s="195">
        <v>2</v>
      </c>
      <c r="AE392" s="195">
        <v>24</v>
      </c>
      <c r="AF392" s="226">
        <v>612</v>
      </c>
      <c r="AG392" s="228" t="s">
        <v>1</v>
      </c>
      <c r="AH392" s="198" t="s">
        <v>1</v>
      </c>
      <c r="AI392" s="209" t="s">
        <v>1</v>
      </c>
      <c r="AJ392" s="209" t="s">
        <v>1</v>
      </c>
      <c r="AK392" s="209" t="s">
        <v>1</v>
      </c>
      <c r="AL392" s="214" t="s">
        <v>1</v>
      </c>
      <c r="AM392" s="200" t="s">
        <v>1</v>
      </c>
      <c r="AN392" s="199" t="s">
        <v>1</v>
      </c>
      <c r="AO392" s="199" t="s">
        <v>1</v>
      </c>
      <c r="AP392" s="198" t="s">
        <v>1</v>
      </c>
      <c r="AQ392" s="198" t="s">
        <v>1</v>
      </c>
      <c r="AR392" s="201" t="s">
        <v>1</v>
      </c>
      <c r="AS392" s="201" t="s">
        <v>1</v>
      </c>
      <c r="AT392" s="199" t="s">
        <v>1</v>
      </c>
      <c r="AU392" s="199" t="s">
        <v>1</v>
      </c>
      <c r="AV392" s="202" t="s">
        <v>1</v>
      </c>
      <c r="AW392" s="199" t="s">
        <v>1</v>
      </c>
    </row>
    <row r="393" spans="1:49" ht="30.15" customHeight="1" x14ac:dyDescent="0.25">
      <c r="A393" s="213" t="s">
        <v>18</v>
      </c>
      <c r="B393" s="188" t="s">
        <v>1</v>
      </c>
      <c r="C393" s="212" t="s">
        <v>34</v>
      </c>
      <c r="D393" s="190" t="s">
        <v>3</v>
      </c>
      <c r="E393" s="190" t="s">
        <v>1133</v>
      </c>
      <c r="F393" s="203"/>
      <c r="G393" s="190" t="s">
        <v>1136</v>
      </c>
      <c r="H393" s="192" t="s">
        <v>409</v>
      </c>
      <c r="I393" s="193">
        <v>1723</v>
      </c>
      <c r="J393" s="193">
        <v>1767</v>
      </c>
      <c r="K393" s="193">
        <v>1767</v>
      </c>
      <c r="L393" s="193">
        <v>1860</v>
      </c>
      <c r="M393" s="194">
        <v>1860</v>
      </c>
      <c r="N393" s="195">
        <v>0</v>
      </c>
      <c r="O393" s="195" t="s">
        <v>1</v>
      </c>
      <c r="P393" s="195" t="s">
        <v>1</v>
      </c>
      <c r="Q393" s="226">
        <v>612</v>
      </c>
      <c r="R393" s="227" t="s">
        <v>1255</v>
      </c>
      <c r="S393" s="197">
        <v>0</v>
      </c>
      <c r="T393" s="195" t="s">
        <v>1</v>
      </c>
      <c r="U393" s="195" t="s">
        <v>1</v>
      </c>
      <c r="V393" s="226">
        <v>612</v>
      </c>
      <c r="W393" s="226" t="s">
        <v>1255</v>
      </c>
      <c r="X393" s="195">
        <v>0</v>
      </c>
      <c r="Y393" s="195">
        <v>2</v>
      </c>
      <c r="Z393" s="195">
        <v>24</v>
      </c>
      <c r="AA393" s="226">
        <v>612</v>
      </c>
      <c r="AB393" s="227" t="s">
        <v>1</v>
      </c>
      <c r="AC393" s="197">
        <v>0</v>
      </c>
      <c r="AD393" s="195">
        <v>2</v>
      </c>
      <c r="AE393" s="195">
        <v>24</v>
      </c>
      <c r="AF393" s="226">
        <v>612</v>
      </c>
      <c r="AG393" s="228" t="s">
        <v>1</v>
      </c>
      <c r="AH393" s="198" t="s">
        <v>1</v>
      </c>
      <c r="AI393" s="209" t="s">
        <v>1</v>
      </c>
      <c r="AJ393" s="209" t="s">
        <v>1</v>
      </c>
      <c r="AK393" s="209" t="s">
        <v>1</v>
      </c>
      <c r="AL393" s="214" t="s">
        <v>1</v>
      </c>
      <c r="AM393" s="200" t="s">
        <v>1</v>
      </c>
      <c r="AN393" s="199" t="s">
        <v>1</v>
      </c>
      <c r="AO393" s="199" t="s">
        <v>1</v>
      </c>
      <c r="AP393" s="198" t="s">
        <v>1</v>
      </c>
      <c r="AQ393" s="198" t="s">
        <v>1</v>
      </c>
      <c r="AR393" s="201" t="s">
        <v>1</v>
      </c>
      <c r="AS393" s="201" t="s">
        <v>1</v>
      </c>
      <c r="AT393" s="199" t="s">
        <v>1</v>
      </c>
      <c r="AU393" s="199" t="s">
        <v>1</v>
      </c>
      <c r="AV393" s="202" t="s">
        <v>1</v>
      </c>
      <c r="AW393" s="199" t="s">
        <v>1</v>
      </c>
    </row>
    <row r="394" spans="1:49" ht="30.15" customHeight="1" x14ac:dyDescent="0.25">
      <c r="A394" s="213" t="s">
        <v>18</v>
      </c>
      <c r="B394" s="188" t="s">
        <v>1</v>
      </c>
      <c r="C394" s="212" t="s">
        <v>34</v>
      </c>
      <c r="D394" s="254" t="s">
        <v>3</v>
      </c>
      <c r="E394" s="254" t="s">
        <v>1104</v>
      </c>
      <c r="F394" s="255"/>
      <c r="G394" s="254" t="s">
        <v>1119</v>
      </c>
      <c r="H394" s="192" t="s">
        <v>409</v>
      </c>
      <c r="I394" s="193">
        <v>1075</v>
      </c>
      <c r="J394" s="193">
        <v>1102</v>
      </c>
      <c r="K394" s="193">
        <v>1102</v>
      </c>
      <c r="L394" s="193">
        <v>1164</v>
      </c>
      <c r="M394" s="194">
        <v>1164</v>
      </c>
      <c r="N394" s="195">
        <v>0</v>
      </c>
      <c r="O394" s="195" t="s">
        <v>1</v>
      </c>
      <c r="P394" s="195" t="s">
        <v>1</v>
      </c>
      <c r="Q394" s="226">
        <v>540</v>
      </c>
      <c r="R394" s="227" t="s">
        <v>1252</v>
      </c>
      <c r="S394" s="197">
        <v>0</v>
      </c>
      <c r="T394" s="195" t="s">
        <v>1</v>
      </c>
      <c r="U394" s="195" t="s">
        <v>1</v>
      </c>
      <c r="V394" s="226">
        <v>540</v>
      </c>
      <c r="W394" s="226" t="s">
        <v>1252</v>
      </c>
      <c r="X394" s="195">
        <v>0</v>
      </c>
      <c r="Y394" s="258">
        <v>2</v>
      </c>
      <c r="Z394" s="195">
        <v>24</v>
      </c>
      <c r="AA394" s="226">
        <v>540</v>
      </c>
      <c r="AB394" s="227" t="s">
        <v>1</v>
      </c>
      <c r="AC394" s="197">
        <v>0</v>
      </c>
      <c r="AD394" s="258">
        <v>2</v>
      </c>
      <c r="AE394" s="195">
        <v>24</v>
      </c>
      <c r="AF394" s="226">
        <v>540</v>
      </c>
      <c r="AG394" s="228" t="s">
        <v>1</v>
      </c>
      <c r="AH394" s="198" t="s">
        <v>1</v>
      </c>
      <c r="AI394" s="209" t="s">
        <v>1</v>
      </c>
      <c r="AJ394" s="209" t="s">
        <v>1</v>
      </c>
      <c r="AK394" s="209" t="s">
        <v>1</v>
      </c>
      <c r="AL394" s="214" t="s">
        <v>1</v>
      </c>
      <c r="AM394" s="200" t="s">
        <v>1</v>
      </c>
      <c r="AN394" s="199" t="s">
        <v>1</v>
      </c>
      <c r="AO394" s="199" t="s">
        <v>1</v>
      </c>
      <c r="AP394" s="198" t="s">
        <v>1</v>
      </c>
      <c r="AQ394" s="198" t="s">
        <v>1</v>
      </c>
      <c r="AR394" s="201" t="s">
        <v>1</v>
      </c>
      <c r="AS394" s="201" t="s">
        <v>1</v>
      </c>
      <c r="AT394" s="199" t="s">
        <v>1</v>
      </c>
      <c r="AU394" s="199" t="s">
        <v>1</v>
      </c>
      <c r="AV394" s="202" t="s">
        <v>1</v>
      </c>
      <c r="AW394" s="199" t="s">
        <v>1</v>
      </c>
    </row>
    <row r="395" spans="1:49" ht="30.15" customHeight="1" x14ac:dyDescent="0.25">
      <c r="A395" s="213" t="s">
        <v>18</v>
      </c>
      <c r="B395" s="188" t="s">
        <v>1</v>
      </c>
      <c r="C395" s="212" t="s">
        <v>34</v>
      </c>
      <c r="D395" s="254" t="s">
        <v>3</v>
      </c>
      <c r="E395" s="254" t="s">
        <v>1105</v>
      </c>
      <c r="F395" s="255"/>
      <c r="G395" s="254" t="s">
        <v>1119</v>
      </c>
      <c r="H395" s="192" t="s">
        <v>409</v>
      </c>
      <c r="I395" s="193">
        <v>1075</v>
      </c>
      <c r="J395" s="193">
        <v>1102</v>
      </c>
      <c r="K395" s="193">
        <v>1102</v>
      </c>
      <c r="L395" s="193">
        <v>1164</v>
      </c>
      <c r="M395" s="194">
        <v>1164</v>
      </c>
      <c r="N395" s="195">
        <v>0</v>
      </c>
      <c r="O395" s="195" t="s">
        <v>1</v>
      </c>
      <c r="P395" s="195" t="s">
        <v>1</v>
      </c>
      <c r="Q395" s="226">
        <v>540</v>
      </c>
      <c r="R395" s="227" t="s">
        <v>1252</v>
      </c>
      <c r="S395" s="197">
        <v>0</v>
      </c>
      <c r="T395" s="195" t="s">
        <v>1</v>
      </c>
      <c r="U395" s="195" t="s">
        <v>1</v>
      </c>
      <c r="V395" s="226">
        <v>540</v>
      </c>
      <c r="W395" s="226" t="s">
        <v>1252</v>
      </c>
      <c r="X395" s="195">
        <v>0</v>
      </c>
      <c r="Y395" s="258">
        <v>2</v>
      </c>
      <c r="Z395" s="195">
        <v>24</v>
      </c>
      <c r="AA395" s="226">
        <v>540</v>
      </c>
      <c r="AB395" s="227" t="s">
        <v>1</v>
      </c>
      <c r="AC395" s="197">
        <v>0</v>
      </c>
      <c r="AD395" s="258">
        <v>2</v>
      </c>
      <c r="AE395" s="195">
        <v>24</v>
      </c>
      <c r="AF395" s="226">
        <v>540</v>
      </c>
      <c r="AG395" s="228" t="s">
        <v>1</v>
      </c>
      <c r="AH395" s="198" t="s">
        <v>1</v>
      </c>
      <c r="AI395" s="209" t="s">
        <v>1</v>
      </c>
      <c r="AJ395" s="209" t="s">
        <v>1</v>
      </c>
      <c r="AK395" s="209" t="s">
        <v>1</v>
      </c>
      <c r="AL395" s="214" t="s">
        <v>1</v>
      </c>
      <c r="AM395" s="200" t="s">
        <v>1</v>
      </c>
      <c r="AN395" s="199" t="s">
        <v>1</v>
      </c>
      <c r="AO395" s="199" t="s">
        <v>1</v>
      </c>
      <c r="AP395" s="198" t="s">
        <v>1</v>
      </c>
      <c r="AQ395" s="198" t="s">
        <v>1</v>
      </c>
      <c r="AR395" s="201" t="s">
        <v>1</v>
      </c>
      <c r="AS395" s="201" t="s">
        <v>1</v>
      </c>
      <c r="AT395" s="199" t="s">
        <v>1</v>
      </c>
      <c r="AU395" s="199" t="s">
        <v>1</v>
      </c>
      <c r="AV395" s="202" t="s">
        <v>1</v>
      </c>
      <c r="AW395" s="199" t="s">
        <v>1</v>
      </c>
    </row>
    <row r="396" spans="1:49" ht="30.15" customHeight="1" x14ac:dyDescent="0.25">
      <c r="A396" s="213" t="s">
        <v>18</v>
      </c>
      <c r="B396" s="188" t="s">
        <v>1</v>
      </c>
      <c r="C396" s="212" t="s">
        <v>34</v>
      </c>
      <c r="D396" s="254" t="s">
        <v>3</v>
      </c>
      <c r="E396" s="254" t="s">
        <v>1106</v>
      </c>
      <c r="F396" s="255"/>
      <c r="G396" s="254" t="s">
        <v>1119</v>
      </c>
      <c r="H396" s="192" t="s">
        <v>409</v>
      </c>
      <c r="I396" s="193">
        <v>1075</v>
      </c>
      <c r="J396" s="193">
        <v>1102</v>
      </c>
      <c r="K396" s="193">
        <v>1102</v>
      </c>
      <c r="L396" s="193">
        <v>1164</v>
      </c>
      <c r="M396" s="194">
        <v>1164</v>
      </c>
      <c r="N396" s="195">
        <v>0</v>
      </c>
      <c r="O396" s="195" t="s">
        <v>1</v>
      </c>
      <c r="P396" s="195" t="s">
        <v>1</v>
      </c>
      <c r="Q396" s="226">
        <v>540</v>
      </c>
      <c r="R396" s="227" t="s">
        <v>1252</v>
      </c>
      <c r="S396" s="197">
        <v>0</v>
      </c>
      <c r="T396" s="195" t="s">
        <v>1</v>
      </c>
      <c r="U396" s="195" t="s">
        <v>1</v>
      </c>
      <c r="V396" s="226">
        <v>540</v>
      </c>
      <c r="W396" s="226" t="s">
        <v>1252</v>
      </c>
      <c r="X396" s="195">
        <v>0</v>
      </c>
      <c r="Y396" s="258">
        <v>2</v>
      </c>
      <c r="Z396" s="195">
        <v>24</v>
      </c>
      <c r="AA396" s="226">
        <v>540</v>
      </c>
      <c r="AB396" s="227" t="s">
        <v>1</v>
      </c>
      <c r="AC396" s="197">
        <v>0</v>
      </c>
      <c r="AD396" s="258">
        <v>2</v>
      </c>
      <c r="AE396" s="195">
        <v>24</v>
      </c>
      <c r="AF396" s="226">
        <v>540</v>
      </c>
      <c r="AG396" s="228" t="s">
        <v>1</v>
      </c>
      <c r="AH396" s="198" t="s">
        <v>1</v>
      </c>
      <c r="AI396" s="209" t="s">
        <v>1</v>
      </c>
      <c r="AJ396" s="209" t="s">
        <v>1</v>
      </c>
      <c r="AK396" s="209" t="s">
        <v>1</v>
      </c>
      <c r="AL396" s="214" t="s">
        <v>1</v>
      </c>
      <c r="AM396" s="200" t="s">
        <v>1</v>
      </c>
      <c r="AN396" s="199" t="s">
        <v>1</v>
      </c>
      <c r="AO396" s="199" t="s">
        <v>1</v>
      </c>
      <c r="AP396" s="198" t="s">
        <v>1</v>
      </c>
      <c r="AQ396" s="198" t="s">
        <v>1</v>
      </c>
      <c r="AR396" s="201" t="s">
        <v>1</v>
      </c>
      <c r="AS396" s="201" t="s">
        <v>1</v>
      </c>
      <c r="AT396" s="199" t="s">
        <v>1</v>
      </c>
      <c r="AU396" s="199" t="s">
        <v>1</v>
      </c>
      <c r="AV396" s="202" t="s">
        <v>1</v>
      </c>
      <c r="AW396" s="199" t="s">
        <v>1</v>
      </c>
    </row>
    <row r="397" spans="1:49" ht="30.15" customHeight="1" x14ac:dyDescent="0.25">
      <c r="A397" s="213" t="s">
        <v>18</v>
      </c>
      <c r="B397" s="188" t="s">
        <v>1</v>
      </c>
      <c r="C397" s="212" t="s">
        <v>34</v>
      </c>
      <c r="D397" s="254" t="s">
        <v>3</v>
      </c>
      <c r="E397" s="254" t="s">
        <v>1107</v>
      </c>
      <c r="F397" s="255"/>
      <c r="G397" s="254" t="s">
        <v>1119</v>
      </c>
      <c r="H397" s="192" t="s">
        <v>409</v>
      </c>
      <c r="I397" s="193">
        <v>1075</v>
      </c>
      <c r="J397" s="193">
        <v>1102</v>
      </c>
      <c r="K397" s="193">
        <v>1102</v>
      </c>
      <c r="L397" s="193">
        <v>1164</v>
      </c>
      <c r="M397" s="194">
        <v>1164</v>
      </c>
      <c r="N397" s="195">
        <v>0</v>
      </c>
      <c r="O397" s="195" t="s">
        <v>1</v>
      </c>
      <c r="P397" s="195" t="s">
        <v>1</v>
      </c>
      <c r="Q397" s="226">
        <v>540</v>
      </c>
      <c r="R397" s="227" t="s">
        <v>1252</v>
      </c>
      <c r="S397" s="197">
        <v>0</v>
      </c>
      <c r="T397" s="195" t="s">
        <v>1</v>
      </c>
      <c r="U397" s="195" t="s">
        <v>1</v>
      </c>
      <c r="V397" s="226">
        <v>540</v>
      </c>
      <c r="W397" s="226" t="s">
        <v>1252</v>
      </c>
      <c r="X397" s="195">
        <v>0</v>
      </c>
      <c r="Y397" s="258">
        <v>2</v>
      </c>
      <c r="Z397" s="195">
        <v>24</v>
      </c>
      <c r="AA397" s="226">
        <v>540</v>
      </c>
      <c r="AB397" s="227" t="s">
        <v>1</v>
      </c>
      <c r="AC397" s="197">
        <v>0</v>
      </c>
      <c r="AD397" s="258">
        <v>2</v>
      </c>
      <c r="AE397" s="195">
        <v>24</v>
      </c>
      <c r="AF397" s="226">
        <v>540</v>
      </c>
      <c r="AG397" s="228" t="s">
        <v>1</v>
      </c>
      <c r="AH397" s="198" t="s">
        <v>1</v>
      </c>
      <c r="AI397" s="209" t="s">
        <v>1</v>
      </c>
      <c r="AJ397" s="209" t="s">
        <v>1</v>
      </c>
      <c r="AK397" s="209" t="s">
        <v>1</v>
      </c>
      <c r="AL397" s="214" t="s">
        <v>1</v>
      </c>
      <c r="AM397" s="200" t="s">
        <v>1</v>
      </c>
      <c r="AN397" s="199" t="s">
        <v>1</v>
      </c>
      <c r="AO397" s="199" t="s">
        <v>1</v>
      </c>
      <c r="AP397" s="198" t="s">
        <v>1</v>
      </c>
      <c r="AQ397" s="198" t="s">
        <v>1</v>
      </c>
      <c r="AR397" s="201" t="s">
        <v>1</v>
      </c>
      <c r="AS397" s="201" t="s">
        <v>1</v>
      </c>
      <c r="AT397" s="199" t="s">
        <v>1</v>
      </c>
      <c r="AU397" s="199" t="s">
        <v>1</v>
      </c>
      <c r="AV397" s="202" t="s">
        <v>1</v>
      </c>
      <c r="AW397" s="199" t="s">
        <v>1</v>
      </c>
    </row>
    <row r="398" spans="1:49" ht="30.15" customHeight="1" x14ac:dyDescent="0.25">
      <c r="A398" s="213" t="s">
        <v>18</v>
      </c>
      <c r="B398" s="188" t="s">
        <v>1</v>
      </c>
      <c r="C398" s="212" t="s">
        <v>34</v>
      </c>
      <c r="D398" s="254" t="s">
        <v>3</v>
      </c>
      <c r="E398" s="254" t="s">
        <v>1108</v>
      </c>
      <c r="F398" s="255"/>
      <c r="G398" s="254" t="s">
        <v>1119</v>
      </c>
      <c r="H398" s="192" t="s">
        <v>409</v>
      </c>
      <c r="I398" s="193">
        <v>1075</v>
      </c>
      <c r="J398" s="193">
        <v>1102</v>
      </c>
      <c r="K398" s="193">
        <v>1102</v>
      </c>
      <c r="L398" s="193">
        <v>1164</v>
      </c>
      <c r="M398" s="194">
        <v>1164</v>
      </c>
      <c r="N398" s="195">
        <v>0</v>
      </c>
      <c r="O398" s="195" t="s">
        <v>1</v>
      </c>
      <c r="P398" s="195" t="s">
        <v>1</v>
      </c>
      <c r="Q398" s="226">
        <v>540</v>
      </c>
      <c r="R398" s="227" t="s">
        <v>1252</v>
      </c>
      <c r="S398" s="197">
        <v>0</v>
      </c>
      <c r="T398" s="195" t="s">
        <v>1</v>
      </c>
      <c r="U398" s="195" t="s">
        <v>1</v>
      </c>
      <c r="V398" s="226">
        <v>540</v>
      </c>
      <c r="W398" s="226" t="s">
        <v>1252</v>
      </c>
      <c r="X398" s="195">
        <v>0</v>
      </c>
      <c r="Y398" s="258">
        <v>2</v>
      </c>
      <c r="Z398" s="195">
        <v>24</v>
      </c>
      <c r="AA398" s="226">
        <v>540</v>
      </c>
      <c r="AB398" s="227" t="s">
        <v>1</v>
      </c>
      <c r="AC398" s="197">
        <v>0</v>
      </c>
      <c r="AD398" s="258">
        <v>2</v>
      </c>
      <c r="AE398" s="195">
        <v>24</v>
      </c>
      <c r="AF398" s="226">
        <v>540</v>
      </c>
      <c r="AG398" s="228" t="s">
        <v>1</v>
      </c>
      <c r="AH398" s="198" t="s">
        <v>1</v>
      </c>
      <c r="AI398" s="209" t="s">
        <v>1</v>
      </c>
      <c r="AJ398" s="209" t="s">
        <v>1</v>
      </c>
      <c r="AK398" s="209" t="s">
        <v>1</v>
      </c>
      <c r="AL398" s="214" t="s">
        <v>1</v>
      </c>
      <c r="AM398" s="200" t="s">
        <v>1</v>
      </c>
      <c r="AN398" s="199" t="s">
        <v>1</v>
      </c>
      <c r="AO398" s="199" t="s">
        <v>1</v>
      </c>
      <c r="AP398" s="198" t="s">
        <v>1</v>
      </c>
      <c r="AQ398" s="198" t="s">
        <v>1</v>
      </c>
      <c r="AR398" s="201" t="s">
        <v>1</v>
      </c>
      <c r="AS398" s="201" t="s">
        <v>1</v>
      </c>
      <c r="AT398" s="199" t="s">
        <v>1</v>
      </c>
      <c r="AU398" s="199" t="s">
        <v>1</v>
      </c>
      <c r="AV398" s="202" t="s">
        <v>1</v>
      </c>
      <c r="AW398" s="199" t="s">
        <v>1</v>
      </c>
    </row>
    <row r="399" spans="1:49" ht="30.15" customHeight="1" x14ac:dyDescent="0.25">
      <c r="A399" s="213" t="s">
        <v>18</v>
      </c>
      <c r="B399" s="188" t="s">
        <v>1</v>
      </c>
      <c r="C399" s="212" t="s">
        <v>34</v>
      </c>
      <c r="D399" s="254" t="s">
        <v>3</v>
      </c>
      <c r="E399" s="254" t="s">
        <v>1248</v>
      </c>
      <c r="F399" s="255"/>
      <c r="G399" s="254" t="s">
        <v>1119</v>
      </c>
      <c r="H399" s="192" t="s">
        <v>409</v>
      </c>
      <c r="I399" s="193">
        <v>1075</v>
      </c>
      <c r="J399" s="193">
        <v>1102</v>
      </c>
      <c r="K399" s="193">
        <v>1102</v>
      </c>
      <c r="L399" s="193">
        <v>1164</v>
      </c>
      <c r="M399" s="194">
        <v>1164</v>
      </c>
      <c r="N399" s="195">
        <v>0</v>
      </c>
      <c r="O399" s="195" t="s">
        <v>1</v>
      </c>
      <c r="P399" s="195" t="s">
        <v>1</v>
      </c>
      <c r="Q399" s="226">
        <v>540</v>
      </c>
      <c r="R399" s="227" t="s">
        <v>1252</v>
      </c>
      <c r="S399" s="197">
        <v>0</v>
      </c>
      <c r="T399" s="195" t="s">
        <v>1</v>
      </c>
      <c r="U399" s="195" t="s">
        <v>1</v>
      </c>
      <c r="V399" s="226">
        <v>540</v>
      </c>
      <c r="W399" s="226" t="s">
        <v>1252</v>
      </c>
      <c r="X399" s="195">
        <v>0</v>
      </c>
      <c r="Y399" s="258">
        <v>2</v>
      </c>
      <c r="Z399" s="195">
        <v>24</v>
      </c>
      <c r="AA399" s="226">
        <v>540</v>
      </c>
      <c r="AB399" s="227" t="s">
        <v>1</v>
      </c>
      <c r="AC399" s="197">
        <v>0</v>
      </c>
      <c r="AD399" s="258">
        <v>2</v>
      </c>
      <c r="AE399" s="195">
        <v>24</v>
      </c>
      <c r="AF399" s="226">
        <v>540</v>
      </c>
      <c r="AG399" s="228" t="s">
        <v>1</v>
      </c>
      <c r="AH399" s="198" t="s">
        <v>1</v>
      </c>
      <c r="AI399" s="209" t="s">
        <v>1</v>
      </c>
      <c r="AJ399" s="209" t="s">
        <v>1</v>
      </c>
      <c r="AK399" s="209" t="s">
        <v>1</v>
      </c>
      <c r="AL399" s="214" t="s">
        <v>1</v>
      </c>
      <c r="AM399" s="200" t="s">
        <v>1</v>
      </c>
      <c r="AN399" s="199" t="s">
        <v>1</v>
      </c>
      <c r="AO399" s="199" t="s">
        <v>1</v>
      </c>
      <c r="AP399" s="198" t="s">
        <v>1</v>
      </c>
      <c r="AQ399" s="198" t="s">
        <v>1</v>
      </c>
      <c r="AR399" s="201" t="s">
        <v>1</v>
      </c>
      <c r="AS399" s="201" t="s">
        <v>1</v>
      </c>
      <c r="AT399" s="199" t="s">
        <v>1</v>
      </c>
      <c r="AU399" s="199" t="s">
        <v>1</v>
      </c>
      <c r="AV399" s="202" t="s">
        <v>1</v>
      </c>
      <c r="AW399" s="199" t="s">
        <v>1</v>
      </c>
    </row>
    <row r="400" spans="1:49" ht="30.15" customHeight="1" x14ac:dyDescent="0.25">
      <c r="A400" s="213" t="s">
        <v>18</v>
      </c>
      <c r="B400" s="188" t="s">
        <v>1</v>
      </c>
      <c r="C400" s="212" t="s">
        <v>34</v>
      </c>
      <c r="D400" s="254" t="s">
        <v>3</v>
      </c>
      <c r="E400" s="254" t="s">
        <v>1109</v>
      </c>
      <c r="F400" s="255"/>
      <c r="G400" s="254" t="s">
        <v>1120</v>
      </c>
      <c r="H400" s="192" t="s">
        <v>409</v>
      </c>
      <c r="I400" s="193">
        <v>1142</v>
      </c>
      <c r="J400" s="193">
        <v>1169</v>
      </c>
      <c r="K400" s="193">
        <v>1169</v>
      </c>
      <c r="L400" s="193">
        <v>1236</v>
      </c>
      <c r="M400" s="194">
        <v>1236</v>
      </c>
      <c r="N400" s="195">
        <v>0</v>
      </c>
      <c r="O400" s="195" t="s">
        <v>1</v>
      </c>
      <c r="P400" s="195" t="s">
        <v>1</v>
      </c>
      <c r="Q400" s="226">
        <v>552</v>
      </c>
      <c r="R400" s="227" t="s">
        <v>1252</v>
      </c>
      <c r="S400" s="197">
        <v>0</v>
      </c>
      <c r="T400" s="195" t="s">
        <v>1</v>
      </c>
      <c r="U400" s="195" t="s">
        <v>1</v>
      </c>
      <c r="V400" s="226">
        <v>552</v>
      </c>
      <c r="W400" s="226" t="s">
        <v>1252</v>
      </c>
      <c r="X400" s="195">
        <v>0</v>
      </c>
      <c r="Y400" s="258">
        <v>1.5</v>
      </c>
      <c r="Z400" s="195">
        <v>24</v>
      </c>
      <c r="AA400" s="226">
        <v>552</v>
      </c>
      <c r="AB400" s="227" t="s">
        <v>1</v>
      </c>
      <c r="AC400" s="197">
        <v>0</v>
      </c>
      <c r="AD400" s="258">
        <v>1.5</v>
      </c>
      <c r="AE400" s="195">
        <v>24</v>
      </c>
      <c r="AF400" s="226">
        <v>552</v>
      </c>
      <c r="AG400" s="228" t="s">
        <v>1</v>
      </c>
      <c r="AH400" s="198" t="s">
        <v>1</v>
      </c>
      <c r="AI400" s="209" t="s">
        <v>1</v>
      </c>
      <c r="AJ400" s="209" t="s">
        <v>1</v>
      </c>
      <c r="AK400" s="209" t="s">
        <v>1</v>
      </c>
      <c r="AL400" s="214" t="s">
        <v>1</v>
      </c>
      <c r="AM400" s="200" t="s">
        <v>1</v>
      </c>
      <c r="AN400" s="199" t="s">
        <v>1</v>
      </c>
      <c r="AO400" s="199" t="s">
        <v>1</v>
      </c>
      <c r="AP400" s="198" t="s">
        <v>1</v>
      </c>
      <c r="AQ400" s="198" t="s">
        <v>1</v>
      </c>
      <c r="AR400" s="201" t="s">
        <v>1</v>
      </c>
      <c r="AS400" s="201" t="s">
        <v>1</v>
      </c>
      <c r="AT400" s="199" t="s">
        <v>1</v>
      </c>
      <c r="AU400" s="199" t="s">
        <v>1</v>
      </c>
      <c r="AV400" s="202" t="s">
        <v>1</v>
      </c>
      <c r="AW400" s="199" t="s">
        <v>1</v>
      </c>
    </row>
    <row r="401" spans="1:49" ht="30.15" customHeight="1" x14ac:dyDescent="0.25">
      <c r="A401" s="213" t="s">
        <v>18</v>
      </c>
      <c r="B401" s="188" t="s">
        <v>1</v>
      </c>
      <c r="C401" s="212" t="s">
        <v>34</v>
      </c>
      <c r="D401" s="254" t="s">
        <v>3</v>
      </c>
      <c r="E401" s="254" t="s">
        <v>1110</v>
      </c>
      <c r="F401" s="255"/>
      <c r="G401" s="254" t="s">
        <v>1120</v>
      </c>
      <c r="H401" s="192" t="s">
        <v>409</v>
      </c>
      <c r="I401" s="193">
        <v>1142</v>
      </c>
      <c r="J401" s="193">
        <v>1169</v>
      </c>
      <c r="K401" s="193">
        <v>1169</v>
      </c>
      <c r="L401" s="193">
        <v>1236</v>
      </c>
      <c r="M401" s="194">
        <v>1236</v>
      </c>
      <c r="N401" s="195">
        <v>0</v>
      </c>
      <c r="O401" s="195" t="s">
        <v>1</v>
      </c>
      <c r="P401" s="195" t="s">
        <v>1</v>
      </c>
      <c r="Q401" s="226">
        <v>552</v>
      </c>
      <c r="R401" s="227" t="s">
        <v>1252</v>
      </c>
      <c r="S401" s="197">
        <v>0</v>
      </c>
      <c r="T401" s="195" t="s">
        <v>1</v>
      </c>
      <c r="U401" s="195" t="s">
        <v>1</v>
      </c>
      <c r="V401" s="226">
        <v>552</v>
      </c>
      <c r="W401" s="226" t="s">
        <v>1252</v>
      </c>
      <c r="X401" s="195">
        <v>0</v>
      </c>
      <c r="Y401" s="258">
        <v>1.5</v>
      </c>
      <c r="Z401" s="195">
        <v>24</v>
      </c>
      <c r="AA401" s="226">
        <v>552</v>
      </c>
      <c r="AB401" s="227" t="s">
        <v>1</v>
      </c>
      <c r="AC401" s="197">
        <v>0</v>
      </c>
      <c r="AD401" s="258">
        <v>1.5</v>
      </c>
      <c r="AE401" s="195">
        <v>24</v>
      </c>
      <c r="AF401" s="226">
        <v>552</v>
      </c>
      <c r="AG401" s="228" t="s">
        <v>1</v>
      </c>
      <c r="AH401" s="198" t="s">
        <v>1</v>
      </c>
      <c r="AI401" s="209" t="s">
        <v>1</v>
      </c>
      <c r="AJ401" s="209" t="s">
        <v>1</v>
      </c>
      <c r="AK401" s="209" t="s">
        <v>1</v>
      </c>
      <c r="AL401" s="214" t="s">
        <v>1</v>
      </c>
      <c r="AM401" s="200" t="s">
        <v>1</v>
      </c>
      <c r="AN401" s="199" t="s">
        <v>1</v>
      </c>
      <c r="AO401" s="199" t="s">
        <v>1</v>
      </c>
      <c r="AP401" s="198" t="s">
        <v>1</v>
      </c>
      <c r="AQ401" s="198" t="s">
        <v>1</v>
      </c>
      <c r="AR401" s="201" t="s">
        <v>1</v>
      </c>
      <c r="AS401" s="201" t="s">
        <v>1</v>
      </c>
      <c r="AT401" s="199" t="s">
        <v>1</v>
      </c>
      <c r="AU401" s="199" t="s">
        <v>1</v>
      </c>
      <c r="AV401" s="202" t="s">
        <v>1</v>
      </c>
      <c r="AW401" s="199" t="s">
        <v>1</v>
      </c>
    </row>
    <row r="402" spans="1:49" ht="30.15" customHeight="1" x14ac:dyDescent="0.25">
      <c r="A402" s="213" t="s">
        <v>18</v>
      </c>
      <c r="B402" s="188" t="s">
        <v>1</v>
      </c>
      <c r="C402" s="212" t="s">
        <v>34</v>
      </c>
      <c r="D402" s="254" t="s">
        <v>3</v>
      </c>
      <c r="E402" s="254" t="s">
        <v>1111</v>
      </c>
      <c r="F402" s="255"/>
      <c r="G402" s="254" t="s">
        <v>1120</v>
      </c>
      <c r="H402" s="192" t="s">
        <v>409</v>
      </c>
      <c r="I402" s="193">
        <v>1142</v>
      </c>
      <c r="J402" s="193">
        <v>1169</v>
      </c>
      <c r="K402" s="193">
        <v>1169</v>
      </c>
      <c r="L402" s="193">
        <v>1236</v>
      </c>
      <c r="M402" s="194">
        <v>1236</v>
      </c>
      <c r="N402" s="195">
        <v>0</v>
      </c>
      <c r="O402" s="195" t="s">
        <v>1</v>
      </c>
      <c r="P402" s="195" t="s">
        <v>1</v>
      </c>
      <c r="Q402" s="226">
        <v>552</v>
      </c>
      <c r="R402" s="227" t="s">
        <v>1252</v>
      </c>
      <c r="S402" s="197">
        <v>0</v>
      </c>
      <c r="T402" s="195" t="s">
        <v>1</v>
      </c>
      <c r="U402" s="195" t="s">
        <v>1</v>
      </c>
      <c r="V402" s="226">
        <v>552</v>
      </c>
      <c r="W402" s="226" t="s">
        <v>1252</v>
      </c>
      <c r="X402" s="195">
        <v>0</v>
      </c>
      <c r="Y402" s="258">
        <v>1.5</v>
      </c>
      <c r="Z402" s="195">
        <v>24</v>
      </c>
      <c r="AA402" s="226">
        <v>552</v>
      </c>
      <c r="AB402" s="227" t="s">
        <v>1</v>
      </c>
      <c r="AC402" s="197">
        <v>0</v>
      </c>
      <c r="AD402" s="258">
        <v>1.5</v>
      </c>
      <c r="AE402" s="195">
        <v>24</v>
      </c>
      <c r="AF402" s="226">
        <v>552</v>
      </c>
      <c r="AG402" s="228" t="s">
        <v>1</v>
      </c>
      <c r="AH402" s="198" t="s">
        <v>1</v>
      </c>
      <c r="AI402" s="209" t="s">
        <v>1</v>
      </c>
      <c r="AJ402" s="209" t="s">
        <v>1</v>
      </c>
      <c r="AK402" s="209" t="s">
        <v>1</v>
      </c>
      <c r="AL402" s="214" t="s">
        <v>1</v>
      </c>
      <c r="AM402" s="200" t="s">
        <v>1</v>
      </c>
      <c r="AN402" s="199" t="s">
        <v>1</v>
      </c>
      <c r="AO402" s="199" t="s">
        <v>1</v>
      </c>
      <c r="AP402" s="198" t="s">
        <v>1</v>
      </c>
      <c r="AQ402" s="198" t="s">
        <v>1</v>
      </c>
      <c r="AR402" s="201" t="s">
        <v>1</v>
      </c>
      <c r="AS402" s="201" t="s">
        <v>1</v>
      </c>
      <c r="AT402" s="199" t="s">
        <v>1</v>
      </c>
      <c r="AU402" s="199" t="s">
        <v>1</v>
      </c>
      <c r="AV402" s="202" t="s">
        <v>1</v>
      </c>
      <c r="AW402" s="199" t="s">
        <v>1</v>
      </c>
    </row>
    <row r="403" spans="1:49" ht="30.15" customHeight="1" x14ac:dyDescent="0.25">
      <c r="A403" s="213" t="s">
        <v>18</v>
      </c>
      <c r="B403" s="188" t="s">
        <v>1</v>
      </c>
      <c r="C403" s="212" t="s">
        <v>34</v>
      </c>
      <c r="D403" s="254" t="s">
        <v>3</v>
      </c>
      <c r="E403" s="254" t="s">
        <v>1112</v>
      </c>
      <c r="F403" s="255"/>
      <c r="G403" s="254" t="s">
        <v>1120</v>
      </c>
      <c r="H403" s="192" t="s">
        <v>409</v>
      </c>
      <c r="I403" s="193">
        <v>1142</v>
      </c>
      <c r="J403" s="193">
        <v>1169</v>
      </c>
      <c r="K403" s="193">
        <v>1169</v>
      </c>
      <c r="L403" s="193">
        <v>1236</v>
      </c>
      <c r="M403" s="194">
        <v>1236</v>
      </c>
      <c r="N403" s="195">
        <v>0</v>
      </c>
      <c r="O403" s="195" t="s">
        <v>1</v>
      </c>
      <c r="P403" s="195" t="s">
        <v>1</v>
      </c>
      <c r="Q403" s="226">
        <v>552</v>
      </c>
      <c r="R403" s="227" t="s">
        <v>1252</v>
      </c>
      <c r="S403" s="197">
        <v>0</v>
      </c>
      <c r="T403" s="195" t="s">
        <v>1</v>
      </c>
      <c r="U403" s="195" t="s">
        <v>1</v>
      </c>
      <c r="V403" s="226">
        <v>552</v>
      </c>
      <c r="W403" s="226" t="s">
        <v>1252</v>
      </c>
      <c r="X403" s="195">
        <v>0</v>
      </c>
      <c r="Y403" s="258">
        <v>1.5</v>
      </c>
      <c r="Z403" s="195">
        <v>24</v>
      </c>
      <c r="AA403" s="226">
        <v>552</v>
      </c>
      <c r="AB403" s="227" t="s">
        <v>1</v>
      </c>
      <c r="AC403" s="197">
        <v>0</v>
      </c>
      <c r="AD403" s="258">
        <v>1.5</v>
      </c>
      <c r="AE403" s="195">
        <v>24</v>
      </c>
      <c r="AF403" s="226">
        <v>552</v>
      </c>
      <c r="AG403" s="228" t="s">
        <v>1</v>
      </c>
      <c r="AH403" s="198" t="s">
        <v>1</v>
      </c>
      <c r="AI403" s="209" t="s">
        <v>1</v>
      </c>
      <c r="AJ403" s="209" t="s">
        <v>1</v>
      </c>
      <c r="AK403" s="209" t="s">
        <v>1</v>
      </c>
      <c r="AL403" s="214" t="s">
        <v>1</v>
      </c>
      <c r="AM403" s="200" t="s">
        <v>1</v>
      </c>
      <c r="AN403" s="199" t="s">
        <v>1</v>
      </c>
      <c r="AO403" s="199" t="s">
        <v>1</v>
      </c>
      <c r="AP403" s="198" t="s">
        <v>1</v>
      </c>
      <c r="AQ403" s="198" t="s">
        <v>1</v>
      </c>
      <c r="AR403" s="201" t="s">
        <v>1</v>
      </c>
      <c r="AS403" s="201" t="s">
        <v>1</v>
      </c>
      <c r="AT403" s="199" t="s">
        <v>1</v>
      </c>
      <c r="AU403" s="199" t="s">
        <v>1</v>
      </c>
      <c r="AV403" s="202" t="s">
        <v>1</v>
      </c>
      <c r="AW403" s="199" t="s">
        <v>1</v>
      </c>
    </row>
    <row r="404" spans="1:49" ht="30.15" customHeight="1" x14ac:dyDescent="0.25">
      <c r="A404" s="213" t="s">
        <v>18</v>
      </c>
      <c r="B404" s="188" t="s">
        <v>1</v>
      </c>
      <c r="C404" s="212" t="s">
        <v>34</v>
      </c>
      <c r="D404" s="254" t="s">
        <v>3</v>
      </c>
      <c r="E404" s="254" t="s">
        <v>1113</v>
      </c>
      <c r="F404" s="255"/>
      <c r="G404" s="254" t="s">
        <v>1120</v>
      </c>
      <c r="H404" s="192" t="s">
        <v>409</v>
      </c>
      <c r="I404" s="193">
        <v>1142</v>
      </c>
      <c r="J404" s="193">
        <v>1169</v>
      </c>
      <c r="K404" s="193">
        <v>1169</v>
      </c>
      <c r="L404" s="193">
        <v>1236</v>
      </c>
      <c r="M404" s="194">
        <v>1236</v>
      </c>
      <c r="N404" s="195">
        <v>0</v>
      </c>
      <c r="O404" s="195" t="s">
        <v>1</v>
      </c>
      <c r="P404" s="195" t="s">
        <v>1</v>
      </c>
      <c r="Q404" s="226">
        <v>552</v>
      </c>
      <c r="R404" s="227" t="s">
        <v>1252</v>
      </c>
      <c r="S404" s="197">
        <v>0</v>
      </c>
      <c r="T404" s="195" t="s">
        <v>1</v>
      </c>
      <c r="U404" s="195" t="s">
        <v>1</v>
      </c>
      <c r="V404" s="226">
        <v>552</v>
      </c>
      <c r="W404" s="226" t="s">
        <v>1252</v>
      </c>
      <c r="X404" s="195">
        <v>0</v>
      </c>
      <c r="Y404" s="258">
        <v>1.5</v>
      </c>
      <c r="Z404" s="195">
        <v>24</v>
      </c>
      <c r="AA404" s="226">
        <v>552</v>
      </c>
      <c r="AB404" s="227" t="s">
        <v>1</v>
      </c>
      <c r="AC404" s="197">
        <v>0</v>
      </c>
      <c r="AD404" s="258">
        <v>1.5</v>
      </c>
      <c r="AE404" s="195">
        <v>24</v>
      </c>
      <c r="AF404" s="226">
        <v>552</v>
      </c>
      <c r="AG404" s="228" t="s">
        <v>1</v>
      </c>
      <c r="AH404" s="198" t="s">
        <v>1</v>
      </c>
      <c r="AI404" s="209" t="s">
        <v>1</v>
      </c>
      <c r="AJ404" s="209" t="s">
        <v>1</v>
      </c>
      <c r="AK404" s="209" t="s">
        <v>1</v>
      </c>
      <c r="AL404" s="214" t="s">
        <v>1</v>
      </c>
      <c r="AM404" s="200" t="s">
        <v>1</v>
      </c>
      <c r="AN404" s="199" t="s">
        <v>1</v>
      </c>
      <c r="AO404" s="199" t="s">
        <v>1</v>
      </c>
      <c r="AP404" s="198" t="s">
        <v>1</v>
      </c>
      <c r="AQ404" s="198" t="s">
        <v>1</v>
      </c>
      <c r="AR404" s="201" t="s">
        <v>1</v>
      </c>
      <c r="AS404" s="201" t="s">
        <v>1</v>
      </c>
      <c r="AT404" s="199" t="s">
        <v>1</v>
      </c>
      <c r="AU404" s="199" t="s">
        <v>1</v>
      </c>
      <c r="AV404" s="202" t="s">
        <v>1</v>
      </c>
      <c r="AW404" s="199" t="s">
        <v>1</v>
      </c>
    </row>
    <row r="405" spans="1:49" ht="30.15" customHeight="1" x14ac:dyDescent="0.25">
      <c r="A405" s="213" t="s">
        <v>18</v>
      </c>
      <c r="B405" s="188" t="s">
        <v>1</v>
      </c>
      <c r="C405" s="212" t="s">
        <v>34</v>
      </c>
      <c r="D405" s="254" t="s">
        <v>3</v>
      </c>
      <c r="E405" s="254" t="s">
        <v>1268</v>
      </c>
      <c r="F405" s="255"/>
      <c r="G405" s="254" t="s">
        <v>1120</v>
      </c>
      <c r="H405" s="192" t="s">
        <v>414</v>
      </c>
      <c r="I405" s="193">
        <v>1142</v>
      </c>
      <c r="J405" s="193">
        <v>1169</v>
      </c>
      <c r="K405" s="193">
        <v>1169</v>
      </c>
      <c r="L405" s="193">
        <v>1236</v>
      </c>
      <c r="M405" s="194">
        <v>1236</v>
      </c>
      <c r="N405" s="229">
        <v>0</v>
      </c>
      <c r="O405" s="229" t="s">
        <v>1</v>
      </c>
      <c r="P405" s="229" t="s">
        <v>1</v>
      </c>
      <c r="Q405" s="230">
        <v>552</v>
      </c>
      <c r="R405" s="227" t="s">
        <v>1252</v>
      </c>
      <c r="S405" s="231">
        <v>0</v>
      </c>
      <c r="T405" s="229" t="s">
        <v>1</v>
      </c>
      <c r="U405" s="229" t="s">
        <v>1</v>
      </c>
      <c r="V405" s="230">
        <v>552</v>
      </c>
      <c r="W405" s="226" t="s">
        <v>1252</v>
      </c>
      <c r="X405" s="229">
        <v>0</v>
      </c>
      <c r="Y405" s="323">
        <v>1.5</v>
      </c>
      <c r="Z405" s="229">
        <v>24</v>
      </c>
      <c r="AA405" s="230">
        <v>552</v>
      </c>
      <c r="AB405" s="227" t="s">
        <v>1</v>
      </c>
      <c r="AC405" s="231">
        <v>0</v>
      </c>
      <c r="AD405" s="323">
        <v>1.5</v>
      </c>
      <c r="AE405" s="229">
        <v>24</v>
      </c>
      <c r="AF405" s="230">
        <v>552</v>
      </c>
      <c r="AG405" s="228" t="s">
        <v>1</v>
      </c>
      <c r="AH405" s="198" t="s">
        <v>1</v>
      </c>
      <c r="AI405" s="209" t="s">
        <v>1</v>
      </c>
      <c r="AJ405" s="209" t="s">
        <v>1</v>
      </c>
      <c r="AK405" s="209" t="s">
        <v>1</v>
      </c>
      <c r="AL405" s="214" t="s">
        <v>1</v>
      </c>
      <c r="AM405" s="200" t="s">
        <v>1</v>
      </c>
      <c r="AN405" s="199" t="s">
        <v>1</v>
      </c>
      <c r="AO405" s="199" t="s">
        <v>1</v>
      </c>
      <c r="AP405" s="198" t="s">
        <v>1</v>
      </c>
      <c r="AQ405" s="198" t="s">
        <v>1</v>
      </c>
      <c r="AR405" s="201" t="s">
        <v>1</v>
      </c>
      <c r="AS405" s="201" t="s">
        <v>1</v>
      </c>
      <c r="AT405" s="199" t="s">
        <v>1</v>
      </c>
      <c r="AU405" s="199" t="s">
        <v>1</v>
      </c>
      <c r="AV405" s="202" t="s">
        <v>1</v>
      </c>
      <c r="AW405" s="199" t="s">
        <v>1</v>
      </c>
    </row>
    <row r="406" spans="1:49" ht="30.15" customHeight="1" x14ac:dyDescent="0.25">
      <c r="A406" s="213" t="s">
        <v>18</v>
      </c>
      <c r="B406" s="188" t="s">
        <v>1</v>
      </c>
      <c r="C406" s="212" t="s">
        <v>34</v>
      </c>
      <c r="D406" s="254" t="s">
        <v>3</v>
      </c>
      <c r="E406" s="254" t="s">
        <v>1114</v>
      </c>
      <c r="F406" s="255"/>
      <c r="G406" s="254" t="s">
        <v>1121</v>
      </c>
      <c r="H406" s="192" t="s">
        <v>409</v>
      </c>
      <c r="I406" s="193">
        <v>1275</v>
      </c>
      <c r="J406" s="193">
        <v>1306</v>
      </c>
      <c r="K406" s="193">
        <v>1306</v>
      </c>
      <c r="L406" s="193">
        <v>1380</v>
      </c>
      <c r="M406" s="194">
        <v>1380</v>
      </c>
      <c r="N406" s="195">
        <v>0</v>
      </c>
      <c r="O406" s="195" t="s">
        <v>1</v>
      </c>
      <c r="P406" s="195" t="s">
        <v>1</v>
      </c>
      <c r="Q406" s="226">
        <v>588</v>
      </c>
      <c r="R406" s="227" t="s">
        <v>1253</v>
      </c>
      <c r="S406" s="197">
        <v>0</v>
      </c>
      <c r="T406" s="195" t="s">
        <v>1</v>
      </c>
      <c r="U406" s="195" t="s">
        <v>1</v>
      </c>
      <c r="V406" s="226">
        <v>588</v>
      </c>
      <c r="W406" s="226" t="s">
        <v>1253</v>
      </c>
      <c r="X406" s="195">
        <v>0</v>
      </c>
      <c r="Y406" s="258">
        <v>2</v>
      </c>
      <c r="Z406" s="195">
        <v>24</v>
      </c>
      <c r="AA406" s="226">
        <v>588</v>
      </c>
      <c r="AB406" s="227" t="s">
        <v>1</v>
      </c>
      <c r="AC406" s="197">
        <v>0</v>
      </c>
      <c r="AD406" s="258">
        <v>2</v>
      </c>
      <c r="AE406" s="195">
        <v>24</v>
      </c>
      <c r="AF406" s="226">
        <v>588</v>
      </c>
      <c r="AG406" s="228" t="s">
        <v>1</v>
      </c>
      <c r="AH406" s="198" t="s">
        <v>1</v>
      </c>
      <c r="AI406" s="209" t="s">
        <v>1</v>
      </c>
      <c r="AJ406" s="209" t="s">
        <v>1</v>
      </c>
      <c r="AK406" s="209" t="s">
        <v>1</v>
      </c>
      <c r="AL406" s="214" t="s">
        <v>1</v>
      </c>
      <c r="AM406" s="200" t="s">
        <v>1</v>
      </c>
      <c r="AN406" s="199" t="s">
        <v>1</v>
      </c>
      <c r="AO406" s="199" t="s">
        <v>1</v>
      </c>
      <c r="AP406" s="198" t="s">
        <v>1</v>
      </c>
      <c r="AQ406" s="198" t="s">
        <v>1</v>
      </c>
      <c r="AR406" s="201" t="s">
        <v>1</v>
      </c>
      <c r="AS406" s="201" t="s">
        <v>1</v>
      </c>
      <c r="AT406" s="199" t="s">
        <v>1</v>
      </c>
      <c r="AU406" s="199" t="s">
        <v>1</v>
      </c>
      <c r="AV406" s="202" t="s">
        <v>1</v>
      </c>
      <c r="AW406" s="199" t="s">
        <v>1</v>
      </c>
    </row>
    <row r="407" spans="1:49" ht="30.15" customHeight="1" x14ac:dyDescent="0.25">
      <c r="A407" s="213" t="s">
        <v>18</v>
      </c>
      <c r="B407" s="188" t="s">
        <v>1</v>
      </c>
      <c r="C407" s="212" t="s">
        <v>34</v>
      </c>
      <c r="D407" s="254" t="s">
        <v>3</v>
      </c>
      <c r="E407" s="254" t="s">
        <v>1115</v>
      </c>
      <c r="F407" s="255"/>
      <c r="G407" s="254" t="s">
        <v>1121</v>
      </c>
      <c r="H407" s="192" t="s">
        <v>409</v>
      </c>
      <c r="I407" s="193">
        <v>1275</v>
      </c>
      <c r="J407" s="193">
        <v>1306</v>
      </c>
      <c r="K407" s="193">
        <v>1306</v>
      </c>
      <c r="L407" s="193">
        <v>1380</v>
      </c>
      <c r="M407" s="194">
        <v>1380</v>
      </c>
      <c r="N407" s="195">
        <v>0</v>
      </c>
      <c r="O407" s="195" t="s">
        <v>1</v>
      </c>
      <c r="P407" s="195" t="s">
        <v>1</v>
      </c>
      <c r="Q407" s="226">
        <v>588</v>
      </c>
      <c r="R407" s="227" t="s">
        <v>1253</v>
      </c>
      <c r="S407" s="197">
        <v>0</v>
      </c>
      <c r="T407" s="195" t="s">
        <v>1</v>
      </c>
      <c r="U407" s="195" t="s">
        <v>1</v>
      </c>
      <c r="V407" s="226">
        <v>588</v>
      </c>
      <c r="W407" s="226" t="s">
        <v>1253</v>
      </c>
      <c r="X407" s="195">
        <v>0</v>
      </c>
      <c r="Y407" s="258">
        <v>2</v>
      </c>
      <c r="Z407" s="195">
        <v>24</v>
      </c>
      <c r="AA407" s="226">
        <v>588</v>
      </c>
      <c r="AB407" s="227" t="s">
        <v>1</v>
      </c>
      <c r="AC407" s="197">
        <v>0</v>
      </c>
      <c r="AD407" s="258">
        <v>2</v>
      </c>
      <c r="AE407" s="195">
        <v>24</v>
      </c>
      <c r="AF407" s="226">
        <v>588</v>
      </c>
      <c r="AG407" s="228" t="s">
        <v>1</v>
      </c>
      <c r="AH407" s="198" t="s">
        <v>1</v>
      </c>
      <c r="AI407" s="209" t="s">
        <v>1</v>
      </c>
      <c r="AJ407" s="209" t="s">
        <v>1</v>
      </c>
      <c r="AK407" s="209" t="s">
        <v>1</v>
      </c>
      <c r="AL407" s="214" t="s">
        <v>1</v>
      </c>
      <c r="AM407" s="200" t="s">
        <v>1</v>
      </c>
      <c r="AN407" s="199" t="s">
        <v>1</v>
      </c>
      <c r="AO407" s="199" t="s">
        <v>1</v>
      </c>
      <c r="AP407" s="198" t="s">
        <v>1</v>
      </c>
      <c r="AQ407" s="198" t="s">
        <v>1</v>
      </c>
      <c r="AR407" s="201" t="s">
        <v>1</v>
      </c>
      <c r="AS407" s="201" t="s">
        <v>1</v>
      </c>
      <c r="AT407" s="199" t="s">
        <v>1</v>
      </c>
      <c r="AU407" s="199" t="s">
        <v>1</v>
      </c>
      <c r="AV407" s="202" t="s">
        <v>1</v>
      </c>
      <c r="AW407" s="199" t="s">
        <v>1</v>
      </c>
    </row>
    <row r="408" spans="1:49" ht="30.15" customHeight="1" x14ac:dyDescent="0.25">
      <c r="A408" s="213" t="s">
        <v>18</v>
      </c>
      <c r="B408" s="188" t="s">
        <v>1</v>
      </c>
      <c r="C408" s="212" t="s">
        <v>34</v>
      </c>
      <c r="D408" s="254" t="s">
        <v>3</v>
      </c>
      <c r="E408" s="254" t="s">
        <v>1116</v>
      </c>
      <c r="F408" s="255"/>
      <c r="G408" s="254" t="s">
        <v>1121</v>
      </c>
      <c r="H408" s="192" t="s">
        <v>409</v>
      </c>
      <c r="I408" s="193">
        <v>1275</v>
      </c>
      <c r="J408" s="193">
        <v>1306</v>
      </c>
      <c r="K408" s="193">
        <v>1306</v>
      </c>
      <c r="L408" s="193">
        <v>1380</v>
      </c>
      <c r="M408" s="194">
        <v>1380</v>
      </c>
      <c r="N408" s="195">
        <v>0</v>
      </c>
      <c r="O408" s="195" t="s">
        <v>1</v>
      </c>
      <c r="P408" s="195" t="s">
        <v>1</v>
      </c>
      <c r="Q408" s="226">
        <v>588</v>
      </c>
      <c r="R408" s="227" t="s">
        <v>1253</v>
      </c>
      <c r="S408" s="197">
        <v>0</v>
      </c>
      <c r="T408" s="195" t="s">
        <v>1</v>
      </c>
      <c r="U408" s="195" t="s">
        <v>1</v>
      </c>
      <c r="V408" s="226">
        <v>588</v>
      </c>
      <c r="W408" s="226" t="s">
        <v>1253</v>
      </c>
      <c r="X408" s="195">
        <v>0</v>
      </c>
      <c r="Y408" s="258">
        <v>2</v>
      </c>
      <c r="Z408" s="195">
        <v>24</v>
      </c>
      <c r="AA408" s="226">
        <v>588</v>
      </c>
      <c r="AB408" s="227" t="s">
        <v>1</v>
      </c>
      <c r="AC408" s="197">
        <v>0</v>
      </c>
      <c r="AD408" s="258">
        <v>2</v>
      </c>
      <c r="AE408" s="195">
        <v>24</v>
      </c>
      <c r="AF408" s="226">
        <v>588</v>
      </c>
      <c r="AG408" s="228" t="s">
        <v>1</v>
      </c>
      <c r="AH408" s="198" t="s">
        <v>1</v>
      </c>
      <c r="AI408" s="209" t="s">
        <v>1</v>
      </c>
      <c r="AJ408" s="209" t="s">
        <v>1</v>
      </c>
      <c r="AK408" s="209" t="s">
        <v>1</v>
      </c>
      <c r="AL408" s="214" t="s">
        <v>1</v>
      </c>
      <c r="AM408" s="200" t="s">
        <v>1</v>
      </c>
      <c r="AN408" s="199" t="s">
        <v>1</v>
      </c>
      <c r="AO408" s="199" t="s">
        <v>1</v>
      </c>
      <c r="AP408" s="198" t="s">
        <v>1</v>
      </c>
      <c r="AQ408" s="198" t="s">
        <v>1</v>
      </c>
      <c r="AR408" s="201" t="s">
        <v>1</v>
      </c>
      <c r="AS408" s="201" t="s">
        <v>1</v>
      </c>
      <c r="AT408" s="199" t="s">
        <v>1</v>
      </c>
      <c r="AU408" s="199" t="s">
        <v>1</v>
      </c>
      <c r="AV408" s="202" t="s">
        <v>1</v>
      </c>
      <c r="AW408" s="199" t="s">
        <v>1</v>
      </c>
    </row>
    <row r="409" spans="1:49" ht="30.15" customHeight="1" x14ac:dyDescent="0.25">
      <c r="A409" s="213" t="s">
        <v>18</v>
      </c>
      <c r="B409" s="188" t="s">
        <v>1</v>
      </c>
      <c r="C409" s="212" t="s">
        <v>34</v>
      </c>
      <c r="D409" s="254" t="s">
        <v>3</v>
      </c>
      <c r="E409" s="254" t="s">
        <v>1117</v>
      </c>
      <c r="F409" s="255"/>
      <c r="G409" s="254" t="s">
        <v>1121</v>
      </c>
      <c r="H409" s="192" t="s">
        <v>409</v>
      </c>
      <c r="I409" s="193">
        <v>1275</v>
      </c>
      <c r="J409" s="193">
        <v>1306</v>
      </c>
      <c r="K409" s="193">
        <v>1306</v>
      </c>
      <c r="L409" s="193">
        <v>1380</v>
      </c>
      <c r="M409" s="194">
        <v>1380</v>
      </c>
      <c r="N409" s="195">
        <v>0</v>
      </c>
      <c r="O409" s="195" t="s">
        <v>1</v>
      </c>
      <c r="P409" s="195" t="s">
        <v>1</v>
      </c>
      <c r="Q409" s="226">
        <v>588</v>
      </c>
      <c r="R409" s="227" t="s">
        <v>1253</v>
      </c>
      <c r="S409" s="197">
        <v>0</v>
      </c>
      <c r="T409" s="195" t="s">
        <v>1</v>
      </c>
      <c r="U409" s="195" t="s">
        <v>1</v>
      </c>
      <c r="V409" s="226">
        <v>588</v>
      </c>
      <c r="W409" s="226" t="s">
        <v>1253</v>
      </c>
      <c r="X409" s="195">
        <v>0</v>
      </c>
      <c r="Y409" s="258">
        <v>2</v>
      </c>
      <c r="Z409" s="195">
        <v>24</v>
      </c>
      <c r="AA409" s="226">
        <v>588</v>
      </c>
      <c r="AB409" s="227" t="s">
        <v>1</v>
      </c>
      <c r="AC409" s="197">
        <v>0</v>
      </c>
      <c r="AD409" s="258">
        <v>2</v>
      </c>
      <c r="AE409" s="195">
        <v>24</v>
      </c>
      <c r="AF409" s="226">
        <v>588</v>
      </c>
      <c r="AG409" s="228" t="s">
        <v>1</v>
      </c>
      <c r="AH409" s="198" t="s">
        <v>1</v>
      </c>
      <c r="AI409" s="209" t="s">
        <v>1</v>
      </c>
      <c r="AJ409" s="209" t="s">
        <v>1</v>
      </c>
      <c r="AK409" s="209" t="s">
        <v>1</v>
      </c>
      <c r="AL409" s="214" t="s">
        <v>1</v>
      </c>
      <c r="AM409" s="200" t="s">
        <v>1</v>
      </c>
      <c r="AN409" s="199" t="s">
        <v>1</v>
      </c>
      <c r="AO409" s="199" t="s">
        <v>1</v>
      </c>
      <c r="AP409" s="198" t="s">
        <v>1</v>
      </c>
      <c r="AQ409" s="198" t="s">
        <v>1</v>
      </c>
      <c r="AR409" s="201" t="s">
        <v>1</v>
      </c>
      <c r="AS409" s="201" t="s">
        <v>1</v>
      </c>
      <c r="AT409" s="199" t="s">
        <v>1</v>
      </c>
      <c r="AU409" s="199" t="s">
        <v>1</v>
      </c>
      <c r="AV409" s="202" t="s">
        <v>1</v>
      </c>
      <c r="AW409" s="199" t="s">
        <v>1</v>
      </c>
    </row>
    <row r="410" spans="1:49" ht="30.15" customHeight="1" x14ac:dyDescent="0.25">
      <c r="A410" s="213" t="s">
        <v>18</v>
      </c>
      <c r="B410" s="188" t="s">
        <v>1</v>
      </c>
      <c r="C410" s="212" t="s">
        <v>34</v>
      </c>
      <c r="D410" s="254" t="s">
        <v>3</v>
      </c>
      <c r="E410" s="254" t="s">
        <v>1118</v>
      </c>
      <c r="F410" s="255"/>
      <c r="G410" s="254" t="s">
        <v>1121</v>
      </c>
      <c r="H410" s="192" t="s">
        <v>409</v>
      </c>
      <c r="I410" s="193">
        <v>1275</v>
      </c>
      <c r="J410" s="193">
        <v>1306</v>
      </c>
      <c r="K410" s="193">
        <v>1306</v>
      </c>
      <c r="L410" s="193">
        <v>1380</v>
      </c>
      <c r="M410" s="194">
        <v>1380</v>
      </c>
      <c r="N410" s="195">
        <v>0</v>
      </c>
      <c r="O410" s="195" t="s">
        <v>1</v>
      </c>
      <c r="P410" s="195" t="s">
        <v>1</v>
      </c>
      <c r="Q410" s="226">
        <v>588</v>
      </c>
      <c r="R410" s="227" t="s">
        <v>1253</v>
      </c>
      <c r="S410" s="197">
        <v>0</v>
      </c>
      <c r="T410" s="195" t="s">
        <v>1</v>
      </c>
      <c r="U410" s="195" t="s">
        <v>1</v>
      </c>
      <c r="V410" s="226">
        <v>588</v>
      </c>
      <c r="W410" s="226" t="s">
        <v>1253</v>
      </c>
      <c r="X410" s="195">
        <v>0</v>
      </c>
      <c r="Y410" s="258">
        <v>2</v>
      </c>
      <c r="Z410" s="195">
        <v>24</v>
      </c>
      <c r="AA410" s="226">
        <v>588</v>
      </c>
      <c r="AB410" s="227" t="s">
        <v>1</v>
      </c>
      <c r="AC410" s="197">
        <v>0</v>
      </c>
      <c r="AD410" s="258">
        <v>2</v>
      </c>
      <c r="AE410" s="195">
        <v>24</v>
      </c>
      <c r="AF410" s="226">
        <v>588</v>
      </c>
      <c r="AG410" s="228" t="s">
        <v>1</v>
      </c>
      <c r="AH410" s="198" t="s">
        <v>1</v>
      </c>
      <c r="AI410" s="209" t="s">
        <v>1</v>
      </c>
      <c r="AJ410" s="209" t="s">
        <v>1</v>
      </c>
      <c r="AK410" s="209" t="s">
        <v>1</v>
      </c>
      <c r="AL410" s="214" t="s">
        <v>1</v>
      </c>
      <c r="AM410" s="200" t="s">
        <v>1</v>
      </c>
      <c r="AN410" s="199" t="s">
        <v>1</v>
      </c>
      <c r="AO410" s="199" t="s">
        <v>1</v>
      </c>
      <c r="AP410" s="198" t="s">
        <v>1</v>
      </c>
      <c r="AQ410" s="198" t="s">
        <v>1</v>
      </c>
      <c r="AR410" s="201" t="s">
        <v>1</v>
      </c>
      <c r="AS410" s="201" t="s">
        <v>1</v>
      </c>
      <c r="AT410" s="199" t="s">
        <v>1</v>
      </c>
      <c r="AU410" s="199" t="s">
        <v>1</v>
      </c>
      <c r="AV410" s="202" t="s">
        <v>1</v>
      </c>
      <c r="AW410" s="199" t="s">
        <v>1</v>
      </c>
    </row>
    <row r="411" spans="1:49" ht="30.15" customHeight="1" x14ac:dyDescent="0.25">
      <c r="A411" s="213" t="s">
        <v>18</v>
      </c>
      <c r="B411" s="188" t="s">
        <v>1</v>
      </c>
      <c r="C411" s="212" t="s">
        <v>34</v>
      </c>
      <c r="D411" s="254" t="s">
        <v>3</v>
      </c>
      <c r="E411" s="254" t="s">
        <v>1269</v>
      </c>
      <c r="F411" s="255"/>
      <c r="G411" s="254" t="s">
        <v>1121</v>
      </c>
      <c r="H411" s="192" t="s">
        <v>414</v>
      </c>
      <c r="I411" s="193">
        <v>1275</v>
      </c>
      <c r="J411" s="193">
        <v>1306</v>
      </c>
      <c r="K411" s="193">
        <v>1306</v>
      </c>
      <c r="L411" s="193">
        <v>1380</v>
      </c>
      <c r="M411" s="194">
        <v>1380</v>
      </c>
      <c r="N411" s="229">
        <v>0</v>
      </c>
      <c r="O411" s="229" t="s">
        <v>1</v>
      </c>
      <c r="P411" s="229" t="s">
        <v>1</v>
      </c>
      <c r="Q411" s="230">
        <v>588</v>
      </c>
      <c r="R411" s="227" t="s">
        <v>1253</v>
      </c>
      <c r="S411" s="231">
        <v>0</v>
      </c>
      <c r="T411" s="229" t="s">
        <v>1</v>
      </c>
      <c r="U411" s="229" t="s">
        <v>1</v>
      </c>
      <c r="V411" s="230">
        <v>588</v>
      </c>
      <c r="W411" s="226" t="s">
        <v>1253</v>
      </c>
      <c r="X411" s="229">
        <v>0</v>
      </c>
      <c r="Y411" s="323">
        <v>2</v>
      </c>
      <c r="Z411" s="229">
        <v>24</v>
      </c>
      <c r="AA411" s="230">
        <v>588</v>
      </c>
      <c r="AB411" s="227" t="s">
        <v>1</v>
      </c>
      <c r="AC411" s="231">
        <v>0</v>
      </c>
      <c r="AD411" s="323">
        <v>2</v>
      </c>
      <c r="AE411" s="196">
        <v>24</v>
      </c>
      <c r="AF411" s="230">
        <v>588</v>
      </c>
      <c r="AG411" s="228" t="s">
        <v>1</v>
      </c>
      <c r="AH411" s="198" t="s">
        <v>1</v>
      </c>
      <c r="AI411" s="209" t="s">
        <v>1</v>
      </c>
      <c r="AJ411" s="209" t="s">
        <v>1</v>
      </c>
      <c r="AK411" s="209" t="s">
        <v>1</v>
      </c>
      <c r="AL411" s="214" t="s">
        <v>1</v>
      </c>
      <c r="AM411" s="200" t="s">
        <v>1</v>
      </c>
      <c r="AN411" s="199" t="s">
        <v>1</v>
      </c>
      <c r="AO411" s="199" t="s">
        <v>1</v>
      </c>
      <c r="AP411" s="198" t="s">
        <v>1</v>
      </c>
      <c r="AQ411" s="198" t="s">
        <v>1</v>
      </c>
      <c r="AR411" s="201" t="s">
        <v>1</v>
      </c>
      <c r="AS411" s="201" t="s">
        <v>1</v>
      </c>
      <c r="AT411" s="199" t="s">
        <v>1</v>
      </c>
      <c r="AU411" s="199" t="s">
        <v>1</v>
      </c>
      <c r="AV411" s="202" t="s">
        <v>1</v>
      </c>
      <c r="AW411" s="199" t="s">
        <v>1</v>
      </c>
    </row>
    <row r="412" spans="1:49" ht="30.15" customHeight="1" x14ac:dyDescent="0.25">
      <c r="A412" s="213" t="s">
        <v>18</v>
      </c>
      <c r="B412" s="189" t="s">
        <v>1</v>
      </c>
      <c r="C412" s="212" t="s">
        <v>34</v>
      </c>
      <c r="D412" s="190" t="s">
        <v>209</v>
      </c>
      <c r="E412" s="190" t="s">
        <v>496</v>
      </c>
      <c r="F412" s="203"/>
      <c r="G412" s="190" t="s">
        <v>492</v>
      </c>
      <c r="H412" s="192" t="s">
        <v>409</v>
      </c>
      <c r="I412" s="193">
        <v>970</v>
      </c>
      <c r="J412" s="193">
        <v>970</v>
      </c>
      <c r="K412" s="193">
        <v>970</v>
      </c>
      <c r="L412" s="193">
        <v>1125</v>
      </c>
      <c r="M412" s="194">
        <v>1125</v>
      </c>
      <c r="N412" s="195">
        <v>0</v>
      </c>
      <c r="O412" s="195">
        <v>36.880000000000003</v>
      </c>
      <c r="P412" s="195">
        <v>24</v>
      </c>
      <c r="Q412" s="195" t="s">
        <v>1</v>
      </c>
      <c r="R412" s="196" t="s">
        <v>1</v>
      </c>
      <c r="S412" s="197">
        <v>0</v>
      </c>
      <c r="T412" s="195">
        <v>36.880000000000003</v>
      </c>
      <c r="U412" s="195">
        <v>24</v>
      </c>
      <c r="V412" s="197" t="s">
        <v>1</v>
      </c>
      <c r="W412" s="196" t="s">
        <v>1</v>
      </c>
      <c r="X412" s="195">
        <v>0</v>
      </c>
      <c r="Y412" s="195">
        <v>36.880000000000003</v>
      </c>
      <c r="Z412" s="195">
        <v>24</v>
      </c>
      <c r="AA412" s="196" t="s">
        <v>1</v>
      </c>
      <c r="AB412" s="196" t="s">
        <v>1</v>
      </c>
      <c r="AC412" s="197">
        <v>0</v>
      </c>
      <c r="AD412" s="197">
        <v>36.880000000000003</v>
      </c>
      <c r="AE412" s="197">
        <v>24</v>
      </c>
      <c r="AF412" s="198" t="s">
        <v>1</v>
      </c>
      <c r="AG412" s="198" t="s">
        <v>1</v>
      </c>
      <c r="AH412" s="198" t="s">
        <v>1</v>
      </c>
      <c r="AI412" s="209" t="s">
        <v>1</v>
      </c>
      <c r="AJ412" s="209" t="s">
        <v>1</v>
      </c>
      <c r="AK412" s="209" t="s">
        <v>1</v>
      </c>
      <c r="AL412" s="214" t="s">
        <v>1</v>
      </c>
      <c r="AM412" s="200" t="s">
        <v>1</v>
      </c>
      <c r="AN412" s="199" t="s">
        <v>1</v>
      </c>
      <c r="AO412" s="199" t="s">
        <v>1</v>
      </c>
      <c r="AP412" s="198" t="s">
        <v>1</v>
      </c>
      <c r="AQ412" s="198" t="s">
        <v>1</v>
      </c>
      <c r="AR412" s="201" t="s">
        <v>1</v>
      </c>
      <c r="AS412" s="201" t="s">
        <v>1</v>
      </c>
      <c r="AT412" s="199" t="s">
        <v>1</v>
      </c>
      <c r="AU412" s="199" t="s">
        <v>1</v>
      </c>
      <c r="AV412" s="202" t="s">
        <v>1</v>
      </c>
      <c r="AW412" s="199" t="s">
        <v>1</v>
      </c>
    </row>
    <row r="413" spans="1:49" ht="30.15" customHeight="1" x14ac:dyDescent="0.25">
      <c r="A413" s="213" t="s">
        <v>18</v>
      </c>
      <c r="B413" s="189" t="s">
        <v>1</v>
      </c>
      <c r="C413" s="212" t="s">
        <v>34</v>
      </c>
      <c r="D413" s="190" t="s">
        <v>209</v>
      </c>
      <c r="E413" s="190" t="s">
        <v>497</v>
      </c>
      <c r="F413" s="203"/>
      <c r="G413" s="190" t="s">
        <v>492</v>
      </c>
      <c r="H413" s="192" t="s">
        <v>409</v>
      </c>
      <c r="I413" s="193">
        <v>970</v>
      </c>
      <c r="J413" s="193">
        <v>970</v>
      </c>
      <c r="K413" s="193">
        <v>970</v>
      </c>
      <c r="L413" s="193">
        <v>1125</v>
      </c>
      <c r="M413" s="194">
        <v>1125</v>
      </c>
      <c r="N413" s="195">
        <v>0</v>
      </c>
      <c r="O413" s="195">
        <v>36.880000000000003</v>
      </c>
      <c r="P413" s="195">
        <v>24</v>
      </c>
      <c r="Q413" s="195" t="s">
        <v>1</v>
      </c>
      <c r="R413" s="196" t="s">
        <v>1</v>
      </c>
      <c r="S413" s="197">
        <v>0</v>
      </c>
      <c r="T413" s="195">
        <v>36.880000000000003</v>
      </c>
      <c r="U413" s="195">
        <v>24</v>
      </c>
      <c r="V413" s="197" t="s">
        <v>1</v>
      </c>
      <c r="W413" s="196" t="s">
        <v>1</v>
      </c>
      <c r="X413" s="195">
        <v>0</v>
      </c>
      <c r="Y413" s="195">
        <v>36.880000000000003</v>
      </c>
      <c r="Z413" s="195">
        <v>24</v>
      </c>
      <c r="AA413" s="196" t="s">
        <v>1</v>
      </c>
      <c r="AB413" s="196" t="s">
        <v>1</v>
      </c>
      <c r="AC413" s="197">
        <v>0</v>
      </c>
      <c r="AD413" s="197">
        <v>36.880000000000003</v>
      </c>
      <c r="AE413" s="197">
        <v>24</v>
      </c>
      <c r="AF413" s="198" t="s">
        <v>1</v>
      </c>
      <c r="AG413" s="198" t="s">
        <v>1</v>
      </c>
      <c r="AH413" s="198" t="s">
        <v>1</v>
      </c>
      <c r="AI413" s="209" t="s">
        <v>1</v>
      </c>
      <c r="AJ413" s="209" t="s">
        <v>1</v>
      </c>
      <c r="AK413" s="209" t="s">
        <v>1</v>
      </c>
      <c r="AL413" s="214" t="s">
        <v>1</v>
      </c>
      <c r="AM413" s="200" t="s">
        <v>1</v>
      </c>
      <c r="AN413" s="199" t="s">
        <v>1</v>
      </c>
      <c r="AO413" s="199" t="s">
        <v>1</v>
      </c>
      <c r="AP413" s="198" t="s">
        <v>1</v>
      </c>
      <c r="AQ413" s="198" t="s">
        <v>1</v>
      </c>
      <c r="AR413" s="201" t="s">
        <v>1</v>
      </c>
      <c r="AS413" s="201" t="s">
        <v>1</v>
      </c>
      <c r="AT413" s="199" t="s">
        <v>1</v>
      </c>
      <c r="AU413" s="199" t="s">
        <v>1</v>
      </c>
      <c r="AV413" s="202" t="s">
        <v>1</v>
      </c>
      <c r="AW413" s="199" t="s">
        <v>1</v>
      </c>
    </row>
    <row r="414" spans="1:49" ht="30.15" customHeight="1" x14ac:dyDescent="0.25">
      <c r="A414" s="213" t="s">
        <v>18</v>
      </c>
      <c r="B414" s="189" t="s">
        <v>1</v>
      </c>
      <c r="C414" s="212" t="s">
        <v>34</v>
      </c>
      <c r="D414" s="190" t="s">
        <v>209</v>
      </c>
      <c r="E414" s="190" t="s">
        <v>498</v>
      </c>
      <c r="F414" s="203"/>
      <c r="G414" s="190" t="s">
        <v>493</v>
      </c>
      <c r="H414" s="192" t="s">
        <v>409</v>
      </c>
      <c r="I414" s="193">
        <v>1073</v>
      </c>
      <c r="J414" s="193">
        <v>1073</v>
      </c>
      <c r="K414" s="193">
        <v>1073</v>
      </c>
      <c r="L414" s="193">
        <v>1269</v>
      </c>
      <c r="M414" s="194">
        <v>1269</v>
      </c>
      <c r="N414" s="195">
        <v>0</v>
      </c>
      <c r="O414" s="195">
        <v>38.71</v>
      </c>
      <c r="P414" s="195">
        <v>24</v>
      </c>
      <c r="Q414" s="195" t="s">
        <v>1</v>
      </c>
      <c r="R414" s="196">
        <v>120</v>
      </c>
      <c r="S414" s="197">
        <v>0</v>
      </c>
      <c r="T414" s="195">
        <v>38.71</v>
      </c>
      <c r="U414" s="195">
        <v>24</v>
      </c>
      <c r="V414" s="197" t="s">
        <v>1</v>
      </c>
      <c r="W414" s="196">
        <v>120</v>
      </c>
      <c r="X414" s="195">
        <v>0</v>
      </c>
      <c r="Y414" s="195">
        <v>38.71</v>
      </c>
      <c r="Z414" s="195">
        <v>24</v>
      </c>
      <c r="AA414" s="196" t="s">
        <v>1</v>
      </c>
      <c r="AB414" s="196" t="s">
        <v>1</v>
      </c>
      <c r="AC414" s="197">
        <v>0</v>
      </c>
      <c r="AD414" s="197">
        <v>38.71</v>
      </c>
      <c r="AE414" s="197">
        <v>24</v>
      </c>
      <c r="AF414" s="198" t="s">
        <v>1</v>
      </c>
      <c r="AG414" s="198" t="s">
        <v>1</v>
      </c>
      <c r="AH414" s="198" t="s">
        <v>1</v>
      </c>
      <c r="AI414" s="209" t="s">
        <v>1</v>
      </c>
      <c r="AJ414" s="209" t="s">
        <v>1</v>
      </c>
      <c r="AK414" s="209" t="s">
        <v>1</v>
      </c>
      <c r="AL414" s="214" t="s">
        <v>1</v>
      </c>
      <c r="AM414" s="200" t="s">
        <v>1</v>
      </c>
      <c r="AN414" s="199" t="s">
        <v>1</v>
      </c>
      <c r="AO414" s="199" t="s">
        <v>1</v>
      </c>
      <c r="AP414" s="198" t="s">
        <v>1</v>
      </c>
      <c r="AQ414" s="198" t="s">
        <v>1</v>
      </c>
      <c r="AR414" s="201" t="s">
        <v>1</v>
      </c>
      <c r="AS414" s="201" t="s">
        <v>1</v>
      </c>
      <c r="AT414" s="199" t="s">
        <v>1</v>
      </c>
      <c r="AU414" s="199" t="s">
        <v>1</v>
      </c>
      <c r="AV414" s="202" t="s">
        <v>1</v>
      </c>
      <c r="AW414" s="199" t="s">
        <v>1</v>
      </c>
    </row>
    <row r="415" spans="1:49" ht="30.15" customHeight="1" x14ac:dyDescent="0.25">
      <c r="A415" s="213" t="s">
        <v>18</v>
      </c>
      <c r="B415" s="189" t="s">
        <v>1</v>
      </c>
      <c r="C415" s="212" t="s">
        <v>34</v>
      </c>
      <c r="D415" s="190" t="s">
        <v>209</v>
      </c>
      <c r="E415" s="190" t="s">
        <v>499</v>
      </c>
      <c r="F415" s="203"/>
      <c r="G415" s="190" t="s">
        <v>493</v>
      </c>
      <c r="H415" s="192" t="s">
        <v>409</v>
      </c>
      <c r="I415" s="193">
        <v>1073</v>
      </c>
      <c r="J415" s="193">
        <v>1073</v>
      </c>
      <c r="K415" s="193">
        <v>1073</v>
      </c>
      <c r="L415" s="193">
        <v>1269</v>
      </c>
      <c r="M415" s="194">
        <v>1269</v>
      </c>
      <c r="N415" s="195">
        <v>0</v>
      </c>
      <c r="O415" s="195">
        <v>38.71</v>
      </c>
      <c r="P415" s="195">
        <v>24</v>
      </c>
      <c r="Q415" s="195" t="s">
        <v>1</v>
      </c>
      <c r="R415" s="196">
        <v>120</v>
      </c>
      <c r="S415" s="197">
        <v>0</v>
      </c>
      <c r="T415" s="195">
        <v>38.71</v>
      </c>
      <c r="U415" s="195">
        <v>24</v>
      </c>
      <c r="V415" s="197" t="s">
        <v>1</v>
      </c>
      <c r="W415" s="196">
        <v>120</v>
      </c>
      <c r="X415" s="195">
        <v>0</v>
      </c>
      <c r="Y415" s="195">
        <v>38.71</v>
      </c>
      <c r="Z415" s="195">
        <v>24</v>
      </c>
      <c r="AA415" s="196" t="s">
        <v>1</v>
      </c>
      <c r="AB415" s="196" t="s">
        <v>1</v>
      </c>
      <c r="AC415" s="197">
        <v>0</v>
      </c>
      <c r="AD415" s="197">
        <v>38.71</v>
      </c>
      <c r="AE415" s="197">
        <v>24</v>
      </c>
      <c r="AF415" s="198" t="s">
        <v>1</v>
      </c>
      <c r="AG415" s="198" t="s">
        <v>1</v>
      </c>
      <c r="AH415" s="198" t="s">
        <v>1</v>
      </c>
      <c r="AI415" s="209" t="s">
        <v>1</v>
      </c>
      <c r="AJ415" s="209" t="s">
        <v>1</v>
      </c>
      <c r="AK415" s="209" t="s">
        <v>1</v>
      </c>
      <c r="AL415" s="214" t="s">
        <v>1</v>
      </c>
      <c r="AM415" s="200" t="s">
        <v>1</v>
      </c>
      <c r="AN415" s="199" t="s">
        <v>1</v>
      </c>
      <c r="AO415" s="199" t="s">
        <v>1</v>
      </c>
      <c r="AP415" s="198" t="s">
        <v>1</v>
      </c>
      <c r="AQ415" s="198" t="s">
        <v>1</v>
      </c>
      <c r="AR415" s="201" t="s">
        <v>1</v>
      </c>
      <c r="AS415" s="201" t="s">
        <v>1</v>
      </c>
      <c r="AT415" s="199" t="s">
        <v>1</v>
      </c>
      <c r="AU415" s="199" t="s">
        <v>1</v>
      </c>
      <c r="AV415" s="202" t="s">
        <v>1</v>
      </c>
      <c r="AW415" s="199" t="s">
        <v>1</v>
      </c>
    </row>
    <row r="416" spans="1:49" ht="30.15" customHeight="1" x14ac:dyDescent="0.25">
      <c r="A416" s="213" t="s">
        <v>18</v>
      </c>
      <c r="B416" s="189" t="s">
        <v>1</v>
      </c>
      <c r="C416" s="212" t="s">
        <v>34</v>
      </c>
      <c r="D416" s="190" t="s">
        <v>209</v>
      </c>
      <c r="E416" s="190" t="s">
        <v>500</v>
      </c>
      <c r="F416" s="203"/>
      <c r="G416" s="190" t="s">
        <v>494</v>
      </c>
      <c r="H416" s="192" t="s">
        <v>409</v>
      </c>
      <c r="I416" s="193">
        <v>1073</v>
      </c>
      <c r="J416" s="193">
        <v>1073</v>
      </c>
      <c r="K416" s="193">
        <v>1073</v>
      </c>
      <c r="L416" s="193">
        <v>1270</v>
      </c>
      <c r="M416" s="194">
        <v>1270</v>
      </c>
      <c r="N416" s="195">
        <v>0</v>
      </c>
      <c r="O416" s="195">
        <v>38.75</v>
      </c>
      <c r="P416" s="195">
        <v>24</v>
      </c>
      <c r="Q416" s="195" t="s">
        <v>1</v>
      </c>
      <c r="R416" s="196">
        <v>120</v>
      </c>
      <c r="S416" s="197">
        <v>0</v>
      </c>
      <c r="T416" s="195">
        <v>38.75</v>
      </c>
      <c r="U416" s="197">
        <v>24</v>
      </c>
      <c r="V416" s="197" t="s">
        <v>1</v>
      </c>
      <c r="W416" s="196">
        <v>120</v>
      </c>
      <c r="X416" s="195">
        <v>0</v>
      </c>
      <c r="Y416" s="195">
        <v>38.75</v>
      </c>
      <c r="Z416" s="195">
        <v>24</v>
      </c>
      <c r="AA416" s="196" t="s">
        <v>1</v>
      </c>
      <c r="AB416" s="196" t="s">
        <v>1</v>
      </c>
      <c r="AC416" s="197">
        <v>0</v>
      </c>
      <c r="AD416" s="197">
        <v>38.75</v>
      </c>
      <c r="AE416" s="197">
        <v>24</v>
      </c>
      <c r="AF416" s="198" t="s">
        <v>1</v>
      </c>
      <c r="AG416" s="198" t="s">
        <v>1</v>
      </c>
      <c r="AH416" s="198" t="s">
        <v>1</v>
      </c>
      <c r="AI416" s="209" t="s">
        <v>1</v>
      </c>
      <c r="AJ416" s="209" t="s">
        <v>1</v>
      </c>
      <c r="AK416" s="209" t="s">
        <v>1</v>
      </c>
      <c r="AL416" s="214" t="s">
        <v>1</v>
      </c>
      <c r="AM416" s="200" t="s">
        <v>1</v>
      </c>
      <c r="AN416" s="199" t="s">
        <v>1</v>
      </c>
      <c r="AO416" s="199" t="s">
        <v>1</v>
      </c>
      <c r="AP416" s="198" t="s">
        <v>1</v>
      </c>
      <c r="AQ416" s="198" t="s">
        <v>1</v>
      </c>
      <c r="AR416" s="201" t="s">
        <v>1</v>
      </c>
      <c r="AS416" s="201" t="s">
        <v>1</v>
      </c>
      <c r="AT416" s="199" t="s">
        <v>1</v>
      </c>
      <c r="AU416" s="199" t="s">
        <v>1</v>
      </c>
      <c r="AV416" s="202" t="s">
        <v>1</v>
      </c>
      <c r="AW416" s="199" t="s">
        <v>1</v>
      </c>
    </row>
    <row r="417" spans="1:49" ht="30.15" customHeight="1" x14ac:dyDescent="0.25">
      <c r="A417" s="213" t="s">
        <v>18</v>
      </c>
      <c r="B417" s="189" t="s">
        <v>1</v>
      </c>
      <c r="C417" s="212" t="s">
        <v>34</v>
      </c>
      <c r="D417" s="190" t="s">
        <v>209</v>
      </c>
      <c r="E417" s="190" t="s">
        <v>501</v>
      </c>
      <c r="F417" s="203"/>
      <c r="G417" s="190" t="s">
        <v>494</v>
      </c>
      <c r="H417" s="192" t="s">
        <v>409</v>
      </c>
      <c r="I417" s="193">
        <v>1073</v>
      </c>
      <c r="J417" s="193">
        <v>1073</v>
      </c>
      <c r="K417" s="193">
        <v>1073</v>
      </c>
      <c r="L417" s="193">
        <v>1270</v>
      </c>
      <c r="M417" s="194">
        <v>1270</v>
      </c>
      <c r="N417" s="195">
        <v>0</v>
      </c>
      <c r="O417" s="195">
        <v>38.75</v>
      </c>
      <c r="P417" s="195">
        <v>24</v>
      </c>
      <c r="Q417" s="195" t="s">
        <v>1</v>
      </c>
      <c r="R417" s="196">
        <v>120</v>
      </c>
      <c r="S417" s="197">
        <v>0</v>
      </c>
      <c r="T417" s="195">
        <v>38.75</v>
      </c>
      <c r="U417" s="197">
        <v>24</v>
      </c>
      <c r="V417" s="197" t="s">
        <v>1</v>
      </c>
      <c r="W417" s="196">
        <v>120</v>
      </c>
      <c r="X417" s="195">
        <v>0</v>
      </c>
      <c r="Y417" s="195">
        <v>38.75</v>
      </c>
      <c r="Z417" s="195">
        <v>24</v>
      </c>
      <c r="AA417" s="196" t="s">
        <v>1</v>
      </c>
      <c r="AB417" s="196" t="s">
        <v>1</v>
      </c>
      <c r="AC417" s="197">
        <v>0</v>
      </c>
      <c r="AD417" s="197">
        <v>38.75</v>
      </c>
      <c r="AE417" s="197">
        <v>24</v>
      </c>
      <c r="AF417" s="198" t="s">
        <v>1</v>
      </c>
      <c r="AG417" s="198" t="s">
        <v>1</v>
      </c>
      <c r="AH417" s="198" t="s">
        <v>1</v>
      </c>
      <c r="AI417" s="209" t="s">
        <v>1</v>
      </c>
      <c r="AJ417" s="209" t="s">
        <v>1</v>
      </c>
      <c r="AK417" s="209" t="s">
        <v>1</v>
      </c>
      <c r="AL417" s="214" t="s">
        <v>1</v>
      </c>
      <c r="AM417" s="200" t="s">
        <v>1</v>
      </c>
      <c r="AN417" s="199" t="s">
        <v>1</v>
      </c>
      <c r="AO417" s="199" t="s">
        <v>1</v>
      </c>
      <c r="AP417" s="198" t="s">
        <v>1</v>
      </c>
      <c r="AQ417" s="198" t="s">
        <v>1</v>
      </c>
      <c r="AR417" s="201" t="s">
        <v>1</v>
      </c>
      <c r="AS417" s="201" t="s">
        <v>1</v>
      </c>
      <c r="AT417" s="199" t="s">
        <v>1</v>
      </c>
      <c r="AU417" s="199" t="s">
        <v>1</v>
      </c>
      <c r="AV417" s="202" t="s">
        <v>1</v>
      </c>
      <c r="AW417" s="199" t="s">
        <v>1</v>
      </c>
    </row>
    <row r="418" spans="1:49" ht="30.15" customHeight="1" x14ac:dyDescent="0.25">
      <c r="A418" s="213" t="s">
        <v>18</v>
      </c>
      <c r="B418" s="189" t="s">
        <v>1</v>
      </c>
      <c r="C418" s="212" t="s">
        <v>34</v>
      </c>
      <c r="D418" s="190" t="s">
        <v>209</v>
      </c>
      <c r="E418" s="190" t="s">
        <v>502</v>
      </c>
      <c r="F418" s="203"/>
      <c r="G418" s="190" t="s">
        <v>495</v>
      </c>
      <c r="H418" s="192" t="s">
        <v>409</v>
      </c>
      <c r="I418" s="193">
        <v>1197</v>
      </c>
      <c r="J418" s="193">
        <v>1197</v>
      </c>
      <c r="K418" s="193">
        <v>1197</v>
      </c>
      <c r="L418" s="193">
        <v>1399</v>
      </c>
      <c r="M418" s="194">
        <v>1399</v>
      </c>
      <c r="N418" s="195">
        <v>0</v>
      </c>
      <c r="O418" s="195">
        <v>39.130000000000003</v>
      </c>
      <c r="P418" s="195">
        <v>24</v>
      </c>
      <c r="Q418" s="195" t="s">
        <v>1</v>
      </c>
      <c r="R418" s="196">
        <v>120</v>
      </c>
      <c r="S418" s="197">
        <v>0</v>
      </c>
      <c r="T418" s="195">
        <v>39.130000000000003</v>
      </c>
      <c r="U418" s="197">
        <v>24</v>
      </c>
      <c r="V418" s="197" t="s">
        <v>1</v>
      </c>
      <c r="W418" s="196">
        <v>120</v>
      </c>
      <c r="X418" s="195">
        <v>0</v>
      </c>
      <c r="Y418" s="195">
        <v>39.130000000000003</v>
      </c>
      <c r="Z418" s="195">
        <v>24</v>
      </c>
      <c r="AA418" s="196" t="s">
        <v>1</v>
      </c>
      <c r="AB418" s="196" t="s">
        <v>1</v>
      </c>
      <c r="AC418" s="197">
        <v>0</v>
      </c>
      <c r="AD418" s="197">
        <v>39.130000000000003</v>
      </c>
      <c r="AE418" s="197">
        <v>24</v>
      </c>
      <c r="AF418" s="198" t="s">
        <v>1</v>
      </c>
      <c r="AG418" s="198" t="s">
        <v>1</v>
      </c>
      <c r="AH418" s="198" t="s">
        <v>1</v>
      </c>
      <c r="AI418" s="209" t="s">
        <v>1</v>
      </c>
      <c r="AJ418" s="209" t="s">
        <v>1</v>
      </c>
      <c r="AK418" s="209" t="s">
        <v>1</v>
      </c>
      <c r="AL418" s="214" t="s">
        <v>1</v>
      </c>
      <c r="AM418" s="200" t="s">
        <v>1</v>
      </c>
      <c r="AN418" s="199" t="s">
        <v>1</v>
      </c>
      <c r="AO418" s="199" t="s">
        <v>1</v>
      </c>
      <c r="AP418" s="198" t="s">
        <v>1</v>
      </c>
      <c r="AQ418" s="198" t="s">
        <v>1</v>
      </c>
      <c r="AR418" s="201" t="s">
        <v>1</v>
      </c>
      <c r="AS418" s="201" t="s">
        <v>1</v>
      </c>
      <c r="AT418" s="199" t="s">
        <v>1</v>
      </c>
      <c r="AU418" s="199" t="s">
        <v>1</v>
      </c>
      <c r="AV418" s="202" t="s">
        <v>1</v>
      </c>
      <c r="AW418" s="199" t="s">
        <v>1</v>
      </c>
    </row>
    <row r="419" spans="1:49" ht="30.15" customHeight="1" x14ac:dyDescent="0.25">
      <c r="A419" s="213" t="s">
        <v>18</v>
      </c>
      <c r="B419" s="189" t="s">
        <v>1</v>
      </c>
      <c r="C419" s="212" t="s">
        <v>34</v>
      </c>
      <c r="D419" s="190" t="s">
        <v>209</v>
      </c>
      <c r="E419" s="190" t="s">
        <v>503</v>
      </c>
      <c r="F419" s="203"/>
      <c r="G419" s="190" t="s">
        <v>495</v>
      </c>
      <c r="H419" s="192" t="s">
        <v>409</v>
      </c>
      <c r="I419" s="193">
        <v>1197</v>
      </c>
      <c r="J419" s="193">
        <v>1197</v>
      </c>
      <c r="K419" s="193">
        <v>1197</v>
      </c>
      <c r="L419" s="193">
        <v>1399</v>
      </c>
      <c r="M419" s="194">
        <v>1399</v>
      </c>
      <c r="N419" s="195">
        <v>0</v>
      </c>
      <c r="O419" s="195">
        <v>39.130000000000003</v>
      </c>
      <c r="P419" s="195">
        <v>24</v>
      </c>
      <c r="Q419" s="195" t="s">
        <v>1</v>
      </c>
      <c r="R419" s="196">
        <v>120</v>
      </c>
      <c r="S419" s="197">
        <v>0</v>
      </c>
      <c r="T419" s="195">
        <v>39.130000000000003</v>
      </c>
      <c r="U419" s="197">
        <v>24</v>
      </c>
      <c r="V419" s="197" t="s">
        <v>1</v>
      </c>
      <c r="W419" s="196">
        <v>120</v>
      </c>
      <c r="X419" s="195">
        <v>0</v>
      </c>
      <c r="Y419" s="195">
        <v>39.130000000000003</v>
      </c>
      <c r="Z419" s="195">
        <v>24</v>
      </c>
      <c r="AA419" s="196" t="s">
        <v>1</v>
      </c>
      <c r="AB419" s="196" t="s">
        <v>1</v>
      </c>
      <c r="AC419" s="197">
        <v>0</v>
      </c>
      <c r="AD419" s="197">
        <v>39.130000000000003</v>
      </c>
      <c r="AE419" s="197">
        <v>24</v>
      </c>
      <c r="AF419" s="198" t="s">
        <v>1</v>
      </c>
      <c r="AG419" s="198" t="s">
        <v>1</v>
      </c>
      <c r="AH419" s="198" t="s">
        <v>1</v>
      </c>
      <c r="AI419" s="209" t="s">
        <v>1</v>
      </c>
      <c r="AJ419" s="209" t="s">
        <v>1</v>
      </c>
      <c r="AK419" s="209" t="s">
        <v>1</v>
      </c>
      <c r="AL419" s="214" t="s">
        <v>1</v>
      </c>
      <c r="AM419" s="200" t="s">
        <v>1</v>
      </c>
      <c r="AN419" s="199" t="s">
        <v>1</v>
      </c>
      <c r="AO419" s="199" t="s">
        <v>1</v>
      </c>
      <c r="AP419" s="198" t="s">
        <v>1</v>
      </c>
      <c r="AQ419" s="198" t="s">
        <v>1</v>
      </c>
      <c r="AR419" s="201" t="s">
        <v>1</v>
      </c>
      <c r="AS419" s="201" t="s">
        <v>1</v>
      </c>
      <c r="AT419" s="199" t="s">
        <v>1</v>
      </c>
      <c r="AU419" s="199" t="s">
        <v>1</v>
      </c>
      <c r="AV419" s="202" t="s">
        <v>1</v>
      </c>
      <c r="AW419" s="199" t="s">
        <v>1</v>
      </c>
    </row>
    <row r="420" spans="1:49" ht="30.15" customHeight="1" x14ac:dyDescent="0.25">
      <c r="A420" s="213" t="s">
        <v>18</v>
      </c>
      <c r="B420" s="189" t="s">
        <v>1</v>
      </c>
      <c r="C420" s="212" t="s">
        <v>34</v>
      </c>
      <c r="D420" s="190" t="s">
        <v>209</v>
      </c>
      <c r="E420" s="190" t="s">
        <v>590</v>
      </c>
      <c r="F420" s="203"/>
      <c r="G420" s="190" t="s">
        <v>594</v>
      </c>
      <c r="H420" s="192" t="s">
        <v>409</v>
      </c>
      <c r="I420" s="193">
        <v>600</v>
      </c>
      <c r="J420" s="193">
        <v>600</v>
      </c>
      <c r="K420" s="193">
        <v>600</v>
      </c>
      <c r="L420" s="193">
        <v>650</v>
      </c>
      <c r="M420" s="194">
        <v>650</v>
      </c>
      <c r="N420" s="195">
        <v>0</v>
      </c>
      <c r="O420" s="195">
        <v>22.09</v>
      </c>
      <c r="P420" s="195">
        <v>24</v>
      </c>
      <c r="Q420" s="195" t="s">
        <v>1</v>
      </c>
      <c r="R420" s="196" t="s">
        <v>1</v>
      </c>
      <c r="S420" s="197">
        <v>0</v>
      </c>
      <c r="T420" s="195">
        <v>22.09</v>
      </c>
      <c r="U420" s="197">
        <v>24</v>
      </c>
      <c r="V420" s="197" t="s">
        <v>1</v>
      </c>
      <c r="W420" s="196" t="s">
        <v>1</v>
      </c>
      <c r="X420" s="195">
        <v>0</v>
      </c>
      <c r="Y420" s="195">
        <v>17.09</v>
      </c>
      <c r="Z420" s="195">
        <v>24</v>
      </c>
      <c r="AA420" s="196" t="s">
        <v>1</v>
      </c>
      <c r="AB420" s="196" t="s">
        <v>1</v>
      </c>
      <c r="AC420" s="197">
        <v>0</v>
      </c>
      <c r="AD420" s="197">
        <v>17.09</v>
      </c>
      <c r="AE420" s="197">
        <v>24</v>
      </c>
      <c r="AF420" s="198" t="s">
        <v>1</v>
      </c>
      <c r="AG420" s="198" t="s">
        <v>1</v>
      </c>
      <c r="AH420" s="198" t="s">
        <v>1</v>
      </c>
      <c r="AI420" s="209" t="s">
        <v>1</v>
      </c>
      <c r="AJ420" s="209" t="s">
        <v>1</v>
      </c>
      <c r="AK420" s="209" t="s">
        <v>1</v>
      </c>
      <c r="AL420" s="214" t="s">
        <v>1</v>
      </c>
      <c r="AM420" s="200" t="s">
        <v>1</v>
      </c>
      <c r="AN420" s="199" t="s">
        <v>1</v>
      </c>
      <c r="AO420" s="199" t="s">
        <v>1</v>
      </c>
      <c r="AP420" s="198" t="s">
        <v>1</v>
      </c>
      <c r="AQ420" s="198" t="s">
        <v>1</v>
      </c>
      <c r="AR420" s="201" t="s">
        <v>1</v>
      </c>
      <c r="AS420" s="201" t="s">
        <v>1</v>
      </c>
      <c r="AT420" s="199" t="s">
        <v>1</v>
      </c>
      <c r="AU420" s="199" t="s">
        <v>1</v>
      </c>
      <c r="AV420" s="202" t="s">
        <v>1</v>
      </c>
      <c r="AW420" s="199" t="s">
        <v>1</v>
      </c>
    </row>
    <row r="421" spans="1:49" ht="30.15" customHeight="1" x14ac:dyDescent="0.25">
      <c r="A421" s="213" t="s">
        <v>18</v>
      </c>
      <c r="B421" s="189" t="s">
        <v>1</v>
      </c>
      <c r="C421" s="212" t="s">
        <v>34</v>
      </c>
      <c r="D421" s="190" t="s">
        <v>209</v>
      </c>
      <c r="E421" s="190" t="s">
        <v>591</v>
      </c>
      <c r="F421" s="203"/>
      <c r="G421" s="190" t="s">
        <v>594</v>
      </c>
      <c r="H421" s="192" t="s">
        <v>409</v>
      </c>
      <c r="I421" s="193">
        <v>600</v>
      </c>
      <c r="J421" s="193">
        <v>600</v>
      </c>
      <c r="K421" s="193">
        <v>600</v>
      </c>
      <c r="L421" s="193">
        <v>650</v>
      </c>
      <c r="M421" s="194">
        <v>650</v>
      </c>
      <c r="N421" s="195">
        <v>0</v>
      </c>
      <c r="O421" s="195">
        <v>22.09</v>
      </c>
      <c r="P421" s="195">
        <v>24</v>
      </c>
      <c r="Q421" s="195" t="s">
        <v>1</v>
      </c>
      <c r="R421" s="196" t="s">
        <v>1</v>
      </c>
      <c r="S421" s="197">
        <v>0</v>
      </c>
      <c r="T421" s="195">
        <v>22.09</v>
      </c>
      <c r="U421" s="197">
        <v>24</v>
      </c>
      <c r="V421" s="197" t="s">
        <v>1</v>
      </c>
      <c r="W421" s="196" t="s">
        <v>1</v>
      </c>
      <c r="X421" s="195">
        <v>0</v>
      </c>
      <c r="Y421" s="195">
        <v>17.09</v>
      </c>
      <c r="Z421" s="195">
        <v>24</v>
      </c>
      <c r="AA421" s="196" t="s">
        <v>1</v>
      </c>
      <c r="AB421" s="196" t="s">
        <v>1</v>
      </c>
      <c r="AC421" s="197">
        <v>0</v>
      </c>
      <c r="AD421" s="197">
        <v>17.09</v>
      </c>
      <c r="AE421" s="197">
        <v>24</v>
      </c>
      <c r="AF421" s="198" t="s">
        <v>1</v>
      </c>
      <c r="AG421" s="198" t="s">
        <v>1</v>
      </c>
      <c r="AH421" s="198" t="s">
        <v>1</v>
      </c>
      <c r="AI421" s="209" t="s">
        <v>1</v>
      </c>
      <c r="AJ421" s="209" t="s">
        <v>1</v>
      </c>
      <c r="AK421" s="209" t="s">
        <v>1</v>
      </c>
      <c r="AL421" s="214" t="s">
        <v>1</v>
      </c>
      <c r="AM421" s="200" t="s">
        <v>1</v>
      </c>
      <c r="AN421" s="199" t="s">
        <v>1</v>
      </c>
      <c r="AO421" s="199" t="s">
        <v>1</v>
      </c>
      <c r="AP421" s="198" t="s">
        <v>1</v>
      </c>
      <c r="AQ421" s="198" t="s">
        <v>1</v>
      </c>
      <c r="AR421" s="201" t="s">
        <v>1</v>
      </c>
      <c r="AS421" s="201" t="s">
        <v>1</v>
      </c>
      <c r="AT421" s="199" t="s">
        <v>1</v>
      </c>
      <c r="AU421" s="199" t="s">
        <v>1</v>
      </c>
      <c r="AV421" s="202" t="s">
        <v>1</v>
      </c>
      <c r="AW421" s="199" t="s">
        <v>1</v>
      </c>
    </row>
    <row r="422" spans="1:49" ht="30.15" customHeight="1" x14ac:dyDescent="0.25">
      <c r="A422" s="213" t="s">
        <v>18</v>
      </c>
      <c r="B422" s="189" t="s">
        <v>1</v>
      </c>
      <c r="C422" s="212" t="s">
        <v>34</v>
      </c>
      <c r="D422" s="190" t="s">
        <v>209</v>
      </c>
      <c r="E422" s="190" t="s">
        <v>592</v>
      </c>
      <c r="F422" s="203"/>
      <c r="G422" s="190" t="s">
        <v>595</v>
      </c>
      <c r="H422" s="192" t="s">
        <v>409</v>
      </c>
      <c r="I422" s="193">
        <v>617</v>
      </c>
      <c r="J422" s="193">
        <v>617</v>
      </c>
      <c r="K422" s="193">
        <v>617</v>
      </c>
      <c r="L422" s="193">
        <v>800</v>
      </c>
      <c r="M422" s="194">
        <v>800</v>
      </c>
      <c r="N422" s="195">
        <v>0</v>
      </c>
      <c r="O422" s="195">
        <v>23.34</v>
      </c>
      <c r="P422" s="195">
        <v>24</v>
      </c>
      <c r="Q422" s="195" t="s">
        <v>1</v>
      </c>
      <c r="R422" s="196" t="s">
        <v>1</v>
      </c>
      <c r="S422" s="197">
        <v>0</v>
      </c>
      <c r="T422" s="195">
        <v>23.34</v>
      </c>
      <c r="U422" s="197">
        <v>24</v>
      </c>
      <c r="V422" s="197" t="s">
        <v>1</v>
      </c>
      <c r="W422" s="196" t="s">
        <v>1</v>
      </c>
      <c r="X422" s="195">
        <v>0</v>
      </c>
      <c r="Y422" s="195">
        <v>18.34</v>
      </c>
      <c r="Z422" s="195">
        <v>24</v>
      </c>
      <c r="AA422" s="196" t="s">
        <v>1</v>
      </c>
      <c r="AB422" s="196" t="s">
        <v>1</v>
      </c>
      <c r="AC422" s="197">
        <v>0</v>
      </c>
      <c r="AD422" s="197">
        <v>18.34</v>
      </c>
      <c r="AE422" s="197">
        <v>24</v>
      </c>
      <c r="AF422" s="198" t="s">
        <v>1</v>
      </c>
      <c r="AG422" s="198" t="s">
        <v>1</v>
      </c>
      <c r="AH422" s="198" t="s">
        <v>1</v>
      </c>
      <c r="AI422" s="209" t="s">
        <v>1</v>
      </c>
      <c r="AJ422" s="209" t="s">
        <v>1</v>
      </c>
      <c r="AK422" s="209" t="s">
        <v>1</v>
      </c>
      <c r="AL422" s="214" t="s">
        <v>1</v>
      </c>
      <c r="AM422" s="200" t="s">
        <v>1</v>
      </c>
      <c r="AN422" s="199" t="s">
        <v>1</v>
      </c>
      <c r="AO422" s="199" t="s">
        <v>1</v>
      </c>
      <c r="AP422" s="198" t="s">
        <v>1</v>
      </c>
      <c r="AQ422" s="198" t="s">
        <v>1</v>
      </c>
      <c r="AR422" s="201" t="s">
        <v>1</v>
      </c>
      <c r="AS422" s="201" t="s">
        <v>1</v>
      </c>
      <c r="AT422" s="199" t="s">
        <v>1</v>
      </c>
      <c r="AU422" s="199" t="s">
        <v>1</v>
      </c>
      <c r="AV422" s="202" t="s">
        <v>1</v>
      </c>
      <c r="AW422" s="199" t="s">
        <v>1</v>
      </c>
    </row>
    <row r="423" spans="1:49" ht="30.15" customHeight="1" x14ac:dyDescent="0.25">
      <c r="A423" s="213" t="s">
        <v>18</v>
      </c>
      <c r="B423" s="189" t="s">
        <v>1</v>
      </c>
      <c r="C423" s="212" t="s">
        <v>34</v>
      </c>
      <c r="D423" s="190" t="s">
        <v>209</v>
      </c>
      <c r="E423" s="190" t="s">
        <v>593</v>
      </c>
      <c r="F423" s="203"/>
      <c r="G423" s="190" t="s">
        <v>595</v>
      </c>
      <c r="H423" s="192" t="s">
        <v>409</v>
      </c>
      <c r="I423" s="193">
        <v>617</v>
      </c>
      <c r="J423" s="193">
        <v>617</v>
      </c>
      <c r="K423" s="193">
        <v>617</v>
      </c>
      <c r="L423" s="193">
        <v>800</v>
      </c>
      <c r="M423" s="194">
        <v>800</v>
      </c>
      <c r="N423" s="195">
        <v>0</v>
      </c>
      <c r="O423" s="195">
        <v>23.34</v>
      </c>
      <c r="P423" s="195">
        <v>24</v>
      </c>
      <c r="Q423" s="195" t="s">
        <v>1</v>
      </c>
      <c r="R423" s="196" t="s">
        <v>1</v>
      </c>
      <c r="S423" s="197">
        <v>0</v>
      </c>
      <c r="T423" s="195">
        <v>23.34</v>
      </c>
      <c r="U423" s="197">
        <v>24</v>
      </c>
      <c r="V423" s="197" t="s">
        <v>1</v>
      </c>
      <c r="W423" s="196" t="s">
        <v>1</v>
      </c>
      <c r="X423" s="195">
        <v>0</v>
      </c>
      <c r="Y423" s="195">
        <v>18.34</v>
      </c>
      <c r="Z423" s="195">
        <v>24</v>
      </c>
      <c r="AA423" s="196" t="s">
        <v>1</v>
      </c>
      <c r="AB423" s="196" t="s">
        <v>1</v>
      </c>
      <c r="AC423" s="197">
        <v>0</v>
      </c>
      <c r="AD423" s="197">
        <v>18.34</v>
      </c>
      <c r="AE423" s="197">
        <v>24</v>
      </c>
      <c r="AF423" s="198" t="s">
        <v>1</v>
      </c>
      <c r="AG423" s="198" t="s">
        <v>1</v>
      </c>
      <c r="AH423" s="198" t="s">
        <v>1</v>
      </c>
      <c r="AI423" s="209" t="s">
        <v>1</v>
      </c>
      <c r="AJ423" s="209" t="s">
        <v>1</v>
      </c>
      <c r="AK423" s="209" t="s">
        <v>1</v>
      </c>
      <c r="AL423" s="214" t="s">
        <v>1</v>
      </c>
      <c r="AM423" s="200" t="s">
        <v>1</v>
      </c>
      <c r="AN423" s="199" t="s">
        <v>1</v>
      </c>
      <c r="AO423" s="199" t="s">
        <v>1</v>
      </c>
      <c r="AP423" s="198" t="s">
        <v>1</v>
      </c>
      <c r="AQ423" s="198" t="s">
        <v>1</v>
      </c>
      <c r="AR423" s="201" t="s">
        <v>1</v>
      </c>
      <c r="AS423" s="201" t="s">
        <v>1</v>
      </c>
      <c r="AT423" s="199" t="s">
        <v>1</v>
      </c>
      <c r="AU423" s="199" t="s">
        <v>1</v>
      </c>
      <c r="AV423" s="202" t="s">
        <v>1</v>
      </c>
      <c r="AW423" s="199" t="s">
        <v>1</v>
      </c>
    </row>
    <row r="424" spans="1:49" ht="30.15" customHeight="1" x14ac:dyDescent="0.25">
      <c r="A424" s="213" t="s">
        <v>18</v>
      </c>
      <c r="B424" s="189" t="s">
        <v>1</v>
      </c>
      <c r="C424" s="212" t="s">
        <v>34</v>
      </c>
      <c r="D424" s="190" t="s">
        <v>209</v>
      </c>
      <c r="E424" s="204" t="s">
        <v>726</v>
      </c>
      <c r="F424" s="232"/>
      <c r="G424" s="204" t="s">
        <v>727</v>
      </c>
      <c r="H424" s="192" t="s">
        <v>409</v>
      </c>
      <c r="I424" s="205">
        <v>988</v>
      </c>
      <c r="J424" s="205">
        <v>988</v>
      </c>
      <c r="K424" s="205">
        <v>988</v>
      </c>
      <c r="L424" s="206">
        <v>1169</v>
      </c>
      <c r="M424" s="206">
        <v>1169</v>
      </c>
      <c r="N424" s="195">
        <v>0</v>
      </c>
      <c r="O424" s="195">
        <v>43.71</v>
      </c>
      <c r="P424" s="195">
        <v>24</v>
      </c>
      <c r="Q424" s="195" t="s">
        <v>1</v>
      </c>
      <c r="R424" s="196" t="s">
        <v>1</v>
      </c>
      <c r="S424" s="197">
        <v>0</v>
      </c>
      <c r="T424" s="195">
        <v>43.71</v>
      </c>
      <c r="U424" s="197">
        <v>24</v>
      </c>
      <c r="V424" s="197" t="s">
        <v>1</v>
      </c>
      <c r="W424" s="196" t="s">
        <v>1</v>
      </c>
      <c r="X424" s="195">
        <v>0</v>
      </c>
      <c r="Y424" s="195">
        <v>43.71</v>
      </c>
      <c r="Z424" s="195">
        <v>24</v>
      </c>
      <c r="AA424" s="196" t="s">
        <v>1</v>
      </c>
      <c r="AB424" s="196" t="s">
        <v>1</v>
      </c>
      <c r="AC424" s="197">
        <v>0</v>
      </c>
      <c r="AD424" s="195">
        <v>43.71</v>
      </c>
      <c r="AE424" s="197">
        <v>24</v>
      </c>
      <c r="AF424" s="198" t="s">
        <v>1</v>
      </c>
      <c r="AG424" s="222" t="s">
        <v>1</v>
      </c>
      <c r="AH424" s="233" t="s">
        <v>1</v>
      </c>
      <c r="AI424" s="209" t="s">
        <v>1</v>
      </c>
      <c r="AJ424" s="209" t="s">
        <v>1</v>
      </c>
      <c r="AK424" s="209" t="s">
        <v>1</v>
      </c>
      <c r="AL424" s="214" t="s">
        <v>1</v>
      </c>
      <c r="AM424" s="200" t="s">
        <v>1</v>
      </c>
      <c r="AN424" s="199" t="s">
        <v>1</v>
      </c>
      <c r="AO424" s="202" t="s">
        <v>1</v>
      </c>
      <c r="AP424" s="233" t="s">
        <v>1</v>
      </c>
      <c r="AQ424" s="233" t="s">
        <v>1</v>
      </c>
      <c r="AR424" s="201" t="s">
        <v>1</v>
      </c>
      <c r="AS424" s="201" t="s">
        <v>1</v>
      </c>
      <c r="AT424" s="199" t="s">
        <v>1</v>
      </c>
      <c r="AU424" s="199" t="s">
        <v>1</v>
      </c>
      <c r="AV424" s="202" t="s">
        <v>1</v>
      </c>
      <c r="AW424" s="199" t="s">
        <v>1</v>
      </c>
    </row>
    <row r="425" spans="1:49" ht="30.15" customHeight="1" x14ac:dyDescent="0.25">
      <c r="A425" s="213" t="s">
        <v>18</v>
      </c>
      <c r="B425" s="189" t="s">
        <v>1</v>
      </c>
      <c r="C425" s="212" t="s">
        <v>34</v>
      </c>
      <c r="D425" s="190" t="s">
        <v>209</v>
      </c>
      <c r="E425" s="204" t="s">
        <v>728</v>
      </c>
      <c r="F425" s="232"/>
      <c r="G425" s="204" t="s">
        <v>727</v>
      </c>
      <c r="H425" s="192" t="s">
        <v>409</v>
      </c>
      <c r="I425" s="205">
        <v>988</v>
      </c>
      <c r="J425" s="205">
        <v>988</v>
      </c>
      <c r="K425" s="205">
        <v>988</v>
      </c>
      <c r="L425" s="206">
        <v>1169</v>
      </c>
      <c r="M425" s="206">
        <v>1169</v>
      </c>
      <c r="N425" s="195">
        <v>0</v>
      </c>
      <c r="O425" s="195">
        <v>43.71</v>
      </c>
      <c r="P425" s="195">
        <v>24</v>
      </c>
      <c r="Q425" s="195" t="s">
        <v>1</v>
      </c>
      <c r="R425" s="196" t="s">
        <v>1</v>
      </c>
      <c r="S425" s="197">
        <v>0</v>
      </c>
      <c r="T425" s="195">
        <v>43.71</v>
      </c>
      <c r="U425" s="197">
        <v>24</v>
      </c>
      <c r="V425" s="197" t="s">
        <v>1</v>
      </c>
      <c r="W425" s="196" t="s">
        <v>1</v>
      </c>
      <c r="X425" s="195">
        <v>0</v>
      </c>
      <c r="Y425" s="195">
        <v>43.71</v>
      </c>
      <c r="Z425" s="195">
        <v>24</v>
      </c>
      <c r="AA425" s="196" t="s">
        <v>1</v>
      </c>
      <c r="AB425" s="196" t="s">
        <v>1</v>
      </c>
      <c r="AC425" s="197">
        <v>0</v>
      </c>
      <c r="AD425" s="195">
        <v>43.71</v>
      </c>
      <c r="AE425" s="197">
        <v>24</v>
      </c>
      <c r="AF425" s="198" t="s">
        <v>1</v>
      </c>
      <c r="AG425" s="222" t="s">
        <v>1</v>
      </c>
      <c r="AH425" s="233" t="s">
        <v>1</v>
      </c>
      <c r="AI425" s="209" t="s">
        <v>1</v>
      </c>
      <c r="AJ425" s="209" t="s">
        <v>1</v>
      </c>
      <c r="AK425" s="209" t="s">
        <v>1</v>
      </c>
      <c r="AL425" s="214" t="s">
        <v>1</v>
      </c>
      <c r="AM425" s="200" t="s">
        <v>1</v>
      </c>
      <c r="AN425" s="199" t="s">
        <v>1</v>
      </c>
      <c r="AO425" s="202" t="s">
        <v>1</v>
      </c>
      <c r="AP425" s="233" t="s">
        <v>1</v>
      </c>
      <c r="AQ425" s="233" t="s">
        <v>1</v>
      </c>
      <c r="AR425" s="201" t="s">
        <v>1</v>
      </c>
      <c r="AS425" s="201" t="s">
        <v>1</v>
      </c>
      <c r="AT425" s="199" t="s">
        <v>1</v>
      </c>
      <c r="AU425" s="199" t="s">
        <v>1</v>
      </c>
      <c r="AV425" s="202" t="s">
        <v>1</v>
      </c>
      <c r="AW425" s="199" t="s">
        <v>1</v>
      </c>
    </row>
    <row r="426" spans="1:49" ht="30.15" customHeight="1" x14ac:dyDescent="0.25">
      <c r="A426" s="213" t="s">
        <v>18</v>
      </c>
      <c r="B426" s="189" t="s">
        <v>1</v>
      </c>
      <c r="C426" s="212" t="s">
        <v>34</v>
      </c>
      <c r="D426" s="190" t="s">
        <v>209</v>
      </c>
      <c r="E426" s="204" t="s">
        <v>729</v>
      </c>
      <c r="F426" s="232"/>
      <c r="G426" s="204" t="s">
        <v>730</v>
      </c>
      <c r="H426" s="192" t="s">
        <v>409</v>
      </c>
      <c r="I426" s="205">
        <v>1121</v>
      </c>
      <c r="J426" s="205">
        <v>1121</v>
      </c>
      <c r="K426" s="205">
        <v>1121</v>
      </c>
      <c r="L426" s="206">
        <v>1329</v>
      </c>
      <c r="M426" s="206">
        <v>1329</v>
      </c>
      <c r="N426" s="195">
        <v>0</v>
      </c>
      <c r="O426" s="195">
        <v>40.379999999999995</v>
      </c>
      <c r="P426" s="195">
        <v>24</v>
      </c>
      <c r="Q426" s="195" t="s">
        <v>1</v>
      </c>
      <c r="R426" s="196">
        <v>120</v>
      </c>
      <c r="S426" s="197">
        <v>0</v>
      </c>
      <c r="T426" s="195">
        <v>40.379999999999995</v>
      </c>
      <c r="U426" s="197">
        <v>24</v>
      </c>
      <c r="V426" s="197" t="s">
        <v>1</v>
      </c>
      <c r="W426" s="196">
        <v>120</v>
      </c>
      <c r="X426" s="195">
        <v>0</v>
      </c>
      <c r="Y426" s="195">
        <v>29.55</v>
      </c>
      <c r="Z426" s="195">
        <v>24</v>
      </c>
      <c r="AA426" s="196" t="s">
        <v>1</v>
      </c>
      <c r="AB426" s="196" t="s">
        <v>1</v>
      </c>
      <c r="AC426" s="197">
        <v>0</v>
      </c>
      <c r="AD426" s="197">
        <v>29.55</v>
      </c>
      <c r="AE426" s="197">
        <v>24</v>
      </c>
      <c r="AF426" s="198" t="s">
        <v>1</v>
      </c>
      <c r="AG426" s="222" t="s">
        <v>1</v>
      </c>
      <c r="AH426" s="233" t="s">
        <v>1</v>
      </c>
      <c r="AI426" s="209" t="s">
        <v>1</v>
      </c>
      <c r="AJ426" s="209" t="s">
        <v>1</v>
      </c>
      <c r="AK426" s="209" t="s">
        <v>1</v>
      </c>
      <c r="AL426" s="214" t="s">
        <v>1</v>
      </c>
      <c r="AM426" s="200" t="s">
        <v>1</v>
      </c>
      <c r="AN426" s="199" t="s">
        <v>1</v>
      </c>
      <c r="AO426" s="202" t="s">
        <v>1</v>
      </c>
      <c r="AP426" s="233" t="s">
        <v>1</v>
      </c>
      <c r="AQ426" s="233" t="s">
        <v>1</v>
      </c>
      <c r="AR426" s="201" t="s">
        <v>1</v>
      </c>
      <c r="AS426" s="201" t="s">
        <v>1</v>
      </c>
      <c r="AT426" s="199" t="s">
        <v>1</v>
      </c>
      <c r="AU426" s="199" t="s">
        <v>1</v>
      </c>
      <c r="AV426" s="202" t="s">
        <v>1</v>
      </c>
      <c r="AW426" s="199" t="s">
        <v>1</v>
      </c>
    </row>
    <row r="427" spans="1:49" ht="30.15" customHeight="1" x14ac:dyDescent="0.25">
      <c r="A427" s="213" t="s">
        <v>18</v>
      </c>
      <c r="B427" s="189" t="s">
        <v>1</v>
      </c>
      <c r="C427" s="212" t="s">
        <v>34</v>
      </c>
      <c r="D427" s="190" t="s">
        <v>209</v>
      </c>
      <c r="E427" s="204" t="s">
        <v>731</v>
      </c>
      <c r="F427" s="232"/>
      <c r="G427" s="204" t="s">
        <v>730</v>
      </c>
      <c r="H427" s="192" t="s">
        <v>409</v>
      </c>
      <c r="I427" s="205">
        <v>1121</v>
      </c>
      <c r="J427" s="205">
        <v>1121</v>
      </c>
      <c r="K427" s="205">
        <v>1121</v>
      </c>
      <c r="L427" s="206">
        <v>1329</v>
      </c>
      <c r="M427" s="206">
        <v>1329</v>
      </c>
      <c r="N427" s="195">
        <v>0</v>
      </c>
      <c r="O427" s="195">
        <v>40.379999999999995</v>
      </c>
      <c r="P427" s="195">
        <v>24</v>
      </c>
      <c r="Q427" s="195" t="s">
        <v>1</v>
      </c>
      <c r="R427" s="196">
        <v>120</v>
      </c>
      <c r="S427" s="197">
        <v>0</v>
      </c>
      <c r="T427" s="195">
        <v>40.379999999999995</v>
      </c>
      <c r="U427" s="197">
        <v>24</v>
      </c>
      <c r="V427" s="197" t="s">
        <v>1</v>
      </c>
      <c r="W427" s="196">
        <v>120</v>
      </c>
      <c r="X427" s="195">
        <v>0</v>
      </c>
      <c r="Y427" s="195">
        <v>29.55</v>
      </c>
      <c r="Z427" s="195">
        <v>24</v>
      </c>
      <c r="AA427" s="196" t="s">
        <v>1</v>
      </c>
      <c r="AB427" s="196" t="s">
        <v>1</v>
      </c>
      <c r="AC427" s="197">
        <v>0</v>
      </c>
      <c r="AD427" s="197">
        <v>29.55</v>
      </c>
      <c r="AE427" s="197">
        <v>24</v>
      </c>
      <c r="AF427" s="198" t="s">
        <v>1</v>
      </c>
      <c r="AG427" s="222" t="s">
        <v>1</v>
      </c>
      <c r="AH427" s="233" t="s">
        <v>1</v>
      </c>
      <c r="AI427" s="209" t="s">
        <v>1</v>
      </c>
      <c r="AJ427" s="209" t="s">
        <v>1</v>
      </c>
      <c r="AK427" s="209" t="s">
        <v>1</v>
      </c>
      <c r="AL427" s="214" t="s">
        <v>1</v>
      </c>
      <c r="AM427" s="200" t="s">
        <v>1</v>
      </c>
      <c r="AN427" s="199" t="s">
        <v>1</v>
      </c>
      <c r="AO427" s="202" t="s">
        <v>1</v>
      </c>
      <c r="AP427" s="233" t="s">
        <v>1</v>
      </c>
      <c r="AQ427" s="233" t="s">
        <v>1</v>
      </c>
      <c r="AR427" s="201" t="s">
        <v>1</v>
      </c>
      <c r="AS427" s="201" t="s">
        <v>1</v>
      </c>
      <c r="AT427" s="199" t="s">
        <v>1</v>
      </c>
      <c r="AU427" s="199" t="s">
        <v>1</v>
      </c>
      <c r="AV427" s="202" t="s">
        <v>1</v>
      </c>
      <c r="AW427" s="199" t="s">
        <v>1</v>
      </c>
    </row>
    <row r="428" spans="1:49" ht="30.15" customHeight="1" x14ac:dyDescent="0.25">
      <c r="A428" s="213" t="s">
        <v>18</v>
      </c>
      <c r="B428" s="189" t="s">
        <v>1</v>
      </c>
      <c r="C428" s="212" t="s">
        <v>34</v>
      </c>
      <c r="D428" s="190" t="s">
        <v>209</v>
      </c>
      <c r="E428" s="204" t="s">
        <v>732</v>
      </c>
      <c r="F428" s="232"/>
      <c r="G428" s="204" t="s">
        <v>733</v>
      </c>
      <c r="H428" s="192" t="s">
        <v>409</v>
      </c>
      <c r="I428" s="205">
        <v>1121</v>
      </c>
      <c r="J428" s="205">
        <v>1121</v>
      </c>
      <c r="K428" s="205">
        <v>1121</v>
      </c>
      <c r="L428" s="206">
        <v>1329</v>
      </c>
      <c r="M428" s="206">
        <v>1329</v>
      </c>
      <c r="N428" s="195">
        <v>0</v>
      </c>
      <c r="O428" s="195">
        <v>47.379999999999995</v>
      </c>
      <c r="P428" s="195">
        <v>24</v>
      </c>
      <c r="Q428" s="195" t="s">
        <v>1</v>
      </c>
      <c r="R428" s="196" t="s">
        <v>1</v>
      </c>
      <c r="S428" s="197">
        <v>0</v>
      </c>
      <c r="T428" s="195">
        <v>47.379999999999995</v>
      </c>
      <c r="U428" s="197">
        <v>24</v>
      </c>
      <c r="V428" s="197" t="s">
        <v>1</v>
      </c>
      <c r="W428" s="196" t="s">
        <v>1</v>
      </c>
      <c r="X428" s="195">
        <v>0</v>
      </c>
      <c r="Y428" s="195">
        <v>47.379999999999995</v>
      </c>
      <c r="Z428" s="195">
        <v>24</v>
      </c>
      <c r="AA428" s="196" t="s">
        <v>1</v>
      </c>
      <c r="AB428" s="196" t="s">
        <v>1</v>
      </c>
      <c r="AC428" s="197">
        <v>0</v>
      </c>
      <c r="AD428" s="195">
        <v>47.379999999999995</v>
      </c>
      <c r="AE428" s="197">
        <v>24</v>
      </c>
      <c r="AF428" s="198" t="s">
        <v>1</v>
      </c>
      <c r="AG428" s="222" t="s">
        <v>1</v>
      </c>
      <c r="AH428" s="233" t="s">
        <v>1</v>
      </c>
      <c r="AI428" s="209" t="s">
        <v>1</v>
      </c>
      <c r="AJ428" s="209" t="s">
        <v>1</v>
      </c>
      <c r="AK428" s="209" t="s">
        <v>1</v>
      </c>
      <c r="AL428" s="214" t="s">
        <v>1</v>
      </c>
      <c r="AM428" s="200" t="s">
        <v>1</v>
      </c>
      <c r="AN428" s="199" t="s">
        <v>1</v>
      </c>
      <c r="AO428" s="202" t="s">
        <v>1</v>
      </c>
      <c r="AP428" s="233" t="s">
        <v>1</v>
      </c>
      <c r="AQ428" s="233" t="s">
        <v>1</v>
      </c>
      <c r="AR428" s="201" t="s">
        <v>1</v>
      </c>
      <c r="AS428" s="201" t="s">
        <v>1</v>
      </c>
      <c r="AT428" s="199" t="s">
        <v>1</v>
      </c>
      <c r="AU428" s="199" t="s">
        <v>1</v>
      </c>
      <c r="AV428" s="202" t="s">
        <v>1</v>
      </c>
      <c r="AW428" s="199" t="s">
        <v>1</v>
      </c>
    </row>
    <row r="429" spans="1:49" ht="30.15" customHeight="1" x14ac:dyDescent="0.25">
      <c r="A429" s="213" t="s">
        <v>18</v>
      </c>
      <c r="B429" s="189" t="s">
        <v>1</v>
      </c>
      <c r="C429" s="212" t="s">
        <v>34</v>
      </c>
      <c r="D429" s="190" t="s">
        <v>209</v>
      </c>
      <c r="E429" s="204" t="s">
        <v>734</v>
      </c>
      <c r="F429" s="232"/>
      <c r="G429" s="204" t="s">
        <v>733</v>
      </c>
      <c r="H429" s="192" t="s">
        <v>409</v>
      </c>
      <c r="I429" s="205">
        <v>1121</v>
      </c>
      <c r="J429" s="205">
        <v>1121</v>
      </c>
      <c r="K429" s="205">
        <v>1121</v>
      </c>
      <c r="L429" s="206">
        <v>1329</v>
      </c>
      <c r="M429" s="206">
        <v>1329</v>
      </c>
      <c r="N429" s="195">
        <v>0</v>
      </c>
      <c r="O429" s="195">
        <v>47.379999999999995</v>
      </c>
      <c r="P429" s="195">
        <v>24</v>
      </c>
      <c r="Q429" s="195" t="s">
        <v>1</v>
      </c>
      <c r="R429" s="196" t="s">
        <v>1</v>
      </c>
      <c r="S429" s="197">
        <v>0</v>
      </c>
      <c r="T429" s="195">
        <v>47.379999999999995</v>
      </c>
      <c r="U429" s="197">
        <v>24</v>
      </c>
      <c r="V429" s="197" t="s">
        <v>1</v>
      </c>
      <c r="W429" s="196" t="s">
        <v>1</v>
      </c>
      <c r="X429" s="195">
        <v>0</v>
      </c>
      <c r="Y429" s="195">
        <v>47.379999999999995</v>
      </c>
      <c r="Z429" s="195">
        <v>24</v>
      </c>
      <c r="AA429" s="196" t="s">
        <v>1</v>
      </c>
      <c r="AB429" s="196" t="s">
        <v>1</v>
      </c>
      <c r="AC429" s="197">
        <v>0</v>
      </c>
      <c r="AD429" s="195">
        <v>47.379999999999995</v>
      </c>
      <c r="AE429" s="197">
        <v>24</v>
      </c>
      <c r="AF429" s="198" t="s">
        <v>1</v>
      </c>
      <c r="AG429" s="222" t="s">
        <v>1</v>
      </c>
      <c r="AH429" s="233" t="s">
        <v>1</v>
      </c>
      <c r="AI429" s="209" t="s">
        <v>1</v>
      </c>
      <c r="AJ429" s="209" t="s">
        <v>1</v>
      </c>
      <c r="AK429" s="209" t="s">
        <v>1</v>
      </c>
      <c r="AL429" s="214" t="s">
        <v>1</v>
      </c>
      <c r="AM429" s="200" t="s">
        <v>1</v>
      </c>
      <c r="AN429" s="199" t="s">
        <v>1</v>
      </c>
      <c r="AO429" s="202" t="s">
        <v>1</v>
      </c>
      <c r="AP429" s="233" t="s">
        <v>1</v>
      </c>
      <c r="AQ429" s="233" t="s">
        <v>1</v>
      </c>
      <c r="AR429" s="201" t="s">
        <v>1</v>
      </c>
      <c r="AS429" s="201" t="s">
        <v>1</v>
      </c>
      <c r="AT429" s="199" t="s">
        <v>1</v>
      </c>
      <c r="AU429" s="199" t="s">
        <v>1</v>
      </c>
      <c r="AV429" s="202" t="s">
        <v>1</v>
      </c>
      <c r="AW429" s="199" t="s">
        <v>1</v>
      </c>
    </row>
    <row r="430" spans="1:49" ht="30.15" customHeight="1" x14ac:dyDescent="0.25">
      <c r="A430" s="213" t="s">
        <v>18</v>
      </c>
      <c r="B430" s="189" t="s">
        <v>1</v>
      </c>
      <c r="C430" s="212" t="s">
        <v>34</v>
      </c>
      <c r="D430" s="190" t="s">
        <v>209</v>
      </c>
      <c r="E430" s="204" t="s">
        <v>735</v>
      </c>
      <c r="F430" s="232"/>
      <c r="G430" s="204" t="s">
        <v>736</v>
      </c>
      <c r="H430" s="192" t="s">
        <v>409</v>
      </c>
      <c r="I430" s="205">
        <v>1264</v>
      </c>
      <c r="J430" s="205">
        <v>1264</v>
      </c>
      <c r="K430" s="205">
        <v>1264</v>
      </c>
      <c r="L430" s="206">
        <v>1499</v>
      </c>
      <c r="M430" s="206">
        <v>1499</v>
      </c>
      <c r="N430" s="195">
        <v>0</v>
      </c>
      <c r="O430" s="195">
        <v>52.46</v>
      </c>
      <c r="P430" s="195">
        <v>24</v>
      </c>
      <c r="Q430" s="195" t="s">
        <v>1</v>
      </c>
      <c r="R430" s="196" t="s">
        <v>1</v>
      </c>
      <c r="S430" s="197">
        <v>0</v>
      </c>
      <c r="T430" s="195">
        <v>52.46</v>
      </c>
      <c r="U430" s="197">
        <v>24</v>
      </c>
      <c r="V430" s="197" t="s">
        <v>1</v>
      </c>
      <c r="W430" s="196" t="s">
        <v>1</v>
      </c>
      <c r="X430" s="195">
        <v>0</v>
      </c>
      <c r="Y430" s="195">
        <v>52.46</v>
      </c>
      <c r="Z430" s="195">
        <v>24</v>
      </c>
      <c r="AA430" s="196" t="s">
        <v>1</v>
      </c>
      <c r="AB430" s="196" t="s">
        <v>1</v>
      </c>
      <c r="AC430" s="197">
        <v>0</v>
      </c>
      <c r="AD430" s="195">
        <v>52.46</v>
      </c>
      <c r="AE430" s="197">
        <v>24</v>
      </c>
      <c r="AF430" s="198" t="s">
        <v>1</v>
      </c>
      <c r="AG430" s="222" t="s">
        <v>1</v>
      </c>
      <c r="AH430" s="233" t="s">
        <v>1</v>
      </c>
      <c r="AI430" s="209" t="s">
        <v>1</v>
      </c>
      <c r="AJ430" s="209" t="s">
        <v>1</v>
      </c>
      <c r="AK430" s="209" t="s">
        <v>1</v>
      </c>
      <c r="AL430" s="214" t="s">
        <v>1</v>
      </c>
      <c r="AM430" s="200" t="s">
        <v>1</v>
      </c>
      <c r="AN430" s="199" t="s">
        <v>1</v>
      </c>
      <c r="AO430" s="202" t="s">
        <v>1</v>
      </c>
      <c r="AP430" s="233" t="s">
        <v>1</v>
      </c>
      <c r="AQ430" s="233" t="s">
        <v>1</v>
      </c>
      <c r="AR430" s="201" t="s">
        <v>1</v>
      </c>
      <c r="AS430" s="201" t="s">
        <v>1</v>
      </c>
      <c r="AT430" s="199" t="s">
        <v>1</v>
      </c>
      <c r="AU430" s="199" t="s">
        <v>1</v>
      </c>
      <c r="AV430" s="202" t="s">
        <v>1</v>
      </c>
      <c r="AW430" s="199" t="s">
        <v>1</v>
      </c>
    </row>
    <row r="431" spans="1:49" ht="30.15" customHeight="1" x14ac:dyDescent="0.25">
      <c r="A431" s="213" t="s">
        <v>18</v>
      </c>
      <c r="B431" s="189" t="s">
        <v>1</v>
      </c>
      <c r="C431" s="212" t="s">
        <v>34</v>
      </c>
      <c r="D431" s="190" t="s">
        <v>209</v>
      </c>
      <c r="E431" s="204" t="s">
        <v>737</v>
      </c>
      <c r="F431" s="232"/>
      <c r="G431" s="204" t="s">
        <v>736</v>
      </c>
      <c r="H431" s="192" t="s">
        <v>409</v>
      </c>
      <c r="I431" s="205">
        <v>1264</v>
      </c>
      <c r="J431" s="205">
        <v>1264</v>
      </c>
      <c r="K431" s="205">
        <v>1264</v>
      </c>
      <c r="L431" s="206">
        <v>1499</v>
      </c>
      <c r="M431" s="206">
        <v>1499</v>
      </c>
      <c r="N431" s="195">
        <v>0</v>
      </c>
      <c r="O431" s="195">
        <v>52.46</v>
      </c>
      <c r="P431" s="195">
        <v>24</v>
      </c>
      <c r="Q431" s="195" t="s">
        <v>1</v>
      </c>
      <c r="R431" s="196" t="s">
        <v>1</v>
      </c>
      <c r="S431" s="197">
        <v>0</v>
      </c>
      <c r="T431" s="195">
        <v>52.46</v>
      </c>
      <c r="U431" s="197">
        <v>24</v>
      </c>
      <c r="V431" s="197" t="s">
        <v>1</v>
      </c>
      <c r="W431" s="196" t="s">
        <v>1</v>
      </c>
      <c r="X431" s="195">
        <v>0</v>
      </c>
      <c r="Y431" s="195">
        <v>52.46</v>
      </c>
      <c r="Z431" s="195">
        <v>24</v>
      </c>
      <c r="AA431" s="196" t="s">
        <v>1</v>
      </c>
      <c r="AB431" s="196" t="s">
        <v>1</v>
      </c>
      <c r="AC431" s="197">
        <v>0</v>
      </c>
      <c r="AD431" s="195">
        <v>52.46</v>
      </c>
      <c r="AE431" s="197">
        <v>24</v>
      </c>
      <c r="AF431" s="198" t="s">
        <v>1</v>
      </c>
      <c r="AG431" s="222" t="s">
        <v>1</v>
      </c>
      <c r="AH431" s="233" t="s">
        <v>1</v>
      </c>
      <c r="AI431" s="209" t="s">
        <v>1</v>
      </c>
      <c r="AJ431" s="209" t="s">
        <v>1</v>
      </c>
      <c r="AK431" s="209" t="s">
        <v>1</v>
      </c>
      <c r="AL431" s="214" t="s">
        <v>1</v>
      </c>
      <c r="AM431" s="200" t="s">
        <v>1</v>
      </c>
      <c r="AN431" s="199" t="s">
        <v>1</v>
      </c>
      <c r="AO431" s="202" t="s">
        <v>1</v>
      </c>
      <c r="AP431" s="233" t="s">
        <v>1</v>
      </c>
      <c r="AQ431" s="233" t="s">
        <v>1</v>
      </c>
      <c r="AR431" s="201" t="s">
        <v>1</v>
      </c>
      <c r="AS431" s="201" t="s">
        <v>1</v>
      </c>
      <c r="AT431" s="199" t="s">
        <v>1</v>
      </c>
      <c r="AU431" s="199" t="s">
        <v>1</v>
      </c>
      <c r="AV431" s="202" t="s">
        <v>1</v>
      </c>
      <c r="AW431" s="199" t="s">
        <v>1</v>
      </c>
    </row>
    <row r="432" spans="1:49" ht="30.15" customHeight="1" x14ac:dyDescent="0.25">
      <c r="A432" s="213" t="s">
        <v>18</v>
      </c>
      <c r="B432" s="189" t="s">
        <v>1</v>
      </c>
      <c r="C432" s="212" t="s">
        <v>34</v>
      </c>
      <c r="D432" s="217" t="s">
        <v>209</v>
      </c>
      <c r="E432" s="217" t="s">
        <v>932</v>
      </c>
      <c r="F432" s="218"/>
      <c r="G432" s="217" t="s">
        <v>933</v>
      </c>
      <c r="H432" s="192" t="s">
        <v>409</v>
      </c>
      <c r="I432" s="205">
        <v>432</v>
      </c>
      <c r="J432" s="205">
        <v>432</v>
      </c>
      <c r="K432" s="205">
        <v>432</v>
      </c>
      <c r="L432" s="206">
        <v>560</v>
      </c>
      <c r="M432" s="206">
        <v>560</v>
      </c>
      <c r="N432" s="195">
        <v>0</v>
      </c>
      <c r="O432" s="195">
        <v>3.38</v>
      </c>
      <c r="P432" s="195">
        <v>24</v>
      </c>
      <c r="Q432" s="195" t="s">
        <v>1</v>
      </c>
      <c r="R432" s="196">
        <v>120</v>
      </c>
      <c r="S432" s="197">
        <v>0</v>
      </c>
      <c r="T432" s="195">
        <v>3.38</v>
      </c>
      <c r="U432" s="197">
        <v>24</v>
      </c>
      <c r="V432" s="197" t="s">
        <v>1</v>
      </c>
      <c r="W432" s="196">
        <v>120</v>
      </c>
      <c r="X432" s="195">
        <v>0</v>
      </c>
      <c r="Y432" s="195">
        <v>3.38</v>
      </c>
      <c r="Z432" s="195">
        <v>24</v>
      </c>
      <c r="AA432" s="196" t="s">
        <v>1</v>
      </c>
      <c r="AB432" s="196" t="s">
        <v>1</v>
      </c>
      <c r="AC432" s="197">
        <v>0</v>
      </c>
      <c r="AD432" s="195">
        <v>3.38</v>
      </c>
      <c r="AE432" s="197">
        <v>24</v>
      </c>
      <c r="AF432" s="198" t="s">
        <v>1</v>
      </c>
      <c r="AG432" s="222" t="s">
        <v>1</v>
      </c>
      <c r="AH432" s="233" t="s">
        <v>1</v>
      </c>
      <c r="AI432" s="209" t="s">
        <v>1</v>
      </c>
      <c r="AJ432" s="209" t="s">
        <v>1</v>
      </c>
      <c r="AK432" s="209" t="s">
        <v>1</v>
      </c>
      <c r="AL432" s="214" t="s">
        <v>1</v>
      </c>
      <c r="AM432" s="200" t="s">
        <v>1</v>
      </c>
      <c r="AN432" s="199" t="s">
        <v>1</v>
      </c>
      <c r="AO432" s="202" t="s">
        <v>1</v>
      </c>
      <c r="AP432" s="233" t="s">
        <v>1</v>
      </c>
      <c r="AQ432" s="233" t="s">
        <v>1</v>
      </c>
      <c r="AR432" s="201" t="s">
        <v>1</v>
      </c>
      <c r="AS432" s="201" t="s">
        <v>1</v>
      </c>
      <c r="AT432" s="199" t="s">
        <v>1</v>
      </c>
      <c r="AU432" s="199" t="s">
        <v>1</v>
      </c>
      <c r="AV432" s="202" t="s">
        <v>1</v>
      </c>
      <c r="AW432" s="199" t="s">
        <v>1</v>
      </c>
    </row>
    <row r="433" spans="1:49" ht="30.15" customHeight="1" x14ac:dyDescent="0.25">
      <c r="A433" s="213" t="s">
        <v>18</v>
      </c>
      <c r="B433" s="189" t="s">
        <v>1</v>
      </c>
      <c r="C433" s="212" t="s">
        <v>34</v>
      </c>
      <c r="D433" s="217" t="s">
        <v>209</v>
      </c>
      <c r="E433" s="217" t="s">
        <v>1151</v>
      </c>
      <c r="F433" s="218"/>
      <c r="G433" s="217" t="s">
        <v>1152</v>
      </c>
      <c r="H433" s="192" t="s">
        <v>409</v>
      </c>
      <c r="I433" s="205">
        <v>612</v>
      </c>
      <c r="J433" s="205">
        <v>612</v>
      </c>
      <c r="K433" s="205">
        <v>612</v>
      </c>
      <c r="L433" s="206">
        <v>800</v>
      </c>
      <c r="M433" s="206">
        <v>800</v>
      </c>
      <c r="N433" s="195">
        <v>0</v>
      </c>
      <c r="O433" s="195">
        <v>5.05</v>
      </c>
      <c r="P433" s="195">
        <v>24</v>
      </c>
      <c r="Q433" s="195" t="s">
        <v>1</v>
      </c>
      <c r="R433" s="196" t="s">
        <v>1252</v>
      </c>
      <c r="S433" s="197">
        <v>0</v>
      </c>
      <c r="T433" s="195">
        <v>5.05</v>
      </c>
      <c r="U433" s="197">
        <v>24</v>
      </c>
      <c r="V433" s="197" t="s">
        <v>1</v>
      </c>
      <c r="W433" s="196" t="s">
        <v>1252</v>
      </c>
      <c r="X433" s="195">
        <v>0</v>
      </c>
      <c r="Y433" s="195">
        <v>5.05</v>
      </c>
      <c r="Z433" s="195">
        <v>24</v>
      </c>
      <c r="AA433" s="196" t="s">
        <v>1</v>
      </c>
      <c r="AB433" s="196" t="s">
        <v>1</v>
      </c>
      <c r="AC433" s="197">
        <v>0</v>
      </c>
      <c r="AD433" s="195">
        <v>5.05</v>
      </c>
      <c r="AE433" s="197">
        <v>24</v>
      </c>
      <c r="AF433" s="198" t="s">
        <v>1</v>
      </c>
      <c r="AG433" s="222" t="s">
        <v>1</v>
      </c>
      <c r="AH433" s="233" t="s">
        <v>1</v>
      </c>
      <c r="AI433" s="209" t="s">
        <v>1</v>
      </c>
      <c r="AJ433" s="209" t="s">
        <v>1</v>
      </c>
      <c r="AK433" s="209" t="s">
        <v>1</v>
      </c>
      <c r="AL433" s="214" t="s">
        <v>1</v>
      </c>
      <c r="AM433" s="200" t="s">
        <v>1</v>
      </c>
      <c r="AN433" s="199" t="s">
        <v>1</v>
      </c>
      <c r="AO433" s="202" t="s">
        <v>1</v>
      </c>
      <c r="AP433" s="233" t="s">
        <v>1</v>
      </c>
      <c r="AQ433" s="233" t="s">
        <v>1</v>
      </c>
      <c r="AR433" s="201" t="s">
        <v>1</v>
      </c>
      <c r="AS433" s="201" t="s">
        <v>1</v>
      </c>
      <c r="AT433" s="199" t="s">
        <v>1</v>
      </c>
      <c r="AU433" s="199" t="s">
        <v>1</v>
      </c>
      <c r="AV433" s="202" t="s">
        <v>1</v>
      </c>
      <c r="AW433" s="199" t="s">
        <v>1</v>
      </c>
    </row>
    <row r="434" spans="1:49" ht="30.15" customHeight="1" x14ac:dyDescent="0.25">
      <c r="A434" s="213" t="s">
        <v>18</v>
      </c>
      <c r="B434" s="189" t="s">
        <v>1</v>
      </c>
      <c r="C434" s="212" t="s">
        <v>34</v>
      </c>
      <c r="D434" s="217" t="s">
        <v>209</v>
      </c>
      <c r="E434" s="217" t="s">
        <v>1153</v>
      </c>
      <c r="F434" s="218"/>
      <c r="G434" s="217" t="s">
        <v>1154</v>
      </c>
      <c r="H434" s="192" t="s">
        <v>1024</v>
      </c>
      <c r="I434" s="205">
        <v>612</v>
      </c>
      <c r="J434" s="205">
        <v>612</v>
      </c>
      <c r="K434" s="205">
        <v>612</v>
      </c>
      <c r="L434" s="206">
        <v>800</v>
      </c>
      <c r="M434" s="206">
        <v>800</v>
      </c>
      <c r="N434" s="195">
        <v>0</v>
      </c>
      <c r="O434" s="195">
        <v>5.05</v>
      </c>
      <c r="P434" s="195">
        <v>24</v>
      </c>
      <c r="Q434" s="195" t="s">
        <v>1</v>
      </c>
      <c r="R434" s="196" t="s">
        <v>1252</v>
      </c>
      <c r="S434" s="197">
        <v>0</v>
      </c>
      <c r="T434" s="195">
        <v>5.05</v>
      </c>
      <c r="U434" s="197">
        <v>24</v>
      </c>
      <c r="V434" s="197" t="s">
        <v>1</v>
      </c>
      <c r="W434" s="196" t="s">
        <v>1252</v>
      </c>
      <c r="X434" s="195">
        <v>0</v>
      </c>
      <c r="Y434" s="195">
        <v>5.05</v>
      </c>
      <c r="Z434" s="195">
        <v>24</v>
      </c>
      <c r="AA434" s="196" t="s">
        <v>1</v>
      </c>
      <c r="AB434" s="196" t="s">
        <v>1</v>
      </c>
      <c r="AC434" s="197">
        <v>0</v>
      </c>
      <c r="AD434" s="195">
        <v>5.05</v>
      </c>
      <c r="AE434" s="197">
        <v>24</v>
      </c>
      <c r="AF434" s="198" t="s">
        <v>1</v>
      </c>
      <c r="AG434" s="222" t="s">
        <v>1</v>
      </c>
      <c r="AH434" s="233" t="s">
        <v>1</v>
      </c>
      <c r="AI434" s="209" t="s">
        <v>1</v>
      </c>
      <c r="AJ434" s="209" t="s">
        <v>1</v>
      </c>
      <c r="AK434" s="209" t="s">
        <v>1</v>
      </c>
      <c r="AL434" s="214" t="s">
        <v>1</v>
      </c>
      <c r="AM434" s="200" t="s">
        <v>1</v>
      </c>
      <c r="AN434" s="199" t="s">
        <v>1</v>
      </c>
      <c r="AO434" s="202" t="s">
        <v>1</v>
      </c>
      <c r="AP434" s="233" t="s">
        <v>1</v>
      </c>
      <c r="AQ434" s="233" t="s">
        <v>1</v>
      </c>
      <c r="AR434" s="201" t="s">
        <v>1</v>
      </c>
      <c r="AS434" s="201" t="s">
        <v>1</v>
      </c>
      <c r="AT434" s="199" t="s">
        <v>1</v>
      </c>
      <c r="AU434" s="199" t="s">
        <v>1</v>
      </c>
      <c r="AV434" s="202" t="s">
        <v>1</v>
      </c>
      <c r="AW434" s="199" t="s">
        <v>1</v>
      </c>
    </row>
    <row r="435" spans="1:49" ht="30.15" customHeight="1" x14ac:dyDescent="0.25">
      <c r="A435" s="213" t="s">
        <v>18</v>
      </c>
      <c r="B435" s="189" t="s">
        <v>1</v>
      </c>
      <c r="C435" s="212" t="s">
        <v>34</v>
      </c>
      <c r="D435" s="217" t="s">
        <v>209</v>
      </c>
      <c r="E435" s="217" t="s">
        <v>1022</v>
      </c>
      <c r="F435" s="218"/>
      <c r="G435" s="217" t="s">
        <v>1023</v>
      </c>
      <c r="H435" s="192" t="s">
        <v>1024</v>
      </c>
      <c r="I435" s="205">
        <v>432</v>
      </c>
      <c r="J435" s="205">
        <v>432</v>
      </c>
      <c r="K435" s="205">
        <v>432</v>
      </c>
      <c r="L435" s="206">
        <v>560</v>
      </c>
      <c r="M435" s="206">
        <v>560</v>
      </c>
      <c r="N435" s="195">
        <v>0</v>
      </c>
      <c r="O435" s="195">
        <v>3.38</v>
      </c>
      <c r="P435" s="195">
        <v>24</v>
      </c>
      <c r="Q435" s="195" t="s">
        <v>1</v>
      </c>
      <c r="R435" s="196">
        <v>120</v>
      </c>
      <c r="S435" s="197">
        <v>0</v>
      </c>
      <c r="T435" s="195">
        <v>3.38</v>
      </c>
      <c r="U435" s="197">
        <v>24</v>
      </c>
      <c r="V435" s="197" t="s">
        <v>1</v>
      </c>
      <c r="W435" s="196">
        <v>120</v>
      </c>
      <c r="X435" s="195">
        <v>0</v>
      </c>
      <c r="Y435" s="195">
        <v>3.38</v>
      </c>
      <c r="Z435" s="195">
        <v>24</v>
      </c>
      <c r="AA435" s="196" t="s">
        <v>1</v>
      </c>
      <c r="AB435" s="196" t="s">
        <v>1</v>
      </c>
      <c r="AC435" s="197">
        <v>0</v>
      </c>
      <c r="AD435" s="195">
        <v>3.38</v>
      </c>
      <c r="AE435" s="197">
        <v>24</v>
      </c>
      <c r="AF435" s="198" t="s">
        <v>1</v>
      </c>
      <c r="AG435" s="222" t="s">
        <v>1</v>
      </c>
      <c r="AH435" s="233" t="s">
        <v>1</v>
      </c>
      <c r="AI435" s="209" t="s">
        <v>1</v>
      </c>
      <c r="AJ435" s="209" t="s">
        <v>1</v>
      </c>
      <c r="AK435" s="209" t="s">
        <v>1</v>
      </c>
      <c r="AL435" s="214" t="s">
        <v>1</v>
      </c>
      <c r="AM435" s="200" t="s">
        <v>1</v>
      </c>
      <c r="AN435" s="199" t="s">
        <v>1</v>
      </c>
      <c r="AO435" s="202" t="s">
        <v>1</v>
      </c>
      <c r="AP435" s="233" t="s">
        <v>1</v>
      </c>
      <c r="AQ435" s="233" t="s">
        <v>1</v>
      </c>
      <c r="AR435" s="201" t="s">
        <v>1</v>
      </c>
      <c r="AS435" s="201" t="s">
        <v>1</v>
      </c>
      <c r="AT435" s="199" t="s">
        <v>1</v>
      </c>
      <c r="AU435" s="199" t="s">
        <v>1</v>
      </c>
      <c r="AV435" s="202" t="s">
        <v>1</v>
      </c>
      <c r="AW435" s="199" t="s">
        <v>1</v>
      </c>
    </row>
    <row r="436" spans="1:49" ht="30.15" customHeight="1" x14ac:dyDescent="0.25">
      <c r="A436" s="213" t="s">
        <v>18</v>
      </c>
      <c r="B436" s="189" t="s">
        <v>1</v>
      </c>
      <c r="C436" s="212" t="s">
        <v>34</v>
      </c>
      <c r="D436" s="118" t="s">
        <v>209</v>
      </c>
      <c r="E436" s="118" t="s">
        <v>1029</v>
      </c>
      <c r="F436" s="259"/>
      <c r="G436" s="118" t="s">
        <v>1030</v>
      </c>
      <c r="H436" s="192" t="s">
        <v>409</v>
      </c>
      <c r="I436" s="205">
        <v>720</v>
      </c>
      <c r="J436" s="205">
        <v>720</v>
      </c>
      <c r="K436" s="205">
        <v>720</v>
      </c>
      <c r="L436" s="206">
        <v>950</v>
      </c>
      <c r="M436" s="206">
        <v>950</v>
      </c>
      <c r="N436" s="195">
        <v>0</v>
      </c>
      <c r="O436" s="195">
        <v>6.3</v>
      </c>
      <c r="P436" s="195">
        <v>24</v>
      </c>
      <c r="Q436" s="195" t="s">
        <v>1</v>
      </c>
      <c r="R436" s="196" t="s">
        <v>1253</v>
      </c>
      <c r="S436" s="197">
        <v>0</v>
      </c>
      <c r="T436" s="195">
        <v>6.3</v>
      </c>
      <c r="U436" s="197">
        <v>24</v>
      </c>
      <c r="V436" s="197" t="s">
        <v>1</v>
      </c>
      <c r="W436" s="196" t="s">
        <v>1253</v>
      </c>
      <c r="X436" s="195">
        <v>0</v>
      </c>
      <c r="Y436" s="258">
        <v>14.59</v>
      </c>
      <c r="Z436" s="195">
        <v>24</v>
      </c>
      <c r="AA436" s="196" t="s">
        <v>1</v>
      </c>
      <c r="AB436" s="196" t="s">
        <v>1</v>
      </c>
      <c r="AC436" s="197">
        <v>0</v>
      </c>
      <c r="AD436" s="258">
        <v>14.59</v>
      </c>
      <c r="AE436" s="197">
        <v>24</v>
      </c>
      <c r="AF436" s="198" t="s">
        <v>1</v>
      </c>
      <c r="AG436" s="222" t="s">
        <v>1</v>
      </c>
      <c r="AH436" s="233" t="s">
        <v>1</v>
      </c>
      <c r="AI436" s="209" t="s">
        <v>1</v>
      </c>
      <c r="AJ436" s="209" t="s">
        <v>1</v>
      </c>
      <c r="AK436" s="209" t="s">
        <v>1</v>
      </c>
      <c r="AL436" s="214" t="s">
        <v>1</v>
      </c>
      <c r="AM436" s="200" t="s">
        <v>1</v>
      </c>
      <c r="AN436" s="199" t="s">
        <v>1</v>
      </c>
      <c r="AO436" s="202" t="s">
        <v>1</v>
      </c>
      <c r="AP436" s="233" t="s">
        <v>1</v>
      </c>
      <c r="AQ436" s="233" t="s">
        <v>1</v>
      </c>
      <c r="AR436" s="201" t="s">
        <v>1</v>
      </c>
      <c r="AS436" s="201" t="s">
        <v>1</v>
      </c>
      <c r="AT436" s="199" t="s">
        <v>1</v>
      </c>
      <c r="AU436" s="199" t="s">
        <v>1</v>
      </c>
      <c r="AV436" s="202" t="s">
        <v>1</v>
      </c>
      <c r="AW436" s="199" t="s">
        <v>1</v>
      </c>
    </row>
    <row r="437" spans="1:49" ht="30.15" customHeight="1" x14ac:dyDescent="0.25">
      <c r="A437" s="213" t="s">
        <v>18</v>
      </c>
      <c r="B437" s="189" t="s">
        <v>1</v>
      </c>
      <c r="C437" s="212" t="s">
        <v>34</v>
      </c>
      <c r="D437" s="118" t="s">
        <v>209</v>
      </c>
      <c r="E437" s="118" t="s">
        <v>1150</v>
      </c>
      <c r="F437" s="259"/>
      <c r="G437" s="118" t="s">
        <v>1030</v>
      </c>
      <c r="H437" s="192" t="s">
        <v>421</v>
      </c>
      <c r="I437" s="205">
        <v>720</v>
      </c>
      <c r="J437" s="205">
        <v>720</v>
      </c>
      <c r="K437" s="205">
        <v>720</v>
      </c>
      <c r="L437" s="206">
        <v>950</v>
      </c>
      <c r="M437" s="206">
        <v>950</v>
      </c>
      <c r="N437" s="195">
        <v>0</v>
      </c>
      <c r="O437" s="195">
        <v>6.3</v>
      </c>
      <c r="P437" s="195">
        <v>24</v>
      </c>
      <c r="Q437" s="195" t="s">
        <v>1</v>
      </c>
      <c r="R437" s="196" t="s">
        <v>1253</v>
      </c>
      <c r="S437" s="197">
        <v>0</v>
      </c>
      <c r="T437" s="195">
        <v>6.3</v>
      </c>
      <c r="U437" s="197">
        <v>24</v>
      </c>
      <c r="V437" s="197" t="s">
        <v>1</v>
      </c>
      <c r="W437" s="196" t="s">
        <v>1253</v>
      </c>
      <c r="X437" s="195">
        <v>0</v>
      </c>
      <c r="Y437" s="258">
        <v>14.59</v>
      </c>
      <c r="Z437" s="195">
        <v>24</v>
      </c>
      <c r="AA437" s="196" t="s">
        <v>1</v>
      </c>
      <c r="AB437" s="196" t="s">
        <v>1</v>
      </c>
      <c r="AC437" s="197">
        <v>0</v>
      </c>
      <c r="AD437" s="258">
        <v>14.59</v>
      </c>
      <c r="AE437" s="197">
        <v>24</v>
      </c>
      <c r="AF437" s="198" t="s">
        <v>1</v>
      </c>
      <c r="AG437" s="222" t="s">
        <v>1</v>
      </c>
      <c r="AH437" s="233" t="s">
        <v>1</v>
      </c>
      <c r="AI437" s="209" t="s">
        <v>1</v>
      </c>
      <c r="AJ437" s="209" t="s">
        <v>1</v>
      </c>
      <c r="AK437" s="209" t="s">
        <v>1</v>
      </c>
      <c r="AL437" s="214" t="s">
        <v>1</v>
      </c>
      <c r="AM437" s="200" t="s">
        <v>1</v>
      </c>
      <c r="AN437" s="199" t="s">
        <v>1</v>
      </c>
      <c r="AO437" s="202" t="s">
        <v>1</v>
      </c>
      <c r="AP437" s="233" t="s">
        <v>1</v>
      </c>
      <c r="AQ437" s="233" t="s">
        <v>1</v>
      </c>
      <c r="AR437" s="201" t="s">
        <v>1</v>
      </c>
      <c r="AS437" s="201" t="s">
        <v>1</v>
      </c>
      <c r="AT437" s="199" t="s">
        <v>1</v>
      </c>
      <c r="AU437" s="199" t="s">
        <v>1</v>
      </c>
      <c r="AV437" s="202" t="s">
        <v>1</v>
      </c>
      <c r="AW437" s="199" t="s">
        <v>1</v>
      </c>
    </row>
    <row r="438" spans="1:49" ht="30.15" customHeight="1" x14ac:dyDescent="0.25">
      <c r="A438" s="213" t="s">
        <v>18</v>
      </c>
      <c r="B438" s="189" t="s">
        <v>1</v>
      </c>
      <c r="C438" s="212" t="s">
        <v>34</v>
      </c>
      <c r="D438" s="118" t="s">
        <v>209</v>
      </c>
      <c r="E438" s="118" t="s">
        <v>1027</v>
      </c>
      <c r="F438" s="259"/>
      <c r="G438" s="118" t="s">
        <v>1028</v>
      </c>
      <c r="H438" s="192" t="s">
        <v>1024</v>
      </c>
      <c r="I438" s="205">
        <v>720</v>
      </c>
      <c r="J438" s="205">
        <v>720</v>
      </c>
      <c r="K438" s="205">
        <v>720</v>
      </c>
      <c r="L438" s="206">
        <v>950</v>
      </c>
      <c r="M438" s="206">
        <v>950</v>
      </c>
      <c r="N438" s="195">
        <v>0</v>
      </c>
      <c r="O438" s="195">
        <v>6.3</v>
      </c>
      <c r="P438" s="195">
        <v>24</v>
      </c>
      <c r="Q438" s="195" t="s">
        <v>1</v>
      </c>
      <c r="R438" s="196" t="s">
        <v>1253</v>
      </c>
      <c r="S438" s="197">
        <v>0</v>
      </c>
      <c r="T438" s="195">
        <v>6.3</v>
      </c>
      <c r="U438" s="197">
        <v>24</v>
      </c>
      <c r="V438" s="197" t="s">
        <v>1</v>
      </c>
      <c r="W438" s="196" t="s">
        <v>1253</v>
      </c>
      <c r="X438" s="195">
        <v>0</v>
      </c>
      <c r="Y438" s="258">
        <v>14.59</v>
      </c>
      <c r="Z438" s="195">
        <v>24</v>
      </c>
      <c r="AA438" s="196" t="s">
        <v>1</v>
      </c>
      <c r="AB438" s="196" t="s">
        <v>1</v>
      </c>
      <c r="AC438" s="197">
        <v>0</v>
      </c>
      <c r="AD438" s="258">
        <v>14.59</v>
      </c>
      <c r="AE438" s="197">
        <v>24</v>
      </c>
      <c r="AF438" s="198" t="s">
        <v>1</v>
      </c>
      <c r="AG438" s="222" t="s">
        <v>1</v>
      </c>
      <c r="AH438" s="233" t="s">
        <v>1</v>
      </c>
      <c r="AI438" s="209" t="s">
        <v>1</v>
      </c>
      <c r="AJ438" s="209" t="s">
        <v>1</v>
      </c>
      <c r="AK438" s="209" t="s">
        <v>1</v>
      </c>
      <c r="AL438" s="214" t="s">
        <v>1</v>
      </c>
      <c r="AM438" s="200" t="s">
        <v>1</v>
      </c>
      <c r="AN438" s="199" t="s">
        <v>1</v>
      </c>
      <c r="AO438" s="202" t="s">
        <v>1</v>
      </c>
      <c r="AP438" s="233" t="s">
        <v>1</v>
      </c>
      <c r="AQ438" s="233" t="s">
        <v>1</v>
      </c>
      <c r="AR438" s="201" t="s">
        <v>1</v>
      </c>
      <c r="AS438" s="201" t="s">
        <v>1</v>
      </c>
      <c r="AT438" s="199" t="s">
        <v>1</v>
      </c>
      <c r="AU438" s="199" t="s">
        <v>1</v>
      </c>
      <c r="AV438" s="202" t="s">
        <v>1</v>
      </c>
      <c r="AW438" s="199" t="s">
        <v>1</v>
      </c>
    </row>
    <row r="439" spans="1:49" ht="30.15" customHeight="1" x14ac:dyDescent="0.25">
      <c r="A439" s="188" t="s">
        <v>18</v>
      </c>
      <c r="B439" s="189" t="s">
        <v>1</v>
      </c>
      <c r="C439" s="188" t="s">
        <v>35</v>
      </c>
      <c r="D439" s="190" t="s">
        <v>90</v>
      </c>
      <c r="E439" s="190" t="s">
        <v>91</v>
      </c>
      <c r="F439" s="203"/>
      <c r="G439" s="190" t="s">
        <v>92</v>
      </c>
      <c r="H439" s="192" t="s">
        <v>409</v>
      </c>
      <c r="I439" s="193">
        <v>130</v>
      </c>
      <c r="J439" s="193">
        <v>130</v>
      </c>
      <c r="K439" s="193">
        <v>130</v>
      </c>
      <c r="L439" s="193">
        <v>179.99</v>
      </c>
      <c r="M439" s="194">
        <v>179.99</v>
      </c>
      <c r="N439" s="195" t="s">
        <v>1</v>
      </c>
      <c r="O439" s="195" t="s">
        <v>1</v>
      </c>
      <c r="P439" s="195" t="s">
        <v>1</v>
      </c>
      <c r="Q439" s="195" t="s">
        <v>1</v>
      </c>
      <c r="R439" s="196" t="s">
        <v>1</v>
      </c>
      <c r="S439" s="197" t="s">
        <v>1</v>
      </c>
      <c r="T439" s="197" t="s">
        <v>1</v>
      </c>
      <c r="U439" s="197" t="s">
        <v>1</v>
      </c>
      <c r="V439" s="197" t="s">
        <v>1</v>
      </c>
      <c r="W439" s="196" t="s">
        <v>1</v>
      </c>
      <c r="X439" s="195" t="s">
        <v>1</v>
      </c>
      <c r="Y439" s="195" t="s">
        <v>1</v>
      </c>
      <c r="Z439" s="195" t="s">
        <v>1</v>
      </c>
      <c r="AA439" s="196" t="s">
        <v>1</v>
      </c>
      <c r="AB439" s="196" t="s">
        <v>1</v>
      </c>
      <c r="AC439" s="197" t="s">
        <v>1</v>
      </c>
      <c r="AD439" s="197" t="s">
        <v>1</v>
      </c>
      <c r="AE439" s="197" t="s">
        <v>1</v>
      </c>
      <c r="AF439" s="198" t="s">
        <v>1</v>
      </c>
      <c r="AG439" s="198" t="s">
        <v>1</v>
      </c>
      <c r="AH439" s="198" t="s">
        <v>1</v>
      </c>
      <c r="AI439" s="209" t="s">
        <v>1</v>
      </c>
      <c r="AJ439" s="209" t="s">
        <v>1</v>
      </c>
      <c r="AK439" s="209" t="s">
        <v>1</v>
      </c>
      <c r="AL439" s="198">
        <v>0</v>
      </c>
      <c r="AM439" s="200" t="s">
        <v>1</v>
      </c>
      <c r="AN439" s="199" t="s">
        <v>1</v>
      </c>
      <c r="AO439" s="199" t="s">
        <v>1</v>
      </c>
      <c r="AP439" s="198" t="s">
        <v>1</v>
      </c>
      <c r="AQ439" s="198" t="s">
        <v>1</v>
      </c>
      <c r="AR439" s="201" t="s">
        <v>1</v>
      </c>
      <c r="AS439" s="201" t="s">
        <v>1</v>
      </c>
      <c r="AT439" s="199" t="s">
        <v>1</v>
      </c>
      <c r="AU439" s="199" t="s">
        <v>1</v>
      </c>
      <c r="AV439" s="202" t="s">
        <v>1</v>
      </c>
      <c r="AW439" s="199" t="s">
        <v>1</v>
      </c>
    </row>
    <row r="440" spans="1:49" ht="30.15" customHeight="1" x14ac:dyDescent="0.25">
      <c r="A440" s="213" t="s">
        <v>18</v>
      </c>
      <c r="B440" s="189" t="s">
        <v>1</v>
      </c>
      <c r="C440" s="212" t="s">
        <v>34</v>
      </c>
      <c r="D440" s="190" t="s">
        <v>90</v>
      </c>
      <c r="E440" s="190" t="s">
        <v>390</v>
      </c>
      <c r="F440" s="203"/>
      <c r="G440" s="190" t="s">
        <v>393</v>
      </c>
      <c r="H440" s="192" t="s">
        <v>409</v>
      </c>
      <c r="I440" s="193">
        <v>310</v>
      </c>
      <c r="J440" s="193">
        <v>310</v>
      </c>
      <c r="K440" s="193">
        <v>310</v>
      </c>
      <c r="L440" s="193">
        <v>260</v>
      </c>
      <c r="M440" s="194">
        <v>260</v>
      </c>
      <c r="N440" s="195">
        <v>0</v>
      </c>
      <c r="O440" s="195" t="s">
        <v>1</v>
      </c>
      <c r="P440" s="195" t="s">
        <v>1</v>
      </c>
      <c r="Q440" s="195" t="s">
        <v>1</v>
      </c>
      <c r="R440" s="196">
        <v>120</v>
      </c>
      <c r="S440" s="197">
        <v>0</v>
      </c>
      <c r="T440" s="197" t="s">
        <v>1</v>
      </c>
      <c r="U440" s="197" t="s">
        <v>1</v>
      </c>
      <c r="V440" s="197" t="s">
        <v>1</v>
      </c>
      <c r="W440" s="196">
        <v>120</v>
      </c>
      <c r="X440" s="195">
        <v>0</v>
      </c>
      <c r="Y440" s="195" t="s">
        <v>1</v>
      </c>
      <c r="Z440" s="195" t="s">
        <v>1</v>
      </c>
      <c r="AA440" s="196" t="s">
        <v>1</v>
      </c>
      <c r="AB440" s="196" t="s">
        <v>1</v>
      </c>
      <c r="AC440" s="197">
        <v>0</v>
      </c>
      <c r="AD440" s="197" t="s">
        <v>1</v>
      </c>
      <c r="AE440" s="197" t="s">
        <v>1</v>
      </c>
      <c r="AF440" s="198" t="s">
        <v>1</v>
      </c>
      <c r="AG440" s="198" t="s">
        <v>1</v>
      </c>
      <c r="AH440" s="198">
        <v>0</v>
      </c>
      <c r="AI440" s="209" t="s">
        <v>1</v>
      </c>
      <c r="AJ440" s="209" t="s">
        <v>1</v>
      </c>
      <c r="AK440" s="209">
        <v>120</v>
      </c>
      <c r="AL440" s="198" t="s">
        <v>1</v>
      </c>
      <c r="AM440" s="200" t="s">
        <v>1</v>
      </c>
      <c r="AN440" s="199" t="s">
        <v>1</v>
      </c>
      <c r="AO440" s="199" t="s">
        <v>1</v>
      </c>
      <c r="AP440" s="198" t="s">
        <v>1</v>
      </c>
      <c r="AQ440" s="198" t="s">
        <v>1</v>
      </c>
      <c r="AR440" s="201" t="s">
        <v>1</v>
      </c>
      <c r="AS440" s="201" t="s">
        <v>1</v>
      </c>
      <c r="AT440" s="199" t="s">
        <v>1</v>
      </c>
      <c r="AU440" s="199" t="s">
        <v>1</v>
      </c>
      <c r="AV440" s="202" t="s">
        <v>1</v>
      </c>
      <c r="AW440" s="199" t="s">
        <v>1</v>
      </c>
    </row>
    <row r="441" spans="1:49" ht="30.15" customHeight="1" x14ac:dyDescent="0.25">
      <c r="A441" s="213" t="s">
        <v>18</v>
      </c>
      <c r="B441" s="189" t="s">
        <v>1</v>
      </c>
      <c r="C441" s="212" t="s">
        <v>34</v>
      </c>
      <c r="D441" s="190" t="s">
        <v>90</v>
      </c>
      <c r="E441" s="190" t="s">
        <v>391</v>
      </c>
      <c r="F441" s="203"/>
      <c r="G441" s="190" t="s">
        <v>394</v>
      </c>
      <c r="H441" s="192" t="s">
        <v>409</v>
      </c>
      <c r="I441" s="193">
        <v>649</v>
      </c>
      <c r="J441" s="193">
        <v>649</v>
      </c>
      <c r="K441" s="193">
        <v>649</v>
      </c>
      <c r="L441" s="193">
        <v>670</v>
      </c>
      <c r="M441" s="194">
        <v>670</v>
      </c>
      <c r="N441" s="195">
        <v>0</v>
      </c>
      <c r="O441" s="195" t="s">
        <v>1</v>
      </c>
      <c r="P441" s="195" t="s">
        <v>1</v>
      </c>
      <c r="Q441" s="195" t="s">
        <v>1</v>
      </c>
      <c r="R441" s="196" t="s">
        <v>1252</v>
      </c>
      <c r="S441" s="197">
        <v>0</v>
      </c>
      <c r="T441" s="197" t="s">
        <v>1</v>
      </c>
      <c r="U441" s="197" t="s">
        <v>1</v>
      </c>
      <c r="V441" s="197" t="s">
        <v>1</v>
      </c>
      <c r="W441" s="196" t="s">
        <v>1252</v>
      </c>
      <c r="X441" s="195">
        <v>0</v>
      </c>
      <c r="Y441" s="195" t="s">
        <v>1</v>
      </c>
      <c r="Z441" s="195" t="s">
        <v>1</v>
      </c>
      <c r="AA441" s="196" t="s">
        <v>1</v>
      </c>
      <c r="AB441" s="196" t="s">
        <v>1</v>
      </c>
      <c r="AC441" s="197">
        <v>0</v>
      </c>
      <c r="AD441" s="197" t="s">
        <v>1</v>
      </c>
      <c r="AE441" s="197" t="s">
        <v>1</v>
      </c>
      <c r="AF441" s="198" t="s">
        <v>1</v>
      </c>
      <c r="AG441" s="198" t="s">
        <v>1</v>
      </c>
      <c r="AH441" s="198" t="s">
        <v>1</v>
      </c>
      <c r="AI441" s="209" t="s">
        <v>1</v>
      </c>
      <c r="AJ441" s="209" t="s">
        <v>1</v>
      </c>
      <c r="AK441" s="209" t="s">
        <v>1</v>
      </c>
      <c r="AL441" s="198" t="s">
        <v>1</v>
      </c>
      <c r="AM441" s="200" t="s">
        <v>1</v>
      </c>
      <c r="AN441" s="199" t="s">
        <v>1</v>
      </c>
      <c r="AO441" s="199" t="s">
        <v>1</v>
      </c>
      <c r="AP441" s="198" t="s">
        <v>1</v>
      </c>
      <c r="AQ441" s="198" t="s">
        <v>1</v>
      </c>
      <c r="AR441" s="201" t="s">
        <v>1</v>
      </c>
      <c r="AS441" s="201" t="s">
        <v>1</v>
      </c>
      <c r="AT441" s="199" t="s">
        <v>1</v>
      </c>
      <c r="AU441" s="199" t="s">
        <v>1</v>
      </c>
      <c r="AV441" s="202" t="s">
        <v>1</v>
      </c>
      <c r="AW441" s="199" t="s">
        <v>1</v>
      </c>
    </row>
    <row r="442" spans="1:49" ht="30.15" customHeight="1" x14ac:dyDescent="0.25">
      <c r="A442" s="213" t="s">
        <v>18</v>
      </c>
      <c r="B442" s="189" t="s">
        <v>1</v>
      </c>
      <c r="C442" s="212" t="s">
        <v>34</v>
      </c>
      <c r="D442" s="190" t="s">
        <v>90</v>
      </c>
      <c r="E442" s="190" t="s">
        <v>392</v>
      </c>
      <c r="F442" s="203"/>
      <c r="G442" s="190" t="s">
        <v>395</v>
      </c>
      <c r="H442" s="192" t="s">
        <v>409</v>
      </c>
      <c r="I442" s="193">
        <v>899</v>
      </c>
      <c r="J442" s="193">
        <v>899</v>
      </c>
      <c r="K442" s="193">
        <v>899</v>
      </c>
      <c r="L442" s="193">
        <v>950</v>
      </c>
      <c r="M442" s="194">
        <v>950</v>
      </c>
      <c r="N442" s="195">
        <v>0</v>
      </c>
      <c r="O442" s="195" t="s">
        <v>1</v>
      </c>
      <c r="P442" s="195" t="s">
        <v>1</v>
      </c>
      <c r="Q442" s="195" t="s">
        <v>1</v>
      </c>
      <c r="R442" s="196" t="s">
        <v>1253</v>
      </c>
      <c r="S442" s="197">
        <v>0</v>
      </c>
      <c r="T442" s="197" t="s">
        <v>1</v>
      </c>
      <c r="U442" s="197" t="s">
        <v>1</v>
      </c>
      <c r="V442" s="197" t="s">
        <v>1</v>
      </c>
      <c r="W442" s="196" t="s">
        <v>1253</v>
      </c>
      <c r="X442" s="195">
        <v>0</v>
      </c>
      <c r="Y442" s="195" t="s">
        <v>1</v>
      </c>
      <c r="Z442" s="195" t="s">
        <v>1</v>
      </c>
      <c r="AA442" s="196" t="s">
        <v>1</v>
      </c>
      <c r="AB442" s="196" t="s">
        <v>1</v>
      </c>
      <c r="AC442" s="197">
        <v>0</v>
      </c>
      <c r="AD442" s="197" t="s">
        <v>1</v>
      </c>
      <c r="AE442" s="197" t="s">
        <v>1</v>
      </c>
      <c r="AF442" s="198" t="s">
        <v>1</v>
      </c>
      <c r="AG442" s="198" t="s">
        <v>1</v>
      </c>
      <c r="AH442" s="198" t="s">
        <v>1</v>
      </c>
      <c r="AI442" s="209" t="s">
        <v>1</v>
      </c>
      <c r="AJ442" s="209" t="s">
        <v>1</v>
      </c>
      <c r="AK442" s="209" t="s">
        <v>1</v>
      </c>
      <c r="AL442" s="198" t="s">
        <v>1</v>
      </c>
      <c r="AM442" s="200" t="s">
        <v>1</v>
      </c>
      <c r="AN442" s="199" t="s">
        <v>1</v>
      </c>
      <c r="AO442" s="199" t="s">
        <v>1</v>
      </c>
      <c r="AP442" s="198" t="s">
        <v>1</v>
      </c>
      <c r="AQ442" s="198" t="s">
        <v>1</v>
      </c>
      <c r="AR442" s="201" t="s">
        <v>1</v>
      </c>
      <c r="AS442" s="201" t="s">
        <v>1</v>
      </c>
      <c r="AT442" s="199" t="s">
        <v>1</v>
      </c>
      <c r="AU442" s="199" t="s">
        <v>1</v>
      </c>
      <c r="AV442" s="202" t="s">
        <v>1</v>
      </c>
      <c r="AW442" s="199" t="s">
        <v>1</v>
      </c>
    </row>
    <row r="443" spans="1:49" ht="30.15" customHeight="1" x14ac:dyDescent="0.25">
      <c r="A443" s="213" t="s">
        <v>18</v>
      </c>
      <c r="B443" s="189" t="s">
        <v>1</v>
      </c>
      <c r="C443" s="212" t="s">
        <v>34</v>
      </c>
      <c r="D443" s="190" t="s">
        <v>90</v>
      </c>
      <c r="E443" s="190" t="s">
        <v>446</v>
      </c>
      <c r="F443" s="203"/>
      <c r="G443" s="190" t="s">
        <v>395</v>
      </c>
      <c r="H443" s="192" t="s">
        <v>409</v>
      </c>
      <c r="I443" s="193">
        <v>899</v>
      </c>
      <c r="J443" s="193">
        <v>899</v>
      </c>
      <c r="K443" s="193">
        <v>899</v>
      </c>
      <c r="L443" s="193">
        <v>950</v>
      </c>
      <c r="M443" s="194">
        <v>950</v>
      </c>
      <c r="N443" s="195">
        <v>0</v>
      </c>
      <c r="O443" s="195" t="s">
        <v>1</v>
      </c>
      <c r="P443" s="195" t="s">
        <v>1</v>
      </c>
      <c r="Q443" s="195" t="s">
        <v>1</v>
      </c>
      <c r="R443" s="196" t="s">
        <v>1253</v>
      </c>
      <c r="S443" s="197">
        <v>0</v>
      </c>
      <c r="T443" s="197" t="s">
        <v>1</v>
      </c>
      <c r="U443" s="197" t="s">
        <v>1</v>
      </c>
      <c r="V443" s="197" t="s">
        <v>1</v>
      </c>
      <c r="W443" s="196" t="s">
        <v>1253</v>
      </c>
      <c r="X443" s="195">
        <v>0</v>
      </c>
      <c r="Y443" s="195" t="s">
        <v>1</v>
      </c>
      <c r="Z443" s="195" t="s">
        <v>1</v>
      </c>
      <c r="AA443" s="196" t="s">
        <v>1</v>
      </c>
      <c r="AB443" s="196" t="s">
        <v>1</v>
      </c>
      <c r="AC443" s="197">
        <v>0</v>
      </c>
      <c r="AD443" s="197" t="s">
        <v>1</v>
      </c>
      <c r="AE443" s="197" t="s">
        <v>1</v>
      </c>
      <c r="AF443" s="198" t="s">
        <v>1</v>
      </c>
      <c r="AG443" s="198" t="s">
        <v>1</v>
      </c>
      <c r="AH443" s="198" t="s">
        <v>1</v>
      </c>
      <c r="AI443" s="209" t="s">
        <v>1</v>
      </c>
      <c r="AJ443" s="209" t="s">
        <v>1</v>
      </c>
      <c r="AK443" s="209" t="s">
        <v>1</v>
      </c>
      <c r="AL443" s="198" t="s">
        <v>1</v>
      </c>
      <c r="AM443" s="200" t="s">
        <v>1</v>
      </c>
      <c r="AN443" s="199" t="s">
        <v>1</v>
      </c>
      <c r="AO443" s="199" t="s">
        <v>1</v>
      </c>
      <c r="AP443" s="198" t="s">
        <v>1</v>
      </c>
      <c r="AQ443" s="198" t="s">
        <v>1</v>
      </c>
      <c r="AR443" s="201" t="s">
        <v>1</v>
      </c>
      <c r="AS443" s="201" t="s">
        <v>1</v>
      </c>
      <c r="AT443" s="199" t="s">
        <v>1</v>
      </c>
      <c r="AU443" s="199" t="s">
        <v>1</v>
      </c>
      <c r="AV443" s="202" t="s">
        <v>1</v>
      </c>
      <c r="AW443" s="199" t="s">
        <v>1</v>
      </c>
    </row>
    <row r="444" spans="1:49" ht="30.15" customHeight="1" x14ac:dyDescent="0.25">
      <c r="A444" s="213" t="s">
        <v>18</v>
      </c>
      <c r="B444" s="189" t="s">
        <v>1</v>
      </c>
      <c r="C444" s="212" t="s">
        <v>34</v>
      </c>
      <c r="D444" s="190" t="s">
        <v>90</v>
      </c>
      <c r="E444" s="190" t="s">
        <v>573</v>
      </c>
      <c r="F444" s="203"/>
      <c r="G444" s="190" t="s">
        <v>581</v>
      </c>
      <c r="H444" s="192" t="s">
        <v>409</v>
      </c>
      <c r="I444" s="193">
        <v>1049</v>
      </c>
      <c r="J444" s="193">
        <v>1049</v>
      </c>
      <c r="K444" s="193">
        <v>1049</v>
      </c>
      <c r="L444" s="193">
        <v>1200</v>
      </c>
      <c r="M444" s="194">
        <v>1200</v>
      </c>
      <c r="N444" s="195">
        <v>0</v>
      </c>
      <c r="O444" s="195">
        <v>30</v>
      </c>
      <c r="P444" s="195">
        <v>24</v>
      </c>
      <c r="Q444" s="195" t="s">
        <v>1</v>
      </c>
      <c r="R444" s="196" t="s">
        <v>1252</v>
      </c>
      <c r="S444" s="197">
        <v>0</v>
      </c>
      <c r="T444" s="195">
        <v>30</v>
      </c>
      <c r="U444" s="195">
        <v>24</v>
      </c>
      <c r="V444" s="197" t="s">
        <v>1</v>
      </c>
      <c r="W444" s="196" t="s">
        <v>1252</v>
      </c>
      <c r="X444" s="195">
        <v>0</v>
      </c>
      <c r="Y444" s="195">
        <v>30</v>
      </c>
      <c r="Z444" s="195">
        <v>24</v>
      </c>
      <c r="AA444" s="196" t="s">
        <v>1</v>
      </c>
      <c r="AB444" s="196" t="s">
        <v>1</v>
      </c>
      <c r="AC444" s="197">
        <v>0</v>
      </c>
      <c r="AD444" s="195">
        <v>30</v>
      </c>
      <c r="AE444" s="197">
        <v>24</v>
      </c>
      <c r="AF444" s="198" t="s">
        <v>1</v>
      </c>
      <c r="AG444" s="198" t="s">
        <v>1</v>
      </c>
      <c r="AH444" s="198" t="s">
        <v>1</v>
      </c>
      <c r="AI444" s="209" t="s">
        <v>1</v>
      </c>
      <c r="AJ444" s="209" t="s">
        <v>1</v>
      </c>
      <c r="AK444" s="209" t="s">
        <v>1</v>
      </c>
      <c r="AL444" s="198" t="s">
        <v>1</v>
      </c>
      <c r="AM444" s="200" t="s">
        <v>1</v>
      </c>
      <c r="AN444" s="199" t="s">
        <v>1</v>
      </c>
      <c r="AO444" s="199" t="s">
        <v>1</v>
      </c>
      <c r="AP444" s="198" t="s">
        <v>1</v>
      </c>
      <c r="AQ444" s="198" t="s">
        <v>1</v>
      </c>
      <c r="AR444" s="201" t="s">
        <v>1</v>
      </c>
      <c r="AS444" s="201" t="s">
        <v>1</v>
      </c>
      <c r="AT444" s="199" t="s">
        <v>1</v>
      </c>
      <c r="AU444" s="199" t="s">
        <v>1</v>
      </c>
      <c r="AV444" s="202" t="s">
        <v>1</v>
      </c>
      <c r="AW444" s="199" t="s">
        <v>1</v>
      </c>
    </row>
    <row r="445" spans="1:49" ht="30.15" customHeight="1" x14ac:dyDescent="0.25">
      <c r="A445" s="213" t="s">
        <v>18</v>
      </c>
      <c r="B445" s="189" t="s">
        <v>1</v>
      </c>
      <c r="C445" s="212" t="s">
        <v>34</v>
      </c>
      <c r="D445" s="190" t="s">
        <v>90</v>
      </c>
      <c r="E445" s="190" t="s">
        <v>574</v>
      </c>
      <c r="F445" s="203"/>
      <c r="G445" s="190" t="s">
        <v>581</v>
      </c>
      <c r="H445" s="192" t="s">
        <v>409</v>
      </c>
      <c r="I445" s="193">
        <v>1049</v>
      </c>
      <c r="J445" s="193">
        <v>1049</v>
      </c>
      <c r="K445" s="193">
        <v>1049</v>
      </c>
      <c r="L445" s="193">
        <v>1200</v>
      </c>
      <c r="M445" s="194">
        <v>1200</v>
      </c>
      <c r="N445" s="195">
        <v>0</v>
      </c>
      <c r="O445" s="195">
        <v>30</v>
      </c>
      <c r="P445" s="195">
        <v>24</v>
      </c>
      <c r="Q445" s="195" t="s">
        <v>1</v>
      </c>
      <c r="R445" s="196" t="s">
        <v>1252</v>
      </c>
      <c r="S445" s="197">
        <v>0</v>
      </c>
      <c r="T445" s="195">
        <v>30</v>
      </c>
      <c r="U445" s="195">
        <v>24</v>
      </c>
      <c r="V445" s="197" t="s">
        <v>1</v>
      </c>
      <c r="W445" s="196" t="s">
        <v>1252</v>
      </c>
      <c r="X445" s="195">
        <v>0</v>
      </c>
      <c r="Y445" s="195">
        <v>30</v>
      </c>
      <c r="Z445" s="195">
        <v>24</v>
      </c>
      <c r="AA445" s="196" t="s">
        <v>1</v>
      </c>
      <c r="AB445" s="196" t="s">
        <v>1</v>
      </c>
      <c r="AC445" s="197">
        <v>0</v>
      </c>
      <c r="AD445" s="195">
        <v>30</v>
      </c>
      <c r="AE445" s="197">
        <v>24</v>
      </c>
      <c r="AF445" s="198" t="s">
        <v>1</v>
      </c>
      <c r="AG445" s="198" t="s">
        <v>1</v>
      </c>
      <c r="AH445" s="198" t="s">
        <v>1</v>
      </c>
      <c r="AI445" s="209" t="s">
        <v>1</v>
      </c>
      <c r="AJ445" s="209" t="s">
        <v>1</v>
      </c>
      <c r="AK445" s="209" t="s">
        <v>1</v>
      </c>
      <c r="AL445" s="198" t="s">
        <v>1</v>
      </c>
      <c r="AM445" s="200" t="s">
        <v>1</v>
      </c>
      <c r="AN445" s="199" t="s">
        <v>1</v>
      </c>
      <c r="AO445" s="199" t="s">
        <v>1</v>
      </c>
      <c r="AP445" s="198" t="s">
        <v>1</v>
      </c>
      <c r="AQ445" s="198" t="s">
        <v>1</v>
      </c>
      <c r="AR445" s="201" t="s">
        <v>1</v>
      </c>
      <c r="AS445" s="201" t="s">
        <v>1</v>
      </c>
      <c r="AT445" s="199" t="s">
        <v>1</v>
      </c>
      <c r="AU445" s="199" t="s">
        <v>1</v>
      </c>
      <c r="AV445" s="202" t="s">
        <v>1</v>
      </c>
      <c r="AW445" s="199" t="s">
        <v>1</v>
      </c>
    </row>
    <row r="446" spans="1:49" ht="30.15" customHeight="1" x14ac:dyDescent="0.25">
      <c r="A446" s="213" t="s">
        <v>18</v>
      </c>
      <c r="B446" s="189" t="s">
        <v>1</v>
      </c>
      <c r="C446" s="212" t="s">
        <v>34</v>
      </c>
      <c r="D446" s="190" t="s">
        <v>90</v>
      </c>
      <c r="E446" s="190" t="s">
        <v>575</v>
      </c>
      <c r="F446" s="203"/>
      <c r="G446" s="190" t="s">
        <v>583</v>
      </c>
      <c r="H446" s="192" t="s">
        <v>409</v>
      </c>
      <c r="I446" s="193">
        <v>798</v>
      </c>
      <c r="J446" s="193">
        <v>798</v>
      </c>
      <c r="K446" s="193">
        <v>798</v>
      </c>
      <c r="L446" s="193">
        <v>950</v>
      </c>
      <c r="M446" s="194">
        <v>950</v>
      </c>
      <c r="N446" s="195">
        <v>0</v>
      </c>
      <c r="O446" s="195">
        <v>13.34</v>
      </c>
      <c r="P446" s="195">
        <v>24</v>
      </c>
      <c r="Q446" s="195" t="s">
        <v>1</v>
      </c>
      <c r="R446" s="196" t="s">
        <v>1252</v>
      </c>
      <c r="S446" s="197">
        <v>0</v>
      </c>
      <c r="T446" s="195">
        <v>13.34</v>
      </c>
      <c r="U446" s="195">
        <v>24</v>
      </c>
      <c r="V446" s="197" t="s">
        <v>1</v>
      </c>
      <c r="W446" s="196" t="s">
        <v>1252</v>
      </c>
      <c r="X446" s="195">
        <v>0</v>
      </c>
      <c r="Y446" s="195">
        <v>16.170000000000002</v>
      </c>
      <c r="Z446" s="195">
        <v>24</v>
      </c>
      <c r="AA446" s="196" t="s">
        <v>1</v>
      </c>
      <c r="AB446" s="196" t="s">
        <v>1</v>
      </c>
      <c r="AC446" s="197">
        <v>0</v>
      </c>
      <c r="AD446" s="197">
        <v>16.170000000000002</v>
      </c>
      <c r="AE446" s="197">
        <v>24</v>
      </c>
      <c r="AF446" s="198" t="s">
        <v>1</v>
      </c>
      <c r="AG446" s="198" t="s">
        <v>1</v>
      </c>
      <c r="AH446" s="198" t="s">
        <v>1</v>
      </c>
      <c r="AI446" s="209" t="s">
        <v>1</v>
      </c>
      <c r="AJ446" s="209" t="s">
        <v>1</v>
      </c>
      <c r="AK446" s="209" t="s">
        <v>1</v>
      </c>
      <c r="AL446" s="198" t="s">
        <v>1</v>
      </c>
      <c r="AM446" s="200" t="s">
        <v>1</v>
      </c>
      <c r="AN446" s="199" t="s">
        <v>1</v>
      </c>
      <c r="AO446" s="199" t="s">
        <v>1</v>
      </c>
      <c r="AP446" s="198" t="s">
        <v>1</v>
      </c>
      <c r="AQ446" s="198" t="s">
        <v>1</v>
      </c>
      <c r="AR446" s="201" t="s">
        <v>1</v>
      </c>
      <c r="AS446" s="201" t="s">
        <v>1</v>
      </c>
      <c r="AT446" s="199" t="s">
        <v>1</v>
      </c>
      <c r="AU446" s="199" t="s">
        <v>1</v>
      </c>
      <c r="AV446" s="202" t="s">
        <v>1</v>
      </c>
      <c r="AW446" s="199" t="s">
        <v>1</v>
      </c>
    </row>
    <row r="447" spans="1:49" ht="30.15" customHeight="1" x14ac:dyDescent="0.25">
      <c r="A447" s="213" t="s">
        <v>18</v>
      </c>
      <c r="B447" s="189" t="s">
        <v>1</v>
      </c>
      <c r="C447" s="212" t="s">
        <v>34</v>
      </c>
      <c r="D447" s="190" t="s">
        <v>90</v>
      </c>
      <c r="E447" s="190" t="s">
        <v>576</v>
      </c>
      <c r="F447" s="203"/>
      <c r="G447" s="190" t="s">
        <v>580</v>
      </c>
      <c r="H447" s="192" t="s">
        <v>409</v>
      </c>
      <c r="I447" s="193">
        <v>798</v>
      </c>
      <c r="J447" s="193">
        <v>798</v>
      </c>
      <c r="K447" s="193">
        <v>798</v>
      </c>
      <c r="L447" s="193">
        <v>950</v>
      </c>
      <c r="M447" s="194">
        <v>950</v>
      </c>
      <c r="N447" s="195">
        <v>0</v>
      </c>
      <c r="O447" s="195">
        <v>13.34</v>
      </c>
      <c r="P447" s="195">
        <v>24</v>
      </c>
      <c r="Q447" s="195" t="s">
        <v>1</v>
      </c>
      <c r="R447" s="196" t="s">
        <v>1252</v>
      </c>
      <c r="S447" s="197">
        <v>0</v>
      </c>
      <c r="T447" s="195">
        <v>13.34</v>
      </c>
      <c r="U447" s="195">
        <v>24</v>
      </c>
      <c r="V447" s="197" t="s">
        <v>1</v>
      </c>
      <c r="W447" s="196" t="s">
        <v>1252</v>
      </c>
      <c r="X447" s="195">
        <v>0</v>
      </c>
      <c r="Y447" s="195">
        <v>16.170000000000002</v>
      </c>
      <c r="Z447" s="195">
        <v>24</v>
      </c>
      <c r="AA447" s="196" t="s">
        <v>1</v>
      </c>
      <c r="AB447" s="196" t="s">
        <v>1</v>
      </c>
      <c r="AC447" s="197">
        <v>0</v>
      </c>
      <c r="AD447" s="197">
        <v>16.170000000000002</v>
      </c>
      <c r="AE447" s="197">
        <v>24</v>
      </c>
      <c r="AF447" s="198" t="s">
        <v>1</v>
      </c>
      <c r="AG447" s="198" t="s">
        <v>1</v>
      </c>
      <c r="AH447" s="198" t="s">
        <v>1</v>
      </c>
      <c r="AI447" s="209" t="s">
        <v>1</v>
      </c>
      <c r="AJ447" s="209" t="s">
        <v>1</v>
      </c>
      <c r="AK447" s="209" t="s">
        <v>1</v>
      </c>
      <c r="AL447" s="198" t="s">
        <v>1</v>
      </c>
      <c r="AM447" s="200" t="s">
        <v>1</v>
      </c>
      <c r="AN447" s="199" t="s">
        <v>1</v>
      </c>
      <c r="AO447" s="199" t="s">
        <v>1</v>
      </c>
      <c r="AP447" s="198" t="s">
        <v>1</v>
      </c>
      <c r="AQ447" s="198" t="s">
        <v>1</v>
      </c>
      <c r="AR447" s="201" t="s">
        <v>1</v>
      </c>
      <c r="AS447" s="201" t="s">
        <v>1</v>
      </c>
      <c r="AT447" s="199" t="s">
        <v>1</v>
      </c>
      <c r="AU447" s="199" t="s">
        <v>1</v>
      </c>
      <c r="AV447" s="202" t="s">
        <v>1</v>
      </c>
      <c r="AW447" s="199" t="s">
        <v>1</v>
      </c>
    </row>
    <row r="448" spans="1:49" ht="30.15" customHeight="1" x14ac:dyDescent="0.25">
      <c r="A448" s="213" t="s">
        <v>18</v>
      </c>
      <c r="B448" s="189" t="s">
        <v>1</v>
      </c>
      <c r="C448" s="212" t="s">
        <v>34</v>
      </c>
      <c r="D448" s="190" t="s">
        <v>90</v>
      </c>
      <c r="E448" s="190" t="s">
        <v>577</v>
      </c>
      <c r="F448" s="203"/>
      <c r="G448" s="190" t="s">
        <v>584</v>
      </c>
      <c r="H448" s="192" t="s">
        <v>409</v>
      </c>
      <c r="I448" s="193">
        <v>419</v>
      </c>
      <c r="J448" s="193">
        <v>419</v>
      </c>
      <c r="K448" s="193">
        <v>419</v>
      </c>
      <c r="L448" s="193">
        <v>480</v>
      </c>
      <c r="M448" s="194">
        <v>480</v>
      </c>
      <c r="N448" s="195">
        <v>0</v>
      </c>
      <c r="O448" s="195">
        <v>6</v>
      </c>
      <c r="P448" s="195">
        <v>24</v>
      </c>
      <c r="Q448" s="195" t="s">
        <v>1</v>
      </c>
      <c r="R448" s="196">
        <v>120</v>
      </c>
      <c r="S448" s="197">
        <v>0</v>
      </c>
      <c r="T448" s="195">
        <v>6</v>
      </c>
      <c r="U448" s="195">
        <v>24</v>
      </c>
      <c r="V448" s="197" t="s">
        <v>1</v>
      </c>
      <c r="W448" s="196">
        <v>120</v>
      </c>
      <c r="X448" s="195">
        <v>0</v>
      </c>
      <c r="Y448" s="195">
        <v>8.2999999999999989</v>
      </c>
      <c r="Z448" s="195">
        <v>24</v>
      </c>
      <c r="AA448" s="196" t="s">
        <v>1</v>
      </c>
      <c r="AB448" s="196" t="s">
        <v>1</v>
      </c>
      <c r="AC448" s="197">
        <v>0</v>
      </c>
      <c r="AD448" s="197">
        <v>8.2999999999999989</v>
      </c>
      <c r="AE448" s="197">
        <v>24</v>
      </c>
      <c r="AF448" s="198" t="s">
        <v>1</v>
      </c>
      <c r="AG448" s="198" t="s">
        <v>1</v>
      </c>
      <c r="AH448" s="198">
        <v>0</v>
      </c>
      <c r="AI448" s="209">
        <v>6</v>
      </c>
      <c r="AJ448" s="209">
        <v>24</v>
      </c>
      <c r="AK448" s="209">
        <v>120</v>
      </c>
      <c r="AL448" s="198" t="s">
        <v>1</v>
      </c>
      <c r="AM448" s="200" t="s">
        <v>1</v>
      </c>
      <c r="AN448" s="199" t="s">
        <v>1</v>
      </c>
      <c r="AO448" s="199" t="s">
        <v>1</v>
      </c>
      <c r="AP448" s="198" t="s">
        <v>1</v>
      </c>
      <c r="AQ448" s="198" t="s">
        <v>1</v>
      </c>
      <c r="AR448" s="201" t="s">
        <v>1</v>
      </c>
      <c r="AS448" s="201" t="s">
        <v>1</v>
      </c>
      <c r="AT448" s="199" t="s">
        <v>1</v>
      </c>
      <c r="AU448" s="199" t="s">
        <v>1</v>
      </c>
      <c r="AV448" s="202" t="s">
        <v>1</v>
      </c>
      <c r="AW448" s="199" t="s">
        <v>1</v>
      </c>
    </row>
    <row r="449" spans="1:49" ht="30.15" customHeight="1" x14ac:dyDescent="0.25">
      <c r="A449" s="213" t="s">
        <v>18</v>
      </c>
      <c r="B449" s="189" t="s">
        <v>1</v>
      </c>
      <c r="C449" s="212" t="s">
        <v>35</v>
      </c>
      <c r="D449" s="190" t="s">
        <v>90</v>
      </c>
      <c r="E449" s="190" t="s">
        <v>397</v>
      </c>
      <c r="F449" s="203"/>
      <c r="G449" s="190" t="s">
        <v>398</v>
      </c>
      <c r="H449" s="192" t="s">
        <v>409</v>
      </c>
      <c r="I449" s="193">
        <v>299</v>
      </c>
      <c r="J449" s="193">
        <v>299</v>
      </c>
      <c r="K449" s="193">
        <v>299</v>
      </c>
      <c r="L449" s="193">
        <v>329</v>
      </c>
      <c r="M449" s="194">
        <v>329</v>
      </c>
      <c r="N449" s="195" t="s">
        <v>1</v>
      </c>
      <c r="O449" s="195" t="s">
        <v>1</v>
      </c>
      <c r="P449" s="195" t="s">
        <v>1</v>
      </c>
      <c r="Q449" s="195" t="s">
        <v>1</v>
      </c>
      <c r="R449" s="196" t="s">
        <v>1</v>
      </c>
      <c r="S449" s="197" t="s">
        <v>1</v>
      </c>
      <c r="T449" s="197" t="s">
        <v>1</v>
      </c>
      <c r="U449" s="197" t="s">
        <v>1</v>
      </c>
      <c r="V449" s="197" t="s">
        <v>1</v>
      </c>
      <c r="W449" s="196" t="s">
        <v>1</v>
      </c>
      <c r="X449" s="195" t="s">
        <v>1</v>
      </c>
      <c r="Y449" s="195" t="s">
        <v>1</v>
      </c>
      <c r="Z449" s="195" t="s">
        <v>1</v>
      </c>
      <c r="AA449" s="196" t="s">
        <v>1</v>
      </c>
      <c r="AB449" s="196" t="s">
        <v>1</v>
      </c>
      <c r="AC449" s="197" t="s">
        <v>1</v>
      </c>
      <c r="AD449" s="197" t="s">
        <v>1</v>
      </c>
      <c r="AE449" s="197" t="s">
        <v>1</v>
      </c>
      <c r="AF449" s="198" t="s">
        <v>1</v>
      </c>
      <c r="AG449" s="198" t="s">
        <v>1</v>
      </c>
      <c r="AH449" s="198" t="s">
        <v>1</v>
      </c>
      <c r="AI449" s="209" t="s">
        <v>1</v>
      </c>
      <c r="AJ449" s="209" t="s">
        <v>1</v>
      </c>
      <c r="AK449" s="209" t="s">
        <v>1</v>
      </c>
      <c r="AL449" s="198">
        <v>0</v>
      </c>
      <c r="AM449" s="200" t="s">
        <v>1</v>
      </c>
      <c r="AN449" s="199" t="s">
        <v>1</v>
      </c>
      <c r="AO449" s="199">
        <v>120</v>
      </c>
      <c r="AP449" s="198" t="s">
        <v>1</v>
      </c>
      <c r="AQ449" s="198" t="s">
        <v>1</v>
      </c>
      <c r="AR449" s="201" t="s">
        <v>1</v>
      </c>
      <c r="AS449" s="201" t="s">
        <v>1</v>
      </c>
      <c r="AT449" s="199" t="s">
        <v>1</v>
      </c>
      <c r="AU449" s="199" t="s">
        <v>1</v>
      </c>
      <c r="AV449" s="202" t="s">
        <v>1</v>
      </c>
      <c r="AW449" s="199" t="s">
        <v>1</v>
      </c>
    </row>
    <row r="450" spans="1:49" ht="30.15" customHeight="1" x14ac:dyDescent="0.25">
      <c r="A450" s="213" t="s">
        <v>18</v>
      </c>
      <c r="B450" s="189" t="s">
        <v>1</v>
      </c>
      <c r="C450" s="212" t="s">
        <v>35</v>
      </c>
      <c r="D450" s="190" t="s">
        <v>90</v>
      </c>
      <c r="E450" s="190" t="s">
        <v>396</v>
      </c>
      <c r="F450" s="203"/>
      <c r="G450" s="190" t="s">
        <v>417</v>
      </c>
      <c r="H450" s="192" t="s">
        <v>415</v>
      </c>
      <c r="I450" s="193">
        <v>0</v>
      </c>
      <c r="J450" s="193">
        <v>0</v>
      </c>
      <c r="K450" s="193">
        <v>0</v>
      </c>
      <c r="L450" s="193">
        <v>0</v>
      </c>
      <c r="M450" s="194">
        <v>0</v>
      </c>
      <c r="N450" s="195" t="s">
        <v>1</v>
      </c>
      <c r="O450" s="195" t="s">
        <v>1</v>
      </c>
      <c r="P450" s="195" t="s">
        <v>1</v>
      </c>
      <c r="Q450" s="195" t="s">
        <v>1</v>
      </c>
      <c r="R450" s="196" t="s">
        <v>1</v>
      </c>
      <c r="S450" s="197" t="s">
        <v>1</v>
      </c>
      <c r="T450" s="197" t="s">
        <v>1</v>
      </c>
      <c r="U450" s="197" t="s">
        <v>1</v>
      </c>
      <c r="V450" s="197" t="s">
        <v>1</v>
      </c>
      <c r="W450" s="196" t="s">
        <v>1</v>
      </c>
      <c r="X450" s="195" t="s">
        <v>1</v>
      </c>
      <c r="Y450" s="195" t="s">
        <v>1</v>
      </c>
      <c r="Z450" s="195" t="s">
        <v>1</v>
      </c>
      <c r="AA450" s="196" t="s">
        <v>1</v>
      </c>
      <c r="AB450" s="196" t="s">
        <v>1</v>
      </c>
      <c r="AC450" s="197" t="s">
        <v>1</v>
      </c>
      <c r="AD450" s="197" t="s">
        <v>1</v>
      </c>
      <c r="AE450" s="197" t="s">
        <v>1</v>
      </c>
      <c r="AF450" s="198" t="s">
        <v>1</v>
      </c>
      <c r="AG450" s="198" t="s">
        <v>1</v>
      </c>
      <c r="AH450" s="198" t="s">
        <v>1</v>
      </c>
      <c r="AI450" s="209" t="s">
        <v>1</v>
      </c>
      <c r="AJ450" s="209" t="s">
        <v>1</v>
      </c>
      <c r="AK450" s="209" t="s">
        <v>1</v>
      </c>
      <c r="AL450" s="198" t="s">
        <v>1</v>
      </c>
      <c r="AM450" s="200" t="s">
        <v>1</v>
      </c>
      <c r="AN450" s="199" t="s">
        <v>1</v>
      </c>
      <c r="AO450" s="199" t="s">
        <v>1</v>
      </c>
      <c r="AP450" s="198" t="s">
        <v>1</v>
      </c>
      <c r="AQ450" s="198" t="s">
        <v>1</v>
      </c>
      <c r="AR450" s="201" t="s">
        <v>1</v>
      </c>
      <c r="AS450" s="201" t="s">
        <v>1</v>
      </c>
      <c r="AT450" s="199" t="s">
        <v>1</v>
      </c>
      <c r="AU450" s="199" t="s">
        <v>1</v>
      </c>
      <c r="AV450" s="202" t="s">
        <v>1</v>
      </c>
      <c r="AW450" s="199" t="s">
        <v>1</v>
      </c>
    </row>
    <row r="451" spans="1:49" ht="30.15" customHeight="1" x14ac:dyDescent="0.25">
      <c r="A451" s="213" t="s">
        <v>18</v>
      </c>
      <c r="B451" s="189" t="s">
        <v>1</v>
      </c>
      <c r="C451" s="212" t="s">
        <v>35</v>
      </c>
      <c r="D451" s="190" t="s">
        <v>90</v>
      </c>
      <c r="E451" s="190" t="s">
        <v>402</v>
      </c>
      <c r="F451" s="203"/>
      <c r="G451" s="190" t="s">
        <v>417</v>
      </c>
      <c r="H451" s="192" t="s">
        <v>416</v>
      </c>
      <c r="I451" s="193">
        <v>0</v>
      </c>
      <c r="J451" s="193">
        <v>0</v>
      </c>
      <c r="K451" s="193">
        <v>0</v>
      </c>
      <c r="L451" s="193">
        <v>0</v>
      </c>
      <c r="M451" s="194">
        <v>0</v>
      </c>
      <c r="N451" s="195" t="s">
        <v>1</v>
      </c>
      <c r="O451" s="195" t="s">
        <v>1</v>
      </c>
      <c r="P451" s="195" t="s">
        <v>1</v>
      </c>
      <c r="Q451" s="195" t="s">
        <v>1</v>
      </c>
      <c r="R451" s="196" t="s">
        <v>1</v>
      </c>
      <c r="S451" s="197" t="s">
        <v>1</v>
      </c>
      <c r="T451" s="197" t="s">
        <v>1</v>
      </c>
      <c r="U451" s="197" t="s">
        <v>1</v>
      </c>
      <c r="V451" s="197" t="s">
        <v>1</v>
      </c>
      <c r="W451" s="196" t="s">
        <v>1</v>
      </c>
      <c r="X451" s="195" t="s">
        <v>1</v>
      </c>
      <c r="Y451" s="195" t="s">
        <v>1</v>
      </c>
      <c r="Z451" s="195" t="s">
        <v>1</v>
      </c>
      <c r="AA451" s="196" t="s">
        <v>1</v>
      </c>
      <c r="AB451" s="196" t="s">
        <v>1</v>
      </c>
      <c r="AC451" s="197" t="s">
        <v>1</v>
      </c>
      <c r="AD451" s="197" t="s">
        <v>1</v>
      </c>
      <c r="AE451" s="197" t="s">
        <v>1</v>
      </c>
      <c r="AF451" s="198" t="s">
        <v>1</v>
      </c>
      <c r="AG451" s="198" t="s">
        <v>1</v>
      </c>
      <c r="AH451" s="198" t="s">
        <v>1</v>
      </c>
      <c r="AI451" s="209" t="s">
        <v>1</v>
      </c>
      <c r="AJ451" s="209" t="s">
        <v>1</v>
      </c>
      <c r="AK451" s="209" t="s">
        <v>1</v>
      </c>
      <c r="AL451" s="198" t="s">
        <v>1</v>
      </c>
      <c r="AM451" s="200" t="s">
        <v>1</v>
      </c>
      <c r="AN451" s="199" t="s">
        <v>1</v>
      </c>
      <c r="AO451" s="199" t="s">
        <v>1</v>
      </c>
      <c r="AP451" s="198" t="s">
        <v>1</v>
      </c>
      <c r="AQ451" s="198" t="s">
        <v>1</v>
      </c>
      <c r="AR451" s="201" t="s">
        <v>1</v>
      </c>
      <c r="AS451" s="201" t="s">
        <v>1</v>
      </c>
      <c r="AT451" s="199" t="s">
        <v>1</v>
      </c>
      <c r="AU451" s="199" t="s">
        <v>1</v>
      </c>
      <c r="AV451" s="202" t="s">
        <v>1</v>
      </c>
      <c r="AW451" s="199" t="s">
        <v>1</v>
      </c>
    </row>
    <row r="452" spans="1:49" ht="30.15" customHeight="1" x14ac:dyDescent="0.25">
      <c r="A452" s="213" t="s">
        <v>18</v>
      </c>
      <c r="B452" s="189" t="s">
        <v>1</v>
      </c>
      <c r="C452" s="212" t="s">
        <v>35</v>
      </c>
      <c r="D452" s="190" t="s">
        <v>90</v>
      </c>
      <c r="E452" s="190" t="s">
        <v>589</v>
      </c>
      <c r="F452" s="203"/>
      <c r="G452" s="190" t="s">
        <v>588</v>
      </c>
      <c r="H452" s="192" t="s">
        <v>409</v>
      </c>
      <c r="I452" s="193">
        <v>330</v>
      </c>
      <c r="J452" s="193">
        <v>330</v>
      </c>
      <c r="K452" s="193">
        <v>330</v>
      </c>
      <c r="L452" s="193">
        <v>360</v>
      </c>
      <c r="M452" s="194">
        <v>360</v>
      </c>
      <c r="N452" s="195" t="s">
        <v>1</v>
      </c>
      <c r="O452" s="195" t="s">
        <v>1</v>
      </c>
      <c r="P452" s="195" t="s">
        <v>1</v>
      </c>
      <c r="Q452" s="195" t="s">
        <v>1</v>
      </c>
      <c r="R452" s="196" t="s">
        <v>1</v>
      </c>
      <c r="S452" s="197" t="s">
        <v>1</v>
      </c>
      <c r="T452" s="195" t="s">
        <v>1</v>
      </c>
      <c r="U452" s="195" t="s">
        <v>1</v>
      </c>
      <c r="V452" s="197" t="s">
        <v>1</v>
      </c>
      <c r="W452" s="196" t="s">
        <v>1</v>
      </c>
      <c r="X452" s="195" t="s">
        <v>1</v>
      </c>
      <c r="Y452" s="195" t="s">
        <v>1</v>
      </c>
      <c r="Z452" s="195" t="s">
        <v>1</v>
      </c>
      <c r="AA452" s="196" t="s">
        <v>1</v>
      </c>
      <c r="AB452" s="196" t="s">
        <v>1</v>
      </c>
      <c r="AC452" s="197" t="s">
        <v>1</v>
      </c>
      <c r="AD452" s="197" t="s">
        <v>1</v>
      </c>
      <c r="AE452" s="197" t="s">
        <v>1</v>
      </c>
      <c r="AF452" s="198" t="s">
        <v>1</v>
      </c>
      <c r="AG452" s="198" t="s">
        <v>1</v>
      </c>
      <c r="AH452" s="198" t="s">
        <v>1</v>
      </c>
      <c r="AI452" s="209" t="s">
        <v>1</v>
      </c>
      <c r="AJ452" s="209" t="s">
        <v>1</v>
      </c>
      <c r="AK452" s="209" t="s">
        <v>1</v>
      </c>
      <c r="AL452" s="198">
        <v>0</v>
      </c>
      <c r="AM452" s="195">
        <v>15</v>
      </c>
      <c r="AN452" s="195">
        <v>24</v>
      </c>
      <c r="AO452" s="222">
        <v>120</v>
      </c>
      <c r="AP452" s="198" t="s">
        <v>1</v>
      </c>
      <c r="AQ452" s="198" t="s">
        <v>1</v>
      </c>
      <c r="AR452" s="201" t="s">
        <v>1</v>
      </c>
      <c r="AS452" s="201" t="s">
        <v>1</v>
      </c>
      <c r="AT452" s="199" t="s">
        <v>1</v>
      </c>
      <c r="AU452" s="199" t="s">
        <v>1</v>
      </c>
      <c r="AV452" s="202" t="s">
        <v>1</v>
      </c>
      <c r="AW452" s="199" t="s">
        <v>1</v>
      </c>
    </row>
    <row r="453" spans="1:49" ht="30.15" customHeight="1" x14ac:dyDescent="0.25">
      <c r="A453" s="213" t="s">
        <v>18</v>
      </c>
      <c r="B453" s="189" t="s">
        <v>1</v>
      </c>
      <c r="C453" s="212" t="s">
        <v>35</v>
      </c>
      <c r="D453" s="190" t="s">
        <v>90</v>
      </c>
      <c r="E453" s="190" t="s">
        <v>902</v>
      </c>
      <c r="F453" s="203"/>
      <c r="G453" s="190" t="s">
        <v>903</v>
      </c>
      <c r="H453" s="192" t="s">
        <v>409</v>
      </c>
      <c r="I453" s="193">
        <v>330</v>
      </c>
      <c r="J453" s="193">
        <v>330</v>
      </c>
      <c r="K453" s="193">
        <v>330</v>
      </c>
      <c r="L453" s="193">
        <v>360</v>
      </c>
      <c r="M453" s="194">
        <v>360</v>
      </c>
      <c r="N453" s="195" t="s">
        <v>1</v>
      </c>
      <c r="O453" s="195" t="s">
        <v>1</v>
      </c>
      <c r="P453" s="195" t="s">
        <v>1</v>
      </c>
      <c r="Q453" s="195" t="s">
        <v>1</v>
      </c>
      <c r="R453" s="196" t="s">
        <v>1</v>
      </c>
      <c r="S453" s="197" t="s">
        <v>1</v>
      </c>
      <c r="T453" s="196" t="s">
        <v>1</v>
      </c>
      <c r="U453" s="196" t="s">
        <v>1</v>
      </c>
      <c r="V453" s="197" t="s">
        <v>1</v>
      </c>
      <c r="W453" s="196" t="s">
        <v>1</v>
      </c>
      <c r="X453" s="195" t="s">
        <v>1</v>
      </c>
      <c r="Y453" s="195" t="s">
        <v>1</v>
      </c>
      <c r="Z453" s="195" t="s">
        <v>1</v>
      </c>
      <c r="AA453" s="196" t="s">
        <v>1</v>
      </c>
      <c r="AB453" s="196" t="s">
        <v>1</v>
      </c>
      <c r="AC453" s="197" t="s">
        <v>1</v>
      </c>
      <c r="AD453" s="197" t="s">
        <v>1</v>
      </c>
      <c r="AE453" s="197" t="s">
        <v>1</v>
      </c>
      <c r="AF453" s="198" t="s">
        <v>1</v>
      </c>
      <c r="AG453" s="198" t="s">
        <v>1</v>
      </c>
      <c r="AH453" s="198" t="s">
        <v>1</v>
      </c>
      <c r="AI453" s="209" t="s">
        <v>1</v>
      </c>
      <c r="AJ453" s="209" t="s">
        <v>1</v>
      </c>
      <c r="AK453" s="209" t="s">
        <v>1</v>
      </c>
      <c r="AL453" s="198">
        <v>0</v>
      </c>
      <c r="AM453" s="222">
        <v>15</v>
      </c>
      <c r="AN453" s="222">
        <v>24</v>
      </c>
      <c r="AO453" s="222">
        <v>120</v>
      </c>
      <c r="AP453" s="198" t="s">
        <v>1</v>
      </c>
      <c r="AQ453" s="198" t="s">
        <v>1</v>
      </c>
      <c r="AR453" s="201" t="s">
        <v>1</v>
      </c>
      <c r="AS453" s="201" t="s">
        <v>1</v>
      </c>
      <c r="AT453" s="199" t="s">
        <v>1</v>
      </c>
      <c r="AU453" s="199" t="s">
        <v>1</v>
      </c>
      <c r="AV453" s="202" t="s">
        <v>1</v>
      </c>
      <c r="AW453" s="199" t="s">
        <v>1</v>
      </c>
    </row>
    <row r="454" spans="1:49" ht="30.15" customHeight="1" x14ac:dyDescent="0.25">
      <c r="A454" s="188" t="s">
        <v>18</v>
      </c>
      <c r="B454" s="189" t="s">
        <v>1</v>
      </c>
      <c r="C454" s="212" t="s">
        <v>34</v>
      </c>
      <c r="D454" s="190" t="s">
        <v>5</v>
      </c>
      <c r="E454" s="190" t="s">
        <v>403</v>
      </c>
      <c r="F454" s="203"/>
      <c r="G454" s="190" t="s">
        <v>405</v>
      </c>
      <c r="H454" s="192" t="s">
        <v>409</v>
      </c>
      <c r="I454" s="193">
        <v>723</v>
      </c>
      <c r="J454" s="193">
        <v>723</v>
      </c>
      <c r="K454" s="193">
        <v>723</v>
      </c>
      <c r="L454" s="193">
        <v>1050</v>
      </c>
      <c r="M454" s="194">
        <v>1050</v>
      </c>
      <c r="N454" s="195">
        <v>0</v>
      </c>
      <c r="O454" s="195">
        <v>25</v>
      </c>
      <c r="P454" s="195">
        <v>24</v>
      </c>
      <c r="Q454" s="195" t="s">
        <v>1</v>
      </c>
      <c r="R454" s="196">
        <v>120</v>
      </c>
      <c r="S454" s="197">
        <v>0</v>
      </c>
      <c r="T454" s="195">
        <v>25</v>
      </c>
      <c r="U454" s="195">
        <v>24</v>
      </c>
      <c r="V454" s="197" t="s">
        <v>1</v>
      </c>
      <c r="W454" s="196">
        <v>120</v>
      </c>
      <c r="X454" s="195">
        <v>0</v>
      </c>
      <c r="Y454" s="195">
        <v>25</v>
      </c>
      <c r="Z454" s="195">
        <v>24</v>
      </c>
      <c r="AA454" s="196" t="s">
        <v>1</v>
      </c>
      <c r="AB454" s="196" t="s">
        <v>1</v>
      </c>
      <c r="AC454" s="197">
        <v>0</v>
      </c>
      <c r="AD454" s="197">
        <v>25</v>
      </c>
      <c r="AE454" s="197">
        <v>24</v>
      </c>
      <c r="AF454" s="198" t="s">
        <v>1</v>
      </c>
      <c r="AG454" s="198" t="s">
        <v>1</v>
      </c>
      <c r="AH454" s="198" t="s">
        <v>1</v>
      </c>
      <c r="AI454" s="209" t="s">
        <v>1</v>
      </c>
      <c r="AJ454" s="209" t="s">
        <v>1</v>
      </c>
      <c r="AK454" s="209" t="s">
        <v>1</v>
      </c>
      <c r="AL454" s="198" t="s">
        <v>1</v>
      </c>
      <c r="AM454" s="234" t="s">
        <v>1</v>
      </c>
      <c r="AN454" s="199" t="s">
        <v>1</v>
      </c>
      <c r="AO454" s="199" t="s">
        <v>1</v>
      </c>
      <c r="AP454" s="198" t="s">
        <v>1</v>
      </c>
      <c r="AQ454" s="198" t="s">
        <v>1</v>
      </c>
      <c r="AR454" s="201" t="s">
        <v>1</v>
      </c>
      <c r="AS454" s="201" t="s">
        <v>1</v>
      </c>
      <c r="AT454" s="199" t="s">
        <v>1</v>
      </c>
      <c r="AU454" s="199" t="s">
        <v>1</v>
      </c>
      <c r="AV454" s="202" t="s">
        <v>1</v>
      </c>
      <c r="AW454" s="199" t="s">
        <v>1</v>
      </c>
    </row>
    <row r="455" spans="1:49" ht="30.15" customHeight="1" x14ac:dyDescent="0.25">
      <c r="A455" s="188" t="s">
        <v>18</v>
      </c>
      <c r="B455" s="189" t="s">
        <v>1</v>
      </c>
      <c r="C455" s="212" t="s">
        <v>34</v>
      </c>
      <c r="D455" s="190" t="s">
        <v>5</v>
      </c>
      <c r="E455" s="190" t="s">
        <v>404</v>
      </c>
      <c r="F455" s="203"/>
      <c r="G455" s="190" t="s">
        <v>405</v>
      </c>
      <c r="H455" s="192" t="s">
        <v>409</v>
      </c>
      <c r="I455" s="193">
        <v>723</v>
      </c>
      <c r="J455" s="193">
        <v>723</v>
      </c>
      <c r="K455" s="193">
        <v>723</v>
      </c>
      <c r="L455" s="193">
        <v>1050</v>
      </c>
      <c r="M455" s="194">
        <v>1050</v>
      </c>
      <c r="N455" s="195">
        <v>0</v>
      </c>
      <c r="O455" s="195">
        <v>25</v>
      </c>
      <c r="P455" s="195">
        <v>24</v>
      </c>
      <c r="Q455" s="195" t="s">
        <v>1</v>
      </c>
      <c r="R455" s="196">
        <v>120</v>
      </c>
      <c r="S455" s="197">
        <v>0</v>
      </c>
      <c r="T455" s="195">
        <v>25</v>
      </c>
      <c r="U455" s="195">
        <v>24</v>
      </c>
      <c r="V455" s="197" t="s">
        <v>1</v>
      </c>
      <c r="W455" s="196">
        <v>120</v>
      </c>
      <c r="X455" s="195">
        <v>0</v>
      </c>
      <c r="Y455" s="195">
        <v>25</v>
      </c>
      <c r="Z455" s="195">
        <v>24</v>
      </c>
      <c r="AA455" s="196" t="s">
        <v>1</v>
      </c>
      <c r="AB455" s="196" t="s">
        <v>1</v>
      </c>
      <c r="AC455" s="197">
        <v>0</v>
      </c>
      <c r="AD455" s="197">
        <v>25</v>
      </c>
      <c r="AE455" s="197">
        <v>24</v>
      </c>
      <c r="AF455" s="198" t="s">
        <v>1</v>
      </c>
      <c r="AG455" s="198" t="s">
        <v>1</v>
      </c>
      <c r="AH455" s="198" t="s">
        <v>1</v>
      </c>
      <c r="AI455" s="209" t="s">
        <v>1</v>
      </c>
      <c r="AJ455" s="209" t="s">
        <v>1</v>
      </c>
      <c r="AK455" s="209" t="s">
        <v>1</v>
      </c>
      <c r="AL455" s="198" t="s">
        <v>1</v>
      </c>
      <c r="AM455" s="234" t="s">
        <v>1</v>
      </c>
      <c r="AN455" s="199" t="s">
        <v>1</v>
      </c>
      <c r="AO455" s="199" t="s">
        <v>1</v>
      </c>
      <c r="AP455" s="198" t="s">
        <v>1</v>
      </c>
      <c r="AQ455" s="198" t="s">
        <v>1</v>
      </c>
      <c r="AR455" s="201" t="s">
        <v>1</v>
      </c>
      <c r="AS455" s="201" t="s">
        <v>1</v>
      </c>
      <c r="AT455" s="199" t="s">
        <v>1</v>
      </c>
      <c r="AU455" s="199" t="s">
        <v>1</v>
      </c>
      <c r="AV455" s="202" t="s">
        <v>1</v>
      </c>
      <c r="AW455" s="199" t="s">
        <v>1</v>
      </c>
    </row>
    <row r="456" spans="1:49" ht="30.15" customHeight="1" x14ac:dyDescent="0.25">
      <c r="A456" s="188" t="s">
        <v>18</v>
      </c>
      <c r="B456" s="189" t="s">
        <v>1</v>
      </c>
      <c r="C456" s="212" t="s">
        <v>34</v>
      </c>
      <c r="D456" s="190" t="s">
        <v>5</v>
      </c>
      <c r="E456" s="190" t="s">
        <v>587</v>
      </c>
      <c r="F456" s="203"/>
      <c r="G456" s="190" t="s">
        <v>582</v>
      </c>
      <c r="H456" s="192" t="s">
        <v>409</v>
      </c>
      <c r="I456" s="193">
        <v>950</v>
      </c>
      <c r="J456" s="193">
        <v>950</v>
      </c>
      <c r="K456" s="193">
        <v>950</v>
      </c>
      <c r="L456" s="193">
        <v>1250</v>
      </c>
      <c r="M456" s="194">
        <v>1250</v>
      </c>
      <c r="N456" s="195">
        <v>0</v>
      </c>
      <c r="O456" s="195">
        <v>17.5</v>
      </c>
      <c r="P456" s="195">
        <v>24</v>
      </c>
      <c r="Q456" s="195" t="s">
        <v>1</v>
      </c>
      <c r="R456" s="196" t="s">
        <v>1253</v>
      </c>
      <c r="S456" s="197">
        <v>0</v>
      </c>
      <c r="T456" s="195">
        <v>17.5</v>
      </c>
      <c r="U456" s="197">
        <v>24</v>
      </c>
      <c r="V456" s="197" t="s">
        <v>1</v>
      </c>
      <c r="W456" s="196" t="s">
        <v>1253</v>
      </c>
      <c r="X456" s="195">
        <v>0</v>
      </c>
      <c r="Y456" s="195">
        <v>17.5</v>
      </c>
      <c r="Z456" s="195">
        <v>24</v>
      </c>
      <c r="AA456" s="196" t="s">
        <v>1</v>
      </c>
      <c r="AB456" s="196" t="s">
        <v>1</v>
      </c>
      <c r="AC456" s="197">
        <v>0</v>
      </c>
      <c r="AD456" s="197">
        <v>17.5</v>
      </c>
      <c r="AE456" s="197">
        <v>24</v>
      </c>
      <c r="AF456" s="198" t="s">
        <v>1</v>
      </c>
      <c r="AG456" s="198" t="s">
        <v>1</v>
      </c>
      <c r="AH456" s="198" t="s">
        <v>1</v>
      </c>
      <c r="AI456" s="209" t="s">
        <v>1</v>
      </c>
      <c r="AJ456" s="209" t="s">
        <v>1</v>
      </c>
      <c r="AK456" s="209" t="s">
        <v>1</v>
      </c>
      <c r="AL456" s="198" t="s">
        <v>1</v>
      </c>
      <c r="AM456" s="234" t="s">
        <v>1</v>
      </c>
      <c r="AN456" s="199" t="s">
        <v>1</v>
      </c>
      <c r="AO456" s="199" t="s">
        <v>1</v>
      </c>
      <c r="AP456" s="198" t="s">
        <v>1</v>
      </c>
      <c r="AQ456" s="198" t="s">
        <v>1</v>
      </c>
      <c r="AR456" s="201" t="s">
        <v>1</v>
      </c>
      <c r="AS456" s="201" t="s">
        <v>1</v>
      </c>
      <c r="AT456" s="199" t="s">
        <v>1</v>
      </c>
      <c r="AU456" s="199" t="s">
        <v>1</v>
      </c>
      <c r="AV456" s="202" t="s">
        <v>1</v>
      </c>
      <c r="AW456" s="199" t="s">
        <v>1</v>
      </c>
    </row>
    <row r="457" spans="1:49" ht="30.15" customHeight="1" x14ac:dyDescent="0.25">
      <c r="A457" s="188" t="s">
        <v>18</v>
      </c>
      <c r="B457" s="189" t="s">
        <v>1</v>
      </c>
      <c r="C457" s="212" t="s">
        <v>34</v>
      </c>
      <c r="D457" s="217" t="s">
        <v>5</v>
      </c>
      <c r="E457" s="217" t="s">
        <v>911</v>
      </c>
      <c r="F457" s="218"/>
      <c r="G457" s="217" t="s">
        <v>912</v>
      </c>
      <c r="H457" s="192" t="s">
        <v>409</v>
      </c>
      <c r="I457" s="193">
        <v>750</v>
      </c>
      <c r="J457" s="193">
        <v>750</v>
      </c>
      <c r="K457" s="193">
        <v>750</v>
      </c>
      <c r="L457" s="193">
        <v>750</v>
      </c>
      <c r="M457" s="194">
        <v>750</v>
      </c>
      <c r="N457" s="195">
        <v>0</v>
      </c>
      <c r="O457" s="195">
        <v>16.25</v>
      </c>
      <c r="P457" s="195">
        <v>24</v>
      </c>
      <c r="Q457" s="195" t="s">
        <v>1</v>
      </c>
      <c r="R457" s="195">
        <v>120</v>
      </c>
      <c r="S457" s="195">
        <v>0</v>
      </c>
      <c r="T457" s="195">
        <v>16.25</v>
      </c>
      <c r="U457" s="195">
        <v>24</v>
      </c>
      <c r="V457" s="195" t="s">
        <v>1</v>
      </c>
      <c r="W457" s="195">
        <v>120</v>
      </c>
      <c r="X457" s="195">
        <v>0</v>
      </c>
      <c r="Y457" s="195">
        <v>16.25</v>
      </c>
      <c r="Z457" s="195">
        <v>24</v>
      </c>
      <c r="AA457" s="196" t="s">
        <v>1</v>
      </c>
      <c r="AB457" s="196" t="s">
        <v>1</v>
      </c>
      <c r="AC457" s="197">
        <v>0</v>
      </c>
      <c r="AD457" s="195">
        <v>16.25</v>
      </c>
      <c r="AE457" s="197">
        <v>24</v>
      </c>
      <c r="AF457" s="198" t="s">
        <v>1</v>
      </c>
      <c r="AG457" s="198" t="s">
        <v>1</v>
      </c>
      <c r="AH457" s="198" t="s">
        <v>1</v>
      </c>
      <c r="AI457" s="209" t="s">
        <v>1</v>
      </c>
      <c r="AJ457" s="209" t="s">
        <v>1</v>
      </c>
      <c r="AK457" s="209" t="s">
        <v>1</v>
      </c>
      <c r="AL457" s="198" t="s">
        <v>1</v>
      </c>
      <c r="AM457" s="234" t="s">
        <v>1</v>
      </c>
      <c r="AN457" s="199" t="s">
        <v>1</v>
      </c>
      <c r="AO457" s="199" t="s">
        <v>1</v>
      </c>
      <c r="AP457" s="198" t="s">
        <v>1</v>
      </c>
      <c r="AQ457" s="198" t="s">
        <v>1</v>
      </c>
      <c r="AR457" s="201" t="s">
        <v>1</v>
      </c>
      <c r="AS457" s="201" t="s">
        <v>1</v>
      </c>
      <c r="AT457" s="199" t="s">
        <v>1</v>
      </c>
      <c r="AU457" s="199" t="s">
        <v>1</v>
      </c>
      <c r="AV457" s="202" t="s">
        <v>1</v>
      </c>
      <c r="AW457" s="199" t="s">
        <v>1</v>
      </c>
    </row>
    <row r="458" spans="1:49" ht="30.15" customHeight="1" x14ac:dyDescent="0.25">
      <c r="A458" s="188" t="s">
        <v>18</v>
      </c>
      <c r="B458" s="189" t="s">
        <v>1</v>
      </c>
      <c r="C458" s="212" t="s">
        <v>34</v>
      </c>
      <c r="D458" s="217" t="s">
        <v>5</v>
      </c>
      <c r="E458" s="217" t="s">
        <v>1025</v>
      </c>
      <c r="F458" s="218"/>
      <c r="G458" s="217" t="s">
        <v>912</v>
      </c>
      <c r="H458" s="192" t="s">
        <v>1026</v>
      </c>
      <c r="I458" s="193">
        <v>750</v>
      </c>
      <c r="J458" s="193">
        <v>750</v>
      </c>
      <c r="K458" s="193">
        <v>750</v>
      </c>
      <c r="L458" s="193">
        <v>750</v>
      </c>
      <c r="M458" s="194">
        <v>750</v>
      </c>
      <c r="N458" s="195">
        <v>0</v>
      </c>
      <c r="O458" s="195">
        <v>16.25</v>
      </c>
      <c r="P458" s="195">
        <v>24</v>
      </c>
      <c r="Q458" s="195" t="s">
        <v>1</v>
      </c>
      <c r="R458" s="196">
        <v>120</v>
      </c>
      <c r="S458" s="196">
        <v>0</v>
      </c>
      <c r="T458" s="195">
        <v>16.25</v>
      </c>
      <c r="U458" s="195">
        <v>24</v>
      </c>
      <c r="V458" s="196" t="s">
        <v>1</v>
      </c>
      <c r="W458" s="196">
        <v>120</v>
      </c>
      <c r="X458" s="195">
        <v>0</v>
      </c>
      <c r="Y458" s="195">
        <v>16.25</v>
      </c>
      <c r="Z458" s="195">
        <v>24</v>
      </c>
      <c r="AA458" s="196" t="s">
        <v>1</v>
      </c>
      <c r="AB458" s="196" t="s">
        <v>1</v>
      </c>
      <c r="AC458" s="197">
        <v>0</v>
      </c>
      <c r="AD458" s="195">
        <v>16.25</v>
      </c>
      <c r="AE458" s="197">
        <v>24</v>
      </c>
      <c r="AF458" s="198" t="s">
        <v>1</v>
      </c>
      <c r="AG458" s="198" t="s">
        <v>1</v>
      </c>
      <c r="AH458" s="198" t="s">
        <v>1</v>
      </c>
      <c r="AI458" s="209" t="s">
        <v>1</v>
      </c>
      <c r="AJ458" s="209" t="s">
        <v>1</v>
      </c>
      <c r="AK458" s="209" t="s">
        <v>1</v>
      </c>
      <c r="AL458" s="198" t="s">
        <v>1</v>
      </c>
      <c r="AM458" s="234" t="s">
        <v>1</v>
      </c>
      <c r="AN458" s="199" t="s">
        <v>1</v>
      </c>
      <c r="AO458" s="199" t="s">
        <v>1</v>
      </c>
      <c r="AP458" s="198" t="s">
        <v>1</v>
      </c>
      <c r="AQ458" s="198" t="s">
        <v>1</v>
      </c>
      <c r="AR458" s="201" t="s">
        <v>1</v>
      </c>
      <c r="AS458" s="201" t="s">
        <v>1</v>
      </c>
      <c r="AT458" s="199" t="s">
        <v>1</v>
      </c>
      <c r="AU458" s="199" t="s">
        <v>1</v>
      </c>
      <c r="AV458" s="202" t="s">
        <v>1</v>
      </c>
      <c r="AW458" s="199" t="s">
        <v>1</v>
      </c>
    </row>
    <row r="459" spans="1:49" ht="30.15" customHeight="1" x14ac:dyDescent="0.25">
      <c r="A459" s="188" t="s">
        <v>18</v>
      </c>
      <c r="B459" s="189" t="s">
        <v>1</v>
      </c>
      <c r="C459" s="212" t="s">
        <v>34</v>
      </c>
      <c r="D459" s="190" t="s">
        <v>145</v>
      </c>
      <c r="E459" s="190" t="s">
        <v>344</v>
      </c>
      <c r="F459" s="203"/>
      <c r="G459" s="190" t="s">
        <v>343</v>
      </c>
      <c r="H459" s="192" t="s">
        <v>409</v>
      </c>
      <c r="I459" s="193">
        <v>333</v>
      </c>
      <c r="J459" s="193">
        <v>333</v>
      </c>
      <c r="K459" s="193">
        <v>333</v>
      </c>
      <c r="L459" s="193">
        <v>240</v>
      </c>
      <c r="M459" s="194">
        <v>240</v>
      </c>
      <c r="N459" s="195">
        <v>0</v>
      </c>
      <c r="O459" s="195" t="s">
        <v>1</v>
      </c>
      <c r="P459" s="195" t="s">
        <v>1</v>
      </c>
      <c r="Q459" s="195" t="s">
        <v>1</v>
      </c>
      <c r="R459" s="196">
        <v>120</v>
      </c>
      <c r="S459" s="197">
        <v>0</v>
      </c>
      <c r="T459" s="197" t="s">
        <v>1</v>
      </c>
      <c r="U459" s="197" t="s">
        <v>1</v>
      </c>
      <c r="V459" s="197" t="s">
        <v>1</v>
      </c>
      <c r="W459" s="196">
        <v>120</v>
      </c>
      <c r="X459" s="195">
        <v>0</v>
      </c>
      <c r="Y459" s="195" t="s">
        <v>1</v>
      </c>
      <c r="Z459" s="195" t="s">
        <v>1</v>
      </c>
      <c r="AA459" s="196" t="s">
        <v>1</v>
      </c>
      <c r="AB459" s="196" t="s">
        <v>1</v>
      </c>
      <c r="AC459" s="197">
        <v>0</v>
      </c>
      <c r="AD459" s="197" t="s">
        <v>1</v>
      </c>
      <c r="AE459" s="197" t="s">
        <v>1</v>
      </c>
      <c r="AF459" s="198" t="s">
        <v>1</v>
      </c>
      <c r="AG459" s="198" t="s">
        <v>1</v>
      </c>
      <c r="AH459" s="198">
        <v>0</v>
      </c>
      <c r="AI459" s="209" t="s">
        <v>1</v>
      </c>
      <c r="AJ459" s="209" t="s">
        <v>1</v>
      </c>
      <c r="AK459" s="209">
        <v>120</v>
      </c>
      <c r="AL459" s="198" t="s">
        <v>1</v>
      </c>
      <c r="AM459" s="234" t="s">
        <v>1</v>
      </c>
      <c r="AN459" s="199" t="s">
        <v>1</v>
      </c>
      <c r="AO459" s="199" t="s">
        <v>1</v>
      </c>
      <c r="AP459" s="198" t="s">
        <v>1</v>
      </c>
      <c r="AQ459" s="198" t="s">
        <v>1</v>
      </c>
      <c r="AR459" s="201" t="s">
        <v>1</v>
      </c>
      <c r="AS459" s="201" t="s">
        <v>1</v>
      </c>
      <c r="AT459" s="199" t="s">
        <v>1</v>
      </c>
      <c r="AU459" s="199" t="s">
        <v>1</v>
      </c>
      <c r="AV459" s="202" t="s">
        <v>1</v>
      </c>
      <c r="AW459" s="199" t="s">
        <v>1</v>
      </c>
    </row>
    <row r="460" spans="1:49" ht="30.15" customHeight="1" x14ac:dyDescent="0.25">
      <c r="A460" s="190" t="s">
        <v>18</v>
      </c>
      <c r="B460" s="189" t="s">
        <v>1</v>
      </c>
      <c r="C460" s="212" t="s">
        <v>34</v>
      </c>
      <c r="D460" s="190" t="s">
        <v>6</v>
      </c>
      <c r="E460" s="190" t="s">
        <v>530</v>
      </c>
      <c r="F460" s="203"/>
      <c r="G460" s="190" t="s">
        <v>529</v>
      </c>
      <c r="H460" s="192" t="s">
        <v>409</v>
      </c>
      <c r="I460" s="193">
        <v>279</v>
      </c>
      <c r="J460" s="193">
        <v>279</v>
      </c>
      <c r="K460" s="193">
        <v>279</v>
      </c>
      <c r="L460" s="193">
        <v>230</v>
      </c>
      <c r="M460" s="194">
        <v>230</v>
      </c>
      <c r="N460" s="195">
        <v>0</v>
      </c>
      <c r="O460" s="195" t="s">
        <v>1</v>
      </c>
      <c r="P460" s="195" t="s">
        <v>1</v>
      </c>
      <c r="Q460" s="195" t="s">
        <v>1</v>
      </c>
      <c r="R460" s="196" t="s">
        <v>1</v>
      </c>
      <c r="S460" s="197">
        <v>0</v>
      </c>
      <c r="T460" s="197" t="s">
        <v>1</v>
      </c>
      <c r="U460" s="197" t="s">
        <v>1</v>
      </c>
      <c r="V460" s="197" t="s">
        <v>1</v>
      </c>
      <c r="W460" s="196" t="s">
        <v>1</v>
      </c>
      <c r="X460" s="195">
        <v>0</v>
      </c>
      <c r="Y460" s="195" t="s">
        <v>1</v>
      </c>
      <c r="Z460" s="195" t="s">
        <v>1</v>
      </c>
      <c r="AA460" s="196" t="s">
        <v>1</v>
      </c>
      <c r="AB460" s="196" t="s">
        <v>1</v>
      </c>
      <c r="AC460" s="197">
        <v>0</v>
      </c>
      <c r="AD460" s="197" t="s">
        <v>1</v>
      </c>
      <c r="AE460" s="197" t="s">
        <v>1</v>
      </c>
      <c r="AF460" s="198" t="s">
        <v>1</v>
      </c>
      <c r="AG460" s="198" t="s">
        <v>1</v>
      </c>
      <c r="AH460" s="198">
        <v>0</v>
      </c>
      <c r="AI460" s="209" t="s">
        <v>1</v>
      </c>
      <c r="AJ460" s="209" t="s">
        <v>1</v>
      </c>
      <c r="AK460" s="209" t="s">
        <v>1</v>
      </c>
      <c r="AL460" s="198" t="s">
        <v>1</v>
      </c>
      <c r="AM460" s="234" t="s">
        <v>1</v>
      </c>
      <c r="AN460" s="199" t="s">
        <v>1</v>
      </c>
      <c r="AO460" s="199" t="s">
        <v>1</v>
      </c>
      <c r="AP460" s="198" t="s">
        <v>1</v>
      </c>
      <c r="AQ460" s="198" t="s">
        <v>1</v>
      </c>
      <c r="AR460" s="201" t="s">
        <v>1</v>
      </c>
      <c r="AS460" s="201" t="s">
        <v>1</v>
      </c>
      <c r="AT460" s="199" t="s">
        <v>1</v>
      </c>
      <c r="AU460" s="199" t="s">
        <v>1</v>
      </c>
      <c r="AV460" s="202" t="s">
        <v>1</v>
      </c>
      <c r="AW460" s="199" t="s">
        <v>1</v>
      </c>
    </row>
    <row r="461" spans="1:49" ht="30.15" customHeight="1" x14ac:dyDescent="0.25">
      <c r="A461" s="190" t="s">
        <v>18</v>
      </c>
      <c r="B461" s="189" t="s">
        <v>1</v>
      </c>
      <c r="C461" s="212" t="s">
        <v>34</v>
      </c>
      <c r="D461" s="190" t="s">
        <v>6</v>
      </c>
      <c r="E461" s="190" t="s">
        <v>585</v>
      </c>
      <c r="F461" s="203"/>
      <c r="G461" s="190" t="s">
        <v>586</v>
      </c>
      <c r="H461" s="192" t="s">
        <v>409</v>
      </c>
      <c r="I461" s="193">
        <v>280</v>
      </c>
      <c r="J461" s="193">
        <v>280</v>
      </c>
      <c r="K461" s="193">
        <v>280</v>
      </c>
      <c r="L461" s="193">
        <v>250</v>
      </c>
      <c r="M461" s="194">
        <v>250</v>
      </c>
      <c r="N461" s="195">
        <v>0</v>
      </c>
      <c r="O461" s="195">
        <v>5.42</v>
      </c>
      <c r="P461" s="195">
        <v>24</v>
      </c>
      <c r="Q461" s="195" t="s">
        <v>1</v>
      </c>
      <c r="R461" s="196" t="s">
        <v>1</v>
      </c>
      <c r="S461" s="197">
        <v>0</v>
      </c>
      <c r="T461" s="195">
        <v>5.42</v>
      </c>
      <c r="U461" s="197">
        <v>24</v>
      </c>
      <c r="V461" s="197" t="s">
        <v>1</v>
      </c>
      <c r="W461" s="196" t="s">
        <v>1</v>
      </c>
      <c r="X461" s="195">
        <v>0</v>
      </c>
      <c r="Y461" s="195">
        <v>5.42</v>
      </c>
      <c r="Z461" s="195">
        <v>24</v>
      </c>
      <c r="AA461" s="196" t="s">
        <v>1</v>
      </c>
      <c r="AB461" s="196" t="s">
        <v>1</v>
      </c>
      <c r="AC461" s="197">
        <v>0</v>
      </c>
      <c r="AD461" s="197">
        <v>5.42</v>
      </c>
      <c r="AE461" s="197">
        <v>24</v>
      </c>
      <c r="AF461" s="198" t="s">
        <v>1</v>
      </c>
      <c r="AG461" s="198" t="s">
        <v>1</v>
      </c>
      <c r="AH461" s="198">
        <v>0</v>
      </c>
      <c r="AI461" s="209" t="s">
        <v>1</v>
      </c>
      <c r="AJ461" s="209" t="s">
        <v>1</v>
      </c>
      <c r="AK461" s="209">
        <v>120</v>
      </c>
      <c r="AL461" s="198" t="s">
        <v>1</v>
      </c>
      <c r="AM461" s="234" t="s">
        <v>1</v>
      </c>
      <c r="AN461" s="199" t="s">
        <v>1</v>
      </c>
      <c r="AO461" s="199" t="s">
        <v>1</v>
      </c>
      <c r="AP461" s="198" t="s">
        <v>1</v>
      </c>
      <c r="AQ461" s="198" t="s">
        <v>1</v>
      </c>
      <c r="AR461" s="201" t="s">
        <v>1</v>
      </c>
      <c r="AS461" s="201" t="s">
        <v>1</v>
      </c>
      <c r="AT461" s="199" t="s">
        <v>1</v>
      </c>
      <c r="AU461" s="199" t="s">
        <v>1</v>
      </c>
      <c r="AV461" s="202" t="s">
        <v>1</v>
      </c>
      <c r="AW461" s="199" t="s">
        <v>1</v>
      </c>
    </row>
    <row r="462" spans="1:49" ht="30.15" customHeight="1" x14ac:dyDescent="0.25">
      <c r="A462" s="190" t="s">
        <v>18</v>
      </c>
      <c r="B462" s="189" t="s">
        <v>1</v>
      </c>
      <c r="C462" s="212" t="s">
        <v>34</v>
      </c>
      <c r="D462" s="190" t="s">
        <v>6</v>
      </c>
      <c r="E462" s="190" t="s">
        <v>928</v>
      </c>
      <c r="F462" s="203"/>
      <c r="G462" s="190" t="s">
        <v>929</v>
      </c>
      <c r="H462" s="192" t="s">
        <v>409</v>
      </c>
      <c r="I462" s="193">
        <v>200</v>
      </c>
      <c r="J462" s="193">
        <v>200</v>
      </c>
      <c r="K462" s="193">
        <v>200</v>
      </c>
      <c r="L462" s="193">
        <v>240</v>
      </c>
      <c r="M462" s="194">
        <v>240</v>
      </c>
      <c r="N462" s="195">
        <v>0</v>
      </c>
      <c r="O462" s="195">
        <v>0</v>
      </c>
      <c r="P462" s="195">
        <v>24</v>
      </c>
      <c r="Q462" s="195" t="s">
        <v>1</v>
      </c>
      <c r="R462" s="196">
        <v>120</v>
      </c>
      <c r="S462" s="197">
        <v>0</v>
      </c>
      <c r="T462" s="195">
        <v>0</v>
      </c>
      <c r="U462" s="195">
        <v>24</v>
      </c>
      <c r="V462" s="197" t="s">
        <v>1</v>
      </c>
      <c r="W462" s="196">
        <v>120</v>
      </c>
      <c r="X462" s="195">
        <v>0</v>
      </c>
      <c r="Y462" s="195">
        <v>9</v>
      </c>
      <c r="Z462" s="195">
        <v>24</v>
      </c>
      <c r="AA462" s="196" t="s">
        <v>1</v>
      </c>
      <c r="AB462" s="196" t="s">
        <v>1</v>
      </c>
      <c r="AC462" s="197">
        <v>0</v>
      </c>
      <c r="AD462" s="195">
        <v>9</v>
      </c>
      <c r="AE462" s="195">
        <v>24</v>
      </c>
      <c r="AF462" s="198" t="s">
        <v>1</v>
      </c>
      <c r="AG462" s="198" t="s">
        <v>1</v>
      </c>
      <c r="AH462" s="198">
        <v>0</v>
      </c>
      <c r="AI462" s="209" t="s">
        <v>1</v>
      </c>
      <c r="AJ462" s="209" t="s">
        <v>1</v>
      </c>
      <c r="AK462" s="209">
        <v>120</v>
      </c>
      <c r="AL462" s="198" t="s">
        <v>1</v>
      </c>
      <c r="AM462" s="234" t="s">
        <v>1</v>
      </c>
      <c r="AN462" s="199" t="s">
        <v>1</v>
      </c>
      <c r="AO462" s="199" t="s">
        <v>1</v>
      </c>
      <c r="AP462" s="198" t="s">
        <v>1</v>
      </c>
      <c r="AQ462" s="198" t="s">
        <v>1</v>
      </c>
      <c r="AR462" s="201" t="s">
        <v>1</v>
      </c>
      <c r="AS462" s="201" t="s">
        <v>1</v>
      </c>
      <c r="AT462" s="199" t="s">
        <v>1</v>
      </c>
      <c r="AU462" s="199" t="s">
        <v>1</v>
      </c>
      <c r="AV462" s="202" t="s">
        <v>1</v>
      </c>
      <c r="AW462" s="199" t="s">
        <v>1</v>
      </c>
    </row>
    <row r="463" spans="1:49" ht="30.15" customHeight="1" x14ac:dyDescent="0.25">
      <c r="A463" s="190" t="s">
        <v>18</v>
      </c>
      <c r="B463" s="189" t="s">
        <v>1</v>
      </c>
      <c r="C463" s="212" t="s">
        <v>34</v>
      </c>
      <c r="D463" s="190" t="s">
        <v>6</v>
      </c>
      <c r="E463" s="190" t="s">
        <v>1020</v>
      </c>
      <c r="F463" s="203"/>
      <c r="G463" s="190" t="s">
        <v>1021</v>
      </c>
      <c r="H463" s="192" t="s">
        <v>409</v>
      </c>
      <c r="I463" s="193">
        <v>300</v>
      </c>
      <c r="J463" s="193">
        <v>300</v>
      </c>
      <c r="K463" s="193">
        <v>300</v>
      </c>
      <c r="L463" s="193">
        <v>360</v>
      </c>
      <c r="M463" s="194">
        <v>360</v>
      </c>
      <c r="N463" s="195">
        <v>0</v>
      </c>
      <c r="O463" s="195">
        <v>1.46</v>
      </c>
      <c r="P463" s="195">
        <v>24</v>
      </c>
      <c r="Q463" s="195" t="s">
        <v>1</v>
      </c>
      <c r="R463" s="196">
        <v>120</v>
      </c>
      <c r="S463" s="197">
        <v>0</v>
      </c>
      <c r="T463" s="195">
        <v>1.46</v>
      </c>
      <c r="U463" s="195">
        <v>24</v>
      </c>
      <c r="V463" s="197" t="s">
        <v>1</v>
      </c>
      <c r="W463" s="196">
        <v>120</v>
      </c>
      <c r="X463" s="195">
        <v>0</v>
      </c>
      <c r="Y463" s="195">
        <v>14</v>
      </c>
      <c r="Z463" s="195">
        <v>24</v>
      </c>
      <c r="AA463" s="196" t="s">
        <v>1</v>
      </c>
      <c r="AB463" s="196" t="s">
        <v>1</v>
      </c>
      <c r="AC463" s="197">
        <v>0</v>
      </c>
      <c r="AD463" s="195">
        <v>14</v>
      </c>
      <c r="AE463" s="195">
        <v>24</v>
      </c>
      <c r="AF463" s="198" t="s">
        <v>1</v>
      </c>
      <c r="AG463" s="198" t="s">
        <v>1</v>
      </c>
      <c r="AH463" s="198">
        <v>0</v>
      </c>
      <c r="AI463" s="209" t="s">
        <v>1</v>
      </c>
      <c r="AJ463" s="209" t="s">
        <v>1</v>
      </c>
      <c r="AK463" s="209">
        <v>120</v>
      </c>
      <c r="AL463" s="198" t="s">
        <v>1</v>
      </c>
      <c r="AM463" s="234" t="s">
        <v>1</v>
      </c>
      <c r="AN463" s="199" t="s">
        <v>1</v>
      </c>
      <c r="AO463" s="199" t="s">
        <v>1</v>
      </c>
      <c r="AP463" s="198" t="s">
        <v>1</v>
      </c>
      <c r="AQ463" s="198" t="s">
        <v>1</v>
      </c>
      <c r="AR463" s="201" t="s">
        <v>1</v>
      </c>
      <c r="AS463" s="201" t="s">
        <v>1</v>
      </c>
      <c r="AT463" s="199" t="s">
        <v>1</v>
      </c>
      <c r="AU463" s="199" t="s">
        <v>1</v>
      </c>
      <c r="AV463" s="202" t="s">
        <v>1</v>
      </c>
      <c r="AW463" s="199" t="s">
        <v>1</v>
      </c>
    </row>
    <row r="464" spans="1:49" ht="30.15" customHeight="1" x14ac:dyDescent="0.25">
      <c r="A464" s="188" t="s">
        <v>18</v>
      </c>
      <c r="B464" s="188" t="s">
        <v>1</v>
      </c>
      <c r="C464" s="212" t="s">
        <v>34</v>
      </c>
      <c r="D464" s="190" t="s">
        <v>6</v>
      </c>
      <c r="E464" s="190" t="s">
        <v>723</v>
      </c>
      <c r="F464" s="203"/>
      <c r="G464" s="190" t="s">
        <v>722</v>
      </c>
      <c r="H464" s="192" t="s">
        <v>409</v>
      </c>
      <c r="I464" s="193">
        <v>150</v>
      </c>
      <c r="J464" s="193">
        <v>150</v>
      </c>
      <c r="K464" s="193">
        <v>150</v>
      </c>
      <c r="L464" s="193">
        <v>150</v>
      </c>
      <c r="M464" s="194">
        <v>150</v>
      </c>
      <c r="N464" s="195">
        <v>0</v>
      </c>
      <c r="O464" s="195" t="s">
        <v>1</v>
      </c>
      <c r="P464" s="195" t="s">
        <v>1</v>
      </c>
      <c r="Q464" s="195" t="s">
        <v>1</v>
      </c>
      <c r="R464" s="196" t="s">
        <v>1</v>
      </c>
      <c r="S464" s="197">
        <v>0</v>
      </c>
      <c r="T464" s="197" t="s">
        <v>1</v>
      </c>
      <c r="U464" s="197" t="s">
        <v>1</v>
      </c>
      <c r="V464" s="197" t="s">
        <v>1</v>
      </c>
      <c r="W464" s="196" t="s">
        <v>1</v>
      </c>
      <c r="X464" s="195">
        <v>0</v>
      </c>
      <c r="Y464" s="195" t="s">
        <v>1</v>
      </c>
      <c r="Z464" s="195" t="s">
        <v>1</v>
      </c>
      <c r="AA464" s="196" t="s">
        <v>1</v>
      </c>
      <c r="AB464" s="196" t="s">
        <v>1</v>
      </c>
      <c r="AC464" s="197">
        <v>0</v>
      </c>
      <c r="AD464" s="197" t="s">
        <v>1</v>
      </c>
      <c r="AE464" s="197" t="s">
        <v>1</v>
      </c>
      <c r="AF464" s="198" t="s">
        <v>1</v>
      </c>
      <c r="AG464" s="198" t="s">
        <v>1</v>
      </c>
      <c r="AH464" s="198">
        <v>0</v>
      </c>
      <c r="AI464" s="209" t="s">
        <v>1</v>
      </c>
      <c r="AJ464" s="209" t="s">
        <v>1</v>
      </c>
      <c r="AK464" s="209" t="s">
        <v>1</v>
      </c>
      <c r="AL464" s="198" t="s">
        <v>1</v>
      </c>
      <c r="AM464" s="234" t="s">
        <v>1</v>
      </c>
      <c r="AN464" s="199" t="s">
        <v>1</v>
      </c>
      <c r="AO464" s="199" t="s">
        <v>1</v>
      </c>
      <c r="AP464" s="198" t="s">
        <v>1</v>
      </c>
      <c r="AQ464" s="198" t="s">
        <v>1</v>
      </c>
      <c r="AR464" s="201" t="s">
        <v>1</v>
      </c>
      <c r="AS464" s="201" t="s">
        <v>1</v>
      </c>
      <c r="AT464" s="199" t="s">
        <v>1</v>
      </c>
      <c r="AU464" s="199" t="s">
        <v>1</v>
      </c>
      <c r="AV464" s="202" t="s">
        <v>1</v>
      </c>
      <c r="AW464" s="199" t="s">
        <v>1</v>
      </c>
    </row>
    <row r="465" spans="1:49" ht="30.15" customHeight="1" x14ac:dyDescent="0.25">
      <c r="A465" s="188" t="s">
        <v>18</v>
      </c>
      <c r="B465" s="188" t="s">
        <v>1</v>
      </c>
      <c r="C465" s="212" t="s">
        <v>34</v>
      </c>
      <c r="D465" s="190" t="s">
        <v>6</v>
      </c>
      <c r="E465" s="190" t="s">
        <v>904</v>
      </c>
      <c r="F465" s="203"/>
      <c r="G465" s="190" t="s">
        <v>905</v>
      </c>
      <c r="H465" s="192" t="s">
        <v>409</v>
      </c>
      <c r="I465" s="193">
        <v>150</v>
      </c>
      <c r="J465" s="193">
        <v>150</v>
      </c>
      <c r="K465" s="193">
        <v>150</v>
      </c>
      <c r="L465" s="193">
        <v>150</v>
      </c>
      <c r="M465" s="194">
        <v>150</v>
      </c>
      <c r="N465" s="195">
        <v>0</v>
      </c>
      <c r="O465" s="195" t="s">
        <v>1</v>
      </c>
      <c r="P465" s="195" t="s">
        <v>1</v>
      </c>
      <c r="Q465" s="195" t="s">
        <v>1</v>
      </c>
      <c r="R465" s="196" t="s">
        <v>1</v>
      </c>
      <c r="S465" s="197">
        <v>0</v>
      </c>
      <c r="T465" s="197" t="s">
        <v>1</v>
      </c>
      <c r="U465" s="197" t="s">
        <v>1</v>
      </c>
      <c r="V465" s="197" t="s">
        <v>1</v>
      </c>
      <c r="W465" s="196" t="s">
        <v>1</v>
      </c>
      <c r="X465" s="195">
        <v>0</v>
      </c>
      <c r="Y465" s="195" t="s">
        <v>1</v>
      </c>
      <c r="Z465" s="195" t="s">
        <v>1</v>
      </c>
      <c r="AA465" s="196" t="s">
        <v>1</v>
      </c>
      <c r="AB465" s="196" t="s">
        <v>1</v>
      </c>
      <c r="AC465" s="197">
        <v>0</v>
      </c>
      <c r="AD465" s="197" t="s">
        <v>1</v>
      </c>
      <c r="AE465" s="197" t="s">
        <v>1</v>
      </c>
      <c r="AF465" s="198" t="s">
        <v>1</v>
      </c>
      <c r="AG465" s="198" t="s">
        <v>1</v>
      </c>
      <c r="AH465" s="198">
        <v>0</v>
      </c>
      <c r="AI465" s="209" t="s">
        <v>1</v>
      </c>
      <c r="AJ465" s="209" t="s">
        <v>1</v>
      </c>
      <c r="AK465" s="209" t="s">
        <v>1</v>
      </c>
      <c r="AL465" s="198" t="s">
        <v>1</v>
      </c>
      <c r="AM465" s="234" t="s">
        <v>1</v>
      </c>
      <c r="AN465" s="199" t="s">
        <v>1</v>
      </c>
      <c r="AO465" s="199" t="s">
        <v>1</v>
      </c>
      <c r="AP465" s="198" t="s">
        <v>1</v>
      </c>
      <c r="AQ465" s="198" t="s">
        <v>1</v>
      </c>
      <c r="AR465" s="201" t="s">
        <v>1</v>
      </c>
      <c r="AS465" s="201" t="s">
        <v>1</v>
      </c>
      <c r="AT465" s="199" t="s">
        <v>1</v>
      </c>
      <c r="AU465" s="199" t="s">
        <v>1</v>
      </c>
      <c r="AV465" s="202" t="s">
        <v>1</v>
      </c>
      <c r="AW465" s="199" t="s">
        <v>1</v>
      </c>
    </row>
    <row r="466" spans="1:49" ht="30.15" customHeight="1" x14ac:dyDescent="0.25">
      <c r="A466" s="188" t="s">
        <v>18</v>
      </c>
      <c r="B466" s="188" t="s">
        <v>1</v>
      </c>
      <c r="C466" s="212" t="s">
        <v>34</v>
      </c>
      <c r="D466" s="190" t="s">
        <v>6</v>
      </c>
      <c r="E466" s="190" t="s">
        <v>1229</v>
      </c>
      <c r="F466" s="203"/>
      <c r="G466" s="190" t="s">
        <v>1231</v>
      </c>
      <c r="H466" s="192" t="s">
        <v>409</v>
      </c>
      <c r="I466" s="193">
        <v>0</v>
      </c>
      <c r="J466" s="193">
        <v>0</v>
      </c>
      <c r="K466" s="193">
        <v>0</v>
      </c>
      <c r="L466" s="193">
        <v>0</v>
      </c>
      <c r="M466" s="194">
        <v>0</v>
      </c>
      <c r="N466" s="195" t="s">
        <v>1</v>
      </c>
      <c r="O466" s="195" t="s">
        <v>1</v>
      </c>
      <c r="P466" s="195" t="s">
        <v>1</v>
      </c>
      <c r="Q466" s="195" t="s">
        <v>1</v>
      </c>
      <c r="R466" s="196" t="s">
        <v>1</v>
      </c>
      <c r="S466" s="197" t="s">
        <v>1</v>
      </c>
      <c r="T466" s="196" t="s">
        <v>1</v>
      </c>
      <c r="U466" s="197" t="s">
        <v>1</v>
      </c>
      <c r="V466" s="196" t="s">
        <v>1</v>
      </c>
      <c r="W466" s="196" t="s">
        <v>1</v>
      </c>
      <c r="X466" s="195" t="s">
        <v>1</v>
      </c>
      <c r="Y466" s="195" t="s">
        <v>1</v>
      </c>
      <c r="Z466" s="195" t="s">
        <v>1</v>
      </c>
      <c r="AA466" s="196" t="s">
        <v>1</v>
      </c>
      <c r="AB466" s="196" t="s">
        <v>1</v>
      </c>
      <c r="AC466" s="197" t="s">
        <v>1</v>
      </c>
      <c r="AD466" s="196" t="s">
        <v>1</v>
      </c>
      <c r="AE466" s="197" t="s">
        <v>1</v>
      </c>
      <c r="AF466" s="198" t="s">
        <v>1</v>
      </c>
      <c r="AG466" s="198" t="s">
        <v>1</v>
      </c>
      <c r="AH466" s="198" t="s">
        <v>1</v>
      </c>
      <c r="AI466" s="209" t="s">
        <v>1</v>
      </c>
      <c r="AJ466" s="209" t="s">
        <v>1</v>
      </c>
      <c r="AK466" s="209" t="s">
        <v>1</v>
      </c>
      <c r="AL466" s="198" t="s">
        <v>1</v>
      </c>
      <c r="AM466" s="234" t="s">
        <v>1</v>
      </c>
      <c r="AN466" s="199" t="s">
        <v>1</v>
      </c>
      <c r="AO466" s="199" t="s">
        <v>1</v>
      </c>
      <c r="AP466" s="198" t="s">
        <v>1</v>
      </c>
      <c r="AQ466" s="198" t="s">
        <v>1</v>
      </c>
      <c r="AR466" s="201" t="s">
        <v>1</v>
      </c>
      <c r="AS466" s="201" t="s">
        <v>1</v>
      </c>
      <c r="AT466" s="199" t="s">
        <v>1</v>
      </c>
      <c r="AU466" s="199" t="s">
        <v>1</v>
      </c>
      <c r="AV466" s="202" t="s">
        <v>1</v>
      </c>
      <c r="AW466" s="199" t="s">
        <v>1</v>
      </c>
    </row>
    <row r="467" spans="1:49" ht="30.15" customHeight="1" x14ac:dyDescent="0.25">
      <c r="A467" s="188" t="s">
        <v>18</v>
      </c>
      <c r="B467" s="188" t="s">
        <v>1</v>
      </c>
      <c r="C467" s="212" t="s">
        <v>34</v>
      </c>
      <c r="D467" s="190" t="s">
        <v>6</v>
      </c>
      <c r="E467" s="190" t="s">
        <v>1230</v>
      </c>
      <c r="F467" s="203"/>
      <c r="G467" s="190" t="s">
        <v>1232</v>
      </c>
      <c r="H467" s="192" t="s">
        <v>409</v>
      </c>
      <c r="I467" s="193">
        <v>0</v>
      </c>
      <c r="J467" s="193">
        <v>0</v>
      </c>
      <c r="K467" s="193">
        <v>0</v>
      </c>
      <c r="L467" s="193">
        <v>0</v>
      </c>
      <c r="M467" s="194">
        <v>0</v>
      </c>
      <c r="N467" s="195" t="s">
        <v>1</v>
      </c>
      <c r="O467" s="195" t="s">
        <v>1</v>
      </c>
      <c r="P467" s="195" t="s">
        <v>1</v>
      </c>
      <c r="Q467" s="195" t="s">
        <v>1</v>
      </c>
      <c r="R467" s="196" t="s">
        <v>1</v>
      </c>
      <c r="S467" s="197" t="s">
        <v>1</v>
      </c>
      <c r="T467" s="196" t="s">
        <v>1</v>
      </c>
      <c r="U467" s="197" t="s">
        <v>1</v>
      </c>
      <c r="V467" s="196" t="s">
        <v>1</v>
      </c>
      <c r="W467" s="196" t="s">
        <v>1</v>
      </c>
      <c r="X467" s="195" t="s">
        <v>1</v>
      </c>
      <c r="Y467" s="195" t="s">
        <v>1</v>
      </c>
      <c r="Z467" s="195" t="s">
        <v>1</v>
      </c>
      <c r="AA467" s="196" t="s">
        <v>1</v>
      </c>
      <c r="AB467" s="196" t="s">
        <v>1</v>
      </c>
      <c r="AC467" s="197" t="s">
        <v>1</v>
      </c>
      <c r="AD467" s="196" t="s">
        <v>1</v>
      </c>
      <c r="AE467" s="197" t="s">
        <v>1</v>
      </c>
      <c r="AF467" s="198" t="s">
        <v>1</v>
      </c>
      <c r="AG467" s="198" t="s">
        <v>1</v>
      </c>
      <c r="AH467" s="198" t="s">
        <v>1</v>
      </c>
      <c r="AI467" s="209" t="s">
        <v>1</v>
      </c>
      <c r="AJ467" s="209" t="s">
        <v>1</v>
      </c>
      <c r="AK467" s="209" t="s">
        <v>1</v>
      </c>
      <c r="AL467" s="198" t="s">
        <v>1</v>
      </c>
      <c r="AM467" s="234" t="s">
        <v>1</v>
      </c>
      <c r="AN467" s="199" t="s">
        <v>1</v>
      </c>
      <c r="AO467" s="199" t="s">
        <v>1</v>
      </c>
      <c r="AP467" s="198" t="s">
        <v>1</v>
      </c>
      <c r="AQ467" s="198" t="s">
        <v>1</v>
      </c>
      <c r="AR467" s="201" t="s">
        <v>1</v>
      </c>
      <c r="AS467" s="201" t="s">
        <v>1</v>
      </c>
      <c r="AT467" s="199" t="s">
        <v>1</v>
      </c>
      <c r="AU467" s="199" t="s">
        <v>1</v>
      </c>
      <c r="AV467" s="202" t="s">
        <v>1</v>
      </c>
      <c r="AW467" s="199" t="s">
        <v>1</v>
      </c>
    </row>
    <row r="468" spans="1:49" ht="30.15" customHeight="1" x14ac:dyDescent="0.25">
      <c r="A468" s="190" t="s">
        <v>18</v>
      </c>
      <c r="B468" s="189" t="s">
        <v>1</v>
      </c>
      <c r="C468" s="212" t="s">
        <v>34</v>
      </c>
      <c r="D468" s="190" t="s">
        <v>6</v>
      </c>
      <c r="E468" s="190" t="s">
        <v>900</v>
      </c>
      <c r="F468" s="203"/>
      <c r="G468" s="190" t="s">
        <v>901</v>
      </c>
      <c r="H468" s="192" t="s">
        <v>409</v>
      </c>
      <c r="I468" s="193">
        <v>1500</v>
      </c>
      <c r="J468" s="193">
        <v>1500</v>
      </c>
      <c r="K468" s="193">
        <v>1500</v>
      </c>
      <c r="L468" s="193">
        <v>2000</v>
      </c>
      <c r="M468" s="194">
        <v>2000</v>
      </c>
      <c r="N468" s="195">
        <v>0</v>
      </c>
      <c r="O468" s="195">
        <v>68.34</v>
      </c>
      <c r="P468" s="195">
        <v>24</v>
      </c>
      <c r="Q468" s="195" t="s">
        <v>1</v>
      </c>
      <c r="R468" s="196">
        <v>120</v>
      </c>
      <c r="S468" s="197">
        <v>0</v>
      </c>
      <c r="T468" s="195">
        <v>68.34</v>
      </c>
      <c r="U468" s="197">
        <v>24</v>
      </c>
      <c r="V468" s="195" t="s">
        <v>1</v>
      </c>
      <c r="W468" s="195">
        <v>120</v>
      </c>
      <c r="X468" s="195">
        <v>0</v>
      </c>
      <c r="Y468" s="195">
        <v>68.34</v>
      </c>
      <c r="Z468" s="195">
        <v>24</v>
      </c>
      <c r="AA468" s="196" t="s">
        <v>1</v>
      </c>
      <c r="AB468" s="196" t="s">
        <v>1</v>
      </c>
      <c r="AC468" s="197">
        <v>0</v>
      </c>
      <c r="AD468" s="195">
        <v>68.34</v>
      </c>
      <c r="AE468" s="197">
        <v>24</v>
      </c>
      <c r="AF468" s="198" t="s">
        <v>1</v>
      </c>
      <c r="AG468" s="198" t="s">
        <v>1</v>
      </c>
      <c r="AH468" s="198" t="s">
        <v>1</v>
      </c>
      <c r="AI468" s="209" t="s">
        <v>1</v>
      </c>
      <c r="AJ468" s="209" t="s">
        <v>1</v>
      </c>
      <c r="AK468" s="209" t="s">
        <v>1</v>
      </c>
      <c r="AL468" s="198" t="s">
        <v>1</v>
      </c>
      <c r="AM468" s="234" t="s">
        <v>1</v>
      </c>
      <c r="AN468" s="199" t="s">
        <v>1</v>
      </c>
      <c r="AO468" s="199" t="s">
        <v>1</v>
      </c>
      <c r="AP468" s="198" t="s">
        <v>1</v>
      </c>
      <c r="AQ468" s="198" t="s">
        <v>1</v>
      </c>
      <c r="AR468" s="201" t="s">
        <v>1</v>
      </c>
      <c r="AS468" s="201" t="s">
        <v>1</v>
      </c>
      <c r="AT468" s="199" t="s">
        <v>1</v>
      </c>
      <c r="AU468" s="199" t="s">
        <v>1</v>
      </c>
      <c r="AV468" s="202" t="s">
        <v>1</v>
      </c>
      <c r="AW468" s="199" t="s">
        <v>1</v>
      </c>
    </row>
    <row r="469" spans="1:49" ht="30.15" customHeight="1" x14ac:dyDescent="0.25">
      <c r="A469" s="190" t="s">
        <v>18</v>
      </c>
      <c r="B469" s="189" t="s">
        <v>1</v>
      </c>
      <c r="C469" s="188" t="s">
        <v>35</v>
      </c>
      <c r="D469" s="190" t="s">
        <v>440</v>
      </c>
      <c r="E469" s="190" t="s">
        <v>441</v>
      </c>
      <c r="F469" s="203"/>
      <c r="G469" s="190" t="s">
        <v>442</v>
      </c>
      <c r="H469" s="192" t="s">
        <v>409</v>
      </c>
      <c r="I469" s="193">
        <v>190</v>
      </c>
      <c r="J469" s="193">
        <v>190</v>
      </c>
      <c r="K469" s="193">
        <v>190</v>
      </c>
      <c r="L469" s="193">
        <v>199.99</v>
      </c>
      <c r="M469" s="194">
        <v>199.99</v>
      </c>
      <c r="N469" s="195" t="s">
        <v>1</v>
      </c>
      <c r="O469" s="195" t="s">
        <v>1</v>
      </c>
      <c r="P469" s="195" t="s">
        <v>1</v>
      </c>
      <c r="Q469" s="195" t="s">
        <v>1</v>
      </c>
      <c r="R469" s="196" t="s">
        <v>1</v>
      </c>
      <c r="S469" s="197" t="s">
        <v>1</v>
      </c>
      <c r="T469" s="197" t="s">
        <v>1</v>
      </c>
      <c r="U469" s="197" t="s">
        <v>1</v>
      </c>
      <c r="V469" s="197" t="s">
        <v>1</v>
      </c>
      <c r="W469" s="196" t="s">
        <v>1</v>
      </c>
      <c r="X469" s="195" t="s">
        <v>1</v>
      </c>
      <c r="Y469" s="195" t="s">
        <v>1</v>
      </c>
      <c r="Z469" s="195" t="s">
        <v>1</v>
      </c>
      <c r="AA469" s="196" t="s">
        <v>1</v>
      </c>
      <c r="AB469" s="196" t="s">
        <v>1</v>
      </c>
      <c r="AC469" s="197" t="s">
        <v>1</v>
      </c>
      <c r="AD469" s="197" t="s">
        <v>1</v>
      </c>
      <c r="AE469" s="197" t="s">
        <v>1</v>
      </c>
      <c r="AF469" s="198" t="s">
        <v>1</v>
      </c>
      <c r="AG469" s="198" t="s">
        <v>1</v>
      </c>
      <c r="AH469" s="198" t="s">
        <v>1</v>
      </c>
      <c r="AI469" s="209" t="s">
        <v>1</v>
      </c>
      <c r="AJ469" s="209" t="s">
        <v>1</v>
      </c>
      <c r="AK469" s="209" t="s">
        <v>1</v>
      </c>
      <c r="AL469" s="198">
        <v>0</v>
      </c>
      <c r="AM469" s="234" t="s">
        <v>1</v>
      </c>
      <c r="AN469" s="199" t="s">
        <v>1</v>
      </c>
      <c r="AO469" s="199" t="s">
        <v>1</v>
      </c>
      <c r="AP469" s="198" t="s">
        <v>1</v>
      </c>
      <c r="AQ469" s="198" t="s">
        <v>1</v>
      </c>
      <c r="AR469" s="201" t="s">
        <v>1</v>
      </c>
      <c r="AS469" s="201" t="s">
        <v>1</v>
      </c>
      <c r="AT469" s="199" t="s">
        <v>1</v>
      </c>
      <c r="AU469" s="199" t="s">
        <v>1</v>
      </c>
      <c r="AV469" s="202" t="s">
        <v>1</v>
      </c>
      <c r="AW469" s="199" t="s">
        <v>1</v>
      </c>
    </row>
    <row r="470" spans="1:49" ht="30.15" customHeight="1" x14ac:dyDescent="0.25">
      <c r="A470" s="190" t="s">
        <v>18</v>
      </c>
      <c r="B470" s="189" t="s">
        <v>1</v>
      </c>
      <c r="C470" s="188" t="s">
        <v>35</v>
      </c>
      <c r="D470" s="190" t="s">
        <v>1234</v>
      </c>
      <c r="E470" s="190" t="s">
        <v>1235</v>
      </c>
      <c r="F470" s="203"/>
      <c r="G470" s="190" t="s">
        <v>1236</v>
      </c>
      <c r="H470" s="192" t="s">
        <v>409</v>
      </c>
      <c r="I470" s="193">
        <v>215</v>
      </c>
      <c r="J470" s="193">
        <v>215</v>
      </c>
      <c r="K470" s="193">
        <v>215</v>
      </c>
      <c r="L470" s="193">
        <v>225</v>
      </c>
      <c r="M470" s="194">
        <v>225</v>
      </c>
      <c r="N470" s="195" t="s">
        <v>1</v>
      </c>
      <c r="O470" s="195" t="s">
        <v>1</v>
      </c>
      <c r="P470" s="195" t="s">
        <v>1</v>
      </c>
      <c r="Q470" s="195" t="s">
        <v>1</v>
      </c>
      <c r="R470" s="196" t="s">
        <v>1</v>
      </c>
      <c r="S470" s="197" t="s">
        <v>1</v>
      </c>
      <c r="T470" s="197" t="s">
        <v>1</v>
      </c>
      <c r="U470" s="197" t="s">
        <v>1</v>
      </c>
      <c r="V470" s="197" t="s">
        <v>1</v>
      </c>
      <c r="W470" s="196" t="s">
        <v>1</v>
      </c>
      <c r="X470" s="195" t="s">
        <v>1</v>
      </c>
      <c r="Y470" s="195" t="s">
        <v>1</v>
      </c>
      <c r="Z470" s="195" t="s">
        <v>1</v>
      </c>
      <c r="AA470" s="196" t="s">
        <v>1</v>
      </c>
      <c r="AB470" s="196" t="s">
        <v>1</v>
      </c>
      <c r="AC470" s="197" t="s">
        <v>1</v>
      </c>
      <c r="AD470" s="197" t="s">
        <v>1</v>
      </c>
      <c r="AE470" s="197" t="s">
        <v>1</v>
      </c>
      <c r="AF470" s="198" t="s">
        <v>1</v>
      </c>
      <c r="AG470" s="198" t="s">
        <v>1</v>
      </c>
      <c r="AH470" s="198" t="s">
        <v>1</v>
      </c>
      <c r="AI470" s="209" t="s">
        <v>1</v>
      </c>
      <c r="AJ470" s="209" t="s">
        <v>1</v>
      </c>
      <c r="AK470" s="209" t="s">
        <v>1</v>
      </c>
      <c r="AL470" s="198">
        <v>0</v>
      </c>
      <c r="AM470" s="234" t="s">
        <v>1</v>
      </c>
      <c r="AN470" s="199" t="s">
        <v>1</v>
      </c>
      <c r="AO470" s="199" t="s">
        <v>1</v>
      </c>
      <c r="AP470" s="198" t="s">
        <v>1</v>
      </c>
      <c r="AQ470" s="198" t="s">
        <v>1</v>
      </c>
      <c r="AR470" s="201" t="s">
        <v>1</v>
      </c>
      <c r="AS470" s="201" t="s">
        <v>1</v>
      </c>
      <c r="AT470" s="199" t="s">
        <v>1</v>
      </c>
      <c r="AU470" s="199" t="s">
        <v>1</v>
      </c>
      <c r="AV470" s="202" t="s">
        <v>1</v>
      </c>
      <c r="AW470" s="199" t="s">
        <v>1</v>
      </c>
    </row>
    <row r="471" spans="1:49" ht="30.15" customHeight="1" x14ac:dyDescent="0.25">
      <c r="A471" s="190" t="s">
        <v>18</v>
      </c>
      <c r="B471" s="189" t="s">
        <v>1</v>
      </c>
      <c r="C471" s="212" t="s">
        <v>34</v>
      </c>
      <c r="D471" s="190" t="s">
        <v>7</v>
      </c>
      <c r="E471" s="190" t="s">
        <v>242</v>
      </c>
      <c r="F471" s="203"/>
      <c r="G471" s="190" t="s">
        <v>243</v>
      </c>
      <c r="H471" s="192" t="s">
        <v>409</v>
      </c>
      <c r="I471" s="193">
        <v>379</v>
      </c>
      <c r="J471" s="193">
        <v>430</v>
      </c>
      <c r="K471" s="193">
        <v>379</v>
      </c>
      <c r="L471" s="193">
        <v>260</v>
      </c>
      <c r="M471" s="194">
        <v>260</v>
      </c>
      <c r="N471" s="195">
        <v>0</v>
      </c>
      <c r="O471" s="195" t="s">
        <v>1</v>
      </c>
      <c r="P471" s="195" t="s">
        <v>1</v>
      </c>
      <c r="Q471" s="195" t="s">
        <v>1</v>
      </c>
      <c r="R471" s="196">
        <v>120</v>
      </c>
      <c r="S471" s="197">
        <v>0</v>
      </c>
      <c r="T471" s="197" t="s">
        <v>1</v>
      </c>
      <c r="U471" s="197" t="s">
        <v>1</v>
      </c>
      <c r="V471" s="197" t="s">
        <v>1</v>
      </c>
      <c r="W471" s="196">
        <v>120</v>
      </c>
      <c r="X471" s="195">
        <v>0</v>
      </c>
      <c r="Y471" s="195" t="s">
        <v>1</v>
      </c>
      <c r="Z471" s="195" t="s">
        <v>1</v>
      </c>
      <c r="AA471" s="196" t="s">
        <v>1</v>
      </c>
      <c r="AB471" s="196" t="s">
        <v>1</v>
      </c>
      <c r="AC471" s="197">
        <v>0</v>
      </c>
      <c r="AD471" s="197" t="s">
        <v>1</v>
      </c>
      <c r="AE471" s="197" t="s">
        <v>1</v>
      </c>
      <c r="AF471" s="198" t="s">
        <v>1</v>
      </c>
      <c r="AG471" s="198" t="s">
        <v>1</v>
      </c>
      <c r="AH471" s="198">
        <v>0</v>
      </c>
      <c r="AI471" s="209" t="s">
        <v>1</v>
      </c>
      <c r="AJ471" s="209" t="s">
        <v>1</v>
      </c>
      <c r="AK471" s="209">
        <v>120</v>
      </c>
      <c r="AL471" s="198" t="s">
        <v>1</v>
      </c>
      <c r="AM471" s="234" t="s">
        <v>1</v>
      </c>
      <c r="AN471" s="199" t="s">
        <v>1</v>
      </c>
      <c r="AO471" s="199" t="s">
        <v>1</v>
      </c>
      <c r="AP471" s="198" t="s">
        <v>1</v>
      </c>
      <c r="AQ471" s="198" t="s">
        <v>1</v>
      </c>
      <c r="AR471" s="201" t="s">
        <v>1</v>
      </c>
      <c r="AS471" s="201" t="s">
        <v>1</v>
      </c>
      <c r="AT471" s="199" t="s">
        <v>1</v>
      </c>
      <c r="AU471" s="199" t="s">
        <v>1</v>
      </c>
      <c r="AV471" s="202" t="s">
        <v>1</v>
      </c>
      <c r="AW471" s="199" t="s">
        <v>1</v>
      </c>
    </row>
    <row r="472" spans="1:49" ht="30.15" customHeight="1" x14ac:dyDescent="0.25">
      <c r="A472" s="190" t="s">
        <v>18</v>
      </c>
      <c r="B472" s="189" t="s">
        <v>1</v>
      </c>
      <c r="C472" s="212" t="s">
        <v>34</v>
      </c>
      <c r="D472" s="190" t="s">
        <v>7</v>
      </c>
      <c r="E472" s="190" t="s">
        <v>725</v>
      </c>
      <c r="F472" s="203"/>
      <c r="G472" s="190" t="s">
        <v>724</v>
      </c>
      <c r="H472" s="192" t="s">
        <v>409</v>
      </c>
      <c r="I472" s="193">
        <v>199</v>
      </c>
      <c r="J472" s="193">
        <v>180</v>
      </c>
      <c r="K472" s="193">
        <v>199</v>
      </c>
      <c r="L472" s="194">
        <v>210</v>
      </c>
      <c r="M472" s="194">
        <v>210</v>
      </c>
      <c r="N472" s="195">
        <v>0</v>
      </c>
      <c r="O472" s="195" t="s">
        <v>1</v>
      </c>
      <c r="P472" s="195" t="s">
        <v>1</v>
      </c>
      <c r="Q472" s="195" t="s">
        <v>1</v>
      </c>
      <c r="R472" s="196" t="s">
        <v>1</v>
      </c>
      <c r="S472" s="197">
        <v>0</v>
      </c>
      <c r="T472" s="197" t="s">
        <v>1</v>
      </c>
      <c r="U472" s="197" t="s">
        <v>1</v>
      </c>
      <c r="V472" s="197" t="s">
        <v>1</v>
      </c>
      <c r="W472" s="196" t="s">
        <v>1</v>
      </c>
      <c r="X472" s="195">
        <v>0</v>
      </c>
      <c r="Y472" s="195" t="s">
        <v>1</v>
      </c>
      <c r="Z472" s="195" t="s">
        <v>1</v>
      </c>
      <c r="AA472" s="196" t="s">
        <v>1</v>
      </c>
      <c r="AB472" s="196" t="s">
        <v>1</v>
      </c>
      <c r="AC472" s="197">
        <v>0</v>
      </c>
      <c r="AD472" s="197" t="s">
        <v>1</v>
      </c>
      <c r="AE472" s="197" t="s">
        <v>1</v>
      </c>
      <c r="AF472" s="198" t="s">
        <v>1</v>
      </c>
      <c r="AG472" s="198" t="s">
        <v>1</v>
      </c>
      <c r="AH472" s="198">
        <v>0</v>
      </c>
      <c r="AI472" s="209" t="s">
        <v>1</v>
      </c>
      <c r="AJ472" s="209" t="s">
        <v>1</v>
      </c>
      <c r="AK472" s="209" t="s">
        <v>1</v>
      </c>
      <c r="AL472" s="198" t="s">
        <v>1</v>
      </c>
      <c r="AM472" s="234" t="s">
        <v>1</v>
      </c>
      <c r="AN472" s="199" t="s">
        <v>1</v>
      </c>
      <c r="AO472" s="199" t="s">
        <v>1</v>
      </c>
      <c r="AP472" s="198" t="s">
        <v>1</v>
      </c>
      <c r="AQ472" s="198" t="s">
        <v>1</v>
      </c>
      <c r="AR472" s="201" t="s">
        <v>1</v>
      </c>
      <c r="AS472" s="201" t="s">
        <v>1</v>
      </c>
      <c r="AT472" s="199" t="s">
        <v>1</v>
      </c>
      <c r="AU472" s="199" t="s">
        <v>1</v>
      </c>
      <c r="AV472" s="202" t="s">
        <v>1</v>
      </c>
      <c r="AW472" s="199" t="s">
        <v>1</v>
      </c>
    </row>
    <row r="473" spans="1:49" ht="30.15" customHeight="1" x14ac:dyDescent="0.25">
      <c r="A473" s="190" t="s">
        <v>18</v>
      </c>
      <c r="B473" s="189" t="s">
        <v>1</v>
      </c>
      <c r="C473" s="212" t="s">
        <v>34</v>
      </c>
      <c r="D473" s="190" t="s">
        <v>7</v>
      </c>
      <c r="E473" s="190" t="s">
        <v>913</v>
      </c>
      <c r="F473" s="203"/>
      <c r="G473" s="190" t="s">
        <v>914</v>
      </c>
      <c r="H473" s="192" t="s">
        <v>409</v>
      </c>
      <c r="I473" s="193">
        <v>188.99</v>
      </c>
      <c r="J473" s="193">
        <v>188.99</v>
      </c>
      <c r="K473" s="193">
        <v>188.99</v>
      </c>
      <c r="L473" s="194">
        <v>250</v>
      </c>
      <c r="M473" s="194">
        <v>250</v>
      </c>
      <c r="N473" s="195">
        <v>0</v>
      </c>
      <c r="O473" s="195">
        <v>1.42</v>
      </c>
      <c r="P473" s="195">
        <v>24</v>
      </c>
      <c r="Q473" s="195" t="s">
        <v>1</v>
      </c>
      <c r="R473" s="196" t="s">
        <v>1</v>
      </c>
      <c r="S473" s="197">
        <v>0</v>
      </c>
      <c r="T473" s="196">
        <v>1.42</v>
      </c>
      <c r="U473" s="196">
        <v>24</v>
      </c>
      <c r="V473" s="197" t="s">
        <v>1</v>
      </c>
      <c r="W473" s="196" t="s">
        <v>1</v>
      </c>
      <c r="X473" s="195">
        <v>0</v>
      </c>
      <c r="Y473" s="195">
        <v>1.42</v>
      </c>
      <c r="Z473" s="195">
        <v>24</v>
      </c>
      <c r="AA473" s="196" t="s">
        <v>1</v>
      </c>
      <c r="AB473" s="196" t="s">
        <v>1</v>
      </c>
      <c r="AC473" s="197">
        <v>0</v>
      </c>
      <c r="AD473" s="197">
        <v>1.42</v>
      </c>
      <c r="AE473" s="197">
        <v>24</v>
      </c>
      <c r="AF473" s="198" t="s">
        <v>1</v>
      </c>
      <c r="AG473" s="198" t="s">
        <v>1</v>
      </c>
      <c r="AH473" s="198">
        <v>0</v>
      </c>
      <c r="AI473" s="209" t="s">
        <v>1</v>
      </c>
      <c r="AJ473" s="209" t="s">
        <v>1</v>
      </c>
      <c r="AK473" s="209">
        <v>120</v>
      </c>
      <c r="AL473" s="198" t="s">
        <v>1</v>
      </c>
      <c r="AM473" s="234" t="s">
        <v>1</v>
      </c>
      <c r="AN473" s="199" t="s">
        <v>1</v>
      </c>
      <c r="AO473" s="199" t="s">
        <v>1</v>
      </c>
      <c r="AP473" s="198" t="s">
        <v>1</v>
      </c>
      <c r="AQ473" s="198" t="s">
        <v>1</v>
      </c>
      <c r="AR473" s="201" t="s">
        <v>1</v>
      </c>
      <c r="AS473" s="201" t="s">
        <v>1</v>
      </c>
      <c r="AT473" s="199" t="s">
        <v>1</v>
      </c>
      <c r="AU473" s="199" t="s">
        <v>1</v>
      </c>
      <c r="AV473" s="202" t="s">
        <v>1</v>
      </c>
      <c r="AW473" s="199" t="s">
        <v>1</v>
      </c>
    </row>
    <row r="474" spans="1:49" ht="30.15" customHeight="1" x14ac:dyDescent="0.25">
      <c r="A474" s="190" t="s">
        <v>18</v>
      </c>
      <c r="B474" s="189" t="s">
        <v>1</v>
      </c>
      <c r="C474" s="212" t="s">
        <v>34</v>
      </c>
      <c r="D474" s="190" t="s">
        <v>7</v>
      </c>
      <c r="E474" s="190" t="s">
        <v>597</v>
      </c>
      <c r="F474" s="203"/>
      <c r="G474" s="190" t="s">
        <v>600</v>
      </c>
      <c r="H474" s="192" t="s">
        <v>409</v>
      </c>
      <c r="I474" s="193">
        <v>350</v>
      </c>
      <c r="J474" s="193">
        <v>290</v>
      </c>
      <c r="K474" s="193">
        <v>350</v>
      </c>
      <c r="L474" s="194">
        <v>400</v>
      </c>
      <c r="M474" s="194">
        <v>400</v>
      </c>
      <c r="N474" s="195">
        <v>0</v>
      </c>
      <c r="O474" s="195">
        <v>3.34</v>
      </c>
      <c r="P474" s="195">
        <v>24</v>
      </c>
      <c r="Q474" s="195" t="s">
        <v>1</v>
      </c>
      <c r="R474" s="196">
        <v>120</v>
      </c>
      <c r="S474" s="197">
        <v>0</v>
      </c>
      <c r="T474" s="195">
        <v>3.34</v>
      </c>
      <c r="U474" s="195">
        <v>24</v>
      </c>
      <c r="V474" s="197" t="s">
        <v>1</v>
      </c>
      <c r="W474" s="196">
        <v>120</v>
      </c>
      <c r="X474" s="195">
        <v>0</v>
      </c>
      <c r="Y474" s="195">
        <v>3.34</v>
      </c>
      <c r="Z474" s="195">
        <v>24</v>
      </c>
      <c r="AA474" s="196" t="s">
        <v>1</v>
      </c>
      <c r="AB474" s="196" t="s">
        <v>1</v>
      </c>
      <c r="AC474" s="197">
        <v>0</v>
      </c>
      <c r="AD474" s="197">
        <v>3.34</v>
      </c>
      <c r="AE474" s="197">
        <v>24</v>
      </c>
      <c r="AF474" s="198" t="s">
        <v>1</v>
      </c>
      <c r="AG474" s="198" t="s">
        <v>1</v>
      </c>
      <c r="AH474" s="198">
        <v>0</v>
      </c>
      <c r="AI474" s="209" t="s">
        <v>1</v>
      </c>
      <c r="AJ474" s="209" t="s">
        <v>1</v>
      </c>
      <c r="AK474" s="209">
        <v>120</v>
      </c>
      <c r="AL474" s="198" t="s">
        <v>1</v>
      </c>
      <c r="AM474" s="234" t="s">
        <v>1</v>
      </c>
      <c r="AN474" s="199" t="s">
        <v>1</v>
      </c>
      <c r="AO474" s="199" t="s">
        <v>1</v>
      </c>
      <c r="AP474" s="198" t="s">
        <v>1</v>
      </c>
      <c r="AQ474" s="198" t="s">
        <v>1</v>
      </c>
      <c r="AR474" s="201" t="s">
        <v>1</v>
      </c>
      <c r="AS474" s="201" t="s">
        <v>1</v>
      </c>
      <c r="AT474" s="199" t="s">
        <v>1</v>
      </c>
      <c r="AU474" s="199" t="s">
        <v>1</v>
      </c>
      <c r="AV474" s="202" t="s">
        <v>1</v>
      </c>
      <c r="AW474" s="199" t="s">
        <v>1</v>
      </c>
    </row>
    <row r="475" spans="1:49" ht="30.15" customHeight="1" x14ac:dyDescent="0.25">
      <c r="A475" s="190" t="s">
        <v>18</v>
      </c>
      <c r="B475" s="189" t="s">
        <v>1</v>
      </c>
      <c r="C475" s="212" t="s">
        <v>34</v>
      </c>
      <c r="D475" s="190" t="s">
        <v>7</v>
      </c>
      <c r="E475" s="190" t="s">
        <v>598</v>
      </c>
      <c r="F475" s="203"/>
      <c r="G475" s="190" t="s">
        <v>601</v>
      </c>
      <c r="H475" s="192" t="s">
        <v>409</v>
      </c>
      <c r="I475" s="193">
        <v>399</v>
      </c>
      <c r="J475" s="193">
        <v>380</v>
      </c>
      <c r="K475" s="193">
        <v>399</v>
      </c>
      <c r="L475" s="194">
        <v>500</v>
      </c>
      <c r="M475" s="194">
        <v>500</v>
      </c>
      <c r="N475" s="195">
        <v>0</v>
      </c>
      <c r="O475" s="195">
        <v>10.84</v>
      </c>
      <c r="P475" s="195">
        <v>24</v>
      </c>
      <c r="Q475" s="195" t="s">
        <v>1</v>
      </c>
      <c r="R475" s="196" t="s">
        <v>1</v>
      </c>
      <c r="S475" s="197">
        <v>0</v>
      </c>
      <c r="T475" s="195">
        <v>10.84</v>
      </c>
      <c r="U475" s="195">
        <v>24</v>
      </c>
      <c r="V475" s="197" t="s">
        <v>1</v>
      </c>
      <c r="W475" s="196" t="s">
        <v>1</v>
      </c>
      <c r="X475" s="195">
        <v>0</v>
      </c>
      <c r="Y475" s="195">
        <v>10.84</v>
      </c>
      <c r="Z475" s="195">
        <v>24</v>
      </c>
      <c r="AA475" s="196" t="s">
        <v>1</v>
      </c>
      <c r="AB475" s="196" t="s">
        <v>1</v>
      </c>
      <c r="AC475" s="197">
        <v>0</v>
      </c>
      <c r="AD475" s="197">
        <v>10.84</v>
      </c>
      <c r="AE475" s="197">
        <v>24</v>
      </c>
      <c r="AF475" s="198" t="s">
        <v>1</v>
      </c>
      <c r="AG475" s="198" t="s">
        <v>1</v>
      </c>
      <c r="AH475" s="198">
        <v>0</v>
      </c>
      <c r="AI475" s="209">
        <v>10.84</v>
      </c>
      <c r="AJ475" s="209">
        <v>24</v>
      </c>
      <c r="AK475" s="209">
        <v>120</v>
      </c>
      <c r="AL475" s="198" t="s">
        <v>1</v>
      </c>
      <c r="AM475" s="234" t="s">
        <v>1</v>
      </c>
      <c r="AN475" s="199" t="s">
        <v>1</v>
      </c>
      <c r="AO475" s="199" t="s">
        <v>1</v>
      </c>
      <c r="AP475" s="198" t="s">
        <v>1</v>
      </c>
      <c r="AQ475" s="198" t="s">
        <v>1</v>
      </c>
      <c r="AR475" s="201" t="s">
        <v>1</v>
      </c>
      <c r="AS475" s="201" t="s">
        <v>1</v>
      </c>
      <c r="AT475" s="199" t="s">
        <v>1</v>
      </c>
      <c r="AU475" s="199" t="s">
        <v>1</v>
      </c>
      <c r="AV475" s="202" t="s">
        <v>1</v>
      </c>
      <c r="AW475" s="199" t="s">
        <v>1</v>
      </c>
    </row>
    <row r="476" spans="1:49" ht="30.15" customHeight="1" x14ac:dyDescent="0.25">
      <c r="A476" s="190" t="s">
        <v>18</v>
      </c>
      <c r="B476" s="189" t="s">
        <v>1</v>
      </c>
      <c r="C476" s="212" t="s">
        <v>34</v>
      </c>
      <c r="D476" s="190" t="s">
        <v>7</v>
      </c>
      <c r="E476" s="190" t="s">
        <v>741</v>
      </c>
      <c r="F476" s="203"/>
      <c r="G476" s="190" t="s">
        <v>601</v>
      </c>
      <c r="H476" s="192" t="s">
        <v>7</v>
      </c>
      <c r="I476" s="193">
        <v>399</v>
      </c>
      <c r="J476" s="193">
        <v>380</v>
      </c>
      <c r="K476" s="193">
        <v>399</v>
      </c>
      <c r="L476" s="194">
        <v>500</v>
      </c>
      <c r="M476" s="194">
        <v>500</v>
      </c>
      <c r="N476" s="195">
        <v>0</v>
      </c>
      <c r="O476" s="195">
        <v>10.84</v>
      </c>
      <c r="P476" s="195">
        <v>24</v>
      </c>
      <c r="Q476" s="195" t="s">
        <v>1</v>
      </c>
      <c r="R476" s="196" t="s">
        <v>1</v>
      </c>
      <c r="S476" s="197">
        <v>0</v>
      </c>
      <c r="T476" s="195">
        <v>10.84</v>
      </c>
      <c r="U476" s="195">
        <v>24</v>
      </c>
      <c r="V476" s="197" t="s">
        <v>1</v>
      </c>
      <c r="W476" s="196" t="s">
        <v>1</v>
      </c>
      <c r="X476" s="195">
        <v>0</v>
      </c>
      <c r="Y476" s="195">
        <v>10.84</v>
      </c>
      <c r="Z476" s="195">
        <v>24</v>
      </c>
      <c r="AA476" s="196" t="s">
        <v>1</v>
      </c>
      <c r="AB476" s="196" t="s">
        <v>1</v>
      </c>
      <c r="AC476" s="197">
        <v>0</v>
      </c>
      <c r="AD476" s="197">
        <v>10.84</v>
      </c>
      <c r="AE476" s="197">
        <v>24</v>
      </c>
      <c r="AF476" s="198" t="s">
        <v>1</v>
      </c>
      <c r="AG476" s="198" t="s">
        <v>1</v>
      </c>
      <c r="AH476" s="198">
        <v>0</v>
      </c>
      <c r="AI476" s="209">
        <v>10.84</v>
      </c>
      <c r="AJ476" s="209">
        <v>24</v>
      </c>
      <c r="AK476" s="209">
        <v>120</v>
      </c>
      <c r="AL476" s="198" t="s">
        <v>1</v>
      </c>
      <c r="AM476" s="234" t="s">
        <v>1</v>
      </c>
      <c r="AN476" s="199" t="s">
        <v>1</v>
      </c>
      <c r="AO476" s="199" t="s">
        <v>1</v>
      </c>
      <c r="AP476" s="198" t="s">
        <v>1</v>
      </c>
      <c r="AQ476" s="198" t="s">
        <v>1</v>
      </c>
      <c r="AR476" s="201" t="s">
        <v>1</v>
      </c>
      <c r="AS476" s="201" t="s">
        <v>1</v>
      </c>
      <c r="AT476" s="199" t="s">
        <v>1</v>
      </c>
      <c r="AU476" s="199" t="s">
        <v>1</v>
      </c>
      <c r="AV476" s="202" t="s">
        <v>1</v>
      </c>
      <c r="AW476" s="199" t="s">
        <v>1</v>
      </c>
    </row>
    <row r="477" spans="1:49" ht="30.15" customHeight="1" x14ac:dyDescent="0.25">
      <c r="A477" s="190" t="s">
        <v>18</v>
      </c>
      <c r="B477" s="189" t="s">
        <v>1</v>
      </c>
      <c r="C477" s="212" t="s">
        <v>34</v>
      </c>
      <c r="D477" s="190" t="s">
        <v>7</v>
      </c>
      <c r="E477" s="190" t="s">
        <v>880</v>
      </c>
      <c r="F477" s="203"/>
      <c r="G477" s="190" t="s">
        <v>881</v>
      </c>
      <c r="H477" s="192" t="s">
        <v>409</v>
      </c>
      <c r="I477" s="193">
        <v>431.99</v>
      </c>
      <c r="J477" s="193">
        <v>431.99</v>
      </c>
      <c r="K477" s="193">
        <v>431.99</v>
      </c>
      <c r="L477" s="194">
        <v>560</v>
      </c>
      <c r="M477" s="194">
        <v>560</v>
      </c>
      <c r="N477" s="195">
        <v>0</v>
      </c>
      <c r="O477" s="195">
        <v>3.34</v>
      </c>
      <c r="P477" s="195">
        <v>24</v>
      </c>
      <c r="Q477" s="195" t="s">
        <v>1</v>
      </c>
      <c r="R477" s="196">
        <v>120</v>
      </c>
      <c r="S477" s="197">
        <v>0</v>
      </c>
      <c r="T477" s="195">
        <v>3.34</v>
      </c>
      <c r="U477" s="195">
        <v>24</v>
      </c>
      <c r="V477" s="197" t="s">
        <v>1</v>
      </c>
      <c r="W477" s="196">
        <v>120</v>
      </c>
      <c r="X477" s="195">
        <v>0</v>
      </c>
      <c r="Y477" s="195">
        <v>23.34</v>
      </c>
      <c r="Z477" s="195">
        <v>24</v>
      </c>
      <c r="AA477" s="196" t="s">
        <v>1</v>
      </c>
      <c r="AB477" s="196" t="s">
        <v>1</v>
      </c>
      <c r="AC477" s="197">
        <v>0</v>
      </c>
      <c r="AD477" s="195">
        <v>23.34</v>
      </c>
      <c r="AE477" s="197">
        <v>24</v>
      </c>
      <c r="AF477" s="198" t="s">
        <v>1</v>
      </c>
      <c r="AG477" s="198" t="s">
        <v>1</v>
      </c>
      <c r="AH477" s="198" t="s">
        <v>1</v>
      </c>
      <c r="AI477" s="209" t="s">
        <v>1</v>
      </c>
      <c r="AJ477" s="209" t="s">
        <v>1</v>
      </c>
      <c r="AK477" s="209" t="s">
        <v>1</v>
      </c>
      <c r="AL477" s="198" t="s">
        <v>1</v>
      </c>
      <c r="AM477" s="234" t="s">
        <v>1</v>
      </c>
      <c r="AN477" s="199" t="s">
        <v>1</v>
      </c>
      <c r="AO477" s="199" t="s">
        <v>1</v>
      </c>
      <c r="AP477" s="198" t="s">
        <v>1</v>
      </c>
      <c r="AQ477" s="198" t="s">
        <v>1</v>
      </c>
      <c r="AR477" s="201" t="s">
        <v>1</v>
      </c>
      <c r="AS477" s="201" t="s">
        <v>1</v>
      </c>
      <c r="AT477" s="199" t="s">
        <v>1</v>
      </c>
      <c r="AU477" s="199" t="s">
        <v>1</v>
      </c>
      <c r="AV477" s="202" t="s">
        <v>1</v>
      </c>
      <c r="AW477" s="199" t="s">
        <v>1</v>
      </c>
    </row>
    <row r="478" spans="1:49" ht="30.15" customHeight="1" x14ac:dyDescent="0.25">
      <c r="A478" s="190" t="s">
        <v>18</v>
      </c>
      <c r="B478" s="189" t="s">
        <v>1</v>
      </c>
      <c r="C478" s="212" t="s">
        <v>34</v>
      </c>
      <c r="D478" s="190" t="s">
        <v>7</v>
      </c>
      <c r="E478" s="190" t="s">
        <v>599</v>
      </c>
      <c r="F478" s="203"/>
      <c r="G478" s="190" t="s">
        <v>602</v>
      </c>
      <c r="H478" s="192" t="s">
        <v>409</v>
      </c>
      <c r="I478" s="193">
        <v>551</v>
      </c>
      <c r="J478" s="193">
        <v>530</v>
      </c>
      <c r="K478" s="193">
        <v>551</v>
      </c>
      <c r="L478" s="194">
        <v>700</v>
      </c>
      <c r="M478" s="194">
        <v>700</v>
      </c>
      <c r="N478" s="195">
        <v>0</v>
      </c>
      <c r="O478" s="195">
        <v>14.17</v>
      </c>
      <c r="P478" s="195">
        <v>24</v>
      </c>
      <c r="Q478" s="195" t="s">
        <v>1</v>
      </c>
      <c r="R478" s="196">
        <v>120</v>
      </c>
      <c r="S478" s="197">
        <v>0</v>
      </c>
      <c r="T478" s="195">
        <v>14.17</v>
      </c>
      <c r="U478" s="195">
        <v>24</v>
      </c>
      <c r="V478" s="197" t="s">
        <v>1</v>
      </c>
      <c r="W478" s="196">
        <v>120</v>
      </c>
      <c r="X478" s="195">
        <v>0</v>
      </c>
      <c r="Y478" s="195">
        <v>14.17</v>
      </c>
      <c r="Z478" s="195">
        <v>24</v>
      </c>
      <c r="AA478" s="196" t="s">
        <v>1</v>
      </c>
      <c r="AB478" s="196" t="s">
        <v>1</v>
      </c>
      <c r="AC478" s="197">
        <v>0</v>
      </c>
      <c r="AD478" s="197">
        <v>14.17</v>
      </c>
      <c r="AE478" s="197">
        <v>24</v>
      </c>
      <c r="AF478" s="198" t="s">
        <v>1</v>
      </c>
      <c r="AG478" s="198" t="s">
        <v>1</v>
      </c>
      <c r="AH478" s="198">
        <v>0</v>
      </c>
      <c r="AI478" s="209">
        <v>14.17</v>
      </c>
      <c r="AJ478" s="209">
        <v>24</v>
      </c>
      <c r="AK478" s="209" t="s">
        <v>1252</v>
      </c>
      <c r="AL478" s="198" t="s">
        <v>1</v>
      </c>
      <c r="AM478" s="234" t="s">
        <v>1</v>
      </c>
      <c r="AN478" s="199" t="s">
        <v>1</v>
      </c>
      <c r="AO478" s="199" t="s">
        <v>1</v>
      </c>
      <c r="AP478" s="198" t="s">
        <v>1</v>
      </c>
      <c r="AQ478" s="198" t="s">
        <v>1</v>
      </c>
      <c r="AR478" s="201" t="s">
        <v>1</v>
      </c>
      <c r="AS478" s="201" t="s">
        <v>1</v>
      </c>
      <c r="AT478" s="199" t="s">
        <v>1</v>
      </c>
      <c r="AU478" s="199" t="s">
        <v>1</v>
      </c>
      <c r="AV478" s="202" t="s">
        <v>1</v>
      </c>
      <c r="AW478" s="199" t="s">
        <v>1</v>
      </c>
    </row>
    <row r="479" spans="1:49" ht="30.15" customHeight="1" x14ac:dyDescent="0.25">
      <c r="A479" s="190" t="s">
        <v>18</v>
      </c>
      <c r="B479" s="189" t="s">
        <v>1</v>
      </c>
      <c r="C479" s="212" t="s">
        <v>34</v>
      </c>
      <c r="D479" s="190" t="s">
        <v>7</v>
      </c>
      <c r="E479" s="190" t="s">
        <v>882</v>
      </c>
      <c r="F479" s="203"/>
      <c r="G479" s="190" t="s">
        <v>883</v>
      </c>
      <c r="H479" s="192" t="s">
        <v>409</v>
      </c>
      <c r="I479" s="193">
        <v>539.99</v>
      </c>
      <c r="J479" s="193">
        <v>539.99</v>
      </c>
      <c r="K479" s="193">
        <v>539.99</v>
      </c>
      <c r="L479" s="194">
        <v>710</v>
      </c>
      <c r="M479" s="194">
        <v>710</v>
      </c>
      <c r="N479" s="195">
        <v>0</v>
      </c>
      <c r="O479" s="195">
        <v>14.59</v>
      </c>
      <c r="P479" s="195">
        <v>24</v>
      </c>
      <c r="Q479" s="195" t="s">
        <v>1</v>
      </c>
      <c r="R479" s="196">
        <v>120</v>
      </c>
      <c r="S479" s="197">
        <v>0</v>
      </c>
      <c r="T479" s="195">
        <v>14.59</v>
      </c>
      <c r="U479" s="196">
        <v>24</v>
      </c>
      <c r="V479" s="197" t="s">
        <v>1</v>
      </c>
      <c r="W479" s="196">
        <v>120</v>
      </c>
      <c r="X479" s="195">
        <v>0</v>
      </c>
      <c r="Y479" s="195">
        <v>19.59</v>
      </c>
      <c r="Z479" s="195">
        <v>24</v>
      </c>
      <c r="AA479" s="196" t="s">
        <v>1</v>
      </c>
      <c r="AB479" s="196" t="s">
        <v>1</v>
      </c>
      <c r="AC479" s="197">
        <v>0</v>
      </c>
      <c r="AD479" s="195">
        <v>19.59</v>
      </c>
      <c r="AE479" s="197">
        <v>24</v>
      </c>
      <c r="AF479" s="198" t="s">
        <v>1</v>
      </c>
      <c r="AG479" s="198" t="s">
        <v>1</v>
      </c>
      <c r="AH479" s="198" t="s">
        <v>1</v>
      </c>
      <c r="AI479" s="209" t="s">
        <v>1</v>
      </c>
      <c r="AJ479" s="209" t="s">
        <v>1</v>
      </c>
      <c r="AK479" s="209" t="s">
        <v>1</v>
      </c>
      <c r="AL479" s="198" t="s">
        <v>1</v>
      </c>
      <c r="AM479" s="234" t="s">
        <v>1</v>
      </c>
      <c r="AN479" s="199" t="s">
        <v>1</v>
      </c>
      <c r="AO479" s="199" t="s">
        <v>1</v>
      </c>
      <c r="AP479" s="198" t="s">
        <v>1</v>
      </c>
      <c r="AQ479" s="198" t="s">
        <v>1</v>
      </c>
      <c r="AR479" s="201" t="s">
        <v>1</v>
      </c>
      <c r="AS479" s="201" t="s">
        <v>1</v>
      </c>
      <c r="AT479" s="199" t="s">
        <v>1</v>
      </c>
      <c r="AU479" s="199" t="s">
        <v>1</v>
      </c>
      <c r="AV479" s="202" t="s">
        <v>1</v>
      </c>
      <c r="AW479" s="199" t="s">
        <v>1</v>
      </c>
    </row>
    <row r="480" spans="1:49" ht="30.15" customHeight="1" x14ac:dyDescent="0.25">
      <c r="A480" s="190" t="s">
        <v>18</v>
      </c>
      <c r="B480" s="189" t="s">
        <v>1</v>
      </c>
      <c r="C480" s="212" t="s">
        <v>34</v>
      </c>
      <c r="D480" s="190" t="s">
        <v>7</v>
      </c>
      <c r="E480" s="190" t="s">
        <v>1238</v>
      </c>
      <c r="F480" s="203"/>
      <c r="G480" s="190" t="s">
        <v>1240</v>
      </c>
      <c r="H480" s="192" t="s">
        <v>409</v>
      </c>
      <c r="I480" s="193">
        <v>340</v>
      </c>
      <c r="J480" s="193">
        <v>340</v>
      </c>
      <c r="K480" s="193">
        <v>340</v>
      </c>
      <c r="L480" s="194">
        <v>435</v>
      </c>
      <c r="M480" s="194">
        <v>435</v>
      </c>
      <c r="N480" s="195">
        <v>0</v>
      </c>
      <c r="O480" s="195">
        <v>2.71</v>
      </c>
      <c r="P480" s="195">
        <v>24</v>
      </c>
      <c r="Q480" s="195" t="s">
        <v>1</v>
      </c>
      <c r="R480" s="195">
        <v>120</v>
      </c>
      <c r="S480" s="195">
        <v>0</v>
      </c>
      <c r="T480" s="195">
        <v>2.71</v>
      </c>
      <c r="U480" s="195">
        <v>24</v>
      </c>
      <c r="V480" s="195" t="s">
        <v>1</v>
      </c>
      <c r="W480" s="195">
        <v>120</v>
      </c>
      <c r="X480" s="195">
        <v>0</v>
      </c>
      <c r="Y480" s="195">
        <v>2.71</v>
      </c>
      <c r="Z480" s="195">
        <v>24</v>
      </c>
      <c r="AA480" s="195" t="s">
        <v>1</v>
      </c>
      <c r="AB480" s="195" t="s">
        <v>1</v>
      </c>
      <c r="AC480" s="195">
        <v>0</v>
      </c>
      <c r="AD480" s="195">
        <v>2.71</v>
      </c>
      <c r="AE480" s="195">
        <v>24</v>
      </c>
      <c r="AF480" s="195" t="s">
        <v>1</v>
      </c>
      <c r="AG480" s="222" t="s">
        <v>1</v>
      </c>
      <c r="AH480" s="198" t="s">
        <v>1</v>
      </c>
      <c r="AI480" s="209" t="s">
        <v>1</v>
      </c>
      <c r="AJ480" s="209" t="s">
        <v>1</v>
      </c>
      <c r="AK480" s="209" t="s">
        <v>1</v>
      </c>
      <c r="AL480" s="198" t="s">
        <v>1</v>
      </c>
      <c r="AM480" s="234" t="s">
        <v>1</v>
      </c>
      <c r="AN480" s="199" t="s">
        <v>1</v>
      </c>
      <c r="AO480" s="199" t="s">
        <v>1</v>
      </c>
      <c r="AP480" s="198" t="s">
        <v>1</v>
      </c>
      <c r="AQ480" s="198" t="s">
        <v>1</v>
      </c>
      <c r="AR480" s="201" t="s">
        <v>1</v>
      </c>
      <c r="AS480" s="201" t="s">
        <v>1</v>
      </c>
      <c r="AT480" s="199" t="s">
        <v>1</v>
      </c>
      <c r="AU480" s="199" t="s">
        <v>1</v>
      </c>
      <c r="AV480" s="202" t="s">
        <v>1</v>
      </c>
      <c r="AW480" s="199" t="s">
        <v>1</v>
      </c>
    </row>
    <row r="481" spans="1:49" ht="30.15" customHeight="1" x14ac:dyDescent="0.25">
      <c r="A481" s="190" t="s">
        <v>18</v>
      </c>
      <c r="B481" s="189" t="s">
        <v>1</v>
      </c>
      <c r="C481" s="212" t="s">
        <v>34</v>
      </c>
      <c r="D481" s="190" t="s">
        <v>7</v>
      </c>
      <c r="E481" s="190" t="s">
        <v>1239</v>
      </c>
      <c r="F481" s="203"/>
      <c r="G481" s="190" t="s">
        <v>1241</v>
      </c>
      <c r="H481" s="192" t="s">
        <v>409</v>
      </c>
      <c r="I481" s="193">
        <v>606</v>
      </c>
      <c r="J481" s="193">
        <v>606</v>
      </c>
      <c r="K481" s="193">
        <v>606</v>
      </c>
      <c r="L481" s="194">
        <v>770</v>
      </c>
      <c r="M481" s="194">
        <v>770</v>
      </c>
      <c r="N481" s="195">
        <v>0</v>
      </c>
      <c r="O481" s="195">
        <v>4.59</v>
      </c>
      <c r="P481" s="195">
        <v>24</v>
      </c>
      <c r="Q481" s="195" t="s">
        <v>1</v>
      </c>
      <c r="R481" s="195" t="s">
        <v>1252</v>
      </c>
      <c r="S481" s="195">
        <v>0</v>
      </c>
      <c r="T481" s="195">
        <v>4.59</v>
      </c>
      <c r="U481" s="195">
        <v>24</v>
      </c>
      <c r="V481" s="195" t="s">
        <v>1</v>
      </c>
      <c r="W481" s="195" t="s">
        <v>1252</v>
      </c>
      <c r="X481" s="195">
        <v>0</v>
      </c>
      <c r="Y481" s="195">
        <v>4.59</v>
      </c>
      <c r="Z481" s="195">
        <v>24</v>
      </c>
      <c r="AA481" s="195" t="s">
        <v>1</v>
      </c>
      <c r="AB481" s="195" t="s">
        <v>1</v>
      </c>
      <c r="AC481" s="195">
        <v>0</v>
      </c>
      <c r="AD481" s="195">
        <v>4.59</v>
      </c>
      <c r="AE481" s="195">
        <v>24</v>
      </c>
      <c r="AF481" s="195" t="s">
        <v>1</v>
      </c>
      <c r="AG481" s="222" t="s">
        <v>1</v>
      </c>
      <c r="AH481" s="198" t="s">
        <v>1</v>
      </c>
      <c r="AI481" s="209" t="s">
        <v>1</v>
      </c>
      <c r="AJ481" s="209" t="s">
        <v>1</v>
      </c>
      <c r="AK481" s="209" t="s">
        <v>1</v>
      </c>
      <c r="AL481" s="198" t="s">
        <v>1</v>
      </c>
      <c r="AM481" s="234" t="s">
        <v>1</v>
      </c>
      <c r="AN481" s="199" t="s">
        <v>1</v>
      </c>
      <c r="AO481" s="199" t="s">
        <v>1</v>
      </c>
      <c r="AP481" s="198" t="s">
        <v>1</v>
      </c>
      <c r="AQ481" s="198" t="s">
        <v>1</v>
      </c>
      <c r="AR481" s="201" t="s">
        <v>1</v>
      </c>
      <c r="AS481" s="201" t="s">
        <v>1</v>
      </c>
      <c r="AT481" s="199" t="s">
        <v>1</v>
      </c>
      <c r="AU481" s="199" t="s">
        <v>1</v>
      </c>
      <c r="AV481" s="202" t="s">
        <v>1</v>
      </c>
      <c r="AW481" s="199" t="s">
        <v>1</v>
      </c>
    </row>
    <row r="482" spans="1:49" ht="30.15" customHeight="1" x14ac:dyDescent="0.25">
      <c r="A482" s="188" t="s">
        <v>18</v>
      </c>
      <c r="B482" s="189" t="s">
        <v>1</v>
      </c>
      <c r="C482" s="212" t="s">
        <v>34</v>
      </c>
      <c r="D482" s="190" t="s">
        <v>7</v>
      </c>
      <c r="E482" s="190" t="s">
        <v>486</v>
      </c>
      <c r="F482" s="203"/>
      <c r="G482" s="190" t="s">
        <v>487</v>
      </c>
      <c r="H482" s="192" t="s">
        <v>409</v>
      </c>
      <c r="I482" s="193">
        <v>229</v>
      </c>
      <c r="J482" s="193">
        <v>175</v>
      </c>
      <c r="K482" s="193">
        <v>229</v>
      </c>
      <c r="L482" s="194">
        <v>185</v>
      </c>
      <c r="M482" s="194">
        <v>185</v>
      </c>
      <c r="N482" s="195">
        <v>0</v>
      </c>
      <c r="O482" s="195" t="s">
        <v>1</v>
      </c>
      <c r="P482" s="195" t="s">
        <v>1</v>
      </c>
      <c r="Q482" s="195" t="s">
        <v>1</v>
      </c>
      <c r="R482" s="196" t="s">
        <v>1</v>
      </c>
      <c r="S482" s="197">
        <v>0</v>
      </c>
      <c r="T482" s="197" t="s">
        <v>1</v>
      </c>
      <c r="U482" s="197" t="s">
        <v>1</v>
      </c>
      <c r="V482" s="197" t="s">
        <v>1</v>
      </c>
      <c r="W482" s="196" t="s">
        <v>1</v>
      </c>
      <c r="X482" s="195">
        <v>0</v>
      </c>
      <c r="Y482" s="195" t="s">
        <v>1</v>
      </c>
      <c r="Z482" s="195" t="s">
        <v>1</v>
      </c>
      <c r="AA482" s="196" t="s">
        <v>1</v>
      </c>
      <c r="AB482" s="196" t="s">
        <v>1</v>
      </c>
      <c r="AC482" s="197">
        <v>0</v>
      </c>
      <c r="AD482" s="197" t="s">
        <v>1</v>
      </c>
      <c r="AE482" s="197" t="s">
        <v>1</v>
      </c>
      <c r="AF482" s="198" t="s">
        <v>1</v>
      </c>
      <c r="AG482" s="198" t="s">
        <v>1</v>
      </c>
      <c r="AH482" s="198">
        <v>0</v>
      </c>
      <c r="AI482" s="209" t="s">
        <v>1</v>
      </c>
      <c r="AJ482" s="209" t="s">
        <v>1</v>
      </c>
      <c r="AK482" s="209" t="s">
        <v>1</v>
      </c>
      <c r="AL482" s="198" t="s">
        <v>1</v>
      </c>
      <c r="AM482" s="234" t="s">
        <v>1</v>
      </c>
      <c r="AN482" s="199" t="s">
        <v>1</v>
      </c>
      <c r="AO482" s="199" t="s">
        <v>1</v>
      </c>
      <c r="AP482" s="198" t="s">
        <v>1</v>
      </c>
      <c r="AQ482" s="198" t="s">
        <v>1</v>
      </c>
      <c r="AR482" s="201" t="s">
        <v>1</v>
      </c>
      <c r="AS482" s="201" t="s">
        <v>1</v>
      </c>
      <c r="AT482" s="199" t="s">
        <v>1</v>
      </c>
      <c r="AU482" s="199" t="s">
        <v>1</v>
      </c>
      <c r="AV482" s="202" t="s">
        <v>1</v>
      </c>
      <c r="AW482" s="199" t="s">
        <v>1</v>
      </c>
    </row>
    <row r="483" spans="1:49" ht="30.15" customHeight="1" x14ac:dyDescent="0.25">
      <c r="A483" s="188" t="s">
        <v>18</v>
      </c>
      <c r="B483" s="189" t="s">
        <v>1</v>
      </c>
      <c r="C483" s="212" t="s">
        <v>34</v>
      </c>
      <c r="D483" s="190" t="s">
        <v>7</v>
      </c>
      <c r="E483" s="190" t="s">
        <v>544</v>
      </c>
      <c r="F483" s="203"/>
      <c r="G483" s="190" t="s">
        <v>539</v>
      </c>
      <c r="H483" s="192" t="s">
        <v>409</v>
      </c>
      <c r="I483" s="193">
        <v>1150</v>
      </c>
      <c r="J483" s="193">
        <v>1150</v>
      </c>
      <c r="K483" s="193">
        <v>1150</v>
      </c>
      <c r="L483" s="193">
        <v>1440</v>
      </c>
      <c r="M483" s="194">
        <v>1440</v>
      </c>
      <c r="N483" s="195">
        <v>0</v>
      </c>
      <c r="O483" s="195">
        <v>21.67</v>
      </c>
      <c r="P483" s="195">
        <v>24</v>
      </c>
      <c r="Q483" s="195" t="s">
        <v>1</v>
      </c>
      <c r="R483" s="196" t="s">
        <v>1253</v>
      </c>
      <c r="S483" s="197">
        <v>0</v>
      </c>
      <c r="T483" s="195">
        <v>21.67</v>
      </c>
      <c r="U483" s="195">
        <v>24</v>
      </c>
      <c r="V483" s="197" t="s">
        <v>1</v>
      </c>
      <c r="W483" s="196" t="s">
        <v>1253</v>
      </c>
      <c r="X483" s="195">
        <v>0</v>
      </c>
      <c r="Y483" s="195">
        <v>21.67</v>
      </c>
      <c r="Z483" s="195">
        <v>24</v>
      </c>
      <c r="AA483" s="196" t="s">
        <v>1</v>
      </c>
      <c r="AB483" s="196" t="s">
        <v>1</v>
      </c>
      <c r="AC483" s="197">
        <v>0</v>
      </c>
      <c r="AD483" s="197">
        <v>21.67</v>
      </c>
      <c r="AE483" s="197">
        <v>24</v>
      </c>
      <c r="AF483" s="198" t="s">
        <v>1</v>
      </c>
      <c r="AG483" s="198" t="s">
        <v>1</v>
      </c>
      <c r="AH483" s="198" t="s">
        <v>1</v>
      </c>
      <c r="AI483" s="209" t="s">
        <v>1</v>
      </c>
      <c r="AJ483" s="209" t="s">
        <v>1</v>
      </c>
      <c r="AK483" s="209" t="s">
        <v>1</v>
      </c>
      <c r="AL483" s="198" t="s">
        <v>1</v>
      </c>
      <c r="AM483" s="200" t="s">
        <v>1</v>
      </c>
      <c r="AN483" s="199" t="s">
        <v>1</v>
      </c>
      <c r="AO483" s="199" t="s">
        <v>1</v>
      </c>
      <c r="AP483" s="198" t="s">
        <v>1</v>
      </c>
      <c r="AQ483" s="198" t="s">
        <v>1</v>
      </c>
      <c r="AR483" s="201" t="s">
        <v>1</v>
      </c>
      <c r="AS483" s="201" t="s">
        <v>1</v>
      </c>
      <c r="AT483" s="199" t="s">
        <v>1</v>
      </c>
      <c r="AU483" s="199" t="s">
        <v>1</v>
      </c>
      <c r="AV483" s="202" t="s">
        <v>1</v>
      </c>
      <c r="AW483" s="199" t="s">
        <v>1</v>
      </c>
    </row>
    <row r="484" spans="1:49" ht="30.15" customHeight="1" x14ac:dyDescent="0.25">
      <c r="A484" s="188" t="s">
        <v>18</v>
      </c>
      <c r="B484" s="189" t="s">
        <v>1</v>
      </c>
      <c r="C484" s="212" t="s">
        <v>34</v>
      </c>
      <c r="D484" s="190" t="s">
        <v>7</v>
      </c>
      <c r="E484" s="190" t="s">
        <v>445</v>
      </c>
      <c r="F484" s="203"/>
      <c r="G484" s="190" t="s">
        <v>539</v>
      </c>
      <c r="H484" s="192" t="s">
        <v>409</v>
      </c>
      <c r="I484" s="193">
        <v>1150</v>
      </c>
      <c r="J484" s="193">
        <v>1150</v>
      </c>
      <c r="K484" s="193">
        <v>1150</v>
      </c>
      <c r="L484" s="193">
        <v>1440</v>
      </c>
      <c r="M484" s="194">
        <v>1440</v>
      </c>
      <c r="N484" s="195">
        <v>0</v>
      </c>
      <c r="O484" s="195">
        <v>21.67</v>
      </c>
      <c r="P484" s="195">
        <v>24</v>
      </c>
      <c r="Q484" s="195" t="s">
        <v>1</v>
      </c>
      <c r="R484" s="196" t="s">
        <v>1253</v>
      </c>
      <c r="S484" s="197">
        <v>0</v>
      </c>
      <c r="T484" s="195">
        <v>21.67</v>
      </c>
      <c r="U484" s="195">
        <v>24</v>
      </c>
      <c r="V484" s="197" t="s">
        <v>1</v>
      </c>
      <c r="W484" s="196" t="s">
        <v>1253</v>
      </c>
      <c r="X484" s="195">
        <v>0</v>
      </c>
      <c r="Y484" s="195">
        <v>21.67</v>
      </c>
      <c r="Z484" s="195">
        <v>24</v>
      </c>
      <c r="AA484" s="196" t="s">
        <v>1</v>
      </c>
      <c r="AB484" s="196" t="s">
        <v>1</v>
      </c>
      <c r="AC484" s="197">
        <v>0</v>
      </c>
      <c r="AD484" s="197">
        <v>21.67</v>
      </c>
      <c r="AE484" s="197">
        <v>24</v>
      </c>
      <c r="AF484" s="198" t="s">
        <v>1</v>
      </c>
      <c r="AG484" s="198" t="s">
        <v>1</v>
      </c>
      <c r="AH484" s="198" t="s">
        <v>1</v>
      </c>
      <c r="AI484" s="209" t="s">
        <v>1</v>
      </c>
      <c r="AJ484" s="209" t="s">
        <v>1</v>
      </c>
      <c r="AK484" s="209" t="s">
        <v>1</v>
      </c>
      <c r="AL484" s="198" t="s">
        <v>1</v>
      </c>
      <c r="AM484" s="200" t="s">
        <v>1</v>
      </c>
      <c r="AN484" s="199" t="s">
        <v>1</v>
      </c>
      <c r="AO484" s="199" t="s">
        <v>1</v>
      </c>
      <c r="AP484" s="198" t="s">
        <v>1</v>
      </c>
      <c r="AQ484" s="198" t="s">
        <v>1</v>
      </c>
      <c r="AR484" s="201" t="s">
        <v>1</v>
      </c>
      <c r="AS484" s="201" t="s">
        <v>1</v>
      </c>
      <c r="AT484" s="199" t="s">
        <v>1</v>
      </c>
      <c r="AU484" s="199" t="s">
        <v>1</v>
      </c>
      <c r="AV484" s="202" t="s">
        <v>1</v>
      </c>
      <c r="AW484" s="199" t="s">
        <v>1</v>
      </c>
    </row>
    <row r="485" spans="1:49" ht="30.15" customHeight="1" x14ac:dyDescent="0.25">
      <c r="A485" s="188" t="s">
        <v>18</v>
      </c>
      <c r="B485" s="189" t="s">
        <v>1</v>
      </c>
      <c r="C485" s="212" t="s">
        <v>34</v>
      </c>
      <c r="D485" s="190" t="s">
        <v>7</v>
      </c>
      <c r="E485" s="190" t="s">
        <v>538</v>
      </c>
      <c r="F485" s="203"/>
      <c r="G485" s="190" t="s">
        <v>540</v>
      </c>
      <c r="H485" s="192" t="s">
        <v>541</v>
      </c>
      <c r="I485" s="193">
        <v>1550</v>
      </c>
      <c r="J485" s="193">
        <v>1440</v>
      </c>
      <c r="K485" s="193">
        <v>1550</v>
      </c>
      <c r="L485" s="193">
        <v>1510</v>
      </c>
      <c r="M485" s="194">
        <v>1510</v>
      </c>
      <c r="N485" s="195">
        <v>0</v>
      </c>
      <c r="O485" s="195" t="s">
        <v>1</v>
      </c>
      <c r="P485" s="195" t="s">
        <v>1</v>
      </c>
      <c r="Q485" s="195" t="s">
        <v>1</v>
      </c>
      <c r="R485" s="196" t="s">
        <v>1256</v>
      </c>
      <c r="S485" s="197">
        <v>0</v>
      </c>
      <c r="T485" s="195" t="s">
        <v>1</v>
      </c>
      <c r="U485" s="195" t="s">
        <v>1</v>
      </c>
      <c r="V485" s="197" t="s">
        <v>1</v>
      </c>
      <c r="W485" s="196" t="s">
        <v>1256</v>
      </c>
      <c r="X485" s="195">
        <v>0</v>
      </c>
      <c r="Y485" s="195" t="s">
        <v>1</v>
      </c>
      <c r="Z485" s="195" t="s">
        <v>1</v>
      </c>
      <c r="AA485" s="196" t="s">
        <v>1</v>
      </c>
      <c r="AB485" s="196" t="s">
        <v>1</v>
      </c>
      <c r="AC485" s="197">
        <v>0</v>
      </c>
      <c r="AD485" s="197" t="s">
        <v>1</v>
      </c>
      <c r="AE485" s="197" t="s">
        <v>1</v>
      </c>
      <c r="AF485" s="198" t="s">
        <v>1</v>
      </c>
      <c r="AG485" s="198" t="s">
        <v>1</v>
      </c>
      <c r="AH485" s="198" t="s">
        <v>1</v>
      </c>
      <c r="AI485" s="209" t="s">
        <v>1</v>
      </c>
      <c r="AJ485" s="209" t="s">
        <v>1</v>
      </c>
      <c r="AK485" s="209" t="s">
        <v>1</v>
      </c>
      <c r="AL485" s="198" t="s">
        <v>1</v>
      </c>
      <c r="AM485" s="200" t="s">
        <v>1</v>
      </c>
      <c r="AN485" s="199" t="s">
        <v>1</v>
      </c>
      <c r="AO485" s="199" t="s">
        <v>1</v>
      </c>
      <c r="AP485" s="198" t="s">
        <v>1</v>
      </c>
      <c r="AQ485" s="198" t="s">
        <v>1</v>
      </c>
      <c r="AR485" s="201" t="s">
        <v>1</v>
      </c>
      <c r="AS485" s="201" t="s">
        <v>1</v>
      </c>
      <c r="AT485" s="199" t="s">
        <v>1</v>
      </c>
      <c r="AU485" s="199" t="s">
        <v>1</v>
      </c>
      <c r="AV485" s="202" t="s">
        <v>1</v>
      </c>
      <c r="AW485" s="199" t="s">
        <v>1</v>
      </c>
    </row>
    <row r="486" spans="1:49" ht="30.15" customHeight="1" x14ac:dyDescent="0.25">
      <c r="A486" s="188" t="s">
        <v>18</v>
      </c>
      <c r="B486" s="189" t="s">
        <v>1</v>
      </c>
      <c r="C486" s="212" t="s">
        <v>34</v>
      </c>
      <c r="D486" s="190" t="s">
        <v>7</v>
      </c>
      <c r="E486" s="190" t="s">
        <v>642</v>
      </c>
      <c r="F486" s="203"/>
      <c r="G486" s="190" t="s">
        <v>649</v>
      </c>
      <c r="H486" s="192" t="s">
        <v>409</v>
      </c>
      <c r="I486" s="193">
        <v>1380</v>
      </c>
      <c r="J486" s="193">
        <v>1380</v>
      </c>
      <c r="K486" s="193">
        <v>1380</v>
      </c>
      <c r="L486" s="193">
        <v>1518</v>
      </c>
      <c r="M486" s="194">
        <v>1518</v>
      </c>
      <c r="N486" s="195">
        <v>0</v>
      </c>
      <c r="O486" s="195">
        <v>2.42</v>
      </c>
      <c r="P486" s="195">
        <v>24</v>
      </c>
      <c r="Q486" s="226">
        <v>290</v>
      </c>
      <c r="R486" s="227" t="s">
        <v>1254</v>
      </c>
      <c r="S486" s="197">
        <v>0</v>
      </c>
      <c r="T486" s="195">
        <v>2.42</v>
      </c>
      <c r="U486" s="195">
        <v>24</v>
      </c>
      <c r="V486" s="235">
        <v>290</v>
      </c>
      <c r="W486" s="227" t="s">
        <v>1254</v>
      </c>
      <c r="X486" s="195">
        <v>0</v>
      </c>
      <c r="Y486" s="195">
        <v>13.25</v>
      </c>
      <c r="Z486" s="195">
        <v>24</v>
      </c>
      <c r="AA486" s="196">
        <v>290</v>
      </c>
      <c r="AB486" s="196" t="s">
        <v>1</v>
      </c>
      <c r="AC486" s="197">
        <v>0</v>
      </c>
      <c r="AD486" s="195">
        <v>13.25</v>
      </c>
      <c r="AE486" s="197">
        <v>24</v>
      </c>
      <c r="AF486" s="198">
        <v>290</v>
      </c>
      <c r="AG486" s="198" t="s">
        <v>1</v>
      </c>
      <c r="AH486" s="198" t="s">
        <v>1</v>
      </c>
      <c r="AI486" s="209" t="s">
        <v>1</v>
      </c>
      <c r="AJ486" s="209" t="s">
        <v>1</v>
      </c>
      <c r="AK486" s="209" t="s">
        <v>1</v>
      </c>
      <c r="AL486" s="198" t="s">
        <v>1</v>
      </c>
      <c r="AM486" s="200" t="s">
        <v>1</v>
      </c>
      <c r="AN486" s="199" t="s">
        <v>1</v>
      </c>
      <c r="AO486" s="199" t="s">
        <v>1</v>
      </c>
      <c r="AP486" s="198" t="s">
        <v>1</v>
      </c>
      <c r="AQ486" s="198" t="s">
        <v>1</v>
      </c>
      <c r="AR486" s="201" t="s">
        <v>1</v>
      </c>
      <c r="AS486" s="201" t="s">
        <v>1</v>
      </c>
      <c r="AT486" s="199" t="s">
        <v>1</v>
      </c>
      <c r="AU486" s="199" t="s">
        <v>1</v>
      </c>
      <c r="AV486" s="202" t="s">
        <v>1</v>
      </c>
      <c r="AW486" s="199" t="s">
        <v>1</v>
      </c>
    </row>
    <row r="487" spans="1:49" ht="30.15" customHeight="1" x14ac:dyDescent="0.25">
      <c r="A487" s="188" t="s">
        <v>18</v>
      </c>
      <c r="B487" s="189" t="s">
        <v>1</v>
      </c>
      <c r="C487" s="212" t="s">
        <v>34</v>
      </c>
      <c r="D487" s="190" t="s">
        <v>7</v>
      </c>
      <c r="E487" s="190" t="s">
        <v>643</v>
      </c>
      <c r="F487" s="203"/>
      <c r="G487" s="190" t="s">
        <v>649</v>
      </c>
      <c r="H487" s="192" t="s">
        <v>409</v>
      </c>
      <c r="I487" s="193">
        <v>1380</v>
      </c>
      <c r="J487" s="193">
        <v>1380</v>
      </c>
      <c r="K487" s="193">
        <v>1380</v>
      </c>
      <c r="L487" s="193">
        <v>1518</v>
      </c>
      <c r="M487" s="194">
        <v>1518</v>
      </c>
      <c r="N487" s="195">
        <v>0</v>
      </c>
      <c r="O487" s="195">
        <v>2.42</v>
      </c>
      <c r="P487" s="195">
        <v>24</v>
      </c>
      <c r="Q487" s="226">
        <v>290</v>
      </c>
      <c r="R487" s="227" t="s">
        <v>1254</v>
      </c>
      <c r="S487" s="197">
        <v>0</v>
      </c>
      <c r="T487" s="195">
        <v>2.42</v>
      </c>
      <c r="U487" s="195">
        <v>24</v>
      </c>
      <c r="V487" s="235">
        <v>290</v>
      </c>
      <c r="W487" s="227" t="s">
        <v>1254</v>
      </c>
      <c r="X487" s="195">
        <v>0</v>
      </c>
      <c r="Y487" s="195">
        <v>13.25</v>
      </c>
      <c r="Z487" s="195">
        <v>24</v>
      </c>
      <c r="AA487" s="196">
        <v>290</v>
      </c>
      <c r="AB487" s="196" t="s">
        <v>1</v>
      </c>
      <c r="AC487" s="197">
        <v>0</v>
      </c>
      <c r="AD487" s="195">
        <v>13.25</v>
      </c>
      <c r="AE487" s="197">
        <v>24</v>
      </c>
      <c r="AF487" s="198">
        <v>290</v>
      </c>
      <c r="AG487" s="198" t="s">
        <v>1</v>
      </c>
      <c r="AH487" s="198" t="s">
        <v>1</v>
      </c>
      <c r="AI487" s="209" t="s">
        <v>1</v>
      </c>
      <c r="AJ487" s="209" t="s">
        <v>1</v>
      </c>
      <c r="AK487" s="209" t="s">
        <v>1</v>
      </c>
      <c r="AL487" s="198" t="s">
        <v>1</v>
      </c>
      <c r="AM487" s="200" t="s">
        <v>1</v>
      </c>
      <c r="AN487" s="199" t="s">
        <v>1</v>
      </c>
      <c r="AO487" s="199" t="s">
        <v>1</v>
      </c>
      <c r="AP487" s="198" t="s">
        <v>1</v>
      </c>
      <c r="AQ487" s="198" t="s">
        <v>1</v>
      </c>
      <c r="AR487" s="201" t="s">
        <v>1</v>
      </c>
      <c r="AS487" s="201" t="s">
        <v>1</v>
      </c>
      <c r="AT487" s="199" t="s">
        <v>1</v>
      </c>
      <c r="AU487" s="199" t="s">
        <v>1</v>
      </c>
      <c r="AV487" s="202" t="s">
        <v>1</v>
      </c>
      <c r="AW487" s="199" t="s">
        <v>1</v>
      </c>
    </row>
    <row r="488" spans="1:49" ht="30.15" customHeight="1" x14ac:dyDescent="0.25">
      <c r="A488" s="236" t="s">
        <v>18</v>
      </c>
      <c r="B488" s="237" t="s">
        <v>1</v>
      </c>
      <c r="C488" s="238" t="s">
        <v>34</v>
      </c>
      <c r="D488" s="190" t="s">
        <v>7</v>
      </c>
      <c r="E488" s="190" t="s">
        <v>648</v>
      </c>
      <c r="F488" s="203"/>
      <c r="G488" s="190" t="s">
        <v>649</v>
      </c>
      <c r="H488" s="219" t="s">
        <v>7</v>
      </c>
      <c r="I488" s="220">
        <v>1380</v>
      </c>
      <c r="J488" s="220">
        <v>1380</v>
      </c>
      <c r="K488" s="220">
        <v>1380</v>
      </c>
      <c r="L488" s="220">
        <v>1518</v>
      </c>
      <c r="M488" s="220">
        <v>1518</v>
      </c>
      <c r="N488" s="221">
        <v>0</v>
      </c>
      <c r="O488" s="195">
        <v>2.42</v>
      </c>
      <c r="P488" s="195">
        <v>24</v>
      </c>
      <c r="Q488" s="226">
        <v>290</v>
      </c>
      <c r="R488" s="228" t="s">
        <v>1254</v>
      </c>
      <c r="S488" s="221">
        <v>0</v>
      </c>
      <c r="T488" s="195">
        <v>2.42</v>
      </c>
      <c r="U488" s="195">
        <v>24</v>
      </c>
      <c r="V488" s="235">
        <v>290</v>
      </c>
      <c r="W488" s="239" t="s">
        <v>1254</v>
      </c>
      <c r="X488" s="221">
        <v>0</v>
      </c>
      <c r="Y488" s="195">
        <v>13.25</v>
      </c>
      <c r="Z488" s="195">
        <v>24</v>
      </c>
      <c r="AA488" s="222">
        <v>290</v>
      </c>
      <c r="AB488" s="222" t="s">
        <v>1</v>
      </c>
      <c r="AC488" s="221">
        <v>0</v>
      </c>
      <c r="AD488" s="195">
        <v>13.25</v>
      </c>
      <c r="AE488" s="197">
        <v>24</v>
      </c>
      <c r="AF488" s="198">
        <v>290</v>
      </c>
      <c r="AG488" s="198" t="s">
        <v>1</v>
      </c>
      <c r="AH488" s="221" t="s">
        <v>1</v>
      </c>
      <c r="AI488" s="209" t="s">
        <v>1</v>
      </c>
      <c r="AJ488" s="209" t="s">
        <v>1</v>
      </c>
      <c r="AK488" s="209" t="s">
        <v>1</v>
      </c>
      <c r="AL488" s="221" t="s">
        <v>1</v>
      </c>
      <c r="AM488" s="240" t="s">
        <v>1</v>
      </c>
      <c r="AN488" s="199" t="s">
        <v>1</v>
      </c>
      <c r="AO488" s="199" t="s">
        <v>1</v>
      </c>
      <c r="AP488" s="221" t="s">
        <v>1</v>
      </c>
      <c r="AQ488" s="221" t="s">
        <v>1</v>
      </c>
      <c r="AR488" s="201" t="s">
        <v>1</v>
      </c>
      <c r="AS488" s="201" t="s">
        <v>1</v>
      </c>
      <c r="AT488" s="199" t="s">
        <v>1</v>
      </c>
      <c r="AU488" s="199" t="s">
        <v>1</v>
      </c>
      <c r="AV488" s="202" t="s">
        <v>1</v>
      </c>
      <c r="AW488" s="199" t="s">
        <v>1</v>
      </c>
    </row>
    <row r="489" spans="1:49" ht="30.15" customHeight="1" x14ac:dyDescent="0.25">
      <c r="A489" s="236" t="s">
        <v>18</v>
      </c>
      <c r="B489" s="237" t="s">
        <v>1</v>
      </c>
      <c r="C489" s="238" t="s">
        <v>34</v>
      </c>
      <c r="D489" s="190" t="s">
        <v>7</v>
      </c>
      <c r="E489" s="190" t="s">
        <v>650</v>
      </c>
      <c r="F489" s="203"/>
      <c r="G489" s="190" t="s">
        <v>651</v>
      </c>
      <c r="H489" s="219" t="s">
        <v>7</v>
      </c>
      <c r="I489" s="220">
        <v>1510</v>
      </c>
      <c r="J489" s="220">
        <v>1510</v>
      </c>
      <c r="K489" s="220">
        <v>1510</v>
      </c>
      <c r="L489" s="220">
        <v>1600</v>
      </c>
      <c r="M489" s="220">
        <v>1600</v>
      </c>
      <c r="N489" s="221">
        <v>0</v>
      </c>
      <c r="O489" s="195" t="s">
        <v>1</v>
      </c>
      <c r="P489" s="195" t="s">
        <v>1</v>
      </c>
      <c r="Q489" s="195" t="s">
        <v>1</v>
      </c>
      <c r="R489" s="222" t="s">
        <v>1256</v>
      </c>
      <c r="S489" s="221">
        <v>0</v>
      </c>
      <c r="T489" s="197" t="s">
        <v>1</v>
      </c>
      <c r="U489" s="197" t="s">
        <v>1</v>
      </c>
      <c r="V489" s="197" t="s">
        <v>1</v>
      </c>
      <c r="W489" s="216" t="s">
        <v>1256</v>
      </c>
      <c r="X489" s="221">
        <v>0</v>
      </c>
      <c r="Y489" s="195" t="s">
        <v>1</v>
      </c>
      <c r="Z489" s="195" t="s">
        <v>1</v>
      </c>
      <c r="AA489" s="222" t="s">
        <v>1</v>
      </c>
      <c r="AB489" s="222" t="s">
        <v>1</v>
      </c>
      <c r="AC489" s="221">
        <v>0</v>
      </c>
      <c r="AD489" s="197" t="s">
        <v>1</v>
      </c>
      <c r="AE489" s="197" t="s">
        <v>1</v>
      </c>
      <c r="AF489" s="198" t="s">
        <v>1</v>
      </c>
      <c r="AG489" s="198" t="s">
        <v>1</v>
      </c>
      <c r="AH489" s="221" t="s">
        <v>1</v>
      </c>
      <c r="AI489" s="209" t="s">
        <v>1</v>
      </c>
      <c r="AJ489" s="209" t="s">
        <v>1</v>
      </c>
      <c r="AK489" s="209" t="s">
        <v>1</v>
      </c>
      <c r="AL489" s="221" t="s">
        <v>1</v>
      </c>
      <c r="AM489" s="240" t="s">
        <v>1</v>
      </c>
      <c r="AN489" s="199" t="s">
        <v>1</v>
      </c>
      <c r="AO489" s="199" t="s">
        <v>1</v>
      </c>
      <c r="AP489" s="221" t="s">
        <v>1</v>
      </c>
      <c r="AQ489" s="221" t="s">
        <v>1</v>
      </c>
      <c r="AR489" s="201" t="s">
        <v>1</v>
      </c>
      <c r="AS489" s="201" t="s">
        <v>1</v>
      </c>
      <c r="AT489" s="199" t="s">
        <v>1</v>
      </c>
      <c r="AU489" s="199" t="s">
        <v>1</v>
      </c>
      <c r="AV489" s="202" t="s">
        <v>1</v>
      </c>
      <c r="AW489" s="199" t="s">
        <v>1</v>
      </c>
    </row>
    <row r="490" spans="1:49" ht="30.15" customHeight="1" x14ac:dyDescent="0.25">
      <c r="A490" s="236" t="s">
        <v>18</v>
      </c>
      <c r="B490" s="237" t="s">
        <v>1</v>
      </c>
      <c r="C490" s="238" t="s">
        <v>34</v>
      </c>
      <c r="D490" s="241" t="s">
        <v>7</v>
      </c>
      <c r="E490" s="241" t="s">
        <v>652</v>
      </c>
      <c r="F490" s="242"/>
      <c r="G490" s="241" t="s">
        <v>646</v>
      </c>
      <c r="H490" s="219" t="s">
        <v>7</v>
      </c>
      <c r="I490" s="220">
        <v>1190</v>
      </c>
      <c r="J490" s="220">
        <v>1190</v>
      </c>
      <c r="K490" s="220">
        <v>1190</v>
      </c>
      <c r="L490" s="220">
        <v>1260</v>
      </c>
      <c r="M490" s="220">
        <v>1260</v>
      </c>
      <c r="N490" s="221">
        <v>0</v>
      </c>
      <c r="O490" s="195" t="s">
        <v>1</v>
      </c>
      <c r="P490" s="195" t="s">
        <v>1</v>
      </c>
      <c r="Q490" s="195" t="s">
        <v>1</v>
      </c>
      <c r="R490" s="222" t="s">
        <v>1255</v>
      </c>
      <c r="S490" s="221">
        <v>0</v>
      </c>
      <c r="T490" s="195" t="s">
        <v>1</v>
      </c>
      <c r="U490" s="195" t="s">
        <v>1</v>
      </c>
      <c r="V490" s="197" t="s">
        <v>1</v>
      </c>
      <c r="W490" s="216" t="s">
        <v>1255</v>
      </c>
      <c r="X490" s="221">
        <v>0</v>
      </c>
      <c r="Y490" s="195">
        <v>10.84</v>
      </c>
      <c r="Z490" s="195">
        <v>24</v>
      </c>
      <c r="AA490" s="222" t="s">
        <v>1</v>
      </c>
      <c r="AB490" s="222" t="s">
        <v>1</v>
      </c>
      <c r="AC490" s="221">
        <v>0</v>
      </c>
      <c r="AD490" s="195">
        <v>10.84</v>
      </c>
      <c r="AE490" s="195">
        <v>24</v>
      </c>
      <c r="AF490" s="198" t="s">
        <v>1</v>
      </c>
      <c r="AG490" s="198" t="s">
        <v>1</v>
      </c>
      <c r="AH490" s="221" t="s">
        <v>1</v>
      </c>
      <c r="AI490" s="209" t="s">
        <v>1</v>
      </c>
      <c r="AJ490" s="209" t="s">
        <v>1</v>
      </c>
      <c r="AK490" s="209" t="s">
        <v>1</v>
      </c>
      <c r="AL490" s="221" t="s">
        <v>1</v>
      </c>
      <c r="AM490" s="240" t="s">
        <v>1</v>
      </c>
      <c r="AN490" s="199" t="s">
        <v>1</v>
      </c>
      <c r="AO490" s="199" t="s">
        <v>1</v>
      </c>
      <c r="AP490" s="221" t="s">
        <v>1</v>
      </c>
      <c r="AQ490" s="221" t="s">
        <v>1</v>
      </c>
      <c r="AR490" s="201" t="s">
        <v>1</v>
      </c>
      <c r="AS490" s="201" t="s">
        <v>1</v>
      </c>
      <c r="AT490" s="199" t="s">
        <v>1</v>
      </c>
      <c r="AU490" s="199" t="s">
        <v>1</v>
      </c>
      <c r="AV490" s="202" t="s">
        <v>1</v>
      </c>
      <c r="AW490" s="199" t="s">
        <v>1</v>
      </c>
    </row>
    <row r="491" spans="1:49" ht="30.15" customHeight="1" x14ac:dyDescent="0.25">
      <c r="A491" s="188" t="s">
        <v>18</v>
      </c>
      <c r="B491" s="189" t="s">
        <v>1</v>
      </c>
      <c r="C491" s="212" t="s">
        <v>34</v>
      </c>
      <c r="D491" s="241" t="s">
        <v>7</v>
      </c>
      <c r="E491" s="241" t="s">
        <v>644</v>
      </c>
      <c r="F491" s="242"/>
      <c r="G491" s="241" t="s">
        <v>646</v>
      </c>
      <c r="H491" s="192" t="s">
        <v>647</v>
      </c>
      <c r="I491" s="193">
        <v>1190</v>
      </c>
      <c r="J491" s="193">
        <v>1190</v>
      </c>
      <c r="K491" s="193">
        <v>1190</v>
      </c>
      <c r="L491" s="193">
        <v>1260</v>
      </c>
      <c r="M491" s="194">
        <v>1260</v>
      </c>
      <c r="N491" s="195">
        <v>0</v>
      </c>
      <c r="O491" s="195" t="s">
        <v>1</v>
      </c>
      <c r="P491" s="195" t="s">
        <v>1</v>
      </c>
      <c r="Q491" s="195" t="s">
        <v>1</v>
      </c>
      <c r="R491" s="196" t="s">
        <v>1255</v>
      </c>
      <c r="S491" s="197">
        <v>0</v>
      </c>
      <c r="T491" s="195" t="s">
        <v>1</v>
      </c>
      <c r="U491" s="195" t="s">
        <v>1</v>
      </c>
      <c r="V491" s="197" t="s">
        <v>1</v>
      </c>
      <c r="W491" s="196" t="s">
        <v>1255</v>
      </c>
      <c r="X491" s="195">
        <v>0</v>
      </c>
      <c r="Y491" s="195">
        <v>10.84</v>
      </c>
      <c r="Z491" s="195">
        <v>24</v>
      </c>
      <c r="AA491" s="196" t="s">
        <v>1</v>
      </c>
      <c r="AB491" s="196" t="s">
        <v>1</v>
      </c>
      <c r="AC491" s="197">
        <v>0</v>
      </c>
      <c r="AD491" s="195">
        <v>10.84</v>
      </c>
      <c r="AE491" s="195">
        <v>24</v>
      </c>
      <c r="AF491" s="198" t="s">
        <v>1</v>
      </c>
      <c r="AG491" s="198" t="s">
        <v>1</v>
      </c>
      <c r="AH491" s="198" t="s">
        <v>1</v>
      </c>
      <c r="AI491" s="209" t="s">
        <v>1</v>
      </c>
      <c r="AJ491" s="209" t="s">
        <v>1</v>
      </c>
      <c r="AK491" s="209" t="s">
        <v>1</v>
      </c>
      <c r="AL491" s="198" t="s">
        <v>1</v>
      </c>
      <c r="AM491" s="200" t="s">
        <v>1</v>
      </c>
      <c r="AN491" s="199" t="s">
        <v>1</v>
      </c>
      <c r="AO491" s="199" t="s">
        <v>1</v>
      </c>
      <c r="AP491" s="198" t="s">
        <v>1</v>
      </c>
      <c r="AQ491" s="198" t="s">
        <v>1</v>
      </c>
      <c r="AR491" s="201" t="s">
        <v>1</v>
      </c>
      <c r="AS491" s="201" t="s">
        <v>1</v>
      </c>
      <c r="AT491" s="199" t="s">
        <v>1</v>
      </c>
      <c r="AU491" s="199" t="s">
        <v>1</v>
      </c>
      <c r="AV491" s="202" t="s">
        <v>1</v>
      </c>
      <c r="AW491" s="199" t="s">
        <v>1</v>
      </c>
    </row>
    <row r="492" spans="1:49" ht="30.15" customHeight="1" x14ac:dyDescent="0.25">
      <c r="A492" s="188" t="s">
        <v>18</v>
      </c>
      <c r="B492" s="189" t="s">
        <v>1</v>
      </c>
      <c r="C492" s="212" t="s">
        <v>34</v>
      </c>
      <c r="D492" s="241" t="s">
        <v>7</v>
      </c>
      <c r="E492" s="241" t="s">
        <v>645</v>
      </c>
      <c r="F492" s="242"/>
      <c r="G492" s="241" t="s">
        <v>646</v>
      </c>
      <c r="H492" s="192" t="s">
        <v>647</v>
      </c>
      <c r="I492" s="193">
        <v>1190</v>
      </c>
      <c r="J492" s="193">
        <v>1190</v>
      </c>
      <c r="K492" s="193">
        <v>1190</v>
      </c>
      <c r="L492" s="193">
        <v>1260</v>
      </c>
      <c r="M492" s="194">
        <v>1260</v>
      </c>
      <c r="N492" s="195">
        <v>0</v>
      </c>
      <c r="O492" s="195" t="s">
        <v>1</v>
      </c>
      <c r="P492" s="195" t="s">
        <v>1</v>
      </c>
      <c r="Q492" s="195" t="s">
        <v>1</v>
      </c>
      <c r="R492" s="196" t="s">
        <v>1255</v>
      </c>
      <c r="S492" s="197">
        <v>0</v>
      </c>
      <c r="T492" s="195" t="s">
        <v>1</v>
      </c>
      <c r="U492" s="195" t="s">
        <v>1</v>
      </c>
      <c r="V492" s="197" t="s">
        <v>1</v>
      </c>
      <c r="W492" s="196" t="s">
        <v>1255</v>
      </c>
      <c r="X492" s="195">
        <v>0</v>
      </c>
      <c r="Y492" s="195">
        <v>10.84</v>
      </c>
      <c r="Z492" s="195">
        <v>24</v>
      </c>
      <c r="AA492" s="196" t="s">
        <v>1</v>
      </c>
      <c r="AB492" s="196" t="s">
        <v>1</v>
      </c>
      <c r="AC492" s="197">
        <v>0</v>
      </c>
      <c r="AD492" s="195">
        <v>10.84</v>
      </c>
      <c r="AE492" s="195">
        <v>24</v>
      </c>
      <c r="AF492" s="198" t="s">
        <v>1</v>
      </c>
      <c r="AG492" s="198" t="s">
        <v>1</v>
      </c>
      <c r="AH492" s="198" t="s">
        <v>1</v>
      </c>
      <c r="AI492" s="209" t="s">
        <v>1</v>
      </c>
      <c r="AJ492" s="209" t="s">
        <v>1</v>
      </c>
      <c r="AK492" s="209" t="s">
        <v>1</v>
      </c>
      <c r="AL492" s="198" t="s">
        <v>1</v>
      </c>
      <c r="AM492" s="200" t="s">
        <v>1</v>
      </c>
      <c r="AN492" s="199" t="s">
        <v>1</v>
      </c>
      <c r="AO492" s="199" t="s">
        <v>1</v>
      </c>
      <c r="AP492" s="198" t="s">
        <v>1</v>
      </c>
      <c r="AQ492" s="198" t="s">
        <v>1</v>
      </c>
      <c r="AR492" s="201" t="s">
        <v>1</v>
      </c>
      <c r="AS492" s="201" t="s">
        <v>1</v>
      </c>
      <c r="AT492" s="199" t="s">
        <v>1</v>
      </c>
      <c r="AU492" s="199" t="s">
        <v>1</v>
      </c>
      <c r="AV492" s="202" t="s">
        <v>1</v>
      </c>
      <c r="AW492" s="199" t="s">
        <v>1</v>
      </c>
    </row>
    <row r="493" spans="1:49" ht="30.15" customHeight="1" x14ac:dyDescent="0.25">
      <c r="A493" s="188" t="s">
        <v>18</v>
      </c>
      <c r="B493" s="189" t="s">
        <v>1</v>
      </c>
      <c r="C493" s="212" t="s">
        <v>34</v>
      </c>
      <c r="D493" s="190" t="s">
        <v>7</v>
      </c>
      <c r="E493" s="190" t="s">
        <v>918</v>
      </c>
      <c r="F493" s="203"/>
      <c r="G493" s="190" t="s">
        <v>919</v>
      </c>
      <c r="H493" s="192" t="s">
        <v>409</v>
      </c>
      <c r="I493" s="193">
        <v>1729</v>
      </c>
      <c r="J493" s="193">
        <v>1729</v>
      </c>
      <c r="K493" s="193">
        <v>1729</v>
      </c>
      <c r="L493" s="193">
        <v>2250</v>
      </c>
      <c r="M493" s="194">
        <v>2250</v>
      </c>
      <c r="N493" s="195">
        <v>0</v>
      </c>
      <c r="O493" s="196">
        <v>17.920000000000002</v>
      </c>
      <c r="P493" s="195">
        <v>24</v>
      </c>
      <c r="Q493" s="195">
        <v>380</v>
      </c>
      <c r="R493" s="196" t="s">
        <v>1255</v>
      </c>
      <c r="S493" s="197">
        <v>0</v>
      </c>
      <c r="T493" s="196">
        <v>17.920000000000002</v>
      </c>
      <c r="U493" s="196">
        <v>24</v>
      </c>
      <c r="V493" s="195">
        <v>380</v>
      </c>
      <c r="W493" s="195" t="s">
        <v>1255</v>
      </c>
      <c r="X493" s="195">
        <v>0</v>
      </c>
      <c r="Y493" s="196">
        <v>39.42</v>
      </c>
      <c r="Z493" s="195">
        <v>24</v>
      </c>
      <c r="AA493" s="195">
        <v>380</v>
      </c>
      <c r="AB493" s="196" t="s">
        <v>1</v>
      </c>
      <c r="AC493" s="197">
        <v>0</v>
      </c>
      <c r="AD493" s="196">
        <v>39.42</v>
      </c>
      <c r="AE493" s="197">
        <v>24</v>
      </c>
      <c r="AF493" s="195">
        <v>380</v>
      </c>
      <c r="AG493" s="222" t="s">
        <v>1</v>
      </c>
      <c r="AH493" s="198" t="s">
        <v>1</v>
      </c>
      <c r="AI493" s="209" t="s">
        <v>1</v>
      </c>
      <c r="AJ493" s="209" t="s">
        <v>1</v>
      </c>
      <c r="AK493" s="209" t="s">
        <v>1</v>
      </c>
      <c r="AL493" s="198" t="s">
        <v>1</v>
      </c>
      <c r="AM493" s="200" t="s">
        <v>1</v>
      </c>
      <c r="AN493" s="199" t="s">
        <v>1</v>
      </c>
      <c r="AO493" s="199" t="s">
        <v>1</v>
      </c>
      <c r="AP493" s="198" t="s">
        <v>1</v>
      </c>
      <c r="AQ493" s="198" t="s">
        <v>1</v>
      </c>
      <c r="AR493" s="201" t="s">
        <v>1</v>
      </c>
      <c r="AS493" s="201" t="s">
        <v>1</v>
      </c>
      <c r="AT493" s="199" t="s">
        <v>1</v>
      </c>
      <c r="AU493" s="199" t="s">
        <v>1</v>
      </c>
      <c r="AV493" s="202" t="s">
        <v>1</v>
      </c>
      <c r="AW493" s="199" t="s">
        <v>1</v>
      </c>
    </row>
    <row r="494" spans="1:49" ht="30.15" customHeight="1" x14ac:dyDescent="0.25">
      <c r="A494" s="188" t="s">
        <v>18</v>
      </c>
      <c r="B494" s="189" t="s">
        <v>1</v>
      </c>
      <c r="C494" s="212" t="s">
        <v>34</v>
      </c>
      <c r="D494" s="190" t="s">
        <v>7</v>
      </c>
      <c r="E494" s="190" t="s">
        <v>920</v>
      </c>
      <c r="F494" s="203"/>
      <c r="G494" s="190" t="s">
        <v>919</v>
      </c>
      <c r="H494" s="192" t="s">
        <v>409</v>
      </c>
      <c r="I494" s="193">
        <v>1729</v>
      </c>
      <c r="J494" s="193">
        <v>1729</v>
      </c>
      <c r="K494" s="193">
        <v>1729</v>
      </c>
      <c r="L494" s="193">
        <v>2250</v>
      </c>
      <c r="M494" s="194">
        <v>2250</v>
      </c>
      <c r="N494" s="195">
        <v>0</v>
      </c>
      <c r="O494" s="196">
        <v>17.920000000000002</v>
      </c>
      <c r="P494" s="195">
        <v>24</v>
      </c>
      <c r="Q494" s="195">
        <v>380</v>
      </c>
      <c r="R494" s="196" t="s">
        <v>1255</v>
      </c>
      <c r="S494" s="197">
        <v>0</v>
      </c>
      <c r="T494" s="196">
        <v>17.920000000000002</v>
      </c>
      <c r="U494" s="196">
        <v>24</v>
      </c>
      <c r="V494" s="195">
        <v>380</v>
      </c>
      <c r="W494" s="195" t="s">
        <v>1255</v>
      </c>
      <c r="X494" s="195">
        <v>0</v>
      </c>
      <c r="Y494" s="196">
        <v>39.42</v>
      </c>
      <c r="Z494" s="195">
        <v>24</v>
      </c>
      <c r="AA494" s="195">
        <v>380</v>
      </c>
      <c r="AB494" s="196" t="s">
        <v>1</v>
      </c>
      <c r="AC494" s="197">
        <v>0</v>
      </c>
      <c r="AD494" s="196">
        <v>39.42</v>
      </c>
      <c r="AE494" s="197">
        <v>24</v>
      </c>
      <c r="AF494" s="195">
        <v>380</v>
      </c>
      <c r="AG494" s="222" t="s">
        <v>1</v>
      </c>
      <c r="AH494" s="198" t="s">
        <v>1</v>
      </c>
      <c r="AI494" s="209" t="s">
        <v>1</v>
      </c>
      <c r="AJ494" s="209" t="s">
        <v>1</v>
      </c>
      <c r="AK494" s="209" t="s">
        <v>1</v>
      </c>
      <c r="AL494" s="198" t="s">
        <v>1</v>
      </c>
      <c r="AM494" s="200" t="s">
        <v>1</v>
      </c>
      <c r="AN494" s="199" t="s">
        <v>1</v>
      </c>
      <c r="AO494" s="199" t="s">
        <v>1</v>
      </c>
      <c r="AP494" s="198" t="s">
        <v>1</v>
      </c>
      <c r="AQ494" s="198" t="s">
        <v>1</v>
      </c>
      <c r="AR494" s="201" t="s">
        <v>1</v>
      </c>
      <c r="AS494" s="201" t="s">
        <v>1</v>
      </c>
      <c r="AT494" s="199" t="s">
        <v>1</v>
      </c>
      <c r="AU494" s="199" t="s">
        <v>1</v>
      </c>
      <c r="AV494" s="202" t="s">
        <v>1</v>
      </c>
      <c r="AW494" s="199" t="s">
        <v>1</v>
      </c>
    </row>
    <row r="495" spans="1:49" ht="30.15" customHeight="1" x14ac:dyDescent="0.25">
      <c r="A495" s="188" t="s">
        <v>18</v>
      </c>
      <c r="B495" s="189" t="s">
        <v>1</v>
      </c>
      <c r="C495" s="212" t="s">
        <v>34</v>
      </c>
      <c r="D495" s="190" t="s">
        <v>7</v>
      </c>
      <c r="E495" s="190" t="s">
        <v>921</v>
      </c>
      <c r="F495" s="203"/>
      <c r="G495" s="190" t="s">
        <v>922</v>
      </c>
      <c r="H495" s="192" t="s">
        <v>647</v>
      </c>
      <c r="I495" s="193">
        <v>1928</v>
      </c>
      <c r="J495" s="193">
        <v>1928</v>
      </c>
      <c r="K495" s="193">
        <v>1928</v>
      </c>
      <c r="L495" s="193">
        <v>2510</v>
      </c>
      <c r="M495" s="194">
        <v>2510</v>
      </c>
      <c r="N495" s="195">
        <v>0</v>
      </c>
      <c r="O495" s="196">
        <v>20</v>
      </c>
      <c r="P495" s="195">
        <v>24</v>
      </c>
      <c r="Q495" s="195">
        <v>410</v>
      </c>
      <c r="R495" s="196" t="s">
        <v>1256</v>
      </c>
      <c r="S495" s="197">
        <v>0</v>
      </c>
      <c r="T495" s="196">
        <v>20</v>
      </c>
      <c r="U495" s="196">
        <v>24</v>
      </c>
      <c r="V495" s="195">
        <v>410</v>
      </c>
      <c r="W495" s="195" t="s">
        <v>1256</v>
      </c>
      <c r="X495" s="195">
        <v>0</v>
      </c>
      <c r="Y495" s="196">
        <v>39.42</v>
      </c>
      <c r="Z495" s="195">
        <v>24</v>
      </c>
      <c r="AA495" s="195">
        <v>410</v>
      </c>
      <c r="AB495" s="196" t="s">
        <v>1</v>
      </c>
      <c r="AC495" s="197">
        <v>0</v>
      </c>
      <c r="AD495" s="196">
        <v>39.42</v>
      </c>
      <c r="AE495" s="197">
        <v>24</v>
      </c>
      <c r="AF495" s="195">
        <v>410</v>
      </c>
      <c r="AG495" s="222" t="s">
        <v>1</v>
      </c>
      <c r="AH495" s="198" t="s">
        <v>1</v>
      </c>
      <c r="AI495" s="209" t="s">
        <v>1</v>
      </c>
      <c r="AJ495" s="209" t="s">
        <v>1</v>
      </c>
      <c r="AK495" s="209" t="s">
        <v>1</v>
      </c>
      <c r="AL495" s="198" t="s">
        <v>1</v>
      </c>
      <c r="AM495" s="200" t="s">
        <v>1</v>
      </c>
      <c r="AN495" s="199" t="s">
        <v>1</v>
      </c>
      <c r="AO495" s="199" t="s">
        <v>1</v>
      </c>
      <c r="AP495" s="198" t="s">
        <v>1</v>
      </c>
      <c r="AQ495" s="198" t="s">
        <v>1</v>
      </c>
      <c r="AR495" s="201" t="s">
        <v>1</v>
      </c>
      <c r="AS495" s="201" t="s">
        <v>1</v>
      </c>
      <c r="AT495" s="199" t="s">
        <v>1</v>
      </c>
      <c r="AU495" s="199" t="s">
        <v>1</v>
      </c>
      <c r="AV495" s="202" t="s">
        <v>1</v>
      </c>
      <c r="AW495" s="199" t="s">
        <v>1</v>
      </c>
    </row>
    <row r="496" spans="1:49" ht="30.15" customHeight="1" x14ac:dyDescent="0.25">
      <c r="A496" s="188" t="s">
        <v>18</v>
      </c>
      <c r="B496" s="189" t="s">
        <v>1</v>
      </c>
      <c r="C496" s="212" t="s">
        <v>34</v>
      </c>
      <c r="D496" s="190" t="s">
        <v>7</v>
      </c>
      <c r="E496" s="190" t="s">
        <v>923</v>
      </c>
      <c r="F496" s="203"/>
      <c r="G496" s="190" t="s">
        <v>924</v>
      </c>
      <c r="H496" s="192" t="s">
        <v>409</v>
      </c>
      <c r="I496" s="193">
        <v>1330</v>
      </c>
      <c r="J496" s="193">
        <v>1330</v>
      </c>
      <c r="K496" s="193">
        <v>1330</v>
      </c>
      <c r="L496" s="193">
        <v>1730</v>
      </c>
      <c r="M496" s="194">
        <v>1730</v>
      </c>
      <c r="N496" s="195">
        <v>0</v>
      </c>
      <c r="O496" s="195">
        <v>13.75</v>
      </c>
      <c r="P496" s="195">
        <v>24</v>
      </c>
      <c r="Q496" s="195">
        <v>260</v>
      </c>
      <c r="R496" s="196" t="s">
        <v>1254</v>
      </c>
      <c r="S496" s="197">
        <v>0</v>
      </c>
      <c r="T496" s="195">
        <v>13.75</v>
      </c>
      <c r="U496" s="196">
        <v>24</v>
      </c>
      <c r="V496" s="195">
        <v>260</v>
      </c>
      <c r="W496" s="195" t="s">
        <v>1254</v>
      </c>
      <c r="X496" s="195">
        <v>0</v>
      </c>
      <c r="Y496" s="195">
        <v>34.75</v>
      </c>
      <c r="Z496" s="195">
        <v>24</v>
      </c>
      <c r="AA496" s="195">
        <v>260</v>
      </c>
      <c r="AB496" s="196" t="s">
        <v>1</v>
      </c>
      <c r="AC496" s="197">
        <v>0</v>
      </c>
      <c r="AD496" s="195">
        <v>34.75</v>
      </c>
      <c r="AE496" s="197">
        <v>24</v>
      </c>
      <c r="AF496" s="195">
        <v>260</v>
      </c>
      <c r="AG496" s="222" t="s">
        <v>1</v>
      </c>
      <c r="AH496" s="198" t="s">
        <v>1</v>
      </c>
      <c r="AI496" s="209" t="s">
        <v>1</v>
      </c>
      <c r="AJ496" s="209" t="s">
        <v>1</v>
      </c>
      <c r="AK496" s="209" t="s">
        <v>1</v>
      </c>
      <c r="AL496" s="198" t="s">
        <v>1</v>
      </c>
      <c r="AM496" s="200" t="s">
        <v>1</v>
      </c>
      <c r="AN496" s="199" t="s">
        <v>1</v>
      </c>
      <c r="AO496" s="199" t="s">
        <v>1</v>
      </c>
      <c r="AP496" s="198" t="s">
        <v>1</v>
      </c>
      <c r="AQ496" s="198" t="s">
        <v>1</v>
      </c>
      <c r="AR496" s="201" t="s">
        <v>1</v>
      </c>
      <c r="AS496" s="201" t="s">
        <v>1</v>
      </c>
      <c r="AT496" s="199" t="s">
        <v>1</v>
      </c>
      <c r="AU496" s="199" t="s">
        <v>1</v>
      </c>
      <c r="AV496" s="202" t="s">
        <v>1</v>
      </c>
      <c r="AW496" s="199" t="s">
        <v>1</v>
      </c>
    </row>
    <row r="497" spans="1:49" ht="30.15" customHeight="1" x14ac:dyDescent="0.25">
      <c r="A497" s="188" t="s">
        <v>18</v>
      </c>
      <c r="B497" s="189" t="s">
        <v>1</v>
      </c>
      <c r="C497" s="212" t="s">
        <v>34</v>
      </c>
      <c r="D497" s="190" t="s">
        <v>7</v>
      </c>
      <c r="E497" s="190" t="s">
        <v>925</v>
      </c>
      <c r="F497" s="203"/>
      <c r="G497" s="190" t="s">
        <v>924</v>
      </c>
      <c r="H497" s="192" t="s">
        <v>409</v>
      </c>
      <c r="I497" s="193">
        <v>1330</v>
      </c>
      <c r="J497" s="193">
        <v>1330</v>
      </c>
      <c r="K497" s="193">
        <v>1330</v>
      </c>
      <c r="L497" s="193">
        <v>1730</v>
      </c>
      <c r="M497" s="194">
        <v>1730</v>
      </c>
      <c r="N497" s="195">
        <v>0</v>
      </c>
      <c r="O497" s="195">
        <v>13.75</v>
      </c>
      <c r="P497" s="195">
        <v>24</v>
      </c>
      <c r="Q497" s="195">
        <v>260</v>
      </c>
      <c r="R497" s="196" t="s">
        <v>1254</v>
      </c>
      <c r="S497" s="197">
        <v>0</v>
      </c>
      <c r="T497" s="195">
        <v>13.75</v>
      </c>
      <c r="U497" s="196">
        <v>24</v>
      </c>
      <c r="V497" s="195">
        <v>260</v>
      </c>
      <c r="W497" s="195" t="s">
        <v>1254</v>
      </c>
      <c r="X497" s="195">
        <v>0</v>
      </c>
      <c r="Y497" s="195">
        <v>34.75</v>
      </c>
      <c r="Z497" s="195">
        <v>24</v>
      </c>
      <c r="AA497" s="195">
        <v>260</v>
      </c>
      <c r="AB497" s="196" t="s">
        <v>1</v>
      </c>
      <c r="AC497" s="197">
        <v>0</v>
      </c>
      <c r="AD497" s="195">
        <v>34.75</v>
      </c>
      <c r="AE497" s="197">
        <v>24</v>
      </c>
      <c r="AF497" s="195">
        <v>260</v>
      </c>
      <c r="AG497" s="222" t="s">
        <v>1</v>
      </c>
      <c r="AH497" s="198" t="s">
        <v>1</v>
      </c>
      <c r="AI497" s="209" t="s">
        <v>1</v>
      </c>
      <c r="AJ497" s="209" t="s">
        <v>1</v>
      </c>
      <c r="AK497" s="209" t="s">
        <v>1</v>
      </c>
      <c r="AL497" s="198" t="s">
        <v>1</v>
      </c>
      <c r="AM497" s="200" t="s">
        <v>1</v>
      </c>
      <c r="AN497" s="199" t="s">
        <v>1</v>
      </c>
      <c r="AO497" s="199" t="s">
        <v>1</v>
      </c>
      <c r="AP497" s="198" t="s">
        <v>1</v>
      </c>
      <c r="AQ497" s="198" t="s">
        <v>1</v>
      </c>
      <c r="AR497" s="201" t="s">
        <v>1</v>
      </c>
      <c r="AS497" s="201" t="s">
        <v>1</v>
      </c>
      <c r="AT497" s="199" t="s">
        <v>1</v>
      </c>
      <c r="AU497" s="199" t="s">
        <v>1</v>
      </c>
      <c r="AV497" s="202" t="s">
        <v>1</v>
      </c>
      <c r="AW497" s="199" t="s">
        <v>1</v>
      </c>
    </row>
    <row r="498" spans="1:49" ht="30.15" customHeight="1" x14ac:dyDescent="0.25">
      <c r="A498" s="188" t="s">
        <v>18</v>
      </c>
      <c r="B498" s="189" t="s">
        <v>1</v>
      </c>
      <c r="C498" s="212" t="s">
        <v>34</v>
      </c>
      <c r="D498" s="190" t="s">
        <v>7</v>
      </c>
      <c r="E498" s="190" t="s">
        <v>926</v>
      </c>
      <c r="F498" s="203"/>
      <c r="G498" s="190" t="s">
        <v>924</v>
      </c>
      <c r="H498" s="192" t="s">
        <v>647</v>
      </c>
      <c r="I498" s="193">
        <v>1330</v>
      </c>
      <c r="J498" s="193">
        <v>1330</v>
      </c>
      <c r="K498" s="193">
        <v>1330</v>
      </c>
      <c r="L498" s="193">
        <v>1730</v>
      </c>
      <c r="M498" s="194">
        <v>1730</v>
      </c>
      <c r="N498" s="195">
        <v>0</v>
      </c>
      <c r="O498" s="195">
        <v>13.75</v>
      </c>
      <c r="P498" s="195">
        <v>24</v>
      </c>
      <c r="Q498" s="195">
        <v>260</v>
      </c>
      <c r="R498" s="196" t="s">
        <v>1254</v>
      </c>
      <c r="S498" s="197">
        <v>0</v>
      </c>
      <c r="T498" s="195">
        <v>13.75</v>
      </c>
      <c r="U498" s="196">
        <v>24</v>
      </c>
      <c r="V498" s="195">
        <v>260</v>
      </c>
      <c r="W498" s="195" t="s">
        <v>1254</v>
      </c>
      <c r="X498" s="195">
        <v>0</v>
      </c>
      <c r="Y498" s="195">
        <v>34.75</v>
      </c>
      <c r="Z498" s="195">
        <v>24</v>
      </c>
      <c r="AA498" s="195">
        <v>260</v>
      </c>
      <c r="AB498" s="196" t="s">
        <v>1</v>
      </c>
      <c r="AC498" s="197">
        <v>0</v>
      </c>
      <c r="AD498" s="195">
        <v>34.75</v>
      </c>
      <c r="AE498" s="197">
        <v>24</v>
      </c>
      <c r="AF498" s="195">
        <v>260</v>
      </c>
      <c r="AG498" s="222" t="s">
        <v>1</v>
      </c>
      <c r="AH498" s="198" t="s">
        <v>1</v>
      </c>
      <c r="AI498" s="209" t="s">
        <v>1</v>
      </c>
      <c r="AJ498" s="209" t="s">
        <v>1</v>
      </c>
      <c r="AK498" s="209" t="s">
        <v>1</v>
      </c>
      <c r="AL498" s="198" t="s">
        <v>1</v>
      </c>
      <c r="AM498" s="200" t="s">
        <v>1</v>
      </c>
      <c r="AN498" s="199" t="s">
        <v>1</v>
      </c>
      <c r="AO498" s="199" t="s">
        <v>1</v>
      </c>
      <c r="AP498" s="198" t="s">
        <v>1</v>
      </c>
      <c r="AQ498" s="198" t="s">
        <v>1</v>
      </c>
      <c r="AR498" s="201" t="s">
        <v>1</v>
      </c>
      <c r="AS498" s="201" t="s">
        <v>1</v>
      </c>
      <c r="AT498" s="199" t="s">
        <v>1</v>
      </c>
      <c r="AU498" s="199" t="s">
        <v>1</v>
      </c>
      <c r="AV498" s="202" t="s">
        <v>1</v>
      </c>
      <c r="AW498" s="199" t="s">
        <v>1</v>
      </c>
    </row>
    <row r="499" spans="1:49" ht="30.15" customHeight="1" x14ac:dyDescent="0.25">
      <c r="A499" s="213" t="s">
        <v>18</v>
      </c>
      <c r="B499" s="189" t="s">
        <v>1</v>
      </c>
      <c r="C499" s="212" t="s">
        <v>34</v>
      </c>
      <c r="D499" s="190" t="s">
        <v>7</v>
      </c>
      <c r="E499" s="190" t="s">
        <v>265</v>
      </c>
      <c r="F499" s="203"/>
      <c r="G499" s="190" t="s">
        <v>269</v>
      </c>
      <c r="H499" s="192" t="s">
        <v>409</v>
      </c>
      <c r="I499" s="193">
        <v>660</v>
      </c>
      <c r="J499" s="193">
        <v>610</v>
      </c>
      <c r="K499" s="193">
        <v>660</v>
      </c>
      <c r="L499" s="193">
        <v>670</v>
      </c>
      <c r="M499" s="194">
        <v>670</v>
      </c>
      <c r="N499" s="195">
        <v>0</v>
      </c>
      <c r="O499" s="195" t="s">
        <v>1</v>
      </c>
      <c r="P499" s="195" t="s">
        <v>1</v>
      </c>
      <c r="Q499" s="195" t="s">
        <v>1</v>
      </c>
      <c r="R499" s="196" t="s">
        <v>1252</v>
      </c>
      <c r="S499" s="197">
        <v>0</v>
      </c>
      <c r="T499" s="197" t="s">
        <v>1</v>
      </c>
      <c r="U499" s="197" t="s">
        <v>1</v>
      </c>
      <c r="V499" s="197" t="s">
        <v>1</v>
      </c>
      <c r="W499" s="196" t="s">
        <v>1252</v>
      </c>
      <c r="X499" s="195">
        <v>0</v>
      </c>
      <c r="Y499" s="195" t="s">
        <v>1</v>
      </c>
      <c r="Z499" s="195" t="s">
        <v>1</v>
      </c>
      <c r="AA499" s="196" t="s">
        <v>1</v>
      </c>
      <c r="AB499" s="196" t="s">
        <v>1</v>
      </c>
      <c r="AC499" s="197">
        <v>0</v>
      </c>
      <c r="AD499" s="197" t="s">
        <v>1</v>
      </c>
      <c r="AE499" s="197" t="s">
        <v>1</v>
      </c>
      <c r="AF499" s="198" t="s">
        <v>1</v>
      </c>
      <c r="AG499" s="198" t="s">
        <v>1</v>
      </c>
      <c r="AH499" s="198" t="s">
        <v>1</v>
      </c>
      <c r="AI499" s="209" t="s">
        <v>1</v>
      </c>
      <c r="AJ499" s="209" t="s">
        <v>1</v>
      </c>
      <c r="AK499" s="243" t="s">
        <v>1</v>
      </c>
      <c r="AL499" s="222" t="s">
        <v>1</v>
      </c>
      <c r="AM499" s="200" t="s">
        <v>1</v>
      </c>
      <c r="AN499" s="199" t="s">
        <v>1</v>
      </c>
      <c r="AO499" s="199" t="s">
        <v>1</v>
      </c>
      <c r="AP499" s="198" t="s">
        <v>1</v>
      </c>
      <c r="AQ499" s="198" t="s">
        <v>1</v>
      </c>
      <c r="AR499" s="201" t="s">
        <v>1</v>
      </c>
      <c r="AS499" s="201" t="s">
        <v>1</v>
      </c>
      <c r="AT499" s="199" t="s">
        <v>1</v>
      </c>
      <c r="AU499" s="199" t="s">
        <v>1</v>
      </c>
      <c r="AV499" s="202" t="s">
        <v>1</v>
      </c>
      <c r="AW499" s="199" t="s">
        <v>1</v>
      </c>
    </row>
    <row r="500" spans="1:49" ht="30.15" customHeight="1" x14ac:dyDescent="0.25">
      <c r="A500" s="213" t="s">
        <v>18</v>
      </c>
      <c r="B500" s="189" t="s">
        <v>1</v>
      </c>
      <c r="C500" s="212" t="s">
        <v>34</v>
      </c>
      <c r="D500" s="190" t="s">
        <v>7</v>
      </c>
      <c r="E500" s="190" t="s">
        <v>375</v>
      </c>
      <c r="F500" s="203"/>
      <c r="G500" s="190" t="s">
        <v>373</v>
      </c>
      <c r="H500" s="192" t="s">
        <v>409</v>
      </c>
      <c r="I500" s="193">
        <v>850</v>
      </c>
      <c r="J500" s="193">
        <v>750</v>
      </c>
      <c r="K500" s="193">
        <v>850</v>
      </c>
      <c r="L500" s="193">
        <v>1055</v>
      </c>
      <c r="M500" s="194">
        <v>1055</v>
      </c>
      <c r="N500" s="195">
        <v>0</v>
      </c>
      <c r="O500" s="197">
        <v>23.96</v>
      </c>
      <c r="P500" s="197">
        <v>24</v>
      </c>
      <c r="Q500" s="195" t="s">
        <v>1</v>
      </c>
      <c r="R500" s="196">
        <v>120</v>
      </c>
      <c r="S500" s="197">
        <v>0</v>
      </c>
      <c r="T500" s="197">
        <v>23.96</v>
      </c>
      <c r="U500" s="197">
        <v>24</v>
      </c>
      <c r="V500" s="197" t="s">
        <v>1</v>
      </c>
      <c r="W500" s="196">
        <v>120</v>
      </c>
      <c r="X500" s="195">
        <v>0</v>
      </c>
      <c r="Y500" s="195">
        <v>23.96</v>
      </c>
      <c r="Z500" s="195">
        <v>24</v>
      </c>
      <c r="AA500" s="196" t="s">
        <v>1</v>
      </c>
      <c r="AB500" s="196" t="s">
        <v>1</v>
      </c>
      <c r="AC500" s="197">
        <v>0</v>
      </c>
      <c r="AD500" s="197">
        <v>23.96</v>
      </c>
      <c r="AE500" s="197">
        <v>24</v>
      </c>
      <c r="AF500" s="198" t="s">
        <v>1</v>
      </c>
      <c r="AG500" s="198" t="s">
        <v>1</v>
      </c>
      <c r="AH500" s="198" t="s">
        <v>1</v>
      </c>
      <c r="AI500" s="209" t="s">
        <v>1</v>
      </c>
      <c r="AJ500" s="209" t="s">
        <v>1</v>
      </c>
      <c r="AK500" s="243" t="s">
        <v>1</v>
      </c>
      <c r="AL500" s="222" t="s">
        <v>1</v>
      </c>
      <c r="AM500" s="200" t="s">
        <v>1</v>
      </c>
      <c r="AN500" s="199" t="s">
        <v>1</v>
      </c>
      <c r="AO500" s="199" t="s">
        <v>1</v>
      </c>
      <c r="AP500" s="198" t="s">
        <v>1</v>
      </c>
      <c r="AQ500" s="198" t="s">
        <v>1</v>
      </c>
      <c r="AR500" s="201" t="s">
        <v>1</v>
      </c>
      <c r="AS500" s="201" t="s">
        <v>1</v>
      </c>
      <c r="AT500" s="199" t="s">
        <v>1</v>
      </c>
      <c r="AU500" s="199" t="s">
        <v>1</v>
      </c>
      <c r="AV500" s="202" t="s">
        <v>1</v>
      </c>
      <c r="AW500" s="199" t="s">
        <v>1</v>
      </c>
    </row>
    <row r="501" spans="1:49" ht="30.15" customHeight="1" x14ac:dyDescent="0.25">
      <c r="A501" s="213" t="s">
        <v>18</v>
      </c>
      <c r="B501" s="189" t="s">
        <v>1</v>
      </c>
      <c r="C501" s="212" t="s">
        <v>34</v>
      </c>
      <c r="D501" s="190" t="s">
        <v>7</v>
      </c>
      <c r="E501" s="190" t="s">
        <v>376</v>
      </c>
      <c r="F501" s="203"/>
      <c r="G501" s="190" t="s">
        <v>373</v>
      </c>
      <c r="H501" s="192" t="s">
        <v>409</v>
      </c>
      <c r="I501" s="193">
        <v>850</v>
      </c>
      <c r="J501" s="193">
        <v>750</v>
      </c>
      <c r="K501" s="193">
        <v>850</v>
      </c>
      <c r="L501" s="193">
        <v>1055</v>
      </c>
      <c r="M501" s="194">
        <v>1055</v>
      </c>
      <c r="N501" s="195">
        <v>0</v>
      </c>
      <c r="O501" s="197">
        <v>23.96</v>
      </c>
      <c r="P501" s="197">
        <v>24</v>
      </c>
      <c r="Q501" s="195" t="s">
        <v>1</v>
      </c>
      <c r="R501" s="196">
        <v>120</v>
      </c>
      <c r="S501" s="197">
        <v>0</v>
      </c>
      <c r="T501" s="197">
        <v>23.96</v>
      </c>
      <c r="U501" s="197">
        <v>24</v>
      </c>
      <c r="V501" s="197" t="s">
        <v>1</v>
      </c>
      <c r="W501" s="196">
        <v>120</v>
      </c>
      <c r="X501" s="195">
        <v>0</v>
      </c>
      <c r="Y501" s="195">
        <v>23.96</v>
      </c>
      <c r="Z501" s="195">
        <v>24</v>
      </c>
      <c r="AA501" s="196" t="s">
        <v>1</v>
      </c>
      <c r="AB501" s="196" t="s">
        <v>1</v>
      </c>
      <c r="AC501" s="197">
        <v>0</v>
      </c>
      <c r="AD501" s="197">
        <v>23.96</v>
      </c>
      <c r="AE501" s="197">
        <v>24</v>
      </c>
      <c r="AF501" s="198" t="s">
        <v>1</v>
      </c>
      <c r="AG501" s="198" t="s">
        <v>1</v>
      </c>
      <c r="AH501" s="198" t="s">
        <v>1</v>
      </c>
      <c r="AI501" s="209" t="s">
        <v>1</v>
      </c>
      <c r="AJ501" s="209" t="s">
        <v>1</v>
      </c>
      <c r="AK501" s="243" t="s">
        <v>1</v>
      </c>
      <c r="AL501" s="222" t="s">
        <v>1</v>
      </c>
      <c r="AM501" s="200" t="s">
        <v>1</v>
      </c>
      <c r="AN501" s="199" t="s">
        <v>1</v>
      </c>
      <c r="AO501" s="199" t="s">
        <v>1</v>
      </c>
      <c r="AP501" s="198" t="s">
        <v>1</v>
      </c>
      <c r="AQ501" s="198" t="s">
        <v>1</v>
      </c>
      <c r="AR501" s="201" t="s">
        <v>1</v>
      </c>
      <c r="AS501" s="201" t="s">
        <v>1</v>
      </c>
      <c r="AT501" s="199" t="s">
        <v>1</v>
      </c>
      <c r="AU501" s="199" t="s">
        <v>1</v>
      </c>
      <c r="AV501" s="202" t="s">
        <v>1</v>
      </c>
      <c r="AW501" s="199" t="s">
        <v>1</v>
      </c>
    </row>
    <row r="502" spans="1:49" ht="30.15" customHeight="1" x14ac:dyDescent="0.25">
      <c r="A502" s="213" t="s">
        <v>18</v>
      </c>
      <c r="B502" s="189" t="s">
        <v>1</v>
      </c>
      <c r="C502" s="212" t="s">
        <v>34</v>
      </c>
      <c r="D502" s="190" t="s">
        <v>7</v>
      </c>
      <c r="E502" s="190" t="s">
        <v>377</v>
      </c>
      <c r="F502" s="203"/>
      <c r="G502" s="190" t="s">
        <v>374</v>
      </c>
      <c r="H502" s="192" t="s">
        <v>409</v>
      </c>
      <c r="I502" s="193">
        <v>950</v>
      </c>
      <c r="J502" s="193">
        <v>880</v>
      </c>
      <c r="K502" s="193">
        <v>950</v>
      </c>
      <c r="L502" s="193">
        <v>1000</v>
      </c>
      <c r="M502" s="194">
        <v>1000</v>
      </c>
      <c r="N502" s="195">
        <v>0</v>
      </c>
      <c r="O502" s="195">
        <v>21.67</v>
      </c>
      <c r="P502" s="195">
        <v>24</v>
      </c>
      <c r="Q502" s="195" t="s">
        <v>1</v>
      </c>
      <c r="R502" s="196">
        <v>120</v>
      </c>
      <c r="S502" s="197">
        <v>0</v>
      </c>
      <c r="T502" s="195">
        <v>21.67</v>
      </c>
      <c r="U502" s="197">
        <v>24</v>
      </c>
      <c r="V502" s="197" t="s">
        <v>1</v>
      </c>
      <c r="W502" s="196">
        <v>120</v>
      </c>
      <c r="X502" s="195">
        <v>0</v>
      </c>
      <c r="Y502" s="195">
        <v>21.67</v>
      </c>
      <c r="Z502" s="195">
        <v>24</v>
      </c>
      <c r="AA502" s="196" t="s">
        <v>1</v>
      </c>
      <c r="AB502" s="196" t="s">
        <v>1</v>
      </c>
      <c r="AC502" s="197">
        <v>0</v>
      </c>
      <c r="AD502" s="197">
        <v>21.67</v>
      </c>
      <c r="AE502" s="197">
        <v>24</v>
      </c>
      <c r="AF502" s="198" t="s">
        <v>1</v>
      </c>
      <c r="AG502" s="198" t="s">
        <v>1</v>
      </c>
      <c r="AH502" s="198" t="s">
        <v>1</v>
      </c>
      <c r="AI502" s="209" t="s">
        <v>1</v>
      </c>
      <c r="AJ502" s="209" t="s">
        <v>1</v>
      </c>
      <c r="AK502" s="243" t="s">
        <v>1</v>
      </c>
      <c r="AL502" s="222" t="s">
        <v>1</v>
      </c>
      <c r="AM502" s="200" t="s">
        <v>1</v>
      </c>
      <c r="AN502" s="199" t="s">
        <v>1</v>
      </c>
      <c r="AO502" s="199" t="s">
        <v>1</v>
      </c>
      <c r="AP502" s="198" t="s">
        <v>1</v>
      </c>
      <c r="AQ502" s="198" t="s">
        <v>1</v>
      </c>
      <c r="AR502" s="201" t="s">
        <v>1</v>
      </c>
      <c r="AS502" s="201" t="s">
        <v>1</v>
      </c>
      <c r="AT502" s="199" t="s">
        <v>1</v>
      </c>
      <c r="AU502" s="199" t="s">
        <v>1</v>
      </c>
      <c r="AV502" s="202" t="s">
        <v>1</v>
      </c>
      <c r="AW502" s="199" t="s">
        <v>1</v>
      </c>
    </row>
    <row r="503" spans="1:49" ht="30.15" customHeight="1" x14ac:dyDescent="0.25">
      <c r="A503" s="213" t="s">
        <v>18</v>
      </c>
      <c r="B503" s="189" t="s">
        <v>1</v>
      </c>
      <c r="C503" s="212" t="s">
        <v>34</v>
      </c>
      <c r="D503" s="190" t="s">
        <v>7</v>
      </c>
      <c r="E503" s="190" t="s">
        <v>378</v>
      </c>
      <c r="F503" s="203"/>
      <c r="G503" s="190" t="s">
        <v>374</v>
      </c>
      <c r="H503" s="192" t="s">
        <v>409</v>
      </c>
      <c r="I503" s="193">
        <v>950</v>
      </c>
      <c r="J503" s="193">
        <v>880</v>
      </c>
      <c r="K503" s="193">
        <v>950</v>
      </c>
      <c r="L503" s="193">
        <v>1000</v>
      </c>
      <c r="M503" s="194">
        <v>1000</v>
      </c>
      <c r="N503" s="195">
        <v>0</v>
      </c>
      <c r="O503" s="195">
        <v>21.67</v>
      </c>
      <c r="P503" s="195">
        <v>24</v>
      </c>
      <c r="Q503" s="195" t="s">
        <v>1</v>
      </c>
      <c r="R503" s="196">
        <v>120</v>
      </c>
      <c r="S503" s="197">
        <v>0</v>
      </c>
      <c r="T503" s="195">
        <v>21.67</v>
      </c>
      <c r="U503" s="197">
        <v>24</v>
      </c>
      <c r="V503" s="197" t="s">
        <v>1</v>
      </c>
      <c r="W503" s="196">
        <v>120</v>
      </c>
      <c r="X503" s="195">
        <v>0</v>
      </c>
      <c r="Y503" s="195">
        <v>21.67</v>
      </c>
      <c r="Z503" s="195">
        <v>24</v>
      </c>
      <c r="AA503" s="196" t="s">
        <v>1</v>
      </c>
      <c r="AB503" s="196" t="s">
        <v>1</v>
      </c>
      <c r="AC503" s="197">
        <v>0</v>
      </c>
      <c r="AD503" s="197">
        <v>21.67</v>
      </c>
      <c r="AE503" s="197">
        <v>24</v>
      </c>
      <c r="AF503" s="198" t="s">
        <v>1</v>
      </c>
      <c r="AG503" s="198" t="s">
        <v>1</v>
      </c>
      <c r="AH503" s="198" t="s">
        <v>1</v>
      </c>
      <c r="AI503" s="209" t="s">
        <v>1</v>
      </c>
      <c r="AJ503" s="209" t="s">
        <v>1</v>
      </c>
      <c r="AK503" s="243" t="s">
        <v>1</v>
      </c>
      <c r="AL503" s="222" t="s">
        <v>1</v>
      </c>
      <c r="AM503" s="200" t="s">
        <v>1</v>
      </c>
      <c r="AN503" s="199" t="s">
        <v>1</v>
      </c>
      <c r="AO503" s="199" t="s">
        <v>1</v>
      </c>
      <c r="AP503" s="198" t="s">
        <v>1</v>
      </c>
      <c r="AQ503" s="198" t="s">
        <v>1</v>
      </c>
      <c r="AR503" s="201" t="s">
        <v>1</v>
      </c>
      <c r="AS503" s="201" t="s">
        <v>1</v>
      </c>
      <c r="AT503" s="199" t="s">
        <v>1</v>
      </c>
      <c r="AU503" s="199" t="s">
        <v>1</v>
      </c>
      <c r="AV503" s="202" t="s">
        <v>1</v>
      </c>
      <c r="AW503" s="199" t="s">
        <v>1</v>
      </c>
    </row>
    <row r="504" spans="1:49" ht="30.15" customHeight="1" x14ac:dyDescent="0.25">
      <c r="A504" s="213" t="s">
        <v>18</v>
      </c>
      <c r="B504" s="189" t="s">
        <v>1</v>
      </c>
      <c r="C504" s="212" t="s">
        <v>34</v>
      </c>
      <c r="D504" s="190" t="s">
        <v>7</v>
      </c>
      <c r="E504" s="190" t="s">
        <v>545</v>
      </c>
      <c r="F504" s="203"/>
      <c r="G504" s="190" t="s">
        <v>546</v>
      </c>
      <c r="H504" s="192" t="s">
        <v>409</v>
      </c>
      <c r="I504" s="193">
        <v>931</v>
      </c>
      <c r="J504" s="193">
        <v>931</v>
      </c>
      <c r="K504" s="193">
        <v>931</v>
      </c>
      <c r="L504" s="193">
        <v>1400</v>
      </c>
      <c r="M504" s="194">
        <v>1400</v>
      </c>
      <c r="N504" s="195">
        <v>0</v>
      </c>
      <c r="O504" s="197">
        <v>43.339999999999996</v>
      </c>
      <c r="P504" s="195">
        <v>24</v>
      </c>
      <c r="Q504" s="195" t="s">
        <v>1</v>
      </c>
      <c r="R504" s="196">
        <v>120</v>
      </c>
      <c r="S504" s="197">
        <v>0</v>
      </c>
      <c r="T504" s="197">
        <v>43.339999999999996</v>
      </c>
      <c r="U504" s="195">
        <v>24</v>
      </c>
      <c r="V504" s="197" t="s">
        <v>1</v>
      </c>
      <c r="W504" s="196">
        <v>120</v>
      </c>
      <c r="X504" s="195">
        <v>0</v>
      </c>
      <c r="Y504" s="197">
        <v>33.339999999999996</v>
      </c>
      <c r="Z504" s="195">
        <v>24</v>
      </c>
      <c r="AA504" s="196" t="s">
        <v>1</v>
      </c>
      <c r="AB504" s="196" t="s">
        <v>1</v>
      </c>
      <c r="AC504" s="197">
        <v>0</v>
      </c>
      <c r="AD504" s="197">
        <v>33.339999999999996</v>
      </c>
      <c r="AE504" s="197">
        <v>24</v>
      </c>
      <c r="AF504" s="198" t="s">
        <v>1</v>
      </c>
      <c r="AG504" s="198" t="s">
        <v>1</v>
      </c>
      <c r="AH504" s="198" t="s">
        <v>1</v>
      </c>
      <c r="AI504" s="209" t="s">
        <v>1</v>
      </c>
      <c r="AJ504" s="209" t="s">
        <v>1</v>
      </c>
      <c r="AK504" s="244" t="s">
        <v>1</v>
      </c>
      <c r="AL504" s="245" t="s">
        <v>1</v>
      </c>
      <c r="AM504" s="200" t="s">
        <v>1</v>
      </c>
      <c r="AN504" s="199" t="s">
        <v>1</v>
      </c>
      <c r="AO504" s="199" t="s">
        <v>1</v>
      </c>
      <c r="AP504" s="198" t="s">
        <v>1</v>
      </c>
      <c r="AQ504" s="198" t="s">
        <v>1</v>
      </c>
      <c r="AR504" s="201" t="s">
        <v>1</v>
      </c>
      <c r="AS504" s="201" t="s">
        <v>1</v>
      </c>
      <c r="AT504" s="199" t="s">
        <v>1</v>
      </c>
      <c r="AU504" s="199" t="s">
        <v>1</v>
      </c>
      <c r="AV504" s="202" t="s">
        <v>1</v>
      </c>
      <c r="AW504" s="199" t="s">
        <v>1</v>
      </c>
    </row>
    <row r="505" spans="1:49" ht="30.15" customHeight="1" x14ac:dyDescent="0.25">
      <c r="A505" s="213" t="s">
        <v>18</v>
      </c>
      <c r="B505" s="189" t="s">
        <v>1</v>
      </c>
      <c r="C505" s="212" t="s">
        <v>34</v>
      </c>
      <c r="D505" s="190" t="s">
        <v>7</v>
      </c>
      <c r="E505" s="190" t="s">
        <v>547</v>
      </c>
      <c r="F505" s="203"/>
      <c r="G505" s="190" t="s">
        <v>546</v>
      </c>
      <c r="H505" s="192" t="s">
        <v>409</v>
      </c>
      <c r="I505" s="193">
        <v>931</v>
      </c>
      <c r="J505" s="193">
        <v>931</v>
      </c>
      <c r="K505" s="193">
        <v>931</v>
      </c>
      <c r="L505" s="193">
        <v>1400</v>
      </c>
      <c r="M505" s="194">
        <v>1400</v>
      </c>
      <c r="N505" s="195">
        <v>0</v>
      </c>
      <c r="O505" s="197">
        <v>43.339999999999996</v>
      </c>
      <c r="P505" s="195">
        <v>24</v>
      </c>
      <c r="Q505" s="195" t="s">
        <v>1</v>
      </c>
      <c r="R505" s="196">
        <v>120</v>
      </c>
      <c r="S505" s="197">
        <v>0</v>
      </c>
      <c r="T505" s="197">
        <v>43.339999999999996</v>
      </c>
      <c r="U505" s="195">
        <v>24</v>
      </c>
      <c r="V505" s="197" t="s">
        <v>1</v>
      </c>
      <c r="W505" s="196">
        <v>120</v>
      </c>
      <c r="X505" s="195">
        <v>0</v>
      </c>
      <c r="Y505" s="197">
        <v>33.339999999999996</v>
      </c>
      <c r="Z505" s="195">
        <v>24</v>
      </c>
      <c r="AA505" s="196" t="s">
        <v>1</v>
      </c>
      <c r="AB505" s="196" t="s">
        <v>1</v>
      </c>
      <c r="AC505" s="197">
        <v>0</v>
      </c>
      <c r="AD505" s="197">
        <v>33.339999999999996</v>
      </c>
      <c r="AE505" s="197">
        <v>24</v>
      </c>
      <c r="AF505" s="198" t="s">
        <v>1</v>
      </c>
      <c r="AG505" s="198" t="s">
        <v>1</v>
      </c>
      <c r="AH505" s="198" t="s">
        <v>1</v>
      </c>
      <c r="AI505" s="209" t="s">
        <v>1</v>
      </c>
      <c r="AJ505" s="209" t="s">
        <v>1</v>
      </c>
      <c r="AK505" s="244" t="s">
        <v>1</v>
      </c>
      <c r="AL505" s="245" t="s">
        <v>1</v>
      </c>
      <c r="AM505" s="200" t="s">
        <v>1</v>
      </c>
      <c r="AN505" s="199" t="s">
        <v>1</v>
      </c>
      <c r="AO505" s="199" t="s">
        <v>1</v>
      </c>
      <c r="AP505" s="198" t="s">
        <v>1</v>
      </c>
      <c r="AQ505" s="198" t="s">
        <v>1</v>
      </c>
      <c r="AR505" s="201" t="s">
        <v>1</v>
      </c>
      <c r="AS505" s="201" t="s">
        <v>1</v>
      </c>
      <c r="AT505" s="199" t="s">
        <v>1</v>
      </c>
      <c r="AU505" s="199" t="s">
        <v>1</v>
      </c>
      <c r="AV505" s="202" t="s">
        <v>1</v>
      </c>
      <c r="AW505" s="199" t="s">
        <v>1</v>
      </c>
    </row>
    <row r="506" spans="1:49" ht="30.15" customHeight="1" x14ac:dyDescent="0.25">
      <c r="A506" s="213" t="s">
        <v>18</v>
      </c>
      <c r="B506" s="189" t="s">
        <v>1</v>
      </c>
      <c r="C506" s="212" t="s">
        <v>34</v>
      </c>
      <c r="D506" s="190" t="s">
        <v>7</v>
      </c>
      <c r="E506" s="190" t="s">
        <v>548</v>
      </c>
      <c r="F506" s="203"/>
      <c r="G506" s="190" t="s">
        <v>546</v>
      </c>
      <c r="H506" s="192" t="s">
        <v>409</v>
      </c>
      <c r="I506" s="193">
        <v>931</v>
      </c>
      <c r="J506" s="193">
        <v>931</v>
      </c>
      <c r="K506" s="193">
        <v>931</v>
      </c>
      <c r="L506" s="193">
        <v>1400</v>
      </c>
      <c r="M506" s="194">
        <v>1400</v>
      </c>
      <c r="N506" s="195">
        <v>0</v>
      </c>
      <c r="O506" s="197">
        <v>43.339999999999996</v>
      </c>
      <c r="P506" s="195">
        <v>24</v>
      </c>
      <c r="Q506" s="195" t="s">
        <v>1</v>
      </c>
      <c r="R506" s="196">
        <v>120</v>
      </c>
      <c r="S506" s="197">
        <v>0</v>
      </c>
      <c r="T506" s="197">
        <v>43.339999999999996</v>
      </c>
      <c r="U506" s="195">
        <v>24</v>
      </c>
      <c r="V506" s="197" t="s">
        <v>1</v>
      </c>
      <c r="W506" s="196">
        <v>120</v>
      </c>
      <c r="X506" s="195">
        <v>0</v>
      </c>
      <c r="Y506" s="197">
        <v>33.339999999999996</v>
      </c>
      <c r="Z506" s="195">
        <v>24</v>
      </c>
      <c r="AA506" s="196" t="s">
        <v>1</v>
      </c>
      <c r="AB506" s="196" t="s">
        <v>1</v>
      </c>
      <c r="AC506" s="197">
        <v>0</v>
      </c>
      <c r="AD506" s="197">
        <v>33.339999999999996</v>
      </c>
      <c r="AE506" s="197">
        <v>24</v>
      </c>
      <c r="AF506" s="198" t="s">
        <v>1</v>
      </c>
      <c r="AG506" s="198" t="s">
        <v>1</v>
      </c>
      <c r="AH506" s="198" t="s">
        <v>1</v>
      </c>
      <c r="AI506" s="209" t="s">
        <v>1</v>
      </c>
      <c r="AJ506" s="209" t="s">
        <v>1</v>
      </c>
      <c r="AK506" s="244" t="s">
        <v>1</v>
      </c>
      <c r="AL506" s="245" t="s">
        <v>1</v>
      </c>
      <c r="AM506" s="200" t="s">
        <v>1</v>
      </c>
      <c r="AN506" s="199" t="s">
        <v>1</v>
      </c>
      <c r="AO506" s="199" t="s">
        <v>1</v>
      </c>
      <c r="AP506" s="198" t="s">
        <v>1</v>
      </c>
      <c r="AQ506" s="198" t="s">
        <v>1</v>
      </c>
      <c r="AR506" s="201" t="s">
        <v>1</v>
      </c>
      <c r="AS506" s="201" t="s">
        <v>1</v>
      </c>
      <c r="AT506" s="199" t="s">
        <v>1</v>
      </c>
      <c r="AU506" s="199" t="s">
        <v>1</v>
      </c>
      <c r="AV506" s="202" t="s">
        <v>1</v>
      </c>
      <c r="AW506" s="199" t="s">
        <v>1</v>
      </c>
    </row>
    <row r="507" spans="1:49" ht="30.15" customHeight="1" x14ac:dyDescent="0.25">
      <c r="A507" s="213" t="s">
        <v>18</v>
      </c>
      <c r="B507" s="189" t="s">
        <v>1</v>
      </c>
      <c r="C507" s="212" t="s">
        <v>34</v>
      </c>
      <c r="D507" s="190" t="s">
        <v>7</v>
      </c>
      <c r="E507" s="190" t="s">
        <v>549</v>
      </c>
      <c r="F507" s="203"/>
      <c r="G507" s="190" t="s">
        <v>550</v>
      </c>
      <c r="H507" s="192" t="s">
        <v>409</v>
      </c>
      <c r="I507" s="193">
        <v>1550</v>
      </c>
      <c r="J507" s="193">
        <v>1410</v>
      </c>
      <c r="K507" s="193">
        <v>1550</v>
      </c>
      <c r="L507" s="193">
        <v>1770</v>
      </c>
      <c r="M507" s="194">
        <v>1770</v>
      </c>
      <c r="N507" s="195">
        <v>0</v>
      </c>
      <c r="O507" s="197">
        <v>46.25</v>
      </c>
      <c r="P507" s="195">
        <v>24</v>
      </c>
      <c r="Q507" s="195" t="s">
        <v>1</v>
      </c>
      <c r="R507" s="196" t="s">
        <v>1252</v>
      </c>
      <c r="S507" s="197">
        <v>0</v>
      </c>
      <c r="T507" s="197">
        <v>46.25</v>
      </c>
      <c r="U507" s="195">
        <v>24</v>
      </c>
      <c r="V507" s="197" t="s">
        <v>1</v>
      </c>
      <c r="W507" s="196" t="s">
        <v>1252</v>
      </c>
      <c r="X507" s="195">
        <v>0</v>
      </c>
      <c r="Y507" s="197">
        <v>36.25</v>
      </c>
      <c r="Z507" s="195">
        <v>24</v>
      </c>
      <c r="AA507" s="196" t="s">
        <v>1</v>
      </c>
      <c r="AB507" s="196" t="s">
        <v>1</v>
      </c>
      <c r="AC507" s="197">
        <v>0</v>
      </c>
      <c r="AD507" s="197">
        <v>36.25</v>
      </c>
      <c r="AE507" s="197">
        <v>24</v>
      </c>
      <c r="AF507" s="198" t="s">
        <v>1</v>
      </c>
      <c r="AG507" s="198" t="s">
        <v>1</v>
      </c>
      <c r="AH507" s="198" t="s">
        <v>1</v>
      </c>
      <c r="AI507" s="209" t="s">
        <v>1</v>
      </c>
      <c r="AJ507" s="209" t="s">
        <v>1</v>
      </c>
      <c r="AK507" s="244" t="s">
        <v>1</v>
      </c>
      <c r="AL507" s="245" t="s">
        <v>1</v>
      </c>
      <c r="AM507" s="200" t="s">
        <v>1</v>
      </c>
      <c r="AN507" s="199" t="s">
        <v>1</v>
      </c>
      <c r="AO507" s="199" t="s">
        <v>1</v>
      </c>
      <c r="AP507" s="198" t="s">
        <v>1</v>
      </c>
      <c r="AQ507" s="198" t="s">
        <v>1</v>
      </c>
      <c r="AR507" s="201" t="s">
        <v>1</v>
      </c>
      <c r="AS507" s="201" t="s">
        <v>1</v>
      </c>
      <c r="AT507" s="199" t="s">
        <v>1</v>
      </c>
      <c r="AU507" s="199" t="s">
        <v>1</v>
      </c>
      <c r="AV507" s="202" t="s">
        <v>1</v>
      </c>
      <c r="AW507" s="199" t="s">
        <v>1</v>
      </c>
    </row>
    <row r="508" spans="1:49" ht="30.15" customHeight="1" x14ac:dyDescent="0.25">
      <c r="A508" s="213" t="s">
        <v>18</v>
      </c>
      <c r="B508" s="189" t="s">
        <v>1</v>
      </c>
      <c r="C508" s="212" t="s">
        <v>34</v>
      </c>
      <c r="D508" s="190" t="s">
        <v>7</v>
      </c>
      <c r="E508" s="190" t="s">
        <v>553</v>
      </c>
      <c r="F508" s="203"/>
      <c r="G508" s="190" t="s">
        <v>554</v>
      </c>
      <c r="H508" s="192" t="s">
        <v>409</v>
      </c>
      <c r="I508" s="193">
        <v>750</v>
      </c>
      <c r="J508" s="193">
        <v>750</v>
      </c>
      <c r="K508" s="193">
        <v>750</v>
      </c>
      <c r="L508" s="193">
        <v>1125</v>
      </c>
      <c r="M508" s="194">
        <v>1125</v>
      </c>
      <c r="N508" s="195">
        <v>0</v>
      </c>
      <c r="O508" s="195">
        <v>26.88</v>
      </c>
      <c r="P508" s="195">
        <v>24</v>
      </c>
      <c r="Q508" s="195" t="s">
        <v>1</v>
      </c>
      <c r="R508" s="196">
        <v>120</v>
      </c>
      <c r="S508" s="197">
        <v>0</v>
      </c>
      <c r="T508" s="195">
        <v>26.88</v>
      </c>
      <c r="U508" s="195">
        <v>24</v>
      </c>
      <c r="V508" s="197" t="s">
        <v>1</v>
      </c>
      <c r="W508" s="196">
        <v>120</v>
      </c>
      <c r="X508" s="195">
        <v>0</v>
      </c>
      <c r="Y508" s="195">
        <v>26.88</v>
      </c>
      <c r="Z508" s="195">
        <v>24</v>
      </c>
      <c r="AA508" s="196" t="s">
        <v>1</v>
      </c>
      <c r="AB508" s="196" t="s">
        <v>1</v>
      </c>
      <c r="AC508" s="197">
        <v>0</v>
      </c>
      <c r="AD508" s="197">
        <v>26.88</v>
      </c>
      <c r="AE508" s="197">
        <v>24</v>
      </c>
      <c r="AF508" s="198" t="s">
        <v>1</v>
      </c>
      <c r="AG508" s="198" t="s">
        <v>1</v>
      </c>
      <c r="AH508" s="198" t="s">
        <v>1</v>
      </c>
      <c r="AI508" s="209" t="s">
        <v>1</v>
      </c>
      <c r="AJ508" s="209" t="s">
        <v>1</v>
      </c>
      <c r="AK508" s="244" t="s">
        <v>1</v>
      </c>
      <c r="AL508" s="245" t="s">
        <v>1</v>
      </c>
      <c r="AM508" s="200" t="s">
        <v>1</v>
      </c>
      <c r="AN508" s="199" t="s">
        <v>1</v>
      </c>
      <c r="AO508" s="199" t="s">
        <v>1</v>
      </c>
      <c r="AP508" s="198" t="s">
        <v>1</v>
      </c>
      <c r="AQ508" s="198" t="s">
        <v>1</v>
      </c>
      <c r="AR508" s="201" t="s">
        <v>1</v>
      </c>
      <c r="AS508" s="201" t="s">
        <v>1</v>
      </c>
      <c r="AT508" s="199" t="s">
        <v>1</v>
      </c>
      <c r="AU508" s="199" t="s">
        <v>1</v>
      </c>
      <c r="AV508" s="202" t="s">
        <v>1</v>
      </c>
      <c r="AW508" s="199" t="s">
        <v>1</v>
      </c>
    </row>
    <row r="509" spans="1:49" ht="30.15" customHeight="1" x14ac:dyDescent="0.25">
      <c r="A509" s="213" t="s">
        <v>18</v>
      </c>
      <c r="B509" s="189" t="s">
        <v>1</v>
      </c>
      <c r="C509" s="212" t="s">
        <v>34</v>
      </c>
      <c r="D509" s="190" t="s">
        <v>7</v>
      </c>
      <c r="E509" s="190" t="s">
        <v>555</v>
      </c>
      <c r="F509" s="203"/>
      <c r="G509" s="190" t="s">
        <v>554</v>
      </c>
      <c r="H509" s="192" t="s">
        <v>409</v>
      </c>
      <c r="I509" s="193">
        <v>750</v>
      </c>
      <c r="J509" s="193">
        <v>750</v>
      </c>
      <c r="K509" s="193">
        <v>750</v>
      </c>
      <c r="L509" s="193">
        <v>1125</v>
      </c>
      <c r="M509" s="194">
        <v>1125</v>
      </c>
      <c r="N509" s="195">
        <v>0</v>
      </c>
      <c r="O509" s="195">
        <v>26.88</v>
      </c>
      <c r="P509" s="195">
        <v>24</v>
      </c>
      <c r="Q509" s="195" t="s">
        <v>1</v>
      </c>
      <c r="R509" s="196">
        <v>120</v>
      </c>
      <c r="S509" s="197">
        <v>0</v>
      </c>
      <c r="T509" s="195">
        <v>26.88</v>
      </c>
      <c r="U509" s="195">
        <v>24</v>
      </c>
      <c r="V509" s="197" t="s">
        <v>1</v>
      </c>
      <c r="W509" s="196">
        <v>120</v>
      </c>
      <c r="X509" s="195">
        <v>0</v>
      </c>
      <c r="Y509" s="195">
        <v>26.88</v>
      </c>
      <c r="Z509" s="195">
        <v>24</v>
      </c>
      <c r="AA509" s="196" t="s">
        <v>1</v>
      </c>
      <c r="AB509" s="196" t="s">
        <v>1</v>
      </c>
      <c r="AC509" s="197">
        <v>0</v>
      </c>
      <c r="AD509" s="197">
        <v>26.88</v>
      </c>
      <c r="AE509" s="197">
        <v>24</v>
      </c>
      <c r="AF509" s="198" t="s">
        <v>1</v>
      </c>
      <c r="AG509" s="198" t="s">
        <v>1</v>
      </c>
      <c r="AH509" s="198" t="s">
        <v>1</v>
      </c>
      <c r="AI509" s="209" t="s">
        <v>1</v>
      </c>
      <c r="AJ509" s="209" t="s">
        <v>1</v>
      </c>
      <c r="AK509" s="244" t="s">
        <v>1</v>
      </c>
      <c r="AL509" s="245" t="s">
        <v>1</v>
      </c>
      <c r="AM509" s="200" t="s">
        <v>1</v>
      </c>
      <c r="AN509" s="199" t="s">
        <v>1</v>
      </c>
      <c r="AO509" s="199" t="s">
        <v>1</v>
      </c>
      <c r="AP509" s="198" t="s">
        <v>1</v>
      </c>
      <c r="AQ509" s="198" t="s">
        <v>1</v>
      </c>
      <c r="AR509" s="201" t="s">
        <v>1</v>
      </c>
      <c r="AS509" s="201" t="s">
        <v>1</v>
      </c>
      <c r="AT509" s="199" t="s">
        <v>1</v>
      </c>
      <c r="AU509" s="199" t="s">
        <v>1</v>
      </c>
      <c r="AV509" s="202" t="s">
        <v>1</v>
      </c>
      <c r="AW509" s="199" t="s">
        <v>1</v>
      </c>
    </row>
    <row r="510" spans="1:49" ht="30.15" customHeight="1" x14ac:dyDescent="0.25">
      <c r="A510" s="213" t="s">
        <v>18</v>
      </c>
      <c r="B510" s="189" t="s">
        <v>1</v>
      </c>
      <c r="C510" s="212" t="s">
        <v>34</v>
      </c>
      <c r="D510" s="190" t="s">
        <v>7</v>
      </c>
      <c r="E510" s="190" t="s">
        <v>556</v>
      </c>
      <c r="F510" s="203"/>
      <c r="G510" s="190" t="s">
        <v>554</v>
      </c>
      <c r="H510" s="192" t="s">
        <v>409</v>
      </c>
      <c r="I510" s="193">
        <v>750</v>
      </c>
      <c r="J510" s="193">
        <v>750</v>
      </c>
      <c r="K510" s="193">
        <v>750</v>
      </c>
      <c r="L510" s="193">
        <v>1125</v>
      </c>
      <c r="M510" s="194">
        <v>1125</v>
      </c>
      <c r="N510" s="195">
        <v>0</v>
      </c>
      <c r="O510" s="195">
        <v>26.88</v>
      </c>
      <c r="P510" s="195">
        <v>24</v>
      </c>
      <c r="Q510" s="195" t="s">
        <v>1</v>
      </c>
      <c r="R510" s="196">
        <v>120</v>
      </c>
      <c r="S510" s="197">
        <v>0</v>
      </c>
      <c r="T510" s="195">
        <v>26.88</v>
      </c>
      <c r="U510" s="195">
        <v>24</v>
      </c>
      <c r="V510" s="197" t="s">
        <v>1</v>
      </c>
      <c r="W510" s="196">
        <v>120</v>
      </c>
      <c r="X510" s="195">
        <v>0</v>
      </c>
      <c r="Y510" s="195">
        <v>26.88</v>
      </c>
      <c r="Z510" s="195">
        <v>24</v>
      </c>
      <c r="AA510" s="196" t="s">
        <v>1</v>
      </c>
      <c r="AB510" s="196" t="s">
        <v>1</v>
      </c>
      <c r="AC510" s="197">
        <v>0</v>
      </c>
      <c r="AD510" s="197">
        <v>26.88</v>
      </c>
      <c r="AE510" s="197">
        <v>24</v>
      </c>
      <c r="AF510" s="198" t="s">
        <v>1</v>
      </c>
      <c r="AG510" s="198" t="s">
        <v>1</v>
      </c>
      <c r="AH510" s="198" t="s">
        <v>1</v>
      </c>
      <c r="AI510" s="209" t="s">
        <v>1</v>
      </c>
      <c r="AJ510" s="209" t="s">
        <v>1</v>
      </c>
      <c r="AK510" s="244" t="s">
        <v>1</v>
      </c>
      <c r="AL510" s="245" t="s">
        <v>1</v>
      </c>
      <c r="AM510" s="200" t="s">
        <v>1</v>
      </c>
      <c r="AN510" s="199" t="s">
        <v>1</v>
      </c>
      <c r="AO510" s="199" t="s">
        <v>1</v>
      </c>
      <c r="AP510" s="198" t="s">
        <v>1</v>
      </c>
      <c r="AQ510" s="198" t="s">
        <v>1</v>
      </c>
      <c r="AR510" s="201" t="s">
        <v>1</v>
      </c>
      <c r="AS510" s="201" t="s">
        <v>1</v>
      </c>
      <c r="AT510" s="199" t="s">
        <v>1</v>
      </c>
      <c r="AU510" s="199" t="s">
        <v>1</v>
      </c>
      <c r="AV510" s="202" t="s">
        <v>1</v>
      </c>
      <c r="AW510" s="199" t="s">
        <v>1</v>
      </c>
    </row>
    <row r="511" spans="1:49" ht="30.15" customHeight="1" x14ac:dyDescent="0.25">
      <c r="A511" s="213" t="s">
        <v>18</v>
      </c>
      <c r="B511" s="189" t="s">
        <v>1</v>
      </c>
      <c r="C511" s="212" t="s">
        <v>34</v>
      </c>
      <c r="D511" s="190" t="s">
        <v>7</v>
      </c>
      <c r="E511" s="190" t="s">
        <v>561</v>
      </c>
      <c r="F511" s="203"/>
      <c r="G511" s="190" t="s">
        <v>562</v>
      </c>
      <c r="H511" s="192" t="s">
        <v>7</v>
      </c>
      <c r="I511" s="193">
        <v>1073</v>
      </c>
      <c r="J511" s="193">
        <v>1073</v>
      </c>
      <c r="K511" s="193">
        <v>1073</v>
      </c>
      <c r="L511" s="193">
        <v>1575</v>
      </c>
      <c r="M511" s="194">
        <v>1575</v>
      </c>
      <c r="N511" s="195">
        <v>0</v>
      </c>
      <c r="O511" s="197">
        <v>18.55</v>
      </c>
      <c r="P511" s="195">
        <v>24</v>
      </c>
      <c r="Q511" s="195" t="s">
        <v>1</v>
      </c>
      <c r="R511" s="196" t="s">
        <v>1254</v>
      </c>
      <c r="S511" s="197">
        <v>0</v>
      </c>
      <c r="T511" s="197">
        <v>18.55</v>
      </c>
      <c r="U511" s="195">
        <v>24</v>
      </c>
      <c r="V511" s="197" t="s">
        <v>1</v>
      </c>
      <c r="W511" s="196" t="s">
        <v>1254</v>
      </c>
      <c r="X511" s="195">
        <v>0</v>
      </c>
      <c r="Y511" s="195">
        <v>35.629999999999995</v>
      </c>
      <c r="Z511" s="195">
        <v>24</v>
      </c>
      <c r="AA511" s="196" t="s">
        <v>1</v>
      </c>
      <c r="AB511" s="196" t="s">
        <v>1</v>
      </c>
      <c r="AC511" s="197">
        <v>0</v>
      </c>
      <c r="AD511" s="195">
        <v>35.629999999999995</v>
      </c>
      <c r="AE511" s="197">
        <v>24</v>
      </c>
      <c r="AF511" s="198" t="s">
        <v>1</v>
      </c>
      <c r="AG511" s="198" t="s">
        <v>1</v>
      </c>
      <c r="AH511" s="198" t="s">
        <v>1</v>
      </c>
      <c r="AI511" s="209" t="s">
        <v>1</v>
      </c>
      <c r="AJ511" s="209" t="s">
        <v>1</v>
      </c>
      <c r="AK511" s="244" t="s">
        <v>1</v>
      </c>
      <c r="AL511" s="245" t="s">
        <v>1</v>
      </c>
      <c r="AM511" s="200" t="s">
        <v>1</v>
      </c>
      <c r="AN511" s="199" t="s">
        <v>1</v>
      </c>
      <c r="AO511" s="199" t="s">
        <v>1</v>
      </c>
      <c r="AP511" s="198" t="s">
        <v>1</v>
      </c>
      <c r="AQ511" s="198" t="s">
        <v>1</v>
      </c>
      <c r="AR511" s="201" t="s">
        <v>1</v>
      </c>
      <c r="AS511" s="201" t="s">
        <v>1</v>
      </c>
      <c r="AT511" s="199" t="s">
        <v>1</v>
      </c>
      <c r="AU511" s="199" t="s">
        <v>1</v>
      </c>
      <c r="AV511" s="202" t="s">
        <v>1</v>
      </c>
      <c r="AW511" s="199" t="s">
        <v>1</v>
      </c>
    </row>
    <row r="512" spans="1:49" ht="30.15" customHeight="1" x14ac:dyDescent="0.25">
      <c r="A512" s="213" t="s">
        <v>18</v>
      </c>
      <c r="B512" s="189" t="s">
        <v>1</v>
      </c>
      <c r="C512" s="212" t="s">
        <v>34</v>
      </c>
      <c r="D512" s="190" t="s">
        <v>7</v>
      </c>
      <c r="E512" s="190" t="s">
        <v>563</v>
      </c>
      <c r="F512" s="203"/>
      <c r="G512" s="190" t="s">
        <v>562</v>
      </c>
      <c r="H512" s="192" t="s">
        <v>409</v>
      </c>
      <c r="I512" s="193">
        <v>1073</v>
      </c>
      <c r="J512" s="193">
        <v>1073</v>
      </c>
      <c r="K512" s="193">
        <v>1073</v>
      </c>
      <c r="L512" s="193">
        <v>1575</v>
      </c>
      <c r="M512" s="194">
        <v>1575</v>
      </c>
      <c r="N512" s="195">
        <v>0</v>
      </c>
      <c r="O512" s="197">
        <v>18.55</v>
      </c>
      <c r="P512" s="195">
        <v>24</v>
      </c>
      <c r="Q512" s="195" t="s">
        <v>1</v>
      </c>
      <c r="R512" s="196" t="s">
        <v>1254</v>
      </c>
      <c r="S512" s="197">
        <v>0</v>
      </c>
      <c r="T512" s="197">
        <v>18.55</v>
      </c>
      <c r="U512" s="195">
        <v>24</v>
      </c>
      <c r="V512" s="197" t="s">
        <v>1</v>
      </c>
      <c r="W512" s="196" t="s">
        <v>1254</v>
      </c>
      <c r="X512" s="195">
        <v>0</v>
      </c>
      <c r="Y512" s="195">
        <v>35.629999999999995</v>
      </c>
      <c r="Z512" s="195">
        <v>24</v>
      </c>
      <c r="AA512" s="196" t="s">
        <v>1</v>
      </c>
      <c r="AB512" s="196" t="s">
        <v>1</v>
      </c>
      <c r="AC512" s="197">
        <v>0</v>
      </c>
      <c r="AD512" s="195">
        <v>35.629999999999995</v>
      </c>
      <c r="AE512" s="197">
        <v>24</v>
      </c>
      <c r="AF512" s="198" t="s">
        <v>1</v>
      </c>
      <c r="AG512" s="198" t="s">
        <v>1</v>
      </c>
      <c r="AH512" s="198" t="s">
        <v>1</v>
      </c>
      <c r="AI512" s="209" t="s">
        <v>1</v>
      </c>
      <c r="AJ512" s="209" t="s">
        <v>1</v>
      </c>
      <c r="AK512" s="244" t="s">
        <v>1</v>
      </c>
      <c r="AL512" s="245" t="s">
        <v>1</v>
      </c>
      <c r="AM512" s="200" t="s">
        <v>1</v>
      </c>
      <c r="AN512" s="199" t="s">
        <v>1</v>
      </c>
      <c r="AO512" s="199" t="s">
        <v>1</v>
      </c>
      <c r="AP512" s="198" t="s">
        <v>1</v>
      </c>
      <c r="AQ512" s="198" t="s">
        <v>1</v>
      </c>
      <c r="AR512" s="201" t="s">
        <v>1</v>
      </c>
      <c r="AS512" s="201" t="s">
        <v>1</v>
      </c>
      <c r="AT512" s="199" t="s">
        <v>1</v>
      </c>
      <c r="AU512" s="199" t="s">
        <v>1</v>
      </c>
      <c r="AV512" s="202" t="s">
        <v>1</v>
      </c>
      <c r="AW512" s="199" t="s">
        <v>1</v>
      </c>
    </row>
    <row r="513" spans="1:49" ht="30.15" customHeight="1" x14ac:dyDescent="0.25">
      <c r="A513" s="213" t="s">
        <v>18</v>
      </c>
      <c r="B513" s="189" t="s">
        <v>1</v>
      </c>
      <c r="C513" s="212" t="s">
        <v>34</v>
      </c>
      <c r="D513" s="190" t="s">
        <v>7</v>
      </c>
      <c r="E513" s="190" t="s">
        <v>564</v>
      </c>
      <c r="F513" s="203"/>
      <c r="G513" s="190" t="s">
        <v>562</v>
      </c>
      <c r="H513" s="192" t="s">
        <v>409</v>
      </c>
      <c r="I513" s="193">
        <v>1073</v>
      </c>
      <c r="J513" s="193">
        <v>1073</v>
      </c>
      <c r="K513" s="193">
        <v>1073</v>
      </c>
      <c r="L513" s="193">
        <v>1575</v>
      </c>
      <c r="M513" s="194">
        <v>1575</v>
      </c>
      <c r="N513" s="195">
        <v>0</v>
      </c>
      <c r="O513" s="197">
        <v>18.55</v>
      </c>
      <c r="P513" s="195">
        <v>24</v>
      </c>
      <c r="Q513" s="195" t="s">
        <v>1</v>
      </c>
      <c r="R513" s="196" t="s">
        <v>1254</v>
      </c>
      <c r="S513" s="197">
        <v>0</v>
      </c>
      <c r="T513" s="197">
        <v>18.55</v>
      </c>
      <c r="U513" s="195">
        <v>24</v>
      </c>
      <c r="V513" s="197" t="s">
        <v>1</v>
      </c>
      <c r="W513" s="196" t="s">
        <v>1254</v>
      </c>
      <c r="X513" s="195">
        <v>0</v>
      </c>
      <c r="Y513" s="195">
        <v>35.629999999999995</v>
      </c>
      <c r="Z513" s="195">
        <v>24</v>
      </c>
      <c r="AA513" s="196" t="s">
        <v>1</v>
      </c>
      <c r="AB513" s="196" t="s">
        <v>1</v>
      </c>
      <c r="AC513" s="197">
        <v>0</v>
      </c>
      <c r="AD513" s="195">
        <v>35.629999999999995</v>
      </c>
      <c r="AE513" s="197">
        <v>24</v>
      </c>
      <c r="AF513" s="198" t="s">
        <v>1</v>
      </c>
      <c r="AG513" s="198" t="s">
        <v>1</v>
      </c>
      <c r="AH513" s="198" t="s">
        <v>1</v>
      </c>
      <c r="AI513" s="209" t="s">
        <v>1</v>
      </c>
      <c r="AJ513" s="209" t="s">
        <v>1</v>
      </c>
      <c r="AK513" s="244" t="s">
        <v>1</v>
      </c>
      <c r="AL513" s="245" t="s">
        <v>1</v>
      </c>
      <c r="AM513" s="200" t="s">
        <v>1</v>
      </c>
      <c r="AN513" s="199" t="s">
        <v>1</v>
      </c>
      <c r="AO513" s="199" t="s">
        <v>1</v>
      </c>
      <c r="AP513" s="198" t="s">
        <v>1</v>
      </c>
      <c r="AQ513" s="198" t="s">
        <v>1</v>
      </c>
      <c r="AR513" s="201" t="s">
        <v>1</v>
      </c>
      <c r="AS513" s="201" t="s">
        <v>1</v>
      </c>
      <c r="AT513" s="199" t="s">
        <v>1</v>
      </c>
      <c r="AU513" s="199" t="s">
        <v>1</v>
      </c>
      <c r="AV513" s="202" t="s">
        <v>1</v>
      </c>
      <c r="AW513" s="199" t="s">
        <v>1</v>
      </c>
    </row>
    <row r="514" spans="1:49" ht="30.15" customHeight="1" x14ac:dyDescent="0.25">
      <c r="A514" s="213" t="s">
        <v>18</v>
      </c>
      <c r="B514" s="189" t="s">
        <v>1</v>
      </c>
      <c r="C514" s="212" t="s">
        <v>34</v>
      </c>
      <c r="D514" s="190" t="s">
        <v>7</v>
      </c>
      <c r="E514" s="190" t="s">
        <v>565</v>
      </c>
      <c r="F514" s="203"/>
      <c r="G514" s="190" t="s">
        <v>566</v>
      </c>
      <c r="H514" s="192" t="s">
        <v>409</v>
      </c>
      <c r="I514" s="193">
        <v>1730</v>
      </c>
      <c r="J514" s="193">
        <v>1550</v>
      </c>
      <c r="K514" s="193">
        <v>1730</v>
      </c>
      <c r="L514" s="193">
        <v>1949</v>
      </c>
      <c r="M514" s="194">
        <v>1949</v>
      </c>
      <c r="N514" s="195">
        <v>0</v>
      </c>
      <c r="O514" s="197">
        <v>21.630000000000003</v>
      </c>
      <c r="P514" s="195">
        <v>24</v>
      </c>
      <c r="Q514" s="195" t="s">
        <v>1</v>
      </c>
      <c r="R514" s="196" t="s">
        <v>1255</v>
      </c>
      <c r="S514" s="197">
        <v>0</v>
      </c>
      <c r="T514" s="197">
        <v>21.630000000000003</v>
      </c>
      <c r="U514" s="195">
        <v>24</v>
      </c>
      <c r="V514" s="197" t="s">
        <v>1</v>
      </c>
      <c r="W514" s="196" t="s">
        <v>1255</v>
      </c>
      <c r="X514" s="195">
        <v>0</v>
      </c>
      <c r="Y514" s="195">
        <v>38.71</v>
      </c>
      <c r="Z514" s="195">
        <v>24</v>
      </c>
      <c r="AA514" s="196" t="s">
        <v>1</v>
      </c>
      <c r="AB514" s="196" t="s">
        <v>1</v>
      </c>
      <c r="AC514" s="197">
        <v>0</v>
      </c>
      <c r="AD514" s="195">
        <v>38.71</v>
      </c>
      <c r="AE514" s="197">
        <v>24</v>
      </c>
      <c r="AF514" s="198" t="s">
        <v>1</v>
      </c>
      <c r="AG514" s="198" t="s">
        <v>1</v>
      </c>
      <c r="AH514" s="198" t="s">
        <v>1</v>
      </c>
      <c r="AI514" s="209" t="s">
        <v>1</v>
      </c>
      <c r="AJ514" s="209" t="s">
        <v>1</v>
      </c>
      <c r="AK514" s="244" t="s">
        <v>1</v>
      </c>
      <c r="AL514" s="245" t="s">
        <v>1</v>
      </c>
      <c r="AM514" s="200" t="s">
        <v>1</v>
      </c>
      <c r="AN514" s="199" t="s">
        <v>1</v>
      </c>
      <c r="AO514" s="199" t="s">
        <v>1</v>
      </c>
      <c r="AP514" s="198" t="s">
        <v>1</v>
      </c>
      <c r="AQ514" s="198" t="s">
        <v>1</v>
      </c>
      <c r="AR514" s="201" t="s">
        <v>1</v>
      </c>
      <c r="AS514" s="201" t="s">
        <v>1</v>
      </c>
      <c r="AT514" s="199" t="s">
        <v>1</v>
      </c>
      <c r="AU514" s="199" t="s">
        <v>1</v>
      </c>
      <c r="AV514" s="202" t="s">
        <v>1</v>
      </c>
      <c r="AW514" s="199" t="s">
        <v>1</v>
      </c>
    </row>
    <row r="515" spans="1:49" ht="30.15" customHeight="1" x14ac:dyDescent="0.25">
      <c r="A515" s="213" t="s">
        <v>18</v>
      </c>
      <c r="B515" s="189" t="s">
        <v>1</v>
      </c>
      <c r="C515" s="212" t="s">
        <v>34</v>
      </c>
      <c r="D515" s="190" t="s">
        <v>7</v>
      </c>
      <c r="E515" s="190" t="s">
        <v>811</v>
      </c>
      <c r="F515" s="203"/>
      <c r="G515" s="190" t="s">
        <v>812</v>
      </c>
      <c r="H515" s="192" t="s">
        <v>7</v>
      </c>
      <c r="I515" s="193">
        <v>2400</v>
      </c>
      <c r="J515" s="193">
        <v>2400</v>
      </c>
      <c r="K515" s="193">
        <v>2400</v>
      </c>
      <c r="L515" s="193">
        <v>2600</v>
      </c>
      <c r="M515" s="194">
        <v>2600</v>
      </c>
      <c r="N515" s="195">
        <v>0</v>
      </c>
      <c r="O515" s="195" t="s">
        <v>1</v>
      </c>
      <c r="P515" s="195" t="s">
        <v>1</v>
      </c>
      <c r="Q515" s="195" t="s">
        <v>1</v>
      </c>
      <c r="R515" s="196" t="s">
        <v>1260</v>
      </c>
      <c r="S515" s="197">
        <v>0</v>
      </c>
      <c r="T515" s="197" t="s">
        <v>1</v>
      </c>
      <c r="U515" s="197" t="s">
        <v>1</v>
      </c>
      <c r="V515" s="197" t="s">
        <v>1</v>
      </c>
      <c r="W515" s="196" t="s">
        <v>1260</v>
      </c>
      <c r="X515" s="195">
        <v>0</v>
      </c>
      <c r="Y515" s="195" t="s">
        <v>1</v>
      </c>
      <c r="Z515" s="195" t="s">
        <v>1</v>
      </c>
      <c r="AA515" s="196" t="s">
        <v>1</v>
      </c>
      <c r="AB515" s="196" t="s">
        <v>1</v>
      </c>
      <c r="AC515" s="197">
        <v>0</v>
      </c>
      <c r="AD515" s="197" t="s">
        <v>1</v>
      </c>
      <c r="AE515" s="197" t="s">
        <v>1</v>
      </c>
      <c r="AF515" s="198" t="s">
        <v>1</v>
      </c>
      <c r="AG515" s="198" t="s">
        <v>1</v>
      </c>
      <c r="AH515" s="198" t="s">
        <v>1</v>
      </c>
      <c r="AI515" s="209" t="s">
        <v>1</v>
      </c>
      <c r="AJ515" s="209" t="s">
        <v>1</v>
      </c>
      <c r="AK515" s="244" t="s">
        <v>1</v>
      </c>
      <c r="AL515" s="245" t="s">
        <v>1</v>
      </c>
      <c r="AM515" s="200" t="s">
        <v>1</v>
      </c>
      <c r="AN515" s="199" t="s">
        <v>1</v>
      </c>
      <c r="AO515" s="199" t="s">
        <v>1</v>
      </c>
      <c r="AP515" s="198" t="s">
        <v>1</v>
      </c>
      <c r="AQ515" s="198" t="s">
        <v>1</v>
      </c>
      <c r="AR515" s="201" t="s">
        <v>1</v>
      </c>
      <c r="AS515" s="201" t="s">
        <v>1</v>
      </c>
      <c r="AT515" s="199" t="s">
        <v>1</v>
      </c>
      <c r="AU515" s="199" t="s">
        <v>1</v>
      </c>
      <c r="AV515" s="202" t="s">
        <v>1</v>
      </c>
      <c r="AW515" s="199" t="s">
        <v>1</v>
      </c>
    </row>
    <row r="516" spans="1:49" ht="30.15" customHeight="1" x14ac:dyDescent="0.25">
      <c r="A516" s="213" t="s">
        <v>18</v>
      </c>
      <c r="B516" s="189" t="s">
        <v>1</v>
      </c>
      <c r="C516" s="212" t="s">
        <v>34</v>
      </c>
      <c r="D516" s="190" t="s">
        <v>7</v>
      </c>
      <c r="E516" s="190" t="s">
        <v>1047</v>
      </c>
      <c r="F516" s="203"/>
      <c r="G516" s="190" t="s">
        <v>1046</v>
      </c>
      <c r="H516" s="192" t="s">
        <v>7</v>
      </c>
      <c r="I516" s="193">
        <v>2248</v>
      </c>
      <c r="J516" s="193">
        <v>2248</v>
      </c>
      <c r="K516" s="193">
        <v>2248</v>
      </c>
      <c r="L516" s="193">
        <v>2865</v>
      </c>
      <c r="M516" s="194">
        <v>2865</v>
      </c>
      <c r="N516" s="195">
        <v>0</v>
      </c>
      <c r="O516" s="195">
        <v>22.71</v>
      </c>
      <c r="P516" s="195">
        <v>24</v>
      </c>
      <c r="Q516" s="195" t="s">
        <v>1</v>
      </c>
      <c r="R516" s="196" t="s">
        <v>1259</v>
      </c>
      <c r="S516" s="196">
        <v>0</v>
      </c>
      <c r="T516" s="195">
        <v>22.71</v>
      </c>
      <c r="U516" s="195">
        <v>24</v>
      </c>
      <c r="V516" s="196" t="s">
        <v>1</v>
      </c>
      <c r="W516" s="196" t="s">
        <v>1259</v>
      </c>
      <c r="X516" s="195">
        <v>0</v>
      </c>
      <c r="Y516" s="195">
        <v>31.05</v>
      </c>
      <c r="Z516" s="195">
        <v>24</v>
      </c>
      <c r="AA516" s="196" t="s">
        <v>1</v>
      </c>
      <c r="AB516" s="196" t="s">
        <v>1</v>
      </c>
      <c r="AC516" s="196">
        <v>0</v>
      </c>
      <c r="AD516" s="195">
        <v>31.05</v>
      </c>
      <c r="AE516" s="195">
        <v>24</v>
      </c>
      <c r="AF516" s="222" t="s">
        <v>1</v>
      </c>
      <c r="AG516" s="222" t="s">
        <v>1</v>
      </c>
      <c r="AH516" s="198" t="s">
        <v>1</v>
      </c>
      <c r="AI516" s="209" t="s">
        <v>1</v>
      </c>
      <c r="AJ516" s="209" t="s">
        <v>1</v>
      </c>
      <c r="AK516" s="244" t="s">
        <v>1</v>
      </c>
      <c r="AL516" s="245" t="s">
        <v>1</v>
      </c>
      <c r="AM516" s="200" t="s">
        <v>1</v>
      </c>
      <c r="AN516" s="199" t="s">
        <v>1</v>
      </c>
      <c r="AO516" s="199" t="s">
        <v>1</v>
      </c>
      <c r="AP516" s="198" t="s">
        <v>1</v>
      </c>
      <c r="AQ516" s="198" t="s">
        <v>1</v>
      </c>
      <c r="AR516" s="201" t="s">
        <v>1</v>
      </c>
      <c r="AS516" s="201" t="s">
        <v>1</v>
      </c>
      <c r="AT516" s="199" t="s">
        <v>1</v>
      </c>
      <c r="AU516" s="199" t="s">
        <v>1</v>
      </c>
      <c r="AV516" s="202" t="s">
        <v>1</v>
      </c>
      <c r="AW516" s="199" t="s">
        <v>1</v>
      </c>
    </row>
    <row r="517" spans="1:49" ht="30.15" customHeight="1" x14ac:dyDescent="0.25">
      <c r="A517" s="213" t="s">
        <v>18</v>
      </c>
      <c r="B517" s="189" t="s">
        <v>1</v>
      </c>
      <c r="C517" s="212" t="s">
        <v>34</v>
      </c>
      <c r="D517" s="190" t="s">
        <v>7</v>
      </c>
      <c r="E517" s="190" t="s">
        <v>1048</v>
      </c>
      <c r="F517" s="203"/>
      <c r="G517" s="190" t="s">
        <v>1046</v>
      </c>
      <c r="H517" s="192" t="s">
        <v>7</v>
      </c>
      <c r="I517" s="193">
        <v>2248</v>
      </c>
      <c r="J517" s="193">
        <v>2248</v>
      </c>
      <c r="K517" s="193">
        <v>2248</v>
      </c>
      <c r="L517" s="193">
        <v>2865</v>
      </c>
      <c r="M517" s="194">
        <v>2865</v>
      </c>
      <c r="N517" s="195">
        <v>0</v>
      </c>
      <c r="O517" s="195">
        <v>22.71</v>
      </c>
      <c r="P517" s="195">
        <v>24</v>
      </c>
      <c r="Q517" s="195" t="s">
        <v>1</v>
      </c>
      <c r="R517" s="196" t="s">
        <v>1259</v>
      </c>
      <c r="S517" s="196">
        <v>0</v>
      </c>
      <c r="T517" s="195">
        <v>22.71</v>
      </c>
      <c r="U517" s="195">
        <v>24</v>
      </c>
      <c r="V517" s="196" t="s">
        <v>1</v>
      </c>
      <c r="W517" s="196" t="s">
        <v>1259</v>
      </c>
      <c r="X517" s="195">
        <v>0</v>
      </c>
      <c r="Y517" s="195">
        <v>31.05</v>
      </c>
      <c r="Z517" s="195">
        <v>24</v>
      </c>
      <c r="AA517" s="196" t="s">
        <v>1</v>
      </c>
      <c r="AB517" s="196" t="s">
        <v>1</v>
      </c>
      <c r="AC517" s="196">
        <v>0</v>
      </c>
      <c r="AD517" s="195">
        <v>31.05</v>
      </c>
      <c r="AE517" s="195">
        <v>24</v>
      </c>
      <c r="AF517" s="222" t="s">
        <v>1</v>
      </c>
      <c r="AG517" s="222" t="s">
        <v>1</v>
      </c>
      <c r="AH517" s="198" t="s">
        <v>1</v>
      </c>
      <c r="AI517" s="209" t="s">
        <v>1</v>
      </c>
      <c r="AJ517" s="209" t="s">
        <v>1</v>
      </c>
      <c r="AK517" s="244" t="s">
        <v>1</v>
      </c>
      <c r="AL517" s="245" t="s">
        <v>1</v>
      </c>
      <c r="AM517" s="200" t="s">
        <v>1</v>
      </c>
      <c r="AN517" s="199" t="s">
        <v>1</v>
      </c>
      <c r="AO517" s="199" t="s">
        <v>1</v>
      </c>
      <c r="AP517" s="198" t="s">
        <v>1</v>
      </c>
      <c r="AQ517" s="198" t="s">
        <v>1</v>
      </c>
      <c r="AR517" s="201" t="s">
        <v>1</v>
      </c>
      <c r="AS517" s="201" t="s">
        <v>1</v>
      </c>
      <c r="AT517" s="199" t="s">
        <v>1</v>
      </c>
      <c r="AU517" s="199" t="s">
        <v>1</v>
      </c>
      <c r="AV517" s="202" t="s">
        <v>1</v>
      </c>
      <c r="AW517" s="199" t="s">
        <v>1</v>
      </c>
    </row>
    <row r="518" spans="1:49" ht="30.15" customHeight="1" x14ac:dyDescent="0.25">
      <c r="A518" s="213" t="s">
        <v>18</v>
      </c>
      <c r="B518" s="189" t="s">
        <v>1</v>
      </c>
      <c r="C518" s="212" t="s">
        <v>34</v>
      </c>
      <c r="D518" s="190" t="s">
        <v>7</v>
      </c>
      <c r="E518" s="190" t="s">
        <v>1049</v>
      </c>
      <c r="F518" s="203"/>
      <c r="G518" s="190" t="s">
        <v>1046</v>
      </c>
      <c r="H518" s="192" t="s">
        <v>7</v>
      </c>
      <c r="I518" s="193">
        <v>2248</v>
      </c>
      <c r="J518" s="193">
        <v>2248</v>
      </c>
      <c r="K518" s="193">
        <v>2248</v>
      </c>
      <c r="L518" s="193">
        <v>2865</v>
      </c>
      <c r="M518" s="194">
        <v>2865</v>
      </c>
      <c r="N518" s="195">
        <v>0</v>
      </c>
      <c r="O518" s="195">
        <v>22.71</v>
      </c>
      <c r="P518" s="195">
        <v>24</v>
      </c>
      <c r="Q518" s="195" t="s">
        <v>1</v>
      </c>
      <c r="R518" s="196" t="s">
        <v>1259</v>
      </c>
      <c r="S518" s="196">
        <v>0</v>
      </c>
      <c r="T518" s="195">
        <v>22.71</v>
      </c>
      <c r="U518" s="195">
        <v>24</v>
      </c>
      <c r="V518" s="196" t="s">
        <v>1</v>
      </c>
      <c r="W518" s="196" t="s">
        <v>1259</v>
      </c>
      <c r="X518" s="195">
        <v>0</v>
      </c>
      <c r="Y518" s="195">
        <v>31.05</v>
      </c>
      <c r="Z518" s="195">
        <v>24</v>
      </c>
      <c r="AA518" s="196" t="s">
        <v>1</v>
      </c>
      <c r="AB518" s="196" t="s">
        <v>1</v>
      </c>
      <c r="AC518" s="196">
        <v>0</v>
      </c>
      <c r="AD518" s="195">
        <v>31.05</v>
      </c>
      <c r="AE518" s="195">
        <v>24</v>
      </c>
      <c r="AF518" s="222" t="s">
        <v>1</v>
      </c>
      <c r="AG518" s="222" t="s">
        <v>1</v>
      </c>
      <c r="AH518" s="198" t="s">
        <v>1</v>
      </c>
      <c r="AI518" s="209" t="s">
        <v>1</v>
      </c>
      <c r="AJ518" s="209" t="s">
        <v>1</v>
      </c>
      <c r="AK518" s="244" t="s">
        <v>1</v>
      </c>
      <c r="AL518" s="245" t="s">
        <v>1</v>
      </c>
      <c r="AM518" s="200" t="s">
        <v>1</v>
      </c>
      <c r="AN518" s="199" t="s">
        <v>1</v>
      </c>
      <c r="AO518" s="199" t="s">
        <v>1</v>
      </c>
      <c r="AP518" s="198" t="s">
        <v>1</v>
      </c>
      <c r="AQ518" s="198" t="s">
        <v>1</v>
      </c>
      <c r="AR518" s="201" t="s">
        <v>1</v>
      </c>
      <c r="AS518" s="201" t="s">
        <v>1</v>
      </c>
      <c r="AT518" s="199" t="s">
        <v>1</v>
      </c>
      <c r="AU518" s="199" t="s">
        <v>1</v>
      </c>
      <c r="AV518" s="202" t="s">
        <v>1</v>
      </c>
      <c r="AW518" s="199" t="s">
        <v>1</v>
      </c>
    </row>
    <row r="519" spans="1:49" ht="30.15" customHeight="1" x14ac:dyDescent="0.25">
      <c r="A519" s="213" t="s">
        <v>18</v>
      </c>
      <c r="B519" s="189" t="s">
        <v>1</v>
      </c>
      <c r="C519" s="212" t="s">
        <v>34</v>
      </c>
      <c r="D519" s="190" t="s">
        <v>7</v>
      </c>
      <c r="E519" s="190" t="s">
        <v>1050</v>
      </c>
      <c r="F519" s="203"/>
      <c r="G519" s="190" t="s">
        <v>1046</v>
      </c>
      <c r="H519" s="192" t="s">
        <v>7</v>
      </c>
      <c r="I519" s="193">
        <v>2248</v>
      </c>
      <c r="J519" s="193">
        <v>2248</v>
      </c>
      <c r="K519" s="193">
        <v>2248</v>
      </c>
      <c r="L519" s="193">
        <v>2865</v>
      </c>
      <c r="M519" s="194">
        <v>2865</v>
      </c>
      <c r="N519" s="195">
        <v>0</v>
      </c>
      <c r="O519" s="195">
        <v>22.71</v>
      </c>
      <c r="P519" s="195">
        <v>24</v>
      </c>
      <c r="Q519" s="195" t="s">
        <v>1</v>
      </c>
      <c r="R519" s="196" t="s">
        <v>1259</v>
      </c>
      <c r="S519" s="196">
        <v>0</v>
      </c>
      <c r="T519" s="195">
        <v>22.71</v>
      </c>
      <c r="U519" s="195">
        <v>24</v>
      </c>
      <c r="V519" s="196" t="s">
        <v>1</v>
      </c>
      <c r="W519" s="196" t="s">
        <v>1259</v>
      </c>
      <c r="X519" s="195">
        <v>0</v>
      </c>
      <c r="Y519" s="195">
        <v>31.05</v>
      </c>
      <c r="Z519" s="195">
        <v>24</v>
      </c>
      <c r="AA519" s="196" t="s">
        <v>1</v>
      </c>
      <c r="AB519" s="196" t="s">
        <v>1</v>
      </c>
      <c r="AC519" s="196">
        <v>0</v>
      </c>
      <c r="AD519" s="195">
        <v>31.05</v>
      </c>
      <c r="AE519" s="195">
        <v>24</v>
      </c>
      <c r="AF519" s="222" t="s">
        <v>1</v>
      </c>
      <c r="AG519" s="222" t="s">
        <v>1</v>
      </c>
      <c r="AH519" s="198" t="s">
        <v>1</v>
      </c>
      <c r="AI519" s="209" t="s">
        <v>1</v>
      </c>
      <c r="AJ519" s="209" t="s">
        <v>1</v>
      </c>
      <c r="AK519" s="244" t="s">
        <v>1</v>
      </c>
      <c r="AL519" s="245" t="s">
        <v>1</v>
      </c>
      <c r="AM519" s="200" t="s">
        <v>1</v>
      </c>
      <c r="AN519" s="199" t="s">
        <v>1</v>
      </c>
      <c r="AO519" s="199" t="s">
        <v>1</v>
      </c>
      <c r="AP519" s="198" t="s">
        <v>1</v>
      </c>
      <c r="AQ519" s="198" t="s">
        <v>1</v>
      </c>
      <c r="AR519" s="201" t="s">
        <v>1</v>
      </c>
      <c r="AS519" s="201" t="s">
        <v>1</v>
      </c>
      <c r="AT519" s="199" t="s">
        <v>1</v>
      </c>
      <c r="AU519" s="199" t="s">
        <v>1</v>
      </c>
      <c r="AV519" s="202" t="s">
        <v>1</v>
      </c>
      <c r="AW519" s="199" t="s">
        <v>1</v>
      </c>
    </row>
    <row r="520" spans="1:49" ht="30.15" customHeight="1" x14ac:dyDescent="0.25">
      <c r="A520" s="213" t="s">
        <v>18</v>
      </c>
      <c r="B520" s="189" t="s">
        <v>1</v>
      </c>
      <c r="C520" s="212" t="s">
        <v>34</v>
      </c>
      <c r="D520" s="190" t="s">
        <v>7</v>
      </c>
      <c r="E520" s="190" t="s">
        <v>1051</v>
      </c>
      <c r="F520" s="203"/>
      <c r="G520" s="190" t="s">
        <v>1046</v>
      </c>
      <c r="H520" s="192" t="s">
        <v>7</v>
      </c>
      <c r="I520" s="193">
        <v>2248</v>
      </c>
      <c r="J520" s="193">
        <v>2248</v>
      </c>
      <c r="K520" s="193">
        <v>2248</v>
      </c>
      <c r="L520" s="193">
        <v>2865</v>
      </c>
      <c r="M520" s="194">
        <v>2865</v>
      </c>
      <c r="N520" s="195">
        <v>0</v>
      </c>
      <c r="O520" s="195">
        <v>22.71</v>
      </c>
      <c r="P520" s="195">
        <v>24</v>
      </c>
      <c r="Q520" s="195" t="s">
        <v>1</v>
      </c>
      <c r="R520" s="196" t="s">
        <v>1259</v>
      </c>
      <c r="S520" s="196">
        <v>0</v>
      </c>
      <c r="T520" s="195">
        <v>22.71</v>
      </c>
      <c r="U520" s="195">
        <v>24</v>
      </c>
      <c r="V520" s="196" t="s">
        <v>1</v>
      </c>
      <c r="W520" s="196" t="s">
        <v>1259</v>
      </c>
      <c r="X520" s="195">
        <v>0</v>
      </c>
      <c r="Y520" s="195">
        <v>31.05</v>
      </c>
      <c r="Z520" s="195">
        <v>24</v>
      </c>
      <c r="AA520" s="196" t="s">
        <v>1</v>
      </c>
      <c r="AB520" s="196" t="s">
        <v>1</v>
      </c>
      <c r="AC520" s="196">
        <v>0</v>
      </c>
      <c r="AD520" s="195">
        <v>31.05</v>
      </c>
      <c r="AE520" s="195">
        <v>24</v>
      </c>
      <c r="AF520" s="222" t="s">
        <v>1</v>
      </c>
      <c r="AG520" s="222" t="s">
        <v>1</v>
      </c>
      <c r="AH520" s="198" t="s">
        <v>1</v>
      </c>
      <c r="AI520" s="209" t="s">
        <v>1</v>
      </c>
      <c r="AJ520" s="209" t="s">
        <v>1</v>
      </c>
      <c r="AK520" s="244" t="s">
        <v>1</v>
      </c>
      <c r="AL520" s="245" t="s">
        <v>1</v>
      </c>
      <c r="AM520" s="200" t="s">
        <v>1</v>
      </c>
      <c r="AN520" s="199" t="s">
        <v>1</v>
      </c>
      <c r="AO520" s="199" t="s">
        <v>1</v>
      </c>
      <c r="AP520" s="198" t="s">
        <v>1</v>
      </c>
      <c r="AQ520" s="198" t="s">
        <v>1</v>
      </c>
      <c r="AR520" s="201" t="s">
        <v>1</v>
      </c>
      <c r="AS520" s="201" t="s">
        <v>1</v>
      </c>
      <c r="AT520" s="199" t="s">
        <v>1</v>
      </c>
      <c r="AU520" s="199" t="s">
        <v>1</v>
      </c>
      <c r="AV520" s="202" t="s">
        <v>1</v>
      </c>
      <c r="AW520" s="199" t="s">
        <v>1</v>
      </c>
    </row>
    <row r="521" spans="1:49" ht="30.15" customHeight="1" x14ac:dyDescent="0.25">
      <c r="A521" s="213" t="s">
        <v>18</v>
      </c>
      <c r="B521" s="189" t="s">
        <v>1</v>
      </c>
      <c r="C521" s="212" t="s">
        <v>34</v>
      </c>
      <c r="D521" s="190" t="s">
        <v>7</v>
      </c>
      <c r="E521" s="190" t="s">
        <v>1052</v>
      </c>
      <c r="F521" s="203"/>
      <c r="G521" s="190" t="s">
        <v>1046</v>
      </c>
      <c r="H521" s="192" t="s">
        <v>1233</v>
      </c>
      <c r="I521" s="193">
        <v>2248</v>
      </c>
      <c r="J521" s="193">
        <v>2248</v>
      </c>
      <c r="K521" s="193">
        <v>2248</v>
      </c>
      <c r="L521" s="193">
        <v>2865</v>
      </c>
      <c r="M521" s="194">
        <v>2865</v>
      </c>
      <c r="N521" s="195">
        <v>0</v>
      </c>
      <c r="O521" s="195">
        <v>22.71</v>
      </c>
      <c r="P521" s="195">
        <v>24</v>
      </c>
      <c r="Q521" s="195" t="s">
        <v>1</v>
      </c>
      <c r="R521" s="196" t="s">
        <v>1259</v>
      </c>
      <c r="S521" s="196">
        <v>0</v>
      </c>
      <c r="T521" s="195">
        <v>22.71</v>
      </c>
      <c r="U521" s="195">
        <v>24</v>
      </c>
      <c r="V521" s="196" t="s">
        <v>1</v>
      </c>
      <c r="W521" s="196" t="s">
        <v>1259</v>
      </c>
      <c r="X521" s="195">
        <v>0</v>
      </c>
      <c r="Y521" s="195">
        <v>31.05</v>
      </c>
      <c r="Z521" s="195">
        <v>24</v>
      </c>
      <c r="AA521" s="196" t="s">
        <v>1</v>
      </c>
      <c r="AB521" s="196" t="s">
        <v>1</v>
      </c>
      <c r="AC521" s="196">
        <v>0</v>
      </c>
      <c r="AD521" s="195">
        <v>31.05</v>
      </c>
      <c r="AE521" s="195">
        <v>24</v>
      </c>
      <c r="AF521" s="222" t="s">
        <v>1</v>
      </c>
      <c r="AG521" s="222" t="s">
        <v>1</v>
      </c>
      <c r="AH521" s="198" t="s">
        <v>1</v>
      </c>
      <c r="AI521" s="209" t="s">
        <v>1</v>
      </c>
      <c r="AJ521" s="209" t="s">
        <v>1</v>
      </c>
      <c r="AK521" s="244" t="s">
        <v>1</v>
      </c>
      <c r="AL521" s="245" t="s">
        <v>1</v>
      </c>
      <c r="AM521" s="200" t="s">
        <v>1</v>
      </c>
      <c r="AN521" s="199" t="s">
        <v>1</v>
      </c>
      <c r="AO521" s="199" t="s">
        <v>1</v>
      </c>
      <c r="AP521" s="198" t="s">
        <v>1</v>
      </c>
      <c r="AQ521" s="198" t="s">
        <v>1</v>
      </c>
      <c r="AR521" s="201" t="s">
        <v>1</v>
      </c>
      <c r="AS521" s="201" t="s">
        <v>1</v>
      </c>
      <c r="AT521" s="199" t="s">
        <v>1</v>
      </c>
      <c r="AU521" s="199" t="s">
        <v>1</v>
      </c>
      <c r="AV521" s="202" t="s">
        <v>1</v>
      </c>
      <c r="AW521" s="199" t="s">
        <v>1</v>
      </c>
    </row>
    <row r="522" spans="1:49" ht="30.15" customHeight="1" x14ac:dyDescent="0.25">
      <c r="A522" s="213" t="s">
        <v>18</v>
      </c>
      <c r="B522" s="189" t="s">
        <v>1</v>
      </c>
      <c r="C522" s="212" t="s">
        <v>34</v>
      </c>
      <c r="D522" s="190" t="s">
        <v>7</v>
      </c>
      <c r="E522" s="190" t="s">
        <v>1053</v>
      </c>
      <c r="F522" s="203"/>
      <c r="G522" s="190" t="s">
        <v>1046</v>
      </c>
      <c r="H522" s="192" t="s">
        <v>7</v>
      </c>
      <c r="I522" s="193">
        <v>2248</v>
      </c>
      <c r="J522" s="193">
        <v>2248</v>
      </c>
      <c r="K522" s="193">
        <v>2248</v>
      </c>
      <c r="L522" s="193">
        <v>2865</v>
      </c>
      <c r="M522" s="194">
        <v>2865</v>
      </c>
      <c r="N522" s="195">
        <v>0</v>
      </c>
      <c r="O522" s="195">
        <v>22.71</v>
      </c>
      <c r="P522" s="195">
        <v>24</v>
      </c>
      <c r="Q522" s="195" t="s">
        <v>1</v>
      </c>
      <c r="R522" s="196" t="s">
        <v>1259</v>
      </c>
      <c r="S522" s="196">
        <v>0</v>
      </c>
      <c r="T522" s="195">
        <v>22.71</v>
      </c>
      <c r="U522" s="195">
        <v>24</v>
      </c>
      <c r="V522" s="196" t="s">
        <v>1</v>
      </c>
      <c r="W522" s="196" t="s">
        <v>1259</v>
      </c>
      <c r="X522" s="195">
        <v>0</v>
      </c>
      <c r="Y522" s="195">
        <v>31.05</v>
      </c>
      <c r="Z522" s="195">
        <v>24</v>
      </c>
      <c r="AA522" s="196" t="s">
        <v>1</v>
      </c>
      <c r="AB522" s="196" t="s">
        <v>1</v>
      </c>
      <c r="AC522" s="196">
        <v>0</v>
      </c>
      <c r="AD522" s="195">
        <v>31.05</v>
      </c>
      <c r="AE522" s="195">
        <v>24</v>
      </c>
      <c r="AF522" s="222" t="s">
        <v>1</v>
      </c>
      <c r="AG522" s="222" t="s">
        <v>1</v>
      </c>
      <c r="AH522" s="198" t="s">
        <v>1</v>
      </c>
      <c r="AI522" s="209" t="s">
        <v>1</v>
      </c>
      <c r="AJ522" s="209" t="s">
        <v>1</v>
      </c>
      <c r="AK522" s="244" t="s">
        <v>1</v>
      </c>
      <c r="AL522" s="245" t="s">
        <v>1</v>
      </c>
      <c r="AM522" s="200" t="s">
        <v>1</v>
      </c>
      <c r="AN522" s="199" t="s">
        <v>1</v>
      </c>
      <c r="AO522" s="199" t="s">
        <v>1</v>
      </c>
      <c r="AP522" s="198" t="s">
        <v>1</v>
      </c>
      <c r="AQ522" s="198" t="s">
        <v>1</v>
      </c>
      <c r="AR522" s="201" t="s">
        <v>1</v>
      </c>
      <c r="AS522" s="201" t="s">
        <v>1</v>
      </c>
      <c r="AT522" s="199" t="s">
        <v>1</v>
      </c>
      <c r="AU522" s="199" t="s">
        <v>1</v>
      </c>
      <c r="AV522" s="202" t="s">
        <v>1</v>
      </c>
      <c r="AW522" s="199" t="s">
        <v>1</v>
      </c>
    </row>
    <row r="523" spans="1:49" ht="30.15" customHeight="1" x14ac:dyDescent="0.25">
      <c r="A523" s="213" t="s">
        <v>18</v>
      </c>
      <c r="B523" s="189" t="s">
        <v>1</v>
      </c>
      <c r="C523" s="212" t="s">
        <v>34</v>
      </c>
      <c r="D523" s="190" t="s">
        <v>7</v>
      </c>
      <c r="E523" s="190" t="s">
        <v>1054</v>
      </c>
      <c r="F523" s="203"/>
      <c r="G523" s="190" t="s">
        <v>1046</v>
      </c>
      <c r="H523" s="192" t="s">
        <v>7</v>
      </c>
      <c r="I523" s="193">
        <v>2248</v>
      </c>
      <c r="J523" s="193">
        <v>2248</v>
      </c>
      <c r="K523" s="193">
        <v>2248</v>
      </c>
      <c r="L523" s="193">
        <v>2865</v>
      </c>
      <c r="M523" s="194">
        <v>2865</v>
      </c>
      <c r="N523" s="195">
        <v>0</v>
      </c>
      <c r="O523" s="195">
        <v>22.71</v>
      </c>
      <c r="P523" s="195">
        <v>24</v>
      </c>
      <c r="Q523" s="195" t="s">
        <v>1</v>
      </c>
      <c r="R523" s="196" t="s">
        <v>1259</v>
      </c>
      <c r="S523" s="196">
        <v>0</v>
      </c>
      <c r="T523" s="195">
        <v>22.71</v>
      </c>
      <c r="U523" s="195">
        <v>24</v>
      </c>
      <c r="V523" s="196" t="s">
        <v>1</v>
      </c>
      <c r="W523" s="196" t="s">
        <v>1259</v>
      </c>
      <c r="X523" s="195">
        <v>0</v>
      </c>
      <c r="Y523" s="195">
        <v>31.05</v>
      </c>
      <c r="Z523" s="195">
        <v>24</v>
      </c>
      <c r="AA523" s="196" t="s">
        <v>1</v>
      </c>
      <c r="AB523" s="196" t="s">
        <v>1</v>
      </c>
      <c r="AC523" s="196">
        <v>0</v>
      </c>
      <c r="AD523" s="195">
        <v>31.05</v>
      </c>
      <c r="AE523" s="195">
        <v>24</v>
      </c>
      <c r="AF523" s="222" t="s">
        <v>1</v>
      </c>
      <c r="AG523" s="222" t="s">
        <v>1</v>
      </c>
      <c r="AH523" s="198" t="s">
        <v>1</v>
      </c>
      <c r="AI523" s="209" t="s">
        <v>1</v>
      </c>
      <c r="AJ523" s="209" t="s">
        <v>1</v>
      </c>
      <c r="AK523" s="244" t="s">
        <v>1</v>
      </c>
      <c r="AL523" s="245" t="s">
        <v>1</v>
      </c>
      <c r="AM523" s="200" t="s">
        <v>1</v>
      </c>
      <c r="AN523" s="199" t="s">
        <v>1</v>
      </c>
      <c r="AO523" s="199" t="s">
        <v>1</v>
      </c>
      <c r="AP523" s="198" t="s">
        <v>1</v>
      </c>
      <c r="AQ523" s="198" t="s">
        <v>1</v>
      </c>
      <c r="AR523" s="201" t="s">
        <v>1</v>
      </c>
      <c r="AS523" s="201" t="s">
        <v>1</v>
      </c>
      <c r="AT523" s="199" t="s">
        <v>1</v>
      </c>
      <c r="AU523" s="199" t="s">
        <v>1</v>
      </c>
      <c r="AV523" s="202" t="s">
        <v>1</v>
      </c>
      <c r="AW523" s="199" t="s">
        <v>1</v>
      </c>
    </row>
    <row r="524" spans="1:49" ht="30.15" customHeight="1" x14ac:dyDescent="0.25">
      <c r="A524" s="213" t="s">
        <v>18</v>
      </c>
      <c r="B524" s="189" t="s">
        <v>1</v>
      </c>
      <c r="C524" s="212" t="s">
        <v>34</v>
      </c>
      <c r="D524" s="190" t="s">
        <v>7</v>
      </c>
      <c r="E524" s="190" t="s">
        <v>1055</v>
      </c>
      <c r="F524" s="203"/>
      <c r="G524" s="190" t="s">
        <v>1046</v>
      </c>
      <c r="H524" s="192" t="s">
        <v>7</v>
      </c>
      <c r="I524" s="193">
        <v>2248</v>
      </c>
      <c r="J524" s="193">
        <v>2248</v>
      </c>
      <c r="K524" s="193">
        <v>2248</v>
      </c>
      <c r="L524" s="193">
        <v>2865</v>
      </c>
      <c r="M524" s="194">
        <v>2865</v>
      </c>
      <c r="N524" s="195">
        <v>0</v>
      </c>
      <c r="O524" s="195">
        <v>22.71</v>
      </c>
      <c r="P524" s="195">
        <v>24</v>
      </c>
      <c r="Q524" s="195" t="s">
        <v>1</v>
      </c>
      <c r="R524" s="196" t="s">
        <v>1259</v>
      </c>
      <c r="S524" s="196">
        <v>0</v>
      </c>
      <c r="T524" s="195">
        <v>22.71</v>
      </c>
      <c r="U524" s="195">
        <v>24</v>
      </c>
      <c r="V524" s="196" t="s">
        <v>1</v>
      </c>
      <c r="W524" s="196" t="s">
        <v>1259</v>
      </c>
      <c r="X524" s="195">
        <v>0</v>
      </c>
      <c r="Y524" s="195">
        <v>31.05</v>
      </c>
      <c r="Z524" s="195">
        <v>24</v>
      </c>
      <c r="AA524" s="196" t="s">
        <v>1</v>
      </c>
      <c r="AB524" s="196" t="s">
        <v>1</v>
      </c>
      <c r="AC524" s="196">
        <v>0</v>
      </c>
      <c r="AD524" s="195">
        <v>31.05</v>
      </c>
      <c r="AE524" s="195">
        <v>24</v>
      </c>
      <c r="AF524" s="222" t="s">
        <v>1</v>
      </c>
      <c r="AG524" s="222" t="s">
        <v>1</v>
      </c>
      <c r="AH524" s="198" t="s">
        <v>1</v>
      </c>
      <c r="AI524" s="209" t="s">
        <v>1</v>
      </c>
      <c r="AJ524" s="209" t="s">
        <v>1</v>
      </c>
      <c r="AK524" s="244" t="s">
        <v>1</v>
      </c>
      <c r="AL524" s="245" t="s">
        <v>1</v>
      </c>
      <c r="AM524" s="200" t="s">
        <v>1</v>
      </c>
      <c r="AN524" s="199" t="s">
        <v>1</v>
      </c>
      <c r="AO524" s="199" t="s">
        <v>1</v>
      </c>
      <c r="AP524" s="198" t="s">
        <v>1</v>
      </c>
      <c r="AQ524" s="198" t="s">
        <v>1</v>
      </c>
      <c r="AR524" s="201" t="s">
        <v>1</v>
      </c>
      <c r="AS524" s="201" t="s">
        <v>1</v>
      </c>
      <c r="AT524" s="199" t="s">
        <v>1</v>
      </c>
      <c r="AU524" s="199" t="s">
        <v>1</v>
      </c>
      <c r="AV524" s="202" t="s">
        <v>1</v>
      </c>
      <c r="AW524" s="199" t="s">
        <v>1</v>
      </c>
    </row>
    <row r="525" spans="1:49" ht="30.15" customHeight="1" x14ac:dyDescent="0.25">
      <c r="A525" s="213" t="s">
        <v>18</v>
      </c>
      <c r="B525" s="189" t="s">
        <v>1</v>
      </c>
      <c r="C525" s="212" t="s">
        <v>34</v>
      </c>
      <c r="D525" s="190" t="s">
        <v>7</v>
      </c>
      <c r="E525" s="190" t="s">
        <v>1056</v>
      </c>
      <c r="F525" s="203"/>
      <c r="G525" s="190" t="s">
        <v>1046</v>
      </c>
      <c r="H525" s="192" t="s">
        <v>7</v>
      </c>
      <c r="I525" s="193">
        <v>2248</v>
      </c>
      <c r="J525" s="193">
        <v>2248</v>
      </c>
      <c r="K525" s="193">
        <v>2248</v>
      </c>
      <c r="L525" s="193">
        <v>2865</v>
      </c>
      <c r="M525" s="194">
        <v>2865</v>
      </c>
      <c r="N525" s="195">
        <v>0</v>
      </c>
      <c r="O525" s="195">
        <v>22.71</v>
      </c>
      <c r="P525" s="195">
        <v>24</v>
      </c>
      <c r="Q525" s="195" t="s">
        <v>1</v>
      </c>
      <c r="R525" s="196" t="s">
        <v>1259</v>
      </c>
      <c r="S525" s="196">
        <v>0</v>
      </c>
      <c r="T525" s="195">
        <v>22.71</v>
      </c>
      <c r="U525" s="195">
        <v>24</v>
      </c>
      <c r="V525" s="196" t="s">
        <v>1</v>
      </c>
      <c r="W525" s="196" t="s">
        <v>1259</v>
      </c>
      <c r="X525" s="195">
        <v>0</v>
      </c>
      <c r="Y525" s="195">
        <v>31.05</v>
      </c>
      <c r="Z525" s="195">
        <v>24</v>
      </c>
      <c r="AA525" s="196" t="s">
        <v>1</v>
      </c>
      <c r="AB525" s="196" t="s">
        <v>1</v>
      </c>
      <c r="AC525" s="196">
        <v>0</v>
      </c>
      <c r="AD525" s="195">
        <v>31.05</v>
      </c>
      <c r="AE525" s="195">
        <v>24</v>
      </c>
      <c r="AF525" s="222" t="s">
        <v>1</v>
      </c>
      <c r="AG525" s="222" t="s">
        <v>1</v>
      </c>
      <c r="AH525" s="198" t="s">
        <v>1</v>
      </c>
      <c r="AI525" s="209" t="s">
        <v>1</v>
      </c>
      <c r="AJ525" s="209" t="s">
        <v>1</v>
      </c>
      <c r="AK525" s="244" t="s">
        <v>1</v>
      </c>
      <c r="AL525" s="245" t="s">
        <v>1</v>
      </c>
      <c r="AM525" s="200" t="s">
        <v>1</v>
      </c>
      <c r="AN525" s="199" t="s">
        <v>1</v>
      </c>
      <c r="AO525" s="199" t="s">
        <v>1</v>
      </c>
      <c r="AP525" s="198" t="s">
        <v>1</v>
      </c>
      <c r="AQ525" s="198" t="s">
        <v>1</v>
      </c>
      <c r="AR525" s="201" t="s">
        <v>1</v>
      </c>
      <c r="AS525" s="201" t="s">
        <v>1</v>
      </c>
      <c r="AT525" s="199" t="s">
        <v>1</v>
      </c>
      <c r="AU525" s="199" t="s">
        <v>1</v>
      </c>
      <c r="AV525" s="202" t="s">
        <v>1</v>
      </c>
      <c r="AW525" s="199" t="s">
        <v>1</v>
      </c>
    </row>
    <row r="526" spans="1:49" ht="30.15" customHeight="1" x14ac:dyDescent="0.25">
      <c r="A526" s="213" t="s">
        <v>18</v>
      </c>
      <c r="B526" s="189" t="s">
        <v>1</v>
      </c>
      <c r="C526" s="212" t="s">
        <v>34</v>
      </c>
      <c r="D526" s="190" t="s">
        <v>7</v>
      </c>
      <c r="E526" s="190" t="s">
        <v>1039</v>
      </c>
      <c r="F526" s="203"/>
      <c r="G526" s="190" t="s">
        <v>1045</v>
      </c>
      <c r="H526" s="192" t="s">
        <v>409</v>
      </c>
      <c r="I526" s="193">
        <v>903</v>
      </c>
      <c r="J526" s="193">
        <v>903</v>
      </c>
      <c r="K526" s="193">
        <v>903</v>
      </c>
      <c r="L526" s="193">
        <v>1200</v>
      </c>
      <c r="M526" s="194">
        <v>1200</v>
      </c>
      <c r="N526" s="195">
        <v>0</v>
      </c>
      <c r="O526" s="195">
        <v>10.42</v>
      </c>
      <c r="P526" s="195">
        <v>24</v>
      </c>
      <c r="Q526" s="195">
        <v>340</v>
      </c>
      <c r="R526" s="195" t="s">
        <v>1252</v>
      </c>
      <c r="S526" s="195">
        <v>0</v>
      </c>
      <c r="T526" s="195">
        <v>10.42</v>
      </c>
      <c r="U526" s="195">
        <v>24</v>
      </c>
      <c r="V526" s="195">
        <v>340</v>
      </c>
      <c r="W526" s="195" t="s">
        <v>1252</v>
      </c>
      <c r="X526" s="195">
        <v>0</v>
      </c>
      <c r="Y526" s="195">
        <v>21.84</v>
      </c>
      <c r="Z526" s="195">
        <v>24</v>
      </c>
      <c r="AA526" s="195">
        <v>340</v>
      </c>
      <c r="AB526" s="195" t="s">
        <v>1</v>
      </c>
      <c r="AC526" s="195">
        <v>0</v>
      </c>
      <c r="AD526" s="195">
        <v>21.84</v>
      </c>
      <c r="AE526" s="195">
        <v>24</v>
      </c>
      <c r="AF526" s="195">
        <v>340</v>
      </c>
      <c r="AG526" s="222" t="s">
        <v>1</v>
      </c>
      <c r="AH526" s="198" t="s">
        <v>1</v>
      </c>
      <c r="AI526" s="209" t="s">
        <v>1</v>
      </c>
      <c r="AJ526" s="209" t="s">
        <v>1</v>
      </c>
      <c r="AK526" s="244" t="s">
        <v>1</v>
      </c>
      <c r="AL526" s="245" t="s">
        <v>1</v>
      </c>
      <c r="AM526" s="200" t="s">
        <v>1</v>
      </c>
      <c r="AN526" s="199" t="s">
        <v>1</v>
      </c>
      <c r="AO526" s="199" t="s">
        <v>1</v>
      </c>
      <c r="AP526" s="198" t="s">
        <v>1</v>
      </c>
      <c r="AQ526" s="198" t="s">
        <v>1</v>
      </c>
      <c r="AR526" s="201" t="s">
        <v>1</v>
      </c>
      <c r="AS526" s="201" t="s">
        <v>1</v>
      </c>
      <c r="AT526" s="199" t="s">
        <v>1</v>
      </c>
      <c r="AU526" s="199" t="s">
        <v>1</v>
      </c>
      <c r="AV526" s="202" t="s">
        <v>1</v>
      </c>
      <c r="AW526" s="199" t="s">
        <v>1</v>
      </c>
    </row>
    <row r="527" spans="1:49" ht="30.15" customHeight="1" x14ac:dyDescent="0.25">
      <c r="A527" s="213" t="s">
        <v>18</v>
      </c>
      <c r="B527" s="189" t="s">
        <v>1</v>
      </c>
      <c r="C527" s="212" t="s">
        <v>34</v>
      </c>
      <c r="D527" s="190" t="s">
        <v>7</v>
      </c>
      <c r="E527" s="190" t="s">
        <v>1040</v>
      </c>
      <c r="F527" s="203"/>
      <c r="G527" s="190" t="s">
        <v>1045</v>
      </c>
      <c r="H527" s="192" t="s">
        <v>409</v>
      </c>
      <c r="I527" s="193">
        <v>903</v>
      </c>
      <c r="J527" s="193">
        <v>903</v>
      </c>
      <c r="K527" s="193">
        <v>903</v>
      </c>
      <c r="L527" s="193">
        <v>1200</v>
      </c>
      <c r="M527" s="194">
        <v>1200</v>
      </c>
      <c r="N527" s="195">
        <v>0</v>
      </c>
      <c r="O527" s="195">
        <v>10.42</v>
      </c>
      <c r="P527" s="195">
        <v>24</v>
      </c>
      <c r="Q527" s="195">
        <v>340</v>
      </c>
      <c r="R527" s="195" t="s">
        <v>1252</v>
      </c>
      <c r="S527" s="195">
        <v>0</v>
      </c>
      <c r="T527" s="195">
        <v>10.42</v>
      </c>
      <c r="U527" s="195">
        <v>24</v>
      </c>
      <c r="V527" s="195">
        <v>340</v>
      </c>
      <c r="W527" s="195" t="s">
        <v>1252</v>
      </c>
      <c r="X527" s="195">
        <v>0</v>
      </c>
      <c r="Y527" s="195">
        <v>21.84</v>
      </c>
      <c r="Z527" s="195">
        <v>24</v>
      </c>
      <c r="AA527" s="195">
        <v>340</v>
      </c>
      <c r="AB527" s="195" t="s">
        <v>1</v>
      </c>
      <c r="AC527" s="195">
        <v>0</v>
      </c>
      <c r="AD527" s="195">
        <v>21.84</v>
      </c>
      <c r="AE527" s="195">
        <v>24</v>
      </c>
      <c r="AF527" s="195">
        <v>340</v>
      </c>
      <c r="AG527" s="222" t="s">
        <v>1</v>
      </c>
      <c r="AH527" s="198" t="s">
        <v>1</v>
      </c>
      <c r="AI527" s="209" t="s">
        <v>1</v>
      </c>
      <c r="AJ527" s="209" t="s">
        <v>1</v>
      </c>
      <c r="AK527" s="244" t="s">
        <v>1</v>
      </c>
      <c r="AL527" s="245" t="s">
        <v>1</v>
      </c>
      <c r="AM527" s="200" t="s">
        <v>1</v>
      </c>
      <c r="AN527" s="199" t="s">
        <v>1</v>
      </c>
      <c r="AO527" s="199" t="s">
        <v>1</v>
      </c>
      <c r="AP527" s="198" t="s">
        <v>1</v>
      </c>
      <c r="AQ527" s="198" t="s">
        <v>1</v>
      </c>
      <c r="AR527" s="201" t="s">
        <v>1</v>
      </c>
      <c r="AS527" s="201" t="s">
        <v>1</v>
      </c>
      <c r="AT527" s="199" t="s">
        <v>1</v>
      </c>
      <c r="AU527" s="199" t="s">
        <v>1</v>
      </c>
      <c r="AV527" s="202" t="s">
        <v>1</v>
      </c>
      <c r="AW527" s="199" t="s">
        <v>1</v>
      </c>
    </row>
    <row r="528" spans="1:49" ht="30.15" customHeight="1" x14ac:dyDescent="0.25">
      <c r="A528" s="213" t="s">
        <v>18</v>
      </c>
      <c r="B528" s="189" t="s">
        <v>1</v>
      </c>
      <c r="C528" s="212" t="s">
        <v>34</v>
      </c>
      <c r="D528" s="190" t="s">
        <v>7</v>
      </c>
      <c r="E528" s="190" t="s">
        <v>1041</v>
      </c>
      <c r="F528" s="203"/>
      <c r="G528" s="190" t="s">
        <v>1045</v>
      </c>
      <c r="H528" s="192" t="s">
        <v>1026</v>
      </c>
      <c r="I528" s="193">
        <v>903</v>
      </c>
      <c r="J528" s="193">
        <v>903</v>
      </c>
      <c r="K528" s="193">
        <v>903</v>
      </c>
      <c r="L528" s="193">
        <v>1200</v>
      </c>
      <c r="M528" s="194">
        <v>1200</v>
      </c>
      <c r="N528" s="195">
        <v>0</v>
      </c>
      <c r="O528" s="195">
        <v>10.42</v>
      </c>
      <c r="P528" s="195">
        <v>24</v>
      </c>
      <c r="Q528" s="195">
        <v>340</v>
      </c>
      <c r="R528" s="195" t="s">
        <v>1252</v>
      </c>
      <c r="S528" s="195">
        <v>0</v>
      </c>
      <c r="T528" s="195">
        <v>10.42</v>
      </c>
      <c r="U528" s="195">
        <v>24</v>
      </c>
      <c r="V528" s="195">
        <v>340</v>
      </c>
      <c r="W528" s="195" t="s">
        <v>1252</v>
      </c>
      <c r="X528" s="195">
        <v>0</v>
      </c>
      <c r="Y528" s="195">
        <v>21.84</v>
      </c>
      <c r="Z528" s="195">
        <v>24</v>
      </c>
      <c r="AA528" s="195">
        <v>340</v>
      </c>
      <c r="AB528" s="195" t="s">
        <v>1</v>
      </c>
      <c r="AC528" s="195">
        <v>0</v>
      </c>
      <c r="AD528" s="195">
        <v>21.84</v>
      </c>
      <c r="AE528" s="195">
        <v>24</v>
      </c>
      <c r="AF528" s="195">
        <v>340</v>
      </c>
      <c r="AG528" s="222" t="s">
        <v>1</v>
      </c>
      <c r="AH528" s="198" t="s">
        <v>1</v>
      </c>
      <c r="AI528" s="209" t="s">
        <v>1</v>
      </c>
      <c r="AJ528" s="209" t="s">
        <v>1</v>
      </c>
      <c r="AK528" s="244" t="s">
        <v>1</v>
      </c>
      <c r="AL528" s="245" t="s">
        <v>1</v>
      </c>
      <c r="AM528" s="200" t="s">
        <v>1</v>
      </c>
      <c r="AN528" s="199" t="s">
        <v>1</v>
      </c>
      <c r="AO528" s="199" t="s">
        <v>1</v>
      </c>
      <c r="AP528" s="198" t="s">
        <v>1</v>
      </c>
      <c r="AQ528" s="198" t="s">
        <v>1</v>
      </c>
      <c r="AR528" s="201" t="s">
        <v>1</v>
      </c>
      <c r="AS528" s="201" t="s">
        <v>1</v>
      </c>
      <c r="AT528" s="199" t="s">
        <v>1</v>
      </c>
      <c r="AU528" s="199" t="s">
        <v>1</v>
      </c>
      <c r="AV528" s="202" t="s">
        <v>1</v>
      </c>
      <c r="AW528" s="199" t="s">
        <v>1</v>
      </c>
    </row>
    <row r="529" spans="1:49" ht="30.15" customHeight="1" x14ac:dyDescent="0.25">
      <c r="A529" s="213" t="s">
        <v>18</v>
      </c>
      <c r="B529" s="189" t="s">
        <v>1</v>
      </c>
      <c r="C529" s="212" t="s">
        <v>34</v>
      </c>
      <c r="D529" s="190" t="s">
        <v>7</v>
      </c>
      <c r="E529" s="190" t="s">
        <v>1042</v>
      </c>
      <c r="F529" s="203"/>
      <c r="G529" s="190" t="s">
        <v>1045</v>
      </c>
      <c r="H529" s="192" t="s">
        <v>7</v>
      </c>
      <c r="I529" s="193">
        <v>903</v>
      </c>
      <c r="J529" s="193">
        <v>903</v>
      </c>
      <c r="K529" s="193">
        <v>903</v>
      </c>
      <c r="L529" s="193">
        <v>1200</v>
      </c>
      <c r="M529" s="194">
        <v>1200</v>
      </c>
      <c r="N529" s="195">
        <v>0</v>
      </c>
      <c r="O529" s="195">
        <v>10.42</v>
      </c>
      <c r="P529" s="195">
        <v>24</v>
      </c>
      <c r="Q529" s="195">
        <v>340</v>
      </c>
      <c r="R529" s="195" t="s">
        <v>1252</v>
      </c>
      <c r="S529" s="195">
        <v>0</v>
      </c>
      <c r="T529" s="195">
        <v>10.42</v>
      </c>
      <c r="U529" s="195">
        <v>24</v>
      </c>
      <c r="V529" s="195">
        <v>340</v>
      </c>
      <c r="W529" s="195" t="s">
        <v>1252</v>
      </c>
      <c r="X529" s="195">
        <v>0</v>
      </c>
      <c r="Y529" s="195">
        <v>21.84</v>
      </c>
      <c r="Z529" s="195">
        <v>24</v>
      </c>
      <c r="AA529" s="195">
        <v>340</v>
      </c>
      <c r="AB529" s="195" t="s">
        <v>1</v>
      </c>
      <c r="AC529" s="195">
        <v>0</v>
      </c>
      <c r="AD529" s="195">
        <v>21.84</v>
      </c>
      <c r="AE529" s="195">
        <v>24</v>
      </c>
      <c r="AF529" s="195">
        <v>340</v>
      </c>
      <c r="AG529" s="222" t="s">
        <v>1</v>
      </c>
      <c r="AH529" s="198" t="s">
        <v>1</v>
      </c>
      <c r="AI529" s="209" t="s">
        <v>1</v>
      </c>
      <c r="AJ529" s="209" t="s">
        <v>1</v>
      </c>
      <c r="AK529" s="244" t="s">
        <v>1</v>
      </c>
      <c r="AL529" s="245" t="s">
        <v>1</v>
      </c>
      <c r="AM529" s="200" t="s">
        <v>1</v>
      </c>
      <c r="AN529" s="199" t="s">
        <v>1</v>
      </c>
      <c r="AO529" s="199" t="s">
        <v>1</v>
      </c>
      <c r="AP529" s="198" t="s">
        <v>1</v>
      </c>
      <c r="AQ529" s="198" t="s">
        <v>1</v>
      </c>
      <c r="AR529" s="201" t="s">
        <v>1</v>
      </c>
      <c r="AS529" s="201" t="s">
        <v>1</v>
      </c>
      <c r="AT529" s="199" t="s">
        <v>1</v>
      </c>
      <c r="AU529" s="199" t="s">
        <v>1</v>
      </c>
      <c r="AV529" s="202" t="s">
        <v>1</v>
      </c>
      <c r="AW529" s="199" t="s">
        <v>1</v>
      </c>
    </row>
    <row r="530" spans="1:49" ht="30.15" customHeight="1" x14ac:dyDescent="0.25">
      <c r="A530" s="213" t="s">
        <v>18</v>
      </c>
      <c r="B530" s="189" t="s">
        <v>1</v>
      </c>
      <c r="C530" s="212" t="s">
        <v>34</v>
      </c>
      <c r="D530" s="190" t="s">
        <v>7</v>
      </c>
      <c r="E530" s="190" t="s">
        <v>1043</v>
      </c>
      <c r="F530" s="203"/>
      <c r="G530" s="190" t="s">
        <v>1045</v>
      </c>
      <c r="H530" s="192" t="s">
        <v>409</v>
      </c>
      <c r="I530" s="193">
        <v>903</v>
      </c>
      <c r="J530" s="193">
        <v>903</v>
      </c>
      <c r="K530" s="193">
        <v>903</v>
      </c>
      <c r="L530" s="193">
        <v>1200</v>
      </c>
      <c r="M530" s="194">
        <v>1200</v>
      </c>
      <c r="N530" s="195">
        <v>0</v>
      </c>
      <c r="O530" s="195">
        <v>10.42</v>
      </c>
      <c r="P530" s="195">
        <v>24</v>
      </c>
      <c r="Q530" s="195">
        <v>340</v>
      </c>
      <c r="R530" s="195" t="s">
        <v>1252</v>
      </c>
      <c r="S530" s="195">
        <v>0</v>
      </c>
      <c r="T530" s="195">
        <v>10.42</v>
      </c>
      <c r="U530" s="195">
        <v>24</v>
      </c>
      <c r="V530" s="195">
        <v>340</v>
      </c>
      <c r="W530" s="195" t="s">
        <v>1252</v>
      </c>
      <c r="X530" s="195">
        <v>0</v>
      </c>
      <c r="Y530" s="195">
        <v>21.84</v>
      </c>
      <c r="Z530" s="195">
        <v>24</v>
      </c>
      <c r="AA530" s="195">
        <v>340</v>
      </c>
      <c r="AB530" s="195" t="s">
        <v>1</v>
      </c>
      <c r="AC530" s="195">
        <v>0</v>
      </c>
      <c r="AD530" s="195">
        <v>21.84</v>
      </c>
      <c r="AE530" s="195">
        <v>24</v>
      </c>
      <c r="AF530" s="195">
        <v>340</v>
      </c>
      <c r="AG530" s="222" t="s">
        <v>1</v>
      </c>
      <c r="AH530" s="198" t="s">
        <v>1</v>
      </c>
      <c r="AI530" s="209" t="s">
        <v>1</v>
      </c>
      <c r="AJ530" s="209" t="s">
        <v>1</v>
      </c>
      <c r="AK530" s="244" t="s">
        <v>1</v>
      </c>
      <c r="AL530" s="245" t="s">
        <v>1</v>
      </c>
      <c r="AM530" s="200" t="s">
        <v>1</v>
      </c>
      <c r="AN530" s="199" t="s">
        <v>1</v>
      </c>
      <c r="AO530" s="199" t="s">
        <v>1</v>
      </c>
      <c r="AP530" s="198" t="s">
        <v>1</v>
      </c>
      <c r="AQ530" s="198" t="s">
        <v>1</v>
      </c>
      <c r="AR530" s="201" t="s">
        <v>1</v>
      </c>
      <c r="AS530" s="201" t="s">
        <v>1</v>
      </c>
      <c r="AT530" s="199" t="s">
        <v>1</v>
      </c>
      <c r="AU530" s="199" t="s">
        <v>1</v>
      </c>
      <c r="AV530" s="202" t="s">
        <v>1</v>
      </c>
      <c r="AW530" s="199" t="s">
        <v>1</v>
      </c>
    </row>
    <row r="531" spans="1:49" ht="30.15" customHeight="1" x14ac:dyDescent="0.25">
      <c r="A531" s="213" t="s">
        <v>18</v>
      </c>
      <c r="B531" s="189" t="s">
        <v>1</v>
      </c>
      <c r="C531" s="212" t="s">
        <v>34</v>
      </c>
      <c r="D531" s="190" t="s">
        <v>7</v>
      </c>
      <c r="E531" s="190" t="s">
        <v>1044</v>
      </c>
      <c r="F531" s="203"/>
      <c r="G531" s="190" t="s">
        <v>1045</v>
      </c>
      <c r="H531" s="192" t="s">
        <v>7</v>
      </c>
      <c r="I531" s="193">
        <v>903</v>
      </c>
      <c r="J531" s="193">
        <v>903</v>
      </c>
      <c r="K531" s="193">
        <v>903</v>
      </c>
      <c r="L531" s="193">
        <v>1200</v>
      </c>
      <c r="M531" s="194">
        <v>1200</v>
      </c>
      <c r="N531" s="195">
        <v>0</v>
      </c>
      <c r="O531" s="195">
        <v>10.42</v>
      </c>
      <c r="P531" s="195">
        <v>24</v>
      </c>
      <c r="Q531" s="195">
        <v>340</v>
      </c>
      <c r="R531" s="195" t="s">
        <v>1252</v>
      </c>
      <c r="S531" s="195">
        <v>0</v>
      </c>
      <c r="T531" s="195">
        <v>10.42</v>
      </c>
      <c r="U531" s="195">
        <v>24</v>
      </c>
      <c r="V531" s="195">
        <v>340</v>
      </c>
      <c r="W531" s="195" t="s">
        <v>1252</v>
      </c>
      <c r="X531" s="195">
        <v>0</v>
      </c>
      <c r="Y531" s="195">
        <v>21.84</v>
      </c>
      <c r="Z531" s="195">
        <v>24</v>
      </c>
      <c r="AA531" s="195">
        <v>340</v>
      </c>
      <c r="AB531" s="195" t="s">
        <v>1</v>
      </c>
      <c r="AC531" s="195">
        <v>0</v>
      </c>
      <c r="AD531" s="195">
        <v>21.84</v>
      </c>
      <c r="AE531" s="195">
        <v>24</v>
      </c>
      <c r="AF531" s="195">
        <v>340</v>
      </c>
      <c r="AG531" s="222" t="s">
        <v>1</v>
      </c>
      <c r="AH531" s="198" t="s">
        <v>1</v>
      </c>
      <c r="AI531" s="209" t="s">
        <v>1</v>
      </c>
      <c r="AJ531" s="209" t="s">
        <v>1</v>
      </c>
      <c r="AK531" s="244" t="s">
        <v>1</v>
      </c>
      <c r="AL531" s="245" t="s">
        <v>1</v>
      </c>
      <c r="AM531" s="200" t="s">
        <v>1</v>
      </c>
      <c r="AN531" s="199" t="s">
        <v>1</v>
      </c>
      <c r="AO531" s="199" t="s">
        <v>1</v>
      </c>
      <c r="AP531" s="198" t="s">
        <v>1</v>
      </c>
      <c r="AQ531" s="198" t="s">
        <v>1</v>
      </c>
      <c r="AR531" s="201" t="s">
        <v>1</v>
      </c>
      <c r="AS531" s="201" t="s">
        <v>1</v>
      </c>
      <c r="AT531" s="199" t="s">
        <v>1</v>
      </c>
      <c r="AU531" s="199" t="s">
        <v>1</v>
      </c>
      <c r="AV531" s="202" t="s">
        <v>1</v>
      </c>
      <c r="AW531" s="199" t="s">
        <v>1</v>
      </c>
    </row>
    <row r="532" spans="1:49" ht="30.15" customHeight="1" x14ac:dyDescent="0.25">
      <c r="A532" s="213" t="s">
        <v>18</v>
      </c>
      <c r="B532" s="189" t="s">
        <v>1</v>
      </c>
      <c r="C532" s="212" t="s">
        <v>34</v>
      </c>
      <c r="D532" s="190" t="s">
        <v>7</v>
      </c>
      <c r="E532" s="190" t="s">
        <v>838</v>
      </c>
      <c r="F532" s="203"/>
      <c r="G532" s="190" t="s">
        <v>839</v>
      </c>
      <c r="H532" s="192" t="s">
        <v>409</v>
      </c>
      <c r="I532" s="193">
        <v>1254</v>
      </c>
      <c r="J532" s="193">
        <v>1254</v>
      </c>
      <c r="K532" s="193">
        <v>1254</v>
      </c>
      <c r="L532" s="193">
        <v>1650</v>
      </c>
      <c r="M532" s="194">
        <v>1650</v>
      </c>
      <c r="N532" s="195">
        <v>0</v>
      </c>
      <c r="O532" s="195">
        <v>13.75</v>
      </c>
      <c r="P532" s="195">
        <v>24</v>
      </c>
      <c r="Q532" s="195" t="s">
        <v>1</v>
      </c>
      <c r="R532" s="195" t="s">
        <v>1255</v>
      </c>
      <c r="S532" s="195">
        <v>0</v>
      </c>
      <c r="T532" s="195">
        <v>13.75</v>
      </c>
      <c r="U532" s="195">
        <v>24</v>
      </c>
      <c r="V532" s="195" t="s">
        <v>1</v>
      </c>
      <c r="W532" s="195" t="s">
        <v>1255</v>
      </c>
      <c r="X532" s="195">
        <v>0</v>
      </c>
      <c r="Y532" s="195">
        <v>33.75</v>
      </c>
      <c r="Z532" s="195">
        <v>24</v>
      </c>
      <c r="AA532" s="195" t="s">
        <v>1</v>
      </c>
      <c r="AB532" s="196" t="s">
        <v>1</v>
      </c>
      <c r="AC532" s="197">
        <v>0</v>
      </c>
      <c r="AD532" s="195">
        <v>33.75</v>
      </c>
      <c r="AE532" s="197">
        <v>24</v>
      </c>
      <c r="AF532" s="195" t="s">
        <v>1</v>
      </c>
      <c r="AG532" s="222" t="s">
        <v>1</v>
      </c>
      <c r="AH532" s="198" t="s">
        <v>1</v>
      </c>
      <c r="AI532" s="246" t="s">
        <v>1</v>
      </c>
      <c r="AJ532" s="246" t="s">
        <v>1</v>
      </c>
      <c r="AK532" s="247" t="s">
        <v>1</v>
      </c>
      <c r="AL532" s="245" t="s">
        <v>1</v>
      </c>
      <c r="AM532" s="200" t="s">
        <v>1</v>
      </c>
      <c r="AN532" s="201" t="s">
        <v>1</v>
      </c>
      <c r="AO532" s="201" t="s">
        <v>1</v>
      </c>
      <c r="AP532" s="198" t="s">
        <v>1</v>
      </c>
      <c r="AQ532" s="198" t="s">
        <v>1</v>
      </c>
      <c r="AR532" s="201" t="s">
        <v>1</v>
      </c>
      <c r="AS532" s="201" t="s">
        <v>1</v>
      </c>
      <c r="AT532" s="201" t="s">
        <v>1</v>
      </c>
      <c r="AU532" s="201" t="s">
        <v>1</v>
      </c>
      <c r="AV532" s="208" t="s">
        <v>1</v>
      </c>
      <c r="AW532" s="201" t="s">
        <v>1</v>
      </c>
    </row>
    <row r="533" spans="1:49" ht="30.15" customHeight="1" x14ac:dyDescent="0.25">
      <c r="A533" s="213" t="s">
        <v>18</v>
      </c>
      <c r="B533" s="189" t="s">
        <v>1</v>
      </c>
      <c r="C533" s="212" t="s">
        <v>34</v>
      </c>
      <c r="D533" s="190" t="s">
        <v>7</v>
      </c>
      <c r="E533" s="190" t="s">
        <v>840</v>
      </c>
      <c r="F533" s="203"/>
      <c r="G533" s="190" t="s">
        <v>839</v>
      </c>
      <c r="H533" s="192" t="s">
        <v>409</v>
      </c>
      <c r="I533" s="193">
        <v>1254</v>
      </c>
      <c r="J533" s="193">
        <v>1254</v>
      </c>
      <c r="K533" s="193">
        <v>1254</v>
      </c>
      <c r="L533" s="193">
        <v>1650</v>
      </c>
      <c r="M533" s="194">
        <v>1650</v>
      </c>
      <c r="N533" s="195">
        <v>0</v>
      </c>
      <c r="O533" s="195">
        <v>13.75</v>
      </c>
      <c r="P533" s="195">
        <v>24</v>
      </c>
      <c r="Q533" s="195" t="s">
        <v>1</v>
      </c>
      <c r="R533" s="195" t="s">
        <v>1255</v>
      </c>
      <c r="S533" s="195">
        <v>0</v>
      </c>
      <c r="T533" s="195">
        <v>13.75</v>
      </c>
      <c r="U533" s="195">
        <v>24</v>
      </c>
      <c r="V533" s="195" t="s">
        <v>1</v>
      </c>
      <c r="W533" s="195" t="s">
        <v>1255</v>
      </c>
      <c r="X533" s="195">
        <v>0</v>
      </c>
      <c r="Y533" s="195">
        <v>33.75</v>
      </c>
      <c r="Z533" s="195">
        <v>24</v>
      </c>
      <c r="AA533" s="195" t="s">
        <v>1</v>
      </c>
      <c r="AB533" s="196" t="s">
        <v>1</v>
      </c>
      <c r="AC533" s="197">
        <v>0</v>
      </c>
      <c r="AD533" s="195">
        <v>33.75</v>
      </c>
      <c r="AE533" s="197">
        <v>24</v>
      </c>
      <c r="AF533" s="195" t="s">
        <v>1</v>
      </c>
      <c r="AG533" s="222" t="s">
        <v>1</v>
      </c>
      <c r="AH533" s="198" t="s">
        <v>1</v>
      </c>
      <c r="AI533" s="246" t="s">
        <v>1</v>
      </c>
      <c r="AJ533" s="246" t="s">
        <v>1</v>
      </c>
      <c r="AK533" s="247" t="s">
        <v>1</v>
      </c>
      <c r="AL533" s="245" t="s">
        <v>1</v>
      </c>
      <c r="AM533" s="200" t="s">
        <v>1</v>
      </c>
      <c r="AN533" s="201" t="s">
        <v>1</v>
      </c>
      <c r="AO533" s="201" t="s">
        <v>1</v>
      </c>
      <c r="AP533" s="198" t="s">
        <v>1</v>
      </c>
      <c r="AQ533" s="198" t="s">
        <v>1</v>
      </c>
      <c r="AR533" s="201" t="s">
        <v>1</v>
      </c>
      <c r="AS533" s="201" t="s">
        <v>1</v>
      </c>
      <c r="AT533" s="201" t="s">
        <v>1</v>
      </c>
      <c r="AU533" s="201" t="s">
        <v>1</v>
      </c>
      <c r="AV533" s="208" t="s">
        <v>1</v>
      </c>
      <c r="AW533" s="201" t="s">
        <v>1</v>
      </c>
    </row>
    <row r="534" spans="1:49" ht="30.15" customHeight="1" x14ac:dyDescent="0.25">
      <c r="A534" s="213" t="s">
        <v>18</v>
      </c>
      <c r="B534" s="189" t="s">
        <v>1</v>
      </c>
      <c r="C534" s="212" t="s">
        <v>34</v>
      </c>
      <c r="D534" s="190" t="s">
        <v>7</v>
      </c>
      <c r="E534" s="190" t="s">
        <v>841</v>
      </c>
      <c r="F534" s="203"/>
      <c r="G534" s="190" t="s">
        <v>842</v>
      </c>
      <c r="H534" s="192" t="s">
        <v>409</v>
      </c>
      <c r="I534" s="193">
        <v>1500</v>
      </c>
      <c r="J534" s="193">
        <v>1500</v>
      </c>
      <c r="K534" s="193">
        <v>1500</v>
      </c>
      <c r="L534" s="193">
        <v>2000</v>
      </c>
      <c r="M534" s="194">
        <v>2000</v>
      </c>
      <c r="N534" s="195">
        <v>0</v>
      </c>
      <c r="O534" s="195">
        <v>17.5</v>
      </c>
      <c r="P534" s="195">
        <v>24</v>
      </c>
      <c r="Q534" s="195" t="s">
        <v>1</v>
      </c>
      <c r="R534" s="195" t="s">
        <v>1256</v>
      </c>
      <c r="S534" s="195">
        <v>0</v>
      </c>
      <c r="T534" s="195">
        <v>17.5</v>
      </c>
      <c r="U534" s="195">
        <v>24</v>
      </c>
      <c r="V534" s="195" t="s">
        <v>1</v>
      </c>
      <c r="W534" s="195" t="s">
        <v>1256</v>
      </c>
      <c r="X534" s="195">
        <v>0</v>
      </c>
      <c r="Y534" s="195">
        <v>38.339999999999996</v>
      </c>
      <c r="Z534" s="195">
        <v>24</v>
      </c>
      <c r="AA534" s="195" t="s">
        <v>1</v>
      </c>
      <c r="AB534" s="196" t="s">
        <v>1</v>
      </c>
      <c r="AC534" s="197">
        <v>0</v>
      </c>
      <c r="AD534" s="195">
        <v>38.339999999999996</v>
      </c>
      <c r="AE534" s="197">
        <v>24</v>
      </c>
      <c r="AF534" s="195" t="s">
        <v>1</v>
      </c>
      <c r="AG534" s="222" t="s">
        <v>1</v>
      </c>
      <c r="AH534" s="198" t="s">
        <v>1</v>
      </c>
      <c r="AI534" s="246" t="s">
        <v>1</v>
      </c>
      <c r="AJ534" s="246" t="s">
        <v>1</v>
      </c>
      <c r="AK534" s="247" t="s">
        <v>1</v>
      </c>
      <c r="AL534" s="245" t="s">
        <v>1</v>
      </c>
      <c r="AM534" s="200" t="s">
        <v>1</v>
      </c>
      <c r="AN534" s="201" t="s">
        <v>1</v>
      </c>
      <c r="AO534" s="201" t="s">
        <v>1</v>
      </c>
      <c r="AP534" s="198" t="s">
        <v>1</v>
      </c>
      <c r="AQ534" s="198" t="s">
        <v>1</v>
      </c>
      <c r="AR534" s="201" t="s">
        <v>1</v>
      </c>
      <c r="AS534" s="201" t="s">
        <v>1</v>
      </c>
      <c r="AT534" s="201" t="s">
        <v>1</v>
      </c>
      <c r="AU534" s="201" t="s">
        <v>1</v>
      </c>
      <c r="AV534" s="208" t="s">
        <v>1</v>
      </c>
      <c r="AW534" s="201" t="s">
        <v>1</v>
      </c>
    </row>
    <row r="535" spans="1:49" ht="30.15" customHeight="1" x14ac:dyDescent="0.25">
      <c r="A535" s="213" t="s">
        <v>18</v>
      </c>
      <c r="B535" s="189" t="s">
        <v>1</v>
      </c>
      <c r="C535" s="212" t="s">
        <v>34</v>
      </c>
      <c r="D535" s="190" t="s">
        <v>7</v>
      </c>
      <c r="E535" s="190" t="s">
        <v>843</v>
      </c>
      <c r="F535" s="203"/>
      <c r="G535" s="190" t="s">
        <v>842</v>
      </c>
      <c r="H535" s="192" t="s">
        <v>409</v>
      </c>
      <c r="I535" s="193">
        <v>1500</v>
      </c>
      <c r="J535" s="193">
        <v>1500</v>
      </c>
      <c r="K535" s="193">
        <v>1500</v>
      </c>
      <c r="L535" s="193">
        <v>2000</v>
      </c>
      <c r="M535" s="194">
        <v>2000</v>
      </c>
      <c r="N535" s="195">
        <v>0</v>
      </c>
      <c r="O535" s="195">
        <v>17.5</v>
      </c>
      <c r="P535" s="195">
        <v>24</v>
      </c>
      <c r="Q535" s="195" t="s">
        <v>1</v>
      </c>
      <c r="R535" s="195" t="s">
        <v>1256</v>
      </c>
      <c r="S535" s="195">
        <v>0</v>
      </c>
      <c r="T535" s="195">
        <v>17.5</v>
      </c>
      <c r="U535" s="195">
        <v>24</v>
      </c>
      <c r="V535" s="195" t="s">
        <v>1</v>
      </c>
      <c r="W535" s="195" t="s">
        <v>1256</v>
      </c>
      <c r="X535" s="195">
        <v>0</v>
      </c>
      <c r="Y535" s="195">
        <v>38.339999999999996</v>
      </c>
      <c r="Z535" s="195">
        <v>24</v>
      </c>
      <c r="AA535" s="195" t="s">
        <v>1</v>
      </c>
      <c r="AB535" s="196" t="s">
        <v>1</v>
      </c>
      <c r="AC535" s="197">
        <v>0</v>
      </c>
      <c r="AD535" s="195">
        <v>38.339999999999996</v>
      </c>
      <c r="AE535" s="197">
        <v>24</v>
      </c>
      <c r="AF535" s="195" t="s">
        <v>1</v>
      </c>
      <c r="AG535" s="222" t="s">
        <v>1</v>
      </c>
      <c r="AH535" s="198" t="s">
        <v>1</v>
      </c>
      <c r="AI535" s="246" t="s">
        <v>1</v>
      </c>
      <c r="AJ535" s="246" t="s">
        <v>1</v>
      </c>
      <c r="AK535" s="247" t="s">
        <v>1</v>
      </c>
      <c r="AL535" s="245" t="s">
        <v>1</v>
      </c>
      <c r="AM535" s="200" t="s">
        <v>1</v>
      </c>
      <c r="AN535" s="201" t="s">
        <v>1</v>
      </c>
      <c r="AO535" s="201" t="s">
        <v>1</v>
      </c>
      <c r="AP535" s="198" t="s">
        <v>1</v>
      </c>
      <c r="AQ535" s="198" t="s">
        <v>1</v>
      </c>
      <c r="AR535" s="201" t="s">
        <v>1</v>
      </c>
      <c r="AS535" s="201" t="s">
        <v>1</v>
      </c>
      <c r="AT535" s="201" t="s">
        <v>1</v>
      </c>
      <c r="AU535" s="201" t="s">
        <v>1</v>
      </c>
      <c r="AV535" s="208" t="s">
        <v>1</v>
      </c>
      <c r="AW535" s="201" t="s">
        <v>1</v>
      </c>
    </row>
    <row r="536" spans="1:49" ht="30.15" customHeight="1" x14ac:dyDescent="0.25">
      <c r="A536" s="213" t="s">
        <v>18</v>
      </c>
      <c r="B536" s="189" t="s">
        <v>1</v>
      </c>
      <c r="C536" s="212" t="s">
        <v>34</v>
      </c>
      <c r="D536" s="190" t="s">
        <v>7</v>
      </c>
      <c r="E536" s="190" t="s">
        <v>844</v>
      </c>
      <c r="F536" s="203"/>
      <c r="G536" s="190" t="s">
        <v>845</v>
      </c>
      <c r="H536" s="192" t="s">
        <v>647</v>
      </c>
      <c r="I536" s="193">
        <v>1690</v>
      </c>
      <c r="J536" s="193">
        <v>1690</v>
      </c>
      <c r="K536" s="193">
        <v>1690</v>
      </c>
      <c r="L536" s="193">
        <v>2200</v>
      </c>
      <c r="M536" s="194">
        <v>2200</v>
      </c>
      <c r="N536" s="195">
        <v>0</v>
      </c>
      <c r="O536" s="195">
        <v>17.5</v>
      </c>
      <c r="P536" s="195">
        <v>24</v>
      </c>
      <c r="Q536" s="195" t="s">
        <v>1</v>
      </c>
      <c r="R536" s="195" t="s">
        <v>1257</v>
      </c>
      <c r="S536" s="195">
        <v>0</v>
      </c>
      <c r="T536" s="195">
        <v>17.5</v>
      </c>
      <c r="U536" s="195">
        <v>24</v>
      </c>
      <c r="V536" s="195" t="s">
        <v>1</v>
      </c>
      <c r="W536" s="195" t="s">
        <v>1257</v>
      </c>
      <c r="X536" s="195">
        <v>0</v>
      </c>
      <c r="Y536" s="195">
        <v>38.339999999999996</v>
      </c>
      <c r="Z536" s="195">
        <v>24</v>
      </c>
      <c r="AA536" s="195" t="s">
        <v>1</v>
      </c>
      <c r="AB536" s="196" t="s">
        <v>1</v>
      </c>
      <c r="AC536" s="197">
        <v>0</v>
      </c>
      <c r="AD536" s="195">
        <v>38.339999999999996</v>
      </c>
      <c r="AE536" s="197">
        <v>24</v>
      </c>
      <c r="AF536" s="195" t="s">
        <v>1</v>
      </c>
      <c r="AG536" s="222" t="s">
        <v>1</v>
      </c>
      <c r="AH536" s="198" t="s">
        <v>1</v>
      </c>
      <c r="AI536" s="246" t="s">
        <v>1</v>
      </c>
      <c r="AJ536" s="246" t="s">
        <v>1</v>
      </c>
      <c r="AK536" s="247" t="s">
        <v>1</v>
      </c>
      <c r="AL536" s="245" t="s">
        <v>1</v>
      </c>
      <c r="AM536" s="200" t="s">
        <v>1</v>
      </c>
      <c r="AN536" s="201" t="s">
        <v>1</v>
      </c>
      <c r="AO536" s="201" t="s">
        <v>1</v>
      </c>
      <c r="AP536" s="198" t="s">
        <v>1</v>
      </c>
      <c r="AQ536" s="198" t="s">
        <v>1</v>
      </c>
      <c r="AR536" s="201" t="s">
        <v>1</v>
      </c>
      <c r="AS536" s="201" t="s">
        <v>1</v>
      </c>
      <c r="AT536" s="201" t="s">
        <v>1</v>
      </c>
      <c r="AU536" s="201" t="s">
        <v>1</v>
      </c>
      <c r="AV536" s="208" t="s">
        <v>1</v>
      </c>
      <c r="AW536" s="201" t="s">
        <v>1</v>
      </c>
    </row>
    <row r="537" spans="1:49" ht="30.15" customHeight="1" x14ac:dyDescent="0.25">
      <c r="A537" s="213" t="s">
        <v>18</v>
      </c>
      <c r="B537" s="189" t="s">
        <v>1</v>
      </c>
      <c r="C537" s="212" t="s">
        <v>34</v>
      </c>
      <c r="D537" s="190" t="s">
        <v>7</v>
      </c>
      <c r="E537" s="190" t="s">
        <v>846</v>
      </c>
      <c r="F537" s="203"/>
      <c r="G537" s="190" t="s">
        <v>847</v>
      </c>
      <c r="H537" s="192" t="s">
        <v>409</v>
      </c>
      <c r="I537" s="193">
        <v>1757</v>
      </c>
      <c r="J537" s="193">
        <v>1757</v>
      </c>
      <c r="K537" s="193">
        <v>1757</v>
      </c>
      <c r="L537" s="193">
        <v>2300</v>
      </c>
      <c r="M537" s="194">
        <v>2300</v>
      </c>
      <c r="N537" s="195">
        <v>0</v>
      </c>
      <c r="O537" s="195">
        <v>18.75</v>
      </c>
      <c r="P537" s="195">
        <v>24</v>
      </c>
      <c r="Q537" s="195" t="s">
        <v>1</v>
      </c>
      <c r="R537" s="195" t="s">
        <v>1257</v>
      </c>
      <c r="S537" s="195">
        <v>0</v>
      </c>
      <c r="T537" s="195">
        <v>18.75</v>
      </c>
      <c r="U537" s="195">
        <v>24</v>
      </c>
      <c r="V537" s="195" t="s">
        <v>1</v>
      </c>
      <c r="W537" s="195" t="s">
        <v>1257</v>
      </c>
      <c r="X537" s="195">
        <v>0</v>
      </c>
      <c r="Y537" s="195">
        <v>45.839999999999996</v>
      </c>
      <c r="Z537" s="195">
        <v>24</v>
      </c>
      <c r="AA537" s="195" t="s">
        <v>1</v>
      </c>
      <c r="AB537" s="196" t="s">
        <v>1</v>
      </c>
      <c r="AC537" s="197">
        <v>0</v>
      </c>
      <c r="AD537" s="195">
        <v>45.839999999999996</v>
      </c>
      <c r="AE537" s="197">
        <v>24</v>
      </c>
      <c r="AF537" s="195" t="s">
        <v>1</v>
      </c>
      <c r="AG537" s="222" t="s">
        <v>1</v>
      </c>
      <c r="AH537" s="198" t="s">
        <v>1</v>
      </c>
      <c r="AI537" s="246" t="s">
        <v>1</v>
      </c>
      <c r="AJ537" s="246" t="s">
        <v>1</v>
      </c>
      <c r="AK537" s="247" t="s">
        <v>1</v>
      </c>
      <c r="AL537" s="245" t="s">
        <v>1</v>
      </c>
      <c r="AM537" s="200" t="s">
        <v>1</v>
      </c>
      <c r="AN537" s="201" t="s">
        <v>1</v>
      </c>
      <c r="AO537" s="201" t="s">
        <v>1</v>
      </c>
      <c r="AP537" s="198" t="s">
        <v>1</v>
      </c>
      <c r="AQ537" s="198" t="s">
        <v>1</v>
      </c>
      <c r="AR537" s="201" t="s">
        <v>1</v>
      </c>
      <c r="AS537" s="201" t="s">
        <v>1</v>
      </c>
      <c r="AT537" s="201" t="s">
        <v>1</v>
      </c>
      <c r="AU537" s="201" t="s">
        <v>1</v>
      </c>
      <c r="AV537" s="208" t="s">
        <v>1</v>
      </c>
      <c r="AW537" s="201" t="s">
        <v>1</v>
      </c>
    </row>
    <row r="538" spans="1:49" ht="30.15" customHeight="1" x14ac:dyDescent="0.25">
      <c r="A538" s="213" t="s">
        <v>18</v>
      </c>
      <c r="B538" s="189" t="s">
        <v>1</v>
      </c>
      <c r="C538" s="212" t="s">
        <v>34</v>
      </c>
      <c r="D538" s="190" t="s">
        <v>7</v>
      </c>
      <c r="E538" s="190" t="s">
        <v>848</v>
      </c>
      <c r="F538" s="203"/>
      <c r="G538" s="190" t="s">
        <v>847</v>
      </c>
      <c r="H538" s="192" t="s">
        <v>7</v>
      </c>
      <c r="I538" s="193">
        <v>1757</v>
      </c>
      <c r="J538" s="193">
        <v>1757</v>
      </c>
      <c r="K538" s="193">
        <v>1757</v>
      </c>
      <c r="L538" s="193">
        <v>2300</v>
      </c>
      <c r="M538" s="194">
        <v>2300</v>
      </c>
      <c r="N538" s="195">
        <v>0</v>
      </c>
      <c r="O538" s="195">
        <v>18.75</v>
      </c>
      <c r="P538" s="195">
        <v>24</v>
      </c>
      <c r="Q538" s="195" t="s">
        <v>1</v>
      </c>
      <c r="R538" s="195" t="s">
        <v>1257</v>
      </c>
      <c r="S538" s="195">
        <v>0</v>
      </c>
      <c r="T538" s="195">
        <v>18.75</v>
      </c>
      <c r="U538" s="195">
        <v>24</v>
      </c>
      <c r="V538" s="195" t="s">
        <v>1</v>
      </c>
      <c r="W538" s="195" t="s">
        <v>1257</v>
      </c>
      <c r="X538" s="195">
        <v>0</v>
      </c>
      <c r="Y538" s="195">
        <v>45.839999999999996</v>
      </c>
      <c r="Z538" s="195">
        <v>24</v>
      </c>
      <c r="AA538" s="195" t="s">
        <v>1</v>
      </c>
      <c r="AB538" s="196" t="s">
        <v>1</v>
      </c>
      <c r="AC538" s="197">
        <v>0</v>
      </c>
      <c r="AD538" s="195">
        <v>45.839999999999996</v>
      </c>
      <c r="AE538" s="197">
        <v>24</v>
      </c>
      <c r="AF538" s="195" t="s">
        <v>1</v>
      </c>
      <c r="AG538" s="222" t="s">
        <v>1</v>
      </c>
      <c r="AH538" s="198" t="s">
        <v>1</v>
      </c>
      <c r="AI538" s="246" t="s">
        <v>1</v>
      </c>
      <c r="AJ538" s="246" t="s">
        <v>1</v>
      </c>
      <c r="AK538" s="247" t="s">
        <v>1</v>
      </c>
      <c r="AL538" s="245" t="s">
        <v>1</v>
      </c>
      <c r="AM538" s="200" t="s">
        <v>1</v>
      </c>
      <c r="AN538" s="201" t="s">
        <v>1</v>
      </c>
      <c r="AO538" s="201" t="s">
        <v>1</v>
      </c>
      <c r="AP538" s="198" t="s">
        <v>1</v>
      </c>
      <c r="AQ538" s="198" t="s">
        <v>1</v>
      </c>
      <c r="AR538" s="201" t="s">
        <v>1</v>
      </c>
      <c r="AS538" s="201" t="s">
        <v>1</v>
      </c>
      <c r="AT538" s="201" t="s">
        <v>1</v>
      </c>
      <c r="AU538" s="201" t="s">
        <v>1</v>
      </c>
      <c r="AV538" s="208" t="s">
        <v>1</v>
      </c>
      <c r="AW538" s="201" t="s">
        <v>1</v>
      </c>
    </row>
    <row r="539" spans="1:49" ht="30.15" customHeight="1" x14ac:dyDescent="0.25">
      <c r="A539" s="213" t="s">
        <v>18</v>
      </c>
      <c r="B539" s="189" t="s">
        <v>1</v>
      </c>
      <c r="C539" s="212" t="s">
        <v>34</v>
      </c>
      <c r="D539" s="190" t="s">
        <v>7</v>
      </c>
      <c r="E539" s="190" t="s">
        <v>849</v>
      </c>
      <c r="F539" s="203"/>
      <c r="G539" s="190" t="s">
        <v>850</v>
      </c>
      <c r="H539" s="192" t="s">
        <v>647</v>
      </c>
      <c r="I539" s="193">
        <v>2004</v>
      </c>
      <c r="J539" s="193">
        <v>2004</v>
      </c>
      <c r="K539" s="193">
        <v>2004</v>
      </c>
      <c r="L539" s="193">
        <v>2610</v>
      </c>
      <c r="M539" s="194">
        <v>2610</v>
      </c>
      <c r="N539" s="195">
        <v>0</v>
      </c>
      <c r="O539" s="195">
        <v>20.84</v>
      </c>
      <c r="P539" s="195">
        <v>24</v>
      </c>
      <c r="Q539" s="195" t="s">
        <v>1</v>
      </c>
      <c r="R539" s="195" t="s">
        <v>1258</v>
      </c>
      <c r="S539" s="195">
        <v>0</v>
      </c>
      <c r="T539" s="195">
        <v>20.84</v>
      </c>
      <c r="U539" s="195">
        <v>24</v>
      </c>
      <c r="V539" s="195" t="s">
        <v>1</v>
      </c>
      <c r="W539" s="195" t="s">
        <v>1258</v>
      </c>
      <c r="X539" s="195">
        <v>0</v>
      </c>
      <c r="Y539" s="195">
        <v>47.919999999999995</v>
      </c>
      <c r="Z539" s="195">
        <v>24</v>
      </c>
      <c r="AA539" s="195" t="s">
        <v>1</v>
      </c>
      <c r="AB539" s="196" t="s">
        <v>1</v>
      </c>
      <c r="AC539" s="197">
        <v>0</v>
      </c>
      <c r="AD539" s="195">
        <v>47.919999999999995</v>
      </c>
      <c r="AE539" s="197">
        <v>24</v>
      </c>
      <c r="AF539" s="195" t="s">
        <v>1</v>
      </c>
      <c r="AG539" s="222" t="s">
        <v>1</v>
      </c>
      <c r="AH539" s="198" t="s">
        <v>1</v>
      </c>
      <c r="AI539" s="246" t="s">
        <v>1</v>
      </c>
      <c r="AJ539" s="246" t="s">
        <v>1</v>
      </c>
      <c r="AK539" s="247" t="s">
        <v>1</v>
      </c>
      <c r="AL539" s="245" t="s">
        <v>1</v>
      </c>
      <c r="AM539" s="200" t="s">
        <v>1</v>
      </c>
      <c r="AN539" s="201" t="s">
        <v>1</v>
      </c>
      <c r="AO539" s="201" t="s">
        <v>1</v>
      </c>
      <c r="AP539" s="198" t="s">
        <v>1</v>
      </c>
      <c r="AQ539" s="198" t="s">
        <v>1</v>
      </c>
      <c r="AR539" s="201" t="s">
        <v>1</v>
      </c>
      <c r="AS539" s="201" t="s">
        <v>1</v>
      </c>
      <c r="AT539" s="201" t="s">
        <v>1</v>
      </c>
      <c r="AU539" s="201" t="s">
        <v>1</v>
      </c>
      <c r="AV539" s="208" t="s">
        <v>1</v>
      </c>
      <c r="AW539" s="201" t="s">
        <v>1</v>
      </c>
    </row>
    <row r="540" spans="1:49" ht="30.15" customHeight="1" x14ac:dyDescent="0.25">
      <c r="A540" s="213" t="s">
        <v>18</v>
      </c>
      <c r="B540" s="189" t="s">
        <v>1</v>
      </c>
      <c r="C540" s="212" t="s">
        <v>34</v>
      </c>
      <c r="D540" s="190" t="s">
        <v>7</v>
      </c>
      <c r="E540" s="190" t="s">
        <v>1190</v>
      </c>
      <c r="F540" s="203"/>
      <c r="G540" s="190" t="s">
        <v>1203</v>
      </c>
      <c r="H540" s="192" t="s">
        <v>409</v>
      </c>
      <c r="I540" s="193">
        <v>1073.49</v>
      </c>
      <c r="J540" s="193">
        <v>1073.49</v>
      </c>
      <c r="K540" s="193">
        <v>1073.49</v>
      </c>
      <c r="L540" s="193">
        <v>1400</v>
      </c>
      <c r="M540" s="194">
        <v>1400</v>
      </c>
      <c r="N540" s="195">
        <v>0</v>
      </c>
      <c r="O540" s="195">
        <v>11.25</v>
      </c>
      <c r="P540" s="195">
        <v>24</v>
      </c>
      <c r="Q540" s="195">
        <v>614</v>
      </c>
      <c r="R540" s="195" t="s">
        <v>1252</v>
      </c>
      <c r="S540" s="195">
        <v>0</v>
      </c>
      <c r="T540" s="195">
        <v>11.25</v>
      </c>
      <c r="U540" s="195">
        <v>24</v>
      </c>
      <c r="V540" s="195">
        <v>614</v>
      </c>
      <c r="W540" s="195" t="s">
        <v>1252</v>
      </c>
      <c r="X540" s="195">
        <v>0</v>
      </c>
      <c r="Y540" s="195">
        <v>28.75</v>
      </c>
      <c r="Z540" s="195">
        <v>24</v>
      </c>
      <c r="AA540" s="195">
        <v>614</v>
      </c>
      <c r="AB540" s="196" t="s">
        <v>1</v>
      </c>
      <c r="AC540" s="197">
        <v>0</v>
      </c>
      <c r="AD540" s="195">
        <v>28.75</v>
      </c>
      <c r="AE540" s="197">
        <v>24</v>
      </c>
      <c r="AF540" s="195">
        <v>614</v>
      </c>
      <c r="AG540" s="222" t="s">
        <v>1</v>
      </c>
      <c r="AH540" s="198" t="s">
        <v>1</v>
      </c>
      <c r="AI540" s="246" t="s">
        <v>1</v>
      </c>
      <c r="AJ540" s="246" t="s">
        <v>1</v>
      </c>
      <c r="AK540" s="247" t="s">
        <v>1</v>
      </c>
      <c r="AL540" s="245" t="s">
        <v>1</v>
      </c>
      <c r="AM540" s="200" t="s">
        <v>1</v>
      </c>
      <c r="AN540" s="201" t="s">
        <v>1</v>
      </c>
      <c r="AO540" s="201" t="s">
        <v>1</v>
      </c>
      <c r="AP540" s="198" t="s">
        <v>1</v>
      </c>
      <c r="AQ540" s="198" t="s">
        <v>1</v>
      </c>
      <c r="AR540" s="201" t="s">
        <v>1</v>
      </c>
      <c r="AS540" s="201" t="s">
        <v>1</v>
      </c>
      <c r="AT540" s="201" t="s">
        <v>1</v>
      </c>
      <c r="AU540" s="201" t="s">
        <v>1</v>
      </c>
      <c r="AV540" s="208" t="s">
        <v>1</v>
      </c>
      <c r="AW540" s="201" t="s">
        <v>1</v>
      </c>
    </row>
    <row r="541" spans="1:49" ht="30.15" customHeight="1" x14ac:dyDescent="0.25">
      <c r="A541" s="213" t="s">
        <v>18</v>
      </c>
      <c r="B541" s="189" t="s">
        <v>1</v>
      </c>
      <c r="C541" s="212" t="s">
        <v>34</v>
      </c>
      <c r="D541" s="190" t="s">
        <v>7</v>
      </c>
      <c r="E541" s="190" t="s">
        <v>1191</v>
      </c>
      <c r="F541" s="203"/>
      <c r="G541" s="190" t="s">
        <v>1203</v>
      </c>
      <c r="H541" s="192" t="s">
        <v>409</v>
      </c>
      <c r="I541" s="193">
        <v>1073.49</v>
      </c>
      <c r="J541" s="193">
        <v>1073.49</v>
      </c>
      <c r="K541" s="193">
        <v>1073.49</v>
      </c>
      <c r="L541" s="193">
        <v>1400</v>
      </c>
      <c r="M541" s="194">
        <v>1400</v>
      </c>
      <c r="N541" s="195">
        <v>0</v>
      </c>
      <c r="O541" s="195">
        <v>11.25</v>
      </c>
      <c r="P541" s="195">
        <v>24</v>
      </c>
      <c r="Q541" s="195">
        <v>614</v>
      </c>
      <c r="R541" s="195" t="s">
        <v>1252</v>
      </c>
      <c r="S541" s="195">
        <v>0</v>
      </c>
      <c r="T541" s="195">
        <v>11.25</v>
      </c>
      <c r="U541" s="195">
        <v>24</v>
      </c>
      <c r="V541" s="195">
        <v>614</v>
      </c>
      <c r="W541" s="195" t="s">
        <v>1252</v>
      </c>
      <c r="X541" s="195">
        <v>0</v>
      </c>
      <c r="Y541" s="195">
        <v>28.75</v>
      </c>
      <c r="Z541" s="195">
        <v>24</v>
      </c>
      <c r="AA541" s="195">
        <v>614</v>
      </c>
      <c r="AB541" s="196" t="s">
        <v>1</v>
      </c>
      <c r="AC541" s="197">
        <v>0</v>
      </c>
      <c r="AD541" s="195">
        <v>28.75</v>
      </c>
      <c r="AE541" s="197">
        <v>24</v>
      </c>
      <c r="AF541" s="195">
        <v>614</v>
      </c>
      <c r="AG541" s="222" t="s">
        <v>1</v>
      </c>
      <c r="AH541" s="198" t="s">
        <v>1</v>
      </c>
      <c r="AI541" s="246" t="s">
        <v>1</v>
      </c>
      <c r="AJ541" s="246" t="s">
        <v>1</v>
      </c>
      <c r="AK541" s="247" t="s">
        <v>1</v>
      </c>
      <c r="AL541" s="245" t="s">
        <v>1</v>
      </c>
      <c r="AM541" s="200" t="s">
        <v>1</v>
      </c>
      <c r="AN541" s="201" t="s">
        <v>1</v>
      </c>
      <c r="AO541" s="201" t="s">
        <v>1</v>
      </c>
      <c r="AP541" s="198" t="s">
        <v>1</v>
      </c>
      <c r="AQ541" s="198" t="s">
        <v>1</v>
      </c>
      <c r="AR541" s="201" t="s">
        <v>1</v>
      </c>
      <c r="AS541" s="201" t="s">
        <v>1</v>
      </c>
      <c r="AT541" s="201" t="s">
        <v>1</v>
      </c>
      <c r="AU541" s="201" t="s">
        <v>1</v>
      </c>
      <c r="AV541" s="208" t="s">
        <v>1</v>
      </c>
      <c r="AW541" s="201" t="s">
        <v>1</v>
      </c>
    </row>
    <row r="542" spans="1:49" ht="30.15" customHeight="1" x14ac:dyDescent="0.25">
      <c r="A542" s="213" t="s">
        <v>18</v>
      </c>
      <c r="B542" s="189" t="s">
        <v>1</v>
      </c>
      <c r="C542" s="212" t="s">
        <v>34</v>
      </c>
      <c r="D542" s="190" t="s">
        <v>7</v>
      </c>
      <c r="E542" s="190" t="s">
        <v>1192</v>
      </c>
      <c r="F542" s="203"/>
      <c r="G542" s="190" t="s">
        <v>1203</v>
      </c>
      <c r="H542" s="192" t="s">
        <v>409</v>
      </c>
      <c r="I542" s="193">
        <v>1073.49</v>
      </c>
      <c r="J542" s="193">
        <v>1073.49</v>
      </c>
      <c r="K542" s="193">
        <v>1073.49</v>
      </c>
      <c r="L542" s="193">
        <v>1400</v>
      </c>
      <c r="M542" s="194">
        <v>1400</v>
      </c>
      <c r="N542" s="195">
        <v>0</v>
      </c>
      <c r="O542" s="195">
        <v>11.25</v>
      </c>
      <c r="P542" s="195">
        <v>24</v>
      </c>
      <c r="Q542" s="195">
        <v>614</v>
      </c>
      <c r="R542" s="195" t="s">
        <v>1252</v>
      </c>
      <c r="S542" s="195">
        <v>0</v>
      </c>
      <c r="T542" s="195">
        <v>11.25</v>
      </c>
      <c r="U542" s="195">
        <v>24</v>
      </c>
      <c r="V542" s="195">
        <v>614</v>
      </c>
      <c r="W542" s="195" t="s">
        <v>1252</v>
      </c>
      <c r="X542" s="195">
        <v>0</v>
      </c>
      <c r="Y542" s="195">
        <v>28.75</v>
      </c>
      <c r="Z542" s="195">
        <v>24</v>
      </c>
      <c r="AA542" s="195">
        <v>614</v>
      </c>
      <c r="AB542" s="196" t="s">
        <v>1</v>
      </c>
      <c r="AC542" s="197">
        <v>0</v>
      </c>
      <c r="AD542" s="195">
        <v>28.75</v>
      </c>
      <c r="AE542" s="197">
        <v>24</v>
      </c>
      <c r="AF542" s="195">
        <v>614</v>
      </c>
      <c r="AG542" s="222" t="s">
        <v>1</v>
      </c>
      <c r="AH542" s="198" t="s">
        <v>1</v>
      </c>
      <c r="AI542" s="246" t="s">
        <v>1</v>
      </c>
      <c r="AJ542" s="246" t="s">
        <v>1</v>
      </c>
      <c r="AK542" s="247" t="s">
        <v>1</v>
      </c>
      <c r="AL542" s="245" t="s">
        <v>1</v>
      </c>
      <c r="AM542" s="200" t="s">
        <v>1</v>
      </c>
      <c r="AN542" s="201" t="s">
        <v>1</v>
      </c>
      <c r="AO542" s="201" t="s">
        <v>1</v>
      </c>
      <c r="AP542" s="198" t="s">
        <v>1</v>
      </c>
      <c r="AQ542" s="198" t="s">
        <v>1</v>
      </c>
      <c r="AR542" s="201" t="s">
        <v>1</v>
      </c>
      <c r="AS542" s="201" t="s">
        <v>1</v>
      </c>
      <c r="AT542" s="201" t="s">
        <v>1</v>
      </c>
      <c r="AU542" s="201" t="s">
        <v>1</v>
      </c>
      <c r="AV542" s="208" t="s">
        <v>1</v>
      </c>
      <c r="AW542" s="201" t="s">
        <v>1</v>
      </c>
    </row>
    <row r="543" spans="1:49" ht="30.15" customHeight="1" x14ac:dyDescent="0.25">
      <c r="A543" s="213" t="s">
        <v>18</v>
      </c>
      <c r="B543" s="189" t="s">
        <v>1</v>
      </c>
      <c r="C543" s="212" t="s">
        <v>34</v>
      </c>
      <c r="D543" s="190" t="s">
        <v>7</v>
      </c>
      <c r="E543" s="190" t="s">
        <v>1193</v>
      </c>
      <c r="F543" s="203"/>
      <c r="G543" s="190" t="s">
        <v>1203</v>
      </c>
      <c r="H543" s="192" t="s">
        <v>409</v>
      </c>
      <c r="I543" s="193">
        <v>1073.49</v>
      </c>
      <c r="J543" s="193">
        <v>1073.49</v>
      </c>
      <c r="K543" s="193">
        <v>1073.49</v>
      </c>
      <c r="L543" s="193">
        <v>1400</v>
      </c>
      <c r="M543" s="194">
        <v>1400</v>
      </c>
      <c r="N543" s="195">
        <v>0</v>
      </c>
      <c r="O543" s="195">
        <v>11.25</v>
      </c>
      <c r="P543" s="195">
        <v>24</v>
      </c>
      <c r="Q543" s="195">
        <v>614</v>
      </c>
      <c r="R543" s="195" t="s">
        <v>1252</v>
      </c>
      <c r="S543" s="195">
        <v>0</v>
      </c>
      <c r="T543" s="195">
        <v>11.25</v>
      </c>
      <c r="U543" s="195">
        <v>24</v>
      </c>
      <c r="V543" s="195">
        <v>614</v>
      </c>
      <c r="W543" s="195" t="s">
        <v>1252</v>
      </c>
      <c r="X543" s="195">
        <v>0</v>
      </c>
      <c r="Y543" s="195">
        <v>28.75</v>
      </c>
      <c r="Z543" s="195">
        <v>24</v>
      </c>
      <c r="AA543" s="195">
        <v>614</v>
      </c>
      <c r="AB543" s="196" t="s">
        <v>1</v>
      </c>
      <c r="AC543" s="197">
        <v>0</v>
      </c>
      <c r="AD543" s="195">
        <v>28.75</v>
      </c>
      <c r="AE543" s="197">
        <v>24</v>
      </c>
      <c r="AF543" s="195">
        <v>614</v>
      </c>
      <c r="AG543" s="222" t="s">
        <v>1</v>
      </c>
      <c r="AH543" s="198" t="s">
        <v>1</v>
      </c>
      <c r="AI543" s="246" t="s">
        <v>1</v>
      </c>
      <c r="AJ543" s="246" t="s">
        <v>1</v>
      </c>
      <c r="AK543" s="247" t="s">
        <v>1</v>
      </c>
      <c r="AL543" s="245" t="s">
        <v>1</v>
      </c>
      <c r="AM543" s="200" t="s">
        <v>1</v>
      </c>
      <c r="AN543" s="201" t="s">
        <v>1</v>
      </c>
      <c r="AO543" s="201" t="s">
        <v>1</v>
      </c>
      <c r="AP543" s="198" t="s">
        <v>1</v>
      </c>
      <c r="AQ543" s="198" t="s">
        <v>1</v>
      </c>
      <c r="AR543" s="201" t="s">
        <v>1</v>
      </c>
      <c r="AS543" s="201" t="s">
        <v>1</v>
      </c>
      <c r="AT543" s="201" t="s">
        <v>1</v>
      </c>
      <c r="AU543" s="201" t="s">
        <v>1</v>
      </c>
      <c r="AV543" s="208" t="s">
        <v>1</v>
      </c>
      <c r="AW543" s="201" t="s">
        <v>1</v>
      </c>
    </row>
    <row r="544" spans="1:49" ht="30.15" customHeight="1" x14ac:dyDescent="0.25">
      <c r="A544" s="213" t="s">
        <v>18</v>
      </c>
      <c r="B544" s="189" t="s">
        <v>1</v>
      </c>
      <c r="C544" s="212" t="s">
        <v>34</v>
      </c>
      <c r="D544" s="190" t="s">
        <v>7</v>
      </c>
      <c r="E544" s="190" t="s">
        <v>1194</v>
      </c>
      <c r="F544" s="203"/>
      <c r="G544" s="190" t="s">
        <v>1204</v>
      </c>
      <c r="H544" s="192" t="s">
        <v>409</v>
      </c>
      <c r="I544" s="193">
        <v>1139.99</v>
      </c>
      <c r="J544" s="193">
        <v>1139.99</v>
      </c>
      <c r="K544" s="193">
        <v>1139.99</v>
      </c>
      <c r="L544" s="193">
        <v>1485</v>
      </c>
      <c r="M544" s="194">
        <v>1485</v>
      </c>
      <c r="N544" s="195">
        <v>0</v>
      </c>
      <c r="O544" s="195">
        <v>11.879999999999999</v>
      </c>
      <c r="P544" s="195">
        <v>24</v>
      </c>
      <c r="Q544" s="195">
        <v>628</v>
      </c>
      <c r="R544" s="195" t="s">
        <v>1252</v>
      </c>
      <c r="S544" s="195">
        <v>0</v>
      </c>
      <c r="T544" s="195">
        <v>11.879999999999999</v>
      </c>
      <c r="U544" s="195">
        <v>24</v>
      </c>
      <c r="V544" s="195">
        <v>628</v>
      </c>
      <c r="W544" s="195" t="s">
        <v>1252</v>
      </c>
      <c r="X544" s="195">
        <v>0</v>
      </c>
      <c r="Y544" s="195">
        <v>28.75</v>
      </c>
      <c r="Z544" s="195">
        <v>24</v>
      </c>
      <c r="AA544" s="195">
        <v>628</v>
      </c>
      <c r="AB544" s="196" t="s">
        <v>1</v>
      </c>
      <c r="AC544" s="197">
        <v>0</v>
      </c>
      <c r="AD544" s="195">
        <v>28.75</v>
      </c>
      <c r="AE544" s="197">
        <v>24</v>
      </c>
      <c r="AF544" s="195">
        <v>628</v>
      </c>
      <c r="AG544" s="222" t="s">
        <v>1</v>
      </c>
      <c r="AH544" s="198" t="s">
        <v>1</v>
      </c>
      <c r="AI544" s="246" t="s">
        <v>1</v>
      </c>
      <c r="AJ544" s="246" t="s">
        <v>1</v>
      </c>
      <c r="AK544" s="247" t="s">
        <v>1</v>
      </c>
      <c r="AL544" s="245" t="s">
        <v>1</v>
      </c>
      <c r="AM544" s="200" t="s">
        <v>1</v>
      </c>
      <c r="AN544" s="201" t="s">
        <v>1</v>
      </c>
      <c r="AO544" s="201" t="s">
        <v>1</v>
      </c>
      <c r="AP544" s="198" t="s">
        <v>1</v>
      </c>
      <c r="AQ544" s="198" t="s">
        <v>1</v>
      </c>
      <c r="AR544" s="201" t="s">
        <v>1</v>
      </c>
      <c r="AS544" s="201" t="s">
        <v>1</v>
      </c>
      <c r="AT544" s="201" t="s">
        <v>1</v>
      </c>
      <c r="AU544" s="201" t="s">
        <v>1</v>
      </c>
      <c r="AV544" s="208" t="s">
        <v>1</v>
      </c>
      <c r="AW544" s="201" t="s">
        <v>1</v>
      </c>
    </row>
    <row r="545" spans="1:49" ht="30.15" customHeight="1" x14ac:dyDescent="0.25">
      <c r="A545" s="213" t="s">
        <v>18</v>
      </c>
      <c r="B545" s="189" t="s">
        <v>1</v>
      </c>
      <c r="C545" s="212" t="s">
        <v>34</v>
      </c>
      <c r="D545" s="190" t="s">
        <v>7</v>
      </c>
      <c r="E545" s="190" t="s">
        <v>1195</v>
      </c>
      <c r="F545" s="203"/>
      <c r="G545" s="190" t="s">
        <v>1205</v>
      </c>
      <c r="H545" s="192" t="s">
        <v>409</v>
      </c>
      <c r="I545" s="193">
        <v>1329.99</v>
      </c>
      <c r="J545" s="193">
        <v>1329.99</v>
      </c>
      <c r="K545" s="193">
        <v>1329.99</v>
      </c>
      <c r="L545" s="193">
        <v>1730</v>
      </c>
      <c r="M545" s="194">
        <v>1730</v>
      </c>
      <c r="N545" s="195">
        <v>0</v>
      </c>
      <c r="O545" s="195">
        <v>13.75</v>
      </c>
      <c r="P545" s="195">
        <v>24</v>
      </c>
      <c r="Q545" s="195">
        <v>640</v>
      </c>
      <c r="R545" s="195" t="s">
        <v>1253</v>
      </c>
      <c r="S545" s="195">
        <v>0</v>
      </c>
      <c r="T545" s="195">
        <v>13.75</v>
      </c>
      <c r="U545" s="195">
        <v>24</v>
      </c>
      <c r="V545" s="195">
        <v>640</v>
      </c>
      <c r="W545" s="195" t="s">
        <v>1253</v>
      </c>
      <c r="X545" s="195">
        <v>0</v>
      </c>
      <c r="Y545" s="195">
        <v>32.42</v>
      </c>
      <c r="Z545" s="195">
        <v>24</v>
      </c>
      <c r="AA545" s="195">
        <v>640</v>
      </c>
      <c r="AB545" s="196" t="s">
        <v>1</v>
      </c>
      <c r="AC545" s="197">
        <v>0</v>
      </c>
      <c r="AD545" s="195">
        <v>32.42</v>
      </c>
      <c r="AE545" s="197">
        <v>24</v>
      </c>
      <c r="AF545" s="195">
        <v>640</v>
      </c>
      <c r="AG545" s="222" t="s">
        <v>1</v>
      </c>
      <c r="AH545" s="198" t="s">
        <v>1</v>
      </c>
      <c r="AI545" s="246" t="s">
        <v>1</v>
      </c>
      <c r="AJ545" s="246" t="s">
        <v>1</v>
      </c>
      <c r="AK545" s="247" t="s">
        <v>1</v>
      </c>
      <c r="AL545" s="245" t="s">
        <v>1</v>
      </c>
      <c r="AM545" s="200" t="s">
        <v>1</v>
      </c>
      <c r="AN545" s="201" t="s">
        <v>1</v>
      </c>
      <c r="AO545" s="201" t="s">
        <v>1</v>
      </c>
      <c r="AP545" s="198" t="s">
        <v>1</v>
      </c>
      <c r="AQ545" s="198" t="s">
        <v>1</v>
      </c>
      <c r="AR545" s="201" t="s">
        <v>1</v>
      </c>
      <c r="AS545" s="201" t="s">
        <v>1</v>
      </c>
      <c r="AT545" s="201" t="s">
        <v>1</v>
      </c>
      <c r="AU545" s="201" t="s">
        <v>1</v>
      </c>
      <c r="AV545" s="208" t="s">
        <v>1</v>
      </c>
      <c r="AW545" s="201" t="s">
        <v>1</v>
      </c>
    </row>
    <row r="546" spans="1:49" ht="30.15" customHeight="1" x14ac:dyDescent="0.25">
      <c r="A546" s="213" t="s">
        <v>18</v>
      </c>
      <c r="B546" s="189" t="s">
        <v>1</v>
      </c>
      <c r="C546" s="212" t="s">
        <v>34</v>
      </c>
      <c r="D546" s="190" t="s">
        <v>7</v>
      </c>
      <c r="E546" s="190" t="s">
        <v>1196</v>
      </c>
      <c r="F546" s="203"/>
      <c r="G546" s="190" t="s">
        <v>1205</v>
      </c>
      <c r="H546" s="192" t="s">
        <v>409</v>
      </c>
      <c r="I546" s="193">
        <v>1329.99</v>
      </c>
      <c r="J546" s="193">
        <v>1329.99</v>
      </c>
      <c r="K546" s="193">
        <v>1329.99</v>
      </c>
      <c r="L546" s="193">
        <v>1730</v>
      </c>
      <c r="M546" s="194">
        <v>1730</v>
      </c>
      <c r="N546" s="195">
        <v>0</v>
      </c>
      <c r="O546" s="195">
        <v>13.75</v>
      </c>
      <c r="P546" s="195">
        <v>24</v>
      </c>
      <c r="Q546" s="195">
        <v>640</v>
      </c>
      <c r="R546" s="195" t="s">
        <v>1253</v>
      </c>
      <c r="S546" s="195">
        <v>0</v>
      </c>
      <c r="T546" s="195">
        <v>13.75</v>
      </c>
      <c r="U546" s="195">
        <v>24</v>
      </c>
      <c r="V546" s="195">
        <v>640</v>
      </c>
      <c r="W546" s="195" t="s">
        <v>1253</v>
      </c>
      <c r="X546" s="195">
        <v>0</v>
      </c>
      <c r="Y546" s="195">
        <v>32.42</v>
      </c>
      <c r="Z546" s="195">
        <v>24</v>
      </c>
      <c r="AA546" s="195">
        <v>640</v>
      </c>
      <c r="AB546" s="196" t="s">
        <v>1</v>
      </c>
      <c r="AC546" s="197">
        <v>0</v>
      </c>
      <c r="AD546" s="195">
        <v>32.42</v>
      </c>
      <c r="AE546" s="197">
        <v>24</v>
      </c>
      <c r="AF546" s="195">
        <v>640</v>
      </c>
      <c r="AG546" s="222" t="s">
        <v>1</v>
      </c>
      <c r="AH546" s="198" t="s">
        <v>1</v>
      </c>
      <c r="AI546" s="246" t="s">
        <v>1</v>
      </c>
      <c r="AJ546" s="246" t="s">
        <v>1</v>
      </c>
      <c r="AK546" s="247" t="s">
        <v>1</v>
      </c>
      <c r="AL546" s="245" t="s">
        <v>1</v>
      </c>
      <c r="AM546" s="200" t="s">
        <v>1</v>
      </c>
      <c r="AN546" s="201" t="s">
        <v>1</v>
      </c>
      <c r="AO546" s="201" t="s">
        <v>1</v>
      </c>
      <c r="AP546" s="198" t="s">
        <v>1</v>
      </c>
      <c r="AQ546" s="198" t="s">
        <v>1</v>
      </c>
      <c r="AR546" s="201" t="s">
        <v>1</v>
      </c>
      <c r="AS546" s="201" t="s">
        <v>1</v>
      </c>
      <c r="AT546" s="201" t="s">
        <v>1</v>
      </c>
      <c r="AU546" s="201" t="s">
        <v>1</v>
      </c>
      <c r="AV546" s="208" t="s">
        <v>1</v>
      </c>
      <c r="AW546" s="201" t="s">
        <v>1</v>
      </c>
    </row>
    <row r="547" spans="1:49" ht="30.15" customHeight="1" x14ac:dyDescent="0.25">
      <c r="A547" s="213" t="s">
        <v>18</v>
      </c>
      <c r="B547" s="189" t="s">
        <v>1</v>
      </c>
      <c r="C547" s="212" t="s">
        <v>34</v>
      </c>
      <c r="D547" s="190" t="s">
        <v>7</v>
      </c>
      <c r="E547" s="190" t="s">
        <v>1197</v>
      </c>
      <c r="F547" s="203"/>
      <c r="G547" s="190" t="s">
        <v>1205</v>
      </c>
      <c r="H547" s="192" t="s">
        <v>409</v>
      </c>
      <c r="I547" s="193">
        <v>1329.99</v>
      </c>
      <c r="J547" s="193">
        <v>1329.99</v>
      </c>
      <c r="K547" s="193">
        <v>1329.99</v>
      </c>
      <c r="L547" s="193">
        <v>1730</v>
      </c>
      <c r="M547" s="194">
        <v>1730</v>
      </c>
      <c r="N547" s="195">
        <v>0</v>
      </c>
      <c r="O547" s="195">
        <v>13.75</v>
      </c>
      <c r="P547" s="195">
        <v>24</v>
      </c>
      <c r="Q547" s="195">
        <v>640</v>
      </c>
      <c r="R547" s="195" t="s">
        <v>1253</v>
      </c>
      <c r="S547" s="195">
        <v>0</v>
      </c>
      <c r="T547" s="195">
        <v>13.75</v>
      </c>
      <c r="U547" s="195">
        <v>24</v>
      </c>
      <c r="V547" s="195">
        <v>640</v>
      </c>
      <c r="W547" s="195" t="s">
        <v>1253</v>
      </c>
      <c r="X547" s="195">
        <v>0</v>
      </c>
      <c r="Y547" s="195">
        <v>32.42</v>
      </c>
      <c r="Z547" s="195">
        <v>24</v>
      </c>
      <c r="AA547" s="195">
        <v>640</v>
      </c>
      <c r="AB547" s="196" t="s">
        <v>1</v>
      </c>
      <c r="AC547" s="197">
        <v>0</v>
      </c>
      <c r="AD547" s="195">
        <v>32.42</v>
      </c>
      <c r="AE547" s="197">
        <v>24</v>
      </c>
      <c r="AF547" s="195">
        <v>640</v>
      </c>
      <c r="AG547" s="222" t="s">
        <v>1</v>
      </c>
      <c r="AH547" s="198" t="s">
        <v>1</v>
      </c>
      <c r="AI547" s="246" t="s">
        <v>1</v>
      </c>
      <c r="AJ547" s="246" t="s">
        <v>1</v>
      </c>
      <c r="AK547" s="247" t="s">
        <v>1</v>
      </c>
      <c r="AL547" s="245" t="s">
        <v>1</v>
      </c>
      <c r="AM547" s="200" t="s">
        <v>1</v>
      </c>
      <c r="AN547" s="201" t="s">
        <v>1</v>
      </c>
      <c r="AO547" s="201" t="s">
        <v>1</v>
      </c>
      <c r="AP547" s="198" t="s">
        <v>1</v>
      </c>
      <c r="AQ547" s="198" t="s">
        <v>1</v>
      </c>
      <c r="AR547" s="201" t="s">
        <v>1</v>
      </c>
      <c r="AS547" s="201" t="s">
        <v>1</v>
      </c>
      <c r="AT547" s="201" t="s">
        <v>1</v>
      </c>
      <c r="AU547" s="201" t="s">
        <v>1</v>
      </c>
      <c r="AV547" s="208" t="s">
        <v>1</v>
      </c>
      <c r="AW547" s="201" t="s">
        <v>1</v>
      </c>
    </row>
    <row r="548" spans="1:49" ht="30.15" customHeight="1" x14ac:dyDescent="0.25">
      <c r="A548" s="213" t="s">
        <v>18</v>
      </c>
      <c r="B548" s="189" t="s">
        <v>1</v>
      </c>
      <c r="C548" s="212" t="s">
        <v>34</v>
      </c>
      <c r="D548" s="190" t="s">
        <v>7</v>
      </c>
      <c r="E548" s="190" t="s">
        <v>1210</v>
      </c>
      <c r="F548" s="203"/>
      <c r="G548" s="190" t="s">
        <v>1205</v>
      </c>
      <c r="H548" s="192" t="s">
        <v>7</v>
      </c>
      <c r="I548" s="193">
        <v>1329.99</v>
      </c>
      <c r="J548" s="193">
        <v>1329.99</v>
      </c>
      <c r="K548" s="193">
        <v>1329.99</v>
      </c>
      <c r="L548" s="193">
        <v>1730</v>
      </c>
      <c r="M548" s="194">
        <v>1730</v>
      </c>
      <c r="N548" s="195">
        <v>0</v>
      </c>
      <c r="O548" s="195">
        <v>13.75</v>
      </c>
      <c r="P548" s="195">
        <v>24</v>
      </c>
      <c r="Q548" s="195">
        <v>640</v>
      </c>
      <c r="R548" s="195" t="s">
        <v>1253</v>
      </c>
      <c r="S548" s="195">
        <v>0</v>
      </c>
      <c r="T548" s="195">
        <v>13.75</v>
      </c>
      <c r="U548" s="195">
        <v>24</v>
      </c>
      <c r="V548" s="195">
        <v>640</v>
      </c>
      <c r="W548" s="195" t="s">
        <v>1253</v>
      </c>
      <c r="X548" s="195">
        <v>0</v>
      </c>
      <c r="Y548" s="195">
        <v>32.42</v>
      </c>
      <c r="Z548" s="195">
        <v>24</v>
      </c>
      <c r="AA548" s="195">
        <v>640</v>
      </c>
      <c r="AB548" s="196" t="s">
        <v>1</v>
      </c>
      <c r="AC548" s="197">
        <v>0</v>
      </c>
      <c r="AD548" s="195">
        <v>32.42</v>
      </c>
      <c r="AE548" s="197">
        <v>24</v>
      </c>
      <c r="AF548" s="195">
        <v>640</v>
      </c>
      <c r="AG548" s="222" t="s">
        <v>1</v>
      </c>
      <c r="AH548" s="198" t="s">
        <v>1</v>
      </c>
      <c r="AI548" s="246" t="s">
        <v>1</v>
      </c>
      <c r="AJ548" s="246" t="s">
        <v>1</v>
      </c>
      <c r="AK548" s="247" t="s">
        <v>1</v>
      </c>
      <c r="AL548" s="245" t="s">
        <v>1</v>
      </c>
      <c r="AM548" s="200" t="s">
        <v>1</v>
      </c>
      <c r="AN548" s="201" t="s">
        <v>1</v>
      </c>
      <c r="AO548" s="201" t="s">
        <v>1</v>
      </c>
      <c r="AP548" s="198" t="s">
        <v>1</v>
      </c>
      <c r="AQ548" s="198" t="s">
        <v>1</v>
      </c>
      <c r="AR548" s="201" t="s">
        <v>1</v>
      </c>
      <c r="AS548" s="201" t="s">
        <v>1</v>
      </c>
      <c r="AT548" s="201" t="s">
        <v>1</v>
      </c>
      <c r="AU548" s="201" t="s">
        <v>1</v>
      </c>
      <c r="AV548" s="208" t="s">
        <v>1</v>
      </c>
      <c r="AW548" s="201" t="s">
        <v>1</v>
      </c>
    </row>
    <row r="549" spans="1:49" ht="30.15" customHeight="1" x14ac:dyDescent="0.25">
      <c r="A549" s="213" t="s">
        <v>18</v>
      </c>
      <c r="B549" s="189" t="s">
        <v>1</v>
      </c>
      <c r="C549" s="212" t="s">
        <v>34</v>
      </c>
      <c r="D549" s="190" t="s">
        <v>7</v>
      </c>
      <c r="E549" s="190" t="s">
        <v>1211</v>
      </c>
      <c r="F549" s="203"/>
      <c r="G549" s="190" t="s">
        <v>1205</v>
      </c>
      <c r="H549" s="192" t="s">
        <v>7</v>
      </c>
      <c r="I549" s="193">
        <v>1329.99</v>
      </c>
      <c r="J549" s="193">
        <v>1329.99</v>
      </c>
      <c r="K549" s="193">
        <v>1329.99</v>
      </c>
      <c r="L549" s="193">
        <v>1730</v>
      </c>
      <c r="M549" s="194">
        <v>1730</v>
      </c>
      <c r="N549" s="195">
        <v>0</v>
      </c>
      <c r="O549" s="195">
        <v>13.75</v>
      </c>
      <c r="P549" s="195">
        <v>24</v>
      </c>
      <c r="Q549" s="195">
        <v>640</v>
      </c>
      <c r="R549" s="195" t="s">
        <v>1253</v>
      </c>
      <c r="S549" s="195">
        <v>0</v>
      </c>
      <c r="T549" s="195">
        <v>13.75</v>
      </c>
      <c r="U549" s="195">
        <v>24</v>
      </c>
      <c r="V549" s="195">
        <v>640</v>
      </c>
      <c r="W549" s="195" t="s">
        <v>1253</v>
      </c>
      <c r="X549" s="195">
        <v>0</v>
      </c>
      <c r="Y549" s="195">
        <v>32.42</v>
      </c>
      <c r="Z549" s="195">
        <v>24</v>
      </c>
      <c r="AA549" s="195">
        <v>640</v>
      </c>
      <c r="AB549" s="196" t="s">
        <v>1</v>
      </c>
      <c r="AC549" s="197">
        <v>0</v>
      </c>
      <c r="AD549" s="195">
        <v>32.42</v>
      </c>
      <c r="AE549" s="197">
        <v>24</v>
      </c>
      <c r="AF549" s="195">
        <v>640</v>
      </c>
      <c r="AG549" s="222" t="s">
        <v>1</v>
      </c>
      <c r="AH549" s="198" t="s">
        <v>1</v>
      </c>
      <c r="AI549" s="246" t="s">
        <v>1</v>
      </c>
      <c r="AJ549" s="246" t="s">
        <v>1</v>
      </c>
      <c r="AK549" s="247" t="s">
        <v>1</v>
      </c>
      <c r="AL549" s="245" t="s">
        <v>1</v>
      </c>
      <c r="AM549" s="200" t="s">
        <v>1</v>
      </c>
      <c r="AN549" s="201" t="s">
        <v>1</v>
      </c>
      <c r="AO549" s="201" t="s">
        <v>1</v>
      </c>
      <c r="AP549" s="198" t="s">
        <v>1</v>
      </c>
      <c r="AQ549" s="198" t="s">
        <v>1</v>
      </c>
      <c r="AR549" s="201" t="s">
        <v>1</v>
      </c>
      <c r="AS549" s="201" t="s">
        <v>1</v>
      </c>
      <c r="AT549" s="201" t="s">
        <v>1</v>
      </c>
      <c r="AU549" s="201" t="s">
        <v>1</v>
      </c>
      <c r="AV549" s="208" t="s">
        <v>1</v>
      </c>
      <c r="AW549" s="201" t="s">
        <v>1</v>
      </c>
    </row>
    <row r="550" spans="1:49" ht="30.15" customHeight="1" x14ac:dyDescent="0.25">
      <c r="A550" s="213" t="s">
        <v>18</v>
      </c>
      <c r="B550" s="189" t="s">
        <v>1</v>
      </c>
      <c r="C550" s="212" t="s">
        <v>34</v>
      </c>
      <c r="D550" s="190" t="s">
        <v>7</v>
      </c>
      <c r="E550" s="190" t="s">
        <v>1212</v>
      </c>
      <c r="F550" s="203"/>
      <c r="G550" s="190" t="s">
        <v>1205</v>
      </c>
      <c r="H550" s="192" t="s">
        <v>7</v>
      </c>
      <c r="I550" s="193">
        <v>1329.99</v>
      </c>
      <c r="J550" s="193">
        <v>1329.99</v>
      </c>
      <c r="K550" s="193">
        <v>1329.99</v>
      </c>
      <c r="L550" s="193">
        <v>1730</v>
      </c>
      <c r="M550" s="194">
        <v>1730</v>
      </c>
      <c r="N550" s="195">
        <v>0</v>
      </c>
      <c r="O550" s="195">
        <v>13.75</v>
      </c>
      <c r="P550" s="195">
        <v>24</v>
      </c>
      <c r="Q550" s="195">
        <v>640</v>
      </c>
      <c r="R550" s="195" t="s">
        <v>1253</v>
      </c>
      <c r="S550" s="195">
        <v>0</v>
      </c>
      <c r="T550" s="195">
        <v>13.75</v>
      </c>
      <c r="U550" s="195">
        <v>24</v>
      </c>
      <c r="V550" s="195">
        <v>640</v>
      </c>
      <c r="W550" s="195" t="s">
        <v>1253</v>
      </c>
      <c r="X550" s="195">
        <v>0</v>
      </c>
      <c r="Y550" s="195">
        <v>32.42</v>
      </c>
      <c r="Z550" s="195">
        <v>24</v>
      </c>
      <c r="AA550" s="195">
        <v>640</v>
      </c>
      <c r="AB550" s="196" t="s">
        <v>1</v>
      </c>
      <c r="AC550" s="197">
        <v>0</v>
      </c>
      <c r="AD550" s="195">
        <v>32.42</v>
      </c>
      <c r="AE550" s="197">
        <v>24</v>
      </c>
      <c r="AF550" s="195">
        <v>640</v>
      </c>
      <c r="AG550" s="222" t="s">
        <v>1</v>
      </c>
      <c r="AH550" s="198" t="s">
        <v>1</v>
      </c>
      <c r="AI550" s="246" t="s">
        <v>1</v>
      </c>
      <c r="AJ550" s="246" t="s">
        <v>1</v>
      </c>
      <c r="AK550" s="247" t="s">
        <v>1</v>
      </c>
      <c r="AL550" s="245" t="s">
        <v>1</v>
      </c>
      <c r="AM550" s="200" t="s">
        <v>1</v>
      </c>
      <c r="AN550" s="201" t="s">
        <v>1</v>
      </c>
      <c r="AO550" s="201" t="s">
        <v>1</v>
      </c>
      <c r="AP550" s="198" t="s">
        <v>1</v>
      </c>
      <c r="AQ550" s="198" t="s">
        <v>1</v>
      </c>
      <c r="AR550" s="201" t="s">
        <v>1</v>
      </c>
      <c r="AS550" s="201" t="s">
        <v>1</v>
      </c>
      <c r="AT550" s="201" t="s">
        <v>1</v>
      </c>
      <c r="AU550" s="201" t="s">
        <v>1</v>
      </c>
      <c r="AV550" s="208" t="s">
        <v>1</v>
      </c>
      <c r="AW550" s="201" t="s">
        <v>1</v>
      </c>
    </row>
    <row r="551" spans="1:49" ht="30.15" customHeight="1" x14ac:dyDescent="0.25">
      <c r="A551" s="213" t="s">
        <v>18</v>
      </c>
      <c r="B551" s="189" t="s">
        <v>1</v>
      </c>
      <c r="C551" s="212" t="s">
        <v>34</v>
      </c>
      <c r="D551" s="190" t="s">
        <v>7</v>
      </c>
      <c r="E551" s="190" t="s">
        <v>1198</v>
      </c>
      <c r="F551" s="203"/>
      <c r="G551" s="190" t="s">
        <v>1206</v>
      </c>
      <c r="H551" s="192" t="s">
        <v>409</v>
      </c>
      <c r="I551" s="193">
        <v>1396.49</v>
      </c>
      <c r="J551" s="193">
        <v>1396.49</v>
      </c>
      <c r="K551" s="193">
        <v>1396.49</v>
      </c>
      <c r="L551" s="193">
        <v>1820</v>
      </c>
      <c r="M551" s="194">
        <v>1820</v>
      </c>
      <c r="N551" s="195">
        <v>0</v>
      </c>
      <c r="O551" s="195">
        <v>14.59</v>
      </c>
      <c r="P551" s="195">
        <v>24</v>
      </c>
      <c r="Q551" s="195">
        <v>650</v>
      </c>
      <c r="R551" s="195" t="s">
        <v>1253</v>
      </c>
      <c r="S551" s="195">
        <v>0</v>
      </c>
      <c r="T551" s="195">
        <v>14.59</v>
      </c>
      <c r="U551" s="195">
        <v>24</v>
      </c>
      <c r="V551" s="195">
        <v>650</v>
      </c>
      <c r="W551" s="195" t="s">
        <v>1253</v>
      </c>
      <c r="X551" s="195">
        <v>0</v>
      </c>
      <c r="Y551" s="195">
        <v>32.42</v>
      </c>
      <c r="Z551" s="195">
        <v>24</v>
      </c>
      <c r="AA551" s="195">
        <v>650</v>
      </c>
      <c r="AB551" s="196" t="s">
        <v>1</v>
      </c>
      <c r="AC551" s="197">
        <v>0</v>
      </c>
      <c r="AD551" s="195">
        <v>32.42</v>
      </c>
      <c r="AE551" s="197">
        <v>24</v>
      </c>
      <c r="AF551" s="195">
        <v>650</v>
      </c>
      <c r="AG551" s="222" t="s">
        <v>1</v>
      </c>
      <c r="AH551" s="198" t="s">
        <v>1</v>
      </c>
      <c r="AI551" s="246" t="s">
        <v>1</v>
      </c>
      <c r="AJ551" s="246" t="s">
        <v>1</v>
      </c>
      <c r="AK551" s="247" t="s">
        <v>1</v>
      </c>
      <c r="AL551" s="245" t="s">
        <v>1</v>
      </c>
      <c r="AM551" s="200" t="s">
        <v>1</v>
      </c>
      <c r="AN551" s="201" t="s">
        <v>1</v>
      </c>
      <c r="AO551" s="201" t="s">
        <v>1</v>
      </c>
      <c r="AP551" s="198" t="s">
        <v>1</v>
      </c>
      <c r="AQ551" s="198" t="s">
        <v>1</v>
      </c>
      <c r="AR551" s="201" t="s">
        <v>1</v>
      </c>
      <c r="AS551" s="201" t="s">
        <v>1</v>
      </c>
      <c r="AT551" s="201" t="s">
        <v>1</v>
      </c>
      <c r="AU551" s="201" t="s">
        <v>1</v>
      </c>
      <c r="AV551" s="208" t="s">
        <v>1</v>
      </c>
      <c r="AW551" s="201" t="s">
        <v>1</v>
      </c>
    </row>
    <row r="552" spans="1:49" ht="30.15" customHeight="1" x14ac:dyDescent="0.25">
      <c r="A552" s="213" t="s">
        <v>18</v>
      </c>
      <c r="B552" s="189" t="s">
        <v>1</v>
      </c>
      <c r="C552" s="212" t="s">
        <v>34</v>
      </c>
      <c r="D552" s="190" t="s">
        <v>7</v>
      </c>
      <c r="E552" s="190" t="s">
        <v>1213</v>
      </c>
      <c r="F552" s="203"/>
      <c r="G552" s="190" t="s">
        <v>1206</v>
      </c>
      <c r="H552" s="192" t="s">
        <v>7</v>
      </c>
      <c r="I552" s="193">
        <v>1396.49</v>
      </c>
      <c r="J552" s="193">
        <v>1396.49</v>
      </c>
      <c r="K552" s="193">
        <v>1396.49</v>
      </c>
      <c r="L552" s="193">
        <v>1820</v>
      </c>
      <c r="M552" s="194">
        <v>1820</v>
      </c>
      <c r="N552" s="195">
        <v>0</v>
      </c>
      <c r="O552" s="195">
        <v>14.59</v>
      </c>
      <c r="P552" s="195">
        <v>24</v>
      </c>
      <c r="Q552" s="195">
        <v>650</v>
      </c>
      <c r="R552" s="195" t="s">
        <v>1253</v>
      </c>
      <c r="S552" s="195">
        <v>0</v>
      </c>
      <c r="T552" s="195">
        <v>14.59</v>
      </c>
      <c r="U552" s="195">
        <v>24</v>
      </c>
      <c r="V552" s="195">
        <v>650</v>
      </c>
      <c r="W552" s="195" t="s">
        <v>1253</v>
      </c>
      <c r="X552" s="195">
        <v>0</v>
      </c>
      <c r="Y552" s="195">
        <v>32.42</v>
      </c>
      <c r="Z552" s="195">
        <v>24</v>
      </c>
      <c r="AA552" s="195">
        <v>650</v>
      </c>
      <c r="AB552" s="196" t="s">
        <v>1</v>
      </c>
      <c r="AC552" s="197">
        <v>0</v>
      </c>
      <c r="AD552" s="195">
        <v>32.42</v>
      </c>
      <c r="AE552" s="197">
        <v>24</v>
      </c>
      <c r="AF552" s="195">
        <v>650</v>
      </c>
      <c r="AG552" s="222" t="s">
        <v>1</v>
      </c>
      <c r="AH552" s="198" t="s">
        <v>1</v>
      </c>
      <c r="AI552" s="246" t="s">
        <v>1</v>
      </c>
      <c r="AJ552" s="246" t="s">
        <v>1</v>
      </c>
      <c r="AK552" s="247" t="s">
        <v>1</v>
      </c>
      <c r="AL552" s="245" t="s">
        <v>1</v>
      </c>
      <c r="AM552" s="200" t="s">
        <v>1</v>
      </c>
      <c r="AN552" s="201" t="s">
        <v>1</v>
      </c>
      <c r="AO552" s="201" t="s">
        <v>1</v>
      </c>
      <c r="AP552" s="198" t="s">
        <v>1</v>
      </c>
      <c r="AQ552" s="198" t="s">
        <v>1</v>
      </c>
      <c r="AR552" s="201" t="s">
        <v>1</v>
      </c>
      <c r="AS552" s="201" t="s">
        <v>1</v>
      </c>
      <c r="AT552" s="201" t="s">
        <v>1</v>
      </c>
      <c r="AU552" s="201" t="s">
        <v>1</v>
      </c>
      <c r="AV552" s="208" t="s">
        <v>1</v>
      </c>
      <c r="AW552" s="201" t="s">
        <v>1</v>
      </c>
    </row>
    <row r="553" spans="1:49" ht="30.15" customHeight="1" x14ac:dyDescent="0.25">
      <c r="A553" s="213" t="s">
        <v>18</v>
      </c>
      <c r="B553" s="189" t="s">
        <v>1</v>
      </c>
      <c r="C553" s="212" t="s">
        <v>34</v>
      </c>
      <c r="D553" s="190" t="s">
        <v>7</v>
      </c>
      <c r="E553" s="190" t="s">
        <v>1214</v>
      </c>
      <c r="F553" s="203"/>
      <c r="G553" s="190" t="s">
        <v>1206</v>
      </c>
      <c r="H553" s="192" t="s">
        <v>7</v>
      </c>
      <c r="I553" s="193">
        <v>1396.49</v>
      </c>
      <c r="J553" s="193">
        <v>1396.49</v>
      </c>
      <c r="K553" s="193">
        <v>1396.49</v>
      </c>
      <c r="L553" s="193">
        <v>1820</v>
      </c>
      <c r="M553" s="194">
        <v>1820</v>
      </c>
      <c r="N553" s="195">
        <v>0</v>
      </c>
      <c r="O553" s="195">
        <v>14.59</v>
      </c>
      <c r="P553" s="195">
        <v>24</v>
      </c>
      <c r="Q553" s="195">
        <v>650</v>
      </c>
      <c r="R553" s="195" t="s">
        <v>1253</v>
      </c>
      <c r="S553" s="195">
        <v>0</v>
      </c>
      <c r="T553" s="195">
        <v>14.59</v>
      </c>
      <c r="U553" s="195">
        <v>24</v>
      </c>
      <c r="V553" s="195">
        <v>650</v>
      </c>
      <c r="W553" s="195" t="s">
        <v>1253</v>
      </c>
      <c r="X553" s="195">
        <v>0</v>
      </c>
      <c r="Y553" s="195">
        <v>32.42</v>
      </c>
      <c r="Z553" s="195">
        <v>24</v>
      </c>
      <c r="AA553" s="195">
        <v>650</v>
      </c>
      <c r="AB553" s="196" t="s">
        <v>1</v>
      </c>
      <c r="AC553" s="197">
        <v>0</v>
      </c>
      <c r="AD553" s="195">
        <v>32.42</v>
      </c>
      <c r="AE553" s="197">
        <v>24</v>
      </c>
      <c r="AF553" s="195">
        <v>650</v>
      </c>
      <c r="AG553" s="222" t="s">
        <v>1</v>
      </c>
      <c r="AH553" s="198" t="s">
        <v>1</v>
      </c>
      <c r="AI553" s="246" t="s">
        <v>1</v>
      </c>
      <c r="AJ553" s="246" t="s">
        <v>1</v>
      </c>
      <c r="AK553" s="247" t="s">
        <v>1</v>
      </c>
      <c r="AL553" s="245" t="s">
        <v>1</v>
      </c>
      <c r="AM553" s="200" t="s">
        <v>1</v>
      </c>
      <c r="AN553" s="201" t="s">
        <v>1</v>
      </c>
      <c r="AO553" s="201" t="s">
        <v>1</v>
      </c>
      <c r="AP553" s="198" t="s">
        <v>1</v>
      </c>
      <c r="AQ553" s="198" t="s">
        <v>1</v>
      </c>
      <c r="AR553" s="201" t="s">
        <v>1</v>
      </c>
      <c r="AS553" s="201" t="s">
        <v>1</v>
      </c>
      <c r="AT553" s="201" t="s">
        <v>1</v>
      </c>
      <c r="AU553" s="201" t="s">
        <v>1</v>
      </c>
      <c r="AV553" s="208" t="s">
        <v>1</v>
      </c>
      <c r="AW553" s="201" t="s">
        <v>1</v>
      </c>
    </row>
    <row r="554" spans="1:49" ht="30.15" customHeight="1" x14ac:dyDescent="0.25">
      <c r="A554" s="213" t="s">
        <v>18</v>
      </c>
      <c r="B554" s="189" t="s">
        <v>1</v>
      </c>
      <c r="C554" s="212" t="s">
        <v>34</v>
      </c>
      <c r="D554" s="190" t="s">
        <v>7</v>
      </c>
      <c r="E554" s="190" t="s">
        <v>1215</v>
      </c>
      <c r="F554" s="203"/>
      <c r="G554" s="190" t="s">
        <v>1206</v>
      </c>
      <c r="H554" s="192" t="s">
        <v>7</v>
      </c>
      <c r="I554" s="193">
        <v>1396.49</v>
      </c>
      <c r="J554" s="193">
        <v>1396.49</v>
      </c>
      <c r="K554" s="193">
        <v>1396.49</v>
      </c>
      <c r="L554" s="193">
        <v>1820</v>
      </c>
      <c r="M554" s="194">
        <v>1820</v>
      </c>
      <c r="N554" s="195">
        <v>0</v>
      </c>
      <c r="O554" s="195">
        <v>14.59</v>
      </c>
      <c r="P554" s="195">
        <v>24</v>
      </c>
      <c r="Q554" s="195">
        <v>650</v>
      </c>
      <c r="R554" s="195" t="s">
        <v>1253</v>
      </c>
      <c r="S554" s="195">
        <v>0</v>
      </c>
      <c r="T554" s="195">
        <v>14.59</v>
      </c>
      <c r="U554" s="195">
        <v>24</v>
      </c>
      <c r="V554" s="195">
        <v>650</v>
      </c>
      <c r="W554" s="195" t="s">
        <v>1253</v>
      </c>
      <c r="X554" s="195">
        <v>0</v>
      </c>
      <c r="Y554" s="195">
        <v>32.42</v>
      </c>
      <c r="Z554" s="195">
        <v>24</v>
      </c>
      <c r="AA554" s="195">
        <v>650</v>
      </c>
      <c r="AB554" s="196" t="s">
        <v>1</v>
      </c>
      <c r="AC554" s="197">
        <v>0</v>
      </c>
      <c r="AD554" s="195">
        <v>32.42</v>
      </c>
      <c r="AE554" s="197">
        <v>24</v>
      </c>
      <c r="AF554" s="195">
        <v>650</v>
      </c>
      <c r="AG554" s="222" t="s">
        <v>1</v>
      </c>
      <c r="AH554" s="198" t="s">
        <v>1</v>
      </c>
      <c r="AI554" s="246" t="s">
        <v>1</v>
      </c>
      <c r="AJ554" s="246" t="s">
        <v>1</v>
      </c>
      <c r="AK554" s="247" t="s">
        <v>1</v>
      </c>
      <c r="AL554" s="245" t="s">
        <v>1</v>
      </c>
      <c r="AM554" s="200" t="s">
        <v>1</v>
      </c>
      <c r="AN554" s="201" t="s">
        <v>1</v>
      </c>
      <c r="AO554" s="201" t="s">
        <v>1</v>
      </c>
      <c r="AP554" s="198" t="s">
        <v>1</v>
      </c>
      <c r="AQ554" s="198" t="s">
        <v>1</v>
      </c>
      <c r="AR554" s="201" t="s">
        <v>1</v>
      </c>
      <c r="AS554" s="201" t="s">
        <v>1</v>
      </c>
      <c r="AT554" s="201" t="s">
        <v>1</v>
      </c>
      <c r="AU554" s="201" t="s">
        <v>1</v>
      </c>
      <c r="AV554" s="208" t="s">
        <v>1</v>
      </c>
      <c r="AW554" s="201" t="s">
        <v>1</v>
      </c>
    </row>
    <row r="555" spans="1:49" ht="30.15" customHeight="1" x14ac:dyDescent="0.25">
      <c r="A555" s="213" t="s">
        <v>18</v>
      </c>
      <c r="B555" s="189" t="s">
        <v>1</v>
      </c>
      <c r="C555" s="212" t="s">
        <v>34</v>
      </c>
      <c r="D555" s="190" t="s">
        <v>7</v>
      </c>
      <c r="E555" s="190" t="s">
        <v>1199</v>
      </c>
      <c r="F555" s="203"/>
      <c r="G555" s="190" t="s">
        <v>1207</v>
      </c>
      <c r="H555" s="192" t="s">
        <v>409</v>
      </c>
      <c r="I555" s="193">
        <v>1567.49</v>
      </c>
      <c r="J555" s="193">
        <v>1567.49</v>
      </c>
      <c r="K555" s="193">
        <v>1567.49</v>
      </c>
      <c r="L555" s="193">
        <v>2040</v>
      </c>
      <c r="M555" s="194">
        <v>2040</v>
      </c>
      <c r="N555" s="195">
        <v>0</v>
      </c>
      <c r="O555" s="195">
        <v>16.25</v>
      </c>
      <c r="P555" s="195">
        <v>24</v>
      </c>
      <c r="Q555" s="195">
        <v>770</v>
      </c>
      <c r="R555" s="195" t="s">
        <v>1253</v>
      </c>
      <c r="S555" s="195">
        <v>0</v>
      </c>
      <c r="T555" s="195">
        <v>16.25</v>
      </c>
      <c r="U555" s="195">
        <v>24</v>
      </c>
      <c r="V555" s="195">
        <v>770</v>
      </c>
      <c r="W555" s="195" t="s">
        <v>1253</v>
      </c>
      <c r="X555" s="195">
        <v>0</v>
      </c>
      <c r="Y555" s="195">
        <v>26.42</v>
      </c>
      <c r="Z555" s="195">
        <v>24</v>
      </c>
      <c r="AA555" s="195">
        <v>770</v>
      </c>
      <c r="AB555" s="196" t="s">
        <v>1</v>
      </c>
      <c r="AC555" s="197">
        <v>0</v>
      </c>
      <c r="AD555" s="195">
        <v>26.42</v>
      </c>
      <c r="AE555" s="197">
        <v>24</v>
      </c>
      <c r="AF555" s="195">
        <v>770</v>
      </c>
      <c r="AG555" s="222" t="s">
        <v>1</v>
      </c>
      <c r="AH555" s="198" t="s">
        <v>1</v>
      </c>
      <c r="AI555" s="246" t="s">
        <v>1</v>
      </c>
      <c r="AJ555" s="246" t="s">
        <v>1</v>
      </c>
      <c r="AK555" s="247" t="s">
        <v>1</v>
      </c>
      <c r="AL555" s="245" t="s">
        <v>1</v>
      </c>
      <c r="AM555" s="200" t="s">
        <v>1</v>
      </c>
      <c r="AN555" s="201" t="s">
        <v>1</v>
      </c>
      <c r="AO555" s="201" t="s">
        <v>1</v>
      </c>
      <c r="AP555" s="198" t="s">
        <v>1</v>
      </c>
      <c r="AQ555" s="198" t="s">
        <v>1</v>
      </c>
      <c r="AR555" s="201" t="s">
        <v>1</v>
      </c>
      <c r="AS555" s="201" t="s">
        <v>1</v>
      </c>
      <c r="AT555" s="201" t="s">
        <v>1</v>
      </c>
      <c r="AU555" s="201" t="s">
        <v>1</v>
      </c>
      <c r="AV555" s="208" t="s">
        <v>1</v>
      </c>
      <c r="AW555" s="201" t="s">
        <v>1</v>
      </c>
    </row>
    <row r="556" spans="1:49" ht="30.15" customHeight="1" x14ac:dyDescent="0.25">
      <c r="A556" s="213" t="s">
        <v>18</v>
      </c>
      <c r="B556" s="189" t="s">
        <v>1</v>
      </c>
      <c r="C556" s="212" t="s">
        <v>34</v>
      </c>
      <c r="D556" s="190" t="s">
        <v>7</v>
      </c>
      <c r="E556" s="190" t="s">
        <v>1200</v>
      </c>
      <c r="F556" s="203"/>
      <c r="G556" s="190" t="s">
        <v>1207</v>
      </c>
      <c r="H556" s="192" t="s">
        <v>409</v>
      </c>
      <c r="I556" s="193">
        <v>1567.49</v>
      </c>
      <c r="J556" s="193">
        <v>1567.49</v>
      </c>
      <c r="K556" s="193">
        <v>1567.49</v>
      </c>
      <c r="L556" s="193">
        <v>2040</v>
      </c>
      <c r="M556" s="194">
        <v>2040</v>
      </c>
      <c r="N556" s="195">
        <v>0</v>
      </c>
      <c r="O556" s="195">
        <v>16.25</v>
      </c>
      <c r="P556" s="195">
        <v>24</v>
      </c>
      <c r="Q556" s="195">
        <v>770</v>
      </c>
      <c r="R556" s="195" t="s">
        <v>1253</v>
      </c>
      <c r="S556" s="195">
        <v>0</v>
      </c>
      <c r="T556" s="195">
        <v>16.25</v>
      </c>
      <c r="U556" s="195">
        <v>24</v>
      </c>
      <c r="V556" s="195">
        <v>770</v>
      </c>
      <c r="W556" s="195" t="s">
        <v>1253</v>
      </c>
      <c r="X556" s="195">
        <v>0</v>
      </c>
      <c r="Y556" s="195">
        <v>26.42</v>
      </c>
      <c r="Z556" s="195">
        <v>24</v>
      </c>
      <c r="AA556" s="195">
        <v>770</v>
      </c>
      <c r="AB556" s="196" t="s">
        <v>1</v>
      </c>
      <c r="AC556" s="197">
        <v>0</v>
      </c>
      <c r="AD556" s="195">
        <v>26.42</v>
      </c>
      <c r="AE556" s="197">
        <v>24</v>
      </c>
      <c r="AF556" s="195">
        <v>770</v>
      </c>
      <c r="AG556" s="222" t="s">
        <v>1</v>
      </c>
      <c r="AH556" s="198" t="s">
        <v>1</v>
      </c>
      <c r="AI556" s="246" t="s">
        <v>1</v>
      </c>
      <c r="AJ556" s="246" t="s">
        <v>1</v>
      </c>
      <c r="AK556" s="247" t="s">
        <v>1</v>
      </c>
      <c r="AL556" s="245" t="s">
        <v>1</v>
      </c>
      <c r="AM556" s="200" t="s">
        <v>1</v>
      </c>
      <c r="AN556" s="201" t="s">
        <v>1</v>
      </c>
      <c r="AO556" s="201" t="s">
        <v>1</v>
      </c>
      <c r="AP556" s="198" t="s">
        <v>1</v>
      </c>
      <c r="AQ556" s="198" t="s">
        <v>1</v>
      </c>
      <c r="AR556" s="201" t="s">
        <v>1</v>
      </c>
      <c r="AS556" s="201" t="s">
        <v>1</v>
      </c>
      <c r="AT556" s="201" t="s">
        <v>1</v>
      </c>
      <c r="AU556" s="201" t="s">
        <v>1</v>
      </c>
      <c r="AV556" s="208" t="s">
        <v>1</v>
      </c>
      <c r="AW556" s="201" t="s">
        <v>1</v>
      </c>
    </row>
    <row r="557" spans="1:49" ht="30.15" customHeight="1" x14ac:dyDescent="0.25">
      <c r="A557" s="213" t="s">
        <v>18</v>
      </c>
      <c r="B557" s="189" t="s">
        <v>1</v>
      </c>
      <c r="C557" s="212" t="s">
        <v>34</v>
      </c>
      <c r="D557" s="190" t="s">
        <v>7</v>
      </c>
      <c r="E557" s="190" t="s">
        <v>1216</v>
      </c>
      <c r="F557" s="203"/>
      <c r="G557" s="190" t="s">
        <v>1207</v>
      </c>
      <c r="H557" s="192" t="s">
        <v>7</v>
      </c>
      <c r="I557" s="193">
        <v>1567.49</v>
      </c>
      <c r="J557" s="193">
        <v>1567.49</v>
      </c>
      <c r="K557" s="193">
        <v>1567.49</v>
      </c>
      <c r="L557" s="193">
        <v>2040</v>
      </c>
      <c r="M557" s="194">
        <v>2040</v>
      </c>
      <c r="N557" s="195">
        <v>0</v>
      </c>
      <c r="O557" s="195">
        <v>16.25</v>
      </c>
      <c r="P557" s="195">
        <v>24</v>
      </c>
      <c r="Q557" s="195">
        <v>770</v>
      </c>
      <c r="R557" s="195" t="s">
        <v>1253</v>
      </c>
      <c r="S557" s="195">
        <v>0</v>
      </c>
      <c r="T557" s="195">
        <v>16.25</v>
      </c>
      <c r="U557" s="195">
        <v>24</v>
      </c>
      <c r="V557" s="195">
        <v>770</v>
      </c>
      <c r="W557" s="195" t="s">
        <v>1253</v>
      </c>
      <c r="X557" s="195">
        <v>0</v>
      </c>
      <c r="Y557" s="195">
        <v>26.42</v>
      </c>
      <c r="Z557" s="195">
        <v>24</v>
      </c>
      <c r="AA557" s="195">
        <v>770</v>
      </c>
      <c r="AB557" s="196" t="s">
        <v>1</v>
      </c>
      <c r="AC557" s="197">
        <v>0</v>
      </c>
      <c r="AD557" s="195">
        <v>26.42</v>
      </c>
      <c r="AE557" s="197">
        <v>24</v>
      </c>
      <c r="AF557" s="195">
        <v>770</v>
      </c>
      <c r="AG557" s="222" t="s">
        <v>1</v>
      </c>
      <c r="AH557" s="198" t="s">
        <v>1</v>
      </c>
      <c r="AI557" s="246" t="s">
        <v>1</v>
      </c>
      <c r="AJ557" s="246" t="s">
        <v>1</v>
      </c>
      <c r="AK557" s="247" t="s">
        <v>1</v>
      </c>
      <c r="AL557" s="245" t="s">
        <v>1</v>
      </c>
      <c r="AM557" s="200" t="s">
        <v>1</v>
      </c>
      <c r="AN557" s="201" t="s">
        <v>1</v>
      </c>
      <c r="AO557" s="201" t="s">
        <v>1</v>
      </c>
      <c r="AP557" s="198" t="s">
        <v>1</v>
      </c>
      <c r="AQ557" s="198" t="s">
        <v>1</v>
      </c>
      <c r="AR557" s="201" t="s">
        <v>1</v>
      </c>
      <c r="AS557" s="201" t="s">
        <v>1</v>
      </c>
      <c r="AT557" s="201" t="s">
        <v>1</v>
      </c>
      <c r="AU557" s="201" t="s">
        <v>1</v>
      </c>
      <c r="AV557" s="208" t="s">
        <v>1</v>
      </c>
      <c r="AW557" s="201" t="s">
        <v>1</v>
      </c>
    </row>
    <row r="558" spans="1:49" ht="30.15" customHeight="1" x14ac:dyDescent="0.25">
      <c r="A558" s="213" t="s">
        <v>18</v>
      </c>
      <c r="B558" s="189" t="s">
        <v>1</v>
      </c>
      <c r="C558" s="212" t="s">
        <v>34</v>
      </c>
      <c r="D558" s="190" t="s">
        <v>7</v>
      </c>
      <c r="E558" s="190" t="s">
        <v>1217</v>
      </c>
      <c r="F558" s="203"/>
      <c r="G558" s="190" t="s">
        <v>1207</v>
      </c>
      <c r="H558" s="192" t="s">
        <v>7</v>
      </c>
      <c r="I558" s="193">
        <v>1567.49</v>
      </c>
      <c r="J558" s="193">
        <v>1567.49</v>
      </c>
      <c r="K558" s="193">
        <v>1567.49</v>
      </c>
      <c r="L558" s="193">
        <v>2040</v>
      </c>
      <c r="M558" s="194">
        <v>2040</v>
      </c>
      <c r="N558" s="195">
        <v>0</v>
      </c>
      <c r="O558" s="195">
        <v>16.25</v>
      </c>
      <c r="P558" s="195">
        <v>24</v>
      </c>
      <c r="Q558" s="195">
        <v>770</v>
      </c>
      <c r="R558" s="195" t="s">
        <v>1253</v>
      </c>
      <c r="S558" s="195">
        <v>0</v>
      </c>
      <c r="T558" s="195">
        <v>16.25</v>
      </c>
      <c r="U558" s="195">
        <v>24</v>
      </c>
      <c r="V558" s="195">
        <v>770</v>
      </c>
      <c r="W558" s="195" t="s">
        <v>1253</v>
      </c>
      <c r="X558" s="195">
        <v>0</v>
      </c>
      <c r="Y558" s="195">
        <v>26.42</v>
      </c>
      <c r="Z558" s="195">
        <v>24</v>
      </c>
      <c r="AA558" s="195">
        <v>770</v>
      </c>
      <c r="AB558" s="196" t="s">
        <v>1</v>
      </c>
      <c r="AC558" s="197">
        <v>0</v>
      </c>
      <c r="AD558" s="195">
        <v>26.42</v>
      </c>
      <c r="AE558" s="197">
        <v>24</v>
      </c>
      <c r="AF558" s="195">
        <v>770</v>
      </c>
      <c r="AG558" s="222" t="s">
        <v>1</v>
      </c>
      <c r="AH558" s="198" t="s">
        <v>1</v>
      </c>
      <c r="AI558" s="246" t="s">
        <v>1</v>
      </c>
      <c r="AJ558" s="246" t="s">
        <v>1</v>
      </c>
      <c r="AK558" s="247" t="s">
        <v>1</v>
      </c>
      <c r="AL558" s="245" t="s">
        <v>1</v>
      </c>
      <c r="AM558" s="200" t="s">
        <v>1</v>
      </c>
      <c r="AN558" s="201" t="s">
        <v>1</v>
      </c>
      <c r="AO558" s="201" t="s">
        <v>1</v>
      </c>
      <c r="AP558" s="198" t="s">
        <v>1</v>
      </c>
      <c r="AQ558" s="198" t="s">
        <v>1</v>
      </c>
      <c r="AR558" s="201" t="s">
        <v>1</v>
      </c>
      <c r="AS558" s="201" t="s">
        <v>1</v>
      </c>
      <c r="AT558" s="201" t="s">
        <v>1</v>
      </c>
      <c r="AU558" s="201" t="s">
        <v>1</v>
      </c>
      <c r="AV558" s="208" t="s">
        <v>1</v>
      </c>
      <c r="AW558" s="201" t="s">
        <v>1</v>
      </c>
    </row>
    <row r="559" spans="1:49" ht="30.15" customHeight="1" x14ac:dyDescent="0.25">
      <c r="A559" s="213" t="s">
        <v>18</v>
      </c>
      <c r="B559" s="189" t="s">
        <v>1</v>
      </c>
      <c r="C559" s="212" t="s">
        <v>34</v>
      </c>
      <c r="D559" s="190" t="s">
        <v>7</v>
      </c>
      <c r="E559" s="190" t="s">
        <v>1218</v>
      </c>
      <c r="F559" s="203"/>
      <c r="G559" s="190" t="s">
        <v>1207</v>
      </c>
      <c r="H559" s="192" t="s">
        <v>7</v>
      </c>
      <c r="I559" s="193">
        <v>1567.49</v>
      </c>
      <c r="J559" s="193">
        <v>1567.49</v>
      </c>
      <c r="K559" s="193">
        <v>1567.49</v>
      </c>
      <c r="L559" s="193">
        <v>2040</v>
      </c>
      <c r="M559" s="194">
        <v>2040</v>
      </c>
      <c r="N559" s="195">
        <v>0</v>
      </c>
      <c r="O559" s="195">
        <v>16.25</v>
      </c>
      <c r="P559" s="195">
        <v>24</v>
      </c>
      <c r="Q559" s="195">
        <v>770</v>
      </c>
      <c r="R559" s="195" t="s">
        <v>1253</v>
      </c>
      <c r="S559" s="195">
        <v>0</v>
      </c>
      <c r="T559" s="195">
        <v>16.25</v>
      </c>
      <c r="U559" s="195">
        <v>24</v>
      </c>
      <c r="V559" s="195">
        <v>770</v>
      </c>
      <c r="W559" s="195" t="s">
        <v>1253</v>
      </c>
      <c r="X559" s="195">
        <v>0</v>
      </c>
      <c r="Y559" s="195">
        <v>26.42</v>
      </c>
      <c r="Z559" s="195">
        <v>24</v>
      </c>
      <c r="AA559" s="195">
        <v>770</v>
      </c>
      <c r="AB559" s="196" t="s">
        <v>1</v>
      </c>
      <c r="AC559" s="197">
        <v>0</v>
      </c>
      <c r="AD559" s="195">
        <v>26.42</v>
      </c>
      <c r="AE559" s="197">
        <v>24</v>
      </c>
      <c r="AF559" s="195">
        <v>770</v>
      </c>
      <c r="AG559" s="222" t="s">
        <v>1</v>
      </c>
      <c r="AH559" s="198" t="s">
        <v>1</v>
      </c>
      <c r="AI559" s="246" t="s">
        <v>1</v>
      </c>
      <c r="AJ559" s="246" t="s">
        <v>1</v>
      </c>
      <c r="AK559" s="247" t="s">
        <v>1</v>
      </c>
      <c r="AL559" s="245" t="s">
        <v>1</v>
      </c>
      <c r="AM559" s="200" t="s">
        <v>1</v>
      </c>
      <c r="AN559" s="201" t="s">
        <v>1</v>
      </c>
      <c r="AO559" s="201" t="s">
        <v>1</v>
      </c>
      <c r="AP559" s="198" t="s">
        <v>1</v>
      </c>
      <c r="AQ559" s="198" t="s">
        <v>1</v>
      </c>
      <c r="AR559" s="201" t="s">
        <v>1</v>
      </c>
      <c r="AS559" s="201" t="s">
        <v>1</v>
      </c>
      <c r="AT559" s="201" t="s">
        <v>1</v>
      </c>
      <c r="AU559" s="201" t="s">
        <v>1</v>
      </c>
      <c r="AV559" s="208" t="s">
        <v>1</v>
      </c>
      <c r="AW559" s="201" t="s">
        <v>1</v>
      </c>
    </row>
    <row r="560" spans="1:49" ht="30.15" customHeight="1" x14ac:dyDescent="0.25">
      <c r="A560" s="213" t="s">
        <v>18</v>
      </c>
      <c r="B560" s="189" t="s">
        <v>1</v>
      </c>
      <c r="C560" s="212" t="s">
        <v>34</v>
      </c>
      <c r="D560" s="190" t="s">
        <v>7</v>
      </c>
      <c r="E560" s="190" t="s">
        <v>1201</v>
      </c>
      <c r="F560" s="203"/>
      <c r="G560" s="190" t="s">
        <v>1208</v>
      </c>
      <c r="H560" s="192" t="s">
        <v>409</v>
      </c>
      <c r="I560" s="193">
        <v>1633.99</v>
      </c>
      <c r="J560" s="193">
        <v>1633.99</v>
      </c>
      <c r="K560" s="193">
        <v>1633.99</v>
      </c>
      <c r="L560" s="193">
        <v>2125</v>
      </c>
      <c r="M560" s="194">
        <v>2125</v>
      </c>
      <c r="N560" s="195">
        <v>0</v>
      </c>
      <c r="O560" s="195">
        <v>16.880000000000003</v>
      </c>
      <c r="P560" s="195">
        <v>24</v>
      </c>
      <c r="Q560" s="195">
        <v>780</v>
      </c>
      <c r="R560" s="195" t="s">
        <v>1253</v>
      </c>
      <c r="S560" s="195">
        <v>0</v>
      </c>
      <c r="T560" s="195">
        <v>16.880000000000003</v>
      </c>
      <c r="U560" s="195">
        <v>24</v>
      </c>
      <c r="V560" s="195">
        <v>780</v>
      </c>
      <c r="W560" s="195" t="s">
        <v>1253</v>
      </c>
      <c r="X560" s="195">
        <v>0</v>
      </c>
      <c r="Y560" s="195">
        <v>26.88</v>
      </c>
      <c r="Z560" s="195">
        <v>24</v>
      </c>
      <c r="AA560" s="195">
        <v>780</v>
      </c>
      <c r="AB560" s="196" t="s">
        <v>1</v>
      </c>
      <c r="AC560" s="197">
        <v>0</v>
      </c>
      <c r="AD560" s="195">
        <v>26.88</v>
      </c>
      <c r="AE560" s="197">
        <v>24</v>
      </c>
      <c r="AF560" s="195">
        <v>780</v>
      </c>
      <c r="AG560" s="222" t="s">
        <v>1</v>
      </c>
      <c r="AH560" s="198" t="s">
        <v>1</v>
      </c>
      <c r="AI560" s="246" t="s">
        <v>1</v>
      </c>
      <c r="AJ560" s="246" t="s">
        <v>1</v>
      </c>
      <c r="AK560" s="247" t="s">
        <v>1</v>
      </c>
      <c r="AL560" s="245" t="s">
        <v>1</v>
      </c>
      <c r="AM560" s="200" t="s">
        <v>1</v>
      </c>
      <c r="AN560" s="201" t="s">
        <v>1</v>
      </c>
      <c r="AO560" s="201" t="s">
        <v>1</v>
      </c>
      <c r="AP560" s="198" t="s">
        <v>1</v>
      </c>
      <c r="AQ560" s="198" t="s">
        <v>1</v>
      </c>
      <c r="AR560" s="201" t="s">
        <v>1</v>
      </c>
      <c r="AS560" s="201" t="s">
        <v>1</v>
      </c>
      <c r="AT560" s="201" t="s">
        <v>1</v>
      </c>
      <c r="AU560" s="201" t="s">
        <v>1</v>
      </c>
      <c r="AV560" s="208" t="s">
        <v>1</v>
      </c>
      <c r="AW560" s="201" t="s">
        <v>1</v>
      </c>
    </row>
    <row r="561" spans="1:49" ht="30.15" customHeight="1" x14ac:dyDescent="0.25">
      <c r="A561" s="213" t="s">
        <v>18</v>
      </c>
      <c r="B561" s="189" t="s">
        <v>1</v>
      </c>
      <c r="C561" s="212" t="s">
        <v>34</v>
      </c>
      <c r="D561" s="190" t="s">
        <v>7</v>
      </c>
      <c r="E561" s="190" t="s">
        <v>1219</v>
      </c>
      <c r="F561" s="203"/>
      <c r="G561" s="190" t="s">
        <v>1208</v>
      </c>
      <c r="H561" s="192" t="s">
        <v>7</v>
      </c>
      <c r="I561" s="193">
        <v>1633.99</v>
      </c>
      <c r="J561" s="193">
        <v>1633.99</v>
      </c>
      <c r="K561" s="193">
        <v>1633.99</v>
      </c>
      <c r="L561" s="193">
        <v>2125</v>
      </c>
      <c r="M561" s="194">
        <v>2125</v>
      </c>
      <c r="N561" s="195">
        <v>0</v>
      </c>
      <c r="O561" s="195">
        <v>16.880000000000003</v>
      </c>
      <c r="P561" s="195">
        <v>24</v>
      </c>
      <c r="Q561" s="195">
        <v>780</v>
      </c>
      <c r="R561" s="195" t="s">
        <v>1253</v>
      </c>
      <c r="S561" s="195">
        <v>0</v>
      </c>
      <c r="T561" s="195">
        <v>16.880000000000003</v>
      </c>
      <c r="U561" s="195">
        <v>24</v>
      </c>
      <c r="V561" s="195">
        <v>780</v>
      </c>
      <c r="W561" s="195" t="s">
        <v>1253</v>
      </c>
      <c r="X561" s="195">
        <v>0</v>
      </c>
      <c r="Y561" s="195">
        <v>26.88</v>
      </c>
      <c r="Z561" s="195">
        <v>24</v>
      </c>
      <c r="AA561" s="195">
        <v>780</v>
      </c>
      <c r="AB561" s="196" t="s">
        <v>1</v>
      </c>
      <c r="AC561" s="197">
        <v>0</v>
      </c>
      <c r="AD561" s="195">
        <v>26.88</v>
      </c>
      <c r="AE561" s="197">
        <v>24</v>
      </c>
      <c r="AF561" s="195">
        <v>780</v>
      </c>
      <c r="AG561" s="222" t="s">
        <v>1</v>
      </c>
      <c r="AH561" s="198" t="s">
        <v>1</v>
      </c>
      <c r="AI561" s="246" t="s">
        <v>1</v>
      </c>
      <c r="AJ561" s="246" t="s">
        <v>1</v>
      </c>
      <c r="AK561" s="247" t="s">
        <v>1</v>
      </c>
      <c r="AL561" s="245" t="s">
        <v>1</v>
      </c>
      <c r="AM561" s="200" t="s">
        <v>1</v>
      </c>
      <c r="AN561" s="201" t="s">
        <v>1</v>
      </c>
      <c r="AO561" s="201" t="s">
        <v>1</v>
      </c>
      <c r="AP561" s="198" t="s">
        <v>1</v>
      </c>
      <c r="AQ561" s="198" t="s">
        <v>1</v>
      </c>
      <c r="AR561" s="201" t="s">
        <v>1</v>
      </c>
      <c r="AS561" s="201" t="s">
        <v>1</v>
      </c>
      <c r="AT561" s="201" t="s">
        <v>1</v>
      </c>
      <c r="AU561" s="201" t="s">
        <v>1</v>
      </c>
      <c r="AV561" s="208" t="s">
        <v>1</v>
      </c>
      <c r="AW561" s="201" t="s">
        <v>1</v>
      </c>
    </row>
    <row r="562" spans="1:49" ht="30.15" customHeight="1" x14ac:dyDescent="0.25">
      <c r="A562" s="213" t="s">
        <v>18</v>
      </c>
      <c r="B562" s="189" t="s">
        <v>1</v>
      </c>
      <c r="C562" s="212" t="s">
        <v>34</v>
      </c>
      <c r="D562" s="190" t="s">
        <v>7</v>
      </c>
      <c r="E562" s="190" t="s">
        <v>1220</v>
      </c>
      <c r="F562" s="203"/>
      <c r="G562" s="190" t="s">
        <v>1208</v>
      </c>
      <c r="H562" s="192" t="s">
        <v>7</v>
      </c>
      <c r="I562" s="193">
        <v>1633.99</v>
      </c>
      <c r="J562" s="193">
        <v>1633.99</v>
      </c>
      <c r="K562" s="193">
        <v>1633.99</v>
      </c>
      <c r="L562" s="193">
        <v>2125</v>
      </c>
      <c r="M562" s="194">
        <v>2125</v>
      </c>
      <c r="N562" s="195">
        <v>0</v>
      </c>
      <c r="O562" s="195">
        <v>16.880000000000003</v>
      </c>
      <c r="P562" s="195">
        <v>24</v>
      </c>
      <c r="Q562" s="195">
        <v>780</v>
      </c>
      <c r="R562" s="195" t="s">
        <v>1253</v>
      </c>
      <c r="S562" s="195">
        <v>0</v>
      </c>
      <c r="T562" s="195">
        <v>16.880000000000003</v>
      </c>
      <c r="U562" s="195">
        <v>24</v>
      </c>
      <c r="V562" s="195">
        <v>780</v>
      </c>
      <c r="W562" s="195" t="s">
        <v>1253</v>
      </c>
      <c r="X562" s="195">
        <v>0</v>
      </c>
      <c r="Y562" s="195">
        <v>26.88</v>
      </c>
      <c r="Z562" s="195">
        <v>24</v>
      </c>
      <c r="AA562" s="195">
        <v>780</v>
      </c>
      <c r="AB562" s="196" t="s">
        <v>1</v>
      </c>
      <c r="AC562" s="197">
        <v>0</v>
      </c>
      <c r="AD562" s="195">
        <v>26.88</v>
      </c>
      <c r="AE562" s="197">
        <v>24</v>
      </c>
      <c r="AF562" s="195">
        <v>780</v>
      </c>
      <c r="AG562" s="222" t="s">
        <v>1</v>
      </c>
      <c r="AH562" s="198" t="s">
        <v>1</v>
      </c>
      <c r="AI562" s="246" t="s">
        <v>1</v>
      </c>
      <c r="AJ562" s="246" t="s">
        <v>1</v>
      </c>
      <c r="AK562" s="247" t="s">
        <v>1</v>
      </c>
      <c r="AL562" s="245" t="s">
        <v>1</v>
      </c>
      <c r="AM562" s="200" t="s">
        <v>1</v>
      </c>
      <c r="AN562" s="201" t="s">
        <v>1</v>
      </c>
      <c r="AO562" s="201" t="s">
        <v>1</v>
      </c>
      <c r="AP562" s="198" t="s">
        <v>1</v>
      </c>
      <c r="AQ562" s="198" t="s">
        <v>1</v>
      </c>
      <c r="AR562" s="201" t="s">
        <v>1</v>
      </c>
      <c r="AS562" s="201" t="s">
        <v>1</v>
      </c>
      <c r="AT562" s="201" t="s">
        <v>1</v>
      </c>
      <c r="AU562" s="201" t="s">
        <v>1</v>
      </c>
      <c r="AV562" s="208" t="s">
        <v>1</v>
      </c>
      <c r="AW562" s="201" t="s">
        <v>1</v>
      </c>
    </row>
    <row r="563" spans="1:49" ht="30.15" customHeight="1" x14ac:dyDescent="0.25">
      <c r="A563" s="213" t="s">
        <v>18</v>
      </c>
      <c r="B563" s="189" t="s">
        <v>1</v>
      </c>
      <c r="C563" s="212" t="s">
        <v>34</v>
      </c>
      <c r="D563" s="190" t="s">
        <v>7</v>
      </c>
      <c r="E563" s="190" t="s">
        <v>1221</v>
      </c>
      <c r="F563" s="203"/>
      <c r="G563" s="190" t="s">
        <v>1208</v>
      </c>
      <c r="H563" s="192" t="s">
        <v>7</v>
      </c>
      <c r="I563" s="193">
        <v>1633.99</v>
      </c>
      <c r="J563" s="193">
        <v>1633.99</v>
      </c>
      <c r="K563" s="193">
        <v>1633.99</v>
      </c>
      <c r="L563" s="193">
        <v>2125</v>
      </c>
      <c r="M563" s="194">
        <v>2125</v>
      </c>
      <c r="N563" s="195">
        <v>0</v>
      </c>
      <c r="O563" s="195">
        <v>16.880000000000003</v>
      </c>
      <c r="P563" s="195">
        <v>24</v>
      </c>
      <c r="Q563" s="195">
        <v>780</v>
      </c>
      <c r="R563" s="195" t="s">
        <v>1253</v>
      </c>
      <c r="S563" s="195">
        <v>0</v>
      </c>
      <c r="T563" s="195">
        <v>16.880000000000003</v>
      </c>
      <c r="U563" s="195">
        <v>24</v>
      </c>
      <c r="V563" s="195">
        <v>780</v>
      </c>
      <c r="W563" s="195" t="s">
        <v>1253</v>
      </c>
      <c r="X563" s="195">
        <v>0</v>
      </c>
      <c r="Y563" s="195">
        <v>26.88</v>
      </c>
      <c r="Z563" s="195">
        <v>24</v>
      </c>
      <c r="AA563" s="195">
        <v>780</v>
      </c>
      <c r="AB563" s="196" t="s">
        <v>1</v>
      </c>
      <c r="AC563" s="197">
        <v>0</v>
      </c>
      <c r="AD563" s="195">
        <v>26.88</v>
      </c>
      <c r="AE563" s="197">
        <v>24</v>
      </c>
      <c r="AF563" s="195">
        <v>780</v>
      </c>
      <c r="AG563" s="222" t="s">
        <v>1</v>
      </c>
      <c r="AH563" s="198" t="s">
        <v>1</v>
      </c>
      <c r="AI563" s="246" t="s">
        <v>1</v>
      </c>
      <c r="AJ563" s="246" t="s">
        <v>1</v>
      </c>
      <c r="AK563" s="247" t="s">
        <v>1</v>
      </c>
      <c r="AL563" s="245" t="s">
        <v>1</v>
      </c>
      <c r="AM563" s="200" t="s">
        <v>1</v>
      </c>
      <c r="AN563" s="201" t="s">
        <v>1</v>
      </c>
      <c r="AO563" s="201" t="s">
        <v>1</v>
      </c>
      <c r="AP563" s="198" t="s">
        <v>1</v>
      </c>
      <c r="AQ563" s="198" t="s">
        <v>1</v>
      </c>
      <c r="AR563" s="201" t="s">
        <v>1</v>
      </c>
      <c r="AS563" s="201" t="s">
        <v>1</v>
      </c>
      <c r="AT563" s="201" t="s">
        <v>1</v>
      </c>
      <c r="AU563" s="201" t="s">
        <v>1</v>
      </c>
      <c r="AV563" s="208" t="s">
        <v>1</v>
      </c>
      <c r="AW563" s="201" t="s">
        <v>1</v>
      </c>
    </row>
    <row r="564" spans="1:49" ht="30.15" customHeight="1" x14ac:dyDescent="0.25">
      <c r="A564" s="213" t="s">
        <v>18</v>
      </c>
      <c r="B564" s="189" t="s">
        <v>1</v>
      </c>
      <c r="C564" s="212" t="s">
        <v>34</v>
      </c>
      <c r="D564" s="190" t="s">
        <v>7</v>
      </c>
      <c r="E564" s="190" t="s">
        <v>1202</v>
      </c>
      <c r="F564" s="203"/>
      <c r="G564" s="190" t="s">
        <v>1209</v>
      </c>
      <c r="H564" s="192" t="s">
        <v>409</v>
      </c>
      <c r="I564" s="193">
        <v>1795.49</v>
      </c>
      <c r="J564" s="193">
        <v>1795.49</v>
      </c>
      <c r="K564" s="193">
        <v>1795.49</v>
      </c>
      <c r="L564" s="193">
        <v>2335</v>
      </c>
      <c r="M564" s="194">
        <v>2335</v>
      </c>
      <c r="N564" s="195">
        <v>0</v>
      </c>
      <c r="O564" s="195">
        <v>18.55</v>
      </c>
      <c r="P564" s="195">
        <v>24</v>
      </c>
      <c r="Q564" s="195">
        <v>820</v>
      </c>
      <c r="R564" s="195" t="s">
        <v>1254</v>
      </c>
      <c r="S564" s="195">
        <v>0</v>
      </c>
      <c r="T564" s="195">
        <v>18.55</v>
      </c>
      <c r="U564" s="195">
        <v>24</v>
      </c>
      <c r="V564" s="195">
        <v>820</v>
      </c>
      <c r="W564" s="195" t="s">
        <v>1254</v>
      </c>
      <c r="X564" s="195">
        <v>0</v>
      </c>
      <c r="Y564" s="195">
        <v>28.55</v>
      </c>
      <c r="Z564" s="195">
        <v>24</v>
      </c>
      <c r="AA564" s="195">
        <v>820</v>
      </c>
      <c r="AB564" s="196" t="s">
        <v>1</v>
      </c>
      <c r="AC564" s="197">
        <v>0</v>
      </c>
      <c r="AD564" s="195">
        <v>28.55</v>
      </c>
      <c r="AE564" s="197">
        <v>24</v>
      </c>
      <c r="AF564" s="195">
        <v>820</v>
      </c>
      <c r="AG564" s="222" t="s">
        <v>1</v>
      </c>
      <c r="AH564" s="198" t="s">
        <v>1</v>
      </c>
      <c r="AI564" s="246" t="s">
        <v>1</v>
      </c>
      <c r="AJ564" s="246" t="s">
        <v>1</v>
      </c>
      <c r="AK564" s="247" t="s">
        <v>1</v>
      </c>
      <c r="AL564" s="245" t="s">
        <v>1</v>
      </c>
      <c r="AM564" s="200" t="s">
        <v>1</v>
      </c>
      <c r="AN564" s="201" t="s">
        <v>1</v>
      </c>
      <c r="AO564" s="201" t="s">
        <v>1</v>
      </c>
      <c r="AP564" s="198" t="s">
        <v>1</v>
      </c>
      <c r="AQ564" s="198" t="s">
        <v>1</v>
      </c>
      <c r="AR564" s="201" t="s">
        <v>1</v>
      </c>
      <c r="AS564" s="201" t="s">
        <v>1</v>
      </c>
      <c r="AT564" s="201" t="s">
        <v>1</v>
      </c>
      <c r="AU564" s="201" t="s">
        <v>1</v>
      </c>
      <c r="AV564" s="208" t="s">
        <v>1</v>
      </c>
      <c r="AW564" s="201" t="s">
        <v>1</v>
      </c>
    </row>
    <row r="565" spans="1:49" ht="30.15" customHeight="1" x14ac:dyDescent="0.25">
      <c r="A565" s="213" t="s">
        <v>18</v>
      </c>
      <c r="B565" s="189" t="s">
        <v>1</v>
      </c>
      <c r="C565" s="212" t="s">
        <v>34</v>
      </c>
      <c r="D565" s="190" t="s">
        <v>7</v>
      </c>
      <c r="E565" s="190" t="s">
        <v>1222</v>
      </c>
      <c r="F565" s="203"/>
      <c r="G565" s="190" t="s">
        <v>1209</v>
      </c>
      <c r="H565" s="192" t="s">
        <v>7</v>
      </c>
      <c r="I565" s="193">
        <v>1795.49</v>
      </c>
      <c r="J565" s="193">
        <v>1795.49</v>
      </c>
      <c r="K565" s="193">
        <v>1795.49</v>
      </c>
      <c r="L565" s="193">
        <v>2335</v>
      </c>
      <c r="M565" s="194">
        <v>2335</v>
      </c>
      <c r="N565" s="195">
        <v>0</v>
      </c>
      <c r="O565" s="195">
        <v>18.55</v>
      </c>
      <c r="P565" s="195">
        <v>24</v>
      </c>
      <c r="Q565" s="195">
        <v>820</v>
      </c>
      <c r="R565" s="195" t="s">
        <v>1254</v>
      </c>
      <c r="S565" s="195">
        <v>0</v>
      </c>
      <c r="T565" s="195">
        <v>18.55</v>
      </c>
      <c r="U565" s="195">
        <v>24</v>
      </c>
      <c r="V565" s="195">
        <v>820</v>
      </c>
      <c r="W565" s="195" t="s">
        <v>1254</v>
      </c>
      <c r="X565" s="195">
        <v>0</v>
      </c>
      <c r="Y565" s="195">
        <v>28.55</v>
      </c>
      <c r="Z565" s="195">
        <v>24</v>
      </c>
      <c r="AA565" s="196">
        <v>820</v>
      </c>
      <c r="AB565" s="196" t="s">
        <v>1</v>
      </c>
      <c r="AC565" s="197">
        <v>0</v>
      </c>
      <c r="AD565" s="195">
        <v>28.55</v>
      </c>
      <c r="AE565" s="197">
        <v>24</v>
      </c>
      <c r="AF565" s="222">
        <v>820</v>
      </c>
      <c r="AG565" s="222" t="s">
        <v>1</v>
      </c>
      <c r="AH565" s="198" t="s">
        <v>1</v>
      </c>
      <c r="AI565" s="246" t="s">
        <v>1</v>
      </c>
      <c r="AJ565" s="246" t="s">
        <v>1</v>
      </c>
      <c r="AK565" s="247" t="s">
        <v>1</v>
      </c>
      <c r="AL565" s="245" t="s">
        <v>1</v>
      </c>
      <c r="AM565" s="200" t="s">
        <v>1</v>
      </c>
      <c r="AN565" s="201" t="s">
        <v>1</v>
      </c>
      <c r="AO565" s="201" t="s">
        <v>1</v>
      </c>
      <c r="AP565" s="198" t="s">
        <v>1</v>
      </c>
      <c r="AQ565" s="198" t="s">
        <v>1</v>
      </c>
      <c r="AR565" s="201" t="s">
        <v>1</v>
      </c>
      <c r="AS565" s="201" t="s">
        <v>1</v>
      </c>
      <c r="AT565" s="201" t="s">
        <v>1</v>
      </c>
      <c r="AU565" s="201" t="s">
        <v>1</v>
      </c>
      <c r="AV565" s="208" t="s">
        <v>1</v>
      </c>
      <c r="AW565" s="201" t="s">
        <v>1</v>
      </c>
    </row>
    <row r="566" spans="1:49" ht="30.15" customHeight="1" x14ac:dyDescent="0.25">
      <c r="A566" s="213" t="s">
        <v>18</v>
      </c>
      <c r="B566" s="189" t="s">
        <v>1</v>
      </c>
      <c r="C566" s="212" t="s">
        <v>34</v>
      </c>
      <c r="D566" s="190" t="s">
        <v>7</v>
      </c>
      <c r="E566" s="190" t="s">
        <v>1223</v>
      </c>
      <c r="F566" s="203"/>
      <c r="G566" s="190" t="s">
        <v>1209</v>
      </c>
      <c r="H566" s="192" t="s">
        <v>7</v>
      </c>
      <c r="I566" s="193">
        <v>1795.49</v>
      </c>
      <c r="J566" s="193">
        <v>1795.49</v>
      </c>
      <c r="K566" s="193">
        <v>1795.49</v>
      </c>
      <c r="L566" s="193">
        <v>2335</v>
      </c>
      <c r="M566" s="194">
        <v>2335</v>
      </c>
      <c r="N566" s="195">
        <v>0</v>
      </c>
      <c r="O566" s="195">
        <v>18.55</v>
      </c>
      <c r="P566" s="195">
        <v>24</v>
      </c>
      <c r="Q566" s="195">
        <v>820</v>
      </c>
      <c r="R566" s="195" t="s">
        <v>1254</v>
      </c>
      <c r="S566" s="195">
        <v>0</v>
      </c>
      <c r="T566" s="195">
        <v>18.55</v>
      </c>
      <c r="U566" s="195">
        <v>24</v>
      </c>
      <c r="V566" s="195">
        <v>820</v>
      </c>
      <c r="W566" s="195" t="s">
        <v>1254</v>
      </c>
      <c r="X566" s="195">
        <v>0</v>
      </c>
      <c r="Y566" s="195">
        <v>28.55</v>
      </c>
      <c r="Z566" s="195">
        <v>24</v>
      </c>
      <c r="AA566" s="196">
        <v>820</v>
      </c>
      <c r="AB566" s="196" t="s">
        <v>1</v>
      </c>
      <c r="AC566" s="197">
        <v>0</v>
      </c>
      <c r="AD566" s="195">
        <v>28.55</v>
      </c>
      <c r="AE566" s="197">
        <v>24</v>
      </c>
      <c r="AF566" s="222">
        <v>820</v>
      </c>
      <c r="AG566" s="222" t="s">
        <v>1</v>
      </c>
      <c r="AH566" s="198" t="s">
        <v>1</v>
      </c>
      <c r="AI566" s="246" t="s">
        <v>1</v>
      </c>
      <c r="AJ566" s="246" t="s">
        <v>1</v>
      </c>
      <c r="AK566" s="247" t="s">
        <v>1</v>
      </c>
      <c r="AL566" s="245" t="s">
        <v>1</v>
      </c>
      <c r="AM566" s="200" t="s">
        <v>1</v>
      </c>
      <c r="AN566" s="201" t="s">
        <v>1</v>
      </c>
      <c r="AO566" s="201" t="s">
        <v>1</v>
      </c>
      <c r="AP566" s="198" t="s">
        <v>1</v>
      </c>
      <c r="AQ566" s="198" t="s">
        <v>1</v>
      </c>
      <c r="AR566" s="201" t="s">
        <v>1</v>
      </c>
      <c r="AS566" s="201" t="s">
        <v>1</v>
      </c>
      <c r="AT566" s="201" t="s">
        <v>1</v>
      </c>
      <c r="AU566" s="201" t="s">
        <v>1</v>
      </c>
      <c r="AV566" s="208" t="s">
        <v>1</v>
      </c>
      <c r="AW566" s="201" t="s">
        <v>1</v>
      </c>
    </row>
    <row r="567" spans="1:49" ht="30.15" customHeight="1" x14ac:dyDescent="0.25">
      <c r="A567" s="213" t="s">
        <v>18</v>
      </c>
      <c r="B567" s="189" t="s">
        <v>1</v>
      </c>
      <c r="C567" s="212" t="s">
        <v>34</v>
      </c>
      <c r="D567" s="190" t="s">
        <v>7</v>
      </c>
      <c r="E567" s="190" t="s">
        <v>1224</v>
      </c>
      <c r="F567" s="203"/>
      <c r="G567" s="190" t="s">
        <v>1209</v>
      </c>
      <c r="H567" s="192" t="s">
        <v>7</v>
      </c>
      <c r="I567" s="193">
        <v>1795.49</v>
      </c>
      <c r="J567" s="193">
        <v>1795.49</v>
      </c>
      <c r="K567" s="193">
        <v>1795.49</v>
      </c>
      <c r="L567" s="193">
        <v>2335</v>
      </c>
      <c r="M567" s="194">
        <v>2335</v>
      </c>
      <c r="N567" s="195">
        <v>0</v>
      </c>
      <c r="O567" s="195">
        <v>18.55</v>
      </c>
      <c r="P567" s="195">
        <v>24</v>
      </c>
      <c r="Q567" s="195">
        <v>820</v>
      </c>
      <c r="R567" s="195" t="s">
        <v>1254</v>
      </c>
      <c r="S567" s="195">
        <v>0</v>
      </c>
      <c r="T567" s="195">
        <v>18.55</v>
      </c>
      <c r="U567" s="195">
        <v>24</v>
      </c>
      <c r="V567" s="195">
        <v>820</v>
      </c>
      <c r="W567" s="195" t="s">
        <v>1254</v>
      </c>
      <c r="X567" s="195">
        <v>0</v>
      </c>
      <c r="Y567" s="195">
        <v>28.55</v>
      </c>
      <c r="Z567" s="195">
        <v>24</v>
      </c>
      <c r="AA567" s="196">
        <v>820</v>
      </c>
      <c r="AB567" s="196" t="s">
        <v>1</v>
      </c>
      <c r="AC567" s="197">
        <v>0</v>
      </c>
      <c r="AD567" s="195">
        <v>28.55</v>
      </c>
      <c r="AE567" s="197">
        <v>24</v>
      </c>
      <c r="AF567" s="222">
        <v>820</v>
      </c>
      <c r="AG567" s="222" t="s">
        <v>1</v>
      </c>
      <c r="AH567" s="198" t="s">
        <v>1</v>
      </c>
      <c r="AI567" s="246" t="s">
        <v>1</v>
      </c>
      <c r="AJ567" s="246" t="s">
        <v>1</v>
      </c>
      <c r="AK567" s="247" t="s">
        <v>1</v>
      </c>
      <c r="AL567" s="245" t="s">
        <v>1</v>
      </c>
      <c r="AM567" s="200" t="s">
        <v>1</v>
      </c>
      <c r="AN567" s="201" t="s">
        <v>1</v>
      </c>
      <c r="AO567" s="201" t="s">
        <v>1</v>
      </c>
      <c r="AP567" s="198" t="s">
        <v>1</v>
      </c>
      <c r="AQ567" s="198" t="s">
        <v>1</v>
      </c>
      <c r="AR567" s="201" t="s">
        <v>1</v>
      </c>
      <c r="AS567" s="201" t="s">
        <v>1</v>
      </c>
      <c r="AT567" s="201" t="s">
        <v>1</v>
      </c>
      <c r="AU567" s="201" t="s">
        <v>1</v>
      </c>
      <c r="AV567" s="208" t="s">
        <v>1</v>
      </c>
      <c r="AW567" s="201" t="s">
        <v>1</v>
      </c>
    </row>
    <row r="568" spans="1:49" ht="30.15" customHeight="1" x14ac:dyDescent="0.25">
      <c r="A568" s="213" t="s">
        <v>18</v>
      </c>
      <c r="B568" s="189" t="s">
        <v>1</v>
      </c>
      <c r="C568" s="212" t="s">
        <v>34</v>
      </c>
      <c r="D568" s="190" t="s">
        <v>7</v>
      </c>
      <c r="E568" s="190" t="s">
        <v>851</v>
      </c>
      <c r="F568" s="203"/>
      <c r="G568" s="190" t="s">
        <v>853</v>
      </c>
      <c r="H568" s="192" t="s">
        <v>854</v>
      </c>
      <c r="I568" s="193">
        <v>1820</v>
      </c>
      <c r="J568" s="193">
        <v>1820</v>
      </c>
      <c r="K568" s="193">
        <v>1820</v>
      </c>
      <c r="L568" s="193">
        <v>2275</v>
      </c>
      <c r="M568" s="194">
        <v>2275</v>
      </c>
      <c r="N568" s="195">
        <v>0</v>
      </c>
      <c r="O568" s="195">
        <v>62.800000000000011</v>
      </c>
      <c r="P568" s="195">
        <v>24</v>
      </c>
      <c r="Q568" s="195" t="s">
        <v>1</v>
      </c>
      <c r="R568" s="195" t="s">
        <v>1253</v>
      </c>
      <c r="S568" s="195">
        <v>0</v>
      </c>
      <c r="T568" s="195">
        <v>62.800000000000011</v>
      </c>
      <c r="U568" s="195">
        <v>24</v>
      </c>
      <c r="V568" s="195" t="s">
        <v>1</v>
      </c>
      <c r="W568" s="195" t="s">
        <v>1253</v>
      </c>
      <c r="X568" s="195">
        <v>0</v>
      </c>
      <c r="Y568" s="195">
        <v>62.800000000000011</v>
      </c>
      <c r="Z568" s="195">
        <v>24</v>
      </c>
      <c r="AA568" s="195" t="s">
        <v>1</v>
      </c>
      <c r="AB568" s="196" t="s">
        <v>1</v>
      </c>
      <c r="AC568" s="197">
        <v>0</v>
      </c>
      <c r="AD568" s="195">
        <v>62.800000000000011</v>
      </c>
      <c r="AE568" s="197">
        <v>24</v>
      </c>
      <c r="AF568" s="195" t="s">
        <v>1</v>
      </c>
      <c r="AG568" s="198" t="s">
        <v>1</v>
      </c>
      <c r="AH568" s="198" t="s">
        <v>1</v>
      </c>
      <c r="AI568" s="246" t="s">
        <v>1</v>
      </c>
      <c r="AJ568" s="246" t="s">
        <v>1</v>
      </c>
      <c r="AK568" s="247" t="s">
        <v>1</v>
      </c>
      <c r="AL568" s="245" t="s">
        <v>1</v>
      </c>
      <c r="AM568" s="200" t="s">
        <v>1</v>
      </c>
      <c r="AN568" s="201" t="s">
        <v>1</v>
      </c>
      <c r="AO568" s="201" t="s">
        <v>1</v>
      </c>
      <c r="AP568" s="198" t="s">
        <v>1</v>
      </c>
      <c r="AQ568" s="198" t="s">
        <v>1</v>
      </c>
      <c r="AR568" s="201" t="s">
        <v>1</v>
      </c>
      <c r="AS568" s="201" t="s">
        <v>1</v>
      </c>
      <c r="AT568" s="201" t="s">
        <v>1</v>
      </c>
      <c r="AU568" s="201" t="s">
        <v>1</v>
      </c>
      <c r="AV568" s="208" t="s">
        <v>1</v>
      </c>
      <c r="AW568" s="201" t="s">
        <v>1</v>
      </c>
    </row>
    <row r="569" spans="1:49" ht="30.15" customHeight="1" x14ac:dyDescent="0.25">
      <c r="A569" s="213" t="s">
        <v>18</v>
      </c>
      <c r="B569" s="189" t="s">
        <v>1</v>
      </c>
      <c r="C569" s="212" t="s">
        <v>34</v>
      </c>
      <c r="D569" s="190" t="s">
        <v>7</v>
      </c>
      <c r="E569" s="190" t="s">
        <v>852</v>
      </c>
      <c r="F569" s="203"/>
      <c r="G569" s="190" t="s">
        <v>853</v>
      </c>
      <c r="H569" s="192" t="s">
        <v>854</v>
      </c>
      <c r="I569" s="193">
        <v>1820</v>
      </c>
      <c r="J569" s="193">
        <v>1820</v>
      </c>
      <c r="K569" s="193">
        <v>1820</v>
      </c>
      <c r="L569" s="193">
        <v>2275</v>
      </c>
      <c r="M569" s="194">
        <v>2275</v>
      </c>
      <c r="N569" s="195">
        <v>0</v>
      </c>
      <c r="O569" s="195">
        <v>62.800000000000011</v>
      </c>
      <c r="P569" s="195">
        <v>24</v>
      </c>
      <c r="Q569" s="195" t="s">
        <v>1</v>
      </c>
      <c r="R569" s="195" t="s">
        <v>1253</v>
      </c>
      <c r="S569" s="195">
        <v>0</v>
      </c>
      <c r="T569" s="195">
        <v>62.800000000000011</v>
      </c>
      <c r="U569" s="195">
        <v>24</v>
      </c>
      <c r="V569" s="195" t="s">
        <v>1</v>
      </c>
      <c r="W569" s="195" t="s">
        <v>1253</v>
      </c>
      <c r="X569" s="195">
        <v>0</v>
      </c>
      <c r="Y569" s="195">
        <v>62.800000000000011</v>
      </c>
      <c r="Z569" s="195">
        <v>24</v>
      </c>
      <c r="AA569" s="195" t="s">
        <v>1</v>
      </c>
      <c r="AB569" s="196" t="s">
        <v>1</v>
      </c>
      <c r="AC569" s="197">
        <v>0</v>
      </c>
      <c r="AD569" s="195">
        <v>62.800000000000011</v>
      </c>
      <c r="AE569" s="197">
        <v>24</v>
      </c>
      <c r="AF569" s="195" t="s">
        <v>1</v>
      </c>
      <c r="AG569" s="198" t="s">
        <v>1</v>
      </c>
      <c r="AH569" s="198" t="s">
        <v>1</v>
      </c>
      <c r="AI569" s="246" t="s">
        <v>1</v>
      </c>
      <c r="AJ569" s="246" t="s">
        <v>1</v>
      </c>
      <c r="AK569" s="247" t="s">
        <v>1</v>
      </c>
      <c r="AL569" s="245" t="s">
        <v>1</v>
      </c>
      <c r="AM569" s="200" t="s">
        <v>1</v>
      </c>
      <c r="AN569" s="201" t="s">
        <v>1</v>
      </c>
      <c r="AO569" s="201" t="s">
        <v>1</v>
      </c>
      <c r="AP569" s="198" t="s">
        <v>1</v>
      </c>
      <c r="AQ569" s="198" t="s">
        <v>1</v>
      </c>
      <c r="AR569" s="201" t="s">
        <v>1</v>
      </c>
      <c r="AS569" s="201" t="s">
        <v>1</v>
      </c>
      <c r="AT569" s="201" t="s">
        <v>1</v>
      </c>
      <c r="AU569" s="201" t="s">
        <v>1</v>
      </c>
      <c r="AV569" s="208" t="s">
        <v>1</v>
      </c>
      <c r="AW569" s="201" t="s">
        <v>1</v>
      </c>
    </row>
    <row r="570" spans="1:49" ht="30.15" customHeight="1" x14ac:dyDescent="0.25">
      <c r="A570" s="213" t="s">
        <v>18</v>
      </c>
      <c r="B570" s="189" t="s">
        <v>1</v>
      </c>
      <c r="C570" s="212" t="s">
        <v>34</v>
      </c>
      <c r="D570" s="190" t="s">
        <v>7</v>
      </c>
      <c r="E570" s="190" t="s">
        <v>915</v>
      </c>
      <c r="F570" s="203"/>
      <c r="G570" s="190" t="s">
        <v>917</v>
      </c>
      <c r="H570" s="192" t="s">
        <v>927</v>
      </c>
      <c r="I570" s="193">
        <v>1919</v>
      </c>
      <c r="J570" s="193">
        <v>1919</v>
      </c>
      <c r="K570" s="193">
        <v>1919</v>
      </c>
      <c r="L570" s="193">
        <v>1950</v>
      </c>
      <c r="M570" s="194">
        <v>1950</v>
      </c>
      <c r="N570" s="195">
        <v>0</v>
      </c>
      <c r="O570" s="195">
        <v>15.42</v>
      </c>
      <c r="P570" s="195">
        <v>24</v>
      </c>
      <c r="Q570" s="195">
        <v>290</v>
      </c>
      <c r="R570" s="196" t="s">
        <v>1255</v>
      </c>
      <c r="S570" s="196">
        <v>0</v>
      </c>
      <c r="T570" s="195">
        <v>15.42</v>
      </c>
      <c r="U570" s="195">
        <v>24</v>
      </c>
      <c r="V570" s="196">
        <v>290</v>
      </c>
      <c r="W570" s="196" t="s">
        <v>1255</v>
      </c>
      <c r="X570" s="195">
        <v>0</v>
      </c>
      <c r="Y570" s="195">
        <v>23.75</v>
      </c>
      <c r="Z570" s="195">
        <v>24</v>
      </c>
      <c r="AA570" s="196">
        <v>290</v>
      </c>
      <c r="AB570" s="196" t="s">
        <v>1</v>
      </c>
      <c r="AC570" s="197">
        <v>0</v>
      </c>
      <c r="AD570" s="195">
        <v>23.75</v>
      </c>
      <c r="AE570" s="197">
        <v>24</v>
      </c>
      <c r="AF570" s="198">
        <v>290</v>
      </c>
      <c r="AG570" s="198" t="s">
        <v>1</v>
      </c>
      <c r="AH570" s="198" t="s">
        <v>1</v>
      </c>
      <c r="AI570" s="246" t="s">
        <v>1</v>
      </c>
      <c r="AJ570" s="246" t="s">
        <v>1</v>
      </c>
      <c r="AK570" s="247" t="s">
        <v>1</v>
      </c>
      <c r="AL570" s="245" t="s">
        <v>1</v>
      </c>
      <c r="AM570" s="248" t="s">
        <v>1</v>
      </c>
      <c r="AN570" s="208" t="s">
        <v>1</v>
      </c>
      <c r="AO570" s="208" t="s">
        <v>1</v>
      </c>
      <c r="AP570" s="198" t="s">
        <v>1</v>
      </c>
      <c r="AQ570" s="222" t="s">
        <v>1</v>
      </c>
      <c r="AR570" s="208" t="s">
        <v>1</v>
      </c>
      <c r="AS570" s="208" t="s">
        <v>1</v>
      </c>
      <c r="AT570" s="201" t="s">
        <v>1</v>
      </c>
      <c r="AU570" s="201" t="s">
        <v>1</v>
      </c>
      <c r="AV570" s="208" t="s">
        <v>1</v>
      </c>
      <c r="AW570" s="201" t="s">
        <v>1</v>
      </c>
    </row>
    <row r="571" spans="1:49" ht="30.15" customHeight="1" x14ac:dyDescent="0.25">
      <c r="A571" s="213" t="s">
        <v>18</v>
      </c>
      <c r="B571" s="189" t="s">
        <v>1</v>
      </c>
      <c r="C571" s="212" t="s">
        <v>34</v>
      </c>
      <c r="D571" s="190" t="s">
        <v>7</v>
      </c>
      <c r="E571" s="190" t="s">
        <v>916</v>
      </c>
      <c r="F571" s="203"/>
      <c r="G571" s="190" t="s">
        <v>917</v>
      </c>
      <c r="H571" s="192" t="s">
        <v>927</v>
      </c>
      <c r="I571" s="193">
        <v>1919</v>
      </c>
      <c r="J571" s="193">
        <v>1919</v>
      </c>
      <c r="K571" s="193">
        <v>1919</v>
      </c>
      <c r="L571" s="193">
        <v>1950</v>
      </c>
      <c r="M571" s="194">
        <v>1950</v>
      </c>
      <c r="N571" s="195">
        <v>0</v>
      </c>
      <c r="O571" s="195">
        <v>15.42</v>
      </c>
      <c r="P571" s="195">
        <v>24</v>
      </c>
      <c r="Q571" s="195">
        <v>290</v>
      </c>
      <c r="R571" s="196" t="s">
        <v>1255</v>
      </c>
      <c r="S571" s="196">
        <v>0</v>
      </c>
      <c r="T571" s="195">
        <v>15.42</v>
      </c>
      <c r="U571" s="195">
        <v>24</v>
      </c>
      <c r="V571" s="196">
        <v>290</v>
      </c>
      <c r="W571" s="196" t="s">
        <v>1255</v>
      </c>
      <c r="X571" s="195">
        <v>0</v>
      </c>
      <c r="Y571" s="195">
        <v>23.75</v>
      </c>
      <c r="Z571" s="195">
        <v>24</v>
      </c>
      <c r="AA571" s="196">
        <v>290</v>
      </c>
      <c r="AB571" s="196" t="s">
        <v>1</v>
      </c>
      <c r="AC571" s="197">
        <v>0</v>
      </c>
      <c r="AD571" s="195">
        <v>23.75</v>
      </c>
      <c r="AE571" s="197">
        <v>24</v>
      </c>
      <c r="AF571" s="198">
        <v>290</v>
      </c>
      <c r="AG571" s="198" t="s">
        <v>1</v>
      </c>
      <c r="AH571" s="198" t="s">
        <v>1</v>
      </c>
      <c r="AI571" s="246" t="s">
        <v>1</v>
      </c>
      <c r="AJ571" s="246" t="s">
        <v>1</v>
      </c>
      <c r="AK571" s="247" t="s">
        <v>1</v>
      </c>
      <c r="AL571" s="245" t="s">
        <v>1</v>
      </c>
      <c r="AM571" s="248" t="s">
        <v>1</v>
      </c>
      <c r="AN571" s="208" t="s">
        <v>1</v>
      </c>
      <c r="AO571" s="208" t="s">
        <v>1</v>
      </c>
      <c r="AP571" s="198" t="s">
        <v>1</v>
      </c>
      <c r="AQ571" s="222" t="s">
        <v>1</v>
      </c>
      <c r="AR571" s="208" t="s">
        <v>1</v>
      </c>
      <c r="AS571" s="208" t="s">
        <v>1</v>
      </c>
      <c r="AT571" s="201" t="s">
        <v>1</v>
      </c>
      <c r="AU571" s="201" t="s">
        <v>1</v>
      </c>
      <c r="AV571" s="208" t="s">
        <v>1</v>
      </c>
      <c r="AW571" s="201" t="s">
        <v>1</v>
      </c>
    </row>
    <row r="572" spans="1:49" ht="30.15" customHeight="1" x14ac:dyDescent="0.25">
      <c r="A572" s="213" t="s">
        <v>18</v>
      </c>
      <c r="B572" s="189" t="s">
        <v>1</v>
      </c>
      <c r="C572" s="212" t="s">
        <v>35</v>
      </c>
      <c r="D572" s="190" t="s">
        <v>7</v>
      </c>
      <c r="E572" s="190" t="s">
        <v>571</v>
      </c>
      <c r="F572" s="203"/>
      <c r="G572" s="190" t="s">
        <v>572</v>
      </c>
      <c r="H572" s="192" t="s">
        <v>409</v>
      </c>
      <c r="I572" s="193">
        <v>299</v>
      </c>
      <c r="J572" s="193">
        <v>262</v>
      </c>
      <c r="K572" s="193">
        <v>299</v>
      </c>
      <c r="L572" s="193">
        <v>359</v>
      </c>
      <c r="M572" s="194">
        <v>359</v>
      </c>
      <c r="N572" s="195" t="s">
        <v>1</v>
      </c>
      <c r="O572" s="195" t="s">
        <v>1</v>
      </c>
      <c r="P572" s="195" t="s">
        <v>1</v>
      </c>
      <c r="Q572" s="195" t="s">
        <v>1</v>
      </c>
      <c r="R572" s="196" t="s">
        <v>1</v>
      </c>
      <c r="S572" s="197" t="s">
        <v>1</v>
      </c>
      <c r="T572" s="195" t="s">
        <v>1</v>
      </c>
      <c r="U572" s="195" t="s">
        <v>1</v>
      </c>
      <c r="V572" s="197" t="s">
        <v>1</v>
      </c>
      <c r="W572" s="196" t="s">
        <v>1</v>
      </c>
      <c r="X572" s="195" t="s">
        <v>1</v>
      </c>
      <c r="Y572" s="195" t="s">
        <v>1</v>
      </c>
      <c r="Z572" s="195" t="s">
        <v>1</v>
      </c>
      <c r="AA572" s="196" t="s">
        <v>1</v>
      </c>
      <c r="AB572" s="196" t="s">
        <v>1</v>
      </c>
      <c r="AC572" s="197" t="s">
        <v>1</v>
      </c>
      <c r="AD572" s="197" t="s">
        <v>1</v>
      </c>
      <c r="AE572" s="197" t="s">
        <v>1</v>
      </c>
      <c r="AF572" s="198" t="s">
        <v>1</v>
      </c>
      <c r="AG572" s="198" t="s">
        <v>1</v>
      </c>
      <c r="AH572" s="198" t="s">
        <v>1</v>
      </c>
      <c r="AI572" s="209" t="s">
        <v>1</v>
      </c>
      <c r="AJ572" s="209" t="s">
        <v>1</v>
      </c>
      <c r="AK572" s="244" t="s">
        <v>1</v>
      </c>
      <c r="AL572" s="245">
        <v>0</v>
      </c>
      <c r="AM572" s="195">
        <v>14.95</v>
      </c>
      <c r="AN572" s="195">
        <v>24</v>
      </c>
      <c r="AO572" s="222">
        <v>120</v>
      </c>
      <c r="AP572" s="198" t="s">
        <v>1</v>
      </c>
      <c r="AQ572" s="195" t="s">
        <v>1</v>
      </c>
      <c r="AR572" s="195" t="s">
        <v>1</v>
      </c>
      <c r="AS572" s="222" t="s">
        <v>1</v>
      </c>
      <c r="AT572" s="199" t="s">
        <v>1</v>
      </c>
      <c r="AU572" s="199" t="s">
        <v>1</v>
      </c>
      <c r="AV572" s="202" t="s">
        <v>1</v>
      </c>
      <c r="AW572" s="199" t="s">
        <v>1</v>
      </c>
    </row>
    <row r="573" spans="1:49" ht="30.15" customHeight="1" x14ac:dyDescent="0.25">
      <c r="A573" s="213" t="s">
        <v>18</v>
      </c>
      <c r="B573" s="189" t="s">
        <v>1</v>
      </c>
      <c r="C573" s="212" t="s">
        <v>35</v>
      </c>
      <c r="D573" s="190" t="s">
        <v>7</v>
      </c>
      <c r="E573" s="190" t="s">
        <v>896</v>
      </c>
      <c r="F573" s="203"/>
      <c r="G573" s="190" t="s">
        <v>897</v>
      </c>
      <c r="H573" s="192" t="s">
        <v>409</v>
      </c>
      <c r="I573" s="193">
        <v>287.99</v>
      </c>
      <c r="J573" s="193">
        <v>287.99</v>
      </c>
      <c r="K573" s="193">
        <v>287.99</v>
      </c>
      <c r="L573" s="193">
        <v>360</v>
      </c>
      <c r="M573" s="194">
        <v>360</v>
      </c>
      <c r="N573" s="195" t="s">
        <v>1</v>
      </c>
      <c r="O573" s="195" t="s">
        <v>1</v>
      </c>
      <c r="P573" s="195" t="s">
        <v>1</v>
      </c>
      <c r="Q573" s="195" t="s">
        <v>1</v>
      </c>
      <c r="R573" s="196" t="s">
        <v>1</v>
      </c>
      <c r="S573" s="197" t="s">
        <v>1</v>
      </c>
      <c r="T573" s="196" t="s">
        <v>1</v>
      </c>
      <c r="U573" s="196" t="s">
        <v>1</v>
      </c>
      <c r="V573" s="197" t="s">
        <v>1</v>
      </c>
      <c r="W573" s="196" t="s">
        <v>1</v>
      </c>
      <c r="X573" s="195" t="s">
        <v>1</v>
      </c>
      <c r="Y573" s="195" t="s">
        <v>1</v>
      </c>
      <c r="Z573" s="195" t="s">
        <v>1</v>
      </c>
      <c r="AA573" s="196" t="s">
        <v>1</v>
      </c>
      <c r="AB573" s="196" t="s">
        <v>1</v>
      </c>
      <c r="AC573" s="197" t="s">
        <v>1</v>
      </c>
      <c r="AD573" s="197" t="s">
        <v>1</v>
      </c>
      <c r="AE573" s="197" t="s">
        <v>1</v>
      </c>
      <c r="AF573" s="198" t="s">
        <v>1</v>
      </c>
      <c r="AG573" s="198" t="s">
        <v>1</v>
      </c>
      <c r="AH573" s="198" t="s">
        <v>1</v>
      </c>
      <c r="AI573" s="209" t="s">
        <v>1</v>
      </c>
      <c r="AJ573" s="209" t="s">
        <v>1</v>
      </c>
      <c r="AK573" s="244" t="s">
        <v>1</v>
      </c>
      <c r="AL573" s="245">
        <v>0</v>
      </c>
      <c r="AM573" s="200">
        <v>10</v>
      </c>
      <c r="AN573" s="195">
        <v>24</v>
      </c>
      <c r="AO573" s="222">
        <v>120</v>
      </c>
      <c r="AP573" s="198" t="s">
        <v>1</v>
      </c>
      <c r="AQ573" s="222" t="s">
        <v>1</v>
      </c>
      <c r="AR573" s="222" t="s">
        <v>1</v>
      </c>
      <c r="AS573" s="222" t="s">
        <v>1</v>
      </c>
      <c r="AT573" s="199" t="s">
        <v>1</v>
      </c>
      <c r="AU573" s="199" t="s">
        <v>1</v>
      </c>
      <c r="AV573" s="202" t="s">
        <v>1</v>
      </c>
      <c r="AW573" s="199" t="s">
        <v>1</v>
      </c>
    </row>
    <row r="574" spans="1:49" ht="30.15" customHeight="1" x14ac:dyDescent="0.25">
      <c r="A574" s="188" t="s">
        <v>18</v>
      </c>
      <c r="B574" s="189" t="s">
        <v>1</v>
      </c>
      <c r="C574" s="212" t="s">
        <v>35</v>
      </c>
      <c r="D574" s="190" t="s">
        <v>7</v>
      </c>
      <c r="E574" s="190" t="s">
        <v>531</v>
      </c>
      <c r="F574" s="203"/>
      <c r="G574" s="190" t="s">
        <v>532</v>
      </c>
      <c r="H574" s="192" t="s">
        <v>409</v>
      </c>
      <c r="I574" s="193">
        <v>530</v>
      </c>
      <c r="J574" s="193">
        <v>495</v>
      </c>
      <c r="K574" s="193">
        <v>530</v>
      </c>
      <c r="L574" s="193">
        <v>550</v>
      </c>
      <c r="M574" s="194">
        <v>550</v>
      </c>
      <c r="N574" s="195" t="s">
        <v>1</v>
      </c>
      <c r="O574" s="195" t="s">
        <v>1</v>
      </c>
      <c r="P574" s="195" t="s">
        <v>1</v>
      </c>
      <c r="Q574" s="195" t="s">
        <v>1</v>
      </c>
      <c r="R574" s="196" t="s">
        <v>1</v>
      </c>
      <c r="S574" s="197" t="s">
        <v>1</v>
      </c>
      <c r="T574" s="197" t="s">
        <v>1</v>
      </c>
      <c r="U574" s="197" t="s">
        <v>1</v>
      </c>
      <c r="V574" s="197" t="s">
        <v>1</v>
      </c>
      <c r="W574" s="196" t="s">
        <v>1</v>
      </c>
      <c r="X574" s="195" t="s">
        <v>1</v>
      </c>
      <c r="Y574" s="195" t="s">
        <v>1</v>
      </c>
      <c r="Z574" s="195" t="s">
        <v>1</v>
      </c>
      <c r="AA574" s="196" t="s">
        <v>1</v>
      </c>
      <c r="AB574" s="196" t="s">
        <v>1</v>
      </c>
      <c r="AC574" s="197" t="s">
        <v>1</v>
      </c>
      <c r="AD574" s="197" t="s">
        <v>1</v>
      </c>
      <c r="AE574" s="197" t="s">
        <v>1</v>
      </c>
      <c r="AF574" s="198" t="s">
        <v>1</v>
      </c>
      <c r="AG574" s="198" t="s">
        <v>1</v>
      </c>
      <c r="AH574" s="198" t="s">
        <v>1</v>
      </c>
      <c r="AI574" s="209" t="s">
        <v>1</v>
      </c>
      <c r="AJ574" s="209" t="s">
        <v>1</v>
      </c>
      <c r="AK574" s="244" t="s">
        <v>1</v>
      </c>
      <c r="AL574" s="245">
        <v>0</v>
      </c>
      <c r="AM574" s="200" t="s">
        <v>1</v>
      </c>
      <c r="AN574" s="199" t="s">
        <v>1</v>
      </c>
      <c r="AO574" s="199" t="s">
        <v>1252</v>
      </c>
      <c r="AP574" s="198" t="s">
        <v>1</v>
      </c>
      <c r="AQ574" s="198" t="s">
        <v>1</v>
      </c>
      <c r="AR574" s="201" t="s">
        <v>1</v>
      </c>
      <c r="AS574" s="201" t="s">
        <v>1</v>
      </c>
      <c r="AT574" s="199" t="s">
        <v>1</v>
      </c>
      <c r="AU574" s="199" t="s">
        <v>1</v>
      </c>
      <c r="AV574" s="202" t="s">
        <v>1</v>
      </c>
      <c r="AW574" s="199" t="s">
        <v>1</v>
      </c>
    </row>
    <row r="575" spans="1:49" ht="30.15" customHeight="1" x14ac:dyDescent="0.25">
      <c r="A575" s="188" t="s">
        <v>18</v>
      </c>
      <c r="B575" s="189" t="s">
        <v>1</v>
      </c>
      <c r="C575" s="212" t="s">
        <v>35</v>
      </c>
      <c r="D575" s="190" t="s">
        <v>7</v>
      </c>
      <c r="E575" s="190" t="s">
        <v>1225</v>
      </c>
      <c r="F575" s="191"/>
      <c r="G575" s="192" t="s">
        <v>1226</v>
      </c>
      <c r="H575" s="192" t="s">
        <v>7</v>
      </c>
      <c r="I575" s="193">
        <v>709.99</v>
      </c>
      <c r="J575" s="193">
        <v>709.99</v>
      </c>
      <c r="K575" s="193">
        <v>709.99</v>
      </c>
      <c r="L575" s="193">
        <v>779.99</v>
      </c>
      <c r="M575" s="194">
        <v>779.99</v>
      </c>
      <c r="N575" s="195" t="s">
        <v>1</v>
      </c>
      <c r="O575" s="195" t="s">
        <v>1</v>
      </c>
      <c r="P575" s="195" t="s">
        <v>1</v>
      </c>
      <c r="Q575" s="195" t="s">
        <v>1</v>
      </c>
      <c r="R575" s="196" t="s">
        <v>1</v>
      </c>
      <c r="S575" s="197" t="s">
        <v>1</v>
      </c>
      <c r="T575" s="197" t="s">
        <v>1</v>
      </c>
      <c r="U575" s="197" t="s">
        <v>1</v>
      </c>
      <c r="V575" s="197" t="s">
        <v>1</v>
      </c>
      <c r="W575" s="196" t="s">
        <v>1</v>
      </c>
      <c r="X575" s="195" t="s">
        <v>1</v>
      </c>
      <c r="Y575" s="195" t="s">
        <v>1</v>
      </c>
      <c r="Z575" s="195" t="s">
        <v>1</v>
      </c>
      <c r="AA575" s="196" t="s">
        <v>1</v>
      </c>
      <c r="AB575" s="196" t="s">
        <v>1</v>
      </c>
      <c r="AC575" s="197" t="s">
        <v>1</v>
      </c>
      <c r="AD575" s="197" t="s">
        <v>1</v>
      </c>
      <c r="AE575" s="197" t="s">
        <v>1</v>
      </c>
      <c r="AF575" s="198" t="s">
        <v>1</v>
      </c>
      <c r="AG575" s="198" t="s">
        <v>1</v>
      </c>
      <c r="AH575" s="198" t="s">
        <v>1</v>
      </c>
      <c r="AI575" s="209" t="s">
        <v>1</v>
      </c>
      <c r="AJ575" s="209" t="s">
        <v>1</v>
      </c>
      <c r="AK575" s="244" t="s">
        <v>1</v>
      </c>
      <c r="AL575" s="245">
        <v>0</v>
      </c>
      <c r="AM575" s="200" t="s">
        <v>1</v>
      </c>
      <c r="AN575" s="199" t="s">
        <v>1</v>
      </c>
      <c r="AO575" s="199" t="s">
        <v>1253</v>
      </c>
      <c r="AP575" s="198" t="s">
        <v>1</v>
      </c>
      <c r="AQ575" s="198" t="s">
        <v>1</v>
      </c>
      <c r="AR575" s="201" t="s">
        <v>1</v>
      </c>
      <c r="AS575" s="201" t="s">
        <v>1</v>
      </c>
      <c r="AT575" s="199" t="s">
        <v>1</v>
      </c>
      <c r="AU575" s="199" t="s">
        <v>1</v>
      </c>
      <c r="AV575" s="202" t="s">
        <v>1</v>
      </c>
      <c r="AW575" s="199" t="s">
        <v>1</v>
      </c>
    </row>
    <row r="576" spans="1:49" ht="30.15" customHeight="1" x14ac:dyDescent="0.25">
      <c r="A576" s="188" t="s">
        <v>18</v>
      </c>
      <c r="B576" s="189" t="s">
        <v>1</v>
      </c>
      <c r="C576" s="212" t="s">
        <v>35</v>
      </c>
      <c r="D576" s="190" t="s">
        <v>7</v>
      </c>
      <c r="E576" s="190" t="s">
        <v>1227</v>
      </c>
      <c r="F576" s="191"/>
      <c r="G576" s="192" t="s">
        <v>1228</v>
      </c>
      <c r="H576" s="192" t="s">
        <v>7</v>
      </c>
      <c r="I576" s="193">
        <v>855</v>
      </c>
      <c r="J576" s="193">
        <v>855</v>
      </c>
      <c r="K576" s="193">
        <v>855</v>
      </c>
      <c r="L576" s="193">
        <v>900</v>
      </c>
      <c r="M576" s="194">
        <v>900</v>
      </c>
      <c r="N576" s="195" t="s">
        <v>1</v>
      </c>
      <c r="O576" s="195" t="s">
        <v>1</v>
      </c>
      <c r="P576" s="195" t="s">
        <v>1</v>
      </c>
      <c r="Q576" s="195" t="s">
        <v>1</v>
      </c>
      <c r="R576" s="196" t="s">
        <v>1</v>
      </c>
      <c r="S576" s="197" t="s">
        <v>1</v>
      </c>
      <c r="T576" s="197" t="s">
        <v>1</v>
      </c>
      <c r="U576" s="197" t="s">
        <v>1</v>
      </c>
      <c r="V576" s="197" t="s">
        <v>1</v>
      </c>
      <c r="W576" s="196" t="s">
        <v>1</v>
      </c>
      <c r="X576" s="195" t="s">
        <v>1</v>
      </c>
      <c r="Y576" s="195" t="s">
        <v>1</v>
      </c>
      <c r="Z576" s="195" t="s">
        <v>1</v>
      </c>
      <c r="AA576" s="196" t="s">
        <v>1</v>
      </c>
      <c r="AB576" s="196" t="s">
        <v>1</v>
      </c>
      <c r="AC576" s="197" t="s">
        <v>1</v>
      </c>
      <c r="AD576" s="197" t="s">
        <v>1</v>
      </c>
      <c r="AE576" s="197" t="s">
        <v>1</v>
      </c>
      <c r="AF576" s="198" t="s">
        <v>1</v>
      </c>
      <c r="AG576" s="198" t="s">
        <v>1</v>
      </c>
      <c r="AH576" s="198" t="s">
        <v>1</v>
      </c>
      <c r="AI576" s="209" t="s">
        <v>1</v>
      </c>
      <c r="AJ576" s="209" t="s">
        <v>1</v>
      </c>
      <c r="AK576" s="244" t="s">
        <v>1</v>
      </c>
      <c r="AL576" s="245">
        <v>0</v>
      </c>
      <c r="AM576" s="200" t="s">
        <v>1</v>
      </c>
      <c r="AN576" s="199" t="s">
        <v>1</v>
      </c>
      <c r="AO576" s="199" t="s">
        <v>1253</v>
      </c>
      <c r="AP576" s="198" t="s">
        <v>1</v>
      </c>
      <c r="AQ576" s="198" t="s">
        <v>1</v>
      </c>
      <c r="AR576" s="201" t="s">
        <v>1</v>
      </c>
      <c r="AS576" s="201" t="s">
        <v>1</v>
      </c>
      <c r="AT576" s="199" t="s">
        <v>1</v>
      </c>
      <c r="AU576" s="199" t="s">
        <v>1</v>
      </c>
      <c r="AV576" s="202" t="s">
        <v>1</v>
      </c>
      <c r="AW576" s="199" t="s">
        <v>1</v>
      </c>
    </row>
    <row r="577" spans="1:51" ht="30.15" customHeight="1" x14ac:dyDescent="0.25">
      <c r="A577" s="188" t="s">
        <v>18</v>
      </c>
      <c r="B577" s="188" t="s">
        <v>1</v>
      </c>
      <c r="C577" s="212" t="s">
        <v>34</v>
      </c>
      <c r="D577" s="190" t="s">
        <v>7</v>
      </c>
      <c r="E577" s="190" t="s">
        <v>288</v>
      </c>
      <c r="F577" s="191"/>
      <c r="G577" s="192" t="s">
        <v>289</v>
      </c>
      <c r="H577" s="192" t="s">
        <v>409</v>
      </c>
      <c r="I577" s="193">
        <v>330</v>
      </c>
      <c r="J577" s="193">
        <v>330</v>
      </c>
      <c r="K577" s="193">
        <v>330</v>
      </c>
      <c r="L577" s="193">
        <v>350</v>
      </c>
      <c r="M577" s="194">
        <v>350</v>
      </c>
      <c r="N577" s="195">
        <v>0</v>
      </c>
      <c r="O577" s="195" t="s">
        <v>1</v>
      </c>
      <c r="P577" s="195" t="s">
        <v>1</v>
      </c>
      <c r="Q577" s="195" t="s">
        <v>1</v>
      </c>
      <c r="R577" s="196">
        <v>120</v>
      </c>
      <c r="S577" s="197">
        <v>0</v>
      </c>
      <c r="T577" s="197" t="s">
        <v>1</v>
      </c>
      <c r="U577" s="197" t="s">
        <v>1</v>
      </c>
      <c r="V577" s="197" t="s">
        <v>1</v>
      </c>
      <c r="W577" s="196">
        <v>120</v>
      </c>
      <c r="X577" s="195">
        <v>0</v>
      </c>
      <c r="Y577" s="195" t="s">
        <v>1</v>
      </c>
      <c r="Z577" s="195" t="s">
        <v>1</v>
      </c>
      <c r="AA577" s="196" t="s">
        <v>1</v>
      </c>
      <c r="AB577" s="196" t="s">
        <v>1</v>
      </c>
      <c r="AC577" s="197">
        <v>0</v>
      </c>
      <c r="AD577" s="197" t="s">
        <v>1</v>
      </c>
      <c r="AE577" s="197" t="s">
        <v>1</v>
      </c>
      <c r="AF577" s="198" t="s">
        <v>1</v>
      </c>
      <c r="AG577" s="198" t="s">
        <v>1</v>
      </c>
      <c r="AH577" s="198">
        <v>0</v>
      </c>
      <c r="AI577" s="209" t="s">
        <v>1</v>
      </c>
      <c r="AJ577" s="209" t="s">
        <v>1</v>
      </c>
      <c r="AK577" s="243">
        <v>120</v>
      </c>
      <c r="AL577" s="222" t="s">
        <v>1</v>
      </c>
      <c r="AM577" s="200" t="s">
        <v>1</v>
      </c>
      <c r="AN577" s="199" t="s">
        <v>1</v>
      </c>
      <c r="AO577" s="199" t="s">
        <v>1</v>
      </c>
      <c r="AP577" s="198" t="s">
        <v>1</v>
      </c>
      <c r="AQ577" s="198" t="s">
        <v>1</v>
      </c>
      <c r="AR577" s="201" t="s">
        <v>1</v>
      </c>
      <c r="AS577" s="201" t="s">
        <v>1</v>
      </c>
      <c r="AT577" s="199" t="s">
        <v>1</v>
      </c>
      <c r="AU577" s="199" t="s">
        <v>1</v>
      </c>
      <c r="AV577" s="202" t="s">
        <v>1</v>
      </c>
      <c r="AW577" s="199" t="s">
        <v>1</v>
      </c>
    </row>
    <row r="578" spans="1:51" ht="30.15" customHeight="1" x14ac:dyDescent="0.25">
      <c r="A578" s="188" t="s">
        <v>18</v>
      </c>
      <c r="B578" s="188" t="s">
        <v>1</v>
      </c>
      <c r="C578" s="212" t="s">
        <v>34</v>
      </c>
      <c r="D578" s="190" t="s">
        <v>7</v>
      </c>
      <c r="E578" s="190" t="s">
        <v>898</v>
      </c>
      <c r="F578" s="191"/>
      <c r="G578" s="192" t="s">
        <v>899</v>
      </c>
      <c r="H578" s="192" t="s">
        <v>7</v>
      </c>
      <c r="I578" s="193">
        <v>629.99</v>
      </c>
      <c r="J578" s="193">
        <v>629.99</v>
      </c>
      <c r="K578" s="193">
        <v>629.99</v>
      </c>
      <c r="L578" s="193">
        <v>699.99</v>
      </c>
      <c r="M578" s="194">
        <v>699.99</v>
      </c>
      <c r="N578" s="195">
        <v>0</v>
      </c>
      <c r="O578" s="195" t="s">
        <v>1</v>
      </c>
      <c r="P578" s="195" t="s">
        <v>1</v>
      </c>
      <c r="Q578" s="195" t="s">
        <v>1</v>
      </c>
      <c r="R578" s="196" t="s">
        <v>1252</v>
      </c>
      <c r="S578" s="197">
        <v>0</v>
      </c>
      <c r="T578" s="197" t="s">
        <v>1</v>
      </c>
      <c r="U578" s="197" t="s">
        <v>1</v>
      </c>
      <c r="V578" s="197" t="s">
        <v>1</v>
      </c>
      <c r="W578" s="196" t="s">
        <v>1252</v>
      </c>
      <c r="X578" s="195">
        <v>0</v>
      </c>
      <c r="Y578" s="195" t="s">
        <v>1</v>
      </c>
      <c r="Z578" s="195" t="s">
        <v>1</v>
      </c>
      <c r="AA578" s="196" t="s">
        <v>1</v>
      </c>
      <c r="AB578" s="196" t="s">
        <v>1</v>
      </c>
      <c r="AC578" s="197">
        <v>0</v>
      </c>
      <c r="AD578" s="197" t="s">
        <v>1</v>
      </c>
      <c r="AE578" s="197" t="s">
        <v>1</v>
      </c>
      <c r="AF578" s="198" t="s">
        <v>1</v>
      </c>
      <c r="AG578" s="198" t="s">
        <v>1</v>
      </c>
      <c r="AH578" s="198" t="s">
        <v>1</v>
      </c>
      <c r="AI578" s="209" t="s">
        <v>1</v>
      </c>
      <c r="AJ578" s="209" t="s">
        <v>1</v>
      </c>
      <c r="AK578" s="243" t="s">
        <v>1</v>
      </c>
      <c r="AL578" s="222" t="s">
        <v>1</v>
      </c>
      <c r="AM578" s="200" t="s">
        <v>1</v>
      </c>
      <c r="AN578" s="199" t="s">
        <v>1</v>
      </c>
      <c r="AO578" s="199" t="s">
        <v>1</v>
      </c>
      <c r="AP578" s="198" t="s">
        <v>1</v>
      </c>
      <c r="AQ578" s="198" t="s">
        <v>1</v>
      </c>
      <c r="AR578" s="201" t="s">
        <v>1</v>
      </c>
      <c r="AS578" s="201" t="s">
        <v>1</v>
      </c>
      <c r="AT578" s="199" t="s">
        <v>1</v>
      </c>
      <c r="AU578" s="199" t="s">
        <v>1</v>
      </c>
      <c r="AV578" s="202" t="s">
        <v>1</v>
      </c>
      <c r="AW578" s="199" t="s">
        <v>1</v>
      </c>
    </row>
    <row r="579" spans="1:51" ht="30.15" customHeight="1" x14ac:dyDescent="0.25">
      <c r="A579" s="188" t="s">
        <v>18</v>
      </c>
      <c r="B579" s="189" t="s">
        <v>1</v>
      </c>
      <c r="C579" s="188" t="s">
        <v>35</v>
      </c>
      <c r="D579" s="190" t="s">
        <v>8</v>
      </c>
      <c r="E579" s="190" t="s">
        <v>12</v>
      </c>
      <c r="F579" s="203"/>
      <c r="G579" s="190" t="s">
        <v>32</v>
      </c>
      <c r="H579" s="192" t="s">
        <v>409</v>
      </c>
      <c r="I579" s="193">
        <v>175</v>
      </c>
      <c r="J579" s="193">
        <v>175</v>
      </c>
      <c r="K579" s="193">
        <v>175</v>
      </c>
      <c r="L579" s="193">
        <v>199.99</v>
      </c>
      <c r="M579" s="194">
        <v>199.99</v>
      </c>
      <c r="N579" s="195" t="s">
        <v>1</v>
      </c>
      <c r="O579" s="195" t="s">
        <v>1</v>
      </c>
      <c r="P579" s="195" t="s">
        <v>1</v>
      </c>
      <c r="Q579" s="195" t="s">
        <v>1</v>
      </c>
      <c r="R579" s="196" t="s">
        <v>1</v>
      </c>
      <c r="S579" s="197" t="s">
        <v>1</v>
      </c>
      <c r="T579" s="197" t="s">
        <v>1</v>
      </c>
      <c r="U579" s="197" t="s">
        <v>1</v>
      </c>
      <c r="V579" s="197" t="s">
        <v>1</v>
      </c>
      <c r="W579" s="196" t="s">
        <v>1</v>
      </c>
      <c r="X579" s="195" t="s">
        <v>1</v>
      </c>
      <c r="Y579" s="195" t="s">
        <v>1</v>
      </c>
      <c r="Z579" s="195" t="s">
        <v>1</v>
      </c>
      <c r="AA579" s="196" t="s">
        <v>1</v>
      </c>
      <c r="AB579" s="196" t="s">
        <v>1</v>
      </c>
      <c r="AC579" s="197" t="s">
        <v>1</v>
      </c>
      <c r="AD579" s="197" t="s">
        <v>1</v>
      </c>
      <c r="AE579" s="197" t="s">
        <v>1</v>
      </c>
      <c r="AF579" s="198" t="s">
        <v>1</v>
      </c>
      <c r="AG579" s="198" t="s">
        <v>1</v>
      </c>
      <c r="AH579" s="198" t="s">
        <v>1</v>
      </c>
      <c r="AI579" s="209" t="s">
        <v>1</v>
      </c>
      <c r="AJ579" s="209" t="s">
        <v>1</v>
      </c>
      <c r="AK579" s="243" t="s">
        <v>1</v>
      </c>
      <c r="AL579" s="222">
        <v>0</v>
      </c>
      <c r="AM579" s="200" t="s">
        <v>1</v>
      </c>
      <c r="AN579" s="199" t="s">
        <v>1</v>
      </c>
      <c r="AO579" s="199" t="s">
        <v>1</v>
      </c>
      <c r="AP579" s="198" t="s">
        <v>1</v>
      </c>
      <c r="AQ579" s="198" t="s">
        <v>1</v>
      </c>
      <c r="AR579" s="201" t="s">
        <v>1</v>
      </c>
      <c r="AS579" s="201" t="s">
        <v>1</v>
      </c>
      <c r="AT579" s="199" t="s">
        <v>1</v>
      </c>
      <c r="AU579" s="199" t="s">
        <v>1</v>
      </c>
      <c r="AV579" s="202" t="s">
        <v>1</v>
      </c>
      <c r="AW579" s="199" t="s">
        <v>1</v>
      </c>
    </row>
    <row r="580" spans="1:51" ht="30.15" customHeight="1" x14ac:dyDescent="0.25">
      <c r="A580" s="188" t="s">
        <v>18</v>
      </c>
      <c r="B580" s="189" t="s">
        <v>1</v>
      </c>
      <c r="C580" s="188" t="s">
        <v>35</v>
      </c>
      <c r="D580" s="190" t="s">
        <v>8</v>
      </c>
      <c r="E580" s="190" t="s">
        <v>42</v>
      </c>
      <c r="F580" s="203"/>
      <c r="G580" s="190" t="s">
        <v>32</v>
      </c>
      <c r="H580" s="192" t="s">
        <v>409</v>
      </c>
      <c r="I580" s="193">
        <v>175</v>
      </c>
      <c r="J580" s="193">
        <v>175</v>
      </c>
      <c r="K580" s="193">
        <v>175</v>
      </c>
      <c r="L580" s="193">
        <v>199.99</v>
      </c>
      <c r="M580" s="194">
        <v>199.99</v>
      </c>
      <c r="N580" s="195" t="s">
        <v>1</v>
      </c>
      <c r="O580" s="195" t="s">
        <v>1</v>
      </c>
      <c r="P580" s="195" t="s">
        <v>1</v>
      </c>
      <c r="Q580" s="195" t="s">
        <v>1</v>
      </c>
      <c r="R580" s="196" t="s">
        <v>1</v>
      </c>
      <c r="S580" s="197" t="s">
        <v>1</v>
      </c>
      <c r="T580" s="197" t="s">
        <v>1</v>
      </c>
      <c r="U580" s="197" t="s">
        <v>1</v>
      </c>
      <c r="V580" s="197" t="s">
        <v>1</v>
      </c>
      <c r="W580" s="196" t="s">
        <v>1</v>
      </c>
      <c r="X580" s="195" t="s">
        <v>1</v>
      </c>
      <c r="Y580" s="195" t="s">
        <v>1</v>
      </c>
      <c r="Z580" s="195" t="s">
        <v>1</v>
      </c>
      <c r="AA580" s="196" t="s">
        <v>1</v>
      </c>
      <c r="AB580" s="196" t="s">
        <v>1</v>
      </c>
      <c r="AC580" s="197" t="s">
        <v>1</v>
      </c>
      <c r="AD580" s="197" t="s">
        <v>1</v>
      </c>
      <c r="AE580" s="197" t="s">
        <v>1</v>
      </c>
      <c r="AF580" s="198" t="s">
        <v>1</v>
      </c>
      <c r="AG580" s="198" t="s">
        <v>1</v>
      </c>
      <c r="AH580" s="198" t="s">
        <v>1</v>
      </c>
      <c r="AI580" s="209" t="s">
        <v>1</v>
      </c>
      <c r="AJ580" s="209" t="s">
        <v>1</v>
      </c>
      <c r="AK580" s="243" t="s">
        <v>1</v>
      </c>
      <c r="AL580" s="222">
        <v>0</v>
      </c>
      <c r="AM580" s="200" t="s">
        <v>1</v>
      </c>
      <c r="AN580" s="199" t="s">
        <v>1</v>
      </c>
      <c r="AO580" s="199" t="s">
        <v>1</v>
      </c>
      <c r="AP580" s="198" t="s">
        <v>1</v>
      </c>
      <c r="AQ580" s="198" t="s">
        <v>1</v>
      </c>
      <c r="AR580" s="201" t="s">
        <v>1</v>
      </c>
      <c r="AS580" s="201" t="s">
        <v>1</v>
      </c>
      <c r="AT580" s="199" t="s">
        <v>1</v>
      </c>
      <c r="AU580" s="199" t="s">
        <v>1</v>
      </c>
      <c r="AV580" s="202" t="s">
        <v>1</v>
      </c>
      <c r="AW580" s="199" t="s">
        <v>1</v>
      </c>
    </row>
    <row r="581" spans="1:51" ht="30.15" customHeight="1" x14ac:dyDescent="0.25">
      <c r="A581" s="188" t="s">
        <v>18</v>
      </c>
      <c r="B581" s="189" t="s">
        <v>1</v>
      </c>
      <c r="C581" s="212" t="s">
        <v>34</v>
      </c>
      <c r="D581" s="190" t="s">
        <v>73</v>
      </c>
      <c r="E581" s="190" t="s">
        <v>489</v>
      </c>
      <c r="F581" s="203"/>
      <c r="G581" s="190" t="s">
        <v>488</v>
      </c>
      <c r="H581" s="192" t="s">
        <v>409</v>
      </c>
      <c r="I581" s="193">
        <v>449</v>
      </c>
      <c r="J581" s="193">
        <v>449</v>
      </c>
      <c r="K581" s="193">
        <v>449</v>
      </c>
      <c r="L581" s="193">
        <v>499</v>
      </c>
      <c r="M581" s="194">
        <v>499</v>
      </c>
      <c r="N581" s="195">
        <v>0</v>
      </c>
      <c r="O581" s="195" t="s">
        <v>1</v>
      </c>
      <c r="P581" s="195" t="s">
        <v>1</v>
      </c>
      <c r="Q581" s="195" t="s">
        <v>1</v>
      </c>
      <c r="R581" s="196" t="s">
        <v>1252</v>
      </c>
      <c r="S581" s="197">
        <v>0</v>
      </c>
      <c r="T581" s="197" t="s">
        <v>1</v>
      </c>
      <c r="U581" s="197" t="s">
        <v>1</v>
      </c>
      <c r="V581" s="197" t="s">
        <v>1</v>
      </c>
      <c r="W581" s="196" t="s">
        <v>1252</v>
      </c>
      <c r="X581" s="195">
        <v>0</v>
      </c>
      <c r="Y581" s="195" t="s">
        <v>1</v>
      </c>
      <c r="Z581" s="195" t="s">
        <v>1</v>
      </c>
      <c r="AA581" s="196" t="s">
        <v>1</v>
      </c>
      <c r="AB581" s="196" t="s">
        <v>1</v>
      </c>
      <c r="AC581" s="197">
        <v>0</v>
      </c>
      <c r="AD581" s="197" t="s">
        <v>1</v>
      </c>
      <c r="AE581" s="197" t="s">
        <v>1</v>
      </c>
      <c r="AF581" s="198" t="s">
        <v>1</v>
      </c>
      <c r="AG581" s="198" t="s">
        <v>1</v>
      </c>
      <c r="AH581" s="198">
        <v>0</v>
      </c>
      <c r="AI581" s="209" t="s">
        <v>1</v>
      </c>
      <c r="AJ581" s="209" t="s">
        <v>1</v>
      </c>
      <c r="AK581" s="243" t="s">
        <v>1252</v>
      </c>
      <c r="AL581" s="222" t="s">
        <v>1</v>
      </c>
      <c r="AM581" s="200" t="s">
        <v>1</v>
      </c>
      <c r="AN581" s="199" t="s">
        <v>1</v>
      </c>
      <c r="AO581" s="199" t="s">
        <v>1</v>
      </c>
      <c r="AP581" s="198" t="s">
        <v>1</v>
      </c>
      <c r="AQ581" s="198" t="s">
        <v>1</v>
      </c>
      <c r="AR581" s="201" t="s">
        <v>1</v>
      </c>
      <c r="AS581" s="201" t="s">
        <v>1</v>
      </c>
      <c r="AT581" s="199" t="s">
        <v>1</v>
      </c>
      <c r="AU581" s="199" t="s">
        <v>1</v>
      </c>
      <c r="AV581" s="202" t="s">
        <v>1</v>
      </c>
      <c r="AW581" s="199" t="s">
        <v>1</v>
      </c>
    </row>
    <row r="582" spans="1:51" ht="30.15" customHeight="1" x14ac:dyDescent="0.25">
      <c r="A582" s="188" t="s">
        <v>18</v>
      </c>
      <c r="B582" s="189" t="s">
        <v>1</v>
      </c>
      <c r="C582" s="212" t="s">
        <v>34</v>
      </c>
      <c r="D582" s="190" t="s">
        <v>73</v>
      </c>
      <c r="E582" s="190" t="s">
        <v>447</v>
      </c>
      <c r="F582" s="203"/>
      <c r="G582" s="190" t="s">
        <v>448</v>
      </c>
      <c r="H582" s="192" t="s">
        <v>409</v>
      </c>
      <c r="I582" s="193">
        <v>849</v>
      </c>
      <c r="J582" s="193">
        <v>849</v>
      </c>
      <c r="K582" s="193">
        <v>849</v>
      </c>
      <c r="L582" s="193">
        <v>899</v>
      </c>
      <c r="M582" s="194">
        <v>899</v>
      </c>
      <c r="N582" s="195">
        <v>0</v>
      </c>
      <c r="O582" s="195" t="s">
        <v>1</v>
      </c>
      <c r="P582" s="195" t="s">
        <v>1</v>
      </c>
      <c r="Q582" s="195" t="s">
        <v>1</v>
      </c>
      <c r="R582" s="196" t="s">
        <v>1253</v>
      </c>
      <c r="S582" s="197">
        <v>0</v>
      </c>
      <c r="T582" s="197" t="s">
        <v>1</v>
      </c>
      <c r="U582" s="197" t="s">
        <v>1</v>
      </c>
      <c r="V582" s="197" t="s">
        <v>1</v>
      </c>
      <c r="W582" s="196" t="s">
        <v>1253</v>
      </c>
      <c r="X582" s="195">
        <v>0</v>
      </c>
      <c r="Y582" s="195" t="s">
        <v>1</v>
      </c>
      <c r="Z582" s="195" t="s">
        <v>1</v>
      </c>
      <c r="AA582" s="196" t="s">
        <v>1</v>
      </c>
      <c r="AB582" s="196" t="s">
        <v>1</v>
      </c>
      <c r="AC582" s="197">
        <v>0</v>
      </c>
      <c r="AD582" s="197" t="s">
        <v>1</v>
      </c>
      <c r="AE582" s="197" t="s">
        <v>1</v>
      </c>
      <c r="AF582" s="198" t="s">
        <v>1</v>
      </c>
      <c r="AG582" s="198" t="s">
        <v>1</v>
      </c>
      <c r="AH582" s="198" t="s">
        <v>1</v>
      </c>
      <c r="AI582" s="209" t="s">
        <v>1</v>
      </c>
      <c r="AJ582" s="209" t="s">
        <v>1</v>
      </c>
      <c r="AK582" s="243" t="s">
        <v>1</v>
      </c>
      <c r="AL582" s="222" t="s">
        <v>1</v>
      </c>
      <c r="AM582" s="200" t="s">
        <v>1</v>
      </c>
      <c r="AN582" s="199" t="s">
        <v>1</v>
      </c>
      <c r="AO582" s="199" t="s">
        <v>1</v>
      </c>
      <c r="AP582" s="198" t="s">
        <v>1</v>
      </c>
      <c r="AQ582" s="198" t="s">
        <v>1</v>
      </c>
      <c r="AR582" s="201" t="s">
        <v>1</v>
      </c>
      <c r="AS582" s="201" t="s">
        <v>1</v>
      </c>
      <c r="AT582" s="199" t="s">
        <v>1</v>
      </c>
      <c r="AU582" s="199" t="s">
        <v>1</v>
      </c>
      <c r="AV582" s="202" t="s">
        <v>1</v>
      </c>
      <c r="AW582" s="199" t="s">
        <v>1</v>
      </c>
    </row>
    <row r="583" spans="1:51" ht="30.15" customHeight="1" x14ac:dyDescent="0.25">
      <c r="A583" s="188" t="s">
        <v>18</v>
      </c>
      <c r="B583" s="189" t="s">
        <v>1</v>
      </c>
      <c r="C583" s="212" t="s">
        <v>35</v>
      </c>
      <c r="D583" s="190" t="s">
        <v>11</v>
      </c>
      <c r="E583" s="190" t="s">
        <v>65</v>
      </c>
      <c r="F583" s="203"/>
      <c r="G583" s="190" t="s">
        <v>66</v>
      </c>
      <c r="H583" s="192" t="s">
        <v>409</v>
      </c>
      <c r="I583" s="193">
        <v>360</v>
      </c>
      <c r="J583" s="193">
        <v>360</v>
      </c>
      <c r="K583" s="193">
        <v>360</v>
      </c>
      <c r="L583" s="193">
        <v>359.99</v>
      </c>
      <c r="M583" s="194">
        <v>359.99</v>
      </c>
      <c r="N583" s="195" t="s">
        <v>1</v>
      </c>
      <c r="O583" s="195" t="s">
        <v>1</v>
      </c>
      <c r="P583" s="195" t="s">
        <v>1</v>
      </c>
      <c r="Q583" s="195" t="s">
        <v>1</v>
      </c>
      <c r="R583" s="196" t="s">
        <v>1</v>
      </c>
      <c r="S583" s="197" t="s">
        <v>1</v>
      </c>
      <c r="T583" s="197" t="s">
        <v>1</v>
      </c>
      <c r="U583" s="197" t="s">
        <v>1</v>
      </c>
      <c r="V583" s="197" t="s">
        <v>1</v>
      </c>
      <c r="W583" s="196" t="s">
        <v>1</v>
      </c>
      <c r="X583" s="195" t="s">
        <v>1</v>
      </c>
      <c r="Y583" s="195" t="s">
        <v>1</v>
      </c>
      <c r="Z583" s="195" t="s">
        <v>1</v>
      </c>
      <c r="AA583" s="196" t="s">
        <v>1</v>
      </c>
      <c r="AB583" s="196" t="s">
        <v>1</v>
      </c>
      <c r="AC583" s="197" t="s">
        <v>1</v>
      </c>
      <c r="AD583" s="197" t="s">
        <v>1</v>
      </c>
      <c r="AE583" s="197" t="s">
        <v>1</v>
      </c>
      <c r="AF583" s="198" t="s">
        <v>1</v>
      </c>
      <c r="AG583" s="198" t="s">
        <v>1</v>
      </c>
      <c r="AH583" s="198" t="s">
        <v>1</v>
      </c>
      <c r="AI583" s="209" t="s">
        <v>1</v>
      </c>
      <c r="AJ583" s="209" t="s">
        <v>1</v>
      </c>
      <c r="AK583" s="243" t="s">
        <v>1</v>
      </c>
      <c r="AL583" s="222">
        <v>0</v>
      </c>
      <c r="AM583" s="200" t="s">
        <v>1</v>
      </c>
      <c r="AN583" s="199" t="s">
        <v>1</v>
      </c>
      <c r="AO583" s="199">
        <v>120</v>
      </c>
      <c r="AP583" s="198" t="s">
        <v>1</v>
      </c>
      <c r="AQ583" s="198" t="s">
        <v>1</v>
      </c>
      <c r="AR583" s="201" t="s">
        <v>1</v>
      </c>
      <c r="AS583" s="201" t="s">
        <v>1</v>
      </c>
      <c r="AT583" s="199" t="s">
        <v>1</v>
      </c>
      <c r="AU583" s="199" t="s">
        <v>1</v>
      </c>
      <c r="AV583" s="202" t="s">
        <v>1</v>
      </c>
      <c r="AW583" s="199" t="s">
        <v>1</v>
      </c>
    </row>
    <row r="584" spans="1:51" ht="30.15" customHeight="1" x14ac:dyDescent="0.25">
      <c r="A584" s="188" t="s">
        <v>18</v>
      </c>
      <c r="B584" s="189" t="s">
        <v>1</v>
      </c>
      <c r="C584" s="212" t="s">
        <v>34</v>
      </c>
      <c r="D584" s="254" t="s">
        <v>1242</v>
      </c>
      <c r="E584" s="254" t="s">
        <v>1243</v>
      </c>
      <c r="F584" s="255"/>
      <c r="G584" s="254" t="s">
        <v>1245</v>
      </c>
      <c r="H584" s="192" t="s">
        <v>409</v>
      </c>
      <c r="I584" s="193">
        <v>673</v>
      </c>
      <c r="J584" s="193">
        <v>673</v>
      </c>
      <c r="K584" s="193">
        <v>673</v>
      </c>
      <c r="L584" s="256">
        <v>844</v>
      </c>
      <c r="M584" s="257">
        <v>844</v>
      </c>
      <c r="N584" s="195">
        <v>0</v>
      </c>
      <c r="O584" s="258">
        <v>5.17</v>
      </c>
      <c r="P584" s="195">
        <v>24</v>
      </c>
      <c r="Q584" s="195" t="s">
        <v>1</v>
      </c>
      <c r="R584" s="195" t="s">
        <v>1252</v>
      </c>
      <c r="S584" s="195">
        <v>0</v>
      </c>
      <c r="T584" s="258">
        <v>5.17</v>
      </c>
      <c r="U584" s="195">
        <v>24</v>
      </c>
      <c r="V584" s="195" t="s">
        <v>1</v>
      </c>
      <c r="W584" s="195" t="s">
        <v>1252</v>
      </c>
      <c r="X584" s="195">
        <v>0</v>
      </c>
      <c r="Y584" s="258">
        <v>5.17</v>
      </c>
      <c r="Z584" s="195">
        <v>24</v>
      </c>
      <c r="AA584" s="195" t="s">
        <v>1</v>
      </c>
      <c r="AB584" s="195" t="s">
        <v>1</v>
      </c>
      <c r="AC584" s="195">
        <v>0</v>
      </c>
      <c r="AD584" s="258">
        <v>5.17</v>
      </c>
      <c r="AE584" s="195">
        <v>24</v>
      </c>
      <c r="AF584" s="195" t="s">
        <v>1</v>
      </c>
      <c r="AG584" s="222" t="s">
        <v>1</v>
      </c>
      <c r="AH584" s="198" t="s">
        <v>1</v>
      </c>
      <c r="AI584" s="209" t="s">
        <v>1</v>
      </c>
      <c r="AJ584" s="209" t="s">
        <v>1</v>
      </c>
      <c r="AK584" s="243" t="s">
        <v>1</v>
      </c>
      <c r="AL584" s="222" t="s">
        <v>1</v>
      </c>
      <c r="AM584" s="200" t="s">
        <v>1</v>
      </c>
      <c r="AN584" s="199" t="s">
        <v>1</v>
      </c>
      <c r="AO584" s="199" t="s">
        <v>1</v>
      </c>
      <c r="AP584" s="198" t="s">
        <v>1</v>
      </c>
      <c r="AQ584" s="198" t="s">
        <v>1</v>
      </c>
      <c r="AR584" s="201" t="s">
        <v>1</v>
      </c>
      <c r="AS584" s="201" t="s">
        <v>1</v>
      </c>
      <c r="AT584" s="199" t="s">
        <v>1</v>
      </c>
      <c r="AU584" s="199" t="s">
        <v>1</v>
      </c>
      <c r="AV584" s="202" t="s">
        <v>1</v>
      </c>
      <c r="AW584" s="199" t="s">
        <v>1</v>
      </c>
    </row>
    <row r="585" spans="1:51" ht="30.15" customHeight="1" x14ac:dyDescent="0.25">
      <c r="A585" s="188" t="s">
        <v>18</v>
      </c>
      <c r="B585" s="189" t="s">
        <v>1</v>
      </c>
      <c r="C585" s="212" t="s">
        <v>34</v>
      </c>
      <c r="D585" s="254" t="s">
        <v>1242</v>
      </c>
      <c r="E585" s="254" t="s">
        <v>1244</v>
      </c>
      <c r="F585" s="255"/>
      <c r="G585" s="254" t="s">
        <v>1246</v>
      </c>
      <c r="H585" s="192" t="s">
        <v>409</v>
      </c>
      <c r="I585" s="193">
        <v>383</v>
      </c>
      <c r="J585" s="193">
        <v>383</v>
      </c>
      <c r="K585" s="193">
        <v>383</v>
      </c>
      <c r="L585" s="256">
        <v>460</v>
      </c>
      <c r="M585" s="257">
        <v>460</v>
      </c>
      <c r="N585" s="195">
        <v>0</v>
      </c>
      <c r="O585" s="258">
        <v>3.17</v>
      </c>
      <c r="P585" s="195">
        <v>24</v>
      </c>
      <c r="Q585" s="195" t="s">
        <v>1</v>
      </c>
      <c r="R585" s="195">
        <v>120</v>
      </c>
      <c r="S585" s="195">
        <v>0</v>
      </c>
      <c r="T585" s="258">
        <v>3.17</v>
      </c>
      <c r="U585" s="195">
        <v>24</v>
      </c>
      <c r="V585" s="195" t="s">
        <v>1</v>
      </c>
      <c r="W585" s="195">
        <v>120</v>
      </c>
      <c r="X585" s="195">
        <v>0</v>
      </c>
      <c r="Y585" s="258">
        <v>3.17</v>
      </c>
      <c r="Z585" s="195">
        <v>24</v>
      </c>
      <c r="AA585" s="195" t="s">
        <v>1</v>
      </c>
      <c r="AB585" s="195" t="s">
        <v>1</v>
      </c>
      <c r="AC585" s="195">
        <v>0</v>
      </c>
      <c r="AD585" s="258">
        <v>3.17</v>
      </c>
      <c r="AE585" s="195">
        <v>24</v>
      </c>
      <c r="AF585" s="195" t="s">
        <v>1</v>
      </c>
      <c r="AG585" s="222" t="s">
        <v>1</v>
      </c>
      <c r="AH585" s="198" t="s">
        <v>1</v>
      </c>
      <c r="AI585" s="209" t="s">
        <v>1</v>
      </c>
      <c r="AJ585" s="209" t="s">
        <v>1</v>
      </c>
      <c r="AK585" s="243" t="s">
        <v>1</v>
      </c>
      <c r="AL585" s="222" t="s">
        <v>1</v>
      </c>
      <c r="AM585" s="200" t="s">
        <v>1</v>
      </c>
      <c r="AN585" s="199" t="s">
        <v>1</v>
      </c>
      <c r="AO585" s="199" t="s">
        <v>1</v>
      </c>
      <c r="AP585" s="198" t="s">
        <v>1</v>
      </c>
      <c r="AQ585" s="198" t="s">
        <v>1</v>
      </c>
      <c r="AR585" s="201" t="s">
        <v>1</v>
      </c>
      <c r="AS585" s="201" t="s">
        <v>1</v>
      </c>
      <c r="AT585" s="199" t="s">
        <v>1</v>
      </c>
      <c r="AU585" s="199" t="s">
        <v>1</v>
      </c>
      <c r="AV585" s="202" t="s">
        <v>1</v>
      </c>
      <c r="AW585" s="199" t="s">
        <v>1</v>
      </c>
      <c r="AX585" s="275" t="s">
        <v>1299</v>
      </c>
      <c r="AY585" s="136" t="s">
        <v>1300</v>
      </c>
    </row>
    <row r="586" spans="1:51" ht="30.15" customHeight="1" x14ac:dyDescent="0.25">
      <c r="A586" s="188" t="s">
        <v>18</v>
      </c>
      <c r="B586" s="189" t="s">
        <v>1</v>
      </c>
      <c r="C586" s="212" t="s">
        <v>34</v>
      </c>
      <c r="D586" s="190" t="s">
        <v>9</v>
      </c>
      <c r="E586" s="190" t="s">
        <v>89</v>
      </c>
      <c r="F586" s="203"/>
      <c r="G586" s="190" t="s">
        <v>25</v>
      </c>
      <c r="H586" s="192" t="s">
        <v>409</v>
      </c>
      <c r="I586" s="193">
        <v>100</v>
      </c>
      <c r="J586" s="193">
        <v>100</v>
      </c>
      <c r="K586" s="193">
        <v>100</v>
      </c>
      <c r="L586" s="193">
        <v>39.99</v>
      </c>
      <c r="M586" s="194">
        <v>39.99</v>
      </c>
      <c r="N586" s="195" t="s">
        <v>1</v>
      </c>
      <c r="O586" s="195" t="s">
        <v>1</v>
      </c>
      <c r="P586" s="195" t="s">
        <v>1</v>
      </c>
      <c r="Q586" s="195" t="s">
        <v>1</v>
      </c>
      <c r="R586" s="196" t="s">
        <v>1</v>
      </c>
      <c r="S586" s="197" t="s">
        <v>1</v>
      </c>
      <c r="T586" s="197" t="s">
        <v>1</v>
      </c>
      <c r="U586" s="197" t="s">
        <v>1</v>
      </c>
      <c r="V586" s="197" t="s">
        <v>1</v>
      </c>
      <c r="W586" s="196" t="s">
        <v>1</v>
      </c>
      <c r="X586" s="195" t="s">
        <v>1</v>
      </c>
      <c r="Y586" s="195" t="s">
        <v>1</v>
      </c>
      <c r="Z586" s="195" t="s">
        <v>1</v>
      </c>
      <c r="AA586" s="196" t="s">
        <v>1</v>
      </c>
      <c r="AB586" s="196" t="s">
        <v>1</v>
      </c>
      <c r="AC586" s="197" t="s">
        <v>1</v>
      </c>
      <c r="AD586" s="197" t="s">
        <v>1</v>
      </c>
      <c r="AE586" s="197" t="s">
        <v>1</v>
      </c>
      <c r="AF586" s="198" t="s">
        <v>1</v>
      </c>
      <c r="AG586" s="198" t="s">
        <v>1</v>
      </c>
      <c r="AH586" s="198" t="s">
        <v>1</v>
      </c>
      <c r="AI586" s="209" t="s">
        <v>1</v>
      </c>
      <c r="AJ586" s="209" t="s">
        <v>1</v>
      </c>
      <c r="AK586" s="243" t="s">
        <v>1</v>
      </c>
      <c r="AL586" s="222" t="s">
        <v>1</v>
      </c>
      <c r="AM586" s="200" t="s">
        <v>1</v>
      </c>
      <c r="AN586" s="199" t="s">
        <v>1</v>
      </c>
      <c r="AO586" s="199" t="s">
        <v>1</v>
      </c>
      <c r="AP586" s="198" t="s">
        <v>1</v>
      </c>
      <c r="AQ586" s="198" t="s">
        <v>1</v>
      </c>
      <c r="AR586" s="201" t="s">
        <v>1</v>
      </c>
      <c r="AS586" s="201" t="s">
        <v>1</v>
      </c>
      <c r="AT586" s="198">
        <v>39.99</v>
      </c>
      <c r="AU586" s="199" t="s">
        <v>1</v>
      </c>
      <c r="AV586" s="202" t="s">
        <v>1</v>
      </c>
      <c r="AW586" s="199" t="s">
        <v>1</v>
      </c>
    </row>
    <row r="587" spans="1:51" ht="30.15" customHeight="1" x14ac:dyDescent="0.25">
      <c r="A587" s="188" t="s">
        <v>18</v>
      </c>
      <c r="B587" s="189" t="s">
        <v>1</v>
      </c>
      <c r="C587" s="212" t="s">
        <v>34</v>
      </c>
      <c r="D587" s="190" t="s">
        <v>9</v>
      </c>
      <c r="E587" s="190" t="s">
        <v>345</v>
      </c>
      <c r="F587" s="203"/>
      <c r="G587" s="190" t="s">
        <v>25</v>
      </c>
      <c r="H587" s="192" t="s">
        <v>409</v>
      </c>
      <c r="I587" s="193">
        <v>140</v>
      </c>
      <c r="J587" s="193">
        <v>140</v>
      </c>
      <c r="K587" s="193">
        <v>140</v>
      </c>
      <c r="L587" s="193">
        <v>120</v>
      </c>
      <c r="M587" s="194">
        <v>120</v>
      </c>
      <c r="N587" s="195" t="s">
        <v>1</v>
      </c>
      <c r="O587" s="195" t="s">
        <v>1</v>
      </c>
      <c r="P587" s="195" t="s">
        <v>1</v>
      </c>
      <c r="Q587" s="195" t="s">
        <v>1</v>
      </c>
      <c r="R587" s="196" t="s">
        <v>1</v>
      </c>
      <c r="S587" s="197" t="s">
        <v>1</v>
      </c>
      <c r="T587" s="197" t="s">
        <v>1</v>
      </c>
      <c r="U587" s="197" t="s">
        <v>1</v>
      </c>
      <c r="V587" s="197" t="s">
        <v>1</v>
      </c>
      <c r="W587" s="196" t="s">
        <v>1</v>
      </c>
      <c r="X587" s="195" t="s">
        <v>1</v>
      </c>
      <c r="Y587" s="195" t="s">
        <v>1</v>
      </c>
      <c r="Z587" s="195" t="s">
        <v>1</v>
      </c>
      <c r="AA587" s="196" t="s">
        <v>1</v>
      </c>
      <c r="AB587" s="196" t="s">
        <v>1</v>
      </c>
      <c r="AC587" s="197" t="s">
        <v>1</v>
      </c>
      <c r="AD587" s="197" t="s">
        <v>1</v>
      </c>
      <c r="AE587" s="197" t="s">
        <v>1</v>
      </c>
      <c r="AF587" s="198" t="s">
        <v>1</v>
      </c>
      <c r="AG587" s="198" t="s">
        <v>1</v>
      </c>
      <c r="AH587" s="198" t="s">
        <v>1</v>
      </c>
      <c r="AI587" s="209" t="s">
        <v>1</v>
      </c>
      <c r="AJ587" s="209" t="s">
        <v>1</v>
      </c>
      <c r="AK587" s="243" t="s">
        <v>1</v>
      </c>
      <c r="AL587" s="222" t="s">
        <v>1</v>
      </c>
      <c r="AM587" s="200" t="s">
        <v>1</v>
      </c>
      <c r="AN587" s="199" t="s">
        <v>1</v>
      </c>
      <c r="AO587" s="199" t="s">
        <v>1</v>
      </c>
      <c r="AP587" s="198" t="s">
        <v>1</v>
      </c>
      <c r="AQ587" s="198" t="s">
        <v>1</v>
      </c>
      <c r="AR587" s="201" t="s">
        <v>1</v>
      </c>
      <c r="AS587" s="201" t="s">
        <v>1</v>
      </c>
      <c r="AT587" s="198">
        <v>0</v>
      </c>
      <c r="AU587" s="200">
        <v>5</v>
      </c>
      <c r="AV587" s="222">
        <v>24</v>
      </c>
      <c r="AW587" s="198" t="s">
        <v>1</v>
      </c>
    </row>
    <row r="588" spans="1:51" ht="30.15" customHeight="1" x14ac:dyDescent="0.25">
      <c r="A588" s="249" t="s">
        <v>18</v>
      </c>
      <c r="B588" s="250" t="s">
        <v>1</v>
      </c>
      <c r="C588" s="251" t="s">
        <v>34</v>
      </c>
      <c r="D588" s="252" t="s">
        <v>9</v>
      </c>
      <c r="E588" s="252" t="s">
        <v>738</v>
      </c>
      <c r="F588" s="253"/>
      <c r="G588" s="252" t="s">
        <v>25</v>
      </c>
      <c r="H588" s="192" t="s">
        <v>409</v>
      </c>
      <c r="I588" s="193">
        <v>140</v>
      </c>
      <c r="J588" s="193">
        <v>140</v>
      </c>
      <c r="K588" s="193">
        <v>140</v>
      </c>
      <c r="L588" s="193">
        <v>120</v>
      </c>
      <c r="M588" s="194">
        <v>120</v>
      </c>
      <c r="N588" s="195" t="s">
        <v>1</v>
      </c>
      <c r="O588" s="195" t="s">
        <v>1</v>
      </c>
      <c r="P588" s="195" t="s">
        <v>1</v>
      </c>
      <c r="Q588" s="195" t="s">
        <v>1</v>
      </c>
      <c r="R588" s="196" t="s">
        <v>1</v>
      </c>
      <c r="S588" s="197" t="s">
        <v>1</v>
      </c>
      <c r="T588" s="197" t="s">
        <v>1</v>
      </c>
      <c r="U588" s="197" t="s">
        <v>1</v>
      </c>
      <c r="V588" s="197" t="s">
        <v>1</v>
      </c>
      <c r="W588" s="196" t="s">
        <v>1</v>
      </c>
      <c r="X588" s="195" t="s">
        <v>1</v>
      </c>
      <c r="Y588" s="195" t="s">
        <v>1</v>
      </c>
      <c r="Z588" s="195" t="s">
        <v>1</v>
      </c>
      <c r="AA588" s="196" t="s">
        <v>1</v>
      </c>
      <c r="AB588" s="196" t="s">
        <v>1</v>
      </c>
      <c r="AC588" s="197" t="s">
        <v>1</v>
      </c>
      <c r="AD588" s="197" t="s">
        <v>1</v>
      </c>
      <c r="AE588" s="197" t="s">
        <v>1</v>
      </c>
      <c r="AF588" s="198" t="s">
        <v>1</v>
      </c>
      <c r="AG588" s="198" t="s">
        <v>1</v>
      </c>
      <c r="AH588" s="198" t="s">
        <v>1</v>
      </c>
      <c r="AI588" s="209" t="s">
        <v>1</v>
      </c>
      <c r="AJ588" s="209" t="s">
        <v>1</v>
      </c>
      <c r="AK588" s="243" t="s">
        <v>1</v>
      </c>
      <c r="AL588" s="222" t="s">
        <v>1</v>
      </c>
      <c r="AM588" s="200" t="s">
        <v>1</v>
      </c>
      <c r="AN588" s="199" t="s">
        <v>1</v>
      </c>
      <c r="AO588" s="199" t="s">
        <v>1</v>
      </c>
      <c r="AP588" s="198" t="s">
        <v>1</v>
      </c>
      <c r="AQ588" s="198" t="s">
        <v>1</v>
      </c>
      <c r="AR588" s="201" t="s">
        <v>1</v>
      </c>
      <c r="AS588" s="201" t="s">
        <v>1</v>
      </c>
      <c r="AT588" s="198">
        <v>0</v>
      </c>
      <c r="AU588" s="200">
        <v>5</v>
      </c>
      <c r="AV588" s="222">
        <v>24</v>
      </c>
      <c r="AW588" s="198" t="s">
        <v>1</v>
      </c>
    </row>
    <row r="589" spans="1:51" ht="30.15" customHeight="1" x14ac:dyDescent="0.25">
      <c r="A589" s="249" t="s">
        <v>18</v>
      </c>
      <c r="B589" s="250" t="s">
        <v>1</v>
      </c>
      <c r="C589" s="249" t="s">
        <v>35</v>
      </c>
      <c r="D589" s="252" t="s">
        <v>9</v>
      </c>
      <c r="E589" s="252" t="s">
        <v>297</v>
      </c>
      <c r="F589" s="253"/>
      <c r="G589" s="252" t="s">
        <v>425</v>
      </c>
      <c r="H589" s="192" t="s">
        <v>424</v>
      </c>
      <c r="I589" s="193">
        <v>169</v>
      </c>
      <c r="J589" s="193">
        <v>169</v>
      </c>
      <c r="K589" s="193">
        <v>169</v>
      </c>
      <c r="L589" s="193">
        <v>199</v>
      </c>
      <c r="M589" s="194">
        <v>199</v>
      </c>
      <c r="N589" s="195" t="s">
        <v>1</v>
      </c>
      <c r="O589" s="195" t="s">
        <v>1</v>
      </c>
      <c r="P589" s="195" t="s">
        <v>1</v>
      </c>
      <c r="Q589" s="195" t="s">
        <v>1</v>
      </c>
      <c r="R589" s="196" t="s">
        <v>1</v>
      </c>
      <c r="S589" s="197" t="s">
        <v>1</v>
      </c>
      <c r="T589" s="197" t="s">
        <v>1</v>
      </c>
      <c r="U589" s="197" t="s">
        <v>1</v>
      </c>
      <c r="V589" s="197" t="s">
        <v>1</v>
      </c>
      <c r="W589" s="196" t="s">
        <v>1</v>
      </c>
      <c r="X589" s="195" t="s">
        <v>1</v>
      </c>
      <c r="Y589" s="195" t="s">
        <v>1</v>
      </c>
      <c r="Z589" s="195" t="s">
        <v>1</v>
      </c>
      <c r="AA589" s="196" t="s">
        <v>1</v>
      </c>
      <c r="AB589" s="196" t="s">
        <v>1</v>
      </c>
      <c r="AC589" s="197" t="s">
        <v>1</v>
      </c>
      <c r="AD589" s="197" t="s">
        <v>1</v>
      </c>
      <c r="AE589" s="197" t="s">
        <v>1</v>
      </c>
      <c r="AF589" s="198" t="s">
        <v>1</v>
      </c>
      <c r="AG589" s="198" t="s">
        <v>1</v>
      </c>
      <c r="AH589" s="198" t="s">
        <v>1</v>
      </c>
      <c r="AI589" s="209" t="s">
        <v>1</v>
      </c>
      <c r="AJ589" s="209" t="s">
        <v>1</v>
      </c>
      <c r="AK589" s="243" t="s">
        <v>1</v>
      </c>
      <c r="AL589" s="222">
        <v>0</v>
      </c>
      <c r="AM589" s="200" t="s">
        <v>1</v>
      </c>
      <c r="AN589" s="199" t="s">
        <v>1</v>
      </c>
      <c r="AO589" s="199" t="s">
        <v>1</v>
      </c>
      <c r="AP589" s="198" t="s">
        <v>1</v>
      </c>
      <c r="AQ589" s="198" t="s">
        <v>1</v>
      </c>
      <c r="AR589" s="201" t="s">
        <v>1</v>
      </c>
      <c r="AS589" s="201" t="s">
        <v>1</v>
      </c>
      <c r="AT589" s="199" t="s">
        <v>1</v>
      </c>
      <c r="AU589" s="199" t="s">
        <v>1</v>
      </c>
      <c r="AV589" s="202" t="s">
        <v>1</v>
      </c>
      <c r="AW589" s="199" t="s">
        <v>1</v>
      </c>
    </row>
    <row r="590" spans="1:51" ht="30.15" customHeight="1" x14ac:dyDescent="0.25">
      <c r="A590" s="249" t="s">
        <v>18</v>
      </c>
      <c r="B590" s="250" t="s">
        <v>1</v>
      </c>
      <c r="C590" s="249" t="s">
        <v>35</v>
      </c>
      <c r="D590" s="252" t="s">
        <v>9</v>
      </c>
      <c r="E590" s="252" t="s">
        <v>910</v>
      </c>
      <c r="F590" s="253"/>
      <c r="G590" s="252" t="s">
        <v>909</v>
      </c>
      <c r="H590" s="192" t="s">
        <v>421</v>
      </c>
      <c r="I590" s="193">
        <v>135</v>
      </c>
      <c r="J590" s="193">
        <v>135</v>
      </c>
      <c r="K590" s="193">
        <v>135</v>
      </c>
      <c r="L590" s="193">
        <v>180</v>
      </c>
      <c r="M590" s="194">
        <v>180</v>
      </c>
      <c r="N590" s="195" t="s">
        <v>1</v>
      </c>
      <c r="O590" s="195" t="s">
        <v>1</v>
      </c>
      <c r="P590" s="195" t="s">
        <v>1</v>
      </c>
      <c r="Q590" s="195" t="s">
        <v>1</v>
      </c>
      <c r="R590" s="196" t="s">
        <v>1</v>
      </c>
      <c r="S590" s="197" t="s">
        <v>1</v>
      </c>
      <c r="T590" s="197" t="s">
        <v>1</v>
      </c>
      <c r="U590" s="197" t="s">
        <v>1</v>
      </c>
      <c r="V590" s="197" t="s">
        <v>1</v>
      </c>
      <c r="W590" s="196" t="s">
        <v>1</v>
      </c>
      <c r="X590" s="195" t="s">
        <v>1</v>
      </c>
      <c r="Y590" s="195" t="s">
        <v>1</v>
      </c>
      <c r="Z590" s="195" t="s">
        <v>1</v>
      </c>
      <c r="AA590" s="196" t="s">
        <v>1</v>
      </c>
      <c r="AB590" s="196" t="s">
        <v>1</v>
      </c>
      <c r="AC590" s="197" t="s">
        <v>1</v>
      </c>
      <c r="AD590" s="197" t="s">
        <v>1</v>
      </c>
      <c r="AE590" s="197" t="s">
        <v>1</v>
      </c>
      <c r="AF590" s="198" t="s">
        <v>1</v>
      </c>
      <c r="AG590" s="198" t="s">
        <v>1</v>
      </c>
      <c r="AH590" s="198" t="s">
        <v>1</v>
      </c>
      <c r="AI590" s="209" t="s">
        <v>1</v>
      </c>
      <c r="AJ590" s="209" t="s">
        <v>1</v>
      </c>
      <c r="AK590" s="243" t="s">
        <v>1</v>
      </c>
      <c r="AL590" s="222">
        <v>0</v>
      </c>
      <c r="AM590" s="200">
        <v>7.5</v>
      </c>
      <c r="AN590" s="195">
        <v>24</v>
      </c>
      <c r="AO590" s="222" t="s">
        <v>1</v>
      </c>
      <c r="AP590" s="198" t="s">
        <v>1</v>
      </c>
      <c r="AQ590" s="198" t="s">
        <v>1</v>
      </c>
      <c r="AR590" s="201" t="s">
        <v>1</v>
      </c>
      <c r="AS590" s="201" t="s">
        <v>1</v>
      </c>
      <c r="AT590" s="199" t="s">
        <v>1</v>
      </c>
      <c r="AU590" s="199" t="s">
        <v>1</v>
      </c>
      <c r="AV590" s="202" t="s">
        <v>1</v>
      </c>
      <c r="AW590" s="199" t="s">
        <v>1</v>
      </c>
    </row>
    <row r="591" spans="1:51" ht="30.15" customHeight="1" x14ac:dyDescent="0.25">
      <c r="A591" s="249" t="s">
        <v>18</v>
      </c>
      <c r="B591" s="250" t="s">
        <v>1</v>
      </c>
      <c r="C591" s="249" t="s">
        <v>35</v>
      </c>
      <c r="D591" s="252" t="s">
        <v>9</v>
      </c>
      <c r="E591" s="252" t="s">
        <v>930</v>
      </c>
      <c r="F591" s="253"/>
      <c r="G591" s="252" t="s">
        <v>931</v>
      </c>
      <c r="H591" s="192" t="s">
        <v>409</v>
      </c>
      <c r="I591" s="193">
        <v>120</v>
      </c>
      <c r="J591" s="193">
        <v>120</v>
      </c>
      <c r="K591" s="193">
        <v>120</v>
      </c>
      <c r="L591" s="193">
        <v>180</v>
      </c>
      <c r="M591" s="194">
        <v>180</v>
      </c>
      <c r="N591" s="195" t="s">
        <v>1</v>
      </c>
      <c r="O591" s="195" t="s">
        <v>1</v>
      </c>
      <c r="P591" s="195" t="s">
        <v>1</v>
      </c>
      <c r="Q591" s="195" t="s">
        <v>1</v>
      </c>
      <c r="R591" s="196" t="s">
        <v>1</v>
      </c>
      <c r="S591" s="197" t="s">
        <v>1</v>
      </c>
      <c r="T591" s="197" t="s">
        <v>1</v>
      </c>
      <c r="U591" s="197" t="s">
        <v>1</v>
      </c>
      <c r="V591" s="197" t="s">
        <v>1</v>
      </c>
      <c r="W591" s="196" t="s">
        <v>1</v>
      </c>
      <c r="X591" s="195" t="s">
        <v>1</v>
      </c>
      <c r="Y591" s="195" t="s">
        <v>1</v>
      </c>
      <c r="Z591" s="195" t="s">
        <v>1</v>
      </c>
      <c r="AA591" s="196" t="s">
        <v>1</v>
      </c>
      <c r="AB591" s="196" t="s">
        <v>1</v>
      </c>
      <c r="AC591" s="197" t="s">
        <v>1</v>
      </c>
      <c r="AD591" s="197" t="s">
        <v>1</v>
      </c>
      <c r="AE591" s="197" t="s">
        <v>1</v>
      </c>
      <c r="AF591" s="198" t="s">
        <v>1</v>
      </c>
      <c r="AG591" s="198" t="s">
        <v>1</v>
      </c>
      <c r="AH591" s="198" t="s">
        <v>1</v>
      </c>
      <c r="AI591" s="209" t="s">
        <v>1</v>
      </c>
      <c r="AJ591" s="209" t="s">
        <v>1</v>
      </c>
      <c r="AK591" s="243" t="s">
        <v>1</v>
      </c>
      <c r="AL591" s="222">
        <v>0</v>
      </c>
      <c r="AM591" s="200">
        <v>7.5</v>
      </c>
      <c r="AN591" s="222">
        <v>24</v>
      </c>
      <c r="AO591" s="222" t="s">
        <v>1</v>
      </c>
      <c r="AP591" s="198" t="s">
        <v>1</v>
      </c>
      <c r="AQ591" s="198" t="s">
        <v>1</v>
      </c>
      <c r="AR591" s="201" t="s">
        <v>1</v>
      </c>
      <c r="AS591" s="201" t="s">
        <v>1</v>
      </c>
      <c r="AT591" s="199" t="s">
        <v>1</v>
      </c>
      <c r="AU591" s="199" t="s">
        <v>1</v>
      </c>
      <c r="AV591" s="202" t="s">
        <v>1</v>
      </c>
      <c r="AW591" s="199" t="s">
        <v>1</v>
      </c>
    </row>
    <row r="592" spans="1:51" ht="30.15" customHeight="1" x14ac:dyDescent="0.25">
      <c r="A592" s="188" t="s">
        <v>18</v>
      </c>
      <c r="B592" s="189" t="s">
        <v>1</v>
      </c>
      <c r="C592" s="188" t="s">
        <v>35</v>
      </c>
      <c r="D592" s="190" t="s">
        <v>9</v>
      </c>
      <c r="E592" s="190" t="s">
        <v>106</v>
      </c>
      <c r="F592" s="203"/>
      <c r="G592" s="190" t="s">
        <v>107</v>
      </c>
      <c r="H592" s="192" t="s">
        <v>409</v>
      </c>
      <c r="I592" s="193">
        <v>235</v>
      </c>
      <c r="J592" s="193">
        <v>235</v>
      </c>
      <c r="K592" s="193">
        <v>235</v>
      </c>
      <c r="L592" s="193">
        <v>239.99</v>
      </c>
      <c r="M592" s="194">
        <v>239.99</v>
      </c>
      <c r="N592" s="195" t="s">
        <v>1</v>
      </c>
      <c r="O592" s="195" t="s">
        <v>1</v>
      </c>
      <c r="P592" s="195" t="s">
        <v>1</v>
      </c>
      <c r="Q592" s="195" t="s">
        <v>1</v>
      </c>
      <c r="R592" s="196" t="s">
        <v>1</v>
      </c>
      <c r="S592" s="197" t="s">
        <v>1</v>
      </c>
      <c r="T592" s="197" t="s">
        <v>1</v>
      </c>
      <c r="U592" s="197" t="s">
        <v>1</v>
      </c>
      <c r="V592" s="197" t="s">
        <v>1</v>
      </c>
      <c r="W592" s="196" t="s">
        <v>1</v>
      </c>
      <c r="X592" s="195" t="s">
        <v>1</v>
      </c>
      <c r="Y592" s="195" t="s">
        <v>1</v>
      </c>
      <c r="Z592" s="195" t="s">
        <v>1</v>
      </c>
      <c r="AA592" s="196" t="s">
        <v>1</v>
      </c>
      <c r="AB592" s="196" t="s">
        <v>1</v>
      </c>
      <c r="AC592" s="197" t="s">
        <v>1</v>
      </c>
      <c r="AD592" s="197" t="s">
        <v>1</v>
      </c>
      <c r="AE592" s="197" t="s">
        <v>1</v>
      </c>
      <c r="AF592" s="198" t="s">
        <v>1</v>
      </c>
      <c r="AG592" s="198" t="s">
        <v>1</v>
      </c>
      <c r="AH592" s="198" t="s">
        <v>1</v>
      </c>
      <c r="AI592" s="209" t="s">
        <v>1</v>
      </c>
      <c r="AJ592" s="209" t="s">
        <v>1</v>
      </c>
      <c r="AK592" s="243" t="s">
        <v>1</v>
      </c>
      <c r="AL592" s="222">
        <v>0</v>
      </c>
      <c r="AM592" s="200" t="s">
        <v>1</v>
      </c>
      <c r="AN592" s="199" t="s">
        <v>1</v>
      </c>
      <c r="AO592" s="199" t="s">
        <v>1</v>
      </c>
      <c r="AP592" s="198" t="s">
        <v>1</v>
      </c>
      <c r="AQ592" s="198" t="s">
        <v>1</v>
      </c>
      <c r="AR592" s="201" t="s">
        <v>1</v>
      </c>
      <c r="AS592" s="201" t="s">
        <v>1</v>
      </c>
      <c r="AT592" s="199" t="s">
        <v>1</v>
      </c>
      <c r="AU592" s="199" t="s">
        <v>1</v>
      </c>
      <c r="AV592" s="202" t="s">
        <v>1</v>
      </c>
      <c r="AW592" s="199" t="s">
        <v>1</v>
      </c>
    </row>
    <row r="593" spans="1:49" ht="30.15" customHeight="1" x14ac:dyDescent="0.25">
      <c r="A593" s="188" t="s">
        <v>18</v>
      </c>
      <c r="B593" s="189" t="s">
        <v>1</v>
      </c>
      <c r="C593" s="188" t="s">
        <v>35</v>
      </c>
      <c r="D593" s="190" t="s">
        <v>9</v>
      </c>
      <c r="E593" s="190" t="s">
        <v>542</v>
      </c>
      <c r="F593" s="203"/>
      <c r="G593" s="190" t="s">
        <v>543</v>
      </c>
      <c r="H593" s="192" t="s">
        <v>409</v>
      </c>
      <c r="I593" s="193">
        <v>250</v>
      </c>
      <c r="J593" s="193">
        <v>250</v>
      </c>
      <c r="K593" s="193">
        <v>250</v>
      </c>
      <c r="L593" s="193">
        <v>259</v>
      </c>
      <c r="M593" s="194">
        <v>259</v>
      </c>
      <c r="N593" s="195" t="s">
        <v>1</v>
      </c>
      <c r="O593" s="195" t="s">
        <v>1</v>
      </c>
      <c r="P593" s="195" t="s">
        <v>1</v>
      </c>
      <c r="Q593" s="195" t="s">
        <v>1</v>
      </c>
      <c r="R593" s="196" t="s">
        <v>1</v>
      </c>
      <c r="S593" s="197" t="s">
        <v>1</v>
      </c>
      <c r="T593" s="197" t="s">
        <v>1</v>
      </c>
      <c r="U593" s="197" t="s">
        <v>1</v>
      </c>
      <c r="V593" s="197" t="s">
        <v>1</v>
      </c>
      <c r="W593" s="196" t="s">
        <v>1</v>
      </c>
      <c r="X593" s="195" t="s">
        <v>1</v>
      </c>
      <c r="Y593" s="195" t="s">
        <v>1</v>
      </c>
      <c r="Z593" s="195" t="s">
        <v>1</v>
      </c>
      <c r="AA593" s="196" t="s">
        <v>1</v>
      </c>
      <c r="AB593" s="196" t="s">
        <v>1</v>
      </c>
      <c r="AC593" s="197" t="s">
        <v>1</v>
      </c>
      <c r="AD593" s="197" t="s">
        <v>1</v>
      </c>
      <c r="AE593" s="197" t="s">
        <v>1</v>
      </c>
      <c r="AF593" s="198" t="s">
        <v>1</v>
      </c>
      <c r="AG593" s="198" t="s">
        <v>1</v>
      </c>
      <c r="AH593" s="198" t="s">
        <v>1</v>
      </c>
      <c r="AI593" s="209" t="s">
        <v>1</v>
      </c>
      <c r="AJ593" s="209" t="s">
        <v>1</v>
      </c>
      <c r="AK593" s="243" t="s">
        <v>1</v>
      </c>
      <c r="AL593" s="222">
        <v>0</v>
      </c>
      <c r="AM593" s="200" t="s">
        <v>1</v>
      </c>
      <c r="AN593" s="199" t="s">
        <v>1</v>
      </c>
      <c r="AO593" s="199">
        <v>120</v>
      </c>
      <c r="AP593" s="198" t="s">
        <v>1</v>
      </c>
      <c r="AQ593" s="198" t="s">
        <v>1</v>
      </c>
      <c r="AR593" s="201" t="s">
        <v>1</v>
      </c>
      <c r="AS593" s="201" t="s">
        <v>1</v>
      </c>
      <c r="AT593" s="199" t="s">
        <v>1</v>
      </c>
      <c r="AU593" s="199" t="s">
        <v>1</v>
      </c>
      <c r="AV593" s="202" t="s">
        <v>1</v>
      </c>
      <c r="AW593" s="199" t="s">
        <v>1</v>
      </c>
    </row>
    <row r="594" spans="1:49" ht="30.15" customHeight="1" x14ac:dyDescent="0.25">
      <c r="A594" s="188" t="s">
        <v>18</v>
      </c>
      <c r="B594" s="189" t="s">
        <v>1</v>
      </c>
      <c r="C594" s="188" t="s">
        <v>35</v>
      </c>
      <c r="D594" s="190" t="s">
        <v>9</v>
      </c>
      <c r="E594" s="252" t="s">
        <v>108</v>
      </c>
      <c r="F594" s="253"/>
      <c r="G594" s="190" t="s">
        <v>109</v>
      </c>
      <c r="H594" s="192" t="s">
        <v>409</v>
      </c>
      <c r="I594" s="193">
        <v>175</v>
      </c>
      <c r="J594" s="193">
        <v>175</v>
      </c>
      <c r="K594" s="193">
        <v>175</v>
      </c>
      <c r="L594" s="193">
        <v>199.99</v>
      </c>
      <c r="M594" s="194">
        <v>199.99</v>
      </c>
      <c r="N594" s="195" t="s">
        <v>1</v>
      </c>
      <c r="O594" s="195" t="s">
        <v>1</v>
      </c>
      <c r="P594" s="195" t="s">
        <v>1</v>
      </c>
      <c r="Q594" s="195" t="s">
        <v>1</v>
      </c>
      <c r="R594" s="196" t="s">
        <v>1</v>
      </c>
      <c r="S594" s="197" t="s">
        <v>1</v>
      </c>
      <c r="T594" s="197" t="s">
        <v>1</v>
      </c>
      <c r="U594" s="197" t="s">
        <v>1</v>
      </c>
      <c r="V594" s="197" t="s">
        <v>1</v>
      </c>
      <c r="W594" s="196" t="s">
        <v>1</v>
      </c>
      <c r="X594" s="195" t="s">
        <v>1</v>
      </c>
      <c r="Y594" s="195" t="s">
        <v>1</v>
      </c>
      <c r="Z594" s="195" t="s">
        <v>1</v>
      </c>
      <c r="AA594" s="196" t="s">
        <v>1</v>
      </c>
      <c r="AB594" s="196" t="s">
        <v>1</v>
      </c>
      <c r="AC594" s="197" t="s">
        <v>1</v>
      </c>
      <c r="AD594" s="197" t="s">
        <v>1</v>
      </c>
      <c r="AE594" s="197" t="s">
        <v>1</v>
      </c>
      <c r="AF594" s="198" t="s">
        <v>1</v>
      </c>
      <c r="AG594" s="198" t="s">
        <v>1</v>
      </c>
      <c r="AH594" s="198" t="s">
        <v>1</v>
      </c>
      <c r="AI594" s="209" t="s">
        <v>1</v>
      </c>
      <c r="AJ594" s="209" t="s">
        <v>1</v>
      </c>
      <c r="AK594" s="243" t="s">
        <v>1</v>
      </c>
      <c r="AL594" s="222">
        <v>0</v>
      </c>
      <c r="AM594" s="200" t="s">
        <v>1</v>
      </c>
      <c r="AN594" s="199" t="s">
        <v>1</v>
      </c>
      <c r="AO594" s="199" t="s">
        <v>1</v>
      </c>
      <c r="AP594" s="198" t="s">
        <v>1</v>
      </c>
      <c r="AQ594" s="198" t="s">
        <v>1</v>
      </c>
      <c r="AR594" s="201" t="s">
        <v>1</v>
      </c>
      <c r="AS594" s="201" t="s">
        <v>1</v>
      </c>
      <c r="AT594" s="199" t="s">
        <v>1</v>
      </c>
      <c r="AU594" s="199" t="s">
        <v>1</v>
      </c>
      <c r="AV594" s="202" t="s">
        <v>1</v>
      </c>
      <c r="AW594" s="199" t="s">
        <v>1</v>
      </c>
    </row>
    <row r="595" spans="1:49" ht="30.15" customHeight="1" x14ac:dyDescent="0.25">
      <c r="A595" s="188" t="s">
        <v>18</v>
      </c>
      <c r="B595" s="189" t="s">
        <v>1</v>
      </c>
      <c r="C595" s="188" t="s">
        <v>35</v>
      </c>
      <c r="D595" s="190" t="s">
        <v>9</v>
      </c>
      <c r="E595" s="190" t="s">
        <v>141</v>
      </c>
      <c r="F595" s="203"/>
      <c r="G595" s="190" t="s">
        <v>142</v>
      </c>
      <c r="H595" s="192" t="s">
        <v>409</v>
      </c>
      <c r="I595" s="193">
        <v>640</v>
      </c>
      <c r="J595" s="193">
        <v>640</v>
      </c>
      <c r="K595" s="193">
        <v>640</v>
      </c>
      <c r="L595" s="193">
        <v>650</v>
      </c>
      <c r="M595" s="194">
        <v>650</v>
      </c>
      <c r="N595" s="195" t="s">
        <v>1</v>
      </c>
      <c r="O595" s="195" t="s">
        <v>1</v>
      </c>
      <c r="P595" s="195" t="s">
        <v>1</v>
      </c>
      <c r="Q595" s="195" t="s">
        <v>1</v>
      </c>
      <c r="R595" s="196" t="s">
        <v>1</v>
      </c>
      <c r="S595" s="197" t="s">
        <v>1</v>
      </c>
      <c r="T595" s="197" t="s">
        <v>1</v>
      </c>
      <c r="U595" s="197" t="s">
        <v>1</v>
      </c>
      <c r="V595" s="197" t="s">
        <v>1</v>
      </c>
      <c r="W595" s="196" t="s">
        <v>1</v>
      </c>
      <c r="X595" s="195" t="s">
        <v>1</v>
      </c>
      <c r="Y595" s="195" t="s">
        <v>1</v>
      </c>
      <c r="Z595" s="195" t="s">
        <v>1</v>
      </c>
      <c r="AA595" s="196" t="s">
        <v>1</v>
      </c>
      <c r="AB595" s="196" t="s">
        <v>1</v>
      </c>
      <c r="AC595" s="197" t="s">
        <v>1</v>
      </c>
      <c r="AD595" s="197" t="s">
        <v>1</v>
      </c>
      <c r="AE595" s="197" t="s">
        <v>1</v>
      </c>
      <c r="AF595" s="198" t="s">
        <v>1</v>
      </c>
      <c r="AG595" s="198" t="s">
        <v>1</v>
      </c>
      <c r="AH595" s="198" t="s">
        <v>1</v>
      </c>
      <c r="AI595" s="209" t="s">
        <v>1</v>
      </c>
      <c r="AJ595" s="209" t="s">
        <v>1</v>
      </c>
      <c r="AK595" s="243" t="s">
        <v>1</v>
      </c>
      <c r="AL595" s="222">
        <v>0</v>
      </c>
      <c r="AM595" s="200" t="s">
        <v>1</v>
      </c>
      <c r="AN595" s="199" t="s">
        <v>1</v>
      </c>
      <c r="AO595" s="199" t="s">
        <v>1252</v>
      </c>
      <c r="AP595" s="198" t="s">
        <v>1</v>
      </c>
      <c r="AQ595" s="198" t="s">
        <v>1</v>
      </c>
      <c r="AR595" s="201" t="s">
        <v>1</v>
      </c>
      <c r="AS595" s="201" t="s">
        <v>1</v>
      </c>
      <c r="AT595" s="199" t="s">
        <v>1</v>
      </c>
      <c r="AU595" s="199" t="s">
        <v>1</v>
      </c>
      <c r="AV595" s="202" t="s">
        <v>1</v>
      </c>
      <c r="AW595" s="199" t="s">
        <v>1</v>
      </c>
    </row>
    <row r="596" spans="1:49" ht="15" x14ac:dyDescent="0.25">
      <c r="E596" s="166"/>
      <c r="F596" s="166"/>
      <c r="I596" s="134"/>
      <c r="J596" s="134"/>
      <c r="K596" s="134"/>
      <c r="L596" s="134"/>
      <c r="M596" s="134"/>
      <c r="N596" s="134"/>
      <c r="O596" s="147"/>
      <c r="P596" s="148"/>
      <c r="Q596" s="159"/>
      <c r="R596" s="159"/>
      <c r="S596" s="134"/>
      <c r="T596" s="147"/>
      <c r="U596" s="148"/>
      <c r="V596" s="159"/>
      <c r="W596" s="159"/>
      <c r="AW596" s="131"/>
    </row>
    <row r="597" spans="1:49" ht="21" x14ac:dyDescent="0.25">
      <c r="A597" s="91" t="s">
        <v>2</v>
      </c>
      <c r="B597" s="91"/>
      <c r="C597" s="91"/>
      <c r="E597" s="166"/>
      <c r="F597" s="166"/>
      <c r="G597" s="92"/>
      <c r="H597" s="92"/>
      <c r="I597" s="91"/>
      <c r="J597" s="91"/>
      <c r="K597" s="91"/>
      <c r="L597" s="91" t="s">
        <v>10</v>
      </c>
      <c r="M597" s="91"/>
      <c r="N597" s="91"/>
      <c r="O597" s="149"/>
      <c r="P597" s="150"/>
      <c r="Q597" s="160"/>
      <c r="R597" s="160"/>
      <c r="S597" s="91"/>
      <c r="T597" s="149"/>
      <c r="U597" s="150"/>
      <c r="V597" s="160"/>
      <c r="W597" s="160"/>
      <c r="AW597" s="131"/>
    </row>
    <row r="598" spans="1:49" ht="15" x14ac:dyDescent="0.25">
      <c r="A598" s="93"/>
      <c r="B598" s="93"/>
      <c r="C598" s="93"/>
      <c r="D598" s="64"/>
      <c r="E598" s="166"/>
      <c r="F598" s="166"/>
      <c r="G598" s="93"/>
      <c r="H598" s="93"/>
      <c r="I598" s="64"/>
      <c r="J598" s="64"/>
      <c r="K598" s="64"/>
      <c r="L598" s="64"/>
      <c r="M598" s="64"/>
      <c r="N598" s="64"/>
      <c r="O598" s="151"/>
      <c r="P598" s="152"/>
      <c r="Q598" s="161"/>
      <c r="R598" s="161"/>
      <c r="S598" s="64"/>
      <c r="T598" s="151"/>
      <c r="U598" s="152"/>
      <c r="V598" s="161"/>
      <c r="W598" s="161"/>
      <c r="AW598" s="131"/>
    </row>
    <row r="599" spans="1:49" ht="15" x14ac:dyDescent="0.25">
      <c r="A599" s="94" t="s">
        <v>41</v>
      </c>
      <c r="B599" s="94"/>
      <c r="C599" s="94"/>
      <c r="D599" s="64"/>
      <c r="E599" s="166"/>
      <c r="F599" s="166"/>
      <c r="I599" s="95"/>
      <c r="J599" s="95"/>
      <c r="K599" s="95"/>
      <c r="L599" s="95" t="s">
        <v>19</v>
      </c>
      <c r="M599" s="95"/>
      <c r="N599" s="95"/>
      <c r="O599" s="153"/>
      <c r="P599" s="154"/>
      <c r="Q599" s="162"/>
      <c r="R599" s="162"/>
      <c r="S599" s="95"/>
      <c r="T599" s="153"/>
      <c r="U599" s="154"/>
      <c r="V599" s="162"/>
      <c r="W599" s="162"/>
      <c r="AW599" s="131"/>
    </row>
    <row r="600" spans="1:49" ht="15" x14ac:dyDescent="0.25">
      <c r="A600" s="94" t="s">
        <v>21</v>
      </c>
      <c r="B600" s="94"/>
      <c r="C600" s="94"/>
      <c r="D600" s="64"/>
      <c r="E600" s="166"/>
      <c r="F600" s="166"/>
      <c r="G600" s="96"/>
      <c r="H600" s="96"/>
      <c r="I600" s="95"/>
      <c r="J600" s="95"/>
      <c r="K600" s="95"/>
      <c r="L600" s="95" t="s">
        <v>22</v>
      </c>
      <c r="M600" s="95"/>
      <c r="N600" s="95"/>
      <c r="O600" s="153"/>
      <c r="P600" s="154"/>
      <c r="Q600" s="162"/>
      <c r="R600" s="162"/>
      <c r="S600" s="95"/>
      <c r="T600" s="153"/>
      <c r="U600" s="154"/>
      <c r="V600" s="162"/>
      <c r="W600" s="162"/>
      <c r="AW600" s="131"/>
    </row>
    <row r="601" spans="1:49" ht="15" x14ac:dyDescent="0.25">
      <c r="A601" s="94"/>
      <c r="D601" s="64"/>
      <c r="E601" s="166"/>
      <c r="F601" s="166"/>
      <c r="G601" s="94"/>
      <c r="H601" s="94"/>
      <c r="I601" s="64"/>
      <c r="J601" s="64"/>
      <c r="K601" s="64"/>
      <c r="L601" s="95"/>
      <c r="M601" s="95"/>
      <c r="N601" s="95"/>
      <c r="O601" s="153"/>
      <c r="P601" s="154"/>
      <c r="Q601" s="162"/>
      <c r="R601" s="162"/>
      <c r="S601" s="95"/>
      <c r="T601" s="153"/>
      <c r="U601" s="154"/>
      <c r="V601" s="162"/>
      <c r="W601" s="162"/>
      <c r="AW601" s="131"/>
    </row>
    <row r="602" spans="1:49" ht="15" x14ac:dyDescent="0.25">
      <c r="E602" s="166"/>
      <c r="F602" s="166"/>
      <c r="AW602" s="131"/>
    </row>
    <row r="603" spans="1:49" ht="15" x14ac:dyDescent="0.25">
      <c r="E603" s="166"/>
      <c r="F603" s="166"/>
      <c r="AW603" s="131"/>
    </row>
    <row r="604" spans="1:49" ht="15" x14ac:dyDescent="0.25">
      <c r="E604" s="166"/>
      <c r="F604" s="166"/>
      <c r="AW604" s="131"/>
    </row>
    <row r="605" spans="1:49" ht="15" x14ac:dyDescent="0.25">
      <c r="E605" s="166"/>
      <c r="F605" s="166"/>
      <c r="AW605" s="131"/>
    </row>
    <row r="606" spans="1:49" ht="15" x14ac:dyDescent="0.25">
      <c r="E606" s="166"/>
      <c r="F606" s="166"/>
      <c r="AW606" s="131"/>
    </row>
    <row r="607" spans="1:49" ht="15" x14ac:dyDescent="0.25">
      <c r="E607" s="166"/>
      <c r="F607" s="166"/>
      <c r="AW607" s="131"/>
    </row>
    <row r="608" spans="1:49" ht="15" x14ac:dyDescent="0.25">
      <c r="E608" s="166"/>
      <c r="F608" s="166"/>
      <c r="AW608" s="131"/>
    </row>
    <row r="609" spans="5:49" ht="15" x14ac:dyDescent="0.25">
      <c r="E609" s="166"/>
      <c r="F609" s="166"/>
      <c r="AW609" s="131"/>
    </row>
    <row r="610" spans="5:49" ht="15" x14ac:dyDescent="0.25">
      <c r="E610" s="166"/>
      <c r="F610" s="166"/>
      <c r="AW610" s="131"/>
    </row>
    <row r="611" spans="5:49" ht="15" x14ac:dyDescent="0.25">
      <c r="E611" s="166"/>
      <c r="F611" s="166"/>
      <c r="AW611" s="131"/>
    </row>
    <row r="612" spans="5:49" ht="15" x14ac:dyDescent="0.25">
      <c r="E612" s="166"/>
      <c r="F612" s="166"/>
      <c r="AW612" s="131"/>
    </row>
    <row r="613" spans="5:49" ht="15" x14ac:dyDescent="0.25">
      <c r="E613" s="166"/>
      <c r="F613" s="166"/>
      <c r="AW613" s="131"/>
    </row>
    <row r="614" spans="5:49" ht="15" x14ac:dyDescent="0.25">
      <c r="E614" s="166"/>
      <c r="F614" s="166"/>
      <c r="AW614" s="131"/>
    </row>
    <row r="615" spans="5:49" ht="15" x14ac:dyDescent="0.25">
      <c r="E615" s="166"/>
      <c r="F615" s="166"/>
      <c r="AW615" s="131"/>
    </row>
    <row r="616" spans="5:49" ht="15" x14ac:dyDescent="0.25">
      <c r="E616" s="166"/>
      <c r="F616" s="166"/>
      <c r="AW616" s="131"/>
    </row>
    <row r="617" spans="5:49" ht="15" x14ac:dyDescent="0.25">
      <c r="E617" s="166"/>
      <c r="F617" s="166"/>
      <c r="AW617" s="131"/>
    </row>
    <row r="618" spans="5:49" ht="15" x14ac:dyDescent="0.25">
      <c r="E618" s="166"/>
      <c r="F618" s="166"/>
      <c r="AW618" s="131"/>
    </row>
    <row r="619" spans="5:49" ht="15" x14ac:dyDescent="0.25">
      <c r="E619" s="166"/>
      <c r="F619" s="166"/>
      <c r="AW619" s="131"/>
    </row>
    <row r="620" spans="5:49" ht="15" x14ac:dyDescent="0.25">
      <c r="E620" s="166"/>
      <c r="F620" s="166"/>
      <c r="AW620" s="131"/>
    </row>
    <row r="621" spans="5:49" ht="15" x14ac:dyDescent="0.25">
      <c r="E621" s="166"/>
      <c r="F621" s="166"/>
      <c r="AW621" s="131"/>
    </row>
    <row r="622" spans="5:49" ht="15" x14ac:dyDescent="0.25">
      <c r="E622" s="166"/>
      <c r="F622" s="166"/>
      <c r="AW622" s="131"/>
    </row>
    <row r="623" spans="5:49" ht="15" x14ac:dyDescent="0.25">
      <c r="E623" s="166"/>
      <c r="F623" s="166"/>
      <c r="AW623" s="131"/>
    </row>
    <row r="624" spans="5:49" ht="15.6" x14ac:dyDescent="0.25">
      <c r="E624" s="165"/>
      <c r="F624" s="165"/>
      <c r="AW624" s="131"/>
    </row>
    <row r="625" spans="5:49" ht="15.6" x14ac:dyDescent="0.25">
      <c r="E625" s="165"/>
      <c r="F625" s="165"/>
      <c r="AW625" s="131"/>
    </row>
    <row r="626" spans="5:49" ht="15.6" x14ac:dyDescent="0.25">
      <c r="E626" s="165"/>
      <c r="F626" s="165"/>
      <c r="AW626" s="131"/>
    </row>
    <row r="627" spans="5:49" x14ac:dyDescent="0.25">
      <c r="AW627" s="131"/>
    </row>
    <row r="628" spans="5:49" x14ac:dyDescent="0.25">
      <c r="AW628" s="131"/>
    </row>
    <row r="629" spans="5:49" x14ac:dyDescent="0.25">
      <c r="AW629" s="131"/>
    </row>
    <row r="630" spans="5:49" x14ac:dyDescent="0.25">
      <c r="AW630" s="131"/>
    </row>
    <row r="631" spans="5:49" x14ac:dyDescent="0.25">
      <c r="AW631" s="131"/>
    </row>
    <row r="632" spans="5:49" x14ac:dyDescent="0.25">
      <c r="AW632" s="131"/>
    </row>
    <row r="633" spans="5:49" x14ac:dyDescent="0.25">
      <c r="AW633" s="131"/>
    </row>
    <row r="634" spans="5:49" x14ac:dyDescent="0.25">
      <c r="AW634" s="131"/>
    </row>
    <row r="635" spans="5:49" x14ac:dyDescent="0.25">
      <c r="AW635" s="131"/>
    </row>
    <row r="636" spans="5:49" x14ac:dyDescent="0.25">
      <c r="AW636" s="131"/>
    </row>
    <row r="637" spans="5:49" x14ac:dyDescent="0.25">
      <c r="AW637" s="131"/>
    </row>
    <row r="638" spans="5:49" x14ac:dyDescent="0.25">
      <c r="AW638" s="131"/>
    </row>
    <row r="639" spans="5:49" x14ac:dyDescent="0.25">
      <c r="AW639" s="131"/>
    </row>
    <row r="640" spans="5:49" x14ac:dyDescent="0.25">
      <c r="AW640" s="131"/>
    </row>
    <row r="641" spans="49:49" x14ac:dyDescent="0.25">
      <c r="AW641" s="131"/>
    </row>
    <row r="642" spans="49:49" x14ac:dyDescent="0.25">
      <c r="AW642" s="131"/>
    </row>
    <row r="643" spans="49:49" x14ac:dyDescent="0.25">
      <c r="AW643" s="131"/>
    </row>
    <row r="644" spans="49:49" x14ac:dyDescent="0.25">
      <c r="AW644" s="131"/>
    </row>
    <row r="645" spans="49:49" x14ac:dyDescent="0.25">
      <c r="AW645" s="131"/>
    </row>
    <row r="646" spans="49:49" x14ac:dyDescent="0.25">
      <c r="AW646" s="131"/>
    </row>
    <row r="647" spans="49:49" x14ac:dyDescent="0.25">
      <c r="AW647" s="131"/>
    </row>
    <row r="648" spans="49:49" x14ac:dyDescent="0.25">
      <c r="AW648" s="131"/>
    </row>
    <row r="649" spans="49:49" x14ac:dyDescent="0.25">
      <c r="AW649" s="131"/>
    </row>
    <row r="650" spans="49:49" x14ac:dyDescent="0.25">
      <c r="AW650" s="131"/>
    </row>
    <row r="651" spans="49:49" x14ac:dyDescent="0.25">
      <c r="AW651" s="131"/>
    </row>
    <row r="652" spans="49:49" x14ac:dyDescent="0.25">
      <c r="AW652" s="131"/>
    </row>
    <row r="653" spans="49:49" x14ac:dyDescent="0.25">
      <c r="AW653" s="131"/>
    </row>
    <row r="654" spans="49:49" x14ac:dyDescent="0.25">
      <c r="AW654" s="131"/>
    </row>
    <row r="655" spans="49:49" x14ac:dyDescent="0.25">
      <c r="AW655" s="131"/>
    </row>
    <row r="656" spans="49:49" x14ac:dyDescent="0.25">
      <c r="AW656" s="131"/>
    </row>
    <row r="657" spans="49:49" x14ac:dyDescent="0.25">
      <c r="AW657" s="131"/>
    </row>
    <row r="658" spans="49:49" x14ac:dyDescent="0.25">
      <c r="AW658" s="131"/>
    </row>
    <row r="659" spans="49:49" x14ac:dyDescent="0.25">
      <c r="AW659" s="131"/>
    </row>
    <row r="660" spans="49:49" x14ac:dyDescent="0.25">
      <c r="AW660" s="131"/>
    </row>
    <row r="661" spans="49:49" x14ac:dyDescent="0.25">
      <c r="AW661" s="131"/>
    </row>
    <row r="662" spans="49:49" x14ac:dyDescent="0.25">
      <c r="AW662" s="131"/>
    </row>
    <row r="663" spans="49:49" x14ac:dyDescent="0.25">
      <c r="AW663" s="131"/>
    </row>
    <row r="664" spans="49:49" x14ac:dyDescent="0.25">
      <c r="AW664" s="131"/>
    </row>
    <row r="665" spans="49:49" x14ac:dyDescent="0.25">
      <c r="AW665" s="131"/>
    </row>
    <row r="666" spans="49:49" x14ac:dyDescent="0.25">
      <c r="AW666" s="131"/>
    </row>
    <row r="667" spans="49:49" x14ac:dyDescent="0.25">
      <c r="AW667" s="131"/>
    </row>
    <row r="668" spans="49:49" x14ac:dyDescent="0.25">
      <c r="AW668" s="131"/>
    </row>
    <row r="669" spans="49:49" x14ac:dyDescent="0.25">
      <c r="AW669" s="131"/>
    </row>
    <row r="670" spans="49:49" x14ac:dyDescent="0.25">
      <c r="AW670" s="131"/>
    </row>
    <row r="671" spans="49:49" x14ac:dyDescent="0.25">
      <c r="AW671" s="131"/>
    </row>
    <row r="672" spans="49:49" x14ac:dyDescent="0.25">
      <c r="AW672" s="131"/>
    </row>
    <row r="673" spans="49:49" x14ac:dyDescent="0.25">
      <c r="AW673" s="131"/>
    </row>
    <row r="674" spans="49:49" x14ac:dyDescent="0.25">
      <c r="AW674" s="131"/>
    </row>
    <row r="675" spans="49:49" x14ac:dyDescent="0.25">
      <c r="AW675" s="131"/>
    </row>
    <row r="676" spans="49:49" x14ac:dyDescent="0.25">
      <c r="AW676" s="131"/>
    </row>
    <row r="677" spans="49:49" x14ac:dyDescent="0.25">
      <c r="AW677" s="131"/>
    </row>
    <row r="678" spans="49:49" x14ac:dyDescent="0.25">
      <c r="AW678" s="131"/>
    </row>
    <row r="679" spans="49:49" x14ac:dyDescent="0.25">
      <c r="AW679" s="131"/>
    </row>
    <row r="680" spans="49:49" x14ac:dyDescent="0.25">
      <c r="AW680" s="131"/>
    </row>
    <row r="681" spans="49:49" x14ac:dyDescent="0.25">
      <c r="AW681" s="131"/>
    </row>
    <row r="682" spans="49:49" x14ac:dyDescent="0.25">
      <c r="AW682" s="131"/>
    </row>
    <row r="683" spans="49:49" x14ac:dyDescent="0.25">
      <c r="AW683" s="131"/>
    </row>
    <row r="684" spans="49:49" x14ac:dyDescent="0.25">
      <c r="AW684" s="131"/>
    </row>
    <row r="685" spans="49:49" x14ac:dyDescent="0.25">
      <c r="AW685" s="131"/>
    </row>
    <row r="686" spans="49:49" x14ac:dyDescent="0.25">
      <c r="AW686" s="131"/>
    </row>
    <row r="687" spans="49:49" x14ac:dyDescent="0.25">
      <c r="AW687" s="131"/>
    </row>
    <row r="688" spans="49:49" x14ac:dyDescent="0.25">
      <c r="AW688" s="131"/>
    </row>
    <row r="689" spans="49:49" x14ac:dyDescent="0.25">
      <c r="AW689" s="131"/>
    </row>
    <row r="690" spans="49:49" x14ac:dyDescent="0.25">
      <c r="AW690" s="131"/>
    </row>
    <row r="691" spans="49:49" x14ac:dyDescent="0.25">
      <c r="AW691" s="131"/>
    </row>
    <row r="692" spans="49:49" x14ac:dyDescent="0.25">
      <c r="AW692" s="131"/>
    </row>
    <row r="693" spans="49:49" x14ac:dyDescent="0.25">
      <c r="AW693" s="131"/>
    </row>
    <row r="694" spans="49:49" x14ac:dyDescent="0.25">
      <c r="AW694" s="131"/>
    </row>
    <row r="695" spans="49:49" x14ac:dyDescent="0.25">
      <c r="AW695" s="131"/>
    </row>
    <row r="696" spans="49:49" x14ac:dyDescent="0.25">
      <c r="AW696" s="131"/>
    </row>
    <row r="697" spans="49:49" x14ac:dyDescent="0.25">
      <c r="AW697" s="131"/>
    </row>
    <row r="698" spans="49:49" x14ac:dyDescent="0.25">
      <c r="AW698" s="131"/>
    </row>
    <row r="699" spans="49:49" x14ac:dyDescent="0.25">
      <c r="AW699" s="131"/>
    </row>
    <row r="700" spans="49:49" x14ac:dyDescent="0.25">
      <c r="AW700" s="131"/>
    </row>
    <row r="701" spans="49:49" x14ac:dyDescent="0.25">
      <c r="AW701" s="131"/>
    </row>
    <row r="702" spans="49:49" x14ac:dyDescent="0.25">
      <c r="AW702" s="131"/>
    </row>
    <row r="703" spans="49:49" x14ac:dyDescent="0.25">
      <c r="AW703" s="131"/>
    </row>
    <row r="704" spans="49:49" x14ac:dyDescent="0.25">
      <c r="AW704" s="131"/>
    </row>
    <row r="705" spans="49:49" x14ac:dyDescent="0.25">
      <c r="AW705" s="131"/>
    </row>
    <row r="706" spans="49:49" x14ac:dyDescent="0.25">
      <c r="AW706" s="131"/>
    </row>
    <row r="707" spans="49:49" x14ac:dyDescent="0.25">
      <c r="AW707" s="131"/>
    </row>
    <row r="708" spans="49:49" x14ac:dyDescent="0.25">
      <c r="AW708" s="131"/>
    </row>
    <row r="709" spans="49:49" x14ac:dyDescent="0.25">
      <c r="AW709" s="131"/>
    </row>
    <row r="710" spans="49:49" x14ac:dyDescent="0.25">
      <c r="AW710" s="131"/>
    </row>
    <row r="711" spans="49:49" x14ac:dyDescent="0.25">
      <c r="AW711" s="131"/>
    </row>
    <row r="712" spans="49:49" x14ac:dyDescent="0.25">
      <c r="AW712" s="131"/>
    </row>
    <row r="713" spans="49:49" x14ac:dyDescent="0.25">
      <c r="AW713" s="131"/>
    </row>
    <row r="714" spans="49:49" x14ac:dyDescent="0.25">
      <c r="AW714" s="131"/>
    </row>
    <row r="715" spans="49:49" x14ac:dyDescent="0.25">
      <c r="AW715" s="131"/>
    </row>
    <row r="716" spans="49:49" x14ac:dyDescent="0.25">
      <c r="AW716" s="131"/>
    </row>
    <row r="717" spans="49:49" x14ac:dyDescent="0.25">
      <c r="AW717" s="131"/>
    </row>
    <row r="718" spans="49:49" x14ac:dyDescent="0.25">
      <c r="AW718" s="131"/>
    </row>
    <row r="719" spans="49:49" x14ac:dyDescent="0.25">
      <c r="AW719" s="131"/>
    </row>
    <row r="720" spans="49:49" x14ac:dyDescent="0.25">
      <c r="AW720" s="131"/>
    </row>
    <row r="721" spans="49:49" x14ac:dyDescent="0.25">
      <c r="AW721" s="131"/>
    </row>
    <row r="722" spans="49:49" x14ac:dyDescent="0.25">
      <c r="AW722" s="131"/>
    </row>
    <row r="723" spans="49:49" x14ac:dyDescent="0.25">
      <c r="AW723" s="131"/>
    </row>
    <row r="724" spans="49:49" x14ac:dyDescent="0.25">
      <c r="AW724" s="131"/>
    </row>
    <row r="725" spans="49:49" x14ac:dyDescent="0.25">
      <c r="AW725" s="131"/>
    </row>
    <row r="726" spans="49:49" x14ac:dyDescent="0.25">
      <c r="AW726" s="131"/>
    </row>
    <row r="727" spans="49:49" x14ac:dyDescent="0.25">
      <c r="AW727" s="131"/>
    </row>
    <row r="728" spans="49:49" x14ac:dyDescent="0.25">
      <c r="AW728" s="131"/>
    </row>
    <row r="729" spans="49:49" x14ac:dyDescent="0.25">
      <c r="AW729" s="131"/>
    </row>
    <row r="730" spans="49:49" x14ac:dyDescent="0.25">
      <c r="AW730" s="131"/>
    </row>
    <row r="731" spans="49:49" x14ac:dyDescent="0.25">
      <c r="AW731" s="131"/>
    </row>
    <row r="732" spans="49:49" x14ac:dyDescent="0.25">
      <c r="AW732" s="131"/>
    </row>
    <row r="733" spans="49:49" x14ac:dyDescent="0.25">
      <c r="AW733" s="131"/>
    </row>
    <row r="734" spans="49:49" x14ac:dyDescent="0.25">
      <c r="AW734" s="131"/>
    </row>
    <row r="735" spans="49:49" x14ac:dyDescent="0.25">
      <c r="AW735" s="131"/>
    </row>
    <row r="736" spans="49:49" x14ac:dyDescent="0.25">
      <c r="AW736" s="131"/>
    </row>
    <row r="737" spans="49:49" x14ac:dyDescent="0.25">
      <c r="AW737" s="131"/>
    </row>
    <row r="738" spans="49:49" x14ac:dyDescent="0.25">
      <c r="AW738" s="131"/>
    </row>
    <row r="739" spans="49:49" x14ac:dyDescent="0.25">
      <c r="AW739" s="131"/>
    </row>
    <row r="740" spans="49:49" x14ac:dyDescent="0.25">
      <c r="AW740" s="131"/>
    </row>
    <row r="741" spans="49:49" x14ac:dyDescent="0.25">
      <c r="AW741" s="131"/>
    </row>
    <row r="742" spans="49:49" x14ac:dyDescent="0.25">
      <c r="AW742" s="131"/>
    </row>
    <row r="743" spans="49:49" x14ac:dyDescent="0.25">
      <c r="AW743" s="131"/>
    </row>
    <row r="744" spans="49:49" x14ac:dyDescent="0.25">
      <c r="AW744" s="131"/>
    </row>
    <row r="745" spans="49:49" x14ac:dyDescent="0.25">
      <c r="AW745" s="131"/>
    </row>
    <row r="746" spans="49:49" x14ac:dyDescent="0.25">
      <c r="AW746" s="131"/>
    </row>
    <row r="747" spans="49:49" x14ac:dyDescent="0.25">
      <c r="AW747" s="131"/>
    </row>
    <row r="748" spans="49:49" x14ac:dyDescent="0.25">
      <c r="AW748" s="131"/>
    </row>
    <row r="749" spans="49:49" x14ac:dyDescent="0.25">
      <c r="AW749" s="131"/>
    </row>
    <row r="750" spans="49:49" x14ac:dyDescent="0.25">
      <c r="AW750" s="131"/>
    </row>
    <row r="751" spans="49:49" x14ac:dyDescent="0.25">
      <c r="AW751" s="131"/>
    </row>
    <row r="752" spans="49:49" x14ac:dyDescent="0.25">
      <c r="AW752" s="131"/>
    </row>
    <row r="753" spans="49:49" x14ac:dyDescent="0.25">
      <c r="AW753" s="131"/>
    </row>
    <row r="754" spans="49:49" x14ac:dyDescent="0.25">
      <c r="AW754" s="131"/>
    </row>
    <row r="755" spans="49:49" x14ac:dyDescent="0.25">
      <c r="AW755" s="131"/>
    </row>
    <row r="756" spans="49:49" x14ac:dyDescent="0.25">
      <c r="AW756" s="131"/>
    </row>
    <row r="757" spans="49:49" x14ac:dyDescent="0.25">
      <c r="AW757" s="131"/>
    </row>
    <row r="758" spans="49:49" x14ac:dyDescent="0.25">
      <c r="AW758" s="131"/>
    </row>
    <row r="759" spans="49:49" x14ac:dyDescent="0.25">
      <c r="AW759" s="131"/>
    </row>
    <row r="760" spans="49:49" x14ac:dyDescent="0.25">
      <c r="AW760" s="131"/>
    </row>
    <row r="761" spans="49:49" x14ac:dyDescent="0.25">
      <c r="AW761" s="131"/>
    </row>
    <row r="762" spans="49:49" x14ac:dyDescent="0.25">
      <c r="AW762" s="131"/>
    </row>
    <row r="763" spans="49:49" x14ac:dyDescent="0.25">
      <c r="AW763" s="131"/>
    </row>
    <row r="764" spans="49:49" x14ac:dyDescent="0.25">
      <c r="AW764" s="131"/>
    </row>
    <row r="765" spans="49:49" x14ac:dyDescent="0.25">
      <c r="AW765" s="131"/>
    </row>
    <row r="766" spans="49:49" x14ac:dyDescent="0.25">
      <c r="AW766" s="131"/>
    </row>
    <row r="767" spans="49:49" x14ac:dyDescent="0.25">
      <c r="AW767" s="131"/>
    </row>
    <row r="768" spans="49:49" x14ac:dyDescent="0.25">
      <c r="AW768" s="131"/>
    </row>
    <row r="769" spans="49:49" x14ac:dyDescent="0.25">
      <c r="AW769" s="131"/>
    </row>
    <row r="770" spans="49:49" x14ac:dyDescent="0.25">
      <c r="AW770" s="131"/>
    </row>
    <row r="771" spans="49:49" x14ac:dyDescent="0.25">
      <c r="AW771" s="131"/>
    </row>
    <row r="772" spans="49:49" x14ac:dyDescent="0.25">
      <c r="AW772" s="131"/>
    </row>
    <row r="773" spans="49:49" x14ac:dyDescent="0.25">
      <c r="AW773" s="131"/>
    </row>
    <row r="774" spans="49:49" x14ac:dyDescent="0.25">
      <c r="AW774" s="131"/>
    </row>
    <row r="775" spans="49:49" x14ac:dyDescent="0.25">
      <c r="AW775" s="131"/>
    </row>
    <row r="776" spans="49:49" x14ac:dyDescent="0.25">
      <c r="AW776" s="131"/>
    </row>
    <row r="777" spans="49:49" x14ac:dyDescent="0.25">
      <c r="AW777" s="131"/>
    </row>
    <row r="778" spans="49:49" x14ac:dyDescent="0.25">
      <c r="AW778" s="131"/>
    </row>
    <row r="779" spans="49:49" x14ac:dyDescent="0.25">
      <c r="AW779" s="131"/>
    </row>
    <row r="780" spans="49:49" x14ac:dyDescent="0.25">
      <c r="AW780" s="131"/>
    </row>
    <row r="781" spans="49:49" x14ac:dyDescent="0.25">
      <c r="AW781" s="131"/>
    </row>
    <row r="782" spans="49:49" x14ac:dyDescent="0.25">
      <c r="AW782" s="131"/>
    </row>
    <row r="783" spans="49:49" x14ac:dyDescent="0.25">
      <c r="AW783" s="131"/>
    </row>
    <row r="784" spans="49:49" x14ac:dyDescent="0.25">
      <c r="AW784" s="131"/>
    </row>
    <row r="785" spans="49:49" x14ac:dyDescent="0.25">
      <c r="AW785" s="131"/>
    </row>
    <row r="786" spans="49:49" x14ac:dyDescent="0.25">
      <c r="AW786" s="131"/>
    </row>
    <row r="787" spans="49:49" x14ac:dyDescent="0.25">
      <c r="AW787" s="131"/>
    </row>
    <row r="788" spans="49:49" x14ac:dyDescent="0.25">
      <c r="AW788" s="131"/>
    </row>
    <row r="789" spans="49:49" x14ac:dyDescent="0.25">
      <c r="AW789" s="131"/>
    </row>
    <row r="790" spans="49:49" x14ac:dyDescent="0.25">
      <c r="AW790" s="131"/>
    </row>
    <row r="791" spans="49:49" x14ac:dyDescent="0.25">
      <c r="AW791" s="131"/>
    </row>
    <row r="792" spans="49:49" x14ac:dyDescent="0.25">
      <c r="AW792" s="131"/>
    </row>
    <row r="793" spans="49:49" x14ac:dyDescent="0.25">
      <c r="AW793" s="131"/>
    </row>
    <row r="794" spans="49:49" x14ac:dyDescent="0.25">
      <c r="AW794" s="131"/>
    </row>
    <row r="795" spans="49:49" x14ac:dyDescent="0.25">
      <c r="AW795" s="131"/>
    </row>
    <row r="796" spans="49:49" x14ac:dyDescent="0.25">
      <c r="AW796" s="131"/>
    </row>
    <row r="797" spans="49:49" x14ac:dyDescent="0.25">
      <c r="AW797" s="131"/>
    </row>
    <row r="798" spans="49:49" x14ac:dyDescent="0.25">
      <c r="AW798" s="131"/>
    </row>
    <row r="799" spans="49:49" x14ac:dyDescent="0.25">
      <c r="AW799" s="131"/>
    </row>
    <row r="800" spans="49:49" x14ac:dyDescent="0.25">
      <c r="AW800" s="131"/>
    </row>
    <row r="801" spans="49:49" x14ac:dyDescent="0.25">
      <c r="AW801" s="131"/>
    </row>
    <row r="802" spans="49:49" x14ac:dyDescent="0.25">
      <c r="AW802" s="131"/>
    </row>
    <row r="803" spans="49:49" x14ac:dyDescent="0.25">
      <c r="AW803" s="131"/>
    </row>
    <row r="804" spans="49:49" x14ac:dyDescent="0.25">
      <c r="AW804" s="131"/>
    </row>
    <row r="805" spans="49:49" x14ac:dyDescent="0.25">
      <c r="AW805" s="131"/>
    </row>
    <row r="806" spans="49:49" x14ac:dyDescent="0.25">
      <c r="AW806" s="131"/>
    </row>
    <row r="807" spans="49:49" x14ac:dyDescent="0.25">
      <c r="AW807" s="131"/>
    </row>
    <row r="808" spans="49:49" x14ac:dyDescent="0.25">
      <c r="AW808" s="131"/>
    </row>
    <row r="809" spans="49:49" x14ac:dyDescent="0.25">
      <c r="AW809" s="131"/>
    </row>
    <row r="810" spans="49:49" x14ac:dyDescent="0.25">
      <c r="AW810" s="131"/>
    </row>
    <row r="811" spans="49:49" x14ac:dyDescent="0.25">
      <c r="AW811" s="131"/>
    </row>
    <row r="812" spans="49:49" x14ac:dyDescent="0.25">
      <c r="AW812" s="131"/>
    </row>
    <row r="813" spans="49:49" x14ac:dyDescent="0.25">
      <c r="AW813" s="131"/>
    </row>
    <row r="814" spans="49:49" x14ac:dyDescent="0.25">
      <c r="AW814" s="131"/>
    </row>
    <row r="815" spans="49:49" x14ac:dyDescent="0.25">
      <c r="AW815" s="131"/>
    </row>
    <row r="816" spans="49:49" x14ac:dyDescent="0.25">
      <c r="AW816" s="131"/>
    </row>
    <row r="817" spans="49:49" x14ac:dyDescent="0.25">
      <c r="AW817" s="131"/>
    </row>
    <row r="818" spans="49:49" x14ac:dyDescent="0.25">
      <c r="AW818" s="131"/>
    </row>
    <row r="819" spans="49:49" x14ac:dyDescent="0.25">
      <c r="AW819" s="131"/>
    </row>
    <row r="820" spans="49:49" x14ac:dyDescent="0.25">
      <c r="AW820" s="131"/>
    </row>
    <row r="821" spans="49:49" x14ac:dyDescent="0.25">
      <c r="AW821" s="131"/>
    </row>
    <row r="822" spans="49:49" x14ac:dyDescent="0.25">
      <c r="AW822" s="131"/>
    </row>
    <row r="823" spans="49:49" x14ac:dyDescent="0.25">
      <c r="AW823" s="131"/>
    </row>
    <row r="824" spans="49:49" x14ac:dyDescent="0.25">
      <c r="AW824" s="131"/>
    </row>
    <row r="825" spans="49:49" x14ac:dyDescent="0.25">
      <c r="AW825" s="131"/>
    </row>
    <row r="826" spans="49:49" x14ac:dyDescent="0.25">
      <c r="AW826" s="131"/>
    </row>
    <row r="827" spans="49:49" x14ac:dyDescent="0.25">
      <c r="AW827" s="131"/>
    </row>
    <row r="828" spans="49:49" x14ac:dyDescent="0.25">
      <c r="AW828" s="131"/>
    </row>
    <row r="829" spans="49:49" x14ac:dyDescent="0.25">
      <c r="AW829" s="131"/>
    </row>
    <row r="830" spans="49:49" x14ac:dyDescent="0.25">
      <c r="AW830" s="131"/>
    </row>
    <row r="831" spans="49:49" x14ac:dyDescent="0.25">
      <c r="AW831" s="131"/>
    </row>
    <row r="832" spans="49:49" x14ac:dyDescent="0.25">
      <c r="AW832" s="131"/>
    </row>
    <row r="833" spans="49:49" x14ac:dyDescent="0.25">
      <c r="AW833" s="131"/>
    </row>
    <row r="834" spans="49:49" x14ac:dyDescent="0.25">
      <c r="AW834" s="131"/>
    </row>
    <row r="835" spans="49:49" x14ac:dyDescent="0.25">
      <c r="AW835" s="131"/>
    </row>
    <row r="836" spans="49:49" x14ac:dyDescent="0.25">
      <c r="AW836" s="131"/>
    </row>
    <row r="837" spans="49:49" x14ac:dyDescent="0.25">
      <c r="AW837" s="131"/>
    </row>
    <row r="838" spans="49:49" x14ac:dyDescent="0.25">
      <c r="AW838" s="131"/>
    </row>
    <row r="839" spans="49:49" x14ac:dyDescent="0.25">
      <c r="AW839" s="131"/>
    </row>
    <row r="840" spans="49:49" x14ac:dyDescent="0.25">
      <c r="AW840" s="131"/>
    </row>
    <row r="841" spans="49:49" x14ac:dyDescent="0.25">
      <c r="AW841" s="131"/>
    </row>
    <row r="842" spans="49:49" x14ac:dyDescent="0.25">
      <c r="AW842" s="131"/>
    </row>
    <row r="843" spans="49:49" x14ac:dyDescent="0.25">
      <c r="AW843" s="131"/>
    </row>
    <row r="844" spans="49:49" x14ac:dyDescent="0.25">
      <c r="AW844" s="131"/>
    </row>
    <row r="845" spans="49:49" x14ac:dyDescent="0.25">
      <c r="AW845" s="131"/>
    </row>
    <row r="846" spans="49:49" x14ac:dyDescent="0.25">
      <c r="AW846" s="131"/>
    </row>
    <row r="847" spans="49:49" x14ac:dyDescent="0.25">
      <c r="AW847" s="131"/>
    </row>
    <row r="848" spans="49:49" x14ac:dyDescent="0.25">
      <c r="AW848" s="131"/>
    </row>
    <row r="849" spans="49:49" x14ac:dyDescent="0.25">
      <c r="AW849" s="131"/>
    </row>
    <row r="850" spans="49:49" x14ac:dyDescent="0.25">
      <c r="AW850" s="131"/>
    </row>
    <row r="851" spans="49:49" x14ac:dyDescent="0.25">
      <c r="AW851" s="131"/>
    </row>
    <row r="852" spans="49:49" x14ac:dyDescent="0.25">
      <c r="AW852" s="131"/>
    </row>
    <row r="853" spans="49:49" x14ac:dyDescent="0.25">
      <c r="AW853" s="131"/>
    </row>
    <row r="854" spans="49:49" x14ac:dyDescent="0.25">
      <c r="AW854" s="131"/>
    </row>
    <row r="855" spans="49:49" x14ac:dyDescent="0.25">
      <c r="AW855" s="131"/>
    </row>
    <row r="856" spans="49:49" x14ac:dyDescent="0.25">
      <c r="AW856" s="131"/>
    </row>
    <row r="857" spans="49:49" x14ac:dyDescent="0.25">
      <c r="AW857" s="131"/>
    </row>
    <row r="858" spans="49:49" x14ac:dyDescent="0.25">
      <c r="AW858" s="131"/>
    </row>
    <row r="859" spans="49:49" x14ac:dyDescent="0.25">
      <c r="AW859" s="131"/>
    </row>
    <row r="860" spans="49:49" x14ac:dyDescent="0.25">
      <c r="AW860" s="131"/>
    </row>
    <row r="861" spans="49:49" x14ac:dyDescent="0.25">
      <c r="AW861" s="131"/>
    </row>
    <row r="862" spans="49:49" x14ac:dyDescent="0.25">
      <c r="AW862" s="131"/>
    </row>
    <row r="863" spans="49:49" x14ac:dyDescent="0.25">
      <c r="AW863" s="131"/>
    </row>
    <row r="864" spans="49:49" x14ac:dyDescent="0.25">
      <c r="AW864" s="131"/>
    </row>
    <row r="865" spans="49:49" x14ac:dyDescent="0.25">
      <c r="AW865" s="131"/>
    </row>
    <row r="866" spans="49:49" x14ac:dyDescent="0.25">
      <c r="AW866" s="131"/>
    </row>
    <row r="867" spans="49:49" x14ac:dyDescent="0.25">
      <c r="AW867" s="131"/>
    </row>
    <row r="868" spans="49:49" x14ac:dyDescent="0.25">
      <c r="AW868" s="131"/>
    </row>
    <row r="869" spans="49:49" x14ac:dyDescent="0.25">
      <c r="AW869" s="131"/>
    </row>
    <row r="870" spans="49:49" x14ac:dyDescent="0.25">
      <c r="AW870" s="131"/>
    </row>
    <row r="871" spans="49:49" x14ac:dyDescent="0.25">
      <c r="AW871" s="131"/>
    </row>
    <row r="872" spans="49:49" x14ac:dyDescent="0.25">
      <c r="AW872" s="131"/>
    </row>
    <row r="873" spans="49:49" x14ac:dyDescent="0.25">
      <c r="AW873" s="131"/>
    </row>
    <row r="874" spans="49:49" x14ac:dyDescent="0.25">
      <c r="AW874" s="131"/>
    </row>
    <row r="875" spans="49:49" x14ac:dyDescent="0.25">
      <c r="AW875" s="131"/>
    </row>
    <row r="876" spans="49:49" x14ac:dyDescent="0.25">
      <c r="AW876" s="131"/>
    </row>
    <row r="877" spans="49:49" x14ac:dyDescent="0.25">
      <c r="AW877" s="131"/>
    </row>
    <row r="878" spans="49:49" x14ac:dyDescent="0.25">
      <c r="AW878" s="131"/>
    </row>
    <row r="879" spans="49:49" x14ac:dyDescent="0.25">
      <c r="AW879" s="131"/>
    </row>
    <row r="880" spans="49:49" x14ac:dyDescent="0.25">
      <c r="AW880" s="131"/>
    </row>
    <row r="881" spans="49:49" x14ac:dyDescent="0.25">
      <c r="AW881" s="131"/>
    </row>
    <row r="882" spans="49:49" x14ac:dyDescent="0.25">
      <c r="AW882" s="131"/>
    </row>
    <row r="883" spans="49:49" x14ac:dyDescent="0.25">
      <c r="AW883" s="131"/>
    </row>
    <row r="884" spans="49:49" x14ac:dyDescent="0.25">
      <c r="AW884" s="131"/>
    </row>
    <row r="885" spans="49:49" x14ac:dyDescent="0.25">
      <c r="AW885" s="131"/>
    </row>
    <row r="886" spans="49:49" x14ac:dyDescent="0.25">
      <c r="AW886" s="131"/>
    </row>
    <row r="887" spans="49:49" x14ac:dyDescent="0.25">
      <c r="AW887" s="131"/>
    </row>
    <row r="888" spans="49:49" x14ac:dyDescent="0.25">
      <c r="AW888" s="131"/>
    </row>
    <row r="889" spans="49:49" x14ac:dyDescent="0.25">
      <c r="AW889" s="131"/>
    </row>
    <row r="890" spans="49:49" x14ac:dyDescent="0.25">
      <c r="AW890" s="131"/>
    </row>
    <row r="891" spans="49:49" x14ac:dyDescent="0.25">
      <c r="AW891" s="131"/>
    </row>
    <row r="892" spans="49:49" x14ac:dyDescent="0.25">
      <c r="AW892" s="131"/>
    </row>
    <row r="893" spans="49:49" x14ac:dyDescent="0.25">
      <c r="AW893" s="131"/>
    </row>
    <row r="894" spans="49:49" x14ac:dyDescent="0.25">
      <c r="AW894" s="131"/>
    </row>
    <row r="895" spans="49:49" x14ac:dyDescent="0.25">
      <c r="AW895" s="131"/>
    </row>
    <row r="896" spans="49:49" x14ac:dyDescent="0.25">
      <c r="AW896" s="131"/>
    </row>
    <row r="897" spans="49:49" x14ac:dyDescent="0.25">
      <c r="AW897" s="131"/>
    </row>
    <row r="898" spans="49:49" x14ac:dyDescent="0.25">
      <c r="AW898" s="131"/>
    </row>
    <row r="899" spans="49:49" x14ac:dyDescent="0.25">
      <c r="AW899" s="131"/>
    </row>
    <row r="900" spans="49:49" x14ac:dyDescent="0.25">
      <c r="AW900" s="131"/>
    </row>
    <row r="901" spans="49:49" x14ac:dyDescent="0.25">
      <c r="AW901" s="131"/>
    </row>
    <row r="902" spans="49:49" x14ac:dyDescent="0.25">
      <c r="AW902" s="131"/>
    </row>
    <row r="903" spans="49:49" x14ac:dyDescent="0.25">
      <c r="AW903" s="131"/>
    </row>
    <row r="904" spans="49:49" x14ac:dyDescent="0.25">
      <c r="AW904" s="131"/>
    </row>
    <row r="905" spans="49:49" x14ac:dyDescent="0.25">
      <c r="AW905" s="131"/>
    </row>
    <row r="906" spans="49:49" x14ac:dyDescent="0.25">
      <c r="AW906" s="131"/>
    </row>
    <row r="907" spans="49:49" x14ac:dyDescent="0.25">
      <c r="AW907" s="131"/>
    </row>
    <row r="908" spans="49:49" x14ac:dyDescent="0.25">
      <c r="AW908" s="131"/>
    </row>
    <row r="909" spans="49:49" x14ac:dyDescent="0.25">
      <c r="AW909" s="131"/>
    </row>
    <row r="910" spans="49:49" x14ac:dyDescent="0.25">
      <c r="AW910" s="131"/>
    </row>
    <row r="911" spans="49:49" x14ac:dyDescent="0.25">
      <c r="AW911" s="131"/>
    </row>
    <row r="912" spans="49:49" x14ac:dyDescent="0.25">
      <c r="AW912" s="131"/>
    </row>
    <row r="913" spans="49:49" x14ac:dyDescent="0.25">
      <c r="AW913" s="131"/>
    </row>
    <row r="914" spans="49:49" x14ac:dyDescent="0.25">
      <c r="AW914" s="131"/>
    </row>
    <row r="915" spans="49:49" x14ac:dyDescent="0.25">
      <c r="AW915" s="131"/>
    </row>
    <row r="916" spans="49:49" x14ac:dyDescent="0.25">
      <c r="AW916" s="131"/>
    </row>
    <row r="917" spans="49:49" x14ac:dyDescent="0.25">
      <c r="AW917" s="131"/>
    </row>
    <row r="918" spans="49:49" x14ac:dyDescent="0.25">
      <c r="AW918" s="131"/>
    </row>
    <row r="919" spans="49:49" x14ac:dyDescent="0.25">
      <c r="AW919" s="131"/>
    </row>
    <row r="920" spans="49:49" x14ac:dyDescent="0.25">
      <c r="AW920" s="131"/>
    </row>
    <row r="921" spans="49:49" x14ac:dyDescent="0.25">
      <c r="AW921" s="131"/>
    </row>
    <row r="922" spans="49:49" x14ac:dyDescent="0.25">
      <c r="AW922" s="131"/>
    </row>
    <row r="923" spans="49:49" x14ac:dyDescent="0.25">
      <c r="AW923" s="131"/>
    </row>
    <row r="924" spans="49:49" x14ac:dyDescent="0.25">
      <c r="AW924" s="131"/>
    </row>
    <row r="925" spans="49:49" x14ac:dyDescent="0.25">
      <c r="AW925" s="131"/>
    </row>
    <row r="926" spans="49:49" x14ac:dyDescent="0.25">
      <c r="AW926" s="131"/>
    </row>
    <row r="927" spans="49:49" x14ac:dyDescent="0.25">
      <c r="AW927" s="131"/>
    </row>
    <row r="928" spans="49:49" x14ac:dyDescent="0.25">
      <c r="AW928" s="131"/>
    </row>
    <row r="929" spans="49:49" x14ac:dyDescent="0.25">
      <c r="AW929" s="131"/>
    </row>
    <row r="930" spans="49:49" x14ac:dyDescent="0.25">
      <c r="AW930" s="131"/>
    </row>
    <row r="931" spans="49:49" x14ac:dyDescent="0.25">
      <c r="AW931" s="131"/>
    </row>
    <row r="932" spans="49:49" x14ac:dyDescent="0.25">
      <c r="AW932" s="131"/>
    </row>
    <row r="933" spans="49:49" x14ac:dyDescent="0.25">
      <c r="AW933" s="131"/>
    </row>
    <row r="934" spans="49:49" x14ac:dyDescent="0.25">
      <c r="AW934" s="131"/>
    </row>
    <row r="935" spans="49:49" x14ac:dyDescent="0.25">
      <c r="AW935" s="131"/>
    </row>
    <row r="936" spans="49:49" x14ac:dyDescent="0.25">
      <c r="AW936" s="131"/>
    </row>
    <row r="937" spans="49:49" x14ac:dyDescent="0.25">
      <c r="AW937" s="131"/>
    </row>
    <row r="938" spans="49:49" x14ac:dyDescent="0.25">
      <c r="AW938" s="131"/>
    </row>
    <row r="939" spans="49:49" x14ac:dyDescent="0.25">
      <c r="AW939" s="131"/>
    </row>
    <row r="940" spans="49:49" x14ac:dyDescent="0.25">
      <c r="AW940" s="131"/>
    </row>
    <row r="941" spans="49:49" x14ac:dyDescent="0.25">
      <c r="AW941" s="131"/>
    </row>
    <row r="942" spans="49:49" x14ac:dyDescent="0.25">
      <c r="AW942" s="131"/>
    </row>
    <row r="943" spans="49:49" x14ac:dyDescent="0.25">
      <c r="AW943" s="131"/>
    </row>
    <row r="944" spans="49:49" x14ac:dyDescent="0.25">
      <c r="AW944" s="131"/>
    </row>
    <row r="945" spans="49:49" x14ac:dyDescent="0.25">
      <c r="AW945" s="131"/>
    </row>
    <row r="946" spans="49:49" x14ac:dyDescent="0.25">
      <c r="AW946" s="131"/>
    </row>
    <row r="947" spans="49:49" x14ac:dyDescent="0.25">
      <c r="AW947" s="131"/>
    </row>
    <row r="948" spans="49:49" x14ac:dyDescent="0.25">
      <c r="AW948" s="131"/>
    </row>
    <row r="949" spans="49:49" x14ac:dyDescent="0.25">
      <c r="AW949" s="131"/>
    </row>
    <row r="950" spans="49:49" x14ac:dyDescent="0.25">
      <c r="AW950" s="131"/>
    </row>
    <row r="951" spans="49:49" x14ac:dyDescent="0.25">
      <c r="AW951" s="131"/>
    </row>
    <row r="952" spans="49:49" x14ac:dyDescent="0.25">
      <c r="AW952" s="131"/>
    </row>
    <row r="953" spans="49:49" x14ac:dyDescent="0.25">
      <c r="AW953" s="131"/>
    </row>
    <row r="954" spans="49:49" x14ac:dyDescent="0.25">
      <c r="AW954" s="131"/>
    </row>
    <row r="955" spans="49:49" x14ac:dyDescent="0.25">
      <c r="AW955" s="131"/>
    </row>
    <row r="956" spans="49:49" x14ac:dyDescent="0.25">
      <c r="AW956" s="131"/>
    </row>
    <row r="957" spans="49:49" x14ac:dyDescent="0.25">
      <c r="AW957" s="131"/>
    </row>
    <row r="958" spans="49:49" x14ac:dyDescent="0.25">
      <c r="AW958" s="131"/>
    </row>
    <row r="959" spans="49:49" x14ac:dyDescent="0.25">
      <c r="AW959" s="131"/>
    </row>
    <row r="960" spans="49:49" x14ac:dyDescent="0.25">
      <c r="AW960" s="131"/>
    </row>
    <row r="961" spans="49:49" x14ac:dyDescent="0.25">
      <c r="AW961" s="131"/>
    </row>
    <row r="962" spans="49:49" x14ac:dyDescent="0.25">
      <c r="AW962" s="131"/>
    </row>
    <row r="963" spans="49:49" x14ac:dyDescent="0.25">
      <c r="AW963" s="131"/>
    </row>
    <row r="964" spans="49:49" x14ac:dyDescent="0.25">
      <c r="AW964" s="131"/>
    </row>
    <row r="965" spans="49:49" x14ac:dyDescent="0.25">
      <c r="AW965" s="131"/>
    </row>
    <row r="966" spans="49:49" x14ac:dyDescent="0.25">
      <c r="AW966" s="131"/>
    </row>
    <row r="967" spans="49:49" x14ac:dyDescent="0.25">
      <c r="AW967" s="131"/>
    </row>
    <row r="968" spans="49:49" x14ac:dyDescent="0.25">
      <c r="AW968" s="131"/>
    </row>
    <row r="969" spans="49:49" x14ac:dyDescent="0.25">
      <c r="AW969" s="131"/>
    </row>
    <row r="970" spans="49:49" x14ac:dyDescent="0.25">
      <c r="AW970" s="131"/>
    </row>
    <row r="971" spans="49:49" x14ac:dyDescent="0.25">
      <c r="AW971" s="131"/>
    </row>
    <row r="972" spans="49:49" x14ac:dyDescent="0.25">
      <c r="AW972" s="131"/>
    </row>
    <row r="973" spans="49:49" x14ac:dyDescent="0.25">
      <c r="AW973" s="131"/>
    </row>
    <row r="974" spans="49:49" x14ac:dyDescent="0.25">
      <c r="AW974" s="131"/>
    </row>
    <row r="975" spans="49:49" x14ac:dyDescent="0.25">
      <c r="AW975" s="131"/>
    </row>
    <row r="976" spans="49:49" x14ac:dyDescent="0.25">
      <c r="AW976" s="131"/>
    </row>
    <row r="977" spans="49:49" x14ac:dyDescent="0.25">
      <c r="AW977" s="131"/>
    </row>
    <row r="978" spans="49:49" x14ac:dyDescent="0.25">
      <c r="AW978" s="131"/>
    </row>
    <row r="979" spans="49:49" x14ac:dyDescent="0.25">
      <c r="AW979" s="131"/>
    </row>
    <row r="980" spans="49:49" x14ac:dyDescent="0.25">
      <c r="AW980" s="131"/>
    </row>
    <row r="981" spans="49:49" x14ac:dyDescent="0.25">
      <c r="AW981" s="131"/>
    </row>
    <row r="982" spans="49:49" x14ac:dyDescent="0.25">
      <c r="AW982" s="131"/>
    </row>
    <row r="983" spans="49:49" x14ac:dyDescent="0.25">
      <c r="AW983" s="131"/>
    </row>
    <row r="984" spans="49:49" x14ac:dyDescent="0.25">
      <c r="AW984" s="131"/>
    </row>
    <row r="985" spans="49:49" x14ac:dyDescent="0.25">
      <c r="AW985" s="131"/>
    </row>
    <row r="986" spans="49:49" x14ac:dyDescent="0.25">
      <c r="AW986" s="131"/>
    </row>
    <row r="987" spans="49:49" x14ac:dyDescent="0.25">
      <c r="AW987" s="131"/>
    </row>
    <row r="988" spans="49:49" x14ac:dyDescent="0.25">
      <c r="AW988" s="131"/>
    </row>
    <row r="989" spans="49:49" x14ac:dyDescent="0.25">
      <c r="AW989" s="131"/>
    </row>
    <row r="990" spans="49:49" x14ac:dyDescent="0.25">
      <c r="AW990" s="131"/>
    </row>
    <row r="991" spans="49:49" x14ac:dyDescent="0.25">
      <c r="AW991" s="131"/>
    </row>
    <row r="992" spans="49:49" x14ac:dyDescent="0.25">
      <c r="AW992" s="131"/>
    </row>
    <row r="993" spans="49:49" x14ac:dyDescent="0.25">
      <c r="AW993" s="131"/>
    </row>
    <row r="994" spans="49:49" x14ac:dyDescent="0.25">
      <c r="AW994" s="131"/>
    </row>
    <row r="995" spans="49:49" x14ac:dyDescent="0.25">
      <c r="AW995" s="131"/>
    </row>
    <row r="996" spans="49:49" x14ac:dyDescent="0.25">
      <c r="AW996" s="131"/>
    </row>
    <row r="997" spans="49:49" x14ac:dyDescent="0.25">
      <c r="AW997" s="131"/>
    </row>
    <row r="998" spans="49:49" x14ac:dyDescent="0.25">
      <c r="AW998" s="131"/>
    </row>
    <row r="999" spans="49:49" x14ac:dyDescent="0.25">
      <c r="AW999" s="131"/>
    </row>
    <row r="1000" spans="49:49" x14ac:dyDescent="0.25">
      <c r="AW1000" s="131"/>
    </row>
    <row r="1001" spans="49:49" x14ac:dyDescent="0.25">
      <c r="AW1001" s="131"/>
    </row>
    <row r="1002" spans="49:49" x14ac:dyDescent="0.25">
      <c r="AW1002" s="131"/>
    </row>
    <row r="1003" spans="49:49" x14ac:dyDescent="0.25">
      <c r="AW1003" s="131"/>
    </row>
    <row r="1004" spans="49:49" x14ac:dyDescent="0.25">
      <c r="AW1004" s="131"/>
    </row>
    <row r="1005" spans="49:49" x14ac:dyDescent="0.25">
      <c r="AW1005" s="131"/>
    </row>
    <row r="1006" spans="49:49" x14ac:dyDescent="0.25">
      <c r="AW1006" s="131"/>
    </row>
    <row r="1007" spans="49:49" x14ac:dyDescent="0.25">
      <c r="AW1007" s="131"/>
    </row>
    <row r="1008" spans="49:49" x14ac:dyDescent="0.25">
      <c r="AW1008" s="131"/>
    </row>
    <row r="1009" spans="49:49" x14ac:dyDescent="0.25">
      <c r="AW1009" s="131"/>
    </row>
    <row r="1010" spans="49:49" x14ac:dyDescent="0.25">
      <c r="AW1010" s="131"/>
    </row>
    <row r="1011" spans="49:49" x14ac:dyDescent="0.25">
      <c r="AW1011" s="131"/>
    </row>
    <row r="1012" spans="49:49" x14ac:dyDescent="0.25">
      <c r="AW1012" s="131"/>
    </row>
    <row r="1013" spans="49:49" x14ac:dyDescent="0.25">
      <c r="AW1013" s="131"/>
    </row>
    <row r="1014" spans="49:49" x14ac:dyDescent="0.25">
      <c r="AW1014" s="131"/>
    </row>
    <row r="1015" spans="49:49" x14ac:dyDescent="0.25">
      <c r="AW1015" s="131"/>
    </row>
    <row r="1016" spans="49:49" x14ac:dyDescent="0.25">
      <c r="AW1016" s="131"/>
    </row>
    <row r="1017" spans="49:49" x14ac:dyDescent="0.25">
      <c r="AW1017" s="131"/>
    </row>
    <row r="1018" spans="49:49" x14ac:dyDescent="0.25">
      <c r="AW1018" s="131"/>
    </row>
    <row r="1019" spans="49:49" x14ac:dyDescent="0.25">
      <c r="AW1019" s="131"/>
    </row>
    <row r="1020" spans="49:49" x14ac:dyDescent="0.25">
      <c r="AW1020" s="131"/>
    </row>
    <row r="1021" spans="49:49" x14ac:dyDescent="0.25">
      <c r="AW1021" s="131"/>
    </row>
    <row r="1022" spans="49:49" x14ac:dyDescent="0.25">
      <c r="AW1022" s="131"/>
    </row>
    <row r="1023" spans="49:49" x14ac:dyDescent="0.25">
      <c r="AW1023" s="131"/>
    </row>
    <row r="1024" spans="49:49" x14ac:dyDescent="0.25">
      <c r="AW1024" s="131"/>
    </row>
    <row r="1025" spans="49:49" x14ac:dyDescent="0.25">
      <c r="AW1025" s="131"/>
    </row>
    <row r="1026" spans="49:49" x14ac:dyDescent="0.25">
      <c r="AW1026" s="131"/>
    </row>
    <row r="1027" spans="49:49" x14ac:dyDescent="0.25">
      <c r="AW1027" s="131"/>
    </row>
    <row r="1028" spans="49:49" x14ac:dyDescent="0.25">
      <c r="AW1028" s="131"/>
    </row>
    <row r="1029" spans="49:49" x14ac:dyDescent="0.25">
      <c r="AW1029" s="131"/>
    </row>
    <row r="1030" spans="49:49" x14ac:dyDescent="0.25">
      <c r="AW1030" s="131"/>
    </row>
    <row r="1031" spans="49:49" x14ac:dyDescent="0.25">
      <c r="AW1031" s="131"/>
    </row>
    <row r="1032" spans="49:49" x14ac:dyDescent="0.25">
      <c r="AW1032" s="131"/>
    </row>
    <row r="1033" spans="49:49" x14ac:dyDescent="0.25">
      <c r="AW1033" s="131"/>
    </row>
    <row r="1034" spans="49:49" x14ac:dyDescent="0.25">
      <c r="AW1034" s="131"/>
    </row>
    <row r="1035" spans="49:49" x14ac:dyDescent="0.25">
      <c r="AW1035" s="131"/>
    </row>
    <row r="1036" spans="49:49" x14ac:dyDescent="0.25">
      <c r="AW1036" s="131"/>
    </row>
    <row r="1037" spans="49:49" x14ac:dyDescent="0.25">
      <c r="AW1037" s="131"/>
    </row>
    <row r="1038" spans="49:49" x14ac:dyDescent="0.25">
      <c r="AW1038" s="131"/>
    </row>
    <row r="1039" spans="49:49" x14ac:dyDescent="0.25">
      <c r="AW1039" s="131"/>
    </row>
    <row r="1040" spans="49:49" x14ac:dyDescent="0.25">
      <c r="AW1040" s="131"/>
    </row>
    <row r="1041" spans="49:49" x14ac:dyDescent="0.25">
      <c r="AW1041" s="131"/>
    </row>
    <row r="1042" spans="49:49" x14ac:dyDescent="0.25">
      <c r="AW1042" s="131"/>
    </row>
    <row r="1043" spans="49:49" x14ac:dyDescent="0.25">
      <c r="AW1043" s="131"/>
    </row>
    <row r="1044" spans="49:49" x14ac:dyDescent="0.25">
      <c r="AW1044" s="131"/>
    </row>
    <row r="1045" spans="49:49" x14ac:dyDescent="0.25">
      <c r="AW1045" s="131"/>
    </row>
    <row r="1046" spans="49:49" x14ac:dyDescent="0.25">
      <c r="AW1046" s="131"/>
    </row>
    <row r="1047" spans="49:49" x14ac:dyDescent="0.25">
      <c r="AW1047" s="131"/>
    </row>
    <row r="1048" spans="49:49" x14ac:dyDescent="0.25">
      <c r="AW1048" s="131"/>
    </row>
    <row r="1049" spans="49:49" x14ac:dyDescent="0.25">
      <c r="AW1049" s="131"/>
    </row>
    <row r="1050" spans="49:49" x14ac:dyDescent="0.25">
      <c r="AW1050" s="131"/>
    </row>
    <row r="1051" spans="49:49" x14ac:dyDescent="0.25">
      <c r="AW1051" s="131"/>
    </row>
    <row r="1052" spans="49:49" x14ac:dyDescent="0.25">
      <c r="AW1052" s="131"/>
    </row>
    <row r="1053" spans="49:49" x14ac:dyDescent="0.25">
      <c r="AW1053" s="131"/>
    </row>
    <row r="1054" spans="49:49" x14ac:dyDescent="0.25">
      <c r="AW1054" s="131"/>
    </row>
    <row r="1055" spans="49:49" x14ac:dyDescent="0.25">
      <c r="AW1055" s="131"/>
    </row>
    <row r="1056" spans="49:49" x14ac:dyDescent="0.25">
      <c r="AW1056" s="131"/>
    </row>
    <row r="1057" spans="49:49" x14ac:dyDescent="0.25">
      <c r="AW1057" s="131"/>
    </row>
    <row r="1058" spans="49:49" x14ac:dyDescent="0.25">
      <c r="AW1058" s="131"/>
    </row>
    <row r="1059" spans="49:49" x14ac:dyDescent="0.25">
      <c r="AW1059" s="131"/>
    </row>
    <row r="1060" spans="49:49" x14ac:dyDescent="0.25">
      <c r="AW1060" s="131"/>
    </row>
    <row r="1061" spans="49:49" x14ac:dyDescent="0.25">
      <c r="AW1061" s="131"/>
    </row>
    <row r="1062" spans="49:49" x14ac:dyDescent="0.25">
      <c r="AW1062" s="131"/>
    </row>
    <row r="1063" spans="49:49" x14ac:dyDescent="0.25">
      <c r="AW1063" s="131"/>
    </row>
    <row r="1064" spans="49:49" x14ac:dyDescent="0.25">
      <c r="AW1064" s="131"/>
    </row>
    <row r="1065" spans="49:49" x14ac:dyDescent="0.25">
      <c r="AW1065" s="131"/>
    </row>
    <row r="1066" spans="49:49" x14ac:dyDescent="0.25">
      <c r="AW1066" s="131"/>
    </row>
    <row r="1067" spans="49:49" x14ac:dyDescent="0.25">
      <c r="AW1067" s="131"/>
    </row>
    <row r="1068" spans="49:49" x14ac:dyDescent="0.25">
      <c r="AW1068" s="131"/>
    </row>
    <row r="1069" spans="49:49" x14ac:dyDescent="0.25">
      <c r="AW1069" s="131"/>
    </row>
    <row r="1070" spans="49:49" x14ac:dyDescent="0.25">
      <c r="AW1070" s="131"/>
    </row>
    <row r="1071" spans="49:49" x14ac:dyDescent="0.25">
      <c r="AW1071" s="131"/>
    </row>
    <row r="1072" spans="49:49" x14ac:dyDescent="0.25">
      <c r="AW1072" s="131"/>
    </row>
    <row r="1073" spans="49:49" x14ac:dyDescent="0.25">
      <c r="AW1073" s="131"/>
    </row>
    <row r="1074" spans="49:49" x14ac:dyDescent="0.25">
      <c r="AW1074" s="131"/>
    </row>
    <row r="1075" spans="49:49" x14ac:dyDescent="0.25">
      <c r="AW1075" s="131"/>
    </row>
    <row r="1076" spans="49:49" x14ac:dyDescent="0.25">
      <c r="AW1076" s="131"/>
    </row>
    <row r="1077" spans="49:49" x14ac:dyDescent="0.25">
      <c r="AW1077" s="131"/>
    </row>
    <row r="1078" spans="49:49" x14ac:dyDescent="0.25">
      <c r="AW1078" s="131"/>
    </row>
    <row r="1079" spans="49:49" x14ac:dyDescent="0.25">
      <c r="AW1079" s="131"/>
    </row>
    <row r="1080" spans="49:49" x14ac:dyDescent="0.25">
      <c r="AW1080" s="131"/>
    </row>
    <row r="1081" spans="49:49" x14ac:dyDescent="0.25">
      <c r="AW1081" s="131"/>
    </row>
    <row r="1082" spans="49:49" x14ac:dyDescent="0.25">
      <c r="AW1082" s="131"/>
    </row>
    <row r="1083" spans="49:49" x14ac:dyDescent="0.25">
      <c r="AW1083" s="131"/>
    </row>
    <row r="1084" spans="49:49" x14ac:dyDescent="0.25">
      <c r="AW1084" s="131"/>
    </row>
    <row r="1085" spans="49:49" x14ac:dyDescent="0.25">
      <c r="AW1085" s="131"/>
    </row>
    <row r="1086" spans="49:49" x14ac:dyDescent="0.25">
      <c r="AW1086" s="131"/>
    </row>
    <row r="1087" spans="49:49" x14ac:dyDescent="0.25">
      <c r="AW1087" s="131"/>
    </row>
    <row r="1088" spans="49:49" x14ac:dyDescent="0.25">
      <c r="AW1088" s="131"/>
    </row>
    <row r="1089" spans="49:49" x14ac:dyDescent="0.25">
      <c r="AW1089" s="131"/>
    </row>
    <row r="1090" spans="49:49" x14ac:dyDescent="0.25">
      <c r="AW1090" s="131"/>
    </row>
    <row r="1091" spans="49:49" x14ac:dyDescent="0.25">
      <c r="AW1091" s="131"/>
    </row>
    <row r="1092" spans="49:49" x14ac:dyDescent="0.25">
      <c r="AW1092" s="131"/>
    </row>
    <row r="1093" spans="49:49" x14ac:dyDescent="0.25">
      <c r="AW1093" s="131"/>
    </row>
    <row r="1094" spans="49:49" x14ac:dyDescent="0.25">
      <c r="AW1094" s="131"/>
    </row>
    <row r="1095" spans="49:49" x14ac:dyDescent="0.25">
      <c r="AW1095" s="131"/>
    </row>
    <row r="1096" spans="49:49" x14ac:dyDescent="0.25">
      <c r="AW1096" s="131"/>
    </row>
    <row r="1097" spans="49:49" x14ac:dyDescent="0.25">
      <c r="AW1097" s="131"/>
    </row>
    <row r="1098" spans="49:49" x14ac:dyDescent="0.25">
      <c r="AW1098" s="131"/>
    </row>
    <row r="1099" spans="49:49" x14ac:dyDescent="0.25">
      <c r="AW1099" s="131"/>
    </row>
    <row r="1100" spans="49:49" x14ac:dyDescent="0.25">
      <c r="AW1100" s="131"/>
    </row>
    <row r="1101" spans="49:49" x14ac:dyDescent="0.25">
      <c r="AW1101" s="131"/>
    </row>
    <row r="1102" spans="49:49" x14ac:dyDescent="0.25">
      <c r="AW1102" s="131"/>
    </row>
    <row r="1103" spans="49:49" x14ac:dyDescent="0.25">
      <c r="AW1103" s="131"/>
    </row>
    <row r="1104" spans="49:49" x14ac:dyDescent="0.25">
      <c r="AW1104" s="131"/>
    </row>
    <row r="1105" spans="49:49" x14ac:dyDescent="0.25">
      <c r="AW1105" s="131"/>
    </row>
    <row r="1106" spans="49:49" x14ac:dyDescent="0.25">
      <c r="AW1106" s="131"/>
    </row>
    <row r="1107" spans="49:49" x14ac:dyDescent="0.25">
      <c r="AW1107" s="131"/>
    </row>
    <row r="1108" spans="49:49" x14ac:dyDescent="0.25">
      <c r="AW1108" s="131"/>
    </row>
    <row r="1109" spans="49:49" x14ac:dyDescent="0.25">
      <c r="AW1109" s="131"/>
    </row>
    <row r="1110" spans="49:49" x14ac:dyDescent="0.25">
      <c r="AW1110" s="131"/>
    </row>
    <row r="1111" spans="49:49" x14ac:dyDescent="0.25">
      <c r="AW1111" s="131"/>
    </row>
    <row r="1112" spans="49:49" x14ac:dyDescent="0.25">
      <c r="AW1112" s="131"/>
    </row>
    <row r="1113" spans="49:49" x14ac:dyDescent="0.25">
      <c r="AW1113" s="131"/>
    </row>
    <row r="1114" spans="49:49" x14ac:dyDescent="0.25">
      <c r="AW1114" s="131"/>
    </row>
    <row r="1115" spans="49:49" x14ac:dyDescent="0.25">
      <c r="AW1115" s="131"/>
    </row>
    <row r="1116" spans="49:49" x14ac:dyDescent="0.25">
      <c r="AW1116" s="131"/>
    </row>
    <row r="1117" spans="49:49" x14ac:dyDescent="0.25">
      <c r="AW1117" s="131"/>
    </row>
    <row r="1118" spans="49:49" x14ac:dyDescent="0.25">
      <c r="AW1118" s="131"/>
    </row>
    <row r="1119" spans="49:49" x14ac:dyDescent="0.25">
      <c r="AW1119" s="131"/>
    </row>
    <row r="1120" spans="49:49" x14ac:dyDescent="0.25">
      <c r="AW1120" s="131"/>
    </row>
    <row r="1121" spans="49:49" x14ac:dyDescent="0.25">
      <c r="AW1121" s="131"/>
    </row>
    <row r="1122" spans="49:49" x14ac:dyDescent="0.25">
      <c r="AW1122" s="131"/>
    </row>
    <row r="1123" spans="49:49" x14ac:dyDescent="0.25">
      <c r="AW1123" s="131"/>
    </row>
    <row r="1124" spans="49:49" x14ac:dyDescent="0.25">
      <c r="AW1124" s="131"/>
    </row>
    <row r="1125" spans="49:49" x14ac:dyDescent="0.25">
      <c r="AW1125" s="131"/>
    </row>
    <row r="1126" spans="49:49" x14ac:dyDescent="0.25">
      <c r="AW1126" s="131"/>
    </row>
    <row r="1127" spans="49:49" x14ac:dyDescent="0.25">
      <c r="AW1127" s="131"/>
    </row>
    <row r="1128" spans="49:49" x14ac:dyDescent="0.25">
      <c r="AW1128" s="131"/>
    </row>
    <row r="1129" spans="49:49" x14ac:dyDescent="0.25">
      <c r="AW1129" s="131"/>
    </row>
    <row r="1130" spans="49:49" x14ac:dyDescent="0.25">
      <c r="AW1130" s="131"/>
    </row>
    <row r="1131" spans="49:49" x14ac:dyDescent="0.25">
      <c r="AW1131" s="131"/>
    </row>
    <row r="1132" spans="49:49" x14ac:dyDescent="0.25">
      <c r="AW1132" s="131"/>
    </row>
    <row r="1133" spans="49:49" x14ac:dyDescent="0.25">
      <c r="AW1133" s="131"/>
    </row>
    <row r="1134" spans="49:49" x14ac:dyDescent="0.25">
      <c r="AW1134" s="131"/>
    </row>
    <row r="1135" spans="49:49" x14ac:dyDescent="0.25">
      <c r="AW1135" s="131"/>
    </row>
    <row r="1136" spans="49:49" x14ac:dyDescent="0.25">
      <c r="AW1136" s="131"/>
    </row>
    <row r="1137" spans="49:49" x14ac:dyDescent="0.25">
      <c r="AW1137" s="131"/>
    </row>
    <row r="1138" spans="49:49" x14ac:dyDescent="0.25">
      <c r="AW1138" s="131"/>
    </row>
    <row r="1139" spans="49:49" x14ac:dyDescent="0.25">
      <c r="AW1139" s="131"/>
    </row>
    <row r="1140" spans="49:49" x14ac:dyDescent="0.25">
      <c r="AW1140" s="131"/>
    </row>
    <row r="1141" spans="49:49" x14ac:dyDescent="0.25">
      <c r="AW1141" s="131"/>
    </row>
    <row r="1142" spans="49:49" x14ac:dyDescent="0.25">
      <c r="AW1142" s="131"/>
    </row>
    <row r="1143" spans="49:49" x14ac:dyDescent="0.25">
      <c r="AW1143" s="131"/>
    </row>
    <row r="1144" spans="49:49" x14ac:dyDescent="0.25">
      <c r="AW1144" s="131"/>
    </row>
    <row r="1145" spans="49:49" x14ac:dyDescent="0.25">
      <c r="AW1145" s="131"/>
    </row>
    <row r="1146" spans="49:49" x14ac:dyDescent="0.25">
      <c r="AW1146" s="131"/>
    </row>
    <row r="1147" spans="49:49" x14ac:dyDescent="0.25">
      <c r="AW1147" s="131"/>
    </row>
    <row r="1148" spans="49:49" x14ac:dyDescent="0.25">
      <c r="AW1148" s="131"/>
    </row>
    <row r="1149" spans="49:49" x14ac:dyDescent="0.25">
      <c r="AW1149" s="131"/>
    </row>
    <row r="1150" spans="49:49" x14ac:dyDescent="0.25">
      <c r="AW1150" s="131"/>
    </row>
    <row r="1151" spans="49:49" x14ac:dyDescent="0.25">
      <c r="AW1151" s="131"/>
    </row>
    <row r="1152" spans="49:49" x14ac:dyDescent="0.25">
      <c r="AW1152" s="131"/>
    </row>
    <row r="1153" spans="49:49" x14ac:dyDescent="0.25">
      <c r="AW1153" s="131"/>
    </row>
    <row r="1154" spans="49:49" x14ac:dyDescent="0.25">
      <c r="AW1154" s="131"/>
    </row>
    <row r="1155" spans="49:49" x14ac:dyDescent="0.25">
      <c r="AW1155" s="131"/>
    </row>
    <row r="1156" spans="49:49" x14ac:dyDescent="0.25">
      <c r="AW1156" s="131"/>
    </row>
    <row r="1157" spans="49:49" x14ac:dyDescent="0.25">
      <c r="AW1157" s="131"/>
    </row>
    <row r="1158" spans="49:49" x14ac:dyDescent="0.25">
      <c r="AW1158" s="131"/>
    </row>
    <row r="1159" spans="49:49" x14ac:dyDescent="0.25">
      <c r="AW1159" s="131"/>
    </row>
    <row r="1160" spans="49:49" x14ac:dyDescent="0.25">
      <c r="AW1160" s="131"/>
    </row>
    <row r="1161" spans="49:49" x14ac:dyDescent="0.25">
      <c r="AW1161" s="131"/>
    </row>
    <row r="1162" spans="49:49" x14ac:dyDescent="0.25">
      <c r="AW1162" s="131"/>
    </row>
    <row r="1163" spans="49:49" x14ac:dyDescent="0.25">
      <c r="AW1163" s="131"/>
    </row>
    <row r="1164" spans="49:49" x14ac:dyDescent="0.25">
      <c r="AW1164" s="131"/>
    </row>
    <row r="1165" spans="49:49" x14ac:dyDescent="0.25">
      <c r="AW1165" s="131"/>
    </row>
    <row r="1166" spans="49:49" x14ac:dyDescent="0.25">
      <c r="AW1166" s="131"/>
    </row>
    <row r="1167" spans="49:49" x14ac:dyDescent="0.25">
      <c r="AW1167" s="131"/>
    </row>
    <row r="1168" spans="49:49" x14ac:dyDescent="0.25">
      <c r="AW1168" s="131"/>
    </row>
    <row r="1169" spans="49:49" x14ac:dyDescent="0.25">
      <c r="AW1169" s="131"/>
    </row>
    <row r="1170" spans="49:49" x14ac:dyDescent="0.25">
      <c r="AW1170" s="131"/>
    </row>
    <row r="1171" spans="49:49" x14ac:dyDescent="0.25">
      <c r="AW1171" s="131"/>
    </row>
    <row r="1172" spans="49:49" x14ac:dyDescent="0.25">
      <c r="AW1172" s="131"/>
    </row>
    <row r="1173" spans="49:49" x14ac:dyDescent="0.25">
      <c r="AW1173" s="131"/>
    </row>
    <row r="1174" spans="49:49" x14ac:dyDescent="0.25">
      <c r="AW1174" s="131"/>
    </row>
    <row r="1175" spans="49:49" x14ac:dyDescent="0.25">
      <c r="AW1175" s="131"/>
    </row>
    <row r="1176" spans="49:49" x14ac:dyDescent="0.25">
      <c r="AW1176" s="131"/>
    </row>
    <row r="1177" spans="49:49" x14ac:dyDescent="0.25">
      <c r="AW1177" s="131"/>
    </row>
    <row r="1178" spans="49:49" x14ac:dyDescent="0.25">
      <c r="AW1178" s="131"/>
    </row>
    <row r="1179" spans="49:49" x14ac:dyDescent="0.25">
      <c r="AW1179" s="131"/>
    </row>
    <row r="1180" spans="49:49" x14ac:dyDescent="0.25">
      <c r="AW1180" s="131"/>
    </row>
    <row r="1181" spans="49:49" x14ac:dyDescent="0.25">
      <c r="AW1181" s="131"/>
    </row>
    <row r="1182" spans="49:49" x14ac:dyDescent="0.25">
      <c r="AW1182" s="131"/>
    </row>
    <row r="1183" spans="49:49" x14ac:dyDescent="0.25">
      <c r="AW1183" s="131"/>
    </row>
    <row r="1184" spans="49:49" x14ac:dyDescent="0.25">
      <c r="AW1184" s="131"/>
    </row>
    <row r="1185" spans="49:49" x14ac:dyDescent="0.25">
      <c r="AW1185" s="131"/>
    </row>
    <row r="1186" spans="49:49" x14ac:dyDescent="0.25">
      <c r="AW1186" s="131"/>
    </row>
    <row r="1187" spans="49:49" x14ac:dyDescent="0.25">
      <c r="AW1187" s="131"/>
    </row>
    <row r="1188" spans="49:49" x14ac:dyDescent="0.25">
      <c r="AW1188" s="131"/>
    </row>
    <row r="1189" spans="49:49" x14ac:dyDescent="0.25">
      <c r="AW1189" s="131"/>
    </row>
    <row r="1190" spans="49:49" x14ac:dyDescent="0.25">
      <c r="AW1190" s="131"/>
    </row>
    <row r="1191" spans="49:49" x14ac:dyDescent="0.25">
      <c r="AW1191" s="131"/>
    </row>
    <row r="1192" spans="49:49" x14ac:dyDescent="0.25">
      <c r="AW1192" s="131"/>
    </row>
    <row r="1193" spans="49:49" x14ac:dyDescent="0.25">
      <c r="AW1193" s="131"/>
    </row>
    <row r="1194" spans="49:49" x14ac:dyDescent="0.25">
      <c r="AW1194" s="131"/>
    </row>
    <row r="1195" spans="49:49" x14ac:dyDescent="0.25">
      <c r="AW1195" s="131"/>
    </row>
    <row r="1196" spans="49:49" x14ac:dyDescent="0.25">
      <c r="AW1196" s="131"/>
    </row>
    <row r="1197" spans="49:49" x14ac:dyDescent="0.25">
      <c r="AW1197" s="131"/>
    </row>
    <row r="1198" spans="49:49" x14ac:dyDescent="0.25">
      <c r="AW1198" s="131"/>
    </row>
    <row r="1199" spans="49:49" x14ac:dyDescent="0.25">
      <c r="AW1199" s="131"/>
    </row>
    <row r="1200" spans="49:49" x14ac:dyDescent="0.25">
      <c r="AW1200" s="131"/>
    </row>
    <row r="1201" spans="49:49" x14ac:dyDescent="0.25">
      <c r="AW1201" s="131"/>
    </row>
    <row r="1202" spans="49:49" x14ac:dyDescent="0.25">
      <c r="AW1202" s="131"/>
    </row>
    <row r="1203" spans="49:49" x14ac:dyDescent="0.25">
      <c r="AW1203" s="131"/>
    </row>
    <row r="1204" spans="49:49" x14ac:dyDescent="0.25">
      <c r="AW1204" s="131"/>
    </row>
    <row r="1205" spans="49:49" x14ac:dyDescent="0.25">
      <c r="AW1205" s="131"/>
    </row>
    <row r="1206" spans="49:49" x14ac:dyDescent="0.25">
      <c r="AW1206" s="131"/>
    </row>
    <row r="1207" spans="49:49" x14ac:dyDescent="0.25">
      <c r="AW1207" s="131"/>
    </row>
    <row r="1208" spans="49:49" x14ac:dyDescent="0.25">
      <c r="AW1208" s="131"/>
    </row>
    <row r="1209" spans="49:49" x14ac:dyDescent="0.25">
      <c r="AW1209" s="131"/>
    </row>
    <row r="1210" spans="49:49" x14ac:dyDescent="0.25">
      <c r="AW1210" s="131"/>
    </row>
    <row r="1211" spans="49:49" x14ac:dyDescent="0.25">
      <c r="AW1211" s="131"/>
    </row>
    <row r="1212" spans="49:49" x14ac:dyDescent="0.25">
      <c r="AW1212" s="131"/>
    </row>
    <row r="1213" spans="49:49" x14ac:dyDescent="0.25">
      <c r="AW1213" s="131"/>
    </row>
    <row r="1214" spans="49:49" x14ac:dyDescent="0.25">
      <c r="AW1214" s="131"/>
    </row>
    <row r="1215" spans="49:49" x14ac:dyDescent="0.25">
      <c r="AW1215" s="131"/>
    </row>
    <row r="1216" spans="49:49" x14ac:dyDescent="0.25">
      <c r="AW1216" s="131"/>
    </row>
    <row r="1217" spans="49:49" x14ac:dyDescent="0.25">
      <c r="AW1217" s="131"/>
    </row>
    <row r="1218" spans="49:49" x14ac:dyDescent="0.25">
      <c r="AW1218" s="131"/>
    </row>
    <row r="1219" spans="49:49" x14ac:dyDescent="0.25">
      <c r="AW1219" s="131"/>
    </row>
    <row r="1220" spans="49:49" x14ac:dyDescent="0.25">
      <c r="AW1220" s="131"/>
    </row>
    <row r="1221" spans="49:49" x14ac:dyDescent="0.25">
      <c r="AW1221" s="131"/>
    </row>
    <row r="1222" spans="49:49" x14ac:dyDescent="0.25">
      <c r="AW1222" s="131"/>
    </row>
    <row r="1223" spans="49:49" x14ac:dyDescent="0.25">
      <c r="AW1223" s="131"/>
    </row>
    <row r="1224" spans="49:49" x14ac:dyDescent="0.25">
      <c r="AW1224" s="131"/>
    </row>
    <row r="1225" spans="49:49" x14ac:dyDescent="0.25">
      <c r="AW1225" s="131"/>
    </row>
    <row r="1226" spans="49:49" x14ac:dyDescent="0.25">
      <c r="AW1226" s="131"/>
    </row>
    <row r="1227" spans="49:49" x14ac:dyDescent="0.25">
      <c r="AW1227" s="131"/>
    </row>
    <row r="1228" spans="49:49" x14ac:dyDescent="0.25">
      <c r="AW1228" s="131"/>
    </row>
    <row r="1229" spans="49:49" x14ac:dyDescent="0.25">
      <c r="AW1229" s="131"/>
    </row>
    <row r="1230" spans="49:49" x14ac:dyDescent="0.25">
      <c r="AW1230" s="131"/>
    </row>
    <row r="1231" spans="49:49" x14ac:dyDescent="0.25">
      <c r="AW1231" s="131"/>
    </row>
    <row r="1232" spans="49:49" x14ac:dyDescent="0.25">
      <c r="AW1232" s="131"/>
    </row>
    <row r="1233" spans="49:49" x14ac:dyDescent="0.25">
      <c r="AW1233" s="131"/>
    </row>
    <row r="1234" spans="49:49" x14ac:dyDescent="0.25">
      <c r="AW1234" s="131"/>
    </row>
    <row r="1235" spans="49:49" x14ac:dyDescent="0.25">
      <c r="AW1235" s="131"/>
    </row>
    <row r="1236" spans="49:49" x14ac:dyDescent="0.25">
      <c r="AW1236" s="131"/>
    </row>
    <row r="1237" spans="49:49" x14ac:dyDescent="0.25">
      <c r="AW1237" s="131"/>
    </row>
    <row r="1238" spans="49:49" x14ac:dyDescent="0.25">
      <c r="AW1238" s="131"/>
    </row>
    <row r="1239" spans="49:49" x14ac:dyDescent="0.25">
      <c r="AW1239" s="131"/>
    </row>
    <row r="1240" spans="49:49" x14ac:dyDescent="0.25">
      <c r="AW1240" s="131"/>
    </row>
    <row r="1241" spans="49:49" x14ac:dyDescent="0.25">
      <c r="AW1241" s="131"/>
    </row>
    <row r="1242" spans="49:49" x14ac:dyDescent="0.25">
      <c r="AW1242" s="131"/>
    </row>
    <row r="1243" spans="49:49" x14ac:dyDescent="0.25">
      <c r="AW1243" s="131"/>
    </row>
    <row r="1244" spans="49:49" x14ac:dyDescent="0.25">
      <c r="AW1244" s="131"/>
    </row>
    <row r="1245" spans="49:49" x14ac:dyDescent="0.25">
      <c r="AW1245" s="131"/>
    </row>
    <row r="1246" spans="49:49" x14ac:dyDescent="0.25">
      <c r="AW1246" s="131"/>
    </row>
    <row r="1247" spans="49:49" x14ac:dyDescent="0.25">
      <c r="AW1247" s="131"/>
    </row>
    <row r="1248" spans="49:49" x14ac:dyDescent="0.25">
      <c r="AW1248" s="131"/>
    </row>
    <row r="1249" spans="49:49" x14ac:dyDescent="0.25">
      <c r="AW1249" s="131"/>
    </row>
    <row r="1250" spans="49:49" x14ac:dyDescent="0.25">
      <c r="AW1250" s="131"/>
    </row>
    <row r="1251" spans="49:49" x14ac:dyDescent="0.25">
      <c r="AW1251" s="131"/>
    </row>
    <row r="1252" spans="49:49" x14ac:dyDescent="0.25">
      <c r="AW1252" s="131"/>
    </row>
    <row r="1253" spans="49:49" x14ac:dyDescent="0.25">
      <c r="AW1253" s="131"/>
    </row>
    <row r="1254" spans="49:49" x14ac:dyDescent="0.25">
      <c r="AW1254" s="131"/>
    </row>
    <row r="1255" spans="49:49" x14ac:dyDescent="0.25">
      <c r="AW1255" s="131"/>
    </row>
    <row r="1256" spans="49:49" x14ac:dyDescent="0.25">
      <c r="AW1256" s="131"/>
    </row>
    <row r="1257" spans="49:49" x14ac:dyDescent="0.25">
      <c r="AW1257" s="131"/>
    </row>
    <row r="1258" spans="49:49" x14ac:dyDescent="0.25">
      <c r="AW1258" s="131"/>
    </row>
    <row r="1259" spans="49:49" x14ac:dyDescent="0.25">
      <c r="AW1259" s="131"/>
    </row>
    <row r="1260" spans="49:49" x14ac:dyDescent="0.25">
      <c r="AW1260" s="131"/>
    </row>
    <row r="1261" spans="49:49" x14ac:dyDescent="0.25">
      <c r="AW1261" s="131"/>
    </row>
    <row r="1262" spans="49:49" x14ac:dyDescent="0.25">
      <c r="AW1262" s="131"/>
    </row>
    <row r="1263" spans="49:49" x14ac:dyDescent="0.25">
      <c r="AW1263" s="131"/>
    </row>
    <row r="1264" spans="49:49" x14ac:dyDescent="0.25">
      <c r="AW1264" s="131"/>
    </row>
    <row r="1265" spans="49:49" x14ac:dyDescent="0.25">
      <c r="AW1265" s="131"/>
    </row>
    <row r="1266" spans="49:49" x14ac:dyDescent="0.25">
      <c r="AW1266" s="131"/>
    </row>
    <row r="1267" spans="49:49" x14ac:dyDescent="0.25">
      <c r="AW1267" s="131"/>
    </row>
    <row r="1268" spans="49:49" x14ac:dyDescent="0.25">
      <c r="AW1268" s="131"/>
    </row>
    <row r="1269" spans="49:49" x14ac:dyDescent="0.25">
      <c r="AW1269" s="131"/>
    </row>
    <row r="1270" spans="49:49" x14ac:dyDescent="0.25">
      <c r="AW1270" s="131"/>
    </row>
    <row r="1271" spans="49:49" x14ac:dyDescent="0.25">
      <c r="AW1271" s="131"/>
    </row>
    <row r="1272" spans="49:49" x14ac:dyDescent="0.25">
      <c r="AW1272" s="131"/>
    </row>
    <row r="1273" spans="49:49" x14ac:dyDescent="0.25">
      <c r="AW1273" s="131"/>
    </row>
    <row r="1274" spans="49:49" x14ac:dyDescent="0.25">
      <c r="AW1274" s="131"/>
    </row>
    <row r="1275" spans="49:49" x14ac:dyDescent="0.25">
      <c r="AW1275" s="131"/>
    </row>
    <row r="1276" spans="49:49" x14ac:dyDescent="0.25">
      <c r="AW1276" s="131"/>
    </row>
    <row r="1277" spans="49:49" x14ac:dyDescent="0.25">
      <c r="AW1277" s="131"/>
    </row>
    <row r="1278" spans="49:49" x14ac:dyDescent="0.25">
      <c r="AW1278" s="131"/>
    </row>
    <row r="1279" spans="49:49" x14ac:dyDescent="0.25">
      <c r="AW1279" s="131"/>
    </row>
    <row r="1280" spans="49:49" x14ac:dyDescent="0.25">
      <c r="AW1280" s="131"/>
    </row>
    <row r="1281" spans="49:49" x14ac:dyDescent="0.25">
      <c r="AW1281" s="131"/>
    </row>
    <row r="1282" spans="49:49" x14ac:dyDescent="0.25">
      <c r="AW1282" s="131"/>
    </row>
    <row r="1283" spans="49:49" x14ac:dyDescent="0.25">
      <c r="AW1283" s="131"/>
    </row>
    <row r="1284" spans="49:49" x14ac:dyDescent="0.25">
      <c r="AW1284" s="131"/>
    </row>
    <row r="1285" spans="49:49" x14ac:dyDescent="0.25">
      <c r="AW1285" s="131"/>
    </row>
    <row r="1286" spans="49:49" x14ac:dyDescent="0.25">
      <c r="AW1286" s="131"/>
    </row>
    <row r="1287" spans="49:49" x14ac:dyDescent="0.25">
      <c r="AW1287" s="131"/>
    </row>
    <row r="1288" spans="49:49" x14ac:dyDescent="0.25">
      <c r="AW1288" s="131"/>
    </row>
    <row r="1289" spans="49:49" x14ac:dyDescent="0.25">
      <c r="AW1289" s="131"/>
    </row>
    <row r="1290" spans="49:49" x14ac:dyDescent="0.25">
      <c r="AW1290" s="131"/>
    </row>
    <row r="1291" spans="49:49" x14ac:dyDescent="0.25">
      <c r="AW1291" s="131"/>
    </row>
    <row r="1292" spans="49:49" x14ac:dyDescent="0.25">
      <c r="AW1292" s="131"/>
    </row>
    <row r="1293" spans="49:49" x14ac:dyDescent="0.25">
      <c r="AW1293" s="131"/>
    </row>
    <row r="1294" spans="49:49" x14ac:dyDescent="0.25">
      <c r="AW1294" s="131"/>
    </row>
    <row r="1295" spans="49:49" x14ac:dyDescent="0.25">
      <c r="AW1295" s="131"/>
    </row>
    <row r="1296" spans="49:49" x14ac:dyDescent="0.25">
      <c r="AW1296" s="131"/>
    </row>
    <row r="1297" spans="49:49" x14ac:dyDescent="0.25">
      <c r="AW1297" s="131"/>
    </row>
    <row r="1298" spans="49:49" x14ac:dyDescent="0.25">
      <c r="AW1298" s="131"/>
    </row>
    <row r="1299" spans="49:49" x14ac:dyDescent="0.25">
      <c r="AW1299" s="131"/>
    </row>
    <row r="1300" spans="49:49" x14ac:dyDescent="0.25">
      <c r="AW1300" s="131"/>
    </row>
    <row r="1301" spans="49:49" x14ac:dyDescent="0.25">
      <c r="AW1301" s="131"/>
    </row>
    <row r="1302" spans="49:49" x14ac:dyDescent="0.25">
      <c r="AW1302" s="131"/>
    </row>
    <row r="1303" spans="49:49" x14ac:dyDescent="0.25">
      <c r="AW1303" s="131"/>
    </row>
    <row r="1304" spans="49:49" x14ac:dyDescent="0.25">
      <c r="AW1304" s="131"/>
    </row>
    <row r="1305" spans="49:49" x14ac:dyDescent="0.25">
      <c r="AW1305" s="131"/>
    </row>
    <row r="1306" spans="49:49" x14ac:dyDescent="0.25">
      <c r="AW1306" s="131"/>
    </row>
    <row r="1307" spans="49:49" x14ac:dyDescent="0.25">
      <c r="AW1307" s="131"/>
    </row>
    <row r="1308" spans="49:49" x14ac:dyDescent="0.25">
      <c r="AW1308" s="131"/>
    </row>
    <row r="1309" spans="49:49" x14ac:dyDescent="0.25">
      <c r="AW1309" s="131"/>
    </row>
    <row r="1310" spans="49:49" x14ac:dyDescent="0.25">
      <c r="AW1310" s="131"/>
    </row>
    <row r="1311" spans="49:49" x14ac:dyDescent="0.25">
      <c r="AW1311" s="131"/>
    </row>
    <row r="1312" spans="49:49" x14ac:dyDescent="0.25">
      <c r="AW1312" s="131"/>
    </row>
    <row r="1313" spans="49:49" x14ac:dyDescent="0.25">
      <c r="AW1313" s="131"/>
    </row>
    <row r="1314" spans="49:49" x14ac:dyDescent="0.25">
      <c r="AW1314" s="131"/>
    </row>
    <row r="1315" spans="49:49" x14ac:dyDescent="0.25">
      <c r="AW1315" s="131"/>
    </row>
    <row r="1316" spans="49:49" x14ac:dyDescent="0.25">
      <c r="AW1316" s="131"/>
    </row>
    <row r="1317" spans="49:49" x14ac:dyDescent="0.25">
      <c r="AW1317" s="131"/>
    </row>
    <row r="1318" spans="49:49" x14ac:dyDescent="0.25">
      <c r="AW1318" s="131"/>
    </row>
    <row r="1319" spans="49:49" x14ac:dyDescent="0.25">
      <c r="AW1319" s="131"/>
    </row>
    <row r="1320" spans="49:49" x14ac:dyDescent="0.25">
      <c r="AW1320" s="131"/>
    </row>
    <row r="1321" spans="49:49" x14ac:dyDescent="0.25">
      <c r="AW1321" s="131"/>
    </row>
    <row r="1322" spans="49:49" x14ac:dyDescent="0.25">
      <c r="AW1322" s="131"/>
    </row>
    <row r="1323" spans="49:49" x14ac:dyDescent="0.25">
      <c r="AW1323" s="131"/>
    </row>
    <row r="1324" spans="49:49" x14ac:dyDescent="0.25">
      <c r="AW1324" s="131"/>
    </row>
    <row r="1325" spans="49:49" x14ac:dyDescent="0.25">
      <c r="AW1325" s="131"/>
    </row>
    <row r="1326" spans="49:49" x14ac:dyDescent="0.25">
      <c r="AW1326" s="131"/>
    </row>
    <row r="1327" spans="49:49" x14ac:dyDescent="0.25">
      <c r="AW1327" s="131"/>
    </row>
    <row r="1328" spans="49:49" x14ac:dyDescent="0.25">
      <c r="AW1328" s="131"/>
    </row>
    <row r="1329" spans="49:49" x14ac:dyDescent="0.25">
      <c r="AW1329" s="131"/>
    </row>
    <row r="1330" spans="49:49" x14ac:dyDescent="0.25">
      <c r="AW1330" s="131"/>
    </row>
    <row r="1331" spans="49:49" x14ac:dyDescent="0.25">
      <c r="AW1331" s="131"/>
    </row>
    <row r="1332" spans="49:49" x14ac:dyDescent="0.25">
      <c r="AW1332" s="131"/>
    </row>
    <row r="1333" spans="49:49" x14ac:dyDescent="0.25">
      <c r="AW1333" s="131"/>
    </row>
    <row r="1334" spans="49:49" x14ac:dyDescent="0.25">
      <c r="AW1334" s="131"/>
    </row>
    <row r="1335" spans="49:49" x14ac:dyDescent="0.25">
      <c r="AW1335" s="131"/>
    </row>
    <row r="1336" spans="49:49" x14ac:dyDescent="0.25">
      <c r="AW1336" s="131"/>
    </row>
    <row r="1337" spans="49:49" x14ac:dyDescent="0.25">
      <c r="AW1337" s="131"/>
    </row>
    <row r="1338" spans="49:49" x14ac:dyDescent="0.25">
      <c r="AW1338" s="131"/>
    </row>
    <row r="1339" spans="49:49" x14ac:dyDescent="0.25">
      <c r="AW1339" s="131"/>
    </row>
    <row r="1340" spans="49:49" x14ac:dyDescent="0.25">
      <c r="AW1340" s="131"/>
    </row>
    <row r="1341" spans="49:49" x14ac:dyDescent="0.25">
      <c r="AW1341" s="131"/>
    </row>
    <row r="1342" spans="49:49" x14ac:dyDescent="0.25">
      <c r="AW1342" s="131"/>
    </row>
    <row r="1343" spans="49:49" x14ac:dyDescent="0.25">
      <c r="AW1343" s="131"/>
    </row>
    <row r="1344" spans="49:49" x14ac:dyDescent="0.25">
      <c r="AW1344" s="131"/>
    </row>
    <row r="1345" spans="49:49" x14ac:dyDescent="0.25">
      <c r="AW1345" s="131"/>
    </row>
    <row r="1346" spans="49:49" x14ac:dyDescent="0.25">
      <c r="AW1346" s="131"/>
    </row>
    <row r="1347" spans="49:49" x14ac:dyDescent="0.25">
      <c r="AW1347" s="131"/>
    </row>
    <row r="1348" spans="49:49" x14ac:dyDescent="0.25">
      <c r="AW1348" s="131"/>
    </row>
    <row r="1349" spans="49:49" x14ac:dyDescent="0.25">
      <c r="AW1349" s="131"/>
    </row>
    <row r="1350" spans="49:49" x14ac:dyDescent="0.25">
      <c r="AW1350" s="131"/>
    </row>
    <row r="1351" spans="49:49" x14ac:dyDescent="0.25">
      <c r="AW1351" s="131"/>
    </row>
    <row r="1352" spans="49:49" x14ac:dyDescent="0.25">
      <c r="AW1352" s="131"/>
    </row>
    <row r="1353" spans="49:49" x14ac:dyDescent="0.25">
      <c r="AW1353" s="131"/>
    </row>
    <row r="1354" spans="49:49" x14ac:dyDescent="0.25">
      <c r="AW1354" s="131"/>
    </row>
    <row r="1355" spans="49:49" x14ac:dyDescent="0.25">
      <c r="AW1355" s="131"/>
    </row>
    <row r="1356" spans="49:49" x14ac:dyDescent="0.25">
      <c r="AW1356" s="131"/>
    </row>
    <row r="1357" spans="49:49" x14ac:dyDescent="0.25">
      <c r="AW1357" s="131"/>
    </row>
    <row r="1358" spans="49:49" x14ac:dyDescent="0.25">
      <c r="AW1358" s="131"/>
    </row>
    <row r="1359" spans="49:49" x14ac:dyDescent="0.25">
      <c r="AW1359" s="131"/>
    </row>
    <row r="1360" spans="49:49" x14ac:dyDescent="0.25">
      <c r="AW1360" s="131"/>
    </row>
    <row r="1361" spans="49:49" x14ac:dyDescent="0.25">
      <c r="AW1361" s="131"/>
    </row>
    <row r="1362" spans="49:49" x14ac:dyDescent="0.25">
      <c r="AW1362" s="131"/>
    </row>
    <row r="1363" spans="49:49" x14ac:dyDescent="0.25">
      <c r="AW1363" s="131"/>
    </row>
    <row r="1364" spans="49:49" x14ac:dyDescent="0.25">
      <c r="AW1364" s="131"/>
    </row>
    <row r="1365" spans="49:49" x14ac:dyDescent="0.25">
      <c r="AW1365" s="131"/>
    </row>
    <row r="1366" spans="49:49" x14ac:dyDescent="0.25">
      <c r="AW1366" s="131"/>
    </row>
    <row r="1367" spans="49:49" x14ac:dyDescent="0.25">
      <c r="AW1367" s="131"/>
    </row>
    <row r="1368" spans="49:49" x14ac:dyDescent="0.25">
      <c r="AW1368" s="131"/>
    </row>
    <row r="1369" spans="49:49" x14ac:dyDescent="0.25">
      <c r="AW1369" s="131"/>
    </row>
    <row r="1370" spans="49:49" x14ac:dyDescent="0.25">
      <c r="AW1370" s="131"/>
    </row>
    <row r="1371" spans="49:49" x14ac:dyDescent="0.25">
      <c r="AW1371" s="131"/>
    </row>
    <row r="1372" spans="49:49" x14ac:dyDescent="0.25">
      <c r="AW1372" s="131"/>
    </row>
    <row r="1373" spans="49:49" x14ac:dyDescent="0.25">
      <c r="AW1373" s="131"/>
    </row>
    <row r="1374" spans="49:49" x14ac:dyDescent="0.25">
      <c r="AW1374" s="131"/>
    </row>
    <row r="1375" spans="49:49" x14ac:dyDescent="0.25">
      <c r="AW1375" s="131"/>
    </row>
    <row r="1376" spans="49:49" x14ac:dyDescent="0.25">
      <c r="AW1376" s="131"/>
    </row>
    <row r="1377" spans="49:49" x14ac:dyDescent="0.25">
      <c r="AW1377" s="131"/>
    </row>
    <row r="1378" spans="49:49" x14ac:dyDescent="0.25">
      <c r="AW1378" s="131"/>
    </row>
    <row r="1379" spans="49:49" x14ac:dyDescent="0.25">
      <c r="AW1379" s="131"/>
    </row>
    <row r="1380" spans="49:49" x14ac:dyDescent="0.25">
      <c r="AW1380" s="131"/>
    </row>
    <row r="1381" spans="49:49" x14ac:dyDescent="0.25">
      <c r="AW1381" s="131"/>
    </row>
    <row r="1382" spans="49:49" x14ac:dyDescent="0.25">
      <c r="AW1382" s="131"/>
    </row>
    <row r="1383" spans="49:49" x14ac:dyDescent="0.25">
      <c r="AW1383" s="131"/>
    </row>
    <row r="1384" spans="49:49" x14ac:dyDescent="0.25">
      <c r="AW1384" s="131"/>
    </row>
    <row r="1385" spans="49:49" x14ac:dyDescent="0.25">
      <c r="AW1385" s="131"/>
    </row>
    <row r="1386" spans="49:49" x14ac:dyDescent="0.25">
      <c r="AW1386" s="131"/>
    </row>
    <row r="1387" spans="49:49" x14ac:dyDescent="0.25">
      <c r="AW1387" s="131"/>
    </row>
    <row r="1388" spans="49:49" x14ac:dyDescent="0.25">
      <c r="AW1388" s="131"/>
    </row>
    <row r="1389" spans="49:49" x14ac:dyDescent="0.25">
      <c r="AW1389" s="131"/>
    </row>
    <row r="1390" spans="49:49" x14ac:dyDescent="0.25">
      <c r="AW1390" s="131"/>
    </row>
    <row r="1391" spans="49:49" x14ac:dyDescent="0.25">
      <c r="AW1391" s="131"/>
    </row>
    <row r="1392" spans="49:49" x14ac:dyDescent="0.25">
      <c r="AW1392" s="131"/>
    </row>
    <row r="1393" spans="49:49" x14ac:dyDescent="0.25">
      <c r="AW1393" s="131"/>
    </row>
    <row r="1394" spans="49:49" x14ac:dyDescent="0.25">
      <c r="AW1394" s="131"/>
    </row>
    <row r="1395" spans="49:49" x14ac:dyDescent="0.25">
      <c r="AW1395" s="131"/>
    </row>
    <row r="1396" spans="49:49" x14ac:dyDescent="0.25">
      <c r="AW1396" s="131"/>
    </row>
    <row r="1397" spans="49:49" x14ac:dyDescent="0.25">
      <c r="AW1397" s="131"/>
    </row>
    <row r="1398" spans="49:49" x14ac:dyDescent="0.25">
      <c r="AW1398" s="131"/>
    </row>
    <row r="1399" spans="49:49" x14ac:dyDescent="0.25">
      <c r="AW1399" s="131"/>
    </row>
    <row r="1400" spans="49:49" x14ac:dyDescent="0.25">
      <c r="AW1400" s="131"/>
    </row>
    <row r="1401" spans="49:49" x14ac:dyDescent="0.25">
      <c r="AW1401" s="131"/>
    </row>
    <row r="1402" spans="49:49" x14ac:dyDescent="0.25">
      <c r="AW1402" s="131"/>
    </row>
    <row r="1403" spans="49:49" x14ac:dyDescent="0.25">
      <c r="AW1403" s="131"/>
    </row>
    <row r="1404" spans="49:49" x14ac:dyDescent="0.25">
      <c r="AW1404" s="131"/>
    </row>
    <row r="1405" spans="49:49" x14ac:dyDescent="0.25">
      <c r="AW1405" s="131"/>
    </row>
    <row r="1406" spans="49:49" x14ac:dyDescent="0.25">
      <c r="AW1406" s="131"/>
    </row>
    <row r="1407" spans="49:49" x14ac:dyDescent="0.25">
      <c r="AW1407" s="131"/>
    </row>
    <row r="1408" spans="49:49" x14ac:dyDescent="0.25">
      <c r="AW1408" s="131"/>
    </row>
    <row r="1409" spans="49:49" x14ac:dyDescent="0.25">
      <c r="AW1409" s="131"/>
    </row>
    <row r="1410" spans="49:49" x14ac:dyDescent="0.25">
      <c r="AW1410" s="131"/>
    </row>
    <row r="1411" spans="49:49" x14ac:dyDescent="0.25">
      <c r="AW1411" s="131"/>
    </row>
    <row r="1412" spans="49:49" x14ac:dyDescent="0.25">
      <c r="AW1412" s="131"/>
    </row>
    <row r="1413" spans="49:49" x14ac:dyDescent="0.25">
      <c r="AW1413" s="131"/>
    </row>
    <row r="1414" spans="49:49" x14ac:dyDescent="0.25">
      <c r="AW1414" s="131"/>
    </row>
    <row r="1415" spans="49:49" x14ac:dyDescent="0.25">
      <c r="AW1415" s="131"/>
    </row>
    <row r="1416" spans="49:49" x14ac:dyDescent="0.25">
      <c r="AW1416" s="131"/>
    </row>
    <row r="1417" spans="49:49" x14ac:dyDescent="0.25">
      <c r="AW1417" s="131"/>
    </row>
    <row r="1418" spans="49:49" x14ac:dyDescent="0.25">
      <c r="AW1418" s="131"/>
    </row>
    <row r="1419" spans="49:49" x14ac:dyDescent="0.25">
      <c r="AW1419" s="131"/>
    </row>
    <row r="1420" spans="49:49" x14ac:dyDescent="0.25">
      <c r="AW1420" s="131"/>
    </row>
    <row r="1421" spans="49:49" x14ac:dyDescent="0.25">
      <c r="AW1421" s="131"/>
    </row>
    <row r="1422" spans="49:49" x14ac:dyDescent="0.25">
      <c r="AW1422" s="131"/>
    </row>
    <row r="1423" spans="49:49" x14ac:dyDescent="0.25">
      <c r="AW1423" s="131"/>
    </row>
    <row r="1424" spans="49:49" x14ac:dyDescent="0.25">
      <c r="AW1424" s="131"/>
    </row>
    <row r="1425" spans="49:49" x14ac:dyDescent="0.25">
      <c r="AW1425" s="131"/>
    </row>
    <row r="1426" spans="49:49" x14ac:dyDescent="0.25">
      <c r="AW1426" s="131"/>
    </row>
    <row r="1427" spans="49:49" x14ac:dyDescent="0.25">
      <c r="AW1427" s="131"/>
    </row>
    <row r="1428" spans="49:49" x14ac:dyDescent="0.25">
      <c r="AW1428" s="131"/>
    </row>
    <row r="1429" spans="49:49" x14ac:dyDescent="0.25">
      <c r="AW1429" s="131"/>
    </row>
    <row r="1430" spans="49:49" x14ac:dyDescent="0.25">
      <c r="AW1430" s="131"/>
    </row>
    <row r="1431" spans="49:49" x14ac:dyDescent="0.25">
      <c r="AW1431" s="131"/>
    </row>
    <row r="1432" spans="49:49" x14ac:dyDescent="0.25">
      <c r="AW1432" s="131"/>
    </row>
    <row r="1433" spans="49:49" x14ac:dyDescent="0.25">
      <c r="AW1433" s="131"/>
    </row>
    <row r="1434" spans="49:49" x14ac:dyDescent="0.25">
      <c r="AW1434" s="131"/>
    </row>
    <row r="1435" spans="49:49" x14ac:dyDescent="0.25">
      <c r="AW1435" s="131"/>
    </row>
    <row r="1436" spans="49:49" x14ac:dyDescent="0.25">
      <c r="AW1436" s="131"/>
    </row>
    <row r="1437" spans="49:49" x14ac:dyDescent="0.25">
      <c r="AW1437" s="131"/>
    </row>
    <row r="1438" spans="49:49" x14ac:dyDescent="0.25">
      <c r="AW1438" s="131"/>
    </row>
    <row r="1439" spans="49:49" x14ac:dyDescent="0.25">
      <c r="AW1439" s="131"/>
    </row>
    <row r="1440" spans="49:49" x14ac:dyDescent="0.25">
      <c r="AW1440" s="131"/>
    </row>
    <row r="1441" spans="49:49" x14ac:dyDescent="0.25">
      <c r="AW1441" s="131"/>
    </row>
    <row r="1442" spans="49:49" x14ac:dyDescent="0.25">
      <c r="AW1442" s="131"/>
    </row>
    <row r="1443" spans="49:49" x14ac:dyDescent="0.25">
      <c r="AW1443" s="131"/>
    </row>
    <row r="1444" spans="49:49" x14ac:dyDescent="0.25">
      <c r="AW1444" s="131"/>
    </row>
    <row r="1445" spans="49:49" x14ac:dyDescent="0.25">
      <c r="AW1445" s="131"/>
    </row>
    <row r="1446" spans="49:49" x14ac:dyDescent="0.25">
      <c r="AW1446" s="131"/>
    </row>
    <row r="1447" spans="49:49" x14ac:dyDescent="0.25">
      <c r="AW1447" s="131"/>
    </row>
    <row r="1448" spans="49:49" x14ac:dyDescent="0.25">
      <c r="AW1448" s="131"/>
    </row>
    <row r="1449" spans="49:49" x14ac:dyDescent="0.25">
      <c r="AW1449" s="131"/>
    </row>
    <row r="1450" spans="49:49" x14ac:dyDescent="0.25">
      <c r="AW1450" s="131"/>
    </row>
    <row r="1451" spans="49:49" x14ac:dyDescent="0.25">
      <c r="AW1451" s="131"/>
    </row>
    <row r="1452" spans="49:49" x14ac:dyDescent="0.25">
      <c r="AW1452" s="131"/>
    </row>
    <row r="1453" spans="49:49" x14ac:dyDescent="0.25">
      <c r="AW1453" s="131"/>
    </row>
    <row r="1454" spans="49:49" x14ac:dyDescent="0.25">
      <c r="AW1454" s="131"/>
    </row>
    <row r="1455" spans="49:49" x14ac:dyDescent="0.25">
      <c r="AW1455" s="131"/>
    </row>
    <row r="1456" spans="49:49" x14ac:dyDescent="0.25">
      <c r="AW1456" s="131"/>
    </row>
    <row r="1457" spans="49:49" x14ac:dyDescent="0.25">
      <c r="AW1457" s="131"/>
    </row>
    <row r="1458" spans="49:49" x14ac:dyDescent="0.25">
      <c r="AW1458" s="131"/>
    </row>
    <row r="1459" spans="49:49" x14ac:dyDescent="0.25">
      <c r="AW1459" s="131"/>
    </row>
    <row r="1460" spans="49:49" x14ac:dyDescent="0.25">
      <c r="AW1460" s="131"/>
    </row>
    <row r="1461" spans="49:49" x14ac:dyDescent="0.25">
      <c r="AW1461" s="131"/>
    </row>
    <row r="1462" spans="49:49" x14ac:dyDescent="0.25">
      <c r="AW1462" s="131"/>
    </row>
    <row r="1463" spans="49:49" x14ac:dyDescent="0.25">
      <c r="AW1463" s="131"/>
    </row>
    <row r="1464" spans="49:49" x14ac:dyDescent="0.25">
      <c r="AW1464" s="131"/>
    </row>
    <row r="1465" spans="49:49" x14ac:dyDescent="0.25">
      <c r="AW1465" s="131"/>
    </row>
    <row r="1466" spans="49:49" x14ac:dyDescent="0.25">
      <c r="AW1466" s="131"/>
    </row>
    <row r="1467" spans="49:49" x14ac:dyDescent="0.25">
      <c r="AW1467" s="131"/>
    </row>
    <row r="1468" spans="49:49" x14ac:dyDescent="0.25">
      <c r="AW1468" s="131"/>
    </row>
    <row r="1469" spans="49:49" x14ac:dyDescent="0.25">
      <c r="AW1469" s="131"/>
    </row>
    <row r="1470" spans="49:49" x14ac:dyDescent="0.25">
      <c r="AW1470" s="131"/>
    </row>
    <row r="1471" spans="49:49" x14ac:dyDescent="0.25">
      <c r="AW1471" s="131"/>
    </row>
    <row r="1472" spans="49:49" x14ac:dyDescent="0.25">
      <c r="AW1472" s="131"/>
    </row>
    <row r="1473" spans="49:49" x14ac:dyDescent="0.25">
      <c r="AW1473" s="131"/>
    </row>
    <row r="1474" spans="49:49" x14ac:dyDescent="0.25">
      <c r="AW1474" s="131"/>
    </row>
    <row r="1475" spans="49:49" x14ac:dyDescent="0.25">
      <c r="AW1475" s="131"/>
    </row>
    <row r="1476" spans="49:49" x14ac:dyDescent="0.25">
      <c r="AW1476" s="131"/>
    </row>
    <row r="1477" spans="49:49" x14ac:dyDescent="0.25">
      <c r="AW1477" s="131"/>
    </row>
    <row r="1478" spans="49:49" x14ac:dyDescent="0.25">
      <c r="AW1478" s="131"/>
    </row>
    <row r="1479" spans="49:49" x14ac:dyDescent="0.25">
      <c r="AW1479" s="131"/>
    </row>
    <row r="1480" spans="49:49" x14ac:dyDescent="0.25">
      <c r="AW1480" s="131"/>
    </row>
    <row r="1481" spans="49:49" x14ac:dyDescent="0.25">
      <c r="AW1481" s="131"/>
    </row>
    <row r="1482" spans="49:49" x14ac:dyDescent="0.25">
      <c r="AW1482" s="131"/>
    </row>
    <row r="1483" spans="49:49" x14ac:dyDescent="0.25">
      <c r="AW1483" s="131"/>
    </row>
    <row r="1484" spans="49:49" x14ac:dyDescent="0.25">
      <c r="AW1484" s="131"/>
    </row>
    <row r="1485" spans="49:49" x14ac:dyDescent="0.25">
      <c r="AW1485" s="131"/>
    </row>
    <row r="1486" spans="49:49" x14ac:dyDescent="0.25">
      <c r="AW1486" s="131"/>
    </row>
    <row r="1487" spans="49:49" x14ac:dyDescent="0.25">
      <c r="AW1487" s="131"/>
    </row>
    <row r="1488" spans="49:49" x14ac:dyDescent="0.25">
      <c r="AW1488" s="131"/>
    </row>
    <row r="1489" spans="49:49" x14ac:dyDescent="0.25">
      <c r="AW1489" s="131"/>
    </row>
    <row r="1490" spans="49:49" x14ac:dyDescent="0.25">
      <c r="AW1490" s="131"/>
    </row>
    <row r="1491" spans="49:49" x14ac:dyDescent="0.25">
      <c r="AW1491" s="131"/>
    </row>
    <row r="1492" spans="49:49" x14ac:dyDescent="0.25">
      <c r="AW1492" s="131"/>
    </row>
    <row r="1493" spans="49:49" x14ac:dyDescent="0.25">
      <c r="AW1493" s="131"/>
    </row>
    <row r="1494" spans="49:49" x14ac:dyDescent="0.25">
      <c r="AW1494" s="131"/>
    </row>
    <row r="1495" spans="49:49" x14ac:dyDescent="0.25">
      <c r="AW1495" s="131"/>
    </row>
    <row r="1496" spans="49:49" x14ac:dyDescent="0.25">
      <c r="AW1496" s="131"/>
    </row>
    <row r="1497" spans="49:49" x14ac:dyDescent="0.25">
      <c r="AW1497" s="131"/>
    </row>
    <row r="1498" spans="49:49" x14ac:dyDescent="0.25">
      <c r="AW1498" s="131"/>
    </row>
    <row r="1499" spans="49:49" x14ac:dyDescent="0.25">
      <c r="AW1499" s="131"/>
    </row>
    <row r="1500" spans="49:49" x14ac:dyDescent="0.25">
      <c r="AW1500" s="131"/>
    </row>
    <row r="1501" spans="49:49" x14ac:dyDescent="0.25">
      <c r="AW1501" s="131"/>
    </row>
    <row r="1502" spans="49:49" x14ac:dyDescent="0.25">
      <c r="AW1502" s="131"/>
    </row>
    <row r="1503" spans="49:49" x14ac:dyDescent="0.25">
      <c r="AW1503" s="131"/>
    </row>
    <row r="1504" spans="49:49" x14ac:dyDescent="0.25">
      <c r="AW1504" s="131"/>
    </row>
    <row r="1505" spans="49:49" x14ac:dyDescent="0.25">
      <c r="AW1505" s="131"/>
    </row>
    <row r="1506" spans="49:49" x14ac:dyDescent="0.25">
      <c r="AW1506" s="131"/>
    </row>
    <row r="1507" spans="49:49" x14ac:dyDescent="0.25">
      <c r="AW1507" s="131"/>
    </row>
    <row r="1508" spans="49:49" x14ac:dyDescent="0.25">
      <c r="AW1508" s="131"/>
    </row>
    <row r="1509" spans="49:49" x14ac:dyDescent="0.25">
      <c r="AW1509" s="131"/>
    </row>
    <row r="1510" spans="49:49" x14ac:dyDescent="0.25">
      <c r="AW1510" s="131"/>
    </row>
    <row r="1511" spans="49:49" x14ac:dyDescent="0.25">
      <c r="AW1511" s="131"/>
    </row>
    <row r="1512" spans="49:49" x14ac:dyDescent="0.25">
      <c r="AW1512" s="131"/>
    </row>
    <row r="1513" spans="49:49" x14ac:dyDescent="0.25">
      <c r="AW1513" s="131"/>
    </row>
    <row r="1514" spans="49:49" x14ac:dyDescent="0.25">
      <c r="AW1514" s="131"/>
    </row>
    <row r="1515" spans="49:49" x14ac:dyDescent="0.25">
      <c r="AW1515" s="131"/>
    </row>
    <row r="1516" spans="49:49" x14ac:dyDescent="0.25">
      <c r="AW1516" s="131"/>
    </row>
    <row r="1517" spans="49:49" x14ac:dyDescent="0.25">
      <c r="AW1517" s="131"/>
    </row>
    <row r="1518" spans="49:49" x14ac:dyDescent="0.25">
      <c r="AW1518" s="131"/>
    </row>
    <row r="1519" spans="49:49" x14ac:dyDescent="0.25">
      <c r="AW1519" s="131"/>
    </row>
    <row r="1520" spans="49:49" x14ac:dyDescent="0.25">
      <c r="AW1520" s="131"/>
    </row>
    <row r="1521" spans="49:49" x14ac:dyDescent="0.25">
      <c r="AW1521" s="131"/>
    </row>
    <row r="1522" spans="49:49" x14ac:dyDescent="0.25">
      <c r="AW1522" s="131"/>
    </row>
    <row r="1523" spans="49:49" x14ac:dyDescent="0.25">
      <c r="AW1523" s="131"/>
    </row>
    <row r="1524" spans="49:49" x14ac:dyDescent="0.25">
      <c r="AW1524" s="131"/>
    </row>
    <row r="1525" spans="49:49" x14ac:dyDescent="0.25">
      <c r="AW1525" s="131"/>
    </row>
    <row r="1526" spans="49:49" x14ac:dyDescent="0.25">
      <c r="AW1526" s="131"/>
    </row>
    <row r="1527" spans="49:49" x14ac:dyDescent="0.25">
      <c r="AW1527" s="131"/>
    </row>
    <row r="1528" spans="49:49" x14ac:dyDescent="0.25">
      <c r="AW1528" s="131"/>
    </row>
    <row r="1529" spans="49:49" x14ac:dyDescent="0.25">
      <c r="AW1529" s="131"/>
    </row>
    <row r="1530" spans="49:49" x14ac:dyDescent="0.25">
      <c r="AW1530" s="131"/>
    </row>
    <row r="1531" spans="49:49" x14ac:dyDescent="0.25">
      <c r="AW1531" s="131"/>
    </row>
    <row r="1532" spans="49:49" x14ac:dyDescent="0.25">
      <c r="AW1532" s="131"/>
    </row>
    <row r="1533" spans="49:49" x14ac:dyDescent="0.25">
      <c r="AW1533" s="131"/>
    </row>
    <row r="1534" spans="49:49" x14ac:dyDescent="0.25">
      <c r="AW1534" s="131"/>
    </row>
    <row r="1535" spans="49:49" x14ac:dyDescent="0.25">
      <c r="AW1535" s="131"/>
    </row>
    <row r="1536" spans="49:49" x14ac:dyDescent="0.25">
      <c r="AW1536" s="131"/>
    </row>
    <row r="1537" spans="49:49" x14ac:dyDescent="0.25">
      <c r="AW1537" s="131"/>
    </row>
    <row r="1538" spans="49:49" x14ac:dyDescent="0.25">
      <c r="AW1538" s="131"/>
    </row>
    <row r="1539" spans="49:49" x14ac:dyDescent="0.25">
      <c r="AW1539" s="131"/>
    </row>
    <row r="1540" spans="49:49" x14ac:dyDescent="0.25">
      <c r="AW1540" s="131"/>
    </row>
    <row r="1541" spans="49:49" x14ac:dyDescent="0.25">
      <c r="AW1541" s="131"/>
    </row>
    <row r="1542" spans="49:49" x14ac:dyDescent="0.25">
      <c r="AW1542" s="131"/>
    </row>
    <row r="1543" spans="49:49" x14ac:dyDescent="0.25">
      <c r="AW1543" s="131"/>
    </row>
    <row r="1544" spans="49:49" x14ac:dyDescent="0.25">
      <c r="AW1544" s="131"/>
    </row>
    <row r="1545" spans="49:49" x14ac:dyDescent="0.25">
      <c r="AW1545" s="131"/>
    </row>
    <row r="1546" spans="49:49" x14ac:dyDescent="0.25">
      <c r="AW1546" s="131"/>
    </row>
    <row r="1547" spans="49:49" x14ac:dyDescent="0.25">
      <c r="AW1547" s="131"/>
    </row>
    <row r="1548" spans="49:49" x14ac:dyDescent="0.25">
      <c r="AW1548" s="131"/>
    </row>
    <row r="1549" spans="49:49" x14ac:dyDescent="0.25">
      <c r="AW1549" s="131"/>
    </row>
    <row r="1550" spans="49:49" x14ac:dyDescent="0.25">
      <c r="AW1550" s="131"/>
    </row>
    <row r="1551" spans="49:49" x14ac:dyDescent="0.25">
      <c r="AW1551" s="131"/>
    </row>
    <row r="1552" spans="49:49" x14ac:dyDescent="0.25">
      <c r="AW1552" s="131"/>
    </row>
    <row r="1553" spans="49:49" x14ac:dyDescent="0.25">
      <c r="AW1553" s="131"/>
    </row>
    <row r="1554" spans="49:49" x14ac:dyDescent="0.25">
      <c r="AW1554" s="131"/>
    </row>
    <row r="1555" spans="49:49" x14ac:dyDescent="0.25">
      <c r="AW1555" s="131"/>
    </row>
    <row r="1556" spans="49:49" x14ac:dyDescent="0.25">
      <c r="AW1556" s="131"/>
    </row>
    <row r="1557" spans="49:49" x14ac:dyDescent="0.25">
      <c r="AW1557" s="131"/>
    </row>
    <row r="1558" spans="49:49" x14ac:dyDescent="0.25">
      <c r="AW1558" s="131"/>
    </row>
    <row r="1559" spans="49:49" x14ac:dyDescent="0.25">
      <c r="AW1559" s="131"/>
    </row>
    <row r="1560" spans="49:49" x14ac:dyDescent="0.25">
      <c r="AW1560" s="131"/>
    </row>
    <row r="1561" spans="49:49" x14ac:dyDescent="0.25">
      <c r="AW1561" s="131"/>
    </row>
    <row r="1562" spans="49:49" x14ac:dyDescent="0.25">
      <c r="AW1562" s="131"/>
    </row>
    <row r="1563" spans="49:49" x14ac:dyDescent="0.25">
      <c r="AW1563" s="131"/>
    </row>
    <row r="1564" spans="49:49" x14ac:dyDescent="0.25">
      <c r="AW1564" s="131"/>
    </row>
    <row r="1565" spans="49:49" x14ac:dyDescent="0.25">
      <c r="AW1565" s="131"/>
    </row>
    <row r="1566" spans="49:49" x14ac:dyDescent="0.25">
      <c r="AW1566" s="131"/>
    </row>
    <row r="1567" spans="49:49" x14ac:dyDescent="0.25">
      <c r="AW1567" s="131"/>
    </row>
    <row r="1568" spans="49:49" x14ac:dyDescent="0.25">
      <c r="AW1568" s="131"/>
    </row>
    <row r="1569" spans="49:49" x14ac:dyDescent="0.25">
      <c r="AW1569" s="131"/>
    </row>
    <row r="1570" spans="49:49" x14ac:dyDescent="0.25">
      <c r="AW1570" s="131"/>
    </row>
    <row r="1571" spans="49:49" x14ac:dyDescent="0.25">
      <c r="AW1571" s="131"/>
    </row>
    <row r="1572" spans="49:49" x14ac:dyDescent="0.25">
      <c r="AW1572" s="131"/>
    </row>
    <row r="1573" spans="49:49" x14ac:dyDescent="0.25">
      <c r="AW1573" s="131"/>
    </row>
    <row r="1574" spans="49:49" x14ac:dyDescent="0.25">
      <c r="AW1574" s="131"/>
    </row>
    <row r="1575" spans="49:49" x14ac:dyDescent="0.25">
      <c r="AW1575" s="131"/>
    </row>
    <row r="1576" spans="49:49" x14ac:dyDescent="0.25">
      <c r="AW1576" s="131"/>
    </row>
    <row r="1577" spans="49:49" x14ac:dyDescent="0.25">
      <c r="AW1577" s="131"/>
    </row>
    <row r="1578" spans="49:49" x14ac:dyDescent="0.25">
      <c r="AW1578" s="131"/>
    </row>
    <row r="1579" spans="49:49" x14ac:dyDescent="0.25">
      <c r="AW1579" s="131"/>
    </row>
    <row r="1580" spans="49:49" x14ac:dyDescent="0.25">
      <c r="AW1580" s="131"/>
    </row>
    <row r="1581" spans="49:49" x14ac:dyDescent="0.25">
      <c r="AW1581" s="131"/>
    </row>
    <row r="1582" spans="49:49" x14ac:dyDescent="0.25">
      <c r="AW1582" s="131"/>
    </row>
    <row r="1583" spans="49:49" x14ac:dyDescent="0.25">
      <c r="AW1583" s="131"/>
    </row>
    <row r="1584" spans="49:49" x14ac:dyDescent="0.25">
      <c r="AW1584" s="131"/>
    </row>
    <row r="1585" spans="49:49" x14ac:dyDescent="0.25">
      <c r="AW1585" s="131"/>
    </row>
    <row r="1586" spans="49:49" x14ac:dyDescent="0.25">
      <c r="AW1586" s="131"/>
    </row>
    <row r="1587" spans="49:49" x14ac:dyDescent="0.25">
      <c r="AW1587" s="131"/>
    </row>
    <row r="1588" spans="49:49" x14ac:dyDescent="0.25">
      <c r="AW1588" s="131"/>
    </row>
    <row r="1589" spans="49:49" x14ac:dyDescent="0.25">
      <c r="AW1589" s="131"/>
    </row>
    <row r="1590" spans="49:49" x14ac:dyDescent="0.25">
      <c r="AW1590" s="131"/>
    </row>
    <row r="1591" spans="49:49" x14ac:dyDescent="0.25">
      <c r="AW1591" s="131"/>
    </row>
    <row r="1592" spans="49:49" x14ac:dyDescent="0.25">
      <c r="AW1592" s="131"/>
    </row>
    <row r="1593" spans="49:49" x14ac:dyDescent="0.25">
      <c r="AW1593" s="131"/>
    </row>
    <row r="1594" spans="49:49" x14ac:dyDescent="0.25">
      <c r="AW1594" s="131"/>
    </row>
    <row r="1595" spans="49:49" x14ac:dyDescent="0.25">
      <c r="AW1595" s="131"/>
    </row>
    <row r="1596" spans="49:49" x14ac:dyDescent="0.25">
      <c r="AW1596" s="131"/>
    </row>
    <row r="1597" spans="49:49" x14ac:dyDescent="0.25">
      <c r="AW1597" s="131"/>
    </row>
    <row r="1598" spans="49:49" x14ac:dyDescent="0.25">
      <c r="AW1598" s="131"/>
    </row>
    <row r="1599" spans="49:49" x14ac:dyDescent="0.25">
      <c r="AW1599" s="131"/>
    </row>
    <row r="1600" spans="49:49" x14ac:dyDescent="0.25">
      <c r="AW1600" s="131"/>
    </row>
    <row r="1601" spans="49:49" x14ac:dyDescent="0.25">
      <c r="AW1601" s="131"/>
    </row>
    <row r="1602" spans="49:49" x14ac:dyDescent="0.25">
      <c r="AW1602" s="131"/>
    </row>
    <row r="1603" spans="49:49" x14ac:dyDescent="0.25">
      <c r="AW1603" s="131"/>
    </row>
    <row r="1604" spans="49:49" x14ac:dyDescent="0.25">
      <c r="AW1604" s="131"/>
    </row>
    <row r="1605" spans="49:49" x14ac:dyDescent="0.25">
      <c r="AW1605" s="131"/>
    </row>
    <row r="1606" spans="49:49" x14ac:dyDescent="0.25">
      <c r="AW1606" s="131"/>
    </row>
    <row r="1607" spans="49:49" x14ac:dyDescent="0.25">
      <c r="AW1607" s="131"/>
    </row>
    <row r="1608" spans="49:49" x14ac:dyDescent="0.25">
      <c r="AW1608" s="131"/>
    </row>
    <row r="1609" spans="49:49" x14ac:dyDescent="0.25">
      <c r="AW1609" s="131"/>
    </row>
    <row r="1610" spans="49:49" x14ac:dyDescent="0.25">
      <c r="AW1610" s="131"/>
    </row>
    <row r="1611" spans="49:49" x14ac:dyDescent="0.25">
      <c r="AW1611" s="131"/>
    </row>
    <row r="1612" spans="49:49" x14ac:dyDescent="0.25">
      <c r="AW1612" s="131"/>
    </row>
    <row r="1613" spans="49:49" x14ac:dyDescent="0.25">
      <c r="AW1613" s="131"/>
    </row>
    <row r="1614" spans="49:49" x14ac:dyDescent="0.25">
      <c r="AW1614" s="131"/>
    </row>
    <row r="1615" spans="49:49" x14ac:dyDescent="0.25">
      <c r="AW1615" s="131"/>
    </row>
    <row r="1616" spans="49:49" x14ac:dyDescent="0.25">
      <c r="AW1616" s="131"/>
    </row>
    <row r="1617" spans="49:49" x14ac:dyDescent="0.25">
      <c r="AW1617" s="131"/>
    </row>
    <row r="1618" spans="49:49" x14ac:dyDescent="0.25">
      <c r="AW1618" s="131"/>
    </row>
    <row r="1619" spans="49:49" x14ac:dyDescent="0.25">
      <c r="AW1619" s="131"/>
    </row>
    <row r="1620" spans="49:49" x14ac:dyDescent="0.25">
      <c r="AW1620" s="131"/>
    </row>
    <row r="1621" spans="49:49" x14ac:dyDescent="0.25">
      <c r="AW1621" s="131"/>
    </row>
    <row r="1622" spans="49:49" x14ac:dyDescent="0.25">
      <c r="AW1622" s="131"/>
    </row>
    <row r="1623" spans="49:49" x14ac:dyDescent="0.25">
      <c r="AW1623" s="131"/>
    </row>
    <row r="1624" spans="49:49" x14ac:dyDescent="0.25">
      <c r="AW1624" s="131"/>
    </row>
    <row r="1625" spans="49:49" x14ac:dyDescent="0.25">
      <c r="AW1625" s="131"/>
    </row>
    <row r="1626" spans="49:49" x14ac:dyDescent="0.25">
      <c r="AW1626" s="131"/>
    </row>
    <row r="1627" spans="49:49" x14ac:dyDescent="0.25">
      <c r="AW1627" s="131"/>
    </row>
    <row r="1628" spans="49:49" x14ac:dyDescent="0.25">
      <c r="AW1628" s="131"/>
    </row>
    <row r="1629" spans="49:49" x14ac:dyDescent="0.25">
      <c r="AW1629" s="131"/>
    </row>
    <row r="1630" spans="49:49" x14ac:dyDescent="0.25">
      <c r="AW1630" s="131"/>
    </row>
    <row r="1631" spans="49:49" x14ac:dyDescent="0.25">
      <c r="AW1631" s="131"/>
    </row>
    <row r="1632" spans="49:49" x14ac:dyDescent="0.25">
      <c r="AW1632" s="131"/>
    </row>
    <row r="1633" spans="49:49" x14ac:dyDescent="0.25">
      <c r="AW1633" s="131"/>
    </row>
    <row r="1634" spans="49:49" x14ac:dyDescent="0.25">
      <c r="AW1634" s="131"/>
    </row>
    <row r="1635" spans="49:49" x14ac:dyDescent="0.25">
      <c r="AW1635" s="131"/>
    </row>
    <row r="1636" spans="49:49" x14ac:dyDescent="0.25">
      <c r="AW1636" s="131"/>
    </row>
    <row r="1637" spans="49:49" x14ac:dyDescent="0.25">
      <c r="AW1637" s="131"/>
    </row>
    <row r="1638" spans="49:49" x14ac:dyDescent="0.25">
      <c r="AW1638" s="131"/>
    </row>
    <row r="1639" spans="49:49" x14ac:dyDescent="0.25">
      <c r="AW1639" s="131"/>
    </row>
    <row r="1640" spans="49:49" x14ac:dyDescent="0.25">
      <c r="AW1640" s="131"/>
    </row>
    <row r="1641" spans="49:49" x14ac:dyDescent="0.25">
      <c r="AW1641" s="131"/>
    </row>
    <row r="1642" spans="49:49" x14ac:dyDescent="0.25">
      <c r="AW1642" s="131"/>
    </row>
  </sheetData>
  <sheetProtection autoFilter="0"/>
  <autoFilter ref="A14:AW14" xr:uid="{D1DE9C10-CFE0-417A-888D-476C6F85671C}"/>
  <mergeCells count="21">
    <mergeCell ref="N11:W11"/>
    <mergeCell ref="AC12:AG12"/>
    <mergeCell ref="AC13:AG13"/>
    <mergeCell ref="N12:R12"/>
    <mergeCell ref="N13:R13"/>
    <mergeCell ref="S12:W12"/>
    <mergeCell ref="S13:W13"/>
    <mergeCell ref="X12:AB12"/>
    <mergeCell ref="X13:AB13"/>
    <mergeCell ref="AP12:AS12"/>
    <mergeCell ref="AP13:AS13"/>
    <mergeCell ref="AT13:AW13"/>
    <mergeCell ref="X11:AG11"/>
    <mergeCell ref="AH11:AK11"/>
    <mergeCell ref="AL11:AO11"/>
    <mergeCell ref="AP11:AS11"/>
    <mergeCell ref="AT11:AW11"/>
    <mergeCell ref="AH12:AK12"/>
    <mergeCell ref="AL12:AO12"/>
    <mergeCell ref="AH13:AK13"/>
    <mergeCell ref="AL13:AO13"/>
  </mergeCells>
  <conditionalFormatting sqref="E624:F626 E15:F39 E572:F595 E493:F495 E439:F456 E459:F485 E42:F113 E116:F138 E499:F531 E178:F431">
    <cfRule type="duplicateValues" dxfId="250" priority="104"/>
  </conditionalFormatting>
  <conditionalFormatting sqref="E150:F150 E155:E156 E139:E149 E151">
    <cfRule type="duplicateValues" dxfId="249" priority="99"/>
  </conditionalFormatting>
  <conditionalFormatting sqref="E150:F150 E139:E149 E151">
    <cfRule type="duplicateValues" dxfId="248" priority="98"/>
  </conditionalFormatting>
  <conditionalFormatting sqref="E150:F150">
    <cfRule type="duplicateValues" dxfId="247" priority="97"/>
  </conditionalFormatting>
  <conditionalFormatting sqref="E152:F154">
    <cfRule type="duplicateValues" dxfId="246" priority="84"/>
  </conditionalFormatting>
  <conditionalFormatting sqref="E152:F154">
    <cfRule type="duplicateValues" dxfId="245" priority="83"/>
  </conditionalFormatting>
  <conditionalFormatting sqref="E152:F154">
    <cfRule type="duplicateValues" dxfId="244" priority="82"/>
  </conditionalFormatting>
  <conditionalFormatting sqref="E490:F492">
    <cfRule type="duplicateValues" dxfId="243" priority="79"/>
  </conditionalFormatting>
  <conditionalFormatting sqref="E490:F492">
    <cfRule type="duplicateValues" dxfId="242" priority="80"/>
  </conditionalFormatting>
  <conditionalFormatting sqref="E490:F492">
    <cfRule type="duplicateValues" dxfId="241" priority="81"/>
  </conditionalFormatting>
  <conditionalFormatting sqref="E486:F489">
    <cfRule type="duplicateValues" dxfId="240" priority="76"/>
  </conditionalFormatting>
  <conditionalFormatting sqref="E486:F489">
    <cfRule type="duplicateValues" dxfId="239" priority="77"/>
  </conditionalFormatting>
  <conditionalFormatting sqref="E486:F489">
    <cfRule type="duplicateValues" dxfId="238" priority="78"/>
  </conditionalFormatting>
  <conditionalFormatting sqref="E114:F115">
    <cfRule type="duplicateValues" dxfId="237" priority="73"/>
  </conditionalFormatting>
  <conditionalFormatting sqref="E114:F115">
    <cfRule type="duplicateValues" dxfId="236" priority="74"/>
  </conditionalFormatting>
  <conditionalFormatting sqref="E114:F115">
    <cfRule type="duplicateValues" dxfId="235" priority="75"/>
  </conditionalFormatting>
  <conditionalFormatting sqref="E40:F41">
    <cfRule type="duplicateValues" dxfId="234" priority="135"/>
  </conditionalFormatting>
  <conditionalFormatting sqref="E436:F437">
    <cfRule type="duplicateValues" dxfId="233" priority="66"/>
  </conditionalFormatting>
  <conditionalFormatting sqref="E436:F437">
    <cfRule type="duplicateValues" dxfId="232" priority="67"/>
  </conditionalFormatting>
  <conditionalFormatting sqref="E436:F437">
    <cfRule type="duplicateValues" dxfId="231" priority="68"/>
  </conditionalFormatting>
  <conditionalFormatting sqref="E432:F434">
    <cfRule type="duplicateValues" dxfId="230" priority="63"/>
  </conditionalFormatting>
  <conditionalFormatting sqref="E432:F434">
    <cfRule type="duplicateValues" dxfId="229" priority="64"/>
  </conditionalFormatting>
  <conditionalFormatting sqref="E432:F434">
    <cfRule type="duplicateValues" dxfId="228" priority="65"/>
  </conditionalFormatting>
  <conditionalFormatting sqref="E457:F457">
    <cfRule type="duplicateValues" dxfId="227" priority="60"/>
  </conditionalFormatting>
  <conditionalFormatting sqref="E457:F457">
    <cfRule type="duplicateValues" dxfId="226" priority="61"/>
  </conditionalFormatting>
  <conditionalFormatting sqref="E457:F457">
    <cfRule type="duplicateValues" dxfId="225" priority="62"/>
  </conditionalFormatting>
  <conditionalFormatting sqref="E458:F458">
    <cfRule type="duplicateValues" dxfId="224" priority="57"/>
  </conditionalFormatting>
  <conditionalFormatting sqref="E458:F458">
    <cfRule type="duplicateValues" dxfId="223" priority="58"/>
  </conditionalFormatting>
  <conditionalFormatting sqref="E458:F458">
    <cfRule type="duplicateValues" dxfId="222" priority="59"/>
  </conditionalFormatting>
  <conditionalFormatting sqref="E438:F438">
    <cfRule type="duplicateValues" dxfId="221" priority="54"/>
  </conditionalFormatting>
  <conditionalFormatting sqref="E438:F438">
    <cfRule type="duplicateValues" dxfId="220" priority="55"/>
  </conditionalFormatting>
  <conditionalFormatting sqref="E438:F438">
    <cfRule type="duplicateValues" dxfId="219" priority="56"/>
  </conditionalFormatting>
  <conditionalFormatting sqref="E435:F435">
    <cfRule type="duplicateValues" dxfId="218" priority="51"/>
  </conditionalFormatting>
  <conditionalFormatting sqref="E435:F435">
    <cfRule type="duplicateValues" dxfId="217" priority="52"/>
  </conditionalFormatting>
  <conditionalFormatting sqref="E435:F435">
    <cfRule type="duplicateValues" dxfId="216" priority="53"/>
  </conditionalFormatting>
  <conditionalFormatting sqref="F117:F118">
    <cfRule type="duplicateValues" dxfId="215" priority="45"/>
  </conditionalFormatting>
  <conditionalFormatting sqref="F121:F122">
    <cfRule type="duplicateValues" dxfId="214" priority="42"/>
  </conditionalFormatting>
  <conditionalFormatting sqref="F124:F132">
    <cfRule type="duplicateValues" dxfId="213" priority="41"/>
  </conditionalFormatting>
  <conditionalFormatting sqref="F135:F136">
    <cfRule type="duplicateValues" dxfId="212" priority="40"/>
  </conditionalFormatting>
  <conditionalFormatting sqref="F139:F149">
    <cfRule type="duplicateValues" dxfId="211" priority="36"/>
  </conditionalFormatting>
  <conditionalFormatting sqref="F139:F149">
    <cfRule type="duplicateValues" dxfId="210" priority="37"/>
  </conditionalFormatting>
  <conditionalFormatting sqref="F139:F149">
    <cfRule type="duplicateValues" dxfId="209" priority="38"/>
  </conditionalFormatting>
  <conditionalFormatting sqref="F139:F149">
    <cfRule type="duplicateValues" dxfId="208" priority="39"/>
  </conditionalFormatting>
  <conditionalFormatting sqref="F151">
    <cfRule type="duplicateValues" dxfId="207" priority="32"/>
  </conditionalFormatting>
  <conditionalFormatting sqref="F151">
    <cfRule type="duplicateValues" dxfId="206" priority="33"/>
  </conditionalFormatting>
  <conditionalFormatting sqref="F151">
    <cfRule type="duplicateValues" dxfId="205" priority="34"/>
  </conditionalFormatting>
  <conditionalFormatting sqref="F151">
    <cfRule type="duplicateValues" dxfId="204" priority="35"/>
  </conditionalFormatting>
  <conditionalFormatting sqref="F155:F156">
    <cfRule type="duplicateValues" dxfId="203" priority="28"/>
  </conditionalFormatting>
  <conditionalFormatting sqref="F155:F156">
    <cfRule type="duplicateValues" dxfId="202" priority="29"/>
  </conditionalFormatting>
  <conditionalFormatting sqref="F155:F156">
    <cfRule type="duplicateValues" dxfId="201" priority="30"/>
  </conditionalFormatting>
  <conditionalFormatting sqref="F155:F156">
    <cfRule type="duplicateValues" dxfId="200" priority="31"/>
  </conditionalFormatting>
  <conditionalFormatting sqref="F180:F181">
    <cfRule type="duplicateValues" dxfId="199" priority="27"/>
  </conditionalFormatting>
  <conditionalFormatting sqref="F187:F188">
    <cfRule type="duplicateValues" dxfId="198" priority="26"/>
  </conditionalFormatting>
  <conditionalFormatting sqref="F190">
    <cfRule type="duplicateValues" dxfId="197" priority="25"/>
  </conditionalFormatting>
  <conditionalFormatting sqref="F199:F201">
    <cfRule type="duplicateValues" dxfId="196" priority="24"/>
  </conditionalFormatting>
  <conditionalFormatting sqref="F214">
    <cfRule type="duplicateValues" dxfId="195" priority="23"/>
  </conditionalFormatting>
  <conditionalFormatting sqref="F228">
    <cfRule type="duplicateValues" dxfId="194" priority="22"/>
  </conditionalFormatting>
  <conditionalFormatting sqref="F232">
    <cfRule type="duplicateValues" dxfId="193" priority="21"/>
  </conditionalFormatting>
  <conditionalFormatting sqref="F245:F247">
    <cfRule type="duplicateValues" dxfId="192" priority="18"/>
  </conditionalFormatting>
  <conditionalFormatting sqref="F249">
    <cfRule type="duplicateValues" dxfId="191" priority="17"/>
  </conditionalFormatting>
  <conditionalFormatting sqref="F251:F255">
    <cfRule type="duplicateValues" dxfId="190" priority="16"/>
  </conditionalFormatting>
  <conditionalFormatting sqref="F257">
    <cfRule type="duplicateValues" dxfId="189" priority="15"/>
  </conditionalFormatting>
  <conditionalFormatting sqref="F261">
    <cfRule type="duplicateValues" dxfId="188" priority="14"/>
  </conditionalFormatting>
  <conditionalFormatting sqref="F263:F273">
    <cfRule type="duplicateValues" dxfId="187" priority="13"/>
  </conditionalFormatting>
  <conditionalFormatting sqref="F292">
    <cfRule type="duplicateValues" dxfId="186" priority="12"/>
  </conditionalFormatting>
  <conditionalFormatting sqref="F294">
    <cfRule type="duplicateValues" dxfId="185" priority="11"/>
  </conditionalFormatting>
  <conditionalFormatting sqref="F297:F298">
    <cfRule type="duplicateValues" dxfId="184" priority="10"/>
  </conditionalFormatting>
  <conditionalFormatting sqref="F300:F304">
    <cfRule type="duplicateValues" dxfId="183" priority="9"/>
  </conditionalFormatting>
  <conditionalFormatting sqref="F306">
    <cfRule type="duplicateValues" dxfId="182" priority="8"/>
  </conditionalFormatting>
  <conditionalFormatting sqref="F310:F313">
    <cfRule type="duplicateValues" dxfId="181" priority="7"/>
  </conditionalFormatting>
  <conditionalFormatting sqref="F315">
    <cfRule type="duplicateValues" dxfId="180" priority="6"/>
  </conditionalFormatting>
  <conditionalFormatting sqref="F317:F326">
    <cfRule type="duplicateValues" dxfId="179" priority="5"/>
  </conditionalFormatting>
  <conditionalFormatting sqref="F238:F239">
    <cfRule type="duplicateValues" dxfId="178" priority="365"/>
  </conditionalFormatting>
  <conditionalFormatting sqref="E572:F595 E15:F39 E493:F495 E439:F456 E459:F485 E42:F113 E116:F138 E499:F531 E178:F431">
    <cfRule type="duplicateValues" dxfId="177" priority="394"/>
  </conditionalFormatting>
  <conditionalFormatting sqref="E572:F623 E15:F39 E493:F495 E439:F456 E459:F485 E42:F113 E116:F138 E499:F531 E178:F431">
    <cfRule type="duplicateValues" dxfId="176" priority="403"/>
  </conditionalFormatting>
  <conditionalFormatting sqref="E496:F498">
    <cfRule type="duplicateValues" dxfId="175" priority="2"/>
  </conditionalFormatting>
  <conditionalFormatting sqref="E496:F498">
    <cfRule type="duplicateValues" dxfId="174" priority="3"/>
  </conditionalFormatting>
  <conditionalFormatting sqref="E496:F498">
    <cfRule type="duplicateValues" dxfId="173" priority="4"/>
  </conditionalFormatting>
  <conditionalFormatting sqref="E560:F571 E532:F556">
    <cfRule type="duplicateValues" dxfId="172" priority="716"/>
  </conditionalFormatting>
  <conditionalFormatting sqref="E557:F559">
    <cfRule type="duplicateValues" dxfId="171" priority="1"/>
  </conditionalFormatting>
  <conditionalFormatting sqref="E42:F108 E18:F39">
    <cfRule type="duplicateValues" dxfId="170" priority="770"/>
  </conditionalFormatting>
  <printOptions horizontalCentered="1"/>
  <pageMargins left="0.23622047244094491" right="0.23622047244094491" top="0.31496062992125984" bottom="0" header="0" footer="0"/>
  <pageSetup scale="22" fitToHeight="0" orientation="landscape" r:id="rId1"/>
  <headerFooter alignWithMargins="0">
    <oddHeader>&amp;A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Button 2">
              <controlPr defaultSize="0" print="0" autoFill="0" autoPict="0" macro="[0]!ImportPricingCharts">
                <anchor>
                  <from>
                    <xdr:col>2</xdr:col>
                    <xdr:colOff>190500</xdr:colOff>
                    <xdr:row>2</xdr:row>
                    <xdr:rowOff>30480</xdr:rowOff>
                  </from>
                  <to>
                    <xdr:col>2</xdr:col>
                    <xdr:colOff>1165860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BU586"/>
  <sheetViews>
    <sheetView tabSelected="1" zoomScale="60" zoomScaleNormal="60" workbookViewId="0">
      <pane xSplit="3" ySplit="6" topLeftCell="D560" activePane="bottomRight" state="frozen"/>
      <selection pane="topRight" activeCell="D1" sqref="D1"/>
      <selection pane="bottomLeft" activeCell="A7" sqref="A7"/>
      <selection pane="bottomRight" activeCell="B560" sqref="B560"/>
    </sheetView>
  </sheetViews>
  <sheetFormatPr defaultColWidth="8.6640625" defaultRowHeight="13.2" x14ac:dyDescent="0.25"/>
  <cols>
    <col min="1" max="1" width="15.88671875" style="79" bestFit="1" customWidth="1"/>
    <col min="2" max="2" width="22.88671875" style="79" bestFit="1" customWidth="1"/>
    <col min="3" max="3" width="30.33203125" style="79" customWidth="1"/>
    <col min="4" max="5" width="16.33203125" style="79" customWidth="1"/>
    <col min="6" max="6" width="17" style="79" bestFit="1" customWidth="1"/>
    <col min="7" max="7" width="15.44140625" style="79" customWidth="1"/>
    <col min="8" max="8" width="21.88671875" style="79" customWidth="1"/>
    <col min="9" max="11" width="14.44140625" style="79" customWidth="1"/>
    <col min="12" max="12" width="16.33203125" style="79" customWidth="1"/>
    <col min="13" max="13" width="13.33203125" style="79" customWidth="1"/>
    <col min="14" max="17" width="17.33203125" style="79" customWidth="1"/>
    <col min="18" max="18" width="17" style="79" customWidth="1"/>
    <col min="19" max="19" width="21.6640625" style="79" customWidth="1"/>
    <col min="20" max="22" width="14.33203125" style="79" customWidth="1"/>
    <col min="23" max="23" width="16.6640625" style="79" customWidth="1"/>
    <col min="24" max="24" width="18.33203125" style="79" customWidth="1"/>
    <col min="25" max="25" width="14.33203125" style="79" customWidth="1"/>
    <col min="26" max="26" width="13.44140625" style="79" customWidth="1"/>
    <col min="27" max="27" width="14.33203125" style="79" customWidth="1"/>
    <col min="28" max="49" width="18.6640625" style="79" customWidth="1"/>
    <col min="50" max="50" width="16" style="79" bestFit="1" customWidth="1"/>
    <col min="51" max="51" width="16" style="79" customWidth="1"/>
    <col min="52" max="52" width="23.33203125" style="79" customWidth="1"/>
    <col min="53" max="55" width="14" style="79" customWidth="1"/>
    <col min="56" max="56" width="16" style="79" bestFit="1" customWidth="1"/>
    <col min="57" max="57" width="15.6640625" style="79" customWidth="1"/>
    <col min="58" max="58" width="25.33203125" style="79" customWidth="1"/>
    <col min="59" max="60" width="16.88671875" style="79" customWidth="1"/>
    <col min="61" max="61" width="16.6640625" style="79" customWidth="1"/>
    <col min="62" max="62" width="16" style="79" bestFit="1" customWidth="1"/>
    <col min="63" max="63" width="11.6640625" style="79" bestFit="1" customWidth="1"/>
    <col min="64" max="64" width="26.109375" style="79" customWidth="1"/>
    <col min="65" max="65" width="11.6640625" style="79" bestFit="1" customWidth="1"/>
    <col min="66" max="66" width="11.6640625" style="79" customWidth="1"/>
    <col min="67" max="67" width="14.33203125" style="79" customWidth="1"/>
    <col min="68" max="68" width="16.109375" style="79" bestFit="1" customWidth="1"/>
    <col min="69" max="69" width="12.6640625" style="79" customWidth="1"/>
    <col min="70" max="70" width="21.33203125" style="79" bestFit="1" customWidth="1"/>
    <col min="71" max="72" width="12.44140625" style="79" customWidth="1"/>
    <col min="73" max="73" width="15.33203125" style="79" customWidth="1"/>
    <col min="74" max="16384" width="8.6640625" style="79"/>
  </cols>
  <sheetData>
    <row r="3" spans="1:73" ht="15.6" x14ac:dyDescent="0.25">
      <c r="F3" s="328" t="s">
        <v>813</v>
      </c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8" t="s">
        <v>1032</v>
      </c>
      <c r="AC3" s="329"/>
      <c r="AD3" s="329"/>
      <c r="AE3" s="329"/>
      <c r="AF3" s="329"/>
      <c r="AG3" s="329"/>
      <c r="AH3" s="329"/>
      <c r="AI3" s="329"/>
      <c r="AJ3" s="329"/>
      <c r="AK3" s="329"/>
      <c r="AL3" s="329"/>
      <c r="AM3" s="329"/>
      <c r="AN3" s="329"/>
      <c r="AO3" s="329"/>
      <c r="AP3" s="329"/>
      <c r="AQ3" s="329"/>
      <c r="AR3" s="329"/>
      <c r="AS3" s="329"/>
      <c r="AT3" s="329"/>
      <c r="AU3" s="329"/>
      <c r="AV3" s="329"/>
      <c r="AW3" s="337"/>
      <c r="AX3" s="328" t="s">
        <v>814</v>
      </c>
      <c r="AY3" s="329"/>
      <c r="AZ3" s="329"/>
      <c r="BA3" s="329"/>
      <c r="BB3" s="329"/>
      <c r="BC3" s="337"/>
      <c r="BD3" s="328" t="s">
        <v>815</v>
      </c>
      <c r="BE3" s="329"/>
      <c r="BF3" s="329"/>
      <c r="BG3" s="329"/>
      <c r="BH3" s="329"/>
      <c r="BI3" s="337"/>
      <c r="BJ3" s="328" t="s">
        <v>816</v>
      </c>
      <c r="BK3" s="329"/>
      <c r="BL3" s="329"/>
      <c r="BM3" s="329"/>
      <c r="BN3" s="329"/>
      <c r="BO3" s="337"/>
      <c r="BP3" s="328" t="s">
        <v>817</v>
      </c>
      <c r="BQ3" s="329"/>
      <c r="BR3" s="329"/>
      <c r="BS3" s="329"/>
      <c r="BT3" s="329"/>
      <c r="BU3" s="337"/>
    </row>
    <row r="4" spans="1:73" ht="30.15" customHeight="1" x14ac:dyDescent="0.25">
      <c r="F4" s="338" t="s">
        <v>59</v>
      </c>
      <c r="G4" s="339"/>
      <c r="H4" s="339"/>
      <c r="I4" s="339"/>
      <c r="J4" s="339"/>
      <c r="K4" s="339"/>
      <c r="L4" s="339"/>
      <c r="M4" s="339"/>
      <c r="N4" s="339"/>
      <c r="O4" s="339"/>
      <c r="P4" s="340"/>
      <c r="Q4" s="344" t="s">
        <v>93</v>
      </c>
      <c r="R4" s="345"/>
      <c r="S4" s="345"/>
      <c r="T4" s="345"/>
      <c r="U4" s="345"/>
      <c r="V4" s="345"/>
      <c r="W4" s="345"/>
      <c r="X4" s="345"/>
      <c r="Y4" s="345"/>
      <c r="Z4" s="345"/>
      <c r="AA4" s="346"/>
      <c r="AB4" s="338" t="s">
        <v>59</v>
      </c>
      <c r="AC4" s="339"/>
      <c r="AD4" s="339"/>
      <c r="AE4" s="339"/>
      <c r="AF4" s="339"/>
      <c r="AG4" s="339"/>
      <c r="AH4" s="339"/>
      <c r="AI4" s="339"/>
      <c r="AJ4" s="339"/>
      <c r="AK4" s="339"/>
      <c r="AL4" s="340"/>
      <c r="AM4" s="344" t="s">
        <v>93</v>
      </c>
      <c r="AN4" s="345"/>
      <c r="AO4" s="345"/>
      <c r="AP4" s="345"/>
      <c r="AQ4" s="345"/>
      <c r="AR4" s="345"/>
      <c r="AS4" s="345"/>
      <c r="AT4" s="345"/>
      <c r="AU4" s="345"/>
      <c r="AV4" s="345"/>
      <c r="AW4" s="346"/>
      <c r="AX4" s="338" t="s">
        <v>59</v>
      </c>
      <c r="AY4" s="339"/>
      <c r="AZ4" s="339"/>
      <c r="BA4" s="339"/>
      <c r="BB4" s="339"/>
      <c r="BC4" s="340"/>
      <c r="BD4" s="338" t="s">
        <v>59</v>
      </c>
      <c r="BE4" s="339"/>
      <c r="BF4" s="339"/>
      <c r="BG4" s="339"/>
      <c r="BH4" s="339"/>
      <c r="BI4" s="340"/>
      <c r="BJ4" s="338" t="s">
        <v>59</v>
      </c>
      <c r="BK4" s="339"/>
      <c r="BL4" s="339"/>
      <c r="BM4" s="339"/>
      <c r="BN4" s="339"/>
      <c r="BO4" s="340"/>
      <c r="BP4" s="338" t="s">
        <v>59</v>
      </c>
      <c r="BQ4" s="339"/>
      <c r="BR4" s="339"/>
      <c r="BS4" s="339"/>
      <c r="BT4" s="339"/>
      <c r="BU4" s="340"/>
    </row>
    <row r="5" spans="1:73" ht="48.15" customHeight="1" x14ac:dyDescent="0.25">
      <c r="D5" s="167" t="s">
        <v>64</v>
      </c>
      <c r="E5" s="173" t="s">
        <v>20</v>
      </c>
      <c r="F5" s="341" t="s">
        <v>640</v>
      </c>
      <c r="G5" s="342"/>
      <c r="H5" s="342"/>
      <c r="I5" s="342"/>
      <c r="J5" s="342"/>
      <c r="K5" s="342"/>
      <c r="L5" s="342"/>
      <c r="M5" s="342"/>
      <c r="N5" s="342"/>
      <c r="O5" s="342"/>
      <c r="P5" s="343"/>
      <c r="Q5" s="341" t="s">
        <v>641</v>
      </c>
      <c r="R5" s="342"/>
      <c r="S5" s="342"/>
      <c r="T5" s="342"/>
      <c r="U5" s="342"/>
      <c r="V5" s="342"/>
      <c r="W5" s="342"/>
      <c r="X5" s="342"/>
      <c r="Y5" s="342"/>
      <c r="Z5" s="342"/>
      <c r="AA5" s="343"/>
      <c r="AB5" s="341" t="s">
        <v>1035</v>
      </c>
      <c r="AC5" s="342"/>
      <c r="AD5" s="342"/>
      <c r="AE5" s="342"/>
      <c r="AF5" s="342"/>
      <c r="AG5" s="342"/>
      <c r="AH5" s="342"/>
      <c r="AI5" s="342"/>
      <c r="AJ5" s="342"/>
      <c r="AK5" s="342"/>
      <c r="AL5" s="343"/>
      <c r="AM5" s="341" t="s">
        <v>1036</v>
      </c>
      <c r="AN5" s="342"/>
      <c r="AO5" s="342"/>
      <c r="AP5" s="342"/>
      <c r="AQ5" s="342"/>
      <c r="AR5" s="342"/>
      <c r="AS5" s="342"/>
      <c r="AT5" s="342"/>
      <c r="AU5" s="342"/>
      <c r="AV5" s="342"/>
      <c r="AW5" s="343"/>
      <c r="AX5" s="341" t="s">
        <v>818</v>
      </c>
      <c r="AY5" s="342"/>
      <c r="AZ5" s="342"/>
      <c r="BA5" s="342"/>
      <c r="BB5" s="342"/>
      <c r="BC5" s="343"/>
      <c r="BD5" s="341" t="s">
        <v>819</v>
      </c>
      <c r="BE5" s="342"/>
      <c r="BF5" s="342"/>
      <c r="BG5" s="342"/>
      <c r="BH5" s="342"/>
      <c r="BI5" s="343"/>
      <c r="BJ5" s="341" t="s">
        <v>820</v>
      </c>
      <c r="BK5" s="342"/>
      <c r="BL5" s="342"/>
      <c r="BM5" s="342"/>
      <c r="BN5" s="342"/>
      <c r="BO5" s="343"/>
      <c r="BP5" s="341" t="s">
        <v>827</v>
      </c>
      <c r="BQ5" s="342"/>
      <c r="BR5" s="342"/>
      <c r="BS5" s="342"/>
      <c r="BT5" s="342"/>
      <c r="BU5" s="343"/>
    </row>
    <row r="6" spans="1:73" ht="62.4" x14ac:dyDescent="0.25">
      <c r="A6" s="83" t="s">
        <v>33</v>
      </c>
      <c r="B6" s="84" t="s">
        <v>0</v>
      </c>
      <c r="C6" s="84" t="s">
        <v>31</v>
      </c>
      <c r="D6" s="84" t="s">
        <v>20</v>
      </c>
      <c r="E6" s="168" t="s">
        <v>20</v>
      </c>
      <c r="F6" s="168" t="s">
        <v>828</v>
      </c>
      <c r="G6" s="168" t="s">
        <v>829</v>
      </c>
      <c r="H6" s="168" t="s">
        <v>830</v>
      </c>
      <c r="I6" s="168" t="s">
        <v>831</v>
      </c>
      <c r="J6" s="168" t="s">
        <v>832</v>
      </c>
      <c r="K6" s="168" t="s">
        <v>833</v>
      </c>
      <c r="L6" s="169" t="s">
        <v>653</v>
      </c>
      <c r="M6" s="169" t="s">
        <v>834</v>
      </c>
      <c r="N6" s="169" t="s">
        <v>835</v>
      </c>
      <c r="O6" s="169" t="s">
        <v>836</v>
      </c>
      <c r="P6" s="169" t="s">
        <v>837</v>
      </c>
      <c r="Q6" s="168" t="s">
        <v>828</v>
      </c>
      <c r="R6" s="168" t="s">
        <v>829</v>
      </c>
      <c r="S6" s="168" t="s">
        <v>830</v>
      </c>
      <c r="T6" s="168" t="s">
        <v>831</v>
      </c>
      <c r="U6" s="168" t="s">
        <v>832</v>
      </c>
      <c r="V6" s="168" t="s">
        <v>833</v>
      </c>
      <c r="W6" s="169" t="s">
        <v>653</v>
      </c>
      <c r="X6" s="169" t="s">
        <v>834</v>
      </c>
      <c r="Y6" s="169" t="s">
        <v>835</v>
      </c>
      <c r="Z6" s="169" t="s">
        <v>836</v>
      </c>
      <c r="AA6" s="169" t="s">
        <v>837</v>
      </c>
      <c r="AB6" s="169" t="s">
        <v>828</v>
      </c>
      <c r="AC6" s="169" t="s">
        <v>829</v>
      </c>
      <c r="AD6" s="169" t="s">
        <v>830</v>
      </c>
      <c r="AE6" s="169" t="s">
        <v>831</v>
      </c>
      <c r="AF6" s="169" t="s">
        <v>832</v>
      </c>
      <c r="AG6" s="169" t="s">
        <v>833</v>
      </c>
      <c r="AH6" s="169" t="s">
        <v>653</v>
      </c>
      <c r="AI6" s="169" t="s">
        <v>834</v>
      </c>
      <c r="AJ6" s="169" t="s">
        <v>835</v>
      </c>
      <c r="AK6" s="169" t="s">
        <v>836</v>
      </c>
      <c r="AL6" s="169" t="s">
        <v>837</v>
      </c>
      <c r="AM6" s="169" t="s">
        <v>828</v>
      </c>
      <c r="AN6" s="169" t="s">
        <v>829</v>
      </c>
      <c r="AO6" s="169" t="s">
        <v>830</v>
      </c>
      <c r="AP6" s="169" t="s">
        <v>831</v>
      </c>
      <c r="AQ6" s="169" t="s">
        <v>832</v>
      </c>
      <c r="AR6" s="169" t="s">
        <v>833</v>
      </c>
      <c r="AS6" s="169" t="s">
        <v>653</v>
      </c>
      <c r="AT6" s="169" t="s">
        <v>834</v>
      </c>
      <c r="AU6" s="169" t="s">
        <v>835</v>
      </c>
      <c r="AV6" s="169" t="s">
        <v>836</v>
      </c>
      <c r="AW6" s="169" t="s">
        <v>837</v>
      </c>
      <c r="AX6" s="168" t="s">
        <v>828</v>
      </c>
      <c r="AY6" s="168" t="s">
        <v>829</v>
      </c>
      <c r="AZ6" s="168" t="s">
        <v>830</v>
      </c>
      <c r="BA6" s="168" t="s">
        <v>831</v>
      </c>
      <c r="BB6" s="168" t="s">
        <v>832</v>
      </c>
      <c r="BC6" s="168" t="s">
        <v>833</v>
      </c>
      <c r="BD6" s="168" t="s">
        <v>828</v>
      </c>
      <c r="BE6" s="168" t="s">
        <v>829</v>
      </c>
      <c r="BF6" s="168" t="s">
        <v>830</v>
      </c>
      <c r="BG6" s="168" t="s">
        <v>831</v>
      </c>
      <c r="BH6" s="168" t="s">
        <v>832</v>
      </c>
      <c r="BI6" s="168" t="s">
        <v>833</v>
      </c>
      <c r="BJ6" s="168" t="s">
        <v>828</v>
      </c>
      <c r="BK6" s="168" t="s">
        <v>829</v>
      </c>
      <c r="BL6" s="168" t="s">
        <v>830</v>
      </c>
      <c r="BM6" s="168" t="s">
        <v>831</v>
      </c>
      <c r="BN6" s="168" t="s">
        <v>832</v>
      </c>
      <c r="BO6" s="168" t="s">
        <v>833</v>
      </c>
      <c r="BP6" s="170" t="s">
        <v>828</v>
      </c>
      <c r="BQ6" s="170" t="s">
        <v>829</v>
      </c>
      <c r="BR6" s="170" t="s">
        <v>830</v>
      </c>
      <c r="BS6" s="171" t="s">
        <v>831</v>
      </c>
      <c r="BT6" s="84" t="s">
        <v>832</v>
      </c>
      <c r="BU6" s="168" t="s">
        <v>833</v>
      </c>
    </row>
    <row r="7" spans="1:73" ht="30.15" customHeight="1" x14ac:dyDescent="0.25">
      <c r="A7" s="86" t="s">
        <v>35</v>
      </c>
      <c r="B7" s="88" t="s">
        <v>433</v>
      </c>
      <c r="C7" s="89" t="s">
        <v>434</v>
      </c>
      <c r="D7" s="85">
        <f>'Consumer Hardware Pricing'!L15</f>
        <v>190</v>
      </c>
      <c r="E7" s="85">
        <f>'Consumer Hardware Pricing'!M15</f>
        <v>190</v>
      </c>
      <c r="F7" s="85" t="str">
        <f>'Consumer Hardware Pricing'!N15</f>
        <v>-</v>
      </c>
      <c r="G7" s="85" t="str">
        <f t="shared" ref="G7:G55" si="0">IF(F7="-","-",ROUNDUP(D7/24,2))</f>
        <v>-</v>
      </c>
      <c r="H7" s="85" t="str">
        <f>'Consumer Hardware Pricing'!O15</f>
        <v>-</v>
      </c>
      <c r="I7" s="85" t="str">
        <f t="shared" ref="I7:I70" si="1">IF(H7="-",G7,G7-H7)</f>
        <v>-</v>
      </c>
      <c r="J7" s="85" t="str">
        <f>IF(H7="-",H7,H7*24)</f>
        <v>-</v>
      </c>
      <c r="K7" s="85" t="str">
        <f>IF(F7="-",F7,I7*24)</f>
        <v>-</v>
      </c>
      <c r="L7" s="85" t="str">
        <f>'Consumer Hardware Pricing'!Q15</f>
        <v>-</v>
      </c>
      <c r="M7" s="85" t="str">
        <f t="shared" ref="M7:M55" si="2">IF(L7="-",L7,IF(H7="-",G7-ROUNDUP((D7-L7)/24,2),H7+G7-ROUNDUP((D7-L7)/24,2)))</f>
        <v>-</v>
      </c>
      <c r="N7" s="85" t="str">
        <f t="shared" ref="N7:N70" si="3">IF(L7="-",L7,G7-M7)</f>
        <v>-</v>
      </c>
      <c r="O7" s="85" t="str">
        <f t="shared" ref="O7:O70" si="4">IF(L7="-",L7,M7*24)</f>
        <v>-</v>
      </c>
      <c r="P7" s="85" t="str">
        <f>IF(L7="-",L7,N7*24)</f>
        <v>-</v>
      </c>
      <c r="Q7" s="85" t="str">
        <f>'Consumer Hardware Pricing'!S15</f>
        <v>-</v>
      </c>
      <c r="R7" s="85" t="str">
        <f t="shared" ref="R7:R70" si="5">G7</f>
        <v>-</v>
      </c>
      <c r="S7" s="85" t="str">
        <f>'Consumer Hardware Pricing'!T15</f>
        <v>-</v>
      </c>
      <c r="T7" s="129" t="str">
        <f>IF(S7="-",R7,R7-S7)</f>
        <v>-</v>
      </c>
      <c r="U7" s="129" t="str">
        <f>IF(S7="-",S7,S7*24)</f>
        <v>-</v>
      </c>
      <c r="V7" s="85" t="str">
        <f>IF(Q7="-",Q7,T7*24)</f>
        <v>-</v>
      </c>
      <c r="W7" s="129" t="str">
        <f>'Consumer Hardware Pricing'!V15</f>
        <v>-</v>
      </c>
      <c r="X7" s="129" t="str">
        <f t="shared" ref="X7:X55" si="6">IF(W7="-",W7,IF(S7="-",R7-ROUNDUP((D7-W7)/24,2),S7+R7-ROUNDUP((D7-W7)/24,2)))</f>
        <v>-</v>
      </c>
      <c r="Y7" s="129" t="str">
        <f>IF(W7="-",W7,R7-X7)</f>
        <v>-</v>
      </c>
      <c r="Z7" s="129" t="str">
        <f>IF(W7="-",W7,X7*24)</f>
        <v>-</v>
      </c>
      <c r="AA7" s="85" t="str">
        <f>IF(W7="-",W7,Y7*24)</f>
        <v>-</v>
      </c>
      <c r="AB7" s="174" t="str">
        <f>'Consumer Hardware Pricing'!X15</f>
        <v>-</v>
      </c>
      <c r="AC7" s="174" t="str">
        <f t="shared" ref="AC7:AC69" si="7">IF(AB7="-","-",ROUNDUP(D7/24,2))</f>
        <v>-</v>
      </c>
      <c r="AD7" s="174" t="str">
        <f>'Consumer Hardware Pricing'!Y15</f>
        <v>-</v>
      </c>
      <c r="AE7" s="174" t="str">
        <f t="shared" ref="AE7" si="8">IF(AD7="-",AC7,AC7-AD7)</f>
        <v>-</v>
      </c>
      <c r="AF7" s="174" t="str">
        <f>IF(AD7="-",AD7,AD7*24)</f>
        <v>-</v>
      </c>
      <c r="AG7" s="174" t="str">
        <f>IF(AB7="-",AB7,AE7*24)</f>
        <v>-</v>
      </c>
      <c r="AH7" s="174" t="str">
        <f>'Consumer Hardware Pricing'!AA15</f>
        <v>-</v>
      </c>
      <c r="AI7" s="174" t="str">
        <f t="shared" ref="AI7:AI69" si="9">IF(AH7="-",AH7,IF(AD7="-",AC7-ROUNDUP((D7-AH7)/24,2),AD7+AC7-ROUNDUP((D7-AH7)/24,2)))</f>
        <v>-</v>
      </c>
      <c r="AJ7" s="174" t="str">
        <f t="shared" ref="AJ7" si="10">IF(AH7="-",AH7,AC7-AI7)</f>
        <v>-</v>
      </c>
      <c r="AK7" s="174" t="str">
        <f t="shared" ref="AK7" si="11">IF(AH7="-",AH7,AI7*24)</f>
        <v>-</v>
      </c>
      <c r="AL7" s="174" t="str">
        <f>IF(AH7="-",AH7,AJ7*24)</f>
        <v>-</v>
      </c>
      <c r="AM7" s="174" t="str">
        <f>'Consumer Hardware Pricing'!AC15</f>
        <v>-</v>
      </c>
      <c r="AN7" s="174" t="str">
        <f t="shared" ref="AN7:AN69" si="12">IF(AM7="-","-",ROUNDUP(D7/24,2))</f>
        <v>-</v>
      </c>
      <c r="AO7" s="174" t="str">
        <f>'Consumer Hardware Pricing'!AD15</f>
        <v>-</v>
      </c>
      <c r="AP7" s="175" t="str">
        <f>IF(AO7="-",AN7,AN7-AO7)</f>
        <v>-</v>
      </c>
      <c r="AQ7" s="175" t="str">
        <f>IF(AO7="-",AO7,AO7*24)</f>
        <v>-</v>
      </c>
      <c r="AR7" s="174" t="str">
        <f>IF(AM7="-",AM7,AP7*24)</f>
        <v>-</v>
      </c>
      <c r="AS7" s="174" t="str">
        <f>'Consumer Hardware Pricing'!AF15</f>
        <v>-</v>
      </c>
      <c r="AT7" s="175" t="str">
        <f t="shared" ref="AT7:AT69" si="13">IF(AS7="-",AS7,IF(AO7="-",AN7-ROUNDUP((D7-AS7)/24,2),AO7+AN7-ROUNDUP((D7-AS7)/24,2)))</f>
        <v>-</v>
      </c>
      <c r="AU7" s="175" t="str">
        <f>IF(AS7="-",AS7,AN7-AT7)</f>
        <v>-</v>
      </c>
      <c r="AV7" s="175" t="str">
        <f>IF(AS7="-",AS7,AT7*24)</f>
        <v>-</v>
      </c>
      <c r="AW7" s="174" t="str">
        <f>IF(AS7="-",AS7,AU7*24)</f>
        <v>-</v>
      </c>
      <c r="AX7" s="85" t="str">
        <f>'Consumer Hardware Pricing'!AH15</f>
        <v>-</v>
      </c>
      <c r="AY7" s="85" t="str">
        <f t="shared" ref="AY7:AY69" si="14">IF(AX7="-",AX7,ROUNDUP((D7-AX7)/24,2))</f>
        <v>-</v>
      </c>
      <c r="AZ7" s="85" t="str">
        <f>'Consumer Hardware Pricing'!AI15</f>
        <v>-</v>
      </c>
      <c r="BA7" s="85" t="str">
        <f t="shared" ref="BA7:BA70" si="15">IF(AZ7="-",AY7,AY7-AZ7)</f>
        <v>-</v>
      </c>
      <c r="BB7" s="85" t="str">
        <f t="shared" ref="BB7:BB70" si="16">IF(AZ7="-",AZ7,AZ7*24)</f>
        <v>-</v>
      </c>
      <c r="BC7" s="85" t="str">
        <f>IF(AX7="-",AX7,AX7+(BA7*24))</f>
        <v>-</v>
      </c>
      <c r="BD7" s="85">
        <f>'Consumer Hardware Pricing'!AL15</f>
        <v>0</v>
      </c>
      <c r="BE7" s="85">
        <f t="shared" ref="BE7:BE69" si="17">IF(BD7="-",BD7,ROUNDUP((D7-BD7)/24,2))</f>
        <v>7.92</v>
      </c>
      <c r="BF7" s="85" t="str">
        <f>'Consumer Hardware Pricing'!AM15</f>
        <v>-</v>
      </c>
      <c r="BG7" s="85">
        <f t="shared" ref="BG7:BG70" si="18">IF(BF7="-",BE7,BE7-BF7)</f>
        <v>7.92</v>
      </c>
      <c r="BH7" s="85" t="str">
        <f t="shared" ref="BH7:BH70" si="19">IF(BF7="-",BF7,BF7*24)</f>
        <v>-</v>
      </c>
      <c r="BI7" s="85">
        <f>IF(BD7="-",BD7,BD7+(BG7*24))</f>
        <v>190.07999999999998</v>
      </c>
      <c r="BJ7" s="85" t="str">
        <f>'Consumer Hardware Pricing'!AP15</f>
        <v>-</v>
      </c>
      <c r="BK7" s="85" t="str">
        <f t="shared" ref="BK7:BK69" si="20">IF(BJ7="-",BJ7,ROUNDUP((D7-BJ7)/24,2))</f>
        <v>-</v>
      </c>
      <c r="BL7" s="85" t="str">
        <f>'Consumer Hardware Pricing'!AQ15</f>
        <v>-</v>
      </c>
      <c r="BM7" s="85" t="str">
        <f t="shared" ref="BM7:BM70" si="21">IF(BL7="-",BK7,BK7-BL7)</f>
        <v>-</v>
      </c>
      <c r="BN7" s="85" t="str">
        <f t="shared" ref="BN7:BN70" si="22">IF(BL7="-",BL7,BL7*24)</f>
        <v>-</v>
      </c>
      <c r="BO7" s="85" t="str">
        <f>IF(BJ7="-",BJ7,BJ7+(BM7*24))</f>
        <v>-</v>
      </c>
      <c r="BP7" s="85" t="str">
        <f>'Consumer Hardware Pricing'!AT15</f>
        <v>-</v>
      </c>
      <c r="BQ7" s="85" t="str">
        <f t="shared" ref="BQ7:BQ69" si="23">IF(BP7="-",BP7,ROUNDUP((D7-BP7)/24,2))</f>
        <v>-</v>
      </c>
      <c r="BR7" s="85" t="s">
        <v>1</v>
      </c>
      <c r="BS7" s="85" t="str">
        <f t="shared" ref="BS7:BS70" si="24">IF(BR7="-",BQ7,BQ7-BR7)</f>
        <v>-</v>
      </c>
      <c r="BT7" s="85" t="str">
        <f t="shared" ref="BT7:BT70" si="25">IF(BR7="-",BR7,BR7*24)</f>
        <v>-</v>
      </c>
      <c r="BU7" s="85" t="str">
        <f>IF(BP7="-",BP7,BP7+(BS7*24))</f>
        <v>-</v>
      </c>
    </row>
    <row r="8" spans="1:73" ht="30.15" customHeight="1" x14ac:dyDescent="0.25">
      <c r="A8" s="86" t="s">
        <v>34</v>
      </c>
      <c r="B8" s="88" t="s">
        <v>438</v>
      </c>
      <c r="C8" s="89" t="s">
        <v>439</v>
      </c>
      <c r="D8" s="85">
        <f>'Consumer Hardware Pricing'!L16</f>
        <v>85</v>
      </c>
      <c r="E8" s="85">
        <f>'Consumer Hardware Pricing'!M16</f>
        <v>85</v>
      </c>
      <c r="F8" s="85">
        <f>'Consumer Hardware Pricing'!N16</f>
        <v>0</v>
      </c>
      <c r="G8" s="85">
        <f t="shared" si="0"/>
        <v>3.55</v>
      </c>
      <c r="H8" s="85" t="str">
        <f>'Consumer Hardware Pricing'!O16</f>
        <v>-</v>
      </c>
      <c r="I8" s="85">
        <f t="shared" si="1"/>
        <v>3.55</v>
      </c>
      <c r="J8" s="85" t="str">
        <f t="shared" ref="J8:J71" si="26">IF(H8="-",H8,H8*24)</f>
        <v>-</v>
      </c>
      <c r="K8" s="85">
        <f t="shared" ref="K8:K71" si="27">IF(F8="-",F8,I8*24)</f>
        <v>85.199999999999989</v>
      </c>
      <c r="L8" s="85" t="str">
        <f>'Consumer Hardware Pricing'!Q16</f>
        <v>-</v>
      </c>
      <c r="M8" s="85" t="str">
        <f t="shared" si="2"/>
        <v>-</v>
      </c>
      <c r="N8" s="85" t="str">
        <f t="shared" si="3"/>
        <v>-</v>
      </c>
      <c r="O8" s="85" t="str">
        <f t="shared" si="4"/>
        <v>-</v>
      </c>
      <c r="P8" s="85" t="str">
        <f t="shared" ref="P8:P71" si="28">IF(L8="-",L8,N8*24)</f>
        <v>-</v>
      </c>
      <c r="Q8" s="85">
        <f>'Consumer Hardware Pricing'!S16</f>
        <v>0</v>
      </c>
      <c r="R8" s="85">
        <f t="shared" si="5"/>
        <v>3.55</v>
      </c>
      <c r="S8" s="85" t="str">
        <f>'Consumer Hardware Pricing'!T16</f>
        <v>-</v>
      </c>
      <c r="T8" s="129">
        <f t="shared" ref="T8:T71" si="29">IF(S8="-",R8,R8-S8)</f>
        <v>3.55</v>
      </c>
      <c r="U8" s="129" t="str">
        <f t="shared" ref="U8:U71" si="30">IF(S8="-",S8,S8*24)</f>
        <v>-</v>
      </c>
      <c r="V8" s="85">
        <f t="shared" ref="V8:V71" si="31">IF(Q8="-",Q8,T8*24)</f>
        <v>85.199999999999989</v>
      </c>
      <c r="W8" s="129" t="str">
        <f>'Consumer Hardware Pricing'!V16</f>
        <v>-</v>
      </c>
      <c r="X8" s="129" t="str">
        <f t="shared" si="6"/>
        <v>-</v>
      </c>
      <c r="Y8" s="129" t="str">
        <f t="shared" ref="Y8:Y71" si="32">IF(W8="-",W8,R8-X8)</f>
        <v>-</v>
      </c>
      <c r="Z8" s="129" t="str">
        <f t="shared" ref="Z8:Z71" si="33">IF(W8="-",W8,X8*24)</f>
        <v>-</v>
      </c>
      <c r="AA8" s="85" t="str">
        <f t="shared" ref="AA8:AA71" si="34">IF(W8="-",W8,Y8*24)</f>
        <v>-</v>
      </c>
      <c r="AB8" s="85">
        <f>'Consumer Hardware Pricing'!X16</f>
        <v>0</v>
      </c>
      <c r="AC8" s="85">
        <f t="shared" si="7"/>
        <v>3.55</v>
      </c>
      <c r="AD8" s="85" t="str">
        <f>'Consumer Hardware Pricing'!Y16</f>
        <v>-</v>
      </c>
      <c r="AE8" s="85">
        <f t="shared" ref="AE8:AE56" si="35">IF(AD8="-",AC8,AC8-AD8)</f>
        <v>3.55</v>
      </c>
      <c r="AF8" s="85" t="str">
        <f t="shared" ref="AF8:AF56" si="36">IF(AD8="-",AD8,AD8*24)</f>
        <v>-</v>
      </c>
      <c r="AG8" s="85">
        <f t="shared" ref="AG8:AG56" si="37">IF(AB8="-",AB8,AE8*24)</f>
        <v>85.199999999999989</v>
      </c>
      <c r="AH8" s="85" t="str">
        <f>'Consumer Hardware Pricing'!AA16</f>
        <v>-</v>
      </c>
      <c r="AI8" s="85" t="str">
        <f t="shared" si="9"/>
        <v>-</v>
      </c>
      <c r="AJ8" s="85" t="str">
        <f t="shared" ref="AJ8:AJ56" si="38">IF(AH8="-",AH8,AC8-AI8)</f>
        <v>-</v>
      </c>
      <c r="AK8" s="85" t="str">
        <f t="shared" ref="AK8:AK56" si="39">IF(AH8="-",AH8,AI8*24)</f>
        <v>-</v>
      </c>
      <c r="AL8" s="85" t="str">
        <f t="shared" ref="AL8:AL56" si="40">IF(AH8="-",AH8,AJ8*24)</f>
        <v>-</v>
      </c>
      <c r="AM8" s="85">
        <f>'Consumer Hardware Pricing'!AC16</f>
        <v>0</v>
      </c>
      <c r="AN8" s="85">
        <f t="shared" si="12"/>
        <v>3.55</v>
      </c>
      <c r="AO8" s="85" t="str">
        <f>'Consumer Hardware Pricing'!AD16</f>
        <v>-</v>
      </c>
      <c r="AP8" s="85">
        <f t="shared" ref="AP8:AP56" si="41">IF(AO8="-",AN8,AN8-AO8)</f>
        <v>3.55</v>
      </c>
      <c r="AQ8" s="85" t="str">
        <f t="shared" ref="AQ8:AQ56" si="42">IF(AO8="-",AO8,AO8*24)</f>
        <v>-</v>
      </c>
      <c r="AR8" s="85">
        <f t="shared" ref="AR8:AR56" si="43">IF(AM8="-",AM8,AP8*24)</f>
        <v>85.199999999999989</v>
      </c>
      <c r="AS8" s="85" t="str">
        <f>'Consumer Hardware Pricing'!AF16</f>
        <v>-</v>
      </c>
      <c r="AT8" s="85" t="str">
        <f t="shared" si="13"/>
        <v>-</v>
      </c>
      <c r="AU8" s="85" t="str">
        <f t="shared" ref="AU8:AU56" si="44">IF(AS8="-",AS8,AN8-AT8)</f>
        <v>-</v>
      </c>
      <c r="AV8" s="85" t="str">
        <f t="shared" ref="AV8:AV56" si="45">IF(AS8="-",AS8,AT8*24)</f>
        <v>-</v>
      </c>
      <c r="AW8" s="85" t="str">
        <f t="shared" ref="AW8:AW56" si="46">IF(AS8="-",AS8,AU8*24)</f>
        <v>-</v>
      </c>
      <c r="AX8" s="85">
        <f>'Consumer Hardware Pricing'!AH16</f>
        <v>0</v>
      </c>
      <c r="AY8" s="85">
        <f t="shared" si="14"/>
        <v>3.55</v>
      </c>
      <c r="AZ8" s="85" t="str">
        <f>'Consumer Hardware Pricing'!AI16</f>
        <v>-</v>
      </c>
      <c r="BA8" s="85">
        <f t="shared" si="15"/>
        <v>3.55</v>
      </c>
      <c r="BB8" s="85" t="str">
        <f t="shared" si="16"/>
        <v>-</v>
      </c>
      <c r="BC8" s="85">
        <f t="shared" ref="BC8:BC71" si="47">IF(AX8="-",AX8,AX8+(BA8*24))</f>
        <v>85.199999999999989</v>
      </c>
      <c r="BD8" s="85" t="str">
        <f>'Consumer Hardware Pricing'!AL16</f>
        <v>-</v>
      </c>
      <c r="BE8" s="85" t="str">
        <f t="shared" si="17"/>
        <v>-</v>
      </c>
      <c r="BF8" s="85" t="str">
        <f>'Consumer Hardware Pricing'!AM16</f>
        <v>-</v>
      </c>
      <c r="BG8" s="85" t="str">
        <f t="shared" si="18"/>
        <v>-</v>
      </c>
      <c r="BH8" s="85" t="str">
        <f t="shared" si="19"/>
        <v>-</v>
      </c>
      <c r="BI8" s="85" t="str">
        <f t="shared" ref="BI8:BI71" si="48">IF(BD8="-",BD8,BD8+(BG8*24))</f>
        <v>-</v>
      </c>
      <c r="BJ8" s="85" t="str">
        <f>'Consumer Hardware Pricing'!AP16</f>
        <v>-</v>
      </c>
      <c r="BK8" s="85" t="str">
        <f t="shared" si="20"/>
        <v>-</v>
      </c>
      <c r="BL8" s="85" t="str">
        <f>'Consumer Hardware Pricing'!AQ16</f>
        <v>-</v>
      </c>
      <c r="BM8" s="85" t="str">
        <f t="shared" si="21"/>
        <v>-</v>
      </c>
      <c r="BN8" s="85" t="str">
        <f t="shared" si="22"/>
        <v>-</v>
      </c>
      <c r="BO8" s="85" t="str">
        <f t="shared" ref="BO8:BO71" si="49">IF(BJ8="-",BJ8,BJ8+(BM8*24))</f>
        <v>-</v>
      </c>
      <c r="BP8" s="85" t="str">
        <f>'Consumer Hardware Pricing'!AT16</f>
        <v>-</v>
      </c>
      <c r="BQ8" s="85" t="str">
        <f t="shared" si="23"/>
        <v>-</v>
      </c>
      <c r="BR8" s="85" t="str">
        <f>'Consumer Hardware Pricing'!AU16</f>
        <v>-</v>
      </c>
      <c r="BS8" s="85" t="str">
        <f t="shared" si="24"/>
        <v>-</v>
      </c>
      <c r="BT8" s="85" t="str">
        <f t="shared" si="25"/>
        <v>-</v>
      </c>
      <c r="BU8" s="85" t="str">
        <f t="shared" ref="BU8:BU71" si="50">IF(BP8="-",BP8,BP8+(BS8*24))</f>
        <v>-</v>
      </c>
    </row>
    <row r="9" spans="1:73" ht="30.15" customHeight="1" x14ac:dyDescent="0.25">
      <c r="A9" s="86" t="s">
        <v>34</v>
      </c>
      <c r="B9" s="88" t="s">
        <v>245</v>
      </c>
      <c r="C9" s="89" t="s">
        <v>856</v>
      </c>
      <c r="D9" s="85">
        <f>'Consumer Hardware Pricing'!L17</f>
        <v>75</v>
      </c>
      <c r="E9" s="85">
        <f>'Consumer Hardware Pricing'!M17</f>
        <v>75</v>
      </c>
      <c r="F9" s="85">
        <f>'Consumer Hardware Pricing'!N17</f>
        <v>0</v>
      </c>
      <c r="G9" s="85">
        <f t="shared" si="0"/>
        <v>3.13</v>
      </c>
      <c r="H9" s="85" t="str">
        <f>'Consumer Hardware Pricing'!O17</f>
        <v>-</v>
      </c>
      <c r="I9" s="85">
        <f t="shared" ref="I9" si="51">IF(H9="-",G9,G9-H9)</f>
        <v>3.13</v>
      </c>
      <c r="J9" s="85" t="str">
        <f t="shared" ref="J9" si="52">IF(H9="-",H9,H9*24)</f>
        <v>-</v>
      </c>
      <c r="K9" s="85">
        <f t="shared" ref="K9" si="53">IF(F9="-",F9,I9*24)</f>
        <v>75.12</v>
      </c>
      <c r="L9" s="85" t="str">
        <f>'Consumer Hardware Pricing'!Q17</f>
        <v>-</v>
      </c>
      <c r="M9" s="85" t="str">
        <f t="shared" si="2"/>
        <v>-</v>
      </c>
      <c r="N9" s="85" t="str">
        <f t="shared" ref="N9" si="54">IF(L9="-",L9,G9-M9)</f>
        <v>-</v>
      </c>
      <c r="O9" s="85" t="str">
        <f t="shared" ref="O9" si="55">IF(L9="-",L9,M9*24)</f>
        <v>-</v>
      </c>
      <c r="P9" s="85" t="str">
        <f t="shared" ref="P9" si="56">IF(L9="-",L9,N9*24)</f>
        <v>-</v>
      </c>
      <c r="Q9" s="85">
        <f>'Consumer Hardware Pricing'!S17</f>
        <v>0</v>
      </c>
      <c r="R9" s="85">
        <f t="shared" ref="R9" si="57">G9</f>
        <v>3.13</v>
      </c>
      <c r="S9" s="85" t="str">
        <f>'Consumer Hardware Pricing'!T17</f>
        <v>-</v>
      </c>
      <c r="T9" s="129">
        <f t="shared" ref="T9" si="58">IF(S9="-",R9,R9-S9)</f>
        <v>3.13</v>
      </c>
      <c r="U9" s="129" t="str">
        <f t="shared" ref="U9" si="59">IF(S9="-",S9,S9*24)</f>
        <v>-</v>
      </c>
      <c r="V9" s="85">
        <f t="shared" ref="V9" si="60">IF(Q9="-",Q9,T9*24)</f>
        <v>75.12</v>
      </c>
      <c r="W9" s="129" t="str">
        <f>'Consumer Hardware Pricing'!V17</f>
        <v>-</v>
      </c>
      <c r="X9" s="129" t="str">
        <f t="shared" si="6"/>
        <v>-</v>
      </c>
      <c r="Y9" s="129" t="str">
        <f t="shared" ref="Y9" si="61">IF(W9="-",W9,R9-X9)</f>
        <v>-</v>
      </c>
      <c r="Z9" s="129" t="str">
        <f t="shared" ref="Z9" si="62">IF(W9="-",W9,X9*24)</f>
        <v>-</v>
      </c>
      <c r="AA9" s="85" t="str">
        <f t="shared" ref="AA9" si="63">IF(W9="-",W9,Y9*24)</f>
        <v>-</v>
      </c>
      <c r="AB9" s="85">
        <f>'Consumer Hardware Pricing'!X17</f>
        <v>0</v>
      </c>
      <c r="AC9" s="85">
        <f t="shared" si="7"/>
        <v>3.13</v>
      </c>
      <c r="AD9" s="85" t="str">
        <f>'Consumer Hardware Pricing'!Y17</f>
        <v>-</v>
      </c>
      <c r="AE9" s="85">
        <f t="shared" si="35"/>
        <v>3.13</v>
      </c>
      <c r="AF9" s="85" t="str">
        <f t="shared" si="36"/>
        <v>-</v>
      </c>
      <c r="AG9" s="85">
        <f t="shared" si="37"/>
        <v>75.12</v>
      </c>
      <c r="AH9" s="85" t="str">
        <f>'Consumer Hardware Pricing'!AA17</f>
        <v>-</v>
      </c>
      <c r="AI9" s="85" t="str">
        <f t="shared" si="9"/>
        <v>-</v>
      </c>
      <c r="AJ9" s="85" t="str">
        <f t="shared" si="38"/>
        <v>-</v>
      </c>
      <c r="AK9" s="85" t="str">
        <f t="shared" si="39"/>
        <v>-</v>
      </c>
      <c r="AL9" s="85" t="str">
        <f t="shared" si="40"/>
        <v>-</v>
      </c>
      <c r="AM9" s="85">
        <f>'Consumer Hardware Pricing'!AC17</f>
        <v>0</v>
      </c>
      <c r="AN9" s="85">
        <f t="shared" si="12"/>
        <v>3.13</v>
      </c>
      <c r="AO9" s="85" t="str">
        <f>'Consumer Hardware Pricing'!AD17</f>
        <v>-</v>
      </c>
      <c r="AP9" s="85">
        <f t="shared" si="41"/>
        <v>3.13</v>
      </c>
      <c r="AQ9" s="85" t="str">
        <f t="shared" si="42"/>
        <v>-</v>
      </c>
      <c r="AR9" s="85">
        <f t="shared" si="43"/>
        <v>75.12</v>
      </c>
      <c r="AS9" s="85" t="str">
        <f>'Consumer Hardware Pricing'!AF17</f>
        <v>-</v>
      </c>
      <c r="AT9" s="85" t="str">
        <f t="shared" si="13"/>
        <v>-</v>
      </c>
      <c r="AU9" s="85" t="str">
        <f t="shared" si="44"/>
        <v>-</v>
      </c>
      <c r="AV9" s="85" t="str">
        <f t="shared" si="45"/>
        <v>-</v>
      </c>
      <c r="AW9" s="85" t="str">
        <f t="shared" si="46"/>
        <v>-</v>
      </c>
      <c r="AX9" s="85">
        <f>'Consumer Hardware Pricing'!AH17</f>
        <v>0</v>
      </c>
      <c r="AY9" s="85">
        <f t="shared" si="14"/>
        <v>3.13</v>
      </c>
      <c r="AZ9" s="85" t="str">
        <f>'Consumer Hardware Pricing'!AI17</f>
        <v>-</v>
      </c>
      <c r="BA9" s="85">
        <f t="shared" ref="BA9" si="64">IF(AZ9="-",AY9,AY9-AZ9)</f>
        <v>3.13</v>
      </c>
      <c r="BB9" s="85" t="str">
        <f t="shared" ref="BB9" si="65">IF(AZ9="-",AZ9,AZ9*24)</f>
        <v>-</v>
      </c>
      <c r="BC9" s="85">
        <f t="shared" ref="BC9" si="66">IF(AX9="-",AX9,AX9+(BA9*24))</f>
        <v>75.12</v>
      </c>
      <c r="BD9" s="85" t="str">
        <f>'Consumer Hardware Pricing'!AL17</f>
        <v>-</v>
      </c>
      <c r="BE9" s="85" t="str">
        <f t="shared" si="17"/>
        <v>-</v>
      </c>
      <c r="BF9" s="85" t="str">
        <f>'Consumer Hardware Pricing'!AM17</f>
        <v>-</v>
      </c>
      <c r="BG9" s="85" t="str">
        <f t="shared" ref="BG9" si="67">IF(BF9="-",BE9,BE9-BF9)</f>
        <v>-</v>
      </c>
      <c r="BH9" s="85" t="str">
        <f t="shared" ref="BH9" si="68">IF(BF9="-",BF9,BF9*24)</f>
        <v>-</v>
      </c>
      <c r="BI9" s="85" t="str">
        <f t="shared" ref="BI9" si="69">IF(BD9="-",BD9,BD9+(BG9*24))</f>
        <v>-</v>
      </c>
      <c r="BJ9" s="85" t="str">
        <f>'Consumer Hardware Pricing'!AP17</f>
        <v>-</v>
      </c>
      <c r="BK9" s="85" t="str">
        <f t="shared" si="20"/>
        <v>-</v>
      </c>
      <c r="BL9" s="85" t="str">
        <f>'Consumer Hardware Pricing'!AQ17</f>
        <v>-</v>
      </c>
      <c r="BM9" s="85" t="str">
        <f t="shared" ref="BM9" si="70">IF(BL9="-",BK9,BK9-BL9)</f>
        <v>-</v>
      </c>
      <c r="BN9" s="85" t="str">
        <f t="shared" ref="BN9" si="71">IF(BL9="-",BL9,BL9*24)</f>
        <v>-</v>
      </c>
      <c r="BO9" s="85" t="str">
        <f t="shared" ref="BO9" si="72">IF(BJ9="-",BJ9,BJ9+(BM9*24))</f>
        <v>-</v>
      </c>
      <c r="BP9" s="85" t="str">
        <f>'Consumer Hardware Pricing'!AT17</f>
        <v>-</v>
      </c>
      <c r="BQ9" s="85" t="str">
        <f t="shared" si="23"/>
        <v>-</v>
      </c>
      <c r="BR9" s="85" t="str">
        <f>'Consumer Hardware Pricing'!AU17</f>
        <v>-</v>
      </c>
      <c r="BS9" s="85" t="str">
        <f t="shared" ref="BS9" si="73">IF(BR9="-",BQ9,BQ9-BR9)</f>
        <v>-</v>
      </c>
      <c r="BT9" s="85" t="str">
        <f t="shared" ref="BT9" si="74">IF(BR9="-",BR9,BR9*24)</f>
        <v>-</v>
      </c>
      <c r="BU9" s="85" t="str">
        <f t="shared" ref="BU9" si="75">IF(BP9="-",BP9,BP9+(BS9*24))</f>
        <v>-</v>
      </c>
    </row>
    <row r="10" spans="1:73" ht="30.15" customHeight="1" x14ac:dyDescent="0.25">
      <c r="A10" s="86" t="s">
        <v>35</v>
      </c>
      <c r="B10" s="88" t="s">
        <v>482</v>
      </c>
      <c r="C10" s="88" t="s">
        <v>484</v>
      </c>
      <c r="D10" s="85">
        <f>'Consumer Hardware Pricing'!L18</f>
        <v>120</v>
      </c>
      <c r="E10" s="85">
        <f>'Consumer Hardware Pricing'!M18</f>
        <v>120</v>
      </c>
      <c r="F10" s="85" t="str">
        <f>'Consumer Hardware Pricing'!N18</f>
        <v>-</v>
      </c>
      <c r="G10" s="85" t="str">
        <f t="shared" si="0"/>
        <v>-</v>
      </c>
      <c r="H10" s="85" t="str">
        <f>'Consumer Hardware Pricing'!O18</f>
        <v>-</v>
      </c>
      <c r="I10" s="85" t="str">
        <f t="shared" si="1"/>
        <v>-</v>
      </c>
      <c r="J10" s="85" t="str">
        <f t="shared" si="26"/>
        <v>-</v>
      </c>
      <c r="K10" s="85" t="str">
        <f t="shared" si="27"/>
        <v>-</v>
      </c>
      <c r="L10" s="85" t="str">
        <f>'Consumer Hardware Pricing'!Q18</f>
        <v>-</v>
      </c>
      <c r="M10" s="85" t="str">
        <f t="shared" si="2"/>
        <v>-</v>
      </c>
      <c r="N10" s="85" t="str">
        <f t="shared" si="3"/>
        <v>-</v>
      </c>
      <c r="O10" s="85" t="str">
        <f t="shared" si="4"/>
        <v>-</v>
      </c>
      <c r="P10" s="85" t="str">
        <f t="shared" si="28"/>
        <v>-</v>
      </c>
      <c r="Q10" s="85" t="str">
        <f>'Consumer Hardware Pricing'!S18</f>
        <v>-</v>
      </c>
      <c r="R10" s="85" t="str">
        <f t="shared" si="5"/>
        <v>-</v>
      </c>
      <c r="S10" s="85" t="str">
        <f>'Consumer Hardware Pricing'!T18</f>
        <v>-</v>
      </c>
      <c r="T10" s="129" t="str">
        <f t="shared" si="29"/>
        <v>-</v>
      </c>
      <c r="U10" s="129" t="str">
        <f t="shared" si="30"/>
        <v>-</v>
      </c>
      <c r="V10" s="85" t="str">
        <f t="shared" si="31"/>
        <v>-</v>
      </c>
      <c r="W10" s="129" t="str">
        <f>'Consumer Hardware Pricing'!V18</f>
        <v>-</v>
      </c>
      <c r="X10" s="129" t="str">
        <f t="shared" si="6"/>
        <v>-</v>
      </c>
      <c r="Y10" s="129" t="str">
        <f t="shared" si="32"/>
        <v>-</v>
      </c>
      <c r="Z10" s="129" t="str">
        <f t="shared" si="33"/>
        <v>-</v>
      </c>
      <c r="AA10" s="85" t="str">
        <f t="shared" si="34"/>
        <v>-</v>
      </c>
      <c r="AB10" s="85" t="str">
        <f>'Consumer Hardware Pricing'!X18</f>
        <v>-</v>
      </c>
      <c r="AC10" s="85" t="str">
        <f t="shared" si="7"/>
        <v>-</v>
      </c>
      <c r="AD10" s="85" t="str">
        <f>'Consumer Hardware Pricing'!Y18</f>
        <v>-</v>
      </c>
      <c r="AE10" s="85" t="str">
        <f t="shared" si="35"/>
        <v>-</v>
      </c>
      <c r="AF10" s="85" t="str">
        <f t="shared" si="36"/>
        <v>-</v>
      </c>
      <c r="AG10" s="85" t="str">
        <f t="shared" si="37"/>
        <v>-</v>
      </c>
      <c r="AH10" s="85" t="str">
        <f>'Consumer Hardware Pricing'!AA18</f>
        <v>-</v>
      </c>
      <c r="AI10" s="85" t="str">
        <f t="shared" si="9"/>
        <v>-</v>
      </c>
      <c r="AJ10" s="85" t="str">
        <f t="shared" si="38"/>
        <v>-</v>
      </c>
      <c r="AK10" s="85" t="str">
        <f t="shared" si="39"/>
        <v>-</v>
      </c>
      <c r="AL10" s="85" t="str">
        <f t="shared" si="40"/>
        <v>-</v>
      </c>
      <c r="AM10" s="85" t="str">
        <f>'Consumer Hardware Pricing'!AC18</f>
        <v>-</v>
      </c>
      <c r="AN10" s="85" t="str">
        <f t="shared" si="12"/>
        <v>-</v>
      </c>
      <c r="AO10" s="85" t="str">
        <f>'Consumer Hardware Pricing'!AD18</f>
        <v>-</v>
      </c>
      <c r="AP10" s="85" t="str">
        <f t="shared" si="41"/>
        <v>-</v>
      </c>
      <c r="AQ10" s="85" t="str">
        <f t="shared" si="42"/>
        <v>-</v>
      </c>
      <c r="AR10" s="85" t="str">
        <f t="shared" si="43"/>
        <v>-</v>
      </c>
      <c r="AS10" s="85" t="str">
        <f>'Consumer Hardware Pricing'!AF18</f>
        <v>-</v>
      </c>
      <c r="AT10" s="85" t="str">
        <f t="shared" si="13"/>
        <v>-</v>
      </c>
      <c r="AU10" s="85" t="str">
        <f t="shared" si="44"/>
        <v>-</v>
      </c>
      <c r="AV10" s="85" t="str">
        <f t="shared" si="45"/>
        <v>-</v>
      </c>
      <c r="AW10" s="85" t="str">
        <f t="shared" si="46"/>
        <v>-</v>
      </c>
      <c r="AX10" s="85" t="str">
        <f>'Consumer Hardware Pricing'!AH18</f>
        <v>-</v>
      </c>
      <c r="AY10" s="85" t="str">
        <f t="shared" si="14"/>
        <v>-</v>
      </c>
      <c r="AZ10" s="85" t="str">
        <f>'Consumer Hardware Pricing'!AI18</f>
        <v>-</v>
      </c>
      <c r="BA10" s="85" t="str">
        <f t="shared" si="15"/>
        <v>-</v>
      </c>
      <c r="BB10" s="85" t="str">
        <f t="shared" si="16"/>
        <v>-</v>
      </c>
      <c r="BC10" s="85" t="str">
        <f t="shared" si="47"/>
        <v>-</v>
      </c>
      <c r="BD10" s="85">
        <f>'Consumer Hardware Pricing'!AL18</f>
        <v>0</v>
      </c>
      <c r="BE10" s="85">
        <f t="shared" si="17"/>
        <v>5</v>
      </c>
      <c r="BF10" s="85" t="str">
        <f>'Consumer Hardware Pricing'!AM18</f>
        <v>-</v>
      </c>
      <c r="BG10" s="85">
        <f t="shared" si="18"/>
        <v>5</v>
      </c>
      <c r="BH10" s="85" t="str">
        <f t="shared" si="19"/>
        <v>-</v>
      </c>
      <c r="BI10" s="85">
        <f t="shared" si="48"/>
        <v>120</v>
      </c>
      <c r="BJ10" s="85" t="str">
        <f>'Consumer Hardware Pricing'!AP18</f>
        <v>-</v>
      </c>
      <c r="BK10" s="85" t="str">
        <f t="shared" si="20"/>
        <v>-</v>
      </c>
      <c r="BL10" s="85" t="str">
        <f>'Consumer Hardware Pricing'!AQ18</f>
        <v>-</v>
      </c>
      <c r="BM10" s="85" t="str">
        <f t="shared" si="21"/>
        <v>-</v>
      </c>
      <c r="BN10" s="85" t="str">
        <f t="shared" si="22"/>
        <v>-</v>
      </c>
      <c r="BO10" s="85" t="str">
        <f t="shared" si="49"/>
        <v>-</v>
      </c>
      <c r="BP10" s="85" t="str">
        <f>'Consumer Hardware Pricing'!AT18</f>
        <v>-</v>
      </c>
      <c r="BQ10" s="85" t="str">
        <f t="shared" si="23"/>
        <v>-</v>
      </c>
      <c r="BR10" s="85" t="str">
        <f>'Consumer Hardware Pricing'!AU18</f>
        <v>-</v>
      </c>
      <c r="BS10" s="85" t="str">
        <f t="shared" si="24"/>
        <v>-</v>
      </c>
      <c r="BT10" s="85" t="str">
        <f t="shared" si="25"/>
        <v>-</v>
      </c>
      <c r="BU10" s="85" t="str">
        <f t="shared" si="50"/>
        <v>-</v>
      </c>
    </row>
    <row r="11" spans="1:73" ht="30.15" customHeight="1" x14ac:dyDescent="0.25">
      <c r="A11" s="86" t="s">
        <v>35</v>
      </c>
      <c r="B11" s="88" t="s">
        <v>483</v>
      </c>
      <c r="C11" s="88" t="s">
        <v>485</v>
      </c>
      <c r="D11" s="85">
        <f>'Consumer Hardware Pricing'!L19</f>
        <v>160</v>
      </c>
      <c r="E11" s="85">
        <f>'Consumer Hardware Pricing'!M19</f>
        <v>160</v>
      </c>
      <c r="F11" s="85" t="str">
        <f>'Consumer Hardware Pricing'!N19</f>
        <v>-</v>
      </c>
      <c r="G11" s="85" t="str">
        <f t="shared" si="0"/>
        <v>-</v>
      </c>
      <c r="H11" s="85" t="str">
        <f>'Consumer Hardware Pricing'!O19</f>
        <v>-</v>
      </c>
      <c r="I11" s="85" t="str">
        <f t="shared" si="1"/>
        <v>-</v>
      </c>
      <c r="J11" s="85" t="str">
        <f t="shared" si="26"/>
        <v>-</v>
      </c>
      <c r="K11" s="85" t="str">
        <f t="shared" si="27"/>
        <v>-</v>
      </c>
      <c r="L11" s="85" t="str">
        <f>'Consumer Hardware Pricing'!Q19</f>
        <v>-</v>
      </c>
      <c r="M11" s="85" t="str">
        <f t="shared" si="2"/>
        <v>-</v>
      </c>
      <c r="N11" s="85" t="str">
        <f t="shared" si="3"/>
        <v>-</v>
      </c>
      <c r="O11" s="85" t="str">
        <f t="shared" si="4"/>
        <v>-</v>
      </c>
      <c r="P11" s="85" t="str">
        <f t="shared" si="28"/>
        <v>-</v>
      </c>
      <c r="Q11" s="85" t="str">
        <f>'Consumer Hardware Pricing'!S19</f>
        <v>-</v>
      </c>
      <c r="R11" s="85" t="str">
        <f t="shared" si="5"/>
        <v>-</v>
      </c>
      <c r="S11" s="85" t="str">
        <f>'Consumer Hardware Pricing'!T19</f>
        <v>-</v>
      </c>
      <c r="T11" s="129" t="str">
        <f t="shared" si="29"/>
        <v>-</v>
      </c>
      <c r="U11" s="129" t="str">
        <f t="shared" si="30"/>
        <v>-</v>
      </c>
      <c r="V11" s="85" t="str">
        <f t="shared" si="31"/>
        <v>-</v>
      </c>
      <c r="W11" s="129" t="str">
        <f>'Consumer Hardware Pricing'!V19</f>
        <v>-</v>
      </c>
      <c r="X11" s="129" t="str">
        <f t="shared" si="6"/>
        <v>-</v>
      </c>
      <c r="Y11" s="129" t="str">
        <f t="shared" si="32"/>
        <v>-</v>
      </c>
      <c r="Z11" s="129" t="str">
        <f t="shared" si="33"/>
        <v>-</v>
      </c>
      <c r="AA11" s="85" t="str">
        <f t="shared" si="34"/>
        <v>-</v>
      </c>
      <c r="AB11" s="85" t="str">
        <f>'Consumer Hardware Pricing'!X19</f>
        <v>-</v>
      </c>
      <c r="AC11" s="85" t="str">
        <f t="shared" si="7"/>
        <v>-</v>
      </c>
      <c r="AD11" s="85" t="str">
        <f>'Consumer Hardware Pricing'!Y19</f>
        <v>-</v>
      </c>
      <c r="AE11" s="85" t="str">
        <f t="shared" si="35"/>
        <v>-</v>
      </c>
      <c r="AF11" s="85" t="str">
        <f t="shared" si="36"/>
        <v>-</v>
      </c>
      <c r="AG11" s="85" t="str">
        <f t="shared" si="37"/>
        <v>-</v>
      </c>
      <c r="AH11" s="85" t="str">
        <f>'Consumer Hardware Pricing'!AA19</f>
        <v>-</v>
      </c>
      <c r="AI11" s="85" t="str">
        <f t="shared" si="9"/>
        <v>-</v>
      </c>
      <c r="AJ11" s="85" t="str">
        <f t="shared" si="38"/>
        <v>-</v>
      </c>
      <c r="AK11" s="85" t="str">
        <f t="shared" si="39"/>
        <v>-</v>
      </c>
      <c r="AL11" s="85" t="str">
        <f t="shared" si="40"/>
        <v>-</v>
      </c>
      <c r="AM11" s="85" t="str">
        <f>'Consumer Hardware Pricing'!AC19</f>
        <v>-</v>
      </c>
      <c r="AN11" s="85" t="str">
        <f t="shared" si="12"/>
        <v>-</v>
      </c>
      <c r="AO11" s="85" t="str">
        <f>'Consumer Hardware Pricing'!AD19</f>
        <v>-</v>
      </c>
      <c r="AP11" s="85" t="str">
        <f t="shared" si="41"/>
        <v>-</v>
      </c>
      <c r="AQ11" s="85" t="str">
        <f t="shared" si="42"/>
        <v>-</v>
      </c>
      <c r="AR11" s="85" t="str">
        <f t="shared" si="43"/>
        <v>-</v>
      </c>
      <c r="AS11" s="85" t="str">
        <f>'Consumer Hardware Pricing'!AF19</f>
        <v>-</v>
      </c>
      <c r="AT11" s="85" t="str">
        <f t="shared" si="13"/>
        <v>-</v>
      </c>
      <c r="AU11" s="85" t="str">
        <f t="shared" si="44"/>
        <v>-</v>
      </c>
      <c r="AV11" s="85" t="str">
        <f t="shared" si="45"/>
        <v>-</v>
      </c>
      <c r="AW11" s="85" t="str">
        <f t="shared" si="46"/>
        <v>-</v>
      </c>
      <c r="AX11" s="85" t="str">
        <f>'Consumer Hardware Pricing'!AH19</f>
        <v>-</v>
      </c>
      <c r="AY11" s="85" t="str">
        <f t="shared" si="14"/>
        <v>-</v>
      </c>
      <c r="AZ11" s="85" t="str">
        <f>'Consumer Hardware Pricing'!AI19</f>
        <v>-</v>
      </c>
      <c r="BA11" s="85" t="str">
        <f t="shared" si="15"/>
        <v>-</v>
      </c>
      <c r="BB11" s="85" t="str">
        <f t="shared" si="16"/>
        <v>-</v>
      </c>
      <c r="BC11" s="85" t="str">
        <f t="shared" si="47"/>
        <v>-</v>
      </c>
      <c r="BD11" s="85">
        <f>'Consumer Hardware Pricing'!AL19</f>
        <v>0</v>
      </c>
      <c r="BE11" s="85">
        <f t="shared" si="17"/>
        <v>6.67</v>
      </c>
      <c r="BF11" s="85" t="str">
        <f>'Consumer Hardware Pricing'!AM19</f>
        <v>-</v>
      </c>
      <c r="BG11" s="85">
        <f t="shared" si="18"/>
        <v>6.67</v>
      </c>
      <c r="BH11" s="85" t="str">
        <f t="shared" si="19"/>
        <v>-</v>
      </c>
      <c r="BI11" s="85">
        <f t="shared" si="48"/>
        <v>160.07999999999998</v>
      </c>
      <c r="BJ11" s="85" t="str">
        <f>'Consumer Hardware Pricing'!AP19</f>
        <v>-</v>
      </c>
      <c r="BK11" s="85" t="str">
        <f t="shared" si="20"/>
        <v>-</v>
      </c>
      <c r="BL11" s="85" t="str">
        <f>'Consumer Hardware Pricing'!AQ19</f>
        <v>-</v>
      </c>
      <c r="BM11" s="85" t="str">
        <f t="shared" si="21"/>
        <v>-</v>
      </c>
      <c r="BN11" s="85" t="str">
        <f t="shared" si="22"/>
        <v>-</v>
      </c>
      <c r="BO11" s="85" t="str">
        <f t="shared" si="49"/>
        <v>-</v>
      </c>
      <c r="BP11" s="85" t="str">
        <f>'Consumer Hardware Pricing'!AT19</f>
        <v>-</v>
      </c>
      <c r="BQ11" s="85" t="str">
        <f t="shared" si="23"/>
        <v>-</v>
      </c>
      <c r="BR11" s="85" t="str">
        <f>'Consumer Hardware Pricing'!AU19</f>
        <v>-</v>
      </c>
      <c r="BS11" s="85" t="str">
        <f t="shared" si="24"/>
        <v>-</v>
      </c>
      <c r="BT11" s="85" t="str">
        <f t="shared" si="25"/>
        <v>-</v>
      </c>
      <c r="BU11" s="85" t="str">
        <f t="shared" si="50"/>
        <v>-</v>
      </c>
    </row>
    <row r="12" spans="1:73" ht="30.15" customHeight="1" x14ac:dyDescent="0.25">
      <c r="A12" s="86" t="s">
        <v>35</v>
      </c>
      <c r="B12" s="88" t="s">
        <v>474</v>
      </c>
      <c r="C12" s="88" t="s">
        <v>479</v>
      </c>
      <c r="D12" s="85">
        <f>'Consumer Hardware Pricing'!L20</f>
        <v>240</v>
      </c>
      <c r="E12" s="85">
        <f>'Consumer Hardware Pricing'!M20</f>
        <v>240</v>
      </c>
      <c r="F12" s="85" t="str">
        <f>'Consumer Hardware Pricing'!N20</f>
        <v>-</v>
      </c>
      <c r="G12" s="85" t="str">
        <f t="shared" si="0"/>
        <v>-</v>
      </c>
      <c r="H12" s="85" t="str">
        <f>'Consumer Hardware Pricing'!O20</f>
        <v>-</v>
      </c>
      <c r="I12" s="85" t="str">
        <f t="shared" si="1"/>
        <v>-</v>
      </c>
      <c r="J12" s="85" t="str">
        <f t="shared" si="26"/>
        <v>-</v>
      </c>
      <c r="K12" s="85" t="str">
        <f t="shared" si="27"/>
        <v>-</v>
      </c>
      <c r="L12" s="85" t="str">
        <f>'Consumer Hardware Pricing'!Q20</f>
        <v>-</v>
      </c>
      <c r="M12" s="85" t="str">
        <f t="shared" si="2"/>
        <v>-</v>
      </c>
      <c r="N12" s="85" t="str">
        <f t="shared" si="3"/>
        <v>-</v>
      </c>
      <c r="O12" s="85" t="str">
        <f t="shared" si="4"/>
        <v>-</v>
      </c>
      <c r="P12" s="85" t="str">
        <f t="shared" si="28"/>
        <v>-</v>
      </c>
      <c r="Q12" s="85" t="str">
        <f>'Consumer Hardware Pricing'!S20</f>
        <v>-</v>
      </c>
      <c r="R12" s="85" t="str">
        <f t="shared" si="5"/>
        <v>-</v>
      </c>
      <c r="S12" s="85" t="str">
        <f>'Consumer Hardware Pricing'!T20</f>
        <v>-</v>
      </c>
      <c r="T12" s="129" t="str">
        <f t="shared" si="29"/>
        <v>-</v>
      </c>
      <c r="U12" s="129" t="str">
        <f t="shared" si="30"/>
        <v>-</v>
      </c>
      <c r="V12" s="85" t="str">
        <f t="shared" si="31"/>
        <v>-</v>
      </c>
      <c r="W12" s="129" t="str">
        <f>'Consumer Hardware Pricing'!V20</f>
        <v>-</v>
      </c>
      <c r="X12" s="129" t="str">
        <f t="shared" si="6"/>
        <v>-</v>
      </c>
      <c r="Y12" s="129" t="str">
        <f t="shared" si="32"/>
        <v>-</v>
      </c>
      <c r="Z12" s="129" t="str">
        <f t="shared" si="33"/>
        <v>-</v>
      </c>
      <c r="AA12" s="85" t="str">
        <f t="shared" si="34"/>
        <v>-</v>
      </c>
      <c r="AB12" s="85" t="str">
        <f>'Consumer Hardware Pricing'!X20</f>
        <v>-</v>
      </c>
      <c r="AC12" s="85" t="str">
        <f t="shared" si="7"/>
        <v>-</v>
      </c>
      <c r="AD12" s="85" t="str">
        <f>'Consumer Hardware Pricing'!Y20</f>
        <v>-</v>
      </c>
      <c r="AE12" s="85" t="str">
        <f t="shared" si="35"/>
        <v>-</v>
      </c>
      <c r="AF12" s="85" t="str">
        <f t="shared" si="36"/>
        <v>-</v>
      </c>
      <c r="AG12" s="85" t="str">
        <f t="shared" si="37"/>
        <v>-</v>
      </c>
      <c r="AH12" s="85" t="str">
        <f>'Consumer Hardware Pricing'!AA20</f>
        <v>-</v>
      </c>
      <c r="AI12" s="85" t="str">
        <f t="shared" si="9"/>
        <v>-</v>
      </c>
      <c r="AJ12" s="85" t="str">
        <f t="shared" si="38"/>
        <v>-</v>
      </c>
      <c r="AK12" s="85" t="str">
        <f t="shared" si="39"/>
        <v>-</v>
      </c>
      <c r="AL12" s="85" t="str">
        <f t="shared" si="40"/>
        <v>-</v>
      </c>
      <c r="AM12" s="85" t="str">
        <f>'Consumer Hardware Pricing'!AC20</f>
        <v>-</v>
      </c>
      <c r="AN12" s="85" t="str">
        <f t="shared" si="12"/>
        <v>-</v>
      </c>
      <c r="AO12" s="85" t="str">
        <f>'Consumer Hardware Pricing'!AD20</f>
        <v>-</v>
      </c>
      <c r="AP12" s="85" t="str">
        <f t="shared" si="41"/>
        <v>-</v>
      </c>
      <c r="AQ12" s="85" t="str">
        <f t="shared" si="42"/>
        <v>-</v>
      </c>
      <c r="AR12" s="85" t="str">
        <f t="shared" si="43"/>
        <v>-</v>
      </c>
      <c r="AS12" s="85" t="str">
        <f>'Consumer Hardware Pricing'!AF20</f>
        <v>-</v>
      </c>
      <c r="AT12" s="85" t="str">
        <f t="shared" si="13"/>
        <v>-</v>
      </c>
      <c r="AU12" s="85" t="str">
        <f t="shared" si="44"/>
        <v>-</v>
      </c>
      <c r="AV12" s="85" t="str">
        <f t="shared" si="45"/>
        <v>-</v>
      </c>
      <c r="AW12" s="85" t="str">
        <f t="shared" si="46"/>
        <v>-</v>
      </c>
      <c r="AX12" s="85" t="str">
        <f>'Consumer Hardware Pricing'!AH20</f>
        <v>-</v>
      </c>
      <c r="AY12" s="85" t="str">
        <f t="shared" si="14"/>
        <v>-</v>
      </c>
      <c r="AZ12" s="85" t="str">
        <f>'Consumer Hardware Pricing'!AI20</f>
        <v>-</v>
      </c>
      <c r="BA12" s="85" t="str">
        <f t="shared" si="15"/>
        <v>-</v>
      </c>
      <c r="BB12" s="85" t="str">
        <f t="shared" si="16"/>
        <v>-</v>
      </c>
      <c r="BC12" s="85" t="str">
        <f t="shared" si="47"/>
        <v>-</v>
      </c>
      <c r="BD12" s="85">
        <f>'Consumer Hardware Pricing'!AL20</f>
        <v>0</v>
      </c>
      <c r="BE12" s="85">
        <f t="shared" si="17"/>
        <v>10</v>
      </c>
      <c r="BF12" s="85" t="str">
        <f>'Consumer Hardware Pricing'!AM20</f>
        <v>-</v>
      </c>
      <c r="BG12" s="85">
        <f t="shared" si="18"/>
        <v>10</v>
      </c>
      <c r="BH12" s="85" t="str">
        <f t="shared" si="19"/>
        <v>-</v>
      </c>
      <c r="BI12" s="85">
        <f t="shared" si="48"/>
        <v>240</v>
      </c>
      <c r="BJ12" s="85" t="str">
        <f>'Consumer Hardware Pricing'!AP20</f>
        <v>-</v>
      </c>
      <c r="BK12" s="85" t="str">
        <f t="shared" si="20"/>
        <v>-</v>
      </c>
      <c r="BL12" s="85" t="str">
        <f>'Consumer Hardware Pricing'!AQ20</f>
        <v>-</v>
      </c>
      <c r="BM12" s="85" t="str">
        <f t="shared" si="21"/>
        <v>-</v>
      </c>
      <c r="BN12" s="85" t="str">
        <f t="shared" si="22"/>
        <v>-</v>
      </c>
      <c r="BO12" s="85" t="str">
        <f t="shared" si="49"/>
        <v>-</v>
      </c>
      <c r="BP12" s="85" t="str">
        <f>'Consumer Hardware Pricing'!AT20</f>
        <v>-</v>
      </c>
      <c r="BQ12" s="85" t="str">
        <f t="shared" si="23"/>
        <v>-</v>
      </c>
      <c r="BR12" s="85" t="str">
        <f>'Consumer Hardware Pricing'!AU20</f>
        <v>-</v>
      </c>
      <c r="BS12" s="85" t="str">
        <f t="shared" si="24"/>
        <v>-</v>
      </c>
      <c r="BT12" s="85" t="str">
        <f t="shared" si="25"/>
        <v>-</v>
      </c>
      <c r="BU12" s="85" t="str">
        <f t="shared" si="50"/>
        <v>-</v>
      </c>
    </row>
    <row r="13" spans="1:73" ht="30.15" customHeight="1" x14ac:dyDescent="0.25">
      <c r="A13" s="86" t="s">
        <v>35</v>
      </c>
      <c r="B13" s="88" t="s">
        <v>475</v>
      </c>
      <c r="C13" s="88" t="s">
        <v>479</v>
      </c>
      <c r="D13" s="85">
        <f>'Consumer Hardware Pricing'!L21</f>
        <v>240</v>
      </c>
      <c r="E13" s="85">
        <f>'Consumer Hardware Pricing'!M21</f>
        <v>240</v>
      </c>
      <c r="F13" s="85" t="str">
        <f>'Consumer Hardware Pricing'!N21</f>
        <v>-</v>
      </c>
      <c r="G13" s="85" t="str">
        <f t="shared" si="0"/>
        <v>-</v>
      </c>
      <c r="H13" s="85" t="str">
        <f>'Consumer Hardware Pricing'!O21</f>
        <v>-</v>
      </c>
      <c r="I13" s="85" t="str">
        <f t="shared" si="1"/>
        <v>-</v>
      </c>
      <c r="J13" s="85" t="str">
        <f t="shared" si="26"/>
        <v>-</v>
      </c>
      <c r="K13" s="85" t="str">
        <f t="shared" si="27"/>
        <v>-</v>
      </c>
      <c r="L13" s="85" t="str">
        <f>'Consumer Hardware Pricing'!Q21</f>
        <v>-</v>
      </c>
      <c r="M13" s="85" t="str">
        <f t="shared" si="2"/>
        <v>-</v>
      </c>
      <c r="N13" s="85" t="str">
        <f t="shared" si="3"/>
        <v>-</v>
      </c>
      <c r="O13" s="85" t="str">
        <f t="shared" si="4"/>
        <v>-</v>
      </c>
      <c r="P13" s="85" t="str">
        <f t="shared" si="28"/>
        <v>-</v>
      </c>
      <c r="Q13" s="85" t="str">
        <f>'Consumer Hardware Pricing'!S21</f>
        <v>-</v>
      </c>
      <c r="R13" s="85" t="str">
        <f t="shared" si="5"/>
        <v>-</v>
      </c>
      <c r="S13" s="85" t="str">
        <f>'Consumer Hardware Pricing'!T21</f>
        <v>-</v>
      </c>
      <c r="T13" s="129" t="str">
        <f t="shared" si="29"/>
        <v>-</v>
      </c>
      <c r="U13" s="129" t="str">
        <f t="shared" si="30"/>
        <v>-</v>
      </c>
      <c r="V13" s="85" t="str">
        <f t="shared" si="31"/>
        <v>-</v>
      </c>
      <c r="W13" s="129" t="str">
        <f>'Consumer Hardware Pricing'!V21</f>
        <v>-</v>
      </c>
      <c r="X13" s="129" t="str">
        <f t="shared" si="6"/>
        <v>-</v>
      </c>
      <c r="Y13" s="129" t="str">
        <f t="shared" si="32"/>
        <v>-</v>
      </c>
      <c r="Z13" s="129" t="str">
        <f t="shared" si="33"/>
        <v>-</v>
      </c>
      <c r="AA13" s="85" t="str">
        <f t="shared" si="34"/>
        <v>-</v>
      </c>
      <c r="AB13" s="85" t="str">
        <f>'Consumer Hardware Pricing'!X21</f>
        <v>-</v>
      </c>
      <c r="AC13" s="85" t="str">
        <f t="shared" si="7"/>
        <v>-</v>
      </c>
      <c r="AD13" s="85" t="str">
        <f>'Consumer Hardware Pricing'!Y21</f>
        <v>-</v>
      </c>
      <c r="AE13" s="85" t="str">
        <f t="shared" si="35"/>
        <v>-</v>
      </c>
      <c r="AF13" s="85" t="str">
        <f t="shared" si="36"/>
        <v>-</v>
      </c>
      <c r="AG13" s="85" t="str">
        <f t="shared" si="37"/>
        <v>-</v>
      </c>
      <c r="AH13" s="85" t="str">
        <f>'Consumer Hardware Pricing'!AA21</f>
        <v>-</v>
      </c>
      <c r="AI13" s="85" t="str">
        <f t="shared" si="9"/>
        <v>-</v>
      </c>
      <c r="AJ13" s="85" t="str">
        <f t="shared" si="38"/>
        <v>-</v>
      </c>
      <c r="AK13" s="85" t="str">
        <f t="shared" si="39"/>
        <v>-</v>
      </c>
      <c r="AL13" s="85" t="str">
        <f t="shared" si="40"/>
        <v>-</v>
      </c>
      <c r="AM13" s="85" t="str">
        <f>'Consumer Hardware Pricing'!AC21</f>
        <v>-</v>
      </c>
      <c r="AN13" s="85" t="str">
        <f t="shared" si="12"/>
        <v>-</v>
      </c>
      <c r="AO13" s="85" t="str">
        <f>'Consumer Hardware Pricing'!AD21</f>
        <v>-</v>
      </c>
      <c r="AP13" s="85" t="str">
        <f t="shared" si="41"/>
        <v>-</v>
      </c>
      <c r="AQ13" s="85" t="str">
        <f t="shared" si="42"/>
        <v>-</v>
      </c>
      <c r="AR13" s="85" t="str">
        <f t="shared" si="43"/>
        <v>-</v>
      </c>
      <c r="AS13" s="85" t="str">
        <f>'Consumer Hardware Pricing'!AF21</f>
        <v>-</v>
      </c>
      <c r="AT13" s="85" t="str">
        <f t="shared" si="13"/>
        <v>-</v>
      </c>
      <c r="AU13" s="85" t="str">
        <f t="shared" si="44"/>
        <v>-</v>
      </c>
      <c r="AV13" s="85" t="str">
        <f t="shared" si="45"/>
        <v>-</v>
      </c>
      <c r="AW13" s="85" t="str">
        <f t="shared" si="46"/>
        <v>-</v>
      </c>
      <c r="AX13" s="85" t="str">
        <f>'Consumer Hardware Pricing'!AH21</f>
        <v>-</v>
      </c>
      <c r="AY13" s="85" t="str">
        <f t="shared" si="14"/>
        <v>-</v>
      </c>
      <c r="AZ13" s="85" t="str">
        <f>'Consumer Hardware Pricing'!AI21</f>
        <v>-</v>
      </c>
      <c r="BA13" s="85" t="str">
        <f t="shared" si="15"/>
        <v>-</v>
      </c>
      <c r="BB13" s="85" t="str">
        <f t="shared" si="16"/>
        <v>-</v>
      </c>
      <c r="BC13" s="85" t="str">
        <f t="shared" si="47"/>
        <v>-</v>
      </c>
      <c r="BD13" s="85">
        <f>'Consumer Hardware Pricing'!AL21</f>
        <v>0</v>
      </c>
      <c r="BE13" s="85">
        <f t="shared" si="17"/>
        <v>10</v>
      </c>
      <c r="BF13" s="85" t="str">
        <f>'Consumer Hardware Pricing'!AM21</f>
        <v>-</v>
      </c>
      <c r="BG13" s="85">
        <f t="shared" si="18"/>
        <v>10</v>
      </c>
      <c r="BH13" s="85" t="str">
        <f t="shared" si="19"/>
        <v>-</v>
      </c>
      <c r="BI13" s="85">
        <f t="shared" si="48"/>
        <v>240</v>
      </c>
      <c r="BJ13" s="85" t="str">
        <f>'Consumer Hardware Pricing'!AP21</f>
        <v>-</v>
      </c>
      <c r="BK13" s="85" t="str">
        <f t="shared" si="20"/>
        <v>-</v>
      </c>
      <c r="BL13" s="85" t="str">
        <f>'Consumer Hardware Pricing'!AQ21</f>
        <v>-</v>
      </c>
      <c r="BM13" s="85" t="str">
        <f t="shared" si="21"/>
        <v>-</v>
      </c>
      <c r="BN13" s="85" t="str">
        <f t="shared" si="22"/>
        <v>-</v>
      </c>
      <c r="BO13" s="85" t="str">
        <f t="shared" si="49"/>
        <v>-</v>
      </c>
      <c r="BP13" s="85" t="str">
        <f>'Consumer Hardware Pricing'!AT21</f>
        <v>-</v>
      </c>
      <c r="BQ13" s="85" t="str">
        <f t="shared" si="23"/>
        <v>-</v>
      </c>
      <c r="BR13" s="85" t="str">
        <f>'Consumer Hardware Pricing'!AU21</f>
        <v>-</v>
      </c>
      <c r="BS13" s="85" t="str">
        <f t="shared" si="24"/>
        <v>-</v>
      </c>
      <c r="BT13" s="85" t="str">
        <f t="shared" si="25"/>
        <v>-</v>
      </c>
      <c r="BU13" s="85" t="str">
        <f t="shared" si="50"/>
        <v>-</v>
      </c>
    </row>
    <row r="14" spans="1:73" ht="30.15" customHeight="1" x14ac:dyDescent="0.25">
      <c r="A14" s="86" t="s">
        <v>35</v>
      </c>
      <c r="B14" s="88" t="s">
        <v>473</v>
      </c>
      <c r="C14" s="88" t="s">
        <v>479</v>
      </c>
      <c r="D14" s="85">
        <f>'Consumer Hardware Pricing'!L22</f>
        <v>240</v>
      </c>
      <c r="E14" s="85">
        <f>'Consumer Hardware Pricing'!M22</f>
        <v>240</v>
      </c>
      <c r="F14" s="85" t="str">
        <f>'Consumer Hardware Pricing'!N22</f>
        <v>-</v>
      </c>
      <c r="G14" s="85" t="str">
        <f t="shared" si="0"/>
        <v>-</v>
      </c>
      <c r="H14" s="85" t="str">
        <f>'Consumer Hardware Pricing'!O22</f>
        <v>-</v>
      </c>
      <c r="I14" s="85" t="str">
        <f t="shared" si="1"/>
        <v>-</v>
      </c>
      <c r="J14" s="85" t="str">
        <f t="shared" si="26"/>
        <v>-</v>
      </c>
      <c r="K14" s="85" t="str">
        <f t="shared" si="27"/>
        <v>-</v>
      </c>
      <c r="L14" s="85" t="str">
        <f>'Consumer Hardware Pricing'!Q22</f>
        <v>-</v>
      </c>
      <c r="M14" s="85" t="str">
        <f t="shared" si="2"/>
        <v>-</v>
      </c>
      <c r="N14" s="85" t="str">
        <f t="shared" si="3"/>
        <v>-</v>
      </c>
      <c r="O14" s="85" t="str">
        <f t="shared" si="4"/>
        <v>-</v>
      </c>
      <c r="P14" s="85" t="str">
        <f t="shared" si="28"/>
        <v>-</v>
      </c>
      <c r="Q14" s="85" t="str">
        <f>'Consumer Hardware Pricing'!S22</f>
        <v>-</v>
      </c>
      <c r="R14" s="85" t="str">
        <f t="shared" si="5"/>
        <v>-</v>
      </c>
      <c r="S14" s="85" t="str">
        <f>'Consumer Hardware Pricing'!T22</f>
        <v>-</v>
      </c>
      <c r="T14" s="129" t="str">
        <f t="shared" si="29"/>
        <v>-</v>
      </c>
      <c r="U14" s="129" t="str">
        <f t="shared" si="30"/>
        <v>-</v>
      </c>
      <c r="V14" s="85" t="str">
        <f t="shared" si="31"/>
        <v>-</v>
      </c>
      <c r="W14" s="129" t="str">
        <f>'Consumer Hardware Pricing'!V22</f>
        <v>-</v>
      </c>
      <c r="X14" s="129" t="str">
        <f t="shared" si="6"/>
        <v>-</v>
      </c>
      <c r="Y14" s="129" t="str">
        <f t="shared" si="32"/>
        <v>-</v>
      </c>
      <c r="Z14" s="129" t="str">
        <f t="shared" si="33"/>
        <v>-</v>
      </c>
      <c r="AA14" s="85" t="str">
        <f t="shared" si="34"/>
        <v>-</v>
      </c>
      <c r="AB14" s="85" t="str">
        <f>'Consumer Hardware Pricing'!X22</f>
        <v>-</v>
      </c>
      <c r="AC14" s="85" t="str">
        <f t="shared" si="7"/>
        <v>-</v>
      </c>
      <c r="AD14" s="85" t="str">
        <f>'Consumer Hardware Pricing'!Y22</f>
        <v>-</v>
      </c>
      <c r="AE14" s="85" t="str">
        <f t="shared" si="35"/>
        <v>-</v>
      </c>
      <c r="AF14" s="85" t="str">
        <f t="shared" si="36"/>
        <v>-</v>
      </c>
      <c r="AG14" s="85" t="str">
        <f t="shared" si="37"/>
        <v>-</v>
      </c>
      <c r="AH14" s="85" t="str">
        <f>'Consumer Hardware Pricing'!AA22</f>
        <v>-</v>
      </c>
      <c r="AI14" s="85" t="str">
        <f t="shared" si="9"/>
        <v>-</v>
      </c>
      <c r="AJ14" s="85" t="str">
        <f t="shared" si="38"/>
        <v>-</v>
      </c>
      <c r="AK14" s="85" t="str">
        <f t="shared" si="39"/>
        <v>-</v>
      </c>
      <c r="AL14" s="85" t="str">
        <f t="shared" si="40"/>
        <v>-</v>
      </c>
      <c r="AM14" s="85" t="str">
        <f>'Consumer Hardware Pricing'!AC22</f>
        <v>-</v>
      </c>
      <c r="AN14" s="85" t="str">
        <f t="shared" si="12"/>
        <v>-</v>
      </c>
      <c r="AO14" s="85" t="str">
        <f>'Consumer Hardware Pricing'!AD22</f>
        <v>-</v>
      </c>
      <c r="AP14" s="85" t="str">
        <f t="shared" si="41"/>
        <v>-</v>
      </c>
      <c r="AQ14" s="85" t="str">
        <f t="shared" si="42"/>
        <v>-</v>
      </c>
      <c r="AR14" s="85" t="str">
        <f t="shared" si="43"/>
        <v>-</v>
      </c>
      <c r="AS14" s="85" t="str">
        <f>'Consumer Hardware Pricing'!AF22</f>
        <v>-</v>
      </c>
      <c r="AT14" s="85" t="str">
        <f t="shared" si="13"/>
        <v>-</v>
      </c>
      <c r="AU14" s="85" t="str">
        <f t="shared" si="44"/>
        <v>-</v>
      </c>
      <c r="AV14" s="85" t="str">
        <f t="shared" si="45"/>
        <v>-</v>
      </c>
      <c r="AW14" s="85" t="str">
        <f t="shared" si="46"/>
        <v>-</v>
      </c>
      <c r="AX14" s="85" t="str">
        <f>'Consumer Hardware Pricing'!AH22</f>
        <v>-</v>
      </c>
      <c r="AY14" s="85" t="str">
        <f t="shared" si="14"/>
        <v>-</v>
      </c>
      <c r="AZ14" s="85" t="str">
        <f>'Consumer Hardware Pricing'!AI22</f>
        <v>-</v>
      </c>
      <c r="BA14" s="85" t="str">
        <f t="shared" si="15"/>
        <v>-</v>
      </c>
      <c r="BB14" s="85" t="str">
        <f t="shared" si="16"/>
        <v>-</v>
      </c>
      <c r="BC14" s="85" t="str">
        <f t="shared" si="47"/>
        <v>-</v>
      </c>
      <c r="BD14" s="85">
        <f>'Consumer Hardware Pricing'!AL22</f>
        <v>0</v>
      </c>
      <c r="BE14" s="85">
        <f t="shared" si="17"/>
        <v>10</v>
      </c>
      <c r="BF14" s="85" t="str">
        <f>'Consumer Hardware Pricing'!AM22</f>
        <v>-</v>
      </c>
      <c r="BG14" s="85">
        <f t="shared" si="18"/>
        <v>10</v>
      </c>
      <c r="BH14" s="85" t="str">
        <f t="shared" si="19"/>
        <v>-</v>
      </c>
      <c r="BI14" s="85">
        <f t="shared" si="48"/>
        <v>240</v>
      </c>
      <c r="BJ14" s="85" t="str">
        <f>'Consumer Hardware Pricing'!AP22</f>
        <v>-</v>
      </c>
      <c r="BK14" s="85" t="str">
        <f t="shared" si="20"/>
        <v>-</v>
      </c>
      <c r="BL14" s="85" t="str">
        <f>'Consumer Hardware Pricing'!AQ22</f>
        <v>-</v>
      </c>
      <c r="BM14" s="85" t="str">
        <f t="shared" si="21"/>
        <v>-</v>
      </c>
      <c r="BN14" s="85" t="str">
        <f t="shared" si="22"/>
        <v>-</v>
      </c>
      <c r="BO14" s="85" t="str">
        <f t="shared" si="49"/>
        <v>-</v>
      </c>
      <c r="BP14" s="85" t="str">
        <f>'Consumer Hardware Pricing'!AT22</f>
        <v>-</v>
      </c>
      <c r="BQ14" s="85" t="str">
        <f t="shared" si="23"/>
        <v>-</v>
      </c>
      <c r="BR14" s="85" t="str">
        <f>'Consumer Hardware Pricing'!AU22</f>
        <v>-</v>
      </c>
      <c r="BS14" s="85" t="str">
        <f t="shared" si="24"/>
        <v>-</v>
      </c>
      <c r="BT14" s="85" t="str">
        <f t="shared" si="25"/>
        <v>-</v>
      </c>
      <c r="BU14" s="85" t="str">
        <f t="shared" si="50"/>
        <v>-</v>
      </c>
    </row>
    <row r="15" spans="1:73" ht="30.15" customHeight="1" x14ac:dyDescent="0.25">
      <c r="A15" s="86" t="s">
        <v>35</v>
      </c>
      <c r="B15" s="88" t="s">
        <v>476</v>
      </c>
      <c r="C15" s="88" t="s">
        <v>480</v>
      </c>
      <c r="D15" s="85">
        <f>'Consumer Hardware Pricing'!L23</f>
        <v>290</v>
      </c>
      <c r="E15" s="85">
        <f>'Consumer Hardware Pricing'!M23</f>
        <v>290</v>
      </c>
      <c r="F15" s="85" t="str">
        <f>'Consumer Hardware Pricing'!N23</f>
        <v>-</v>
      </c>
      <c r="G15" s="85" t="str">
        <f t="shared" si="0"/>
        <v>-</v>
      </c>
      <c r="H15" s="85" t="str">
        <f>'Consumer Hardware Pricing'!O23</f>
        <v>-</v>
      </c>
      <c r="I15" s="85" t="str">
        <f t="shared" si="1"/>
        <v>-</v>
      </c>
      <c r="J15" s="85" t="str">
        <f t="shared" si="26"/>
        <v>-</v>
      </c>
      <c r="K15" s="85" t="str">
        <f t="shared" si="27"/>
        <v>-</v>
      </c>
      <c r="L15" s="85" t="str">
        <f>'Consumer Hardware Pricing'!Q23</f>
        <v>-</v>
      </c>
      <c r="M15" s="85" t="str">
        <f t="shared" si="2"/>
        <v>-</v>
      </c>
      <c r="N15" s="85" t="str">
        <f t="shared" si="3"/>
        <v>-</v>
      </c>
      <c r="O15" s="85" t="str">
        <f t="shared" si="4"/>
        <v>-</v>
      </c>
      <c r="P15" s="85" t="str">
        <f t="shared" si="28"/>
        <v>-</v>
      </c>
      <c r="Q15" s="85" t="str">
        <f>'Consumer Hardware Pricing'!S23</f>
        <v>-</v>
      </c>
      <c r="R15" s="85" t="str">
        <f t="shared" si="5"/>
        <v>-</v>
      </c>
      <c r="S15" s="85" t="str">
        <f>'Consumer Hardware Pricing'!T23</f>
        <v>-</v>
      </c>
      <c r="T15" s="129" t="str">
        <f t="shared" si="29"/>
        <v>-</v>
      </c>
      <c r="U15" s="129" t="str">
        <f t="shared" si="30"/>
        <v>-</v>
      </c>
      <c r="V15" s="85" t="str">
        <f t="shared" si="31"/>
        <v>-</v>
      </c>
      <c r="W15" s="129" t="str">
        <f>'Consumer Hardware Pricing'!V23</f>
        <v>-</v>
      </c>
      <c r="X15" s="129" t="str">
        <f t="shared" si="6"/>
        <v>-</v>
      </c>
      <c r="Y15" s="129" t="str">
        <f t="shared" si="32"/>
        <v>-</v>
      </c>
      <c r="Z15" s="129" t="str">
        <f t="shared" si="33"/>
        <v>-</v>
      </c>
      <c r="AA15" s="85" t="str">
        <f t="shared" si="34"/>
        <v>-</v>
      </c>
      <c r="AB15" s="85" t="str">
        <f>'Consumer Hardware Pricing'!X23</f>
        <v>-</v>
      </c>
      <c r="AC15" s="85" t="str">
        <f t="shared" si="7"/>
        <v>-</v>
      </c>
      <c r="AD15" s="85" t="str">
        <f>'Consumer Hardware Pricing'!Y23</f>
        <v>-</v>
      </c>
      <c r="AE15" s="85" t="str">
        <f t="shared" si="35"/>
        <v>-</v>
      </c>
      <c r="AF15" s="85" t="str">
        <f t="shared" si="36"/>
        <v>-</v>
      </c>
      <c r="AG15" s="85" t="str">
        <f t="shared" si="37"/>
        <v>-</v>
      </c>
      <c r="AH15" s="85" t="str">
        <f>'Consumer Hardware Pricing'!AA23</f>
        <v>-</v>
      </c>
      <c r="AI15" s="85" t="str">
        <f t="shared" si="9"/>
        <v>-</v>
      </c>
      <c r="AJ15" s="85" t="str">
        <f t="shared" si="38"/>
        <v>-</v>
      </c>
      <c r="AK15" s="85" t="str">
        <f t="shared" si="39"/>
        <v>-</v>
      </c>
      <c r="AL15" s="85" t="str">
        <f t="shared" si="40"/>
        <v>-</v>
      </c>
      <c r="AM15" s="85" t="str">
        <f>'Consumer Hardware Pricing'!AC23</f>
        <v>-</v>
      </c>
      <c r="AN15" s="85" t="str">
        <f t="shared" si="12"/>
        <v>-</v>
      </c>
      <c r="AO15" s="85" t="str">
        <f>'Consumer Hardware Pricing'!AD23</f>
        <v>-</v>
      </c>
      <c r="AP15" s="85" t="str">
        <f t="shared" si="41"/>
        <v>-</v>
      </c>
      <c r="AQ15" s="85" t="str">
        <f t="shared" si="42"/>
        <v>-</v>
      </c>
      <c r="AR15" s="85" t="str">
        <f t="shared" si="43"/>
        <v>-</v>
      </c>
      <c r="AS15" s="85" t="str">
        <f>'Consumer Hardware Pricing'!AF23</f>
        <v>-</v>
      </c>
      <c r="AT15" s="85" t="str">
        <f t="shared" si="13"/>
        <v>-</v>
      </c>
      <c r="AU15" s="85" t="str">
        <f t="shared" si="44"/>
        <v>-</v>
      </c>
      <c r="AV15" s="85" t="str">
        <f t="shared" si="45"/>
        <v>-</v>
      </c>
      <c r="AW15" s="85" t="str">
        <f t="shared" si="46"/>
        <v>-</v>
      </c>
      <c r="AX15" s="85" t="str">
        <f>'Consumer Hardware Pricing'!AH23</f>
        <v>-</v>
      </c>
      <c r="AY15" s="85" t="str">
        <f t="shared" si="14"/>
        <v>-</v>
      </c>
      <c r="AZ15" s="85" t="str">
        <f>'Consumer Hardware Pricing'!AI23</f>
        <v>-</v>
      </c>
      <c r="BA15" s="85" t="str">
        <f t="shared" si="15"/>
        <v>-</v>
      </c>
      <c r="BB15" s="85" t="str">
        <f t="shared" si="16"/>
        <v>-</v>
      </c>
      <c r="BC15" s="85" t="str">
        <f t="shared" si="47"/>
        <v>-</v>
      </c>
      <c r="BD15" s="85">
        <f>'Consumer Hardware Pricing'!AL23</f>
        <v>0</v>
      </c>
      <c r="BE15" s="85">
        <f t="shared" si="17"/>
        <v>12.09</v>
      </c>
      <c r="BF15" s="85" t="str">
        <f>'Consumer Hardware Pricing'!AM23</f>
        <v>-</v>
      </c>
      <c r="BG15" s="85">
        <f t="shared" si="18"/>
        <v>12.09</v>
      </c>
      <c r="BH15" s="85" t="str">
        <f t="shared" si="19"/>
        <v>-</v>
      </c>
      <c r="BI15" s="85">
        <f t="shared" si="48"/>
        <v>290.15999999999997</v>
      </c>
      <c r="BJ15" s="85" t="str">
        <f>'Consumer Hardware Pricing'!AP23</f>
        <v>-</v>
      </c>
      <c r="BK15" s="85" t="str">
        <f t="shared" si="20"/>
        <v>-</v>
      </c>
      <c r="BL15" s="85" t="str">
        <f>'Consumer Hardware Pricing'!AQ23</f>
        <v>-</v>
      </c>
      <c r="BM15" s="85" t="str">
        <f t="shared" si="21"/>
        <v>-</v>
      </c>
      <c r="BN15" s="85" t="str">
        <f t="shared" si="22"/>
        <v>-</v>
      </c>
      <c r="BO15" s="85" t="str">
        <f t="shared" si="49"/>
        <v>-</v>
      </c>
      <c r="BP15" s="85" t="str">
        <f>'Consumer Hardware Pricing'!AT23</f>
        <v>-</v>
      </c>
      <c r="BQ15" s="85" t="str">
        <f t="shared" si="23"/>
        <v>-</v>
      </c>
      <c r="BR15" s="85" t="str">
        <f>'Consumer Hardware Pricing'!AU23</f>
        <v>-</v>
      </c>
      <c r="BS15" s="85" t="str">
        <f t="shared" si="24"/>
        <v>-</v>
      </c>
      <c r="BT15" s="85" t="str">
        <f t="shared" si="25"/>
        <v>-</v>
      </c>
      <c r="BU15" s="85" t="str">
        <f t="shared" si="50"/>
        <v>-</v>
      </c>
    </row>
    <row r="16" spans="1:73" ht="30.15" customHeight="1" x14ac:dyDescent="0.25">
      <c r="A16" s="86" t="s">
        <v>35</v>
      </c>
      <c r="B16" s="88" t="s">
        <v>477</v>
      </c>
      <c r="C16" s="88" t="s">
        <v>480</v>
      </c>
      <c r="D16" s="85">
        <f>'Consumer Hardware Pricing'!L24</f>
        <v>290</v>
      </c>
      <c r="E16" s="85">
        <f>'Consumer Hardware Pricing'!M24</f>
        <v>290</v>
      </c>
      <c r="F16" s="85" t="str">
        <f>'Consumer Hardware Pricing'!N24</f>
        <v>-</v>
      </c>
      <c r="G16" s="85" t="str">
        <f t="shared" si="0"/>
        <v>-</v>
      </c>
      <c r="H16" s="85" t="str">
        <f>'Consumer Hardware Pricing'!O24</f>
        <v>-</v>
      </c>
      <c r="I16" s="85" t="str">
        <f t="shared" si="1"/>
        <v>-</v>
      </c>
      <c r="J16" s="85" t="str">
        <f t="shared" si="26"/>
        <v>-</v>
      </c>
      <c r="K16" s="85" t="str">
        <f t="shared" si="27"/>
        <v>-</v>
      </c>
      <c r="L16" s="85" t="str">
        <f>'Consumer Hardware Pricing'!Q24</f>
        <v>-</v>
      </c>
      <c r="M16" s="85" t="str">
        <f t="shared" si="2"/>
        <v>-</v>
      </c>
      <c r="N16" s="85" t="str">
        <f t="shared" si="3"/>
        <v>-</v>
      </c>
      <c r="O16" s="85" t="str">
        <f t="shared" si="4"/>
        <v>-</v>
      </c>
      <c r="P16" s="85" t="str">
        <f t="shared" si="28"/>
        <v>-</v>
      </c>
      <c r="Q16" s="85" t="str">
        <f>'Consumer Hardware Pricing'!S24</f>
        <v>-</v>
      </c>
      <c r="R16" s="85" t="str">
        <f t="shared" si="5"/>
        <v>-</v>
      </c>
      <c r="S16" s="85" t="str">
        <f>'Consumer Hardware Pricing'!T24</f>
        <v>-</v>
      </c>
      <c r="T16" s="129" t="str">
        <f t="shared" si="29"/>
        <v>-</v>
      </c>
      <c r="U16" s="129" t="str">
        <f t="shared" si="30"/>
        <v>-</v>
      </c>
      <c r="V16" s="85" t="str">
        <f t="shared" si="31"/>
        <v>-</v>
      </c>
      <c r="W16" s="129" t="str">
        <f>'Consumer Hardware Pricing'!V24</f>
        <v>-</v>
      </c>
      <c r="X16" s="129" t="str">
        <f t="shared" si="6"/>
        <v>-</v>
      </c>
      <c r="Y16" s="129" t="str">
        <f t="shared" si="32"/>
        <v>-</v>
      </c>
      <c r="Z16" s="129" t="str">
        <f t="shared" si="33"/>
        <v>-</v>
      </c>
      <c r="AA16" s="85" t="str">
        <f t="shared" si="34"/>
        <v>-</v>
      </c>
      <c r="AB16" s="85" t="str">
        <f>'Consumer Hardware Pricing'!X24</f>
        <v>-</v>
      </c>
      <c r="AC16" s="85" t="str">
        <f t="shared" si="7"/>
        <v>-</v>
      </c>
      <c r="AD16" s="85" t="str">
        <f>'Consumer Hardware Pricing'!Y24</f>
        <v>-</v>
      </c>
      <c r="AE16" s="85" t="str">
        <f t="shared" si="35"/>
        <v>-</v>
      </c>
      <c r="AF16" s="85" t="str">
        <f t="shared" si="36"/>
        <v>-</v>
      </c>
      <c r="AG16" s="85" t="str">
        <f t="shared" si="37"/>
        <v>-</v>
      </c>
      <c r="AH16" s="85" t="str">
        <f>'Consumer Hardware Pricing'!AA24</f>
        <v>-</v>
      </c>
      <c r="AI16" s="85" t="str">
        <f t="shared" si="9"/>
        <v>-</v>
      </c>
      <c r="AJ16" s="85" t="str">
        <f t="shared" si="38"/>
        <v>-</v>
      </c>
      <c r="AK16" s="85" t="str">
        <f t="shared" si="39"/>
        <v>-</v>
      </c>
      <c r="AL16" s="85" t="str">
        <f t="shared" si="40"/>
        <v>-</v>
      </c>
      <c r="AM16" s="85" t="str">
        <f>'Consumer Hardware Pricing'!AC24</f>
        <v>-</v>
      </c>
      <c r="AN16" s="85" t="str">
        <f t="shared" si="12"/>
        <v>-</v>
      </c>
      <c r="AO16" s="85" t="str">
        <f>'Consumer Hardware Pricing'!AD24</f>
        <v>-</v>
      </c>
      <c r="AP16" s="85" t="str">
        <f t="shared" si="41"/>
        <v>-</v>
      </c>
      <c r="AQ16" s="85" t="str">
        <f t="shared" si="42"/>
        <v>-</v>
      </c>
      <c r="AR16" s="85" t="str">
        <f t="shared" si="43"/>
        <v>-</v>
      </c>
      <c r="AS16" s="85" t="str">
        <f>'Consumer Hardware Pricing'!AF24</f>
        <v>-</v>
      </c>
      <c r="AT16" s="85" t="str">
        <f t="shared" si="13"/>
        <v>-</v>
      </c>
      <c r="AU16" s="85" t="str">
        <f t="shared" si="44"/>
        <v>-</v>
      </c>
      <c r="AV16" s="85" t="str">
        <f t="shared" si="45"/>
        <v>-</v>
      </c>
      <c r="AW16" s="85" t="str">
        <f t="shared" si="46"/>
        <v>-</v>
      </c>
      <c r="AX16" s="85" t="str">
        <f>'Consumer Hardware Pricing'!AH24</f>
        <v>-</v>
      </c>
      <c r="AY16" s="85" t="str">
        <f t="shared" si="14"/>
        <v>-</v>
      </c>
      <c r="AZ16" s="85" t="str">
        <f>'Consumer Hardware Pricing'!AI24</f>
        <v>-</v>
      </c>
      <c r="BA16" s="85" t="str">
        <f t="shared" si="15"/>
        <v>-</v>
      </c>
      <c r="BB16" s="85" t="str">
        <f t="shared" si="16"/>
        <v>-</v>
      </c>
      <c r="BC16" s="85" t="str">
        <f t="shared" si="47"/>
        <v>-</v>
      </c>
      <c r="BD16" s="85">
        <f>'Consumer Hardware Pricing'!AL24</f>
        <v>0</v>
      </c>
      <c r="BE16" s="85">
        <f t="shared" si="17"/>
        <v>12.09</v>
      </c>
      <c r="BF16" s="85" t="str">
        <f>'Consumer Hardware Pricing'!AM24</f>
        <v>-</v>
      </c>
      <c r="BG16" s="85">
        <f t="shared" si="18"/>
        <v>12.09</v>
      </c>
      <c r="BH16" s="85" t="str">
        <f t="shared" si="19"/>
        <v>-</v>
      </c>
      <c r="BI16" s="85">
        <f t="shared" si="48"/>
        <v>290.15999999999997</v>
      </c>
      <c r="BJ16" s="85" t="str">
        <f>'Consumer Hardware Pricing'!AP24</f>
        <v>-</v>
      </c>
      <c r="BK16" s="85" t="str">
        <f t="shared" si="20"/>
        <v>-</v>
      </c>
      <c r="BL16" s="85" t="str">
        <f>'Consumer Hardware Pricing'!AQ24</f>
        <v>-</v>
      </c>
      <c r="BM16" s="85" t="str">
        <f t="shared" si="21"/>
        <v>-</v>
      </c>
      <c r="BN16" s="85" t="str">
        <f t="shared" si="22"/>
        <v>-</v>
      </c>
      <c r="BO16" s="85" t="str">
        <f t="shared" si="49"/>
        <v>-</v>
      </c>
      <c r="BP16" s="85" t="str">
        <f>'Consumer Hardware Pricing'!AT24</f>
        <v>-</v>
      </c>
      <c r="BQ16" s="85" t="str">
        <f t="shared" si="23"/>
        <v>-</v>
      </c>
      <c r="BR16" s="85" t="str">
        <f>'Consumer Hardware Pricing'!AU24</f>
        <v>-</v>
      </c>
      <c r="BS16" s="85" t="str">
        <f t="shared" si="24"/>
        <v>-</v>
      </c>
      <c r="BT16" s="85" t="str">
        <f t="shared" si="25"/>
        <v>-</v>
      </c>
      <c r="BU16" s="85" t="str">
        <f t="shared" si="50"/>
        <v>-</v>
      </c>
    </row>
    <row r="17" spans="1:73" ht="30.15" customHeight="1" x14ac:dyDescent="0.25">
      <c r="A17" s="86" t="s">
        <v>35</v>
      </c>
      <c r="B17" s="88" t="s">
        <v>478</v>
      </c>
      <c r="C17" s="88" t="s">
        <v>480</v>
      </c>
      <c r="D17" s="85">
        <f>'Consumer Hardware Pricing'!L25</f>
        <v>290</v>
      </c>
      <c r="E17" s="85">
        <f>'Consumer Hardware Pricing'!M25</f>
        <v>290</v>
      </c>
      <c r="F17" s="85" t="str">
        <f>'Consumer Hardware Pricing'!N25</f>
        <v>-</v>
      </c>
      <c r="G17" s="85" t="str">
        <f t="shared" si="0"/>
        <v>-</v>
      </c>
      <c r="H17" s="85" t="str">
        <f>'Consumer Hardware Pricing'!O25</f>
        <v>-</v>
      </c>
      <c r="I17" s="85" t="str">
        <f t="shared" si="1"/>
        <v>-</v>
      </c>
      <c r="J17" s="85" t="str">
        <f t="shared" si="26"/>
        <v>-</v>
      </c>
      <c r="K17" s="85" t="str">
        <f t="shared" si="27"/>
        <v>-</v>
      </c>
      <c r="L17" s="85" t="str">
        <f>'Consumer Hardware Pricing'!Q25</f>
        <v>-</v>
      </c>
      <c r="M17" s="85" t="str">
        <f t="shared" si="2"/>
        <v>-</v>
      </c>
      <c r="N17" s="85" t="str">
        <f t="shared" si="3"/>
        <v>-</v>
      </c>
      <c r="O17" s="85" t="str">
        <f t="shared" si="4"/>
        <v>-</v>
      </c>
      <c r="P17" s="85" t="str">
        <f t="shared" si="28"/>
        <v>-</v>
      </c>
      <c r="Q17" s="85" t="str">
        <f>'Consumer Hardware Pricing'!S25</f>
        <v>-</v>
      </c>
      <c r="R17" s="85" t="str">
        <f t="shared" si="5"/>
        <v>-</v>
      </c>
      <c r="S17" s="85" t="str">
        <f>'Consumer Hardware Pricing'!T25</f>
        <v>-</v>
      </c>
      <c r="T17" s="129" t="str">
        <f t="shared" si="29"/>
        <v>-</v>
      </c>
      <c r="U17" s="129" t="str">
        <f t="shared" si="30"/>
        <v>-</v>
      </c>
      <c r="V17" s="85" t="str">
        <f t="shared" si="31"/>
        <v>-</v>
      </c>
      <c r="W17" s="129" t="str">
        <f>'Consumer Hardware Pricing'!V25</f>
        <v>-</v>
      </c>
      <c r="X17" s="129" t="str">
        <f t="shared" si="6"/>
        <v>-</v>
      </c>
      <c r="Y17" s="129" t="str">
        <f t="shared" si="32"/>
        <v>-</v>
      </c>
      <c r="Z17" s="129" t="str">
        <f t="shared" si="33"/>
        <v>-</v>
      </c>
      <c r="AA17" s="85" t="str">
        <f t="shared" si="34"/>
        <v>-</v>
      </c>
      <c r="AB17" s="85" t="str">
        <f>'Consumer Hardware Pricing'!X25</f>
        <v>-</v>
      </c>
      <c r="AC17" s="85" t="str">
        <f t="shared" si="7"/>
        <v>-</v>
      </c>
      <c r="AD17" s="85" t="str">
        <f>'Consumer Hardware Pricing'!Y25</f>
        <v>-</v>
      </c>
      <c r="AE17" s="85" t="str">
        <f t="shared" si="35"/>
        <v>-</v>
      </c>
      <c r="AF17" s="85" t="str">
        <f t="shared" si="36"/>
        <v>-</v>
      </c>
      <c r="AG17" s="85" t="str">
        <f t="shared" si="37"/>
        <v>-</v>
      </c>
      <c r="AH17" s="85" t="str">
        <f>'Consumer Hardware Pricing'!AA25</f>
        <v>-</v>
      </c>
      <c r="AI17" s="85" t="str">
        <f t="shared" si="9"/>
        <v>-</v>
      </c>
      <c r="AJ17" s="85" t="str">
        <f t="shared" si="38"/>
        <v>-</v>
      </c>
      <c r="AK17" s="85" t="str">
        <f t="shared" si="39"/>
        <v>-</v>
      </c>
      <c r="AL17" s="85" t="str">
        <f t="shared" si="40"/>
        <v>-</v>
      </c>
      <c r="AM17" s="85" t="str">
        <f>'Consumer Hardware Pricing'!AC25</f>
        <v>-</v>
      </c>
      <c r="AN17" s="85" t="str">
        <f t="shared" si="12"/>
        <v>-</v>
      </c>
      <c r="AO17" s="85" t="str">
        <f>'Consumer Hardware Pricing'!AD25</f>
        <v>-</v>
      </c>
      <c r="AP17" s="85" t="str">
        <f t="shared" si="41"/>
        <v>-</v>
      </c>
      <c r="AQ17" s="85" t="str">
        <f t="shared" si="42"/>
        <v>-</v>
      </c>
      <c r="AR17" s="85" t="str">
        <f t="shared" si="43"/>
        <v>-</v>
      </c>
      <c r="AS17" s="85" t="str">
        <f>'Consumer Hardware Pricing'!AF25</f>
        <v>-</v>
      </c>
      <c r="AT17" s="85" t="str">
        <f t="shared" si="13"/>
        <v>-</v>
      </c>
      <c r="AU17" s="85" t="str">
        <f t="shared" si="44"/>
        <v>-</v>
      </c>
      <c r="AV17" s="85" t="str">
        <f t="shared" si="45"/>
        <v>-</v>
      </c>
      <c r="AW17" s="85" t="str">
        <f t="shared" si="46"/>
        <v>-</v>
      </c>
      <c r="AX17" s="85" t="str">
        <f>'Consumer Hardware Pricing'!AH25</f>
        <v>-</v>
      </c>
      <c r="AY17" s="85" t="str">
        <f t="shared" si="14"/>
        <v>-</v>
      </c>
      <c r="AZ17" s="85" t="str">
        <f>'Consumer Hardware Pricing'!AI25</f>
        <v>-</v>
      </c>
      <c r="BA17" s="85" t="str">
        <f t="shared" si="15"/>
        <v>-</v>
      </c>
      <c r="BB17" s="85" t="str">
        <f t="shared" si="16"/>
        <v>-</v>
      </c>
      <c r="BC17" s="85" t="str">
        <f t="shared" si="47"/>
        <v>-</v>
      </c>
      <c r="BD17" s="85">
        <f>'Consumer Hardware Pricing'!AL25</f>
        <v>0</v>
      </c>
      <c r="BE17" s="85">
        <f t="shared" si="17"/>
        <v>12.09</v>
      </c>
      <c r="BF17" s="85" t="str">
        <f>'Consumer Hardware Pricing'!AM25</f>
        <v>-</v>
      </c>
      <c r="BG17" s="85">
        <f t="shared" si="18"/>
        <v>12.09</v>
      </c>
      <c r="BH17" s="85" t="str">
        <f t="shared" si="19"/>
        <v>-</v>
      </c>
      <c r="BI17" s="85">
        <f t="shared" si="48"/>
        <v>290.15999999999997</v>
      </c>
      <c r="BJ17" s="85" t="str">
        <f>'Consumer Hardware Pricing'!AP25</f>
        <v>-</v>
      </c>
      <c r="BK17" s="85" t="str">
        <f t="shared" si="20"/>
        <v>-</v>
      </c>
      <c r="BL17" s="85" t="str">
        <f>'Consumer Hardware Pricing'!AQ25</f>
        <v>-</v>
      </c>
      <c r="BM17" s="85" t="str">
        <f t="shared" si="21"/>
        <v>-</v>
      </c>
      <c r="BN17" s="85" t="str">
        <f t="shared" si="22"/>
        <v>-</v>
      </c>
      <c r="BO17" s="85" t="str">
        <f t="shared" si="49"/>
        <v>-</v>
      </c>
      <c r="BP17" s="85" t="str">
        <f>'Consumer Hardware Pricing'!AT25</f>
        <v>-</v>
      </c>
      <c r="BQ17" s="85" t="str">
        <f t="shared" si="23"/>
        <v>-</v>
      </c>
      <c r="BR17" s="85" t="str">
        <f>'Consumer Hardware Pricing'!AU25</f>
        <v>-</v>
      </c>
      <c r="BS17" s="85" t="str">
        <f t="shared" si="24"/>
        <v>-</v>
      </c>
      <c r="BT17" s="85" t="str">
        <f t="shared" si="25"/>
        <v>-</v>
      </c>
      <c r="BU17" s="85" t="str">
        <f t="shared" si="50"/>
        <v>-</v>
      </c>
    </row>
    <row r="18" spans="1:73" ht="30.15" customHeight="1" x14ac:dyDescent="0.25">
      <c r="A18" s="86" t="s">
        <v>35</v>
      </c>
      <c r="B18" s="88" t="s">
        <v>711</v>
      </c>
      <c r="C18" s="88" t="s">
        <v>705</v>
      </c>
      <c r="D18" s="85">
        <f>'Consumer Hardware Pricing'!L26</f>
        <v>690</v>
      </c>
      <c r="E18" s="85">
        <f>'Consumer Hardware Pricing'!M26</f>
        <v>690</v>
      </c>
      <c r="F18" s="85" t="str">
        <f>'Consumer Hardware Pricing'!N26</f>
        <v>-</v>
      </c>
      <c r="G18" s="85" t="str">
        <f t="shared" si="0"/>
        <v>-</v>
      </c>
      <c r="H18" s="85" t="str">
        <f>'Consumer Hardware Pricing'!O26</f>
        <v>-</v>
      </c>
      <c r="I18" s="85" t="str">
        <f t="shared" si="1"/>
        <v>-</v>
      </c>
      <c r="J18" s="85" t="str">
        <f t="shared" si="26"/>
        <v>-</v>
      </c>
      <c r="K18" s="85" t="str">
        <f t="shared" si="27"/>
        <v>-</v>
      </c>
      <c r="L18" s="85" t="str">
        <f>'Consumer Hardware Pricing'!Q26</f>
        <v>-</v>
      </c>
      <c r="M18" s="85" t="str">
        <f t="shared" si="2"/>
        <v>-</v>
      </c>
      <c r="N18" s="85" t="str">
        <f t="shared" si="3"/>
        <v>-</v>
      </c>
      <c r="O18" s="85" t="str">
        <f t="shared" si="4"/>
        <v>-</v>
      </c>
      <c r="P18" s="85" t="str">
        <f t="shared" si="28"/>
        <v>-</v>
      </c>
      <c r="Q18" s="85" t="str">
        <f>'Consumer Hardware Pricing'!S26</f>
        <v>-</v>
      </c>
      <c r="R18" s="85" t="str">
        <f t="shared" si="5"/>
        <v>-</v>
      </c>
      <c r="S18" s="85" t="str">
        <f>'Consumer Hardware Pricing'!T26</f>
        <v>-</v>
      </c>
      <c r="T18" s="129" t="str">
        <f t="shared" si="29"/>
        <v>-</v>
      </c>
      <c r="U18" s="129" t="str">
        <f t="shared" si="30"/>
        <v>-</v>
      </c>
      <c r="V18" s="85" t="str">
        <f t="shared" si="31"/>
        <v>-</v>
      </c>
      <c r="W18" s="129" t="str">
        <f>'Consumer Hardware Pricing'!V26</f>
        <v>-</v>
      </c>
      <c r="X18" s="129" t="str">
        <f t="shared" si="6"/>
        <v>-</v>
      </c>
      <c r="Y18" s="129" t="str">
        <f t="shared" si="32"/>
        <v>-</v>
      </c>
      <c r="Z18" s="129" t="str">
        <f t="shared" si="33"/>
        <v>-</v>
      </c>
      <c r="AA18" s="85" t="str">
        <f t="shared" si="34"/>
        <v>-</v>
      </c>
      <c r="AB18" s="85" t="str">
        <f>'Consumer Hardware Pricing'!X26</f>
        <v>-</v>
      </c>
      <c r="AC18" s="85" t="str">
        <f t="shared" si="7"/>
        <v>-</v>
      </c>
      <c r="AD18" s="85" t="str">
        <f>'Consumer Hardware Pricing'!Y26</f>
        <v>-</v>
      </c>
      <c r="AE18" s="85" t="str">
        <f t="shared" si="35"/>
        <v>-</v>
      </c>
      <c r="AF18" s="85" t="str">
        <f t="shared" si="36"/>
        <v>-</v>
      </c>
      <c r="AG18" s="85" t="str">
        <f t="shared" si="37"/>
        <v>-</v>
      </c>
      <c r="AH18" s="85" t="str">
        <f>'Consumer Hardware Pricing'!AA26</f>
        <v>-</v>
      </c>
      <c r="AI18" s="85" t="str">
        <f t="shared" si="9"/>
        <v>-</v>
      </c>
      <c r="AJ18" s="85" t="str">
        <f t="shared" si="38"/>
        <v>-</v>
      </c>
      <c r="AK18" s="85" t="str">
        <f t="shared" si="39"/>
        <v>-</v>
      </c>
      <c r="AL18" s="85" t="str">
        <f t="shared" si="40"/>
        <v>-</v>
      </c>
      <c r="AM18" s="85" t="str">
        <f>'Consumer Hardware Pricing'!AC26</f>
        <v>-</v>
      </c>
      <c r="AN18" s="85" t="str">
        <f t="shared" si="12"/>
        <v>-</v>
      </c>
      <c r="AO18" s="85" t="str">
        <f>'Consumer Hardware Pricing'!AD26</f>
        <v>-</v>
      </c>
      <c r="AP18" s="85" t="str">
        <f t="shared" si="41"/>
        <v>-</v>
      </c>
      <c r="AQ18" s="85" t="str">
        <f t="shared" si="42"/>
        <v>-</v>
      </c>
      <c r="AR18" s="85" t="str">
        <f t="shared" si="43"/>
        <v>-</v>
      </c>
      <c r="AS18" s="85" t="str">
        <f>'Consumer Hardware Pricing'!AF26</f>
        <v>-</v>
      </c>
      <c r="AT18" s="85" t="str">
        <f t="shared" si="13"/>
        <v>-</v>
      </c>
      <c r="AU18" s="85" t="str">
        <f t="shared" si="44"/>
        <v>-</v>
      </c>
      <c r="AV18" s="85" t="str">
        <f t="shared" si="45"/>
        <v>-</v>
      </c>
      <c r="AW18" s="85" t="str">
        <f t="shared" si="46"/>
        <v>-</v>
      </c>
      <c r="AX18" s="85" t="str">
        <f>'Consumer Hardware Pricing'!AH26</f>
        <v>-</v>
      </c>
      <c r="AY18" s="85" t="str">
        <f t="shared" si="14"/>
        <v>-</v>
      </c>
      <c r="AZ18" s="85" t="str">
        <f>'Consumer Hardware Pricing'!AI26</f>
        <v>-</v>
      </c>
      <c r="BA18" s="85" t="str">
        <f t="shared" si="15"/>
        <v>-</v>
      </c>
      <c r="BB18" s="85" t="str">
        <f t="shared" si="16"/>
        <v>-</v>
      </c>
      <c r="BC18" s="85" t="str">
        <f t="shared" si="47"/>
        <v>-</v>
      </c>
      <c r="BD18" s="85">
        <f>'Consumer Hardware Pricing'!AL26</f>
        <v>0</v>
      </c>
      <c r="BE18" s="85">
        <f t="shared" si="17"/>
        <v>28.75</v>
      </c>
      <c r="BF18" s="85">
        <f>'Consumer Hardware Pricing'!AM26</f>
        <v>8.75</v>
      </c>
      <c r="BG18" s="85">
        <f t="shared" si="18"/>
        <v>20</v>
      </c>
      <c r="BH18" s="85">
        <f t="shared" si="19"/>
        <v>210</v>
      </c>
      <c r="BI18" s="85">
        <f t="shared" si="48"/>
        <v>480</v>
      </c>
      <c r="BJ18" s="85" t="str">
        <f>'Consumer Hardware Pricing'!AP26</f>
        <v>-</v>
      </c>
      <c r="BK18" s="85" t="str">
        <f t="shared" si="20"/>
        <v>-</v>
      </c>
      <c r="BL18" s="85" t="str">
        <f>'Consumer Hardware Pricing'!AQ26</f>
        <v>-</v>
      </c>
      <c r="BM18" s="85" t="str">
        <f t="shared" si="21"/>
        <v>-</v>
      </c>
      <c r="BN18" s="85" t="str">
        <f t="shared" si="22"/>
        <v>-</v>
      </c>
      <c r="BO18" s="85" t="str">
        <f t="shared" si="49"/>
        <v>-</v>
      </c>
      <c r="BP18" s="85" t="str">
        <f>'Consumer Hardware Pricing'!AT26</f>
        <v>-</v>
      </c>
      <c r="BQ18" s="85" t="str">
        <f t="shared" si="23"/>
        <v>-</v>
      </c>
      <c r="BR18" s="85" t="str">
        <f>'Consumer Hardware Pricing'!AU26</f>
        <v>-</v>
      </c>
      <c r="BS18" s="85" t="str">
        <f t="shared" si="24"/>
        <v>-</v>
      </c>
      <c r="BT18" s="85" t="str">
        <f t="shared" si="25"/>
        <v>-</v>
      </c>
      <c r="BU18" s="85" t="str">
        <f t="shared" si="50"/>
        <v>-</v>
      </c>
    </row>
    <row r="19" spans="1:73" ht="30.15" customHeight="1" x14ac:dyDescent="0.25">
      <c r="A19" s="86" t="s">
        <v>35</v>
      </c>
      <c r="B19" s="88" t="s">
        <v>712</v>
      </c>
      <c r="C19" s="88" t="s">
        <v>705</v>
      </c>
      <c r="D19" s="85">
        <f>'Consumer Hardware Pricing'!L27</f>
        <v>690</v>
      </c>
      <c r="E19" s="85">
        <f>'Consumer Hardware Pricing'!M27</f>
        <v>690</v>
      </c>
      <c r="F19" s="85" t="str">
        <f>'Consumer Hardware Pricing'!N27</f>
        <v>-</v>
      </c>
      <c r="G19" s="85" t="str">
        <f t="shared" si="0"/>
        <v>-</v>
      </c>
      <c r="H19" s="85" t="str">
        <f>'Consumer Hardware Pricing'!O27</f>
        <v>-</v>
      </c>
      <c r="I19" s="85" t="str">
        <f t="shared" si="1"/>
        <v>-</v>
      </c>
      <c r="J19" s="85" t="str">
        <f t="shared" si="26"/>
        <v>-</v>
      </c>
      <c r="K19" s="85" t="str">
        <f t="shared" si="27"/>
        <v>-</v>
      </c>
      <c r="L19" s="85" t="str">
        <f>'Consumer Hardware Pricing'!Q27</f>
        <v>-</v>
      </c>
      <c r="M19" s="85" t="str">
        <f t="shared" si="2"/>
        <v>-</v>
      </c>
      <c r="N19" s="85" t="str">
        <f t="shared" si="3"/>
        <v>-</v>
      </c>
      <c r="O19" s="85" t="str">
        <f t="shared" si="4"/>
        <v>-</v>
      </c>
      <c r="P19" s="85" t="str">
        <f t="shared" si="28"/>
        <v>-</v>
      </c>
      <c r="Q19" s="85" t="str">
        <f>'Consumer Hardware Pricing'!S27</f>
        <v>-</v>
      </c>
      <c r="R19" s="85" t="str">
        <f t="shared" si="5"/>
        <v>-</v>
      </c>
      <c r="S19" s="85" t="str">
        <f>'Consumer Hardware Pricing'!T27</f>
        <v>-</v>
      </c>
      <c r="T19" s="129" t="str">
        <f t="shared" si="29"/>
        <v>-</v>
      </c>
      <c r="U19" s="129" t="str">
        <f t="shared" si="30"/>
        <v>-</v>
      </c>
      <c r="V19" s="85" t="str">
        <f t="shared" si="31"/>
        <v>-</v>
      </c>
      <c r="W19" s="129" t="str">
        <f>'Consumer Hardware Pricing'!V27</f>
        <v>-</v>
      </c>
      <c r="X19" s="129" t="str">
        <f t="shared" si="6"/>
        <v>-</v>
      </c>
      <c r="Y19" s="129" t="str">
        <f t="shared" si="32"/>
        <v>-</v>
      </c>
      <c r="Z19" s="129" t="str">
        <f t="shared" si="33"/>
        <v>-</v>
      </c>
      <c r="AA19" s="85" t="str">
        <f t="shared" si="34"/>
        <v>-</v>
      </c>
      <c r="AB19" s="85" t="str">
        <f>'Consumer Hardware Pricing'!X27</f>
        <v>-</v>
      </c>
      <c r="AC19" s="85" t="str">
        <f t="shared" si="7"/>
        <v>-</v>
      </c>
      <c r="AD19" s="85" t="str">
        <f>'Consumer Hardware Pricing'!Y27</f>
        <v>-</v>
      </c>
      <c r="AE19" s="85" t="str">
        <f t="shared" si="35"/>
        <v>-</v>
      </c>
      <c r="AF19" s="85" t="str">
        <f t="shared" si="36"/>
        <v>-</v>
      </c>
      <c r="AG19" s="85" t="str">
        <f t="shared" si="37"/>
        <v>-</v>
      </c>
      <c r="AH19" s="85" t="str">
        <f>'Consumer Hardware Pricing'!AA27</f>
        <v>-</v>
      </c>
      <c r="AI19" s="85" t="str">
        <f t="shared" si="9"/>
        <v>-</v>
      </c>
      <c r="AJ19" s="85" t="str">
        <f t="shared" si="38"/>
        <v>-</v>
      </c>
      <c r="AK19" s="85" t="str">
        <f t="shared" si="39"/>
        <v>-</v>
      </c>
      <c r="AL19" s="85" t="str">
        <f t="shared" si="40"/>
        <v>-</v>
      </c>
      <c r="AM19" s="85" t="str">
        <f>'Consumer Hardware Pricing'!AC27</f>
        <v>-</v>
      </c>
      <c r="AN19" s="85" t="str">
        <f t="shared" si="12"/>
        <v>-</v>
      </c>
      <c r="AO19" s="85" t="str">
        <f>'Consumer Hardware Pricing'!AD27</f>
        <v>-</v>
      </c>
      <c r="AP19" s="85" t="str">
        <f t="shared" si="41"/>
        <v>-</v>
      </c>
      <c r="AQ19" s="85" t="str">
        <f t="shared" si="42"/>
        <v>-</v>
      </c>
      <c r="AR19" s="85" t="str">
        <f t="shared" si="43"/>
        <v>-</v>
      </c>
      <c r="AS19" s="85" t="str">
        <f>'Consumer Hardware Pricing'!AF27</f>
        <v>-</v>
      </c>
      <c r="AT19" s="85" t="str">
        <f t="shared" si="13"/>
        <v>-</v>
      </c>
      <c r="AU19" s="85" t="str">
        <f t="shared" si="44"/>
        <v>-</v>
      </c>
      <c r="AV19" s="85" t="str">
        <f t="shared" si="45"/>
        <v>-</v>
      </c>
      <c r="AW19" s="85" t="str">
        <f t="shared" si="46"/>
        <v>-</v>
      </c>
      <c r="AX19" s="85" t="str">
        <f>'Consumer Hardware Pricing'!AH27</f>
        <v>-</v>
      </c>
      <c r="AY19" s="85" t="str">
        <f t="shared" si="14"/>
        <v>-</v>
      </c>
      <c r="AZ19" s="85" t="str">
        <f>'Consumer Hardware Pricing'!AI27</f>
        <v>-</v>
      </c>
      <c r="BA19" s="85" t="str">
        <f t="shared" si="15"/>
        <v>-</v>
      </c>
      <c r="BB19" s="85" t="str">
        <f t="shared" si="16"/>
        <v>-</v>
      </c>
      <c r="BC19" s="85" t="str">
        <f t="shared" si="47"/>
        <v>-</v>
      </c>
      <c r="BD19" s="85">
        <f>'Consumer Hardware Pricing'!AL27</f>
        <v>0</v>
      </c>
      <c r="BE19" s="85">
        <f t="shared" si="17"/>
        <v>28.75</v>
      </c>
      <c r="BF19" s="85">
        <f>'Consumer Hardware Pricing'!AM27</f>
        <v>8.75</v>
      </c>
      <c r="BG19" s="85">
        <f t="shared" si="18"/>
        <v>20</v>
      </c>
      <c r="BH19" s="85">
        <f t="shared" si="19"/>
        <v>210</v>
      </c>
      <c r="BI19" s="85">
        <f t="shared" si="48"/>
        <v>480</v>
      </c>
      <c r="BJ19" s="85" t="str">
        <f>'Consumer Hardware Pricing'!AP27</f>
        <v>-</v>
      </c>
      <c r="BK19" s="85" t="str">
        <f t="shared" si="20"/>
        <v>-</v>
      </c>
      <c r="BL19" s="85" t="str">
        <f>'Consumer Hardware Pricing'!AQ27</f>
        <v>-</v>
      </c>
      <c r="BM19" s="85" t="str">
        <f t="shared" si="21"/>
        <v>-</v>
      </c>
      <c r="BN19" s="85" t="str">
        <f t="shared" si="22"/>
        <v>-</v>
      </c>
      <c r="BO19" s="85" t="str">
        <f t="shared" si="49"/>
        <v>-</v>
      </c>
      <c r="BP19" s="85" t="str">
        <f>'Consumer Hardware Pricing'!AT27</f>
        <v>-</v>
      </c>
      <c r="BQ19" s="85" t="str">
        <f t="shared" si="23"/>
        <v>-</v>
      </c>
      <c r="BR19" s="85" t="str">
        <f>'Consumer Hardware Pricing'!AU27</f>
        <v>-</v>
      </c>
      <c r="BS19" s="85" t="str">
        <f t="shared" si="24"/>
        <v>-</v>
      </c>
      <c r="BT19" s="85" t="str">
        <f t="shared" si="25"/>
        <v>-</v>
      </c>
      <c r="BU19" s="85" t="str">
        <f t="shared" si="50"/>
        <v>-</v>
      </c>
    </row>
    <row r="20" spans="1:73" ht="30.15" customHeight="1" x14ac:dyDescent="0.25">
      <c r="A20" s="86" t="s">
        <v>35</v>
      </c>
      <c r="B20" s="88" t="s">
        <v>713</v>
      </c>
      <c r="C20" s="88" t="s">
        <v>705</v>
      </c>
      <c r="D20" s="85">
        <f>'Consumer Hardware Pricing'!L28</f>
        <v>690</v>
      </c>
      <c r="E20" s="85">
        <f>'Consumer Hardware Pricing'!M28</f>
        <v>690</v>
      </c>
      <c r="F20" s="85" t="str">
        <f>'Consumer Hardware Pricing'!N28</f>
        <v>-</v>
      </c>
      <c r="G20" s="85" t="str">
        <f t="shared" si="0"/>
        <v>-</v>
      </c>
      <c r="H20" s="85" t="str">
        <f>'Consumer Hardware Pricing'!O28</f>
        <v>-</v>
      </c>
      <c r="I20" s="85" t="str">
        <f t="shared" si="1"/>
        <v>-</v>
      </c>
      <c r="J20" s="85" t="str">
        <f t="shared" si="26"/>
        <v>-</v>
      </c>
      <c r="K20" s="85" t="str">
        <f t="shared" si="27"/>
        <v>-</v>
      </c>
      <c r="L20" s="85" t="str">
        <f>'Consumer Hardware Pricing'!Q28</f>
        <v>-</v>
      </c>
      <c r="M20" s="85" t="str">
        <f t="shared" si="2"/>
        <v>-</v>
      </c>
      <c r="N20" s="85" t="str">
        <f t="shared" si="3"/>
        <v>-</v>
      </c>
      <c r="O20" s="85" t="str">
        <f t="shared" si="4"/>
        <v>-</v>
      </c>
      <c r="P20" s="85" t="str">
        <f t="shared" si="28"/>
        <v>-</v>
      </c>
      <c r="Q20" s="85" t="str">
        <f>'Consumer Hardware Pricing'!S28</f>
        <v>-</v>
      </c>
      <c r="R20" s="85" t="str">
        <f t="shared" si="5"/>
        <v>-</v>
      </c>
      <c r="S20" s="85" t="str">
        <f>'Consumer Hardware Pricing'!T28</f>
        <v>-</v>
      </c>
      <c r="T20" s="129" t="str">
        <f t="shared" si="29"/>
        <v>-</v>
      </c>
      <c r="U20" s="129" t="str">
        <f t="shared" si="30"/>
        <v>-</v>
      </c>
      <c r="V20" s="85" t="str">
        <f t="shared" si="31"/>
        <v>-</v>
      </c>
      <c r="W20" s="129" t="str">
        <f>'Consumer Hardware Pricing'!V28</f>
        <v>-</v>
      </c>
      <c r="X20" s="129" t="str">
        <f t="shared" si="6"/>
        <v>-</v>
      </c>
      <c r="Y20" s="129" t="str">
        <f t="shared" si="32"/>
        <v>-</v>
      </c>
      <c r="Z20" s="129" t="str">
        <f t="shared" si="33"/>
        <v>-</v>
      </c>
      <c r="AA20" s="85" t="str">
        <f t="shared" si="34"/>
        <v>-</v>
      </c>
      <c r="AB20" s="85" t="str">
        <f>'Consumer Hardware Pricing'!X28</f>
        <v>-</v>
      </c>
      <c r="AC20" s="85" t="str">
        <f t="shared" si="7"/>
        <v>-</v>
      </c>
      <c r="AD20" s="85" t="str">
        <f>'Consumer Hardware Pricing'!Y28</f>
        <v>-</v>
      </c>
      <c r="AE20" s="85" t="str">
        <f t="shared" si="35"/>
        <v>-</v>
      </c>
      <c r="AF20" s="85" t="str">
        <f t="shared" si="36"/>
        <v>-</v>
      </c>
      <c r="AG20" s="85" t="str">
        <f t="shared" si="37"/>
        <v>-</v>
      </c>
      <c r="AH20" s="85" t="str">
        <f>'Consumer Hardware Pricing'!AA28</f>
        <v>-</v>
      </c>
      <c r="AI20" s="85" t="str">
        <f t="shared" si="9"/>
        <v>-</v>
      </c>
      <c r="AJ20" s="85" t="str">
        <f t="shared" si="38"/>
        <v>-</v>
      </c>
      <c r="AK20" s="85" t="str">
        <f t="shared" si="39"/>
        <v>-</v>
      </c>
      <c r="AL20" s="85" t="str">
        <f t="shared" si="40"/>
        <v>-</v>
      </c>
      <c r="AM20" s="85" t="str">
        <f>'Consumer Hardware Pricing'!AC28</f>
        <v>-</v>
      </c>
      <c r="AN20" s="85" t="str">
        <f t="shared" si="12"/>
        <v>-</v>
      </c>
      <c r="AO20" s="85" t="str">
        <f>'Consumer Hardware Pricing'!AD28</f>
        <v>-</v>
      </c>
      <c r="AP20" s="85" t="str">
        <f t="shared" si="41"/>
        <v>-</v>
      </c>
      <c r="AQ20" s="85" t="str">
        <f t="shared" si="42"/>
        <v>-</v>
      </c>
      <c r="AR20" s="85" t="str">
        <f t="shared" si="43"/>
        <v>-</v>
      </c>
      <c r="AS20" s="85" t="str">
        <f>'Consumer Hardware Pricing'!AF28</f>
        <v>-</v>
      </c>
      <c r="AT20" s="85" t="str">
        <f t="shared" si="13"/>
        <v>-</v>
      </c>
      <c r="AU20" s="85" t="str">
        <f t="shared" si="44"/>
        <v>-</v>
      </c>
      <c r="AV20" s="85" t="str">
        <f t="shared" si="45"/>
        <v>-</v>
      </c>
      <c r="AW20" s="85" t="str">
        <f t="shared" si="46"/>
        <v>-</v>
      </c>
      <c r="AX20" s="85" t="str">
        <f>'Consumer Hardware Pricing'!AH28</f>
        <v>-</v>
      </c>
      <c r="AY20" s="85" t="str">
        <f t="shared" si="14"/>
        <v>-</v>
      </c>
      <c r="AZ20" s="85" t="str">
        <f>'Consumer Hardware Pricing'!AI28</f>
        <v>-</v>
      </c>
      <c r="BA20" s="85" t="str">
        <f t="shared" si="15"/>
        <v>-</v>
      </c>
      <c r="BB20" s="85" t="str">
        <f t="shared" si="16"/>
        <v>-</v>
      </c>
      <c r="BC20" s="85" t="str">
        <f t="shared" si="47"/>
        <v>-</v>
      </c>
      <c r="BD20" s="85">
        <f>'Consumer Hardware Pricing'!AL28</f>
        <v>0</v>
      </c>
      <c r="BE20" s="85">
        <f t="shared" si="17"/>
        <v>28.75</v>
      </c>
      <c r="BF20" s="85">
        <f>'Consumer Hardware Pricing'!AM28</f>
        <v>8.75</v>
      </c>
      <c r="BG20" s="85">
        <f t="shared" si="18"/>
        <v>20</v>
      </c>
      <c r="BH20" s="85">
        <f t="shared" si="19"/>
        <v>210</v>
      </c>
      <c r="BI20" s="85">
        <f t="shared" si="48"/>
        <v>480</v>
      </c>
      <c r="BJ20" s="85" t="str">
        <f>'Consumer Hardware Pricing'!AP28</f>
        <v>-</v>
      </c>
      <c r="BK20" s="85" t="str">
        <f t="shared" si="20"/>
        <v>-</v>
      </c>
      <c r="BL20" s="85" t="str">
        <f>'Consumer Hardware Pricing'!AQ28</f>
        <v>-</v>
      </c>
      <c r="BM20" s="85" t="str">
        <f t="shared" si="21"/>
        <v>-</v>
      </c>
      <c r="BN20" s="85" t="str">
        <f t="shared" si="22"/>
        <v>-</v>
      </c>
      <c r="BO20" s="85" t="str">
        <f t="shared" si="49"/>
        <v>-</v>
      </c>
      <c r="BP20" s="85" t="str">
        <f>'Consumer Hardware Pricing'!AT28</f>
        <v>-</v>
      </c>
      <c r="BQ20" s="85" t="str">
        <f t="shared" si="23"/>
        <v>-</v>
      </c>
      <c r="BR20" s="85" t="str">
        <f>'Consumer Hardware Pricing'!AU28</f>
        <v>-</v>
      </c>
      <c r="BS20" s="85" t="str">
        <f t="shared" si="24"/>
        <v>-</v>
      </c>
      <c r="BT20" s="85" t="str">
        <f t="shared" si="25"/>
        <v>-</v>
      </c>
      <c r="BU20" s="85" t="str">
        <f t="shared" si="50"/>
        <v>-</v>
      </c>
    </row>
    <row r="21" spans="1:73" ht="30.15" customHeight="1" x14ac:dyDescent="0.25">
      <c r="A21" s="86" t="s">
        <v>35</v>
      </c>
      <c r="B21" s="88" t="s">
        <v>714</v>
      </c>
      <c r="C21" s="88" t="s">
        <v>706</v>
      </c>
      <c r="D21" s="85">
        <f>'Consumer Hardware Pricing'!L29</f>
        <v>730</v>
      </c>
      <c r="E21" s="85">
        <f>'Consumer Hardware Pricing'!M29</f>
        <v>730</v>
      </c>
      <c r="F21" s="85" t="str">
        <f>'Consumer Hardware Pricing'!N29</f>
        <v>-</v>
      </c>
      <c r="G21" s="85" t="str">
        <f t="shared" si="0"/>
        <v>-</v>
      </c>
      <c r="H21" s="85" t="str">
        <f>'Consumer Hardware Pricing'!O29</f>
        <v>-</v>
      </c>
      <c r="I21" s="85" t="str">
        <f t="shared" si="1"/>
        <v>-</v>
      </c>
      <c r="J21" s="85" t="str">
        <f t="shared" si="26"/>
        <v>-</v>
      </c>
      <c r="K21" s="85" t="str">
        <f t="shared" si="27"/>
        <v>-</v>
      </c>
      <c r="L21" s="85" t="str">
        <f>'Consumer Hardware Pricing'!Q29</f>
        <v>-</v>
      </c>
      <c r="M21" s="85" t="str">
        <f t="shared" si="2"/>
        <v>-</v>
      </c>
      <c r="N21" s="85" t="str">
        <f t="shared" si="3"/>
        <v>-</v>
      </c>
      <c r="O21" s="85" t="str">
        <f t="shared" si="4"/>
        <v>-</v>
      </c>
      <c r="P21" s="85" t="str">
        <f t="shared" si="28"/>
        <v>-</v>
      </c>
      <c r="Q21" s="85" t="str">
        <f>'Consumer Hardware Pricing'!S29</f>
        <v>-</v>
      </c>
      <c r="R21" s="85" t="str">
        <f t="shared" si="5"/>
        <v>-</v>
      </c>
      <c r="S21" s="85" t="str">
        <f>'Consumer Hardware Pricing'!T29</f>
        <v>-</v>
      </c>
      <c r="T21" s="129" t="str">
        <f t="shared" si="29"/>
        <v>-</v>
      </c>
      <c r="U21" s="129" t="str">
        <f t="shared" si="30"/>
        <v>-</v>
      </c>
      <c r="V21" s="85" t="str">
        <f t="shared" si="31"/>
        <v>-</v>
      </c>
      <c r="W21" s="129" t="str">
        <f>'Consumer Hardware Pricing'!V29</f>
        <v>-</v>
      </c>
      <c r="X21" s="129" t="str">
        <f t="shared" si="6"/>
        <v>-</v>
      </c>
      <c r="Y21" s="129" t="str">
        <f t="shared" si="32"/>
        <v>-</v>
      </c>
      <c r="Z21" s="129" t="str">
        <f t="shared" si="33"/>
        <v>-</v>
      </c>
      <c r="AA21" s="85" t="str">
        <f t="shared" si="34"/>
        <v>-</v>
      </c>
      <c r="AB21" s="85" t="str">
        <f>'Consumer Hardware Pricing'!X29</f>
        <v>-</v>
      </c>
      <c r="AC21" s="85" t="str">
        <f t="shared" si="7"/>
        <v>-</v>
      </c>
      <c r="AD21" s="85" t="str">
        <f>'Consumer Hardware Pricing'!Y29</f>
        <v>-</v>
      </c>
      <c r="AE21" s="85" t="str">
        <f t="shared" si="35"/>
        <v>-</v>
      </c>
      <c r="AF21" s="85" t="str">
        <f t="shared" si="36"/>
        <v>-</v>
      </c>
      <c r="AG21" s="85" t="str">
        <f t="shared" si="37"/>
        <v>-</v>
      </c>
      <c r="AH21" s="85" t="str">
        <f>'Consumer Hardware Pricing'!AA29</f>
        <v>-</v>
      </c>
      <c r="AI21" s="85" t="str">
        <f t="shared" si="9"/>
        <v>-</v>
      </c>
      <c r="AJ21" s="85" t="str">
        <f t="shared" si="38"/>
        <v>-</v>
      </c>
      <c r="AK21" s="85" t="str">
        <f t="shared" si="39"/>
        <v>-</v>
      </c>
      <c r="AL21" s="85" t="str">
        <f t="shared" si="40"/>
        <v>-</v>
      </c>
      <c r="AM21" s="85" t="str">
        <f>'Consumer Hardware Pricing'!AC29</f>
        <v>-</v>
      </c>
      <c r="AN21" s="85" t="str">
        <f t="shared" si="12"/>
        <v>-</v>
      </c>
      <c r="AO21" s="85" t="str">
        <f>'Consumer Hardware Pricing'!AD29</f>
        <v>-</v>
      </c>
      <c r="AP21" s="85" t="str">
        <f t="shared" si="41"/>
        <v>-</v>
      </c>
      <c r="AQ21" s="85" t="str">
        <f t="shared" si="42"/>
        <v>-</v>
      </c>
      <c r="AR21" s="85" t="str">
        <f t="shared" si="43"/>
        <v>-</v>
      </c>
      <c r="AS21" s="85" t="str">
        <f>'Consumer Hardware Pricing'!AF29</f>
        <v>-</v>
      </c>
      <c r="AT21" s="85" t="str">
        <f t="shared" si="13"/>
        <v>-</v>
      </c>
      <c r="AU21" s="85" t="str">
        <f t="shared" si="44"/>
        <v>-</v>
      </c>
      <c r="AV21" s="85" t="str">
        <f t="shared" si="45"/>
        <v>-</v>
      </c>
      <c r="AW21" s="85" t="str">
        <f t="shared" si="46"/>
        <v>-</v>
      </c>
      <c r="AX21" s="85" t="str">
        <f>'Consumer Hardware Pricing'!AH29</f>
        <v>-</v>
      </c>
      <c r="AY21" s="85" t="str">
        <f t="shared" si="14"/>
        <v>-</v>
      </c>
      <c r="AZ21" s="85" t="str">
        <f>'Consumer Hardware Pricing'!AI29</f>
        <v>-</v>
      </c>
      <c r="BA21" s="85" t="str">
        <f t="shared" si="15"/>
        <v>-</v>
      </c>
      <c r="BB21" s="85" t="str">
        <f t="shared" si="16"/>
        <v>-</v>
      </c>
      <c r="BC21" s="85" t="str">
        <f t="shared" si="47"/>
        <v>-</v>
      </c>
      <c r="BD21" s="85">
        <f>'Consumer Hardware Pricing'!AL29</f>
        <v>0</v>
      </c>
      <c r="BE21" s="85">
        <f t="shared" si="17"/>
        <v>30.42</v>
      </c>
      <c r="BF21" s="85">
        <f>'Consumer Hardware Pricing'!AM29</f>
        <v>9.4200000000000017</v>
      </c>
      <c r="BG21" s="85">
        <f t="shared" si="18"/>
        <v>21</v>
      </c>
      <c r="BH21" s="85">
        <f t="shared" si="19"/>
        <v>226.08000000000004</v>
      </c>
      <c r="BI21" s="85">
        <f t="shared" si="48"/>
        <v>504</v>
      </c>
      <c r="BJ21" s="85" t="str">
        <f>'Consumer Hardware Pricing'!AP29</f>
        <v>-</v>
      </c>
      <c r="BK21" s="85" t="str">
        <f t="shared" si="20"/>
        <v>-</v>
      </c>
      <c r="BL21" s="85" t="str">
        <f>'Consumer Hardware Pricing'!AQ29</f>
        <v>-</v>
      </c>
      <c r="BM21" s="85" t="str">
        <f t="shared" si="21"/>
        <v>-</v>
      </c>
      <c r="BN21" s="85" t="str">
        <f t="shared" si="22"/>
        <v>-</v>
      </c>
      <c r="BO21" s="85" t="str">
        <f t="shared" si="49"/>
        <v>-</v>
      </c>
      <c r="BP21" s="85" t="str">
        <f>'Consumer Hardware Pricing'!AT29</f>
        <v>-</v>
      </c>
      <c r="BQ21" s="85" t="str">
        <f t="shared" si="23"/>
        <v>-</v>
      </c>
      <c r="BR21" s="85" t="str">
        <f>'Consumer Hardware Pricing'!AU29</f>
        <v>-</v>
      </c>
      <c r="BS21" s="85" t="str">
        <f t="shared" si="24"/>
        <v>-</v>
      </c>
      <c r="BT21" s="85" t="str">
        <f t="shared" si="25"/>
        <v>-</v>
      </c>
      <c r="BU21" s="85" t="str">
        <f t="shared" si="50"/>
        <v>-</v>
      </c>
    </row>
    <row r="22" spans="1:73" ht="30.15" customHeight="1" x14ac:dyDescent="0.25">
      <c r="A22" s="86" t="s">
        <v>35</v>
      </c>
      <c r="B22" s="88" t="s">
        <v>715</v>
      </c>
      <c r="C22" s="88" t="s">
        <v>706</v>
      </c>
      <c r="D22" s="85">
        <f>'Consumer Hardware Pricing'!L30</f>
        <v>730</v>
      </c>
      <c r="E22" s="85">
        <f>'Consumer Hardware Pricing'!M30</f>
        <v>730</v>
      </c>
      <c r="F22" s="85" t="str">
        <f>'Consumer Hardware Pricing'!N30</f>
        <v>-</v>
      </c>
      <c r="G22" s="85" t="str">
        <f t="shared" si="0"/>
        <v>-</v>
      </c>
      <c r="H22" s="85" t="str">
        <f>'Consumer Hardware Pricing'!O30</f>
        <v>-</v>
      </c>
      <c r="I22" s="85" t="str">
        <f t="shared" si="1"/>
        <v>-</v>
      </c>
      <c r="J22" s="85" t="str">
        <f t="shared" si="26"/>
        <v>-</v>
      </c>
      <c r="K22" s="85" t="str">
        <f t="shared" si="27"/>
        <v>-</v>
      </c>
      <c r="L22" s="85" t="str">
        <f>'Consumer Hardware Pricing'!Q30</f>
        <v>-</v>
      </c>
      <c r="M22" s="85" t="str">
        <f t="shared" si="2"/>
        <v>-</v>
      </c>
      <c r="N22" s="85" t="str">
        <f t="shared" si="3"/>
        <v>-</v>
      </c>
      <c r="O22" s="85" t="str">
        <f t="shared" si="4"/>
        <v>-</v>
      </c>
      <c r="P22" s="85" t="str">
        <f t="shared" si="28"/>
        <v>-</v>
      </c>
      <c r="Q22" s="85" t="str">
        <f>'Consumer Hardware Pricing'!S30</f>
        <v>-</v>
      </c>
      <c r="R22" s="85" t="str">
        <f t="shared" si="5"/>
        <v>-</v>
      </c>
      <c r="S22" s="85" t="str">
        <f>'Consumer Hardware Pricing'!T30</f>
        <v>-</v>
      </c>
      <c r="T22" s="129" t="str">
        <f t="shared" si="29"/>
        <v>-</v>
      </c>
      <c r="U22" s="129" t="str">
        <f t="shared" si="30"/>
        <v>-</v>
      </c>
      <c r="V22" s="85" t="str">
        <f t="shared" si="31"/>
        <v>-</v>
      </c>
      <c r="W22" s="129" t="str">
        <f>'Consumer Hardware Pricing'!V30</f>
        <v>-</v>
      </c>
      <c r="X22" s="129" t="str">
        <f t="shared" si="6"/>
        <v>-</v>
      </c>
      <c r="Y22" s="129" t="str">
        <f t="shared" si="32"/>
        <v>-</v>
      </c>
      <c r="Z22" s="129" t="str">
        <f t="shared" si="33"/>
        <v>-</v>
      </c>
      <c r="AA22" s="85" t="str">
        <f t="shared" si="34"/>
        <v>-</v>
      </c>
      <c r="AB22" s="85" t="str">
        <f>'Consumer Hardware Pricing'!X30</f>
        <v>-</v>
      </c>
      <c r="AC22" s="85" t="str">
        <f t="shared" si="7"/>
        <v>-</v>
      </c>
      <c r="AD22" s="85" t="str">
        <f>'Consumer Hardware Pricing'!Y30</f>
        <v>-</v>
      </c>
      <c r="AE22" s="85" t="str">
        <f t="shared" si="35"/>
        <v>-</v>
      </c>
      <c r="AF22" s="85" t="str">
        <f t="shared" si="36"/>
        <v>-</v>
      </c>
      <c r="AG22" s="85" t="str">
        <f t="shared" si="37"/>
        <v>-</v>
      </c>
      <c r="AH22" s="85" t="str">
        <f>'Consumer Hardware Pricing'!AA30</f>
        <v>-</v>
      </c>
      <c r="AI22" s="85" t="str">
        <f t="shared" si="9"/>
        <v>-</v>
      </c>
      <c r="AJ22" s="85" t="str">
        <f t="shared" si="38"/>
        <v>-</v>
      </c>
      <c r="AK22" s="85" t="str">
        <f t="shared" si="39"/>
        <v>-</v>
      </c>
      <c r="AL22" s="85" t="str">
        <f t="shared" si="40"/>
        <v>-</v>
      </c>
      <c r="AM22" s="85" t="str">
        <f>'Consumer Hardware Pricing'!AC30</f>
        <v>-</v>
      </c>
      <c r="AN22" s="85" t="str">
        <f t="shared" si="12"/>
        <v>-</v>
      </c>
      <c r="AO22" s="85" t="str">
        <f>'Consumer Hardware Pricing'!AD30</f>
        <v>-</v>
      </c>
      <c r="AP22" s="85" t="str">
        <f t="shared" si="41"/>
        <v>-</v>
      </c>
      <c r="AQ22" s="85" t="str">
        <f t="shared" si="42"/>
        <v>-</v>
      </c>
      <c r="AR22" s="85" t="str">
        <f t="shared" si="43"/>
        <v>-</v>
      </c>
      <c r="AS22" s="85" t="str">
        <f>'Consumer Hardware Pricing'!AF30</f>
        <v>-</v>
      </c>
      <c r="AT22" s="85" t="str">
        <f t="shared" si="13"/>
        <v>-</v>
      </c>
      <c r="AU22" s="85" t="str">
        <f t="shared" si="44"/>
        <v>-</v>
      </c>
      <c r="AV22" s="85" t="str">
        <f t="shared" si="45"/>
        <v>-</v>
      </c>
      <c r="AW22" s="85" t="str">
        <f t="shared" si="46"/>
        <v>-</v>
      </c>
      <c r="AX22" s="85" t="str">
        <f>'Consumer Hardware Pricing'!AH30</f>
        <v>-</v>
      </c>
      <c r="AY22" s="85" t="str">
        <f t="shared" si="14"/>
        <v>-</v>
      </c>
      <c r="AZ22" s="85" t="str">
        <f>'Consumer Hardware Pricing'!AI30</f>
        <v>-</v>
      </c>
      <c r="BA22" s="85" t="str">
        <f t="shared" si="15"/>
        <v>-</v>
      </c>
      <c r="BB22" s="85" t="str">
        <f t="shared" si="16"/>
        <v>-</v>
      </c>
      <c r="BC22" s="85" t="str">
        <f t="shared" si="47"/>
        <v>-</v>
      </c>
      <c r="BD22" s="85">
        <f>'Consumer Hardware Pricing'!AL30</f>
        <v>0</v>
      </c>
      <c r="BE22" s="85">
        <f t="shared" si="17"/>
        <v>30.42</v>
      </c>
      <c r="BF22" s="85">
        <f>'Consumer Hardware Pricing'!AM30</f>
        <v>9.4200000000000017</v>
      </c>
      <c r="BG22" s="85">
        <f t="shared" si="18"/>
        <v>21</v>
      </c>
      <c r="BH22" s="85">
        <f t="shared" si="19"/>
        <v>226.08000000000004</v>
      </c>
      <c r="BI22" s="85">
        <f t="shared" si="48"/>
        <v>504</v>
      </c>
      <c r="BJ22" s="85" t="str">
        <f>'Consumer Hardware Pricing'!AP30</f>
        <v>-</v>
      </c>
      <c r="BK22" s="85" t="str">
        <f t="shared" si="20"/>
        <v>-</v>
      </c>
      <c r="BL22" s="85" t="str">
        <f>'Consumer Hardware Pricing'!AQ30</f>
        <v>-</v>
      </c>
      <c r="BM22" s="85" t="str">
        <f t="shared" si="21"/>
        <v>-</v>
      </c>
      <c r="BN22" s="85" t="str">
        <f t="shared" si="22"/>
        <v>-</v>
      </c>
      <c r="BO22" s="85" t="str">
        <f t="shared" si="49"/>
        <v>-</v>
      </c>
      <c r="BP22" s="85" t="str">
        <f>'Consumer Hardware Pricing'!AT30</f>
        <v>-</v>
      </c>
      <c r="BQ22" s="85" t="str">
        <f t="shared" si="23"/>
        <v>-</v>
      </c>
      <c r="BR22" s="85" t="str">
        <f>'Consumer Hardware Pricing'!AU30</f>
        <v>-</v>
      </c>
      <c r="BS22" s="85" t="str">
        <f t="shared" si="24"/>
        <v>-</v>
      </c>
      <c r="BT22" s="85" t="str">
        <f t="shared" si="25"/>
        <v>-</v>
      </c>
      <c r="BU22" s="85" t="str">
        <f t="shared" si="50"/>
        <v>-</v>
      </c>
    </row>
    <row r="23" spans="1:73" ht="30.15" customHeight="1" x14ac:dyDescent="0.25">
      <c r="A23" s="86" t="s">
        <v>35</v>
      </c>
      <c r="B23" s="88" t="s">
        <v>716</v>
      </c>
      <c r="C23" s="88" t="s">
        <v>706</v>
      </c>
      <c r="D23" s="85">
        <f>'Consumer Hardware Pricing'!L31</f>
        <v>730</v>
      </c>
      <c r="E23" s="85">
        <f>'Consumer Hardware Pricing'!M31</f>
        <v>730</v>
      </c>
      <c r="F23" s="85" t="str">
        <f>'Consumer Hardware Pricing'!N31</f>
        <v>-</v>
      </c>
      <c r="G23" s="85" t="str">
        <f t="shared" si="0"/>
        <v>-</v>
      </c>
      <c r="H23" s="85" t="str">
        <f>'Consumer Hardware Pricing'!O31</f>
        <v>-</v>
      </c>
      <c r="I23" s="85" t="str">
        <f t="shared" si="1"/>
        <v>-</v>
      </c>
      <c r="J23" s="85" t="str">
        <f t="shared" si="26"/>
        <v>-</v>
      </c>
      <c r="K23" s="85" t="str">
        <f t="shared" si="27"/>
        <v>-</v>
      </c>
      <c r="L23" s="85" t="str">
        <f>'Consumer Hardware Pricing'!Q31</f>
        <v>-</v>
      </c>
      <c r="M23" s="85" t="str">
        <f t="shared" si="2"/>
        <v>-</v>
      </c>
      <c r="N23" s="85" t="str">
        <f t="shared" si="3"/>
        <v>-</v>
      </c>
      <c r="O23" s="85" t="str">
        <f t="shared" si="4"/>
        <v>-</v>
      </c>
      <c r="P23" s="85" t="str">
        <f t="shared" si="28"/>
        <v>-</v>
      </c>
      <c r="Q23" s="85" t="str">
        <f>'Consumer Hardware Pricing'!S31</f>
        <v>-</v>
      </c>
      <c r="R23" s="85" t="str">
        <f t="shared" si="5"/>
        <v>-</v>
      </c>
      <c r="S23" s="85" t="str">
        <f>'Consumer Hardware Pricing'!T31</f>
        <v>-</v>
      </c>
      <c r="T23" s="129" t="str">
        <f t="shared" si="29"/>
        <v>-</v>
      </c>
      <c r="U23" s="129" t="str">
        <f t="shared" si="30"/>
        <v>-</v>
      </c>
      <c r="V23" s="85" t="str">
        <f t="shared" si="31"/>
        <v>-</v>
      </c>
      <c r="W23" s="129" t="str">
        <f>'Consumer Hardware Pricing'!V31</f>
        <v>-</v>
      </c>
      <c r="X23" s="129" t="str">
        <f t="shared" si="6"/>
        <v>-</v>
      </c>
      <c r="Y23" s="129" t="str">
        <f t="shared" si="32"/>
        <v>-</v>
      </c>
      <c r="Z23" s="129" t="str">
        <f t="shared" si="33"/>
        <v>-</v>
      </c>
      <c r="AA23" s="85" t="str">
        <f t="shared" si="34"/>
        <v>-</v>
      </c>
      <c r="AB23" s="85" t="str">
        <f>'Consumer Hardware Pricing'!X31</f>
        <v>-</v>
      </c>
      <c r="AC23" s="85" t="str">
        <f t="shared" si="7"/>
        <v>-</v>
      </c>
      <c r="AD23" s="85" t="str">
        <f>'Consumer Hardware Pricing'!Y31</f>
        <v>-</v>
      </c>
      <c r="AE23" s="85" t="str">
        <f t="shared" si="35"/>
        <v>-</v>
      </c>
      <c r="AF23" s="85" t="str">
        <f t="shared" si="36"/>
        <v>-</v>
      </c>
      <c r="AG23" s="85" t="str">
        <f t="shared" si="37"/>
        <v>-</v>
      </c>
      <c r="AH23" s="85" t="str">
        <f>'Consumer Hardware Pricing'!AA31</f>
        <v>-</v>
      </c>
      <c r="AI23" s="85" t="str">
        <f t="shared" si="9"/>
        <v>-</v>
      </c>
      <c r="AJ23" s="85" t="str">
        <f t="shared" si="38"/>
        <v>-</v>
      </c>
      <c r="AK23" s="85" t="str">
        <f t="shared" si="39"/>
        <v>-</v>
      </c>
      <c r="AL23" s="85" t="str">
        <f t="shared" si="40"/>
        <v>-</v>
      </c>
      <c r="AM23" s="85" t="str">
        <f>'Consumer Hardware Pricing'!AC31</f>
        <v>-</v>
      </c>
      <c r="AN23" s="85" t="str">
        <f t="shared" si="12"/>
        <v>-</v>
      </c>
      <c r="AO23" s="85" t="str">
        <f>'Consumer Hardware Pricing'!AD31</f>
        <v>-</v>
      </c>
      <c r="AP23" s="85" t="str">
        <f t="shared" si="41"/>
        <v>-</v>
      </c>
      <c r="AQ23" s="85" t="str">
        <f t="shared" si="42"/>
        <v>-</v>
      </c>
      <c r="AR23" s="85" t="str">
        <f t="shared" si="43"/>
        <v>-</v>
      </c>
      <c r="AS23" s="85" t="str">
        <f>'Consumer Hardware Pricing'!AF31</f>
        <v>-</v>
      </c>
      <c r="AT23" s="85" t="str">
        <f t="shared" si="13"/>
        <v>-</v>
      </c>
      <c r="AU23" s="85" t="str">
        <f t="shared" si="44"/>
        <v>-</v>
      </c>
      <c r="AV23" s="85" t="str">
        <f t="shared" si="45"/>
        <v>-</v>
      </c>
      <c r="AW23" s="85" t="str">
        <f t="shared" si="46"/>
        <v>-</v>
      </c>
      <c r="AX23" s="85" t="str">
        <f>'Consumer Hardware Pricing'!AH31</f>
        <v>-</v>
      </c>
      <c r="AY23" s="85" t="str">
        <f t="shared" si="14"/>
        <v>-</v>
      </c>
      <c r="AZ23" s="85" t="str">
        <f>'Consumer Hardware Pricing'!AI31</f>
        <v>-</v>
      </c>
      <c r="BA23" s="85" t="str">
        <f t="shared" si="15"/>
        <v>-</v>
      </c>
      <c r="BB23" s="85" t="str">
        <f t="shared" si="16"/>
        <v>-</v>
      </c>
      <c r="BC23" s="85" t="str">
        <f t="shared" si="47"/>
        <v>-</v>
      </c>
      <c r="BD23" s="85">
        <f>'Consumer Hardware Pricing'!AL31</f>
        <v>0</v>
      </c>
      <c r="BE23" s="85">
        <f t="shared" si="17"/>
        <v>30.42</v>
      </c>
      <c r="BF23" s="85">
        <f>'Consumer Hardware Pricing'!AM31</f>
        <v>9.4200000000000017</v>
      </c>
      <c r="BG23" s="85">
        <f t="shared" si="18"/>
        <v>21</v>
      </c>
      <c r="BH23" s="85">
        <f t="shared" si="19"/>
        <v>226.08000000000004</v>
      </c>
      <c r="BI23" s="85">
        <f t="shared" si="48"/>
        <v>504</v>
      </c>
      <c r="BJ23" s="85" t="str">
        <f>'Consumer Hardware Pricing'!AP31</f>
        <v>-</v>
      </c>
      <c r="BK23" s="85" t="str">
        <f t="shared" si="20"/>
        <v>-</v>
      </c>
      <c r="BL23" s="85" t="str">
        <f>'Consumer Hardware Pricing'!AQ31</f>
        <v>-</v>
      </c>
      <c r="BM23" s="85" t="str">
        <f t="shared" si="21"/>
        <v>-</v>
      </c>
      <c r="BN23" s="85" t="str">
        <f t="shared" si="22"/>
        <v>-</v>
      </c>
      <c r="BO23" s="85" t="str">
        <f t="shared" si="49"/>
        <v>-</v>
      </c>
      <c r="BP23" s="85" t="str">
        <f>'Consumer Hardware Pricing'!AT31</f>
        <v>-</v>
      </c>
      <c r="BQ23" s="85" t="str">
        <f t="shared" si="23"/>
        <v>-</v>
      </c>
      <c r="BR23" s="85" t="str">
        <f>'Consumer Hardware Pricing'!AU31</f>
        <v>-</v>
      </c>
      <c r="BS23" s="85" t="str">
        <f t="shared" si="24"/>
        <v>-</v>
      </c>
      <c r="BT23" s="85" t="str">
        <f t="shared" si="25"/>
        <v>-</v>
      </c>
      <c r="BU23" s="85" t="str">
        <f t="shared" si="50"/>
        <v>-</v>
      </c>
    </row>
    <row r="24" spans="1:73" s="131" customFormat="1" ht="30.15" customHeight="1" x14ac:dyDescent="0.25">
      <c r="A24" s="86" t="s">
        <v>35</v>
      </c>
      <c r="B24" s="88" t="s">
        <v>718</v>
      </c>
      <c r="C24" s="88" t="s">
        <v>717</v>
      </c>
      <c r="D24" s="85">
        <f>'Consumer Hardware Pricing'!L32</f>
        <v>1040</v>
      </c>
      <c r="E24" s="85">
        <f>'Consumer Hardware Pricing'!M32</f>
        <v>1040</v>
      </c>
      <c r="F24" s="85" t="str">
        <f>'Consumer Hardware Pricing'!N32</f>
        <v>-</v>
      </c>
      <c r="G24" s="85" t="str">
        <f t="shared" si="0"/>
        <v>-</v>
      </c>
      <c r="H24" s="85" t="str">
        <f>'Consumer Hardware Pricing'!O32</f>
        <v>-</v>
      </c>
      <c r="I24" s="85" t="str">
        <f t="shared" si="1"/>
        <v>-</v>
      </c>
      <c r="J24" s="85" t="str">
        <f t="shared" si="26"/>
        <v>-</v>
      </c>
      <c r="K24" s="85" t="str">
        <f t="shared" si="27"/>
        <v>-</v>
      </c>
      <c r="L24" s="85" t="str">
        <f>'Consumer Hardware Pricing'!Q32</f>
        <v>-</v>
      </c>
      <c r="M24" s="85" t="str">
        <f t="shared" si="2"/>
        <v>-</v>
      </c>
      <c r="N24" s="85" t="str">
        <f t="shared" si="3"/>
        <v>-</v>
      </c>
      <c r="O24" s="85" t="str">
        <f t="shared" si="4"/>
        <v>-</v>
      </c>
      <c r="P24" s="85" t="str">
        <f t="shared" si="28"/>
        <v>-</v>
      </c>
      <c r="Q24" s="85" t="str">
        <f>'Consumer Hardware Pricing'!S32</f>
        <v>-</v>
      </c>
      <c r="R24" s="85" t="str">
        <f t="shared" si="5"/>
        <v>-</v>
      </c>
      <c r="S24" s="85" t="str">
        <f>'Consumer Hardware Pricing'!T32</f>
        <v>-</v>
      </c>
      <c r="T24" s="129" t="str">
        <f t="shared" si="29"/>
        <v>-</v>
      </c>
      <c r="U24" s="129" t="str">
        <f t="shared" si="30"/>
        <v>-</v>
      </c>
      <c r="V24" s="85" t="str">
        <f t="shared" si="31"/>
        <v>-</v>
      </c>
      <c r="W24" s="129" t="str">
        <f>'Consumer Hardware Pricing'!V32</f>
        <v>-</v>
      </c>
      <c r="X24" s="129" t="str">
        <f t="shared" si="6"/>
        <v>-</v>
      </c>
      <c r="Y24" s="129" t="str">
        <f t="shared" si="32"/>
        <v>-</v>
      </c>
      <c r="Z24" s="129" t="str">
        <f t="shared" si="33"/>
        <v>-</v>
      </c>
      <c r="AA24" s="85" t="str">
        <f t="shared" si="34"/>
        <v>-</v>
      </c>
      <c r="AB24" s="85" t="str">
        <f>'Consumer Hardware Pricing'!X32</f>
        <v>-</v>
      </c>
      <c r="AC24" s="85" t="str">
        <f t="shared" si="7"/>
        <v>-</v>
      </c>
      <c r="AD24" s="85" t="str">
        <f>'Consumer Hardware Pricing'!Y32</f>
        <v>-</v>
      </c>
      <c r="AE24" s="85" t="str">
        <f t="shared" si="35"/>
        <v>-</v>
      </c>
      <c r="AF24" s="85" t="str">
        <f t="shared" si="36"/>
        <v>-</v>
      </c>
      <c r="AG24" s="85" t="str">
        <f t="shared" si="37"/>
        <v>-</v>
      </c>
      <c r="AH24" s="85" t="str">
        <f>'Consumer Hardware Pricing'!AA32</f>
        <v>-</v>
      </c>
      <c r="AI24" s="85" t="str">
        <f t="shared" si="9"/>
        <v>-</v>
      </c>
      <c r="AJ24" s="85" t="str">
        <f t="shared" si="38"/>
        <v>-</v>
      </c>
      <c r="AK24" s="85" t="str">
        <f t="shared" si="39"/>
        <v>-</v>
      </c>
      <c r="AL24" s="85" t="str">
        <f t="shared" si="40"/>
        <v>-</v>
      </c>
      <c r="AM24" s="85" t="str">
        <f>'Consumer Hardware Pricing'!AC32</f>
        <v>-</v>
      </c>
      <c r="AN24" s="85" t="str">
        <f t="shared" si="12"/>
        <v>-</v>
      </c>
      <c r="AO24" s="85" t="str">
        <f>'Consumer Hardware Pricing'!AD32</f>
        <v>-</v>
      </c>
      <c r="AP24" s="85" t="str">
        <f t="shared" si="41"/>
        <v>-</v>
      </c>
      <c r="AQ24" s="85" t="str">
        <f t="shared" si="42"/>
        <v>-</v>
      </c>
      <c r="AR24" s="85" t="str">
        <f t="shared" si="43"/>
        <v>-</v>
      </c>
      <c r="AS24" s="85" t="str">
        <f>'Consumer Hardware Pricing'!AF32</f>
        <v>-</v>
      </c>
      <c r="AT24" s="85" t="str">
        <f t="shared" si="13"/>
        <v>-</v>
      </c>
      <c r="AU24" s="85" t="str">
        <f t="shared" si="44"/>
        <v>-</v>
      </c>
      <c r="AV24" s="85" t="str">
        <f t="shared" si="45"/>
        <v>-</v>
      </c>
      <c r="AW24" s="85" t="str">
        <f t="shared" si="46"/>
        <v>-</v>
      </c>
      <c r="AX24" s="85" t="str">
        <f>'Consumer Hardware Pricing'!AH32</f>
        <v>-</v>
      </c>
      <c r="AY24" s="85" t="str">
        <f t="shared" si="14"/>
        <v>-</v>
      </c>
      <c r="AZ24" s="85" t="str">
        <f>'Consumer Hardware Pricing'!AI32</f>
        <v>-</v>
      </c>
      <c r="BA24" s="85" t="str">
        <f t="shared" si="15"/>
        <v>-</v>
      </c>
      <c r="BB24" s="85" t="str">
        <f t="shared" si="16"/>
        <v>-</v>
      </c>
      <c r="BC24" s="85" t="str">
        <f t="shared" si="47"/>
        <v>-</v>
      </c>
      <c r="BD24" s="85">
        <f>'Consumer Hardware Pricing'!AL32</f>
        <v>0</v>
      </c>
      <c r="BE24" s="85">
        <f t="shared" si="17"/>
        <v>43.339999999999996</v>
      </c>
      <c r="BF24" s="85" t="str">
        <f>'Consumer Hardware Pricing'!AM32</f>
        <v>-</v>
      </c>
      <c r="BG24" s="85">
        <f t="shared" si="18"/>
        <v>43.339999999999996</v>
      </c>
      <c r="BH24" s="85" t="str">
        <f t="shared" si="19"/>
        <v>-</v>
      </c>
      <c r="BI24" s="85">
        <f t="shared" si="48"/>
        <v>1040.1599999999999</v>
      </c>
      <c r="BJ24" s="85" t="str">
        <f>'Consumer Hardware Pricing'!AP32</f>
        <v>-</v>
      </c>
      <c r="BK24" s="85" t="str">
        <f t="shared" si="20"/>
        <v>-</v>
      </c>
      <c r="BL24" s="85" t="str">
        <f>'Consumer Hardware Pricing'!AQ32</f>
        <v>-</v>
      </c>
      <c r="BM24" s="85" t="str">
        <f t="shared" si="21"/>
        <v>-</v>
      </c>
      <c r="BN24" s="85" t="str">
        <f t="shared" si="22"/>
        <v>-</v>
      </c>
      <c r="BO24" s="85" t="str">
        <f t="shared" si="49"/>
        <v>-</v>
      </c>
      <c r="BP24" s="85" t="str">
        <f>'Consumer Hardware Pricing'!AT32</f>
        <v>-</v>
      </c>
      <c r="BQ24" s="85" t="str">
        <f t="shared" si="23"/>
        <v>-</v>
      </c>
      <c r="BR24" s="85" t="str">
        <f>'Consumer Hardware Pricing'!AU32</f>
        <v>-</v>
      </c>
      <c r="BS24" s="85" t="str">
        <f t="shared" si="24"/>
        <v>-</v>
      </c>
      <c r="BT24" s="85" t="str">
        <f t="shared" si="25"/>
        <v>-</v>
      </c>
      <c r="BU24" s="85" t="str">
        <f t="shared" si="50"/>
        <v>-</v>
      </c>
    </row>
    <row r="25" spans="1:73" ht="30.15" customHeight="1" x14ac:dyDescent="0.25">
      <c r="A25" s="86" t="s">
        <v>35</v>
      </c>
      <c r="B25" s="88" t="s">
        <v>940</v>
      </c>
      <c r="C25" s="88" t="s">
        <v>936</v>
      </c>
      <c r="D25" s="85">
        <f>'Consumer Hardware Pricing'!L33</f>
        <v>698</v>
      </c>
      <c r="E25" s="85">
        <f>'Consumer Hardware Pricing'!M33</f>
        <v>698</v>
      </c>
      <c r="F25" s="85" t="str">
        <f>'Consumer Hardware Pricing'!N33</f>
        <v>-</v>
      </c>
      <c r="G25" s="85" t="str">
        <f t="shared" si="0"/>
        <v>-</v>
      </c>
      <c r="H25" s="85" t="str">
        <f>'Consumer Hardware Pricing'!O33</f>
        <v>-</v>
      </c>
      <c r="I25" s="85" t="str">
        <f t="shared" ref="I25:I34" si="76">IF(H25="-",G25,G25-H25)</f>
        <v>-</v>
      </c>
      <c r="J25" s="85" t="str">
        <f t="shared" ref="J25:J34" si="77">IF(H25="-",H25,H25*24)</f>
        <v>-</v>
      </c>
      <c r="K25" s="85" t="str">
        <f t="shared" ref="K25:K34" si="78">IF(F25="-",F25,I25*24)</f>
        <v>-</v>
      </c>
      <c r="L25" s="85" t="str">
        <f>'Consumer Hardware Pricing'!Q33</f>
        <v>-</v>
      </c>
      <c r="M25" s="85" t="str">
        <f t="shared" si="2"/>
        <v>-</v>
      </c>
      <c r="N25" s="85" t="str">
        <f t="shared" ref="N25:N34" si="79">IF(L25="-",L25,G25-M25)</f>
        <v>-</v>
      </c>
      <c r="O25" s="85" t="str">
        <f t="shared" ref="O25:O34" si="80">IF(L25="-",L25,M25*24)</f>
        <v>-</v>
      </c>
      <c r="P25" s="85" t="str">
        <f t="shared" ref="P25:P34" si="81">IF(L25="-",L25,N25*24)</f>
        <v>-</v>
      </c>
      <c r="Q25" s="85" t="str">
        <f>'Consumer Hardware Pricing'!S33</f>
        <v>-</v>
      </c>
      <c r="R25" s="85" t="str">
        <f t="shared" ref="R25:R34" si="82">G25</f>
        <v>-</v>
      </c>
      <c r="S25" s="85" t="str">
        <f>'Consumer Hardware Pricing'!T33</f>
        <v>-</v>
      </c>
      <c r="T25" s="129" t="str">
        <f t="shared" ref="T25:T34" si="83">IF(S25="-",R25,R25-S25)</f>
        <v>-</v>
      </c>
      <c r="U25" s="129" t="str">
        <f t="shared" ref="U25:U34" si="84">IF(S25="-",S25,S25*24)</f>
        <v>-</v>
      </c>
      <c r="V25" s="85" t="str">
        <f t="shared" ref="V25:V34" si="85">IF(Q25="-",Q25,T25*24)</f>
        <v>-</v>
      </c>
      <c r="W25" s="129" t="str">
        <f>'Consumer Hardware Pricing'!V33</f>
        <v>-</v>
      </c>
      <c r="X25" s="129" t="str">
        <f t="shared" si="6"/>
        <v>-</v>
      </c>
      <c r="Y25" s="129" t="str">
        <f t="shared" ref="Y25:Y34" si="86">IF(W25="-",W25,R25-X25)</f>
        <v>-</v>
      </c>
      <c r="Z25" s="129" t="str">
        <f t="shared" ref="Z25:Z34" si="87">IF(W25="-",W25,X25*24)</f>
        <v>-</v>
      </c>
      <c r="AA25" s="85" t="str">
        <f t="shared" ref="AA25:AA34" si="88">IF(W25="-",W25,Y25*24)</f>
        <v>-</v>
      </c>
      <c r="AB25" s="85" t="str">
        <f>'Consumer Hardware Pricing'!X33</f>
        <v>-</v>
      </c>
      <c r="AC25" s="85" t="str">
        <f t="shared" si="7"/>
        <v>-</v>
      </c>
      <c r="AD25" s="85" t="str">
        <f>'Consumer Hardware Pricing'!Y33</f>
        <v>-</v>
      </c>
      <c r="AE25" s="85" t="str">
        <f t="shared" si="35"/>
        <v>-</v>
      </c>
      <c r="AF25" s="85" t="str">
        <f t="shared" si="36"/>
        <v>-</v>
      </c>
      <c r="AG25" s="85" t="str">
        <f t="shared" si="37"/>
        <v>-</v>
      </c>
      <c r="AH25" s="85" t="str">
        <f>'Consumer Hardware Pricing'!AA33</f>
        <v>-</v>
      </c>
      <c r="AI25" s="85" t="str">
        <f t="shared" si="9"/>
        <v>-</v>
      </c>
      <c r="AJ25" s="85" t="str">
        <f t="shared" si="38"/>
        <v>-</v>
      </c>
      <c r="AK25" s="85" t="str">
        <f t="shared" si="39"/>
        <v>-</v>
      </c>
      <c r="AL25" s="85" t="str">
        <f t="shared" si="40"/>
        <v>-</v>
      </c>
      <c r="AM25" s="85" t="str">
        <f>'Consumer Hardware Pricing'!AC33</f>
        <v>-</v>
      </c>
      <c r="AN25" s="85" t="str">
        <f t="shared" si="12"/>
        <v>-</v>
      </c>
      <c r="AO25" s="85" t="str">
        <f>'Consumer Hardware Pricing'!AD33</f>
        <v>-</v>
      </c>
      <c r="AP25" s="85" t="str">
        <f t="shared" si="41"/>
        <v>-</v>
      </c>
      <c r="AQ25" s="85" t="str">
        <f t="shared" si="42"/>
        <v>-</v>
      </c>
      <c r="AR25" s="85" t="str">
        <f t="shared" si="43"/>
        <v>-</v>
      </c>
      <c r="AS25" s="85" t="str">
        <f>'Consumer Hardware Pricing'!AF33</f>
        <v>-</v>
      </c>
      <c r="AT25" s="85" t="str">
        <f t="shared" si="13"/>
        <v>-</v>
      </c>
      <c r="AU25" s="85" t="str">
        <f t="shared" si="44"/>
        <v>-</v>
      </c>
      <c r="AV25" s="85" t="str">
        <f t="shared" si="45"/>
        <v>-</v>
      </c>
      <c r="AW25" s="85" t="str">
        <f t="shared" si="46"/>
        <v>-</v>
      </c>
      <c r="AX25" s="85" t="str">
        <f>'Consumer Hardware Pricing'!AH33</f>
        <v>-</v>
      </c>
      <c r="AY25" s="85" t="str">
        <f t="shared" si="14"/>
        <v>-</v>
      </c>
      <c r="AZ25" s="85" t="str">
        <f>'Consumer Hardware Pricing'!AI33</f>
        <v>-</v>
      </c>
      <c r="BA25" s="85" t="str">
        <f t="shared" ref="BA25:BA34" si="89">IF(AZ25="-",AY25,AY25-AZ25)</f>
        <v>-</v>
      </c>
      <c r="BB25" s="85" t="str">
        <f t="shared" ref="BB25:BB34" si="90">IF(AZ25="-",AZ25,AZ25*24)</f>
        <v>-</v>
      </c>
      <c r="BC25" s="85" t="str">
        <f t="shared" ref="BC25:BC34" si="91">IF(AX25="-",AX25,AX25+(BA25*24))</f>
        <v>-</v>
      </c>
      <c r="BD25" s="85">
        <f>'Consumer Hardware Pricing'!AL33</f>
        <v>0</v>
      </c>
      <c r="BE25" s="85">
        <f t="shared" si="17"/>
        <v>29.09</v>
      </c>
      <c r="BF25" s="85" t="str">
        <f>'Consumer Hardware Pricing'!AM33</f>
        <v>-</v>
      </c>
      <c r="BG25" s="85">
        <f t="shared" ref="BG25:BG34" si="92">IF(BF25="-",BE25,BE25-BF25)</f>
        <v>29.09</v>
      </c>
      <c r="BH25" s="85" t="str">
        <f t="shared" ref="BH25:BH34" si="93">IF(BF25="-",BF25,BF25*24)</f>
        <v>-</v>
      </c>
      <c r="BI25" s="85">
        <f t="shared" ref="BI25:BI34" si="94">IF(BD25="-",BD25,BD25+(BG25*24))</f>
        <v>698.16</v>
      </c>
      <c r="BJ25" s="85" t="str">
        <f>'Consumer Hardware Pricing'!AP33</f>
        <v>-</v>
      </c>
      <c r="BK25" s="85" t="str">
        <f t="shared" si="20"/>
        <v>-</v>
      </c>
      <c r="BL25" s="85" t="str">
        <f>'Consumer Hardware Pricing'!AQ33</f>
        <v>-</v>
      </c>
      <c r="BM25" s="85" t="str">
        <f t="shared" ref="BM25:BM34" si="95">IF(BL25="-",BK25,BK25-BL25)</f>
        <v>-</v>
      </c>
      <c r="BN25" s="85" t="str">
        <f t="shared" ref="BN25:BN34" si="96">IF(BL25="-",BL25,BL25*24)</f>
        <v>-</v>
      </c>
      <c r="BO25" s="85" t="str">
        <f t="shared" ref="BO25:BO34" si="97">IF(BJ25="-",BJ25,BJ25+(BM25*24))</f>
        <v>-</v>
      </c>
      <c r="BP25" s="85" t="str">
        <f>'Consumer Hardware Pricing'!AT33</f>
        <v>-</v>
      </c>
      <c r="BQ25" s="85" t="str">
        <f t="shared" si="23"/>
        <v>-</v>
      </c>
      <c r="BR25" s="85" t="str">
        <f>'Consumer Hardware Pricing'!AU33</f>
        <v>-</v>
      </c>
      <c r="BS25" s="85" t="str">
        <f t="shared" ref="BS25:BS34" si="98">IF(BR25="-",BQ25,BQ25-BR25)</f>
        <v>-</v>
      </c>
      <c r="BT25" s="85" t="str">
        <f t="shared" ref="BT25:BT34" si="99">IF(BR25="-",BR25,BR25*24)</f>
        <v>-</v>
      </c>
      <c r="BU25" s="85" t="str">
        <f t="shared" ref="BU25:BU34" si="100">IF(BP25="-",BP25,BP25+(BS25*24))</f>
        <v>-</v>
      </c>
    </row>
    <row r="26" spans="1:73" ht="30.15" customHeight="1" x14ac:dyDescent="0.25">
      <c r="A26" s="86" t="s">
        <v>35</v>
      </c>
      <c r="B26" s="88" t="s">
        <v>941</v>
      </c>
      <c r="C26" s="88" t="s">
        <v>936</v>
      </c>
      <c r="D26" s="85">
        <f>'Consumer Hardware Pricing'!L34</f>
        <v>698</v>
      </c>
      <c r="E26" s="85">
        <f>'Consumer Hardware Pricing'!M34</f>
        <v>698</v>
      </c>
      <c r="F26" s="85" t="str">
        <f>'Consumer Hardware Pricing'!N34</f>
        <v>-</v>
      </c>
      <c r="G26" s="85" t="str">
        <f t="shared" si="0"/>
        <v>-</v>
      </c>
      <c r="H26" s="85" t="str">
        <f>'Consumer Hardware Pricing'!O34</f>
        <v>-</v>
      </c>
      <c r="I26" s="85" t="str">
        <f t="shared" si="76"/>
        <v>-</v>
      </c>
      <c r="J26" s="85" t="str">
        <f t="shared" si="77"/>
        <v>-</v>
      </c>
      <c r="K26" s="85" t="str">
        <f t="shared" si="78"/>
        <v>-</v>
      </c>
      <c r="L26" s="85" t="str">
        <f>'Consumer Hardware Pricing'!Q34</f>
        <v>-</v>
      </c>
      <c r="M26" s="85" t="str">
        <f t="shared" si="2"/>
        <v>-</v>
      </c>
      <c r="N26" s="85" t="str">
        <f t="shared" si="79"/>
        <v>-</v>
      </c>
      <c r="O26" s="85" t="str">
        <f t="shared" si="80"/>
        <v>-</v>
      </c>
      <c r="P26" s="85" t="str">
        <f t="shared" si="81"/>
        <v>-</v>
      </c>
      <c r="Q26" s="85" t="str">
        <f>'Consumer Hardware Pricing'!S34</f>
        <v>-</v>
      </c>
      <c r="R26" s="85" t="str">
        <f t="shared" si="82"/>
        <v>-</v>
      </c>
      <c r="S26" s="85" t="str">
        <f>'Consumer Hardware Pricing'!T34</f>
        <v>-</v>
      </c>
      <c r="T26" s="129" t="str">
        <f t="shared" si="83"/>
        <v>-</v>
      </c>
      <c r="U26" s="129" t="str">
        <f t="shared" si="84"/>
        <v>-</v>
      </c>
      <c r="V26" s="85" t="str">
        <f t="shared" si="85"/>
        <v>-</v>
      </c>
      <c r="W26" s="129" t="str">
        <f>'Consumer Hardware Pricing'!V34</f>
        <v>-</v>
      </c>
      <c r="X26" s="129" t="str">
        <f t="shared" si="6"/>
        <v>-</v>
      </c>
      <c r="Y26" s="129" t="str">
        <f t="shared" si="86"/>
        <v>-</v>
      </c>
      <c r="Z26" s="129" t="str">
        <f t="shared" si="87"/>
        <v>-</v>
      </c>
      <c r="AA26" s="85" t="str">
        <f t="shared" si="88"/>
        <v>-</v>
      </c>
      <c r="AB26" s="85" t="str">
        <f>'Consumer Hardware Pricing'!X34</f>
        <v>-</v>
      </c>
      <c r="AC26" s="85" t="str">
        <f t="shared" si="7"/>
        <v>-</v>
      </c>
      <c r="AD26" s="85" t="str">
        <f>'Consumer Hardware Pricing'!Y34</f>
        <v>-</v>
      </c>
      <c r="AE26" s="85" t="str">
        <f t="shared" si="35"/>
        <v>-</v>
      </c>
      <c r="AF26" s="85" t="str">
        <f t="shared" si="36"/>
        <v>-</v>
      </c>
      <c r="AG26" s="85" t="str">
        <f t="shared" si="37"/>
        <v>-</v>
      </c>
      <c r="AH26" s="85" t="str">
        <f>'Consumer Hardware Pricing'!AA34</f>
        <v>-</v>
      </c>
      <c r="AI26" s="85" t="str">
        <f t="shared" si="9"/>
        <v>-</v>
      </c>
      <c r="AJ26" s="85" t="str">
        <f t="shared" si="38"/>
        <v>-</v>
      </c>
      <c r="AK26" s="85" t="str">
        <f t="shared" si="39"/>
        <v>-</v>
      </c>
      <c r="AL26" s="85" t="str">
        <f t="shared" si="40"/>
        <v>-</v>
      </c>
      <c r="AM26" s="85" t="str">
        <f>'Consumer Hardware Pricing'!AC34</f>
        <v>-</v>
      </c>
      <c r="AN26" s="85" t="str">
        <f t="shared" si="12"/>
        <v>-</v>
      </c>
      <c r="AO26" s="85" t="str">
        <f>'Consumer Hardware Pricing'!AD34</f>
        <v>-</v>
      </c>
      <c r="AP26" s="85" t="str">
        <f t="shared" si="41"/>
        <v>-</v>
      </c>
      <c r="AQ26" s="85" t="str">
        <f t="shared" si="42"/>
        <v>-</v>
      </c>
      <c r="AR26" s="85" t="str">
        <f t="shared" si="43"/>
        <v>-</v>
      </c>
      <c r="AS26" s="85" t="str">
        <f>'Consumer Hardware Pricing'!AF34</f>
        <v>-</v>
      </c>
      <c r="AT26" s="85" t="str">
        <f t="shared" si="13"/>
        <v>-</v>
      </c>
      <c r="AU26" s="85" t="str">
        <f t="shared" si="44"/>
        <v>-</v>
      </c>
      <c r="AV26" s="85" t="str">
        <f t="shared" si="45"/>
        <v>-</v>
      </c>
      <c r="AW26" s="85" t="str">
        <f t="shared" si="46"/>
        <v>-</v>
      </c>
      <c r="AX26" s="85" t="str">
        <f>'Consumer Hardware Pricing'!AH34</f>
        <v>-</v>
      </c>
      <c r="AY26" s="85" t="str">
        <f t="shared" si="14"/>
        <v>-</v>
      </c>
      <c r="AZ26" s="85" t="str">
        <f>'Consumer Hardware Pricing'!AI34</f>
        <v>-</v>
      </c>
      <c r="BA26" s="85" t="str">
        <f t="shared" si="89"/>
        <v>-</v>
      </c>
      <c r="BB26" s="85" t="str">
        <f t="shared" si="90"/>
        <v>-</v>
      </c>
      <c r="BC26" s="85" t="str">
        <f t="shared" si="91"/>
        <v>-</v>
      </c>
      <c r="BD26" s="85">
        <f>'Consumer Hardware Pricing'!AL34</f>
        <v>0</v>
      </c>
      <c r="BE26" s="85">
        <f t="shared" si="17"/>
        <v>29.09</v>
      </c>
      <c r="BF26" s="85" t="str">
        <f>'Consumer Hardware Pricing'!AM34</f>
        <v>-</v>
      </c>
      <c r="BG26" s="85">
        <f t="shared" si="92"/>
        <v>29.09</v>
      </c>
      <c r="BH26" s="85" t="str">
        <f t="shared" si="93"/>
        <v>-</v>
      </c>
      <c r="BI26" s="85">
        <f t="shared" si="94"/>
        <v>698.16</v>
      </c>
      <c r="BJ26" s="85" t="str">
        <f>'Consumer Hardware Pricing'!AP34</f>
        <v>-</v>
      </c>
      <c r="BK26" s="85" t="str">
        <f t="shared" si="20"/>
        <v>-</v>
      </c>
      <c r="BL26" s="85" t="str">
        <f>'Consumer Hardware Pricing'!AQ34</f>
        <v>-</v>
      </c>
      <c r="BM26" s="85" t="str">
        <f t="shared" si="95"/>
        <v>-</v>
      </c>
      <c r="BN26" s="85" t="str">
        <f t="shared" si="96"/>
        <v>-</v>
      </c>
      <c r="BO26" s="85" t="str">
        <f t="shared" si="97"/>
        <v>-</v>
      </c>
      <c r="BP26" s="85" t="str">
        <f>'Consumer Hardware Pricing'!AT34</f>
        <v>-</v>
      </c>
      <c r="BQ26" s="85" t="str">
        <f t="shared" si="23"/>
        <v>-</v>
      </c>
      <c r="BR26" s="85" t="str">
        <f>'Consumer Hardware Pricing'!AU34</f>
        <v>-</v>
      </c>
      <c r="BS26" s="85" t="str">
        <f t="shared" si="98"/>
        <v>-</v>
      </c>
      <c r="BT26" s="85" t="str">
        <f t="shared" si="99"/>
        <v>-</v>
      </c>
      <c r="BU26" s="85" t="str">
        <f t="shared" si="100"/>
        <v>-</v>
      </c>
    </row>
    <row r="27" spans="1:73" ht="30.15" customHeight="1" x14ac:dyDescent="0.25">
      <c r="A27" s="86" t="s">
        <v>35</v>
      </c>
      <c r="B27" s="88" t="s">
        <v>942</v>
      </c>
      <c r="C27" s="88" t="s">
        <v>936</v>
      </c>
      <c r="D27" s="85">
        <f>'Consumer Hardware Pricing'!L35</f>
        <v>698</v>
      </c>
      <c r="E27" s="85">
        <f>'Consumer Hardware Pricing'!M35</f>
        <v>698</v>
      </c>
      <c r="F27" s="85" t="str">
        <f>'Consumer Hardware Pricing'!N35</f>
        <v>-</v>
      </c>
      <c r="G27" s="85" t="str">
        <f t="shared" si="0"/>
        <v>-</v>
      </c>
      <c r="H27" s="85" t="str">
        <f>'Consumer Hardware Pricing'!O35</f>
        <v>-</v>
      </c>
      <c r="I27" s="85" t="str">
        <f t="shared" si="76"/>
        <v>-</v>
      </c>
      <c r="J27" s="85" t="str">
        <f t="shared" si="77"/>
        <v>-</v>
      </c>
      <c r="K27" s="85" t="str">
        <f t="shared" si="78"/>
        <v>-</v>
      </c>
      <c r="L27" s="85" t="str">
        <f>'Consumer Hardware Pricing'!Q35</f>
        <v>-</v>
      </c>
      <c r="M27" s="85" t="str">
        <f t="shared" si="2"/>
        <v>-</v>
      </c>
      <c r="N27" s="85" t="str">
        <f t="shared" si="79"/>
        <v>-</v>
      </c>
      <c r="O27" s="85" t="str">
        <f t="shared" si="80"/>
        <v>-</v>
      </c>
      <c r="P27" s="85" t="str">
        <f t="shared" si="81"/>
        <v>-</v>
      </c>
      <c r="Q27" s="85" t="str">
        <f>'Consumer Hardware Pricing'!S35</f>
        <v>-</v>
      </c>
      <c r="R27" s="85" t="str">
        <f t="shared" si="82"/>
        <v>-</v>
      </c>
      <c r="S27" s="85" t="str">
        <f>'Consumer Hardware Pricing'!T35</f>
        <v>-</v>
      </c>
      <c r="T27" s="129" t="str">
        <f t="shared" si="83"/>
        <v>-</v>
      </c>
      <c r="U27" s="129" t="str">
        <f t="shared" si="84"/>
        <v>-</v>
      </c>
      <c r="V27" s="85" t="str">
        <f t="shared" si="85"/>
        <v>-</v>
      </c>
      <c r="W27" s="129" t="str">
        <f>'Consumer Hardware Pricing'!V35</f>
        <v>-</v>
      </c>
      <c r="X27" s="129" t="str">
        <f t="shared" si="6"/>
        <v>-</v>
      </c>
      <c r="Y27" s="129" t="str">
        <f t="shared" si="86"/>
        <v>-</v>
      </c>
      <c r="Z27" s="129" t="str">
        <f t="shared" si="87"/>
        <v>-</v>
      </c>
      <c r="AA27" s="85" t="str">
        <f t="shared" si="88"/>
        <v>-</v>
      </c>
      <c r="AB27" s="85" t="str">
        <f>'Consumer Hardware Pricing'!X35</f>
        <v>-</v>
      </c>
      <c r="AC27" s="85" t="str">
        <f t="shared" si="7"/>
        <v>-</v>
      </c>
      <c r="AD27" s="85" t="str">
        <f>'Consumer Hardware Pricing'!Y35</f>
        <v>-</v>
      </c>
      <c r="AE27" s="85" t="str">
        <f t="shared" si="35"/>
        <v>-</v>
      </c>
      <c r="AF27" s="85" t="str">
        <f t="shared" si="36"/>
        <v>-</v>
      </c>
      <c r="AG27" s="85" t="str">
        <f t="shared" si="37"/>
        <v>-</v>
      </c>
      <c r="AH27" s="85" t="str">
        <f>'Consumer Hardware Pricing'!AA35</f>
        <v>-</v>
      </c>
      <c r="AI27" s="85" t="str">
        <f t="shared" si="9"/>
        <v>-</v>
      </c>
      <c r="AJ27" s="85" t="str">
        <f t="shared" si="38"/>
        <v>-</v>
      </c>
      <c r="AK27" s="85" t="str">
        <f t="shared" si="39"/>
        <v>-</v>
      </c>
      <c r="AL27" s="85" t="str">
        <f t="shared" si="40"/>
        <v>-</v>
      </c>
      <c r="AM27" s="85" t="str">
        <f>'Consumer Hardware Pricing'!AC35</f>
        <v>-</v>
      </c>
      <c r="AN27" s="85" t="str">
        <f t="shared" si="12"/>
        <v>-</v>
      </c>
      <c r="AO27" s="85" t="str">
        <f>'Consumer Hardware Pricing'!AD35</f>
        <v>-</v>
      </c>
      <c r="AP27" s="85" t="str">
        <f t="shared" si="41"/>
        <v>-</v>
      </c>
      <c r="AQ27" s="85" t="str">
        <f t="shared" si="42"/>
        <v>-</v>
      </c>
      <c r="AR27" s="85" t="str">
        <f t="shared" si="43"/>
        <v>-</v>
      </c>
      <c r="AS27" s="85" t="str">
        <f>'Consumer Hardware Pricing'!AF35</f>
        <v>-</v>
      </c>
      <c r="AT27" s="85" t="str">
        <f t="shared" si="13"/>
        <v>-</v>
      </c>
      <c r="AU27" s="85" t="str">
        <f t="shared" si="44"/>
        <v>-</v>
      </c>
      <c r="AV27" s="85" t="str">
        <f t="shared" si="45"/>
        <v>-</v>
      </c>
      <c r="AW27" s="85" t="str">
        <f t="shared" si="46"/>
        <v>-</v>
      </c>
      <c r="AX27" s="85" t="str">
        <f>'Consumer Hardware Pricing'!AH35</f>
        <v>-</v>
      </c>
      <c r="AY27" s="85" t="str">
        <f t="shared" si="14"/>
        <v>-</v>
      </c>
      <c r="AZ27" s="85" t="str">
        <f>'Consumer Hardware Pricing'!AI35</f>
        <v>-</v>
      </c>
      <c r="BA27" s="85" t="str">
        <f t="shared" si="89"/>
        <v>-</v>
      </c>
      <c r="BB27" s="85" t="str">
        <f t="shared" si="90"/>
        <v>-</v>
      </c>
      <c r="BC27" s="85" t="str">
        <f t="shared" si="91"/>
        <v>-</v>
      </c>
      <c r="BD27" s="85">
        <f>'Consumer Hardware Pricing'!AL35</f>
        <v>0</v>
      </c>
      <c r="BE27" s="85">
        <f t="shared" si="17"/>
        <v>29.09</v>
      </c>
      <c r="BF27" s="85" t="str">
        <f>'Consumer Hardware Pricing'!AM35</f>
        <v>-</v>
      </c>
      <c r="BG27" s="85">
        <f t="shared" si="92"/>
        <v>29.09</v>
      </c>
      <c r="BH27" s="85" t="str">
        <f t="shared" si="93"/>
        <v>-</v>
      </c>
      <c r="BI27" s="85">
        <f t="shared" si="94"/>
        <v>698.16</v>
      </c>
      <c r="BJ27" s="85" t="str">
        <f>'Consumer Hardware Pricing'!AP35</f>
        <v>-</v>
      </c>
      <c r="BK27" s="85" t="str">
        <f t="shared" si="20"/>
        <v>-</v>
      </c>
      <c r="BL27" s="85" t="str">
        <f>'Consumer Hardware Pricing'!AQ35</f>
        <v>-</v>
      </c>
      <c r="BM27" s="85" t="str">
        <f t="shared" si="95"/>
        <v>-</v>
      </c>
      <c r="BN27" s="85" t="str">
        <f t="shared" si="96"/>
        <v>-</v>
      </c>
      <c r="BO27" s="85" t="str">
        <f t="shared" si="97"/>
        <v>-</v>
      </c>
      <c r="BP27" s="85" t="str">
        <f>'Consumer Hardware Pricing'!AT35</f>
        <v>-</v>
      </c>
      <c r="BQ27" s="85" t="str">
        <f t="shared" si="23"/>
        <v>-</v>
      </c>
      <c r="BR27" s="85" t="str">
        <f>'Consumer Hardware Pricing'!AU35</f>
        <v>-</v>
      </c>
      <c r="BS27" s="85" t="str">
        <f t="shared" si="98"/>
        <v>-</v>
      </c>
      <c r="BT27" s="85" t="str">
        <f t="shared" si="99"/>
        <v>-</v>
      </c>
      <c r="BU27" s="85" t="str">
        <f t="shared" si="100"/>
        <v>-</v>
      </c>
    </row>
    <row r="28" spans="1:73" ht="30.15" customHeight="1" x14ac:dyDescent="0.25">
      <c r="A28" s="86" t="s">
        <v>35</v>
      </c>
      <c r="B28" s="88" t="s">
        <v>943</v>
      </c>
      <c r="C28" s="88" t="s">
        <v>937</v>
      </c>
      <c r="D28" s="85">
        <f>'Consumer Hardware Pricing'!L36</f>
        <v>740</v>
      </c>
      <c r="E28" s="85">
        <f>'Consumer Hardware Pricing'!M36</f>
        <v>740</v>
      </c>
      <c r="F28" s="85" t="str">
        <f>'Consumer Hardware Pricing'!N36</f>
        <v>-</v>
      </c>
      <c r="G28" s="85" t="str">
        <f t="shared" si="0"/>
        <v>-</v>
      </c>
      <c r="H28" s="85" t="str">
        <f>'Consumer Hardware Pricing'!O36</f>
        <v>-</v>
      </c>
      <c r="I28" s="85" t="str">
        <f t="shared" si="76"/>
        <v>-</v>
      </c>
      <c r="J28" s="85" t="str">
        <f t="shared" si="77"/>
        <v>-</v>
      </c>
      <c r="K28" s="85" t="str">
        <f t="shared" si="78"/>
        <v>-</v>
      </c>
      <c r="L28" s="85" t="str">
        <f>'Consumer Hardware Pricing'!Q36</f>
        <v>-</v>
      </c>
      <c r="M28" s="85" t="str">
        <f t="shared" si="2"/>
        <v>-</v>
      </c>
      <c r="N28" s="85" t="str">
        <f t="shared" si="79"/>
        <v>-</v>
      </c>
      <c r="O28" s="85" t="str">
        <f t="shared" si="80"/>
        <v>-</v>
      </c>
      <c r="P28" s="85" t="str">
        <f t="shared" si="81"/>
        <v>-</v>
      </c>
      <c r="Q28" s="85" t="str">
        <f>'Consumer Hardware Pricing'!S36</f>
        <v>-</v>
      </c>
      <c r="R28" s="85" t="str">
        <f t="shared" si="82"/>
        <v>-</v>
      </c>
      <c r="S28" s="85" t="str">
        <f>'Consumer Hardware Pricing'!T36</f>
        <v>-</v>
      </c>
      <c r="T28" s="129" t="str">
        <f t="shared" si="83"/>
        <v>-</v>
      </c>
      <c r="U28" s="129" t="str">
        <f t="shared" si="84"/>
        <v>-</v>
      </c>
      <c r="V28" s="85" t="str">
        <f t="shared" si="85"/>
        <v>-</v>
      </c>
      <c r="W28" s="129" t="str">
        <f>'Consumer Hardware Pricing'!V36</f>
        <v>-</v>
      </c>
      <c r="X28" s="129" t="str">
        <f t="shared" si="6"/>
        <v>-</v>
      </c>
      <c r="Y28" s="129" t="str">
        <f t="shared" si="86"/>
        <v>-</v>
      </c>
      <c r="Z28" s="129" t="str">
        <f t="shared" si="87"/>
        <v>-</v>
      </c>
      <c r="AA28" s="85" t="str">
        <f t="shared" si="88"/>
        <v>-</v>
      </c>
      <c r="AB28" s="85" t="str">
        <f>'Consumer Hardware Pricing'!X36</f>
        <v>-</v>
      </c>
      <c r="AC28" s="85" t="str">
        <f t="shared" si="7"/>
        <v>-</v>
      </c>
      <c r="AD28" s="85" t="str">
        <f>'Consumer Hardware Pricing'!Y36</f>
        <v>-</v>
      </c>
      <c r="AE28" s="85" t="str">
        <f t="shared" si="35"/>
        <v>-</v>
      </c>
      <c r="AF28" s="85" t="str">
        <f t="shared" si="36"/>
        <v>-</v>
      </c>
      <c r="AG28" s="85" t="str">
        <f t="shared" si="37"/>
        <v>-</v>
      </c>
      <c r="AH28" s="85" t="str">
        <f>'Consumer Hardware Pricing'!AA36</f>
        <v>-</v>
      </c>
      <c r="AI28" s="85" t="str">
        <f t="shared" si="9"/>
        <v>-</v>
      </c>
      <c r="AJ28" s="85" t="str">
        <f t="shared" si="38"/>
        <v>-</v>
      </c>
      <c r="AK28" s="85" t="str">
        <f t="shared" si="39"/>
        <v>-</v>
      </c>
      <c r="AL28" s="85" t="str">
        <f t="shared" si="40"/>
        <v>-</v>
      </c>
      <c r="AM28" s="85" t="str">
        <f>'Consumer Hardware Pricing'!AC36</f>
        <v>-</v>
      </c>
      <c r="AN28" s="85" t="str">
        <f t="shared" si="12"/>
        <v>-</v>
      </c>
      <c r="AO28" s="85" t="str">
        <f>'Consumer Hardware Pricing'!AD36</f>
        <v>-</v>
      </c>
      <c r="AP28" s="85" t="str">
        <f t="shared" si="41"/>
        <v>-</v>
      </c>
      <c r="AQ28" s="85" t="str">
        <f t="shared" si="42"/>
        <v>-</v>
      </c>
      <c r="AR28" s="85" t="str">
        <f t="shared" si="43"/>
        <v>-</v>
      </c>
      <c r="AS28" s="85" t="str">
        <f>'Consumer Hardware Pricing'!AF36</f>
        <v>-</v>
      </c>
      <c r="AT28" s="85" t="str">
        <f t="shared" si="13"/>
        <v>-</v>
      </c>
      <c r="AU28" s="85" t="str">
        <f t="shared" si="44"/>
        <v>-</v>
      </c>
      <c r="AV28" s="85" t="str">
        <f t="shared" si="45"/>
        <v>-</v>
      </c>
      <c r="AW28" s="85" t="str">
        <f t="shared" si="46"/>
        <v>-</v>
      </c>
      <c r="AX28" s="85" t="str">
        <f>'Consumer Hardware Pricing'!AH36</f>
        <v>-</v>
      </c>
      <c r="AY28" s="85" t="str">
        <f t="shared" si="14"/>
        <v>-</v>
      </c>
      <c r="AZ28" s="85" t="str">
        <f>'Consumer Hardware Pricing'!AI36</f>
        <v>-</v>
      </c>
      <c r="BA28" s="85" t="str">
        <f t="shared" si="89"/>
        <v>-</v>
      </c>
      <c r="BB28" s="85" t="str">
        <f t="shared" si="90"/>
        <v>-</v>
      </c>
      <c r="BC28" s="85" t="str">
        <f t="shared" si="91"/>
        <v>-</v>
      </c>
      <c r="BD28" s="85">
        <f>'Consumer Hardware Pricing'!AL36</f>
        <v>0</v>
      </c>
      <c r="BE28" s="85">
        <f t="shared" si="17"/>
        <v>30.84</v>
      </c>
      <c r="BF28" s="85" t="str">
        <f>'Consumer Hardware Pricing'!AM36</f>
        <v>-</v>
      </c>
      <c r="BG28" s="85">
        <f t="shared" si="92"/>
        <v>30.84</v>
      </c>
      <c r="BH28" s="85" t="str">
        <f t="shared" si="93"/>
        <v>-</v>
      </c>
      <c r="BI28" s="85">
        <f t="shared" si="94"/>
        <v>740.16</v>
      </c>
      <c r="BJ28" s="85" t="str">
        <f>'Consumer Hardware Pricing'!AP36</f>
        <v>-</v>
      </c>
      <c r="BK28" s="85" t="str">
        <f t="shared" si="20"/>
        <v>-</v>
      </c>
      <c r="BL28" s="85" t="str">
        <f>'Consumer Hardware Pricing'!AQ36</f>
        <v>-</v>
      </c>
      <c r="BM28" s="85" t="str">
        <f t="shared" si="95"/>
        <v>-</v>
      </c>
      <c r="BN28" s="85" t="str">
        <f t="shared" si="96"/>
        <v>-</v>
      </c>
      <c r="BO28" s="85" t="str">
        <f t="shared" si="97"/>
        <v>-</v>
      </c>
      <c r="BP28" s="85" t="str">
        <f>'Consumer Hardware Pricing'!AT36</f>
        <v>-</v>
      </c>
      <c r="BQ28" s="85" t="str">
        <f t="shared" si="23"/>
        <v>-</v>
      </c>
      <c r="BR28" s="85" t="str">
        <f>'Consumer Hardware Pricing'!AU36</f>
        <v>-</v>
      </c>
      <c r="BS28" s="85" t="str">
        <f t="shared" si="98"/>
        <v>-</v>
      </c>
      <c r="BT28" s="85" t="str">
        <f t="shared" si="99"/>
        <v>-</v>
      </c>
      <c r="BU28" s="85" t="str">
        <f t="shared" si="100"/>
        <v>-</v>
      </c>
    </row>
    <row r="29" spans="1:73" ht="30.15" customHeight="1" x14ac:dyDescent="0.25">
      <c r="A29" s="86" t="s">
        <v>35</v>
      </c>
      <c r="B29" s="88" t="s">
        <v>944</v>
      </c>
      <c r="C29" s="88" t="s">
        <v>937</v>
      </c>
      <c r="D29" s="85">
        <f>'Consumer Hardware Pricing'!L37</f>
        <v>740</v>
      </c>
      <c r="E29" s="85">
        <f>'Consumer Hardware Pricing'!M37</f>
        <v>740</v>
      </c>
      <c r="F29" s="85" t="str">
        <f>'Consumer Hardware Pricing'!N37</f>
        <v>-</v>
      </c>
      <c r="G29" s="85" t="str">
        <f t="shared" si="0"/>
        <v>-</v>
      </c>
      <c r="H29" s="85" t="str">
        <f>'Consumer Hardware Pricing'!O37</f>
        <v>-</v>
      </c>
      <c r="I29" s="85" t="str">
        <f t="shared" si="76"/>
        <v>-</v>
      </c>
      <c r="J29" s="85" t="str">
        <f t="shared" si="77"/>
        <v>-</v>
      </c>
      <c r="K29" s="85" t="str">
        <f t="shared" si="78"/>
        <v>-</v>
      </c>
      <c r="L29" s="85" t="str">
        <f>'Consumer Hardware Pricing'!Q37</f>
        <v>-</v>
      </c>
      <c r="M29" s="85" t="str">
        <f t="shared" si="2"/>
        <v>-</v>
      </c>
      <c r="N29" s="85" t="str">
        <f t="shared" si="79"/>
        <v>-</v>
      </c>
      <c r="O29" s="85" t="str">
        <f t="shared" si="80"/>
        <v>-</v>
      </c>
      <c r="P29" s="85" t="str">
        <f t="shared" si="81"/>
        <v>-</v>
      </c>
      <c r="Q29" s="85" t="str">
        <f>'Consumer Hardware Pricing'!S37</f>
        <v>-</v>
      </c>
      <c r="R29" s="85" t="str">
        <f t="shared" si="82"/>
        <v>-</v>
      </c>
      <c r="S29" s="85" t="str">
        <f>'Consumer Hardware Pricing'!T37</f>
        <v>-</v>
      </c>
      <c r="T29" s="129" t="str">
        <f t="shared" si="83"/>
        <v>-</v>
      </c>
      <c r="U29" s="129" t="str">
        <f t="shared" si="84"/>
        <v>-</v>
      </c>
      <c r="V29" s="85" t="str">
        <f t="shared" si="85"/>
        <v>-</v>
      </c>
      <c r="W29" s="129" t="str">
        <f>'Consumer Hardware Pricing'!V37</f>
        <v>-</v>
      </c>
      <c r="X29" s="129" t="str">
        <f t="shared" si="6"/>
        <v>-</v>
      </c>
      <c r="Y29" s="129" t="str">
        <f t="shared" si="86"/>
        <v>-</v>
      </c>
      <c r="Z29" s="129" t="str">
        <f t="shared" si="87"/>
        <v>-</v>
      </c>
      <c r="AA29" s="85" t="str">
        <f t="shared" si="88"/>
        <v>-</v>
      </c>
      <c r="AB29" s="85" t="str">
        <f>'Consumer Hardware Pricing'!X37</f>
        <v>-</v>
      </c>
      <c r="AC29" s="85" t="str">
        <f t="shared" si="7"/>
        <v>-</v>
      </c>
      <c r="AD29" s="85" t="str">
        <f>'Consumer Hardware Pricing'!Y37</f>
        <v>-</v>
      </c>
      <c r="AE29" s="85" t="str">
        <f t="shared" si="35"/>
        <v>-</v>
      </c>
      <c r="AF29" s="85" t="str">
        <f t="shared" si="36"/>
        <v>-</v>
      </c>
      <c r="AG29" s="85" t="str">
        <f t="shared" si="37"/>
        <v>-</v>
      </c>
      <c r="AH29" s="85" t="str">
        <f>'Consumer Hardware Pricing'!AA37</f>
        <v>-</v>
      </c>
      <c r="AI29" s="85" t="str">
        <f t="shared" si="9"/>
        <v>-</v>
      </c>
      <c r="AJ29" s="85" t="str">
        <f t="shared" si="38"/>
        <v>-</v>
      </c>
      <c r="AK29" s="85" t="str">
        <f t="shared" si="39"/>
        <v>-</v>
      </c>
      <c r="AL29" s="85" t="str">
        <f t="shared" si="40"/>
        <v>-</v>
      </c>
      <c r="AM29" s="85" t="str">
        <f>'Consumer Hardware Pricing'!AC37</f>
        <v>-</v>
      </c>
      <c r="AN29" s="85" t="str">
        <f t="shared" si="12"/>
        <v>-</v>
      </c>
      <c r="AO29" s="85" t="str">
        <f>'Consumer Hardware Pricing'!AD37</f>
        <v>-</v>
      </c>
      <c r="AP29" s="85" t="str">
        <f t="shared" si="41"/>
        <v>-</v>
      </c>
      <c r="AQ29" s="85" t="str">
        <f t="shared" si="42"/>
        <v>-</v>
      </c>
      <c r="AR29" s="85" t="str">
        <f t="shared" si="43"/>
        <v>-</v>
      </c>
      <c r="AS29" s="85" t="str">
        <f>'Consumer Hardware Pricing'!AF37</f>
        <v>-</v>
      </c>
      <c r="AT29" s="85" t="str">
        <f t="shared" si="13"/>
        <v>-</v>
      </c>
      <c r="AU29" s="85" t="str">
        <f t="shared" si="44"/>
        <v>-</v>
      </c>
      <c r="AV29" s="85" t="str">
        <f t="shared" si="45"/>
        <v>-</v>
      </c>
      <c r="AW29" s="85" t="str">
        <f t="shared" si="46"/>
        <v>-</v>
      </c>
      <c r="AX29" s="85" t="str">
        <f>'Consumer Hardware Pricing'!AH37</f>
        <v>-</v>
      </c>
      <c r="AY29" s="85" t="str">
        <f t="shared" si="14"/>
        <v>-</v>
      </c>
      <c r="AZ29" s="85" t="str">
        <f>'Consumer Hardware Pricing'!AI37</f>
        <v>-</v>
      </c>
      <c r="BA29" s="85" t="str">
        <f t="shared" si="89"/>
        <v>-</v>
      </c>
      <c r="BB29" s="85" t="str">
        <f t="shared" si="90"/>
        <v>-</v>
      </c>
      <c r="BC29" s="85" t="str">
        <f t="shared" si="91"/>
        <v>-</v>
      </c>
      <c r="BD29" s="85">
        <f>'Consumer Hardware Pricing'!AL37</f>
        <v>0</v>
      </c>
      <c r="BE29" s="85">
        <f t="shared" si="17"/>
        <v>30.84</v>
      </c>
      <c r="BF29" s="85" t="str">
        <f>'Consumer Hardware Pricing'!AM37</f>
        <v>-</v>
      </c>
      <c r="BG29" s="85">
        <f t="shared" si="92"/>
        <v>30.84</v>
      </c>
      <c r="BH29" s="85" t="str">
        <f t="shared" si="93"/>
        <v>-</v>
      </c>
      <c r="BI29" s="85">
        <f t="shared" si="94"/>
        <v>740.16</v>
      </c>
      <c r="BJ29" s="85" t="str">
        <f>'Consumer Hardware Pricing'!AP37</f>
        <v>-</v>
      </c>
      <c r="BK29" s="85" t="str">
        <f t="shared" si="20"/>
        <v>-</v>
      </c>
      <c r="BL29" s="85" t="str">
        <f>'Consumer Hardware Pricing'!AQ37</f>
        <v>-</v>
      </c>
      <c r="BM29" s="85" t="str">
        <f t="shared" si="95"/>
        <v>-</v>
      </c>
      <c r="BN29" s="85" t="str">
        <f t="shared" si="96"/>
        <v>-</v>
      </c>
      <c r="BO29" s="85" t="str">
        <f t="shared" si="97"/>
        <v>-</v>
      </c>
      <c r="BP29" s="85" t="str">
        <f>'Consumer Hardware Pricing'!AT37</f>
        <v>-</v>
      </c>
      <c r="BQ29" s="85" t="str">
        <f t="shared" si="23"/>
        <v>-</v>
      </c>
      <c r="BR29" s="85" t="str">
        <f>'Consumer Hardware Pricing'!AU37</f>
        <v>-</v>
      </c>
      <c r="BS29" s="85" t="str">
        <f t="shared" si="98"/>
        <v>-</v>
      </c>
      <c r="BT29" s="85" t="str">
        <f t="shared" si="99"/>
        <v>-</v>
      </c>
      <c r="BU29" s="85" t="str">
        <f t="shared" si="100"/>
        <v>-</v>
      </c>
    </row>
    <row r="30" spans="1:73" ht="30.15" customHeight="1" x14ac:dyDescent="0.25">
      <c r="A30" s="86" t="s">
        <v>35</v>
      </c>
      <c r="B30" s="88" t="s">
        <v>945</v>
      </c>
      <c r="C30" s="88" t="s">
        <v>937</v>
      </c>
      <c r="D30" s="85">
        <f>'Consumer Hardware Pricing'!L38</f>
        <v>740</v>
      </c>
      <c r="E30" s="85">
        <f>'Consumer Hardware Pricing'!M38</f>
        <v>740</v>
      </c>
      <c r="F30" s="85" t="str">
        <f>'Consumer Hardware Pricing'!N38</f>
        <v>-</v>
      </c>
      <c r="G30" s="85" t="str">
        <f t="shared" si="0"/>
        <v>-</v>
      </c>
      <c r="H30" s="85" t="str">
        <f>'Consumer Hardware Pricing'!O38</f>
        <v>-</v>
      </c>
      <c r="I30" s="85" t="str">
        <f t="shared" si="76"/>
        <v>-</v>
      </c>
      <c r="J30" s="85" t="str">
        <f t="shared" si="77"/>
        <v>-</v>
      </c>
      <c r="K30" s="85" t="str">
        <f t="shared" si="78"/>
        <v>-</v>
      </c>
      <c r="L30" s="85" t="str">
        <f>'Consumer Hardware Pricing'!Q38</f>
        <v>-</v>
      </c>
      <c r="M30" s="85" t="str">
        <f t="shared" si="2"/>
        <v>-</v>
      </c>
      <c r="N30" s="85" t="str">
        <f t="shared" si="79"/>
        <v>-</v>
      </c>
      <c r="O30" s="85" t="str">
        <f t="shared" si="80"/>
        <v>-</v>
      </c>
      <c r="P30" s="85" t="str">
        <f t="shared" si="81"/>
        <v>-</v>
      </c>
      <c r="Q30" s="85" t="str">
        <f>'Consumer Hardware Pricing'!S38</f>
        <v>-</v>
      </c>
      <c r="R30" s="85" t="str">
        <f t="shared" si="82"/>
        <v>-</v>
      </c>
      <c r="S30" s="85" t="str">
        <f>'Consumer Hardware Pricing'!T38</f>
        <v>-</v>
      </c>
      <c r="T30" s="129" t="str">
        <f t="shared" si="83"/>
        <v>-</v>
      </c>
      <c r="U30" s="129" t="str">
        <f t="shared" si="84"/>
        <v>-</v>
      </c>
      <c r="V30" s="85" t="str">
        <f t="shared" si="85"/>
        <v>-</v>
      </c>
      <c r="W30" s="129" t="str">
        <f>'Consumer Hardware Pricing'!V38</f>
        <v>-</v>
      </c>
      <c r="X30" s="129" t="str">
        <f t="shared" si="6"/>
        <v>-</v>
      </c>
      <c r="Y30" s="129" t="str">
        <f t="shared" si="86"/>
        <v>-</v>
      </c>
      <c r="Z30" s="129" t="str">
        <f t="shared" si="87"/>
        <v>-</v>
      </c>
      <c r="AA30" s="85" t="str">
        <f t="shared" si="88"/>
        <v>-</v>
      </c>
      <c r="AB30" s="85" t="str">
        <f>'Consumer Hardware Pricing'!X38</f>
        <v>-</v>
      </c>
      <c r="AC30" s="85" t="str">
        <f t="shared" si="7"/>
        <v>-</v>
      </c>
      <c r="AD30" s="85" t="str">
        <f>'Consumer Hardware Pricing'!Y38</f>
        <v>-</v>
      </c>
      <c r="AE30" s="85" t="str">
        <f t="shared" si="35"/>
        <v>-</v>
      </c>
      <c r="AF30" s="85" t="str">
        <f t="shared" si="36"/>
        <v>-</v>
      </c>
      <c r="AG30" s="85" t="str">
        <f t="shared" si="37"/>
        <v>-</v>
      </c>
      <c r="AH30" s="85" t="str">
        <f>'Consumer Hardware Pricing'!AA38</f>
        <v>-</v>
      </c>
      <c r="AI30" s="85" t="str">
        <f t="shared" si="9"/>
        <v>-</v>
      </c>
      <c r="AJ30" s="85" t="str">
        <f t="shared" si="38"/>
        <v>-</v>
      </c>
      <c r="AK30" s="85" t="str">
        <f t="shared" si="39"/>
        <v>-</v>
      </c>
      <c r="AL30" s="85" t="str">
        <f t="shared" si="40"/>
        <v>-</v>
      </c>
      <c r="AM30" s="85" t="str">
        <f>'Consumer Hardware Pricing'!AC38</f>
        <v>-</v>
      </c>
      <c r="AN30" s="85" t="str">
        <f t="shared" si="12"/>
        <v>-</v>
      </c>
      <c r="AO30" s="85" t="str">
        <f>'Consumer Hardware Pricing'!AD38</f>
        <v>-</v>
      </c>
      <c r="AP30" s="85" t="str">
        <f t="shared" si="41"/>
        <v>-</v>
      </c>
      <c r="AQ30" s="85" t="str">
        <f t="shared" si="42"/>
        <v>-</v>
      </c>
      <c r="AR30" s="85" t="str">
        <f t="shared" si="43"/>
        <v>-</v>
      </c>
      <c r="AS30" s="85" t="str">
        <f>'Consumer Hardware Pricing'!AF38</f>
        <v>-</v>
      </c>
      <c r="AT30" s="85" t="str">
        <f t="shared" si="13"/>
        <v>-</v>
      </c>
      <c r="AU30" s="85" t="str">
        <f t="shared" si="44"/>
        <v>-</v>
      </c>
      <c r="AV30" s="85" t="str">
        <f t="shared" si="45"/>
        <v>-</v>
      </c>
      <c r="AW30" s="85" t="str">
        <f t="shared" si="46"/>
        <v>-</v>
      </c>
      <c r="AX30" s="85" t="str">
        <f>'Consumer Hardware Pricing'!AH38</f>
        <v>-</v>
      </c>
      <c r="AY30" s="85" t="str">
        <f t="shared" si="14"/>
        <v>-</v>
      </c>
      <c r="AZ30" s="85" t="str">
        <f>'Consumer Hardware Pricing'!AI38</f>
        <v>-</v>
      </c>
      <c r="BA30" s="85" t="str">
        <f t="shared" si="89"/>
        <v>-</v>
      </c>
      <c r="BB30" s="85" t="str">
        <f t="shared" si="90"/>
        <v>-</v>
      </c>
      <c r="BC30" s="85" t="str">
        <f t="shared" si="91"/>
        <v>-</v>
      </c>
      <c r="BD30" s="85">
        <f>'Consumer Hardware Pricing'!AL38</f>
        <v>0</v>
      </c>
      <c r="BE30" s="85">
        <f t="shared" si="17"/>
        <v>30.84</v>
      </c>
      <c r="BF30" s="85" t="str">
        <f>'Consumer Hardware Pricing'!AM38</f>
        <v>-</v>
      </c>
      <c r="BG30" s="85">
        <f t="shared" si="92"/>
        <v>30.84</v>
      </c>
      <c r="BH30" s="85" t="str">
        <f t="shared" si="93"/>
        <v>-</v>
      </c>
      <c r="BI30" s="85">
        <f t="shared" si="94"/>
        <v>740.16</v>
      </c>
      <c r="BJ30" s="85" t="str">
        <f>'Consumer Hardware Pricing'!AP38</f>
        <v>-</v>
      </c>
      <c r="BK30" s="85" t="str">
        <f t="shared" si="20"/>
        <v>-</v>
      </c>
      <c r="BL30" s="85" t="str">
        <f>'Consumer Hardware Pricing'!AQ38</f>
        <v>-</v>
      </c>
      <c r="BM30" s="85" t="str">
        <f t="shared" si="95"/>
        <v>-</v>
      </c>
      <c r="BN30" s="85" t="str">
        <f t="shared" si="96"/>
        <v>-</v>
      </c>
      <c r="BO30" s="85" t="str">
        <f t="shared" si="97"/>
        <v>-</v>
      </c>
      <c r="BP30" s="85" t="str">
        <f>'Consumer Hardware Pricing'!AT38</f>
        <v>-</v>
      </c>
      <c r="BQ30" s="85" t="str">
        <f t="shared" si="23"/>
        <v>-</v>
      </c>
      <c r="BR30" s="85" t="str">
        <f>'Consumer Hardware Pricing'!AU38</f>
        <v>-</v>
      </c>
      <c r="BS30" s="85" t="str">
        <f t="shared" si="98"/>
        <v>-</v>
      </c>
      <c r="BT30" s="85" t="str">
        <f t="shared" si="99"/>
        <v>-</v>
      </c>
      <c r="BU30" s="85" t="str">
        <f t="shared" si="100"/>
        <v>-</v>
      </c>
    </row>
    <row r="31" spans="1:73" ht="30.15" customHeight="1" x14ac:dyDescent="0.25">
      <c r="A31" s="86" t="s">
        <v>35</v>
      </c>
      <c r="B31" s="88" t="s">
        <v>948</v>
      </c>
      <c r="C31" s="88" t="s">
        <v>946</v>
      </c>
      <c r="D31" s="85">
        <f>'Consumer Hardware Pricing'!L39</f>
        <v>454</v>
      </c>
      <c r="E31" s="85">
        <f>'Consumer Hardware Pricing'!M39</f>
        <v>454</v>
      </c>
      <c r="F31" s="85" t="str">
        <f>'Consumer Hardware Pricing'!N39</f>
        <v>-</v>
      </c>
      <c r="G31" s="85" t="str">
        <f t="shared" si="0"/>
        <v>-</v>
      </c>
      <c r="H31" s="85" t="str">
        <f>'Consumer Hardware Pricing'!O39</f>
        <v>-</v>
      </c>
      <c r="I31" s="85" t="str">
        <f t="shared" si="76"/>
        <v>-</v>
      </c>
      <c r="J31" s="85" t="str">
        <f t="shared" si="77"/>
        <v>-</v>
      </c>
      <c r="K31" s="85" t="str">
        <f t="shared" si="78"/>
        <v>-</v>
      </c>
      <c r="L31" s="85" t="str">
        <f>'Consumer Hardware Pricing'!Q39</f>
        <v>-</v>
      </c>
      <c r="M31" s="85" t="str">
        <f t="shared" si="2"/>
        <v>-</v>
      </c>
      <c r="N31" s="85" t="str">
        <f t="shared" si="79"/>
        <v>-</v>
      </c>
      <c r="O31" s="85" t="str">
        <f t="shared" si="80"/>
        <v>-</v>
      </c>
      <c r="P31" s="85" t="str">
        <f t="shared" si="81"/>
        <v>-</v>
      </c>
      <c r="Q31" s="85" t="str">
        <f>'Consumer Hardware Pricing'!S39</f>
        <v>-</v>
      </c>
      <c r="R31" s="85" t="str">
        <f t="shared" si="82"/>
        <v>-</v>
      </c>
      <c r="S31" s="85" t="str">
        <f>'Consumer Hardware Pricing'!T39</f>
        <v>-</v>
      </c>
      <c r="T31" s="129" t="str">
        <f t="shared" si="83"/>
        <v>-</v>
      </c>
      <c r="U31" s="129" t="str">
        <f t="shared" si="84"/>
        <v>-</v>
      </c>
      <c r="V31" s="85" t="str">
        <f t="shared" si="85"/>
        <v>-</v>
      </c>
      <c r="W31" s="129" t="str">
        <f>'Consumer Hardware Pricing'!V39</f>
        <v>-</v>
      </c>
      <c r="X31" s="129" t="str">
        <f t="shared" si="6"/>
        <v>-</v>
      </c>
      <c r="Y31" s="129" t="str">
        <f t="shared" si="86"/>
        <v>-</v>
      </c>
      <c r="Z31" s="129" t="str">
        <f t="shared" si="87"/>
        <v>-</v>
      </c>
      <c r="AA31" s="85" t="str">
        <f t="shared" si="88"/>
        <v>-</v>
      </c>
      <c r="AB31" s="85" t="str">
        <f>'Consumer Hardware Pricing'!X39</f>
        <v>-</v>
      </c>
      <c r="AC31" s="85" t="str">
        <f t="shared" si="7"/>
        <v>-</v>
      </c>
      <c r="AD31" s="85" t="str">
        <f>'Consumer Hardware Pricing'!Y39</f>
        <v>-</v>
      </c>
      <c r="AE31" s="85" t="str">
        <f t="shared" si="35"/>
        <v>-</v>
      </c>
      <c r="AF31" s="85" t="str">
        <f t="shared" si="36"/>
        <v>-</v>
      </c>
      <c r="AG31" s="85" t="str">
        <f t="shared" si="37"/>
        <v>-</v>
      </c>
      <c r="AH31" s="85" t="str">
        <f>'Consumer Hardware Pricing'!AA39</f>
        <v>-</v>
      </c>
      <c r="AI31" s="85" t="str">
        <f t="shared" si="9"/>
        <v>-</v>
      </c>
      <c r="AJ31" s="85" t="str">
        <f t="shared" si="38"/>
        <v>-</v>
      </c>
      <c r="AK31" s="85" t="str">
        <f t="shared" si="39"/>
        <v>-</v>
      </c>
      <c r="AL31" s="85" t="str">
        <f t="shared" si="40"/>
        <v>-</v>
      </c>
      <c r="AM31" s="85" t="str">
        <f>'Consumer Hardware Pricing'!AC39</f>
        <v>-</v>
      </c>
      <c r="AN31" s="85" t="str">
        <f t="shared" si="12"/>
        <v>-</v>
      </c>
      <c r="AO31" s="85" t="str">
        <f>'Consumer Hardware Pricing'!AD39</f>
        <v>-</v>
      </c>
      <c r="AP31" s="85" t="str">
        <f t="shared" si="41"/>
        <v>-</v>
      </c>
      <c r="AQ31" s="85" t="str">
        <f t="shared" si="42"/>
        <v>-</v>
      </c>
      <c r="AR31" s="85" t="str">
        <f t="shared" si="43"/>
        <v>-</v>
      </c>
      <c r="AS31" s="85" t="str">
        <f>'Consumer Hardware Pricing'!AF39</f>
        <v>-</v>
      </c>
      <c r="AT31" s="85" t="str">
        <f t="shared" si="13"/>
        <v>-</v>
      </c>
      <c r="AU31" s="85" t="str">
        <f t="shared" si="44"/>
        <v>-</v>
      </c>
      <c r="AV31" s="85" t="str">
        <f t="shared" si="45"/>
        <v>-</v>
      </c>
      <c r="AW31" s="85" t="str">
        <f t="shared" si="46"/>
        <v>-</v>
      </c>
      <c r="AX31" s="85" t="str">
        <f>'Consumer Hardware Pricing'!AH39</f>
        <v>-</v>
      </c>
      <c r="AY31" s="85" t="str">
        <f t="shared" si="14"/>
        <v>-</v>
      </c>
      <c r="AZ31" s="85" t="str">
        <f>'Consumer Hardware Pricing'!AI39</f>
        <v>-</v>
      </c>
      <c r="BA31" s="85" t="str">
        <f t="shared" si="89"/>
        <v>-</v>
      </c>
      <c r="BB31" s="85" t="str">
        <f t="shared" si="90"/>
        <v>-</v>
      </c>
      <c r="BC31" s="85" t="str">
        <f t="shared" si="91"/>
        <v>-</v>
      </c>
      <c r="BD31" s="85">
        <f>'Consumer Hardware Pricing'!AL39</f>
        <v>0</v>
      </c>
      <c r="BE31" s="85">
        <f t="shared" si="17"/>
        <v>18.920000000000002</v>
      </c>
      <c r="BF31" s="85" t="str">
        <f>'Consumer Hardware Pricing'!AM39</f>
        <v>-</v>
      </c>
      <c r="BG31" s="85">
        <f t="shared" si="92"/>
        <v>18.920000000000002</v>
      </c>
      <c r="BH31" s="85" t="str">
        <f t="shared" si="93"/>
        <v>-</v>
      </c>
      <c r="BI31" s="85">
        <f t="shared" si="94"/>
        <v>454.08000000000004</v>
      </c>
      <c r="BJ31" s="85" t="str">
        <f>'Consumer Hardware Pricing'!AP39</f>
        <v>-</v>
      </c>
      <c r="BK31" s="85" t="str">
        <f t="shared" si="20"/>
        <v>-</v>
      </c>
      <c r="BL31" s="85" t="str">
        <f>'Consumer Hardware Pricing'!AQ39</f>
        <v>-</v>
      </c>
      <c r="BM31" s="85" t="str">
        <f t="shared" si="95"/>
        <v>-</v>
      </c>
      <c r="BN31" s="85" t="str">
        <f t="shared" si="96"/>
        <v>-</v>
      </c>
      <c r="BO31" s="85" t="str">
        <f t="shared" si="97"/>
        <v>-</v>
      </c>
      <c r="BP31" s="85" t="str">
        <f>'Consumer Hardware Pricing'!AT39</f>
        <v>-</v>
      </c>
      <c r="BQ31" s="85" t="str">
        <f t="shared" si="23"/>
        <v>-</v>
      </c>
      <c r="BR31" s="85" t="str">
        <f>'Consumer Hardware Pricing'!AU39</f>
        <v>-</v>
      </c>
      <c r="BS31" s="85" t="str">
        <f t="shared" si="98"/>
        <v>-</v>
      </c>
      <c r="BT31" s="85" t="str">
        <f t="shared" si="99"/>
        <v>-</v>
      </c>
      <c r="BU31" s="85" t="str">
        <f t="shared" si="100"/>
        <v>-</v>
      </c>
    </row>
    <row r="32" spans="1:73" ht="30.15" customHeight="1" x14ac:dyDescent="0.25">
      <c r="A32" s="86" t="s">
        <v>35</v>
      </c>
      <c r="B32" s="88" t="s">
        <v>949</v>
      </c>
      <c r="C32" s="88" t="s">
        <v>946</v>
      </c>
      <c r="D32" s="85">
        <f>'Consumer Hardware Pricing'!L40</f>
        <v>454</v>
      </c>
      <c r="E32" s="85">
        <f>'Consumer Hardware Pricing'!M40</f>
        <v>454</v>
      </c>
      <c r="F32" s="85" t="str">
        <f>'Consumer Hardware Pricing'!N40</f>
        <v>-</v>
      </c>
      <c r="G32" s="85" t="str">
        <f t="shared" si="0"/>
        <v>-</v>
      </c>
      <c r="H32" s="85" t="str">
        <f>'Consumer Hardware Pricing'!O40</f>
        <v>-</v>
      </c>
      <c r="I32" s="85" t="str">
        <f t="shared" si="76"/>
        <v>-</v>
      </c>
      <c r="J32" s="85" t="str">
        <f t="shared" si="77"/>
        <v>-</v>
      </c>
      <c r="K32" s="85" t="str">
        <f t="shared" si="78"/>
        <v>-</v>
      </c>
      <c r="L32" s="85" t="str">
        <f>'Consumer Hardware Pricing'!Q40</f>
        <v>-</v>
      </c>
      <c r="M32" s="85" t="str">
        <f t="shared" si="2"/>
        <v>-</v>
      </c>
      <c r="N32" s="85" t="str">
        <f t="shared" si="79"/>
        <v>-</v>
      </c>
      <c r="O32" s="85" t="str">
        <f t="shared" si="80"/>
        <v>-</v>
      </c>
      <c r="P32" s="85" t="str">
        <f t="shared" si="81"/>
        <v>-</v>
      </c>
      <c r="Q32" s="85" t="str">
        <f>'Consumer Hardware Pricing'!S40</f>
        <v>-</v>
      </c>
      <c r="R32" s="85" t="str">
        <f t="shared" si="82"/>
        <v>-</v>
      </c>
      <c r="S32" s="85" t="str">
        <f>'Consumer Hardware Pricing'!T40</f>
        <v>-</v>
      </c>
      <c r="T32" s="129" t="str">
        <f t="shared" si="83"/>
        <v>-</v>
      </c>
      <c r="U32" s="129" t="str">
        <f t="shared" si="84"/>
        <v>-</v>
      </c>
      <c r="V32" s="85" t="str">
        <f t="shared" si="85"/>
        <v>-</v>
      </c>
      <c r="W32" s="129" t="str">
        <f>'Consumer Hardware Pricing'!V40</f>
        <v>-</v>
      </c>
      <c r="X32" s="129" t="str">
        <f t="shared" si="6"/>
        <v>-</v>
      </c>
      <c r="Y32" s="129" t="str">
        <f t="shared" si="86"/>
        <v>-</v>
      </c>
      <c r="Z32" s="129" t="str">
        <f t="shared" si="87"/>
        <v>-</v>
      </c>
      <c r="AA32" s="85" t="str">
        <f t="shared" si="88"/>
        <v>-</v>
      </c>
      <c r="AB32" s="85" t="str">
        <f>'Consumer Hardware Pricing'!X40</f>
        <v>-</v>
      </c>
      <c r="AC32" s="85" t="str">
        <f t="shared" si="7"/>
        <v>-</v>
      </c>
      <c r="AD32" s="85" t="str">
        <f>'Consumer Hardware Pricing'!Y40</f>
        <v>-</v>
      </c>
      <c r="AE32" s="85" t="str">
        <f t="shared" si="35"/>
        <v>-</v>
      </c>
      <c r="AF32" s="85" t="str">
        <f t="shared" si="36"/>
        <v>-</v>
      </c>
      <c r="AG32" s="85" t="str">
        <f t="shared" si="37"/>
        <v>-</v>
      </c>
      <c r="AH32" s="85" t="str">
        <f>'Consumer Hardware Pricing'!AA40</f>
        <v>-</v>
      </c>
      <c r="AI32" s="85" t="str">
        <f t="shared" si="9"/>
        <v>-</v>
      </c>
      <c r="AJ32" s="85" t="str">
        <f t="shared" si="38"/>
        <v>-</v>
      </c>
      <c r="AK32" s="85" t="str">
        <f t="shared" si="39"/>
        <v>-</v>
      </c>
      <c r="AL32" s="85" t="str">
        <f t="shared" si="40"/>
        <v>-</v>
      </c>
      <c r="AM32" s="85" t="str">
        <f>'Consumer Hardware Pricing'!AC40</f>
        <v>-</v>
      </c>
      <c r="AN32" s="85" t="str">
        <f t="shared" si="12"/>
        <v>-</v>
      </c>
      <c r="AO32" s="85" t="str">
        <f>'Consumer Hardware Pricing'!AD40</f>
        <v>-</v>
      </c>
      <c r="AP32" s="85" t="str">
        <f t="shared" si="41"/>
        <v>-</v>
      </c>
      <c r="AQ32" s="85" t="str">
        <f t="shared" si="42"/>
        <v>-</v>
      </c>
      <c r="AR32" s="85" t="str">
        <f t="shared" si="43"/>
        <v>-</v>
      </c>
      <c r="AS32" s="85" t="str">
        <f>'Consumer Hardware Pricing'!AF40</f>
        <v>-</v>
      </c>
      <c r="AT32" s="85" t="str">
        <f t="shared" si="13"/>
        <v>-</v>
      </c>
      <c r="AU32" s="85" t="str">
        <f t="shared" si="44"/>
        <v>-</v>
      </c>
      <c r="AV32" s="85" t="str">
        <f t="shared" si="45"/>
        <v>-</v>
      </c>
      <c r="AW32" s="85" t="str">
        <f t="shared" si="46"/>
        <v>-</v>
      </c>
      <c r="AX32" s="85" t="str">
        <f>'Consumer Hardware Pricing'!AH40</f>
        <v>-</v>
      </c>
      <c r="AY32" s="85" t="str">
        <f t="shared" si="14"/>
        <v>-</v>
      </c>
      <c r="AZ32" s="85" t="str">
        <f>'Consumer Hardware Pricing'!AI40</f>
        <v>-</v>
      </c>
      <c r="BA32" s="85" t="str">
        <f t="shared" si="89"/>
        <v>-</v>
      </c>
      <c r="BB32" s="85" t="str">
        <f t="shared" si="90"/>
        <v>-</v>
      </c>
      <c r="BC32" s="85" t="str">
        <f t="shared" si="91"/>
        <v>-</v>
      </c>
      <c r="BD32" s="85">
        <f>'Consumer Hardware Pricing'!AL40</f>
        <v>0</v>
      </c>
      <c r="BE32" s="85">
        <f t="shared" si="17"/>
        <v>18.920000000000002</v>
      </c>
      <c r="BF32" s="85" t="str">
        <f>'Consumer Hardware Pricing'!AM40</f>
        <v>-</v>
      </c>
      <c r="BG32" s="85">
        <f t="shared" si="92"/>
        <v>18.920000000000002</v>
      </c>
      <c r="BH32" s="85" t="str">
        <f t="shared" si="93"/>
        <v>-</v>
      </c>
      <c r="BI32" s="85">
        <f t="shared" si="94"/>
        <v>454.08000000000004</v>
      </c>
      <c r="BJ32" s="85" t="str">
        <f>'Consumer Hardware Pricing'!AP40</f>
        <v>-</v>
      </c>
      <c r="BK32" s="85" t="str">
        <f t="shared" si="20"/>
        <v>-</v>
      </c>
      <c r="BL32" s="85" t="str">
        <f>'Consumer Hardware Pricing'!AQ40</f>
        <v>-</v>
      </c>
      <c r="BM32" s="85" t="str">
        <f t="shared" si="95"/>
        <v>-</v>
      </c>
      <c r="BN32" s="85" t="str">
        <f t="shared" si="96"/>
        <v>-</v>
      </c>
      <c r="BO32" s="85" t="str">
        <f t="shared" si="97"/>
        <v>-</v>
      </c>
      <c r="BP32" s="85" t="str">
        <f>'Consumer Hardware Pricing'!AT40</f>
        <v>-</v>
      </c>
      <c r="BQ32" s="85" t="str">
        <f t="shared" si="23"/>
        <v>-</v>
      </c>
      <c r="BR32" s="85" t="str">
        <f>'Consumer Hardware Pricing'!AU40</f>
        <v>-</v>
      </c>
      <c r="BS32" s="85" t="str">
        <f t="shared" si="98"/>
        <v>-</v>
      </c>
      <c r="BT32" s="85" t="str">
        <f t="shared" si="99"/>
        <v>-</v>
      </c>
      <c r="BU32" s="85" t="str">
        <f t="shared" si="100"/>
        <v>-</v>
      </c>
    </row>
    <row r="33" spans="1:73" ht="30.15" customHeight="1" x14ac:dyDescent="0.25">
      <c r="A33" s="86" t="s">
        <v>35</v>
      </c>
      <c r="B33" s="88" t="s">
        <v>950</v>
      </c>
      <c r="C33" s="88" t="s">
        <v>947</v>
      </c>
      <c r="D33" s="85">
        <f>'Consumer Hardware Pricing'!L41</f>
        <v>497</v>
      </c>
      <c r="E33" s="85">
        <f>'Consumer Hardware Pricing'!M41</f>
        <v>497</v>
      </c>
      <c r="F33" s="85" t="str">
        <f>'Consumer Hardware Pricing'!N41</f>
        <v>-</v>
      </c>
      <c r="G33" s="85" t="str">
        <f t="shared" si="0"/>
        <v>-</v>
      </c>
      <c r="H33" s="85" t="str">
        <f>'Consumer Hardware Pricing'!O41</f>
        <v>-</v>
      </c>
      <c r="I33" s="85" t="str">
        <f t="shared" si="76"/>
        <v>-</v>
      </c>
      <c r="J33" s="85" t="str">
        <f t="shared" si="77"/>
        <v>-</v>
      </c>
      <c r="K33" s="85" t="str">
        <f t="shared" si="78"/>
        <v>-</v>
      </c>
      <c r="L33" s="85" t="str">
        <f>'Consumer Hardware Pricing'!Q41</f>
        <v>-</v>
      </c>
      <c r="M33" s="85" t="str">
        <f t="shared" si="2"/>
        <v>-</v>
      </c>
      <c r="N33" s="85" t="str">
        <f t="shared" si="79"/>
        <v>-</v>
      </c>
      <c r="O33" s="85" t="str">
        <f t="shared" si="80"/>
        <v>-</v>
      </c>
      <c r="P33" s="85" t="str">
        <f t="shared" si="81"/>
        <v>-</v>
      </c>
      <c r="Q33" s="85" t="str">
        <f>'Consumer Hardware Pricing'!S41</f>
        <v>-</v>
      </c>
      <c r="R33" s="85" t="str">
        <f t="shared" si="82"/>
        <v>-</v>
      </c>
      <c r="S33" s="85" t="str">
        <f>'Consumer Hardware Pricing'!T41</f>
        <v>-</v>
      </c>
      <c r="T33" s="129" t="str">
        <f t="shared" si="83"/>
        <v>-</v>
      </c>
      <c r="U33" s="129" t="str">
        <f t="shared" si="84"/>
        <v>-</v>
      </c>
      <c r="V33" s="85" t="str">
        <f t="shared" si="85"/>
        <v>-</v>
      </c>
      <c r="W33" s="129" t="str">
        <f>'Consumer Hardware Pricing'!V41</f>
        <v>-</v>
      </c>
      <c r="X33" s="129" t="str">
        <f t="shared" si="6"/>
        <v>-</v>
      </c>
      <c r="Y33" s="129" t="str">
        <f t="shared" si="86"/>
        <v>-</v>
      </c>
      <c r="Z33" s="129" t="str">
        <f t="shared" si="87"/>
        <v>-</v>
      </c>
      <c r="AA33" s="85" t="str">
        <f t="shared" si="88"/>
        <v>-</v>
      </c>
      <c r="AB33" s="85" t="str">
        <f>'Consumer Hardware Pricing'!X41</f>
        <v>-</v>
      </c>
      <c r="AC33" s="85" t="str">
        <f t="shared" si="7"/>
        <v>-</v>
      </c>
      <c r="AD33" s="85" t="str">
        <f>'Consumer Hardware Pricing'!Y41</f>
        <v>-</v>
      </c>
      <c r="AE33" s="85" t="str">
        <f t="shared" si="35"/>
        <v>-</v>
      </c>
      <c r="AF33" s="85" t="str">
        <f t="shared" si="36"/>
        <v>-</v>
      </c>
      <c r="AG33" s="85" t="str">
        <f t="shared" si="37"/>
        <v>-</v>
      </c>
      <c r="AH33" s="85" t="str">
        <f>'Consumer Hardware Pricing'!AA41</f>
        <v>-</v>
      </c>
      <c r="AI33" s="85" t="str">
        <f t="shared" si="9"/>
        <v>-</v>
      </c>
      <c r="AJ33" s="85" t="str">
        <f t="shared" si="38"/>
        <v>-</v>
      </c>
      <c r="AK33" s="85" t="str">
        <f t="shared" si="39"/>
        <v>-</v>
      </c>
      <c r="AL33" s="85" t="str">
        <f t="shared" si="40"/>
        <v>-</v>
      </c>
      <c r="AM33" s="85" t="str">
        <f>'Consumer Hardware Pricing'!AC41</f>
        <v>-</v>
      </c>
      <c r="AN33" s="85" t="str">
        <f t="shared" si="12"/>
        <v>-</v>
      </c>
      <c r="AO33" s="85" t="str">
        <f>'Consumer Hardware Pricing'!AD41</f>
        <v>-</v>
      </c>
      <c r="AP33" s="85" t="str">
        <f t="shared" si="41"/>
        <v>-</v>
      </c>
      <c r="AQ33" s="85" t="str">
        <f t="shared" si="42"/>
        <v>-</v>
      </c>
      <c r="AR33" s="85" t="str">
        <f t="shared" si="43"/>
        <v>-</v>
      </c>
      <c r="AS33" s="85" t="str">
        <f>'Consumer Hardware Pricing'!AF41</f>
        <v>-</v>
      </c>
      <c r="AT33" s="85" t="str">
        <f t="shared" si="13"/>
        <v>-</v>
      </c>
      <c r="AU33" s="85" t="str">
        <f t="shared" si="44"/>
        <v>-</v>
      </c>
      <c r="AV33" s="85" t="str">
        <f t="shared" si="45"/>
        <v>-</v>
      </c>
      <c r="AW33" s="85" t="str">
        <f t="shared" si="46"/>
        <v>-</v>
      </c>
      <c r="AX33" s="85" t="str">
        <f>'Consumer Hardware Pricing'!AH41</f>
        <v>-</v>
      </c>
      <c r="AY33" s="85" t="str">
        <f t="shared" si="14"/>
        <v>-</v>
      </c>
      <c r="AZ33" s="85" t="str">
        <f>'Consumer Hardware Pricing'!AI41</f>
        <v>-</v>
      </c>
      <c r="BA33" s="85" t="str">
        <f t="shared" si="89"/>
        <v>-</v>
      </c>
      <c r="BB33" s="85" t="str">
        <f t="shared" si="90"/>
        <v>-</v>
      </c>
      <c r="BC33" s="85" t="str">
        <f t="shared" si="91"/>
        <v>-</v>
      </c>
      <c r="BD33" s="85">
        <f>'Consumer Hardware Pricing'!AL41</f>
        <v>0</v>
      </c>
      <c r="BE33" s="85">
        <f t="shared" si="17"/>
        <v>20.71</v>
      </c>
      <c r="BF33" s="85" t="str">
        <f>'Consumer Hardware Pricing'!AM41</f>
        <v>-</v>
      </c>
      <c r="BG33" s="85">
        <f t="shared" si="92"/>
        <v>20.71</v>
      </c>
      <c r="BH33" s="85" t="str">
        <f t="shared" si="93"/>
        <v>-</v>
      </c>
      <c r="BI33" s="85">
        <f t="shared" si="94"/>
        <v>497.04</v>
      </c>
      <c r="BJ33" s="85" t="str">
        <f>'Consumer Hardware Pricing'!AP41</f>
        <v>-</v>
      </c>
      <c r="BK33" s="85" t="str">
        <f t="shared" si="20"/>
        <v>-</v>
      </c>
      <c r="BL33" s="85" t="str">
        <f>'Consumer Hardware Pricing'!AQ41</f>
        <v>-</v>
      </c>
      <c r="BM33" s="85" t="str">
        <f t="shared" si="95"/>
        <v>-</v>
      </c>
      <c r="BN33" s="85" t="str">
        <f t="shared" si="96"/>
        <v>-</v>
      </c>
      <c r="BO33" s="85" t="str">
        <f t="shared" si="97"/>
        <v>-</v>
      </c>
      <c r="BP33" s="85" t="str">
        <f>'Consumer Hardware Pricing'!AT41</f>
        <v>-</v>
      </c>
      <c r="BQ33" s="85" t="str">
        <f t="shared" si="23"/>
        <v>-</v>
      </c>
      <c r="BR33" s="85" t="str">
        <f>'Consumer Hardware Pricing'!AU41</f>
        <v>-</v>
      </c>
      <c r="BS33" s="85" t="str">
        <f t="shared" si="98"/>
        <v>-</v>
      </c>
      <c r="BT33" s="85" t="str">
        <f t="shared" si="99"/>
        <v>-</v>
      </c>
      <c r="BU33" s="85" t="str">
        <f t="shared" si="100"/>
        <v>-</v>
      </c>
    </row>
    <row r="34" spans="1:73" ht="30.15" customHeight="1" x14ac:dyDescent="0.25">
      <c r="A34" s="86" t="s">
        <v>35</v>
      </c>
      <c r="B34" s="88" t="s">
        <v>951</v>
      </c>
      <c r="C34" s="88" t="s">
        <v>947</v>
      </c>
      <c r="D34" s="85">
        <f>'Consumer Hardware Pricing'!L42</f>
        <v>497</v>
      </c>
      <c r="E34" s="85">
        <f>'Consumer Hardware Pricing'!M42</f>
        <v>497</v>
      </c>
      <c r="F34" s="85" t="str">
        <f>'Consumer Hardware Pricing'!N42</f>
        <v>-</v>
      </c>
      <c r="G34" s="85" t="str">
        <f t="shared" si="0"/>
        <v>-</v>
      </c>
      <c r="H34" s="85" t="str">
        <f>'Consumer Hardware Pricing'!O42</f>
        <v>-</v>
      </c>
      <c r="I34" s="85" t="str">
        <f t="shared" si="76"/>
        <v>-</v>
      </c>
      <c r="J34" s="85" t="str">
        <f t="shared" si="77"/>
        <v>-</v>
      </c>
      <c r="K34" s="85" t="str">
        <f t="shared" si="78"/>
        <v>-</v>
      </c>
      <c r="L34" s="85" t="str">
        <f>'Consumer Hardware Pricing'!Q42</f>
        <v>-</v>
      </c>
      <c r="M34" s="85" t="str">
        <f t="shared" si="2"/>
        <v>-</v>
      </c>
      <c r="N34" s="85" t="str">
        <f t="shared" si="79"/>
        <v>-</v>
      </c>
      <c r="O34" s="85" t="str">
        <f t="shared" si="80"/>
        <v>-</v>
      </c>
      <c r="P34" s="85" t="str">
        <f t="shared" si="81"/>
        <v>-</v>
      </c>
      <c r="Q34" s="85" t="str">
        <f>'Consumer Hardware Pricing'!S42</f>
        <v>-</v>
      </c>
      <c r="R34" s="85" t="str">
        <f t="shared" si="82"/>
        <v>-</v>
      </c>
      <c r="S34" s="85" t="str">
        <f>'Consumer Hardware Pricing'!T42</f>
        <v>-</v>
      </c>
      <c r="T34" s="129" t="str">
        <f t="shared" si="83"/>
        <v>-</v>
      </c>
      <c r="U34" s="129" t="str">
        <f t="shared" si="84"/>
        <v>-</v>
      </c>
      <c r="V34" s="85" t="str">
        <f t="shared" si="85"/>
        <v>-</v>
      </c>
      <c r="W34" s="129" t="str">
        <f>'Consumer Hardware Pricing'!V42</f>
        <v>-</v>
      </c>
      <c r="X34" s="129" t="str">
        <f t="shared" si="6"/>
        <v>-</v>
      </c>
      <c r="Y34" s="129" t="str">
        <f t="shared" si="86"/>
        <v>-</v>
      </c>
      <c r="Z34" s="129" t="str">
        <f t="shared" si="87"/>
        <v>-</v>
      </c>
      <c r="AA34" s="85" t="str">
        <f t="shared" si="88"/>
        <v>-</v>
      </c>
      <c r="AB34" s="85" t="str">
        <f>'Consumer Hardware Pricing'!X42</f>
        <v>-</v>
      </c>
      <c r="AC34" s="85" t="str">
        <f t="shared" si="7"/>
        <v>-</v>
      </c>
      <c r="AD34" s="85" t="str">
        <f>'Consumer Hardware Pricing'!Y42</f>
        <v>-</v>
      </c>
      <c r="AE34" s="85" t="str">
        <f t="shared" si="35"/>
        <v>-</v>
      </c>
      <c r="AF34" s="85" t="str">
        <f t="shared" si="36"/>
        <v>-</v>
      </c>
      <c r="AG34" s="85" t="str">
        <f t="shared" si="37"/>
        <v>-</v>
      </c>
      <c r="AH34" s="85" t="str">
        <f>'Consumer Hardware Pricing'!AA42</f>
        <v>-</v>
      </c>
      <c r="AI34" s="85" t="str">
        <f t="shared" si="9"/>
        <v>-</v>
      </c>
      <c r="AJ34" s="85" t="str">
        <f t="shared" si="38"/>
        <v>-</v>
      </c>
      <c r="AK34" s="85" t="str">
        <f t="shared" si="39"/>
        <v>-</v>
      </c>
      <c r="AL34" s="85" t="str">
        <f t="shared" si="40"/>
        <v>-</v>
      </c>
      <c r="AM34" s="85" t="str">
        <f>'Consumer Hardware Pricing'!AC42</f>
        <v>-</v>
      </c>
      <c r="AN34" s="85" t="str">
        <f t="shared" si="12"/>
        <v>-</v>
      </c>
      <c r="AO34" s="85" t="str">
        <f>'Consumer Hardware Pricing'!AD42</f>
        <v>-</v>
      </c>
      <c r="AP34" s="85" t="str">
        <f t="shared" si="41"/>
        <v>-</v>
      </c>
      <c r="AQ34" s="85" t="str">
        <f t="shared" si="42"/>
        <v>-</v>
      </c>
      <c r="AR34" s="85" t="str">
        <f t="shared" si="43"/>
        <v>-</v>
      </c>
      <c r="AS34" s="85" t="str">
        <f>'Consumer Hardware Pricing'!AF42</f>
        <v>-</v>
      </c>
      <c r="AT34" s="85" t="str">
        <f t="shared" si="13"/>
        <v>-</v>
      </c>
      <c r="AU34" s="85" t="str">
        <f t="shared" si="44"/>
        <v>-</v>
      </c>
      <c r="AV34" s="85" t="str">
        <f t="shared" si="45"/>
        <v>-</v>
      </c>
      <c r="AW34" s="85" t="str">
        <f t="shared" si="46"/>
        <v>-</v>
      </c>
      <c r="AX34" s="85" t="str">
        <f>'Consumer Hardware Pricing'!AH42</f>
        <v>-</v>
      </c>
      <c r="AY34" s="85" t="str">
        <f t="shared" si="14"/>
        <v>-</v>
      </c>
      <c r="AZ34" s="85" t="str">
        <f>'Consumer Hardware Pricing'!AI42</f>
        <v>-</v>
      </c>
      <c r="BA34" s="85" t="str">
        <f t="shared" si="89"/>
        <v>-</v>
      </c>
      <c r="BB34" s="85" t="str">
        <f t="shared" si="90"/>
        <v>-</v>
      </c>
      <c r="BC34" s="85" t="str">
        <f t="shared" si="91"/>
        <v>-</v>
      </c>
      <c r="BD34" s="85">
        <f>'Consumer Hardware Pricing'!AL42</f>
        <v>0</v>
      </c>
      <c r="BE34" s="85">
        <f t="shared" si="17"/>
        <v>20.71</v>
      </c>
      <c r="BF34" s="85" t="str">
        <f>'Consumer Hardware Pricing'!AM42</f>
        <v>-</v>
      </c>
      <c r="BG34" s="85">
        <f t="shared" si="92"/>
        <v>20.71</v>
      </c>
      <c r="BH34" s="85" t="str">
        <f t="shared" si="93"/>
        <v>-</v>
      </c>
      <c r="BI34" s="85">
        <f t="shared" si="94"/>
        <v>497.04</v>
      </c>
      <c r="BJ34" s="85" t="str">
        <f>'Consumer Hardware Pricing'!AP42</f>
        <v>-</v>
      </c>
      <c r="BK34" s="85" t="str">
        <f t="shared" si="20"/>
        <v>-</v>
      </c>
      <c r="BL34" s="85" t="str">
        <f>'Consumer Hardware Pricing'!AQ42</f>
        <v>-</v>
      </c>
      <c r="BM34" s="85" t="str">
        <f t="shared" si="95"/>
        <v>-</v>
      </c>
      <c r="BN34" s="85" t="str">
        <f t="shared" si="96"/>
        <v>-</v>
      </c>
      <c r="BO34" s="85" t="str">
        <f t="shared" si="97"/>
        <v>-</v>
      </c>
      <c r="BP34" s="85" t="str">
        <f>'Consumer Hardware Pricing'!AT42</f>
        <v>-</v>
      </c>
      <c r="BQ34" s="85" t="str">
        <f t="shared" si="23"/>
        <v>-</v>
      </c>
      <c r="BR34" s="85" t="str">
        <f>'Consumer Hardware Pricing'!AU42</f>
        <v>-</v>
      </c>
      <c r="BS34" s="85" t="str">
        <f t="shared" si="98"/>
        <v>-</v>
      </c>
      <c r="BT34" s="85" t="str">
        <f t="shared" si="99"/>
        <v>-</v>
      </c>
      <c r="BU34" s="85" t="str">
        <f t="shared" si="100"/>
        <v>-</v>
      </c>
    </row>
    <row r="35" spans="1:73" ht="30.15" customHeight="1" x14ac:dyDescent="0.25">
      <c r="A35" s="86" t="s">
        <v>35</v>
      </c>
      <c r="B35" s="88" t="s">
        <v>953</v>
      </c>
      <c r="C35" s="88" t="s">
        <v>985</v>
      </c>
      <c r="D35" s="85">
        <f>'Consumer Hardware Pricing'!L43</f>
        <v>454</v>
      </c>
      <c r="E35" s="85">
        <f>'Consumer Hardware Pricing'!M43</f>
        <v>454</v>
      </c>
      <c r="F35" s="85" t="str">
        <f>'Consumer Hardware Pricing'!N43</f>
        <v>-</v>
      </c>
      <c r="G35" s="85" t="str">
        <f t="shared" si="0"/>
        <v>-</v>
      </c>
      <c r="H35" s="85" t="str">
        <f>'Consumer Hardware Pricing'!O43</f>
        <v>-</v>
      </c>
      <c r="I35" s="85" t="str">
        <f t="shared" ref="I35:I66" si="101">IF(H35="-",G35,G35-H35)</f>
        <v>-</v>
      </c>
      <c r="J35" s="85" t="str">
        <f t="shared" ref="J35:J66" si="102">IF(H35="-",H35,H35*24)</f>
        <v>-</v>
      </c>
      <c r="K35" s="85" t="str">
        <f t="shared" ref="K35:K66" si="103">IF(F35="-",F35,I35*24)</f>
        <v>-</v>
      </c>
      <c r="L35" s="85" t="str">
        <f>'Consumer Hardware Pricing'!Q43</f>
        <v>-</v>
      </c>
      <c r="M35" s="85" t="str">
        <f t="shared" si="2"/>
        <v>-</v>
      </c>
      <c r="N35" s="85" t="str">
        <f t="shared" ref="N35:N66" si="104">IF(L35="-",L35,G35-M35)</f>
        <v>-</v>
      </c>
      <c r="O35" s="85" t="str">
        <f t="shared" ref="O35:O66" si="105">IF(L35="-",L35,M35*24)</f>
        <v>-</v>
      </c>
      <c r="P35" s="85" t="str">
        <f t="shared" ref="P35:P66" si="106">IF(L35="-",L35,N35*24)</f>
        <v>-</v>
      </c>
      <c r="Q35" s="85" t="str">
        <f>'Consumer Hardware Pricing'!S43</f>
        <v>-</v>
      </c>
      <c r="R35" s="85" t="str">
        <f t="shared" ref="R35:R66" si="107">G35</f>
        <v>-</v>
      </c>
      <c r="S35" s="85" t="str">
        <f>'Consumer Hardware Pricing'!T43</f>
        <v>-</v>
      </c>
      <c r="T35" s="129" t="str">
        <f t="shared" ref="T35:T66" si="108">IF(S35="-",R35,R35-S35)</f>
        <v>-</v>
      </c>
      <c r="U35" s="129" t="str">
        <f t="shared" ref="U35:U66" si="109">IF(S35="-",S35,S35*24)</f>
        <v>-</v>
      </c>
      <c r="V35" s="85" t="str">
        <f t="shared" ref="V35:V66" si="110">IF(Q35="-",Q35,T35*24)</f>
        <v>-</v>
      </c>
      <c r="W35" s="129" t="str">
        <f>'Consumer Hardware Pricing'!V43</f>
        <v>-</v>
      </c>
      <c r="X35" s="129" t="str">
        <f t="shared" si="6"/>
        <v>-</v>
      </c>
      <c r="Y35" s="129" t="str">
        <f t="shared" ref="Y35:Y66" si="111">IF(W35="-",W35,R35-X35)</f>
        <v>-</v>
      </c>
      <c r="Z35" s="129" t="str">
        <f t="shared" ref="Z35:Z66" si="112">IF(W35="-",W35,X35*24)</f>
        <v>-</v>
      </c>
      <c r="AA35" s="85" t="str">
        <f t="shared" ref="AA35:AA66" si="113">IF(W35="-",W35,Y35*24)</f>
        <v>-</v>
      </c>
      <c r="AB35" s="85" t="str">
        <f>'Consumer Hardware Pricing'!X43</f>
        <v>-</v>
      </c>
      <c r="AC35" s="85" t="str">
        <f t="shared" si="7"/>
        <v>-</v>
      </c>
      <c r="AD35" s="85" t="str">
        <f>'Consumer Hardware Pricing'!Y43</f>
        <v>-</v>
      </c>
      <c r="AE35" s="85" t="str">
        <f t="shared" si="35"/>
        <v>-</v>
      </c>
      <c r="AF35" s="85" t="str">
        <f t="shared" si="36"/>
        <v>-</v>
      </c>
      <c r="AG35" s="85" t="str">
        <f t="shared" si="37"/>
        <v>-</v>
      </c>
      <c r="AH35" s="85" t="str">
        <f>'Consumer Hardware Pricing'!AA43</f>
        <v>-</v>
      </c>
      <c r="AI35" s="85" t="str">
        <f t="shared" si="9"/>
        <v>-</v>
      </c>
      <c r="AJ35" s="85" t="str">
        <f t="shared" si="38"/>
        <v>-</v>
      </c>
      <c r="AK35" s="85" t="str">
        <f t="shared" si="39"/>
        <v>-</v>
      </c>
      <c r="AL35" s="85" t="str">
        <f t="shared" si="40"/>
        <v>-</v>
      </c>
      <c r="AM35" s="85" t="str">
        <f>'Consumer Hardware Pricing'!AC43</f>
        <v>-</v>
      </c>
      <c r="AN35" s="85" t="str">
        <f t="shared" si="12"/>
        <v>-</v>
      </c>
      <c r="AO35" s="85" t="str">
        <f>'Consumer Hardware Pricing'!AD43</f>
        <v>-</v>
      </c>
      <c r="AP35" s="85" t="str">
        <f t="shared" si="41"/>
        <v>-</v>
      </c>
      <c r="AQ35" s="85" t="str">
        <f t="shared" si="42"/>
        <v>-</v>
      </c>
      <c r="AR35" s="85" t="str">
        <f t="shared" si="43"/>
        <v>-</v>
      </c>
      <c r="AS35" s="85" t="str">
        <f>'Consumer Hardware Pricing'!AF43</f>
        <v>-</v>
      </c>
      <c r="AT35" s="85" t="str">
        <f t="shared" si="13"/>
        <v>-</v>
      </c>
      <c r="AU35" s="85" t="str">
        <f t="shared" si="44"/>
        <v>-</v>
      </c>
      <c r="AV35" s="85" t="str">
        <f t="shared" si="45"/>
        <v>-</v>
      </c>
      <c r="AW35" s="85" t="str">
        <f t="shared" si="46"/>
        <v>-</v>
      </c>
      <c r="AX35" s="85" t="str">
        <f>'Consumer Hardware Pricing'!AH43</f>
        <v>-</v>
      </c>
      <c r="AY35" s="85" t="str">
        <f t="shared" si="14"/>
        <v>-</v>
      </c>
      <c r="AZ35" s="85" t="str">
        <f>'Consumer Hardware Pricing'!AI43</f>
        <v>-</v>
      </c>
      <c r="BA35" s="85" t="str">
        <f t="shared" ref="BA35:BA66" si="114">IF(AZ35="-",AY35,AY35-AZ35)</f>
        <v>-</v>
      </c>
      <c r="BB35" s="85" t="str">
        <f t="shared" ref="BB35:BB66" si="115">IF(AZ35="-",AZ35,AZ35*24)</f>
        <v>-</v>
      </c>
      <c r="BC35" s="85" t="str">
        <f t="shared" ref="BC35:BC66" si="116">IF(AX35="-",AX35,AX35+(BA35*24))</f>
        <v>-</v>
      </c>
      <c r="BD35" s="85">
        <f>'Consumer Hardware Pricing'!AL43</f>
        <v>0</v>
      </c>
      <c r="BE35" s="85">
        <f t="shared" si="17"/>
        <v>18.920000000000002</v>
      </c>
      <c r="BF35" s="85" t="str">
        <f>'Consumer Hardware Pricing'!AM43</f>
        <v>-</v>
      </c>
      <c r="BG35" s="85">
        <f t="shared" ref="BG35:BG66" si="117">IF(BF35="-",BE35,BE35-BF35)</f>
        <v>18.920000000000002</v>
      </c>
      <c r="BH35" s="85" t="str">
        <f t="shared" ref="BH35:BH66" si="118">IF(BF35="-",BF35,BF35*24)</f>
        <v>-</v>
      </c>
      <c r="BI35" s="85">
        <f t="shared" ref="BI35:BI66" si="119">IF(BD35="-",BD35,BD35+(BG35*24))</f>
        <v>454.08000000000004</v>
      </c>
      <c r="BJ35" s="85" t="str">
        <f>'Consumer Hardware Pricing'!AP43</f>
        <v>-</v>
      </c>
      <c r="BK35" s="85" t="str">
        <f t="shared" si="20"/>
        <v>-</v>
      </c>
      <c r="BL35" s="85" t="str">
        <f>'Consumer Hardware Pricing'!AQ43</f>
        <v>-</v>
      </c>
      <c r="BM35" s="85" t="str">
        <f t="shared" ref="BM35:BM66" si="120">IF(BL35="-",BK35,BK35-BL35)</f>
        <v>-</v>
      </c>
      <c r="BN35" s="85" t="str">
        <f t="shared" ref="BN35:BN66" si="121">IF(BL35="-",BL35,BL35*24)</f>
        <v>-</v>
      </c>
      <c r="BO35" s="85" t="str">
        <f t="shared" ref="BO35:BO66" si="122">IF(BJ35="-",BJ35,BJ35+(BM35*24))</f>
        <v>-</v>
      </c>
      <c r="BP35" s="85" t="str">
        <f>'Consumer Hardware Pricing'!AT43</f>
        <v>-</v>
      </c>
      <c r="BQ35" s="85" t="str">
        <f t="shared" si="23"/>
        <v>-</v>
      </c>
      <c r="BR35" s="85" t="str">
        <f>'Consumer Hardware Pricing'!AU43</f>
        <v>-</v>
      </c>
      <c r="BS35" s="85" t="str">
        <f t="shared" ref="BS35:BS66" si="123">IF(BR35="-",BQ35,BQ35-BR35)</f>
        <v>-</v>
      </c>
      <c r="BT35" s="85" t="str">
        <f t="shared" ref="BT35:BT66" si="124">IF(BR35="-",BR35,BR35*24)</f>
        <v>-</v>
      </c>
      <c r="BU35" s="85" t="str">
        <f t="shared" ref="BU35:BU66" si="125">IF(BP35="-",BP35,BP35+(BS35*24))</f>
        <v>-</v>
      </c>
    </row>
    <row r="36" spans="1:73" ht="30.15" customHeight="1" x14ac:dyDescent="0.25">
      <c r="A36" s="86" t="s">
        <v>35</v>
      </c>
      <c r="B36" s="88" t="s">
        <v>955</v>
      </c>
      <c r="C36" s="88" t="s">
        <v>986</v>
      </c>
      <c r="D36" s="85">
        <f>'Consumer Hardware Pricing'!L44</f>
        <v>454</v>
      </c>
      <c r="E36" s="85">
        <f>'Consumer Hardware Pricing'!M44</f>
        <v>454</v>
      </c>
      <c r="F36" s="85" t="str">
        <f>'Consumer Hardware Pricing'!N44</f>
        <v>-</v>
      </c>
      <c r="G36" s="85" t="str">
        <f t="shared" si="0"/>
        <v>-</v>
      </c>
      <c r="H36" s="85" t="str">
        <f>'Consumer Hardware Pricing'!O44</f>
        <v>-</v>
      </c>
      <c r="I36" s="85" t="str">
        <f t="shared" si="101"/>
        <v>-</v>
      </c>
      <c r="J36" s="85" t="str">
        <f t="shared" si="102"/>
        <v>-</v>
      </c>
      <c r="K36" s="85" t="str">
        <f t="shared" si="103"/>
        <v>-</v>
      </c>
      <c r="L36" s="85" t="str">
        <f>'Consumer Hardware Pricing'!Q44</f>
        <v>-</v>
      </c>
      <c r="M36" s="85" t="str">
        <f t="shared" si="2"/>
        <v>-</v>
      </c>
      <c r="N36" s="85" t="str">
        <f t="shared" si="104"/>
        <v>-</v>
      </c>
      <c r="O36" s="85" t="str">
        <f t="shared" si="105"/>
        <v>-</v>
      </c>
      <c r="P36" s="85" t="str">
        <f t="shared" si="106"/>
        <v>-</v>
      </c>
      <c r="Q36" s="85" t="str">
        <f>'Consumer Hardware Pricing'!S44</f>
        <v>-</v>
      </c>
      <c r="R36" s="85" t="str">
        <f t="shared" si="107"/>
        <v>-</v>
      </c>
      <c r="S36" s="85" t="str">
        <f>'Consumer Hardware Pricing'!T44</f>
        <v>-</v>
      </c>
      <c r="T36" s="129" t="str">
        <f t="shared" si="108"/>
        <v>-</v>
      </c>
      <c r="U36" s="129" t="str">
        <f t="shared" si="109"/>
        <v>-</v>
      </c>
      <c r="V36" s="85" t="str">
        <f t="shared" si="110"/>
        <v>-</v>
      </c>
      <c r="W36" s="129" t="str">
        <f>'Consumer Hardware Pricing'!V44</f>
        <v>-</v>
      </c>
      <c r="X36" s="129" t="str">
        <f t="shared" si="6"/>
        <v>-</v>
      </c>
      <c r="Y36" s="129" t="str">
        <f t="shared" si="111"/>
        <v>-</v>
      </c>
      <c r="Z36" s="129" t="str">
        <f t="shared" si="112"/>
        <v>-</v>
      </c>
      <c r="AA36" s="85" t="str">
        <f t="shared" si="113"/>
        <v>-</v>
      </c>
      <c r="AB36" s="85" t="str">
        <f>'Consumer Hardware Pricing'!X44</f>
        <v>-</v>
      </c>
      <c r="AC36" s="85" t="str">
        <f t="shared" si="7"/>
        <v>-</v>
      </c>
      <c r="AD36" s="85" t="str">
        <f>'Consumer Hardware Pricing'!Y44</f>
        <v>-</v>
      </c>
      <c r="AE36" s="85" t="str">
        <f t="shared" si="35"/>
        <v>-</v>
      </c>
      <c r="AF36" s="85" t="str">
        <f t="shared" si="36"/>
        <v>-</v>
      </c>
      <c r="AG36" s="85" t="str">
        <f t="shared" si="37"/>
        <v>-</v>
      </c>
      <c r="AH36" s="85" t="str">
        <f>'Consumer Hardware Pricing'!AA44</f>
        <v>-</v>
      </c>
      <c r="AI36" s="85" t="str">
        <f t="shared" si="9"/>
        <v>-</v>
      </c>
      <c r="AJ36" s="85" t="str">
        <f t="shared" si="38"/>
        <v>-</v>
      </c>
      <c r="AK36" s="85" t="str">
        <f t="shared" si="39"/>
        <v>-</v>
      </c>
      <c r="AL36" s="85" t="str">
        <f t="shared" si="40"/>
        <v>-</v>
      </c>
      <c r="AM36" s="85" t="str">
        <f>'Consumer Hardware Pricing'!AC44</f>
        <v>-</v>
      </c>
      <c r="AN36" s="85" t="str">
        <f t="shared" si="12"/>
        <v>-</v>
      </c>
      <c r="AO36" s="85" t="str">
        <f>'Consumer Hardware Pricing'!AD44</f>
        <v>-</v>
      </c>
      <c r="AP36" s="85" t="str">
        <f t="shared" si="41"/>
        <v>-</v>
      </c>
      <c r="AQ36" s="85" t="str">
        <f t="shared" si="42"/>
        <v>-</v>
      </c>
      <c r="AR36" s="85" t="str">
        <f t="shared" si="43"/>
        <v>-</v>
      </c>
      <c r="AS36" s="85" t="str">
        <f>'Consumer Hardware Pricing'!AF44</f>
        <v>-</v>
      </c>
      <c r="AT36" s="85" t="str">
        <f t="shared" si="13"/>
        <v>-</v>
      </c>
      <c r="AU36" s="85" t="str">
        <f t="shared" si="44"/>
        <v>-</v>
      </c>
      <c r="AV36" s="85" t="str">
        <f t="shared" si="45"/>
        <v>-</v>
      </c>
      <c r="AW36" s="85" t="str">
        <f t="shared" si="46"/>
        <v>-</v>
      </c>
      <c r="AX36" s="85" t="str">
        <f>'Consumer Hardware Pricing'!AH44</f>
        <v>-</v>
      </c>
      <c r="AY36" s="85" t="str">
        <f t="shared" si="14"/>
        <v>-</v>
      </c>
      <c r="AZ36" s="85" t="str">
        <f>'Consumer Hardware Pricing'!AI44</f>
        <v>-</v>
      </c>
      <c r="BA36" s="85" t="str">
        <f t="shared" si="114"/>
        <v>-</v>
      </c>
      <c r="BB36" s="85" t="str">
        <f t="shared" si="115"/>
        <v>-</v>
      </c>
      <c r="BC36" s="85" t="str">
        <f t="shared" si="116"/>
        <v>-</v>
      </c>
      <c r="BD36" s="85">
        <f>'Consumer Hardware Pricing'!AL44</f>
        <v>0</v>
      </c>
      <c r="BE36" s="85">
        <f t="shared" si="17"/>
        <v>18.920000000000002</v>
      </c>
      <c r="BF36" s="85" t="str">
        <f>'Consumer Hardware Pricing'!AM44</f>
        <v>-</v>
      </c>
      <c r="BG36" s="85">
        <f t="shared" si="117"/>
        <v>18.920000000000002</v>
      </c>
      <c r="BH36" s="85" t="str">
        <f t="shared" si="118"/>
        <v>-</v>
      </c>
      <c r="BI36" s="85">
        <f t="shared" si="119"/>
        <v>454.08000000000004</v>
      </c>
      <c r="BJ36" s="85" t="str">
        <f>'Consumer Hardware Pricing'!AP44</f>
        <v>-</v>
      </c>
      <c r="BK36" s="85" t="str">
        <f t="shared" si="20"/>
        <v>-</v>
      </c>
      <c r="BL36" s="85" t="str">
        <f>'Consumer Hardware Pricing'!AQ44</f>
        <v>-</v>
      </c>
      <c r="BM36" s="85" t="str">
        <f t="shared" si="120"/>
        <v>-</v>
      </c>
      <c r="BN36" s="85" t="str">
        <f t="shared" si="121"/>
        <v>-</v>
      </c>
      <c r="BO36" s="85" t="str">
        <f t="shared" si="122"/>
        <v>-</v>
      </c>
      <c r="BP36" s="85" t="str">
        <f>'Consumer Hardware Pricing'!AT44</f>
        <v>-</v>
      </c>
      <c r="BQ36" s="85" t="str">
        <f t="shared" si="23"/>
        <v>-</v>
      </c>
      <c r="BR36" s="85" t="str">
        <f>'Consumer Hardware Pricing'!AU44</f>
        <v>-</v>
      </c>
      <c r="BS36" s="85" t="str">
        <f t="shared" si="123"/>
        <v>-</v>
      </c>
      <c r="BT36" s="85" t="str">
        <f t="shared" si="124"/>
        <v>-</v>
      </c>
      <c r="BU36" s="85" t="str">
        <f t="shared" si="125"/>
        <v>-</v>
      </c>
    </row>
    <row r="37" spans="1:73" ht="30.15" customHeight="1" x14ac:dyDescent="0.25">
      <c r="A37" s="86" t="s">
        <v>35</v>
      </c>
      <c r="B37" s="88" t="s">
        <v>956</v>
      </c>
      <c r="C37" s="88" t="s">
        <v>987</v>
      </c>
      <c r="D37" s="85">
        <f>'Consumer Hardware Pricing'!L45</f>
        <v>454</v>
      </c>
      <c r="E37" s="85">
        <f>'Consumer Hardware Pricing'!M45</f>
        <v>454</v>
      </c>
      <c r="F37" s="85" t="str">
        <f>'Consumer Hardware Pricing'!N45</f>
        <v>-</v>
      </c>
      <c r="G37" s="85" t="str">
        <f t="shared" si="0"/>
        <v>-</v>
      </c>
      <c r="H37" s="85" t="str">
        <f>'Consumer Hardware Pricing'!O45</f>
        <v>-</v>
      </c>
      <c r="I37" s="85" t="str">
        <f t="shared" si="101"/>
        <v>-</v>
      </c>
      <c r="J37" s="85" t="str">
        <f t="shared" si="102"/>
        <v>-</v>
      </c>
      <c r="K37" s="85" t="str">
        <f t="shared" si="103"/>
        <v>-</v>
      </c>
      <c r="L37" s="85" t="str">
        <f>'Consumer Hardware Pricing'!Q45</f>
        <v>-</v>
      </c>
      <c r="M37" s="85" t="str">
        <f t="shared" si="2"/>
        <v>-</v>
      </c>
      <c r="N37" s="85" t="str">
        <f t="shared" si="104"/>
        <v>-</v>
      </c>
      <c r="O37" s="85" t="str">
        <f t="shared" si="105"/>
        <v>-</v>
      </c>
      <c r="P37" s="85" t="str">
        <f t="shared" si="106"/>
        <v>-</v>
      </c>
      <c r="Q37" s="85" t="str">
        <f>'Consumer Hardware Pricing'!S45</f>
        <v>-</v>
      </c>
      <c r="R37" s="85" t="str">
        <f t="shared" si="107"/>
        <v>-</v>
      </c>
      <c r="S37" s="85" t="str">
        <f>'Consumer Hardware Pricing'!T45</f>
        <v>-</v>
      </c>
      <c r="T37" s="129" t="str">
        <f t="shared" si="108"/>
        <v>-</v>
      </c>
      <c r="U37" s="129" t="str">
        <f t="shared" si="109"/>
        <v>-</v>
      </c>
      <c r="V37" s="85" t="str">
        <f t="shared" si="110"/>
        <v>-</v>
      </c>
      <c r="W37" s="129" t="str">
        <f>'Consumer Hardware Pricing'!V45</f>
        <v>-</v>
      </c>
      <c r="X37" s="129" t="str">
        <f t="shared" si="6"/>
        <v>-</v>
      </c>
      <c r="Y37" s="129" t="str">
        <f t="shared" si="111"/>
        <v>-</v>
      </c>
      <c r="Z37" s="129" t="str">
        <f t="shared" si="112"/>
        <v>-</v>
      </c>
      <c r="AA37" s="85" t="str">
        <f t="shared" si="113"/>
        <v>-</v>
      </c>
      <c r="AB37" s="85" t="str">
        <f>'Consumer Hardware Pricing'!X45</f>
        <v>-</v>
      </c>
      <c r="AC37" s="85" t="str">
        <f t="shared" si="7"/>
        <v>-</v>
      </c>
      <c r="AD37" s="85" t="str">
        <f>'Consumer Hardware Pricing'!Y45</f>
        <v>-</v>
      </c>
      <c r="AE37" s="85" t="str">
        <f t="shared" si="35"/>
        <v>-</v>
      </c>
      <c r="AF37" s="85" t="str">
        <f t="shared" si="36"/>
        <v>-</v>
      </c>
      <c r="AG37" s="85" t="str">
        <f t="shared" si="37"/>
        <v>-</v>
      </c>
      <c r="AH37" s="85" t="str">
        <f>'Consumer Hardware Pricing'!AA45</f>
        <v>-</v>
      </c>
      <c r="AI37" s="85" t="str">
        <f t="shared" si="9"/>
        <v>-</v>
      </c>
      <c r="AJ37" s="85" t="str">
        <f t="shared" si="38"/>
        <v>-</v>
      </c>
      <c r="AK37" s="85" t="str">
        <f t="shared" si="39"/>
        <v>-</v>
      </c>
      <c r="AL37" s="85" t="str">
        <f t="shared" si="40"/>
        <v>-</v>
      </c>
      <c r="AM37" s="85" t="str">
        <f>'Consumer Hardware Pricing'!AC45</f>
        <v>-</v>
      </c>
      <c r="AN37" s="85" t="str">
        <f t="shared" si="12"/>
        <v>-</v>
      </c>
      <c r="AO37" s="85" t="str">
        <f>'Consumer Hardware Pricing'!AD45</f>
        <v>-</v>
      </c>
      <c r="AP37" s="85" t="str">
        <f t="shared" si="41"/>
        <v>-</v>
      </c>
      <c r="AQ37" s="85" t="str">
        <f t="shared" si="42"/>
        <v>-</v>
      </c>
      <c r="AR37" s="85" t="str">
        <f t="shared" si="43"/>
        <v>-</v>
      </c>
      <c r="AS37" s="85" t="str">
        <f>'Consumer Hardware Pricing'!AF45</f>
        <v>-</v>
      </c>
      <c r="AT37" s="85" t="str">
        <f t="shared" si="13"/>
        <v>-</v>
      </c>
      <c r="AU37" s="85" t="str">
        <f t="shared" si="44"/>
        <v>-</v>
      </c>
      <c r="AV37" s="85" t="str">
        <f t="shared" si="45"/>
        <v>-</v>
      </c>
      <c r="AW37" s="85" t="str">
        <f t="shared" si="46"/>
        <v>-</v>
      </c>
      <c r="AX37" s="85" t="str">
        <f>'Consumer Hardware Pricing'!AH45</f>
        <v>-</v>
      </c>
      <c r="AY37" s="85" t="str">
        <f t="shared" si="14"/>
        <v>-</v>
      </c>
      <c r="AZ37" s="85" t="str">
        <f>'Consumer Hardware Pricing'!AI45</f>
        <v>-</v>
      </c>
      <c r="BA37" s="85" t="str">
        <f t="shared" si="114"/>
        <v>-</v>
      </c>
      <c r="BB37" s="85" t="str">
        <f t="shared" si="115"/>
        <v>-</v>
      </c>
      <c r="BC37" s="85" t="str">
        <f t="shared" si="116"/>
        <v>-</v>
      </c>
      <c r="BD37" s="85">
        <f>'Consumer Hardware Pricing'!AL45</f>
        <v>0</v>
      </c>
      <c r="BE37" s="85">
        <f t="shared" si="17"/>
        <v>18.920000000000002</v>
      </c>
      <c r="BF37" s="85" t="str">
        <f>'Consumer Hardware Pricing'!AM45</f>
        <v>-</v>
      </c>
      <c r="BG37" s="85">
        <f t="shared" si="117"/>
        <v>18.920000000000002</v>
      </c>
      <c r="BH37" s="85" t="str">
        <f t="shared" si="118"/>
        <v>-</v>
      </c>
      <c r="BI37" s="85">
        <f t="shared" si="119"/>
        <v>454.08000000000004</v>
      </c>
      <c r="BJ37" s="85" t="str">
        <f>'Consumer Hardware Pricing'!AP45</f>
        <v>-</v>
      </c>
      <c r="BK37" s="85" t="str">
        <f t="shared" si="20"/>
        <v>-</v>
      </c>
      <c r="BL37" s="85" t="str">
        <f>'Consumer Hardware Pricing'!AQ45</f>
        <v>-</v>
      </c>
      <c r="BM37" s="85" t="str">
        <f t="shared" si="120"/>
        <v>-</v>
      </c>
      <c r="BN37" s="85" t="str">
        <f t="shared" si="121"/>
        <v>-</v>
      </c>
      <c r="BO37" s="85" t="str">
        <f t="shared" si="122"/>
        <v>-</v>
      </c>
      <c r="BP37" s="85" t="str">
        <f>'Consumer Hardware Pricing'!AT45</f>
        <v>-</v>
      </c>
      <c r="BQ37" s="85" t="str">
        <f t="shared" si="23"/>
        <v>-</v>
      </c>
      <c r="BR37" s="85" t="str">
        <f>'Consumer Hardware Pricing'!AU45</f>
        <v>-</v>
      </c>
      <c r="BS37" s="85" t="str">
        <f t="shared" si="123"/>
        <v>-</v>
      </c>
      <c r="BT37" s="85" t="str">
        <f t="shared" si="124"/>
        <v>-</v>
      </c>
      <c r="BU37" s="85" t="str">
        <f t="shared" si="125"/>
        <v>-</v>
      </c>
    </row>
    <row r="38" spans="1:73" ht="30.15" customHeight="1" x14ac:dyDescent="0.25">
      <c r="A38" s="86" t="s">
        <v>35</v>
      </c>
      <c r="B38" s="88" t="s">
        <v>957</v>
      </c>
      <c r="C38" s="88" t="s">
        <v>988</v>
      </c>
      <c r="D38" s="85">
        <f>'Consumer Hardware Pricing'!L46</f>
        <v>454</v>
      </c>
      <c r="E38" s="85">
        <f>'Consumer Hardware Pricing'!M46</f>
        <v>454</v>
      </c>
      <c r="F38" s="85" t="str">
        <f>'Consumer Hardware Pricing'!N46</f>
        <v>-</v>
      </c>
      <c r="G38" s="85" t="str">
        <f t="shared" si="0"/>
        <v>-</v>
      </c>
      <c r="H38" s="85" t="str">
        <f>'Consumer Hardware Pricing'!O46</f>
        <v>-</v>
      </c>
      <c r="I38" s="85" t="str">
        <f t="shared" si="101"/>
        <v>-</v>
      </c>
      <c r="J38" s="85" t="str">
        <f t="shared" si="102"/>
        <v>-</v>
      </c>
      <c r="K38" s="85" t="str">
        <f t="shared" si="103"/>
        <v>-</v>
      </c>
      <c r="L38" s="85" t="str">
        <f>'Consumer Hardware Pricing'!Q46</f>
        <v>-</v>
      </c>
      <c r="M38" s="85" t="str">
        <f t="shared" si="2"/>
        <v>-</v>
      </c>
      <c r="N38" s="85" t="str">
        <f t="shared" si="104"/>
        <v>-</v>
      </c>
      <c r="O38" s="85" t="str">
        <f t="shared" si="105"/>
        <v>-</v>
      </c>
      <c r="P38" s="85" t="str">
        <f t="shared" si="106"/>
        <v>-</v>
      </c>
      <c r="Q38" s="85" t="str">
        <f>'Consumer Hardware Pricing'!S46</f>
        <v>-</v>
      </c>
      <c r="R38" s="85" t="str">
        <f t="shared" si="107"/>
        <v>-</v>
      </c>
      <c r="S38" s="85" t="str">
        <f>'Consumer Hardware Pricing'!T46</f>
        <v>-</v>
      </c>
      <c r="T38" s="129" t="str">
        <f t="shared" si="108"/>
        <v>-</v>
      </c>
      <c r="U38" s="129" t="str">
        <f t="shared" si="109"/>
        <v>-</v>
      </c>
      <c r="V38" s="85" t="str">
        <f t="shared" si="110"/>
        <v>-</v>
      </c>
      <c r="W38" s="129" t="str">
        <f>'Consumer Hardware Pricing'!V46</f>
        <v>-</v>
      </c>
      <c r="X38" s="129" t="str">
        <f t="shared" si="6"/>
        <v>-</v>
      </c>
      <c r="Y38" s="129" t="str">
        <f t="shared" si="111"/>
        <v>-</v>
      </c>
      <c r="Z38" s="129" t="str">
        <f t="shared" si="112"/>
        <v>-</v>
      </c>
      <c r="AA38" s="85" t="str">
        <f t="shared" si="113"/>
        <v>-</v>
      </c>
      <c r="AB38" s="85" t="str">
        <f>'Consumer Hardware Pricing'!X46</f>
        <v>-</v>
      </c>
      <c r="AC38" s="85" t="str">
        <f t="shared" si="7"/>
        <v>-</v>
      </c>
      <c r="AD38" s="85" t="str">
        <f>'Consumer Hardware Pricing'!Y46</f>
        <v>-</v>
      </c>
      <c r="AE38" s="85" t="str">
        <f t="shared" si="35"/>
        <v>-</v>
      </c>
      <c r="AF38" s="85" t="str">
        <f t="shared" si="36"/>
        <v>-</v>
      </c>
      <c r="AG38" s="85" t="str">
        <f t="shared" si="37"/>
        <v>-</v>
      </c>
      <c r="AH38" s="85" t="str">
        <f>'Consumer Hardware Pricing'!AA46</f>
        <v>-</v>
      </c>
      <c r="AI38" s="85" t="str">
        <f t="shared" si="9"/>
        <v>-</v>
      </c>
      <c r="AJ38" s="85" t="str">
        <f t="shared" si="38"/>
        <v>-</v>
      </c>
      <c r="AK38" s="85" t="str">
        <f t="shared" si="39"/>
        <v>-</v>
      </c>
      <c r="AL38" s="85" t="str">
        <f t="shared" si="40"/>
        <v>-</v>
      </c>
      <c r="AM38" s="85" t="str">
        <f>'Consumer Hardware Pricing'!AC46</f>
        <v>-</v>
      </c>
      <c r="AN38" s="85" t="str">
        <f t="shared" si="12"/>
        <v>-</v>
      </c>
      <c r="AO38" s="85" t="str">
        <f>'Consumer Hardware Pricing'!AD46</f>
        <v>-</v>
      </c>
      <c r="AP38" s="85" t="str">
        <f t="shared" si="41"/>
        <v>-</v>
      </c>
      <c r="AQ38" s="85" t="str">
        <f t="shared" si="42"/>
        <v>-</v>
      </c>
      <c r="AR38" s="85" t="str">
        <f t="shared" si="43"/>
        <v>-</v>
      </c>
      <c r="AS38" s="85" t="str">
        <f>'Consumer Hardware Pricing'!AF46</f>
        <v>-</v>
      </c>
      <c r="AT38" s="85" t="str">
        <f t="shared" si="13"/>
        <v>-</v>
      </c>
      <c r="AU38" s="85" t="str">
        <f t="shared" si="44"/>
        <v>-</v>
      </c>
      <c r="AV38" s="85" t="str">
        <f t="shared" si="45"/>
        <v>-</v>
      </c>
      <c r="AW38" s="85" t="str">
        <f t="shared" si="46"/>
        <v>-</v>
      </c>
      <c r="AX38" s="85" t="str">
        <f>'Consumer Hardware Pricing'!AH46</f>
        <v>-</v>
      </c>
      <c r="AY38" s="85" t="str">
        <f t="shared" si="14"/>
        <v>-</v>
      </c>
      <c r="AZ38" s="85" t="str">
        <f>'Consumer Hardware Pricing'!AI46</f>
        <v>-</v>
      </c>
      <c r="BA38" s="85" t="str">
        <f t="shared" si="114"/>
        <v>-</v>
      </c>
      <c r="BB38" s="85" t="str">
        <f t="shared" si="115"/>
        <v>-</v>
      </c>
      <c r="BC38" s="85" t="str">
        <f t="shared" si="116"/>
        <v>-</v>
      </c>
      <c r="BD38" s="85">
        <f>'Consumer Hardware Pricing'!AL46</f>
        <v>0</v>
      </c>
      <c r="BE38" s="85">
        <f t="shared" si="17"/>
        <v>18.920000000000002</v>
      </c>
      <c r="BF38" s="85" t="str">
        <f>'Consumer Hardware Pricing'!AM46</f>
        <v>-</v>
      </c>
      <c r="BG38" s="85">
        <f t="shared" si="117"/>
        <v>18.920000000000002</v>
      </c>
      <c r="BH38" s="85" t="str">
        <f t="shared" si="118"/>
        <v>-</v>
      </c>
      <c r="BI38" s="85">
        <f t="shared" si="119"/>
        <v>454.08000000000004</v>
      </c>
      <c r="BJ38" s="85" t="str">
        <f>'Consumer Hardware Pricing'!AP46</f>
        <v>-</v>
      </c>
      <c r="BK38" s="85" t="str">
        <f t="shared" si="20"/>
        <v>-</v>
      </c>
      <c r="BL38" s="85" t="str">
        <f>'Consumer Hardware Pricing'!AQ46</f>
        <v>-</v>
      </c>
      <c r="BM38" s="85" t="str">
        <f t="shared" si="120"/>
        <v>-</v>
      </c>
      <c r="BN38" s="85" t="str">
        <f t="shared" si="121"/>
        <v>-</v>
      </c>
      <c r="BO38" s="85" t="str">
        <f t="shared" si="122"/>
        <v>-</v>
      </c>
      <c r="BP38" s="85" t="str">
        <f>'Consumer Hardware Pricing'!AT46</f>
        <v>-</v>
      </c>
      <c r="BQ38" s="85" t="str">
        <f t="shared" si="23"/>
        <v>-</v>
      </c>
      <c r="BR38" s="85" t="str">
        <f>'Consumer Hardware Pricing'!AU46</f>
        <v>-</v>
      </c>
      <c r="BS38" s="85" t="str">
        <f t="shared" si="123"/>
        <v>-</v>
      </c>
      <c r="BT38" s="85" t="str">
        <f t="shared" si="124"/>
        <v>-</v>
      </c>
      <c r="BU38" s="85" t="str">
        <f t="shared" si="125"/>
        <v>-</v>
      </c>
    </row>
    <row r="39" spans="1:73" ht="30.15" customHeight="1" x14ac:dyDescent="0.25">
      <c r="A39" s="86" t="s">
        <v>35</v>
      </c>
      <c r="B39" s="88" t="s">
        <v>954</v>
      </c>
      <c r="C39" s="88" t="s">
        <v>989</v>
      </c>
      <c r="D39" s="85">
        <f>'Consumer Hardware Pricing'!L47</f>
        <v>497</v>
      </c>
      <c r="E39" s="85">
        <f>'Consumer Hardware Pricing'!M47</f>
        <v>497</v>
      </c>
      <c r="F39" s="85" t="str">
        <f>'Consumer Hardware Pricing'!N47</f>
        <v>-</v>
      </c>
      <c r="G39" s="85" t="str">
        <f t="shared" si="0"/>
        <v>-</v>
      </c>
      <c r="H39" s="85" t="str">
        <f>'Consumer Hardware Pricing'!O47</f>
        <v>-</v>
      </c>
      <c r="I39" s="85" t="str">
        <f t="shared" si="101"/>
        <v>-</v>
      </c>
      <c r="J39" s="85" t="str">
        <f t="shared" si="102"/>
        <v>-</v>
      </c>
      <c r="K39" s="85" t="str">
        <f t="shared" si="103"/>
        <v>-</v>
      </c>
      <c r="L39" s="85" t="str">
        <f>'Consumer Hardware Pricing'!Q47</f>
        <v>-</v>
      </c>
      <c r="M39" s="85" t="str">
        <f t="shared" si="2"/>
        <v>-</v>
      </c>
      <c r="N39" s="85" t="str">
        <f t="shared" si="104"/>
        <v>-</v>
      </c>
      <c r="O39" s="85" t="str">
        <f t="shared" si="105"/>
        <v>-</v>
      </c>
      <c r="P39" s="85" t="str">
        <f t="shared" si="106"/>
        <v>-</v>
      </c>
      <c r="Q39" s="85" t="str">
        <f>'Consumer Hardware Pricing'!S47</f>
        <v>-</v>
      </c>
      <c r="R39" s="85" t="str">
        <f t="shared" si="107"/>
        <v>-</v>
      </c>
      <c r="S39" s="85" t="str">
        <f>'Consumer Hardware Pricing'!T47</f>
        <v>-</v>
      </c>
      <c r="T39" s="129" t="str">
        <f t="shared" si="108"/>
        <v>-</v>
      </c>
      <c r="U39" s="129" t="str">
        <f t="shared" si="109"/>
        <v>-</v>
      </c>
      <c r="V39" s="85" t="str">
        <f t="shared" si="110"/>
        <v>-</v>
      </c>
      <c r="W39" s="129" t="str">
        <f>'Consumer Hardware Pricing'!V47</f>
        <v>-</v>
      </c>
      <c r="X39" s="129" t="str">
        <f t="shared" si="6"/>
        <v>-</v>
      </c>
      <c r="Y39" s="129" t="str">
        <f t="shared" si="111"/>
        <v>-</v>
      </c>
      <c r="Z39" s="129" t="str">
        <f t="shared" si="112"/>
        <v>-</v>
      </c>
      <c r="AA39" s="85" t="str">
        <f t="shared" si="113"/>
        <v>-</v>
      </c>
      <c r="AB39" s="85" t="str">
        <f>'Consumer Hardware Pricing'!X47</f>
        <v>-</v>
      </c>
      <c r="AC39" s="85" t="str">
        <f t="shared" si="7"/>
        <v>-</v>
      </c>
      <c r="AD39" s="85" t="str">
        <f>'Consumer Hardware Pricing'!Y47</f>
        <v>-</v>
      </c>
      <c r="AE39" s="85" t="str">
        <f t="shared" si="35"/>
        <v>-</v>
      </c>
      <c r="AF39" s="85" t="str">
        <f t="shared" si="36"/>
        <v>-</v>
      </c>
      <c r="AG39" s="85" t="str">
        <f t="shared" si="37"/>
        <v>-</v>
      </c>
      <c r="AH39" s="85" t="str">
        <f>'Consumer Hardware Pricing'!AA47</f>
        <v>-</v>
      </c>
      <c r="AI39" s="85" t="str">
        <f t="shared" si="9"/>
        <v>-</v>
      </c>
      <c r="AJ39" s="85" t="str">
        <f t="shared" si="38"/>
        <v>-</v>
      </c>
      <c r="AK39" s="85" t="str">
        <f t="shared" si="39"/>
        <v>-</v>
      </c>
      <c r="AL39" s="85" t="str">
        <f t="shared" si="40"/>
        <v>-</v>
      </c>
      <c r="AM39" s="85" t="str">
        <f>'Consumer Hardware Pricing'!AC47</f>
        <v>-</v>
      </c>
      <c r="AN39" s="85" t="str">
        <f t="shared" si="12"/>
        <v>-</v>
      </c>
      <c r="AO39" s="85" t="str">
        <f>'Consumer Hardware Pricing'!AD47</f>
        <v>-</v>
      </c>
      <c r="AP39" s="85" t="str">
        <f t="shared" si="41"/>
        <v>-</v>
      </c>
      <c r="AQ39" s="85" t="str">
        <f t="shared" si="42"/>
        <v>-</v>
      </c>
      <c r="AR39" s="85" t="str">
        <f t="shared" si="43"/>
        <v>-</v>
      </c>
      <c r="AS39" s="85" t="str">
        <f>'Consumer Hardware Pricing'!AF47</f>
        <v>-</v>
      </c>
      <c r="AT39" s="85" t="str">
        <f t="shared" si="13"/>
        <v>-</v>
      </c>
      <c r="AU39" s="85" t="str">
        <f t="shared" si="44"/>
        <v>-</v>
      </c>
      <c r="AV39" s="85" t="str">
        <f t="shared" si="45"/>
        <v>-</v>
      </c>
      <c r="AW39" s="85" t="str">
        <f t="shared" si="46"/>
        <v>-</v>
      </c>
      <c r="AX39" s="85" t="str">
        <f>'Consumer Hardware Pricing'!AH47</f>
        <v>-</v>
      </c>
      <c r="AY39" s="85" t="str">
        <f t="shared" si="14"/>
        <v>-</v>
      </c>
      <c r="AZ39" s="85" t="str">
        <f>'Consumer Hardware Pricing'!AI47</f>
        <v>-</v>
      </c>
      <c r="BA39" s="85" t="str">
        <f t="shared" si="114"/>
        <v>-</v>
      </c>
      <c r="BB39" s="85" t="str">
        <f t="shared" si="115"/>
        <v>-</v>
      </c>
      <c r="BC39" s="85" t="str">
        <f t="shared" si="116"/>
        <v>-</v>
      </c>
      <c r="BD39" s="85">
        <f>'Consumer Hardware Pricing'!AL47</f>
        <v>0</v>
      </c>
      <c r="BE39" s="85">
        <f t="shared" si="17"/>
        <v>20.71</v>
      </c>
      <c r="BF39" s="85" t="str">
        <f>'Consumer Hardware Pricing'!AM47</f>
        <v>-</v>
      </c>
      <c r="BG39" s="85">
        <f t="shared" si="117"/>
        <v>20.71</v>
      </c>
      <c r="BH39" s="85" t="str">
        <f t="shared" si="118"/>
        <v>-</v>
      </c>
      <c r="BI39" s="85">
        <f t="shared" si="119"/>
        <v>497.04</v>
      </c>
      <c r="BJ39" s="85" t="str">
        <f>'Consumer Hardware Pricing'!AP47</f>
        <v>-</v>
      </c>
      <c r="BK39" s="85" t="str">
        <f t="shared" si="20"/>
        <v>-</v>
      </c>
      <c r="BL39" s="85" t="str">
        <f>'Consumer Hardware Pricing'!AQ47</f>
        <v>-</v>
      </c>
      <c r="BM39" s="85" t="str">
        <f t="shared" si="120"/>
        <v>-</v>
      </c>
      <c r="BN39" s="85" t="str">
        <f t="shared" si="121"/>
        <v>-</v>
      </c>
      <c r="BO39" s="85" t="str">
        <f t="shared" si="122"/>
        <v>-</v>
      </c>
      <c r="BP39" s="85" t="str">
        <f>'Consumer Hardware Pricing'!AT47</f>
        <v>-</v>
      </c>
      <c r="BQ39" s="85" t="str">
        <f t="shared" si="23"/>
        <v>-</v>
      </c>
      <c r="BR39" s="85" t="str">
        <f>'Consumer Hardware Pricing'!AU47</f>
        <v>-</v>
      </c>
      <c r="BS39" s="85" t="str">
        <f t="shared" si="123"/>
        <v>-</v>
      </c>
      <c r="BT39" s="85" t="str">
        <f t="shared" si="124"/>
        <v>-</v>
      </c>
      <c r="BU39" s="85" t="str">
        <f t="shared" si="125"/>
        <v>-</v>
      </c>
    </row>
    <row r="40" spans="1:73" ht="30.15" customHeight="1" x14ac:dyDescent="0.25">
      <c r="A40" s="86" t="s">
        <v>35</v>
      </c>
      <c r="B40" s="88" t="s">
        <v>958</v>
      </c>
      <c r="C40" s="88" t="s">
        <v>990</v>
      </c>
      <c r="D40" s="85">
        <f>'Consumer Hardware Pricing'!L48</f>
        <v>497</v>
      </c>
      <c r="E40" s="85">
        <f>'Consumer Hardware Pricing'!M48</f>
        <v>497</v>
      </c>
      <c r="F40" s="85" t="str">
        <f>'Consumer Hardware Pricing'!N48</f>
        <v>-</v>
      </c>
      <c r="G40" s="85" t="str">
        <f t="shared" si="0"/>
        <v>-</v>
      </c>
      <c r="H40" s="85" t="str">
        <f>'Consumer Hardware Pricing'!O48</f>
        <v>-</v>
      </c>
      <c r="I40" s="85" t="str">
        <f t="shared" si="101"/>
        <v>-</v>
      </c>
      <c r="J40" s="85" t="str">
        <f t="shared" si="102"/>
        <v>-</v>
      </c>
      <c r="K40" s="85" t="str">
        <f t="shared" si="103"/>
        <v>-</v>
      </c>
      <c r="L40" s="85" t="str">
        <f>'Consumer Hardware Pricing'!Q48</f>
        <v>-</v>
      </c>
      <c r="M40" s="85" t="str">
        <f t="shared" si="2"/>
        <v>-</v>
      </c>
      <c r="N40" s="85" t="str">
        <f t="shared" si="104"/>
        <v>-</v>
      </c>
      <c r="O40" s="85" t="str">
        <f t="shared" si="105"/>
        <v>-</v>
      </c>
      <c r="P40" s="85" t="str">
        <f t="shared" si="106"/>
        <v>-</v>
      </c>
      <c r="Q40" s="85" t="str">
        <f>'Consumer Hardware Pricing'!S48</f>
        <v>-</v>
      </c>
      <c r="R40" s="85" t="str">
        <f t="shared" si="107"/>
        <v>-</v>
      </c>
      <c r="S40" s="85" t="str">
        <f>'Consumer Hardware Pricing'!T48</f>
        <v>-</v>
      </c>
      <c r="T40" s="129" t="str">
        <f t="shared" si="108"/>
        <v>-</v>
      </c>
      <c r="U40" s="129" t="str">
        <f t="shared" si="109"/>
        <v>-</v>
      </c>
      <c r="V40" s="85" t="str">
        <f t="shared" si="110"/>
        <v>-</v>
      </c>
      <c r="W40" s="129" t="str">
        <f>'Consumer Hardware Pricing'!V48</f>
        <v>-</v>
      </c>
      <c r="X40" s="129" t="str">
        <f t="shared" si="6"/>
        <v>-</v>
      </c>
      <c r="Y40" s="129" t="str">
        <f t="shared" si="111"/>
        <v>-</v>
      </c>
      <c r="Z40" s="129" t="str">
        <f t="shared" si="112"/>
        <v>-</v>
      </c>
      <c r="AA40" s="85" t="str">
        <f t="shared" si="113"/>
        <v>-</v>
      </c>
      <c r="AB40" s="85" t="str">
        <f>'Consumer Hardware Pricing'!X48</f>
        <v>-</v>
      </c>
      <c r="AC40" s="85" t="str">
        <f t="shared" si="7"/>
        <v>-</v>
      </c>
      <c r="AD40" s="85" t="str">
        <f>'Consumer Hardware Pricing'!Y48</f>
        <v>-</v>
      </c>
      <c r="AE40" s="85" t="str">
        <f t="shared" si="35"/>
        <v>-</v>
      </c>
      <c r="AF40" s="85" t="str">
        <f t="shared" si="36"/>
        <v>-</v>
      </c>
      <c r="AG40" s="85" t="str">
        <f t="shared" si="37"/>
        <v>-</v>
      </c>
      <c r="AH40" s="85" t="str">
        <f>'Consumer Hardware Pricing'!AA48</f>
        <v>-</v>
      </c>
      <c r="AI40" s="85" t="str">
        <f t="shared" si="9"/>
        <v>-</v>
      </c>
      <c r="AJ40" s="85" t="str">
        <f t="shared" si="38"/>
        <v>-</v>
      </c>
      <c r="AK40" s="85" t="str">
        <f t="shared" si="39"/>
        <v>-</v>
      </c>
      <c r="AL40" s="85" t="str">
        <f t="shared" si="40"/>
        <v>-</v>
      </c>
      <c r="AM40" s="85" t="str">
        <f>'Consumer Hardware Pricing'!AC48</f>
        <v>-</v>
      </c>
      <c r="AN40" s="85" t="str">
        <f t="shared" si="12"/>
        <v>-</v>
      </c>
      <c r="AO40" s="85" t="str">
        <f>'Consumer Hardware Pricing'!AD48</f>
        <v>-</v>
      </c>
      <c r="AP40" s="85" t="str">
        <f t="shared" si="41"/>
        <v>-</v>
      </c>
      <c r="AQ40" s="85" t="str">
        <f t="shared" si="42"/>
        <v>-</v>
      </c>
      <c r="AR40" s="85" t="str">
        <f t="shared" si="43"/>
        <v>-</v>
      </c>
      <c r="AS40" s="85" t="str">
        <f>'Consumer Hardware Pricing'!AF48</f>
        <v>-</v>
      </c>
      <c r="AT40" s="85" t="str">
        <f t="shared" si="13"/>
        <v>-</v>
      </c>
      <c r="AU40" s="85" t="str">
        <f t="shared" si="44"/>
        <v>-</v>
      </c>
      <c r="AV40" s="85" t="str">
        <f t="shared" si="45"/>
        <v>-</v>
      </c>
      <c r="AW40" s="85" t="str">
        <f t="shared" si="46"/>
        <v>-</v>
      </c>
      <c r="AX40" s="85" t="str">
        <f>'Consumer Hardware Pricing'!AH48</f>
        <v>-</v>
      </c>
      <c r="AY40" s="85" t="str">
        <f t="shared" si="14"/>
        <v>-</v>
      </c>
      <c r="AZ40" s="85" t="str">
        <f>'Consumer Hardware Pricing'!AI48</f>
        <v>-</v>
      </c>
      <c r="BA40" s="85" t="str">
        <f t="shared" si="114"/>
        <v>-</v>
      </c>
      <c r="BB40" s="85" t="str">
        <f t="shared" si="115"/>
        <v>-</v>
      </c>
      <c r="BC40" s="85" t="str">
        <f t="shared" si="116"/>
        <v>-</v>
      </c>
      <c r="BD40" s="85">
        <f>'Consumer Hardware Pricing'!AL48</f>
        <v>0</v>
      </c>
      <c r="BE40" s="85">
        <f t="shared" si="17"/>
        <v>20.71</v>
      </c>
      <c r="BF40" s="85" t="str">
        <f>'Consumer Hardware Pricing'!AM48</f>
        <v>-</v>
      </c>
      <c r="BG40" s="85">
        <f t="shared" si="117"/>
        <v>20.71</v>
      </c>
      <c r="BH40" s="85" t="str">
        <f t="shared" si="118"/>
        <v>-</v>
      </c>
      <c r="BI40" s="85">
        <f t="shared" si="119"/>
        <v>497.04</v>
      </c>
      <c r="BJ40" s="85" t="str">
        <f>'Consumer Hardware Pricing'!AP48</f>
        <v>-</v>
      </c>
      <c r="BK40" s="85" t="str">
        <f t="shared" si="20"/>
        <v>-</v>
      </c>
      <c r="BL40" s="85" t="str">
        <f>'Consumer Hardware Pricing'!AQ48</f>
        <v>-</v>
      </c>
      <c r="BM40" s="85" t="str">
        <f t="shared" si="120"/>
        <v>-</v>
      </c>
      <c r="BN40" s="85" t="str">
        <f t="shared" si="121"/>
        <v>-</v>
      </c>
      <c r="BO40" s="85" t="str">
        <f t="shared" si="122"/>
        <v>-</v>
      </c>
      <c r="BP40" s="85" t="str">
        <f>'Consumer Hardware Pricing'!AT48</f>
        <v>-</v>
      </c>
      <c r="BQ40" s="85" t="str">
        <f t="shared" si="23"/>
        <v>-</v>
      </c>
      <c r="BR40" s="85" t="str">
        <f>'Consumer Hardware Pricing'!AU48</f>
        <v>-</v>
      </c>
      <c r="BS40" s="85" t="str">
        <f t="shared" si="123"/>
        <v>-</v>
      </c>
      <c r="BT40" s="85" t="str">
        <f t="shared" si="124"/>
        <v>-</v>
      </c>
      <c r="BU40" s="85" t="str">
        <f t="shared" si="125"/>
        <v>-</v>
      </c>
    </row>
    <row r="41" spans="1:73" ht="30.15" customHeight="1" x14ac:dyDescent="0.25">
      <c r="A41" s="86" t="s">
        <v>35</v>
      </c>
      <c r="B41" s="88" t="s">
        <v>959</v>
      </c>
      <c r="C41" s="88" t="s">
        <v>991</v>
      </c>
      <c r="D41" s="85">
        <f>'Consumer Hardware Pricing'!L49</f>
        <v>497</v>
      </c>
      <c r="E41" s="85">
        <f>'Consumer Hardware Pricing'!M49</f>
        <v>497</v>
      </c>
      <c r="F41" s="85" t="str">
        <f>'Consumer Hardware Pricing'!N49</f>
        <v>-</v>
      </c>
      <c r="G41" s="85" t="str">
        <f t="shared" si="0"/>
        <v>-</v>
      </c>
      <c r="H41" s="85" t="str">
        <f>'Consumer Hardware Pricing'!O49</f>
        <v>-</v>
      </c>
      <c r="I41" s="85" t="str">
        <f t="shared" si="101"/>
        <v>-</v>
      </c>
      <c r="J41" s="85" t="str">
        <f t="shared" si="102"/>
        <v>-</v>
      </c>
      <c r="K41" s="85" t="str">
        <f t="shared" si="103"/>
        <v>-</v>
      </c>
      <c r="L41" s="85" t="str">
        <f>'Consumer Hardware Pricing'!Q49</f>
        <v>-</v>
      </c>
      <c r="M41" s="85" t="str">
        <f t="shared" si="2"/>
        <v>-</v>
      </c>
      <c r="N41" s="85" t="str">
        <f t="shared" si="104"/>
        <v>-</v>
      </c>
      <c r="O41" s="85" t="str">
        <f t="shared" si="105"/>
        <v>-</v>
      </c>
      <c r="P41" s="85" t="str">
        <f t="shared" si="106"/>
        <v>-</v>
      </c>
      <c r="Q41" s="85" t="str">
        <f>'Consumer Hardware Pricing'!S49</f>
        <v>-</v>
      </c>
      <c r="R41" s="85" t="str">
        <f t="shared" si="107"/>
        <v>-</v>
      </c>
      <c r="S41" s="85" t="str">
        <f>'Consumer Hardware Pricing'!T49</f>
        <v>-</v>
      </c>
      <c r="T41" s="129" t="str">
        <f t="shared" si="108"/>
        <v>-</v>
      </c>
      <c r="U41" s="129" t="str">
        <f t="shared" si="109"/>
        <v>-</v>
      </c>
      <c r="V41" s="85" t="str">
        <f t="shared" si="110"/>
        <v>-</v>
      </c>
      <c r="W41" s="129" t="str">
        <f>'Consumer Hardware Pricing'!V49</f>
        <v>-</v>
      </c>
      <c r="X41" s="129" t="str">
        <f t="shared" si="6"/>
        <v>-</v>
      </c>
      <c r="Y41" s="129" t="str">
        <f t="shared" si="111"/>
        <v>-</v>
      </c>
      <c r="Z41" s="129" t="str">
        <f t="shared" si="112"/>
        <v>-</v>
      </c>
      <c r="AA41" s="85" t="str">
        <f t="shared" si="113"/>
        <v>-</v>
      </c>
      <c r="AB41" s="85" t="str">
        <f>'Consumer Hardware Pricing'!X49</f>
        <v>-</v>
      </c>
      <c r="AC41" s="85" t="str">
        <f t="shared" si="7"/>
        <v>-</v>
      </c>
      <c r="AD41" s="85" t="str">
        <f>'Consumer Hardware Pricing'!Y49</f>
        <v>-</v>
      </c>
      <c r="AE41" s="85" t="str">
        <f t="shared" si="35"/>
        <v>-</v>
      </c>
      <c r="AF41" s="85" t="str">
        <f t="shared" si="36"/>
        <v>-</v>
      </c>
      <c r="AG41" s="85" t="str">
        <f t="shared" si="37"/>
        <v>-</v>
      </c>
      <c r="AH41" s="85" t="str">
        <f>'Consumer Hardware Pricing'!AA49</f>
        <v>-</v>
      </c>
      <c r="AI41" s="85" t="str">
        <f t="shared" si="9"/>
        <v>-</v>
      </c>
      <c r="AJ41" s="85" t="str">
        <f t="shared" si="38"/>
        <v>-</v>
      </c>
      <c r="AK41" s="85" t="str">
        <f t="shared" si="39"/>
        <v>-</v>
      </c>
      <c r="AL41" s="85" t="str">
        <f t="shared" si="40"/>
        <v>-</v>
      </c>
      <c r="AM41" s="85" t="str">
        <f>'Consumer Hardware Pricing'!AC49</f>
        <v>-</v>
      </c>
      <c r="AN41" s="85" t="str">
        <f t="shared" si="12"/>
        <v>-</v>
      </c>
      <c r="AO41" s="85" t="str">
        <f>'Consumer Hardware Pricing'!AD49</f>
        <v>-</v>
      </c>
      <c r="AP41" s="85" t="str">
        <f t="shared" si="41"/>
        <v>-</v>
      </c>
      <c r="AQ41" s="85" t="str">
        <f t="shared" si="42"/>
        <v>-</v>
      </c>
      <c r="AR41" s="85" t="str">
        <f t="shared" si="43"/>
        <v>-</v>
      </c>
      <c r="AS41" s="85" t="str">
        <f>'Consumer Hardware Pricing'!AF49</f>
        <v>-</v>
      </c>
      <c r="AT41" s="85" t="str">
        <f t="shared" si="13"/>
        <v>-</v>
      </c>
      <c r="AU41" s="85" t="str">
        <f t="shared" si="44"/>
        <v>-</v>
      </c>
      <c r="AV41" s="85" t="str">
        <f t="shared" si="45"/>
        <v>-</v>
      </c>
      <c r="AW41" s="85" t="str">
        <f t="shared" si="46"/>
        <v>-</v>
      </c>
      <c r="AX41" s="85" t="str">
        <f>'Consumer Hardware Pricing'!AH49</f>
        <v>-</v>
      </c>
      <c r="AY41" s="85" t="str">
        <f t="shared" si="14"/>
        <v>-</v>
      </c>
      <c r="AZ41" s="85" t="str">
        <f>'Consumer Hardware Pricing'!AI49</f>
        <v>-</v>
      </c>
      <c r="BA41" s="85" t="str">
        <f t="shared" si="114"/>
        <v>-</v>
      </c>
      <c r="BB41" s="85" t="str">
        <f t="shared" si="115"/>
        <v>-</v>
      </c>
      <c r="BC41" s="85" t="str">
        <f t="shared" si="116"/>
        <v>-</v>
      </c>
      <c r="BD41" s="85">
        <f>'Consumer Hardware Pricing'!AL49</f>
        <v>0</v>
      </c>
      <c r="BE41" s="85">
        <f t="shared" si="17"/>
        <v>20.71</v>
      </c>
      <c r="BF41" s="85" t="str">
        <f>'Consumer Hardware Pricing'!AM49</f>
        <v>-</v>
      </c>
      <c r="BG41" s="85">
        <f t="shared" si="117"/>
        <v>20.71</v>
      </c>
      <c r="BH41" s="85" t="str">
        <f t="shared" si="118"/>
        <v>-</v>
      </c>
      <c r="BI41" s="85">
        <f t="shared" si="119"/>
        <v>497.04</v>
      </c>
      <c r="BJ41" s="85" t="str">
        <f>'Consumer Hardware Pricing'!AP49</f>
        <v>-</v>
      </c>
      <c r="BK41" s="85" t="str">
        <f t="shared" si="20"/>
        <v>-</v>
      </c>
      <c r="BL41" s="85" t="str">
        <f>'Consumer Hardware Pricing'!AQ49</f>
        <v>-</v>
      </c>
      <c r="BM41" s="85" t="str">
        <f t="shared" si="120"/>
        <v>-</v>
      </c>
      <c r="BN41" s="85" t="str">
        <f t="shared" si="121"/>
        <v>-</v>
      </c>
      <c r="BO41" s="85" t="str">
        <f t="shared" si="122"/>
        <v>-</v>
      </c>
      <c r="BP41" s="85" t="str">
        <f>'Consumer Hardware Pricing'!AT49</f>
        <v>-</v>
      </c>
      <c r="BQ41" s="85" t="str">
        <f t="shared" si="23"/>
        <v>-</v>
      </c>
      <c r="BR41" s="85" t="str">
        <f>'Consumer Hardware Pricing'!AU49</f>
        <v>-</v>
      </c>
      <c r="BS41" s="85" t="str">
        <f t="shared" si="123"/>
        <v>-</v>
      </c>
      <c r="BT41" s="85" t="str">
        <f t="shared" si="124"/>
        <v>-</v>
      </c>
      <c r="BU41" s="85" t="str">
        <f t="shared" si="125"/>
        <v>-</v>
      </c>
    </row>
    <row r="42" spans="1:73" ht="30.15" customHeight="1" x14ac:dyDescent="0.25">
      <c r="A42" s="86" t="s">
        <v>35</v>
      </c>
      <c r="B42" s="88" t="s">
        <v>960</v>
      </c>
      <c r="C42" s="88" t="s">
        <v>992</v>
      </c>
      <c r="D42" s="85">
        <f>'Consumer Hardware Pricing'!L50</f>
        <v>497</v>
      </c>
      <c r="E42" s="85">
        <f>'Consumer Hardware Pricing'!M50</f>
        <v>497</v>
      </c>
      <c r="F42" s="85" t="str">
        <f>'Consumer Hardware Pricing'!N50</f>
        <v>-</v>
      </c>
      <c r="G42" s="85" t="str">
        <f t="shared" si="0"/>
        <v>-</v>
      </c>
      <c r="H42" s="85" t="str">
        <f>'Consumer Hardware Pricing'!O50</f>
        <v>-</v>
      </c>
      <c r="I42" s="85" t="str">
        <f t="shared" si="101"/>
        <v>-</v>
      </c>
      <c r="J42" s="85" t="str">
        <f t="shared" si="102"/>
        <v>-</v>
      </c>
      <c r="K42" s="85" t="str">
        <f t="shared" si="103"/>
        <v>-</v>
      </c>
      <c r="L42" s="85" t="str">
        <f>'Consumer Hardware Pricing'!Q50</f>
        <v>-</v>
      </c>
      <c r="M42" s="85" t="str">
        <f t="shared" si="2"/>
        <v>-</v>
      </c>
      <c r="N42" s="85" t="str">
        <f t="shared" si="104"/>
        <v>-</v>
      </c>
      <c r="O42" s="85" t="str">
        <f t="shared" si="105"/>
        <v>-</v>
      </c>
      <c r="P42" s="85" t="str">
        <f t="shared" si="106"/>
        <v>-</v>
      </c>
      <c r="Q42" s="85" t="str">
        <f>'Consumer Hardware Pricing'!S50</f>
        <v>-</v>
      </c>
      <c r="R42" s="85" t="str">
        <f t="shared" si="107"/>
        <v>-</v>
      </c>
      <c r="S42" s="85" t="str">
        <f>'Consumer Hardware Pricing'!T50</f>
        <v>-</v>
      </c>
      <c r="T42" s="129" t="str">
        <f t="shared" si="108"/>
        <v>-</v>
      </c>
      <c r="U42" s="129" t="str">
        <f t="shared" si="109"/>
        <v>-</v>
      </c>
      <c r="V42" s="85" t="str">
        <f t="shared" si="110"/>
        <v>-</v>
      </c>
      <c r="W42" s="129" t="str">
        <f>'Consumer Hardware Pricing'!V50</f>
        <v>-</v>
      </c>
      <c r="X42" s="129" t="str">
        <f t="shared" si="6"/>
        <v>-</v>
      </c>
      <c r="Y42" s="129" t="str">
        <f t="shared" si="111"/>
        <v>-</v>
      </c>
      <c r="Z42" s="129" t="str">
        <f t="shared" si="112"/>
        <v>-</v>
      </c>
      <c r="AA42" s="85" t="str">
        <f t="shared" si="113"/>
        <v>-</v>
      </c>
      <c r="AB42" s="85" t="str">
        <f>'Consumer Hardware Pricing'!X50</f>
        <v>-</v>
      </c>
      <c r="AC42" s="85" t="str">
        <f t="shared" si="7"/>
        <v>-</v>
      </c>
      <c r="AD42" s="85" t="str">
        <f>'Consumer Hardware Pricing'!Y50</f>
        <v>-</v>
      </c>
      <c r="AE42" s="85" t="str">
        <f t="shared" si="35"/>
        <v>-</v>
      </c>
      <c r="AF42" s="85" t="str">
        <f t="shared" si="36"/>
        <v>-</v>
      </c>
      <c r="AG42" s="85" t="str">
        <f t="shared" si="37"/>
        <v>-</v>
      </c>
      <c r="AH42" s="85" t="str">
        <f>'Consumer Hardware Pricing'!AA50</f>
        <v>-</v>
      </c>
      <c r="AI42" s="85" t="str">
        <f t="shared" si="9"/>
        <v>-</v>
      </c>
      <c r="AJ42" s="85" t="str">
        <f t="shared" si="38"/>
        <v>-</v>
      </c>
      <c r="AK42" s="85" t="str">
        <f t="shared" si="39"/>
        <v>-</v>
      </c>
      <c r="AL42" s="85" t="str">
        <f t="shared" si="40"/>
        <v>-</v>
      </c>
      <c r="AM42" s="85" t="str">
        <f>'Consumer Hardware Pricing'!AC50</f>
        <v>-</v>
      </c>
      <c r="AN42" s="85" t="str">
        <f t="shared" si="12"/>
        <v>-</v>
      </c>
      <c r="AO42" s="85" t="str">
        <f>'Consumer Hardware Pricing'!AD50</f>
        <v>-</v>
      </c>
      <c r="AP42" s="85" t="str">
        <f t="shared" si="41"/>
        <v>-</v>
      </c>
      <c r="AQ42" s="85" t="str">
        <f t="shared" si="42"/>
        <v>-</v>
      </c>
      <c r="AR42" s="85" t="str">
        <f t="shared" si="43"/>
        <v>-</v>
      </c>
      <c r="AS42" s="85" t="str">
        <f>'Consumer Hardware Pricing'!AF50</f>
        <v>-</v>
      </c>
      <c r="AT42" s="85" t="str">
        <f t="shared" si="13"/>
        <v>-</v>
      </c>
      <c r="AU42" s="85" t="str">
        <f t="shared" si="44"/>
        <v>-</v>
      </c>
      <c r="AV42" s="85" t="str">
        <f t="shared" si="45"/>
        <v>-</v>
      </c>
      <c r="AW42" s="85" t="str">
        <f t="shared" si="46"/>
        <v>-</v>
      </c>
      <c r="AX42" s="85" t="str">
        <f>'Consumer Hardware Pricing'!AH50</f>
        <v>-</v>
      </c>
      <c r="AY42" s="85" t="str">
        <f t="shared" si="14"/>
        <v>-</v>
      </c>
      <c r="AZ42" s="85" t="str">
        <f>'Consumer Hardware Pricing'!AI50</f>
        <v>-</v>
      </c>
      <c r="BA42" s="85" t="str">
        <f t="shared" si="114"/>
        <v>-</v>
      </c>
      <c r="BB42" s="85" t="str">
        <f t="shared" si="115"/>
        <v>-</v>
      </c>
      <c r="BC42" s="85" t="str">
        <f t="shared" si="116"/>
        <v>-</v>
      </c>
      <c r="BD42" s="85">
        <f>'Consumer Hardware Pricing'!AL50</f>
        <v>0</v>
      </c>
      <c r="BE42" s="85">
        <f t="shared" si="17"/>
        <v>20.71</v>
      </c>
      <c r="BF42" s="85" t="str">
        <f>'Consumer Hardware Pricing'!AM50</f>
        <v>-</v>
      </c>
      <c r="BG42" s="85">
        <f t="shared" si="117"/>
        <v>20.71</v>
      </c>
      <c r="BH42" s="85" t="str">
        <f t="shared" si="118"/>
        <v>-</v>
      </c>
      <c r="BI42" s="85">
        <f t="shared" si="119"/>
        <v>497.04</v>
      </c>
      <c r="BJ42" s="85" t="str">
        <f>'Consumer Hardware Pricing'!AP50</f>
        <v>-</v>
      </c>
      <c r="BK42" s="85" t="str">
        <f t="shared" si="20"/>
        <v>-</v>
      </c>
      <c r="BL42" s="85" t="str">
        <f>'Consumer Hardware Pricing'!AQ50</f>
        <v>-</v>
      </c>
      <c r="BM42" s="85" t="str">
        <f t="shared" si="120"/>
        <v>-</v>
      </c>
      <c r="BN42" s="85" t="str">
        <f t="shared" si="121"/>
        <v>-</v>
      </c>
      <c r="BO42" s="85" t="str">
        <f t="shared" si="122"/>
        <v>-</v>
      </c>
      <c r="BP42" s="85" t="str">
        <f>'Consumer Hardware Pricing'!AT50</f>
        <v>-</v>
      </c>
      <c r="BQ42" s="85" t="str">
        <f t="shared" si="23"/>
        <v>-</v>
      </c>
      <c r="BR42" s="85" t="str">
        <f>'Consumer Hardware Pricing'!AU50</f>
        <v>-</v>
      </c>
      <c r="BS42" s="85" t="str">
        <f t="shared" si="123"/>
        <v>-</v>
      </c>
      <c r="BT42" s="85" t="str">
        <f t="shared" si="124"/>
        <v>-</v>
      </c>
      <c r="BU42" s="85" t="str">
        <f t="shared" si="125"/>
        <v>-</v>
      </c>
    </row>
    <row r="43" spans="1:73" ht="30.15" customHeight="1" x14ac:dyDescent="0.25">
      <c r="A43" s="86" t="s">
        <v>35</v>
      </c>
      <c r="B43" s="88" t="s">
        <v>961</v>
      </c>
      <c r="C43" s="88" t="s">
        <v>993</v>
      </c>
      <c r="D43" s="85">
        <f>'Consumer Hardware Pricing'!L51</f>
        <v>497</v>
      </c>
      <c r="E43" s="85">
        <f>'Consumer Hardware Pricing'!M51</f>
        <v>497</v>
      </c>
      <c r="F43" s="85" t="str">
        <f>'Consumer Hardware Pricing'!N51</f>
        <v>-</v>
      </c>
      <c r="G43" s="85" t="str">
        <f t="shared" si="0"/>
        <v>-</v>
      </c>
      <c r="H43" s="85" t="str">
        <f>'Consumer Hardware Pricing'!O51</f>
        <v>-</v>
      </c>
      <c r="I43" s="85" t="str">
        <f t="shared" si="101"/>
        <v>-</v>
      </c>
      <c r="J43" s="85" t="str">
        <f t="shared" si="102"/>
        <v>-</v>
      </c>
      <c r="K43" s="85" t="str">
        <f t="shared" si="103"/>
        <v>-</v>
      </c>
      <c r="L43" s="85" t="str">
        <f>'Consumer Hardware Pricing'!Q51</f>
        <v>-</v>
      </c>
      <c r="M43" s="85" t="str">
        <f t="shared" si="2"/>
        <v>-</v>
      </c>
      <c r="N43" s="85" t="str">
        <f t="shared" si="104"/>
        <v>-</v>
      </c>
      <c r="O43" s="85" t="str">
        <f t="shared" si="105"/>
        <v>-</v>
      </c>
      <c r="P43" s="85" t="str">
        <f t="shared" si="106"/>
        <v>-</v>
      </c>
      <c r="Q43" s="85" t="str">
        <f>'Consumer Hardware Pricing'!S51</f>
        <v>-</v>
      </c>
      <c r="R43" s="85" t="str">
        <f t="shared" si="107"/>
        <v>-</v>
      </c>
      <c r="S43" s="85" t="str">
        <f>'Consumer Hardware Pricing'!T51</f>
        <v>-</v>
      </c>
      <c r="T43" s="129" t="str">
        <f t="shared" si="108"/>
        <v>-</v>
      </c>
      <c r="U43" s="129" t="str">
        <f t="shared" si="109"/>
        <v>-</v>
      </c>
      <c r="V43" s="85" t="str">
        <f t="shared" si="110"/>
        <v>-</v>
      </c>
      <c r="W43" s="129" t="str">
        <f>'Consumer Hardware Pricing'!V51</f>
        <v>-</v>
      </c>
      <c r="X43" s="129" t="str">
        <f t="shared" si="6"/>
        <v>-</v>
      </c>
      <c r="Y43" s="129" t="str">
        <f t="shared" si="111"/>
        <v>-</v>
      </c>
      <c r="Z43" s="129" t="str">
        <f t="shared" si="112"/>
        <v>-</v>
      </c>
      <c r="AA43" s="85" t="str">
        <f t="shared" si="113"/>
        <v>-</v>
      </c>
      <c r="AB43" s="85" t="str">
        <f>'Consumer Hardware Pricing'!X51</f>
        <v>-</v>
      </c>
      <c r="AC43" s="85" t="str">
        <f t="shared" si="7"/>
        <v>-</v>
      </c>
      <c r="AD43" s="85" t="str">
        <f>'Consumer Hardware Pricing'!Y51</f>
        <v>-</v>
      </c>
      <c r="AE43" s="85" t="str">
        <f t="shared" si="35"/>
        <v>-</v>
      </c>
      <c r="AF43" s="85" t="str">
        <f t="shared" si="36"/>
        <v>-</v>
      </c>
      <c r="AG43" s="85" t="str">
        <f t="shared" si="37"/>
        <v>-</v>
      </c>
      <c r="AH43" s="85" t="str">
        <f>'Consumer Hardware Pricing'!AA51</f>
        <v>-</v>
      </c>
      <c r="AI43" s="85" t="str">
        <f t="shared" si="9"/>
        <v>-</v>
      </c>
      <c r="AJ43" s="85" t="str">
        <f t="shared" si="38"/>
        <v>-</v>
      </c>
      <c r="AK43" s="85" t="str">
        <f t="shared" si="39"/>
        <v>-</v>
      </c>
      <c r="AL43" s="85" t="str">
        <f t="shared" si="40"/>
        <v>-</v>
      </c>
      <c r="AM43" s="85" t="str">
        <f>'Consumer Hardware Pricing'!AC51</f>
        <v>-</v>
      </c>
      <c r="AN43" s="85" t="str">
        <f t="shared" si="12"/>
        <v>-</v>
      </c>
      <c r="AO43" s="85" t="str">
        <f>'Consumer Hardware Pricing'!AD51</f>
        <v>-</v>
      </c>
      <c r="AP43" s="85" t="str">
        <f t="shared" si="41"/>
        <v>-</v>
      </c>
      <c r="AQ43" s="85" t="str">
        <f t="shared" si="42"/>
        <v>-</v>
      </c>
      <c r="AR43" s="85" t="str">
        <f t="shared" si="43"/>
        <v>-</v>
      </c>
      <c r="AS43" s="85" t="str">
        <f>'Consumer Hardware Pricing'!AF51</f>
        <v>-</v>
      </c>
      <c r="AT43" s="85" t="str">
        <f t="shared" si="13"/>
        <v>-</v>
      </c>
      <c r="AU43" s="85" t="str">
        <f t="shared" si="44"/>
        <v>-</v>
      </c>
      <c r="AV43" s="85" t="str">
        <f t="shared" si="45"/>
        <v>-</v>
      </c>
      <c r="AW43" s="85" t="str">
        <f t="shared" si="46"/>
        <v>-</v>
      </c>
      <c r="AX43" s="85" t="str">
        <f>'Consumer Hardware Pricing'!AH51</f>
        <v>-</v>
      </c>
      <c r="AY43" s="85" t="str">
        <f t="shared" si="14"/>
        <v>-</v>
      </c>
      <c r="AZ43" s="85" t="str">
        <f>'Consumer Hardware Pricing'!AI51</f>
        <v>-</v>
      </c>
      <c r="BA43" s="85" t="str">
        <f t="shared" si="114"/>
        <v>-</v>
      </c>
      <c r="BB43" s="85" t="str">
        <f t="shared" si="115"/>
        <v>-</v>
      </c>
      <c r="BC43" s="85" t="str">
        <f t="shared" si="116"/>
        <v>-</v>
      </c>
      <c r="BD43" s="85">
        <f>'Consumer Hardware Pricing'!AL51</f>
        <v>0</v>
      </c>
      <c r="BE43" s="85">
        <f t="shared" si="17"/>
        <v>20.71</v>
      </c>
      <c r="BF43" s="85" t="str">
        <f>'Consumer Hardware Pricing'!AM51</f>
        <v>-</v>
      </c>
      <c r="BG43" s="85">
        <f t="shared" si="117"/>
        <v>20.71</v>
      </c>
      <c r="BH43" s="85" t="str">
        <f t="shared" si="118"/>
        <v>-</v>
      </c>
      <c r="BI43" s="85">
        <f t="shared" si="119"/>
        <v>497.04</v>
      </c>
      <c r="BJ43" s="85" t="str">
        <f>'Consumer Hardware Pricing'!AP51</f>
        <v>-</v>
      </c>
      <c r="BK43" s="85" t="str">
        <f t="shared" si="20"/>
        <v>-</v>
      </c>
      <c r="BL43" s="85" t="str">
        <f>'Consumer Hardware Pricing'!AQ51</f>
        <v>-</v>
      </c>
      <c r="BM43" s="85" t="str">
        <f t="shared" si="120"/>
        <v>-</v>
      </c>
      <c r="BN43" s="85" t="str">
        <f t="shared" si="121"/>
        <v>-</v>
      </c>
      <c r="BO43" s="85" t="str">
        <f t="shared" si="122"/>
        <v>-</v>
      </c>
      <c r="BP43" s="85" t="str">
        <f>'Consumer Hardware Pricing'!AT51</f>
        <v>-</v>
      </c>
      <c r="BQ43" s="85" t="str">
        <f t="shared" si="23"/>
        <v>-</v>
      </c>
      <c r="BR43" s="85" t="str">
        <f>'Consumer Hardware Pricing'!AU51</f>
        <v>-</v>
      </c>
      <c r="BS43" s="85" t="str">
        <f t="shared" si="123"/>
        <v>-</v>
      </c>
      <c r="BT43" s="85" t="str">
        <f t="shared" si="124"/>
        <v>-</v>
      </c>
      <c r="BU43" s="85" t="str">
        <f t="shared" si="125"/>
        <v>-</v>
      </c>
    </row>
    <row r="44" spans="1:73" ht="30.15" customHeight="1" x14ac:dyDescent="0.25">
      <c r="A44" s="86" t="s">
        <v>35</v>
      </c>
      <c r="B44" s="88" t="s">
        <v>962</v>
      </c>
      <c r="C44" s="88" t="s">
        <v>994</v>
      </c>
      <c r="D44" s="85">
        <f>'Consumer Hardware Pricing'!L52</f>
        <v>497</v>
      </c>
      <c r="E44" s="85">
        <f>'Consumer Hardware Pricing'!M52</f>
        <v>497</v>
      </c>
      <c r="F44" s="85" t="str">
        <f>'Consumer Hardware Pricing'!N52</f>
        <v>-</v>
      </c>
      <c r="G44" s="85" t="str">
        <f t="shared" si="0"/>
        <v>-</v>
      </c>
      <c r="H44" s="85" t="str">
        <f>'Consumer Hardware Pricing'!O52</f>
        <v>-</v>
      </c>
      <c r="I44" s="85" t="str">
        <f t="shared" si="101"/>
        <v>-</v>
      </c>
      <c r="J44" s="85" t="str">
        <f t="shared" si="102"/>
        <v>-</v>
      </c>
      <c r="K44" s="85" t="str">
        <f t="shared" si="103"/>
        <v>-</v>
      </c>
      <c r="L44" s="85" t="str">
        <f>'Consumer Hardware Pricing'!Q52</f>
        <v>-</v>
      </c>
      <c r="M44" s="85" t="str">
        <f t="shared" si="2"/>
        <v>-</v>
      </c>
      <c r="N44" s="85" t="str">
        <f t="shared" si="104"/>
        <v>-</v>
      </c>
      <c r="O44" s="85" t="str">
        <f t="shared" si="105"/>
        <v>-</v>
      </c>
      <c r="P44" s="85" t="str">
        <f t="shared" si="106"/>
        <v>-</v>
      </c>
      <c r="Q44" s="85" t="str">
        <f>'Consumer Hardware Pricing'!S52</f>
        <v>-</v>
      </c>
      <c r="R44" s="85" t="str">
        <f t="shared" si="107"/>
        <v>-</v>
      </c>
      <c r="S44" s="85" t="str">
        <f>'Consumer Hardware Pricing'!T52</f>
        <v>-</v>
      </c>
      <c r="T44" s="129" t="str">
        <f t="shared" si="108"/>
        <v>-</v>
      </c>
      <c r="U44" s="129" t="str">
        <f t="shared" si="109"/>
        <v>-</v>
      </c>
      <c r="V44" s="85" t="str">
        <f t="shared" si="110"/>
        <v>-</v>
      </c>
      <c r="W44" s="129" t="str">
        <f>'Consumer Hardware Pricing'!V52</f>
        <v>-</v>
      </c>
      <c r="X44" s="129" t="str">
        <f t="shared" si="6"/>
        <v>-</v>
      </c>
      <c r="Y44" s="129" t="str">
        <f t="shared" si="111"/>
        <v>-</v>
      </c>
      <c r="Z44" s="129" t="str">
        <f t="shared" si="112"/>
        <v>-</v>
      </c>
      <c r="AA44" s="85" t="str">
        <f t="shared" si="113"/>
        <v>-</v>
      </c>
      <c r="AB44" s="85" t="str">
        <f>'Consumer Hardware Pricing'!X52</f>
        <v>-</v>
      </c>
      <c r="AC44" s="85" t="str">
        <f t="shared" si="7"/>
        <v>-</v>
      </c>
      <c r="AD44" s="85" t="str">
        <f>'Consumer Hardware Pricing'!Y52</f>
        <v>-</v>
      </c>
      <c r="AE44" s="85" t="str">
        <f t="shared" si="35"/>
        <v>-</v>
      </c>
      <c r="AF44" s="85" t="str">
        <f t="shared" si="36"/>
        <v>-</v>
      </c>
      <c r="AG44" s="85" t="str">
        <f t="shared" si="37"/>
        <v>-</v>
      </c>
      <c r="AH44" s="85" t="str">
        <f>'Consumer Hardware Pricing'!AA52</f>
        <v>-</v>
      </c>
      <c r="AI44" s="85" t="str">
        <f t="shared" si="9"/>
        <v>-</v>
      </c>
      <c r="AJ44" s="85" t="str">
        <f t="shared" si="38"/>
        <v>-</v>
      </c>
      <c r="AK44" s="85" t="str">
        <f t="shared" si="39"/>
        <v>-</v>
      </c>
      <c r="AL44" s="85" t="str">
        <f t="shared" si="40"/>
        <v>-</v>
      </c>
      <c r="AM44" s="85" t="str">
        <f>'Consumer Hardware Pricing'!AC52</f>
        <v>-</v>
      </c>
      <c r="AN44" s="85" t="str">
        <f t="shared" si="12"/>
        <v>-</v>
      </c>
      <c r="AO44" s="85" t="str">
        <f>'Consumer Hardware Pricing'!AD52</f>
        <v>-</v>
      </c>
      <c r="AP44" s="85" t="str">
        <f t="shared" si="41"/>
        <v>-</v>
      </c>
      <c r="AQ44" s="85" t="str">
        <f t="shared" si="42"/>
        <v>-</v>
      </c>
      <c r="AR44" s="85" t="str">
        <f t="shared" si="43"/>
        <v>-</v>
      </c>
      <c r="AS44" s="85" t="str">
        <f>'Consumer Hardware Pricing'!AF52</f>
        <v>-</v>
      </c>
      <c r="AT44" s="85" t="str">
        <f t="shared" si="13"/>
        <v>-</v>
      </c>
      <c r="AU44" s="85" t="str">
        <f t="shared" si="44"/>
        <v>-</v>
      </c>
      <c r="AV44" s="85" t="str">
        <f t="shared" si="45"/>
        <v>-</v>
      </c>
      <c r="AW44" s="85" t="str">
        <f t="shared" si="46"/>
        <v>-</v>
      </c>
      <c r="AX44" s="85" t="str">
        <f>'Consumer Hardware Pricing'!AH52</f>
        <v>-</v>
      </c>
      <c r="AY44" s="85" t="str">
        <f t="shared" si="14"/>
        <v>-</v>
      </c>
      <c r="AZ44" s="85" t="str">
        <f>'Consumer Hardware Pricing'!AI52</f>
        <v>-</v>
      </c>
      <c r="BA44" s="85" t="str">
        <f t="shared" si="114"/>
        <v>-</v>
      </c>
      <c r="BB44" s="85" t="str">
        <f t="shared" si="115"/>
        <v>-</v>
      </c>
      <c r="BC44" s="85" t="str">
        <f t="shared" si="116"/>
        <v>-</v>
      </c>
      <c r="BD44" s="85">
        <f>'Consumer Hardware Pricing'!AL52</f>
        <v>0</v>
      </c>
      <c r="BE44" s="85">
        <f t="shared" si="17"/>
        <v>20.71</v>
      </c>
      <c r="BF44" s="85" t="str">
        <f>'Consumer Hardware Pricing'!AM52</f>
        <v>-</v>
      </c>
      <c r="BG44" s="85">
        <f t="shared" si="117"/>
        <v>20.71</v>
      </c>
      <c r="BH44" s="85" t="str">
        <f t="shared" si="118"/>
        <v>-</v>
      </c>
      <c r="BI44" s="85">
        <f t="shared" si="119"/>
        <v>497.04</v>
      </c>
      <c r="BJ44" s="85" t="str">
        <f>'Consumer Hardware Pricing'!AP52</f>
        <v>-</v>
      </c>
      <c r="BK44" s="85" t="str">
        <f t="shared" si="20"/>
        <v>-</v>
      </c>
      <c r="BL44" s="85" t="str">
        <f>'Consumer Hardware Pricing'!AQ52</f>
        <v>-</v>
      </c>
      <c r="BM44" s="85" t="str">
        <f t="shared" si="120"/>
        <v>-</v>
      </c>
      <c r="BN44" s="85" t="str">
        <f t="shared" si="121"/>
        <v>-</v>
      </c>
      <c r="BO44" s="85" t="str">
        <f t="shared" si="122"/>
        <v>-</v>
      </c>
      <c r="BP44" s="85" t="str">
        <f>'Consumer Hardware Pricing'!AT52</f>
        <v>-</v>
      </c>
      <c r="BQ44" s="85" t="str">
        <f t="shared" si="23"/>
        <v>-</v>
      </c>
      <c r="BR44" s="85" t="str">
        <f>'Consumer Hardware Pricing'!AU52</f>
        <v>-</v>
      </c>
      <c r="BS44" s="85" t="str">
        <f t="shared" si="123"/>
        <v>-</v>
      </c>
      <c r="BT44" s="85" t="str">
        <f t="shared" si="124"/>
        <v>-</v>
      </c>
      <c r="BU44" s="85" t="str">
        <f t="shared" si="125"/>
        <v>-</v>
      </c>
    </row>
    <row r="45" spans="1:73" ht="30.15" customHeight="1" x14ac:dyDescent="0.25">
      <c r="A45" s="86" t="s">
        <v>35</v>
      </c>
      <c r="B45" s="88" t="s">
        <v>963</v>
      </c>
      <c r="C45" s="88" t="s">
        <v>995</v>
      </c>
      <c r="D45" s="85">
        <f>'Consumer Hardware Pricing'!L53</f>
        <v>454</v>
      </c>
      <c r="E45" s="85">
        <f>'Consumer Hardware Pricing'!M53</f>
        <v>454</v>
      </c>
      <c r="F45" s="85" t="str">
        <f>'Consumer Hardware Pricing'!N53</f>
        <v>-</v>
      </c>
      <c r="G45" s="85" t="str">
        <f t="shared" si="0"/>
        <v>-</v>
      </c>
      <c r="H45" s="85" t="str">
        <f>'Consumer Hardware Pricing'!O53</f>
        <v>-</v>
      </c>
      <c r="I45" s="85" t="str">
        <f t="shared" si="101"/>
        <v>-</v>
      </c>
      <c r="J45" s="85" t="str">
        <f t="shared" si="102"/>
        <v>-</v>
      </c>
      <c r="K45" s="85" t="str">
        <f t="shared" si="103"/>
        <v>-</v>
      </c>
      <c r="L45" s="85" t="str">
        <f>'Consumer Hardware Pricing'!Q53</f>
        <v>-</v>
      </c>
      <c r="M45" s="85" t="str">
        <f t="shared" si="2"/>
        <v>-</v>
      </c>
      <c r="N45" s="85" t="str">
        <f t="shared" si="104"/>
        <v>-</v>
      </c>
      <c r="O45" s="85" t="str">
        <f t="shared" si="105"/>
        <v>-</v>
      </c>
      <c r="P45" s="85" t="str">
        <f t="shared" si="106"/>
        <v>-</v>
      </c>
      <c r="Q45" s="85" t="str">
        <f>'Consumer Hardware Pricing'!S53</f>
        <v>-</v>
      </c>
      <c r="R45" s="85" t="str">
        <f t="shared" si="107"/>
        <v>-</v>
      </c>
      <c r="S45" s="85" t="str">
        <f>'Consumer Hardware Pricing'!T53</f>
        <v>-</v>
      </c>
      <c r="T45" s="129" t="str">
        <f t="shared" si="108"/>
        <v>-</v>
      </c>
      <c r="U45" s="129" t="str">
        <f t="shared" si="109"/>
        <v>-</v>
      </c>
      <c r="V45" s="85" t="str">
        <f t="shared" si="110"/>
        <v>-</v>
      </c>
      <c r="W45" s="129" t="str">
        <f>'Consumer Hardware Pricing'!V53</f>
        <v>-</v>
      </c>
      <c r="X45" s="129" t="str">
        <f t="shared" si="6"/>
        <v>-</v>
      </c>
      <c r="Y45" s="129" t="str">
        <f t="shared" si="111"/>
        <v>-</v>
      </c>
      <c r="Z45" s="129" t="str">
        <f t="shared" si="112"/>
        <v>-</v>
      </c>
      <c r="AA45" s="85" t="str">
        <f t="shared" si="113"/>
        <v>-</v>
      </c>
      <c r="AB45" s="85" t="str">
        <f>'Consumer Hardware Pricing'!X53</f>
        <v>-</v>
      </c>
      <c r="AC45" s="85" t="str">
        <f t="shared" si="7"/>
        <v>-</v>
      </c>
      <c r="AD45" s="85" t="str">
        <f>'Consumer Hardware Pricing'!Y53</f>
        <v>-</v>
      </c>
      <c r="AE45" s="85" t="str">
        <f t="shared" si="35"/>
        <v>-</v>
      </c>
      <c r="AF45" s="85" t="str">
        <f t="shared" si="36"/>
        <v>-</v>
      </c>
      <c r="AG45" s="85" t="str">
        <f t="shared" si="37"/>
        <v>-</v>
      </c>
      <c r="AH45" s="85" t="str">
        <f>'Consumer Hardware Pricing'!AA53</f>
        <v>-</v>
      </c>
      <c r="AI45" s="85" t="str">
        <f t="shared" si="9"/>
        <v>-</v>
      </c>
      <c r="AJ45" s="85" t="str">
        <f t="shared" si="38"/>
        <v>-</v>
      </c>
      <c r="AK45" s="85" t="str">
        <f t="shared" si="39"/>
        <v>-</v>
      </c>
      <c r="AL45" s="85" t="str">
        <f t="shared" si="40"/>
        <v>-</v>
      </c>
      <c r="AM45" s="85" t="str">
        <f>'Consumer Hardware Pricing'!AC53</f>
        <v>-</v>
      </c>
      <c r="AN45" s="85" t="str">
        <f t="shared" si="12"/>
        <v>-</v>
      </c>
      <c r="AO45" s="85" t="str">
        <f>'Consumer Hardware Pricing'!AD53</f>
        <v>-</v>
      </c>
      <c r="AP45" s="85" t="str">
        <f t="shared" si="41"/>
        <v>-</v>
      </c>
      <c r="AQ45" s="85" t="str">
        <f t="shared" si="42"/>
        <v>-</v>
      </c>
      <c r="AR45" s="85" t="str">
        <f t="shared" si="43"/>
        <v>-</v>
      </c>
      <c r="AS45" s="85" t="str">
        <f>'Consumer Hardware Pricing'!AF53</f>
        <v>-</v>
      </c>
      <c r="AT45" s="85" t="str">
        <f t="shared" si="13"/>
        <v>-</v>
      </c>
      <c r="AU45" s="85" t="str">
        <f t="shared" si="44"/>
        <v>-</v>
      </c>
      <c r="AV45" s="85" t="str">
        <f t="shared" si="45"/>
        <v>-</v>
      </c>
      <c r="AW45" s="85" t="str">
        <f t="shared" si="46"/>
        <v>-</v>
      </c>
      <c r="AX45" s="85" t="str">
        <f>'Consumer Hardware Pricing'!AH53</f>
        <v>-</v>
      </c>
      <c r="AY45" s="85" t="str">
        <f t="shared" si="14"/>
        <v>-</v>
      </c>
      <c r="AZ45" s="85" t="str">
        <f>'Consumer Hardware Pricing'!AI53</f>
        <v>-</v>
      </c>
      <c r="BA45" s="85" t="str">
        <f t="shared" si="114"/>
        <v>-</v>
      </c>
      <c r="BB45" s="85" t="str">
        <f t="shared" si="115"/>
        <v>-</v>
      </c>
      <c r="BC45" s="85" t="str">
        <f t="shared" si="116"/>
        <v>-</v>
      </c>
      <c r="BD45" s="85">
        <f>'Consumer Hardware Pricing'!AL53</f>
        <v>0</v>
      </c>
      <c r="BE45" s="85">
        <f t="shared" si="17"/>
        <v>18.920000000000002</v>
      </c>
      <c r="BF45" s="85" t="str">
        <f>'Consumer Hardware Pricing'!AM53</f>
        <v>-</v>
      </c>
      <c r="BG45" s="85">
        <f t="shared" si="117"/>
        <v>18.920000000000002</v>
      </c>
      <c r="BH45" s="85" t="str">
        <f t="shared" si="118"/>
        <v>-</v>
      </c>
      <c r="BI45" s="85">
        <f t="shared" si="119"/>
        <v>454.08000000000004</v>
      </c>
      <c r="BJ45" s="85" t="str">
        <f>'Consumer Hardware Pricing'!AP53</f>
        <v>-</v>
      </c>
      <c r="BK45" s="85" t="str">
        <f t="shared" si="20"/>
        <v>-</v>
      </c>
      <c r="BL45" s="85" t="str">
        <f>'Consumer Hardware Pricing'!AQ53</f>
        <v>-</v>
      </c>
      <c r="BM45" s="85" t="str">
        <f t="shared" si="120"/>
        <v>-</v>
      </c>
      <c r="BN45" s="85" t="str">
        <f t="shared" si="121"/>
        <v>-</v>
      </c>
      <c r="BO45" s="85" t="str">
        <f t="shared" si="122"/>
        <v>-</v>
      </c>
      <c r="BP45" s="85" t="str">
        <f>'Consumer Hardware Pricing'!AT53</f>
        <v>-</v>
      </c>
      <c r="BQ45" s="85" t="str">
        <f t="shared" si="23"/>
        <v>-</v>
      </c>
      <c r="BR45" s="85" t="str">
        <f>'Consumer Hardware Pricing'!AU53</f>
        <v>-</v>
      </c>
      <c r="BS45" s="85" t="str">
        <f t="shared" si="123"/>
        <v>-</v>
      </c>
      <c r="BT45" s="85" t="str">
        <f t="shared" si="124"/>
        <v>-</v>
      </c>
      <c r="BU45" s="85" t="str">
        <f t="shared" si="125"/>
        <v>-</v>
      </c>
    </row>
    <row r="46" spans="1:73" ht="30.15" customHeight="1" x14ac:dyDescent="0.25">
      <c r="A46" s="86" t="s">
        <v>35</v>
      </c>
      <c r="B46" s="88" t="s">
        <v>964</v>
      </c>
      <c r="C46" s="88" t="s">
        <v>996</v>
      </c>
      <c r="D46" s="85">
        <f>'Consumer Hardware Pricing'!L54</f>
        <v>454</v>
      </c>
      <c r="E46" s="85">
        <f>'Consumer Hardware Pricing'!M54</f>
        <v>454</v>
      </c>
      <c r="F46" s="85" t="str">
        <f>'Consumer Hardware Pricing'!N54</f>
        <v>-</v>
      </c>
      <c r="G46" s="85" t="str">
        <f t="shared" si="0"/>
        <v>-</v>
      </c>
      <c r="H46" s="85" t="str">
        <f>'Consumer Hardware Pricing'!O54</f>
        <v>-</v>
      </c>
      <c r="I46" s="85" t="str">
        <f t="shared" si="101"/>
        <v>-</v>
      </c>
      <c r="J46" s="85" t="str">
        <f t="shared" si="102"/>
        <v>-</v>
      </c>
      <c r="K46" s="85" t="str">
        <f t="shared" si="103"/>
        <v>-</v>
      </c>
      <c r="L46" s="85" t="str">
        <f>'Consumer Hardware Pricing'!Q54</f>
        <v>-</v>
      </c>
      <c r="M46" s="85" t="str">
        <f t="shared" si="2"/>
        <v>-</v>
      </c>
      <c r="N46" s="85" t="str">
        <f t="shared" si="104"/>
        <v>-</v>
      </c>
      <c r="O46" s="85" t="str">
        <f t="shared" si="105"/>
        <v>-</v>
      </c>
      <c r="P46" s="85" t="str">
        <f t="shared" si="106"/>
        <v>-</v>
      </c>
      <c r="Q46" s="85" t="str">
        <f>'Consumer Hardware Pricing'!S54</f>
        <v>-</v>
      </c>
      <c r="R46" s="85" t="str">
        <f t="shared" si="107"/>
        <v>-</v>
      </c>
      <c r="S46" s="85" t="str">
        <f>'Consumer Hardware Pricing'!T54</f>
        <v>-</v>
      </c>
      <c r="T46" s="129" t="str">
        <f t="shared" si="108"/>
        <v>-</v>
      </c>
      <c r="U46" s="129" t="str">
        <f t="shared" si="109"/>
        <v>-</v>
      </c>
      <c r="V46" s="85" t="str">
        <f t="shared" si="110"/>
        <v>-</v>
      </c>
      <c r="W46" s="129" t="str">
        <f>'Consumer Hardware Pricing'!V54</f>
        <v>-</v>
      </c>
      <c r="X46" s="129" t="str">
        <f t="shared" si="6"/>
        <v>-</v>
      </c>
      <c r="Y46" s="129" t="str">
        <f t="shared" si="111"/>
        <v>-</v>
      </c>
      <c r="Z46" s="129" t="str">
        <f t="shared" si="112"/>
        <v>-</v>
      </c>
      <c r="AA46" s="85" t="str">
        <f t="shared" si="113"/>
        <v>-</v>
      </c>
      <c r="AB46" s="85" t="str">
        <f>'Consumer Hardware Pricing'!X54</f>
        <v>-</v>
      </c>
      <c r="AC46" s="85" t="str">
        <f t="shared" si="7"/>
        <v>-</v>
      </c>
      <c r="AD46" s="85" t="str">
        <f>'Consumer Hardware Pricing'!Y54</f>
        <v>-</v>
      </c>
      <c r="AE46" s="85" t="str">
        <f t="shared" si="35"/>
        <v>-</v>
      </c>
      <c r="AF46" s="85" t="str">
        <f t="shared" si="36"/>
        <v>-</v>
      </c>
      <c r="AG46" s="85" t="str">
        <f t="shared" si="37"/>
        <v>-</v>
      </c>
      <c r="AH46" s="85" t="str">
        <f>'Consumer Hardware Pricing'!AA54</f>
        <v>-</v>
      </c>
      <c r="AI46" s="85" t="str">
        <f t="shared" si="9"/>
        <v>-</v>
      </c>
      <c r="AJ46" s="85" t="str">
        <f t="shared" si="38"/>
        <v>-</v>
      </c>
      <c r="AK46" s="85" t="str">
        <f t="shared" si="39"/>
        <v>-</v>
      </c>
      <c r="AL46" s="85" t="str">
        <f t="shared" si="40"/>
        <v>-</v>
      </c>
      <c r="AM46" s="85" t="str">
        <f>'Consumer Hardware Pricing'!AC54</f>
        <v>-</v>
      </c>
      <c r="AN46" s="85" t="str">
        <f t="shared" si="12"/>
        <v>-</v>
      </c>
      <c r="AO46" s="85" t="str">
        <f>'Consumer Hardware Pricing'!AD54</f>
        <v>-</v>
      </c>
      <c r="AP46" s="85" t="str">
        <f t="shared" si="41"/>
        <v>-</v>
      </c>
      <c r="AQ46" s="85" t="str">
        <f t="shared" si="42"/>
        <v>-</v>
      </c>
      <c r="AR46" s="85" t="str">
        <f t="shared" si="43"/>
        <v>-</v>
      </c>
      <c r="AS46" s="85" t="str">
        <f>'Consumer Hardware Pricing'!AF54</f>
        <v>-</v>
      </c>
      <c r="AT46" s="85" t="str">
        <f t="shared" si="13"/>
        <v>-</v>
      </c>
      <c r="AU46" s="85" t="str">
        <f t="shared" si="44"/>
        <v>-</v>
      </c>
      <c r="AV46" s="85" t="str">
        <f t="shared" si="45"/>
        <v>-</v>
      </c>
      <c r="AW46" s="85" t="str">
        <f t="shared" si="46"/>
        <v>-</v>
      </c>
      <c r="AX46" s="85" t="str">
        <f>'Consumer Hardware Pricing'!AH54</f>
        <v>-</v>
      </c>
      <c r="AY46" s="85" t="str">
        <f t="shared" si="14"/>
        <v>-</v>
      </c>
      <c r="AZ46" s="85" t="str">
        <f>'Consumer Hardware Pricing'!AI54</f>
        <v>-</v>
      </c>
      <c r="BA46" s="85" t="str">
        <f t="shared" si="114"/>
        <v>-</v>
      </c>
      <c r="BB46" s="85" t="str">
        <f t="shared" si="115"/>
        <v>-</v>
      </c>
      <c r="BC46" s="85" t="str">
        <f t="shared" si="116"/>
        <v>-</v>
      </c>
      <c r="BD46" s="85">
        <f>'Consumer Hardware Pricing'!AL54</f>
        <v>0</v>
      </c>
      <c r="BE46" s="85">
        <f t="shared" si="17"/>
        <v>18.920000000000002</v>
      </c>
      <c r="BF46" s="85" t="str">
        <f>'Consumer Hardware Pricing'!AM54</f>
        <v>-</v>
      </c>
      <c r="BG46" s="85">
        <f t="shared" si="117"/>
        <v>18.920000000000002</v>
      </c>
      <c r="BH46" s="85" t="str">
        <f t="shared" si="118"/>
        <v>-</v>
      </c>
      <c r="BI46" s="85">
        <f t="shared" si="119"/>
        <v>454.08000000000004</v>
      </c>
      <c r="BJ46" s="85" t="str">
        <f>'Consumer Hardware Pricing'!AP54</f>
        <v>-</v>
      </c>
      <c r="BK46" s="85" t="str">
        <f t="shared" si="20"/>
        <v>-</v>
      </c>
      <c r="BL46" s="85" t="str">
        <f>'Consumer Hardware Pricing'!AQ54</f>
        <v>-</v>
      </c>
      <c r="BM46" s="85" t="str">
        <f t="shared" si="120"/>
        <v>-</v>
      </c>
      <c r="BN46" s="85" t="str">
        <f t="shared" si="121"/>
        <v>-</v>
      </c>
      <c r="BO46" s="85" t="str">
        <f t="shared" si="122"/>
        <v>-</v>
      </c>
      <c r="BP46" s="85" t="str">
        <f>'Consumer Hardware Pricing'!AT54</f>
        <v>-</v>
      </c>
      <c r="BQ46" s="85" t="str">
        <f t="shared" si="23"/>
        <v>-</v>
      </c>
      <c r="BR46" s="85" t="str">
        <f>'Consumer Hardware Pricing'!AU54</f>
        <v>-</v>
      </c>
      <c r="BS46" s="85" t="str">
        <f t="shared" si="123"/>
        <v>-</v>
      </c>
      <c r="BT46" s="85" t="str">
        <f t="shared" si="124"/>
        <v>-</v>
      </c>
      <c r="BU46" s="85" t="str">
        <f t="shared" si="125"/>
        <v>-</v>
      </c>
    </row>
    <row r="47" spans="1:73" ht="30.15" customHeight="1" x14ac:dyDescent="0.25">
      <c r="A47" s="86" t="s">
        <v>35</v>
      </c>
      <c r="B47" s="88" t="s">
        <v>965</v>
      </c>
      <c r="C47" s="88" t="s">
        <v>997</v>
      </c>
      <c r="D47" s="85">
        <f>'Consumer Hardware Pricing'!L55</f>
        <v>698</v>
      </c>
      <c r="E47" s="85">
        <f>'Consumer Hardware Pricing'!M55</f>
        <v>698</v>
      </c>
      <c r="F47" s="85" t="str">
        <f>'Consumer Hardware Pricing'!N55</f>
        <v>-</v>
      </c>
      <c r="G47" s="85" t="str">
        <f t="shared" si="0"/>
        <v>-</v>
      </c>
      <c r="H47" s="85" t="str">
        <f>'Consumer Hardware Pricing'!O55</f>
        <v>-</v>
      </c>
      <c r="I47" s="85" t="str">
        <f t="shared" si="101"/>
        <v>-</v>
      </c>
      <c r="J47" s="85" t="str">
        <f t="shared" si="102"/>
        <v>-</v>
      </c>
      <c r="K47" s="85" t="str">
        <f t="shared" si="103"/>
        <v>-</v>
      </c>
      <c r="L47" s="85" t="str">
        <f>'Consumer Hardware Pricing'!Q55</f>
        <v>-</v>
      </c>
      <c r="M47" s="85" t="str">
        <f t="shared" si="2"/>
        <v>-</v>
      </c>
      <c r="N47" s="85" t="str">
        <f t="shared" si="104"/>
        <v>-</v>
      </c>
      <c r="O47" s="85" t="str">
        <f t="shared" si="105"/>
        <v>-</v>
      </c>
      <c r="P47" s="85" t="str">
        <f t="shared" si="106"/>
        <v>-</v>
      </c>
      <c r="Q47" s="85" t="str">
        <f>'Consumer Hardware Pricing'!S55</f>
        <v>-</v>
      </c>
      <c r="R47" s="85" t="str">
        <f t="shared" si="107"/>
        <v>-</v>
      </c>
      <c r="S47" s="85" t="str">
        <f>'Consumer Hardware Pricing'!T55</f>
        <v>-</v>
      </c>
      <c r="T47" s="129" t="str">
        <f t="shared" si="108"/>
        <v>-</v>
      </c>
      <c r="U47" s="129" t="str">
        <f t="shared" si="109"/>
        <v>-</v>
      </c>
      <c r="V47" s="85" t="str">
        <f t="shared" si="110"/>
        <v>-</v>
      </c>
      <c r="W47" s="129" t="str">
        <f>'Consumer Hardware Pricing'!V55</f>
        <v>-</v>
      </c>
      <c r="X47" s="129" t="str">
        <f t="shared" si="6"/>
        <v>-</v>
      </c>
      <c r="Y47" s="129" t="str">
        <f t="shared" si="111"/>
        <v>-</v>
      </c>
      <c r="Z47" s="129" t="str">
        <f t="shared" si="112"/>
        <v>-</v>
      </c>
      <c r="AA47" s="85" t="str">
        <f t="shared" si="113"/>
        <v>-</v>
      </c>
      <c r="AB47" s="85" t="str">
        <f>'Consumer Hardware Pricing'!X55</f>
        <v>-</v>
      </c>
      <c r="AC47" s="85" t="str">
        <f t="shared" si="7"/>
        <v>-</v>
      </c>
      <c r="AD47" s="85" t="str">
        <f>'Consumer Hardware Pricing'!Y55</f>
        <v>-</v>
      </c>
      <c r="AE47" s="85" t="str">
        <f t="shared" si="35"/>
        <v>-</v>
      </c>
      <c r="AF47" s="85" t="str">
        <f t="shared" si="36"/>
        <v>-</v>
      </c>
      <c r="AG47" s="85" t="str">
        <f t="shared" si="37"/>
        <v>-</v>
      </c>
      <c r="AH47" s="85" t="str">
        <f>'Consumer Hardware Pricing'!AA55</f>
        <v>-</v>
      </c>
      <c r="AI47" s="85" t="str">
        <f t="shared" si="9"/>
        <v>-</v>
      </c>
      <c r="AJ47" s="85" t="str">
        <f t="shared" si="38"/>
        <v>-</v>
      </c>
      <c r="AK47" s="85" t="str">
        <f t="shared" si="39"/>
        <v>-</v>
      </c>
      <c r="AL47" s="85" t="str">
        <f t="shared" si="40"/>
        <v>-</v>
      </c>
      <c r="AM47" s="85" t="str">
        <f>'Consumer Hardware Pricing'!AC55</f>
        <v>-</v>
      </c>
      <c r="AN47" s="85" t="str">
        <f t="shared" si="12"/>
        <v>-</v>
      </c>
      <c r="AO47" s="85" t="str">
        <f>'Consumer Hardware Pricing'!AD55</f>
        <v>-</v>
      </c>
      <c r="AP47" s="85" t="str">
        <f t="shared" si="41"/>
        <v>-</v>
      </c>
      <c r="AQ47" s="85" t="str">
        <f t="shared" si="42"/>
        <v>-</v>
      </c>
      <c r="AR47" s="85" t="str">
        <f t="shared" si="43"/>
        <v>-</v>
      </c>
      <c r="AS47" s="85" t="str">
        <f>'Consumer Hardware Pricing'!AF55</f>
        <v>-</v>
      </c>
      <c r="AT47" s="85" t="str">
        <f t="shared" si="13"/>
        <v>-</v>
      </c>
      <c r="AU47" s="85" t="str">
        <f t="shared" si="44"/>
        <v>-</v>
      </c>
      <c r="AV47" s="85" t="str">
        <f t="shared" si="45"/>
        <v>-</v>
      </c>
      <c r="AW47" s="85" t="str">
        <f t="shared" si="46"/>
        <v>-</v>
      </c>
      <c r="AX47" s="85" t="str">
        <f>'Consumer Hardware Pricing'!AH55</f>
        <v>-</v>
      </c>
      <c r="AY47" s="85" t="str">
        <f t="shared" si="14"/>
        <v>-</v>
      </c>
      <c r="AZ47" s="85" t="str">
        <f>'Consumer Hardware Pricing'!AI55</f>
        <v>-</v>
      </c>
      <c r="BA47" s="85" t="str">
        <f t="shared" si="114"/>
        <v>-</v>
      </c>
      <c r="BB47" s="85" t="str">
        <f t="shared" si="115"/>
        <v>-</v>
      </c>
      <c r="BC47" s="85" t="str">
        <f t="shared" si="116"/>
        <v>-</v>
      </c>
      <c r="BD47" s="85">
        <f>'Consumer Hardware Pricing'!AL55</f>
        <v>0</v>
      </c>
      <c r="BE47" s="85">
        <f t="shared" si="17"/>
        <v>29.09</v>
      </c>
      <c r="BF47" s="85" t="str">
        <f>'Consumer Hardware Pricing'!AM55</f>
        <v>-</v>
      </c>
      <c r="BG47" s="85">
        <f t="shared" si="117"/>
        <v>29.09</v>
      </c>
      <c r="BH47" s="85" t="str">
        <f t="shared" si="118"/>
        <v>-</v>
      </c>
      <c r="BI47" s="85">
        <f t="shared" si="119"/>
        <v>698.16</v>
      </c>
      <c r="BJ47" s="85" t="str">
        <f>'Consumer Hardware Pricing'!AP55</f>
        <v>-</v>
      </c>
      <c r="BK47" s="85" t="str">
        <f t="shared" si="20"/>
        <v>-</v>
      </c>
      <c r="BL47" s="85" t="str">
        <f>'Consumer Hardware Pricing'!AQ55</f>
        <v>-</v>
      </c>
      <c r="BM47" s="85" t="str">
        <f t="shared" si="120"/>
        <v>-</v>
      </c>
      <c r="BN47" s="85" t="str">
        <f t="shared" si="121"/>
        <v>-</v>
      </c>
      <c r="BO47" s="85" t="str">
        <f t="shared" si="122"/>
        <v>-</v>
      </c>
      <c r="BP47" s="85" t="str">
        <f>'Consumer Hardware Pricing'!AT55</f>
        <v>-</v>
      </c>
      <c r="BQ47" s="85" t="str">
        <f t="shared" si="23"/>
        <v>-</v>
      </c>
      <c r="BR47" s="85" t="str">
        <f>'Consumer Hardware Pricing'!AU55</f>
        <v>-</v>
      </c>
      <c r="BS47" s="85" t="str">
        <f t="shared" si="123"/>
        <v>-</v>
      </c>
      <c r="BT47" s="85" t="str">
        <f t="shared" si="124"/>
        <v>-</v>
      </c>
      <c r="BU47" s="85" t="str">
        <f t="shared" si="125"/>
        <v>-</v>
      </c>
    </row>
    <row r="48" spans="1:73" ht="30.15" customHeight="1" x14ac:dyDescent="0.25">
      <c r="A48" s="86" t="s">
        <v>35</v>
      </c>
      <c r="B48" s="88" t="s">
        <v>966</v>
      </c>
      <c r="C48" s="88" t="s">
        <v>998</v>
      </c>
      <c r="D48" s="85">
        <f>'Consumer Hardware Pricing'!L56</f>
        <v>740</v>
      </c>
      <c r="E48" s="85">
        <f>'Consumer Hardware Pricing'!M56</f>
        <v>740</v>
      </c>
      <c r="F48" s="85" t="str">
        <f>'Consumer Hardware Pricing'!N56</f>
        <v>-</v>
      </c>
      <c r="G48" s="85" t="str">
        <f t="shared" si="0"/>
        <v>-</v>
      </c>
      <c r="H48" s="85" t="str">
        <f>'Consumer Hardware Pricing'!O56</f>
        <v>-</v>
      </c>
      <c r="I48" s="85" t="str">
        <f t="shared" si="101"/>
        <v>-</v>
      </c>
      <c r="J48" s="85" t="str">
        <f t="shared" si="102"/>
        <v>-</v>
      </c>
      <c r="K48" s="85" t="str">
        <f t="shared" si="103"/>
        <v>-</v>
      </c>
      <c r="L48" s="85" t="str">
        <f>'Consumer Hardware Pricing'!Q56</f>
        <v>-</v>
      </c>
      <c r="M48" s="85" t="str">
        <f t="shared" si="2"/>
        <v>-</v>
      </c>
      <c r="N48" s="85" t="str">
        <f t="shared" si="104"/>
        <v>-</v>
      </c>
      <c r="O48" s="85" t="str">
        <f t="shared" si="105"/>
        <v>-</v>
      </c>
      <c r="P48" s="85" t="str">
        <f t="shared" si="106"/>
        <v>-</v>
      </c>
      <c r="Q48" s="85" t="str">
        <f>'Consumer Hardware Pricing'!S56</f>
        <v>-</v>
      </c>
      <c r="R48" s="85" t="str">
        <f t="shared" si="107"/>
        <v>-</v>
      </c>
      <c r="S48" s="85" t="str">
        <f>'Consumer Hardware Pricing'!T56</f>
        <v>-</v>
      </c>
      <c r="T48" s="129" t="str">
        <f t="shared" si="108"/>
        <v>-</v>
      </c>
      <c r="U48" s="129" t="str">
        <f t="shared" si="109"/>
        <v>-</v>
      </c>
      <c r="V48" s="85" t="str">
        <f t="shared" si="110"/>
        <v>-</v>
      </c>
      <c r="W48" s="129" t="str">
        <f>'Consumer Hardware Pricing'!V56</f>
        <v>-</v>
      </c>
      <c r="X48" s="129" t="str">
        <f t="shared" si="6"/>
        <v>-</v>
      </c>
      <c r="Y48" s="129" t="str">
        <f t="shared" si="111"/>
        <v>-</v>
      </c>
      <c r="Z48" s="129" t="str">
        <f t="shared" si="112"/>
        <v>-</v>
      </c>
      <c r="AA48" s="85" t="str">
        <f t="shared" si="113"/>
        <v>-</v>
      </c>
      <c r="AB48" s="85" t="str">
        <f>'Consumer Hardware Pricing'!X56</f>
        <v>-</v>
      </c>
      <c r="AC48" s="85" t="str">
        <f t="shared" si="7"/>
        <v>-</v>
      </c>
      <c r="AD48" s="85" t="str">
        <f>'Consumer Hardware Pricing'!Y56</f>
        <v>-</v>
      </c>
      <c r="AE48" s="85" t="str">
        <f t="shared" si="35"/>
        <v>-</v>
      </c>
      <c r="AF48" s="85" t="str">
        <f t="shared" si="36"/>
        <v>-</v>
      </c>
      <c r="AG48" s="85" t="str">
        <f t="shared" si="37"/>
        <v>-</v>
      </c>
      <c r="AH48" s="85" t="str">
        <f>'Consumer Hardware Pricing'!AA56</f>
        <v>-</v>
      </c>
      <c r="AI48" s="85" t="str">
        <f t="shared" si="9"/>
        <v>-</v>
      </c>
      <c r="AJ48" s="85" t="str">
        <f t="shared" si="38"/>
        <v>-</v>
      </c>
      <c r="AK48" s="85" t="str">
        <f t="shared" si="39"/>
        <v>-</v>
      </c>
      <c r="AL48" s="85" t="str">
        <f t="shared" si="40"/>
        <v>-</v>
      </c>
      <c r="AM48" s="85" t="str">
        <f>'Consumer Hardware Pricing'!AC56</f>
        <v>-</v>
      </c>
      <c r="AN48" s="85" t="str">
        <f t="shared" si="12"/>
        <v>-</v>
      </c>
      <c r="AO48" s="85" t="str">
        <f>'Consumer Hardware Pricing'!AD56</f>
        <v>-</v>
      </c>
      <c r="AP48" s="85" t="str">
        <f t="shared" si="41"/>
        <v>-</v>
      </c>
      <c r="AQ48" s="85" t="str">
        <f t="shared" si="42"/>
        <v>-</v>
      </c>
      <c r="AR48" s="85" t="str">
        <f t="shared" si="43"/>
        <v>-</v>
      </c>
      <c r="AS48" s="85" t="str">
        <f>'Consumer Hardware Pricing'!AF56</f>
        <v>-</v>
      </c>
      <c r="AT48" s="85" t="str">
        <f t="shared" si="13"/>
        <v>-</v>
      </c>
      <c r="AU48" s="85" t="str">
        <f t="shared" si="44"/>
        <v>-</v>
      </c>
      <c r="AV48" s="85" t="str">
        <f t="shared" si="45"/>
        <v>-</v>
      </c>
      <c r="AW48" s="85" t="str">
        <f t="shared" si="46"/>
        <v>-</v>
      </c>
      <c r="AX48" s="85" t="str">
        <f>'Consumer Hardware Pricing'!AH56</f>
        <v>-</v>
      </c>
      <c r="AY48" s="85" t="str">
        <f t="shared" si="14"/>
        <v>-</v>
      </c>
      <c r="AZ48" s="85" t="str">
        <f>'Consumer Hardware Pricing'!AI56</f>
        <v>-</v>
      </c>
      <c r="BA48" s="85" t="str">
        <f t="shared" si="114"/>
        <v>-</v>
      </c>
      <c r="BB48" s="85" t="str">
        <f t="shared" si="115"/>
        <v>-</v>
      </c>
      <c r="BC48" s="85" t="str">
        <f t="shared" si="116"/>
        <v>-</v>
      </c>
      <c r="BD48" s="85">
        <f>'Consumer Hardware Pricing'!AL56</f>
        <v>0</v>
      </c>
      <c r="BE48" s="85">
        <f t="shared" si="17"/>
        <v>30.84</v>
      </c>
      <c r="BF48" s="85" t="str">
        <f>'Consumer Hardware Pricing'!AM56</f>
        <v>-</v>
      </c>
      <c r="BG48" s="85">
        <f t="shared" si="117"/>
        <v>30.84</v>
      </c>
      <c r="BH48" s="85" t="str">
        <f t="shared" si="118"/>
        <v>-</v>
      </c>
      <c r="BI48" s="85">
        <f t="shared" si="119"/>
        <v>740.16</v>
      </c>
      <c r="BJ48" s="85" t="str">
        <f>'Consumer Hardware Pricing'!AP56</f>
        <v>-</v>
      </c>
      <c r="BK48" s="85" t="str">
        <f t="shared" si="20"/>
        <v>-</v>
      </c>
      <c r="BL48" s="85" t="str">
        <f>'Consumer Hardware Pricing'!AQ56</f>
        <v>-</v>
      </c>
      <c r="BM48" s="85" t="str">
        <f t="shared" si="120"/>
        <v>-</v>
      </c>
      <c r="BN48" s="85" t="str">
        <f t="shared" si="121"/>
        <v>-</v>
      </c>
      <c r="BO48" s="85" t="str">
        <f t="shared" si="122"/>
        <v>-</v>
      </c>
      <c r="BP48" s="85" t="str">
        <f>'Consumer Hardware Pricing'!AT56</f>
        <v>-</v>
      </c>
      <c r="BQ48" s="85" t="str">
        <f t="shared" si="23"/>
        <v>-</v>
      </c>
      <c r="BR48" s="85" t="str">
        <f>'Consumer Hardware Pricing'!AU56</f>
        <v>-</v>
      </c>
      <c r="BS48" s="85" t="str">
        <f t="shared" si="123"/>
        <v>-</v>
      </c>
      <c r="BT48" s="85" t="str">
        <f t="shared" si="124"/>
        <v>-</v>
      </c>
      <c r="BU48" s="85" t="str">
        <f t="shared" si="125"/>
        <v>-</v>
      </c>
    </row>
    <row r="49" spans="1:73" ht="30.15" customHeight="1" x14ac:dyDescent="0.25">
      <c r="A49" s="86" t="s">
        <v>35</v>
      </c>
      <c r="B49" s="88" t="s">
        <v>967</v>
      </c>
      <c r="C49" s="88" t="s">
        <v>999</v>
      </c>
      <c r="D49" s="85">
        <f>'Consumer Hardware Pricing'!L57</f>
        <v>698</v>
      </c>
      <c r="E49" s="85">
        <f>'Consumer Hardware Pricing'!M57</f>
        <v>698</v>
      </c>
      <c r="F49" s="85" t="str">
        <f>'Consumer Hardware Pricing'!N57</f>
        <v>-</v>
      </c>
      <c r="G49" s="85" t="str">
        <f t="shared" si="0"/>
        <v>-</v>
      </c>
      <c r="H49" s="85" t="str">
        <f>'Consumer Hardware Pricing'!O57</f>
        <v>-</v>
      </c>
      <c r="I49" s="85" t="str">
        <f t="shared" si="101"/>
        <v>-</v>
      </c>
      <c r="J49" s="85" t="str">
        <f t="shared" si="102"/>
        <v>-</v>
      </c>
      <c r="K49" s="85" t="str">
        <f t="shared" si="103"/>
        <v>-</v>
      </c>
      <c r="L49" s="85" t="str">
        <f>'Consumer Hardware Pricing'!Q57</f>
        <v>-</v>
      </c>
      <c r="M49" s="85" t="str">
        <f t="shared" si="2"/>
        <v>-</v>
      </c>
      <c r="N49" s="85" t="str">
        <f t="shared" si="104"/>
        <v>-</v>
      </c>
      <c r="O49" s="85" t="str">
        <f t="shared" si="105"/>
        <v>-</v>
      </c>
      <c r="P49" s="85" t="str">
        <f t="shared" si="106"/>
        <v>-</v>
      </c>
      <c r="Q49" s="85" t="str">
        <f>'Consumer Hardware Pricing'!S57</f>
        <v>-</v>
      </c>
      <c r="R49" s="85" t="str">
        <f t="shared" si="107"/>
        <v>-</v>
      </c>
      <c r="S49" s="85" t="str">
        <f>'Consumer Hardware Pricing'!T57</f>
        <v>-</v>
      </c>
      <c r="T49" s="129" t="str">
        <f t="shared" si="108"/>
        <v>-</v>
      </c>
      <c r="U49" s="129" t="str">
        <f t="shared" si="109"/>
        <v>-</v>
      </c>
      <c r="V49" s="85" t="str">
        <f t="shared" si="110"/>
        <v>-</v>
      </c>
      <c r="W49" s="129" t="str">
        <f>'Consumer Hardware Pricing'!V57</f>
        <v>-</v>
      </c>
      <c r="X49" s="129" t="str">
        <f t="shared" si="6"/>
        <v>-</v>
      </c>
      <c r="Y49" s="129" t="str">
        <f t="shared" si="111"/>
        <v>-</v>
      </c>
      <c r="Z49" s="129" t="str">
        <f t="shared" si="112"/>
        <v>-</v>
      </c>
      <c r="AA49" s="85" t="str">
        <f t="shared" si="113"/>
        <v>-</v>
      </c>
      <c r="AB49" s="85" t="str">
        <f>'Consumer Hardware Pricing'!X57</f>
        <v>-</v>
      </c>
      <c r="AC49" s="85" t="str">
        <f t="shared" si="7"/>
        <v>-</v>
      </c>
      <c r="AD49" s="85" t="str">
        <f>'Consumer Hardware Pricing'!Y57</f>
        <v>-</v>
      </c>
      <c r="AE49" s="85" t="str">
        <f t="shared" si="35"/>
        <v>-</v>
      </c>
      <c r="AF49" s="85" t="str">
        <f t="shared" si="36"/>
        <v>-</v>
      </c>
      <c r="AG49" s="85" t="str">
        <f t="shared" si="37"/>
        <v>-</v>
      </c>
      <c r="AH49" s="85" t="str">
        <f>'Consumer Hardware Pricing'!AA57</f>
        <v>-</v>
      </c>
      <c r="AI49" s="85" t="str">
        <f t="shared" si="9"/>
        <v>-</v>
      </c>
      <c r="AJ49" s="85" t="str">
        <f t="shared" si="38"/>
        <v>-</v>
      </c>
      <c r="AK49" s="85" t="str">
        <f t="shared" si="39"/>
        <v>-</v>
      </c>
      <c r="AL49" s="85" t="str">
        <f t="shared" si="40"/>
        <v>-</v>
      </c>
      <c r="AM49" s="85" t="str">
        <f>'Consumer Hardware Pricing'!AC57</f>
        <v>-</v>
      </c>
      <c r="AN49" s="85" t="str">
        <f t="shared" si="12"/>
        <v>-</v>
      </c>
      <c r="AO49" s="85" t="str">
        <f>'Consumer Hardware Pricing'!AD57</f>
        <v>-</v>
      </c>
      <c r="AP49" s="85" t="str">
        <f t="shared" si="41"/>
        <v>-</v>
      </c>
      <c r="AQ49" s="85" t="str">
        <f t="shared" si="42"/>
        <v>-</v>
      </c>
      <c r="AR49" s="85" t="str">
        <f t="shared" si="43"/>
        <v>-</v>
      </c>
      <c r="AS49" s="85" t="str">
        <f>'Consumer Hardware Pricing'!AF57</f>
        <v>-</v>
      </c>
      <c r="AT49" s="85" t="str">
        <f t="shared" si="13"/>
        <v>-</v>
      </c>
      <c r="AU49" s="85" t="str">
        <f t="shared" si="44"/>
        <v>-</v>
      </c>
      <c r="AV49" s="85" t="str">
        <f t="shared" si="45"/>
        <v>-</v>
      </c>
      <c r="AW49" s="85" t="str">
        <f t="shared" si="46"/>
        <v>-</v>
      </c>
      <c r="AX49" s="85" t="str">
        <f>'Consumer Hardware Pricing'!AH57</f>
        <v>-</v>
      </c>
      <c r="AY49" s="85" t="str">
        <f t="shared" si="14"/>
        <v>-</v>
      </c>
      <c r="AZ49" s="85" t="str">
        <f>'Consumer Hardware Pricing'!AI57</f>
        <v>-</v>
      </c>
      <c r="BA49" s="85" t="str">
        <f t="shared" si="114"/>
        <v>-</v>
      </c>
      <c r="BB49" s="85" t="str">
        <f t="shared" si="115"/>
        <v>-</v>
      </c>
      <c r="BC49" s="85" t="str">
        <f t="shared" si="116"/>
        <v>-</v>
      </c>
      <c r="BD49" s="85">
        <f>'Consumer Hardware Pricing'!AL57</f>
        <v>0</v>
      </c>
      <c r="BE49" s="85">
        <f t="shared" si="17"/>
        <v>29.09</v>
      </c>
      <c r="BF49" s="85" t="str">
        <f>'Consumer Hardware Pricing'!AM57</f>
        <v>-</v>
      </c>
      <c r="BG49" s="85">
        <f t="shared" si="117"/>
        <v>29.09</v>
      </c>
      <c r="BH49" s="85" t="str">
        <f t="shared" si="118"/>
        <v>-</v>
      </c>
      <c r="BI49" s="85">
        <f t="shared" si="119"/>
        <v>698.16</v>
      </c>
      <c r="BJ49" s="85" t="str">
        <f>'Consumer Hardware Pricing'!AP57</f>
        <v>-</v>
      </c>
      <c r="BK49" s="85" t="str">
        <f t="shared" si="20"/>
        <v>-</v>
      </c>
      <c r="BL49" s="85" t="str">
        <f>'Consumer Hardware Pricing'!AQ57</f>
        <v>-</v>
      </c>
      <c r="BM49" s="85" t="str">
        <f t="shared" si="120"/>
        <v>-</v>
      </c>
      <c r="BN49" s="85" t="str">
        <f t="shared" si="121"/>
        <v>-</v>
      </c>
      <c r="BO49" s="85" t="str">
        <f t="shared" si="122"/>
        <v>-</v>
      </c>
      <c r="BP49" s="85" t="str">
        <f>'Consumer Hardware Pricing'!AT57</f>
        <v>-</v>
      </c>
      <c r="BQ49" s="85" t="str">
        <f t="shared" si="23"/>
        <v>-</v>
      </c>
      <c r="BR49" s="85" t="str">
        <f>'Consumer Hardware Pricing'!AU57</f>
        <v>-</v>
      </c>
      <c r="BS49" s="85" t="str">
        <f t="shared" si="123"/>
        <v>-</v>
      </c>
      <c r="BT49" s="85" t="str">
        <f t="shared" si="124"/>
        <v>-</v>
      </c>
      <c r="BU49" s="85" t="str">
        <f t="shared" si="125"/>
        <v>-</v>
      </c>
    </row>
    <row r="50" spans="1:73" ht="30.15" customHeight="1" x14ac:dyDescent="0.25">
      <c r="A50" s="86" t="s">
        <v>35</v>
      </c>
      <c r="B50" s="88" t="s">
        <v>968</v>
      </c>
      <c r="C50" s="88" t="s">
        <v>1000</v>
      </c>
      <c r="D50" s="85">
        <f>'Consumer Hardware Pricing'!L58</f>
        <v>935</v>
      </c>
      <c r="E50" s="85">
        <f>'Consumer Hardware Pricing'!M58</f>
        <v>935</v>
      </c>
      <c r="F50" s="85" t="str">
        <f>'Consumer Hardware Pricing'!N58</f>
        <v>-</v>
      </c>
      <c r="G50" s="85" t="str">
        <f t="shared" si="0"/>
        <v>-</v>
      </c>
      <c r="H50" s="85" t="str">
        <f>'Consumer Hardware Pricing'!O58</f>
        <v>-</v>
      </c>
      <c r="I50" s="85" t="str">
        <f t="shared" si="101"/>
        <v>-</v>
      </c>
      <c r="J50" s="85" t="str">
        <f t="shared" si="102"/>
        <v>-</v>
      </c>
      <c r="K50" s="85" t="str">
        <f t="shared" si="103"/>
        <v>-</v>
      </c>
      <c r="L50" s="85" t="str">
        <f>'Consumer Hardware Pricing'!Q58</f>
        <v>-</v>
      </c>
      <c r="M50" s="85" t="str">
        <f t="shared" si="2"/>
        <v>-</v>
      </c>
      <c r="N50" s="85" t="str">
        <f t="shared" si="104"/>
        <v>-</v>
      </c>
      <c r="O50" s="85" t="str">
        <f t="shared" si="105"/>
        <v>-</v>
      </c>
      <c r="P50" s="85" t="str">
        <f t="shared" si="106"/>
        <v>-</v>
      </c>
      <c r="Q50" s="85" t="str">
        <f>'Consumer Hardware Pricing'!S58</f>
        <v>-</v>
      </c>
      <c r="R50" s="85" t="str">
        <f t="shared" si="107"/>
        <v>-</v>
      </c>
      <c r="S50" s="85" t="str">
        <f>'Consumer Hardware Pricing'!T58</f>
        <v>-</v>
      </c>
      <c r="T50" s="129" t="str">
        <f t="shared" si="108"/>
        <v>-</v>
      </c>
      <c r="U50" s="129" t="str">
        <f t="shared" si="109"/>
        <v>-</v>
      </c>
      <c r="V50" s="85" t="str">
        <f t="shared" si="110"/>
        <v>-</v>
      </c>
      <c r="W50" s="129" t="str">
        <f>'Consumer Hardware Pricing'!V58</f>
        <v>-</v>
      </c>
      <c r="X50" s="129" t="str">
        <f t="shared" si="6"/>
        <v>-</v>
      </c>
      <c r="Y50" s="129" t="str">
        <f t="shared" si="111"/>
        <v>-</v>
      </c>
      <c r="Z50" s="129" t="str">
        <f t="shared" si="112"/>
        <v>-</v>
      </c>
      <c r="AA50" s="85" t="str">
        <f t="shared" si="113"/>
        <v>-</v>
      </c>
      <c r="AB50" s="85" t="str">
        <f>'Consumer Hardware Pricing'!X58</f>
        <v>-</v>
      </c>
      <c r="AC50" s="85" t="str">
        <f t="shared" si="7"/>
        <v>-</v>
      </c>
      <c r="AD50" s="85" t="str">
        <f>'Consumer Hardware Pricing'!Y58</f>
        <v>-</v>
      </c>
      <c r="AE50" s="85" t="str">
        <f t="shared" si="35"/>
        <v>-</v>
      </c>
      <c r="AF50" s="85" t="str">
        <f t="shared" si="36"/>
        <v>-</v>
      </c>
      <c r="AG50" s="85" t="str">
        <f t="shared" si="37"/>
        <v>-</v>
      </c>
      <c r="AH50" s="85" t="str">
        <f>'Consumer Hardware Pricing'!AA58</f>
        <v>-</v>
      </c>
      <c r="AI50" s="85" t="str">
        <f t="shared" si="9"/>
        <v>-</v>
      </c>
      <c r="AJ50" s="85" t="str">
        <f t="shared" si="38"/>
        <v>-</v>
      </c>
      <c r="AK50" s="85" t="str">
        <f t="shared" si="39"/>
        <v>-</v>
      </c>
      <c r="AL50" s="85" t="str">
        <f t="shared" si="40"/>
        <v>-</v>
      </c>
      <c r="AM50" s="85" t="str">
        <f>'Consumer Hardware Pricing'!AC58</f>
        <v>-</v>
      </c>
      <c r="AN50" s="85" t="str">
        <f t="shared" si="12"/>
        <v>-</v>
      </c>
      <c r="AO50" s="85" t="str">
        <f>'Consumer Hardware Pricing'!AD58</f>
        <v>-</v>
      </c>
      <c r="AP50" s="85" t="str">
        <f t="shared" si="41"/>
        <v>-</v>
      </c>
      <c r="AQ50" s="85" t="str">
        <f t="shared" si="42"/>
        <v>-</v>
      </c>
      <c r="AR50" s="85" t="str">
        <f t="shared" si="43"/>
        <v>-</v>
      </c>
      <c r="AS50" s="85" t="str">
        <f>'Consumer Hardware Pricing'!AF58</f>
        <v>-</v>
      </c>
      <c r="AT50" s="85" t="str">
        <f t="shared" si="13"/>
        <v>-</v>
      </c>
      <c r="AU50" s="85" t="str">
        <f t="shared" si="44"/>
        <v>-</v>
      </c>
      <c r="AV50" s="85" t="str">
        <f t="shared" si="45"/>
        <v>-</v>
      </c>
      <c r="AW50" s="85" t="str">
        <f t="shared" si="46"/>
        <v>-</v>
      </c>
      <c r="AX50" s="85" t="str">
        <f>'Consumer Hardware Pricing'!AH58</f>
        <v>-</v>
      </c>
      <c r="AY50" s="85" t="str">
        <f t="shared" si="14"/>
        <v>-</v>
      </c>
      <c r="AZ50" s="85" t="str">
        <f>'Consumer Hardware Pricing'!AI58</f>
        <v>-</v>
      </c>
      <c r="BA50" s="85" t="str">
        <f t="shared" si="114"/>
        <v>-</v>
      </c>
      <c r="BB50" s="85" t="str">
        <f t="shared" si="115"/>
        <v>-</v>
      </c>
      <c r="BC50" s="85" t="str">
        <f t="shared" si="116"/>
        <v>-</v>
      </c>
      <c r="BD50" s="85">
        <f>'Consumer Hardware Pricing'!AL58</f>
        <v>0</v>
      </c>
      <c r="BE50" s="85">
        <f t="shared" si="17"/>
        <v>38.96</v>
      </c>
      <c r="BF50" s="85" t="str">
        <f>'Consumer Hardware Pricing'!AM58</f>
        <v>-</v>
      </c>
      <c r="BG50" s="85">
        <f t="shared" si="117"/>
        <v>38.96</v>
      </c>
      <c r="BH50" s="85" t="str">
        <f t="shared" si="118"/>
        <v>-</v>
      </c>
      <c r="BI50" s="85">
        <f t="shared" si="119"/>
        <v>935.04</v>
      </c>
      <c r="BJ50" s="85" t="str">
        <f>'Consumer Hardware Pricing'!AP58</f>
        <v>-</v>
      </c>
      <c r="BK50" s="85" t="str">
        <f t="shared" si="20"/>
        <v>-</v>
      </c>
      <c r="BL50" s="85" t="str">
        <f>'Consumer Hardware Pricing'!AQ58</f>
        <v>-</v>
      </c>
      <c r="BM50" s="85" t="str">
        <f t="shared" si="120"/>
        <v>-</v>
      </c>
      <c r="BN50" s="85" t="str">
        <f t="shared" si="121"/>
        <v>-</v>
      </c>
      <c r="BO50" s="85" t="str">
        <f t="shared" si="122"/>
        <v>-</v>
      </c>
      <c r="BP50" s="85" t="str">
        <f>'Consumer Hardware Pricing'!AT58</f>
        <v>-</v>
      </c>
      <c r="BQ50" s="85" t="str">
        <f t="shared" si="23"/>
        <v>-</v>
      </c>
      <c r="BR50" s="85" t="str">
        <f>'Consumer Hardware Pricing'!AU58</f>
        <v>-</v>
      </c>
      <c r="BS50" s="85" t="str">
        <f t="shared" si="123"/>
        <v>-</v>
      </c>
      <c r="BT50" s="85" t="str">
        <f t="shared" si="124"/>
        <v>-</v>
      </c>
      <c r="BU50" s="85" t="str">
        <f t="shared" si="125"/>
        <v>-</v>
      </c>
    </row>
    <row r="51" spans="1:73" ht="30.15" customHeight="1" x14ac:dyDescent="0.25">
      <c r="A51" s="86" t="s">
        <v>35</v>
      </c>
      <c r="B51" s="88" t="s">
        <v>969</v>
      </c>
      <c r="C51" s="88" t="s">
        <v>1001</v>
      </c>
      <c r="D51" s="85">
        <f>'Consumer Hardware Pricing'!L59</f>
        <v>996</v>
      </c>
      <c r="E51" s="85">
        <f>'Consumer Hardware Pricing'!M59</f>
        <v>996</v>
      </c>
      <c r="F51" s="85" t="str">
        <f>'Consumer Hardware Pricing'!N59</f>
        <v>-</v>
      </c>
      <c r="G51" s="85" t="str">
        <f t="shared" si="0"/>
        <v>-</v>
      </c>
      <c r="H51" s="85" t="str">
        <f>'Consumer Hardware Pricing'!O59</f>
        <v>-</v>
      </c>
      <c r="I51" s="85" t="str">
        <f t="shared" si="101"/>
        <v>-</v>
      </c>
      <c r="J51" s="85" t="str">
        <f t="shared" si="102"/>
        <v>-</v>
      </c>
      <c r="K51" s="85" t="str">
        <f t="shared" si="103"/>
        <v>-</v>
      </c>
      <c r="L51" s="85" t="str">
        <f>'Consumer Hardware Pricing'!Q59</f>
        <v>-</v>
      </c>
      <c r="M51" s="85" t="str">
        <f t="shared" si="2"/>
        <v>-</v>
      </c>
      <c r="N51" s="85" t="str">
        <f t="shared" si="104"/>
        <v>-</v>
      </c>
      <c r="O51" s="85" t="str">
        <f t="shared" si="105"/>
        <v>-</v>
      </c>
      <c r="P51" s="85" t="str">
        <f t="shared" si="106"/>
        <v>-</v>
      </c>
      <c r="Q51" s="85" t="str">
        <f>'Consumer Hardware Pricing'!S59</f>
        <v>-</v>
      </c>
      <c r="R51" s="85" t="str">
        <f t="shared" si="107"/>
        <v>-</v>
      </c>
      <c r="S51" s="85" t="str">
        <f>'Consumer Hardware Pricing'!T59</f>
        <v>-</v>
      </c>
      <c r="T51" s="129" t="str">
        <f t="shared" si="108"/>
        <v>-</v>
      </c>
      <c r="U51" s="129" t="str">
        <f t="shared" si="109"/>
        <v>-</v>
      </c>
      <c r="V51" s="85" t="str">
        <f t="shared" si="110"/>
        <v>-</v>
      </c>
      <c r="W51" s="129" t="str">
        <f>'Consumer Hardware Pricing'!V59</f>
        <v>-</v>
      </c>
      <c r="X51" s="129" t="str">
        <f t="shared" si="6"/>
        <v>-</v>
      </c>
      <c r="Y51" s="129" t="str">
        <f t="shared" si="111"/>
        <v>-</v>
      </c>
      <c r="Z51" s="129" t="str">
        <f t="shared" si="112"/>
        <v>-</v>
      </c>
      <c r="AA51" s="85" t="str">
        <f t="shared" si="113"/>
        <v>-</v>
      </c>
      <c r="AB51" s="85" t="str">
        <f>'Consumer Hardware Pricing'!X59</f>
        <v>-</v>
      </c>
      <c r="AC51" s="85" t="str">
        <f t="shared" si="7"/>
        <v>-</v>
      </c>
      <c r="AD51" s="85" t="str">
        <f>'Consumer Hardware Pricing'!Y59</f>
        <v>-</v>
      </c>
      <c r="AE51" s="85" t="str">
        <f t="shared" si="35"/>
        <v>-</v>
      </c>
      <c r="AF51" s="85" t="str">
        <f t="shared" si="36"/>
        <v>-</v>
      </c>
      <c r="AG51" s="85" t="str">
        <f t="shared" si="37"/>
        <v>-</v>
      </c>
      <c r="AH51" s="85" t="str">
        <f>'Consumer Hardware Pricing'!AA59</f>
        <v>-</v>
      </c>
      <c r="AI51" s="85" t="str">
        <f t="shared" si="9"/>
        <v>-</v>
      </c>
      <c r="AJ51" s="85" t="str">
        <f t="shared" si="38"/>
        <v>-</v>
      </c>
      <c r="AK51" s="85" t="str">
        <f t="shared" si="39"/>
        <v>-</v>
      </c>
      <c r="AL51" s="85" t="str">
        <f t="shared" si="40"/>
        <v>-</v>
      </c>
      <c r="AM51" s="85" t="str">
        <f>'Consumer Hardware Pricing'!AC59</f>
        <v>-</v>
      </c>
      <c r="AN51" s="85" t="str">
        <f t="shared" si="12"/>
        <v>-</v>
      </c>
      <c r="AO51" s="85" t="str">
        <f>'Consumer Hardware Pricing'!AD59</f>
        <v>-</v>
      </c>
      <c r="AP51" s="85" t="str">
        <f t="shared" si="41"/>
        <v>-</v>
      </c>
      <c r="AQ51" s="85" t="str">
        <f t="shared" si="42"/>
        <v>-</v>
      </c>
      <c r="AR51" s="85" t="str">
        <f t="shared" si="43"/>
        <v>-</v>
      </c>
      <c r="AS51" s="85" t="str">
        <f>'Consumer Hardware Pricing'!AF59</f>
        <v>-</v>
      </c>
      <c r="AT51" s="85" t="str">
        <f t="shared" si="13"/>
        <v>-</v>
      </c>
      <c r="AU51" s="85" t="str">
        <f t="shared" si="44"/>
        <v>-</v>
      </c>
      <c r="AV51" s="85" t="str">
        <f t="shared" si="45"/>
        <v>-</v>
      </c>
      <c r="AW51" s="85" t="str">
        <f t="shared" si="46"/>
        <v>-</v>
      </c>
      <c r="AX51" s="85" t="str">
        <f>'Consumer Hardware Pricing'!AH59</f>
        <v>-</v>
      </c>
      <c r="AY51" s="85" t="str">
        <f t="shared" si="14"/>
        <v>-</v>
      </c>
      <c r="AZ51" s="85" t="str">
        <f>'Consumer Hardware Pricing'!AI59</f>
        <v>-</v>
      </c>
      <c r="BA51" s="85" t="str">
        <f t="shared" si="114"/>
        <v>-</v>
      </c>
      <c r="BB51" s="85" t="str">
        <f t="shared" si="115"/>
        <v>-</v>
      </c>
      <c r="BC51" s="85" t="str">
        <f t="shared" si="116"/>
        <v>-</v>
      </c>
      <c r="BD51" s="85">
        <f>'Consumer Hardware Pricing'!AL59</f>
        <v>0</v>
      </c>
      <c r="BE51" s="85">
        <f t="shared" si="17"/>
        <v>41.5</v>
      </c>
      <c r="BF51" s="85" t="str">
        <f>'Consumer Hardware Pricing'!AM59</f>
        <v>-</v>
      </c>
      <c r="BG51" s="85">
        <f t="shared" si="117"/>
        <v>41.5</v>
      </c>
      <c r="BH51" s="85" t="str">
        <f t="shared" si="118"/>
        <v>-</v>
      </c>
      <c r="BI51" s="85">
        <f t="shared" si="119"/>
        <v>996</v>
      </c>
      <c r="BJ51" s="85" t="str">
        <f>'Consumer Hardware Pricing'!AP59</f>
        <v>-</v>
      </c>
      <c r="BK51" s="85" t="str">
        <f t="shared" si="20"/>
        <v>-</v>
      </c>
      <c r="BL51" s="85" t="str">
        <f>'Consumer Hardware Pricing'!AQ59</f>
        <v>-</v>
      </c>
      <c r="BM51" s="85" t="str">
        <f t="shared" si="120"/>
        <v>-</v>
      </c>
      <c r="BN51" s="85" t="str">
        <f t="shared" si="121"/>
        <v>-</v>
      </c>
      <c r="BO51" s="85" t="str">
        <f t="shared" si="122"/>
        <v>-</v>
      </c>
      <c r="BP51" s="85" t="str">
        <f>'Consumer Hardware Pricing'!AT59</f>
        <v>-</v>
      </c>
      <c r="BQ51" s="85" t="str">
        <f t="shared" si="23"/>
        <v>-</v>
      </c>
      <c r="BR51" s="85" t="str">
        <f>'Consumer Hardware Pricing'!AU59</f>
        <v>-</v>
      </c>
      <c r="BS51" s="85" t="str">
        <f t="shared" si="123"/>
        <v>-</v>
      </c>
      <c r="BT51" s="85" t="str">
        <f t="shared" si="124"/>
        <v>-</v>
      </c>
      <c r="BU51" s="85" t="str">
        <f t="shared" si="125"/>
        <v>-</v>
      </c>
    </row>
    <row r="52" spans="1:73" ht="30.15" customHeight="1" x14ac:dyDescent="0.25">
      <c r="A52" s="86" t="s">
        <v>35</v>
      </c>
      <c r="B52" s="88" t="s">
        <v>970</v>
      </c>
      <c r="C52" s="88" t="s">
        <v>1002</v>
      </c>
      <c r="D52" s="85">
        <f>'Consumer Hardware Pricing'!L60</f>
        <v>935</v>
      </c>
      <c r="E52" s="85">
        <f>'Consumer Hardware Pricing'!M60</f>
        <v>935</v>
      </c>
      <c r="F52" s="85" t="str">
        <f>'Consumer Hardware Pricing'!N60</f>
        <v>-</v>
      </c>
      <c r="G52" s="85" t="str">
        <f t="shared" si="0"/>
        <v>-</v>
      </c>
      <c r="H52" s="85" t="str">
        <f>'Consumer Hardware Pricing'!O60</f>
        <v>-</v>
      </c>
      <c r="I52" s="85" t="str">
        <f t="shared" si="101"/>
        <v>-</v>
      </c>
      <c r="J52" s="85" t="str">
        <f t="shared" si="102"/>
        <v>-</v>
      </c>
      <c r="K52" s="85" t="str">
        <f t="shared" si="103"/>
        <v>-</v>
      </c>
      <c r="L52" s="85" t="str">
        <f>'Consumer Hardware Pricing'!Q60</f>
        <v>-</v>
      </c>
      <c r="M52" s="85" t="str">
        <f t="shared" si="2"/>
        <v>-</v>
      </c>
      <c r="N52" s="85" t="str">
        <f t="shared" si="104"/>
        <v>-</v>
      </c>
      <c r="O52" s="85" t="str">
        <f t="shared" si="105"/>
        <v>-</v>
      </c>
      <c r="P52" s="85" t="str">
        <f t="shared" si="106"/>
        <v>-</v>
      </c>
      <c r="Q52" s="85" t="str">
        <f>'Consumer Hardware Pricing'!S60</f>
        <v>-</v>
      </c>
      <c r="R52" s="85" t="str">
        <f t="shared" si="107"/>
        <v>-</v>
      </c>
      <c r="S52" s="85" t="str">
        <f>'Consumer Hardware Pricing'!T60</f>
        <v>-</v>
      </c>
      <c r="T52" s="129" t="str">
        <f t="shared" si="108"/>
        <v>-</v>
      </c>
      <c r="U52" s="129" t="str">
        <f t="shared" si="109"/>
        <v>-</v>
      </c>
      <c r="V52" s="85" t="str">
        <f t="shared" si="110"/>
        <v>-</v>
      </c>
      <c r="W52" s="129" t="str">
        <f>'Consumer Hardware Pricing'!V60</f>
        <v>-</v>
      </c>
      <c r="X52" s="129" t="str">
        <f t="shared" si="6"/>
        <v>-</v>
      </c>
      <c r="Y52" s="129" t="str">
        <f t="shared" si="111"/>
        <v>-</v>
      </c>
      <c r="Z52" s="129" t="str">
        <f t="shared" si="112"/>
        <v>-</v>
      </c>
      <c r="AA52" s="85" t="str">
        <f t="shared" si="113"/>
        <v>-</v>
      </c>
      <c r="AB52" s="85" t="str">
        <f>'Consumer Hardware Pricing'!X60</f>
        <v>-</v>
      </c>
      <c r="AC52" s="85" t="str">
        <f t="shared" si="7"/>
        <v>-</v>
      </c>
      <c r="AD52" s="85" t="str">
        <f>'Consumer Hardware Pricing'!Y60</f>
        <v>-</v>
      </c>
      <c r="AE52" s="85" t="str">
        <f t="shared" si="35"/>
        <v>-</v>
      </c>
      <c r="AF52" s="85" t="str">
        <f t="shared" si="36"/>
        <v>-</v>
      </c>
      <c r="AG52" s="85" t="str">
        <f t="shared" si="37"/>
        <v>-</v>
      </c>
      <c r="AH52" s="85" t="str">
        <f>'Consumer Hardware Pricing'!AA60</f>
        <v>-</v>
      </c>
      <c r="AI52" s="85" t="str">
        <f t="shared" si="9"/>
        <v>-</v>
      </c>
      <c r="AJ52" s="85" t="str">
        <f t="shared" si="38"/>
        <v>-</v>
      </c>
      <c r="AK52" s="85" t="str">
        <f t="shared" si="39"/>
        <v>-</v>
      </c>
      <c r="AL52" s="85" t="str">
        <f t="shared" si="40"/>
        <v>-</v>
      </c>
      <c r="AM52" s="85" t="str">
        <f>'Consumer Hardware Pricing'!AC60</f>
        <v>-</v>
      </c>
      <c r="AN52" s="85" t="str">
        <f t="shared" si="12"/>
        <v>-</v>
      </c>
      <c r="AO52" s="85" t="str">
        <f>'Consumer Hardware Pricing'!AD60</f>
        <v>-</v>
      </c>
      <c r="AP52" s="85" t="str">
        <f t="shared" si="41"/>
        <v>-</v>
      </c>
      <c r="AQ52" s="85" t="str">
        <f t="shared" si="42"/>
        <v>-</v>
      </c>
      <c r="AR52" s="85" t="str">
        <f t="shared" si="43"/>
        <v>-</v>
      </c>
      <c r="AS52" s="85" t="str">
        <f>'Consumer Hardware Pricing'!AF60</f>
        <v>-</v>
      </c>
      <c r="AT52" s="85" t="str">
        <f t="shared" si="13"/>
        <v>-</v>
      </c>
      <c r="AU52" s="85" t="str">
        <f t="shared" si="44"/>
        <v>-</v>
      </c>
      <c r="AV52" s="85" t="str">
        <f t="shared" si="45"/>
        <v>-</v>
      </c>
      <c r="AW52" s="85" t="str">
        <f t="shared" si="46"/>
        <v>-</v>
      </c>
      <c r="AX52" s="85" t="str">
        <f>'Consumer Hardware Pricing'!AH60</f>
        <v>-</v>
      </c>
      <c r="AY52" s="85" t="str">
        <f t="shared" si="14"/>
        <v>-</v>
      </c>
      <c r="AZ52" s="85" t="str">
        <f>'Consumer Hardware Pricing'!AI60</f>
        <v>-</v>
      </c>
      <c r="BA52" s="85" t="str">
        <f t="shared" si="114"/>
        <v>-</v>
      </c>
      <c r="BB52" s="85" t="str">
        <f t="shared" si="115"/>
        <v>-</v>
      </c>
      <c r="BC52" s="85" t="str">
        <f t="shared" si="116"/>
        <v>-</v>
      </c>
      <c r="BD52" s="85">
        <f>'Consumer Hardware Pricing'!AL60</f>
        <v>0</v>
      </c>
      <c r="BE52" s="85">
        <f t="shared" si="17"/>
        <v>38.96</v>
      </c>
      <c r="BF52" s="85" t="str">
        <f>'Consumer Hardware Pricing'!AM60</f>
        <v>-</v>
      </c>
      <c r="BG52" s="85">
        <f t="shared" si="117"/>
        <v>38.96</v>
      </c>
      <c r="BH52" s="85" t="str">
        <f t="shared" si="118"/>
        <v>-</v>
      </c>
      <c r="BI52" s="85">
        <f t="shared" si="119"/>
        <v>935.04</v>
      </c>
      <c r="BJ52" s="85" t="str">
        <f>'Consumer Hardware Pricing'!AP60</f>
        <v>-</v>
      </c>
      <c r="BK52" s="85" t="str">
        <f t="shared" si="20"/>
        <v>-</v>
      </c>
      <c r="BL52" s="85" t="str">
        <f>'Consumer Hardware Pricing'!AQ60</f>
        <v>-</v>
      </c>
      <c r="BM52" s="85" t="str">
        <f t="shared" si="120"/>
        <v>-</v>
      </c>
      <c r="BN52" s="85" t="str">
        <f t="shared" si="121"/>
        <v>-</v>
      </c>
      <c r="BO52" s="85" t="str">
        <f t="shared" si="122"/>
        <v>-</v>
      </c>
      <c r="BP52" s="85" t="str">
        <f>'Consumer Hardware Pricing'!AT60</f>
        <v>-</v>
      </c>
      <c r="BQ52" s="85" t="str">
        <f t="shared" si="23"/>
        <v>-</v>
      </c>
      <c r="BR52" s="85" t="str">
        <f>'Consumer Hardware Pricing'!AU60</f>
        <v>-</v>
      </c>
      <c r="BS52" s="85" t="str">
        <f t="shared" si="123"/>
        <v>-</v>
      </c>
      <c r="BT52" s="85" t="str">
        <f t="shared" si="124"/>
        <v>-</v>
      </c>
      <c r="BU52" s="85" t="str">
        <f t="shared" si="125"/>
        <v>-</v>
      </c>
    </row>
    <row r="53" spans="1:73" ht="30.15" customHeight="1" x14ac:dyDescent="0.25">
      <c r="A53" s="86" t="s">
        <v>35</v>
      </c>
      <c r="B53" s="88" t="s">
        <v>971</v>
      </c>
      <c r="C53" s="88" t="s">
        <v>1003</v>
      </c>
      <c r="D53" s="85">
        <f>'Consumer Hardware Pricing'!L61</f>
        <v>996</v>
      </c>
      <c r="E53" s="85">
        <f>'Consumer Hardware Pricing'!M61</f>
        <v>996</v>
      </c>
      <c r="F53" s="85" t="str">
        <f>'Consumer Hardware Pricing'!N61</f>
        <v>-</v>
      </c>
      <c r="G53" s="85" t="str">
        <f t="shared" si="0"/>
        <v>-</v>
      </c>
      <c r="H53" s="85" t="str">
        <f>'Consumer Hardware Pricing'!O61</f>
        <v>-</v>
      </c>
      <c r="I53" s="85" t="str">
        <f t="shared" si="101"/>
        <v>-</v>
      </c>
      <c r="J53" s="85" t="str">
        <f t="shared" si="102"/>
        <v>-</v>
      </c>
      <c r="K53" s="85" t="str">
        <f t="shared" si="103"/>
        <v>-</v>
      </c>
      <c r="L53" s="85" t="str">
        <f>'Consumer Hardware Pricing'!Q61</f>
        <v>-</v>
      </c>
      <c r="M53" s="85" t="str">
        <f t="shared" si="2"/>
        <v>-</v>
      </c>
      <c r="N53" s="85" t="str">
        <f t="shared" si="104"/>
        <v>-</v>
      </c>
      <c r="O53" s="85" t="str">
        <f t="shared" si="105"/>
        <v>-</v>
      </c>
      <c r="P53" s="85" t="str">
        <f t="shared" si="106"/>
        <v>-</v>
      </c>
      <c r="Q53" s="85" t="str">
        <f>'Consumer Hardware Pricing'!S61</f>
        <v>-</v>
      </c>
      <c r="R53" s="85" t="str">
        <f t="shared" si="107"/>
        <v>-</v>
      </c>
      <c r="S53" s="85" t="str">
        <f>'Consumer Hardware Pricing'!T61</f>
        <v>-</v>
      </c>
      <c r="T53" s="129" t="str">
        <f t="shared" si="108"/>
        <v>-</v>
      </c>
      <c r="U53" s="129" t="str">
        <f t="shared" si="109"/>
        <v>-</v>
      </c>
      <c r="V53" s="85" t="str">
        <f t="shared" si="110"/>
        <v>-</v>
      </c>
      <c r="W53" s="129" t="str">
        <f>'Consumer Hardware Pricing'!V61</f>
        <v>-</v>
      </c>
      <c r="X53" s="129" t="str">
        <f t="shared" si="6"/>
        <v>-</v>
      </c>
      <c r="Y53" s="129" t="str">
        <f t="shared" si="111"/>
        <v>-</v>
      </c>
      <c r="Z53" s="129" t="str">
        <f t="shared" si="112"/>
        <v>-</v>
      </c>
      <c r="AA53" s="85" t="str">
        <f t="shared" si="113"/>
        <v>-</v>
      </c>
      <c r="AB53" s="85" t="str">
        <f>'Consumer Hardware Pricing'!X61</f>
        <v>-</v>
      </c>
      <c r="AC53" s="85" t="str">
        <f t="shared" si="7"/>
        <v>-</v>
      </c>
      <c r="AD53" s="85" t="str">
        <f>'Consumer Hardware Pricing'!Y61</f>
        <v>-</v>
      </c>
      <c r="AE53" s="85" t="str">
        <f t="shared" si="35"/>
        <v>-</v>
      </c>
      <c r="AF53" s="85" t="str">
        <f t="shared" si="36"/>
        <v>-</v>
      </c>
      <c r="AG53" s="85" t="str">
        <f t="shared" si="37"/>
        <v>-</v>
      </c>
      <c r="AH53" s="85" t="str">
        <f>'Consumer Hardware Pricing'!AA61</f>
        <v>-</v>
      </c>
      <c r="AI53" s="85" t="str">
        <f t="shared" si="9"/>
        <v>-</v>
      </c>
      <c r="AJ53" s="85" t="str">
        <f t="shared" si="38"/>
        <v>-</v>
      </c>
      <c r="AK53" s="85" t="str">
        <f t="shared" si="39"/>
        <v>-</v>
      </c>
      <c r="AL53" s="85" t="str">
        <f t="shared" si="40"/>
        <v>-</v>
      </c>
      <c r="AM53" s="85" t="str">
        <f>'Consumer Hardware Pricing'!AC61</f>
        <v>-</v>
      </c>
      <c r="AN53" s="85" t="str">
        <f t="shared" si="12"/>
        <v>-</v>
      </c>
      <c r="AO53" s="85" t="str">
        <f>'Consumer Hardware Pricing'!AD61</f>
        <v>-</v>
      </c>
      <c r="AP53" s="85" t="str">
        <f t="shared" si="41"/>
        <v>-</v>
      </c>
      <c r="AQ53" s="85" t="str">
        <f t="shared" si="42"/>
        <v>-</v>
      </c>
      <c r="AR53" s="85" t="str">
        <f t="shared" si="43"/>
        <v>-</v>
      </c>
      <c r="AS53" s="85" t="str">
        <f>'Consumer Hardware Pricing'!AF61</f>
        <v>-</v>
      </c>
      <c r="AT53" s="85" t="str">
        <f t="shared" si="13"/>
        <v>-</v>
      </c>
      <c r="AU53" s="85" t="str">
        <f t="shared" si="44"/>
        <v>-</v>
      </c>
      <c r="AV53" s="85" t="str">
        <f t="shared" si="45"/>
        <v>-</v>
      </c>
      <c r="AW53" s="85" t="str">
        <f t="shared" si="46"/>
        <v>-</v>
      </c>
      <c r="AX53" s="85" t="str">
        <f>'Consumer Hardware Pricing'!AH61</f>
        <v>-</v>
      </c>
      <c r="AY53" s="85" t="str">
        <f t="shared" si="14"/>
        <v>-</v>
      </c>
      <c r="AZ53" s="85" t="str">
        <f>'Consumer Hardware Pricing'!AI61</f>
        <v>-</v>
      </c>
      <c r="BA53" s="85" t="str">
        <f t="shared" si="114"/>
        <v>-</v>
      </c>
      <c r="BB53" s="85" t="str">
        <f t="shared" si="115"/>
        <v>-</v>
      </c>
      <c r="BC53" s="85" t="str">
        <f t="shared" si="116"/>
        <v>-</v>
      </c>
      <c r="BD53" s="85">
        <f>'Consumer Hardware Pricing'!AL61</f>
        <v>0</v>
      </c>
      <c r="BE53" s="85">
        <f t="shared" si="17"/>
        <v>41.5</v>
      </c>
      <c r="BF53" s="85" t="str">
        <f>'Consumer Hardware Pricing'!AM61</f>
        <v>-</v>
      </c>
      <c r="BG53" s="85">
        <f t="shared" si="117"/>
        <v>41.5</v>
      </c>
      <c r="BH53" s="85" t="str">
        <f t="shared" si="118"/>
        <v>-</v>
      </c>
      <c r="BI53" s="85">
        <f t="shared" si="119"/>
        <v>996</v>
      </c>
      <c r="BJ53" s="85" t="str">
        <f>'Consumer Hardware Pricing'!AP61</f>
        <v>-</v>
      </c>
      <c r="BK53" s="85" t="str">
        <f t="shared" si="20"/>
        <v>-</v>
      </c>
      <c r="BL53" s="85" t="str">
        <f>'Consumer Hardware Pricing'!AQ61</f>
        <v>-</v>
      </c>
      <c r="BM53" s="85" t="str">
        <f t="shared" si="120"/>
        <v>-</v>
      </c>
      <c r="BN53" s="85" t="str">
        <f t="shared" si="121"/>
        <v>-</v>
      </c>
      <c r="BO53" s="85" t="str">
        <f t="shared" si="122"/>
        <v>-</v>
      </c>
      <c r="BP53" s="85" t="str">
        <f>'Consumer Hardware Pricing'!AT61</f>
        <v>-</v>
      </c>
      <c r="BQ53" s="85" t="str">
        <f t="shared" si="23"/>
        <v>-</v>
      </c>
      <c r="BR53" s="85" t="str">
        <f>'Consumer Hardware Pricing'!AU61</f>
        <v>-</v>
      </c>
      <c r="BS53" s="85" t="str">
        <f t="shared" si="123"/>
        <v>-</v>
      </c>
      <c r="BT53" s="85" t="str">
        <f t="shared" si="124"/>
        <v>-</v>
      </c>
      <c r="BU53" s="85" t="str">
        <f t="shared" si="125"/>
        <v>-</v>
      </c>
    </row>
    <row r="54" spans="1:73" ht="30.15" customHeight="1" x14ac:dyDescent="0.25">
      <c r="A54" s="86" t="s">
        <v>35</v>
      </c>
      <c r="B54" s="88" t="s">
        <v>972</v>
      </c>
      <c r="C54" s="88" t="s">
        <v>1004</v>
      </c>
      <c r="D54" s="85">
        <f>'Consumer Hardware Pricing'!L62</f>
        <v>935</v>
      </c>
      <c r="E54" s="85">
        <f>'Consumer Hardware Pricing'!M62</f>
        <v>935</v>
      </c>
      <c r="F54" s="85" t="str">
        <f>'Consumer Hardware Pricing'!N62</f>
        <v>-</v>
      </c>
      <c r="G54" s="85" t="str">
        <f t="shared" si="0"/>
        <v>-</v>
      </c>
      <c r="H54" s="85" t="str">
        <f>'Consumer Hardware Pricing'!O62</f>
        <v>-</v>
      </c>
      <c r="I54" s="85" t="str">
        <f t="shared" si="101"/>
        <v>-</v>
      </c>
      <c r="J54" s="85" t="str">
        <f t="shared" si="102"/>
        <v>-</v>
      </c>
      <c r="K54" s="85" t="str">
        <f t="shared" si="103"/>
        <v>-</v>
      </c>
      <c r="L54" s="85" t="str">
        <f>'Consumer Hardware Pricing'!Q62</f>
        <v>-</v>
      </c>
      <c r="M54" s="85" t="str">
        <f t="shared" si="2"/>
        <v>-</v>
      </c>
      <c r="N54" s="85" t="str">
        <f t="shared" si="104"/>
        <v>-</v>
      </c>
      <c r="O54" s="85" t="str">
        <f t="shared" si="105"/>
        <v>-</v>
      </c>
      <c r="P54" s="85" t="str">
        <f t="shared" si="106"/>
        <v>-</v>
      </c>
      <c r="Q54" s="85" t="str">
        <f>'Consumer Hardware Pricing'!S62</f>
        <v>-</v>
      </c>
      <c r="R54" s="85" t="str">
        <f t="shared" si="107"/>
        <v>-</v>
      </c>
      <c r="S54" s="85" t="str">
        <f>'Consumer Hardware Pricing'!T62</f>
        <v>-</v>
      </c>
      <c r="T54" s="129" t="str">
        <f t="shared" si="108"/>
        <v>-</v>
      </c>
      <c r="U54" s="129" t="str">
        <f t="shared" si="109"/>
        <v>-</v>
      </c>
      <c r="V54" s="85" t="str">
        <f t="shared" si="110"/>
        <v>-</v>
      </c>
      <c r="W54" s="129" t="str">
        <f>'Consumer Hardware Pricing'!V62</f>
        <v>-</v>
      </c>
      <c r="X54" s="129" t="str">
        <f t="shared" si="6"/>
        <v>-</v>
      </c>
      <c r="Y54" s="129" t="str">
        <f t="shared" si="111"/>
        <v>-</v>
      </c>
      <c r="Z54" s="129" t="str">
        <f t="shared" si="112"/>
        <v>-</v>
      </c>
      <c r="AA54" s="85" t="str">
        <f t="shared" si="113"/>
        <v>-</v>
      </c>
      <c r="AB54" s="85" t="str">
        <f>'Consumer Hardware Pricing'!X62</f>
        <v>-</v>
      </c>
      <c r="AC54" s="85" t="str">
        <f t="shared" si="7"/>
        <v>-</v>
      </c>
      <c r="AD54" s="85" t="str">
        <f>'Consumer Hardware Pricing'!Y62</f>
        <v>-</v>
      </c>
      <c r="AE54" s="85" t="str">
        <f t="shared" si="35"/>
        <v>-</v>
      </c>
      <c r="AF54" s="85" t="str">
        <f t="shared" si="36"/>
        <v>-</v>
      </c>
      <c r="AG54" s="85" t="str">
        <f t="shared" si="37"/>
        <v>-</v>
      </c>
      <c r="AH54" s="85" t="str">
        <f>'Consumer Hardware Pricing'!AA62</f>
        <v>-</v>
      </c>
      <c r="AI54" s="85" t="str">
        <f t="shared" si="9"/>
        <v>-</v>
      </c>
      <c r="AJ54" s="85" t="str">
        <f t="shared" si="38"/>
        <v>-</v>
      </c>
      <c r="AK54" s="85" t="str">
        <f t="shared" si="39"/>
        <v>-</v>
      </c>
      <c r="AL54" s="85" t="str">
        <f t="shared" si="40"/>
        <v>-</v>
      </c>
      <c r="AM54" s="85" t="str">
        <f>'Consumer Hardware Pricing'!AC62</f>
        <v>-</v>
      </c>
      <c r="AN54" s="85" t="str">
        <f t="shared" si="12"/>
        <v>-</v>
      </c>
      <c r="AO54" s="85" t="str">
        <f>'Consumer Hardware Pricing'!AD62</f>
        <v>-</v>
      </c>
      <c r="AP54" s="85" t="str">
        <f t="shared" si="41"/>
        <v>-</v>
      </c>
      <c r="AQ54" s="85" t="str">
        <f t="shared" si="42"/>
        <v>-</v>
      </c>
      <c r="AR54" s="85" t="str">
        <f t="shared" si="43"/>
        <v>-</v>
      </c>
      <c r="AS54" s="85" t="str">
        <f>'Consumer Hardware Pricing'!AF62</f>
        <v>-</v>
      </c>
      <c r="AT54" s="85" t="str">
        <f t="shared" si="13"/>
        <v>-</v>
      </c>
      <c r="AU54" s="85" t="str">
        <f t="shared" si="44"/>
        <v>-</v>
      </c>
      <c r="AV54" s="85" t="str">
        <f t="shared" si="45"/>
        <v>-</v>
      </c>
      <c r="AW54" s="85" t="str">
        <f t="shared" si="46"/>
        <v>-</v>
      </c>
      <c r="AX54" s="85" t="str">
        <f>'Consumer Hardware Pricing'!AH62</f>
        <v>-</v>
      </c>
      <c r="AY54" s="85" t="str">
        <f t="shared" si="14"/>
        <v>-</v>
      </c>
      <c r="AZ54" s="85" t="str">
        <f>'Consumer Hardware Pricing'!AI62</f>
        <v>-</v>
      </c>
      <c r="BA54" s="85" t="str">
        <f t="shared" si="114"/>
        <v>-</v>
      </c>
      <c r="BB54" s="85" t="str">
        <f t="shared" si="115"/>
        <v>-</v>
      </c>
      <c r="BC54" s="85" t="str">
        <f t="shared" si="116"/>
        <v>-</v>
      </c>
      <c r="BD54" s="85">
        <f>'Consumer Hardware Pricing'!AL62</f>
        <v>0</v>
      </c>
      <c r="BE54" s="85">
        <f t="shared" si="17"/>
        <v>38.96</v>
      </c>
      <c r="BF54" s="85" t="str">
        <f>'Consumer Hardware Pricing'!AM62</f>
        <v>-</v>
      </c>
      <c r="BG54" s="85">
        <f t="shared" si="117"/>
        <v>38.96</v>
      </c>
      <c r="BH54" s="85" t="str">
        <f t="shared" si="118"/>
        <v>-</v>
      </c>
      <c r="BI54" s="85">
        <f t="shared" si="119"/>
        <v>935.04</v>
      </c>
      <c r="BJ54" s="85" t="str">
        <f>'Consumer Hardware Pricing'!AP62</f>
        <v>-</v>
      </c>
      <c r="BK54" s="85" t="str">
        <f t="shared" si="20"/>
        <v>-</v>
      </c>
      <c r="BL54" s="85" t="str">
        <f>'Consumer Hardware Pricing'!AQ62</f>
        <v>-</v>
      </c>
      <c r="BM54" s="85" t="str">
        <f t="shared" si="120"/>
        <v>-</v>
      </c>
      <c r="BN54" s="85" t="str">
        <f t="shared" si="121"/>
        <v>-</v>
      </c>
      <c r="BO54" s="85" t="str">
        <f t="shared" si="122"/>
        <v>-</v>
      </c>
      <c r="BP54" s="85" t="str">
        <f>'Consumer Hardware Pricing'!AT62</f>
        <v>-</v>
      </c>
      <c r="BQ54" s="85" t="str">
        <f t="shared" si="23"/>
        <v>-</v>
      </c>
      <c r="BR54" s="85" t="str">
        <f>'Consumer Hardware Pricing'!AU62</f>
        <v>-</v>
      </c>
      <c r="BS54" s="85" t="str">
        <f t="shared" si="123"/>
        <v>-</v>
      </c>
      <c r="BT54" s="85" t="str">
        <f t="shared" si="124"/>
        <v>-</v>
      </c>
      <c r="BU54" s="85" t="str">
        <f t="shared" si="125"/>
        <v>-</v>
      </c>
    </row>
    <row r="55" spans="1:73" ht="30.15" customHeight="1" x14ac:dyDescent="0.25">
      <c r="A55" s="86" t="s">
        <v>35</v>
      </c>
      <c r="B55" s="88" t="s">
        <v>973</v>
      </c>
      <c r="C55" s="88" t="s">
        <v>1005</v>
      </c>
      <c r="D55" s="85">
        <f>'Consumer Hardware Pricing'!L63</f>
        <v>740</v>
      </c>
      <c r="E55" s="85">
        <f>'Consumer Hardware Pricing'!M63</f>
        <v>740</v>
      </c>
      <c r="F55" s="85" t="str">
        <f>'Consumer Hardware Pricing'!N63</f>
        <v>-</v>
      </c>
      <c r="G55" s="85" t="str">
        <f t="shared" si="0"/>
        <v>-</v>
      </c>
      <c r="H55" s="85" t="str">
        <f>'Consumer Hardware Pricing'!O63</f>
        <v>-</v>
      </c>
      <c r="I55" s="85" t="str">
        <f t="shared" si="101"/>
        <v>-</v>
      </c>
      <c r="J55" s="85" t="str">
        <f t="shared" si="102"/>
        <v>-</v>
      </c>
      <c r="K55" s="85" t="str">
        <f t="shared" si="103"/>
        <v>-</v>
      </c>
      <c r="L55" s="85" t="str">
        <f>'Consumer Hardware Pricing'!Q63</f>
        <v>-</v>
      </c>
      <c r="M55" s="85" t="str">
        <f t="shared" si="2"/>
        <v>-</v>
      </c>
      <c r="N55" s="85" t="str">
        <f t="shared" si="104"/>
        <v>-</v>
      </c>
      <c r="O55" s="85" t="str">
        <f t="shared" si="105"/>
        <v>-</v>
      </c>
      <c r="P55" s="85" t="str">
        <f t="shared" si="106"/>
        <v>-</v>
      </c>
      <c r="Q55" s="85" t="str">
        <f>'Consumer Hardware Pricing'!S63</f>
        <v>-</v>
      </c>
      <c r="R55" s="85" t="str">
        <f t="shared" si="107"/>
        <v>-</v>
      </c>
      <c r="S55" s="85" t="str">
        <f>'Consumer Hardware Pricing'!T63</f>
        <v>-</v>
      </c>
      <c r="T55" s="129" t="str">
        <f t="shared" si="108"/>
        <v>-</v>
      </c>
      <c r="U55" s="129" t="str">
        <f t="shared" si="109"/>
        <v>-</v>
      </c>
      <c r="V55" s="85" t="str">
        <f t="shared" si="110"/>
        <v>-</v>
      </c>
      <c r="W55" s="129" t="str">
        <f>'Consumer Hardware Pricing'!V63</f>
        <v>-</v>
      </c>
      <c r="X55" s="129" t="str">
        <f t="shared" si="6"/>
        <v>-</v>
      </c>
      <c r="Y55" s="129" t="str">
        <f t="shared" si="111"/>
        <v>-</v>
      </c>
      <c r="Z55" s="129" t="str">
        <f t="shared" si="112"/>
        <v>-</v>
      </c>
      <c r="AA55" s="85" t="str">
        <f t="shared" si="113"/>
        <v>-</v>
      </c>
      <c r="AB55" s="85" t="str">
        <f>'Consumer Hardware Pricing'!X63</f>
        <v>-</v>
      </c>
      <c r="AC55" s="85" t="str">
        <f t="shared" si="7"/>
        <v>-</v>
      </c>
      <c r="AD55" s="85" t="str">
        <f>'Consumer Hardware Pricing'!Y63</f>
        <v>-</v>
      </c>
      <c r="AE55" s="85" t="str">
        <f t="shared" si="35"/>
        <v>-</v>
      </c>
      <c r="AF55" s="85" t="str">
        <f t="shared" si="36"/>
        <v>-</v>
      </c>
      <c r="AG55" s="85" t="str">
        <f t="shared" si="37"/>
        <v>-</v>
      </c>
      <c r="AH55" s="85" t="str">
        <f>'Consumer Hardware Pricing'!AA63</f>
        <v>-</v>
      </c>
      <c r="AI55" s="85" t="str">
        <f t="shared" si="9"/>
        <v>-</v>
      </c>
      <c r="AJ55" s="85" t="str">
        <f t="shared" si="38"/>
        <v>-</v>
      </c>
      <c r="AK55" s="85" t="str">
        <f t="shared" si="39"/>
        <v>-</v>
      </c>
      <c r="AL55" s="85" t="str">
        <f t="shared" si="40"/>
        <v>-</v>
      </c>
      <c r="AM55" s="85" t="str">
        <f>'Consumer Hardware Pricing'!AC63</f>
        <v>-</v>
      </c>
      <c r="AN55" s="85" t="str">
        <f t="shared" si="12"/>
        <v>-</v>
      </c>
      <c r="AO55" s="85" t="str">
        <f>'Consumer Hardware Pricing'!AD63</f>
        <v>-</v>
      </c>
      <c r="AP55" s="85" t="str">
        <f t="shared" si="41"/>
        <v>-</v>
      </c>
      <c r="AQ55" s="85" t="str">
        <f t="shared" si="42"/>
        <v>-</v>
      </c>
      <c r="AR55" s="85" t="str">
        <f t="shared" si="43"/>
        <v>-</v>
      </c>
      <c r="AS55" s="85" t="str">
        <f>'Consumer Hardware Pricing'!AF63</f>
        <v>-</v>
      </c>
      <c r="AT55" s="85" t="str">
        <f t="shared" si="13"/>
        <v>-</v>
      </c>
      <c r="AU55" s="85" t="str">
        <f t="shared" si="44"/>
        <v>-</v>
      </c>
      <c r="AV55" s="85" t="str">
        <f t="shared" si="45"/>
        <v>-</v>
      </c>
      <c r="AW55" s="85" t="str">
        <f t="shared" si="46"/>
        <v>-</v>
      </c>
      <c r="AX55" s="85" t="str">
        <f>'Consumer Hardware Pricing'!AH63</f>
        <v>-</v>
      </c>
      <c r="AY55" s="85" t="str">
        <f t="shared" si="14"/>
        <v>-</v>
      </c>
      <c r="AZ55" s="85" t="str">
        <f>'Consumer Hardware Pricing'!AI63</f>
        <v>-</v>
      </c>
      <c r="BA55" s="85" t="str">
        <f t="shared" si="114"/>
        <v>-</v>
      </c>
      <c r="BB55" s="85" t="str">
        <f t="shared" si="115"/>
        <v>-</v>
      </c>
      <c r="BC55" s="85" t="str">
        <f t="shared" si="116"/>
        <v>-</v>
      </c>
      <c r="BD55" s="85">
        <f>'Consumer Hardware Pricing'!AL63</f>
        <v>0</v>
      </c>
      <c r="BE55" s="85">
        <f t="shared" si="17"/>
        <v>30.84</v>
      </c>
      <c r="BF55" s="85" t="str">
        <f>'Consumer Hardware Pricing'!AM63</f>
        <v>-</v>
      </c>
      <c r="BG55" s="85">
        <f t="shared" si="117"/>
        <v>30.84</v>
      </c>
      <c r="BH55" s="85" t="str">
        <f t="shared" si="118"/>
        <v>-</v>
      </c>
      <c r="BI55" s="85">
        <f t="shared" si="119"/>
        <v>740.16</v>
      </c>
      <c r="BJ55" s="85" t="str">
        <f>'Consumer Hardware Pricing'!AP63</f>
        <v>-</v>
      </c>
      <c r="BK55" s="85" t="str">
        <f t="shared" si="20"/>
        <v>-</v>
      </c>
      <c r="BL55" s="85" t="str">
        <f>'Consumer Hardware Pricing'!AQ63</f>
        <v>-</v>
      </c>
      <c r="BM55" s="85" t="str">
        <f t="shared" si="120"/>
        <v>-</v>
      </c>
      <c r="BN55" s="85" t="str">
        <f t="shared" si="121"/>
        <v>-</v>
      </c>
      <c r="BO55" s="85" t="str">
        <f t="shared" si="122"/>
        <v>-</v>
      </c>
      <c r="BP55" s="85" t="str">
        <f>'Consumer Hardware Pricing'!AT63</f>
        <v>-</v>
      </c>
      <c r="BQ55" s="85" t="str">
        <f t="shared" si="23"/>
        <v>-</v>
      </c>
      <c r="BR55" s="85" t="str">
        <f>'Consumer Hardware Pricing'!AU63</f>
        <v>-</v>
      </c>
      <c r="BS55" s="85" t="str">
        <f t="shared" si="123"/>
        <v>-</v>
      </c>
      <c r="BT55" s="85" t="str">
        <f t="shared" si="124"/>
        <v>-</v>
      </c>
      <c r="BU55" s="85" t="str">
        <f t="shared" si="125"/>
        <v>-</v>
      </c>
    </row>
    <row r="56" spans="1:73" ht="30.15" customHeight="1" x14ac:dyDescent="0.25">
      <c r="A56" s="86" t="s">
        <v>35</v>
      </c>
      <c r="B56" s="88" t="s">
        <v>974</v>
      </c>
      <c r="C56" s="88" t="s">
        <v>1006</v>
      </c>
      <c r="D56" s="85">
        <f>'Consumer Hardware Pricing'!L64</f>
        <v>996</v>
      </c>
      <c r="E56" s="85">
        <f>'Consumer Hardware Pricing'!M64</f>
        <v>996</v>
      </c>
      <c r="F56" s="85" t="str">
        <f>'Consumer Hardware Pricing'!N64</f>
        <v>-</v>
      </c>
      <c r="G56" s="85" t="str">
        <f t="shared" ref="G56:G91" si="126">IF(F56="-","-",ROUNDUP(D56/24,2))</f>
        <v>-</v>
      </c>
      <c r="H56" s="85" t="str">
        <f>'Consumer Hardware Pricing'!O64</f>
        <v>-</v>
      </c>
      <c r="I56" s="85" t="str">
        <f t="shared" si="101"/>
        <v>-</v>
      </c>
      <c r="J56" s="85" t="str">
        <f t="shared" si="102"/>
        <v>-</v>
      </c>
      <c r="K56" s="85" t="str">
        <f t="shared" si="103"/>
        <v>-</v>
      </c>
      <c r="L56" s="85" t="str">
        <f>'Consumer Hardware Pricing'!Q64</f>
        <v>-</v>
      </c>
      <c r="M56" s="85" t="str">
        <f t="shared" ref="M56:M91" si="127">IF(L56="-",L56,IF(H56="-",G56-ROUNDUP((D56-L56)/24,2),H56+G56-ROUNDUP((D56-L56)/24,2)))</f>
        <v>-</v>
      </c>
      <c r="N56" s="85" t="str">
        <f t="shared" si="104"/>
        <v>-</v>
      </c>
      <c r="O56" s="85" t="str">
        <f t="shared" si="105"/>
        <v>-</v>
      </c>
      <c r="P56" s="85" t="str">
        <f t="shared" si="106"/>
        <v>-</v>
      </c>
      <c r="Q56" s="85" t="str">
        <f>'Consumer Hardware Pricing'!S64</f>
        <v>-</v>
      </c>
      <c r="R56" s="85" t="str">
        <f t="shared" si="107"/>
        <v>-</v>
      </c>
      <c r="S56" s="85" t="str">
        <f>'Consumer Hardware Pricing'!T64</f>
        <v>-</v>
      </c>
      <c r="T56" s="129" t="str">
        <f t="shared" si="108"/>
        <v>-</v>
      </c>
      <c r="U56" s="129" t="str">
        <f t="shared" si="109"/>
        <v>-</v>
      </c>
      <c r="V56" s="85" t="str">
        <f t="shared" si="110"/>
        <v>-</v>
      </c>
      <c r="W56" s="129" t="str">
        <f>'Consumer Hardware Pricing'!V64</f>
        <v>-</v>
      </c>
      <c r="X56" s="129" t="str">
        <f t="shared" ref="X56:X91" si="128">IF(W56="-",W56,IF(S56="-",R56-ROUNDUP((D56-W56)/24,2),S56+R56-ROUNDUP((D56-W56)/24,2)))</f>
        <v>-</v>
      </c>
      <c r="Y56" s="129" t="str">
        <f t="shared" si="111"/>
        <v>-</v>
      </c>
      <c r="Z56" s="129" t="str">
        <f t="shared" si="112"/>
        <v>-</v>
      </c>
      <c r="AA56" s="85" t="str">
        <f t="shared" si="113"/>
        <v>-</v>
      </c>
      <c r="AB56" s="85" t="str">
        <f>'Consumer Hardware Pricing'!X64</f>
        <v>-</v>
      </c>
      <c r="AC56" s="85" t="str">
        <f t="shared" si="7"/>
        <v>-</v>
      </c>
      <c r="AD56" s="85" t="str">
        <f>'Consumer Hardware Pricing'!Y64</f>
        <v>-</v>
      </c>
      <c r="AE56" s="85" t="str">
        <f t="shared" si="35"/>
        <v>-</v>
      </c>
      <c r="AF56" s="85" t="str">
        <f t="shared" si="36"/>
        <v>-</v>
      </c>
      <c r="AG56" s="85" t="str">
        <f t="shared" si="37"/>
        <v>-</v>
      </c>
      <c r="AH56" s="85" t="str">
        <f>'Consumer Hardware Pricing'!AA64</f>
        <v>-</v>
      </c>
      <c r="AI56" s="85" t="str">
        <f t="shared" si="9"/>
        <v>-</v>
      </c>
      <c r="AJ56" s="85" t="str">
        <f t="shared" si="38"/>
        <v>-</v>
      </c>
      <c r="AK56" s="85" t="str">
        <f t="shared" si="39"/>
        <v>-</v>
      </c>
      <c r="AL56" s="85" t="str">
        <f t="shared" si="40"/>
        <v>-</v>
      </c>
      <c r="AM56" s="85" t="str">
        <f>'Consumer Hardware Pricing'!AC64</f>
        <v>-</v>
      </c>
      <c r="AN56" s="85" t="str">
        <f t="shared" si="12"/>
        <v>-</v>
      </c>
      <c r="AO56" s="85" t="str">
        <f>'Consumer Hardware Pricing'!AD64</f>
        <v>-</v>
      </c>
      <c r="AP56" s="85" t="str">
        <f t="shared" si="41"/>
        <v>-</v>
      </c>
      <c r="AQ56" s="85" t="str">
        <f t="shared" si="42"/>
        <v>-</v>
      </c>
      <c r="AR56" s="85" t="str">
        <f t="shared" si="43"/>
        <v>-</v>
      </c>
      <c r="AS56" s="85" t="str">
        <f>'Consumer Hardware Pricing'!AF64</f>
        <v>-</v>
      </c>
      <c r="AT56" s="85" t="str">
        <f t="shared" si="13"/>
        <v>-</v>
      </c>
      <c r="AU56" s="85" t="str">
        <f t="shared" si="44"/>
        <v>-</v>
      </c>
      <c r="AV56" s="85" t="str">
        <f t="shared" si="45"/>
        <v>-</v>
      </c>
      <c r="AW56" s="85" t="str">
        <f t="shared" si="46"/>
        <v>-</v>
      </c>
      <c r="AX56" s="85" t="str">
        <f>'Consumer Hardware Pricing'!AH64</f>
        <v>-</v>
      </c>
      <c r="AY56" s="85" t="str">
        <f t="shared" si="14"/>
        <v>-</v>
      </c>
      <c r="AZ56" s="85" t="str">
        <f>'Consumer Hardware Pricing'!AI64</f>
        <v>-</v>
      </c>
      <c r="BA56" s="85" t="str">
        <f t="shared" si="114"/>
        <v>-</v>
      </c>
      <c r="BB56" s="85" t="str">
        <f t="shared" si="115"/>
        <v>-</v>
      </c>
      <c r="BC56" s="85" t="str">
        <f t="shared" si="116"/>
        <v>-</v>
      </c>
      <c r="BD56" s="85">
        <f>'Consumer Hardware Pricing'!AL64</f>
        <v>0</v>
      </c>
      <c r="BE56" s="85">
        <f t="shared" si="17"/>
        <v>41.5</v>
      </c>
      <c r="BF56" s="85" t="str">
        <f>'Consumer Hardware Pricing'!AM64</f>
        <v>-</v>
      </c>
      <c r="BG56" s="85">
        <f t="shared" si="117"/>
        <v>41.5</v>
      </c>
      <c r="BH56" s="85" t="str">
        <f t="shared" si="118"/>
        <v>-</v>
      </c>
      <c r="BI56" s="85">
        <f t="shared" si="119"/>
        <v>996</v>
      </c>
      <c r="BJ56" s="85" t="str">
        <f>'Consumer Hardware Pricing'!AP64</f>
        <v>-</v>
      </c>
      <c r="BK56" s="85" t="str">
        <f t="shared" si="20"/>
        <v>-</v>
      </c>
      <c r="BL56" s="85" t="str">
        <f>'Consumer Hardware Pricing'!AQ64</f>
        <v>-</v>
      </c>
      <c r="BM56" s="85" t="str">
        <f t="shared" si="120"/>
        <v>-</v>
      </c>
      <c r="BN56" s="85" t="str">
        <f t="shared" si="121"/>
        <v>-</v>
      </c>
      <c r="BO56" s="85" t="str">
        <f t="shared" si="122"/>
        <v>-</v>
      </c>
      <c r="BP56" s="85" t="str">
        <f>'Consumer Hardware Pricing'!AT64</f>
        <v>-</v>
      </c>
      <c r="BQ56" s="85" t="str">
        <f t="shared" si="23"/>
        <v>-</v>
      </c>
      <c r="BR56" s="85" t="str">
        <f>'Consumer Hardware Pricing'!AU64</f>
        <v>-</v>
      </c>
      <c r="BS56" s="85" t="str">
        <f t="shared" si="123"/>
        <v>-</v>
      </c>
      <c r="BT56" s="85" t="str">
        <f t="shared" si="124"/>
        <v>-</v>
      </c>
      <c r="BU56" s="85" t="str">
        <f t="shared" si="125"/>
        <v>-</v>
      </c>
    </row>
    <row r="57" spans="1:73" ht="30.15" customHeight="1" x14ac:dyDescent="0.25">
      <c r="A57" s="86" t="s">
        <v>35</v>
      </c>
      <c r="B57" s="88" t="s">
        <v>975</v>
      </c>
      <c r="C57" s="88" t="s">
        <v>1007</v>
      </c>
      <c r="D57" s="85">
        <f>'Consumer Hardware Pricing'!L65</f>
        <v>1056</v>
      </c>
      <c r="E57" s="85">
        <f>'Consumer Hardware Pricing'!M65</f>
        <v>1056</v>
      </c>
      <c r="F57" s="85" t="str">
        <f>'Consumer Hardware Pricing'!N65</f>
        <v>-</v>
      </c>
      <c r="G57" s="85" t="str">
        <f t="shared" si="126"/>
        <v>-</v>
      </c>
      <c r="H57" s="85" t="str">
        <f>'Consumer Hardware Pricing'!O65</f>
        <v>-</v>
      </c>
      <c r="I57" s="85" t="str">
        <f t="shared" si="101"/>
        <v>-</v>
      </c>
      <c r="J57" s="85" t="str">
        <f t="shared" si="102"/>
        <v>-</v>
      </c>
      <c r="K57" s="85" t="str">
        <f t="shared" si="103"/>
        <v>-</v>
      </c>
      <c r="L57" s="85" t="str">
        <f>'Consumer Hardware Pricing'!Q65</f>
        <v>-</v>
      </c>
      <c r="M57" s="85" t="str">
        <f t="shared" si="127"/>
        <v>-</v>
      </c>
      <c r="N57" s="85" t="str">
        <f t="shared" si="104"/>
        <v>-</v>
      </c>
      <c r="O57" s="85" t="str">
        <f t="shared" si="105"/>
        <v>-</v>
      </c>
      <c r="P57" s="85" t="str">
        <f t="shared" si="106"/>
        <v>-</v>
      </c>
      <c r="Q57" s="85" t="str">
        <f>'Consumer Hardware Pricing'!S65</f>
        <v>-</v>
      </c>
      <c r="R57" s="85" t="str">
        <f t="shared" si="107"/>
        <v>-</v>
      </c>
      <c r="S57" s="85" t="str">
        <f>'Consumer Hardware Pricing'!T65</f>
        <v>-</v>
      </c>
      <c r="T57" s="129" t="str">
        <f t="shared" si="108"/>
        <v>-</v>
      </c>
      <c r="U57" s="129" t="str">
        <f t="shared" si="109"/>
        <v>-</v>
      </c>
      <c r="V57" s="85" t="str">
        <f t="shared" si="110"/>
        <v>-</v>
      </c>
      <c r="W57" s="129" t="str">
        <f>'Consumer Hardware Pricing'!V65</f>
        <v>-</v>
      </c>
      <c r="X57" s="129" t="str">
        <f t="shared" si="128"/>
        <v>-</v>
      </c>
      <c r="Y57" s="129" t="str">
        <f t="shared" si="111"/>
        <v>-</v>
      </c>
      <c r="Z57" s="129" t="str">
        <f t="shared" si="112"/>
        <v>-</v>
      </c>
      <c r="AA57" s="85" t="str">
        <f t="shared" si="113"/>
        <v>-</v>
      </c>
      <c r="AB57" s="85" t="str">
        <f>'Consumer Hardware Pricing'!X65</f>
        <v>-</v>
      </c>
      <c r="AC57" s="85" t="str">
        <f t="shared" si="7"/>
        <v>-</v>
      </c>
      <c r="AD57" s="85" t="str">
        <f>'Consumer Hardware Pricing'!Y65</f>
        <v>-</v>
      </c>
      <c r="AE57" s="85" t="str">
        <f t="shared" ref="AE57:AE92" si="129">IF(AD57="-",AC57,AC57-AD57)</f>
        <v>-</v>
      </c>
      <c r="AF57" s="85" t="str">
        <f t="shared" ref="AF57:AF92" si="130">IF(AD57="-",AD57,AD57*24)</f>
        <v>-</v>
      </c>
      <c r="AG57" s="85" t="str">
        <f t="shared" ref="AG57:AG92" si="131">IF(AB57="-",AB57,AE57*24)</f>
        <v>-</v>
      </c>
      <c r="AH57" s="85" t="str">
        <f>'Consumer Hardware Pricing'!AA65</f>
        <v>-</v>
      </c>
      <c r="AI57" s="85" t="str">
        <f t="shared" si="9"/>
        <v>-</v>
      </c>
      <c r="AJ57" s="85" t="str">
        <f t="shared" ref="AJ57:AJ92" si="132">IF(AH57="-",AH57,AC57-AI57)</f>
        <v>-</v>
      </c>
      <c r="AK57" s="85" t="str">
        <f t="shared" ref="AK57:AK92" si="133">IF(AH57="-",AH57,AI57*24)</f>
        <v>-</v>
      </c>
      <c r="AL57" s="85" t="str">
        <f t="shared" ref="AL57:AL92" si="134">IF(AH57="-",AH57,AJ57*24)</f>
        <v>-</v>
      </c>
      <c r="AM57" s="85" t="str">
        <f>'Consumer Hardware Pricing'!AC65</f>
        <v>-</v>
      </c>
      <c r="AN57" s="85" t="str">
        <f t="shared" si="12"/>
        <v>-</v>
      </c>
      <c r="AO57" s="85" t="str">
        <f>'Consumer Hardware Pricing'!AD65</f>
        <v>-</v>
      </c>
      <c r="AP57" s="85" t="str">
        <f t="shared" ref="AP57:AP92" si="135">IF(AO57="-",AN57,AN57-AO57)</f>
        <v>-</v>
      </c>
      <c r="AQ57" s="85" t="str">
        <f t="shared" ref="AQ57:AQ92" si="136">IF(AO57="-",AO57,AO57*24)</f>
        <v>-</v>
      </c>
      <c r="AR57" s="85" t="str">
        <f t="shared" ref="AR57:AR92" si="137">IF(AM57="-",AM57,AP57*24)</f>
        <v>-</v>
      </c>
      <c r="AS57" s="85" t="str">
        <f>'Consumer Hardware Pricing'!AF65</f>
        <v>-</v>
      </c>
      <c r="AT57" s="85" t="str">
        <f t="shared" si="13"/>
        <v>-</v>
      </c>
      <c r="AU57" s="85" t="str">
        <f t="shared" ref="AU57:AU92" si="138">IF(AS57="-",AS57,AN57-AT57)</f>
        <v>-</v>
      </c>
      <c r="AV57" s="85" t="str">
        <f t="shared" ref="AV57:AV92" si="139">IF(AS57="-",AS57,AT57*24)</f>
        <v>-</v>
      </c>
      <c r="AW57" s="85" t="str">
        <f t="shared" ref="AW57:AW92" si="140">IF(AS57="-",AS57,AU57*24)</f>
        <v>-</v>
      </c>
      <c r="AX57" s="85" t="str">
        <f>'Consumer Hardware Pricing'!AH65</f>
        <v>-</v>
      </c>
      <c r="AY57" s="85" t="str">
        <f t="shared" si="14"/>
        <v>-</v>
      </c>
      <c r="AZ57" s="85" t="str">
        <f>'Consumer Hardware Pricing'!AI65</f>
        <v>-</v>
      </c>
      <c r="BA57" s="85" t="str">
        <f t="shared" si="114"/>
        <v>-</v>
      </c>
      <c r="BB57" s="85" t="str">
        <f t="shared" si="115"/>
        <v>-</v>
      </c>
      <c r="BC57" s="85" t="str">
        <f t="shared" si="116"/>
        <v>-</v>
      </c>
      <c r="BD57" s="85">
        <f>'Consumer Hardware Pricing'!AL65</f>
        <v>0</v>
      </c>
      <c r="BE57" s="85">
        <f t="shared" si="17"/>
        <v>44</v>
      </c>
      <c r="BF57" s="85" t="str">
        <f>'Consumer Hardware Pricing'!AM65</f>
        <v>-</v>
      </c>
      <c r="BG57" s="85">
        <f t="shared" si="117"/>
        <v>44</v>
      </c>
      <c r="BH57" s="85" t="str">
        <f t="shared" si="118"/>
        <v>-</v>
      </c>
      <c r="BI57" s="85">
        <f t="shared" si="119"/>
        <v>1056</v>
      </c>
      <c r="BJ57" s="85" t="str">
        <f>'Consumer Hardware Pricing'!AP65</f>
        <v>-</v>
      </c>
      <c r="BK57" s="85" t="str">
        <f t="shared" si="20"/>
        <v>-</v>
      </c>
      <c r="BL57" s="85" t="str">
        <f>'Consumer Hardware Pricing'!AQ65</f>
        <v>-</v>
      </c>
      <c r="BM57" s="85" t="str">
        <f t="shared" si="120"/>
        <v>-</v>
      </c>
      <c r="BN57" s="85" t="str">
        <f t="shared" si="121"/>
        <v>-</v>
      </c>
      <c r="BO57" s="85" t="str">
        <f t="shared" si="122"/>
        <v>-</v>
      </c>
      <c r="BP57" s="85" t="str">
        <f>'Consumer Hardware Pricing'!AT65</f>
        <v>-</v>
      </c>
      <c r="BQ57" s="85" t="str">
        <f t="shared" si="23"/>
        <v>-</v>
      </c>
      <c r="BR57" s="85" t="str">
        <f>'Consumer Hardware Pricing'!AU65</f>
        <v>-</v>
      </c>
      <c r="BS57" s="85" t="str">
        <f t="shared" si="123"/>
        <v>-</v>
      </c>
      <c r="BT57" s="85" t="str">
        <f t="shared" si="124"/>
        <v>-</v>
      </c>
      <c r="BU57" s="85" t="str">
        <f t="shared" si="125"/>
        <v>-</v>
      </c>
    </row>
    <row r="58" spans="1:73" ht="30.15" customHeight="1" x14ac:dyDescent="0.25">
      <c r="A58" s="86" t="s">
        <v>35</v>
      </c>
      <c r="B58" s="88" t="s">
        <v>976</v>
      </c>
      <c r="C58" s="88" t="s">
        <v>1008</v>
      </c>
      <c r="D58" s="85">
        <f>'Consumer Hardware Pricing'!L66</f>
        <v>996</v>
      </c>
      <c r="E58" s="85">
        <f>'Consumer Hardware Pricing'!M66</f>
        <v>996</v>
      </c>
      <c r="F58" s="85" t="str">
        <f>'Consumer Hardware Pricing'!N66</f>
        <v>-</v>
      </c>
      <c r="G58" s="85" t="str">
        <f t="shared" si="126"/>
        <v>-</v>
      </c>
      <c r="H58" s="85" t="str">
        <f>'Consumer Hardware Pricing'!O66</f>
        <v>-</v>
      </c>
      <c r="I58" s="85" t="str">
        <f t="shared" si="101"/>
        <v>-</v>
      </c>
      <c r="J58" s="85" t="str">
        <f t="shared" si="102"/>
        <v>-</v>
      </c>
      <c r="K58" s="85" t="str">
        <f t="shared" si="103"/>
        <v>-</v>
      </c>
      <c r="L58" s="85" t="str">
        <f>'Consumer Hardware Pricing'!Q66</f>
        <v>-</v>
      </c>
      <c r="M58" s="85" t="str">
        <f t="shared" si="127"/>
        <v>-</v>
      </c>
      <c r="N58" s="85" t="str">
        <f t="shared" si="104"/>
        <v>-</v>
      </c>
      <c r="O58" s="85" t="str">
        <f t="shared" si="105"/>
        <v>-</v>
      </c>
      <c r="P58" s="85" t="str">
        <f t="shared" si="106"/>
        <v>-</v>
      </c>
      <c r="Q58" s="85" t="str">
        <f>'Consumer Hardware Pricing'!S66</f>
        <v>-</v>
      </c>
      <c r="R58" s="85" t="str">
        <f t="shared" si="107"/>
        <v>-</v>
      </c>
      <c r="S58" s="85" t="str">
        <f>'Consumer Hardware Pricing'!T66</f>
        <v>-</v>
      </c>
      <c r="T58" s="129" t="str">
        <f t="shared" si="108"/>
        <v>-</v>
      </c>
      <c r="U58" s="129" t="str">
        <f t="shared" si="109"/>
        <v>-</v>
      </c>
      <c r="V58" s="85" t="str">
        <f t="shared" si="110"/>
        <v>-</v>
      </c>
      <c r="W58" s="129" t="str">
        <f>'Consumer Hardware Pricing'!V66</f>
        <v>-</v>
      </c>
      <c r="X58" s="129" t="str">
        <f t="shared" si="128"/>
        <v>-</v>
      </c>
      <c r="Y58" s="129" t="str">
        <f t="shared" si="111"/>
        <v>-</v>
      </c>
      <c r="Z58" s="129" t="str">
        <f t="shared" si="112"/>
        <v>-</v>
      </c>
      <c r="AA58" s="85" t="str">
        <f t="shared" si="113"/>
        <v>-</v>
      </c>
      <c r="AB58" s="85" t="str">
        <f>'Consumer Hardware Pricing'!X66</f>
        <v>-</v>
      </c>
      <c r="AC58" s="85" t="str">
        <f t="shared" si="7"/>
        <v>-</v>
      </c>
      <c r="AD58" s="85" t="str">
        <f>'Consumer Hardware Pricing'!Y66</f>
        <v>-</v>
      </c>
      <c r="AE58" s="85" t="str">
        <f t="shared" si="129"/>
        <v>-</v>
      </c>
      <c r="AF58" s="85" t="str">
        <f t="shared" si="130"/>
        <v>-</v>
      </c>
      <c r="AG58" s="85" t="str">
        <f t="shared" si="131"/>
        <v>-</v>
      </c>
      <c r="AH58" s="85" t="str">
        <f>'Consumer Hardware Pricing'!AA66</f>
        <v>-</v>
      </c>
      <c r="AI58" s="85" t="str">
        <f t="shared" si="9"/>
        <v>-</v>
      </c>
      <c r="AJ58" s="85" t="str">
        <f t="shared" si="132"/>
        <v>-</v>
      </c>
      <c r="AK58" s="85" t="str">
        <f t="shared" si="133"/>
        <v>-</v>
      </c>
      <c r="AL58" s="85" t="str">
        <f t="shared" si="134"/>
        <v>-</v>
      </c>
      <c r="AM58" s="85" t="str">
        <f>'Consumer Hardware Pricing'!AC66</f>
        <v>-</v>
      </c>
      <c r="AN58" s="85" t="str">
        <f t="shared" si="12"/>
        <v>-</v>
      </c>
      <c r="AO58" s="85" t="str">
        <f>'Consumer Hardware Pricing'!AD66</f>
        <v>-</v>
      </c>
      <c r="AP58" s="85" t="str">
        <f t="shared" si="135"/>
        <v>-</v>
      </c>
      <c r="AQ58" s="85" t="str">
        <f t="shared" si="136"/>
        <v>-</v>
      </c>
      <c r="AR58" s="85" t="str">
        <f t="shared" si="137"/>
        <v>-</v>
      </c>
      <c r="AS58" s="85" t="str">
        <f>'Consumer Hardware Pricing'!AF66</f>
        <v>-</v>
      </c>
      <c r="AT58" s="85" t="str">
        <f t="shared" si="13"/>
        <v>-</v>
      </c>
      <c r="AU58" s="85" t="str">
        <f t="shared" si="138"/>
        <v>-</v>
      </c>
      <c r="AV58" s="85" t="str">
        <f t="shared" si="139"/>
        <v>-</v>
      </c>
      <c r="AW58" s="85" t="str">
        <f t="shared" si="140"/>
        <v>-</v>
      </c>
      <c r="AX58" s="85" t="str">
        <f>'Consumer Hardware Pricing'!AH66</f>
        <v>-</v>
      </c>
      <c r="AY58" s="85" t="str">
        <f t="shared" si="14"/>
        <v>-</v>
      </c>
      <c r="AZ58" s="85" t="str">
        <f>'Consumer Hardware Pricing'!AI66</f>
        <v>-</v>
      </c>
      <c r="BA58" s="85" t="str">
        <f t="shared" si="114"/>
        <v>-</v>
      </c>
      <c r="BB58" s="85" t="str">
        <f t="shared" si="115"/>
        <v>-</v>
      </c>
      <c r="BC58" s="85" t="str">
        <f t="shared" si="116"/>
        <v>-</v>
      </c>
      <c r="BD58" s="85">
        <f>'Consumer Hardware Pricing'!AL66</f>
        <v>0</v>
      </c>
      <c r="BE58" s="85">
        <f t="shared" si="17"/>
        <v>41.5</v>
      </c>
      <c r="BF58" s="85" t="str">
        <f>'Consumer Hardware Pricing'!AM66</f>
        <v>-</v>
      </c>
      <c r="BG58" s="85">
        <f t="shared" si="117"/>
        <v>41.5</v>
      </c>
      <c r="BH58" s="85" t="str">
        <f t="shared" si="118"/>
        <v>-</v>
      </c>
      <c r="BI58" s="85">
        <f t="shared" si="119"/>
        <v>996</v>
      </c>
      <c r="BJ58" s="85" t="str">
        <f>'Consumer Hardware Pricing'!AP66</f>
        <v>-</v>
      </c>
      <c r="BK58" s="85" t="str">
        <f t="shared" si="20"/>
        <v>-</v>
      </c>
      <c r="BL58" s="85" t="str">
        <f>'Consumer Hardware Pricing'!AQ66</f>
        <v>-</v>
      </c>
      <c r="BM58" s="85" t="str">
        <f t="shared" si="120"/>
        <v>-</v>
      </c>
      <c r="BN58" s="85" t="str">
        <f t="shared" si="121"/>
        <v>-</v>
      </c>
      <c r="BO58" s="85" t="str">
        <f t="shared" si="122"/>
        <v>-</v>
      </c>
      <c r="BP58" s="85" t="str">
        <f>'Consumer Hardware Pricing'!AT66</f>
        <v>-</v>
      </c>
      <c r="BQ58" s="85" t="str">
        <f t="shared" si="23"/>
        <v>-</v>
      </c>
      <c r="BR58" s="85" t="str">
        <f>'Consumer Hardware Pricing'!AU66</f>
        <v>-</v>
      </c>
      <c r="BS58" s="85" t="str">
        <f t="shared" si="123"/>
        <v>-</v>
      </c>
      <c r="BT58" s="85" t="str">
        <f t="shared" si="124"/>
        <v>-</v>
      </c>
      <c r="BU58" s="85" t="str">
        <f t="shared" si="125"/>
        <v>-</v>
      </c>
    </row>
    <row r="59" spans="1:73" ht="30.15" customHeight="1" x14ac:dyDescent="0.25">
      <c r="A59" s="86" t="s">
        <v>35</v>
      </c>
      <c r="B59" s="88" t="s">
        <v>977</v>
      </c>
      <c r="C59" s="88" t="s">
        <v>1009</v>
      </c>
      <c r="D59" s="85">
        <f>'Consumer Hardware Pricing'!L67</f>
        <v>1056</v>
      </c>
      <c r="E59" s="85">
        <f>'Consumer Hardware Pricing'!M67</f>
        <v>1056</v>
      </c>
      <c r="F59" s="85" t="str">
        <f>'Consumer Hardware Pricing'!N67</f>
        <v>-</v>
      </c>
      <c r="G59" s="85" t="str">
        <f t="shared" si="126"/>
        <v>-</v>
      </c>
      <c r="H59" s="85" t="str">
        <f>'Consumer Hardware Pricing'!O67</f>
        <v>-</v>
      </c>
      <c r="I59" s="85" t="str">
        <f t="shared" si="101"/>
        <v>-</v>
      </c>
      <c r="J59" s="85" t="str">
        <f t="shared" si="102"/>
        <v>-</v>
      </c>
      <c r="K59" s="85" t="str">
        <f t="shared" si="103"/>
        <v>-</v>
      </c>
      <c r="L59" s="85" t="str">
        <f>'Consumer Hardware Pricing'!Q67</f>
        <v>-</v>
      </c>
      <c r="M59" s="85" t="str">
        <f t="shared" si="127"/>
        <v>-</v>
      </c>
      <c r="N59" s="85" t="str">
        <f t="shared" si="104"/>
        <v>-</v>
      </c>
      <c r="O59" s="85" t="str">
        <f t="shared" si="105"/>
        <v>-</v>
      </c>
      <c r="P59" s="85" t="str">
        <f t="shared" si="106"/>
        <v>-</v>
      </c>
      <c r="Q59" s="85" t="str">
        <f>'Consumer Hardware Pricing'!S67</f>
        <v>-</v>
      </c>
      <c r="R59" s="85" t="str">
        <f t="shared" si="107"/>
        <v>-</v>
      </c>
      <c r="S59" s="85" t="str">
        <f>'Consumer Hardware Pricing'!T67</f>
        <v>-</v>
      </c>
      <c r="T59" s="129" t="str">
        <f t="shared" si="108"/>
        <v>-</v>
      </c>
      <c r="U59" s="129" t="str">
        <f t="shared" si="109"/>
        <v>-</v>
      </c>
      <c r="V59" s="85" t="str">
        <f t="shared" si="110"/>
        <v>-</v>
      </c>
      <c r="W59" s="129" t="str">
        <f>'Consumer Hardware Pricing'!V67</f>
        <v>-</v>
      </c>
      <c r="X59" s="129" t="str">
        <f t="shared" si="128"/>
        <v>-</v>
      </c>
      <c r="Y59" s="129" t="str">
        <f t="shared" si="111"/>
        <v>-</v>
      </c>
      <c r="Z59" s="129" t="str">
        <f t="shared" si="112"/>
        <v>-</v>
      </c>
      <c r="AA59" s="85" t="str">
        <f t="shared" si="113"/>
        <v>-</v>
      </c>
      <c r="AB59" s="85" t="str">
        <f>'Consumer Hardware Pricing'!X67</f>
        <v>-</v>
      </c>
      <c r="AC59" s="85" t="str">
        <f t="shared" si="7"/>
        <v>-</v>
      </c>
      <c r="AD59" s="85" t="str">
        <f>'Consumer Hardware Pricing'!Y67</f>
        <v>-</v>
      </c>
      <c r="AE59" s="85" t="str">
        <f t="shared" si="129"/>
        <v>-</v>
      </c>
      <c r="AF59" s="85" t="str">
        <f t="shared" si="130"/>
        <v>-</v>
      </c>
      <c r="AG59" s="85" t="str">
        <f t="shared" si="131"/>
        <v>-</v>
      </c>
      <c r="AH59" s="85" t="str">
        <f>'Consumer Hardware Pricing'!AA67</f>
        <v>-</v>
      </c>
      <c r="AI59" s="85" t="str">
        <f t="shared" si="9"/>
        <v>-</v>
      </c>
      <c r="AJ59" s="85" t="str">
        <f t="shared" si="132"/>
        <v>-</v>
      </c>
      <c r="AK59" s="85" t="str">
        <f t="shared" si="133"/>
        <v>-</v>
      </c>
      <c r="AL59" s="85" t="str">
        <f t="shared" si="134"/>
        <v>-</v>
      </c>
      <c r="AM59" s="85" t="str">
        <f>'Consumer Hardware Pricing'!AC67</f>
        <v>-</v>
      </c>
      <c r="AN59" s="85" t="str">
        <f t="shared" si="12"/>
        <v>-</v>
      </c>
      <c r="AO59" s="85" t="str">
        <f>'Consumer Hardware Pricing'!AD67</f>
        <v>-</v>
      </c>
      <c r="AP59" s="85" t="str">
        <f t="shared" si="135"/>
        <v>-</v>
      </c>
      <c r="AQ59" s="85" t="str">
        <f t="shared" si="136"/>
        <v>-</v>
      </c>
      <c r="AR59" s="85" t="str">
        <f t="shared" si="137"/>
        <v>-</v>
      </c>
      <c r="AS59" s="85" t="str">
        <f>'Consumer Hardware Pricing'!AF67</f>
        <v>-</v>
      </c>
      <c r="AT59" s="85" t="str">
        <f t="shared" si="13"/>
        <v>-</v>
      </c>
      <c r="AU59" s="85" t="str">
        <f t="shared" si="138"/>
        <v>-</v>
      </c>
      <c r="AV59" s="85" t="str">
        <f t="shared" si="139"/>
        <v>-</v>
      </c>
      <c r="AW59" s="85" t="str">
        <f t="shared" si="140"/>
        <v>-</v>
      </c>
      <c r="AX59" s="85" t="str">
        <f>'Consumer Hardware Pricing'!AH67</f>
        <v>-</v>
      </c>
      <c r="AY59" s="85" t="str">
        <f t="shared" si="14"/>
        <v>-</v>
      </c>
      <c r="AZ59" s="85" t="str">
        <f>'Consumer Hardware Pricing'!AI67</f>
        <v>-</v>
      </c>
      <c r="BA59" s="85" t="str">
        <f t="shared" si="114"/>
        <v>-</v>
      </c>
      <c r="BB59" s="85" t="str">
        <f t="shared" si="115"/>
        <v>-</v>
      </c>
      <c r="BC59" s="85" t="str">
        <f t="shared" si="116"/>
        <v>-</v>
      </c>
      <c r="BD59" s="85">
        <f>'Consumer Hardware Pricing'!AL67</f>
        <v>0</v>
      </c>
      <c r="BE59" s="85">
        <f t="shared" si="17"/>
        <v>44</v>
      </c>
      <c r="BF59" s="85" t="str">
        <f>'Consumer Hardware Pricing'!AM67</f>
        <v>-</v>
      </c>
      <c r="BG59" s="85">
        <f t="shared" si="117"/>
        <v>44</v>
      </c>
      <c r="BH59" s="85" t="str">
        <f t="shared" si="118"/>
        <v>-</v>
      </c>
      <c r="BI59" s="85">
        <f t="shared" si="119"/>
        <v>1056</v>
      </c>
      <c r="BJ59" s="85" t="str">
        <f>'Consumer Hardware Pricing'!AP67</f>
        <v>-</v>
      </c>
      <c r="BK59" s="85" t="str">
        <f t="shared" si="20"/>
        <v>-</v>
      </c>
      <c r="BL59" s="85" t="str">
        <f>'Consumer Hardware Pricing'!AQ67</f>
        <v>-</v>
      </c>
      <c r="BM59" s="85" t="str">
        <f t="shared" si="120"/>
        <v>-</v>
      </c>
      <c r="BN59" s="85" t="str">
        <f t="shared" si="121"/>
        <v>-</v>
      </c>
      <c r="BO59" s="85" t="str">
        <f t="shared" si="122"/>
        <v>-</v>
      </c>
      <c r="BP59" s="85" t="str">
        <f>'Consumer Hardware Pricing'!AT67</f>
        <v>-</v>
      </c>
      <c r="BQ59" s="85" t="str">
        <f t="shared" si="23"/>
        <v>-</v>
      </c>
      <c r="BR59" s="85" t="str">
        <f>'Consumer Hardware Pricing'!AU67</f>
        <v>-</v>
      </c>
      <c r="BS59" s="85" t="str">
        <f t="shared" si="123"/>
        <v>-</v>
      </c>
      <c r="BT59" s="85" t="str">
        <f t="shared" si="124"/>
        <v>-</v>
      </c>
      <c r="BU59" s="85" t="str">
        <f t="shared" si="125"/>
        <v>-</v>
      </c>
    </row>
    <row r="60" spans="1:73" ht="30.15" customHeight="1" x14ac:dyDescent="0.25">
      <c r="A60" s="86" t="s">
        <v>35</v>
      </c>
      <c r="B60" s="88" t="s">
        <v>978</v>
      </c>
      <c r="C60" s="88" t="s">
        <v>1010</v>
      </c>
      <c r="D60" s="85">
        <f>'Consumer Hardware Pricing'!L68</f>
        <v>996</v>
      </c>
      <c r="E60" s="85">
        <f>'Consumer Hardware Pricing'!M68</f>
        <v>996</v>
      </c>
      <c r="F60" s="85" t="str">
        <f>'Consumer Hardware Pricing'!N68</f>
        <v>-</v>
      </c>
      <c r="G60" s="85" t="str">
        <f t="shared" si="126"/>
        <v>-</v>
      </c>
      <c r="H60" s="85" t="str">
        <f>'Consumer Hardware Pricing'!O68</f>
        <v>-</v>
      </c>
      <c r="I60" s="85" t="str">
        <f t="shared" si="101"/>
        <v>-</v>
      </c>
      <c r="J60" s="85" t="str">
        <f t="shared" si="102"/>
        <v>-</v>
      </c>
      <c r="K60" s="85" t="str">
        <f t="shared" si="103"/>
        <v>-</v>
      </c>
      <c r="L60" s="85" t="str">
        <f>'Consumer Hardware Pricing'!Q68</f>
        <v>-</v>
      </c>
      <c r="M60" s="85" t="str">
        <f t="shared" si="127"/>
        <v>-</v>
      </c>
      <c r="N60" s="85" t="str">
        <f t="shared" si="104"/>
        <v>-</v>
      </c>
      <c r="O60" s="85" t="str">
        <f t="shared" si="105"/>
        <v>-</v>
      </c>
      <c r="P60" s="85" t="str">
        <f t="shared" si="106"/>
        <v>-</v>
      </c>
      <c r="Q60" s="85" t="str">
        <f>'Consumer Hardware Pricing'!S68</f>
        <v>-</v>
      </c>
      <c r="R60" s="85" t="str">
        <f t="shared" si="107"/>
        <v>-</v>
      </c>
      <c r="S60" s="85" t="str">
        <f>'Consumer Hardware Pricing'!T68</f>
        <v>-</v>
      </c>
      <c r="T60" s="129" t="str">
        <f t="shared" si="108"/>
        <v>-</v>
      </c>
      <c r="U60" s="129" t="str">
        <f t="shared" si="109"/>
        <v>-</v>
      </c>
      <c r="V60" s="85" t="str">
        <f t="shared" si="110"/>
        <v>-</v>
      </c>
      <c r="W60" s="129" t="str">
        <f>'Consumer Hardware Pricing'!V68</f>
        <v>-</v>
      </c>
      <c r="X60" s="129" t="str">
        <f t="shared" si="128"/>
        <v>-</v>
      </c>
      <c r="Y60" s="129" t="str">
        <f t="shared" si="111"/>
        <v>-</v>
      </c>
      <c r="Z60" s="129" t="str">
        <f t="shared" si="112"/>
        <v>-</v>
      </c>
      <c r="AA60" s="85" t="str">
        <f t="shared" si="113"/>
        <v>-</v>
      </c>
      <c r="AB60" s="85" t="str">
        <f>'Consumer Hardware Pricing'!X68</f>
        <v>-</v>
      </c>
      <c r="AC60" s="85" t="str">
        <f t="shared" si="7"/>
        <v>-</v>
      </c>
      <c r="AD60" s="85" t="str">
        <f>'Consumer Hardware Pricing'!Y68</f>
        <v>-</v>
      </c>
      <c r="AE60" s="85" t="str">
        <f t="shared" si="129"/>
        <v>-</v>
      </c>
      <c r="AF60" s="85" t="str">
        <f t="shared" si="130"/>
        <v>-</v>
      </c>
      <c r="AG60" s="85" t="str">
        <f t="shared" si="131"/>
        <v>-</v>
      </c>
      <c r="AH60" s="85" t="str">
        <f>'Consumer Hardware Pricing'!AA68</f>
        <v>-</v>
      </c>
      <c r="AI60" s="85" t="str">
        <f t="shared" si="9"/>
        <v>-</v>
      </c>
      <c r="AJ60" s="85" t="str">
        <f t="shared" si="132"/>
        <v>-</v>
      </c>
      <c r="AK60" s="85" t="str">
        <f t="shared" si="133"/>
        <v>-</v>
      </c>
      <c r="AL60" s="85" t="str">
        <f t="shared" si="134"/>
        <v>-</v>
      </c>
      <c r="AM60" s="85" t="str">
        <f>'Consumer Hardware Pricing'!AC68</f>
        <v>-</v>
      </c>
      <c r="AN60" s="85" t="str">
        <f t="shared" si="12"/>
        <v>-</v>
      </c>
      <c r="AO60" s="85" t="str">
        <f>'Consumer Hardware Pricing'!AD68</f>
        <v>-</v>
      </c>
      <c r="AP60" s="85" t="str">
        <f t="shared" si="135"/>
        <v>-</v>
      </c>
      <c r="AQ60" s="85" t="str">
        <f t="shared" si="136"/>
        <v>-</v>
      </c>
      <c r="AR60" s="85" t="str">
        <f t="shared" si="137"/>
        <v>-</v>
      </c>
      <c r="AS60" s="85" t="str">
        <f>'Consumer Hardware Pricing'!AF68</f>
        <v>-</v>
      </c>
      <c r="AT60" s="85" t="str">
        <f t="shared" si="13"/>
        <v>-</v>
      </c>
      <c r="AU60" s="85" t="str">
        <f t="shared" si="138"/>
        <v>-</v>
      </c>
      <c r="AV60" s="85" t="str">
        <f t="shared" si="139"/>
        <v>-</v>
      </c>
      <c r="AW60" s="85" t="str">
        <f t="shared" si="140"/>
        <v>-</v>
      </c>
      <c r="AX60" s="85" t="str">
        <f>'Consumer Hardware Pricing'!AH68</f>
        <v>-</v>
      </c>
      <c r="AY60" s="85" t="str">
        <f t="shared" si="14"/>
        <v>-</v>
      </c>
      <c r="AZ60" s="85" t="str">
        <f>'Consumer Hardware Pricing'!AI68</f>
        <v>-</v>
      </c>
      <c r="BA60" s="85" t="str">
        <f t="shared" si="114"/>
        <v>-</v>
      </c>
      <c r="BB60" s="85" t="str">
        <f t="shared" si="115"/>
        <v>-</v>
      </c>
      <c r="BC60" s="85" t="str">
        <f t="shared" si="116"/>
        <v>-</v>
      </c>
      <c r="BD60" s="85">
        <f>'Consumer Hardware Pricing'!AL68</f>
        <v>0</v>
      </c>
      <c r="BE60" s="85">
        <f t="shared" si="17"/>
        <v>41.5</v>
      </c>
      <c r="BF60" s="85" t="str">
        <f>'Consumer Hardware Pricing'!AM68</f>
        <v>-</v>
      </c>
      <c r="BG60" s="85">
        <f t="shared" si="117"/>
        <v>41.5</v>
      </c>
      <c r="BH60" s="85" t="str">
        <f t="shared" si="118"/>
        <v>-</v>
      </c>
      <c r="BI60" s="85">
        <f t="shared" si="119"/>
        <v>996</v>
      </c>
      <c r="BJ60" s="85" t="str">
        <f>'Consumer Hardware Pricing'!AP68</f>
        <v>-</v>
      </c>
      <c r="BK60" s="85" t="str">
        <f t="shared" si="20"/>
        <v>-</v>
      </c>
      <c r="BL60" s="85" t="str">
        <f>'Consumer Hardware Pricing'!AQ68</f>
        <v>-</v>
      </c>
      <c r="BM60" s="85" t="str">
        <f t="shared" si="120"/>
        <v>-</v>
      </c>
      <c r="BN60" s="85" t="str">
        <f t="shared" si="121"/>
        <v>-</v>
      </c>
      <c r="BO60" s="85" t="str">
        <f t="shared" si="122"/>
        <v>-</v>
      </c>
      <c r="BP60" s="85" t="str">
        <f>'Consumer Hardware Pricing'!AT68</f>
        <v>-</v>
      </c>
      <c r="BQ60" s="85" t="str">
        <f t="shared" si="23"/>
        <v>-</v>
      </c>
      <c r="BR60" s="85" t="str">
        <f>'Consumer Hardware Pricing'!AU68</f>
        <v>-</v>
      </c>
      <c r="BS60" s="85" t="str">
        <f t="shared" si="123"/>
        <v>-</v>
      </c>
      <c r="BT60" s="85" t="str">
        <f t="shared" si="124"/>
        <v>-</v>
      </c>
      <c r="BU60" s="85" t="str">
        <f t="shared" si="125"/>
        <v>-</v>
      </c>
    </row>
    <row r="61" spans="1:73" ht="30.15" customHeight="1" x14ac:dyDescent="0.25">
      <c r="A61" s="86" t="s">
        <v>35</v>
      </c>
      <c r="B61" s="88" t="s">
        <v>979</v>
      </c>
      <c r="C61" s="88" t="s">
        <v>1011</v>
      </c>
      <c r="D61" s="85">
        <f>'Consumer Hardware Pricing'!L69</f>
        <v>1056</v>
      </c>
      <c r="E61" s="85">
        <f>'Consumer Hardware Pricing'!M69</f>
        <v>1056</v>
      </c>
      <c r="F61" s="85" t="str">
        <f>'Consumer Hardware Pricing'!N69</f>
        <v>-</v>
      </c>
      <c r="G61" s="85" t="str">
        <f t="shared" si="126"/>
        <v>-</v>
      </c>
      <c r="H61" s="85" t="str">
        <f>'Consumer Hardware Pricing'!O69</f>
        <v>-</v>
      </c>
      <c r="I61" s="85" t="str">
        <f t="shared" si="101"/>
        <v>-</v>
      </c>
      <c r="J61" s="85" t="str">
        <f t="shared" si="102"/>
        <v>-</v>
      </c>
      <c r="K61" s="85" t="str">
        <f t="shared" si="103"/>
        <v>-</v>
      </c>
      <c r="L61" s="85" t="str">
        <f>'Consumer Hardware Pricing'!Q69</f>
        <v>-</v>
      </c>
      <c r="M61" s="85" t="str">
        <f t="shared" si="127"/>
        <v>-</v>
      </c>
      <c r="N61" s="85" t="str">
        <f t="shared" si="104"/>
        <v>-</v>
      </c>
      <c r="O61" s="85" t="str">
        <f t="shared" si="105"/>
        <v>-</v>
      </c>
      <c r="P61" s="85" t="str">
        <f t="shared" si="106"/>
        <v>-</v>
      </c>
      <c r="Q61" s="85" t="str">
        <f>'Consumer Hardware Pricing'!S69</f>
        <v>-</v>
      </c>
      <c r="R61" s="85" t="str">
        <f t="shared" si="107"/>
        <v>-</v>
      </c>
      <c r="S61" s="85" t="str">
        <f>'Consumer Hardware Pricing'!T69</f>
        <v>-</v>
      </c>
      <c r="T61" s="129" t="str">
        <f t="shared" si="108"/>
        <v>-</v>
      </c>
      <c r="U61" s="129" t="str">
        <f t="shared" si="109"/>
        <v>-</v>
      </c>
      <c r="V61" s="85" t="str">
        <f t="shared" si="110"/>
        <v>-</v>
      </c>
      <c r="W61" s="129" t="str">
        <f>'Consumer Hardware Pricing'!V69</f>
        <v>-</v>
      </c>
      <c r="X61" s="129" t="str">
        <f t="shared" si="128"/>
        <v>-</v>
      </c>
      <c r="Y61" s="129" t="str">
        <f t="shared" si="111"/>
        <v>-</v>
      </c>
      <c r="Z61" s="129" t="str">
        <f t="shared" si="112"/>
        <v>-</v>
      </c>
      <c r="AA61" s="85" t="str">
        <f t="shared" si="113"/>
        <v>-</v>
      </c>
      <c r="AB61" s="85" t="str">
        <f>'Consumer Hardware Pricing'!X69</f>
        <v>-</v>
      </c>
      <c r="AC61" s="85" t="str">
        <f t="shared" si="7"/>
        <v>-</v>
      </c>
      <c r="AD61" s="85" t="str">
        <f>'Consumer Hardware Pricing'!Y69</f>
        <v>-</v>
      </c>
      <c r="AE61" s="85" t="str">
        <f t="shared" si="129"/>
        <v>-</v>
      </c>
      <c r="AF61" s="85" t="str">
        <f t="shared" si="130"/>
        <v>-</v>
      </c>
      <c r="AG61" s="85" t="str">
        <f t="shared" si="131"/>
        <v>-</v>
      </c>
      <c r="AH61" s="85" t="str">
        <f>'Consumer Hardware Pricing'!AA69</f>
        <v>-</v>
      </c>
      <c r="AI61" s="85" t="str">
        <f t="shared" si="9"/>
        <v>-</v>
      </c>
      <c r="AJ61" s="85" t="str">
        <f t="shared" si="132"/>
        <v>-</v>
      </c>
      <c r="AK61" s="85" t="str">
        <f t="shared" si="133"/>
        <v>-</v>
      </c>
      <c r="AL61" s="85" t="str">
        <f t="shared" si="134"/>
        <v>-</v>
      </c>
      <c r="AM61" s="85" t="str">
        <f>'Consumer Hardware Pricing'!AC69</f>
        <v>-</v>
      </c>
      <c r="AN61" s="85" t="str">
        <f t="shared" si="12"/>
        <v>-</v>
      </c>
      <c r="AO61" s="85" t="str">
        <f>'Consumer Hardware Pricing'!AD69</f>
        <v>-</v>
      </c>
      <c r="AP61" s="85" t="str">
        <f t="shared" si="135"/>
        <v>-</v>
      </c>
      <c r="AQ61" s="85" t="str">
        <f t="shared" si="136"/>
        <v>-</v>
      </c>
      <c r="AR61" s="85" t="str">
        <f t="shared" si="137"/>
        <v>-</v>
      </c>
      <c r="AS61" s="85" t="str">
        <f>'Consumer Hardware Pricing'!AF69</f>
        <v>-</v>
      </c>
      <c r="AT61" s="85" t="str">
        <f t="shared" si="13"/>
        <v>-</v>
      </c>
      <c r="AU61" s="85" t="str">
        <f t="shared" si="138"/>
        <v>-</v>
      </c>
      <c r="AV61" s="85" t="str">
        <f t="shared" si="139"/>
        <v>-</v>
      </c>
      <c r="AW61" s="85" t="str">
        <f t="shared" si="140"/>
        <v>-</v>
      </c>
      <c r="AX61" s="85" t="str">
        <f>'Consumer Hardware Pricing'!AH69</f>
        <v>-</v>
      </c>
      <c r="AY61" s="85" t="str">
        <f t="shared" si="14"/>
        <v>-</v>
      </c>
      <c r="AZ61" s="85" t="str">
        <f>'Consumer Hardware Pricing'!AI69</f>
        <v>-</v>
      </c>
      <c r="BA61" s="85" t="str">
        <f t="shared" si="114"/>
        <v>-</v>
      </c>
      <c r="BB61" s="85" t="str">
        <f t="shared" si="115"/>
        <v>-</v>
      </c>
      <c r="BC61" s="85" t="str">
        <f t="shared" si="116"/>
        <v>-</v>
      </c>
      <c r="BD61" s="85">
        <f>'Consumer Hardware Pricing'!AL69</f>
        <v>0</v>
      </c>
      <c r="BE61" s="85">
        <f t="shared" si="17"/>
        <v>44</v>
      </c>
      <c r="BF61" s="85" t="str">
        <f>'Consumer Hardware Pricing'!AM69</f>
        <v>-</v>
      </c>
      <c r="BG61" s="85">
        <f t="shared" si="117"/>
        <v>44</v>
      </c>
      <c r="BH61" s="85" t="str">
        <f t="shared" si="118"/>
        <v>-</v>
      </c>
      <c r="BI61" s="85">
        <f t="shared" si="119"/>
        <v>1056</v>
      </c>
      <c r="BJ61" s="85" t="str">
        <f>'Consumer Hardware Pricing'!AP69</f>
        <v>-</v>
      </c>
      <c r="BK61" s="85" t="str">
        <f t="shared" si="20"/>
        <v>-</v>
      </c>
      <c r="BL61" s="85" t="str">
        <f>'Consumer Hardware Pricing'!AQ69</f>
        <v>-</v>
      </c>
      <c r="BM61" s="85" t="str">
        <f t="shared" si="120"/>
        <v>-</v>
      </c>
      <c r="BN61" s="85" t="str">
        <f t="shared" si="121"/>
        <v>-</v>
      </c>
      <c r="BO61" s="85" t="str">
        <f t="shared" si="122"/>
        <v>-</v>
      </c>
      <c r="BP61" s="85" t="str">
        <f>'Consumer Hardware Pricing'!AT69</f>
        <v>-</v>
      </c>
      <c r="BQ61" s="85" t="str">
        <f t="shared" si="23"/>
        <v>-</v>
      </c>
      <c r="BR61" s="85" t="str">
        <f>'Consumer Hardware Pricing'!AU69</f>
        <v>-</v>
      </c>
      <c r="BS61" s="85" t="str">
        <f t="shared" si="123"/>
        <v>-</v>
      </c>
      <c r="BT61" s="85" t="str">
        <f t="shared" si="124"/>
        <v>-</v>
      </c>
      <c r="BU61" s="85" t="str">
        <f t="shared" si="125"/>
        <v>-</v>
      </c>
    </row>
    <row r="62" spans="1:73" ht="30.15" customHeight="1" x14ac:dyDescent="0.25">
      <c r="A62" s="86" t="s">
        <v>35</v>
      </c>
      <c r="B62" s="88" t="s">
        <v>980</v>
      </c>
      <c r="C62" s="88" t="s">
        <v>1012</v>
      </c>
      <c r="D62" s="85">
        <f>'Consumer Hardware Pricing'!L70</f>
        <v>996</v>
      </c>
      <c r="E62" s="85">
        <f>'Consumer Hardware Pricing'!M70</f>
        <v>996</v>
      </c>
      <c r="F62" s="85" t="str">
        <f>'Consumer Hardware Pricing'!N70</f>
        <v>-</v>
      </c>
      <c r="G62" s="85" t="str">
        <f t="shared" si="126"/>
        <v>-</v>
      </c>
      <c r="H62" s="85" t="str">
        <f>'Consumer Hardware Pricing'!O70</f>
        <v>-</v>
      </c>
      <c r="I62" s="85" t="str">
        <f t="shared" si="101"/>
        <v>-</v>
      </c>
      <c r="J62" s="85" t="str">
        <f t="shared" si="102"/>
        <v>-</v>
      </c>
      <c r="K62" s="85" t="str">
        <f t="shared" si="103"/>
        <v>-</v>
      </c>
      <c r="L62" s="85" t="str">
        <f>'Consumer Hardware Pricing'!Q70</f>
        <v>-</v>
      </c>
      <c r="M62" s="85" t="str">
        <f t="shared" si="127"/>
        <v>-</v>
      </c>
      <c r="N62" s="85" t="str">
        <f t="shared" si="104"/>
        <v>-</v>
      </c>
      <c r="O62" s="85" t="str">
        <f t="shared" si="105"/>
        <v>-</v>
      </c>
      <c r="P62" s="85" t="str">
        <f t="shared" si="106"/>
        <v>-</v>
      </c>
      <c r="Q62" s="85" t="str">
        <f>'Consumer Hardware Pricing'!S70</f>
        <v>-</v>
      </c>
      <c r="R62" s="85" t="str">
        <f t="shared" si="107"/>
        <v>-</v>
      </c>
      <c r="S62" s="85" t="str">
        <f>'Consumer Hardware Pricing'!T70</f>
        <v>-</v>
      </c>
      <c r="T62" s="129" t="str">
        <f t="shared" si="108"/>
        <v>-</v>
      </c>
      <c r="U62" s="129" t="str">
        <f t="shared" si="109"/>
        <v>-</v>
      </c>
      <c r="V62" s="85" t="str">
        <f t="shared" si="110"/>
        <v>-</v>
      </c>
      <c r="W62" s="129" t="str">
        <f>'Consumer Hardware Pricing'!V70</f>
        <v>-</v>
      </c>
      <c r="X62" s="129" t="str">
        <f t="shared" si="128"/>
        <v>-</v>
      </c>
      <c r="Y62" s="129" t="str">
        <f t="shared" si="111"/>
        <v>-</v>
      </c>
      <c r="Z62" s="129" t="str">
        <f t="shared" si="112"/>
        <v>-</v>
      </c>
      <c r="AA62" s="85" t="str">
        <f t="shared" si="113"/>
        <v>-</v>
      </c>
      <c r="AB62" s="85" t="str">
        <f>'Consumer Hardware Pricing'!X70</f>
        <v>-</v>
      </c>
      <c r="AC62" s="85" t="str">
        <f t="shared" si="7"/>
        <v>-</v>
      </c>
      <c r="AD62" s="85" t="str">
        <f>'Consumer Hardware Pricing'!Y70</f>
        <v>-</v>
      </c>
      <c r="AE62" s="85" t="str">
        <f t="shared" si="129"/>
        <v>-</v>
      </c>
      <c r="AF62" s="85" t="str">
        <f t="shared" si="130"/>
        <v>-</v>
      </c>
      <c r="AG62" s="85" t="str">
        <f t="shared" si="131"/>
        <v>-</v>
      </c>
      <c r="AH62" s="85" t="str">
        <f>'Consumer Hardware Pricing'!AA70</f>
        <v>-</v>
      </c>
      <c r="AI62" s="85" t="str">
        <f t="shared" si="9"/>
        <v>-</v>
      </c>
      <c r="AJ62" s="85" t="str">
        <f t="shared" si="132"/>
        <v>-</v>
      </c>
      <c r="AK62" s="85" t="str">
        <f t="shared" si="133"/>
        <v>-</v>
      </c>
      <c r="AL62" s="85" t="str">
        <f t="shared" si="134"/>
        <v>-</v>
      </c>
      <c r="AM62" s="85" t="str">
        <f>'Consumer Hardware Pricing'!AC70</f>
        <v>-</v>
      </c>
      <c r="AN62" s="85" t="str">
        <f t="shared" si="12"/>
        <v>-</v>
      </c>
      <c r="AO62" s="85" t="str">
        <f>'Consumer Hardware Pricing'!AD70</f>
        <v>-</v>
      </c>
      <c r="AP62" s="85" t="str">
        <f t="shared" si="135"/>
        <v>-</v>
      </c>
      <c r="AQ62" s="85" t="str">
        <f t="shared" si="136"/>
        <v>-</v>
      </c>
      <c r="AR62" s="85" t="str">
        <f t="shared" si="137"/>
        <v>-</v>
      </c>
      <c r="AS62" s="85" t="str">
        <f>'Consumer Hardware Pricing'!AF70</f>
        <v>-</v>
      </c>
      <c r="AT62" s="85" t="str">
        <f t="shared" si="13"/>
        <v>-</v>
      </c>
      <c r="AU62" s="85" t="str">
        <f t="shared" si="138"/>
        <v>-</v>
      </c>
      <c r="AV62" s="85" t="str">
        <f t="shared" si="139"/>
        <v>-</v>
      </c>
      <c r="AW62" s="85" t="str">
        <f t="shared" si="140"/>
        <v>-</v>
      </c>
      <c r="AX62" s="85" t="str">
        <f>'Consumer Hardware Pricing'!AH70</f>
        <v>-</v>
      </c>
      <c r="AY62" s="85" t="str">
        <f t="shared" si="14"/>
        <v>-</v>
      </c>
      <c r="AZ62" s="85" t="str">
        <f>'Consumer Hardware Pricing'!AI70</f>
        <v>-</v>
      </c>
      <c r="BA62" s="85" t="str">
        <f t="shared" si="114"/>
        <v>-</v>
      </c>
      <c r="BB62" s="85" t="str">
        <f t="shared" si="115"/>
        <v>-</v>
      </c>
      <c r="BC62" s="85" t="str">
        <f t="shared" si="116"/>
        <v>-</v>
      </c>
      <c r="BD62" s="85">
        <f>'Consumer Hardware Pricing'!AL70</f>
        <v>0</v>
      </c>
      <c r="BE62" s="85">
        <f t="shared" si="17"/>
        <v>41.5</v>
      </c>
      <c r="BF62" s="85" t="str">
        <f>'Consumer Hardware Pricing'!AM70</f>
        <v>-</v>
      </c>
      <c r="BG62" s="85">
        <f t="shared" si="117"/>
        <v>41.5</v>
      </c>
      <c r="BH62" s="85" t="str">
        <f t="shared" si="118"/>
        <v>-</v>
      </c>
      <c r="BI62" s="85">
        <f t="shared" si="119"/>
        <v>996</v>
      </c>
      <c r="BJ62" s="85" t="str">
        <f>'Consumer Hardware Pricing'!AP70</f>
        <v>-</v>
      </c>
      <c r="BK62" s="85" t="str">
        <f t="shared" si="20"/>
        <v>-</v>
      </c>
      <c r="BL62" s="85" t="str">
        <f>'Consumer Hardware Pricing'!AQ70</f>
        <v>-</v>
      </c>
      <c r="BM62" s="85" t="str">
        <f t="shared" si="120"/>
        <v>-</v>
      </c>
      <c r="BN62" s="85" t="str">
        <f t="shared" si="121"/>
        <v>-</v>
      </c>
      <c r="BO62" s="85" t="str">
        <f t="shared" si="122"/>
        <v>-</v>
      </c>
      <c r="BP62" s="85" t="str">
        <f>'Consumer Hardware Pricing'!AT70</f>
        <v>-</v>
      </c>
      <c r="BQ62" s="85" t="str">
        <f t="shared" si="23"/>
        <v>-</v>
      </c>
      <c r="BR62" s="85" t="str">
        <f>'Consumer Hardware Pricing'!AU70</f>
        <v>-</v>
      </c>
      <c r="BS62" s="85" t="str">
        <f t="shared" si="123"/>
        <v>-</v>
      </c>
      <c r="BT62" s="85" t="str">
        <f t="shared" si="124"/>
        <v>-</v>
      </c>
      <c r="BU62" s="85" t="str">
        <f t="shared" si="125"/>
        <v>-</v>
      </c>
    </row>
    <row r="63" spans="1:73" ht="30.15" customHeight="1" x14ac:dyDescent="0.25">
      <c r="A63" s="86" t="s">
        <v>35</v>
      </c>
      <c r="B63" s="88" t="s">
        <v>981</v>
      </c>
      <c r="C63" s="88" t="s">
        <v>1013</v>
      </c>
      <c r="D63" s="85">
        <f>'Consumer Hardware Pricing'!L71</f>
        <v>698</v>
      </c>
      <c r="E63" s="85">
        <f>'Consumer Hardware Pricing'!M71</f>
        <v>698</v>
      </c>
      <c r="F63" s="85" t="str">
        <f>'Consumer Hardware Pricing'!N71</f>
        <v>-</v>
      </c>
      <c r="G63" s="85" t="str">
        <f t="shared" si="126"/>
        <v>-</v>
      </c>
      <c r="H63" s="85" t="str">
        <f>'Consumer Hardware Pricing'!O71</f>
        <v>-</v>
      </c>
      <c r="I63" s="85" t="str">
        <f t="shared" si="101"/>
        <v>-</v>
      </c>
      <c r="J63" s="85" t="str">
        <f t="shared" si="102"/>
        <v>-</v>
      </c>
      <c r="K63" s="85" t="str">
        <f t="shared" si="103"/>
        <v>-</v>
      </c>
      <c r="L63" s="85" t="str">
        <f>'Consumer Hardware Pricing'!Q71</f>
        <v>-</v>
      </c>
      <c r="M63" s="85" t="str">
        <f t="shared" si="127"/>
        <v>-</v>
      </c>
      <c r="N63" s="85" t="str">
        <f t="shared" si="104"/>
        <v>-</v>
      </c>
      <c r="O63" s="85" t="str">
        <f t="shared" si="105"/>
        <v>-</v>
      </c>
      <c r="P63" s="85" t="str">
        <f t="shared" si="106"/>
        <v>-</v>
      </c>
      <c r="Q63" s="85" t="str">
        <f>'Consumer Hardware Pricing'!S71</f>
        <v>-</v>
      </c>
      <c r="R63" s="85" t="str">
        <f t="shared" si="107"/>
        <v>-</v>
      </c>
      <c r="S63" s="85" t="str">
        <f>'Consumer Hardware Pricing'!T71</f>
        <v>-</v>
      </c>
      <c r="T63" s="129" t="str">
        <f t="shared" si="108"/>
        <v>-</v>
      </c>
      <c r="U63" s="129" t="str">
        <f t="shared" si="109"/>
        <v>-</v>
      </c>
      <c r="V63" s="85" t="str">
        <f t="shared" si="110"/>
        <v>-</v>
      </c>
      <c r="W63" s="129" t="str">
        <f>'Consumer Hardware Pricing'!V71</f>
        <v>-</v>
      </c>
      <c r="X63" s="129" t="str">
        <f t="shared" si="128"/>
        <v>-</v>
      </c>
      <c r="Y63" s="129" t="str">
        <f t="shared" si="111"/>
        <v>-</v>
      </c>
      <c r="Z63" s="129" t="str">
        <f t="shared" si="112"/>
        <v>-</v>
      </c>
      <c r="AA63" s="85" t="str">
        <f t="shared" si="113"/>
        <v>-</v>
      </c>
      <c r="AB63" s="85" t="str">
        <f>'Consumer Hardware Pricing'!X71</f>
        <v>-</v>
      </c>
      <c r="AC63" s="85" t="str">
        <f t="shared" si="7"/>
        <v>-</v>
      </c>
      <c r="AD63" s="85" t="str">
        <f>'Consumer Hardware Pricing'!Y71</f>
        <v>-</v>
      </c>
      <c r="AE63" s="85" t="str">
        <f t="shared" si="129"/>
        <v>-</v>
      </c>
      <c r="AF63" s="85" t="str">
        <f t="shared" si="130"/>
        <v>-</v>
      </c>
      <c r="AG63" s="85" t="str">
        <f t="shared" si="131"/>
        <v>-</v>
      </c>
      <c r="AH63" s="85" t="str">
        <f>'Consumer Hardware Pricing'!AA71</f>
        <v>-</v>
      </c>
      <c r="AI63" s="85" t="str">
        <f t="shared" si="9"/>
        <v>-</v>
      </c>
      <c r="AJ63" s="85" t="str">
        <f t="shared" si="132"/>
        <v>-</v>
      </c>
      <c r="AK63" s="85" t="str">
        <f t="shared" si="133"/>
        <v>-</v>
      </c>
      <c r="AL63" s="85" t="str">
        <f t="shared" si="134"/>
        <v>-</v>
      </c>
      <c r="AM63" s="85" t="str">
        <f>'Consumer Hardware Pricing'!AC71</f>
        <v>-</v>
      </c>
      <c r="AN63" s="85" t="str">
        <f t="shared" si="12"/>
        <v>-</v>
      </c>
      <c r="AO63" s="85" t="str">
        <f>'Consumer Hardware Pricing'!AD71</f>
        <v>-</v>
      </c>
      <c r="AP63" s="85" t="str">
        <f t="shared" si="135"/>
        <v>-</v>
      </c>
      <c r="AQ63" s="85" t="str">
        <f t="shared" si="136"/>
        <v>-</v>
      </c>
      <c r="AR63" s="85" t="str">
        <f t="shared" si="137"/>
        <v>-</v>
      </c>
      <c r="AS63" s="85" t="str">
        <f>'Consumer Hardware Pricing'!AF71</f>
        <v>-</v>
      </c>
      <c r="AT63" s="85" t="str">
        <f t="shared" si="13"/>
        <v>-</v>
      </c>
      <c r="AU63" s="85" t="str">
        <f t="shared" si="138"/>
        <v>-</v>
      </c>
      <c r="AV63" s="85" t="str">
        <f t="shared" si="139"/>
        <v>-</v>
      </c>
      <c r="AW63" s="85" t="str">
        <f t="shared" si="140"/>
        <v>-</v>
      </c>
      <c r="AX63" s="85" t="str">
        <f>'Consumer Hardware Pricing'!AH71</f>
        <v>-</v>
      </c>
      <c r="AY63" s="85" t="str">
        <f t="shared" si="14"/>
        <v>-</v>
      </c>
      <c r="AZ63" s="85" t="str">
        <f>'Consumer Hardware Pricing'!AI71</f>
        <v>-</v>
      </c>
      <c r="BA63" s="85" t="str">
        <f t="shared" si="114"/>
        <v>-</v>
      </c>
      <c r="BB63" s="85" t="str">
        <f t="shared" si="115"/>
        <v>-</v>
      </c>
      <c r="BC63" s="85" t="str">
        <f t="shared" si="116"/>
        <v>-</v>
      </c>
      <c r="BD63" s="85">
        <f>'Consumer Hardware Pricing'!AL71</f>
        <v>0</v>
      </c>
      <c r="BE63" s="85">
        <f t="shared" si="17"/>
        <v>29.09</v>
      </c>
      <c r="BF63" s="85" t="str">
        <f>'Consumer Hardware Pricing'!AM71</f>
        <v>-</v>
      </c>
      <c r="BG63" s="85">
        <f t="shared" si="117"/>
        <v>29.09</v>
      </c>
      <c r="BH63" s="85" t="str">
        <f t="shared" si="118"/>
        <v>-</v>
      </c>
      <c r="BI63" s="85">
        <f t="shared" si="119"/>
        <v>698.16</v>
      </c>
      <c r="BJ63" s="85" t="str">
        <f>'Consumer Hardware Pricing'!AP71</f>
        <v>-</v>
      </c>
      <c r="BK63" s="85" t="str">
        <f t="shared" si="20"/>
        <v>-</v>
      </c>
      <c r="BL63" s="85" t="str">
        <f>'Consumer Hardware Pricing'!AQ71</f>
        <v>-</v>
      </c>
      <c r="BM63" s="85" t="str">
        <f t="shared" si="120"/>
        <v>-</v>
      </c>
      <c r="BN63" s="85" t="str">
        <f t="shared" si="121"/>
        <v>-</v>
      </c>
      <c r="BO63" s="85" t="str">
        <f t="shared" si="122"/>
        <v>-</v>
      </c>
      <c r="BP63" s="85" t="str">
        <f>'Consumer Hardware Pricing'!AT71</f>
        <v>-</v>
      </c>
      <c r="BQ63" s="85" t="str">
        <f t="shared" si="23"/>
        <v>-</v>
      </c>
      <c r="BR63" s="85" t="str">
        <f>'Consumer Hardware Pricing'!AU71</f>
        <v>-</v>
      </c>
      <c r="BS63" s="85" t="str">
        <f t="shared" si="123"/>
        <v>-</v>
      </c>
      <c r="BT63" s="85" t="str">
        <f t="shared" si="124"/>
        <v>-</v>
      </c>
      <c r="BU63" s="85" t="str">
        <f t="shared" si="125"/>
        <v>-</v>
      </c>
    </row>
    <row r="64" spans="1:73" ht="30.15" customHeight="1" x14ac:dyDescent="0.25">
      <c r="A64" s="86" t="s">
        <v>35</v>
      </c>
      <c r="B64" s="88" t="s">
        <v>982</v>
      </c>
      <c r="C64" s="88" t="s">
        <v>1014</v>
      </c>
      <c r="D64" s="85">
        <f>'Consumer Hardware Pricing'!L72</f>
        <v>698</v>
      </c>
      <c r="E64" s="85">
        <f>'Consumer Hardware Pricing'!M72</f>
        <v>698</v>
      </c>
      <c r="F64" s="85" t="str">
        <f>'Consumer Hardware Pricing'!N72</f>
        <v>-</v>
      </c>
      <c r="G64" s="85" t="str">
        <f t="shared" si="126"/>
        <v>-</v>
      </c>
      <c r="H64" s="85" t="str">
        <f>'Consumer Hardware Pricing'!O72</f>
        <v>-</v>
      </c>
      <c r="I64" s="85" t="str">
        <f t="shared" si="101"/>
        <v>-</v>
      </c>
      <c r="J64" s="85" t="str">
        <f t="shared" si="102"/>
        <v>-</v>
      </c>
      <c r="K64" s="85" t="str">
        <f t="shared" si="103"/>
        <v>-</v>
      </c>
      <c r="L64" s="85" t="str">
        <f>'Consumer Hardware Pricing'!Q72</f>
        <v>-</v>
      </c>
      <c r="M64" s="85" t="str">
        <f t="shared" si="127"/>
        <v>-</v>
      </c>
      <c r="N64" s="85" t="str">
        <f t="shared" si="104"/>
        <v>-</v>
      </c>
      <c r="O64" s="85" t="str">
        <f t="shared" si="105"/>
        <v>-</v>
      </c>
      <c r="P64" s="85" t="str">
        <f t="shared" si="106"/>
        <v>-</v>
      </c>
      <c r="Q64" s="85" t="str">
        <f>'Consumer Hardware Pricing'!S72</f>
        <v>-</v>
      </c>
      <c r="R64" s="85" t="str">
        <f t="shared" si="107"/>
        <v>-</v>
      </c>
      <c r="S64" s="85" t="str">
        <f>'Consumer Hardware Pricing'!T72</f>
        <v>-</v>
      </c>
      <c r="T64" s="129" t="str">
        <f t="shared" si="108"/>
        <v>-</v>
      </c>
      <c r="U64" s="129" t="str">
        <f t="shared" si="109"/>
        <v>-</v>
      </c>
      <c r="V64" s="85" t="str">
        <f t="shared" si="110"/>
        <v>-</v>
      </c>
      <c r="W64" s="129" t="str">
        <f>'Consumer Hardware Pricing'!V72</f>
        <v>-</v>
      </c>
      <c r="X64" s="129" t="str">
        <f t="shared" si="128"/>
        <v>-</v>
      </c>
      <c r="Y64" s="129" t="str">
        <f t="shared" si="111"/>
        <v>-</v>
      </c>
      <c r="Z64" s="129" t="str">
        <f t="shared" si="112"/>
        <v>-</v>
      </c>
      <c r="AA64" s="85" t="str">
        <f t="shared" si="113"/>
        <v>-</v>
      </c>
      <c r="AB64" s="85" t="str">
        <f>'Consumer Hardware Pricing'!X72</f>
        <v>-</v>
      </c>
      <c r="AC64" s="85" t="str">
        <f t="shared" si="7"/>
        <v>-</v>
      </c>
      <c r="AD64" s="85" t="str">
        <f>'Consumer Hardware Pricing'!Y72</f>
        <v>-</v>
      </c>
      <c r="AE64" s="85" t="str">
        <f t="shared" si="129"/>
        <v>-</v>
      </c>
      <c r="AF64" s="85" t="str">
        <f t="shared" si="130"/>
        <v>-</v>
      </c>
      <c r="AG64" s="85" t="str">
        <f t="shared" si="131"/>
        <v>-</v>
      </c>
      <c r="AH64" s="85" t="str">
        <f>'Consumer Hardware Pricing'!AA72</f>
        <v>-</v>
      </c>
      <c r="AI64" s="85" t="str">
        <f t="shared" si="9"/>
        <v>-</v>
      </c>
      <c r="AJ64" s="85" t="str">
        <f t="shared" si="132"/>
        <v>-</v>
      </c>
      <c r="AK64" s="85" t="str">
        <f t="shared" si="133"/>
        <v>-</v>
      </c>
      <c r="AL64" s="85" t="str">
        <f t="shared" si="134"/>
        <v>-</v>
      </c>
      <c r="AM64" s="85" t="str">
        <f>'Consumer Hardware Pricing'!AC72</f>
        <v>-</v>
      </c>
      <c r="AN64" s="85" t="str">
        <f t="shared" si="12"/>
        <v>-</v>
      </c>
      <c r="AO64" s="85" t="str">
        <f>'Consumer Hardware Pricing'!AD72</f>
        <v>-</v>
      </c>
      <c r="AP64" s="85" t="str">
        <f t="shared" si="135"/>
        <v>-</v>
      </c>
      <c r="AQ64" s="85" t="str">
        <f t="shared" si="136"/>
        <v>-</v>
      </c>
      <c r="AR64" s="85" t="str">
        <f t="shared" si="137"/>
        <v>-</v>
      </c>
      <c r="AS64" s="85" t="str">
        <f>'Consumer Hardware Pricing'!AF72</f>
        <v>-</v>
      </c>
      <c r="AT64" s="85" t="str">
        <f t="shared" si="13"/>
        <v>-</v>
      </c>
      <c r="AU64" s="85" t="str">
        <f t="shared" si="138"/>
        <v>-</v>
      </c>
      <c r="AV64" s="85" t="str">
        <f t="shared" si="139"/>
        <v>-</v>
      </c>
      <c r="AW64" s="85" t="str">
        <f t="shared" si="140"/>
        <v>-</v>
      </c>
      <c r="AX64" s="85" t="str">
        <f>'Consumer Hardware Pricing'!AH72</f>
        <v>-</v>
      </c>
      <c r="AY64" s="85" t="str">
        <f t="shared" si="14"/>
        <v>-</v>
      </c>
      <c r="AZ64" s="85" t="str">
        <f>'Consumer Hardware Pricing'!AI72</f>
        <v>-</v>
      </c>
      <c r="BA64" s="85" t="str">
        <f t="shared" si="114"/>
        <v>-</v>
      </c>
      <c r="BB64" s="85" t="str">
        <f t="shared" si="115"/>
        <v>-</v>
      </c>
      <c r="BC64" s="85" t="str">
        <f t="shared" si="116"/>
        <v>-</v>
      </c>
      <c r="BD64" s="85">
        <f>'Consumer Hardware Pricing'!AL72</f>
        <v>0</v>
      </c>
      <c r="BE64" s="85">
        <f t="shared" si="17"/>
        <v>29.09</v>
      </c>
      <c r="BF64" s="85" t="str">
        <f>'Consumer Hardware Pricing'!AM72</f>
        <v>-</v>
      </c>
      <c r="BG64" s="85">
        <f t="shared" si="117"/>
        <v>29.09</v>
      </c>
      <c r="BH64" s="85" t="str">
        <f t="shared" si="118"/>
        <v>-</v>
      </c>
      <c r="BI64" s="85">
        <f t="shared" si="119"/>
        <v>698.16</v>
      </c>
      <c r="BJ64" s="85" t="str">
        <f>'Consumer Hardware Pricing'!AP72</f>
        <v>-</v>
      </c>
      <c r="BK64" s="85" t="str">
        <f t="shared" si="20"/>
        <v>-</v>
      </c>
      <c r="BL64" s="85" t="str">
        <f>'Consumer Hardware Pricing'!AQ72</f>
        <v>-</v>
      </c>
      <c r="BM64" s="85" t="str">
        <f t="shared" si="120"/>
        <v>-</v>
      </c>
      <c r="BN64" s="85" t="str">
        <f t="shared" si="121"/>
        <v>-</v>
      </c>
      <c r="BO64" s="85" t="str">
        <f t="shared" si="122"/>
        <v>-</v>
      </c>
      <c r="BP64" s="85" t="str">
        <f>'Consumer Hardware Pricing'!AT72</f>
        <v>-</v>
      </c>
      <c r="BQ64" s="85" t="str">
        <f t="shared" si="23"/>
        <v>-</v>
      </c>
      <c r="BR64" s="85" t="str">
        <f>'Consumer Hardware Pricing'!AU72</f>
        <v>-</v>
      </c>
      <c r="BS64" s="85" t="str">
        <f t="shared" si="123"/>
        <v>-</v>
      </c>
      <c r="BT64" s="85" t="str">
        <f t="shared" si="124"/>
        <v>-</v>
      </c>
      <c r="BU64" s="85" t="str">
        <f t="shared" si="125"/>
        <v>-</v>
      </c>
    </row>
    <row r="65" spans="1:73" ht="30.15" customHeight="1" x14ac:dyDescent="0.25">
      <c r="A65" s="86" t="s">
        <v>35</v>
      </c>
      <c r="B65" s="88" t="s">
        <v>983</v>
      </c>
      <c r="C65" s="88" t="s">
        <v>1015</v>
      </c>
      <c r="D65" s="85">
        <f>'Consumer Hardware Pricing'!L73</f>
        <v>740</v>
      </c>
      <c r="E65" s="85">
        <f>'Consumer Hardware Pricing'!M73</f>
        <v>740</v>
      </c>
      <c r="F65" s="85" t="str">
        <f>'Consumer Hardware Pricing'!N73</f>
        <v>-</v>
      </c>
      <c r="G65" s="85" t="str">
        <f t="shared" si="126"/>
        <v>-</v>
      </c>
      <c r="H65" s="85" t="str">
        <f>'Consumer Hardware Pricing'!O73</f>
        <v>-</v>
      </c>
      <c r="I65" s="85" t="str">
        <f t="shared" si="101"/>
        <v>-</v>
      </c>
      <c r="J65" s="85" t="str">
        <f t="shared" si="102"/>
        <v>-</v>
      </c>
      <c r="K65" s="85" t="str">
        <f t="shared" si="103"/>
        <v>-</v>
      </c>
      <c r="L65" s="85" t="str">
        <f>'Consumer Hardware Pricing'!Q73</f>
        <v>-</v>
      </c>
      <c r="M65" s="85" t="str">
        <f t="shared" si="127"/>
        <v>-</v>
      </c>
      <c r="N65" s="85" t="str">
        <f t="shared" si="104"/>
        <v>-</v>
      </c>
      <c r="O65" s="85" t="str">
        <f t="shared" si="105"/>
        <v>-</v>
      </c>
      <c r="P65" s="85" t="str">
        <f t="shared" si="106"/>
        <v>-</v>
      </c>
      <c r="Q65" s="85" t="str">
        <f>'Consumer Hardware Pricing'!S73</f>
        <v>-</v>
      </c>
      <c r="R65" s="85" t="str">
        <f t="shared" si="107"/>
        <v>-</v>
      </c>
      <c r="S65" s="85" t="str">
        <f>'Consumer Hardware Pricing'!T73</f>
        <v>-</v>
      </c>
      <c r="T65" s="129" t="str">
        <f t="shared" si="108"/>
        <v>-</v>
      </c>
      <c r="U65" s="129" t="str">
        <f t="shared" si="109"/>
        <v>-</v>
      </c>
      <c r="V65" s="85" t="str">
        <f t="shared" si="110"/>
        <v>-</v>
      </c>
      <c r="W65" s="129" t="str">
        <f>'Consumer Hardware Pricing'!V73</f>
        <v>-</v>
      </c>
      <c r="X65" s="129" t="str">
        <f t="shared" si="128"/>
        <v>-</v>
      </c>
      <c r="Y65" s="129" t="str">
        <f t="shared" si="111"/>
        <v>-</v>
      </c>
      <c r="Z65" s="129" t="str">
        <f t="shared" si="112"/>
        <v>-</v>
      </c>
      <c r="AA65" s="85" t="str">
        <f t="shared" si="113"/>
        <v>-</v>
      </c>
      <c r="AB65" s="85" t="str">
        <f>'Consumer Hardware Pricing'!X73</f>
        <v>-</v>
      </c>
      <c r="AC65" s="85" t="str">
        <f t="shared" si="7"/>
        <v>-</v>
      </c>
      <c r="AD65" s="85" t="str">
        <f>'Consumer Hardware Pricing'!Y73</f>
        <v>-</v>
      </c>
      <c r="AE65" s="85" t="str">
        <f t="shared" si="129"/>
        <v>-</v>
      </c>
      <c r="AF65" s="85" t="str">
        <f t="shared" si="130"/>
        <v>-</v>
      </c>
      <c r="AG65" s="85" t="str">
        <f t="shared" si="131"/>
        <v>-</v>
      </c>
      <c r="AH65" s="85" t="str">
        <f>'Consumer Hardware Pricing'!AA73</f>
        <v>-</v>
      </c>
      <c r="AI65" s="85" t="str">
        <f t="shared" si="9"/>
        <v>-</v>
      </c>
      <c r="AJ65" s="85" t="str">
        <f t="shared" si="132"/>
        <v>-</v>
      </c>
      <c r="AK65" s="85" t="str">
        <f t="shared" si="133"/>
        <v>-</v>
      </c>
      <c r="AL65" s="85" t="str">
        <f t="shared" si="134"/>
        <v>-</v>
      </c>
      <c r="AM65" s="85" t="str">
        <f>'Consumer Hardware Pricing'!AC73</f>
        <v>-</v>
      </c>
      <c r="AN65" s="85" t="str">
        <f t="shared" si="12"/>
        <v>-</v>
      </c>
      <c r="AO65" s="85" t="str">
        <f>'Consumer Hardware Pricing'!AD73</f>
        <v>-</v>
      </c>
      <c r="AP65" s="85" t="str">
        <f t="shared" si="135"/>
        <v>-</v>
      </c>
      <c r="AQ65" s="85" t="str">
        <f t="shared" si="136"/>
        <v>-</v>
      </c>
      <c r="AR65" s="85" t="str">
        <f t="shared" si="137"/>
        <v>-</v>
      </c>
      <c r="AS65" s="85" t="str">
        <f>'Consumer Hardware Pricing'!AF73</f>
        <v>-</v>
      </c>
      <c r="AT65" s="85" t="str">
        <f t="shared" si="13"/>
        <v>-</v>
      </c>
      <c r="AU65" s="85" t="str">
        <f t="shared" si="138"/>
        <v>-</v>
      </c>
      <c r="AV65" s="85" t="str">
        <f t="shared" si="139"/>
        <v>-</v>
      </c>
      <c r="AW65" s="85" t="str">
        <f t="shared" si="140"/>
        <v>-</v>
      </c>
      <c r="AX65" s="85" t="str">
        <f>'Consumer Hardware Pricing'!AH73</f>
        <v>-</v>
      </c>
      <c r="AY65" s="85" t="str">
        <f t="shared" si="14"/>
        <v>-</v>
      </c>
      <c r="AZ65" s="85" t="str">
        <f>'Consumer Hardware Pricing'!AI73</f>
        <v>-</v>
      </c>
      <c r="BA65" s="85" t="str">
        <f t="shared" si="114"/>
        <v>-</v>
      </c>
      <c r="BB65" s="85" t="str">
        <f t="shared" si="115"/>
        <v>-</v>
      </c>
      <c r="BC65" s="85" t="str">
        <f t="shared" si="116"/>
        <v>-</v>
      </c>
      <c r="BD65" s="85">
        <f>'Consumer Hardware Pricing'!AL73</f>
        <v>0</v>
      </c>
      <c r="BE65" s="85">
        <f t="shared" si="17"/>
        <v>30.84</v>
      </c>
      <c r="BF65" s="85" t="str">
        <f>'Consumer Hardware Pricing'!AM73</f>
        <v>-</v>
      </c>
      <c r="BG65" s="85">
        <f t="shared" si="117"/>
        <v>30.84</v>
      </c>
      <c r="BH65" s="85" t="str">
        <f t="shared" si="118"/>
        <v>-</v>
      </c>
      <c r="BI65" s="85">
        <f t="shared" si="119"/>
        <v>740.16</v>
      </c>
      <c r="BJ65" s="85" t="str">
        <f>'Consumer Hardware Pricing'!AP73</f>
        <v>-</v>
      </c>
      <c r="BK65" s="85" t="str">
        <f t="shared" si="20"/>
        <v>-</v>
      </c>
      <c r="BL65" s="85" t="str">
        <f>'Consumer Hardware Pricing'!AQ73</f>
        <v>-</v>
      </c>
      <c r="BM65" s="85" t="str">
        <f t="shared" si="120"/>
        <v>-</v>
      </c>
      <c r="BN65" s="85" t="str">
        <f t="shared" si="121"/>
        <v>-</v>
      </c>
      <c r="BO65" s="85" t="str">
        <f t="shared" si="122"/>
        <v>-</v>
      </c>
      <c r="BP65" s="85" t="str">
        <f>'Consumer Hardware Pricing'!AT73</f>
        <v>-</v>
      </c>
      <c r="BQ65" s="85" t="str">
        <f t="shared" si="23"/>
        <v>-</v>
      </c>
      <c r="BR65" s="85" t="str">
        <f>'Consumer Hardware Pricing'!AU73</f>
        <v>-</v>
      </c>
      <c r="BS65" s="85" t="str">
        <f t="shared" si="123"/>
        <v>-</v>
      </c>
      <c r="BT65" s="85" t="str">
        <f t="shared" si="124"/>
        <v>-</v>
      </c>
      <c r="BU65" s="85" t="str">
        <f t="shared" si="125"/>
        <v>-</v>
      </c>
    </row>
    <row r="66" spans="1:73" ht="30.15" customHeight="1" x14ac:dyDescent="0.25">
      <c r="A66" s="86" t="s">
        <v>35</v>
      </c>
      <c r="B66" s="88" t="s">
        <v>984</v>
      </c>
      <c r="C66" s="88" t="s">
        <v>1016</v>
      </c>
      <c r="D66" s="85">
        <f>'Consumer Hardware Pricing'!L74</f>
        <v>740</v>
      </c>
      <c r="E66" s="85">
        <f>'Consumer Hardware Pricing'!M74</f>
        <v>740</v>
      </c>
      <c r="F66" s="85" t="str">
        <f>'Consumer Hardware Pricing'!N74</f>
        <v>-</v>
      </c>
      <c r="G66" s="85" t="str">
        <f t="shared" si="126"/>
        <v>-</v>
      </c>
      <c r="H66" s="85" t="str">
        <f>'Consumer Hardware Pricing'!O74</f>
        <v>-</v>
      </c>
      <c r="I66" s="85" t="str">
        <f t="shared" si="101"/>
        <v>-</v>
      </c>
      <c r="J66" s="85" t="str">
        <f t="shared" si="102"/>
        <v>-</v>
      </c>
      <c r="K66" s="85" t="str">
        <f t="shared" si="103"/>
        <v>-</v>
      </c>
      <c r="L66" s="85" t="str">
        <f>'Consumer Hardware Pricing'!Q74</f>
        <v>-</v>
      </c>
      <c r="M66" s="85" t="str">
        <f t="shared" si="127"/>
        <v>-</v>
      </c>
      <c r="N66" s="85" t="str">
        <f t="shared" si="104"/>
        <v>-</v>
      </c>
      <c r="O66" s="85" t="str">
        <f t="shared" si="105"/>
        <v>-</v>
      </c>
      <c r="P66" s="85" t="str">
        <f t="shared" si="106"/>
        <v>-</v>
      </c>
      <c r="Q66" s="85" t="str">
        <f>'Consumer Hardware Pricing'!S74</f>
        <v>-</v>
      </c>
      <c r="R66" s="85" t="str">
        <f t="shared" si="107"/>
        <v>-</v>
      </c>
      <c r="S66" s="85" t="str">
        <f>'Consumer Hardware Pricing'!T74</f>
        <v>-</v>
      </c>
      <c r="T66" s="129" t="str">
        <f t="shared" si="108"/>
        <v>-</v>
      </c>
      <c r="U66" s="129" t="str">
        <f t="shared" si="109"/>
        <v>-</v>
      </c>
      <c r="V66" s="85" t="str">
        <f t="shared" si="110"/>
        <v>-</v>
      </c>
      <c r="W66" s="129" t="str">
        <f>'Consumer Hardware Pricing'!V74</f>
        <v>-</v>
      </c>
      <c r="X66" s="129" t="str">
        <f t="shared" si="128"/>
        <v>-</v>
      </c>
      <c r="Y66" s="129" t="str">
        <f t="shared" si="111"/>
        <v>-</v>
      </c>
      <c r="Z66" s="129" t="str">
        <f t="shared" si="112"/>
        <v>-</v>
      </c>
      <c r="AA66" s="85" t="str">
        <f t="shared" si="113"/>
        <v>-</v>
      </c>
      <c r="AB66" s="85" t="str">
        <f>'Consumer Hardware Pricing'!X74</f>
        <v>-</v>
      </c>
      <c r="AC66" s="85" t="str">
        <f t="shared" si="7"/>
        <v>-</v>
      </c>
      <c r="AD66" s="85" t="str">
        <f>'Consumer Hardware Pricing'!Y74</f>
        <v>-</v>
      </c>
      <c r="AE66" s="85" t="str">
        <f t="shared" si="129"/>
        <v>-</v>
      </c>
      <c r="AF66" s="85" t="str">
        <f t="shared" si="130"/>
        <v>-</v>
      </c>
      <c r="AG66" s="85" t="str">
        <f t="shared" si="131"/>
        <v>-</v>
      </c>
      <c r="AH66" s="85" t="str">
        <f>'Consumer Hardware Pricing'!AA74</f>
        <v>-</v>
      </c>
      <c r="AI66" s="85" t="str">
        <f t="shared" si="9"/>
        <v>-</v>
      </c>
      <c r="AJ66" s="85" t="str">
        <f t="shared" si="132"/>
        <v>-</v>
      </c>
      <c r="AK66" s="85" t="str">
        <f t="shared" si="133"/>
        <v>-</v>
      </c>
      <c r="AL66" s="85" t="str">
        <f t="shared" si="134"/>
        <v>-</v>
      </c>
      <c r="AM66" s="85" t="str">
        <f>'Consumer Hardware Pricing'!AC74</f>
        <v>-</v>
      </c>
      <c r="AN66" s="85" t="str">
        <f t="shared" si="12"/>
        <v>-</v>
      </c>
      <c r="AO66" s="85" t="str">
        <f>'Consumer Hardware Pricing'!AD74</f>
        <v>-</v>
      </c>
      <c r="AP66" s="85" t="str">
        <f t="shared" si="135"/>
        <v>-</v>
      </c>
      <c r="AQ66" s="85" t="str">
        <f t="shared" si="136"/>
        <v>-</v>
      </c>
      <c r="AR66" s="85" t="str">
        <f t="shared" si="137"/>
        <v>-</v>
      </c>
      <c r="AS66" s="85" t="str">
        <f>'Consumer Hardware Pricing'!AF74</f>
        <v>-</v>
      </c>
      <c r="AT66" s="85" t="str">
        <f t="shared" si="13"/>
        <v>-</v>
      </c>
      <c r="AU66" s="85" t="str">
        <f t="shared" si="138"/>
        <v>-</v>
      </c>
      <c r="AV66" s="85" t="str">
        <f t="shared" si="139"/>
        <v>-</v>
      </c>
      <c r="AW66" s="85" t="str">
        <f t="shared" si="140"/>
        <v>-</v>
      </c>
      <c r="AX66" s="85" t="str">
        <f>'Consumer Hardware Pricing'!AH74</f>
        <v>-</v>
      </c>
      <c r="AY66" s="85" t="str">
        <f t="shared" si="14"/>
        <v>-</v>
      </c>
      <c r="AZ66" s="85" t="str">
        <f>'Consumer Hardware Pricing'!AI74</f>
        <v>-</v>
      </c>
      <c r="BA66" s="85" t="str">
        <f t="shared" si="114"/>
        <v>-</v>
      </c>
      <c r="BB66" s="85" t="str">
        <f t="shared" si="115"/>
        <v>-</v>
      </c>
      <c r="BC66" s="85" t="str">
        <f t="shared" si="116"/>
        <v>-</v>
      </c>
      <c r="BD66" s="85">
        <f>'Consumer Hardware Pricing'!AL74</f>
        <v>0</v>
      </c>
      <c r="BE66" s="85">
        <f t="shared" si="17"/>
        <v>30.84</v>
      </c>
      <c r="BF66" s="85" t="str">
        <f>'Consumer Hardware Pricing'!AM74</f>
        <v>-</v>
      </c>
      <c r="BG66" s="85">
        <f t="shared" si="117"/>
        <v>30.84</v>
      </c>
      <c r="BH66" s="85" t="str">
        <f t="shared" si="118"/>
        <v>-</v>
      </c>
      <c r="BI66" s="85">
        <f t="shared" si="119"/>
        <v>740.16</v>
      </c>
      <c r="BJ66" s="85" t="str">
        <f>'Consumer Hardware Pricing'!AP74</f>
        <v>-</v>
      </c>
      <c r="BK66" s="85" t="str">
        <f t="shared" si="20"/>
        <v>-</v>
      </c>
      <c r="BL66" s="85" t="str">
        <f>'Consumer Hardware Pricing'!AQ74</f>
        <v>-</v>
      </c>
      <c r="BM66" s="85" t="str">
        <f t="shared" si="120"/>
        <v>-</v>
      </c>
      <c r="BN66" s="85" t="str">
        <f t="shared" si="121"/>
        <v>-</v>
      </c>
      <c r="BO66" s="85" t="str">
        <f t="shared" si="122"/>
        <v>-</v>
      </c>
      <c r="BP66" s="85" t="str">
        <f>'Consumer Hardware Pricing'!AT74</f>
        <v>-</v>
      </c>
      <c r="BQ66" s="85" t="str">
        <f t="shared" si="23"/>
        <v>-</v>
      </c>
      <c r="BR66" s="85" t="str">
        <f>'Consumer Hardware Pricing'!AU74</f>
        <v>-</v>
      </c>
      <c r="BS66" s="85" t="str">
        <f t="shared" si="123"/>
        <v>-</v>
      </c>
      <c r="BT66" s="85" t="str">
        <f t="shared" si="124"/>
        <v>-</v>
      </c>
      <c r="BU66" s="85" t="str">
        <f t="shared" si="125"/>
        <v>-</v>
      </c>
    </row>
    <row r="67" spans="1:73" ht="30.15" customHeight="1" x14ac:dyDescent="0.25">
      <c r="A67" s="86" t="s">
        <v>35</v>
      </c>
      <c r="B67" s="88" t="s">
        <v>743</v>
      </c>
      <c r="C67" s="88" t="s">
        <v>777</v>
      </c>
      <c r="D67" s="85">
        <f>'Consumer Hardware Pricing'!L75</f>
        <v>560</v>
      </c>
      <c r="E67" s="85">
        <f>'Consumer Hardware Pricing'!M75</f>
        <v>560</v>
      </c>
      <c r="F67" s="85" t="str">
        <f>'Consumer Hardware Pricing'!N75</f>
        <v>-</v>
      </c>
      <c r="G67" s="85" t="str">
        <f t="shared" si="126"/>
        <v>-</v>
      </c>
      <c r="H67" s="85" t="str">
        <f>'Consumer Hardware Pricing'!O75</f>
        <v>-</v>
      </c>
      <c r="I67" s="85" t="str">
        <f t="shared" si="1"/>
        <v>-</v>
      </c>
      <c r="J67" s="85" t="str">
        <f t="shared" si="26"/>
        <v>-</v>
      </c>
      <c r="K67" s="85" t="str">
        <f t="shared" si="27"/>
        <v>-</v>
      </c>
      <c r="L67" s="85" t="str">
        <f>'Consumer Hardware Pricing'!Q75</f>
        <v>-</v>
      </c>
      <c r="M67" s="85" t="str">
        <f t="shared" si="127"/>
        <v>-</v>
      </c>
      <c r="N67" s="85" t="str">
        <f t="shared" si="3"/>
        <v>-</v>
      </c>
      <c r="O67" s="85" t="str">
        <f t="shared" si="4"/>
        <v>-</v>
      </c>
      <c r="P67" s="85" t="str">
        <f t="shared" si="28"/>
        <v>-</v>
      </c>
      <c r="Q67" s="85" t="str">
        <f>'Consumer Hardware Pricing'!S75</f>
        <v>-</v>
      </c>
      <c r="R67" s="85" t="str">
        <f t="shared" si="5"/>
        <v>-</v>
      </c>
      <c r="S67" s="85" t="str">
        <f>'Consumer Hardware Pricing'!T75</f>
        <v>-</v>
      </c>
      <c r="T67" s="129" t="str">
        <f t="shared" si="29"/>
        <v>-</v>
      </c>
      <c r="U67" s="129" t="str">
        <f t="shared" si="30"/>
        <v>-</v>
      </c>
      <c r="V67" s="85" t="str">
        <f t="shared" si="31"/>
        <v>-</v>
      </c>
      <c r="W67" s="129" t="str">
        <f>'Consumer Hardware Pricing'!V75</f>
        <v>-</v>
      </c>
      <c r="X67" s="129" t="str">
        <f t="shared" si="128"/>
        <v>-</v>
      </c>
      <c r="Y67" s="129" t="str">
        <f t="shared" si="32"/>
        <v>-</v>
      </c>
      <c r="Z67" s="129" t="str">
        <f t="shared" si="33"/>
        <v>-</v>
      </c>
      <c r="AA67" s="85" t="str">
        <f t="shared" si="34"/>
        <v>-</v>
      </c>
      <c r="AB67" s="85" t="str">
        <f>'Consumer Hardware Pricing'!X75</f>
        <v>-</v>
      </c>
      <c r="AC67" s="85" t="str">
        <f t="shared" si="7"/>
        <v>-</v>
      </c>
      <c r="AD67" s="85" t="str">
        <f>'Consumer Hardware Pricing'!Y75</f>
        <v>-</v>
      </c>
      <c r="AE67" s="85" t="str">
        <f t="shared" si="129"/>
        <v>-</v>
      </c>
      <c r="AF67" s="85" t="str">
        <f t="shared" si="130"/>
        <v>-</v>
      </c>
      <c r="AG67" s="85" t="str">
        <f t="shared" si="131"/>
        <v>-</v>
      </c>
      <c r="AH67" s="85" t="str">
        <f>'Consumer Hardware Pricing'!AA75</f>
        <v>-</v>
      </c>
      <c r="AI67" s="85" t="str">
        <f t="shared" si="9"/>
        <v>-</v>
      </c>
      <c r="AJ67" s="85" t="str">
        <f t="shared" si="132"/>
        <v>-</v>
      </c>
      <c r="AK67" s="85" t="str">
        <f t="shared" si="133"/>
        <v>-</v>
      </c>
      <c r="AL67" s="85" t="str">
        <f t="shared" si="134"/>
        <v>-</v>
      </c>
      <c r="AM67" s="85" t="str">
        <f>'Consumer Hardware Pricing'!AC75</f>
        <v>-</v>
      </c>
      <c r="AN67" s="85" t="str">
        <f t="shared" si="12"/>
        <v>-</v>
      </c>
      <c r="AO67" s="85" t="str">
        <f>'Consumer Hardware Pricing'!AD75</f>
        <v>-</v>
      </c>
      <c r="AP67" s="85" t="str">
        <f t="shared" si="135"/>
        <v>-</v>
      </c>
      <c r="AQ67" s="85" t="str">
        <f t="shared" si="136"/>
        <v>-</v>
      </c>
      <c r="AR67" s="85" t="str">
        <f t="shared" si="137"/>
        <v>-</v>
      </c>
      <c r="AS67" s="85" t="str">
        <f>'Consumer Hardware Pricing'!AF75</f>
        <v>-</v>
      </c>
      <c r="AT67" s="85" t="str">
        <f t="shared" si="13"/>
        <v>-</v>
      </c>
      <c r="AU67" s="85" t="str">
        <f t="shared" si="138"/>
        <v>-</v>
      </c>
      <c r="AV67" s="85" t="str">
        <f t="shared" si="139"/>
        <v>-</v>
      </c>
      <c r="AW67" s="85" t="str">
        <f t="shared" si="140"/>
        <v>-</v>
      </c>
      <c r="AX67" s="85" t="str">
        <f>'Consumer Hardware Pricing'!AH75</f>
        <v>-</v>
      </c>
      <c r="AY67" s="85" t="str">
        <f t="shared" si="14"/>
        <v>-</v>
      </c>
      <c r="AZ67" s="85" t="str">
        <f>'Consumer Hardware Pricing'!AI75</f>
        <v>-</v>
      </c>
      <c r="BA67" s="85" t="str">
        <f t="shared" si="15"/>
        <v>-</v>
      </c>
      <c r="BB67" s="85" t="str">
        <f t="shared" si="16"/>
        <v>-</v>
      </c>
      <c r="BC67" s="85" t="str">
        <f t="shared" si="47"/>
        <v>-</v>
      </c>
      <c r="BD67" s="85">
        <f>'Consumer Hardware Pricing'!AL75</f>
        <v>0</v>
      </c>
      <c r="BE67" s="85">
        <f t="shared" si="17"/>
        <v>23.34</v>
      </c>
      <c r="BF67" s="85" t="str">
        <f>'Consumer Hardware Pricing'!AM75</f>
        <v>-</v>
      </c>
      <c r="BG67" s="85">
        <f t="shared" si="18"/>
        <v>23.34</v>
      </c>
      <c r="BH67" s="85" t="str">
        <f t="shared" si="19"/>
        <v>-</v>
      </c>
      <c r="BI67" s="85">
        <f t="shared" si="48"/>
        <v>560.16</v>
      </c>
      <c r="BJ67" s="85" t="str">
        <f>'Consumer Hardware Pricing'!AP75</f>
        <v>-</v>
      </c>
      <c r="BK67" s="85" t="str">
        <f t="shared" si="20"/>
        <v>-</v>
      </c>
      <c r="BL67" s="85" t="str">
        <f>'Consumer Hardware Pricing'!AQ75</f>
        <v>-</v>
      </c>
      <c r="BM67" s="85" t="str">
        <f t="shared" si="21"/>
        <v>-</v>
      </c>
      <c r="BN67" s="85" t="str">
        <f t="shared" si="22"/>
        <v>-</v>
      </c>
      <c r="BO67" s="85" t="str">
        <f t="shared" si="49"/>
        <v>-</v>
      </c>
      <c r="BP67" s="85" t="str">
        <f>'Consumer Hardware Pricing'!AT75</f>
        <v>-</v>
      </c>
      <c r="BQ67" s="85" t="str">
        <f t="shared" si="23"/>
        <v>-</v>
      </c>
      <c r="BR67" s="85" t="str">
        <f>'Consumer Hardware Pricing'!AU75</f>
        <v>-</v>
      </c>
      <c r="BS67" s="85" t="str">
        <f t="shared" si="24"/>
        <v>-</v>
      </c>
      <c r="BT67" s="85" t="str">
        <f t="shared" si="25"/>
        <v>-</v>
      </c>
      <c r="BU67" s="85" t="str">
        <f t="shared" si="50"/>
        <v>-</v>
      </c>
    </row>
    <row r="68" spans="1:73" ht="30.15" customHeight="1" x14ac:dyDescent="0.25">
      <c r="A68" s="86" t="s">
        <v>35</v>
      </c>
      <c r="B68" s="88" t="s">
        <v>744</v>
      </c>
      <c r="C68" s="88" t="s">
        <v>778</v>
      </c>
      <c r="D68" s="85">
        <f>'Consumer Hardware Pricing'!L76</f>
        <v>560</v>
      </c>
      <c r="E68" s="85">
        <f>'Consumer Hardware Pricing'!M76</f>
        <v>560</v>
      </c>
      <c r="F68" s="85" t="str">
        <f>'Consumer Hardware Pricing'!N76</f>
        <v>-</v>
      </c>
      <c r="G68" s="85" t="str">
        <f t="shared" si="126"/>
        <v>-</v>
      </c>
      <c r="H68" s="85" t="str">
        <f>'Consumer Hardware Pricing'!O76</f>
        <v>-</v>
      </c>
      <c r="I68" s="85" t="str">
        <f t="shared" si="1"/>
        <v>-</v>
      </c>
      <c r="J68" s="85" t="str">
        <f t="shared" si="26"/>
        <v>-</v>
      </c>
      <c r="K68" s="85" t="str">
        <f t="shared" si="27"/>
        <v>-</v>
      </c>
      <c r="L68" s="85" t="str">
        <f>'Consumer Hardware Pricing'!Q76</f>
        <v>-</v>
      </c>
      <c r="M68" s="85" t="str">
        <f t="shared" si="127"/>
        <v>-</v>
      </c>
      <c r="N68" s="85" t="str">
        <f t="shared" si="3"/>
        <v>-</v>
      </c>
      <c r="O68" s="85" t="str">
        <f t="shared" si="4"/>
        <v>-</v>
      </c>
      <c r="P68" s="85" t="str">
        <f t="shared" si="28"/>
        <v>-</v>
      </c>
      <c r="Q68" s="85" t="str">
        <f>'Consumer Hardware Pricing'!S76</f>
        <v>-</v>
      </c>
      <c r="R68" s="85" t="str">
        <f t="shared" si="5"/>
        <v>-</v>
      </c>
      <c r="S68" s="85" t="str">
        <f>'Consumer Hardware Pricing'!T76</f>
        <v>-</v>
      </c>
      <c r="T68" s="129" t="str">
        <f t="shared" si="29"/>
        <v>-</v>
      </c>
      <c r="U68" s="129" t="str">
        <f t="shared" si="30"/>
        <v>-</v>
      </c>
      <c r="V68" s="85" t="str">
        <f t="shared" si="31"/>
        <v>-</v>
      </c>
      <c r="W68" s="129" t="str">
        <f>'Consumer Hardware Pricing'!V76</f>
        <v>-</v>
      </c>
      <c r="X68" s="129" t="str">
        <f t="shared" si="128"/>
        <v>-</v>
      </c>
      <c r="Y68" s="129" t="str">
        <f t="shared" si="32"/>
        <v>-</v>
      </c>
      <c r="Z68" s="129" t="str">
        <f t="shared" si="33"/>
        <v>-</v>
      </c>
      <c r="AA68" s="85" t="str">
        <f t="shared" si="34"/>
        <v>-</v>
      </c>
      <c r="AB68" s="85" t="str">
        <f>'Consumer Hardware Pricing'!X76</f>
        <v>-</v>
      </c>
      <c r="AC68" s="85" t="str">
        <f t="shared" si="7"/>
        <v>-</v>
      </c>
      <c r="AD68" s="85" t="str">
        <f>'Consumer Hardware Pricing'!Y76</f>
        <v>-</v>
      </c>
      <c r="AE68" s="85" t="str">
        <f t="shared" si="129"/>
        <v>-</v>
      </c>
      <c r="AF68" s="85" t="str">
        <f t="shared" si="130"/>
        <v>-</v>
      </c>
      <c r="AG68" s="85" t="str">
        <f t="shared" si="131"/>
        <v>-</v>
      </c>
      <c r="AH68" s="85" t="str">
        <f>'Consumer Hardware Pricing'!AA76</f>
        <v>-</v>
      </c>
      <c r="AI68" s="85" t="str">
        <f t="shared" si="9"/>
        <v>-</v>
      </c>
      <c r="AJ68" s="85" t="str">
        <f t="shared" si="132"/>
        <v>-</v>
      </c>
      <c r="AK68" s="85" t="str">
        <f t="shared" si="133"/>
        <v>-</v>
      </c>
      <c r="AL68" s="85" t="str">
        <f t="shared" si="134"/>
        <v>-</v>
      </c>
      <c r="AM68" s="85" t="str">
        <f>'Consumer Hardware Pricing'!AC76</f>
        <v>-</v>
      </c>
      <c r="AN68" s="85" t="str">
        <f t="shared" si="12"/>
        <v>-</v>
      </c>
      <c r="AO68" s="85" t="str">
        <f>'Consumer Hardware Pricing'!AD76</f>
        <v>-</v>
      </c>
      <c r="AP68" s="85" t="str">
        <f t="shared" si="135"/>
        <v>-</v>
      </c>
      <c r="AQ68" s="85" t="str">
        <f t="shared" si="136"/>
        <v>-</v>
      </c>
      <c r="AR68" s="85" t="str">
        <f t="shared" si="137"/>
        <v>-</v>
      </c>
      <c r="AS68" s="85" t="str">
        <f>'Consumer Hardware Pricing'!AF76</f>
        <v>-</v>
      </c>
      <c r="AT68" s="85" t="str">
        <f t="shared" si="13"/>
        <v>-</v>
      </c>
      <c r="AU68" s="85" t="str">
        <f t="shared" si="138"/>
        <v>-</v>
      </c>
      <c r="AV68" s="85" t="str">
        <f t="shared" si="139"/>
        <v>-</v>
      </c>
      <c r="AW68" s="85" t="str">
        <f t="shared" si="140"/>
        <v>-</v>
      </c>
      <c r="AX68" s="85" t="str">
        <f>'Consumer Hardware Pricing'!AH76</f>
        <v>-</v>
      </c>
      <c r="AY68" s="85" t="str">
        <f t="shared" si="14"/>
        <v>-</v>
      </c>
      <c r="AZ68" s="85" t="str">
        <f>'Consumer Hardware Pricing'!AI76</f>
        <v>-</v>
      </c>
      <c r="BA68" s="85" t="str">
        <f t="shared" si="15"/>
        <v>-</v>
      </c>
      <c r="BB68" s="85" t="str">
        <f t="shared" si="16"/>
        <v>-</v>
      </c>
      <c r="BC68" s="85" t="str">
        <f t="shared" si="47"/>
        <v>-</v>
      </c>
      <c r="BD68" s="85">
        <f>'Consumer Hardware Pricing'!AL76</f>
        <v>0</v>
      </c>
      <c r="BE68" s="85">
        <f t="shared" si="17"/>
        <v>23.34</v>
      </c>
      <c r="BF68" s="85" t="str">
        <f>'Consumer Hardware Pricing'!AM76</f>
        <v>-</v>
      </c>
      <c r="BG68" s="85">
        <f t="shared" si="18"/>
        <v>23.34</v>
      </c>
      <c r="BH68" s="85" t="str">
        <f t="shared" si="19"/>
        <v>-</v>
      </c>
      <c r="BI68" s="85">
        <f t="shared" si="48"/>
        <v>560.16</v>
      </c>
      <c r="BJ68" s="85" t="str">
        <f>'Consumer Hardware Pricing'!AP76</f>
        <v>-</v>
      </c>
      <c r="BK68" s="85" t="str">
        <f t="shared" si="20"/>
        <v>-</v>
      </c>
      <c r="BL68" s="85" t="str">
        <f>'Consumer Hardware Pricing'!AQ76</f>
        <v>-</v>
      </c>
      <c r="BM68" s="85" t="str">
        <f t="shared" si="21"/>
        <v>-</v>
      </c>
      <c r="BN68" s="85" t="str">
        <f t="shared" si="22"/>
        <v>-</v>
      </c>
      <c r="BO68" s="85" t="str">
        <f t="shared" si="49"/>
        <v>-</v>
      </c>
      <c r="BP68" s="85" t="str">
        <f>'Consumer Hardware Pricing'!AT76</f>
        <v>-</v>
      </c>
      <c r="BQ68" s="85" t="str">
        <f t="shared" si="23"/>
        <v>-</v>
      </c>
      <c r="BR68" s="85" t="str">
        <f>'Consumer Hardware Pricing'!AU76</f>
        <v>-</v>
      </c>
      <c r="BS68" s="85" t="str">
        <f t="shared" si="24"/>
        <v>-</v>
      </c>
      <c r="BT68" s="85" t="str">
        <f t="shared" si="25"/>
        <v>-</v>
      </c>
      <c r="BU68" s="85" t="str">
        <f t="shared" si="50"/>
        <v>-</v>
      </c>
    </row>
    <row r="69" spans="1:73" ht="30.15" customHeight="1" x14ac:dyDescent="0.25">
      <c r="A69" s="86" t="s">
        <v>35</v>
      </c>
      <c r="B69" s="88" t="s">
        <v>745</v>
      </c>
      <c r="C69" s="88" t="s">
        <v>779</v>
      </c>
      <c r="D69" s="85">
        <f>'Consumer Hardware Pricing'!L77</f>
        <v>520</v>
      </c>
      <c r="E69" s="85">
        <f>'Consumer Hardware Pricing'!M77</f>
        <v>520</v>
      </c>
      <c r="F69" s="85" t="str">
        <f>'Consumer Hardware Pricing'!N77</f>
        <v>-</v>
      </c>
      <c r="G69" s="85" t="str">
        <f t="shared" si="126"/>
        <v>-</v>
      </c>
      <c r="H69" s="85" t="str">
        <f>'Consumer Hardware Pricing'!O77</f>
        <v>-</v>
      </c>
      <c r="I69" s="85" t="str">
        <f t="shared" si="1"/>
        <v>-</v>
      </c>
      <c r="J69" s="85" t="str">
        <f t="shared" si="26"/>
        <v>-</v>
      </c>
      <c r="K69" s="85" t="str">
        <f t="shared" si="27"/>
        <v>-</v>
      </c>
      <c r="L69" s="85" t="str">
        <f>'Consumer Hardware Pricing'!Q77</f>
        <v>-</v>
      </c>
      <c r="M69" s="85" t="str">
        <f t="shared" si="127"/>
        <v>-</v>
      </c>
      <c r="N69" s="85" t="str">
        <f t="shared" si="3"/>
        <v>-</v>
      </c>
      <c r="O69" s="85" t="str">
        <f t="shared" si="4"/>
        <v>-</v>
      </c>
      <c r="P69" s="85" t="str">
        <f t="shared" si="28"/>
        <v>-</v>
      </c>
      <c r="Q69" s="85" t="str">
        <f>'Consumer Hardware Pricing'!S77</f>
        <v>-</v>
      </c>
      <c r="R69" s="85" t="str">
        <f t="shared" si="5"/>
        <v>-</v>
      </c>
      <c r="S69" s="85" t="str">
        <f>'Consumer Hardware Pricing'!T77</f>
        <v>-</v>
      </c>
      <c r="T69" s="129" t="str">
        <f t="shared" si="29"/>
        <v>-</v>
      </c>
      <c r="U69" s="129" t="str">
        <f t="shared" si="30"/>
        <v>-</v>
      </c>
      <c r="V69" s="85" t="str">
        <f t="shared" si="31"/>
        <v>-</v>
      </c>
      <c r="W69" s="129" t="str">
        <f>'Consumer Hardware Pricing'!V77</f>
        <v>-</v>
      </c>
      <c r="X69" s="129" t="str">
        <f t="shared" si="128"/>
        <v>-</v>
      </c>
      <c r="Y69" s="129" t="str">
        <f t="shared" si="32"/>
        <v>-</v>
      </c>
      <c r="Z69" s="129" t="str">
        <f t="shared" si="33"/>
        <v>-</v>
      </c>
      <c r="AA69" s="85" t="str">
        <f t="shared" si="34"/>
        <v>-</v>
      </c>
      <c r="AB69" s="85" t="str">
        <f>'Consumer Hardware Pricing'!X77</f>
        <v>-</v>
      </c>
      <c r="AC69" s="85" t="str">
        <f t="shared" si="7"/>
        <v>-</v>
      </c>
      <c r="AD69" s="85" t="str">
        <f>'Consumer Hardware Pricing'!Y77</f>
        <v>-</v>
      </c>
      <c r="AE69" s="85" t="str">
        <f t="shared" si="129"/>
        <v>-</v>
      </c>
      <c r="AF69" s="85" t="str">
        <f t="shared" si="130"/>
        <v>-</v>
      </c>
      <c r="AG69" s="85" t="str">
        <f t="shared" si="131"/>
        <v>-</v>
      </c>
      <c r="AH69" s="85" t="str">
        <f>'Consumer Hardware Pricing'!AA77</f>
        <v>-</v>
      </c>
      <c r="AI69" s="85" t="str">
        <f t="shared" si="9"/>
        <v>-</v>
      </c>
      <c r="AJ69" s="85" t="str">
        <f t="shared" si="132"/>
        <v>-</v>
      </c>
      <c r="AK69" s="85" t="str">
        <f t="shared" si="133"/>
        <v>-</v>
      </c>
      <c r="AL69" s="85" t="str">
        <f t="shared" si="134"/>
        <v>-</v>
      </c>
      <c r="AM69" s="85" t="str">
        <f>'Consumer Hardware Pricing'!AC77</f>
        <v>-</v>
      </c>
      <c r="AN69" s="85" t="str">
        <f t="shared" si="12"/>
        <v>-</v>
      </c>
      <c r="AO69" s="85" t="str">
        <f>'Consumer Hardware Pricing'!AD77</f>
        <v>-</v>
      </c>
      <c r="AP69" s="85" t="str">
        <f t="shared" si="135"/>
        <v>-</v>
      </c>
      <c r="AQ69" s="85" t="str">
        <f t="shared" si="136"/>
        <v>-</v>
      </c>
      <c r="AR69" s="85" t="str">
        <f t="shared" si="137"/>
        <v>-</v>
      </c>
      <c r="AS69" s="85" t="str">
        <f>'Consumer Hardware Pricing'!AF77</f>
        <v>-</v>
      </c>
      <c r="AT69" s="85" t="str">
        <f t="shared" si="13"/>
        <v>-</v>
      </c>
      <c r="AU69" s="85" t="str">
        <f t="shared" si="138"/>
        <v>-</v>
      </c>
      <c r="AV69" s="85" t="str">
        <f t="shared" si="139"/>
        <v>-</v>
      </c>
      <c r="AW69" s="85" t="str">
        <f t="shared" si="140"/>
        <v>-</v>
      </c>
      <c r="AX69" s="85" t="str">
        <f>'Consumer Hardware Pricing'!AH77</f>
        <v>-</v>
      </c>
      <c r="AY69" s="85" t="str">
        <f t="shared" si="14"/>
        <v>-</v>
      </c>
      <c r="AZ69" s="85" t="str">
        <f>'Consumer Hardware Pricing'!AI77</f>
        <v>-</v>
      </c>
      <c r="BA69" s="85" t="str">
        <f t="shared" si="15"/>
        <v>-</v>
      </c>
      <c r="BB69" s="85" t="str">
        <f t="shared" si="16"/>
        <v>-</v>
      </c>
      <c r="BC69" s="85" t="str">
        <f t="shared" si="47"/>
        <v>-</v>
      </c>
      <c r="BD69" s="85">
        <f>'Consumer Hardware Pricing'!AL77</f>
        <v>0</v>
      </c>
      <c r="BE69" s="85">
        <f t="shared" si="17"/>
        <v>21.67</v>
      </c>
      <c r="BF69" s="85" t="str">
        <f>'Consumer Hardware Pricing'!AM77</f>
        <v>-</v>
      </c>
      <c r="BG69" s="85">
        <f t="shared" si="18"/>
        <v>21.67</v>
      </c>
      <c r="BH69" s="85" t="str">
        <f t="shared" si="19"/>
        <v>-</v>
      </c>
      <c r="BI69" s="85">
        <f t="shared" si="48"/>
        <v>520.08000000000004</v>
      </c>
      <c r="BJ69" s="85" t="str">
        <f>'Consumer Hardware Pricing'!AP77</f>
        <v>-</v>
      </c>
      <c r="BK69" s="85" t="str">
        <f t="shared" si="20"/>
        <v>-</v>
      </c>
      <c r="BL69" s="85" t="str">
        <f>'Consumer Hardware Pricing'!AQ77</f>
        <v>-</v>
      </c>
      <c r="BM69" s="85" t="str">
        <f t="shared" si="21"/>
        <v>-</v>
      </c>
      <c r="BN69" s="85" t="str">
        <f t="shared" si="22"/>
        <v>-</v>
      </c>
      <c r="BO69" s="85" t="str">
        <f t="shared" si="49"/>
        <v>-</v>
      </c>
      <c r="BP69" s="85" t="str">
        <f>'Consumer Hardware Pricing'!AT77</f>
        <v>-</v>
      </c>
      <c r="BQ69" s="85" t="str">
        <f t="shared" si="23"/>
        <v>-</v>
      </c>
      <c r="BR69" s="85" t="str">
        <f>'Consumer Hardware Pricing'!AU77</f>
        <v>-</v>
      </c>
      <c r="BS69" s="85" t="str">
        <f t="shared" si="24"/>
        <v>-</v>
      </c>
      <c r="BT69" s="85" t="str">
        <f t="shared" si="25"/>
        <v>-</v>
      </c>
      <c r="BU69" s="85" t="str">
        <f t="shared" si="50"/>
        <v>-</v>
      </c>
    </row>
    <row r="70" spans="1:73" ht="30.15" customHeight="1" x14ac:dyDescent="0.25">
      <c r="A70" s="86" t="s">
        <v>35</v>
      </c>
      <c r="B70" s="88" t="s">
        <v>746</v>
      </c>
      <c r="C70" s="88" t="s">
        <v>780</v>
      </c>
      <c r="D70" s="85">
        <f>'Consumer Hardware Pricing'!L78</f>
        <v>560</v>
      </c>
      <c r="E70" s="85">
        <f>'Consumer Hardware Pricing'!M78</f>
        <v>560</v>
      </c>
      <c r="F70" s="85" t="str">
        <f>'Consumer Hardware Pricing'!N78</f>
        <v>-</v>
      </c>
      <c r="G70" s="85" t="str">
        <f t="shared" si="126"/>
        <v>-</v>
      </c>
      <c r="H70" s="85" t="str">
        <f>'Consumer Hardware Pricing'!O78</f>
        <v>-</v>
      </c>
      <c r="I70" s="85" t="str">
        <f t="shared" si="1"/>
        <v>-</v>
      </c>
      <c r="J70" s="85" t="str">
        <f t="shared" si="26"/>
        <v>-</v>
      </c>
      <c r="K70" s="85" t="str">
        <f t="shared" si="27"/>
        <v>-</v>
      </c>
      <c r="L70" s="85" t="str">
        <f>'Consumer Hardware Pricing'!Q78</f>
        <v>-</v>
      </c>
      <c r="M70" s="85" t="str">
        <f t="shared" si="127"/>
        <v>-</v>
      </c>
      <c r="N70" s="85" t="str">
        <f t="shared" si="3"/>
        <v>-</v>
      </c>
      <c r="O70" s="85" t="str">
        <f t="shared" si="4"/>
        <v>-</v>
      </c>
      <c r="P70" s="85" t="str">
        <f t="shared" si="28"/>
        <v>-</v>
      </c>
      <c r="Q70" s="85" t="str">
        <f>'Consumer Hardware Pricing'!S78</f>
        <v>-</v>
      </c>
      <c r="R70" s="85" t="str">
        <f t="shared" si="5"/>
        <v>-</v>
      </c>
      <c r="S70" s="85" t="str">
        <f>'Consumer Hardware Pricing'!T78</f>
        <v>-</v>
      </c>
      <c r="T70" s="129" t="str">
        <f t="shared" si="29"/>
        <v>-</v>
      </c>
      <c r="U70" s="129" t="str">
        <f t="shared" si="30"/>
        <v>-</v>
      </c>
      <c r="V70" s="85" t="str">
        <f t="shared" si="31"/>
        <v>-</v>
      </c>
      <c r="W70" s="129" t="str">
        <f>'Consumer Hardware Pricing'!V78</f>
        <v>-</v>
      </c>
      <c r="X70" s="129" t="str">
        <f t="shared" si="128"/>
        <v>-</v>
      </c>
      <c r="Y70" s="129" t="str">
        <f t="shared" si="32"/>
        <v>-</v>
      </c>
      <c r="Z70" s="129" t="str">
        <f t="shared" si="33"/>
        <v>-</v>
      </c>
      <c r="AA70" s="85" t="str">
        <f t="shared" si="34"/>
        <v>-</v>
      </c>
      <c r="AB70" s="85" t="str">
        <f>'Consumer Hardware Pricing'!X78</f>
        <v>-</v>
      </c>
      <c r="AC70" s="85" t="str">
        <f t="shared" ref="AC70:AC127" si="141">IF(AB70="-","-",ROUNDUP(D70/24,2))</f>
        <v>-</v>
      </c>
      <c r="AD70" s="85" t="str">
        <f>'Consumer Hardware Pricing'!Y78</f>
        <v>-</v>
      </c>
      <c r="AE70" s="85" t="str">
        <f t="shared" si="129"/>
        <v>-</v>
      </c>
      <c r="AF70" s="85" t="str">
        <f t="shared" si="130"/>
        <v>-</v>
      </c>
      <c r="AG70" s="85" t="str">
        <f t="shared" si="131"/>
        <v>-</v>
      </c>
      <c r="AH70" s="85" t="str">
        <f>'Consumer Hardware Pricing'!AA78</f>
        <v>-</v>
      </c>
      <c r="AI70" s="85" t="str">
        <f t="shared" ref="AI70:AI127" si="142">IF(AH70="-",AH70,IF(AD70="-",AC70-ROUNDUP((D70-AH70)/24,2),AD70+AC70-ROUNDUP((D70-AH70)/24,2)))</f>
        <v>-</v>
      </c>
      <c r="AJ70" s="85" t="str">
        <f t="shared" si="132"/>
        <v>-</v>
      </c>
      <c r="AK70" s="85" t="str">
        <f t="shared" si="133"/>
        <v>-</v>
      </c>
      <c r="AL70" s="85" t="str">
        <f t="shared" si="134"/>
        <v>-</v>
      </c>
      <c r="AM70" s="85" t="str">
        <f>'Consumer Hardware Pricing'!AC78</f>
        <v>-</v>
      </c>
      <c r="AN70" s="85" t="str">
        <f t="shared" ref="AN70:AN127" si="143">IF(AM70="-","-",ROUNDUP(D70/24,2))</f>
        <v>-</v>
      </c>
      <c r="AO70" s="85" t="str">
        <f>'Consumer Hardware Pricing'!AD78</f>
        <v>-</v>
      </c>
      <c r="AP70" s="85" t="str">
        <f t="shared" si="135"/>
        <v>-</v>
      </c>
      <c r="AQ70" s="85" t="str">
        <f t="shared" si="136"/>
        <v>-</v>
      </c>
      <c r="AR70" s="85" t="str">
        <f t="shared" si="137"/>
        <v>-</v>
      </c>
      <c r="AS70" s="85" t="str">
        <f>'Consumer Hardware Pricing'!AF78</f>
        <v>-</v>
      </c>
      <c r="AT70" s="85" t="str">
        <f t="shared" ref="AT70:AT127" si="144">IF(AS70="-",AS70,IF(AO70="-",AN70-ROUNDUP((D70-AS70)/24,2),AO70+AN70-ROUNDUP((D70-AS70)/24,2)))</f>
        <v>-</v>
      </c>
      <c r="AU70" s="85" t="str">
        <f t="shared" si="138"/>
        <v>-</v>
      </c>
      <c r="AV70" s="85" t="str">
        <f t="shared" si="139"/>
        <v>-</v>
      </c>
      <c r="AW70" s="85" t="str">
        <f t="shared" si="140"/>
        <v>-</v>
      </c>
      <c r="AX70" s="85" t="str">
        <f>'Consumer Hardware Pricing'!AH78</f>
        <v>-</v>
      </c>
      <c r="AY70" s="85" t="str">
        <f t="shared" ref="AY70:AY127" si="145">IF(AX70="-",AX70,ROUNDUP((D70-AX70)/24,2))</f>
        <v>-</v>
      </c>
      <c r="AZ70" s="85" t="str">
        <f>'Consumer Hardware Pricing'!AI78</f>
        <v>-</v>
      </c>
      <c r="BA70" s="85" t="str">
        <f t="shared" si="15"/>
        <v>-</v>
      </c>
      <c r="BB70" s="85" t="str">
        <f t="shared" si="16"/>
        <v>-</v>
      </c>
      <c r="BC70" s="85" t="str">
        <f t="shared" si="47"/>
        <v>-</v>
      </c>
      <c r="BD70" s="85">
        <f>'Consumer Hardware Pricing'!AL78</f>
        <v>0</v>
      </c>
      <c r="BE70" s="85">
        <f t="shared" ref="BE70:BE127" si="146">IF(BD70="-",BD70,ROUNDUP((D70-BD70)/24,2))</f>
        <v>23.34</v>
      </c>
      <c r="BF70" s="85" t="str">
        <f>'Consumer Hardware Pricing'!AM78</f>
        <v>-</v>
      </c>
      <c r="BG70" s="85">
        <f t="shared" si="18"/>
        <v>23.34</v>
      </c>
      <c r="BH70" s="85" t="str">
        <f t="shared" si="19"/>
        <v>-</v>
      </c>
      <c r="BI70" s="85">
        <f t="shared" si="48"/>
        <v>560.16</v>
      </c>
      <c r="BJ70" s="85" t="str">
        <f>'Consumer Hardware Pricing'!AP78</f>
        <v>-</v>
      </c>
      <c r="BK70" s="85" t="str">
        <f t="shared" ref="BK70:BK127" si="147">IF(BJ70="-",BJ70,ROUNDUP((D70-BJ70)/24,2))</f>
        <v>-</v>
      </c>
      <c r="BL70" s="85" t="str">
        <f>'Consumer Hardware Pricing'!AQ78</f>
        <v>-</v>
      </c>
      <c r="BM70" s="85" t="str">
        <f t="shared" si="21"/>
        <v>-</v>
      </c>
      <c r="BN70" s="85" t="str">
        <f t="shared" si="22"/>
        <v>-</v>
      </c>
      <c r="BO70" s="85" t="str">
        <f t="shared" si="49"/>
        <v>-</v>
      </c>
      <c r="BP70" s="85" t="str">
        <f>'Consumer Hardware Pricing'!AT78</f>
        <v>-</v>
      </c>
      <c r="BQ70" s="85" t="str">
        <f t="shared" ref="BQ70:BQ127" si="148">IF(BP70="-",BP70,ROUNDUP((D70-BP70)/24,2))</f>
        <v>-</v>
      </c>
      <c r="BR70" s="85" t="str">
        <f>'Consumer Hardware Pricing'!AU78</f>
        <v>-</v>
      </c>
      <c r="BS70" s="85" t="str">
        <f t="shared" si="24"/>
        <v>-</v>
      </c>
      <c r="BT70" s="85" t="str">
        <f t="shared" si="25"/>
        <v>-</v>
      </c>
      <c r="BU70" s="85" t="str">
        <f t="shared" si="50"/>
        <v>-</v>
      </c>
    </row>
    <row r="71" spans="1:73" ht="30.15" customHeight="1" x14ac:dyDescent="0.25">
      <c r="A71" s="86" t="s">
        <v>35</v>
      </c>
      <c r="B71" s="88" t="s">
        <v>747</v>
      </c>
      <c r="C71" s="88" t="s">
        <v>781</v>
      </c>
      <c r="D71" s="85">
        <f>'Consumer Hardware Pricing'!L79</f>
        <v>520</v>
      </c>
      <c r="E71" s="85">
        <f>'Consumer Hardware Pricing'!M79</f>
        <v>520</v>
      </c>
      <c r="F71" s="85" t="str">
        <f>'Consumer Hardware Pricing'!N79</f>
        <v>-</v>
      </c>
      <c r="G71" s="85" t="str">
        <f t="shared" si="126"/>
        <v>-</v>
      </c>
      <c r="H71" s="85" t="str">
        <f>'Consumer Hardware Pricing'!O79</f>
        <v>-</v>
      </c>
      <c r="I71" s="85" t="str">
        <f t="shared" ref="I71:I130" si="149">IF(H71="-",G71,G71-H71)</f>
        <v>-</v>
      </c>
      <c r="J71" s="85" t="str">
        <f t="shared" si="26"/>
        <v>-</v>
      </c>
      <c r="K71" s="85" t="str">
        <f t="shared" si="27"/>
        <v>-</v>
      </c>
      <c r="L71" s="85" t="str">
        <f>'Consumer Hardware Pricing'!Q79</f>
        <v>-</v>
      </c>
      <c r="M71" s="85" t="str">
        <f t="shared" si="127"/>
        <v>-</v>
      </c>
      <c r="N71" s="85" t="str">
        <f t="shared" ref="N71:N130" si="150">IF(L71="-",L71,G71-M71)</f>
        <v>-</v>
      </c>
      <c r="O71" s="85" t="str">
        <f t="shared" ref="O71:O130" si="151">IF(L71="-",L71,M71*24)</f>
        <v>-</v>
      </c>
      <c r="P71" s="85" t="str">
        <f t="shared" si="28"/>
        <v>-</v>
      </c>
      <c r="Q71" s="85" t="str">
        <f>'Consumer Hardware Pricing'!S79</f>
        <v>-</v>
      </c>
      <c r="R71" s="85" t="str">
        <f t="shared" ref="R71:R130" si="152">G71</f>
        <v>-</v>
      </c>
      <c r="S71" s="85" t="str">
        <f>'Consumer Hardware Pricing'!T79</f>
        <v>-</v>
      </c>
      <c r="T71" s="129" t="str">
        <f t="shared" si="29"/>
        <v>-</v>
      </c>
      <c r="U71" s="129" t="str">
        <f t="shared" si="30"/>
        <v>-</v>
      </c>
      <c r="V71" s="85" t="str">
        <f t="shared" si="31"/>
        <v>-</v>
      </c>
      <c r="W71" s="129" t="str">
        <f>'Consumer Hardware Pricing'!V79</f>
        <v>-</v>
      </c>
      <c r="X71" s="129" t="str">
        <f t="shared" si="128"/>
        <v>-</v>
      </c>
      <c r="Y71" s="129" t="str">
        <f t="shared" si="32"/>
        <v>-</v>
      </c>
      <c r="Z71" s="129" t="str">
        <f t="shared" si="33"/>
        <v>-</v>
      </c>
      <c r="AA71" s="85" t="str">
        <f t="shared" si="34"/>
        <v>-</v>
      </c>
      <c r="AB71" s="85" t="str">
        <f>'Consumer Hardware Pricing'!X79</f>
        <v>-</v>
      </c>
      <c r="AC71" s="85" t="str">
        <f t="shared" si="141"/>
        <v>-</v>
      </c>
      <c r="AD71" s="85" t="str">
        <f>'Consumer Hardware Pricing'!Y79</f>
        <v>-</v>
      </c>
      <c r="AE71" s="85" t="str">
        <f t="shared" si="129"/>
        <v>-</v>
      </c>
      <c r="AF71" s="85" t="str">
        <f t="shared" si="130"/>
        <v>-</v>
      </c>
      <c r="AG71" s="85" t="str">
        <f t="shared" si="131"/>
        <v>-</v>
      </c>
      <c r="AH71" s="85" t="str">
        <f>'Consumer Hardware Pricing'!AA79</f>
        <v>-</v>
      </c>
      <c r="AI71" s="85" t="str">
        <f t="shared" si="142"/>
        <v>-</v>
      </c>
      <c r="AJ71" s="85" t="str">
        <f t="shared" si="132"/>
        <v>-</v>
      </c>
      <c r="AK71" s="85" t="str">
        <f t="shared" si="133"/>
        <v>-</v>
      </c>
      <c r="AL71" s="85" t="str">
        <f t="shared" si="134"/>
        <v>-</v>
      </c>
      <c r="AM71" s="85" t="str">
        <f>'Consumer Hardware Pricing'!AC79</f>
        <v>-</v>
      </c>
      <c r="AN71" s="85" t="str">
        <f t="shared" si="143"/>
        <v>-</v>
      </c>
      <c r="AO71" s="85" t="str">
        <f>'Consumer Hardware Pricing'!AD79</f>
        <v>-</v>
      </c>
      <c r="AP71" s="85" t="str">
        <f t="shared" si="135"/>
        <v>-</v>
      </c>
      <c r="AQ71" s="85" t="str">
        <f t="shared" si="136"/>
        <v>-</v>
      </c>
      <c r="AR71" s="85" t="str">
        <f t="shared" si="137"/>
        <v>-</v>
      </c>
      <c r="AS71" s="85" t="str">
        <f>'Consumer Hardware Pricing'!AF79</f>
        <v>-</v>
      </c>
      <c r="AT71" s="85" t="str">
        <f t="shared" si="144"/>
        <v>-</v>
      </c>
      <c r="AU71" s="85" t="str">
        <f t="shared" si="138"/>
        <v>-</v>
      </c>
      <c r="AV71" s="85" t="str">
        <f t="shared" si="139"/>
        <v>-</v>
      </c>
      <c r="AW71" s="85" t="str">
        <f t="shared" si="140"/>
        <v>-</v>
      </c>
      <c r="AX71" s="85" t="str">
        <f>'Consumer Hardware Pricing'!AH79</f>
        <v>-</v>
      </c>
      <c r="AY71" s="85" t="str">
        <f t="shared" si="145"/>
        <v>-</v>
      </c>
      <c r="AZ71" s="85" t="str">
        <f>'Consumer Hardware Pricing'!AI79</f>
        <v>-</v>
      </c>
      <c r="BA71" s="85" t="str">
        <f t="shared" ref="BA71:BA130" si="153">IF(AZ71="-",AY71,AY71-AZ71)</f>
        <v>-</v>
      </c>
      <c r="BB71" s="85" t="str">
        <f t="shared" ref="BB71:BB130" si="154">IF(AZ71="-",AZ71,AZ71*24)</f>
        <v>-</v>
      </c>
      <c r="BC71" s="85" t="str">
        <f t="shared" si="47"/>
        <v>-</v>
      </c>
      <c r="BD71" s="85">
        <f>'Consumer Hardware Pricing'!AL79</f>
        <v>0</v>
      </c>
      <c r="BE71" s="85">
        <f t="shared" si="146"/>
        <v>21.67</v>
      </c>
      <c r="BF71" s="85" t="str">
        <f>'Consumer Hardware Pricing'!AM79</f>
        <v>-</v>
      </c>
      <c r="BG71" s="85">
        <f t="shared" ref="BG71:BG130" si="155">IF(BF71="-",BE71,BE71-BF71)</f>
        <v>21.67</v>
      </c>
      <c r="BH71" s="85" t="str">
        <f t="shared" ref="BH71:BH130" si="156">IF(BF71="-",BF71,BF71*24)</f>
        <v>-</v>
      </c>
      <c r="BI71" s="85">
        <f t="shared" si="48"/>
        <v>520.08000000000004</v>
      </c>
      <c r="BJ71" s="85" t="str">
        <f>'Consumer Hardware Pricing'!AP79</f>
        <v>-</v>
      </c>
      <c r="BK71" s="85" t="str">
        <f t="shared" si="147"/>
        <v>-</v>
      </c>
      <c r="BL71" s="85" t="str">
        <f>'Consumer Hardware Pricing'!AQ79</f>
        <v>-</v>
      </c>
      <c r="BM71" s="85" t="str">
        <f t="shared" ref="BM71:BM130" si="157">IF(BL71="-",BK71,BK71-BL71)</f>
        <v>-</v>
      </c>
      <c r="BN71" s="85" t="str">
        <f t="shared" ref="BN71:BN130" si="158">IF(BL71="-",BL71,BL71*24)</f>
        <v>-</v>
      </c>
      <c r="BO71" s="85" t="str">
        <f t="shared" si="49"/>
        <v>-</v>
      </c>
      <c r="BP71" s="85" t="str">
        <f>'Consumer Hardware Pricing'!AT79</f>
        <v>-</v>
      </c>
      <c r="BQ71" s="85" t="str">
        <f t="shared" si="148"/>
        <v>-</v>
      </c>
      <c r="BR71" s="85" t="str">
        <f>'Consumer Hardware Pricing'!AU79</f>
        <v>-</v>
      </c>
      <c r="BS71" s="85" t="str">
        <f t="shared" ref="BS71:BS130" si="159">IF(BR71="-",BQ71,BQ71-BR71)</f>
        <v>-</v>
      </c>
      <c r="BT71" s="85" t="str">
        <f t="shared" ref="BT71:BT130" si="160">IF(BR71="-",BR71,BR71*24)</f>
        <v>-</v>
      </c>
      <c r="BU71" s="85" t="str">
        <f t="shared" si="50"/>
        <v>-</v>
      </c>
    </row>
    <row r="72" spans="1:73" ht="30.15" customHeight="1" x14ac:dyDescent="0.25">
      <c r="A72" s="86" t="s">
        <v>35</v>
      </c>
      <c r="B72" s="88" t="s">
        <v>748</v>
      </c>
      <c r="C72" s="88" t="s">
        <v>782</v>
      </c>
      <c r="D72" s="85">
        <f>'Consumer Hardware Pricing'!L80</f>
        <v>520</v>
      </c>
      <c r="E72" s="85">
        <f>'Consumer Hardware Pricing'!M80</f>
        <v>520</v>
      </c>
      <c r="F72" s="85" t="str">
        <f>'Consumer Hardware Pricing'!N80</f>
        <v>-</v>
      </c>
      <c r="G72" s="85" t="str">
        <f t="shared" si="126"/>
        <v>-</v>
      </c>
      <c r="H72" s="85" t="str">
        <f>'Consumer Hardware Pricing'!O80</f>
        <v>-</v>
      </c>
      <c r="I72" s="85" t="str">
        <f t="shared" si="149"/>
        <v>-</v>
      </c>
      <c r="J72" s="85" t="str">
        <f t="shared" ref="J72:J170" si="161">IF(H72="-",H72,H72*24)</f>
        <v>-</v>
      </c>
      <c r="K72" s="85" t="str">
        <f t="shared" ref="K72:K170" si="162">IF(F72="-",F72,I72*24)</f>
        <v>-</v>
      </c>
      <c r="L72" s="85" t="str">
        <f>'Consumer Hardware Pricing'!Q80</f>
        <v>-</v>
      </c>
      <c r="M72" s="85" t="str">
        <f t="shared" si="127"/>
        <v>-</v>
      </c>
      <c r="N72" s="85" t="str">
        <f t="shared" si="150"/>
        <v>-</v>
      </c>
      <c r="O72" s="85" t="str">
        <f t="shared" si="151"/>
        <v>-</v>
      </c>
      <c r="P72" s="85" t="str">
        <f t="shared" ref="P72:P170" si="163">IF(L72="-",L72,N72*24)</f>
        <v>-</v>
      </c>
      <c r="Q72" s="85" t="str">
        <f>'Consumer Hardware Pricing'!S80</f>
        <v>-</v>
      </c>
      <c r="R72" s="85" t="str">
        <f t="shared" si="152"/>
        <v>-</v>
      </c>
      <c r="S72" s="85" t="str">
        <f>'Consumer Hardware Pricing'!T80</f>
        <v>-</v>
      </c>
      <c r="T72" s="129" t="str">
        <f t="shared" ref="T72:T170" si="164">IF(S72="-",R72,R72-S72)</f>
        <v>-</v>
      </c>
      <c r="U72" s="129" t="str">
        <f t="shared" ref="U72:U170" si="165">IF(S72="-",S72,S72*24)</f>
        <v>-</v>
      </c>
      <c r="V72" s="85" t="str">
        <f t="shared" ref="V72:V170" si="166">IF(Q72="-",Q72,T72*24)</f>
        <v>-</v>
      </c>
      <c r="W72" s="129" t="str">
        <f>'Consumer Hardware Pricing'!V80</f>
        <v>-</v>
      </c>
      <c r="X72" s="129" t="str">
        <f t="shared" si="128"/>
        <v>-</v>
      </c>
      <c r="Y72" s="129" t="str">
        <f t="shared" ref="Y72:Y170" si="167">IF(W72="-",W72,R72-X72)</f>
        <v>-</v>
      </c>
      <c r="Z72" s="129" t="str">
        <f t="shared" ref="Z72:Z170" si="168">IF(W72="-",W72,X72*24)</f>
        <v>-</v>
      </c>
      <c r="AA72" s="85" t="str">
        <f t="shared" ref="AA72:AA170" si="169">IF(W72="-",W72,Y72*24)</f>
        <v>-</v>
      </c>
      <c r="AB72" s="85" t="str">
        <f>'Consumer Hardware Pricing'!X80</f>
        <v>-</v>
      </c>
      <c r="AC72" s="85" t="str">
        <f t="shared" si="141"/>
        <v>-</v>
      </c>
      <c r="AD72" s="85" t="str">
        <f>'Consumer Hardware Pricing'!Y80</f>
        <v>-</v>
      </c>
      <c r="AE72" s="85" t="str">
        <f t="shared" si="129"/>
        <v>-</v>
      </c>
      <c r="AF72" s="85" t="str">
        <f t="shared" si="130"/>
        <v>-</v>
      </c>
      <c r="AG72" s="85" t="str">
        <f t="shared" si="131"/>
        <v>-</v>
      </c>
      <c r="AH72" s="85" t="str">
        <f>'Consumer Hardware Pricing'!AA80</f>
        <v>-</v>
      </c>
      <c r="AI72" s="85" t="str">
        <f t="shared" si="142"/>
        <v>-</v>
      </c>
      <c r="AJ72" s="85" t="str">
        <f t="shared" si="132"/>
        <v>-</v>
      </c>
      <c r="AK72" s="85" t="str">
        <f t="shared" si="133"/>
        <v>-</v>
      </c>
      <c r="AL72" s="85" t="str">
        <f t="shared" si="134"/>
        <v>-</v>
      </c>
      <c r="AM72" s="85" t="str">
        <f>'Consumer Hardware Pricing'!AC80</f>
        <v>-</v>
      </c>
      <c r="AN72" s="85" t="str">
        <f t="shared" si="143"/>
        <v>-</v>
      </c>
      <c r="AO72" s="85" t="str">
        <f>'Consumer Hardware Pricing'!AD80</f>
        <v>-</v>
      </c>
      <c r="AP72" s="85" t="str">
        <f t="shared" si="135"/>
        <v>-</v>
      </c>
      <c r="AQ72" s="85" t="str">
        <f t="shared" si="136"/>
        <v>-</v>
      </c>
      <c r="AR72" s="85" t="str">
        <f t="shared" si="137"/>
        <v>-</v>
      </c>
      <c r="AS72" s="85" t="str">
        <f>'Consumer Hardware Pricing'!AF80</f>
        <v>-</v>
      </c>
      <c r="AT72" s="85" t="str">
        <f t="shared" si="144"/>
        <v>-</v>
      </c>
      <c r="AU72" s="85" t="str">
        <f t="shared" si="138"/>
        <v>-</v>
      </c>
      <c r="AV72" s="85" t="str">
        <f t="shared" si="139"/>
        <v>-</v>
      </c>
      <c r="AW72" s="85" t="str">
        <f t="shared" si="140"/>
        <v>-</v>
      </c>
      <c r="AX72" s="85" t="str">
        <f>'Consumer Hardware Pricing'!AH80</f>
        <v>-</v>
      </c>
      <c r="AY72" s="85" t="str">
        <f t="shared" si="145"/>
        <v>-</v>
      </c>
      <c r="AZ72" s="85" t="str">
        <f>'Consumer Hardware Pricing'!AI80</f>
        <v>-</v>
      </c>
      <c r="BA72" s="85" t="str">
        <f t="shared" si="153"/>
        <v>-</v>
      </c>
      <c r="BB72" s="85" t="str">
        <f t="shared" si="154"/>
        <v>-</v>
      </c>
      <c r="BC72" s="85" t="str">
        <f t="shared" ref="BC72:BC170" si="170">IF(AX72="-",AX72,AX72+(BA72*24))</f>
        <v>-</v>
      </c>
      <c r="BD72" s="85">
        <f>'Consumer Hardware Pricing'!AL80</f>
        <v>0</v>
      </c>
      <c r="BE72" s="85">
        <f t="shared" si="146"/>
        <v>21.67</v>
      </c>
      <c r="BF72" s="85" t="str">
        <f>'Consumer Hardware Pricing'!AM80</f>
        <v>-</v>
      </c>
      <c r="BG72" s="85">
        <f t="shared" si="155"/>
        <v>21.67</v>
      </c>
      <c r="BH72" s="85" t="str">
        <f t="shared" si="156"/>
        <v>-</v>
      </c>
      <c r="BI72" s="85">
        <f t="shared" ref="BI72:BI170" si="171">IF(BD72="-",BD72,BD72+(BG72*24))</f>
        <v>520.08000000000004</v>
      </c>
      <c r="BJ72" s="85" t="str">
        <f>'Consumer Hardware Pricing'!AP80</f>
        <v>-</v>
      </c>
      <c r="BK72" s="85" t="str">
        <f t="shared" si="147"/>
        <v>-</v>
      </c>
      <c r="BL72" s="85" t="str">
        <f>'Consumer Hardware Pricing'!AQ80</f>
        <v>-</v>
      </c>
      <c r="BM72" s="85" t="str">
        <f t="shared" si="157"/>
        <v>-</v>
      </c>
      <c r="BN72" s="85" t="str">
        <f t="shared" si="158"/>
        <v>-</v>
      </c>
      <c r="BO72" s="85" t="str">
        <f t="shared" ref="BO72:BO170" si="172">IF(BJ72="-",BJ72,BJ72+(BM72*24))</f>
        <v>-</v>
      </c>
      <c r="BP72" s="85" t="str">
        <f>'Consumer Hardware Pricing'!AT80</f>
        <v>-</v>
      </c>
      <c r="BQ72" s="85" t="str">
        <f t="shared" si="148"/>
        <v>-</v>
      </c>
      <c r="BR72" s="85" t="str">
        <f>'Consumer Hardware Pricing'!AU80</f>
        <v>-</v>
      </c>
      <c r="BS72" s="85" t="str">
        <f t="shared" si="159"/>
        <v>-</v>
      </c>
      <c r="BT72" s="85" t="str">
        <f t="shared" si="160"/>
        <v>-</v>
      </c>
      <c r="BU72" s="85" t="str">
        <f t="shared" ref="BU72:BU170" si="173">IF(BP72="-",BP72,BP72+(BS72*24))</f>
        <v>-</v>
      </c>
    </row>
    <row r="73" spans="1:73" ht="30.15" customHeight="1" x14ac:dyDescent="0.25">
      <c r="A73" s="86" t="s">
        <v>35</v>
      </c>
      <c r="B73" s="88" t="s">
        <v>749</v>
      </c>
      <c r="C73" s="88" t="s">
        <v>783</v>
      </c>
      <c r="D73" s="85">
        <f>'Consumer Hardware Pricing'!L81</f>
        <v>520</v>
      </c>
      <c r="E73" s="85">
        <f>'Consumer Hardware Pricing'!M81</f>
        <v>520</v>
      </c>
      <c r="F73" s="85" t="str">
        <f>'Consumer Hardware Pricing'!N81</f>
        <v>-</v>
      </c>
      <c r="G73" s="85" t="str">
        <f t="shared" si="126"/>
        <v>-</v>
      </c>
      <c r="H73" s="85" t="str">
        <f>'Consumer Hardware Pricing'!O81</f>
        <v>-</v>
      </c>
      <c r="I73" s="85" t="str">
        <f t="shared" si="149"/>
        <v>-</v>
      </c>
      <c r="J73" s="85" t="str">
        <f t="shared" si="161"/>
        <v>-</v>
      </c>
      <c r="K73" s="85" t="str">
        <f t="shared" si="162"/>
        <v>-</v>
      </c>
      <c r="L73" s="85" t="str">
        <f>'Consumer Hardware Pricing'!Q81</f>
        <v>-</v>
      </c>
      <c r="M73" s="85" t="str">
        <f t="shared" si="127"/>
        <v>-</v>
      </c>
      <c r="N73" s="85" t="str">
        <f t="shared" si="150"/>
        <v>-</v>
      </c>
      <c r="O73" s="85" t="str">
        <f t="shared" si="151"/>
        <v>-</v>
      </c>
      <c r="P73" s="85" t="str">
        <f t="shared" si="163"/>
        <v>-</v>
      </c>
      <c r="Q73" s="85" t="str">
        <f>'Consumer Hardware Pricing'!S81</f>
        <v>-</v>
      </c>
      <c r="R73" s="85" t="str">
        <f t="shared" si="152"/>
        <v>-</v>
      </c>
      <c r="S73" s="85" t="str">
        <f>'Consumer Hardware Pricing'!T81</f>
        <v>-</v>
      </c>
      <c r="T73" s="129" t="str">
        <f t="shared" si="164"/>
        <v>-</v>
      </c>
      <c r="U73" s="129" t="str">
        <f t="shared" si="165"/>
        <v>-</v>
      </c>
      <c r="V73" s="85" t="str">
        <f t="shared" si="166"/>
        <v>-</v>
      </c>
      <c r="W73" s="129" t="str">
        <f>'Consumer Hardware Pricing'!V81</f>
        <v>-</v>
      </c>
      <c r="X73" s="129" t="str">
        <f t="shared" si="128"/>
        <v>-</v>
      </c>
      <c r="Y73" s="129" t="str">
        <f t="shared" si="167"/>
        <v>-</v>
      </c>
      <c r="Z73" s="129" t="str">
        <f t="shared" si="168"/>
        <v>-</v>
      </c>
      <c r="AA73" s="85" t="str">
        <f t="shared" si="169"/>
        <v>-</v>
      </c>
      <c r="AB73" s="85" t="str">
        <f>'Consumer Hardware Pricing'!X81</f>
        <v>-</v>
      </c>
      <c r="AC73" s="85" t="str">
        <f t="shared" si="141"/>
        <v>-</v>
      </c>
      <c r="AD73" s="85" t="str">
        <f>'Consumer Hardware Pricing'!Y81</f>
        <v>-</v>
      </c>
      <c r="AE73" s="85" t="str">
        <f t="shared" si="129"/>
        <v>-</v>
      </c>
      <c r="AF73" s="85" t="str">
        <f t="shared" si="130"/>
        <v>-</v>
      </c>
      <c r="AG73" s="85" t="str">
        <f t="shared" si="131"/>
        <v>-</v>
      </c>
      <c r="AH73" s="85" t="str">
        <f>'Consumer Hardware Pricing'!AA81</f>
        <v>-</v>
      </c>
      <c r="AI73" s="85" t="str">
        <f t="shared" si="142"/>
        <v>-</v>
      </c>
      <c r="AJ73" s="85" t="str">
        <f t="shared" si="132"/>
        <v>-</v>
      </c>
      <c r="AK73" s="85" t="str">
        <f t="shared" si="133"/>
        <v>-</v>
      </c>
      <c r="AL73" s="85" t="str">
        <f t="shared" si="134"/>
        <v>-</v>
      </c>
      <c r="AM73" s="85" t="str">
        <f>'Consumer Hardware Pricing'!AC81</f>
        <v>-</v>
      </c>
      <c r="AN73" s="85" t="str">
        <f t="shared" si="143"/>
        <v>-</v>
      </c>
      <c r="AO73" s="85" t="str">
        <f>'Consumer Hardware Pricing'!AD81</f>
        <v>-</v>
      </c>
      <c r="AP73" s="85" t="str">
        <f t="shared" si="135"/>
        <v>-</v>
      </c>
      <c r="AQ73" s="85" t="str">
        <f t="shared" si="136"/>
        <v>-</v>
      </c>
      <c r="AR73" s="85" t="str">
        <f t="shared" si="137"/>
        <v>-</v>
      </c>
      <c r="AS73" s="85" t="str">
        <f>'Consumer Hardware Pricing'!AF81</f>
        <v>-</v>
      </c>
      <c r="AT73" s="85" t="str">
        <f t="shared" si="144"/>
        <v>-</v>
      </c>
      <c r="AU73" s="85" t="str">
        <f t="shared" si="138"/>
        <v>-</v>
      </c>
      <c r="AV73" s="85" t="str">
        <f t="shared" si="139"/>
        <v>-</v>
      </c>
      <c r="AW73" s="85" t="str">
        <f t="shared" si="140"/>
        <v>-</v>
      </c>
      <c r="AX73" s="85" t="str">
        <f>'Consumer Hardware Pricing'!AH81</f>
        <v>-</v>
      </c>
      <c r="AY73" s="85" t="str">
        <f t="shared" si="145"/>
        <v>-</v>
      </c>
      <c r="AZ73" s="85" t="str">
        <f>'Consumer Hardware Pricing'!AI81</f>
        <v>-</v>
      </c>
      <c r="BA73" s="85" t="str">
        <f t="shared" si="153"/>
        <v>-</v>
      </c>
      <c r="BB73" s="85" t="str">
        <f t="shared" si="154"/>
        <v>-</v>
      </c>
      <c r="BC73" s="85" t="str">
        <f t="shared" si="170"/>
        <v>-</v>
      </c>
      <c r="BD73" s="85">
        <f>'Consumer Hardware Pricing'!AL81</f>
        <v>0</v>
      </c>
      <c r="BE73" s="85">
        <f t="shared" si="146"/>
        <v>21.67</v>
      </c>
      <c r="BF73" s="85" t="str">
        <f>'Consumer Hardware Pricing'!AM81</f>
        <v>-</v>
      </c>
      <c r="BG73" s="85">
        <f t="shared" si="155"/>
        <v>21.67</v>
      </c>
      <c r="BH73" s="85" t="str">
        <f t="shared" si="156"/>
        <v>-</v>
      </c>
      <c r="BI73" s="85">
        <f t="shared" si="171"/>
        <v>520.08000000000004</v>
      </c>
      <c r="BJ73" s="85" t="str">
        <f>'Consumer Hardware Pricing'!AP81</f>
        <v>-</v>
      </c>
      <c r="BK73" s="85" t="str">
        <f t="shared" si="147"/>
        <v>-</v>
      </c>
      <c r="BL73" s="85" t="str">
        <f>'Consumer Hardware Pricing'!AQ81</f>
        <v>-</v>
      </c>
      <c r="BM73" s="85" t="str">
        <f t="shared" si="157"/>
        <v>-</v>
      </c>
      <c r="BN73" s="85" t="str">
        <f t="shared" si="158"/>
        <v>-</v>
      </c>
      <c r="BO73" s="85" t="str">
        <f t="shared" si="172"/>
        <v>-</v>
      </c>
      <c r="BP73" s="85" t="str">
        <f>'Consumer Hardware Pricing'!AT81</f>
        <v>-</v>
      </c>
      <c r="BQ73" s="85" t="str">
        <f t="shared" si="148"/>
        <v>-</v>
      </c>
      <c r="BR73" s="85" t="str">
        <f>'Consumer Hardware Pricing'!AU81</f>
        <v>-</v>
      </c>
      <c r="BS73" s="85" t="str">
        <f t="shared" si="159"/>
        <v>-</v>
      </c>
      <c r="BT73" s="85" t="str">
        <f t="shared" si="160"/>
        <v>-</v>
      </c>
      <c r="BU73" s="85" t="str">
        <f t="shared" si="173"/>
        <v>-</v>
      </c>
    </row>
    <row r="74" spans="1:73" ht="30.15" customHeight="1" x14ac:dyDescent="0.25">
      <c r="A74" s="86" t="s">
        <v>35</v>
      </c>
      <c r="B74" s="88" t="s">
        <v>750</v>
      </c>
      <c r="C74" s="88" t="s">
        <v>784</v>
      </c>
      <c r="D74" s="85">
        <f>'Consumer Hardware Pricing'!L82</f>
        <v>520</v>
      </c>
      <c r="E74" s="85">
        <f>'Consumer Hardware Pricing'!M82</f>
        <v>520</v>
      </c>
      <c r="F74" s="85" t="str">
        <f>'Consumer Hardware Pricing'!N82</f>
        <v>-</v>
      </c>
      <c r="G74" s="85" t="str">
        <f t="shared" si="126"/>
        <v>-</v>
      </c>
      <c r="H74" s="85" t="str">
        <f>'Consumer Hardware Pricing'!O82</f>
        <v>-</v>
      </c>
      <c r="I74" s="85" t="str">
        <f t="shared" si="149"/>
        <v>-</v>
      </c>
      <c r="J74" s="85" t="str">
        <f t="shared" si="161"/>
        <v>-</v>
      </c>
      <c r="K74" s="85" t="str">
        <f t="shared" si="162"/>
        <v>-</v>
      </c>
      <c r="L74" s="85" t="str">
        <f>'Consumer Hardware Pricing'!Q82</f>
        <v>-</v>
      </c>
      <c r="M74" s="85" t="str">
        <f t="shared" si="127"/>
        <v>-</v>
      </c>
      <c r="N74" s="85" t="str">
        <f t="shared" si="150"/>
        <v>-</v>
      </c>
      <c r="O74" s="85" t="str">
        <f t="shared" si="151"/>
        <v>-</v>
      </c>
      <c r="P74" s="85" t="str">
        <f t="shared" si="163"/>
        <v>-</v>
      </c>
      <c r="Q74" s="85" t="str">
        <f>'Consumer Hardware Pricing'!S82</f>
        <v>-</v>
      </c>
      <c r="R74" s="85" t="str">
        <f t="shared" si="152"/>
        <v>-</v>
      </c>
      <c r="S74" s="85" t="str">
        <f>'Consumer Hardware Pricing'!T82</f>
        <v>-</v>
      </c>
      <c r="T74" s="129" t="str">
        <f t="shared" si="164"/>
        <v>-</v>
      </c>
      <c r="U74" s="129" t="str">
        <f t="shared" si="165"/>
        <v>-</v>
      </c>
      <c r="V74" s="85" t="str">
        <f t="shared" si="166"/>
        <v>-</v>
      </c>
      <c r="W74" s="129" t="str">
        <f>'Consumer Hardware Pricing'!V82</f>
        <v>-</v>
      </c>
      <c r="X74" s="129" t="str">
        <f t="shared" si="128"/>
        <v>-</v>
      </c>
      <c r="Y74" s="129" t="str">
        <f t="shared" si="167"/>
        <v>-</v>
      </c>
      <c r="Z74" s="129" t="str">
        <f t="shared" si="168"/>
        <v>-</v>
      </c>
      <c r="AA74" s="85" t="str">
        <f t="shared" si="169"/>
        <v>-</v>
      </c>
      <c r="AB74" s="85" t="str">
        <f>'Consumer Hardware Pricing'!X82</f>
        <v>-</v>
      </c>
      <c r="AC74" s="85" t="str">
        <f t="shared" si="141"/>
        <v>-</v>
      </c>
      <c r="AD74" s="85" t="str">
        <f>'Consumer Hardware Pricing'!Y82</f>
        <v>-</v>
      </c>
      <c r="AE74" s="85" t="str">
        <f t="shared" si="129"/>
        <v>-</v>
      </c>
      <c r="AF74" s="85" t="str">
        <f t="shared" si="130"/>
        <v>-</v>
      </c>
      <c r="AG74" s="85" t="str">
        <f t="shared" si="131"/>
        <v>-</v>
      </c>
      <c r="AH74" s="85" t="str">
        <f>'Consumer Hardware Pricing'!AA82</f>
        <v>-</v>
      </c>
      <c r="AI74" s="85" t="str">
        <f t="shared" si="142"/>
        <v>-</v>
      </c>
      <c r="AJ74" s="85" t="str">
        <f t="shared" si="132"/>
        <v>-</v>
      </c>
      <c r="AK74" s="85" t="str">
        <f t="shared" si="133"/>
        <v>-</v>
      </c>
      <c r="AL74" s="85" t="str">
        <f t="shared" si="134"/>
        <v>-</v>
      </c>
      <c r="AM74" s="85" t="str">
        <f>'Consumer Hardware Pricing'!AC82</f>
        <v>-</v>
      </c>
      <c r="AN74" s="85" t="str">
        <f t="shared" si="143"/>
        <v>-</v>
      </c>
      <c r="AO74" s="85" t="str">
        <f>'Consumer Hardware Pricing'!AD82</f>
        <v>-</v>
      </c>
      <c r="AP74" s="85" t="str">
        <f t="shared" si="135"/>
        <v>-</v>
      </c>
      <c r="AQ74" s="85" t="str">
        <f t="shared" si="136"/>
        <v>-</v>
      </c>
      <c r="AR74" s="85" t="str">
        <f t="shared" si="137"/>
        <v>-</v>
      </c>
      <c r="AS74" s="85" t="str">
        <f>'Consumer Hardware Pricing'!AF82</f>
        <v>-</v>
      </c>
      <c r="AT74" s="85" t="str">
        <f t="shared" si="144"/>
        <v>-</v>
      </c>
      <c r="AU74" s="85" t="str">
        <f t="shared" si="138"/>
        <v>-</v>
      </c>
      <c r="AV74" s="85" t="str">
        <f t="shared" si="139"/>
        <v>-</v>
      </c>
      <c r="AW74" s="85" t="str">
        <f t="shared" si="140"/>
        <v>-</v>
      </c>
      <c r="AX74" s="85" t="str">
        <f>'Consumer Hardware Pricing'!AH82</f>
        <v>-</v>
      </c>
      <c r="AY74" s="85" t="str">
        <f t="shared" si="145"/>
        <v>-</v>
      </c>
      <c r="AZ74" s="85" t="str">
        <f>'Consumer Hardware Pricing'!AI82</f>
        <v>-</v>
      </c>
      <c r="BA74" s="85" t="str">
        <f t="shared" si="153"/>
        <v>-</v>
      </c>
      <c r="BB74" s="85" t="str">
        <f t="shared" si="154"/>
        <v>-</v>
      </c>
      <c r="BC74" s="85" t="str">
        <f t="shared" si="170"/>
        <v>-</v>
      </c>
      <c r="BD74" s="85">
        <f>'Consumer Hardware Pricing'!AL82</f>
        <v>0</v>
      </c>
      <c r="BE74" s="85">
        <f t="shared" si="146"/>
        <v>21.67</v>
      </c>
      <c r="BF74" s="85" t="str">
        <f>'Consumer Hardware Pricing'!AM82</f>
        <v>-</v>
      </c>
      <c r="BG74" s="85">
        <f t="shared" si="155"/>
        <v>21.67</v>
      </c>
      <c r="BH74" s="85" t="str">
        <f t="shared" si="156"/>
        <v>-</v>
      </c>
      <c r="BI74" s="85">
        <f t="shared" si="171"/>
        <v>520.08000000000004</v>
      </c>
      <c r="BJ74" s="85" t="str">
        <f>'Consumer Hardware Pricing'!AP82</f>
        <v>-</v>
      </c>
      <c r="BK74" s="85" t="str">
        <f t="shared" si="147"/>
        <v>-</v>
      </c>
      <c r="BL74" s="85" t="str">
        <f>'Consumer Hardware Pricing'!AQ82</f>
        <v>-</v>
      </c>
      <c r="BM74" s="85" t="str">
        <f t="shared" si="157"/>
        <v>-</v>
      </c>
      <c r="BN74" s="85" t="str">
        <f t="shared" si="158"/>
        <v>-</v>
      </c>
      <c r="BO74" s="85" t="str">
        <f t="shared" si="172"/>
        <v>-</v>
      </c>
      <c r="BP74" s="85" t="str">
        <f>'Consumer Hardware Pricing'!AT82</f>
        <v>-</v>
      </c>
      <c r="BQ74" s="85" t="str">
        <f t="shared" si="148"/>
        <v>-</v>
      </c>
      <c r="BR74" s="85" t="str">
        <f>'Consumer Hardware Pricing'!AU82</f>
        <v>-</v>
      </c>
      <c r="BS74" s="85" t="str">
        <f t="shared" si="159"/>
        <v>-</v>
      </c>
      <c r="BT74" s="85" t="str">
        <f t="shared" si="160"/>
        <v>-</v>
      </c>
      <c r="BU74" s="85" t="str">
        <f t="shared" si="173"/>
        <v>-</v>
      </c>
    </row>
    <row r="75" spans="1:73" ht="30.15" customHeight="1" x14ac:dyDescent="0.25">
      <c r="A75" s="86" t="s">
        <v>35</v>
      </c>
      <c r="B75" s="88" t="s">
        <v>751</v>
      </c>
      <c r="C75" s="88" t="s">
        <v>785</v>
      </c>
      <c r="D75" s="85">
        <f>'Consumer Hardware Pricing'!L83</f>
        <v>700</v>
      </c>
      <c r="E75" s="85">
        <f>'Consumer Hardware Pricing'!M83</f>
        <v>700</v>
      </c>
      <c r="F75" s="85" t="str">
        <f>'Consumer Hardware Pricing'!N83</f>
        <v>-</v>
      </c>
      <c r="G75" s="85" t="str">
        <f t="shared" si="126"/>
        <v>-</v>
      </c>
      <c r="H75" s="85" t="str">
        <f>'Consumer Hardware Pricing'!O83</f>
        <v>-</v>
      </c>
      <c r="I75" s="85" t="str">
        <f t="shared" si="149"/>
        <v>-</v>
      </c>
      <c r="J75" s="85" t="str">
        <f t="shared" si="161"/>
        <v>-</v>
      </c>
      <c r="K75" s="85" t="str">
        <f t="shared" si="162"/>
        <v>-</v>
      </c>
      <c r="L75" s="85" t="str">
        <f>'Consumer Hardware Pricing'!Q83</f>
        <v>-</v>
      </c>
      <c r="M75" s="85" t="str">
        <f t="shared" si="127"/>
        <v>-</v>
      </c>
      <c r="N75" s="85" t="str">
        <f t="shared" si="150"/>
        <v>-</v>
      </c>
      <c r="O75" s="85" t="str">
        <f t="shared" si="151"/>
        <v>-</v>
      </c>
      <c r="P75" s="85" t="str">
        <f t="shared" si="163"/>
        <v>-</v>
      </c>
      <c r="Q75" s="85" t="str">
        <f>'Consumer Hardware Pricing'!S83</f>
        <v>-</v>
      </c>
      <c r="R75" s="85" t="str">
        <f t="shared" si="152"/>
        <v>-</v>
      </c>
      <c r="S75" s="85" t="str">
        <f>'Consumer Hardware Pricing'!T83</f>
        <v>-</v>
      </c>
      <c r="T75" s="129" t="str">
        <f t="shared" si="164"/>
        <v>-</v>
      </c>
      <c r="U75" s="129" t="str">
        <f t="shared" si="165"/>
        <v>-</v>
      </c>
      <c r="V75" s="85" t="str">
        <f t="shared" si="166"/>
        <v>-</v>
      </c>
      <c r="W75" s="129" t="str">
        <f>'Consumer Hardware Pricing'!V83</f>
        <v>-</v>
      </c>
      <c r="X75" s="129" t="str">
        <f t="shared" si="128"/>
        <v>-</v>
      </c>
      <c r="Y75" s="129" t="str">
        <f t="shared" si="167"/>
        <v>-</v>
      </c>
      <c r="Z75" s="129" t="str">
        <f t="shared" si="168"/>
        <v>-</v>
      </c>
      <c r="AA75" s="85" t="str">
        <f t="shared" si="169"/>
        <v>-</v>
      </c>
      <c r="AB75" s="85" t="str">
        <f>'Consumer Hardware Pricing'!X83</f>
        <v>-</v>
      </c>
      <c r="AC75" s="85" t="str">
        <f t="shared" si="141"/>
        <v>-</v>
      </c>
      <c r="AD75" s="85" t="str">
        <f>'Consumer Hardware Pricing'!Y83</f>
        <v>-</v>
      </c>
      <c r="AE75" s="85" t="str">
        <f t="shared" si="129"/>
        <v>-</v>
      </c>
      <c r="AF75" s="85" t="str">
        <f t="shared" si="130"/>
        <v>-</v>
      </c>
      <c r="AG75" s="85" t="str">
        <f t="shared" si="131"/>
        <v>-</v>
      </c>
      <c r="AH75" s="85" t="str">
        <f>'Consumer Hardware Pricing'!AA83</f>
        <v>-</v>
      </c>
      <c r="AI75" s="85" t="str">
        <f t="shared" si="142"/>
        <v>-</v>
      </c>
      <c r="AJ75" s="85" t="str">
        <f t="shared" si="132"/>
        <v>-</v>
      </c>
      <c r="AK75" s="85" t="str">
        <f t="shared" si="133"/>
        <v>-</v>
      </c>
      <c r="AL75" s="85" t="str">
        <f t="shared" si="134"/>
        <v>-</v>
      </c>
      <c r="AM75" s="85" t="str">
        <f>'Consumer Hardware Pricing'!AC83</f>
        <v>-</v>
      </c>
      <c r="AN75" s="85" t="str">
        <f t="shared" si="143"/>
        <v>-</v>
      </c>
      <c r="AO75" s="85" t="str">
        <f>'Consumer Hardware Pricing'!AD83</f>
        <v>-</v>
      </c>
      <c r="AP75" s="85" t="str">
        <f t="shared" si="135"/>
        <v>-</v>
      </c>
      <c r="AQ75" s="85" t="str">
        <f t="shared" si="136"/>
        <v>-</v>
      </c>
      <c r="AR75" s="85" t="str">
        <f t="shared" si="137"/>
        <v>-</v>
      </c>
      <c r="AS75" s="85" t="str">
        <f>'Consumer Hardware Pricing'!AF83</f>
        <v>-</v>
      </c>
      <c r="AT75" s="85" t="str">
        <f t="shared" si="144"/>
        <v>-</v>
      </c>
      <c r="AU75" s="85" t="str">
        <f t="shared" si="138"/>
        <v>-</v>
      </c>
      <c r="AV75" s="85" t="str">
        <f t="shared" si="139"/>
        <v>-</v>
      </c>
      <c r="AW75" s="85" t="str">
        <f t="shared" si="140"/>
        <v>-</v>
      </c>
      <c r="AX75" s="85" t="str">
        <f>'Consumer Hardware Pricing'!AH83</f>
        <v>-</v>
      </c>
      <c r="AY75" s="85" t="str">
        <f t="shared" si="145"/>
        <v>-</v>
      </c>
      <c r="AZ75" s="85" t="str">
        <f>'Consumer Hardware Pricing'!AI83</f>
        <v>-</v>
      </c>
      <c r="BA75" s="85" t="str">
        <f t="shared" si="153"/>
        <v>-</v>
      </c>
      <c r="BB75" s="85" t="str">
        <f t="shared" si="154"/>
        <v>-</v>
      </c>
      <c r="BC75" s="85" t="str">
        <f t="shared" si="170"/>
        <v>-</v>
      </c>
      <c r="BD75" s="85">
        <f>'Consumer Hardware Pricing'!AL83</f>
        <v>0</v>
      </c>
      <c r="BE75" s="85">
        <f t="shared" si="146"/>
        <v>29.17</v>
      </c>
      <c r="BF75" s="85" t="str">
        <f>'Consumer Hardware Pricing'!AM83</f>
        <v>-</v>
      </c>
      <c r="BG75" s="85">
        <f t="shared" si="155"/>
        <v>29.17</v>
      </c>
      <c r="BH75" s="85" t="str">
        <f t="shared" si="156"/>
        <v>-</v>
      </c>
      <c r="BI75" s="85">
        <f t="shared" si="171"/>
        <v>700.08</v>
      </c>
      <c r="BJ75" s="85" t="str">
        <f>'Consumer Hardware Pricing'!AP83</f>
        <v>-</v>
      </c>
      <c r="BK75" s="85" t="str">
        <f t="shared" si="147"/>
        <v>-</v>
      </c>
      <c r="BL75" s="85" t="str">
        <f>'Consumer Hardware Pricing'!AQ83</f>
        <v>-</v>
      </c>
      <c r="BM75" s="85" t="str">
        <f t="shared" si="157"/>
        <v>-</v>
      </c>
      <c r="BN75" s="85" t="str">
        <f t="shared" si="158"/>
        <v>-</v>
      </c>
      <c r="BO75" s="85" t="str">
        <f t="shared" si="172"/>
        <v>-</v>
      </c>
      <c r="BP75" s="85" t="str">
        <f>'Consumer Hardware Pricing'!AT83</f>
        <v>-</v>
      </c>
      <c r="BQ75" s="85" t="str">
        <f t="shared" si="148"/>
        <v>-</v>
      </c>
      <c r="BR75" s="85" t="str">
        <f>'Consumer Hardware Pricing'!AU83</f>
        <v>-</v>
      </c>
      <c r="BS75" s="85" t="str">
        <f t="shared" si="159"/>
        <v>-</v>
      </c>
      <c r="BT75" s="85" t="str">
        <f t="shared" si="160"/>
        <v>-</v>
      </c>
      <c r="BU75" s="85" t="str">
        <f t="shared" si="173"/>
        <v>-</v>
      </c>
    </row>
    <row r="76" spans="1:73" ht="30.15" customHeight="1" x14ac:dyDescent="0.25">
      <c r="A76" s="86" t="s">
        <v>35</v>
      </c>
      <c r="B76" s="88" t="s">
        <v>752</v>
      </c>
      <c r="C76" s="88" t="s">
        <v>786</v>
      </c>
      <c r="D76" s="85">
        <f>'Consumer Hardware Pricing'!L84</f>
        <v>820</v>
      </c>
      <c r="E76" s="85">
        <f>'Consumer Hardware Pricing'!M84</f>
        <v>820</v>
      </c>
      <c r="F76" s="85" t="str">
        <f>'Consumer Hardware Pricing'!N84</f>
        <v>-</v>
      </c>
      <c r="G76" s="85" t="str">
        <f t="shared" si="126"/>
        <v>-</v>
      </c>
      <c r="H76" s="85" t="str">
        <f>'Consumer Hardware Pricing'!O84</f>
        <v>-</v>
      </c>
      <c r="I76" s="85" t="str">
        <f t="shared" si="149"/>
        <v>-</v>
      </c>
      <c r="J76" s="85" t="str">
        <f t="shared" si="161"/>
        <v>-</v>
      </c>
      <c r="K76" s="85" t="str">
        <f t="shared" si="162"/>
        <v>-</v>
      </c>
      <c r="L76" s="85" t="str">
        <f>'Consumer Hardware Pricing'!Q84</f>
        <v>-</v>
      </c>
      <c r="M76" s="85" t="str">
        <f t="shared" si="127"/>
        <v>-</v>
      </c>
      <c r="N76" s="85" t="str">
        <f t="shared" si="150"/>
        <v>-</v>
      </c>
      <c r="O76" s="85" t="str">
        <f t="shared" si="151"/>
        <v>-</v>
      </c>
      <c r="P76" s="85" t="str">
        <f t="shared" si="163"/>
        <v>-</v>
      </c>
      <c r="Q76" s="85" t="str">
        <f>'Consumer Hardware Pricing'!S84</f>
        <v>-</v>
      </c>
      <c r="R76" s="85" t="str">
        <f t="shared" si="152"/>
        <v>-</v>
      </c>
      <c r="S76" s="85" t="str">
        <f>'Consumer Hardware Pricing'!T84</f>
        <v>-</v>
      </c>
      <c r="T76" s="129" t="str">
        <f t="shared" si="164"/>
        <v>-</v>
      </c>
      <c r="U76" s="129" t="str">
        <f t="shared" si="165"/>
        <v>-</v>
      </c>
      <c r="V76" s="85" t="str">
        <f t="shared" si="166"/>
        <v>-</v>
      </c>
      <c r="W76" s="129" t="str">
        <f>'Consumer Hardware Pricing'!V84</f>
        <v>-</v>
      </c>
      <c r="X76" s="129" t="str">
        <f t="shared" si="128"/>
        <v>-</v>
      </c>
      <c r="Y76" s="129" t="str">
        <f t="shared" si="167"/>
        <v>-</v>
      </c>
      <c r="Z76" s="129" t="str">
        <f t="shared" si="168"/>
        <v>-</v>
      </c>
      <c r="AA76" s="85" t="str">
        <f t="shared" si="169"/>
        <v>-</v>
      </c>
      <c r="AB76" s="85" t="str">
        <f>'Consumer Hardware Pricing'!X84</f>
        <v>-</v>
      </c>
      <c r="AC76" s="85" t="str">
        <f t="shared" si="141"/>
        <v>-</v>
      </c>
      <c r="AD76" s="85" t="str">
        <f>'Consumer Hardware Pricing'!Y84</f>
        <v>-</v>
      </c>
      <c r="AE76" s="85" t="str">
        <f t="shared" si="129"/>
        <v>-</v>
      </c>
      <c r="AF76" s="85" t="str">
        <f t="shared" si="130"/>
        <v>-</v>
      </c>
      <c r="AG76" s="85" t="str">
        <f t="shared" si="131"/>
        <v>-</v>
      </c>
      <c r="AH76" s="85" t="str">
        <f>'Consumer Hardware Pricing'!AA84</f>
        <v>-</v>
      </c>
      <c r="AI76" s="85" t="str">
        <f t="shared" si="142"/>
        <v>-</v>
      </c>
      <c r="AJ76" s="85" t="str">
        <f t="shared" si="132"/>
        <v>-</v>
      </c>
      <c r="AK76" s="85" t="str">
        <f t="shared" si="133"/>
        <v>-</v>
      </c>
      <c r="AL76" s="85" t="str">
        <f t="shared" si="134"/>
        <v>-</v>
      </c>
      <c r="AM76" s="85" t="str">
        <f>'Consumer Hardware Pricing'!AC84</f>
        <v>-</v>
      </c>
      <c r="AN76" s="85" t="str">
        <f t="shared" si="143"/>
        <v>-</v>
      </c>
      <c r="AO76" s="85" t="str">
        <f>'Consumer Hardware Pricing'!AD84</f>
        <v>-</v>
      </c>
      <c r="AP76" s="85" t="str">
        <f t="shared" si="135"/>
        <v>-</v>
      </c>
      <c r="AQ76" s="85" t="str">
        <f t="shared" si="136"/>
        <v>-</v>
      </c>
      <c r="AR76" s="85" t="str">
        <f t="shared" si="137"/>
        <v>-</v>
      </c>
      <c r="AS76" s="85" t="str">
        <f>'Consumer Hardware Pricing'!AF84</f>
        <v>-</v>
      </c>
      <c r="AT76" s="85" t="str">
        <f t="shared" si="144"/>
        <v>-</v>
      </c>
      <c r="AU76" s="85" t="str">
        <f t="shared" si="138"/>
        <v>-</v>
      </c>
      <c r="AV76" s="85" t="str">
        <f t="shared" si="139"/>
        <v>-</v>
      </c>
      <c r="AW76" s="85" t="str">
        <f t="shared" si="140"/>
        <v>-</v>
      </c>
      <c r="AX76" s="85" t="str">
        <f>'Consumer Hardware Pricing'!AH84</f>
        <v>-</v>
      </c>
      <c r="AY76" s="85" t="str">
        <f t="shared" si="145"/>
        <v>-</v>
      </c>
      <c r="AZ76" s="85" t="str">
        <f>'Consumer Hardware Pricing'!AI84</f>
        <v>-</v>
      </c>
      <c r="BA76" s="85" t="str">
        <f t="shared" si="153"/>
        <v>-</v>
      </c>
      <c r="BB76" s="85" t="str">
        <f t="shared" si="154"/>
        <v>-</v>
      </c>
      <c r="BC76" s="85" t="str">
        <f t="shared" si="170"/>
        <v>-</v>
      </c>
      <c r="BD76" s="85">
        <f>'Consumer Hardware Pricing'!AL84</f>
        <v>0</v>
      </c>
      <c r="BE76" s="85">
        <f t="shared" si="146"/>
        <v>34.169999999999995</v>
      </c>
      <c r="BF76" s="85" t="str">
        <f>'Consumer Hardware Pricing'!AM84</f>
        <v>-</v>
      </c>
      <c r="BG76" s="85">
        <f t="shared" si="155"/>
        <v>34.169999999999995</v>
      </c>
      <c r="BH76" s="85" t="str">
        <f t="shared" si="156"/>
        <v>-</v>
      </c>
      <c r="BI76" s="85">
        <f t="shared" si="171"/>
        <v>820.07999999999993</v>
      </c>
      <c r="BJ76" s="85" t="str">
        <f>'Consumer Hardware Pricing'!AP84</f>
        <v>-</v>
      </c>
      <c r="BK76" s="85" t="str">
        <f t="shared" si="147"/>
        <v>-</v>
      </c>
      <c r="BL76" s="85" t="str">
        <f>'Consumer Hardware Pricing'!AQ84</f>
        <v>-</v>
      </c>
      <c r="BM76" s="85" t="str">
        <f t="shared" si="157"/>
        <v>-</v>
      </c>
      <c r="BN76" s="85" t="str">
        <f t="shared" si="158"/>
        <v>-</v>
      </c>
      <c r="BO76" s="85" t="str">
        <f t="shared" si="172"/>
        <v>-</v>
      </c>
      <c r="BP76" s="85" t="str">
        <f>'Consumer Hardware Pricing'!AT84</f>
        <v>-</v>
      </c>
      <c r="BQ76" s="85" t="str">
        <f t="shared" si="148"/>
        <v>-</v>
      </c>
      <c r="BR76" s="85" t="str">
        <f>'Consumer Hardware Pricing'!AU84</f>
        <v>-</v>
      </c>
      <c r="BS76" s="85" t="str">
        <f t="shared" si="159"/>
        <v>-</v>
      </c>
      <c r="BT76" s="85" t="str">
        <f t="shared" si="160"/>
        <v>-</v>
      </c>
      <c r="BU76" s="85" t="str">
        <f t="shared" si="173"/>
        <v>-</v>
      </c>
    </row>
    <row r="77" spans="1:73" ht="30.15" customHeight="1" x14ac:dyDescent="0.25">
      <c r="A77" s="86" t="s">
        <v>35</v>
      </c>
      <c r="B77" s="88" t="s">
        <v>753</v>
      </c>
      <c r="C77" s="88" t="s">
        <v>787</v>
      </c>
      <c r="D77" s="85">
        <f>'Consumer Hardware Pricing'!L85</f>
        <v>520</v>
      </c>
      <c r="E77" s="85">
        <f>'Consumer Hardware Pricing'!M85</f>
        <v>520</v>
      </c>
      <c r="F77" s="85" t="str">
        <f>'Consumer Hardware Pricing'!N85</f>
        <v>-</v>
      </c>
      <c r="G77" s="85" t="str">
        <f t="shared" si="126"/>
        <v>-</v>
      </c>
      <c r="H77" s="85" t="str">
        <f>'Consumer Hardware Pricing'!O85</f>
        <v>-</v>
      </c>
      <c r="I77" s="85" t="str">
        <f t="shared" si="149"/>
        <v>-</v>
      </c>
      <c r="J77" s="85" t="str">
        <f t="shared" si="161"/>
        <v>-</v>
      </c>
      <c r="K77" s="85" t="str">
        <f t="shared" si="162"/>
        <v>-</v>
      </c>
      <c r="L77" s="85" t="str">
        <f>'Consumer Hardware Pricing'!Q85</f>
        <v>-</v>
      </c>
      <c r="M77" s="85" t="str">
        <f t="shared" si="127"/>
        <v>-</v>
      </c>
      <c r="N77" s="85" t="str">
        <f t="shared" si="150"/>
        <v>-</v>
      </c>
      <c r="O77" s="85" t="str">
        <f t="shared" si="151"/>
        <v>-</v>
      </c>
      <c r="P77" s="85" t="str">
        <f t="shared" si="163"/>
        <v>-</v>
      </c>
      <c r="Q77" s="85" t="str">
        <f>'Consumer Hardware Pricing'!S85</f>
        <v>-</v>
      </c>
      <c r="R77" s="85" t="str">
        <f t="shared" si="152"/>
        <v>-</v>
      </c>
      <c r="S77" s="85" t="str">
        <f>'Consumer Hardware Pricing'!T85</f>
        <v>-</v>
      </c>
      <c r="T77" s="129" t="str">
        <f t="shared" si="164"/>
        <v>-</v>
      </c>
      <c r="U77" s="129" t="str">
        <f t="shared" si="165"/>
        <v>-</v>
      </c>
      <c r="V77" s="85" t="str">
        <f t="shared" si="166"/>
        <v>-</v>
      </c>
      <c r="W77" s="129" t="str">
        <f>'Consumer Hardware Pricing'!V85</f>
        <v>-</v>
      </c>
      <c r="X77" s="129" t="str">
        <f t="shared" si="128"/>
        <v>-</v>
      </c>
      <c r="Y77" s="129" t="str">
        <f t="shared" si="167"/>
        <v>-</v>
      </c>
      <c r="Z77" s="129" t="str">
        <f t="shared" si="168"/>
        <v>-</v>
      </c>
      <c r="AA77" s="85" t="str">
        <f t="shared" si="169"/>
        <v>-</v>
      </c>
      <c r="AB77" s="85" t="str">
        <f>'Consumer Hardware Pricing'!X85</f>
        <v>-</v>
      </c>
      <c r="AC77" s="85" t="str">
        <f t="shared" si="141"/>
        <v>-</v>
      </c>
      <c r="AD77" s="85" t="str">
        <f>'Consumer Hardware Pricing'!Y85</f>
        <v>-</v>
      </c>
      <c r="AE77" s="85" t="str">
        <f t="shared" si="129"/>
        <v>-</v>
      </c>
      <c r="AF77" s="85" t="str">
        <f t="shared" si="130"/>
        <v>-</v>
      </c>
      <c r="AG77" s="85" t="str">
        <f t="shared" si="131"/>
        <v>-</v>
      </c>
      <c r="AH77" s="85" t="str">
        <f>'Consumer Hardware Pricing'!AA85</f>
        <v>-</v>
      </c>
      <c r="AI77" s="85" t="str">
        <f t="shared" si="142"/>
        <v>-</v>
      </c>
      <c r="AJ77" s="85" t="str">
        <f t="shared" si="132"/>
        <v>-</v>
      </c>
      <c r="AK77" s="85" t="str">
        <f t="shared" si="133"/>
        <v>-</v>
      </c>
      <c r="AL77" s="85" t="str">
        <f t="shared" si="134"/>
        <v>-</v>
      </c>
      <c r="AM77" s="85" t="str">
        <f>'Consumer Hardware Pricing'!AC85</f>
        <v>-</v>
      </c>
      <c r="AN77" s="85" t="str">
        <f t="shared" si="143"/>
        <v>-</v>
      </c>
      <c r="AO77" s="85" t="str">
        <f>'Consumer Hardware Pricing'!AD85</f>
        <v>-</v>
      </c>
      <c r="AP77" s="85" t="str">
        <f t="shared" si="135"/>
        <v>-</v>
      </c>
      <c r="AQ77" s="85" t="str">
        <f t="shared" si="136"/>
        <v>-</v>
      </c>
      <c r="AR77" s="85" t="str">
        <f t="shared" si="137"/>
        <v>-</v>
      </c>
      <c r="AS77" s="85" t="str">
        <f>'Consumer Hardware Pricing'!AF85</f>
        <v>-</v>
      </c>
      <c r="AT77" s="85" t="str">
        <f t="shared" si="144"/>
        <v>-</v>
      </c>
      <c r="AU77" s="85" t="str">
        <f t="shared" si="138"/>
        <v>-</v>
      </c>
      <c r="AV77" s="85" t="str">
        <f t="shared" si="139"/>
        <v>-</v>
      </c>
      <c r="AW77" s="85" t="str">
        <f t="shared" si="140"/>
        <v>-</v>
      </c>
      <c r="AX77" s="85" t="str">
        <f>'Consumer Hardware Pricing'!AH85</f>
        <v>-</v>
      </c>
      <c r="AY77" s="85" t="str">
        <f t="shared" si="145"/>
        <v>-</v>
      </c>
      <c r="AZ77" s="85" t="str">
        <f>'Consumer Hardware Pricing'!AI85</f>
        <v>-</v>
      </c>
      <c r="BA77" s="85" t="str">
        <f t="shared" si="153"/>
        <v>-</v>
      </c>
      <c r="BB77" s="85" t="str">
        <f t="shared" si="154"/>
        <v>-</v>
      </c>
      <c r="BC77" s="85" t="str">
        <f t="shared" si="170"/>
        <v>-</v>
      </c>
      <c r="BD77" s="85">
        <f>'Consumer Hardware Pricing'!AL85</f>
        <v>0</v>
      </c>
      <c r="BE77" s="85">
        <f t="shared" si="146"/>
        <v>21.67</v>
      </c>
      <c r="BF77" s="85" t="str">
        <f>'Consumer Hardware Pricing'!AM85</f>
        <v>-</v>
      </c>
      <c r="BG77" s="85">
        <f t="shared" si="155"/>
        <v>21.67</v>
      </c>
      <c r="BH77" s="85" t="str">
        <f t="shared" si="156"/>
        <v>-</v>
      </c>
      <c r="BI77" s="85">
        <f t="shared" si="171"/>
        <v>520.08000000000004</v>
      </c>
      <c r="BJ77" s="85" t="str">
        <f>'Consumer Hardware Pricing'!AP85</f>
        <v>-</v>
      </c>
      <c r="BK77" s="85" t="str">
        <f t="shared" si="147"/>
        <v>-</v>
      </c>
      <c r="BL77" s="85" t="str">
        <f>'Consumer Hardware Pricing'!AQ85</f>
        <v>-</v>
      </c>
      <c r="BM77" s="85" t="str">
        <f t="shared" si="157"/>
        <v>-</v>
      </c>
      <c r="BN77" s="85" t="str">
        <f t="shared" si="158"/>
        <v>-</v>
      </c>
      <c r="BO77" s="85" t="str">
        <f t="shared" si="172"/>
        <v>-</v>
      </c>
      <c r="BP77" s="85" t="str">
        <f>'Consumer Hardware Pricing'!AT85</f>
        <v>-</v>
      </c>
      <c r="BQ77" s="85" t="str">
        <f t="shared" si="148"/>
        <v>-</v>
      </c>
      <c r="BR77" s="85" t="str">
        <f>'Consumer Hardware Pricing'!AU85</f>
        <v>-</v>
      </c>
      <c r="BS77" s="85" t="str">
        <f t="shared" si="159"/>
        <v>-</v>
      </c>
      <c r="BT77" s="85" t="str">
        <f t="shared" si="160"/>
        <v>-</v>
      </c>
      <c r="BU77" s="85" t="str">
        <f t="shared" si="173"/>
        <v>-</v>
      </c>
    </row>
    <row r="78" spans="1:73" ht="30.15" customHeight="1" x14ac:dyDescent="0.25">
      <c r="A78" s="86" t="s">
        <v>35</v>
      </c>
      <c r="B78" s="88" t="s">
        <v>754</v>
      </c>
      <c r="C78" s="88" t="s">
        <v>788</v>
      </c>
      <c r="D78" s="85">
        <f>'Consumer Hardware Pricing'!L86</f>
        <v>540</v>
      </c>
      <c r="E78" s="85">
        <f>'Consumer Hardware Pricing'!M86</f>
        <v>540</v>
      </c>
      <c r="F78" s="85" t="str">
        <f>'Consumer Hardware Pricing'!N86</f>
        <v>-</v>
      </c>
      <c r="G78" s="85" t="str">
        <f t="shared" si="126"/>
        <v>-</v>
      </c>
      <c r="H78" s="85" t="str">
        <f>'Consumer Hardware Pricing'!O86</f>
        <v>-</v>
      </c>
      <c r="I78" s="85" t="str">
        <f t="shared" si="149"/>
        <v>-</v>
      </c>
      <c r="J78" s="85" t="str">
        <f t="shared" si="161"/>
        <v>-</v>
      </c>
      <c r="K78" s="85" t="str">
        <f t="shared" si="162"/>
        <v>-</v>
      </c>
      <c r="L78" s="85" t="str">
        <f>'Consumer Hardware Pricing'!Q86</f>
        <v>-</v>
      </c>
      <c r="M78" s="85" t="str">
        <f t="shared" si="127"/>
        <v>-</v>
      </c>
      <c r="N78" s="85" t="str">
        <f t="shared" si="150"/>
        <v>-</v>
      </c>
      <c r="O78" s="85" t="str">
        <f t="shared" si="151"/>
        <v>-</v>
      </c>
      <c r="P78" s="85" t="str">
        <f t="shared" si="163"/>
        <v>-</v>
      </c>
      <c r="Q78" s="85" t="str">
        <f>'Consumer Hardware Pricing'!S86</f>
        <v>-</v>
      </c>
      <c r="R78" s="85" t="str">
        <f t="shared" si="152"/>
        <v>-</v>
      </c>
      <c r="S78" s="85" t="str">
        <f>'Consumer Hardware Pricing'!T86</f>
        <v>-</v>
      </c>
      <c r="T78" s="129" t="str">
        <f t="shared" si="164"/>
        <v>-</v>
      </c>
      <c r="U78" s="129" t="str">
        <f t="shared" si="165"/>
        <v>-</v>
      </c>
      <c r="V78" s="85" t="str">
        <f t="shared" si="166"/>
        <v>-</v>
      </c>
      <c r="W78" s="129" t="str">
        <f>'Consumer Hardware Pricing'!V86</f>
        <v>-</v>
      </c>
      <c r="X78" s="129" t="str">
        <f t="shared" si="128"/>
        <v>-</v>
      </c>
      <c r="Y78" s="129" t="str">
        <f t="shared" si="167"/>
        <v>-</v>
      </c>
      <c r="Z78" s="129" t="str">
        <f t="shared" si="168"/>
        <v>-</v>
      </c>
      <c r="AA78" s="85" t="str">
        <f t="shared" si="169"/>
        <v>-</v>
      </c>
      <c r="AB78" s="85" t="str">
        <f>'Consumer Hardware Pricing'!X86</f>
        <v>-</v>
      </c>
      <c r="AC78" s="85" t="str">
        <f t="shared" si="141"/>
        <v>-</v>
      </c>
      <c r="AD78" s="85" t="str">
        <f>'Consumer Hardware Pricing'!Y86</f>
        <v>-</v>
      </c>
      <c r="AE78" s="85" t="str">
        <f t="shared" si="129"/>
        <v>-</v>
      </c>
      <c r="AF78" s="85" t="str">
        <f t="shared" si="130"/>
        <v>-</v>
      </c>
      <c r="AG78" s="85" t="str">
        <f t="shared" si="131"/>
        <v>-</v>
      </c>
      <c r="AH78" s="85" t="str">
        <f>'Consumer Hardware Pricing'!AA86</f>
        <v>-</v>
      </c>
      <c r="AI78" s="85" t="str">
        <f t="shared" si="142"/>
        <v>-</v>
      </c>
      <c r="AJ78" s="85" t="str">
        <f t="shared" si="132"/>
        <v>-</v>
      </c>
      <c r="AK78" s="85" t="str">
        <f t="shared" si="133"/>
        <v>-</v>
      </c>
      <c r="AL78" s="85" t="str">
        <f t="shared" si="134"/>
        <v>-</v>
      </c>
      <c r="AM78" s="85" t="str">
        <f>'Consumer Hardware Pricing'!AC86</f>
        <v>-</v>
      </c>
      <c r="AN78" s="85" t="str">
        <f t="shared" si="143"/>
        <v>-</v>
      </c>
      <c r="AO78" s="85" t="str">
        <f>'Consumer Hardware Pricing'!AD86</f>
        <v>-</v>
      </c>
      <c r="AP78" s="85" t="str">
        <f t="shared" si="135"/>
        <v>-</v>
      </c>
      <c r="AQ78" s="85" t="str">
        <f t="shared" si="136"/>
        <v>-</v>
      </c>
      <c r="AR78" s="85" t="str">
        <f t="shared" si="137"/>
        <v>-</v>
      </c>
      <c r="AS78" s="85" t="str">
        <f>'Consumer Hardware Pricing'!AF86</f>
        <v>-</v>
      </c>
      <c r="AT78" s="85" t="str">
        <f t="shared" si="144"/>
        <v>-</v>
      </c>
      <c r="AU78" s="85" t="str">
        <f t="shared" si="138"/>
        <v>-</v>
      </c>
      <c r="AV78" s="85" t="str">
        <f t="shared" si="139"/>
        <v>-</v>
      </c>
      <c r="AW78" s="85" t="str">
        <f t="shared" si="140"/>
        <v>-</v>
      </c>
      <c r="AX78" s="85" t="str">
        <f>'Consumer Hardware Pricing'!AH86</f>
        <v>-</v>
      </c>
      <c r="AY78" s="85" t="str">
        <f t="shared" si="145"/>
        <v>-</v>
      </c>
      <c r="AZ78" s="85" t="str">
        <f>'Consumer Hardware Pricing'!AI86</f>
        <v>-</v>
      </c>
      <c r="BA78" s="85" t="str">
        <f t="shared" si="153"/>
        <v>-</v>
      </c>
      <c r="BB78" s="85" t="str">
        <f t="shared" si="154"/>
        <v>-</v>
      </c>
      <c r="BC78" s="85" t="str">
        <f t="shared" si="170"/>
        <v>-</v>
      </c>
      <c r="BD78" s="85">
        <f>'Consumer Hardware Pricing'!AL86</f>
        <v>0</v>
      </c>
      <c r="BE78" s="85">
        <f t="shared" si="146"/>
        <v>22.5</v>
      </c>
      <c r="BF78" s="85" t="str">
        <f>'Consumer Hardware Pricing'!AM86</f>
        <v>-</v>
      </c>
      <c r="BG78" s="85">
        <f t="shared" si="155"/>
        <v>22.5</v>
      </c>
      <c r="BH78" s="85" t="str">
        <f t="shared" si="156"/>
        <v>-</v>
      </c>
      <c r="BI78" s="85">
        <f t="shared" si="171"/>
        <v>540</v>
      </c>
      <c r="BJ78" s="85" t="str">
        <f>'Consumer Hardware Pricing'!AP86</f>
        <v>-</v>
      </c>
      <c r="BK78" s="85" t="str">
        <f t="shared" si="147"/>
        <v>-</v>
      </c>
      <c r="BL78" s="85" t="str">
        <f>'Consumer Hardware Pricing'!AQ86</f>
        <v>-</v>
      </c>
      <c r="BM78" s="85" t="str">
        <f t="shared" si="157"/>
        <v>-</v>
      </c>
      <c r="BN78" s="85" t="str">
        <f t="shared" si="158"/>
        <v>-</v>
      </c>
      <c r="BO78" s="85" t="str">
        <f t="shared" si="172"/>
        <v>-</v>
      </c>
      <c r="BP78" s="85" t="str">
        <f>'Consumer Hardware Pricing'!AT86</f>
        <v>-</v>
      </c>
      <c r="BQ78" s="85" t="str">
        <f t="shared" si="148"/>
        <v>-</v>
      </c>
      <c r="BR78" s="85" t="str">
        <f>'Consumer Hardware Pricing'!AU86</f>
        <v>-</v>
      </c>
      <c r="BS78" s="85" t="str">
        <f t="shared" si="159"/>
        <v>-</v>
      </c>
      <c r="BT78" s="85" t="str">
        <f t="shared" si="160"/>
        <v>-</v>
      </c>
      <c r="BU78" s="85" t="str">
        <f t="shared" si="173"/>
        <v>-</v>
      </c>
    </row>
    <row r="79" spans="1:73" ht="30.15" customHeight="1" x14ac:dyDescent="0.25">
      <c r="A79" s="86" t="s">
        <v>35</v>
      </c>
      <c r="B79" s="88" t="s">
        <v>755</v>
      </c>
      <c r="C79" s="88" t="s">
        <v>789</v>
      </c>
      <c r="D79" s="85">
        <f>'Consumer Hardware Pricing'!L87</f>
        <v>820</v>
      </c>
      <c r="E79" s="85">
        <f>'Consumer Hardware Pricing'!M87</f>
        <v>820</v>
      </c>
      <c r="F79" s="85" t="str">
        <f>'Consumer Hardware Pricing'!N87</f>
        <v>-</v>
      </c>
      <c r="G79" s="85" t="str">
        <f t="shared" si="126"/>
        <v>-</v>
      </c>
      <c r="H79" s="85" t="str">
        <f>'Consumer Hardware Pricing'!O87</f>
        <v>-</v>
      </c>
      <c r="I79" s="85" t="str">
        <f t="shared" si="149"/>
        <v>-</v>
      </c>
      <c r="J79" s="85" t="str">
        <f t="shared" si="161"/>
        <v>-</v>
      </c>
      <c r="K79" s="85" t="str">
        <f t="shared" si="162"/>
        <v>-</v>
      </c>
      <c r="L79" s="85" t="str">
        <f>'Consumer Hardware Pricing'!Q87</f>
        <v>-</v>
      </c>
      <c r="M79" s="85" t="str">
        <f t="shared" si="127"/>
        <v>-</v>
      </c>
      <c r="N79" s="85" t="str">
        <f t="shared" si="150"/>
        <v>-</v>
      </c>
      <c r="O79" s="85" t="str">
        <f t="shared" si="151"/>
        <v>-</v>
      </c>
      <c r="P79" s="85" t="str">
        <f t="shared" si="163"/>
        <v>-</v>
      </c>
      <c r="Q79" s="85" t="str">
        <f>'Consumer Hardware Pricing'!S87</f>
        <v>-</v>
      </c>
      <c r="R79" s="85" t="str">
        <f t="shared" si="152"/>
        <v>-</v>
      </c>
      <c r="S79" s="85" t="str">
        <f>'Consumer Hardware Pricing'!T87</f>
        <v>-</v>
      </c>
      <c r="T79" s="129" t="str">
        <f t="shared" si="164"/>
        <v>-</v>
      </c>
      <c r="U79" s="129" t="str">
        <f t="shared" si="165"/>
        <v>-</v>
      </c>
      <c r="V79" s="85" t="str">
        <f t="shared" si="166"/>
        <v>-</v>
      </c>
      <c r="W79" s="129" t="str">
        <f>'Consumer Hardware Pricing'!V87</f>
        <v>-</v>
      </c>
      <c r="X79" s="129" t="str">
        <f t="shared" si="128"/>
        <v>-</v>
      </c>
      <c r="Y79" s="129" t="str">
        <f t="shared" si="167"/>
        <v>-</v>
      </c>
      <c r="Z79" s="129" t="str">
        <f t="shared" si="168"/>
        <v>-</v>
      </c>
      <c r="AA79" s="85" t="str">
        <f t="shared" si="169"/>
        <v>-</v>
      </c>
      <c r="AB79" s="85" t="str">
        <f>'Consumer Hardware Pricing'!X87</f>
        <v>-</v>
      </c>
      <c r="AC79" s="85" t="str">
        <f t="shared" si="141"/>
        <v>-</v>
      </c>
      <c r="AD79" s="85" t="str">
        <f>'Consumer Hardware Pricing'!Y87</f>
        <v>-</v>
      </c>
      <c r="AE79" s="85" t="str">
        <f t="shared" si="129"/>
        <v>-</v>
      </c>
      <c r="AF79" s="85" t="str">
        <f t="shared" si="130"/>
        <v>-</v>
      </c>
      <c r="AG79" s="85" t="str">
        <f t="shared" si="131"/>
        <v>-</v>
      </c>
      <c r="AH79" s="85" t="str">
        <f>'Consumer Hardware Pricing'!AA87</f>
        <v>-</v>
      </c>
      <c r="AI79" s="85" t="str">
        <f t="shared" si="142"/>
        <v>-</v>
      </c>
      <c r="AJ79" s="85" t="str">
        <f t="shared" si="132"/>
        <v>-</v>
      </c>
      <c r="AK79" s="85" t="str">
        <f t="shared" si="133"/>
        <v>-</v>
      </c>
      <c r="AL79" s="85" t="str">
        <f t="shared" si="134"/>
        <v>-</v>
      </c>
      <c r="AM79" s="85" t="str">
        <f>'Consumer Hardware Pricing'!AC87</f>
        <v>-</v>
      </c>
      <c r="AN79" s="85" t="str">
        <f t="shared" si="143"/>
        <v>-</v>
      </c>
      <c r="AO79" s="85" t="str">
        <f>'Consumer Hardware Pricing'!AD87</f>
        <v>-</v>
      </c>
      <c r="AP79" s="85" t="str">
        <f t="shared" si="135"/>
        <v>-</v>
      </c>
      <c r="AQ79" s="85" t="str">
        <f t="shared" si="136"/>
        <v>-</v>
      </c>
      <c r="AR79" s="85" t="str">
        <f t="shared" si="137"/>
        <v>-</v>
      </c>
      <c r="AS79" s="85" t="str">
        <f>'Consumer Hardware Pricing'!AF87</f>
        <v>-</v>
      </c>
      <c r="AT79" s="85" t="str">
        <f t="shared" si="144"/>
        <v>-</v>
      </c>
      <c r="AU79" s="85" t="str">
        <f t="shared" si="138"/>
        <v>-</v>
      </c>
      <c r="AV79" s="85" t="str">
        <f t="shared" si="139"/>
        <v>-</v>
      </c>
      <c r="AW79" s="85" t="str">
        <f t="shared" si="140"/>
        <v>-</v>
      </c>
      <c r="AX79" s="85" t="str">
        <f>'Consumer Hardware Pricing'!AH87</f>
        <v>-</v>
      </c>
      <c r="AY79" s="85" t="str">
        <f t="shared" si="145"/>
        <v>-</v>
      </c>
      <c r="AZ79" s="85" t="str">
        <f>'Consumer Hardware Pricing'!AI87</f>
        <v>-</v>
      </c>
      <c r="BA79" s="85" t="str">
        <f t="shared" si="153"/>
        <v>-</v>
      </c>
      <c r="BB79" s="85" t="str">
        <f t="shared" si="154"/>
        <v>-</v>
      </c>
      <c r="BC79" s="85" t="str">
        <f t="shared" si="170"/>
        <v>-</v>
      </c>
      <c r="BD79" s="85">
        <f>'Consumer Hardware Pricing'!AL87</f>
        <v>0</v>
      </c>
      <c r="BE79" s="85">
        <f t="shared" si="146"/>
        <v>34.169999999999995</v>
      </c>
      <c r="BF79" s="85" t="str">
        <f>'Consumer Hardware Pricing'!AM87</f>
        <v>-</v>
      </c>
      <c r="BG79" s="85">
        <f t="shared" si="155"/>
        <v>34.169999999999995</v>
      </c>
      <c r="BH79" s="85" t="str">
        <f t="shared" si="156"/>
        <v>-</v>
      </c>
      <c r="BI79" s="85">
        <f t="shared" si="171"/>
        <v>820.07999999999993</v>
      </c>
      <c r="BJ79" s="85" t="str">
        <f>'Consumer Hardware Pricing'!AP87</f>
        <v>-</v>
      </c>
      <c r="BK79" s="85" t="str">
        <f t="shared" si="147"/>
        <v>-</v>
      </c>
      <c r="BL79" s="85" t="str">
        <f>'Consumer Hardware Pricing'!AQ87</f>
        <v>-</v>
      </c>
      <c r="BM79" s="85" t="str">
        <f t="shared" si="157"/>
        <v>-</v>
      </c>
      <c r="BN79" s="85" t="str">
        <f t="shared" si="158"/>
        <v>-</v>
      </c>
      <c r="BO79" s="85" t="str">
        <f t="shared" si="172"/>
        <v>-</v>
      </c>
      <c r="BP79" s="85" t="str">
        <f>'Consumer Hardware Pricing'!AT87</f>
        <v>-</v>
      </c>
      <c r="BQ79" s="85" t="str">
        <f t="shared" si="148"/>
        <v>-</v>
      </c>
      <c r="BR79" s="85" t="str">
        <f>'Consumer Hardware Pricing'!AU87</f>
        <v>-</v>
      </c>
      <c r="BS79" s="85" t="str">
        <f t="shared" si="159"/>
        <v>-</v>
      </c>
      <c r="BT79" s="85" t="str">
        <f t="shared" si="160"/>
        <v>-</v>
      </c>
      <c r="BU79" s="85" t="str">
        <f t="shared" si="173"/>
        <v>-</v>
      </c>
    </row>
    <row r="80" spans="1:73" ht="30.15" customHeight="1" x14ac:dyDescent="0.25">
      <c r="A80" s="86" t="s">
        <v>35</v>
      </c>
      <c r="B80" s="88" t="s">
        <v>756</v>
      </c>
      <c r="C80" s="88" t="s">
        <v>790</v>
      </c>
      <c r="D80" s="85">
        <f>'Consumer Hardware Pricing'!L88</f>
        <v>700</v>
      </c>
      <c r="E80" s="85">
        <f>'Consumer Hardware Pricing'!M88</f>
        <v>700</v>
      </c>
      <c r="F80" s="85" t="str">
        <f>'Consumer Hardware Pricing'!N88</f>
        <v>-</v>
      </c>
      <c r="G80" s="85" t="str">
        <f t="shared" si="126"/>
        <v>-</v>
      </c>
      <c r="H80" s="85" t="str">
        <f>'Consumer Hardware Pricing'!O88</f>
        <v>-</v>
      </c>
      <c r="I80" s="85" t="str">
        <f t="shared" si="149"/>
        <v>-</v>
      </c>
      <c r="J80" s="85" t="str">
        <f t="shared" si="161"/>
        <v>-</v>
      </c>
      <c r="K80" s="85" t="str">
        <f t="shared" si="162"/>
        <v>-</v>
      </c>
      <c r="L80" s="85" t="str">
        <f>'Consumer Hardware Pricing'!Q88</f>
        <v>-</v>
      </c>
      <c r="M80" s="85" t="str">
        <f t="shared" si="127"/>
        <v>-</v>
      </c>
      <c r="N80" s="85" t="str">
        <f t="shared" si="150"/>
        <v>-</v>
      </c>
      <c r="O80" s="85" t="str">
        <f t="shared" si="151"/>
        <v>-</v>
      </c>
      <c r="P80" s="85" t="str">
        <f t="shared" si="163"/>
        <v>-</v>
      </c>
      <c r="Q80" s="85" t="str">
        <f>'Consumer Hardware Pricing'!S88</f>
        <v>-</v>
      </c>
      <c r="R80" s="85" t="str">
        <f t="shared" si="152"/>
        <v>-</v>
      </c>
      <c r="S80" s="85" t="str">
        <f>'Consumer Hardware Pricing'!T88</f>
        <v>-</v>
      </c>
      <c r="T80" s="129" t="str">
        <f t="shared" si="164"/>
        <v>-</v>
      </c>
      <c r="U80" s="129" t="str">
        <f t="shared" si="165"/>
        <v>-</v>
      </c>
      <c r="V80" s="85" t="str">
        <f t="shared" si="166"/>
        <v>-</v>
      </c>
      <c r="W80" s="129" t="str">
        <f>'Consumer Hardware Pricing'!V88</f>
        <v>-</v>
      </c>
      <c r="X80" s="129" t="str">
        <f t="shared" si="128"/>
        <v>-</v>
      </c>
      <c r="Y80" s="129" t="str">
        <f t="shared" si="167"/>
        <v>-</v>
      </c>
      <c r="Z80" s="129" t="str">
        <f t="shared" si="168"/>
        <v>-</v>
      </c>
      <c r="AA80" s="85" t="str">
        <f t="shared" si="169"/>
        <v>-</v>
      </c>
      <c r="AB80" s="85" t="str">
        <f>'Consumer Hardware Pricing'!X88</f>
        <v>-</v>
      </c>
      <c r="AC80" s="85" t="str">
        <f t="shared" si="141"/>
        <v>-</v>
      </c>
      <c r="AD80" s="85" t="str">
        <f>'Consumer Hardware Pricing'!Y88</f>
        <v>-</v>
      </c>
      <c r="AE80" s="85" t="str">
        <f t="shared" si="129"/>
        <v>-</v>
      </c>
      <c r="AF80" s="85" t="str">
        <f t="shared" si="130"/>
        <v>-</v>
      </c>
      <c r="AG80" s="85" t="str">
        <f t="shared" si="131"/>
        <v>-</v>
      </c>
      <c r="AH80" s="85" t="str">
        <f>'Consumer Hardware Pricing'!AA88</f>
        <v>-</v>
      </c>
      <c r="AI80" s="85" t="str">
        <f t="shared" si="142"/>
        <v>-</v>
      </c>
      <c r="AJ80" s="85" t="str">
        <f t="shared" si="132"/>
        <v>-</v>
      </c>
      <c r="AK80" s="85" t="str">
        <f t="shared" si="133"/>
        <v>-</v>
      </c>
      <c r="AL80" s="85" t="str">
        <f t="shared" si="134"/>
        <v>-</v>
      </c>
      <c r="AM80" s="85" t="str">
        <f>'Consumer Hardware Pricing'!AC88</f>
        <v>-</v>
      </c>
      <c r="AN80" s="85" t="str">
        <f t="shared" si="143"/>
        <v>-</v>
      </c>
      <c r="AO80" s="85" t="str">
        <f>'Consumer Hardware Pricing'!AD88</f>
        <v>-</v>
      </c>
      <c r="AP80" s="85" t="str">
        <f t="shared" si="135"/>
        <v>-</v>
      </c>
      <c r="AQ80" s="85" t="str">
        <f t="shared" si="136"/>
        <v>-</v>
      </c>
      <c r="AR80" s="85" t="str">
        <f t="shared" si="137"/>
        <v>-</v>
      </c>
      <c r="AS80" s="85" t="str">
        <f>'Consumer Hardware Pricing'!AF88</f>
        <v>-</v>
      </c>
      <c r="AT80" s="85" t="str">
        <f t="shared" si="144"/>
        <v>-</v>
      </c>
      <c r="AU80" s="85" t="str">
        <f t="shared" si="138"/>
        <v>-</v>
      </c>
      <c r="AV80" s="85" t="str">
        <f t="shared" si="139"/>
        <v>-</v>
      </c>
      <c r="AW80" s="85" t="str">
        <f t="shared" si="140"/>
        <v>-</v>
      </c>
      <c r="AX80" s="85" t="str">
        <f>'Consumer Hardware Pricing'!AH88</f>
        <v>-</v>
      </c>
      <c r="AY80" s="85" t="str">
        <f t="shared" si="145"/>
        <v>-</v>
      </c>
      <c r="AZ80" s="85" t="str">
        <f>'Consumer Hardware Pricing'!AI88</f>
        <v>-</v>
      </c>
      <c r="BA80" s="85" t="str">
        <f t="shared" si="153"/>
        <v>-</v>
      </c>
      <c r="BB80" s="85" t="str">
        <f t="shared" si="154"/>
        <v>-</v>
      </c>
      <c r="BC80" s="85" t="str">
        <f t="shared" si="170"/>
        <v>-</v>
      </c>
      <c r="BD80" s="85">
        <f>'Consumer Hardware Pricing'!AL88</f>
        <v>0</v>
      </c>
      <c r="BE80" s="85">
        <f t="shared" si="146"/>
        <v>29.17</v>
      </c>
      <c r="BF80" s="85" t="str">
        <f>'Consumer Hardware Pricing'!AM88</f>
        <v>-</v>
      </c>
      <c r="BG80" s="85">
        <f t="shared" si="155"/>
        <v>29.17</v>
      </c>
      <c r="BH80" s="85" t="str">
        <f t="shared" si="156"/>
        <v>-</v>
      </c>
      <c r="BI80" s="85">
        <f t="shared" si="171"/>
        <v>700.08</v>
      </c>
      <c r="BJ80" s="85" t="str">
        <f>'Consumer Hardware Pricing'!AP88</f>
        <v>-</v>
      </c>
      <c r="BK80" s="85" t="str">
        <f t="shared" si="147"/>
        <v>-</v>
      </c>
      <c r="BL80" s="85" t="str">
        <f>'Consumer Hardware Pricing'!AQ88</f>
        <v>-</v>
      </c>
      <c r="BM80" s="85" t="str">
        <f t="shared" si="157"/>
        <v>-</v>
      </c>
      <c r="BN80" s="85" t="str">
        <f t="shared" si="158"/>
        <v>-</v>
      </c>
      <c r="BO80" s="85" t="str">
        <f t="shared" si="172"/>
        <v>-</v>
      </c>
      <c r="BP80" s="85" t="str">
        <f>'Consumer Hardware Pricing'!AT88</f>
        <v>-</v>
      </c>
      <c r="BQ80" s="85" t="str">
        <f t="shared" si="148"/>
        <v>-</v>
      </c>
      <c r="BR80" s="85" t="str">
        <f>'Consumer Hardware Pricing'!AU88</f>
        <v>-</v>
      </c>
      <c r="BS80" s="85" t="str">
        <f t="shared" si="159"/>
        <v>-</v>
      </c>
      <c r="BT80" s="85" t="str">
        <f t="shared" si="160"/>
        <v>-</v>
      </c>
      <c r="BU80" s="85" t="str">
        <f t="shared" si="173"/>
        <v>-</v>
      </c>
    </row>
    <row r="81" spans="1:73" ht="30.15" customHeight="1" x14ac:dyDescent="0.25">
      <c r="A81" s="86" t="s">
        <v>35</v>
      </c>
      <c r="B81" s="88" t="s">
        <v>757</v>
      </c>
      <c r="C81" s="88" t="s">
        <v>791</v>
      </c>
      <c r="D81" s="85">
        <f>'Consumer Hardware Pricing'!L89</f>
        <v>560</v>
      </c>
      <c r="E81" s="85">
        <f>'Consumer Hardware Pricing'!M89</f>
        <v>560</v>
      </c>
      <c r="F81" s="85" t="str">
        <f>'Consumer Hardware Pricing'!N89</f>
        <v>-</v>
      </c>
      <c r="G81" s="85" t="str">
        <f t="shared" si="126"/>
        <v>-</v>
      </c>
      <c r="H81" s="85" t="str">
        <f>'Consumer Hardware Pricing'!O89</f>
        <v>-</v>
      </c>
      <c r="I81" s="85" t="str">
        <f t="shared" si="149"/>
        <v>-</v>
      </c>
      <c r="J81" s="85" t="str">
        <f t="shared" si="161"/>
        <v>-</v>
      </c>
      <c r="K81" s="85" t="str">
        <f t="shared" si="162"/>
        <v>-</v>
      </c>
      <c r="L81" s="85" t="str">
        <f>'Consumer Hardware Pricing'!Q89</f>
        <v>-</v>
      </c>
      <c r="M81" s="85" t="str">
        <f t="shared" si="127"/>
        <v>-</v>
      </c>
      <c r="N81" s="85" t="str">
        <f t="shared" si="150"/>
        <v>-</v>
      </c>
      <c r="O81" s="85" t="str">
        <f t="shared" si="151"/>
        <v>-</v>
      </c>
      <c r="P81" s="85" t="str">
        <f t="shared" si="163"/>
        <v>-</v>
      </c>
      <c r="Q81" s="85" t="str">
        <f>'Consumer Hardware Pricing'!S89</f>
        <v>-</v>
      </c>
      <c r="R81" s="85" t="str">
        <f t="shared" si="152"/>
        <v>-</v>
      </c>
      <c r="S81" s="85" t="str">
        <f>'Consumer Hardware Pricing'!T89</f>
        <v>-</v>
      </c>
      <c r="T81" s="129" t="str">
        <f t="shared" si="164"/>
        <v>-</v>
      </c>
      <c r="U81" s="129" t="str">
        <f t="shared" si="165"/>
        <v>-</v>
      </c>
      <c r="V81" s="85" t="str">
        <f t="shared" si="166"/>
        <v>-</v>
      </c>
      <c r="W81" s="129" t="str">
        <f>'Consumer Hardware Pricing'!V89</f>
        <v>-</v>
      </c>
      <c r="X81" s="129" t="str">
        <f t="shared" si="128"/>
        <v>-</v>
      </c>
      <c r="Y81" s="129" t="str">
        <f t="shared" si="167"/>
        <v>-</v>
      </c>
      <c r="Z81" s="129" t="str">
        <f t="shared" si="168"/>
        <v>-</v>
      </c>
      <c r="AA81" s="85" t="str">
        <f t="shared" si="169"/>
        <v>-</v>
      </c>
      <c r="AB81" s="85" t="str">
        <f>'Consumer Hardware Pricing'!X89</f>
        <v>-</v>
      </c>
      <c r="AC81" s="85" t="str">
        <f t="shared" si="141"/>
        <v>-</v>
      </c>
      <c r="AD81" s="85" t="str">
        <f>'Consumer Hardware Pricing'!Y89</f>
        <v>-</v>
      </c>
      <c r="AE81" s="85" t="str">
        <f t="shared" si="129"/>
        <v>-</v>
      </c>
      <c r="AF81" s="85" t="str">
        <f t="shared" si="130"/>
        <v>-</v>
      </c>
      <c r="AG81" s="85" t="str">
        <f t="shared" si="131"/>
        <v>-</v>
      </c>
      <c r="AH81" s="85" t="str">
        <f>'Consumer Hardware Pricing'!AA89</f>
        <v>-</v>
      </c>
      <c r="AI81" s="85" t="str">
        <f t="shared" si="142"/>
        <v>-</v>
      </c>
      <c r="AJ81" s="85" t="str">
        <f t="shared" si="132"/>
        <v>-</v>
      </c>
      <c r="AK81" s="85" t="str">
        <f t="shared" si="133"/>
        <v>-</v>
      </c>
      <c r="AL81" s="85" t="str">
        <f t="shared" si="134"/>
        <v>-</v>
      </c>
      <c r="AM81" s="85" t="str">
        <f>'Consumer Hardware Pricing'!AC89</f>
        <v>-</v>
      </c>
      <c r="AN81" s="85" t="str">
        <f t="shared" si="143"/>
        <v>-</v>
      </c>
      <c r="AO81" s="85" t="str">
        <f>'Consumer Hardware Pricing'!AD89</f>
        <v>-</v>
      </c>
      <c r="AP81" s="85" t="str">
        <f t="shared" si="135"/>
        <v>-</v>
      </c>
      <c r="AQ81" s="85" t="str">
        <f t="shared" si="136"/>
        <v>-</v>
      </c>
      <c r="AR81" s="85" t="str">
        <f t="shared" si="137"/>
        <v>-</v>
      </c>
      <c r="AS81" s="85" t="str">
        <f>'Consumer Hardware Pricing'!AF89</f>
        <v>-</v>
      </c>
      <c r="AT81" s="85" t="str">
        <f t="shared" si="144"/>
        <v>-</v>
      </c>
      <c r="AU81" s="85" t="str">
        <f t="shared" si="138"/>
        <v>-</v>
      </c>
      <c r="AV81" s="85" t="str">
        <f t="shared" si="139"/>
        <v>-</v>
      </c>
      <c r="AW81" s="85" t="str">
        <f t="shared" si="140"/>
        <v>-</v>
      </c>
      <c r="AX81" s="85" t="str">
        <f>'Consumer Hardware Pricing'!AH89</f>
        <v>-</v>
      </c>
      <c r="AY81" s="85" t="str">
        <f t="shared" si="145"/>
        <v>-</v>
      </c>
      <c r="AZ81" s="85" t="str">
        <f>'Consumer Hardware Pricing'!AI89</f>
        <v>-</v>
      </c>
      <c r="BA81" s="85" t="str">
        <f t="shared" si="153"/>
        <v>-</v>
      </c>
      <c r="BB81" s="85" t="str">
        <f t="shared" si="154"/>
        <v>-</v>
      </c>
      <c r="BC81" s="85" t="str">
        <f t="shared" si="170"/>
        <v>-</v>
      </c>
      <c r="BD81" s="85">
        <f>'Consumer Hardware Pricing'!AL89</f>
        <v>0</v>
      </c>
      <c r="BE81" s="85">
        <f t="shared" si="146"/>
        <v>23.34</v>
      </c>
      <c r="BF81" s="85" t="str">
        <f>'Consumer Hardware Pricing'!AM89</f>
        <v>-</v>
      </c>
      <c r="BG81" s="85">
        <f t="shared" si="155"/>
        <v>23.34</v>
      </c>
      <c r="BH81" s="85" t="str">
        <f t="shared" si="156"/>
        <v>-</v>
      </c>
      <c r="BI81" s="85">
        <f t="shared" si="171"/>
        <v>560.16</v>
      </c>
      <c r="BJ81" s="85" t="str">
        <f>'Consumer Hardware Pricing'!AP89</f>
        <v>-</v>
      </c>
      <c r="BK81" s="85" t="str">
        <f t="shared" si="147"/>
        <v>-</v>
      </c>
      <c r="BL81" s="85" t="str">
        <f>'Consumer Hardware Pricing'!AQ89</f>
        <v>-</v>
      </c>
      <c r="BM81" s="85" t="str">
        <f t="shared" si="157"/>
        <v>-</v>
      </c>
      <c r="BN81" s="85" t="str">
        <f t="shared" si="158"/>
        <v>-</v>
      </c>
      <c r="BO81" s="85" t="str">
        <f t="shared" si="172"/>
        <v>-</v>
      </c>
      <c r="BP81" s="85" t="str">
        <f>'Consumer Hardware Pricing'!AT89</f>
        <v>-</v>
      </c>
      <c r="BQ81" s="85" t="str">
        <f t="shared" si="148"/>
        <v>-</v>
      </c>
      <c r="BR81" s="85" t="str">
        <f>'Consumer Hardware Pricing'!AU89</f>
        <v>-</v>
      </c>
      <c r="BS81" s="85" t="str">
        <f t="shared" si="159"/>
        <v>-</v>
      </c>
      <c r="BT81" s="85" t="str">
        <f t="shared" si="160"/>
        <v>-</v>
      </c>
      <c r="BU81" s="85" t="str">
        <f t="shared" si="173"/>
        <v>-</v>
      </c>
    </row>
    <row r="82" spans="1:73" ht="30.15" customHeight="1" x14ac:dyDescent="0.25">
      <c r="A82" s="86" t="s">
        <v>35</v>
      </c>
      <c r="B82" s="88" t="s">
        <v>758</v>
      </c>
      <c r="C82" s="88" t="s">
        <v>792</v>
      </c>
      <c r="D82" s="85">
        <f>'Consumer Hardware Pricing'!L90</f>
        <v>560</v>
      </c>
      <c r="E82" s="85">
        <f>'Consumer Hardware Pricing'!M90</f>
        <v>560</v>
      </c>
      <c r="F82" s="85" t="str">
        <f>'Consumer Hardware Pricing'!N90</f>
        <v>-</v>
      </c>
      <c r="G82" s="85" t="str">
        <f t="shared" si="126"/>
        <v>-</v>
      </c>
      <c r="H82" s="85" t="str">
        <f>'Consumer Hardware Pricing'!O90</f>
        <v>-</v>
      </c>
      <c r="I82" s="85" t="str">
        <f t="shared" si="149"/>
        <v>-</v>
      </c>
      <c r="J82" s="85" t="str">
        <f t="shared" si="161"/>
        <v>-</v>
      </c>
      <c r="K82" s="85" t="str">
        <f t="shared" si="162"/>
        <v>-</v>
      </c>
      <c r="L82" s="85" t="str">
        <f>'Consumer Hardware Pricing'!Q90</f>
        <v>-</v>
      </c>
      <c r="M82" s="85" t="str">
        <f t="shared" si="127"/>
        <v>-</v>
      </c>
      <c r="N82" s="85" t="str">
        <f t="shared" si="150"/>
        <v>-</v>
      </c>
      <c r="O82" s="85" t="str">
        <f t="shared" si="151"/>
        <v>-</v>
      </c>
      <c r="P82" s="85" t="str">
        <f t="shared" si="163"/>
        <v>-</v>
      </c>
      <c r="Q82" s="85" t="str">
        <f>'Consumer Hardware Pricing'!S90</f>
        <v>-</v>
      </c>
      <c r="R82" s="85" t="str">
        <f t="shared" si="152"/>
        <v>-</v>
      </c>
      <c r="S82" s="85" t="str">
        <f>'Consumer Hardware Pricing'!T90</f>
        <v>-</v>
      </c>
      <c r="T82" s="129" t="str">
        <f t="shared" si="164"/>
        <v>-</v>
      </c>
      <c r="U82" s="129" t="str">
        <f t="shared" si="165"/>
        <v>-</v>
      </c>
      <c r="V82" s="85" t="str">
        <f t="shared" si="166"/>
        <v>-</v>
      </c>
      <c r="W82" s="129" t="str">
        <f>'Consumer Hardware Pricing'!V90</f>
        <v>-</v>
      </c>
      <c r="X82" s="129" t="str">
        <f t="shared" si="128"/>
        <v>-</v>
      </c>
      <c r="Y82" s="129" t="str">
        <f t="shared" si="167"/>
        <v>-</v>
      </c>
      <c r="Z82" s="129" t="str">
        <f t="shared" si="168"/>
        <v>-</v>
      </c>
      <c r="AA82" s="85" t="str">
        <f t="shared" si="169"/>
        <v>-</v>
      </c>
      <c r="AB82" s="85" t="str">
        <f>'Consumer Hardware Pricing'!X90</f>
        <v>-</v>
      </c>
      <c r="AC82" s="85" t="str">
        <f t="shared" si="141"/>
        <v>-</v>
      </c>
      <c r="AD82" s="85" t="str">
        <f>'Consumer Hardware Pricing'!Y90</f>
        <v>-</v>
      </c>
      <c r="AE82" s="85" t="str">
        <f t="shared" si="129"/>
        <v>-</v>
      </c>
      <c r="AF82" s="85" t="str">
        <f t="shared" si="130"/>
        <v>-</v>
      </c>
      <c r="AG82" s="85" t="str">
        <f t="shared" si="131"/>
        <v>-</v>
      </c>
      <c r="AH82" s="85" t="str">
        <f>'Consumer Hardware Pricing'!AA90</f>
        <v>-</v>
      </c>
      <c r="AI82" s="85" t="str">
        <f t="shared" si="142"/>
        <v>-</v>
      </c>
      <c r="AJ82" s="85" t="str">
        <f t="shared" si="132"/>
        <v>-</v>
      </c>
      <c r="AK82" s="85" t="str">
        <f t="shared" si="133"/>
        <v>-</v>
      </c>
      <c r="AL82" s="85" t="str">
        <f t="shared" si="134"/>
        <v>-</v>
      </c>
      <c r="AM82" s="85" t="str">
        <f>'Consumer Hardware Pricing'!AC90</f>
        <v>-</v>
      </c>
      <c r="AN82" s="85" t="str">
        <f t="shared" si="143"/>
        <v>-</v>
      </c>
      <c r="AO82" s="85" t="str">
        <f>'Consumer Hardware Pricing'!AD90</f>
        <v>-</v>
      </c>
      <c r="AP82" s="85" t="str">
        <f t="shared" si="135"/>
        <v>-</v>
      </c>
      <c r="AQ82" s="85" t="str">
        <f t="shared" si="136"/>
        <v>-</v>
      </c>
      <c r="AR82" s="85" t="str">
        <f t="shared" si="137"/>
        <v>-</v>
      </c>
      <c r="AS82" s="85" t="str">
        <f>'Consumer Hardware Pricing'!AF90</f>
        <v>-</v>
      </c>
      <c r="AT82" s="85" t="str">
        <f t="shared" si="144"/>
        <v>-</v>
      </c>
      <c r="AU82" s="85" t="str">
        <f t="shared" si="138"/>
        <v>-</v>
      </c>
      <c r="AV82" s="85" t="str">
        <f t="shared" si="139"/>
        <v>-</v>
      </c>
      <c r="AW82" s="85" t="str">
        <f t="shared" si="140"/>
        <v>-</v>
      </c>
      <c r="AX82" s="85" t="str">
        <f>'Consumer Hardware Pricing'!AH90</f>
        <v>-</v>
      </c>
      <c r="AY82" s="85" t="str">
        <f t="shared" si="145"/>
        <v>-</v>
      </c>
      <c r="AZ82" s="85" t="str">
        <f>'Consumer Hardware Pricing'!AI90</f>
        <v>-</v>
      </c>
      <c r="BA82" s="85" t="str">
        <f t="shared" si="153"/>
        <v>-</v>
      </c>
      <c r="BB82" s="85" t="str">
        <f t="shared" si="154"/>
        <v>-</v>
      </c>
      <c r="BC82" s="85" t="str">
        <f t="shared" si="170"/>
        <v>-</v>
      </c>
      <c r="BD82" s="85">
        <f>'Consumer Hardware Pricing'!AL90</f>
        <v>0</v>
      </c>
      <c r="BE82" s="85">
        <f t="shared" si="146"/>
        <v>23.34</v>
      </c>
      <c r="BF82" s="85" t="str">
        <f>'Consumer Hardware Pricing'!AM90</f>
        <v>-</v>
      </c>
      <c r="BG82" s="85">
        <f t="shared" si="155"/>
        <v>23.34</v>
      </c>
      <c r="BH82" s="85" t="str">
        <f t="shared" si="156"/>
        <v>-</v>
      </c>
      <c r="BI82" s="85">
        <f t="shared" si="171"/>
        <v>560.16</v>
      </c>
      <c r="BJ82" s="85" t="str">
        <f>'Consumer Hardware Pricing'!AP90</f>
        <v>-</v>
      </c>
      <c r="BK82" s="85" t="str">
        <f t="shared" si="147"/>
        <v>-</v>
      </c>
      <c r="BL82" s="85" t="str">
        <f>'Consumer Hardware Pricing'!AQ90</f>
        <v>-</v>
      </c>
      <c r="BM82" s="85" t="str">
        <f t="shared" si="157"/>
        <v>-</v>
      </c>
      <c r="BN82" s="85" t="str">
        <f t="shared" si="158"/>
        <v>-</v>
      </c>
      <c r="BO82" s="85" t="str">
        <f t="shared" si="172"/>
        <v>-</v>
      </c>
      <c r="BP82" s="85" t="str">
        <f>'Consumer Hardware Pricing'!AT90</f>
        <v>-</v>
      </c>
      <c r="BQ82" s="85" t="str">
        <f t="shared" si="148"/>
        <v>-</v>
      </c>
      <c r="BR82" s="85" t="str">
        <f>'Consumer Hardware Pricing'!AU90</f>
        <v>-</v>
      </c>
      <c r="BS82" s="85" t="str">
        <f t="shared" si="159"/>
        <v>-</v>
      </c>
      <c r="BT82" s="85" t="str">
        <f t="shared" si="160"/>
        <v>-</v>
      </c>
      <c r="BU82" s="85" t="str">
        <f t="shared" si="173"/>
        <v>-</v>
      </c>
    </row>
    <row r="83" spans="1:73" ht="30.15" customHeight="1" x14ac:dyDescent="0.25">
      <c r="A83" s="86" t="s">
        <v>35</v>
      </c>
      <c r="B83" s="88" t="s">
        <v>759</v>
      </c>
      <c r="C83" s="88" t="s">
        <v>793</v>
      </c>
      <c r="D83" s="85">
        <f>'Consumer Hardware Pricing'!L91</f>
        <v>560</v>
      </c>
      <c r="E83" s="85">
        <f>'Consumer Hardware Pricing'!M91</f>
        <v>560</v>
      </c>
      <c r="F83" s="85" t="str">
        <f>'Consumer Hardware Pricing'!N91</f>
        <v>-</v>
      </c>
      <c r="G83" s="85" t="str">
        <f t="shared" si="126"/>
        <v>-</v>
      </c>
      <c r="H83" s="85" t="str">
        <f>'Consumer Hardware Pricing'!O91</f>
        <v>-</v>
      </c>
      <c r="I83" s="85" t="str">
        <f t="shared" si="149"/>
        <v>-</v>
      </c>
      <c r="J83" s="85" t="str">
        <f t="shared" si="161"/>
        <v>-</v>
      </c>
      <c r="K83" s="85" t="str">
        <f t="shared" si="162"/>
        <v>-</v>
      </c>
      <c r="L83" s="85" t="str">
        <f>'Consumer Hardware Pricing'!Q91</f>
        <v>-</v>
      </c>
      <c r="M83" s="85" t="str">
        <f t="shared" si="127"/>
        <v>-</v>
      </c>
      <c r="N83" s="85" t="str">
        <f t="shared" si="150"/>
        <v>-</v>
      </c>
      <c r="O83" s="85" t="str">
        <f t="shared" si="151"/>
        <v>-</v>
      </c>
      <c r="P83" s="85" t="str">
        <f t="shared" si="163"/>
        <v>-</v>
      </c>
      <c r="Q83" s="85" t="str">
        <f>'Consumer Hardware Pricing'!S91</f>
        <v>-</v>
      </c>
      <c r="R83" s="85" t="str">
        <f t="shared" si="152"/>
        <v>-</v>
      </c>
      <c r="S83" s="85" t="str">
        <f>'Consumer Hardware Pricing'!T91</f>
        <v>-</v>
      </c>
      <c r="T83" s="129" t="str">
        <f t="shared" si="164"/>
        <v>-</v>
      </c>
      <c r="U83" s="129" t="str">
        <f t="shared" si="165"/>
        <v>-</v>
      </c>
      <c r="V83" s="85" t="str">
        <f t="shared" si="166"/>
        <v>-</v>
      </c>
      <c r="W83" s="129" t="str">
        <f>'Consumer Hardware Pricing'!V91</f>
        <v>-</v>
      </c>
      <c r="X83" s="129" t="str">
        <f t="shared" si="128"/>
        <v>-</v>
      </c>
      <c r="Y83" s="129" t="str">
        <f t="shared" si="167"/>
        <v>-</v>
      </c>
      <c r="Z83" s="129" t="str">
        <f t="shared" si="168"/>
        <v>-</v>
      </c>
      <c r="AA83" s="85" t="str">
        <f t="shared" si="169"/>
        <v>-</v>
      </c>
      <c r="AB83" s="85" t="str">
        <f>'Consumer Hardware Pricing'!X91</f>
        <v>-</v>
      </c>
      <c r="AC83" s="85" t="str">
        <f t="shared" si="141"/>
        <v>-</v>
      </c>
      <c r="AD83" s="85" t="str">
        <f>'Consumer Hardware Pricing'!Y91</f>
        <v>-</v>
      </c>
      <c r="AE83" s="85" t="str">
        <f t="shared" si="129"/>
        <v>-</v>
      </c>
      <c r="AF83" s="85" t="str">
        <f t="shared" si="130"/>
        <v>-</v>
      </c>
      <c r="AG83" s="85" t="str">
        <f t="shared" si="131"/>
        <v>-</v>
      </c>
      <c r="AH83" s="85" t="str">
        <f>'Consumer Hardware Pricing'!AA91</f>
        <v>-</v>
      </c>
      <c r="AI83" s="85" t="str">
        <f t="shared" si="142"/>
        <v>-</v>
      </c>
      <c r="AJ83" s="85" t="str">
        <f t="shared" si="132"/>
        <v>-</v>
      </c>
      <c r="AK83" s="85" t="str">
        <f t="shared" si="133"/>
        <v>-</v>
      </c>
      <c r="AL83" s="85" t="str">
        <f t="shared" si="134"/>
        <v>-</v>
      </c>
      <c r="AM83" s="85" t="str">
        <f>'Consumer Hardware Pricing'!AC91</f>
        <v>-</v>
      </c>
      <c r="AN83" s="85" t="str">
        <f t="shared" si="143"/>
        <v>-</v>
      </c>
      <c r="AO83" s="85" t="str">
        <f>'Consumer Hardware Pricing'!AD91</f>
        <v>-</v>
      </c>
      <c r="AP83" s="85" t="str">
        <f t="shared" si="135"/>
        <v>-</v>
      </c>
      <c r="AQ83" s="85" t="str">
        <f t="shared" si="136"/>
        <v>-</v>
      </c>
      <c r="AR83" s="85" t="str">
        <f t="shared" si="137"/>
        <v>-</v>
      </c>
      <c r="AS83" s="85" t="str">
        <f>'Consumer Hardware Pricing'!AF91</f>
        <v>-</v>
      </c>
      <c r="AT83" s="85" t="str">
        <f t="shared" si="144"/>
        <v>-</v>
      </c>
      <c r="AU83" s="85" t="str">
        <f t="shared" si="138"/>
        <v>-</v>
      </c>
      <c r="AV83" s="85" t="str">
        <f t="shared" si="139"/>
        <v>-</v>
      </c>
      <c r="AW83" s="85" t="str">
        <f t="shared" si="140"/>
        <v>-</v>
      </c>
      <c r="AX83" s="85" t="str">
        <f>'Consumer Hardware Pricing'!AH91</f>
        <v>-</v>
      </c>
      <c r="AY83" s="85" t="str">
        <f t="shared" si="145"/>
        <v>-</v>
      </c>
      <c r="AZ83" s="85" t="str">
        <f>'Consumer Hardware Pricing'!AI91</f>
        <v>-</v>
      </c>
      <c r="BA83" s="85" t="str">
        <f t="shared" si="153"/>
        <v>-</v>
      </c>
      <c r="BB83" s="85" t="str">
        <f t="shared" si="154"/>
        <v>-</v>
      </c>
      <c r="BC83" s="85" t="str">
        <f t="shared" si="170"/>
        <v>-</v>
      </c>
      <c r="BD83" s="85">
        <f>'Consumer Hardware Pricing'!AL91</f>
        <v>0</v>
      </c>
      <c r="BE83" s="85">
        <f t="shared" si="146"/>
        <v>23.34</v>
      </c>
      <c r="BF83" s="85" t="str">
        <f>'Consumer Hardware Pricing'!AM91</f>
        <v>-</v>
      </c>
      <c r="BG83" s="85">
        <f t="shared" si="155"/>
        <v>23.34</v>
      </c>
      <c r="BH83" s="85" t="str">
        <f t="shared" si="156"/>
        <v>-</v>
      </c>
      <c r="BI83" s="85">
        <f t="shared" si="171"/>
        <v>560.16</v>
      </c>
      <c r="BJ83" s="85" t="str">
        <f>'Consumer Hardware Pricing'!AP91</f>
        <v>-</v>
      </c>
      <c r="BK83" s="85" t="str">
        <f t="shared" si="147"/>
        <v>-</v>
      </c>
      <c r="BL83" s="85" t="str">
        <f>'Consumer Hardware Pricing'!AQ91</f>
        <v>-</v>
      </c>
      <c r="BM83" s="85" t="str">
        <f t="shared" si="157"/>
        <v>-</v>
      </c>
      <c r="BN83" s="85" t="str">
        <f t="shared" si="158"/>
        <v>-</v>
      </c>
      <c r="BO83" s="85" t="str">
        <f t="shared" si="172"/>
        <v>-</v>
      </c>
      <c r="BP83" s="85" t="str">
        <f>'Consumer Hardware Pricing'!AT91</f>
        <v>-</v>
      </c>
      <c r="BQ83" s="85" t="str">
        <f t="shared" si="148"/>
        <v>-</v>
      </c>
      <c r="BR83" s="85" t="str">
        <f>'Consumer Hardware Pricing'!AU91</f>
        <v>-</v>
      </c>
      <c r="BS83" s="85" t="str">
        <f t="shared" si="159"/>
        <v>-</v>
      </c>
      <c r="BT83" s="85" t="str">
        <f t="shared" si="160"/>
        <v>-</v>
      </c>
      <c r="BU83" s="85" t="str">
        <f t="shared" si="173"/>
        <v>-</v>
      </c>
    </row>
    <row r="84" spans="1:73" ht="30.15" customHeight="1" x14ac:dyDescent="0.25">
      <c r="A84" s="86" t="s">
        <v>35</v>
      </c>
      <c r="B84" s="88" t="s">
        <v>760</v>
      </c>
      <c r="C84" s="88" t="s">
        <v>794</v>
      </c>
      <c r="D84" s="85">
        <f>'Consumer Hardware Pricing'!L92</f>
        <v>560</v>
      </c>
      <c r="E84" s="85">
        <f>'Consumer Hardware Pricing'!M92</f>
        <v>560</v>
      </c>
      <c r="F84" s="85" t="str">
        <f>'Consumer Hardware Pricing'!N92</f>
        <v>-</v>
      </c>
      <c r="G84" s="85" t="str">
        <f t="shared" si="126"/>
        <v>-</v>
      </c>
      <c r="H84" s="85" t="str">
        <f>'Consumer Hardware Pricing'!O92</f>
        <v>-</v>
      </c>
      <c r="I84" s="85" t="str">
        <f t="shared" si="149"/>
        <v>-</v>
      </c>
      <c r="J84" s="85" t="str">
        <f t="shared" si="161"/>
        <v>-</v>
      </c>
      <c r="K84" s="85" t="str">
        <f t="shared" si="162"/>
        <v>-</v>
      </c>
      <c r="L84" s="85" t="str">
        <f>'Consumer Hardware Pricing'!Q92</f>
        <v>-</v>
      </c>
      <c r="M84" s="85" t="str">
        <f t="shared" si="127"/>
        <v>-</v>
      </c>
      <c r="N84" s="85" t="str">
        <f t="shared" si="150"/>
        <v>-</v>
      </c>
      <c r="O84" s="85" t="str">
        <f t="shared" si="151"/>
        <v>-</v>
      </c>
      <c r="P84" s="85" t="str">
        <f t="shared" si="163"/>
        <v>-</v>
      </c>
      <c r="Q84" s="85" t="str">
        <f>'Consumer Hardware Pricing'!S92</f>
        <v>-</v>
      </c>
      <c r="R84" s="85" t="str">
        <f t="shared" si="152"/>
        <v>-</v>
      </c>
      <c r="S84" s="85" t="str">
        <f>'Consumer Hardware Pricing'!T92</f>
        <v>-</v>
      </c>
      <c r="T84" s="129" t="str">
        <f t="shared" si="164"/>
        <v>-</v>
      </c>
      <c r="U84" s="129" t="str">
        <f t="shared" si="165"/>
        <v>-</v>
      </c>
      <c r="V84" s="85" t="str">
        <f t="shared" si="166"/>
        <v>-</v>
      </c>
      <c r="W84" s="129" t="str">
        <f>'Consumer Hardware Pricing'!V92</f>
        <v>-</v>
      </c>
      <c r="X84" s="129" t="str">
        <f t="shared" si="128"/>
        <v>-</v>
      </c>
      <c r="Y84" s="129" t="str">
        <f t="shared" si="167"/>
        <v>-</v>
      </c>
      <c r="Z84" s="129" t="str">
        <f t="shared" si="168"/>
        <v>-</v>
      </c>
      <c r="AA84" s="85" t="str">
        <f t="shared" si="169"/>
        <v>-</v>
      </c>
      <c r="AB84" s="85" t="str">
        <f>'Consumer Hardware Pricing'!X92</f>
        <v>-</v>
      </c>
      <c r="AC84" s="85" t="str">
        <f t="shared" si="141"/>
        <v>-</v>
      </c>
      <c r="AD84" s="85" t="str">
        <f>'Consumer Hardware Pricing'!Y92</f>
        <v>-</v>
      </c>
      <c r="AE84" s="85" t="str">
        <f t="shared" si="129"/>
        <v>-</v>
      </c>
      <c r="AF84" s="85" t="str">
        <f t="shared" si="130"/>
        <v>-</v>
      </c>
      <c r="AG84" s="85" t="str">
        <f t="shared" si="131"/>
        <v>-</v>
      </c>
      <c r="AH84" s="85" t="str">
        <f>'Consumer Hardware Pricing'!AA92</f>
        <v>-</v>
      </c>
      <c r="AI84" s="85" t="str">
        <f t="shared" si="142"/>
        <v>-</v>
      </c>
      <c r="AJ84" s="85" t="str">
        <f t="shared" si="132"/>
        <v>-</v>
      </c>
      <c r="AK84" s="85" t="str">
        <f t="shared" si="133"/>
        <v>-</v>
      </c>
      <c r="AL84" s="85" t="str">
        <f t="shared" si="134"/>
        <v>-</v>
      </c>
      <c r="AM84" s="85" t="str">
        <f>'Consumer Hardware Pricing'!AC92</f>
        <v>-</v>
      </c>
      <c r="AN84" s="85" t="str">
        <f t="shared" si="143"/>
        <v>-</v>
      </c>
      <c r="AO84" s="85" t="str">
        <f>'Consumer Hardware Pricing'!AD92</f>
        <v>-</v>
      </c>
      <c r="AP84" s="85" t="str">
        <f t="shared" si="135"/>
        <v>-</v>
      </c>
      <c r="AQ84" s="85" t="str">
        <f t="shared" si="136"/>
        <v>-</v>
      </c>
      <c r="AR84" s="85" t="str">
        <f t="shared" si="137"/>
        <v>-</v>
      </c>
      <c r="AS84" s="85" t="str">
        <f>'Consumer Hardware Pricing'!AF92</f>
        <v>-</v>
      </c>
      <c r="AT84" s="85" t="str">
        <f t="shared" si="144"/>
        <v>-</v>
      </c>
      <c r="AU84" s="85" t="str">
        <f t="shared" si="138"/>
        <v>-</v>
      </c>
      <c r="AV84" s="85" t="str">
        <f t="shared" si="139"/>
        <v>-</v>
      </c>
      <c r="AW84" s="85" t="str">
        <f t="shared" si="140"/>
        <v>-</v>
      </c>
      <c r="AX84" s="85" t="str">
        <f>'Consumer Hardware Pricing'!AH92</f>
        <v>-</v>
      </c>
      <c r="AY84" s="85" t="str">
        <f t="shared" si="145"/>
        <v>-</v>
      </c>
      <c r="AZ84" s="85" t="str">
        <f>'Consumer Hardware Pricing'!AI92</f>
        <v>-</v>
      </c>
      <c r="BA84" s="85" t="str">
        <f t="shared" si="153"/>
        <v>-</v>
      </c>
      <c r="BB84" s="85" t="str">
        <f t="shared" si="154"/>
        <v>-</v>
      </c>
      <c r="BC84" s="85" t="str">
        <f t="shared" si="170"/>
        <v>-</v>
      </c>
      <c r="BD84" s="85">
        <f>'Consumer Hardware Pricing'!AL92</f>
        <v>0</v>
      </c>
      <c r="BE84" s="85">
        <f t="shared" si="146"/>
        <v>23.34</v>
      </c>
      <c r="BF84" s="85" t="str">
        <f>'Consumer Hardware Pricing'!AM92</f>
        <v>-</v>
      </c>
      <c r="BG84" s="85">
        <f t="shared" si="155"/>
        <v>23.34</v>
      </c>
      <c r="BH84" s="85" t="str">
        <f t="shared" si="156"/>
        <v>-</v>
      </c>
      <c r="BI84" s="85">
        <f t="shared" si="171"/>
        <v>560.16</v>
      </c>
      <c r="BJ84" s="85" t="str">
        <f>'Consumer Hardware Pricing'!AP92</f>
        <v>-</v>
      </c>
      <c r="BK84" s="85" t="str">
        <f t="shared" si="147"/>
        <v>-</v>
      </c>
      <c r="BL84" s="85" t="str">
        <f>'Consumer Hardware Pricing'!AQ92</f>
        <v>-</v>
      </c>
      <c r="BM84" s="85" t="str">
        <f t="shared" si="157"/>
        <v>-</v>
      </c>
      <c r="BN84" s="85" t="str">
        <f t="shared" si="158"/>
        <v>-</v>
      </c>
      <c r="BO84" s="85" t="str">
        <f t="shared" si="172"/>
        <v>-</v>
      </c>
      <c r="BP84" s="85" t="str">
        <f>'Consumer Hardware Pricing'!AT92</f>
        <v>-</v>
      </c>
      <c r="BQ84" s="85" t="str">
        <f t="shared" si="148"/>
        <v>-</v>
      </c>
      <c r="BR84" s="85" t="str">
        <f>'Consumer Hardware Pricing'!AU92</f>
        <v>-</v>
      </c>
      <c r="BS84" s="85" t="str">
        <f t="shared" si="159"/>
        <v>-</v>
      </c>
      <c r="BT84" s="85" t="str">
        <f t="shared" si="160"/>
        <v>-</v>
      </c>
      <c r="BU84" s="85" t="str">
        <f t="shared" si="173"/>
        <v>-</v>
      </c>
    </row>
    <row r="85" spans="1:73" ht="30.15" customHeight="1" x14ac:dyDescent="0.25">
      <c r="A85" s="86" t="s">
        <v>35</v>
      </c>
      <c r="B85" s="88" t="s">
        <v>761</v>
      </c>
      <c r="C85" s="88" t="s">
        <v>795</v>
      </c>
      <c r="D85" s="85">
        <f>'Consumer Hardware Pricing'!L93</f>
        <v>760</v>
      </c>
      <c r="E85" s="85">
        <f>'Consumer Hardware Pricing'!M93</f>
        <v>760</v>
      </c>
      <c r="F85" s="85" t="str">
        <f>'Consumer Hardware Pricing'!N93</f>
        <v>-</v>
      </c>
      <c r="G85" s="85" t="str">
        <f t="shared" si="126"/>
        <v>-</v>
      </c>
      <c r="H85" s="85" t="str">
        <f>'Consumer Hardware Pricing'!O93</f>
        <v>-</v>
      </c>
      <c r="I85" s="85" t="str">
        <f t="shared" si="149"/>
        <v>-</v>
      </c>
      <c r="J85" s="85" t="str">
        <f t="shared" si="161"/>
        <v>-</v>
      </c>
      <c r="K85" s="85" t="str">
        <f t="shared" si="162"/>
        <v>-</v>
      </c>
      <c r="L85" s="85" t="str">
        <f>'Consumer Hardware Pricing'!Q93</f>
        <v>-</v>
      </c>
      <c r="M85" s="85" t="str">
        <f t="shared" si="127"/>
        <v>-</v>
      </c>
      <c r="N85" s="85" t="str">
        <f t="shared" si="150"/>
        <v>-</v>
      </c>
      <c r="O85" s="85" t="str">
        <f t="shared" si="151"/>
        <v>-</v>
      </c>
      <c r="P85" s="85" t="str">
        <f t="shared" si="163"/>
        <v>-</v>
      </c>
      <c r="Q85" s="85" t="str">
        <f>'Consumer Hardware Pricing'!S93</f>
        <v>-</v>
      </c>
      <c r="R85" s="85" t="str">
        <f t="shared" si="152"/>
        <v>-</v>
      </c>
      <c r="S85" s="85" t="str">
        <f>'Consumer Hardware Pricing'!T93</f>
        <v>-</v>
      </c>
      <c r="T85" s="129" t="str">
        <f t="shared" si="164"/>
        <v>-</v>
      </c>
      <c r="U85" s="129" t="str">
        <f t="shared" si="165"/>
        <v>-</v>
      </c>
      <c r="V85" s="85" t="str">
        <f t="shared" si="166"/>
        <v>-</v>
      </c>
      <c r="W85" s="129" t="str">
        <f>'Consumer Hardware Pricing'!V93</f>
        <v>-</v>
      </c>
      <c r="X85" s="129" t="str">
        <f t="shared" si="128"/>
        <v>-</v>
      </c>
      <c r="Y85" s="129" t="str">
        <f t="shared" si="167"/>
        <v>-</v>
      </c>
      <c r="Z85" s="129" t="str">
        <f t="shared" si="168"/>
        <v>-</v>
      </c>
      <c r="AA85" s="85" t="str">
        <f t="shared" si="169"/>
        <v>-</v>
      </c>
      <c r="AB85" s="85" t="str">
        <f>'Consumer Hardware Pricing'!X93</f>
        <v>-</v>
      </c>
      <c r="AC85" s="85" t="str">
        <f t="shared" si="141"/>
        <v>-</v>
      </c>
      <c r="AD85" s="85" t="str">
        <f>'Consumer Hardware Pricing'!Y93</f>
        <v>-</v>
      </c>
      <c r="AE85" s="85" t="str">
        <f t="shared" si="129"/>
        <v>-</v>
      </c>
      <c r="AF85" s="85" t="str">
        <f t="shared" si="130"/>
        <v>-</v>
      </c>
      <c r="AG85" s="85" t="str">
        <f t="shared" si="131"/>
        <v>-</v>
      </c>
      <c r="AH85" s="85" t="str">
        <f>'Consumer Hardware Pricing'!AA93</f>
        <v>-</v>
      </c>
      <c r="AI85" s="85" t="str">
        <f t="shared" si="142"/>
        <v>-</v>
      </c>
      <c r="AJ85" s="85" t="str">
        <f t="shared" si="132"/>
        <v>-</v>
      </c>
      <c r="AK85" s="85" t="str">
        <f t="shared" si="133"/>
        <v>-</v>
      </c>
      <c r="AL85" s="85" t="str">
        <f t="shared" si="134"/>
        <v>-</v>
      </c>
      <c r="AM85" s="85" t="str">
        <f>'Consumer Hardware Pricing'!AC93</f>
        <v>-</v>
      </c>
      <c r="AN85" s="85" t="str">
        <f t="shared" si="143"/>
        <v>-</v>
      </c>
      <c r="AO85" s="85" t="str">
        <f>'Consumer Hardware Pricing'!AD93</f>
        <v>-</v>
      </c>
      <c r="AP85" s="85" t="str">
        <f t="shared" si="135"/>
        <v>-</v>
      </c>
      <c r="AQ85" s="85" t="str">
        <f t="shared" si="136"/>
        <v>-</v>
      </c>
      <c r="AR85" s="85" t="str">
        <f t="shared" si="137"/>
        <v>-</v>
      </c>
      <c r="AS85" s="85" t="str">
        <f>'Consumer Hardware Pricing'!AF93</f>
        <v>-</v>
      </c>
      <c r="AT85" s="85" t="str">
        <f t="shared" si="144"/>
        <v>-</v>
      </c>
      <c r="AU85" s="85" t="str">
        <f t="shared" si="138"/>
        <v>-</v>
      </c>
      <c r="AV85" s="85" t="str">
        <f t="shared" si="139"/>
        <v>-</v>
      </c>
      <c r="AW85" s="85" t="str">
        <f t="shared" si="140"/>
        <v>-</v>
      </c>
      <c r="AX85" s="85" t="str">
        <f>'Consumer Hardware Pricing'!AH93</f>
        <v>-</v>
      </c>
      <c r="AY85" s="85" t="str">
        <f t="shared" si="145"/>
        <v>-</v>
      </c>
      <c r="AZ85" s="85" t="str">
        <f>'Consumer Hardware Pricing'!AI93</f>
        <v>-</v>
      </c>
      <c r="BA85" s="85" t="str">
        <f t="shared" si="153"/>
        <v>-</v>
      </c>
      <c r="BB85" s="85" t="str">
        <f t="shared" si="154"/>
        <v>-</v>
      </c>
      <c r="BC85" s="85" t="str">
        <f t="shared" si="170"/>
        <v>-</v>
      </c>
      <c r="BD85" s="85">
        <f>'Consumer Hardware Pricing'!AL93</f>
        <v>0</v>
      </c>
      <c r="BE85" s="85">
        <f t="shared" si="146"/>
        <v>31.67</v>
      </c>
      <c r="BF85" s="85" t="str">
        <f>'Consumer Hardware Pricing'!AM93</f>
        <v>-</v>
      </c>
      <c r="BG85" s="85">
        <f t="shared" si="155"/>
        <v>31.67</v>
      </c>
      <c r="BH85" s="85" t="str">
        <f t="shared" si="156"/>
        <v>-</v>
      </c>
      <c r="BI85" s="85">
        <f t="shared" si="171"/>
        <v>760.08</v>
      </c>
      <c r="BJ85" s="85" t="str">
        <f>'Consumer Hardware Pricing'!AP93</f>
        <v>-</v>
      </c>
      <c r="BK85" s="85" t="str">
        <f t="shared" si="147"/>
        <v>-</v>
      </c>
      <c r="BL85" s="85" t="str">
        <f>'Consumer Hardware Pricing'!AQ93</f>
        <v>-</v>
      </c>
      <c r="BM85" s="85" t="str">
        <f t="shared" si="157"/>
        <v>-</v>
      </c>
      <c r="BN85" s="85" t="str">
        <f t="shared" si="158"/>
        <v>-</v>
      </c>
      <c r="BO85" s="85" t="str">
        <f t="shared" si="172"/>
        <v>-</v>
      </c>
      <c r="BP85" s="85" t="str">
        <f>'Consumer Hardware Pricing'!AT93</f>
        <v>-</v>
      </c>
      <c r="BQ85" s="85" t="str">
        <f t="shared" si="148"/>
        <v>-</v>
      </c>
      <c r="BR85" s="85" t="str">
        <f>'Consumer Hardware Pricing'!AU93</f>
        <v>-</v>
      </c>
      <c r="BS85" s="85" t="str">
        <f t="shared" si="159"/>
        <v>-</v>
      </c>
      <c r="BT85" s="85" t="str">
        <f t="shared" si="160"/>
        <v>-</v>
      </c>
      <c r="BU85" s="85" t="str">
        <f t="shared" si="173"/>
        <v>-</v>
      </c>
    </row>
    <row r="86" spans="1:73" ht="30.15" customHeight="1" x14ac:dyDescent="0.25">
      <c r="A86" s="86" t="s">
        <v>35</v>
      </c>
      <c r="B86" s="88" t="s">
        <v>762</v>
      </c>
      <c r="C86" s="88" t="s">
        <v>796</v>
      </c>
      <c r="D86" s="85">
        <f>'Consumer Hardware Pricing'!L94</f>
        <v>880</v>
      </c>
      <c r="E86" s="85">
        <f>'Consumer Hardware Pricing'!M94</f>
        <v>880</v>
      </c>
      <c r="F86" s="85" t="str">
        <f>'Consumer Hardware Pricing'!N94</f>
        <v>-</v>
      </c>
      <c r="G86" s="85" t="str">
        <f t="shared" si="126"/>
        <v>-</v>
      </c>
      <c r="H86" s="85" t="str">
        <f>'Consumer Hardware Pricing'!O94</f>
        <v>-</v>
      </c>
      <c r="I86" s="85" t="str">
        <f t="shared" si="149"/>
        <v>-</v>
      </c>
      <c r="J86" s="85" t="str">
        <f t="shared" si="161"/>
        <v>-</v>
      </c>
      <c r="K86" s="85" t="str">
        <f t="shared" si="162"/>
        <v>-</v>
      </c>
      <c r="L86" s="85" t="str">
        <f>'Consumer Hardware Pricing'!Q94</f>
        <v>-</v>
      </c>
      <c r="M86" s="85" t="str">
        <f t="shared" si="127"/>
        <v>-</v>
      </c>
      <c r="N86" s="85" t="str">
        <f t="shared" si="150"/>
        <v>-</v>
      </c>
      <c r="O86" s="85" t="str">
        <f t="shared" si="151"/>
        <v>-</v>
      </c>
      <c r="P86" s="85" t="str">
        <f t="shared" si="163"/>
        <v>-</v>
      </c>
      <c r="Q86" s="85" t="str">
        <f>'Consumer Hardware Pricing'!S94</f>
        <v>-</v>
      </c>
      <c r="R86" s="85" t="str">
        <f t="shared" si="152"/>
        <v>-</v>
      </c>
      <c r="S86" s="85" t="str">
        <f>'Consumer Hardware Pricing'!T94</f>
        <v>-</v>
      </c>
      <c r="T86" s="129" t="str">
        <f t="shared" si="164"/>
        <v>-</v>
      </c>
      <c r="U86" s="129" t="str">
        <f t="shared" si="165"/>
        <v>-</v>
      </c>
      <c r="V86" s="85" t="str">
        <f t="shared" si="166"/>
        <v>-</v>
      </c>
      <c r="W86" s="129" t="str">
        <f>'Consumer Hardware Pricing'!V94</f>
        <v>-</v>
      </c>
      <c r="X86" s="129" t="str">
        <f t="shared" si="128"/>
        <v>-</v>
      </c>
      <c r="Y86" s="129" t="str">
        <f t="shared" si="167"/>
        <v>-</v>
      </c>
      <c r="Z86" s="129" t="str">
        <f t="shared" si="168"/>
        <v>-</v>
      </c>
      <c r="AA86" s="85" t="str">
        <f t="shared" si="169"/>
        <v>-</v>
      </c>
      <c r="AB86" s="85" t="str">
        <f>'Consumer Hardware Pricing'!X94</f>
        <v>-</v>
      </c>
      <c r="AC86" s="85" t="str">
        <f t="shared" si="141"/>
        <v>-</v>
      </c>
      <c r="AD86" s="85" t="str">
        <f>'Consumer Hardware Pricing'!Y94</f>
        <v>-</v>
      </c>
      <c r="AE86" s="85" t="str">
        <f t="shared" si="129"/>
        <v>-</v>
      </c>
      <c r="AF86" s="85" t="str">
        <f t="shared" si="130"/>
        <v>-</v>
      </c>
      <c r="AG86" s="85" t="str">
        <f t="shared" si="131"/>
        <v>-</v>
      </c>
      <c r="AH86" s="85" t="str">
        <f>'Consumer Hardware Pricing'!AA94</f>
        <v>-</v>
      </c>
      <c r="AI86" s="85" t="str">
        <f t="shared" si="142"/>
        <v>-</v>
      </c>
      <c r="AJ86" s="85" t="str">
        <f t="shared" si="132"/>
        <v>-</v>
      </c>
      <c r="AK86" s="85" t="str">
        <f t="shared" si="133"/>
        <v>-</v>
      </c>
      <c r="AL86" s="85" t="str">
        <f t="shared" si="134"/>
        <v>-</v>
      </c>
      <c r="AM86" s="85" t="str">
        <f>'Consumer Hardware Pricing'!AC94</f>
        <v>-</v>
      </c>
      <c r="AN86" s="85" t="str">
        <f t="shared" si="143"/>
        <v>-</v>
      </c>
      <c r="AO86" s="85" t="str">
        <f>'Consumer Hardware Pricing'!AD94</f>
        <v>-</v>
      </c>
      <c r="AP86" s="85" t="str">
        <f t="shared" si="135"/>
        <v>-</v>
      </c>
      <c r="AQ86" s="85" t="str">
        <f t="shared" si="136"/>
        <v>-</v>
      </c>
      <c r="AR86" s="85" t="str">
        <f t="shared" si="137"/>
        <v>-</v>
      </c>
      <c r="AS86" s="85" t="str">
        <f>'Consumer Hardware Pricing'!AF94</f>
        <v>-</v>
      </c>
      <c r="AT86" s="85" t="str">
        <f t="shared" si="144"/>
        <v>-</v>
      </c>
      <c r="AU86" s="85" t="str">
        <f t="shared" si="138"/>
        <v>-</v>
      </c>
      <c r="AV86" s="85" t="str">
        <f t="shared" si="139"/>
        <v>-</v>
      </c>
      <c r="AW86" s="85" t="str">
        <f t="shared" si="140"/>
        <v>-</v>
      </c>
      <c r="AX86" s="85" t="str">
        <f>'Consumer Hardware Pricing'!AH94</f>
        <v>-</v>
      </c>
      <c r="AY86" s="85" t="str">
        <f t="shared" si="145"/>
        <v>-</v>
      </c>
      <c r="AZ86" s="85" t="str">
        <f>'Consumer Hardware Pricing'!AI94</f>
        <v>-</v>
      </c>
      <c r="BA86" s="85" t="str">
        <f t="shared" si="153"/>
        <v>-</v>
      </c>
      <c r="BB86" s="85" t="str">
        <f t="shared" si="154"/>
        <v>-</v>
      </c>
      <c r="BC86" s="85" t="str">
        <f t="shared" si="170"/>
        <v>-</v>
      </c>
      <c r="BD86" s="85">
        <f>'Consumer Hardware Pricing'!AL94</f>
        <v>0</v>
      </c>
      <c r="BE86" s="85">
        <f t="shared" si="146"/>
        <v>36.669999999999995</v>
      </c>
      <c r="BF86" s="85" t="str">
        <f>'Consumer Hardware Pricing'!AM94</f>
        <v>-</v>
      </c>
      <c r="BG86" s="85">
        <f t="shared" si="155"/>
        <v>36.669999999999995</v>
      </c>
      <c r="BH86" s="85" t="str">
        <f t="shared" si="156"/>
        <v>-</v>
      </c>
      <c r="BI86" s="85">
        <f t="shared" si="171"/>
        <v>880.07999999999993</v>
      </c>
      <c r="BJ86" s="85" t="str">
        <f>'Consumer Hardware Pricing'!AP94</f>
        <v>-</v>
      </c>
      <c r="BK86" s="85" t="str">
        <f t="shared" si="147"/>
        <v>-</v>
      </c>
      <c r="BL86" s="85" t="str">
        <f>'Consumer Hardware Pricing'!AQ94</f>
        <v>-</v>
      </c>
      <c r="BM86" s="85" t="str">
        <f t="shared" si="157"/>
        <v>-</v>
      </c>
      <c r="BN86" s="85" t="str">
        <f t="shared" si="158"/>
        <v>-</v>
      </c>
      <c r="BO86" s="85" t="str">
        <f t="shared" si="172"/>
        <v>-</v>
      </c>
      <c r="BP86" s="85" t="str">
        <f>'Consumer Hardware Pricing'!AT94</f>
        <v>-</v>
      </c>
      <c r="BQ86" s="85" t="str">
        <f t="shared" si="148"/>
        <v>-</v>
      </c>
      <c r="BR86" s="85" t="str">
        <f>'Consumer Hardware Pricing'!AU94</f>
        <v>-</v>
      </c>
      <c r="BS86" s="85" t="str">
        <f t="shared" si="159"/>
        <v>-</v>
      </c>
      <c r="BT86" s="85" t="str">
        <f t="shared" si="160"/>
        <v>-</v>
      </c>
      <c r="BU86" s="85" t="str">
        <f t="shared" si="173"/>
        <v>-</v>
      </c>
    </row>
    <row r="87" spans="1:73" ht="30.15" customHeight="1" x14ac:dyDescent="0.25">
      <c r="A87" s="86" t="s">
        <v>35</v>
      </c>
      <c r="B87" s="88" t="s">
        <v>763</v>
      </c>
      <c r="C87" s="88" t="s">
        <v>797</v>
      </c>
      <c r="D87" s="85">
        <f>'Consumer Hardware Pricing'!L95</f>
        <v>560</v>
      </c>
      <c r="E87" s="85">
        <f>'Consumer Hardware Pricing'!M95</f>
        <v>560</v>
      </c>
      <c r="F87" s="85" t="str">
        <f>'Consumer Hardware Pricing'!N95</f>
        <v>-</v>
      </c>
      <c r="G87" s="85" t="str">
        <f t="shared" si="126"/>
        <v>-</v>
      </c>
      <c r="H87" s="85" t="str">
        <f>'Consumer Hardware Pricing'!O95</f>
        <v>-</v>
      </c>
      <c r="I87" s="85" t="str">
        <f t="shared" si="149"/>
        <v>-</v>
      </c>
      <c r="J87" s="85" t="str">
        <f t="shared" si="161"/>
        <v>-</v>
      </c>
      <c r="K87" s="85" t="str">
        <f t="shared" si="162"/>
        <v>-</v>
      </c>
      <c r="L87" s="85" t="str">
        <f>'Consumer Hardware Pricing'!Q95</f>
        <v>-</v>
      </c>
      <c r="M87" s="85" t="str">
        <f t="shared" si="127"/>
        <v>-</v>
      </c>
      <c r="N87" s="85" t="str">
        <f t="shared" si="150"/>
        <v>-</v>
      </c>
      <c r="O87" s="85" t="str">
        <f t="shared" si="151"/>
        <v>-</v>
      </c>
      <c r="P87" s="85" t="str">
        <f t="shared" si="163"/>
        <v>-</v>
      </c>
      <c r="Q87" s="85" t="str">
        <f>'Consumer Hardware Pricing'!S95</f>
        <v>-</v>
      </c>
      <c r="R87" s="85" t="str">
        <f t="shared" si="152"/>
        <v>-</v>
      </c>
      <c r="S87" s="85" t="str">
        <f>'Consumer Hardware Pricing'!T95</f>
        <v>-</v>
      </c>
      <c r="T87" s="129" t="str">
        <f t="shared" si="164"/>
        <v>-</v>
      </c>
      <c r="U87" s="129" t="str">
        <f t="shared" si="165"/>
        <v>-</v>
      </c>
      <c r="V87" s="85" t="str">
        <f t="shared" si="166"/>
        <v>-</v>
      </c>
      <c r="W87" s="129" t="str">
        <f>'Consumer Hardware Pricing'!V95</f>
        <v>-</v>
      </c>
      <c r="X87" s="129" t="str">
        <f t="shared" si="128"/>
        <v>-</v>
      </c>
      <c r="Y87" s="129" t="str">
        <f t="shared" si="167"/>
        <v>-</v>
      </c>
      <c r="Z87" s="129" t="str">
        <f t="shared" si="168"/>
        <v>-</v>
      </c>
      <c r="AA87" s="85" t="str">
        <f t="shared" si="169"/>
        <v>-</v>
      </c>
      <c r="AB87" s="85" t="str">
        <f>'Consumer Hardware Pricing'!X95</f>
        <v>-</v>
      </c>
      <c r="AC87" s="85" t="str">
        <f t="shared" si="141"/>
        <v>-</v>
      </c>
      <c r="AD87" s="85" t="str">
        <f>'Consumer Hardware Pricing'!Y95</f>
        <v>-</v>
      </c>
      <c r="AE87" s="85" t="str">
        <f t="shared" si="129"/>
        <v>-</v>
      </c>
      <c r="AF87" s="85" t="str">
        <f t="shared" si="130"/>
        <v>-</v>
      </c>
      <c r="AG87" s="85" t="str">
        <f t="shared" si="131"/>
        <v>-</v>
      </c>
      <c r="AH87" s="85" t="str">
        <f>'Consumer Hardware Pricing'!AA95</f>
        <v>-</v>
      </c>
      <c r="AI87" s="85" t="str">
        <f t="shared" si="142"/>
        <v>-</v>
      </c>
      <c r="AJ87" s="85" t="str">
        <f t="shared" si="132"/>
        <v>-</v>
      </c>
      <c r="AK87" s="85" t="str">
        <f t="shared" si="133"/>
        <v>-</v>
      </c>
      <c r="AL87" s="85" t="str">
        <f t="shared" si="134"/>
        <v>-</v>
      </c>
      <c r="AM87" s="85" t="str">
        <f>'Consumer Hardware Pricing'!AC95</f>
        <v>-</v>
      </c>
      <c r="AN87" s="85" t="str">
        <f t="shared" si="143"/>
        <v>-</v>
      </c>
      <c r="AO87" s="85" t="str">
        <f>'Consumer Hardware Pricing'!AD95</f>
        <v>-</v>
      </c>
      <c r="AP87" s="85" t="str">
        <f t="shared" si="135"/>
        <v>-</v>
      </c>
      <c r="AQ87" s="85" t="str">
        <f t="shared" si="136"/>
        <v>-</v>
      </c>
      <c r="AR87" s="85" t="str">
        <f t="shared" si="137"/>
        <v>-</v>
      </c>
      <c r="AS87" s="85" t="str">
        <f>'Consumer Hardware Pricing'!AF95</f>
        <v>-</v>
      </c>
      <c r="AT87" s="85" t="str">
        <f t="shared" si="144"/>
        <v>-</v>
      </c>
      <c r="AU87" s="85" t="str">
        <f t="shared" si="138"/>
        <v>-</v>
      </c>
      <c r="AV87" s="85" t="str">
        <f t="shared" si="139"/>
        <v>-</v>
      </c>
      <c r="AW87" s="85" t="str">
        <f t="shared" si="140"/>
        <v>-</v>
      </c>
      <c r="AX87" s="85" t="str">
        <f>'Consumer Hardware Pricing'!AH95</f>
        <v>-</v>
      </c>
      <c r="AY87" s="85" t="str">
        <f t="shared" si="145"/>
        <v>-</v>
      </c>
      <c r="AZ87" s="85" t="str">
        <f>'Consumer Hardware Pricing'!AI95</f>
        <v>-</v>
      </c>
      <c r="BA87" s="85" t="str">
        <f t="shared" si="153"/>
        <v>-</v>
      </c>
      <c r="BB87" s="85" t="str">
        <f t="shared" si="154"/>
        <v>-</v>
      </c>
      <c r="BC87" s="85" t="str">
        <f t="shared" si="170"/>
        <v>-</v>
      </c>
      <c r="BD87" s="85">
        <f>'Consumer Hardware Pricing'!AL95</f>
        <v>0</v>
      </c>
      <c r="BE87" s="85">
        <f t="shared" si="146"/>
        <v>23.34</v>
      </c>
      <c r="BF87" s="85" t="str">
        <f>'Consumer Hardware Pricing'!AM95</f>
        <v>-</v>
      </c>
      <c r="BG87" s="85">
        <f t="shared" si="155"/>
        <v>23.34</v>
      </c>
      <c r="BH87" s="85" t="str">
        <f t="shared" si="156"/>
        <v>-</v>
      </c>
      <c r="BI87" s="85">
        <f t="shared" si="171"/>
        <v>560.16</v>
      </c>
      <c r="BJ87" s="85" t="str">
        <f>'Consumer Hardware Pricing'!AP95</f>
        <v>-</v>
      </c>
      <c r="BK87" s="85" t="str">
        <f t="shared" si="147"/>
        <v>-</v>
      </c>
      <c r="BL87" s="85" t="str">
        <f>'Consumer Hardware Pricing'!AQ95</f>
        <v>-</v>
      </c>
      <c r="BM87" s="85" t="str">
        <f t="shared" si="157"/>
        <v>-</v>
      </c>
      <c r="BN87" s="85" t="str">
        <f t="shared" si="158"/>
        <v>-</v>
      </c>
      <c r="BO87" s="85" t="str">
        <f t="shared" si="172"/>
        <v>-</v>
      </c>
      <c r="BP87" s="85" t="str">
        <f>'Consumer Hardware Pricing'!AT95</f>
        <v>-</v>
      </c>
      <c r="BQ87" s="85" t="str">
        <f t="shared" si="148"/>
        <v>-</v>
      </c>
      <c r="BR87" s="85" t="str">
        <f>'Consumer Hardware Pricing'!AU95</f>
        <v>-</v>
      </c>
      <c r="BS87" s="85" t="str">
        <f t="shared" si="159"/>
        <v>-</v>
      </c>
      <c r="BT87" s="85" t="str">
        <f t="shared" si="160"/>
        <v>-</v>
      </c>
      <c r="BU87" s="85" t="str">
        <f t="shared" si="173"/>
        <v>-</v>
      </c>
    </row>
    <row r="88" spans="1:73" ht="30.15" customHeight="1" x14ac:dyDescent="0.25">
      <c r="A88" s="86" t="s">
        <v>35</v>
      </c>
      <c r="B88" s="88" t="s">
        <v>764</v>
      </c>
      <c r="C88" s="88" t="s">
        <v>798</v>
      </c>
      <c r="D88" s="85">
        <f>'Consumer Hardware Pricing'!L96</f>
        <v>590</v>
      </c>
      <c r="E88" s="85">
        <f>'Consumer Hardware Pricing'!M96</f>
        <v>590</v>
      </c>
      <c r="F88" s="85" t="str">
        <f>'Consumer Hardware Pricing'!N96</f>
        <v>-</v>
      </c>
      <c r="G88" s="85" t="str">
        <f t="shared" si="126"/>
        <v>-</v>
      </c>
      <c r="H88" s="85" t="str">
        <f>'Consumer Hardware Pricing'!O96</f>
        <v>-</v>
      </c>
      <c r="I88" s="85" t="str">
        <f t="shared" si="149"/>
        <v>-</v>
      </c>
      <c r="J88" s="85" t="str">
        <f t="shared" si="161"/>
        <v>-</v>
      </c>
      <c r="K88" s="85" t="str">
        <f t="shared" si="162"/>
        <v>-</v>
      </c>
      <c r="L88" s="85" t="str">
        <f>'Consumer Hardware Pricing'!Q96</f>
        <v>-</v>
      </c>
      <c r="M88" s="85" t="str">
        <f t="shared" si="127"/>
        <v>-</v>
      </c>
      <c r="N88" s="85" t="str">
        <f t="shared" si="150"/>
        <v>-</v>
      </c>
      <c r="O88" s="85" t="str">
        <f t="shared" si="151"/>
        <v>-</v>
      </c>
      <c r="P88" s="85" t="str">
        <f t="shared" si="163"/>
        <v>-</v>
      </c>
      <c r="Q88" s="85" t="str">
        <f>'Consumer Hardware Pricing'!S96</f>
        <v>-</v>
      </c>
      <c r="R88" s="85" t="str">
        <f t="shared" si="152"/>
        <v>-</v>
      </c>
      <c r="S88" s="85" t="str">
        <f>'Consumer Hardware Pricing'!T96</f>
        <v>-</v>
      </c>
      <c r="T88" s="129" t="str">
        <f t="shared" si="164"/>
        <v>-</v>
      </c>
      <c r="U88" s="129" t="str">
        <f t="shared" si="165"/>
        <v>-</v>
      </c>
      <c r="V88" s="85" t="str">
        <f t="shared" si="166"/>
        <v>-</v>
      </c>
      <c r="W88" s="129" t="str">
        <f>'Consumer Hardware Pricing'!V96</f>
        <v>-</v>
      </c>
      <c r="X88" s="129" t="str">
        <f t="shared" si="128"/>
        <v>-</v>
      </c>
      <c r="Y88" s="129" t="str">
        <f t="shared" si="167"/>
        <v>-</v>
      </c>
      <c r="Z88" s="129" t="str">
        <f t="shared" si="168"/>
        <v>-</v>
      </c>
      <c r="AA88" s="85" t="str">
        <f t="shared" si="169"/>
        <v>-</v>
      </c>
      <c r="AB88" s="85" t="str">
        <f>'Consumer Hardware Pricing'!X96</f>
        <v>-</v>
      </c>
      <c r="AC88" s="85" t="str">
        <f t="shared" si="141"/>
        <v>-</v>
      </c>
      <c r="AD88" s="85" t="str">
        <f>'Consumer Hardware Pricing'!Y96</f>
        <v>-</v>
      </c>
      <c r="AE88" s="85" t="str">
        <f t="shared" si="129"/>
        <v>-</v>
      </c>
      <c r="AF88" s="85" t="str">
        <f t="shared" si="130"/>
        <v>-</v>
      </c>
      <c r="AG88" s="85" t="str">
        <f t="shared" si="131"/>
        <v>-</v>
      </c>
      <c r="AH88" s="85" t="str">
        <f>'Consumer Hardware Pricing'!AA96</f>
        <v>-</v>
      </c>
      <c r="AI88" s="85" t="str">
        <f t="shared" si="142"/>
        <v>-</v>
      </c>
      <c r="AJ88" s="85" t="str">
        <f t="shared" si="132"/>
        <v>-</v>
      </c>
      <c r="AK88" s="85" t="str">
        <f t="shared" si="133"/>
        <v>-</v>
      </c>
      <c r="AL88" s="85" t="str">
        <f t="shared" si="134"/>
        <v>-</v>
      </c>
      <c r="AM88" s="85" t="str">
        <f>'Consumer Hardware Pricing'!AC96</f>
        <v>-</v>
      </c>
      <c r="AN88" s="85" t="str">
        <f t="shared" si="143"/>
        <v>-</v>
      </c>
      <c r="AO88" s="85" t="str">
        <f>'Consumer Hardware Pricing'!AD96</f>
        <v>-</v>
      </c>
      <c r="AP88" s="85" t="str">
        <f t="shared" si="135"/>
        <v>-</v>
      </c>
      <c r="AQ88" s="85" t="str">
        <f t="shared" si="136"/>
        <v>-</v>
      </c>
      <c r="AR88" s="85" t="str">
        <f t="shared" si="137"/>
        <v>-</v>
      </c>
      <c r="AS88" s="85" t="str">
        <f>'Consumer Hardware Pricing'!AF96</f>
        <v>-</v>
      </c>
      <c r="AT88" s="85" t="str">
        <f t="shared" si="144"/>
        <v>-</v>
      </c>
      <c r="AU88" s="85" t="str">
        <f t="shared" si="138"/>
        <v>-</v>
      </c>
      <c r="AV88" s="85" t="str">
        <f t="shared" si="139"/>
        <v>-</v>
      </c>
      <c r="AW88" s="85" t="str">
        <f t="shared" si="140"/>
        <v>-</v>
      </c>
      <c r="AX88" s="85" t="str">
        <f>'Consumer Hardware Pricing'!AH96</f>
        <v>-</v>
      </c>
      <c r="AY88" s="85" t="str">
        <f t="shared" si="145"/>
        <v>-</v>
      </c>
      <c r="AZ88" s="85" t="str">
        <f>'Consumer Hardware Pricing'!AI96</f>
        <v>-</v>
      </c>
      <c r="BA88" s="85" t="str">
        <f t="shared" si="153"/>
        <v>-</v>
      </c>
      <c r="BB88" s="85" t="str">
        <f t="shared" si="154"/>
        <v>-</v>
      </c>
      <c r="BC88" s="85" t="str">
        <f t="shared" si="170"/>
        <v>-</v>
      </c>
      <c r="BD88" s="85">
        <f>'Consumer Hardware Pricing'!AL96</f>
        <v>0</v>
      </c>
      <c r="BE88" s="85">
        <f t="shared" si="146"/>
        <v>24.59</v>
      </c>
      <c r="BF88" s="85" t="str">
        <f>'Consumer Hardware Pricing'!AM96</f>
        <v>-</v>
      </c>
      <c r="BG88" s="85">
        <f t="shared" si="155"/>
        <v>24.59</v>
      </c>
      <c r="BH88" s="85" t="str">
        <f t="shared" si="156"/>
        <v>-</v>
      </c>
      <c r="BI88" s="85">
        <f t="shared" si="171"/>
        <v>590.16</v>
      </c>
      <c r="BJ88" s="85" t="str">
        <f>'Consumer Hardware Pricing'!AP96</f>
        <v>-</v>
      </c>
      <c r="BK88" s="85" t="str">
        <f t="shared" si="147"/>
        <v>-</v>
      </c>
      <c r="BL88" s="85" t="str">
        <f>'Consumer Hardware Pricing'!AQ96</f>
        <v>-</v>
      </c>
      <c r="BM88" s="85" t="str">
        <f t="shared" si="157"/>
        <v>-</v>
      </c>
      <c r="BN88" s="85" t="str">
        <f t="shared" si="158"/>
        <v>-</v>
      </c>
      <c r="BO88" s="85" t="str">
        <f t="shared" si="172"/>
        <v>-</v>
      </c>
      <c r="BP88" s="85" t="str">
        <f>'Consumer Hardware Pricing'!AT96</f>
        <v>-</v>
      </c>
      <c r="BQ88" s="85" t="str">
        <f t="shared" si="148"/>
        <v>-</v>
      </c>
      <c r="BR88" s="85" t="str">
        <f>'Consumer Hardware Pricing'!AU96</f>
        <v>-</v>
      </c>
      <c r="BS88" s="85" t="str">
        <f t="shared" si="159"/>
        <v>-</v>
      </c>
      <c r="BT88" s="85" t="str">
        <f t="shared" si="160"/>
        <v>-</v>
      </c>
      <c r="BU88" s="85" t="str">
        <f t="shared" si="173"/>
        <v>-</v>
      </c>
    </row>
    <row r="89" spans="1:73" ht="30.15" customHeight="1" x14ac:dyDescent="0.25">
      <c r="A89" s="86" t="s">
        <v>35</v>
      </c>
      <c r="B89" s="88" t="s">
        <v>765</v>
      </c>
      <c r="C89" s="88" t="s">
        <v>799</v>
      </c>
      <c r="D89" s="85">
        <f>'Consumer Hardware Pricing'!L97</f>
        <v>880</v>
      </c>
      <c r="E89" s="85">
        <f>'Consumer Hardware Pricing'!M97</f>
        <v>880</v>
      </c>
      <c r="F89" s="85" t="str">
        <f>'Consumer Hardware Pricing'!N97</f>
        <v>-</v>
      </c>
      <c r="G89" s="85" t="str">
        <f t="shared" si="126"/>
        <v>-</v>
      </c>
      <c r="H89" s="85" t="str">
        <f>'Consumer Hardware Pricing'!O97</f>
        <v>-</v>
      </c>
      <c r="I89" s="85" t="str">
        <f t="shared" si="149"/>
        <v>-</v>
      </c>
      <c r="J89" s="85" t="str">
        <f t="shared" si="161"/>
        <v>-</v>
      </c>
      <c r="K89" s="85" t="str">
        <f t="shared" si="162"/>
        <v>-</v>
      </c>
      <c r="L89" s="85" t="str">
        <f>'Consumer Hardware Pricing'!Q97</f>
        <v>-</v>
      </c>
      <c r="M89" s="85" t="str">
        <f t="shared" si="127"/>
        <v>-</v>
      </c>
      <c r="N89" s="85" t="str">
        <f t="shared" si="150"/>
        <v>-</v>
      </c>
      <c r="O89" s="85" t="str">
        <f t="shared" si="151"/>
        <v>-</v>
      </c>
      <c r="P89" s="85" t="str">
        <f t="shared" si="163"/>
        <v>-</v>
      </c>
      <c r="Q89" s="85" t="str">
        <f>'Consumer Hardware Pricing'!S97</f>
        <v>-</v>
      </c>
      <c r="R89" s="85" t="str">
        <f t="shared" si="152"/>
        <v>-</v>
      </c>
      <c r="S89" s="85" t="str">
        <f>'Consumer Hardware Pricing'!T97</f>
        <v>-</v>
      </c>
      <c r="T89" s="129" t="str">
        <f t="shared" si="164"/>
        <v>-</v>
      </c>
      <c r="U89" s="129" t="str">
        <f t="shared" si="165"/>
        <v>-</v>
      </c>
      <c r="V89" s="85" t="str">
        <f t="shared" si="166"/>
        <v>-</v>
      </c>
      <c r="W89" s="129" t="str">
        <f>'Consumer Hardware Pricing'!V97</f>
        <v>-</v>
      </c>
      <c r="X89" s="129" t="str">
        <f t="shared" si="128"/>
        <v>-</v>
      </c>
      <c r="Y89" s="129" t="str">
        <f t="shared" si="167"/>
        <v>-</v>
      </c>
      <c r="Z89" s="129" t="str">
        <f t="shared" si="168"/>
        <v>-</v>
      </c>
      <c r="AA89" s="85" t="str">
        <f t="shared" si="169"/>
        <v>-</v>
      </c>
      <c r="AB89" s="85" t="str">
        <f>'Consumer Hardware Pricing'!X97</f>
        <v>-</v>
      </c>
      <c r="AC89" s="85" t="str">
        <f t="shared" si="141"/>
        <v>-</v>
      </c>
      <c r="AD89" s="85" t="str">
        <f>'Consumer Hardware Pricing'!Y97</f>
        <v>-</v>
      </c>
      <c r="AE89" s="85" t="str">
        <f t="shared" si="129"/>
        <v>-</v>
      </c>
      <c r="AF89" s="85" t="str">
        <f t="shared" si="130"/>
        <v>-</v>
      </c>
      <c r="AG89" s="85" t="str">
        <f t="shared" si="131"/>
        <v>-</v>
      </c>
      <c r="AH89" s="85" t="str">
        <f>'Consumer Hardware Pricing'!AA97</f>
        <v>-</v>
      </c>
      <c r="AI89" s="85" t="str">
        <f t="shared" si="142"/>
        <v>-</v>
      </c>
      <c r="AJ89" s="85" t="str">
        <f t="shared" si="132"/>
        <v>-</v>
      </c>
      <c r="AK89" s="85" t="str">
        <f t="shared" si="133"/>
        <v>-</v>
      </c>
      <c r="AL89" s="85" t="str">
        <f t="shared" si="134"/>
        <v>-</v>
      </c>
      <c r="AM89" s="85" t="str">
        <f>'Consumer Hardware Pricing'!AC97</f>
        <v>-</v>
      </c>
      <c r="AN89" s="85" t="str">
        <f t="shared" si="143"/>
        <v>-</v>
      </c>
      <c r="AO89" s="85" t="str">
        <f>'Consumer Hardware Pricing'!AD97</f>
        <v>-</v>
      </c>
      <c r="AP89" s="85" t="str">
        <f t="shared" si="135"/>
        <v>-</v>
      </c>
      <c r="AQ89" s="85" t="str">
        <f t="shared" si="136"/>
        <v>-</v>
      </c>
      <c r="AR89" s="85" t="str">
        <f t="shared" si="137"/>
        <v>-</v>
      </c>
      <c r="AS89" s="85" t="str">
        <f>'Consumer Hardware Pricing'!AF97</f>
        <v>-</v>
      </c>
      <c r="AT89" s="85" t="str">
        <f t="shared" si="144"/>
        <v>-</v>
      </c>
      <c r="AU89" s="85" t="str">
        <f t="shared" si="138"/>
        <v>-</v>
      </c>
      <c r="AV89" s="85" t="str">
        <f t="shared" si="139"/>
        <v>-</v>
      </c>
      <c r="AW89" s="85" t="str">
        <f t="shared" si="140"/>
        <v>-</v>
      </c>
      <c r="AX89" s="85" t="str">
        <f>'Consumer Hardware Pricing'!AH97</f>
        <v>-</v>
      </c>
      <c r="AY89" s="85" t="str">
        <f t="shared" si="145"/>
        <v>-</v>
      </c>
      <c r="AZ89" s="85" t="str">
        <f>'Consumer Hardware Pricing'!AI97</f>
        <v>-</v>
      </c>
      <c r="BA89" s="85" t="str">
        <f t="shared" si="153"/>
        <v>-</v>
      </c>
      <c r="BB89" s="85" t="str">
        <f t="shared" si="154"/>
        <v>-</v>
      </c>
      <c r="BC89" s="85" t="str">
        <f t="shared" si="170"/>
        <v>-</v>
      </c>
      <c r="BD89" s="85">
        <f>'Consumer Hardware Pricing'!AL97</f>
        <v>0</v>
      </c>
      <c r="BE89" s="85">
        <f t="shared" si="146"/>
        <v>36.669999999999995</v>
      </c>
      <c r="BF89" s="85" t="str">
        <f>'Consumer Hardware Pricing'!AM97</f>
        <v>-</v>
      </c>
      <c r="BG89" s="85">
        <f t="shared" si="155"/>
        <v>36.669999999999995</v>
      </c>
      <c r="BH89" s="85" t="str">
        <f t="shared" si="156"/>
        <v>-</v>
      </c>
      <c r="BI89" s="85">
        <f t="shared" si="171"/>
        <v>880.07999999999993</v>
      </c>
      <c r="BJ89" s="85" t="str">
        <f>'Consumer Hardware Pricing'!AP97</f>
        <v>-</v>
      </c>
      <c r="BK89" s="85" t="str">
        <f t="shared" si="147"/>
        <v>-</v>
      </c>
      <c r="BL89" s="85" t="str">
        <f>'Consumer Hardware Pricing'!AQ97</f>
        <v>-</v>
      </c>
      <c r="BM89" s="85" t="str">
        <f t="shared" si="157"/>
        <v>-</v>
      </c>
      <c r="BN89" s="85" t="str">
        <f t="shared" si="158"/>
        <v>-</v>
      </c>
      <c r="BO89" s="85" t="str">
        <f t="shared" si="172"/>
        <v>-</v>
      </c>
      <c r="BP89" s="85" t="str">
        <f>'Consumer Hardware Pricing'!AT97</f>
        <v>-</v>
      </c>
      <c r="BQ89" s="85" t="str">
        <f t="shared" si="148"/>
        <v>-</v>
      </c>
      <c r="BR89" s="85" t="str">
        <f>'Consumer Hardware Pricing'!AU97</f>
        <v>-</v>
      </c>
      <c r="BS89" s="85" t="str">
        <f t="shared" si="159"/>
        <v>-</v>
      </c>
      <c r="BT89" s="85" t="str">
        <f t="shared" si="160"/>
        <v>-</v>
      </c>
      <c r="BU89" s="85" t="str">
        <f t="shared" si="173"/>
        <v>-</v>
      </c>
    </row>
    <row r="90" spans="1:73" ht="30.15" customHeight="1" x14ac:dyDescent="0.25">
      <c r="A90" s="86" t="s">
        <v>35</v>
      </c>
      <c r="B90" s="88" t="s">
        <v>766</v>
      </c>
      <c r="C90" s="88" t="s">
        <v>800</v>
      </c>
      <c r="D90" s="85">
        <f>'Consumer Hardware Pricing'!L98</f>
        <v>760</v>
      </c>
      <c r="E90" s="85">
        <f>'Consumer Hardware Pricing'!M98</f>
        <v>760</v>
      </c>
      <c r="F90" s="85" t="str">
        <f>'Consumer Hardware Pricing'!N98</f>
        <v>-</v>
      </c>
      <c r="G90" s="85" t="str">
        <f t="shared" si="126"/>
        <v>-</v>
      </c>
      <c r="H90" s="85" t="str">
        <f>'Consumer Hardware Pricing'!O98</f>
        <v>-</v>
      </c>
      <c r="I90" s="85" t="str">
        <f t="shared" si="149"/>
        <v>-</v>
      </c>
      <c r="J90" s="85" t="str">
        <f t="shared" si="161"/>
        <v>-</v>
      </c>
      <c r="K90" s="85" t="str">
        <f t="shared" si="162"/>
        <v>-</v>
      </c>
      <c r="L90" s="85" t="str">
        <f>'Consumer Hardware Pricing'!Q98</f>
        <v>-</v>
      </c>
      <c r="M90" s="85" t="str">
        <f t="shared" si="127"/>
        <v>-</v>
      </c>
      <c r="N90" s="85" t="str">
        <f t="shared" si="150"/>
        <v>-</v>
      </c>
      <c r="O90" s="85" t="str">
        <f t="shared" si="151"/>
        <v>-</v>
      </c>
      <c r="P90" s="85" t="str">
        <f t="shared" si="163"/>
        <v>-</v>
      </c>
      <c r="Q90" s="85" t="str">
        <f>'Consumer Hardware Pricing'!S98</f>
        <v>-</v>
      </c>
      <c r="R90" s="85" t="str">
        <f t="shared" si="152"/>
        <v>-</v>
      </c>
      <c r="S90" s="85" t="str">
        <f>'Consumer Hardware Pricing'!T98</f>
        <v>-</v>
      </c>
      <c r="T90" s="129" t="str">
        <f t="shared" si="164"/>
        <v>-</v>
      </c>
      <c r="U90" s="129" t="str">
        <f t="shared" si="165"/>
        <v>-</v>
      </c>
      <c r="V90" s="85" t="str">
        <f t="shared" si="166"/>
        <v>-</v>
      </c>
      <c r="W90" s="129" t="str">
        <f>'Consumer Hardware Pricing'!V98</f>
        <v>-</v>
      </c>
      <c r="X90" s="129" t="str">
        <f t="shared" si="128"/>
        <v>-</v>
      </c>
      <c r="Y90" s="129" t="str">
        <f t="shared" si="167"/>
        <v>-</v>
      </c>
      <c r="Z90" s="129" t="str">
        <f t="shared" si="168"/>
        <v>-</v>
      </c>
      <c r="AA90" s="85" t="str">
        <f t="shared" si="169"/>
        <v>-</v>
      </c>
      <c r="AB90" s="85" t="str">
        <f>'Consumer Hardware Pricing'!X98</f>
        <v>-</v>
      </c>
      <c r="AC90" s="85" t="str">
        <f t="shared" si="141"/>
        <v>-</v>
      </c>
      <c r="AD90" s="85" t="str">
        <f>'Consumer Hardware Pricing'!Y98</f>
        <v>-</v>
      </c>
      <c r="AE90" s="85" t="str">
        <f t="shared" si="129"/>
        <v>-</v>
      </c>
      <c r="AF90" s="85" t="str">
        <f t="shared" si="130"/>
        <v>-</v>
      </c>
      <c r="AG90" s="85" t="str">
        <f t="shared" si="131"/>
        <v>-</v>
      </c>
      <c r="AH90" s="85" t="str">
        <f>'Consumer Hardware Pricing'!AA98</f>
        <v>-</v>
      </c>
      <c r="AI90" s="85" t="str">
        <f t="shared" si="142"/>
        <v>-</v>
      </c>
      <c r="AJ90" s="85" t="str">
        <f t="shared" si="132"/>
        <v>-</v>
      </c>
      <c r="AK90" s="85" t="str">
        <f t="shared" si="133"/>
        <v>-</v>
      </c>
      <c r="AL90" s="85" t="str">
        <f t="shared" si="134"/>
        <v>-</v>
      </c>
      <c r="AM90" s="85" t="str">
        <f>'Consumer Hardware Pricing'!AC98</f>
        <v>-</v>
      </c>
      <c r="AN90" s="85" t="str">
        <f t="shared" si="143"/>
        <v>-</v>
      </c>
      <c r="AO90" s="85" t="str">
        <f>'Consumer Hardware Pricing'!AD98</f>
        <v>-</v>
      </c>
      <c r="AP90" s="85" t="str">
        <f t="shared" si="135"/>
        <v>-</v>
      </c>
      <c r="AQ90" s="85" t="str">
        <f t="shared" si="136"/>
        <v>-</v>
      </c>
      <c r="AR90" s="85" t="str">
        <f t="shared" si="137"/>
        <v>-</v>
      </c>
      <c r="AS90" s="85" t="str">
        <f>'Consumer Hardware Pricing'!AF98</f>
        <v>-</v>
      </c>
      <c r="AT90" s="85" t="str">
        <f t="shared" si="144"/>
        <v>-</v>
      </c>
      <c r="AU90" s="85" t="str">
        <f t="shared" si="138"/>
        <v>-</v>
      </c>
      <c r="AV90" s="85" t="str">
        <f t="shared" si="139"/>
        <v>-</v>
      </c>
      <c r="AW90" s="85" t="str">
        <f t="shared" si="140"/>
        <v>-</v>
      </c>
      <c r="AX90" s="85" t="str">
        <f>'Consumer Hardware Pricing'!AH98</f>
        <v>-</v>
      </c>
      <c r="AY90" s="85" t="str">
        <f t="shared" si="145"/>
        <v>-</v>
      </c>
      <c r="AZ90" s="85" t="str">
        <f>'Consumer Hardware Pricing'!AI98</f>
        <v>-</v>
      </c>
      <c r="BA90" s="85" t="str">
        <f t="shared" si="153"/>
        <v>-</v>
      </c>
      <c r="BB90" s="85" t="str">
        <f t="shared" si="154"/>
        <v>-</v>
      </c>
      <c r="BC90" s="85" t="str">
        <f t="shared" si="170"/>
        <v>-</v>
      </c>
      <c r="BD90" s="85">
        <f>'Consumer Hardware Pricing'!AL98</f>
        <v>0</v>
      </c>
      <c r="BE90" s="85">
        <f t="shared" si="146"/>
        <v>31.67</v>
      </c>
      <c r="BF90" s="85" t="str">
        <f>'Consumer Hardware Pricing'!AM98</f>
        <v>-</v>
      </c>
      <c r="BG90" s="85">
        <f t="shared" si="155"/>
        <v>31.67</v>
      </c>
      <c r="BH90" s="85" t="str">
        <f t="shared" si="156"/>
        <v>-</v>
      </c>
      <c r="BI90" s="85">
        <f t="shared" si="171"/>
        <v>760.08</v>
      </c>
      <c r="BJ90" s="85" t="str">
        <f>'Consumer Hardware Pricing'!AP98</f>
        <v>-</v>
      </c>
      <c r="BK90" s="85" t="str">
        <f t="shared" si="147"/>
        <v>-</v>
      </c>
      <c r="BL90" s="85" t="str">
        <f>'Consumer Hardware Pricing'!AQ98</f>
        <v>-</v>
      </c>
      <c r="BM90" s="85" t="str">
        <f t="shared" si="157"/>
        <v>-</v>
      </c>
      <c r="BN90" s="85" t="str">
        <f t="shared" si="158"/>
        <v>-</v>
      </c>
      <c r="BO90" s="85" t="str">
        <f t="shared" si="172"/>
        <v>-</v>
      </c>
      <c r="BP90" s="85" t="str">
        <f>'Consumer Hardware Pricing'!AT98</f>
        <v>-</v>
      </c>
      <c r="BQ90" s="85" t="str">
        <f t="shared" si="148"/>
        <v>-</v>
      </c>
      <c r="BR90" s="85" t="str">
        <f>'Consumer Hardware Pricing'!AU98</f>
        <v>-</v>
      </c>
      <c r="BS90" s="85" t="str">
        <f t="shared" si="159"/>
        <v>-</v>
      </c>
      <c r="BT90" s="85" t="str">
        <f t="shared" si="160"/>
        <v>-</v>
      </c>
      <c r="BU90" s="85" t="str">
        <f t="shared" si="173"/>
        <v>-</v>
      </c>
    </row>
    <row r="91" spans="1:73" ht="30.15" customHeight="1" x14ac:dyDescent="0.25">
      <c r="A91" s="86" t="s">
        <v>35</v>
      </c>
      <c r="B91" s="88" t="s">
        <v>767</v>
      </c>
      <c r="C91" s="88" t="s">
        <v>801</v>
      </c>
      <c r="D91" s="85">
        <f>'Consumer Hardware Pricing'!L99</f>
        <v>520</v>
      </c>
      <c r="E91" s="85">
        <f>'Consumer Hardware Pricing'!M99</f>
        <v>520</v>
      </c>
      <c r="F91" s="85" t="str">
        <f>'Consumer Hardware Pricing'!N99</f>
        <v>-</v>
      </c>
      <c r="G91" s="85" t="str">
        <f t="shared" si="126"/>
        <v>-</v>
      </c>
      <c r="H91" s="85" t="str">
        <f>'Consumer Hardware Pricing'!O99</f>
        <v>-</v>
      </c>
      <c r="I91" s="85" t="str">
        <f t="shared" si="149"/>
        <v>-</v>
      </c>
      <c r="J91" s="85" t="str">
        <f t="shared" si="161"/>
        <v>-</v>
      </c>
      <c r="K91" s="85" t="str">
        <f t="shared" si="162"/>
        <v>-</v>
      </c>
      <c r="L91" s="85" t="str">
        <f>'Consumer Hardware Pricing'!Q99</f>
        <v>-</v>
      </c>
      <c r="M91" s="85" t="str">
        <f t="shared" si="127"/>
        <v>-</v>
      </c>
      <c r="N91" s="85" t="str">
        <f t="shared" si="150"/>
        <v>-</v>
      </c>
      <c r="O91" s="85" t="str">
        <f t="shared" si="151"/>
        <v>-</v>
      </c>
      <c r="P91" s="85" t="str">
        <f t="shared" si="163"/>
        <v>-</v>
      </c>
      <c r="Q91" s="85" t="str">
        <f>'Consumer Hardware Pricing'!S99</f>
        <v>-</v>
      </c>
      <c r="R91" s="85" t="str">
        <f t="shared" si="152"/>
        <v>-</v>
      </c>
      <c r="S91" s="85" t="str">
        <f>'Consumer Hardware Pricing'!T99</f>
        <v>-</v>
      </c>
      <c r="T91" s="129" t="str">
        <f t="shared" si="164"/>
        <v>-</v>
      </c>
      <c r="U91" s="129" t="str">
        <f t="shared" si="165"/>
        <v>-</v>
      </c>
      <c r="V91" s="85" t="str">
        <f t="shared" si="166"/>
        <v>-</v>
      </c>
      <c r="W91" s="129" t="str">
        <f>'Consumer Hardware Pricing'!V99</f>
        <v>-</v>
      </c>
      <c r="X91" s="129" t="str">
        <f t="shared" si="128"/>
        <v>-</v>
      </c>
      <c r="Y91" s="129" t="str">
        <f t="shared" si="167"/>
        <v>-</v>
      </c>
      <c r="Z91" s="129" t="str">
        <f t="shared" si="168"/>
        <v>-</v>
      </c>
      <c r="AA91" s="85" t="str">
        <f t="shared" si="169"/>
        <v>-</v>
      </c>
      <c r="AB91" s="85" t="str">
        <f>'Consumer Hardware Pricing'!X99</f>
        <v>-</v>
      </c>
      <c r="AC91" s="85" t="str">
        <f t="shared" si="141"/>
        <v>-</v>
      </c>
      <c r="AD91" s="85" t="str">
        <f>'Consumer Hardware Pricing'!Y99</f>
        <v>-</v>
      </c>
      <c r="AE91" s="85" t="str">
        <f t="shared" si="129"/>
        <v>-</v>
      </c>
      <c r="AF91" s="85" t="str">
        <f t="shared" si="130"/>
        <v>-</v>
      </c>
      <c r="AG91" s="85" t="str">
        <f t="shared" si="131"/>
        <v>-</v>
      </c>
      <c r="AH91" s="85" t="str">
        <f>'Consumer Hardware Pricing'!AA99</f>
        <v>-</v>
      </c>
      <c r="AI91" s="85" t="str">
        <f t="shared" si="142"/>
        <v>-</v>
      </c>
      <c r="AJ91" s="85" t="str">
        <f t="shared" si="132"/>
        <v>-</v>
      </c>
      <c r="AK91" s="85" t="str">
        <f t="shared" si="133"/>
        <v>-</v>
      </c>
      <c r="AL91" s="85" t="str">
        <f t="shared" si="134"/>
        <v>-</v>
      </c>
      <c r="AM91" s="85" t="str">
        <f>'Consumer Hardware Pricing'!AC99</f>
        <v>-</v>
      </c>
      <c r="AN91" s="85" t="str">
        <f t="shared" si="143"/>
        <v>-</v>
      </c>
      <c r="AO91" s="85" t="str">
        <f>'Consumer Hardware Pricing'!AD99</f>
        <v>-</v>
      </c>
      <c r="AP91" s="85" t="str">
        <f t="shared" si="135"/>
        <v>-</v>
      </c>
      <c r="AQ91" s="85" t="str">
        <f t="shared" si="136"/>
        <v>-</v>
      </c>
      <c r="AR91" s="85" t="str">
        <f t="shared" si="137"/>
        <v>-</v>
      </c>
      <c r="AS91" s="85" t="str">
        <f>'Consumer Hardware Pricing'!AF99</f>
        <v>-</v>
      </c>
      <c r="AT91" s="85" t="str">
        <f t="shared" si="144"/>
        <v>-</v>
      </c>
      <c r="AU91" s="85" t="str">
        <f t="shared" si="138"/>
        <v>-</v>
      </c>
      <c r="AV91" s="85" t="str">
        <f t="shared" si="139"/>
        <v>-</v>
      </c>
      <c r="AW91" s="85" t="str">
        <f t="shared" si="140"/>
        <v>-</v>
      </c>
      <c r="AX91" s="85" t="str">
        <f>'Consumer Hardware Pricing'!AH99</f>
        <v>-</v>
      </c>
      <c r="AY91" s="85" t="str">
        <f t="shared" si="145"/>
        <v>-</v>
      </c>
      <c r="AZ91" s="85" t="str">
        <f>'Consumer Hardware Pricing'!AI99</f>
        <v>-</v>
      </c>
      <c r="BA91" s="85" t="str">
        <f t="shared" si="153"/>
        <v>-</v>
      </c>
      <c r="BB91" s="85" t="str">
        <f t="shared" si="154"/>
        <v>-</v>
      </c>
      <c r="BC91" s="85" t="str">
        <f t="shared" si="170"/>
        <v>-</v>
      </c>
      <c r="BD91" s="85">
        <f>'Consumer Hardware Pricing'!AL99</f>
        <v>0</v>
      </c>
      <c r="BE91" s="85">
        <f t="shared" si="146"/>
        <v>21.67</v>
      </c>
      <c r="BF91" s="85" t="str">
        <f>'Consumer Hardware Pricing'!AM99</f>
        <v>-</v>
      </c>
      <c r="BG91" s="85">
        <f t="shared" si="155"/>
        <v>21.67</v>
      </c>
      <c r="BH91" s="85" t="str">
        <f t="shared" si="156"/>
        <v>-</v>
      </c>
      <c r="BI91" s="85">
        <f t="shared" si="171"/>
        <v>520.08000000000004</v>
      </c>
      <c r="BJ91" s="85" t="str">
        <f>'Consumer Hardware Pricing'!AP99</f>
        <v>-</v>
      </c>
      <c r="BK91" s="85" t="str">
        <f t="shared" si="147"/>
        <v>-</v>
      </c>
      <c r="BL91" s="85" t="str">
        <f>'Consumer Hardware Pricing'!AQ99</f>
        <v>-</v>
      </c>
      <c r="BM91" s="85" t="str">
        <f t="shared" si="157"/>
        <v>-</v>
      </c>
      <c r="BN91" s="85" t="str">
        <f t="shared" si="158"/>
        <v>-</v>
      </c>
      <c r="BO91" s="85" t="str">
        <f t="shared" si="172"/>
        <v>-</v>
      </c>
      <c r="BP91" s="85" t="str">
        <f>'Consumer Hardware Pricing'!AT99</f>
        <v>-</v>
      </c>
      <c r="BQ91" s="85" t="str">
        <f t="shared" si="148"/>
        <v>-</v>
      </c>
      <c r="BR91" s="85" t="str">
        <f>'Consumer Hardware Pricing'!AU99</f>
        <v>-</v>
      </c>
      <c r="BS91" s="85" t="str">
        <f t="shared" si="159"/>
        <v>-</v>
      </c>
      <c r="BT91" s="85" t="str">
        <f t="shared" si="160"/>
        <v>-</v>
      </c>
      <c r="BU91" s="85" t="str">
        <f t="shared" si="173"/>
        <v>-</v>
      </c>
    </row>
    <row r="92" spans="1:73" ht="30.15" customHeight="1" x14ac:dyDescent="0.25">
      <c r="A92" s="86" t="s">
        <v>35</v>
      </c>
      <c r="B92" s="88" t="s">
        <v>768</v>
      </c>
      <c r="C92" s="88" t="s">
        <v>802</v>
      </c>
      <c r="D92" s="85">
        <f>'Consumer Hardware Pricing'!L100</f>
        <v>520</v>
      </c>
      <c r="E92" s="85">
        <f>'Consumer Hardware Pricing'!M100</f>
        <v>520</v>
      </c>
      <c r="F92" s="85" t="str">
        <f>'Consumer Hardware Pricing'!N100</f>
        <v>-</v>
      </c>
      <c r="G92" s="85" t="str">
        <f t="shared" ref="G92:G131" si="174">IF(F92="-","-",ROUNDUP(D92/24,2))</f>
        <v>-</v>
      </c>
      <c r="H92" s="85" t="str">
        <f>'Consumer Hardware Pricing'!O100</f>
        <v>-</v>
      </c>
      <c r="I92" s="85" t="str">
        <f t="shared" si="149"/>
        <v>-</v>
      </c>
      <c r="J92" s="85" t="str">
        <f t="shared" si="161"/>
        <v>-</v>
      </c>
      <c r="K92" s="85" t="str">
        <f t="shared" si="162"/>
        <v>-</v>
      </c>
      <c r="L92" s="85" t="str">
        <f>'Consumer Hardware Pricing'!Q100</f>
        <v>-</v>
      </c>
      <c r="M92" s="85" t="str">
        <f t="shared" ref="M92:M131" si="175">IF(L92="-",L92,IF(H92="-",G92-ROUNDUP((D92-L92)/24,2),H92+G92-ROUNDUP((D92-L92)/24,2)))</f>
        <v>-</v>
      </c>
      <c r="N92" s="85" t="str">
        <f t="shared" si="150"/>
        <v>-</v>
      </c>
      <c r="O92" s="85" t="str">
        <f t="shared" si="151"/>
        <v>-</v>
      </c>
      <c r="P92" s="85" t="str">
        <f t="shared" si="163"/>
        <v>-</v>
      </c>
      <c r="Q92" s="85" t="str">
        <f>'Consumer Hardware Pricing'!S100</f>
        <v>-</v>
      </c>
      <c r="R92" s="85" t="str">
        <f t="shared" si="152"/>
        <v>-</v>
      </c>
      <c r="S92" s="85" t="str">
        <f>'Consumer Hardware Pricing'!T100</f>
        <v>-</v>
      </c>
      <c r="T92" s="129" t="str">
        <f t="shared" si="164"/>
        <v>-</v>
      </c>
      <c r="U92" s="129" t="str">
        <f t="shared" si="165"/>
        <v>-</v>
      </c>
      <c r="V92" s="85" t="str">
        <f t="shared" si="166"/>
        <v>-</v>
      </c>
      <c r="W92" s="129" t="str">
        <f>'Consumer Hardware Pricing'!V100</f>
        <v>-</v>
      </c>
      <c r="X92" s="129" t="str">
        <f t="shared" ref="X92:X131" si="176">IF(W92="-",W92,IF(S92="-",R92-ROUNDUP((D92-W92)/24,2),S92+R92-ROUNDUP((D92-W92)/24,2)))</f>
        <v>-</v>
      </c>
      <c r="Y92" s="129" t="str">
        <f t="shared" si="167"/>
        <v>-</v>
      </c>
      <c r="Z92" s="129" t="str">
        <f t="shared" si="168"/>
        <v>-</v>
      </c>
      <c r="AA92" s="85" t="str">
        <f t="shared" si="169"/>
        <v>-</v>
      </c>
      <c r="AB92" s="85" t="str">
        <f>'Consumer Hardware Pricing'!X100</f>
        <v>-</v>
      </c>
      <c r="AC92" s="85" t="str">
        <f t="shared" si="141"/>
        <v>-</v>
      </c>
      <c r="AD92" s="85" t="str">
        <f>'Consumer Hardware Pricing'!Y100</f>
        <v>-</v>
      </c>
      <c r="AE92" s="85" t="str">
        <f t="shared" si="129"/>
        <v>-</v>
      </c>
      <c r="AF92" s="85" t="str">
        <f t="shared" si="130"/>
        <v>-</v>
      </c>
      <c r="AG92" s="85" t="str">
        <f t="shared" si="131"/>
        <v>-</v>
      </c>
      <c r="AH92" s="85" t="str">
        <f>'Consumer Hardware Pricing'!AA100</f>
        <v>-</v>
      </c>
      <c r="AI92" s="85" t="str">
        <f t="shared" si="142"/>
        <v>-</v>
      </c>
      <c r="AJ92" s="85" t="str">
        <f t="shared" si="132"/>
        <v>-</v>
      </c>
      <c r="AK92" s="85" t="str">
        <f t="shared" si="133"/>
        <v>-</v>
      </c>
      <c r="AL92" s="85" t="str">
        <f t="shared" si="134"/>
        <v>-</v>
      </c>
      <c r="AM92" s="85" t="str">
        <f>'Consumer Hardware Pricing'!AC100</f>
        <v>-</v>
      </c>
      <c r="AN92" s="85" t="str">
        <f t="shared" si="143"/>
        <v>-</v>
      </c>
      <c r="AO92" s="85" t="str">
        <f>'Consumer Hardware Pricing'!AD100</f>
        <v>-</v>
      </c>
      <c r="AP92" s="85" t="str">
        <f t="shared" si="135"/>
        <v>-</v>
      </c>
      <c r="AQ92" s="85" t="str">
        <f t="shared" si="136"/>
        <v>-</v>
      </c>
      <c r="AR92" s="85" t="str">
        <f t="shared" si="137"/>
        <v>-</v>
      </c>
      <c r="AS92" s="85" t="str">
        <f>'Consumer Hardware Pricing'!AF100</f>
        <v>-</v>
      </c>
      <c r="AT92" s="85" t="str">
        <f t="shared" si="144"/>
        <v>-</v>
      </c>
      <c r="AU92" s="85" t="str">
        <f t="shared" si="138"/>
        <v>-</v>
      </c>
      <c r="AV92" s="85" t="str">
        <f t="shared" si="139"/>
        <v>-</v>
      </c>
      <c r="AW92" s="85" t="str">
        <f t="shared" si="140"/>
        <v>-</v>
      </c>
      <c r="AX92" s="85" t="str">
        <f>'Consumer Hardware Pricing'!AH100</f>
        <v>-</v>
      </c>
      <c r="AY92" s="85" t="str">
        <f t="shared" si="145"/>
        <v>-</v>
      </c>
      <c r="AZ92" s="85" t="str">
        <f>'Consumer Hardware Pricing'!AI100</f>
        <v>-</v>
      </c>
      <c r="BA92" s="85" t="str">
        <f t="shared" si="153"/>
        <v>-</v>
      </c>
      <c r="BB92" s="85" t="str">
        <f t="shared" si="154"/>
        <v>-</v>
      </c>
      <c r="BC92" s="85" t="str">
        <f t="shared" si="170"/>
        <v>-</v>
      </c>
      <c r="BD92" s="85">
        <f>'Consumer Hardware Pricing'!AL100</f>
        <v>0</v>
      </c>
      <c r="BE92" s="85">
        <f t="shared" si="146"/>
        <v>21.67</v>
      </c>
      <c r="BF92" s="85" t="str">
        <f>'Consumer Hardware Pricing'!AM100</f>
        <v>-</v>
      </c>
      <c r="BG92" s="85">
        <f t="shared" si="155"/>
        <v>21.67</v>
      </c>
      <c r="BH92" s="85" t="str">
        <f t="shared" si="156"/>
        <v>-</v>
      </c>
      <c r="BI92" s="85">
        <f t="shared" si="171"/>
        <v>520.08000000000004</v>
      </c>
      <c r="BJ92" s="85" t="str">
        <f>'Consumer Hardware Pricing'!AP100</f>
        <v>-</v>
      </c>
      <c r="BK92" s="85" t="str">
        <f t="shared" si="147"/>
        <v>-</v>
      </c>
      <c r="BL92" s="85" t="str">
        <f>'Consumer Hardware Pricing'!AQ100</f>
        <v>-</v>
      </c>
      <c r="BM92" s="85" t="str">
        <f t="shared" si="157"/>
        <v>-</v>
      </c>
      <c r="BN92" s="85" t="str">
        <f t="shared" si="158"/>
        <v>-</v>
      </c>
      <c r="BO92" s="85" t="str">
        <f t="shared" si="172"/>
        <v>-</v>
      </c>
      <c r="BP92" s="85" t="str">
        <f>'Consumer Hardware Pricing'!AT100</f>
        <v>-</v>
      </c>
      <c r="BQ92" s="85" t="str">
        <f t="shared" si="148"/>
        <v>-</v>
      </c>
      <c r="BR92" s="85" t="str">
        <f>'Consumer Hardware Pricing'!AU100</f>
        <v>-</v>
      </c>
      <c r="BS92" s="85" t="str">
        <f t="shared" si="159"/>
        <v>-</v>
      </c>
      <c r="BT92" s="85" t="str">
        <f t="shared" si="160"/>
        <v>-</v>
      </c>
      <c r="BU92" s="85" t="str">
        <f t="shared" si="173"/>
        <v>-</v>
      </c>
    </row>
    <row r="93" spans="1:73" ht="30.15" customHeight="1" x14ac:dyDescent="0.25">
      <c r="A93" s="86" t="s">
        <v>35</v>
      </c>
      <c r="B93" s="88" t="s">
        <v>769</v>
      </c>
      <c r="C93" s="88" t="s">
        <v>803</v>
      </c>
      <c r="D93" s="85">
        <f>'Consumer Hardware Pricing'!L101</f>
        <v>560</v>
      </c>
      <c r="E93" s="85">
        <f>'Consumer Hardware Pricing'!M101</f>
        <v>560</v>
      </c>
      <c r="F93" s="85" t="str">
        <f>'Consumer Hardware Pricing'!N101</f>
        <v>-</v>
      </c>
      <c r="G93" s="85" t="str">
        <f t="shared" si="174"/>
        <v>-</v>
      </c>
      <c r="H93" s="85" t="str">
        <f>'Consumer Hardware Pricing'!O101</f>
        <v>-</v>
      </c>
      <c r="I93" s="85" t="str">
        <f t="shared" si="149"/>
        <v>-</v>
      </c>
      <c r="J93" s="85" t="str">
        <f t="shared" si="161"/>
        <v>-</v>
      </c>
      <c r="K93" s="85" t="str">
        <f t="shared" si="162"/>
        <v>-</v>
      </c>
      <c r="L93" s="85" t="str">
        <f>'Consumer Hardware Pricing'!Q101</f>
        <v>-</v>
      </c>
      <c r="M93" s="85" t="str">
        <f t="shared" si="175"/>
        <v>-</v>
      </c>
      <c r="N93" s="85" t="str">
        <f t="shared" si="150"/>
        <v>-</v>
      </c>
      <c r="O93" s="85" t="str">
        <f t="shared" si="151"/>
        <v>-</v>
      </c>
      <c r="P93" s="85" t="str">
        <f t="shared" si="163"/>
        <v>-</v>
      </c>
      <c r="Q93" s="85" t="str">
        <f>'Consumer Hardware Pricing'!S101</f>
        <v>-</v>
      </c>
      <c r="R93" s="85" t="str">
        <f t="shared" si="152"/>
        <v>-</v>
      </c>
      <c r="S93" s="85" t="str">
        <f>'Consumer Hardware Pricing'!T101</f>
        <v>-</v>
      </c>
      <c r="T93" s="129" t="str">
        <f t="shared" si="164"/>
        <v>-</v>
      </c>
      <c r="U93" s="129" t="str">
        <f t="shared" si="165"/>
        <v>-</v>
      </c>
      <c r="V93" s="85" t="str">
        <f t="shared" si="166"/>
        <v>-</v>
      </c>
      <c r="W93" s="129" t="str">
        <f>'Consumer Hardware Pricing'!V101</f>
        <v>-</v>
      </c>
      <c r="X93" s="129" t="str">
        <f t="shared" si="176"/>
        <v>-</v>
      </c>
      <c r="Y93" s="129" t="str">
        <f t="shared" si="167"/>
        <v>-</v>
      </c>
      <c r="Z93" s="129" t="str">
        <f t="shared" si="168"/>
        <v>-</v>
      </c>
      <c r="AA93" s="85" t="str">
        <f t="shared" si="169"/>
        <v>-</v>
      </c>
      <c r="AB93" s="85" t="str">
        <f>'Consumer Hardware Pricing'!X101</f>
        <v>-</v>
      </c>
      <c r="AC93" s="85" t="str">
        <f t="shared" si="141"/>
        <v>-</v>
      </c>
      <c r="AD93" s="85" t="str">
        <f>'Consumer Hardware Pricing'!Y101</f>
        <v>-</v>
      </c>
      <c r="AE93" s="85" t="str">
        <f t="shared" ref="AE93:AE151" si="177">IF(AD93="-",AC93,AC93-AD93)</f>
        <v>-</v>
      </c>
      <c r="AF93" s="85" t="str">
        <f t="shared" ref="AF93:AF151" si="178">IF(AD93="-",AD93,AD93*24)</f>
        <v>-</v>
      </c>
      <c r="AG93" s="85" t="str">
        <f t="shared" ref="AG93:AG151" si="179">IF(AB93="-",AB93,AE93*24)</f>
        <v>-</v>
      </c>
      <c r="AH93" s="85" t="str">
        <f>'Consumer Hardware Pricing'!AA101</f>
        <v>-</v>
      </c>
      <c r="AI93" s="85" t="str">
        <f t="shared" si="142"/>
        <v>-</v>
      </c>
      <c r="AJ93" s="85" t="str">
        <f t="shared" ref="AJ93:AJ151" si="180">IF(AH93="-",AH93,AC93-AI93)</f>
        <v>-</v>
      </c>
      <c r="AK93" s="85" t="str">
        <f t="shared" ref="AK93:AK151" si="181">IF(AH93="-",AH93,AI93*24)</f>
        <v>-</v>
      </c>
      <c r="AL93" s="85" t="str">
        <f t="shared" ref="AL93:AL151" si="182">IF(AH93="-",AH93,AJ93*24)</f>
        <v>-</v>
      </c>
      <c r="AM93" s="85" t="str">
        <f>'Consumer Hardware Pricing'!AC101</f>
        <v>-</v>
      </c>
      <c r="AN93" s="85" t="str">
        <f t="shared" si="143"/>
        <v>-</v>
      </c>
      <c r="AO93" s="85" t="str">
        <f>'Consumer Hardware Pricing'!AD101</f>
        <v>-</v>
      </c>
      <c r="AP93" s="85" t="str">
        <f t="shared" ref="AP93:AP151" si="183">IF(AO93="-",AN93,AN93-AO93)</f>
        <v>-</v>
      </c>
      <c r="AQ93" s="85" t="str">
        <f t="shared" ref="AQ93:AQ151" si="184">IF(AO93="-",AO93,AO93*24)</f>
        <v>-</v>
      </c>
      <c r="AR93" s="85" t="str">
        <f t="shared" ref="AR93:AR151" si="185">IF(AM93="-",AM93,AP93*24)</f>
        <v>-</v>
      </c>
      <c r="AS93" s="85" t="str">
        <f>'Consumer Hardware Pricing'!AF101</f>
        <v>-</v>
      </c>
      <c r="AT93" s="85" t="str">
        <f t="shared" si="144"/>
        <v>-</v>
      </c>
      <c r="AU93" s="85" t="str">
        <f t="shared" ref="AU93:AU151" si="186">IF(AS93="-",AS93,AN93-AT93)</f>
        <v>-</v>
      </c>
      <c r="AV93" s="85" t="str">
        <f t="shared" ref="AV93:AV151" si="187">IF(AS93="-",AS93,AT93*24)</f>
        <v>-</v>
      </c>
      <c r="AW93" s="85" t="str">
        <f t="shared" ref="AW93:AW151" si="188">IF(AS93="-",AS93,AU93*24)</f>
        <v>-</v>
      </c>
      <c r="AX93" s="85" t="str">
        <f>'Consumer Hardware Pricing'!AH101</f>
        <v>-</v>
      </c>
      <c r="AY93" s="85" t="str">
        <f t="shared" si="145"/>
        <v>-</v>
      </c>
      <c r="AZ93" s="85" t="str">
        <f>'Consumer Hardware Pricing'!AI101</f>
        <v>-</v>
      </c>
      <c r="BA93" s="85" t="str">
        <f t="shared" si="153"/>
        <v>-</v>
      </c>
      <c r="BB93" s="85" t="str">
        <f t="shared" si="154"/>
        <v>-</v>
      </c>
      <c r="BC93" s="85" t="str">
        <f t="shared" si="170"/>
        <v>-</v>
      </c>
      <c r="BD93" s="85">
        <f>'Consumer Hardware Pricing'!AL101</f>
        <v>0</v>
      </c>
      <c r="BE93" s="85">
        <f t="shared" si="146"/>
        <v>23.34</v>
      </c>
      <c r="BF93" s="85" t="str">
        <f>'Consumer Hardware Pricing'!AM101</f>
        <v>-</v>
      </c>
      <c r="BG93" s="85">
        <f t="shared" si="155"/>
        <v>23.34</v>
      </c>
      <c r="BH93" s="85" t="str">
        <f t="shared" si="156"/>
        <v>-</v>
      </c>
      <c r="BI93" s="85">
        <f t="shared" si="171"/>
        <v>560.16</v>
      </c>
      <c r="BJ93" s="85" t="str">
        <f>'Consumer Hardware Pricing'!AP101</f>
        <v>-</v>
      </c>
      <c r="BK93" s="85" t="str">
        <f t="shared" si="147"/>
        <v>-</v>
      </c>
      <c r="BL93" s="85" t="str">
        <f>'Consumer Hardware Pricing'!AQ101</f>
        <v>-</v>
      </c>
      <c r="BM93" s="85" t="str">
        <f t="shared" si="157"/>
        <v>-</v>
      </c>
      <c r="BN93" s="85" t="str">
        <f t="shared" si="158"/>
        <v>-</v>
      </c>
      <c r="BO93" s="85" t="str">
        <f t="shared" si="172"/>
        <v>-</v>
      </c>
      <c r="BP93" s="85" t="str">
        <f>'Consumer Hardware Pricing'!AT101</f>
        <v>-</v>
      </c>
      <c r="BQ93" s="85" t="str">
        <f t="shared" si="148"/>
        <v>-</v>
      </c>
      <c r="BR93" s="85" t="str">
        <f>'Consumer Hardware Pricing'!AU101</f>
        <v>-</v>
      </c>
      <c r="BS93" s="85" t="str">
        <f t="shared" si="159"/>
        <v>-</v>
      </c>
      <c r="BT93" s="85" t="str">
        <f t="shared" si="160"/>
        <v>-</v>
      </c>
      <c r="BU93" s="85" t="str">
        <f t="shared" si="173"/>
        <v>-</v>
      </c>
    </row>
    <row r="94" spans="1:73" ht="30.15" customHeight="1" x14ac:dyDescent="0.25">
      <c r="A94" s="86" t="s">
        <v>35</v>
      </c>
      <c r="B94" s="88" t="s">
        <v>770</v>
      </c>
      <c r="C94" s="88" t="s">
        <v>804</v>
      </c>
      <c r="D94" s="85">
        <f>'Consumer Hardware Pricing'!L102</f>
        <v>520</v>
      </c>
      <c r="E94" s="85">
        <f>'Consumer Hardware Pricing'!M102</f>
        <v>520</v>
      </c>
      <c r="F94" s="85" t="str">
        <f>'Consumer Hardware Pricing'!N102</f>
        <v>-</v>
      </c>
      <c r="G94" s="85" t="str">
        <f t="shared" si="174"/>
        <v>-</v>
      </c>
      <c r="H94" s="85" t="str">
        <f>'Consumer Hardware Pricing'!O102</f>
        <v>-</v>
      </c>
      <c r="I94" s="85" t="str">
        <f t="shared" si="149"/>
        <v>-</v>
      </c>
      <c r="J94" s="85" t="str">
        <f t="shared" si="161"/>
        <v>-</v>
      </c>
      <c r="K94" s="85" t="str">
        <f t="shared" si="162"/>
        <v>-</v>
      </c>
      <c r="L94" s="85" t="str">
        <f>'Consumer Hardware Pricing'!Q102</f>
        <v>-</v>
      </c>
      <c r="M94" s="85" t="str">
        <f t="shared" si="175"/>
        <v>-</v>
      </c>
      <c r="N94" s="85" t="str">
        <f t="shared" si="150"/>
        <v>-</v>
      </c>
      <c r="O94" s="85" t="str">
        <f t="shared" si="151"/>
        <v>-</v>
      </c>
      <c r="P94" s="85" t="str">
        <f t="shared" si="163"/>
        <v>-</v>
      </c>
      <c r="Q94" s="85" t="str">
        <f>'Consumer Hardware Pricing'!S102</f>
        <v>-</v>
      </c>
      <c r="R94" s="85" t="str">
        <f t="shared" si="152"/>
        <v>-</v>
      </c>
      <c r="S94" s="85" t="str">
        <f>'Consumer Hardware Pricing'!T102</f>
        <v>-</v>
      </c>
      <c r="T94" s="129" t="str">
        <f t="shared" si="164"/>
        <v>-</v>
      </c>
      <c r="U94" s="129" t="str">
        <f t="shared" si="165"/>
        <v>-</v>
      </c>
      <c r="V94" s="85" t="str">
        <f t="shared" si="166"/>
        <v>-</v>
      </c>
      <c r="W94" s="129" t="str">
        <f>'Consumer Hardware Pricing'!V102</f>
        <v>-</v>
      </c>
      <c r="X94" s="129" t="str">
        <f t="shared" si="176"/>
        <v>-</v>
      </c>
      <c r="Y94" s="129" t="str">
        <f t="shared" si="167"/>
        <v>-</v>
      </c>
      <c r="Z94" s="129" t="str">
        <f t="shared" si="168"/>
        <v>-</v>
      </c>
      <c r="AA94" s="85" t="str">
        <f t="shared" si="169"/>
        <v>-</v>
      </c>
      <c r="AB94" s="85" t="str">
        <f>'Consumer Hardware Pricing'!X102</f>
        <v>-</v>
      </c>
      <c r="AC94" s="85" t="str">
        <f t="shared" si="141"/>
        <v>-</v>
      </c>
      <c r="AD94" s="85" t="str">
        <f>'Consumer Hardware Pricing'!Y102</f>
        <v>-</v>
      </c>
      <c r="AE94" s="85" t="str">
        <f t="shared" si="177"/>
        <v>-</v>
      </c>
      <c r="AF94" s="85" t="str">
        <f t="shared" si="178"/>
        <v>-</v>
      </c>
      <c r="AG94" s="85" t="str">
        <f t="shared" si="179"/>
        <v>-</v>
      </c>
      <c r="AH94" s="85" t="str">
        <f>'Consumer Hardware Pricing'!AA102</f>
        <v>-</v>
      </c>
      <c r="AI94" s="85" t="str">
        <f t="shared" si="142"/>
        <v>-</v>
      </c>
      <c r="AJ94" s="85" t="str">
        <f t="shared" si="180"/>
        <v>-</v>
      </c>
      <c r="AK94" s="85" t="str">
        <f t="shared" si="181"/>
        <v>-</v>
      </c>
      <c r="AL94" s="85" t="str">
        <f t="shared" si="182"/>
        <v>-</v>
      </c>
      <c r="AM94" s="85" t="str">
        <f>'Consumer Hardware Pricing'!AC102</f>
        <v>-</v>
      </c>
      <c r="AN94" s="85" t="str">
        <f t="shared" si="143"/>
        <v>-</v>
      </c>
      <c r="AO94" s="85" t="str">
        <f>'Consumer Hardware Pricing'!AD102</f>
        <v>-</v>
      </c>
      <c r="AP94" s="85" t="str">
        <f t="shared" si="183"/>
        <v>-</v>
      </c>
      <c r="AQ94" s="85" t="str">
        <f t="shared" si="184"/>
        <v>-</v>
      </c>
      <c r="AR94" s="85" t="str">
        <f t="shared" si="185"/>
        <v>-</v>
      </c>
      <c r="AS94" s="85" t="str">
        <f>'Consumer Hardware Pricing'!AF102</f>
        <v>-</v>
      </c>
      <c r="AT94" s="85" t="str">
        <f t="shared" si="144"/>
        <v>-</v>
      </c>
      <c r="AU94" s="85" t="str">
        <f t="shared" si="186"/>
        <v>-</v>
      </c>
      <c r="AV94" s="85" t="str">
        <f t="shared" si="187"/>
        <v>-</v>
      </c>
      <c r="AW94" s="85" t="str">
        <f t="shared" si="188"/>
        <v>-</v>
      </c>
      <c r="AX94" s="85" t="str">
        <f>'Consumer Hardware Pricing'!AH102</f>
        <v>-</v>
      </c>
      <c r="AY94" s="85" t="str">
        <f t="shared" si="145"/>
        <v>-</v>
      </c>
      <c r="AZ94" s="85" t="str">
        <f>'Consumer Hardware Pricing'!AI102</f>
        <v>-</v>
      </c>
      <c r="BA94" s="85" t="str">
        <f t="shared" si="153"/>
        <v>-</v>
      </c>
      <c r="BB94" s="85" t="str">
        <f t="shared" si="154"/>
        <v>-</v>
      </c>
      <c r="BC94" s="85" t="str">
        <f t="shared" si="170"/>
        <v>-</v>
      </c>
      <c r="BD94" s="85">
        <f>'Consumer Hardware Pricing'!AL102</f>
        <v>0</v>
      </c>
      <c r="BE94" s="85">
        <f t="shared" si="146"/>
        <v>21.67</v>
      </c>
      <c r="BF94" s="85" t="str">
        <f>'Consumer Hardware Pricing'!AM102</f>
        <v>-</v>
      </c>
      <c r="BG94" s="85">
        <f t="shared" si="155"/>
        <v>21.67</v>
      </c>
      <c r="BH94" s="85" t="str">
        <f t="shared" si="156"/>
        <v>-</v>
      </c>
      <c r="BI94" s="85">
        <f t="shared" si="171"/>
        <v>520.08000000000004</v>
      </c>
      <c r="BJ94" s="85" t="str">
        <f>'Consumer Hardware Pricing'!AP102</f>
        <v>-</v>
      </c>
      <c r="BK94" s="85" t="str">
        <f t="shared" si="147"/>
        <v>-</v>
      </c>
      <c r="BL94" s="85" t="str">
        <f>'Consumer Hardware Pricing'!AQ102</f>
        <v>-</v>
      </c>
      <c r="BM94" s="85" t="str">
        <f t="shared" si="157"/>
        <v>-</v>
      </c>
      <c r="BN94" s="85" t="str">
        <f t="shared" si="158"/>
        <v>-</v>
      </c>
      <c r="BO94" s="85" t="str">
        <f t="shared" si="172"/>
        <v>-</v>
      </c>
      <c r="BP94" s="85" t="str">
        <f>'Consumer Hardware Pricing'!AT102</f>
        <v>-</v>
      </c>
      <c r="BQ94" s="85" t="str">
        <f t="shared" si="148"/>
        <v>-</v>
      </c>
      <c r="BR94" s="85" t="str">
        <f>'Consumer Hardware Pricing'!AU102</f>
        <v>-</v>
      </c>
      <c r="BS94" s="85" t="str">
        <f t="shared" si="159"/>
        <v>-</v>
      </c>
      <c r="BT94" s="85" t="str">
        <f t="shared" si="160"/>
        <v>-</v>
      </c>
      <c r="BU94" s="85" t="str">
        <f t="shared" si="173"/>
        <v>-</v>
      </c>
    </row>
    <row r="95" spans="1:73" ht="30.15" customHeight="1" x14ac:dyDescent="0.25">
      <c r="A95" s="86" t="s">
        <v>35</v>
      </c>
      <c r="B95" s="88" t="s">
        <v>771</v>
      </c>
      <c r="C95" s="88" t="s">
        <v>805</v>
      </c>
      <c r="D95" s="85">
        <f>'Consumer Hardware Pricing'!L103</f>
        <v>560</v>
      </c>
      <c r="E95" s="85">
        <f>'Consumer Hardware Pricing'!M103</f>
        <v>560</v>
      </c>
      <c r="F95" s="85" t="str">
        <f>'Consumer Hardware Pricing'!N103</f>
        <v>-</v>
      </c>
      <c r="G95" s="85" t="str">
        <f t="shared" si="174"/>
        <v>-</v>
      </c>
      <c r="H95" s="85" t="str">
        <f>'Consumer Hardware Pricing'!O103</f>
        <v>-</v>
      </c>
      <c r="I95" s="85" t="str">
        <f t="shared" si="149"/>
        <v>-</v>
      </c>
      <c r="J95" s="85" t="str">
        <f t="shared" si="161"/>
        <v>-</v>
      </c>
      <c r="K95" s="85" t="str">
        <f t="shared" si="162"/>
        <v>-</v>
      </c>
      <c r="L95" s="85" t="str">
        <f>'Consumer Hardware Pricing'!Q103</f>
        <v>-</v>
      </c>
      <c r="M95" s="85" t="str">
        <f t="shared" si="175"/>
        <v>-</v>
      </c>
      <c r="N95" s="85" t="str">
        <f t="shared" si="150"/>
        <v>-</v>
      </c>
      <c r="O95" s="85" t="str">
        <f t="shared" si="151"/>
        <v>-</v>
      </c>
      <c r="P95" s="85" t="str">
        <f t="shared" si="163"/>
        <v>-</v>
      </c>
      <c r="Q95" s="85" t="str">
        <f>'Consumer Hardware Pricing'!S103</f>
        <v>-</v>
      </c>
      <c r="R95" s="85" t="str">
        <f t="shared" si="152"/>
        <v>-</v>
      </c>
      <c r="S95" s="85" t="str">
        <f>'Consumer Hardware Pricing'!T103</f>
        <v>-</v>
      </c>
      <c r="T95" s="129" t="str">
        <f t="shared" si="164"/>
        <v>-</v>
      </c>
      <c r="U95" s="129" t="str">
        <f t="shared" si="165"/>
        <v>-</v>
      </c>
      <c r="V95" s="85" t="str">
        <f t="shared" si="166"/>
        <v>-</v>
      </c>
      <c r="W95" s="129" t="str">
        <f>'Consumer Hardware Pricing'!V103</f>
        <v>-</v>
      </c>
      <c r="X95" s="129" t="str">
        <f t="shared" si="176"/>
        <v>-</v>
      </c>
      <c r="Y95" s="129" t="str">
        <f t="shared" si="167"/>
        <v>-</v>
      </c>
      <c r="Z95" s="129" t="str">
        <f t="shared" si="168"/>
        <v>-</v>
      </c>
      <c r="AA95" s="85" t="str">
        <f t="shared" si="169"/>
        <v>-</v>
      </c>
      <c r="AB95" s="85" t="str">
        <f>'Consumer Hardware Pricing'!X103</f>
        <v>-</v>
      </c>
      <c r="AC95" s="85" t="str">
        <f t="shared" si="141"/>
        <v>-</v>
      </c>
      <c r="AD95" s="85" t="str">
        <f>'Consumer Hardware Pricing'!Y103</f>
        <v>-</v>
      </c>
      <c r="AE95" s="85" t="str">
        <f t="shared" si="177"/>
        <v>-</v>
      </c>
      <c r="AF95" s="85" t="str">
        <f t="shared" si="178"/>
        <v>-</v>
      </c>
      <c r="AG95" s="85" t="str">
        <f t="shared" si="179"/>
        <v>-</v>
      </c>
      <c r="AH95" s="85" t="str">
        <f>'Consumer Hardware Pricing'!AA103</f>
        <v>-</v>
      </c>
      <c r="AI95" s="85" t="str">
        <f t="shared" si="142"/>
        <v>-</v>
      </c>
      <c r="AJ95" s="85" t="str">
        <f t="shared" si="180"/>
        <v>-</v>
      </c>
      <c r="AK95" s="85" t="str">
        <f t="shared" si="181"/>
        <v>-</v>
      </c>
      <c r="AL95" s="85" t="str">
        <f t="shared" si="182"/>
        <v>-</v>
      </c>
      <c r="AM95" s="85" t="str">
        <f>'Consumer Hardware Pricing'!AC103</f>
        <v>-</v>
      </c>
      <c r="AN95" s="85" t="str">
        <f t="shared" si="143"/>
        <v>-</v>
      </c>
      <c r="AO95" s="85" t="str">
        <f>'Consumer Hardware Pricing'!AD103</f>
        <v>-</v>
      </c>
      <c r="AP95" s="85" t="str">
        <f t="shared" si="183"/>
        <v>-</v>
      </c>
      <c r="AQ95" s="85" t="str">
        <f t="shared" si="184"/>
        <v>-</v>
      </c>
      <c r="AR95" s="85" t="str">
        <f t="shared" si="185"/>
        <v>-</v>
      </c>
      <c r="AS95" s="85" t="str">
        <f>'Consumer Hardware Pricing'!AF103</f>
        <v>-</v>
      </c>
      <c r="AT95" s="85" t="str">
        <f t="shared" si="144"/>
        <v>-</v>
      </c>
      <c r="AU95" s="85" t="str">
        <f t="shared" si="186"/>
        <v>-</v>
      </c>
      <c r="AV95" s="85" t="str">
        <f t="shared" si="187"/>
        <v>-</v>
      </c>
      <c r="AW95" s="85" t="str">
        <f t="shared" si="188"/>
        <v>-</v>
      </c>
      <c r="AX95" s="85" t="str">
        <f>'Consumer Hardware Pricing'!AH103</f>
        <v>-</v>
      </c>
      <c r="AY95" s="85" t="str">
        <f t="shared" si="145"/>
        <v>-</v>
      </c>
      <c r="AZ95" s="85" t="str">
        <f>'Consumer Hardware Pricing'!AI103</f>
        <v>-</v>
      </c>
      <c r="BA95" s="85" t="str">
        <f t="shared" si="153"/>
        <v>-</v>
      </c>
      <c r="BB95" s="85" t="str">
        <f t="shared" si="154"/>
        <v>-</v>
      </c>
      <c r="BC95" s="85" t="str">
        <f t="shared" si="170"/>
        <v>-</v>
      </c>
      <c r="BD95" s="85">
        <f>'Consumer Hardware Pricing'!AL103</f>
        <v>0</v>
      </c>
      <c r="BE95" s="85">
        <f t="shared" si="146"/>
        <v>23.34</v>
      </c>
      <c r="BF95" s="85" t="str">
        <f>'Consumer Hardware Pricing'!AM103</f>
        <v>-</v>
      </c>
      <c r="BG95" s="85">
        <f t="shared" si="155"/>
        <v>23.34</v>
      </c>
      <c r="BH95" s="85" t="str">
        <f t="shared" si="156"/>
        <v>-</v>
      </c>
      <c r="BI95" s="85">
        <f t="shared" si="171"/>
        <v>560.16</v>
      </c>
      <c r="BJ95" s="85" t="str">
        <f>'Consumer Hardware Pricing'!AP103</f>
        <v>-</v>
      </c>
      <c r="BK95" s="85" t="str">
        <f t="shared" si="147"/>
        <v>-</v>
      </c>
      <c r="BL95" s="85" t="str">
        <f>'Consumer Hardware Pricing'!AQ103</f>
        <v>-</v>
      </c>
      <c r="BM95" s="85" t="str">
        <f t="shared" si="157"/>
        <v>-</v>
      </c>
      <c r="BN95" s="85" t="str">
        <f t="shared" si="158"/>
        <v>-</v>
      </c>
      <c r="BO95" s="85" t="str">
        <f t="shared" si="172"/>
        <v>-</v>
      </c>
      <c r="BP95" s="85" t="str">
        <f>'Consumer Hardware Pricing'!AT103</f>
        <v>-</v>
      </c>
      <c r="BQ95" s="85" t="str">
        <f t="shared" si="148"/>
        <v>-</v>
      </c>
      <c r="BR95" s="85" t="str">
        <f>'Consumer Hardware Pricing'!AU103</f>
        <v>-</v>
      </c>
      <c r="BS95" s="85" t="str">
        <f t="shared" si="159"/>
        <v>-</v>
      </c>
      <c r="BT95" s="85" t="str">
        <f t="shared" si="160"/>
        <v>-</v>
      </c>
      <c r="BU95" s="85" t="str">
        <f t="shared" si="173"/>
        <v>-</v>
      </c>
    </row>
    <row r="96" spans="1:73" ht="30.15" customHeight="1" x14ac:dyDescent="0.25">
      <c r="A96" s="86" t="s">
        <v>35</v>
      </c>
      <c r="B96" s="88" t="s">
        <v>772</v>
      </c>
      <c r="C96" s="88" t="s">
        <v>806</v>
      </c>
      <c r="D96" s="85">
        <f>'Consumer Hardware Pricing'!L104</f>
        <v>560</v>
      </c>
      <c r="E96" s="85">
        <f>'Consumer Hardware Pricing'!M104</f>
        <v>560</v>
      </c>
      <c r="F96" s="85" t="str">
        <f>'Consumer Hardware Pricing'!N104</f>
        <v>-</v>
      </c>
      <c r="G96" s="85" t="str">
        <f t="shared" si="174"/>
        <v>-</v>
      </c>
      <c r="H96" s="85" t="str">
        <f>'Consumer Hardware Pricing'!O104</f>
        <v>-</v>
      </c>
      <c r="I96" s="85" t="str">
        <f t="shared" si="149"/>
        <v>-</v>
      </c>
      <c r="J96" s="85" t="str">
        <f t="shared" si="161"/>
        <v>-</v>
      </c>
      <c r="K96" s="85" t="str">
        <f t="shared" si="162"/>
        <v>-</v>
      </c>
      <c r="L96" s="85" t="str">
        <f>'Consumer Hardware Pricing'!Q104</f>
        <v>-</v>
      </c>
      <c r="M96" s="85" t="str">
        <f t="shared" si="175"/>
        <v>-</v>
      </c>
      <c r="N96" s="85" t="str">
        <f t="shared" si="150"/>
        <v>-</v>
      </c>
      <c r="O96" s="85" t="str">
        <f t="shared" si="151"/>
        <v>-</v>
      </c>
      <c r="P96" s="85" t="str">
        <f t="shared" si="163"/>
        <v>-</v>
      </c>
      <c r="Q96" s="85" t="str">
        <f>'Consumer Hardware Pricing'!S104</f>
        <v>-</v>
      </c>
      <c r="R96" s="85" t="str">
        <f t="shared" si="152"/>
        <v>-</v>
      </c>
      <c r="S96" s="85" t="str">
        <f>'Consumer Hardware Pricing'!T104</f>
        <v>-</v>
      </c>
      <c r="T96" s="129" t="str">
        <f t="shared" si="164"/>
        <v>-</v>
      </c>
      <c r="U96" s="129" t="str">
        <f t="shared" si="165"/>
        <v>-</v>
      </c>
      <c r="V96" s="85" t="str">
        <f t="shared" si="166"/>
        <v>-</v>
      </c>
      <c r="W96" s="129" t="str">
        <f>'Consumer Hardware Pricing'!V104</f>
        <v>-</v>
      </c>
      <c r="X96" s="129" t="str">
        <f t="shared" si="176"/>
        <v>-</v>
      </c>
      <c r="Y96" s="129" t="str">
        <f t="shared" si="167"/>
        <v>-</v>
      </c>
      <c r="Z96" s="129" t="str">
        <f t="shared" si="168"/>
        <v>-</v>
      </c>
      <c r="AA96" s="85" t="str">
        <f t="shared" si="169"/>
        <v>-</v>
      </c>
      <c r="AB96" s="85" t="str">
        <f>'Consumer Hardware Pricing'!X104</f>
        <v>-</v>
      </c>
      <c r="AC96" s="85" t="str">
        <f t="shared" si="141"/>
        <v>-</v>
      </c>
      <c r="AD96" s="85" t="str">
        <f>'Consumer Hardware Pricing'!Y104</f>
        <v>-</v>
      </c>
      <c r="AE96" s="85" t="str">
        <f t="shared" si="177"/>
        <v>-</v>
      </c>
      <c r="AF96" s="85" t="str">
        <f t="shared" si="178"/>
        <v>-</v>
      </c>
      <c r="AG96" s="85" t="str">
        <f t="shared" si="179"/>
        <v>-</v>
      </c>
      <c r="AH96" s="85" t="str">
        <f>'Consumer Hardware Pricing'!AA104</f>
        <v>-</v>
      </c>
      <c r="AI96" s="85" t="str">
        <f t="shared" si="142"/>
        <v>-</v>
      </c>
      <c r="AJ96" s="85" t="str">
        <f t="shared" si="180"/>
        <v>-</v>
      </c>
      <c r="AK96" s="85" t="str">
        <f t="shared" si="181"/>
        <v>-</v>
      </c>
      <c r="AL96" s="85" t="str">
        <f t="shared" si="182"/>
        <v>-</v>
      </c>
      <c r="AM96" s="85" t="str">
        <f>'Consumer Hardware Pricing'!AC104</f>
        <v>-</v>
      </c>
      <c r="AN96" s="85" t="str">
        <f t="shared" si="143"/>
        <v>-</v>
      </c>
      <c r="AO96" s="85" t="str">
        <f>'Consumer Hardware Pricing'!AD104</f>
        <v>-</v>
      </c>
      <c r="AP96" s="85" t="str">
        <f t="shared" si="183"/>
        <v>-</v>
      </c>
      <c r="AQ96" s="85" t="str">
        <f t="shared" si="184"/>
        <v>-</v>
      </c>
      <c r="AR96" s="85" t="str">
        <f t="shared" si="185"/>
        <v>-</v>
      </c>
      <c r="AS96" s="85" t="str">
        <f>'Consumer Hardware Pricing'!AF104</f>
        <v>-</v>
      </c>
      <c r="AT96" s="85" t="str">
        <f t="shared" si="144"/>
        <v>-</v>
      </c>
      <c r="AU96" s="85" t="str">
        <f t="shared" si="186"/>
        <v>-</v>
      </c>
      <c r="AV96" s="85" t="str">
        <f t="shared" si="187"/>
        <v>-</v>
      </c>
      <c r="AW96" s="85" t="str">
        <f t="shared" si="188"/>
        <v>-</v>
      </c>
      <c r="AX96" s="85" t="str">
        <f>'Consumer Hardware Pricing'!AH104</f>
        <v>-</v>
      </c>
      <c r="AY96" s="85" t="str">
        <f t="shared" si="145"/>
        <v>-</v>
      </c>
      <c r="AZ96" s="85" t="str">
        <f>'Consumer Hardware Pricing'!AI104</f>
        <v>-</v>
      </c>
      <c r="BA96" s="85" t="str">
        <f t="shared" si="153"/>
        <v>-</v>
      </c>
      <c r="BB96" s="85" t="str">
        <f t="shared" si="154"/>
        <v>-</v>
      </c>
      <c r="BC96" s="85" t="str">
        <f t="shared" si="170"/>
        <v>-</v>
      </c>
      <c r="BD96" s="85">
        <f>'Consumer Hardware Pricing'!AL104</f>
        <v>0</v>
      </c>
      <c r="BE96" s="85">
        <f t="shared" si="146"/>
        <v>23.34</v>
      </c>
      <c r="BF96" s="85" t="str">
        <f>'Consumer Hardware Pricing'!AM104</f>
        <v>-</v>
      </c>
      <c r="BG96" s="85">
        <f t="shared" si="155"/>
        <v>23.34</v>
      </c>
      <c r="BH96" s="85" t="str">
        <f t="shared" si="156"/>
        <v>-</v>
      </c>
      <c r="BI96" s="85">
        <f t="shared" si="171"/>
        <v>560.16</v>
      </c>
      <c r="BJ96" s="85" t="str">
        <f>'Consumer Hardware Pricing'!AP104</f>
        <v>-</v>
      </c>
      <c r="BK96" s="85" t="str">
        <f t="shared" si="147"/>
        <v>-</v>
      </c>
      <c r="BL96" s="85" t="str">
        <f>'Consumer Hardware Pricing'!AQ104</f>
        <v>-</v>
      </c>
      <c r="BM96" s="85" t="str">
        <f t="shared" si="157"/>
        <v>-</v>
      </c>
      <c r="BN96" s="85" t="str">
        <f t="shared" si="158"/>
        <v>-</v>
      </c>
      <c r="BO96" s="85" t="str">
        <f t="shared" si="172"/>
        <v>-</v>
      </c>
      <c r="BP96" s="85" t="str">
        <f>'Consumer Hardware Pricing'!AT104</f>
        <v>-</v>
      </c>
      <c r="BQ96" s="85" t="str">
        <f t="shared" si="148"/>
        <v>-</v>
      </c>
      <c r="BR96" s="85" t="str">
        <f>'Consumer Hardware Pricing'!AU104</f>
        <v>-</v>
      </c>
      <c r="BS96" s="85" t="str">
        <f t="shared" si="159"/>
        <v>-</v>
      </c>
      <c r="BT96" s="85" t="str">
        <f t="shared" si="160"/>
        <v>-</v>
      </c>
      <c r="BU96" s="85" t="str">
        <f t="shared" si="173"/>
        <v>-</v>
      </c>
    </row>
    <row r="97" spans="1:73" ht="30.15" customHeight="1" x14ac:dyDescent="0.25">
      <c r="A97" s="86" t="s">
        <v>35</v>
      </c>
      <c r="B97" s="88" t="s">
        <v>773</v>
      </c>
      <c r="C97" s="88" t="s">
        <v>807</v>
      </c>
      <c r="D97" s="85">
        <f>'Consumer Hardware Pricing'!L105</f>
        <v>560</v>
      </c>
      <c r="E97" s="85">
        <f>'Consumer Hardware Pricing'!M105</f>
        <v>560</v>
      </c>
      <c r="F97" s="85" t="str">
        <f>'Consumer Hardware Pricing'!N105</f>
        <v>-</v>
      </c>
      <c r="G97" s="85" t="str">
        <f t="shared" si="174"/>
        <v>-</v>
      </c>
      <c r="H97" s="85" t="str">
        <f>'Consumer Hardware Pricing'!O105</f>
        <v>-</v>
      </c>
      <c r="I97" s="85" t="str">
        <f t="shared" si="149"/>
        <v>-</v>
      </c>
      <c r="J97" s="85" t="str">
        <f t="shared" si="161"/>
        <v>-</v>
      </c>
      <c r="K97" s="85" t="str">
        <f t="shared" si="162"/>
        <v>-</v>
      </c>
      <c r="L97" s="85" t="str">
        <f>'Consumer Hardware Pricing'!Q105</f>
        <v>-</v>
      </c>
      <c r="M97" s="85" t="str">
        <f t="shared" si="175"/>
        <v>-</v>
      </c>
      <c r="N97" s="85" t="str">
        <f t="shared" si="150"/>
        <v>-</v>
      </c>
      <c r="O97" s="85" t="str">
        <f t="shared" si="151"/>
        <v>-</v>
      </c>
      <c r="P97" s="85" t="str">
        <f t="shared" si="163"/>
        <v>-</v>
      </c>
      <c r="Q97" s="85" t="str">
        <f>'Consumer Hardware Pricing'!S105</f>
        <v>-</v>
      </c>
      <c r="R97" s="85" t="str">
        <f t="shared" si="152"/>
        <v>-</v>
      </c>
      <c r="S97" s="85" t="str">
        <f>'Consumer Hardware Pricing'!T105</f>
        <v>-</v>
      </c>
      <c r="T97" s="129" t="str">
        <f t="shared" si="164"/>
        <v>-</v>
      </c>
      <c r="U97" s="129" t="str">
        <f t="shared" si="165"/>
        <v>-</v>
      </c>
      <c r="V97" s="85" t="str">
        <f t="shared" si="166"/>
        <v>-</v>
      </c>
      <c r="W97" s="129" t="str">
        <f>'Consumer Hardware Pricing'!V105</f>
        <v>-</v>
      </c>
      <c r="X97" s="129" t="str">
        <f t="shared" si="176"/>
        <v>-</v>
      </c>
      <c r="Y97" s="129" t="str">
        <f t="shared" si="167"/>
        <v>-</v>
      </c>
      <c r="Z97" s="129" t="str">
        <f t="shared" si="168"/>
        <v>-</v>
      </c>
      <c r="AA97" s="85" t="str">
        <f t="shared" si="169"/>
        <v>-</v>
      </c>
      <c r="AB97" s="85" t="str">
        <f>'Consumer Hardware Pricing'!X105</f>
        <v>-</v>
      </c>
      <c r="AC97" s="85" t="str">
        <f t="shared" si="141"/>
        <v>-</v>
      </c>
      <c r="AD97" s="85" t="str">
        <f>'Consumer Hardware Pricing'!Y105</f>
        <v>-</v>
      </c>
      <c r="AE97" s="85" t="str">
        <f t="shared" si="177"/>
        <v>-</v>
      </c>
      <c r="AF97" s="85" t="str">
        <f t="shared" si="178"/>
        <v>-</v>
      </c>
      <c r="AG97" s="85" t="str">
        <f t="shared" si="179"/>
        <v>-</v>
      </c>
      <c r="AH97" s="85" t="str">
        <f>'Consumer Hardware Pricing'!AA105</f>
        <v>-</v>
      </c>
      <c r="AI97" s="85" t="str">
        <f t="shared" si="142"/>
        <v>-</v>
      </c>
      <c r="AJ97" s="85" t="str">
        <f t="shared" si="180"/>
        <v>-</v>
      </c>
      <c r="AK97" s="85" t="str">
        <f t="shared" si="181"/>
        <v>-</v>
      </c>
      <c r="AL97" s="85" t="str">
        <f t="shared" si="182"/>
        <v>-</v>
      </c>
      <c r="AM97" s="85" t="str">
        <f>'Consumer Hardware Pricing'!AC105</f>
        <v>-</v>
      </c>
      <c r="AN97" s="85" t="str">
        <f t="shared" si="143"/>
        <v>-</v>
      </c>
      <c r="AO97" s="85" t="str">
        <f>'Consumer Hardware Pricing'!AD105</f>
        <v>-</v>
      </c>
      <c r="AP97" s="85" t="str">
        <f t="shared" si="183"/>
        <v>-</v>
      </c>
      <c r="AQ97" s="85" t="str">
        <f t="shared" si="184"/>
        <v>-</v>
      </c>
      <c r="AR97" s="85" t="str">
        <f t="shared" si="185"/>
        <v>-</v>
      </c>
      <c r="AS97" s="85" t="str">
        <f>'Consumer Hardware Pricing'!AF105</f>
        <v>-</v>
      </c>
      <c r="AT97" s="85" t="str">
        <f t="shared" si="144"/>
        <v>-</v>
      </c>
      <c r="AU97" s="85" t="str">
        <f t="shared" si="186"/>
        <v>-</v>
      </c>
      <c r="AV97" s="85" t="str">
        <f t="shared" si="187"/>
        <v>-</v>
      </c>
      <c r="AW97" s="85" t="str">
        <f t="shared" si="188"/>
        <v>-</v>
      </c>
      <c r="AX97" s="85" t="str">
        <f>'Consumer Hardware Pricing'!AH105</f>
        <v>-</v>
      </c>
      <c r="AY97" s="85" t="str">
        <f t="shared" si="145"/>
        <v>-</v>
      </c>
      <c r="AZ97" s="85" t="str">
        <f>'Consumer Hardware Pricing'!AI105</f>
        <v>-</v>
      </c>
      <c r="BA97" s="85" t="str">
        <f t="shared" si="153"/>
        <v>-</v>
      </c>
      <c r="BB97" s="85" t="str">
        <f t="shared" si="154"/>
        <v>-</v>
      </c>
      <c r="BC97" s="85" t="str">
        <f t="shared" si="170"/>
        <v>-</v>
      </c>
      <c r="BD97" s="85">
        <f>'Consumer Hardware Pricing'!AL105</f>
        <v>0</v>
      </c>
      <c r="BE97" s="85">
        <f t="shared" si="146"/>
        <v>23.34</v>
      </c>
      <c r="BF97" s="85" t="str">
        <f>'Consumer Hardware Pricing'!AM105</f>
        <v>-</v>
      </c>
      <c r="BG97" s="85">
        <f t="shared" si="155"/>
        <v>23.34</v>
      </c>
      <c r="BH97" s="85" t="str">
        <f t="shared" si="156"/>
        <v>-</v>
      </c>
      <c r="BI97" s="85">
        <f t="shared" si="171"/>
        <v>560.16</v>
      </c>
      <c r="BJ97" s="85" t="str">
        <f>'Consumer Hardware Pricing'!AP105</f>
        <v>-</v>
      </c>
      <c r="BK97" s="85" t="str">
        <f t="shared" si="147"/>
        <v>-</v>
      </c>
      <c r="BL97" s="85" t="str">
        <f>'Consumer Hardware Pricing'!AQ105</f>
        <v>-</v>
      </c>
      <c r="BM97" s="85" t="str">
        <f t="shared" si="157"/>
        <v>-</v>
      </c>
      <c r="BN97" s="85" t="str">
        <f t="shared" si="158"/>
        <v>-</v>
      </c>
      <c r="BO97" s="85" t="str">
        <f t="shared" si="172"/>
        <v>-</v>
      </c>
      <c r="BP97" s="85" t="str">
        <f>'Consumer Hardware Pricing'!AT105</f>
        <v>-</v>
      </c>
      <c r="BQ97" s="85" t="str">
        <f t="shared" si="148"/>
        <v>-</v>
      </c>
      <c r="BR97" s="85" t="str">
        <f>'Consumer Hardware Pricing'!AU105</f>
        <v>-</v>
      </c>
      <c r="BS97" s="85" t="str">
        <f t="shared" si="159"/>
        <v>-</v>
      </c>
      <c r="BT97" s="85" t="str">
        <f t="shared" si="160"/>
        <v>-</v>
      </c>
      <c r="BU97" s="85" t="str">
        <f t="shared" si="173"/>
        <v>-</v>
      </c>
    </row>
    <row r="98" spans="1:73" ht="30.15" customHeight="1" x14ac:dyDescent="0.25">
      <c r="A98" s="86" t="s">
        <v>35</v>
      </c>
      <c r="B98" s="88" t="s">
        <v>774</v>
      </c>
      <c r="C98" s="88" t="s">
        <v>808</v>
      </c>
      <c r="D98" s="85">
        <f>'Consumer Hardware Pricing'!L106</f>
        <v>540</v>
      </c>
      <c r="E98" s="85">
        <f>'Consumer Hardware Pricing'!M106</f>
        <v>540</v>
      </c>
      <c r="F98" s="85" t="str">
        <f>'Consumer Hardware Pricing'!N106</f>
        <v>-</v>
      </c>
      <c r="G98" s="85" t="str">
        <f t="shared" si="174"/>
        <v>-</v>
      </c>
      <c r="H98" s="85" t="str">
        <f>'Consumer Hardware Pricing'!O106</f>
        <v>-</v>
      </c>
      <c r="I98" s="85" t="str">
        <f t="shared" si="149"/>
        <v>-</v>
      </c>
      <c r="J98" s="85" t="str">
        <f t="shared" si="161"/>
        <v>-</v>
      </c>
      <c r="K98" s="85" t="str">
        <f t="shared" si="162"/>
        <v>-</v>
      </c>
      <c r="L98" s="85" t="str">
        <f>'Consumer Hardware Pricing'!Q106</f>
        <v>-</v>
      </c>
      <c r="M98" s="85" t="str">
        <f t="shared" si="175"/>
        <v>-</v>
      </c>
      <c r="N98" s="85" t="str">
        <f t="shared" si="150"/>
        <v>-</v>
      </c>
      <c r="O98" s="85" t="str">
        <f t="shared" si="151"/>
        <v>-</v>
      </c>
      <c r="P98" s="85" t="str">
        <f t="shared" si="163"/>
        <v>-</v>
      </c>
      <c r="Q98" s="85" t="str">
        <f>'Consumer Hardware Pricing'!S106</f>
        <v>-</v>
      </c>
      <c r="R98" s="85" t="str">
        <f t="shared" si="152"/>
        <v>-</v>
      </c>
      <c r="S98" s="85" t="str">
        <f>'Consumer Hardware Pricing'!T106</f>
        <v>-</v>
      </c>
      <c r="T98" s="129" t="str">
        <f t="shared" si="164"/>
        <v>-</v>
      </c>
      <c r="U98" s="129" t="str">
        <f t="shared" si="165"/>
        <v>-</v>
      </c>
      <c r="V98" s="85" t="str">
        <f t="shared" si="166"/>
        <v>-</v>
      </c>
      <c r="W98" s="129" t="str">
        <f>'Consumer Hardware Pricing'!V106</f>
        <v>-</v>
      </c>
      <c r="X98" s="129" t="str">
        <f t="shared" si="176"/>
        <v>-</v>
      </c>
      <c r="Y98" s="129" t="str">
        <f t="shared" si="167"/>
        <v>-</v>
      </c>
      <c r="Z98" s="129" t="str">
        <f t="shared" si="168"/>
        <v>-</v>
      </c>
      <c r="AA98" s="85" t="str">
        <f t="shared" si="169"/>
        <v>-</v>
      </c>
      <c r="AB98" s="85" t="str">
        <f>'Consumer Hardware Pricing'!X106</f>
        <v>-</v>
      </c>
      <c r="AC98" s="85" t="str">
        <f t="shared" si="141"/>
        <v>-</v>
      </c>
      <c r="AD98" s="85" t="str">
        <f>'Consumer Hardware Pricing'!Y106</f>
        <v>-</v>
      </c>
      <c r="AE98" s="85" t="str">
        <f t="shared" si="177"/>
        <v>-</v>
      </c>
      <c r="AF98" s="85" t="str">
        <f t="shared" si="178"/>
        <v>-</v>
      </c>
      <c r="AG98" s="85" t="str">
        <f t="shared" si="179"/>
        <v>-</v>
      </c>
      <c r="AH98" s="85" t="str">
        <f>'Consumer Hardware Pricing'!AA106</f>
        <v>-</v>
      </c>
      <c r="AI98" s="85" t="str">
        <f t="shared" si="142"/>
        <v>-</v>
      </c>
      <c r="AJ98" s="85" t="str">
        <f t="shared" si="180"/>
        <v>-</v>
      </c>
      <c r="AK98" s="85" t="str">
        <f t="shared" si="181"/>
        <v>-</v>
      </c>
      <c r="AL98" s="85" t="str">
        <f t="shared" si="182"/>
        <v>-</v>
      </c>
      <c r="AM98" s="85" t="str">
        <f>'Consumer Hardware Pricing'!AC106</f>
        <v>-</v>
      </c>
      <c r="AN98" s="85" t="str">
        <f t="shared" si="143"/>
        <v>-</v>
      </c>
      <c r="AO98" s="85" t="str">
        <f>'Consumer Hardware Pricing'!AD106</f>
        <v>-</v>
      </c>
      <c r="AP98" s="85" t="str">
        <f t="shared" si="183"/>
        <v>-</v>
      </c>
      <c r="AQ98" s="85" t="str">
        <f t="shared" si="184"/>
        <v>-</v>
      </c>
      <c r="AR98" s="85" t="str">
        <f t="shared" si="185"/>
        <v>-</v>
      </c>
      <c r="AS98" s="85" t="str">
        <f>'Consumer Hardware Pricing'!AF106</f>
        <v>-</v>
      </c>
      <c r="AT98" s="85" t="str">
        <f t="shared" si="144"/>
        <v>-</v>
      </c>
      <c r="AU98" s="85" t="str">
        <f t="shared" si="186"/>
        <v>-</v>
      </c>
      <c r="AV98" s="85" t="str">
        <f t="shared" si="187"/>
        <v>-</v>
      </c>
      <c r="AW98" s="85" t="str">
        <f t="shared" si="188"/>
        <v>-</v>
      </c>
      <c r="AX98" s="85" t="str">
        <f>'Consumer Hardware Pricing'!AH106</f>
        <v>-</v>
      </c>
      <c r="AY98" s="85" t="str">
        <f t="shared" si="145"/>
        <v>-</v>
      </c>
      <c r="AZ98" s="85" t="str">
        <f>'Consumer Hardware Pricing'!AI106</f>
        <v>-</v>
      </c>
      <c r="BA98" s="85" t="str">
        <f t="shared" si="153"/>
        <v>-</v>
      </c>
      <c r="BB98" s="85" t="str">
        <f t="shared" si="154"/>
        <v>-</v>
      </c>
      <c r="BC98" s="85" t="str">
        <f t="shared" si="170"/>
        <v>-</v>
      </c>
      <c r="BD98" s="85">
        <f>'Consumer Hardware Pricing'!AL106</f>
        <v>0</v>
      </c>
      <c r="BE98" s="85">
        <f t="shared" si="146"/>
        <v>22.5</v>
      </c>
      <c r="BF98" s="85" t="str">
        <f>'Consumer Hardware Pricing'!AM106</f>
        <v>-</v>
      </c>
      <c r="BG98" s="85">
        <f t="shared" si="155"/>
        <v>22.5</v>
      </c>
      <c r="BH98" s="85" t="str">
        <f t="shared" si="156"/>
        <v>-</v>
      </c>
      <c r="BI98" s="85">
        <f t="shared" si="171"/>
        <v>540</v>
      </c>
      <c r="BJ98" s="85" t="str">
        <f>'Consumer Hardware Pricing'!AP106</f>
        <v>-</v>
      </c>
      <c r="BK98" s="85" t="str">
        <f t="shared" si="147"/>
        <v>-</v>
      </c>
      <c r="BL98" s="85" t="str">
        <f>'Consumer Hardware Pricing'!AQ106</f>
        <v>-</v>
      </c>
      <c r="BM98" s="85" t="str">
        <f t="shared" si="157"/>
        <v>-</v>
      </c>
      <c r="BN98" s="85" t="str">
        <f t="shared" si="158"/>
        <v>-</v>
      </c>
      <c r="BO98" s="85" t="str">
        <f t="shared" si="172"/>
        <v>-</v>
      </c>
      <c r="BP98" s="85" t="str">
        <f>'Consumer Hardware Pricing'!AT106</f>
        <v>-</v>
      </c>
      <c r="BQ98" s="85" t="str">
        <f t="shared" si="148"/>
        <v>-</v>
      </c>
      <c r="BR98" s="85" t="str">
        <f>'Consumer Hardware Pricing'!AU106</f>
        <v>-</v>
      </c>
      <c r="BS98" s="85" t="str">
        <f t="shared" si="159"/>
        <v>-</v>
      </c>
      <c r="BT98" s="85" t="str">
        <f t="shared" si="160"/>
        <v>-</v>
      </c>
      <c r="BU98" s="85" t="str">
        <f t="shared" si="173"/>
        <v>-</v>
      </c>
    </row>
    <row r="99" spans="1:73" ht="30.15" customHeight="1" x14ac:dyDescent="0.25">
      <c r="A99" s="86" t="s">
        <v>35</v>
      </c>
      <c r="B99" s="88" t="s">
        <v>775</v>
      </c>
      <c r="C99" s="88" t="s">
        <v>809</v>
      </c>
      <c r="D99" s="85">
        <f>'Consumer Hardware Pricing'!L107</f>
        <v>520</v>
      </c>
      <c r="E99" s="85">
        <f>'Consumer Hardware Pricing'!M107</f>
        <v>520</v>
      </c>
      <c r="F99" s="85" t="str">
        <f>'Consumer Hardware Pricing'!N107</f>
        <v>-</v>
      </c>
      <c r="G99" s="85" t="str">
        <f t="shared" si="174"/>
        <v>-</v>
      </c>
      <c r="H99" s="85" t="str">
        <f>'Consumer Hardware Pricing'!O107</f>
        <v>-</v>
      </c>
      <c r="I99" s="85" t="str">
        <f t="shared" si="149"/>
        <v>-</v>
      </c>
      <c r="J99" s="85" t="str">
        <f t="shared" si="161"/>
        <v>-</v>
      </c>
      <c r="K99" s="85" t="str">
        <f t="shared" si="162"/>
        <v>-</v>
      </c>
      <c r="L99" s="85" t="str">
        <f>'Consumer Hardware Pricing'!Q107</f>
        <v>-</v>
      </c>
      <c r="M99" s="85" t="str">
        <f t="shared" si="175"/>
        <v>-</v>
      </c>
      <c r="N99" s="85" t="str">
        <f t="shared" si="150"/>
        <v>-</v>
      </c>
      <c r="O99" s="85" t="str">
        <f t="shared" si="151"/>
        <v>-</v>
      </c>
      <c r="P99" s="85" t="str">
        <f t="shared" si="163"/>
        <v>-</v>
      </c>
      <c r="Q99" s="85" t="str">
        <f>'Consumer Hardware Pricing'!S107</f>
        <v>-</v>
      </c>
      <c r="R99" s="85" t="str">
        <f t="shared" si="152"/>
        <v>-</v>
      </c>
      <c r="S99" s="85" t="str">
        <f>'Consumer Hardware Pricing'!T107</f>
        <v>-</v>
      </c>
      <c r="T99" s="129" t="str">
        <f t="shared" si="164"/>
        <v>-</v>
      </c>
      <c r="U99" s="129" t="str">
        <f t="shared" si="165"/>
        <v>-</v>
      </c>
      <c r="V99" s="85" t="str">
        <f t="shared" si="166"/>
        <v>-</v>
      </c>
      <c r="W99" s="129" t="str">
        <f>'Consumer Hardware Pricing'!V107</f>
        <v>-</v>
      </c>
      <c r="X99" s="129" t="str">
        <f t="shared" si="176"/>
        <v>-</v>
      </c>
      <c r="Y99" s="129" t="str">
        <f t="shared" si="167"/>
        <v>-</v>
      </c>
      <c r="Z99" s="129" t="str">
        <f t="shared" si="168"/>
        <v>-</v>
      </c>
      <c r="AA99" s="85" t="str">
        <f t="shared" si="169"/>
        <v>-</v>
      </c>
      <c r="AB99" s="85" t="str">
        <f>'Consumer Hardware Pricing'!X107</f>
        <v>-</v>
      </c>
      <c r="AC99" s="85" t="str">
        <f t="shared" si="141"/>
        <v>-</v>
      </c>
      <c r="AD99" s="85" t="str">
        <f>'Consumer Hardware Pricing'!Y107</f>
        <v>-</v>
      </c>
      <c r="AE99" s="85" t="str">
        <f t="shared" si="177"/>
        <v>-</v>
      </c>
      <c r="AF99" s="85" t="str">
        <f t="shared" si="178"/>
        <v>-</v>
      </c>
      <c r="AG99" s="85" t="str">
        <f t="shared" si="179"/>
        <v>-</v>
      </c>
      <c r="AH99" s="85" t="str">
        <f>'Consumer Hardware Pricing'!AA107</f>
        <v>-</v>
      </c>
      <c r="AI99" s="85" t="str">
        <f t="shared" si="142"/>
        <v>-</v>
      </c>
      <c r="AJ99" s="85" t="str">
        <f t="shared" si="180"/>
        <v>-</v>
      </c>
      <c r="AK99" s="85" t="str">
        <f t="shared" si="181"/>
        <v>-</v>
      </c>
      <c r="AL99" s="85" t="str">
        <f t="shared" si="182"/>
        <v>-</v>
      </c>
      <c r="AM99" s="85" t="str">
        <f>'Consumer Hardware Pricing'!AC107</f>
        <v>-</v>
      </c>
      <c r="AN99" s="85" t="str">
        <f t="shared" si="143"/>
        <v>-</v>
      </c>
      <c r="AO99" s="85" t="str">
        <f>'Consumer Hardware Pricing'!AD107</f>
        <v>-</v>
      </c>
      <c r="AP99" s="85" t="str">
        <f t="shared" si="183"/>
        <v>-</v>
      </c>
      <c r="AQ99" s="85" t="str">
        <f t="shared" si="184"/>
        <v>-</v>
      </c>
      <c r="AR99" s="85" t="str">
        <f t="shared" si="185"/>
        <v>-</v>
      </c>
      <c r="AS99" s="85" t="str">
        <f>'Consumer Hardware Pricing'!AF107</f>
        <v>-</v>
      </c>
      <c r="AT99" s="85" t="str">
        <f t="shared" si="144"/>
        <v>-</v>
      </c>
      <c r="AU99" s="85" t="str">
        <f t="shared" si="186"/>
        <v>-</v>
      </c>
      <c r="AV99" s="85" t="str">
        <f t="shared" si="187"/>
        <v>-</v>
      </c>
      <c r="AW99" s="85" t="str">
        <f t="shared" si="188"/>
        <v>-</v>
      </c>
      <c r="AX99" s="85" t="str">
        <f>'Consumer Hardware Pricing'!AH107</f>
        <v>-</v>
      </c>
      <c r="AY99" s="85" t="str">
        <f t="shared" si="145"/>
        <v>-</v>
      </c>
      <c r="AZ99" s="85" t="str">
        <f>'Consumer Hardware Pricing'!AI107</f>
        <v>-</v>
      </c>
      <c r="BA99" s="85" t="str">
        <f t="shared" si="153"/>
        <v>-</v>
      </c>
      <c r="BB99" s="85" t="str">
        <f t="shared" si="154"/>
        <v>-</v>
      </c>
      <c r="BC99" s="85" t="str">
        <f t="shared" si="170"/>
        <v>-</v>
      </c>
      <c r="BD99" s="85">
        <f>'Consumer Hardware Pricing'!AL107</f>
        <v>0</v>
      </c>
      <c r="BE99" s="85">
        <f t="shared" si="146"/>
        <v>21.67</v>
      </c>
      <c r="BF99" s="85" t="str">
        <f>'Consumer Hardware Pricing'!AM107</f>
        <v>-</v>
      </c>
      <c r="BG99" s="85">
        <f t="shared" si="155"/>
        <v>21.67</v>
      </c>
      <c r="BH99" s="85" t="str">
        <f t="shared" si="156"/>
        <v>-</v>
      </c>
      <c r="BI99" s="85">
        <f t="shared" si="171"/>
        <v>520.08000000000004</v>
      </c>
      <c r="BJ99" s="85" t="str">
        <f>'Consumer Hardware Pricing'!AP107</f>
        <v>-</v>
      </c>
      <c r="BK99" s="85" t="str">
        <f t="shared" si="147"/>
        <v>-</v>
      </c>
      <c r="BL99" s="85" t="str">
        <f>'Consumer Hardware Pricing'!AQ107</f>
        <v>-</v>
      </c>
      <c r="BM99" s="85" t="str">
        <f t="shared" si="157"/>
        <v>-</v>
      </c>
      <c r="BN99" s="85" t="str">
        <f t="shared" si="158"/>
        <v>-</v>
      </c>
      <c r="BO99" s="85" t="str">
        <f t="shared" si="172"/>
        <v>-</v>
      </c>
      <c r="BP99" s="85" t="str">
        <f>'Consumer Hardware Pricing'!AT107</f>
        <v>-</v>
      </c>
      <c r="BQ99" s="85" t="str">
        <f t="shared" si="148"/>
        <v>-</v>
      </c>
      <c r="BR99" s="85" t="str">
        <f>'Consumer Hardware Pricing'!AU107</f>
        <v>-</v>
      </c>
      <c r="BS99" s="85" t="str">
        <f t="shared" si="159"/>
        <v>-</v>
      </c>
      <c r="BT99" s="85" t="str">
        <f t="shared" si="160"/>
        <v>-</v>
      </c>
      <c r="BU99" s="85" t="str">
        <f t="shared" si="173"/>
        <v>-</v>
      </c>
    </row>
    <row r="100" spans="1:73" ht="30.15" customHeight="1" x14ac:dyDescent="0.25">
      <c r="A100" s="86" t="s">
        <v>35</v>
      </c>
      <c r="B100" s="88" t="s">
        <v>776</v>
      </c>
      <c r="C100" s="88" t="s">
        <v>810</v>
      </c>
      <c r="D100" s="85">
        <f>'Consumer Hardware Pricing'!L108</f>
        <v>520</v>
      </c>
      <c r="E100" s="85">
        <f>'Consumer Hardware Pricing'!M108</f>
        <v>520</v>
      </c>
      <c r="F100" s="85" t="str">
        <f>'Consumer Hardware Pricing'!N108</f>
        <v>-</v>
      </c>
      <c r="G100" s="85" t="str">
        <f t="shared" si="174"/>
        <v>-</v>
      </c>
      <c r="H100" s="85" t="str">
        <f>'Consumer Hardware Pricing'!O108</f>
        <v>-</v>
      </c>
      <c r="I100" s="85" t="str">
        <f t="shared" si="149"/>
        <v>-</v>
      </c>
      <c r="J100" s="85" t="str">
        <f t="shared" si="161"/>
        <v>-</v>
      </c>
      <c r="K100" s="85" t="str">
        <f t="shared" si="162"/>
        <v>-</v>
      </c>
      <c r="L100" s="85" t="str">
        <f>'Consumer Hardware Pricing'!Q108</f>
        <v>-</v>
      </c>
      <c r="M100" s="85" t="str">
        <f t="shared" si="175"/>
        <v>-</v>
      </c>
      <c r="N100" s="85" t="str">
        <f t="shared" si="150"/>
        <v>-</v>
      </c>
      <c r="O100" s="85" t="str">
        <f t="shared" si="151"/>
        <v>-</v>
      </c>
      <c r="P100" s="85" t="str">
        <f t="shared" si="163"/>
        <v>-</v>
      </c>
      <c r="Q100" s="85" t="str">
        <f>'Consumer Hardware Pricing'!S108</f>
        <v>-</v>
      </c>
      <c r="R100" s="85" t="str">
        <f t="shared" si="152"/>
        <v>-</v>
      </c>
      <c r="S100" s="85" t="str">
        <f>'Consumer Hardware Pricing'!T108</f>
        <v>-</v>
      </c>
      <c r="T100" s="129" t="str">
        <f t="shared" si="164"/>
        <v>-</v>
      </c>
      <c r="U100" s="129" t="str">
        <f t="shared" si="165"/>
        <v>-</v>
      </c>
      <c r="V100" s="85" t="str">
        <f t="shared" si="166"/>
        <v>-</v>
      </c>
      <c r="W100" s="129" t="str">
        <f>'Consumer Hardware Pricing'!V108</f>
        <v>-</v>
      </c>
      <c r="X100" s="129" t="str">
        <f t="shared" si="176"/>
        <v>-</v>
      </c>
      <c r="Y100" s="129" t="str">
        <f t="shared" si="167"/>
        <v>-</v>
      </c>
      <c r="Z100" s="129" t="str">
        <f t="shared" si="168"/>
        <v>-</v>
      </c>
      <c r="AA100" s="85" t="str">
        <f t="shared" si="169"/>
        <v>-</v>
      </c>
      <c r="AB100" s="85" t="str">
        <f>'Consumer Hardware Pricing'!X108</f>
        <v>-</v>
      </c>
      <c r="AC100" s="85" t="str">
        <f t="shared" si="141"/>
        <v>-</v>
      </c>
      <c r="AD100" s="85" t="str">
        <f>'Consumer Hardware Pricing'!Y108</f>
        <v>-</v>
      </c>
      <c r="AE100" s="85" t="str">
        <f t="shared" si="177"/>
        <v>-</v>
      </c>
      <c r="AF100" s="85" t="str">
        <f t="shared" si="178"/>
        <v>-</v>
      </c>
      <c r="AG100" s="85" t="str">
        <f t="shared" si="179"/>
        <v>-</v>
      </c>
      <c r="AH100" s="85" t="str">
        <f>'Consumer Hardware Pricing'!AA108</f>
        <v>-</v>
      </c>
      <c r="AI100" s="85" t="str">
        <f t="shared" si="142"/>
        <v>-</v>
      </c>
      <c r="AJ100" s="85" t="str">
        <f t="shared" si="180"/>
        <v>-</v>
      </c>
      <c r="AK100" s="85" t="str">
        <f t="shared" si="181"/>
        <v>-</v>
      </c>
      <c r="AL100" s="85" t="str">
        <f t="shared" si="182"/>
        <v>-</v>
      </c>
      <c r="AM100" s="85" t="str">
        <f>'Consumer Hardware Pricing'!AC108</f>
        <v>-</v>
      </c>
      <c r="AN100" s="85" t="str">
        <f t="shared" si="143"/>
        <v>-</v>
      </c>
      <c r="AO100" s="85" t="str">
        <f>'Consumer Hardware Pricing'!AD108</f>
        <v>-</v>
      </c>
      <c r="AP100" s="85" t="str">
        <f t="shared" si="183"/>
        <v>-</v>
      </c>
      <c r="AQ100" s="85" t="str">
        <f t="shared" si="184"/>
        <v>-</v>
      </c>
      <c r="AR100" s="85" t="str">
        <f t="shared" si="185"/>
        <v>-</v>
      </c>
      <c r="AS100" s="85" t="str">
        <f>'Consumer Hardware Pricing'!AF108</f>
        <v>-</v>
      </c>
      <c r="AT100" s="85" t="str">
        <f t="shared" si="144"/>
        <v>-</v>
      </c>
      <c r="AU100" s="85" t="str">
        <f t="shared" si="186"/>
        <v>-</v>
      </c>
      <c r="AV100" s="85" t="str">
        <f t="shared" si="187"/>
        <v>-</v>
      </c>
      <c r="AW100" s="85" t="str">
        <f t="shared" si="188"/>
        <v>-</v>
      </c>
      <c r="AX100" s="85" t="str">
        <f>'Consumer Hardware Pricing'!AH108</f>
        <v>-</v>
      </c>
      <c r="AY100" s="85" t="str">
        <f t="shared" si="145"/>
        <v>-</v>
      </c>
      <c r="AZ100" s="85" t="str">
        <f>'Consumer Hardware Pricing'!AI108</f>
        <v>-</v>
      </c>
      <c r="BA100" s="85" t="str">
        <f t="shared" si="153"/>
        <v>-</v>
      </c>
      <c r="BB100" s="85" t="str">
        <f t="shared" si="154"/>
        <v>-</v>
      </c>
      <c r="BC100" s="85" t="str">
        <f t="shared" si="170"/>
        <v>-</v>
      </c>
      <c r="BD100" s="85">
        <f>'Consumer Hardware Pricing'!AL108</f>
        <v>0</v>
      </c>
      <c r="BE100" s="85">
        <f t="shared" si="146"/>
        <v>21.67</v>
      </c>
      <c r="BF100" s="85" t="str">
        <f>'Consumer Hardware Pricing'!AM108</f>
        <v>-</v>
      </c>
      <c r="BG100" s="85">
        <f t="shared" si="155"/>
        <v>21.67</v>
      </c>
      <c r="BH100" s="85" t="str">
        <f t="shared" si="156"/>
        <v>-</v>
      </c>
      <c r="BI100" s="85">
        <f t="shared" si="171"/>
        <v>520.08000000000004</v>
      </c>
      <c r="BJ100" s="85" t="str">
        <f>'Consumer Hardware Pricing'!AP108</f>
        <v>-</v>
      </c>
      <c r="BK100" s="85" t="str">
        <f t="shared" si="147"/>
        <v>-</v>
      </c>
      <c r="BL100" s="85" t="str">
        <f>'Consumer Hardware Pricing'!AQ108</f>
        <v>-</v>
      </c>
      <c r="BM100" s="85" t="str">
        <f t="shared" si="157"/>
        <v>-</v>
      </c>
      <c r="BN100" s="85" t="str">
        <f t="shared" si="158"/>
        <v>-</v>
      </c>
      <c r="BO100" s="85" t="str">
        <f t="shared" si="172"/>
        <v>-</v>
      </c>
      <c r="BP100" s="85" t="str">
        <f>'Consumer Hardware Pricing'!AT108</f>
        <v>-</v>
      </c>
      <c r="BQ100" s="85" t="str">
        <f t="shared" si="148"/>
        <v>-</v>
      </c>
      <c r="BR100" s="85" t="str">
        <f>'Consumer Hardware Pricing'!AU108</f>
        <v>-</v>
      </c>
      <c r="BS100" s="85" t="str">
        <f t="shared" si="159"/>
        <v>-</v>
      </c>
      <c r="BT100" s="85" t="str">
        <f t="shared" si="160"/>
        <v>-</v>
      </c>
      <c r="BU100" s="85" t="str">
        <f t="shared" si="173"/>
        <v>-</v>
      </c>
    </row>
    <row r="101" spans="1:73" ht="30.15" customHeight="1" x14ac:dyDescent="0.25">
      <c r="A101" s="86" t="s">
        <v>35</v>
      </c>
      <c r="B101" s="88" t="s">
        <v>386</v>
      </c>
      <c r="C101" s="88" t="s">
        <v>407</v>
      </c>
      <c r="D101" s="85">
        <f>'Consumer Hardware Pricing'!L109</f>
        <v>559</v>
      </c>
      <c r="E101" s="85">
        <f>'Consumer Hardware Pricing'!M109</f>
        <v>559</v>
      </c>
      <c r="F101" s="85" t="str">
        <f>'Consumer Hardware Pricing'!N109</f>
        <v>-</v>
      </c>
      <c r="G101" s="85" t="str">
        <f t="shared" si="174"/>
        <v>-</v>
      </c>
      <c r="H101" s="85" t="str">
        <f>'Consumer Hardware Pricing'!O109</f>
        <v>-</v>
      </c>
      <c r="I101" s="85" t="str">
        <f t="shared" si="149"/>
        <v>-</v>
      </c>
      <c r="J101" s="85" t="str">
        <f t="shared" si="161"/>
        <v>-</v>
      </c>
      <c r="K101" s="85" t="str">
        <f t="shared" si="162"/>
        <v>-</v>
      </c>
      <c r="L101" s="85" t="str">
        <f>'Consumer Hardware Pricing'!Q109</f>
        <v>-</v>
      </c>
      <c r="M101" s="85" t="str">
        <f t="shared" si="175"/>
        <v>-</v>
      </c>
      <c r="N101" s="85" t="str">
        <f t="shared" si="150"/>
        <v>-</v>
      </c>
      <c r="O101" s="85" t="str">
        <f t="shared" si="151"/>
        <v>-</v>
      </c>
      <c r="P101" s="85" t="str">
        <f t="shared" si="163"/>
        <v>-</v>
      </c>
      <c r="Q101" s="85" t="str">
        <f>'Consumer Hardware Pricing'!S109</f>
        <v>-</v>
      </c>
      <c r="R101" s="85" t="str">
        <f t="shared" si="152"/>
        <v>-</v>
      </c>
      <c r="S101" s="85" t="str">
        <f>'Consumer Hardware Pricing'!T109</f>
        <v>-</v>
      </c>
      <c r="T101" s="129" t="str">
        <f t="shared" si="164"/>
        <v>-</v>
      </c>
      <c r="U101" s="129" t="str">
        <f t="shared" si="165"/>
        <v>-</v>
      </c>
      <c r="V101" s="85" t="str">
        <f t="shared" si="166"/>
        <v>-</v>
      </c>
      <c r="W101" s="129" t="str">
        <f>'Consumer Hardware Pricing'!V109</f>
        <v>-</v>
      </c>
      <c r="X101" s="129" t="str">
        <f t="shared" si="176"/>
        <v>-</v>
      </c>
      <c r="Y101" s="129" t="str">
        <f t="shared" si="167"/>
        <v>-</v>
      </c>
      <c r="Z101" s="129" t="str">
        <f t="shared" si="168"/>
        <v>-</v>
      </c>
      <c r="AA101" s="85" t="str">
        <f t="shared" si="169"/>
        <v>-</v>
      </c>
      <c r="AB101" s="85" t="str">
        <f>'Consumer Hardware Pricing'!X109</f>
        <v>-</v>
      </c>
      <c r="AC101" s="85" t="str">
        <f t="shared" si="141"/>
        <v>-</v>
      </c>
      <c r="AD101" s="85" t="str">
        <f>'Consumer Hardware Pricing'!Y109</f>
        <v>-</v>
      </c>
      <c r="AE101" s="85" t="str">
        <f t="shared" si="177"/>
        <v>-</v>
      </c>
      <c r="AF101" s="85" t="str">
        <f t="shared" si="178"/>
        <v>-</v>
      </c>
      <c r="AG101" s="85" t="str">
        <f t="shared" si="179"/>
        <v>-</v>
      </c>
      <c r="AH101" s="85" t="str">
        <f>'Consumer Hardware Pricing'!AA109</f>
        <v>-</v>
      </c>
      <c r="AI101" s="85" t="str">
        <f t="shared" si="142"/>
        <v>-</v>
      </c>
      <c r="AJ101" s="85" t="str">
        <f t="shared" si="180"/>
        <v>-</v>
      </c>
      <c r="AK101" s="85" t="str">
        <f t="shared" si="181"/>
        <v>-</v>
      </c>
      <c r="AL101" s="85" t="str">
        <f t="shared" si="182"/>
        <v>-</v>
      </c>
      <c r="AM101" s="85" t="str">
        <f>'Consumer Hardware Pricing'!AC109</f>
        <v>-</v>
      </c>
      <c r="AN101" s="85" t="str">
        <f t="shared" si="143"/>
        <v>-</v>
      </c>
      <c r="AO101" s="85" t="str">
        <f>'Consumer Hardware Pricing'!AD109</f>
        <v>-</v>
      </c>
      <c r="AP101" s="85" t="str">
        <f t="shared" si="183"/>
        <v>-</v>
      </c>
      <c r="AQ101" s="85" t="str">
        <f t="shared" si="184"/>
        <v>-</v>
      </c>
      <c r="AR101" s="85" t="str">
        <f t="shared" si="185"/>
        <v>-</v>
      </c>
      <c r="AS101" s="85" t="str">
        <f>'Consumer Hardware Pricing'!AF109</f>
        <v>-</v>
      </c>
      <c r="AT101" s="85" t="str">
        <f t="shared" si="144"/>
        <v>-</v>
      </c>
      <c r="AU101" s="85" t="str">
        <f t="shared" si="186"/>
        <v>-</v>
      </c>
      <c r="AV101" s="85" t="str">
        <f t="shared" si="187"/>
        <v>-</v>
      </c>
      <c r="AW101" s="85" t="str">
        <f t="shared" si="188"/>
        <v>-</v>
      </c>
      <c r="AX101" s="85" t="str">
        <f>'Consumer Hardware Pricing'!AH109</f>
        <v>-</v>
      </c>
      <c r="AY101" s="85" t="str">
        <f t="shared" si="145"/>
        <v>-</v>
      </c>
      <c r="AZ101" s="85" t="str">
        <f>'Consumer Hardware Pricing'!AI109</f>
        <v>-</v>
      </c>
      <c r="BA101" s="85" t="str">
        <f t="shared" si="153"/>
        <v>-</v>
      </c>
      <c r="BB101" s="85" t="str">
        <f t="shared" si="154"/>
        <v>-</v>
      </c>
      <c r="BC101" s="85" t="str">
        <f t="shared" si="170"/>
        <v>-</v>
      </c>
      <c r="BD101" s="85">
        <f>'Consumer Hardware Pricing'!AL109</f>
        <v>0</v>
      </c>
      <c r="BE101" s="85">
        <f t="shared" si="146"/>
        <v>23.3</v>
      </c>
      <c r="BF101" s="85" t="str">
        <f>'Consumer Hardware Pricing'!AM109</f>
        <v>-</v>
      </c>
      <c r="BG101" s="85">
        <f t="shared" si="155"/>
        <v>23.3</v>
      </c>
      <c r="BH101" s="85" t="str">
        <f t="shared" si="156"/>
        <v>-</v>
      </c>
      <c r="BI101" s="85">
        <f t="shared" si="171"/>
        <v>559.20000000000005</v>
      </c>
      <c r="BJ101" s="85" t="str">
        <f>'Consumer Hardware Pricing'!AP109</f>
        <v>-</v>
      </c>
      <c r="BK101" s="85" t="str">
        <f t="shared" si="147"/>
        <v>-</v>
      </c>
      <c r="BL101" s="85" t="str">
        <f>'Consumer Hardware Pricing'!AQ109</f>
        <v>-</v>
      </c>
      <c r="BM101" s="85" t="str">
        <f t="shared" si="157"/>
        <v>-</v>
      </c>
      <c r="BN101" s="85" t="str">
        <f t="shared" si="158"/>
        <v>-</v>
      </c>
      <c r="BO101" s="85" t="str">
        <f t="shared" si="172"/>
        <v>-</v>
      </c>
      <c r="BP101" s="85" t="str">
        <f>'Consumer Hardware Pricing'!AT109</f>
        <v>-</v>
      </c>
      <c r="BQ101" s="85" t="str">
        <f t="shared" si="148"/>
        <v>-</v>
      </c>
      <c r="BR101" s="85" t="str">
        <f>'Consumer Hardware Pricing'!AU109</f>
        <v>-</v>
      </c>
      <c r="BS101" s="85" t="str">
        <f t="shared" si="159"/>
        <v>-</v>
      </c>
      <c r="BT101" s="85" t="str">
        <f t="shared" si="160"/>
        <v>-</v>
      </c>
      <c r="BU101" s="85" t="str">
        <f t="shared" si="173"/>
        <v>-</v>
      </c>
    </row>
    <row r="102" spans="1:73" ht="30.15" customHeight="1" x14ac:dyDescent="0.25">
      <c r="A102" s="86" t="s">
        <v>35</v>
      </c>
      <c r="B102" s="88" t="s">
        <v>387</v>
      </c>
      <c r="C102" s="88" t="s">
        <v>408</v>
      </c>
      <c r="D102" s="85">
        <f>'Consumer Hardware Pricing'!L110</f>
        <v>679</v>
      </c>
      <c r="E102" s="85">
        <f>'Consumer Hardware Pricing'!M110</f>
        <v>679</v>
      </c>
      <c r="F102" s="85" t="str">
        <f>'Consumer Hardware Pricing'!N110</f>
        <v>-</v>
      </c>
      <c r="G102" s="85" t="str">
        <f t="shared" si="174"/>
        <v>-</v>
      </c>
      <c r="H102" s="85" t="str">
        <f>'Consumer Hardware Pricing'!O110</f>
        <v>-</v>
      </c>
      <c r="I102" s="85" t="str">
        <f t="shared" si="149"/>
        <v>-</v>
      </c>
      <c r="J102" s="85" t="str">
        <f t="shared" si="161"/>
        <v>-</v>
      </c>
      <c r="K102" s="85" t="str">
        <f t="shared" si="162"/>
        <v>-</v>
      </c>
      <c r="L102" s="85" t="str">
        <f>'Consumer Hardware Pricing'!Q110</f>
        <v>-</v>
      </c>
      <c r="M102" s="85" t="str">
        <f t="shared" si="175"/>
        <v>-</v>
      </c>
      <c r="N102" s="85" t="str">
        <f t="shared" si="150"/>
        <v>-</v>
      </c>
      <c r="O102" s="85" t="str">
        <f t="shared" si="151"/>
        <v>-</v>
      </c>
      <c r="P102" s="85" t="str">
        <f t="shared" si="163"/>
        <v>-</v>
      </c>
      <c r="Q102" s="85" t="str">
        <f>'Consumer Hardware Pricing'!S110</f>
        <v>-</v>
      </c>
      <c r="R102" s="85" t="str">
        <f t="shared" si="152"/>
        <v>-</v>
      </c>
      <c r="S102" s="85" t="str">
        <f>'Consumer Hardware Pricing'!T110</f>
        <v>-</v>
      </c>
      <c r="T102" s="129" t="str">
        <f t="shared" si="164"/>
        <v>-</v>
      </c>
      <c r="U102" s="129" t="str">
        <f t="shared" si="165"/>
        <v>-</v>
      </c>
      <c r="V102" s="85" t="str">
        <f t="shared" si="166"/>
        <v>-</v>
      </c>
      <c r="W102" s="129" t="str">
        <f>'Consumer Hardware Pricing'!V110</f>
        <v>-</v>
      </c>
      <c r="X102" s="129" t="str">
        <f t="shared" si="176"/>
        <v>-</v>
      </c>
      <c r="Y102" s="129" t="str">
        <f t="shared" si="167"/>
        <v>-</v>
      </c>
      <c r="Z102" s="129" t="str">
        <f t="shared" si="168"/>
        <v>-</v>
      </c>
      <c r="AA102" s="85" t="str">
        <f t="shared" si="169"/>
        <v>-</v>
      </c>
      <c r="AB102" s="85" t="str">
        <f>'Consumer Hardware Pricing'!X110</f>
        <v>-</v>
      </c>
      <c r="AC102" s="85" t="str">
        <f t="shared" si="141"/>
        <v>-</v>
      </c>
      <c r="AD102" s="85" t="str">
        <f>'Consumer Hardware Pricing'!Y110</f>
        <v>-</v>
      </c>
      <c r="AE102" s="85" t="str">
        <f t="shared" si="177"/>
        <v>-</v>
      </c>
      <c r="AF102" s="85" t="str">
        <f t="shared" si="178"/>
        <v>-</v>
      </c>
      <c r="AG102" s="85" t="str">
        <f t="shared" si="179"/>
        <v>-</v>
      </c>
      <c r="AH102" s="85" t="str">
        <f>'Consumer Hardware Pricing'!AA110</f>
        <v>-</v>
      </c>
      <c r="AI102" s="85" t="str">
        <f t="shared" si="142"/>
        <v>-</v>
      </c>
      <c r="AJ102" s="85" t="str">
        <f t="shared" si="180"/>
        <v>-</v>
      </c>
      <c r="AK102" s="85" t="str">
        <f t="shared" si="181"/>
        <v>-</v>
      </c>
      <c r="AL102" s="85" t="str">
        <f t="shared" si="182"/>
        <v>-</v>
      </c>
      <c r="AM102" s="85" t="str">
        <f>'Consumer Hardware Pricing'!AC110</f>
        <v>-</v>
      </c>
      <c r="AN102" s="85" t="str">
        <f t="shared" si="143"/>
        <v>-</v>
      </c>
      <c r="AO102" s="85" t="str">
        <f>'Consumer Hardware Pricing'!AD110</f>
        <v>-</v>
      </c>
      <c r="AP102" s="85" t="str">
        <f t="shared" si="183"/>
        <v>-</v>
      </c>
      <c r="AQ102" s="85" t="str">
        <f t="shared" si="184"/>
        <v>-</v>
      </c>
      <c r="AR102" s="85" t="str">
        <f t="shared" si="185"/>
        <v>-</v>
      </c>
      <c r="AS102" s="85" t="str">
        <f>'Consumer Hardware Pricing'!AF110</f>
        <v>-</v>
      </c>
      <c r="AT102" s="85" t="str">
        <f t="shared" si="144"/>
        <v>-</v>
      </c>
      <c r="AU102" s="85" t="str">
        <f t="shared" si="186"/>
        <v>-</v>
      </c>
      <c r="AV102" s="85" t="str">
        <f t="shared" si="187"/>
        <v>-</v>
      </c>
      <c r="AW102" s="85" t="str">
        <f t="shared" si="188"/>
        <v>-</v>
      </c>
      <c r="AX102" s="85" t="str">
        <f>'Consumer Hardware Pricing'!AH110</f>
        <v>-</v>
      </c>
      <c r="AY102" s="85" t="str">
        <f t="shared" si="145"/>
        <v>-</v>
      </c>
      <c r="AZ102" s="85" t="str">
        <f>'Consumer Hardware Pricing'!AI110</f>
        <v>-</v>
      </c>
      <c r="BA102" s="85" t="str">
        <f t="shared" si="153"/>
        <v>-</v>
      </c>
      <c r="BB102" s="85" t="str">
        <f t="shared" si="154"/>
        <v>-</v>
      </c>
      <c r="BC102" s="85" t="str">
        <f t="shared" si="170"/>
        <v>-</v>
      </c>
      <c r="BD102" s="85">
        <f>'Consumer Hardware Pricing'!AL110</f>
        <v>0</v>
      </c>
      <c r="BE102" s="85">
        <f t="shared" si="146"/>
        <v>28.3</v>
      </c>
      <c r="BF102" s="85" t="str">
        <f>'Consumer Hardware Pricing'!AM110</f>
        <v>-</v>
      </c>
      <c r="BG102" s="85">
        <f t="shared" si="155"/>
        <v>28.3</v>
      </c>
      <c r="BH102" s="85" t="str">
        <f t="shared" si="156"/>
        <v>-</v>
      </c>
      <c r="BI102" s="85">
        <f t="shared" si="171"/>
        <v>679.2</v>
      </c>
      <c r="BJ102" s="85" t="str">
        <f>'Consumer Hardware Pricing'!AP110</f>
        <v>-</v>
      </c>
      <c r="BK102" s="85" t="str">
        <f t="shared" si="147"/>
        <v>-</v>
      </c>
      <c r="BL102" s="85" t="str">
        <f>'Consumer Hardware Pricing'!AQ110</f>
        <v>-</v>
      </c>
      <c r="BM102" s="85" t="str">
        <f t="shared" si="157"/>
        <v>-</v>
      </c>
      <c r="BN102" s="85" t="str">
        <f t="shared" si="158"/>
        <v>-</v>
      </c>
      <c r="BO102" s="85" t="str">
        <f t="shared" si="172"/>
        <v>-</v>
      </c>
      <c r="BP102" s="85" t="str">
        <f>'Consumer Hardware Pricing'!AT110</f>
        <v>-</v>
      </c>
      <c r="BQ102" s="85" t="str">
        <f t="shared" si="148"/>
        <v>-</v>
      </c>
      <c r="BR102" s="85" t="str">
        <f>'Consumer Hardware Pricing'!AU110</f>
        <v>-</v>
      </c>
      <c r="BS102" s="85" t="str">
        <f t="shared" si="159"/>
        <v>-</v>
      </c>
      <c r="BT102" s="85" t="str">
        <f t="shared" si="160"/>
        <v>-</v>
      </c>
      <c r="BU102" s="85" t="str">
        <f t="shared" si="173"/>
        <v>-</v>
      </c>
    </row>
    <row r="103" spans="1:73" ht="30.15" customHeight="1" x14ac:dyDescent="0.25">
      <c r="A103" s="86" t="s">
        <v>35</v>
      </c>
      <c r="B103" s="88" t="s">
        <v>709</v>
      </c>
      <c r="C103" s="88" t="s">
        <v>707</v>
      </c>
      <c r="D103" s="85">
        <f>'Consumer Hardware Pricing'!L111</f>
        <v>599</v>
      </c>
      <c r="E103" s="85">
        <f>'Consumer Hardware Pricing'!M111</f>
        <v>599</v>
      </c>
      <c r="F103" s="85" t="str">
        <f>'Consumer Hardware Pricing'!N111</f>
        <v>-</v>
      </c>
      <c r="G103" s="85" t="str">
        <f t="shared" si="174"/>
        <v>-</v>
      </c>
      <c r="H103" s="85" t="str">
        <f>'Consumer Hardware Pricing'!O111</f>
        <v>-</v>
      </c>
      <c r="I103" s="85" t="str">
        <f t="shared" si="149"/>
        <v>-</v>
      </c>
      <c r="J103" s="85" t="str">
        <f t="shared" si="161"/>
        <v>-</v>
      </c>
      <c r="K103" s="85" t="str">
        <f t="shared" si="162"/>
        <v>-</v>
      </c>
      <c r="L103" s="85" t="str">
        <f>'Consumer Hardware Pricing'!Q111</f>
        <v>-</v>
      </c>
      <c r="M103" s="85" t="str">
        <f t="shared" si="175"/>
        <v>-</v>
      </c>
      <c r="N103" s="85" t="str">
        <f t="shared" si="150"/>
        <v>-</v>
      </c>
      <c r="O103" s="85" t="str">
        <f t="shared" si="151"/>
        <v>-</v>
      </c>
      <c r="P103" s="85" t="str">
        <f t="shared" si="163"/>
        <v>-</v>
      </c>
      <c r="Q103" s="85" t="str">
        <f>'Consumer Hardware Pricing'!S111</f>
        <v>-</v>
      </c>
      <c r="R103" s="85" t="str">
        <f t="shared" si="152"/>
        <v>-</v>
      </c>
      <c r="S103" s="85" t="str">
        <f>'Consumer Hardware Pricing'!T111</f>
        <v>-</v>
      </c>
      <c r="T103" s="129" t="str">
        <f t="shared" si="164"/>
        <v>-</v>
      </c>
      <c r="U103" s="129" t="str">
        <f t="shared" si="165"/>
        <v>-</v>
      </c>
      <c r="V103" s="85" t="str">
        <f t="shared" si="166"/>
        <v>-</v>
      </c>
      <c r="W103" s="129" t="str">
        <f>'Consumer Hardware Pricing'!V111</f>
        <v>-</v>
      </c>
      <c r="X103" s="129" t="str">
        <f t="shared" si="176"/>
        <v>-</v>
      </c>
      <c r="Y103" s="129" t="str">
        <f t="shared" si="167"/>
        <v>-</v>
      </c>
      <c r="Z103" s="129" t="str">
        <f t="shared" si="168"/>
        <v>-</v>
      </c>
      <c r="AA103" s="85" t="str">
        <f t="shared" si="169"/>
        <v>-</v>
      </c>
      <c r="AB103" s="85" t="str">
        <f>'Consumer Hardware Pricing'!X111</f>
        <v>-</v>
      </c>
      <c r="AC103" s="85" t="str">
        <f t="shared" si="141"/>
        <v>-</v>
      </c>
      <c r="AD103" s="85" t="str">
        <f>'Consumer Hardware Pricing'!Y111</f>
        <v>-</v>
      </c>
      <c r="AE103" s="85" t="str">
        <f t="shared" si="177"/>
        <v>-</v>
      </c>
      <c r="AF103" s="85" t="str">
        <f t="shared" si="178"/>
        <v>-</v>
      </c>
      <c r="AG103" s="85" t="str">
        <f t="shared" si="179"/>
        <v>-</v>
      </c>
      <c r="AH103" s="85" t="str">
        <f>'Consumer Hardware Pricing'!AA111</f>
        <v>-</v>
      </c>
      <c r="AI103" s="85" t="str">
        <f t="shared" si="142"/>
        <v>-</v>
      </c>
      <c r="AJ103" s="85" t="str">
        <f t="shared" si="180"/>
        <v>-</v>
      </c>
      <c r="AK103" s="85" t="str">
        <f t="shared" si="181"/>
        <v>-</v>
      </c>
      <c r="AL103" s="85" t="str">
        <f t="shared" si="182"/>
        <v>-</v>
      </c>
      <c r="AM103" s="85" t="str">
        <f>'Consumer Hardware Pricing'!AC111</f>
        <v>-</v>
      </c>
      <c r="AN103" s="85" t="str">
        <f t="shared" si="143"/>
        <v>-</v>
      </c>
      <c r="AO103" s="85" t="str">
        <f>'Consumer Hardware Pricing'!AD111</f>
        <v>-</v>
      </c>
      <c r="AP103" s="85" t="str">
        <f t="shared" si="183"/>
        <v>-</v>
      </c>
      <c r="AQ103" s="85" t="str">
        <f t="shared" si="184"/>
        <v>-</v>
      </c>
      <c r="AR103" s="85" t="str">
        <f t="shared" si="185"/>
        <v>-</v>
      </c>
      <c r="AS103" s="85" t="str">
        <f>'Consumer Hardware Pricing'!AF111</f>
        <v>-</v>
      </c>
      <c r="AT103" s="85" t="str">
        <f t="shared" si="144"/>
        <v>-</v>
      </c>
      <c r="AU103" s="85" t="str">
        <f t="shared" si="186"/>
        <v>-</v>
      </c>
      <c r="AV103" s="85" t="str">
        <f t="shared" si="187"/>
        <v>-</v>
      </c>
      <c r="AW103" s="85" t="str">
        <f t="shared" si="188"/>
        <v>-</v>
      </c>
      <c r="AX103" s="85" t="str">
        <f>'Consumer Hardware Pricing'!AH111</f>
        <v>-</v>
      </c>
      <c r="AY103" s="85" t="str">
        <f t="shared" si="145"/>
        <v>-</v>
      </c>
      <c r="AZ103" s="85" t="str">
        <f>'Consumer Hardware Pricing'!AI111</f>
        <v>-</v>
      </c>
      <c r="BA103" s="85" t="str">
        <f t="shared" si="153"/>
        <v>-</v>
      </c>
      <c r="BB103" s="85" t="str">
        <f t="shared" si="154"/>
        <v>-</v>
      </c>
      <c r="BC103" s="85" t="str">
        <f t="shared" si="170"/>
        <v>-</v>
      </c>
      <c r="BD103" s="85">
        <f>'Consumer Hardware Pricing'!AL111</f>
        <v>0</v>
      </c>
      <c r="BE103" s="85">
        <f t="shared" si="146"/>
        <v>24.96</v>
      </c>
      <c r="BF103" s="85" t="str">
        <f>'Consumer Hardware Pricing'!AM111</f>
        <v>-</v>
      </c>
      <c r="BG103" s="85">
        <f t="shared" si="155"/>
        <v>24.96</v>
      </c>
      <c r="BH103" s="85" t="str">
        <f t="shared" si="156"/>
        <v>-</v>
      </c>
      <c r="BI103" s="85">
        <f t="shared" si="171"/>
        <v>599.04</v>
      </c>
      <c r="BJ103" s="85" t="str">
        <f>'Consumer Hardware Pricing'!AP111</f>
        <v>-</v>
      </c>
      <c r="BK103" s="85" t="str">
        <f t="shared" si="147"/>
        <v>-</v>
      </c>
      <c r="BL103" s="85" t="str">
        <f>'Consumer Hardware Pricing'!AQ111</f>
        <v>-</v>
      </c>
      <c r="BM103" s="85" t="str">
        <f t="shared" si="157"/>
        <v>-</v>
      </c>
      <c r="BN103" s="85" t="str">
        <f t="shared" si="158"/>
        <v>-</v>
      </c>
      <c r="BO103" s="85" t="str">
        <f t="shared" si="172"/>
        <v>-</v>
      </c>
      <c r="BP103" s="85" t="str">
        <f>'Consumer Hardware Pricing'!AT111</f>
        <v>-</v>
      </c>
      <c r="BQ103" s="85" t="str">
        <f t="shared" si="148"/>
        <v>-</v>
      </c>
      <c r="BR103" s="85" t="str">
        <f>'Consumer Hardware Pricing'!AU111</f>
        <v>-</v>
      </c>
      <c r="BS103" s="85" t="str">
        <f t="shared" si="159"/>
        <v>-</v>
      </c>
      <c r="BT103" s="85" t="str">
        <f t="shared" si="160"/>
        <v>-</v>
      </c>
      <c r="BU103" s="85" t="str">
        <f t="shared" si="173"/>
        <v>-</v>
      </c>
    </row>
    <row r="104" spans="1:73" ht="30.15" customHeight="1" x14ac:dyDescent="0.25">
      <c r="A104" s="86" t="s">
        <v>35</v>
      </c>
      <c r="B104" s="88" t="s">
        <v>710</v>
      </c>
      <c r="C104" s="88" t="s">
        <v>708</v>
      </c>
      <c r="D104" s="85">
        <f>'Consumer Hardware Pricing'!L112</f>
        <v>719</v>
      </c>
      <c r="E104" s="85">
        <f>'Consumer Hardware Pricing'!M112</f>
        <v>719</v>
      </c>
      <c r="F104" s="85" t="str">
        <f>'Consumer Hardware Pricing'!N112</f>
        <v>-</v>
      </c>
      <c r="G104" s="85" t="str">
        <f t="shared" si="174"/>
        <v>-</v>
      </c>
      <c r="H104" s="85" t="str">
        <f>'Consumer Hardware Pricing'!O112</f>
        <v>-</v>
      </c>
      <c r="I104" s="85" t="str">
        <f t="shared" si="149"/>
        <v>-</v>
      </c>
      <c r="J104" s="85" t="str">
        <f t="shared" si="161"/>
        <v>-</v>
      </c>
      <c r="K104" s="85" t="str">
        <f t="shared" si="162"/>
        <v>-</v>
      </c>
      <c r="L104" s="85" t="str">
        <f>'Consumer Hardware Pricing'!Q112</f>
        <v>-</v>
      </c>
      <c r="M104" s="85" t="str">
        <f t="shared" si="175"/>
        <v>-</v>
      </c>
      <c r="N104" s="85" t="str">
        <f t="shared" si="150"/>
        <v>-</v>
      </c>
      <c r="O104" s="85" t="str">
        <f t="shared" si="151"/>
        <v>-</v>
      </c>
      <c r="P104" s="85" t="str">
        <f t="shared" si="163"/>
        <v>-</v>
      </c>
      <c r="Q104" s="85" t="str">
        <f>'Consumer Hardware Pricing'!S112</f>
        <v>-</v>
      </c>
      <c r="R104" s="85" t="str">
        <f t="shared" si="152"/>
        <v>-</v>
      </c>
      <c r="S104" s="85" t="str">
        <f>'Consumer Hardware Pricing'!T112</f>
        <v>-</v>
      </c>
      <c r="T104" s="129" t="str">
        <f t="shared" si="164"/>
        <v>-</v>
      </c>
      <c r="U104" s="129" t="str">
        <f t="shared" si="165"/>
        <v>-</v>
      </c>
      <c r="V104" s="85" t="str">
        <f t="shared" si="166"/>
        <v>-</v>
      </c>
      <c r="W104" s="129" t="str">
        <f>'Consumer Hardware Pricing'!V112</f>
        <v>-</v>
      </c>
      <c r="X104" s="129" t="str">
        <f t="shared" si="176"/>
        <v>-</v>
      </c>
      <c r="Y104" s="129" t="str">
        <f t="shared" si="167"/>
        <v>-</v>
      </c>
      <c r="Z104" s="129" t="str">
        <f t="shared" si="168"/>
        <v>-</v>
      </c>
      <c r="AA104" s="85" t="str">
        <f t="shared" si="169"/>
        <v>-</v>
      </c>
      <c r="AB104" s="85" t="str">
        <f>'Consumer Hardware Pricing'!X112</f>
        <v>-</v>
      </c>
      <c r="AC104" s="85" t="str">
        <f t="shared" si="141"/>
        <v>-</v>
      </c>
      <c r="AD104" s="85" t="str">
        <f>'Consumer Hardware Pricing'!Y112</f>
        <v>-</v>
      </c>
      <c r="AE104" s="85" t="str">
        <f t="shared" si="177"/>
        <v>-</v>
      </c>
      <c r="AF104" s="85" t="str">
        <f t="shared" si="178"/>
        <v>-</v>
      </c>
      <c r="AG104" s="85" t="str">
        <f t="shared" si="179"/>
        <v>-</v>
      </c>
      <c r="AH104" s="85" t="str">
        <f>'Consumer Hardware Pricing'!AA112</f>
        <v>-</v>
      </c>
      <c r="AI104" s="85" t="str">
        <f t="shared" si="142"/>
        <v>-</v>
      </c>
      <c r="AJ104" s="85" t="str">
        <f t="shared" si="180"/>
        <v>-</v>
      </c>
      <c r="AK104" s="85" t="str">
        <f t="shared" si="181"/>
        <v>-</v>
      </c>
      <c r="AL104" s="85" t="str">
        <f t="shared" si="182"/>
        <v>-</v>
      </c>
      <c r="AM104" s="85" t="str">
        <f>'Consumer Hardware Pricing'!AC112</f>
        <v>-</v>
      </c>
      <c r="AN104" s="85" t="str">
        <f t="shared" si="143"/>
        <v>-</v>
      </c>
      <c r="AO104" s="85" t="str">
        <f>'Consumer Hardware Pricing'!AD112</f>
        <v>-</v>
      </c>
      <c r="AP104" s="85" t="str">
        <f t="shared" si="183"/>
        <v>-</v>
      </c>
      <c r="AQ104" s="85" t="str">
        <f t="shared" si="184"/>
        <v>-</v>
      </c>
      <c r="AR104" s="85" t="str">
        <f t="shared" si="185"/>
        <v>-</v>
      </c>
      <c r="AS104" s="85" t="str">
        <f>'Consumer Hardware Pricing'!AF112</f>
        <v>-</v>
      </c>
      <c r="AT104" s="85" t="str">
        <f t="shared" si="144"/>
        <v>-</v>
      </c>
      <c r="AU104" s="85" t="str">
        <f t="shared" si="186"/>
        <v>-</v>
      </c>
      <c r="AV104" s="85" t="str">
        <f t="shared" si="187"/>
        <v>-</v>
      </c>
      <c r="AW104" s="85" t="str">
        <f t="shared" si="188"/>
        <v>-</v>
      </c>
      <c r="AX104" s="85" t="str">
        <f>'Consumer Hardware Pricing'!AH112</f>
        <v>-</v>
      </c>
      <c r="AY104" s="85" t="str">
        <f t="shared" si="145"/>
        <v>-</v>
      </c>
      <c r="AZ104" s="85" t="str">
        <f>'Consumer Hardware Pricing'!AI112</f>
        <v>-</v>
      </c>
      <c r="BA104" s="85" t="str">
        <f t="shared" si="153"/>
        <v>-</v>
      </c>
      <c r="BB104" s="85" t="str">
        <f t="shared" si="154"/>
        <v>-</v>
      </c>
      <c r="BC104" s="85" t="str">
        <f t="shared" si="170"/>
        <v>-</v>
      </c>
      <c r="BD104" s="85">
        <f>'Consumer Hardware Pricing'!AL112</f>
        <v>0</v>
      </c>
      <c r="BE104" s="85">
        <f t="shared" si="146"/>
        <v>29.96</v>
      </c>
      <c r="BF104" s="85" t="str">
        <f>'Consumer Hardware Pricing'!AM112</f>
        <v>-</v>
      </c>
      <c r="BG104" s="85">
        <f t="shared" si="155"/>
        <v>29.96</v>
      </c>
      <c r="BH104" s="85" t="str">
        <f t="shared" si="156"/>
        <v>-</v>
      </c>
      <c r="BI104" s="85">
        <f t="shared" si="171"/>
        <v>719.04</v>
      </c>
      <c r="BJ104" s="85" t="str">
        <f>'Consumer Hardware Pricing'!AP112</f>
        <v>-</v>
      </c>
      <c r="BK104" s="85" t="str">
        <f t="shared" si="147"/>
        <v>-</v>
      </c>
      <c r="BL104" s="85" t="str">
        <f>'Consumer Hardware Pricing'!AQ112</f>
        <v>-</v>
      </c>
      <c r="BM104" s="85" t="str">
        <f t="shared" si="157"/>
        <v>-</v>
      </c>
      <c r="BN104" s="85" t="str">
        <f t="shared" si="158"/>
        <v>-</v>
      </c>
      <c r="BO104" s="85" t="str">
        <f t="shared" si="172"/>
        <v>-</v>
      </c>
      <c r="BP104" s="85" t="str">
        <f>'Consumer Hardware Pricing'!AT112</f>
        <v>-</v>
      </c>
      <c r="BQ104" s="85" t="str">
        <f t="shared" si="148"/>
        <v>-</v>
      </c>
      <c r="BR104" s="85" t="str">
        <f>'Consumer Hardware Pricing'!AU112</f>
        <v>-</v>
      </c>
      <c r="BS104" s="85" t="str">
        <f t="shared" si="159"/>
        <v>-</v>
      </c>
      <c r="BT104" s="85" t="str">
        <f t="shared" si="160"/>
        <v>-</v>
      </c>
      <c r="BU104" s="85" t="str">
        <f t="shared" si="173"/>
        <v>-</v>
      </c>
    </row>
    <row r="105" spans="1:73" ht="30.15" customHeight="1" x14ac:dyDescent="0.25">
      <c r="A105" s="86" t="s">
        <v>35</v>
      </c>
      <c r="B105" s="88" t="s">
        <v>938</v>
      </c>
      <c r="C105" s="88" t="s">
        <v>934</v>
      </c>
      <c r="D105" s="85">
        <f>'Consumer Hardware Pricing'!L113</f>
        <v>600</v>
      </c>
      <c r="E105" s="85">
        <f>'Consumer Hardware Pricing'!M113</f>
        <v>600</v>
      </c>
      <c r="F105" s="85" t="str">
        <f>'Consumer Hardware Pricing'!N113</f>
        <v>-</v>
      </c>
      <c r="G105" s="85" t="str">
        <f t="shared" si="174"/>
        <v>-</v>
      </c>
      <c r="H105" s="85" t="str">
        <f>'Consumer Hardware Pricing'!O113</f>
        <v>-</v>
      </c>
      <c r="I105" s="85" t="str">
        <f t="shared" ref="I105:I108" si="189">IF(H105="-",G105,G105-H105)</f>
        <v>-</v>
      </c>
      <c r="J105" s="85" t="str">
        <f t="shared" ref="J105:J108" si="190">IF(H105="-",H105,H105*24)</f>
        <v>-</v>
      </c>
      <c r="K105" s="85" t="str">
        <f t="shared" ref="K105:K108" si="191">IF(F105="-",F105,I105*24)</f>
        <v>-</v>
      </c>
      <c r="L105" s="85" t="str">
        <f>'Consumer Hardware Pricing'!Q113</f>
        <v>-</v>
      </c>
      <c r="M105" s="85" t="str">
        <f t="shared" si="175"/>
        <v>-</v>
      </c>
      <c r="N105" s="85" t="str">
        <f t="shared" ref="N105:N108" si="192">IF(L105="-",L105,G105-M105)</f>
        <v>-</v>
      </c>
      <c r="O105" s="85" t="str">
        <f t="shared" ref="O105:O108" si="193">IF(L105="-",L105,M105*24)</f>
        <v>-</v>
      </c>
      <c r="P105" s="85" t="str">
        <f t="shared" ref="P105:P108" si="194">IF(L105="-",L105,N105*24)</f>
        <v>-</v>
      </c>
      <c r="Q105" s="85" t="str">
        <f>'Consumer Hardware Pricing'!S113</f>
        <v>-</v>
      </c>
      <c r="R105" s="85" t="str">
        <f t="shared" ref="R105:R108" si="195">G105</f>
        <v>-</v>
      </c>
      <c r="S105" s="85" t="str">
        <f>'Consumer Hardware Pricing'!T113</f>
        <v>-</v>
      </c>
      <c r="T105" s="129" t="str">
        <f t="shared" ref="T105:T108" si="196">IF(S105="-",R105,R105-S105)</f>
        <v>-</v>
      </c>
      <c r="U105" s="129" t="str">
        <f t="shared" ref="U105:U108" si="197">IF(S105="-",S105,S105*24)</f>
        <v>-</v>
      </c>
      <c r="V105" s="85" t="str">
        <f t="shared" ref="V105:V108" si="198">IF(Q105="-",Q105,T105*24)</f>
        <v>-</v>
      </c>
      <c r="W105" s="129" t="str">
        <f>'Consumer Hardware Pricing'!V113</f>
        <v>-</v>
      </c>
      <c r="X105" s="129" t="str">
        <f t="shared" si="176"/>
        <v>-</v>
      </c>
      <c r="Y105" s="129" t="str">
        <f t="shared" ref="Y105:Y108" si="199">IF(W105="-",W105,R105-X105)</f>
        <v>-</v>
      </c>
      <c r="Z105" s="129" t="str">
        <f t="shared" ref="Z105:Z108" si="200">IF(W105="-",W105,X105*24)</f>
        <v>-</v>
      </c>
      <c r="AA105" s="85" t="str">
        <f t="shared" ref="AA105:AA108" si="201">IF(W105="-",W105,Y105*24)</f>
        <v>-</v>
      </c>
      <c r="AB105" s="85" t="str">
        <f>'Consumer Hardware Pricing'!X113</f>
        <v>-</v>
      </c>
      <c r="AC105" s="85" t="str">
        <f t="shared" si="141"/>
        <v>-</v>
      </c>
      <c r="AD105" s="85" t="str">
        <f>'Consumer Hardware Pricing'!Y113</f>
        <v>-</v>
      </c>
      <c r="AE105" s="85" t="str">
        <f t="shared" si="177"/>
        <v>-</v>
      </c>
      <c r="AF105" s="85" t="str">
        <f t="shared" si="178"/>
        <v>-</v>
      </c>
      <c r="AG105" s="85" t="str">
        <f t="shared" si="179"/>
        <v>-</v>
      </c>
      <c r="AH105" s="85" t="str">
        <f>'Consumer Hardware Pricing'!AA113</f>
        <v>-</v>
      </c>
      <c r="AI105" s="85" t="str">
        <f t="shared" si="142"/>
        <v>-</v>
      </c>
      <c r="AJ105" s="85" t="str">
        <f t="shared" si="180"/>
        <v>-</v>
      </c>
      <c r="AK105" s="85" t="str">
        <f t="shared" si="181"/>
        <v>-</v>
      </c>
      <c r="AL105" s="85" t="str">
        <f t="shared" si="182"/>
        <v>-</v>
      </c>
      <c r="AM105" s="85" t="str">
        <f>'Consumer Hardware Pricing'!AC113</f>
        <v>-</v>
      </c>
      <c r="AN105" s="85" t="str">
        <f t="shared" si="143"/>
        <v>-</v>
      </c>
      <c r="AO105" s="85" t="str">
        <f>'Consumer Hardware Pricing'!AD113</f>
        <v>-</v>
      </c>
      <c r="AP105" s="85" t="str">
        <f t="shared" si="183"/>
        <v>-</v>
      </c>
      <c r="AQ105" s="85" t="str">
        <f t="shared" si="184"/>
        <v>-</v>
      </c>
      <c r="AR105" s="85" t="str">
        <f t="shared" si="185"/>
        <v>-</v>
      </c>
      <c r="AS105" s="85" t="str">
        <f>'Consumer Hardware Pricing'!AF113</f>
        <v>-</v>
      </c>
      <c r="AT105" s="85" t="str">
        <f t="shared" si="144"/>
        <v>-</v>
      </c>
      <c r="AU105" s="85" t="str">
        <f t="shared" si="186"/>
        <v>-</v>
      </c>
      <c r="AV105" s="85" t="str">
        <f t="shared" si="187"/>
        <v>-</v>
      </c>
      <c r="AW105" s="85" t="str">
        <f t="shared" si="188"/>
        <v>-</v>
      </c>
      <c r="AX105" s="85" t="str">
        <f>'Consumer Hardware Pricing'!AH113</f>
        <v>-</v>
      </c>
      <c r="AY105" s="85" t="str">
        <f t="shared" si="145"/>
        <v>-</v>
      </c>
      <c r="AZ105" s="85" t="str">
        <f>'Consumer Hardware Pricing'!AI113</f>
        <v>-</v>
      </c>
      <c r="BA105" s="85" t="str">
        <f t="shared" ref="BA105:BA108" si="202">IF(AZ105="-",AY105,AY105-AZ105)</f>
        <v>-</v>
      </c>
      <c r="BB105" s="85" t="str">
        <f t="shared" ref="BB105:BB108" si="203">IF(AZ105="-",AZ105,AZ105*24)</f>
        <v>-</v>
      </c>
      <c r="BC105" s="85" t="str">
        <f t="shared" ref="BC105:BC108" si="204">IF(AX105="-",AX105,AX105+(BA105*24))</f>
        <v>-</v>
      </c>
      <c r="BD105" s="85">
        <f>'Consumer Hardware Pricing'!AL113</f>
        <v>0</v>
      </c>
      <c r="BE105" s="85">
        <f t="shared" si="146"/>
        <v>25</v>
      </c>
      <c r="BF105" s="85" t="str">
        <f>'Consumer Hardware Pricing'!AM113</f>
        <v>-</v>
      </c>
      <c r="BG105" s="85">
        <f t="shared" ref="BG105:BG108" si="205">IF(BF105="-",BE105,BE105-BF105)</f>
        <v>25</v>
      </c>
      <c r="BH105" s="85" t="str">
        <f t="shared" ref="BH105:BH108" si="206">IF(BF105="-",BF105,BF105*24)</f>
        <v>-</v>
      </c>
      <c r="BI105" s="85">
        <f t="shared" ref="BI105:BI108" si="207">IF(BD105="-",BD105,BD105+(BG105*24))</f>
        <v>600</v>
      </c>
      <c r="BJ105" s="85" t="str">
        <f>'Consumer Hardware Pricing'!AP113</f>
        <v>-</v>
      </c>
      <c r="BK105" s="85" t="str">
        <f t="shared" si="147"/>
        <v>-</v>
      </c>
      <c r="BL105" s="85" t="str">
        <f>'Consumer Hardware Pricing'!AQ113</f>
        <v>-</v>
      </c>
      <c r="BM105" s="85" t="str">
        <f t="shared" ref="BM105:BM108" si="208">IF(BL105="-",BK105,BK105-BL105)</f>
        <v>-</v>
      </c>
      <c r="BN105" s="85" t="str">
        <f t="shared" ref="BN105:BN108" si="209">IF(BL105="-",BL105,BL105*24)</f>
        <v>-</v>
      </c>
      <c r="BO105" s="85" t="str">
        <f t="shared" ref="BO105:BO108" si="210">IF(BJ105="-",BJ105,BJ105+(BM105*24))</f>
        <v>-</v>
      </c>
      <c r="BP105" s="85" t="str">
        <f>'Consumer Hardware Pricing'!AT113</f>
        <v>-</v>
      </c>
      <c r="BQ105" s="85" t="str">
        <f t="shared" si="148"/>
        <v>-</v>
      </c>
      <c r="BR105" s="85" t="str">
        <f>'Consumer Hardware Pricing'!AU113</f>
        <v>-</v>
      </c>
      <c r="BS105" s="85" t="str">
        <f t="shared" ref="BS105:BS108" si="211">IF(BR105="-",BQ105,BQ105-BR105)</f>
        <v>-</v>
      </c>
      <c r="BT105" s="85" t="str">
        <f t="shared" ref="BT105:BT108" si="212">IF(BR105="-",BR105,BR105*24)</f>
        <v>-</v>
      </c>
      <c r="BU105" s="85" t="str">
        <f t="shared" ref="BU105:BU108" si="213">IF(BP105="-",BP105,BP105+(BS105*24))</f>
        <v>-</v>
      </c>
    </row>
    <row r="106" spans="1:73" ht="30.15" customHeight="1" x14ac:dyDescent="0.25">
      <c r="A106" s="86" t="s">
        <v>35</v>
      </c>
      <c r="B106" s="88" t="s">
        <v>952</v>
      </c>
      <c r="C106" s="88" t="s">
        <v>934</v>
      </c>
      <c r="D106" s="85">
        <f>'Consumer Hardware Pricing'!L114</f>
        <v>600</v>
      </c>
      <c r="E106" s="85">
        <f>'Consumer Hardware Pricing'!M114</f>
        <v>600</v>
      </c>
      <c r="F106" s="85" t="str">
        <f>'Consumer Hardware Pricing'!N114</f>
        <v>-</v>
      </c>
      <c r="G106" s="85" t="str">
        <f t="shared" si="174"/>
        <v>-</v>
      </c>
      <c r="H106" s="85" t="str">
        <f>'Consumer Hardware Pricing'!O114</f>
        <v>-</v>
      </c>
      <c r="I106" s="85" t="str">
        <f t="shared" ref="I106" si="214">IF(H106="-",G106,G106-H106)</f>
        <v>-</v>
      </c>
      <c r="J106" s="85" t="str">
        <f t="shared" ref="J106" si="215">IF(H106="-",H106,H106*24)</f>
        <v>-</v>
      </c>
      <c r="K106" s="85" t="str">
        <f t="shared" ref="K106" si="216">IF(F106="-",F106,I106*24)</f>
        <v>-</v>
      </c>
      <c r="L106" s="85" t="str">
        <f>'Consumer Hardware Pricing'!Q114</f>
        <v>-</v>
      </c>
      <c r="M106" s="85" t="str">
        <f t="shared" si="175"/>
        <v>-</v>
      </c>
      <c r="N106" s="85" t="str">
        <f t="shared" ref="N106" si="217">IF(L106="-",L106,G106-M106)</f>
        <v>-</v>
      </c>
      <c r="O106" s="85" t="str">
        <f t="shared" ref="O106" si="218">IF(L106="-",L106,M106*24)</f>
        <v>-</v>
      </c>
      <c r="P106" s="85" t="str">
        <f t="shared" ref="P106" si="219">IF(L106="-",L106,N106*24)</f>
        <v>-</v>
      </c>
      <c r="Q106" s="85" t="str">
        <f>'Consumer Hardware Pricing'!S114</f>
        <v>-</v>
      </c>
      <c r="R106" s="85" t="str">
        <f t="shared" ref="R106" si="220">G106</f>
        <v>-</v>
      </c>
      <c r="S106" s="85" t="str">
        <f>'Consumer Hardware Pricing'!T114</f>
        <v>-</v>
      </c>
      <c r="T106" s="129" t="str">
        <f t="shared" ref="T106" si="221">IF(S106="-",R106,R106-S106)</f>
        <v>-</v>
      </c>
      <c r="U106" s="129" t="str">
        <f t="shared" ref="U106" si="222">IF(S106="-",S106,S106*24)</f>
        <v>-</v>
      </c>
      <c r="V106" s="85" t="str">
        <f t="shared" ref="V106" si="223">IF(Q106="-",Q106,T106*24)</f>
        <v>-</v>
      </c>
      <c r="W106" s="129" t="str">
        <f>'Consumer Hardware Pricing'!V114</f>
        <v>-</v>
      </c>
      <c r="X106" s="129" t="str">
        <f t="shared" si="176"/>
        <v>-</v>
      </c>
      <c r="Y106" s="129" t="str">
        <f t="shared" ref="Y106" si="224">IF(W106="-",W106,R106-X106)</f>
        <v>-</v>
      </c>
      <c r="Z106" s="129" t="str">
        <f t="shared" ref="Z106" si="225">IF(W106="-",W106,X106*24)</f>
        <v>-</v>
      </c>
      <c r="AA106" s="85" t="str">
        <f t="shared" ref="AA106" si="226">IF(W106="-",W106,Y106*24)</f>
        <v>-</v>
      </c>
      <c r="AB106" s="85" t="str">
        <f>'Consumer Hardware Pricing'!X114</f>
        <v>-</v>
      </c>
      <c r="AC106" s="85" t="str">
        <f t="shared" si="141"/>
        <v>-</v>
      </c>
      <c r="AD106" s="85" t="str">
        <f>'Consumer Hardware Pricing'!Y114</f>
        <v>-</v>
      </c>
      <c r="AE106" s="85" t="str">
        <f t="shared" si="177"/>
        <v>-</v>
      </c>
      <c r="AF106" s="85" t="str">
        <f t="shared" si="178"/>
        <v>-</v>
      </c>
      <c r="AG106" s="85" t="str">
        <f t="shared" si="179"/>
        <v>-</v>
      </c>
      <c r="AH106" s="85" t="str">
        <f>'Consumer Hardware Pricing'!AA114</f>
        <v>-</v>
      </c>
      <c r="AI106" s="85" t="str">
        <f t="shared" si="142"/>
        <v>-</v>
      </c>
      <c r="AJ106" s="85" t="str">
        <f t="shared" si="180"/>
        <v>-</v>
      </c>
      <c r="AK106" s="85" t="str">
        <f t="shared" si="181"/>
        <v>-</v>
      </c>
      <c r="AL106" s="85" t="str">
        <f t="shared" si="182"/>
        <v>-</v>
      </c>
      <c r="AM106" s="85" t="str">
        <f>'Consumer Hardware Pricing'!AC114</f>
        <v>-</v>
      </c>
      <c r="AN106" s="85" t="str">
        <f t="shared" si="143"/>
        <v>-</v>
      </c>
      <c r="AO106" s="85" t="str">
        <f>'Consumer Hardware Pricing'!AD114</f>
        <v>-</v>
      </c>
      <c r="AP106" s="85" t="str">
        <f t="shared" si="183"/>
        <v>-</v>
      </c>
      <c r="AQ106" s="85" t="str">
        <f t="shared" si="184"/>
        <v>-</v>
      </c>
      <c r="AR106" s="85" t="str">
        <f t="shared" si="185"/>
        <v>-</v>
      </c>
      <c r="AS106" s="85" t="str">
        <f>'Consumer Hardware Pricing'!AF114</f>
        <v>-</v>
      </c>
      <c r="AT106" s="85" t="str">
        <f t="shared" si="144"/>
        <v>-</v>
      </c>
      <c r="AU106" s="85" t="str">
        <f t="shared" si="186"/>
        <v>-</v>
      </c>
      <c r="AV106" s="85" t="str">
        <f t="shared" si="187"/>
        <v>-</v>
      </c>
      <c r="AW106" s="85" t="str">
        <f t="shared" si="188"/>
        <v>-</v>
      </c>
      <c r="AX106" s="85" t="str">
        <f>'Consumer Hardware Pricing'!AH114</f>
        <v>-</v>
      </c>
      <c r="AY106" s="85" t="str">
        <f t="shared" si="145"/>
        <v>-</v>
      </c>
      <c r="AZ106" s="85" t="str">
        <f>'Consumer Hardware Pricing'!AI114</f>
        <v>-</v>
      </c>
      <c r="BA106" s="85" t="str">
        <f t="shared" ref="BA106" si="227">IF(AZ106="-",AY106,AY106-AZ106)</f>
        <v>-</v>
      </c>
      <c r="BB106" s="85" t="str">
        <f t="shared" ref="BB106" si="228">IF(AZ106="-",AZ106,AZ106*24)</f>
        <v>-</v>
      </c>
      <c r="BC106" s="85" t="str">
        <f t="shared" ref="BC106" si="229">IF(AX106="-",AX106,AX106+(BA106*24))</f>
        <v>-</v>
      </c>
      <c r="BD106" s="85">
        <f>'Consumer Hardware Pricing'!AL114</f>
        <v>0</v>
      </c>
      <c r="BE106" s="85">
        <f t="shared" si="146"/>
        <v>25</v>
      </c>
      <c r="BF106" s="85" t="str">
        <f>'Consumer Hardware Pricing'!AM114</f>
        <v>-</v>
      </c>
      <c r="BG106" s="85">
        <f t="shared" ref="BG106" si="230">IF(BF106="-",BE106,BE106-BF106)</f>
        <v>25</v>
      </c>
      <c r="BH106" s="85" t="str">
        <f t="shared" ref="BH106" si="231">IF(BF106="-",BF106,BF106*24)</f>
        <v>-</v>
      </c>
      <c r="BI106" s="85">
        <f t="shared" ref="BI106" si="232">IF(BD106="-",BD106,BD106+(BG106*24))</f>
        <v>600</v>
      </c>
      <c r="BJ106" s="85" t="str">
        <f>'Consumer Hardware Pricing'!AP114</f>
        <v>-</v>
      </c>
      <c r="BK106" s="85" t="str">
        <f t="shared" si="147"/>
        <v>-</v>
      </c>
      <c r="BL106" s="85" t="str">
        <f>'Consumer Hardware Pricing'!AQ114</f>
        <v>-</v>
      </c>
      <c r="BM106" s="85" t="str">
        <f t="shared" ref="BM106" si="233">IF(BL106="-",BK106,BK106-BL106)</f>
        <v>-</v>
      </c>
      <c r="BN106" s="85" t="str">
        <f t="shared" ref="BN106" si="234">IF(BL106="-",BL106,BL106*24)</f>
        <v>-</v>
      </c>
      <c r="BO106" s="85" t="str">
        <f t="shared" ref="BO106" si="235">IF(BJ106="-",BJ106,BJ106+(BM106*24))</f>
        <v>-</v>
      </c>
      <c r="BP106" s="85" t="str">
        <f>'Consumer Hardware Pricing'!AT114</f>
        <v>-</v>
      </c>
      <c r="BQ106" s="85" t="str">
        <f t="shared" si="148"/>
        <v>-</v>
      </c>
      <c r="BR106" s="85" t="str">
        <f>'Consumer Hardware Pricing'!AU114</f>
        <v>-</v>
      </c>
      <c r="BS106" s="85" t="str">
        <f t="shared" ref="BS106" si="236">IF(BR106="-",BQ106,BQ106-BR106)</f>
        <v>-</v>
      </c>
      <c r="BT106" s="85" t="str">
        <f t="shared" ref="BT106" si="237">IF(BR106="-",BR106,BR106*24)</f>
        <v>-</v>
      </c>
      <c r="BU106" s="85" t="str">
        <f t="shared" ref="BU106" si="238">IF(BP106="-",BP106,BP106+(BS106*24))</f>
        <v>-</v>
      </c>
    </row>
    <row r="107" spans="1:73" ht="30.15" customHeight="1" x14ac:dyDescent="0.25">
      <c r="A107" s="86" t="s">
        <v>35</v>
      </c>
      <c r="B107" s="88" t="s">
        <v>1017</v>
      </c>
      <c r="C107" s="88" t="s">
        <v>934</v>
      </c>
      <c r="D107" s="85">
        <f>'Consumer Hardware Pricing'!L115</f>
        <v>600</v>
      </c>
      <c r="E107" s="85">
        <f>'Consumer Hardware Pricing'!M115</f>
        <v>600</v>
      </c>
      <c r="F107" s="85" t="str">
        <f>'Consumer Hardware Pricing'!N115</f>
        <v>-</v>
      </c>
      <c r="G107" s="85" t="str">
        <f t="shared" si="174"/>
        <v>-</v>
      </c>
      <c r="H107" s="85" t="str">
        <f>'Consumer Hardware Pricing'!O115</f>
        <v>-</v>
      </c>
      <c r="I107" s="85" t="str">
        <f t="shared" ref="I107" si="239">IF(H107="-",G107,G107-H107)</f>
        <v>-</v>
      </c>
      <c r="J107" s="85" t="str">
        <f t="shared" ref="J107" si="240">IF(H107="-",H107,H107*24)</f>
        <v>-</v>
      </c>
      <c r="K107" s="85" t="str">
        <f t="shared" ref="K107" si="241">IF(F107="-",F107,I107*24)</f>
        <v>-</v>
      </c>
      <c r="L107" s="85" t="str">
        <f>'Consumer Hardware Pricing'!Q115</f>
        <v>-</v>
      </c>
      <c r="M107" s="85" t="str">
        <f t="shared" si="175"/>
        <v>-</v>
      </c>
      <c r="N107" s="85" t="str">
        <f t="shared" ref="N107" si="242">IF(L107="-",L107,G107-M107)</f>
        <v>-</v>
      </c>
      <c r="O107" s="85" t="str">
        <f t="shared" ref="O107" si="243">IF(L107="-",L107,M107*24)</f>
        <v>-</v>
      </c>
      <c r="P107" s="85" t="str">
        <f t="shared" ref="P107" si="244">IF(L107="-",L107,N107*24)</f>
        <v>-</v>
      </c>
      <c r="Q107" s="85" t="str">
        <f>'Consumer Hardware Pricing'!S115</f>
        <v>-</v>
      </c>
      <c r="R107" s="85" t="str">
        <f t="shared" ref="R107" si="245">G107</f>
        <v>-</v>
      </c>
      <c r="S107" s="85" t="str">
        <f>'Consumer Hardware Pricing'!T115</f>
        <v>-</v>
      </c>
      <c r="T107" s="129" t="str">
        <f t="shared" ref="T107" si="246">IF(S107="-",R107,R107-S107)</f>
        <v>-</v>
      </c>
      <c r="U107" s="129" t="str">
        <f t="shared" ref="U107" si="247">IF(S107="-",S107,S107*24)</f>
        <v>-</v>
      </c>
      <c r="V107" s="85" t="str">
        <f t="shared" ref="V107" si="248">IF(Q107="-",Q107,T107*24)</f>
        <v>-</v>
      </c>
      <c r="W107" s="129" t="str">
        <f>'Consumer Hardware Pricing'!V115</f>
        <v>-</v>
      </c>
      <c r="X107" s="129" t="str">
        <f t="shared" si="176"/>
        <v>-</v>
      </c>
      <c r="Y107" s="129" t="str">
        <f t="shared" ref="Y107" si="249">IF(W107="-",W107,R107-X107)</f>
        <v>-</v>
      </c>
      <c r="Z107" s="129" t="str">
        <f t="shared" ref="Z107" si="250">IF(W107="-",W107,X107*24)</f>
        <v>-</v>
      </c>
      <c r="AA107" s="85" t="str">
        <f t="shared" ref="AA107" si="251">IF(W107="-",W107,Y107*24)</f>
        <v>-</v>
      </c>
      <c r="AB107" s="85" t="str">
        <f>'Consumer Hardware Pricing'!X115</f>
        <v>-</v>
      </c>
      <c r="AC107" s="85" t="str">
        <f t="shared" si="141"/>
        <v>-</v>
      </c>
      <c r="AD107" s="85" t="str">
        <f>'Consumer Hardware Pricing'!Y115</f>
        <v>-</v>
      </c>
      <c r="AE107" s="85" t="str">
        <f t="shared" si="177"/>
        <v>-</v>
      </c>
      <c r="AF107" s="85" t="str">
        <f t="shared" si="178"/>
        <v>-</v>
      </c>
      <c r="AG107" s="85" t="str">
        <f t="shared" si="179"/>
        <v>-</v>
      </c>
      <c r="AH107" s="85" t="str">
        <f>'Consumer Hardware Pricing'!AA115</f>
        <v>-</v>
      </c>
      <c r="AI107" s="85" t="str">
        <f t="shared" si="142"/>
        <v>-</v>
      </c>
      <c r="AJ107" s="85" t="str">
        <f t="shared" si="180"/>
        <v>-</v>
      </c>
      <c r="AK107" s="85" t="str">
        <f t="shared" si="181"/>
        <v>-</v>
      </c>
      <c r="AL107" s="85" t="str">
        <f t="shared" si="182"/>
        <v>-</v>
      </c>
      <c r="AM107" s="85" t="str">
        <f>'Consumer Hardware Pricing'!AC115</f>
        <v>-</v>
      </c>
      <c r="AN107" s="85" t="str">
        <f t="shared" si="143"/>
        <v>-</v>
      </c>
      <c r="AO107" s="85" t="str">
        <f>'Consumer Hardware Pricing'!AD115</f>
        <v>-</v>
      </c>
      <c r="AP107" s="85" t="str">
        <f t="shared" si="183"/>
        <v>-</v>
      </c>
      <c r="AQ107" s="85" t="str">
        <f t="shared" si="184"/>
        <v>-</v>
      </c>
      <c r="AR107" s="85" t="str">
        <f t="shared" si="185"/>
        <v>-</v>
      </c>
      <c r="AS107" s="85" t="str">
        <f>'Consumer Hardware Pricing'!AF115</f>
        <v>-</v>
      </c>
      <c r="AT107" s="85" t="str">
        <f t="shared" si="144"/>
        <v>-</v>
      </c>
      <c r="AU107" s="85" t="str">
        <f t="shared" si="186"/>
        <v>-</v>
      </c>
      <c r="AV107" s="85" t="str">
        <f t="shared" si="187"/>
        <v>-</v>
      </c>
      <c r="AW107" s="85" t="str">
        <f t="shared" si="188"/>
        <v>-</v>
      </c>
      <c r="AX107" s="85" t="str">
        <f>'Consumer Hardware Pricing'!AH115</f>
        <v>-</v>
      </c>
      <c r="AY107" s="85" t="str">
        <f t="shared" si="145"/>
        <v>-</v>
      </c>
      <c r="AZ107" s="85" t="str">
        <f>'Consumer Hardware Pricing'!AI115</f>
        <v>-</v>
      </c>
      <c r="BA107" s="85" t="str">
        <f t="shared" ref="BA107" si="252">IF(AZ107="-",AY107,AY107-AZ107)</f>
        <v>-</v>
      </c>
      <c r="BB107" s="85" t="str">
        <f t="shared" ref="BB107" si="253">IF(AZ107="-",AZ107,AZ107*24)</f>
        <v>-</v>
      </c>
      <c r="BC107" s="85" t="str">
        <f t="shared" ref="BC107" si="254">IF(AX107="-",AX107,AX107+(BA107*24))</f>
        <v>-</v>
      </c>
      <c r="BD107" s="85">
        <f>'Consumer Hardware Pricing'!AL115</f>
        <v>0</v>
      </c>
      <c r="BE107" s="85">
        <f t="shared" si="146"/>
        <v>25</v>
      </c>
      <c r="BF107" s="85" t="str">
        <f>'Consumer Hardware Pricing'!AM115</f>
        <v>-</v>
      </c>
      <c r="BG107" s="85">
        <f t="shared" ref="BG107" si="255">IF(BF107="-",BE107,BE107-BF107)</f>
        <v>25</v>
      </c>
      <c r="BH107" s="85" t="str">
        <f t="shared" ref="BH107" si="256">IF(BF107="-",BF107,BF107*24)</f>
        <v>-</v>
      </c>
      <c r="BI107" s="85">
        <f t="shared" ref="BI107" si="257">IF(BD107="-",BD107,BD107+(BG107*24))</f>
        <v>600</v>
      </c>
      <c r="BJ107" s="85" t="str">
        <f>'Consumer Hardware Pricing'!AP115</f>
        <v>-</v>
      </c>
      <c r="BK107" s="85" t="str">
        <f t="shared" si="147"/>
        <v>-</v>
      </c>
      <c r="BL107" s="85" t="str">
        <f>'Consumer Hardware Pricing'!AQ115</f>
        <v>-</v>
      </c>
      <c r="BM107" s="85" t="str">
        <f t="shared" ref="BM107" si="258">IF(BL107="-",BK107,BK107-BL107)</f>
        <v>-</v>
      </c>
      <c r="BN107" s="85" t="str">
        <f t="shared" ref="BN107" si="259">IF(BL107="-",BL107,BL107*24)</f>
        <v>-</v>
      </c>
      <c r="BO107" s="85" t="str">
        <f t="shared" ref="BO107" si="260">IF(BJ107="-",BJ107,BJ107+(BM107*24))</f>
        <v>-</v>
      </c>
      <c r="BP107" s="85" t="str">
        <f>'Consumer Hardware Pricing'!AT115</f>
        <v>-</v>
      </c>
      <c r="BQ107" s="85" t="str">
        <f t="shared" si="148"/>
        <v>-</v>
      </c>
      <c r="BR107" s="85" t="str">
        <f>'Consumer Hardware Pricing'!AU115</f>
        <v>-</v>
      </c>
      <c r="BS107" s="85" t="str">
        <f t="shared" ref="BS107" si="261">IF(BR107="-",BQ107,BQ107-BR107)</f>
        <v>-</v>
      </c>
      <c r="BT107" s="85" t="str">
        <f t="shared" ref="BT107" si="262">IF(BR107="-",BR107,BR107*24)</f>
        <v>-</v>
      </c>
      <c r="BU107" s="85" t="str">
        <f t="shared" ref="BU107" si="263">IF(BP107="-",BP107,BP107+(BS107*24))</f>
        <v>-</v>
      </c>
    </row>
    <row r="108" spans="1:73" ht="30.15" customHeight="1" x14ac:dyDescent="0.25">
      <c r="A108" s="86" t="s">
        <v>35</v>
      </c>
      <c r="B108" s="88" t="s">
        <v>939</v>
      </c>
      <c r="C108" s="88" t="s">
        <v>935</v>
      </c>
      <c r="D108" s="85">
        <f>'Consumer Hardware Pricing'!L116</f>
        <v>720</v>
      </c>
      <c r="E108" s="85">
        <f>'Consumer Hardware Pricing'!M116</f>
        <v>720</v>
      </c>
      <c r="F108" s="85" t="str">
        <f>'Consumer Hardware Pricing'!N116</f>
        <v>-</v>
      </c>
      <c r="G108" s="85" t="str">
        <f t="shared" si="174"/>
        <v>-</v>
      </c>
      <c r="H108" s="85" t="str">
        <f>'Consumer Hardware Pricing'!O116</f>
        <v>-</v>
      </c>
      <c r="I108" s="85" t="str">
        <f t="shared" si="189"/>
        <v>-</v>
      </c>
      <c r="J108" s="85" t="str">
        <f t="shared" si="190"/>
        <v>-</v>
      </c>
      <c r="K108" s="85" t="str">
        <f t="shared" si="191"/>
        <v>-</v>
      </c>
      <c r="L108" s="85" t="str">
        <f>'Consumer Hardware Pricing'!Q116</f>
        <v>-</v>
      </c>
      <c r="M108" s="85" t="str">
        <f t="shared" si="175"/>
        <v>-</v>
      </c>
      <c r="N108" s="85" t="str">
        <f t="shared" si="192"/>
        <v>-</v>
      </c>
      <c r="O108" s="85" t="str">
        <f t="shared" si="193"/>
        <v>-</v>
      </c>
      <c r="P108" s="85" t="str">
        <f t="shared" si="194"/>
        <v>-</v>
      </c>
      <c r="Q108" s="85" t="str">
        <f>'Consumer Hardware Pricing'!S116</f>
        <v>-</v>
      </c>
      <c r="R108" s="85" t="str">
        <f t="shared" si="195"/>
        <v>-</v>
      </c>
      <c r="S108" s="85" t="str">
        <f>'Consumer Hardware Pricing'!T116</f>
        <v>-</v>
      </c>
      <c r="T108" s="129" t="str">
        <f t="shared" si="196"/>
        <v>-</v>
      </c>
      <c r="U108" s="129" t="str">
        <f t="shared" si="197"/>
        <v>-</v>
      </c>
      <c r="V108" s="85" t="str">
        <f t="shared" si="198"/>
        <v>-</v>
      </c>
      <c r="W108" s="129" t="str">
        <f>'Consumer Hardware Pricing'!V116</f>
        <v>-</v>
      </c>
      <c r="X108" s="129" t="str">
        <f t="shared" si="176"/>
        <v>-</v>
      </c>
      <c r="Y108" s="129" t="str">
        <f t="shared" si="199"/>
        <v>-</v>
      </c>
      <c r="Z108" s="129" t="str">
        <f t="shared" si="200"/>
        <v>-</v>
      </c>
      <c r="AA108" s="85" t="str">
        <f t="shared" si="201"/>
        <v>-</v>
      </c>
      <c r="AB108" s="85" t="str">
        <f>'Consumer Hardware Pricing'!X116</f>
        <v>-</v>
      </c>
      <c r="AC108" s="85" t="str">
        <f t="shared" si="141"/>
        <v>-</v>
      </c>
      <c r="AD108" s="85" t="str">
        <f>'Consumer Hardware Pricing'!Y116</f>
        <v>-</v>
      </c>
      <c r="AE108" s="85" t="str">
        <f t="shared" si="177"/>
        <v>-</v>
      </c>
      <c r="AF108" s="85" t="str">
        <f t="shared" si="178"/>
        <v>-</v>
      </c>
      <c r="AG108" s="85" t="str">
        <f t="shared" si="179"/>
        <v>-</v>
      </c>
      <c r="AH108" s="85" t="str">
        <f>'Consumer Hardware Pricing'!AA116</f>
        <v>-</v>
      </c>
      <c r="AI108" s="85" t="str">
        <f t="shared" si="142"/>
        <v>-</v>
      </c>
      <c r="AJ108" s="85" t="str">
        <f t="shared" si="180"/>
        <v>-</v>
      </c>
      <c r="AK108" s="85" t="str">
        <f t="shared" si="181"/>
        <v>-</v>
      </c>
      <c r="AL108" s="85" t="str">
        <f t="shared" si="182"/>
        <v>-</v>
      </c>
      <c r="AM108" s="85" t="str">
        <f>'Consumer Hardware Pricing'!AC116</f>
        <v>-</v>
      </c>
      <c r="AN108" s="85" t="str">
        <f t="shared" si="143"/>
        <v>-</v>
      </c>
      <c r="AO108" s="85" t="str">
        <f>'Consumer Hardware Pricing'!AD116</f>
        <v>-</v>
      </c>
      <c r="AP108" s="85" t="str">
        <f t="shared" si="183"/>
        <v>-</v>
      </c>
      <c r="AQ108" s="85" t="str">
        <f t="shared" si="184"/>
        <v>-</v>
      </c>
      <c r="AR108" s="85" t="str">
        <f t="shared" si="185"/>
        <v>-</v>
      </c>
      <c r="AS108" s="85" t="str">
        <f>'Consumer Hardware Pricing'!AF116</f>
        <v>-</v>
      </c>
      <c r="AT108" s="85" t="str">
        <f t="shared" si="144"/>
        <v>-</v>
      </c>
      <c r="AU108" s="85" t="str">
        <f t="shared" si="186"/>
        <v>-</v>
      </c>
      <c r="AV108" s="85" t="str">
        <f t="shared" si="187"/>
        <v>-</v>
      </c>
      <c r="AW108" s="85" t="str">
        <f t="shared" si="188"/>
        <v>-</v>
      </c>
      <c r="AX108" s="85" t="str">
        <f>'Consumer Hardware Pricing'!AH116</f>
        <v>-</v>
      </c>
      <c r="AY108" s="85" t="str">
        <f t="shared" si="145"/>
        <v>-</v>
      </c>
      <c r="AZ108" s="85" t="str">
        <f>'Consumer Hardware Pricing'!AI116</f>
        <v>-</v>
      </c>
      <c r="BA108" s="85" t="str">
        <f t="shared" si="202"/>
        <v>-</v>
      </c>
      <c r="BB108" s="85" t="str">
        <f t="shared" si="203"/>
        <v>-</v>
      </c>
      <c r="BC108" s="85" t="str">
        <f t="shared" si="204"/>
        <v>-</v>
      </c>
      <c r="BD108" s="85">
        <f>'Consumer Hardware Pricing'!AL116</f>
        <v>0</v>
      </c>
      <c r="BE108" s="85">
        <f t="shared" si="146"/>
        <v>30</v>
      </c>
      <c r="BF108" s="85" t="str">
        <f>'Consumer Hardware Pricing'!AM116</f>
        <v>-</v>
      </c>
      <c r="BG108" s="85">
        <f t="shared" si="205"/>
        <v>30</v>
      </c>
      <c r="BH108" s="85" t="str">
        <f t="shared" si="206"/>
        <v>-</v>
      </c>
      <c r="BI108" s="85">
        <f t="shared" si="207"/>
        <v>720</v>
      </c>
      <c r="BJ108" s="85" t="str">
        <f>'Consumer Hardware Pricing'!AP116</f>
        <v>-</v>
      </c>
      <c r="BK108" s="85" t="str">
        <f t="shared" si="147"/>
        <v>-</v>
      </c>
      <c r="BL108" s="85" t="str">
        <f>'Consumer Hardware Pricing'!AQ116</f>
        <v>-</v>
      </c>
      <c r="BM108" s="85" t="str">
        <f t="shared" si="208"/>
        <v>-</v>
      </c>
      <c r="BN108" s="85" t="str">
        <f t="shared" si="209"/>
        <v>-</v>
      </c>
      <c r="BO108" s="85" t="str">
        <f t="shared" si="210"/>
        <v>-</v>
      </c>
      <c r="BP108" s="85" t="str">
        <f>'Consumer Hardware Pricing'!AT116</f>
        <v>-</v>
      </c>
      <c r="BQ108" s="85" t="str">
        <f t="shared" si="148"/>
        <v>-</v>
      </c>
      <c r="BR108" s="85" t="str">
        <f>'Consumer Hardware Pricing'!AU116</f>
        <v>-</v>
      </c>
      <c r="BS108" s="85" t="str">
        <f t="shared" si="211"/>
        <v>-</v>
      </c>
      <c r="BT108" s="85" t="str">
        <f t="shared" si="212"/>
        <v>-</v>
      </c>
      <c r="BU108" s="85" t="str">
        <f t="shared" si="213"/>
        <v>-</v>
      </c>
    </row>
    <row r="109" spans="1:73" ht="30.15" customHeight="1" x14ac:dyDescent="0.25">
      <c r="A109" s="86" t="s">
        <v>35</v>
      </c>
      <c r="B109" s="88" t="s">
        <v>1018</v>
      </c>
      <c r="C109" s="88" t="s">
        <v>935</v>
      </c>
      <c r="D109" s="85">
        <f>'Consumer Hardware Pricing'!L117</f>
        <v>720</v>
      </c>
      <c r="E109" s="85">
        <f>'Consumer Hardware Pricing'!M117</f>
        <v>720</v>
      </c>
      <c r="F109" s="85" t="str">
        <f>'Consumer Hardware Pricing'!N117</f>
        <v>-</v>
      </c>
      <c r="G109" s="85" t="str">
        <f t="shared" si="174"/>
        <v>-</v>
      </c>
      <c r="H109" s="85" t="str">
        <f>'Consumer Hardware Pricing'!O117</f>
        <v>-</v>
      </c>
      <c r="I109" s="85" t="str">
        <f t="shared" ref="I109:I110" si="264">IF(H109="-",G109,G109-H109)</f>
        <v>-</v>
      </c>
      <c r="J109" s="85" t="str">
        <f t="shared" ref="J109:J110" si="265">IF(H109="-",H109,H109*24)</f>
        <v>-</v>
      </c>
      <c r="K109" s="85" t="str">
        <f t="shared" ref="K109:K110" si="266">IF(F109="-",F109,I109*24)</f>
        <v>-</v>
      </c>
      <c r="L109" s="85" t="str">
        <f>'Consumer Hardware Pricing'!Q117</f>
        <v>-</v>
      </c>
      <c r="M109" s="85" t="str">
        <f t="shared" si="175"/>
        <v>-</v>
      </c>
      <c r="N109" s="85" t="str">
        <f t="shared" ref="N109:N110" si="267">IF(L109="-",L109,G109-M109)</f>
        <v>-</v>
      </c>
      <c r="O109" s="85" t="str">
        <f t="shared" ref="O109:O110" si="268">IF(L109="-",L109,M109*24)</f>
        <v>-</v>
      </c>
      <c r="P109" s="85" t="str">
        <f t="shared" ref="P109:P110" si="269">IF(L109="-",L109,N109*24)</f>
        <v>-</v>
      </c>
      <c r="Q109" s="85" t="str">
        <f>'Consumer Hardware Pricing'!S117</f>
        <v>-</v>
      </c>
      <c r="R109" s="85" t="str">
        <f t="shared" ref="R109:R110" si="270">G109</f>
        <v>-</v>
      </c>
      <c r="S109" s="85" t="str">
        <f>'Consumer Hardware Pricing'!T117</f>
        <v>-</v>
      </c>
      <c r="T109" s="129" t="str">
        <f t="shared" ref="T109:T110" si="271">IF(S109="-",R109,R109-S109)</f>
        <v>-</v>
      </c>
      <c r="U109" s="129" t="str">
        <f t="shared" ref="U109:U110" si="272">IF(S109="-",S109,S109*24)</f>
        <v>-</v>
      </c>
      <c r="V109" s="85" t="str">
        <f t="shared" ref="V109:V110" si="273">IF(Q109="-",Q109,T109*24)</f>
        <v>-</v>
      </c>
      <c r="W109" s="129" t="str">
        <f>'Consumer Hardware Pricing'!V117</f>
        <v>-</v>
      </c>
      <c r="X109" s="129" t="str">
        <f t="shared" si="176"/>
        <v>-</v>
      </c>
      <c r="Y109" s="129" t="str">
        <f t="shared" ref="Y109:Y110" si="274">IF(W109="-",W109,R109-X109)</f>
        <v>-</v>
      </c>
      <c r="Z109" s="129" t="str">
        <f t="shared" ref="Z109:Z110" si="275">IF(W109="-",W109,X109*24)</f>
        <v>-</v>
      </c>
      <c r="AA109" s="85" t="str">
        <f t="shared" ref="AA109:AA110" si="276">IF(W109="-",W109,Y109*24)</f>
        <v>-</v>
      </c>
      <c r="AB109" s="85" t="str">
        <f>'Consumer Hardware Pricing'!X117</f>
        <v>-</v>
      </c>
      <c r="AC109" s="85" t="str">
        <f t="shared" si="141"/>
        <v>-</v>
      </c>
      <c r="AD109" s="85" t="str">
        <f>'Consumer Hardware Pricing'!Y117</f>
        <v>-</v>
      </c>
      <c r="AE109" s="85" t="str">
        <f t="shared" si="177"/>
        <v>-</v>
      </c>
      <c r="AF109" s="85" t="str">
        <f t="shared" si="178"/>
        <v>-</v>
      </c>
      <c r="AG109" s="85" t="str">
        <f t="shared" si="179"/>
        <v>-</v>
      </c>
      <c r="AH109" s="85" t="str">
        <f>'Consumer Hardware Pricing'!AA117</f>
        <v>-</v>
      </c>
      <c r="AI109" s="85" t="str">
        <f t="shared" si="142"/>
        <v>-</v>
      </c>
      <c r="AJ109" s="85" t="str">
        <f t="shared" si="180"/>
        <v>-</v>
      </c>
      <c r="AK109" s="85" t="str">
        <f t="shared" si="181"/>
        <v>-</v>
      </c>
      <c r="AL109" s="85" t="str">
        <f t="shared" si="182"/>
        <v>-</v>
      </c>
      <c r="AM109" s="85" t="str">
        <f>'Consumer Hardware Pricing'!AC117</f>
        <v>-</v>
      </c>
      <c r="AN109" s="85" t="str">
        <f t="shared" si="143"/>
        <v>-</v>
      </c>
      <c r="AO109" s="85" t="str">
        <f>'Consumer Hardware Pricing'!AD117</f>
        <v>-</v>
      </c>
      <c r="AP109" s="85" t="str">
        <f t="shared" si="183"/>
        <v>-</v>
      </c>
      <c r="AQ109" s="85" t="str">
        <f t="shared" si="184"/>
        <v>-</v>
      </c>
      <c r="AR109" s="85" t="str">
        <f t="shared" si="185"/>
        <v>-</v>
      </c>
      <c r="AS109" s="85" t="str">
        <f>'Consumer Hardware Pricing'!AF117</f>
        <v>-</v>
      </c>
      <c r="AT109" s="85" t="str">
        <f t="shared" si="144"/>
        <v>-</v>
      </c>
      <c r="AU109" s="85" t="str">
        <f t="shared" si="186"/>
        <v>-</v>
      </c>
      <c r="AV109" s="85" t="str">
        <f t="shared" si="187"/>
        <v>-</v>
      </c>
      <c r="AW109" s="85" t="str">
        <f t="shared" si="188"/>
        <v>-</v>
      </c>
      <c r="AX109" s="85" t="str">
        <f>'Consumer Hardware Pricing'!AH117</f>
        <v>-</v>
      </c>
      <c r="AY109" s="85" t="str">
        <f t="shared" si="145"/>
        <v>-</v>
      </c>
      <c r="AZ109" s="85" t="str">
        <f>'Consumer Hardware Pricing'!AI117</f>
        <v>-</v>
      </c>
      <c r="BA109" s="85" t="str">
        <f t="shared" ref="BA109:BA110" si="277">IF(AZ109="-",AY109,AY109-AZ109)</f>
        <v>-</v>
      </c>
      <c r="BB109" s="85" t="str">
        <f t="shared" ref="BB109:BB110" si="278">IF(AZ109="-",AZ109,AZ109*24)</f>
        <v>-</v>
      </c>
      <c r="BC109" s="85" t="str">
        <f t="shared" ref="BC109:BC110" si="279">IF(AX109="-",AX109,AX109+(BA109*24))</f>
        <v>-</v>
      </c>
      <c r="BD109" s="85">
        <f>'Consumer Hardware Pricing'!AL117</f>
        <v>0</v>
      </c>
      <c r="BE109" s="85">
        <f t="shared" si="146"/>
        <v>30</v>
      </c>
      <c r="BF109" s="85" t="str">
        <f>'Consumer Hardware Pricing'!AM117</f>
        <v>-</v>
      </c>
      <c r="BG109" s="85">
        <f t="shared" ref="BG109:BG110" si="280">IF(BF109="-",BE109,BE109-BF109)</f>
        <v>30</v>
      </c>
      <c r="BH109" s="85" t="str">
        <f t="shared" ref="BH109:BH110" si="281">IF(BF109="-",BF109,BF109*24)</f>
        <v>-</v>
      </c>
      <c r="BI109" s="85">
        <f t="shared" ref="BI109:BI110" si="282">IF(BD109="-",BD109,BD109+(BG109*24))</f>
        <v>720</v>
      </c>
      <c r="BJ109" s="85" t="str">
        <f>'Consumer Hardware Pricing'!AP117</f>
        <v>-</v>
      </c>
      <c r="BK109" s="85" t="str">
        <f t="shared" si="147"/>
        <v>-</v>
      </c>
      <c r="BL109" s="85" t="str">
        <f>'Consumer Hardware Pricing'!AQ117</f>
        <v>-</v>
      </c>
      <c r="BM109" s="85" t="str">
        <f t="shared" ref="BM109:BM110" si="283">IF(BL109="-",BK109,BK109-BL109)</f>
        <v>-</v>
      </c>
      <c r="BN109" s="85" t="str">
        <f t="shared" ref="BN109:BN110" si="284">IF(BL109="-",BL109,BL109*24)</f>
        <v>-</v>
      </c>
      <c r="BO109" s="85" t="str">
        <f t="shared" ref="BO109:BO110" si="285">IF(BJ109="-",BJ109,BJ109+(BM109*24))</f>
        <v>-</v>
      </c>
      <c r="BP109" s="85" t="str">
        <f>'Consumer Hardware Pricing'!AT117</f>
        <v>-</v>
      </c>
      <c r="BQ109" s="85" t="str">
        <f t="shared" si="148"/>
        <v>-</v>
      </c>
      <c r="BR109" s="85" t="str">
        <f>'Consumer Hardware Pricing'!AU117</f>
        <v>-</v>
      </c>
      <c r="BS109" s="85" t="str">
        <f t="shared" ref="BS109:BS110" si="286">IF(BR109="-",BQ109,BQ109-BR109)</f>
        <v>-</v>
      </c>
      <c r="BT109" s="85" t="str">
        <f t="shared" ref="BT109:BT110" si="287">IF(BR109="-",BR109,BR109*24)</f>
        <v>-</v>
      </c>
      <c r="BU109" s="85" t="str">
        <f t="shared" ref="BU109:BU110" si="288">IF(BP109="-",BP109,BP109+(BS109*24))</f>
        <v>-</v>
      </c>
    </row>
    <row r="110" spans="1:73" ht="30.15" customHeight="1" x14ac:dyDescent="0.25">
      <c r="A110" s="86" t="s">
        <v>35</v>
      </c>
      <c r="B110" s="88" t="s">
        <v>1019</v>
      </c>
      <c r="C110" s="88" t="s">
        <v>935</v>
      </c>
      <c r="D110" s="85">
        <f>'Consumer Hardware Pricing'!L118</f>
        <v>720</v>
      </c>
      <c r="E110" s="85">
        <f>'Consumer Hardware Pricing'!M118</f>
        <v>720</v>
      </c>
      <c r="F110" s="85" t="str">
        <f>'Consumer Hardware Pricing'!N118</f>
        <v>-</v>
      </c>
      <c r="G110" s="85" t="str">
        <f t="shared" si="174"/>
        <v>-</v>
      </c>
      <c r="H110" s="85" t="str">
        <f>'Consumer Hardware Pricing'!O118</f>
        <v>-</v>
      </c>
      <c r="I110" s="85" t="str">
        <f t="shared" si="264"/>
        <v>-</v>
      </c>
      <c r="J110" s="85" t="str">
        <f t="shared" si="265"/>
        <v>-</v>
      </c>
      <c r="K110" s="85" t="str">
        <f t="shared" si="266"/>
        <v>-</v>
      </c>
      <c r="L110" s="85" t="str">
        <f>'Consumer Hardware Pricing'!Q118</f>
        <v>-</v>
      </c>
      <c r="M110" s="85" t="str">
        <f t="shared" si="175"/>
        <v>-</v>
      </c>
      <c r="N110" s="85" t="str">
        <f t="shared" si="267"/>
        <v>-</v>
      </c>
      <c r="O110" s="85" t="str">
        <f t="shared" si="268"/>
        <v>-</v>
      </c>
      <c r="P110" s="85" t="str">
        <f t="shared" si="269"/>
        <v>-</v>
      </c>
      <c r="Q110" s="85" t="str">
        <f>'Consumer Hardware Pricing'!S118</f>
        <v>-</v>
      </c>
      <c r="R110" s="85" t="str">
        <f t="shared" si="270"/>
        <v>-</v>
      </c>
      <c r="S110" s="85" t="str">
        <f>'Consumer Hardware Pricing'!T118</f>
        <v>-</v>
      </c>
      <c r="T110" s="129" t="str">
        <f t="shared" si="271"/>
        <v>-</v>
      </c>
      <c r="U110" s="129" t="str">
        <f t="shared" si="272"/>
        <v>-</v>
      </c>
      <c r="V110" s="85" t="str">
        <f t="shared" si="273"/>
        <v>-</v>
      </c>
      <c r="W110" s="129" t="str">
        <f>'Consumer Hardware Pricing'!V118</f>
        <v>-</v>
      </c>
      <c r="X110" s="129" t="str">
        <f t="shared" si="176"/>
        <v>-</v>
      </c>
      <c r="Y110" s="129" t="str">
        <f t="shared" si="274"/>
        <v>-</v>
      </c>
      <c r="Z110" s="129" t="str">
        <f t="shared" si="275"/>
        <v>-</v>
      </c>
      <c r="AA110" s="85" t="str">
        <f t="shared" si="276"/>
        <v>-</v>
      </c>
      <c r="AB110" s="85" t="str">
        <f>'Consumer Hardware Pricing'!X118</f>
        <v>-</v>
      </c>
      <c r="AC110" s="85" t="str">
        <f t="shared" si="141"/>
        <v>-</v>
      </c>
      <c r="AD110" s="85" t="str">
        <f>'Consumer Hardware Pricing'!Y118</f>
        <v>-</v>
      </c>
      <c r="AE110" s="85" t="str">
        <f t="shared" si="177"/>
        <v>-</v>
      </c>
      <c r="AF110" s="85" t="str">
        <f t="shared" si="178"/>
        <v>-</v>
      </c>
      <c r="AG110" s="85" t="str">
        <f t="shared" si="179"/>
        <v>-</v>
      </c>
      <c r="AH110" s="85" t="str">
        <f>'Consumer Hardware Pricing'!AA118</f>
        <v>-</v>
      </c>
      <c r="AI110" s="85" t="str">
        <f t="shared" si="142"/>
        <v>-</v>
      </c>
      <c r="AJ110" s="85" t="str">
        <f t="shared" si="180"/>
        <v>-</v>
      </c>
      <c r="AK110" s="85" t="str">
        <f t="shared" si="181"/>
        <v>-</v>
      </c>
      <c r="AL110" s="85" t="str">
        <f t="shared" si="182"/>
        <v>-</v>
      </c>
      <c r="AM110" s="85" t="str">
        <f>'Consumer Hardware Pricing'!AC118</f>
        <v>-</v>
      </c>
      <c r="AN110" s="85" t="str">
        <f t="shared" si="143"/>
        <v>-</v>
      </c>
      <c r="AO110" s="85" t="str">
        <f>'Consumer Hardware Pricing'!AD118</f>
        <v>-</v>
      </c>
      <c r="AP110" s="85" t="str">
        <f t="shared" si="183"/>
        <v>-</v>
      </c>
      <c r="AQ110" s="85" t="str">
        <f t="shared" si="184"/>
        <v>-</v>
      </c>
      <c r="AR110" s="85" t="str">
        <f t="shared" si="185"/>
        <v>-</v>
      </c>
      <c r="AS110" s="85" t="str">
        <f>'Consumer Hardware Pricing'!AF118</f>
        <v>-</v>
      </c>
      <c r="AT110" s="85" t="str">
        <f t="shared" si="144"/>
        <v>-</v>
      </c>
      <c r="AU110" s="85" t="str">
        <f t="shared" si="186"/>
        <v>-</v>
      </c>
      <c r="AV110" s="85" t="str">
        <f t="shared" si="187"/>
        <v>-</v>
      </c>
      <c r="AW110" s="85" t="str">
        <f t="shared" si="188"/>
        <v>-</v>
      </c>
      <c r="AX110" s="85" t="str">
        <f>'Consumer Hardware Pricing'!AH118</f>
        <v>-</v>
      </c>
      <c r="AY110" s="85" t="str">
        <f t="shared" si="145"/>
        <v>-</v>
      </c>
      <c r="AZ110" s="85" t="str">
        <f>'Consumer Hardware Pricing'!AI118</f>
        <v>-</v>
      </c>
      <c r="BA110" s="85" t="str">
        <f t="shared" si="277"/>
        <v>-</v>
      </c>
      <c r="BB110" s="85" t="str">
        <f t="shared" si="278"/>
        <v>-</v>
      </c>
      <c r="BC110" s="85" t="str">
        <f t="shared" si="279"/>
        <v>-</v>
      </c>
      <c r="BD110" s="85">
        <f>'Consumer Hardware Pricing'!AL118</f>
        <v>0</v>
      </c>
      <c r="BE110" s="85">
        <f t="shared" si="146"/>
        <v>30</v>
      </c>
      <c r="BF110" s="85" t="str">
        <f>'Consumer Hardware Pricing'!AM118</f>
        <v>-</v>
      </c>
      <c r="BG110" s="85">
        <f t="shared" si="280"/>
        <v>30</v>
      </c>
      <c r="BH110" s="85" t="str">
        <f t="shared" si="281"/>
        <v>-</v>
      </c>
      <c r="BI110" s="85">
        <f t="shared" si="282"/>
        <v>720</v>
      </c>
      <c r="BJ110" s="85" t="str">
        <f>'Consumer Hardware Pricing'!AP118</f>
        <v>-</v>
      </c>
      <c r="BK110" s="85" t="str">
        <f t="shared" si="147"/>
        <v>-</v>
      </c>
      <c r="BL110" s="85" t="str">
        <f>'Consumer Hardware Pricing'!AQ118</f>
        <v>-</v>
      </c>
      <c r="BM110" s="85" t="str">
        <f t="shared" si="283"/>
        <v>-</v>
      </c>
      <c r="BN110" s="85" t="str">
        <f t="shared" si="284"/>
        <v>-</v>
      </c>
      <c r="BO110" s="85" t="str">
        <f t="shared" si="285"/>
        <v>-</v>
      </c>
      <c r="BP110" s="85" t="str">
        <f>'Consumer Hardware Pricing'!AT118</f>
        <v>-</v>
      </c>
      <c r="BQ110" s="85" t="str">
        <f t="shared" si="148"/>
        <v>-</v>
      </c>
      <c r="BR110" s="85" t="str">
        <f>'Consumer Hardware Pricing'!AU118</f>
        <v>-</v>
      </c>
      <c r="BS110" s="85" t="str">
        <f t="shared" si="286"/>
        <v>-</v>
      </c>
      <c r="BT110" s="85" t="str">
        <f t="shared" si="287"/>
        <v>-</v>
      </c>
      <c r="BU110" s="85" t="str">
        <f t="shared" si="288"/>
        <v>-</v>
      </c>
    </row>
    <row r="111" spans="1:73" ht="30.15" customHeight="1" x14ac:dyDescent="0.25">
      <c r="A111" s="86" t="s">
        <v>35</v>
      </c>
      <c r="B111" s="88" t="s">
        <v>578</v>
      </c>
      <c r="C111" s="88" t="s">
        <v>579</v>
      </c>
      <c r="D111" s="85">
        <f>'Consumer Hardware Pricing'!L119</f>
        <v>819</v>
      </c>
      <c r="E111" s="85">
        <f>'Consumer Hardware Pricing'!M119</f>
        <v>819</v>
      </c>
      <c r="F111" s="85" t="str">
        <f>'Consumer Hardware Pricing'!N119</f>
        <v>-</v>
      </c>
      <c r="G111" s="85" t="str">
        <f t="shared" si="174"/>
        <v>-</v>
      </c>
      <c r="H111" s="85" t="str">
        <f>'Consumer Hardware Pricing'!O119</f>
        <v>-</v>
      </c>
      <c r="I111" s="85" t="str">
        <f t="shared" si="149"/>
        <v>-</v>
      </c>
      <c r="J111" s="85" t="str">
        <f t="shared" si="161"/>
        <v>-</v>
      </c>
      <c r="K111" s="85" t="str">
        <f t="shared" si="162"/>
        <v>-</v>
      </c>
      <c r="L111" s="85" t="str">
        <f>'Consumer Hardware Pricing'!Q119</f>
        <v>-</v>
      </c>
      <c r="M111" s="85" t="str">
        <f t="shared" si="175"/>
        <v>-</v>
      </c>
      <c r="N111" s="85" t="str">
        <f t="shared" si="150"/>
        <v>-</v>
      </c>
      <c r="O111" s="85" t="str">
        <f t="shared" si="151"/>
        <v>-</v>
      </c>
      <c r="P111" s="85" t="str">
        <f t="shared" si="163"/>
        <v>-</v>
      </c>
      <c r="Q111" s="85" t="str">
        <f>'Consumer Hardware Pricing'!S119</f>
        <v>-</v>
      </c>
      <c r="R111" s="85" t="str">
        <f t="shared" si="152"/>
        <v>-</v>
      </c>
      <c r="S111" s="85" t="str">
        <f>'Consumer Hardware Pricing'!T119</f>
        <v>-</v>
      </c>
      <c r="T111" s="129" t="str">
        <f t="shared" si="164"/>
        <v>-</v>
      </c>
      <c r="U111" s="129" t="str">
        <f t="shared" si="165"/>
        <v>-</v>
      </c>
      <c r="V111" s="85" t="str">
        <f t="shared" si="166"/>
        <v>-</v>
      </c>
      <c r="W111" s="129" t="str">
        <f>'Consumer Hardware Pricing'!V119</f>
        <v>-</v>
      </c>
      <c r="X111" s="129" t="str">
        <f t="shared" si="176"/>
        <v>-</v>
      </c>
      <c r="Y111" s="129" t="str">
        <f t="shared" si="167"/>
        <v>-</v>
      </c>
      <c r="Z111" s="129" t="str">
        <f t="shared" si="168"/>
        <v>-</v>
      </c>
      <c r="AA111" s="85" t="str">
        <f t="shared" si="169"/>
        <v>-</v>
      </c>
      <c r="AB111" s="85" t="str">
        <f>'Consumer Hardware Pricing'!X119</f>
        <v>-</v>
      </c>
      <c r="AC111" s="85" t="str">
        <f t="shared" si="141"/>
        <v>-</v>
      </c>
      <c r="AD111" s="85" t="str">
        <f>'Consumer Hardware Pricing'!Y119</f>
        <v>-</v>
      </c>
      <c r="AE111" s="85" t="str">
        <f t="shared" si="177"/>
        <v>-</v>
      </c>
      <c r="AF111" s="85" t="str">
        <f t="shared" si="178"/>
        <v>-</v>
      </c>
      <c r="AG111" s="85" t="str">
        <f t="shared" si="179"/>
        <v>-</v>
      </c>
      <c r="AH111" s="85" t="str">
        <f>'Consumer Hardware Pricing'!AA119</f>
        <v>-</v>
      </c>
      <c r="AI111" s="85" t="str">
        <f t="shared" si="142"/>
        <v>-</v>
      </c>
      <c r="AJ111" s="85" t="str">
        <f t="shared" si="180"/>
        <v>-</v>
      </c>
      <c r="AK111" s="85" t="str">
        <f t="shared" si="181"/>
        <v>-</v>
      </c>
      <c r="AL111" s="85" t="str">
        <f t="shared" si="182"/>
        <v>-</v>
      </c>
      <c r="AM111" s="85" t="str">
        <f>'Consumer Hardware Pricing'!AC119</f>
        <v>-</v>
      </c>
      <c r="AN111" s="85" t="str">
        <f t="shared" si="143"/>
        <v>-</v>
      </c>
      <c r="AO111" s="85" t="str">
        <f>'Consumer Hardware Pricing'!AD119</f>
        <v>-</v>
      </c>
      <c r="AP111" s="85" t="str">
        <f t="shared" si="183"/>
        <v>-</v>
      </c>
      <c r="AQ111" s="85" t="str">
        <f t="shared" si="184"/>
        <v>-</v>
      </c>
      <c r="AR111" s="85" t="str">
        <f t="shared" si="185"/>
        <v>-</v>
      </c>
      <c r="AS111" s="85" t="str">
        <f>'Consumer Hardware Pricing'!AF119</f>
        <v>-</v>
      </c>
      <c r="AT111" s="85" t="str">
        <f t="shared" si="144"/>
        <v>-</v>
      </c>
      <c r="AU111" s="85" t="str">
        <f t="shared" si="186"/>
        <v>-</v>
      </c>
      <c r="AV111" s="85" t="str">
        <f t="shared" si="187"/>
        <v>-</v>
      </c>
      <c r="AW111" s="85" t="str">
        <f t="shared" si="188"/>
        <v>-</v>
      </c>
      <c r="AX111" s="85" t="str">
        <f>'Consumer Hardware Pricing'!AH119</f>
        <v>-</v>
      </c>
      <c r="AY111" s="85" t="str">
        <f t="shared" si="145"/>
        <v>-</v>
      </c>
      <c r="AZ111" s="85" t="str">
        <f>'Consumer Hardware Pricing'!AI119</f>
        <v>-</v>
      </c>
      <c r="BA111" s="85" t="str">
        <f t="shared" si="153"/>
        <v>-</v>
      </c>
      <c r="BB111" s="85" t="str">
        <f t="shared" si="154"/>
        <v>-</v>
      </c>
      <c r="BC111" s="85" t="str">
        <f t="shared" si="170"/>
        <v>-</v>
      </c>
      <c r="BD111" s="85">
        <f>'Consumer Hardware Pricing'!AL119</f>
        <v>0</v>
      </c>
      <c r="BE111" s="85">
        <f t="shared" si="146"/>
        <v>34.129999999999995</v>
      </c>
      <c r="BF111" s="85" t="str">
        <f>'Consumer Hardware Pricing'!AM119</f>
        <v>-</v>
      </c>
      <c r="BG111" s="85">
        <f t="shared" si="155"/>
        <v>34.129999999999995</v>
      </c>
      <c r="BH111" s="85" t="str">
        <f t="shared" si="156"/>
        <v>-</v>
      </c>
      <c r="BI111" s="85">
        <f t="shared" si="171"/>
        <v>819.11999999999989</v>
      </c>
      <c r="BJ111" s="85" t="str">
        <f>'Consumer Hardware Pricing'!AP119</f>
        <v>-</v>
      </c>
      <c r="BK111" s="85" t="str">
        <f t="shared" si="147"/>
        <v>-</v>
      </c>
      <c r="BL111" s="85" t="str">
        <f>'Consumer Hardware Pricing'!AQ119</f>
        <v>-</v>
      </c>
      <c r="BM111" s="85" t="str">
        <f t="shared" si="157"/>
        <v>-</v>
      </c>
      <c r="BN111" s="85" t="str">
        <f t="shared" si="158"/>
        <v>-</v>
      </c>
      <c r="BO111" s="85" t="str">
        <f t="shared" si="172"/>
        <v>-</v>
      </c>
      <c r="BP111" s="85" t="str">
        <f>'Consumer Hardware Pricing'!AT119</f>
        <v>-</v>
      </c>
      <c r="BQ111" s="85" t="str">
        <f t="shared" si="148"/>
        <v>-</v>
      </c>
      <c r="BR111" s="85" t="str">
        <f>'Consumer Hardware Pricing'!AU119</f>
        <v>-</v>
      </c>
      <c r="BS111" s="85" t="str">
        <f t="shared" si="159"/>
        <v>-</v>
      </c>
      <c r="BT111" s="85" t="str">
        <f t="shared" si="160"/>
        <v>-</v>
      </c>
      <c r="BU111" s="85" t="str">
        <f t="shared" si="173"/>
        <v>-</v>
      </c>
    </row>
    <row r="112" spans="1:73" ht="30.15" customHeight="1" x14ac:dyDescent="0.25">
      <c r="A112" s="86" t="s">
        <v>35</v>
      </c>
      <c r="B112" s="88" t="s">
        <v>1138</v>
      </c>
      <c r="C112" s="88" t="s">
        <v>1148</v>
      </c>
      <c r="D112" s="85">
        <f>'Consumer Hardware Pricing'!L120</f>
        <v>950</v>
      </c>
      <c r="E112" s="85">
        <f>'Consumer Hardware Pricing'!M120</f>
        <v>950</v>
      </c>
      <c r="F112" s="85" t="str">
        <f>'Consumer Hardware Pricing'!N120</f>
        <v>-</v>
      </c>
      <c r="G112" s="85" t="str">
        <f t="shared" si="174"/>
        <v>-</v>
      </c>
      <c r="H112" s="85" t="str">
        <f>'Consumer Hardware Pricing'!O120</f>
        <v>-</v>
      </c>
      <c r="I112" s="85" t="str">
        <f t="shared" ref="I112:I121" si="289">IF(H112="-",G112,G112-H112)</f>
        <v>-</v>
      </c>
      <c r="J112" s="85" t="str">
        <f t="shared" ref="J112:J121" si="290">IF(H112="-",H112,H112*24)</f>
        <v>-</v>
      </c>
      <c r="K112" s="85" t="str">
        <f t="shared" ref="K112:K121" si="291">IF(F112="-",F112,I112*24)</f>
        <v>-</v>
      </c>
      <c r="L112" s="85" t="str">
        <f>'Consumer Hardware Pricing'!Q120</f>
        <v>-</v>
      </c>
      <c r="M112" s="85" t="str">
        <f t="shared" si="175"/>
        <v>-</v>
      </c>
      <c r="N112" s="85" t="str">
        <f t="shared" ref="N112:N121" si="292">IF(L112="-",L112,G112-M112)</f>
        <v>-</v>
      </c>
      <c r="O112" s="85" t="str">
        <f t="shared" ref="O112:O121" si="293">IF(L112="-",L112,M112*24)</f>
        <v>-</v>
      </c>
      <c r="P112" s="85" t="str">
        <f t="shared" ref="P112:P121" si="294">IF(L112="-",L112,N112*24)</f>
        <v>-</v>
      </c>
      <c r="Q112" s="85" t="str">
        <f>'Consumer Hardware Pricing'!S120</f>
        <v>-</v>
      </c>
      <c r="R112" s="85" t="str">
        <f t="shared" ref="R112:R121" si="295">G112</f>
        <v>-</v>
      </c>
      <c r="S112" s="85" t="str">
        <f>'Consumer Hardware Pricing'!T120</f>
        <v>-</v>
      </c>
      <c r="T112" s="129" t="str">
        <f t="shared" ref="T112:T121" si="296">IF(S112="-",R112,R112-S112)</f>
        <v>-</v>
      </c>
      <c r="U112" s="129" t="str">
        <f t="shared" ref="U112:U121" si="297">IF(S112="-",S112,S112*24)</f>
        <v>-</v>
      </c>
      <c r="V112" s="85" t="str">
        <f t="shared" ref="V112:V121" si="298">IF(Q112="-",Q112,T112*24)</f>
        <v>-</v>
      </c>
      <c r="W112" s="129" t="str">
        <f>'Consumer Hardware Pricing'!V120</f>
        <v>-</v>
      </c>
      <c r="X112" s="129" t="str">
        <f t="shared" si="176"/>
        <v>-</v>
      </c>
      <c r="Y112" s="129" t="str">
        <f t="shared" ref="Y112:Y121" si="299">IF(W112="-",W112,R112-X112)</f>
        <v>-</v>
      </c>
      <c r="Z112" s="129" t="str">
        <f t="shared" ref="Z112:Z121" si="300">IF(W112="-",W112,X112*24)</f>
        <v>-</v>
      </c>
      <c r="AA112" s="85" t="str">
        <f t="shared" ref="AA112:AA121" si="301">IF(W112="-",W112,Y112*24)</f>
        <v>-</v>
      </c>
      <c r="AB112" s="85" t="str">
        <f>'Consumer Hardware Pricing'!X120</f>
        <v>-</v>
      </c>
      <c r="AC112" s="85" t="str">
        <f t="shared" si="141"/>
        <v>-</v>
      </c>
      <c r="AD112" s="85" t="str">
        <f>'Consumer Hardware Pricing'!Y120</f>
        <v>-</v>
      </c>
      <c r="AE112" s="85" t="str">
        <f t="shared" ref="AE112:AE121" si="302">IF(AD112="-",AC112,AC112-AD112)</f>
        <v>-</v>
      </c>
      <c r="AF112" s="85" t="str">
        <f t="shared" ref="AF112:AF121" si="303">IF(AD112="-",AD112,AD112*24)</f>
        <v>-</v>
      </c>
      <c r="AG112" s="85" t="str">
        <f t="shared" ref="AG112:AG121" si="304">IF(AB112="-",AB112,AE112*24)</f>
        <v>-</v>
      </c>
      <c r="AH112" s="85" t="str">
        <f>'Consumer Hardware Pricing'!AA120</f>
        <v>-</v>
      </c>
      <c r="AI112" s="85" t="str">
        <f t="shared" si="142"/>
        <v>-</v>
      </c>
      <c r="AJ112" s="85" t="str">
        <f t="shared" ref="AJ112:AJ121" si="305">IF(AH112="-",AH112,AC112-AI112)</f>
        <v>-</v>
      </c>
      <c r="AK112" s="85" t="str">
        <f t="shared" ref="AK112:AK121" si="306">IF(AH112="-",AH112,AI112*24)</f>
        <v>-</v>
      </c>
      <c r="AL112" s="85" t="str">
        <f t="shared" ref="AL112:AL121" si="307">IF(AH112="-",AH112,AJ112*24)</f>
        <v>-</v>
      </c>
      <c r="AM112" s="85" t="str">
        <f>'Consumer Hardware Pricing'!AC120</f>
        <v>-</v>
      </c>
      <c r="AN112" s="85" t="str">
        <f t="shared" si="143"/>
        <v>-</v>
      </c>
      <c r="AO112" s="85" t="str">
        <f>'Consumer Hardware Pricing'!AD120</f>
        <v>-</v>
      </c>
      <c r="AP112" s="85" t="str">
        <f t="shared" ref="AP112:AP121" si="308">IF(AO112="-",AN112,AN112-AO112)</f>
        <v>-</v>
      </c>
      <c r="AQ112" s="85" t="str">
        <f t="shared" ref="AQ112:AQ121" si="309">IF(AO112="-",AO112,AO112*24)</f>
        <v>-</v>
      </c>
      <c r="AR112" s="85" t="str">
        <f t="shared" ref="AR112:AR121" si="310">IF(AM112="-",AM112,AP112*24)</f>
        <v>-</v>
      </c>
      <c r="AS112" s="85" t="str">
        <f>'Consumer Hardware Pricing'!AF120</f>
        <v>-</v>
      </c>
      <c r="AT112" s="85" t="str">
        <f t="shared" si="144"/>
        <v>-</v>
      </c>
      <c r="AU112" s="85" t="str">
        <f t="shared" ref="AU112:AU121" si="311">IF(AS112="-",AS112,AN112-AT112)</f>
        <v>-</v>
      </c>
      <c r="AV112" s="85" t="str">
        <f t="shared" ref="AV112:AV121" si="312">IF(AS112="-",AS112,AT112*24)</f>
        <v>-</v>
      </c>
      <c r="AW112" s="85" t="str">
        <f t="shared" ref="AW112:AW121" si="313">IF(AS112="-",AS112,AU112*24)</f>
        <v>-</v>
      </c>
      <c r="AX112" s="85" t="str">
        <f>'Consumer Hardware Pricing'!AH120</f>
        <v>-</v>
      </c>
      <c r="AY112" s="85" t="str">
        <f t="shared" si="145"/>
        <v>-</v>
      </c>
      <c r="AZ112" s="85" t="str">
        <f>'Consumer Hardware Pricing'!AI120</f>
        <v>-</v>
      </c>
      <c r="BA112" s="85" t="str">
        <f t="shared" ref="BA112:BA121" si="314">IF(AZ112="-",AY112,AY112-AZ112)</f>
        <v>-</v>
      </c>
      <c r="BB112" s="85" t="str">
        <f t="shared" ref="BB112:BB121" si="315">IF(AZ112="-",AZ112,AZ112*24)</f>
        <v>-</v>
      </c>
      <c r="BC112" s="85" t="str">
        <f t="shared" ref="BC112:BC121" si="316">IF(AX112="-",AX112,AX112+(BA112*24))</f>
        <v>-</v>
      </c>
      <c r="BD112" s="85">
        <f>'Consumer Hardware Pricing'!AL120</f>
        <v>0</v>
      </c>
      <c r="BE112" s="85">
        <f t="shared" si="146"/>
        <v>39.589999999999996</v>
      </c>
      <c r="BF112" s="85" t="str">
        <f>'Consumer Hardware Pricing'!AM120</f>
        <v>-</v>
      </c>
      <c r="BG112" s="85">
        <f t="shared" ref="BG112:BG121" si="317">IF(BF112="-",BE112,BE112-BF112)</f>
        <v>39.589999999999996</v>
      </c>
      <c r="BH112" s="85" t="str">
        <f t="shared" ref="BH112:BH121" si="318">IF(BF112="-",BF112,BF112*24)</f>
        <v>-</v>
      </c>
      <c r="BI112" s="85">
        <f t="shared" ref="BI112:BI121" si="319">IF(BD112="-",BD112,BD112+(BG112*24))</f>
        <v>950.15999999999985</v>
      </c>
      <c r="BJ112" s="85" t="str">
        <f>'Consumer Hardware Pricing'!AP120</f>
        <v>-</v>
      </c>
      <c r="BK112" s="85" t="str">
        <f t="shared" si="147"/>
        <v>-</v>
      </c>
      <c r="BL112" s="85" t="str">
        <f>'Consumer Hardware Pricing'!AQ120</f>
        <v>-</v>
      </c>
      <c r="BM112" s="85" t="str">
        <f t="shared" ref="BM112:BM121" si="320">IF(BL112="-",BK112,BK112-BL112)</f>
        <v>-</v>
      </c>
      <c r="BN112" s="85" t="str">
        <f t="shared" ref="BN112:BN121" si="321">IF(BL112="-",BL112,BL112*24)</f>
        <v>-</v>
      </c>
      <c r="BO112" s="85" t="str">
        <f t="shared" ref="BO112:BO121" si="322">IF(BJ112="-",BJ112,BJ112+(BM112*24))</f>
        <v>-</v>
      </c>
      <c r="BP112" s="85" t="str">
        <f>'Consumer Hardware Pricing'!AT120</f>
        <v>-</v>
      </c>
      <c r="BQ112" s="85" t="str">
        <f t="shared" si="148"/>
        <v>-</v>
      </c>
      <c r="BR112" s="85" t="str">
        <f>'Consumer Hardware Pricing'!AU120</f>
        <v>-</v>
      </c>
      <c r="BS112" s="85" t="str">
        <f t="shared" ref="BS112:BS121" si="323">IF(BR112="-",BQ112,BQ112-BR112)</f>
        <v>-</v>
      </c>
      <c r="BT112" s="85" t="str">
        <f t="shared" ref="BT112:BT121" si="324">IF(BR112="-",BR112,BR112*24)</f>
        <v>-</v>
      </c>
      <c r="BU112" s="85" t="str">
        <f t="shared" ref="BU112:BU121" si="325">IF(BP112="-",BP112,BP112+(BS112*24))</f>
        <v>-</v>
      </c>
    </row>
    <row r="113" spans="1:73" ht="30.15" customHeight="1" x14ac:dyDescent="0.25">
      <c r="A113" s="86" t="s">
        <v>35</v>
      </c>
      <c r="B113" s="88" t="s">
        <v>1139</v>
      </c>
      <c r="C113" s="88" t="s">
        <v>1148</v>
      </c>
      <c r="D113" s="85">
        <f>'Consumer Hardware Pricing'!L121</f>
        <v>950</v>
      </c>
      <c r="E113" s="85">
        <f>'Consumer Hardware Pricing'!M121</f>
        <v>950</v>
      </c>
      <c r="F113" s="85" t="str">
        <f>'Consumer Hardware Pricing'!N121</f>
        <v>-</v>
      </c>
      <c r="G113" s="85" t="str">
        <f t="shared" si="174"/>
        <v>-</v>
      </c>
      <c r="H113" s="85" t="str">
        <f>'Consumer Hardware Pricing'!O121</f>
        <v>-</v>
      </c>
      <c r="I113" s="85" t="str">
        <f t="shared" si="289"/>
        <v>-</v>
      </c>
      <c r="J113" s="85" t="str">
        <f t="shared" si="290"/>
        <v>-</v>
      </c>
      <c r="K113" s="85" t="str">
        <f t="shared" si="291"/>
        <v>-</v>
      </c>
      <c r="L113" s="85" t="str">
        <f>'Consumer Hardware Pricing'!Q121</f>
        <v>-</v>
      </c>
      <c r="M113" s="85" t="str">
        <f t="shared" si="175"/>
        <v>-</v>
      </c>
      <c r="N113" s="85" t="str">
        <f t="shared" si="292"/>
        <v>-</v>
      </c>
      <c r="O113" s="85" t="str">
        <f t="shared" si="293"/>
        <v>-</v>
      </c>
      <c r="P113" s="85" t="str">
        <f t="shared" si="294"/>
        <v>-</v>
      </c>
      <c r="Q113" s="85" t="str">
        <f>'Consumer Hardware Pricing'!S121</f>
        <v>-</v>
      </c>
      <c r="R113" s="85" t="str">
        <f t="shared" si="295"/>
        <v>-</v>
      </c>
      <c r="S113" s="85" t="str">
        <f>'Consumer Hardware Pricing'!T121</f>
        <v>-</v>
      </c>
      <c r="T113" s="129" t="str">
        <f t="shared" si="296"/>
        <v>-</v>
      </c>
      <c r="U113" s="129" t="str">
        <f t="shared" si="297"/>
        <v>-</v>
      </c>
      <c r="V113" s="85" t="str">
        <f t="shared" si="298"/>
        <v>-</v>
      </c>
      <c r="W113" s="129" t="str">
        <f>'Consumer Hardware Pricing'!V121</f>
        <v>-</v>
      </c>
      <c r="X113" s="129" t="str">
        <f t="shared" si="176"/>
        <v>-</v>
      </c>
      <c r="Y113" s="129" t="str">
        <f t="shared" si="299"/>
        <v>-</v>
      </c>
      <c r="Z113" s="129" t="str">
        <f t="shared" si="300"/>
        <v>-</v>
      </c>
      <c r="AA113" s="85" t="str">
        <f t="shared" si="301"/>
        <v>-</v>
      </c>
      <c r="AB113" s="85" t="str">
        <f>'Consumer Hardware Pricing'!X121</f>
        <v>-</v>
      </c>
      <c r="AC113" s="85" t="str">
        <f t="shared" si="141"/>
        <v>-</v>
      </c>
      <c r="AD113" s="85" t="str">
        <f>'Consumer Hardware Pricing'!Y121</f>
        <v>-</v>
      </c>
      <c r="AE113" s="85" t="str">
        <f t="shared" si="302"/>
        <v>-</v>
      </c>
      <c r="AF113" s="85" t="str">
        <f t="shared" si="303"/>
        <v>-</v>
      </c>
      <c r="AG113" s="85" t="str">
        <f t="shared" si="304"/>
        <v>-</v>
      </c>
      <c r="AH113" s="85" t="str">
        <f>'Consumer Hardware Pricing'!AA121</f>
        <v>-</v>
      </c>
      <c r="AI113" s="85" t="str">
        <f t="shared" si="142"/>
        <v>-</v>
      </c>
      <c r="AJ113" s="85" t="str">
        <f t="shared" si="305"/>
        <v>-</v>
      </c>
      <c r="AK113" s="85" t="str">
        <f t="shared" si="306"/>
        <v>-</v>
      </c>
      <c r="AL113" s="85" t="str">
        <f t="shared" si="307"/>
        <v>-</v>
      </c>
      <c r="AM113" s="85" t="str">
        <f>'Consumer Hardware Pricing'!AC121</f>
        <v>-</v>
      </c>
      <c r="AN113" s="85" t="str">
        <f t="shared" si="143"/>
        <v>-</v>
      </c>
      <c r="AO113" s="85" t="str">
        <f>'Consumer Hardware Pricing'!AD121</f>
        <v>-</v>
      </c>
      <c r="AP113" s="85" t="str">
        <f t="shared" si="308"/>
        <v>-</v>
      </c>
      <c r="AQ113" s="85" t="str">
        <f t="shared" si="309"/>
        <v>-</v>
      </c>
      <c r="AR113" s="85" t="str">
        <f t="shared" si="310"/>
        <v>-</v>
      </c>
      <c r="AS113" s="85" t="str">
        <f>'Consumer Hardware Pricing'!AF121</f>
        <v>-</v>
      </c>
      <c r="AT113" s="85" t="str">
        <f t="shared" si="144"/>
        <v>-</v>
      </c>
      <c r="AU113" s="85" t="str">
        <f t="shared" si="311"/>
        <v>-</v>
      </c>
      <c r="AV113" s="85" t="str">
        <f t="shared" si="312"/>
        <v>-</v>
      </c>
      <c r="AW113" s="85" t="str">
        <f t="shared" si="313"/>
        <v>-</v>
      </c>
      <c r="AX113" s="85" t="str">
        <f>'Consumer Hardware Pricing'!AH121</f>
        <v>-</v>
      </c>
      <c r="AY113" s="85" t="str">
        <f t="shared" si="145"/>
        <v>-</v>
      </c>
      <c r="AZ113" s="85" t="str">
        <f>'Consumer Hardware Pricing'!AI121</f>
        <v>-</v>
      </c>
      <c r="BA113" s="85" t="str">
        <f t="shared" si="314"/>
        <v>-</v>
      </c>
      <c r="BB113" s="85" t="str">
        <f t="shared" si="315"/>
        <v>-</v>
      </c>
      <c r="BC113" s="85" t="str">
        <f t="shared" si="316"/>
        <v>-</v>
      </c>
      <c r="BD113" s="85">
        <f>'Consumer Hardware Pricing'!AL121</f>
        <v>0</v>
      </c>
      <c r="BE113" s="85">
        <f t="shared" si="146"/>
        <v>39.589999999999996</v>
      </c>
      <c r="BF113" s="85" t="str">
        <f>'Consumer Hardware Pricing'!AM121</f>
        <v>-</v>
      </c>
      <c r="BG113" s="85">
        <f t="shared" si="317"/>
        <v>39.589999999999996</v>
      </c>
      <c r="BH113" s="85" t="str">
        <f t="shared" si="318"/>
        <v>-</v>
      </c>
      <c r="BI113" s="85">
        <f t="shared" si="319"/>
        <v>950.15999999999985</v>
      </c>
      <c r="BJ113" s="85" t="str">
        <f>'Consumer Hardware Pricing'!AP121</f>
        <v>-</v>
      </c>
      <c r="BK113" s="85" t="str">
        <f t="shared" si="147"/>
        <v>-</v>
      </c>
      <c r="BL113" s="85" t="str">
        <f>'Consumer Hardware Pricing'!AQ121</f>
        <v>-</v>
      </c>
      <c r="BM113" s="85" t="str">
        <f t="shared" si="320"/>
        <v>-</v>
      </c>
      <c r="BN113" s="85" t="str">
        <f t="shared" si="321"/>
        <v>-</v>
      </c>
      <c r="BO113" s="85" t="str">
        <f t="shared" si="322"/>
        <v>-</v>
      </c>
      <c r="BP113" s="85" t="str">
        <f>'Consumer Hardware Pricing'!AT121</f>
        <v>-</v>
      </c>
      <c r="BQ113" s="85" t="str">
        <f t="shared" si="148"/>
        <v>-</v>
      </c>
      <c r="BR113" s="85" t="str">
        <f>'Consumer Hardware Pricing'!AU121</f>
        <v>-</v>
      </c>
      <c r="BS113" s="85" t="str">
        <f t="shared" si="323"/>
        <v>-</v>
      </c>
      <c r="BT113" s="85" t="str">
        <f t="shared" si="324"/>
        <v>-</v>
      </c>
      <c r="BU113" s="85" t="str">
        <f t="shared" si="325"/>
        <v>-</v>
      </c>
    </row>
    <row r="114" spans="1:73" ht="30.15" customHeight="1" x14ac:dyDescent="0.25">
      <c r="A114" s="86" t="s">
        <v>35</v>
      </c>
      <c r="B114" s="88" t="s">
        <v>1140</v>
      </c>
      <c r="C114" s="88" t="s">
        <v>1148</v>
      </c>
      <c r="D114" s="85">
        <f>'Consumer Hardware Pricing'!L122</f>
        <v>950</v>
      </c>
      <c r="E114" s="85">
        <f>'Consumer Hardware Pricing'!M122</f>
        <v>950</v>
      </c>
      <c r="F114" s="85" t="str">
        <f>'Consumer Hardware Pricing'!N122</f>
        <v>-</v>
      </c>
      <c r="G114" s="85" t="str">
        <f t="shared" si="174"/>
        <v>-</v>
      </c>
      <c r="H114" s="85" t="str">
        <f>'Consumer Hardware Pricing'!O122</f>
        <v>-</v>
      </c>
      <c r="I114" s="85" t="str">
        <f t="shared" si="289"/>
        <v>-</v>
      </c>
      <c r="J114" s="85" t="str">
        <f t="shared" si="290"/>
        <v>-</v>
      </c>
      <c r="K114" s="85" t="str">
        <f t="shared" si="291"/>
        <v>-</v>
      </c>
      <c r="L114" s="85" t="str">
        <f>'Consumer Hardware Pricing'!Q122</f>
        <v>-</v>
      </c>
      <c r="M114" s="85" t="str">
        <f t="shared" si="175"/>
        <v>-</v>
      </c>
      <c r="N114" s="85" t="str">
        <f t="shared" si="292"/>
        <v>-</v>
      </c>
      <c r="O114" s="85" t="str">
        <f t="shared" si="293"/>
        <v>-</v>
      </c>
      <c r="P114" s="85" t="str">
        <f t="shared" si="294"/>
        <v>-</v>
      </c>
      <c r="Q114" s="85" t="str">
        <f>'Consumer Hardware Pricing'!S122</f>
        <v>-</v>
      </c>
      <c r="R114" s="85" t="str">
        <f t="shared" si="295"/>
        <v>-</v>
      </c>
      <c r="S114" s="85" t="str">
        <f>'Consumer Hardware Pricing'!T122</f>
        <v>-</v>
      </c>
      <c r="T114" s="129" t="str">
        <f t="shared" si="296"/>
        <v>-</v>
      </c>
      <c r="U114" s="129" t="str">
        <f t="shared" si="297"/>
        <v>-</v>
      </c>
      <c r="V114" s="85" t="str">
        <f t="shared" si="298"/>
        <v>-</v>
      </c>
      <c r="W114" s="129" t="str">
        <f>'Consumer Hardware Pricing'!V122</f>
        <v>-</v>
      </c>
      <c r="X114" s="129" t="str">
        <f t="shared" si="176"/>
        <v>-</v>
      </c>
      <c r="Y114" s="129" t="str">
        <f t="shared" si="299"/>
        <v>-</v>
      </c>
      <c r="Z114" s="129" t="str">
        <f t="shared" si="300"/>
        <v>-</v>
      </c>
      <c r="AA114" s="85" t="str">
        <f t="shared" si="301"/>
        <v>-</v>
      </c>
      <c r="AB114" s="85" t="str">
        <f>'Consumer Hardware Pricing'!X122</f>
        <v>-</v>
      </c>
      <c r="AC114" s="85" t="str">
        <f t="shared" si="141"/>
        <v>-</v>
      </c>
      <c r="AD114" s="85" t="str">
        <f>'Consumer Hardware Pricing'!Y122</f>
        <v>-</v>
      </c>
      <c r="AE114" s="85" t="str">
        <f t="shared" si="302"/>
        <v>-</v>
      </c>
      <c r="AF114" s="85" t="str">
        <f t="shared" si="303"/>
        <v>-</v>
      </c>
      <c r="AG114" s="85" t="str">
        <f t="shared" si="304"/>
        <v>-</v>
      </c>
      <c r="AH114" s="85" t="str">
        <f>'Consumer Hardware Pricing'!AA122</f>
        <v>-</v>
      </c>
      <c r="AI114" s="85" t="str">
        <f t="shared" si="142"/>
        <v>-</v>
      </c>
      <c r="AJ114" s="85" t="str">
        <f t="shared" si="305"/>
        <v>-</v>
      </c>
      <c r="AK114" s="85" t="str">
        <f t="shared" si="306"/>
        <v>-</v>
      </c>
      <c r="AL114" s="85" t="str">
        <f t="shared" si="307"/>
        <v>-</v>
      </c>
      <c r="AM114" s="85" t="str">
        <f>'Consumer Hardware Pricing'!AC122</f>
        <v>-</v>
      </c>
      <c r="AN114" s="85" t="str">
        <f t="shared" si="143"/>
        <v>-</v>
      </c>
      <c r="AO114" s="85" t="str">
        <f>'Consumer Hardware Pricing'!AD122</f>
        <v>-</v>
      </c>
      <c r="AP114" s="85" t="str">
        <f t="shared" si="308"/>
        <v>-</v>
      </c>
      <c r="AQ114" s="85" t="str">
        <f t="shared" si="309"/>
        <v>-</v>
      </c>
      <c r="AR114" s="85" t="str">
        <f t="shared" si="310"/>
        <v>-</v>
      </c>
      <c r="AS114" s="85" t="str">
        <f>'Consumer Hardware Pricing'!AF122</f>
        <v>-</v>
      </c>
      <c r="AT114" s="85" t="str">
        <f t="shared" si="144"/>
        <v>-</v>
      </c>
      <c r="AU114" s="85" t="str">
        <f t="shared" si="311"/>
        <v>-</v>
      </c>
      <c r="AV114" s="85" t="str">
        <f t="shared" si="312"/>
        <v>-</v>
      </c>
      <c r="AW114" s="85" t="str">
        <f t="shared" si="313"/>
        <v>-</v>
      </c>
      <c r="AX114" s="85" t="str">
        <f>'Consumer Hardware Pricing'!AH122</f>
        <v>-</v>
      </c>
      <c r="AY114" s="85" t="str">
        <f t="shared" si="145"/>
        <v>-</v>
      </c>
      <c r="AZ114" s="85" t="str">
        <f>'Consumer Hardware Pricing'!AI122</f>
        <v>-</v>
      </c>
      <c r="BA114" s="85" t="str">
        <f t="shared" si="314"/>
        <v>-</v>
      </c>
      <c r="BB114" s="85" t="str">
        <f t="shared" si="315"/>
        <v>-</v>
      </c>
      <c r="BC114" s="85" t="str">
        <f t="shared" si="316"/>
        <v>-</v>
      </c>
      <c r="BD114" s="85">
        <f>'Consumer Hardware Pricing'!AL122</f>
        <v>0</v>
      </c>
      <c r="BE114" s="85">
        <f t="shared" si="146"/>
        <v>39.589999999999996</v>
      </c>
      <c r="BF114" s="85" t="str">
        <f>'Consumer Hardware Pricing'!AM122</f>
        <v>-</v>
      </c>
      <c r="BG114" s="85">
        <f t="shared" si="317"/>
        <v>39.589999999999996</v>
      </c>
      <c r="BH114" s="85" t="str">
        <f t="shared" si="318"/>
        <v>-</v>
      </c>
      <c r="BI114" s="85">
        <f t="shared" si="319"/>
        <v>950.15999999999985</v>
      </c>
      <c r="BJ114" s="85" t="str">
        <f>'Consumer Hardware Pricing'!AP122</f>
        <v>-</v>
      </c>
      <c r="BK114" s="85" t="str">
        <f t="shared" si="147"/>
        <v>-</v>
      </c>
      <c r="BL114" s="85" t="str">
        <f>'Consumer Hardware Pricing'!AQ122</f>
        <v>-</v>
      </c>
      <c r="BM114" s="85" t="str">
        <f t="shared" si="320"/>
        <v>-</v>
      </c>
      <c r="BN114" s="85" t="str">
        <f t="shared" si="321"/>
        <v>-</v>
      </c>
      <c r="BO114" s="85" t="str">
        <f t="shared" si="322"/>
        <v>-</v>
      </c>
      <c r="BP114" s="85" t="str">
        <f>'Consumer Hardware Pricing'!AT122</f>
        <v>-</v>
      </c>
      <c r="BQ114" s="85" t="str">
        <f t="shared" si="148"/>
        <v>-</v>
      </c>
      <c r="BR114" s="85" t="str">
        <f>'Consumer Hardware Pricing'!AU122</f>
        <v>-</v>
      </c>
      <c r="BS114" s="85" t="str">
        <f t="shared" si="323"/>
        <v>-</v>
      </c>
      <c r="BT114" s="85" t="str">
        <f t="shared" si="324"/>
        <v>-</v>
      </c>
      <c r="BU114" s="85" t="str">
        <f t="shared" si="325"/>
        <v>-</v>
      </c>
    </row>
    <row r="115" spans="1:73" ht="30.15" customHeight="1" x14ac:dyDescent="0.25">
      <c r="A115" s="86" t="s">
        <v>35</v>
      </c>
      <c r="B115" s="88" t="s">
        <v>1141</v>
      </c>
      <c r="C115" s="88" t="s">
        <v>1148</v>
      </c>
      <c r="D115" s="85">
        <f>'Consumer Hardware Pricing'!L123</f>
        <v>950</v>
      </c>
      <c r="E115" s="85">
        <f>'Consumer Hardware Pricing'!M123</f>
        <v>950</v>
      </c>
      <c r="F115" s="85" t="str">
        <f>'Consumer Hardware Pricing'!N123</f>
        <v>-</v>
      </c>
      <c r="G115" s="85" t="str">
        <f t="shared" si="174"/>
        <v>-</v>
      </c>
      <c r="H115" s="85" t="str">
        <f>'Consumer Hardware Pricing'!O123</f>
        <v>-</v>
      </c>
      <c r="I115" s="85" t="str">
        <f t="shared" si="289"/>
        <v>-</v>
      </c>
      <c r="J115" s="85" t="str">
        <f t="shared" si="290"/>
        <v>-</v>
      </c>
      <c r="K115" s="85" t="str">
        <f t="shared" si="291"/>
        <v>-</v>
      </c>
      <c r="L115" s="85" t="str">
        <f>'Consumer Hardware Pricing'!Q123</f>
        <v>-</v>
      </c>
      <c r="M115" s="85" t="str">
        <f t="shared" si="175"/>
        <v>-</v>
      </c>
      <c r="N115" s="85" t="str">
        <f t="shared" si="292"/>
        <v>-</v>
      </c>
      <c r="O115" s="85" t="str">
        <f t="shared" si="293"/>
        <v>-</v>
      </c>
      <c r="P115" s="85" t="str">
        <f t="shared" si="294"/>
        <v>-</v>
      </c>
      <c r="Q115" s="85" t="str">
        <f>'Consumer Hardware Pricing'!S123</f>
        <v>-</v>
      </c>
      <c r="R115" s="85" t="str">
        <f t="shared" si="295"/>
        <v>-</v>
      </c>
      <c r="S115" s="85" t="str">
        <f>'Consumer Hardware Pricing'!T123</f>
        <v>-</v>
      </c>
      <c r="T115" s="129" t="str">
        <f t="shared" si="296"/>
        <v>-</v>
      </c>
      <c r="U115" s="129" t="str">
        <f t="shared" si="297"/>
        <v>-</v>
      </c>
      <c r="V115" s="85" t="str">
        <f t="shared" si="298"/>
        <v>-</v>
      </c>
      <c r="W115" s="129" t="str">
        <f>'Consumer Hardware Pricing'!V123</f>
        <v>-</v>
      </c>
      <c r="X115" s="129" t="str">
        <f t="shared" si="176"/>
        <v>-</v>
      </c>
      <c r="Y115" s="129" t="str">
        <f t="shared" si="299"/>
        <v>-</v>
      </c>
      <c r="Z115" s="129" t="str">
        <f t="shared" si="300"/>
        <v>-</v>
      </c>
      <c r="AA115" s="85" t="str">
        <f t="shared" si="301"/>
        <v>-</v>
      </c>
      <c r="AB115" s="85" t="str">
        <f>'Consumer Hardware Pricing'!X123</f>
        <v>-</v>
      </c>
      <c r="AC115" s="85" t="str">
        <f t="shared" si="141"/>
        <v>-</v>
      </c>
      <c r="AD115" s="85" t="str">
        <f>'Consumer Hardware Pricing'!Y123</f>
        <v>-</v>
      </c>
      <c r="AE115" s="85" t="str">
        <f t="shared" si="302"/>
        <v>-</v>
      </c>
      <c r="AF115" s="85" t="str">
        <f t="shared" si="303"/>
        <v>-</v>
      </c>
      <c r="AG115" s="85" t="str">
        <f t="shared" si="304"/>
        <v>-</v>
      </c>
      <c r="AH115" s="85" t="str">
        <f>'Consumer Hardware Pricing'!AA123</f>
        <v>-</v>
      </c>
      <c r="AI115" s="85" t="str">
        <f t="shared" si="142"/>
        <v>-</v>
      </c>
      <c r="AJ115" s="85" t="str">
        <f t="shared" si="305"/>
        <v>-</v>
      </c>
      <c r="AK115" s="85" t="str">
        <f t="shared" si="306"/>
        <v>-</v>
      </c>
      <c r="AL115" s="85" t="str">
        <f t="shared" si="307"/>
        <v>-</v>
      </c>
      <c r="AM115" s="85" t="str">
        <f>'Consumer Hardware Pricing'!AC123</f>
        <v>-</v>
      </c>
      <c r="AN115" s="85" t="str">
        <f t="shared" si="143"/>
        <v>-</v>
      </c>
      <c r="AO115" s="85" t="str">
        <f>'Consumer Hardware Pricing'!AD123</f>
        <v>-</v>
      </c>
      <c r="AP115" s="85" t="str">
        <f t="shared" si="308"/>
        <v>-</v>
      </c>
      <c r="AQ115" s="85" t="str">
        <f t="shared" si="309"/>
        <v>-</v>
      </c>
      <c r="AR115" s="85" t="str">
        <f t="shared" si="310"/>
        <v>-</v>
      </c>
      <c r="AS115" s="85" t="str">
        <f>'Consumer Hardware Pricing'!AF123</f>
        <v>-</v>
      </c>
      <c r="AT115" s="85" t="str">
        <f t="shared" si="144"/>
        <v>-</v>
      </c>
      <c r="AU115" s="85" t="str">
        <f t="shared" si="311"/>
        <v>-</v>
      </c>
      <c r="AV115" s="85" t="str">
        <f t="shared" si="312"/>
        <v>-</v>
      </c>
      <c r="AW115" s="85" t="str">
        <f t="shared" si="313"/>
        <v>-</v>
      </c>
      <c r="AX115" s="85" t="str">
        <f>'Consumer Hardware Pricing'!AH123</f>
        <v>-</v>
      </c>
      <c r="AY115" s="85" t="str">
        <f t="shared" si="145"/>
        <v>-</v>
      </c>
      <c r="AZ115" s="85" t="str">
        <f>'Consumer Hardware Pricing'!AI123</f>
        <v>-</v>
      </c>
      <c r="BA115" s="85" t="str">
        <f t="shared" si="314"/>
        <v>-</v>
      </c>
      <c r="BB115" s="85" t="str">
        <f t="shared" si="315"/>
        <v>-</v>
      </c>
      <c r="BC115" s="85" t="str">
        <f t="shared" si="316"/>
        <v>-</v>
      </c>
      <c r="BD115" s="85">
        <f>'Consumer Hardware Pricing'!AL123</f>
        <v>0</v>
      </c>
      <c r="BE115" s="85">
        <f t="shared" si="146"/>
        <v>39.589999999999996</v>
      </c>
      <c r="BF115" s="85" t="str">
        <f>'Consumer Hardware Pricing'!AM123</f>
        <v>-</v>
      </c>
      <c r="BG115" s="85">
        <f t="shared" si="317"/>
        <v>39.589999999999996</v>
      </c>
      <c r="BH115" s="85" t="str">
        <f t="shared" si="318"/>
        <v>-</v>
      </c>
      <c r="BI115" s="85">
        <f t="shared" si="319"/>
        <v>950.15999999999985</v>
      </c>
      <c r="BJ115" s="85" t="str">
        <f>'Consumer Hardware Pricing'!AP123</f>
        <v>-</v>
      </c>
      <c r="BK115" s="85" t="str">
        <f t="shared" si="147"/>
        <v>-</v>
      </c>
      <c r="BL115" s="85" t="str">
        <f>'Consumer Hardware Pricing'!AQ123</f>
        <v>-</v>
      </c>
      <c r="BM115" s="85" t="str">
        <f t="shared" si="320"/>
        <v>-</v>
      </c>
      <c r="BN115" s="85" t="str">
        <f t="shared" si="321"/>
        <v>-</v>
      </c>
      <c r="BO115" s="85" t="str">
        <f t="shared" si="322"/>
        <v>-</v>
      </c>
      <c r="BP115" s="85" t="str">
        <f>'Consumer Hardware Pricing'!AT123</f>
        <v>-</v>
      </c>
      <c r="BQ115" s="85" t="str">
        <f t="shared" si="148"/>
        <v>-</v>
      </c>
      <c r="BR115" s="85" t="str">
        <f>'Consumer Hardware Pricing'!AU123</f>
        <v>-</v>
      </c>
      <c r="BS115" s="85" t="str">
        <f t="shared" si="323"/>
        <v>-</v>
      </c>
      <c r="BT115" s="85" t="str">
        <f t="shared" si="324"/>
        <v>-</v>
      </c>
      <c r="BU115" s="85" t="str">
        <f t="shared" si="325"/>
        <v>-</v>
      </c>
    </row>
    <row r="116" spans="1:73" ht="30.15" customHeight="1" x14ac:dyDescent="0.25">
      <c r="A116" s="86" t="s">
        <v>35</v>
      </c>
      <c r="B116" s="88" t="s">
        <v>1142</v>
      </c>
      <c r="C116" s="88" t="s">
        <v>1148</v>
      </c>
      <c r="D116" s="85">
        <f>'Consumer Hardware Pricing'!L124</f>
        <v>950</v>
      </c>
      <c r="E116" s="85">
        <f>'Consumer Hardware Pricing'!M124</f>
        <v>950</v>
      </c>
      <c r="F116" s="85" t="str">
        <f>'Consumer Hardware Pricing'!N124</f>
        <v>-</v>
      </c>
      <c r="G116" s="85" t="str">
        <f t="shared" si="174"/>
        <v>-</v>
      </c>
      <c r="H116" s="85" t="str">
        <f>'Consumer Hardware Pricing'!O124</f>
        <v>-</v>
      </c>
      <c r="I116" s="85" t="str">
        <f t="shared" si="289"/>
        <v>-</v>
      </c>
      <c r="J116" s="85" t="str">
        <f t="shared" si="290"/>
        <v>-</v>
      </c>
      <c r="K116" s="85" t="str">
        <f t="shared" si="291"/>
        <v>-</v>
      </c>
      <c r="L116" s="85" t="str">
        <f>'Consumer Hardware Pricing'!Q124</f>
        <v>-</v>
      </c>
      <c r="M116" s="85" t="str">
        <f t="shared" si="175"/>
        <v>-</v>
      </c>
      <c r="N116" s="85" t="str">
        <f t="shared" si="292"/>
        <v>-</v>
      </c>
      <c r="O116" s="85" t="str">
        <f t="shared" si="293"/>
        <v>-</v>
      </c>
      <c r="P116" s="85" t="str">
        <f t="shared" si="294"/>
        <v>-</v>
      </c>
      <c r="Q116" s="85" t="str">
        <f>'Consumer Hardware Pricing'!S124</f>
        <v>-</v>
      </c>
      <c r="R116" s="85" t="str">
        <f t="shared" si="295"/>
        <v>-</v>
      </c>
      <c r="S116" s="85" t="str">
        <f>'Consumer Hardware Pricing'!T124</f>
        <v>-</v>
      </c>
      <c r="T116" s="129" t="str">
        <f t="shared" si="296"/>
        <v>-</v>
      </c>
      <c r="U116" s="129" t="str">
        <f t="shared" si="297"/>
        <v>-</v>
      </c>
      <c r="V116" s="85" t="str">
        <f t="shared" si="298"/>
        <v>-</v>
      </c>
      <c r="W116" s="129" t="str">
        <f>'Consumer Hardware Pricing'!V124</f>
        <v>-</v>
      </c>
      <c r="X116" s="129" t="str">
        <f t="shared" si="176"/>
        <v>-</v>
      </c>
      <c r="Y116" s="129" t="str">
        <f t="shared" si="299"/>
        <v>-</v>
      </c>
      <c r="Z116" s="129" t="str">
        <f t="shared" si="300"/>
        <v>-</v>
      </c>
      <c r="AA116" s="85" t="str">
        <f t="shared" si="301"/>
        <v>-</v>
      </c>
      <c r="AB116" s="85" t="str">
        <f>'Consumer Hardware Pricing'!X124</f>
        <v>-</v>
      </c>
      <c r="AC116" s="85" t="str">
        <f t="shared" si="141"/>
        <v>-</v>
      </c>
      <c r="AD116" s="85" t="str">
        <f>'Consumer Hardware Pricing'!Y124</f>
        <v>-</v>
      </c>
      <c r="AE116" s="85" t="str">
        <f t="shared" si="302"/>
        <v>-</v>
      </c>
      <c r="AF116" s="85" t="str">
        <f t="shared" si="303"/>
        <v>-</v>
      </c>
      <c r="AG116" s="85" t="str">
        <f t="shared" si="304"/>
        <v>-</v>
      </c>
      <c r="AH116" s="85" t="str">
        <f>'Consumer Hardware Pricing'!AA124</f>
        <v>-</v>
      </c>
      <c r="AI116" s="85" t="str">
        <f t="shared" si="142"/>
        <v>-</v>
      </c>
      <c r="AJ116" s="85" t="str">
        <f t="shared" si="305"/>
        <v>-</v>
      </c>
      <c r="AK116" s="85" t="str">
        <f t="shared" si="306"/>
        <v>-</v>
      </c>
      <c r="AL116" s="85" t="str">
        <f t="shared" si="307"/>
        <v>-</v>
      </c>
      <c r="AM116" s="85" t="str">
        <f>'Consumer Hardware Pricing'!AC124</f>
        <v>-</v>
      </c>
      <c r="AN116" s="85" t="str">
        <f t="shared" si="143"/>
        <v>-</v>
      </c>
      <c r="AO116" s="85" t="str">
        <f>'Consumer Hardware Pricing'!AD124</f>
        <v>-</v>
      </c>
      <c r="AP116" s="85" t="str">
        <f t="shared" si="308"/>
        <v>-</v>
      </c>
      <c r="AQ116" s="85" t="str">
        <f t="shared" si="309"/>
        <v>-</v>
      </c>
      <c r="AR116" s="85" t="str">
        <f t="shared" si="310"/>
        <v>-</v>
      </c>
      <c r="AS116" s="85" t="str">
        <f>'Consumer Hardware Pricing'!AF124</f>
        <v>-</v>
      </c>
      <c r="AT116" s="85" t="str">
        <f t="shared" si="144"/>
        <v>-</v>
      </c>
      <c r="AU116" s="85" t="str">
        <f t="shared" si="311"/>
        <v>-</v>
      </c>
      <c r="AV116" s="85" t="str">
        <f t="shared" si="312"/>
        <v>-</v>
      </c>
      <c r="AW116" s="85" t="str">
        <f t="shared" si="313"/>
        <v>-</v>
      </c>
      <c r="AX116" s="85" t="str">
        <f>'Consumer Hardware Pricing'!AH124</f>
        <v>-</v>
      </c>
      <c r="AY116" s="85" t="str">
        <f t="shared" si="145"/>
        <v>-</v>
      </c>
      <c r="AZ116" s="85" t="str">
        <f>'Consumer Hardware Pricing'!AI124</f>
        <v>-</v>
      </c>
      <c r="BA116" s="85" t="str">
        <f t="shared" si="314"/>
        <v>-</v>
      </c>
      <c r="BB116" s="85" t="str">
        <f t="shared" si="315"/>
        <v>-</v>
      </c>
      <c r="BC116" s="85" t="str">
        <f t="shared" si="316"/>
        <v>-</v>
      </c>
      <c r="BD116" s="85">
        <f>'Consumer Hardware Pricing'!AL124</f>
        <v>0</v>
      </c>
      <c r="BE116" s="85">
        <f t="shared" si="146"/>
        <v>39.589999999999996</v>
      </c>
      <c r="BF116" s="85" t="str">
        <f>'Consumer Hardware Pricing'!AM124</f>
        <v>-</v>
      </c>
      <c r="BG116" s="85">
        <f t="shared" si="317"/>
        <v>39.589999999999996</v>
      </c>
      <c r="BH116" s="85" t="str">
        <f t="shared" si="318"/>
        <v>-</v>
      </c>
      <c r="BI116" s="85">
        <f t="shared" si="319"/>
        <v>950.15999999999985</v>
      </c>
      <c r="BJ116" s="85" t="str">
        <f>'Consumer Hardware Pricing'!AP124</f>
        <v>-</v>
      </c>
      <c r="BK116" s="85" t="str">
        <f t="shared" si="147"/>
        <v>-</v>
      </c>
      <c r="BL116" s="85" t="str">
        <f>'Consumer Hardware Pricing'!AQ124</f>
        <v>-</v>
      </c>
      <c r="BM116" s="85" t="str">
        <f t="shared" si="320"/>
        <v>-</v>
      </c>
      <c r="BN116" s="85" t="str">
        <f t="shared" si="321"/>
        <v>-</v>
      </c>
      <c r="BO116" s="85" t="str">
        <f t="shared" si="322"/>
        <v>-</v>
      </c>
      <c r="BP116" s="85" t="str">
        <f>'Consumer Hardware Pricing'!AT124</f>
        <v>-</v>
      </c>
      <c r="BQ116" s="85" t="str">
        <f t="shared" si="148"/>
        <v>-</v>
      </c>
      <c r="BR116" s="85" t="str">
        <f>'Consumer Hardware Pricing'!AU124</f>
        <v>-</v>
      </c>
      <c r="BS116" s="85" t="str">
        <f t="shared" si="323"/>
        <v>-</v>
      </c>
      <c r="BT116" s="85" t="str">
        <f t="shared" si="324"/>
        <v>-</v>
      </c>
      <c r="BU116" s="85" t="str">
        <f t="shared" si="325"/>
        <v>-</v>
      </c>
    </row>
    <row r="117" spans="1:73" ht="30.15" customHeight="1" x14ac:dyDescent="0.25">
      <c r="A117" s="86" t="s">
        <v>35</v>
      </c>
      <c r="B117" s="88" t="s">
        <v>1143</v>
      </c>
      <c r="C117" s="88" t="s">
        <v>1149</v>
      </c>
      <c r="D117" s="85">
        <f>'Consumer Hardware Pricing'!L125</f>
        <v>1150</v>
      </c>
      <c r="E117" s="85">
        <f>'Consumer Hardware Pricing'!M125</f>
        <v>1150</v>
      </c>
      <c r="F117" s="85" t="str">
        <f>'Consumer Hardware Pricing'!N125</f>
        <v>-</v>
      </c>
      <c r="G117" s="85" t="str">
        <f t="shared" si="174"/>
        <v>-</v>
      </c>
      <c r="H117" s="85" t="str">
        <f>'Consumer Hardware Pricing'!O125</f>
        <v>-</v>
      </c>
      <c r="I117" s="85" t="str">
        <f t="shared" si="289"/>
        <v>-</v>
      </c>
      <c r="J117" s="85" t="str">
        <f t="shared" si="290"/>
        <v>-</v>
      </c>
      <c r="K117" s="85" t="str">
        <f t="shared" si="291"/>
        <v>-</v>
      </c>
      <c r="L117" s="85" t="str">
        <f>'Consumer Hardware Pricing'!Q125</f>
        <v>-</v>
      </c>
      <c r="M117" s="85" t="str">
        <f t="shared" si="175"/>
        <v>-</v>
      </c>
      <c r="N117" s="85" t="str">
        <f t="shared" si="292"/>
        <v>-</v>
      </c>
      <c r="O117" s="85" t="str">
        <f t="shared" si="293"/>
        <v>-</v>
      </c>
      <c r="P117" s="85" t="str">
        <f t="shared" si="294"/>
        <v>-</v>
      </c>
      <c r="Q117" s="85" t="str">
        <f>'Consumer Hardware Pricing'!S125</f>
        <v>-</v>
      </c>
      <c r="R117" s="85" t="str">
        <f t="shared" si="295"/>
        <v>-</v>
      </c>
      <c r="S117" s="85" t="str">
        <f>'Consumer Hardware Pricing'!T125</f>
        <v>-</v>
      </c>
      <c r="T117" s="129" t="str">
        <f t="shared" si="296"/>
        <v>-</v>
      </c>
      <c r="U117" s="129" t="str">
        <f t="shared" si="297"/>
        <v>-</v>
      </c>
      <c r="V117" s="85" t="str">
        <f t="shared" si="298"/>
        <v>-</v>
      </c>
      <c r="W117" s="129" t="str">
        <f>'Consumer Hardware Pricing'!V125</f>
        <v>-</v>
      </c>
      <c r="X117" s="129" t="str">
        <f t="shared" si="176"/>
        <v>-</v>
      </c>
      <c r="Y117" s="129" t="str">
        <f t="shared" si="299"/>
        <v>-</v>
      </c>
      <c r="Z117" s="129" t="str">
        <f t="shared" si="300"/>
        <v>-</v>
      </c>
      <c r="AA117" s="85" t="str">
        <f t="shared" si="301"/>
        <v>-</v>
      </c>
      <c r="AB117" s="85" t="str">
        <f>'Consumer Hardware Pricing'!X125</f>
        <v>-</v>
      </c>
      <c r="AC117" s="85" t="str">
        <f t="shared" si="141"/>
        <v>-</v>
      </c>
      <c r="AD117" s="85" t="str">
        <f>'Consumer Hardware Pricing'!Y125</f>
        <v>-</v>
      </c>
      <c r="AE117" s="85" t="str">
        <f t="shared" si="302"/>
        <v>-</v>
      </c>
      <c r="AF117" s="85" t="str">
        <f t="shared" si="303"/>
        <v>-</v>
      </c>
      <c r="AG117" s="85" t="str">
        <f t="shared" si="304"/>
        <v>-</v>
      </c>
      <c r="AH117" s="85" t="str">
        <f>'Consumer Hardware Pricing'!AA125</f>
        <v>-</v>
      </c>
      <c r="AI117" s="85" t="str">
        <f t="shared" si="142"/>
        <v>-</v>
      </c>
      <c r="AJ117" s="85" t="str">
        <f t="shared" si="305"/>
        <v>-</v>
      </c>
      <c r="AK117" s="85" t="str">
        <f t="shared" si="306"/>
        <v>-</v>
      </c>
      <c r="AL117" s="85" t="str">
        <f t="shared" si="307"/>
        <v>-</v>
      </c>
      <c r="AM117" s="85" t="str">
        <f>'Consumer Hardware Pricing'!AC125</f>
        <v>-</v>
      </c>
      <c r="AN117" s="85" t="str">
        <f t="shared" si="143"/>
        <v>-</v>
      </c>
      <c r="AO117" s="85" t="str">
        <f>'Consumer Hardware Pricing'!AD125</f>
        <v>-</v>
      </c>
      <c r="AP117" s="85" t="str">
        <f t="shared" si="308"/>
        <v>-</v>
      </c>
      <c r="AQ117" s="85" t="str">
        <f t="shared" si="309"/>
        <v>-</v>
      </c>
      <c r="AR117" s="85" t="str">
        <f t="shared" si="310"/>
        <v>-</v>
      </c>
      <c r="AS117" s="85" t="str">
        <f>'Consumer Hardware Pricing'!AF125</f>
        <v>-</v>
      </c>
      <c r="AT117" s="85" t="str">
        <f t="shared" si="144"/>
        <v>-</v>
      </c>
      <c r="AU117" s="85" t="str">
        <f t="shared" si="311"/>
        <v>-</v>
      </c>
      <c r="AV117" s="85" t="str">
        <f t="shared" si="312"/>
        <v>-</v>
      </c>
      <c r="AW117" s="85" t="str">
        <f t="shared" si="313"/>
        <v>-</v>
      </c>
      <c r="AX117" s="85" t="str">
        <f>'Consumer Hardware Pricing'!AH125</f>
        <v>-</v>
      </c>
      <c r="AY117" s="85" t="str">
        <f t="shared" si="145"/>
        <v>-</v>
      </c>
      <c r="AZ117" s="85" t="str">
        <f>'Consumer Hardware Pricing'!AI125</f>
        <v>-</v>
      </c>
      <c r="BA117" s="85" t="str">
        <f t="shared" si="314"/>
        <v>-</v>
      </c>
      <c r="BB117" s="85" t="str">
        <f t="shared" si="315"/>
        <v>-</v>
      </c>
      <c r="BC117" s="85" t="str">
        <f t="shared" si="316"/>
        <v>-</v>
      </c>
      <c r="BD117" s="85">
        <f>'Consumer Hardware Pricing'!AL125</f>
        <v>0</v>
      </c>
      <c r="BE117" s="85">
        <f t="shared" si="146"/>
        <v>47.919999999999995</v>
      </c>
      <c r="BF117" s="85" t="str">
        <f>'Consumer Hardware Pricing'!AM125</f>
        <v>-</v>
      </c>
      <c r="BG117" s="85">
        <f t="shared" si="317"/>
        <v>47.919999999999995</v>
      </c>
      <c r="BH117" s="85" t="str">
        <f t="shared" si="318"/>
        <v>-</v>
      </c>
      <c r="BI117" s="85">
        <f t="shared" si="319"/>
        <v>1150.08</v>
      </c>
      <c r="BJ117" s="85" t="str">
        <f>'Consumer Hardware Pricing'!AP125</f>
        <v>-</v>
      </c>
      <c r="BK117" s="85" t="str">
        <f t="shared" si="147"/>
        <v>-</v>
      </c>
      <c r="BL117" s="85" t="str">
        <f>'Consumer Hardware Pricing'!AQ125</f>
        <v>-</v>
      </c>
      <c r="BM117" s="85" t="str">
        <f t="shared" si="320"/>
        <v>-</v>
      </c>
      <c r="BN117" s="85" t="str">
        <f t="shared" si="321"/>
        <v>-</v>
      </c>
      <c r="BO117" s="85" t="str">
        <f t="shared" si="322"/>
        <v>-</v>
      </c>
      <c r="BP117" s="85" t="str">
        <f>'Consumer Hardware Pricing'!AT125</f>
        <v>-</v>
      </c>
      <c r="BQ117" s="85" t="str">
        <f t="shared" si="148"/>
        <v>-</v>
      </c>
      <c r="BR117" s="85" t="str">
        <f>'Consumer Hardware Pricing'!AU125</f>
        <v>-</v>
      </c>
      <c r="BS117" s="85" t="str">
        <f t="shared" si="323"/>
        <v>-</v>
      </c>
      <c r="BT117" s="85" t="str">
        <f t="shared" si="324"/>
        <v>-</v>
      </c>
      <c r="BU117" s="85" t="str">
        <f t="shared" si="325"/>
        <v>-</v>
      </c>
    </row>
    <row r="118" spans="1:73" ht="30.15" customHeight="1" x14ac:dyDescent="0.25">
      <c r="A118" s="86" t="s">
        <v>35</v>
      </c>
      <c r="B118" s="88" t="s">
        <v>1144</v>
      </c>
      <c r="C118" s="88" t="s">
        <v>1149</v>
      </c>
      <c r="D118" s="85">
        <f>'Consumer Hardware Pricing'!L126</f>
        <v>1150</v>
      </c>
      <c r="E118" s="85">
        <f>'Consumer Hardware Pricing'!M126</f>
        <v>1150</v>
      </c>
      <c r="F118" s="85" t="str">
        <f>'Consumer Hardware Pricing'!N126</f>
        <v>-</v>
      </c>
      <c r="G118" s="85" t="str">
        <f t="shared" si="174"/>
        <v>-</v>
      </c>
      <c r="H118" s="85" t="str">
        <f>'Consumer Hardware Pricing'!O126</f>
        <v>-</v>
      </c>
      <c r="I118" s="85" t="str">
        <f t="shared" si="289"/>
        <v>-</v>
      </c>
      <c r="J118" s="85" t="str">
        <f t="shared" si="290"/>
        <v>-</v>
      </c>
      <c r="K118" s="85" t="str">
        <f t="shared" si="291"/>
        <v>-</v>
      </c>
      <c r="L118" s="85" t="str">
        <f>'Consumer Hardware Pricing'!Q126</f>
        <v>-</v>
      </c>
      <c r="M118" s="85" t="str">
        <f t="shared" si="175"/>
        <v>-</v>
      </c>
      <c r="N118" s="85" t="str">
        <f t="shared" si="292"/>
        <v>-</v>
      </c>
      <c r="O118" s="85" t="str">
        <f t="shared" si="293"/>
        <v>-</v>
      </c>
      <c r="P118" s="85" t="str">
        <f t="shared" si="294"/>
        <v>-</v>
      </c>
      <c r="Q118" s="85" t="str">
        <f>'Consumer Hardware Pricing'!S126</f>
        <v>-</v>
      </c>
      <c r="R118" s="85" t="str">
        <f t="shared" si="295"/>
        <v>-</v>
      </c>
      <c r="S118" s="85" t="str">
        <f>'Consumer Hardware Pricing'!T126</f>
        <v>-</v>
      </c>
      <c r="T118" s="129" t="str">
        <f t="shared" si="296"/>
        <v>-</v>
      </c>
      <c r="U118" s="129" t="str">
        <f t="shared" si="297"/>
        <v>-</v>
      </c>
      <c r="V118" s="85" t="str">
        <f t="shared" si="298"/>
        <v>-</v>
      </c>
      <c r="W118" s="129" t="str">
        <f>'Consumer Hardware Pricing'!V126</f>
        <v>-</v>
      </c>
      <c r="X118" s="129" t="str">
        <f t="shared" si="176"/>
        <v>-</v>
      </c>
      <c r="Y118" s="129" t="str">
        <f t="shared" si="299"/>
        <v>-</v>
      </c>
      <c r="Z118" s="129" t="str">
        <f t="shared" si="300"/>
        <v>-</v>
      </c>
      <c r="AA118" s="85" t="str">
        <f t="shared" si="301"/>
        <v>-</v>
      </c>
      <c r="AB118" s="85" t="str">
        <f>'Consumer Hardware Pricing'!X126</f>
        <v>-</v>
      </c>
      <c r="AC118" s="85" t="str">
        <f t="shared" si="141"/>
        <v>-</v>
      </c>
      <c r="AD118" s="85" t="str">
        <f>'Consumer Hardware Pricing'!Y126</f>
        <v>-</v>
      </c>
      <c r="AE118" s="85" t="str">
        <f t="shared" si="302"/>
        <v>-</v>
      </c>
      <c r="AF118" s="85" t="str">
        <f t="shared" si="303"/>
        <v>-</v>
      </c>
      <c r="AG118" s="85" t="str">
        <f t="shared" si="304"/>
        <v>-</v>
      </c>
      <c r="AH118" s="85" t="str">
        <f>'Consumer Hardware Pricing'!AA126</f>
        <v>-</v>
      </c>
      <c r="AI118" s="85" t="str">
        <f t="shared" si="142"/>
        <v>-</v>
      </c>
      <c r="AJ118" s="85" t="str">
        <f t="shared" si="305"/>
        <v>-</v>
      </c>
      <c r="AK118" s="85" t="str">
        <f t="shared" si="306"/>
        <v>-</v>
      </c>
      <c r="AL118" s="85" t="str">
        <f t="shared" si="307"/>
        <v>-</v>
      </c>
      <c r="AM118" s="85" t="str">
        <f>'Consumer Hardware Pricing'!AC126</f>
        <v>-</v>
      </c>
      <c r="AN118" s="85" t="str">
        <f t="shared" si="143"/>
        <v>-</v>
      </c>
      <c r="AO118" s="85" t="str">
        <f>'Consumer Hardware Pricing'!AD126</f>
        <v>-</v>
      </c>
      <c r="AP118" s="85" t="str">
        <f t="shared" si="308"/>
        <v>-</v>
      </c>
      <c r="AQ118" s="85" t="str">
        <f t="shared" si="309"/>
        <v>-</v>
      </c>
      <c r="AR118" s="85" t="str">
        <f t="shared" si="310"/>
        <v>-</v>
      </c>
      <c r="AS118" s="85" t="str">
        <f>'Consumer Hardware Pricing'!AF126</f>
        <v>-</v>
      </c>
      <c r="AT118" s="85" t="str">
        <f t="shared" si="144"/>
        <v>-</v>
      </c>
      <c r="AU118" s="85" t="str">
        <f t="shared" si="311"/>
        <v>-</v>
      </c>
      <c r="AV118" s="85" t="str">
        <f t="shared" si="312"/>
        <v>-</v>
      </c>
      <c r="AW118" s="85" t="str">
        <f t="shared" si="313"/>
        <v>-</v>
      </c>
      <c r="AX118" s="85" t="str">
        <f>'Consumer Hardware Pricing'!AH126</f>
        <v>-</v>
      </c>
      <c r="AY118" s="85" t="str">
        <f t="shared" si="145"/>
        <v>-</v>
      </c>
      <c r="AZ118" s="85" t="str">
        <f>'Consumer Hardware Pricing'!AI126</f>
        <v>-</v>
      </c>
      <c r="BA118" s="85" t="str">
        <f t="shared" si="314"/>
        <v>-</v>
      </c>
      <c r="BB118" s="85" t="str">
        <f t="shared" si="315"/>
        <v>-</v>
      </c>
      <c r="BC118" s="85" t="str">
        <f t="shared" si="316"/>
        <v>-</v>
      </c>
      <c r="BD118" s="85">
        <f>'Consumer Hardware Pricing'!AL126</f>
        <v>0</v>
      </c>
      <c r="BE118" s="85">
        <f t="shared" si="146"/>
        <v>47.919999999999995</v>
      </c>
      <c r="BF118" s="85" t="str">
        <f>'Consumer Hardware Pricing'!AM126</f>
        <v>-</v>
      </c>
      <c r="BG118" s="85">
        <f t="shared" si="317"/>
        <v>47.919999999999995</v>
      </c>
      <c r="BH118" s="85" t="str">
        <f t="shared" si="318"/>
        <v>-</v>
      </c>
      <c r="BI118" s="85">
        <f t="shared" si="319"/>
        <v>1150.08</v>
      </c>
      <c r="BJ118" s="85" t="str">
        <f>'Consumer Hardware Pricing'!AP126</f>
        <v>-</v>
      </c>
      <c r="BK118" s="85" t="str">
        <f t="shared" si="147"/>
        <v>-</v>
      </c>
      <c r="BL118" s="85" t="str">
        <f>'Consumer Hardware Pricing'!AQ126</f>
        <v>-</v>
      </c>
      <c r="BM118" s="85" t="str">
        <f t="shared" si="320"/>
        <v>-</v>
      </c>
      <c r="BN118" s="85" t="str">
        <f t="shared" si="321"/>
        <v>-</v>
      </c>
      <c r="BO118" s="85" t="str">
        <f t="shared" si="322"/>
        <v>-</v>
      </c>
      <c r="BP118" s="85" t="str">
        <f>'Consumer Hardware Pricing'!AT126</f>
        <v>-</v>
      </c>
      <c r="BQ118" s="85" t="str">
        <f t="shared" si="148"/>
        <v>-</v>
      </c>
      <c r="BR118" s="85" t="str">
        <f>'Consumer Hardware Pricing'!AU126</f>
        <v>-</v>
      </c>
      <c r="BS118" s="85" t="str">
        <f t="shared" si="323"/>
        <v>-</v>
      </c>
      <c r="BT118" s="85" t="str">
        <f t="shared" si="324"/>
        <v>-</v>
      </c>
      <c r="BU118" s="85" t="str">
        <f t="shared" si="325"/>
        <v>-</v>
      </c>
    </row>
    <row r="119" spans="1:73" ht="30.15" customHeight="1" x14ac:dyDescent="0.25">
      <c r="A119" s="86" t="s">
        <v>35</v>
      </c>
      <c r="B119" s="88" t="s">
        <v>1145</v>
      </c>
      <c r="C119" s="88" t="s">
        <v>1149</v>
      </c>
      <c r="D119" s="85">
        <f>'Consumer Hardware Pricing'!L127</f>
        <v>1150</v>
      </c>
      <c r="E119" s="85">
        <f>'Consumer Hardware Pricing'!M127</f>
        <v>1150</v>
      </c>
      <c r="F119" s="85" t="str">
        <f>'Consumer Hardware Pricing'!N127</f>
        <v>-</v>
      </c>
      <c r="G119" s="85" t="str">
        <f t="shared" si="174"/>
        <v>-</v>
      </c>
      <c r="H119" s="85" t="str">
        <f>'Consumer Hardware Pricing'!O127</f>
        <v>-</v>
      </c>
      <c r="I119" s="85" t="str">
        <f t="shared" si="289"/>
        <v>-</v>
      </c>
      <c r="J119" s="85" t="str">
        <f t="shared" si="290"/>
        <v>-</v>
      </c>
      <c r="K119" s="85" t="str">
        <f t="shared" si="291"/>
        <v>-</v>
      </c>
      <c r="L119" s="85" t="str">
        <f>'Consumer Hardware Pricing'!Q127</f>
        <v>-</v>
      </c>
      <c r="M119" s="85" t="str">
        <f t="shared" si="175"/>
        <v>-</v>
      </c>
      <c r="N119" s="85" t="str">
        <f t="shared" si="292"/>
        <v>-</v>
      </c>
      <c r="O119" s="85" t="str">
        <f t="shared" si="293"/>
        <v>-</v>
      </c>
      <c r="P119" s="85" t="str">
        <f t="shared" si="294"/>
        <v>-</v>
      </c>
      <c r="Q119" s="85" t="str">
        <f>'Consumer Hardware Pricing'!S127</f>
        <v>-</v>
      </c>
      <c r="R119" s="85" t="str">
        <f t="shared" si="295"/>
        <v>-</v>
      </c>
      <c r="S119" s="85" t="str">
        <f>'Consumer Hardware Pricing'!T127</f>
        <v>-</v>
      </c>
      <c r="T119" s="129" t="str">
        <f t="shared" si="296"/>
        <v>-</v>
      </c>
      <c r="U119" s="129" t="str">
        <f t="shared" si="297"/>
        <v>-</v>
      </c>
      <c r="V119" s="85" t="str">
        <f t="shared" si="298"/>
        <v>-</v>
      </c>
      <c r="W119" s="129" t="str">
        <f>'Consumer Hardware Pricing'!V127</f>
        <v>-</v>
      </c>
      <c r="X119" s="129" t="str">
        <f t="shared" si="176"/>
        <v>-</v>
      </c>
      <c r="Y119" s="129" t="str">
        <f t="shared" si="299"/>
        <v>-</v>
      </c>
      <c r="Z119" s="129" t="str">
        <f t="shared" si="300"/>
        <v>-</v>
      </c>
      <c r="AA119" s="85" t="str">
        <f t="shared" si="301"/>
        <v>-</v>
      </c>
      <c r="AB119" s="85" t="str">
        <f>'Consumer Hardware Pricing'!X127</f>
        <v>-</v>
      </c>
      <c r="AC119" s="85" t="str">
        <f t="shared" si="141"/>
        <v>-</v>
      </c>
      <c r="AD119" s="85" t="str">
        <f>'Consumer Hardware Pricing'!Y127</f>
        <v>-</v>
      </c>
      <c r="AE119" s="85" t="str">
        <f t="shared" si="302"/>
        <v>-</v>
      </c>
      <c r="AF119" s="85" t="str">
        <f t="shared" si="303"/>
        <v>-</v>
      </c>
      <c r="AG119" s="85" t="str">
        <f t="shared" si="304"/>
        <v>-</v>
      </c>
      <c r="AH119" s="85" t="str">
        <f>'Consumer Hardware Pricing'!AA127</f>
        <v>-</v>
      </c>
      <c r="AI119" s="85" t="str">
        <f t="shared" si="142"/>
        <v>-</v>
      </c>
      <c r="AJ119" s="85" t="str">
        <f t="shared" si="305"/>
        <v>-</v>
      </c>
      <c r="AK119" s="85" t="str">
        <f t="shared" si="306"/>
        <v>-</v>
      </c>
      <c r="AL119" s="85" t="str">
        <f t="shared" si="307"/>
        <v>-</v>
      </c>
      <c r="AM119" s="85" t="str">
        <f>'Consumer Hardware Pricing'!AC127</f>
        <v>-</v>
      </c>
      <c r="AN119" s="85" t="str">
        <f t="shared" si="143"/>
        <v>-</v>
      </c>
      <c r="AO119" s="85" t="str">
        <f>'Consumer Hardware Pricing'!AD127</f>
        <v>-</v>
      </c>
      <c r="AP119" s="85" t="str">
        <f t="shared" si="308"/>
        <v>-</v>
      </c>
      <c r="AQ119" s="85" t="str">
        <f t="shared" si="309"/>
        <v>-</v>
      </c>
      <c r="AR119" s="85" t="str">
        <f t="shared" si="310"/>
        <v>-</v>
      </c>
      <c r="AS119" s="85" t="str">
        <f>'Consumer Hardware Pricing'!AF127</f>
        <v>-</v>
      </c>
      <c r="AT119" s="85" t="str">
        <f t="shared" si="144"/>
        <v>-</v>
      </c>
      <c r="AU119" s="85" t="str">
        <f t="shared" si="311"/>
        <v>-</v>
      </c>
      <c r="AV119" s="85" t="str">
        <f t="shared" si="312"/>
        <v>-</v>
      </c>
      <c r="AW119" s="85" t="str">
        <f t="shared" si="313"/>
        <v>-</v>
      </c>
      <c r="AX119" s="85" t="str">
        <f>'Consumer Hardware Pricing'!AH127</f>
        <v>-</v>
      </c>
      <c r="AY119" s="85" t="str">
        <f t="shared" si="145"/>
        <v>-</v>
      </c>
      <c r="AZ119" s="85" t="str">
        <f>'Consumer Hardware Pricing'!AI127</f>
        <v>-</v>
      </c>
      <c r="BA119" s="85" t="str">
        <f t="shared" si="314"/>
        <v>-</v>
      </c>
      <c r="BB119" s="85" t="str">
        <f t="shared" si="315"/>
        <v>-</v>
      </c>
      <c r="BC119" s="85" t="str">
        <f t="shared" si="316"/>
        <v>-</v>
      </c>
      <c r="BD119" s="85">
        <f>'Consumer Hardware Pricing'!AL127</f>
        <v>0</v>
      </c>
      <c r="BE119" s="85">
        <f t="shared" si="146"/>
        <v>47.919999999999995</v>
      </c>
      <c r="BF119" s="85" t="str">
        <f>'Consumer Hardware Pricing'!AM127</f>
        <v>-</v>
      </c>
      <c r="BG119" s="85">
        <f t="shared" si="317"/>
        <v>47.919999999999995</v>
      </c>
      <c r="BH119" s="85" t="str">
        <f t="shared" si="318"/>
        <v>-</v>
      </c>
      <c r="BI119" s="85">
        <f t="shared" si="319"/>
        <v>1150.08</v>
      </c>
      <c r="BJ119" s="85" t="str">
        <f>'Consumer Hardware Pricing'!AP127</f>
        <v>-</v>
      </c>
      <c r="BK119" s="85" t="str">
        <f t="shared" si="147"/>
        <v>-</v>
      </c>
      <c r="BL119" s="85" t="str">
        <f>'Consumer Hardware Pricing'!AQ127</f>
        <v>-</v>
      </c>
      <c r="BM119" s="85" t="str">
        <f t="shared" si="320"/>
        <v>-</v>
      </c>
      <c r="BN119" s="85" t="str">
        <f t="shared" si="321"/>
        <v>-</v>
      </c>
      <c r="BO119" s="85" t="str">
        <f t="shared" si="322"/>
        <v>-</v>
      </c>
      <c r="BP119" s="85" t="str">
        <f>'Consumer Hardware Pricing'!AT127</f>
        <v>-</v>
      </c>
      <c r="BQ119" s="85" t="str">
        <f t="shared" si="148"/>
        <v>-</v>
      </c>
      <c r="BR119" s="85" t="str">
        <f>'Consumer Hardware Pricing'!AU127</f>
        <v>-</v>
      </c>
      <c r="BS119" s="85" t="str">
        <f t="shared" si="323"/>
        <v>-</v>
      </c>
      <c r="BT119" s="85" t="str">
        <f t="shared" si="324"/>
        <v>-</v>
      </c>
      <c r="BU119" s="85" t="str">
        <f t="shared" si="325"/>
        <v>-</v>
      </c>
    </row>
    <row r="120" spans="1:73" ht="30.15" customHeight="1" x14ac:dyDescent="0.25">
      <c r="A120" s="86" t="s">
        <v>35</v>
      </c>
      <c r="B120" s="88" t="s">
        <v>1146</v>
      </c>
      <c r="C120" s="88" t="s">
        <v>1149</v>
      </c>
      <c r="D120" s="85">
        <f>'Consumer Hardware Pricing'!L128</f>
        <v>1150</v>
      </c>
      <c r="E120" s="85">
        <f>'Consumer Hardware Pricing'!M128</f>
        <v>1150</v>
      </c>
      <c r="F120" s="85" t="str">
        <f>'Consumer Hardware Pricing'!N128</f>
        <v>-</v>
      </c>
      <c r="G120" s="85" t="str">
        <f t="shared" si="174"/>
        <v>-</v>
      </c>
      <c r="H120" s="85" t="str">
        <f>'Consumer Hardware Pricing'!O128</f>
        <v>-</v>
      </c>
      <c r="I120" s="85" t="str">
        <f t="shared" si="289"/>
        <v>-</v>
      </c>
      <c r="J120" s="85" t="str">
        <f t="shared" si="290"/>
        <v>-</v>
      </c>
      <c r="K120" s="85" t="str">
        <f t="shared" si="291"/>
        <v>-</v>
      </c>
      <c r="L120" s="85" t="str">
        <f>'Consumer Hardware Pricing'!Q128</f>
        <v>-</v>
      </c>
      <c r="M120" s="85" t="str">
        <f t="shared" si="175"/>
        <v>-</v>
      </c>
      <c r="N120" s="85" t="str">
        <f t="shared" si="292"/>
        <v>-</v>
      </c>
      <c r="O120" s="85" t="str">
        <f t="shared" si="293"/>
        <v>-</v>
      </c>
      <c r="P120" s="85" t="str">
        <f t="shared" si="294"/>
        <v>-</v>
      </c>
      <c r="Q120" s="85" t="str">
        <f>'Consumer Hardware Pricing'!S128</f>
        <v>-</v>
      </c>
      <c r="R120" s="85" t="str">
        <f t="shared" si="295"/>
        <v>-</v>
      </c>
      <c r="S120" s="85" t="str">
        <f>'Consumer Hardware Pricing'!T128</f>
        <v>-</v>
      </c>
      <c r="T120" s="129" t="str">
        <f t="shared" si="296"/>
        <v>-</v>
      </c>
      <c r="U120" s="129" t="str">
        <f t="shared" si="297"/>
        <v>-</v>
      </c>
      <c r="V120" s="85" t="str">
        <f t="shared" si="298"/>
        <v>-</v>
      </c>
      <c r="W120" s="129" t="str">
        <f>'Consumer Hardware Pricing'!V128</f>
        <v>-</v>
      </c>
      <c r="X120" s="129" t="str">
        <f t="shared" si="176"/>
        <v>-</v>
      </c>
      <c r="Y120" s="129" t="str">
        <f t="shared" si="299"/>
        <v>-</v>
      </c>
      <c r="Z120" s="129" t="str">
        <f t="shared" si="300"/>
        <v>-</v>
      </c>
      <c r="AA120" s="85" t="str">
        <f t="shared" si="301"/>
        <v>-</v>
      </c>
      <c r="AB120" s="85" t="str">
        <f>'Consumer Hardware Pricing'!X128</f>
        <v>-</v>
      </c>
      <c r="AC120" s="85" t="str">
        <f t="shared" si="141"/>
        <v>-</v>
      </c>
      <c r="AD120" s="85" t="str">
        <f>'Consumer Hardware Pricing'!Y128</f>
        <v>-</v>
      </c>
      <c r="AE120" s="85" t="str">
        <f t="shared" si="302"/>
        <v>-</v>
      </c>
      <c r="AF120" s="85" t="str">
        <f t="shared" si="303"/>
        <v>-</v>
      </c>
      <c r="AG120" s="85" t="str">
        <f t="shared" si="304"/>
        <v>-</v>
      </c>
      <c r="AH120" s="85" t="str">
        <f>'Consumer Hardware Pricing'!AA128</f>
        <v>-</v>
      </c>
      <c r="AI120" s="85" t="str">
        <f t="shared" si="142"/>
        <v>-</v>
      </c>
      <c r="AJ120" s="85" t="str">
        <f t="shared" si="305"/>
        <v>-</v>
      </c>
      <c r="AK120" s="85" t="str">
        <f t="shared" si="306"/>
        <v>-</v>
      </c>
      <c r="AL120" s="85" t="str">
        <f t="shared" si="307"/>
        <v>-</v>
      </c>
      <c r="AM120" s="85" t="str">
        <f>'Consumer Hardware Pricing'!AC128</f>
        <v>-</v>
      </c>
      <c r="AN120" s="85" t="str">
        <f t="shared" si="143"/>
        <v>-</v>
      </c>
      <c r="AO120" s="85" t="str">
        <f>'Consumer Hardware Pricing'!AD128</f>
        <v>-</v>
      </c>
      <c r="AP120" s="85" t="str">
        <f t="shared" si="308"/>
        <v>-</v>
      </c>
      <c r="AQ120" s="85" t="str">
        <f t="shared" si="309"/>
        <v>-</v>
      </c>
      <c r="AR120" s="85" t="str">
        <f t="shared" si="310"/>
        <v>-</v>
      </c>
      <c r="AS120" s="85" t="str">
        <f>'Consumer Hardware Pricing'!AF128</f>
        <v>-</v>
      </c>
      <c r="AT120" s="85" t="str">
        <f t="shared" si="144"/>
        <v>-</v>
      </c>
      <c r="AU120" s="85" t="str">
        <f t="shared" si="311"/>
        <v>-</v>
      </c>
      <c r="AV120" s="85" t="str">
        <f t="shared" si="312"/>
        <v>-</v>
      </c>
      <c r="AW120" s="85" t="str">
        <f t="shared" si="313"/>
        <v>-</v>
      </c>
      <c r="AX120" s="85" t="str">
        <f>'Consumer Hardware Pricing'!AH128</f>
        <v>-</v>
      </c>
      <c r="AY120" s="85" t="str">
        <f t="shared" si="145"/>
        <v>-</v>
      </c>
      <c r="AZ120" s="85" t="str">
        <f>'Consumer Hardware Pricing'!AI128</f>
        <v>-</v>
      </c>
      <c r="BA120" s="85" t="str">
        <f t="shared" si="314"/>
        <v>-</v>
      </c>
      <c r="BB120" s="85" t="str">
        <f t="shared" si="315"/>
        <v>-</v>
      </c>
      <c r="BC120" s="85" t="str">
        <f t="shared" si="316"/>
        <v>-</v>
      </c>
      <c r="BD120" s="85">
        <f>'Consumer Hardware Pricing'!AL128</f>
        <v>0</v>
      </c>
      <c r="BE120" s="85">
        <f t="shared" si="146"/>
        <v>47.919999999999995</v>
      </c>
      <c r="BF120" s="85" t="str">
        <f>'Consumer Hardware Pricing'!AM128</f>
        <v>-</v>
      </c>
      <c r="BG120" s="85">
        <f t="shared" si="317"/>
        <v>47.919999999999995</v>
      </c>
      <c r="BH120" s="85" t="str">
        <f t="shared" si="318"/>
        <v>-</v>
      </c>
      <c r="BI120" s="85">
        <f t="shared" si="319"/>
        <v>1150.08</v>
      </c>
      <c r="BJ120" s="85" t="str">
        <f>'Consumer Hardware Pricing'!AP128</f>
        <v>-</v>
      </c>
      <c r="BK120" s="85" t="str">
        <f t="shared" si="147"/>
        <v>-</v>
      </c>
      <c r="BL120" s="85" t="str">
        <f>'Consumer Hardware Pricing'!AQ128</f>
        <v>-</v>
      </c>
      <c r="BM120" s="85" t="str">
        <f t="shared" si="320"/>
        <v>-</v>
      </c>
      <c r="BN120" s="85" t="str">
        <f t="shared" si="321"/>
        <v>-</v>
      </c>
      <c r="BO120" s="85" t="str">
        <f t="shared" si="322"/>
        <v>-</v>
      </c>
      <c r="BP120" s="85" t="str">
        <f>'Consumer Hardware Pricing'!AT128</f>
        <v>-</v>
      </c>
      <c r="BQ120" s="85" t="str">
        <f t="shared" si="148"/>
        <v>-</v>
      </c>
      <c r="BR120" s="85" t="str">
        <f>'Consumer Hardware Pricing'!AU128</f>
        <v>-</v>
      </c>
      <c r="BS120" s="85" t="str">
        <f t="shared" si="323"/>
        <v>-</v>
      </c>
      <c r="BT120" s="85" t="str">
        <f t="shared" si="324"/>
        <v>-</v>
      </c>
      <c r="BU120" s="85" t="str">
        <f t="shared" si="325"/>
        <v>-</v>
      </c>
    </row>
    <row r="121" spans="1:73" ht="30.15" customHeight="1" x14ac:dyDescent="0.25">
      <c r="A121" s="86" t="s">
        <v>35</v>
      </c>
      <c r="B121" s="88" t="s">
        <v>1147</v>
      </c>
      <c r="C121" s="88" t="s">
        <v>1149</v>
      </c>
      <c r="D121" s="85">
        <f>'Consumer Hardware Pricing'!L129</f>
        <v>1150</v>
      </c>
      <c r="E121" s="85">
        <f>'Consumer Hardware Pricing'!M129</f>
        <v>1150</v>
      </c>
      <c r="F121" s="85" t="str">
        <f>'Consumer Hardware Pricing'!N129</f>
        <v>-</v>
      </c>
      <c r="G121" s="85" t="str">
        <f t="shared" si="174"/>
        <v>-</v>
      </c>
      <c r="H121" s="85" t="str">
        <f>'Consumer Hardware Pricing'!O129</f>
        <v>-</v>
      </c>
      <c r="I121" s="85" t="str">
        <f t="shared" si="289"/>
        <v>-</v>
      </c>
      <c r="J121" s="85" t="str">
        <f t="shared" si="290"/>
        <v>-</v>
      </c>
      <c r="K121" s="85" t="str">
        <f t="shared" si="291"/>
        <v>-</v>
      </c>
      <c r="L121" s="85" t="str">
        <f>'Consumer Hardware Pricing'!Q129</f>
        <v>-</v>
      </c>
      <c r="M121" s="85" t="str">
        <f t="shared" si="175"/>
        <v>-</v>
      </c>
      <c r="N121" s="85" t="str">
        <f t="shared" si="292"/>
        <v>-</v>
      </c>
      <c r="O121" s="85" t="str">
        <f t="shared" si="293"/>
        <v>-</v>
      </c>
      <c r="P121" s="85" t="str">
        <f t="shared" si="294"/>
        <v>-</v>
      </c>
      <c r="Q121" s="85" t="str">
        <f>'Consumer Hardware Pricing'!S129</f>
        <v>-</v>
      </c>
      <c r="R121" s="85" t="str">
        <f t="shared" si="295"/>
        <v>-</v>
      </c>
      <c r="S121" s="85" t="str">
        <f>'Consumer Hardware Pricing'!T129</f>
        <v>-</v>
      </c>
      <c r="T121" s="129" t="str">
        <f t="shared" si="296"/>
        <v>-</v>
      </c>
      <c r="U121" s="129" t="str">
        <f t="shared" si="297"/>
        <v>-</v>
      </c>
      <c r="V121" s="85" t="str">
        <f t="shared" si="298"/>
        <v>-</v>
      </c>
      <c r="W121" s="129" t="str">
        <f>'Consumer Hardware Pricing'!V129</f>
        <v>-</v>
      </c>
      <c r="X121" s="129" t="str">
        <f t="shared" si="176"/>
        <v>-</v>
      </c>
      <c r="Y121" s="129" t="str">
        <f t="shared" si="299"/>
        <v>-</v>
      </c>
      <c r="Z121" s="129" t="str">
        <f t="shared" si="300"/>
        <v>-</v>
      </c>
      <c r="AA121" s="85" t="str">
        <f t="shared" si="301"/>
        <v>-</v>
      </c>
      <c r="AB121" s="85" t="str">
        <f>'Consumer Hardware Pricing'!X129</f>
        <v>-</v>
      </c>
      <c r="AC121" s="85" t="str">
        <f t="shared" si="141"/>
        <v>-</v>
      </c>
      <c r="AD121" s="85" t="str">
        <f>'Consumer Hardware Pricing'!Y129</f>
        <v>-</v>
      </c>
      <c r="AE121" s="85" t="str">
        <f t="shared" si="302"/>
        <v>-</v>
      </c>
      <c r="AF121" s="85" t="str">
        <f t="shared" si="303"/>
        <v>-</v>
      </c>
      <c r="AG121" s="85" t="str">
        <f t="shared" si="304"/>
        <v>-</v>
      </c>
      <c r="AH121" s="85" t="str">
        <f>'Consumer Hardware Pricing'!AA129</f>
        <v>-</v>
      </c>
      <c r="AI121" s="85" t="str">
        <f t="shared" si="142"/>
        <v>-</v>
      </c>
      <c r="AJ121" s="85" t="str">
        <f t="shared" si="305"/>
        <v>-</v>
      </c>
      <c r="AK121" s="85" t="str">
        <f t="shared" si="306"/>
        <v>-</v>
      </c>
      <c r="AL121" s="85" t="str">
        <f t="shared" si="307"/>
        <v>-</v>
      </c>
      <c r="AM121" s="85" t="str">
        <f>'Consumer Hardware Pricing'!AC129</f>
        <v>-</v>
      </c>
      <c r="AN121" s="85" t="str">
        <f t="shared" si="143"/>
        <v>-</v>
      </c>
      <c r="AO121" s="85" t="str">
        <f>'Consumer Hardware Pricing'!AD129</f>
        <v>-</v>
      </c>
      <c r="AP121" s="85" t="str">
        <f t="shared" si="308"/>
        <v>-</v>
      </c>
      <c r="AQ121" s="85" t="str">
        <f t="shared" si="309"/>
        <v>-</v>
      </c>
      <c r="AR121" s="85" t="str">
        <f t="shared" si="310"/>
        <v>-</v>
      </c>
      <c r="AS121" s="85" t="str">
        <f>'Consumer Hardware Pricing'!AF129</f>
        <v>-</v>
      </c>
      <c r="AT121" s="85" t="str">
        <f t="shared" si="144"/>
        <v>-</v>
      </c>
      <c r="AU121" s="85" t="str">
        <f t="shared" si="311"/>
        <v>-</v>
      </c>
      <c r="AV121" s="85" t="str">
        <f t="shared" si="312"/>
        <v>-</v>
      </c>
      <c r="AW121" s="85" t="str">
        <f t="shared" si="313"/>
        <v>-</v>
      </c>
      <c r="AX121" s="85" t="str">
        <f>'Consumer Hardware Pricing'!AH129</f>
        <v>-</v>
      </c>
      <c r="AY121" s="85" t="str">
        <f t="shared" si="145"/>
        <v>-</v>
      </c>
      <c r="AZ121" s="85" t="str">
        <f>'Consumer Hardware Pricing'!AI129</f>
        <v>-</v>
      </c>
      <c r="BA121" s="85" t="str">
        <f t="shared" si="314"/>
        <v>-</v>
      </c>
      <c r="BB121" s="85" t="str">
        <f t="shared" si="315"/>
        <v>-</v>
      </c>
      <c r="BC121" s="85" t="str">
        <f t="shared" si="316"/>
        <v>-</v>
      </c>
      <c r="BD121" s="85">
        <f>'Consumer Hardware Pricing'!AL129</f>
        <v>0</v>
      </c>
      <c r="BE121" s="85">
        <f t="shared" si="146"/>
        <v>47.919999999999995</v>
      </c>
      <c r="BF121" s="85" t="str">
        <f>'Consumer Hardware Pricing'!AM129</f>
        <v>-</v>
      </c>
      <c r="BG121" s="85">
        <f t="shared" si="317"/>
        <v>47.919999999999995</v>
      </c>
      <c r="BH121" s="85" t="str">
        <f t="shared" si="318"/>
        <v>-</v>
      </c>
      <c r="BI121" s="85">
        <f t="shared" si="319"/>
        <v>1150.08</v>
      </c>
      <c r="BJ121" s="85" t="str">
        <f>'Consumer Hardware Pricing'!AP129</f>
        <v>-</v>
      </c>
      <c r="BK121" s="85" t="str">
        <f t="shared" si="147"/>
        <v>-</v>
      </c>
      <c r="BL121" s="85" t="str">
        <f>'Consumer Hardware Pricing'!AQ129</f>
        <v>-</v>
      </c>
      <c r="BM121" s="85" t="str">
        <f t="shared" si="320"/>
        <v>-</v>
      </c>
      <c r="BN121" s="85" t="str">
        <f t="shared" si="321"/>
        <v>-</v>
      </c>
      <c r="BO121" s="85" t="str">
        <f t="shared" si="322"/>
        <v>-</v>
      </c>
      <c r="BP121" s="85" t="str">
        <f>'Consumer Hardware Pricing'!AT129</f>
        <v>-</v>
      </c>
      <c r="BQ121" s="85" t="str">
        <f t="shared" si="148"/>
        <v>-</v>
      </c>
      <c r="BR121" s="85" t="str">
        <f>'Consumer Hardware Pricing'!AU129</f>
        <v>-</v>
      </c>
      <c r="BS121" s="85" t="str">
        <f t="shared" si="323"/>
        <v>-</v>
      </c>
      <c r="BT121" s="85" t="str">
        <f t="shared" si="324"/>
        <v>-</v>
      </c>
      <c r="BU121" s="85" t="str">
        <f t="shared" si="325"/>
        <v>-</v>
      </c>
    </row>
    <row r="122" spans="1:73" ht="30.15" customHeight="1" x14ac:dyDescent="0.25">
      <c r="A122" s="86" t="s">
        <v>35</v>
      </c>
      <c r="B122" s="88" t="s">
        <v>112</v>
      </c>
      <c r="C122" s="88" t="s">
        <v>228</v>
      </c>
      <c r="D122" s="85">
        <f>'Consumer Hardware Pricing'!L130</f>
        <v>519</v>
      </c>
      <c r="E122" s="85">
        <f>'Consumer Hardware Pricing'!M130</f>
        <v>519</v>
      </c>
      <c r="F122" s="85" t="str">
        <f>'Consumer Hardware Pricing'!N130</f>
        <v>-</v>
      </c>
      <c r="G122" s="85" t="str">
        <f t="shared" si="174"/>
        <v>-</v>
      </c>
      <c r="H122" s="85" t="str">
        <f>'Consumer Hardware Pricing'!O130</f>
        <v>-</v>
      </c>
      <c r="I122" s="85" t="str">
        <f t="shared" si="149"/>
        <v>-</v>
      </c>
      <c r="J122" s="85" t="str">
        <f t="shared" si="161"/>
        <v>-</v>
      </c>
      <c r="K122" s="85" t="str">
        <f t="shared" si="162"/>
        <v>-</v>
      </c>
      <c r="L122" s="85" t="str">
        <f>'Consumer Hardware Pricing'!Q130</f>
        <v>-</v>
      </c>
      <c r="M122" s="85" t="str">
        <f t="shared" si="175"/>
        <v>-</v>
      </c>
      <c r="N122" s="85" t="str">
        <f t="shared" si="150"/>
        <v>-</v>
      </c>
      <c r="O122" s="85" t="str">
        <f t="shared" si="151"/>
        <v>-</v>
      </c>
      <c r="P122" s="85" t="str">
        <f t="shared" si="163"/>
        <v>-</v>
      </c>
      <c r="Q122" s="85" t="str">
        <f>'Consumer Hardware Pricing'!S130</f>
        <v>-</v>
      </c>
      <c r="R122" s="85" t="str">
        <f t="shared" si="152"/>
        <v>-</v>
      </c>
      <c r="S122" s="85" t="str">
        <f>'Consumer Hardware Pricing'!T130</f>
        <v>-</v>
      </c>
      <c r="T122" s="129" t="str">
        <f t="shared" si="164"/>
        <v>-</v>
      </c>
      <c r="U122" s="129" t="str">
        <f t="shared" si="165"/>
        <v>-</v>
      </c>
      <c r="V122" s="85" t="str">
        <f t="shared" si="166"/>
        <v>-</v>
      </c>
      <c r="W122" s="129" t="str">
        <f>'Consumer Hardware Pricing'!V130</f>
        <v>-</v>
      </c>
      <c r="X122" s="129" t="str">
        <f t="shared" si="176"/>
        <v>-</v>
      </c>
      <c r="Y122" s="129" t="str">
        <f t="shared" si="167"/>
        <v>-</v>
      </c>
      <c r="Z122" s="129" t="str">
        <f t="shared" si="168"/>
        <v>-</v>
      </c>
      <c r="AA122" s="85" t="str">
        <f t="shared" si="169"/>
        <v>-</v>
      </c>
      <c r="AB122" s="85" t="str">
        <f>'Consumer Hardware Pricing'!X130</f>
        <v>-</v>
      </c>
      <c r="AC122" s="85" t="str">
        <f t="shared" si="141"/>
        <v>-</v>
      </c>
      <c r="AD122" s="85" t="str">
        <f>'Consumer Hardware Pricing'!Y130</f>
        <v>-</v>
      </c>
      <c r="AE122" s="85" t="str">
        <f t="shared" si="177"/>
        <v>-</v>
      </c>
      <c r="AF122" s="85" t="str">
        <f t="shared" si="178"/>
        <v>-</v>
      </c>
      <c r="AG122" s="85" t="str">
        <f t="shared" si="179"/>
        <v>-</v>
      </c>
      <c r="AH122" s="85" t="str">
        <f>'Consumer Hardware Pricing'!AA130</f>
        <v>-</v>
      </c>
      <c r="AI122" s="85" t="str">
        <f t="shared" si="142"/>
        <v>-</v>
      </c>
      <c r="AJ122" s="85" t="str">
        <f t="shared" si="180"/>
        <v>-</v>
      </c>
      <c r="AK122" s="85" t="str">
        <f t="shared" si="181"/>
        <v>-</v>
      </c>
      <c r="AL122" s="85" t="str">
        <f t="shared" si="182"/>
        <v>-</v>
      </c>
      <c r="AM122" s="85" t="str">
        <f>'Consumer Hardware Pricing'!AC130</f>
        <v>-</v>
      </c>
      <c r="AN122" s="85" t="str">
        <f t="shared" si="143"/>
        <v>-</v>
      </c>
      <c r="AO122" s="85" t="str">
        <f>'Consumer Hardware Pricing'!AD130</f>
        <v>-</v>
      </c>
      <c r="AP122" s="85" t="str">
        <f t="shared" si="183"/>
        <v>-</v>
      </c>
      <c r="AQ122" s="85" t="str">
        <f t="shared" si="184"/>
        <v>-</v>
      </c>
      <c r="AR122" s="85" t="str">
        <f t="shared" si="185"/>
        <v>-</v>
      </c>
      <c r="AS122" s="85" t="str">
        <f>'Consumer Hardware Pricing'!AF130</f>
        <v>-</v>
      </c>
      <c r="AT122" s="85" t="str">
        <f t="shared" si="144"/>
        <v>-</v>
      </c>
      <c r="AU122" s="85" t="str">
        <f t="shared" si="186"/>
        <v>-</v>
      </c>
      <c r="AV122" s="85" t="str">
        <f t="shared" si="187"/>
        <v>-</v>
      </c>
      <c r="AW122" s="85" t="str">
        <f t="shared" si="188"/>
        <v>-</v>
      </c>
      <c r="AX122" s="85" t="str">
        <f>'Consumer Hardware Pricing'!AH130</f>
        <v>-</v>
      </c>
      <c r="AY122" s="85" t="str">
        <f t="shared" si="145"/>
        <v>-</v>
      </c>
      <c r="AZ122" s="85" t="str">
        <f>'Consumer Hardware Pricing'!AI130</f>
        <v>-</v>
      </c>
      <c r="BA122" s="85" t="str">
        <f t="shared" si="153"/>
        <v>-</v>
      </c>
      <c r="BB122" s="85" t="str">
        <f t="shared" si="154"/>
        <v>-</v>
      </c>
      <c r="BC122" s="85" t="str">
        <f t="shared" si="170"/>
        <v>-</v>
      </c>
      <c r="BD122" s="85">
        <f>'Consumer Hardware Pricing'!AL130</f>
        <v>0</v>
      </c>
      <c r="BE122" s="85">
        <f t="shared" si="146"/>
        <v>21.630000000000003</v>
      </c>
      <c r="BF122" s="85" t="str">
        <f>'Consumer Hardware Pricing'!AM130</f>
        <v>-</v>
      </c>
      <c r="BG122" s="85">
        <f t="shared" si="155"/>
        <v>21.630000000000003</v>
      </c>
      <c r="BH122" s="85" t="str">
        <f t="shared" si="156"/>
        <v>-</v>
      </c>
      <c r="BI122" s="85">
        <f t="shared" si="171"/>
        <v>519.12000000000012</v>
      </c>
      <c r="BJ122" s="85" t="str">
        <f>'Consumer Hardware Pricing'!AP130</f>
        <v>-</v>
      </c>
      <c r="BK122" s="85" t="str">
        <f t="shared" si="147"/>
        <v>-</v>
      </c>
      <c r="BL122" s="85" t="str">
        <f>'Consumer Hardware Pricing'!AQ130</f>
        <v>-</v>
      </c>
      <c r="BM122" s="85" t="str">
        <f t="shared" si="157"/>
        <v>-</v>
      </c>
      <c r="BN122" s="85" t="str">
        <f t="shared" si="158"/>
        <v>-</v>
      </c>
      <c r="BO122" s="85" t="str">
        <f t="shared" si="172"/>
        <v>-</v>
      </c>
      <c r="BP122" s="85" t="str">
        <f>'Consumer Hardware Pricing'!AT130</f>
        <v>-</v>
      </c>
      <c r="BQ122" s="85" t="str">
        <f t="shared" si="148"/>
        <v>-</v>
      </c>
      <c r="BR122" s="85" t="str">
        <f>'Consumer Hardware Pricing'!AU130</f>
        <v>-</v>
      </c>
      <c r="BS122" s="85" t="str">
        <f t="shared" si="159"/>
        <v>-</v>
      </c>
      <c r="BT122" s="85" t="str">
        <f t="shared" si="160"/>
        <v>-</v>
      </c>
      <c r="BU122" s="85" t="str">
        <f t="shared" si="173"/>
        <v>-</v>
      </c>
    </row>
    <row r="123" spans="1:73" ht="30.15" customHeight="1" x14ac:dyDescent="0.25">
      <c r="A123" s="86" t="s">
        <v>35</v>
      </c>
      <c r="B123" s="88" t="s">
        <v>110</v>
      </c>
      <c r="C123" s="88" t="s">
        <v>228</v>
      </c>
      <c r="D123" s="85">
        <f>'Consumer Hardware Pricing'!L131</f>
        <v>519</v>
      </c>
      <c r="E123" s="85">
        <f>'Consumer Hardware Pricing'!M131</f>
        <v>519</v>
      </c>
      <c r="F123" s="85" t="str">
        <f>'Consumer Hardware Pricing'!N131</f>
        <v>-</v>
      </c>
      <c r="G123" s="85" t="str">
        <f t="shared" si="174"/>
        <v>-</v>
      </c>
      <c r="H123" s="85" t="str">
        <f>'Consumer Hardware Pricing'!O131</f>
        <v>-</v>
      </c>
      <c r="I123" s="85" t="str">
        <f t="shared" si="149"/>
        <v>-</v>
      </c>
      <c r="J123" s="85" t="str">
        <f t="shared" si="161"/>
        <v>-</v>
      </c>
      <c r="K123" s="85" t="str">
        <f t="shared" si="162"/>
        <v>-</v>
      </c>
      <c r="L123" s="85" t="str">
        <f>'Consumer Hardware Pricing'!Q131</f>
        <v>-</v>
      </c>
      <c r="M123" s="85" t="str">
        <f t="shared" si="175"/>
        <v>-</v>
      </c>
      <c r="N123" s="85" t="str">
        <f t="shared" si="150"/>
        <v>-</v>
      </c>
      <c r="O123" s="85" t="str">
        <f t="shared" si="151"/>
        <v>-</v>
      </c>
      <c r="P123" s="85" t="str">
        <f t="shared" si="163"/>
        <v>-</v>
      </c>
      <c r="Q123" s="85" t="str">
        <f>'Consumer Hardware Pricing'!S131</f>
        <v>-</v>
      </c>
      <c r="R123" s="85" t="str">
        <f t="shared" si="152"/>
        <v>-</v>
      </c>
      <c r="S123" s="85" t="str">
        <f>'Consumer Hardware Pricing'!T131</f>
        <v>-</v>
      </c>
      <c r="T123" s="129" t="str">
        <f t="shared" si="164"/>
        <v>-</v>
      </c>
      <c r="U123" s="129" t="str">
        <f t="shared" si="165"/>
        <v>-</v>
      </c>
      <c r="V123" s="85" t="str">
        <f t="shared" si="166"/>
        <v>-</v>
      </c>
      <c r="W123" s="129" t="str">
        <f>'Consumer Hardware Pricing'!V131</f>
        <v>-</v>
      </c>
      <c r="X123" s="129" t="str">
        <f t="shared" si="176"/>
        <v>-</v>
      </c>
      <c r="Y123" s="129" t="str">
        <f t="shared" si="167"/>
        <v>-</v>
      </c>
      <c r="Z123" s="129" t="str">
        <f t="shared" si="168"/>
        <v>-</v>
      </c>
      <c r="AA123" s="85" t="str">
        <f t="shared" si="169"/>
        <v>-</v>
      </c>
      <c r="AB123" s="85" t="str">
        <f>'Consumer Hardware Pricing'!X131</f>
        <v>-</v>
      </c>
      <c r="AC123" s="85" t="str">
        <f t="shared" si="141"/>
        <v>-</v>
      </c>
      <c r="AD123" s="85" t="str">
        <f>'Consumer Hardware Pricing'!Y131</f>
        <v>-</v>
      </c>
      <c r="AE123" s="85" t="str">
        <f t="shared" si="177"/>
        <v>-</v>
      </c>
      <c r="AF123" s="85" t="str">
        <f t="shared" si="178"/>
        <v>-</v>
      </c>
      <c r="AG123" s="85" t="str">
        <f t="shared" si="179"/>
        <v>-</v>
      </c>
      <c r="AH123" s="85" t="str">
        <f>'Consumer Hardware Pricing'!AA131</f>
        <v>-</v>
      </c>
      <c r="AI123" s="85" t="str">
        <f t="shared" si="142"/>
        <v>-</v>
      </c>
      <c r="AJ123" s="85" t="str">
        <f t="shared" si="180"/>
        <v>-</v>
      </c>
      <c r="AK123" s="85" t="str">
        <f t="shared" si="181"/>
        <v>-</v>
      </c>
      <c r="AL123" s="85" t="str">
        <f t="shared" si="182"/>
        <v>-</v>
      </c>
      <c r="AM123" s="85" t="str">
        <f>'Consumer Hardware Pricing'!AC131</f>
        <v>-</v>
      </c>
      <c r="AN123" s="85" t="str">
        <f t="shared" si="143"/>
        <v>-</v>
      </c>
      <c r="AO123" s="85" t="str">
        <f>'Consumer Hardware Pricing'!AD131</f>
        <v>-</v>
      </c>
      <c r="AP123" s="85" t="str">
        <f t="shared" si="183"/>
        <v>-</v>
      </c>
      <c r="AQ123" s="85" t="str">
        <f t="shared" si="184"/>
        <v>-</v>
      </c>
      <c r="AR123" s="85" t="str">
        <f t="shared" si="185"/>
        <v>-</v>
      </c>
      <c r="AS123" s="85" t="str">
        <f>'Consumer Hardware Pricing'!AF131</f>
        <v>-</v>
      </c>
      <c r="AT123" s="85" t="str">
        <f t="shared" si="144"/>
        <v>-</v>
      </c>
      <c r="AU123" s="85" t="str">
        <f t="shared" si="186"/>
        <v>-</v>
      </c>
      <c r="AV123" s="85" t="str">
        <f t="shared" si="187"/>
        <v>-</v>
      </c>
      <c r="AW123" s="85" t="str">
        <f t="shared" si="188"/>
        <v>-</v>
      </c>
      <c r="AX123" s="85" t="str">
        <f>'Consumer Hardware Pricing'!AH131</f>
        <v>-</v>
      </c>
      <c r="AY123" s="85" t="str">
        <f t="shared" si="145"/>
        <v>-</v>
      </c>
      <c r="AZ123" s="85" t="str">
        <f>'Consumer Hardware Pricing'!AI131</f>
        <v>-</v>
      </c>
      <c r="BA123" s="85" t="str">
        <f t="shared" si="153"/>
        <v>-</v>
      </c>
      <c r="BB123" s="85" t="str">
        <f t="shared" si="154"/>
        <v>-</v>
      </c>
      <c r="BC123" s="85" t="str">
        <f t="shared" si="170"/>
        <v>-</v>
      </c>
      <c r="BD123" s="85">
        <f>'Consumer Hardware Pricing'!AL131</f>
        <v>0</v>
      </c>
      <c r="BE123" s="85">
        <f t="shared" si="146"/>
        <v>21.630000000000003</v>
      </c>
      <c r="BF123" s="85" t="str">
        <f>'Consumer Hardware Pricing'!AM131</f>
        <v>-</v>
      </c>
      <c r="BG123" s="85">
        <f t="shared" si="155"/>
        <v>21.630000000000003</v>
      </c>
      <c r="BH123" s="85" t="str">
        <f t="shared" si="156"/>
        <v>-</v>
      </c>
      <c r="BI123" s="85">
        <f t="shared" si="171"/>
        <v>519.12000000000012</v>
      </c>
      <c r="BJ123" s="85" t="str">
        <f>'Consumer Hardware Pricing'!AP131</f>
        <v>-</v>
      </c>
      <c r="BK123" s="85" t="str">
        <f t="shared" si="147"/>
        <v>-</v>
      </c>
      <c r="BL123" s="85" t="str">
        <f>'Consumer Hardware Pricing'!AQ131</f>
        <v>-</v>
      </c>
      <c r="BM123" s="85" t="str">
        <f t="shared" si="157"/>
        <v>-</v>
      </c>
      <c r="BN123" s="85" t="str">
        <f t="shared" si="158"/>
        <v>-</v>
      </c>
      <c r="BO123" s="85" t="str">
        <f t="shared" si="172"/>
        <v>-</v>
      </c>
      <c r="BP123" s="85" t="str">
        <f>'Consumer Hardware Pricing'!AT131</f>
        <v>-</v>
      </c>
      <c r="BQ123" s="85" t="str">
        <f t="shared" si="148"/>
        <v>-</v>
      </c>
      <c r="BR123" s="85" t="str">
        <f>'Consumer Hardware Pricing'!AU131</f>
        <v>-</v>
      </c>
      <c r="BS123" s="85" t="str">
        <f t="shared" si="159"/>
        <v>-</v>
      </c>
      <c r="BT123" s="85" t="str">
        <f t="shared" si="160"/>
        <v>-</v>
      </c>
      <c r="BU123" s="85" t="str">
        <f t="shared" si="173"/>
        <v>-</v>
      </c>
    </row>
    <row r="124" spans="1:73" ht="30.15" customHeight="1" x14ac:dyDescent="0.25">
      <c r="A124" s="86" t="s">
        <v>35</v>
      </c>
      <c r="B124" s="88" t="s">
        <v>111</v>
      </c>
      <c r="C124" s="88" t="s">
        <v>228</v>
      </c>
      <c r="D124" s="85">
        <f>'Consumer Hardware Pricing'!L132</f>
        <v>519</v>
      </c>
      <c r="E124" s="85">
        <f>'Consumer Hardware Pricing'!M132</f>
        <v>519</v>
      </c>
      <c r="F124" s="85" t="str">
        <f>'Consumer Hardware Pricing'!N132</f>
        <v>-</v>
      </c>
      <c r="G124" s="85" t="str">
        <f t="shared" si="174"/>
        <v>-</v>
      </c>
      <c r="H124" s="85" t="str">
        <f>'Consumer Hardware Pricing'!O132</f>
        <v>-</v>
      </c>
      <c r="I124" s="85" t="str">
        <f t="shared" si="149"/>
        <v>-</v>
      </c>
      <c r="J124" s="85" t="str">
        <f t="shared" si="161"/>
        <v>-</v>
      </c>
      <c r="K124" s="85" t="str">
        <f t="shared" si="162"/>
        <v>-</v>
      </c>
      <c r="L124" s="85" t="str">
        <f>'Consumer Hardware Pricing'!Q132</f>
        <v>-</v>
      </c>
      <c r="M124" s="85" t="str">
        <f t="shared" si="175"/>
        <v>-</v>
      </c>
      <c r="N124" s="85" t="str">
        <f t="shared" si="150"/>
        <v>-</v>
      </c>
      <c r="O124" s="85" t="str">
        <f t="shared" si="151"/>
        <v>-</v>
      </c>
      <c r="P124" s="85" t="str">
        <f t="shared" si="163"/>
        <v>-</v>
      </c>
      <c r="Q124" s="85" t="str">
        <f>'Consumer Hardware Pricing'!S132</f>
        <v>-</v>
      </c>
      <c r="R124" s="85" t="str">
        <f t="shared" si="152"/>
        <v>-</v>
      </c>
      <c r="S124" s="85" t="str">
        <f>'Consumer Hardware Pricing'!T132</f>
        <v>-</v>
      </c>
      <c r="T124" s="129" t="str">
        <f t="shared" si="164"/>
        <v>-</v>
      </c>
      <c r="U124" s="129" t="str">
        <f t="shared" si="165"/>
        <v>-</v>
      </c>
      <c r="V124" s="85" t="str">
        <f t="shared" si="166"/>
        <v>-</v>
      </c>
      <c r="W124" s="129" t="str">
        <f>'Consumer Hardware Pricing'!V132</f>
        <v>-</v>
      </c>
      <c r="X124" s="129" t="str">
        <f t="shared" si="176"/>
        <v>-</v>
      </c>
      <c r="Y124" s="129" t="str">
        <f t="shared" si="167"/>
        <v>-</v>
      </c>
      <c r="Z124" s="129" t="str">
        <f t="shared" si="168"/>
        <v>-</v>
      </c>
      <c r="AA124" s="85" t="str">
        <f t="shared" si="169"/>
        <v>-</v>
      </c>
      <c r="AB124" s="85" t="str">
        <f>'Consumer Hardware Pricing'!X132</f>
        <v>-</v>
      </c>
      <c r="AC124" s="85" t="str">
        <f t="shared" si="141"/>
        <v>-</v>
      </c>
      <c r="AD124" s="85" t="str">
        <f>'Consumer Hardware Pricing'!Y132</f>
        <v>-</v>
      </c>
      <c r="AE124" s="85" t="str">
        <f t="shared" si="177"/>
        <v>-</v>
      </c>
      <c r="AF124" s="85" t="str">
        <f t="shared" si="178"/>
        <v>-</v>
      </c>
      <c r="AG124" s="85" t="str">
        <f t="shared" si="179"/>
        <v>-</v>
      </c>
      <c r="AH124" s="85" t="str">
        <f>'Consumer Hardware Pricing'!AA132</f>
        <v>-</v>
      </c>
      <c r="AI124" s="85" t="str">
        <f t="shared" si="142"/>
        <v>-</v>
      </c>
      <c r="AJ124" s="85" t="str">
        <f t="shared" si="180"/>
        <v>-</v>
      </c>
      <c r="AK124" s="85" t="str">
        <f t="shared" si="181"/>
        <v>-</v>
      </c>
      <c r="AL124" s="85" t="str">
        <f t="shared" si="182"/>
        <v>-</v>
      </c>
      <c r="AM124" s="85" t="str">
        <f>'Consumer Hardware Pricing'!AC132</f>
        <v>-</v>
      </c>
      <c r="AN124" s="85" t="str">
        <f t="shared" si="143"/>
        <v>-</v>
      </c>
      <c r="AO124" s="85" t="str">
        <f>'Consumer Hardware Pricing'!AD132</f>
        <v>-</v>
      </c>
      <c r="AP124" s="85" t="str">
        <f t="shared" si="183"/>
        <v>-</v>
      </c>
      <c r="AQ124" s="85" t="str">
        <f t="shared" si="184"/>
        <v>-</v>
      </c>
      <c r="AR124" s="85" t="str">
        <f t="shared" si="185"/>
        <v>-</v>
      </c>
      <c r="AS124" s="85" t="str">
        <f>'Consumer Hardware Pricing'!AF132</f>
        <v>-</v>
      </c>
      <c r="AT124" s="85" t="str">
        <f t="shared" si="144"/>
        <v>-</v>
      </c>
      <c r="AU124" s="85" t="str">
        <f t="shared" si="186"/>
        <v>-</v>
      </c>
      <c r="AV124" s="85" t="str">
        <f t="shared" si="187"/>
        <v>-</v>
      </c>
      <c r="AW124" s="85" t="str">
        <f t="shared" si="188"/>
        <v>-</v>
      </c>
      <c r="AX124" s="85" t="str">
        <f>'Consumer Hardware Pricing'!AH132</f>
        <v>-</v>
      </c>
      <c r="AY124" s="85" t="str">
        <f t="shared" si="145"/>
        <v>-</v>
      </c>
      <c r="AZ124" s="85" t="str">
        <f>'Consumer Hardware Pricing'!AI132</f>
        <v>-</v>
      </c>
      <c r="BA124" s="85" t="str">
        <f t="shared" si="153"/>
        <v>-</v>
      </c>
      <c r="BB124" s="85" t="str">
        <f t="shared" si="154"/>
        <v>-</v>
      </c>
      <c r="BC124" s="85" t="str">
        <f t="shared" si="170"/>
        <v>-</v>
      </c>
      <c r="BD124" s="85">
        <f>'Consumer Hardware Pricing'!AL132</f>
        <v>0</v>
      </c>
      <c r="BE124" s="85">
        <f t="shared" si="146"/>
        <v>21.630000000000003</v>
      </c>
      <c r="BF124" s="85" t="str">
        <f>'Consumer Hardware Pricing'!AM132</f>
        <v>-</v>
      </c>
      <c r="BG124" s="85">
        <f t="shared" si="155"/>
        <v>21.630000000000003</v>
      </c>
      <c r="BH124" s="85" t="str">
        <f t="shared" si="156"/>
        <v>-</v>
      </c>
      <c r="BI124" s="85">
        <f t="shared" si="171"/>
        <v>519.12000000000012</v>
      </c>
      <c r="BJ124" s="85" t="str">
        <f>'Consumer Hardware Pricing'!AP132</f>
        <v>-</v>
      </c>
      <c r="BK124" s="85" t="str">
        <f t="shared" si="147"/>
        <v>-</v>
      </c>
      <c r="BL124" s="85" t="str">
        <f>'Consumer Hardware Pricing'!AQ132</f>
        <v>-</v>
      </c>
      <c r="BM124" s="85" t="str">
        <f t="shared" si="157"/>
        <v>-</v>
      </c>
      <c r="BN124" s="85" t="str">
        <f t="shared" si="158"/>
        <v>-</v>
      </c>
      <c r="BO124" s="85" t="str">
        <f t="shared" si="172"/>
        <v>-</v>
      </c>
      <c r="BP124" s="85" t="str">
        <f>'Consumer Hardware Pricing'!AT132</f>
        <v>-</v>
      </c>
      <c r="BQ124" s="85" t="str">
        <f t="shared" si="148"/>
        <v>-</v>
      </c>
      <c r="BR124" s="85" t="str">
        <f>'Consumer Hardware Pricing'!AU132</f>
        <v>-</v>
      </c>
      <c r="BS124" s="85" t="str">
        <f t="shared" si="159"/>
        <v>-</v>
      </c>
      <c r="BT124" s="85" t="str">
        <f t="shared" si="160"/>
        <v>-</v>
      </c>
      <c r="BU124" s="85" t="str">
        <f t="shared" si="173"/>
        <v>-</v>
      </c>
    </row>
    <row r="125" spans="1:73" ht="30.15" customHeight="1" x14ac:dyDescent="0.25">
      <c r="A125" s="86" t="s">
        <v>35</v>
      </c>
      <c r="B125" s="88" t="s">
        <v>229</v>
      </c>
      <c r="C125" s="88" t="s">
        <v>230</v>
      </c>
      <c r="D125" s="85">
        <f>'Consumer Hardware Pricing'!L133</f>
        <v>389</v>
      </c>
      <c r="E125" s="85">
        <f>'Consumer Hardware Pricing'!M133</f>
        <v>389</v>
      </c>
      <c r="F125" s="85" t="str">
        <f>'Consumer Hardware Pricing'!N133</f>
        <v>-</v>
      </c>
      <c r="G125" s="85" t="str">
        <f t="shared" si="174"/>
        <v>-</v>
      </c>
      <c r="H125" s="85" t="str">
        <f>'Consumer Hardware Pricing'!O133</f>
        <v>-</v>
      </c>
      <c r="I125" s="85" t="str">
        <f t="shared" si="149"/>
        <v>-</v>
      </c>
      <c r="J125" s="85" t="str">
        <f t="shared" si="161"/>
        <v>-</v>
      </c>
      <c r="K125" s="85" t="str">
        <f t="shared" si="162"/>
        <v>-</v>
      </c>
      <c r="L125" s="85" t="str">
        <f>'Consumer Hardware Pricing'!Q133</f>
        <v>-</v>
      </c>
      <c r="M125" s="85" t="str">
        <f t="shared" si="175"/>
        <v>-</v>
      </c>
      <c r="N125" s="85" t="str">
        <f t="shared" si="150"/>
        <v>-</v>
      </c>
      <c r="O125" s="85" t="str">
        <f t="shared" si="151"/>
        <v>-</v>
      </c>
      <c r="P125" s="85" t="str">
        <f t="shared" si="163"/>
        <v>-</v>
      </c>
      <c r="Q125" s="85" t="str">
        <f>'Consumer Hardware Pricing'!S133</f>
        <v>-</v>
      </c>
      <c r="R125" s="85" t="str">
        <f t="shared" si="152"/>
        <v>-</v>
      </c>
      <c r="S125" s="85" t="str">
        <f>'Consumer Hardware Pricing'!T133</f>
        <v>-</v>
      </c>
      <c r="T125" s="129" t="str">
        <f t="shared" si="164"/>
        <v>-</v>
      </c>
      <c r="U125" s="129" t="str">
        <f t="shared" si="165"/>
        <v>-</v>
      </c>
      <c r="V125" s="85" t="str">
        <f t="shared" si="166"/>
        <v>-</v>
      </c>
      <c r="W125" s="129" t="str">
        <f>'Consumer Hardware Pricing'!V133</f>
        <v>-</v>
      </c>
      <c r="X125" s="129" t="str">
        <f t="shared" si="176"/>
        <v>-</v>
      </c>
      <c r="Y125" s="129" t="str">
        <f t="shared" si="167"/>
        <v>-</v>
      </c>
      <c r="Z125" s="129" t="str">
        <f t="shared" si="168"/>
        <v>-</v>
      </c>
      <c r="AA125" s="85" t="str">
        <f t="shared" si="169"/>
        <v>-</v>
      </c>
      <c r="AB125" s="85" t="str">
        <f>'Consumer Hardware Pricing'!X133</f>
        <v>-</v>
      </c>
      <c r="AC125" s="85" t="str">
        <f t="shared" si="141"/>
        <v>-</v>
      </c>
      <c r="AD125" s="85" t="str">
        <f>'Consumer Hardware Pricing'!Y133</f>
        <v>-</v>
      </c>
      <c r="AE125" s="85" t="str">
        <f t="shared" si="177"/>
        <v>-</v>
      </c>
      <c r="AF125" s="85" t="str">
        <f t="shared" si="178"/>
        <v>-</v>
      </c>
      <c r="AG125" s="85" t="str">
        <f t="shared" si="179"/>
        <v>-</v>
      </c>
      <c r="AH125" s="85" t="str">
        <f>'Consumer Hardware Pricing'!AA133</f>
        <v>-</v>
      </c>
      <c r="AI125" s="85" t="str">
        <f t="shared" si="142"/>
        <v>-</v>
      </c>
      <c r="AJ125" s="85" t="str">
        <f t="shared" si="180"/>
        <v>-</v>
      </c>
      <c r="AK125" s="85" t="str">
        <f t="shared" si="181"/>
        <v>-</v>
      </c>
      <c r="AL125" s="85" t="str">
        <f t="shared" si="182"/>
        <v>-</v>
      </c>
      <c r="AM125" s="85" t="str">
        <f>'Consumer Hardware Pricing'!AC133</f>
        <v>-</v>
      </c>
      <c r="AN125" s="85" t="str">
        <f t="shared" si="143"/>
        <v>-</v>
      </c>
      <c r="AO125" s="85" t="str">
        <f>'Consumer Hardware Pricing'!AD133</f>
        <v>-</v>
      </c>
      <c r="AP125" s="85" t="str">
        <f t="shared" si="183"/>
        <v>-</v>
      </c>
      <c r="AQ125" s="85" t="str">
        <f t="shared" si="184"/>
        <v>-</v>
      </c>
      <c r="AR125" s="85" t="str">
        <f t="shared" si="185"/>
        <v>-</v>
      </c>
      <c r="AS125" s="85" t="str">
        <f>'Consumer Hardware Pricing'!AF133</f>
        <v>-</v>
      </c>
      <c r="AT125" s="85" t="str">
        <f t="shared" si="144"/>
        <v>-</v>
      </c>
      <c r="AU125" s="85" t="str">
        <f t="shared" si="186"/>
        <v>-</v>
      </c>
      <c r="AV125" s="85" t="str">
        <f t="shared" si="187"/>
        <v>-</v>
      </c>
      <c r="AW125" s="85" t="str">
        <f t="shared" si="188"/>
        <v>-</v>
      </c>
      <c r="AX125" s="85" t="str">
        <f>'Consumer Hardware Pricing'!AH133</f>
        <v>-</v>
      </c>
      <c r="AY125" s="85" t="str">
        <f t="shared" si="145"/>
        <v>-</v>
      </c>
      <c r="AZ125" s="85" t="str">
        <f>'Consumer Hardware Pricing'!AI133</f>
        <v>-</v>
      </c>
      <c r="BA125" s="85" t="str">
        <f t="shared" si="153"/>
        <v>-</v>
      </c>
      <c r="BB125" s="85" t="str">
        <f t="shared" si="154"/>
        <v>-</v>
      </c>
      <c r="BC125" s="85" t="str">
        <f t="shared" si="170"/>
        <v>-</v>
      </c>
      <c r="BD125" s="85">
        <f>'Consumer Hardware Pricing'!AL133</f>
        <v>0</v>
      </c>
      <c r="BE125" s="85">
        <f t="shared" si="146"/>
        <v>16.21</v>
      </c>
      <c r="BF125" s="85" t="str">
        <f>'Consumer Hardware Pricing'!AM133</f>
        <v>-</v>
      </c>
      <c r="BG125" s="85">
        <f t="shared" si="155"/>
        <v>16.21</v>
      </c>
      <c r="BH125" s="85" t="str">
        <f t="shared" si="156"/>
        <v>-</v>
      </c>
      <c r="BI125" s="85">
        <f t="shared" si="171"/>
        <v>389.04</v>
      </c>
      <c r="BJ125" s="85" t="str">
        <f>'Consumer Hardware Pricing'!AP133</f>
        <v>-</v>
      </c>
      <c r="BK125" s="85" t="str">
        <f t="shared" si="147"/>
        <v>-</v>
      </c>
      <c r="BL125" s="85" t="str">
        <f>'Consumer Hardware Pricing'!AQ133</f>
        <v>-</v>
      </c>
      <c r="BM125" s="85" t="str">
        <f t="shared" si="157"/>
        <v>-</v>
      </c>
      <c r="BN125" s="85" t="str">
        <f t="shared" si="158"/>
        <v>-</v>
      </c>
      <c r="BO125" s="85" t="str">
        <f t="shared" si="172"/>
        <v>-</v>
      </c>
      <c r="BP125" s="85" t="str">
        <f>'Consumer Hardware Pricing'!AT133</f>
        <v>-</v>
      </c>
      <c r="BQ125" s="85" t="str">
        <f t="shared" si="148"/>
        <v>-</v>
      </c>
      <c r="BR125" s="85" t="str">
        <f>'Consumer Hardware Pricing'!AU133</f>
        <v>-</v>
      </c>
      <c r="BS125" s="85" t="str">
        <f t="shared" si="159"/>
        <v>-</v>
      </c>
      <c r="BT125" s="85" t="str">
        <f t="shared" si="160"/>
        <v>-</v>
      </c>
      <c r="BU125" s="85" t="str">
        <f t="shared" si="173"/>
        <v>-</v>
      </c>
    </row>
    <row r="126" spans="1:73" ht="30.15" customHeight="1" x14ac:dyDescent="0.25">
      <c r="A126" s="86" t="s">
        <v>35</v>
      </c>
      <c r="B126" s="88" t="s">
        <v>117</v>
      </c>
      <c r="C126" s="88" t="s">
        <v>120</v>
      </c>
      <c r="D126" s="85">
        <f>'Consumer Hardware Pricing'!L134</f>
        <v>1359</v>
      </c>
      <c r="E126" s="85">
        <f>'Consumer Hardware Pricing'!M134</f>
        <v>1359</v>
      </c>
      <c r="F126" s="85" t="str">
        <f>'Consumer Hardware Pricing'!N134</f>
        <v>-</v>
      </c>
      <c r="G126" s="85" t="str">
        <f t="shared" si="174"/>
        <v>-</v>
      </c>
      <c r="H126" s="85" t="str">
        <f>'Consumer Hardware Pricing'!O134</f>
        <v>-</v>
      </c>
      <c r="I126" s="85" t="str">
        <f t="shared" si="149"/>
        <v>-</v>
      </c>
      <c r="J126" s="85" t="str">
        <f t="shared" si="161"/>
        <v>-</v>
      </c>
      <c r="K126" s="85" t="str">
        <f t="shared" si="162"/>
        <v>-</v>
      </c>
      <c r="L126" s="85" t="str">
        <f>'Consumer Hardware Pricing'!Q134</f>
        <v>-</v>
      </c>
      <c r="M126" s="85" t="str">
        <f t="shared" si="175"/>
        <v>-</v>
      </c>
      <c r="N126" s="85" t="str">
        <f t="shared" si="150"/>
        <v>-</v>
      </c>
      <c r="O126" s="85" t="str">
        <f t="shared" si="151"/>
        <v>-</v>
      </c>
      <c r="P126" s="85" t="str">
        <f t="shared" si="163"/>
        <v>-</v>
      </c>
      <c r="Q126" s="85" t="str">
        <f>'Consumer Hardware Pricing'!S134</f>
        <v>-</v>
      </c>
      <c r="R126" s="85" t="str">
        <f t="shared" si="152"/>
        <v>-</v>
      </c>
      <c r="S126" s="85" t="str">
        <f>'Consumer Hardware Pricing'!T134</f>
        <v>-</v>
      </c>
      <c r="T126" s="129" t="str">
        <f t="shared" si="164"/>
        <v>-</v>
      </c>
      <c r="U126" s="129" t="str">
        <f t="shared" si="165"/>
        <v>-</v>
      </c>
      <c r="V126" s="85" t="str">
        <f t="shared" si="166"/>
        <v>-</v>
      </c>
      <c r="W126" s="129" t="str">
        <f>'Consumer Hardware Pricing'!V134</f>
        <v>-</v>
      </c>
      <c r="X126" s="129" t="str">
        <f t="shared" si="176"/>
        <v>-</v>
      </c>
      <c r="Y126" s="129" t="str">
        <f t="shared" si="167"/>
        <v>-</v>
      </c>
      <c r="Z126" s="129" t="str">
        <f t="shared" si="168"/>
        <v>-</v>
      </c>
      <c r="AA126" s="85" t="str">
        <f t="shared" si="169"/>
        <v>-</v>
      </c>
      <c r="AB126" s="85" t="str">
        <f>'Consumer Hardware Pricing'!X134</f>
        <v>-</v>
      </c>
      <c r="AC126" s="85" t="str">
        <f t="shared" si="141"/>
        <v>-</v>
      </c>
      <c r="AD126" s="85" t="str">
        <f>'Consumer Hardware Pricing'!Y134</f>
        <v>-</v>
      </c>
      <c r="AE126" s="85" t="str">
        <f t="shared" si="177"/>
        <v>-</v>
      </c>
      <c r="AF126" s="85" t="str">
        <f t="shared" si="178"/>
        <v>-</v>
      </c>
      <c r="AG126" s="85" t="str">
        <f t="shared" si="179"/>
        <v>-</v>
      </c>
      <c r="AH126" s="85" t="str">
        <f>'Consumer Hardware Pricing'!AA134</f>
        <v>-</v>
      </c>
      <c r="AI126" s="85" t="str">
        <f t="shared" si="142"/>
        <v>-</v>
      </c>
      <c r="AJ126" s="85" t="str">
        <f t="shared" si="180"/>
        <v>-</v>
      </c>
      <c r="AK126" s="85" t="str">
        <f t="shared" si="181"/>
        <v>-</v>
      </c>
      <c r="AL126" s="85" t="str">
        <f t="shared" si="182"/>
        <v>-</v>
      </c>
      <c r="AM126" s="85" t="str">
        <f>'Consumer Hardware Pricing'!AC134</f>
        <v>-</v>
      </c>
      <c r="AN126" s="85" t="str">
        <f t="shared" si="143"/>
        <v>-</v>
      </c>
      <c r="AO126" s="85" t="str">
        <f>'Consumer Hardware Pricing'!AD134</f>
        <v>-</v>
      </c>
      <c r="AP126" s="85" t="str">
        <f t="shared" si="183"/>
        <v>-</v>
      </c>
      <c r="AQ126" s="85" t="str">
        <f t="shared" si="184"/>
        <v>-</v>
      </c>
      <c r="AR126" s="85" t="str">
        <f t="shared" si="185"/>
        <v>-</v>
      </c>
      <c r="AS126" s="85" t="str">
        <f>'Consumer Hardware Pricing'!AF134</f>
        <v>-</v>
      </c>
      <c r="AT126" s="85" t="str">
        <f t="shared" si="144"/>
        <v>-</v>
      </c>
      <c r="AU126" s="85" t="str">
        <f t="shared" si="186"/>
        <v>-</v>
      </c>
      <c r="AV126" s="85" t="str">
        <f t="shared" si="187"/>
        <v>-</v>
      </c>
      <c r="AW126" s="85" t="str">
        <f t="shared" si="188"/>
        <v>-</v>
      </c>
      <c r="AX126" s="85" t="str">
        <f>'Consumer Hardware Pricing'!AH134</f>
        <v>-</v>
      </c>
      <c r="AY126" s="85" t="str">
        <f t="shared" si="145"/>
        <v>-</v>
      </c>
      <c r="AZ126" s="85" t="str">
        <f>'Consumer Hardware Pricing'!AI134</f>
        <v>-</v>
      </c>
      <c r="BA126" s="85" t="str">
        <f t="shared" si="153"/>
        <v>-</v>
      </c>
      <c r="BB126" s="85" t="str">
        <f t="shared" si="154"/>
        <v>-</v>
      </c>
      <c r="BC126" s="85" t="str">
        <f t="shared" si="170"/>
        <v>-</v>
      </c>
      <c r="BD126" s="85">
        <f>'Consumer Hardware Pricing'!AL134</f>
        <v>0</v>
      </c>
      <c r="BE126" s="85">
        <f t="shared" si="146"/>
        <v>56.629999999999995</v>
      </c>
      <c r="BF126" s="85" t="str">
        <f>'Consumer Hardware Pricing'!AM134</f>
        <v>-</v>
      </c>
      <c r="BG126" s="85">
        <f t="shared" si="155"/>
        <v>56.629999999999995</v>
      </c>
      <c r="BH126" s="85" t="str">
        <f t="shared" si="156"/>
        <v>-</v>
      </c>
      <c r="BI126" s="85">
        <f t="shared" si="171"/>
        <v>1359.12</v>
      </c>
      <c r="BJ126" s="85" t="str">
        <f>'Consumer Hardware Pricing'!AP134</f>
        <v>-</v>
      </c>
      <c r="BK126" s="85" t="str">
        <f t="shared" si="147"/>
        <v>-</v>
      </c>
      <c r="BL126" s="85" t="str">
        <f>'Consumer Hardware Pricing'!AQ134</f>
        <v>-</v>
      </c>
      <c r="BM126" s="85" t="str">
        <f t="shared" si="157"/>
        <v>-</v>
      </c>
      <c r="BN126" s="85" t="str">
        <f t="shared" si="158"/>
        <v>-</v>
      </c>
      <c r="BO126" s="85" t="str">
        <f t="shared" si="172"/>
        <v>-</v>
      </c>
      <c r="BP126" s="85" t="str">
        <f>'Consumer Hardware Pricing'!AT134</f>
        <v>-</v>
      </c>
      <c r="BQ126" s="85" t="str">
        <f t="shared" si="148"/>
        <v>-</v>
      </c>
      <c r="BR126" s="85" t="str">
        <f>'Consumer Hardware Pricing'!AU134</f>
        <v>-</v>
      </c>
      <c r="BS126" s="85" t="str">
        <f t="shared" si="159"/>
        <v>-</v>
      </c>
      <c r="BT126" s="85" t="str">
        <f t="shared" si="160"/>
        <v>-</v>
      </c>
      <c r="BU126" s="85" t="str">
        <f t="shared" si="173"/>
        <v>-</v>
      </c>
    </row>
    <row r="127" spans="1:73" ht="30.15" customHeight="1" x14ac:dyDescent="0.25">
      <c r="A127" s="86" t="s">
        <v>35</v>
      </c>
      <c r="B127" s="88" t="s">
        <v>119</v>
      </c>
      <c r="C127" s="88" t="s">
        <v>120</v>
      </c>
      <c r="D127" s="85">
        <f>'Consumer Hardware Pricing'!L135</f>
        <v>1359</v>
      </c>
      <c r="E127" s="85">
        <f>'Consumer Hardware Pricing'!M135</f>
        <v>1359</v>
      </c>
      <c r="F127" s="85" t="str">
        <f>'Consumer Hardware Pricing'!N135</f>
        <v>-</v>
      </c>
      <c r="G127" s="85" t="str">
        <f t="shared" si="174"/>
        <v>-</v>
      </c>
      <c r="H127" s="85" t="str">
        <f>'Consumer Hardware Pricing'!O135</f>
        <v>-</v>
      </c>
      <c r="I127" s="85" t="str">
        <f t="shared" si="149"/>
        <v>-</v>
      </c>
      <c r="J127" s="85" t="str">
        <f t="shared" si="161"/>
        <v>-</v>
      </c>
      <c r="K127" s="85" t="str">
        <f t="shared" si="162"/>
        <v>-</v>
      </c>
      <c r="L127" s="85" t="str">
        <f>'Consumer Hardware Pricing'!Q135</f>
        <v>-</v>
      </c>
      <c r="M127" s="85" t="str">
        <f t="shared" si="175"/>
        <v>-</v>
      </c>
      <c r="N127" s="85" t="str">
        <f t="shared" si="150"/>
        <v>-</v>
      </c>
      <c r="O127" s="85" t="str">
        <f t="shared" si="151"/>
        <v>-</v>
      </c>
      <c r="P127" s="85" t="str">
        <f t="shared" si="163"/>
        <v>-</v>
      </c>
      <c r="Q127" s="85" t="str">
        <f>'Consumer Hardware Pricing'!S135</f>
        <v>-</v>
      </c>
      <c r="R127" s="85" t="str">
        <f t="shared" si="152"/>
        <v>-</v>
      </c>
      <c r="S127" s="85" t="str">
        <f>'Consumer Hardware Pricing'!T135</f>
        <v>-</v>
      </c>
      <c r="T127" s="129" t="str">
        <f t="shared" si="164"/>
        <v>-</v>
      </c>
      <c r="U127" s="129" t="str">
        <f t="shared" si="165"/>
        <v>-</v>
      </c>
      <c r="V127" s="85" t="str">
        <f t="shared" si="166"/>
        <v>-</v>
      </c>
      <c r="W127" s="129" t="str">
        <f>'Consumer Hardware Pricing'!V135</f>
        <v>-</v>
      </c>
      <c r="X127" s="129" t="str">
        <f t="shared" si="176"/>
        <v>-</v>
      </c>
      <c r="Y127" s="129" t="str">
        <f t="shared" si="167"/>
        <v>-</v>
      </c>
      <c r="Z127" s="129" t="str">
        <f t="shared" si="168"/>
        <v>-</v>
      </c>
      <c r="AA127" s="85" t="str">
        <f t="shared" si="169"/>
        <v>-</v>
      </c>
      <c r="AB127" s="85" t="str">
        <f>'Consumer Hardware Pricing'!X135</f>
        <v>-</v>
      </c>
      <c r="AC127" s="85" t="str">
        <f t="shared" si="141"/>
        <v>-</v>
      </c>
      <c r="AD127" s="85" t="str">
        <f>'Consumer Hardware Pricing'!Y135</f>
        <v>-</v>
      </c>
      <c r="AE127" s="85" t="str">
        <f t="shared" si="177"/>
        <v>-</v>
      </c>
      <c r="AF127" s="85" t="str">
        <f t="shared" si="178"/>
        <v>-</v>
      </c>
      <c r="AG127" s="85" t="str">
        <f t="shared" si="179"/>
        <v>-</v>
      </c>
      <c r="AH127" s="85" t="str">
        <f>'Consumer Hardware Pricing'!AA135</f>
        <v>-</v>
      </c>
      <c r="AI127" s="85" t="str">
        <f t="shared" si="142"/>
        <v>-</v>
      </c>
      <c r="AJ127" s="85" t="str">
        <f t="shared" si="180"/>
        <v>-</v>
      </c>
      <c r="AK127" s="85" t="str">
        <f t="shared" si="181"/>
        <v>-</v>
      </c>
      <c r="AL127" s="85" t="str">
        <f t="shared" si="182"/>
        <v>-</v>
      </c>
      <c r="AM127" s="85" t="str">
        <f>'Consumer Hardware Pricing'!AC135</f>
        <v>-</v>
      </c>
      <c r="AN127" s="85" t="str">
        <f t="shared" si="143"/>
        <v>-</v>
      </c>
      <c r="AO127" s="85" t="str">
        <f>'Consumer Hardware Pricing'!AD135</f>
        <v>-</v>
      </c>
      <c r="AP127" s="85" t="str">
        <f t="shared" si="183"/>
        <v>-</v>
      </c>
      <c r="AQ127" s="85" t="str">
        <f t="shared" si="184"/>
        <v>-</v>
      </c>
      <c r="AR127" s="85" t="str">
        <f t="shared" si="185"/>
        <v>-</v>
      </c>
      <c r="AS127" s="85" t="str">
        <f>'Consumer Hardware Pricing'!AF135</f>
        <v>-</v>
      </c>
      <c r="AT127" s="85" t="str">
        <f t="shared" si="144"/>
        <v>-</v>
      </c>
      <c r="AU127" s="85" t="str">
        <f t="shared" si="186"/>
        <v>-</v>
      </c>
      <c r="AV127" s="85" t="str">
        <f t="shared" si="187"/>
        <v>-</v>
      </c>
      <c r="AW127" s="85" t="str">
        <f t="shared" si="188"/>
        <v>-</v>
      </c>
      <c r="AX127" s="85" t="str">
        <f>'Consumer Hardware Pricing'!AH135</f>
        <v>-</v>
      </c>
      <c r="AY127" s="85" t="str">
        <f t="shared" si="145"/>
        <v>-</v>
      </c>
      <c r="AZ127" s="85" t="str">
        <f>'Consumer Hardware Pricing'!AI135</f>
        <v>-</v>
      </c>
      <c r="BA127" s="85" t="str">
        <f t="shared" si="153"/>
        <v>-</v>
      </c>
      <c r="BB127" s="85" t="str">
        <f t="shared" si="154"/>
        <v>-</v>
      </c>
      <c r="BC127" s="85" t="str">
        <f t="shared" si="170"/>
        <v>-</v>
      </c>
      <c r="BD127" s="85">
        <f>'Consumer Hardware Pricing'!AL135</f>
        <v>0</v>
      </c>
      <c r="BE127" s="85">
        <f t="shared" si="146"/>
        <v>56.629999999999995</v>
      </c>
      <c r="BF127" s="85" t="str">
        <f>'Consumer Hardware Pricing'!AM135</f>
        <v>-</v>
      </c>
      <c r="BG127" s="85">
        <f t="shared" si="155"/>
        <v>56.629999999999995</v>
      </c>
      <c r="BH127" s="85" t="str">
        <f t="shared" si="156"/>
        <v>-</v>
      </c>
      <c r="BI127" s="85">
        <f t="shared" si="171"/>
        <v>1359.12</v>
      </c>
      <c r="BJ127" s="85" t="str">
        <f>'Consumer Hardware Pricing'!AP135</f>
        <v>-</v>
      </c>
      <c r="BK127" s="85" t="str">
        <f t="shared" si="147"/>
        <v>-</v>
      </c>
      <c r="BL127" s="85" t="str">
        <f>'Consumer Hardware Pricing'!AQ135</f>
        <v>-</v>
      </c>
      <c r="BM127" s="85" t="str">
        <f t="shared" si="157"/>
        <v>-</v>
      </c>
      <c r="BN127" s="85" t="str">
        <f t="shared" si="158"/>
        <v>-</v>
      </c>
      <c r="BO127" s="85" t="str">
        <f t="shared" si="172"/>
        <v>-</v>
      </c>
      <c r="BP127" s="85" t="str">
        <f>'Consumer Hardware Pricing'!AT135</f>
        <v>-</v>
      </c>
      <c r="BQ127" s="85" t="str">
        <f t="shared" si="148"/>
        <v>-</v>
      </c>
      <c r="BR127" s="85" t="str">
        <f>'Consumer Hardware Pricing'!AU135</f>
        <v>-</v>
      </c>
      <c r="BS127" s="85" t="str">
        <f t="shared" si="159"/>
        <v>-</v>
      </c>
      <c r="BT127" s="85" t="str">
        <f t="shared" si="160"/>
        <v>-</v>
      </c>
      <c r="BU127" s="85" t="str">
        <f t="shared" si="173"/>
        <v>-</v>
      </c>
    </row>
    <row r="128" spans="1:73" ht="30.15" customHeight="1" x14ac:dyDescent="0.25">
      <c r="A128" s="86" t="s">
        <v>35</v>
      </c>
      <c r="B128" s="88" t="s">
        <v>118</v>
      </c>
      <c r="C128" s="88" t="s">
        <v>120</v>
      </c>
      <c r="D128" s="85">
        <f>'Consumer Hardware Pricing'!L136</f>
        <v>1359</v>
      </c>
      <c r="E128" s="85">
        <f>'Consumer Hardware Pricing'!M136</f>
        <v>1359</v>
      </c>
      <c r="F128" s="85" t="str">
        <f>'Consumer Hardware Pricing'!N136</f>
        <v>-</v>
      </c>
      <c r="G128" s="85" t="str">
        <f t="shared" si="174"/>
        <v>-</v>
      </c>
      <c r="H128" s="85" t="str">
        <f>'Consumer Hardware Pricing'!O136</f>
        <v>-</v>
      </c>
      <c r="I128" s="85" t="str">
        <f t="shared" si="149"/>
        <v>-</v>
      </c>
      <c r="J128" s="85" t="str">
        <f t="shared" si="161"/>
        <v>-</v>
      </c>
      <c r="K128" s="85" t="str">
        <f t="shared" si="162"/>
        <v>-</v>
      </c>
      <c r="L128" s="85" t="str">
        <f>'Consumer Hardware Pricing'!Q136</f>
        <v>-</v>
      </c>
      <c r="M128" s="85" t="str">
        <f t="shared" si="175"/>
        <v>-</v>
      </c>
      <c r="N128" s="85" t="str">
        <f t="shared" si="150"/>
        <v>-</v>
      </c>
      <c r="O128" s="85" t="str">
        <f t="shared" si="151"/>
        <v>-</v>
      </c>
      <c r="P128" s="85" t="str">
        <f t="shared" si="163"/>
        <v>-</v>
      </c>
      <c r="Q128" s="85" t="str">
        <f>'Consumer Hardware Pricing'!S136</f>
        <v>-</v>
      </c>
      <c r="R128" s="85" t="str">
        <f t="shared" si="152"/>
        <v>-</v>
      </c>
      <c r="S128" s="85" t="str">
        <f>'Consumer Hardware Pricing'!T136</f>
        <v>-</v>
      </c>
      <c r="T128" s="129" t="str">
        <f t="shared" si="164"/>
        <v>-</v>
      </c>
      <c r="U128" s="129" t="str">
        <f t="shared" si="165"/>
        <v>-</v>
      </c>
      <c r="V128" s="85" t="str">
        <f t="shared" si="166"/>
        <v>-</v>
      </c>
      <c r="W128" s="129" t="str">
        <f>'Consumer Hardware Pricing'!V136</f>
        <v>-</v>
      </c>
      <c r="X128" s="129" t="str">
        <f t="shared" si="176"/>
        <v>-</v>
      </c>
      <c r="Y128" s="129" t="str">
        <f t="shared" si="167"/>
        <v>-</v>
      </c>
      <c r="Z128" s="129" t="str">
        <f t="shared" si="168"/>
        <v>-</v>
      </c>
      <c r="AA128" s="85" t="str">
        <f t="shared" si="169"/>
        <v>-</v>
      </c>
      <c r="AB128" s="85" t="str">
        <f>'Consumer Hardware Pricing'!X136</f>
        <v>-</v>
      </c>
      <c r="AC128" s="85" t="str">
        <f t="shared" ref="AC128:AC200" si="326">IF(AB128="-","-",ROUNDUP(D128/24,2))</f>
        <v>-</v>
      </c>
      <c r="AD128" s="85" t="str">
        <f>'Consumer Hardware Pricing'!Y136</f>
        <v>-</v>
      </c>
      <c r="AE128" s="85" t="str">
        <f t="shared" si="177"/>
        <v>-</v>
      </c>
      <c r="AF128" s="85" t="str">
        <f t="shared" si="178"/>
        <v>-</v>
      </c>
      <c r="AG128" s="85" t="str">
        <f t="shared" si="179"/>
        <v>-</v>
      </c>
      <c r="AH128" s="85" t="str">
        <f>'Consumer Hardware Pricing'!AA136</f>
        <v>-</v>
      </c>
      <c r="AI128" s="85" t="str">
        <f t="shared" ref="AI128:AI200" si="327">IF(AH128="-",AH128,IF(AD128="-",AC128-ROUNDUP((D128-AH128)/24,2),AD128+AC128-ROUNDUP((D128-AH128)/24,2)))</f>
        <v>-</v>
      </c>
      <c r="AJ128" s="85" t="str">
        <f t="shared" si="180"/>
        <v>-</v>
      </c>
      <c r="AK128" s="85" t="str">
        <f t="shared" si="181"/>
        <v>-</v>
      </c>
      <c r="AL128" s="85" t="str">
        <f t="shared" si="182"/>
        <v>-</v>
      </c>
      <c r="AM128" s="85" t="str">
        <f>'Consumer Hardware Pricing'!AC136</f>
        <v>-</v>
      </c>
      <c r="AN128" s="85" t="str">
        <f t="shared" ref="AN128:AN200" si="328">IF(AM128="-","-",ROUNDUP(D128/24,2))</f>
        <v>-</v>
      </c>
      <c r="AO128" s="85" t="str">
        <f>'Consumer Hardware Pricing'!AD136</f>
        <v>-</v>
      </c>
      <c r="AP128" s="85" t="str">
        <f t="shared" si="183"/>
        <v>-</v>
      </c>
      <c r="AQ128" s="85" t="str">
        <f t="shared" si="184"/>
        <v>-</v>
      </c>
      <c r="AR128" s="85" t="str">
        <f t="shared" si="185"/>
        <v>-</v>
      </c>
      <c r="AS128" s="85" t="str">
        <f>'Consumer Hardware Pricing'!AF136</f>
        <v>-</v>
      </c>
      <c r="AT128" s="85" t="str">
        <f t="shared" ref="AT128:AT200" si="329">IF(AS128="-",AS128,IF(AO128="-",AN128-ROUNDUP((D128-AS128)/24,2),AO128+AN128-ROUNDUP((D128-AS128)/24,2)))</f>
        <v>-</v>
      </c>
      <c r="AU128" s="85" t="str">
        <f t="shared" si="186"/>
        <v>-</v>
      </c>
      <c r="AV128" s="85" t="str">
        <f t="shared" si="187"/>
        <v>-</v>
      </c>
      <c r="AW128" s="85" t="str">
        <f t="shared" si="188"/>
        <v>-</v>
      </c>
      <c r="AX128" s="85" t="str">
        <f>'Consumer Hardware Pricing'!AH136</f>
        <v>-</v>
      </c>
      <c r="AY128" s="85" t="str">
        <f t="shared" ref="AY128:AY200" si="330">IF(AX128="-",AX128,ROUNDUP((D128-AX128)/24,2))</f>
        <v>-</v>
      </c>
      <c r="AZ128" s="85" t="str">
        <f>'Consumer Hardware Pricing'!AI136</f>
        <v>-</v>
      </c>
      <c r="BA128" s="85" t="str">
        <f t="shared" si="153"/>
        <v>-</v>
      </c>
      <c r="BB128" s="85" t="str">
        <f t="shared" si="154"/>
        <v>-</v>
      </c>
      <c r="BC128" s="85" t="str">
        <f t="shared" si="170"/>
        <v>-</v>
      </c>
      <c r="BD128" s="85">
        <f>'Consumer Hardware Pricing'!AL136</f>
        <v>0</v>
      </c>
      <c r="BE128" s="85">
        <f t="shared" ref="BE128:BE200" si="331">IF(BD128="-",BD128,ROUNDUP((D128-BD128)/24,2))</f>
        <v>56.629999999999995</v>
      </c>
      <c r="BF128" s="85" t="str">
        <f>'Consumer Hardware Pricing'!AM136</f>
        <v>-</v>
      </c>
      <c r="BG128" s="85">
        <f t="shared" si="155"/>
        <v>56.629999999999995</v>
      </c>
      <c r="BH128" s="85" t="str">
        <f t="shared" si="156"/>
        <v>-</v>
      </c>
      <c r="BI128" s="85">
        <f t="shared" si="171"/>
        <v>1359.12</v>
      </c>
      <c r="BJ128" s="85" t="str">
        <f>'Consumer Hardware Pricing'!AP136</f>
        <v>-</v>
      </c>
      <c r="BK128" s="85" t="str">
        <f t="shared" ref="BK128:BK200" si="332">IF(BJ128="-",BJ128,ROUNDUP((D128-BJ128)/24,2))</f>
        <v>-</v>
      </c>
      <c r="BL128" s="85" t="str">
        <f>'Consumer Hardware Pricing'!AQ136</f>
        <v>-</v>
      </c>
      <c r="BM128" s="85" t="str">
        <f t="shared" si="157"/>
        <v>-</v>
      </c>
      <c r="BN128" s="85" t="str">
        <f t="shared" si="158"/>
        <v>-</v>
      </c>
      <c r="BO128" s="85" t="str">
        <f t="shared" si="172"/>
        <v>-</v>
      </c>
      <c r="BP128" s="85" t="str">
        <f>'Consumer Hardware Pricing'!AT136</f>
        <v>-</v>
      </c>
      <c r="BQ128" s="85" t="str">
        <f t="shared" ref="BQ128:BQ200" si="333">IF(BP128="-",BP128,ROUNDUP((D128-BP128)/24,2))</f>
        <v>-</v>
      </c>
      <c r="BR128" s="85" t="str">
        <f>'Consumer Hardware Pricing'!AU136</f>
        <v>-</v>
      </c>
      <c r="BS128" s="85" t="str">
        <f t="shared" si="159"/>
        <v>-</v>
      </c>
      <c r="BT128" s="85" t="str">
        <f t="shared" si="160"/>
        <v>-</v>
      </c>
      <c r="BU128" s="85" t="str">
        <f t="shared" si="173"/>
        <v>-</v>
      </c>
    </row>
    <row r="129" spans="1:73" ht="30.15" customHeight="1" x14ac:dyDescent="0.25">
      <c r="A129" s="86" t="s">
        <v>35</v>
      </c>
      <c r="B129" s="88" t="s">
        <v>286</v>
      </c>
      <c r="C129" s="88" t="s">
        <v>287</v>
      </c>
      <c r="D129" s="85">
        <f>'Consumer Hardware Pricing'!L137</f>
        <v>1219</v>
      </c>
      <c r="E129" s="85">
        <f>'Consumer Hardware Pricing'!M137</f>
        <v>1219</v>
      </c>
      <c r="F129" s="85" t="str">
        <f>'Consumer Hardware Pricing'!N137</f>
        <v>-</v>
      </c>
      <c r="G129" s="85" t="str">
        <f t="shared" si="174"/>
        <v>-</v>
      </c>
      <c r="H129" s="85" t="str">
        <f>'Consumer Hardware Pricing'!O137</f>
        <v>-</v>
      </c>
      <c r="I129" s="85" t="str">
        <f t="shared" si="149"/>
        <v>-</v>
      </c>
      <c r="J129" s="85" t="str">
        <f t="shared" si="161"/>
        <v>-</v>
      </c>
      <c r="K129" s="85" t="str">
        <f t="shared" si="162"/>
        <v>-</v>
      </c>
      <c r="L129" s="85" t="str">
        <f>'Consumer Hardware Pricing'!Q137</f>
        <v>-</v>
      </c>
      <c r="M129" s="85" t="str">
        <f t="shared" si="175"/>
        <v>-</v>
      </c>
      <c r="N129" s="85" t="str">
        <f t="shared" si="150"/>
        <v>-</v>
      </c>
      <c r="O129" s="85" t="str">
        <f t="shared" si="151"/>
        <v>-</v>
      </c>
      <c r="P129" s="85" t="str">
        <f t="shared" si="163"/>
        <v>-</v>
      </c>
      <c r="Q129" s="85" t="str">
        <f>'Consumer Hardware Pricing'!S137</f>
        <v>-</v>
      </c>
      <c r="R129" s="85" t="str">
        <f t="shared" si="152"/>
        <v>-</v>
      </c>
      <c r="S129" s="85" t="str">
        <f>'Consumer Hardware Pricing'!T137</f>
        <v>-</v>
      </c>
      <c r="T129" s="129" t="str">
        <f t="shared" si="164"/>
        <v>-</v>
      </c>
      <c r="U129" s="129" t="str">
        <f t="shared" si="165"/>
        <v>-</v>
      </c>
      <c r="V129" s="85" t="str">
        <f t="shared" si="166"/>
        <v>-</v>
      </c>
      <c r="W129" s="129" t="str">
        <f>'Consumer Hardware Pricing'!V137</f>
        <v>-</v>
      </c>
      <c r="X129" s="129" t="str">
        <f t="shared" si="176"/>
        <v>-</v>
      </c>
      <c r="Y129" s="129" t="str">
        <f t="shared" si="167"/>
        <v>-</v>
      </c>
      <c r="Z129" s="129" t="str">
        <f t="shared" si="168"/>
        <v>-</v>
      </c>
      <c r="AA129" s="85" t="str">
        <f t="shared" si="169"/>
        <v>-</v>
      </c>
      <c r="AB129" s="85" t="str">
        <f>'Consumer Hardware Pricing'!X137</f>
        <v>-</v>
      </c>
      <c r="AC129" s="85" t="str">
        <f t="shared" si="326"/>
        <v>-</v>
      </c>
      <c r="AD129" s="85" t="str">
        <f>'Consumer Hardware Pricing'!Y137</f>
        <v>-</v>
      </c>
      <c r="AE129" s="85" t="str">
        <f t="shared" si="177"/>
        <v>-</v>
      </c>
      <c r="AF129" s="85" t="str">
        <f t="shared" si="178"/>
        <v>-</v>
      </c>
      <c r="AG129" s="85" t="str">
        <f t="shared" si="179"/>
        <v>-</v>
      </c>
      <c r="AH129" s="85" t="str">
        <f>'Consumer Hardware Pricing'!AA137</f>
        <v>-</v>
      </c>
      <c r="AI129" s="85" t="str">
        <f t="shared" si="327"/>
        <v>-</v>
      </c>
      <c r="AJ129" s="85" t="str">
        <f t="shared" si="180"/>
        <v>-</v>
      </c>
      <c r="AK129" s="85" t="str">
        <f t="shared" si="181"/>
        <v>-</v>
      </c>
      <c r="AL129" s="85" t="str">
        <f t="shared" si="182"/>
        <v>-</v>
      </c>
      <c r="AM129" s="85" t="str">
        <f>'Consumer Hardware Pricing'!AC137</f>
        <v>-</v>
      </c>
      <c r="AN129" s="85" t="str">
        <f t="shared" si="328"/>
        <v>-</v>
      </c>
      <c r="AO129" s="85" t="str">
        <f>'Consumer Hardware Pricing'!AD137</f>
        <v>-</v>
      </c>
      <c r="AP129" s="85" t="str">
        <f t="shared" si="183"/>
        <v>-</v>
      </c>
      <c r="AQ129" s="85" t="str">
        <f t="shared" si="184"/>
        <v>-</v>
      </c>
      <c r="AR129" s="85" t="str">
        <f t="shared" si="185"/>
        <v>-</v>
      </c>
      <c r="AS129" s="85" t="str">
        <f>'Consumer Hardware Pricing'!AF137</f>
        <v>-</v>
      </c>
      <c r="AT129" s="85" t="str">
        <f t="shared" si="329"/>
        <v>-</v>
      </c>
      <c r="AU129" s="85" t="str">
        <f t="shared" si="186"/>
        <v>-</v>
      </c>
      <c r="AV129" s="85" t="str">
        <f t="shared" si="187"/>
        <v>-</v>
      </c>
      <c r="AW129" s="85" t="str">
        <f t="shared" si="188"/>
        <v>-</v>
      </c>
      <c r="AX129" s="85" t="str">
        <f>'Consumer Hardware Pricing'!AH137</f>
        <v>-</v>
      </c>
      <c r="AY129" s="85" t="str">
        <f t="shared" si="330"/>
        <v>-</v>
      </c>
      <c r="AZ129" s="85" t="str">
        <f>'Consumer Hardware Pricing'!AI137</f>
        <v>-</v>
      </c>
      <c r="BA129" s="85" t="str">
        <f t="shared" si="153"/>
        <v>-</v>
      </c>
      <c r="BB129" s="85" t="str">
        <f t="shared" si="154"/>
        <v>-</v>
      </c>
      <c r="BC129" s="85" t="str">
        <f t="shared" si="170"/>
        <v>-</v>
      </c>
      <c r="BD129" s="85">
        <f>'Consumer Hardware Pricing'!AL137</f>
        <v>0</v>
      </c>
      <c r="BE129" s="85">
        <f t="shared" si="331"/>
        <v>50.8</v>
      </c>
      <c r="BF129" s="85" t="str">
        <f>'Consumer Hardware Pricing'!AM137</f>
        <v>-</v>
      </c>
      <c r="BG129" s="85">
        <f t="shared" si="155"/>
        <v>50.8</v>
      </c>
      <c r="BH129" s="85" t="str">
        <f t="shared" si="156"/>
        <v>-</v>
      </c>
      <c r="BI129" s="85">
        <f t="shared" si="171"/>
        <v>1219.1999999999998</v>
      </c>
      <c r="BJ129" s="85" t="str">
        <f>'Consumer Hardware Pricing'!AP137</f>
        <v>-</v>
      </c>
      <c r="BK129" s="85" t="str">
        <f t="shared" si="332"/>
        <v>-</v>
      </c>
      <c r="BL129" s="85" t="str">
        <f>'Consumer Hardware Pricing'!AQ137</f>
        <v>-</v>
      </c>
      <c r="BM129" s="85" t="str">
        <f t="shared" si="157"/>
        <v>-</v>
      </c>
      <c r="BN129" s="85" t="str">
        <f t="shared" si="158"/>
        <v>-</v>
      </c>
      <c r="BO129" s="85" t="str">
        <f t="shared" si="172"/>
        <v>-</v>
      </c>
      <c r="BP129" s="85" t="str">
        <f>'Consumer Hardware Pricing'!AT137</f>
        <v>-</v>
      </c>
      <c r="BQ129" s="85" t="str">
        <f t="shared" si="333"/>
        <v>-</v>
      </c>
      <c r="BR129" s="85" t="str">
        <f>'Consumer Hardware Pricing'!AU137</f>
        <v>-</v>
      </c>
      <c r="BS129" s="85" t="str">
        <f t="shared" si="159"/>
        <v>-</v>
      </c>
      <c r="BT129" s="85" t="str">
        <f t="shared" si="160"/>
        <v>-</v>
      </c>
      <c r="BU129" s="85" t="str">
        <f t="shared" si="173"/>
        <v>-</v>
      </c>
    </row>
    <row r="130" spans="1:73" ht="30.15" customHeight="1" x14ac:dyDescent="0.25">
      <c r="A130" s="86" t="s">
        <v>35</v>
      </c>
      <c r="B130" s="88" t="s">
        <v>533</v>
      </c>
      <c r="C130" s="88" t="s">
        <v>536</v>
      </c>
      <c r="D130" s="85">
        <f>'Consumer Hardware Pricing'!L138</f>
        <v>1199</v>
      </c>
      <c r="E130" s="85">
        <f>'Consumer Hardware Pricing'!M138</f>
        <v>1199</v>
      </c>
      <c r="F130" s="85" t="str">
        <f>'Consumer Hardware Pricing'!N138</f>
        <v>-</v>
      </c>
      <c r="G130" s="85" t="str">
        <f t="shared" si="174"/>
        <v>-</v>
      </c>
      <c r="H130" s="85" t="str">
        <f>'Consumer Hardware Pricing'!O138</f>
        <v>-</v>
      </c>
      <c r="I130" s="85" t="str">
        <f t="shared" si="149"/>
        <v>-</v>
      </c>
      <c r="J130" s="85" t="str">
        <f t="shared" si="161"/>
        <v>-</v>
      </c>
      <c r="K130" s="85" t="str">
        <f t="shared" si="162"/>
        <v>-</v>
      </c>
      <c r="L130" s="85" t="str">
        <f>'Consumer Hardware Pricing'!Q138</f>
        <v>-</v>
      </c>
      <c r="M130" s="85" t="str">
        <f t="shared" si="175"/>
        <v>-</v>
      </c>
      <c r="N130" s="85" t="str">
        <f t="shared" si="150"/>
        <v>-</v>
      </c>
      <c r="O130" s="85" t="str">
        <f t="shared" si="151"/>
        <v>-</v>
      </c>
      <c r="P130" s="85" t="str">
        <f t="shared" si="163"/>
        <v>-</v>
      </c>
      <c r="Q130" s="85" t="str">
        <f>'Consumer Hardware Pricing'!S138</f>
        <v>-</v>
      </c>
      <c r="R130" s="85" t="str">
        <f t="shared" si="152"/>
        <v>-</v>
      </c>
      <c r="S130" s="85" t="str">
        <f>'Consumer Hardware Pricing'!T138</f>
        <v>-</v>
      </c>
      <c r="T130" s="129" t="str">
        <f t="shared" si="164"/>
        <v>-</v>
      </c>
      <c r="U130" s="129" t="str">
        <f t="shared" si="165"/>
        <v>-</v>
      </c>
      <c r="V130" s="85" t="str">
        <f t="shared" si="166"/>
        <v>-</v>
      </c>
      <c r="W130" s="129" t="str">
        <f>'Consumer Hardware Pricing'!V138</f>
        <v>-</v>
      </c>
      <c r="X130" s="129" t="str">
        <f t="shared" si="176"/>
        <v>-</v>
      </c>
      <c r="Y130" s="129" t="str">
        <f t="shared" si="167"/>
        <v>-</v>
      </c>
      <c r="Z130" s="129" t="str">
        <f t="shared" si="168"/>
        <v>-</v>
      </c>
      <c r="AA130" s="85" t="str">
        <f t="shared" si="169"/>
        <v>-</v>
      </c>
      <c r="AB130" s="85" t="str">
        <f>'Consumer Hardware Pricing'!X138</f>
        <v>-</v>
      </c>
      <c r="AC130" s="85" t="str">
        <f t="shared" si="326"/>
        <v>-</v>
      </c>
      <c r="AD130" s="85" t="str">
        <f>'Consumer Hardware Pricing'!Y138</f>
        <v>-</v>
      </c>
      <c r="AE130" s="85" t="str">
        <f t="shared" si="177"/>
        <v>-</v>
      </c>
      <c r="AF130" s="85" t="str">
        <f t="shared" si="178"/>
        <v>-</v>
      </c>
      <c r="AG130" s="85" t="str">
        <f t="shared" si="179"/>
        <v>-</v>
      </c>
      <c r="AH130" s="85" t="str">
        <f>'Consumer Hardware Pricing'!AA138</f>
        <v>-</v>
      </c>
      <c r="AI130" s="85" t="str">
        <f t="shared" si="327"/>
        <v>-</v>
      </c>
      <c r="AJ130" s="85" t="str">
        <f t="shared" si="180"/>
        <v>-</v>
      </c>
      <c r="AK130" s="85" t="str">
        <f t="shared" si="181"/>
        <v>-</v>
      </c>
      <c r="AL130" s="85" t="str">
        <f t="shared" si="182"/>
        <v>-</v>
      </c>
      <c r="AM130" s="85" t="str">
        <f>'Consumer Hardware Pricing'!AC138</f>
        <v>-</v>
      </c>
      <c r="AN130" s="85" t="str">
        <f t="shared" si="328"/>
        <v>-</v>
      </c>
      <c r="AO130" s="85" t="str">
        <f>'Consumer Hardware Pricing'!AD138</f>
        <v>-</v>
      </c>
      <c r="AP130" s="85" t="str">
        <f t="shared" si="183"/>
        <v>-</v>
      </c>
      <c r="AQ130" s="85" t="str">
        <f t="shared" si="184"/>
        <v>-</v>
      </c>
      <c r="AR130" s="85" t="str">
        <f t="shared" si="185"/>
        <v>-</v>
      </c>
      <c r="AS130" s="85" t="str">
        <f>'Consumer Hardware Pricing'!AF138</f>
        <v>-</v>
      </c>
      <c r="AT130" s="85" t="str">
        <f t="shared" si="329"/>
        <v>-</v>
      </c>
      <c r="AU130" s="85" t="str">
        <f t="shared" si="186"/>
        <v>-</v>
      </c>
      <c r="AV130" s="85" t="str">
        <f t="shared" si="187"/>
        <v>-</v>
      </c>
      <c r="AW130" s="85" t="str">
        <f t="shared" si="188"/>
        <v>-</v>
      </c>
      <c r="AX130" s="85" t="str">
        <f>'Consumer Hardware Pricing'!AH138</f>
        <v>-</v>
      </c>
      <c r="AY130" s="85" t="str">
        <f t="shared" si="330"/>
        <v>-</v>
      </c>
      <c r="AZ130" s="85" t="str">
        <f>'Consumer Hardware Pricing'!AI138</f>
        <v>-</v>
      </c>
      <c r="BA130" s="85" t="str">
        <f t="shared" si="153"/>
        <v>-</v>
      </c>
      <c r="BB130" s="85" t="str">
        <f t="shared" si="154"/>
        <v>-</v>
      </c>
      <c r="BC130" s="85" t="str">
        <f t="shared" si="170"/>
        <v>-</v>
      </c>
      <c r="BD130" s="85">
        <f>'Consumer Hardware Pricing'!AL138</f>
        <v>0</v>
      </c>
      <c r="BE130" s="85">
        <f t="shared" si="331"/>
        <v>49.96</v>
      </c>
      <c r="BF130" s="85" t="str">
        <f>'Consumer Hardware Pricing'!AM138</f>
        <v>-</v>
      </c>
      <c r="BG130" s="85">
        <f t="shared" si="155"/>
        <v>49.96</v>
      </c>
      <c r="BH130" s="85" t="str">
        <f t="shared" si="156"/>
        <v>-</v>
      </c>
      <c r="BI130" s="85">
        <f t="shared" si="171"/>
        <v>1199.04</v>
      </c>
      <c r="BJ130" s="85" t="str">
        <f>'Consumer Hardware Pricing'!AP138</f>
        <v>-</v>
      </c>
      <c r="BK130" s="85" t="str">
        <f t="shared" si="332"/>
        <v>-</v>
      </c>
      <c r="BL130" s="85" t="str">
        <f>'Consumer Hardware Pricing'!AQ138</f>
        <v>-</v>
      </c>
      <c r="BM130" s="85" t="str">
        <f t="shared" si="157"/>
        <v>-</v>
      </c>
      <c r="BN130" s="85" t="str">
        <f t="shared" si="158"/>
        <v>-</v>
      </c>
      <c r="BO130" s="85" t="str">
        <f t="shared" si="172"/>
        <v>-</v>
      </c>
      <c r="BP130" s="85" t="str">
        <f>'Consumer Hardware Pricing'!AT138</f>
        <v>-</v>
      </c>
      <c r="BQ130" s="85" t="str">
        <f t="shared" si="333"/>
        <v>-</v>
      </c>
      <c r="BR130" s="85" t="str">
        <f>'Consumer Hardware Pricing'!AU138</f>
        <v>-</v>
      </c>
      <c r="BS130" s="85" t="str">
        <f t="shared" si="159"/>
        <v>-</v>
      </c>
      <c r="BT130" s="85" t="str">
        <f t="shared" si="160"/>
        <v>-</v>
      </c>
      <c r="BU130" s="85" t="str">
        <f t="shared" si="173"/>
        <v>-</v>
      </c>
    </row>
    <row r="131" spans="1:73" ht="30.15" customHeight="1" x14ac:dyDescent="0.25">
      <c r="A131" s="86" t="s">
        <v>35</v>
      </c>
      <c r="B131" s="88" t="s">
        <v>857</v>
      </c>
      <c r="C131" s="88" t="s">
        <v>873</v>
      </c>
      <c r="D131" s="85">
        <f>'Consumer Hardware Pricing'!L139</f>
        <v>1250</v>
      </c>
      <c r="E131" s="85">
        <f>'Consumer Hardware Pricing'!M139</f>
        <v>1250</v>
      </c>
      <c r="F131" s="85" t="str">
        <f>'Consumer Hardware Pricing'!N139</f>
        <v>-</v>
      </c>
      <c r="G131" s="85" t="str">
        <f t="shared" si="174"/>
        <v>-</v>
      </c>
      <c r="H131" s="85" t="str">
        <f>'Consumer Hardware Pricing'!O139</f>
        <v>-</v>
      </c>
      <c r="I131" s="85" t="str">
        <f t="shared" ref="I131:I148" si="334">IF(H131="-",G131,G131-H131)</f>
        <v>-</v>
      </c>
      <c r="J131" s="85" t="str">
        <f t="shared" ref="J131:J148" si="335">IF(H131="-",H131,H131*24)</f>
        <v>-</v>
      </c>
      <c r="K131" s="85" t="str">
        <f t="shared" ref="K131:K148" si="336">IF(F131="-",F131,I131*24)</f>
        <v>-</v>
      </c>
      <c r="L131" s="85" t="str">
        <f>'Consumer Hardware Pricing'!Q139</f>
        <v>-</v>
      </c>
      <c r="M131" s="85" t="str">
        <f t="shared" si="175"/>
        <v>-</v>
      </c>
      <c r="N131" s="85" t="str">
        <f t="shared" ref="N131:N148" si="337">IF(L131="-",L131,G131-M131)</f>
        <v>-</v>
      </c>
      <c r="O131" s="85" t="str">
        <f t="shared" ref="O131:O148" si="338">IF(L131="-",L131,M131*24)</f>
        <v>-</v>
      </c>
      <c r="P131" s="85" t="str">
        <f t="shared" ref="P131:P148" si="339">IF(L131="-",L131,N131*24)</f>
        <v>-</v>
      </c>
      <c r="Q131" s="85" t="str">
        <f>'Consumer Hardware Pricing'!S139</f>
        <v>-</v>
      </c>
      <c r="R131" s="85" t="str">
        <f t="shared" ref="R131:R148" si="340">G131</f>
        <v>-</v>
      </c>
      <c r="S131" s="85" t="str">
        <f>'Consumer Hardware Pricing'!T139</f>
        <v>-</v>
      </c>
      <c r="T131" s="129" t="str">
        <f t="shared" ref="T131:T148" si="341">IF(S131="-",R131,R131-S131)</f>
        <v>-</v>
      </c>
      <c r="U131" s="129" t="str">
        <f t="shared" ref="U131:U148" si="342">IF(S131="-",S131,S131*24)</f>
        <v>-</v>
      </c>
      <c r="V131" s="85" t="str">
        <f t="shared" ref="V131:V148" si="343">IF(Q131="-",Q131,T131*24)</f>
        <v>-</v>
      </c>
      <c r="W131" s="129" t="str">
        <f>'Consumer Hardware Pricing'!V139</f>
        <v>-</v>
      </c>
      <c r="X131" s="129" t="str">
        <f t="shared" si="176"/>
        <v>-</v>
      </c>
      <c r="Y131" s="129" t="str">
        <f t="shared" ref="Y131:Y148" si="344">IF(W131="-",W131,R131-X131)</f>
        <v>-</v>
      </c>
      <c r="Z131" s="129" t="str">
        <f t="shared" ref="Z131:Z148" si="345">IF(W131="-",W131,X131*24)</f>
        <v>-</v>
      </c>
      <c r="AA131" s="85" t="str">
        <f t="shared" ref="AA131:AA148" si="346">IF(W131="-",W131,Y131*24)</f>
        <v>-</v>
      </c>
      <c r="AB131" s="85" t="str">
        <f>'Consumer Hardware Pricing'!X139</f>
        <v>-</v>
      </c>
      <c r="AC131" s="85" t="str">
        <f t="shared" si="326"/>
        <v>-</v>
      </c>
      <c r="AD131" s="85" t="str">
        <f>'Consumer Hardware Pricing'!Y139</f>
        <v>-</v>
      </c>
      <c r="AE131" s="85" t="str">
        <f t="shared" si="177"/>
        <v>-</v>
      </c>
      <c r="AF131" s="85" t="str">
        <f t="shared" si="178"/>
        <v>-</v>
      </c>
      <c r="AG131" s="85" t="str">
        <f t="shared" si="179"/>
        <v>-</v>
      </c>
      <c r="AH131" s="85" t="str">
        <f>'Consumer Hardware Pricing'!AA139</f>
        <v>-</v>
      </c>
      <c r="AI131" s="85" t="str">
        <f t="shared" si="327"/>
        <v>-</v>
      </c>
      <c r="AJ131" s="85" t="str">
        <f t="shared" si="180"/>
        <v>-</v>
      </c>
      <c r="AK131" s="85" t="str">
        <f t="shared" si="181"/>
        <v>-</v>
      </c>
      <c r="AL131" s="85" t="str">
        <f t="shared" si="182"/>
        <v>-</v>
      </c>
      <c r="AM131" s="85" t="str">
        <f>'Consumer Hardware Pricing'!AC139</f>
        <v>-</v>
      </c>
      <c r="AN131" s="85" t="str">
        <f t="shared" si="328"/>
        <v>-</v>
      </c>
      <c r="AO131" s="85" t="str">
        <f>'Consumer Hardware Pricing'!AD139</f>
        <v>-</v>
      </c>
      <c r="AP131" s="85" t="str">
        <f t="shared" si="183"/>
        <v>-</v>
      </c>
      <c r="AQ131" s="85" t="str">
        <f t="shared" si="184"/>
        <v>-</v>
      </c>
      <c r="AR131" s="85" t="str">
        <f t="shared" si="185"/>
        <v>-</v>
      </c>
      <c r="AS131" s="85" t="str">
        <f>'Consumer Hardware Pricing'!AF139</f>
        <v>-</v>
      </c>
      <c r="AT131" s="85" t="str">
        <f t="shared" si="329"/>
        <v>-</v>
      </c>
      <c r="AU131" s="85" t="str">
        <f t="shared" si="186"/>
        <v>-</v>
      </c>
      <c r="AV131" s="85" t="str">
        <f t="shared" si="187"/>
        <v>-</v>
      </c>
      <c r="AW131" s="85" t="str">
        <f t="shared" si="188"/>
        <v>-</v>
      </c>
      <c r="AX131" s="85" t="str">
        <f>'Consumer Hardware Pricing'!AH139</f>
        <v>-</v>
      </c>
      <c r="AY131" s="85" t="str">
        <f t="shared" si="330"/>
        <v>-</v>
      </c>
      <c r="AZ131" s="85" t="str">
        <f>'Consumer Hardware Pricing'!AI139</f>
        <v>-</v>
      </c>
      <c r="BA131" s="85" t="str">
        <f t="shared" ref="BA131:BA148" si="347">IF(AZ131="-",AY131,AY131-AZ131)</f>
        <v>-</v>
      </c>
      <c r="BB131" s="85" t="str">
        <f t="shared" ref="BB131:BB148" si="348">IF(AZ131="-",AZ131,AZ131*24)</f>
        <v>-</v>
      </c>
      <c r="BC131" s="85" t="str">
        <f t="shared" ref="BC131:BC148" si="349">IF(AX131="-",AX131,AX131+(BA131*24))</f>
        <v>-</v>
      </c>
      <c r="BD131" s="85">
        <f>'Consumer Hardware Pricing'!AL139</f>
        <v>0</v>
      </c>
      <c r="BE131" s="85">
        <f t="shared" si="331"/>
        <v>52.089999999999996</v>
      </c>
      <c r="BF131" s="85" t="str">
        <f>'Consumer Hardware Pricing'!AM139</f>
        <v>-</v>
      </c>
      <c r="BG131" s="85">
        <f t="shared" ref="BG131:BG148" si="350">IF(BF131="-",BE131,BE131-BF131)</f>
        <v>52.089999999999996</v>
      </c>
      <c r="BH131" s="85" t="str">
        <f t="shared" ref="BH131:BH148" si="351">IF(BF131="-",BF131,BF131*24)</f>
        <v>-</v>
      </c>
      <c r="BI131" s="85">
        <f t="shared" ref="BI131:BI148" si="352">IF(BD131="-",BD131,BD131+(BG131*24))</f>
        <v>1250.1599999999999</v>
      </c>
      <c r="BJ131" s="85" t="str">
        <f>'Consumer Hardware Pricing'!AP139</f>
        <v>-</v>
      </c>
      <c r="BK131" s="85" t="str">
        <f t="shared" si="332"/>
        <v>-</v>
      </c>
      <c r="BL131" s="85" t="str">
        <f>'Consumer Hardware Pricing'!AQ139</f>
        <v>-</v>
      </c>
      <c r="BM131" s="85" t="str">
        <f t="shared" ref="BM131:BM148" si="353">IF(BL131="-",BK131,BK131-BL131)</f>
        <v>-</v>
      </c>
      <c r="BN131" s="85" t="str">
        <f t="shared" ref="BN131:BN148" si="354">IF(BL131="-",BL131,BL131*24)</f>
        <v>-</v>
      </c>
      <c r="BO131" s="85" t="str">
        <f t="shared" ref="BO131:BO148" si="355">IF(BJ131="-",BJ131,BJ131+(BM131*24))</f>
        <v>-</v>
      </c>
      <c r="BP131" s="85" t="str">
        <f>'Consumer Hardware Pricing'!AT139</f>
        <v>-</v>
      </c>
      <c r="BQ131" s="85" t="str">
        <f t="shared" si="333"/>
        <v>-</v>
      </c>
      <c r="BR131" s="85" t="str">
        <f>'Consumer Hardware Pricing'!AU139</f>
        <v>-</v>
      </c>
      <c r="BS131" s="85" t="str">
        <f t="shared" ref="BS131:BS148" si="356">IF(BR131="-",BQ131,BQ131-BR131)</f>
        <v>-</v>
      </c>
      <c r="BT131" s="85" t="str">
        <f t="shared" ref="BT131:BT148" si="357">IF(BR131="-",BR131,BR131*24)</f>
        <v>-</v>
      </c>
      <c r="BU131" s="85" t="str">
        <f t="shared" ref="BU131:BU148" si="358">IF(BP131="-",BP131,BP131+(BS131*24))</f>
        <v>-</v>
      </c>
    </row>
    <row r="132" spans="1:73" ht="30.15" customHeight="1" x14ac:dyDescent="0.25">
      <c r="A132" s="86" t="s">
        <v>35</v>
      </c>
      <c r="B132" s="88" t="s">
        <v>858</v>
      </c>
      <c r="C132" s="88" t="s">
        <v>873</v>
      </c>
      <c r="D132" s="85">
        <f>'Consumer Hardware Pricing'!L140</f>
        <v>1250</v>
      </c>
      <c r="E132" s="85">
        <f>'Consumer Hardware Pricing'!M140</f>
        <v>1250</v>
      </c>
      <c r="F132" s="85" t="str">
        <f>'Consumer Hardware Pricing'!N140</f>
        <v>-</v>
      </c>
      <c r="G132" s="85" t="str">
        <f t="shared" ref="G132:G204" si="359">IF(F132="-","-",ROUNDUP(D132/24,2))</f>
        <v>-</v>
      </c>
      <c r="H132" s="85" t="str">
        <f>'Consumer Hardware Pricing'!O140</f>
        <v>-</v>
      </c>
      <c r="I132" s="85" t="str">
        <f t="shared" si="334"/>
        <v>-</v>
      </c>
      <c r="J132" s="85" t="str">
        <f t="shared" si="335"/>
        <v>-</v>
      </c>
      <c r="K132" s="85" t="str">
        <f t="shared" si="336"/>
        <v>-</v>
      </c>
      <c r="L132" s="85" t="str">
        <f>'Consumer Hardware Pricing'!Q140</f>
        <v>-</v>
      </c>
      <c r="M132" s="85" t="str">
        <f t="shared" ref="M132:M204" si="360">IF(L132="-",L132,IF(H132="-",G132-ROUNDUP((D132-L132)/24,2),H132+G132-ROUNDUP((D132-L132)/24,2)))</f>
        <v>-</v>
      </c>
      <c r="N132" s="85" t="str">
        <f t="shared" si="337"/>
        <v>-</v>
      </c>
      <c r="O132" s="85" t="str">
        <f t="shared" si="338"/>
        <v>-</v>
      </c>
      <c r="P132" s="85" t="str">
        <f t="shared" si="339"/>
        <v>-</v>
      </c>
      <c r="Q132" s="85" t="str">
        <f>'Consumer Hardware Pricing'!S140</f>
        <v>-</v>
      </c>
      <c r="R132" s="85" t="str">
        <f t="shared" si="340"/>
        <v>-</v>
      </c>
      <c r="S132" s="85" t="str">
        <f>'Consumer Hardware Pricing'!T140</f>
        <v>-</v>
      </c>
      <c r="T132" s="129" t="str">
        <f t="shared" si="341"/>
        <v>-</v>
      </c>
      <c r="U132" s="129" t="str">
        <f t="shared" si="342"/>
        <v>-</v>
      </c>
      <c r="V132" s="85" t="str">
        <f t="shared" si="343"/>
        <v>-</v>
      </c>
      <c r="W132" s="129" t="str">
        <f>'Consumer Hardware Pricing'!V140</f>
        <v>-</v>
      </c>
      <c r="X132" s="129" t="str">
        <f t="shared" ref="X132:X204" si="361">IF(W132="-",W132,IF(S132="-",R132-ROUNDUP((D132-W132)/24,2),S132+R132-ROUNDUP((D132-W132)/24,2)))</f>
        <v>-</v>
      </c>
      <c r="Y132" s="129" t="str">
        <f t="shared" si="344"/>
        <v>-</v>
      </c>
      <c r="Z132" s="129" t="str">
        <f t="shared" si="345"/>
        <v>-</v>
      </c>
      <c r="AA132" s="85" t="str">
        <f t="shared" si="346"/>
        <v>-</v>
      </c>
      <c r="AB132" s="85" t="str">
        <f>'Consumer Hardware Pricing'!X140</f>
        <v>-</v>
      </c>
      <c r="AC132" s="85" t="str">
        <f t="shared" si="326"/>
        <v>-</v>
      </c>
      <c r="AD132" s="85" t="str">
        <f>'Consumer Hardware Pricing'!Y140</f>
        <v>-</v>
      </c>
      <c r="AE132" s="85" t="str">
        <f t="shared" si="177"/>
        <v>-</v>
      </c>
      <c r="AF132" s="85" t="str">
        <f t="shared" si="178"/>
        <v>-</v>
      </c>
      <c r="AG132" s="85" t="str">
        <f t="shared" si="179"/>
        <v>-</v>
      </c>
      <c r="AH132" s="85" t="str">
        <f>'Consumer Hardware Pricing'!AA140</f>
        <v>-</v>
      </c>
      <c r="AI132" s="85" t="str">
        <f t="shared" si="327"/>
        <v>-</v>
      </c>
      <c r="AJ132" s="85" t="str">
        <f t="shared" si="180"/>
        <v>-</v>
      </c>
      <c r="AK132" s="85" t="str">
        <f t="shared" si="181"/>
        <v>-</v>
      </c>
      <c r="AL132" s="85" t="str">
        <f t="shared" si="182"/>
        <v>-</v>
      </c>
      <c r="AM132" s="85" t="str">
        <f>'Consumer Hardware Pricing'!AC140</f>
        <v>-</v>
      </c>
      <c r="AN132" s="85" t="str">
        <f t="shared" si="328"/>
        <v>-</v>
      </c>
      <c r="AO132" s="85" t="str">
        <f>'Consumer Hardware Pricing'!AD140</f>
        <v>-</v>
      </c>
      <c r="AP132" s="85" t="str">
        <f t="shared" si="183"/>
        <v>-</v>
      </c>
      <c r="AQ132" s="85" t="str">
        <f t="shared" si="184"/>
        <v>-</v>
      </c>
      <c r="AR132" s="85" t="str">
        <f t="shared" si="185"/>
        <v>-</v>
      </c>
      <c r="AS132" s="85" t="str">
        <f>'Consumer Hardware Pricing'!AF140</f>
        <v>-</v>
      </c>
      <c r="AT132" s="85" t="str">
        <f t="shared" si="329"/>
        <v>-</v>
      </c>
      <c r="AU132" s="85" t="str">
        <f t="shared" si="186"/>
        <v>-</v>
      </c>
      <c r="AV132" s="85" t="str">
        <f t="shared" si="187"/>
        <v>-</v>
      </c>
      <c r="AW132" s="85" t="str">
        <f t="shared" si="188"/>
        <v>-</v>
      </c>
      <c r="AX132" s="85" t="str">
        <f>'Consumer Hardware Pricing'!AH140</f>
        <v>-</v>
      </c>
      <c r="AY132" s="85" t="str">
        <f t="shared" si="330"/>
        <v>-</v>
      </c>
      <c r="AZ132" s="85" t="str">
        <f>'Consumer Hardware Pricing'!AI140</f>
        <v>-</v>
      </c>
      <c r="BA132" s="85" t="str">
        <f t="shared" si="347"/>
        <v>-</v>
      </c>
      <c r="BB132" s="85" t="str">
        <f t="shared" si="348"/>
        <v>-</v>
      </c>
      <c r="BC132" s="85" t="str">
        <f t="shared" si="349"/>
        <v>-</v>
      </c>
      <c r="BD132" s="85">
        <f>'Consumer Hardware Pricing'!AL140</f>
        <v>0</v>
      </c>
      <c r="BE132" s="85">
        <f t="shared" si="331"/>
        <v>52.089999999999996</v>
      </c>
      <c r="BF132" s="85" t="str">
        <f>'Consumer Hardware Pricing'!AM140</f>
        <v>-</v>
      </c>
      <c r="BG132" s="85">
        <f t="shared" si="350"/>
        <v>52.089999999999996</v>
      </c>
      <c r="BH132" s="85" t="str">
        <f t="shared" si="351"/>
        <v>-</v>
      </c>
      <c r="BI132" s="85">
        <f t="shared" si="352"/>
        <v>1250.1599999999999</v>
      </c>
      <c r="BJ132" s="85" t="str">
        <f>'Consumer Hardware Pricing'!AP140</f>
        <v>-</v>
      </c>
      <c r="BK132" s="85" t="str">
        <f t="shared" si="332"/>
        <v>-</v>
      </c>
      <c r="BL132" s="85" t="str">
        <f>'Consumer Hardware Pricing'!AQ140</f>
        <v>-</v>
      </c>
      <c r="BM132" s="85" t="str">
        <f t="shared" si="353"/>
        <v>-</v>
      </c>
      <c r="BN132" s="85" t="str">
        <f t="shared" si="354"/>
        <v>-</v>
      </c>
      <c r="BO132" s="85" t="str">
        <f t="shared" si="355"/>
        <v>-</v>
      </c>
      <c r="BP132" s="85" t="str">
        <f>'Consumer Hardware Pricing'!AT140</f>
        <v>-</v>
      </c>
      <c r="BQ132" s="85" t="str">
        <f t="shared" si="333"/>
        <v>-</v>
      </c>
      <c r="BR132" s="85" t="str">
        <f>'Consumer Hardware Pricing'!AU140</f>
        <v>-</v>
      </c>
      <c r="BS132" s="85" t="str">
        <f t="shared" si="356"/>
        <v>-</v>
      </c>
      <c r="BT132" s="85" t="str">
        <f t="shared" si="357"/>
        <v>-</v>
      </c>
      <c r="BU132" s="85" t="str">
        <f t="shared" si="358"/>
        <v>-</v>
      </c>
    </row>
    <row r="133" spans="1:73" ht="30.15" customHeight="1" x14ac:dyDescent="0.25">
      <c r="A133" s="86" t="s">
        <v>35</v>
      </c>
      <c r="B133" s="88" t="s">
        <v>1262</v>
      </c>
      <c r="C133" s="88" t="s">
        <v>1263</v>
      </c>
      <c r="D133" s="85">
        <f>'Consumer Hardware Pricing'!L141</f>
        <v>1199</v>
      </c>
      <c r="E133" s="85">
        <f>'Consumer Hardware Pricing'!M141</f>
        <v>1199</v>
      </c>
      <c r="F133" s="85" t="str">
        <f>'Consumer Hardware Pricing'!N141</f>
        <v>-</v>
      </c>
      <c r="G133" s="85" t="str">
        <f t="shared" ref="G133" si="362">IF(F133="-","-",ROUNDUP(D133/24,2))</f>
        <v>-</v>
      </c>
      <c r="H133" s="85" t="str">
        <f>'Consumer Hardware Pricing'!O141</f>
        <v>-</v>
      </c>
      <c r="I133" s="85" t="str">
        <f t="shared" ref="I133" si="363">IF(H133="-",G133,G133-H133)</f>
        <v>-</v>
      </c>
      <c r="J133" s="85" t="str">
        <f t="shared" ref="J133" si="364">IF(H133="-",H133,H133*24)</f>
        <v>-</v>
      </c>
      <c r="K133" s="85" t="str">
        <f t="shared" ref="K133" si="365">IF(F133="-",F133,I133*24)</f>
        <v>-</v>
      </c>
      <c r="L133" s="85" t="str">
        <f>'Consumer Hardware Pricing'!Q141</f>
        <v>-</v>
      </c>
      <c r="M133" s="85" t="str">
        <f t="shared" ref="M133" si="366">IF(L133="-",L133,IF(H133="-",G133-ROUNDUP((D133-L133)/24,2),H133+G133-ROUNDUP((D133-L133)/24,2)))</f>
        <v>-</v>
      </c>
      <c r="N133" s="85" t="str">
        <f t="shared" ref="N133" si="367">IF(L133="-",L133,G133-M133)</f>
        <v>-</v>
      </c>
      <c r="O133" s="85" t="str">
        <f t="shared" ref="O133" si="368">IF(L133="-",L133,M133*24)</f>
        <v>-</v>
      </c>
      <c r="P133" s="85" t="str">
        <f t="shared" ref="P133" si="369">IF(L133="-",L133,N133*24)</f>
        <v>-</v>
      </c>
      <c r="Q133" s="85" t="str">
        <f>'Consumer Hardware Pricing'!S141</f>
        <v>-</v>
      </c>
      <c r="R133" s="85" t="str">
        <f t="shared" ref="R133" si="370">G133</f>
        <v>-</v>
      </c>
      <c r="S133" s="85" t="str">
        <f>'Consumer Hardware Pricing'!T141</f>
        <v>-</v>
      </c>
      <c r="T133" s="129" t="str">
        <f t="shared" ref="T133" si="371">IF(S133="-",R133,R133-S133)</f>
        <v>-</v>
      </c>
      <c r="U133" s="129" t="str">
        <f t="shared" ref="U133" si="372">IF(S133="-",S133,S133*24)</f>
        <v>-</v>
      </c>
      <c r="V133" s="85" t="str">
        <f t="shared" ref="V133" si="373">IF(Q133="-",Q133,T133*24)</f>
        <v>-</v>
      </c>
      <c r="W133" s="129" t="str">
        <f>'Consumer Hardware Pricing'!V141</f>
        <v>-</v>
      </c>
      <c r="X133" s="129" t="str">
        <f t="shared" ref="X133" si="374">IF(W133="-",W133,IF(S133="-",R133-ROUNDUP((D133-W133)/24,2),S133+R133-ROUNDUP((D133-W133)/24,2)))</f>
        <v>-</v>
      </c>
      <c r="Y133" s="129" t="str">
        <f t="shared" ref="Y133" si="375">IF(W133="-",W133,R133-X133)</f>
        <v>-</v>
      </c>
      <c r="Z133" s="129" t="str">
        <f t="shared" ref="Z133" si="376">IF(W133="-",W133,X133*24)</f>
        <v>-</v>
      </c>
      <c r="AA133" s="85" t="str">
        <f t="shared" ref="AA133" si="377">IF(W133="-",W133,Y133*24)</f>
        <v>-</v>
      </c>
      <c r="AB133" s="85" t="str">
        <f>'Consumer Hardware Pricing'!X141</f>
        <v>-</v>
      </c>
      <c r="AC133" s="85" t="str">
        <f t="shared" ref="AC133" si="378">IF(AB133="-","-",ROUNDUP(D133/24,2))</f>
        <v>-</v>
      </c>
      <c r="AD133" s="85" t="str">
        <f>'Consumer Hardware Pricing'!Y141</f>
        <v>-</v>
      </c>
      <c r="AE133" s="85" t="str">
        <f t="shared" ref="AE133" si="379">IF(AD133="-",AC133,AC133-AD133)</f>
        <v>-</v>
      </c>
      <c r="AF133" s="85" t="str">
        <f t="shared" ref="AF133" si="380">IF(AD133="-",AD133,AD133*24)</f>
        <v>-</v>
      </c>
      <c r="AG133" s="85" t="str">
        <f t="shared" ref="AG133" si="381">IF(AB133="-",AB133,AE133*24)</f>
        <v>-</v>
      </c>
      <c r="AH133" s="85" t="str">
        <f>'Consumer Hardware Pricing'!AA141</f>
        <v>-</v>
      </c>
      <c r="AI133" s="85" t="str">
        <f t="shared" ref="AI133" si="382">IF(AH133="-",AH133,IF(AD133="-",AC133-ROUNDUP((D133-AH133)/24,2),AD133+AC133-ROUNDUP((D133-AH133)/24,2)))</f>
        <v>-</v>
      </c>
      <c r="AJ133" s="85" t="str">
        <f t="shared" ref="AJ133" si="383">IF(AH133="-",AH133,AC133-AI133)</f>
        <v>-</v>
      </c>
      <c r="AK133" s="85" t="str">
        <f t="shared" ref="AK133" si="384">IF(AH133="-",AH133,AI133*24)</f>
        <v>-</v>
      </c>
      <c r="AL133" s="85" t="str">
        <f t="shared" ref="AL133" si="385">IF(AH133="-",AH133,AJ133*24)</f>
        <v>-</v>
      </c>
      <c r="AM133" s="85" t="str">
        <f>'Consumer Hardware Pricing'!AC141</f>
        <v>-</v>
      </c>
      <c r="AN133" s="85" t="str">
        <f t="shared" ref="AN133" si="386">IF(AM133="-","-",ROUNDUP(D133/24,2))</f>
        <v>-</v>
      </c>
      <c r="AO133" s="85" t="str">
        <f>'Consumer Hardware Pricing'!AD141</f>
        <v>-</v>
      </c>
      <c r="AP133" s="85" t="str">
        <f t="shared" ref="AP133" si="387">IF(AO133="-",AN133,AN133-AO133)</f>
        <v>-</v>
      </c>
      <c r="AQ133" s="85" t="str">
        <f t="shared" ref="AQ133" si="388">IF(AO133="-",AO133,AO133*24)</f>
        <v>-</v>
      </c>
      <c r="AR133" s="85" t="str">
        <f t="shared" ref="AR133" si="389">IF(AM133="-",AM133,AP133*24)</f>
        <v>-</v>
      </c>
      <c r="AS133" s="85" t="str">
        <f>'Consumer Hardware Pricing'!AF141</f>
        <v>-</v>
      </c>
      <c r="AT133" s="85" t="str">
        <f t="shared" ref="AT133" si="390">IF(AS133="-",AS133,IF(AO133="-",AN133-ROUNDUP((D133-AS133)/24,2),AO133+AN133-ROUNDUP((D133-AS133)/24,2)))</f>
        <v>-</v>
      </c>
      <c r="AU133" s="85" t="str">
        <f t="shared" ref="AU133" si="391">IF(AS133="-",AS133,AN133-AT133)</f>
        <v>-</v>
      </c>
      <c r="AV133" s="85" t="str">
        <f t="shared" ref="AV133" si="392">IF(AS133="-",AS133,AT133*24)</f>
        <v>-</v>
      </c>
      <c r="AW133" s="85" t="str">
        <f t="shared" ref="AW133" si="393">IF(AS133="-",AS133,AU133*24)</f>
        <v>-</v>
      </c>
      <c r="AX133" s="85" t="str">
        <f>'Consumer Hardware Pricing'!AH141</f>
        <v>-</v>
      </c>
      <c r="AY133" s="85" t="str">
        <f t="shared" ref="AY133" si="394">IF(AX133="-",AX133,ROUNDUP((D133-AX133)/24,2))</f>
        <v>-</v>
      </c>
      <c r="AZ133" s="85" t="str">
        <f>'Consumer Hardware Pricing'!AI141</f>
        <v>-</v>
      </c>
      <c r="BA133" s="85" t="str">
        <f t="shared" ref="BA133" si="395">IF(AZ133="-",AY133,AY133-AZ133)</f>
        <v>-</v>
      </c>
      <c r="BB133" s="85" t="str">
        <f t="shared" ref="BB133" si="396">IF(AZ133="-",AZ133,AZ133*24)</f>
        <v>-</v>
      </c>
      <c r="BC133" s="85" t="str">
        <f t="shared" ref="BC133" si="397">IF(AX133="-",AX133,AX133+(BA133*24))</f>
        <v>-</v>
      </c>
      <c r="BD133" s="85">
        <f>'Consumer Hardware Pricing'!AL141</f>
        <v>0</v>
      </c>
      <c r="BE133" s="85">
        <f t="shared" ref="BE133" si="398">IF(BD133="-",BD133,ROUNDUP((D133-BD133)/24,2))</f>
        <v>49.96</v>
      </c>
      <c r="BF133" s="85" t="str">
        <f>'Consumer Hardware Pricing'!AM141</f>
        <v>-</v>
      </c>
      <c r="BG133" s="85">
        <f t="shared" ref="BG133" si="399">IF(BF133="-",BE133,BE133-BF133)</f>
        <v>49.96</v>
      </c>
      <c r="BH133" s="85" t="str">
        <f t="shared" ref="BH133" si="400">IF(BF133="-",BF133,BF133*24)</f>
        <v>-</v>
      </c>
      <c r="BI133" s="85">
        <f t="shared" ref="BI133" si="401">IF(BD133="-",BD133,BD133+(BG133*24))</f>
        <v>1199.04</v>
      </c>
      <c r="BJ133" s="85" t="str">
        <f>'Consumer Hardware Pricing'!AP141</f>
        <v>-</v>
      </c>
      <c r="BK133" s="85" t="str">
        <f t="shared" ref="BK133" si="402">IF(BJ133="-",BJ133,ROUNDUP((D133-BJ133)/24,2))</f>
        <v>-</v>
      </c>
      <c r="BL133" s="85" t="str">
        <f>'Consumer Hardware Pricing'!AQ141</f>
        <v>-</v>
      </c>
      <c r="BM133" s="85" t="str">
        <f t="shared" ref="BM133" si="403">IF(BL133="-",BK133,BK133-BL133)</f>
        <v>-</v>
      </c>
      <c r="BN133" s="85" t="str">
        <f t="shared" ref="BN133" si="404">IF(BL133="-",BL133,BL133*24)</f>
        <v>-</v>
      </c>
      <c r="BO133" s="85" t="str">
        <f t="shared" ref="BO133" si="405">IF(BJ133="-",BJ133,BJ133+(BM133*24))</f>
        <v>-</v>
      </c>
      <c r="BP133" s="85" t="str">
        <f>'Consumer Hardware Pricing'!AT141</f>
        <v>-</v>
      </c>
      <c r="BQ133" s="85" t="str">
        <f t="shared" ref="BQ133" si="406">IF(BP133="-",BP133,ROUNDUP((D133-BP133)/24,2))</f>
        <v>-</v>
      </c>
      <c r="BR133" s="85" t="str">
        <f>'Consumer Hardware Pricing'!AU141</f>
        <v>-</v>
      </c>
      <c r="BS133" s="85" t="str">
        <f t="shared" ref="BS133" si="407">IF(BR133="-",BQ133,BQ133-BR133)</f>
        <v>-</v>
      </c>
      <c r="BT133" s="85" t="str">
        <f t="shared" ref="BT133" si="408">IF(BR133="-",BR133,BR133*24)</f>
        <v>-</v>
      </c>
      <c r="BU133" s="85" t="str">
        <f t="shared" ref="BU133" si="409">IF(BP133="-",BP133,BP133+(BS133*24))</f>
        <v>-</v>
      </c>
    </row>
    <row r="134" spans="1:73" ht="30.15" customHeight="1" x14ac:dyDescent="0.25">
      <c r="A134" s="86" t="s">
        <v>35</v>
      </c>
      <c r="B134" s="88" t="s">
        <v>1271</v>
      </c>
      <c r="C134" s="88" t="s">
        <v>1263</v>
      </c>
      <c r="D134" s="85">
        <f>'Consumer Hardware Pricing'!L142</f>
        <v>1199</v>
      </c>
      <c r="E134" s="85">
        <f>'Consumer Hardware Pricing'!M142</f>
        <v>1199</v>
      </c>
      <c r="F134" s="85" t="str">
        <f>'Consumer Hardware Pricing'!N142</f>
        <v>-</v>
      </c>
      <c r="G134" s="85" t="str">
        <f t="shared" ref="G134:G141" si="410">IF(F134="-","-",ROUNDUP(D134/24,2))</f>
        <v>-</v>
      </c>
      <c r="H134" s="85" t="str">
        <f>'Consumer Hardware Pricing'!O142</f>
        <v>-</v>
      </c>
      <c r="I134" s="85" t="str">
        <f t="shared" ref="I134:I141" si="411">IF(H134="-",G134,G134-H134)</f>
        <v>-</v>
      </c>
      <c r="J134" s="85" t="str">
        <f t="shared" ref="J134:J141" si="412">IF(H134="-",H134,H134*24)</f>
        <v>-</v>
      </c>
      <c r="K134" s="85" t="str">
        <f t="shared" ref="K134:K141" si="413">IF(F134="-",F134,I134*24)</f>
        <v>-</v>
      </c>
      <c r="L134" s="85" t="str">
        <f>'Consumer Hardware Pricing'!Q142</f>
        <v>-</v>
      </c>
      <c r="M134" s="85" t="str">
        <f t="shared" ref="M134:M141" si="414">IF(L134="-",L134,IF(H134="-",G134-ROUNDUP((D134-L134)/24,2),H134+G134-ROUNDUP((D134-L134)/24,2)))</f>
        <v>-</v>
      </c>
      <c r="N134" s="85" t="str">
        <f t="shared" ref="N134:N141" si="415">IF(L134="-",L134,G134-M134)</f>
        <v>-</v>
      </c>
      <c r="O134" s="85" t="str">
        <f t="shared" ref="O134:O141" si="416">IF(L134="-",L134,M134*24)</f>
        <v>-</v>
      </c>
      <c r="P134" s="85" t="str">
        <f t="shared" ref="P134:P141" si="417">IF(L134="-",L134,N134*24)</f>
        <v>-</v>
      </c>
      <c r="Q134" s="85" t="str">
        <f>'Consumer Hardware Pricing'!S142</f>
        <v>-</v>
      </c>
      <c r="R134" s="85" t="str">
        <f t="shared" ref="R134:R141" si="418">G134</f>
        <v>-</v>
      </c>
      <c r="S134" s="85" t="str">
        <f>'Consumer Hardware Pricing'!T142</f>
        <v>-</v>
      </c>
      <c r="T134" s="129" t="str">
        <f t="shared" ref="T134:T141" si="419">IF(S134="-",R134,R134-S134)</f>
        <v>-</v>
      </c>
      <c r="U134" s="129" t="str">
        <f t="shared" ref="U134:U141" si="420">IF(S134="-",S134,S134*24)</f>
        <v>-</v>
      </c>
      <c r="V134" s="85" t="str">
        <f t="shared" ref="V134:V141" si="421">IF(Q134="-",Q134,T134*24)</f>
        <v>-</v>
      </c>
      <c r="W134" s="129" t="str">
        <f>'Consumer Hardware Pricing'!V142</f>
        <v>-</v>
      </c>
      <c r="X134" s="129" t="str">
        <f t="shared" ref="X134:X141" si="422">IF(W134="-",W134,IF(S134="-",R134-ROUNDUP((D134-W134)/24,2),S134+R134-ROUNDUP((D134-W134)/24,2)))</f>
        <v>-</v>
      </c>
      <c r="Y134" s="129" t="str">
        <f t="shared" ref="Y134:Y141" si="423">IF(W134="-",W134,R134-X134)</f>
        <v>-</v>
      </c>
      <c r="Z134" s="129" t="str">
        <f t="shared" ref="Z134:Z141" si="424">IF(W134="-",W134,X134*24)</f>
        <v>-</v>
      </c>
      <c r="AA134" s="85" t="str">
        <f t="shared" ref="AA134:AA141" si="425">IF(W134="-",W134,Y134*24)</f>
        <v>-</v>
      </c>
      <c r="AB134" s="85" t="str">
        <f>'Consumer Hardware Pricing'!X142</f>
        <v>-</v>
      </c>
      <c r="AC134" s="85" t="str">
        <f t="shared" ref="AC134:AC141" si="426">IF(AB134="-","-",ROUNDUP(D134/24,2))</f>
        <v>-</v>
      </c>
      <c r="AD134" s="85" t="str">
        <f>'Consumer Hardware Pricing'!Y142</f>
        <v>-</v>
      </c>
      <c r="AE134" s="85" t="str">
        <f t="shared" ref="AE134:AE141" si="427">IF(AD134="-",AC134,AC134-AD134)</f>
        <v>-</v>
      </c>
      <c r="AF134" s="85" t="str">
        <f t="shared" ref="AF134:AF141" si="428">IF(AD134="-",AD134,AD134*24)</f>
        <v>-</v>
      </c>
      <c r="AG134" s="85" t="str">
        <f t="shared" ref="AG134:AG141" si="429">IF(AB134="-",AB134,AE134*24)</f>
        <v>-</v>
      </c>
      <c r="AH134" s="85" t="str">
        <f>'Consumer Hardware Pricing'!AA142</f>
        <v>-</v>
      </c>
      <c r="AI134" s="85" t="str">
        <f t="shared" ref="AI134:AI141" si="430">IF(AH134="-",AH134,IF(AD134="-",AC134-ROUNDUP((D134-AH134)/24,2),AD134+AC134-ROUNDUP((D134-AH134)/24,2)))</f>
        <v>-</v>
      </c>
      <c r="AJ134" s="85" t="str">
        <f t="shared" ref="AJ134:AJ141" si="431">IF(AH134="-",AH134,AC134-AI134)</f>
        <v>-</v>
      </c>
      <c r="AK134" s="85" t="str">
        <f t="shared" ref="AK134:AK141" si="432">IF(AH134="-",AH134,AI134*24)</f>
        <v>-</v>
      </c>
      <c r="AL134" s="85" t="str">
        <f t="shared" ref="AL134:AL141" si="433">IF(AH134="-",AH134,AJ134*24)</f>
        <v>-</v>
      </c>
      <c r="AM134" s="85" t="str">
        <f>'Consumer Hardware Pricing'!AC142</f>
        <v>-</v>
      </c>
      <c r="AN134" s="85" t="str">
        <f t="shared" ref="AN134:AN141" si="434">IF(AM134="-","-",ROUNDUP(D134/24,2))</f>
        <v>-</v>
      </c>
      <c r="AO134" s="85" t="str">
        <f>'Consumer Hardware Pricing'!AD142</f>
        <v>-</v>
      </c>
      <c r="AP134" s="85" t="str">
        <f t="shared" ref="AP134:AP141" si="435">IF(AO134="-",AN134,AN134-AO134)</f>
        <v>-</v>
      </c>
      <c r="AQ134" s="85" t="str">
        <f t="shared" ref="AQ134:AQ141" si="436">IF(AO134="-",AO134,AO134*24)</f>
        <v>-</v>
      </c>
      <c r="AR134" s="85" t="str">
        <f t="shared" ref="AR134:AR141" si="437">IF(AM134="-",AM134,AP134*24)</f>
        <v>-</v>
      </c>
      <c r="AS134" s="85" t="str">
        <f>'Consumer Hardware Pricing'!AF142</f>
        <v>-</v>
      </c>
      <c r="AT134" s="85" t="str">
        <f t="shared" ref="AT134:AT141" si="438">IF(AS134="-",AS134,IF(AO134="-",AN134-ROUNDUP((D134-AS134)/24,2),AO134+AN134-ROUNDUP((D134-AS134)/24,2)))</f>
        <v>-</v>
      </c>
      <c r="AU134" s="85" t="str">
        <f t="shared" ref="AU134:AU141" si="439">IF(AS134="-",AS134,AN134-AT134)</f>
        <v>-</v>
      </c>
      <c r="AV134" s="85" t="str">
        <f t="shared" ref="AV134:AV141" si="440">IF(AS134="-",AS134,AT134*24)</f>
        <v>-</v>
      </c>
      <c r="AW134" s="85" t="str">
        <f t="shared" ref="AW134:AW141" si="441">IF(AS134="-",AS134,AU134*24)</f>
        <v>-</v>
      </c>
      <c r="AX134" s="85" t="str">
        <f>'Consumer Hardware Pricing'!AH142</f>
        <v>-</v>
      </c>
      <c r="AY134" s="85" t="str">
        <f t="shared" ref="AY134:AY141" si="442">IF(AX134="-",AX134,ROUNDUP((D134-AX134)/24,2))</f>
        <v>-</v>
      </c>
      <c r="AZ134" s="85" t="str">
        <f>'Consumer Hardware Pricing'!AI142</f>
        <v>-</v>
      </c>
      <c r="BA134" s="85" t="str">
        <f t="shared" ref="BA134:BA141" si="443">IF(AZ134="-",AY134,AY134-AZ134)</f>
        <v>-</v>
      </c>
      <c r="BB134" s="85" t="str">
        <f t="shared" ref="BB134:BB141" si="444">IF(AZ134="-",AZ134,AZ134*24)</f>
        <v>-</v>
      </c>
      <c r="BC134" s="85" t="str">
        <f t="shared" ref="BC134:BC141" si="445">IF(AX134="-",AX134,AX134+(BA134*24))</f>
        <v>-</v>
      </c>
      <c r="BD134" s="85">
        <f>'Consumer Hardware Pricing'!AL142</f>
        <v>0</v>
      </c>
      <c r="BE134" s="85">
        <f t="shared" ref="BE134:BE141" si="446">IF(BD134="-",BD134,ROUNDUP((D134-BD134)/24,2))</f>
        <v>49.96</v>
      </c>
      <c r="BF134" s="85" t="str">
        <f>'Consumer Hardware Pricing'!AM142</f>
        <v>-</v>
      </c>
      <c r="BG134" s="85">
        <f t="shared" ref="BG134:BG141" si="447">IF(BF134="-",BE134,BE134-BF134)</f>
        <v>49.96</v>
      </c>
      <c r="BH134" s="85" t="str">
        <f t="shared" ref="BH134:BH141" si="448">IF(BF134="-",BF134,BF134*24)</f>
        <v>-</v>
      </c>
      <c r="BI134" s="85">
        <f t="shared" ref="BI134:BI141" si="449">IF(BD134="-",BD134,BD134+(BG134*24))</f>
        <v>1199.04</v>
      </c>
      <c r="BJ134" s="85" t="str">
        <f>'Consumer Hardware Pricing'!AP142</f>
        <v>-</v>
      </c>
      <c r="BK134" s="85" t="str">
        <f t="shared" ref="BK134:BK141" si="450">IF(BJ134="-",BJ134,ROUNDUP((D134-BJ134)/24,2))</f>
        <v>-</v>
      </c>
      <c r="BL134" s="85" t="str">
        <f>'Consumer Hardware Pricing'!AQ142</f>
        <v>-</v>
      </c>
      <c r="BM134" s="85" t="str">
        <f t="shared" ref="BM134:BM141" si="451">IF(BL134="-",BK134,BK134-BL134)</f>
        <v>-</v>
      </c>
      <c r="BN134" s="85" t="str">
        <f t="shared" ref="BN134:BN141" si="452">IF(BL134="-",BL134,BL134*24)</f>
        <v>-</v>
      </c>
      <c r="BO134" s="85" t="str">
        <f t="shared" ref="BO134:BO141" si="453">IF(BJ134="-",BJ134,BJ134+(BM134*24))</f>
        <v>-</v>
      </c>
      <c r="BP134" s="85" t="str">
        <f>'Consumer Hardware Pricing'!AT142</f>
        <v>-</v>
      </c>
      <c r="BQ134" s="85" t="str">
        <f t="shared" ref="BQ134:BQ141" si="454">IF(BP134="-",BP134,ROUNDUP((D134-BP134)/24,2))</f>
        <v>-</v>
      </c>
      <c r="BR134" s="85" t="str">
        <f>'Consumer Hardware Pricing'!AU142</f>
        <v>-</v>
      </c>
      <c r="BS134" s="85" t="str">
        <f t="shared" ref="BS134:BS141" si="455">IF(BR134="-",BQ134,BQ134-BR134)</f>
        <v>-</v>
      </c>
      <c r="BT134" s="85" t="str">
        <f t="shared" ref="BT134:BT141" si="456">IF(BR134="-",BR134,BR134*24)</f>
        <v>-</v>
      </c>
      <c r="BU134" s="85" t="str">
        <f t="shared" ref="BU134:BU141" si="457">IF(BP134="-",BP134,BP134+(BS134*24))</f>
        <v>-</v>
      </c>
    </row>
    <row r="135" spans="1:73" ht="30.15" customHeight="1" x14ac:dyDescent="0.25">
      <c r="A135" s="86" t="s">
        <v>35</v>
      </c>
      <c r="B135" s="88" t="s">
        <v>1272</v>
      </c>
      <c r="C135" s="88" t="s">
        <v>1279</v>
      </c>
      <c r="D135" s="85">
        <f>'Consumer Hardware Pricing'!L143</f>
        <v>1330</v>
      </c>
      <c r="E135" s="85">
        <f>'Consumer Hardware Pricing'!M143</f>
        <v>1330</v>
      </c>
      <c r="F135" s="85" t="str">
        <f>'Consumer Hardware Pricing'!N143</f>
        <v>-</v>
      </c>
      <c r="G135" s="85" t="str">
        <f t="shared" si="410"/>
        <v>-</v>
      </c>
      <c r="H135" s="85" t="str">
        <f>'Consumer Hardware Pricing'!O143</f>
        <v>-</v>
      </c>
      <c r="I135" s="85" t="str">
        <f t="shared" si="411"/>
        <v>-</v>
      </c>
      <c r="J135" s="85" t="str">
        <f t="shared" si="412"/>
        <v>-</v>
      </c>
      <c r="K135" s="85" t="str">
        <f t="shared" si="413"/>
        <v>-</v>
      </c>
      <c r="L135" s="85" t="str">
        <f>'Consumer Hardware Pricing'!Q143</f>
        <v>-</v>
      </c>
      <c r="M135" s="85" t="str">
        <f t="shared" si="414"/>
        <v>-</v>
      </c>
      <c r="N135" s="85" t="str">
        <f t="shared" si="415"/>
        <v>-</v>
      </c>
      <c r="O135" s="85" t="str">
        <f t="shared" si="416"/>
        <v>-</v>
      </c>
      <c r="P135" s="85" t="str">
        <f t="shared" si="417"/>
        <v>-</v>
      </c>
      <c r="Q135" s="85" t="str">
        <f>'Consumer Hardware Pricing'!S143</f>
        <v>-</v>
      </c>
      <c r="R135" s="85" t="str">
        <f t="shared" si="418"/>
        <v>-</v>
      </c>
      <c r="S135" s="85" t="str">
        <f>'Consumer Hardware Pricing'!T143</f>
        <v>-</v>
      </c>
      <c r="T135" s="129" t="str">
        <f t="shared" si="419"/>
        <v>-</v>
      </c>
      <c r="U135" s="129" t="str">
        <f t="shared" si="420"/>
        <v>-</v>
      </c>
      <c r="V135" s="85" t="str">
        <f t="shared" si="421"/>
        <v>-</v>
      </c>
      <c r="W135" s="129" t="str">
        <f>'Consumer Hardware Pricing'!V143</f>
        <v>-</v>
      </c>
      <c r="X135" s="129" t="str">
        <f t="shared" si="422"/>
        <v>-</v>
      </c>
      <c r="Y135" s="129" t="str">
        <f t="shared" si="423"/>
        <v>-</v>
      </c>
      <c r="Z135" s="129" t="str">
        <f t="shared" si="424"/>
        <v>-</v>
      </c>
      <c r="AA135" s="85" t="str">
        <f t="shared" si="425"/>
        <v>-</v>
      </c>
      <c r="AB135" s="85" t="str">
        <f>'Consumer Hardware Pricing'!X143</f>
        <v>-</v>
      </c>
      <c r="AC135" s="85" t="str">
        <f t="shared" si="426"/>
        <v>-</v>
      </c>
      <c r="AD135" s="85" t="str">
        <f>'Consumer Hardware Pricing'!Y143</f>
        <v>-</v>
      </c>
      <c r="AE135" s="85" t="str">
        <f t="shared" si="427"/>
        <v>-</v>
      </c>
      <c r="AF135" s="85" t="str">
        <f t="shared" si="428"/>
        <v>-</v>
      </c>
      <c r="AG135" s="85" t="str">
        <f t="shared" si="429"/>
        <v>-</v>
      </c>
      <c r="AH135" s="85" t="str">
        <f>'Consumer Hardware Pricing'!AA143</f>
        <v>-</v>
      </c>
      <c r="AI135" s="85" t="str">
        <f t="shared" si="430"/>
        <v>-</v>
      </c>
      <c r="AJ135" s="85" t="str">
        <f t="shared" si="431"/>
        <v>-</v>
      </c>
      <c r="AK135" s="85" t="str">
        <f t="shared" si="432"/>
        <v>-</v>
      </c>
      <c r="AL135" s="85" t="str">
        <f t="shared" si="433"/>
        <v>-</v>
      </c>
      <c r="AM135" s="85" t="str">
        <f>'Consumer Hardware Pricing'!AC143</f>
        <v>-</v>
      </c>
      <c r="AN135" s="85" t="str">
        <f t="shared" si="434"/>
        <v>-</v>
      </c>
      <c r="AO135" s="85" t="str">
        <f>'Consumer Hardware Pricing'!AD143</f>
        <v>-</v>
      </c>
      <c r="AP135" s="85" t="str">
        <f t="shared" si="435"/>
        <v>-</v>
      </c>
      <c r="AQ135" s="85" t="str">
        <f t="shared" si="436"/>
        <v>-</v>
      </c>
      <c r="AR135" s="85" t="str">
        <f t="shared" si="437"/>
        <v>-</v>
      </c>
      <c r="AS135" s="85" t="str">
        <f>'Consumer Hardware Pricing'!AF143</f>
        <v>-</v>
      </c>
      <c r="AT135" s="85" t="str">
        <f t="shared" si="438"/>
        <v>-</v>
      </c>
      <c r="AU135" s="85" t="str">
        <f t="shared" si="439"/>
        <v>-</v>
      </c>
      <c r="AV135" s="85" t="str">
        <f t="shared" si="440"/>
        <v>-</v>
      </c>
      <c r="AW135" s="85" t="str">
        <f t="shared" si="441"/>
        <v>-</v>
      </c>
      <c r="AX135" s="85" t="str">
        <f>'Consumer Hardware Pricing'!AH143</f>
        <v>-</v>
      </c>
      <c r="AY135" s="85" t="str">
        <f t="shared" si="442"/>
        <v>-</v>
      </c>
      <c r="AZ135" s="85" t="str">
        <f>'Consumer Hardware Pricing'!AI143</f>
        <v>-</v>
      </c>
      <c r="BA135" s="85" t="str">
        <f t="shared" si="443"/>
        <v>-</v>
      </c>
      <c r="BB135" s="85" t="str">
        <f t="shared" si="444"/>
        <v>-</v>
      </c>
      <c r="BC135" s="85" t="str">
        <f t="shared" si="445"/>
        <v>-</v>
      </c>
      <c r="BD135" s="85">
        <f>'Consumer Hardware Pricing'!AL143</f>
        <v>0</v>
      </c>
      <c r="BE135" s="85">
        <f t="shared" si="446"/>
        <v>55.419999999999995</v>
      </c>
      <c r="BF135" s="85" t="str">
        <f>'Consumer Hardware Pricing'!AM143</f>
        <v>-</v>
      </c>
      <c r="BG135" s="85">
        <f t="shared" si="447"/>
        <v>55.419999999999995</v>
      </c>
      <c r="BH135" s="85" t="str">
        <f t="shared" si="448"/>
        <v>-</v>
      </c>
      <c r="BI135" s="85">
        <f t="shared" si="449"/>
        <v>1330.08</v>
      </c>
      <c r="BJ135" s="85" t="str">
        <f>'Consumer Hardware Pricing'!AP143</f>
        <v>-</v>
      </c>
      <c r="BK135" s="85" t="str">
        <f t="shared" si="450"/>
        <v>-</v>
      </c>
      <c r="BL135" s="85" t="str">
        <f>'Consumer Hardware Pricing'!AQ143</f>
        <v>-</v>
      </c>
      <c r="BM135" s="85" t="str">
        <f t="shared" si="451"/>
        <v>-</v>
      </c>
      <c r="BN135" s="85" t="str">
        <f t="shared" si="452"/>
        <v>-</v>
      </c>
      <c r="BO135" s="85" t="str">
        <f t="shared" si="453"/>
        <v>-</v>
      </c>
      <c r="BP135" s="85" t="str">
        <f>'Consumer Hardware Pricing'!AT143</f>
        <v>-</v>
      </c>
      <c r="BQ135" s="85" t="str">
        <f t="shared" si="454"/>
        <v>-</v>
      </c>
      <c r="BR135" s="85" t="str">
        <f>'Consumer Hardware Pricing'!AU143</f>
        <v>-</v>
      </c>
      <c r="BS135" s="85" t="str">
        <f t="shared" si="455"/>
        <v>-</v>
      </c>
      <c r="BT135" s="85" t="str">
        <f t="shared" si="456"/>
        <v>-</v>
      </c>
      <c r="BU135" s="85" t="str">
        <f t="shared" si="457"/>
        <v>-</v>
      </c>
    </row>
    <row r="136" spans="1:73" ht="30.15" customHeight="1" x14ac:dyDescent="0.25">
      <c r="A136" s="86" t="s">
        <v>35</v>
      </c>
      <c r="B136" s="88" t="s">
        <v>1273</v>
      </c>
      <c r="C136" s="88" t="s">
        <v>1280</v>
      </c>
      <c r="D136" s="85">
        <f>'Consumer Hardware Pricing'!L144</f>
        <v>1579</v>
      </c>
      <c r="E136" s="85">
        <f>'Consumer Hardware Pricing'!M144</f>
        <v>1579</v>
      </c>
      <c r="F136" s="85" t="str">
        <f>'Consumer Hardware Pricing'!N144</f>
        <v>-</v>
      </c>
      <c r="G136" s="85" t="str">
        <f t="shared" si="410"/>
        <v>-</v>
      </c>
      <c r="H136" s="85" t="str">
        <f>'Consumer Hardware Pricing'!O144</f>
        <v>-</v>
      </c>
      <c r="I136" s="85" t="str">
        <f t="shared" si="411"/>
        <v>-</v>
      </c>
      <c r="J136" s="85" t="str">
        <f t="shared" si="412"/>
        <v>-</v>
      </c>
      <c r="K136" s="85" t="str">
        <f t="shared" si="413"/>
        <v>-</v>
      </c>
      <c r="L136" s="85" t="str">
        <f>'Consumer Hardware Pricing'!Q144</f>
        <v>-</v>
      </c>
      <c r="M136" s="85" t="str">
        <f t="shared" si="414"/>
        <v>-</v>
      </c>
      <c r="N136" s="85" t="str">
        <f t="shared" si="415"/>
        <v>-</v>
      </c>
      <c r="O136" s="85" t="str">
        <f t="shared" si="416"/>
        <v>-</v>
      </c>
      <c r="P136" s="85" t="str">
        <f t="shared" si="417"/>
        <v>-</v>
      </c>
      <c r="Q136" s="85" t="str">
        <f>'Consumer Hardware Pricing'!S144</f>
        <v>-</v>
      </c>
      <c r="R136" s="85" t="str">
        <f t="shared" si="418"/>
        <v>-</v>
      </c>
      <c r="S136" s="85" t="str">
        <f>'Consumer Hardware Pricing'!T144</f>
        <v>-</v>
      </c>
      <c r="T136" s="129" t="str">
        <f t="shared" si="419"/>
        <v>-</v>
      </c>
      <c r="U136" s="129" t="str">
        <f t="shared" si="420"/>
        <v>-</v>
      </c>
      <c r="V136" s="85" t="str">
        <f t="shared" si="421"/>
        <v>-</v>
      </c>
      <c r="W136" s="129" t="str">
        <f>'Consumer Hardware Pricing'!V144</f>
        <v>-</v>
      </c>
      <c r="X136" s="129" t="str">
        <f t="shared" si="422"/>
        <v>-</v>
      </c>
      <c r="Y136" s="129" t="str">
        <f t="shared" si="423"/>
        <v>-</v>
      </c>
      <c r="Z136" s="129" t="str">
        <f t="shared" si="424"/>
        <v>-</v>
      </c>
      <c r="AA136" s="85" t="str">
        <f t="shared" si="425"/>
        <v>-</v>
      </c>
      <c r="AB136" s="85" t="str">
        <f>'Consumer Hardware Pricing'!X144</f>
        <v>-</v>
      </c>
      <c r="AC136" s="85" t="str">
        <f t="shared" si="426"/>
        <v>-</v>
      </c>
      <c r="AD136" s="85" t="str">
        <f>'Consumer Hardware Pricing'!Y144</f>
        <v>-</v>
      </c>
      <c r="AE136" s="85" t="str">
        <f t="shared" si="427"/>
        <v>-</v>
      </c>
      <c r="AF136" s="85" t="str">
        <f t="shared" si="428"/>
        <v>-</v>
      </c>
      <c r="AG136" s="85" t="str">
        <f t="shared" si="429"/>
        <v>-</v>
      </c>
      <c r="AH136" s="85" t="str">
        <f>'Consumer Hardware Pricing'!AA144</f>
        <v>-</v>
      </c>
      <c r="AI136" s="85" t="str">
        <f t="shared" si="430"/>
        <v>-</v>
      </c>
      <c r="AJ136" s="85" t="str">
        <f t="shared" si="431"/>
        <v>-</v>
      </c>
      <c r="AK136" s="85" t="str">
        <f t="shared" si="432"/>
        <v>-</v>
      </c>
      <c r="AL136" s="85" t="str">
        <f t="shared" si="433"/>
        <v>-</v>
      </c>
      <c r="AM136" s="85" t="str">
        <f>'Consumer Hardware Pricing'!AC144</f>
        <v>-</v>
      </c>
      <c r="AN136" s="85" t="str">
        <f t="shared" si="434"/>
        <v>-</v>
      </c>
      <c r="AO136" s="85" t="str">
        <f>'Consumer Hardware Pricing'!AD144</f>
        <v>-</v>
      </c>
      <c r="AP136" s="85" t="str">
        <f t="shared" si="435"/>
        <v>-</v>
      </c>
      <c r="AQ136" s="85" t="str">
        <f t="shared" si="436"/>
        <v>-</v>
      </c>
      <c r="AR136" s="85" t="str">
        <f t="shared" si="437"/>
        <v>-</v>
      </c>
      <c r="AS136" s="85" t="str">
        <f>'Consumer Hardware Pricing'!AF144</f>
        <v>-</v>
      </c>
      <c r="AT136" s="85" t="str">
        <f t="shared" si="438"/>
        <v>-</v>
      </c>
      <c r="AU136" s="85" t="str">
        <f t="shared" si="439"/>
        <v>-</v>
      </c>
      <c r="AV136" s="85" t="str">
        <f t="shared" si="440"/>
        <v>-</v>
      </c>
      <c r="AW136" s="85" t="str">
        <f t="shared" si="441"/>
        <v>-</v>
      </c>
      <c r="AX136" s="85" t="str">
        <f>'Consumer Hardware Pricing'!AH144</f>
        <v>-</v>
      </c>
      <c r="AY136" s="85" t="str">
        <f t="shared" si="442"/>
        <v>-</v>
      </c>
      <c r="AZ136" s="85" t="str">
        <f>'Consumer Hardware Pricing'!AI144</f>
        <v>-</v>
      </c>
      <c r="BA136" s="85" t="str">
        <f t="shared" si="443"/>
        <v>-</v>
      </c>
      <c r="BB136" s="85" t="str">
        <f t="shared" si="444"/>
        <v>-</v>
      </c>
      <c r="BC136" s="85" t="str">
        <f t="shared" si="445"/>
        <v>-</v>
      </c>
      <c r="BD136" s="85">
        <f>'Consumer Hardware Pricing'!AL144</f>
        <v>0</v>
      </c>
      <c r="BE136" s="85">
        <f t="shared" si="446"/>
        <v>65.800000000000011</v>
      </c>
      <c r="BF136" s="85" t="str">
        <f>'Consumer Hardware Pricing'!AM144</f>
        <v>-</v>
      </c>
      <c r="BG136" s="85">
        <f t="shared" si="447"/>
        <v>65.800000000000011</v>
      </c>
      <c r="BH136" s="85" t="str">
        <f t="shared" si="448"/>
        <v>-</v>
      </c>
      <c r="BI136" s="85">
        <f t="shared" si="449"/>
        <v>1579.2000000000003</v>
      </c>
      <c r="BJ136" s="85" t="str">
        <f>'Consumer Hardware Pricing'!AP144</f>
        <v>-</v>
      </c>
      <c r="BK136" s="85" t="str">
        <f t="shared" si="450"/>
        <v>-</v>
      </c>
      <c r="BL136" s="85" t="str">
        <f>'Consumer Hardware Pricing'!AQ144</f>
        <v>-</v>
      </c>
      <c r="BM136" s="85" t="str">
        <f t="shared" si="451"/>
        <v>-</v>
      </c>
      <c r="BN136" s="85" t="str">
        <f t="shared" si="452"/>
        <v>-</v>
      </c>
      <c r="BO136" s="85" t="str">
        <f t="shared" si="453"/>
        <v>-</v>
      </c>
      <c r="BP136" s="85" t="str">
        <f>'Consumer Hardware Pricing'!AT144</f>
        <v>-</v>
      </c>
      <c r="BQ136" s="85" t="str">
        <f t="shared" si="454"/>
        <v>-</v>
      </c>
      <c r="BR136" s="85" t="str">
        <f>'Consumer Hardware Pricing'!AU144</f>
        <v>-</v>
      </c>
      <c r="BS136" s="85" t="str">
        <f t="shared" si="455"/>
        <v>-</v>
      </c>
      <c r="BT136" s="85" t="str">
        <f t="shared" si="456"/>
        <v>-</v>
      </c>
      <c r="BU136" s="85" t="str">
        <f t="shared" si="457"/>
        <v>-</v>
      </c>
    </row>
    <row r="137" spans="1:73" ht="30.15" customHeight="1" x14ac:dyDescent="0.25">
      <c r="A137" s="86" t="s">
        <v>35</v>
      </c>
      <c r="B137" s="88" t="s">
        <v>1274</v>
      </c>
      <c r="C137" s="88" t="s">
        <v>1280</v>
      </c>
      <c r="D137" s="85">
        <f>'Consumer Hardware Pricing'!L145</f>
        <v>1579</v>
      </c>
      <c r="E137" s="85">
        <f>'Consumer Hardware Pricing'!M145</f>
        <v>1579</v>
      </c>
      <c r="F137" s="85" t="str">
        <f>'Consumer Hardware Pricing'!N145</f>
        <v>-</v>
      </c>
      <c r="G137" s="85" t="str">
        <f t="shared" si="410"/>
        <v>-</v>
      </c>
      <c r="H137" s="85" t="str">
        <f>'Consumer Hardware Pricing'!O145</f>
        <v>-</v>
      </c>
      <c r="I137" s="85" t="str">
        <f t="shared" si="411"/>
        <v>-</v>
      </c>
      <c r="J137" s="85" t="str">
        <f t="shared" si="412"/>
        <v>-</v>
      </c>
      <c r="K137" s="85" t="str">
        <f t="shared" si="413"/>
        <v>-</v>
      </c>
      <c r="L137" s="85" t="str">
        <f>'Consumer Hardware Pricing'!Q145</f>
        <v>-</v>
      </c>
      <c r="M137" s="85" t="str">
        <f t="shared" si="414"/>
        <v>-</v>
      </c>
      <c r="N137" s="85" t="str">
        <f t="shared" si="415"/>
        <v>-</v>
      </c>
      <c r="O137" s="85" t="str">
        <f t="shared" si="416"/>
        <v>-</v>
      </c>
      <c r="P137" s="85" t="str">
        <f t="shared" si="417"/>
        <v>-</v>
      </c>
      <c r="Q137" s="85" t="str">
        <f>'Consumer Hardware Pricing'!S145</f>
        <v>-</v>
      </c>
      <c r="R137" s="85" t="str">
        <f t="shared" si="418"/>
        <v>-</v>
      </c>
      <c r="S137" s="85" t="str">
        <f>'Consumer Hardware Pricing'!T145</f>
        <v>-</v>
      </c>
      <c r="T137" s="129" t="str">
        <f t="shared" si="419"/>
        <v>-</v>
      </c>
      <c r="U137" s="129" t="str">
        <f t="shared" si="420"/>
        <v>-</v>
      </c>
      <c r="V137" s="85" t="str">
        <f t="shared" si="421"/>
        <v>-</v>
      </c>
      <c r="W137" s="129" t="str">
        <f>'Consumer Hardware Pricing'!V145</f>
        <v>-</v>
      </c>
      <c r="X137" s="129" t="str">
        <f t="shared" si="422"/>
        <v>-</v>
      </c>
      <c r="Y137" s="129" t="str">
        <f t="shared" si="423"/>
        <v>-</v>
      </c>
      <c r="Z137" s="129" t="str">
        <f t="shared" si="424"/>
        <v>-</v>
      </c>
      <c r="AA137" s="85" t="str">
        <f t="shared" si="425"/>
        <v>-</v>
      </c>
      <c r="AB137" s="85" t="str">
        <f>'Consumer Hardware Pricing'!X145</f>
        <v>-</v>
      </c>
      <c r="AC137" s="85" t="str">
        <f t="shared" si="426"/>
        <v>-</v>
      </c>
      <c r="AD137" s="85" t="str">
        <f>'Consumer Hardware Pricing'!Y145</f>
        <v>-</v>
      </c>
      <c r="AE137" s="85" t="str">
        <f t="shared" si="427"/>
        <v>-</v>
      </c>
      <c r="AF137" s="85" t="str">
        <f t="shared" si="428"/>
        <v>-</v>
      </c>
      <c r="AG137" s="85" t="str">
        <f t="shared" si="429"/>
        <v>-</v>
      </c>
      <c r="AH137" s="85" t="str">
        <f>'Consumer Hardware Pricing'!AA145</f>
        <v>-</v>
      </c>
      <c r="AI137" s="85" t="str">
        <f t="shared" si="430"/>
        <v>-</v>
      </c>
      <c r="AJ137" s="85" t="str">
        <f t="shared" si="431"/>
        <v>-</v>
      </c>
      <c r="AK137" s="85" t="str">
        <f t="shared" si="432"/>
        <v>-</v>
      </c>
      <c r="AL137" s="85" t="str">
        <f t="shared" si="433"/>
        <v>-</v>
      </c>
      <c r="AM137" s="85" t="str">
        <f>'Consumer Hardware Pricing'!AC145</f>
        <v>-</v>
      </c>
      <c r="AN137" s="85" t="str">
        <f t="shared" si="434"/>
        <v>-</v>
      </c>
      <c r="AO137" s="85" t="str">
        <f>'Consumer Hardware Pricing'!AD145</f>
        <v>-</v>
      </c>
      <c r="AP137" s="85" t="str">
        <f t="shared" si="435"/>
        <v>-</v>
      </c>
      <c r="AQ137" s="85" t="str">
        <f t="shared" si="436"/>
        <v>-</v>
      </c>
      <c r="AR137" s="85" t="str">
        <f t="shared" si="437"/>
        <v>-</v>
      </c>
      <c r="AS137" s="85" t="str">
        <f>'Consumer Hardware Pricing'!AF145</f>
        <v>-</v>
      </c>
      <c r="AT137" s="85" t="str">
        <f t="shared" si="438"/>
        <v>-</v>
      </c>
      <c r="AU137" s="85" t="str">
        <f t="shared" si="439"/>
        <v>-</v>
      </c>
      <c r="AV137" s="85" t="str">
        <f t="shared" si="440"/>
        <v>-</v>
      </c>
      <c r="AW137" s="85" t="str">
        <f t="shared" si="441"/>
        <v>-</v>
      </c>
      <c r="AX137" s="85" t="str">
        <f>'Consumer Hardware Pricing'!AH145</f>
        <v>-</v>
      </c>
      <c r="AY137" s="85" t="str">
        <f t="shared" si="442"/>
        <v>-</v>
      </c>
      <c r="AZ137" s="85" t="str">
        <f>'Consumer Hardware Pricing'!AI145</f>
        <v>-</v>
      </c>
      <c r="BA137" s="85" t="str">
        <f t="shared" si="443"/>
        <v>-</v>
      </c>
      <c r="BB137" s="85" t="str">
        <f t="shared" si="444"/>
        <v>-</v>
      </c>
      <c r="BC137" s="85" t="str">
        <f t="shared" si="445"/>
        <v>-</v>
      </c>
      <c r="BD137" s="85">
        <f>'Consumer Hardware Pricing'!AL145</f>
        <v>0</v>
      </c>
      <c r="BE137" s="85">
        <f t="shared" si="446"/>
        <v>65.800000000000011</v>
      </c>
      <c r="BF137" s="85" t="str">
        <f>'Consumer Hardware Pricing'!AM145</f>
        <v>-</v>
      </c>
      <c r="BG137" s="85">
        <f t="shared" si="447"/>
        <v>65.800000000000011</v>
      </c>
      <c r="BH137" s="85" t="str">
        <f t="shared" si="448"/>
        <v>-</v>
      </c>
      <c r="BI137" s="85">
        <f t="shared" si="449"/>
        <v>1579.2000000000003</v>
      </c>
      <c r="BJ137" s="85" t="str">
        <f>'Consumer Hardware Pricing'!AP145</f>
        <v>-</v>
      </c>
      <c r="BK137" s="85" t="str">
        <f t="shared" si="450"/>
        <v>-</v>
      </c>
      <c r="BL137" s="85" t="str">
        <f>'Consumer Hardware Pricing'!AQ145</f>
        <v>-</v>
      </c>
      <c r="BM137" s="85" t="str">
        <f t="shared" si="451"/>
        <v>-</v>
      </c>
      <c r="BN137" s="85" t="str">
        <f t="shared" si="452"/>
        <v>-</v>
      </c>
      <c r="BO137" s="85" t="str">
        <f t="shared" si="453"/>
        <v>-</v>
      </c>
      <c r="BP137" s="85" t="str">
        <f>'Consumer Hardware Pricing'!AT145</f>
        <v>-</v>
      </c>
      <c r="BQ137" s="85" t="str">
        <f t="shared" si="454"/>
        <v>-</v>
      </c>
      <c r="BR137" s="85" t="str">
        <f>'Consumer Hardware Pricing'!AU145</f>
        <v>-</v>
      </c>
      <c r="BS137" s="85" t="str">
        <f t="shared" si="455"/>
        <v>-</v>
      </c>
      <c r="BT137" s="85" t="str">
        <f t="shared" si="456"/>
        <v>-</v>
      </c>
      <c r="BU137" s="85" t="str">
        <f t="shared" si="457"/>
        <v>-</v>
      </c>
    </row>
    <row r="138" spans="1:73" ht="30.15" customHeight="1" x14ac:dyDescent="0.25">
      <c r="A138" s="86" t="s">
        <v>35</v>
      </c>
      <c r="B138" s="88" t="s">
        <v>1275</v>
      </c>
      <c r="C138" s="88" t="s">
        <v>1281</v>
      </c>
      <c r="D138" s="85">
        <f>'Consumer Hardware Pricing'!L146</f>
        <v>2079</v>
      </c>
      <c r="E138" s="85">
        <f>'Consumer Hardware Pricing'!M146</f>
        <v>2079</v>
      </c>
      <c r="F138" s="85" t="str">
        <f>'Consumer Hardware Pricing'!N146</f>
        <v>-</v>
      </c>
      <c r="G138" s="85" t="str">
        <f t="shared" si="410"/>
        <v>-</v>
      </c>
      <c r="H138" s="85" t="str">
        <f>'Consumer Hardware Pricing'!O146</f>
        <v>-</v>
      </c>
      <c r="I138" s="85" t="str">
        <f t="shared" si="411"/>
        <v>-</v>
      </c>
      <c r="J138" s="85" t="str">
        <f t="shared" si="412"/>
        <v>-</v>
      </c>
      <c r="K138" s="85" t="str">
        <f t="shared" si="413"/>
        <v>-</v>
      </c>
      <c r="L138" s="85" t="str">
        <f>'Consumer Hardware Pricing'!Q146</f>
        <v>-</v>
      </c>
      <c r="M138" s="85" t="str">
        <f t="shared" si="414"/>
        <v>-</v>
      </c>
      <c r="N138" s="85" t="str">
        <f t="shared" si="415"/>
        <v>-</v>
      </c>
      <c r="O138" s="85" t="str">
        <f t="shared" si="416"/>
        <v>-</v>
      </c>
      <c r="P138" s="85" t="str">
        <f t="shared" si="417"/>
        <v>-</v>
      </c>
      <c r="Q138" s="85" t="str">
        <f>'Consumer Hardware Pricing'!S146</f>
        <v>-</v>
      </c>
      <c r="R138" s="85" t="str">
        <f t="shared" si="418"/>
        <v>-</v>
      </c>
      <c r="S138" s="85" t="str">
        <f>'Consumer Hardware Pricing'!T146</f>
        <v>-</v>
      </c>
      <c r="T138" s="129" t="str">
        <f t="shared" si="419"/>
        <v>-</v>
      </c>
      <c r="U138" s="129" t="str">
        <f t="shared" si="420"/>
        <v>-</v>
      </c>
      <c r="V138" s="85" t="str">
        <f t="shared" si="421"/>
        <v>-</v>
      </c>
      <c r="W138" s="129" t="str">
        <f>'Consumer Hardware Pricing'!V146</f>
        <v>-</v>
      </c>
      <c r="X138" s="129" t="str">
        <f t="shared" si="422"/>
        <v>-</v>
      </c>
      <c r="Y138" s="129" t="str">
        <f t="shared" si="423"/>
        <v>-</v>
      </c>
      <c r="Z138" s="129" t="str">
        <f t="shared" si="424"/>
        <v>-</v>
      </c>
      <c r="AA138" s="85" t="str">
        <f t="shared" si="425"/>
        <v>-</v>
      </c>
      <c r="AB138" s="85" t="str">
        <f>'Consumer Hardware Pricing'!X146</f>
        <v>-</v>
      </c>
      <c r="AC138" s="85" t="str">
        <f t="shared" si="426"/>
        <v>-</v>
      </c>
      <c r="AD138" s="85" t="str">
        <f>'Consumer Hardware Pricing'!Y146</f>
        <v>-</v>
      </c>
      <c r="AE138" s="85" t="str">
        <f t="shared" si="427"/>
        <v>-</v>
      </c>
      <c r="AF138" s="85" t="str">
        <f t="shared" si="428"/>
        <v>-</v>
      </c>
      <c r="AG138" s="85" t="str">
        <f t="shared" si="429"/>
        <v>-</v>
      </c>
      <c r="AH138" s="85" t="str">
        <f>'Consumer Hardware Pricing'!AA146</f>
        <v>-</v>
      </c>
      <c r="AI138" s="85" t="str">
        <f t="shared" si="430"/>
        <v>-</v>
      </c>
      <c r="AJ138" s="85" t="str">
        <f t="shared" si="431"/>
        <v>-</v>
      </c>
      <c r="AK138" s="85" t="str">
        <f t="shared" si="432"/>
        <v>-</v>
      </c>
      <c r="AL138" s="85" t="str">
        <f t="shared" si="433"/>
        <v>-</v>
      </c>
      <c r="AM138" s="85" t="str">
        <f>'Consumer Hardware Pricing'!AC146</f>
        <v>-</v>
      </c>
      <c r="AN138" s="85" t="str">
        <f t="shared" si="434"/>
        <v>-</v>
      </c>
      <c r="AO138" s="85" t="str">
        <f>'Consumer Hardware Pricing'!AD146</f>
        <v>-</v>
      </c>
      <c r="AP138" s="85" t="str">
        <f t="shared" si="435"/>
        <v>-</v>
      </c>
      <c r="AQ138" s="85" t="str">
        <f t="shared" si="436"/>
        <v>-</v>
      </c>
      <c r="AR138" s="85" t="str">
        <f t="shared" si="437"/>
        <v>-</v>
      </c>
      <c r="AS138" s="85" t="str">
        <f>'Consumer Hardware Pricing'!AF146</f>
        <v>-</v>
      </c>
      <c r="AT138" s="85" t="str">
        <f t="shared" si="438"/>
        <v>-</v>
      </c>
      <c r="AU138" s="85" t="str">
        <f t="shared" si="439"/>
        <v>-</v>
      </c>
      <c r="AV138" s="85" t="str">
        <f t="shared" si="440"/>
        <v>-</v>
      </c>
      <c r="AW138" s="85" t="str">
        <f t="shared" si="441"/>
        <v>-</v>
      </c>
      <c r="AX138" s="85" t="str">
        <f>'Consumer Hardware Pricing'!AH146</f>
        <v>-</v>
      </c>
      <c r="AY138" s="85" t="str">
        <f t="shared" si="442"/>
        <v>-</v>
      </c>
      <c r="AZ138" s="85" t="str">
        <f>'Consumer Hardware Pricing'!AI146</f>
        <v>-</v>
      </c>
      <c r="BA138" s="85" t="str">
        <f t="shared" si="443"/>
        <v>-</v>
      </c>
      <c r="BB138" s="85" t="str">
        <f t="shared" si="444"/>
        <v>-</v>
      </c>
      <c r="BC138" s="85" t="str">
        <f t="shared" si="445"/>
        <v>-</v>
      </c>
      <c r="BD138" s="85">
        <f>'Consumer Hardware Pricing'!AL146</f>
        <v>0</v>
      </c>
      <c r="BE138" s="85">
        <f t="shared" si="446"/>
        <v>86.63000000000001</v>
      </c>
      <c r="BF138" s="85" t="str">
        <f>'Consumer Hardware Pricing'!AM146</f>
        <v>-</v>
      </c>
      <c r="BG138" s="85">
        <f t="shared" si="447"/>
        <v>86.63000000000001</v>
      </c>
      <c r="BH138" s="85" t="str">
        <f t="shared" si="448"/>
        <v>-</v>
      </c>
      <c r="BI138" s="85">
        <f t="shared" si="449"/>
        <v>2079.1200000000003</v>
      </c>
      <c r="BJ138" s="85" t="str">
        <f>'Consumer Hardware Pricing'!AP146</f>
        <v>-</v>
      </c>
      <c r="BK138" s="85" t="str">
        <f t="shared" si="450"/>
        <v>-</v>
      </c>
      <c r="BL138" s="85" t="str">
        <f>'Consumer Hardware Pricing'!AQ146</f>
        <v>-</v>
      </c>
      <c r="BM138" s="85" t="str">
        <f t="shared" si="451"/>
        <v>-</v>
      </c>
      <c r="BN138" s="85" t="str">
        <f t="shared" si="452"/>
        <v>-</v>
      </c>
      <c r="BO138" s="85" t="str">
        <f t="shared" si="453"/>
        <v>-</v>
      </c>
      <c r="BP138" s="85" t="str">
        <f>'Consumer Hardware Pricing'!AT146</f>
        <v>-</v>
      </c>
      <c r="BQ138" s="85" t="str">
        <f t="shared" si="454"/>
        <v>-</v>
      </c>
      <c r="BR138" s="85" t="str">
        <f>'Consumer Hardware Pricing'!AU146</f>
        <v>-</v>
      </c>
      <c r="BS138" s="85" t="str">
        <f t="shared" si="455"/>
        <v>-</v>
      </c>
      <c r="BT138" s="85" t="str">
        <f t="shared" si="456"/>
        <v>-</v>
      </c>
      <c r="BU138" s="85" t="str">
        <f t="shared" si="457"/>
        <v>-</v>
      </c>
    </row>
    <row r="139" spans="1:73" ht="30.15" customHeight="1" x14ac:dyDescent="0.25">
      <c r="A139" s="86" t="s">
        <v>35</v>
      </c>
      <c r="B139" s="88" t="s">
        <v>1276</v>
      </c>
      <c r="C139" s="88" t="s">
        <v>1281</v>
      </c>
      <c r="D139" s="85">
        <f>'Consumer Hardware Pricing'!L147</f>
        <v>2079</v>
      </c>
      <c r="E139" s="85">
        <f>'Consumer Hardware Pricing'!M147</f>
        <v>2079</v>
      </c>
      <c r="F139" s="85" t="str">
        <f>'Consumer Hardware Pricing'!N147</f>
        <v>-</v>
      </c>
      <c r="G139" s="85" t="str">
        <f t="shared" si="410"/>
        <v>-</v>
      </c>
      <c r="H139" s="85" t="str">
        <f>'Consumer Hardware Pricing'!O147</f>
        <v>-</v>
      </c>
      <c r="I139" s="85" t="str">
        <f t="shared" si="411"/>
        <v>-</v>
      </c>
      <c r="J139" s="85" t="str">
        <f t="shared" si="412"/>
        <v>-</v>
      </c>
      <c r="K139" s="85" t="str">
        <f t="shared" si="413"/>
        <v>-</v>
      </c>
      <c r="L139" s="85" t="str">
        <f>'Consumer Hardware Pricing'!Q147</f>
        <v>-</v>
      </c>
      <c r="M139" s="85" t="str">
        <f t="shared" si="414"/>
        <v>-</v>
      </c>
      <c r="N139" s="85" t="str">
        <f t="shared" si="415"/>
        <v>-</v>
      </c>
      <c r="O139" s="85" t="str">
        <f t="shared" si="416"/>
        <v>-</v>
      </c>
      <c r="P139" s="85" t="str">
        <f t="shared" si="417"/>
        <v>-</v>
      </c>
      <c r="Q139" s="85" t="str">
        <f>'Consumer Hardware Pricing'!S147</f>
        <v>-</v>
      </c>
      <c r="R139" s="85" t="str">
        <f t="shared" si="418"/>
        <v>-</v>
      </c>
      <c r="S139" s="85" t="str">
        <f>'Consumer Hardware Pricing'!T147</f>
        <v>-</v>
      </c>
      <c r="T139" s="129" t="str">
        <f t="shared" si="419"/>
        <v>-</v>
      </c>
      <c r="U139" s="129" t="str">
        <f t="shared" si="420"/>
        <v>-</v>
      </c>
      <c r="V139" s="85" t="str">
        <f t="shared" si="421"/>
        <v>-</v>
      </c>
      <c r="W139" s="129" t="str">
        <f>'Consumer Hardware Pricing'!V147</f>
        <v>-</v>
      </c>
      <c r="X139" s="129" t="str">
        <f t="shared" si="422"/>
        <v>-</v>
      </c>
      <c r="Y139" s="129" t="str">
        <f t="shared" si="423"/>
        <v>-</v>
      </c>
      <c r="Z139" s="129" t="str">
        <f t="shared" si="424"/>
        <v>-</v>
      </c>
      <c r="AA139" s="85" t="str">
        <f t="shared" si="425"/>
        <v>-</v>
      </c>
      <c r="AB139" s="85" t="str">
        <f>'Consumer Hardware Pricing'!X147</f>
        <v>-</v>
      </c>
      <c r="AC139" s="85" t="str">
        <f t="shared" si="426"/>
        <v>-</v>
      </c>
      <c r="AD139" s="85" t="str">
        <f>'Consumer Hardware Pricing'!Y147</f>
        <v>-</v>
      </c>
      <c r="AE139" s="85" t="str">
        <f t="shared" si="427"/>
        <v>-</v>
      </c>
      <c r="AF139" s="85" t="str">
        <f t="shared" si="428"/>
        <v>-</v>
      </c>
      <c r="AG139" s="85" t="str">
        <f t="shared" si="429"/>
        <v>-</v>
      </c>
      <c r="AH139" s="85" t="str">
        <f>'Consumer Hardware Pricing'!AA147</f>
        <v>-</v>
      </c>
      <c r="AI139" s="85" t="str">
        <f t="shared" si="430"/>
        <v>-</v>
      </c>
      <c r="AJ139" s="85" t="str">
        <f t="shared" si="431"/>
        <v>-</v>
      </c>
      <c r="AK139" s="85" t="str">
        <f t="shared" si="432"/>
        <v>-</v>
      </c>
      <c r="AL139" s="85" t="str">
        <f t="shared" si="433"/>
        <v>-</v>
      </c>
      <c r="AM139" s="85" t="str">
        <f>'Consumer Hardware Pricing'!AC147</f>
        <v>-</v>
      </c>
      <c r="AN139" s="85" t="str">
        <f t="shared" si="434"/>
        <v>-</v>
      </c>
      <c r="AO139" s="85" t="str">
        <f>'Consumer Hardware Pricing'!AD147</f>
        <v>-</v>
      </c>
      <c r="AP139" s="85" t="str">
        <f t="shared" si="435"/>
        <v>-</v>
      </c>
      <c r="AQ139" s="85" t="str">
        <f t="shared" si="436"/>
        <v>-</v>
      </c>
      <c r="AR139" s="85" t="str">
        <f t="shared" si="437"/>
        <v>-</v>
      </c>
      <c r="AS139" s="85" t="str">
        <f>'Consumer Hardware Pricing'!AF147</f>
        <v>-</v>
      </c>
      <c r="AT139" s="85" t="str">
        <f t="shared" si="438"/>
        <v>-</v>
      </c>
      <c r="AU139" s="85" t="str">
        <f t="shared" si="439"/>
        <v>-</v>
      </c>
      <c r="AV139" s="85" t="str">
        <f t="shared" si="440"/>
        <v>-</v>
      </c>
      <c r="AW139" s="85" t="str">
        <f t="shared" si="441"/>
        <v>-</v>
      </c>
      <c r="AX139" s="85" t="str">
        <f>'Consumer Hardware Pricing'!AH147</f>
        <v>-</v>
      </c>
      <c r="AY139" s="85" t="str">
        <f t="shared" si="442"/>
        <v>-</v>
      </c>
      <c r="AZ139" s="85" t="str">
        <f>'Consumer Hardware Pricing'!AI147</f>
        <v>-</v>
      </c>
      <c r="BA139" s="85" t="str">
        <f t="shared" si="443"/>
        <v>-</v>
      </c>
      <c r="BB139" s="85" t="str">
        <f t="shared" si="444"/>
        <v>-</v>
      </c>
      <c r="BC139" s="85" t="str">
        <f t="shared" si="445"/>
        <v>-</v>
      </c>
      <c r="BD139" s="85">
        <f>'Consumer Hardware Pricing'!AL147</f>
        <v>0</v>
      </c>
      <c r="BE139" s="85">
        <f t="shared" si="446"/>
        <v>86.63000000000001</v>
      </c>
      <c r="BF139" s="85" t="str">
        <f>'Consumer Hardware Pricing'!AM147</f>
        <v>-</v>
      </c>
      <c r="BG139" s="85">
        <f t="shared" si="447"/>
        <v>86.63000000000001</v>
      </c>
      <c r="BH139" s="85" t="str">
        <f t="shared" si="448"/>
        <v>-</v>
      </c>
      <c r="BI139" s="85">
        <f t="shared" si="449"/>
        <v>2079.1200000000003</v>
      </c>
      <c r="BJ139" s="85" t="str">
        <f>'Consumer Hardware Pricing'!AP147</f>
        <v>-</v>
      </c>
      <c r="BK139" s="85" t="str">
        <f t="shared" si="450"/>
        <v>-</v>
      </c>
      <c r="BL139" s="85" t="str">
        <f>'Consumer Hardware Pricing'!AQ147</f>
        <v>-</v>
      </c>
      <c r="BM139" s="85" t="str">
        <f t="shared" si="451"/>
        <v>-</v>
      </c>
      <c r="BN139" s="85" t="str">
        <f t="shared" si="452"/>
        <v>-</v>
      </c>
      <c r="BO139" s="85" t="str">
        <f t="shared" si="453"/>
        <v>-</v>
      </c>
      <c r="BP139" s="85" t="str">
        <f>'Consumer Hardware Pricing'!AT147</f>
        <v>-</v>
      </c>
      <c r="BQ139" s="85" t="str">
        <f t="shared" si="454"/>
        <v>-</v>
      </c>
      <c r="BR139" s="85" t="str">
        <f>'Consumer Hardware Pricing'!AU147</f>
        <v>-</v>
      </c>
      <c r="BS139" s="85" t="str">
        <f t="shared" si="455"/>
        <v>-</v>
      </c>
      <c r="BT139" s="85" t="str">
        <f t="shared" si="456"/>
        <v>-</v>
      </c>
      <c r="BU139" s="85" t="str">
        <f t="shared" si="457"/>
        <v>-</v>
      </c>
    </row>
    <row r="140" spans="1:73" ht="30.15" customHeight="1" x14ac:dyDescent="0.25">
      <c r="A140" s="86" t="s">
        <v>35</v>
      </c>
      <c r="B140" s="88" t="s">
        <v>1277</v>
      </c>
      <c r="C140" s="88" t="s">
        <v>1282</v>
      </c>
      <c r="D140" s="85">
        <f>'Consumer Hardware Pricing'!L148</f>
        <v>2580</v>
      </c>
      <c r="E140" s="85">
        <f>'Consumer Hardware Pricing'!M148</f>
        <v>2580</v>
      </c>
      <c r="F140" s="85" t="str">
        <f>'Consumer Hardware Pricing'!N148</f>
        <v>-</v>
      </c>
      <c r="G140" s="85" t="str">
        <f t="shared" si="410"/>
        <v>-</v>
      </c>
      <c r="H140" s="85" t="str">
        <f>'Consumer Hardware Pricing'!O148</f>
        <v>-</v>
      </c>
      <c r="I140" s="85" t="str">
        <f t="shared" si="411"/>
        <v>-</v>
      </c>
      <c r="J140" s="85" t="str">
        <f t="shared" si="412"/>
        <v>-</v>
      </c>
      <c r="K140" s="85" t="str">
        <f t="shared" si="413"/>
        <v>-</v>
      </c>
      <c r="L140" s="85" t="str">
        <f>'Consumer Hardware Pricing'!Q148</f>
        <v>-</v>
      </c>
      <c r="M140" s="85" t="str">
        <f t="shared" si="414"/>
        <v>-</v>
      </c>
      <c r="N140" s="85" t="str">
        <f t="shared" si="415"/>
        <v>-</v>
      </c>
      <c r="O140" s="85" t="str">
        <f t="shared" si="416"/>
        <v>-</v>
      </c>
      <c r="P140" s="85" t="str">
        <f t="shared" si="417"/>
        <v>-</v>
      </c>
      <c r="Q140" s="85" t="str">
        <f>'Consumer Hardware Pricing'!S148</f>
        <v>-</v>
      </c>
      <c r="R140" s="85" t="str">
        <f t="shared" si="418"/>
        <v>-</v>
      </c>
      <c r="S140" s="85" t="str">
        <f>'Consumer Hardware Pricing'!T148</f>
        <v>-</v>
      </c>
      <c r="T140" s="129" t="str">
        <f t="shared" si="419"/>
        <v>-</v>
      </c>
      <c r="U140" s="129" t="str">
        <f t="shared" si="420"/>
        <v>-</v>
      </c>
      <c r="V140" s="85" t="str">
        <f t="shared" si="421"/>
        <v>-</v>
      </c>
      <c r="W140" s="129" t="str">
        <f>'Consumer Hardware Pricing'!V148</f>
        <v>-</v>
      </c>
      <c r="X140" s="129" t="str">
        <f t="shared" si="422"/>
        <v>-</v>
      </c>
      <c r="Y140" s="129" t="str">
        <f t="shared" si="423"/>
        <v>-</v>
      </c>
      <c r="Z140" s="129" t="str">
        <f t="shared" si="424"/>
        <v>-</v>
      </c>
      <c r="AA140" s="85" t="str">
        <f t="shared" si="425"/>
        <v>-</v>
      </c>
      <c r="AB140" s="85" t="str">
        <f>'Consumer Hardware Pricing'!X148</f>
        <v>-</v>
      </c>
      <c r="AC140" s="85" t="str">
        <f t="shared" si="426"/>
        <v>-</v>
      </c>
      <c r="AD140" s="85" t="str">
        <f>'Consumer Hardware Pricing'!Y148</f>
        <v>-</v>
      </c>
      <c r="AE140" s="85" t="str">
        <f t="shared" si="427"/>
        <v>-</v>
      </c>
      <c r="AF140" s="85" t="str">
        <f t="shared" si="428"/>
        <v>-</v>
      </c>
      <c r="AG140" s="85" t="str">
        <f t="shared" si="429"/>
        <v>-</v>
      </c>
      <c r="AH140" s="85" t="str">
        <f>'Consumer Hardware Pricing'!AA148</f>
        <v>-</v>
      </c>
      <c r="AI140" s="85" t="str">
        <f t="shared" si="430"/>
        <v>-</v>
      </c>
      <c r="AJ140" s="85" t="str">
        <f t="shared" si="431"/>
        <v>-</v>
      </c>
      <c r="AK140" s="85" t="str">
        <f t="shared" si="432"/>
        <v>-</v>
      </c>
      <c r="AL140" s="85" t="str">
        <f t="shared" si="433"/>
        <v>-</v>
      </c>
      <c r="AM140" s="85" t="str">
        <f>'Consumer Hardware Pricing'!AC148</f>
        <v>-</v>
      </c>
      <c r="AN140" s="85" t="str">
        <f t="shared" si="434"/>
        <v>-</v>
      </c>
      <c r="AO140" s="85" t="str">
        <f>'Consumer Hardware Pricing'!AD148</f>
        <v>-</v>
      </c>
      <c r="AP140" s="85" t="str">
        <f t="shared" si="435"/>
        <v>-</v>
      </c>
      <c r="AQ140" s="85" t="str">
        <f t="shared" si="436"/>
        <v>-</v>
      </c>
      <c r="AR140" s="85" t="str">
        <f t="shared" si="437"/>
        <v>-</v>
      </c>
      <c r="AS140" s="85" t="str">
        <f>'Consumer Hardware Pricing'!AF148</f>
        <v>-</v>
      </c>
      <c r="AT140" s="85" t="str">
        <f t="shared" si="438"/>
        <v>-</v>
      </c>
      <c r="AU140" s="85" t="str">
        <f t="shared" si="439"/>
        <v>-</v>
      </c>
      <c r="AV140" s="85" t="str">
        <f t="shared" si="440"/>
        <v>-</v>
      </c>
      <c r="AW140" s="85" t="str">
        <f t="shared" si="441"/>
        <v>-</v>
      </c>
      <c r="AX140" s="85" t="str">
        <f>'Consumer Hardware Pricing'!AH148</f>
        <v>-</v>
      </c>
      <c r="AY140" s="85" t="str">
        <f t="shared" si="442"/>
        <v>-</v>
      </c>
      <c r="AZ140" s="85" t="str">
        <f>'Consumer Hardware Pricing'!AI148</f>
        <v>-</v>
      </c>
      <c r="BA140" s="85" t="str">
        <f t="shared" si="443"/>
        <v>-</v>
      </c>
      <c r="BB140" s="85" t="str">
        <f t="shared" si="444"/>
        <v>-</v>
      </c>
      <c r="BC140" s="85" t="str">
        <f t="shared" si="445"/>
        <v>-</v>
      </c>
      <c r="BD140" s="85">
        <f>'Consumer Hardware Pricing'!AL148</f>
        <v>0</v>
      </c>
      <c r="BE140" s="85">
        <f t="shared" si="446"/>
        <v>107.5</v>
      </c>
      <c r="BF140" s="85" t="str">
        <f>'Consumer Hardware Pricing'!AM148</f>
        <v>-</v>
      </c>
      <c r="BG140" s="85">
        <f t="shared" si="447"/>
        <v>107.5</v>
      </c>
      <c r="BH140" s="85" t="str">
        <f t="shared" si="448"/>
        <v>-</v>
      </c>
      <c r="BI140" s="85">
        <f t="shared" si="449"/>
        <v>2580</v>
      </c>
      <c r="BJ140" s="85" t="str">
        <f>'Consumer Hardware Pricing'!AP148</f>
        <v>-</v>
      </c>
      <c r="BK140" s="85" t="str">
        <f t="shared" si="450"/>
        <v>-</v>
      </c>
      <c r="BL140" s="85" t="str">
        <f>'Consumer Hardware Pricing'!AQ148</f>
        <v>-</v>
      </c>
      <c r="BM140" s="85" t="str">
        <f t="shared" si="451"/>
        <v>-</v>
      </c>
      <c r="BN140" s="85" t="str">
        <f t="shared" si="452"/>
        <v>-</v>
      </c>
      <c r="BO140" s="85" t="str">
        <f t="shared" si="453"/>
        <v>-</v>
      </c>
      <c r="BP140" s="85" t="str">
        <f>'Consumer Hardware Pricing'!AT148</f>
        <v>-</v>
      </c>
      <c r="BQ140" s="85" t="str">
        <f t="shared" si="454"/>
        <v>-</v>
      </c>
      <c r="BR140" s="85" t="str">
        <f>'Consumer Hardware Pricing'!AU148</f>
        <v>-</v>
      </c>
      <c r="BS140" s="85" t="str">
        <f t="shared" si="455"/>
        <v>-</v>
      </c>
      <c r="BT140" s="85" t="str">
        <f t="shared" si="456"/>
        <v>-</v>
      </c>
      <c r="BU140" s="85" t="str">
        <f t="shared" si="457"/>
        <v>-</v>
      </c>
    </row>
    <row r="141" spans="1:73" ht="30.15" customHeight="1" x14ac:dyDescent="0.25">
      <c r="A141" s="86" t="s">
        <v>35</v>
      </c>
      <c r="B141" s="88" t="s">
        <v>1278</v>
      </c>
      <c r="C141" s="88" t="s">
        <v>1282</v>
      </c>
      <c r="D141" s="85">
        <f>'Consumer Hardware Pricing'!L149</f>
        <v>2580</v>
      </c>
      <c r="E141" s="85">
        <f>'Consumer Hardware Pricing'!M149</f>
        <v>2580</v>
      </c>
      <c r="F141" s="85" t="str">
        <f>'Consumer Hardware Pricing'!N149</f>
        <v>-</v>
      </c>
      <c r="G141" s="85" t="str">
        <f t="shared" si="410"/>
        <v>-</v>
      </c>
      <c r="H141" s="85" t="str">
        <f>'Consumer Hardware Pricing'!O149</f>
        <v>-</v>
      </c>
      <c r="I141" s="85" t="str">
        <f t="shared" si="411"/>
        <v>-</v>
      </c>
      <c r="J141" s="85" t="str">
        <f t="shared" si="412"/>
        <v>-</v>
      </c>
      <c r="K141" s="85" t="str">
        <f t="shared" si="413"/>
        <v>-</v>
      </c>
      <c r="L141" s="85" t="str">
        <f>'Consumer Hardware Pricing'!Q149</f>
        <v>-</v>
      </c>
      <c r="M141" s="85" t="str">
        <f t="shared" si="414"/>
        <v>-</v>
      </c>
      <c r="N141" s="85" t="str">
        <f t="shared" si="415"/>
        <v>-</v>
      </c>
      <c r="O141" s="85" t="str">
        <f t="shared" si="416"/>
        <v>-</v>
      </c>
      <c r="P141" s="85" t="str">
        <f t="shared" si="417"/>
        <v>-</v>
      </c>
      <c r="Q141" s="85" t="str">
        <f>'Consumer Hardware Pricing'!S149</f>
        <v>-</v>
      </c>
      <c r="R141" s="85" t="str">
        <f t="shared" si="418"/>
        <v>-</v>
      </c>
      <c r="S141" s="85" t="str">
        <f>'Consumer Hardware Pricing'!T149</f>
        <v>-</v>
      </c>
      <c r="T141" s="129" t="str">
        <f t="shared" si="419"/>
        <v>-</v>
      </c>
      <c r="U141" s="129" t="str">
        <f t="shared" si="420"/>
        <v>-</v>
      </c>
      <c r="V141" s="85" t="str">
        <f t="shared" si="421"/>
        <v>-</v>
      </c>
      <c r="W141" s="129" t="str">
        <f>'Consumer Hardware Pricing'!V149</f>
        <v>-</v>
      </c>
      <c r="X141" s="129" t="str">
        <f t="shared" si="422"/>
        <v>-</v>
      </c>
      <c r="Y141" s="129" t="str">
        <f t="shared" si="423"/>
        <v>-</v>
      </c>
      <c r="Z141" s="129" t="str">
        <f t="shared" si="424"/>
        <v>-</v>
      </c>
      <c r="AA141" s="85" t="str">
        <f t="shared" si="425"/>
        <v>-</v>
      </c>
      <c r="AB141" s="85" t="str">
        <f>'Consumer Hardware Pricing'!X149</f>
        <v>-</v>
      </c>
      <c r="AC141" s="85" t="str">
        <f t="shared" si="426"/>
        <v>-</v>
      </c>
      <c r="AD141" s="85" t="str">
        <f>'Consumer Hardware Pricing'!Y149</f>
        <v>-</v>
      </c>
      <c r="AE141" s="85" t="str">
        <f t="shared" si="427"/>
        <v>-</v>
      </c>
      <c r="AF141" s="85" t="str">
        <f t="shared" si="428"/>
        <v>-</v>
      </c>
      <c r="AG141" s="85" t="str">
        <f t="shared" si="429"/>
        <v>-</v>
      </c>
      <c r="AH141" s="85" t="str">
        <f>'Consumer Hardware Pricing'!AA149</f>
        <v>-</v>
      </c>
      <c r="AI141" s="85" t="str">
        <f t="shared" si="430"/>
        <v>-</v>
      </c>
      <c r="AJ141" s="85" t="str">
        <f t="shared" si="431"/>
        <v>-</v>
      </c>
      <c r="AK141" s="85" t="str">
        <f t="shared" si="432"/>
        <v>-</v>
      </c>
      <c r="AL141" s="85" t="str">
        <f t="shared" si="433"/>
        <v>-</v>
      </c>
      <c r="AM141" s="85" t="str">
        <f>'Consumer Hardware Pricing'!AC149</f>
        <v>-</v>
      </c>
      <c r="AN141" s="85" t="str">
        <f t="shared" si="434"/>
        <v>-</v>
      </c>
      <c r="AO141" s="85" t="str">
        <f>'Consumer Hardware Pricing'!AD149</f>
        <v>-</v>
      </c>
      <c r="AP141" s="85" t="str">
        <f t="shared" si="435"/>
        <v>-</v>
      </c>
      <c r="AQ141" s="85" t="str">
        <f t="shared" si="436"/>
        <v>-</v>
      </c>
      <c r="AR141" s="85" t="str">
        <f t="shared" si="437"/>
        <v>-</v>
      </c>
      <c r="AS141" s="85" t="str">
        <f>'Consumer Hardware Pricing'!AF149</f>
        <v>-</v>
      </c>
      <c r="AT141" s="85" t="str">
        <f t="shared" si="438"/>
        <v>-</v>
      </c>
      <c r="AU141" s="85" t="str">
        <f t="shared" si="439"/>
        <v>-</v>
      </c>
      <c r="AV141" s="85" t="str">
        <f t="shared" si="440"/>
        <v>-</v>
      </c>
      <c r="AW141" s="85" t="str">
        <f t="shared" si="441"/>
        <v>-</v>
      </c>
      <c r="AX141" s="85" t="str">
        <f>'Consumer Hardware Pricing'!AH149</f>
        <v>-</v>
      </c>
      <c r="AY141" s="85" t="str">
        <f t="shared" si="442"/>
        <v>-</v>
      </c>
      <c r="AZ141" s="85" t="str">
        <f>'Consumer Hardware Pricing'!AI149</f>
        <v>-</v>
      </c>
      <c r="BA141" s="85" t="str">
        <f t="shared" si="443"/>
        <v>-</v>
      </c>
      <c r="BB141" s="85" t="str">
        <f t="shared" si="444"/>
        <v>-</v>
      </c>
      <c r="BC141" s="85" t="str">
        <f t="shared" si="445"/>
        <v>-</v>
      </c>
      <c r="BD141" s="85">
        <f>'Consumer Hardware Pricing'!AL149</f>
        <v>0</v>
      </c>
      <c r="BE141" s="85">
        <f t="shared" si="446"/>
        <v>107.5</v>
      </c>
      <c r="BF141" s="85" t="str">
        <f>'Consumer Hardware Pricing'!AM149</f>
        <v>-</v>
      </c>
      <c r="BG141" s="85">
        <f t="shared" si="447"/>
        <v>107.5</v>
      </c>
      <c r="BH141" s="85" t="str">
        <f t="shared" si="448"/>
        <v>-</v>
      </c>
      <c r="BI141" s="85">
        <f t="shared" si="449"/>
        <v>2580</v>
      </c>
      <c r="BJ141" s="85" t="str">
        <f>'Consumer Hardware Pricing'!AP149</f>
        <v>-</v>
      </c>
      <c r="BK141" s="85" t="str">
        <f t="shared" si="450"/>
        <v>-</v>
      </c>
      <c r="BL141" s="85" t="str">
        <f>'Consumer Hardware Pricing'!AQ149</f>
        <v>-</v>
      </c>
      <c r="BM141" s="85" t="str">
        <f t="shared" si="451"/>
        <v>-</v>
      </c>
      <c r="BN141" s="85" t="str">
        <f t="shared" si="452"/>
        <v>-</v>
      </c>
      <c r="BO141" s="85" t="str">
        <f t="shared" si="453"/>
        <v>-</v>
      </c>
      <c r="BP141" s="85" t="str">
        <f>'Consumer Hardware Pricing'!AT149</f>
        <v>-</v>
      </c>
      <c r="BQ141" s="85" t="str">
        <f t="shared" si="454"/>
        <v>-</v>
      </c>
      <c r="BR141" s="85" t="str">
        <f>'Consumer Hardware Pricing'!AU149</f>
        <v>-</v>
      </c>
      <c r="BS141" s="85" t="str">
        <f t="shared" si="455"/>
        <v>-</v>
      </c>
      <c r="BT141" s="85" t="str">
        <f t="shared" si="456"/>
        <v>-</v>
      </c>
      <c r="BU141" s="85" t="str">
        <f t="shared" si="457"/>
        <v>-</v>
      </c>
    </row>
    <row r="142" spans="1:73" ht="30.15" customHeight="1" x14ac:dyDescent="0.25">
      <c r="A142" s="86" t="s">
        <v>35</v>
      </c>
      <c r="B142" s="88" t="s">
        <v>859</v>
      </c>
      <c r="C142" s="88" t="s">
        <v>535</v>
      </c>
      <c r="D142" s="85">
        <f>'Consumer Hardware Pricing'!L150</f>
        <v>1380</v>
      </c>
      <c r="E142" s="85">
        <f>'Consumer Hardware Pricing'!M150</f>
        <v>1380</v>
      </c>
      <c r="F142" s="85" t="str">
        <f>'Consumer Hardware Pricing'!N150</f>
        <v>-</v>
      </c>
      <c r="G142" s="85" t="str">
        <f t="shared" si="359"/>
        <v>-</v>
      </c>
      <c r="H142" s="85" t="str">
        <f>'Consumer Hardware Pricing'!O150</f>
        <v>-</v>
      </c>
      <c r="I142" s="85" t="str">
        <f t="shared" si="334"/>
        <v>-</v>
      </c>
      <c r="J142" s="85" t="str">
        <f t="shared" si="335"/>
        <v>-</v>
      </c>
      <c r="K142" s="85" t="str">
        <f t="shared" si="336"/>
        <v>-</v>
      </c>
      <c r="L142" s="85" t="str">
        <f>'Consumer Hardware Pricing'!Q150</f>
        <v>-</v>
      </c>
      <c r="M142" s="85" t="str">
        <f t="shared" si="360"/>
        <v>-</v>
      </c>
      <c r="N142" s="85" t="str">
        <f t="shared" si="337"/>
        <v>-</v>
      </c>
      <c r="O142" s="85" t="str">
        <f t="shared" si="338"/>
        <v>-</v>
      </c>
      <c r="P142" s="85" t="str">
        <f t="shared" si="339"/>
        <v>-</v>
      </c>
      <c r="Q142" s="85" t="str">
        <f>'Consumer Hardware Pricing'!S150</f>
        <v>-</v>
      </c>
      <c r="R142" s="85" t="str">
        <f t="shared" si="340"/>
        <v>-</v>
      </c>
      <c r="S142" s="85" t="str">
        <f>'Consumer Hardware Pricing'!T150</f>
        <v>-</v>
      </c>
      <c r="T142" s="129" t="str">
        <f t="shared" si="341"/>
        <v>-</v>
      </c>
      <c r="U142" s="129" t="str">
        <f t="shared" si="342"/>
        <v>-</v>
      </c>
      <c r="V142" s="85" t="str">
        <f t="shared" si="343"/>
        <v>-</v>
      </c>
      <c r="W142" s="129" t="str">
        <f>'Consumer Hardware Pricing'!V150</f>
        <v>-</v>
      </c>
      <c r="X142" s="129" t="str">
        <f t="shared" si="361"/>
        <v>-</v>
      </c>
      <c r="Y142" s="129" t="str">
        <f t="shared" si="344"/>
        <v>-</v>
      </c>
      <c r="Z142" s="129" t="str">
        <f t="shared" si="345"/>
        <v>-</v>
      </c>
      <c r="AA142" s="85" t="str">
        <f t="shared" si="346"/>
        <v>-</v>
      </c>
      <c r="AB142" s="85" t="str">
        <f>'Consumer Hardware Pricing'!X150</f>
        <v>-</v>
      </c>
      <c r="AC142" s="85" t="str">
        <f t="shared" si="326"/>
        <v>-</v>
      </c>
      <c r="AD142" s="85" t="str">
        <f>'Consumer Hardware Pricing'!Y150</f>
        <v>-</v>
      </c>
      <c r="AE142" s="85" t="str">
        <f t="shared" si="177"/>
        <v>-</v>
      </c>
      <c r="AF142" s="85" t="str">
        <f t="shared" si="178"/>
        <v>-</v>
      </c>
      <c r="AG142" s="85" t="str">
        <f t="shared" si="179"/>
        <v>-</v>
      </c>
      <c r="AH142" s="85" t="str">
        <f>'Consumer Hardware Pricing'!AA150</f>
        <v>-</v>
      </c>
      <c r="AI142" s="85" t="str">
        <f t="shared" si="327"/>
        <v>-</v>
      </c>
      <c r="AJ142" s="85" t="str">
        <f t="shared" si="180"/>
        <v>-</v>
      </c>
      <c r="AK142" s="85" t="str">
        <f t="shared" si="181"/>
        <v>-</v>
      </c>
      <c r="AL142" s="85" t="str">
        <f t="shared" si="182"/>
        <v>-</v>
      </c>
      <c r="AM142" s="85" t="str">
        <f>'Consumer Hardware Pricing'!AC150</f>
        <v>-</v>
      </c>
      <c r="AN142" s="85" t="str">
        <f t="shared" si="328"/>
        <v>-</v>
      </c>
      <c r="AO142" s="85" t="str">
        <f>'Consumer Hardware Pricing'!AD150</f>
        <v>-</v>
      </c>
      <c r="AP142" s="85" t="str">
        <f t="shared" si="183"/>
        <v>-</v>
      </c>
      <c r="AQ142" s="85" t="str">
        <f t="shared" si="184"/>
        <v>-</v>
      </c>
      <c r="AR142" s="85" t="str">
        <f t="shared" si="185"/>
        <v>-</v>
      </c>
      <c r="AS142" s="85" t="str">
        <f>'Consumer Hardware Pricing'!AF150</f>
        <v>-</v>
      </c>
      <c r="AT142" s="85" t="str">
        <f t="shared" si="329"/>
        <v>-</v>
      </c>
      <c r="AU142" s="85" t="str">
        <f t="shared" si="186"/>
        <v>-</v>
      </c>
      <c r="AV142" s="85" t="str">
        <f t="shared" si="187"/>
        <v>-</v>
      </c>
      <c r="AW142" s="85" t="str">
        <f t="shared" si="188"/>
        <v>-</v>
      </c>
      <c r="AX142" s="85" t="str">
        <f>'Consumer Hardware Pricing'!AH150</f>
        <v>-</v>
      </c>
      <c r="AY142" s="85" t="str">
        <f t="shared" si="330"/>
        <v>-</v>
      </c>
      <c r="AZ142" s="85" t="str">
        <f>'Consumer Hardware Pricing'!AI150</f>
        <v>-</v>
      </c>
      <c r="BA142" s="85" t="str">
        <f t="shared" si="347"/>
        <v>-</v>
      </c>
      <c r="BB142" s="85" t="str">
        <f t="shared" si="348"/>
        <v>-</v>
      </c>
      <c r="BC142" s="85" t="str">
        <f t="shared" si="349"/>
        <v>-</v>
      </c>
      <c r="BD142" s="85">
        <f>'Consumer Hardware Pricing'!AL150</f>
        <v>0</v>
      </c>
      <c r="BE142" s="85">
        <f t="shared" si="331"/>
        <v>57.5</v>
      </c>
      <c r="BF142" s="85" t="str">
        <f>'Consumer Hardware Pricing'!AM150</f>
        <v>-</v>
      </c>
      <c r="BG142" s="85">
        <f t="shared" si="350"/>
        <v>57.5</v>
      </c>
      <c r="BH142" s="85" t="str">
        <f t="shared" si="351"/>
        <v>-</v>
      </c>
      <c r="BI142" s="85">
        <f t="shared" si="352"/>
        <v>1380</v>
      </c>
      <c r="BJ142" s="85" t="str">
        <f>'Consumer Hardware Pricing'!AP150</f>
        <v>-</v>
      </c>
      <c r="BK142" s="85" t="str">
        <f t="shared" si="332"/>
        <v>-</v>
      </c>
      <c r="BL142" s="85" t="str">
        <f>'Consumer Hardware Pricing'!AQ150</f>
        <v>-</v>
      </c>
      <c r="BM142" s="85" t="str">
        <f t="shared" si="353"/>
        <v>-</v>
      </c>
      <c r="BN142" s="85" t="str">
        <f t="shared" si="354"/>
        <v>-</v>
      </c>
      <c r="BO142" s="85" t="str">
        <f t="shared" si="355"/>
        <v>-</v>
      </c>
      <c r="BP142" s="85" t="str">
        <f>'Consumer Hardware Pricing'!AT150</f>
        <v>-</v>
      </c>
      <c r="BQ142" s="85" t="str">
        <f t="shared" si="333"/>
        <v>-</v>
      </c>
      <c r="BR142" s="85" t="str">
        <f>'Consumer Hardware Pricing'!AU150</f>
        <v>-</v>
      </c>
      <c r="BS142" s="85" t="str">
        <f t="shared" si="356"/>
        <v>-</v>
      </c>
      <c r="BT142" s="85" t="str">
        <f t="shared" si="357"/>
        <v>-</v>
      </c>
      <c r="BU142" s="85" t="str">
        <f t="shared" si="358"/>
        <v>-</v>
      </c>
    </row>
    <row r="143" spans="1:73" ht="30.15" customHeight="1" x14ac:dyDescent="0.25">
      <c r="A143" s="86" t="s">
        <v>35</v>
      </c>
      <c r="B143" s="88" t="s">
        <v>860</v>
      </c>
      <c r="C143" s="88" t="s">
        <v>535</v>
      </c>
      <c r="D143" s="85">
        <f>'Consumer Hardware Pricing'!L151</f>
        <v>1380</v>
      </c>
      <c r="E143" s="85">
        <f>'Consumer Hardware Pricing'!M151</f>
        <v>1380</v>
      </c>
      <c r="F143" s="85" t="str">
        <f>'Consumer Hardware Pricing'!N151</f>
        <v>-</v>
      </c>
      <c r="G143" s="85" t="str">
        <f t="shared" si="359"/>
        <v>-</v>
      </c>
      <c r="H143" s="85" t="str">
        <f>'Consumer Hardware Pricing'!O151</f>
        <v>-</v>
      </c>
      <c r="I143" s="85" t="str">
        <f t="shared" si="334"/>
        <v>-</v>
      </c>
      <c r="J143" s="85" t="str">
        <f t="shared" si="335"/>
        <v>-</v>
      </c>
      <c r="K143" s="85" t="str">
        <f t="shared" si="336"/>
        <v>-</v>
      </c>
      <c r="L143" s="85" t="str">
        <f>'Consumer Hardware Pricing'!Q151</f>
        <v>-</v>
      </c>
      <c r="M143" s="85" t="str">
        <f t="shared" si="360"/>
        <v>-</v>
      </c>
      <c r="N143" s="85" t="str">
        <f t="shared" si="337"/>
        <v>-</v>
      </c>
      <c r="O143" s="85" t="str">
        <f t="shared" si="338"/>
        <v>-</v>
      </c>
      <c r="P143" s="85" t="str">
        <f t="shared" si="339"/>
        <v>-</v>
      </c>
      <c r="Q143" s="85" t="str">
        <f>'Consumer Hardware Pricing'!S151</f>
        <v>-</v>
      </c>
      <c r="R143" s="85" t="str">
        <f t="shared" si="340"/>
        <v>-</v>
      </c>
      <c r="S143" s="85" t="str">
        <f>'Consumer Hardware Pricing'!T151</f>
        <v>-</v>
      </c>
      <c r="T143" s="129" t="str">
        <f t="shared" si="341"/>
        <v>-</v>
      </c>
      <c r="U143" s="129" t="str">
        <f t="shared" si="342"/>
        <v>-</v>
      </c>
      <c r="V143" s="85" t="str">
        <f t="shared" si="343"/>
        <v>-</v>
      </c>
      <c r="W143" s="129" t="str">
        <f>'Consumer Hardware Pricing'!V151</f>
        <v>-</v>
      </c>
      <c r="X143" s="129" t="str">
        <f t="shared" si="361"/>
        <v>-</v>
      </c>
      <c r="Y143" s="129" t="str">
        <f t="shared" si="344"/>
        <v>-</v>
      </c>
      <c r="Z143" s="129" t="str">
        <f t="shared" si="345"/>
        <v>-</v>
      </c>
      <c r="AA143" s="85" t="str">
        <f t="shared" si="346"/>
        <v>-</v>
      </c>
      <c r="AB143" s="85" t="str">
        <f>'Consumer Hardware Pricing'!X151</f>
        <v>-</v>
      </c>
      <c r="AC143" s="85" t="str">
        <f t="shared" si="326"/>
        <v>-</v>
      </c>
      <c r="AD143" s="85" t="str">
        <f>'Consumer Hardware Pricing'!Y151</f>
        <v>-</v>
      </c>
      <c r="AE143" s="85" t="str">
        <f t="shared" si="177"/>
        <v>-</v>
      </c>
      <c r="AF143" s="85" t="str">
        <f t="shared" si="178"/>
        <v>-</v>
      </c>
      <c r="AG143" s="85" t="str">
        <f t="shared" si="179"/>
        <v>-</v>
      </c>
      <c r="AH143" s="85" t="str">
        <f>'Consumer Hardware Pricing'!AA151</f>
        <v>-</v>
      </c>
      <c r="AI143" s="85" t="str">
        <f t="shared" si="327"/>
        <v>-</v>
      </c>
      <c r="AJ143" s="85" t="str">
        <f t="shared" si="180"/>
        <v>-</v>
      </c>
      <c r="AK143" s="85" t="str">
        <f t="shared" si="181"/>
        <v>-</v>
      </c>
      <c r="AL143" s="85" t="str">
        <f t="shared" si="182"/>
        <v>-</v>
      </c>
      <c r="AM143" s="85" t="str">
        <f>'Consumer Hardware Pricing'!AC151</f>
        <v>-</v>
      </c>
      <c r="AN143" s="85" t="str">
        <f t="shared" si="328"/>
        <v>-</v>
      </c>
      <c r="AO143" s="85" t="str">
        <f>'Consumer Hardware Pricing'!AD151</f>
        <v>-</v>
      </c>
      <c r="AP143" s="85" t="str">
        <f t="shared" si="183"/>
        <v>-</v>
      </c>
      <c r="AQ143" s="85" t="str">
        <f t="shared" si="184"/>
        <v>-</v>
      </c>
      <c r="AR143" s="85" t="str">
        <f t="shared" si="185"/>
        <v>-</v>
      </c>
      <c r="AS143" s="85" t="str">
        <f>'Consumer Hardware Pricing'!AF151</f>
        <v>-</v>
      </c>
      <c r="AT143" s="85" t="str">
        <f t="shared" si="329"/>
        <v>-</v>
      </c>
      <c r="AU143" s="85" t="str">
        <f t="shared" si="186"/>
        <v>-</v>
      </c>
      <c r="AV143" s="85" t="str">
        <f t="shared" si="187"/>
        <v>-</v>
      </c>
      <c r="AW143" s="85" t="str">
        <f t="shared" si="188"/>
        <v>-</v>
      </c>
      <c r="AX143" s="85" t="str">
        <f>'Consumer Hardware Pricing'!AH151</f>
        <v>-</v>
      </c>
      <c r="AY143" s="85" t="str">
        <f t="shared" si="330"/>
        <v>-</v>
      </c>
      <c r="AZ143" s="85" t="str">
        <f>'Consumer Hardware Pricing'!AI151</f>
        <v>-</v>
      </c>
      <c r="BA143" s="85" t="str">
        <f t="shared" si="347"/>
        <v>-</v>
      </c>
      <c r="BB143" s="85" t="str">
        <f t="shared" si="348"/>
        <v>-</v>
      </c>
      <c r="BC143" s="85" t="str">
        <f t="shared" si="349"/>
        <v>-</v>
      </c>
      <c r="BD143" s="85">
        <f>'Consumer Hardware Pricing'!AL151</f>
        <v>0</v>
      </c>
      <c r="BE143" s="85">
        <f t="shared" si="331"/>
        <v>57.5</v>
      </c>
      <c r="BF143" s="85" t="str">
        <f>'Consumer Hardware Pricing'!AM151</f>
        <v>-</v>
      </c>
      <c r="BG143" s="85">
        <f t="shared" si="350"/>
        <v>57.5</v>
      </c>
      <c r="BH143" s="85" t="str">
        <f t="shared" si="351"/>
        <v>-</v>
      </c>
      <c r="BI143" s="85">
        <f t="shared" si="352"/>
        <v>1380</v>
      </c>
      <c r="BJ143" s="85" t="str">
        <f>'Consumer Hardware Pricing'!AP151</f>
        <v>-</v>
      </c>
      <c r="BK143" s="85" t="str">
        <f t="shared" si="332"/>
        <v>-</v>
      </c>
      <c r="BL143" s="85" t="str">
        <f>'Consumer Hardware Pricing'!AQ151</f>
        <v>-</v>
      </c>
      <c r="BM143" s="85" t="str">
        <f t="shared" si="353"/>
        <v>-</v>
      </c>
      <c r="BN143" s="85" t="str">
        <f t="shared" si="354"/>
        <v>-</v>
      </c>
      <c r="BO143" s="85" t="str">
        <f t="shared" si="355"/>
        <v>-</v>
      </c>
      <c r="BP143" s="85" t="str">
        <f>'Consumer Hardware Pricing'!AT151</f>
        <v>-</v>
      </c>
      <c r="BQ143" s="85" t="str">
        <f t="shared" si="333"/>
        <v>-</v>
      </c>
      <c r="BR143" s="85" t="str">
        <f>'Consumer Hardware Pricing'!AU151</f>
        <v>-</v>
      </c>
      <c r="BS143" s="85" t="str">
        <f t="shared" si="356"/>
        <v>-</v>
      </c>
      <c r="BT143" s="85" t="str">
        <f t="shared" si="357"/>
        <v>-</v>
      </c>
      <c r="BU143" s="85" t="str">
        <f t="shared" si="358"/>
        <v>-</v>
      </c>
    </row>
    <row r="144" spans="1:73" ht="30.15" customHeight="1" x14ac:dyDescent="0.25">
      <c r="A144" s="86" t="s">
        <v>35</v>
      </c>
      <c r="B144" s="88" t="s">
        <v>534</v>
      </c>
      <c r="C144" s="88" t="s">
        <v>535</v>
      </c>
      <c r="D144" s="85">
        <f>'Consumer Hardware Pricing'!L152</f>
        <v>1399</v>
      </c>
      <c r="E144" s="85">
        <f>'Consumer Hardware Pricing'!M152</f>
        <v>1399</v>
      </c>
      <c r="F144" s="85" t="str">
        <f>'Consumer Hardware Pricing'!N152</f>
        <v>-</v>
      </c>
      <c r="G144" s="85" t="str">
        <f t="shared" si="359"/>
        <v>-</v>
      </c>
      <c r="H144" s="85" t="str">
        <f>'Consumer Hardware Pricing'!O152</f>
        <v>-</v>
      </c>
      <c r="I144" s="85" t="str">
        <f t="shared" ref="I144:I145" si="458">IF(H144="-",G144,G144-H144)</f>
        <v>-</v>
      </c>
      <c r="J144" s="85" t="str">
        <f t="shared" ref="J144:J145" si="459">IF(H144="-",H144,H144*24)</f>
        <v>-</v>
      </c>
      <c r="K144" s="85" t="str">
        <f t="shared" ref="K144:K145" si="460">IF(F144="-",F144,I144*24)</f>
        <v>-</v>
      </c>
      <c r="L144" s="85" t="str">
        <f>'Consumer Hardware Pricing'!Q152</f>
        <v>-</v>
      </c>
      <c r="M144" s="85" t="str">
        <f t="shared" si="360"/>
        <v>-</v>
      </c>
      <c r="N144" s="85" t="str">
        <f t="shared" ref="N144:N145" si="461">IF(L144="-",L144,G144-M144)</f>
        <v>-</v>
      </c>
      <c r="O144" s="85" t="str">
        <f t="shared" ref="O144:O145" si="462">IF(L144="-",L144,M144*24)</f>
        <v>-</v>
      </c>
      <c r="P144" s="85" t="str">
        <f t="shared" ref="P144:P145" si="463">IF(L144="-",L144,N144*24)</f>
        <v>-</v>
      </c>
      <c r="Q144" s="85" t="str">
        <f>'Consumer Hardware Pricing'!S152</f>
        <v>-</v>
      </c>
      <c r="R144" s="85" t="str">
        <f t="shared" ref="R144:R145" si="464">G144</f>
        <v>-</v>
      </c>
      <c r="S144" s="85" t="str">
        <f>'Consumer Hardware Pricing'!T152</f>
        <v>-</v>
      </c>
      <c r="T144" s="129" t="str">
        <f t="shared" ref="T144:T145" si="465">IF(S144="-",R144,R144-S144)</f>
        <v>-</v>
      </c>
      <c r="U144" s="129" t="str">
        <f t="shared" ref="U144:U145" si="466">IF(S144="-",S144,S144*24)</f>
        <v>-</v>
      </c>
      <c r="V144" s="85" t="str">
        <f t="shared" ref="V144:V145" si="467">IF(Q144="-",Q144,T144*24)</f>
        <v>-</v>
      </c>
      <c r="W144" s="129" t="str">
        <f>'Consumer Hardware Pricing'!V152</f>
        <v>-</v>
      </c>
      <c r="X144" s="129" t="str">
        <f t="shared" si="361"/>
        <v>-</v>
      </c>
      <c r="Y144" s="129" t="str">
        <f t="shared" ref="Y144:Y145" si="468">IF(W144="-",W144,R144-X144)</f>
        <v>-</v>
      </c>
      <c r="Z144" s="129" t="str">
        <f t="shared" ref="Z144:Z145" si="469">IF(W144="-",W144,X144*24)</f>
        <v>-</v>
      </c>
      <c r="AA144" s="85" t="str">
        <f t="shared" ref="AA144:AA145" si="470">IF(W144="-",W144,Y144*24)</f>
        <v>-</v>
      </c>
      <c r="AB144" s="85" t="str">
        <f>'Consumer Hardware Pricing'!X152</f>
        <v>-</v>
      </c>
      <c r="AC144" s="85" t="str">
        <f t="shared" si="326"/>
        <v>-</v>
      </c>
      <c r="AD144" s="85" t="str">
        <f>'Consumer Hardware Pricing'!Y152</f>
        <v>-</v>
      </c>
      <c r="AE144" s="85" t="str">
        <f t="shared" si="177"/>
        <v>-</v>
      </c>
      <c r="AF144" s="85" t="str">
        <f t="shared" si="178"/>
        <v>-</v>
      </c>
      <c r="AG144" s="85" t="str">
        <f t="shared" si="179"/>
        <v>-</v>
      </c>
      <c r="AH144" s="85" t="str">
        <f>'Consumer Hardware Pricing'!AA152</f>
        <v>-</v>
      </c>
      <c r="AI144" s="85" t="str">
        <f t="shared" si="327"/>
        <v>-</v>
      </c>
      <c r="AJ144" s="85" t="str">
        <f t="shared" si="180"/>
        <v>-</v>
      </c>
      <c r="AK144" s="85" t="str">
        <f t="shared" si="181"/>
        <v>-</v>
      </c>
      <c r="AL144" s="85" t="str">
        <f t="shared" si="182"/>
        <v>-</v>
      </c>
      <c r="AM144" s="85" t="str">
        <f>'Consumer Hardware Pricing'!AC152</f>
        <v>-</v>
      </c>
      <c r="AN144" s="85" t="str">
        <f t="shared" si="328"/>
        <v>-</v>
      </c>
      <c r="AO144" s="85" t="str">
        <f>'Consumer Hardware Pricing'!AD152</f>
        <v>-</v>
      </c>
      <c r="AP144" s="85" t="str">
        <f t="shared" si="183"/>
        <v>-</v>
      </c>
      <c r="AQ144" s="85" t="str">
        <f t="shared" si="184"/>
        <v>-</v>
      </c>
      <c r="AR144" s="85" t="str">
        <f t="shared" si="185"/>
        <v>-</v>
      </c>
      <c r="AS144" s="85" t="str">
        <f>'Consumer Hardware Pricing'!AF152</f>
        <v>-</v>
      </c>
      <c r="AT144" s="85" t="str">
        <f t="shared" si="329"/>
        <v>-</v>
      </c>
      <c r="AU144" s="85" t="str">
        <f t="shared" si="186"/>
        <v>-</v>
      </c>
      <c r="AV144" s="85" t="str">
        <f t="shared" si="187"/>
        <v>-</v>
      </c>
      <c r="AW144" s="85" t="str">
        <f t="shared" si="188"/>
        <v>-</v>
      </c>
      <c r="AX144" s="85" t="str">
        <f>'Consumer Hardware Pricing'!AH152</f>
        <v>-</v>
      </c>
      <c r="AY144" s="85" t="str">
        <f t="shared" si="330"/>
        <v>-</v>
      </c>
      <c r="AZ144" s="85" t="str">
        <f>'Consumer Hardware Pricing'!AI152</f>
        <v>-</v>
      </c>
      <c r="BA144" s="85" t="str">
        <f t="shared" ref="BA144:BA145" si="471">IF(AZ144="-",AY144,AY144-AZ144)</f>
        <v>-</v>
      </c>
      <c r="BB144" s="85" t="str">
        <f t="shared" ref="BB144:BB145" si="472">IF(AZ144="-",AZ144,AZ144*24)</f>
        <v>-</v>
      </c>
      <c r="BC144" s="85" t="str">
        <f t="shared" ref="BC144:BC145" si="473">IF(AX144="-",AX144,AX144+(BA144*24))</f>
        <v>-</v>
      </c>
      <c r="BD144" s="85">
        <f>'Consumer Hardware Pricing'!AL152</f>
        <v>0</v>
      </c>
      <c r="BE144" s="85">
        <f t="shared" si="331"/>
        <v>58.3</v>
      </c>
      <c r="BF144" s="85" t="str">
        <f>'Consumer Hardware Pricing'!AM152</f>
        <v>-</v>
      </c>
      <c r="BG144" s="85">
        <f t="shared" ref="BG144:BG145" si="474">IF(BF144="-",BE144,BE144-BF144)</f>
        <v>58.3</v>
      </c>
      <c r="BH144" s="85" t="str">
        <f t="shared" ref="BH144:BH145" si="475">IF(BF144="-",BF144,BF144*24)</f>
        <v>-</v>
      </c>
      <c r="BI144" s="85">
        <f t="shared" ref="BI144:BI145" si="476">IF(BD144="-",BD144,BD144+(BG144*24))</f>
        <v>1399.1999999999998</v>
      </c>
      <c r="BJ144" s="85" t="str">
        <f>'Consumer Hardware Pricing'!AP152</f>
        <v>-</v>
      </c>
      <c r="BK144" s="85" t="str">
        <f t="shared" si="332"/>
        <v>-</v>
      </c>
      <c r="BL144" s="85" t="str">
        <f>'Consumer Hardware Pricing'!AQ152</f>
        <v>-</v>
      </c>
      <c r="BM144" s="85" t="str">
        <f t="shared" ref="BM144:BM145" si="477">IF(BL144="-",BK144,BK144-BL144)</f>
        <v>-</v>
      </c>
      <c r="BN144" s="85" t="str">
        <f t="shared" ref="BN144:BN145" si="478">IF(BL144="-",BL144,BL144*24)</f>
        <v>-</v>
      </c>
      <c r="BO144" s="85" t="str">
        <f t="shared" ref="BO144:BO145" si="479">IF(BJ144="-",BJ144,BJ144+(BM144*24))</f>
        <v>-</v>
      </c>
      <c r="BP144" s="85" t="str">
        <f>'Consumer Hardware Pricing'!AT152</f>
        <v>-</v>
      </c>
      <c r="BQ144" s="85" t="str">
        <f t="shared" si="333"/>
        <v>-</v>
      </c>
      <c r="BR144" s="85" t="str">
        <f>'Consumer Hardware Pricing'!AU152</f>
        <v>-</v>
      </c>
      <c r="BS144" s="85" t="str">
        <f t="shared" ref="BS144:BS145" si="480">IF(BR144="-",BQ144,BQ144-BR144)</f>
        <v>-</v>
      </c>
      <c r="BT144" s="85" t="str">
        <f t="shared" ref="BT144:BT145" si="481">IF(BR144="-",BR144,BR144*24)</f>
        <v>-</v>
      </c>
      <c r="BU144" s="85" t="str">
        <f t="shared" ref="BU144:BU145" si="482">IF(BP144="-",BP144,BP144+(BS144*24))</f>
        <v>-</v>
      </c>
    </row>
    <row r="145" spans="1:73" ht="30.15" customHeight="1" x14ac:dyDescent="0.25">
      <c r="A145" s="86" t="s">
        <v>35</v>
      </c>
      <c r="B145" s="88" t="s">
        <v>908</v>
      </c>
      <c r="C145" s="88" t="s">
        <v>535</v>
      </c>
      <c r="D145" s="85">
        <f>'Consumer Hardware Pricing'!L153</f>
        <v>1399.99</v>
      </c>
      <c r="E145" s="85">
        <f>'Consumer Hardware Pricing'!M153</f>
        <v>1399.99</v>
      </c>
      <c r="F145" s="85" t="str">
        <f>'Consumer Hardware Pricing'!N153</f>
        <v>-</v>
      </c>
      <c r="G145" s="85" t="str">
        <f t="shared" si="359"/>
        <v>-</v>
      </c>
      <c r="H145" s="85" t="str">
        <f>'Consumer Hardware Pricing'!O153</f>
        <v>-</v>
      </c>
      <c r="I145" s="85" t="str">
        <f t="shared" si="458"/>
        <v>-</v>
      </c>
      <c r="J145" s="85" t="str">
        <f t="shared" si="459"/>
        <v>-</v>
      </c>
      <c r="K145" s="85" t="str">
        <f t="shared" si="460"/>
        <v>-</v>
      </c>
      <c r="L145" s="85" t="str">
        <f>'Consumer Hardware Pricing'!Q153</f>
        <v>-</v>
      </c>
      <c r="M145" s="85" t="str">
        <f t="shared" si="360"/>
        <v>-</v>
      </c>
      <c r="N145" s="85" t="str">
        <f t="shared" si="461"/>
        <v>-</v>
      </c>
      <c r="O145" s="85" t="str">
        <f t="shared" si="462"/>
        <v>-</v>
      </c>
      <c r="P145" s="85" t="str">
        <f t="shared" si="463"/>
        <v>-</v>
      </c>
      <c r="Q145" s="85" t="str">
        <f>'Consumer Hardware Pricing'!S153</f>
        <v>-</v>
      </c>
      <c r="R145" s="85" t="str">
        <f t="shared" si="464"/>
        <v>-</v>
      </c>
      <c r="S145" s="85" t="str">
        <f>'Consumer Hardware Pricing'!T153</f>
        <v>-</v>
      </c>
      <c r="T145" s="129" t="str">
        <f t="shared" si="465"/>
        <v>-</v>
      </c>
      <c r="U145" s="129" t="str">
        <f t="shared" si="466"/>
        <v>-</v>
      </c>
      <c r="V145" s="85" t="str">
        <f t="shared" si="467"/>
        <v>-</v>
      </c>
      <c r="W145" s="129" t="str">
        <f>'Consumer Hardware Pricing'!V153</f>
        <v>-</v>
      </c>
      <c r="X145" s="129" t="str">
        <f t="shared" si="361"/>
        <v>-</v>
      </c>
      <c r="Y145" s="129" t="str">
        <f t="shared" si="468"/>
        <v>-</v>
      </c>
      <c r="Z145" s="129" t="str">
        <f t="shared" si="469"/>
        <v>-</v>
      </c>
      <c r="AA145" s="85" t="str">
        <f t="shared" si="470"/>
        <v>-</v>
      </c>
      <c r="AB145" s="85" t="str">
        <f>'Consumer Hardware Pricing'!X153</f>
        <v>-</v>
      </c>
      <c r="AC145" s="85" t="str">
        <f t="shared" si="326"/>
        <v>-</v>
      </c>
      <c r="AD145" s="85" t="str">
        <f>'Consumer Hardware Pricing'!Y153</f>
        <v>-</v>
      </c>
      <c r="AE145" s="85" t="str">
        <f t="shared" si="177"/>
        <v>-</v>
      </c>
      <c r="AF145" s="85" t="str">
        <f t="shared" si="178"/>
        <v>-</v>
      </c>
      <c r="AG145" s="85" t="str">
        <f t="shared" si="179"/>
        <v>-</v>
      </c>
      <c r="AH145" s="85" t="str">
        <f>'Consumer Hardware Pricing'!AA153</f>
        <v>-</v>
      </c>
      <c r="AI145" s="85" t="str">
        <f t="shared" si="327"/>
        <v>-</v>
      </c>
      <c r="AJ145" s="85" t="str">
        <f t="shared" si="180"/>
        <v>-</v>
      </c>
      <c r="AK145" s="85" t="str">
        <f t="shared" si="181"/>
        <v>-</v>
      </c>
      <c r="AL145" s="85" t="str">
        <f t="shared" si="182"/>
        <v>-</v>
      </c>
      <c r="AM145" s="85" t="str">
        <f>'Consumer Hardware Pricing'!AC153</f>
        <v>-</v>
      </c>
      <c r="AN145" s="85" t="str">
        <f t="shared" si="328"/>
        <v>-</v>
      </c>
      <c r="AO145" s="85" t="str">
        <f>'Consumer Hardware Pricing'!AD153</f>
        <v>-</v>
      </c>
      <c r="AP145" s="85" t="str">
        <f t="shared" si="183"/>
        <v>-</v>
      </c>
      <c r="AQ145" s="85" t="str">
        <f t="shared" si="184"/>
        <v>-</v>
      </c>
      <c r="AR145" s="85" t="str">
        <f t="shared" si="185"/>
        <v>-</v>
      </c>
      <c r="AS145" s="85" t="str">
        <f>'Consumer Hardware Pricing'!AF153</f>
        <v>-</v>
      </c>
      <c r="AT145" s="85" t="str">
        <f t="shared" si="329"/>
        <v>-</v>
      </c>
      <c r="AU145" s="85" t="str">
        <f t="shared" si="186"/>
        <v>-</v>
      </c>
      <c r="AV145" s="85" t="str">
        <f t="shared" si="187"/>
        <v>-</v>
      </c>
      <c r="AW145" s="85" t="str">
        <f t="shared" si="188"/>
        <v>-</v>
      </c>
      <c r="AX145" s="85" t="str">
        <f>'Consumer Hardware Pricing'!AH153</f>
        <v>-</v>
      </c>
      <c r="AY145" s="85" t="str">
        <f t="shared" si="330"/>
        <v>-</v>
      </c>
      <c r="AZ145" s="85" t="str">
        <f>'Consumer Hardware Pricing'!AI153</f>
        <v>-</v>
      </c>
      <c r="BA145" s="85" t="str">
        <f t="shared" si="471"/>
        <v>-</v>
      </c>
      <c r="BB145" s="85" t="str">
        <f t="shared" si="472"/>
        <v>-</v>
      </c>
      <c r="BC145" s="85" t="str">
        <f t="shared" si="473"/>
        <v>-</v>
      </c>
      <c r="BD145" s="85">
        <f>'Consumer Hardware Pricing'!AL153</f>
        <v>0</v>
      </c>
      <c r="BE145" s="85">
        <f t="shared" si="331"/>
        <v>58.339999999999996</v>
      </c>
      <c r="BF145" s="85" t="str">
        <f>'Consumer Hardware Pricing'!AM153</f>
        <v>-</v>
      </c>
      <c r="BG145" s="85">
        <f t="shared" si="474"/>
        <v>58.339999999999996</v>
      </c>
      <c r="BH145" s="85" t="str">
        <f t="shared" si="475"/>
        <v>-</v>
      </c>
      <c r="BI145" s="85">
        <f t="shared" si="476"/>
        <v>1400.1599999999999</v>
      </c>
      <c r="BJ145" s="85" t="str">
        <f>'Consumer Hardware Pricing'!AP153</f>
        <v>-</v>
      </c>
      <c r="BK145" s="85" t="str">
        <f t="shared" si="332"/>
        <v>-</v>
      </c>
      <c r="BL145" s="85" t="str">
        <f>'Consumer Hardware Pricing'!AQ153</f>
        <v>-</v>
      </c>
      <c r="BM145" s="85" t="str">
        <f t="shared" si="477"/>
        <v>-</v>
      </c>
      <c r="BN145" s="85" t="str">
        <f t="shared" si="478"/>
        <v>-</v>
      </c>
      <c r="BO145" s="85" t="str">
        <f t="shared" si="479"/>
        <v>-</v>
      </c>
      <c r="BP145" s="85" t="str">
        <f>'Consumer Hardware Pricing'!AT153</f>
        <v>-</v>
      </c>
      <c r="BQ145" s="85" t="str">
        <f t="shared" si="333"/>
        <v>-</v>
      </c>
      <c r="BR145" s="85" t="str">
        <f>'Consumer Hardware Pricing'!AU153</f>
        <v>-</v>
      </c>
      <c r="BS145" s="85" t="str">
        <f t="shared" si="480"/>
        <v>-</v>
      </c>
      <c r="BT145" s="85" t="str">
        <f t="shared" si="481"/>
        <v>-</v>
      </c>
      <c r="BU145" s="85" t="str">
        <f t="shared" si="482"/>
        <v>-</v>
      </c>
    </row>
    <row r="146" spans="1:73" ht="30.15" customHeight="1" x14ac:dyDescent="0.25">
      <c r="A146" s="86" t="s">
        <v>35</v>
      </c>
      <c r="B146" s="88" t="s">
        <v>1264</v>
      </c>
      <c r="C146" s="88" t="s">
        <v>1265</v>
      </c>
      <c r="D146" s="85">
        <f>'Consumer Hardware Pricing'!L154</f>
        <v>1330</v>
      </c>
      <c r="E146" s="85">
        <f>'Consumer Hardware Pricing'!M154</f>
        <v>1330</v>
      </c>
      <c r="F146" s="85" t="str">
        <f>'Consumer Hardware Pricing'!N154</f>
        <v>-</v>
      </c>
      <c r="G146" s="85" t="str">
        <f t="shared" ref="G146" si="483">IF(F146="-","-",ROUNDUP(D146/24,2))</f>
        <v>-</v>
      </c>
      <c r="H146" s="85" t="str">
        <f>'Consumer Hardware Pricing'!O154</f>
        <v>-</v>
      </c>
      <c r="I146" s="85" t="str">
        <f t="shared" ref="I146" si="484">IF(H146="-",G146,G146-H146)</f>
        <v>-</v>
      </c>
      <c r="J146" s="85" t="str">
        <f t="shared" ref="J146" si="485">IF(H146="-",H146,H146*24)</f>
        <v>-</v>
      </c>
      <c r="K146" s="85" t="str">
        <f t="shared" ref="K146" si="486">IF(F146="-",F146,I146*24)</f>
        <v>-</v>
      </c>
      <c r="L146" s="85" t="str">
        <f>'Consumer Hardware Pricing'!Q154</f>
        <v>-</v>
      </c>
      <c r="M146" s="85" t="str">
        <f t="shared" ref="M146" si="487">IF(L146="-",L146,IF(H146="-",G146-ROUNDUP((D146-L146)/24,2),H146+G146-ROUNDUP((D146-L146)/24,2)))</f>
        <v>-</v>
      </c>
      <c r="N146" s="85" t="str">
        <f t="shared" ref="N146" si="488">IF(L146="-",L146,G146-M146)</f>
        <v>-</v>
      </c>
      <c r="O146" s="85" t="str">
        <f t="shared" ref="O146" si="489">IF(L146="-",L146,M146*24)</f>
        <v>-</v>
      </c>
      <c r="P146" s="85" t="str">
        <f t="shared" ref="P146" si="490">IF(L146="-",L146,N146*24)</f>
        <v>-</v>
      </c>
      <c r="Q146" s="85" t="str">
        <f>'Consumer Hardware Pricing'!S154</f>
        <v>-</v>
      </c>
      <c r="R146" s="85" t="str">
        <f t="shared" ref="R146" si="491">G146</f>
        <v>-</v>
      </c>
      <c r="S146" s="85" t="str">
        <f>'Consumer Hardware Pricing'!T154</f>
        <v>-</v>
      </c>
      <c r="T146" s="129" t="str">
        <f t="shared" ref="T146" si="492">IF(S146="-",R146,R146-S146)</f>
        <v>-</v>
      </c>
      <c r="U146" s="129" t="str">
        <f t="shared" ref="U146" si="493">IF(S146="-",S146,S146*24)</f>
        <v>-</v>
      </c>
      <c r="V146" s="85" t="str">
        <f t="shared" ref="V146" si="494">IF(Q146="-",Q146,T146*24)</f>
        <v>-</v>
      </c>
      <c r="W146" s="129" t="str">
        <f>'Consumer Hardware Pricing'!V154</f>
        <v>-</v>
      </c>
      <c r="X146" s="129" t="str">
        <f t="shared" ref="X146" si="495">IF(W146="-",W146,IF(S146="-",R146-ROUNDUP((D146-W146)/24,2),S146+R146-ROUNDUP((D146-W146)/24,2)))</f>
        <v>-</v>
      </c>
      <c r="Y146" s="129" t="str">
        <f t="shared" ref="Y146" si="496">IF(W146="-",W146,R146-X146)</f>
        <v>-</v>
      </c>
      <c r="Z146" s="129" t="str">
        <f t="shared" ref="Z146" si="497">IF(W146="-",W146,X146*24)</f>
        <v>-</v>
      </c>
      <c r="AA146" s="85" t="str">
        <f t="shared" ref="AA146" si="498">IF(W146="-",W146,Y146*24)</f>
        <v>-</v>
      </c>
      <c r="AB146" s="85" t="str">
        <f>'Consumer Hardware Pricing'!X154</f>
        <v>-</v>
      </c>
      <c r="AC146" s="85" t="str">
        <f t="shared" ref="AC146" si="499">IF(AB146="-","-",ROUNDUP(D146/24,2))</f>
        <v>-</v>
      </c>
      <c r="AD146" s="85" t="str">
        <f>'Consumer Hardware Pricing'!Y154</f>
        <v>-</v>
      </c>
      <c r="AE146" s="85" t="str">
        <f t="shared" ref="AE146" si="500">IF(AD146="-",AC146,AC146-AD146)</f>
        <v>-</v>
      </c>
      <c r="AF146" s="85" t="str">
        <f t="shared" ref="AF146" si="501">IF(AD146="-",AD146,AD146*24)</f>
        <v>-</v>
      </c>
      <c r="AG146" s="85" t="str">
        <f t="shared" ref="AG146" si="502">IF(AB146="-",AB146,AE146*24)</f>
        <v>-</v>
      </c>
      <c r="AH146" s="85" t="str">
        <f>'Consumer Hardware Pricing'!AA154</f>
        <v>-</v>
      </c>
      <c r="AI146" s="85" t="str">
        <f t="shared" ref="AI146" si="503">IF(AH146="-",AH146,IF(AD146="-",AC146-ROUNDUP((D146-AH146)/24,2),AD146+AC146-ROUNDUP((D146-AH146)/24,2)))</f>
        <v>-</v>
      </c>
      <c r="AJ146" s="85" t="str">
        <f t="shared" ref="AJ146" si="504">IF(AH146="-",AH146,AC146-AI146)</f>
        <v>-</v>
      </c>
      <c r="AK146" s="85" t="str">
        <f t="shared" ref="AK146" si="505">IF(AH146="-",AH146,AI146*24)</f>
        <v>-</v>
      </c>
      <c r="AL146" s="85" t="str">
        <f t="shared" ref="AL146" si="506">IF(AH146="-",AH146,AJ146*24)</f>
        <v>-</v>
      </c>
      <c r="AM146" s="85" t="str">
        <f>'Consumer Hardware Pricing'!AC154</f>
        <v>-</v>
      </c>
      <c r="AN146" s="85" t="str">
        <f t="shared" ref="AN146" si="507">IF(AM146="-","-",ROUNDUP(D146/24,2))</f>
        <v>-</v>
      </c>
      <c r="AO146" s="85" t="str">
        <f>'Consumer Hardware Pricing'!AD154</f>
        <v>-</v>
      </c>
      <c r="AP146" s="85" t="str">
        <f t="shared" ref="AP146" si="508">IF(AO146="-",AN146,AN146-AO146)</f>
        <v>-</v>
      </c>
      <c r="AQ146" s="85" t="str">
        <f t="shared" ref="AQ146" si="509">IF(AO146="-",AO146,AO146*24)</f>
        <v>-</v>
      </c>
      <c r="AR146" s="85" t="str">
        <f t="shared" ref="AR146" si="510">IF(AM146="-",AM146,AP146*24)</f>
        <v>-</v>
      </c>
      <c r="AS146" s="85" t="str">
        <f>'Consumer Hardware Pricing'!AF154</f>
        <v>-</v>
      </c>
      <c r="AT146" s="85" t="str">
        <f t="shared" ref="AT146" si="511">IF(AS146="-",AS146,IF(AO146="-",AN146-ROUNDUP((D146-AS146)/24,2),AO146+AN146-ROUNDUP((D146-AS146)/24,2)))</f>
        <v>-</v>
      </c>
      <c r="AU146" s="85" t="str">
        <f t="shared" ref="AU146" si="512">IF(AS146="-",AS146,AN146-AT146)</f>
        <v>-</v>
      </c>
      <c r="AV146" s="85" t="str">
        <f t="shared" ref="AV146" si="513">IF(AS146="-",AS146,AT146*24)</f>
        <v>-</v>
      </c>
      <c r="AW146" s="85" t="str">
        <f t="shared" ref="AW146" si="514">IF(AS146="-",AS146,AU146*24)</f>
        <v>-</v>
      </c>
      <c r="AX146" s="85" t="str">
        <f>'Consumer Hardware Pricing'!AH154</f>
        <v>-</v>
      </c>
      <c r="AY146" s="85" t="str">
        <f t="shared" ref="AY146" si="515">IF(AX146="-",AX146,ROUNDUP((D146-AX146)/24,2))</f>
        <v>-</v>
      </c>
      <c r="AZ146" s="85" t="str">
        <f>'Consumer Hardware Pricing'!AI154</f>
        <v>-</v>
      </c>
      <c r="BA146" s="85" t="str">
        <f t="shared" ref="BA146" si="516">IF(AZ146="-",AY146,AY146-AZ146)</f>
        <v>-</v>
      </c>
      <c r="BB146" s="85" t="str">
        <f t="shared" ref="BB146" si="517">IF(AZ146="-",AZ146,AZ146*24)</f>
        <v>-</v>
      </c>
      <c r="BC146" s="85" t="str">
        <f t="shared" ref="BC146" si="518">IF(AX146="-",AX146,AX146+(BA146*24))</f>
        <v>-</v>
      </c>
      <c r="BD146" s="85">
        <f>'Consumer Hardware Pricing'!AL154</f>
        <v>0</v>
      </c>
      <c r="BE146" s="85">
        <f t="shared" ref="BE146" si="519">IF(BD146="-",BD146,ROUNDUP((D146-BD146)/24,2))</f>
        <v>55.419999999999995</v>
      </c>
      <c r="BF146" s="85" t="str">
        <f>'Consumer Hardware Pricing'!AM154</f>
        <v>-</v>
      </c>
      <c r="BG146" s="85">
        <f t="shared" ref="BG146" si="520">IF(BF146="-",BE146,BE146-BF146)</f>
        <v>55.419999999999995</v>
      </c>
      <c r="BH146" s="85" t="str">
        <f t="shared" ref="BH146" si="521">IF(BF146="-",BF146,BF146*24)</f>
        <v>-</v>
      </c>
      <c r="BI146" s="85">
        <f t="shared" ref="BI146" si="522">IF(BD146="-",BD146,BD146+(BG146*24))</f>
        <v>1330.08</v>
      </c>
      <c r="BJ146" s="85" t="str">
        <f>'Consumer Hardware Pricing'!AP154</f>
        <v>-</v>
      </c>
      <c r="BK146" s="85" t="str">
        <f t="shared" ref="BK146" si="523">IF(BJ146="-",BJ146,ROUNDUP((D146-BJ146)/24,2))</f>
        <v>-</v>
      </c>
      <c r="BL146" s="85" t="str">
        <f>'Consumer Hardware Pricing'!AQ154</f>
        <v>-</v>
      </c>
      <c r="BM146" s="85" t="str">
        <f t="shared" ref="BM146" si="524">IF(BL146="-",BK146,BK146-BL146)</f>
        <v>-</v>
      </c>
      <c r="BN146" s="85" t="str">
        <f t="shared" ref="BN146" si="525">IF(BL146="-",BL146,BL146*24)</f>
        <v>-</v>
      </c>
      <c r="BO146" s="85" t="str">
        <f t="shared" ref="BO146" si="526">IF(BJ146="-",BJ146,BJ146+(BM146*24))</f>
        <v>-</v>
      </c>
      <c r="BP146" s="85" t="str">
        <f>'Consumer Hardware Pricing'!AT154</f>
        <v>-</v>
      </c>
      <c r="BQ146" s="85" t="str">
        <f t="shared" ref="BQ146" si="527">IF(BP146="-",BP146,ROUNDUP((D146-BP146)/24,2))</f>
        <v>-</v>
      </c>
      <c r="BR146" s="85" t="str">
        <f>'Consumer Hardware Pricing'!AU154</f>
        <v>-</v>
      </c>
      <c r="BS146" s="85" t="str">
        <f t="shared" ref="BS146" si="528">IF(BR146="-",BQ146,BQ146-BR146)</f>
        <v>-</v>
      </c>
      <c r="BT146" s="85" t="str">
        <f t="shared" ref="BT146" si="529">IF(BR146="-",BR146,BR146*24)</f>
        <v>-</v>
      </c>
      <c r="BU146" s="85" t="str">
        <f t="shared" ref="BU146" si="530">IF(BP146="-",BP146,BP146+(BS146*24))</f>
        <v>-</v>
      </c>
    </row>
    <row r="147" spans="1:73" ht="30.15" customHeight="1" x14ac:dyDescent="0.25">
      <c r="A147" s="86" t="s">
        <v>35</v>
      </c>
      <c r="B147" s="88" t="s">
        <v>861</v>
      </c>
      <c r="C147" s="88" t="s">
        <v>874</v>
      </c>
      <c r="D147" s="85">
        <f>'Consumer Hardware Pricing'!L155</f>
        <v>1640</v>
      </c>
      <c r="E147" s="85">
        <f>'Consumer Hardware Pricing'!M155</f>
        <v>1640</v>
      </c>
      <c r="F147" s="85" t="str">
        <f>'Consumer Hardware Pricing'!N155</f>
        <v>-</v>
      </c>
      <c r="G147" s="85" t="str">
        <f t="shared" si="359"/>
        <v>-</v>
      </c>
      <c r="H147" s="85" t="str">
        <f>'Consumer Hardware Pricing'!O155</f>
        <v>-</v>
      </c>
      <c r="I147" s="85" t="str">
        <f t="shared" si="334"/>
        <v>-</v>
      </c>
      <c r="J147" s="85" t="str">
        <f t="shared" si="335"/>
        <v>-</v>
      </c>
      <c r="K147" s="85" t="str">
        <f t="shared" si="336"/>
        <v>-</v>
      </c>
      <c r="L147" s="85" t="str">
        <f>'Consumer Hardware Pricing'!Q155</f>
        <v>-</v>
      </c>
      <c r="M147" s="85" t="str">
        <f t="shared" si="360"/>
        <v>-</v>
      </c>
      <c r="N147" s="85" t="str">
        <f t="shared" si="337"/>
        <v>-</v>
      </c>
      <c r="O147" s="85" t="str">
        <f t="shared" si="338"/>
        <v>-</v>
      </c>
      <c r="P147" s="85" t="str">
        <f t="shared" si="339"/>
        <v>-</v>
      </c>
      <c r="Q147" s="85" t="str">
        <f>'Consumer Hardware Pricing'!S155</f>
        <v>-</v>
      </c>
      <c r="R147" s="85" t="str">
        <f t="shared" si="340"/>
        <v>-</v>
      </c>
      <c r="S147" s="85" t="str">
        <f>'Consumer Hardware Pricing'!T155</f>
        <v>-</v>
      </c>
      <c r="T147" s="129" t="str">
        <f t="shared" si="341"/>
        <v>-</v>
      </c>
      <c r="U147" s="129" t="str">
        <f t="shared" si="342"/>
        <v>-</v>
      </c>
      <c r="V147" s="85" t="str">
        <f t="shared" si="343"/>
        <v>-</v>
      </c>
      <c r="W147" s="129" t="str">
        <f>'Consumer Hardware Pricing'!V155</f>
        <v>-</v>
      </c>
      <c r="X147" s="129" t="str">
        <f t="shared" si="361"/>
        <v>-</v>
      </c>
      <c r="Y147" s="129" t="str">
        <f t="shared" si="344"/>
        <v>-</v>
      </c>
      <c r="Z147" s="129" t="str">
        <f t="shared" si="345"/>
        <v>-</v>
      </c>
      <c r="AA147" s="85" t="str">
        <f t="shared" si="346"/>
        <v>-</v>
      </c>
      <c r="AB147" s="85" t="str">
        <f>'Consumer Hardware Pricing'!X155</f>
        <v>-</v>
      </c>
      <c r="AC147" s="85" t="str">
        <f t="shared" si="326"/>
        <v>-</v>
      </c>
      <c r="AD147" s="85" t="str">
        <f>'Consumer Hardware Pricing'!Y155</f>
        <v>-</v>
      </c>
      <c r="AE147" s="85" t="str">
        <f t="shared" si="177"/>
        <v>-</v>
      </c>
      <c r="AF147" s="85" t="str">
        <f t="shared" si="178"/>
        <v>-</v>
      </c>
      <c r="AG147" s="85" t="str">
        <f t="shared" si="179"/>
        <v>-</v>
      </c>
      <c r="AH147" s="85" t="str">
        <f>'Consumer Hardware Pricing'!AA155</f>
        <v>-</v>
      </c>
      <c r="AI147" s="85" t="str">
        <f t="shared" si="327"/>
        <v>-</v>
      </c>
      <c r="AJ147" s="85" t="str">
        <f t="shared" si="180"/>
        <v>-</v>
      </c>
      <c r="AK147" s="85" t="str">
        <f t="shared" si="181"/>
        <v>-</v>
      </c>
      <c r="AL147" s="85" t="str">
        <f t="shared" si="182"/>
        <v>-</v>
      </c>
      <c r="AM147" s="85" t="str">
        <f>'Consumer Hardware Pricing'!AC155</f>
        <v>-</v>
      </c>
      <c r="AN147" s="85" t="str">
        <f t="shared" si="328"/>
        <v>-</v>
      </c>
      <c r="AO147" s="85" t="str">
        <f>'Consumer Hardware Pricing'!AD155</f>
        <v>-</v>
      </c>
      <c r="AP147" s="85" t="str">
        <f t="shared" si="183"/>
        <v>-</v>
      </c>
      <c r="AQ147" s="85" t="str">
        <f t="shared" si="184"/>
        <v>-</v>
      </c>
      <c r="AR147" s="85" t="str">
        <f t="shared" si="185"/>
        <v>-</v>
      </c>
      <c r="AS147" s="85" t="str">
        <f>'Consumer Hardware Pricing'!AF155</f>
        <v>-</v>
      </c>
      <c r="AT147" s="85" t="str">
        <f t="shared" si="329"/>
        <v>-</v>
      </c>
      <c r="AU147" s="85" t="str">
        <f t="shared" si="186"/>
        <v>-</v>
      </c>
      <c r="AV147" s="85" t="str">
        <f t="shared" si="187"/>
        <v>-</v>
      </c>
      <c r="AW147" s="85" t="str">
        <f t="shared" si="188"/>
        <v>-</v>
      </c>
      <c r="AX147" s="85" t="str">
        <f>'Consumer Hardware Pricing'!AH155</f>
        <v>-</v>
      </c>
      <c r="AY147" s="85" t="str">
        <f t="shared" si="330"/>
        <v>-</v>
      </c>
      <c r="AZ147" s="85" t="str">
        <f>'Consumer Hardware Pricing'!AI155</f>
        <v>-</v>
      </c>
      <c r="BA147" s="85" t="str">
        <f t="shared" si="347"/>
        <v>-</v>
      </c>
      <c r="BB147" s="85" t="str">
        <f t="shared" si="348"/>
        <v>-</v>
      </c>
      <c r="BC147" s="85" t="str">
        <f t="shared" si="349"/>
        <v>-</v>
      </c>
      <c r="BD147" s="85">
        <f>'Consumer Hardware Pricing'!AL155</f>
        <v>0</v>
      </c>
      <c r="BE147" s="85">
        <f t="shared" si="331"/>
        <v>68.34</v>
      </c>
      <c r="BF147" s="85" t="str">
        <f>'Consumer Hardware Pricing'!AM155</f>
        <v>-</v>
      </c>
      <c r="BG147" s="85">
        <f t="shared" si="350"/>
        <v>68.34</v>
      </c>
      <c r="BH147" s="85" t="str">
        <f t="shared" si="351"/>
        <v>-</v>
      </c>
      <c r="BI147" s="85">
        <f t="shared" si="352"/>
        <v>1640.16</v>
      </c>
      <c r="BJ147" s="85" t="str">
        <f>'Consumer Hardware Pricing'!AP155</f>
        <v>-</v>
      </c>
      <c r="BK147" s="85" t="str">
        <f t="shared" si="332"/>
        <v>-</v>
      </c>
      <c r="BL147" s="85" t="str">
        <f>'Consumer Hardware Pricing'!AQ155</f>
        <v>-</v>
      </c>
      <c r="BM147" s="85" t="str">
        <f t="shared" si="353"/>
        <v>-</v>
      </c>
      <c r="BN147" s="85" t="str">
        <f t="shared" si="354"/>
        <v>-</v>
      </c>
      <c r="BO147" s="85" t="str">
        <f t="shared" si="355"/>
        <v>-</v>
      </c>
      <c r="BP147" s="85" t="str">
        <f>'Consumer Hardware Pricing'!AT155</f>
        <v>-</v>
      </c>
      <c r="BQ147" s="85" t="str">
        <f t="shared" si="333"/>
        <v>-</v>
      </c>
      <c r="BR147" s="85" t="str">
        <f>'Consumer Hardware Pricing'!AU155</f>
        <v>-</v>
      </c>
      <c r="BS147" s="85" t="str">
        <f t="shared" si="356"/>
        <v>-</v>
      </c>
      <c r="BT147" s="85" t="str">
        <f t="shared" si="357"/>
        <v>-</v>
      </c>
      <c r="BU147" s="85" t="str">
        <f t="shared" si="358"/>
        <v>-</v>
      </c>
    </row>
    <row r="148" spans="1:73" ht="30.15" customHeight="1" x14ac:dyDescent="0.25">
      <c r="A148" s="86" t="s">
        <v>35</v>
      </c>
      <c r="B148" s="88" t="s">
        <v>862</v>
      </c>
      <c r="C148" s="88" t="s">
        <v>874</v>
      </c>
      <c r="D148" s="85">
        <f>'Consumer Hardware Pricing'!L156</f>
        <v>1640</v>
      </c>
      <c r="E148" s="85">
        <f>'Consumer Hardware Pricing'!M156</f>
        <v>1640</v>
      </c>
      <c r="F148" s="85" t="str">
        <f>'Consumer Hardware Pricing'!N156</f>
        <v>-</v>
      </c>
      <c r="G148" s="85" t="str">
        <f t="shared" si="359"/>
        <v>-</v>
      </c>
      <c r="H148" s="85" t="str">
        <f>'Consumer Hardware Pricing'!O156</f>
        <v>-</v>
      </c>
      <c r="I148" s="85" t="str">
        <f t="shared" si="334"/>
        <v>-</v>
      </c>
      <c r="J148" s="85" t="str">
        <f t="shared" si="335"/>
        <v>-</v>
      </c>
      <c r="K148" s="85" t="str">
        <f t="shared" si="336"/>
        <v>-</v>
      </c>
      <c r="L148" s="85" t="str">
        <f>'Consumer Hardware Pricing'!Q156</f>
        <v>-</v>
      </c>
      <c r="M148" s="85" t="str">
        <f t="shared" si="360"/>
        <v>-</v>
      </c>
      <c r="N148" s="85" t="str">
        <f t="shared" si="337"/>
        <v>-</v>
      </c>
      <c r="O148" s="85" t="str">
        <f t="shared" si="338"/>
        <v>-</v>
      </c>
      <c r="P148" s="85" t="str">
        <f t="shared" si="339"/>
        <v>-</v>
      </c>
      <c r="Q148" s="85" t="str">
        <f>'Consumer Hardware Pricing'!S156</f>
        <v>-</v>
      </c>
      <c r="R148" s="85" t="str">
        <f t="shared" si="340"/>
        <v>-</v>
      </c>
      <c r="S148" s="85" t="str">
        <f>'Consumer Hardware Pricing'!T156</f>
        <v>-</v>
      </c>
      <c r="T148" s="129" t="str">
        <f t="shared" si="341"/>
        <v>-</v>
      </c>
      <c r="U148" s="129" t="str">
        <f t="shared" si="342"/>
        <v>-</v>
      </c>
      <c r="V148" s="85" t="str">
        <f t="shared" si="343"/>
        <v>-</v>
      </c>
      <c r="W148" s="129" t="str">
        <f>'Consumer Hardware Pricing'!V156</f>
        <v>-</v>
      </c>
      <c r="X148" s="129" t="str">
        <f t="shared" si="361"/>
        <v>-</v>
      </c>
      <c r="Y148" s="129" t="str">
        <f t="shared" si="344"/>
        <v>-</v>
      </c>
      <c r="Z148" s="129" t="str">
        <f t="shared" si="345"/>
        <v>-</v>
      </c>
      <c r="AA148" s="85" t="str">
        <f t="shared" si="346"/>
        <v>-</v>
      </c>
      <c r="AB148" s="85" t="str">
        <f>'Consumer Hardware Pricing'!X156</f>
        <v>-</v>
      </c>
      <c r="AC148" s="85" t="str">
        <f t="shared" si="326"/>
        <v>-</v>
      </c>
      <c r="AD148" s="85" t="str">
        <f>'Consumer Hardware Pricing'!Y156</f>
        <v>-</v>
      </c>
      <c r="AE148" s="85" t="str">
        <f t="shared" si="177"/>
        <v>-</v>
      </c>
      <c r="AF148" s="85" t="str">
        <f t="shared" si="178"/>
        <v>-</v>
      </c>
      <c r="AG148" s="85" t="str">
        <f t="shared" si="179"/>
        <v>-</v>
      </c>
      <c r="AH148" s="85" t="str">
        <f>'Consumer Hardware Pricing'!AA156</f>
        <v>-</v>
      </c>
      <c r="AI148" s="85" t="str">
        <f t="shared" si="327"/>
        <v>-</v>
      </c>
      <c r="AJ148" s="85" t="str">
        <f t="shared" si="180"/>
        <v>-</v>
      </c>
      <c r="AK148" s="85" t="str">
        <f t="shared" si="181"/>
        <v>-</v>
      </c>
      <c r="AL148" s="85" t="str">
        <f t="shared" si="182"/>
        <v>-</v>
      </c>
      <c r="AM148" s="85" t="str">
        <f>'Consumer Hardware Pricing'!AC156</f>
        <v>-</v>
      </c>
      <c r="AN148" s="85" t="str">
        <f t="shared" si="328"/>
        <v>-</v>
      </c>
      <c r="AO148" s="85" t="str">
        <f>'Consumer Hardware Pricing'!AD156</f>
        <v>-</v>
      </c>
      <c r="AP148" s="85" t="str">
        <f t="shared" si="183"/>
        <v>-</v>
      </c>
      <c r="AQ148" s="85" t="str">
        <f t="shared" si="184"/>
        <v>-</v>
      </c>
      <c r="AR148" s="85" t="str">
        <f t="shared" si="185"/>
        <v>-</v>
      </c>
      <c r="AS148" s="85" t="str">
        <f>'Consumer Hardware Pricing'!AF156</f>
        <v>-</v>
      </c>
      <c r="AT148" s="85" t="str">
        <f t="shared" si="329"/>
        <v>-</v>
      </c>
      <c r="AU148" s="85" t="str">
        <f t="shared" si="186"/>
        <v>-</v>
      </c>
      <c r="AV148" s="85" t="str">
        <f t="shared" si="187"/>
        <v>-</v>
      </c>
      <c r="AW148" s="85" t="str">
        <f t="shared" si="188"/>
        <v>-</v>
      </c>
      <c r="AX148" s="85" t="str">
        <f>'Consumer Hardware Pricing'!AH156</f>
        <v>-</v>
      </c>
      <c r="AY148" s="85" t="str">
        <f t="shared" si="330"/>
        <v>-</v>
      </c>
      <c r="AZ148" s="85" t="str">
        <f>'Consumer Hardware Pricing'!AI156</f>
        <v>-</v>
      </c>
      <c r="BA148" s="85" t="str">
        <f t="shared" si="347"/>
        <v>-</v>
      </c>
      <c r="BB148" s="85" t="str">
        <f t="shared" si="348"/>
        <v>-</v>
      </c>
      <c r="BC148" s="85" t="str">
        <f t="shared" si="349"/>
        <v>-</v>
      </c>
      <c r="BD148" s="85">
        <f>'Consumer Hardware Pricing'!AL156</f>
        <v>0</v>
      </c>
      <c r="BE148" s="85">
        <f t="shared" si="331"/>
        <v>68.34</v>
      </c>
      <c r="BF148" s="85" t="str">
        <f>'Consumer Hardware Pricing'!AM156</f>
        <v>-</v>
      </c>
      <c r="BG148" s="85">
        <f t="shared" si="350"/>
        <v>68.34</v>
      </c>
      <c r="BH148" s="85" t="str">
        <f t="shared" si="351"/>
        <v>-</v>
      </c>
      <c r="BI148" s="85">
        <f t="shared" si="352"/>
        <v>1640.16</v>
      </c>
      <c r="BJ148" s="85" t="str">
        <f>'Consumer Hardware Pricing'!AP156</f>
        <v>-</v>
      </c>
      <c r="BK148" s="85" t="str">
        <f t="shared" si="332"/>
        <v>-</v>
      </c>
      <c r="BL148" s="85" t="str">
        <f>'Consumer Hardware Pricing'!AQ156</f>
        <v>-</v>
      </c>
      <c r="BM148" s="85" t="str">
        <f t="shared" si="353"/>
        <v>-</v>
      </c>
      <c r="BN148" s="85" t="str">
        <f t="shared" si="354"/>
        <v>-</v>
      </c>
      <c r="BO148" s="85" t="str">
        <f t="shared" si="355"/>
        <v>-</v>
      </c>
      <c r="BP148" s="85" t="str">
        <f>'Consumer Hardware Pricing'!AT156</f>
        <v>-</v>
      </c>
      <c r="BQ148" s="85" t="str">
        <f t="shared" si="333"/>
        <v>-</v>
      </c>
      <c r="BR148" s="85" t="str">
        <f>'Consumer Hardware Pricing'!AU156</f>
        <v>-</v>
      </c>
      <c r="BS148" s="85" t="str">
        <f t="shared" si="356"/>
        <v>-</v>
      </c>
      <c r="BT148" s="85" t="str">
        <f t="shared" si="357"/>
        <v>-</v>
      </c>
      <c r="BU148" s="85" t="str">
        <f t="shared" si="358"/>
        <v>-</v>
      </c>
    </row>
    <row r="149" spans="1:73" ht="30.15" customHeight="1" x14ac:dyDescent="0.25">
      <c r="A149" s="86" t="s">
        <v>35</v>
      </c>
      <c r="B149" s="88" t="s">
        <v>906</v>
      </c>
      <c r="C149" s="88" t="s">
        <v>874</v>
      </c>
      <c r="D149" s="85">
        <f>'Consumer Hardware Pricing'!L157</f>
        <v>1649.99</v>
      </c>
      <c r="E149" s="85">
        <f>'Consumer Hardware Pricing'!M157</f>
        <v>1649.99</v>
      </c>
      <c r="F149" s="85" t="str">
        <f>'Consumer Hardware Pricing'!N157</f>
        <v>-</v>
      </c>
      <c r="G149" s="85" t="str">
        <f t="shared" si="359"/>
        <v>-</v>
      </c>
      <c r="H149" s="85" t="str">
        <f>'Consumer Hardware Pricing'!O157</f>
        <v>-</v>
      </c>
      <c r="I149" s="85" t="str">
        <f t="shared" ref="I149:I159" si="531">IF(H149="-",G149,G149-H149)</f>
        <v>-</v>
      </c>
      <c r="J149" s="85" t="str">
        <f t="shared" ref="J149:J159" si="532">IF(H149="-",H149,H149*24)</f>
        <v>-</v>
      </c>
      <c r="K149" s="85" t="str">
        <f t="shared" ref="K149:K159" si="533">IF(F149="-",F149,I149*24)</f>
        <v>-</v>
      </c>
      <c r="L149" s="85" t="str">
        <f>'Consumer Hardware Pricing'!Q157</f>
        <v>-</v>
      </c>
      <c r="M149" s="85" t="str">
        <f t="shared" si="360"/>
        <v>-</v>
      </c>
      <c r="N149" s="85" t="str">
        <f t="shared" ref="N149:N159" si="534">IF(L149="-",L149,G149-M149)</f>
        <v>-</v>
      </c>
      <c r="O149" s="85" t="str">
        <f t="shared" ref="O149:O159" si="535">IF(L149="-",L149,M149*24)</f>
        <v>-</v>
      </c>
      <c r="P149" s="85" t="str">
        <f t="shared" ref="P149:P159" si="536">IF(L149="-",L149,N149*24)</f>
        <v>-</v>
      </c>
      <c r="Q149" s="85" t="str">
        <f>'Consumer Hardware Pricing'!S157</f>
        <v>-</v>
      </c>
      <c r="R149" s="85" t="str">
        <f t="shared" ref="R149:R159" si="537">G149</f>
        <v>-</v>
      </c>
      <c r="S149" s="85" t="str">
        <f>'Consumer Hardware Pricing'!T157</f>
        <v>-</v>
      </c>
      <c r="T149" s="129" t="str">
        <f t="shared" ref="T149:T159" si="538">IF(S149="-",R149,R149-S149)</f>
        <v>-</v>
      </c>
      <c r="U149" s="129" t="str">
        <f t="shared" ref="U149:U159" si="539">IF(S149="-",S149,S149*24)</f>
        <v>-</v>
      </c>
      <c r="V149" s="85" t="str">
        <f t="shared" ref="V149:V159" si="540">IF(Q149="-",Q149,T149*24)</f>
        <v>-</v>
      </c>
      <c r="W149" s="129" t="str">
        <f>'Consumer Hardware Pricing'!V157</f>
        <v>-</v>
      </c>
      <c r="X149" s="129" t="str">
        <f t="shared" si="361"/>
        <v>-</v>
      </c>
      <c r="Y149" s="129" t="str">
        <f t="shared" ref="Y149:Y159" si="541">IF(W149="-",W149,R149-X149)</f>
        <v>-</v>
      </c>
      <c r="Z149" s="129" t="str">
        <f t="shared" ref="Z149:Z159" si="542">IF(W149="-",W149,X149*24)</f>
        <v>-</v>
      </c>
      <c r="AA149" s="85" t="str">
        <f t="shared" ref="AA149:AA159" si="543">IF(W149="-",W149,Y149*24)</f>
        <v>-</v>
      </c>
      <c r="AB149" s="85" t="str">
        <f>'Consumer Hardware Pricing'!X157</f>
        <v>-</v>
      </c>
      <c r="AC149" s="85" t="str">
        <f t="shared" si="326"/>
        <v>-</v>
      </c>
      <c r="AD149" s="85" t="str">
        <f>'Consumer Hardware Pricing'!Y157</f>
        <v>-</v>
      </c>
      <c r="AE149" s="85" t="str">
        <f t="shared" si="177"/>
        <v>-</v>
      </c>
      <c r="AF149" s="85" t="str">
        <f t="shared" si="178"/>
        <v>-</v>
      </c>
      <c r="AG149" s="85" t="str">
        <f t="shared" si="179"/>
        <v>-</v>
      </c>
      <c r="AH149" s="85" t="str">
        <f>'Consumer Hardware Pricing'!AA157</f>
        <v>-</v>
      </c>
      <c r="AI149" s="85" t="str">
        <f t="shared" si="327"/>
        <v>-</v>
      </c>
      <c r="AJ149" s="85" t="str">
        <f t="shared" si="180"/>
        <v>-</v>
      </c>
      <c r="AK149" s="85" t="str">
        <f t="shared" si="181"/>
        <v>-</v>
      </c>
      <c r="AL149" s="85" t="str">
        <f t="shared" si="182"/>
        <v>-</v>
      </c>
      <c r="AM149" s="85" t="str">
        <f>'Consumer Hardware Pricing'!AC157</f>
        <v>-</v>
      </c>
      <c r="AN149" s="85" t="str">
        <f t="shared" si="328"/>
        <v>-</v>
      </c>
      <c r="AO149" s="85" t="str">
        <f>'Consumer Hardware Pricing'!AD157</f>
        <v>-</v>
      </c>
      <c r="AP149" s="85" t="str">
        <f t="shared" si="183"/>
        <v>-</v>
      </c>
      <c r="AQ149" s="85" t="str">
        <f t="shared" si="184"/>
        <v>-</v>
      </c>
      <c r="AR149" s="85" t="str">
        <f t="shared" si="185"/>
        <v>-</v>
      </c>
      <c r="AS149" s="85" t="str">
        <f>'Consumer Hardware Pricing'!AF157</f>
        <v>-</v>
      </c>
      <c r="AT149" s="85" t="str">
        <f t="shared" si="329"/>
        <v>-</v>
      </c>
      <c r="AU149" s="85" t="str">
        <f t="shared" si="186"/>
        <v>-</v>
      </c>
      <c r="AV149" s="85" t="str">
        <f t="shared" si="187"/>
        <v>-</v>
      </c>
      <c r="AW149" s="85" t="str">
        <f t="shared" si="188"/>
        <v>-</v>
      </c>
      <c r="AX149" s="85" t="str">
        <f>'Consumer Hardware Pricing'!AH157</f>
        <v>-</v>
      </c>
      <c r="AY149" s="85" t="str">
        <f t="shared" si="330"/>
        <v>-</v>
      </c>
      <c r="AZ149" s="85" t="str">
        <f>'Consumer Hardware Pricing'!AI157</f>
        <v>-</v>
      </c>
      <c r="BA149" s="85" t="str">
        <f t="shared" ref="BA149:BA159" si="544">IF(AZ149="-",AY149,AY149-AZ149)</f>
        <v>-</v>
      </c>
      <c r="BB149" s="85" t="str">
        <f t="shared" ref="BB149:BB159" si="545">IF(AZ149="-",AZ149,AZ149*24)</f>
        <v>-</v>
      </c>
      <c r="BC149" s="85" t="str">
        <f t="shared" ref="BC149:BC159" si="546">IF(AX149="-",AX149,AX149+(BA149*24))</f>
        <v>-</v>
      </c>
      <c r="BD149" s="85">
        <f>'Consumer Hardware Pricing'!AL157</f>
        <v>0</v>
      </c>
      <c r="BE149" s="85">
        <f t="shared" si="331"/>
        <v>68.75</v>
      </c>
      <c r="BF149" s="85" t="str">
        <f>'Consumer Hardware Pricing'!AM157</f>
        <v>-</v>
      </c>
      <c r="BG149" s="85">
        <f t="shared" ref="BG149:BG159" si="547">IF(BF149="-",BE149,BE149-BF149)</f>
        <v>68.75</v>
      </c>
      <c r="BH149" s="85" t="str">
        <f t="shared" ref="BH149:BH159" si="548">IF(BF149="-",BF149,BF149*24)</f>
        <v>-</v>
      </c>
      <c r="BI149" s="85">
        <f t="shared" ref="BI149:BI159" si="549">IF(BD149="-",BD149,BD149+(BG149*24))</f>
        <v>1650</v>
      </c>
      <c r="BJ149" s="85" t="str">
        <f>'Consumer Hardware Pricing'!AP157</f>
        <v>-</v>
      </c>
      <c r="BK149" s="85" t="str">
        <f t="shared" si="332"/>
        <v>-</v>
      </c>
      <c r="BL149" s="85" t="str">
        <f>'Consumer Hardware Pricing'!AQ157</f>
        <v>-</v>
      </c>
      <c r="BM149" s="85" t="str">
        <f t="shared" ref="BM149:BM159" si="550">IF(BL149="-",BK149,BK149-BL149)</f>
        <v>-</v>
      </c>
      <c r="BN149" s="85" t="str">
        <f t="shared" ref="BN149:BN159" si="551">IF(BL149="-",BL149,BL149*24)</f>
        <v>-</v>
      </c>
      <c r="BO149" s="85" t="str">
        <f t="shared" ref="BO149:BO159" si="552">IF(BJ149="-",BJ149,BJ149+(BM149*24))</f>
        <v>-</v>
      </c>
      <c r="BP149" s="85" t="str">
        <f>'Consumer Hardware Pricing'!AT157</f>
        <v>-</v>
      </c>
      <c r="BQ149" s="85" t="str">
        <f t="shared" si="333"/>
        <v>-</v>
      </c>
      <c r="BR149" s="85" t="str">
        <f>'Consumer Hardware Pricing'!AU157</f>
        <v>-</v>
      </c>
      <c r="BS149" s="85" t="str">
        <f t="shared" ref="BS149:BS159" si="553">IF(BR149="-",BQ149,BQ149-BR149)</f>
        <v>-</v>
      </c>
      <c r="BT149" s="85" t="str">
        <f t="shared" ref="BT149:BT159" si="554">IF(BR149="-",BR149,BR149*24)</f>
        <v>-</v>
      </c>
      <c r="BU149" s="85" t="str">
        <f t="shared" ref="BU149:BU159" si="555">IF(BP149="-",BP149,BP149+(BS149*24))</f>
        <v>-</v>
      </c>
    </row>
    <row r="150" spans="1:73" ht="30.15" customHeight="1" x14ac:dyDescent="0.25">
      <c r="A150" s="86" t="s">
        <v>35</v>
      </c>
      <c r="B150" s="88" t="s">
        <v>863</v>
      </c>
      <c r="C150" s="88" t="s">
        <v>875</v>
      </c>
      <c r="D150" s="85">
        <f>'Consumer Hardware Pricing'!L158</f>
        <v>1899</v>
      </c>
      <c r="E150" s="85">
        <f>'Consumer Hardware Pricing'!M158</f>
        <v>1899</v>
      </c>
      <c r="F150" s="85" t="str">
        <f>'Consumer Hardware Pricing'!N158</f>
        <v>-</v>
      </c>
      <c r="G150" s="85" t="str">
        <f t="shared" si="359"/>
        <v>-</v>
      </c>
      <c r="H150" s="85" t="str">
        <f>'Consumer Hardware Pricing'!O158</f>
        <v>-</v>
      </c>
      <c r="I150" s="85" t="str">
        <f t="shared" si="531"/>
        <v>-</v>
      </c>
      <c r="J150" s="85" t="str">
        <f t="shared" si="532"/>
        <v>-</v>
      </c>
      <c r="K150" s="85" t="str">
        <f t="shared" si="533"/>
        <v>-</v>
      </c>
      <c r="L150" s="85" t="str">
        <f>'Consumer Hardware Pricing'!Q158</f>
        <v>-</v>
      </c>
      <c r="M150" s="85" t="str">
        <f t="shared" si="360"/>
        <v>-</v>
      </c>
      <c r="N150" s="85" t="str">
        <f t="shared" si="534"/>
        <v>-</v>
      </c>
      <c r="O150" s="85" t="str">
        <f t="shared" si="535"/>
        <v>-</v>
      </c>
      <c r="P150" s="85" t="str">
        <f t="shared" si="536"/>
        <v>-</v>
      </c>
      <c r="Q150" s="85" t="str">
        <f>'Consumer Hardware Pricing'!S158</f>
        <v>-</v>
      </c>
      <c r="R150" s="85" t="str">
        <f t="shared" si="537"/>
        <v>-</v>
      </c>
      <c r="S150" s="85" t="str">
        <f>'Consumer Hardware Pricing'!T158</f>
        <v>-</v>
      </c>
      <c r="T150" s="129" t="str">
        <f t="shared" si="538"/>
        <v>-</v>
      </c>
      <c r="U150" s="129" t="str">
        <f t="shared" si="539"/>
        <v>-</v>
      </c>
      <c r="V150" s="85" t="str">
        <f t="shared" si="540"/>
        <v>-</v>
      </c>
      <c r="W150" s="129" t="str">
        <f>'Consumer Hardware Pricing'!V158</f>
        <v>-</v>
      </c>
      <c r="X150" s="129" t="str">
        <f t="shared" si="361"/>
        <v>-</v>
      </c>
      <c r="Y150" s="129" t="str">
        <f t="shared" si="541"/>
        <v>-</v>
      </c>
      <c r="Z150" s="129" t="str">
        <f t="shared" si="542"/>
        <v>-</v>
      </c>
      <c r="AA150" s="85" t="str">
        <f t="shared" si="543"/>
        <v>-</v>
      </c>
      <c r="AB150" s="85" t="str">
        <f>'Consumer Hardware Pricing'!X158</f>
        <v>-</v>
      </c>
      <c r="AC150" s="85" t="str">
        <f t="shared" si="326"/>
        <v>-</v>
      </c>
      <c r="AD150" s="85" t="str">
        <f>'Consumer Hardware Pricing'!Y158</f>
        <v>-</v>
      </c>
      <c r="AE150" s="85" t="str">
        <f t="shared" si="177"/>
        <v>-</v>
      </c>
      <c r="AF150" s="85" t="str">
        <f t="shared" si="178"/>
        <v>-</v>
      </c>
      <c r="AG150" s="85" t="str">
        <f t="shared" si="179"/>
        <v>-</v>
      </c>
      <c r="AH150" s="85" t="str">
        <f>'Consumer Hardware Pricing'!AA158</f>
        <v>-</v>
      </c>
      <c r="AI150" s="85" t="str">
        <f t="shared" si="327"/>
        <v>-</v>
      </c>
      <c r="AJ150" s="85" t="str">
        <f t="shared" si="180"/>
        <v>-</v>
      </c>
      <c r="AK150" s="85" t="str">
        <f t="shared" si="181"/>
        <v>-</v>
      </c>
      <c r="AL150" s="85" t="str">
        <f t="shared" si="182"/>
        <v>-</v>
      </c>
      <c r="AM150" s="85" t="str">
        <f>'Consumer Hardware Pricing'!AC158</f>
        <v>-</v>
      </c>
      <c r="AN150" s="85" t="str">
        <f t="shared" si="328"/>
        <v>-</v>
      </c>
      <c r="AO150" s="85" t="str">
        <f>'Consumer Hardware Pricing'!AD158</f>
        <v>-</v>
      </c>
      <c r="AP150" s="85" t="str">
        <f t="shared" si="183"/>
        <v>-</v>
      </c>
      <c r="AQ150" s="85" t="str">
        <f t="shared" si="184"/>
        <v>-</v>
      </c>
      <c r="AR150" s="85" t="str">
        <f t="shared" si="185"/>
        <v>-</v>
      </c>
      <c r="AS150" s="85" t="str">
        <f>'Consumer Hardware Pricing'!AF158</f>
        <v>-</v>
      </c>
      <c r="AT150" s="85" t="str">
        <f t="shared" si="329"/>
        <v>-</v>
      </c>
      <c r="AU150" s="85" t="str">
        <f t="shared" si="186"/>
        <v>-</v>
      </c>
      <c r="AV150" s="85" t="str">
        <f t="shared" si="187"/>
        <v>-</v>
      </c>
      <c r="AW150" s="85" t="str">
        <f t="shared" si="188"/>
        <v>-</v>
      </c>
      <c r="AX150" s="85" t="str">
        <f>'Consumer Hardware Pricing'!AH158</f>
        <v>-</v>
      </c>
      <c r="AY150" s="85" t="str">
        <f t="shared" si="330"/>
        <v>-</v>
      </c>
      <c r="AZ150" s="85" t="str">
        <f>'Consumer Hardware Pricing'!AI158</f>
        <v>-</v>
      </c>
      <c r="BA150" s="85" t="str">
        <f t="shared" si="544"/>
        <v>-</v>
      </c>
      <c r="BB150" s="85" t="str">
        <f t="shared" si="545"/>
        <v>-</v>
      </c>
      <c r="BC150" s="85" t="str">
        <f t="shared" si="546"/>
        <v>-</v>
      </c>
      <c r="BD150" s="85">
        <f>'Consumer Hardware Pricing'!AL158</f>
        <v>0</v>
      </c>
      <c r="BE150" s="85">
        <f t="shared" si="331"/>
        <v>79.13000000000001</v>
      </c>
      <c r="BF150" s="85" t="str">
        <f>'Consumer Hardware Pricing'!AM158</f>
        <v>-</v>
      </c>
      <c r="BG150" s="85">
        <f t="shared" si="547"/>
        <v>79.13000000000001</v>
      </c>
      <c r="BH150" s="85" t="str">
        <f t="shared" si="548"/>
        <v>-</v>
      </c>
      <c r="BI150" s="85">
        <f t="shared" si="549"/>
        <v>1899.1200000000003</v>
      </c>
      <c r="BJ150" s="85" t="str">
        <f>'Consumer Hardware Pricing'!AP158</f>
        <v>-</v>
      </c>
      <c r="BK150" s="85" t="str">
        <f t="shared" si="332"/>
        <v>-</v>
      </c>
      <c r="BL150" s="85" t="str">
        <f>'Consumer Hardware Pricing'!AQ158</f>
        <v>-</v>
      </c>
      <c r="BM150" s="85" t="str">
        <f t="shared" si="550"/>
        <v>-</v>
      </c>
      <c r="BN150" s="85" t="str">
        <f t="shared" si="551"/>
        <v>-</v>
      </c>
      <c r="BO150" s="85" t="str">
        <f t="shared" si="552"/>
        <v>-</v>
      </c>
      <c r="BP150" s="85" t="str">
        <f>'Consumer Hardware Pricing'!AT158</f>
        <v>-</v>
      </c>
      <c r="BQ150" s="85" t="str">
        <f t="shared" si="333"/>
        <v>-</v>
      </c>
      <c r="BR150" s="85" t="str">
        <f>'Consumer Hardware Pricing'!AU158</f>
        <v>-</v>
      </c>
      <c r="BS150" s="85" t="str">
        <f t="shared" si="553"/>
        <v>-</v>
      </c>
      <c r="BT150" s="85" t="str">
        <f t="shared" si="554"/>
        <v>-</v>
      </c>
      <c r="BU150" s="85" t="str">
        <f t="shared" si="555"/>
        <v>-</v>
      </c>
    </row>
    <row r="151" spans="1:73" ht="30.15" customHeight="1" x14ac:dyDescent="0.25">
      <c r="A151" s="86" t="s">
        <v>35</v>
      </c>
      <c r="B151" s="88" t="s">
        <v>864</v>
      </c>
      <c r="C151" s="88" t="s">
        <v>875</v>
      </c>
      <c r="D151" s="85">
        <f>'Consumer Hardware Pricing'!L159</f>
        <v>1899</v>
      </c>
      <c r="E151" s="85">
        <f>'Consumer Hardware Pricing'!M159</f>
        <v>1899</v>
      </c>
      <c r="F151" s="85" t="str">
        <f>'Consumer Hardware Pricing'!N159</f>
        <v>-</v>
      </c>
      <c r="G151" s="85" t="str">
        <f t="shared" si="359"/>
        <v>-</v>
      </c>
      <c r="H151" s="85" t="str">
        <f>'Consumer Hardware Pricing'!O159</f>
        <v>-</v>
      </c>
      <c r="I151" s="85" t="str">
        <f t="shared" si="531"/>
        <v>-</v>
      </c>
      <c r="J151" s="85" t="str">
        <f t="shared" si="532"/>
        <v>-</v>
      </c>
      <c r="K151" s="85" t="str">
        <f t="shared" si="533"/>
        <v>-</v>
      </c>
      <c r="L151" s="85" t="str">
        <f>'Consumer Hardware Pricing'!Q159</f>
        <v>-</v>
      </c>
      <c r="M151" s="85" t="str">
        <f t="shared" si="360"/>
        <v>-</v>
      </c>
      <c r="N151" s="85" t="str">
        <f t="shared" si="534"/>
        <v>-</v>
      </c>
      <c r="O151" s="85" t="str">
        <f t="shared" si="535"/>
        <v>-</v>
      </c>
      <c r="P151" s="85" t="str">
        <f t="shared" si="536"/>
        <v>-</v>
      </c>
      <c r="Q151" s="85" t="str">
        <f>'Consumer Hardware Pricing'!S159</f>
        <v>-</v>
      </c>
      <c r="R151" s="85" t="str">
        <f t="shared" si="537"/>
        <v>-</v>
      </c>
      <c r="S151" s="85" t="str">
        <f>'Consumer Hardware Pricing'!T159</f>
        <v>-</v>
      </c>
      <c r="T151" s="129" t="str">
        <f t="shared" si="538"/>
        <v>-</v>
      </c>
      <c r="U151" s="129" t="str">
        <f t="shared" si="539"/>
        <v>-</v>
      </c>
      <c r="V151" s="85" t="str">
        <f t="shared" si="540"/>
        <v>-</v>
      </c>
      <c r="W151" s="129" t="str">
        <f>'Consumer Hardware Pricing'!V159</f>
        <v>-</v>
      </c>
      <c r="X151" s="129" t="str">
        <f t="shared" si="361"/>
        <v>-</v>
      </c>
      <c r="Y151" s="129" t="str">
        <f t="shared" si="541"/>
        <v>-</v>
      </c>
      <c r="Z151" s="129" t="str">
        <f t="shared" si="542"/>
        <v>-</v>
      </c>
      <c r="AA151" s="85" t="str">
        <f t="shared" si="543"/>
        <v>-</v>
      </c>
      <c r="AB151" s="85" t="str">
        <f>'Consumer Hardware Pricing'!X159</f>
        <v>-</v>
      </c>
      <c r="AC151" s="85" t="str">
        <f t="shared" si="326"/>
        <v>-</v>
      </c>
      <c r="AD151" s="85" t="str">
        <f>'Consumer Hardware Pricing'!Y159</f>
        <v>-</v>
      </c>
      <c r="AE151" s="85" t="str">
        <f t="shared" si="177"/>
        <v>-</v>
      </c>
      <c r="AF151" s="85" t="str">
        <f t="shared" si="178"/>
        <v>-</v>
      </c>
      <c r="AG151" s="85" t="str">
        <f t="shared" si="179"/>
        <v>-</v>
      </c>
      <c r="AH151" s="85" t="str">
        <f>'Consumer Hardware Pricing'!AA159</f>
        <v>-</v>
      </c>
      <c r="AI151" s="85" t="str">
        <f t="shared" si="327"/>
        <v>-</v>
      </c>
      <c r="AJ151" s="85" t="str">
        <f t="shared" si="180"/>
        <v>-</v>
      </c>
      <c r="AK151" s="85" t="str">
        <f t="shared" si="181"/>
        <v>-</v>
      </c>
      <c r="AL151" s="85" t="str">
        <f t="shared" si="182"/>
        <v>-</v>
      </c>
      <c r="AM151" s="85" t="str">
        <f>'Consumer Hardware Pricing'!AC159</f>
        <v>-</v>
      </c>
      <c r="AN151" s="85" t="str">
        <f t="shared" si="328"/>
        <v>-</v>
      </c>
      <c r="AO151" s="85" t="str">
        <f>'Consumer Hardware Pricing'!AD159</f>
        <v>-</v>
      </c>
      <c r="AP151" s="85" t="str">
        <f t="shared" si="183"/>
        <v>-</v>
      </c>
      <c r="AQ151" s="85" t="str">
        <f t="shared" si="184"/>
        <v>-</v>
      </c>
      <c r="AR151" s="85" t="str">
        <f t="shared" si="185"/>
        <v>-</v>
      </c>
      <c r="AS151" s="85" t="str">
        <f>'Consumer Hardware Pricing'!AF159</f>
        <v>-</v>
      </c>
      <c r="AT151" s="85" t="str">
        <f t="shared" si="329"/>
        <v>-</v>
      </c>
      <c r="AU151" s="85" t="str">
        <f t="shared" si="186"/>
        <v>-</v>
      </c>
      <c r="AV151" s="85" t="str">
        <f t="shared" si="187"/>
        <v>-</v>
      </c>
      <c r="AW151" s="85" t="str">
        <f t="shared" si="188"/>
        <v>-</v>
      </c>
      <c r="AX151" s="85" t="str">
        <f>'Consumer Hardware Pricing'!AH159</f>
        <v>-</v>
      </c>
      <c r="AY151" s="85" t="str">
        <f t="shared" si="330"/>
        <v>-</v>
      </c>
      <c r="AZ151" s="85" t="str">
        <f>'Consumer Hardware Pricing'!AI159</f>
        <v>-</v>
      </c>
      <c r="BA151" s="85" t="str">
        <f t="shared" si="544"/>
        <v>-</v>
      </c>
      <c r="BB151" s="85" t="str">
        <f t="shared" si="545"/>
        <v>-</v>
      </c>
      <c r="BC151" s="85" t="str">
        <f t="shared" si="546"/>
        <v>-</v>
      </c>
      <c r="BD151" s="85">
        <f>'Consumer Hardware Pricing'!AL159</f>
        <v>0</v>
      </c>
      <c r="BE151" s="85">
        <f t="shared" si="331"/>
        <v>79.13000000000001</v>
      </c>
      <c r="BF151" s="85" t="str">
        <f>'Consumer Hardware Pricing'!AM159</f>
        <v>-</v>
      </c>
      <c r="BG151" s="85">
        <f t="shared" si="547"/>
        <v>79.13000000000001</v>
      </c>
      <c r="BH151" s="85" t="str">
        <f t="shared" si="548"/>
        <v>-</v>
      </c>
      <c r="BI151" s="85">
        <f t="shared" si="549"/>
        <v>1899.1200000000003</v>
      </c>
      <c r="BJ151" s="85" t="str">
        <f>'Consumer Hardware Pricing'!AP159</f>
        <v>-</v>
      </c>
      <c r="BK151" s="85" t="str">
        <f t="shared" si="332"/>
        <v>-</v>
      </c>
      <c r="BL151" s="85" t="str">
        <f>'Consumer Hardware Pricing'!AQ159</f>
        <v>-</v>
      </c>
      <c r="BM151" s="85" t="str">
        <f t="shared" si="550"/>
        <v>-</v>
      </c>
      <c r="BN151" s="85" t="str">
        <f t="shared" si="551"/>
        <v>-</v>
      </c>
      <c r="BO151" s="85" t="str">
        <f t="shared" si="552"/>
        <v>-</v>
      </c>
      <c r="BP151" s="85" t="str">
        <f>'Consumer Hardware Pricing'!AT159</f>
        <v>-</v>
      </c>
      <c r="BQ151" s="85" t="str">
        <f t="shared" si="333"/>
        <v>-</v>
      </c>
      <c r="BR151" s="85" t="str">
        <f>'Consumer Hardware Pricing'!AU159</f>
        <v>-</v>
      </c>
      <c r="BS151" s="85" t="str">
        <f t="shared" si="553"/>
        <v>-</v>
      </c>
      <c r="BT151" s="85" t="str">
        <f t="shared" si="554"/>
        <v>-</v>
      </c>
      <c r="BU151" s="85" t="str">
        <f t="shared" si="555"/>
        <v>-</v>
      </c>
    </row>
    <row r="152" spans="1:73" ht="30.15" customHeight="1" x14ac:dyDescent="0.25">
      <c r="A152" s="86" t="s">
        <v>35</v>
      </c>
      <c r="B152" s="88" t="s">
        <v>865</v>
      </c>
      <c r="C152" s="88" t="s">
        <v>876</v>
      </c>
      <c r="D152" s="85">
        <f>'Consumer Hardware Pricing'!L160</f>
        <v>1500</v>
      </c>
      <c r="E152" s="85">
        <f>'Consumer Hardware Pricing'!M160</f>
        <v>1500</v>
      </c>
      <c r="F152" s="85" t="str">
        <f>'Consumer Hardware Pricing'!N160</f>
        <v>-</v>
      </c>
      <c r="G152" s="85" t="str">
        <f t="shared" si="359"/>
        <v>-</v>
      </c>
      <c r="H152" s="85" t="str">
        <f>'Consumer Hardware Pricing'!O160</f>
        <v>-</v>
      </c>
      <c r="I152" s="85" t="str">
        <f t="shared" si="531"/>
        <v>-</v>
      </c>
      <c r="J152" s="85" t="str">
        <f t="shared" si="532"/>
        <v>-</v>
      </c>
      <c r="K152" s="85" t="str">
        <f t="shared" si="533"/>
        <v>-</v>
      </c>
      <c r="L152" s="85" t="str">
        <f>'Consumer Hardware Pricing'!Q160</f>
        <v>-</v>
      </c>
      <c r="M152" s="85" t="str">
        <f t="shared" si="360"/>
        <v>-</v>
      </c>
      <c r="N152" s="85" t="str">
        <f t="shared" si="534"/>
        <v>-</v>
      </c>
      <c r="O152" s="85" t="str">
        <f t="shared" si="535"/>
        <v>-</v>
      </c>
      <c r="P152" s="85" t="str">
        <f t="shared" si="536"/>
        <v>-</v>
      </c>
      <c r="Q152" s="85" t="str">
        <f>'Consumer Hardware Pricing'!S160</f>
        <v>-</v>
      </c>
      <c r="R152" s="85" t="str">
        <f t="shared" si="537"/>
        <v>-</v>
      </c>
      <c r="S152" s="85" t="str">
        <f>'Consumer Hardware Pricing'!T160</f>
        <v>-</v>
      </c>
      <c r="T152" s="129" t="str">
        <f t="shared" si="538"/>
        <v>-</v>
      </c>
      <c r="U152" s="129" t="str">
        <f t="shared" si="539"/>
        <v>-</v>
      </c>
      <c r="V152" s="85" t="str">
        <f t="shared" si="540"/>
        <v>-</v>
      </c>
      <c r="W152" s="129" t="str">
        <f>'Consumer Hardware Pricing'!V160</f>
        <v>-</v>
      </c>
      <c r="X152" s="129" t="str">
        <f t="shared" si="361"/>
        <v>-</v>
      </c>
      <c r="Y152" s="129" t="str">
        <f t="shared" si="541"/>
        <v>-</v>
      </c>
      <c r="Z152" s="129" t="str">
        <f t="shared" si="542"/>
        <v>-</v>
      </c>
      <c r="AA152" s="85" t="str">
        <f t="shared" si="543"/>
        <v>-</v>
      </c>
      <c r="AB152" s="85" t="str">
        <f>'Consumer Hardware Pricing'!X160</f>
        <v>-</v>
      </c>
      <c r="AC152" s="85" t="str">
        <f t="shared" si="326"/>
        <v>-</v>
      </c>
      <c r="AD152" s="85" t="str">
        <f>'Consumer Hardware Pricing'!Y160</f>
        <v>-</v>
      </c>
      <c r="AE152" s="85" t="str">
        <f t="shared" ref="AE152:AE220" si="556">IF(AD152="-",AC152,AC152-AD152)</f>
        <v>-</v>
      </c>
      <c r="AF152" s="85" t="str">
        <f t="shared" ref="AF152:AF220" si="557">IF(AD152="-",AD152,AD152*24)</f>
        <v>-</v>
      </c>
      <c r="AG152" s="85" t="str">
        <f t="shared" ref="AG152:AG220" si="558">IF(AB152="-",AB152,AE152*24)</f>
        <v>-</v>
      </c>
      <c r="AH152" s="85" t="str">
        <f>'Consumer Hardware Pricing'!AA160</f>
        <v>-</v>
      </c>
      <c r="AI152" s="85" t="str">
        <f t="shared" si="327"/>
        <v>-</v>
      </c>
      <c r="AJ152" s="85" t="str">
        <f t="shared" ref="AJ152:AJ220" si="559">IF(AH152="-",AH152,AC152-AI152)</f>
        <v>-</v>
      </c>
      <c r="AK152" s="85" t="str">
        <f t="shared" ref="AK152:AK220" si="560">IF(AH152="-",AH152,AI152*24)</f>
        <v>-</v>
      </c>
      <c r="AL152" s="85" t="str">
        <f t="shared" ref="AL152:AL220" si="561">IF(AH152="-",AH152,AJ152*24)</f>
        <v>-</v>
      </c>
      <c r="AM152" s="85" t="str">
        <f>'Consumer Hardware Pricing'!AC160</f>
        <v>-</v>
      </c>
      <c r="AN152" s="85" t="str">
        <f t="shared" si="328"/>
        <v>-</v>
      </c>
      <c r="AO152" s="85" t="str">
        <f>'Consumer Hardware Pricing'!AD160</f>
        <v>-</v>
      </c>
      <c r="AP152" s="85" t="str">
        <f t="shared" ref="AP152:AP220" si="562">IF(AO152="-",AN152,AN152-AO152)</f>
        <v>-</v>
      </c>
      <c r="AQ152" s="85" t="str">
        <f t="shared" ref="AQ152:AQ220" si="563">IF(AO152="-",AO152,AO152*24)</f>
        <v>-</v>
      </c>
      <c r="AR152" s="85" t="str">
        <f t="shared" ref="AR152:AR220" si="564">IF(AM152="-",AM152,AP152*24)</f>
        <v>-</v>
      </c>
      <c r="AS152" s="85" t="str">
        <f>'Consumer Hardware Pricing'!AF160</f>
        <v>-</v>
      </c>
      <c r="AT152" s="85" t="str">
        <f t="shared" si="329"/>
        <v>-</v>
      </c>
      <c r="AU152" s="85" t="str">
        <f t="shared" ref="AU152:AU220" si="565">IF(AS152="-",AS152,AN152-AT152)</f>
        <v>-</v>
      </c>
      <c r="AV152" s="85" t="str">
        <f t="shared" ref="AV152:AV220" si="566">IF(AS152="-",AS152,AT152*24)</f>
        <v>-</v>
      </c>
      <c r="AW152" s="85" t="str">
        <f t="shared" ref="AW152:AW220" si="567">IF(AS152="-",AS152,AU152*24)</f>
        <v>-</v>
      </c>
      <c r="AX152" s="85" t="str">
        <f>'Consumer Hardware Pricing'!AH160</f>
        <v>-</v>
      </c>
      <c r="AY152" s="85" t="str">
        <f t="shared" si="330"/>
        <v>-</v>
      </c>
      <c r="AZ152" s="85" t="str">
        <f>'Consumer Hardware Pricing'!AI160</f>
        <v>-</v>
      </c>
      <c r="BA152" s="85" t="str">
        <f t="shared" si="544"/>
        <v>-</v>
      </c>
      <c r="BB152" s="85" t="str">
        <f t="shared" si="545"/>
        <v>-</v>
      </c>
      <c r="BC152" s="85" t="str">
        <f t="shared" si="546"/>
        <v>-</v>
      </c>
      <c r="BD152" s="85">
        <f>'Consumer Hardware Pricing'!AL160</f>
        <v>0</v>
      </c>
      <c r="BE152" s="85">
        <f t="shared" si="331"/>
        <v>62.5</v>
      </c>
      <c r="BF152" s="85" t="str">
        <f>'Consumer Hardware Pricing'!AM160</f>
        <v>-</v>
      </c>
      <c r="BG152" s="85">
        <f t="shared" si="547"/>
        <v>62.5</v>
      </c>
      <c r="BH152" s="85" t="str">
        <f t="shared" si="548"/>
        <v>-</v>
      </c>
      <c r="BI152" s="85">
        <f t="shared" si="549"/>
        <v>1500</v>
      </c>
      <c r="BJ152" s="85" t="str">
        <f>'Consumer Hardware Pricing'!AP160</f>
        <v>-</v>
      </c>
      <c r="BK152" s="85" t="str">
        <f t="shared" si="332"/>
        <v>-</v>
      </c>
      <c r="BL152" s="85" t="str">
        <f>'Consumer Hardware Pricing'!AQ160</f>
        <v>-</v>
      </c>
      <c r="BM152" s="85" t="str">
        <f t="shared" si="550"/>
        <v>-</v>
      </c>
      <c r="BN152" s="85" t="str">
        <f t="shared" si="551"/>
        <v>-</v>
      </c>
      <c r="BO152" s="85" t="str">
        <f t="shared" si="552"/>
        <v>-</v>
      </c>
      <c r="BP152" s="85" t="str">
        <f>'Consumer Hardware Pricing'!AT160</f>
        <v>-</v>
      </c>
      <c r="BQ152" s="85" t="str">
        <f t="shared" si="333"/>
        <v>-</v>
      </c>
      <c r="BR152" s="85" t="str">
        <f>'Consumer Hardware Pricing'!AU160</f>
        <v>-</v>
      </c>
      <c r="BS152" s="85" t="str">
        <f t="shared" si="553"/>
        <v>-</v>
      </c>
      <c r="BT152" s="85" t="str">
        <f t="shared" si="554"/>
        <v>-</v>
      </c>
      <c r="BU152" s="85" t="str">
        <f t="shared" si="555"/>
        <v>-</v>
      </c>
    </row>
    <row r="153" spans="1:73" ht="30.15" customHeight="1" x14ac:dyDescent="0.25">
      <c r="A153" s="86" t="s">
        <v>35</v>
      </c>
      <c r="B153" s="88" t="s">
        <v>866</v>
      </c>
      <c r="C153" s="88" t="s">
        <v>876</v>
      </c>
      <c r="D153" s="85">
        <f>'Consumer Hardware Pricing'!L161</f>
        <v>1500</v>
      </c>
      <c r="E153" s="85">
        <f>'Consumer Hardware Pricing'!M161</f>
        <v>1500</v>
      </c>
      <c r="F153" s="85" t="str">
        <f>'Consumer Hardware Pricing'!N161</f>
        <v>-</v>
      </c>
      <c r="G153" s="85" t="str">
        <f t="shared" si="359"/>
        <v>-</v>
      </c>
      <c r="H153" s="85" t="str">
        <f>'Consumer Hardware Pricing'!O161</f>
        <v>-</v>
      </c>
      <c r="I153" s="85" t="str">
        <f t="shared" si="531"/>
        <v>-</v>
      </c>
      <c r="J153" s="85" t="str">
        <f t="shared" si="532"/>
        <v>-</v>
      </c>
      <c r="K153" s="85" t="str">
        <f t="shared" si="533"/>
        <v>-</v>
      </c>
      <c r="L153" s="85" t="str">
        <f>'Consumer Hardware Pricing'!Q161</f>
        <v>-</v>
      </c>
      <c r="M153" s="85" t="str">
        <f t="shared" si="360"/>
        <v>-</v>
      </c>
      <c r="N153" s="85" t="str">
        <f t="shared" si="534"/>
        <v>-</v>
      </c>
      <c r="O153" s="85" t="str">
        <f t="shared" si="535"/>
        <v>-</v>
      </c>
      <c r="P153" s="85" t="str">
        <f t="shared" si="536"/>
        <v>-</v>
      </c>
      <c r="Q153" s="85" t="str">
        <f>'Consumer Hardware Pricing'!S161</f>
        <v>-</v>
      </c>
      <c r="R153" s="85" t="str">
        <f t="shared" si="537"/>
        <v>-</v>
      </c>
      <c r="S153" s="85" t="str">
        <f>'Consumer Hardware Pricing'!T161</f>
        <v>-</v>
      </c>
      <c r="T153" s="129" t="str">
        <f t="shared" si="538"/>
        <v>-</v>
      </c>
      <c r="U153" s="129" t="str">
        <f t="shared" si="539"/>
        <v>-</v>
      </c>
      <c r="V153" s="85" t="str">
        <f t="shared" si="540"/>
        <v>-</v>
      </c>
      <c r="W153" s="129" t="str">
        <f>'Consumer Hardware Pricing'!V161</f>
        <v>-</v>
      </c>
      <c r="X153" s="129" t="str">
        <f t="shared" si="361"/>
        <v>-</v>
      </c>
      <c r="Y153" s="129" t="str">
        <f t="shared" si="541"/>
        <v>-</v>
      </c>
      <c r="Z153" s="129" t="str">
        <f t="shared" si="542"/>
        <v>-</v>
      </c>
      <c r="AA153" s="85" t="str">
        <f t="shared" si="543"/>
        <v>-</v>
      </c>
      <c r="AB153" s="85" t="str">
        <f>'Consumer Hardware Pricing'!X161</f>
        <v>-</v>
      </c>
      <c r="AC153" s="85" t="str">
        <f t="shared" si="326"/>
        <v>-</v>
      </c>
      <c r="AD153" s="85" t="str">
        <f>'Consumer Hardware Pricing'!Y161</f>
        <v>-</v>
      </c>
      <c r="AE153" s="85" t="str">
        <f t="shared" si="556"/>
        <v>-</v>
      </c>
      <c r="AF153" s="85" t="str">
        <f t="shared" si="557"/>
        <v>-</v>
      </c>
      <c r="AG153" s="85" t="str">
        <f t="shared" si="558"/>
        <v>-</v>
      </c>
      <c r="AH153" s="85" t="str">
        <f>'Consumer Hardware Pricing'!AA161</f>
        <v>-</v>
      </c>
      <c r="AI153" s="85" t="str">
        <f t="shared" si="327"/>
        <v>-</v>
      </c>
      <c r="AJ153" s="85" t="str">
        <f t="shared" si="559"/>
        <v>-</v>
      </c>
      <c r="AK153" s="85" t="str">
        <f t="shared" si="560"/>
        <v>-</v>
      </c>
      <c r="AL153" s="85" t="str">
        <f t="shared" si="561"/>
        <v>-</v>
      </c>
      <c r="AM153" s="85" t="str">
        <f>'Consumer Hardware Pricing'!AC161</f>
        <v>-</v>
      </c>
      <c r="AN153" s="85" t="str">
        <f t="shared" si="328"/>
        <v>-</v>
      </c>
      <c r="AO153" s="85" t="str">
        <f>'Consumer Hardware Pricing'!AD161</f>
        <v>-</v>
      </c>
      <c r="AP153" s="85" t="str">
        <f t="shared" si="562"/>
        <v>-</v>
      </c>
      <c r="AQ153" s="85" t="str">
        <f t="shared" si="563"/>
        <v>-</v>
      </c>
      <c r="AR153" s="85" t="str">
        <f t="shared" si="564"/>
        <v>-</v>
      </c>
      <c r="AS153" s="85" t="str">
        <f>'Consumer Hardware Pricing'!AF161</f>
        <v>-</v>
      </c>
      <c r="AT153" s="85" t="str">
        <f t="shared" si="329"/>
        <v>-</v>
      </c>
      <c r="AU153" s="85" t="str">
        <f t="shared" si="565"/>
        <v>-</v>
      </c>
      <c r="AV153" s="85" t="str">
        <f t="shared" si="566"/>
        <v>-</v>
      </c>
      <c r="AW153" s="85" t="str">
        <f t="shared" si="567"/>
        <v>-</v>
      </c>
      <c r="AX153" s="85" t="str">
        <f>'Consumer Hardware Pricing'!AH161</f>
        <v>-</v>
      </c>
      <c r="AY153" s="85" t="str">
        <f t="shared" si="330"/>
        <v>-</v>
      </c>
      <c r="AZ153" s="85" t="str">
        <f>'Consumer Hardware Pricing'!AI161</f>
        <v>-</v>
      </c>
      <c r="BA153" s="85" t="str">
        <f t="shared" si="544"/>
        <v>-</v>
      </c>
      <c r="BB153" s="85" t="str">
        <f t="shared" si="545"/>
        <v>-</v>
      </c>
      <c r="BC153" s="85" t="str">
        <f t="shared" si="546"/>
        <v>-</v>
      </c>
      <c r="BD153" s="85">
        <f>'Consumer Hardware Pricing'!AL161</f>
        <v>0</v>
      </c>
      <c r="BE153" s="85">
        <f t="shared" si="331"/>
        <v>62.5</v>
      </c>
      <c r="BF153" s="85" t="str">
        <f>'Consumer Hardware Pricing'!AM161</f>
        <v>-</v>
      </c>
      <c r="BG153" s="85">
        <f t="shared" si="547"/>
        <v>62.5</v>
      </c>
      <c r="BH153" s="85" t="str">
        <f t="shared" si="548"/>
        <v>-</v>
      </c>
      <c r="BI153" s="85">
        <f t="shared" si="549"/>
        <v>1500</v>
      </c>
      <c r="BJ153" s="85" t="str">
        <f>'Consumer Hardware Pricing'!AP161</f>
        <v>-</v>
      </c>
      <c r="BK153" s="85" t="str">
        <f t="shared" si="332"/>
        <v>-</v>
      </c>
      <c r="BL153" s="85" t="str">
        <f>'Consumer Hardware Pricing'!AQ161</f>
        <v>-</v>
      </c>
      <c r="BM153" s="85" t="str">
        <f t="shared" si="550"/>
        <v>-</v>
      </c>
      <c r="BN153" s="85" t="str">
        <f t="shared" si="551"/>
        <v>-</v>
      </c>
      <c r="BO153" s="85" t="str">
        <f t="shared" si="552"/>
        <v>-</v>
      </c>
      <c r="BP153" s="85" t="str">
        <f>'Consumer Hardware Pricing'!AT161</f>
        <v>-</v>
      </c>
      <c r="BQ153" s="85" t="str">
        <f t="shared" si="333"/>
        <v>-</v>
      </c>
      <c r="BR153" s="85" t="str">
        <f>'Consumer Hardware Pricing'!AU161</f>
        <v>-</v>
      </c>
      <c r="BS153" s="85" t="str">
        <f t="shared" si="553"/>
        <v>-</v>
      </c>
      <c r="BT153" s="85" t="str">
        <f t="shared" si="554"/>
        <v>-</v>
      </c>
      <c r="BU153" s="85" t="str">
        <f t="shared" si="555"/>
        <v>-</v>
      </c>
    </row>
    <row r="154" spans="1:73" ht="30.15" customHeight="1" x14ac:dyDescent="0.25">
      <c r="A154" s="86" t="s">
        <v>35</v>
      </c>
      <c r="B154" s="88" t="s">
        <v>867</v>
      </c>
      <c r="C154" s="88" t="s">
        <v>877</v>
      </c>
      <c r="D154" s="85">
        <f>'Consumer Hardware Pricing'!L162</f>
        <v>1629</v>
      </c>
      <c r="E154" s="85">
        <f>'Consumer Hardware Pricing'!M162</f>
        <v>1629</v>
      </c>
      <c r="F154" s="85" t="str">
        <f>'Consumer Hardware Pricing'!N162</f>
        <v>-</v>
      </c>
      <c r="G154" s="85" t="str">
        <f t="shared" si="359"/>
        <v>-</v>
      </c>
      <c r="H154" s="85" t="str">
        <f>'Consumer Hardware Pricing'!O162</f>
        <v>-</v>
      </c>
      <c r="I154" s="85" t="str">
        <f t="shared" si="531"/>
        <v>-</v>
      </c>
      <c r="J154" s="85" t="str">
        <f t="shared" si="532"/>
        <v>-</v>
      </c>
      <c r="K154" s="85" t="str">
        <f t="shared" si="533"/>
        <v>-</v>
      </c>
      <c r="L154" s="85" t="str">
        <f>'Consumer Hardware Pricing'!Q162</f>
        <v>-</v>
      </c>
      <c r="M154" s="85" t="str">
        <f t="shared" si="360"/>
        <v>-</v>
      </c>
      <c r="N154" s="85" t="str">
        <f t="shared" si="534"/>
        <v>-</v>
      </c>
      <c r="O154" s="85" t="str">
        <f t="shared" si="535"/>
        <v>-</v>
      </c>
      <c r="P154" s="85" t="str">
        <f t="shared" si="536"/>
        <v>-</v>
      </c>
      <c r="Q154" s="85" t="str">
        <f>'Consumer Hardware Pricing'!S162</f>
        <v>-</v>
      </c>
      <c r="R154" s="85" t="str">
        <f t="shared" si="537"/>
        <v>-</v>
      </c>
      <c r="S154" s="85" t="str">
        <f>'Consumer Hardware Pricing'!T162</f>
        <v>-</v>
      </c>
      <c r="T154" s="129" t="str">
        <f t="shared" si="538"/>
        <v>-</v>
      </c>
      <c r="U154" s="129" t="str">
        <f t="shared" si="539"/>
        <v>-</v>
      </c>
      <c r="V154" s="85" t="str">
        <f t="shared" si="540"/>
        <v>-</v>
      </c>
      <c r="W154" s="129" t="str">
        <f>'Consumer Hardware Pricing'!V162</f>
        <v>-</v>
      </c>
      <c r="X154" s="129" t="str">
        <f t="shared" si="361"/>
        <v>-</v>
      </c>
      <c r="Y154" s="129" t="str">
        <f t="shared" si="541"/>
        <v>-</v>
      </c>
      <c r="Z154" s="129" t="str">
        <f t="shared" si="542"/>
        <v>-</v>
      </c>
      <c r="AA154" s="85" t="str">
        <f t="shared" si="543"/>
        <v>-</v>
      </c>
      <c r="AB154" s="85" t="str">
        <f>'Consumer Hardware Pricing'!X162</f>
        <v>-</v>
      </c>
      <c r="AC154" s="85" t="str">
        <f t="shared" si="326"/>
        <v>-</v>
      </c>
      <c r="AD154" s="85" t="str">
        <f>'Consumer Hardware Pricing'!Y162</f>
        <v>-</v>
      </c>
      <c r="AE154" s="85" t="str">
        <f t="shared" si="556"/>
        <v>-</v>
      </c>
      <c r="AF154" s="85" t="str">
        <f t="shared" si="557"/>
        <v>-</v>
      </c>
      <c r="AG154" s="85" t="str">
        <f t="shared" si="558"/>
        <v>-</v>
      </c>
      <c r="AH154" s="85" t="str">
        <f>'Consumer Hardware Pricing'!AA162</f>
        <v>-</v>
      </c>
      <c r="AI154" s="85" t="str">
        <f t="shared" si="327"/>
        <v>-</v>
      </c>
      <c r="AJ154" s="85" t="str">
        <f t="shared" si="559"/>
        <v>-</v>
      </c>
      <c r="AK154" s="85" t="str">
        <f t="shared" si="560"/>
        <v>-</v>
      </c>
      <c r="AL154" s="85" t="str">
        <f t="shared" si="561"/>
        <v>-</v>
      </c>
      <c r="AM154" s="85" t="str">
        <f>'Consumer Hardware Pricing'!AC162</f>
        <v>-</v>
      </c>
      <c r="AN154" s="85" t="str">
        <f t="shared" si="328"/>
        <v>-</v>
      </c>
      <c r="AO154" s="85" t="str">
        <f>'Consumer Hardware Pricing'!AD162</f>
        <v>-</v>
      </c>
      <c r="AP154" s="85" t="str">
        <f t="shared" si="562"/>
        <v>-</v>
      </c>
      <c r="AQ154" s="85" t="str">
        <f t="shared" si="563"/>
        <v>-</v>
      </c>
      <c r="AR154" s="85" t="str">
        <f t="shared" si="564"/>
        <v>-</v>
      </c>
      <c r="AS154" s="85" t="str">
        <f>'Consumer Hardware Pricing'!AF162</f>
        <v>-</v>
      </c>
      <c r="AT154" s="85" t="str">
        <f t="shared" si="329"/>
        <v>-</v>
      </c>
      <c r="AU154" s="85" t="str">
        <f t="shared" si="565"/>
        <v>-</v>
      </c>
      <c r="AV154" s="85" t="str">
        <f t="shared" si="566"/>
        <v>-</v>
      </c>
      <c r="AW154" s="85" t="str">
        <f t="shared" si="567"/>
        <v>-</v>
      </c>
      <c r="AX154" s="85" t="str">
        <f>'Consumer Hardware Pricing'!AH162</f>
        <v>-</v>
      </c>
      <c r="AY154" s="85" t="str">
        <f t="shared" si="330"/>
        <v>-</v>
      </c>
      <c r="AZ154" s="85" t="str">
        <f>'Consumer Hardware Pricing'!AI162</f>
        <v>-</v>
      </c>
      <c r="BA154" s="85" t="str">
        <f t="shared" si="544"/>
        <v>-</v>
      </c>
      <c r="BB154" s="85" t="str">
        <f t="shared" si="545"/>
        <v>-</v>
      </c>
      <c r="BC154" s="85" t="str">
        <f t="shared" si="546"/>
        <v>-</v>
      </c>
      <c r="BD154" s="85">
        <f>'Consumer Hardware Pricing'!AL162</f>
        <v>0</v>
      </c>
      <c r="BE154" s="85">
        <f t="shared" si="331"/>
        <v>67.88000000000001</v>
      </c>
      <c r="BF154" s="85" t="str">
        <f>'Consumer Hardware Pricing'!AM162</f>
        <v>-</v>
      </c>
      <c r="BG154" s="85">
        <f t="shared" si="547"/>
        <v>67.88000000000001</v>
      </c>
      <c r="BH154" s="85" t="str">
        <f t="shared" si="548"/>
        <v>-</v>
      </c>
      <c r="BI154" s="85">
        <f t="shared" si="549"/>
        <v>1629.1200000000003</v>
      </c>
      <c r="BJ154" s="85" t="str">
        <f>'Consumer Hardware Pricing'!AP162</f>
        <v>-</v>
      </c>
      <c r="BK154" s="85" t="str">
        <f t="shared" si="332"/>
        <v>-</v>
      </c>
      <c r="BL154" s="85" t="str">
        <f>'Consumer Hardware Pricing'!AQ162</f>
        <v>-</v>
      </c>
      <c r="BM154" s="85" t="str">
        <f t="shared" si="550"/>
        <v>-</v>
      </c>
      <c r="BN154" s="85" t="str">
        <f t="shared" si="551"/>
        <v>-</v>
      </c>
      <c r="BO154" s="85" t="str">
        <f t="shared" si="552"/>
        <v>-</v>
      </c>
      <c r="BP154" s="85" t="str">
        <f>'Consumer Hardware Pricing'!AT162</f>
        <v>-</v>
      </c>
      <c r="BQ154" s="85" t="str">
        <f t="shared" si="333"/>
        <v>-</v>
      </c>
      <c r="BR154" s="85" t="str">
        <f>'Consumer Hardware Pricing'!AU162</f>
        <v>-</v>
      </c>
      <c r="BS154" s="85" t="str">
        <f t="shared" si="553"/>
        <v>-</v>
      </c>
      <c r="BT154" s="85" t="str">
        <f t="shared" si="554"/>
        <v>-</v>
      </c>
      <c r="BU154" s="85" t="str">
        <f t="shared" si="555"/>
        <v>-</v>
      </c>
    </row>
    <row r="155" spans="1:73" ht="30.15" customHeight="1" x14ac:dyDescent="0.25">
      <c r="A155" s="86" t="s">
        <v>35</v>
      </c>
      <c r="B155" s="88" t="s">
        <v>868</v>
      </c>
      <c r="C155" s="88" t="s">
        <v>877</v>
      </c>
      <c r="D155" s="85">
        <f>'Consumer Hardware Pricing'!L163</f>
        <v>1629</v>
      </c>
      <c r="E155" s="85">
        <f>'Consumer Hardware Pricing'!M163</f>
        <v>1629</v>
      </c>
      <c r="F155" s="85" t="str">
        <f>'Consumer Hardware Pricing'!N163</f>
        <v>-</v>
      </c>
      <c r="G155" s="85" t="str">
        <f t="shared" si="359"/>
        <v>-</v>
      </c>
      <c r="H155" s="85" t="str">
        <f>'Consumer Hardware Pricing'!O163</f>
        <v>-</v>
      </c>
      <c r="I155" s="85" t="str">
        <f t="shared" si="531"/>
        <v>-</v>
      </c>
      <c r="J155" s="85" t="str">
        <f t="shared" si="532"/>
        <v>-</v>
      </c>
      <c r="K155" s="85" t="str">
        <f t="shared" si="533"/>
        <v>-</v>
      </c>
      <c r="L155" s="85" t="str">
        <f>'Consumer Hardware Pricing'!Q163</f>
        <v>-</v>
      </c>
      <c r="M155" s="85" t="str">
        <f t="shared" si="360"/>
        <v>-</v>
      </c>
      <c r="N155" s="85" t="str">
        <f t="shared" si="534"/>
        <v>-</v>
      </c>
      <c r="O155" s="85" t="str">
        <f t="shared" si="535"/>
        <v>-</v>
      </c>
      <c r="P155" s="85" t="str">
        <f t="shared" si="536"/>
        <v>-</v>
      </c>
      <c r="Q155" s="85" t="str">
        <f>'Consumer Hardware Pricing'!S163</f>
        <v>-</v>
      </c>
      <c r="R155" s="85" t="str">
        <f t="shared" si="537"/>
        <v>-</v>
      </c>
      <c r="S155" s="85" t="str">
        <f>'Consumer Hardware Pricing'!T163</f>
        <v>-</v>
      </c>
      <c r="T155" s="129" t="str">
        <f t="shared" si="538"/>
        <v>-</v>
      </c>
      <c r="U155" s="129" t="str">
        <f t="shared" si="539"/>
        <v>-</v>
      </c>
      <c r="V155" s="85" t="str">
        <f t="shared" si="540"/>
        <v>-</v>
      </c>
      <c r="W155" s="129" t="str">
        <f>'Consumer Hardware Pricing'!V163</f>
        <v>-</v>
      </c>
      <c r="X155" s="129" t="str">
        <f t="shared" si="361"/>
        <v>-</v>
      </c>
      <c r="Y155" s="129" t="str">
        <f t="shared" si="541"/>
        <v>-</v>
      </c>
      <c r="Z155" s="129" t="str">
        <f t="shared" si="542"/>
        <v>-</v>
      </c>
      <c r="AA155" s="85" t="str">
        <f t="shared" si="543"/>
        <v>-</v>
      </c>
      <c r="AB155" s="85" t="str">
        <f>'Consumer Hardware Pricing'!X163</f>
        <v>-</v>
      </c>
      <c r="AC155" s="85" t="str">
        <f t="shared" si="326"/>
        <v>-</v>
      </c>
      <c r="AD155" s="85" t="str">
        <f>'Consumer Hardware Pricing'!Y163</f>
        <v>-</v>
      </c>
      <c r="AE155" s="85" t="str">
        <f t="shared" si="556"/>
        <v>-</v>
      </c>
      <c r="AF155" s="85" t="str">
        <f t="shared" si="557"/>
        <v>-</v>
      </c>
      <c r="AG155" s="85" t="str">
        <f t="shared" si="558"/>
        <v>-</v>
      </c>
      <c r="AH155" s="85" t="str">
        <f>'Consumer Hardware Pricing'!AA163</f>
        <v>-</v>
      </c>
      <c r="AI155" s="85" t="str">
        <f t="shared" si="327"/>
        <v>-</v>
      </c>
      <c r="AJ155" s="85" t="str">
        <f t="shared" si="559"/>
        <v>-</v>
      </c>
      <c r="AK155" s="85" t="str">
        <f t="shared" si="560"/>
        <v>-</v>
      </c>
      <c r="AL155" s="85" t="str">
        <f t="shared" si="561"/>
        <v>-</v>
      </c>
      <c r="AM155" s="85" t="str">
        <f>'Consumer Hardware Pricing'!AC163</f>
        <v>-</v>
      </c>
      <c r="AN155" s="85" t="str">
        <f t="shared" si="328"/>
        <v>-</v>
      </c>
      <c r="AO155" s="85" t="str">
        <f>'Consumer Hardware Pricing'!AD163</f>
        <v>-</v>
      </c>
      <c r="AP155" s="85" t="str">
        <f t="shared" si="562"/>
        <v>-</v>
      </c>
      <c r="AQ155" s="85" t="str">
        <f t="shared" si="563"/>
        <v>-</v>
      </c>
      <c r="AR155" s="85" t="str">
        <f t="shared" si="564"/>
        <v>-</v>
      </c>
      <c r="AS155" s="85" t="str">
        <f>'Consumer Hardware Pricing'!AF163</f>
        <v>-</v>
      </c>
      <c r="AT155" s="85" t="str">
        <f t="shared" si="329"/>
        <v>-</v>
      </c>
      <c r="AU155" s="85" t="str">
        <f t="shared" si="565"/>
        <v>-</v>
      </c>
      <c r="AV155" s="85" t="str">
        <f t="shared" si="566"/>
        <v>-</v>
      </c>
      <c r="AW155" s="85" t="str">
        <f t="shared" si="567"/>
        <v>-</v>
      </c>
      <c r="AX155" s="85" t="str">
        <f>'Consumer Hardware Pricing'!AH163</f>
        <v>-</v>
      </c>
      <c r="AY155" s="85" t="str">
        <f t="shared" si="330"/>
        <v>-</v>
      </c>
      <c r="AZ155" s="85" t="str">
        <f>'Consumer Hardware Pricing'!AI163</f>
        <v>-</v>
      </c>
      <c r="BA155" s="85" t="str">
        <f t="shared" si="544"/>
        <v>-</v>
      </c>
      <c r="BB155" s="85" t="str">
        <f t="shared" si="545"/>
        <v>-</v>
      </c>
      <c r="BC155" s="85" t="str">
        <f t="shared" si="546"/>
        <v>-</v>
      </c>
      <c r="BD155" s="85">
        <f>'Consumer Hardware Pricing'!AL163</f>
        <v>0</v>
      </c>
      <c r="BE155" s="85">
        <f t="shared" si="331"/>
        <v>67.88000000000001</v>
      </c>
      <c r="BF155" s="85" t="str">
        <f>'Consumer Hardware Pricing'!AM163</f>
        <v>-</v>
      </c>
      <c r="BG155" s="85">
        <f t="shared" si="547"/>
        <v>67.88000000000001</v>
      </c>
      <c r="BH155" s="85" t="str">
        <f t="shared" si="548"/>
        <v>-</v>
      </c>
      <c r="BI155" s="85">
        <f t="shared" si="549"/>
        <v>1629.1200000000003</v>
      </c>
      <c r="BJ155" s="85" t="str">
        <f>'Consumer Hardware Pricing'!AP163</f>
        <v>-</v>
      </c>
      <c r="BK155" s="85" t="str">
        <f t="shared" si="332"/>
        <v>-</v>
      </c>
      <c r="BL155" s="85" t="str">
        <f>'Consumer Hardware Pricing'!AQ163</f>
        <v>-</v>
      </c>
      <c r="BM155" s="85" t="str">
        <f t="shared" si="550"/>
        <v>-</v>
      </c>
      <c r="BN155" s="85" t="str">
        <f t="shared" si="551"/>
        <v>-</v>
      </c>
      <c r="BO155" s="85" t="str">
        <f t="shared" si="552"/>
        <v>-</v>
      </c>
      <c r="BP155" s="85" t="str">
        <f>'Consumer Hardware Pricing'!AT163</f>
        <v>-</v>
      </c>
      <c r="BQ155" s="85" t="str">
        <f t="shared" si="333"/>
        <v>-</v>
      </c>
      <c r="BR155" s="85" t="str">
        <f>'Consumer Hardware Pricing'!AU163</f>
        <v>-</v>
      </c>
      <c r="BS155" s="85" t="str">
        <f t="shared" si="553"/>
        <v>-</v>
      </c>
      <c r="BT155" s="85" t="str">
        <f t="shared" si="554"/>
        <v>-</v>
      </c>
      <c r="BU155" s="85" t="str">
        <f t="shared" si="555"/>
        <v>-</v>
      </c>
    </row>
    <row r="156" spans="1:73" ht="30.15" customHeight="1" x14ac:dyDescent="0.25">
      <c r="A156" s="86" t="s">
        <v>35</v>
      </c>
      <c r="B156" s="88" t="s">
        <v>869</v>
      </c>
      <c r="C156" s="88" t="s">
        <v>878</v>
      </c>
      <c r="D156" s="85">
        <f>'Consumer Hardware Pricing'!L164</f>
        <v>1889</v>
      </c>
      <c r="E156" s="85">
        <f>'Consumer Hardware Pricing'!M164</f>
        <v>1889</v>
      </c>
      <c r="F156" s="85" t="str">
        <f>'Consumer Hardware Pricing'!N164</f>
        <v>-</v>
      </c>
      <c r="G156" s="85" t="str">
        <f t="shared" si="359"/>
        <v>-</v>
      </c>
      <c r="H156" s="85" t="str">
        <f>'Consumer Hardware Pricing'!O164</f>
        <v>-</v>
      </c>
      <c r="I156" s="85" t="str">
        <f t="shared" si="531"/>
        <v>-</v>
      </c>
      <c r="J156" s="85" t="str">
        <f t="shared" si="532"/>
        <v>-</v>
      </c>
      <c r="K156" s="85" t="str">
        <f t="shared" si="533"/>
        <v>-</v>
      </c>
      <c r="L156" s="85" t="str">
        <f>'Consumer Hardware Pricing'!Q164</f>
        <v>-</v>
      </c>
      <c r="M156" s="85" t="str">
        <f t="shared" si="360"/>
        <v>-</v>
      </c>
      <c r="N156" s="85" t="str">
        <f t="shared" si="534"/>
        <v>-</v>
      </c>
      <c r="O156" s="85" t="str">
        <f t="shared" si="535"/>
        <v>-</v>
      </c>
      <c r="P156" s="85" t="str">
        <f t="shared" si="536"/>
        <v>-</v>
      </c>
      <c r="Q156" s="85" t="str">
        <f>'Consumer Hardware Pricing'!S164</f>
        <v>-</v>
      </c>
      <c r="R156" s="85" t="str">
        <f t="shared" si="537"/>
        <v>-</v>
      </c>
      <c r="S156" s="85" t="str">
        <f>'Consumer Hardware Pricing'!T164</f>
        <v>-</v>
      </c>
      <c r="T156" s="129" t="str">
        <f t="shared" si="538"/>
        <v>-</v>
      </c>
      <c r="U156" s="129" t="str">
        <f t="shared" si="539"/>
        <v>-</v>
      </c>
      <c r="V156" s="85" t="str">
        <f t="shared" si="540"/>
        <v>-</v>
      </c>
      <c r="W156" s="129" t="str">
        <f>'Consumer Hardware Pricing'!V164</f>
        <v>-</v>
      </c>
      <c r="X156" s="129" t="str">
        <f t="shared" si="361"/>
        <v>-</v>
      </c>
      <c r="Y156" s="129" t="str">
        <f t="shared" si="541"/>
        <v>-</v>
      </c>
      <c r="Z156" s="129" t="str">
        <f t="shared" si="542"/>
        <v>-</v>
      </c>
      <c r="AA156" s="85" t="str">
        <f t="shared" si="543"/>
        <v>-</v>
      </c>
      <c r="AB156" s="85" t="str">
        <f>'Consumer Hardware Pricing'!X164</f>
        <v>-</v>
      </c>
      <c r="AC156" s="85" t="str">
        <f t="shared" si="326"/>
        <v>-</v>
      </c>
      <c r="AD156" s="85" t="str">
        <f>'Consumer Hardware Pricing'!Y164</f>
        <v>-</v>
      </c>
      <c r="AE156" s="85" t="str">
        <f t="shared" si="556"/>
        <v>-</v>
      </c>
      <c r="AF156" s="85" t="str">
        <f t="shared" si="557"/>
        <v>-</v>
      </c>
      <c r="AG156" s="85" t="str">
        <f t="shared" si="558"/>
        <v>-</v>
      </c>
      <c r="AH156" s="85" t="str">
        <f>'Consumer Hardware Pricing'!AA164</f>
        <v>-</v>
      </c>
      <c r="AI156" s="85" t="str">
        <f t="shared" si="327"/>
        <v>-</v>
      </c>
      <c r="AJ156" s="85" t="str">
        <f t="shared" si="559"/>
        <v>-</v>
      </c>
      <c r="AK156" s="85" t="str">
        <f t="shared" si="560"/>
        <v>-</v>
      </c>
      <c r="AL156" s="85" t="str">
        <f t="shared" si="561"/>
        <v>-</v>
      </c>
      <c r="AM156" s="85" t="str">
        <f>'Consumer Hardware Pricing'!AC164</f>
        <v>-</v>
      </c>
      <c r="AN156" s="85" t="str">
        <f t="shared" si="328"/>
        <v>-</v>
      </c>
      <c r="AO156" s="85" t="str">
        <f>'Consumer Hardware Pricing'!AD164</f>
        <v>-</v>
      </c>
      <c r="AP156" s="85" t="str">
        <f t="shared" si="562"/>
        <v>-</v>
      </c>
      <c r="AQ156" s="85" t="str">
        <f t="shared" si="563"/>
        <v>-</v>
      </c>
      <c r="AR156" s="85" t="str">
        <f t="shared" si="564"/>
        <v>-</v>
      </c>
      <c r="AS156" s="85" t="str">
        <f>'Consumer Hardware Pricing'!AF164</f>
        <v>-</v>
      </c>
      <c r="AT156" s="85" t="str">
        <f t="shared" si="329"/>
        <v>-</v>
      </c>
      <c r="AU156" s="85" t="str">
        <f t="shared" si="565"/>
        <v>-</v>
      </c>
      <c r="AV156" s="85" t="str">
        <f t="shared" si="566"/>
        <v>-</v>
      </c>
      <c r="AW156" s="85" t="str">
        <f t="shared" si="567"/>
        <v>-</v>
      </c>
      <c r="AX156" s="85" t="str">
        <f>'Consumer Hardware Pricing'!AH164</f>
        <v>-</v>
      </c>
      <c r="AY156" s="85" t="str">
        <f t="shared" si="330"/>
        <v>-</v>
      </c>
      <c r="AZ156" s="85" t="str">
        <f>'Consumer Hardware Pricing'!AI164</f>
        <v>-</v>
      </c>
      <c r="BA156" s="85" t="str">
        <f t="shared" si="544"/>
        <v>-</v>
      </c>
      <c r="BB156" s="85" t="str">
        <f t="shared" si="545"/>
        <v>-</v>
      </c>
      <c r="BC156" s="85" t="str">
        <f t="shared" si="546"/>
        <v>-</v>
      </c>
      <c r="BD156" s="85">
        <f>'Consumer Hardware Pricing'!AL164</f>
        <v>0</v>
      </c>
      <c r="BE156" s="85">
        <f t="shared" si="331"/>
        <v>78.710000000000008</v>
      </c>
      <c r="BF156" s="85" t="str">
        <f>'Consumer Hardware Pricing'!AM164</f>
        <v>-</v>
      </c>
      <c r="BG156" s="85">
        <f t="shared" si="547"/>
        <v>78.710000000000008</v>
      </c>
      <c r="BH156" s="85" t="str">
        <f t="shared" si="548"/>
        <v>-</v>
      </c>
      <c r="BI156" s="85">
        <f t="shared" si="549"/>
        <v>1889.0400000000002</v>
      </c>
      <c r="BJ156" s="85" t="str">
        <f>'Consumer Hardware Pricing'!AP164</f>
        <v>-</v>
      </c>
      <c r="BK156" s="85" t="str">
        <f t="shared" si="332"/>
        <v>-</v>
      </c>
      <c r="BL156" s="85" t="str">
        <f>'Consumer Hardware Pricing'!AQ164</f>
        <v>-</v>
      </c>
      <c r="BM156" s="85" t="str">
        <f t="shared" si="550"/>
        <v>-</v>
      </c>
      <c r="BN156" s="85" t="str">
        <f t="shared" si="551"/>
        <v>-</v>
      </c>
      <c r="BO156" s="85" t="str">
        <f t="shared" si="552"/>
        <v>-</v>
      </c>
      <c r="BP156" s="85" t="str">
        <f>'Consumer Hardware Pricing'!AT164</f>
        <v>-</v>
      </c>
      <c r="BQ156" s="85" t="str">
        <f t="shared" si="333"/>
        <v>-</v>
      </c>
      <c r="BR156" s="85" t="str">
        <f>'Consumer Hardware Pricing'!AU164</f>
        <v>-</v>
      </c>
      <c r="BS156" s="85" t="str">
        <f t="shared" si="553"/>
        <v>-</v>
      </c>
      <c r="BT156" s="85" t="str">
        <f t="shared" si="554"/>
        <v>-</v>
      </c>
      <c r="BU156" s="85" t="str">
        <f t="shared" si="555"/>
        <v>-</v>
      </c>
    </row>
    <row r="157" spans="1:73" ht="30.15" customHeight="1" x14ac:dyDescent="0.25">
      <c r="A157" s="86" t="s">
        <v>35</v>
      </c>
      <c r="B157" s="88" t="s">
        <v>870</v>
      </c>
      <c r="C157" s="88" t="s">
        <v>878</v>
      </c>
      <c r="D157" s="85">
        <f>'Consumer Hardware Pricing'!L165</f>
        <v>1889</v>
      </c>
      <c r="E157" s="85">
        <f>'Consumer Hardware Pricing'!M165</f>
        <v>1889</v>
      </c>
      <c r="F157" s="85" t="str">
        <f>'Consumer Hardware Pricing'!N165</f>
        <v>-</v>
      </c>
      <c r="G157" s="85" t="str">
        <f t="shared" si="359"/>
        <v>-</v>
      </c>
      <c r="H157" s="85" t="str">
        <f>'Consumer Hardware Pricing'!O165</f>
        <v>-</v>
      </c>
      <c r="I157" s="85" t="str">
        <f t="shared" si="531"/>
        <v>-</v>
      </c>
      <c r="J157" s="85" t="str">
        <f t="shared" si="532"/>
        <v>-</v>
      </c>
      <c r="K157" s="85" t="str">
        <f t="shared" si="533"/>
        <v>-</v>
      </c>
      <c r="L157" s="85" t="str">
        <f>'Consumer Hardware Pricing'!Q165</f>
        <v>-</v>
      </c>
      <c r="M157" s="85" t="str">
        <f t="shared" si="360"/>
        <v>-</v>
      </c>
      <c r="N157" s="85" t="str">
        <f t="shared" si="534"/>
        <v>-</v>
      </c>
      <c r="O157" s="85" t="str">
        <f t="shared" si="535"/>
        <v>-</v>
      </c>
      <c r="P157" s="85" t="str">
        <f t="shared" si="536"/>
        <v>-</v>
      </c>
      <c r="Q157" s="85" t="str">
        <f>'Consumer Hardware Pricing'!S165</f>
        <v>-</v>
      </c>
      <c r="R157" s="85" t="str">
        <f t="shared" si="537"/>
        <v>-</v>
      </c>
      <c r="S157" s="85" t="str">
        <f>'Consumer Hardware Pricing'!T165</f>
        <v>-</v>
      </c>
      <c r="T157" s="129" t="str">
        <f t="shared" si="538"/>
        <v>-</v>
      </c>
      <c r="U157" s="129" t="str">
        <f t="shared" si="539"/>
        <v>-</v>
      </c>
      <c r="V157" s="85" t="str">
        <f t="shared" si="540"/>
        <v>-</v>
      </c>
      <c r="W157" s="129" t="str">
        <f>'Consumer Hardware Pricing'!V165</f>
        <v>-</v>
      </c>
      <c r="X157" s="129" t="str">
        <f t="shared" si="361"/>
        <v>-</v>
      </c>
      <c r="Y157" s="129" t="str">
        <f t="shared" si="541"/>
        <v>-</v>
      </c>
      <c r="Z157" s="129" t="str">
        <f t="shared" si="542"/>
        <v>-</v>
      </c>
      <c r="AA157" s="85" t="str">
        <f t="shared" si="543"/>
        <v>-</v>
      </c>
      <c r="AB157" s="85" t="str">
        <f>'Consumer Hardware Pricing'!X165</f>
        <v>-</v>
      </c>
      <c r="AC157" s="85" t="str">
        <f t="shared" si="326"/>
        <v>-</v>
      </c>
      <c r="AD157" s="85" t="str">
        <f>'Consumer Hardware Pricing'!Y165</f>
        <v>-</v>
      </c>
      <c r="AE157" s="85" t="str">
        <f t="shared" si="556"/>
        <v>-</v>
      </c>
      <c r="AF157" s="85" t="str">
        <f t="shared" si="557"/>
        <v>-</v>
      </c>
      <c r="AG157" s="85" t="str">
        <f t="shared" si="558"/>
        <v>-</v>
      </c>
      <c r="AH157" s="85" t="str">
        <f>'Consumer Hardware Pricing'!AA165</f>
        <v>-</v>
      </c>
      <c r="AI157" s="85" t="str">
        <f t="shared" si="327"/>
        <v>-</v>
      </c>
      <c r="AJ157" s="85" t="str">
        <f t="shared" si="559"/>
        <v>-</v>
      </c>
      <c r="AK157" s="85" t="str">
        <f t="shared" si="560"/>
        <v>-</v>
      </c>
      <c r="AL157" s="85" t="str">
        <f t="shared" si="561"/>
        <v>-</v>
      </c>
      <c r="AM157" s="85" t="str">
        <f>'Consumer Hardware Pricing'!AC165</f>
        <v>-</v>
      </c>
      <c r="AN157" s="85" t="str">
        <f t="shared" si="328"/>
        <v>-</v>
      </c>
      <c r="AO157" s="85" t="str">
        <f>'Consumer Hardware Pricing'!AD165</f>
        <v>-</v>
      </c>
      <c r="AP157" s="85" t="str">
        <f t="shared" si="562"/>
        <v>-</v>
      </c>
      <c r="AQ157" s="85" t="str">
        <f t="shared" si="563"/>
        <v>-</v>
      </c>
      <c r="AR157" s="85" t="str">
        <f t="shared" si="564"/>
        <v>-</v>
      </c>
      <c r="AS157" s="85" t="str">
        <f>'Consumer Hardware Pricing'!AF165</f>
        <v>-</v>
      </c>
      <c r="AT157" s="85" t="str">
        <f t="shared" si="329"/>
        <v>-</v>
      </c>
      <c r="AU157" s="85" t="str">
        <f t="shared" si="565"/>
        <v>-</v>
      </c>
      <c r="AV157" s="85" t="str">
        <f t="shared" si="566"/>
        <v>-</v>
      </c>
      <c r="AW157" s="85" t="str">
        <f t="shared" si="567"/>
        <v>-</v>
      </c>
      <c r="AX157" s="85" t="str">
        <f>'Consumer Hardware Pricing'!AH165</f>
        <v>-</v>
      </c>
      <c r="AY157" s="85" t="str">
        <f t="shared" si="330"/>
        <v>-</v>
      </c>
      <c r="AZ157" s="85" t="str">
        <f>'Consumer Hardware Pricing'!AI165</f>
        <v>-</v>
      </c>
      <c r="BA157" s="85" t="str">
        <f t="shared" si="544"/>
        <v>-</v>
      </c>
      <c r="BB157" s="85" t="str">
        <f t="shared" si="545"/>
        <v>-</v>
      </c>
      <c r="BC157" s="85" t="str">
        <f t="shared" si="546"/>
        <v>-</v>
      </c>
      <c r="BD157" s="85">
        <f>'Consumer Hardware Pricing'!AL165</f>
        <v>0</v>
      </c>
      <c r="BE157" s="85">
        <f t="shared" si="331"/>
        <v>78.710000000000008</v>
      </c>
      <c r="BF157" s="85" t="str">
        <f>'Consumer Hardware Pricing'!AM165</f>
        <v>-</v>
      </c>
      <c r="BG157" s="85">
        <f t="shared" si="547"/>
        <v>78.710000000000008</v>
      </c>
      <c r="BH157" s="85" t="str">
        <f t="shared" si="548"/>
        <v>-</v>
      </c>
      <c r="BI157" s="85">
        <f t="shared" si="549"/>
        <v>1889.0400000000002</v>
      </c>
      <c r="BJ157" s="85" t="str">
        <f>'Consumer Hardware Pricing'!AP165</f>
        <v>-</v>
      </c>
      <c r="BK157" s="85" t="str">
        <f t="shared" si="332"/>
        <v>-</v>
      </c>
      <c r="BL157" s="85" t="str">
        <f>'Consumer Hardware Pricing'!AQ165</f>
        <v>-</v>
      </c>
      <c r="BM157" s="85" t="str">
        <f t="shared" si="550"/>
        <v>-</v>
      </c>
      <c r="BN157" s="85" t="str">
        <f t="shared" si="551"/>
        <v>-</v>
      </c>
      <c r="BO157" s="85" t="str">
        <f t="shared" si="552"/>
        <v>-</v>
      </c>
      <c r="BP157" s="85" t="str">
        <f>'Consumer Hardware Pricing'!AT165</f>
        <v>-</v>
      </c>
      <c r="BQ157" s="85" t="str">
        <f t="shared" si="333"/>
        <v>-</v>
      </c>
      <c r="BR157" s="85" t="str">
        <f>'Consumer Hardware Pricing'!AU165</f>
        <v>-</v>
      </c>
      <c r="BS157" s="85" t="str">
        <f t="shared" si="553"/>
        <v>-</v>
      </c>
      <c r="BT157" s="85" t="str">
        <f t="shared" si="554"/>
        <v>-</v>
      </c>
      <c r="BU157" s="85" t="str">
        <f t="shared" si="555"/>
        <v>-</v>
      </c>
    </row>
    <row r="158" spans="1:73" ht="30.15" customHeight="1" x14ac:dyDescent="0.25">
      <c r="A158" s="86" t="s">
        <v>35</v>
      </c>
      <c r="B158" s="88" t="s">
        <v>871</v>
      </c>
      <c r="C158" s="88" t="s">
        <v>879</v>
      </c>
      <c r="D158" s="85">
        <f>'Consumer Hardware Pricing'!L166</f>
        <v>2150</v>
      </c>
      <c r="E158" s="85">
        <f>'Consumer Hardware Pricing'!M166</f>
        <v>2150</v>
      </c>
      <c r="F158" s="85" t="str">
        <f>'Consumer Hardware Pricing'!N166</f>
        <v>-</v>
      </c>
      <c r="G158" s="85" t="str">
        <f t="shared" si="359"/>
        <v>-</v>
      </c>
      <c r="H158" s="85" t="str">
        <f>'Consumer Hardware Pricing'!O166</f>
        <v>-</v>
      </c>
      <c r="I158" s="85" t="str">
        <f t="shared" si="531"/>
        <v>-</v>
      </c>
      <c r="J158" s="85" t="str">
        <f t="shared" si="532"/>
        <v>-</v>
      </c>
      <c r="K158" s="85" t="str">
        <f t="shared" si="533"/>
        <v>-</v>
      </c>
      <c r="L158" s="85" t="str">
        <f>'Consumer Hardware Pricing'!Q166</f>
        <v>-</v>
      </c>
      <c r="M158" s="85" t="str">
        <f t="shared" si="360"/>
        <v>-</v>
      </c>
      <c r="N158" s="85" t="str">
        <f t="shared" si="534"/>
        <v>-</v>
      </c>
      <c r="O158" s="85" t="str">
        <f t="shared" si="535"/>
        <v>-</v>
      </c>
      <c r="P158" s="85" t="str">
        <f t="shared" si="536"/>
        <v>-</v>
      </c>
      <c r="Q158" s="85" t="str">
        <f>'Consumer Hardware Pricing'!S166</f>
        <v>-</v>
      </c>
      <c r="R158" s="85" t="str">
        <f t="shared" si="537"/>
        <v>-</v>
      </c>
      <c r="S158" s="85" t="str">
        <f>'Consumer Hardware Pricing'!T166</f>
        <v>-</v>
      </c>
      <c r="T158" s="129" t="str">
        <f t="shared" si="538"/>
        <v>-</v>
      </c>
      <c r="U158" s="129" t="str">
        <f t="shared" si="539"/>
        <v>-</v>
      </c>
      <c r="V158" s="85" t="str">
        <f t="shared" si="540"/>
        <v>-</v>
      </c>
      <c r="W158" s="129" t="str">
        <f>'Consumer Hardware Pricing'!V166</f>
        <v>-</v>
      </c>
      <c r="X158" s="129" t="str">
        <f t="shared" si="361"/>
        <v>-</v>
      </c>
      <c r="Y158" s="129" t="str">
        <f t="shared" si="541"/>
        <v>-</v>
      </c>
      <c r="Z158" s="129" t="str">
        <f t="shared" si="542"/>
        <v>-</v>
      </c>
      <c r="AA158" s="85" t="str">
        <f t="shared" si="543"/>
        <v>-</v>
      </c>
      <c r="AB158" s="85" t="str">
        <f>'Consumer Hardware Pricing'!X166</f>
        <v>-</v>
      </c>
      <c r="AC158" s="85" t="str">
        <f t="shared" si="326"/>
        <v>-</v>
      </c>
      <c r="AD158" s="85" t="str">
        <f>'Consumer Hardware Pricing'!Y166</f>
        <v>-</v>
      </c>
      <c r="AE158" s="85" t="str">
        <f t="shared" si="556"/>
        <v>-</v>
      </c>
      <c r="AF158" s="85" t="str">
        <f t="shared" si="557"/>
        <v>-</v>
      </c>
      <c r="AG158" s="85" t="str">
        <f t="shared" si="558"/>
        <v>-</v>
      </c>
      <c r="AH158" s="85" t="str">
        <f>'Consumer Hardware Pricing'!AA166</f>
        <v>-</v>
      </c>
      <c r="AI158" s="85" t="str">
        <f t="shared" si="327"/>
        <v>-</v>
      </c>
      <c r="AJ158" s="85" t="str">
        <f t="shared" si="559"/>
        <v>-</v>
      </c>
      <c r="AK158" s="85" t="str">
        <f t="shared" si="560"/>
        <v>-</v>
      </c>
      <c r="AL158" s="85" t="str">
        <f t="shared" si="561"/>
        <v>-</v>
      </c>
      <c r="AM158" s="85" t="str">
        <f>'Consumer Hardware Pricing'!AC166</f>
        <v>-</v>
      </c>
      <c r="AN158" s="85" t="str">
        <f t="shared" si="328"/>
        <v>-</v>
      </c>
      <c r="AO158" s="85" t="str">
        <f>'Consumer Hardware Pricing'!AD166</f>
        <v>-</v>
      </c>
      <c r="AP158" s="85" t="str">
        <f t="shared" si="562"/>
        <v>-</v>
      </c>
      <c r="AQ158" s="85" t="str">
        <f t="shared" si="563"/>
        <v>-</v>
      </c>
      <c r="AR158" s="85" t="str">
        <f t="shared" si="564"/>
        <v>-</v>
      </c>
      <c r="AS158" s="85" t="str">
        <f>'Consumer Hardware Pricing'!AF166</f>
        <v>-</v>
      </c>
      <c r="AT158" s="85" t="str">
        <f t="shared" si="329"/>
        <v>-</v>
      </c>
      <c r="AU158" s="85" t="str">
        <f t="shared" si="565"/>
        <v>-</v>
      </c>
      <c r="AV158" s="85" t="str">
        <f t="shared" si="566"/>
        <v>-</v>
      </c>
      <c r="AW158" s="85" t="str">
        <f t="shared" si="567"/>
        <v>-</v>
      </c>
      <c r="AX158" s="85" t="str">
        <f>'Consumer Hardware Pricing'!AH166</f>
        <v>-</v>
      </c>
      <c r="AY158" s="85" t="str">
        <f t="shared" si="330"/>
        <v>-</v>
      </c>
      <c r="AZ158" s="85" t="str">
        <f>'Consumer Hardware Pricing'!AI166</f>
        <v>-</v>
      </c>
      <c r="BA158" s="85" t="str">
        <f t="shared" si="544"/>
        <v>-</v>
      </c>
      <c r="BB158" s="85" t="str">
        <f t="shared" si="545"/>
        <v>-</v>
      </c>
      <c r="BC158" s="85" t="str">
        <f t="shared" si="546"/>
        <v>-</v>
      </c>
      <c r="BD158" s="85">
        <f>'Consumer Hardware Pricing'!AL166</f>
        <v>0</v>
      </c>
      <c r="BE158" s="85">
        <f t="shared" si="331"/>
        <v>89.59</v>
      </c>
      <c r="BF158" s="85" t="str">
        <f>'Consumer Hardware Pricing'!AM166</f>
        <v>-</v>
      </c>
      <c r="BG158" s="85">
        <f t="shared" si="547"/>
        <v>89.59</v>
      </c>
      <c r="BH158" s="85" t="str">
        <f t="shared" si="548"/>
        <v>-</v>
      </c>
      <c r="BI158" s="85">
        <f t="shared" si="549"/>
        <v>2150.16</v>
      </c>
      <c r="BJ158" s="85" t="str">
        <f>'Consumer Hardware Pricing'!AP166</f>
        <v>-</v>
      </c>
      <c r="BK158" s="85" t="str">
        <f t="shared" si="332"/>
        <v>-</v>
      </c>
      <c r="BL158" s="85" t="str">
        <f>'Consumer Hardware Pricing'!AQ166</f>
        <v>-</v>
      </c>
      <c r="BM158" s="85" t="str">
        <f t="shared" si="550"/>
        <v>-</v>
      </c>
      <c r="BN158" s="85" t="str">
        <f t="shared" si="551"/>
        <v>-</v>
      </c>
      <c r="BO158" s="85" t="str">
        <f t="shared" si="552"/>
        <v>-</v>
      </c>
      <c r="BP158" s="85" t="str">
        <f>'Consumer Hardware Pricing'!AT166</f>
        <v>-</v>
      </c>
      <c r="BQ158" s="85" t="str">
        <f t="shared" si="333"/>
        <v>-</v>
      </c>
      <c r="BR158" s="85" t="str">
        <f>'Consumer Hardware Pricing'!AU166</f>
        <v>-</v>
      </c>
      <c r="BS158" s="85" t="str">
        <f t="shared" si="553"/>
        <v>-</v>
      </c>
      <c r="BT158" s="85" t="str">
        <f t="shared" si="554"/>
        <v>-</v>
      </c>
      <c r="BU158" s="85" t="str">
        <f t="shared" si="555"/>
        <v>-</v>
      </c>
    </row>
    <row r="159" spans="1:73" ht="30.15" customHeight="1" x14ac:dyDescent="0.25">
      <c r="A159" s="86" t="s">
        <v>35</v>
      </c>
      <c r="B159" s="88" t="s">
        <v>872</v>
      </c>
      <c r="C159" s="88" t="s">
        <v>879</v>
      </c>
      <c r="D159" s="85">
        <f>'Consumer Hardware Pricing'!L167</f>
        <v>2150</v>
      </c>
      <c r="E159" s="85">
        <f>'Consumer Hardware Pricing'!M167</f>
        <v>2150</v>
      </c>
      <c r="F159" s="85" t="str">
        <f>'Consumer Hardware Pricing'!N167</f>
        <v>-</v>
      </c>
      <c r="G159" s="85" t="str">
        <f t="shared" si="359"/>
        <v>-</v>
      </c>
      <c r="H159" s="85" t="str">
        <f>'Consumer Hardware Pricing'!O167</f>
        <v>-</v>
      </c>
      <c r="I159" s="85" t="str">
        <f t="shared" si="531"/>
        <v>-</v>
      </c>
      <c r="J159" s="85" t="str">
        <f t="shared" si="532"/>
        <v>-</v>
      </c>
      <c r="K159" s="85" t="str">
        <f t="shared" si="533"/>
        <v>-</v>
      </c>
      <c r="L159" s="85" t="str">
        <f>'Consumer Hardware Pricing'!Q167</f>
        <v>-</v>
      </c>
      <c r="M159" s="85" t="str">
        <f t="shared" si="360"/>
        <v>-</v>
      </c>
      <c r="N159" s="85" t="str">
        <f t="shared" si="534"/>
        <v>-</v>
      </c>
      <c r="O159" s="85" t="str">
        <f t="shared" si="535"/>
        <v>-</v>
      </c>
      <c r="P159" s="85" t="str">
        <f t="shared" si="536"/>
        <v>-</v>
      </c>
      <c r="Q159" s="85" t="str">
        <f>'Consumer Hardware Pricing'!S167</f>
        <v>-</v>
      </c>
      <c r="R159" s="85" t="str">
        <f t="shared" si="537"/>
        <v>-</v>
      </c>
      <c r="S159" s="85" t="str">
        <f>'Consumer Hardware Pricing'!T167</f>
        <v>-</v>
      </c>
      <c r="T159" s="129" t="str">
        <f t="shared" si="538"/>
        <v>-</v>
      </c>
      <c r="U159" s="129" t="str">
        <f t="shared" si="539"/>
        <v>-</v>
      </c>
      <c r="V159" s="85" t="str">
        <f t="shared" si="540"/>
        <v>-</v>
      </c>
      <c r="W159" s="129" t="str">
        <f>'Consumer Hardware Pricing'!V167</f>
        <v>-</v>
      </c>
      <c r="X159" s="129" t="str">
        <f t="shared" si="361"/>
        <v>-</v>
      </c>
      <c r="Y159" s="129" t="str">
        <f t="shared" si="541"/>
        <v>-</v>
      </c>
      <c r="Z159" s="129" t="str">
        <f t="shared" si="542"/>
        <v>-</v>
      </c>
      <c r="AA159" s="85" t="str">
        <f t="shared" si="543"/>
        <v>-</v>
      </c>
      <c r="AB159" s="85" t="str">
        <f>'Consumer Hardware Pricing'!X167</f>
        <v>-</v>
      </c>
      <c r="AC159" s="85" t="str">
        <f t="shared" si="326"/>
        <v>-</v>
      </c>
      <c r="AD159" s="85" t="str">
        <f>'Consumer Hardware Pricing'!Y167</f>
        <v>-</v>
      </c>
      <c r="AE159" s="85" t="str">
        <f t="shared" si="556"/>
        <v>-</v>
      </c>
      <c r="AF159" s="85" t="str">
        <f t="shared" si="557"/>
        <v>-</v>
      </c>
      <c r="AG159" s="85" t="str">
        <f t="shared" si="558"/>
        <v>-</v>
      </c>
      <c r="AH159" s="85" t="str">
        <f>'Consumer Hardware Pricing'!AA167</f>
        <v>-</v>
      </c>
      <c r="AI159" s="85" t="str">
        <f t="shared" si="327"/>
        <v>-</v>
      </c>
      <c r="AJ159" s="85" t="str">
        <f t="shared" si="559"/>
        <v>-</v>
      </c>
      <c r="AK159" s="85" t="str">
        <f t="shared" si="560"/>
        <v>-</v>
      </c>
      <c r="AL159" s="85" t="str">
        <f t="shared" si="561"/>
        <v>-</v>
      </c>
      <c r="AM159" s="85" t="str">
        <f>'Consumer Hardware Pricing'!AC167</f>
        <v>-</v>
      </c>
      <c r="AN159" s="85" t="str">
        <f t="shared" si="328"/>
        <v>-</v>
      </c>
      <c r="AO159" s="85" t="str">
        <f>'Consumer Hardware Pricing'!AD167</f>
        <v>-</v>
      </c>
      <c r="AP159" s="85" t="str">
        <f t="shared" si="562"/>
        <v>-</v>
      </c>
      <c r="AQ159" s="85" t="str">
        <f t="shared" si="563"/>
        <v>-</v>
      </c>
      <c r="AR159" s="85" t="str">
        <f t="shared" si="564"/>
        <v>-</v>
      </c>
      <c r="AS159" s="85" t="str">
        <f>'Consumer Hardware Pricing'!AF167</f>
        <v>-</v>
      </c>
      <c r="AT159" s="85" t="str">
        <f t="shared" si="329"/>
        <v>-</v>
      </c>
      <c r="AU159" s="85" t="str">
        <f t="shared" si="565"/>
        <v>-</v>
      </c>
      <c r="AV159" s="85" t="str">
        <f t="shared" si="566"/>
        <v>-</v>
      </c>
      <c r="AW159" s="85" t="str">
        <f t="shared" si="567"/>
        <v>-</v>
      </c>
      <c r="AX159" s="85" t="str">
        <f>'Consumer Hardware Pricing'!AH167</f>
        <v>-</v>
      </c>
      <c r="AY159" s="85" t="str">
        <f t="shared" si="330"/>
        <v>-</v>
      </c>
      <c r="AZ159" s="85" t="str">
        <f>'Consumer Hardware Pricing'!AI167</f>
        <v>-</v>
      </c>
      <c r="BA159" s="85" t="str">
        <f t="shared" si="544"/>
        <v>-</v>
      </c>
      <c r="BB159" s="85" t="str">
        <f t="shared" si="545"/>
        <v>-</v>
      </c>
      <c r="BC159" s="85" t="str">
        <f t="shared" si="546"/>
        <v>-</v>
      </c>
      <c r="BD159" s="85">
        <f>'Consumer Hardware Pricing'!AL167</f>
        <v>0</v>
      </c>
      <c r="BE159" s="85">
        <f t="shared" si="331"/>
        <v>89.59</v>
      </c>
      <c r="BF159" s="85" t="str">
        <f>'Consumer Hardware Pricing'!AM167</f>
        <v>-</v>
      </c>
      <c r="BG159" s="85">
        <f t="shared" si="547"/>
        <v>89.59</v>
      </c>
      <c r="BH159" s="85" t="str">
        <f t="shared" si="548"/>
        <v>-</v>
      </c>
      <c r="BI159" s="85">
        <f t="shared" si="549"/>
        <v>2150.16</v>
      </c>
      <c r="BJ159" s="85" t="str">
        <f>'Consumer Hardware Pricing'!AP167</f>
        <v>-</v>
      </c>
      <c r="BK159" s="85" t="str">
        <f t="shared" si="332"/>
        <v>-</v>
      </c>
      <c r="BL159" s="85" t="str">
        <f>'Consumer Hardware Pricing'!AQ167</f>
        <v>-</v>
      </c>
      <c r="BM159" s="85" t="str">
        <f t="shared" si="550"/>
        <v>-</v>
      </c>
      <c r="BN159" s="85" t="str">
        <f t="shared" si="551"/>
        <v>-</v>
      </c>
      <c r="BO159" s="85" t="str">
        <f t="shared" si="552"/>
        <v>-</v>
      </c>
      <c r="BP159" s="85" t="str">
        <f>'Consumer Hardware Pricing'!AT167</f>
        <v>-</v>
      </c>
      <c r="BQ159" s="85" t="str">
        <f t="shared" si="333"/>
        <v>-</v>
      </c>
      <c r="BR159" s="85" t="str">
        <f>'Consumer Hardware Pricing'!AU167</f>
        <v>-</v>
      </c>
      <c r="BS159" s="85" t="str">
        <f t="shared" si="553"/>
        <v>-</v>
      </c>
      <c r="BT159" s="85" t="str">
        <f t="shared" si="554"/>
        <v>-</v>
      </c>
      <c r="BU159" s="85" t="str">
        <f t="shared" si="555"/>
        <v>-</v>
      </c>
    </row>
    <row r="160" spans="1:73" ht="30.15" customHeight="1" x14ac:dyDescent="0.25">
      <c r="A160" s="86" t="s">
        <v>35</v>
      </c>
      <c r="B160" s="88" t="s">
        <v>1283</v>
      </c>
      <c r="C160" s="88" t="s">
        <v>1293</v>
      </c>
      <c r="D160" s="85">
        <f>'Consumer Hardware Pricing'!L168</f>
        <v>1600</v>
      </c>
      <c r="E160" s="85">
        <f>'Consumer Hardware Pricing'!M168</f>
        <v>1600</v>
      </c>
      <c r="F160" s="85" t="str">
        <f>'Consumer Hardware Pricing'!N168</f>
        <v>-</v>
      </c>
      <c r="G160" s="85" t="str">
        <f t="shared" ref="G160:G169" si="568">IF(F160="-","-",ROUNDUP(D160/24,2))</f>
        <v>-</v>
      </c>
      <c r="H160" s="85" t="str">
        <f>'Consumer Hardware Pricing'!O168</f>
        <v>-</v>
      </c>
      <c r="I160" s="85" t="str">
        <f t="shared" ref="I160:I169" si="569">IF(H160="-",G160,G160-H160)</f>
        <v>-</v>
      </c>
      <c r="J160" s="85" t="str">
        <f t="shared" ref="J160:J169" si="570">IF(H160="-",H160,H160*24)</f>
        <v>-</v>
      </c>
      <c r="K160" s="85" t="str">
        <f t="shared" ref="K160:K169" si="571">IF(F160="-",F160,I160*24)</f>
        <v>-</v>
      </c>
      <c r="L160" s="85" t="str">
        <f>'Consumer Hardware Pricing'!Q168</f>
        <v>-</v>
      </c>
      <c r="M160" s="85" t="str">
        <f t="shared" ref="M160:M169" si="572">IF(L160="-",L160,IF(H160="-",G160-ROUNDUP((D160-L160)/24,2),H160+G160-ROUNDUP((D160-L160)/24,2)))</f>
        <v>-</v>
      </c>
      <c r="N160" s="85" t="str">
        <f t="shared" ref="N160:N169" si="573">IF(L160="-",L160,G160-M160)</f>
        <v>-</v>
      </c>
      <c r="O160" s="85" t="str">
        <f t="shared" ref="O160:O169" si="574">IF(L160="-",L160,M160*24)</f>
        <v>-</v>
      </c>
      <c r="P160" s="85" t="str">
        <f t="shared" ref="P160:P169" si="575">IF(L160="-",L160,N160*24)</f>
        <v>-</v>
      </c>
      <c r="Q160" s="85" t="str">
        <f>'Consumer Hardware Pricing'!S168</f>
        <v>-</v>
      </c>
      <c r="R160" s="85" t="str">
        <f t="shared" ref="R160:R169" si="576">G160</f>
        <v>-</v>
      </c>
      <c r="S160" s="85" t="str">
        <f>'Consumer Hardware Pricing'!T168</f>
        <v>-</v>
      </c>
      <c r="T160" s="129" t="str">
        <f t="shared" ref="T160:T169" si="577">IF(S160="-",R160,R160-S160)</f>
        <v>-</v>
      </c>
      <c r="U160" s="129" t="str">
        <f t="shared" ref="U160:U169" si="578">IF(S160="-",S160,S160*24)</f>
        <v>-</v>
      </c>
      <c r="V160" s="85" t="str">
        <f t="shared" ref="V160:V169" si="579">IF(Q160="-",Q160,T160*24)</f>
        <v>-</v>
      </c>
      <c r="W160" s="129" t="str">
        <f>'Consumer Hardware Pricing'!V168</f>
        <v>-</v>
      </c>
      <c r="X160" s="129" t="str">
        <f t="shared" ref="X160:X169" si="580">IF(W160="-",W160,IF(S160="-",R160-ROUNDUP((D160-W160)/24,2),S160+R160-ROUNDUP((D160-W160)/24,2)))</f>
        <v>-</v>
      </c>
      <c r="Y160" s="129" t="str">
        <f t="shared" ref="Y160:Y169" si="581">IF(W160="-",W160,R160-X160)</f>
        <v>-</v>
      </c>
      <c r="Z160" s="129" t="str">
        <f t="shared" ref="Z160:Z169" si="582">IF(W160="-",W160,X160*24)</f>
        <v>-</v>
      </c>
      <c r="AA160" s="85" t="str">
        <f t="shared" ref="AA160:AA169" si="583">IF(W160="-",W160,Y160*24)</f>
        <v>-</v>
      </c>
      <c r="AB160" s="85" t="str">
        <f>'Consumer Hardware Pricing'!X168</f>
        <v>-</v>
      </c>
      <c r="AC160" s="85" t="str">
        <f t="shared" ref="AC160:AC169" si="584">IF(AB160="-","-",ROUNDUP(D160/24,2))</f>
        <v>-</v>
      </c>
      <c r="AD160" s="85" t="str">
        <f>'Consumer Hardware Pricing'!Y168</f>
        <v>-</v>
      </c>
      <c r="AE160" s="85" t="str">
        <f t="shared" ref="AE160:AE169" si="585">IF(AD160="-",AC160,AC160-AD160)</f>
        <v>-</v>
      </c>
      <c r="AF160" s="85" t="str">
        <f t="shared" ref="AF160:AF169" si="586">IF(AD160="-",AD160,AD160*24)</f>
        <v>-</v>
      </c>
      <c r="AG160" s="85" t="str">
        <f t="shared" ref="AG160:AG169" si="587">IF(AB160="-",AB160,AE160*24)</f>
        <v>-</v>
      </c>
      <c r="AH160" s="85" t="str">
        <f>'Consumer Hardware Pricing'!AA168</f>
        <v>-</v>
      </c>
      <c r="AI160" s="85" t="str">
        <f t="shared" ref="AI160:AI169" si="588">IF(AH160="-",AH160,IF(AD160="-",AC160-ROUNDUP((D160-AH160)/24,2),AD160+AC160-ROUNDUP((D160-AH160)/24,2)))</f>
        <v>-</v>
      </c>
      <c r="AJ160" s="85" t="str">
        <f t="shared" ref="AJ160:AJ169" si="589">IF(AH160="-",AH160,AC160-AI160)</f>
        <v>-</v>
      </c>
      <c r="AK160" s="85" t="str">
        <f t="shared" ref="AK160:AK169" si="590">IF(AH160="-",AH160,AI160*24)</f>
        <v>-</v>
      </c>
      <c r="AL160" s="85" t="str">
        <f t="shared" ref="AL160:AL169" si="591">IF(AH160="-",AH160,AJ160*24)</f>
        <v>-</v>
      </c>
      <c r="AM160" s="85" t="str">
        <f>'Consumer Hardware Pricing'!AC168</f>
        <v>-</v>
      </c>
      <c r="AN160" s="85" t="str">
        <f t="shared" ref="AN160:AN169" si="592">IF(AM160="-","-",ROUNDUP(D160/24,2))</f>
        <v>-</v>
      </c>
      <c r="AO160" s="85" t="str">
        <f>'Consumer Hardware Pricing'!AD168</f>
        <v>-</v>
      </c>
      <c r="AP160" s="85" t="str">
        <f t="shared" ref="AP160:AP169" si="593">IF(AO160="-",AN160,AN160-AO160)</f>
        <v>-</v>
      </c>
      <c r="AQ160" s="85" t="str">
        <f t="shared" ref="AQ160:AQ169" si="594">IF(AO160="-",AO160,AO160*24)</f>
        <v>-</v>
      </c>
      <c r="AR160" s="85" t="str">
        <f t="shared" ref="AR160:AR169" si="595">IF(AM160="-",AM160,AP160*24)</f>
        <v>-</v>
      </c>
      <c r="AS160" s="85" t="str">
        <f>'Consumer Hardware Pricing'!AF168</f>
        <v>-</v>
      </c>
      <c r="AT160" s="85" t="str">
        <f t="shared" ref="AT160:AT169" si="596">IF(AS160="-",AS160,IF(AO160="-",AN160-ROUNDUP((D160-AS160)/24,2),AO160+AN160-ROUNDUP((D160-AS160)/24,2)))</f>
        <v>-</v>
      </c>
      <c r="AU160" s="85" t="str">
        <f t="shared" ref="AU160:AU169" si="597">IF(AS160="-",AS160,AN160-AT160)</f>
        <v>-</v>
      </c>
      <c r="AV160" s="85" t="str">
        <f t="shared" ref="AV160:AV169" si="598">IF(AS160="-",AS160,AT160*24)</f>
        <v>-</v>
      </c>
      <c r="AW160" s="85" t="str">
        <f t="shared" ref="AW160:AW169" si="599">IF(AS160="-",AS160,AU160*24)</f>
        <v>-</v>
      </c>
      <c r="AX160" s="85" t="str">
        <f>'Consumer Hardware Pricing'!AH168</f>
        <v>-</v>
      </c>
      <c r="AY160" s="85" t="str">
        <f t="shared" ref="AY160:AY169" si="600">IF(AX160="-",AX160,ROUNDUP((D160-AX160)/24,2))</f>
        <v>-</v>
      </c>
      <c r="AZ160" s="85" t="str">
        <f>'Consumer Hardware Pricing'!AI168</f>
        <v>-</v>
      </c>
      <c r="BA160" s="85" t="str">
        <f t="shared" ref="BA160:BA169" si="601">IF(AZ160="-",AY160,AY160-AZ160)</f>
        <v>-</v>
      </c>
      <c r="BB160" s="85" t="str">
        <f t="shared" ref="BB160:BB169" si="602">IF(AZ160="-",AZ160,AZ160*24)</f>
        <v>-</v>
      </c>
      <c r="BC160" s="85" t="str">
        <f t="shared" ref="BC160:BC169" si="603">IF(AX160="-",AX160,AX160+(BA160*24))</f>
        <v>-</v>
      </c>
      <c r="BD160" s="85">
        <f>'Consumer Hardware Pricing'!AL168</f>
        <v>0</v>
      </c>
      <c r="BE160" s="85">
        <f t="shared" ref="BE160:BE169" si="604">IF(BD160="-",BD160,ROUNDUP((D160-BD160)/24,2))</f>
        <v>66.67</v>
      </c>
      <c r="BF160" s="85" t="str">
        <f>'Consumer Hardware Pricing'!AM168</f>
        <v>-</v>
      </c>
      <c r="BG160" s="85">
        <f t="shared" ref="BG160:BG169" si="605">IF(BF160="-",BE160,BE160-BF160)</f>
        <v>66.67</v>
      </c>
      <c r="BH160" s="85" t="str">
        <f t="shared" ref="BH160:BH169" si="606">IF(BF160="-",BF160,BF160*24)</f>
        <v>-</v>
      </c>
      <c r="BI160" s="85">
        <f t="shared" ref="BI160:BI169" si="607">IF(BD160="-",BD160,BD160+(BG160*24))</f>
        <v>1600.08</v>
      </c>
      <c r="BJ160" s="85" t="str">
        <f>'Consumer Hardware Pricing'!AP168</f>
        <v>-</v>
      </c>
      <c r="BK160" s="85" t="str">
        <f t="shared" ref="BK160:BK169" si="608">IF(BJ160="-",BJ160,ROUNDUP((D160-BJ160)/24,2))</f>
        <v>-</v>
      </c>
      <c r="BL160" s="85" t="str">
        <f>'Consumer Hardware Pricing'!AQ168</f>
        <v>-</v>
      </c>
      <c r="BM160" s="85" t="str">
        <f t="shared" ref="BM160:BM169" si="609">IF(BL160="-",BK160,BK160-BL160)</f>
        <v>-</v>
      </c>
      <c r="BN160" s="85" t="str">
        <f t="shared" ref="BN160:BN169" si="610">IF(BL160="-",BL160,BL160*24)</f>
        <v>-</v>
      </c>
      <c r="BO160" s="85" t="str">
        <f t="shared" ref="BO160:BO169" si="611">IF(BJ160="-",BJ160,BJ160+(BM160*24))</f>
        <v>-</v>
      </c>
      <c r="BP160" s="85" t="str">
        <f>'Consumer Hardware Pricing'!AT168</f>
        <v>-</v>
      </c>
      <c r="BQ160" s="85" t="str">
        <f t="shared" ref="BQ160:BQ169" si="612">IF(BP160="-",BP160,ROUNDUP((D160-BP160)/24,2))</f>
        <v>-</v>
      </c>
      <c r="BR160" s="85" t="str">
        <f>'Consumer Hardware Pricing'!AU168</f>
        <v>-</v>
      </c>
      <c r="BS160" s="85" t="str">
        <f t="shared" ref="BS160:BS169" si="613">IF(BR160="-",BQ160,BQ160-BR160)</f>
        <v>-</v>
      </c>
      <c r="BT160" s="85" t="str">
        <f t="shared" ref="BT160:BT169" si="614">IF(BR160="-",BR160,BR160*24)</f>
        <v>-</v>
      </c>
      <c r="BU160" s="85" t="str">
        <f t="shared" ref="BU160:BU169" si="615">IF(BP160="-",BP160,BP160+(BS160*24))</f>
        <v>-</v>
      </c>
    </row>
    <row r="161" spans="1:73" ht="30.15" customHeight="1" x14ac:dyDescent="0.25">
      <c r="A161" s="86" t="s">
        <v>35</v>
      </c>
      <c r="B161" s="88" t="s">
        <v>1284</v>
      </c>
      <c r="C161" s="88" t="s">
        <v>1293</v>
      </c>
      <c r="D161" s="85">
        <f>'Consumer Hardware Pricing'!L169</f>
        <v>1600</v>
      </c>
      <c r="E161" s="85">
        <f>'Consumer Hardware Pricing'!M169</f>
        <v>1600</v>
      </c>
      <c r="F161" s="85" t="str">
        <f>'Consumer Hardware Pricing'!N169</f>
        <v>-</v>
      </c>
      <c r="G161" s="85" t="str">
        <f t="shared" si="568"/>
        <v>-</v>
      </c>
      <c r="H161" s="85" t="str">
        <f>'Consumer Hardware Pricing'!O169</f>
        <v>-</v>
      </c>
      <c r="I161" s="85" t="str">
        <f t="shared" si="569"/>
        <v>-</v>
      </c>
      <c r="J161" s="85" t="str">
        <f t="shared" si="570"/>
        <v>-</v>
      </c>
      <c r="K161" s="85" t="str">
        <f t="shared" si="571"/>
        <v>-</v>
      </c>
      <c r="L161" s="85" t="str">
        <f>'Consumer Hardware Pricing'!Q169</f>
        <v>-</v>
      </c>
      <c r="M161" s="85" t="str">
        <f t="shared" si="572"/>
        <v>-</v>
      </c>
      <c r="N161" s="85" t="str">
        <f t="shared" si="573"/>
        <v>-</v>
      </c>
      <c r="O161" s="85" t="str">
        <f t="shared" si="574"/>
        <v>-</v>
      </c>
      <c r="P161" s="85" t="str">
        <f t="shared" si="575"/>
        <v>-</v>
      </c>
      <c r="Q161" s="85" t="str">
        <f>'Consumer Hardware Pricing'!S169</f>
        <v>-</v>
      </c>
      <c r="R161" s="85" t="str">
        <f t="shared" si="576"/>
        <v>-</v>
      </c>
      <c r="S161" s="85" t="str">
        <f>'Consumer Hardware Pricing'!T169</f>
        <v>-</v>
      </c>
      <c r="T161" s="129" t="str">
        <f t="shared" si="577"/>
        <v>-</v>
      </c>
      <c r="U161" s="129" t="str">
        <f t="shared" si="578"/>
        <v>-</v>
      </c>
      <c r="V161" s="85" t="str">
        <f t="shared" si="579"/>
        <v>-</v>
      </c>
      <c r="W161" s="129" t="str">
        <f>'Consumer Hardware Pricing'!V169</f>
        <v>-</v>
      </c>
      <c r="X161" s="129" t="str">
        <f t="shared" si="580"/>
        <v>-</v>
      </c>
      <c r="Y161" s="129" t="str">
        <f t="shared" si="581"/>
        <v>-</v>
      </c>
      <c r="Z161" s="129" t="str">
        <f t="shared" si="582"/>
        <v>-</v>
      </c>
      <c r="AA161" s="85" t="str">
        <f t="shared" si="583"/>
        <v>-</v>
      </c>
      <c r="AB161" s="85" t="str">
        <f>'Consumer Hardware Pricing'!X169</f>
        <v>-</v>
      </c>
      <c r="AC161" s="85" t="str">
        <f t="shared" si="584"/>
        <v>-</v>
      </c>
      <c r="AD161" s="85" t="str">
        <f>'Consumer Hardware Pricing'!Y169</f>
        <v>-</v>
      </c>
      <c r="AE161" s="85" t="str">
        <f t="shared" si="585"/>
        <v>-</v>
      </c>
      <c r="AF161" s="85" t="str">
        <f t="shared" si="586"/>
        <v>-</v>
      </c>
      <c r="AG161" s="85" t="str">
        <f t="shared" si="587"/>
        <v>-</v>
      </c>
      <c r="AH161" s="85" t="str">
        <f>'Consumer Hardware Pricing'!AA169</f>
        <v>-</v>
      </c>
      <c r="AI161" s="85" t="str">
        <f t="shared" si="588"/>
        <v>-</v>
      </c>
      <c r="AJ161" s="85" t="str">
        <f t="shared" si="589"/>
        <v>-</v>
      </c>
      <c r="AK161" s="85" t="str">
        <f t="shared" si="590"/>
        <v>-</v>
      </c>
      <c r="AL161" s="85" t="str">
        <f t="shared" si="591"/>
        <v>-</v>
      </c>
      <c r="AM161" s="85" t="str">
        <f>'Consumer Hardware Pricing'!AC169</f>
        <v>-</v>
      </c>
      <c r="AN161" s="85" t="str">
        <f t="shared" si="592"/>
        <v>-</v>
      </c>
      <c r="AO161" s="85" t="str">
        <f>'Consumer Hardware Pricing'!AD169</f>
        <v>-</v>
      </c>
      <c r="AP161" s="85" t="str">
        <f t="shared" si="593"/>
        <v>-</v>
      </c>
      <c r="AQ161" s="85" t="str">
        <f t="shared" si="594"/>
        <v>-</v>
      </c>
      <c r="AR161" s="85" t="str">
        <f t="shared" si="595"/>
        <v>-</v>
      </c>
      <c r="AS161" s="85" t="str">
        <f>'Consumer Hardware Pricing'!AF169</f>
        <v>-</v>
      </c>
      <c r="AT161" s="85" t="str">
        <f t="shared" si="596"/>
        <v>-</v>
      </c>
      <c r="AU161" s="85" t="str">
        <f t="shared" si="597"/>
        <v>-</v>
      </c>
      <c r="AV161" s="85" t="str">
        <f t="shared" si="598"/>
        <v>-</v>
      </c>
      <c r="AW161" s="85" t="str">
        <f t="shared" si="599"/>
        <v>-</v>
      </c>
      <c r="AX161" s="85" t="str">
        <f>'Consumer Hardware Pricing'!AH169</f>
        <v>-</v>
      </c>
      <c r="AY161" s="85" t="str">
        <f t="shared" si="600"/>
        <v>-</v>
      </c>
      <c r="AZ161" s="85" t="str">
        <f>'Consumer Hardware Pricing'!AI169</f>
        <v>-</v>
      </c>
      <c r="BA161" s="85" t="str">
        <f t="shared" si="601"/>
        <v>-</v>
      </c>
      <c r="BB161" s="85" t="str">
        <f t="shared" si="602"/>
        <v>-</v>
      </c>
      <c r="BC161" s="85" t="str">
        <f t="shared" si="603"/>
        <v>-</v>
      </c>
      <c r="BD161" s="85">
        <f>'Consumer Hardware Pricing'!AL169</f>
        <v>0</v>
      </c>
      <c r="BE161" s="85">
        <f t="shared" si="604"/>
        <v>66.67</v>
      </c>
      <c r="BF161" s="85" t="str">
        <f>'Consumer Hardware Pricing'!AM169</f>
        <v>-</v>
      </c>
      <c r="BG161" s="85">
        <f t="shared" si="605"/>
        <v>66.67</v>
      </c>
      <c r="BH161" s="85" t="str">
        <f t="shared" si="606"/>
        <v>-</v>
      </c>
      <c r="BI161" s="85">
        <f t="shared" si="607"/>
        <v>1600.08</v>
      </c>
      <c r="BJ161" s="85" t="str">
        <f>'Consumer Hardware Pricing'!AP169</f>
        <v>-</v>
      </c>
      <c r="BK161" s="85" t="str">
        <f t="shared" si="608"/>
        <v>-</v>
      </c>
      <c r="BL161" s="85" t="str">
        <f>'Consumer Hardware Pricing'!AQ169</f>
        <v>-</v>
      </c>
      <c r="BM161" s="85" t="str">
        <f t="shared" si="609"/>
        <v>-</v>
      </c>
      <c r="BN161" s="85" t="str">
        <f t="shared" si="610"/>
        <v>-</v>
      </c>
      <c r="BO161" s="85" t="str">
        <f t="shared" si="611"/>
        <v>-</v>
      </c>
      <c r="BP161" s="85" t="str">
        <f>'Consumer Hardware Pricing'!AT169</f>
        <v>-</v>
      </c>
      <c r="BQ161" s="85" t="str">
        <f t="shared" si="612"/>
        <v>-</v>
      </c>
      <c r="BR161" s="85" t="str">
        <f>'Consumer Hardware Pricing'!AU169</f>
        <v>-</v>
      </c>
      <c r="BS161" s="85" t="str">
        <f t="shared" si="613"/>
        <v>-</v>
      </c>
      <c r="BT161" s="85" t="str">
        <f t="shared" si="614"/>
        <v>-</v>
      </c>
      <c r="BU161" s="85" t="str">
        <f t="shared" si="615"/>
        <v>-</v>
      </c>
    </row>
    <row r="162" spans="1:73" ht="30.15" customHeight="1" x14ac:dyDescent="0.25">
      <c r="A162" s="86" t="s">
        <v>35</v>
      </c>
      <c r="B162" s="88" t="s">
        <v>1285</v>
      </c>
      <c r="C162" s="88" t="s">
        <v>1294</v>
      </c>
      <c r="D162" s="85">
        <f>'Consumer Hardware Pricing'!L170</f>
        <v>1730</v>
      </c>
      <c r="E162" s="85">
        <f>'Consumer Hardware Pricing'!M170</f>
        <v>1730</v>
      </c>
      <c r="F162" s="85" t="str">
        <f>'Consumer Hardware Pricing'!N170</f>
        <v>-</v>
      </c>
      <c r="G162" s="85" t="str">
        <f t="shared" si="568"/>
        <v>-</v>
      </c>
      <c r="H162" s="85" t="str">
        <f>'Consumer Hardware Pricing'!O170</f>
        <v>-</v>
      </c>
      <c r="I162" s="85" t="str">
        <f t="shared" si="569"/>
        <v>-</v>
      </c>
      <c r="J162" s="85" t="str">
        <f t="shared" si="570"/>
        <v>-</v>
      </c>
      <c r="K162" s="85" t="str">
        <f t="shared" si="571"/>
        <v>-</v>
      </c>
      <c r="L162" s="85" t="str">
        <f>'Consumer Hardware Pricing'!Q170</f>
        <v>-</v>
      </c>
      <c r="M162" s="85" t="str">
        <f t="shared" si="572"/>
        <v>-</v>
      </c>
      <c r="N162" s="85" t="str">
        <f t="shared" si="573"/>
        <v>-</v>
      </c>
      <c r="O162" s="85" t="str">
        <f t="shared" si="574"/>
        <v>-</v>
      </c>
      <c r="P162" s="85" t="str">
        <f t="shared" si="575"/>
        <v>-</v>
      </c>
      <c r="Q162" s="85" t="str">
        <f>'Consumer Hardware Pricing'!S170</f>
        <v>-</v>
      </c>
      <c r="R162" s="85" t="str">
        <f t="shared" si="576"/>
        <v>-</v>
      </c>
      <c r="S162" s="85" t="str">
        <f>'Consumer Hardware Pricing'!T170</f>
        <v>-</v>
      </c>
      <c r="T162" s="129" t="str">
        <f t="shared" si="577"/>
        <v>-</v>
      </c>
      <c r="U162" s="129" t="str">
        <f t="shared" si="578"/>
        <v>-</v>
      </c>
      <c r="V162" s="85" t="str">
        <f t="shared" si="579"/>
        <v>-</v>
      </c>
      <c r="W162" s="129" t="str">
        <f>'Consumer Hardware Pricing'!V170</f>
        <v>-</v>
      </c>
      <c r="X162" s="129" t="str">
        <f t="shared" si="580"/>
        <v>-</v>
      </c>
      <c r="Y162" s="129" t="str">
        <f t="shared" si="581"/>
        <v>-</v>
      </c>
      <c r="Z162" s="129" t="str">
        <f t="shared" si="582"/>
        <v>-</v>
      </c>
      <c r="AA162" s="85" t="str">
        <f t="shared" si="583"/>
        <v>-</v>
      </c>
      <c r="AB162" s="85" t="str">
        <f>'Consumer Hardware Pricing'!X170</f>
        <v>-</v>
      </c>
      <c r="AC162" s="85" t="str">
        <f t="shared" si="584"/>
        <v>-</v>
      </c>
      <c r="AD162" s="85" t="str">
        <f>'Consumer Hardware Pricing'!Y170</f>
        <v>-</v>
      </c>
      <c r="AE162" s="85" t="str">
        <f t="shared" si="585"/>
        <v>-</v>
      </c>
      <c r="AF162" s="85" t="str">
        <f t="shared" si="586"/>
        <v>-</v>
      </c>
      <c r="AG162" s="85" t="str">
        <f t="shared" si="587"/>
        <v>-</v>
      </c>
      <c r="AH162" s="85" t="str">
        <f>'Consumer Hardware Pricing'!AA170</f>
        <v>-</v>
      </c>
      <c r="AI162" s="85" t="str">
        <f t="shared" si="588"/>
        <v>-</v>
      </c>
      <c r="AJ162" s="85" t="str">
        <f t="shared" si="589"/>
        <v>-</v>
      </c>
      <c r="AK162" s="85" t="str">
        <f t="shared" si="590"/>
        <v>-</v>
      </c>
      <c r="AL162" s="85" t="str">
        <f t="shared" si="591"/>
        <v>-</v>
      </c>
      <c r="AM162" s="85" t="str">
        <f>'Consumer Hardware Pricing'!AC170</f>
        <v>-</v>
      </c>
      <c r="AN162" s="85" t="str">
        <f t="shared" si="592"/>
        <v>-</v>
      </c>
      <c r="AO162" s="85" t="str">
        <f>'Consumer Hardware Pricing'!AD170</f>
        <v>-</v>
      </c>
      <c r="AP162" s="85" t="str">
        <f t="shared" si="593"/>
        <v>-</v>
      </c>
      <c r="AQ162" s="85" t="str">
        <f t="shared" si="594"/>
        <v>-</v>
      </c>
      <c r="AR162" s="85" t="str">
        <f t="shared" si="595"/>
        <v>-</v>
      </c>
      <c r="AS162" s="85" t="str">
        <f>'Consumer Hardware Pricing'!AF170</f>
        <v>-</v>
      </c>
      <c r="AT162" s="85" t="str">
        <f t="shared" si="596"/>
        <v>-</v>
      </c>
      <c r="AU162" s="85" t="str">
        <f t="shared" si="597"/>
        <v>-</v>
      </c>
      <c r="AV162" s="85" t="str">
        <f t="shared" si="598"/>
        <v>-</v>
      </c>
      <c r="AW162" s="85" t="str">
        <f t="shared" si="599"/>
        <v>-</v>
      </c>
      <c r="AX162" s="85" t="str">
        <f>'Consumer Hardware Pricing'!AH170</f>
        <v>-</v>
      </c>
      <c r="AY162" s="85" t="str">
        <f t="shared" si="600"/>
        <v>-</v>
      </c>
      <c r="AZ162" s="85" t="str">
        <f>'Consumer Hardware Pricing'!AI170</f>
        <v>-</v>
      </c>
      <c r="BA162" s="85" t="str">
        <f t="shared" si="601"/>
        <v>-</v>
      </c>
      <c r="BB162" s="85" t="str">
        <f t="shared" si="602"/>
        <v>-</v>
      </c>
      <c r="BC162" s="85" t="str">
        <f t="shared" si="603"/>
        <v>-</v>
      </c>
      <c r="BD162" s="85">
        <f>'Consumer Hardware Pricing'!AL170</f>
        <v>0</v>
      </c>
      <c r="BE162" s="85">
        <f t="shared" si="604"/>
        <v>72.09</v>
      </c>
      <c r="BF162" s="85" t="str">
        <f>'Consumer Hardware Pricing'!AM170</f>
        <v>-</v>
      </c>
      <c r="BG162" s="85">
        <f t="shared" si="605"/>
        <v>72.09</v>
      </c>
      <c r="BH162" s="85" t="str">
        <f t="shared" si="606"/>
        <v>-</v>
      </c>
      <c r="BI162" s="85">
        <f t="shared" si="607"/>
        <v>1730.16</v>
      </c>
      <c r="BJ162" s="85" t="str">
        <f>'Consumer Hardware Pricing'!AP170</f>
        <v>-</v>
      </c>
      <c r="BK162" s="85" t="str">
        <f t="shared" si="608"/>
        <v>-</v>
      </c>
      <c r="BL162" s="85" t="str">
        <f>'Consumer Hardware Pricing'!AQ170</f>
        <v>-</v>
      </c>
      <c r="BM162" s="85" t="str">
        <f t="shared" si="609"/>
        <v>-</v>
      </c>
      <c r="BN162" s="85" t="str">
        <f t="shared" si="610"/>
        <v>-</v>
      </c>
      <c r="BO162" s="85" t="str">
        <f t="shared" si="611"/>
        <v>-</v>
      </c>
      <c r="BP162" s="85" t="str">
        <f>'Consumer Hardware Pricing'!AT170</f>
        <v>-</v>
      </c>
      <c r="BQ162" s="85" t="str">
        <f t="shared" si="612"/>
        <v>-</v>
      </c>
      <c r="BR162" s="85" t="str">
        <f>'Consumer Hardware Pricing'!AU170</f>
        <v>-</v>
      </c>
      <c r="BS162" s="85" t="str">
        <f t="shared" si="613"/>
        <v>-</v>
      </c>
      <c r="BT162" s="85" t="str">
        <f t="shared" si="614"/>
        <v>-</v>
      </c>
      <c r="BU162" s="85" t="str">
        <f t="shared" si="615"/>
        <v>-</v>
      </c>
    </row>
    <row r="163" spans="1:73" ht="30.15" customHeight="1" x14ac:dyDescent="0.25">
      <c r="A163" s="86" t="s">
        <v>35</v>
      </c>
      <c r="B163" s="88" t="s">
        <v>1286</v>
      </c>
      <c r="C163" s="88" t="s">
        <v>1294</v>
      </c>
      <c r="D163" s="85">
        <f>'Consumer Hardware Pricing'!L171</f>
        <v>1730</v>
      </c>
      <c r="E163" s="85">
        <f>'Consumer Hardware Pricing'!M171</f>
        <v>1730</v>
      </c>
      <c r="F163" s="85" t="str">
        <f>'Consumer Hardware Pricing'!N171</f>
        <v>-</v>
      </c>
      <c r="G163" s="85" t="str">
        <f t="shared" si="568"/>
        <v>-</v>
      </c>
      <c r="H163" s="85" t="str">
        <f>'Consumer Hardware Pricing'!O171</f>
        <v>-</v>
      </c>
      <c r="I163" s="85" t="str">
        <f t="shared" si="569"/>
        <v>-</v>
      </c>
      <c r="J163" s="85" t="str">
        <f t="shared" si="570"/>
        <v>-</v>
      </c>
      <c r="K163" s="85" t="str">
        <f t="shared" si="571"/>
        <v>-</v>
      </c>
      <c r="L163" s="85" t="str">
        <f>'Consumer Hardware Pricing'!Q171</f>
        <v>-</v>
      </c>
      <c r="M163" s="85" t="str">
        <f t="shared" si="572"/>
        <v>-</v>
      </c>
      <c r="N163" s="85" t="str">
        <f t="shared" si="573"/>
        <v>-</v>
      </c>
      <c r="O163" s="85" t="str">
        <f t="shared" si="574"/>
        <v>-</v>
      </c>
      <c r="P163" s="85" t="str">
        <f t="shared" si="575"/>
        <v>-</v>
      </c>
      <c r="Q163" s="85" t="str">
        <f>'Consumer Hardware Pricing'!S171</f>
        <v>-</v>
      </c>
      <c r="R163" s="85" t="str">
        <f t="shared" si="576"/>
        <v>-</v>
      </c>
      <c r="S163" s="85" t="str">
        <f>'Consumer Hardware Pricing'!T171</f>
        <v>-</v>
      </c>
      <c r="T163" s="129" t="str">
        <f t="shared" si="577"/>
        <v>-</v>
      </c>
      <c r="U163" s="129" t="str">
        <f t="shared" si="578"/>
        <v>-</v>
      </c>
      <c r="V163" s="85" t="str">
        <f t="shared" si="579"/>
        <v>-</v>
      </c>
      <c r="W163" s="129" t="str">
        <f>'Consumer Hardware Pricing'!V171</f>
        <v>-</v>
      </c>
      <c r="X163" s="129" t="str">
        <f t="shared" si="580"/>
        <v>-</v>
      </c>
      <c r="Y163" s="129" t="str">
        <f t="shared" si="581"/>
        <v>-</v>
      </c>
      <c r="Z163" s="129" t="str">
        <f t="shared" si="582"/>
        <v>-</v>
      </c>
      <c r="AA163" s="85" t="str">
        <f t="shared" si="583"/>
        <v>-</v>
      </c>
      <c r="AB163" s="85" t="str">
        <f>'Consumer Hardware Pricing'!X171</f>
        <v>-</v>
      </c>
      <c r="AC163" s="85" t="str">
        <f t="shared" si="584"/>
        <v>-</v>
      </c>
      <c r="AD163" s="85" t="str">
        <f>'Consumer Hardware Pricing'!Y171</f>
        <v>-</v>
      </c>
      <c r="AE163" s="85" t="str">
        <f t="shared" si="585"/>
        <v>-</v>
      </c>
      <c r="AF163" s="85" t="str">
        <f t="shared" si="586"/>
        <v>-</v>
      </c>
      <c r="AG163" s="85" t="str">
        <f t="shared" si="587"/>
        <v>-</v>
      </c>
      <c r="AH163" s="85" t="str">
        <f>'Consumer Hardware Pricing'!AA171</f>
        <v>-</v>
      </c>
      <c r="AI163" s="85" t="str">
        <f t="shared" si="588"/>
        <v>-</v>
      </c>
      <c r="AJ163" s="85" t="str">
        <f t="shared" si="589"/>
        <v>-</v>
      </c>
      <c r="AK163" s="85" t="str">
        <f t="shared" si="590"/>
        <v>-</v>
      </c>
      <c r="AL163" s="85" t="str">
        <f t="shared" si="591"/>
        <v>-</v>
      </c>
      <c r="AM163" s="85" t="str">
        <f>'Consumer Hardware Pricing'!AC171</f>
        <v>-</v>
      </c>
      <c r="AN163" s="85" t="str">
        <f t="shared" si="592"/>
        <v>-</v>
      </c>
      <c r="AO163" s="85" t="str">
        <f>'Consumer Hardware Pricing'!AD171</f>
        <v>-</v>
      </c>
      <c r="AP163" s="85" t="str">
        <f t="shared" si="593"/>
        <v>-</v>
      </c>
      <c r="AQ163" s="85" t="str">
        <f t="shared" si="594"/>
        <v>-</v>
      </c>
      <c r="AR163" s="85" t="str">
        <f t="shared" si="595"/>
        <v>-</v>
      </c>
      <c r="AS163" s="85" t="str">
        <f>'Consumer Hardware Pricing'!AF171</f>
        <v>-</v>
      </c>
      <c r="AT163" s="85" t="str">
        <f t="shared" si="596"/>
        <v>-</v>
      </c>
      <c r="AU163" s="85" t="str">
        <f t="shared" si="597"/>
        <v>-</v>
      </c>
      <c r="AV163" s="85" t="str">
        <f t="shared" si="598"/>
        <v>-</v>
      </c>
      <c r="AW163" s="85" t="str">
        <f t="shared" si="599"/>
        <v>-</v>
      </c>
      <c r="AX163" s="85" t="str">
        <f>'Consumer Hardware Pricing'!AH171</f>
        <v>-</v>
      </c>
      <c r="AY163" s="85" t="str">
        <f t="shared" si="600"/>
        <v>-</v>
      </c>
      <c r="AZ163" s="85" t="str">
        <f>'Consumer Hardware Pricing'!AI171</f>
        <v>-</v>
      </c>
      <c r="BA163" s="85" t="str">
        <f t="shared" si="601"/>
        <v>-</v>
      </c>
      <c r="BB163" s="85" t="str">
        <f t="shared" si="602"/>
        <v>-</v>
      </c>
      <c r="BC163" s="85" t="str">
        <f t="shared" si="603"/>
        <v>-</v>
      </c>
      <c r="BD163" s="85">
        <f>'Consumer Hardware Pricing'!AL171</f>
        <v>0</v>
      </c>
      <c r="BE163" s="85">
        <f t="shared" si="604"/>
        <v>72.09</v>
      </c>
      <c r="BF163" s="85" t="str">
        <f>'Consumer Hardware Pricing'!AM171</f>
        <v>-</v>
      </c>
      <c r="BG163" s="85">
        <f t="shared" si="605"/>
        <v>72.09</v>
      </c>
      <c r="BH163" s="85" t="str">
        <f t="shared" si="606"/>
        <v>-</v>
      </c>
      <c r="BI163" s="85">
        <f t="shared" si="607"/>
        <v>1730.16</v>
      </c>
      <c r="BJ163" s="85" t="str">
        <f>'Consumer Hardware Pricing'!AP171</f>
        <v>-</v>
      </c>
      <c r="BK163" s="85" t="str">
        <f t="shared" si="608"/>
        <v>-</v>
      </c>
      <c r="BL163" s="85" t="str">
        <f>'Consumer Hardware Pricing'!AQ171</f>
        <v>-</v>
      </c>
      <c r="BM163" s="85" t="str">
        <f t="shared" si="609"/>
        <v>-</v>
      </c>
      <c r="BN163" s="85" t="str">
        <f t="shared" si="610"/>
        <v>-</v>
      </c>
      <c r="BO163" s="85" t="str">
        <f t="shared" si="611"/>
        <v>-</v>
      </c>
      <c r="BP163" s="85" t="str">
        <f>'Consumer Hardware Pricing'!AT171</f>
        <v>-</v>
      </c>
      <c r="BQ163" s="85" t="str">
        <f t="shared" si="612"/>
        <v>-</v>
      </c>
      <c r="BR163" s="85" t="str">
        <f>'Consumer Hardware Pricing'!AU171</f>
        <v>-</v>
      </c>
      <c r="BS163" s="85" t="str">
        <f t="shared" si="613"/>
        <v>-</v>
      </c>
      <c r="BT163" s="85" t="str">
        <f t="shared" si="614"/>
        <v>-</v>
      </c>
      <c r="BU163" s="85" t="str">
        <f t="shared" si="615"/>
        <v>-</v>
      </c>
    </row>
    <row r="164" spans="1:73" ht="30.15" customHeight="1" x14ac:dyDescent="0.25">
      <c r="A164" s="86" t="s">
        <v>35</v>
      </c>
      <c r="B164" s="88" t="s">
        <v>1287</v>
      </c>
      <c r="C164" s="88" t="s">
        <v>1295</v>
      </c>
      <c r="D164" s="85">
        <f>'Consumer Hardware Pricing'!L172</f>
        <v>1980</v>
      </c>
      <c r="E164" s="85">
        <f>'Consumer Hardware Pricing'!M172</f>
        <v>1980</v>
      </c>
      <c r="F164" s="85" t="str">
        <f>'Consumer Hardware Pricing'!N172</f>
        <v>-</v>
      </c>
      <c r="G164" s="85" t="str">
        <f t="shared" si="568"/>
        <v>-</v>
      </c>
      <c r="H164" s="85" t="str">
        <f>'Consumer Hardware Pricing'!O172</f>
        <v>-</v>
      </c>
      <c r="I164" s="85" t="str">
        <f t="shared" si="569"/>
        <v>-</v>
      </c>
      <c r="J164" s="85" t="str">
        <f t="shared" si="570"/>
        <v>-</v>
      </c>
      <c r="K164" s="85" t="str">
        <f t="shared" si="571"/>
        <v>-</v>
      </c>
      <c r="L164" s="85" t="str">
        <f>'Consumer Hardware Pricing'!Q172</f>
        <v>-</v>
      </c>
      <c r="M164" s="85" t="str">
        <f t="shared" si="572"/>
        <v>-</v>
      </c>
      <c r="N164" s="85" t="str">
        <f t="shared" si="573"/>
        <v>-</v>
      </c>
      <c r="O164" s="85" t="str">
        <f t="shared" si="574"/>
        <v>-</v>
      </c>
      <c r="P164" s="85" t="str">
        <f t="shared" si="575"/>
        <v>-</v>
      </c>
      <c r="Q164" s="85" t="str">
        <f>'Consumer Hardware Pricing'!S172</f>
        <v>-</v>
      </c>
      <c r="R164" s="85" t="str">
        <f t="shared" si="576"/>
        <v>-</v>
      </c>
      <c r="S164" s="85" t="str">
        <f>'Consumer Hardware Pricing'!T172</f>
        <v>-</v>
      </c>
      <c r="T164" s="129" t="str">
        <f t="shared" si="577"/>
        <v>-</v>
      </c>
      <c r="U164" s="129" t="str">
        <f t="shared" si="578"/>
        <v>-</v>
      </c>
      <c r="V164" s="85" t="str">
        <f t="shared" si="579"/>
        <v>-</v>
      </c>
      <c r="W164" s="129" t="str">
        <f>'Consumer Hardware Pricing'!V172</f>
        <v>-</v>
      </c>
      <c r="X164" s="129" t="str">
        <f t="shared" si="580"/>
        <v>-</v>
      </c>
      <c r="Y164" s="129" t="str">
        <f t="shared" si="581"/>
        <v>-</v>
      </c>
      <c r="Z164" s="129" t="str">
        <f t="shared" si="582"/>
        <v>-</v>
      </c>
      <c r="AA164" s="85" t="str">
        <f t="shared" si="583"/>
        <v>-</v>
      </c>
      <c r="AB164" s="85" t="str">
        <f>'Consumer Hardware Pricing'!X172</f>
        <v>-</v>
      </c>
      <c r="AC164" s="85" t="str">
        <f t="shared" si="584"/>
        <v>-</v>
      </c>
      <c r="AD164" s="85" t="str">
        <f>'Consumer Hardware Pricing'!Y172</f>
        <v>-</v>
      </c>
      <c r="AE164" s="85" t="str">
        <f t="shared" si="585"/>
        <v>-</v>
      </c>
      <c r="AF164" s="85" t="str">
        <f t="shared" si="586"/>
        <v>-</v>
      </c>
      <c r="AG164" s="85" t="str">
        <f t="shared" si="587"/>
        <v>-</v>
      </c>
      <c r="AH164" s="85" t="str">
        <f>'Consumer Hardware Pricing'!AA172</f>
        <v>-</v>
      </c>
      <c r="AI164" s="85" t="str">
        <f t="shared" si="588"/>
        <v>-</v>
      </c>
      <c r="AJ164" s="85" t="str">
        <f t="shared" si="589"/>
        <v>-</v>
      </c>
      <c r="AK164" s="85" t="str">
        <f t="shared" si="590"/>
        <v>-</v>
      </c>
      <c r="AL164" s="85" t="str">
        <f t="shared" si="591"/>
        <v>-</v>
      </c>
      <c r="AM164" s="85" t="str">
        <f>'Consumer Hardware Pricing'!AC172</f>
        <v>-</v>
      </c>
      <c r="AN164" s="85" t="str">
        <f t="shared" si="592"/>
        <v>-</v>
      </c>
      <c r="AO164" s="85" t="str">
        <f>'Consumer Hardware Pricing'!AD172</f>
        <v>-</v>
      </c>
      <c r="AP164" s="85" t="str">
        <f t="shared" si="593"/>
        <v>-</v>
      </c>
      <c r="AQ164" s="85" t="str">
        <f t="shared" si="594"/>
        <v>-</v>
      </c>
      <c r="AR164" s="85" t="str">
        <f t="shared" si="595"/>
        <v>-</v>
      </c>
      <c r="AS164" s="85" t="str">
        <f>'Consumer Hardware Pricing'!AF172</f>
        <v>-</v>
      </c>
      <c r="AT164" s="85" t="str">
        <f t="shared" si="596"/>
        <v>-</v>
      </c>
      <c r="AU164" s="85" t="str">
        <f t="shared" si="597"/>
        <v>-</v>
      </c>
      <c r="AV164" s="85" t="str">
        <f t="shared" si="598"/>
        <v>-</v>
      </c>
      <c r="AW164" s="85" t="str">
        <f t="shared" si="599"/>
        <v>-</v>
      </c>
      <c r="AX164" s="85" t="str">
        <f>'Consumer Hardware Pricing'!AH172</f>
        <v>-</v>
      </c>
      <c r="AY164" s="85" t="str">
        <f t="shared" si="600"/>
        <v>-</v>
      </c>
      <c r="AZ164" s="85" t="str">
        <f>'Consumer Hardware Pricing'!AI172</f>
        <v>-</v>
      </c>
      <c r="BA164" s="85" t="str">
        <f t="shared" si="601"/>
        <v>-</v>
      </c>
      <c r="BB164" s="85" t="str">
        <f t="shared" si="602"/>
        <v>-</v>
      </c>
      <c r="BC164" s="85" t="str">
        <f t="shared" si="603"/>
        <v>-</v>
      </c>
      <c r="BD164" s="85">
        <f>'Consumer Hardware Pricing'!AL172</f>
        <v>0</v>
      </c>
      <c r="BE164" s="85">
        <f t="shared" si="604"/>
        <v>82.5</v>
      </c>
      <c r="BF164" s="85" t="str">
        <f>'Consumer Hardware Pricing'!AM172</f>
        <v>-</v>
      </c>
      <c r="BG164" s="85">
        <f t="shared" si="605"/>
        <v>82.5</v>
      </c>
      <c r="BH164" s="85" t="str">
        <f t="shared" si="606"/>
        <v>-</v>
      </c>
      <c r="BI164" s="85">
        <f t="shared" si="607"/>
        <v>1980</v>
      </c>
      <c r="BJ164" s="85" t="str">
        <f>'Consumer Hardware Pricing'!AP172</f>
        <v>-</v>
      </c>
      <c r="BK164" s="85" t="str">
        <f t="shared" si="608"/>
        <v>-</v>
      </c>
      <c r="BL164" s="85" t="str">
        <f>'Consumer Hardware Pricing'!AQ172</f>
        <v>-</v>
      </c>
      <c r="BM164" s="85" t="str">
        <f t="shared" si="609"/>
        <v>-</v>
      </c>
      <c r="BN164" s="85" t="str">
        <f t="shared" si="610"/>
        <v>-</v>
      </c>
      <c r="BO164" s="85" t="str">
        <f t="shared" si="611"/>
        <v>-</v>
      </c>
      <c r="BP164" s="85" t="str">
        <f>'Consumer Hardware Pricing'!AT172</f>
        <v>-</v>
      </c>
      <c r="BQ164" s="85" t="str">
        <f t="shared" si="612"/>
        <v>-</v>
      </c>
      <c r="BR164" s="85" t="str">
        <f>'Consumer Hardware Pricing'!AU172</f>
        <v>-</v>
      </c>
      <c r="BS164" s="85" t="str">
        <f t="shared" si="613"/>
        <v>-</v>
      </c>
      <c r="BT164" s="85" t="str">
        <f t="shared" si="614"/>
        <v>-</v>
      </c>
      <c r="BU164" s="85" t="str">
        <f t="shared" si="615"/>
        <v>-</v>
      </c>
    </row>
    <row r="165" spans="1:73" ht="30.15" customHeight="1" x14ac:dyDescent="0.25">
      <c r="A165" s="86" t="s">
        <v>35</v>
      </c>
      <c r="B165" s="88" t="s">
        <v>1288</v>
      </c>
      <c r="C165" s="88" t="s">
        <v>1295</v>
      </c>
      <c r="D165" s="85">
        <f>'Consumer Hardware Pricing'!L173</f>
        <v>1980</v>
      </c>
      <c r="E165" s="85">
        <f>'Consumer Hardware Pricing'!M173</f>
        <v>1980</v>
      </c>
      <c r="F165" s="85" t="str">
        <f>'Consumer Hardware Pricing'!N173</f>
        <v>-</v>
      </c>
      <c r="G165" s="85" t="str">
        <f t="shared" si="568"/>
        <v>-</v>
      </c>
      <c r="H165" s="85" t="str">
        <f>'Consumer Hardware Pricing'!O173</f>
        <v>-</v>
      </c>
      <c r="I165" s="85" t="str">
        <f t="shared" si="569"/>
        <v>-</v>
      </c>
      <c r="J165" s="85" t="str">
        <f t="shared" si="570"/>
        <v>-</v>
      </c>
      <c r="K165" s="85" t="str">
        <f t="shared" si="571"/>
        <v>-</v>
      </c>
      <c r="L165" s="85" t="str">
        <f>'Consumer Hardware Pricing'!Q173</f>
        <v>-</v>
      </c>
      <c r="M165" s="85" t="str">
        <f t="shared" si="572"/>
        <v>-</v>
      </c>
      <c r="N165" s="85" t="str">
        <f t="shared" si="573"/>
        <v>-</v>
      </c>
      <c r="O165" s="85" t="str">
        <f t="shared" si="574"/>
        <v>-</v>
      </c>
      <c r="P165" s="85" t="str">
        <f t="shared" si="575"/>
        <v>-</v>
      </c>
      <c r="Q165" s="85" t="str">
        <f>'Consumer Hardware Pricing'!S173</f>
        <v>-</v>
      </c>
      <c r="R165" s="85" t="str">
        <f t="shared" si="576"/>
        <v>-</v>
      </c>
      <c r="S165" s="85" t="str">
        <f>'Consumer Hardware Pricing'!T173</f>
        <v>-</v>
      </c>
      <c r="T165" s="129" t="str">
        <f t="shared" si="577"/>
        <v>-</v>
      </c>
      <c r="U165" s="129" t="str">
        <f t="shared" si="578"/>
        <v>-</v>
      </c>
      <c r="V165" s="85" t="str">
        <f t="shared" si="579"/>
        <v>-</v>
      </c>
      <c r="W165" s="129" t="str">
        <f>'Consumer Hardware Pricing'!V173</f>
        <v>-</v>
      </c>
      <c r="X165" s="129" t="str">
        <f t="shared" si="580"/>
        <v>-</v>
      </c>
      <c r="Y165" s="129" t="str">
        <f t="shared" si="581"/>
        <v>-</v>
      </c>
      <c r="Z165" s="129" t="str">
        <f t="shared" si="582"/>
        <v>-</v>
      </c>
      <c r="AA165" s="85" t="str">
        <f t="shared" si="583"/>
        <v>-</v>
      </c>
      <c r="AB165" s="85" t="str">
        <f>'Consumer Hardware Pricing'!X173</f>
        <v>-</v>
      </c>
      <c r="AC165" s="85" t="str">
        <f t="shared" si="584"/>
        <v>-</v>
      </c>
      <c r="AD165" s="85" t="str">
        <f>'Consumer Hardware Pricing'!Y173</f>
        <v>-</v>
      </c>
      <c r="AE165" s="85" t="str">
        <f t="shared" si="585"/>
        <v>-</v>
      </c>
      <c r="AF165" s="85" t="str">
        <f t="shared" si="586"/>
        <v>-</v>
      </c>
      <c r="AG165" s="85" t="str">
        <f t="shared" si="587"/>
        <v>-</v>
      </c>
      <c r="AH165" s="85" t="str">
        <f>'Consumer Hardware Pricing'!AA173</f>
        <v>-</v>
      </c>
      <c r="AI165" s="85" t="str">
        <f t="shared" si="588"/>
        <v>-</v>
      </c>
      <c r="AJ165" s="85" t="str">
        <f t="shared" si="589"/>
        <v>-</v>
      </c>
      <c r="AK165" s="85" t="str">
        <f t="shared" si="590"/>
        <v>-</v>
      </c>
      <c r="AL165" s="85" t="str">
        <f t="shared" si="591"/>
        <v>-</v>
      </c>
      <c r="AM165" s="85" t="str">
        <f>'Consumer Hardware Pricing'!AC173</f>
        <v>-</v>
      </c>
      <c r="AN165" s="85" t="str">
        <f t="shared" si="592"/>
        <v>-</v>
      </c>
      <c r="AO165" s="85" t="str">
        <f>'Consumer Hardware Pricing'!AD173</f>
        <v>-</v>
      </c>
      <c r="AP165" s="85" t="str">
        <f t="shared" si="593"/>
        <v>-</v>
      </c>
      <c r="AQ165" s="85" t="str">
        <f t="shared" si="594"/>
        <v>-</v>
      </c>
      <c r="AR165" s="85" t="str">
        <f t="shared" si="595"/>
        <v>-</v>
      </c>
      <c r="AS165" s="85" t="str">
        <f>'Consumer Hardware Pricing'!AF173</f>
        <v>-</v>
      </c>
      <c r="AT165" s="85" t="str">
        <f t="shared" si="596"/>
        <v>-</v>
      </c>
      <c r="AU165" s="85" t="str">
        <f t="shared" si="597"/>
        <v>-</v>
      </c>
      <c r="AV165" s="85" t="str">
        <f t="shared" si="598"/>
        <v>-</v>
      </c>
      <c r="AW165" s="85" t="str">
        <f t="shared" si="599"/>
        <v>-</v>
      </c>
      <c r="AX165" s="85" t="str">
        <f>'Consumer Hardware Pricing'!AH173</f>
        <v>-</v>
      </c>
      <c r="AY165" s="85" t="str">
        <f t="shared" si="600"/>
        <v>-</v>
      </c>
      <c r="AZ165" s="85" t="str">
        <f>'Consumer Hardware Pricing'!AI173</f>
        <v>-</v>
      </c>
      <c r="BA165" s="85" t="str">
        <f t="shared" si="601"/>
        <v>-</v>
      </c>
      <c r="BB165" s="85" t="str">
        <f t="shared" si="602"/>
        <v>-</v>
      </c>
      <c r="BC165" s="85" t="str">
        <f t="shared" si="603"/>
        <v>-</v>
      </c>
      <c r="BD165" s="85">
        <f>'Consumer Hardware Pricing'!AL173</f>
        <v>0</v>
      </c>
      <c r="BE165" s="85">
        <f t="shared" si="604"/>
        <v>82.5</v>
      </c>
      <c r="BF165" s="85" t="str">
        <f>'Consumer Hardware Pricing'!AM173</f>
        <v>-</v>
      </c>
      <c r="BG165" s="85">
        <f t="shared" si="605"/>
        <v>82.5</v>
      </c>
      <c r="BH165" s="85" t="str">
        <f t="shared" si="606"/>
        <v>-</v>
      </c>
      <c r="BI165" s="85">
        <f t="shared" si="607"/>
        <v>1980</v>
      </c>
      <c r="BJ165" s="85" t="str">
        <f>'Consumer Hardware Pricing'!AP173</f>
        <v>-</v>
      </c>
      <c r="BK165" s="85" t="str">
        <f t="shared" si="608"/>
        <v>-</v>
      </c>
      <c r="BL165" s="85" t="str">
        <f>'Consumer Hardware Pricing'!AQ173</f>
        <v>-</v>
      </c>
      <c r="BM165" s="85" t="str">
        <f t="shared" si="609"/>
        <v>-</v>
      </c>
      <c r="BN165" s="85" t="str">
        <f t="shared" si="610"/>
        <v>-</v>
      </c>
      <c r="BO165" s="85" t="str">
        <f t="shared" si="611"/>
        <v>-</v>
      </c>
      <c r="BP165" s="85" t="str">
        <f>'Consumer Hardware Pricing'!AT173</f>
        <v>-</v>
      </c>
      <c r="BQ165" s="85" t="str">
        <f t="shared" si="612"/>
        <v>-</v>
      </c>
      <c r="BR165" s="85" t="str">
        <f>'Consumer Hardware Pricing'!AU173</f>
        <v>-</v>
      </c>
      <c r="BS165" s="85" t="str">
        <f t="shared" si="613"/>
        <v>-</v>
      </c>
      <c r="BT165" s="85" t="str">
        <f t="shared" si="614"/>
        <v>-</v>
      </c>
      <c r="BU165" s="85" t="str">
        <f t="shared" si="615"/>
        <v>-</v>
      </c>
    </row>
    <row r="166" spans="1:73" ht="30.15" customHeight="1" x14ac:dyDescent="0.25">
      <c r="A166" s="86" t="s">
        <v>35</v>
      </c>
      <c r="B166" s="88" t="s">
        <v>1289</v>
      </c>
      <c r="C166" s="88" t="s">
        <v>1296</v>
      </c>
      <c r="D166" s="85">
        <f>'Consumer Hardware Pricing'!L174</f>
        <v>2480</v>
      </c>
      <c r="E166" s="85">
        <f>'Consumer Hardware Pricing'!M174</f>
        <v>2480</v>
      </c>
      <c r="F166" s="85" t="str">
        <f>'Consumer Hardware Pricing'!N174</f>
        <v>-</v>
      </c>
      <c r="G166" s="85" t="str">
        <f t="shared" si="568"/>
        <v>-</v>
      </c>
      <c r="H166" s="85" t="str">
        <f>'Consumer Hardware Pricing'!O174</f>
        <v>-</v>
      </c>
      <c r="I166" s="85" t="str">
        <f t="shared" si="569"/>
        <v>-</v>
      </c>
      <c r="J166" s="85" t="str">
        <f t="shared" si="570"/>
        <v>-</v>
      </c>
      <c r="K166" s="85" t="str">
        <f t="shared" si="571"/>
        <v>-</v>
      </c>
      <c r="L166" s="85" t="str">
        <f>'Consumer Hardware Pricing'!Q174</f>
        <v>-</v>
      </c>
      <c r="M166" s="85" t="str">
        <f t="shared" si="572"/>
        <v>-</v>
      </c>
      <c r="N166" s="85" t="str">
        <f t="shared" si="573"/>
        <v>-</v>
      </c>
      <c r="O166" s="85" t="str">
        <f t="shared" si="574"/>
        <v>-</v>
      </c>
      <c r="P166" s="85" t="str">
        <f t="shared" si="575"/>
        <v>-</v>
      </c>
      <c r="Q166" s="85" t="str">
        <f>'Consumer Hardware Pricing'!S174</f>
        <v>-</v>
      </c>
      <c r="R166" s="85" t="str">
        <f t="shared" si="576"/>
        <v>-</v>
      </c>
      <c r="S166" s="85" t="str">
        <f>'Consumer Hardware Pricing'!T174</f>
        <v>-</v>
      </c>
      <c r="T166" s="129" t="str">
        <f t="shared" si="577"/>
        <v>-</v>
      </c>
      <c r="U166" s="129" t="str">
        <f t="shared" si="578"/>
        <v>-</v>
      </c>
      <c r="V166" s="85" t="str">
        <f t="shared" si="579"/>
        <v>-</v>
      </c>
      <c r="W166" s="129" t="str">
        <f>'Consumer Hardware Pricing'!V174</f>
        <v>-</v>
      </c>
      <c r="X166" s="129" t="str">
        <f t="shared" si="580"/>
        <v>-</v>
      </c>
      <c r="Y166" s="129" t="str">
        <f t="shared" si="581"/>
        <v>-</v>
      </c>
      <c r="Z166" s="129" t="str">
        <f t="shared" si="582"/>
        <v>-</v>
      </c>
      <c r="AA166" s="85" t="str">
        <f t="shared" si="583"/>
        <v>-</v>
      </c>
      <c r="AB166" s="85" t="str">
        <f>'Consumer Hardware Pricing'!X174</f>
        <v>-</v>
      </c>
      <c r="AC166" s="85" t="str">
        <f t="shared" si="584"/>
        <v>-</v>
      </c>
      <c r="AD166" s="85" t="str">
        <f>'Consumer Hardware Pricing'!Y174</f>
        <v>-</v>
      </c>
      <c r="AE166" s="85" t="str">
        <f t="shared" si="585"/>
        <v>-</v>
      </c>
      <c r="AF166" s="85" t="str">
        <f t="shared" si="586"/>
        <v>-</v>
      </c>
      <c r="AG166" s="85" t="str">
        <f t="shared" si="587"/>
        <v>-</v>
      </c>
      <c r="AH166" s="85" t="str">
        <f>'Consumer Hardware Pricing'!AA174</f>
        <v>-</v>
      </c>
      <c r="AI166" s="85" t="str">
        <f t="shared" si="588"/>
        <v>-</v>
      </c>
      <c r="AJ166" s="85" t="str">
        <f t="shared" si="589"/>
        <v>-</v>
      </c>
      <c r="AK166" s="85" t="str">
        <f t="shared" si="590"/>
        <v>-</v>
      </c>
      <c r="AL166" s="85" t="str">
        <f t="shared" si="591"/>
        <v>-</v>
      </c>
      <c r="AM166" s="85" t="str">
        <f>'Consumer Hardware Pricing'!AC174</f>
        <v>-</v>
      </c>
      <c r="AN166" s="85" t="str">
        <f t="shared" si="592"/>
        <v>-</v>
      </c>
      <c r="AO166" s="85" t="str">
        <f>'Consumer Hardware Pricing'!AD174</f>
        <v>-</v>
      </c>
      <c r="AP166" s="85" t="str">
        <f t="shared" si="593"/>
        <v>-</v>
      </c>
      <c r="AQ166" s="85" t="str">
        <f t="shared" si="594"/>
        <v>-</v>
      </c>
      <c r="AR166" s="85" t="str">
        <f t="shared" si="595"/>
        <v>-</v>
      </c>
      <c r="AS166" s="85" t="str">
        <f>'Consumer Hardware Pricing'!AF174</f>
        <v>-</v>
      </c>
      <c r="AT166" s="85" t="str">
        <f t="shared" si="596"/>
        <v>-</v>
      </c>
      <c r="AU166" s="85" t="str">
        <f t="shared" si="597"/>
        <v>-</v>
      </c>
      <c r="AV166" s="85" t="str">
        <f t="shared" si="598"/>
        <v>-</v>
      </c>
      <c r="AW166" s="85" t="str">
        <f t="shared" si="599"/>
        <v>-</v>
      </c>
      <c r="AX166" s="85" t="str">
        <f>'Consumer Hardware Pricing'!AH174</f>
        <v>-</v>
      </c>
      <c r="AY166" s="85" t="str">
        <f t="shared" si="600"/>
        <v>-</v>
      </c>
      <c r="AZ166" s="85" t="str">
        <f>'Consumer Hardware Pricing'!AI174</f>
        <v>-</v>
      </c>
      <c r="BA166" s="85" t="str">
        <f t="shared" si="601"/>
        <v>-</v>
      </c>
      <c r="BB166" s="85" t="str">
        <f t="shared" si="602"/>
        <v>-</v>
      </c>
      <c r="BC166" s="85" t="str">
        <f t="shared" si="603"/>
        <v>-</v>
      </c>
      <c r="BD166" s="85">
        <f>'Consumer Hardware Pricing'!AL174</f>
        <v>0</v>
      </c>
      <c r="BE166" s="85">
        <f t="shared" si="604"/>
        <v>103.34</v>
      </c>
      <c r="BF166" s="85" t="str">
        <f>'Consumer Hardware Pricing'!AM174</f>
        <v>-</v>
      </c>
      <c r="BG166" s="85">
        <f t="shared" si="605"/>
        <v>103.34</v>
      </c>
      <c r="BH166" s="85" t="str">
        <f t="shared" si="606"/>
        <v>-</v>
      </c>
      <c r="BI166" s="85">
        <f t="shared" si="607"/>
        <v>2480.16</v>
      </c>
      <c r="BJ166" s="85" t="str">
        <f>'Consumer Hardware Pricing'!AP174</f>
        <v>-</v>
      </c>
      <c r="BK166" s="85" t="str">
        <f t="shared" si="608"/>
        <v>-</v>
      </c>
      <c r="BL166" s="85" t="str">
        <f>'Consumer Hardware Pricing'!AQ174</f>
        <v>-</v>
      </c>
      <c r="BM166" s="85" t="str">
        <f t="shared" si="609"/>
        <v>-</v>
      </c>
      <c r="BN166" s="85" t="str">
        <f t="shared" si="610"/>
        <v>-</v>
      </c>
      <c r="BO166" s="85" t="str">
        <f t="shared" si="611"/>
        <v>-</v>
      </c>
      <c r="BP166" s="85" t="str">
        <f>'Consumer Hardware Pricing'!AT174</f>
        <v>-</v>
      </c>
      <c r="BQ166" s="85" t="str">
        <f t="shared" si="612"/>
        <v>-</v>
      </c>
      <c r="BR166" s="85" t="str">
        <f>'Consumer Hardware Pricing'!AU174</f>
        <v>-</v>
      </c>
      <c r="BS166" s="85" t="str">
        <f t="shared" si="613"/>
        <v>-</v>
      </c>
      <c r="BT166" s="85" t="str">
        <f t="shared" si="614"/>
        <v>-</v>
      </c>
      <c r="BU166" s="85" t="str">
        <f t="shared" si="615"/>
        <v>-</v>
      </c>
    </row>
    <row r="167" spans="1:73" ht="30.15" customHeight="1" x14ac:dyDescent="0.25">
      <c r="A167" s="86" t="s">
        <v>35</v>
      </c>
      <c r="B167" s="88" t="s">
        <v>1290</v>
      </c>
      <c r="C167" s="88" t="s">
        <v>1296</v>
      </c>
      <c r="D167" s="85">
        <f>'Consumer Hardware Pricing'!L175</f>
        <v>2480</v>
      </c>
      <c r="E167" s="85">
        <f>'Consumer Hardware Pricing'!M175</f>
        <v>2480</v>
      </c>
      <c r="F167" s="85" t="str">
        <f>'Consumer Hardware Pricing'!N175</f>
        <v>-</v>
      </c>
      <c r="G167" s="85" t="str">
        <f t="shared" si="568"/>
        <v>-</v>
      </c>
      <c r="H167" s="85" t="str">
        <f>'Consumer Hardware Pricing'!O175</f>
        <v>-</v>
      </c>
      <c r="I167" s="85" t="str">
        <f t="shared" si="569"/>
        <v>-</v>
      </c>
      <c r="J167" s="85" t="str">
        <f t="shared" si="570"/>
        <v>-</v>
      </c>
      <c r="K167" s="85" t="str">
        <f t="shared" si="571"/>
        <v>-</v>
      </c>
      <c r="L167" s="85" t="str">
        <f>'Consumer Hardware Pricing'!Q175</f>
        <v>-</v>
      </c>
      <c r="M167" s="85" t="str">
        <f t="shared" si="572"/>
        <v>-</v>
      </c>
      <c r="N167" s="85" t="str">
        <f t="shared" si="573"/>
        <v>-</v>
      </c>
      <c r="O167" s="85" t="str">
        <f t="shared" si="574"/>
        <v>-</v>
      </c>
      <c r="P167" s="85" t="str">
        <f t="shared" si="575"/>
        <v>-</v>
      </c>
      <c r="Q167" s="85" t="str">
        <f>'Consumer Hardware Pricing'!S175</f>
        <v>-</v>
      </c>
      <c r="R167" s="85" t="str">
        <f t="shared" si="576"/>
        <v>-</v>
      </c>
      <c r="S167" s="85" t="str">
        <f>'Consumer Hardware Pricing'!T175</f>
        <v>-</v>
      </c>
      <c r="T167" s="129" t="str">
        <f t="shared" si="577"/>
        <v>-</v>
      </c>
      <c r="U167" s="129" t="str">
        <f t="shared" si="578"/>
        <v>-</v>
      </c>
      <c r="V167" s="85" t="str">
        <f t="shared" si="579"/>
        <v>-</v>
      </c>
      <c r="W167" s="129" t="str">
        <f>'Consumer Hardware Pricing'!V175</f>
        <v>-</v>
      </c>
      <c r="X167" s="129" t="str">
        <f t="shared" si="580"/>
        <v>-</v>
      </c>
      <c r="Y167" s="129" t="str">
        <f t="shared" si="581"/>
        <v>-</v>
      </c>
      <c r="Z167" s="129" t="str">
        <f t="shared" si="582"/>
        <v>-</v>
      </c>
      <c r="AA167" s="85" t="str">
        <f t="shared" si="583"/>
        <v>-</v>
      </c>
      <c r="AB167" s="85" t="str">
        <f>'Consumer Hardware Pricing'!X175</f>
        <v>-</v>
      </c>
      <c r="AC167" s="85" t="str">
        <f t="shared" si="584"/>
        <v>-</v>
      </c>
      <c r="AD167" s="85" t="str">
        <f>'Consumer Hardware Pricing'!Y175</f>
        <v>-</v>
      </c>
      <c r="AE167" s="85" t="str">
        <f t="shared" si="585"/>
        <v>-</v>
      </c>
      <c r="AF167" s="85" t="str">
        <f t="shared" si="586"/>
        <v>-</v>
      </c>
      <c r="AG167" s="85" t="str">
        <f t="shared" si="587"/>
        <v>-</v>
      </c>
      <c r="AH167" s="85" t="str">
        <f>'Consumer Hardware Pricing'!AA175</f>
        <v>-</v>
      </c>
      <c r="AI167" s="85" t="str">
        <f t="shared" si="588"/>
        <v>-</v>
      </c>
      <c r="AJ167" s="85" t="str">
        <f t="shared" si="589"/>
        <v>-</v>
      </c>
      <c r="AK167" s="85" t="str">
        <f t="shared" si="590"/>
        <v>-</v>
      </c>
      <c r="AL167" s="85" t="str">
        <f t="shared" si="591"/>
        <v>-</v>
      </c>
      <c r="AM167" s="85" t="str">
        <f>'Consumer Hardware Pricing'!AC175</f>
        <v>-</v>
      </c>
      <c r="AN167" s="85" t="str">
        <f t="shared" si="592"/>
        <v>-</v>
      </c>
      <c r="AO167" s="85" t="str">
        <f>'Consumer Hardware Pricing'!AD175</f>
        <v>-</v>
      </c>
      <c r="AP167" s="85" t="str">
        <f t="shared" si="593"/>
        <v>-</v>
      </c>
      <c r="AQ167" s="85" t="str">
        <f t="shared" si="594"/>
        <v>-</v>
      </c>
      <c r="AR167" s="85" t="str">
        <f t="shared" si="595"/>
        <v>-</v>
      </c>
      <c r="AS167" s="85" t="str">
        <f>'Consumer Hardware Pricing'!AF175</f>
        <v>-</v>
      </c>
      <c r="AT167" s="85" t="str">
        <f t="shared" si="596"/>
        <v>-</v>
      </c>
      <c r="AU167" s="85" t="str">
        <f t="shared" si="597"/>
        <v>-</v>
      </c>
      <c r="AV167" s="85" t="str">
        <f t="shared" si="598"/>
        <v>-</v>
      </c>
      <c r="AW167" s="85" t="str">
        <f t="shared" si="599"/>
        <v>-</v>
      </c>
      <c r="AX167" s="85" t="str">
        <f>'Consumer Hardware Pricing'!AH175</f>
        <v>-</v>
      </c>
      <c r="AY167" s="85" t="str">
        <f t="shared" si="600"/>
        <v>-</v>
      </c>
      <c r="AZ167" s="85" t="str">
        <f>'Consumer Hardware Pricing'!AI175</f>
        <v>-</v>
      </c>
      <c r="BA167" s="85" t="str">
        <f t="shared" si="601"/>
        <v>-</v>
      </c>
      <c r="BB167" s="85" t="str">
        <f t="shared" si="602"/>
        <v>-</v>
      </c>
      <c r="BC167" s="85" t="str">
        <f t="shared" si="603"/>
        <v>-</v>
      </c>
      <c r="BD167" s="85">
        <f>'Consumer Hardware Pricing'!AL175</f>
        <v>0</v>
      </c>
      <c r="BE167" s="85">
        <f t="shared" si="604"/>
        <v>103.34</v>
      </c>
      <c r="BF167" s="85" t="str">
        <f>'Consumer Hardware Pricing'!AM175</f>
        <v>-</v>
      </c>
      <c r="BG167" s="85">
        <f t="shared" si="605"/>
        <v>103.34</v>
      </c>
      <c r="BH167" s="85" t="str">
        <f t="shared" si="606"/>
        <v>-</v>
      </c>
      <c r="BI167" s="85">
        <f t="shared" si="607"/>
        <v>2480.16</v>
      </c>
      <c r="BJ167" s="85" t="str">
        <f>'Consumer Hardware Pricing'!AP175</f>
        <v>-</v>
      </c>
      <c r="BK167" s="85" t="str">
        <f t="shared" si="608"/>
        <v>-</v>
      </c>
      <c r="BL167" s="85" t="str">
        <f>'Consumer Hardware Pricing'!AQ175</f>
        <v>-</v>
      </c>
      <c r="BM167" s="85" t="str">
        <f t="shared" si="609"/>
        <v>-</v>
      </c>
      <c r="BN167" s="85" t="str">
        <f t="shared" si="610"/>
        <v>-</v>
      </c>
      <c r="BO167" s="85" t="str">
        <f t="shared" si="611"/>
        <v>-</v>
      </c>
      <c r="BP167" s="85" t="str">
        <f>'Consumer Hardware Pricing'!AT175</f>
        <v>-</v>
      </c>
      <c r="BQ167" s="85" t="str">
        <f t="shared" si="612"/>
        <v>-</v>
      </c>
      <c r="BR167" s="85" t="str">
        <f>'Consumer Hardware Pricing'!AU175</f>
        <v>-</v>
      </c>
      <c r="BS167" s="85" t="str">
        <f t="shared" si="613"/>
        <v>-</v>
      </c>
      <c r="BT167" s="85" t="str">
        <f t="shared" si="614"/>
        <v>-</v>
      </c>
      <c r="BU167" s="85" t="str">
        <f t="shared" si="615"/>
        <v>-</v>
      </c>
    </row>
    <row r="168" spans="1:73" ht="30.15" customHeight="1" x14ac:dyDescent="0.25">
      <c r="A168" s="86" t="s">
        <v>35</v>
      </c>
      <c r="B168" s="88" t="s">
        <v>1291</v>
      </c>
      <c r="C168" s="88" t="s">
        <v>1297</v>
      </c>
      <c r="D168" s="85">
        <f>'Consumer Hardware Pricing'!L176</f>
        <v>2980</v>
      </c>
      <c r="E168" s="85">
        <f>'Consumer Hardware Pricing'!M176</f>
        <v>2980</v>
      </c>
      <c r="F168" s="85" t="str">
        <f>'Consumer Hardware Pricing'!N176</f>
        <v>-</v>
      </c>
      <c r="G168" s="85" t="str">
        <f t="shared" si="568"/>
        <v>-</v>
      </c>
      <c r="H168" s="85" t="str">
        <f>'Consumer Hardware Pricing'!O176</f>
        <v>-</v>
      </c>
      <c r="I168" s="85" t="str">
        <f t="shared" si="569"/>
        <v>-</v>
      </c>
      <c r="J168" s="85" t="str">
        <f t="shared" si="570"/>
        <v>-</v>
      </c>
      <c r="K168" s="85" t="str">
        <f t="shared" si="571"/>
        <v>-</v>
      </c>
      <c r="L168" s="85" t="str">
        <f>'Consumer Hardware Pricing'!Q176</f>
        <v>-</v>
      </c>
      <c r="M168" s="85" t="str">
        <f t="shared" si="572"/>
        <v>-</v>
      </c>
      <c r="N168" s="85" t="str">
        <f t="shared" si="573"/>
        <v>-</v>
      </c>
      <c r="O168" s="85" t="str">
        <f t="shared" si="574"/>
        <v>-</v>
      </c>
      <c r="P168" s="85" t="str">
        <f t="shared" si="575"/>
        <v>-</v>
      </c>
      <c r="Q168" s="85" t="str">
        <f>'Consumer Hardware Pricing'!S176</f>
        <v>-</v>
      </c>
      <c r="R168" s="85" t="str">
        <f t="shared" si="576"/>
        <v>-</v>
      </c>
      <c r="S168" s="85" t="str">
        <f>'Consumer Hardware Pricing'!T176</f>
        <v>-</v>
      </c>
      <c r="T168" s="129" t="str">
        <f t="shared" si="577"/>
        <v>-</v>
      </c>
      <c r="U168" s="129" t="str">
        <f t="shared" si="578"/>
        <v>-</v>
      </c>
      <c r="V168" s="85" t="str">
        <f t="shared" si="579"/>
        <v>-</v>
      </c>
      <c r="W168" s="129" t="str">
        <f>'Consumer Hardware Pricing'!V176</f>
        <v>-</v>
      </c>
      <c r="X168" s="129" t="str">
        <f t="shared" si="580"/>
        <v>-</v>
      </c>
      <c r="Y168" s="129" t="str">
        <f t="shared" si="581"/>
        <v>-</v>
      </c>
      <c r="Z168" s="129" t="str">
        <f t="shared" si="582"/>
        <v>-</v>
      </c>
      <c r="AA168" s="85" t="str">
        <f t="shared" si="583"/>
        <v>-</v>
      </c>
      <c r="AB168" s="85" t="str">
        <f>'Consumer Hardware Pricing'!X176</f>
        <v>-</v>
      </c>
      <c r="AC168" s="85" t="str">
        <f t="shared" si="584"/>
        <v>-</v>
      </c>
      <c r="AD168" s="85" t="str">
        <f>'Consumer Hardware Pricing'!Y176</f>
        <v>-</v>
      </c>
      <c r="AE168" s="85" t="str">
        <f t="shared" si="585"/>
        <v>-</v>
      </c>
      <c r="AF168" s="85" t="str">
        <f t="shared" si="586"/>
        <v>-</v>
      </c>
      <c r="AG168" s="85" t="str">
        <f t="shared" si="587"/>
        <v>-</v>
      </c>
      <c r="AH168" s="85" t="str">
        <f>'Consumer Hardware Pricing'!AA176</f>
        <v>-</v>
      </c>
      <c r="AI168" s="85" t="str">
        <f t="shared" si="588"/>
        <v>-</v>
      </c>
      <c r="AJ168" s="85" t="str">
        <f t="shared" si="589"/>
        <v>-</v>
      </c>
      <c r="AK168" s="85" t="str">
        <f t="shared" si="590"/>
        <v>-</v>
      </c>
      <c r="AL168" s="85" t="str">
        <f t="shared" si="591"/>
        <v>-</v>
      </c>
      <c r="AM168" s="85" t="str">
        <f>'Consumer Hardware Pricing'!AC176</f>
        <v>-</v>
      </c>
      <c r="AN168" s="85" t="str">
        <f t="shared" si="592"/>
        <v>-</v>
      </c>
      <c r="AO168" s="85" t="str">
        <f>'Consumer Hardware Pricing'!AD176</f>
        <v>-</v>
      </c>
      <c r="AP168" s="85" t="str">
        <f t="shared" si="593"/>
        <v>-</v>
      </c>
      <c r="AQ168" s="85" t="str">
        <f t="shared" si="594"/>
        <v>-</v>
      </c>
      <c r="AR168" s="85" t="str">
        <f t="shared" si="595"/>
        <v>-</v>
      </c>
      <c r="AS168" s="85" t="str">
        <f>'Consumer Hardware Pricing'!AF176</f>
        <v>-</v>
      </c>
      <c r="AT168" s="85" t="str">
        <f t="shared" si="596"/>
        <v>-</v>
      </c>
      <c r="AU168" s="85" t="str">
        <f t="shared" si="597"/>
        <v>-</v>
      </c>
      <c r="AV168" s="85" t="str">
        <f t="shared" si="598"/>
        <v>-</v>
      </c>
      <c r="AW168" s="85" t="str">
        <f t="shared" si="599"/>
        <v>-</v>
      </c>
      <c r="AX168" s="85" t="str">
        <f>'Consumer Hardware Pricing'!AH176</f>
        <v>-</v>
      </c>
      <c r="AY168" s="85" t="str">
        <f t="shared" si="600"/>
        <v>-</v>
      </c>
      <c r="AZ168" s="85" t="str">
        <f>'Consumer Hardware Pricing'!AI176</f>
        <v>-</v>
      </c>
      <c r="BA168" s="85" t="str">
        <f t="shared" si="601"/>
        <v>-</v>
      </c>
      <c r="BB168" s="85" t="str">
        <f t="shared" si="602"/>
        <v>-</v>
      </c>
      <c r="BC168" s="85" t="str">
        <f t="shared" si="603"/>
        <v>-</v>
      </c>
      <c r="BD168" s="85">
        <f>'Consumer Hardware Pricing'!AL176</f>
        <v>0</v>
      </c>
      <c r="BE168" s="85">
        <f t="shared" si="604"/>
        <v>124.17</v>
      </c>
      <c r="BF168" s="85" t="str">
        <f>'Consumer Hardware Pricing'!AM176</f>
        <v>-</v>
      </c>
      <c r="BG168" s="85">
        <f t="shared" si="605"/>
        <v>124.17</v>
      </c>
      <c r="BH168" s="85" t="str">
        <f t="shared" si="606"/>
        <v>-</v>
      </c>
      <c r="BI168" s="85">
        <f t="shared" si="607"/>
        <v>2980.08</v>
      </c>
      <c r="BJ168" s="85" t="str">
        <f>'Consumer Hardware Pricing'!AP176</f>
        <v>-</v>
      </c>
      <c r="BK168" s="85" t="str">
        <f t="shared" si="608"/>
        <v>-</v>
      </c>
      <c r="BL168" s="85" t="str">
        <f>'Consumer Hardware Pricing'!AQ176</f>
        <v>-</v>
      </c>
      <c r="BM168" s="85" t="str">
        <f t="shared" si="609"/>
        <v>-</v>
      </c>
      <c r="BN168" s="85" t="str">
        <f t="shared" si="610"/>
        <v>-</v>
      </c>
      <c r="BO168" s="85" t="str">
        <f t="shared" si="611"/>
        <v>-</v>
      </c>
      <c r="BP168" s="85" t="str">
        <f>'Consumer Hardware Pricing'!AT176</f>
        <v>-</v>
      </c>
      <c r="BQ168" s="85" t="str">
        <f t="shared" si="612"/>
        <v>-</v>
      </c>
      <c r="BR168" s="85" t="str">
        <f>'Consumer Hardware Pricing'!AU176</f>
        <v>-</v>
      </c>
      <c r="BS168" s="85" t="str">
        <f t="shared" si="613"/>
        <v>-</v>
      </c>
      <c r="BT168" s="85" t="str">
        <f t="shared" si="614"/>
        <v>-</v>
      </c>
      <c r="BU168" s="85" t="str">
        <f t="shared" si="615"/>
        <v>-</v>
      </c>
    </row>
    <row r="169" spans="1:73" ht="30.15" customHeight="1" x14ac:dyDescent="0.25">
      <c r="A169" s="86" t="s">
        <v>35</v>
      </c>
      <c r="B169" s="88" t="s">
        <v>1292</v>
      </c>
      <c r="C169" s="88" t="s">
        <v>1297</v>
      </c>
      <c r="D169" s="85">
        <f>'Consumer Hardware Pricing'!L177</f>
        <v>2980</v>
      </c>
      <c r="E169" s="85">
        <f>'Consumer Hardware Pricing'!M177</f>
        <v>2980</v>
      </c>
      <c r="F169" s="85" t="str">
        <f>'Consumer Hardware Pricing'!N177</f>
        <v>-</v>
      </c>
      <c r="G169" s="85" t="str">
        <f t="shared" si="568"/>
        <v>-</v>
      </c>
      <c r="H169" s="85" t="str">
        <f>'Consumer Hardware Pricing'!O177</f>
        <v>-</v>
      </c>
      <c r="I169" s="85" t="str">
        <f t="shared" si="569"/>
        <v>-</v>
      </c>
      <c r="J169" s="85" t="str">
        <f t="shared" si="570"/>
        <v>-</v>
      </c>
      <c r="K169" s="85" t="str">
        <f t="shared" si="571"/>
        <v>-</v>
      </c>
      <c r="L169" s="85" t="str">
        <f>'Consumer Hardware Pricing'!Q177</f>
        <v>-</v>
      </c>
      <c r="M169" s="85" t="str">
        <f t="shared" si="572"/>
        <v>-</v>
      </c>
      <c r="N169" s="85" t="str">
        <f t="shared" si="573"/>
        <v>-</v>
      </c>
      <c r="O169" s="85" t="str">
        <f t="shared" si="574"/>
        <v>-</v>
      </c>
      <c r="P169" s="85" t="str">
        <f t="shared" si="575"/>
        <v>-</v>
      </c>
      <c r="Q169" s="85" t="str">
        <f>'Consumer Hardware Pricing'!S177</f>
        <v>-</v>
      </c>
      <c r="R169" s="85" t="str">
        <f t="shared" si="576"/>
        <v>-</v>
      </c>
      <c r="S169" s="85" t="str">
        <f>'Consumer Hardware Pricing'!T177</f>
        <v>-</v>
      </c>
      <c r="T169" s="129" t="str">
        <f t="shared" si="577"/>
        <v>-</v>
      </c>
      <c r="U169" s="129" t="str">
        <f t="shared" si="578"/>
        <v>-</v>
      </c>
      <c r="V169" s="85" t="str">
        <f t="shared" si="579"/>
        <v>-</v>
      </c>
      <c r="W169" s="129" t="str">
        <f>'Consumer Hardware Pricing'!V177</f>
        <v>-</v>
      </c>
      <c r="X169" s="129" t="str">
        <f t="shared" si="580"/>
        <v>-</v>
      </c>
      <c r="Y169" s="129" t="str">
        <f t="shared" si="581"/>
        <v>-</v>
      </c>
      <c r="Z169" s="129" t="str">
        <f t="shared" si="582"/>
        <v>-</v>
      </c>
      <c r="AA169" s="85" t="str">
        <f t="shared" si="583"/>
        <v>-</v>
      </c>
      <c r="AB169" s="85" t="str">
        <f>'Consumer Hardware Pricing'!X177</f>
        <v>-</v>
      </c>
      <c r="AC169" s="85" t="str">
        <f t="shared" si="584"/>
        <v>-</v>
      </c>
      <c r="AD169" s="85" t="str">
        <f>'Consumer Hardware Pricing'!Y177</f>
        <v>-</v>
      </c>
      <c r="AE169" s="85" t="str">
        <f t="shared" si="585"/>
        <v>-</v>
      </c>
      <c r="AF169" s="85" t="str">
        <f t="shared" si="586"/>
        <v>-</v>
      </c>
      <c r="AG169" s="85" t="str">
        <f t="shared" si="587"/>
        <v>-</v>
      </c>
      <c r="AH169" s="85" t="str">
        <f>'Consumer Hardware Pricing'!AA177</f>
        <v>-</v>
      </c>
      <c r="AI169" s="85" t="str">
        <f t="shared" si="588"/>
        <v>-</v>
      </c>
      <c r="AJ169" s="85" t="str">
        <f t="shared" si="589"/>
        <v>-</v>
      </c>
      <c r="AK169" s="85" t="str">
        <f t="shared" si="590"/>
        <v>-</v>
      </c>
      <c r="AL169" s="85" t="str">
        <f t="shared" si="591"/>
        <v>-</v>
      </c>
      <c r="AM169" s="85" t="str">
        <f>'Consumer Hardware Pricing'!AC177</f>
        <v>-</v>
      </c>
      <c r="AN169" s="85" t="str">
        <f t="shared" si="592"/>
        <v>-</v>
      </c>
      <c r="AO169" s="85" t="str">
        <f>'Consumer Hardware Pricing'!AD177</f>
        <v>-</v>
      </c>
      <c r="AP169" s="85" t="str">
        <f t="shared" si="593"/>
        <v>-</v>
      </c>
      <c r="AQ169" s="85" t="str">
        <f t="shared" si="594"/>
        <v>-</v>
      </c>
      <c r="AR169" s="85" t="str">
        <f t="shared" si="595"/>
        <v>-</v>
      </c>
      <c r="AS169" s="85" t="str">
        <f>'Consumer Hardware Pricing'!AF177</f>
        <v>-</v>
      </c>
      <c r="AT169" s="85" t="str">
        <f t="shared" si="596"/>
        <v>-</v>
      </c>
      <c r="AU169" s="85" t="str">
        <f t="shared" si="597"/>
        <v>-</v>
      </c>
      <c r="AV169" s="85" t="str">
        <f t="shared" si="598"/>
        <v>-</v>
      </c>
      <c r="AW169" s="85" t="str">
        <f t="shared" si="599"/>
        <v>-</v>
      </c>
      <c r="AX169" s="85" t="str">
        <f>'Consumer Hardware Pricing'!AH177</f>
        <v>-</v>
      </c>
      <c r="AY169" s="85" t="str">
        <f t="shared" si="600"/>
        <v>-</v>
      </c>
      <c r="AZ169" s="85" t="str">
        <f>'Consumer Hardware Pricing'!AI177</f>
        <v>-</v>
      </c>
      <c r="BA169" s="85" t="str">
        <f t="shared" si="601"/>
        <v>-</v>
      </c>
      <c r="BB169" s="85" t="str">
        <f t="shared" si="602"/>
        <v>-</v>
      </c>
      <c r="BC169" s="85" t="str">
        <f t="shared" si="603"/>
        <v>-</v>
      </c>
      <c r="BD169" s="85">
        <f>'Consumer Hardware Pricing'!AL177</f>
        <v>0</v>
      </c>
      <c r="BE169" s="85">
        <f t="shared" si="604"/>
        <v>124.17</v>
      </c>
      <c r="BF169" s="85" t="str">
        <f>'Consumer Hardware Pricing'!AM177</f>
        <v>-</v>
      </c>
      <c r="BG169" s="85">
        <f t="shared" si="605"/>
        <v>124.17</v>
      </c>
      <c r="BH169" s="85" t="str">
        <f t="shared" si="606"/>
        <v>-</v>
      </c>
      <c r="BI169" s="85">
        <f t="shared" si="607"/>
        <v>2980.08</v>
      </c>
      <c r="BJ169" s="85" t="str">
        <f>'Consumer Hardware Pricing'!AP177</f>
        <v>-</v>
      </c>
      <c r="BK169" s="85" t="str">
        <f t="shared" si="608"/>
        <v>-</v>
      </c>
      <c r="BL169" s="85" t="str">
        <f>'Consumer Hardware Pricing'!AQ177</f>
        <v>-</v>
      </c>
      <c r="BM169" s="85" t="str">
        <f t="shared" si="609"/>
        <v>-</v>
      </c>
      <c r="BN169" s="85" t="str">
        <f t="shared" si="610"/>
        <v>-</v>
      </c>
      <c r="BO169" s="85" t="str">
        <f t="shared" si="611"/>
        <v>-</v>
      </c>
      <c r="BP169" s="85" t="str">
        <f>'Consumer Hardware Pricing'!AT177</f>
        <v>-</v>
      </c>
      <c r="BQ169" s="85" t="str">
        <f t="shared" si="612"/>
        <v>-</v>
      </c>
      <c r="BR169" s="85" t="str">
        <f>'Consumer Hardware Pricing'!AU177</f>
        <v>-</v>
      </c>
      <c r="BS169" s="85" t="str">
        <f t="shared" si="613"/>
        <v>-</v>
      </c>
      <c r="BT169" s="85" t="str">
        <f t="shared" si="614"/>
        <v>-</v>
      </c>
      <c r="BU169" s="85" t="str">
        <f t="shared" si="615"/>
        <v>-</v>
      </c>
    </row>
    <row r="170" spans="1:73" ht="30.15" customHeight="1" x14ac:dyDescent="0.25">
      <c r="A170" s="87" t="s">
        <v>34</v>
      </c>
      <c r="B170" s="88" t="s">
        <v>248</v>
      </c>
      <c r="C170" s="88" t="s">
        <v>252</v>
      </c>
      <c r="D170" s="85">
        <f>'Consumer Hardware Pricing'!L178</f>
        <v>489</v>
      </c>
      <c r="E170" s="85">
        <f>'Consumer Hardware Pricing'!M178</f>
        <v>489</v>
      </c>
      <c r="F170" s="85">
        <f>'Consumer Hardware Pricing'!N178</f>
        <v>0</v>
      </c>
      <c r="G170" s="85">
        <f t="shared" si="359"/>
        <v>20.380000000000003</v>
      </c>
      <c r="H170" s="85" t="str">
        <f>'Consumer Hardware Pricing'!O178</f>
        <v>-</v>
      </c>
      <c r="I170" s="85">
        <f t="shared" ref="I170:I238" si="616">IF(H170="-",G170,G170-H170)</f>
        <v>20.380000000000003</v>
      </c>
      <c r="J170" s="85" t="str">
        <f t="shared" si="161"/>
        <v>-</v>
      </c>
      <c r="K170" s="85">
        <f t="shared" si="162"/>
        <v>489.12000000000006</v>
      </c>
      <c r="L170" s="85" t="str">
        <f>'Consumer Hardware Pricing'!Q178</f>
        <v>-</v>
      </c>
      <c r="M170" s="85" t="str">
        <f t="shared" si="360"/>
        <v>-</v>
      </c>
      <c r="N170" s="85" t="str">
        <f t="shared" ref="N170:N238" si="617">IF(L170="-",L170,G170-M170)</f>
        <v>-</v>
      </c>
      <c r="O170" s="85" t="str">
        <f t="shared" ref="O170:O238" si="618">IF(L170="-",L170,M170*24)</f>
        <v>-</v>
      </c>
      <c r="P170" s="85" t="str">
        <f t="shared" si="163"/>
        <v>-</v>
      </c>
      <c r="Q170" s="85">
        <f>'Consumer Hardware Pricing'!S178</f>
        <v>0</v>
      </c>
      <c r="R170" s="85">
        <f t="shared" ref="R170:R238" si="619">G170</f>
        <v>20.380000000000003</v>
      </c>
      <c r="S170" s="85" t="str">
        <f>'Consumer Hardware Pricing'!T178</f>
        <v>-</v>
      </c>
      <c r="T170" s="129">
        <f t="shared" si="164"/>
        <v>20.380000000000003</v>
      </c>
      <c r="U170" s="129" t="str">
        <f t="shared" si="165"/>
        <v>-</v>
      </c>
      <c r="V170" s="85">
        <f t="shared" si="166"/>
        <v>489.12000000000006</v>
      </c>
      <c r="W170" s="129" t="str">
        <f>'Consumer Hardware Pricing'!V178</f>
        <v>-</v>
      </c>
      <c r="X170" s="129" t="str">
        <f t="shared" si="361"/>
        <v>-</v>
      </c>
      <c r="Y170" s="129" t="str">
        <f t="shared" si="167"/>
        <v>-</v>
      </c>
      <c r="Z170" s="129" t="str">
        <f t="shared" si="168"/>
        <v>-</v>
      </c>
      <c r="AA170" s="85" t="str">
        <f t="shared" si="169"/>
        <v>-</v>
      </c>
      <c r="AB170" s="85">
        <f>'Consumer Hardware Pricing'!X178</f>
        <v>0</v>
      </c>
      <c r="AC170" s="85">
        <f t="shared" si="326"/>
        <v>20.380000000000003</v>
      </c>
      <c r="AD170" s="85" t="str">
        <f>'Consumer Hardware Pricing'!Y178</f>
        <v>-</v>
      </c>
      <c r="AE170" s="85">
        <f t="shared" si="556"/>
        <v>20.380000000000003</v>
      </c>
      <c r="AF170" s="85" t="str">
        <f t="shared" si="557"/>
        <v>-</v>
      </c>
      <c r="AG170" s="85">
        <f t="shared" si="558"/>
        <v>489.12000000000006</v>
      </c>
      <c r="AH170" s="85" t="str">
        <f>'Consumer Hardware Pricing'!AA178</f>
        <v>-</v>
      </c>
      <c r="AI170" s="85" t="str">
        <f t="shared" si="327"/>
        <v>-</v>
      </c>
      <c r="AJ170" s="85" t="str">
        <f t="shared" si="559"/>
        <v>-</v>
      </c>
      <c r="AK170" s="85" t="str">
        <f t="shared" si="560"/>
        <v>-</v>
      </c>
      <c r="AL170" s="85" t="str">
        <f t="shared" si="561"/>
        <v>-</v>
      </c>
      <c r="AM170" s="85">
        <f>'Consumer Hardware Pricing'!AC178</f>
        <v>0</v>
      </c>
      <c r="AN170" s="85">
        <f t="shared" si="328"/>
        <v>20.380000000000003</v>
      </c>
      <c r="AO170" s="85" t="str">
        <f>'Consumer Hardware Pricing'!AD178</f>
        <v>-</v>
      </c>
      <c r="AP170" s="85">
        <f t="shared" si="562"/>
        <v>20.380000000000003</v>
      </c>
      <c r="AQ170" s="85" t="str">
        <f t="shared" si="563"/>
        <v>-</v>
      </c>
      <c r="AR170" s="85">
        <f t="shared" si="564"/>
        <v>489.12000000000006</v>
      </c>
      <c r="AS170" s="85" t="str">
        <f>'Consumer Hardware Pricing'!AF178</f>
        <v>-</v>
      </c>
      <c r="AT170" s="85" t="str">
        <f t="shared" si="329"/>
        <v>-</v>
      </c>
      <c r="AU170" s="85" t="str">
        <f t="shared" si="565"/>
        <v>-</v>
      </c>
      <c r="AV170" s="85" t="str">
        <f t="shared" si="566"/>
        <v>-</v>
      </c>
      <c r="AW170" s="85" t="str">
        <f t="shared" si="567"/>
        <v>-</v>
      </c>
      <c r="AX170" s="85">
        <f>'Consumer Hardware Pricing'!AH178</f>
        <v>0</v>
      </c>
      <c r="AY170" s="85">
        <f t="shared" si="330"/>
        <v>20.380000000000003</v>
      </c>
      <c r="AZ170" s="85" t="str">
        <f>'Consumer Hardware Pricing'!AI178</f>
        <v>-</v>
      </c>
      <c r="BA170" s="85">
        <f t="shared" ref="BA170:BA238" si="620">IF(AZ170="-",AY170,AY170-AZ170)</f>
        <v>20.380000000000003</v>
      </c>
      <c r="BB170" s="85" t="str">
        <f t="shared" ref="BB170:BB238" si="621">IF(AZ170="-",AZ170,AZ170*24)</f>
        <v>-</v>
      </c>
      <c r="BC170" s="85">
        <f t="shared" si="170"/>
        <v>489.12000000000006</v>
      </c>
      <c r="BD170" s="85" t="str">
        <f>'Consumer Hardware Pricing'!AL178</f>
        <v>-</v>
      </c>
      <c r="BE170" s="85" t="str">
        <f t="shared" si="331"/>
        <v>-</v>
      </c>
      <c r="BF170" s="85" t="str">
        <f>'Consumer Hardware Pricing'!AM178</f>
        <v>-</v>
      </c>
      <c r="BG170" s="85" t="str">
        <f t="shared" ref="BG170:BG238" si="622">IF(BF170="-",BE170,BE170-BF170)</f>
        <v>-</v>
      </c>
      <c r="BH170" s="85" t="str">
        <f t="shared" ref="BH170:BH238" si="623">IF(BF170="-",BF170,BF170*24)</f>
        <v>-</v>
      </c>
      <c r="BI170" s="85" t="str">
        <f t="shared" si="171"/>
        <v>-</v>
      </c>
      <c r="BJ170" s="85" t="str">
        <f>'Consumer Hardware Pricing'!AP178</f>
        <v>-</v>
      </c>
      <c r="BK170" s="85" t="str">
        <f t="shared" si="332"/>
        <v>-</v>
      </c>
      <c r="BL170" s="85" t="str">
        <f>'Consumer Hardware Pricing'!AQ178</f>
        <v>-</v>
      </c>
      <c r="BM170" s="85" t="str">
        <f t="shared" ref="BM170:BM238" si="624">IF(BL170="-",BK170,BK170-BL170)</f>
        <v>-</v>
      </c>
      <c r="BN170" s="85" t="str">
        <f t="shared" ref="BN170:BN238" si="625">IF(BL170="-",BL170,BL170*24)</f>
        <v>-</v>
      </c>
      <c r="BO170" s="85" t="str">
        <f t="shared" si="172"/>
        <v>-</v>
      </c>
      <c r="BP170" s="85" t="str">
        <f>'Consumer Hardware Pricing'!AT178</f>
        <v>-</v>
      </c>
      <c r="BQ170" s="85" t="str">
        <f t="shared" si="333"/>
        <v>-</v>
      </c>
      <c r="BR170" s="85" t="str">
        <f>'Consumer Hardware Pricing'!AU178</f>
        <v>-</v>
      </c>
      <c r="BS170" s="85" t="str">
        <f t="shared" ref="BS170:BS238" si="626">IF(BR170="-",BQ170,BQ170-BR170)</f>
        <v>-</v>
      </c>
      <c r="BT170" s="85" t="str">
        <f t="shared" ref="BT170:BT238" si="627">IF(BR170="-",BR170,BR170*24)</f>
        <v>-</v>
      </c>
      <c r="BU170" s="85" t="str">
        <f t="shared" si="173"/>
        <v>-</v>
      </c>
    </row>
    <row r="171" spans="1:73" ht="30.15" customHeight="1" x14ac:dyDescent="0.25">
      <c r="A171" s="87" t="s">
        <v>34</v>
      </c>
      <c r="B171" s="88" t="s">
        <v>251</v>
      </c>
      <c r="C171" s="88" t="s">
        <v>252</v>
      </c>
      <c r="D171" s="85">
        <f>'Consumer Hardware Pricing'!L179</f>
        <v>489</v>
      </c>
      <c r="E171" s="85">
        <f>'Consumer Hardware Pricing'!M179</f>
        <v>489</v>
      </c>
      <c r="F171" s="85">
        <f>'Consumer Hardware Pricing'!N179</f>
        <v>0</v>
      </c>
      <c r="G171" s="85">
        <f t="shared" si="359"/>
        <v>20.380000000000003</v>
      </c>
      <c r="H171" s="85" t="str">
        <f>'Consumer Hardware Pricing'!O179</f>
        <v>-</v>
      </c>
      <c r="I171" s="85">
        <f t="shared" si="616"/>
        <v>20.380000000000003</v>
      </c>
      <c r="J171" s="85" t="str">
        <f t="shared" ref="J171:J239" si="628">IF(H171="-",H171,H171*24)</f>
        <v>-</v>
      </c>
      <c r="K171" s="85">
        <f t="shared" ref="K171:K239" si="629">IF(F171="-",F171,I171*24)</f>
        <v>489.12000000000006</v>
      </c>
      <c r="L171" s="85" t="str">
        <f>'Consumer Hardware Pricing'!Q179</f>
        <v>-</v>
      </c>
      <c r="M171" s="85" t="str">
        <f t="shared" si="360"/>
        <v>-</v>
      </c>
      <c r="N171" s="85" t="str">
        <f t="shared" si="617"/>
        <v>-</v>
      </c>
      <c r="O171" s="85" t="str">
        <f t="shared" si="618"/>
        <v>-</v>
      </c>
      <c r="P171" s="85" t="str">
        <f t="shared" ref="P171:P239" si="630">IF(L171="-",L171,N171*24)</f>
        <v>-</v>
      </c>
      <c r="Q171" s="85">
        <f>'Consumer Hardware Pricing'!S179</f>
        <v>0</v>
      </c>
      <c r="R171" s="85">
        <f t="shared" si="619"/>
        <v>20.380000000000003</v>
      </c>
      <c r="S171" s="85" t="str">
        <f>'Consumer Hardware Pricing'!T179</f>
        <v>-</v>
      </c>
      <c r="T171" s="129">
        <f t="shared" ref="T171:T239" si="631">IF(S171="-",R171,R171-S171)</f>
        <v>20.380000000000003</v>
      </c>
      <c r="U171" s="129" t="str">
        <f t="shared" ref="U171:U239" si="632">IF(S171="-",S171,S171*24)</f>
        <v>-</v>
      </c>
      <c r="V171" s="85">
        <f t="shared" ref="V171:V239" si="633">IF(Q171="-",Q171,T171*24)</f>
        <v>489.12000000000006</v>
      </c>
      <c r="W171" s="129" t="str">
        <f>'Consumer Hardware Pricing'!V179</f>
        <v>-</v>
      </c>
      <c r="X171" s="129" t="str">
        <f t="shared" si="361"/>
        <v>-</v>
      </c>
      <c r="Y171" s="129" t="str">
        <f t="shared" ref="Y171:Y239" si="634">IF(W171="-",W171,R171-X171)</f>
        <v>-</v>
      </c>
      <c r="Z171" s="129" t="str">
        <f t="shared" ref="Z171:Z239" si="635">IF(W171="-",W171,X171*24)</f>
        <v>-</v>
      </c>
      <c r="AA171" s="85" t="str">
        <f t="shared" ref="AA171:AA239" si="636">IF(W171="-",W171,Y171*24)</f>
        <v>-</v>
      </c>
      <c r="AB171" s="85">
        <f>'Consumer Hardware Pricing'!X179</f>
        <v>0</v>
      </c>
      <c r="AC171" s="85">
        <f t="shared" si="326"/>
        <v>20.380000000000003</v>
      </c>
      <c r="AD171" s="85" t="str">
        <f>'Consumer Hardware Pricing'!Y179</f>
        <v>-</v>
      </c>
      <c r="AE171" s="85">
        <f t="shared" si="556"/>
        <v>20.380000000000003</v>
      </c>
      <c r="AF171" s="85" t="str">
        <f t="shared" si="557"/>
        <v>-</v>
      </c>
      <c r="AG171" s="85">
        <f t="shared" si="558"/>
        <v>489.12000000000006</v>
      </c>
      <c r="AH171" s="85" t="str">
        <f>'Consumer Hardware Pricing'!AA179</f>
        <v>-</v>
      </c>
      <c r="AI171" s="85" t="str">
        <f t="shared" si="327"/>
        <v>-</v>
      </c>
      <c r="AJ171" s="85" t="str">
        <f t="shared" si="559"/>
        <v>-</v>
      </c>
      <c r="AK171" s="85" t="str">
        <f t="shared" si="560"/>
        <v>-</v>
      </c>
      <c r="AL171" s="85" t="str">
        <f t="shared" si="561"/>
        <v>-</v>
      </c>
      <c r="AM171" s="85">
        <f>'Consumer Hardware Pricing'!AC179</f>
        <v>0</v>
      </c>
      <c r="AN171" s="85">
        <f t="shared" si="328"/>
        <v>20.380000000000003</v>
      </c>
      <c r="AO171" s="85" t="str">
        <f>'Consumer Hardware Pricing'!AD179</f>
        <v>-</v>
      </c>
      <c r="AP171" s="85">
        <f t="shared" si="562"/>
        <v>20.380000000000003</v>
      </c>
      <c r="AQ171" s="85" t="str">
        <f t="shared" si="563"/>
        <v>-</v>
      </c>
      <c r="AR171" s="85">
        <f t="shared" si="564"/>
        <v>489.12000000000006</v>
      </c>
      <c r="AS171" s="85" t="str">
        <f>'Consumer Hardware Pricing'!AF179</f>
        <v>-</v>
      </c>
      <c r="AT171" s="85" t="str">
        <f t="shared" si="329"/>
        <v>-</v>
      </c>
      <c r="AU171" s="85" t="str">
        <f t="shared" si="565"/>
        <v>-</v>
      </c>
      <c r="AV171" s="85" t="str">
        <f t="shared" si="566"/>
        <v>-</v>
      </c>
      <c r="AW171" s="85" t="str">
        <f t="shared" si="567"/>
        <v>-</v>
      </c>
      <c r="AX171" s="85">
        <f>'Consumer Hardware Pricing'!AH179</f>
        <v>0</v>
      </c>
      <c r="AY171" s="85">
        <f t="shared" si="330"/>
        <v>20.380000000000003</v>
      </c>
      <c r="AZ171" s="85" t="str">
        <f>'Consumer Hardware Pricing'!AI179</f>
        <v>-</v>
      </c>
      <c r="BA171" s="85">
        <f t="shared" si="620"/>
        <v>20.380000000000003</v>
      </c>
      <c r="BB171" s="85" t="str">
        <f t="shared" si="621"/>
        <v>-</v>
      </c>
      <c r="BC171" s="85">
        <f t="shared" ref="BC171:BC239" si="637">IF(AX171="-",AX171,AX171+(BA171*24))</f>
        <v>489.12000000000006</v>
      </c>
      <c r="BD171" s="85" t="str">
        <f>'Consumer Hardware Pricing'!AL179</f>
        <v>-</v>
      </c>
      <c r="BE171" s="85" t="str">
        <f t="shared" si="331"/>
        <v>-</v>
      </c>
      <c r="BF171" s="85" t="str">
        <f>'Consumer Hardware Pricing'!AM179</f>
        <v>-</v>
      </c>
      <c r="BG171" s="85" t="str">
        <f t="shared" si="622"/>
        <v>-</v>
      </c>
      <c r="BH171" s="85" t="str">
        <f t="shared" si="623"/>
        <v>-</v>
      </c>
      <c r="BI171" s="85" t="str">
        <f t="shared" ref="BI171:BI239" si="638">IF(BD171="-",BD171,BD171+(BG171*24))</f>
        <v>-</v>
      </c>
      <c r="BJ171" s="85" t="str">
        <f>'Consumer Hardware Pricing'!AP179</f>
        <v>-</v>
      </c>
      <c r="BK171" s="85" t="str">
        <f t="shared" si="332"/>
        <v>-</v>
      </c>
      <c r="BL171" s="85" t="str">
        <f>'Consumer Hardware Pricing'!AQ179</f>
        <v>-</v>
      </c>
      <c r="BM171" s="85" t="str">
        <f t="shared" si="624"/>
        <v>-</v>
      </c>
      <c r="BN171" s="85" t="str">
        <f t="shared" si="625"/>
        <v>-</v>
      </c>
      <c r="BO171" s="85" t="str">
        <f t="shared" ref="BO171:BO239" si="639">IF(BJ171="-",BJ171,BJ171+(BM171*24))</f>
        <v>-</v>
      </c>
      <c r="BP171" s="85" t="str">
        <f>'Consumer Hardware Pricing'!AT179</f>
        <v>-</v>
      </c>
      <c r="BQ171" s="85" t="str">
        <f t="shared" si="333"/>
        <v>-</v>
      </c>
      <c r="BR171" s="85" t="str">
        <f>'Consumer Hardware Pricing'!AU179</f>
        <v>-</v>
      </c>
      <c r="BS171" s="85" t="str">
        <f t="shared" si="626"/>
        <v>-</v>
      </c>
      <c r="BT171" s="85" t="str">
        <f t="shared" si="627"/>
        <v>-</v>
      </c>
      <c r="BU171" s="85" t="str">
        <f t="shared" ref="BU171:BU239" si="640">IF(BP171="-",BP171,BP171+(BS171*24))</f>
        <v>-</v>
      </c>
    </row>
    <row r="172" spans="1:73" s="131" customFormat="1" ht="30.15" customHeight="1" x14ac:dyDescent="0.25">
      <c r="A172" s="87" t="s">
        <v>34</v>
      </c>
      <c r="B172" s="88" t="s">
        <v>254</v>
      </c>
      <c r="C172" s="88" t="s">
        <v>261</v>
      </c>
      <c r="D172" s="85">
        <f>'Consumer Hardware Pricing'!L180</f>
        <v>629</v>
      </c>
      <c r="E172" s="85">
        <f>'Consumer Hardware Pricing'!M180</f>
        <v>629</v>
      </c>
      <c r="F172" s="85">
        <f>'Consumer Hardware Pricing'!N180</f>
        <v>0</v>
      </c>
      <c r="G172" s="85">
        <f t="shared" si="359"/>
        <v>26.21</v>
      </c>
      <c r="H172" s="85" t="str">
        <f>'Consumer Hardware Pricing'!O180</f>
        <v>-</v>
      </c>
      <c r="I172" s="85">
        <f t="shared" si="616"/>
        <v>26.21</v>
      </c>
      <c r="J172" s="85" t="str">
        <f t="shared" si="628"/>
        <v>-</v>
      </c>
      <c r="K172" s="85">
        <f t="shared" si="629"/>
        <v>629.04</v>
      </c>
      <c r="L172" s="85" t="str">
        <f>'Consumer Hardware Pricing'!Q180</f>
        <v>-</v>
      </c>
      <c r="M172" s="85" t="str">
        <f t="shared" si="360"/>
        <v>-</v>
      </c>
      <c r="N172" s="85" t="str">
        <f t="shared" si="617"/>
        <v>-</v>
      </c>
      <c r="O172" s="85" t="str">
        <f t="shared" si="618"/>
        <v>-</v>
      </c>
      <c r="P172" s="85" t="str">
        <f t="shared" si="630"/>
        <v>-</v>
      </c>
      <c r="Q172" s="85">
        <f>'Consumer Hardware Pricing'!S180</f>
        <v>0</v>
      </c>
      <c r="R172" s="85">
        <f t="shared" si="619"/>
        <v>26.21</v>
      </c>
      <c r="S172" s="85" t="str">
        <f>'Consumer Hardware Pricing'!T180</f>
        <v>-</v>
      </c>
      <c r="T172" s="129">
        <f t="shared" si="631"/>
        <v>26.21</v>
      </c>
      <c r="U172" s="129" t="str">
        <f t="shared" si="632"/>
        <v>-</v>
      </c>
      <c r="V172" s="85">
        <f t="shared" si="633"/>
        <v>629.04</v>
      </c>
      <c r="W172" s="129" t="str">
        <f>'Consumer Hardware Pricing'!V180</f>
        <v>-</v>
      </c>
      <c r="X172" s="129" t="str">
        <f t="shared" si="361"/>
        <v>-</v>
      </c>
      <c r="Y172" s="129" t="str">
        <f t="shared" si="634"/>
        <v>-</v>
      </c>
      <c r="Z172" s="129" t="str">
        <f t="shared" si="635"/>
        <v>-</v>
      </c>
      <c r="AA172" s="85" t="str">
        <f t="shared" si="636"/>
        <v>-</v>
      </c>
      <c r="AB172" s="85">
        <f>'Consumer Hardware Pricing'!X180</f>
        <v>0</v>
      </c>
      <c r="AC172" s="85">
        <f t="shared" si="326"/>
        <v>26.21</v>
      </c>
      <c r="AD172" s="85" t="str">
        <f>'Consumer Hardware Pricing'!Y180</f>
        <v>-</v>
      </c>
      <c r="AE172" s="85">
        <f t="shared" si="556"/>
        <v>26.21</v>
      </c>
      <c r="AF172" s="85" t="str">
        <f t="shared" si="557"/>
        <v>-</v>
      </c>
      <c r="AG172" s="85">
        <f t="shared" si="558"/>
        <v>629.04</v>
      </c>
      <c r="AH172" s="85" t="str">
        <f>'Consumer Hardware Pricing'!AA180</f>
        <v>-</v>
      </c>
      <c r="AI172" s="85" t="str">
        <f t="shared" si="327"/>
        <v>-</v>
      </c>
      <c r="AJ172" s="85" t="str">
        <f t="shared" si="559"/>
        <v>-</v>
      </c>
      <c r="AK172" s="85" t="str">
        <f t="shared" si="560"/>
        <v>-</v>
      </c>
      <c r="AL172" s="85" t="str">
        <f t="shared" si="561"/>
        <v>-</v>
      </c>
      <c r="AM172" s="85">
        <f>'Consumer Hardware Pricing'!AC180</f>
        <v>0</v>
      </c>
      <c r="AN172" s="85">
        <f t="shared" si="328"/>
        <v>26.21</v>
      </c>
      <c r="AO172" s="85" t="str">
        <f>'Consumer Hardware Pricing'!AD180</f>
        <v>-</v>
      </c>
      <c r="AP172" s="85">
        <f t="shared" si="562"/>
        <v>26.21</v>
      </c>
      <c r="AQ172" s="85" t="str">
        <f t="shared" si="563"/>
        <v>-</v>
      </c>
      <c r="AR172" s="85">
        <f t="shared" si="564"/>
        <v>629.04</v>
      </c>
      <c r="AS172" s="85" t="str">
        <f>'Consumer Hardware Pricing'!AF180</f>
        <v>-</v>
      </c>
      <c r="AT172" s="85" t="str">
        <f t="shared" si="329"/>
        <v>-</v>
      </c>
      <c r="AU172" s="85" t="str">
        <f t="shared" si="565"/>
        <v>-</v>
      </c>
      <c r="AV172" s="85" t="str">
        <f t="shared" si="566"/>
        <v>-</v>
      </c>
      <c r="AW172" s="85" t="str">
        <f t="shared" si="567"/>
        <v>-</v>
      </c>
      <c r="AX172" s="85" t="str">
        <f>'Consumer Hardware Pricing'!AH180</f>
        <v>-</v>
      </c>
      <c r="AY172" s="85" t="str">
        <f t="shared" si="330"/>
        <v>-</v>
      </c>
      <c r="AZ172" s="85" t="str">
        <f>'Consumer Hardware Pricing'!AI180</f>
        <v>-</v>
      </c>
      <c r="BA172" s="85" t="str">
        <f t="shared" si="620"/>
        <v>-</v>
      </c>
      <c r="BB172" s="85" t="str">
        <f t="shared" si="621"/>
        <v>-</v>
      </c>
      <c r="BC172" s="85" t="str">
        <f t="shared" si="637"/>
        <v>-</v>
      </c>
      <c r="BD172" s="85" t="str">
        <f>'Consumer Hardware Pricing'!AL180</f>
        <v>-</v>
      </c>
      <c r="BE172" s="85" t="str">
        <f t="shared" si="331"/>
        <v>-</v>
      </c>
      <c r="BF172" s="85" t="str">
        <f>'Consumer Hardware Pricing'!AM180</f>
        <v>-</v>
      </c>
      <c r="BG172" s="85" t="str">
        <f t="shared" si="622"/>
        <v>-</v>
      </c>
      <c r="BH172" s="85" t="str">
        <f t="shared" si="623"/>
        <v>-</v>
      </c>
      <c r="BI172" s="85" t="str">
        <f t="shared" si="638"/>
        <v>-</v>
      </c>
      <c r="BJ172" s="85" t="str">
        <f>'Consumer Hardware Pricing'!AP180</f>
        <v>-</v>
      </c>
      <c r="BK172" s="85" t="str">
        <f t="shared" si="332"/>
        <v>-</v>
      </c>
      <c r="BL172" s="85" t="str">
        <f>'Consumer Hardware Pricing'!AQ180</f>
        <v>-</v>
      </c>
      <c r="BM172" s="85" t="str">
        <f t="shared" si="624"/>
        <v>-</v>
      </c>
      <c r="BN172" s="85" t="str">
        <f t="shared" si="625"/>
        <v>-</v>
      </c>
      <c r="BO172" s="85" t="str">
        <f t="shared" si="639"/>
        <v>-</v>
      </c>
      <c r="BP172" s="85" t="str">
        <f>'Consumer Hardware Pricing'!AT180</f>
        <v>-</v>
      </c>
      <c r="BQ172" s="85" t="str">
        <f t="shared" si="333"/>
        <v>-</v>
      </c>
      <c r="BR172" s="85" t="str">
        <f>'Consumer Hardware Pricing'!AU180</f>
        <v>-</v>
      </c>
      <c r="BS172" s="85" t="str">
        <f t="shared" si="626"/>
        <v>-</v>
      </c>
      <c r="BT172" s="85" t="str">
        <f t="shared" si="627"/>
        <v>-</v>
      </c>
      <c r="BU172" s="85" t="str">
        <f t="shared" si="640"/>
        <v>-</v>
      </c>
    </row>
    <row r="173" spans="1:73" s="131" customFormat="1" ht="30.15" customHeight="1" x14ac:dyDescent="0.25">
      <c r="A173" s="87" t="s">
        <v>34</v>
      </c>
      <c r="B173" s="88" t="s">
        <v>255</v>
      </c>
      <c r="C173" s="88" t="s">
        <v>261</v>
      </c>
      <c r="D173" s="85">
        <f>'Consumer Hardware Pricing'!L181</f>
        <v>629</v>
      </c>
      <c r="E173" s="85">
        <f>'Consumer Hardware Pricing'!M181</f>
        <v>629</v>
      </c>
      <c r="F173" s="85">
        <f>'Consumer Hardware Pricing'!N181</f>
        <v>0</v>
      </c>
      <c r="G173" s="85">
        <f t="shared" si="359"/>
        <v>26.21</v>
      </c>
      <c r="H173" s="85" t="str">
        <f>'Consumer Hardware Pricing'!O181</f>
        <v>-</v>
      </c>
      <c r="I173" s="85">
        <f t="shared" si="616"/>
        <v>26.21</v>
      </c>
      <c r="J173" s="85" t="str">
        <f t="shared" si="628"/>
        <v>-</v>
      </c>
      <c r="K173" s="85">
        <f t="shared" si="629"/>
        <v>629.04</v>
      </c>
      <c r="L173" s="85" t="str">
        <f>'Consumer Hardware Pricing'!Q181</f>
        <v>-</v>
      </c>
      <c r="M173" s="85" t="str">
        <f t="shared" si="360"/>
        <v>-</v>
      </c>
      <c r="N173" s="85" t="str">
        <f t="shared" si="617"/>
        <v>-</v>
      </c>
      <c r="O173" s="85" t="str">
        <f t="shared" si="618"/>
        <v>-</v>
      </c>
      <c r="P173" s="85" t="str">
        <f t="shared" si="630"/>
        <v>-</v>
      </c>
      <c r="Q173" s="85">
        <f>'Consumer Hardware Pricing'!S181</f>
        <v>0</v>
      </c>
      <c r="R173" s="85">
        <f t="shared" si="619"/>
        <v>26.21</v>
      </c>
      <c r="S173" s="85" t="str">
        <f>'Consumer Hardware Pricing'!T181</f>
        <v>-</v>
      </c>
      <c r="T173" s="129">
        <f t="shared" si="631"/>
        <v>26.21</v>
      </c>
      <c r="U173" s="129" t="str">
        <f t="shared" si="632"/>
        <v>-</v>
      </c>
      <c r="V173" s="85">
        <f t="shared" si="633"/>
        <v>629.04</v>
      </c>
      <c r="W173" s="129" t="str">
        <f>'Consumer Hardware Pricing'!V181</f>
        <v>-</v>
      </c>
      <c r="X173" s="129" t="str">
        <f t="shared" si="361"/>
        <v>-</v>
      </c>
      <c r="Y173" s="129" t="str">
        <f t="shared" si="634"/>
        <v>-</v>
      </c>
      <c r="Z173" s="129" t="str">
        <f t="shared" si="635"/>
        <v>-</v>
      </c>
      <c r="AA173" s="85" t="str">
        <f t="shared" si="636"/>
        <v>-</v>
      </c>
      <c r="AB173" s="85">
        <f>'Consumer Hardware Pricing'!X181</f>
        <v>0</v>
      </c>
      <c r="AC173" s="85">
        <f t="shared" si="326"/>
        <v>26.21</v>
      </c>
      <c r="AD173" s="85" t="str">
        <f>'Consumer Hardware Pricing'!Y181</f>
        <v>-</v>
      </c>
      <c r="AE173" s="85">
        <f t="shared" si="556"/>
        <v>26.21</v>
      </c>
      <c r="AF173" s="85" t="str">
        <f t="shared" si="557"/>
        <v>-</v>
      </c>
      <c r="AG173" s="85">
        <f t="shared" si="558"/>
        <v>629.04</v>
      </c>
      <c r="AH173" s="85" t="str">
        <f>'Consumer Hardware Pricing'!AA181</f>
        <v>-</v>
      </c>
      <c r="AI173" s="85" t="str">
        <f t="shared" si="327"/>
        <v>-</v>
      </c>
      <c r="AJ173" s="85" t="str">
        <f t="shared" si="559"/>
        <v>-</v>
      </c>
      <c r="AK173" s="85" t="str">
        <f t="shared" si="560"/>
        <v>-</v>
      </c>
      <c r="AL173" s="85" t="str">
        <f t="shared" si="561"/>
        <v>-</v>
      </c>
      <c r="AM173" s="85">
        <f>'Consumer Hardware Pricing'!AC181</f>
        <v>0</v>
      </c>
      <c r="AN173" s="85">
        <f t="shared" si="328"/>
        <v>26.21</v>
      </c>
      <c r="AO173" s="85" t="str">
        <f>'Consumer Hardware Pricing'!AD181</f>
        <v>-</v>
      </c>
      <c r="AP173" s="85">
        <f t="shared" si="562"/>
        <v>26.21</v>
      </c>
      <c r="AQ173" s="85" t="str">
        <f t="shared" si="563"/>
        <v>-</v>
      </c>
      <c r="AR173" s="85">
        <f t="shared" si="564"/>
        <v>629.04</v>
      </c>
      <c r="AS173" s="85" t="str">
        <f>'Consumer Hardware Pricing'!AF181</f>
        <v>-</v>
      </c>
      <c r="AT173" s="85" t="str">
        <f t="shared" si="329"/>
        <v>-</v>
      </c>
      <c r="AU173" s="85" t="str">
        <f t="shared" si="565"/>
        <v>-</v>
      </c>
      <c r="AV173" s="85" t="str">
        <f t="shared" si="566"/>
        <v>-</v>
      </c>
      <c r="AW173" s="85" t="str">
        <f t="shared" si="567"/>
        <v>-</v>
      </c>
      <c r="AX173" s="85" t="str">
        <f>'Consumer Hardware Pricing'!AH181</f>
        <v>-</v>
      </c>
      <c r="AY173" s="85" t="str">
        <f t="shared" si="330"/>
        <v>-</v>
      </c>
      <c r="AZ173" s="85" t="str">
        <f>'Consumer Hardware Pricing'!AI181</f>
        <v>-</v>
      </c>
      <c r="BA173" s="85" t="str">
        <f t="shared" si="620"/>
        <v>-</v>
      </c>
      <c r="BB173" s="85" t="str">
        <f t="shared" si="621"/>
        <v>-</v>
      </c>
      <c r="BC173" s="85" t="str">
        <f t="shared" si="637"/>
        <v>-</v>
      </c>
      <c r="BD173" s="85" t="str">
        <f>'Consumer Hardware Pricing'!AL181</f>
        <v>-</v>
      </c>
      <c r="BE173" s="85" t="str">
        <f t="shared" si="331"/>
        <v>-</v>
      </c>
      <c r="BF173" s="85" t="str">
        <f>'Consumer Hardware Pricing'!AM181</f>
        <v>-</v>
      </c>
      <c r="BG173" s="85" t="str">
        <f t="shared" si="622"/>
        <v>-</v>
      </c>
      <c r="BH173" s="85" t="str">
        <f t="shared" si="623"/>
        <v>-</v>
      </c>
      <c r="BI173" s="85" t="str">
        <f t="shared" si="638"/>
        <v>-</v>
      </c>
      <c r="BJ173" s="85" t="str">
        <f>'Consumer Hardware Pricing'!AP181</f>
        <v>-</v>
      </c>
      <c r="BK173" s="85" t="str">
        <f t="shared" si="332"/>
        <v>-</v>
      </c>
      <c r="BL173" s="85" t="str">
        <f>'Consumer Hardware Pricing'!AQ181</f>
        <v>-</v>
      </c>
      <c r="BM173" s="85" t="str">
        <f t="shared" si="624"/>
        <v>-</v>
      </c>
      <c r="BN173" s="85" t="str">
        <f t="shared" si="625"/>
        <v>-</v>
      </c>
      <c r="BO173" s="85" t="str">
        <f t="shared" si="639"/>
        <v>-</v>
      </c>
      <c r="BP173" s="85" t="str">
        <f>'Consumer Hardware Pricing'!AT181</f>
        <v>-</v>
      </c>
      <c r="BQ173" s="85" t="str">
        <f t="shared" si="333"/>
        <v>-</v>
      </c>
      <c r="BR173" s="85" t="str">
        <f>'Consumer Hardware Pricing'!AU181</f>
        <v>-</v>
      </c>
      <c r="BS173" s="85" t="str">
        <f t="shared" si="626"/>
        <v>-</v>
      </c>
      <c r="BT173" s="85" t="str">
        <f t="shared" si="627"/>
        <v>-</v>
      </c>
      <c r="BU173" s="85" t="str">
        <f t="shared" si="640"/>
        <v>-</v>
      </c>
    </row>
    <row r="174" spans="1:73" s="131" customFormat="1" ht="30.15" customHeight="1" x14ac:dyDescent="0.25">
      <c r="A174" s="87" t="s">
        <v>34</v>
      </c>
      <c r="B174" s="88" t="s">
        <v>884</v>
      </c>
      <c r="C174" s="88" t="s">
        <v>893</v>
      </c>
      <c r="D174" s="85">
        <f>'Consumer Hardware Pricing'!L182</f>
        <v>615</v>
      </c>
      <c r="E174" s="85">
        <f>'Consumer Hardware Pricing'!M182</f>
        <v>615</v>
      </c>
      <c r="F174" s="85">
        <f>'Consumer Hardware Pricing'!N182</f>
        <v>0</v>
      </c>
      <c r="G174" s="85">
        <f t="shared" si="359"/>
        <v>25.630000000000003</v>
      </c>
      <c r="H174" s="85" t="str">
        <f>'Consumer Hardware Pricing'!O182</f>
        <v>-</v>
      </c>
      <c r="I174" s="85">
        <f t="shared" ref="I174:I182" si="641">IF(H174="-",G174,G174-H174)</f>
        <v>25.630000000000003</v>
      </c>
      <c r="J174" s="85" t="str">
        <f t="shared" ref="J174:J182" si="642">IF(H174="-",H174,H174*24)</f>
        <v>-</v>
      </c>
      <c r="K174" s="85">
        <f t="shared" ref="K174:K182" si="643">IF(F174="-",F174,I174*24)</f>
        <v>615.12000000000012</v>
      </c>
      <c r="L174" s="85" t="str">
        <f>'Consumer Hardware Pricing'!Q182</f>
        <v>-</v>
      </c>
      <c r="M174" s="85" t="str">
        <f t="shared" si="360"/>
        <v>-</v>
      </c>
      <c r="N174" s="85" t="str">
        <f t="shared" ref="N174:N182" si="644">IF(L174="-",L174,G174-M174)</f>
        <v>-</v>
      </c>
      <c r="O174" s="85" t="str">
        <f t="shared" ref="O174:O182" si="645">IF(L174="-",L174,M174*24)</f>
        <v>-</v>
      </c>
      <c r="P174" s="85" t="str">
        <f t="shared" ref="P174:P182" si="646">IF(L174="-",L174,N174*24)</f>
        <v>-</v>
      </c>
      <c r="Q174" s="85">
        <f>'Consumer Hardware Pricing'!S182</f>
        <v>0</v>
      </c>
      <c r="R174" s="85">
        <f t="shared" ref="R174:R182" si="647">G174</f>
        <v>25.630000000000003</v>
      </c>
      <c r="S174" s="85" t="str">
        <f>'Consumer Hardware Pricing'!T182</f>
        <v>-</v>
      </c>
      <c r="T174" s="129">
        <f t="shared" ref="T174:T182" si="648">IF(S174="-",R174,R174-S174)</f>
        <v>25.630000000000003</v>
      </c>
      <c r="U174" s="129" t="str">
        <f t="shared" ref="U174:U182" si="649">IF(S174="-",S174,S174*24)</f>
        <v>-</v>
      </c>
      <c r="V174" s="85">
        <f t="shared" ref="V174:V182" si="650">IF(Q174="-",Q174,T174*24)</f>
        <v>615.12000000000012</v>
      </c>
      <c r="W174" s="129" t="str">
        <f>'Consumer Hardware Pricing'!V182</f>
        <v>-</v>
      </c>
      <c r="X174" s="129" t="str">
        <f t="shared" si="361"/>
        <v>-</v>
      </c>
      <c r="Y174" s="129" t="str">
        <f t="shared" ref="Y174:Y182" si="651">IF(W174="-",W174,R174-X174)</f>
        <v>-</v>
      </c>
      <c r="Z174" s="129" t="str">
        <f t="shared" ref="Z174:Z182" si="652">IF(W174="-",W174,X174*24)</f>
        <v>-</v>
      </c>
      <c r="AA174" s="85" t="str">
        <f t="shared" ref="AA174:AA182" si="653">IF(W174="-",W174,Y174*24)</f>
        <v>-</v>
      </c>
      <c r="AB174" s="85">
        <f>'Consumer Hardware Pricing'!X182</f>
        <v>0</v>
      </c>
      <c r="AC174" s="85">
        <f t="shared" si="326"/>
        <v>25.630000000000003</v>
      </c>
      <c r="AD174" s="85">
        <f>'Consumer Hardware Pricing'!Y182</f>
        <v>5.63</v>
      </c>
      <c r="AE174" s="85">
        <f t="shared" si="556"/>
        <v>20.000000000000004</v>
      </c>
      <c r="AF174" s="85">
        <f t="shared" si="557"/>
        <v>135.12</v>
      </c>
      <c r="AG174" s="85">
        <f t="shared" si="558"/>
        <v>480.00000000000011</v>
      </c>
      <c r="AH174" s="85" t="str">
        <f>'Consumer Hardware Pricing'!AA182</f>
        <v>-</v>
      </c>
      <c r="AI174" s="85" t="str">
        <f t="shared" si="327"/>
        <v>-</v>
      </c>
      <c r="AJ174" s="85" t="str">
        <f t="shared" si="559"/>
        <v>-</v>
      </c>
      <c r="AK174" s="85" t="str">
        <f t="shared" si="560"/>
        <v>-</v>
      </c>
      <c r="AL174" s="85" t="str">
        <f t="shared" si="561"/>
        <v>-</v>
      </c>
      <c r="AM174" s="85">
        <f>'Consumer Hardware Pricing'!AC182</f>
        <v>0</v>
      </c>
      <c r="AN174" s="85">
        <f t="shared" si="328"/>
        <v>25.630000000000003</v>
      </c>
      <c r="AO174" s="85">
        <f>'Consumer Hardware Pricing'!AD182</f>
        <v>5.63</v>
      </c>
      <c r="AP174" s="85">
        <f t="shared" si="562"/>
        <v>20.000000000000004</v>
      </c>
      <c r="AQ174" s="85">
        <f t="shared" si="563"/>
        <v>135.12</v>
      </c>
      <c r="AR174" s="85">
        <f t="shared" si="564"/>
        <v>480.00000000000011</v>
      </c>
      <c r="AS174" s="85" t="str">
        <f>'Consumer Hardware Pricing'!AF182</f>
        <v>-</v>
      </c>
      <c r="AT174" s="85" t="str">
        <f t="shared" si="329"/>
        <v>-</v>
      </c>
      <c r="AU174" s="85" t="str">
        <f t="shared" si="565"/>
        <v>-</v>
      </c>
      <c r="AV174" s="85" t="str">
        <f t="shared" si="566"/>
        <v>-</v>
      </c>
      <c r="AW174" s="85" t="str">
        <f t="shared" si="567"/>
        <v>-</v>
      </c>
      <c r="AX174" s="85" t="str">
        <f>'Consumer Hardware Pricing'!AH182</f>
        <v>-</v>
      </c>
      <c r="AY174" s="85" t="str">
        <f t="shared" si="330"/>
        <v>-</v>
      </c>
      <c r="AZ174" s="85" t="str">
        <f>'Consumer Hardware Pricing'!AI182</f>
        <v>-</v>
      </c>
      <c r="BA174" s="85" t="str">
        <f t="shared" ref="BA174:BA182" si="654">IF(AZ174="-",AY174,AY174-AZ174)</f>
        <v>-</v>
      </c>
      <c r="BB174" s="85" t="str">
        <f t="shared" ref="BB174:BB182" si="655">IF(AZ174="-",AZ174,AZ174*24)</f>
        <v>-</v>
      </c>
      <c r="BC174" s="85" t="str">
        <f t="shared" ref="BC174:BC182" si="656">IF(AX174="-",AX174,AX174+(BA174*24))</f>
        <v>-</v>
      </c>
      <c r="BD174" s="85" t="str">
        <f>'Consumer Hardware Pricing'!AL182</f>
        <v>-</v>
      </c>
      <c r="BE174" s="85" t="str">
        <f t="shared" si="331"/>
        <v>-</v>
      </c>
      <c r="BF174" s="85" t="str">
        <f>'Consumer Hardware Pricing'!AM182</f>
        <v>-</v>
      </c>
      <c r="BG174" s="85" t="str">
        <f t="shared" ref="BG174:BG182" si="657">IF(BF174="-",BE174,BE174-BF174)</f>
        <v>-</v>
      </c>
      <c r="BH174" s="85" t="str">
        <f t="shared" ref="BH174:BH182" si="658">IF(BF174="-",BF174,BF174*24)</f>
        <v>-</v>
      </c>
      <c r="BI174" s="85" t="str">
        <f t="shared" ref="BI174:BI182" si="659">IF(BD174="-",BD174,BD174+(BG174*24))</f>
        <v>-</v>
      </c>
      <c r="BJ174" s="85" t="str">
        <f>'Consumer Hardware Pricing'!AP182</f>
        <v>-</v>
      </c>
      <c r="BK174" s="85" t="str">
        <f t="shared" si="332"/>
        <v>-</v>
      </c>
      <c r="BL174" s="85" t="str">
        <f>'Consumer Hardware Pricing'!AQ182</f>
        <v>-</v>
      </c>
      <c r="BM174" s="85" t="str">
        <f t="shared" ref="BM174:BM182" si="660">IF(BL174="-",BK174,BK174-BL174)</f>
        <v>-</v>
      </c>
      <c r="BN174" s="85" t="str">
        <f t="shared" ref="BN174:BN182" si="661">IF(BL174="-",BL174,BL174*24)</f>
        <v>-</v>
      </c>
      <c r="BO174" s="85" t="str">
        <f t="shared" ref="BO174:BO182" si="662">IF(BJ174="-",BJ174,BJ174+(BM174*24))</f>
        <v>-</v>
      </c>
      <c r="BP174" s="85" t="str">
        <f>'Consumer Hardware Pricing'!AT182</f>
        <v>-</v>
      </c>
      <c r="BQ174" s="85" t="str">
        <f t="shared" si="333"/>
        <v>-</v>
      </c>
      <c r="BR174" s="85" t="str">
        <f>'Consumer Hardware Pricing'!AU182</f>
        <v>-</v>
      </c>
      <c r="BS174" s="85" t="str">
        <f t="shared" ref="BS174:BS182" si="663">IF(BR174="-",BQ174,BQ174-BR174)</f>
        <v>-</v>
      </c>
      <c r="BT174" s="85" t="str">
        <f t="shared" ref="BT174:BT182" si="664">IF(BR174="-",BR174,BR174*24)</f>
        <v>-</v>
      </c>
      <c r="BU174" s="85" t="str">
        <f t="shared" ref="BU174:BU182" si="665">IF(BP174="-",BP174,BP174+(BS174*24))</f>
        <v>-</v>
      </c>
    </row>
    <row r="175" spans="1:73" s="131" customFormat="1" ht="30.15" customHeight="1" x14ac:dyDescent="0.25">
      <c r="A175" s="87" t="s">
        <v>34</v>
      </c>
      <c r="B175" s="88" t="s">
        <v>885</v>
      </c>
      <c r="C175" s="88" t="s">
        <v>893</v>
      </c>
      <c r="D175" s="85">
        <f>'Consumer Hardware Pricing'!L183</f>
        <v>615</v>
      </c>
      <c r="E175" s="85">
        <f>'Consumer Hardware Pricing'!M183</f>
        <v>615</v>
      </c>
      <c r="F175" s="85">
        <f>'Consumer Hardware Pricing'!N183</f>
        <v>0</v>
      </c>
      <c r="G175" s="85">
        <f t="shared" si="359"/>
        <v>25.630000000000003</v>
      </c>
      <c r="H175" s="85" t="str">
        <f>'Consumer Hardware Pricing'!O183</f>
        <v>-</v>
      </c>
      <c r="I175" s="85">
        <f t="shared" si="641"/>
        <v>25.630000000000003</v>
      </c>
      <c r="J175" s="85" t="str">
        <f t="shared" si="642"/>
        <v>-</v>
      </c>
      <c r="K175" s="85">
        <f t="shared" si="643"/>
        <v>615.12000000000012</v>
      </c>
      <c r="L175" s="85" t="str">
        <f>'Consumer Hardware Pricing'!Q183</f>
        <v>-</v>
      </c>
      <c r="M175" s="85" t="str">
        <f t="shared" si="360"/>
        <v>-</v>
      </c>
      <c r="N175" s="85" t="str">
        <f t="shared" si="644"/>
        <v>-</v>
      </c>
      <c r="O175" s="85" t="str">
        <f t="shared" si="645"/>
        <v>-</v>
      </c>
      <c r="P175" s="85" t="str">
        <f t="shared" si="646"/>
        <v>-</v>
      </c>
      <c r="Q175" s="85">
        <f>'Consumer Hardware Pricing'!S183</f>
        <v>0</v>
      </c>
      <c r="R175" s="85">
        <f t="shared" si="647"/>
        <v>25.630000000000003</v>
      </c>
      <c r="S175" s="85" t="str">
        <f>'Consumer Hardware Pricing'!T183</f>
        <v>-</v>
      </c>
      <c r="T175" s="129">
        <f t="shared" si="648"/>
        <v>25.630000000000003</v>
      </c>
      <c r="U175" s="129" t="str">
        <f t="shared" si="649"/>
        <v>-</v>
      </c>
      <c r="V175" s="85">
        <f t="shared" si="650"/>
        <v>615.12000000000012</v>
      </c>
      <c r="W175" s="129" t="str">
        <f>'Consumer Hardware Pricing'!V183</f>
        <v>-</v>
      </c>
      <c r="X175" s="129" t="str">
        <f t="shared" si="361"/>
        <v>-</v>
      </c>
      <c r="Y175" s="129" t="str">
        <f t="shared" si="651"/>
        <v>-</v>
      </c>
      <c r="Z175" s="129" t="str">
        <f t="shared" si="652"/>
        <v>-</v>
      </c>
      <c r="AA175" s="85" t="str">
        <f t="shared" si="653"/>
        <v>-</v>
      </c>
      <c r="AB175" s="85">
        <f>'Consumer Hardware Pricing'!X183</f>
        <v>0</v>
      </c>
      <c r="AC175" s="85">
        <f t="shared" si="326"/>
        <v>25.630000000000003</v>
      </c>
      <c r="AD175" s="85">
        <f>'Consumer Hardware Pricing'!Y183</f>
        <v>5.63</v>
      </c>
      <c r="AE175" s="85">
        <f t="shared" si="556"/>
        <v>20.000000000000004</v>
      </c>
      <c r="AF175" s="85">
        <f t="shared" si="557"/>
        <v>135.12</v>
      </c>
      <c r="AG175" s="85">
        <f t="shared" si="558"/>
        <v>480.00000000000011</v>
      </c>
      <c r="AH175" s="85" t="str">
        <f>'Consumer Hardware Pricing'!AA183</f>
        <v>-</v>
      </c>
      <c r="AI175" s="85" t="str">
        <f t="shared" si="327"/>
        <v>-</v>
      </c>
      <c r="AJ175" s="85" t="str">
        <f t="shared" si="559"/>
        <v>-</v>
      </c>
      <c r="AK175" s="85" t="str">
        <f t="shared" si="560"/>
        <v>-</v>
      </c>
      <c r="AL175" s="85" t="str">
        <f t="shared" si="561"/>
        <v>-</v>
      </c>
      <c r="AM175" s="85">
        <f>'Consumer Hardware Pricing'!AC183</f>
        <v>0</v>
      </c>
      <c r="AN175" s="85">
        <f t="shared" si="328"/>
        <v>25.630000000000003</v>
      </c>
      <c r="AO175" s="85">
        <f>'Consumer Hardware Pricing'!AD183</f>
        <v>5.63</v>
      </c>
      <c r="AP175" s="85">
        <f t="shared" si="562"/>
        <v>20.000000000000004</v>
      </c>
      <c r="AQ175" s="85">
        <f t="shared" si="563"/>
        <v>135.12</v>
      </c>
      <c r="AR175" s="85">
        <f t="shared" si="564"/>
        <v>480.00000000000011</v>
      </c>
      <c r="AS175" s="85" t="str">
        <f>'Consumer Hardware Pricing'!AF183</f>
        <v>-</v>
      </c>
      <c r="AT175" s="85" t="str">
        <f t="shared" si="329"/>
        <v>-</v>
      </c>
      <c r="AU175" s="85" t="str">
        <f t="shared" si="565"/>
        <v>-</v>
      </c>
      <c r="AV175" s="85" t="str">
        <f t="shared" si="566"/>
        <v>-</v>
      </c>
      <c r="AW175" s="85" t="str">
        <f t="shared" si="567"/>
        <v>-</v>
      </c>
      <c r="AX175" s="85" t="str">
        <f>'Consumer Hardware Pricing'!AH183</f>
        <v>-</v>
      </c>
      <c r="AY175" s="85" t="str">
        <f t="shared" si="330"/>
        <v>-</v>
      </c>
      <c r="AZ175" s="85" t="str">
        <f>'Consumer Hardware Pricing'!AI183</f>
        <v>-</v>
      </c>
      <c r="BA175" s="85" t="str">
        <f t="shared" si="654"/>
        <v>-</v>
      </c>
      <c r="BB175" s="85" t="str">
        <f t="shared" si="655"/>
        <v>-</v>
      </c>
      <c r="BC175" s="85" t="str">
        <f t="shared" si="656"/>
        <v>-</v>
      </c>
      <c r="BD175" s="85" t="str">
        <f>'Consumer Hardware Pricing'!AL183</f>
        <v>-</v>
      </c>
      <c r="BE175" s="85" t="str">
        <f t="shared" si="331"/>
        <v>-</v>
      </c>
      <c r="BF175" s="85" t="str">
        <f>'Consumer Hardware Pricing'!AM183</f>
        <v>-</v>
      </c>
      <c r="BG175" s="85" t="str">
        <f t="shared" si="657"/>
        <v>-</v>
      </c>
      <c r="BH175" s="85" t="str">
        <f t="shared" si="658"/>
        <v>-</v>
      </c>
      <c r="BI175" s="85" t="str">
        <f t="shared" si="659"/>
        <v>-</v>
      </c>
      <c r="BJ175" s="85" t="str">
        <f>'Consumer Hardware Pricing'!AP183</f>
        <v>-</v>
      </c>
      <c r="BK175" s="85" t="str">
        <f t="shared" si="332"/>
        <v>-</v>
      </c>
      <c r="BL175" s="85" t="str">
        <f>'Consumer Hardware Pricing'!AQ183</f>
        <v>-</v>
      </c>
      <c r="BM175" s="85" t="str">
        <f t="shared" si="660"/>
        <v>-</v>
      </c>
      <c r="BN175" s="85" t="str">
        <f t="shared" si="661"/>
        <v>-</v>
      </c>
      <c r="BO175" s="85" t="str">
        <f t="shared" si="662"/>
        <v>-</v>
      </c>
      <c r="BP175" s="85" t="str">
        <f>'Consumer Hardware Pricing'!AT183</f>
        <v>-</v>
      </c>
      <c r="BQ175" s="85" t="str">
        <f t="shared" si="333"/>
        <v>-</v>
      </c>
      <c r="BR175" s="85" t="str">
        <f>'Consumer Hardware Pricing'!AU183</f>
        <v>-</v>
      </c>
      <c r="BS175" s="85" t="str">
        <f t="shared" si="663"/>
        <v>-</v>
      </c>
      <c r="BT175" s="85" t="str">
        <f t="shared" si="664"/>
        <v>-</v>
      </c>
      <c r="BU175" s="85" t="str">
        <f t="shared" si="665"/>
        <v>-</v>
      </c>
    </row>
    <row r="176" spans="1:73" s="131" customFormat="1" ht="30.15" customHeight="1" x14ac:dyDescent="0.25">
      <c r="A176" s="87" t="s">
        <v>34</v>
      </c>
      <c r="B176" s="88" t="s">
        <v>886</v>
      </c>
      <c r="C176" s="88" t="s">
        <v>893</v>
      </c>
      <c r="D176" s="85">
        <f>'Consumer Hardware Pricing'!L184</f>
        <v>615</v>
      </c>
      <c r="E176" s="85">
        <f>'Consumer Hardware Pricing'!M184</f>
        <v>615</v>
      </c>
      <c r="F176" s="85">
        <f>'Consumer Hardware Pricing'!N184</f>
        <v>0</v>
      </c>
      <c r="G176" s="85">
        <f t="shared" si="359"/>
        <v>25.630000000000003</v>
      </c>
      <c r="H176" s="85" t="str">
        <f>'Consumer Hardware Pricing'!O184</f>
        <v>-</v>
      </c>
      <c r="I176" s="85">
        <f t="shared" si="641"/>
        <v>25.630000000000003</v>
      </c>
      <c r="J176" s="85" t="str">
        <f t="shared" si="642"/>
        <v>-</v>
      </c>
      <c r="K176" s="85">
        <f t="shared" si="643"/>
        <v>615.12000000000012</v>
      </c>
      <c r="L176" s="85" t="str">
        <f>'Consumer Hardware Pricing'!Q184</f>
        <v>-</v>
      </c>
      <c r="M176" s="85" t="str">
        <f t="shared" si="360"/>
        <v>-</v>
      </c>
      <c r="N176" s="85" t="str">
        <f t="shared" si="644"/>
        <v>-</v>
      </c>
      <c r="O176" s="85" t="str">
        <f t="shared" si="645"/>
        <v>-</v>
      </c>
      <c r="P176" s="85" t="str">
        <f t="shared" si="646"/>
        <v>-</v>
      </c>
      <c r="Q176" s="85">
        <f>'Consumer Hardware Pricing'!S184</f>
        <v>0</v>
      </c>
      <c r="R176" s="85">
        <f t="shared" si="647"/>
        <v>25.630000000000003</v>
      </c>
      <c r="S176" s="85" t="str">
        <f>'Consumer Hardware Pricing'!T184</f>
        <v>-</v>
      </c>
      <c r="T176" s="129">
        <f t="shared" si="648"/>
        <v>25.630000000000003</v>
      </c>
      <c r="U176" s="129" t="str">
        <f t="shared" si="649"/>
        <v>-</v>
      </c>
      <c r="V176" s="85">
        <f t="shared" si="650"/>
        <v>615.12000000000012</v>
      </c>
      <c r="W176" s="129" t="str">
        <f>'Consumer Hardware Pricing'!V184</f>
        <v>-</v>
      </c>
      <c r="X176" s="129" t="str">
        <f t="shared" si="361"/>
        <v>-</v>
      </c>
      <c r="Y176" s="129" t="str">
        <f t="shared" si="651"/>
        <v>-</v>
      </c>
      <c r="Z176" s="129" t="str">
        <f t="shared" si="652"/>
        <v>-</v>
      </c>
      <c r="AA176" s="85" t="str">
        <f t="shared" si="653"/>
        <v>-</v>
      </c>
      <c r="AB176" s="85">
        <f>'Consumer Hardware Pricing'!X184</f>
        <v>0</v>
      </c>
      <c r="AC176" s="85">
        <f t="shared" si="326"/>
        <v>25.630000000000003</v>
      </c>
      <c r="AD176" s="85">
        <f>'Consumer Hardware Pricing'!Y184</f>
        <v>5.63</v>
      </c>
      <c r="AE176" s="85">
        <f t="shared" si="556"/>
        <v>20.000000000000004</v>
      </c>
      <c r="AF176" s="85">
        <f t="shared" si="557"/>
        <v>135.12</v>
      </c>
      <c r="AG176" s="85">
        <f t="shared" si="558"/>
        <v>480.00000000000011</v>
      </c>
      <c r="AH176" s="85" t="str">
        <f>'Consumer Hardware Pricing'!AA184</f>
        <v>-</v>
      </c>
      <c r="AI176" s="85" t="str">
        <f t="shared" si="327"/>
        <v>-</v>
      </c>
      <c r="AJ176" s="85" t="str">
        <f t="shared" si="559"/>
        <v>-</v>
      </c>
      <c r="AK176" s="85" t="str">
        <f t="shared" si="560"/>
        <v>-</v>
      </c>
      <c r="AL176" s="85" t="str">
        <f t="shared" si="561"/>
        <v>-</v>
      </c>
      <c r="AM176" s="85">
        <f>'Consumer Hardware Pricing'!AC184</f>
        <v>0</v>
      </c>
      <c r="AN176" s="85">
        <f t="shared" si="328"/>
        <v>25.630000000000003</v>
      </c>
      <c r="AO176" s="85">
        <f>'Consumer Hardware Pricing'!AD184</f>
        <v>5.63</v>
      </c>
      <c r="AP176" s="85">
        <f t="shared" si="562"/>
        <v>20.000000000000004</v>
      </c>
      <c r="AQ176" s="85">
        <f t="shared" si="563"/>
        <v>135.12</v>
      </c>
      <c r="AR176" s="85">
        <f t="shared" si="564"/>
        <v>480.00000000000011</v>
      </c>
      <c r="AS176" s="85" t="str">
        <f>'Consumer Hardware Pricing'!AF184</f>
        <v>-</v>
      </c>
      <c r="AT176" s="85" t="str">
        <f t="shared" si="329"/>
        <v>-</v>
      </c>
      <c r="AU176" s="85" t="str">
        <f t="shared" si="565"/>
        <v>-</v>
      </c>
      <c r="AV176" s="85" t="str">
        <f t="shared" si="566"/>
        <v>-</v>
      </c>
      <c r="AW176" s="85" t="str">
        <f t="shared" si="567"/>
        <v>-</v>
      </c>
      <c r="AX176" s="85" t="str">
        <f>'Consumer Hardware Pricing'!AH184</f>
        <v>-</v>
      </c>
      <c r="AY176" s="85" t="str">
        <f t="shared" si="330"/>
        <v>-</v>
      </c>
      <c r="AZ176" s="85" t="str">
        <f>'Consumer Hardware Pricing'!AI184</f>
        <v>-</v>
      </c>
      <c r="BA176" s="85" t="str">
        <f t="shared" si="654"/>
        <v>-</v>
      </c>
      <c r="BB176" s="85" t="str">
        <f t="shared" si="655"/>
        <v>-</v>
      </c>
      <c r="BC176" s="85" t="str">
        <f t="shared" si="656"/>
        <v>-</v>
      </c>
      <c r="BD176" s="85" t="str">
        <f>'Consumer Hardware Pricing'!AL184</f>
        <v>-</v>
      </c>
      <c r="BE176" s="85" t="str">
        <f t="shared" si="331"/>
        <v>-</v>
      </c>
      <c r="BF176" s="85" t="str">
        <f>'Consumer Hardware Pricing'!AM184</f>
        <v>-</v>
      </c>
      <c r="BG176" s="85" t="str">
        <f t="shared" si="657"/>
        <v>-</v>
      </c>
      <c r="BH176" s="85" t="str">
        <f t="shared" si="658"/>
        <v>-</v>
      </c>
      <c r="BI176" s="85" t="str">
        <f t="shared" si="659"/>
        <v>-</v>
      </c>
      <c r="BJ176" s="85" t="str">
        <f>'Consumer Hardware Pricing'!AP184</f>
        <v>-</v>
      </c>
      <c r="BK176" s="85" t="str">
        <f t="shared" si="332"/>
        <v>-</v>
      </c>
      <c r="BL176" s="85" t="str">
        <f>'Consumer Hardware Pricing'!AQ184</f>
        <v>-</v>
      </c>
      <c r="BM176" s="85" t="str">
        <f t="shared" si="660"/>
        <v>-</v>
      </c>
      <c r="BN176" s="85" t="str">
        <f t="shared" si="661"/>
        <v>-</v>
      </c>
      <c r="BO176" s="85" t="str">
        <f t="shared" si="662"/>
        <v>-</v>
      </c>
      <c r="BP176" s="85" t="str">
        <f>'Consumer Hardware Pricing'!AT184</f>
        <v>-</v>
      </c>
      <c r="BQ176" s="85" t="str">
        <f t="shared" si="333"/>
        <v>-</v>
      </c>
      <c r="BR176" s="85" t="str">
        <f>'Consumer Hardware Pricing'!AU184</f>
        <v>-</v>
      </c>
      <c r="BS176" s="85" t="str">
        <f t="shared" si="663"/>
        <v>-</v>
      </c>
      <c r="BT176" s="85" t="str">
        <f t="shared" si="664"/>
        <v>-</v>
      </c>
      <c r="BU176" s="85" t="str">
        <f t="shared" si="665"/>
        <v>-</v>
      </c>
    </row>
    <row r="177" spans="1:73" s="131" customFormat="1" ht="30.15" customHeight="1" x14ac:dyDescent="0.25">
      <c r="A177" s="87" t="s">
        <v>34</v>
      </c>
      <c r="B177" s="88" t="s">
        <v>887</v>
      </c>
      <c r="C177" s="88" t="s">
        <v>894</v>
      </c>
      <c r="D177" s="85">
        <f>'Consumer Hardware Pricing'!L185</f>
        <v>690</v>
      </c>
      <c r="E177" s="85">
        <f>'Consumer Hardware Pricing'!M185</f>
        <v>690</v>
      </c>
      <c r="F177" s="85">
        <f>'Consumer Hardware Pricing'!N185</f>
        <v>0</v>
      </c>
      <c r="G177" s="85">
        <f t="shared" si="359"/>
        <v>28.75</v>
      </c>
      <c r="H177" s="85" t="str">
        <f>'Consumer Hardware Pricing'!O185</f>
        <v>-</v>
      </c>
      <c r="I177" s="85">
        <f t="shared" si="641"/>
        <v>28.75</v>
      </c>
      <c r="J177" s="85" t="str">
        <f t="shared" si="642"/>
        <v>-</v>
      </c>
      <c r="K177" s="85">
        <f t="shared" si="643"/>
        <v>690</v>
      </c>
      <c r="L177" s="85" t="str">
        <f>'Consumer Hardware Pricing'!Q185</f>
        <v>-</v>
      </c>
      <c r="M177" s="85" t="str">
        <f t="shared" si="360"/>
        <v>-</v>
      </c>
      <c r="N177" s="85" t="str">
        <f t="shared" si="644"/>
        <v>-</v>
      </c>
      <c r="O177" s="85" t="str">
        <f t="shared" si="645"/>
        <v>-</v>
      </c>
      <c r="P177" s="85" t="str">
        <f t="shared" si="646"/>
        <v>-</v>
      </c>
      <c r="Q177" s="85">
        <f>'Consumer Hardware Pricing'!S185</f>
        <v>0</v>
      </c>
      <c r="R177" s="85">
        <f t="shared" si="647"/>
        <v>28.75</v>
      </c>
      <c r="S177" s="85" t="str">
        <f>'Consumer Hardware Pricing'!T185</f>
        <v>-</v>
      </c>
      <c r="T177" s="129">
        <f t="shared" si="648"/>
        <v>28.75</v>
      </c>
      <c r="U177" s="129" t="str">
        <f t="shared" si="649"/>
        <v>-</v>
      </c>
      <c r="V177" s="85">
        <f t="shared" si="650"/>
        <v>690</v>
      </c>
      <c r="W177" s="129" t="str">
        <f>'Consumer Hardware Pricing'!V185</f>
        <v>-</v>
      </c>
      <c r="X177" s="129" t="str">
        <f t="shared" si="361"/>
        <v>-</v>
      </c>
      <c r="Y177" s="129" t="str">
        <f t="shared" si="651"/>
        <v>-</v>
      </c>
      <c r="Z177" s="129" t="str">
        <f t="shared" si="652"/>
        <v>-</v>
      </c>
      <c r="AA177" s="85" t="str">
        <f t="shared" si="653"/>
        <v>-</v>
      </c>
      <c r="AB177" s="85">
        <f>'Consumer Hardware Pricing'!X185</f>
        <v>0</v>
      </c>
      <c r="AC177" s="85">
        <f t="shared" si="326"/>
        <v>28.75</v>
      </c>
      <c r="AD177" s="85">
        <f>'Consumer Hardware Pricing'!Y185</f>
        <v>5.63</v>
      </c>
      <c r="AE177" s="85">
        <f t="shared" si="556"/>
        <v>23.12</v>
      </c>
      <c r="AF177" s="85">
        <f t="shared" si="557"/>
        <v>135.12</v>
      </c>
      <c r="AG177" s="85">
        <f t="shared" si="558"/>
        <v>554.88</v>
      </c>
      <c r="AH177" s="85" t="str">
        <f>'Consumer Hardware Pricing'!AA185</f>
        <v>-</v>
      </c>
      <c r="AI177" s="85" t="str">
        <f t="shared" si="327"/>
        <v>-</v>
      </c>
      <c r="AJ177" s="85" t="str">
        <f t="shared" si="559"/>
        <v>-</v>
      </c>
      <c r="AK177" s="85" t="str">
        <f t="shared" si="560"/>
        <v>-</v>
      </c>
      <c r="AL177" s="85" t="str">
        <f t="shared" si="561"/>
        <v>-</v>
      </c>
      <c r="AM177" s="85">
        <f>'Consumer Hardware Pricing'!AC185</f>
        <v>0</v>
      </c>
      <c r="AN177" s="85">
        <f t="shared" si="328"/>
        <v>28.75</v>
      </c>
      <c r="AO177" s="85">
        <f>'Consumer Hardware Pricing'!AD185</f>
        <v>5.63</v>
      </c>
      <c r="AP177" s="85">
        <f t="shared" si="562"/>
        <v>23.12</v>
      </c>
      <c r="AQ177" s="85">
        <f t="shared" si="563"/>
        <v>135.12</v>
      </c>
      <c r="AR177" s="85">
        <f t="shared" si="564"/>
        <v>554.88</v>
      </c>
      <c r="AS177" s="85" t="str">
        <f>'Consumer Hardware Pricing'!AF185</f>
        <v>-</v>
      </c>
      <c r="AT177" s="85" t="str">
        <f t="shared" si="329"/>
        <v>-</v>
      </c>
      <c r="AU177" s="85" t="str">
        <f t="shared" si="565"/>
        <v>-</v>
      </c>
      <c r="AV177" s="85" t="str">
        <f t="shared" si="566"/>
        <v>-</v>
      </c>
      <c r="AW177" s="85" t="str">
        <f t="shared" si="567"/>
        <v>-</v>
      </c>
      <c r="AX177" s="85" t="str">
        <f>'Consumer Hardware Pricing'!AH185</f>
        <v>-</v>
      </c>
      <c r="AY177" s="85" t="str">
        <f t="shared" si="330"/>
        <v>-</v>
      </c>
      <c r="AZ177" s="85" t="str">
        <f>'Consumer Hardware Pricing'!AI185</f>
        <v>-</v>
      </c>
      <c r="BA177" s="85" t="str">
        <f t="shared" si="654"/>
        <v>-</v>
      </c>
      <c r="BB177" s="85" t="str">
        <f t="shared" si="655"/>
        <v>-</v>
      </c>
      <c r="BC177" s="85" t="str">
        <f t="shared" si="656"/>
        <v>-</v>
      </c>
      <c r="BD177" s="85" t="str">
        <f>'Consumer Hardware Pricing'!AL185</f>
        <v>-</v>
      </c>
      <c r="BE177" s="85" t="str">
        <f t="shared" si="331"/>
        <v>-</v>
      </c>
      <c r="BF177" s="85" t="str">
        <f>'Consumer Hardware Pricing'!AM185</f>
        <v>-</v>
      </c>
      <c r="BG177" s="85" t="str">
        <f t="shared" si="657"/>
        <v>-</v>
      </c>
      <c r="BH177" s="85" t="str">
        <f t="shared" si="658"/>
        <v>-</v>
      </c>
      <c r="BI177" s="85" t="str">
        <f t="shared" si="659"/>
        <v>-</v>
      </c>
      <c r="BJ177" s="85" t="str">
        <f>'Consumer Hardware Pricing'!AP185</f>
        <v>-</v>
      </c>
      <c r="BK177" s="85" t="str">
        <f t="shared" si="332"/>
        <v>-</v>
      </c>
      <c r="BL177" s="85" t="str">
        <f>'Consumer Hardware Pricing'!AQ185</f>
        <v>-</v>
      </c>
      <c r="BM177" s="85" t="str">
        <f t="shared" si="660"/>
        <v>-</v>
      </c>
      <c r="BN177" s="85" t="str">
        <f t="shared" si="661"/>
        <v>-</v>
      </c>
      <c r="BO177" s="85" t="str">
        <f t="shared" si="662"/>
        <v>-</v>
      </c>
      <c r="BP177" s="85" t="str">
        <f>'Consumer Hardware Pricing'!AT185</f>
        <v>-</v>
      </c>
      <c r="BQ177" s="85" t="str">
        <f t="shared" si="333"/>
        <v>-</v>
      </c>
      <c r="BR177" s="85" t="str">
        <f>'Consumer Hardware Pricing'!AU185</f>
        <v>-</v>
      </c>
      <c r="BS177" s="85" t="str">
        <f t="shared" si="663"/>
        <v>-</v>
      </c>
      <c r="BT177" s="85" t="str">
        <f t="shared" si="664"/>
        <v>-</v>
      </c>
      <c r="BU177" s="85" t="str">
        <f t="shared" si="665"/>
        <v>-</v>
      </c>
    </row>
    <row r="178" spans="1:73" s="131" customFormat="1" ht="30.15" customHeight="1" x14ac:dyDescent="0.25">
      <c r="A178" s="87" t="s">
        <v>34</v>
      </c>
      <c r="B178" s="88" t="s">
        <v>888</v>
      </c>
      <c r="C178" s="88" t="s">
        <v>894</v>
      </c>
      <c r="D178" s="85">
        <f>'Consumer Hardware Pricing'!L186</f>
        <v>690</v>
      </c>
      <c r="E178" s="85">
        <f>'Consumer Hardware Pricing'!M186</f>
        <v>690</v>
      </c>
      <c r="F178" s="85">
        <f>'Consumer Hardware Pricing'!N186</f>
        <v>0</v>
      </c>
      <c r="G178" s="85">
        <f t="shared" si="359"/>
        <v>28.75</v>
      </c>
      <c r="H178" s="85" t="str">
        <f>'Consumer Hardware Pricing'!O186</f>
        <v>-</v>
      </c>
      <c r="I178" s="85">
        <f t="shared" si="641"/>
        <v>28.75</v>
      </c>
      <c r="J178" s="85" t="str">
        <f t="shared" si="642"/>
        <v>-</v>
      </c>
      <c r="K178" s="85">
        <f t="shared" si="643"/>
        <v>690</v>
      </c>
      <c r="L178" s="85" t="str">
        <f>'Consumer Hardware Pricing'!Q186</f>
        <v>-</v>
      </c>
      <c r="M178" s="85" t="str">
        <f t="shared" si="360"/>
        <v>-</v>
      </c>
      <c r="N178" s="85" t="str">
        <f t="shared" si="644"/>
        <v>-</v>
      </c>
      <c r="O178" s="85" t="str">
        <f t="shared" si="645"/>
        <v>-</v>
      </c>
      <c r="P178" s="85" t="str">
        <f t="shared" si="646"/>
        <v>-</v>
      </c>
      <c r="Q178" s="85">
        <f>'Consumer Hardware Pricing'!S186</f>
        <v>0</v>
      </c>
      <c r="R178" s="85">
        <f t="shared" si="647"/>
        <v>28.75</v>
      </c>
      <c r="S178" s="85" t="str">
        <f>'Consumer Hardware Pricing'!T186</f>
        <v>-</v>
      </c>
      <c r="T178" s="129">
        <f t="shared" si="648"/>
        <v>28.75</v>
      </c>
      <c r="U178" s="129" t="str">
        <f t="shared" si="649"/>
        <v>-</v>
      </c>
      <c r="V178" s="85">
        <f t="shared" si="650"/>
        <v>690</v>
      </c>
      <c r="W178" s="129" t="str">
        <f>'Consumer Hardware Pricing'!V186</f>
        <v>-</v>
      </c>
      <c r="X178" s="129" t="str">
        <f t="shared" si="361"/>
        <v>-</v>
      </c>
      <c r="Y178" s="129" t="str">
        <f t="shared" si="651"/>
        <v>-</v>
      </c>
      <c r="Z178" s="129" t="str">
        <f t="shared" si="652"/>
        <v>-</v>
      </c>
      <c r="AA178" s="85" t="str">
        <f t="shared" si="653"/>
        <v>-</v>
      </c>
      <c r="AB178" s="85">
        <f>'Consumer Hardware Pricing'!X186</f>
        <v>0</v>
      </c>
      <c r="AC178" s="85">
        <f t="shared" si="326"/>
        <v>28.75</v>
      </c>
      <c r="AD178" s="85">
        <f>'Consumer Hardware Pricing'!Y186</f>
        <v>5.63</v>
      </c>
      <c r="AE178" s="85">
        <f t="shared" si="556"/>
        <v>23.12</v>
      </c>
      <c r="AF178" s="85">
        <f t="shared" si="557"/>
        <v>135.12</v>
      </c>
      <c r="AG178" s="85">
        <f t="shared" si="558"/>
        <v>554.88</v>
      </c>
      <c r="AH178" s="85" t="str">
        <f>'Consumer Hardware Pricing'!AA186</f>
        <v>-</v>
      </c>
      <c r="AI178" s="85" t="str">
        <f t="shared" si="327"/>
        <v>-</v>
      </c>
      <c r="AJ178" s="85" t="str">
        <f t="shared" si="559"/>
        <v>-</v>
      </c>
      <c r="AK178" s="85" t="str">
        <f t="shared" si="560"/>
        <v>-</v>
      </c>
      <c r="AL178" s="85" t="str">
        <f t="shared" si="561"/>
        <v>-</v>
      </c>
      <c r="AM178" s="85">
        <f>'Consumer Hardware Pricing'!AC186</f>
        <v>0</v>
      </c>
      <c r="AN178" s="85">
        <f t="shared" si="328"/>
        <v>28.75</v>
      </c>
      <c r="AO178" s="85">
        <f>'Consumer Hardware Pricing'!AD186</f>
        <v>5.63</v>
      </c>
      <c r="AP178" s="85">
        <f t="shared" si="562"/>
        <v>23.12</v>
      </c>
      <c r="AQ178" s="85">
        <f t="shared" si="563"/>
        <v>135.12</v>
      </c>
      <c r="AR178" s="85">
        <f t="shared" si="564"/>
        <v>554.88</v>
      </c>
      <c r="AS178" s="85" t="str">
        <f>'Consumer Hardware Pricing'!AF186</f>
        <v>-</v>
      </c>
      <c r="AT178" s="85" t="str">
        <f t="shared" si="329"/>
        <v>-</v>
      </c>
      <c r="AU178" s="85" t="str">
        <f t="shared" si="565"/>
        <v>-</v>
      </c>
      <c r="AV178" s="85" t="str">
        <f t="shared" si="566"/>
        <v>-</v>
      </c>
      <c r="AW178" s="85" t="str">
        <f t="shared" si="567"/>
        <v>-</v>
      </c>
      <c r="AX178" s="85" t="str">
        <f>'Consumer Hardware Pricing'!AH186</f>
        <v>-</v>
      </c>
      <c r="AY178" s="85" t="str">
        <f t="shared" si="330"/>
        <v>-</v>
      </c>
      <c r="AZ178" s="85" t="str">
        <f>'Consumer Hardware Pricing'!AI186</f>
        <v>-</v>
      </c>
      <c r="BA178" s="85" t="str">
        <f t="shared" si="654"/>
        <v>-</v>
      </c>
      <c r="BB178" s="85" t="str">
        <f t="shared" si="655"/>
        <v>-</v>
      </c>
      <c r="BC178" s="85" t="str">
        <f t="shared" si="656"/>
        <v>-</v>
      </c>
      <c r="BD178" s="85" t="str">
        <f>'Consumer Hardware Pricing'!AL186</f>
        <v>-</v>
      </c>
      <c r="BE178" s="85" t="str">
        <f t="shared" si="331"/>
        <v>-</v>
      </c>
      <c r="BF178" s="85" t="str">
        <f>'Consumer Hardware Pricing'!AM186</f>
        <v>-</v>
      </c>
      <c r="BG178" s="85" t="str">
        <f t="shared" si="657"/>
        <v>-</v>
      </c>
      <c r="BH178" s="85" t="str">
        <f t="shared" si="658"/>
        <v>-</v>
      </c>
      <c r="BI178" s="85" t="str">
        <f t="shared" si="659"/>
        <v>-</v>
      </c>
      <c r="BJ178" s="85" t="str">
        <f>'Consumer Hardware Pricing'!AP186</f>
        <v>-</v>
      </c>
      <c r="BK178" s="85" t="str">
        <f t="shared" si="332"/>
        <v>-</v>
      </c>
      <c r="BL178" s="85" t="str">
        <f>'Consumer Hardware Pricing'!AQ186</f>
        <v>-</v>
      </c>
      <c r="BM178" s="85" t="str">
        <f t="shared" si="660"/>
        <v>-</v>
      </c>
      <c r="BN178" s="85" t="str">
        <f t="shared" si="661"/>
        <v>-</v>
      </c>
      <c r="BO178" s="85" t="str">
        <f t="shared" si="662"/>
        <v>-</v>
      </c>
      <c r="BP178" s="85" t="str">
        <f>'Consumer Hardware Pricing'!AT186</f>
        <v>-</v>
      </c>
      <c r="BQ178" s="85" t="str">
        <f t="shared" si="333"/>
        <v>-</v>
      </c>
      <c r="BR178" s="85" t="str">
        <f>'Consumer Hardware Pricing'!AU186</f>
        <v>-</v>
      </c>
      <c r="BS178" s="85" t="str">
        <f t="shared" si="663"/>
        <v>-</v>
      </c>
      <c r="BT178" s="85" t="str">
        <f t="shared" si="664"/>
        <v>-</v>
      </c>
      <c r="BU178" s="85" t="str">
        <f t="shared" si="665"/>
        <v>-</v>
      </c>
    </row>
    <row r="179" spans="1:73" s="131" customFormat="1" ht="30.15" customHeight="1" x14ac:dyDescent="0.25">
      <c r="A179" s="87" t="s">
        <v>34</v>
      </c>
      <c r="B179" s="88" t="s">
        <v>889</v>
      </c>
      <c r="C179" s="88" t="s">
        <v>894</v>
      </c>
      <c r="D179" s="85">
        <f>'Consumer Hardware Pricing'!L187</f>
        <v>690</v>
      </c>
      <c r="E179" s="85">
        <f>'Consumer Hardware Pricing'!M187</f>
        <v>690</v>
      </c>
      <c r="F179" s="85">
        <f>'Consumer Hardware Pricing'!N187</f>
        <v>0</v>
      </c>
      <c r="G179" s="85">
        <f t="shared" si="359"/>
        <v>28.75</v>
      </c>
      <c r="H179" s="85" t="str">
        <f>'Consumer Hardware Pricing'!O187</f>
        <v>-</v>
      </c>
      <c r="I179" s="85">
        <f t="shared" si="641"/>
        <v>28.75</v>
      </c>
      <c r="J179" s="85" t="str">
        <f t="shared" si="642"/>
        <v>-</v>
      </c>
      <c r="K179" s="85">
        <f t="shared" si="643"/>
        <v>690</v>
      </c>
      <c r="L179" s="85" t="str">
        <f>'Consumer Hardware Pricing'!Q187</f>
        <v>-</v>
      </c>
      <c r="M179" s="85" t="str">
        <f t="shared" si="360"/>
        <v>-</v>
      </c>
      <c r="N179" s="85" t="str">
        <f t="shared" si="644"/>
        <v>-</v>
      </c>
      <c r="O179" s="85" t="str">
        <f t="shared" si="645"/>
        <v>-</v>
      </c>
      <c r="P179" s="85" t="str">
        <f t="shared" si="646"/>
        <v>-</v>
      </c>
      <c r="Q179" s="85">
        <f>'Consumer Hardware Pricing'!S187</f>
        <v>0</v>
      </c>
      <c r="R179" s="85">
        <f t="shared" si="647"/>
        <v>28.75</v>
      </c>
      <c r="S179" s="85" t="str">
        <f>'Consumer Hardware Pricing'!T187</f>
        <v>-</v>
      </c>
      <c r="T179" s="129">
        <f t="shared" si="648"/>
        <v>28.75</v>
      </c>
      <c r="U179" s="129" t="str">
        <f t="shared" si="649"/>
        <v>-</v>
      </c>
      <c r="V179" s="85">
        <f t="shared" si="650"/>
        <v>690</v>
      </c>
      <c r="W179" s="129" t="str">
        <f>'Consumer Hardware Pricing'!V187</f>
        <v>-</v>
      </c>
      <c r="X179" s="129" t="str">
        <f t="shared" si="361"/>
        <v>-</v>
      </c>
      <c r="Y179" s="129" t="str">
        <f t="shared" si="651"/>
        <v>-</v>
      </c>
      <c r="Z179" s="129" t="str">
        <f t="shared" si="652"/>
        <v>-</v>
      </c>
      <c r="AA179" s="85" t="str">
        <f t="shared" si="653"/>
        <v>-</v>
      </c>
      <c r="AB179" s="85">
        <f>'Consumer Hardware Pricing'!X187</f>
        <v>0</v>
      </c>
      <c r="AC179" s="85">
        <f t="shared" si="326"/>
        <v>28.75</v>
      </c>
      <c r="AD179" s="85">
        <f>'Consumer Hardware Pricing'!Y187</f>
        <v>5.63</v>
      </c>
      <c r="AE179" s="85">
        <f t="shared" si="556"/>
        <v>23.12</v>
      </c>
      <c r="AF179" s="85">
        <f t="shared" si="557"/>
        <v>135.12</v>
      </c>
      <c r="AG179" s="85">
        <f t="shared" si="558"/>
        <v>554.88</v>
      </c>
      <c r="AH179" s="85" t="str">
        <f>'Consumer Hardware Pricing'!AA187</f>
        <v>-</v>
      </c>
      <c r="AI179" s="85" t="str">
        <f t="shared" si="327"/>
        <v>-</v>
      </c>
      <c r="AJ179" s="85" t="str">
        <f t="shared" si="559"/>
        <v>-</v>
      </c>
      <c r="AK179" s="85" t="str">
        <f t="shared" si="560"/>
        <v>-</v>
      </c>
      <c r="AL179" s="85" t="str">
        <f t="shared" si="561"/>
        <v>-</v>
      </c>
      <c r="AM179" s="85">
        <f>'Consumer Hardware Pricing'!AC187</f>
        <v>0</v>
      </c>
      <c r="AN179" s="85">
        <f t="shared" si="328"/>
        <v>28.75</v>
      </c>
      <c r="AO179" s="85">
        <f>'Consumer Hardware Pricing'!AD187</f>
        <v>5.63</v>
      </c>
      <c r="AP179" s="85">
        <f t="shared" si="562"/>
        <v>23.12</v>
      </c>
      <c r="AQ179" s="85">
        <f t="shared" si="563"/>
        <v>135.12</v>
      </c>
      <c r="AR179" s="85">
        <f t="shared" si="564"/>
        <v>554.88</v>
      </c>
      <c r="AS179" s="85" t="str">
        <f>'Consumer Hardware Pricing'!AF187</f>
        <v>-</v>
      </c>
      <c r="AT179" s="85" t="str">
        <f t="shared" si="329"/>
        <v>-</v>
      </c>
      <c r="AU179" s="85" t="str">
        <f t="shared" si="565"/>
        <v>-</v>
      </c>
      <c r="AV179" s="85" t="str">
        <f t="shared" si="566"/>
        <v>-</v>
      </c>
      <c r="AW179" s="85" t="str">
        <f t="shared" si="567"/>
        <v>-</v>
      </c>
      <c r="AX179" s="85" t="str">
        <f>'Consumer Hardware Pricing'!AH187</f>
        <v>-</v>
      </c>
      <c r="AY179" s="85" t="str">
        <f t="shared" si="330"/>
        <v>-</v>
      </c>
      <c r="AZ179" s="85" t="str">
        <f>'Consumer Hardware Pricing'!AI187</f>
        <v>-</v>
      </c>
      <c r="BA179" s="85" t="str">
        <f t="shared" si="654"/>
        <v>-</v>
      </c>
      <c r="BB179" s="85" t="str">
        <f t="shared" si="655"/>
        <v>-</v>
      </c>
      <c r="BC179" s="85" t="str">
        <f t="shared" si="656"/>
        <v>-</v>
      </c>
      <c r="BD179" s="85" t="str">
        <f>'Consumer Hardware Pricing'!AL187</f>
        <v>-</v>
      </c>
      <c r="BE179" s="85" t="str">
        <f t="shared" si="331"/>
        <v>-</v>
      </c>
      <c r="BF179" s="85" t="str">
        <f>'Consumer Hardware Pricing'!AM187</f>
        <v>-</v>
      </c>
      <c r="BG179" s="85" t="str">
        <f t="shared" si="657"/>
        <v>-</v>
      </c>
      <c r="BH179" s="85" t="str">
        <f t="shared" si="658"/>
        <v>-</v>
      </c>
      <c r="BI179" s="85" t="str">
        <f t="shared" si="659"/>
        <v>-</v>
      </c>
      <c r="BJ179" s="85" t="str">
        <f>'Consumer Hardware Pricing'!AP187</f>
        <v>-</v>
      </c>
      <c r="BK179" s="85" t="str">
        <f t="shared" si="332"/>
        <v>-</v>
      </c>
      <c r="BL179" s="85" t="str">
        <f>'Consumer Hardware Pricing'!AQ187</f>
        <v>-</v>
      </c>
      <c r="BM179" s="85" t="str">
        <f t="shared" si="660"/>
        <v>-</v>
      </c>
      <c r="BN179" s="85" t="str">
        <f t="shared" si="661"/>
        <v>-</v>
      </c>
      <c r="BO179" s="85" t="str">
        <f t="shared" si="662"/>
        <v>-</v>
      </c>
      <c r="BP179" s="85" t="str">
        <f>'Consumer Hardware Pricing'!AT187</f>
        <v>-</v>
      </c>
      <c r="BQ179" s="85" t="str">
        <f t="shared" si="333"/>
        <v>-</v>
      </c>
      <c r="BR179" s="85" t="str">
        <f>'Consumer Hardware Pricing'!AU187</f>
        <v>-</v>
      </c>
      <c r="BS179" s="85" t="str">
        <f t="shared" si="663"/>
        <v>-</v>
      </c>
      <c r="BT179" s="85" t="str">
        <f t="shared" si="664"/>
        <v>-</v>
      </c>
      <c r="BU179" s="85" t="str">
        <f t="shared" si="665"/>
        <v>-</v>
      </c>
    </row>
    <row r="180" spans="1:73" s="131" customFormat="1" ht="30.15" customHeight="1" x14ac:dyDescent="0.25">
      <c r="A180" s="87" t="s">
        <v>34</v>
      </c>
      <c r="B180" s="88" t="s">
        <v>890</v>
      </c>
      <c r="C180" s="88" t="s">
        <v>895</v>
      </c>
      <c r="D180" s="85">
        <f>'Consumer Hardware Pricing'!L188</f>
        <v>830</v>
      </c>
      <c r="E180" s="85">
        <f>'Consumer Hardware Pricing'!M188</f>
        <v>830</v>
      </c>
      <c r="F180" s="85">
        <f>'Consumer Hardware Pricing'!N188</f>
        <v>0</v>
      </c>
      <c r="G180" s="85">
        <f t="shared" si="359"/>
        <v>34.589999999999996</v>
      </c>
      <c r="H180" s="85" t="str">
        <f>'Consumer Hardware Pricing'!O188</f>
        <v>-</v>
      </c>
      <c r="I180" s="85">
        <f t="shared" si="641"/>
        <v>34.589999999999996</v>
      </c>
      <c r="J180" s="85" t="str">
        <f t="shared" si="642"/>
        <v>-</v>
      </c>
      <c r="K180" s="85">
        <f t="shared" si="643"/>
        <v>830.15999999999985</v>
      </c>
      <c r="L180" s="85" t="str">
        <f>'Consumer Hardware Pricing'!Q188</f>
        <v>-</v>
      </c>
      <c r="M180" s="85" t="str">
        <f t="shared" si="360"/>
        <v>-</v>
      </c>
      <c r="N180" s="85" t="str">
        <f t="shared" si="644"/>
        <v>-</v>
      </c>
      <c r="O180" s="85" t="str">
        <f t="shared" si="645"/>
        <v>-</v>
      </c>
      <c r="P180" s="85" t="str">
        <f t="shared" si="646"/>
        <v>-</v>
      </c>
      <c r="Q180" s="85">
        <f>'Consumer Hardware Pricing'!S188</f>
        <v>0</v>
      </c>
      <c r="R180" s="85">
        <f t="shared" si="647"/>
        <v>34.589999999999996</v>
      </c>
      <c r="S180" s="85" t="str">
        <f>'Consumer Hardware Pricing'!T188</f>
        <v>-</v>
      </c>
      <c r="T180" s="129">
        <f t="shared" si="648"/>
        <v>34.589999999999996</v>
      </c>
      <c r="U180" s="129" t="str">
        <f t="shared" si="649"/>
        <v>-</v>
      </c>
      <c r="V180" s="85">
        <f t="shared" si="650"/>
        <v>830.15999999999985</v>
      </c>
      <c r="W180" s="129" t="str">
        <f>'Consumer Hardware Pricing'!V188</f>
        <v>-</v>
      </c>
      <c r="X180" s="129" t="str">
        <f t="shared" si="361"/>
        <v>-</v>
      </c>
      <c r="Y180" s="129" t="str">
        <f t="shared" si="651"/>
        <v>-</v>
      </c>
      <c r="Z180" s="129" t="str">
        <f t="shared" si="652"/>
        <v>-</v>
      </c>
      <c r="AA180" s="85" t="str">
        <f t="shared" si="653"/>
        <v>-</v>
      </c>
      <c r="AB180" s="85">
        <f>'Consumer Hardware Pricing'!X188</f>
        <v>0</v>
      </c>
      <c r="AC180" s="85">
        <f t="shared" si="326"/>
        <v>34.589999999999996</v>
      </c>
      <c r="AD180" s="85">
        <f>'Consumer Hardware Pricing'!Y188</f>
        <v>5.63</v>
      </c>
      <c r="AE180" s="85">
        <f t="shared" si="556"/>
        <v>28.959999999999997</v>
      </c>
      <c r="AF180" s="85">
        <f t="shared" si="557"/>
        <v>135.12</v>
      </c>
      <c r="AG180" s="85">
        <f t="shared" si="558"/>
        <v>695.04</v>
      </c>
      <c r="AH180" s="85" t="str">
        <f>'Consumer Hardware Pricing'!AA188</f>
        <v>-</v>
      </c>
      <c r="AI180" s="85" t="str">
        <f t="shared" si="327"/>
        <v>-</v>
      </c>
      <c r="AJ180" s="85" t="str">
        <f t="shared" si="559"/>
        <v>-</v>
      </c>
      <c r="AK180" s="85" t="str">
        <f t="shared" si="560"/>
        <v>-</v>
      </c>
      <c r="AL180" s="85" t="str">
        <f t="shared" si="561"/>
        <v>-</v>
      </c>
      <c r="AM180" s="85">
        <f>'Consumer Hardware Pricing'!AC188</f>
        <v>0</v>
      </c>
      <c r="AN180" s="85">
        <f t="shared" si="328"/>
        <v>34.589999999999996</v>
      </c>
      <c r="AO180" s="85">
        <f>'Consumer Hardware Pricing'!AD188</f>
        <v>5.63</v>
      </c>
      <c r="AP180" s="85">
        <f t="shared" si="562"/>
        <v>28.959999999999997</v>
      </c>
      <c r="AQ180" s="85">
        <f t="shared" si="563"/>
        <v>135.12</v>
      </c>
      <c r="AR180" s="85">
        <f t="shared" si="564"/>
        <v>695.04</v>
      </c>
      <c r="AS180" s="85" t="str">
        <f>'Consumer Hardware Pricing'!AF188</f>
        <v>-</v>
      </c>
      <c r="AT180" s="85" t="str">
        <f t="shared" si="329"/>
        <v>-</v>
      </c>
      <c r="AU180" s="85" t="str">
        <f t="shared" si="565"/>
        <v>-</v>
      </c>
      <c r="AV180" s="85" t="str">
        <f t="shared" si="566"/>
        <v>-</v>
      </c>
      <c r="AW180" s="85" t="str">
        <f t="shared" si="567"/>
        <v>-</v>
      </c>
      <c r="AX180" s="85" t="str">
        <f>'Consumer Hardware Pricing'!AH188</f>
        <v>-</v>
      </c>
      <c r="AY180" s="85" t="str">
        <f t="shared" si="330"/>
        <v>-</v>
      </c>
      <c r="AZ180" s="85" t="str">
        <f>'Consumer Hardware Pricing'!AI188</f>
        <v>-</v>
      </c>
      <c r="BA180" s="85" t="str">
        <f t="shared" si="654"/>
        <v>-</v>
      </c>
      <c r="BB180" s="85" t="str">
        <f t="shared" si="655"/>
        <v>-</v>
      </c>
      <c r="BC180" s="85" t="str">
        <f t="shared" si="656"/>
        <v>-</v>
      </c>
      <c r="BD180" s="85" t="str">
        <f>'Consumer Hardware Pricing'!AL188</f>
        <v>-</v>
      </c>
      <c r="BE180" s="85" t="str">
        <f t="shared" si="331"/>
        <v>-</v>
      </c>
      <c r="BF180" s="85" t="str">
        <f>'Consumer Hardware Pricing'!AM188</f>
        <v>-</v>
      </c>
      <c r="BG180" s="85" t="str">
        <f t="shared" si="657"/>
        <v>-</v>
      </c>
      <c r="BH180" s="85" t="str">
        <f t="shared" si="658"/>
        <v>-</v>
      </c>
      <c r="BI180" s="85" t="str">
        <f t="shared" si="659"/>
        <v>-</v>
      </c>
      <c r="BJ180" s="85" t="str">
        <f>'Consumer Hardware Pricing'!AP188</f>
        <v>-</v>
      </c>
      <c r="BK180" s="85" t="str">
        <f t="shared" si="332"/>
        <v>-</v>
      </c>
      <c r="BL180" s="85" t="str">
        <f>'Consumer Hardware Pricing'!AQ188</f>
        <v>-</v>
      </c>
      <c r="BM180" s="85" t="str">
        <f t="shared" si="660"/>
        <v>-</v>
      </c>
      <c r="BN180" s="85" t="str">
        <f t="shared" si="661"/>
        <v>-</v>
      </c>
      <c r="BO180" s="85" t="str">
        <f t="shared" si="662"/>
        <v>-</v>
      </c>
      <c r="BP180" s="85" t="str">
        <f>'Consumer Hardware Pricing'!AT188</f>
        <v>-</v>
      </c>
      <c r="BQ180" s="85" t="str">
        <f t="shared" si="333"/>
        <v>-</v>
      </c>
      <c r="BR180" s="85" t="str">
        <f>'Consumer Hardware Pricing'!AU188</f>
        <v>-</v>
      </c>
      <c r="BS180" s="85" t="str">
        <f t="shared" si="663"/>
        <v>-</v>
      </c>
      <c r="BT180" s="85" t="str">
        <f t="shared" si="664"/>
        <v>-</v>
      </c>
      <c r="BU180" s="85" t="str">
        <f t="shared" si="665"/>
        <v>-</v>
      </c>
    </row>
    <row r="181" spans="1:73" s="131" customFormat="1" ht="30.15" customHeight="1" x14ac:dyDescent="0.25">
      <c r="A181" s="87" t="s">
        <v>34</v>
      </c>
      <c r="B181" s="88" t="s">
        <v>891</v>
      </c>
      <c r="C181" s="88" t="s">
        <v>895</v>
      </c>
      <c r="D181" s="85">
        <f>'Consumer Hardware Pricing'!L189</f>
        <v>830</v>
      </c>
      <c r="E181" s="85">
        <f>'Consumer Hardware Pricing'!M189</f>
        <v>830</v>
      </c>
      <c r="F181" s="85">
        <f>'Consumer Hardware Pricing'!N189</f>
        <v>0</v>
      </c>
      <c r="G181" s="85">
        <f t="shared" si="359"/>
        <v>34.589999999999996</v>
      </c>
      <c r="H181" s="85" t="str">
        <f>'Consumer Hardware Pricing'!O189</f>
        <v>-</v>
      </c>
      <c r="I181" s="85">
        <f t="shared" si="641"/>
        <v>34.589999999999996</v>
      </c>
      <c r="J181" s="85" t="str">
        <f t="shared" si="642"/>
        <v>-</v>
      </c>
      <c r="K181" s="85">
        <f t="shared" si="643"/>
        <v>830.15999999999985</v>
      </c>
      <c r="L181" s="85" t="str">
        <f>'Consumer Hardware Pricing'!Q189</f>
        <v>-</v>
      </c>
      <c r="M181" s="85" t="str">
        <f t="shared" si="360"/>
        <v>-</v>
      </c>
      <c r="N181" s="85" t="str">
        <f t="shared" si="644"/>
        <v>-</v>
      </c>
      <c r="O181" s="85" t="str">
        <f t="shared" si="645"/>
        <v>-</v>
      </c>
      <c r="P181" s="85" t="str">
        <f t="shared" si="646"/>
        <v>-</v>
      </c>
      <c r="Q181" s="85">
        <f>'Consumer Hardware Pricing'!S189</f>
        <v>0</v>
      </c>
      <c r="R181" s="85">
        <f t="shared" si="647"/>
        <v>34.589999999999996</v>
      </c>
      <c r="S181" s="85" t="str">
        <f>'Consumer Hardware Pricing'!T189</f>
        <v>-</v>
      </c>
      <c r="T181" s="129">
        <f t="shared" si="648"/>
        <v>34.589999999999996</v>
      </c>
      <c r="U181" s="129" t="str">
        <f t="shared" si="649"/>
        <v>-</v>
      </c>
      <c r="V181" s="85">
        <f t="shared" si="650"/>
        <v>830.15999999999985</v>
      </c>
      <c r="W181" s="129" t="str">
        <f>'Consumer Hardware Pricing'!V189</f>
        <v>-</v>
      </c>
      <c r="X181" s="129" t="str">
        <f t="shared" si="361"/>
        <v>-</v>
      </c>
      <c r="Y181" s="129" t="str">
        <f t="shared" si="651"/>
        <v>-</v>
      </c>
      <c r="Z181" s="129" t="str">
        <f t="shared" si="652"/>
        <v>-</v>
      </c>
      <c r="AA181" s="85" t="str">
        <f t="shared" si="653"/>
        <v>-</v>
      </c>
      <c r="AB181" s="85">
        <f>'Consumer Hardware Pricing'!X189</f>
        <v>0</v>
      </c>
      <c r="AC181" s="85">
        <f t="shared" si="326"/>
        <v>34.589999999999996</v>
      </c>
      <c r="AD181" s="85">
        <f>'Consumer Hardware Pricing'!Y189</f>
        <v>5.63</v>
      </c>
      <c r="AE181" s="85">
        <f t="shared" si="556"/>
        <v>28.959999999999997</v>
      </c>
      <c r="AF181" s="85">
        <f t="shared" si="557"/>
        <v>135.12</v>
      </c>
      <c r="AG181" s="85">
        <f t="shared" si="558"/>
        <v>695.04</v>
      </c>
      <c r="AH181" s="85" t="str">
        <f>'Consumer Hardware Pricing'!AA189</f>
        <v>-</v>
      </c>
      <c r="AI181" s="85" t="str">
        <f t="shared" si="327"/>
        <v>-</v>
      </c>
      <c r="AJ181" s="85" t="str">
        <f t="shared" si="559"/>
        <v>-</v>
      </c>
      <c r="AK181" s="85" t="str">
        <f t="shared" si="560"/>
        <v>-</v>
      </c>
      <c r="AL181" s="85" t="str">
        <f t="shared" si="561"/>
        <v>-</v>
      </c>
      <c r="AM181" s="85">
        <f>'Consumer Hardware Pricing'!AC189</f>
        <v>0</v>
      </c>
      <c r="AN181" s="85">
        <f t="shared" si="328"/>
        <v>34.589999999999996</v>
      </c>
      <c r="AO181" s="85">
        <f>'Consumer Hardware Pricing'!AD189</f>
        <v>5.63</v>
      </c>
      <c r="AP181" s="85">
        <f t="shared" si="562"/>
        <v>28.959999999999997</v>
      </c>
      <c r="AQ181" s="85">
        <f t="shared" si="563"/>
        <v>135.12</v>
      </c>
      <c r="AR181" s="85">
        <f t="shared" si="564"/>
        <v>695.04</v>
      </c>
      <c r="AS181" s="85" t="str">
        <f>'Consumer Hardware Pricing'!AF189</f>
        <v>-</v>
      </c>
      <c r="AT181" s="85" t="str">
        <f t="shared" si="329"/>
        <v>-</v>
      </c>
      <c r="AU181" s="85" t="str">
        <f t="shared" si="565"/>
        <v>-</v>
      </c>
      <c r="AV181" s="85" t="str">
        <f t="shared" si="566"/>
        <v>-</v>
      </c>
      <c r="AW181" s="85" t="str">
        <f t="shared" si="567"/>
        <v>-</v>
      </c>
      <c r="AX181" s="85" t="str">
        <f>'Consumer Hardware Pricing'!AH189</f>
        <v>-</v>
      </c>
      <c r="AY181" s="85" t="str">
        <f t="shared" si="330"/>
        <v>-</v>
      </c>
      <c r="AZ181" s="85" t="str">
        <f>'Consumer Hardware Pricing'!AI189</f>
        <v>-</v>
      </c>
      <c r="BA181" s="85" t="str">
        <f t="shared" si="654"/>
        <v>-</v>
      </c>
      <c r="BB181" s="85" t="str">
        <f t="shared" si="655"/>
        <v>-</v>
      </c>
      <c r="BC181" s="85" t="str">
        <f t="shared" si="656"/>
        <v>-</v>
      </c>
      <c r="BD181" s="85" t="str">
        <f>'Consumer Hardware Pricing'!AL189</f>
        <v>-</v>
      </c>
      <c r="BE181" s="85" t="str">
        <f t="shared" si="331"/>
        <v>-</v>
      </c>
      <c r="BF181" s="85" t="str">
        <f>'Consumer Hardware Pricing'!AM189</f>
        <v>-</v>
      </c>
      <c r="BG181" s="85" t="str">
        <f t="shared" si="657"/>
        <v>-</v>
      </c>
      <c r="BH181" s="85" t="str">
        <f t="shared" si="658"/>
        <v>-</v>
      </c>
      <c r="BI181" s="85" t="str">
        <f t="shared" si="659"/>
        <v>-</v>
      </c>
      <c r="BJ181" s="85" t="str">
        <f>'Consumer Hardware Pricing'!AP189</f>
        <v>-</v>
      </c>
      <c r="BK181" s="85" t="str">
        <f t="shared" si="332"/>
        <v>-</v>
      </c>
      <c r="BL181" s="85" t="str">
        <f>'Consumer Hardware Pricing'!AQ189</f>
        <v>-</v>
      </c>
      <c r="BM181" s="85" t="str">
        <f t="shared" si="660"/>
        <v>-</v>
      </c>
      <c r="BN181" s="85" t="str">
        <f t="shared" si="661"/>
        <v>-</v>
      </c>
      <c r="BO181" s="85" t="str">
        <f t="shared" si="662"/>
        <v>-</v>
      </c>
      <c r="BP181" s="85" t="str">
        <f>'Consumer Hardware Pricing'!AT189</f>
        <v>-</v>
      </c>
      <c r="BQ181" s="85" t="str">
        <f t="shared" si="333"/>
        <v>-</v>
      </c>
      <c r="BR181" s="85" t="str">
        <f>'Consumer Hardware Pricing'!AU189</f>
        <v>-</v>
      </c>
      <c r="BS181" s="85" t="str">
        <f t="shared" si="663"/>
        <v>-</v>
      </c>
      <c r="BT181" s="85" t="str">
        <f t="shared" si="664"/>
        <v>-</v>
      </c>
      <c r="BU181" s="85" t="str">
        <f t="shared" si="665"/>
        <v>-</v>
      </c>
    </row>
    <row r="182" spans="1:73" s="131" customFormat="1" ht="30.15" customHeight="1" x14ac:dyDescent="0.25">
      <c r="A182" s="87" t="s">
        <v>34</v>
      </c>
      <c r="B182" s="88" t="s">
        <v>892</v>
      </c>
      <c r="C182" s="88" t="s">
        <v>895</v>
      </c>
      <c r="D182" s="85">
        <f>'Consumer Hardware Pricing'!L190</f>
        <v>830</v>
      </c>
      <c r="E182" s="85">
        <f>'Consumer Hardware Pricing'!M190</f>
        <v>830</v>
      </c>
      <c r="F182" s="85">
        <f>'Consumer Hardware Pricing'!N190</f>
        <v>0</v>
      </c>
      <c r="G182" s="85">
        <f t="shared" si="359"/>
        <v>34.589999999999996</v>
      </c>
      <c r="H182" s="85" t="str">
        <f>'Consumer Hardware Pricing'!O190</f>
        <v>-</v>
      </c>
      <c r="I182" s="85">
        <f t="shared" si="641"/>
        <v>34.589999999999996</v>
      </c>
      <c r="J182" s="85" t="str">
        <f t="shared" si="642"/>
        <v>-</v>
      </c>
      <c r="K182" s="85">
        <f t="shared" si="643"/>
        <v>830.15999999999985</v>
      </c>
      <c r="L182" s="85" t="str">
        <f>'Consumer Hardware Pricing'!Q190</f>
        <v>-</v>
      </c>
      <c r="M182" s="85" t="str">
        <f t="shared" si="360"/>
        <v>-</v>
      </c>
      <c r="N182" s="85" t="str">
        <f t="shared" si="644"/>
        <v>-</v>
      </c>
      <c r="O182" s="85" t="str">
        <f t="shared" si="645"/>
        <v>-</v>
      </c>
      <c r="P182" s="85" t="str">
        <f t="shared" si="646"/>
        <v>-</v>
      </c>
      <c r="Q182" s="85">
        <f>'Consumer Hardware Pricing'!S190</f>
        <v>0</v>
      </c>
      <c r="R182" s="85">
        <f t="shared" si="647"/>
        <v>34.589999999999996</v>
      </c>
      <c r="S182" s="85" t="str">
        <f>'Consumer Hardware Pricing'!T190</f>
        <v>-</v>
      </c>
      <c r="T182" s="129">
        <f t="shared" si="648"/>
        <v>34.589999999999996</v>
      </c>
      <c r="U182" s="129" t="str">
        <f t="shared" si="649"/>
        <v>-</v>
      </c>
      <c r="V182" s="85">
        <f t="shared" si="650"/>
        <v>830.15999999999985</v>
      </c>
      <c r="W182" s="129" t="str">
        <f>'Consumer Hardware Pricing'!V190</f>
        <v>-</v>
      </c>
      <c r="X182" s="129" t="str">
        <f t="shared" si="361"/>
        <v>-</v>
      </c>
      <c r="Y182" s="129" t="str">
        <f t="shared" si="651"/>
        <v>-</v>
      </c>
      <c r="Z182" s="129" t="str">
        <f t="shared" si="652"/>
        <v>-</v>
      </c>
      <c r="AA182" s="85" t="str">
        <f t="shared" si="653"/>
        <v>-</v>
      </c>
      <c r="AB182" s="85">
        <f>'Consumer Hardware Pricing'!X190</f>
        <v>0</v>
      </c>
      <c r="AC182" s="85">
        <f t="shared" si="326"/>
        <v>34.589999999999996</v>
      </c>
      <c r="AD182" s="85">
        <f>'Consumer Hardware Pricing'!Y190</f>
        <v>5.63</v>
      </c>
      <c r="AE182" s="85">
        <f t="shared" si="556"/>
        <v>28.959999999999997</v>
      </c>
      <c r="AF182" s="85">
        <f t="shared" si="557"/>
        <v>135.12</v>
      </c>
      <c r="AG182" s="85">
        <f t="shared" si="558"/>
        <v>695.04</v>
      </c>
      <c r="AH182" s="85" t="str">
        <f>'Consumer Hardware Pricing'!AA190</f>
        <v>-</v>
      </c>
      <c r="AI182" s="85" t="str">
        <f t="shared" si="327"/>
        <v>-</v>
      </c>
      <c r="AJ182" s="85" t="str">
        <f t="shared" si="559"/>
        <v>-</v>
      </c>
      <c r="AK182" s="85" t="str">
        <f t="shared" si="560"/>
        <v>-</v>
      </c>
      <c r="AL182" s="85" t="str">
        <f t="shared" si="561"/>
        <v>-</v>
      </c>
      <c r="AM182" s="85">
        <f>'Consumer Hardware Pricing'!AC190</f>
        <v>0</v>
      </c>
      <c r="AN182" s="85">
        <f t="shared" si="328"/>
        <v>34.589999999999996</v>
      </c>
      <c r="AO182" s="85">
        <f>'Consumer Hardware Pricing'!AD190</f>
        <v>5.63</v>
      </c>
      <c r="AP182" s="85">
        <f t="shared" si="562"/>
        <v>28.959999999999997</v>
      </c>
      <c r="AQ182" s="85">
        <f t="shared" si="563"/>
        <v>135.12</v>
      </c>
      <c r="AR182" s="85">
        <f t="shared" si="564"/>
        <v>695.04</v>
      </c>
      <c r="AS182" s="85" t="str">
        <f>'Consumer Hardware Pricing'!AF190</f>
        <v>-</v>
      </c>
      <c r="AT182" s="85" t="str">
        <f t="shared" si="329"/>
        <v>-</v>
      </c>
      <c r="AU182" s="85" t="str">
        <f t="shared" si="565"/>
        <v>-</v>
      </c>
      <c r="AV182" s="85" t="str">
        <f t="shared" si="566"/>
        <v>-</v>
      </c>
      <c r="AW182" s="85" t="str">
        <f t="shared" si="567"/>
        <v>-</v>
      </c>
      <c r="AX182" s="85" t="str">
        <f>'Consumer Hardware Pricing'!AH190</f>
        <v>-</v>
      </c>
      <c r="AY182" s="85" t="str">
        <f t="shared" si="330"/>
        <v>-</v>
      </c>
      <c r="AZ182" s="85" t="str">
        <f>'Consumer Hardware Pricing'!AI190</f>
        <v>-</v>
      </c>
      <c r="BA182" s="85" t="str">
        <f t="shared" si="654"/>
        <v>-</v>
      </c>
      <c r="BB182" s="85" t="str">
        <f t="shared" si="655"/>
        <v>-</v>
      </c>
      <c r="BC182" s="85" t="str">
        <f t="shared" si="656"/>
        <v>-</v>
      </c>
      <c r="BD182" s="85" t="str">
        <f>'Consumer Hardware Pricing'!AL190</f>
        <v>-</v>
      </c>
      <c r="BE182" s="85" t="str">
        <f t="shared" si="331"/>
        <v>-</v>
      </c>
      <c r="BF182" s="85" t="str">
        <f>'Consumer Hardware Pricing'!AM190</f>
        <v>-</v>
      </c>
      <c r="BG182" s="85" t="str">
        <f t="shared" si="657"/>
        <v>-</v>
      </c>
      <c r="BH182" s="85" t="str">
        <f t="shared" si="658"/>
        <v>-</v>
      </c>
      <c r="BI182" s="85" t="str">
        <f t="shared" si="659"/>
        <v>-</v>
      </c>
      <c r="BJ182" s="85" t="str">
        <f>'Consumer Hardware Pricing'!AP190</f>
        <v>-</v>
      </c>
      <c r="BK182" s="85" t="str">
        <f t="shared" si="332"/>
        <v>-</v>
      </c>
      <c r="BL182" s="85" t="str">
        <f>'Consumer Hardware Pricing'!AQ190</f>
        <v>-</v>
      </c>
      <c r="BM182" s="85" t="str">
        <f t="shared" si="660"/>
        <v>-</v>
      </c>
      <c r="BN182" s="85" t="str">
        <f t="shared" si="661"/>
        <v>-</v>
      </c>
      <c r="BO182" s="85" t="str">
        <f t="shared" si="662"/>
        <v>-</v>
      </c>
      <c r="BP182" s="85" t="str">
        <f>'Consumer Hardware Pricing'!AT190</f>
        <v>-</v>
      </c>
      <c r="BQ182" s="85" t="str">
        <f t="shared" si="333"/>
        <v>-</v>
      </c>
      <c r="BR182" s="85" t="str">
        <f>'Consumer Hardware Pricing'!AU190</f>
        <v>-</v>
      </c>
      <c r="BS182" s="85" t="str">
        <f t="shared" si="663"/>
        <v>-</v>
      </c>
      <c r="BT182" s="85" t="str">
        <f t="shared" si="664"/>
        <v>-</v>
      </c>
      <c r="BU182" s="85" t="str">
        <f t="shared" si="665"/>
        <v>-</v>
      </c>
    </row>
    <row r="183" spans="1:73" s="131" customFormat="1" ht="30.15" customHeight="1" x14ac:dyDescent="0.25">
      <c r="A183" s="87" t="s">
        <v>34</v>
      </c>
      <c r="B183" s="88" t="s">
        <v>1092</v>
      </c>
      <c r="C183" s="88" t="s">
        <v>1101</v>
      </c>
      <c r="D183" s="85">
        <f>'Consumer Hardware Pricing'!L191</f>
        <v>615</v>
      </c>
      <c r="E183" s="85">
        <f>'Consumer Hardware Pricing'!M191</f>
        <v>615</v>
      </c>
      <c r="F183" s="85">
        <f>'Consumer Hardware Pricing'!N191</f>
        <v>0</v>
      </c>
      <c r="G183" s="85">
        <f t="shared" si="359"/>
        <v>25.630000000000003</v>
      </c>
      <c r="H183" s="85" t="str">
        <f>'Consumer Hardware Pricing'!O191</f>
        <v>-</v>
      </c>
      <c r="I183" s="85">
        <f t="shared" ref="I183:I193" si="666">IF(H183="-",G183,G183-H183)</f>
        <v>25.630000000000003</v>
      </c>
      <c r="J183" s="85" t="str">
        <f t="shared" ref="J183:J193" si="667">IF(H183="-",H183,H183*24)</f>
        <v>-</v>
      </c>
      <c r="K183" s="85">
        <f t="shared" ref="K183:K193" si="668">IF(F183="-",F183,I183*24)</f>
        <v>615.12000000000012</v>
      </c>
      <c r="L183" s="85" t="str">
        <f>'Consumer Hardware Pricing'!Q191</f>
        <v>-</v>
      </c>
      <c r="M183" s="85" t="str">
        <f t="shared" si="360"/>
        <v>-</v>
      </c>
      <c r="N183" s="85" t="str">
        <f t="shared" ref="N183:N193" si="669">IF(L183="-",L183,G183-M183)</f>
        <v>-</v>
      </c>
      <c r="O183" s="85" t="str">
        <f t="shared" ref="O183:O193" si="670">IF(L183="-",L183,M183*24)</f>
        <v>-</v>
      </c>
      <c r="P183" s="85" t="str">
        <f t="shared" ref="P183:P193" si="671">IF(L183="-",L183,N183*24)</f>
        <v>-</v>
      </c>
      <c r="Q183" s="85">
        <f>'Consumer Hardware Pricing'!S191</f>
        <v>0</v>
      </c>
      <c r="R183" s="85">
        <f t="shared" ref="R183:R193" si="672">G183</f>
        <v>25.630000000000003</v>
      </c>
      <c r="S183" s="85" t="str">
        <f>'Consumer Hardware Pricing'!T191</f>
        <v>-</v>
      </c>
      <c r="T183" s="129">
        <f t="shared" ref="T183:T193" si="673">IF(S183="-",R183,R183-S183)</f>
        <v>25.630000000000003</v>
      </c>
      <c r="U183" s="129" t="str">
        <f t="shared" ref="U183:U193" si="674">IF(S183="-",S183,S183*24)</f>
        <v>-</v>
      </c>
      <c r="V183" s="85">
        <f t="shared" ref="V183:V193" si="675">IF(Q183="-",Q183,T183*24)</f>
        <v>615.12000000000012</v>
      </c>
      <c r="W183" s="129" t="str">
        <f>'Consumer Hardware Pricing'!V191</f>
        <v>-</v>
      </c>
      <c r="X183" s="129" t="str">
        <f t="shared" si="361"/>
        <v>-</v>
      </c>
      <c r="Y183" s="129" t="str">
        <f t="shared" ref="Y183:Y193" si="676">IF(W183="-",W183,R183-X183)</f>
        <v>-</v>
      </c>
      <c r="Z183" s="129" t="str">
        <f t="shared" ref="Z183:Z193" si="677">IF(W183="-",W183,X183*24)</f>
        <v>-</v>
      </c>
      <c r="AA183" s="85" t="str">
        <f t="shared" ref="AA183:AA193" si="678">IF(W183="-",W183,Y183*24)</f>
        <v>-</v>
      </c>
      <c r="AB183" s="85">
        <f>'Consumer Hardware Pricing'!X191</f>
        <v>0</v>
      </c>
      <c r="AC183" s="85">
        <f t="shared" si="326"/>
        <v>25.630000000000003</v>
      </c>
      <c r="AD183" s="85">
        <f>'Consumer Hardware Pricing'!Y191</f>
        <v>5.63</v>
      </c>
      <c r="AE183" s="85">
        <f t="shared" ref="AE183:AE193" si="679">IF(AD183="-",AC183,AC183-AD183)</f>
        <v>20.000000000000004</v>
      </c>
      <c r="AF183" s="85">
        <f t="shared" ref="AF183:AF193" si="680">IF(AD183="-",AD183,AD183*24)</f>
        <v>135.12</v>
      </c>
      <c r="AG183" s="85">
        <f t="shared" ref="AG183:AG193" si="681">IF(AB183="-",AB183,AE183*24)</f>
        <v>480.00000000000011</v>
      </c>
      <c r="AH183" s="85" t="str">
        <f>'Consumer Hardware Pricing'!AA191</f>
        <v>-</v>
      </c>
      <c r="AI183" s="85" t="str">
        <f t="shared" si="327"/>
        <v>-</v>
      </c>
      <c r="AJ183" s="85" t="str">
        <f t="shared" ref="AJ183:AJ193" si="682">IF(AH183="-",AH183,AC183-AI183)</f>
        <v>-</v>
      </c>
      <c r="AK183" s="85" t="str">
        <f t="shared" ref="AK183:AK193" si="683">IF(AH183="-",AH183,AI183*24)</f>
        <v>-</v>
      </c>
      <c r="AL183" s="85" t="str">
        <f t="shared" ref="AL183:AL193" si="684">IF(AH183="-",AH183,AJ183*24)</f>
        <v>-</v>
      </c>
      <c r="AM183" s="85">
        <f>'Consumer Hardware Pricing'!AC191</f>
        <v>0</v>
      </c>
      <c r="AN183" s="85">
        <f t="shared" si="328"/>
        <v>25.630000000000003</v>
      </c>
      <c r="AO183" s="85">
        <f>'Consumer Hardware Pricing'!AD191</f>
        <v>5.63</v>
      </c>
      <c r="AP183" s="85">
        <f t="shared" ref="AP183:AP193" si="685">IF(AO183="-",AN183,AN183-AO183)</f>
        <v>20.000000000000004</v>
      </c>
      <c r="AQ183" s="85">
        <f t="shared" ref="AQ183:AQ193" si="686">IF(AO183="-",AO183,AO183*24)</f>
        <v>135.12</v>
      </c>
      <c r="AR183" s="85">
        <f t="shared" ref="AR183:AR193" si="687">IF(AM183="-",AM183,AP183*24)</f>
        <v>480.00000000000011</v>
      </c>
      <c r="AS183" s="85" t="str">
        <f>'Consumer Hardware Pricing'!AF191</f>
        <v>-</v>
      </c>
      <c r="AT183" s="85" t="str">
        <f t="shared" si="329"/>
        <v>-</v>
      </c>
      <c r="AU183" s="85" t="str">
        <f t="shared" ref="AU183:AU193" si="688">IF(AS183="-",AS183,AN183-AT183)</f>
        <v>-</v>
      </c>
      <c r="AV183" s="85" t="str">
        <f t="shared" ref="AV183:AV193" si="689">IF(AS183="-",AS183,AT183*24)</f>
        <v>-</v>
      </c>
      <c r="AW183" s="85" t="str">
        <f t="shared" ref="AW183:AW193" si="690">IF(AS183="-",AS183,AU183*24)</f>
        <v>-</v>
      </c>
      <c r="AX183" s="85" t="str">
        <f>'Consumer Hardware Pricing'!AH191</f>
        <v>-</v>
      </c>
      <c r="AY183" s="85" t="str">
        <f t="shared" si="330"/>
        <v>-</v>
      </c>
      <c r="AZ183" s="85" t="str">
        <f>'Consumer Hardware Pricing'!AI191</f>
        <v>-</v>
      </c>
      <c r="BA183" s="85" t="str">
        <f t="shared" ref="BA183:BA193" si="691">IF(AZ183="-",AY183,AY183-AZ183)</f>
        <v>-</v>
      </c>
      <c r="BB183" s="85" t="str">
        <f t="shared" ref="BB183:BB193" si="692">IF(AZ183="-",AZ183,AZ183*24)</f>
        <v>-</v>
      </c>
      <c r="BC183" s="85" t="str">
        <f t="shared" ref="BC183:BC193" si="693">IF(AX183="-",AX183,AX183+(BA183*24))</f>
        <v>-</v>
      </c>
      <c r="BD183" s="85" t="str">
        <f>'Consumer Hardware Pricing'!AL191</f>
        <v>-</v>
      </c>
      <c r="BE183" s="85" t="str">
        <f t="shared" si="331"/>
        <v>-</v>
      </c>
      <c r="BF183" s="85" t="str">
        <f>'Consumer Hardware Pricing'!AM191</f>
        <v>-</v>
      </c>
      <c r="BG183" s="85" t="str">
        <f t="shared" ref="BG183:BG193" si="694">IF(BF183="-",BE183,BE183-BF183)</f>
        <v>-</v>
      </c>
      <c r="BH183" s="85" t="str">
        <f t="shared" ref="BH183:BH193" si="695">IF(BF183="-",BF183,BF183*24)</f>
        <v>-</v>
      </c>
      <c r="BI183" s="85" t="str">
        <f t="shared" ref="BI183:BI193" si="696">IF(BD183="-",BD183,BD183+(BG183*24))</f>
        <v>-</v>
      </c>
      <c r="BJ183" s="85" t="str">
        <f>'Consumer Hardware Pricing'!AP191</f>
        <v>-</v>
      </c>
      <c r="BK183" s="85" t="str">
        <f t="shared" si="332"/>
        <v>-</v>
      </c>
      <c r="BL183" s="85" t="str">
        <f>'Consumer Hardware Pricing'!AQ191</f>
        <v>-</v>
      </c>
      <c r="BM183" s="85" t="str">
        <f t="shared" ref="BM183:BM193" si="697">IF(BL183="-",BK183,BK183-BL183)</f>
        <v>-</v>
      </c>
      <c r="BN183" s="85" t="str">
        <f t="shared" ref="BN183:BN193" si="698">IF(BL183="-",BL183,BL183*24)</f>
        <v>-</v>
      </c>
      <c r="BO183" s="85" t="str">
        <f t="shared" ref="BO183:BO193" si="699">IF(BJ183="-",BJ183,BJ183+(BM183*24))</f>
        <v>-</v>
      </c>
      <c r="BP183" s="85" t="str">
        <f>'Consumer Hardware Pricing'!AT191</f>
        <v>-</v>
      </c>
      <c r="BQ183" s="85" t="str">
        <f t="shared" si="333"/>
        <v>-</v>
      </c>
      <c r="BR183" s="85" t="str">
        <f>'Consumer Hardware Pricing'!AU191</f>
        <v>-</v>
      </c>
      <c r="BS183" s="85" t="str">
        <f t="shared" ref="BS183:BS193" si="700">IF(BR183="-",BQ183,BQ183-BR183)</f>
        <v>-</v>
      </c>
      <c r="BT183" s="85" t="str">
        <f t="shared" ref="BT183:BT193" si="701">IF(BR183="-",BR183,BR183*24)</f>
        <v>-</v>
      </c>
      <c r="BU183" s="85" t="str">
        <f t="shared" ref="BU183:BU193" si="702">IF(BP183="-",BP183,BP183+(BS183*24))</f>
        <v>-</v>
      </c>
    </row>
    <row r="184" spans="1:73" s="131" customFormat="1" ht="30.15" customHeight="1" x14ac:dyDescent="0.25">
      <c r="A184" s="87" t="s">
        <v>34</v>
      </c>
      <c r="B184" s="88" t="s">
        <v>1093</v>
      </c>
      <c r="C184" s="88" t="s">
        <v>1101</v>
      </c>
      <c r="D184" s="85">
        <f>'Consumer Hardware Pricing'!L192</f>
        <v>615</v>
      </c>
      <c r="E184" s="85">
        <f>'Consumer Hardware Pricing'!M192</f>
        <v>615</v>
      </c>
      <c r="F184" s="85">
        <f>'Consumer Hardware Pricing'!N192</f>
        <v>0</v>
      </c>
      <c r="G184" s="85">
        <f t="shared" si="359"/>
        <v>25.630000000000003</v>
      </c>
      <c r="H184" s="85" t="str">
        <f>'Consumer Hardware Pricing'!O192</f>
        <v>-</v>
      </c>
      <c r="I184" s="85">
        <f t="shared" si="666"/>
        <v>25.630000000000003</v>
      </c>
      <c r="J184" s="85" t="str">
        <f t="shared" si="667"/>
        <v>-</v>
      </c>
      <c r="K184" s="85">
        <f t="shared" si="668"/>
        <v>615.12000000000012</v>
      </c>
      <c r="L184" s="85" t="str">
        <f>'Consumer Hardware Pricing'!Q192</f>
        <v>-</v>
      </c>
      <c r="M184" s="85" t="str">
        <f t="shared" si="360"/>
        <v>-</v>
      </c>
      <c r="N184" s="85" t="str">
        <f t="shared" si="669"/>
        <v>-</v>
      </c>
      <c r="O184" s="85" t="str">
        <f t="shared" si="670"/>
        <v>-</v>
      </c>
      <c r="P184" s="85" t="str">
        <f t="shared" si="671"/>
        <v>-</v>
      </c>
      <c r="Q184" s="85">
        <f>'Consumer Hardware Pricing'!S192</f>
        <v>0</v>
      </c>
      <c r="R184" s="85">
        <f t="shared" si="672"/>
        <v>25.630000000000003</v>
      </c>
      <c r="S184" s="85" t="str">
        <f>'Consumer Hardware Pricing'!T192</f>
        <v>-</v>
      </c>
      <c r="T184" s="129">
        <f t="shared" si="673"/>
        <v>25.630000000000003</v>
      </c>
      <c r="U184" s="129" t="str">
        <f t="shared" si="674"/>
        <v>-</v>
      </c>
      <c r="V184" s="85">
        <f t="shared" si="675"/>
        <v>615.12000000000012</v>
      </c>
      <c r="W184" s="129" t="str">
        <f>'Consumer Hardware Pricing'!V192</f>
        <v>-</v>
      </c>
      <c r="X184" s="129" t="str">
        <f t="shared" si="361"/>
        <v>-</v>
      </c>
      <c r="Y184" s="129" t="str">
        <f t="shared" si="676"/>
        <v>-</v>
      </c>
      <c r="Z184" s="129" t="str">
        <f t="shared" si="677"/>
        <v>-</v>
      </c>
      <c r="AA184" s="85" t="str">
        <f t="shared" si="678"/>
        <v>-</v>
      </c>
      <c r="AB184" s="85">
        <f>'Consumer Hardware Pricing'!X192</f>
        <v>0</v>
      </c>
      <c r="AC184" s="85">
        <f t="shared" si="326"/>
        <v>25.630000000000003</v>
      </c>
      <c r="AD184" s="85">
        <f>'Consumer Hardware Pricing'!Y192</f>
        <v>5.63</v>
      </c>
      <c r="AE184" s="85">
        <f t="shared" si="679"/>
        <v>20.000000000000004</v>
      </c>
      <c r="AF184" s="85">
        <f t="shared" si="680"/>
        <v>135.12</v>
      </c>
      <c r="AG184" s="85">
        <f t="shared" si="681"/>
        <v>480.00000000000011</v>
      </c>
      <c r="AH184" s="85" t="str">
        <f>'Consumer Hardware Pricing'!AA192</f>
        <v>-</v>
      </c>
      <c r="AI184" s="85" t="str">
        <f t="shared" si="327"/>
        <v>-</v>
      </c>
      <c r="AJ184" s="85" t="str">
        <f t="shared" si="682"/>
        <v>-</v>
      </c>
      <c r="AK184" s="85" t="str">
        <f t="shared" si="683"/>
        <v>-</v>
      </c>
      <c r="AL184" s="85" t="str">
        <f t="shared" si="684"/>
        <v>-</v>
      </c>
      <c r="AM184" s="85">
        <f>'Consumer Hardware Pricing'!AC192</f>
        <v>0</v>
      </c>
      <c r="AN184" s="85">
        <f t="shared" si="328"/>
        <v>25.630000000000003</v>
      </c>
      <c r="AO184" s="85">
        <f>'Consumer Hardware Pricing'!AD192</f>
        <v>5.63</v>
      </c>
      <c r="AP184" s="85">
        <f t="shared" si="685"/>
        <v>20.000000000000004</v>
      </c>
      <c r="AQ184" s="85">
        <f t="shared" si="686"/>
        <v>135.12</v>
      </c>
      <c r="AR184" s="85">
        <f t="shared" si="687"/>
        <v>480.00000000000011</v>
      </c>
      <c r="AS184" s="85" t="str">
        <f>'Consumer Hardware Pricing'!AF192</f>
        <v>-</v>
      </c>
      <c r="AT184" s="85" t="str">
        <f t="shared" si="329"/>
        <v>-</v>
      </c>
      <c r="AU184" s="85" t="str">
        <f t="shared" si="688"/>
        <v>-</v>
      </c>
      <c r="AV184" s="85" t="str">
        <f t="shared" si="689"/>
        <v>-</v>
      </c>
      <c r="AW184" s="85" t="str">
        <f t="shared" si="690"/>
        <v>-</v>
      </c>
      <c r="AX184" s="85" t="str">
        <f>'Consumer Hardware Pricing'!AH192</f>
        <v>-</v>
      </c>
      <c r="AY184" s="85" t="str">
        <f t="shared" si="330"/>
        <v>-</v>
      </c>
      <c r="AZ184" s="85" t="str">
        <f>'Consumer Hardware Pricing'!AI192</f>
        <v>-</v>
      </c>
      <c r="BA184" s="85" t="str">
        <f t="shared" si="691"/>
        <v>-</v>
      </c>
      <c r="BB184" s="85" t="str">
        <f t="shared" si="692"/>
        <v>-</v>
      </c>
      <c r="BC184" s="85" t="str">
        <f t="shared" si="693"/>
        <v>-</v>
      </c>
      <c r="BD184" s="85" t="str">
        <f>'Consumer Hardware Pricing'!AL192</f>
        <v>-</v>
      </c>
      <c r="BE184" s="85" t="str">
        <f t="shared" si="331"/>
        <v>-</v>
      </c>
      <c r="BF184" s="85" t="str">
        <f>'Consumer Hardware Pricing'!AM192</f>
        <v>-</v>
      </c>
      <c r="BG184" s="85" t="str">
        <f t="shared" si="694"/>
        <v>-</v>
      </c>
      <c r="BH184" s="85" t="str">
        <f t="shared" si="695"/>
        <v>-</v>
      </c>
      <c r="BI184" s="85" t="str">
        <f t="shared" si="696"/>
        <v>-</v>
      </c>
      <c r="BJ184" s="85" t="str">
        <f>'Consumer Hardware Pricing'!AP192</f>
        <v>-</v>
      </c>
      <c r="BK184" s="85" t="str">
        <f t="shared" si="332"/>
        <v>-</v>
      </c>
      <c r="BL184" s="85" t="str">
        <f>'Consumer Hardware Pricing'!AQ192</f>
        <v>-</v>
      </c>
      <c r="BM184" s="85" t="str">
        <f t="shared" si="697"/>
        <v>-</v>
      </c>
      <c r="BN184" s="85" t="str">
        <f t="shared" si="698"/>
        <v>-</v>
      </c>
      <c r="BO184" s="85" t="str">
        <f t="shared" si="699"/>
        <v>-</v>
      </c>
      <c r="BP184" s="85" t="str">
        <f>'Consumer Hardware Pricing'!AT192</f>
        <v>-</v>
      </c>
      <c r="BQ184" s="85" t="str">
        <f t="shared" si="333"/>
        <v>-</v>
      </c>
      <c r="BR184" s="85" t="str">
        <f>'Consumer Hardware Pricing'!AU192</f>
        <v>-</v>
      </c>
      <c r="BS184" s="85" t="str">
        <f t="shared" si="700"/>
        <v>-</v>
      </c>
      <c r="BT184" s="85" t="str">
        <f t="shared" si="701"/>
        <v>-</v>
      </c>
      <c r="BU184" s="85" t="str">
        <f t="shared" si="702"/>
        <v>-</v>
      </c>
    </row>
    <row r="185" spans="1:73" s="131" customFormat="1" ht="30.15" customHeight="1" x14ac:dyDescent="0.25">
      <c r="A185" s="87" t="s">
        <v>34</v>
      </c>
      <c r="B185" s="88" t="s">
        <v>1094</v>
      </c>
      <c r="C185" s="88" t="s">
        <v>1101</v>
      </c>
      <c r="D185" s="85">
        <f>'Consumer Hardware Pricing'!L193</f>
        <v>615</v>
      </c>
      <c r="E185" s="85">
        <f>'Consumer Hardware Pricing'!M193</f>
        <v>615</v>
      </c>
      <c r="F185" s="85">
        <f>'Consumer Hardware Pricing'!N193</f>
        <v>0</v>
      </c>
      <c r="G185" s="85">
        <f t="shared" si="359"/>
        <v>25.630000000000003</v>
      </c>
      <c r="H185" s="85" t="str">
        <f>'Consumer Hardware Pricing'!O193</f>
        <v>-</v>
      </c>
      <c r="I185" s="85">
        <f t="shared" si="666"/>
        <v>25.630000000000003</v>
      </c>
      <c r="J185" s="85" t="str">
        <f t="shared" si="667"/>
        <v>-</v>
      </c>
      <c r="K185" s="85">
        <f t="shared" si="668"/>
        <v>615.12000000000012</v>
      </c>
      <c r="L185" s="85" t="str">
        <f>'Consumer Hardware Pricing'!Q193</f>
        <v>-</v>
      </c>
      <c r="M185" s="85" t="str">
        <f t="shared" si="360"/>
        <v>-</v>
      </c>
      <c r="N185" s="85" t="str">
        <f t="shared" si="669"/>
        <v>-</v>
      </c>
      <c r="O185" s="85" t="str">
        <f t="shared" si="670"/>
        <v>-</v>
      </c>
      <c r="P185" s="85" t="str">
        <f t="shared" si="671"/>
        <v>-</v>
      </c>
      <c r="Q185" s="85">
        <f>'Consumer Hardware Pricing'!S193</f>
        <v>0</v>
      </c>
      <c r="R185" s="85">
        <f t="shared" si="672"/>
        <v>25.630000000000003</v>
      </c>
      <c r="S185" s="85" t="str">
        <f>'Consumer Hardware Pricing'!T193</f>
        <v>-</v>
      </c>
      <c r="T185" s="129">
        <f t="shared" si="673"/>
        <v>25.630000000000003</v>
      </c>
      <c r="U185" s="129" t="str">
        <f t="shared" si="674"/>
        <v>-</v>
      </c>
      <c r="V185" s="85">
        <f t="shared" si="675"/>
        <v>615.12000000000012</v>
      </c>
      <c r="W185" s="129" t="str">
        <f>'Consumer Hardware Pricing'!V193</f>
        <v>-</v>
      </c>
      <c r="X185" s="129" t="str">
        <f t="shared" si="361"/>
        <v>-</v>
      </c>
      <c r="Y185" s="129" t="str">
        <f t="shared" si="676"/>
        <v>-</v>
      </c>
      <c r="Z185" s="129" t="str">
        <f t="shared" si="677"/>
        <v>-</v>
      </c>
      <c r="AA185" s="85" t="str">
        <f t="shared" si="678"/>
        <v>-</v>
      </c>
      <c r="AB185" s="85">
        <f>'Consumer Hardware Pricing'!X193</f>
        <v>0</v>
      </c>
      <c r="AC185" s="85">
        <f t="shared" si="326"/>
        <v>25.630000000000003</v>
      </c>
      <c r="AD185" s="85">
        <f>'Consumer Hardware Pricing'!Y193</f>
        <v>5.63</v>
      </c>
      <c r="AE185" s="85">
        <f t="shared" si="679"/>
        <v>20.000000000000004</v>
      </c>
      <c r="AF185" s="85">
        <f t="shared" si="680"/>
        <v>135.12</v>
      </c>
      <c r="AG185" s="85">
        <f t="shared" si="681"/>
        <v>480.00000000000011</v>
      </c>
      <c r="AH185" s="85" t="str">
        <f>'Consumer Hardware Pricing'!AA193</f>
        <v>-</v>
      </c>
      <c r="AI185" s="85" t="str">
        <f t="shared" si="327"/>
        <v>-</v>
      </c>
      <c r="AJ185" s="85" t="str">
        <f t="shared" si="682"/>
        <v>-</v>
      </c>
      <c r="AK185" s="85" t="str">
        <f t="shared" si="683"/>
        <v>-</v>
      </c>
      <c r="AL185" s="85" t="str">
        <f t="shared" si="684"/>
        <v>-</v>
      </c>
      <c r="AM185" s="85">
        <f>'Consumer Hardware Pricing'!AC193</f>
        <v>0</v>
      </c>
      <c r="AN185" s="85">
        <f t="shared" si="328"/>
        <v>25.630000000000003</v>
      </c>
      <c r="AO185" s="85">
        <f>'Consumer Hardware Pricing'!AD193</f>
        <v>5.63</v>
      </c>
      <c r="AP185" s="85">
        <f t="shared" si="685"/>
        <v>20.000000000000004</v>
      </c>
      <c r="AQ185" s="85">
        <f t="shared" si="686"/>
        <v>135.12</v>
      </c>
      <c r="AR185" s="85">
        <f t="shared" si="687"/>
        <v>480.00000000000011</v>
      </c>
      <c r="AS185" s="85" t="str">
        <f>'Consumer Hardware Pricing'!AF193</f>
        <v>-</v>
      </c>
      <c r="AT185" s="85" t="str">
        <f t="shared" si="329"/>
        <v>-</v>
      </c>
      <c r="AU185" s="85" t="str">
        <f t="shared" si="688"/>
        <v>-</v>
      </c>
      <c r="AV185" s="85" t="str">
        <f t="shared" si="689"/>
        <v>-</v>
      </c>
      <c r="AW185" s="85" t="str">
        <f t="shared" si="690"/>
        <v>-</v>
      </c>
      <c r="AX185" s="85" t="str">
        <f>'Consumer Hardware Pricing'!AH193</f>
        <v>-</v>
      </c>
      <c r="AY185" s="85" t="str">
        <f t="shared" si="330"/>
        <v>-</v>
      </c>
      <c r="AZ185" s="85" t="str">
        <f>'Consumer Hardware Pricing'!AI193</f>
        <v>-</v>
      </c>
      <c r="BA185" s="85" t="str">
        <f t="shared" si="691"/>
        <v>-</v>
      </c>
      <c r="BB185" s="85" t="str">
        <f t="shared" si="692"/>
        <v>-</v>
      </c>
      <c r="BC185" s="85" t="str">
        <f t="shared" si="693"/>
        <v>-</v>
      </c>
      <c r="BD185" s="85" t="str">
        <f>'Consumer Hardware Pricing'!AL193</f>
        <v>-</v>
      </c>
      <c r="BE185" s="85" t="str">
        <f t="shared" si="331"/>
        <v>-</v>
      </c>
      <c r="BF185" s="85" t="str">
        <f>'Consumer Hardware Pricing'!AM193</f>
        <v>-</v>
      </c>
      <c r="BG185" s="85" t="str">
        <f t="shared" si="694"/>
        <v>-</v>
      </c>
      <c r="BH185" s="85" t="str">
        <f t="shared" si="695"/>
        <v>-</v>
      </c>
      <c r="BI185" s="85" t="str">
        <f t="shared" si="696"/>
        <v>-</v>
      </c>
      <c r="BJ185" s="85" t="str">
        <f>'Consumer Hardware Pricing'!AP193</f>
        <v>-</v>
      </c>
      <c r="BK185" s="85" t="str">
        <f t="shared" si="332"/>
        <v>-</v>
      </c>
      <c r="BL185" s="85" t="str">
        <f>'Consumer Hardware Pricing'!AQ193</f>
        <v>-</v>
      </c>
      <c r="BM185" s="85" t="str">
        <f t="shared" si="697"/>
        <v>-</v>
      </c>
      <c r="BN185" s="85" t="str">
        <f t="shared" si="698"/>
        <v>-</v>
      </c>
      <c r="BO185" s="85" t="str">
        <f t="shared" si="699"/>
        <v>-</v>
      </c>
      <c r="BP185" s="85" t="str">
        <f>'Consumer Hardware Pricing'!AT193</f>
        <v>-</v>
      </c>
      <c r="BQ185" s="85" t="str">
        <f t="shared" si="333"/>
        <v>-</v>
      </c>
      <c r="BR185" s="85" t="str">
        <f>'Consumer Hardware Pricing'!AU193</f>
        <v>-</v>
      </c>
      <c r="BS185" s="85" t="str">
        <f t="shared" si="700"/>
        <v>-</v>
      </c>
      <c r="BT185" s="85" t="str">
        <f t="shared" si="701"/>
        <v>-</v>
      </c>
      <c r="BU185" s="85" t="str">
        <f t="shared" si="702"/>
        <v>-</v>
      </c>
    </row>
    <row r="186" spans="1:73" s="131" customFormat="1" ht="30.15" customHeight="1" x14ac:dyDescent="0.25">
      <c r="A186" s="87" t="s">
        <v>34</v>
      </c>
      <c r="B186" s="88" t="s">
        <v>1095</v>
      </c>
      <c r="C186" s="88" t="s">
        <v>1102</v>
      </c>
      <c r="D186" s="85">
        <f>'Consumer Hardware Pricing'!L194</f>
        <v>690</v>
      </c>
      <c r="E186" s="85">
        <f>'Consumer Hardware Pricing'!M194</f>
        <v>690</v>
      </c>
      <c r="F186" s="85">
        <f>'Consumer Hardware Pricing'!N194</f>
        <v>0</v>
      </c>
      <c r="G186" s="85">
        <f t="shared" si="359"/>
        <v>28.75</v>
      </c>
      <c r="H186" s="85" t="str">
        <f>'Consumer Hardware Pricing'!O194</f>
        <v>-</v>
      </c>
      <c r="I186" s="85">
        <f t="shared" si="666"/>
        <v>28.75</v>
      </c>
      <c r="J186" s="85" t="str">
        <f t="shared" si="667"/>
        <v>-</v>
      </c>
      <c r="K186" s="85">
        <f t="shared" si="668"/>
        <v>690</v>
      </c>
      <c r="L186" s="85" t="str">
        <f>'Consumer Hardware Pricing'!Q194</f>
        <v>-</v>
      </c>
      <c r="M186" s="85" t="str">
        <f t="shared" si="360"/>
        <v>-</v>
      </c>
      <c r="N186" s="85" t="str">
        <f t="shared" si="669"/>
        <v>-</v>
      </c>
      <c r="O186" s="85" t="str">
        <f t="shared" si="670"/>
        <v>-</v>
      </c>
      <c r="P186" s="85" t="str">
        <f t="shared" si="671"/>
        <v>-</v>
      </c>
      <c r="Q186" s="85">
        <f>'Consumer Hardware Pricing'!S194</f>
        <v>0</v>
      </c>
      <c r="R186" s="85">
        <f t="shared" si="672"/>
        <v>28.75</v>
      </c>
      <c r="S186" s="85" t="str">
        <f>'Consumer Hardware Pricing'!T194</f>
        <v>-</v>
      </c>
      <c r="T186" s="129">
        <f t="shared" si="673"/>
        <v>28.75</v>
      </c>
      <c r="U186" s="129" t="str">
        <f t="shared" si="674"/>
        <v>-</v>
      </c>
      <c r="V186" s="85">
        <f t="shared" si="675"/>
        <v>690</v>
      </c>
      <c r="W186" s="129" t="str">
        <f>'Consumer Hardware Pricing'!V194</f>
        <v>-</v>
      </c>
      <c r="X186" s="129" t="str">
        <f t="shared" si="361"/>
        <v>-</v>
      </c>
      <c r="Y186" s="129" t="str">
        <f t="shared" si="676"/>
        <v>-</v>
      </c>
      <c r="Z186" s="129" t="str">
        <f t="shared" si="677"/>
        <v>-</v>
      </c>
      <c r="AA186" s="85" t="str">
        <f t="shared" si="678"/>
        <v>-</v>
      </c>
      <c r="AB186" s="85">
        <f>'Consumer Hardware Pricing'!X194</f>
        <v>0</v>
      </c>
      <c r="AC186" s="85">
        <f t="shared" si="326"/>
        <v>28.75</v>
      </c>
      <c r="AD186" s="85">
        <f>'Consumer Hardware Pricing'!Y194</f>
        <v>5.63</v>
      </c>
      <c r="AE186" s="85">
        <f t="shared" si="679"/>
        <v>23.12</v>
      </c>
      <c r="AF186" s="85">
        <f t="shared" si="680"/>
        <v>135.12</v>
      </c>
      <c r="AG186" s="85">
        <f t="shared" si="681"/>
        <v>554.88</v>
      </c>
      <c r="AH186" s="85" t="str">
        <f>'Consumer Hardware Pricing'!AA194</f>
        <v>-</v>
      </c>
      <c r="AI186" s="85" t="str">
        <f t="shared" si="327"/>
        <v>-</v>
      </c>
      <c r="AJ186" s="85" t="str">
        <f t="shared" si="682"/>
        <v>-</v>
      </c>
      <c r="AK186" s="85" t="str">
        <f t="shared" si="683"/>
        <v>-</v>
      </c>
      <c r="AL186" s="85" t="str">
        <f t="shared" si="684"/>
        <v>-</v>
      </c>
      <c r="AM186" s="85">
        <f>'Consumer Hardware Pricing'!AC194</f>
        <v>0</v>
      </c>
      <c r="AN186" s="85">
        <f t="shared" si="328"/>
        <v>28.75</v>
      </c>
      <c r="AO186" s="85">
        <f>'Consumer Hardware Pricing'!AD194</f>
        <v>5.63</v>
      </c>
      <c r="AP186" s="85">
        <f t="shared" si="685"/>
        <v>23.12</v>
      </c>
      <c r="AQ186" s="85">
        <f t="shared" si="686"/>
        <v>135.12</v>
      </c>
      <c r="AR186" s="85">
        <f t="shared" si="687"/>
        <v>554.88</v>
      </c>
      <c r="AS186" s="85" t="str">
        <f>'Consumer Hardware Pricing'!AF194</f>
        <v>-</v>
      </c>
      <c r="AT186" s="85" t="str">
        <f t="shared" si="329"/>
        <v>-</v>
      </c>
      <c r="AU186" s="85" t="str">
        <f t="shared" si="688"/>
        <v>-</v>
      </c>
      <c r="AV186" s="85" t="str">
        <f t="shared" si="689"/>
        <v>-</v>
      </c>
      <c r="AW186" s="85" t="str">
        <f t="shared" si="690"/>
        <v>-</v>
      </c>
      <c r="AX186" s="85" t="str">
        <f>'Consumer Hardware Pricing'!AH194</f>
        <v>-</v>
      </c>
      <c r="AY186" s="85" t="str">
        <f t="shared" si="330"/>
        <v>-</v>
      </c>
      <c r="AZ186" s="85" t="str">
        <f>'Consumer Hardware Pricing'!AI194</f>
        <v>-</v>
      </c>
      <c r="BA186" s="85" t="str">
        <f t="shared" si="691"/>
        <v>-</v>
      </c>
      <c r="BB186" s="85" t="str">
        <f t="shared" si="692"/>
        <v>-</v>
      </c>
      <c r="BC186" s="85" t="str">
        <f t="shared" si="693"/>
        <v>-</v>
      </c>
      <c r="BD186" s="85" t="str">
        <f>'Consumer Hardware Pricing'!AL194</f>
        <v>-</v>
      </c>
      <c r="BE186" s="85" t="str">
        <f t="shared" si="331"/>
        <v>-</v>
      </c>
      <c r="BF186" s="85" t="str">
        <f>'Consumer Hardware Pricing'!AM194</f>
        <v>-</v>
      </c>
      <c r="BG186" s="85" t="str">
        <f t="shared" si="694"/>
        <v>-</v>
      </c>
      <c r="BH186" s="85" t="str">
        <f t="shared" si="695"/>
        <v>-</v>
      </c>
      <c r="BI186" s="85" t="str">
        <f t="shared" si="696"/>
        <v>-</v>
      </c>
      <c r="BJ186" s="85" t="str">
        <f>'Consumer Hardware Pricing'!AP194</f>
        <v>-</v>
      </c>
      <c r="BK186" s="85" t="str">
        <f t="shared" si="332"/>
        <v>-</v>
      </c>
      <c r="BL186" s="85" t="str">
        <f>'Consumer Hardware Pricing'!AQ194</f>
        <v>-</v>
      </c>
      <c r="BM186" s="85" t="str">
        <f t="shared" si="697"/>
        <v>-</v>
      </c>
      <c r="BN186" s="85" t="str">
        <f t="shared" si="698"/>
        <v>-</v>
      </c>
      <c r="BO186" s="85" t="str">
        <f t="shared" si="699"/>
        <v>-</v>
      </c>
      <c r="BP186" s="85" t="str">
        <f>'Consumer Hardware Pricing'!AT194</f>
        <v>-</v>
      </c>
      <c r="BQ186" s="85" t="str">
        <f t="shared" si="333"/>
        <v>-</v>
      </c>
      <c r="BR186" s="85" t="str">
        <f>'Consumer Hardware Pricing'!AU194</f>
        <v>-</v>
      </c>
      <c r="BS186" s="85" t="str">
        <f t="shared" si="700"/>
        <v>-</v>
      </c>
      <c r="BT186" s="85" t="str">
        <f t="shared" si="701"/>
        <v>-</v>
      </c>
      <c r="BU186" s="85" t="str">
        <f t="shared" si="702"/>
        <v>-</v>
      </c>
    </row>
    <row r="187" spans="1:73" s="131" customFormat="1" ht="30.15" customHeight="1" x14ac:dyDescent="0.25">
      <c r="A187" s="87" t="s">
        <v>34</v>
      </c>
      <c r="B187" s="88" t="s">
        <v>1155</v>
      </c>
      <c r="C187" s="88" t="s">
        <v>1102</v>
      </c>
      <c r="D187" s="85">
        <f>'Consumer Hardware Pricing'!L195</f>
        <v>690</v>
      </c>
      <c r="E187" s="85">
        <f>'Consumer Hardware Pricing'!M195</f>
        <v>690</v>
      </c>
      <c r="F187" s="85">
        <f>'Consumer Hardware Pricing'!N195</f>
        <v>0</v>
      </c>
      <c r="G187" s="85">
        <f t="shared" si="359"/>
        <v>28.75</v>
      </c>
      <c r="H187" s="85" t="str">
        <f>'Consumer Hardware Pricing'!O195</f>
        <v>-</v>
      </c>
      <c r="I187" s="85">
        <f t="shared" ref="I187" si="703">IF(H187="-",G187,G187-H187)</f>
        <v>28.75</v>
      </c>
      <c r="J187" s="85" t="str">
        <f t="shared" ref="J187" si="704">IF(H187="-",H187,H187*24)</f>
        <v>-</v>
      </c>
      <c r="K187" s="85">
        <f t="shared" ref="K187" si="705">IF(F187="-",F187,I187*24)</f>
        <v>690</v>
      </c>
      <c r="L187" s="85" t="str">
        <f>'Consumer Hardware Pricing'!Q195</f>
        <v>-</v>
      </c>
      <c r="M187" s="85" t="str">
        <f t="shared" si="360"/>
        <v>-</v>
      </c>
      <c r="N187" s="85" t="str">
        <f t="shared" ref="N187" si="706">IF(L187="-",L187,G187-M187)</f>
        <v>-</v>
      </c>
      <c r="O187" s="85" t="str">
        <f t="shared" ref="O187" si="707">IF(L187="-",L187,M187*24)</f>
        <v>-</v>
      </c>
      <c r="P187" s="85" t="str">
        <f t="shared" ref="P187" si="708">IF(L187="-",L187,N187*24)</f>
        <v>-</v>
      </c>
      <c r="Q187" s="85">
        <f>'Consumer Hardware Pricing'!S195</f>
        <v>0</v>
      </c>
      <c r="R187" s="85">
        <f t="shared" ref="R187" si="709">G187</f>
        <v>28.75</v>
      </c>
      <c r="S187" s="85" t="str">
        <f>'Consumer Hardware Pricing'!T195</f>
        <v>-</v>
      </c>
      <c r="T187" s="129">
        <f t="shared" ref="T187" si="710">IF(S187="-",R187,R187-S187)</f>
        <v>28.75</v>
      </c>
      <c r="U187" s="129" t="str">
        <f t="shared" ref="U187" si="711">IF(S187="-",S187,S187*24)</f>
        <v>-</v>
      </c>
      <c r="V187" s="85">
        <f t="shared" ref="V187" si="712">IF(Q187="-",Q187,T187*24)</f>
        <v>690</v>
      </c>
      <c r="W187" s="129" t="str">
        <f>'Consumer Hardware Pricing'!V195</f>
        <v>-</v>
      </c>
      <c r="X187" s="129" t="str">
        <f t="shared" si="361"/>
        <v>-</v>
      </c>
      <c r="Y187" s="129" t="str">
        <f t="shared" ref="Y187" si="713">IF(W187="-",W187,R187-X187)</f>
        <v>-</v>
      </c>
      <c r="Z187" s="129" t="str">
        <f t="shared" ref="Z187" si="714">IF(W187="-",W187,X187*24)</f>
        <v>-</v>
      </c>
      <c r="AA187" s="85" t="str">
        <f t="shared" ref="AA187" si="715">IF(W187="-",W187,Y187*24)</f>
        <v>-</v>
      </c>
      <c r="AB187" s="85">
        <f>'Consumer Hardware Pricing'!X195</f>
        <v>0</v>
      </c>
      <c r="AC187" s="85">
        <f t="shared" si="326"/>
        <v>28.75</v>
      </c>
      <c r="AD187" s="85">
        <f>'Consumer Hardware Pricing'!Y195</f>
        <v>5.63</v>
      </c>
      <c r="AE187" s="85">
        <f t="shared" ref="AE187" si="716">IF(AD187="-",AC187,AC187-AD187)</f>
        <v>23.12</v>
      </c>
      <c r="AF187" s="85">
        <f t="shared" ref="AF187" si="717">IF(AD187="-",AD187,AD187*24)</f>
        <v>135.12</v>
      </c>
      <c r="AG187" s="85">
        <f t="shared" ref="AG187" si="718">IF(AB187="-",AB187,AE187*24)</f>
        <v>554.88</v>
      </c>
      <c r="AH187" s="85" t="str">
        <f>'Consumer Hardware Pricing'!AA195</f>
        <v>-</v>
      </c>
      <c r="AI187" s="85" t="str">
        <f t="shared" si="327"/>
        <v>-</v>
      </c>
      <c r="AJ187" s="85" t="str">
        <f t="shared" ref="AJ187" si="719">IF(AH187="-",AH187,AC187-AI187)</f>
        <v>-</v>
      </c>
      <c r="AK187" s="85" t="str">
        <f t="shared" ref="AK187" si="720">IF(AH187="-",AH187,AI187*24)</f>
        <v>-</v>
      </c>
      <c r="AL187" s="85" t="str">
        <f t="shared" ref="AL187" si="721">IF(AH187="-",AH187,AJ187*24)</f>
        <v>-</v>
      </c>
      <c r="AM187" s="85">
        <f>'Consumer Hardware Pricing'!AC195</f>
        <v>0</v>
      </c>
      <c r="AN187" s="85">
        <f t="shared" si="328"/>
        <v>28.75</v>
      </c>
      <c r="AO187" s="85">
        <f>'Consumer Hardware Pricing'!AD195</f>
        <v>5.63</v>
      </c>
      <c r="AP187" s="85">
        <f t="shared" ref="AP187" si="722">IF(AO187="-",AN187,AN187-AO187)</f>
        <v>23.12</v>
      </c>
      <c r="AQ187" s="85">
        <f t="shared" ref="AQ187" si="723">IF(AO187="-",AO187,AO187*24)</f>
        <v>135.12</v>
      </c>
      <c r="AR187" s="85">
        <f t="shared" ref="AR187" si="724">IF(AM187="-",AM187,AP187*24)</f>
        <v>554.88</v>
      </c>
      <c r="AS187" s="85" t="str">
        <f>'Consumer Hardware Pricing'!AF195</f>
        <v>-</v>
      </c>
      <c r="AT187" s="85" t="str">
        <f t="shared" si="329"/>
        <v>-</v>
      </c>
      <c r="AU187" s="85" t="str">
        <f t="shared" ref="AU187" si="725">IF(AS187="-",AS187,AN187-AT187)</f>
        <v>-</v>
      </c>
      <c r="AV187" s="85" t="str">
        <f t="shared" ref="AV187" si="726">IF(AS187="-",AS187,AT187*24)</f>
        <v>-</v>
      </c>
      <c r="AW187" s="85" t="str">
        <f t="shared" ref="AW187" si="727">IF(AS187="-",AS187,AU187*24)</f>
        <v>-</v>
      </c>
      <c r="AX187" s="85" t="str">
        <f>'Consumer Hardware Pricing'!AH195</f>
        <v>-</v>
      </c>
      <c r="AY187" s="85" t="str">
        <f t="shared" si="330"/>
        <v>-</v>
      </c>
      <c r="AZ187" s="85" t="str">
        <f>'Consumer Hardware Pricing'!AI195</f>
        <v>-</v>
      </c>
      <c r="BA187" s="85" t="str">
        <f t="shared" ref="BA187" si="728">IF(AZ187="-",AY187,AY187-AZ187)</f>
        <v>-</v>
      </c>
      <c r="BB187" s="85" t="str">
        <f t="shared" ref="BB187" si="729">IF(AZ187="-",AZ187,AZ187*24)</f>
        <v>-</v>
      </c>
      <c r="BC187" s="85" t="str">
        <f t="shared" ref="BC187" si="730">IF(AX187="-",AX187,AX187+(BA187*24))</f>
        <v>-</v>
      </c>
      <c r="BD187" s="85" t="str">
        <f>'Consumer Hardware Pricing'!AL195</f>
        <v>-</v>
      </c>
      <c r="BE187" s="85" t="str">
        <f t="shared" si="331"/>
        <v>-</v>
      </c>
      <c r="BF187" s="85" t="str">
        <f>'Consumer Hardware Pricing'!AM195</f>
        <v>-</v>
      </c>
      <c r="BG187" s="85" t="str">
        <f t="shared" ref="BG187" si="731">IF(BF187="-",BE187,BE187-BF187)</f>
        <v>-</v>
      </c>
      <c r="BH187" s="85" t="str">
        <f t="shared" ref="BH187" si="732">IF(BF187="-",BF187,BF187*24)</f>
        <v>-</v>
      </c>
      <c r="BI187" s="85" t="str">
        <f t="shared" ref="BI187" si="733">IF(BD187="-",BD187,BD187+(BG187*24))</f>
        <v>-</v>
      </c>
      <c r="BJ187" s="85" t="str">
        <f>'Consumer Hardware Pricing'!AP195</f>
        <v>-</v>
      </c>
      <c r="BK187" s="85" t="str">
        <f t="shared" si="332"/>
        <v>-</v>
      </c>
      <c r="BL187" s="85" t="str">
        <f>'Consumer Hardware Pricing'!AQ195</f>
        <v>-</v>
      </c>
      <c r="BM187" s="85" t="str">
        <f t="shared" ref="BM187" si="734">IF(BL187="-",BK187,BK187-BL187)</f>
        <v>-</v>
      </c>
      <c r="BN187" s="85" t="str">
        <f t="shared" ref="BN187" si="735">IF(BL187="-",BL187,BL187*24)</f>
        <v>-</v>
      </c>
      <c r="BO187" s="85" t="str">
        <f t="shared" ref="BO187" si="736">IF(BJ187="-",BJ187,BJ187+(BM187*24))</f>
        <v>-</v>
      </c>
      <c r="BP187" s="85" t="str">
        <f>'Consumer Hardware Pricing'!AT195</f>
        <v>-</v>
      </c>
      <c r="BQ187" s="85" t="str">
        <f t="shared" si="333"/>
        <v>-</v>
      </c>
      <c r="BR187" s="85" t="str">
        <f>'Consumer Hardware Pricing'!AU195</f>
        <v>-</v>
      </c>
      <c r="BS187" s="85" t="str">
        <f t="shared" ref="BS187" si="737">IF(BR187="-",BQ187,BQ187-BR187)</f>
        <v>-</v>
      </c>
      <c r="BT187" s="85" t="str">
        <f t="shared" ref="BT187" si="738">IF(BR187="-",BR187,BR187*24)</f>
        <v>-</v>
      </c>
      <c r="BU187" s="85" t="str">
        <f t="shared" ref="BU187" si="739">IF(BP187="-",BP187,BP187+(BS187*24))</f>
        <v>-</v>
      </c>
    </row>
    <row r="188" spans="1:73" s="131" customFormat="1" ht="30.15" customHeight="1" x14ac:dyDescent="0.25">
      <c r="A188" s="87" t="s">
        <v>34</v>
      </c>
      <c r="B188" s="88" t="s">
        <v>1096</v>
      </c>
      <c r="C188" s="88" t="s">
        <v>1102</v>
      </c>
      <c r="D188" s="85">
        <f>'Consumer Hardware Pricing'!L196</f>
        <v>690</v>
      </c>
      <c r="E188" s="85">
        <f>'Consumer Hardware Pricing'!M196</f>
        <v>690</v>
      </c>
      <c r="F188" s="85">
        <f>'Consumer Hardware Pricing'!N196</f>
        <v>0</v>
      </c>
      <c r="G188" s="85">
        <f t="shared" si="359"/>
        <v>28.75</v>
      </c>
      <c r="H188" s="85" t="str">
        <f>'Consumer Hardware Pricing'!O196</f>
        <v>-</v>
      </c>
      <c r="I188" s="85">
        <f t="shared" si="666"/>
        <v>28.75</v>
      </c>
      <c r="J188" s="85" t="str">
        <f t="shared" si="667"/>
        <v>-</v>
      </c>
      <c r="K188" s="85">
        <f t="shared" si="668"/>
        <v>690</v>
      </c>
      <c r="L188" s="85" t="str">
        <f>'Consumer Hardware Pricing'!Q196</f>
        <v>-</v>
      </c>
      <c r="M188" s="85" t="str">
        <f t="shared" si="360"/>
        <v>-</v>
      </c>
      <c r="N188" s="85" t="str">
        <f t="shared" si="669"/>
        <v>-</v>
      </c>
      <c r="O188" s="85" t="str">
        <f t="shared" si="670"/>
        <v>-</v>
      </c>
      <c r="P188" s="85" t="str">
        <f t="shared" si="671"/>
        <v>-</v>
      </c>
      <c r="Q188" s="85">
        <f>'Consumer Hardware Pricing'!S196</f>
        <v>0</v>
      </c>
      <c r="R188" s="85">
        <f t="shared" si="672"/>
        <v>28.75</v>
      </c>
      <c r="S188" s="85" t="str">
        <f>'Consumer Hardware Pricing'!T196</f>
        <v>-</v>
      </c>
      <c r="T188" s="129">
        <f t="shared" si="673"/>
        <v>28.75</v>
      </c>
      <c r="U188" s="129" t="str">
        <f t="shared" si="674"/>
        <v>-</v>
      </c>
      <c r="V188" s="85">
        <f t="shared" si="675"/>
        <v>690</v>
      </c>
      <c r="W188" s="129" t="str">
        <f>'Consumer Hardware Pricing'!V196</f>
        <v>-</v>
      </c>
      <c r="X188" s="129" t="str">
        <f t="shared" si="361"/>
        <v>-</v>
      </c>
      <c r="Y188" s="129" t="str">
        <f t="shared" si="676"/>
        <v>-</v>
      </c>
      <c r="Z188" s="129" t="str">
        <f t="shared" si="677"/>
        <v>-</v>
      </c>
      <c r="AA188" s="85" t="str">
        <f t="shared" si="678"/>
        <v>-</v>
      </c>
      <c r="AB188" s="85">
        <f>'Consumer Hardware Pricing'!X196</f>
        <v>0</v>
      </c>
      <c r="AC188" s="85">
        <f t="shared" si="326"/>
        <v>28.75</v>
      </c>
      <c r="AD188" s="85">
        <f>'Consumer Hardware Pricing'!Y196</f>
        <v>5.63</v>
      </c>
      <c r="AE188" s="85">
        <f t="shared" si="679"/>
        <v>23.12</v>
      </c>
      <c r="AF188" s="85">
        <f t="shared" si="680"/>
        <v>135.12</v>
      </c>
      <c r="AG188" s="85">
        <f t="shared" si="681"/>
        <v>554.88</v>
      </c>
      <c r="AH188" s="85" t="str">
        <f>'Consumer Hardware Pricing'!AA196</f>
        <v>-</v>
      </c>
      <c r="AI188" s="85" t="str">
        <f t="shared" si="327"/>
        <v>-</v>
      </c>
      <c r="AJ188" s="85" t="str">
        <f t="shared" si="682"/>
        <v>-</v>
      </c>
      <c r="AK188" s="85" t="str">
        <f t="shared" si="683"/>
        <v>-</v>
      </c>
      <c r="AL188" s="85" t="str">
        <f t="shared" si="684"/>
        <v>-</v>
      </c>
      <c r="AM188" s="85">
        <f>'Consumer Hardware Pricing'!AC196</f>
        <v>0</v>
      </c>
      <c r="AN188" s="85">
        <f t="shared" si="328"/>
        <v>28.75</v>
      </c>
      <c r="AO188" s="85">
        <f>'Consumer Hardware Pricing'!AD196</f>
        <v>5.63</v>
      </c>
      <c r="AP188" s="85">
        <f t="shared" si="685"/>
        <v>23.12</v>
      </c>
      <c r="AQ188" s="85">
        <f t="shared" si="686"/>
        <v>135.12</v>
      </c>
      <c r="AR188" s="85">
        <f t="shared" si="687"/>
        <v>554.88</v>
      </c>
      <c r="AS188" s="85" t="str">
        <f>'Consumer Hardware Pricing'!AF196</f>
        <v>-</v>
      </c>
      <c r="AT188" s="85" t="str">
        <f t="shared" si="329"/>
        <v>-</v>
      </c>
      <c r="AU188" s="85" t="str">
        <f t="shared" si="688"/>
        <v>-</v>
      </c>
      <c r="AV188" s="85" t="str">
        <f t="shared" si="689"/>
        <v>-</v>
      </c>
      <c r="AW188" s="85" t="str">
        <f t="shared" si="690"/>
        <v>-</v>
      </c>
      <c r="AX188" s="85" t="str">
        <f>'Consumer Hardware Pricing'!AH196</f>
        <v>-</v>
      </c>
      <c r="AY188" s="85" t="str">
        <f t="shared" si="330"/>
        <v>-</v>
      </c>
      <c r="AZ188" s="85" t="str">
        <f>'Consumer Hardware Pricing'!AI196</f>
        <v>-</v>
      </c>
      <c r="BA188" s="85" t="str">
        <f t="shared" si="691"/>
        <v>-</v>
      </c>
      <c r="BB188" s="85" t="str">
        <f t="shared" si="692"/>
        <v>-</v>
      </c>
      <c r="BC188" s="85" t="str">
        <f t="shared" si="693"/>
        <v>-</v>
      </c>
      <c r="BD188" s="85" t="str">
        <f>'Consumer Hardware Pricing'!AL196</f>
        <v>-</v>
      </c>
      <c r="BE188" s="85" t="str">
        <f t="shared" si="331"/>
        <v>-</v>
      </c>
      <c r="BF188" s="85" t="str">
        <f>'Consumer Hardware Pricing'!AM196</f>
        <v>-</v>
      </c>
      <c r="BG188" s="85" t="str">
        <f t="shared" si="694"/>
        <v>-</v>
      </c>
      <c r="BH188" s="85" t="str">
        <f t="shared" si="695"/>
        <v>-</v>
      </c>
      <c r="BI188" s="85" t="str">
        <f t="shared" si="696"/>
        <v>-</v>
      </c>
      <c r="BJ188" s="85" t="str">
        <f>'Consumer Hardware Pricing'!AP196</f>
        <v>-</v>
      </c>
      <c r="BK188" s="85" t="str">
        <f t="shared" si="332"/>
        <v>-</v>
      </c>
      <c r="BL188" s="85" t="str">
        <f>'Consumer Hardware Pricing'!AQ196</f>
        <v>-</v>
      </c>
      <c r="BM188" s="85" t="str">
        <f t="shared" si="697"/>
        <v>-</v>
      </c>
      <c r="BN188" s="85" t="str">
        <f t="shared" si="698"/>
        <v>-</v>
      </c>
      <c r="BO188" s="85" t="str">
        <f t="shared" si="699"/>
        <v>-</v>
      </c>
      <c r="BP188" s="85" t="str">
        <f>'Consumer Hardware Pricing'!AT196</f>
        <v>-</v>
      </c>
      <c r="BQ188" s="85" t="str">
        <f t="shared" si="333"/>
        <v>-</v>
      </c>
      <c r="BR188" s="85" t="str">
        <f>'Consumer Hardware Pricing'!AU196</f>
        <v>-</v>
      </c>
      <c r="BS188" s="85" t="str">
        <f t="shared" si="700"/>
        <v>-</v>
      </c>
      <c r="BT188" s="85" t="str">
        <f t="shared" si="701"/>
        <v>-</v>
      </c>
      <c r="BU188" s="85" t="str">
        <f t="shared" si="702"/>
        <v>-</v>
      </c>
    </row>
    <row r="189" spans="1:73" s="131" customFormat="1" ht="30.15" customHeight="1" x14ac:dyDescent="0.25">
      <c r="A189" s="87" t="s">
        <v>34</v>
      </c>
      <c r="B189" s="88" t="s">
        <v>1156</v>
      </c>
      <c r="C189" s="88" t="s">
        <v>1102</v>
      </c>
      <c r="D189" s="85">
        <f>'Consumer Hardware Pricing'!L197</f>
        <v>690</v>
      </c>
      <c r="E189" s="85">
        <f>'Consumer Hardware Pricing'!M197</f>
        <v>690</v>
      </c>
      <c r="F189" s="85">
        <f>'Consumer Hardware Pricing'!N197</f>
        <v>0</v>
      </c>
      <c r="G189" s="85">
        <f t="shared" si="359"/>
        <v>28.75</v>
      </c>
      <c r="H189" s="85" t="str">
        <f>'Consumer Hardware Pricing'!O197</f>
        <v>-</v>
      </c>
      <c r="I189" s="85">
        <f t="shared" ref="I189" si="740">IF(H189="-",G189,G189-H189)</f>
        <v>28.75</v>
      </c>
      <c r="J189" s="85" t="str">
        <f t="shared" ref="J189" si="741">IF(H189="-",H189,H189*24)</f>
        <v>-</v>
      </c>
      <c r="K189" s="85">
        <f t="shared" ref="K189" si="742">IF(F189="-",F189,I189*24)</f>
        <v>690</v>
      </c>
      <c r="L189" s="85" t="str">
        <f>'Consumer Hardware Pricing'!Q197</f>
        <v>-</v>
      </c>
      <c r="M189" s="85" t="str">
        <f t="shared" si="360"/>
        <v>-</v>
      </c>
      <c r="N189" s="85" t="str">
        <f t="shared" ref="N189" si="743">IF(L189="-",L189,G189-M189)</f>
        <v>-</v>
      </c>
      <c r="O189" s="85" t="str">
        <f t="shared" ref="O189" si="744">IF(L189="-",L189,M189*24)</f>
        <v>-</v>
      </c>
      <c r="P189" s="85" t="str">
        <f t="shared" ref="P189" si="745">IF(L189="-",L189,N189*24)</f>
        <v>-</v>
      </c>
      <c r="Q189" s="85">
        <f>'Consumer Hardware Pricing'!S197</f>
        <v>0</v>
      </c>
      <c r="R189" s="85">
        <f t="shared" ref="R189" si="746">G189</f>
        <v>28.75</v>
      </c>
      <c r="S189" s="85" t="str">
        <f>'Consumer Hardware Pricing'!T197</f>
        <v>-</v>
      </c>
      <c r="T189" s="129">
        <f t="shared" ref="T189" si="747">IF(S189="-",R189,R189-S189)</f>
        <v>28.75</v>
      </c>
      <c r="U189" s="129" t="str">
        <f t="shared" ref="U189" si="748">IF(S189="-",S189,S189*24)</f>
        <v>-</v>
      </c>
      <c r="V189" s="85">
        <f t="shared" ref="V189" si="749">IF(Q189="-",Q189,T189*24)</f>
        <v>690</v>
      </c>
      <c r="W189" s="129" t="str">
        <f>'Consumer Hardware Pricing'!V197</f>
        <v>-</v>
      </c>
      <c r="X189" s="129" t="str">
        <f t="shared" si="361"/>
        <v>-</v>
      </c>
      <c r="Y189" s="129" t="str">
        <f t="shared" ref="Y189" si="750">IF(W189="-",W189,R189-X189)</f>
        <v>-</v>
      </c>
      <c r="Z189" s="129" t="str">
        <f t="shared" ref="Z189" si="751">IF(W189="-",W189,X189*24)</f>
        <v>-</v>
      </c>
      <c r="AA189" s="85" t="str">
        <f t="shared" ref="AA189" si="752">IF(W189="-",W189,Y189*24)</f>
        <v>-</v>
      </c>
      <c r="AB189" s="85">
        <f>'Consumer Hardware Pricing'!X197</f>
        <v>0</v>
      </c>
      <c r="AC189" s="85">
        <f t="shared" si="326"/>
        <v>28.75</v>
      </c>
      <c r="AD189" s="85">
        <f>'Consumer Hardware Pricing'!Y197</f>
        <v>5.63</v>
      </c>
      <c r="AE189" s="85">
        <f t="shared" ref="AE189" si="753">IF(AD189="-",AC189,AC189-AD189)</f>
        <v>23.12</v>
      </c>
      <c r="AF189" s="85">
        <f t="shared" ref="AF189" si="754">IF(AD189="-",AD189,AD189*24)</f>
        <v>135.12</v>
      </c>
      <c r="AG189" s="85">
        <f t="shared" ref="AG189" si="755">IF(AB189="-",AB189,AE189*24)</f>
        <v>554.88</v>
      </c>
      <c r="AH189" s="85" t="str">
        <f>'Consumer Hardware Pricing'!AA197</f>
        <v>-</v>
      </c>
      <c r="AI189" s="85" t="str">
        <f t="shared" si="327"/>
        <v>-</v>
      </c>
      <c r="AJ189" s="85" t="str">
        <f t="shared" ref="AJ189" si="756">IF(AH189="-",AH189,AC189-AI189)</f>
        <v>-</v>
      </c>
      <c r="AK189" s="85" t="str">
        <f t="shared" ref="AK189" si="757">IF(AH189="-",AH189,AI189*24)</f>
        <v>-</v>
      </c>
      <c r="AL189" s="85" t="str">
        <f t="shared" ref="AL189" si="758">IF(AH189="-",AH189,AJ189*24)</f>
        <v>-</v>
      </c>
      <c r="AM189" s="85">
        <f>'Consumer Hardware Pricing'!AC197</f>
        <v>0</v>
      </c>
      <c r="AN189" s="85">
        <f t="shared" si="328"/>
        <v>28.75</v>
      </c>
      <c r="AO189" s="85">
        <f>'Consumer Hardware Pricing'!AD197</f>
        <v>5.63</v>
      </c>
      <c r="AP189" s="85">
        <f t="shared" ref="AP189" si="759">IF(AO189="-",AN189,AN189-AO189)</f>
        <v>23.12</v>
      </c>
      <c r="AQ189" s="85">
        <f t="shared" ref="AQ189" si="760">IF(AO189="-",AO189,AO189*24)</f>
        <v>135.12</v>
      </c>
      <c r="AR189" s="85">
        <f t="shared" ref="AR189" si="761">IF(AM189="-",AM189,AP189*24)</f>
        <v>554.88</v>
      </c>
      <c r="AS189" s="85" t="str">
        <f>'Consumer Hardware Pricing'!AF197</f>
        <v>-</v>
      </c>
      <c r="AT189" s="85" t="str">
        <f t="shared" si="329"/>
        <v>-</v>
      </c>
      <c r="AU189" s="85" t="str">
        <f t="shared" ref="AU189" si="762">IF(AS189="-",AS189,AN189-AT189)</f>
        <v>-</v>
      </c>
      <c r="AV189" s="85" t="str">
        <f t="shared" ref="AV189" si="763">IF(AS189="-",AS189,AT189*24)</f>
        <v>-</v>
      </c>
      <c r="AW189" s="85" t="str">
        <f t="shared" ref="AW189" si="764">IF(AS189="-",AS189,AU189*24)</f>
        <v>-</v>
      </c>
      <c r="AX189" s="85" t="str">
        <f>'Consumer Hardware Pricing'!AH197</f>
        <v>-</v>
      </c>
      <c r="AY189" s="85" t="str">
        <f t="shared" si="330"/>
        <v>-</v>
      </c>
      <c r="AZ189" s="85" t="str">
        <f>'Consumer Hardware Pricing'!AI197</f>
        <v>-</v>
      </c>
      <c r="BA189" s="85" t="str">
        <f t="shared" ref="BA189" si="765">IF(AZ189="-",AY189,AY189-AZ189)</f>
        <v>-</v>
      </c>
      <c r="BB189" s="85" t="str">
        <f t="shared" ref="BB189" si="766">IF(AZ189="-",AZ189,AZ189*24)</f>
        <v>-</v>
      </c>
      <c r="BC189" s="85" t="str">
        <f t="shared" ref="BC189" si="767">IF(AX189="-",AX189,AX189+(BA189*24))</f>
        <v>-</v>
      </c>
      <c r="BD189" s="85" t="str">
        <f>'Consumer Hardware Pricing'!AL197</f>
        <v>-</v>
      </c>
      <c r="BE189" s="85" t="str">
        <f t="shared" si="331"/>
        <v>-</v>
      </c>
      <c r="BF189" s="85" t="str">
        <f>'Consumer Hardware Pricing'!AM197</f>
        <v>-</v>
      </c>
      <c r="BG189" s="85" t="str">
        <f t="shared" ref="BG189" si="768">IF(BF189="-",BE189,BE189-BF189)</f>
        <v>-</v>
      </c>
      <c r="BH189" s="85" t="str">
        <f t="shared" ref="BH189" si="769">IF(BF189="-",BF189,BF189*24)</f>
        <v>-</v>
      </c>
      <c r="BI189" s="85" t="str">
        <f t="shared" ref="BI189" si="770">IF(BD189="-",BD189,BD189+(BG189*24))</f>
        <v>-</v>
      </c>
      <c r="BJ189" s="85" t="str">
        <f>'Consumer Hardware Pricing'!AP197</f>
        <v>-</v>
      </c>
      <c r="BK189" s="85" t="str">
        <f t="shared" si="332"/>
        <v>-</v>
      </c>
      <c r="BL189" s="85" t="str">
        <f>'Consumer Hardware Pricing'!AQ197</f>
        <v>-</v>
      </c>
      <c r="BM189" s="85" t="str">
        <f t="shared" ref="BM189" si="771">IF(BL189="-",BK189,BK189-BL189)</f>
        <v>-</v>
      </c>
      <c r="BN189" s="85" t="str">
        <f t="shared" ref="BN189" si="772">IF(BL189="-",BL189,BL189*24)</f>
        <v>-</v>
      </c>
      <c r="BO189" s="85" t="str">
        <f t="shared" ref="BO189" si="773">IF(BJ189="-",BJ189,BJ189+(BM189*24))</f>
        <v>-</v>
      </c>
      <c r="BP189" s="85" t="str">
        <f>'Consumer Hardware Pricing'!AT197</f>
        <v>-</v>
      </c>
      <c r="BQ189" s="85" t="str">
        <f t="shared" si="333"/>
        <v>-</v>
      </c>
      <c r="BR189" s="85" t="str">
        <f>'Consumer Hardware Pricing'!AU197</f>
        <v>-</v>
      </c>
      <c r="BS189" s="85" t="str">
        <f t="shared" ref="BS189" si="774">IF(BR189="-",BQ189,BQ189-BR189)</f>
        <v>-</v>
      </c>
      <c r="BT189" s="85" t="str">
        <f t="shared" ref="BT189" si="775">IF(BR189="-",BR189,BR189*24)</f>
        <v>-</v>
      </c>
      <c r="BU189" s="85" t="str">
        <f t="shared" ref="BU189" si="776">IF(BP189="-",BP189,BP189+(BS189*24))</f>
        <v>-</v>
      </c>
    </row>
    <row r="190" spans="1:73" s="131" customFormat="1" ht="30.15" customHeight="1" x14ac:dyDescent="0.25">
      <c r="A190" s="87" t="s">
        <v>34</v>
      </c>
      <c r="B190" s="88" t="s">
        <v>1097</v>
      </c>
      <c r="C190" s="88" t="s">
        <v>1102</v>
      </c>
      <c r="D190" s="85">
        <f>'Consumer Hardware Pricing'!L198</f>
        <v>690</v>
      </c>
      <c r="E190" s="85">
        <f>'Consumer Hardware Pricing'!M198</f>
        <v>690</v>
      </c>
      <c r="F190" s="85">
        <f>'Consumer Hardware Pricing'!N198</f>
        <v>0</v>
      </c>
      <c r="G190" s="85">
        <f t="shared" si="359"/>
        <v>28.75</v>
      </c>
      <c r="H190" s="85" t="str">
        <f>'Consumer Hardware Pricing'!O198</f>
        <v>-</v>
      </c>
      <c r="I190" s="85">
        <f t="shared" si="666"/>
        <v>28.75</v>
      </c>
      <c r="J190" s="85" t="str">
        <f t="shared" si="667"/>
        <v>-</v>
      </c>
      <c r="K190" s="85">
        <f t="shared" si="668"/>
        <v>690</v>
      </c>
      <c r="L190" s="85" t="str">
        <f>'Consumer Hardware Pricing'!Q198</f>
        <v>-</v>
      </c>
      <c r="M190" s="85" t="str">
        <f t="shared" si="360"/>
        <v>-</v>
      </c>
      <c r="N190" s="85" t="str">
        <f t="shared" si="669"/>
        <v>-</v>
      </c>
      <c r="O190" s="85" t="str">
        <f t="shared" si="670"/>
        <v>-</v>
      </c>
      <c r="P190" s="85" t="str">
        <f t="shared" si="671"/>
        <v>-</v>
      </c>
      <c r="Q190" s="85">
        <f>'Consumer Hardware Pricing'!S198</f>
        <v>0</v>
      </c>
      <c r="R190" s="85">
        <f t="shared" si="672"/>
        <v>28.75</v>
      </c>
      <c r="S190" s="85" t="str">
        <f>'Consumer Hardware Pricing'!T198</f>
        <v>-</v>
      </c>
      <c r="T190" s="129">
        <f t="shared" si="673"/>
        <v>28.75</v>
      </c>
      <c r="U190" s="129" t="str">
        <f t="shared" si="674"/>
        <v>-</v>
      </c>
      <c r="V190" s="85">
        <f t="shared" si="675"/>
        <v>690</v>
      </c>
      <c r="W190" s="129" t="str">
        <f>'Consumer Hardware Pricing'!V198</f>
        <v>-</v>
      </c>
      <c r="X190" s="129" t="str">
        <f t="shared" si="361"/>
        <v>-</v>
      </c>
      <c r="Y190" s="129" t="str">
        <f t="shared" si="676"/>
        <v>-</v>
      </c>
      <c r="Z190" s="129" t="str">
        <f t="shared" si="677"/>
        <v>-</v>
      </c>
      <c r="AA190" s="85" t="str">
        <f t="shared" si="678"/>
        <v>-</v>
      </c>
      <c r="AB190" s="85">
        <f>'Consumer Hardware Pricing'!X198</f>
        <v>0</v>
      </c>
      <c r="AC190" s="85">
        <f t="shared" si="326"/>
        <v>28.75</v>
      </c>
      <c r="AD190" s="85">
        <f>'Consumer Hardware Pricing'!Y198</f>
        <v>5.63</v>
      </c>
      <c r="AE190" s="85">
        <f t="shared" si="679"/>
        <v>23.12</v>
      </c>
      <c r="AF190" s="85">
        <f t="shared" si="680"/>
        <v>135.12</v>
      </c>
      <c r="AG190" s="85">
        <f t="shared" si="681"/>
        <v>554.88</v>
      </c>
      <c r="AH190" s="85" t="str">
        <f>'Consumer Hardware Pricing'!AA198</f>
        <v>-</v>
      </c>
      <c r="AI190" s="85" t="str">
        <f t="shared" si="327"/>
        <v>-</v>
      </c>
      <c r="AJ190" s="85" t="str">
        <f t="shared" si="682"/>
        <v>-</v>
      </c>
      <c r="AK190" s="85" t="str">
        <f t="shared" si="683"/>
        <v>-</v>
      </c>
      <c r="AL190" s="85" t="str">
        <f t="shared" si="684"/>
        <v>-</v>
      </c>
      <c r="AM190" s="85">
        <f>'Consumer Hardware Pricing'!AC198</f>
        <v>0</v>
      </c>
      <c r="AN190" s="85">
        <f t="shared" si="328"/>
        <v>28.75</v>
      </c>
      <c r="AO190" s="85">
        <f>'Consumer Hardware Pricing'!AD198</f>
        <v>5.63</v>
      </c>
      <c r="AP190" s="85">
        <f t="shared" si="685"/>
        <v>23.12</v>
      </c>
      <c r="AQ190" s="85">
        <f t="shared" si="686"/>
        <v>135.12</v>
      </c>
      <c r="AR190" s="85">
        <f t="shared" si="687"/>
        <v>554.88</v>
      </c>
      <c r="AS190" s="85" t="str">
        <f>'Consumer Hardware Pricing'!AF198</f>
        <v>-</v>
      </c>
      <c r="AT190" s="85" t="str">
        <f t="shared" si="329"/>
        <v>-</v>
      </c>
      <c r="AU190" s="85" t="str">
        <f t="shared" si="688"/>
        <v>-</v>
      </c>
      <c r="AV190" s="85" t="str">
        <f t="shared" si="689"/>
        <v>-</v>
      </c>
      <c r="AW190" s="85" t="str">
        <f t="shared" si="690"/>
        <v>-</v>
      </c>
      <c r="AX190" s="85" t="str">
        <f>'Consumer Hardware Pricing'!AH198</f>
        <v>-</v>
      </c>
      <c r="AY190" s="85" t="str">
        <f t="shared" si="330"/>
        <v>-</v>
      </c>
      <c r="AZ190" s="85" t="str">
        <f>'Consumer Hardware Pricing'!AI198</f>
        <v>-</v>
      </c>
      <c r="BA190" s="85" t="str">
        <f t="shared" si="691"/>
        <v>-</v>
      </c>
      <c r="BB190" s="85" t="str">
        <f t="shared" si="692"/>
        <v>-</v>
      </c>
      <c r="BC190" s="85" t="str">
        <f t="shared" si="693"/>
        <v>-</v>
      </c>
      <c r="BD190" s="85" t="str">
        <f>'Consumer Hardware Pricing'!AL198</f>
        <v>-</v>
      </c>
      <c r="BE190" s="85" t="str">
        <f t="shared" si="331"/>
        <v>-</v>
      </c>
      <c r="BF190" s="85" t="str">
        <f>'Consumer Hardware Pricing'!AM198</f>
        <v>-</v>
      </c>
      <c r="BG190" s="85" t="str">
        <f t="shared" si="694"/>
        <v>-</v>
      </c>
      <c r="BH190" s="85" t="str">
        <f t="shared" si="695"/>
        <v>-</v>
      </c>
      <c r="BI190" s="85" t="str">
        <f t="shared" si="696"/>
        <v>-</v>
      </c>
      <c r="BJ190" s="85" t="str">
        <f>'Consumer Hardware Pricing'!AP198</f>
        <v>-</v>
      </c>
      <c r="BK190" s="85" t="str">
        <f t="shared" si="332"/>
        <v>-</v>
      </c>
      <c r="BL190" s="85" t="str">
        <f>'Consumer Hardware Pricing'!AQ198</f>
        <v>-</v>
      </c>
      <c r="BM190" s="85" t="str">
        <f t="shared" si="697"/>
        <v>-</v>
      </c>
      <c r="BN190" s="85" t="str">
        <f t="shared" si="698"/>
        <v>-</v>
      </c>
      <c r="BO190" s="85" t="str">
        <f t="shared" si="699"/>
        <v>-</v>
      </c>
      <c r="BP190" s="85" t="str">
        <f>'Consumer Hardware Pricing'!AT198</f>
        <v>-</v>
      </c>
      <c r="BQ190" s="85" t="str">
        <f t="shared" si="333"/>
        <v>-</v>
      </c>
      <c r="BR190" s="85" t="str">
        <f>'Consumer Hardware Pricing'!AU198</f>
        <v>-</v>
      </c>
      <c r="BS190" s="85" t="str">
        <f t="shared" si="700"/>
        <v>-</v>
      </c>
      <c r="BT190" s="85" t="str">
        <f t="shared" si="701"/>
        <v>-</v>
      </c>
      <c r="BU190" s="85" t="str">
        <f t="shared" si="702"/>
        <v>-</v>
      </c>
    </row>
    <row r="191" spans="1:73" s="131" customFormat="1" ht="30.15" customHeight="1" x14ac:dyDescent="0.25">
      <c r="A191" s="87" t="s">
        <v>34</v>
      </c>
      <c r="B191" s="88" t="s">
        <v>1098</v>
      </c>
      <c r="C191" s="88" t="s">
        <v>1103</v>
      </c>
      <c r="D191" s="85">
        <f>'Consumer Hardware Pricing'!L199</f>
        <v>830</v>
      </c>
      <c r="E191" s="85">
        <f>'Consumer Hardware Pricing'!M199</f>
        <v>830</v>
      </c>
      <c r="F191" s="85">
        <f>'Consumer Hardware Pricing'!N199</f>
        <v>0</v>
      </c>
      <c r="G191" s="85">
        <f t="shared" si="359"/>
        <v>34.589999999999996</v>
      </c>
      <c r="H191" s="85" t="str">
        <f>'Consumer Hardware Pricing'!O199</f>
        <v>-</v>
      </c>
      <c r="I191" s="85">
        <f t="shared" si="666"/>
        <v>34.589999999999996</v>
      </c>
      <c r="J191" s="85" t="str">
        <f t="shared" si="667"/>
        <v>-</v>
      </c>
      <c r="K191" s="85">
        <f t="shared" si="668"/>
        <v>830.15999999999985</v>
      </c>
      <c r="L191" s="85" t="str">
        <f>'Consumer Hardware Pricing'!Q199</f>
        <v>-</v>
      </c>
      <c r="M191" s="85" t="str">
        <f t="shared" si="360"/>
        <v>-</v>
      </c>
      <c r="N191" s="85" t="str">
        <f t="shared" si="669"/>
        <v>-</v>
      </c>
      <c r="O191" s="85" t="str">
        <f t="shared" si="670"/>
        <v>-</v>
      </c>
      <c r="P191" s="85" t="str">
        <f t="shared" si="671"/>
        <v>-</v>
      </c>
      <c r="Q191" s="85">
        <f>'Consumer Hardware Pricing'!S199</f>
        <v>0</v>
      </c>
      <c r="R191" s="85">
        <f t="shared" si="672"/>
        <v>34.589999999999996</v>
      </c>
      <c r="S191" s="85" t="str">
        <f>'Consumer Hardware Pricing'!T199</f>
        <v>-</v>
      </c>
      <c r="T191" s="129">
        <f t="shared" si="673"/>
        <v>34.589999999999996</v>
      </c>
      <c r="U191" s="129" t="str">
        <f t="shared" si="674"/>
        <v>-</v>
      </c>
      <c r="V191" s="85">
        <f t="shared" si="675"/>
        <v>830.15999999999985</v>
      </c>
      <c r="W191" s="129" t="str">
        <f>'Consumer Hardware Pricing'!V199</f>
        <v>-</v>
      </c>
      <c r="X191" s="129" t="str">
        <f t="shared" si="361"/>
        <v>-</v>
      </c>
      <c r="Y191" s="129" t="str">
        <f t="shared" si="676"/>
        <v>-</v>
      </c>
      <c r="Z191" s="129" t="str">
        <f t="shared" si="677"/>
        <v>-</v>
      </c>
      <c r="AA191" s="85" t="str">
        <f t="shared" si="678"/>
        <v>-</v>
      </c>
      <c r="AB191" s="85">
        <f>'Consumer Hardware Pricing'!X199</f>
        <v>0</v>
      </c>
      <c r="AC191" s="85">
        <f t="shared" si="326"/>
        <v>34.589999999999996</v>
      </c>
      <c r="AD191" s="85">
        <f>'Consumer Hardware Pricing'!Y199</f>
        <v>5.63</v>
      </c>
      <c r="AE191" s="85">
        <f t="shared" si="679"/>
        <v>28.959999999999997</v>
      </c>
      <c r="AF191" s="85">
        <f t="shared" si="680"/>
        <v>135.12</v>
      </c>
      <c r="AG191" s="85">
        <f t="shared" si="681"/>
        <v>695.04</v>
      </c>
      <c r="AH191" s="85" t="str">
        <f>'Consumer Hardware Pricing'!AA199</f>
        <v>-</v>
      </c>
      <c r="AI191" s="85" t="str">
        <f t="shared" si="327"/>
        <v>-</v>
      </c>
      <c r="AJ191" s="85" t="str">
        <f t="shared" si="682"/>
        <v>-</v>
      </c>
      <c r="AK191" s="85" t="str">
        <f t="shared" si="683"/>
        <v>-</v>
      </c>
      <c r="AL191" s="85" t="str">
        <f t="shared" si="684"/>
        <v>-</v>
      </c>
      <c r="AM191" s="85">
        <f>'Consumer Hardware Pricing'!AC199</f>
        <v>0</v>
      </c>
      <c r="AN191" s="85">
        <f t="shared" si="328"/>
        <v>34.589999999999996</v>
      </c>
      <c r="AO191" s="85">
        <f>'Consumer Hardware Pricing'!AD199</f>
        <v>5.63</v>
      </c>
      <c r="AP191" s="85">
        <f t="shared" si="685"/>
        <v>28.959999999999997</v>
      </c>
      <c r="AQ191" s="85">
        <f t="shared" si="686"/>
        <v>135.12</v>
      </c>
      <c r="AR191" s="85">
        <f t="shared" si="687"/>
        <v>695.04</v>
      </c>
      <c r="AS191" s="85" t="str">
        <f>'Consumer Hardware Pricing'!AF199</f>
        <v>-</v>
      </c>
      <c r="AT191" s="85" t="str">
        <f t="shared" si="329"/>
        <v>-</v>
      </c>
      <c r="AU191" s="85" t="str">
        <f t="shared" si="688"/>
        <v>-</v>
      </c>
      <c r="AV191" s="85" t="str">
        <f t="shared" si="689"/>
        <v>-</v>
      </c>
      <c r="AW191" s="85" t="str">
        <f t="shared" si="690"/>
        <v>-</v>
      </c>
      <c r="AX191" s="85" t="str">
        <f>'Consumer Hardware Pricing'!AH199</f>
        <v>-</v>
      </c>
      <c r="AY191" s="85" t="str">
        <f t="shared" si="330"/>
        <v>-</v>
      </c>
      <c r="AZ191" s="85" t="str">
        <f>'Consumer Hardware Pricing'!AI199</f>
        <v>-</v>
      </c>
      <c r="BA191" s="85" t="str">
        <f t="shared" si="691"/>
        <v>-</v>
      </c>
      <c r="BB191" s="85" t="str">
        <f t="shared" si="692"/>
        <v>-</v>
      </c>
      <c r="BC191" s="85" t="str">
        <f t="shared" si="693"/>
        <v>-</v>
      </c>
      <c r="BD191" s="85" t="str">
        <f>'Consumer Hardware Pricing'!AL199</f>
        <v>-</v>
      </c>
      <c r="BE191" s="85" t="str">
        <f t="shared" si="331"/>
        <v>-</v>
      </c>
      <c r="BF191" s="85" t="str">
        <f>'Consumer Hardware Pricing'!AM199</f>
        <v>-</v>
      </c>
      <c r="BG191" s="85" t="str">
        <f t="shared" si="694"/>
        <v>-</v>
      </c>
      <c r="BH191" s="85" t="str">
        <f t="shared" si="695"/>
        <v>-</v>
      </c>
      <c r="BI191" s="85" t="str">
        <f t="shared" si="696"/>
        <v>-</v>
      </c>
      <c r="BJ191" s="85" t="str">
        <f>'Consumer Hardware Pricing'!AP199</f>
        <v>-</v>
      </c>
      <c r="BK191" s="85" t="str">
        <f t="shared" si="332"/>
        <v>-</v>
      </c>
      <c r="BL191" s="85" t="str">
        <f>'Consumer Hardware Pricing'!AQ199</f>
        <v>-</v>
      </c>
      <c r="BM191" s="85" t="str">
        <f t="shared" si="697"/>
        <v>-</v>
      </c>
      <c r="BN191" s="85" t="str">
        <f t="shared" si="698"/>
        <v>-</v>
      </c>
      <c r="BO191" s="85" t="str">
        <f t="shared" si="699"/>
        <v>-</v>
      </c>
      <c r="BP191" s="85" t="str">
        <f>'Consumer Hardware Pricing'!AT199</f>
        <v>-</v>
      </c>
      <c r="BQ191" s="85" t="str">
        <f t="shared" si="333"/>
        <v>-</v>
      </c>
      <c r="BR191" s="85" t="str">
        <f>'Consumer Hardware Pricing'!AU199</f>
        <v>-</v>
      </c>
      <c r="BS191" s="85" t="str">
        <f t="shared" si="700"/>
        <v>-</v>
      </c>
      <c r="BT191" s="85" t="str">
        <f t="shared" si="701"/>
        <v>-</v>
      </c>
      <c r="BU191" s="85" t="str">
        <f t="shared" si="702"/>
        <v>-</v>
      </c>
    </row>
    <row r="192" spans="1:73" s="131" customFormat="1" ht="30.15" customHeight="1" x14ac:dyDescent="0.25">
      <c r="A192" s="87" t="s">
        <v>34</v>
      </c>
      <c r="B192" s="88" t="s">
        <v>1099</v>
      </c>
      <c r="C192" s="88" t="s">
        <v>1103</v>
      </c>
      <c r="D192" s="85">
        <f>'Consumer Hardware Pricing'!L200</f>
        <v>830</v>
      </c>
      <c r="E192" s="85">
        <f>'Consumer Hardware Pricing'!M200</f>
        <v>830</v>
      </c>
      <c r="F192" s="85">
        <f>'Consumer Hardware Pricing'!N200</f>
        <v>0</v>
      </c>
      <c r="G192" s="85">
        <f t="shared" si="359"/>
        <v>34.589999999999996</v>
      </c>
      <c r="H192" s="85" t="str">
        <f>'Consumer Hardware Pricing'!O200</f>
        <v>-</v>
      </c>
      <c r="I192" s="85">
        <f t="shared" si="666"/>
        <v>34.589999999999996</v>
      </c>
      <c r="J192" s="85" t="str">
        <f t="shared" si="667"/>
        <v>-</v>
      </c>
      <c r="K192" s="85">
        <f t="shared" si="668"/>
        <v>830.15999999999985</v>
      </c>
      <c r="L192" s="85" t="str">
        <f>'Consumer Hardware Pricing'!Q200</f>
        <v>-</v>
      </c>
      <c r="M192" s="85" t="str">
        <f t="shared" si="360"/>
        <v>-</v>
      </c>
      <c r="N192" s="85" t="str">
        <f t="shared" si="669"/>
        <v>-</v>
      </c>
      <c r="O192" s="85" t="str">
        <f t="shared" si="670"/>
        <v>-</v>
      </c>
      <c r="P192" s="85" t="str">
        <f t="shared" si="671"/>
        <v>-</v>
      </c>
      <c r="Q192" s="85">
        <f>'Consumer Hardware Pricing'!S200</f>
        <v>0</v>
      </c>
      <c r="R192" s="85">
        <f t="shared" si="672"/>
        <v>34.589999999999996</v>
      </c>
      <c r="S192" s="85" t="str">
        <f>'Consumer Hardware Pricing'!T200</f>
        <v>-</v>
      </c>
      <c r="T192" s="129">
        <f t="shared" si="673"/>
        <v>34.589999999999996</v>
      </c>
      <c r="U192" s="129" t="str">
        <f t="shared" si="674"/>
        <v>-</v>
      </c>
      <c r="V192" s="85">
        <f t="shared" si="675"/>
        <v>830.15999999999985</v>
      </c>
      <c r="W192" s="129" t="str">
        <f>'Consumer Hardware Pricing'!V200</f>
        <v>-</v>
      </c>
      <c r="X192" s="129" t="str">
        <f t="shared" si="361"/>
        <v>-</v>
      </c>
      <c r="Y192" s="129" t="str">
        <f t="shared" si="676"/>
        <v>-</v>
      </c>
      <c r="Z192" s="129" t="str">
        <f t="shared" si="677"/>
        <v>-</v>
      </c>
      <c r="AA192" s="85" t="str">
        <f t="shared" si="678"/>
        <v>-</v>
      </c>
      <c r="AB192" s="85">
        <f>'Consumer Hardware Pricing'!X200</f>
        <v>0</v>
      </c>
      <c r="AC192" s="85">
        <f t="shared" si="326"/>
        <v>34.589999999999996</v>
      </c>
      <c r="AD192" s="85">
        <f>'Consumer Hardware Pricing'!Y200</f>
        <v>5.63</v>
      </c>
      <c r="AE192" s="85">
        <f t="shared" si="679"/>
        <v>28.959999999999997</v>
      </c>
      <c r="AF192" s="85">
        <f t="shared" si="680"/>
        <v>135.12</v>
      </c>
      <c r="AG192" s="85">
        <f t="shared" si="681"/>
        <v>695.04</v>
      </c>
      <c r="AH192" s="85" t="str">
        <f>'Consumer Hardware Pricing'!AA200</f>
        <v>-</v>
      </c>
      <c r="AI192" s="85" t="str">
        <f t="shared" si="327"/>
        <v>-</v>
      </c>
      <c r="AJ192" s="85" t="str">
        <f t="shared" si="682"/>
        <v>-</v>
      </c>
      <c r="AK192" s="85" t="str">
        <f t="shared" si="683"/>
        <v>-</v>
      </c>
      <c r="AL192" s="85" t="str">
        <f t="shared" si="684"/>
        <v>-</v>
      </c>
      <c r="AM192" s="85">
        <f>'Consumer Hardware Pricing'!AC200</f>
        <v>0</v>
      </c>
      <c r="AN192" s="85">
        <f t="shared" si="328"/>
        <v>34.589999999999996</v>
      </c>
      <c r="AO192" s="85">
        <f>'Consumer Hardware Pricing'!AD200</f>
        <v>5.63</v>
      </c>
      <c r="AP192" s="85">
        <f t="shared" si="685"/>
        <v>28.959999999999997</v>
      </c>
      <c r="AQ192" s="85">
        <f t="shared" si="686"/>
        <v>135.12</v>
      </c>
      <c r="AR192" s="85">
        <f t="shared" si="687"/>
        <v>695.04</v>
      </c>
      <c r="AS192" s="85" t="str">
        <f>'Consumer Hardware Pricing'!AF200</f>
        <v>-</v>
      </c>
      <c r="AT192" s="85" t="str">
        <f t="shared" si="329"/>
        <v>-</v>
      </c>
      <c r="AU192" s="85" t="str">
        <f t="shared" si="688"/>
        <v>-</v>
      </c>
      <c r="AV192" s="85" t="str">
        <f t="shared" si="689"/>
        <v>-</v>
      </c>
      <c r="AW192" s="85" t="str">
        <f t="shared" si="690"/>
        <v>-</v>
      </c>
      <c r="AX192" s="85" t="str">
        <f>'Consumer Hardware Pricing'!AH200</f>
        <v>-</v>
      </c>
      <c r="AY192" s="85" t="str">
        <f t="shared" si="330"/>
        <v>-</v>
      </c>
      <c r="AZ192" s="85" t="str">
        <f>'Consumer Hardware Pricing'!AI200</f>
        <v>-</v>
      </c>
      <c r="BA192" s="85" t="str">
        <f t="shared" si="691"/>
        <v>-</v>
      </c>
      <c r="BB192" s="85" t="str">
        <f t="shared" si="692"/>
        <v>-</v>
      </c>
      <c r="BC192" s="85" t="str">
        <f t="shared" si="693"/>
        <v>-</v>
      </c>
      <c r="BD192" s="85" t="str">
        <f>'Consumer Hardware Pricing'!AL200</f>
        <v>-</v>
      </c>
      <c r="BE192" s="85" t="str">
        <f t="shared" si="331"/>
        <v>-</v>
      </c>
      <c r="BF192" s="85" t="str">
        <f>'Consumer Hardware Pricing'!AM200</f>
        <v>-</v>
      </c>
      <c r="BG192" s="85" t="str">
        <f t="shared" si="694"/>
        <v>-</v>
      </c>
      <c r="BH192" s="85" t="str">
        <f t="shared" si="695"/>
        <v>-</v>
      </c>
      <c r="BI192" s="85" t="str">
        <f t="shared" si="696"/>
        <v>-</v>
      </c>
      <c r="BJ192" s="85" t="str">
        <f>'Consumer Hardware Pricing'!AP200</f>
        <v>-</v>
      </c>
      <c r="BK192" s="85" t="str">
        <f t="shared" si="332"/>
        <v>-</v>
      </c>
      <c r="BL192" s="85" t="str">
        <f>'Consumer Hardware Pricing'!AQ200</f>
        <v>-</v>
      </c>
      <c r="BM192" s="85" t="str">
        <f t="shared" si="697"/>
        <v>-</v>
      </c>
      <c r="BN192" s="85" t="str">
        <f t="shared" si="698"/>
        <v>-</v>
      </c>
      <c r="BO192" s="85" t="str">
        <f t="shared" si="699"/>
        <v>-</v>
      </c>
      <c r="BP192" s="85" t="str">
        <f>'Consumer Hardware Pricing'!AT200</f>
        <v>-</v>
      </c>
      <c r="BQ192" s="85" t="str">
        <f t="shared" si="333"/>
        <v>-</v>
      </c>
      <c r="BR192" s="85" t="str">
        <f>'Consumer Hardware Pricing'!AU200</f>
        <v>-</v>
      </c>
      <c r="BS192" s="85" t="str">
        <f t="shared" si="700"/>
        <v>-</v>
      </c>
      <c r="BT192" s="85" t="str">
        <f t="shared" si="701"/>
        <v>-</v>
      </c>
      <c r="BU192" s="85" t="str">
        <f t="shared" si="702"/>
        <v>-</v>
      </c>
    </row>
    <row r="193" spans="1:73" s="131" customFormat="1" ht="30.15" customHeight="1" x14ac:dyDescent="0.25">
      <c r="A193" s="87" t="s">
        <v>34</v>
      </c>
      <c r="B193" s="88" t="s">
        <v>1100</v>
      </c>
      <c r="C193" s="88" t="s">
        <v>1103</v>
      </c>
      <c r="D193" s="85">
        <f>'Consumer Hardware Pricing'!L201</f>
        <v>830</v>
      </c>
      <c r="E193" s="85">
        <f>'Consumer Hardware Pricing'!M201</f>
        <v>830</v>
      </c>
      <c r="F193" s="85">
        <f>'Consumer Hardware Pricing'!N201</f>
        <v>0</v>
      </c>
      <c r="G193" s="85">
        <f t="shared" si="359"/>
        <v>34.589999999999996</v>
      </c>
      <c r="H193" s="85" t="str">
        <f>'Consumer Hardware Pricing'!O201</f>
        <v>-</v>
      </c>
      <c r="I193" s="85">
        <f t="shared" si="666"/>
        <v>34.589999999999996</v>
      </c>
      <c r="J193" s="85" t="str">
        <f t="shared" si="667"/>
        <v>-</v>
      </c>
      <c r="K193" s="85">
        <f t="shared" si="668"/>
        <v>830.15999999999985</v>
      </c>
      <c r="L193" s="85" t="str">
        <f>'Consumer Hardware Pricing'!Q201</f>
        <v>-</v>
      </c>
      <c r="M193" s="85" t="str">
        <f t="shared" si="360"/>
        <v>-</v>
      </c>
      <c r="N193" s="85" t="str">
        <f t="shared" si="669"/>
        <v>-</v>
      </c>
      <c r="O193" s="85" t="str">
        <f t="shared" si="670"/>
        <v>-</v>
      </c>
      <c r="P193" s="85" t="str">
        <f t="shared" si="671"/>
        <v>-</v>
      </c>
      <c r="Q193" s="85">
        <f>'Consumer Hardware Pricing'!S201</f>
        <v>0</v>
      </c>
      <c r="R193" s="85">
        <f t="shared" si="672"/>
        <v>34.589999999999996</v>
      </c>
      <c r="S193" s="85" t="str">
        <f>'Consumer Hardware Pricing'!T201</f>
        <v>-</v>
      </c>
      <c r="T193" s="129">
        <f t="shared" si="673"/>
        <v>34.589999999999996</v>
      </c>
      <c r="U193" s="129" t="str">
        <f t="shared" si="674"/>
        <v>-</v>
      </c>
      <c r="V193" s="85">
        <f t="shared" si="675"/>
        <v>830.15999999999985</v>
      </c>
      <c r="W193" s="129" t="str">
        <f>'Consumer Hardware Pricing'!V201</f>
        <v>-</v>
      </c>
      <c r="X193" s="129" t="str">
        <f t="shared" si="361"/>
        <v>-</v>
      </c>
      <c r="Y193" s="129" t="str">
        <f t="shared" si="676"/>
        <v>-</v>
      </c>
      <c r="Z193" s="129" t="str">
        <f t="shared" si="677"/>
        <v>-</v>
      </c>
      <c r="AA193" s="85" t="str">
        <f t="shared" si="678"/>
        <v>-</v>
      </c>
      <c r="AB193" s="85">
        <f>'Consumer Hardware Pricing'!X201</f>
        <v>0</v>
      </c>
      <c r="AC193" s="85">
        <f t="shared" si="326"/>
        <v>34.589999999999996</v>
      </c>
      <c r="AD193" s="85">
        <f>'Consumer Hardware Pricing'!Y201</f>
        <v>5.63</v>
      </c>
      <c r="AE193" s="85">
        <f t="shared" si="679"/>
        <v>28.959999999999997</v>
      </c>
      <c r="AF193" s="85">
        <f t="shared" si="680"/>
        <v>135.12</v>
      </c>
      <c r="AG193" s="85">
        <f t="shared" si="681"/>
        <v>695.04</v>
      </c>
      <c r="AH193" s="85" t="str">
        <f>'Consumer Hardware Pricing'!AA201</f>
        <v>-</v>
      </c>
      <c r="AI193" s="85" t="str">
        <f t="shared" si="327"/>
        <v>-</v>
      </c>
      <c r="AJ193" s="85" t="str">
        <f t="shared" si="682"/>
        <v>-</v>
      </c>
      <c r="AK193" s="85" t="str">
        <f t="shared" si="683"/>
        <v>-</v>
      </c>
      <c r="AL193" s="85" t="str">
        <f t="shared" si="684"/>
        <v>-</v>
      </c>
      <c r="AM193" s="85">
        <f>'Consumer Hardware Pricing'!AC201</f>
        <v>0</v>
      </c>
      <c r="AN193" s="85">
        <f t="shared" si="328"/>
        <v>34.589999999999996</v>
      </c>
      <c r="AO193" s="85">
        <f>'Consumer Hardware Pricing'!AD201</f>
        <v>5.63</v>
      </c>
      <c r="AP193" s="85">
        <f t="shared" si="685"/>
        <v>28.959999999999997</v>
      </c>
      <c r="AQ193" s="85">
        <f t="shared" si="686"/>
        <v>135.12</v>
      </c>
      <c r="AR193" s="85">
        <f t="shared" si="687"/>
        <v>695.04</v>
      </c>
      <c r="AS193" s="85" t="str">
        <f>'Consumer Hardware Pricing'!AF201</f>
        <v>-</v>
      </c>
      <c r="AT193" s="85" t="str">
        <f t="shared" si="329"/>
        <v>-</v>
      </c>
      <c r="AU193" s="85" t="str">
        <f t="shared" si="688"/>
        <v>-</v>
      </c>
      <c r="AV193" s="85" t="str">
        <f t="shared" si="689"/>
        <v>-</v>
      </c>
      <c r="AW193" s="85" t="str">
        <f t="shared" si="690"/>
        <v>-</v>
      </c>
      <c r="AX193" s="85" t="str">
        <f>'Consumer Hardware Pricing'!AH201</f>
        <v>-</v>
      </c>
      <c r="AY193" s="85" t="str">
        <f t="shared" si="330"/>
        <v>-</v>
      </c>
      <c r="AZ193" s="85" t="str">
        <f>'Consumer Hardware Pricing'!AI201</f>
        <v>-</v>
      </c>
      <c r="BA193" s="85" t="str">
        <f t="shared" si="691"/>
        <v>-</v>
      </c>
      <c r="BB193" s="85" t="str">
        <f t="shared" si="692"/>
        <v>-</v>
      </c>
      <c r="BC193" s="85" t="str">
        <f t="shared" si="693"/>
        <v>-</v>
      </c>
      <c r="BD193" s="85" t="str">
        <f>'Consumer Hardware Pricing'!AL201</f>
        <v>-</v>
      </c>
      <c r="BE193" s="85" t="str">
        <f t="shared" si="331"/>
        <v>-</v>
      </c>
      <c r="BF193" s="85" t="str">
        <f>'Consumer Hardware Pricing'!AM201</f>
        <v>-</v>
      </c>
      <c r="BG193" s="85" t="str">
        <f t="shared" si="694"/>
        <v>-</v>
      </c>
      <c r="BH193" s="85" t="str">
        <f t="shared" si="695"/>
        <v>-</v>
      </c>
      <c r="BI193" s="85" t="str">
        <f t="shared" si="696"/>
        <v>-</v>
      </c>
      <c r="BJ193" s="85" t="str">
        <f>'Consumer Hardware Pricing'!AP201</f>
        <v>-</v>
      </c>
      <c r="BK193" s="85" t="str">
        <f t="shared" si="332"/>
        <v>-</v>
      </c>
      <c r="BL193" s="85" t="str">
        <f>'Consumer Hardware Pricing'!AQ201</f>
        <v>-</v>
      </c>
      <c r="BM193" s="85" t="str">
        <f t="shared" si="697"/>
        <v>-</v>
      </c>
      <c r="BN193" s="85" t="str">
        <f t="shared" si="698"/>
        <v>-</v>
      </c>
      <c r="BO193" s="85" t="str">
        <f t="shared" si="699"/>
        <v>-</v>
      </c>
      <c r="BP193" s="85" t="str">
        <f>'Consumer Hardware Pricing'!AT201</f>
        <v>-</v>
      </c>
      <c r="BQ193" s="85" t="str">
        <f t="shared" si="333"/>
        <v>-</v>
      </c>
      <c r="BR193" s="85" t="str">
        <f>'Consumer Hardware Pricing'!AU201</f>
        <v>-</v>
      </c>
      <c r="BS193" s="85" t="str">
        <f t="shared" si="700"/>
        <v>-</v>
      </c>
      <c r="BT193" s="85" t="str">
        <f t="shared" si="701"/>
        <v>-</v>
      </c>
      <c r="BU193" s="85" t="str">
        <f t="shared" si="702"/>
        <v>-</v>
      </c>
    </row>
    <row r="194" spans="1:73" ht="30.15" customHeight="1" x14ac:dyDescent="0.25">
      <c r="A194" s="87" t="s">
        <v>34</v>
      </c>
      <c r="B194" s="88" t="s">
        <v>192</v>
      </c>
      <c r="C194" s="88" t="s">
        <v>195</v>
      </c>
      <c r="D194" s="85">
        <f>'Consumer Hardware Pricing'!L202</f>
        <v>625</v>
      </c>
      <c r="E194" s="85">
        <f>'Consumer Hardware Pricing'!M202</f>
        <v>625</v>
      </c>
      <c r="F194" s="85">
        <f>'Consumer Hardware Pricing'!N202</f>
        <v>0</v>
      </c>
      <c r="G194" s="85">
        <f t="shared" si="359"/>
        <v>26.05</v>
      </c>
      <c r="H194" s="85">
        <f>'Consumer Hardware Pricing'!O202</f>
        <v>16.05</v>
      </c>
      <c r="I194" s="85">
        <f t="shared" si="616"/>
        <v>10</v>
      </c>
      <c r="J194" s="85">
        <f t="shared" si="628"/>
        <v>385.20000000000005</v>
      </c>
      <c r="K194" s="85">
        <f t="shared" si="629"/>
        <v>240</v>
      </c>
      <c r="L194" s="85" t="str">
        <f>'Consumer Hardware Pricing'!Q202</f>
        <v>-</v>
      </c>
      <c r="M194" s="85" t="str">
        <f t="shared" si="360"/>
        <v>-</v>
      </c>
      <c r="N194" s="85" t="str">
        <f t="shared" si="617"/>
        <v>-</v>
      </c>
      <c r="O194" s="85" t="str">
        <f t="shared" si="618"/>
        <v>-</v>
      </c>
      <c r="P194" s="85" t="str">
        <f t="shared" si="630"/>
        <v>-</v>
      </c>
      <c r="Q194" s="85">
        <f>'Consumer Hardware Pricing'!S202</f>
        <v>0</v>
      </c>
      <c r="R194" s="85">
        <f t="shared" si="619"/>
        <v>26.05</v>
      </c>
      <c r="S194" s="85">
        <f>'Consumer Hardware Pricing'!T202</f>
        <v>16.05</v>
      </c>
      <c r="T194" s="129">
        <f t="shared" si="631"/>
        <v>10</v>
      </c>
      <c r="U194" s="129">
        <f t="shared" si="632"/>
        <v>385.20000000000005</v>
      </c>
      <c r="V194" s="85">
        <f t="shared" si="633"/>
        <v>240</v>
      </c>
      <c r="W194" s="129" t="str">
        <f>'Consumer Hardware Pricing'!V202</f>
        <v>-</v>
      </c>
      <c r="X194" s="129" t="str">
        <f t="shared" si="361"/>
        <v>-</v>
      </c>
      <c r="Y194" s="129" t="str">
        <f t="shared" si="634"/>
        <v>-</v>
      </c>
      <c r="Z194" s="129" t="str">
        <f t="shared" si="635"/>
        <v>-</v>
      </c>
      <c r="AA194" s="85" t="str">
        <f t="shared" si="636"/>
        <v>-</v>
      </c>
      <c r="AB194" s="85">
        <f>'Consumer Hardware Pricing'!X202</f>
        <v>0</v>
      </c>
      <c r="AC194" s="85">
        <f t="shared" si="326"/>
        <v>26.05</v>
      </c>
      <c r="AD194" s="85">
        <f>'Consumer Hardware Pricing'!Y202</f>
        <v>16.05</v>
      </c>
      <c r="AE194" s="85">
        <f t="shared" si="556"/>
        <v>10</v>
      </c>
      <c r="AF194" s="85">
        <f t="shared" si="557"/>
        <v>385.20000000000005</v>
      </c>
      <c r="AG194" s="85">
        <f t="shared" si="558"/>
        <v>240</v>
      </c>
      <c r="AH194" s="85" t="str">
        <f>'Consumer Hardware Pricing'!AA202</f>
        <v>-</v>
      </c>
      <c r="AI194" s="85" t="str">
        <f t="shared" si="327"/>
        <v>-</v>
      </c>
      <c r="AJ194" s="85" t="str">
        <f t="shared" si="559"/>
        <v>-</v>
      </c>
      <c r="AK194" s="85" t="str">
        <f t="shared" si="560"/>
        <v>-</v>
      </c>
      <c r="AL194" s="85" t="str">
        <f t="shared" si="561"/>
        <v>-</v>
      </c>
      <c r="AM194" s="85">
        <f>'Consumer Hardware Pricing'!AC202</f>
        <v>0</v>
      </c>
      <c r="AN194" s="85">
        <f t="shared" si="328"/>
        <v>26.05</v>
      </c>
      <c r="AO194" s="85">
        <f>'Consumer Hardware Pricing'!AD202</f>
        <v>16.05</v>
      </c>
      <c r="AP194" s="85">
        <f t="shared" si="562"/>
        <v>10</v>
      </c>
      <c r="AQ194" s="85">
        <f t="shared" si="563"/>
        <v>385.20000000000005</v>
      </c>
      <c r="AR194" s="85">
        <f t="shared" si="564"/>
        <v>240</v>
      </c>
      <c r="AS194" s="85" t="str">
        <f>'Consumer Hardware Pricing'!AF202</f>
        <v>-</v>
      </c>
      <c r="AT194" s="85" t="str">
        <f t="shared" si="329"/>
        <v>-</v>
      </c>
      <c r="AU194" s="85" t="str">
        <f t="shared" si="565"/>
        <v>-</v>
      </c>
      <c r="AV194" s="85" t="str">
        <f t="shared" si="566"/>
        <v>-</v>
      </c>
      <c r="AW194" s="85" t="str">
        <f t="shared" si="567"/>
        <v>-</v>
      </c>
      <c r="AX194" s="85">
        <f>'Consumer Hardware Pricing'!AH202</f>
        <v>0</v>
      </c>
      <c r="AY194" s="85">
        <f t="shared" si="330"/>
        <v>26.05</v>
      </c>
      <c r="AZ194" s="85" t="str">
        <f>'Consumer Hardware Pricing'!AI202</f>
        <v>-</v>
      </c>
      <c r="BA194" s="85">
        <f t="shared" si="620"/>
        <v>26.05</v>
      </c>
      <c r="BB194" s="85" t="str">
        <f t="shared" si="621"/>
        <v>-</v>
      </c>
      <c r="BC194" s="85">
        <f t="shared" si="637"/>
        <v>625.20000000000005</v>
      </c>
      <c r="BD194" s="85" t="str">
        <f>'Consumer Hardware Pricing'!AL202</f>
        <v>-</v>
      </c>
      <c r="BE194" s="85" t="str">
        <f t="shared" si="331"/>
        <v>-</v>
      </c>
      <c r="BF194" s="85" t="str">
        <f>'Consumer Hardware Pricing'!AM202</f>
        <v>-</v>
      </c>
      <c r="BG194" s="85" t="str">
        <f t="shared" si="622"/>
        <v>-</v>
      </c>
      <c r="BH194" s="85" t="str">
        <f t="shared" si="623"/>
        <v>-</v>
      </c>
      <c r="BI194" s="85" t="str">
        <f t="shared" si="638"/>
        <v>-</v>
      </c>
      <c r="BJ194" s="85" t="str">
        <f>'Consumer Hardware Pricing'!AP202</f>
        <v>-</v>
      </c>
      <c r="BK194" s="85" t="str">
        <f t="shared" si="332"/>
        <v>-</v>
      </c>
      <c r="BL194" s="85" t="str">
        <f>'Consumer Hardware Pricing'!AQ202</f>
        <v>-</v>
      </c>
      <c r="BM194" s="85" t="str">
        <f t="shared" si="624"/>
        <v>-</v>
      </c>
      <c r="BN194" s="85" t="str">
        <f t="shared" si="625"/>
        <v>-</v>
      </c>
      <c r="BO194" s="85" t="str">
        <f t="shared" si="639"/>
        <v>-</v>
      </c>
      <c r="BP194" s="85" t="str">
        <f>'Consumer Hardware Pricing'!AT202</f>
        <v>-</v>
      </c>
      <c r="BQ194" s="85" t="str">
        <f t="shared" si="333"/>
        <v>-</v>
      </c>
      <c r="BR194" s="85" t="str">
        <f>'Consumer Hardware Pricing'!AU202</f>
        <v>-</v>
      </c>
      <c r="BS194" s="85" t="str">
        <f t="shared" si="626"/>
        <v>-</v>
      </c>
      <c r="BT194" s="85" t="str">
        <f t="shared" si="627"/>
        <v>-</v>
      </c>
      <c r="BU194" s="85" t="str">
        <f t="shared" si="640"/>
        <v>-</v>
      </c>
    </row>
    <row r="195" spans="1:73" ht="30.15" customHeight="1" x14ac:dyDescent="0.25">
      <c r="A195" s="87" t="s">
        <v>34</v>
      </c>
      <c r="B195" s="88" t="s">
        <v>193</v>
      </c>
      <c r="C195" s="88" t="s">
        <v>195</v>
      </c>
      <c r="D195" s="85">
        <f>'Consumer Hardware Pricing'!L203</f>
        <v>625</v>
      </c>
      <c r="E195" s="85">
        <f>'Consumer Hardware Pricing'!M203</f>
        <v>625</v>
      </c>
      <c r="F195" s="85">
        <f>'Consumer Hardware Pricing'!N203</f>
        <v>0</v>
      </c>
      <c r="G195" s="85">
        <f t="shared" si="359"/>
        <v>26.05</v>
      </c>
      <c r="H195" s="85">
        <f>'Consumer Hardware Pricing'!O203</f>
        <v>16.05</v>
      </c>
      <c r="I195" s="85">
        <f t="shared" si="616"/>
        <v>10</v>
      </c>
      <c r="J195" s="85">
        <f t="shared" si="628"/>
        <v>385.20000000000005</v>
      </c>
      <c r="K195" s="85">
        <f t="shared" si="629"/>
        <v>240</v>
      </c>
      <c r="L195" s="85" t="str">
        <f>'Consumer Hardware Pricing'!Q203</f>
        <v>-</v>
      </c>
      <c r="M195" s="85" t="str">
        <f t="shared" si="360"/>
        <v>-</v>
      </c>
      <c r="N195" s="85" t="str">
        <f t="shared" si="617"/>
        <v>-</v>
      </c>
      <c r="O195" s="85" t="str">
        <f t="shared" si="618"/>
        <v>-</v>
      </c>
      <c r="P195" s="85" t="str">
        <f t="shared" si="630"/>
        <v>-</v>
      </c>
      <c r="Q195" s="85">
        <f>'Consumer Hardware Pricing'!S203</f>
        <v>0</v>
      </c>
      <c r="R195" s="85">
        <f t="shared" si="619"/>
        <v>26.05</v>
      </c>
      <c r="S195" s="85">
        <f>'Consumer Hardware Pricing'!T203</f>
        <v>16.05</v>
      </c>
      <c r="T195" s="129">
        <f t="shared" si="631"/>
        <v>10</v>
      </c>
      <c r="U195" s="129">
        <f t="shared" si="632"/>
        <v>385.20000000000005</v>
      </c>
      <c r="V195" s="85">
        <f t="shared" si="633"/>
        <v>240</v>
      </c>
      <c r="W195" s="129" t="str">
        <f>'Consumer Hardware Pricing'!V203</f>
        <v>-</v>
      </c>
      <c r="X195" s="129" t="str">
        <f t="shared" si="361"/>
        <v>-</v>
      </c>
      <c r="Y195" s="129" t="str">
        <f t="shared" si="634"/>
        <v>-</v>
      </c>
      <c r="Z195" s="129" t="str">
        <f t="shared" si="635"/>
        <v>-</v>
      </c>
      <c r="AA195" s="85" t="str">
        <f t="shared" si="636"/>
        <v>-</v>
      </c>
      <c r="AB195" s="85">
        <f>'Consumer Hardware Pricing'!X203</f>
        <v>0</v>
      </c>
      <c r="AC195" s="85">
        <f t="shared" si="326"/>
        <v>26.05</v>
      </c>
      <c r="AD195" s="85">
        <f>'Consumer Hardware Pricing'!Y203</f>
        <v>16.05</v>
      </c>
      <c r="AE195" s="85">
        <f t="shared" si="556"/>
        <v>10</v>
      </c>
      <c r="AF195" s="85">
        <f t="shared" si="557"/>
        <v>385.20000000000005</v>
      </c>
      <c r="AG195" s="85">
        <f t="shared" si="558"/>
        <v>240</v>
      </c>
      <c r="AH195" s="85" t="str">
        <f>'Consumer Hardware Pricing'!AA203</f>
        <v>-</v>
      </c>
      <c r="AI195" s="85" t="str">
        <f t="shared" si="327"/>
        <v>-</v>
      </c>
      <c r="AJ195" s="85" t="str">
        <f t="shared" si="559"/>
        <v>-</v>
      </c>
      <c r="AK195" s="85" t="str">
        <f t="shared" si="560"/>
        <v>-</v>
      </c>
      <c r="AL195" s="85" t="str">
        <f t="shared" si="561"/>
        <v>-</v>
      </c>
      <c r="AM195" s="85">
        <f>'Consumer Hardware Pricing'!AC203</f>
        <v>0</v>
      </c>
      <c r="AN195" s="85">
        <f t="shared" si="328"/>
        <v>26.05</v>
      </c>
      <c r="AO195" s="85">
        <f>'Consumer Hardware Pricing'!AD203</f>
        <v>16.05</v>
      </c>
      <c r="AP195" s="85">
        <f t="shared" si="562"/>
        <v>10</v>
      </c>
      <c r="AQ195" s="85">
        <f t="shared" si="563"/>
        <v>385.20000000000005</v>
      </c>
      <c r="AR195" s="85">
        <f t="shared" si="564"/>
        <v>240</v>
      </c>
      <c r="AS195" s="85" t="str">
        <f>'Consumer Hardware Pricing'!AF203</f>
        <v>-</v>
      </c>
      <c r="AT195" s="85" t="str">
        <f t="shared" si="329"/>
        <v>-</v>
      </c>
      <c r="AU195" s="85" t="str">
        <f t="shared" si="565"/>
        <v>-</v>
      </c>
      <c r="AV195" s="85" t="str">
        <f t="shared" si="566"/>
        <v>-</v>
      </c>
      <c r="AW195" s="85" t="str">
        <f t="shared" si="567"/>
        <v>-</v>
      </c>
      <c r="AX195" s="85">
        <f>'Consumer Hardware Pricing'!AH203</f>
        <v>0</v>
      </c>
      <c r="AY195" s="85">
        <f t="shared" si="330"/>
        <v>26.05</v>
      </c>
      <c r="AZ195" s="85" t="str">
        <f>'Consumer Hardware Pricing'!AI203</f>
        <v>-</v>
      </c>
      <c r="BA195" s="85">
        <f t="shared" si="620"/>
        <v>26.05</v>
      </c>
      <c r="BB195" s="85" t="str">
        <f t="shared" si="621"/>
        <v>-</v>
      </c>
      <c r="BC195" s="85">
        <f t="shared" si="637"/>
        <v>625.20000000000005</v>
      </c>
      <c r="BD195" s="85" t="str">
        <f>'Consumer Hardware Pricing'!AL203</f>
        <v>-</v>
      </c>
      <c r="BE195" s="85" t="str">
        <f t="shared" si="331"/>
        <v>-</v>
      </c>
      <c r="BF195" s="85" t="str">
        <f>'Consumer Hardware Pricing'!AM203</f>
        <v>-</v>
      </c>
      <c r="BG195" s="85" t="str">
        <f t="shared" si="622"/>
        <v>-</v>
      </c>
      <c r="BH195" s="85" t="str">
        <f t="shared" si="623"/>
        <v>-</v>
      </c>
      <c r="BI195" s="85" t="str">
        <f t="shared" si="638"/>
        <v>-</v>
      </c>
      <c r="BJ195" s="85" t="str">
        <f>'Consumer Hardware Pricing'!AP203</f>
        <v>-</v>
      </c>
      <c r="BK195" s="85" t="str">
        <f t="shared" si="332"/>
        <v>-</v>
      </c>
      <c r="BL195" s="85" t="str">
        <f>'Consumer Hardware Pricing'!AQ203</f>
        <v>-</v>
      </c>
      <c r="BM195" s="85" t="str">
        <f t="shared" si="624"/>
        <v>-</v>
      </c>
      <c r="BN195" s="85" t="str">
        <f t="shared" si="625"/>
        <v>-</v>
      </c>
      <c r="BO195" s="85" t="str">
        <f t="shared" si="639"/>
        <v>-</v>
      </c>
      <c r="BP195" s="85" t="str">
        <f>'Consumer Hardware Pricing'!AT203</f>
        <v>-</v>
      </c>
      <c r="BQ195" s="85" t="str">
        <f t="shared" si="333"/>
        <v>-</v>
      </c>
      <c r="BR195" s="85" t="str">
        <f>'Consumer Hardware Pricing'!AU203</f>
        <v>-</v>
      </c>
      <c r="BS195" s="85" t="str">
        <f t="shared" si="626"/>
        <v>-</v>
      </c>
      <c r="BT195" s="85" t="str">
        <f t="shared" si="627"/>
        <v>-</v>
      </c>
      <c r="BU195" s="85" t="str">
        <f t="shared" si="640"/>
        <v>-</v>
      </c>
    </row>
    <row r="196" spans="1:73" ht="30.15" customHeight="1" x14ac:dyDescent="0.25">
      <c r="A196" s="87" t="s">
        <v>34</v>
      </c>
      <c r="B196" s="88" t="s">
        <v>96</v>
      </c>
      <c r="C196" s="89" t="s">
        <v>98</v>
      </c>
      <c r="D196" s="85">
        <f>'Consumer Hardware Pricing'!L204</f>
        <v>759</v>
      </c>
      <c r="E196" s="85">
        <f>'Consumer Hardware Pricing'!M204</f>
        <v>759</v>
      </c>
      <c r="F196" s="85">
        <f>'Consumer Hardware Pricing'!N204</f>
        <v>0</v>
      </c>
      <c r="G196" s="85">
        <f t="shared" si="359"/>
        <v>31.630000000000003</v>
      </c>
      <c r="H196" s="85" t="str">
        <f>'Consumer Hardware Pricing'!O204</f>
        <v>-</v>
      </c>
      <c r="I196" s="85">
        <f t="shared" si="616"/>
        <v>31.630000000000003</v>
      </c>
      <c r="J196" s="85" t="str">
        <f t="shared" si="628"/>
        <v>-</v>
      </c>
      <c r="K196" s="85">
        <f t="shared" si="629"/>
        <v>759.12000000000012</v>
      </c>
      <c r="L196" s="85" t="str">
        <f>'Consumer Hardware Pricing'!Q204</f>
        <v>-</v>
      </c>
      <c r="M196" s="85" t="str">
        <f t="shared" si="360"/>
        <v>-</v>
      </c>
      <c r="N196" s="85" t="str">
        <f t="shared" si="617"/>
        <v>-</v>
      </c>
      <c r="O196" s="85" t="str">
        <f t="shared" si="618"/>
        <v>-</v>
      </c>
      <c r="P196" s="85" t="str">
        <f t="shared" si="630"/>
        <v>-</v>
      </c>
      <c r="Q196" s="85">
        <f>'Consumer Hardware Pricing'!S204</f>
        <v>0</v>
      </c>
      <c r="R196" s="85">
        <f t="shared" si="619"/>
        <v>31.630000000000003</v>
      </c>
      <c r="S196" s="85" t="str">
        <f>'Consumer Hardware Pricing'!T204</f>
        <v>-</v>
      </c>
      <c r="T196" s="129">
        <f t="shared" si="631"/>
        <v>31.630000000000003</v>
      </c>
      <c r="U196" s="129" t="str">
        <f t="shared" si="632"/>
        <v>-</v>
      </c>
      <c r="V196" s="85">
        <f t="shared" si="633"/>
        <v>759.12000000000012</v>
      </c>
      <c r="W196" s="129" t="str">
        <f>'Consumer Hardware Pricing'!V204</f>
        <v>-</v>
      </c>
      <c r="X196" s="129" t="str">
        <f t="shared" si="361"/>
        <v>-</v>
      </c>
      <c r="Y196" s="129" t="str">
        <f t="shared" si="634"/>
        <v>-</v>
      </c>
      <c r="Z196" s="129" t="str">
        <f t="shared" si="635"/>
        <v>-</v>
      </c>
      <c r="AA196" s="85" t="str">
        <f t="shared" si="636"/>
        <v>-</v>
      </c>
      <c r="AB196" s="85">
        <f>'Consumer Hardware Pricing'!X204</f>
        <v>0</v>
      </c>
      <c r="AC196" s="85">
        <f t="shared" si="326"/>
        <v>31.630000000000003</v>
      </c>
      <c r="AD196" s="85" t="str">
        <f>'Consumer Hardware Pricing'!Y204</f>
        <v>-</v>
      </c>
      <c r="AE196" s="85">
        <f t="shared" si="556"/>
        <v>31.630000000000003</v>
      </c>
      <c r="AF196" s="85" t="str">
        <f t="shared" si="557"/>
        <v>-</v>
      </c>
      <c r="AG196" s="85">
        <f t="shared" si="558"/>
        <v>759.12000000000012</v>
      </c>
      <c r="AH196" s="85" t="str">
        <f>'Consumer Hardware Pricing'!AA204</f>
        <v>-</v>
      </c>
      <c r="AI196" s="85" t="str">
        <f t="shared" si="327"/>
        <v>-</v>
      </c>
      <c r="AJ196" s="85" t="str">
        <f t="shared" si="559"/>
        <v>-</v>
      </c>
      <c r="AK196" s="85" t="str">
        <f t="shared" si="560"/>
        <v>-</v>
      </c>
      <c r="AL196" s="85" t="str">
        <f t="shared" si="561"/>
        <v>-</v>
      </c>
      <c r="AM196" s="85">
        <f>'Consumer Hardware Pricing'!AC204</f>
        <v>0</v>
      </c>
      <c r="AN196" s="85">
        <f t="shared" si="328"/>
        <v>31.630000000000003</v>
      </c>
      <c r="AO196" s="85" t="str">
        <f>'Consumer Hardware Pricing'!AD204</f>
        <v>-</v>
      </c>
      <c r="AP196" s="85">
        <f t="shared" si="562"/>
        <v>31.630000000000003</v>
      </c>
      <c r="AQ196" s="85" t="str">
        <f t="shared" si="563"/>
        <v>-</v>
      </c>
      <c r="AR196" s="85">
        <f t="shared" si="564"/>
        <v>759.12000000000012</v>
      </c>
      <c r="AS196" s="85" t="str">
        <f>'Consumer Hardware Pricing'!AF204</f>
        <v>-</v>
      </c>
      <c r="AT196" s="85" t="str">
        <f t="shared" si="329"/>
        <v>-</v>
      </c>
      <c r="AU196" s="85" t="str">
        <f t="shared" si="565"/>
        <v>-</v>
      </c>
      <c r="AV196" s="85" t="str">
        <f t="shared" si="566"/>
        <v>-</v>
      </c>
      <c r="AW196" s="85" t="str">
        <f t="shared" si="567"/>
        <v>-</v>
      </c>
      <c r="AX196" s="85" t="str">
        <f>'Consumer Hardware Pricing'!AH204</f>
        <v>-</v>
      </c>
      <c r="AY196" s="85" t="str">
        <f t="shared" si="330"/>
        <v>-</v>
      </c>
      <c r="AZ196" s="85" t="str">
        <f>'Consumer Hardware Pricing'!AI204</f>
        <v>-</v>
      </c>
      <c r="BA196" s="85" t="str">
        <f t="shared" si="620"/>
        <v>-</v>
      </c>
      <c r="BB196" s="85" t="str">
        <f t="shared" si="621"/>
        <v>-</v>
      </c>
      <c r="BC196" s="85" t="str">
        <f t="shared" si="637"/>
        <v>-</v>
      </c>
      <c r="BD196" s="85" t="str">
        <f>'Consumer Hardware Pricing'!AL204</f>
        <v>-</v>
      </c>
      <c r="BE196" s="85" t="str">
        <f t="shared" si="331"/>
        <v>-</v>
      </c>
      <c r="BF196" s="85" t="str">
        <f>'Consumer Hardware Pricing'!AM204</f>
        <v>-</v>
      </c>
      <c r="BG196" s="85" t="str">
        <f t="shared" si="622"/>
        <v>-</v>
      </c>
      <c r="BH196" s="85" t="str">
        <f t="shared" si="623"/>
        <v>-</v>
      </c>
      <c r="BI196" s="85" t="str">
        <f t="shared" si="638"/>
        <v>-</v>
      </c>
      <c r="BJ196" s="85" t="str">
        <f>'Consumer Hardware Pricing'!AP204</f>
        <v>-</v>
      </c>
      <c r="BK196" s="85" t="str">
        <f t="shared" si="332"/>
        <v>-</v>
      </c>
      <c r="BL196" s="85" t="str">
        <f>'Consumer Hardware Pricing'!AQ204</f>
        <v>-</v>
      </c>
      <c r="BM196" s="85" t="str">
        <f t="shared" si="624"/>
        <v>-</v>
      </c>
      <c r="BN196" s="85" t="str">
        <f t="shared" si="625"/>
        <v>-</v>
      </c>
      <c r="BO196" s="85" t="str">
        <f t="shared" si="639"/>
        <v>-</v>
      </c>
      <c r="BP196" s="85" t="str">
        <f>'Consumer Hardware Pricing'!AT204</f>
        <v>-</v>
      </c>
      <c r="BQ196" s="85" t="str">
        <f t="shared" si="333"/>
        <v>-</v>
      </c>
      <c r="BR196" s="85" t="str">
        <f>'Consumer Hardware Pricing'!AU204</f>
        <v>-</v>
      </c>
      <c r="BS196" s="85" t="str">
        <f t="shared" si="626"/>
        <v>-</v>
      </c>
      <c r="BT196" s="85" t="str">
        <f t="shared" si="627"/>
        <v>-</v>
      </c>
      <c r="BU196" s="85" t="str">
        <f t="shared" si="640"/>
        <v>-</v>
      </c>
    </row>
    <row r="197" spans="1:73" ht="30.15" customHeight="1" x14ac:dyDescent="0.25">
      <c r="A197" s="87" t="s">
        <v>34</v>
      </c>
      <c r="B197" s="88" t="s">
        <v>94</v>
      </c>
      <c r="C197" s="89" t="s">
        <v>98</v>
      </c>
      <c r="D197" s="85">
        <f>'Consumer Hardware Pricing'!L205</f>
        <v>759</v>
      </c>
      <c r="E197" s="85">
        <f>'Consumer Hardware Pricing'!M205</f>
        <v>759</v>
      </c>
      <c r="F197" s="85">
        <f>'Consumer Hardware Pricing'!N205</f>
        <v>0</v>
      </c>
      <c r="G197" s="85">
        <f t="shared" si="359"/>
        <v>31.630000000000003</v>
      </c>
      <c r="H197" s="85" t="str">
        <f>'Consumer Hardware Pricing'!O205</f>
        <v>-</v>
      </c>
      <c r="I197" s="85">
        <f t="shared" si="616"/>
        <v>31.630000000000003</v>
      </c>
      <c r="J197" s="85" t="str">
        <f t="shared" si="628"/>
        <v>-</v>
      </c>
      <c r="K197" s="85">
        <f t="shared" si="629"/>
        <v>759.12000000000012</v>
      </c>
      <c r="L197" s="85" t="str">
        <f>'Consumer Hardware Pricing'!Q205</f>
        <v>-</v>
      </c>
      <c r="M197" s="85" t="str">
        <f t="shared" si="360"/>
        <v>-</v>
      </c>
      <c r="N197" s="85" t="str">
        <f t="shared" si="617"/>
        <v>-</v>
      </c>
      <c r="O197" s="85" t="str">
        <f t="shared" si="618"/>
        <v>-</v>
      </c>
      <c r="P197" s="85" t="str">
        <f t="shared" si="630"/>
        <v>-</v>
      </c>
      <c r="Q197" s="85">
        <f>'Consumer Hardware Pricing'!S205</f>
        <v>0</v>
      </c>
      <c r="R197" s="85">
        <f t="shared" si="619"/>
        <v>31.630000000000003</v>
      </c>
      <c r="S197" s="85" t="str">
        <f>'Consumer Hardware Pricing'!T205</f>
        <v>-</v>
      </c>
      <c r="T197" s="129">
        <f t="shared" si="631"/>
        <v>31.630000000000003</v>
      </c>
      <c r="U197" s="129" t="str">
        <f t="shared" si="632"/>
        <v>-</v>
      </c>
      <c r="V197" s="85">
        <f t="shared" si="633"/>
        <v>759.12000000000012</v>
      </c>
      <c r="W197" s="129" t="str">
        <f>'Consumer Hardware Pricing'!V205</f>
        <v>-</v>
      </c>
      <c r="X197" s="129" t="str">
        <f t="shared" si="361"/>
        <v>-</v>
      </c>
      <c r="Y197" s="129" t="str">
        <f t="shared" si="634"/>
        <v>-</v>
      </c>
      <c r="Z197" s="129" t="str">
        <f t="shared" si="635"/>
        <v>-</v>
      </c>
      <c r="AA197" s="85" t="str">
        <f t="shared" si="636"/>
        <v>-</v>
      </c>
      <c r="AB197" s="85">
        <f>'Consumer Hardware Pricing'!X205</f>
        <v>0</v>
      </c>
      <c r="AC197" s="85">
        <f t="shared" si="326"/>
        <v>31.630000000000003</v>
      </c>
      <c r="AD197" s="85" t="str">
        <f>'Consumer Hardware Pricing'!Y205</f>
        <v>-</v>
      </c>
      <c r="AE197" s="85">
        <f t="shared" si="556"/>
        <v>31.630000000000003</v>
      </c>
      <c r="AF197" s="85" t="str">
        <f t="shared" si="557"/>
        <v>-</v>
      </c>
      <c r="AG197" s="85">
        <f t="shared" si="558"/>
        <v>759.12000000000012</v>
      </c>
      <c r="AH197" s="85" t="str">
        <f>'Consumer Hardware Pricing'!AA205</f>
        <v>-</v>
      </c>
      <c r="AI197" s="85" t="str">
        <f t="shared" si="327"/>
        <v>-</v>
      </c>
      <c r="AJ197" s="85" t="str">
        <f t="shared" si="559"/>
        <v>-</v>
      </c>
      <c r="AK197" s="85" t="str">
        <f t="shared" si="560"/>
        <v>-</v>
      </c>
      <c r="AL197" s="85" t="str">
        <f t="shared" si="561"/>
        <v>-</v>
      </c>
      <c r="AM197" s="85">
        <f>'Consumer Hardware Pricing'!AC205</f>
        <v>0</v>
      </c>
      <c r="AN197" s="85">
        <f t="shared" si="328"/>
        <v>31.630000000000003</v>
      </c>
      <c r="AO197" s="85" t="str">
        <f>'Consumer Hardware Pricing'!AD205</f>
        <v>-</v>
      </c>
      <c r="AP197" s="85">
        <f t="shared" si="562"/>
        <v>31.630000000000003</v>
      </c>
      <c r="AQ197" s="85" t="str">
        <f t="shared" si="563"/>
        <v>-</v>
      </c>
      <c r="AR197" s="85">
        <f t="shared" si="564"/>
        <v>759.12000000000012</v>
      </c>
      <c r="AS197" s="85" t="str">
        <f>'Consumer Hardware Pricing'!AF205</f>
        <v>-</v>
      </c>
      <c r="AT197" s="85" t="str">
        <f t="shared" si="329"/>
        <v>-</v>
      </c>
      <c r="AU197" s="85" t="str">
        <f t="shared" si="565"/>
        <v>-</v>
      </c>
      <c r="AV197" s="85" t="str">
        <f t="shared" si="566"/>
        <v>-</v>
      </c>
      <c r="AW197" s="85" t="str">
        <f t="shared" si="567"/>
        <v>-</v>
      </c>
      <c r="AX197" s="85" t="str">
        <f>'Consumer Hardware Pricing'!AH205</f>
        <v>-</v>
      </c>
      <c r="AY197" s="85" t="str">
        <f t="shared" si="330"/>
        <v>-</v>
      </c>
      <c r="AZ197" s="85" t="str">
        <f>'Consumer Hardware Pricing'!AI205</f>
        <v>-</v>
      </c>
      <c r="BA197" s="85" t="str">
        <f t="shared" si="620"/>
        <v>-</v>
      </c>
      <c r="BB197" s="85" t="str">
        <f t="shared" si="621"/>
        <v>-</v>
      </c>
      <c r="BC197" s="85" t="str">
        <f t="shared" si="637"/>
        <v>-</v>
      </c>
      <c r="BD197" s="85" t="str">
        <f>'Consumer Hardware Pricing'!AL205</f>
        <v>-</v>
      </c>
      <c r="BE197" s="85" t="str">
        <f t="shared" si="331"/>
        <v>-</v>
      </c>
      <c r="BF197" s="85" t="str">
        <f>'Consumer Hardware Pricing'!AM205</f>
        <v>-</v>
      </c>
      <c r="BG197" s="85" t="str">
        <f t="shared" si="622"/>
        <v>-</v>
      </c>
      <c r="BH197" s="85" t="str">
        <f t="shared" si="623"/>
        <v>-</v>
      </c>
      <c r="BI197" s="85" t="str">
        <f t="shared" si="638"/>
        <v>-</v>
      </c>
      <c r="BJ197" s="85" t="str">
        <f>'Consumer Hardware Pricing'!AP205</f>
        <v>-</v>
      </c>
      <c r="BK197" s="85" t="str">
        <f t="shared" si="332"/>
        <v>-</v>
      </c>
      <c r="BL197" s="85" t="str">
        <f>'Consumer Hardware Pricing'!AQ205</f>
        <v>-</v>
      </c>
      <c r="BM197" s="85" t="str">
        <f t="shared" si="624"/>
        <v>-</v>
      </c>
      <c r="BN197" s="85" t="str">
        <f t="shared" si="625"/>
        <v>-</v>
      </c>
      <c r="BO197" s="85" t="str">
        <f t="shared" si="639"/>
        <v>-</v>
      </c>
      <c r="BP197" s="85" t="str">
        <f>'Consumer Hardware Pricing'!AT205</f>
        <v>-</v>
      </c>
      <c r="BQ197" s="85" t="str">
        <f t="shared" si="333"/>
        <v>-</v>
      </c>
      <c r="BR197" s="85" t="str">
        <f>'Consumer Hardware Pricing'!AU205</f>
        <v>-</v>
      </c>
      <c r="BS197" s="85" t="str">
        <f t="shared" si="626"/>
        <v>-</v>
      </c>
      <c r="BT197" s="85" t="str">
        <f t="shared" si="627"/>
        <v>-</v>
      </c>
      <c r="BU197" s="85" t="str">
        <f t="shared" si="640"/>
        <v>-</v>
      </c>
    </row>
    <row r="198" spans="1:73" ht="30.15" customHeight="1" x14ac:dyDescent="0.25">
      <c r="A198" s="87" t="s">
        <v>34</v>
      </c>
      <c r="B198" s="88" t="s">
        <v>97</v>
      </c>
      <c r="C198" s="89" t="s">
        <v>98</v>
      </c>
      <c r="D198" s="85">
        <f>'Consumer Hardware Pricing'!L206</f>
        <v>759</v>
      </c>
      <c r="E198" s="85">
        <f>'Consumer Hardware Pricing'!M206</f>
        <v>759</v>
      </c>
      <c r="F198" s="85">
        <f>'Consumer Hardware Pricing'!N206</f>
        <v>0</v>
      </c>
      <c r="G198" s="85">
        <f t="shared" si="359"/>
        <v>31.630000000000003</v>
      </c>
      <c r="H198" s="85" t="str">
        <f>'Consumer Hardware Pricing'!O206</f>
        <v>-</v>
      </c>
      <c r="I198" s="85">
        <f t="shared" si="616"/>
        <v>31.630000000000003</v>
      </c>
      <c r="J198" s="85" t="str">
        <f t="shared" si="628"/>
        <v>-</v>
      </c>
      <c r="K198" s="85">
        <f t="shared" si="629"/>
        <v>759.12000000000012</v>
      </c>
      <c r="L198" s="85" t="str">
        <f>'Consumer Hardware Pricing'!Q206</f>
        <v>-</v>
      </c>
      <c r="M198" s="85" t="str">
        <f t="shared" si="360"/>
        <v>-</v>
      </c>
      <c r="N198" s="85" t="str">
        <f t="shared" si="617"/>
        <v>-</v>
      </c>
      <c r="O198" s="85" t="str">
        <f t="shared" si="618"/>
        <v>-</v>
      </c>
      <c r="P198" s="85" t="str">
        <f t="shared" si="630"/>
        <v>-</v>
      </c>
      <c r="Q198" s="85">
        <f>'Consumer Hardware Pricing'!S206</f>
        <v>0</v>
      </c>
      <c r="R198" s="85">
        <f t="shared" si="619"/>
        <v>31.630000000000003</v>
      </c>
      <c r="S198" s="85" t="str">
        <f>'Consumer Hardware Pricing'!T206</f>
        <v>-</v>
      </c>
      <c r="T198" s="129">
        <f t="shared" si="631"/>
        <v>31.630000000000003</v>
      </c>
      <c r="U198" s="129" t="str">
        <f t="shared" si="632"/>
        <v>-</v>
      </c>
      <c r="V198" s="85">
        <f t="shared" si="633"/>
        <v>759.12000000000012</v>
      </c>
      <c r="W198" s="129" t="str">
        <f>'Consumer Hardware Pricing'!V206</f>
        <v>-</v>
      </c>
      <c r="X198" s="129" t="str">
        <f t="shared" si="361"/>
        <v>-</v>
      </c>
      <c r="Y198" s="129" t="str">
        <f t="shared" si="634"/>
        <v>-</v>
      </c>
      <c r="Z198" s="129" t="str">
        <f t="shared" si="635"/>
        <v>-</v>
      </c>
      <c r="AA198" s="85" t="str">
        <f t="shared" si="636"/>
        <v>-</v>
      </c>
      <c r="AB198" s="85">
        <f>'Consumer Hardware Pricing'!X206</f>
        <v>0</v>
      </c>
      <c r="AC198" s="85">
        <f t="shared" si="326"/>
        <v>31.630000000000003</v>
      </c>
      <c r="AD198" s="85" t="str">
        <f>'Consumer Hardware Pricing'!Y206</f>
        <v>-</v>
      </c>
      <c r="AE198" s="85">
        <f t="shared" si="556"/>
        <v>31.630000000000003</v>
      </c>
      <c r="AF198" s="85" t="str">
        <f t="shared" si="557"/>
        <v>-</v>
      </c>
      <c r="AG198" s="85">
        <f t="shared" si="558"/>
        <v>759.12000000000012</v>
      </c>
      <c r="AH198" s="85" t="str">
        <f>'Consumer Hardware Pricing'!AA206</f>
        <v>-</v>
      </c>
      <c r="AI198" s="85" t="str">
        <f t="shared" si="327"/>
        <v>-</v>
      </c>
      <c r="AJ198" s="85" t="str">
        <f t="shared" si="559"/>
        <v>-</v>
      </c>
      <c r="AK198" s="85" t="str">
        <f t="shared" si="560"/>
        <v>-</v>
      </c>
      <c r="AL198" s="85" t="str">
        <f t="shared" si="561"/>
        <v>-</v>
      </c>
      <c r="AM198" s="85">
        <f>'Consumer Hardware Pricing'!AC206</f>
        <v>0</v>
      </c>
      <c r="AN198" s="85">
        <f t="shared" si="328"/>
        <v>31.630000000000003</v>
      </c>
      <c r="AO198" s="85" t="str">
        <f>'Consumer Hardware Pricing'!AD206</f>
        <v>-</v>
      </c>
      <c r="AP198" s="85">
        <f t="shared" si="562"/>
        <v>31.630000000000003</v>
      </c>
      <c r="AQ198" s="85" t="str">
        <f t="shared" si="563"/>
        <v>-</v>
      </c>
      <c r="AR198" s="85">
        <f t="shared" si="564"/>
        <v>759.12000000000012</v>
      </c>
      <c r="AS198" s="85" t="str">
        <f>'Consumer Hardware Pricing'!AF206</f>
        <v>-</v>
      </c>
      <c r="AT198" s="85" t="str">
        <f t="shared" si="329"/>
        <v>-</v>
      </c>
      <c r="AU198" s="85" t="str">
        <f t="shared" si="565"/>
        <v>-</v>
      </c>
      <c r="AV198" s="85" t="str">
        <f t="shared" si="566"/>
        <v>-</v>
      </c>
      <c r="AW198" s="85" t="str">
        <f t="shared" si="567"/>
        <v>-</v>
      </c>
      <c r="AX198" s="85" t="str">
        <f>'Consumer Hardware Pricing'!AH206</f>
        <v>-</v>
      </c>
      <c r="AY198" s="85" t="str">
        <f t="shared" si="330"/>
        <v>-</v>
      </c>
      <c r="AZ198" s="85" t="str">
        <f>'Consumer Hardware Pricing'!AI206</f>
        <v>-</v>
      </c>
      <c r="BA198" s="85" t="str">
        <f t="shared" si="620"/>
        <v>-</v>
      </c>
      <c r="BB198" s="85" t="str">
        <f t="shared" si="621"/>
        <v>-</v>
      </c>
      <c r="BC198" s="85" t="str">
        <f t="shared" si="637"/>
        <v>-</v>
      </c>
      <c r="BD198" s="85" t="str">
        <f>'Consumer Hardware Pricing'!AL206</f>
        <v>-</v>
      </c>
      <c r="BE198" s="85" t="str">
        <f t="shared" si="331"/>
        <v>-</v>
      </c>
      <c r="BF198" s="85" t="str">
        <f>'Consumer Hardware Pricing'!AM206</f>
        <v>-</v>
      </c>
      <c r="BG198" s="85" t="str">
        <f t="shared" si="622"/>
        <v>-</v>
      </c>
      <c r="BH198" s="85" t="str">
        <f t="shared" si="623"/>
        <v>-</v>
      </c>
      <c r="BI198" s="85" t="str">
        <f t="shared" si="638"/>
        <v>-</v>
      </c>
      <c r="BJ198" s="85" t="str">
        <f>'Consumer Hardware Pricing'!AP206</f>
        <v>-</v>
      </c>
      <c r="BK198" s="85" t="str">
        <f t="shared" si="332"/>
        <v>-</v>
      </c>
      <c r="BL198" s="85" t="str">
        <f>'Consumer Hardware Pricing'!AQ206</f>
        <v>-</v>
      </c>
      <c r="BM198" s="85" t="str">
        <f t="shared" si="624"/>
        <v>-</v>
      </c>
      <c r="BN198" s="85" t="str">
        <f t="shared" si="625"/>
        <v>-</v>
      </c>
      <c r="BO198" s="85" t="str">
        <f t="shared" si="639"/>
        <v>-</v>
      </c>
      <c r="BP198" s="85" t="str">
        <f>'Consumer Hardware Pricing'!AT206</f>
        <v>-</v>
      </c>
      <c r="BQ198" s="85" t="str">
        <f t="shared" si="333"/>
        <v>-</v>
      </c>
      <c r="BR198" s="85" t="str">
        <f>'Consumer Hardware Pricing'!AU206</f>
        <v>-</v>
      </c>
      <c r="BS198" s="85" t="str">
        <f t="shared" si="626"/>
        <v>-</v>
      </c>
      <c r="BT198" s="85" t="str">
        <f t="shared" si="627"/>
        <v>-</v>
      </c>
      <c r="BU198" s="85" t="str">
        <f t="shared" si="640"/>
        <v>-</v>
      </c>
    </row>
    <row r="199" spans="1:73" ht="30.15" customHeight="1" x14ac:dyDescent="0.25">
      <c r="A199" s="87" t="s">
        <v>34</v>
      </c>
      <c r="B199" s="88" t="s">
        <v>197</v>
      </c>
      <c r="C199" s="88" t="s">
        <v>200</v>
      </c>
      <c r="D199" s="85">
        <f>'Consumer Hardware Pricing'!L207</f>
        <v>750</v>
      </c>
      <c r="E199" s="85">
        <f>'Consumer Hardware Pricing'!M207</f>
        <v>750</v>
      </c>
      <c r="F199" s="85">
        <f>'Consumer Hardware Pricing'!N207</f>
        <v>0</v>
      </c>
      <c r="G199" s="85">
        <f t="shared" si="359"/>
        <v>31.25</v>
      </c>
      <c r="H199" s="85" t="str">
        <f>'Consumer Hardware Pricing'!O207</f>
        <v>-</v>
      </c>
      <c r="I199" s="85">
        <f t="shared" si="616"/>
        <v>31.25</v>
      </c>
      <c r="J199" s="85" t="str">
        <f t="shared" si="628"/>
        <v>-</v>
      </c>
      <c r="K199" s="85">
        <f t="shared" si="629"/>
        <v>750</v>
      </c>
      <c r="L199" s="85" t="str">
        <f>'Consumer Hardware Pricing'!Q207</f>
        <v>-</v>
      </c>
      <c r="M199" s="85" t="str">
        <f t="shared" si="360"/>
        <v>-</v>
      </c>
      <c r="N199" s="85" t="str">
        <f t="shared" si="617"/>
        <v>-</v>
      </c>
      <c r="O199" s="85" t="str">
        <f t="shared" si="618"/>
        <v>-</v>
      </c>
      <c r="P199" s="85" t="str">
        <f t="shared" si="630"/>
        <v>-</v>
      </c>
      <c r="Q199" s="85">
        <f>'Consumer Hardware Pricing'!S207</f>
        <v>0</v>
      </c>
      <c r="R199" s="85">
        <f t="shared" si="619"/>
        <v>31.25</v>
      </c>
      <c r="S199" s="85" t="str">
        <f>'Consumer Hardware Pricing'!T207</f>
        <v>-</v>
      </c>
      <c r="T199" s="129">
        <f t="shared" si="631"/>
        <v>31.25</v>
      </c>
      <c r="U199" s="129" t="str">
        <f t="shared" si="632"/>
        <v>-</v>
      </c>
      <c r="V199" s="85">
        <f t="shared" si="633"/>
        <v>750</v>
      </c>
      <c r="W199" s="129" t="str">
        <f>'Consumer Hardware Pricing'!V207</f>
        <v>-</v>
      </c>
      <c r="X199" s="129" t="str">
        <f t="shared" si="361"/>
        <v>-</v>
      </c>
      <c r="Y199" s="129" t="str">
        <f t="shared" si="634"/>
        <v>-</v>
      </c>
      <c r="Z199" s="129" t="str">
        <f t="shared" si="635"/>
        <v>-</v>
      </c>
      <c r="AA199" s="85" t="str">
        <f t="shared" si="636"/>
        <v>-</v>
      </c>
      <c r="AB199" s="85">
        <f>'Consumer Hardware Pricing'!X207</f>
        <v>0</v>
      </c>
      <c r="AC199" s="85">
        <f t="shared" si="326"/>
        <v>31.25</v>
      </c>
      <c r="AD199" s="85" t="str">
        <f>'Consumer Hardware Pricing'!Y207</f>
        <v>-</v>
      </c>
      <c r="AE199" s="85">
        <f t="shared" si="556"/>
        <v>31.25</v>
      </c>
      <c r="AF199" s="85" t="str">
        <f t="shared" si="557"/>
        <v>-</v>
      </c>
      <c r="AG199" s="85">
        <f t="shared" si="558"/>
        <v>750</v>
      </c>
      <c r="AH199" s="85" t="str">
        <f>'Consumer Hardware Pricing'!AA207</f>
        <v>-</v>
      </c>
      <c r="AI199" s="85" t="str">
        <f t="shared" si="327"/>
        <v>-</v>
      </c>
      <c r="AJ199" s="85" t="str">
        <f t="shared" si="559"/>
        <v>-</v>
      </c>
      <c r="AK199" s="85" t="str">
        <f t="shared" si="560"/>
        <v>-</v>
      </c>
      <c r="AL199" s="85" t="str">
        <f t="shared" si="561"/>
        <v>-</v>
      </c>
      <c r="AM199" s="85">
        <f>'Consumer Hardware Pricing'!AC207</f>
        <v>0</v>
      </c>
      <c r="AN199" s="85">
        <f t="shared" si="328"/>
        <v>31.25</v>
      </c>
      <c r="AO199" s="85" t="str">
        <f>'Consumer Hardware Pricing'!AD207</f>
        <v>-</v>
      </c>
      <c r="AP199" s="85">
        <f t="shared" si="562"/>
        <v>31.25</v>
      </c>
      <c r="AQ199" s="85" t="str">
        <f t="shared" si="563"/>
        <v>-</v>
      </c>
      <c r="AR199" s="85">
        <f t="shared" si="564"/>
        <v>750</v>
      </c>
      <c r="AS199" s="85" t="str">
        <f>'Consumer Hardware Pricing'!AF207</f>
        <v>-</v>
      </c>
      <c r="AT199" s="85" t="str">
        <f t="shared" si="329"/>
        <v>-</v>
      </c>
      <c r="AU199" s="85" t="str">
        <f t="shared" si="565"/>
        <v>-</v>
      </c>
      <c r="AV199" s="85" t="str">
        <f t="shared" si="566"/>
        <v>-</v>
      </c>
      <c r="AW199" s="85" t="str">
        <f t="shared" si="567"/>
        <v>-</v>
      </c>
      <c r="AX199" s="85" t="str">
        <f>'Consumer Hardware Pricing'!AH207</f>
        <v>-</v>
      </c>
      <c r="AY199" s="85" t="str">
        <f t="shared" si="330"/>
        <v>-</v>
      </c>
      <c r="AZ199" s="85" t="str">
        <f>'Consumer Hardware Pricing'!AI207</f>
        <v>-</v>
      </c>
      <c r="BA199" s="85" t="str">
        <f t="shared" si="620"/>
        <v>-</v>
      </c>
      <c r="BB199" s="85" t="str">
        <f t="shared" si="621"/>
        <v>-</v>
      </c>
      <c r="BC199" s="85" t="str">
        <f t="shared" si="637"/>
        <v>-</v>
      </c>
      <c r="BD199" s="85" t="str">
        <f>'Consumer Hardware Pricing'!AL207</f>
        <v>-</v>
      </c>
      <c r="BE199" s="85" t="str">
        <f t="shared" si="331"/>
        <v>-</v>
      </c>
      <c r="BF199" s="85" t="str">
        <f>'Consumer Hardware Pricing'!AM207</f>
        <v>-</v>
      </c>
      <c r="BG199" s="85" t="str">
        <f t="shared" si="622"/>
        <v>-</v>
      </c>
      <c r="BH199" s="85" t="str">
        <f t="shared" si="623"/>
        <v>-</v>
      </c>
      <c r="BI199" s="85" t="str">
        <f t="shared" si="638"/>
        <v>-</v>
      </c>
      <c r="BJ199" s="85" t="str">
        <f>'Consumer Hardware Pricing'!AP207</f>
        <v>-</v>
      </c>
      <c r="BK199" s="85" t="str">
        <f t="shared" si="332"/>
        <v>-</v>
      </c>
      <c r="BL199" s="85" t="str">
        <f>'Consumer Hardware Pricing'!AQ207</f>
        <v>-</v>
      </c>
      <c r="BM199" s="85" t="str">
        <f t="shared" si="624"/>
        <v>-</v>
      </c>
      <c r="BN199" s="85" t="str">
        <f t="shared" si="625"/>
        <v>-</v>
      </c>
      <c r="BO199" s="85" t="str">
        <f t="shared" si="639"/>
        <v>-</v>
      </c>
      <c r="BP199" s="85" t="str">
        <f>'Consumer Hardware Pricing'!AT207</f>
        <v>-</v>
      </c>
      <c r="BQ199" s="85" t="str">
        <f t="shared" si="333"/>
        <v>-</v>
      </c>
      <c r="BR199" s="85" t="str">
        <f>'Consumer Hardware Pricing'!AU207</f>
        <v>-</v>
      </c>
      <c r="BS199" s="85" t="str">
        <f t="shared" si="626"/>
        <v>-</v>
      </c>
      <c r="BT199" s="85" t="str">
        <f t="shared" si="627"/>
        <v>-</v>
      </c>
      <c r="BU199" s="85" t="str">
        <f t="shared" si="640"/>
        <v>-</v>
      </c>
    </row>
    <row r="200" spans="1:73" ht="30.15" customHeight="1" x14ac:dyDescent="0.25">
      <c r="A200" s="87" t="s">
        <v>34</v>
      </c>
      <c r="B200" s="88" t="s">
        <v>172</v>
      </c>
      <c r="C200" s="88" t="s">
        <v>182</v>
      </c>
      <c r="D200" s="85">
        <f>'Consumer Hardware Pricing'!L208</f>
        <v>430</v>
      </c>
      <c r="E200" s="85">
        <f>'Consumer Hardware Pricing'!M208</f>
        <v>430</v>
      </c>
      <c r="F200" s="85">
        <f>'Consumer Hardware Pricing'!N208</f>
        <v>0</v>
      </c>
      <c r="G200" s="85">
        <f t="shared" si="359"/>
        <v>17.920000000000002</v>
      </c>
      <c r="H200" s="85">
        <f>'Consumer Hardware Pricing'!O208</f>
        <v>2.92</v>
      </c>
      <c r="I200" s="85">
        <f t="shared" si="616"/>
        <v>15.000000000000002</v>
      </c>
      <c r="J200" s="85">
        <f t="shared" si="628"/>
        <v>70.08</v>
      </c>
      <c r="K200" s="85">
        <f t="shared" si="629"/>
        <v>360.00000000000006</v>
      </c>
      <c r="L200" s="85" t="str">
        <f>'Consumer Hardware Pricing'!Q208</f>
        <v>-</v>
      </c>
      <c r="M200" s="85" t="str">
        <f t="shared" si="360"/>
        <v>-</v>
      </c>
      <c r="N200" s="85" t="str">
        <f t="shared" si="617"/>
        <v>-</v>
      </c>
      <c r="O200" s="85" t="str">
        <f t="shared" si="618"/>
        <v>-</v>
      </c>
      <c r="P200" s="85" t="str">
        <f t="shared" si="630"/>
        <v>-</v>
      </c>
      <c r="Q200" s="85">
        <f>'Consumer Hardware Pricing'!S208</f>
        <v>0</v>
      </c>
      <c r="R200" s="85">
        <f t="shared" si="619"/>
        <v>17.920000000000002</v>
      </c>
      <c r="S200" s="85">
        <f>'Consumer Hardware Pricing'!T208</f>
        <v>2.92</v>
      </c>
      <c r="T200" s="129">
        <f t="shared" si="631"/>
        <v>15.000000000000002</v>
      </c>
      <c r="U200" s="129">
        <f t="shared" si="632"/>
        <v>70.08</v>
      </c>
      <c r="V200" s="85">
        <f t="shared" si="633"/>
        <v>360.00000000000006</v>
      </c>
      <c r="W200" s="129" t="str">
        <f>'Consumer Hardware Pricing'!V208</f>
        <v>-</v>
      </c>
      <c r="X200" s="129" t="str">
        <f t="shared" si="361"/>
        <v>-</v>
      </c>
      <c r="Y200" s="129" t="str">
        <f t="shared" si="634"/>
        <v>-</v>
      </c>
      <c r="Z200" s="129" t="str">
        <f t="shared" si="635"/>
        <v>-</v>
      </c>
      <c r="AA200" s="85" t="str">
        <f t="shared" si="636"/>
        <v>-</v>
      </c>
      <c r="AB200" s="85">
        <f>'Consumer Hardware Pricing'!X208</f>
        <v>0</v>
      </c>
      <c r="AC200" s="85">
        <f t="shared" si="326"/>
        <v>17.920000000000002</v>
      </c>
      <c r="AD200" s="85">
        <f>'Consumer Hardware Pricing'!Y208</f>
        <v>17.920000000000002</v>
      </c>
      <c r="AE200" s="85">
        <f t="shared" si="556"/>
        <v>0</v>
      </c>
      <c r="AF200" s="85">
        <f t="shared" si="557"/>
        <v>430.08000000000004</v>
      </c>
      <c r="AG200" s="85">
        <f t="shared" si="558"/>
        <v>0</v>
      </c>
      <c r="AH200" s="85" t="str">
        <f>'Consumer Hardware Pricing'!AA208</f>
        <v>-</v>
      </c>
      <c r="AI200" s="85" t="str">
        <f t="shared" si="327"/>
        <v>-</v>
      </c>
      <c r="AJ200" s="85" t="str">
        <f t="shared" si="559"/>
        <v>-</v>
      </c>
      <c r="AK200" s="85" t="str">
        <f t="shared" si="560"/>
        <v>-</v>
      </c>
      <c r="AL200" s="85" t="str">
        <f t="shared" si="561"/>
        <v>-</v>
      </c>
      <c r="AM200" s="85">
        <f>'Consumer Hardware Pricing'!AC208</f>
        <v>0</v>
      </c>
      <c r="AN200" s="85">
        <f t="shared" si="328"/>
        <v>17.920000000000002</v>
      </c>
      <c r="AO200" s="85">
        <f>'Consumer Hardware Pricing'!AD208</f>
        <v>17.920000000000002</v>
      </c>
      <c r="AP200" s="85">
        <f t="shared" si="562"/>
        <v>0</v>
      </c>
      <c r="AQ200" s="85">
        <f t="shared" si="563"/>
        <v>430.08000000000004</v>
      </c>
      <c r="AR200" s="85">
        <f t="shared" si="564"/>
        <v>0</v>
      </c>
      <c r="AS200" s="85" t="str">
        <f>'Consumer Hardware Pricing'!AF208</f>
        <v>-</v>
      </c>
      <c r="AT200" s="85" t="str">
        <f t="shared" si="329"/>
        <v>-</v>
      </c>
      <c r="AU200" s="85" t="str">
        <f t="shared" si="565"/>
        <v>-</v>
      </c>
      <c r="AV200" s="85" t="str">
        <f t="shared" si="566"/>
        <v>-</v>
      </c>
      <c r="AW200" s="85" t="str">
        <f t="shared" si="567"/>
        <v>-</v>
      </c>
      <c r="AX200" s="85" t="str">
        <f>'Consumer Hardware Pricing'!AH208</f>
        <v>-</v>
      </c>
      <c r="AY200" s="85" t="str">
        <f t="shared" si="330"/>
        <v>-</v>
      </c>
      <c r="AZ200" s="85" t="str">
        <f>'Consumer Hardware Pricing'!AI208</f>
        <v>-</v>
      </c>
      <c r="BA200" s="85" t="str">
        <f t="shared" si="620"/>
        <v>-</v>
      </c>
      <c r="BB200" s="85" t="str">
        <f t="shared" si="621"/>
        <v>-</v>
      </c>
      <c r="BC200" s="85" t="str">
        <f t="shared" si="637"/>
        <v>-</v>
      </c>
      <c r="BD200" s="85" t="str">
        <f>'Consumer Hardware Pricing'!AL208</f>
        <v>-</v>
      </c>
      <c r="BE200" s="85" t="str">
        <f t="shared" si="331"/>
        <v>-</v>
      </c>
      <c r="BF200" s="85" t="str">
        <f>'Consumer Hardware Pricing'!AM208</f>
        <v>-</v>
      </c>
      <c r="BG200" s="85" t="str">
        <f t="shared" si="622"/>
        <v>-</v>
      </c>
      <c r="BH200" s="85" t="str">
        <f t="shared" si="623"/>
        <v>-</v>
      </c>
      <c r="BI200" s="85" t="str">
        <f t="shared" si="638"/>
        <v>-</v>
      </c>
      <c r="BJ200" s="85" t="str">
        <f>'Consumer Hardware Pricing'!AP208</f>
        <v>-</v>
      </c>
      <c r="BK200" s="85" t="str">
        <f t="shared" si="332"/>
        <v>-</v>
      </c>
      <c r="BL200" s="85" t="str">
        <f>'Consumer Hardware Pricing'!AQ208</f>
        <v>-</v>
      </c>
      <c r="BM200" s="85" t="str">
        <f t="shared" si="624"/>
        <v>-</v>
      </c>
      <c r="BN200" s="85" t="str">
        <f t="shared" si="625"/>
        <v>-</v>
      </c>
      <c r="BO200" s="85" t="str">
        <f t="shared" si="639"/>
        <v>-</v>
      </c>
      <c r="BP200" s="85" t="str">
        <f>'Consumer Hardware Pricing'!AT208</f>
        <v>-</v>
      </c>
      <c r="BQ200" s="85" t="str">
        <f t="shared" si="333"/>
        <v>-</v>
      </c>
      <c r="BR200" s="85" t="str">
        <f>'Consumer Hardware Pricing'!AU208</f>
        <v>-</v>
      </c>
      <c r="BS200" s="85" t="str">
        <f t="shared" si="626"/>
        <v>-</v>
      </c>
      <c r="BT200" s="85" t="str">
        <f t="shared" si="627"/>
        <v>-</v>
      </c>
      <c r="BU200" s="85" t="str">
        <f t="shared" si="640"/>
        <v>-</v>
      </c>
    </row>
    <row r="201" spans="1:73" ht="30.15" customHeight="1" x14ac:dyDescent="0.25">
      <c r="A201" s="87" t="s">
        <v>34</v>
      </c>
      <c r="B201" s="88" t="s">
        <v>169</v>
      </c>
      <c r="C201" s="88" t="s">
        <v>182</v>
      </c>
      <c r="D201" s="85">
        <f>'Consumer Hardware Pricing'!L209</f>
        <v>430</v>
      </c>
      <c r="E201" s="85">
        <f>'Consumer Hardware Pricing'!M209</f>
        <v>430</v>
      </c>
      <c r="F201" s="85">
        <f>'Consumer Hardware Pricing'!N209</f>
        <v>0</v>
      </c>
      <c r="G201" s="85">
        <f t="shared" si="359"/>
        <v>17.920000000000002</v>
      </c>
      <c r="H201" s="85">
        <f>'Consumer Hardware Pricing'!O209</f>
        <v>2.92</v>
      </c>
      <c r="I201" s="85">
        <f t="shared" si="616"/>
        <v>15.000000000000002</v>
      </c>
      <c r="J201" s="85">
        <f t="shared" si="628"/>
        <v>70.08</v>
      </c>
      <c r="K201" s="85">
        <f t="shared" si="629"/>
        <v>360.00000000000006</v>
      </c>
      <c r="L201" s="85" t="str">
        <f>'Consumer Hardware Pricing'!Q209</f>
        <v>-</v>
      </c>
      <c r="M201" s="85" t="str">
        <f t="shared" si="360"/>
        <v>-</v>
      </c>
      <c r="N201" s="85" t="str">
        <f t="shared" si="617"/>
        <v>-</v>
      </c>
      <c r="O201" s="85" t="str">
        <f t="shared" si="618"/>
        <v>-</v>
      </c>
      <c r="P201" s="85" t="str">
        <f t="shared" si="630"/>
        <v>-</v>
      </c>
      <c r="Q201" s="85">
        <f>'Consumer Hardware Pricing'!S209</f>
        <v>0</v>
      </c>
      <c r="R201" s="85">
        <f t="shared" si="619"/>
        <v>17.920000000000002</v>
      </c>
      <c r="S201" s="85">
        <f>'Consumer Hardware Pricing'!T209</f>
        <v>2.92</v>
      </c>
      <c r="T201" s="129">
        <f t="shared" si="631"/>
        <v>15.000000000000002</v>
      </c>
      <c r="U201" s="129">
        <f t="shared" si="632"/>
        <v>70.08</v>
      </c>
      <c r="V201" s="85">
        <f t="shared" si="633"/>
        <v>360.00000000000006</v>
      </c>
      <c r="W201" s="129" t="str">
        <f>'Consumer Hardware Pricing'!V209</f>
        <v>-</v>
      </c>
      <c r="X201" s="129" t="str">
        <f t="shared" si="361"/>
        <v>-</v>
      </c>
      <c r="Y201" s="129" t="str">
        <f t="shared" si="634"/>
        <v>-</v>
      </c>
      <c r="Z201" s="129" t="str">
        <f t="shared" si="635"/>
        <v>-</v>
      </c>
      <c r="AA201" s="85" t="str">
        <f t="shared" si="636"/>
        <v>-</v>
      </c>
      <c r="AB201" s="85">
        <f>'Consumer Hardware Pricing'!X209</f>
        <v>0</v>
      </c>
      <c r="AC201" s="85">
        <f t="shared" ref="AC201:AC264" si="777">IF(AB201="-","-",ROUNDUP(D201/24,2))</f>
        <v>17.920000000000002</v>
      </c>
      <c r="AD201" s="85">
        <f>'Consumer Hardware Pricing'!Y209</f>
        <v>17.920000000000002</v>
      </c>
      <c r="AE201" s="85">
        <f t="shared" si="556"/>
        <v>0</v>
      </c>
      <c r="AF201" s="85">
        <f t="shared" si="557"/>
        <v>430.08000000000004</v>
      </c>
      <c r="AG201" s="85">
        <f t="shared" si="558"/>
        <v>0</v>
      </c>
      <c r="AH201" s="85" t="str">
        <f>'Consumer Hardware Pricing'!AA209</f>
        <v>-</v>
      </c>
      <c r="AI201" s="85" t="str">
        <f t="shared" ref="AI201:AI264" si="778">IF(AH201="-",AH201,IF(AD201="-",AC201-ROUNDUP((D201-AH201)/24,2),AD201+AC201-ROUNDUP((D201-AH201)/24,2)))</f>
        <v>-</v>
      </c>
      <c r="AJ201" s="85" t="str">
        <f t="shared" si="559"/>
        <v>-</v>
      </c>
      <c r="AK201" s="85" t="str">
        <f t="shared" si="560"/>
        <v>-</v>
      </c>
      <c r="AL201" s="85" t="str">
        <f t="shared" si="561"/>
        <v>-</v>
      </c>
      <c r="AM201" s="85">
        <f>'Consumer Hardware Pricing'!AC209</f>
        <v>0</v>
      </c>
      <c r="AN201" s="85">
        <f t="shared" ref="AN201:AN264" si="779">IF(AM201="-","-",ROUNDUP(D201/24,2))</f>
        <v>17.920000000000002</v>
      </c>
      <c r="AO201" s="85">
        <f>'Consumer Hardware Pricing'!AD209</f>
        <v>17.920000000000002</v>
      </c>
      <c r="AP201" s="85">
        <f t="shared" si="562"/>
        <v>0</v>
      </c>
      <c r="AQ201" s="85">
        <f t="shared" si="563"/>
        <v>430.08000000000004</v>
      </c>
      <c r="AR201" s="85">
        <f t="shared" si="564"/>
        <v>0</v>
      </c>
      <c r="AS201" s="85" t="str">
        <f>'Consumer Hardware Pricing'!AF209</f>
        <v>-</v>
      </c>
      <c r="AT201" s="85" t="str">
        <f t="shared" ref="AT201:AT264" si="780">IF(AS201="-",AS201,IF(AO201="-",AN201-ROUNDUP((D201-AS201)/24,2),AO201+AN201-ROUNDUP((D201-AS201)/24,2)))</f>
        <v>-</v>
      </c>
      <c r="AU201" s="85" t="str">
        <f t="shared" si="565"/>
        <v>-</v>
      </c>
      <c r="AV201" s="85" t="str">
        <f t="shared" si="566"/>
        <v>-</v>
      </c>
      <c r="AW201" s="85" t="str">
        <f t="shared" si="567"/>
        <v>-</v>
      </c>
      <c r="AX201" s="85" t="str">
        <f>'Consumer Hardware Pricing'!AH209</f>
        <v>-</v>
      </c>
      <c r="AY201" s="85" t="str">
        <f t="shared" ref="AY201:AY264" si="781">IF(AX201="-",AX201,ROUNDUP((D201-AX201)/24,2))</f>
        <v>-</v>
      </c>
      <c r="AZ201" s="85" t="str">
        <f>'Consumer Hardware Pricing'!AI209</f>
        <v>-</v>
      </c>
      <c r="BA201" s="85" t="str">
        <f t="shared" si="620"/>
        <v>-</v>
      </c>
      <c r="BB201" s="85" t="str">
        <f t="shared" si="621"/>
        <v>-</v>
      </c>
      <c r="BC201" s="85" t="str">
        <f t="shared" si="637"/>
        <v>-</v>
      </c>
      <c r="BD201" s="85" t="str">
        <f>'Consumer Hardware Pricing'!AL209</f>
        <v>-</v>
      </c>
      <c r="BE201" s="85" t="str">
        <f t="shared" ref="BE201:BE264" si="782">IF(BD201="-",BD201,ROUNDUP((D201-BD201)/24,2))</f>
        <v>-</v>
      </c>
      <c r="BF201" s="85" t="str">
        <f>'Consumer Hardware Pricing'!AM209</f>
        <v>-</v>
      </c>
      <c r="BG201" s="85" t="str">
        <f t="shared" si="622"/>
        <v>-</v>
      </c>
      <c r="BH201" s="85" t="str">
        <f t="shared" si="623"/>
        <v>-</v>
      </c>
      <c r="BI201" s="85" t="str">
        <f t="shared" si="638"/>
        <v>-</v>
      </c>
      <c r="BJ201" s="85" t="str">
        <f>'Consumer Hardware Pricing'!AP209</f>
        <v>-</v>
      </c>
      <c r="BK201" s="85" t="str">
        <f t="shared" ref="BK201:BK264" si="783">IF(BJ201="-",BJ201,ROUNDUP((D201-BJ201)/24,2))</f>
        <v>-</v>
      </c>
      <c r="BL201" s="85" t="str">
        <f>'Consumer Hardware Pricing'!AQ209</f>
        <v>-</v>
      </c>
      <c r="BM201" s="85" t="str">
        <f t="shared" si="624"/>
        <v>-</v>
      </c>
      <c r="BN201" s="85" t="str">
        <f t="shared" si="625"/>
        <v>-</v>
      </c>
      <c r="BO201" s="85" t="str">
        <f t="shared" si="639"/>
        <v>-</v>
      </c>
      <c r="BP201" s="85" t="str">
        <f>'Consumer Hardware Pricing'!AT209</f>
        <v>-</v>
      </c>
      <c r="BQ201" s="85" t="str">
        <f t="shared" ref="BQ201:BQ264" si="784">IF(BP201="-",BP201,ROUNDUP((D201-BP201)/24,2))</f>
        <v>-</v>
      </c>
      <c r="BR201" s="85" t="str">
        <f>'Consumer Hardware Pricing'!AU209</f>
        <v>-</v>
      </c>
      <c r="BS201" s="85" t="str">
        <f t="shared" si="626"/>
        <v>-</v>
      </c>
      <c r="BT201" s="85" t="str">
        <f t="shared" si="627"/>
        <v>-</v>
      </c>
      <c r="BU201" s="85" t="str">
        <f t="shared" si="640"/>
        <v>-</v>
      </c>
    </row>
    <row r="202" spans="1:73" ht="30.15" customHeight="1" x14ac:dyDescent="0.25">
      <c r="A202" s="87" t="s">
        <v>34</v>
      </c>
      <c r="B202" s="88" t="s">
        <v>319</v>
      </c>
      <c r="C202" s="88" t="s">
        <v>182</v>
      </c>
      <c r="D202" s="85">
        <f>'Consumer Hardware Pricing'!L210</f>
        <v>430</v>
      </c>
      <c r="E202" s="85">
        <f>'Consumer Hardware Pricing'!M210</f>
        <v>430</v>
      </c>
      <c r="F202" s="85">
        <f>'Consumer Hardware Pricing'!N210</f>
        <v>0</v>
      </c>
      <c r="G202" s="85">
        <f t="shared" si="359"/>
        <v>17.920000000000002</v>
      </c>
      <c r="H202" s="85">
        <f>'Consumer Hardware Pricing'!O210</f>
        <v>2.92</v>
      </c>
      <c r="I202" s="85">
        <f t="shared" si="616"/>
        <v>15.000000000000002</v>
      </c>
      <c r="J202" s="85">
        <f t="shared" si="628"/>
        <v>70.08</v>
      </c>
      <c r="K202" s="85">
        <f t="shared" si="629"/>
        <v>360.00000000000006</v>
      </c>
      <c r="L202" s="85" t="str">
        <f>'Consumer Hardware Pricing'!Q210</f>
        <v>-</v>
      </c>
      <c r="M202" s="85" t="str">
        <f t="shared" si="360"/>
        <v>-</v>
      </c>
      <c r="N202" s="85" t="str">
        <f t="shared" si="617"/>
        <v>-</v>
      </c>
      <c r="O202" s="85" t="str">
        <f t="shared" si="618"/>
        <v>-</v>
      </c>
      <c r="P202" s="85" t="str">
        <f t="shared" si="630"/>
        <v>-</v>
      </c>
      <c r="Q202" s="85">
        <f>'Consumer Hardware Pricing'!S210</f>
        <v>0</v>
      </c>
      <c r="R202" s="85">
        <f t="shared" si="619"/>
        <v>17.920000000000002</v>
      </c>
      <c r="S202" s="85">
        <f>'Consumer Hardware Pricing'!T210</f>
        <v>2.92</v>
      </c>
      <c r="T202" s="129">
        <f t="shared" si="631"/>
        <v>15.000000000000002</v>
      </c>
      <c r="U202" s="129">
        <f t="shared" si="632"/>
        <v>70.08</v>
      </c>
      <c r="V202" s="85">
        <f t="shared" si="633"/>
        <v>360.00000000000006</v>
      </c>
      <c r="W202" s="129" t="str">
        <f>'Consumer Hardware Pricing'!V210</f>
        <v>-</v>
      </c>
      <c r="X202" s="129" t="str">
        <f t="shared" si="361"/>
        <v>-</v>
      </c>
      <c r="Y202" s="129" t="str">
        <f t="shared" si="634"/>
        <v>-</v>
      </c>
      <c r="Z202" s="129" t="str">
        <f t="shared" si="635"/>
        <v>-</v>
      </c>
      <c r="AA202" s="85" t="str">
        <f t="shared" si="636"/>
        <v>-</v>
      </c>
      <c r="AB202" s="85">
        <f>'Consumer Hardware Pricing'!X210</f>
        <v>0</v>
      </c>
      <c r="AC202" s="85">
        <f t="shared" si="777"/>
        <v>17.920000000000002</v>
      </c>
      <c r="AD202" s="85">
        <f>'Consumer Hardware Pricing'!Y210</f>
        <v>17.920000000000002</v>
      </c>
      <c r="AE202" s="85">
        <f t="shared" si="556"/>
        <v>0</v>
      </c>
      <c r="AF202" s="85">
        <f t="shared" si="557"/>
        <v>430.08000000000004</v>
      </c>
      <c r="AG202" s="85">
        <f t="shared" si="558"/>
        <v>0</v>
      </c>
      <c r="AH202" s="85" t="str">
        <f>'Consumer Hardware Pricing'!AA210</f>
        <v>-</v>
      </c>
      <c r="AI202" s="85" t="str">
        <f t="shared" si="778"/>
        <v>-</v>
      </c>
      <c r="AJ202" s="85" t="str">
        <f t="shared" si="559"/>
        <v>-</v>
      </c>
      <c r="AK202" s="85" t="str">
        <f t="shared" si="560"/>
        <v>-</v>
      </c>
      <c r="AL202" s="85" t="str">
        <f t="shared" si="561"/>
        <v>-</v>
      </c>
      <c r="AM202" s="85">
        <f>'Consumer Hardware Pricing'!AC210</f>
        <v>0</v>
      </c>
      <c r="AN202" s="85">
        <f t="shared" si="779"/>
        <v>17.920000000000002</v>
      </c>
      <c r="AO202" s="85">
        <f>'Consumer Hardware Pricing'!AD210</f>
        <v>17.920000000000002</v>
      </c>
      <c r="AP202" s="85">
        <f t="shared" si="562"/>
        <v>0</v>
      </c>
      <c r="AQ202" s="85">
        <f t="shared" si="563"/>
        <v>430.08000000000004</v>
      </c>
      <c r="AR202" s="85">
        <f t="shared" si="564"/>
        <v>0</v>
      </c>
      <c r="AS202" s="85" t="str">
        <f>'Consumer Hardware Pricing'!AF210</f>
        <v>-</v>
      </c>
      <c r="AT202" s="85" t="str">
        <f t="shared" si="780"/>
        <v>-</v>
      </c>
      <c r="AU202" s="85" t="str">
        <f t="shared" si="565"/>
        <v>-</v>
      </c>
      <c r="AV202" s="85" t="str">
        <f t="shared" si="566"/>
        <v>-</v>
      </c>
      <c r="AW202" s="85" t="str">
        <f t="shared" si="567"/>
        <v>-</v>
      </c>
      <c r="AX202" s="85" t="str">
        <f>'Consumer Hardware Pricing'!AH210</f>
        <v>-</v>
      </c>
      <c r="AY202" s="85" t="str">
        <f t="shared" si="781"/>
        <v>-</v>
      </c>
      <c r="AZ202" s="85" t="str">
        <f>'Consumer Hardware Pricing'!AI210</f>
        <v>-</v>
      </c>
      <c r="BA202" s="85" t="str">
        <f t="shared" si="620"/>
        <v>-</v>
      </c>
      <c r="BB202" s="85" t="str">
        <f t="shared" si="621"/>
        <v>-</v>
      </c>
      <c r="BC202" s="85" t="str">
        <f t="shared" si="637"/>
        <v>-</v>
      </c>
      <c r="BD202" s="85" t="str">
        <f>'Consumer Hardware Pricing'!AL210</f>
        <v>-</v>
      </c>
      <c r="BE202" s="85" t="str">
        <f t="shared" si="782"/>
        <v>-</v>
      </c>
      <c r="BF202" s="85" t="str">
        <f>'Consumer Hardware Pricing'!AM210</f>
        <v>-</v>
      </c>
      <c r="BG202" s="85" t="str">
        <f t="shared" si="622"/>
        <v>-</v>
      </c>
      <c r="BH202" s="85" t="str">
        <f t="shared" si="623"/>
        <v>-</v>
      </c>
      <c r="BI202" s="85" t="str">
        <f t="shared" si="638"/>
        <v>-</v>
      </c>
      <c r="BJ202" s="85" t="str">
        <f>'Consumer Hardware Pricing'!AP210</f>
        <v>-</v>
      </c>
      <c r="BK202" s="85" t="str">
        <f t="shared" si="783"/>
        <v>-</v>
      </c>
      <c r="BL202" s="85" t="str">
        <f>'Consumer Hardware Pricing'!AQ210</f>
        <v>-</v>
      </c>
      <c r="BM202" s="85" t="str">
        <f t="shared" si="624"/>
        <v>-</v>
      </c>
      <c r="BN202" s="85" t="str">
        <f t="shared" si="625"/>
        <v>-</v>
      </c>
      <c r="BO202" s="85" t="str">
        <f t="shared" si="639"/>
        <v>-</v>
      </c>
      <c r="BP202" s="85" t="str">
        <f>'Consumer Hardware Pricing'!AT210</f>
        <v>-</v>
      </c>
      <c r="BQ202" s="85" t="str">
        <f t="shared" si="784"/>
        <v>-</v>
      </c>
      <c r="BR202" s="85" t="str">
        <f>'Consumer Hardware Pricing'!AU210</f>
        <v>-</v>
      </c>
      <c r="BS202" s="85" t="str">
        <f t="shared" si="626"/>
        <v>-</v>
      </c>
      <c r="BT202" s="85" t="str">
        <f t="shared" si="627"/>
        <v>-</v>
      </c>
      <c r="BU202" s="85" t="str">
        <f t="shared" si="640"/>
        <v>-</v>
      </c>
    </row>
    <row r="203" spans="1:73" ht="30.15" customHeight="1" x14ac:dyDescent="0.25">
      <c r="A203" s="87" t="s">
        <v>34</v>
      </c>
      <c r="B203" s="88" t="s">
        <v>170</v>
      </c>
      <c r="C203" s="88" t="s">
        <v>182</v>
      </c>
      <c r="D203" s="85">
        <f>'Consumer Hardware Pricing'!L211</f>
        <v>430</v>
      </c>
      <c r="E203" s="85">
        <f>'Consumer Hardware Pricing'!M211</f>
        <v>430</v>
      </c>
      <c r="F203" s="85">
        <f>'Consumer Hardware Pricing'!N211</f>
        <v>0</v>
      </c>
      <c r="G203" s="85">
        <f t="shared" si="359"/>
        <v>17.920000000000002</v>
      </c>
      <c r="H203" s="85">
        <f>'Consumer Hardware Pricing'!O211</f>
        <v>2.92</v>
      </c>
      <c r="I203" s="85">
        <f t="shared" si="616"/>
        <v>15.000000000000002</v>
      </c>
      <c r="J203" s="85">
        <f t="shared" si="628"/>
        <v>70.08</v>
      </c>
      <c r="K203" s="85">
        <f t="shared" si="629"/>
        <v>360.00000000000006</v>
      </c>
      <c r="L203" s="85" t="str">
        <f>'Consumer Hardware Pricing'!Q211</f>
        <v>-</v>
      </c>
      <c r="M203" s="85" t="str">
        <f t="shared" si="360"/>
        <v>-</v>
      </c>
      <c r="N203" s="85" t="str">
        <f t="shared" si="617"/>
        <v>-</v>
      </c>
      <c r="O203" s="85" t="str">
        <f t="shared" si="618"/>
        <v>-</v>
      </c>
      <c r="P203" s="85" t="str">
        <f t="shared" si="630"/>
        <v>-</v>
      </c>
      <c r="Q203" s="85">
        <f>'Consumer Hardware Pricing'!S211</f>
        <v>0</v>
      </c>
      <c r="R203" s="85">
        <f t="shared" si="619"/>
        <v>17.920000000000002</v>
      </c>
      <c r="S203" s="85">
        <f>'Consumer Hardware Pricing'!T211</f>
        <v>2.92</v>
      </c>
      <c r="T203" s="129">
        <f t="shared" si="631"/>
        <v>15.000000000000002</v>
      </c>
      <c r="U203" s="129">
        <f t="shared" si="632"/>
        <v>70.08</v>
      </c>
      <c r="V203" s="85">
        <f t="shared" si="633"/>
        <v>360.00000000000006</v>
      </c>
      <c r="W203" s="129" t="str">
        <f>'Consumer Hardware Pricing'!V211</f>
        <v>-</v>
      </c>
      <c r="X203" s="129" t="str">
        <f t="shared" si="361"/>
        <v>-</v>
      </c>
      <c r="Y203" s="129" t="str">
        <f t="shared" si="634"/>
        <v>-</v>
      </c>
      <c r="Z203" s="129" t="str">
        <f t="shared" si="635"/>
        <v>-</v>
      </c>
      <c r="AA203" s="85" t="str">
        <f t="shared" si="636"/>
        <v>-</v>
      </c>
      <c r="AB203" s="85">
        <f>'Consumer Hardware Pricing'!X211</f>
        <v>0</v>
      </c>
      <c r="AC203" s="85">
        <f t="shared" si="777"/>
        <v>17.920000000000002</v>
      </c>
      <c r="AD203" s="85">
        <f>'Consumer Hardware Pricing'!Y211</f>
        <v>17.920000000000002</v>
      </c>
      <c r="AE203" s="85">
        <f t="shared" si="556"/>
        <v>0</v>
      </c>
      <c r="AF203" s="85">
        <f t="shared" si="557"/>
        <v>430.08000000000004</v>
      </c>
      <c r="AG203" s="85">
        <f t="shared" si="558"/>
        <v>0</v>
      </c>
      <c r="AH203" s="85" t="str">
        <f>'Consumer Hardware Pricing'!AA211</f>
        <v>-</v>
      </c>
      <c r="AI203" s="85" t="str">
        <f t="shared" si="778"/>
        <v>-</v>
      </c>
      <c r="AJ203" s="85" t="str">
        <f t="shared" si="559"/>
        <v>-</v>
      </c>
      <c r="AK203" s="85" t="str">
        <f t="shared" si="560"/>
        <v>-</v>
      </c>
      <c r="AL203" s="85" t="str">
        <f t="shared" si="561"/>
        <v>-</v>
      </c>
      <c r="AM203" s="85">
        <f>'Consumer Hardware Pricing'!AC211</f>
        <v>0</v>
      </c>
      <c r="AN203" s="85">
        <f t="shared" si="779"/>
        <v>17.920000000000002</v>
      </c>
      <c r="AO203" s="85">
        <f>'Consumer Hardware Pricing'!AD211</f>
        <v>17.920000000000002</v>
      </c>
      <c r="AP203" s="85">
        <f t="shared" si="562"/>
        <v>0</v>
      </c>
      <c r="AQ203" s="85">
        <f t="shared" si="563"/>
        <v>430.08000000000004</v>
      </c>
      <c r="AR203" s="85">
        <f t="shared" si="564"/>
        <v>0</v>
      </c>
      <c r="AS203" s="85" t="str">
        <f>'Consumer Hardware Pricing'!AF211</f>
        <v>-</v>
      </c>
      <c r="AT203" s="85" t="str">
        <f t="shared" si="780"/>
        <v>-</v>
      </c>
      <c r="AU203" s="85" t="str">
        <f t="shared" si="565"/>
        <v>-</v>
      </c>
      <c r="AV203" s="85" t="str">
        <f t="shared" si="566"/>
        <v>-</v>
      </c>
      <c r="AW203" s="85" t="str">
        <f t="shared" si="567"/>
        <v>-</v>
      </c>
      <c r="AX203" s="85" t="str">
        <f>'Consumer Hardware Pricing'!AH211</f>
        <v>-</v>
      </c>
      <c r="AY203" s="85" t="str">
        <f t="shared" si="781"/>
        <v>-</v>
      </c>
      <c r="AZ203" s="85" t="str">
        <f>'Consumer Hardware Pricing'!AI211</f>
        <v>-</v>
      </c>
      <c r="BA203" s="85" t="str">
        <f t="shared" si="620"/>
        <v>-</v>
      </c>
      <c r="BB203" s="85" t="str">
        <f t="shared" si="621"/>
        <v>-</v>
      </c>
      <c r="BC203" s="85" t="str">
        <f t="shared" si="637"/>
        <v>-</v>
      </c>
      <c r="BD203" s="85" t="str">
        <f>'Consumer Hardware Pricing'!AL211</f>
        <v>-</v>
      </c>
      <c r="BE203" s="85" t="str">
        <f t="shared" si="782"/>
        <v>-</v>
      </c>
      <c r="BF203" s="85" t="str">
        <f>'Consumer Hardware Pricing'!AM211</f>
        <v>-</v>
      </c>
      <c r="BG203" s="85" t="str">
        <f t="shared" si="622"/>
        <v>-</v>
      </c>
      <c r="BH203" s="85" t="str">
        <f t="shared" si="623"/>
        <v>-</v>
      </c>
      <c r="BI203" s="85" t="str">
        <f t="shared" si="638"/>
        <v>-</v>
      </c>
      <c r="BJ203" s="85" t="str">
        <f>'Consumer Hardware Pricing'!AP211</f>
        <v>-</v>
      </c>
      <c r="BK203" s="85" t="str">
        <f t="shared" si="783"/>
        <v>-</v>
      </c>
      <c r="BL203" s="85" t="str">
        <f>'Consumer Hardware Pricing'!AQ211</f>
        <v>-</v>
      </c>
      <c r="BM203" s="85" t="str">
        <f t="shared" si="624"/>
        <v>-</v>
      </c>
      <c r="BN203" s="85" t="str">
        <f t="shared" si="625"/>
        <v>-</v>
      </c>
      <c r="BO203" s="85" t="str">
        <f t="shared" si="639"/>
        <v>-</v>
      </c>
      <c r="BP203" s="85" t="str">
        <f>'Consumer Hardware Pricing'!AT211</f>
        <v>-</v>
      </c>
      <c r="BQ203" s="85" t="str">
        <f t="shared" si="784"/>
        <v>-</v>
      </c>
      <c r="BR203" s="85" t="str">
        <f>'Consumer Hardware Pricing'!AU211</f>
        <v>-</v>
      </c>
      <c r="BS203" s="85" t="str">
        <f t="shared" si="626"/>
        <v>-</v>
      </c>
      <c r="BT203" s="85" t="str">
        <f t="shared" si="627"/>
        <v>-</v>
      </c>
      <c r="BU203" s="85" t="str">
        <f t="shared" si="640"/>
        <v>-</v>
      </c>
    </row>
    <row r="204" spans="1:73" ht="30.15" customHeight="1" x14ac:dyDescent="0.25">
      <c r="A204" s="87" t="s">
        <v>34</v>
      </c>
      <c r="B204" s="88" t="s">
        <v>171</v>
      </c>
      <c r="C204" s="88" t="s">
        <v>182</v>
      </c>
      <c r="D204" s="85">
        <f>'Consumer Hardware Pricing'!L212</f>
        <v>430</v>
      </c>
      <c r="E204" s="85">
        <f>'Consumer Hardware Pricing'!M212</f>
        <v>430</v>
      </c>
      <c r="F204" s="85">
        <f>'Consumer Hardware Pricing'!N212</f>
        <v>0</v>
      </c>
      <c r="G204" s="85">
        <f t="shared" si="359"/>
        <v>17.920000000000002</v>
      </c>
      <c r="H204" s="85">
        <f>'Consumer Hardware Pricing'!O212</f>
        <v>2.92</v>
      </c>
      <c r="I204" s="85">
        <f t="shared" si="616"/>
        <v>15.000000000000002</v>
      </c>
      <c r="J204" s="85">
        <f t="shared" si="628"/>
        <v>70.08</v>
      </c>
      <c r="K204" s="85">
        <f t="shared" si="629"/>
        <v>360.00000000000006</v>
      </c>
      <c r="L204" s="85" t="str">
        <f>'Consumer Hardware Pricing'!Q212</f>
        <v>-</v>
      </c>
      <c r="M204" s="85" t="str">
        <f t="shared" si="360"/>
        <v>-</v>
      </c>
      <c r="N204" s="85" t="str">
        <f t="shared" si="617"/>
        <v>-</v>
      </c>
      <c r="O204" s="85" t="str">
        <f t="shared" si="618"/>
        <v>-</v>
      </c>
      <c r="P204" s="85" t="str">
        <f t="shared" si="630"/>
        <v>-</v>
      </c>
      <c r="Q204" s="85">
        <f>'Consumer Hardware Pricing'!S212</f>
        <v>0</v>
      </c>
      <c r="R204" s="85">
        <f t="shared" si="619"/>
        <v>17.920000000000002</v>
      </c>
      <c r="S204" s="85">
        <f>'Consumer Hardware Pricing'!T212</f>
        <v>2.92</v>
      </c>
      <c r="T204" s="129">
        <f t="shared" si="631"/>
        <v>15.000000000000002</v>
      </c>
      <c r="U204" s="129">
        <f t="shared" si="632"/>
        <v>70.08</v>
      </c>
      <c r="V204" s="85">
        <f t="shared" si="633"/>
        <v>360.00000000000006</v>
      </c>
      <c r="W204" s="129" t="str">
        <f>'Consumer Hardware Pricing'!V212</f>
        <v>-</v>
      </c>
      <c r="X204" s="129" t="str">
        <f t="shared" si="361"/>
        <v>-</v>
      </c>
      <c r="Y204" s="129" t="str">
        <f t="shared" si="634"/>
        <v>-</v>
      </c>
      <c r="Z204" s="129" t="str">
        <f t="shared" si="635"/>
        <v>-</v>
      </c>
      <c r="AA204" s="85" t="str">
        <f t="shared" si="636"/>
        <v>-</v>
      </c>
      <c r="AB204" s="85">
        <f>'Consumer Hardware Pricing'!X212</f>
        <v>0</v>
      </c>
      <c r="AC204" s="85">
        <f t="shared" si="777"/>
        <v>17.920000000000002</v>
      </c>
      <c r="AD204" s="85">
        <f>'Consumer Hardware Pricing'!Y212</f>
        <v>17.920000000000002</v>
      </c>
      <c r="AE204" s="85">
        <f t="shared" si="556"/>
        <v>0</v>
      </c>
      <c r="AF204" s="85">
        <f t="shared" si="557"/>
        <v>430.08000000000004</v>
      </c>
      <c r="AG204" s="85">
        <f t="shared" si="558"/>
        <v>0</v>
      </c>
      <c r="AH204" s="85" t="str">
        <f>'Consumer Hardware Pricing'!AA212</f>
        <v>-</v>
      </c>
      <c r="AI204" s="85" t="str">
        <f t="shared" si="778"/>
        <v>-</v>
      </c>
      <c r="AJ204" s="85" t="str">
        <f t="shared" si="559"/>
        <v>-</v>
      </c>
      <c r="AK204" s="85" t="str">
        <f t="shared" si="560"/>
        <v>-</v>
      </c>
      <c r="AL204" s="85" t="str">
        <f t="shared" si="561"/>
        <v>-</v>
      </c>
      <c r="AM204" s="85">
        <f>'Consumer Hardware Pricing'!AC212</f>
        <v>0</v>
      </c>
      <c r="AN204" s="85">
        <f t="shared" si="779"/>
        <v>17.920000000000002</v>
      </c>
      <c r="AO204" s="85">
        <f>'Consumer Hardware Pricing'!AD212</f>
        <v>17.920000000000002</v>
      </c>
      <c r="AP204" s="85">
        <f t="shared" si="562"/>
        <v>0</v>
      </c>
      <c r="AQ204" s="85">
        <f t="shared" si="563"/>
        <v>430.08000000000004</v>
      </c>
      <c r="AR204" s="85">
        <f t="shared" si="564"/>
        <v>0</v>
      </c>
      <c r="AS204" s="85" t="str">
        <f>'Consumer Hardware Pricing'!AF212</f>
        <v>-</v>
      </c>
      <c r="AT204" s="85" t="str">
        <f t="shared" si="780"/>
        <v>-</v>
      </c>
      <c r="AU204" s="85" t="str">
        <f t="shared" si="565"/>
        <v>-</v>
      </c>
      <c r="AV204" s="85" t="str">
        <f t="shared" si="566"/>
        <v>-</v>
      </c>
      <c r="AW204" s="85" t="str">
        <f t="shared" si="567"/>
        <v>-</v>
      </c>
      <c r="AX204" s="85" t="str">
        <f>'Consumer Hardware Pricing'!AH212</f>
        <v>-</v>
      </c>
      <c r="AY204" s="85" t="str">
        <f t="shared" si="781"/>
        <v>-</v>
      </c>
      <c r="AZ204" s="85" t="str">
        <f>'Consumer Hardware Pricing'!AI212</f>
        <v>-</v>
      </c>
      <c r="BA204" s="85" t="str">
        <f t="shared" si="620"/>
        <v>-</v>
      </c>
      <c r="BB204" s="85" t="str">
        <f t="shared" si="621"/>
        <v>-</v>
      </c>
      <c r="BC204" s="85" t="str">
        <f t="shared" si="637"/>
        <v>-</v>
      </c>
      <c r="BD204" s="85" t="str">
        <f>'Consumer Hardware Pricing'!AL212</f>
        <v>-</v>
      </c>
      <c r="BE204" s="85" t="str">
        <f t="shared" si="782"/>
        <v>-</v>
      </c>
      <c r="BF204" s="85" t="str">
        <f>'Consumer Hardware Pricing'!AM212</f>
        <v>-</v>
      </c>
      <c r="BG204" s="85" t="str">
        <f t="shared" si="622"/>
        <v>-</v>
      </c>
      <c r="BH204" s="85" t="str">
        <f t="shared" si="623"/>
        <v>-</v>
      </c>
      <c r="BI204" s="85" t="str">
        <f t="shared" si="638"/>
        <v>-</v>
      </c>
      <c r="BJ204" s="85" t="str">
        <f>'Consumer Hardware Pricing'!AP212</f>
        <v>-</v>
      </c>
      <c r="BK204" s="85" t="str">
        <f t="shared" si="783"/>
        <v>-</v>
      </c>
      <c r="BL204" s="85" t="str">
        <f>'Consumer Hardware Pricing'!AQ212</f>
        <v>-</v>
      </c>
      <c r="BM204" s="85" t="str">
        <f t="shared" si="624"/>
        <v>-</v>
      </c>
      <c r="BN204" s="85" t="str">
        <f t="shared" si="625"/>
        <v>-</v>
      </c>
      <c r="BO204" s="85" t="str">
        <f t="shared" si="639"/>
        <v>-</v>
      </c>
      <c r="BP204" s="85" t="str">
        <f>'Consumer Hardware Pricing'!AT212</f>
        <v>-</v>
      </c>
      <c r="BQ204" s="85" t="str">
        <f t="shared" si="784"/>
        <v>-</v>
      </c>
      <c r="BR204" s="85" t="str">
        <f>'Consumer Hardware Pricing'!AU212</f>
        <v>-</v>
      </c>
      <c r="BS204" s="85" t="str">
        <f t="shared" si="626"/>
        <v>-</v>
      </c>
      <c r="BT204" s="85" t="str">
        <f t="shared" si="627"/>
        <v>-</v>
      </c>
      <c r="BU204" s="85" t="str">
        <f t="shared" si="640"/>
        <v>-</v>
      </c>
    </row>
    <row r="205" spans="1:73" ht="30.15" customHeight="1" x14ac:dyDescent="0.25">
      <c r="A205" s="87" t="s">
        <v>34</v>
      </c>
      <c r="B205" s="88" t="s">
        <v>186</v>
      </c>
      <c r="C205" s="88" t="s">
        <v>162</v>
      </c>
      <c r="D205" s="85">
        <f>'Consumer Hardware Pricing'!L213</f>
        <v>560</v>
      </c>
      <c r="E205" s="85">
        <f>'Consumer Hardware Pricing'!M213</f>
        <v>560</v>
      </c>
      <c r="F205" s="85">
        <f>'Consumer Hardware Pricing'!N213</f>
        <v>0</v>
      </c>
      <c r="G205" s="85">
        <f t="shared" ref="G205:G254" si="785">IF(F205="-","-",ROUNDUP(D205/24,2))</f>
        <v>23.34</v>
      </c>
      <c r="H205" s="85">
        <f>'Consumer Hardware Pricing'!O213</f>
        <v>2.92</v>
      </c>
      <c r="I205" s="85">
        <f t="shared" si="616"/>
        <v>20.420000000000002</v>
      </c>
      <c r="J205" s="85">
        <f t="shared" si="628"/>
        <v>70.08</v>
      </c>
      <c r="K205" s="85">
        <f t="shared" si="629"/>
        <v>490.08000000000004</v>
      </c>
      <c r="L205" s="85" t="str">
        <f>'Consumer Hardware Pricing'!Q213</f>
        <v>-</v>
      </c>
      <c r="M205" s="85" t="str">
        <f t="shared" ref="M205:M254" si="786">IF(L205="-",L205,IF(H205="-",G205-ROUNDUP((D205-L205)/24,2),H205+G205-ROUNDUP((D205-L205)/24,2)))</f>
        <v>-</v>
      </c>
      <c r="N205" s="85" t="str">
        <f t="shared" si="617"/>
        <v>-</v>
      </c>
      <c r="O205" s="85" t="str">
        <f t="shared" si="618"/>
        <v>-</v>
      </c>
      <c r="P205" s="85" t="str">
        <f t="shared" si="630"/>
        <v>-</v>
      </c>
      <c r="Q205" s="85">
        <f>'Consumer Hardware Pricing'!S213</f>
        <v>0</v>
      </c>
      <c r="R205" s="85">
        <f t="shared" si="619"/>
        <v>23.34</v>
      </c>
      <c r="S205" s="85">
        <f>'Consumer Hardware Pricing'!T213</f>
        <v>2.92</v>
      </c>
      <c r="T205" s="129">
        <f t="shared" si="631"/>
        <v>20.420000000000002</v>
      </c>
      <c r="U205" s="129">
        <f t="shared" si="632"/>
        <v>70.08</v>
      </c>
      <c r="V205" s="85">
        <f t="shared" si="633"/>
        <v>490.08000000000004</v>
      </c>
      <c r="W205" s="129" t="str">
        <f>'Consumer Hardware Pricing'!V213</f>
        <v>-</v>
      </c>
      <c r="X205" s="129" t="str">
        <f t="shared" ref="X205:X254" si="787">IF(W205="-",W205,IF(S205="-",R205-ROUNDUP((D205-W205)/24,2),S205+R205-ROUNDUP((D205-W205)/24,2)))</f>
        <v>-</v>
      </c>
      <c r="Y205" s="129" t="str">
        <f t="shared" si="634"/>
        <v>-</v>
      </c>
      <c r="Z205" s="129" t="str">
        <f t="shared" si="635"/>
        <v>-</v>
      </c>
      <c r="AA205" s="85" t="str">
        <f t="shared" si="636"/>
        <v>-</v>
      </c>
      <c r="AB205" s="85">
        <f>'Consumer Hardware Pricing'!X213</f>
        <v>0</v>
      </c>
      <c r="AC205" s="85">
        <f t="shared" si="777"/>
        <v>23.34</v>
      </c>
      <c r="AD205" s="85">
        <f>'Consumer Hardware Pricing'!Y213</f>
        <v>17.920000000000002</v>
      </c>
      <c r="AE205" s="85">
        <f t="shared" si="556"/>
        <v>5.4199999999999982</v>
      </c>
      <c r="AF205" s="85">
        <f t="shared" si="557"/>
        <v>430.08000000000004</v>
      </c>
      <c r="AG205" s="85">
        <f t="shared" si="558"/>
        <v>130.07999999999996</v>
      </c>
      <c r="AH205" s="85" t="str">
        <f>'Consumer Hardware Pricing'!AA213</f>
        <v>-</v>
      </c>
      <c r="AI205" s="85" t="str">
        <f t="shared" si="778"/>
        <v>-</v>
      </c>
      <c r="AJ205" s="85" t="str">
        <f t="shared" si="559"/>
        <v>-</v>
      </c>
      <c r="AK205" s="85" t="str">
        <f t="shared" si="560"/>
        <v>-</v>
      </c>
      <c r="AL205" s="85" t="str">
        <f t="shared" si="561"/>
        <v>-</v>
      </c>
      <c r="AM205" s="85">
        <f>'Consumer Hardware Pricing'!AC213</f>
        <v>0</v>
      </c>
      <c r="AN205" s="85">
        <f t="shared" si="779"/>
        <v>23.34</v>
      </c>
      <c r="AO205" s="85">
        <f>'Consumer Hardware Pricing'!AD213</f>
        <v>17.920000000000002</v>
      </c>
      <c r="AP205" s="85">
        <f t="shared" si="562"/>
        <v>5.4199999999999982</v>
      </c>
      <c r="AQ205" s="85">
        <f t="shared" si="563"/>
        <v>430.08000000000004</v>
      </c>
      <c r="AR205" s="85">
        <f t="shared" si="564"/>
        <v>130.07999999999996</v>
      </c>
      <c r="AS205" s="85" t="str">
        <f>'Consumer Hardware Pricing'!AF213</f>
        <v>-</v>
      </c>
      <c r="AT205" s="85" t="str">
        <f t="shared" si="780"/>
        <v>-</v>
      </c>
      <c r="AU205" s="85" t="str">
        <f t="shared" si="565"/>
        <v>-</v>
      </c>
      <c r="AV205" s="85" t="str">
        <f t="shared" si="566"/>
        <v>-</v>
      </c>
      <c r="AW205" s="85" t="str">
        <f t="shared" si="567"/>
        <v>-</v>
      </c>
      <c r="AX205" s="85" t="str">
        <f>'Consumer Hardware Pricing'!AH213</f>
        <v>-</v>
      </c>
      <c r="AY205" s="85" t="str">
        <f t="shared" si="781"/>
        <v>-</v>
      </c>
      <c r="AZ205" s="85" t="str">
        <f>'Consumer Hardware Pricing'!AI213</f>
        <v>-</v>
      </c>
      <c r="BA205" s="85" t="str">
        <f t="shared" si="620"/>
        <v>-</v>
      </c>
      <c r="BB205" s="85" t="str">
        <f t="shared" si="621"/>
        <v>-</v>
      </c>
      <c r="BC205" s="85" t="str">
        <f t="shared" si="637"/>
        <v>-</v>
      </c>
      <c r="BD205" s="85" t="str">
        <f>'Consumer Hardware Pricing'!AL213</f>
        <v>-</v>
      </c>
      <c r="BE205" s="85" t="str">
        <f t="shared" si="782"/>
        <v>-</v>
      </c>
      <c r="BF205" s="85" t="str">
        <f>'Consumer Hardware Pricing'!AM213</f>
        <v>-</v>
      </c>
      <c r="BG205" s="85" t="str">
        <f t="shared" si="622"/>
        <v>-</v>
      </c>
      <c r="BH205" s="85" t="str">
        <f t="shared" si="623"/>
        <v>-</v>
      </c>
      <c r="BI205" s="85" t="str">
        <f t="shared" si="638"/>
        <v>-</v>
      </c>
      <c r="BJ205" s="85" t="str">
        <f>'Consumer Hardware Pricing'!AP213</f>
        <v>-</v>
      </c>
      <c r="BK205" s="85" t="str">
        <f t="shared" si="783"/>
        <v>-</v>
      </c>
      <c r="BL205" s="85" t="str">
        <f>'Consumer Hardware Pricing'!AQ213</f>
        <v>-</v>
      </c>
      <c r="BM205" s="85" t="str">
        <f t="shared" si="624"/>
        <v>-</v>
      </c>
      <c r="BN205" s="85" t="str">
        <f t="shared" si="625"/>
        <v>-</v>
      </c>
      <c r="BO205" s="85" t="str">
        <f t="shared" si="639"/>
        <v>-</v>
      </c>
      <c r="BP205" s="85" t="str">
        <f>'Consumer Hardware Pricing'!AT213</f>
        <v>-</v>
      </c>
      <c r="BQ205" s="85" t="str">
        <f t="shared" si="784"/>
        <v>-</v>
      </c>
      <c r="BR205" s="85" t="str">
        <f>'Consumer Hardware Pricing'!AU213</f>
        <v>-</v>
      </c>
      <c r="BS205" s="85" t="str">
        <f t="shared" si="626"/>
        <v>-</v>
      </c>
      <c r="BT205" s="85" t="str">
        <f t="shared" si="627"/>
        <v>-</v>
      </c>
      <c r="BU205" s="85" t="str">
        <f t="shared" si="640"/>
        <v>-</v>
      </c>
    </row>
    <row r="206" spans="1:73" ht="30.15" customHeight="1" x14ac:dyDescent="0.25">
      <c r="A206" s="87" t="s">
        <v>34</v>
      </c>
      <c r="B206" s="88" t="s">
        <v>201</v>
      </c>
      <c r="C206" s="88" t="s">
        <v>162</v>
      </c>
      <c r="D206" s="85">
        <f>'Consumer Hardware Pricing'!L214</f>
        <v>560</v>
      </c>
      <c r="E206" s="85">
        <f>'Consumer Hardware Pricing'!M214</f>
        <v>560</v>
      </c>
      <c r="F206" s="85">
        <f>'Consumer Hardware Pricing'!N214</f>
        <v>0</v>
      </c>
      <c r="G206" s="85">
        <f t="shared" si="785"/>
        <v>23.34</v>
      </c>
      <c r="H206" s="85">
        <f>'Consumer Hardware Pricing'!O214</f>
        <v>2.92</v>
      </c>
      <c r="I206" s="85">
        <f t="shared" si="616"/>
        <v>20.420000000000002</v>
      </c>
      <c r="J206" s="85">
        <f t="shared" si="628"/>
        <v>70.08</v>
      </c>
      <c r="K206" s="85">
        <f t="shared" si="629"/>
        <v>490.08000000000004</v>
      </c>
      <c r="L206" s="85" t="str">
        <f>'Consumer Hardware Pricing'!Q214</f>
        <v>-</v>
      </c>
      <c r="M206" s="85" t="str">
        <f t="shared" si="786"/>
        <v>-</v>
      </c>
      <c r="N206" s="85" t="str">
        <f t="shared" si="617"/>
        <v>-</v>
      </c>
      <c r="O206" s="85" t="str">
        <f t="shared" si="618"/>
        <v>-</v>
      </c>
      <c r="P206" s="85" t="str">
        <f t="shared" si="630"/>
        <v>-</v>
      </c>
      <c r="Q206" s="85">
        <f>'Consumer Hardware Pricing'!S214</f>
        <v>0</v>
      </c>
      <c r="R206" s="85">
        <f t="shared" si="619"/>
        <v>23.34</v>
      </c>
      <c r="S206" s="85">
        <f>'Consumer Hardware Pricing'!T214</f>
        <v>2.92</v>
      </c>
      <c r="T206" s="129">
        <f t="shared" si="631"/>
        <v>20.420000000000002</v>
      </c>
      <c r="U206" s="129">
        <f t="shared" si="632"/>
        <v>70.08</v>
      </c>
      <c r="V206" s="85">
        <f t="shared" si="633"/>
        <v>490.08000000000004</v>
      </c>
      <c r="W206" s="129" t="str">
        <f>'Consumer Hardware Pricing'!V214</f>
        <v>-</v>
      </c>
      <c r="X206" s="129" t="str">
        <f t="shared" si="787"/>
        <v>-</v>
      </c>
      <c r="Y206" s="129" t="str">
        <f t="shared" si="634"/>
        <v>-</v>
      </c>
      <c r="Z206" s="129" t="str">
        <f t="shared" si="635"/>
        <v>-</v>
      </c>
      <c r="AA206" s="85" t="str">
        <f t="shared" si="636"/>
        <v>-</v>
      </c>
      <c r="AB206" s="85">
        <f>'Consumer Hardware Pricing'!X214</f>
        <v>0</v>
      </c>
      <c r="AC206" s="85">
        <f t="shared" si="777"/>
        <v>23.34</v>
      </c>
      <c r="AD206" s="85">
        <f>'Consumer Hardware Pricing'!Y214</f>
        <v>17.920000000000002</v>
      </c>
      <c r="AE206" s="85">
        <f t="shared" si="556"/>
        <v>5.4199999999999982</v>
      </c>
      <c r="AF206" s="85">
        <f t="shared" si="557"/>
        <v>430.08000000000004</v>
      </c>
      <c r="AG206" s="85">
        <f t="shared" si="558"/>
        <v>130.07999999999996</v>
      </c>
      <c r="AH206" s="85" t="str">
        <f>'Consumer Hardware Pricing'!AA214</f>
        <v>-</v>
      </c>
      <c r="AI206" s="85" t="str">
        <f t="shared" si="778"/>
        <v>-</v>
      </c>
      <c r="AJ206" s="85" t="str">
        <f t="shared" si="559"/>
        <v>-</v>
      </c>
      <c r="AK206" s="85" t="str">
        <f t="shared" si="560"/>
        <v>-</v>
      </c>
      <c r="AL206" s="85" t="str">
        <f t="shared" si="561"/>
        <v>-</v>
      </c>
      <c r="AM206" s="85">
        <f>'Consumer Hardware Pricing'!AC214</f>
        <v>0</v>
      </c>
      <c r="AN206" s="85">
        <f t="shared" si="779"/>
        <v>23.34</v>
      </c>
      <c r="AO206" s="85">
        <f>'Consumer Hardware Pricing'!AD214</f>
        <v>17.920000000000002</v>
      </c>
      <c r="AP206" s="85">
        <f t="shared" si="562"/>
        <v>5.4199999999999982</v>
      </c>
      <c r="AQ206" s="85">
        <f t="shared" si="563"/>
        <v>430.08000000000004</v>
      </c>
      <c r="AR206" s="85">
        <f t="shared" si="564"/>
        <v>130.07999999999996</v>
      </c>
      <c r="AS206" s="85" t="str">
        <f>'Consumer Hardware Pricing'!AF214</f>
        <v>-</v>
      </c>
      <c r="AT206" s="85" t="str">
        <f t="shared" si="780"/>
        <v>-</v>
      </c>
      <c r="AU206" s="85" t="str">
        <f t="shared" si="565"/>
        <v>-</v>
      </c>
      <c r="AV206" s="85" t="str">
        <f t="shared" si="566"/>
        <v>-</v>
      </c>
      <c r="AW206" s="85" t="str">
        <f t="shared" si="567"/>
        <v>-</v>
      </c>
      <c r="AX206" s="85" t="str">
        <f>'Consumer Hardware Pricing'!AH214</f>
        <v>-</v>
      </c>
      <c r="AY206" s="85" t="str">
        <f t="shared" si="781"/>
        <v>-</v>
      </c>
      <c r="AZ206" s="85" t="str">
        <f>'Consumer Hardware Pricing'!AI214</f>
        <v>-</v>
      </c>
      <c r="BA206" s="85" t="str">
        <f t="shared" si="620"/>
        <v>-</v>
      </c>
      <c r="BB206" s="85" t="str">
        <f t="shared" si="621"/>
        <v>-</v>
      </c>
      <c r="BC206" s="85" t="str">
        <f t="shared" si="637"/>
        <v>-</v>
      </c>
      <c r="BD206" s="85" t="str">
        <f>'Consumer Hardware Pricing'!AL214</f>
        <v>-</v>
      </c>
      <c r="BE206" s="85" t="str">
        <f t="shared" si="782"/>
        <v>-</v>
      </c>
      <c r="BF206" s="85" t="str">
        <f>'Consumer Hardware Pricing'!AM214</f>
        <v>-</v>
      </c>
      <c r="BG206" s="85" t="str">
        <f t="shared" si="622"/>
        <v>-</v>
      </c>
      <c r="BH206" s="85" t="str">
        <f t="shared" si="623"/>
        <v>-</v>
      </c>
      <c r="BI206" s="85" t="str">
        <f t="shared" si="638"/>
        <v>-</v>
      </c>
      <c r="BJ206" s="85" t="str">
        <f>'Consumer Hardware Pricing'!AP214</f>
        <v>-</v>
      </c>
      <c r="BK206" s="85" t="str">
        <f t="shared" si="783"/>
        <v>-</v>
      </c>
      <c r="BL206" s="85" t="str">
        <f>'Consumer Hardware Pricing'!AQ214</f>
        <v>-</v>
      </c>
      <c r="BM206" s="85" t="str">
        <f t="shared" si="624"/>
        <v>-</v>
      </c>
      <c r="BN206" s="85" t="str">
        <f t="shared" si="625"/>
        <v>-</v>
      </c>
      <c r="BO206" s="85" t="str">
        <f t="shared" si="639"/>
        <v>-</v>
      </c>
      <c r="BP206" s="85" t="str">
        <f>'Consumer Hardware Pricing'!AT214</f>
        <v>-</v>
      </c>
      <c r="BQ206" s="85" t="str">
        <f t="shared" si="784"/>
        <v>-</v>
      </c>
      <c r="BR206" s="85" t="str">
        <f>'Consumer Hardware Pricing'!AU214</f>
        <v>-</v>
      </c>
      <c r="BS206" s="85" t="str">
        <f t="shared" si="626"/>
        <v>-</v>
      </c>
      <c r="BT206" s="85" t="str">
        <f t="shared" si="627"/>
        <v>-</v>
      </c>
      <c r="BU206" s="85" t="str">
        <f t="shared" si="640"/>
        <v>-</v>
      </c>
    </row>
    <row r="207" spans="1:73" ht="30.15" customHeight="1" x14ac:dyDescent="0.25">
      <c r="A207" s="87" t="s">
        <v>34</v>
      </c>
      <c r="B207" s="88" t="s">
        <v>163</v>
      </c>
      <c r="C207" s="88" t="s">
        <v>162</v>
      </c>
      <c r="D207" s="85">
        <f>'Consumer Hardware Pricing'!L215</f>
        <v>560</v>
      </c>
      <c r="E207" s="85">
        <f>'Consumer Hardware Pricing'!M215</f>
        <v>560</v>
      </c>
      <c r="F207" s="85">
        <f>'Consumer Hardware Pricing'!N215</f>
        <v>0</v>
      </c>
      <c r="G207" s="85">
        <f t="shared" si="785"/>
        <v>23.34</v>
      </c>
      <c r="H207" s="85">
        <f>'Consumer Hardware Pricing'!O215</f>
        <v>2.92</v>
      </c>
      <c r="I207" s="85">
        <f t="shared" si="616"/>
        <v>20.420000000000002</v>
      </c>
      <c r="J207" s="85">
        <f t="shared" si="628"/>
        <v>70.08</v>
      </c>
      <c r="K207" s="85">
        <f t="shared" si="629"/>
        <v>490.08000000000004</v>
      </c>
      <c r="L207" s="85" t="str">
        <f>'Consumer Hardware Pricing'!Q215</f>
        <v>-</v>
      </c>
      <c r="M207" s="85" t="str">
        <f t="shared" si="786"/>
        <v>-</v>
      </c>
      <c r="N207" s="85" t="str">
        <f t="shared" si="617"/>
        <v>-</v>
      </c>
      <c r="O207" s="85" t="str">
        <f t="shared" si="618"/>
        <v>-</v>
      </c>
      <c r="P207" s="85" t="str">
        <f t="shared" si="630"/>
        <v>-</v>
      </c>
      <c r="Q207" s="85">
        <f>'Consumer Hardware Pricing'!S215</f>
        <v>0</v>
      </c>
      <c r="R207" s="85">
        <f t="shared" si="619"/>
        <v>23.34</v>
      </c>
      <c r="S207" s="85">
        <f>'Consumer Hardware Pricing'!T215</f>
        <v>2.92</v>
      </c>
      <c r="T207" s="129">
        <f t="shared" si="631"/>
        <v>20.420000000000002</v>
      </c>
      <c r="U207" s="129">
        <f t="shared" si="632"/>
        <v>70.08</v>
      </c>
      <c r="V207" s="85">
        <f t="shared" si="633"/>
        <v>490.08000000000004</v>
      </c>
      <c r="W207" s="129" t="str">
        <f>'Consumer Hardware Pricing'!V215</f>
        <v>-</v>
      </c>
      <c r="X207" s="129" t="str">
        <f t="shared" si="787"/>
        <v>-</v>
      </c>
      <c r="Y207" s="129" t="str">
        <f t="shared" si="634"/>
        <v>-</v>
      </c>
      <c r="Z207" s="129" t="str">
        <f t="shared" si="635"/>
        <v>-</v>
      </c>
      <c r="AA207" s="85" t="str">
        <f t="shared" si="636"/>
        <v>-</v>
      </c>
      <c r="AB207" s="85">
        <f>'Consumer Hardware Pricing'!X215</f>
        <v>0</v>
      </c>
      <c r="AC207" s="85">
        <f t="shared" si="777"/>
        <v>23.34</v>
      </c>
      <c r="AD207" s="85">
        <f>'Consumer Hardware Pricing'!Y215</f>
        <v>17.920000000000002</v>
      </c>
      <c r="AE207" s="85">
        <f t="shared" si="556"/>
        <v>5.4199999999999982</v>
      </c>
      <c r="AF207" s="85">
        <f t="shared" si="557"/>
        <v>430.08000000000004</v>
      </c>
      <c r="AG207" s="85">
        <f t="shared" si="558"/>
        <v>130.07999999999996</v>
      </c>
      <c r="AH207" s="85" t="str">
        <f>'Consumer Hardware Pricing'!AA215</f>
        <v>-</v>
      </c>
      <c r="AI207" s="85" t="str">
        <f t="shared" si="778"/>
        <v>-</v>
      </c>
      <c r="AJ207" s="85" t="str">
        <f t="shared" si="559"/>
        <v>-</v>
      </c>
      <c r="AK207" s="85" t="str">
        <f t="shared" si="560"/>
        <v>-</v>
      </c>
      <c r="AL207" s="85" t="str">
        <f t="shared" si="561"/>
        <v>-</v>
      </c>
      <c r="AM207" s="85">
        <f>'Consumer Hardware Pricing'!AC215</f>
        <v>0</v>
      </c>
      <c r="AN207" s="85">
        <f t="shared" si="779"/>
        <v>23.34</v>
      </c>
      <c r="AO207" s="85">
        <f>'Consumer Hardware Pricing'!AD215</f>
        <v>17.920000000000002</v>
      </c>
      <c r="AP207" s="85">
        <f t="shared" si="562"/>
        <v>5.4199999999999982</v>
      </c>
      <c r="AQ207" s="85">
        <f t="shared" si="563"/>
        <v>430.08000000000004</v>
      </c>
      <c r="AR207" s="85">
        <f t="shared" si="564"/>
        <v>130.07999999999996</v>
      </c>
      <c r="AS207" s="85" t="str">
        <f>'Consumer Hardware Pricing'!AF215</f>
        <v>-</v>
      </c>
      <c r="AT207" s="85" t="str">
        <f t="shared" si="780"/>
        <v>-</v>
      </c>
      <c r="AU207" s="85" t="str">
        <f t="shared" si="565"/>
        <v>-</v>
      </c>
      <c r="AV207" s="85" t="str">
        <f t="shared" si="566"/>
        <v>-</v>
      </c>
      <c r="AW207" s="85" t="str">
        <f t="shared" si="567"/>
        <v>-</v>
      </c>
      <c r="AX207" s="85" t="str">
        <f>'Consumer Hardware Pricing'!AH215</f>
        <v>-</v>
      </c>
      <c r="AY207" s="85" t="str">
        <f t="shared" si="781"/>
        <v>-</v>
      </c>
      <c r="AZ207" s="85" t="str">
        <f>'Consumer Hardware Pricing'!AI215</f>
        <v>-</v>
      </c>
      <c r="BA207" s="85" t="str">
        <f t="shared" si="620"/>
        <v>-</v>
      </c>
      <c r="BB207" s="85" t="str">
        <f t="shared" si="621"/>
        <v>-</v>
      </c>
      <c r="BC207" s="85" t="str">
        <f t="shared" si="637"/>
        <v>-</v>
      </c>
      <c r="BD207" s="85" t="str">
        <f>'Consumer Hardware Pricing'!AL215</f>
        <v>-</v>
      </c>
      <c r="BE207" s="85" t="str">
        <f t="shared" si="782"/>
        <v>-</v>
      </c>
      <c r="BF207" s="85" t="str">
        <f>'Consumer Hardware Pricing'!AM215</f>
        <v>-</v>
      </c>
      <c r="BG207" s="85" t="str">
        <f t="shared" si="622"/>
        <v>-</v>
      </c>
      <c r="BH207" s="85" t="str">
        <f t="shared" si="623"/>
        <v>-</v>
      </c>
      <c r="BI207" s="85" t="str">
        <f t="shared" si="638"/>
        <v>-</v>
      </c>
      <c r="BJ207" s="85" t="str">
        <f>'Consumer Hardware Pricing'!AP215</f>
        <v>-</v>
      </c>
      <c r="BK207" s="85" t="str">
        <f t="shared" si="783"/>
        <v>-</v>
      </c>
      <c r="BL207" s="85" t="str">
        <f>'Consumer Hardware Pricing'!AQ215</f>
        <v>-</v>
      </c>
      <c r="BM207" s="85" t="str">
        <f t="shared" si="624"/>
        <v>-</v>
      </c>
      <c r="BN207" s="85" t="str">
        <f t="shared" si="625"/>
        <v>-</v>
      </c>
      <c r="BO207" s="85" t="str">
        <f t="shared" si="639"/>
        <v>-</v>
      </c>
      <c r="BP207" s="85" t="str">
        <f>'Consumer Hardware Pricing'!AT215</f>
        <v>-</v>
      </c>
      <c r="BQ207" s="85" t="str">
        <f t="shared" si="784"/>
        <v>-</v>
      </c>
      <c r="BR207" s="85" t="str">
        <f>'Consumer Hardware Pricing'!AU215</f>
        <v>-</v>
      </c>
      <c r="BS207" s="85" t="str">
        <f t="shared" si="626"/>
        <v>-</v>
      </c>
      <c r="BT207" s="85" t="str">
        <f t="shared" si="627"/>
        <v>-</v>
      </c>
      <c r="BU207" s="85" t="str">
        <f t="shared" si="640"/>
        <v>-</v>
      </c>
    </row>
    <row r="208" spans="1:73" ht="30.15" customHeight="1" x14ac:dyDescent="0.25">
      <c r="A208" s="87" t="s">
        <v>34</v>
      </c>
      <c r="B208" s="88" t="s">
        <v>164</v>
      </c>
      <c r="C208" s="88" t="s">
        <v>162</v>
      </c>
      <c r="D208" s="85">
        <f>'Consumer Hardware Pricing'!L216</f>
        <v>560</v>
      </c>
      <c r="E208" s="85">
        <f>'Consumer Hardware Pricing'!M216</f>
        <v>560</v>
      </c>
      <c r="F208" s="85">
        <f>'Consumer Hardware Pricing'!N216</f>
        <v>0</v>
      </c>
      <c r="G208" s="85">
        <f t="shared" si="785"/>
        <v>23.34</v>
      </c>
      <c r="H208" s="85">
        <f>'Consumer Hardware Pricing'!O216</f>
        <v>2.92</v>
      </c>
      <c r="I208" s="85">
        <f t="shared" si="616"/>
        <v>20.420000000000002</v>
      </c>
      <c r="J208" s="85">
        <f t="shared" si="628"/>
        <v>70.08</v>
      </c>
      <c r="K208" s="85">
        <f t="shared" si="629"/>
        <v>490.08000000000004</v>
      </c>
      <c r="L208" s="85" t="str">
        <f>'Consumer Hardware Pricing'!Q216</f>
        <v>-</v>
      </c>
      <c r="M208" s="85" t="str">
        <f t="shared" si="786"/>
        <v>-</v>
      </c>
      <c r="N208" s="85" t="str">
        <f t="shared" si="617"/>
        <v>-</v>
      </c>
      <c r="O208" s="85" t="str">
        <f t="shared" si="618"/>
        <v>-</v>
      </c>
      <c r="P208" s="85" t="str">
        <f t="shared" si="630"/>
        <v>-</v>
      </c>
      <c r="Q208" s="85">
        <f>'Consumer Hardware Pricing'!S216</f>
        <v>0</v>
      </c>
      <c r="R208" s="85">
        <f t="shared" si="619"/>
        <v>23.34</v>
      </c>
      <c r="S208" s="85">
        <f>'Consumer Hardware Pricing'!T216</f>
        <v>2.92</v>
      </c>
      <c r="T208" s="129">
        <f t="shared" si="631"/>
        <v>20.420000000000002</v>
      </c>
      <c r="U208" s="129">
        <f t="shared" si="632"/>
        <v>70.08</v>
      </c>
      <c r="V208" s="85">
        <f t="shared" si="633"/>
        <v>490.08000000000004</v>
      </c>
      <c r="W208" s="129" t="str">
        <f>'Consumer Hardware Pricing'!V216</f>
        <v>-</v>
      </c>
      <c r="X208" s="129" t="str">
        <f t="shared" si="787"/>
        <v>-</v>
      </c>
      <c r="Y208" s="129" t="str">
        <f t="shared" si="634"/>
        <v>-</v>
      </c>
      <c r="Z208" s="129" t="str">
        <f t="shared" si="635"/>
        <v>-</v>
      </c>
      <c r="AA208" s="85" t="str">
        <f t="shared" si="636"/>
        <v>-</v>
      </c>
      <c r="AB208" s="85">
        <f>'Consumer Hardware Pricing'!X216</f>
        <v>0</v>
      </c>
      <c r="AC208" s="85">
        <f t="shared" si="777"/>
        <v>23.34</v>
      </c>
      <c r="AD208" s="85">
        <f>'Consumer Hardware Pricing'!Y216</f>
        <v>17.920000000000002</v>
      </c>
      <c r="AE208" s="85">
        <f t="shared" si="556"/>
        <v>5.4199999999999982</v>
      </c>
      <c r="AF208" s="85">
        <f t="shared" si="557"/>
        <v>430.08000000000004</v>
      </c>
      <c r="AG208" s="85">
        <f t="shared" si="558"/>
        <v>130.07999999999996</v>
      </c>
      <c r="AH208" s="85" t="str">
        <f>'Consumer Hardware Pricing'!AA216</f>
        <v>-</v>
      </c>
      <c r="AI208" s="85" t="str">
        <f t="shared" si="778"/>
        <v>-</v>
      </c>
      <c r="AJ208" s="85" t="str">
        <f t="shared" si="559"/>
        <v>-</v>
      </c>
      <c r="AK208" s="85" t="str">
        <f t="shared" si="560"/>
        <v>-</v>
      </c>
      <c r="AL208" s="85" t="str">
        <f t="shared" si="561"/>
        <v>-</v>
      </c>
      <c r="AM208" s="85">
        <f>'Consumer Hardware Pricing'!AC216</f>
        <v>0</v>
      </c>
      <c r="AN208" s="85">
        <f t="shared" si="779"/>
        <v>23.34</v>
      </c>
      <c r="AO208" s="85">
        <f>'Consumer Hardware Pricing'!AD216</f>
        <v>17.920000000000002</v>
      </c>
      <c r="AP208" s="85">
        <f t="shared" si="562"/>
        <v>5.4199999999999982</v>
      </c>
      <c r="AQ208" s="85">
        <f t="shared" si="563"/>
        <v>430.08000000000004</v>
      </c>
      <c r="AR208" s="85">
        <f t="shared" si="564"/>
        <v>130.07999999999996</v>
      </c>
      <c r="AS208" s="85" t="str">
        <f>'Consumer Hardware Pricing'!AF216</f>
        <v>-</v>
      </c>
      <c r="AT208" s="85" t="str">
        <f t="shared" si="780"/>
        <v>-</v>
      </c>
      <c r="AU208" s="85" t="str">
        <f t="shared" si="565"/>
        <v>-</v>
      </c>
      <c r="AV208" s="85" t="str">
        <f t="shared" si="566"/>
        <v>-</v>
      </c>
      <c r="AW208" s="85" t="str">
        <f t="shared" si="567"/>
        <v>-</v>
      </c>
      <c r="AX208" s="85" t="str">
        <f>'Consumer Hardware Pricing'!AH216</f>
        <v>-</v>
      </c>
      <c r="AY208" s="85" t="str">
        <f t="shared" si="781"/>
        <v>-</v>
      </c>
      <c r="AZ208" s="85" t="str">
        <f>'Consumer Hardware Pricing'!AI216</f>
        <v>-</v>
      </c>
      <c r="BA208" s="85" t="str">
        <f t="shared" si="620"/>
        <v>-</v>
      </c>
      <c r="BB208" s="85" t="str">
        <f t="shared" si="621"/>
        <v>-</v>
      </c>
      <c r="BC208" s="85" t="str">
        <f t="shared" si="637"/>
        <v>-</v>
      </c>
      <c r="BD208" s="85" t="str">
        <f>'Consumer Hardware Pricing'!AL216</f>
        <v>-</v>
      </c>
      <c r="BE208" s="85" t="str">
        <f t="shared" si="782"/>
        <v>-</v>
      </c>
      <c r="BF208" s="85" t="str">
        <f>'Consumer Hardware Pricing'!AM216</f>
        <v>-</v>
      </c>
      <c r="BG208" s="85" t="str">
        <f t="shared" si="622"/>
        <v>-</v>
      </c>
      <c r="BH208" s="85" t="str">
        <f t="shared" si="623"/>
        <v>-</v>
      </c>
      <c r="BI208" s="85" t="str">
        <f t="shared" si="638"/>
        <v>-</v>
      </c>
      <c r="BJ208" s="85" t="str">
        <f>'Consumer Hardware Pricing'!AP216</f>
        <v>-</v>
      </c>
      <c r="BK208" s="85" t="str">
        <f t="shared" si="783"/>
        <v>-</v>
      </c>
      <c r="BL208" s="85" t="str">
        <f>'Consumer Hardware Pricing'!AQ216</f>
        <v>-</v>
      </c>
      <c r="BM208" s="85" t="str">
        <f t="shared" si="624"/>
        <v>-</v>
      </c>
      <c r="BN208" s="85" t="str">
        <f t="shared" si="625"/>
        <v>-</v>
      </c>
      <c r="BO208" s="85" t="str">
        <f t="shared" si="639"/>
        <v>-</v>
      </c>
      <c r="BP208" s="85" t="str">
        <f>'Consumer Hardware Pricing'!AT216</f>
        <v>-</v>
      </c>
      <c r="BQ208" s="85" t="str">
        <f t="shared" si="784"/>
        <v>-</v>
      </c>
      <c r="BR208" s="85" t="str">
        <f>'Consumer Hardware Pricing'!AU216</f>
        <v>-</v>
      </c>
      <c r="BS208" s="85" t="str">
        <f t="shared" si="626"/>
        <v>-</v>
      </c>
      <c r="BT208" s="85" t="str">
        <f t="shared" si="627"/>
        <v>-</v>
      </c>
      <c r="BU208" s="85" t="str">
        <f t="shared" si="640"/>
        <v>-</v>
      </c>
    </row>
    <row r="209" spans="1:73" ht="30.15" customHeight="1" x14ac:dyDescent="0.25">
      <c r="A209" s="87" t="s">
        <v>34</v>
      </c>
      <c r="B209" s="88" t="s">
        <v>188</v>
      </c>
      <c r="C209" s="88" t="s">
        <v>184</v>
      </c>
      <c r="D209" s="85">
        <f>'Consumer Hardware Pricing'!L217</f>
        <v>710</v>
      </c>
      <c r="E209" s="85">
        <f>'Consumer Hardware Pricing'!M217</f>
        <v>710</v>
      </c>
      <c r="F209" s="85">
        <f>'Consumer Hardware Pricing'!N217</f>
        <v>0</v>
      </c>
      <c r="G209" s="85">
        <f t="shared" si="785"/>
        <v>29.59</v>
      </c>
      <c r="H209" s="85">
        <f>'Consumer Hardware Pricing'!O217</f>
        <v>2.92</v>
      </c>
      <c r="I209" s="85">
        <f t="shared" si="616"/>
        <v>26.67</v>
      </c>
      <c r="J209" s="85">
        <f t="shared" si="628"/>
        <v>70.08</v>
      </c>
      <c r="K209" s="85">
        <f t="shared" si="629"/>
        <v>640.08000000000004</v>
      </c>
      <c r="L209" s="85" t="str">
        <f>'Consumer Hardware Pricing'!Q217</f>
        <v>-</v>
      </c>
      <c r="M209" s="85" t="str">
        <f t="shared" si="786"/>
        <v>-</v>
      </c>
      <c r="N209" s="85" t="str">
        <f t="shared" si="617"/>
        <v>-</v>
      </c>
      <c r="O209" s="85" t="str">
        <f t="shared" si="618"/>
        <v>-</v>
      </c>
      <c r="P209" s="85" t="str">
        <f t="shared" si="630"/>
        <v>-</v>
      </c>
      <c r="Q209" s="85">
        <f>'Consumer Hardware Pricing'!S217</f>
        <v>0</v>
      </c>
      <c r="R209" s="85">
        <f t="shared" si="619"/>
        <v>29.59</v>
      </c>
      <c r="S209" s="85">
        <f>'Consumer Hardware Pricing'!T217</f>
        <v>2.92</v>
      </c>
      <c r="T209" s="129">
        <f t="shared" si="631"/>
        <v>26.67</v>
      </c>
      <c r="U209" s="129">
        <f t="shared" si="632"/>
        <v>70.08</v>
      </c>
      <c r="V209" s="85">
        <f t="shared" si="633"/>
        <v>640.08000000000004</v>
      </c>
      <c r="W209" s="129" t="str">
        <f>'Consumer Hardware Pricing'!V217</f>
        <v>-</v>
      </c>
      <c r="X209" s="129" t="str">
        <f t="shared" si="787"/>
        <v>-</v>
      </c>
      <c r="Y209" s="129" t="str">
        <f t="shared" si="634"/>
        <v>-</v>
      </c>
      <c r="Z209" s="129" t="str">
        <f t="shared" si="635"/>
        <v>-</v>
      </c>
      <c r="AA209" s="85" t="str">
        <f t="shared" si="636"/>
        <v>-</v>
      </c>
      <c r="AB209" s="85">
        <f>'Consumer Hardware Pricing'!X217</f>
        <v>0</v>
      </c>
      <c r="AC209" s="85">
        <f t="shared" si="777"/>
        <v>29.59</v>
      </c>
      <c r="AD209" s="85">
        <f>'Consumer Hardware Pricing'!Y217</f>
        <v>2.92</v>
      </c>
      <c r="AE209" s="85">
        <f t="shared" si="556"/>
        <v>26.67</v>
      </c>
      <c r="AF209" s="85">
        <f t="shared" si="557"/>
        <v>70.08</v>
      </c>
      <c r="AG209" s="85">
        <f t="shared" si="558"/>
        <v>640.08000000000004</v>
      </c>
      <c r="AH209" s="85" t="str">
        <f>'Consumer Hardware Pricing'!AA217</f>
        <v>-</v>
      </c>
      <c r="AI209" s="85" t="str">
        <f t="shared" si="778"/>
        <v>-</v>
      </c>
      <c r="AJ209" s="85" t="str">
        <f t="shared" si="559"/>
        <v>-</v>
      </c>
      <c r="AK209" s="85" t="str">
        <f t="shared" si="560"/>
        <v>-</v>
      </c>
      <c r="AL209" s="85" t="str">
        <f t="shared" si="561"/>
        <v>-</v>
      </c>
      <c r="AM209" s="85">
        <f>'Consumer Hardware Pricing'!AC217</f>
        <v>0</v>
      </c>
      <c r="AN209" s="85">
        <f t="shared" si="779"/>
        <v>29.59</v>
      </c>
      <c r="AO209" s="85">
        <f>'Consumer Hardware Pricing'!AD217</f>
        <v>2.92</v>
      </c>
      <c r="AP209" s="85">
        <f t="shared" si="562"/>
        <v>26.67</v>
      </c>
      <c r="AQ209" s="85">
        <f t="shared" si="563"/>
        <v>70.08</v>
      </c>
      <c r="AR209" s="85">
        <f t="shared" si="564"/>
        <v>640.08000000000004</v>
      </c>
      <c r="AS209" s="85" t="str">
        <f>'Consumer Hardware Pricing'!AF217</f>
        <v>-</v>
      </c>
      <c r="AT209" s="85" t="str">
        <f t="shared" si="780"/>
        <v>-</v>
      </c>
      <c r="AU209" s="85" t="str">
        <f t="shared" si="565"/>
        <v>-</v>
      </c>
      <c r="AV209" s="85" t="str">
        <f t="shared" si="566"/>
        <v>-</v>
      </c>
      <c r="AW209" s="85" t="str">
        <f t="shared" si="567"/>
        <v>-</v>
      </c>
      <c r="AX209" s="85" t="str">
        <f>'Consumer Hardware Pricing'!AH217</f>
        <v>-</v>
      </c>
      <c r="AY209" s="85" t="str">
        <f t="shared" si="781"/>
        <v>-</v>
      </c>
      <c r="AZ209" s="85" t="str">
        <f>'Consumer Hardware Pricing'!AI217</f>
        <v>-</v>
      </c>
      <c r="BA209" s="85" t="str">
        <f t="shared" si="620"/>
        <v>-</v>
      </c>
      <c r="BB209" s="85" t="str">
        <f t="shared" si="621"/>
        <v>-</v>
      </c>
      <c r="BC209" s="85" t="str">
        <f t="shared" si="637"/>
        <v>-</v>
      </c>
      <c r="BD209" s="85" t="str">
        <f>'Consumer Hardware Pricing'!AL217</f>
        <v>-</v>
      </c>
      <c r="BE209" s="85" t="str">
        <f t="shared" si="782"/>
        <v>-</v>
      </c>
      <c r="BF209" s="85" t="str">
        <f>'Consumer Hardware Pricing'!AM217</f>
        <v>-</v>
      </c>
      <c r="BG209" s="85" t="str">
        <f t="shared" si="622"/>
        <v>-</v>
      </c>
      <c r="BH209" s="85" t="str">
        <f t="shared" si="623"/>
        <v>-</v>
      </c>
      <c r="BI209" s="85" t="str">
        <f t="shared" si="638"/>
        <v>-</v>
      </c>
      <c r="BJ209" s="85" t="str">
        <f>'Consumer Hardware Pricing'!AP217</f>
        <v>-</v>
      </c>
      <c r="BK209" s="85" t="str">
        <f t="shared" si="783"/>
        <v>-</v>
      </c>
      <c r="BL209" s="85" t="str">
        <f>'Consumer Hardware Pricing'!AQ217</f>
        <v>-</v>
      </c>
      <c r="BM209" s="85" t="str">
        <f t="shared" si="624"/>
        <v>-</v>
      </c>
      <c r="BN209" s="85" t="str">
        <f t="shared" si="625"/>
        <v>-</v>
      </c>
      <c r="BO209" s="85" t="str">
        <f t="shared" si="639"/>
        <v>-</v>
      </c>
      <c r="BP209" s="85" t="str">
        <f>'Consumer Hardware Pricing'!AT217</f>
        <v>-</v>
      </c>
      <c r="BQ209" s="85" t="str">
        <f t="shared" si="784"/>
        <v>-</v>
      </c>
      <c r="BR209" s="85" t="str">
        <f>'Consumer Hardware Pricing'!AU217</f>
        <v>-</v>
      </c>
      <c r="BS209" s="85" t="str">
        <f t="shared" si="626"/>
        <v>-</v>
      </c>
      <c r="BT209" s="85" t="str">
        <f t="shared" si="627"/>
        <v>-</v>
      </c>
      <c r="BU209" s="85" t="str">
        <f t="shared" si="640"/>
        <v>-</v>
      </c>
    </row>
    <row r="210" spans="1:73" ht="30.15" customHeight="1" x14ac:dyDescent="0.25">
      <c r="A210" s="87" t="s">
        <v>34</v>
      </c>
      <c r="B210" s="88" t="s">
        <v>176</v>
      </c>
      <c r="C210" s="88" t="s">
        <v>184</v>
      </c>
      <c r="D210" s="85">
        <f>'Consumer Hardware Pricing'!L218</f>
        <v>710</v>
      </c>
      <c r="E210" s="85">
        <f>'Consumer Hardware Pricing'!M218</f>
        <v>710</v>
      </c>
      <c r="F210" s="85">
        <f>'Consumer Hardware Pricing'!N218</f>
        <v>0</v>
      </c>
      <c r="G210" s="85">
        <f t="shared" si="785"/>
        <v>29.59</v>
      </c>
      <c r="H210" s="85">
        <f>'Consumer Hardware Pricing'!O218</f>
        <v>2.92</v>
      </c>
      <c r="I210" s="85">
        <f t="shared" si="616"/>
        <v>26.67</v>
      </c>
      <c r="J210" s="85">
        <f t="shared" si="628"/>
        <v>70.08</v>
      </c>
      <c r="K210" s="85">
        <f t="shared" si="629"/>
        <v>640.08000000000004</v>
      </c>
      <c r="L210" s="85" t="str">
        <f>'Consumer Hardware Pricing'!Q218</f>
        <v>-</v>
      </c>
      <c r="M210" s="85" t="str">
        <f t="shared" si="786"/>
        <v>-</v>
      </c>
      <c r="N210" s="85" t="str">
        <f t="shared" si="617"/>
        <v>-</v>
      </c>
      <c r="O210" s="85" t="str">
        <f t="shared" si="618"/>
        <v>-</v>
      </c>
      <c r="P210" s="85" t="str">
        <f t="shared" si="630"/>
        <v>-</v>
      </c>
      <c r="Q210" s="85">
        <f>'Consumer Hardware Pricing'!S218</f>
        <v>0</v>
      </c>
      <c r="R210" s="85">
        <f t="shared" si="619"/>
        <v>29.59</v>
      </c>
      <c r="S210" s="85">
        <f>'Consumer Hardware Pricing'!T218</f>
        <v>2.92</v>
      </c>
      <c r="T210" s="129">
        <f t="shared" si="631"/>
        <v>26.67</v>
      </c>
      <c r="U210" s="129">
        <f t="shared" si="632"/>
        <v>70.08</v>
      </c>
      <c r="V210" s="85">
        <f t="shared" si="633"/>
        <v>640.08000000000004</v>
      </c>
      <c r="W210" s="129" t="str">
        <f>'Consumer Hardware Pricing'!V218</f>
        <v>-</v>
      </c>
      <c r="X210" s="129" t="str">
        <f t="shared" si="787"/>
        <v>-</v>
      </c>
      <c r="Y210" s="129" t="str">
        <f t="shared" si="634"/>
        <v>-</v>
      </c>
      <c r="Z210" s="129" t="str">
        <f t="shared" si="635"/>
        <v>-</v>
      </c>
      <c r="AA210" s="85" t="str">
        <f t="shared" si="636"/>
        <v>-</v>
      </c>
      <c r="AB210" s="85">
        <f>'Consumer Hardware Pricing'!X218</f>
        <v>0</v>
      </c>
      <c r="AC210" s="85">
        <f t="shared" si="777"/>
        <v>29.59</v>
      </c>
      <c r="AD210" s="85">
        <f>'Consumer Hardware Pricing'!Y218</f>
        <v>2.92</v>
      </c>
      <c r="AE210" s="85">
        <f t="shared" si="556"/>
        <v>26.67</v>
      </c>
      <c r="AF210" s="85">
        <f t="shared" si="557"/>
        <v>70.08</v>
      </c>
      <c r="AG210" s="85">
        <f t="shared" si="558"/>
        <v>640.08000000000004</v>
      </c>
      <c r="AH210" s="85" t="str">
        <f>'Consumer Hardware Pricing'!AA218</f>
        <v>-</v>
      </c>
      <c r="AI210" s="85" t="str">
        <f t="shared" si="778"/>
        <v>-</v>
      </c>
      <c r="AJ210" s="85" t="str">
        <f t="shared" si="559"/>
        <v>-</v>
      </c>
      <c r="AK210" s="85" t="str">
        <f t="shared" si="560"/>
        <v>-</v>
      </c>
      <c r="AL210" s="85" t="str">
        <f t="shared" si="561"/>
        <v>-</v>
      </c>
      <c r="AM210" s="85">
        <f>'Consumer Hardware Pricing'!AC218</f>
        <v>0</v>
      </c>
      <c r="AN210" s="85">
        <f t="shared" si="779"/>
        <v>29.59</v>
      </c>
      <c r="AO210" s="85">
        <f>'Consumer Hardware Pricing'!AD218</f>
        <v>2.92</v>
      </c>
      <c r="AP210" s="85">
        <f t="shared" si="562"/>
        <v>26.67</v>
      </c>
      <c r="AQ210" s="85">
        <f t="shared" si="563"/>
        <v>70.08</v>
      </c>
      <c r="AR210" s="85">
        <f t="shared" si="564"/>
        <v>640.08000000000004</v>
      </c>
      <c r="AS210" s="85" t="str">
        <f>'Consumer Hardware Pricing'!AF218</f>
        <v>-</v>
      </c>
      <c r="AT210" s="85" t="str">
        <f t="shared" si="780"/>
        <v>-</v>
      </c>
      <c r="AU210" s="85" t="str">
        <f t="shared" si="565"/>
        <v>-</v>
      </c>
      <c r="AV210" s="85" t="str">
        <f t="shared" si="566"/>
        <v>-</v>
      </c>
      <c r="AW210" s="85" t="str">
        <f t="shared" si="567"/>
        <v>-</v>
      </c>
      <c r="AX210" s="85" t="str">
        <f>'Consumer Hardware Pricing'!AH218</f>
        <v>-</v>
      </c>
      <c r="AY210" s="85" t="str">
        <f t="shared" si="781"/>
        <v>-</v>
      </c>
      <c r="AZ210" s="85" t="str">
        <f>'Consumer Hardware Pricing'!AI218</f>
        <v>-</v>
      </c>
      <c r="BA210" s="85" t="str">
        <f t="shared" si="620"/>
        <v>-</v>
      </c>
      <c r="BB210" s="85" t="str">
        <f t="shared" si="621"/>
        <v>-</v>
      </c>
      <c r="BC210" s="85" t="str">
        <f t="shared" si="637"/>
        <v>-</v>
      </c>
      <c r="BD210" s="85" t="str">
        <f>'Consumer Hardware Pricing'!AL218</f>
        <v>-</v>
      </c>
      <c r="BE210" s="85" t="str">
        <f t="shared" si="782"/>
        <v>-</v>
      </c>
      <c r="BF210" s="85" t="str">
        <f>'Consumer Hardware Pricing'!AM218</f>
        <v>-</v>
      </c>
      <c r="BG210" s="85" t="str">
        <f t="shared" si="622"/>
        <v>-</v>
      </c>
      <c r="BH210" s="85" t="str">
        <f t="shared" si="623"/>
        <v>-</v>
      </c>
      <c r="BI210" s="85" t="str">
        <f t="shared" si="638"/>
        <v>-</v>
      </c>
      <c r="BJ210" s="85" t="str">
        <f>'Consumer Hardware Pricing'!AP218</f>
        <v>-</v>
      </c>
      <c r="BK210" s="85" t="str">
        <f t="shared" si="783"/>
        <v>-</v>
      </c>
      <c r="BL210" s="85" t="str">
        <f>'Consumer Hardware Pricing'!AQ218</f>
        <v>-</v>
      </c>
      <c r="BM210" s="85" t="str">
        <f t="shared" si="624"/>
        <v>-</v>
      </c>
      <c r="BN210" s="85" t="str">
        <f t="shared" si="625"/>
        <v>-</v>
      </c>
      <c r="BO210" s="85" t="str">
        <f t="shared" si="639"/>
        <v>-</v>
      </c>
      <c r="BP210" s="85" t="str">
        <f>'Consumer Hardware Pricing'!AT218</f>
        <v>-</v>
      </c>
      <c r="BQ210" s="85" t="str">
        <f t="shared" si="784"/>
        <v>-</v>
      </c>
      <c r="BR210" s="85" t="str">
        <f>'Consumer Hardware Pricing'!AU218</f>
        <v>-</v>
      </c>
      <c r="BS210" s="85" t="str">
        <f t="shared" si="626"/>
        <v>-</v>
      </c>
      <c r="BT210" s="85" t="str">
        <f t="shared" si="627"/>
        <v>-</v>
      </c>
      <c r="BU210" s="85" t="str">
        <f t="shared" si="640"/>
        <v>-</v>
      </c>
    </row>
    <row r="211" spans="1:73" ht="30.15" customHeight="1" x14ac:dyDescent="0.25">
      <c r="A211" s="87" t="s">
        <v>34</v>
      </c>
      <c r="B211" s="88" t="s">
        <v>320</v>
      </c>
      <c r="C211" s="88" t="s">
        <v>184</v>
      </c>
      <c r="D211" s="85">
        <f>'Consumer Hardware Pricing'!L219</f>
        <v>710</v>
      </c>
      <c r="E211" s="85">
        <f>'Consumer Hardware Pricing'!M219</f>
        <v>710</v>
      </c>
      <c r="F211" s="85">
        <f>'Consumer Hardware Pricing'!N219</f>
        <v>0</v>
      </c>
      <c r="G211" s="85">
        <f t="shared" si="785"/>
        <v>29.59</v>
      </c>
      <c r="H211" s="85">
        <f>'Consumer Hardware Pricing'!O219</f>
        <v>2.92</v>
      </c>
      <c r="I211" s="85">
        <f t="shared" si="616"/>
        <v>26.67</v>
      </c>
      <c r="J211" s="85">
        <f t="shared" si="628"/>
        <v>70.08</v>
      </c>
      <c r="K211" s="85">
        <f t="shared" si="629"/>
        <v>640.08000000000004</v>
      </c>
      <c r="L211" s="85" t="str">
        <f>'Consumer Hardware Pricing'!Q219</f>
        <v>-</v>
      </c>
      <c r="M211" s="85" t="str">
        <f t="shared" si="786"/>
        <v>-</v>
      </c>
      <c r="N211" s="85" t="str">
        <f t="shared" si="617"/>
        <v>-</v>
      </c>
      <c r="O211" s="85" t="str">
        <f t="shared" si="618"/>
        <v>-</v>
      </c>
      <c r="P211" s="85" t="str">
        <f t="shared" si="630"/>
        <v>-</v>
      </c>
      <c r="Q211" s="85">
        <f>'Consumer Hardware Pricing'!S219</f>
        <v>0</v>
      </c>
      <c r="R211" s="85">
        <f t="shared" si="619"/>
        <v>29.59</v>
      </c>
      <c r="S211" s="85">
        <f>'Consumer Hardware Pricing'!T219</f>
        <v>2.92</v>
      </c>
      <c r="T211" s="129">
        <f t="shared" si="631"/>
        <v>26.67</v>
      </c>
      <c r="U211" s="129">
        <f t="shared" si="632"/>
        <v>70.08</v>
      </c>
      <c r="V211" s="85">
        <f t="shared" si="633"/>
        <v>640.08000000000004</v>
      </c>
      <c r="W211" s="129" t="str">
        <f>'Consumer Hardware Pricing'!V219</f>
        <v>-</v>
      </c>
      <c r="X211" s="129" t="str">
        <f t="shared" si="787"/>
        <v>-</v>
      </c>
      <c r="Y211" s="129" t="str">
        <f t="shared" si="634"/>
        <v>-</v>
      </c>
      <c r="Z211" s="129" t="str">
        <f t="shared" si="635"/>
        <v>-</v>
      </c>
      <c r="AA211" s="85" t="str">
        <f t="shared" si="636"/>
        <v>-</v>
      </c>
      <c r="AB211" s="85">
        <f>'Consumer Hardware Pricing'!X219</f>
        <v>0</v>
      </c>
      <c r="AC211" s="85">
        <f t="shared" si="777"/>
        <v>29.59</v>
      </c>
      <c r="AD211" s="85">
        <f>'Consumer Hardware Pricing'!Y219</f>
        <v>2.92</v>
      </c>
      <c r="AE211" s="85">
        <f t="shared" si="556"/>
        <v>26.67</v>
      </c>
      <c r="AF211" s="85">
        <f t="shared" si="557"/>
        <v>70.08</v>
      </c>
      <c r="AG211" s="85">
        <f t="shared" si="558"/>
        <v>640.08000000000004</v>
      </c>
      <c r="AH211" s="85" t="str">
        <f>'Consumer Hardware Pricing'!AA219</f>
        <v>-</v>
      </c>
      <c r="AI211" s="85" t="str">
        <f t="shared" si="778"/>
        <v>-</v>
      </c>
      <c r="AJ211" s="85" t="str">
        <f t="shared" si="559"/>
        <v>-</v>
      </c>
      <c r="AK211" s="85" t="str">
        <f t="shared" si="560"/>
        <v>-</v>
      </c>
      <c r="AL211" s="85" t="str">
        <f t="shared" si="561"/>
        <v>-</v>
      </c>
      <c r="AM211" s="85">
        <f>'Consumer Hardware Pricing'!AC219</f>
        <v>0</v>
      </c>
      <c r="AN211" s="85">
        <f t="shared" si="779"/>
        <v>29.59</v>
      </c>
      <c r="AO211" s="85">
        <f>'Consumer Hardware Pricing'!AD219</f>
        <v>2.92</v>
      </c>
      <c r="AP211" s="85">
        <f t="shared" si="562"/>
        <v>26.67</v>
      </c>
      <c r="AQ211" s="85">
        <f t="shared" si="563"/>
        <v>70.08</v>
      </c>
      <c r="AR211" s="85">
        <f t="shared" si="564"/>
        <v>640.08000000000004</v>
      </c>
      <c r="AS211" s="85" t="str">
        <f>'Consumer Hardware Pricing'!AF219</f>
        <v>-</v>
      </c>
      <c r="AT211" s="85" t="str">
        <f t="shared" si="780"/>
        <v>-</v>
      </c>
      <c r="AU211" s="85" t="str">
        <f t="shared" si="565"/>
        <v>-</v>
      </c>
      <c r="AV211" s="85" t="str">
        <f t="shared" si="566"/>
        <v>-</v>
      </c>
      <c r="AW211" s="85" t="str">
        <f t="shared" si="567"/>
        <v>-</v>
      </c>
      <c r="AX211" s="85" t="str">
        <f>'Consumer Hardware Pricing'!AH219</f>
        <v>-</v>
      </c>
      <c r="AY211" s="85" t="str">
        <f t="shared" si="781"/>
        <v>-</v>
      </c>
      <c r="AZ211" s="85" t="str">
        <f>'Consumer Hardware Pricing'!AI219</f>
        <v>-</v>
      </c>
      <c r="BA211" s="85" t="str">
        <f t="shared" si="620"/>
        <v>-</v>
      </c>
      <c r="BB211" s="85" t="str">
        <f t="shared" si="621"/>
        <v>-</v>
      </c>
      <c r="BC211" s="85" t="str">
        <f t="shared" si="637"/>
        <v>-</v>
      </c>
      <c r="BD211" s="85" t="str">
        <f>'Consumer Hardware Pricing'!AL219</f>
        <v>-</v>
      </c>
      <c r="BE211" s="85" t="str">
        <f t="shared" si="782"/>
        <v>-</v>
      </c>
      <c r="BF211" s="85" t="str">
        <f>'Consumer Hardware Pricing'!AM219</f>
        <v>-</v>
      </c>
      <c r="BG211" s="85" t="str">
        <f t="shared" si="622"/>
        <v>-</v>
      </c>
      <c r="BH211" s="85" t="str">
        <f t="shared" si="623"/>
        <v>-</v>
      </c>
      <c r="BI211" s="85" t="str">
        <f t="shared" si="638"/>
        <v>-</v>
      </c>
      <c r="BJ211" s="85" t="str">
        <f>'Consumer Hardware Pricing'!AP219</f>
        <v>-</v>
      </c>
      <c r="BK211" s="85" t="str">
        <f t="shared" si="783"/>
        <v>-</v>
      </c>
      <c r="BL211" s="85" t="str">
        <f>'Consumer Hardware Pricing'!AQ219</f>
        <v>-</v>
      </c>
      <c r="BM211" s="85" t="str">
        <f t="shared" si="624"/>
        <v>-</v>
      </c>
      <c r="BN211" s="85" t="str">
        <f t="shared" si="625"/>
        <v>-</v>
      </c>
      <c r="BO211" s="85" t="str">
        <f t="shared" si="639"/>
        <v>-</v>
      </c>
      <c r="BP211" s="85" t="str">
        <f>'Consumer Hardware Pricing'!AT219</f>
        <v>-</v>
      </c>
      <c r="BQ211" s="85" t="str">
        <f t="shared" si="784"/>
        <v>-</v>
      </c>
      <c r="BR211" s="85" t="str">
        <f>'Consumer Hardware Pricing'!AU219</f>
        <v>-</v>
      </c>
      <c r="BS211" s="85" t="str">
        <f t="shared" si="626"/>
        <v>-</v>
      </c>
      <c r="BT211" s="85" t="str">
        <f t="shared" si="627"/>
        <v>-</v>
      </c>
      <c r="BU211" s="85" t="str">
        <f t="shared" si="640"/>
        <v>-</v>
      </c>
    </row>
    <row r="212" spans="1:73" ht="30.15" customHeight="1" x14ac:dyDescent="0.25">
      <c r="A212" s="87" t="s">
        <v>34</v>
      </c>
      <c r="B212" s="88" t="s">
        <v>177</v>
      </c>
      <c r="C212" s="88" t="s">
        <v>184</v>
      </c>
      <c r="D212" s="85">
        <f>'Consumer Hardware Pricing'!L220</f>
        <v>710</v>
      </c>
      <c r="E212" s="85">
        <f>'Consumer Hardware Pricing'!M220</f>
        <v>710</v>
      </c>
      <c r="F212" s="85">
        <f>'Consumer Hardware Pricing'!N220</f>
        <v>0</v>
      </c>
      <c r="G212" s="85">
        <f t="shared" si="785"/>
        <v>29.59</v>
      </c>
      <c r="H212" s="85">
        <f>'Consumer Hardware Pricing'!O220</f>
        <v>2.92</v>
      </c>
      <c r="I212" s="85">
        <f t="shared" si="616"/>
        <v>26.67</v>
      </c>
      <c r="J212" s="85">
        <f t="shared" si="628"/>
        <v>70.08</v>
      </c>
      <c r="K212" s="85">
        <f t="shared" si="629"/>
        <v>640.08000000000004</v>
      </c>
      <c r="L212" s="85" t="str">
        <f>'Consumer Hardware Pricing'!Q220</f>
        <v>-</v>
      </c>
      <c r="M212" s="85" t="str">
        <f t="shared" si="786"/>
        <v>-</v>
      </c>
      <c r="N212" s="85" t="str">
        <f t="shared" si="617"/>
        <v>-</v>
      </c>
      <c r="O212" s="85" t="str">
        <f t="shared" si="618"/>
        <v>-</v>
      </c>
      <c r="P212" s="85" t="str">
        <f t="shared" si="630"/>
        <v>-</v>
      </c>
      <c r="Q212" s="85">
        <f>'Consumer Hardware Pricing'!S220</f>
        <v>0</v>
      </c>
      <c r="R212" s="85">
        <f t="shared" si="619"/>
        <v>29.59</v>
      </c>
      <c r="S212" s="85">
        <f>'Consumer Hardware Pricing'!T220</f>
        <v>2.92</v>
      </c>
      <c r="T212" s="129">
        <f t="shared" si="631"/>
        <v>26.67</v>
      </c>
      <c r="U212" s="129">
        <f t="shared" si="632"/>
        <v>70.08</v>
      </c>
      <c r="V212" s="85">
        <f t="shared" si="633"/>
        <v>640.08000000000004</v>
      </c>
      <c r="W212" s="129" t="str">
        <f>'Consumer Hardware Pricing'!V220</f>
        <v>-</v>
      </c>
      <c r="X212" s="129" t="str">
        <f t="shared" si="787"/>
        <v>-</v>
      </c>
      <c r="Y212" s="129" t="str">
        <f t="shared" si="634"/>
        <v>-</v>
      </c>
      <c r="Z212" s="129" t="str">
        <f t="shared" si="635"/>
        <v>-</v>
      </c>
      <c r="AA212" s="85" t="str">
        <f t="shared" si="636"/>
        <v>-</v>
      </c>
      <c r="AB212" s="85">
        <f>'Consumer Hardware Pricing'!X220</f>
        <v>0</v>
      </c>
      <c r="AC212" s="85">
        <f t="shared" si="777"/>
        <v>29.59</v>
      </c>
      <c r="AD212" s="85">
        <f>'Consumer Hardware Pricing'!Y220</f>
        <v>2.92</v>
      </c>
      <c r="AE212" s="85">
        <f t="shared" si="556"/>
        <v>26.67</v>
      </c>
      <c r="AF212" s="85">
        <f t="shared" si="557"/>
        <v>70.08</v>
      </c>
      <c r="AG212" s="85">
        <f t="shared" si="558"/>
        <v>640.08000000000004</v>
      </c>
      <c r="AH212" s="85" t="str">
        <f>'Consumer Hardware Pricing'!AA220</f>
        <v>-</v>
      </c>
      <c r="AI212" s="85" t="str">
        <f t="shared" si="778"/>
        <v>-</v>
      </c>
      <c r="AJ212" s="85" t="str">
        <f t="shared" si="559"/>
        <v>-</v>
      </c>
      <c r="AK212" s="85" t="str">
        <f t="shared" si="560"/>
        <v>-</v>
      </c>
      <c r="AL212" s="85" t="str">
        <f t="shared" si="561"/>
        <v>-</v>
      </c>
      <c r="AM212" s="85">
        <f>'Consumer Hardware Pricing'!AC220</f>
        <v>0</v>
      </c>
      <c r="AN212" s="85">
        <f t="shared" si="779"/>
        <v>29.59</v>
      </c>
      <c r="AO212" s="85">
        <f>'Consumer Hardware Pricing'!AD220</f>
        <v>2.92</v>
      </c>
      <c r="AP212" s="85">
        <f t="shared" si="562"/>
        <v>26.67</v>
      </c>
      <c r="AQ212" s="85">
        <f t="shared" si="563"/>
        <v>70.08</v>
      </c>
      <c r="AR212" s="85">
        <f t="shared" si="564"/>
        <v>640.08000000000004</v>
      </c>
      <c r="AS212" s="85" t="str">
        <f>'Consumer Hardware Pricing'!AF220</f>
        <v>-</v>
      </c>
      <c r="AT212" s="85" t="str">
        <f t="shared" si="780"/>
        <v>-</v>
      </c>
      <c r="AU212" s="85" t="str">
        <f t="shared" si="565"/>
        <v>-</v>
      </c>
      <c r="AV212" s="85" t="str">
        <f t="shared" si="566"/>
        <v>-</v>
      </c>
      <c r="AW212" s="85" t="str">
        <f t="shared" si="567"/>
        <v>-</v>
      </c>
      <c r="AX212" s="85" t="str">
        <f>'Consumer Hardware Pricing'!AH220</f>
        <v>-</v>
      </c>
      <c r="AY212" s="85" t="str">
        <f t="shared" si="781"/>
        <v>-</v>
      </c>
      <c r="AZ212" s="85" t="str">
        <f>'Consumer Hardware Pricing'!AI220</f>
        <v>-</v>
      </c>
      <c r="BA212" s="85" t="str">
        <f t="shared" si="620"/>
        <v>-</v>
      </c>
      <c r="BB212" s="85" t="str">
        <f t="shared" si="621"/>
        <v>-</v>
      </c>
      <c r="BC212" s="85" t="str">
        <f t="shared" si="637"/>
        <v>-</v>
      </c>
      <c r="BD212" s="85" t="str">
        <f>'Consumer Hardware Pricing'!AL220</f>
        <v>-</v>
      </c>
      <c r="BE212" s="85" t="str">
        <f t="shared" si="782"/>
        <v>-</v>
      </c>
      <c r="BF212" s="85" t="str">
        <f>'Consumer Hardware Pricing'!AM220</f>
        <v>-</v>
      </c>
      <c r="BG212" s="85" t="str">
        <f t="shared" si="622"/>
        <v>-</v>
      </c>
      <c r="BH212" s="85" t="str">
        <f t="shared" si="623"/>
        <v>-</v>
      </c>
      <c r="BI212" s="85" t="str">
        <f t="shared" si="638"/>
        <v>-</v>
      </c>
      <c r="BJ212" s="85" t="str">
        <f>'Consumer Hardware Pricing'!AP220</f>
        <v>-</v>
      </c>
      <c r="BK212" s="85" t="str">
        <f t="shared" si="783"/>
        <v>-</v>
      </c>
      <c r="BL212" s="85" t="str">
        <f>'Consumer Hardware Pricing'!AQ220</f>
        <v>-</v>
      </c>
      <c r="BM212" s="85" t="str">
        <f t="shared" si="624"/>
        <v>-</v>
      </c>
      <c r="BN212" s="85" t="str">
        <f t="shared" si="625"/>
        <v>-</v>
      </c>
      <c r="BO212" s="85" t="str">
        <f t="shared" si="639"/>
        <v>-</v>
      </c>
      <c r="BP212" s="85" t="str">
        <f>'Consumer Hardware Pricing'!AT220</f>
        <v>-</v>
      </c>
      <c r="BQ212" s="85" t="str">
        <f t="shared" si="784"/>
        <v>-</v>
      </c>
      <c r="BR212" s="85" t="str">
        <f>'Consumer Hardware Pricing'!AU220</f>
        <v>-</v>
      </c>
      <c r="BS212" s="85" t="str">
        <f t="shared" si="626"/>
        <v>-</v>
      </c>
      <c r="BT212" s="85" t="str">
        <f t="shared" si="627"/>
        <v>-</v>
      </c>
      <c r="BU212" s="85" t="str">
        <f t="shared" si="640"/>
        <v>-</v>
      </c>
    </row>
    <row r="213" spans="1:73" ht="30.15" customHeight="1" x14ac:dyDescent="0.25">
      <c r="A213" s="87" t="s">
        <v>34</v>
      </c>
      <c r="B213" s="88" t="s">
        <v>178</v>
      </c>
      <c r="C213" s="88" t="s">
        <v>184</v>
      </c>
      <c r="D213" s="85">
        <f>'Consumer Hardware Pricing'!L221</f>
        <v>710</v>
      </c>
      <c r="E213" s="85">
        <f>'Consumer Hardware Pricing'!M221</f>
        <v>710</v>
      </c>
      <c r="F213" s="85">
        <f>'Consumer Hardware Pricing'!N221</f>
        <v>0</v>
      </c>
      <c r="G213" s="85">
        <f t="shared" si="785"/>
        <v>29.59</v>
      </c>
      <c r="H213" s="85">
        <f>'Consumer Hardware Pricing'!O221</f>
        <v>2.92</v>
      </c>
      <c r="I213" s="85">
        <f t="shared" si="616"/>
        <v>26.67</v>
      </c>
      <c r="J213" s="85">
        <f t="shared" si="628"/>
        <v>70.08</v>
      </c>
      <c r="K213" s="85">
        <f t="shared" si="629"/>
        <v>640.08000000000004</v>
      </c>
      <c r="L213" s="85" t="str">
        <f>'Consumer Hardware Pricing'!Q221</f>
        <v>-</v>
      </c>
      <c r="M213" s="85" t="str">
        <f t="shared" si="786"/>
        <v>-</v>
      </c>
      <c r="N213" s="85" t="str">
        <f t="shared" si="617"/>
        <v>-</v>
      </c>
      <c r="O213" s="85" t="str">
        <f t="shared" si="618"/>
        <v>-</v>
      </c>
      <c r="P213" s="85" t="str">
        <f t="shared" si="630"/>
        <v>-</v>
      </c>
      <c r="Q213" s="85">
        <f>'Consumer Hardware Pricing'!S221</f>
        <v>0</v>
      </c>
      <c r="R213" s="85">
        <f t="shared" si="619"/>
        <v>29.59</v>
      </c>
      <c r="S213" s="85">
        <f>'Consumer Hardware Pricing'!T221</f>
        <v>2.92</v>
      </c>
      <c r="T213" s="129">
        <f t="shared" si="631"/>
        <v>26.67</v>
      </c>
      <c r="U213" s="129">
        <f t="shared" si="632"/>
        <v>70.08</v>
      </c>
      <c r="V213" s="85">
        <f t="shared" si="633"/>
        <v>640.08000000000004</v>
      </c>
      <c r="W213" s="129" t="str">
        <f>'Consumer Hardware Pricing'!V221</f>
        <v>-</v>
      </c>
      <c r="X213" s="129" t="str">
        <f t="shared" si="787"/>
        <v>-</v>
      </c>
      <c r="Y213" s="129" t="str">
        <f t="shared" si="634"/>
        <v>-</v>
      </c>
      <c r="Z213" s="129" t="str">
        <f t="shared" si="635"/>
        <v>-</v>
      </c>
      <c r="AA213" s="85" t="str">
        <f t="shared" si="636"/>
        <v>-</v>
      </c>
      <c r="AB213" s="85">
        <f>'Consumer Hardware Pricing'!X221</f>
        <v>0</v>
      </c>
      <c r="AC213" s="85">
        <f t="shared" si="777"/>
        <v>29.59</v>
      </c>
      <c r="AD213" s="85">
        <f>'Consumer Hardware Pricing'!Y221</f>
        <v>2.92</v>
      </c>
      <c r="AE213" s="85">
        <f t="shared" si="556"/>
        <v>26.67</v>
      </c>
      <c r="AF213" s="85">
        <f t="shared" si="557"/>
        <v>70.08</v>
      </c>
      <c r="AG213" s="85">
        <f t="shared" si="558"/>
        <v>640.08000000000004</v>
      </c>
      <c r="AH213" s="85" t="str">
        <f>'Consumer Hardware Pricing'!AA221</f>
        <v>-</v>
      </c>
      <c r="AI213" s="85" t="str">
        <f t="shared" si="778"/>
        <v>-</v>
      </c>
      <c r="AJ213" s="85" t="str">
        <f t="shared" si="559"/>
        <v>-</v>
      </c>
      <c r="AK213" s="85" t="str">
        <f t="shared" si="560"/>
        <v>-</v>
      </c>
      <c r="AL213" s="85" t="str">
        <f t="shared" si="561"/>
        <v>-</v>
      </c>
      <c r="AM213" s="85">
        <f>'Consumer Hardware Pricing'!AC221</f>
        <v>0</v>
      </c>
      <c r="AN213" s="85">
        <f t="shared" si="779"/>
        <v>29.59</v>
      </c>
      <c r="AO213" s="85">
        <f>'Consumer Hardware Pricing'!AD221</f>
        <v>2.92</v>
      </c>
      <c r="AP213" s="85">
        <f t="shared" si="562"/>
        <v>26.67</v>
      </c>
      <c r="AQ213" s="85">
        <f t="shared" si="563"/>
        <v>70.08</v>
      </c>
      <c r="AR213" s="85">
        <f t="shared" si="564"/>
        <v>640.08000000000004</v>
      </c>
      <c r="AS213" s="85" t="str">
        <f>'Consumer Hardware Pricing'!AF221</f>
        <v>-</v>
      </c>
      <c r="AT213" s="85" t="str">
        <f t="shared" si="780"/>
        <v>-</v>
      </c>
      <c r="AU213" s="85" t="str">
        <f t="shared" si="565"/>
        <v>-</v>
      </c>
      <c r="AV213" s="85" t="str">
        <f t="shared" si="566"/>
        <v>-</v>
      </c>
      <c r="AW213" s="85" t="str">
        <f t="shared" si="567"/>
        <v>-</v>
      </c>
      <c r="AX213" s="85" t="str">
        <f>'Consumer Hardware Pricing'!AH221</f>
        <v>-</v>
      </c>
      <c r="AY213" s="85" t="str">
        <f t="shared" si="781"/>
        <v>-</v>
      </c>
      <c r="AZ213" s="85" t="str">
        <f>'Consumer Hardware Pricing'!AI221</f>
        <v>-</v>
      </c>
      <c r="BA213" s="85" t="str">
        <f t="shared" si="620"/>
        <v>-</v>
      </c>
      <c r="BB213" s="85" t="str">
        <f t="shared" si="621"/>
        <v>-</v>
      </c>
      <c r="BC213" s="85" t="str">
        <f t="shared" si="637"/>
        <v>-</v>
      </c>
      <c r="BD213" s="85" t="str">
        <f>'Consumer Hardware Pricing'!AL221</f>
        <v>-</v>
      </c>
      <c r="BE213" s="85" t="str">
        <f t="shared" si="782"/>
        <v>-</v>
      </c>
      <c r="BF213" s="85" t="str">
        <f>'Consumer Hardware Pricing'!AM221</f>
        <v>-</v>
      </c>
      <c r="BG213" s="85" t="str">
        <f t="shared" si="622"/>
        <v>-</v>
      </c>
      <c r="BH213" s="85" t="str">
        <f t="shared" si="623"/>
        <v>-</v>
      </c>
      <c r="BI213" s="85" t="str">
        <f t="shared" si="638"/>
        <v>-</v>
      </c>
      <c r="BJ213" s="85" t="str">
        <f>'Consumer Hardware Pricing'!AP221</f>
        <v>-</v>
      </c>
      <c r="BK213" s="85" t="str">
        <f t="shared" si="783"/>
        <v>-</v>
      </c>
      <c r="BL213" s="85" t="str">
        <f>'Consumer Hardware Pricing'!AQ221</f>
        <v>-</v>
      </c>
      <c r="BM213" s="85" t="str">
        <f t="shared" si="624"/>
        <v>-</v>
      </c>
      <c r="BN213" s="85" t="str">
        <f t="shared" si="625"/>
        <v>-</v>
      </c>
      <c r="BO213" s="85" t="str">
        <f t="shared" si="639"/>
        <v>-</v>
      </c>
      <c r="BP213" s="85" t="str">
        <f>'Consumer Hardware Pricing'!AT221</f>
        <v>-</v>
      </c>
      <c r="BQ213" s="85" t="str">
        <f t="shared" si="784"/>
        <v>-</v>
      </c>
      <c r="BR213" s="85" t="str">
        <f>'Consumer Hardware Pricing'!AU221</f>
        <v>-</v>
      </c>
      <c r="BS213" s="85" t="str">
        <f t="shared" si="626"/>
        <v>-</v>
      </c>
      <c r="BT213" s="85" t="str">
        <f t="shared" si="627"/>
        <v>-</v>
      </c>
      <c r="BU213" s="85" t="str">
        <f t="shared" si="640"/>
        <v>-</v>
      </c>
    </row>
    <row r="214" spans="1:73" ht="30.15" customHeight="1" x14ac:dyDescent="0.25">
      <c r="A214" s="87" t="s">
        <v>34</v>
      </c>
      <c r="B214" s="88" t="s">
        <v>189</v>
      </c>
      <c r="C214" s="88" t="s">
        <v>166</v>
      </c>
      <c r="D214" s="85">
        <f>'Consumer Hardware Pricing'!L222</f>
        <v>710</v>
      </c>
      <c r="E214" s="85">
        <f>'Consumer Hardware Pricing'!M222</f>
        <v>710</v>
      </c>
      <c r="F214" s="85">
        <f>'Consumer Hardware Pricing'!N222</f>
        <v>0</v>
      </c>
      <c r="G214" s="85">
        <f t="shared" si="785"/>
        <v>29.59</v>
      </c>
      <c r="H214" s="85">
        <f>'Consumer Hardware Pricing'!O222</f>
        <v>2.92</v>
      </c>
      <c r="I214" s="85">
        <f t="shared" si="616"/>
        <v>26.67</v>
      </c>
      <c r="J214" s="85">
        <f t="shared" si="628"/>
        <v>70.08</v>
      </c>
      <c r="K214" s="85">
        <f t="shared" si="629"/>
        <v>640.08000000000004</v>
      </c>
      <c r="L214" s="85" t="str">
        <f>'Consumer Hardware Pricing'!Q222</f>
        <v>-</v>
      </c>
      <c r="M214" s="85" t="str">
        <f t="shared" si="786"/>
        <v>-</v>
      </c>
      <c r="N214" s="85" t="str">
        <f t="shared" si="617"/>
        <v>-</v>
      </c>
      <c r="O214" s="85" t="str">
        <f t="shared" si="618"/>
        <v>-</v>
      </c>
      <c r="P214" s="85" t="str">
        <f t="shared" si="630"/>
        <v>-</v>
      </c>
      <c r="Q214" s="85">
        <f>'Consumer Hardware Pricing'!S222</f>
        <v>0</v>
      </c>
      <c r="R214" s="85">
        <f t="shared" si="619"/>
        <v>29.59</v>
      </c>
      <c r="S214" s="85">
        <f>'Consumer Hardware Pricing'!T222</f>
        <v>2.92</v>
      </c>
      <c r="T214" s="129">
        <f t="shared" si="631"/>
        <v>26.67</v>
      </c>
      <c r="U214" s="129">
        <f t="shared" si="632"/>
        <v>70.08</v>
      </c>
      <c r="V214" s="85">
        <f t="shared" si="633"/>
        <v>640.08000000000004</v>
      </c>
      <c r="W214" s="129" t="str">
        <f>'Consumer Hardware Pricing'!V222</f>
        <v>-</v>
      </c>
      <c r="X214" s="129" t="str">
        <f t="shared" si="787"/>
        <v>-</v>
      </c>
      <c r="Y214" s="129" t="str">
        <f t="shared" si="634"/>
        <v>-</v>
      </c>
      <c r="Z214" s="129" t="str">
        <f t="shared" si="635"/>
        <v>-</v>
      </c>
      <c r="AA214" s="85" t="str">
        <f t="shared" si="636"/>
        <v>-</v>
      </c>
      <c r="AB214" s="85">
        <f>'Consumer Hardware Pricing'!X222</f>
        <v>0</v>
      </c>
      <c r="AC214" s="85">
        <f t="shared" si="777"/>
        <v>29.59</v>
      </c>
      <c r="AD214" s="85">
        <f>'Consumer Hardware Pricing'!Y222</f>
        <v>2.92</v>
      </c>
      <c r="AE214" s="85">
        <f t="shared" si="556"/>
        <v>26.67</v>
      </c>
      <c r="AF214" s="85">
        <f t="shared" si="557"/>
        <v>70.08</v>
      </c>
      <c r="AG214" s="85">
        <f t="shared" si="558"/>
        <v>640.08000000000004</v>
      </c>
      <c r="AH214" s="85" t="str">
        <f>'Consumer Hardware Pricing'!AA222</f>
        <v>-</v>
      </c>
      <c r="AI214" s="85" t="str">
        <f t="shared" si="778"/>
        <v>-</v>
      </c>
      <c r="AJ214" s="85" t="str">
        <f t="shared" si="559"/>
        <v>-</v>
      </c>
      <c r="AK214" s="85" t="str">
        <f t="shared" si="560"/>
        <v>-</v>
      </c>
      <c r="AL214" s="85" t="str">
        <f t="shared" si="561"/>
        <v>-</v>
      </c>
      <c r="AM214" s="85">
        <f>'Consumer Hardware Pricing'!AC222</f>
        <v>0</v>
      </c>
      <c r="AN214" s="85">
        <f t="shared" si="779"/>
        <v>29.59</v>
      </c>
      <c r="AO214" s="85">
        <f>'Consumer Hardware Pricing'!AD222</f>
        <v>2.92</v>
      </c>
      <c r="AP214" s="85">
        <f t="shared" si="562"/>
        <v>26.67</v>
      </c>
      <c r="AQ214" s="85">
        <f t="shared" si="563"/>
        <v>70.08</v>
      </c>
      <c r="AR214" s="85">
        <f t="shared" si="564"/>
        <v>640.08000000000004</v>
      </c>
      <c r="AS214" s="85" t="str">
        <f>'Consumer Hardware Pricing'!AF222</f>
        <v>-</v>
      </c>
      <c r="AT214" s="85" t="str">
        <f t="shared" si="780"/>
        <v>-</v>
      </c>
      <c r="AU214" s="85" t="str">
        <f t="shared" si="565"/>
        <v>-</v>
      </c>
      <c r="AV214" s="85" t="str">
        <f t="shared" si="566"/>
        <v>-</v>
      </c>
      <c r="AW214" s="85" t="str">
        <f t="shared" si="567"/>
        <v>-</v>
      </c>
      <c r="AX214" s="85" t="str">
        <f>'Consumer Hardware Pricing'!AH222</f>
        <v>-</v>
      </c>
      <c r="AY214" s="85" t="str">
        <f t="shared" si="781"/>
        <v>-</v>
      </c>
      <c r="AZ214" s="85" t="str">
        <f>'Consumer Hardware Pricing'!AI222</f>
        <v>-</v>
      </c>
      <c r="BA214" s="85" t="str">
        <f t="shared" si="620"/>
        <v>-</v>
      </c>
      <c r="BB214" s="85" t="str">
        <f t="shared" si="621"/>
        <v>-</v>
      </c>
      <c r="BC214" s="85" t="str">
        <f t="shared" si="637"/>
        <v>-</v>
      </c>
      <c r="BD214" s="85" t="str">
        <f>'Consumer Hardware Pricing'!AL222</f>
        <v>-</v>
      </c>
      <c r="BE214" s="85" t="str">
        <f t="shared" si="782"/>
        <v>-</v>
      </c>
      <c r="BF214" s="85" t="str">
        <f>'Consumer Hardware Pricing'!AM222</f>
        <v>-</v>
      </c>
      <c r="BG214" s="85" t="str">
        <f t="shared" si="622"/>
        <v>-</v>
      </c>
      <c r="BH214" s="85" t="str">
        <f t="shared" si="623"/>
        <v>-</v>
      </c>
      <c r="BI214" s="85" t="str">
        <f t="shared" si="638"/>
        <v>-</v>
      </c>
      <c r="BJ214" s="85" t="str">
        <f>'Consumer Hardware Pricing'!AP222</f>
        <v>-</v>
      </c>
      <c r="BK214" s="85" t="str">
        <f t="shared" si="783"/>
        <v>-</v>
      </c>
      <c r="BL214" s="85" t="str">
        <f>'Consumer Hardware Pricing'!AQ222</f>
        <v>-</v>
      </c>
      <c r="BM214" s="85" t="str">
        <f t="shared" si="624"/>
        <v>-</v>
      </c>
      <c r="BN214" s="85" t="str">
        <f t="shared" si="625"/>
        <v>-</v>
      </c>
      <c r="BO214" s="85" t="str">
        <f t="shared" si="639"/>
        <v>-</v>
      </c>
      <c r="BP214" s="85" t="str">
        <f>'Consumer Hardware Pricing'!AT222</f>
        <v>-</v>
      </c>
      <c r="BQ214" s="85" t="str">
        <f t="shared" si="784"/>
        <v>-</v>
      </c>
      <c r="BR214" s="85" t="str">
        <f>'Consumer Hardware Pricing'!AU222</f>
        <v>-</v>
      </c>
      <c r="BS214" s="85" t="str">
        <f t="shared" si="626"/>
        <v>-</v>
      </c>
      <c r="BT214" s="85" t="str">
        <f t="shared" si="627"/>
        <v>-</v>
      </c>
      <c r="BU214" s="85" t="str">
        <f t="shared" si="640"/>
        <v>-</v>
      </c>
    </row>
    <row r="215" spans="1:73" ht="30.15" customHeight="1" x14ac:dyDescent="0.25">
      <c r="A215" s="87" t="s">
        <v>34</v>
      </c>
      <c r="B215" s="88" t="s">
        <v>203</v>
      </c>
      <c r="C215" s="88" t="s">
        <v>166</v>
      </c>
      <c r="D215" s="85">
        <f>'Consumer Hardware Pricing'!L223</f>
        <v>710</v>
      </c>
      <c r="E215" s="85">
        <f>'Consumer Hardware Pricing'!M223</f>
        <v>710</v>
      </c>
      <c r="F215" s="85">
        <f>'Consumer Hardware Pricing'!N223</f>
        <v>0</v>
      </c>
      <c r="G215" s="85">
        <f t="shared" si="785"/>
        <v>29.59</v>
      </c>
      <c r="H215" s="85">
        <f>'Consumer Hardware Pricing'!O223</f>
        <v>2.92</v>
      </c>
      <c r="I215" s="85">
        <f t="shared" si="616"/>
        <v>26.67</v>
      </c>
      <c r="J215" s="85">
        <f t="shared" si="628"/>
        <v>70.08</v>
      </c>
      <c r="K215" s="85">
        <f t="shared" si="629"/>
        <v>640.08000000000004</v>
      </c>
      <c r="L215" s="85" t="str">
        <f>'Consumer Hardware Pricing'!Q223</f>
        <v>-</v>
      </c>
      <c r="M215" s="85" t="str">
        <f t="shared" si="786"/>
        <v>-</v>
      </c>
      <c r="N215" s="85" t="str">
        <f t="shared" si="617"/>
        <v>-</v>
      </c>
      <c r="O215" s="85" t="str">
        <f t="shared" si="618"/>
        <v>-</v>
      </c>
      <c r="P215" s="85" t="str">
        <f t="shared" si="630"/>
        <v>-</v>
      </c>
      <c r="Q215" s="85">
        <f>'Consumer Hardware Pricing'!S223</f>
        <v>0</v>
      </c>
      <c r="R215" s="85">
        <f t="shared" si="619"/>
        <v>29.59</v>
      </c>
      <c r="S215" s="85">
        <f>'Consumer Hardware Pricing'!T223</f>
        <v>2.92</v>
      </c>
      <c r="T215" s="129">
        <f t="shared" si="631"/>
        <v>26.67</v>
      </c>
      <c r="U215" s="129">
        <f t="shared" si="632"/>
        <v>70.08</v>
      </c>
      <c r="V215" s="85">
        <f t="shared" si="633"/>
        <v>640.08000000000004</v>
      </c>
      <c r="W215" s="129" t="str">
        <f>'Consumer Hardware Pricing'!V223</f>
        <v>-</v>
      </c>
      <c r="X215" s="129" t="str">
        <f t="shared" si="787"/>
        <v>-</v>
      </c>
      <c r="Y215" s="129" t="str">
        <f t="shared" si="634"/>
        <v>-</v>
      </c>
      <c r="Z215" s="129" t="str">
        <f t="shared" si="635"/>
        <v>-</v>
      </c>
      <c r="AA215" s="85" t="str">
        <f t="shared" si="636"/>
        <v>-</v>
      </c>
      <c r="AB215" s="85">
        <f>'Consumer Hardware Pricing'!X223</f>
        <v>0</v>
      </c>
      <c r="AC215" s="85">
        <f t="shared" si="777"/>
        <v>29.59</v>
      </c>
      <c r="AD215" s="85">
        <f>'Consumer Hardware Pricing'!Y223</f>
        <v>2.92</v>
      </c>
      <c r="AE215" s="85">
        <f t="shared" si="556"/>
        <v>26.67</v>
      </c>
      <c r="AF215" s="85">
        <f t="shared" si="557"/>
        <v>70.08</v>
      </c>
      <c r="AG215" s="85">
        <f t="shared" si="558"/>
        <v>640.08000000000004</v>
      </c>
      <c r="AH215" s="85" t="str">
        <f>'Consumer Hardware Pricing'!AA223</f>
        <v>-</v>
      </c>
      <c r="AI215" s="85" t="str">
        <f t="shared" si="778"/>
        <v>-</v>
      </c>
      <c r="AJ215" s="85" t="str">
        <f t="shared" si="559"/>
        <v>-</v>
      </c>
      <c r="AK215" s="85" t="str">
        <f t="shared" si="560"/>
        <v>-</v>
      </c>
      <c r="AL215" s="85" t="str">
        <f t="shared" si="561"/>
        <v>-</v>
      </c>
      <c r="AM215" s="85">
        <f>'Consumer Hardware Pricing'!AC223</f>
        <v>0</v>
      </c>
      <c r="AN215" s="85">
        <f t="shared" si="779"/>
        <v>29.59</v>
      </c>
      <c r="AO215" s="85">
        <f>'Consumer Hardware Pricing'!AD223</f>
        <v>2.92</v>
      </c>
      <c r="AP215" s="85">
        <f t="shared" si="562"/>
        <v>26.67</v>
      </c>
      <c r="AQ215" s="85">
        <f t="shared" si="563"/>
        <v>70.08</v>
      </c>
      <c r="AR215" s="85">
        <f t="shared" si="564"/>
        <v>640.08000000000004</v>
      </c>
      <c r="AS215" s="85" t="str">
        <f>'Consumer Hardware Pricing'!AF223</f>
        <v>-</v>
      </c>
      <c r="AT215" s="85" t="str">
        <f t="shared" si="780"/>
        <v>-</v>
      </c>
      <c r="AU215" s="85" t="str">
        <f t="shared" si="565"/>
        <v>-</v>
      </c>
      <c r="AV215" s="85" t="str">
        <f t="shared" si="566"/>
        <v>-</v>
      </c>
      <c r="AW215" s="85" t="str">
        <f t="shared" si="567"/>
        <v>-</v>
      </c>
      <c r="AX215" s="85" t="str">
        <f>'Consumer Hardware Pricing'!AH223</f>
        <v>-</v>
      </c>
      <c r="AY215" s="85" t="str">
        <f t="shared" si="781"/>
        <v>-</v>
      </c>
      <c r="AZ215" s="85" t="str">
        <f>'Consumer Hardware Pricing'!AI223</f>
        <v>-</v>
      </c>
      <c r="BA215" s="85" t="str">
        <f t="shared" si="620"/>
        <v>-</v>
      </c>
      <c r="BB215" s="85" t="str">
        <f t="shared" si="621"/>
        <v>-</v>
      </c>
      <c r="BC215" s="85" t="str">
        <f t="shared" si="637"/>
        <v>-</v>
      </c>
      <c r="BD215" s="85" t="str">
        <f>'Consumer Hardware Pricing'!AL223</f>
        <v>-</v>
      </c>
      <c r="BE215" s="85" t="str">
        <f t="shared" si="782"/>
        <v>-</v>
      </c>
      <c r="BF215" s="85" t="str">
        <f>'Consumer Hardware Pricing'!AM223</f>
        <v>-</v>
      </c>
      <c r="BG215" s="85" t="str">
        <f t="shared" si="622"/>
        <v>-</v>
      </c>
      <c r="BH215" s="85" t="str">
        <f t="shared" si="623"/>
        <v>-</v>
      </c>
      <c r="BI215" s="85" t="str">
        <f t="shared" si="638"/>
        <v>-</v>
      </c>
      <c r="BJ215" s="85" t="str">
        <f>'Consumer Hardware Pricing'!AP223</f>
        <v>-</v>
      </c>
      <c r="BK215" s="85" t="str">
        <f t="shared" si="783"/>
        <v>-</v>
      </c>
      <c r="BL215" s="85" t="str">
        <f>'Consumer Hardware Pricing'!AQ223</f>
        <v>-</v>
      </c>
      <c r="BM215" s="85" t="str">
        <f t="shared" si="624"/>
        <v>-</v>
      </c>
      <c r="BN215" s="85" t="str">
        <f t="shared" si="625"/>
        <v>-</v>
      </c>
      <c r="BO215" s="85" t="str">
        <f t="shared" si="639"/>
        <v>-</v>
      </c>
      <c r="BP215" s="85" t="str">
        <f>'Consumer Hardware Pricing'!AT223</f>
        <v>-</v>
      </c>
      <c r="BQ215" s="85" t="str">
        <f t="shared" si="784"/>
        <v>-</v>
      </c>
      <c r="BR215" s="85" t="str">
        <f>'Consumer Hardware Pricing'!AU223</f>
        <v>-</v>
      </c>
      <c r="BS215" s="85" t="str">
        <f t="shared" si="626"/>
        <v>-</v>
      </c>
      <c r="BT215" s="85" t="str">
        <f t="shared" si="627"/>
        <v>-</v>
      </c>
      <c r="BU215" s="85" t="str">
        <f t="shared" si="640"/>
        <v>-</v>
      </c>
    </row>
    <row r="216" spans="1:73" ht="30.15" customHeight="1" x14ac:dyDescent="0.25">
      <c r="A216" s="87" t="s">
        <v>34</v>
      </c>
      <c r="B216" s="88" t="s">
        <v>167</v>
      </c>
      <c r="C216" s="88" t="s">
        <v>166</v>
      </c>
      <c r="D216" s="85">
        <f>'Consumer Hardware Pricing'!L224</f>
        <v>710</v>
      </c>
      <c r="E216" s="85">
        <f>'Consumer Hardware Pricing'!M224</f>
        <v>710</v>
      </c>
      <c r="F216" s="85">
        <f>'Consumer Hardware Pricing'!N224</f>
        <v>0</v>
      </c>
      <c r="G216" s="85">
        <f t="shared" si="785"/>
        <v>29.59</v>
      </c>
      <c r="H216" s="85">
        <f>'Consumer Hardware Pricing'!O224</f>
        <v>2.92</v>
      </c>
      <c r="I216" s="85">
        <f t="shared" si="616"/>
        <v>26.67</v>
      </c>
      <c r="J216" s="85">
        <f t="shared" si="628"/>
        <v>70.08</v>
      </c>
      <c r="K216" s="85">
        <f t="shared" si="629"/>
        <v>640.08000000000004</v>
      </c>
      <c r="L216" s="85" t="str">
        <f>'Consumer Hardware Pricing'!Q224</f>
        <v>-</v>
      </c>
      <c r="M216" s="85" t="str">
        <f t="shared" si="786"/>
        <v>-</v>
      </c>
      <c r="N216" s="85" t="str">
        <f t="shared" si="617"/>
        <v>-</v>
      </c>
      <c r="O216" s="85" t="str">
        <f t="shared" si="618"/>
        <v>-</v>
      </c>
      <c r="P216" s="85" t="str">
        <f t="shared" si="630"/>
        <v>-</v>
      </c>
      <c r="Q216" s="85">
        <f>'Consumer Hardware Pricing'!S224</f>
        <v>0</v>
      </c>
      <c r="R216" s="85">
        <f t="shared" si="619"/>
        <v>29.59</v>
      </c>
      <c r="S216" s="85">
        <f>'Consumer Hardware Pricing'!T224</f>
        <v>2.92</v>
      </c>
      <c r="T216" s="129">
        <f t="shared" si="631"/>
        <v>26.67</v>
      </c>
      <c r="U216" s="129">
        <f t="shared" si="632"/>
        <v>70.08</v>
      </c>
      <c r="V216" s="85">
        <f t="shared" si="633"/>
        <v>640.08000000000004</v>
      </c>
      <c r="W216" s="129" t="str">
        <f>'Consumer Hardware Pricing'!V224</f>
        <v>-</v>
      </c>
      <c r="X216" s="129" t="str">
        <f t="shared" si="787"/>
        <v>-</v>
      </c>
      <c r="Y216" s="129" t="str">
        <f t="shared" si="634"/>
        <v>-</v>
      </c>
      <c r="Z216" s="129" t="str">
        <f t="shared" si="635"/>
        <v>-</v>
      </c>
      <c r="AA216" s="85" t="str">
        <f t="shared" si="636"/>
        <v>-</v>
      </c>
      <c r="AB216" s="85">
        <f>'Consumer Hardware Pricing'!X224</f>
        <v>0</v>
      </c>
      <c r="AC216" s="85">
        <f t="shared" si="777"/>
        <v>29.59</v>
      </c>
      <c r="AD216" s="85">
        <f>'Consumer Hardware Pricing'!Y224</f>
        <v>2.92</v>
      </c>
      <c r="AE216" s="85">
        <f t="shared" si="556"/>
        <v>26.67</v>
      </c>
      <c r="AF216" s="85">
        <f t="shared" si="557"/>
        <v>70.08</v>
      </c>
      <c r="AG216" s="85">
        <f t="shared" si="558"/>
        <v>640.08000000000004</v>
      </c>
      <c r="AH216" s="85" t="str">
        <f>'Consumer Hardware Pricing'!AA224</f>
        <v>-</v>
      </c>
      <c r="AI216" s="85" t="str">
        <f t="shared" si="778"/>
        <v>-</v>
      </c>
      <c r="AJ216" s="85" t="str">
        <f t="shared" si="559"/>
        <v>-</v>
      </c>
      <c r="AK216" s="85" t="str">
        <f t="shared" si="560"/>
        <v>-</v>
      </c>
      <c r="AL216" s="85" t="str">
        <f t="shared" si="561"/>
        <v>-</v>
      </c>
      <c r="AM216" s="85">
        <f>'Consumer Hardware Pricing'!AC224</f>
        <v>0</v>
      </c>
      <c r="AN216" s="85">
        <f t="shared" si="779"/>
        <v>29.59</v>
      </c>
      <c r="AO216" s="85">
        <f>'Consumer Hardware Pricing'!AD224</f>
        <v>2.92</v>
      </c>
      <c r="AP216" s="85">
        <f t="shared" si="562"/>
        <v>26.67</v>
      </c>
      <c r="AQ216" s="85">
        <f t="shared" si="563"/>
        <v>70.08</v>
      </c>
      <c r="AR216" s="85">
        <f t="shared" si="564"/>
        <v>640.08000000000004</v>
      </c>
      <c r="AS216" s="85" t="str">
        <f>'Consumer Hardware Pricing'!AF224</f>
        <v>-</v>
      </c>
      <c r="AT216" s="85" t="str">
        <f t="shared" si="780"/>
        <v>-</v>
      </c>
      <c r="AU216" s="85" t="str">
        <f t="shared" si="565"/>
        <v>-</v>
      </c>
      <c r="AV216" s="85" t="str">
        <f t="shared" si="566"/>
        <v>-</v>
      </c>
      <c r="AW216" s="85" t="str">
        <f t="shared" si="567"/>
        <v>-</v>
      </c>
      <c r="AX216" s="85" t="str">
        <f>'Consumer Hardware Pricing'!AH224</f>
        <v>-</v>
      </c>
      <c r="AY216" s="85" t="str">
        <f t="shared" si="781"/>
        <v>-</v>
      </c>
      <c r="AZ216" s="85" t="str">
        <f>'Consumer Hardware Pricing'!AI224</f>
        <v>-</v>
      </c>
      <c r="BA216" s="85" t="str">
        <f t="shared" si="620"/>
        <v>-</v>
      </c>
      <c r="BB216" s="85" t="str">
        <f t="shared" si="621"/>
        <v>-</v>
      </c>
      <c r="BC216" s="85" t="str">
        <f t="shared" si="637"/>
        <v>-</v>
      </c>
      <c r="BD216" s="85" t="str">
        <f>'Consumer Hardware Pricing'!AL224</f>
        <v>-</v>
      </c>
      <c r="BE216" s="85" t="str">
        <f t="shared" si="782"/>
        <v>-</v>
      </c>
      <c r="BF216" s="85" t="str">
        <f>'Consumer Hardware Pricing'!AM224</f>
        <v>-</v>
      </c>
      <c r="BG216" s="85" t="str">
        <f t="shared" si="622"/>
        <v>-</v>
      </c>
      <c r="BH216" s="85" t="str">
        <f t="shared" si="623"/>
        <v>-</v>
      </c>
      <c r="BI216" s="85" t="str">
        <f t="shared" si="638"/>
        <v>-</v>
      </c>
      <c r="BJ216" s="85" t="str">
        <f>'Consumer Hardware Pricing'!AP224</f>
        <v>-</v>
      </c>
      <c r="BK216" s="85" t="str">
        <f t="shared" si="783"/>
        <v>-</v>
      </c>
      <c r="BL216" s="85" t="str">
        <f>'Consumer Hardware Pricing'!AQ224</f>
        <v>-</v>
      </c>
      <c r="BM216" s="85" t="str">
        <f t="shared" si="624"/>
        <v>-</v>
      </c>
      <c r="BN216" s="85" t="str">
        <f t="shared" si="625"/>
        <v>-</v>
      </c>
      <c r="BO216" s="85" t="str">
        <f t="shared" si="639"/>
        <v>-</v>
      </c>
      <c r="BP216" s="85" t="str">
        <f>'Consumer Hardware Pricing'!AT224</f>
        <v>-</v>
      </c>
      <c r="BQ216" s="85" t="str">
        <f t="shared" si="784"/>
        <v>-</v>
      </c>
      <c r="BR216" s="85" t="str">
        <f>'Consumer Hardware Pricing'!AU224</f>
        <v>-</v>
      </c>
      <c r="BS216" s="85" t="str">
        <f t="shared" si="626"/>
        <v>-</v>
      </c>
      <c r="BT216" s="85" t="str">
        <f t="shared" si="627"/>
        <v>-</v>
      </c>
      <c r="BU216" s="85" t="str">
        <f t="shared" si="640"/>
        <v>-</v>
      </c>
    </row>
    <row r="217" spans="1:73" ht="30.15" customHeight="1" x14ac:dyDescent="0.25">
      <c r="A217" s="87" t="s">
        <v>34</v>
      </c>
      <c r="B217" s="88" t="s">
        <v>168</v>
      </c>
      <c r="C217" s="88" t="s">
        <v>166</v>
      </c>
      <c r="D217" s="85">
        <f>'Consumer Hardware Pricing'!L225</f>
        <v>710</v>
      </c>
      <c r="E217" s="85">
        <f>'Consumer Hardware Pricing'!M225</f>
        <v>710</v>
      </c>
      <c r="F217" s="85">
        <f>'Consumer Hardware Pricing'!N225</f>
        <v>0</v>
      </c>
      <c r="G217" s="85">
        <f t="shared" si="785"/>
        <v>29.59</v>
      </c>
      <c r="H217" s="85">
        <f>'Consumer Hardware Pricing'!O225</f>
        <v>2.92</v>
      </c>
      <c r="I217" s="85">
        <f t="shared" si="616"/>
        <v>26.67</v>
      </c>
      <c r="J217" s="85">
        <f t="shared" si="628"/>
        <v>70.08</v>
      </c>
      <c r="K217" s="85">
        <f t="shared" si="629"/>
        <v>640.08000000000004</v>
      </c>
      <c r="L217" s="85" t="str">
        <f>'Consumer Hardware Pricing'!Q225</f>
        <v>-</v>
      </c>
      <c r="M217" s="85" t="str">
        <f t="shared" si="786"/>
        <v>-</v>
      </c>
      <c r="N217" s="85" t="str">
        <f t="shared" si="617"/>
        <v>-</v>
      </c>
      <c r="O217" s="85" t="str">
        <f t="shared" si="618"/>
        <v>-</v>
      </c>
      <c r="P217" s="85" t="str">
        <f t="shared" si="630"/>
        <v>-</v>
      </c>
      <c r="Q217" s="85">
        <f>'Consumer Hardware Pricing'!S225</f>
        <v>0</v>
      </c>
      <c r="R217" s="85">
        <f t="shared" si="619"/>
        <v>29.59</v>
      </c>
      <c r="S217" s="85">
        <f>'Consumer Hardware Pricing'!T225</f>
        <v>2.92</v>
      </c>
      <c r="T217" s="129">
        <f t="shared" si="631"/>
        <v>26.67</v>
      </c>
      <c r="U217" s="129">
        <f t="shared" si="632"/>
        <v>70.08</v>
      </c>
      <c r="V217" s="85">
        <f t="shared" si="633"/>
        <v>640.08000000000004</v>
      </c>
      <c r="W217" s="129" t="str">
        <f>'Consumer Hardware Pricing'!V225</f>
        <v>-</v>
      </c>
      <c r="X217" s="129" t="str">
        <f t="shared" si="787"/>
        <v>-</v>
      </c>
      <c r="Y217" s="129" t="str">
        <f t="shared" si="634"/>
        <v>-</v>
      </c>
      <c r="Z217" s="129" t="str">
        <f t="shared" si="635"/>
        <v>-</v>
      </c>
      <c r="AA217" s="85" t="str">
        <f t="shared" si="636"/>
        <v>-</v>
      </c>
      <c r="AB217" s="85">
        <f>'Consumer Hardware Pricing'!X225</f>
        <v>0</v>
      </c>
      <c r="AC217" s="85">
        <f t="shared" si="777"/>
        <v>29.59</v>
      </c>
      <c r="AD217" s="85">
        <f>'Consumer Hardware Pricing'!Y225</f>
        <v>2.92</v>
      </c>
      <c r="AE217" s="85">
        <f t="shared" si="556"/>
        <v>26.67</v>
      </c>
      <c r="AF217" s="85">
        <f t="shared" si="557"/>
        <v>70.08</v>
      </c>
      <c r="AG217" s="85">
        <f t="shared" si="558"/>
        <v>640.08000000000004</v>
      </c>
      <c r="AH217" s="85" t="str">
        <f>'Consumer Hardware Pricing'!AA225</f>
        <v>-</v>
      </c>
      <c r="AI217" s="85" t="str">
        <f t="shared" si="778"/>
        <v>-</v>
      </c>
      <c r="AJ217" s="85" t="str">
        <f t="shared" si="559"/>
        <v>-</v>
      </c>
      <c r="AK217" s="85" t="str">
        <f t="shared" si="560"/>
        <v>-</v>
      </c>
      <c r="AL217" s="85" t="str">
        <f t="shared" si="561"/>
        <v>-</v>
      </c>
      <c r="AM217" s="85">
        <f>'Consumer Hardware Pricing'!AC225</f>
        <v>0</v>
      </c>
      <c r="AN217" s="85">
        <f t="shared" si="779"/>
        <v>29.59</v>
      </c>
      <c r="AO217" s="85">
        <f>'Consumer Hardware Pricing'!AD225</f>
        <v>2.92</v>
      </c>
      <c r="AP217" s="85">
        <f t="shared" si="562"/>
        <v>26.67</v>
      </c>
      <c r="AQ217" s="85">
        <f t="shared" si="563"/>
        <v>70.08</v>
      </c>
      <c r="AR217" s="85">
        <f t="shared" si="564"/>
        <v>640.08000000000004</v>
      </c>
      <c r="AS217" s="85" t="str">
        <f>'Consumer Hardware Pricing'!AF225</f>
        <v>-</v>
      </c>
      <c r="AT217" s="85" t="str">
        <f t="shared" si="780"/>
        <v>-</v>
      </c>
      <c r="AU217" s="85" t="str">
        <f t="shared" si="565"/>
        <v>-</v>
      </c>
      <c r="AV217" s="85" t="str">
        <f t="shared" si="566"/>
        <v>-</v>
      </c>
      <c r="AW217" s="85" t="str">
        <f t="shared" si="567"/>
        <v>-</v>
      </c>
      <c r="AX217" s="85" t="str">
        <f>'Consumer Hardware Pricing'!AH225</f>
        <v>-</v>
      </c>
      <c r="AY217" s="85" t="str">
        <f t="shared" si="781"/>
        <v>-</v>
      </c>
      <c r="AZ217" s="85" t="str">
        <f>'Consumer Hardware Pricing'!AI225</f>
        <v>-</v>
      </c>
      <c r="BA217" s="85" t="str">
        <f t="shared" si="620"/>
        <v>-</v>
      </c>
      <c r="BB217" s="85" t="str">
        <f t="shared" si="621"/>
        <v>-</v>
      </c>
      <c r="BC217" s="85" t="str">
        <f t="shared" si="637"/>
        <v>-</v>
      </c>
      <c r="BD217" s="85" t="str">
        <f>'Consumer Hardware Pricing'!AL225</f>
        <v>-</v>
      </c>
      <c r="BE217" s="85" t="str">
        <f t="shared" si="782"/>
        <v>-</v>
      </c>
      <c r="BF217" s="85" t="str">
        <f>'Consumer Hardware Pricing'!AM225</f>
        <v>-</v>
      </c>
      <c r="BG217" s="85" t="str">
        <f t="shared" si="622"/>
        <v>-</v>
      </c>
      <c r="BH217" s="85" t="str">
        <f t="shared" si="623"/>
        <v>-</v>
      </c>
      <c r="BI217" s="85" t="str">
        <f t="shared" si="638"/>
        <v>-</v>
      </c>
      <c r="BJ217" s="85" t="str">
        <f>'Consumer Hardware Pricing'!AP225</f>
        <v>-</v>
      </c>
      <c r="BK217" s="85" t="str">
        <f t="shared" si="783"/>
        <v>-</v>
      </c>
      <c r="BL217" s="85" t="str">
        <f>'Consumer Hardware Pricing'!AQ225</f>
        <v>-</v>
      </c>
      <c r="BM217" s="85" t="str">
        <f t="shared" si="624"/>
        <v>-</v>
      </c>
      <c r="BN217" s="85" t="str">
        <f t="shared" si="625"/>
        <v>-</v>
      </c>
      <c r="BO217" s="85" t="str">
        <f t="shared" si="639"/>
        <v>-</v>
      </c>
      <c r="BP217" s="85" t="str">
        <f>'Consumer Hardware Pricing'!AT225</f>
        <v>-</v>
      </c>
      <c r="BQ217" s="85" t="str">
        <f t="shared" si="784"/>
        <v>-</v>
      </c>
      <c r="BR217" s="85" t="str">
        <f>'Consumer Hardware Pricing'!AU225</f>
        <v>-</v>
      </c>
      <c r="BS217" s="85" t="str">
        <f t="shared" si="626"/>
        <v>-</v>
      </c>
      <c r="BT217" s="85" t="str">
        <f t="shared" si="627"/>
        <v>-</v>
      </c>
      <c r="BU217" s="85" t="str">
        <f t="shared" si="640"/>
        <v>-</v>
      </c>
    </row>
    <row r="218" spans="1:73" ht="30.15" customHeight="1" x14ac:dyDescent="0.25">
      <c r="A218" s="87" t="s">
        <v>34</v>
      </c>
      <c r="B218" s="88" t="s">
        <v>315</v>
      </c>
      <c r="C218" s="88" t="s">
        <v>303</v>
      </c>
      <c r="D218" s="85">
        <f>'Consumer Hardware Pricing'!L226</f>
        <v>610</v>
      </c>
      <c r="E218" s="85">
        <f>'Consumer Hardware Pricing'!M226</f>
        <v>610</v>
      </c>
      <c r="F218" s="85">
        <f>'Consumer Hardware Pricing'!N226</f>
        <v>0</v>
      </c>
      <c r="G218" s="85">
        <f t="shared" si="785"/>
        <v>25.42</v>
      </c>
      <c r="H218" s="85">
        <f>'Consumer Hardware Pricing'!O226</f>
        <v>10.42</v>
      </c>
      <c r="I218" s="85">
        <f t="shared" si="616"/>
        <v>15.000000000000002</v>
      </c>
      <c r="J218" s="85">
        <f t="shared" si="628"/>
        <v>250.07999999999998</v>
      </c>
      <c r="K218" s="85">
        <f t="shared" si="629"/>
        <v>360.00000000000006</v>
      </c>
      <c r="L218" s="85" t="str">
        <f>'Consumer Hardware Pricing'!Q226</f>
        <v>-</v>
      </c>
      <c r="M218" s="85" t="str">
        <f t="shared" si="786"/>
        <v>-</v>
      </c>
      <c r="N218" s="85" t="str">
        <f t="shared" si="617"/>
        <v>-</v>
      </c>
      <c r="O218" s="85" t="str">
        <f t="shared" si="618"/>
        <v>-</v>
      </c>
      <c r="P218" s="85" t="str">
        <f t="shared" si="630"/>
        <v>-</v>
      </c>
      <c r="Q218" s="85">
        <f>'Consumer Hardware Pricing'!S226</f>
        <v>0</v>
      </c>
      <c r="R218" s="85">
        <f t="shared" si="619"/>
        <v>25.42</v>
      </c>
      <c r="S218" s="85">
        <f>'Consumer Hardware Pricing'!T226</f>
        <v>10.42</v>
      </c>
      <c r="T218" s="129">
        <f t="shared" si="631"/>
        <v>15.000000000000002</v>
      </c>
      <c r="U218" s="129">
        <f t="shared" si="632"/>
        <v>250.07999999999998</v>
      </c>
      <c r="V218" s="85">
        <f t="shared" si="633"/>
        <v>360.00000000000006</v>
      </c>
      <c r="W218" s="129" t="str">
        <f>'Consumer Hardware Pricing'!V226</f>
        <v>-</v>
      </c>
      <c r="X218" s="129" t="str">
        <f t="shared" si="787"/>
        <v>-</v>
      </c>
      <c r="Y218" s="129" t="str">
        <f t="shared" si="634"/>
        <v>-</v>
      </c>
      <c r="Z218" s="129" t="str">
        <f t="shared" si="635"/>
        <v>-</v>
      </c>
      <c r="AA218" s="85" t="str">
        <f t="shared" si="636"/>
        <v>-</v>
      </c>
      <c r="AB218" s="85">
        <f>'Consumer Hardware Pricing'!X226</f>
        <v>0</v>
      </c>
      <c r="AC218" s="85">
        <f t="shared" si="777"/>
        <v>25.42</v>
      </c>
      <c r="AD218" s="85">
        <f>'Consumer Hardware Pricing'!Y226</f>
        <v>10.42</v>
      </c>
      <c r="AE218" s="85">
        <f t="shared" si="556"/>
        <v>15.000000000000002</v>
      </c>
      <c r="AF218" s="85">
        <f t="shared" si="557"/>
        <v>250.07999999999998</v>
      </c>
      <c r="AG218" s="85">
        <f t="shared" si="558"/>
        <v>360.00000000000006</v>
      </c>
      <c r="AH218" s="85" t="str">
        <f>'Consumer Hardware Pricing'!AA226</f>
        <v>-</v>
      </c>
      <c r="AI218" s="85" t="str">
        <f t="shared" si="778"/>
        <v>-</v>
      </c>
      <c r="AJ218" s="85" t="str">
        <f t="shared" si="559"/>
        <v>-</v>
      </c>
      <c r="AK218" s="85" t="str">
        <f t="shared" si="560"/>
        <v>-</v>
      </c>
      <c r="AL218" s="85" t="str">
        <f t="shared" si="561"/>
        <v>-</v>
      </c>
      <c r="AM218" s="85">
        <f>'Consumer Hardware Pricing'!AC226</f>
        <v>0</v>
      </c>
      <c r="AN218" s="85">
        <f t="shared" si="779"/>
        <v>25.42</v>
      </c>
      <c r="AO218" s="85">
        <f>'Consumer Hardware Pricing'!AD226</f>
        <v>10.42</v>
      </c>
      <c r="AP218" s="85">
        <f t="shared" si="562"/>
        <v>15.000000000000002</v>
      </c>
      <c r="AQ218" s="85">
        <f t="shared" si="563"/>
        <v>250.07999999999998</v>
      </c>
      <c r="AR218" s="85">
        <f t="shared" si="564"/>
        <v>360.00000000000006</v>
      </c>
      <c r="AS218" s="85" t="str">
        <f>'Consumer Hardware Pricing'!AF226</f>
        <v>-</v>
      </c>
      <c r="AT218" s="85" t="str">
        <f t="shared" si="780"/>
        <v>-</v>
      </c>
      <c r="AU218" s="85" t="str">
        <f t="shared" si="565"/>
        <v>-</v>
      </c>
      <c r="AV218" s="85" t="str">
        <f t="shared" si="566"/>
        <v>-</v>
      </c>
      <c r="AW218" s="85" t="str">
        <f t="shared" si="567"/>
        <v>-</v>
      </c>
      <c r="AX218" s="85">
        <f>'Consumer Hardware Pricing'!AH226</f>
        <v>0</v>
      </c>
      <c r="AY218" s="85">
        <f t="shared" si="781"/>
        <v>25.42</v>
      </c>
      <c r="AZ218" s="85">
        <f>'Consumer Hardware Pricing'!AI226</f>
        <v>10.42</v>
      </c>
      <c r="BA218" s="85">
        <f t="shared" si="620"/>
        <v>15.000000000000002</v>
      </c>
      <c r="BB218" s="85">
        <f t="shared" si="621"/>
        <v>250.07999999999998</v>
      </c>
      <c r="BC218" s="85">
        <f t="shared" si="637"/>
        <v>360.00000000000006</v>
      </c>
      <c r="BD218" s="85" t="str">
        <f>'Consumer Hardware Pricing'!AL226</f>
        <v>-</v>
      </c>
      <c r="BE218" s="85" t="str">
        <f t="shared" si="782"/>
        <v>-</v>
      </c>
      <c r="BF218" s="85" t="str">
        <f>'Consumer Hardware Pricing'!AM226</f>
        <v>-</v>
      </c>
      <c r="BG218" s="85" t="str">
        <f t="shared" si="622"/>
        <v>-</v>
      </c>
      <c r="BH218" s="85" t="str">
        <f t="shared" si="623"/>
        <v>-</v>
      </c>
      <c r="BI218" s="85" t="str">
        <f t="shared" si="638"/>
        <v>-</v>
      </c>
      <c r="BJ218" s="85" t="str">
        <f>'Consumer Hardware Pricing'!AP226</f>
        <v>-</v>
      </c>
      <c r="BK218" s="85" t="str">
        <f t="shared" si="783"/>
        <v>-</v>
      </c>
      <c r="BL218" s="85" t="str">
        <f>'Consumer Hardware Pricing'!AQ226</f>
        <v>-</v>
      </c>
      <c r="BM218" s="85" t="str">
        <f t="shared" si="624"/>
        <v>-</v>
      </c>
      <c r="BN218" s="85" t="str">
        <f t="shared" si="625"/>
        <v>-</v>
      </c>
      <c r="BO218" s="85" t="str">
        <f t="shared" si="639"/>
        <v>-</v>
      </c>
      <c r="BP218" s="85" t="str">
        <f>'Consumer Hardware Pricing'!AT226</f>
        <v>-</v>
      </c>
      <c r="BQ218" s="85" t="str">
        <f t="shared" si="784"/>
        <v>-</v>
      </c>
      <c r="BR218" s="85" t="str">
        <f>'Consumer Hardware Pricing'!AU226</f>
        <v>-</v>
      </c>
      <c r="BS218" s="85" t="str">
        <f t="shared" si="626"/>
        <v>-</v>
      </c>
      <c r="BT218" s="85" t="str">
        <f t="shared" si="627"/>
        <v>-</v>
      </c>
      <c r="BU218" s="85" t="str">
        <f t="shared" si="640"/>
        <v>-</v>
      </c>
    </row>
    <row r="219" spans="1:73" ht="30.15" customHeight="1" x14ac:dyDescent="0.25">
      <c r="A219" s="87" t="s">
        <v>34</v>
      </c>
      <c r="B219" s="88" t="s">
        <v>307</v>
      </c>
      <c r="C219" s="88" t="s">
        <v>303</v>
      </c>
      <c r="D219" s="85">
        <f>'Consumer Hardware Pricing'!L227</f>
        <v>610</v>
      </c>
      <c r="E219" s="85">
        <f>'Consumer Hardware Pricing'!M227</f>
        <v>610</v>
      </c>
      <c r="F219" s="85">
        <f>'Consumer Hardware Pricing'!N227</f>
        <v>0</v>
      </c>
      <c r="G219" s="85">
        <f t="shared" si="785"/>
        <v>25.42</v>
      </c>
      <c r="H219" s="85">
        <f>'Consumer Hardware Pricing'!O227</f>
        <v>10.42</v>
      </c>
      <c r="I219" s="85">
        <f t="shared" si="616"/>
        <v>15.000000000000002</v>
      </c>
      <c r="J219" s="85">
        <f t="shared" si="628"/>
        <v>250.07999999999998</v>
      </c>
      <c r="K219" s="85">
        <f t="shared" si="629"/>
        <v>360.00000000000006</v>
      </c>
      <c r="L219" s="85" t="str">
        <f>'Consumer Hardware Pricing'!Q227</f>
        <v>-</v>
      </c>
      <c r="M219" s="85" t="str">
        <f t="shared" si="786"/>
        <v>-</v>
      </c>
      <c r="N219" s="85" t="str">
        <f t="shared" si="617"/>
        <v>-</v>
      </c>
      <c r="O219" s="85" t="str">
        <f t="shared" si="618"/>
        <v>-</v>
      </c>
      <c r="P219" s="85" t="str">
        <f t="shared" si="630"/>
        <v>-</v>
      </c>
      <c r="Q219" s="85">
        <f>'Consumer Hardware Pricing'!S227</f>
        <v>0</v>
      </c>
      <c r="R219" s="85">
        <f t="shared" si="619"/>
        <v>25.42</v>
      </c>
      <c r="S219" s="85">
        <f>'Consumer Hardware Pricing'!T227</f>
        <v>10.42</v>
      </c>
      <c r="T219" s="129">
        <f t="shared" si="631"/>
        <v>15.000000000000002</v>
      </c>
      <c r="U219" s="129">
        <f t="shared" si="632"/>
        <v>250.07999999999998</v>
      </c>
      <c r="V219" s="85">
        <f t="shared" si="633"/>
        <v>360.00000000000006</v>
      </c>
      <c r="W219" s="129" t="str">
        <f>'Consumer Hardware Pricing'!V227</f>
        <v>-</v>
      </c>
      <c r="X219" s="129" t="str">
        <f t="shared" si="787"/>
        <v>-</v>
      </c>
      <c r="Y219" s="129" t="str">
        <f t="shared" si="634"/>
        <v>-</v>
      </c>
      <c r="Z219" s="129" t="str">
        <f t="shared" si="635"/>
        <v>-</v>
      </c>
      <c r="AA219" s="85" t="str">
        <f t="shared" si="636"/>
        <v>-</v>
      </c>
      <c r="AB219" s="85">
        <f>'Consumer Hardware Pricing'!X227</f>
        <v>0</v>
      </c>
      <c r="AC219" s="85">
        <f t="shared" si="777"/>
        <v>25.42</v>
      </c>
      <c r="AD219" s="85">
        <f>'Consumer Hardware Pricing'!Y227</f>
        <v>10.42</v>
      </c>
      <c r="AE219" s="85">
        <f t="shared" si="556"/>
        <v>15.000000000000002</v>
      </c>
      <c r="AF219" s="85">
        <f t="shared" si="557"/>
        <v>250.07999999999998</v>
      </c>
      <c r="AG219" s="85">
        <f t="shared" si="558"/>
        <v>360.00000000000006</v>
      </c>
      <c r="AH219" s="85" t="str">
        <f>'Consumer Hardware Pricing'!AA227</f>
        <v>-</v>
      </c>
      <c r="AI219" s="85" t="str">
        <f t="shared" si="778"/>
        <v>-</v>
      </c>
      <c r="AJ219" s="85" t="str">
        <f t="shared" si="559"/>
        <v>-</v>
      </c>
      <c r="AK219" s="85" t="str">
        <f t="shared" si="560"/>
        <v>-</v>
      </c>
      <c r="AL219" s="85" t="str">
        <f t="shared" si="561"/>
        <v>-</v>
      </c>
      <c r="AM219" s="85">
        <f>'Consumer Hardware Pricing'!AC227</f>
        <v>0</v>
      </c>
      <c r="AN219" s="85">
        <f t="shared" si="779"/>
        <v>25.42</v>
      </c>
      <c r="AO219" s="85">
        <f>'Consumer Hardware Pricing'!AD227</f>
        <v>10.42</v>
      </c>
      <c r="AP219" s="85">
        <f t="shared" si="562"/>
        <v>15.000000000000002</v>
      </c>
      <c r="AQ219" s="85">
        <f t="shared" si="563"/>
        <v>250.07999999999998</v>
      </c>
      <c r="AR219" s="85">
        <f t="shared" si="564"/>
        <v>360.00000000000006</v>
      </c>
      <c r="AS219" s="85" t="str">
        <f>'Consumer Hardware Pricing'!AF227</f>
        <v>-</v>
      </c>
      <c r="AT219" s="85" t="str">
        <f t="shared" si="780"/>
        <v>-</v>
      </c>
      <c r="AU219" s="85" t="str">
        <f t="shared" si="565"/>
        <v>-</v>
      </c>
      <c r="AV219" s="85" t="str">
        <f t="shared" si="566"/>
        <v>-</v>
      </c>
      <c r="AW219" s="85" t="str">
        <f t="shared" si="567"/>
        <v>-</v>
      </c>
      <c r="AX219" s="85">
        <f>'Consumer Hardware Pricing'!AH227</f>
        <v>0</v>
      </c>
      <c r="AY219" s="85">
        <f t="shared" si="781"/>
        <v>25.42</v>
      </c>
      <c r="AZ219" s="85">
        <f>'Consumer Hardware Pricing'!AI227</f>
        <v>10.42</v>
      </c>
      <c r="BA219" s="85">
        <f t="shared" si="620"/>
        <v>15.000000000000002</v>
      </c>
      <c r="BB219" s="85">
        <f t="shared" si="621"/>
        <v>250.07999999999998</v>
      </c>
      <c r="BC219" s="85">
        <f t="shared" si="637"/>
        <v>360.00000000000006</v>
      </c>
      <c r="BD219" s="85" t="str">
        <f>'Consumer Hardware Pricing'!AL227</f>
        <v>-</v>
      </c>
      <c r="BE219" s="85" t="str">
        <f t="shared" si="782"/>
        <v>-</v>
      </c>
      <c r="BF219" s="85" t="str">
        <f>'Consumer Hardware Pricing'!AM227</f>
        <v>-</v>
      </c>
      <c r="BG219" s="85" t="str">
        <f t="shared" si="622"/>
        <v>-</v>
      </c>
      <c r="BH219" s="85" t="str">
        <f t="shared" si="623"/>
        <v>-</v>
      </c>
      <c r="BI219" s="85" t="str">
        <f t="shared" si="638"/>
        <v>-</v>
      </c>
      <c r="BJ219" s="85" t="str">
        <f>'Consumer Hardware Pricing'!AP227</f>
        <v>-</v>
      </c>
      <c r="BK219" s="85" t="str">
        <f t="shared" si="783"/>
        <v>-</v>
      </c>
      <c r="BL219" s="85" t="str">
        <f>'Consumer Hardware Pricing'!AQ227</f>
        <v>-</v>
      </c>
      <c r="BM219" s="85" t="str">
        <f t="shared" si="624"/>
        <v>-</v>
      </c>
      <c r="BN219" s="85" t="str">
        <f t="shared" si="625"/>
        <v>-</v>
      </c>
      <c r="BO219" s="85" t="str">
        <f t="shared" si="639"/>
        <v>-</v>
      </c>
      <c r="BP219" s="85" t="str">
        <f>'Consumer Hardware Pricing'!AT227</f>
        <v>-</v>
      </c>
      <c r="BQ219" s="85" t="str">
        <f t="shared" si="784"/>
        <v>-</v>
      </c>
      <c r="BR219" s="85" t="str">
        <f>'Consumer Hardware Pricing'!AU227</f>
        <v>-</v>
      </c>
      <c r="BS219" s="85" t="str">
        <f t="shared" si="626"/>
        <v>-</v>
      </c>
      <c r="BT219" s="85" t="str">
        <f t="shared" si="627"/>
        <v>-</v>
      </c>
      <c r="BU219" s="85" t="str">
        <f t="shared" si="640"/>
        <v>-</v>
      </c>
    </row>
    <row r="220" spans="1:73" ht="30.15" customHeight="1" x14ac:dyDescent="0.25">
      <c r="A220" s="87" t="s">
        <v>34</v>
      </c>
      <c r="B220" s="88" t="s">
        <v>382</v>
      </c>
      <c r="C220" s="88" t="s">
        <v>303</v>
      </c>
      <c r="D220" s="85">
        <f>'Consumer Hardware Pricing'!L228</f>
        <v>610</v>
      </c>
      <c r="E220" s="85">
        <f>'Consumer Hardware Pricing'!M228</f>
        <v>610</v>
      </c>
      <c r="F220" s="85">
        <f>'Consumer Hardware Pricing'!N228</f>
        <v>0</v>
      </c>
      <c r="G220" s="85">
        <f t="shared" si="785"/>
        <v>25.42</v>
      </c>
      <c r="H220" s="85">
        <f>'Consumer Hardware Pricing'!O228</f>
        <v>10.42</v>
      </c>
      <c r="I220" s="85">
        <f t="shared" si="616"/>
        <v>15.000000000000002</v>
      </c>
      <c r="J220" s="85">
        <f t="shared" si="628"/>
        <v>250.07999999999998</v>
      </c>
      <c r="K220" s="85">
        <f t="shared" si="629"/>
        <v>360.00000000000006</v>
      </c>
      <c r="L220" s="85" t="str">
        <f>'Consumer Hardware Pricing'!Q228</f>
        <v>-</v>
      </c>
      <c r="M220" s="85" t="str">
        <f t="shared" si="786"/>
        <v>-</v>
      </c>
      <c r="N220" s="85" t="str">
        <f t="shared" si="617"/>
        <v>-</v>
      </c>
      <c r="O220" s="85" t="str">
        <f t="shared" si="618"/>
        <v>-</v>
      </c>
      <c r="P220" s="85" t="str">
        <f t="shared" si="630"/>
        <v>-</v>
      </c>
      <c r="Q220" s="85">
        <f>'Consumer Hardware Pricing'!S228</f>
        <v>0</v>
      </c>
      <c r="R220" s="85">
        <f t="shared" si="619"/>
        <v>25.42</v>
      </c>
      <c r="S220" s="85">
        <f>'Consumer Hardware Pricing'!T228</f>
        <v>10.42</v>
      </c>
      <c r="T220" s="129">
        <f t="shared" si="631"/>
        <v>15.000000000000002</v>
      </c>
      <c r="U220" s="129">
        <f t="shared" si="632"/>
        <v>250.07999999999998</v>
      </c>
      <c r="V220" s="85">
        <f t="shared" si="633"/>
        <v>360.00000000000006</v>
      </c>
      <c r="W220" s="129" t="str">
        <f>'Consumer Hardware Pricing'!V228</f>
        <v>-</v>
      </c>
      <c r="X220" s="129" t="str">
        <f t="shared" si="787"/>
        <v>-</v>
      </c>
      <c r="Y220" s="129" t="str">
        <f t="shared" si="634"/>
        <v>-</v>
      </c>
      <c r="Z220" s="129" t="str">
        <f t="shared" si="635"/>
        <v>-</v>
      </c>
      <c r="AA220" s="85" t="str">
        <f t="shared" si="636"/>
        <v>-</v>
      </c>
      <c r="AB220" s="85">
        <f>'Consumer Hardware Pricing'!X228</f>
        <v>0</v>
      </c>
      <c r="AC220" s="85">
        <f t="shared" si="777"/>
        <v>25.42</v>
      </c>
      <c r="AD220" s="85">
        <f>'Consumer Hardware Pricing'!Y228</f>
        <v>10.42</v>
      </c>
      <c r="AE220" s="85">
        <f t="shared" si="556"/>
        <v>15.000000000000002</v>
      </c>
      <c r="AF220" s="85">
        <f t="shared" si="557"/>
        <v>250.07999999999998</v>
      </c>
      <c r="AG220" s="85">
        <f t="shared" si="558"/>
        <v>360.00000000000006</v>
      </c>
      <c r="AH220" s="85" t="str">
        <f>'Consumer Hardware Pricing'!AA228</f>
        <v>-</v>
      </c>
      <c r="AI220" s="85" t="str">
        <f t="shared" si="778"/>
        <v>-</v>
      </c>
      <c r="AJ220" s="85" t="str">
        <f t="shared" si="559"/>
        <v>-</v>
      </c>
      <c r="AK220" s="85" t="str">
        <f t="shared" si="560"/>
        <v>-</v>
      </c>
      <c r="AL220" s="85" t="str">
        <f t="shared" si="561"/>
        <v>-</v>
      </c>
      <c r="AM220" s="85">
        <f>'Consumer Hardware Pricing'!AC228</f>
        <v>0</v>
      </c>
      <c r="AN220" s="85">
        <f t="shared" si="779"/>
        <v>25.42</v>
      </c>
      <c r="AO220" s="85">
        <f>'Consumer Hardware Pricing'!AD228</f>
        <v>10.42</v>
      </c>
      <c r="AP220" s="85">
        <f t="shared" si="562"/>
        <v>15.000000000000002</v>
      </c>
      <c r="AQ220" s="85">
        <f t="shared" si="563"/>
        <v>250.07999999999998</v>
      </c>
      <c r="AR220" s="85">
        <f t="shared" si="564"/>
        <v>360.00000000000006</v>
      </c>
      <c r="AS220" s="85" t="str">
        <f>'Consumer Hardware Pricing'!AF228</f>
        <v>-</v>
      </c>
      <c r="AT220" s="85" t="str">
        <f t="shared" si="780"/>
        <v>-</v>
      </c>
      <c r="AU220" s="85" t="str">
        <f t="shared" si="565"/>
        <v>-</v>
      </c>
      <c r="AV220" s="85" t="str">
        <f t="shared" si="566"/>
        <v>-</v>
      </c>
      <c r="AW220" s="85" t="str">
        <f t="shared" si="567"/>
        <v>-</v>
      </c>
      <c r="AX220" s="85">
        <f>'Consumer Hardware Pricing'!AH228</f>
        <v>0</v>
      </c>
      <c r="AY220" s="85">
        <f t="shared" si="781"/>
        <v>25.42</v>
      </c>
      <c r="AZ220" s="85">
        <f>'Consumer Hardware Pricing'!AI228</f>
        <v>10.42</v>
      </c>
      <c r="BA220" s="85">
        <f t="shared" si="620"/>
        <v>15.000000000000002</v>
      </c>
      <c r="BB220" s="85">
        <f t="shared" si="621"/>
        <v>250.07999999999998</v>
      </c>
      <c r="BC220" s="85">
        <f t="shared" si="637"/>
        <v>360.00000000000006</v>
      </c>
      <c r="BD220" s="85" t="str">
        <f>'Consumer Hardware Pricing'!AL228</f>
        <v>-</v>
      </c>
      <c r="BE220" s="85" t="str">
        <f t="shared" si="782"/>
        <v>-</v>
      </c>
      <c r="BF220" s="85" t="str">
        <f>'Consumer Hardware Pricing'!AM228</f>
        <v>-</v>
      </c>
      <c r="BG220" s="85" t="str">
        <f t="shared" si="622"/>
        <v>-</v>
      </c>
      <c r="BH220" s="85" t="str">
        <f t="shared" si="623"/>
        <v>-</v>
      </c>
      <c r="BI220" s="85" t="str">
        <f t="shared" si="638"/>
        <v>-</v>
      </c>
      <c r="BJ220" s="85" t="str">
        <f>'Consumer Hardware Pricing'!AP228</f>
        <v>-</v>
      </c>
      <c r="BK220" s="85" t="str">
        <f t="shared" si="783"/>
        <v>-</v>
      </c>
      <c r="BL220" s="85" t="str">
        <f>'Consumer Hardware Pricing'!AQ228</f>
        <v>-</v>
      </c>
      <c r="BM220" s="85" t="str">
        <f t="shared" si="624"/>
        <v>-</v>
      </c>
      <c r="BN220" s="85" t="str">
        <f t="shared" si="625"/>
        <v>-</v>
      </c>
      <c r="BO220" s="85" t="str">
        <f t="shared" si="639"/>
        <v>-</v>
      </c>
      <c r="BP220" s="85" t="str">
        <f>'Consumer Hardware Pricing'!AT228</f>
        <v>-</v>
      </c>
      <c r="BQ220" s="85" t="str">
        <f t="shared" si="784"/>
        <v>-</v>
      </c>
      <c r="BR220" s="85" t="str">
        <f>'Consumer Hardware Pricing'!AU228</f>
        <v>-</v>
      </c>
      <c r="BS220" s="85" t="str">
        <f t="shared" si="626"/>
        <v>-</v>
      </c>
      <c r="BT220" s="85" t="str">
        <f t="shared" si="627"/>
        <v>-</v>
      </c>
      <c r="BU220" s="85" t="str">
        <f t="shared" si="640"/>
        <v>-</v>
      </c>
    </row>
    <row r="221" spans="1:73" ht="30.15" customHeight="1" x14ac:dyDescent="0.25">
      <c r="A221" s="87" t="s">
        <v>34</v>
      </c>
      <c r="B221" s="88" t="s">
        <v>308</v>
      </c>
      <c r="C221" s="88" t="s">
        <v>303</v>
      </c>
      <c r="D221" s="85">
        <f>'Consumer Hardware Pricing'!L229</f>
        <v>610</v>
      </c>
      <c r="E221" s="85">
        <f>'Consumer Hardware Pricing'!M229</f>
        <v>610</v>
      </c>
      <c r="F221" s="85">
        <f>'Consumer Hardware Pricing'!N229</f>
        <v>0</v>
      </c>
      <c r="G221" s="85">
        <f t="shared" si="785"/>
        <v>25.42</v>
      </c>
      <c r="H221" s="85">
        <f>'Consumer Hardware Pricing'!O229</f>
        <v>10.42</v>
      </c>
      <c r="I221" s="85">
        <f t="shared" si="616"/>
        <v>15.000000000000002</v>
      </c>
      <c r="J221" s="85">
        <f t="shared" si="628"/>
        <v>250.07999999999998</v>
      </c>
      <c r="K221" s="85">
        <f t="shared" si="629"/>
        <v>360.00000000000006</v>
      </c>
      <c r="L221" s="85" t="str">
        <f>'Consumer Hardware Pricing'!Q229</f>
        <v>-</v>
      </c>
      <c r="M221" s="85" t="str">
        <f t="shared" si="786"/>
        <v>-</v>
      </c>
      <c r="N221" s="85" t="str">
        <f t="shared" si="617"/>
        <v>-</v>
      </c>
      <c r="O221" s="85" t="str">
        <f t="shared" si="618"/>
        <v>-</v>
      </c>
      <c r="P221" s="85" t="str">
        <f t="shared" si="630"/>
        <v>-</v>
      </c>
      <c r="Q221" s="85">
        <f>'Consumer Hardware Pricing'!S229</f>
        <v>0</v>
      </c>
      <c r="R221" s="85">
        <f t="shared" si="619"/>
        <v>25.42</v>
      </c>
      <c r="S221" s="85">
        <f>'Consumer Hardware Pricing'!T229</f>
        <v>10.42</v>
      </c>
      <c r="T221" s="129">
        <f t="shared" si="631"/>
        <v>15.000000000000002</v>
      </c>
      <c r="U221" s="129">
        <f t="shared" si="632"/>
        <v>250.07999999999998</v>
      </c>
      <c r="V221" s="85">
        <f t="shared" si="633"/>
        <v>360.00000000000006</v>
      </c>
      <c r="W221" s="129" t="str">
        <f>'Consumer Hardware Pricing'!V229</f>
        <v>-</v>
      </c>
      <c r="X221" s="129" t="str">
        <f t="shared" si="787"/>
        <v>-</v>
      </c>
      <c r="Y221" s="129" t="str">
        <f t="shared" si="634"/>
        <v>-</v>
      </c>
      <c r="Z221" s="129" t="str">
        <f t="shared" si="635"/>
        <v>-</v>
      </c>
      <c r="AA221" s="85" t="str">
        <f t="shared" si="636"/>
        <v>-</v>
      </c>
      <c r="AB221" s="85">
        <f>'Consumer Hardware Pricing'!X229</f>
        <v>0</v>
      </c>
      <c r="AC221" s="85">
        <f t="shared" si="777"/>
        <v>25.42</v>
      </c>
      <c r="AD221" s="85">
        <f>'Consumer Hardware Pricing'!Y229</f>
        <v>10.42</v>
      </c>
      <c r="AE221" s="85">
        <f t="shared" ref="AE221:AE288" si="788">IF(AD221="-",AC221,AC221-AD221)</f>
        <v>15.000000000000002</v>
      </c>
      <c r="AF221" s="85">
        <f t="shared" ref="AF221:AF288" si="789">IF(AD221="-",AD221,AD221*24)</f>
        <v>250.07999999999998</v>
      </c>
      <c r="AG221" s="85">
        <f t="shared" ref="AG221:AG288" si="790">IF(AB221="-",AB221,AE221*24)</f>
        <v>360.00000000000006</v>
      </c>
      <c r="AH221" s="85" t="str">
        <f>'Consumer Hardware Pricing'!AA229</f>
        <v>-</v>
      </c>
      <c r="AI221" s="85" t="str">
        <f t="shared" si="778"/>
        <v>-</v>
      </c>
      <c r="AJ221" s="85" t="str">
        <f t="shared" ref="AJ221:AJ288" si="791">IF(AH221="-",AH221,AC221-AI221)</f>
        <v>-</v>
      </c>
      <c r="AK221" s="85" t="str">
        <f t="shared" ref="AK221:AK288" si="792">IF(AH221="-",AH221,AI221*24)</f>
        <v>-</v>
      </c>
      <c r="AL221" s="85" t="str">
        <f t="shared" ref="AL221:AL288" si="793">IF(AH221="-",AH221,AJ221*24)</f>
        <v>-</v>
      </c>
      <c r="AM221" s="85">
        <f>'Consumer Hardware Pricing'!AC229</f>
        <v>0</v>
      </c>
      <c r="AN221" s="85">
        <f t="shared" si="779"/>
        <v>25.42</v>
      </c>
      <c r="AO221" s="85">
        <f>'Consumer Hardware Pricing'!AD229</f>
        <v>10.42</v>
      </c>
      <c r="AP221" s="85">
        <f t="shared" ref="AP221:AP288" si="794">IF(AO221="-",AN221,AN221-AO221)</f>
        <v>15.000000000000002</v>
      </c>
      <c r="AQ221" s="85">
        <f t="shared" ref="AQ221:AQ288" si="795">IF(AO221="-",AO221,AO221*24)</f>
        <v>250.07999999999998</v>
      </c>
      <c r="AR221" s="85">
        <f t="shared" ref="AR221:AR288" si="796">IF(AM221="-",AM221,AP221*24)</f>
        <v>360.00000000000006</v>
      </c>
      <c r="AS221" s="85" t="str">
        <f>'Consumer Hardware Pricing'!AF229</f>
        <v>-</v>
      </c>
      <c r="AT221" s="85" t="str">
        <f t="shared" si="780"/>
        <v>-</v>
      </c>
      <c r="AU221" s="85" t="str">
        <f t="shared" ref="AU221:AU288" si="797">IF(AS221="-",AS221,AN221-AT221)</f>
        <v>-</v>
      </c>
      <c r="AV221" s="85" t="str">
        <f t="shared" ref="AV221:AV288" si="798">IF(AS221="-",AS221,AT221*24)</f>
        <v>-</v>
      </c>
      <c r="AW221" s="85" t="str">
        <f t="shared" ref="AW221:AW288" si="799">IF(AS221="-",AS221,AU221*24)</f>
        <v>-</v>
      </c>
      <c r="AX221" s="85">
        <f>'Consumer Hardware Pricing'!AH229</f>
        <v>0</v>
      </c>
      <c r="AY221" s="85">
        <f t="shared" si="781"/>
        <v>25.42</v>
      </c>
      <c r="AZ221" s="85">
        <f>'Consumer Hardware Pricing'!AI229</f>
        <v>10.42</v>
      </c>
      <c r="BA221" s="85">
        <f t="shared" si="620"/>
        <v>15.000000000000002</v>
      </c>
      <c r="BB221" s="85">
        <f t="shared" si="621"/>
        <v>250.07999999999998</v>
      </c>
      <c r="BC221" s="85">
        <f t="shared" si="637"/>
        <v>360.00000000000006</v>
      </c>
      <c r="BD221" s="85" t="str">
        <f>'Consumer Hardware Pricing'!AL229</f>
        <v>-</v>
      </c>
      <c r="BE221" s="85" t="str">
        <f t="shared" si="782"/>
        <v>-</v>
      </c>
      <c r="BF221" s="85" t="str">
        <f>'Consumer Hardware Pricing'!AM229</f>
        <v>-</v>
      </c>
      <c r="BG221" s="85" t="str">
        <f t="shared" si="622"/>
        <v>-</v>
      </c>
      <c r="BH221" s="85" t="str">
        <f t="shared" si="623"/>
        <v>-</v>
      </c>
      <c r="BI221" s="85" t="str">
        <f t="shared" si="638"/>
        <v>-</v>
      </c>
      <c r="BJ221" s="85" t="str">
        <f>'Consumer Hardware Pricing'!AP229</f>
        <v>-</v>
      </c>
      <c r="BK221" s="85" t="str">
        <f t="shared" si="783"/>
        <v>-</v>
      </c>
      <c r="BL221" s="85" t="str">
        <f>'Consumer Hardware Pricing'!AQ229</f>
        <v>-</v>
      </c>
      <c r="BM221" s="85" t="str">
        <f t="shared" si="624"/>
        <v>-</v>
      </c>
      <c r="BN221" s="85" t="str">
        <f t="shared" si="625"/>
        <v>-</v>
      </c>
      <c r="BO221" s="85" t="str">
        <f t="shared" si="639"/>
        <v>-</v>
      </c>
      <c r="BP221" s="85" t="str">
        <f>'Consumer Hardware Pricing'!AT229</f>
        <v>-</v>
      </c>
      <c r="BQ221" s="85" t="str">
        <f t="shared" si="784"/>
        <v>-</v>
      </c>
      <c r="BR221" s="85" t="str">
        <f>'Consumer Hardware Pricing'!AU229</f>
        <v>-</v>
      </c>
      <c r="BS221" s="85" t="str">
        <f t="shared" si="626"/>
        <v>-</v>
      </c>
      <c r="BT221" s="85" t="str">
        <f t="shared" si="627"/>
        <v>-</v>
      </c>
      <c r="BU221" s="85" t="str">
        <f t="shared" si="640"/>
        <v>-</v>
      </c>
    </row>
    <row r="222" spans="1:73" ht="30.15" customHeight="1" x14ac:dyDescent="0.25">
      <c r="A222" s="87" t="s">
        <v>34</v>
      </c>
      <c r="B222" s="88" t="s">
        <v>316</v>
      </c>
      <c r="C222" s="88" t="s">
        <v>304</v>
      </c>
      <c r="D222" s="85">
        <f>'Consumer Hardware Pricing'!L230</f>
        <v>1050</v>
      </c>
      <c r="E222" s="85">
        <f>'Consumer Hardware Pricing'!M230</f>
        <v>1050</v>
      </c>
      <c r="F222" s="85">
        <f>'Consumer Hardware Pricing'!N230</f>
        <v>0</v>
      </c>
      <c r="G222" s="85">
        <f t="shared" si="785"/>
        <v>43.75</v>
      </c>
      <c r="H222" s="85">
        <f>'Consumer Hardware Pricing'!O230</f>
        <v>10.42</v>
      </c>
      <c r="I222" s="85">
        <f t="shared" si="616"/>
        <v>33.33</v>
      </c>
      <c r="J222" s="85">
        <f t="shared" si="628"/>
        <v>250.07999999999998</v>
      </c>
      <c r="K222" s="85">
        <f t="shared" si="629"/>
        <v>799.92</v>
      </c>
      <c r="L222" s="85" t="str">
        <f>'Consumer Hardware Pricing'!Q230</f>
        <v>-</v>
      </c>
      <c r="M222" s="85" t="str">
        <f t="shared" si="786"/>
        <v>-</v>
      </c>
      <c r="N222" s="85" t="str">
        <f t="shared" si="617"/>
        <v>-</v>
      </c>
      <c r="O222" s="85" t="str">
        <f t="shared" si="618"/>
        <v>-</v>
      </c>
      <c r="P222" s="85" t="str">
        <f t="shared" si="630"/>
        <v>-</v>
      </c>
      <c r="Q222" s="85">
        <f>'Consumer Hardware Pricing'!S230</f>
        <v>0</v>
      </c>
      <c r="R222" s="85">
        <f t="shared" si="619"/>
        <v>43.75</v>
      </c>
      <c r="S222" s="85">
        <f>'Consumer Hardware Pricing'!T230</f>
        <v>10.42</v>
      </c>
      <c r="T222" s="129">
        <f t="shared" si="631"/>
        <v>33.33</v>
      </c>
      <c r="U222" s="129">
        <f t="shared" si="632"/>
        <v>250.07999999999998</v>
      </c>
      <c r="V222" s="85">
        <f t="shared" si="633"/>
        <v>799.92</v>
      </c>
      <c r="W222" s="129" t="str">
        <f>'Consumer Hardware Pricing'!V230</f>
        <v>-</v>
      </c>
      <c r="X222" s="129" t="str">
        <f t="shared" si="787"/>
        <v>-</v>
      </c>
      <c r="Y222" s="129" t="str">
        <f t="shared" si="634"/>
        <v>-</v>
      </c>
      <c r="Z222" s="129" t="str">
        <f t="shared" si="635"/>
        <v>-</v>
      </c>
      <c r="AA222" s="85" t="str">
        <f t="shared" si="636"/>
        <v>-</v>
      </c>
      <c r="AB222" s="85">
        <f>'Consumer Hardware Pricing'!X230</f>
        <v>0</v>
      </c>
      <c r="AC222" s="85">
        <f t="shared" si="777"/>
        <v>43.75</v>
      </c>
      <c r="AD222" s="85">
        <f>'Consumer Hardware Pricing'!Y230</f>
        <v>10.42</v>
      </c>
      <c r="AE222" s="85">
        <f t="shared" si="788"/>
        <v>33.33</v>
      </c>
      <c r="AF222" s="85">
        <f t="shared" si="789"/>
        <v>250.07999999999998</v>
      </c>
      <c r="AG222" s="85">
        <f t="shared" si="790"/>
        <v>799.92</v>
      </c>
      <c r="AH222" s="85" t="str">
        <f>'Consumer Hardware Pricing'!AA230</f>
        <v>-</v>
      </c>
      <c r="AI222" s="85" t="str">
        <f t="shared" si="778"/>
        <v>-</v>
      </c>
      <c r="AJ222" s="85" t="str">
        <f t="shared" si="791"/>
        <v>-</v>
      </c>
      <c r="AK222" s="85" t="str">
        <f t="shared" si="792"/>
        <v>-</v>
      </c>
      <c r="AL222" s="85" t="str">
        <f t="shared" si="793"/>
        <v>-</v>
      </c>
      <c r="AM222" s="85">
        <f>'Consumer Hardware Pricing'!AC230</f>
        <v>0</v>
      </c>
      <c r="AN222" s="85">
        <f t="shared" si="779"/>
        <v>43.75</v>
      </c>
      <c r="AO222" s="85">
        <f>'Consumer Hardware Pricing'!AD230</f>
        <v>10.42</v>
      </c>
      <c r="AP222" s="85">
        <f t="shared" si="794"/>
        <v>33.33</v>
      </c>
      <c r="AQ222" s="85">
        <f t="shared" si="795"/>
        <v>250.07999999999998</v>
      </c>
      <c r="AR222" s="85">
        <f t="shared" si="796"/>
        <v>799.92</v>
      </c>
      <c r="AS222" s="85" t="str">
        <f>'Consumer Hardware Pricing'!AF230</f>
        <v>-</v>
      </c>
      <c r="AT222" s="85" t="str">
        <f t="shared" si="780"/>
        <v>-</v>
      </c>
      <c r="AU222" s="85" t="str">
        <f t="shared" si="797"/>
        <v>-</v>
      </c>
      <c r="AV222" s="85" t="str">
        <f t="shared" si="798"/>
        <v>-</v>
      </c>
      <c r="AW222" s="85" t="str">
        <f t="shared" si="799"/>
        <v>-</v>
      </c>
      <c r="AX222" s="85">
        <f>'Consumer Hardware Pricing'!AH230</f>
        <v>0</v>
      </c>
      <c r="AY222" s="85">
        <f t="shared" si="781"/>
        <v>43.75</v>
      </c>
      <c r="AZ222" s="85">
        <f>'Consumer Hardware Pricing'!AI230</f>
        <v>10.42</v>
      </c>
      <c r="BA222" s="85">
        <f t="shared" si="620"/>
        <v>33.33</v>
      </c>
      <c r="BB222" s="85">
        <f t="shared" si="621"/>
        <v>250.07999999999998</v>
      </c>
      <c r="BC222" s="85">
        <f t="shared" si="637"/>
        <v>799.92</v>
      </c>
      <c r="BD222" s="85" t="str">
        <f>'Consumer Hardware Pricing'!AL230</f>
        <v>-</v>
      </c>
      <c r="BE222" s="85" t="str">
        <f t="shared" si="782"/>
        <v>-</v>
      </c>
      <c r="BF222" s="85" t="str">
        <f>'Consumer Hardware Pricing'!AM230</f>
        <v>-</v>
      </c>
      <c r="BG222" s="85" t="str">
        <f t="shared" si="622"/>
        <v>-</v>
      </c>
      <c r="BH222" s="85" t="str">
        <f t="shared" si="623"/>
        <v>-</v>
      </c>
      <c r="BI222" s="85" t="str">
        <f t="shared" si="638"/>
        <v>-</v>
      </c>
      <c r="BJ222" s="85" t="str">
        <f>'Consumer Hardware Pricing'!AP230</f>
        <v>-</v>
      </c>
      <c r="BK222" s="85" t="str">
        <f t="shared" si="783"/>
        <v>-</v>
      </c>
      <c r="BL222" s="85" t="str">
        <f>'Consumer Hardware Pricing'!AQ230</f>
        <v>-</v>
      </c>
      <c r="BM222" s="85" t="str">
        <f t="shared" si="624"/>
        <v>-</v>
      </c>
      <c r="BN222" s="85" t="str">
        <f t="shared" si="625"/>
        <v>-</v>
      </c>
      <c r="BO222" s="85" t="str">
        <f t="shared" si="639"/>
        <v>-</v>
      </c>
      <c r="BP222" s="85" t="str">
        <f>'Consumer Hardware Pricing'!AT230</f>
        <v>-</v>
      </c>
      <c r="BQ222" s="85" t="str">
        <f t="shared" si="784"/>
        <v>-</v>
      </c>
      <c r="BR222" s="85" t="str">
        <f>'Consumer Hardware Pricing'!AU230</f>
        <v>-</v>
      </c>
      <c r="BS222" s="85" t="str">
        <f t="shared" si="626"/>
        <v>-</v>
      </c>
      <c r="BT222" s="85" t="str">
        <f t="shared" si="627"/>
        <v>-</v>
      </c>
      <c r="BU222" s="85" t="str">
        <f t="shared" si="640"/>
        <v>-</v>
      </c>
    </row>
    <row r="223" spans="1:73" ht="30.15" customHeight="1" x14ac:dyDescent="0.25">
      <c r="A223" s="87" t="s">
        <v>34</v>
      </c>
      <c r="B223" s="88" t="s">
        <v>309</v>
      </c>
      <c r="C223" s="88" t="s">
        <v>304</v>
      </c>
      <c r="D223" s="85">
        <f>'Consumer Hardware Pricing'!L231</f>
        <v>1050</v>
      </c>
      <c r="E223" s="85">
        <f>'Consumer Hardware Pricing'!M231</f>
        <v>1050</v>
      </c>
      <c r="F223" s="85">
        <f>'Consumer Hardware Pricing'!N231</f>
        <v>0</v>
      </c>
      <c r="G223" s="85">
        <f t="shared" si="785"/>
        <v>43.75</v>
      </c>
      <c r="H223" s="85">
        <f>'Consumer Hardware Pricing'!O231</f>
        <v>10.42</v>
      </c>
      <c r="I223" s="85">
        <f t="shared" si="616"/>
        <v>33.33</v>
      </c>
      <c r="J223" s="85">
        <f t="shared" si="628"/>
        <v>250.07999999999998</v>
      </c>
      <c r="K223" s="85">
        <f t="shared" si="629"/>
        <v>799.92</v>
      </c>
      <c r="L223" s="85" t="str">
        <f>'Consumer Hardware Pricing'!Q231</f>
        <v>-</v>
      </c>
      <c r="M223" s="85" t="str">
        <f t="shared" si="786"/>
        <v>-</v>
      </c>
      <c r="N223" s="85" t="str">
        <f t="shared" si="617"/>
        <v>-</v>
      </c>
      <c r="O223" s="85" t="str">
        <f t="shared" si="618"/>
        <v>-</v>
      </c>
      <c r="P223" s="85" t="str">
        <f t="shared" si="630"/>
        <v>-</v>
      </c>
      <c r="Q223" s="85">
        <f>'Consumer Hardware Pricing'!S231</f>
        <v>0</v>
      </c>
      <c r="R223" s="85">
        <f t="shared" si="619"/>
        <v>43.75</v>
      </c>
      <c r="S223" s="85">
        <f>'Consumer Hardware Pricing'!T231</f>
        <v>10.42</v>
      </c>
      <c r="T223" s="129">
        <f t="shared" si="631"/>
        <v>33.33</v>
      </c>
      <c r="U223" s="129">
        <f t="shared" si="632"/>
        <v>250.07999999999998</v>
      </c>
      <c r="V223" s="85">
        <f t="shared" si="633"/>
        <v>799.92</v>
      </c>
      <c r="W223" s="129" t="str">
        <f>'Consumer Hardware Pricing'!V231</f>
        <v>-</v>
      </c>
      <c r="X223" s="129" t="str">
        <f t="shared" si="787"/>
        <v>-</v>
      </c>
      <c r="Y223" s="129" t="str">
        <f t="shared" si="634"/>
        <v>-</v>
      </c>
      <c r="Z223" s="129" t="str">
        <f t="shared" si="635"/>
        <v>-</v>
      </c>
      <c r="AA223" s="85" t="str">
        <f t="shared" si="636"/>
        <v>-</v>
      </c>
      <c r="AB223" s="85">
        <f>'Consumer Hardware Pricing'!X231</f>
        <v>0</v>
      </c>
      <c r="AC223" s="85">
        <f t="shared" si="777"/>
        <v>43.75</v>
      </c>
      <c r="AD223" s="85">
        <f>'Consumer Hardware Pricing'!Y231</f>
        <v>10.42</v>
      </c>
      <c r="AE223" s="85">
        <f t="shared" si="788"/>
        <v>33.33</v>
      </c>
      <c r="AF223" s="85">
        <f t="shared" si="789"/>
        <v>250.07999999999998</v>
      </c>
      <c r="AG223" s="85">
        <f t="shared" si="790"/>
        <v>799.92</v>
      </c>
      <c r="AH223" s="85" t="str">
        <f>'Consumer Hardware Pricing'!AA231</f>
        <v>-</v>
      </c>
      <c r="AI223" s="85" t="str">
        <f t="shared" si="778"/>
        <v>-</v>
      </c>
      <c r="AJ223" s="85" t="str">
        <f t="shared" si="791"/>
        <v>-</v>
      </c>
      <c r="AK223" s="85" t="str">
        <f t="shared" si="792"/>
        <v>-</v>
      </c>
      <c r="AL223" s="85" t="str">
        <f t="shared" si="793"/>
        <v>-</v>
      </c>
      <c r="AM223" s="85">
        <f>'Consumer Hardware Pricing'!AC231</f>
        <v>0</v>
      </c>
      <c r="AN223" s="85">
        <f t="shared" si="779"/>
        <v>43.75</v>
      </c>
      <c r="AO223" s="85">
        <f>'Consumer Hardware Pricing'!AD231</f>
        <v>10.42</v>
      </c>
      <c r="AP223" s="85">
        <f t="shared" si="794"/>
        <v>33.33</v>
      </c>
      <c r="AQ223" s="85">
        <f t="shared" si="795"/>
        <v>250.07999999999998</v>
      </c>
      <c r="AR223" s="85">
        <f t="shared" si="796"/>
        <v>799.92</v>
      </c>
      <c r="AS223" s="85" t="str">
        <f>'Consumer Hardware Pricing'!AF231</f>
        <v>-</v>
      </c>
      <c r="AT223" s="85" t="str">
        <f t="shared" si="780"/>
        <v>-</v>
      </c>
      <c r="AU223" s="85" t="str">
        <f t="shared" si="797"/>
        <v>-</v>
      </c>
      <c r="AV223" s="85" t="str">
        <f t="shared" si="798"/>
        <v>-</v>
      </c>
      <c r="AW223" s="85" t="str">
        <f t="shared" si="799"/>
        <v>-</v>
      </c>
      <c r="AX223" s="85">
        <f>'Consumer Hardware Pricing'!AH231</f>
        <v>0</v>
      </c>
      <c r="AY223" s="85">
        <f t="shared" si="781"/>
        <v>43.75</v>
      </c>
      <c r="AZ223" s="85">
        <f>'Consumer Hardware Pricing'!AI231</f>
        <v>10.42</v>
      </c>
      <c r="BA223" s="85">
        <f t="shared" si="620"/>
        <v>33.33</v>
      </c>
      <c r="BB223" s="85">
        <f t="shared" si="621"/>
        <v>250.07999999999998</v>
      </c>
      <c r="BC223" s="85">
        <f t="shared" si="637"/>
        <v>799.92</v>
      </c>
      <c r="BD223" s="85" t="str">
        <f>'Consumer Hardware Pricing'!AL231</f>
        <v>-</v>
      </c>
      <c r="BE223" s="85" t="str">
        <f t="shared" si="782"/>
        <v>-</v>
      </c>
      <c r="BF223" s="85" t="str">
        <f>'Consumer Hardware Pricing'!AM231</f>
        <v>-</v>
      </c>
      <c r="BG223" s="85" t="str">
        <f t="shared" si="622"/>
        <v>-</v>
      </c>
      <c r="BH223" s="85" t="str">
        <f t="shared" si="623"/>
        <v>-</v>
      </c>
      <c r="BI223" s="85" t="str">
        <f t="shared" si="638"/>
        <v>-</v>
      </c>
      <c r="BJ223" s="85" t="str">
        <f>'Consumer Hardware Pricing'!AP231</f>
        <v>-</v>
      </c>
      <c r="BK223" s="85" t="str">
        <f t="shared" si="783"/>
        <v>-</v>
      </c>
      <c r="BL223" s="85" t="str">
        <f>'Consumer Hardware Pricing'!AQ231</f>
        <v>-</v>
      </c>
      <c r="BM223" s="85" t="str">
        <f t="shared" si="624"/>
        <v>-</v>
      </c>
      <c r="BN223" s="85" t="str">
        <f t="shared" si="625"/>
        <v>-</v>
      </c>
      <c r="BO223" s="85" t="str">
        <f t="shared" si="639"/>
        <v>-</v>
      </c>
      <c r="BP223" s="85" t="str">
        <f>'Consumer Hardware Pricing'!AT231</f>
        <v>-</v>
      </c>
      <c r="BQ223" s="85" t="str">
        <f t="shared" si="784"/>
        <v>-</v>
      </c>
      <c r="BR223" s="85" t="str">
        <f>'Consumer Hardware Pricing'!AU231</f>
        <v>-</v>
      </c>
      <c r="BS223" s="85" t="str">
        <f t="shared" si="626"/>
        <v>-</v>
      </c>
      <c r="BT223" s="85" t="str">
        <f t="shared" si="627"/>
        <v>-</v>
      </c>
      <c r="BU223" s="85" t="str">
        <f t="shared" si="640"/>
        <v>-</v>
      </c>
    </row>
    <row r="224" spans="1:73" ht="30.15" customHeight="1" x14ac:dyDescent="0.25">
      <c r="A224" s="87" t="s">
        <v>34</v>
      </c>
      <c r="B224" s="88" t="s">
        <v>384</v>
      </c>
      <c r="C224" s="88" t="s">
        <v>304</v>
      </c>
      <c r="D224" s="85">
        <f>'Consumer Hardware Pricing'!L232</f>
        <v>1050</v>
      </c>
      <c r="E224" s="85">
        <f>'Consumer Hardware Pricing'!M232</f>
        <v>1050</v>
      </c>
      <c r="F224" s="85">
        <f>'Consumer Hardware Pricing'!N232</f>
        <v>0</v>
      </c>
      <c r="G224" s="85">
        <f t="shared" si="785"/>
        <v>43.75</v>
      </c>
      <c r="H224" s="85">
        <f>'Consumer Hardware Pricing'!O232</f>
        <v>10.42</v>
      </c>
      <c r="I224" s="85">
        <f t="shared" si="616"/>
        <v>33.33</v>
      </c>
      <c r="J224" s="85">
        <f t="shared" si="628"/>
        <v>250.07999999999998</v>
      </c>
      <c r="K224" s="85">
        <f t="shared" si="629"/>
        <v>799.92</v>
      </c>
      <c r="L224" s="85" t="str">
        <f>'Consumer Hardware Pricing'!Q232</f>
        <v>-</v>
      </c>
      <c r="M224" s="85" t="str">
        <f t="shared" si="786"/>
        <v>-</v>
      </c>
      <c r="N224" s="85" t="str">
        <f t="shared" si="617"/>
        <v>-</v>
      </c>
      <c r="O224" s="85" t="str">
        <f t="shared" si="618"/>
        <v>-</v>
      </c>
      <c r="P224" s="85" t="str">
        <f t="shared" si="630"/>
        <v>-</v>
      </c>
      <c r="Q224" s="85">
        <f>'Consumer Hardware Pricing'!S232</f>
        <v>0</v>
      </c>
      <c r="R224" s="85">
        <f t="shared" si="619"/>
        <v>43.75</v>
      </c>
      <c r="S224" s="85">
        <f>'Consumer Hardware Pricing'!T232</f>
        <v>10.42</v>
      </c>
      <c r="T224" s="129">
        <f t="shared" si="631"/>
        <v>33.33</v>
      </c>
      <c r="U224" s="129">
        <f t="shared" si="632"/>
        <v>250.07999999999998</v>
      </c>
      <c r="V224" s="85">
        <f t="shared" si="633"/>
        <v>799.92</v>
      </c>
      <c r="W224" s="129" t="str">
        <f>'Consumer Hardware Pricing'!V232</f>
        <v>-</v>
      </c>
      <c r="X224" s="129" t="str">
        <f t="shared" si="787"/>
        <v>-</v>
      </c>
      <c r="Y224" s="129" t="str">
        <f t="shared" si="634"/>
        <v>-</v>
      </c>
      <c r="Z224" s="129" t="str">
        <f t="shared" si="635"/>
        <v>-</v>
      </c>
      <c r="AA224" s="85" t="str">
        <f t="shared" si="636"/>
        <v>-</v>
      </c>
      <c r="AB224" s="85">
        <f>'Consumer Hardware Pricing'!X232</f>
        <v>0</v>
      </c>
      <c r="AC224" s="85">
        <f t="shared" si="777"/>
        <v>43.75</v>
      </c>
      <c r="AD224" s="85">
        <f>'Consumer Hardware Pricing'!Y232</f>
        <v>10.42</v>
      </c>
      <c r="AE224" s="85">
        <f t="shared" si="788"/>
        <v>33.33</v>
      </c>
      <c r="AF224" s="85">
        <f t="shared" si="789"/>
        <v>250.07999999999998</v>
      </c>
      <c r="AG224" s="85">
        <f t="shared" si="790"/>
        <v>799.92</v>
      </c>
      <c r="AH224" s="85" t="str">
        <f>'Consumer Hardware Pricing'!AA232</f>
        <v>-</v>
      </c>
      <c r="AI224" s="85" t="str">
        <f t="shared" si="778"/>
        <v>-</v>
      </c>
      <c r="AJ224" s="85" t="str">
        <f t="shared" si="791"/>
        <v>-</v>
      </c>
      <c r="AK224" s="85" t="str">
        <f t="shared" si="792"/>
        <v>-</v>
      </c>
      <c r="AL224" s="85" t="str">
        <f t="shared" si="793"/>
        <v>-</v>
      </c>
      <c r="AM224" s="85">
        <f>'Consumer Hardware Pricing'!AC232</f>
        <v>0</v>
      </c>
      <c r="AN224" s="85">
        <f t="shared" si="779"/>
        <v>43.75</v>
      </c>
      <c r="AO224" s="85">
        <f>'Consumer Hardware Pricing'!AD232</f>
        <v>10.42</v>
      </c>
      <c r="AP224" s="85">
        <f t="shared" si="794"/>
        <v>33.33</v>
      </c>
      <c r="AQ224" s="85">
        <f t="shared" si="795"/>
        <v>250.07999999999998</v>
      </c>
      <c r="AR224" s="85">
        <f t="shared" si="796"/>
        <v>799.92</v>
      </c>
      <c r="AS224" s="85" t="str">
        <f>'Consumer Hardware Pricing'!AF232</f>
        <v>-</v>
      </c>
      <c r="AT224" s="85" t="str">
        <f t="shared" si="780"/>
        <v>-</v>
      </c>
      <c r="AU224" s="85" t="str">
        <f t="shared" si="797"/>
        <v>-</v>
      </c>
      <c r="AV224" s="85" t="str">
        <f t="shared" si="798"/>
        <v>-</v>
      </c>
      <c r="AW224" s="85" t="str">
        <f t="shared" si="799"/>
        <v>-</v>
      </c>
      <c r="AX224" s="85">
        <f>'Consumer Hardware Pricing'!AH232</f>
        <v>0</v>
      </c>
      <c r="AY224" s="85">
        <f t="shared" si="781"/>
        <v>43.75</v>
      </c>
      <c r="AZ224" s="85">
        <f>'Consumer Hardware Pricing'!AI232</f>
        <v>10.42</v>
      </c>
      <c r="BA224" s="85">
        <f t="shared" si="620"/>
        <v>33.33</v>
      </c>
      <c r="BB224" s="85">
        <f t="shared" si="621"/>
        <v>250.07999999999998</v>
      </c>
      <c r="BC224" s="85">
        <f t="shared" si="637"/>
        <v>799.92</v>
      </c>
      <c r="BD224" s="85" t="str">
        <f>'Consumer Hardware Pricing'!AL232</f>
        <v>-</v>
      </c>
      <c r="BE224" s="85" t="str">
        <f t="shared" si="782"/>
        <v>-</v>
      </c>
      <c r="BF224" s="85" t="str">
        <f>'Consumer Hardware Pricing'!AM232</f>
        <v>-</v>
      </c>
      <c r="BG224" s="85" t="str">
        <f t="shared" si="622"/>
        <v>-</v>
      </c>
      <c r="BH224" s="85" t="str">
        <f t="shared" si="623"/>
        <v>-</v>
      </c>
      <c r="BI224" s="85" t="str">
        <f t="shared" si="638"/>
        <v>-</v>
      </c>
      <c r="BJ224" s="85" t="str">
        <f>'Consumer Hardware Pricing'!AP232</f>
        <v>-</v>
      </c>
      <c r="BK224" s="85" t="str">
        <f t="shared" si="783"/>
        <v>-</v>
      </c>
      <c r="BL224" s="85" t="str">
        <f>'Consumer Hardware Pricing'!AQ232</f>
        <v>-</v>
      </c>
      <c r="BM224" s="85" t="str">
        <f t="shared" si="624"/>
        <v>-</v>
      </c>
      <c r="BN224" s="85" t="str">
        <f t="shared" si="625"/>
        <v>-</v>
      </c>
      <c r="BO224" s="85" t="str">
        <f t="shared" si="639"/>
        <v>-</v>
      </c>
      <c r="BP224" s="85" t="str">
        <f>'Consumer Hardware Pricing'!AT232</f>
        <v>-</v>
      </c>
      <c r="BQ224" s="85" t="str">
        <f t="shared" si="784"/>
        <v>-</v>
      </c>
      <c r="BR224" s="85" t="str">
        <f>'Consumer Hardware Pricing'!AU232</f>
        <v>-</v>
      </c>
      <c r="BS224" s="85" t="str">
        <f t="shared" si="626"/>
        <v>-</v>
      </c>
      <c r="BT224" s="85" t="str">
        <f t="shared" si="627"/>
        <v>-</v>
      </c>
      <c r="BU224" s="85" t="str">
        <f t="shared" si="640"/>
        <v>-</v>
      </c>
    </row>
    <row r="225" spans="1:73" ht="30.15" customHeight="1" x14ac:dyDescent="0.25">
      <c r="A225" s="87" t="s">
        <v>34</v>
      </c>
      <c r="B225" s="88" t="s">
        <v>310</v>
      </c>
      <c r="C225" s="88" t="s">
        <v>304</v>
      </c>
      <c r="D225" s="85">
        <f>'Consumer Hardware Pricing'!L233</f>
        <v>1050</v>
      </c>
      <c r="E225" s="85">
        <f>'Consumer Hardware Pricing'!M233</f>
        <v>1050</v>
      </c>
      <c r="F225" s="85">
        <f>'Consumer Hardware Pricing'!N233</f>
        <v>0</v>
      </c>
      <c r="G225" s="85">
        <f t="shared" si="785"/>
        <v>43.75</v>
      </c>
      <c r="H225" s="85">
        <f>'Consumer Hardware Pricing'!O233</f>
        <v>10.42</v>
      </c>
      <c r="I225" s="85">
        <f t="shared" si="616"/>
        <v>33.33</v>
      </c>
      <c r="J225" s="85">
        <f t="shared" si="628"/>
        <v>250.07999999999998</v>
      </c>
      <c r="K225" s="85">
        <f t="shared" si="629"/>
        <v>799.92</v>
      </c>
      <c r="L225" s="85" t="str">
        <f>'Consumer Hardware Pricing'!Q233</f>
        <v>-</v>
      </c>
      <c r="M225" s="85" t="str">
        <f t="shared" si="786"/>
        <v>-</v>
      </c>
      <c r="N225" s="85" t="str">
        <f t="shared" si="617"/>
        <v>-</v>
      </c>
      <c r="O225" s="85" t="str">
        <f t="shared" si="618"/>
        <v>-</v>
      </c>
      <c r="P225" s="85" t="str">
        <f t="shared" si="630"/>
        <v>-</v>
      </c>
      <c r="Q225" s="85">
        <f>'Consumer Hardware Pricing'!S233</f>
        <v>0</v>
      </c>
      <c r="R225" s="85">
        <f t="shared" si="619"/>
        <v>43.75</v>
      </c>
      <c r="S225" s="85">
        <f>'Consumer Hardware Pricing'!T233</f>
        <v>10.42</v>
      </c>
      <c r="T225" s="129">
        <f t="shared" si="631"/>
        <v>33.33</v>
      </c>
      <c r="U225" s="129">
        <f t="shared" si="632"/>
        <v>250.07999999999998</v>
      </c>
      <c r="V225" s="85">
        <f t="shared" si="633"/>
        <v>799.92</v>
      </c>
      <c r="W225" s="129" t="str">
        <f>'Consumer Hardware Pricing'!V233</f>
        <v>-</v>
      </c>
      <c r="X225" s="129" t="str">
        <f t="shared" si="787"/>
        <v>-</v>
      </c>
      <c r="Y225" s="129" t="str">
        <f t="shared" si="634"/>
        <v>-</v>
      </c>
      <c r="Z225" s="129" t="str">
        <f t="shared" si="635"/>
        <v>-</v>
      </c>
      <c r="AA225" s="85" t="str">
        <f t="shared" si="636"/>
        <v>-</v>
      </c>
      <c r="AB225" s="85">
        <f>'Consumer Hardware Pricing'!X233</f>
        <v>0</v>
      </c>
      <c r="AC225" s="85">
        <f t="shared" si="777"/>
        <v>43.75</v>
      </c>
      <c r="AD225" s="85">
        <f>'Consumer Hardware Pricing'!Y233</f>
        <v>10.42</v>
      </c>
      <c r="AE225" s="85">
        <f t="shared" si="788"/>
        <v>33.33</v>
      </c>
      <c r="AF225" s="85">
        <f t="shared" si="789"/>
        <v>250.07999999999998</v>
      </c>
      <c r="AG225" s="85">
        <f t="shared" si="790"/>
        <v>799.92</v>
      </c>
      <c r="AH225" s="85" t="str">
        <f>'Consumer Hardware Pricing'!AA233</f>
        <v>-</v>
      </c>
      <c r="AI225" s="85" t="str">
        <f t="shared" si="778"/>
        <v>-</v>
      </c>
      <c r="AJ225" s="85" t="str">
        <f t="shared" si="791"/>
        <v>-</v>
      </c>
      <c r="AK225" s="85" t="str">
        <f t="shared" si="792"/>
        <v>-</v>
      </c>
      <c r="AL225" s="85" t="str">
        <f t="shared" si="793"/>
        <v>-</v>
      </c>
      <c r="AM225" s="85">
        <f>'Consumer Hardware Pricing'!AC233</f>
        <v>0</v>
      </c>
      <c r="AN225" s="85">
        <f t="shared" si="779"/>
        <v>43.75</v>
      </c>
      <c r="AO225" s="85">
        <f>'Consumer Hardware Pricing'!AD233</f>
        <v>10.42</v>
      </c>
      <c r="AP225" s="85">
        <f t="shared" si="794"/>
        <v>33.33</v>
      </c>
      <c r="AQ225" s="85">
        <f t="shared" si="795"/>
        <v>250.07999999999998</v>
      </c>
      <c r="AR225" s="85">
        <f t="shared" si="796"/>
        <v>799.92</v>
      </c>
      <c r="AS225" s="85" t="str">
        <f>'Consumer Hardware Pricing'!AF233</f>
        <v>-</v>
      </c>
      <c r="AT225" s="85" t="str">
        <f t="shared" si="780"/>
        <v>-</v>
      </c>
      <c r="AU225" s="85" t="str">
        <f t="shared" si="797"/>
        <v>-</v>
      </c>
      <c r="AV225" s="85" t="str">
        <f t="shared" si="798"/>
        <v>-</v>
      </c>
      <c r="AW225" s="85" t="str">
        <f t="shared" si="799"/>
        <v>-</v>
      </c>
      <c r="AX225" s="85">
        <f>'Consumer Hardware Pricing'!AH233</f>
        <v>0</v>
      </c>
      <c r="AY225" s="85">
        <f t="shared" si="781"/>
        <v>43.75</v>
      </c>
      <c r="AZ225" s="85">
        <f>'Consumer Hardware Pricing'!AI233</f>
        <v>10.42</v>
      </c>
      <c r="BA225" s="85">
        <f t="shared" si="620"/>
        <v>33.33</v>
      </c>
      <c r="BB225" s="85">
        <f t="shared" si="621"/>
        <v>250.07999999999998</v>
      </c>
      <c r="BC225" s="85">
        <f t="shared" si="637"/>
        <v>799.92</v>
      </c>
      <c r="BD225" s="85" t="str">
        <f>'Consumer Hardware Pricing'!AL233</f>
        <v>-</v>
      </c>
      <c r="BE225" s="85" t="str">
        <f t="shared" si="782"/>
        <v>-</v>
      </c>
      <c r="BF225" s="85" t="str">
        <f>'Consumer Hardware Pricing'!AM233</f>
        <v>-</v>
      </c>
      <c r="BG225" s="85" t="str">
        <f t="shared" si="622"/>
        <v>-</v>
      </c>
      <c r="BH225" s="85" t="str">
        <f t="shared" si="623"/>
        <v>-</v>
      </c>
      <c r="BI225" s="85" t="str">
        <f t="shared" si="638"/>
        <v>-</v>
      </c>
      <c r="BJ225" s="85" t="str">
        <f>'Consumer Hardware Pricing'!AP233</f>
        <v>-</v>
      </c>
      <c r="BK225" s="85" t="str">
        <f t="shared" si="783"/>
        <v>-</v>
      </c>
      <c r="BL225" s="85" t="str">
        <f>'Consumer Hardware Pricing'!AQ233</f>
        <v>-</v>
      </c>
      <c r="BM225" s="85" t="str">
        <f t="shared" si="624"/>
        <v>-</v>
      </c>
      <c r="BN225" s="85" t="str">
        <f t="shared" si="625"/>
        <v>-</v>
      </c>
      <c r="BO225" s="85" t="str">
        <f t="shared" si="639"/>
        <v>-</v>
      </c>
      <c r="BP225" s="85" t="str">
        <f>'Consumer Hardware Pricing'!AT233</f>
        <v>-</v>
      </c>
      <c r="BQ225" s="85" t="str">
        <f t="shared" si="784"/>
        <v>-</v>
      </c>
      <c r="BR225" s="85" t="str">
        <f>'Consumer Hardware Pricing'!AU233</f>
        <v>-</v>
      </c>
      <c r="BS225" s="85" t="str">
        <f t="shared" si="626"/>
        <v>-</v>
      </c>
      <c r="BT225" s="85" t="str">
        <f t="shared" si="627"/>
        <v>-</v>
      </c>
      <c r="BU225" s="85" t="str">
        <f t="shared" si="640"/>
        <v>-</v>
      </c>
    </row>
    <row r="226" spans="1:73" ht="30.15" customHeight="1" x14ac:dyDescent="0.25">
      <c r="A226" s="87" t="s">
        <v>34</v>
      </c>
      <c r="B226" s="88" t="s">
        <v>317</v>
      </c>
      <c r="C226" s="88" t="s">
        <v>305</v>
      </c>
      <c r="D226" s="85">
        <f>'Consumer Hardware Pricing'!L234</f>
        <v>760</v>
      </c>
      <c r="E226" s="85">
        <f>'Consumer Hardware Pricing'!M234</f>
        <v>760</v>
      </c>
      <c r="F226" s="85">
        <f>'Consumer Hardware Pricing'!N234</f>
        <v>0</v>
      </c>
      <c r="G226" s="85">
        <f t="shared" si="785"/>
        <v>31.67</v>
      </c>
      <c r="H226" s="85">
        <f>'Consumer Hardware Pricing'!O234</f>
        <v>10.42</v>
      </c>
      <c r="I226" s="85">
        <f t="shared" si="616"/>
        <v>21.25</v>
      </c>
      <c r="J226" s="85">
        <f t="shared" si="628"/>
        <v>250.07999999999998</v>
      </c>
      <c r="K226" s="85">
        <f t="shared" si="629"/>
        <v>510</v>
      </c>
      <c r="L226" s="85" t="str">
        <f>'Consumer Hardware Pricing'!Q234</f>
        <v>-</v>
      </c>
      <c r="M226" s="85" t="str">
        <f t="shared" si="786"/>
        <v>-</v>
      </c>
      <c r="N226" s="85" t="str">
        <f t="shared" si="617"/>
        <v>-</v>
      </c>
      <c r="O226" s="85" t="str">
        <f t="shared" si="618"/>
        <v>-</v>
      </c>
      <c r="P226" s="85" t="str">
        <f t="shared" si="630"/>
        <v>-</v>
      </c>
      <c r="Q226" s="85">
        <f>'Consumer Hardware Pricing'!S234</f>
        <v>0</v>
      </c>
      <c r="R226" s="85">
        <f t="shared" si="619"/>
        <v>31.67</v>
      </c>
      <c r="S226" s="85">
        <f>'Consumer Hardware Pricing'!T234</f>
        <v>10.42</v>
      </c>
      <c r="T226" s="129">
        <f t="shared" si="631"/>
        <v>21.25</v>
      </c>
      <c r="U226" s="129">
        <f t="shared" si="632"/>
        <v>250.07999999999998</v>
      </c>
      <c r="V226" s="85">
        <f t="shared" si="633"/>
        <v>510</v>
      </c>
      <c r="W226" s="129" t="str">
        <f>'Consumer Hardware Pricing'!V234</f>
        <v>-</v>
      </c>
      <c r="X226" s="129" t="str">
        <f t="shared" si="787"/>
        <v>-</v>
      </c>
      <c r="Y226" s="129" t="str">
        <f t="shared" si="634"/>
        <v>-</v>
      </c>
      <c r="Z226" s="129" t="str">
        <f t="shared" si="635"/>
        <v>-</v>
      </c>
      <c r="AA226" s="85" t="str">
        <f t="shared" si="636"/>
        <v>-</v>
      </c>
      <c r="AB226" s="85">
        <f>'Consumer Hardware Pricing'!X234</f>
        <v>0</v>
      </c>
      <c r="AC226" s="85">
        <f t="shared" si="777"/>
        <v>31.67</v>
      </c>
      <c r="AD226" s="85">
        <f>'Consumer Hardware Pricing'!Y234</f>
        <v>10.42</v>
      </c>
      <c r="AE226" s="85">
        <f t="shared" si="788"/>
        <v>21.25</v>
      </c>
      <c r="AF226" s="85">
        <f t="shared" si="789"/>
        <v>250.07999999999998</v>
      </c>
      <c r="AG226" s="85">
        <f t="shared" si="790"/>
        <v>510</v>
      </c>
      <c r="AH226" s="85" t="str">
        <f>'Consumer Hardware Pricing'!AA234</f>
        <v>-</v>
      </c>
      <c r="AI226" s="85" t="str">
        <f t="shared" si="778"/>
        <v>-</v>
      </c>
      <c r="AJ226" s="85" t="str">
        <f t="shared" si="791"/>
        <v>-</v>
      </c>
      <c r="AK226" s="85" t="str">
        <f t="shared" si="792"/>
        <v>-</v>
      </c>
      <c r="AL226" s="85" t="str">
        <f t="shared" si="793"/>
        <v>-</v>
      </c>
      <c r="AM226" s="85">
        <f>'Consumer Hardware Pricing'!AC234</f>
        <v>0</v>
      </c>
      <c r="AN226" s="85">
        <f t="shared" si="779"/>
        <v>31.67</v>
      </c>
      <c r="AO226" s="85">
        <f>'Consumer Hardware Pricing'!AD234</f>
        <v>10.42</v>
      </c>
      <c r="AP226" s="85">
        <f t="shared" si="794"/>
        <v>21.25</v>
      </c>
      <c r="AQ226" s="85">
        <f t="shared" si="795"/>
        <v>250.07999999999998</v>
      </c>
      <c r="AR226" s="85">
        <f t="shared" si="796"/>
        <v>510</v>
      </c>
      <c r="AS226" s="85" t="str">
        <f>'Consumer Hardware Pricing'!AF234</f>
        <v>-</v>
      </c>
      <c r="AT226" s="85" t="str">
        <f t="shared" si="780"/>
        <v>-</v>
      </c>
      <c r="AU226" s="85" t="str">
        <f t="shared" si="797"/>
        <v>-</v>
      </c>
      <c r="AV226" s="85" t="str">
        <f t="shared" si="798"/>
        <v>-</v>
      </c>
      <c r="AW226" s="85" t="str">
        <f t="shared" si="799"/>
        <v>-</v>
      </c>
      <c r="AX226" s="85" t="str">
        <f>'Consumer Hardware Pricing'!AH234</f>
        <v>-</v>
      </c>
      <c r="AY226" s="85" t="str">
        <f t="shared" si="781"/>
        <v>-</v>
      </c>
      <c r="AZ226" s="85" t="str">
        <f>'Consumer Hardware Pricing'!AI234</f>
        <v>-</v>
      </c>
      <c r="BA226" s="85" t="str">
        <f t="shared" si="620"/>
        <v>-</v>
      </c>
      <c r="BB226" s="85" t="str">
        <f t="shared" si="621"/>
        <v>-</v>
      </c>
      <c r="BC226" s="85" t="str">
        <f t="shared" si="637"/>
        <v>-</v>
      </c>
      <c r="BD226" s="85" t="str">
        <f>'Consumer Hardware Pricing'!AL234</f>
        <v>-</v>
      </c>
      <c r="BE226" s="85" t="str">
        <f t="shared" si="782"/>
        <v>-</v>
      </c>
      <c r="BF226" s="85" t="str">
        <f>'Consumer Hardware Pricing'!AM234</f>
        <v>-</v>
      </c>
      <c r="BG226" s="85" t="str">
        <f t="shared" si="622"/>
        <v>-</v>
      </c>
      <c r="BH226" s="85" t="str">
        <f t="shared" si="623"/>
        <v>-</v>
      </c>
      <c r="BI226" s="85" t="str">
        <f t="shared" si="638"/>
        <v>-</v>
      </c>
      <c r="BJ226" s="85" t="str">
        <f>'Consumer Hardware Pricing'!AP234</f>
        <v>-</v>
      </c>
      <c r="BK226" s="85" t="str">
        <f t="shared" si="783"/>
        <v>-</v>
      </c>
      <c r="BL226" s="85" t="str">
        <f>'Consumer Hardware Pricing'!AQ234</f>
        <v>-</v>
      </c>
      <c r="BM226" s="85" t="str">
        <f t="shared" si="624"/>
        <v>-</v>
      </c>
      <c r="BN226" s="85" t="str">
        <f t="shared" si="625"/>
        <v>-</v>
      </c>
      <c r="BO226" s="85" t="str">
        <f t="shared" si="639"/>
        <v>-</v>
      </c>
      <c r="BP226" s="85" t="str">
        <f>'Consumer Hardware Pricing'!AT234</f>
        <v>-</v>
      </c>
      <c r="BQ226" s="85" t="str">
        <f t="shared" si="784"/>
        <v>-</v>
      </c>
      <c r="BR226" s="85" t="str">
        <f>'Consumer Hardware Pricing'!AU234</f>
        <v>-</v>
      </c>
      <c r="BS226" s="85" t="str">
        <f t="shared" si="626"/>
        <v>-</v>
      </c>
      <c r="BT226" s="85" t="str">
        <f t="shared" si="627"/>
        <v>-</v>
      </c>
      <c r="BU226" s="85" t="str">
        <f t="shared" si="640"/>
        <v>-</v>
      </c>
    </row>
    <row r="227" spans="1:73" ht="30.15" customHeight="1" x14ac:dyDescent="0.25">
      <c r="A227" s="87" t="s">
        <v>34</v>
      </c>
      <c r="B227" s="88" t="s">
        <v>311</v>
      </c>
      <c r="C227" s="88" t="s">
        <v>305</v>
      </c>
      <c r="D227" s="85">
        <f>'Consumer Hardware Pricing'!L235</f>
        <v>760</v>
      </c>
      <c r="E227" s="85">
        <f>'Consumer Hardware Pricing'!M235</f>
        <v>760</v>
      </c>
      <c r="F227" s="85">
        <f>'Consumer Hardware Pricing'!N235</f>
        <v>0</v>
      </c>
      <c r="G227" s="85">
        <f t="shared" si="785"/>
        <v>31.67</v>
      </c>
      <c r="H227" s="85">
        <f>'Consumer Hardware Pricing'!O235</f>
        <v>10.42</v>
      </c>
      <c r="I227" s="85">
        <f t="shared" si="616"/>
        <v>21.25</v>
      </c>
      <c r="J227" s="85">
        <f t="shared" si="628"/>
        <v>250.07999999999998</v>
      </c>
      <c r="K227" s="85">
        <f t="shared" si="629"/>
        <v>510</v>
      </c>
      <c r="L227" s="85" t="str">
        <f>'Consumer Hardware Pricing'!Q235</f>
        <v>-</v>
      </c>
      <c r="M227" s="85" t="str">
        <f t="shared" si="786"/>
        <v>-</v>
      </c>
      <c r="N227" s="85" t="str">
        <f t="shared" si="617"/>
        <v>-</v>
      </c>
      <c r="O227" s="85" t="str">
        <f t="shared" si="618"/>
        <v>-</v>
      </c>
      <c r="P227" s="85" t="str">
        <f t="shared" si="630"/>
        <v>-</v>
      </c>
      <c r="Q227" s="85">
        <f>'Consumer Hardware Pricing'!S235</f>
        <v>0</v>
      </c>
      <c r="R227" s="85">
        <f t="shared" si="619"/>
        <v>31.67</v>
      </c>
      <c r="S227" s="85">
        <f>'Consumer Hardware Pricing'!T235</f>
        <v>10.42</v>
      </c>
      <c r="T227" s="129">
        <f t="shared" si="631"/>
        <v>21.25</v>
      </c>
      <c r="U227" s="129">
        <f t="shared" si="632"/>
        <v>250.07999999999998</v>
      </c>
      <c r="V227" s="85">
        <f t="shared" si="633"/>
        <v>510</v>
      </c>
      <c r="W227" s="129" t="str">
        <f>'Consumer Hardware Pricing'!V235</f>
        <v>-</v>
      </c>
      <c r="X227" s="129" t="str">
        <f t="shared" si="787"/>
        <v>-</v>
      </c>
      <c r="Y227" s="129" t="str">
        <f t="shared" si="634"/>
        <v>-</v>
      </c>
      <c r="Z227" s="129" t="str">
        <f t="shared" si="635"/>
        <v>-</v>
      </c>
      <c r="AA227" s="85" t="str">
        <f t="shared" si="636"/>
        <v>-</v>
      </c>
      <c r="AB227" s="85">
        <f>'Consumer Hardware Pricing'!X235</f>
        <v>0</v>
      </c>
      <c r="AC227" s="85">
        <f t="shared" si="777"/>
        <v>31.67</v>
      </c>
      <c r="AD227" s="85">
        <f>'Consumer Hardware Pricing'!Y235</f>
        <v>10.42</v>
      </c>
      <c r="AE227" s="85">
        <f t="shared" si="788"/>
        <v>21.25</v>
      </c>
      <c r="AF227" s="85">
        <f t="shared" si="789"/>
        <v>250.07999999999998</v>
      </c>
      <c r="AG227" s="85">
        <f t="shared" si="790"/>
        <v>510</v>
      </c>
      <c r="AH227" s="85" t="str">
        <f>'Consumer Hardware Pricing'!AA235</f>
        <v>-</v>
      </c>
      <c r="AI227" s="85" t="str">
        <f t="shared" si="778"/>
        <v>-</v>
      </c>
      <c r="AJ227" s="85" t="str">
        <f t="shared" si="791"/>
        <v>-</v>
      </c>
      <c r="AK227" s="85" t="str">
        <f t="shared" si="792"/>
        <v>-</v>
      </c>
      <c r="AL227" s="85" t="str">
        <f t="shared" si="793"/>
        <v>-</v>
      </c>
      <c r="AM227" s="85">
        <f>'Consumer Hardware Pricing'!AC235</f>
        <v>0</v>
      </c>
      <c r="AN227" s="85">
        <f t="shared" si="779"/>
        <v>31.67</v>
      </c>
      <c r="AO227" s="85">
        <f>'Consumer Hardware Pricing'!AD235</f>
        <v>10.42</v>
      </c>
      <c r="AP227" s="85">
        <f t="shared" si="794"/>
        <v>21.25</v>
      </c>
      <c r="AQ227" s="85">
        <f t="shared" si="795"/>
        <v>250.07999999999998</v>
      </c>
      <c r="AR227" s="85">
        <f t="shared" si="796"/>
        <v>510</v>
      </c>
      <c r="AS227" s="85" t="str">
        <f>'Consumer Hardware Pricing'!AF235</f>
        <v>-</v>
      </c>
      <c r="AT227" s="85" t="str">
        <f t="shared" si="780"/>
        <v>-</v>
      </c>
      <c r="AU227" s="85" t="str">
        <f t="shared" si="797"/>
        <v>-</v>
      </c>
      <c r="AV227" s="85" t="str">
        <f t="shared" si="798"/>
        <v>-</v>
      </c>
      <c r="AW227" s="85" t="str">
        <f t="shared" si="799"/>
        <v>-</v>
      </c>
      <c r="AX227" s="85" t="str">
        <f>'Consumer Hardware Pricing'!AH235</f>
        <v>-</v>
      </c>
      <c r="AY227" s="85" t="str">
        <f t="shared" si="781"/>
        <v>-</v>
      </c>
      <c r="AZ227" s="85" t="str">
        <f>'Consumer Hardware Pricing'!AI235</f>
        <v>-</v>
      </c>
      <c r="BA227" s="85" t="str">
        <f t="shared" si="620"/>
        <v>-</v>
      </c>
      <c r="BB227" s="85" t="str">
        <f t="shared" si="621"/>
        <v>-</v>
      </c>
      <c r="BC227" s="85" t="str">
        <f t="shared" si="637"/>
        <v>-</v>
      </c>
      <c r="BD227" s="85" t="str">
        <f>'Consumer Hardware Pricing'!AL235</f>
        <v>-</v>
      </c>
      <c r="BE227" s="85" t="str">
        <f t="shared" si="782"/>
        <v>-</v>
      </c>
      <c r="BF227" s="85" t="str">
        <f>'Consumer Hardware Pricing'!AM235</f>
        <v>-</v>
      </c>
      <c r="BG227" s="85" t="str">
        <f t="shared" si="622"/>
        <v>-</v>
      </c>
      <c r="BH227" s="85" t="str">
        <f t="shared" si="623"/>
        <v>-</v>
      </c>
      <c r="BI227" s="85" t="str">
        <f t="shared" si="638"/>
        <v>-</v>
      </c>
      <c r="BJ227" s="85" t="str">
        <f>'Consumer Hardware Pricing'!AP235</f>
        <v>-</v>
      </c>
      <c r="BK227" s="85" t="str">
        <f t="shared" si="783"/>
        <v>-</v>
      </c>
      <c r="BL227" s="85" t="str">
        <f>'Consumer Hardware Pricing'!AQ235</f>
        <v>-</v>
      </c>
      <c r="BM227" s="85" t="str">
        <f t="shared" si="624"/>
        <v>-</v>
      </c>
      <c r="BN227" s="85" t="str">
        <f t="shared" si="625"/>
        <v>-</v>
      </c>
      <c r="BO227" s="85" t="str">
        <f t="shared" si="639"/>
        <v>-</v>
      </c>
      <c r="BP227" s="85" t="str">
        <f>'Consumer Hardware Pricing'!AT235</f>
        <v>-</v>
      </c>
      <c r="BQ227" s="85" t="str">
        <f t="shared" si="784"/>
        <v>-</v>
      </c>
      <c r="BR227" s="85" t="str">
        <f>'Consumer Hardware Pricing'!AU235</f>
        <v>-</v>
      </c>
      <c r="BS227" s="85" t="str">
        <f t="shared" si="626"/>
        <v>-</v>
      </c>
      <c r="BT227" s="85" t="str">
        <f t="shared" si="627"/>
        <v>-</v>
      </c>
      <c r="BU227" s="85" t="str">
        <f t="shared" si="640"/>
        <v>-</v>
      </c>
    </row>
    <row r="228" spans="1:73" ht="30.15" customHeight="1" x14ac:dyDescent="0.25">
      <c r="A228" s="87" t="s">
        <v>34</v>
      </c>
      <c r="B228" s="88" t="s">
        <v>383</v>
      </c>
      <c r="C228" s="88" t="s">
        <v>305</v>
      </c>
      <c r="D228" s="85">
        <f>'Consumer Hardware Pricing'!L236</f>
        <v>760</v>
      </c>
      <c r="E228" s="85">
        <f>'Consumer Hardware Pricing'!M236</f>
        <v>760</v>
      </c>
      <c r="F228" s="85">
        <f>'Consumer Hardware Pricing'!N236</f>
        <v>0</v>
      </c>
      <c r="G228" s="85">
        <f t="shared" si="785"/>
        <v>31.67</v>
      </c>
      <c r="H228" s="85">
        <f>'Consumer Hardware Pricing'!O236</f>
        <v>10.42</v>
      </c>
      <c r="I228" s="85">
        <f t="shared" si="616"/>
        <v>21.25</v>
      </c>
      <c r="J228" s="85">
        <f t="shared" si="628"/>
        <v>250.07999999999998</v>
      </c>
      <c r="K228" s="85">
        <f t="shared" si="629"/>
        <v>510</v>
      </c>
      <c r="L228" s="85" t="str">
        <f>'Consumer Hardware Pricing'!Q236</f>
        <v>-</v>
      </c>
      <c r="M228" s="85" t="str">
        <f t="shared" si="786"/>
        <v>-</v>
      </c>
      <c r="N228" s="85" t="str">
        <f t="shared" si="617"/>
        <v>-</v>
      </c>
      <c r="O228" s="85" t="str">
        <f t="shared" si="618"/>
        <v>-</v>
      </c>
      <c r="P228" s="85" t="str">
        <f t="shared" si="630"/>
        <v>-</v>
      </c>
      <c r="Q228" s="85">
        <f>'Consumer Hardware Pricing'!S236</f>
        <v>0</v>
      </c>
      <c r="R228" s="85">
        <f t="shared" si="619"/>
        <v>31.67</v>
      </c>
      <c r="S228" s="85">
        <f>'Consumer Hardware Pricing'!T236</f>
        <v>10.42</v>
      </c>
      <c r="T228" s="129">
        <f t="shared" si="631"/>
        <v>21.25</v>
      </c>
      <c r="U228" s="129">
        <f t="shared" si="632"/>
        <v>250.07999999999998</v>
      </c>
      <c r="V228" s="85">
        <f t="shared" si="633"/>
        <v>510</v>
      </c>
      <c r="W228" s="129" t="str">
        <f>'Consumer Hardware Pricing'!V236</f>
        <v>-</v>
      </c>
      <c r="X228" s="129" t="str">
        <f t="shared" si="787"/>
        <v>-</v>
      </c>
      <c r="Y228" s="129" t="str">
        <f t="shared" si="634"/>
        <v>-</v>
      </c>
      <c r="Z228" s="129" t="str">
        <f t="shared" si="635"/>
        <v>-</v>
      </c>
      <c r="AA228" s="85" t="str">
        <f t="shared" si="636"/>
        <v>-</v>
      </c>
      <c r="AB228" s="85">
        <f>'Consumer Hardware Pricing'!X236</f>
        <v>0</v>
      </c>
      <c r="AC228" s="85">
        <f t="shared" si="777"/>
        <v>31.67</v>
      </c>
      <c r="AD228" s="85">
        <f>'Consumer Hardware Pricing'!Y236</f>
        <v>10.42</v>
      </c>
      <c r="AE228" s="85">
        <f t="shared" si="788"/>
        <v>21.25</v>
      </c>
      <c r="AF228" s="85">
        <f t="shared" si="789"/>
        <v>250.07999999999998</v>
      </c>
      <c r="AG228" s="85">
        <f t="shared" si="790"/>
        <v>510</v>
      </c>
      <c r="AH228" s="85" t="str">
        <f>'Consumer Hardware Pricing'!AA236</f>
        <v>-</v>
      </c>
      <c r="AI228" s="85" t="str">
        <f t="shared" si="778"/>
        <v>-</v>
      </c>
      <c r="AJ228" s="85" t="str">
        <f t="shared" si="791"/>
        <v>-</v>
      </c>
      <c r="AK228" s="85" t="str">
        <f t="shared" si="792"/>
        <v>-</v>
      </c>
      <c r="AL228" s="85" t="str">
        <f t="shared" si="793"/>
        <v>-</v>
      </c>
      <c r="AM228" s="85">
        <f>'Consumer Hardware Pricing'!AC236</f>
        <v>0</v>
      </c>
      <c r="AN228" s="85">
        <f t="shared" si="779"/>
        <v>31.67</v>
      </c>
      <c r="AO228" s="85">
        <f>'Consumer Hardware Pricing'!AD236</f>
        <v>10.42</v>
      </c>
      <c r="AP228" s="85">
        <f t="shared" si="794"/>
        <v>21.25</v>
      </c>
      <c r="AQ228" s="85">
        <f t="shared" si="795"/>
        <v>250.07999999999998</v>
      </c>
      <c r="AR228" s="85">
        <f t="shared" si="796"/>
        <v>510</v>
      </c>
      <c r="AS228" s="85" t="str">
        <f>'Consumer Hardware Pricing'!AF236</f>
        <v>-</v>
      </c>
      <c r="AT228" s="85" t="str">
        <f t="shared" si="780"/>
        <v>-</v>
      </c>
      <c r="AU228" s="85" t="str">
        <f t="shared" si="797"/>
        <v>-</v>
      </c>
      <c r="AV228" s="85" t="str">
        <f t="shared" si="798"/>
        <v>-</v>
      </c>
      <c r="AW228" s="85" t="str">
        <f t="shared" si="799"/>
        <v>-</v>
      </c>
      <c r="AX228" s="85" t="str">
        <f>'Consumer Hardware Pricing'!AH236</f>
        <v>-</v>
      </c>
      <c r="AY228" s="85" t="str">
        <f t="shared" si="781"/>
        <v>-</v>
      </c>
      <c r="AZ228" s="85" t="str">
        <f>'Consumer Hardware Pricing'!AI236</f>
        <v>-</v>
      </c>
      <c r="BA228" s="85" t="str">
        <f t="shared" si="620"/>
        <v>-</v>
      </c>
      <c r="BB228" s="85" t="str">
        <f t="shared" si="621"/>
        <v>-</v>
      </c>
      <c r="BC228" s="85" t="str">
        <f t="shared" si="637"/>
        <v>-</v>
      </c>
      <c r="BD228" s="85" t="str">
        <f>'Consumer Hardware Pricing'!AL236</f>
        <v>-</v>
      </c>
      <c r="BE228" s="85" t="str">
        <f t="shared" si="782"/>
        <v>-</v>
      </c>
      <c r="BF228" s="85" t="str">
        <f>'Consumer Hardware Pricing'!AM236</f>
        <v>-</v>
      </c>
      <c r="BG228" s="85" t="str">
        <f t="shared" si="622"/>
        <v>-</v>
      </c>
      <c r="BH228" s="85" t="str">
        <f t="shared" si="623"/>
        <v>-</v>
      </c>
      <c r="BI228" s="85" t="str">
        <f t="shared" si="638"/>
        <v>-</v>
      </c>
      <c r="BJ228" s="85" t="str">
        <f>'Consumer Hardware Pricing'!AP236</f>
        <v>-</v>
      </c>
      <c r="BK228" s="85" t="str">
        <f t="shared" si="783"/>
        <v>-</v>
      </c>
      <c r="BL228" s="85" t="str">
        <f>'Consumer Hardware Pricing'!AQ236</f>
        <v>-</v>
      </c>
      <c r="BM228" s="85" t="str">
        <f t="shared" si="624"/>
        <v>-</v>
      </c>
      <c r="BN228" s="85" t="str">
        <f t="shared" si="625"/>
        <v>-</v>
      </c>
      <c r="BO228" s="85" t="str">
        <f t="shared" si="639"/>
        <v>-</v>
      </c>
      <c r="BP228" s="85" t="str">
        <f>'Consumer Hardware Pricing'!AT236</f>
        <v>-</v>
      </c>
      <c r="BQ228" s="85" t="str">
        <f t="shared" si="784"/>
        <v>-</v>
      </c>
      <c r="BR228" s="85" t="str">
        <f>'Consumer Hardware Pricing'!AU236</f>
        <v>-</v>
      </c>
      <c r="BS228" s="85" t="str">
        <f t="shared" si="626"/>
        <v>-</v>
      </c>
      <c r="BT228" s="85" t="str">
        <f t="shared" si="627"/>
        <v>-</v>
      </c>
      <c r="BU228" s="85" t="str">
        <f t="shared" si="640"/>
        <v>-</v>
      </c>
    </row>
    <row r="229" spans="1:73" ht="30.15" customHeight="1" x14ac:dyDescent="0.25">
      <c r="A229" s="87" t="s">
        <v>34</v>
      </c>
      <c r="B229" s="88" t="s">
        <v>312</v>
      </c>
      <c r="C229" s="88" t="s">
        <v>305</v>
      </c>
      <c r="D229" s="85">
        <f>'Consumer Hardware Pricing'!L237</f>
        <v>760</v>
      </c>
      <c r="E229" s="85">
        <f>'Consumer Hardware Pricing'!M237</f>
        <v>760</v>
      </c>
      <c r="F229" s="85">
        <f>'Consumer Hardware Pricing'!N237</f>
        <v>0</v>
      </c>
      <c r="G229" s="85">
        <f t="shared" si="785"/>
        <v>31.67</v>
      </c>
      <c r="H229" s="85">
        <f>'Consumer Hardware Pricing'!O237</f>
        <v>10.42</v>
      </c>
      <c r="I229" s="85">
        <f t="shared" si="616"/>
        <v>21.25</v>
      </c>
      <c r="J229" s="85">
        <f t="shared" si="628"/>
        <v>250.07999999999998</v>
      </c>
      <c r="K229" s="85">
        <f t="shared" si="629"/>
        <v>510</v>
      </c>
      <c r="L229" s="85" t="str">
        <f>'Consumer Hardware Pricing'!Q237</f>
        <v>-</v>
      </c>
      <c r="M229" s="85" t="str">
        <f t="shared" si="786"/>
        <v>-</v>
      </c>
      <c r="N229" s="85" t="str">
        <f t="shared" si="617"/>
        <v>-</v>
      </c>
      <c r="O229" s="85" t="str">
        <f t="shared" si="618"/>
        <v>-</v>
      </c>
      <c r="P229" s="85" t="str">
        <f t="shared" si="630"/>
        <v>-</v>
      </c>
      <c r="Q229" s="85">
        <f>'Consumer Hardware Pricing'!S237</f>
        <v>0</v>
      </c>
      <c r="R229" s="85">
        <f t="shared" si="619"/>
        <v>31.67</v>
      </c>
      <c r="S229" s="85">
        <f>'Consumer Hardware Pricing'!T237</f>
        <v>10.42</v>
      </c>
      <c r="T229" s="129">
        <f t="shared" si="631"/>
        <v>21.25</v>
      </c>
      <c r="U229" s="129">
        <f t="shared" si="632"/>
        <v>250.07999999999998</v>
      </c>
      <c r="V229" s="85">
        <f t="shared" si="633"/>
        <v>510</v>
      </c>
      <c r="W229" s="129" t="str">
        <f>'Consumer Hardware Pricing'!V237</f>
        <v>-</v>
      </c>
      <c r="X229" s="129" t="str">
        <f t="shared" si="787"/>
        <v>-</v>
      </c>
      <c r="Y229" s="129" t="str">
        <f t="shared" si="634"/>
        <v>-</v>
      </c>
      <c r="Z229" s="129" t="str">
        <f t="shared" si="635"/>
        <v>-</v>
      </c>
      <c r="AA229" s="85" t="str">
        <f t="shared" si="636"/>
        <v>-</v>
      </c>
      <c r="AB229" s="85">
        <f>'Consumer Hardware Pricing'!X237</f>
        <v>0</v>
      </c>
      <c r="AC229" s="85">
        <f t="shared" si="777"/>
        <v>31.67</v>
      </c>
      <c r="AD229" s="85">
        <f>'Consumer Hardware Pricing'!Y237</f>
        <v>10.42</v>
      </c>
      <c r="AE229" s="85">
        <f t="shared" si="788"/>
        <v>21.25</v>
      </c>
      <c r="AF229" s="85">
        <f t="shared" si="789"/>
        <v>250.07999999999998</v>
      </c>
      <c r="AG229" s="85">
        <f t="shared" si="790"/>
        <v>510</v>
      </c>
      <c r="AH229" s="85" t="str">
        <f>'Consumer Hardware Pricing'!AA237</f>
        <v>-</v>
      </c>
      <c r="AI229" s="85" t="str">
        <f t="shared" si="778"/>
        <v>-</v>
      </c>
      <c r="AJ229" s="85" t="str">
        <f t="shared" si="791"/>
        <v>-</v>
      </c>
      <c r="AK229" s="85" t="str">
        <f t="shared" si="792"/>
        <v>-</v>
      </c>
      <c r="AL229" s="85" t="str">
        <f t="shared" si="793"/>
        <v>-</v>
      </c>
      <c r="AM229" s="85">
        <f>'Consumer Hardware Pricing'!AC237</f>
        <v>0</v>
      </c>
      <c r="AN229" s="85">
        <f t="shared" si="779"/>
        <v>31.67</v>
      </c>
      <c r="AO229" s="85">
        <f>'Consumer Hardware Pricing'!AD237</f>
        <v>10.42</v>
      </c>
      <c r="AP229" s="85">
        <f t="shared" si="794"/>
        <v>21.25</v>
      </c>
      <c r="AQ229" s="85">
        <f t="shared" si="795"/>
        <v>250.07999999999998</v>
      </c>
      <c r="AR229" s="85">
        <f t="shared" si="796"/>
        <v>510</v>
      </c>
      <c r="AS229" s="85" t="str">
        <f>'Consumer Hardware Pricing'!AF237</f>
        <v>-</v>
      </c>
      <c r="AT229" s="85" t="str">
        <f t="shared" si="780"/>
        <v>-</v>
      </c>
      <c r="AU229" s="85" t="str">
        <f t="shared" si="797"/>
        <v>-</v>
      </c>
      <c r="AV229" s="85" t="str">
        <f t="shared" si="798"/>
        <v>-</v>
      </c>
      <c r="AW229" s="85" t="str">
        <f t="shared" si="799"/>
        <v>-</v>
      </c>
      <c r="AX229" s="85" t="str">
        <f>'Consumer Hardware Pricing'!AH237</f>
        <v>-</v>
      </c>
      <c r="AY229" s="85" t="str">
        <f t="shared" si="781"/>
        <v>-</v>
      </c>
      <c r="AZ229" s="85" t="str">
        <f>'Consumer Hardware Pricing'!AI237</f>
        <v>-</v>
      </c>
      <c r="BA229" s="85" t="str">
        <f t="shared" si="620"/>
        <v>-</v>
      </c>
      <c r="BB229" s="85" t="str">
        <f t="shared" si="621"/>
        <v>-</v>
      </c>
      <c r="BC229" s="85" t="str">
        <f t="shared" si="637"/>
        <v>-</v>
      </c>
      <c r="BD229" s="85" t="str">
        <f>'Consumer Hardware Pricing'!AL237</f>
        <v>-</v>
      </c>
      <c r="BE229" s="85" t="str">
        <f t="shared" si="782"/>
        <v>-</v>
      </c>
      <c r="BF229" s="85" t="str">
        <f>'Consumer Hardware Pricing'!AM237</f>
        <v>-</v>
      </c>
      <c r="BG229" s="85" t="str">
        <f t="shared" si="622"/>
        <v>-</v>
      </c>
      <c r="BH229" s="85" t="str">
        <f t="shared" si="623"/>
        <v>-</v>
      </c>
      <c r="BI229" s="85" t="str">
        <f t="shared" si="638"/>
        <v>-</v>
      </c>
      <c r="BJ229" s="85" t="str">
        <f>'Consumer Hardware Pricing'!AP237</f>
        <v>-</v>
      </c>
      <c r="BK229" s="85" t="str">
        <f t="shared" si="783"/>
        <v>-</v>
      </c>
      <c r="BL229" s="85" t="str">
        <f>'Consumer Hardware Pricing'!AQ237</f>
        <v>-</v>
      </c>
      <c r="BM229" s="85" t="str">
        <f t="shared" si="624"/>
        <v>-</v>
      </c>
      <c r="BN229" s="85" t="str">
        <f t="shared" si="625"/>
        <v>-</v>
      </c>
      <c r="BO229" s="85" t="str">
        <f t="shared" si="639"/>
        <v>-</v>
      </c>
      <c r="BP229" s="85" t="str">
        <f>'Consumer Hardware Pricing'!AT237</f>
        <v>-</v>
      </c>
      <c r="BQ229" s="85" t="str">
        <f t="shared" si="784"/>
        <v>-</v>
      </c>
      <c r="BR229" s="85" t="str">
        <f>'Consumer Hardware Pricing'!AU237</f>
        <v>-</v>
      </c>
      <c r="BS229" s="85" t="str">
        <f t="shared" si="626"/>
        <v>-</v>
      </c>
      <c r="BT229" s="85" t="str">
        <f t="shared" si="627"/>
        <v>-</v>
      </c>
      <c r="BU229" s="85" t="str">
        <f t="shared" si="640"/>
        <v>-</v>
      </c>
    </row>
    <row r="230" spans="1:73" ht="30.15" customHeight="1" x14ac:dyDescent="0.25">
      <c r="A230" s="87" t="s">
        <v>34</v>
      </c>
      <c r="B230" s="88" t="s">
        <v>719</v>
      </c>
      <c r="C230" s="88" t="s">
        <v>721</v>
      </c>
      <c r="D230" s="85">
        <f>'Consumer Hardware Pricing'!L238</f>
        <v>840</v>
      </c>
      <c r="E230" s="85">
        <f>'Consumer Hardware Pricing'!M238</f>
        <v>840</v>
      </c>
      <c r="F230" s="85">
        <f>'Consumer Hardware Pricing'!N238</f>
        <v>0</v>
      </c>
      <c r="G230" s="85">
        <f t="shared" si="785"/>
        <v>35</v>
      </c>
      <c r="H230" s="85">
        <f>'Consumer Hardware Pricing'!O238</f>
        <v>10.42</v>
      </c>
      <c r="I230" s="85">
        <f t="shared" si="616"/>
        <v>24.58</v>
      </c>
      <c r="J230" s="85">
        <f t="shared" si="628"/>
        <v>250.07999999999998</v>
      </c>
      <c r="K230" s="85">
        <f t="shared" si="629"/>
        <v>589.91999999999996</v>
      </c>
      <c r="L230" s="85" t="str">
        <f>'Consumer Hardware Pricing'!Q238</f>
        <v>-</v>
      </c>
      <c r="M230" s="85" t="str">
        <f t="shared" si="786"/>
        <v>-</v>
      </c>
      <c r="N230" s="85" t="str">
        <f t="shared" si="617"/>
        <v>-</v>
      </c>
      <c r="O230" s="85" t="str">
        <f t="shared" si="618"/>
        <v>-</v>
      </c>
      <c r="P230" s="85" t="str">
        <f t="shared" si="630"/>
        <v>-</v>
      </c>
      <c r="Q230" s="85">
        <f>'Consumer Hardware Pricing'!S238</f>
        <v>0</v>
      </c>
      <c r="R230" s="85">
        <f t="shared" si="619"/>
        <v>35</v>
      </c>
      <c r="S230" s="85">
        <f>'Consumer Hardware Pricing'!T238</f>
        <v>10.42</v>
      </c>
      <c r="T230" s="129">
        <f t="shared" si="631"/>
        <v>24.58</v>
      </c>
      <c r="U230" s="129">
        <f t="shared" si="632"/>
        <v>250.07999999999998</v>
      </c>
      <c r="V230" s="85">
        <f t="shared" si="633"/>
        <v>589.91999999999996</v>
      </c>
      <c r="W230" s="129" t="str">
        <f>'Consumer Hardware Pricing'!V238</f>
        <v>-</v>
      </c>
      <c r="X230" s="129" t="str">
        <f t="shared" si="787"/>
        <v>-</v>
      </c>
      <c r="Y230" s="129" t="str">
        <f t="shared" si="634"/>
        <v>-</v>
      </c>
      <c r="Z230" s="129" t="str">
        <f t="shared" si="635"/>
        <v>-</v>
      </c>
      <c r="AA230" s="85" t="str">
        <f t="shared" si="636"/>
        <v>-</v>
      </c>
      <c r="AB230" s="85">
        <f>'Consumer Hardware Pricing'!X238</f>
        <v>0</v>
      </c>
      <c r="AC230" s="85">
        <f t="shared" si="777"/>
        <v>35</v>
      </c>
      <c r="AD230" s="85">
        <f>'Consumer Hardware Pricing'!Y238</f>
        <v>10.42</v>
      </c>
      <c r="AE230" s="85">
        <f t="shared" si="788"/>
        <v>24.58</v>
      </c>
      <c r="AF230" s="85">
        <f t="shared" si="789"/>
        <v>250.07999999999998</v>
      </c>
      <c r="AG230" s="85">
        <f t="shared" si="790"/>
        <v>589.91999999999996</v>
      </c>
      <c r="AH230" s="85" t="str">
        <f>'Consumer Hardware Pricing'!AA238</f>
        <v>-</v>
      </c>
      <c r="AI230" s="85" t="str">
        <f t="shared" si="778"/>
        <v>-</v>
      </c>
      <c r="AJ230" s="85" t="str">
        <f t="shared" si="791"/>
        <v>-</v>
      </c>
      <c r="AK230" s="85" t="str">
        <f t="shared" si="792"/>
        <v>-</v>
      </c>
      <c r="AL230" s="85" t="str">
        <f t="shared" si="793"/>
        <v>-</v>
      </c>
      <c r="AM230" s="85">
        <f>'Consumer Hardware Pricing'!AC238</f>
        <v>0</v>
      </c>
      <c r="AN230" s="85">
        <f t="shared" si="779"/>
        <v>35</v>
      </c>
      <c r="AO230" s="85">
        <f>'Consumer Hardware Pricing'!AD238</f>
        <v>10.42</v>
      </c>
      <c r="AP230" s="85">
        <f t="shared" si="794"/>
        <v>24.58</v>
      </c>
      <c r="AQ230" s="85">
        <f t="shared" si="795"/>
        <v>250.07999999999998</v>
      </c>
      <c r="AR230" s="85">
        <f t="shared" si="796"/>
        <v>589.91999999999996</v>
      </c>
      <c r="AS230" s="85" t="str">
        <f>'Consumer Hardware Pricing'!AF238</f>
        <v>-</v>
      </c>
      <c r="AT230" s="85" t="str">
        <f t="shared" si="780"/>
        <v>-</v>
      </c>
      <c r="AU230" s="85" t="str">
        <f t="shared" si="797"/>
        <v>-</v>
      </c>
      <c r="AV230" s="85" t="str">
        <f t="shared" si="798"/>
        <v>-</v>
      </c>
      <c r="AW230" s="85" t="str">
        <f t="shared" si="799"/>
        <v>-</v>
      </c>
      <c r="AX230" s="85" t="str">
        <f>'Consumer Hardware Pricing'!AH238</f>
        <v>-</v>
      </c>
      <c r="AY230" s="85" t="str">
        <f t="shared" si="781"/>
        <v>-</v>
      </c>
      <c r="AZ230" s="85" t="str">
        <f>'Consumer Hardware Pricing'!AI238</f>
        <v>-</v>
      </c>
      <c r="BA230" s="85" t="str">
        <f t="shared" si="620"/>
        <v>-</v>
      </c>
      <c r="BB230" s="85" t="str">
        <f t="shared" si="621"/>
        <v>-</v>
      </c>
      <c r="BC230" s="85" t="str">
        <f t="shared" si="637"/>
        <v>-</v>
      </c>
      <c r="BD230" s="85" t="str">
        <f>'Consumer Hardware Pricing'!AL238</f>
        <v>-</v>
      </c>
      <c r="BE230" s="85" t="str">
        <f t="shared" si="782"/>
        <v>-</v>
      </c>
      <c r="BF230" s="85" t="str">
        <f>'Consumer Hardware Pricing'!AM238</f>
        <v>-</v>
      </c>
      <c r="BG230" s="85" t="str">
        <f t="shared" si="622"/>
        <v>-</v>
      </c>
      <c r="BH230" s="85" t="str">
        <f t="shared" si="623"/>
        <v>-</v>
      </c>
      <c r="BI230" s="85" t="str">
        <f t="shared" si="638"/>
        <v>-</v>
      </c>
      <c r="BJ230" s="85" t="str">
        <f>'Consumer Hardware Pricing'!AP238</f>
        <v>-</v>
      </c>
      <c r="BK230" s="85" t="str">
        <f t="shared" si="783"/>
        <v>-</v>
      </c>
      <c r="BL230" s="85" t="str">
        <f>'Consumer Hardware Pricing'!AQ238</f>
        <v>-</v>
      </c>
      <c r="BM230" s="85" t="str">
        <f t="shared" si="624"/>
        <v>-</v>
      </c>
      <c r="BN230" s="85" t="str">
        <f t="shared" si="625"/>
        <v>-</v>
      </c>
      <c r="BO230" s="85" t="str">
        <f t="shared" si="639"/>
        <v>-</v>
      </c>
      <c r="BP230" s="85" t="str">
        <f>'Consumer Hardware Pricing'!AT238</f>
        <v>-</v>
      </c>
      <c r="BQ230" s="85" t="str">
        <f t="shared" si="784"/>
        <v>-</v>
      </c>
      <c r="BR230" s="85" t="str">
        <f>'Consumer Hardware Pricing'!AU238</f>
        <v>-</v>
      </c>
      <c r="BS230" s="85" t="str">
        <f t="shared" si="626"/>
        <v>-</v>
      </c>
      <c r="BT230" s="85" t="str">
        <f t="shared" si="627"/>
        <v>-</v>
      </c>
      <c r="BU230" s="85" t="str">
        <f t="shared" si="640"/>
        <v>-</v>
      </c>
    </row>
    <row r="231" spans="1:73" ht="30.15" customHeight="1" x14ac:dyDescent="0.25">
      <c r="A231" s="87" t="s">
        <v>34</v>
      </c>
      <c r="B231" s="88" t="s">
        <v>720</v>
      </c>
      <c r="C231" s="88" t="s">
        <v>721</v>
      </c>
      <c r="D231" s="85">
        <f>'Consumer Hardware Pricing'!L239</f>
        <v>840</v>
      </c>
      <c r="E231" s="85">
        <f>'Consumer Hardware Pricing'!M239</f>
        <v>840</v>
      </c>
      <c r="F231" s="85">
        <f>'Consumer Hardware Pricing'!N239</f>
        <v>0</v>
      </c>
      <c r="G231" s="85">
        <f t="shared" si="785"/>
        <v>35</v>
      </c>
      <c r="H231" s="85">
        <f>'Consumer Hardware Pricing'!O239</f>
        <v>10.42</v>
      </c>
      <c r="I231" s="85">
        <f t="shared" si="616"/>
        <v>24.58</v>
      </c>
      <c r="J231" s="85">
        <f t="shared" si="628"/>
        <v>250.07999999999998</v>
      </c>
      <c r="K231" s="85">
        <f t="shared" si="629"/>
        <v>589.91999999999996</v>
      </c>
      <c r="L231" s="85" t="str">
        <f>'Consumer Hardware Pricing'!Q239</f>
        <v>-</v>
      </c>
      <c r="M231" s="85" t="str">
        <f t="shared" si="786"/>
        <v>-</v>
      </c>
      <c r="N231" s="85" t="str">
        <f t="shared" si="617"/>
        <v>-</v>
      </c>
      <c r="O231" s="85" t="str">
        <f t="shared" si="618"/>
        <v>-</v>
      </c>
      <c r="P231" s="85" t="str">
        <f t="shared" si="630"/>
        <v>-</v>
      </c>
      <c r="Q231" s="85">
        <f>'Consumer Hardware Pricing'!S239</f>
        <v>0</v>
      </c>
      <c r="R231" s="85">
        <f t="shared" si="619"/>
        <v>35</v>
      </c>
      <c r="S231" s="85">
        <f>'Consumer Hardware Pricing'!T239</f>
        <v>10.42</v>
      </c>
      <c r="T231" s="129">
        <f t="shared" si="631"/>
        <v>24.58</v>
      </c>
      <c r="U231" s="129">
        <f t="shared" si="632"/>
        <v>250.07999999999998</v>
      </c>
      <c r="V231" s="85">
        <f t="shared" si="633"/>
        <v>589.91999999999996</v>
      </c>
      <c r="W231" s="129" t="str">
        <f>'Consumer Hardware Pricing'!V239</f>
        <v>-</v>
      </c>
      <c r="X231" s="129" t="str">
        <f t="shared" si="787"/>
        <v>-</v>
      </c>
      <c r="Y231" s="129" t="str">
        <f t="shared" si="634"/>
        <v>-</v>
      </c>
      <c r="Z231" s="129" t="str">
        <f t="shared" si="635"/>
        <v>-</v>
      </c>
      <c r="AA231" s="85" t="str">
        <f t="shared" si="636"/>
        <v>-</v>
      </c>
      <c r="AB231" s="85">
        <f>'Consumer Hardware Pricing'!X239</f>
        <v>0</v>
      </c>
      <c r="AC231" s="85">
        <f t="shared" si="777"/>
        <v>35</v>
      </c>
      <c r="AD231" s="85">
        <f>'Consumer Hardware Pricing'!Y239</f>
        <v>10.42</v>
      </c>
      <c r="AE231" s="85">
        <f t="shared" si="788"/>
        <v>24.58</v>
      </c>
      <c r="AF231" s="85">
        <f t="shared" si="789"/>
        <v>250.07999999999998</v>
      </c>
      <c r="AG231" s="85">
        <f t="shared" si="790"/>
        <v>589.91999999999996</v>
      </c>
      <c r="AH231" s="85" t="str">
        <f>'Consumer Hardware Pricing'!AA239</f>
        <v>-</v>
      </c>
      <c r="AI231" s="85" t="str">
        <f t="shared" si="778"/>
        <v>-</v>
      </c>
      <c r="AJ231" s="85" t="str">
        <f t="shared" si="791"/>
        <v>-</v>
      </c>
      <c r="AK231" s="85" t="str">
        <f t="shared" si="792"/>
        <v>-</v>
      </c>
      <c r="AL231" s="85" t="str">
        <f t="shared" si="793"/>
        <v>-</v>
      </c>
      <c r="AM231" s="85">
        <f>'Consumer Hardware Pricing'!AC239</f>
        <v>0</v>
      </c>
      <c r="AN231" s="85">
        <f t="shared" si="779"/>
        <v>35</v>
      </c>
      <c r="AO231" s="85">
        <f>'Consumer Hardware Pricing'!AD239</f>
        <v>10.42</v>
      </c>
      <c r="AP231" s="85">
        <f t="shared" si="794"/>
        <v>24.58</v>
      </c>
      <c r="AQ231" s="85">
        <f t="shared" si="795"/>
        <v>250.07999999999998</v>
      </c>
      <c r="AR231" s="85">
        <f t="shared" si="796"/>
        <v>589.91999999999996</v>
      </c>
      <c r="AS231" s="85" t="str">
        <f>'Consumer Hardware Pricing'!AF239</f>
        <v>-</v>
      </c>
      <c r="AT231" s="85" t="str">
        <f t="shared" si="780"/>
        <v>-</v>
      </c>
      <c r="AU231" s="85" t="str">
        <f t="shared" si="797"/>
        <v>-</v>
      </c>
      <c r="AV231" s="85" t="str">
        <f t="shared" si="798"/>
        <v>-</v>
      </c>
      <c r="AW231" s="85" t="str">
        <f t="shared" si="799"/>
        <v>-</v>
      </c>
      <c r="AX231" s="85" t="str">
        <f>'Consumer Hardware Pricing'!AH239</f>
        <v>-</v>
      </c>
      <c r="AY231" s="85" t="str">
        <f t="shared" si="781"/>
        <v>-</v>
      </c>
      <c r="AZ231" s="85" t="str">
        <f>'Consumer Hardware Pricing'!AI239</f>
        <v>-</v>
      </c>
      <c r="BA231" s="85" t="str">
        <f t="shared" si="620"/>
        <v>-</v>
      </c>
      <c r="BB231" s="85" t="str">
        <f t="shared" si="621"/>
        <v>-</v>
      </c>
      <c r="BC231" s="85" t="str">
        <f t="shared" si="637"/>
        <v>-</v>
      </c>
      <c r="BD231" s="85" t="str">
        <f>'Consumer Hardware Pricing'!AL239</f>
        <v>-</v>
      </c>
      <c r="BE231" s="85" t="str">
        <f t="shared" si="782"/>
        <v>-</v>
      </c>
      <c r="BF231" s="85" t="str">
        <f>'Consumer Hardware Pricing'!AM239</f>
        <v>-</v>
      </c>
      <c r="BG231" s="85" t="str">
        <f t="shared" si="622"/>
        <v>-</v>
      </c>
      <c r="BH231" s="85" t="str">
        <f t="shared" si="623"/>
        <v>-</v>
      </c>
      <c r="BI231" s="85" t="str">
        <f t="shared" si="638"/>
        <v>-</v>
      </c>
      <c r="BJ231" s="85" t="str">
        <f>'Consumer Hardware Pricing'!AP239</f>
        <v>-</v>
      </c>
      <c r="BK231" s="85" t="str">
        <f t="shared" si="783"/>
        <v>-</v>
      </c>
      <c r="BL231" s="85" t="str">
        <f>'Consumer Hardware Pricing'!AQ239</f>
        <v>-</v>
      </c>
      <c r="BM231" s="85" t="str">
        <f t="shared" si="624"/>
        <v>-</v>
      </c>
      <c r="BN231" s="85" t="str">
        <f t="shared" si="625"/>
        <v>-</v>
      </c>
      <c r="BO231" s="85" t="str">
        <f t="shared" si="639"/>
        <v>-</v>
      </c>
      <c r="BP231" s="85" t="str">
        <f>'Consumer Hardware Pricing'!AT239</f>
        <v>-</v>
      </c>
      <c r="BQ231" s="85" t="str">
        <f t="shared" si="784"/>
        <v>-</v>
      </c>
      <c r="BR231" s="85" t="str">
        <f>'Consumer Hardware Pricing'!AU239</f>
        <v>-</v>
      </c>
      <c r="BS231" s="85" t="str">
        <f t="shared" si="626"/>
        <v>-</v>
      </c>
      <c r="BT231" s="85" t="str">
        <f t="shared" si="627"/>
        <v>-</v>
      </c>
      <c r="BU231" s="85" t="str">
        <f t="shared" si="640"/>
        <v>-</v>
      </c>
    </row>
    <row r="232" spans="1:73" ht="30.15" customHeight="1" x14ac:dyDescent="0.25">
      <c r="A232" s="87" t="s">
        <v>34</v>
      </c>
      <c r="B232" s="130" t="s">
        <v>334</v>
      </c>
      <c r="C232" s="130" t="s">
        <v>335</v>
      </c>
      <c r="D232" s="85">
        <f>'Consumer Hardware Pricing'!L240</f>
        <v>1080</v>
      </c>
      <c r="E232" s="85">
        <f>'Consumer Hardware Pricing'!M240</f>
        <v>1080</v>
      </c>
      <c r="F232" s="85">
        <f>'Consumer Hardware Pricing'!N240</f>
        <v>0</v>
      </c>
      <c r="G232" s="85">
        <f t="shared" si="785"/>
        <v>45</v>
      </c>
      <c r="H232" s="85">
        <f>'Consumer Hardware Pricing'!O240</f>
        <v>25</v>
      </c>
      <c r="I232" s="85">
        <f t="shared" si="616"/>
        <v>20</v>
      </c>
      <c r="J232" s="85">
        <f t="shared" si="628"/>
        <v>600</v>
      </c>
      <c r="K232" s="85">
        <f t="shared" si="629"/>
        <v>480</v>
      </c>
      <c r="L232" s="85" t="str">
        <f>'Consumer Hardware Pricing'!Q240</f>
        <v>-</v>
      </c>
      <c r="M232" s="85" t="str">
        <f t="shared" si="786"/>
        <v>-</v>
      </c>
      <c r="N232" s="85" t="str">
        <f t="shared" si="617"/>
        <v>-</v>
      </c>
      <c r="O232" s="85" t="str">
        <f t="shared" si="618"/>
        <v>-</v>
      </c>
      <c r="P232" s="85" t="str">
        <f t="shared" si="630"/>
        <v>-</v>
      </c>
      <c r="Q232" s="85">
        <f>'Consumer Hardware Pricing'!S240</f>
        <v>0</v>
      </c>
      <c r="R232" s="85">
        <f t="shared" si="619"/>
        <v>45</v>
      </c>
      <c r="S232" s="85">
        <f>'Consumer Hardware Pricing'!T240</f>
        <v>25</v>
      </c>
      <c r="T232" s="129">
        <f t="shared" si="631"/>
        <v>20</v>
      </c>
      <c r="U232" s="129">
        <f t="shared" si="632"/>
        <v>600</v>
      </c>
      <c r="V232" s="85">
        <f t="shared" si="633"/>
        <v>480</v>
      </c>
      <c r="W232" s="129" t="str">
        <f>'Consumer Hardware Pricing'!V240</f>
        <v>-</v>
      </c>
      <c r="X232" s="129" t="str">
        <f t="shared" si="787"/>
        <v>-</v>
      </c>
      <c r="Y232" s="129" t="str">
        <f t="shared" si="634"/>
        <v>-</v>
      </c>
      <c r="Z232" s="129" t="str">
        <f t="shared" si="635"/>
        <v>-</v>
      </c>
      <c r="AA232" s="85" t="str">
        <f t="shared" si="636"/>
        <v>-</v>
      </c>
      <c r="AB232" s="85">
        <f>'Consumer Hardware Pricing'!X240</f>
        <v>0</v>
      </c>
      <c r="AC232" s="85">
        <f t="shared" si="777"/>
        <v>45</v>
      </c>
      <c r="AD232" s="85">
        <f>'Consumer Hardware Pricing'!Y240</f>
        <v>25</v>
      </c>
      <c r="AE232" s="85">
        <f t="shared" si="788"/>
        <v>20</v>
      </c>
      <c r="AF232" s="85">
        <f t="shared" si="789"/>
        <v>600</v>
      </c>
      <c r="AG232" s="85">
        <f t="shared" si="790"/>
        <v>480</v>
      </c>
      <c r="AH232" s="85" t="str">
        <f>'Consumer Hardware Pricing'!AA240</f>
        <v>-</v>
      </c>
      <c r="AI232" s="85" t="str">
        <f t="shared" si="778"/>
        <v>-</v>
      </c>
      <c r="AJ232" s="85" t="str">
        <f t="shared" si="791"/>
        <v>-</v>
      </c>
      <c r="AK232" s="85" t="str">
        <f t="shared" si="792"/>
        <v>-</v>
      </c>
      <c r="AL232" s="85" t="str">
        <f t="shared" si="793"/>
        <v>-</v>
      </c>
      <c r="AM232" s="85">
        <f>'Consumer Hardware Pricing'!AC240</f>
        <v>0</v>
      </c>
      <c r="AN232" s="85">
        <f t="shared" si="779"/>
        <v>45</v>
      </c>
      <c r="AO232" s="85">
        <f>'Consumer Hardware Pricing'!AD240</f>
        <v>25</v>
      </c>
      <c r="AP232" s="85">
        <f t="shared" si="794"/>
        <v>20</v>
      </c>
      <c r="AQ232" s="85">
        <f t="shared" si="795"/>
        <v>600</v>
      </c>
      <c r="AR232" s="85">
        <f t="shared" si="796"/>
        <v>480</v>
      </c>
      <c r="AS232" s="85" t="str">
        <f>'Consumer Hardware Pricing'!AF240</f>
        <v>-</v>
      </c>
      <c r="AT232" s="85" t="str">
        <f t="shared" si="780"/>
        <v>-</v>
      </c>
      <c r="AU232" s="85" t="str">
        <f t="shared" si="797"/>
        <v>-</v>
      </c>
      <c r="AV232" s="85" t="str">
        <f t="shared" si="798"/>
        <v>-</v>
      </c>
      <c r="AW232" s="85" t="str">
        <f t="shared" si="799"/>
        <v>-</v>
      </c>
      <c r="AX232" s="85" t="str">
        <f>'Consumer Hardware Pricing'!AH240</f>
        <v>-</v>
      </c>
      <c r="AY232" s="85" t="str">
        <f t="shared" si="781"/>
        <v>-</v>
      </c>
      <c r="AZ232" s="85" t="str">
        <f>'Consumer Hardware Pricing'!AI240</f>
        <v>-</v>
      </c>
      <c r="BA232" s="85" t="str">
        <f t="shared" si="620"/>
        <v>-</v>
      </c>
      <c r="BB232" s="85" t="str">
        <f t="shared" si="621"/>
        <v>-</v>
      </c>
      <c r="BC232" s="85" t="str">
        <f t="shared" si="637"/>
        <v>-</v>
      </c>
      <c r="BD232" s="85" t="str">
        <f>'Consumer Hardware Pricing'!AL240</f>
        <v>-</v>
      </c>
      <c r="BE232" s="85" t="str">
        <f t="shared" si="782"/>
        <v>-</v>
      </c>
      <c r="BF232" s="85" t="str">
        <f>'Consumer Hardware Pricing'!AM240</f>
        <v>-</v>
      </c>
      <c r="BG232" s="85" t="str">
        <f t="shared" si="622"/>
        <v>-</v>
      </c>
      <c r="BH232" s="85" t="str">
        <f t="shared" si="623"/>
        <v>-</v>
      </c>
      <c r="BI232" s="85" t="str">
        <f t="shared" si="638"/>
        <v>-</v>
      </c>
      <c r="BJ232" s="85" t="str">
        <f>'Consumer Hardware Pricing'!AP240</f>
        <v>-</v>
      </c>
      <c r="BK232" s="85" t="str">
        <f t="shared" si="783"/>
        <v>-</v>
      </c>
      <c r="BL232" s="85" t="str">
        <f>'Consumer Hardware Pricing'!AQ240</f>
        <v>-</v>
      </c>
      <c r="BM232" s="85" t="str">
        <f t="shared" si="624"/>
        <v>-</v>
      </c>
      <c r="BN232" s="85" t="str">
        <f t="shared" si="625"/>
        <v>-</v>
      </c>
      <c r="BO232" s="85" t="str">
        <f t="shared" si="639"/>
        <v>-</v>
      </c>
      <c r="BP232" s="85" t="str">
        <f>'Consumer Hardware Pricing'!AT240</f>
        <v>-</v>
      </c>
      <c r="BQ232" s="85" t="str">
        <f t="shared" si="784"/>
        <v>-</v>
      </c>
      <c r="BR232" s="85" t="str">
        <f>'Consumer Hardware Pricing'!AU240</f>
        <v>-</v>
      </c>
      <c r="BS232" s="85" t="str">
        <f t="shared" si="626"/>
        <v>-</v>
      </c>
      <c r="BT232" s="85" t="str">
        <f t="shared" si="627"/>
        <v>-</v>
      </c>
      <c r="BU232" s="85" t="str">
        <f t="shared" si="640"/>
        <v>-</v>
      </c>
    </row>
    <row r="233" spans="1:73" ht="30.15" customHeight="1" x14ac:dyDescent="0.25">
      <c r="A233" s="87" t="s">
        <v>34</v>
      </c>
      <c r="B233" s="130" t="s">
        <v>336</v>
      </c>
      <c r="C233" s="130" t="s">
        <v>335</v>
      </c>
      <c r="D233" s="85">
        <f>'Consumer Hardware Pricing'!L241</f>
        <v>1080</v>
      </c>
      <c r="E233" s="85">
        <f>'Consumer Hardware Pricing'!M241</f>
        <v>1080</v>
      </c>
      <c r="F233" s="85">
        <f>'Consumer Hardware Pricing'!N241</f>
        <v>0</v>
      </c>
      <c r="G233" s="85">
        <f t="shared" si="785"/>
        <v>45</v>
      </c>
      <c r="H233" s="85">
        <f>'Consumer Hardware Pricing'!O241</f>
        <v>25</v>
      </c>
      <c r="I233" s="85">
        <f t="shared" si="616"/>
        <v>20</v>
      </c>
      <c r="J233" s="85">
        <f t="shared" si="628"/>
        <v>600</v>
      </c>
      <c r="K233" s="85">
        <f t="shared" si="629"/>
        <v>480</v>
      </c>
      <c r="L233" s="85" t="str">
        <f>'Consumer Hardware Pricing'!Q241</f>
        <v>-</v>
      </c>
      <c r="M233" s="85" t="str">
        <f t="shared" si="786"/>
        <v>-</v>
      </c>
      <c r="N233" s="85" t="str">
        <f t="shared" si="617"/>
        <v>-</v>
      </c>
      <c r="O233" s="85" t="str">
        <f t="shared" si="618"/>
        <v>-</v>
      </c>
      <c r="P233" s="85" t="str">
        <f t="shared" si="630"/>
        <v>-</v>
      </c>
      <c r="Q233" s="85">
        <f>'Consumer Hardware Pricing'!S241</f>
        <v>0</v>
      </c>
      <c r="R233" s="85">
        <f t="shared" si="619"/>
        <v>45</v>
      </c>
      <c r="S233" s="85">
        <f>'Consumer Hardware Pricing'!T241</f>
        <v>25</v>
      </c>
      <c r="T233" s="129">
        <f t="shared" si="631"/>
        <v>20</v>
      </c>
      <c r="U233" s="129">
        <f t="shared" si="632"/>
        <v>600</v>
      </c>
      <c r="V233" s="85">
        <f t="shared" si="633"/>
        <v>480</v>
      </c>
      <c r="W233" s="129" t="str">
        <f>'Consumer Hardware Pricing'!V241</f>
        <v>-</v>
      </c>
      <c r="X233" s="129" t="str">
        <f t="shared" si="787"/>
        <v>-</v>
      </c>
      <c r="Y233" s="129" t="str">
        <f t="shared" si="634"/>
        <v>-</v>
      </c>
      <c r="Z233" s="129" t="str">
        <f t="shared" si="635"/>
        <v>-</v>
      </c>
      <c r="AA233" s="85" t="str">
        <f t="shared" si="636"/>
        <v>-</v>
      </c>
      <c r="AB233" s="85">
        <f>'Consumer Hardware Pricing'!X241</f>
        <v>0</v>
      </c>
      <c r="AC233" s="85">
        <f t="shared" si="777"/>
        <v>45</v>
      </c>
      <c r="AD233" s="85">
        <f>'Consumer Hardware Pricing'!Y241</f>
        <v>25</v>
      </c>
      <c r="AE233" s="85">
        <f t="shared" si="788"/>
        <v>20</v>
      </c>
      <c r="AF233" s="85">
        <f t="shared" si="789"/>
        <v>600</v>
      </c>
      <c r="AG233" s="85">
        <f t="shared" si="790"/>
        <v>480</v>
      </c>
      <c r="AH233" s="85" t="str">
        <f>'Consumer Hardware Pricing'!AA241</f>
        <v>-</v>
      </c>
      <c r="AI233" s="85" t="str">
        <f t="shared" si="778"/>
        <v>-</v>
      </c>
      <c r="AJ233" s="85" t="str">
        <f t="shared" si="791"/>
        <v>-</v>
      </c>
      <c r="AK233" s="85" t="str">
        <f t="shared" si="792"/>
        <v>-</v>
      </c>
      <c r="AL233" s="85" t="str">
        <f t="shared" si="793"/>
        <v>-</v>
      </c>
      <c r="AM233" s="85">
        <f>'Consumer Hardware Pricing'!AC241</f>
        <v>0</v>
      </c>
      <c r="AN233" s="85">
        <f t="shared" si="779"/>
        <v>45</v>
      </c>
      <c r="AO233" s="85">
        <f>'Consumer Hardware Pricing'!AD241</f>
        <v>25</v>
      </c>
      <c r="AP233" s="85">
        <f t="shared" si="794"/>
        <v>20</v>
      </c>
      <c r="AQ233" s="85">
        <f t="shared" si="795"/>
        <v>600</v>
      </c>
      <c r="AR233" s="85">
        <f t="shared" si="796"/>
        <v>480</v>
      </c>
      <c r="AS233" s="85" t="str">
        <f>'Consumer Hardware Pricing'!AF241</f>
        <v>-</v>
      </c>
      <c r="AT233" s="85" t="str">
        <f t="shared" si="780"/>
        <v>-</v>
      </c>
      <c r="AU233" s="85" t="str">
        <f t="shared" si="797"/>
        <v>-</v>
      </c>
      <c r="AV233" s="85" t="str">
        <f t="shared" si="798"/>
        <v>-</v>
      </c>
      <c r="AW233" s="85" t="str">
        <f t="shared" si="799"/>
        <v>-</v>
      </c>
      <c r="AX233" s="85" t="str">
        <f>'Consumer Hardware Pricing'!AH241</f>
        <v>-</v>
      </c>
      <c r="AY233" s="85" t="str">
        <f t="shared" si="781"/>
        <v>-</v>
      </c>
      <c r="AZ233" s="85" t="str">
        <f>'Consumer Hardware Pricing'!AI241</f>
        <v>-</v>
      </c>
      <c r="BA233" s="85" t="str">
        <f t="shared" si="620"/>
        <v>-</v>
      </c>
      <c r="BB233" s="85" t="str">
        <f t="shared" si="621"/>
        <v>-</v>
      </c>
      <c r="BC233" s="85" t="str">
        <f t="shared" si="637"/>
        <v>-</v>
      </c>
      <c r="BD233" s="85" t="str">
        <f>'Consumer Hardware Pricing'!AL241</f>
        <v>-</v>
      </c>
      <c r="BE233" s="85" t="str">
        <f t="shared" si="782"/>
        <v>-</v>
      </c>
      <c r="BF233" s="85" t="str">
        <f>'Consumer Hardware Pricing'!AM241</f>
        <v>-</v>
      </c>
      <c r="BG233" s="85" t="str">
        <f t="shared" si="622"/>
        <v>-</v>
      </c>
      <c r="BH233" s="85" t="str">
        <f t="shared" si="623"/>
        <v>-</v>
      </c>
      <c r="BI233" s="85" t="str">
        <f t="shared" si="638"/>
        <v>-</v>
      </c>
      <c r="BJ233" s="85" t="str">
        <f>'Consumer Hardware Pricing'!AP241</f>
        <v>-</v>
      </c>
      <c r="BK233" s="85" t="str">
        <f t="shared" si="783"/>
        <v>-</v>
      </c>
      <c r="BL233" s="85" t="str">
        <f>'Consumer Hardware Pricing'!AQ241</f>
        <v>-</v>
      </c>
      <c r="BM233" s="85" t="str">
        <f t="shared" si="624"/>
        <v>-</v>
      </c>
      <c r="BN233" s="85" t="str">
        <f t="shared" si="625"/>
        <v>-</v>
      </c>
      <c r="BO233" s="85" t="str">
        <f t="shared" si="639"/>
        <v>-</v>
      </c>
      <c r="BP233" s="85" t="str">
        <f>'Consumer Hardware Pricing'!AT241</f>
        <v>-</v>
      </c>
      <c r="BQ233" s="85" t="str">
        <f t="shared" si="784"/>
        <v>-</v>
      </c>
      <c r="BR233" s="85" t="str">
        <f>'Consumer Hardware Pricing'!AU241</f>
        <v>-</v>
      </c>
      <c r="BS233" s="85" t="str">
        <f t="shared" si="626"/>
        <v>-</v>
      </c>
      <c r="BT233" s="85" t="str">
        <f t="shared" si="627"/>
        <v>-</v>
      </c>
      <c r="BU233" s="85" t="str">
        <f t="shared" si="640"/>
        <v>-</v>
      </c>
    </row>
    <row r="234" spans="1:73" ht="30.15" customHeight="1" x14ac:dyDescent="0.25">
      <c r="A234" s="87" t="s">
        <v>34</v>
      </c>
      <c r="B234" s="130" t="s">
        <v>338</v>
      </c>
      <c r="C234" s="130" t="s">
        <v>337</v>
      </c>
      <c r="D234" s="85">
        <f>'Consumer Hardware Pricing'!L242</f>
        <v>1290</v>
      </c>
      <c r="E234" s="85">
        <f>'Consumer Hardware Pricing'!M242</f>
        <v>1290</v>
      </c>
      <c r="F234" s="85">
        <f>'Consumer Hardware Pricing'!N242</f>
        <v>0</v>
      </c>
      <c r="G234" s="85">
        <f t="shared" si="785"/>
        <v>53.75</v>
      </c>
      <c r="H234" s="85">
        <f>'Consumer Hardware Pricing'!O242</f>
        <v>29.17</v>
      </c>
      <c r="I234" s="85">
        <f t="shared" si="616"/>
        <v>24.58</v>
      </c>
      <c r="J234" s="85">
        <f t="shared" si="628"/>
        <v>700.08</v>
      </c>
      <c r="K234" s="85">
        <f t="shared" si="629"/>
        <v>589.91999999999996</v>
      </c>
      <c r="L234" s="85" t="str">
        <f>'Consumer Hardware Pricing'!Q242</f>
        <v>-</v>
      </c>
      <c r="M234" s="85" t="str">
        <f t="shared" si="786"/>
        <v>-</v>
      </c>
      <c r="N234" s="85" t="str">
        <f t="shared" si="617"/>
        <v>-</v>
      </c>
      <c r="O234" s="85" t="str">
        <f t="shared" si="618"/>
        <v>-</v>
      </c>
      <c r="P234" s="85" t="str">
        <f t="shared" si="630"/>
        <v>-</v>
      </c>
      <c r="Q234" s="85">
        <f>'Consumer Hardware Pricing'!S242</f>
        <v>0</v>
      </c>
      <c r="R234" s="85">
        <f t="shared" si="619"/>
        <v>53.75</v>
      </c>
      <c r="S234" s="85">
        <f>'Consumer Hardware Pricing'!T242</f>
        <v>29.17</v>
      </c>
      <c r="T234" s="129">
        <f t="shared" si="631"/>
        <v>24.58</v>
      </c>
      <c r="U234" s="129">
        <f t="shared" si="632"/>
        <v>700.08</v>
      </c>
      <c r="V234" s="85">
        <f t="shared" si="633"/>
        <v>589.91999999999996</v>
      </c>
      <c r="W234" s="129" t="str">
        <f>'Consumer Hardware Pricing'!V242</f>
        <v>-</v>
      </c>
      <c r="X234" s="129" t="str">
        <f t="shared" si="787"/>
        <v>-</v>
      </c>
      <c r="Y234" s="129" t="str">
        <f t="shared" si="634"/>
        <v>-</v>
      </c>
      <c r="Z234" s="129" t="str">
        <f t="shared" si="635"/>
        <v>-</v>
      </c>
      <c r="AA234" s="85" t="str">
        <f t="shared" si="636"/>
        <v>-</v>
      </c>
      <c r="AB234" s="85">
        <f>'Consumer Hardware Pricing'!X242</f>
        <v>0</v>
      </c>
      <c r="AC234" s="85">
        <f t="shared" si="777"/>
        <v>53.75</v>
      </c>
      <c r="AD234" s="85">
        <f>'Consumer Hardware Pricing'!Y242</f>
        <v>29.17</v>
      </c>
      <c r="AE234" s="85">
        <f t="shared" si="788"/>
        <v>24.58</v>
      </c>
      <c r="AF234" s="85">
        <f t="shared" si="789"/>
        <v>700.08</v>
      </c>
      <c r="AG234" s="85">
        <f t="shared" si="790"/>
        <v>589.91999999999996</v>
      </c>
      <c r="AH234" s="85" t="str">
        <f>'Consumer Hardware Pricing'!AA242</f>
        <v>-</v>
      </c>
      <c r="AI234" s="85" t="str">
        <f t="shared" si="778"/>
        <v>-</v>
      </c>
      <c r="AJ234" s="85" t="str">
        <f t="shared" si="791"/>
        <v>-</v>
      </c>
      <c r="AK234" s="85" t="str">
        <f t="shared" si="792"/>
        <v>-</v>
      </c>
      <c r="AL234" s="85" t="str">
        <f t="shared" si="793"/>
        <v>-</v>
      </c>
      <c r="AM234" s="85">
        <f>'Consumer Hardware Pricing'!AC242</f>
        <v>0</v>
      </c>
      <c r="AN234" s="85">
        <f t="shared" si="779"/>
        <v>53.75</v>
      </c>
      <c r="AO234" s="85">
        <f>'Consumer Hardware Pricing'!AD242</f>
        <v>29.17</v>
      </c>
      <c r="AP234" s="85">
        <f t="shared" si="794"/>
        <v>24.58</v>
      </c>
      <c r="AQ234" s="85">
        <f t="shared" si="795"/>
        <v>700.08</v>
      </c>
      <c r="AR234" s="85">
        <f t="shared" si="796"/>
        <v>589.91999999999996</v>
      </c>
      <c r="AS234" s="85" t="str">
        <f>'Consumer Hardware Pricing'!AF242</f>
        <v>-</v>
      </c>
      <c r="AT234" s="85" t="str">
        <f t="shared" si="780"/>
        <v>-</v>
      </c>
      <c r="AU234" s="85" t="str">
        <f t="shared" si="797"/>
        <v>-</v>
      </c>
      <c r="AV234" s="85" t="str">
        <f t="shared" si="798"/>
        <v>-</v>
      </c>
      <c r="AW234" s="85" t="str">
        <f t="shared" si="799"/>
        <v>-</v>
      </c>
      <c r="AX234" s="85" t="str">
        <f>'Consumer Hardware Pricing'!AH242</f>
        <v>-</v>
      </c>
      <c r="AY234" s="85" t="str">
        <f t="shared" si="781"/>
        <v>-</v>
      </c>
      <c r="AZ234" s="85" t="str">
        <f>'Consumer Hardware Pricing'!AI242</f>
        <v>-</v>
      </c>
      <c r="BA234" s="85" t="str">
        <f t="shared" si="620"/>
        <v>-</v>
      </c>
      <c r="BB234" s="85" t="str">
        <f t="shared" si="621"/>
        <v>-</v>
      </c>
      <c r="BC234" s="85" t="str">
        <f t="shared" si="637"/>
        <v>-</v>
      </c>
      <c r="BD234" s="85" t="str">
        <f>'Consumer Hardware Pricing'!AL242</f>
        <v>-</v>
      </c>
      <c r="BE234" s="85" t="str">
        <f t="shared" si="782"/>
        <v>-</v>
      </c>
      <c r="BF234" s="85" t="str">
        <f>'Consumer Hardware Pricing'!AM242</f>
        <v>-</v>
      </c>
      <c r="BG234" s="85" t="str">
        <f t="shared" si="622"/>
        <v>-</v>
      </c>
      <c r="BH234" s="85" t="str">
        <f t="shared" si="623"/>
        <v>-</v>
      </c>
      <c r="BI234" s="85" t="str">
        <f t="shared" si="638"/>
        <v>-</v>
      </c>
      <c r="BJ234" s="85" t="str">
        <f>'Consumer Hardware Pricing'!AP242</f>
        <v>-</v>
      </c>
      <c r="BK234" s="85" t="str">
        <f t="shared" si="783"/>
        <v>-</v>
      </c>
      <c r="BL234" s="85" t="str">
        <f>'Consumer Hardware Pricing'!AQ242</f>
        <v>-</v>
      </c>
      <c r="BM234" s="85" t="str">
        <f t="shared" si="624"/>
        <v>-</v>
      </c>
      <c r="BN234" s="85" t="str">
        <f t="shared" si="625"/>
        <v>-</v>
      </c>
      <c r="BO234" s="85" t="str">
        <f t="shared" si="639"/>
        <v>-</v>
      </c>
      <c r="BP234" s="85" t="str">
        <f>'Consumer Hardware Pricing'!AT242</f>
        <v>-</v>
      </c>
      <c r="BQ234" s="85" t="str">
        <f t="shared" si="784"/>
        <v>-</v>
      </c>
      <c r="BR234" s="85" t="str">
        <f>'Consumer Hardware Pricing'!AU242</f>
        <v>-</v>
      </c>
      <c r="BS234" s="85" t="str">
        <f t="shared" si="626"/>
        <v>-</v>
      </c>
      <c r="BT234" s="85" t="str">
        <f t="shared" si="627"/>
        <v>-</v>
      </c>
      <c r="BU234" s="85" t="str">
        <f t="shared" si="640"/>
        <v>-</v>
      </c>
    </row>
    <row r="235" spans="1:73" ht="30.15" customHeight="1" x14ac:dyDescent="0.25">
      <c r="A235" s="87" t="s">
        <v>34</v>
      </c>
      <c r="B235" s="130" t="s">
        <v>339</v>
      </c>
      <c r="C235" s="130" t="s">
        <v>337</v>
      </c>
      <c r="D235" s="85">
        <f>'Consumer Hardware Pricing'!L243</f>
        <v>1290</v>
      </c>
      <c r="E235" s="85">
        <f>'Consumer Hardware Pricing'!M243</f>
        <v>1290</v>
      </c>
      <c r="F235" s="85">
        <f>'Consumer Hardware Pricing'!N243</f>
        <v>0</v>
      </c>
      <c r="G235" s="85">
        <f t="shared" si="785"/>
        <v>53.75</v>
      </c>
      <c r="H235" s="85">
        <f>'Consumer Hardware Pricing'!O243</f>
        <v>29.17</v>
      </c>
      <c r="I235" s="85">
        <f t="shared" si="616"/>
        <v>24.58</v>
      </c>
      <c r="J235" s="85">
        <f t="shared" si="628"/>
        <v>700.08</v>
      </c>
      <c r="K235" s="85">
        <f t="shared" si="629"/>
        <v>589.91999999999996</v>
      </c>
      <c r="L235" s="85" t="str">
        <f>'Consumer Hardware Pricing'!Q243</f>
        <v>-</v>
      </c>
      <c r="M235" s="85" t="str">
        <f t="shared" si="786"/>
        <v>-</v>
      </c>
      <c r="N235" s="85" t="str">
        <f t="shared" si="617"/>
        <v>-</v>
      </c>
      <c r="O235" s="85" t="str">
        <f t="shared" si="618"/>
        <v>-</v>
      </c>
      <c r="P235" s="85" t="str">
        <f t="shared" si="630"/>
        <v>-</v>
      </c>
      <c r="Q235" s="85">
        <f>'Consumer Hardware Pricing'!S243</f>
        <v>0</v>
      </c>
      <c r="R235" s="85">
        <f t="shared" si="619"/>
        <v>53.75</v>
      </c>
      <c r="S235" s="85">
        <f>'Consumer Hardware Pricing'!T243</f>
        <v>29.17</v>
      </c>
      <c r="T235" s="129">
        <f t="shared" si="631"/>
        <v>24.58</v>
      </c>
      <c r="U235" s="129">
        <f t="shared" si="632"/>
        <v>700.08</v>
      </c>
      <c r="V235" s="85">
        <f t="shared" si="633"/>
        <v>589.91999999999996</v>
      </c>
      <c r="W235" s="129" t="str">
        <f>'Consumer Hardware Pricing'!V243</f>
        <v>-</v>
      </c>
      <c r="X235" s="129" t="str">
        <f t="shared" si="787"/>
        <v>-</v>
      </c>
      <c r="Y235" s="129" t="str">
        <f t="shared" si="634"/>
        <v>-</v>
      </c>
      <c r="Z235" s="129" t="str">
        <f t="shared" si="635"/>
        <v>-</v>
      </c>
      <c r="AA235" s="85" t="str">
        <f t="shared" si="636"/>
        <v>-</v>
      </c>
      <c r="AB235" s="85">
        <f>'Consumer Hardware Pricing'!X243</f>
        <v>0</v>
      </c>
      <c r="AC235" s="85">
        <f t="shared" si="777"/>
        <v>53.75</v>
      </c>
      <c r="AD235" s="85">
        <f>'Consumer Hardware Pricing'!Y243</f>
        <v>29.17</v>
      </c>
      <c r="AE235" s="85">
        <f t="shared" si="788"/>
        <v>24.58</v>
      </c>
      <c r="AF235" s="85">
        <f t="shared" si="789"/>
        <v>700.08</v>
      </c>
      <c r="AG235" s="85">
        <f t="shared" si="790"/>
        <v>589.91999999999996</v>
      </c>
      <c r="AH235" s="85" t="str">
        <f>'Consumer Hardware Pricing'!AA243</f>
        <v>-</v>
      </c>
      <c r="AI235" s="85" t="str">
        <f t="shared" si="778"/>
        <v>-</v>
      </c>
      <c r="AJ235" s="85" t="str">
        <f t="shared" si="791"/>
        <v>-</v>
      </c>
      <c r="AK235" s="85" t="str">
        <f t="shared" si="792"/>
        <v>-</v>
      </c>
      <c r="AL235" s="85" t="str">
        <f t="shared" si="793"/>
        <v>-</v>
      </c>
      <c r="AM235" s="85">
        <f>'Consumer Hardware Pricing'!AC243</f>
        <v>0</v>
      </c>
      <c r="AN235" s="85">
        <f t="shared" si="779"/>
        <v>53.75</v>
      </c>
      <c r="AO235" s="85">
        <f>'Consumer Hardware Pricing'!AD243</f>
        <v>29.17</v>
      </c>
      <c r="AP235" s="85">
        <f t="shared" si="794"/>
        <v>24.58</v>
      </c>
      <c r="AQ235" s="85">
        <f t="shared" si="795"/>
        <v>700.08</v>
      </c>
      <c r="AR235" s="85">
        <f t="shared" si="796"/>
        <v>589.91999999999996</v>
      </c>
      <c r="AS235" s="85" t="str">
        <f>'Consumer Hardware Pricing'!AF243</f>
        <v>-</v>
      </c>
      <c r="AT235" s="85" t="str">
        <f t="shared" si="780"/>
        <v>-</v>
      </c>
      <c r="AU235" s="85" t="str">
        <f t="shared" si="797"/>
        <v>-</v>
      </c>
      <c r="AV235" s="85" t="str">
        <f t="shared" si="798"/>
        <v>-</v>
      </c>
      <c r="AW235" s="85" t="str">
        <f t="shared" si="799"/>
        <v>-</v>
      </c>
      <c r="AX235" s="85" t="str">
        <f>'Consumer Hardware Pricing'!AH243</f>
        <v>-</v>
      </c>
      <c r="AY235" s="85" t="str">
        <f t="shared" si="781"/>
        <v>-</v>
      </c>
      <c r="AZ235" s="85" t="str">
        <f>'Consumer Hardware Pricing'!AI243</f>
        <v>-</v>
      </c>
      <c r="BA235" s="85" t="str">
        <f t="shared" si="620"/>
        <v>-</v>
      </c>
      <c r="BB235" s="85" t="str">
        <f t="shared" si="621"/>
        <v>-</v>
      </c>
      <c r="BC235" s="85" t="str">
        <f t="shared" si="637"/>
        <v>-</v>
      </c>
      <c r="BD235" s="85" t="str">
        <f>'Consumer Hardware Pricing'!AL243</f>
        <v>-</v>
      </c>
      <c r="BE235" s="85" t="str">
        <f t="shared" si="782"/>
        <v>-</v>
      </c>
      <c r="BF235" s="85" t="str">
        <f>'Consumer Hardware Pricing'!AM243</f>
        <v>-</v>
      </c>
      <c r="BG235" s="85" t="str">
        <f t="shared" si="622"/>
        <v>-</v>
      </c>
      <c r="BH235" s="85" t="str">
        <f t="shared" si="623"/>
        <v>-</v>
      </c>
      <c r="BI235" s="85" t="str">
        <f t="shared" si="638"/>
        <v>-</v>
      </c>
      <c r="BJ235" s="85" t="str">
        <f>'Consumer Hardware Pricing'!AP243</f>
        <v>-</v>
      </c>
      <c r="BK235" s="85" t="str">
        <f t="shared" si="783"/>
        <v>-</v>
      </c>
      <c r="BL235" s="85" t="str">
        <f>'Consumer Hardware Pricing'!AQ243</f>
        <v>-</v>
      </c>
      <c r="BM235" s="85" t="str">
        <f t="shared" si="624"/>
        <v>-</v>
      </c>
      <c r="BN235" s="85" t="str">
        <f t="shared" si="625"/>
        <v>-</v>
      </c>
      <c r="BO235" s="85" t="str">
        <f t="shared" si="639"/>
        <v>-</v>
      </c>
      <c r="BP235" s="85" t="str">
        <f>'Consumer Hardware Pricing'!AT243</f>
        <v>-</v>
      </c>
      <c r="BQ235" s="85" t="str">
        <f t="shared" si="784"/>
        <v>-</v>
      </c>
      <c r="BR235" s="85" t="str">
        <f>'Consumer Hardware Pricing'!AU243</f>
        <v>-</v>
      </c>
      <c r="BS235" s="85" t="str">
        <f t="shared" si="626"/>
        <v>-</v>
      </c>
      <c r="BT235" s="85" t="str">
        <f t="shared" si="627"/>
        <v>-</v>
      </c>
      <c r="BU235" s="85" t="str">
        <f t="shared" si="640"/>
        <v>-</v>
      </c>
    </row>
    <row r="236" spans="1:73" ht="30.15" customHeight="1" x14ac:dyDescent="0.25">
      <c r="A236" s="87" t="s">
        <v>34</v>
      </c>
      <c r="B236" s="130" t="s">
        <v>507</v>
      </c>
      <c r="C236" s="130" t="s">
        <v>504</v>
      </c>
      <c r="D236" s="85">
        <f>'Consumer Hardware Pricing'!L244</f>
        <v>720</v>
      </c>
      <c r="E236" s="85">
        <f>'Consumer Hardware Pricing'!M244</f>
        <v>720</v>
      </c>
      <c r="F236" s="85">
        <f>'Consumer Hardware Pricing'!N244</f>
        <v>0</v>
      </c>
      <c r="G236" s="85">
        <f t="shared" si="785"/>
        <v>30</v>
      </c>
      <c r="H236" s="85" t="str">
        <f>'Consumer Hardware Pricing'!O244</f>
        <v>-</v>
      </c>
      <c r="I236" s="85">
        <f t="shared" si="616"/>
        <v>30</v>
      </c>
      <c r="J236" s="85" t="str">
        <f t="shared" si="628"/>
        <v>-</v>
      </c>
      <c r="K236" s="85">
        <f t="shared" si="629"/>
        <v>720</v>
      </c>
      <c r="L236" s="85" t="str">
        <f>'Consumer Hardware Pricing'!Q244</f>
        <v>-</v>
      </c>
      <c r="M236" s="85" t="str">
        <f t="shared" si="786"/>
        <v>-</v>
      </c>
      <c r="N236" s="85" t="str">
        <f t="shared" si="617"/>
        <v>-</v>
      </c>
      <c r="O236" s="85" t="str">
        <f t="shared" si="618"/>
        <v>-</v>
      </c>
      <c r="P236" s="85" t="str">
        <f t="shared" si="630"/>
        <v>-</v>
      </c>
      <c r="Q236" s="85">
        <f>'Consumer Hardware Pricing'!S244</f>
        <v>0</v>
      </c>
      <c r="R236" s="85">
        <f t="shared" si="619"/>
        <v>30</v>
      </c>
      <c r="S236" s="85" t="str">
        <f>'Consumer Hardware Pricing'!T244</f>
        <v>-</v>
      </c>
      <c r="T236" s="129">
        <f t="shared" si="631"/>
        <v>30</v>
      </c>
      <c r="U236" s="129" t="str">
        <f t="shared" si="632"/>
        <v>-</v>
      </c>
      <c r="V236" s="85">
        <f t="shared" si="633"/>
        <v>720</v>
      </c>
      <c r="W236" s="129" t="str">
        <f>'Consumer Hardware Pricing'!V244</f>
        <v>-</v>
      </c>
      <c r="X236" s="129" t="str">
        <f t="shared" si="787"/>
        <v>-</v>
      </c>
      <c r="Y236" s="129" t="str">
        <f t="shared" si="634"/>
        <v>-</v>
      </c>
      <c r="Z236" s="129" t="str">
        <f t="shared" si="635"/>
        <v>-</v>
      </c>
      <c r="AA236" s="85" t="str">
        <f t="shared" si="636"/>
        <v>-</v>
      </c>
      <c r="AB236" s="85">
        <f>'Consumer Hardware Pricing'!X244</f>
        <v>0</v>
      </c>
      <c r="AC236" s="85">
        <f t="shared" si="777"/>
        <v>30</v>
      </c>
      <c r="AD236" s="85">
        <f>'Consumer Hardware Pricing'!Y244</f>
        <v>15</v>
      </c>
      <c r="AE236" s="85">
        <f t="shared" si="788"/>
        <v>15</v>
      </c>
      <c r="AF236" s="85">
        <f t="shared" si="789"/>
        <v>360</v>
      </c>
      <c r="AG236" s="85">
        <f t="shared" si="790"/>
        <v>360</v>
      </c>
      <c r="AH236" s="85" t="str">
        <f>'Consumer Hardware Pricing'!AA244</f>
        <v>-</v>
      </c>
      <c r="AI236" s="85" t="str">
        <f t="shared" si="778"/>
        <v>-</v>
      </c>
      <c r="AJ236" s="85" t="str">
        <f t="shared" si="791"/>
        <v>-</v>
      </c>
      <c r="AK236" s="85" t="str">
        <f t="shared" si="792"/>
        <v>-</v>
      </c>
      <c r="AL236" s="85" t="str">
        <f t="shared" si="793"/>
        <v>-</v>
      </c>
      <c r="AM236" s="85">
        <f>'Consumer Hardware Pricing'!AC244</f>
        <v>0</v>
      </c>
      <c r="AN236" s="85">
        <f t="shared" si="779"/>
        <v>30</v>
      </c>
      <c r="AO236" s="85">
        <f>'Consumer Hardware Pricing'!AD244</f>
        <v>15</v>
      </c>
      <c r="AP236" s="85">
        <f t="shared" si="794"/>
        <v>15</v>
      </c>
      <c r="AQ236" s="85">
        <f t="shared" si="795"/>
        <v>360</v>
      </c>
      <c r="AR236" s="85">
        <f t="shared" si="796"/>
        <v>360</v>
      </c>
      <c r="AS236" s="85" t="str">
        <f>'Consumer Hardware Pricing'!AF244</f>
        <v>-</v>
      </c>
      <c r="AT236" s="85" t="str">
        <f t="shared" si="780"/>
        <v>-</v>
      </c>
      <c r="AU236" s="85" t="str">
        <f t="shared" si="797"/>
        <v>-</v>
      </c>
      <c r="AV236" s="85" t="str">
        <f t="shared" si="798"/>
        <v>-</v>
      </c>
      <c r="AW236" s="85" t="str">
        <f t="shared" si="799"/>
        <v>-</v>
      </c>
      <c r="AX236" s="85" t="str">
        <f>'Consumer Hardware Pricing'!AH244</f>
        <v>-</v>
      </c>
      <c r="AY236" s="85" t="str">
        <f t="shared" si="781"/>
        <v>-</v>
      </c>
      <c r="AZ236" s="85" t="str">
        <f>'Consumer Hardware Pricing'!AI244</f>
        <v>-</v>
      </c>
      <c r="BA236" s="85" t="str">
        <f t="shared" si="620"/>
        <v>-</v>
      </c>
      <c r="BB236" s="85" t="str">
        <f t="shared" si="621"/>
        <v>-</v>
      </c>
      <c r="BC236" s="85" t="str">
        <f t="shared" si="637"/>
        <v>-</v>
      </c>
      <c r="BD236" s="85" t="str">
        <f>'Consumer Hardware Pricing'!AL244</f>
        <v>-</v>
      </c>
      <c r="BE236" s="85" t="str">
        <f t="shared" si="782"/>
        <v>-</v>
      </c>
      <c r="BF236" s="85" t="str">
        <f>'Consumer Hardware Pricing'!AM244</f>
        <v>-</v>
      </c>
      <c r="BG236" s="85" t="str">
        <f t="shared" si="622"/>
        <v>-</v>
      </c>
      <c r="BH236" s="85" t="str">
        <f t="shared" si="623"/>
        <v>-</v>
      </c>
      <c r="BI236" s="85" t="str">
        <f t="shared" si="638"/>
        <v>-</v>
      </c>
      <c r="BJ236" s="85" t="str">
        <f>'Consumer Hardware Pricing'!AP244</f>
        <v>-</v>
      </c>
      <c r="BK236" s="85" t="str">
        <f t="shared" si="783"/>
        <v>-</v>
      </c>
      <c r="BL236" s="85" t="str">
        <f>'Consumer Hardware Pricing'!AQ244</f>
        <v>-</v>
      </c>
      <c r="BM236" s="85" t="str">
        <f t="shared" si="624"/>
        <v>-</v>
      </c>
      <c r="BN236" s="85" t="str">
        <f t="shared" si="625"/>
        <v>-</v>
      </c>
      <c r="BO236" s="85" t="str">
        <f t="shared" si="639"/>
        <v>-</v>
      </c>
      <c r="BP236" s="85" t="str">
        <f>'Consumer Hardware Pricing'!AT244</f>
        <v>-</v>
      </c>
      <c r="BQ236" s="85" t="str">
        <f t="shared" si="784"/>
        <v>-</v>
      </c>
      <c r="BR236" s="85" t="str">
        <f>'Consumer Hardware Pricing'!AU244</f>
        <v>-</v>
      </c>
      <c r="BS236" s="85" t="str">
        <f t="shared" si="626"/>
        <v>-</v>
      </c>
      <c r="BT236" s="85" t="str">
        <f t="shared" si="627"/>
        <v>-</v>
      </c>
      <c r="BU236" s="85" t="str">
        <f t="shared" si="640"/>
        <v>-</v>
      </c>
    </row>
    <row r="237" spans="1:73" ht="30.15" customHeight="1" x14ac:dyDescent="0.25">
      <c r="A237" s="87" t="s">
        <v>34</v>
      </c>
      <c r="B237" s="130" t="s">
        <v>509</v>
      </c>
      <c r="C237" s="130" t="s">
        <v>504</v>
      </c>
      <c r="D237" s="85">
        <f>'Consumer Hardware Pricing'!L245</f>
        <v>720</v>
      </c>
      <c r="E237" s="85">
        <f>'Consumer Hardware Pricing'!M245</f>
        <v>720</v>
      </c>
      <c r="F237" s="85">
        <f>'Consumer Hardware Pricing'!N245</f>
        <v>0</v>
      </c>
      <c r="G237" s="85">
        <f t="shared" si="785"/>
        <v>30</v>
      </c>
      <c r="H237" s="85" t="str">
        <f>'Consumer Hardware Pricing'!O245</f>
        <v>-</v>
      </c>
      <c r="I237" s="85">
        <f t="shared" si="616"/>
        <v>30</v>
      </c>
      <c r="J237" s="85" t="str">
        <f t="shared" si="628"/>
        <v>-</v>
      </c>
      <c r="K237" s="85">
        <f t="shared" si="629"/>
        <v>720</v>
      </c>
      <c r="L237" s="85" t="str">
        <f>'Consumer Hardware Pricing'!Q245</f>
        <v>-</v>
      </c>
      <c r="M237" s="85" t="str">
        <f t="shared" si="786"/>
        <v>-</v>
      </c>
      <c r="N237" s="85" t="str">
        <f t="shared" si="617"/>
        <v>-</v>
      </c>
      <c r="O237" s="85" t="str">
        <f t="shared" si="618"/>
        <v>-</v>
      </c>
      <c r="P237" s="85" t="str">
        <f t="shared" si="630"/>
        <v>-</v>
      </c>
      <c r="Q237" s="85">
        <f>'Consumer Hardware Pricing'!S245</f>
        <v>0</v>
      </c>
      <c r="R237" s="85">
        <f t="shared" si="619"/>
        <v>30</v>
      </c>
      <c r="S237" s="85" t="str">
        <f>'Consumer Hardware Pricing'!T245</f>
        <v>-</v>
      </c>
      <c r="T237" s="129">
        <f t="shared" si="631"/>
        <v>30</v>
      </c>
      <c r="U237" s="129" t="str">
        <f t="shared" si="632"/>
        <v>-</v>
      </c>
      <c r="V237" s="85">
        <f t="shared" si="633"/>
        <v>720</v>
      </c>
      <c r="W237" s="129" t="str">
        <f>'Consumer Hardware Pricing'!V245</f>
        <v>-</v>
      </c>
      <c r="X237" s="129" t="str">
        <f t="shared" si="787"/>
        <v>-</v>
      </c>
      <c r="Y237" s="129" t="str">
        <f t="shared" si="634"/>
        <v>-</v>
      </c>
      <c r="Z237" s="129" t="str">
        <f t="shared" si="635"/>
        <v>-</v>
      </c>
      <c r="AA237" s="85" t="str">
        <f t="shared" si="636"/>
        <v>-</v>
      </c>
      <c r="AB237" s="85">
        <f>'Consumer Hardware Pricing'!X245</f>
        <v>0</v>
      </c>
      <c r="AC237" s="85">
        <f t="shared" si="777"/>
        <v>30</v>
      </c>
      <c r="AD237" s="85">
        <f>'Consumer Hardware Pricing'!Y245</f>
        <v>15</v>
      </c>
      <c r="AE237" s="85">
        <f t="shared" si="788"/>
        <v>15</v>
      </c>
      <c r="AF237" s="85">
        <f t="shared" si="789"/>
        <v>360</v>
      </c>
      <c r="AG237" s="85">
        <f t="shared" si="790"/>
        <v>360</v>
      </c>
      <c r="AH237" s="85" t="str">
        <f>'Consumer Hardware Pricing'!AA245</f>
        <v>-</v>
      </c>
      <c r="AI237" s="85" t="str">
        <f t="shared" si="778"/>
        <v>-</v>
      </c>
      <c r="AJ237" s="85" t="str">
        <f t="shared" si="791"/>
        <v>-</v>
      </c>
      <c r="AK237" s="85" t="str">
        <f t="shared" si="792"/>
        <v>-</v>
      </c>
      <c r="AL237" s="85" t="str">
        <f t="shared" si="793"/>
        <v>-</v>
      </c>
      <c r="AM237" s="85">
        <f>'Consumer Hardware Pricing'!AC245</f>
        <v>0</v>
      </c>
      <c r="AN237" s="85">
        <f t="shared" si="779"/>
        <v>30</v>
      </c>
      <c r="AO237" s="85">
        <f>'Consumer Hardware Pricing'!AD245</f>
        <v>15</v>
      </c>
      <c r="AP237" s="85">
        <f t="shared" si="794"/>
        <v>15</v>
      </c>
      <c r="AQ237" s="85">
        <f t="shared" si="795"/>
        <v>360</v>
      </c>
      <c r="AR237" s="85">
        <f t="shared" si="796"/>
        <v>360</v>
      </c>
      <c r="AS237" s="85" t="str">
        <f>'Consumer Hardware Pricing'!AF245</f>
        <v>-</v>
      </c>
      <c r="AT237" s="85" t="str">
        <f t="shared" si="780"/>
        <v>-</v>
      </c>
      <c r="AU237" s="85" t="str">
        <f t="shared" si="797"/>
        <v>-</v>
      </c>
      <c r="AV237" s="85" t="str">
        <f t="shared" si="798"/>
        <v>-</v>
      </c>
      <c r="AW237" s="85" t="str">
        <f t="shared" si="799"/>
        <v>-</v>
      </c>
      <c r="AX237" s="85" t="str">
        <f>'Consumer Hardware Pricing'!AH245</f>
        <v>-</v>
      </c>
      <c r="AY237" s="85" t="str">
        <f t="shared" si="781"/>
        <v>-</v>
      </c>
      <c r="AZ237" s="85" t="str">
        <f>'Consumer Hardware Pricing'!AI245</f>
        <v>-</v>
      </c>
      <c r="BA237" s="85" t="str">
        <f t="shared" si="620"/>
        <v>-</v>
      </c>
      <c r="BB237" s="85" t="str">
        <f t="shared" si="621"/>
        <v>-</v>
      </c>
      <c r="BC237" s="85" t="str">
        <f t="shared" si="637"/>
        <v>-</v>
      </c>
      <c r="BD237" s="85" t="str">
        <f>'Consumer Hardware Pricing'!AL245</f>
        <v>-</v>
      </c>
      <c r="BE237" s="85" t="str">
        <f t="shared" si="782"/>
        <v>-</v>
      </c>
      <c r="BF237" s="85" t="str">
        <f>'Consumer Hardware Pricing'!AM245</f>
        <v>-</v>
      </c>
      <c r="BG237" s="85" t="str">
        <f t="shared" si="622"/>
        <v>-</v>
      </c>
      <c r="BH237" s="85" t="str">
        <f t="shared" si="623"/>
        <v>-</v>
      </c>
      <c r="BI237" s="85" t="str">
        <f t="shared" si="638"/>
        <v>-</v>
      </c>
      <c r="BJ237" s="85" t="str">
        <f>'Consumer Hardware Pricing'!AP245</f>
        <v>-</v>
      </c>
      <c r="BK237" s="85" t="str">
        <f t="shared" si="783"/>
        <v>-</v>
      </c>
      <c r="BL237" s="85" t="str">
        <f>'Consumer Hardware Pricing'!AQ245</f>
        <v>-</v>
      </c>
      <c r="BM237" s="85" t="str">
        <f t="shared" si="624"/>
        <v>-</v>
      </c>
      <c r="BN237" s="85" t="str">
        <f t="shared" si="625"/>
        <v>-</v>
      </c>
      <c r="BO237" s="85" t="str">
        <f t="shared" si="639"/>
        <v>-</v>
      </c>
      <c r="BP237" s="85" t="str">
        <f>'Consumer Hardware Pricing'!AT245</f>
        <v>-</v>
      </c>
      <c r="BQ237" s="85" t="str">
        <f t="shared" si="784"/>
        <v>-</v>
      </c>
      <c r="BR237" s="85" t="str">
        <f>'Consumer Hardware Pricing'!AU245</f>
        <v>-</v>
      </c>
      <c r="BS237" s="85" t="str">
        <f t="shared" si="626"/>
        <v>-</v>
      </c>
      <c r="BT237" s="85" t="str">
        <f t="shared" si="627"/>
        <v>-</v>
      </c>
      <c r="BU237" s="85" t="str">
        <f t="shared" si="640"/>
        <v>-</v>
      </c>
    </row>
    <row r="238" spans="1:73" ht="30.15" customHeight="1" x14ac:dyDescent="0.25">
      <c r="A238" s="87" t="s">
        <v>34</v>
      </c>
      <c r="B238" s="130" t="s">
        <v>508</v>
      </c>
      <c r="C238" s="130" t="s">
        <v>504</v>
      </c>
      <c r="D238" s="85">
        <f>'Consumer Hardware Pricing'!L246</f>
        <v>720</v>
      </c>
      <c r="E238" s="85">
        <f>'Consumer Hardware Pricing'!M246</f>
        <v>720</v>
      </c>
      <c r="F238" s="85">
        <f>'Consumer Hardware Pricing'!N246</f>
        <v>0</v>
      </c>
      <c r="G238" s="85">
        <f t="shared" si="785"/>
        <v>30</v>
      </c>
      <c r="H238" s="85" t="str">
        <f>'Consumer Hardware Pricing'!O246</f>
        <v>-</v>
      </c>
      <c r="I238" s="85">
        <f t="shared" si="616"/>
        <v>30</v>
      </c>
      <c r="J238" s="85" t="str">
        <f t="shared" si="628"/>
        <v>-</v>
      </c>
      <c r="K238" s="85">
        <f t="shared" si="629"/>
        <v>720</v>
      </c>
      <c r="L238" s="85" t="str">
        <f>'Consumer Hardware Pricing'!Q246</f>
        <v>-</v>
      </c>
      <c r="M238" s="85" t="str">
        <f t="shared" si="786"/>
        <v>-</v>
      </c>
      <c r="N238" s="85" t="str">
        <f t="shared" si="617"/>
        <v>-</v>
      </c>
      <c r="O238" s="85" t="str">
        <f t="shared" si="618"/>
        <v>-</v>
      </c>
      <c r="P238" s="85" t="str">
        <f t="shared" si="630"/>
        <v>-</v>
      </c>
      <c r="Q238" s="85">
        <f>'Consumer Hardware Pricing'!S246</f>
        <v>0</v>
      </c>
      <c r="R238" s="85">
        <f t="shared" si="619"/>
        <v>30</v>
      </c>
      <c r="S238" s="85" t="str">
        <f>'Consumer Hardware Pricing'!T246</f>
        <v>-</v>
      </c>
      <c r="T238" s="129">
        <f t="shared" si="631"/>
        <v>30</v>
      </c>
      <c r="U238" s="129" t="str">
        <f t="shared" si="632"/>
        <v>-</v>
      </c>
      <c r="V238" s="85">
        <f t="shared" si="633"/>
        <v>720</v>
      </c>
      <c r="W238" s="129" t="str">
        <f>'Consumer Hardware Pricing'!V246</f>
        <v>-</v>
      </c>
      <c r="X238" s="129" t="str">
        <f t="shared" si="787"/>
        <v>-</v>
      </c>
      <c r="Y238" s="129" t="str">
        <f t="shared" si="634"/>
        <v>-</v>
      </c>
      <c r="Z238" s="129" t="str">
        <f t="shared" si="635"/>
        <v>-</v>
      </c>
      <c r="AA238" s="85" t="str">
        <f t="shared" si="636"/>
        <v>-</v>
      </c>
      <c r="AB238" s="85">
        <f>'Consumer Hardware Pricing'!X246</f>
        <v>0</v>
      </c>
      <c r="AC238" s="85">
        <f t="shared" si="777"/>
        <v>30</v>
      </c>
      <c r="AD238" s="85">
        <f>'Consumer Hardware Pricing'!Y246</f>
        <v>15</v>
      </c>
      <c r="AE238" s="85">
        <f t="shared" si="788"/>
        <v>15</v>
      </c>
      <c r="AF238" s="85">
        <f t="shared" si="789"/>
        <v>360</v>
      </c>
      <c r="AG238" s="85">
        <f t="shared" si="790"/>
        <v>360</v>
      </c>
      <c r="AH238" s="85" t="str">
        <f>'Consumer Hardware Pricing'!AA246</f>
        <v>-</v>
      </c>
      <c r="AI238" s="85" t="str">
        <f t="shared" si="778"/>
        <v>-</v>
      </c>
      <c r="AJ238" s="85" t="str">
        <f t="shared" si="791"/>
        <v>-</v>
      </c>
      <c r="AK238" s="85" t="str">
        <f t="shared" si="792"/>
        <v>-</v>
      </c>
      <c r="AL238" s="85" t="str">
        <f t="shared" si="793"/>
        <v>-</v>
      </c>
      <c r="AM238" s="85">
        <f>'Consumer Hardware Pricing'!AC246</f>
        <v>0</v>
      </c>
      <c r="AN238" s="85">
        <f t="shared" si="779"/>
        <v>30</v>
      </c>
      <c r="AO238" s="85">
        <f>'Consumer Hardware Pricing'!AD246</f>
        <v>15</v>
      </c>
      <c r="AP238" s="85">
        <f t="shared" si="794"/>
        <v>15</v>
      </c>
      <c r="AQ238" s="85">
        <f t="shared" si="795"/>
        <v>360</v>
      </c>
      <c r="AR238" s="85">
        <f t="shared" si="796"/>
        <v>360</v>
      </c>
      <c r="AS238" s="85" t="str">
        <f>'Consumer Hardware Pricing'!AF246</f>
        <v>-</v>
      </c>
      <c r="AT238" s="85" t="str">
        <f t="shared" si="780"/>
        <v>-</v>
      </c>
      <c r="AU238" s="85" t="str">
        <f t="shared" si="797"/>
        <v>-</v>
      </c>
      <c r="AV238" s="85" t="str">
        <f t="shared" si="798"/>
        <v>-</v>
      </c>
      <c r="AW238" s="85" t="str">
        <f t="shared" si="799"/>
        <v>-</v>
      </c>
      <c r="AX238" s="85" t="str">
        <f>'Consumer Hardware Pricing'!AH246</f>
        <v>-</v>
      </c>
      <c r="AY238" s="85" t="str">
        <f t="shared" si="781"/>
        <v>-</v>
      </c>
      <c r="AZ238" s="85" t="str">
        <f>'Consumer Hardware Pricing'!AI246</f>
        <v>-</v>
      </c>
      <c r="BA238" s="85" t="str">
        <f t="shared" si="620"/>
        <v>-</v>
      </c>
      <c r="BB238" s="85" t="str">
        <f t="shared" si="621"/>
        <v>-</v>
      </c>
      <c r="BC238" s="85" t="str">
        <f t="shared" si="637"/>
        <v>-</v>
      </c>
      <c r="BD238" s="85" t="str">
        <f>'Consumer Hardware Pricing'!AL246</f>
        <v>-</v>
      </c>
      <c r="BE238" s="85" t="str">
        <f t="shared" si="782"/>
        <v>-</v>
      </c>
      <c r="BF238" s="85" t="str">
        <f>'Consumer Hardware Pricing'!AM246</f>
        <v>-</v>
      </c>
      <c r="BG238" s="85" t="str">
        <f t="shared" si="622"/>
        <v>-</v>
      </c>
      <c r="BH238" s="85" t="str">
        <f t="shared" si="623"/>
        <v>-</v>
      </c>
      <c r="BI238" s="85" t="str">
        <f t="shared" si="638"/>
        <v>-</v>
      </c>
      <c r="BJ238" s="85" t="str">
        <f>'Consumer Hardware Pricing'!AP246</f>
        <v>-</v>
      </c>
      <c r="BK238" s="85" t="str">
        <f t="shared" si="783"/>
        <v>-</v>
      </c>
      <c r="BL238" s="85" t="str">
        <f>'Consumer Hardware Pricing'!AQ246</f>
        <v>-</v>
      </c>
      <c r="BM238" s="85" t="str">
        <f t="shared" si="624"/>
        <v>-</v>
      </c>
      <c r="BN238" s="85" t="str">
        <f t="shared" si="625"/>
        <v>-</v>
      </c>
      <c r="BO238" s="85" t="str">
        <f t="shared" si="639"/>
        <v>-</v>
      </c>
      <c r="BP238" s="85" t="str">
        <f>'Consumer Hardware Pricing'!AT246</f>
        <v>-</v>
      </c>
      <c r="BQ238" s="85" t="str">
        <f t="shared" si="784"/>
        <v>-</v>
      </c>
      <c r="BR238" s="85" t="str">
        <f>'Consumer Hardware Pricing'!AU246</f>
        <v>-</v>
      </c>
      <c r="BS238" s="85" t="str">
        <f t="shared" si="626"/>
        <v>-</v>
      </c>
      <c r="BT238" s="85" t="str">
        <f t="shared" si="627"/>
        <v>-</v>
      </c>
      <c r="BU238" s="85" t="str">
        <f t="shared" si="640"/>
        <v>-</v>
      </c>
    </row>
    <row r="239" spans="1:73" ht="30.15" customHeight="1" x14ac:dyDescent="0.25">
      <c r="A239" s="87" t="s">
        <v>34</v>
      </c>
      <c r="B239" s="130" t="s">
        <v>510</v>
      </c>
      <c r="C239" s="130" t="s">
        <v>504</v>
      </c>
      <c r="D239" s="85">
        <f>'Consumer Hardware Pricing'!L247</f>
        <v>720</v>
      </c>
      <c r="E239" s="85">
        <f>'Consumer Hardware Pricing'!M247</f>
        <v>720</v>
      </c>
      <c r="F239" s="85">
        <f>'Consumer Hardware Pricing'!N247</f>
        <v>0</v>
      </c>
      <c r="G239" s="85">
        <f t="shared" si="785"/>
        <v>30</v>
      </c>
      <c r="H239" s="85" t="str">
        <f>'Consumer Hardware Pricing'!O247</f>
        <v>-</v>
      </c>
      <c r="I239" s="85">
        <f t="shared" ref="I239:I314" si="800">IF(H239="-",G239,G239-H239)</f>
        <v>30</v>
      </c>
      <c r="J239" s="85" t="str">
        <f t="shared" si="628"/>
        <v>-</v>
      </c>
      <c r="K239" s="85">
        <f t="shared" si="629"/>
        <v>720</v>
      </c>
      <c r="L239" s="85" t="str">
        <f>'Consumer Hardware Pricing'!Q247</f>
        <v>-</v>
      </c>
      <c r="M239" s="85" t="str">
        <f t="shared" si="786"/>
        <v>-</v>
      </c>
      <c r="N239" s="85" t="str">
        <f t="shared" ref="N239:N314" si="801">IF(L239="-",L239,G239-M239)</f>
        <v>-</v>
      </c>
      <c r="O239" s="85" t="str">
        <f t="shared" ref="O239:O314" si="802">IF(L239="-",L239,M239*24)</f>
        <v>-</v>
      </c>
      <c r="P239" s="85" t="str">
        <f t="shared" si="630"/>
        <v>-</v>
      </c>
      <c r="Q239" s="85">
        <f>'Consumer Hardware Pricing'!S247</f>
        <v>0</v>
      </c>
      <c r="R239" s="85">
        <f t="shared" ref="R239:R314" si="803">G239</f>
        <v>30</v>
      </c>
      <c r="S239" s="85" t="str">
        <f>'Consumer Hardware Pricing'!T247</f>
        <v>-</v>
      </c>
      <c r="T239" s="129">
        <f t="shared" si="631"/>
        <v>30</v>
      </c>
      <c r="U239" s="129" t="str">
        <f t="shared" si="632"/>
        <v>-</v>
      </c>
      <c r="V239" s="85">
        <f t="shared" si="633"/>
        <v>720</v>
      </c>
      <c r="W239" s="129" t="str">
        <f>'Consumer Hardware Pricing'!V247</f>
        <v>-</v>
      </c>
      <c r="X239" s="129" t="str">
        <f t="shared" si="787"/>
        <v>-</v>
      </c>
      <c r="Y239" s="129" t="str">
        <f t="shared" si="634"/>
        <v>-</v>
      </c>
      <c r="Z239" s="129" t="str">
        <f t="shared" si="635"/>
        <v>-</v>
      </c>
      <c r="AA239" s="85" t="str">
        <f t="shared" si="636"/>
        <v>-</v>
      </c>
      <c r="AB239" s="85">
        <f>'Consumer Hardware Pricing'!X247</f>
        <v>0</v>
      </c>
      <c r="AC239" s="85">
        <f t="shared" si="777"/>
        <v>30</v>
      </c>
      <c r="AD239" s="85">
        <f>'Consumer Hardware Pricing'!Y247</f>
        <v>15</v>
      </c>
      <c r="AE239" s="85">
        <f t="shared" si="788"/>
        <v>15</v>
      </c>
      <c r="AF239" s="85">
        <f t="shared" si="789"/>
        <v>360</v>
      </c>
      <c r="AG239" s="85">
        <f t="shared" si="790"/>
        <v>360</v>
      </c>
      <c r="AH239" s="85" t="str">
        <f>'Consumer Hardware Pricing'!AA247</f>
        <v>-</v>
      </c>
      <c r="AI239" s="85" t="str">
        <f t="shared" si="778"/>
        <v>-</v>
      </c>
      <c r="AJ239" s="85" t="str">
        <f t="shared" si="791"/>
        <v>-</v>
      </c>
      <c r="AK239" s="85" t="str">
        <f t="shared" si="792"/>
        <v>-</v>
      </c>
      <c r="AL239" s="85" t="str">
        <f t="shared" si="793"/>
        <v>-</v>
      </c>
      <c r="AM239" s="85">
        <f>'Consumer Hardware Pricing'!AC247</f>
        <v>0</v>
      </c>
      <c r="AN239" s="85">
        <f t="shared" si="779"/>
        <v>30</v>
      </c>
      <c r="AO239" s="85">
        <f>'Consumer Hardware Pricing'!AD247</f>
        <v>15</v>
      </c>
      <c r="AP239" s="85">
        <f t="shared" si="794"/>
        <v>15</v>
      </c>
      <c r="AQ239" s="85">
        <f t="shared" si="795"/>
        <v>360</v>
      </c>
      <c r="AR239" s="85">
        <f t="shared" si="796"/>
        <v>360</v>
      </c>
      <c r="AS239" s="85" t="str">
        <f>'Consumer Hardware Pricing'!AF247</f>
        <v>-</v>
      </c>
      <c r="AT239" s="85" t="str">
        <f t="shared" si="780"/>
        <v>-</v>
      </c>
      <c r="AU239" s="85" t="str">
        <f t="shared" si="797"/>
        <v>-</v>
      </c>
      <c r="AV239" s="85" t="str">
        <f t="shared" si="798"/>
        <v>-</v>
      </c>
      <c r="AW239" s="85" t="str">
        <f t="shared" si="799"/>
        <v>-</v>
      </c>
      <c r="AX239" s="85" t="str">
        <f>'Consumer Hardware Pricing'!AH247</f>
        <v>-</v>
      </c>
      <c r="AY239" s="85" t="str">
        <f t="shared" si="781"/>
        <v>-</v>
      </c>
      <c r="AZ239" s="85" t="str">
        <f>'Consumer Hardware Pricing'!AI247</f>
        <v>-</v>
      </c>
      <c r="BA239" s="85" t="str">
        <f t="shared" ref="BA239:BA314" si="804">IF(AZ239="-",AY239,AY239-AZ239)</f>
        <v>-</v>
      </c>
      <c r="BB239" s="85" t="str">
        <f t="shared" ref="BB239:BB314" si="805">IF(AZ239="-",AZ239,AZ239*24)</f>
        <v>-</v>
      </c>
      <c r="BC239" s="85" t="str">
        <f t="shared" si="637"/>
        <v>-</v>
      </c>
      <c r="BD239" s="85" t="str">
        <f>'Consumer Hardware Pricing'!AL247</f>
        <v>-</v>
      </c>
      <c r="BE239" s="85" t="str">
        <f t="shared" si="782"/>
        <v>-</v>
      </c>
      <c r="BF239" s="85" t="str">
        <f>'Consumer Hardware Pricing'!AM247</f>
        <v>-</v>
      </c>
      <c r="BG239" s="85" t="str">
        <f t="shared" ref="BG239:BG314" si="806">IF(BF239="-",BE239,BE239-BF239)</f>
        <v>-</v>
      </c>
      <c r="BH239" s="85" t="str">
        <f t="shared" ref="BH239:BH314" si="807">IF(BF239="-",BF239,BF239*24)</f>
        <v>-</v>
      </c>
      <c r="BI239" s="85" t="str">
        <f t="shared" si="638"/>
        <v>-</v>
      </c>
      <c r="BJ239" s="85" t="str">
        <f>'Consumer Hardware Pricing'!AP247</f>
        <v>-</v>
      </c>
      <c r="BK239" s="85" t="str">
        <f t="shared" si="783"/>
        <v>-</v>
      </c>
      <c r="BL239" s="85" t="str">
        <f>'Consumer Hardware Pricing'!AQ247</f>
        <v>-</v>
      </c>
      <c r="BM239" s="85" t="str">
        <f t="shared" ref="BM239:BM314" si="808">IF(BL239="-",BK239,BK239-BL239)</f>
        <v>-</v>
      </c>
      <c r="BN239" s="85" t="str">
        <f t="shared" ref="BN239:BN314" si="809">IF(BL239="-",BL239,BL239*24)</f>
        <v>-</v>
      </c>
      <c r="BO239" s="85" t="str">
        <f t="shared" si="639"/>
        <v>-</v>
      </c>
      <c r="BP239" s="85" t="str">
        <f>'Consumer Hardware Pricing'!AT247</f>
        <v>-</v>
      </c>
      <c r="BQ239" s="85" t="str">
        <f t="shared" si="784"/>
        <v>-</v>
      </c>
      <c r="BR239" s="85" t="str">
        <f>'Consumer Hardware Pricing'!AU247</f>
        <v>-</v>
      </c>
      <c r="BS239" s="85" t="str">
        <f t="shared" ref="BS239:BS314" si="810">IF(BR239="-",BQ239,BQ239-BR239)</f>
        <v>-</v>
      </c>
      <c r="BT239" s="85" t="str">
        <f t="shared" ref="BT239:BT314" si="811">IF(BR239="-",BR239,BR239*24)</f>
        <v>-</v>
      </c>
      <c r="BU239" s="85" t="str">
        <f t="shared" si="640"/>
        <v>-</v>
      </c>
    </row>
    <row r="240" spans="1:73" ht="30.15" customHeight="1" x14ac:dyDescent="0.25">
      <c r="A240" s="87" t="s">
        <v>34</v>
      </c>
      <c r="B240" s="130" t="s">
        <v>511</v>
      </c>
      <c r="C240" s="130" t="s">
        <v>504</v>
      </c>
      <c r="D240" s="85">
        <f>'Consumer Hardware Pricing'!L248</f>
        <v>720</v>
      </c>
      <c r="E240" s="85">
        <f>'Consumer Hardware Pricing'!M248</f>
        <v>720</v>
      </c>
      <c r="F240" s="85">
        <f>'Consumer Hardware Pricing'!N248</f>
        <v>0</v>
      </c>
      <c r="G240" s="85">
        <f t="shared" si="785"/>
        <v>30</v>
      </c>
      <c r="H240" s="85" t="str">
        <f>'Consumer Hardware Pricing'!O248</f>
        <v>-</v>
      </c>
      <c r="I240" s="85">
        <f t="shared" si="800"/>
        <v>30</v>
      </c>
      <c r="J240" s="85" t="str">
        <f t="shared" ref="J240:J315" si="812">IF(H240="-",H240,H240*24)</f>
        <v>-</v>
      </c>
      <c r="K240" s="85">
        <f t="shared" ref="K240:K315" si="813">IF(F240="-",F240,I240*24)</f>
        <v>720</v>
      </c>
      <c r="L240" s="85" t="str">
        <f>'Consumer Hardware Pricing'!Q248</f>
        <v>-</v>
      </c>
      <c r="M240" s="85" t="str">
        <f t="shared" si="786"/>
        <v>-</v>
      </c>
      <c r="N240" s="85" t="str">
        <f t="shared" si="801"/>
        <v>-</v>
      </c>
      <c r="O240" s="85" t="str">
        <f t="shared" si="802"/>
        <v>-</v>
      </c>
      <c r="P240" s="85" t="str">
        <f t="shared" ref="P240:P315" si="814">IF(L240="-",L240,N240*24)</f>
        <v>-</v>
      </c>
      <c r="Q240" s="85">
        <f>'Consumer Hardware Pricing'!S248</f>
        <v>0</v>
      </c>
      <c r="R240" s="85">
        <f t="shared" si="803"/>
        <v>30</v>
      </c>
      <c r="S240" s="85" t="str">
        <f>'Consumer Hardware Pricing'!T248</f>
        <v>-</v>
      </c>
      <c r="T240" s="129">
        <f t="shared" ref="T240:T315" si="815">IF(S240="-",R240,R240-S240)</f>
        <v>30</v>
      </c>
      <c r="U240" s="129" t="str">
        <f t="shared" ref="U240:U315" si="816">IF(S240="-",S240,S240*24)</f>
        <v>-</v>
      </c>
      <c r="V240" s="85">
        <f t="shared" ref="V240:V315" si="817">IF(Q240="-",Q240,T240*24)</f>
        <v>720</v>
      </c>
      <c r="W240" s="129" t="str">
        <f>'Consumer Hardware Pricing'!V248</f>
        <v>-</v>
      </c>
      <c r="X240" s="129" t="str">
        <f t="shared" si="787"/>
        <v>-</v>
      </c>
      <c r="Y240" s="129" t="str">
        <f t="shared" ref="Y240:Y315" si="818">IF(W240="-",W240,R240-X240)</f>
        <v>-</v>
      </c>
      <c r="Z240" s="129" t="str">
        <f t="shared" ref="Z240:Z315" si="819">IF(W240="-",W240,X240*24)</f>
        <v>-</v>
      </c>
      <c r="AA240" s="85" t="str">
        <f t="shared" ref="AA240:AA315" si="820">IF(W240="-",W240,Y240*24)</f>
        <v>-</v>
      </c>
      <c r="AB240" s="85">
        <f>'Consumer Hardware Pricing'!X248</f>
        <v>0</v>
      </c>
      <c r="AC240" s="85">
        <f t="shared" si="777"/>
        <v>30</v>
      </c>
      <c r="AD240" s="85">
        <f>'Consumer Hardware Pricing'!Y248</f>
        <v>15</v>
      </c>
      <c r="AE240" s="85">
        <f t="shared" si="788"/>
        <v>15</v>
      </c>
      <c r="AF240" s="85">
        <f t="shared" si="789"/>
        <v>360</v>
      </c>
      <c r="AG240" s="85">
        <f t="shared" si="790"/>
        <v>360</v>
      </c>
      <c r="AH240" s="85" t="str">
        <f>'Consumer Hardware Pricing'!AA248</f>
        <v>-</v>
      </c>
      <c r="AI240" s="85" t="str">
        <f t="shared" si="778"/>
        <v>-</v>
      </c>
      <c r="AJ240" s="85" t="str">
        <f t="shared" si="791"/>
        <v>-</v>
      </c>
      <c r="AK240" s="85" t="str">
        <f t="shared" si="792"/>
        <v>-</v>
      </c>
      <c r="AL240" s="85" t="str">
        <f t="shared" si="793"/>
        <v>-</v>
      </c>
      <c r="AM240" s="85">
        <f>'Consumer Hardware Pricing'!AC248</f>
        <v>0</v>
      </c>
      <c r="AN240" s="85">
        <f t="shared" si="779"/>
        <v>30</v>
      </c>
      <c r="AO240" s="85">
        <f>'Consumer Hardware Pricing'!AD248</f>
        <v>15</v>
      </c>
      <c r="AP240" s="85">
        <f t="shared" si="794"/>
        <v>15</v>
      </c>
      <c r="AQ240" s="85">
        <f t="shared" si="795"/>
        <v>360</v>
      </c>
      <c r="AR240" s="85">
        <f t="shared" si="796"/>
        <v>360</v>
      </c>
      <c r="AS240" s="85" t="str">
        <f>'Consumer Hardware Pricing'!AF248</f>
        <v>-</v>
      </c>
      <c r="AT240" s="85" t="str">
        <f t="shared" si="780"/>
        <v>-</v>
      </c>
      <c r="AU240" s="85" t="str">
        <f t="shared" si="797"/>
        <v>-</v>
      </c>
      <c r="AV240" s="85" t="str">
        <f t="shared" si="798"/>
        <v>-</v>
      </c>
      <c r="AW240" s="85" t="str">
        <f t="shared" si="799"/>
        <v>-</v>
      </c>
      <c r="AX240" s="85" t="str">
        <f>'Consumer Hardware Pricing'!AH248</f>
        <v>-</v>
      </c>
      <c r="AY240" s="85" t="str">
        <f t="shared" si="781"/>
        <v>-</v>
      </c>
      <c r="AZ240" s="85" t="str">
        <f>'Consumer Hardware Pricing'!AI248</f>
        <v>-</v>
      </c>
      <c r="BA240" s="85" t="str">
        <f t="shared" si="804"/>
        <v>-</v>
      </c>
      <c r="BB240" s="85" t="str">
        <f t="shared" si="805"/>
        <v>-</v>
      </c>
      <c r="BC240" s="85" t="str">
        <f t="shared" ref="BC240:BC315" si="821">IF(AX240="-",AX240,AX240+(BA240*24))</f>
        <v>-</v>
      </c>
      <c r="BD240" s="85" t="str">
        <f>'Consumer Hardware Pricing'!AL248</f>
        <v>-</v>
      </c>
      <c r="BE240" s="85" t="str">
        <f t="shared" si="782"/>
        <v>-</v>
      </c>
      <c r="BF240" s="85" t="str">
        <f>'Consumer Hardware Pricing'!AM248</f>
        <v>-</v>
      </c>
      <c r="BG240" s="85" t="str">
        <f t="shared" si="806"/>
        <v>-</v>
      </c>
      <c r="BH240" s="85" t="str">
        <f t="shared" si="807"/>
        <v>-</v>
      </c>
      <c r="BI240" s="85" t="str">
        <f t="shared" ref="BI240:BI315" si="822">IF(BD240="-",BD240,BD240+(BG240*24))</f>
        <v>-</v>
      </c>
      <c r="BJ240" s="85" t="str">
        <f>'Consumer Hardware Pricing'!AP248</f>
        <v>-</v>
      </c>
      <c r="BK240" s="85" t="str">
        <f t="shared" si="783"/>
        <v>-</v>
      </c>
      <c r="BL240" s="85" t="str">
        <f>'Consumer Hardware Pricing'!AQ248</f>
        <v>-</v>
      </c>
      <c r="BM240" s="85" t="str">
        <f t="shared" si="808"/>
        <v>-</v>
      </c>
      <c r="BN240" s="85" t="str">
        <f t="shared" si="809"/>
        <v>-</v>
      </c>
      <c r="BO240" s="85" t="str">
        <f t="shared" ref="BO240:BO315" si="823">IF(BJ240="-",BJ240,BJ240+(BM240*24))</f>
        <v>-</v>
      </c>
      <c r="BP240" s="85" t="str">
        <f>'Consumer Hardware Pricing'!AT248</f>
        <v>-</v>
      </c>
      <c r="BQ240" s="85" t="str">
        <f t="shared" si="784"/>
        <v>-</v>
      </c>
      <c r="BR240" s="85" t="str">
        <f>'Consumer Hardware Pricing'!AU248</f>
        <v>-</v>
      </c>
      <c r="BS240" s="85" t="str">
        <f t="shared" si="810"/>
        <v>-</v>
      </c>
      <c r="BT240" s="85" t="str">
        <f t="shared" si="811"/>
        <v>-</v>
      </c>
      <c r="BU240" s="85" t="str">
        <f t="shared" ref="BU240:BU315" si="824">IF(BP240="-",BP240,BP240+(BS240*24))</f>
        <v>-</v>
      </c>
    </row>
    <row r="241" spans="1:73" ht="30.15" customHeight="1" x14ac:dyDescent="0.25">
      <c r="A241" s="87" t="s">
        <v>34</v>
      </c>
      <c r="B241" s="130" t="s">
        <v>512</v>
      </c>
      <c r="C241" s="130" t="s">
        <v>504</v>
      </c>
      <c r="D241" s="85">
        <f>'Consumer Hardware Pricing'!L249</f>
        <v>720</v>
      </c>
      <c r="E241" s="85">
        <f>'Consumer Hardware Pricing'!M249</f>
        <v>720</v>
      </c>
      <c r="F241" s="85">
        <f>'Consumer Hardware Pricing'!N249</f>
        <v>0</v>
      </c>
      <c r="G241" s="85">
        <f t="shared" si="785"/>
        <v>30</v>
      </c>
      <c r="H241" s="85" t="str">
        <f>'Consumer Hardware Pricing'!O249</f>
        <v>-</v>
      </c>
      <c r="I241" s="85">
        <f t="shared" si="800"/>
        <v>30</v>
      </c>
      <c r="J241" s="85" t="str">
        <f t="shared" si="812"/>
        <v>-</v>
      </c>
      <c r="K241" s="85">
        <f t="shared" si="813"/>
        <v>720</v>
      </c>
      <c r="L241" s="85" t="str">
        <f>'Consumer Hardware Pricing'!Q249</f>
        <v>-</v>
      </c>
      <c r="M241" s="85" t="str">
        <f t="shared" si="786"/>
        <v>-</v>
      </c>
      <c r="N241" s="85" t="str">
        <f t="shared" si="801"/>
        <v>-</v>
      </c>
      <c r="O241" s="85" t="str">
        <f t="shared" si="802"/>
        <v>-</v>
      </c>
      <c r="P241" s="85" t="str">
        <f t="shared" si="814"/>
        <v>-</v>
      </c>
      <c r="Q241" s="85">
        <f>'Consumer Hardware Pricing'!S249</f>
        <v>0</v>
      </c>
      <c r="R241" s="85">
        <f t="shared" si="803"/>
        <v>30</v>
      </c>
      <c r="S241" s="85" t="str">
        <f>'Consumer Hardware Pricing'!T249</f>
        <v>-</v>
      </c>
      <c r="T241" s="129">
        <f t="shared" si="815"/>
        <v>30</v>
      </c>
      <c r="U241" s="129" t="str">
        <f t="shared" si="816"/>
        <v>-</v>
      </c>
      <c r="V241" s="85">
        <f t="shared" si="817"/>
        <v>720</v>
      </c>
      <c r="W241" s="129" t="str">
        <f>'Consumer Hardware Pricing'!V249</f>
        <v>-</v>
      </c>
      <c r="X241" s="129" t="str">
        <f t="shared" si="787"/>
        <v>-</v>
      </c>
      <c r="Y241" s="129" t="str">
        <f t="shared" si="818"/>
        <v>-</v>
      </c>
      <c r="Z241" s="129" t="str">
        <f t="shared" si="819"/>
        <v>-</v>
      </c>
      <c r="AA241" s="85" t="str">
        <f t="shared" si="820"/>
        <v>-</v>
      </c>
      <c r="AB241" s="85">
        <f>'Consumer Hardware Pricing'!X249</f>
        <v>0</v>
      </c>
      <c r="AC241" s="85">
        <f t="shared" si="777"/>
        <v>30</v>
      </c>
      <c r="AD241" s="85">
        <f>'Consumer Hardware Pricing'!Y249</f>
        <v>15</v>
      </c>
      <c r="AE241" s="85">
        <f t="shared" si="788"/>
        <v>15</v>
      </c>
      <c r="AF241" s="85">
        <f t="shared" si="789"/>
        <v>360</v>
      </c>
      <c r="AG241" s="85">
        <f t="shared" si="790"/>
        <v>360</v>
      </c>
      <c r="AH241" s="85" t="str">
        <f>'Consumer Hardware Pricing'!AA249</f>
        <v>-</v>
      </c>
      <c r="AI241" s="85" t="str">
        <f t="shared" si="778"/>
        <v>-</v>
      </c>
      <c r="AJ241" s="85" t="str">
        <f t="shared" si="791"/>
        <v>-</v>
      </c>
      <c r="AK241" s="85" t="str">
        <f t="shared" si="792"/>
        <v>-</v>
      </c>
      <c r="AL241" s="85" t="str">
        <f t="shared" si="793"/>
        <v>-</v>
      </c>
      <c r="AM241" s="85">
        <f>'Consumer Hardware Pricing'!AC249</f>
        <v>0</v>
      </c>
      <c r="AN241" s="85">
        <f t="shared" si="779"/>
        <v>30</v>
      </c>
      <c r="AO241" s="85">
        <f>'Consumer Hardware Pricing'!AD249</f>
        <v>15</v>
      </c>
      <c r="AP241" s="85">
        <f t="shared" si="794"/>
        <v>15</v>
      </c>
      <c r="AQ241" s="85">
        <f t="shared" si="795"/>
        <v>360</v>
      </c>
      <c r="AR241" s="85">
        <f t="shared" si="796"/>
        <v>360</v>
      </c>
      <c r="AS241" s="85" t="str">
        <f>'Consumer Hardware Pricing'!AF249</f>
        <v>-</v>
      </c>
      <c r="AT241" s="85" t="str">
        <f t="shared" si="780"/>
        <v>-</v>
      </c>
      <c r="AU241" s="85" t="str">
        <f t="shared" si="797"/>
        <v>-</v>
      </c>
      <c r="AV241" s="85" t="str">
        <f t="shared" si="798"/>
        <v>-</v>
      </c>
      <c r="AW241" s="85" t="str">
        <f t="shared" si="799"/>
        <v>-</v>
      </c>
      <c r="AX241" s="85" t="str">
        <f>'Consumer Hardware Pricing'!AH249</f>
        <v>-</v>
      </c>
      <c r="AY241" s="85" t="str">
        <f t="shared" si="781"/>
        <v>-</v>
      </c>
      <c r="AZ241" s="85" t="str">
        <f>'Consumer Hardware Pricing'!AI249</f>
        <v>-</v>
      </c>
      <c r="BA241" s="85" t="str">
        <f t="shared" si="804"/>
        <v>-</v>
      </c>
      <c r="BB241" s="85" t="str">
        <f t="shared" si="805"/>
        <v>-</v>
      </c>
      <c r="BC241" s="85" t="str">
        <f t="shared" si="821"/>
        <v>-</v>
      </c>
      <c r="BD241" s="85" t="str">
        <f>'Consumer Hardware Pricing'!AL249</f>
        <v>-</v>
      </c>
      <c r="BE241" s="85" t="str">
        <f t="shared" si="782"/>
        <v>-</v>
      </c>
      <c r="BF241" s="85" t="str">
        <f>'Consumer Hardware Pricing'!AM249</f>
        <v>-</v>
      </c>
      <c r="BG241" s="85" t="str">
        <f t="shared" si="806"/>
        <v>-</v>
      </c>
      <c r="BH241" s="85" t="str">
        <f t="shared" si="807"/>
        <v>-</v>
      </c>
      <c r="BI241" s="85" t="str">
        <f t="shared" si="822"/>
        <v>-</v>
      </c>
      <c r="BJ241" s="85" t="str">
        <f>'Consumer Hardware Pricing'!AP249</f>
        <v>-</v>
      </c>
      <c r="BK241" s="85" t="str">
        <f t="shared" si="783"/>
        <v>-</v>
      </c>
      <c r="BL241" s="85" t="str">
        <f>'Consumer Hardware Pricing'!AQ249</f>
        <v>-</v>
      </c>
      <c r="BM241" s="85" t="str">
        <f t="shared" si="808"/>
        <v>-</v>
      </c>
      <c r="BN241" s="85" t="str">
        <f t="shared" si="809"/>
        <v>-</v>
      </c>
      <c r="BO241" s="85" t="str">
        <f t="shared" si="823"/>
        <v>-</v>
      </c>
      <c r="BP241" s="85" t="str">
        <f>'Consumer Hardware Pricing'!AT249</f>
        <v>-</v>
      </c>
      <c r="BQ241" s="85" t="str">
        <f t="shared" si="784"/>
        <v>-</v>
      </c>
      <c r="BR241" s="85" t="str">
        <f>'Consumer Hardware Pricing'!AU249</f>
        <v>-</v>
      </c>
      <c r="BS241" s="85" t="str">
        <f t="shared" si="810"/>
        <v>-</v>
      </c>
      <c r="BT241" s="85" t="str">
        <f t="shared" si="811"/>
        <v>-</v>
      </c>
      <c r="BU241" s="85" t="str">
        <f t="shared" si="824"/>
        <v>-</v>
      </c>
    </row>
    <row r="242" spans="1:73" ht="30.15" customHeight="1" x14ac:dyDescent="0.25">
      <c r="A242" s="87" t="s">
        <v>34</v>
      </c>
      <c r="B242" s="130" t="s">
        <v>513</v>
      </c>
      <c r="C242" s="130" t="s">
        <v>506</v>
      </c>
      <c r="D242" s="85">
        <f>'Consumer Hardware Pricing'!L250</f>
        <v>790</v>
      </c>
      <c r="E242" s="85">
        <f>'Consumer Hardware Pricing'!M250</f>
        <v>790</v>
      </c>
      <c r="F242" s="85">
        <f>'Consumer Hardware Pricing'!N250</f>
        <v>0</v>
      </c>
      <c r="G242" s="85">
        <f t="shared" si="785"/>
        <v>32.919999999999995</v>
      </c>
      <c r="H242" s="85" t="str">
        <f>'Consumer Hardware Pricing'!O250</f>
        <v>-</v>
      </c>
      <c r="I242" s="85">
        <f t="shared" si="800"/>
        <v>32.919999999999995</v>
      </c>
      <c r="J242" s="85" t="str">
        <f t="shared" si="812"/>
        <v>-</v>
      </c>
      <c r="K242" s="85">
        <f t="shared" si="813"/>
        <v>790.07999999999993</v>
      </c>
      <c r="L242" s="85" t="str">
        <f>'Consumer Hardware Pricing'!Q250</f>
        <v>-</v>
      </c>
      <c r="M242" s="85" t="str">
        <f t="shared" si="786"/>
        <v>-</v>
      </c>
      <c r="N242" s="85" t="str">
        <f t="shared" si="801"/>
        <v>-</v>
      </c>
      <c r="O242" s="85" t="str">
        <f t="shared" si="802"/>
        <v>-</v>
      </c>
      <c r="P242" s="85" t="str">
        <f t="shared" si="814"/>
        <v>-</v>
      </c>
      <c r="Q242" s="85">
        <f>'Consumer Hardware Pricing'!S250</f>
        <v>0</v>
      </c>
      <c r="R242" s="85">
        <f t="shared" si="803"/>
        <v>32.919999999999995</v>
      </c>
      <c r="S242" s="85" t="str">
        <f>'Consumer Hardware Pricing'!T250</f>
        <v>-</v>
      </c>
      <c r="T242" s="129">
        <f t="shared" si="815"/>
        <v>32.919999999999995</v>
      </c>
      <c r="U242" s="129" t="str">
        <f t="shared" si="816"/>
        <v>-</v>
      </c>
      <c r="V242" s="85">
        <f t="shared" si="817"/>
        <v>790.07999999999993</v>
      </c>
      <c r="W242" s="129" t="str">
        <f>'Consumer Hardware Pricing'!V250</f>
        <v>-</v>
      </c>
      <c r="X242" s="129" t="str">
        <f t="shared" si="787"/>
        <v>-</v>
      </c>
      <c r="Y242" s="129" t="str">
        <f t="shared" si="818"/>
        <v>-</v>
      </c>
      <c r="Z242" s="129" t="str">
        <f t="shared" si="819"/>
        <v>-</v>
      </c>
      <c r="AA242" s="85" t="str">
        <f t="shared" si="820"/>
        <v>-</v>
      </c>
      <c r="AB242" s="85">
        <f>'Consumer Hardware Pricing'!X250</f>
        <v>0</v>
      </c>
      <c r="AC242" s="85">
        <f t="shared" si="777"/>
        <v>32.919999999999995</v>
      </c>
      <c r="AD242" s="85">
        <f>'Consumer Hardware Pricing'!Y250</f>
        <v>15</v>
      </c>
      <c r="AE242" s="85">
        <f t="shared" si="788"/>
        <v>17.919999999999995</v>
      </c>
      <c r="AF242" s="85">
        <f t="shared" si="789"/>
        <v>360</v>
      </c>
      <c r="AG242" s="85">
        <f t="shared" si="790"/>
        <v>430.07999999999987</v>
      </c>
      <c r="AH242" s="85" t="str">
        <f>'Consumer Hardware Pricing'!AA250</f>
        <v>-</v>
      </c>
      <c r="AI242" s="85" t="str">
        <f t="shared" si="778"/>
        <v>-</v>
      </c>
      <c r="AJ242" s="85" t="str">
        <f t="shared" si="791"/>
        <v>-</v>
      </c>
      <c r="AK242" s="85" t="str">
        <f t="shared" si="792"/>
        <v>-</v>
      </c>
      <c r="AL242" s="85" t="str">
        <f t="shared" si="793"/>
        <v>-</v>
      </c>
      <c r="AM242" s="85">
        <f>'Consumer Hardware Pricing'!AC250</f>
        <v>0</v>
      </c>
      <c r="AN242" s="85">
        <f t="shared" si="779"/>
        <v>32.919999999999995</v>
      </c>
      <c r="AO242" s="85">
        <f>'Consumer Hardware Pricing'!AD250</f>
        <v>15</v>
      </c>
      <c r="AP242" s="85">
        <f t="shared" si="794"/>
        <v>17.919999999999995</v>
      </c>
      <c r="AQ242" s="85">
        <f t="shared" si="795"/>
        <v>360</v>
      </c>
      <c r="AR242" s="85">
        <f t="shared" si="796"/>
        <v>430.07999999999987</v>
      </c>
      <c r="AS242" s="85" t="str">
        <f>'Consumer Hardware Pricing'!AF250</f>
        <v>-</v>
      </c>
      <c r="AT242" s="85" t="str">
        <f t="shared" si="780"/>
        <v>-</v>
      </c>
      <c r="AU242" s="85" t="str">
        <f t="shared" si="797"/>
        <v>-</v>
      </c>
      <c r="AV242" s="85" t="str">
        <f t="shared" si="798"/>
        <v>-</v>
      </c>
      <c r="AW242" s="85" t="str">
        <f t="shared" si="799"/>
        <v>-</v>
      </c>
      <c r="AX242" s="85" t="str">
        <f>'Consumer Hardware Pricing'!AH250</f>
        <v>-</v>
      </c>
      <c r="AY242" s="85" t="str">
        <f t="shared" si="781"/>
        <v>-</v>
      </c>
      <c r="AZ242" s="85" t="str">
        <f>'Consumer Hardware Pricing'!AI250</f>
        <v>-</v>
      </c>
      <c r="BA242" s="85" t="str">
        <f t="shared" si="804"/>
        <v>-</v>
      </c>
      <c r="BB242" s="85" t="str">
        <f t="shared" si="805"/>
        <v>-</v>
      </c>
      <c r="BC242" s="85" t="str">
        <f t="shared" si="821"/>
        <v>-</v>
      </c>
      <c r="BD242" s="85" t="str">
        <f>'Consumer Hardware Pricing'!AL250</f>
        <v>-</v>
      </c>
      <c r="BE242" s="85" t="str">
        <f t="shared" si="782"/>
        <v>-</v>
      </c>
      <c r="BF242" s="85" t="str">
        <f>'Consumer Hardware Pricing'!AM250</f>
        <v>-</v>
      </c>
      <c r="BG242" s="85" t="str">
        <f t="shared" si="806"/>
        <v>-</v>
      </c>
      <c r="BH242" s="85" t="str">
        <f t="shared" si="807"/>
        <v>-</v>
      </c>
      <c r="BI242" s="85" t="str">
        <f t="shared" si="822"/>
        <v>-</v>
      </c>
      <c r="BJ242" s="85" t="str">
        <f>'Consumer Hardware Pricing'!AP250</f>
        <v>-</v>
      </c>
      <c r="BK242" s="85" t="str">
        <f t="shared" si="783"/>
        <v>-</v>
      </c>
      <c r="BL242" s="85" t="str">
        <f>'Consumer Hardware Pricing'!AQ250</f>
        <v>-</v>
      </c>
      <c r="BM242" s="85" t="str">
        <f t="shared" si="808"/>
        <v>-</v>
      </c>
      <c r="BN242" s="85" t="str">
        <f t="shared" si="809"/>
        <v>-</v>
      </c>
      <c r="BO242" s="85" t="str">
        <f t="shared" si="823"/>
        <v>-</v>
      </c>
      <c r="BP242" s="85" t="str">
        <f>'Consumer Hardware Pricing'!AT250</f>
        <v>-</v>
      </c>
      <c r="BQ242" s="85" t="str">
        <f t="shared" si="784"/>
        <v>-</v>
      </c>
      <c r="BR242" s="85" t="str">
        <f>'Consumer Hardware Pricing'!AU250</f>
        <v>-</v>
      </c>
      <c r="BS242" s="85" t="str">
        <f t="shared" si="810"/>
        <v>-</v>
      </c>
      <c r="BT242" s="85" t="str">
        <f t="shared" si="811"/>
        <v>-</v>
      </c>
      <c r="BU242" s="85" t="str">
        <f t="shared" si="824"/>
        <v>-</v>
      </c>
    </row>
    <row r="243" spans="1:73" ht="30.15" customHeight="1" x14ac:dyDescent="0.25">
      <c r="A243" s="87" t="s">
        <v>34</v>
      </c>
      <c r="B243" s="130" t="s">
        <v>514</v>
      </c>
      <c r="C243" s="130" t="s">
        <v>506</v>
      </c>
      <c r="D243" s="85">
        <f>'Consumer Hardware Pricing'!L251</f>
        <v>790</v>
      </c>
      <c r="E243" s="85">
        <f>'Consumer Hardware Pricing'!M251</f>
        <v>790</v>
      </c>
      <c r="F243" s="85">
        <f>'Consumer Hardware Pricing'!N251</f>
        <v>0</v>
      </c>
      <c r="G243" s="85">
        <f t="shared" si="785"/>
        <v>32.919999999999995</v>
      </c>
      <c r="H243" s="85" t="str">
        <f>'Consumer Hardware Pricing'!O251</f>
        <v>-</v>
      </c>
      <c r="I243" s="85">
        <f t="shared" si="800"/>
        <v>32.919999999999995</v>
      </c>
      <c r="J243" s="85" t="str">
        <f t="shared" si="812"/>
        <v>-</v>
      </c>
      <c r="K243" s="85">
        <f t="shared" si="813"/>
        <v>790.07999999999993</v>
      </c>
      <c r="L243" s="85" t="str">
        <f>'Consumer Hardware Pricing'!Q251</f>
        <v>-</v>
      </c>
      <c r="M243" s="85" t="str">
        <f t="shared" si="786"/>
        <v>-</v>
      </c>
      <c r="N243" s="85" t="str">
        <f t="shared" si="801"/>
        <v>-</v>
      </c>
      <c r="O243" s="85" t="str">
        <f t="shared" si="802"/>
        <v>-</v>
      </c>
      <c r="P243" s="85" t="str">
        <f t="shared" si="814"/>
        <v>-</v>
      </c>
      <c r="Q243" s="85">
        <f>'Consumer Hardware Pricing'!S251</f>
        <v>0</v>
      </c>
      <c r="R243" s="85">
        <f t="shared" si="803"/>
        <v>32.919999999999995</v>
      </c>
      <c r="S243" s="85" t="str">
        <f>'Consumer Hardware Pricing'!T251</f>
        <v>-</v>
      </c>
      <c r="T243" s="129">
        <f t="shared" si="815"/>
        <v>32.919999999999995</v>
      </c>
      <c r="U243" s="129" t="str">
        <f t="shared" si="816"/>
        <v>-</v>
      </c>
      <c r="V243" s="85">
        <f t="shared" si="817"/>
        <v>790.07999999999993</v>
      </c>
      <c r="W243" s="129" t="str">
        <f>'Consumer Hardware Pricing'!V251</f>
        <v>-</v>
      </c>
      <c r="X243" s="129" t="str">
        <f t="shared" si="787"/>
        <v>-</v>
      </c>
      <c r="Y243" s="129" t="str">
        <f t="shared" si="818"/>
        <v>-</v>
      </c>
      <c r="Z243" s="129" t="str">
        <f t="shared" si="819"/>
        <v>-</v>
      </c>
      <c r="AA243" s="85" t="str">
        <f t="shared" si="820"/>
        <v>-</v>
      </c>
      <c r="AB243" s="85">
        <f>'Consumer Hardware Pricing'!X251</f>
        <v>0</v>
      </c>
      <c r="AC243" s="85">
        <f t="shared" si="777"/>
        <v>32.919999999999995</v>
      </c>
      <c r="AD243" s="85">
        <f>'Consumer Hardware Pricing'!Y251</f>
        <v>15</v>
      </c>
      <c r="AE243" s="85">
        <f t="shared" si="788"/>
        <v>17.919999999999995</v>
      </c>
      <c r="AF243" s="85">
        <f t="shared" si="789"/>
        <v>360</v>
      </c>
      <c r="AG243" s="85">
        <f t="shared" si="790"/>
        <v>430.07999999999987</v>
      </c>
      <c r="AH243" s="85" t="str">
        <f>'Consumer Hardware Pricing'!AA251</f>
        <v>-</v>
      </c>
      <c r="AI243" s="85" t="str">
        <f t="shared" si="778"/>
        <v>-</v>
      </c>
      <c r="AJ243" s="85" t="str">
        <f t="shared" si="791"/>
        <v>-</v>
      </c>
      <c r="AK243" s="85" t="str">
        <f t="shared" si="792"/>
        <v>-</v>
      </c>
      <c r="AL243" s="85" t="str">
        <f t="shared" si="793"/>
        <v>-</v>
      </c>
      <c r="AM243" s="85">
        <f>'Consumer Hardware Pricing'!AC251</f>
        <v>0</v>
      </c>
      <c r="AN243" s="85">
        <f t="shared" si="779"/>
        <v>32.919999999999995</v>
      </c>
      <c r="AO243" s="85">
        <f>'Consumer Hardware Pricing'!AD251</f>
        <v>15</v>
      </c>
      <c r="AP243" s="85">
        <f t="shared" si="794"/>
        <v>17.919999999999995</v>
      </c>
      <c r="AQ243" s="85">
        <f t="shared" si="795"/>
        <v>360</v>
      </c>
      <c r="AR243" s="85">
        <f t="shared" si="796"/>
        <v>430.07999999999987</v>
      </c>
      <c r="AS243" s="85" t="str">
        <f>'Consumer Hardware Pricing'!AF251</f>
        <v>-</v>
      </c>
      <c r="AT243" s="85" t="str">
        <f t="shared" si="780"/>
        <v>-</v>
      </c>
      <c r="AU243" s="85" t="str">
        <f t="shared" si="797"/>
        <v>-</v>
      </c>
      <c r="AV243" s="85" t="str">
        <f t="shared" si="798"/>
        <v>-</v>
      </c>
      <c r="AW243" s="85" t="str">
        <f t="shared" si="799"/>
        <v>-</v>
      </c>
      <c r="AX243" s="85" t="str">
        <f>'Consumer Hardware Pricing'!AH251</f>
        <v>-</v>
      </c>
      <c r="AY243" s="85" t="str">
        <f t="shared" si="781"/>
        <v>-</v>
      </c>
      <c r="AZ243" s="85" t="str">
        <f>'Consumer Hardware Pricing'!AI251</f>
        <v>-</v>
      </c>
      <c r="BA243" s="85" t="str">
        <f t="shared" si="804"/>
        <v>-</v>
      </c>
      <c r="BB243" s="85" t="str">
        <f t="shared" si="805"/>
        <v>-</v>
      </c>
      <c r="BC243" s="85" t="str">
        <f t="shared" si="821"/>
        <v>-</v>
      </c>
      <c r="BD243" s="85" t="str">
        <f>'Consumer Hardware Pricing'!AL251</f>
        <v>-</v>
      </c>
      <c r="BE243" s="85" t="str">
        <f t="shared" si="782"/>
        <v>-</v>
      </c>
      <c r="BF243" s="85" t="str">
        <f>'Consumer Hardware Pricing'!AM251</f>
        <v>-</v>
      </c>
      <c r="BG243" s="85" t="str">
        <f t="shared" si="806"/>
        <v>-</v>
      </c>
      <c r="BH243" s="85" t="str">
        <f t="shared" si="807"/>
        <v>-</v>
      </c>
      <c r="BI243" s="85" t="str">
        <f t="shared" si="822"/>
        <v>-</v>
      </c>
      <c r="BJ243" s="85" t="str">
        <f>'Consumer Hardware Pricing'!AP251</f>
        <v>-</v>
      </c>
      <c r="BK243" s="85" t="str">
        <f t="shared" si="783"/>
        <v>-</v>
      </c>
      <c r="BL243" s="85" t="str">
        <f>'Consumer Hardware Pricing'!AQ251</f>
        <v>-</v>
      </c>
      <c r="BM243" s="85" t="str">
        <f t="shared" si="808"/>
        <v>-</v>
      </c>
      <c r="BN243" s="85" t="str">
        <f t="shared" si="809"/>
        <v>-</v>
      </c>
      <c r="BO243" s="85" t="str">
        <f t="shared" si="823"/>
        <v>-</v>
      </c>
      <c r="BP243" s="85" t="str">
        <f>'Consumer Hardware Pricing'!AT251</f>
        <v>-</v>
      </c>
      <c r="BQ243" s="85" t="str">
        <f t="shared" si="784"/>
        <v>-</v>
      </c>
      <c r="BR243" s="85" t="str">
        <f>'Consumer Hardware Pricing'!AU251</f>
        <v>-</v>
      </c>
      <c r="BS243" s="85" t="str">
        <f t="shared" si="810"/>
        <v>-</v>
      </c>
      <c r="BT243" s="85" t="str">
        <f t="shared" si="811"/>
        <v>-</v>
      </c>
      <c r="BU243" s="85" t="str">
        <f t="shared" si="824"/>
        <v>-</v>
      </c>
    </row>
    <row r="244" spans="1:73" ht="30.15" customHeight="1" x14ac:dyDescent="0.25">
      <c r="A244" s="87" t="s">
        <v>34</v>
      </c>
      <c r="B244" s="130" t="s">
        <v>515</v>
      </c>
      <c r="C244" s="130" t="s">
        <v>506</v>
      </c>
      <c r="D244" s="85">
        <f>'Consumer Hardware Pricing'!L252</f>
        <v>790</v>
      </c>
      <c r="E244" s="85">
        <f>'Consumer Hardware Pricing'!M252</f>
        <v>790</v>
      </c>
      <c r="F244" s="85">
        <f>'Consumer Hardware Pricing'!N252</f>
        <v>0</v>
      </c>
      <c r="G244" s="85">
        <f t="shared" si="785"/>
        <v>32.919999999999995</v>
      </c>
      <c r="H244" s="85" t="str">
        <f>'Consumer Hardware Pricing'!O252</f>
        <v>-</v>
      </c>
      <c r="I244" s="85">
        <f t="shared" si="800"/>
        <v>32.919999999999995</v>
      </c>
      <c r="J244" s="85" t="str">
        <f t="shared" si="812"/>
        <v>-</v>
      </c>
      <c r="K244" s="85">
        <f t="shared" si="813"/>
        <v>790.07999999999993</v>
      </c>
      <c r="L244" s="85" t="str">
        <f>'Consumer Hardware Pricing'!Q252</f>
        <v>-</v>
      </c>
      <c r="M244" s="85" t="str">
        <f t="shared" si="786"/>
        <v>-</v>
      </c>
      <c r="N244" s="85" t="str">
        <f t="shared" si="801"/>
        <v>-</v>
      </c>
      <c r="O244" s="85" t="str">
        <f t="shared" si="802"/>
        <v>-</v>
      </c>
      <c r="P244" s="85" t="str">
        <f t="shared" si="814"/>
        <v>-</v>
      </c>
      <c r="Q244" s="85">
        <f>'Consumer Hardware Pricing'!S252</f>
        <v>0</v>
      </c>
      <c r="R244" s="85">
        <f t="shared" si="803"/>
        <v>32.919999999999995</v>
      </c>
      <c r="S244" s="85" t="str">
        <f>'Consumer Hardware Pricing'!T252</f>
        <v>-</v>
      </c>
      <c r="T244" s="129">
        <f t="shared" si="815"/>
        <v>32.919999999999995</v>
      </c>
      <c r="U244" s="129" t="str">
        <f t="shared" si="816"/>
        <v>-</v>
      </c>
      <c r="V244" s="85">
        <f t="shared" si="817"/>
        <v>790.07999999999993</v>
      </c>
      <c r="W244" s="129" t="str">
        <f>'Consumer Hardware Pricing'!V252</f>
        <v>-</v>
      </c>
      <c r="X244" s="129" t="str">
        <f t="shared" si="787"/>
        <v>-</v>
      </c>
      <c r="Y244" s="129" t="str">
        <f t="shared" si="818"/>
        <v>-</v>
      </c>
      <c r="Z244" s="129" t="str">
        <f t="shared" si="819"/>
        <v>-</v>
      </c>
      <c r="AA244" s="85" t="str">
        <f t="shared" si="820"/>
        <v>-</v>
      </c>
      <c r="AB244" s="85">
        <f>'Consumer Hardware Pricing'!X252</f>
        <v>0</v>
      </c>
      <c r="AC244" s="85">
        <f t="shared" si="777"/>
        <v>32.919999999999995</v>
      </c>
      <c r="AD244" s="85">
        <f>'Consumer Hardware Pricing'!Y252</f>
        <v>15</v>
      </c>
      <c r="AE244" s="85">
        <f t="shared" si="788"/>
        <v>17.919999999999995</v>
      </c>
      <c r="AF244" s="85">
        <f t="shared" si="789"/>
        <v>360</v>
      </c>
      <c r="AG244" s="85">
        <f t="shared" si="790"/>
        <v>430.07999999999987</v>
      </c>
      <c r="AH244" s="85" t="str">
        <f>'Consumer Hardware Pricing'!AA252</f>
        <v>-</v>
      </c>
      <c r="AI244" s="85" t="str">
        <f t="shared" si="778"/>
        <v>-</v>
      </c>
      <c r="AJ244" s="85" t="str">
        <f t="shared" si="791"/>
        <v>-</v>
      </c>
      <c r="AK244" s="85" t="str">
        <f t="shared" si="792"/>
        <v>-</v>
      </c>
      <c r="AL244" s="85" t="str">
        <f t="shared" si="793"/>
        <v>-</v>
      </c>
      <c r="AM244" s="85">
        <f>'Consumer Hardware Pricing'!AC252</f>
        <v>0</v>
      </c>
      <c r="AN244" s="85">
        <f t="shared" si="779"/>
        <v>32.919999999999995</v>
      </c>
      <c r="AO244" s="85">
        <f>'Consumer Hardware Pricing'!AD252</f>
        <v>15</v>
      </c>
      <c r="AP244" s="85">
        <f t="shared" si="794"/>
        <v>17.919999999999995</v>
      </c>
      <c r="AQ244" s="85">
        <f t="shared" si="795"/>
        <v>360</v>
      </c>
      <c r="AR244" s="85">
        <f t="shared" si="796"/>
        <v>430.07999999999987</v>
      </c>
      <c r="AS244" s="85" t="str">
        <f>'Consumer Hardware Pricing'!AF252</f>
        <v>-</v>
      </c>
      <c r="AT244" s="85" t="str">
        <f t="shared" si="780"/>
        <v>-</v>
      </c>
      <c r="AU244" s="85" t="str">
        <f t="shared" si="797"/>
        <v>-</v>
      </c>
      <c r="AV244" s="85" t="str">
        <f t="shared" si="798"/>
        <v>-</v>
      </c>
      <c r="AW244" s="85" t="str">
        <f t="shared" si="799"/>
        <v>-</v>
      </c>
      <c r="AX244" s="85" t="str">
        <f>'Consumer Hardware Pricing'!AH252</f>
        <v>-</v>
      </c>
      <c r="AY244" s="85" t="str">
        <f t="shared" si="781"/>
        <v>-</v>
      </c>
      <c r="AZ244" s="85" t="str">
        <f>'Consumer Hardware Pricing'!AI252</f>
        <v>-</v>
      </c>
      <c r="BA244" s="85" t="str">
        <f t="shared" si="804"/>
        <v>-</v>
      </c>
      <c r="BB244" s="85" t="str">
        <f t="shared" si="805"/>
        <v>-</v>
      </c>
      <c r="BC244" s="85" t="str">
        <f t="shared" si="821"/>
        <v>-</v>
      </c>
      <c r="BD244" s="85" t="str">
        <f>'Consumer Hardware Pricing'!AL252</f>
        <v>-</v>
      </c>
      <c r="BE244" s="85" t="str">
        <f t="shared" si="782"/>
        <v>-</v>
      </c>
      <c r="BF244" s="85" t="str">
        <f>'Consumer Hardware Pricing'!AM252</f>
        <v>-</v>
      </c>
      <c r="BG244" s="85" t="str">
        <f t="shared" si="806"/>
        <v>-</v>
      </c>
      <c r="BH244" s="85" t="str">
        <f t="shared" si="807"/>
        <v>-</v>
      </c>
      <c r="BI244" s="85" t="str">
        <f t="shared" si="822"/>
        <v>-</v>
      </c>
      <c r="BJ244" s="85" t="str">
        <f>'Consumer Hardware Pricing'!AP252</f>
        <v>-</v>
      </c>
      <c r="BK244" s="85" t="str">
        <f t="shared" si="783"/>
        <v>-</v>
      </c>
      <c r="BL244" s="85" t="str">
        <f>'Consumer Hardware Pricing'!AQ252</f>
        <v>-</v>
      </c>
      <c r="BM244" s="85" t="str">
        <f t="shared" si="808"/>
        <v>-</v>
      </c>
      <c r="BN244" s="85" t="str">
        <f t="shared" si="809"/>
        <v>-</v>
      </c>
      <c r="BO244" s="85" t="str">
        <f t="shared" si="823"/>
        <v>-</v>
      </c>
      <c r="BP244" s="85" t="str">
        <f>'Consumer Hardware Pricing'!AT252</f>
        <v>-</v>
      </c>
      <c r="BQ244" s="85" t="str">
        <f t="shared" si="784"/>
        <v>-</v>
      </c>
      <c r="BR244" s="85" t="str">
        <f>'Consumer Hardware Pricing'!AU252</f>
        <v>-</v>
      </c>
      <c r="BS244" s="85" t="str">
        <f t="shared" si="810"/>
        <v>-</v>
      </c>
      <c r="BT244" s="85" t="str">
        <f t="shared" si="811"/>
        <v>-</v>
      </c>
      <c r="BU244" s="85" t="str">
        <f t="shared" si="824"/>
        <v>-</v>
      </c>
    </row>
    <row r="245" spans="1:73" ht="30.15" customHeight="1" x14ac:dyDescent="0.25">
      <c r="A245" s="87" t="s">
        <v>34</v>
      </c>
      <c r="B245" s="130" t="s">
        <v>516</v>
      </c>
      <c r="C245" s="130" t="s">
        <v>506</v>
      </c>
      <c r="D245" s="85">
        <f>'Consumer Hardware Pricing'!L253</f>
        <v>790</v>
      </c>
      <c r="E245" s="85">
        <f>'Consumer Hardware Pricing'!M253</f>
        <v>790</v>
      </c>
      <c r="F245" s="85">
        <f>'Consumer Hardware Pricing'!N253</f>
        <v>0</v>
      </c>
      <c r="G245" s="85">
        <f t="shared" si="785"/>
        <v>32.919999999999995</v>
      </c>
      <c r="H245" s="85" t="str">
        <f>'Consumer Hardware Pricing'!O253</f>
        <v>-</v>
      </c>
      <c r="I245" s="85">
        <f t="shared" si="800"/>
        <v>32.919999999999995</v>
      </c>
      <c r="J245" s="85" t="str">
        <f t="shared" si="812"/>
        <v>-</v>
      </c>
      <c r="K245" s="85">
        <f t="shared" si="813"/>
        <v>790.07999999999993</v>
      </c>
      <c r="L245" s="85" t="str">
        <f>'Consumer Hardware Pricing'!Q253</f>
        <v>-</v>
      </c>
      <c r="M245" s="85" t="str">
        <f t="shared" si="786"/>
        <v>-</v>
      </c>
      <c r="N245" s="85" t="str">
        <f t="shared" si="801"/>
        <v>-</v>
      </c>
      <c r="O245" s="85" t="str">
        <f t="shared" si="802"/>
        <v>-</v>
      </c>
      <c r="P245" s="85" t="str">
        <f t="shared" si="814"/>
        <v>-</v>
      </c>
      <c r="Q245" s="85">
        <f>'Consumer Hardware Pricing'!S253</f>
        <v>0</v>
      </c>
      <c r="R245" s="85">
        <f t="shared" si="803"/>
        <v>32.919999999999995</v>
      </c>
      <c r="S245" s="85" t="str">
        <f>'Consumer Hardware Pricing'!T253</f>
        <v>-</v>
      </c>
      <c r="T245" s="129">
        <f t="shared" si="815"/>
        <v>32.919999999999995</v>
      </c>
      <c r="U245" s="129" t="str">
        <f t="shared" si="816"/>
        <v>-</v>
      </c>
      <c r="V245" s="85">
        <f t="shared" si="817"/>
        <v>790.07999999999993</v>
      </c>
      <c r="W245" s="129" t="str">
        <f>'Consumer Hardware Pricing'!V253</f>
        <v>-</v>
      </c>
      <c r="X245" s="129" t="str">
        <f t="shared" si="787"/>
        <v>-</v>
      </c>
      <c r="Y245" s="129" t="str">
        <f t="shared" si="818"/>
        <v>-</v>
      </c>
      <c r="Z245" s="129" t="str">
        <f t="shared" si="819"/>
        <v>-</v>
      </c>
      <c r="AA245" s="85" t="str">
        <f t="shared" si="820"/>
        <v>-</v>
      </c>
      <c r="AB245" s="85">
        <f>'Consumer Hardware Pricing'!X253</f>
        <v>0</v>
      </c>
      <c r="AC245" s="85">
        <f t="shared" si="777"/>
        <v>32.919999999999995</v>
      </c>
      <c r="AD245" s="85">
        <f>'Consumer Hardware Pricing'!Y253</f>
        <v>15</v>
      </c>
      <c r="AE245" s="85">
        <f t="shared" si="788"/>
        <v>17.919999999999995</v>
      </c>
      <c r="AF245" s="85">
        <f t="shared" si="789"/>
        <v>360</v>
      </c>
      <c r="AG245" s="85">
        <f t="shared" si="790"/>
        <v>430.07999999999987</v>
      </c>
      <c r="AH245" s="85" t="str">
        <f>'Consumer Hardware Pricing'!AA253</f>
        <v>-</v>
      </c>
      <c r="AI245" s="85" t="str">
        <f t="shared" si="778"/>
        <v>-</v>
      </c>
      <c r="AJ245" s="85" t="str">
        <f t="shared" si="791"/>
        <v>-</v>
      </c>
      <c r="AK245" s="85" t="str">
        <f t="shared" si="792"/>
        <v>-</v>
      </c>
      <c r="AL245" s="85" t="str">
        <f t="shared" si="793"/>
        <v>-</v>
      </c>
      <c r="AM245" s="85">
        <f>'Consumer Hardware Pricing'!AC253</f>
        <v>0</v>
      </c>
      <c r="AN245" s="85">
        <f t="shared" si="779"/>
        <v>32.919999999999995</v>
      </c>
      <c r="AO245" s="85">
        <f>'Consumer Hardware Pricing'!AD253</f>
        <v>15</v>
      </c>
      <c r="AP245" s="85">
        <f t="shared" si="794"/>
        <v>17.919999999999995</v>
      </c>
      <c r="AQ245" s="85">
        <f t="shared" si="795"/>
        <v>360</v>
      </c>
      <c r="AR245" s="85">
        <f t="shared" si="796"/>
        <v>430.07999999999987</v>
      </c>
      <c r="AS245" s="85" t="str">
        <f>'Consumer Hardware Pricing'!AF253</f>
        <v>-</v>
      </c>
      <c r="AT245" s="85" t="str">
        <f t="shared" si="780"/>
        <v>-</v>
      </c>
      <c r="AU245" s="85" t="str">
        <f t="shared" si="797"/>
        <v>-</v>
      </c>
      <c r="AV245" s="85" t="str">
        <f t="shared" si="798"/>
        <v>-</v>
      </c>
      <c r="AW245" s="85" t="str">
        <f t="shared" si="799"/>
        <v>-</v>
      </c>
      <c r="AX245" s="85" t="str">
        <f>'Consumer Hardware Pricing'!AH253</f>
        <v>-</v>
      </c>
      <c r="AY245" s="85" t="str">
        <f t="shared" si="781"/>
        <v>-</v>
      </c>
      <c r="AZ245" s="85" t="str">
        <f>'Consumer Hardware Pricing'!AI253</f>
        <v>-</v>
      </c>
      <c r="BA245" s="85" t="str">
        <f t="shared" si="804"/>
        <v>-</v>
      </c>
      <c r="BB245" s="85" t="str">
        <f t="shared" si="805"/>
        <v>-</v>
      </c>
      <c r="BC245" s="85" t="str">
        <f t="shared" si="821"/>
        <v>-</v>
      </c>
      <c r="BD245" s="85" t="str">
        <f>'Consumer Hardware Pricing'!AL253</f>
        <v>-</v>
      </c>
      <c r="BE245" s="85" t="str">
        <f t="shared" si="782"/>
        <v>-</v>
      </c>
      <c r="BF245" s="85" t="str">
        <f>'Consumer Hardware Pricing'!AM253</f>
        <v>-</v>
      </c>
      <c r="BG245" s="85" t="str">
        <f t="shared" si="806"/>
        <v>-</v>
      </c>
      <c r="BH245" s="85" t="str">
        <f t="shared" si="807"/>
        <v>-</v>
      </c>
      <c r="BI245" s="85" t="str">
        <f t="shared" si="822"/>
        <v>-</v>
      </c>
      <c r="BJ245" s="85" t="str">
        <f>'Consumer Hardware Pricing'!AP253</f>
        <v>-</v>
      </c>
      <c r="BK245" s="85" t="str">
        <f t="shared" si="783"/>
        <v>-</v>
      </c>
      <c r="BL245" s="85" t="str">
        <f>'Consumer Hardware Pricing'!AQ253</f>
        <v>-</v>
      </c>
      <c r="BM245" s="85" t="str">
        <f t="shared" si="808"/>
        <v>-</v>
      </c>
      <c r="BN245" s="85" t="str">
        <f t="shared" si="809"/>
        <v>-</v>
      </c>
      <c r="BO245" s="85" t="str">
        <f t="shared" si="823"/>
        <v>-</v>
      </c>
      <c r="BP245" s="85" t="str">
        <f>'Consumer Hardware Pricing'!AT253</f>
        <v>-</v>
      </c>
      <c r="BQ245" s="85" t="str">
        <f t="shared" si="784"/>
        <v>-</v>
      </c>
      <c r="BR245" s="85" t="str">
        <f>'Consumer Hardware Pricing'!AU253</f>
        <v>-</v>
      </c>
      <c r="BS245" s="85" t="str">
        <f t="shared" si="810"/>
        <v>-</v>
      </c>
      <c r="BT245" s="85" t="str">
        <f t="shared" si="811"/>
        <v>-</v>
      </c>
      <c r="BU245" s="85" t="str">
        <f t="shared" si="824"/>
        <v>-</v>
      </c>
    </row>
    <row r="246" spans="1:73" ht="30.15" customHeight="1" x14ac:dyDescent="0.25">
      <c r="A246" s="87" t="s">
        <v>34</v>
      </c>
      <c r="B246" s="130" t="s">
        <v>517</v>
      </c>
      <c r="C246" s="130" t="s">
        <v>506</v>
      </c>
      <c r="D246" s="85">
        <f>'Consumer Hardware Pricing'!L254</f>
        <v>790</v>
      </c>
      <c r="E246" s="85">
        <f>'Consumer Hardware Pricing'!M254</f>
        <v>790</v>
      </c>
      <c r="F246" s="85">
        <f>'Consumer Hardware Pricing'!N254</f>
        <v>0</v>
      </c>
      <c r="G246" s="85">
        <f t="shared" si="785"/>
        <v>32.919999999999995</v>
      </c>
      <c r="H246" s="85" t="str">
        <f>'Consumer Hardware Pricing'!O254</f>
        <v>-</v>
      </c>
      <c r="I246" s="85">
        <f t="shared" si="800"/>
        <v>32.919999999999995</v>
      </c>
      <c r="J246" s="85" t="str">
        <f t="shared" si="812"/>
        <v>-</v>
      </c>
      <c r="K246" s="85">
        <f t="shared" si="813"/>
        <v>790.07999999999993</v>
      </c>
      <c r="L246" s="85" t="str">
        <f>'Consumer Hardware Pricing'!Q254</f>
        <v>-</v>
      </c>
      <c r="M246" s="85" t="str">
        <f t="shared" si="786"/>
        <v>-</v>
      </c>
      <c r="N246" s="85" t="str">
        <f t="shared" si="801"/>
        <v>-</v>
      </c>
      <c r="O246" s="85" t="str">
        <f t="shared" si="802"/>
        <v>-</v>
      </c>
      <c r="P246" s="85" t="str">
        <f t="shared" si="814"/>
        <v>-</v>
      </c>
      <c r="Q246" s="85">
        <f>'Consumer Hardware Pricing'!S254</f>
        <v>0</v>
      </c>
      <c r="R246" s="85">
        <f t="shared" si="803"/>
        <v>32.919999999999995</v>
      </c>
      <c r="S246" s="85" t="str">
        <f>'Consumer Hardware Pricing'!T254</f>
        <v>-</v>
      </c>
      <c r="T246" s="129">
        <f t="shared" si="815"/>
        <v>32.919999999999995</v>
      </c>
      <c r="U246" s="129" t="str">
        <f t="shared" si="816"/>
        <v>-</v>
      </c>
      <c r="V246" s="85">
        <f t="shared" si="817"/>
        <v>790.07999999999993</v>
      </c>
      <c r="W246" s="129" t="str">
        <f>'Consumer Hardware Pricing'!V254</f>
        <v>-</v>
      </c>
      <c r="X246" s="129" t="str">
        <f t="shared" si="787"/>
        <v>-</v>
      </c>
      <c r="Y246" s="129" t="str">
        <f t="shared" si="818"/>
        <v>-</v>
      </c>
      <c r="Z246" s="129" t="str">
        <f t="shared" si="819"/>
        <v>-</v>
      </c>
      <c r="AA246" s="85" t="str">
        <f t="shared" si="820"/>
        <v>-</v>
      </c>
      <c r="AB246" s="85">
        <f>'Consumer Hardware Pricing'!X254</f>
        <v>0</v>
      </c>
      <c r="AC246" s="85">
        <f t="shared" si="777"/>
        <v>32.919999999999995</v>
      </c>
      <c r="AD246" s="85">
        <f>'Consumer Hardware Pricing'!Y254</f>
        <v>15</v>
      </c>
      <c r="AE246" s="85">
        <f t="shared" si="788"/>
        <v>17.919999999999995</v>
      </c>
      <c r="AF246" s="85">
        <f t="shared" si="789"/>
        <v>360</v>
      </c>
      <c r="AG246" s="85">
        <f t="shared" si="790"/>
        <v>430.07999999999987</v>
      </c>
      <c r="AH246" s="85" t="str">
        <f>'Consumer Hardware Pricing'!AA254</f>
        <v>-</v>
      </c>
      <c r="AI246" s="85" t="str">
        <f t="shared" si="778"/>
        <v>-</v>
      </c>
      <c r="AJ246" s="85" t="str">
        <f t="shared" si="791"/>
        <v>-</v>
      </c>
      <c r="AK246" s="85" t="str">
        <f t="shared" si="792"/>
        <v>-</v>
      </c>
      <c r="AL246" s="85" t="str">
        <f t="shared" si="793"/>
        <v>-</v>
      </c>
      <c r="AM246" s="85">
        <f>'Consumer Hardware Pricing'!AC254</f>
        <v>0</v>
      </c>
      <c r="AN246" s="85">
        <f t="shared" si="779"/>
        <v>32.919999999999995</v>
      </c>
      <c r="AO246" s="85">
        <f>'Consumer Hardware Pricing'!AD254</f>
        <v>15</v>
      </c>
      <c r="AP246" s="85">
        <f t="shared" si="794"/>
        <v>17.919999999999995</v>
      </c>
      <c r="AQ246" s="85">
        <f t="shared" si="795"/>
        <v>360</v>
      </c>
      <c r="AR246" s="85">
        <f t="shared" si="796"/>
        <v>430.07999999999987</v>
      </c>
      <c r="AS246" s="85" t="str">
        <f>'Consumer Hardware Pricing'!AF254</f>
        <v>-</v>
      </c>
      <c r="AT246" s="85" t="str">
        <f t="shared" si="780"/>
        <v>-</v>
      </c>
      <c r="AU246" s="85" t="str">
        <f t="shared" si="797"/>
        <v>-</v>
      </c>
      <c r="AV246" s="85" t="str">
        <f t="shared" si="798"/>
        <v>-</v>
      </c>
      <c r="AW246" s="85" t="str">
        <f t="shared" si="799"/>
        <v>-</v>
      </c>
      <c r="AX246" s="85" t="str">
        <f>'Consumer Hardware Pricing'!AH254</f>
        <v>-</v>
      </c>
      <c r="AY246" s="85" t="str">
        <f t="shared" si="781"/>
        <v>-</v>
      </c>
      <c r="AZ246" s="85" t="str">
        <f>'Consumer Hardware Pricing'!AI254</f>
        <v>-</v>
      </c>
      <c r="BA246" s="85" t="str">
        <f t="shared" si="804"/>
        <v>-</v>
      </c>
      <c r="BB246" s="85" t="str">
        <f t="shared" si="805"/>
        <v>-</v>
      </c>
      <c r="BC246" s="85" t="str">
        <f t="shared" si="821"/>
        <v>-</v>
      </c>
      <c r="BD246" s="85" t="str">
        <f>'Consumer Hardware Pricing'!AL254</f>
        <v>-</v>
      </c>
      <c r="BE246" s="85" t="str">
        <f t="shared" si="782"/>
        <v>-</v>
      </c>
      <c r="BF246" s="85" t="str">
        <f>'Consumer Hardware Pricing'!AM254</f>
        <v>-</v>
      </c>
      <c r="BG246" s="85" t="str">
        <f t="shared" si="806"/>
        <v>-</v>
      </c>
      <c r="BH246" s="85" t="str">
        <f t="shared" si="807"/>
        <v>-</v>
      </c>
      <c r="BI246" s="85" t="str">
        <f t="shared" si="822"/>
        <v>-</v>
      </c>
      <c r="BJ246" s="85" t="str">
        <f>'Consumer Hardware Pricing'!AP254</f>
        <v>-</v>
      </c>
      <c r="BK246" s="85" t="str">
        <f t="shared" si="783"/>
        <v>-</v>
      </c>
      <c r="BL246" s="85" t="str">
        <f>'Consumer Hardware Pricing'!AQ254</f>
        <v>-</v>
      </c>
      <c r="BM246" s="85" t="str">
        <f t="shared" si="808"/>
        <v>-</v>
      </c>
      <c r="BN246" s="85" t="str">
        <f t="shared" si="809"/>
        <v>-</v>
      </c>
      <c r="BO246" s="85" t="str">
        <f t="shared" si="823"/>
        <v>-</v>
      </c>
      <c r="BP246" s="85" t="str">
        <f>'Consumer Hardware Pricing'!AT254</f>
        <v>-</v>
      </c>
      <c r="BQ246" s="85" t="str">
        <f t="shared" si="784"/>
        <v>-</v>
      </c>
      <c r="BR246" s="85" t="str">
        <f>'Consumer Hardware Pricing'!AU254</f>
        <v>-</v>
      </c>
      <c r="BS246" s="85" t="str">
        <f t="shared" si="810"/>
        <v>-</v>
      </c>
      <c r="BT246" s="85" t="str">
        <f t="shared" si="811"/>
        <v>-</v>
      </c>
      <c r="BU246" s="85" t="str">
        <f t="shared" si="824"/>
        <v>-</v>
      </c>
    </row>
    <row r="247" spans="1:73" ht="30.15" customHeight="1" x14ac:dyDescent="0.25">
      <c r="A247" s="87" t="s">
        <v>34</v>
      </c>
      <c r="B247" s="130" t="s">
        <v>518</v>
      </c>
      <c r="C247" s="130" t="s">
        <v>506</v>
      </c>
      <c r="D247" s="85">
        <f>'Consumer Hardware Pricing'!L255</f>
        <v>790</v>
      </c>
      <c r="E247" s="85">
        <f>'Consumer Hardware Pricing'!M255</f>
        <v>790</v>
      </c>
      <c r="F247" s="85">
        <f>'Consumer Hardware Pricing'!N255</f>
        <v>0</v>
      </c>
      <c r="G247" s="85">
        <f t="shared" si="785"/>
        <v>32.919999999999995</v>
      </c>
      <c r="H247" s="85" t="str">
        <f>'Consumer Hardware Pricing'!O255</f>
        <v>-</v>
      </c>
      <c r="I247" s="85">
        <f t="shared" si="800"/>
        <v>32.919999999999995</v>
      </c>
      <c r="J247" s="85" t="str">
        <f t="shared" si="812"/>
        <v>-</v>
      </c>
      <c r="K247" s="85">
        <f t="shared" si="813"/>
        <v>790.07999999999993</v>
      </c>
      <c r="L247" s="85" t="str">
        <f>'Consumer Hardware Pricing'!Q255</f>
        <v>-</v>
      </c>
      <c r="M247" s="85" t="str">
        <f t="shared" si="786"/>
        <v>-</v>
      </c>
      <c r="N247" s="85" t="str">
        <f t="shared" si="801"/>
        <v>-</v>
      </c>
      <c r="O247" s="85" t="str">
        <f t="shared" si="802"/>
        <v>-</v>
      </c>
      <c r="P247" s="85" t="str">
        <f t="shared" si="814"/>
        <v>-</v>
      </c>
      <c r="Q247" s="85">
        <f>'Consumer Hardware Pricing'!S255</f>
        <v>0</v>
      </c>
      <c r="R247" s="85">
        <f t="shared" si="803"/>
        <v>32.919999999999995</v>
      </c>
      <c r="S247" s="85" t="str">
        <f>'Consumer Hardware Pricing'!T255</f>
        <v>-</v>
      </c>
      <c r="T247" s="129">
        <f t="shared" si="815"/>
        <v>32.919999999999995</v>
      </c>
      <c r="U247" s="129" t="str">
        <f t="shared" si="816"/>
        <v>-</v>
      </c>
      <c r="V247" s="85">
        <f t="shared" si="817"/>
        <v>790.07999999999993</v>
      </c>
      <c r="W247" s="129" t="str">
        <f>'Consumer Hardware Pricing'!V255</f>
        <v>-</v>
      </c>
      <c r="X247" s="129" t="str">
        <f t="shared" si="787"/>
        <v>-</v>
      </c>
      <c r="Y247" s="129" t="str">
        <f t="shared" si="818"/>
        <v>-</v>
      </c>
      <c r="Z247" s="129" t="str">
        <f t="shared" si="819"/>
        <v>-</v>
      </c>
      <c r="AA247" s="85" t="str">
        <f t="shared" si="820"/>
        <v>-</v>
      </c>
      <c r="AB247" s="85">
        <f>'Consumer Hardware Pricing'!X255</f>
        <v>0</v>
      </c>
      <c r="AC247" s="85">
        <f t="shared" si="777"/>
        <v>32.919999999999995</v>
      </c>
      <c r="AD247" s="85">
        <f>'Consumer Hardware Pricing'!Y255</f>
        <v>15</v>
      </c>
      <c r="AE247" s="85">
        <f t="shared" si="788"/>
        <v>17.919999999999995</v>
      </c>
      <c r="AF247" s="85">
        <f t="shared" si="789"/>
        <v>360</v>
      </c>
      <c r="AG247" s="85">
        <f t="shared" si="790"/>
        <v>430.07999999999987</v>
      </c>
      <c r="AH247" s="85" t="str">
        <f>'Consumer Hardware Pricing'!AA255</f>
        <v>-</v>
      </c>
      <c r="AI247" s="85" t="str">
        <f t="shared" si="778"/>
        <v>-</v>
      </c>
      <c r="AJ247" s="85" t="str">
        <f t="shared" si="791"/>
        <v>-</v>
      </c>
      <c r="AK247" s="85" t="str">
        <f t="shared" si="792"/>
        <v>-</v>
      </c>
      <c r="AL247" s="85" t="str">
        <f t="shared" si="793"/>
        <v>-</v>
      </c>
      <c r="AM247" s="85">
        <f>'Consumer Hardware Pricing'!AC255</f>
        <v>0</v>
      </c>
      <c r="AN247" s="85">
        <f t="shared" si="779"/>
        <v>32.919999999999995</v>
      </c>
      <c r="AO247" s="85">
        <f>'Consumer Hardware Pricing'!AD255</f>
        <v>15</v>
      </c>
      <c r="AP247" s="85">
        <f t="shared" si="794"/>
        <v>17.919999999999995</v>
      </c>
      <c r="AQ247" s="85">
        <f t="shared" si="795"/>
        <v>360</v>
      </c>
      <c r="AR247" s="85">
        <f t="shared" si="796"/>
        <v>430.07999999999987</v>
      </c>
      <c r="AS247" s="85" t="str">
        <f>'Consumer Hardware Pricing'!AF255</f>
        <v>-</v>
      </c>
      <c r="AT247" s="85" t="str">
        <f t="shared" si="780"/>
        <v>-</v>
      </c>
      <c r="AU247" s="85" t="str">
        <f t="shared" si="797"/>
        <v>-</v>
      </c>
      <c r="AV247" s="85" t="str">
        <f t="shared" si="798"/>
        <v>-</v>
      </c>
      <c r="AW247" s="85" t="str">
        <f t="shared" si="799"/>
        <v>-</v>
      </c>
      <c r="AX247" s="85" t="str">
        <f>'Consumer Hardware Pricing'!AH255</f>
        <v>-</v>
      </c>
      <c r="AY247" s="85" t="str">
        <f t="shared" si="781"/>
        <v>-</v>
      </c>
      <c r="AZ247" s="85" t="str">
        <f>'Consumer Hardware Pricing'!AI255</f>
        <v>-</v>
      </c>
      <c r="BA247" s="85" t="str">
        <f t="shared" si="804"/>
        <v>-</v>
      </c>
      <c r="BB247" s="85" t="str">
        <f t="shared" si="805"/>
        <v>-</v>
      </c>
      <c r="BC247" s="85" t="str">
        <f t="shared" si="821"/>
        <v>-</v>
      </c>
      <c r="BD247" s="85" t="str">
        <f>'Consumer Hardware Pricing'!AL255</f>
        <v>-</v>
      </c>
      <c r="BE247" s="85" t="str">
        <f t="shared" si="782"/>
        <v>-</v>
      </c>
      <c r="BF247" s="85" t="str">
        <f>'Consumer Hardware Pricing'!AM255</f>
        <v>-</v>
      </c>
      <c r="BG247" s="85" t="str">
        <f t="shared" si="806"/>
        <v>-</v>
      </c>
      <c r="BH247" s="85" t="str">
        <f t="shared" si="807"/>
        <v>-</v>
      </c>
      <c r="BI247" s="85" t="str">
        <f t="shared" si="822"/>
        <v>-</v>
      </c>
      <c r="BJ247" s="85" t="str">
        <f>'Consumer Hardware Pricing'!AP255</f>
        <v>-</v>
      </c>
      <c r="BK247" s="85" t="str">
        <f t="shared" si="783"/>
        <v>-</v>
      </c>
      <c r="BL247" s="85" t="str">
        <f>'Consumer Hardware Pricing'!AQ255</f>
        <v>-</v>
      </c>
      <c r="BM247" s="85" t="str">
        <f t="shared" si="808"/>
        <v>-</v>
      </c>
      <c r="BN247" s="85" t="str">
        <f t="shared" si="809"/>
        <v>-</v>
      </c>
      <c r="BO247" s="85" t="str">
        <f t="shared" si="823"/>
        <v>-</v>
      </c>
      <c r="BP247" s="85" t="str">
        <f>'Consumer Hardware Pricing'!AT255</f>
        <v>-</v>
      </c>
      <c r="BQ247" s="85" t="str">
        <f t="shared" si="784"/>
        <v>-</v>
      </c>
      <c r="BR247" s="85" t="str">
        <f>'Consumer Hardware Pricing'!AU255</f>
        <v>-</v>
      </c>
      <c r="BS247" s="85" t="str">
        <f t="shared" si="810"/>
        <v>-</v>
      </c>
      <c r="BT247" s="85" t="str">
        <f t="shared" si="811"/>
        <v>-</v>
      </c>
      <c r="BU247" s="85" t="str">
        <f t="shared" si="824"/>
        <v>-</v>
      </c>
    </row>
    <row r="248" spans="1:73" ht="30.15" customHeight="1" x14ac:dyDescent="0.25">
      <c r="A248" s="87" t="s">
        <v>34</v>
      </c>
      <c r="B248" s="130" t="s">
        <v>519</v>
      </c>
      <c r="C248" s="130" t="s">
        <v>505</v>
      </c>
      <c r="D248" s="85">
        <f>'Consumer Hardware Pricing'!L256</f>
        <v>1270</v>
      </c>
      <c r="E248" s="85">
        <f>'Consumer Hardware Pricing'!M256</f>
        <v>1270</v>
      </c>
      <c r="F248" s="85">
        <f>'Consumer Hardware Pricing'!N256</f>
        <v>0</v>
      </c>
      <c r="G248" s="85">
        <f t="shared" si="785"/>
        <v>52.919999999999995</v>
      </c>
      <c r="H248" s="85" t="str">
        <f>'Consumer Hardware Pricing'!O256</f>
        <v>-</v>
      </c>
      <c r="I248" s="85">
        <f t="shared" si="800"/>
        <v>52.919999999999995</v>
      </c>
      <c r="J248" s="85" t="str">
        <f t="shared" si="812"/>
        <v>-</v>
      </c>
      <c r="K248" s="85">
        <f t="shared" si="813"/>
        <v>1270.08</v>
      </c>
      <c r="L248" s="85" t="str">
        <f>'Consumer Hardware Pricing'!Q256</f>
        <v>-</v>
      </c>
      <c r="M248" s="85" t="str">
        <f t="shared" si="786"/>
        <v>-</v>
      </c>
      <c r="N248" s="85" t="str">
        <f t="shared" si="801"/>
        <v>-</v>
      </c>
      <c r="O248" s="85" t="str">
        <f t="shared" si="802"/>
        <v>-</v>
      </c>
      <c r="P248" s="85" t="str">
        <f t="shared" si="814"/>
        <v>-</v>
      </c>
      <c r="Q248" s="85">
        <f>'Consumer Hardware Pricing'!S256</f>
        <v>0</v>
      </c>
      <c r="R248" s="85">
        <f t="shared" si="803"/>
        <v>52.919999999999995</v>
      </c>
      <c r="S248" s="85" t="str">
        <f>'Consumer Hardware Pricing'!T256</f>
        <v>-</v>
      </c>
      <c r="T248" s="129">
        <f t="shared" si="815"/>
        <v>52.919999999999995</v>
      </c>
      <c r="U248" s="129" t="str">
        <f t="shared" si="816"/>
        <v>-</v>
      </c>
      <c r="V248" s="85">
        <f t="shared" si="817"/>
        <v>1270.08</v>
      </c>
      <c r="W248" s="129" t="str">
        <f>'Consumer Hardware Pricing'!V256</f>
        <v>-</v>
      </c>
      <c r="X248" s="129" t="str">
        <f t="shared" si="787"/>
        <v>-</v>
      </c>
      <c r="Y248" s="129" t="str">
        <f t="shared" si="818"/>
        <v>-</v>
      </c>
      <c r="Z248" s="129" t="str">
        <f t="shared" si="819"/>
        <v>-</v>
      </c>
      <c r="AA248" s="85" t="str">
        <f t="shared" si="820"/>
        <v>-</v>
      </c>
      <c r="AB248" s="85">
        <f>'Consumer Hardware Pricing'!X256</f>
        <v>0</v>
      </c>
      <c r="AC248" s="85">
        <f t="shared" si="777"/>
        <v>52.919999999999995</v>
      </c>
      <c r="AD248" s="85">
        <f>'Consumer Hardware Pricing'!Y256</f>
        <v>15</v>
      </c>
      <c r="AE248" s="85">
        <f t="shared" si="788"/>
        <v>37.919999999999995</v>
      </c>
      <c r="AF248" s="85">
        <f t="shared" si="789"/>
        <v>360</v>
      </c>
      <c r="AG248" s="85">
        <f t="shared" si="790"/>
        <v>910.07999999999993</v>
      </c>
      <c r="AH248" s="85" t="str">
        <f>'Consumer Hardware Pricing'!AA256</f>
        <v>-</v>
      </c>
      <c r="AI248" s="85" t="str">
        <f t="shared" si="778"/>
        <v>-</v>
      </c>
      <c r="AJ248" s="85" t="str">
        <f t="shared" si="791"/>
        <v>-</v>
      </c>
      <c r="AK248" s="85" t="str">
        <f t="shared" si="792"/>
        <v>-</v>
      </c>
      <c r="AL248" s="85" t="str">
        <f t="shared" si="793"/>
        <v>-</v>
      </c>
      <c r="AM248" s="85">
        <f>'Consumer Hardware Pricing'!AC256</f>
        <v>0</v>
      </c>
      <c r="AN248" s="85">
        <f t="shared" si="779"/>
        <v>52.919999999999995</v>
      </c>
      <c r="AO248" s="85">
        <f>'Consumer Hardware Pricing'!AD256</f>
        <v>15</v>
      </c>
      <c r="AP248" s="85">
        <f t="shared" si="794"/>
        <v>37.919999999999995</v>
      </c>
      <c r="AQ248" s="85">
        <f t="shared" si="795"/>
        <v>360</v>
      </c>
      <c r="AR248" s="85">
        <f t="shared" si="796"/>
        <v>910.07999999999993</v>
      </c>
      <c r="AS248" s="85" t="str">
        <f>'Consumer Hardware Pricing'!AF256</f>
        <v>-</v>
      </c>
      <c r="AT248" s="85" t="str">
        <f t="shared" si="780"/>
        <v>-</v>
      </c>
      <c r="AU248" s="85" t="str">
        <f t="shared" si="797"/>
        <v>-</v>
      </c>
      <c r="AV248" s="85" t="str">
        <f t="shared" si="798"/>
        <v>-</v>
      </c>
      <c r="AW248" s="85" t="str">
        <f t="shared" si="799"/>
        <v>-</v>
      </c>
      <c r="AX248" s="85" t="str">
        <f>'Consumer Hardware Pricing'!AH256</f>
        <v>-</v>
      </c>
      <c r="AY248" s="85" t="str">
        <f t="shared" si="781"/>
        <v>-</v>
      </c>
      <c r="AZ248" s="85" t="str">
        <f>'Consumer Hardware Pricing'!AI256</f>
        <v>-</v>
      </c>
      <c r="BA248" s="85" t="str">
        <f t="shared" si="804"/>
        <v>-</v>
      </c>
      <c r="BB248" s="85" t="str">
        <f t="shared" si="805"/>
        <v>-</v>
      </c>
      <c r="BC248" s="85" t="str">
        <f t="shared" si="821"/>
        <v>-</v>
      </c>
      <c r="BD248" s="85" t="str">
        <f>'Consumer Hardware Pricing'!AL256</f>
        <v>-</v>
      </c>
      <c r="BE248" s="85" t="str">
        <f t="shared" si="782"/>
        <v>-</v>
      </c>
      <c r="BF248" s="85" t="str">
        <f>'Consumer Hardware Pricing'!AM256</f>
        <v>-</v>
      </c>
      <c r="BG248" s="85" t="str">
        <f t="shared" si="806"/>
        <v>-</v>
      </c>
      <c r="BH248" s="85" t="str">
        <f t="shared" si="807"/>
        <v>-</v>
      </c>
      <c r="BI248" s="85" t="str">
        <f t="shared" si="822"/>
        <v>-</v>
      </c>
      <c r="BJ248" s="85" t="str">
        <f>'Consumer Hardware Pricing'!AP256</f>
        <v>-</v>
      </c>
      <c r="BK248" s="85" t="str">
        <f t="shared" si="783"/>
        <v>-</v>
      </c>
      <c r="BL248" s="85" t="str">
        <f>'Consumer Hardware Pricing'!AQ256</f>
        <v>-</v>
      </c>
      <c r="BM248" s="85" t="str">
        <f t="shared" si="808"/>
        <v>-</v>
      </c>
      <c r="BN248" s="85" t="str">
        <f t="shared" si="809"/>
        <v>-</v>
      </c>
      <c r="BO248" s="85" t="str">
        <f t="shared" si="823"/>
        <v>-</v>
      </c>
      <c r="BP248" s="85" t="str">
        <f>'Consumer Hardware Pricing'!AT256</f>
        <v>-</v>
      </c>
      <c r="BQ248" s="85" t="str">
        <f t="shared" si="784"/>
        <v>-</v>
      </c>
      <c r="BR248" s="85" t="str">
        <f>'Consumer Hardware Pricing'!AU256</f>
        <v>-</v>
      </c>
      <c r="BS248" s="85" t="str">
        <f t="shared" si="810"/>
        <v>-</v>
      </c>
      <c r="BT248" s="85" t="str">
        <f t="shared" si="811"/>
        <v>-</v>
      </c>
      <c r="BU248" s="85" t="str">
        <f t="shared" si="824"/>
        <v>-</v>
      </c>
    </row>
    <row r="249" spans="1:73" ht="30.15" customHeight="1" x14ac:dyDescent="0.25">
      <c r="A249" s="87" t="s">
        <v>34</v>
      </c>
      <c r="B249" s="130" t="s">
        <v>520</v>
      </c>
      <c r="C249" s="130" t="s">
        <v>505</v>
      </c>
      <c r="D249" s="85">
        <f>'Consumer Hardware Pricing'!L257</f>
        <v>1270</v>
      </c>
      <c r="E249" s="85">
        <f>'Consumer Hardware Pricing'!M257</f>
        <v>1270</v>
      </c>
      <c r="F249" s="85">
        <f>'Consumer Hardware Pricing'!N257</f>
        <v>0</v>
      </c>
      <c r="G249" s="85">
        <f t="shared" si="785"/>
        <v>52.919999999999995</v>
      </c>
      <c r="H249" s="85" t="str">
        <f>'Consumer Hardware Pricing'!O257</f>
        <v>-</v>
      </c>
      <c r="I249" s="85">
        <f t="shared" si="800"/>
        <v>52.919999999999995</v>
      </c>
      <c r="J249" s="85" t="str">
        <f t="shared" si="812"/>
        <v>-</v>
      </c>
      <c r="K249" s="85">
        <f t="shared" si="813"/>
        <v>1270.08</v>
      </c>
      <c r="L249" s="85" t="str">
        <f>'Consumer Hardware Pricing'!Q257</f>
        <v>-</v>
      </c>
      <c r="M249" s="85" t="str">
        <f t="shared" si="786"/>
        <v>-</v>
      </c>
      <c r="N249" s="85" t="str">
        <f t="shared" si="801"/>
        <v>-</v>
      </c>
      <c r="O249" s="85" t="str">
        <f t="shared" si="802"/>
        <v>-</v>
      </c>
      <c r="P249" s="85" t="str">
        <f t="shared" si="814"/>
        <v>-</v>
      </c>
      <c r="Q249" s="85">
        <f>'Consumer Hardware Pricing'!S257</f>
        <v>0</v>
      </c>
      <c r="R249" s="85">
        <f t="shared" si="803"/>
        <v>52.919999999999995</v>
      </c>
      <c r="S249" s="85" t="str">
        <f>'Consumer Hardware Pricing'!T257</f>
        <v>-</v>
      </c>
      <c r="T249" s="129">
        <f t="shared" si="815"/>
        <v>52.919999999999995</v>
      </c>
      <c r="U249" s="129" t="str">
        <f t="shared" si="816"/>
        <v>-</v>
      </c>
      <c r="V249" s="85">
        <f t="shared" si="817"/>
        <v>1270.08</v>
      </c>
      <c r="W249" s="129" t="str">
        <f>'Consumer Hardware Pricing'!V257</f>
        <v>-</v>
      </c>
      <c r="X249" s="129" t="str">
        <f t="shared" si="787"/>
        <v>-</v>
      </c>
      <c r="Y249" s="129" t="str">
        <f t="shared" si="818"/>
        <v>-</v>
      </c>
      <c r="Z249" s="129" t="str">
        <f t="shared" si="819"/>
        <v>-</v>
      </c>
      <c r="AA249" s="85" t="str">
        <f t="shared" si="820"/>
        <v>-</v>
      </c>
      <c r="AB249" s="85">
        <f>'Consumer Hardware Pricing'!X257</f>
        <v>0</v>
      </c>
      <c r="AC249" s="85">
        <f t="shared" si="777"/>
        <v>52.919999999999995</v>
      </c>
      <c r="AD249" s="85">
        <f>'Consumer Hardware Pricing'!Y257</f>
        <v>15</v>
      </c>
      <c r="AE249" s="85">
        <f t="shared" si="788"/>
        <v>37.919999999999995</v>
      </c>
      <c r="AF249" s="85">
        <f t="shared" si="789"/>
        <v>360</v>
      </c>
      <c r="AG249" s="85">
        <f t="shared" si="790"/>
        <v>910.07999999999993</v>
      </c>
      <c r="AH249" s="85" t="str">
        <f>'Consumer Hardware Pricing'!AA257</f>
        <v>-</v>
      </c>
      <c r="AI249" s="85" t="str">
        <f t="shared" si="778"/>
        <v>-</v>
      </c>
      <c r="AJ249" s="85" t="str">
        <f t="shared" si="791"/>
        <v>-</v>
      </c>
      <c r="AK249" s="85" t="str">
        <f t="shared" si="792"/>
        <v>-</v>
      </c>
      <c r="AL249" s="85" t="str">
        <f t="shared" si="793"/>
        <v>-</v>
      </c>
      <c r="AM249" s="85">
        <f>'Consumer Hardware Pricing'!AC257</f>
        <v>0</v>
      </c>
      <c r="AN249" s="85">
        <f t="shared" si="779"/>
        <v>52.919999999999995</v>
      </c>
      <c r="AO249" s="85">
        <f>'Consumer Hardware Pricing'!AD257</f>
        <v>15</v>
      </c>
      <c r="AP249" s="85">
        <f t="shared" si="794"/>
        <v>37.919999999999995</v>
      </c>
      <c r="AQ249" s="85">
        <f t="shared" si="795"/>
        <v>360</v>
      </c>
      <c r="AR249" s="85">
        <f t="shared" si="796"/>
        <v>910.07999999999993</v>
      </c>
      <c r="AS249" s="85" t="str">
        <f>'Consumer Hardware Pricing'!AF257</f>
        <v>-</v>
      </c>
      <c r="AT249" s="85" t="str">
        <f t="shared" si="780"/>
        <v>-</v>
      </c>
      <c r="AU249" s="85" t="str">
        <f t="shared" si="797"/>
        <v>-</v>
      </c>
      <c r="AV249" s="85" t="str">
        <f t="shared" si="798"/>
        <v>-</v>
      </c>
      <c r="AW249" s="85" t="str">
        <f t="shared" si="799"/>
        <v>-</v>
      </c>
      <c r="AX249" s="85" t="str">
        <f>'Consumer Hardware Pricing'!AH257</f>
        <v>-</v>
      </c>
      <c r="AY249" s="85" t="str">
        <f t="shared" si="781"/>
        <v>-</v>
      </c>
      <c r="AZ249" s="85" t="str">
        <f>'Consumer Hardware Pricing'!AI257</f>
        <v>-</v>
      </c>
      <c r="BA249" s="85" t="str">
        <f t="shared" si="804"/>
        <v>-</v>
      </c>
      <c r="BB249" s="85" t="str">
        <f t="shared" si="805"/>
        <v>-</v>
      </c>
      <c r="BC249" s="85" t="str">
        <f t="shared" si="821"/>
        <v>-</v>
      </c>
      <c r="BD249" s="85" t="str">
        <f>'Consumer Hardware Pricing'!AL257</f>
        <v>-</v>
      </c>
      <c r="BE249" s="85" t="str">
        <f t="shared" si="782"/>
        <v>-</v>
      </c>
      <c r="BF249" s="85" t="str">
        <f>'Consumer Hardware Pricing'!AM257</f>
        <v>-</v>
      </c>
      <c r="BG249" s="85" t="str">
        <f t="shared" si="806"/>
        <v>-</v>
      </c>
      <c r="BH249" s="85" t="str">
        <f t="shared" si="807"/>
        <v>-</v>
      </c>
      <c r="BI249" s="85" t="str">
        <f t="shared" si="822"/>
        <v>-</v>
      </c>
      <c r="BJ249" s="85" t="str">
        <f>'Consumer Hardware Pricing'!AP257</f>
        <v>-</v>
      </c>
      <c r="BK249" s="85" t="str">
        <f t="shared" si="783"/>
        <v>-</v>
      </c>
      <c r="BL249" s="85" t="str">
        <f>'Consumer Hardware Pricing'!AQ257</f>
        <v>-</v>
      </c>
      <c r="BM249" s="85" t="str">
        <f t="shared" si="808"/>
        <v>-</v>
      </c>
      <c r="BN249" s="85" t="str">
        <f t="shared" si="809"/>
        <v>-</v>
      </c>
      <c r="BO249" s="85" t="str">
        <f t="shared" si="823"/>
        <v>-</v>
      </c>
      <c r="BP249" s="85" t="str">
        <f>'Consumer Hardware Pricing'!AT257</f>
        <v>-</v>
      </c>
      <c r="BQ249" s="85" t="str">
        <f t="shared" si="784"/>
        <v>-</v>
      </c>
      <c r="BR249" s="85" t="str">
        <f>'Consumer Hardware Pricing'!AU257</f>
        <v>-</v>
      </c>
      <c r="BS249" s="85" t="str">
        <f t="shared" si="810"/>
        <v>-</v>
      </c>
      <c r="BT249" s="85" t="str">
        <f t="shared" si="811"/>
        <v>-</v>
      </c>
      <c r="BU249" s="85" t="str">
        <f t="shared" si="824"/>
        <v>-</v>
      </c>
    </row>
    <row r="250" spans="1:73" ht="30.15" customHeight="1" x14ac:dyDescent="0.25">
      <c r="A250" s="87" t="s">
        <v>34</v>
      </c>
      <c r="B250" s="130" t="s">
        <v>521</v>
      </c>
      <c r="C250" s="130" t="s">
        <v>505</v>
      </c>
      <c r="D250" s="85">
        <f>'Consumer Hardware Pricing'!L258</f>
        <v>1270</v>
      </c>
      <c r="E250" s="85">
        <f>'Consumer Hardware Pricing'!M258</f>
        <v>1270</v>
      </c>
      <c r="F250" s="85">
        <f>'Consumer Hardware Pricing'!N258</f>
        <v>0</v>
      </c>
      <c r="G250" s="85">
        <f t="shared" si="785"/>
        <v>52.919999999999995</v>
      </c>
      <c r="H250" s="85" t="str">
        <f>'Consumer Hardware Pricing'!O258</f>
        <v>-</v>
      </c>
      <c r="I250" s="85">
        <f t="shared" si="800"/>
        <v>52.919999999999995</v>
      </c>
      <c r="J250" s="85" t="str">
        <f t="shared" si="812"/>
        <v>-</v>
      </c>
      <c r="K250" s="85">
        <f t="shared" si="813"/>
        <v>1270.08</v>
      </c>
      <c r="L250" s="85" t="str">
        <f>'Consumer Hardware Pricing'!Q258</f>
        <v>-</v>
      </c>
      <c r="M250" s="85" t="str">
        <f t="shared" si="786"/>
        <v>-</v>
      </c>
      <c r="N250" s="85" t="str">
        <f t="shared" si="801"/>
        <v>-</v>
      </c>
      <c r="O250" s="85" t="str">
        <f t="shared" si="802"/>
        <v>-</v>
      </c>
      <c r="P250" s="85" t="str">
        <f t="shared" si="814"/>
        <v>-</v>
      </c>
      <c r="Q250" s="85">
        <f>'Consumer Hardware Pricing'!S258</f>
        <v>0</v>
      </c>
      <c r="R250" s="85">
        <f t="shared" si="803"/>
        <v>52.919999999999995</v>
      </c>
      <c r="S250" s="85" t="str">
        <f>'Consumer Hardware Pricing'!T258</f>
        <v>-</v>
      </c>
      <c r="T250" s="129">
        <f t="shared" si="815"/>
        <v>52.919999999999995</v>
      </c>
      <c r="U250" s="129" t="str">
        <f t="shared" si="816"/>
        <v>-</v>
      </c>
      <c r="V250" s="85">
        <f t="shared" si="817"/>
        <v>1270.08</v>
      </c>
      <c r="W250" s="129" t="str">
        <f>'Consumer Hardware Pricing'!V258</f>
        <v>-</v>
      </c>
      <c r="X250" s="129" t="str">
        <f t="shared" si="787"/>
        <v>-</v>
      </c>
      <c r="Y250" s="129" t="str">
        <f t="shared" si="818"/>
        <v>-</v>
      </c>
      <c r="Z250" s="129" t="str">
        <f t="shared" si="819"/>
        <v>-</v>
      </c>
      <c r="AA250" s="85" t="str">
        <f t="shared" si="820"/>
        <v>-</v>
      </c>
      <c r="AB250" s="85">
        <f>'Consumer Hardware Pricing'!X258</f>
        <v>0</v>
      </c>
      <c r="AC250" s="85">
        <f t="shared" si="777"/>
        <v>52.919999999999995</v>
      </c>
      <c r="AD250" s="85">
        <f>'Consumer Hardware Pricing'!Y258</f>
        <v>15</v>
      </c>
      <c r="AE250" s="85">
        <f t="shared" si="788"/>
        <v>37.919999999999995</v>
      </c>
      <c r="AF250" s="85">
        <f t="shared" si="789"/>
        <v>360</v>
      </c>
      <c r="AG250" s="85">
        <f t="shared" si="790"/>
        <v>910.07999999999993</v>
      </c>
      <c r="AH250" s="85" t="str">
        <f>'Consumer Hardware Pricing'!AA258</f>
        <v>-</v>
      </c>
      <c r="AI250" s="85" t="str">
        <f t="shared" si="778"/>
        <v>-</v>
      </c>
      <c r="AJ250" s="85" t="str">
        <f t="shared" si="791"/>
        <v>-</v>
      </c>
      <c r="AK250" s="85" t="str">
        <f t="shared" si="792"/>
        <v>-</v>
      </c>
      <c r="AL250" s="85" t="str">
        <f t="shared" si="793"/>
        <v>-</v>
      </c>
      <c r="AM250" s="85">
        <f>'Consumer Hardware Pricing'!AC258</f>
        <v>0</v>
      </c>
      <c r="AN250" s="85">
        <f t="shared" si="779"/>
        <v>52.919999999999995</v>
      </c>
      <c r="AO250" s="85">
        <f>'Consumer Hardware Pricing'!AD258</f>
        <v>15</v>
      </c>
      <c r="AP250" s="85">
        <f t="shared" si="794"/>
        <v>37.919999999999995</v>
      </c>
      <c r="AQ250" s="85">
        <f t="shared" si="795"/>
        <v>360</v>
      </c>
      <c r="AR250" s="85">
        <f t="shared" si="796"/>
        <v>910.07999999999993</v>
      </c>
      <c r="AS250" s="85" t="str">
        <f>'Consumer Hardware Pricing'!AF258</f>
        <v>-</v>
      </c>
      <c r="AT250" s="85" t="str">
        <f t="shared" si="780"/>
        <v>-</v>
      </c>
      <c r="AU250" s="85" t="str">
        <f t="shared" si="797"/>
        <v>-</v>
      </c>
      <c r="AV250" s="85" t="str">
        <f t="shared" si="798"/>
        <v>-</v>
      </c>
      <c r="AW250" s="85" t="str">
        <f t="shared" si="799"/>
        <v>-</v>
      </c>
      <c r="AX250" s="85" t="str">
        <f>'Consumer Hardware Pricing'!AH258</f>
        <v>-</v>
      </c>
      <c r="AY250" s="85" t="str">
        <f t="shared" si="781"/>
        <v>-</v>
      </c>
      <c r="AZ250" s="85" t="str">
        <f>'Consumer Hardware Pricing'!AI258</f>
        <v>-</v>
      </c>
      <c r="BA250" s="85" t="str">
        <f t="shared" si="804"/>
        <v>-</v>
      </c>
      <c r="BB250" s="85" t="str">
        <f t="shared" si="805"/>
        <v>-</v>
      </c>
      <c r="BC250" s="85" t="str">
        <f t="shared" si="821"/>
        <v>-</v>
      </c>
      <c r="BD250" s="85" t="str">
        <f>'Consumer Hardware Pricing'!AL258</f>
        <v>-</v>
      </c>
      <c r="BE250" s="85" t="str">
        <f t="shared" si="782"/>
        <v>-</v>
      </c>
      <c r="BF250" s="85" t="str">
        <f>'Consumer Hardware Pricing'!AM258</f>
        <v>-</v>
      </c>
      <c r="BG250" s="85" t="str">
        <f t="shared" si="806"/>
        <v>-</v>
      </c>
      <c r="BH250" s="85" t="str">
        <f t="shared" si="807"/>
        <v>-</v>
      </c>
      <c r="BI250" s="85" t="str">
        <f t="shared" si="822"/>
        <v>-</v>
      </c>
      <c r="BJ250" s="85" t="str">
        <f>'Consumer Hardware Pricing'!AP258</f>
        <v>-</v>
      </c>
      <c r="BK250" s="85" t="str">
        <f t="shared" si="783"/>
        <v>-</v>
      </c>
      <c r="BL250" s="85" t="str">
        <f>'Consumer Hardware Pricing'!AQ258</f>
        <v>-</v>
      </c>
      <c r="BM250" s="85" t="str">
        <f t="shared" si="808"/>
        <v>-</v>
      </c>
      <c r="BN250" s="85" t="str">
        <f t="shared" si="809"/>
        <v>-</v>
      </c>
      <c r="BO250" s="85" t="str">
        <f t="shared" si="823"/>
        <v>-</v>
      </c>
      <c r="BP250" s="85" t="str">
        <f>'Consumer Hardware Pricing'!AT258</f>
        <v>-</v>
      </c>
      <c r="BQ250" s="85" t="str">
        <f t="shared" si="784"/>
        <v>-</v>
      </c>
      <c r="BR250" s="85" t="str">
        <f>'Consumer Hardware Pricing'!AU258</f>
        <v>-</v>
      </c>
      <c r="BS250" s="85" t="str">
        <f t="shared" si="810"/>
        <v>-</v>
      </c>
      <c r="BT250" s="85" t="str">
        <f t="shared" si="811"/>
        <v>-</v>
      </c>
      <c r="BU250" s="85" t="str">
        <f t="shared" si="824"/>
        <v>-</v>
      </c>
    </row>
    <row r="251" spans="1:73" ht="30.15" customHeight="1" x14ac:dyDescent="0.25">
      <c r="A251" s="87" t="s">
        <v>34</v>
      </c>
      <c r="B251" s="130" t="s">
        <v>522</v>
      </c>
      <c r="C251" s="130" t="s">
        <v>505</v>
      </c>
      <c r="D251" s="85">
        <f>'Consumer Hardware Pricing'!L259</f>
        <v>1270</v>
      </c>
      <c r="E251" s="85">
        <f>'Consumer Hardware Pricing'!M259</f>
        <v>1270</v>
      </c>
      <c r="F251" s="85">
        <f>'Consumer Hardware Pricing'!N259</f>
        <v>0</v>
      </c>
      <c r="G251" s="85">
        <f t="shared" si="785"/>
        <v>52.919999999999995</v>
      </c>
      <c r="H251" s="85" t="str">
        <f>'Consumer Hardware Pricing'!O259</f>
        <v>-</v>
      </c>
      <c r="I251" s="85">
        <f t="shared" si="800"/>
        <v>52.919999999999995</v>
      </c>
      <c r="J251" s="85" t="str">
        <f t="shared" si="812"/>
        <v>-</v>
      </c>
      <c r="K251" s="85">
        <f t="shared" si="813"/>
        <v>1270.08</v>
      </c>
      <c r="L251" s="85" t="str">
        <f>'Consumer Hardware Pricing'!Q259</f>
        <v>-</v>
      </c>
      <c r="M251" s="85" t="str">
        <f t="shared" si="786"/>
        <v>-</v>
      </c>
      <c r="N251" s="85" t="str">
        <f t="shared" si="801"/>
        <v>-</v>
      </c>
      <c r="O251" s="85" t="str">
        <f t="shared" si="802"/>
        <v>-</v>
      </c>
      <c r="P251" s="85" t="str">
        <f t="shared" si="814"/>
        <v>-</v>
      </c>
      <c r="Q251" s="85">
        <f>'Consumer Hardware Pricing'!S259</f>
        <v>0</v>
      </c>
      <c r="R251" s="85">
        <f t="shared" si="803"/>
        <v>52.919999999999995</v>
      </c>
      <c r="S251" s="85" t="str">
        <f>'Consumer Hardware Pricing'!T259</f>
        <v>-</v>
      </c>
      <c r="T251" s="129">
        <f t="shared" si="815"/>
        <v>52.919999999999995</v>
      </c>
      <c r="U251" s="129" t="str">
        <f t="shared" si="816"/>
        <v>-</v>
      </c>
      <c r="V251" s="85">
        <f t="shared" si="817"/>
        <v>1270.08</v>
      </c>
      <c r="W251" s="129" t="str">
        <f>'Consumer Hardware Pricing'!V259</f>
        <v>-</v>
      </c>
      <c r="X251" s="129" t="str">
        <f t="shared" si="787"/>
        <v>-</v>
      </c>
      <c r="Y251" s="129" t="str">
        <f t="shared" si="818"/>
        <v>-</v>
      </c>
      <c r="Z251" s="129" t="str">
        <f t="shared" si="819"/>
        <v>-</v>
      </c>
      <c r="AA251" s="85" t="str">
        <f t="shared" si="820"/>
        <v>-</v>
      </c>
      <c r="AB251" s="85">
        <f>'Consumer Hardware Pricing'!X259</f>
        <v>0</v>
      </c>
      <c r="AC251" s="85">
        <f t="shared" si="777"/>
        <v>52.919999999999995</v>
      </c>
      <c r="AD251" s="85">
        <f>'Consumer Hardware Pricing'!Y259</f>
        <v>15</v>
      </c>
      <c r="AE251" s="85">
        <f t="shared" si="788"/>
        <v>37.919999999999995</v>
      </c>
      <c r="AF251" s="85">
        <f t="shared" si="789"/>
        <v>360</v>
      </c>
      <c r="AG251" s="85">
        <f t="shared" si="790"/>
        <v>910.07999999999993</v>
      </c>
      <c r="AH251" s="85" t="str">
        <f>'Consumer Hardware Pricing'!AA259</f>
        <v>-</v>
      </c>
      <c r="AI251" s="85" t="str">
        <f t="shared" si="778"/>
        <v>-</v>
      </c>
      <c r="AJ251" s="85" t="str">
        <f t="shared" si="791"/>
        <v>-</v>
      </c>
      <c r="AK251" s="85" t="str">
        <f t="shared" si="792"/>
        <v>-</v>
      </c>
      <c r="AL251" s="85" t="str">
        <f t="shared" si="793"/>
        <v>-</v>
      </c>
      <c r="AM251" s="85">
        <f>'Consumer Hardware Pricing'!AC259</f>
        <v>0</v>
      </c>
      <c r="AN251" s="85">
        <f t="shared" si="779"/>
        <v>52.919999999999995</v>
      </c>
      <c r="AO251" s="85">
        <f>'Consumer Hardware Pricing'!AD259</f>
        <v>15</v>
      </c>
      <c r="AP251" s="85">
        <f t="shared" si="794"/>
        <v>37.919999999999995</v>
      </c>
      <c r="AQ251" s="85">
        <f t="shared" si="795"/>
        <v>360</v>
      </c>
      <c r="AR251" s="85">
        <f t="shared" si="796"/>
        <v>910.07999999999993</v>
      </c>
      <c r="AS251" s="85" t="str">
        <f>'Consumer Hardware Pricing'!AF259</f>
        <v>-</v>
      </c>
      <c r="AT251" s="85" t="str">
        <f t="shared" si="780"/>
        <v>-</v>
      </c>
      <c r="AU251" s="85" t="str">
        <f t="shared" si="797"/>
        <v>-</v>
      </c>
      <c r="AV251" s="85" t="str">
        <f t="shared" si="798"/>
        <v>-</v>
      </c>
      <c r="AW251" s="85" t="str">
        <f t="shared" si="799"/>
        <v>-</v>
      </c>
      <c r="AX251" s="85" t="str">
        <f>'Consumer Hardware Pricing'!AH259</f>
        <v>-</v>
      </c>
      <c r="AY251" s="85" t="str">
        <f t="shared" si="781"/>
        <v>-</v>
      </c>
      <c r="AZ251" s="85" t="str">
        <f>'Consumer Hardware Pricing'!AI259</f>
        <v>-</v>
      </c>
      <c r="BA251" s="85" t="str">
        <f t="shared" si="804"/>
        <v>-</v>
      </c>
      <c r="BB251" s="85" t="str">
        <f t="shared" si="805"/>
        <v>-</v>
      </c>
      <c r="BC251" s="85" t="str">
        <f t="shared" si="821"/>
        <v>-</v>
      </c>
      <c r="BD251" s="85" t="str">
        <f>'Consumer Hardware Pricing'!AL259</f>
        <v>-</v>
      </c>
      <c r="BE251" s="85" t="str">
        <f t="shared" si="782"/>
        <v>-</v>
      </c>
      <c r="BF251" s="85" t="str">
        <f>'Consumer Hardware Pricing'!AM259</f>
        <v>-</v>
      </c>
      <c r="BG251" s="85" t="str">
        <f t="shared" si="806"/>
        <v>-</v>
      </c>
      <c r="BH251" s="85" t="str">
        <f t="shared" si="807"/>
        <v>-</v>
      </c>
      <c r="BI251" s="85" t="str">
        <f t="shared" si="822"/>
        <v>-</v>
      </c>
      <c r="BJ251" s="85" t="str">
        <f>'Consumer Hardware Pricing'!AP259</f>
        <v>-</v>
      </c>
      <c r="BK251" s="85" t="str">
        <f t="shared" si="783"/>
        <v>-</v>
      </c>
      <c r="BL251" s="85" t="str">
        <f>'Consumer Hardware Pricing'!AQ259</f>
        <v>-</v>
      </c>
      <c r="BM251" s="85" t="str">
        <f t="shared" si="808"/>
        <v>-</v>
      </c>
      <c r="BN251" s="85" t="str">
        <f t="shared" si="809"/>
        <v>-</v>
      </c>
      <c r="BO251" s="85" t="str">
        <f t="shared" si="823"/>
        <v>-</v>
      </c>
      <c r="BP251" s="85" t="str">
        <f>'Consumer Hardware Pricing'!AT259</f>
        <v>-</v>
      </c>
      <c r="BQ251" s="85" t="str">
        <f t="shared" si="784"/>
        <v>-</v>
      </c>
      <c r="BR251" s="85" t="str">
        <f>'Consumer Hardware Pricing'!AU259</f>
        <v>-</v>
      </c>
      <c r="BS251" s="85" t="str">
        <f t="shared" si="810"/>
        <v>-</v>
      </c>
      <c r="BT251" s="85" t="str">
        <f t="shared" si="811"/>
        <v>-</v>
      </c>
      <c r="BU251" s="85" t="str">
        <f t="shared" si="824"/>
        <v>-</v>
      </c>
    </row>
    <row r="252" spans="1:73" ht="30.15" customHeight="1" x14ac:dyDescent="0.25">
      <c r="A252" s="87" t="s">
        <v>34</v>
      </c>
      <c r="B252" s="130" t="s">
        <v>523</v>
      </c>
      <c r="C252" s="130" t="s">
        <v>505</v>
      </c>
      <c r="D252" s="85">
        <f>'Consumer Hardware Pricing'!L260</f>
        <v>1270</v>
      </c>
      <c r="E252" s="85">
        <f>'Consumer Hardware Pricing'!M260</f>
        <v>1270</v>
      </c>
      <c r="F252" s="85">
        <f>'Consumer Hardware Pricing'!N260</f>
        <v>0</v>
      </c>
      <c r="G252" s="85">
        <f t="shared" si="785"/>
        <v>52.919999999999995</v>
      </c>
      <c r="H252" s="85" t="str">
        <f>'Consumer Hardware Pricing'!O260</f>
        <v>-</v>
      </c>
      <c r="I252" s="85">
        <f t="shared" si="800"/>
        <v>52.919999999999995</v>
      </c>
      <c r="J252" s="85" t="str">
        <f t="shared" si="812"/>
        <v>-</v>
      </c>
      <c r="K252" s="85">
        <f t="shared" si="813"/>
        <v>1270.08</v>
      </c>
      <c r="L252" s="85" t="str">
        <f>'Consumer Hardware Pricing'!Q260</f>
        <v>-</v>
      </c>
      <c r="M252" s="85" t="str">
        <f t="shared" si="786"/>
        <v>-</v>
      </c>
      <c r="N252" s="85" t="str">
        <f t="shared" si="801"/>
        <v>-</v>
      </c>
      <c r="O252" s="85" t="str">
        <f t="shared" si="802"/>
        <v>-</v>
      </c>
      <c r="P252" s="85" t="str">
        <f t="shared" si="814"/>
        <v>-</v>
      </c>
      <c r="Q252" s="85">
        <f>'Consumer Hardware Pricing'!S260</f>
        <v>0</v>
      </c>
      <c r="R252" s="85">
        <f t="shared" si="803"/>
        <v>52.919999999999995</v>
      </c>
      <c r="S252" s="85" t="str">
        <f>'Consumer Hardware Pricing'!T260</f>
        <v>-</v>
      </c>
      <c r="T252" s="129">
        <f t="shared" si="815"/>
        <v>52.919999999999995</v>
      </c>
      <c r="U252" s="129" t="str">
        <f t="shared" si="816"/>
        <v>-</v>
      </c>
      <c r="V252" s="85">
        <f t="shared" si="817"/>
        <v>1270.08</v>
      </c>
      <c r="W252" s="129" t="str">
        <f>'Consumer Hardware Pricing'!V260</f>
        <v>-</v>
      </c>
      <c r="X252" s="129" t="str">
        <f t="shared" si="787"/>
        <v>-</v>
      </c>
      <c r="Y252" s="129" t="str">
        <f t="shared" si="818"/>
        <v>-</v>
      </c>
      <c r="Z252" s="129" t="str">
        <f t="shared" si="819"/>
        <v>-</v>
      </c>
      <c r="AA252" s="85" t="str">
        <f t="shared" si="820"/>
        <v>-</v>
      </c>
      <c r="AB252" s="85">
        <f>'Consumer Hardware Pricing'!X260</f>
        <v>0</v>
      </c>
      <c r="AC252" s="85">
        <f t="shared" si="777"/>
        <v>52.919999999999995</v>
      </c>
      <c r="AD252" s="85">
        <f>'Consumer Hardware Pricing'!Y260</f>
        <v>15</v>
      </c>
      <c r="AE252" s="85">
        <f t="shared" si="788"/>
        <v>37.919999999999995</v>
      </c>
      <c r="AF252" s="85">
        <f t="shared" si="789"/>
        <v>360</v>
      </c>
      <c r="AG252" s="85">
        <f t="shared" si="790"/>
        <v>910.07999999999993</v>
      </c>
      <c r="AH252" s="85" t="str">
        <f>'Consumer Hardware Pricing'!AA260</f>
        <v>-</v>
      </c>
      <c r="AI252" s="85" t="str">
        <f t="shared" si="778"/>
        <v>-</v>
      </c>
      <c r="AJ252" s="85" t="str">
        <f t="shared" si="791"/>
        <v>-</v>
      </c>
      <c r="AK252" s="85" t="str">
        <f t="shared" si="792"/>
        <v>-</v>
      </c>
      <c r="AL252" s="85" t="str">
        <f t="shared" si="793"/>
        <v>-</v>
      </c>
      <c r="AM252" s="85">
        <f>'Consumer Hardware Pricing'!AC260</f>
        <v>0</v>
      </c>
      <c r="AN252" s="85">
        <f t="shared" si="779"/>
        <v>52.919999999999995</v>
      </c>
      <c r="AO252" s="85">
        <f>'Consumer Hardware Pricing'!AD260</f>
        <v>15</v>
      </c>
      <c r="AP252" s="85">
        <f t="shared" si="794"/>
        <v>37.919999999999995</v>
      </c>
      <c r="AQ252" s="85">
        <f t="shared" si="795"/>
        <v>360</v>
      </c>
      <c r="AR252" s="85">
        <f t="shared" si="796"/>
        <v>910.07999999999993</v>
      </c>
      <c r="AS252" s="85" t="str">
        <f>'Consumer Hardware Pricing'!AF260</f>
        <v>-</v>
      </c>
      <c r="AT252" s="85" t="str">
        <f t="shared" si="780"/>
        <v>-</v>
      </c>
      <c r="AU252" s="85" t="str">
        <f t="shared" si="797"/>
        <v>-</v>
      </c>
      <c r="AV252" s="85" t="str">
        <f t="shared" si="798"/>
        <v>-</v>
      </c>
      <c r="AW252" s="85" t="str">
        <f t="shared" si="799"/>
        <v>-</v>
      </c>
      <c r="AX252" s="85" t="str">
        <f>'Consumer Hardware Pricing'!AH260</f>
        <v>-</v>
      </c>
      <c r="AY252" s="85" t="str">
        <f t="shared" si="781"/>
        <v>-</v>
      </c>
      <c r="AZ252" s="85" t="str">
        <f>'Consumer Hardware Pricing'!AI260</f>
        <v>-</v>
      </c>
      <c r="BA252" s="85" t="str">
        <f t="shared" si="804"/>
        <v>-</v>
      </c>
      <c r="BB252" s="85" t="str">
        <f t="shared" si="805"/>
        <v>-</v>
      </c>
      <c r="BC252" s="85" t="str">
        <f t="shared" si="821"/>
        <v>-</v>
      </c>
      <c r="BD252" s="85" t="str">
        <f>'Consumer Hardware Pricing'!AL260</f>
        <v>-</v>
      </c>
      <c r="BE252" s="85" t="str">
        <f t="shared" si="782"/>
        <v>-</v>
      </c>
      <c r="BF252" s="85" t="str">
        <f>'Consumer Hardware Pricing'!AM260</f>
        <v>-</v>
      </c>
      <c r="BG252" s="85" t="str">
        <f t="shared" si="806"/>
        <v>-</v>
      </c>
      <c r="BH252" s="85" t="str">
        <f t="shared" si="807"/>
        <v>-</v>
      </c>
      <c r="BI252" s="85" t="str">
        <f t="shared" si="822"/>
        <v>-</v>
      </c>
      <c r="BJ252" s="85" t="str">
        <f>'Consumer Hardware Pricing'!AP260</f>
        <v>-</v>
      </c>
      <c r="BK252" s="85" t="str">
        <f t="shared" si="783"/>
        <v>-</v>
      </c>
      <c r="BL252" s="85" t="str">
        <f>'Consumer Hardware Pricing'!AQ260</f>
        <v>-</v>
      </c>
      <c r="BM252" s="85" t="str">
        <f t="shared" si="808"/>
        <v>-</v>
      </c>
      <c r="BN252" s="85" t="str">
        <f t="shared" si="809"/>
        <v>-</v>
      </c>
      <c r="BO252" s="85" t="str">
        <f t="shared" si="823"/>
        <v>-</v>
      </c>
      <c r="BP252" s="85" t="str">
        <f>'Consumer Hardware Pricing'!AT260</f>
        <v>-</v>
      </c>
      <c r="BQ252" s="85" t="str">
        <f t="shared" si="784"/>
        <v>-</v>
      </c>
      <c r="BR252" s="85" t="str">
        <f>'Consumer Hardware Pricing'!AU260</f>
        <v>-</v>
      </c>
      <c r="BS252" s="85" t="str">
        <f t="shared" si="810"/>
        <v>-</v>
      </c>
      <c r="BT252" s="85" t="str">
        <f t="shared" si="811"/>
        <v>-</v>
      </c>
      <c r="BU252" s="85" t="str">
        <f t="shared" si="824"/>
        <v>-</v>
      </c>
    </row>
    <row r="253" spans="1:73" ht="30.15" customHeight="1" x14ac:dyDescent="0.25">
      <c r="A253" s="87" t="s">
        <v>34</v>
      </c>
      <c r="B253" s="130" t="s">
        <v>524</v>
      </c>
      <c r="C253" s="130" t="s">
        <v>505</v>
      </c>
      <c r="D253" s="85">
        <f>'Consumer Hardware Pricing'!L261</f>
        <v>1270</v>
      </c>
      <c r="E253" s="85">
        <f>'Consumer Hardware Pricing'!M261</f>
        <v>1270</v>
      </c>
      <c r="F253" s="85">
        <f>'Consumer Hardware Pricing'!N261</f>
        <v>0</v>
      </c>
      <c r="G253" s="85">
        <f t="shared" si="785"/>
        <v>52.919999999999995</v>
      </c>
      <c r="H253" s="85" t="str">
        <f>'Consumer Hardware Pricing'!O261</f>
        <v>-</v>
      </c>
      <c r="I253" s="85">
        <f t="shared" si="800"/>
        <v>52.919999999999995</v>
      </c>
      <c r="J253" s="85" t="str">
        <f t="shared" si="812"/>
        <v>-</v>
      </c>
      <c r="K253" s="85">
        <f t="shared" si="813"/>
        <v>1270.08</v>
      </c>
      <c r="L253" s="85" t="str">
        <f>'Consumer Hardware Pricing'!Q261</f>
        <v>-</v>
      </c>
      <c r="M253" s="85" t="str">
        <f t="shared" si="786"/>
        <v>-</v>
      </c>
      <c r="N253" s="85" t="str">
        <f t="shared" si="801"/>
        <v>-</v>
      </c>
      <c r="O253" s="85" t="str">
        <f t="shared" si="802"/>
        <v>-</v>
      </c>
      <c r="P253" s="85" t="str">
        <f t="shared" si="814"/>
        <v>-</v>
      </c>
      <c r="Q253" s="85">
        <f>'Consumer Hardware Pricing'!S261</f>
        <v>0</v>
      </c>
      <c r="R253" s="85">
        <f t="shared" si="803"/>
        <v>52.919999999999995</v>
      </c>
      <c r="S253" s="85" t="str">
        <f>'Consumer Hardware Pricing'!T261</f>
        <v>-</v>
      </c>
      <c r="T253" s="129">
        <f t="shared" si="815"/>
        <v>52.919999999999995</v>
      </c>
      <c r="U253" s="129" t="str">
        <f t="shared" si="816"/>
        <v>-</v>
      </c>
      <c r="V253" s="85">
        <f t="shared" si="817"/>
        <v>1270.08</v>
      </c>
      <c r="W253" s="129" t="str">
        <f>'Consumer Hardware Pricing'!V261</f>
        <v>-</v>
      </c>
      <c r="X253" s="129" t="str">
        <f t="shared" si="787"/>
        <v>-</v>
      </c>
      <c r="Y253" s="129" t="str">
        <f t="shared" si="818"/>
        <v>-</v>
      </c>
      <c r="Z253" s="129" t="str">
        <f t="shared" si="819"/>
        <v>-</v>
      </c>
      <c r="AA253" s="85" t="str">
        <f t="shared" si="820"/>
        <v>-</v>
      </c>
      <c r="AB253" s="85">
        <f>'Consumer Hardware Pricing'!X261</f>
        <v>0</v>
      </c>
      <c r="AC253" s="85">
        <f t="shared" si="777"/>
        <v>52.919999999999995</v>
      </c>
      <c r="AD253" s="85">
        <f>'Consumer Hardware Pricing'!Y261</f>
        <v>15</v>
      </c>
      <c r="AE253" s="85">
        <f t="shared" si="788"/>
        <v>37.919999999999995</v>
      </c>
      <c r="AF253" s="85">
        <f t="shared" si="789"/>
        <v>360</v>
      </c>
      <c r="AG253" s="85">
        <f t="shared" si="790"/>
        <v>910.07999999999993</v>
      </c>
      <c r="AH253" s="85" t="str">
        <f>'Consumer Hardware Pricing'!AA261</f>
        <v>-</v>
      </c>
      <c r="AI253" s="85" t="str">
        <f t="shared" si="778"/>
        <v>-</v>
      </c>
      <c r="AJ253" s="85" t="str">
        <f t="shared" si="791"/>
        <v>-</v>
      </c>
      <c r="AK253" s="85" t="str">
        <f t="shared" si="792"/>
        <v>-</v>
      </c>
      <c r="AL253" s="85" t="str">
        <f t="shared" si="793"/>
        <v>-</v>
      </c>
      <c r="AM253" s="85">
        <f>'Consumer Hardware Pricing'!AC261</f>
        <v>0</v>
      </c>
      <c r="AN253" s="85">
        <f t="shared" si="779"/>
        <v>52.919999999999995</v>
      </c>
      <c r="AO253" s="85">
        <f>'Consumer Hardware Pricing'!AD261</f>
        <v>15</v>
      </c>
      <c r="AP253" s="85">
        <f t="shared" si="794"/>
        <v>37.919999999999995</v>
      </c>
      <c r="AQ253" s="85">
        <f t="shared" si="795"/>
        <v>360</v>
      </c>
      <c r="AR253" s="85">
        <f t="shared" si="796"/>
        <v>910.07999999999993</v>
      </c>
      <c r="AS253" s="85" t="str">
        <f>'Consumer Hardware Pricing'!AF261</f>
        <v>-</v>
      </c>
      <c r="AT253" s="85" t="str">
        <f t="shared" si="780"/>
        <v>-</v>
      </c>
      <c r="AU253" s="85" t="str">
        <f t="shared" si="797"/>
        <v>-</v>
      </c>
      <c r="AV253" s="85" t="str">
        <f t="shared" si="798"/>
        <v>-</v>
      </c>
      <c r="AW253" s="85" t="str">
        <f t="shared" si="799"/>
        <v>-</v>
      </c>
      <c r="AX253" s="85" t="str">
        <f>'Consumer Hardware Pricing'!AH261</f>
        <v>-</v>
      </c>
      <c r="AY253" s="85" t="str">
        <f t="shared" si="781"/>
        <v>-</v>
      </c>
      <c r="AZ253" s="85" t="str">
        <f>'Consumer Hardware Pricing'!AI261</f>
        <v>-</v>
      </c>
      <c r="BA253" s="85" t="str">
        <f t="shared" si="804"/>
        <v>-</v>
      </c>
      <c r="BB253" s="85" t="str">
        <f t="shared" si="805"/>
        <v>-</v>
      </c>
      <c r="BC253" s="85" t="str">
        <f t="shared" si="821"/>
        <v>-</v>
      </c>
      <c r="BD253" s="85" t="str">
        <f>'Consumer Hardware Pricing'!AL261</f>
        <v>-</v>
      </c>
      <c r="BE253" s="85" t="str">
        <f t="shared" si="782"/>
        <v>-</v>
      </c>
      <c r="BF253" s="85" t="str">
        <f>'Consumer Hardware Pricing'!AM261</f>
        <v>-</v>
      </c>
      <c r="BG253" s="85" t="str">
        <f t="shared" si="806"/>
        <v>-</v>
      </c>
      <c r="BH253" s="85" t="str">
        <f t="shared" si="807"/>
        <v>-</v>
      </c>
      <c r="BI253" s="85" t="str">
        <f t="shared" si="822"/>
        <v>-</v>
      </c>
      <c r="BJ253" s="85" t="str">
        <f>'Consumer Hardware Pricing'!AP261</f>
        <v>-</v>
      </c>
      <c r="BK253" s="85" t="str">
        <f t="shared" si="783"/>
        <v>-</v>
      </c>
      <c r="BL253" s="85" t="str">
        <f>'Consumer Hardware Pricing'!AQ261</f>
        <v>-</v>
      </c>
      <c r="BM253" s="85" t="str">
        <f t="shared" si="808"/>
        <v>-</v>
      </c>
      <c r="BN253" s="85" t="str">
        <f t="shared" si="809"/>
        <v>-</v>
      </c>
      <c r="BO253" s="85" t="str">
        <f t="shared" si="823"/>
        <v>-</v>
      </c>
      <c r="BP253" s="85" t="str">
        <f>'Consumer Hardware Pricing'!AT261</f>
        <v>-</v>
      </c>
      <c r="BQ253" s="85" t="str">
        <f t="shared" si="784"/>
        <v>-</v>
      </c>
      <c r="BR253" s="85" t="str">
        <f>'Consumer Hardware Pricing'!AU261</f>
        <v>-</v>
      </c>
      <c r="BS253" s="85" t="str">
        <f t="shared" si="810"/>
        <v>-</v>
      </c>
      <c r="BT253" s="85" t="str">
        <f t="shared" si="811"/>
        <v>-</v>
      </c>
      <c r="BU253" s="85" t="str">
        <f t="shared" si="824"/>
        <v>-</v>
      </c>
    </row>
    <row r="254" spans="1:73" ht="30.15" customHeight="1" x14ac:dyDescent="0.25">
      <c r="A254" s="87" t="s">
        <v>34</v>
      </c>
      <c r="B254" s="130" t="s">
        <v>1078</v>
      </c>
      <c r="C254" s="130" t="s">
        <v>1090</v>
      </c>
      <c r="D254" s="85">
        <f>'Consumer Hardware Pricing'!L262</f>
        <v>720</v>
      </c>
      <c r="E254" s="85">
        <f>'Consumer Hardware Pricing'!M262</f>
        <v>720</v>
      </c>
      <c r="F254" s="85">
        <f>'Consumer Hardware Pricing'!N262</f>
        <v>0</v>
      </c>
      <c r="G254" s="85">
        <f t="shared" si="785"/>
        <v>30</v>
      </c>
      <c r="H254" s="85" t="str">
        <f>'Consumer Hardware Pricing'!O262</f>
        <v>-</v>
      </c>
      <c r="I254" s="85">
        <f t="shared" ref="I254:I265" si="825">IF(H254="-",G254,G254-H254)</f>
        <v>30</v>
      </c>
      <c r="J254" s="85" t="str">
        <f t="shared" ref="J254:J265" si="826">IF(H254="-",H254,H254*24)</f>
        <v>-</v>
      </c>
      <c r="K254" s="85">
        <f t="shared" ref="K254:K265" si="827">IF(F254="-",F254,I254*24)</f>
        <v>720</v>
      </c>
      <c r="L254" s="85" t="str">
        <f>'Consumer Hardware Pricing'!Q262</f>
        <v>-</v>
      </c>
      <c r="M254" s="85" t="str">
        <f t="shared" si="786"/>
        <v>-</v>
      </c>
      <c r="N254" s="85" t="str">
        <f t="shared" ref="N254:N265" si="828">IF(L254="-",L254,G254-M254)</f>
        <v>-</v>
      </c>
      <c r="O254" s="85" t="str">
        <f t="shared" ref="O254:O265" si="829">IF(L254="-",L254,M254*24)</f>
        <v>-</v>
      </c>
      <c r="P254" s="85" t="str">
        <f t="shared" ref="P254:P265" si="830">IF(L254="-",L254,N254*24)</f>
        <v>-</v>
      </c>
      <c r="Q254" s="85">
        <f>'Consumer Hardware Pricing'!S262</f>
        <v>0</v>
      </c>
      <c r="R254" s="85">
        <f t="shared" ref="R254:R265" si="831">G254</f>
        <v>30</v>
      </c>
      <c r="S254" s="85" t="str">
        <f>'Consumer Hardware Pricing'!T262</f>
        <v>-</v>
      </c>
      <c r="T254" s="129">
        <f t="shared" ref="T254:T265" si="832">IF(S254="-",R254,R254-S254)</f>
        <v>30</v>
      </c>
      <c r="U254" s="129" t="str">
        <f t="shared" ref="U254:U265" si="833">IF(S254="-",S254,S254*24)</f>
        <v>-</v>
      </c>
      <c r="V254" s="85">
        <f t="shared" ref="V254:V265" si="834">IF(Q254="-",Q254,T254*24)</f>
        <v>720</v>
      </c>
      <c r="W254" s="129" t="str">
        <f>'Consumer Hardware Pricing'!V262</f>
        <v>-</v>
      </c>
      <c r="X254" s="129" t="str">
        <f t="shared" si="787"/>
        <v>-</v>
      </c>
      <c r="Y254" s="129" t="str">
        <f t="shared" ref="Y254:Y265" si="835">IF(W254="-",W254,R254-X254)</f>
        <v>-</v>
      </c>
      <c r="Z254" s="129" t="str">
        <f t="shared" ref="Z254:Z265" si="836">IF(W254="-",W254,X254*24)</f>
        <v>-</v>
      </c>
      <c r="AA254" s="85" t="str">
        <f t="shared" ref="AA254:AA265" si="837">IF(W254="-",W254,Y254*24)</f>
        <v>-</v>
      </c>
      <c r="AB254" s="85">
        <f>'Consumer Hardware Pricing'!X262</f>
        <v>0</v>
      </c>
      <c r="AC254" s="85">
        <f t="shared" si="777"/>
        <v>30</v>
      </c>
      <c r="AD254" s="85">
        <f>'Consumer Hardware Pricing'!Y262</f>
        <v>15</v>
      </c>
      <c r="AE254" s="85">
        <f t="shared" ref="AE254:AE265" si="838">IF(AD254="-",AC254,AC254-AD254)</f>
        <v>15</v>
      </c>
      <c r="AF254" s="85">
        <f t="shared" ref="AF254:AF265" si="839">IF(AD254="-",AD254,AD254*24)</f>
        <v>360</v>
      </c>
      <c r="AG254" s="85">
        <f t="shared" ref="AG254:AG265" si="840">IF(AB254="-",AB254,AE254*24)</f>
        <v>360</v>
      </c>
      <c r="AH254" s="85" t="str">
        <f>'Consumer Hardware Pricing'!AA262</f>
        <v>-</v>
      </c>
      <c r="AI254" s="85" t="str">
        <f t="shared" si="778"/>
        <v>-</v>
      </c>
      <c r="AJ254" s="85" t="str">
        <f t="shared" ref="AJ254:AJ265" si="841">IF(AH254="-",AH254,AC254-AI254)</f>
        <v>-</v>
      </c>
      <c r="AK254" s="85" t="str">
        <f t="shared" ref="AK254:AK265" si="842">IF(AH254="-",AH254,AI254*24)</f>
        <v>-</v>
      </c>
      <c r="AL254" s="85" t="str">
        <f t="shared" ref="AL254:AL265" si="843">IF(AH254="-",AH254,AJ254*24)</f>
        <v>-</v>
      </c>
      <c r="AM254" s="85">
        <f>'Consumer Hardware Pricing'!AC262</f>
        <v>0</v>
      </c>
      <c r="AN254" s="85">
        <f t="shared" si="779"/>
        <v>30</v>
      </c>
      <c r="AO254" s="85">
        <f>'Consumer Hardware Pricing'!AD262</f>
        <v>15</v>
      </c>
      <c r="AP254" s="85">
        <f t="shared" ref="AP254:AP265" si="844">IF(AO254="-",AN254,AN254-AO254)</f>
        <v>15</v>
      </c>
      <c r="AQ254" s="85">
        <f t="shared" ref="AQ254:AQ265" si="845">IF(AO254="-",AO254,AO254*24)</f>
        <v>360</v>
      </c>
      <c r="AR254" s="85">
        <f t="shared" ref="AR254:AR265" si="846">IF(AM254="-",AM254,AP254*24)</f>
        <v>360</v>
      </c>
      <c r="AS254" s="85" t="str">
        <f>'Consumer Hardware Pricing'!AF262</f>
        <v>-</v>
      </c>
      <c r="AT254" s="85" t="str">
        <f t="shared" si="780"/>
        <v>-</v>
      </c>
      <c r="AU254" s="85" t="str">
        <f t="shared" ref="AU254:AU265" si="847">IF(AS254="-",AS254,AN254-AT254)</f>
        <v>-</v>
      </c>
      <c r="AV254" s="85" t="str">
        <f t="shared" ref="AV254:AV265" si="848">IF(AS254="-",AS254,AT254*24)</f>
        <v>-</v>
      </c>
      <c r="AW254" s="85" t="str">
        <f t="shared" ref="AW254:AW265" si="849">IF(AS254="-",AS254,AU254*24)</f>
        <v>-</v>
      </c>
      <c r="AX254" s="85" t="str">
        <f>'Consumer Hardware Pricing'!AH262</f>
        <v>-</v>
      </c>
      <c r="AY254" s="85" t="str">
        <f t="shared" si="781"/>
        <v>-</v>
      </c>
      <c r="AZ254" s="85" t="str">
        <f>'Consumer Hardware Pricing'!AI262</f>
        <v>-</v>
      </c>
      <c r="BA254" s="85" t="str">
        <f t="shared" ref="BA254:BA265" si="850">IF(AZ254="-",AY254,AY254-AZ254)</f>
        <v>-</v>
      </c>
      <c r="BB254" s="85" t="str">
        <f t="shared" ref="BB254:BB265" si="851">IF(AZ254="-",AZ254,AZ254*24)</f>
        <v>-</v>
      </c>
      <c r="BC254" s="85" t="str">
        <f t="shared" ref="BC254:BC265" si="852">IF(AX254="-",AX254,AX254+(BA254*24))</f>
        <v>-</v>
      </c>
      <c r="BD254" s="85" t="str">
        <f>'Consumer Hardware Pricing'!AL262</f>
        <v>-</v>
      </c>
      <c r="BE254" s="85" t="str">
        <f t="shared" si="782"/>
        <v>-</v>
      </c>
      <c r="BF254" s="85" t="str">
        <f>'Consumer Hardware Pricing'!AM262</f>
        <v>-</v>
      </c>
      <c r="BG254" s="85" t="str">
        <f t="shared" ref="BG254:BG265" si="853">IF(BF254="-",BE254,BE254-BF254)</f>
        <v>-</v>
      </c>
      <c r="BH254" s="85" t="str">
        <f t="shared" ref="BH254:BH265" si="854">IF(BF254="-",BF254,BF254*24)</f>
        <v>-</v>
      </c>
      <c r="BI254" s="85" t="str">
        <f t="shared" ref="BI254:BI265" si="855">IF(BD254="-",BD254,BD254+(BG254*24))</f>
        <v>-</v>
      </c>
      <c r="BJ254" s="85" t="str">
        <f>'Consumer Hardware Pricing'!AP262</f>
        <v>-</v>
      </c>
      <c r="BK254" s="85" t="str">
        <f t="shared" si="783"/>
        <v>-</v>
      </c>
      <c r="BL254" s="85" t="str">
        <f>'Consumer Hardware Pricing'!AQ262</f>
        <v>-</v>
      </c>
      <c r="BM254" s="85" t="str">
        <f t="shared" ref="BM254:BM265" si="856">IF(BL254="-",BK254,BK254-BL254)</f>
        <v>-</v>
      </c>
      <c r="BN254" s="85" t="str">
        <f t="shared" ref="BN254:BN265" si="857">IF(BL254="-",BL254,BL254*24)</f>
        <v>-</v>
      </c>
      <c r="BO254" s="85" t="str">
        <f t="shared" ref="BO254:BO265" si="858">IF(BJ254="-",BJ254,BJ254+(BM254*24))</f>
        <v>-</v>
      </c>
      <c r="BP254" s="85" t="str">
        <f>'Consumer Hardware Pricing'!AT262</f>
        <v>-</v>
      </c>
      <c r="BQ254" s="85" t="str">
        <f t="shared" si="784"/>
        <v>-</v>
      </c>
      <c r="BR254" s="85" t="str">
        <f>'Consumer Hardware Pricing'!AU262</f>
        <v>-</v>
      </c>
      <c r="BS254" s="85" t="str">
        <f t="shared" ref="BS254:BS265" si="859">IF(BR254="-",BQ254,BQ254-BR254)</f>
        <v>-</v>
      </c>
      <c r="BT254" s="85" t="str">
        <f t="shared" ref="BT254:BT265" si="860">IF(BR254="-",BR254,BR254*24)</f>
        <v>-</v>
      </c>
      <c r="BU254" s="85" t="str">
        <f t="shared" ref="BU254:BU265" si="861">IF(BP254="-",BP254,BP254+(BS254*24))</f>
        <v>-</v>
      </c>
    </row>
    <row r="255" spans="1:73" ht="30.15" customHeight="1" x14ac:dyDescent="0.25">
      <c r="A255" s="87" t="s">
        <v>34</v>
      </c>
      <c r="B255" s="130" t="s">
        <v>1079</v>
      </c>
      <c r="C255" s="130" t="s">
        <v>1090</v>
      </c>
      <c r="D255" s="85">
        <f>'Consumer Hardware Pricing'!L263</f>
        <v>720</v>
      </c>
      <c r="E255" s="85">
        <f>'Consumer Hardware Pricing'!M263</f>
        <v>720</v>
      </c>
      <c r="F255" s="85">
        <f>'Consumer Hardware Pricing'!N263</f>
        <v>0</v>
      </c>
      <c r="G255" s="85">
        <f t="shared" ref="G255:G318" si="862">IF(F255="-","-",ROUNDUP(D255/24,2))</f>
        <v>30</v>
      </c>
      <c r="H255" s="85" t="str">
        <f>'Consumer Hardware Pricing'!O263</f>
        <v>-</v>
      </c>
      <c r="I255" s="85">
        <f t="shared" si="825"/>
        <v>30</v>
      </c>
      <c r="J255" s="85" t="str">
        <f t="shared" si="826"/>
        <v>-</v>
      </c>
      <c r="K255" s="85">
        <f t="shared" si="827"/>
        <v>720</v>
      </c>
      <c r="L255" s="85" t="str">
        <f>'Consumer Hardware Pricing'!Q263</f>
        <v>-</v>
      </c>
      <c r="M255" s="85" t="str">
        <f t="shared" ref="M255:M318" si="863">IF(L255="-",L255,IF(H255="-",G255-ROUNDUP((D255-L255)/24,2),H255+G255-ROUNDUP((D255-L255)/24,2)))</f>
        <v>-</v>
      </c>
      <c r="N255" s="85" t="str">
        <f t="shared" si="828"/>
        <v>-</v>
      </c>
      <c r="O255" s="85" t="str">
        <f t="shared" si="829"/>
        <v>-</v>
      </c>
      <c r="P255" s="85" t="str">
        <f t="shared" si="830"/>
        <v>-</v>
      </c>
      <c r="Q255" s="85">
        <f>'Consumer Hardware Pricing'!S263</f>
        <v>0</v>
      </c>
      <c r="R255" s="85">
        <f t="shared" si="831"/>
        <v>30</v>
      </c>
      <c r="S255" s="85" t="str">
        <f>'Consumer Hardware Pricing'!T263</f>
        <v>-</v>
      </c>
      <c r="T255" s="129">
        <f t="shared" si="832"/>
        <v>30</v>
      </c>
      <c r="U255" s="129" t="str">
        <f t="shared" si="833"/>
        <v>-</v>
      </c>
      <c r="V255" s="85">
        <f t="shared" si="834"/>
        <v>720</v>
      </c>
      <c r="W255" s="129" t="str">
        <f>'Consumer Hardware Pricing'!V263</f>
        <v>-</v>
      </c>
      <c r="X255" s="129" t="str">
        <f t="shared" ref="X255:X318" si="864">IF(W255="-",W255,IF(S255="-",R255-ROUNDUP((D255-W255)/24,2),S255+R255-ROUNDUP((D255-W255)/24,2)))</f>
        <v>-</v>
      </c>
      <c r="Y255" s="129" t="str">
        <f t="shared" si="835"/>
        <v>-</v>
      </c>
      <c r="Z255" s="129" t="str">
        <f t="shared" si="836"/>
        <v>-</v>
      </c>
      <c r="AA255" s="85" t="str">
        <f t="shared" si="837"/>
        <v>-</v>
      </c>
      <c r="AB255" s="85">
        <f>'Consumer Hardware Pricing'!X263</f>
        <v>0</v>
      </c>
      <c r="AC255" s="85">
        <f t="shared" si="777"/>
        <v>30</v>
      </c>
      <c r="AD255" s="85">
        <f>'Consumer Hardware Pricing'!Y263</f>
        <v>15</v>
      </c>
      <c r="AE255" s="85">
        <f t="shared" si="838"/>
        <v>15</v>
      </c>
      <c r="AF255" s="85">
        <f t="shared" si="839"/>
        <v>360</v>
      </c>
      <c r="AG255" s="85">
        <f t="shared" si="840"/>
        <v>360</v>
      </c>
      <c r="AH255" s="85" t="str">
        <f>'Consumer Hardware Pricing'!AA263</f>
        <v>-</v>
      </c>
      <c r="AI255" s="85" t="str">
        <f t="shared" si="778"/>
        <v>-</v>
      </c>
      <c r="AJ255" s="85" t="str">
        <f t="shared" si="841"/>
        <v>-</v>
      </c>
      <c r="AK255" s="85" t="str">
        <f t="shared" si="842"/>
        <v>-</v>
      </c>
      <c r="AL255" s="85" t="str">
        <f t="shared" si="843"/>
        <v>-</v>
      </c>
      <c r="AM255" s="85">
        <f>'Consumer Hardware Pricing'!AC263</f>
        <v>0</v>
      </c>
      <c r="AN255" s="85">
        <f t="shared" si="779"/>
        <v>30</v>
      </c>
      <c r="AO255" s="85">
        <f>'Consumer Hardware Pricing'!AD263</f>
        <v>15</v>
      </c>
      <c r="AP255" s="85">
        <f t="shared" si="844"/>
        <v>15</v>
      </c>
      <c r="AQ255" s="85">
        <f t="shared" si="845"/>
        <v>360</v>
      </c>
      <c r="AR255" s="85">
        <f t="shared" si="846"/>
        <v>360</v>
      </c>
      <c r="AS255" s="85" t="str">
        <f>'Consumer Hardware Pricing'!AF263</f>
        <v>-</v>
      </c>
      <c r="AT255" s="85" t="str">
        <f t="shared" si="780"/>
        <v>-</v>
      </c>
      <c r="AU255" s="85" t="str">
        <f t="shared" si="847"/>
        <v>-</v>
      </c>
      <c r="AV255" s="85" t="str">
        <f t="shared" si="848"/>
        <v>-</v>
      </c>
      <c r="AW255" s="85" t="str">
        <f t="shared" si="849"/>
        <v>-</v>
      </c>
      <c r="AX255" s="85" t="str">
        <f>'Consumer Hardware Pricing'!AH263</f>
        <v>-</v>
      </c>
      <c r="AY255" s="85" t="str">
        <f t="shared" si="781"/>
        <v>-</v>
      </c>
      <c r="AZ255" s="85" t="str">
        <f>'Consumer Hardware Pricing'!AI263</f>
        <v>-</v>
      </c>
      <c r="BA255" s="85" t="str">
        <f t="shared" si="850"/>
        <v>-</v>
      </c>
      <c r="BB255" s="85" t="str">
        <f t="shared" si="851"/>
        <v>-</v>
      </c>
      <c r="BC255" s="85" t="str">
        <f t="shared" si="852"/>
        <v>-</v>
      </c>
      <c r="BD255" s="85" t="str">
        <f>'Consumer Hardware Pricing'!AL263</f>
        <v>-</v>
      </c>
      <c r="BE255" s="85" t="str">
        <f t="shared" si="782"/>
        <v>-</v>
      </c>
      <c r="BF255" s="85" t="str">
        <f>'Consumer Hardware Pricing'!AM263</f>
        <v>-</v>
      </c>
      <c r="BG255" s="85" t="str">
        <f t="shared" si="853"/>
        <v>-</v>
      </c>
      <c r="BH255" s="85" t="str">
        <f t="shared" si="854"/>
        <v>-</v>
      </c>
      <c r="BI255" s="85" t="str">
        <f t="shared" si="855"/>
        <v>-</v>
      </c>
      <c r="BJ255" s="85" t="str">
        <f>'Consumer Hardware Pricing'!AP263</f>
        <v>-</v>
      </c>
      <c r="BK255" s="85" t="str">
        <f t="shared" si="783"/>
        <v>-</v>
      </c>
      <c r="BL255" s="85" t="str">
        <f>'Consumer Hardware Pricing'!AQ263</f>
        <v>-</v>
      </c>
      <c r="BM255" s="85" t="str">
        <f t="shared" si="856"/>
        <v>-</v>
      </c>
      <c r="BN255" s="85" t="str">
        <f t="shared" si="857"/>
        <v>-</v>
      </c>
      <c r="BO255" s="85" t="str">
        <f t="shared" si="858"/>
        <v>-</v>
      </c>
      <c r="BP255" s="85" t="str">
        <f>'Consumer Hardware Pricing'!AT263</f>
        <v>-</v>
      </c>
      <c r="BQ255" s="85" t="str">
        <f t="shared" si="784"/>
        <v>-</v>
      </c>
      <c r="BR255" s="85" t="str">
        <f>'Consumer Hardware Pricing'!AU263</f>
        <v>-</v>
      </c>
      <c r="BS255" s="85" t="str">
        <f t="shared" si="859"/>
        <v>-</v>
      </c>
      <c r="BT255" s="85" t="str">
        <f t="shared" si="860"/>
        <v>-</v>
      </c>
      <c r="BU255" s="85" t="str">
        <f t="shared" si="861"/>
        <v>-</v>
      </c>
    </row>
    <row r="256" spans="1:73" ht="30.15" customHeight="1" x14ac:dyDescent="0.25">
      <c r="A256" s="87" t="s">
        <v>34</v>
      </c>
      <c r="B256" s="130" t="s">
        <v>1080</v>
      </c>
      <c r="C256" s="130" t="s">
        <v>1090</v>
      </c>
      <c r="D256" s="85">
        <f>'Consumer Hardware Pricing'!L264</f>
        <v>720</v>
      </c>
      <c r="E256" s="85">
        <f>'Consumer Hardware Pricing'!M264</f>
        <v>720</v>
      </c>
      <c r="F256" s="85">
        <f>'Consumer Hardware Pricing'!N264</f>
        <v>0</v>
      </c>
      <c r="G256" s="85">
        <f t="shared" si="862"/>
        <v>30</v>
      </c>
      <c r="H256" s="85" t="str">
        <f>'Consumer Hardware Pricing'!O264</f>
        <v>-</v>
      </c>
      <c r="I256" s="85">
        <f t="shared" si="825"/>
        <v>30</v>
      </c>
      <c r="J256" s="85" t="str">
        <f t="shared" si="826"/>
        <v>-</v>
      </c>
      <c r="K256" s="85">
        <f t="shared" si="827"/>
        <v>720</v>
      </c>
      <c r="L256" s="85" t="str">
        <f>'Consumer Hardware Pricing'!Q264</f>
        <v>-</v>
      </c>
      <c r="M256" s="85" t="str">
        <f t="shared" si="863"/>
        <v>-</v>
      </c>
      <c r="N256" s="85" t="str">
        <f t="shared" si="828"/>
        <v>-</v>
      </c>
      <c r="O256" s="85" t="str">
        <f t="shared" si="829"/>
        <v>-</v>
      </c>
      <c r="P256" s="85" t="str">
        <f t="shared" si="830"/>
        <v>-</v>
      </c>
      <c r="Q256" s="85">
        <f>'Consumer Hardware Pricing'!S264</f>
        <v>0</v>
      </c>
      <c r="R256" s="85">
        <f t="shared" si="831"/>
        <v>30</v>
      </c>
      <c r="S256" s="85" t="str">
        <f>'Consumer Hardware Pricing'!T264</f>
        <v>-</v>
      </c>
      <c r="T256" s="129">
        <f t="shared" si="832"/>
        <v>30</v>
      </c>
      <c r="U256" s="129" t="str">
        <f t="shared" si="833"/>
        <v>-</v>
      </c>
      <c r="V256" s="85">
        <f t="shared" si="834"/>
        <v>720</v>
      </c>
      <c r="W256" s="129" t="str">
        <f>'Consumer Hardware Pricing'!V264</f>
        <v>-</v>
      </c>
      <c r="X256" s="129" t="str">
        <f t="shared" si="864"/>
        <v>-</v>
      </c>
      <c r="Y256" s="129" t="str">
        <f t="shared" si="835"/>
        <v>-</v>
      </c>
      <c r="Z256" s="129" t="str">
        <f t="shared" si="836"/>
        <v>-</v>
      </c>
      <c r="AA256" s="85" t="str">
        <f t="shared" si="837"/>
        <v>-</v>
      </c>
      <c r="AB256" s="85">
        <f>'Consumer Hardware Pricing'!X264</f>
        <v>0</v>
      </c>
      <c r="AC256" s="85">
        <f t="shared" si="777"/>
        <v>30</v>
      </c>
      <c r="AD256" s="85">
        <f>'Consumer Hardware Pricing'!Y264</f>
        <v>15</v>
      </c>
      <c r="AE256" s="85">
        <f t="shared" si="838"/>
        <v>15</v>
      </c>
      <c r="AF256" s="85">
        <f t="shared" si="839"/>
        <v>360</v>
      </c>
      <c r="AG256" s="85">
        <f t="shared" si="840"/>
        <v>360</v>
      </c>
      <c r="AH256" s="85" t="str">
        <f>'Consumer Hardware Pricing'!AA264</f>
        <v>-</v>
      </c>
      <c r="AI256" s="85" t="str">
        <f t="shared" si="778"/>
        <v>-</v>
      </c>
      <c r="AJ256" s="85" t="str">
        <f t="shared" si="841"/>
        <v>-</v>
      </c>
      <c r="AK256" s="85" t="str">
        <f t="shared" si="842"/>
        <v>-</v>
      </c>
      <c r="AL256" s="85" t="str">
        <f t="shared" si="843"/>
        <v>-</v>
      </c>
      <c r="AM256" s="85">
        <f>'Consumer Hardware Pricing'!AC264</f>
        <v>0</v>
      </c>
      <c r="AN256" s="85">
        <f t="shared" si="779"/>
        <v>30</v>
      </c>
      <c r="AO256" s="85">
        <f>'Consumer Hardware Pricing'!AD264</f>
        <v>15</v>
      </c>
      <c r="AP256" s="85">
        <f t="shared" si="844"/>
        <v>15</v>
      </c>
      <c r="AQ256" s="85">
        <f t="shared" si="845"/>
        <v>360</v>
      </c>
      <c r="AR256" s="85">
        <f t="shared" si="846"/>
        <v>360</v>
      </c>
      <c r="AS256" s="85" t="str">
        <f>'Consumer Hardware Pricing'!AF264</f>
        <v>-</v>
      </c>
      <c r="AT256" s="85" t="str">
        <f t="shared" si="780"/>
        <v>-</v>
      </c>
      <c r="AU256" s="85" t="str">
        <f t="shared" si="847"/>
        <v>-</v>
      </c>
      <c r="AV256" s="85" t="str">
        <f t="shared" si="848"/>
        <v>-</v>
      </c>
      <c r="AW256" s="85" t="str">
        <f t="shared" si="849"/>
        <v>-</v>
      </c>
      <c r="AX256" s="85" t="str">
        <f>'Consumer Hardware Pricing'!AH264</f>
        <v>-</v>
      </c>
      <c r="AY256" s="85" t="str">
        <f t="shared" si="781"/>
        <v>-</v>
      </c>
      <c r="AZ256" s="85" t="str">
        <f>'Consumer Hardware Pricing'!AI264</f>
        <v>-</v>
      </c>
      <c r="BA256" s="85" t="str">
        <f t="shared" si="850"/>
        <v>-</v>
      </c>
      <c r="BB256" s="85" t="str">
        <f t="shared" si="851"/>
        <v>-</v>
      </c>
      <c r="BC256" s="85" t="str">
        <f t="shared" si="852"/>
        <v>-</v>
      </c>
      <c r="BD256" s="85" t="str">
        <f>'Consumer Hardware Pricing'!AL264</f>
        <v>-</v>
      </c>
      <c r="BE256" s="85" t="str">
        <f t="shared" si="782"/>
        <v>-</v>
      </c>
      <c r="BF256" s="85" t="str">
        <f>'Consumer Hardware Pricing'!AM264</f>
        <v>-</v>
      </c>
      <c r="BG256" s="85" t="str">
        <f t="shared" si="853"/>
        <v>-</v>
      </c>
      <c r="BH256" s="85" t="str">
        <f t="shared" si="854"/>
        <v>-</v>
      </c>
      <c r="BI256" s="85" t="str">
        <f t="shared" si="855"/>
        <v>-</v>
      </c>
      <c r="BJ256" s="85" t="str">
        <f>'Consumer Hardware Pricing'!AP264</f>
        <v>-</v>
      </c>
      <c r="BK256" s="85" t="str">
        <f t="shared" si="783"/>
        <v>-</v>
      </c>
      <c r="BL256" s="85" t="str">
        <f>'Consumer Hardware Pricing'!AQ264</f>
        <v>-</v>
      </c>
      <c r="BM256" s="85" t="str">
        <f t="shared" si="856"/>
        <v>-</v>
      </c>
      <c r="BN256" s="85" t="str">
        <f t="shared" si="857"/>
        <v>-</v>
      </c>
      <c r="BO256" s="85" t="str">
        <f t="shared" si="858"/>
        <v>-</v>
      </c>
      <c r="BP256" s="85" t="str">
        <f>'Consumer Hardware Pricing'!AT264</f>
        <v>-</v>
      </c>
      <c r="BQ256" s="85" t="str">
        <f t="shared" si="784"/>
        <v>-</v>
      </c>
      <c r="BR256" s="85" t="str">
        <f>'Consumer Hardware Pricing'!AU264</f>
        <v>-</v>
      </c>
      <c r="BS256" s="85" t="str">
        <f t="shared" si="859"/>
        <v>-</v>
      </c>
      <c r="BT256" s="85" t="str">
        <f t="shared" si="860"/>
        <v>-</v>
      </c>
      <c r="BU256" s="85" t="str">
        <f t="shared" si="861"/>
        <v>-</v>
      </c>
    </row>
    <row r="257" spans="1:73" ht="30.15" customHeight="1" x14ac:dyDescent="0.25">
      <c r="A257" s="87" t="s">
        <v>34</v>
      </c>
      <c r="B257" s="130" t="s">
        <v>1081</v>
      </c>
      <c r="C257" s="130" t="s">
        <v>1090</v>
      </c>
      <c r="D257" s="85">
        <f>'Consumer Hardware Pricing'!L265</f>
        <v>720</v>
      </c>
      <c r="E257" s="85">
        <f>'Consumer Hardware Pricing'!M265</f>
        <v>720</v>
      </c>
      <c r="F257" s="85">
        <f>'Consumer Hardware Pricing'!N265</f>
        <v>0</v>
      </c>
      <c r="G257" s="85">
        <f t="shared" si="862"/>
        <v>30</v>
      </c>
      <c r="H257" s="85" t="str">
        <f>'Consumer Hardware Pricing'!O265</f>
        <v>-</v>
      </c>
      <c r="I257" s="85">
        <f t="shared" si="825"/>
        <v>30</v>
      </c>
      <c r="J257" s="85" t="str">
        <f t="shared" si="826"/>
        <v>-</v>
      </c>
      <c r="K257" s="85">
        <f t="shared" si="827"/>
        <v>720</v>
      </c>
      <c r="L257" s="85" t="str">
        <f>'Consumer Hardware Pricing'!Q265</f>
        <v>-</v>
      </c>
      <c r="M257" s="85" t="str">
        <f t="shared" si="863"/>
        <v>-</v>
      </c>
      <c r="N257" s="85" t="str">
        <f t="shared" si="828"/>
        <v>-</v>
      </c>
      <c r="O257" s="85" t="str">
        <f t="shared" si="829"/>
        <v>-</v>
      </c>
      <c r="P257" s="85" t="str">
        <f t="shared" si="830"/>
        <v>-</v>
      </c>
      <c r="Q257" s="85">
        <f>'Consumer Hardware Pricing'!S265</f>
        <v>0</v>
      </c>
      <c r="R257" s="85">
        <f t="shared" si="831"/>
        <v>30</v>
      </c>
      <c r="S257" s="85" t="str">
        <f>'Consumer Hardware Pricing'!T265</f>
        <v>-</v>
      </c>
      <c r="T257" s="129">
        <f t="shared" si="832"/>
        <v>30</v>
      </c>
      <c r="U257" s="129" t="str">
        <f t="shared" si="833"/>
        <v>-</v>
      </c>
      <c r="V257" s="85">
        <f t="shared" si="834"/>
        <v>720</v>
      </c>
      <c r="W257" s="129" t="str">
        <f>'Consumer Hardware Pricing'!V265</f>
        <v>-</v>
      </c>
      <c r="X257" s="129" t="str">
        <f t="shared" si="864"/>
        <v>-</v>
      </c>
      <c r="Y257" s="129" t="str">
        <f t="shared" si="835"/>
        <v>-</v>
      </c>
      <c r="Z257" s="129" t="str">
        <f t="shared" si="836"/>
        <v>-</v>
      </c>
      <c r="AA257" s="85" t="str">
        <f t="shared" si="837"/>
        <v>-</v>
      </c>
      <c r="AB257" s="85">
        <f>'Consumer Hardware Pricing'!X265</f>
        <v>0</v>
      </c>
      <c r="AC257" s="85">
        <f t="shared" si="777"/>
        <v>30</v>
      </c>
      <c r="AD257" s="85">
        <f>'Consumer Hardware Pricing'!Y265</f>
        <v>15</v>
      </c>
      <c r="AE257" s="85">
        <f t="shared" si="838"/>
        <v>15</v>
      </c>
      <c r="AF257" s="85">
        <f t="shared" si="839"/>
        <v>360</v>
      </c>
      <c r="AG257" s="85">
        <f t="shared" si="840"/>
        <v>360</v>
      </c>
      <c r="AH257" s="85" t="str">
        <f>'Consumer Hardware Pricing'!AA265</f>
        <v>-</v>
      </c>
      <c r="AI257" s="85" t="str">
        <f t="shared" si="778"/>
        <v>-</v>
      </c>
      <c r="AJ257" s="85" t="str">
        <f t="shared" si="841"/>
        <v>-</v>
      </c>
      <c r="AK257" s="85" t="str">
        <f t="shared" si="842"/>
        <v>-</v>
      </c>
      <c r="AL257" s="85" t="str">
        <f t="shared" si="843"/>
        <v>-</v>
      </c>
      <c r="AM257" s="85">
        <f>'Consumer Hardware Pricing'!AC265</f>
        <v>0</v>
      </c>
      <c r="AN257" s="85">
        <f t="shared" si="779"/>
        <v>30</v>
      </c>
      <c r="AO257" s="85">
        <f>'Consumer Hardware Pricing'!AD265</f>
        <v>15</v>
      </c>
      <c r="AP257" s="85">
        <f t="shared" si="844"/>
        <v>15</v>
      </c>
      <c r="AQ257" s="85">
        <f t="shared" si="845"/>
        <v>360</v>
      </c>
      <c r="AR257" s="85">
        <f t="shared" si="846"/>
        <v>360</v>
      </c>
      <c r="AS257" s="85" t="str">
        <f>'Consumer Hardware Pricing'!AF265</f>
        <v>-</v>
      </c>
      <c r="AT257" s="85" t="str">
        <f t="shared" si="780"/>
        <v>-</v>
      </c>
      <c r="AU257" s="85" t="str">
        <f t="shared" si="847"/>
        <v>-</v>
      </c>
      <c r="AV257" s="85" t="str">
        <f t="shared" si="848"/>
        <v>-</v>
      </c>
      <c r="AW257" s="85" t="str">
        <f t="shared" si="849"/>
        <v>-</v>
      </c>
      <c r="AX257" s="85" t="str">
        <f>'Consumer Hardware Pricing'!AH265</f>
        <v>-</v>
      </c>
      <c r="AY257" s="85" t="str">
        <f t="shared" si="781"/>
        <v>-</v>
      </c>
      <c r="AZ257" s="85" t="str">
        <f>'Consumer Hardware Pricing'!AI265</f>
        <v>-</v>
      </c>
      <c r="BA257" s="85" t="str">
        <f t="shared" si="850"/>
        <v>-</v>
      </c>
      <c r="BB257" s="85" t="str">
        <f t="shared" si="851"/>
        <v>-</v>
      </c>
      <c r="BC257" s="85" t="str">
        <f t="shared" si="852"/>
        <v>-</v>
      </c>
      <c r="BD257" s="85" t="str">
        <f>'Consumer Hardware Pricing'!AL265</f>
        <v>-</v>
      </c>
      <c r="BE257" s="85" t="str">
        <f t="shared" si="782"/>
        <v>-</v>
      </c>
      <c r="BF257" s="85" t="str">
        <f>'Consumer Hardware Pricing'!AM265</f>
        <v>-</v>
      </c>
      <c r="BG257" s="85" t="str">
        <f t="shared" si="853"/>
        <v>-</v>
      </c>
      <c r="BH257" s="85" t="str">
        <f t="shared" si="854"/>
        <v>-</v>
      </c>
      <c r="BI257" s="85" t="str">
        <f t="shared" si="855"/>
        <v>-</v>
      </c>
      <c r="BJ257" s="85" t="str">
        <f>'Consumer Hardware Pricing'!AP265</f>
        <v>-</v>
      </c>
      <c r="BK257" s="85" t="str">
        <f t="shared" si="783"/>
        <v>-</v>
      </c>
      <c r="BL257" s="85" t="str">
        <f>'Consumer Hardware Pricing'!AQ265</f>
        <v>-</v>
      </c>
      <c r="BM257" s="85" t="str">
        <f t="shared" si="856"/>
        <v>-</v>
      </c>
      <c r="BN257" s="85" t="str">
        <f t="shared" si="857"/>
        <v>-</v>
      </c>
      <c r="BO257" s="85" t="str">
        <f t="shared" si="858"/>
        <v>-</v>
      </c>
      <c r="BP257" s="85" t="str">
        <f>'Consumer Hardware Pricing'!AT265</f>
        <v>-</v>
      </c>
      <c r="BQ257" s="85" t="str">
        <f t="shared" si="784"/>
        <v>-</v>
      </c>
      <c r="BR257" s="85" t="str">
        <f>'Consumer Hardware Pricing'!AU265</f>
        <v>-</v>
      </c>
      <c r="BS257" s="85" t="str">
        <f t="shared" si="859"/>
        <v>-</v>
      </c>
      <c r="BT257" s="85" t="str">
        <f t="shared" si="860"/>
        <v>-</v>
      </c>
      <c r="BU257" s="85" t="str">
        <f t="shared" si="861"/>
        <v>-</v>
      </c>
    </row>
    <row r="258" spans="1:73" ht="30.15" customHeight="1" x14ac:dyDescent="0.25">
      <c r="A258" s="87" t="s">
        <v>34</v>
      </c>
      <c r="B258" s="130" t="s">
        <v>1082</v>
      </c>
      <c r="C258" s="130" t="s">
        <v>1090</v>
      </c>
      <c r="D258" s="85">
        <f>'Consumer Hardware Pricing'!L266</f>
        <v>720</v>
      </c>
      <c r="E258" s="85">
        <f>'Consumer Hardware Pricing'!M266</f>
        <v>720</v>
      </c>
      <c r="F258" s="85">
        <f>'Consumer Hardware Pricing'!N266</f>
        <v>0</v>
      </c>
      <c r="G258" s="85">
        <f t="shared" si="862"/>
        <v>30</v>
      </c>
      <c r="H258" s="85" t="str">
        <f>'Consumer Hardware Pricing'!O266</f>
        <v>-</v>
      </c>
      <c r="I258" s="85">
        <f t="shared" si="825"/>
        <v>30</v>
      </c>
      <c r="J258" s="85" t="str">
        <f t="shared" si="826"/>
        <v>-</v>
      </c>
      <c r="K258" s="85">
        <f t="shared" si="827"/>
        <v>720</v>
      </c>
      <c r="L258" s="85" t="str">
        <f>'Consumer Hardware Pricing'!Q266</f>
        <v>-</v>
      </c>
      <c r="M258" s="85" t="str">
        <f t="shared" si="863"/>
        <v>-</v>
      </c>
      <c r="N258" s="85" t="str">
        <f t="shared" si="828"/>
        <v>-</v>
      </c>
      <c r="O258" s="85" t="str">
        <f t="shared" si="829"/>
        <v>-</v>
      </c>
      <c r="P258" s="85" t="str">
        <f t="shared" si="830"/>
        <v>-</v>
      </c>
      <c r="Q258" s="85">
        <f>'Consumer Hardware Pricing'!S266</f>
        <v>0</v>
      </c>
      <c r="R258" s="85">
        <f t="shared" si="831"/>
        <v>30</v>
      </c>
      <c r="S258" s="85" t="str">
        <f>'Consumer Hardware Pricing'!T266</f>
        <v>-</v>
      </c>
      <c r="T258" s="129">
        <f t="shared" si="832"/>
        <v>30</v>
      </c>
      <c r="U258" s="129" t="str">
        <f t="shared" si="833"/>
        <v>-</v>
      </c>
      <c r="V258" s="85">
        <f t="shared" si="834"/>
        <v>720</v>
      </c>
      <c r="W258" s="129" t="str">
        <f>'Consumer Hardware Pricing'!V266</f>
        <v>-</v>
      </c>
      <c r="X258" s="129" t="str">
        <f t="shared" si="864"/>
        <v>-</v>
      </c>
      <c r="Y258" s="129" t="str">
        <f t="shared" si="835"/>
        <v>-</v>
      </c>
      <c r="Z258" s="129" t="str">
        <f t="shared" si="836"/>
        <v>-</v>
      </c>
      <c r="AA258" s="85" t="str">
        <f t="shared" si="837"/>
        <v>-</v>
      </c>
      <c r="AB258" s="85">
        <f>'Consumer Hardware Pricing'!X266</f>
        <v>0</v>
      </c>
      <c r="AC258" s="85">
        <f t="shared" si="777"/>
        <v>30</v>
      </c>
      <c r="AD258" s="85">
        <f>'Consumer Hardware Pricing'!Y266</f>
        <v>15</v>
      </c>
      <c r="AE258" s="85">
        <f t="shared" si="838"/>
        <v>15</v>
      </c>
      <c r="AF258" s="85">
        <f t="shared" si="839"/>
        <v>360</v>
      </c>
      <c r="AG258" s="85">
        <f t="shared" si="840"/>
        <v>360</v>
      </c>
      <c r="AH258" s="85" t="str">
        <f>'Consumer Hardware Pricing'!AA266</f>
        <v>-</v>
      </c>
      <c r="AI258" s="85" t="str">
        <f t="shared" si="778"/>
        <v>-</v>
      </c>
      <c r="AJ258" s="85" t="str">
        <f t="shared" si="841"/>
        <v>-</v>
      </c>
      <c r="AK258" s="85" t="str">
        <f t="shared" si="842"/>
        <v>-</v>
      </c>
      <c r="AL258" s="85" t="str">
        <f t="shared" si="843"/>
        <v>-</v>
      </c>
      <c r="AM258" s="85">
        <f>'Consumer Hardware Pricing'!AC266</f>
        <v>0</v>
      </c>
      <c r="AN258" s="85">
        <f t="shared" si="779"/>
        <v>30</v>
      </c>
      <c r="AO258" s="85">
        <f>'Consumer Hardware Pricing'!AD266</f>
        <v>15</v>
      </c>
      <c r="AP258" s="85">
        <f t="shared" si="844"/>
        <v>15</v>
      </c>
      <c r="AQ258" s="85">
        <f t="shared" si="845"/>
        <v>360</v>
      </c>
      <c r="AR258" s="85">
        <f t="shared" si="846"/>
        <v>360</v>
      </c>
      <c r="AS258" s="85" t="str">
        <f>'Consumer Hardware Pricing'!AF266</f>
        <v>-</v>
      </c>
      <c r="AT258" s="85" t="str">
        <f t="shared" si="780"/>
        <v>-</v>
      </c>
      <c r="AU258" s="85" t="str">
        <f t="shared" si="847"/>
        <v>-</v>
      </c>
      <c r="AV258" s="85" t="str">
        <f t="shared" si="848"/>
        <v>-</v>
      </c>
      <c r="AW258" s="85" t="str">
        <f t="shared" si="849"/>
        <v>-</v>
      </c>
      <c r="AX258" s="85" t="str">
        <f>'Consumer Hardware Pricing'!AH266</f>
        <v>-</v>
      </c>
      <c r="AY258" s="85" t="str">
        <f t="shared" si="781"/>
        <v>-</v>
      </c>
      <c r="AZ258" s="85" t="str">
        <f>'Consumer Hardware Pricing'!AI266</f>
        <v>-</v>
      </c>
      <c r="BA258" s="85" t="str">
        <f t="shared" si="850"/>
        <v>-</v>
      </c>
      <c r="BB258" s="85" t="str">
        <f t="shared" si="851"/>
        <v>-</v>
      </c>
      <c r="BC258" s="85" t="str">
        <f t="shared" si="852"/>
        <v>-</v>
      </c>
      <c r="BD258" s="85" t="str">
        <f>'Consumer Hardware Pricing'!AL266</f>
        <v>-</v>
      </c>
      <c r="BE258" s="85" t="str">
        <f t="shared" si="782"/>
        <v>-</v>
      </c>
      <c r="BF258" s="85" t="str">
        <f>'Consumer Hardware Pricing'!AM266</f>
        <v>-</v>
      </c>
      <c r="BG258" s="85" t="str">
        <f t="shared" si="853"/>
        <v>-</v>
      </c>
      <c r="BH258" s="85" t="str">
        <f t="shared" si="854"/>
        <v>-</v>
      </c>
      <c r="BI258" s="85" t="str">
        <f t="shared" si="855"/>
        <v>-</v>
      </c>
      <c r="BJ258" s="85" t="str">
        <f>'Consumer Hardware Pricing'!AP266</f>
        <v>-</v>
      </c>
      <c r="BK258" s="85" t="str">
        <f t="shared" si="783"/>
        <v>-</v>
      </c>
      <c r="BL258" s="85" t="str">
        <f>'Consumer Hardware Pricing'!AQ266</f>
        <v>-</v>
      </c>
      <c r="BM258" s="85" t="str">
        <f t="shared" si="856"/>
        <v>-</v>
      </c>
      <c r="BN258" s="85" t="str">
        <f t="shared" si="857"/>
        <v>-</v>
      </c>
      <c r="BO258" s="85" t="str">
        <f t="shared" si="858"/>
        <v>-</v>
      </c>
      <c r="BP258" s="85" t="str">
        <f>'Consumer Hardware Pricing'!AT266</f>
        <v>-</v>
      </c>
      <c r="BQ258" s="85" t="str">
        <f t="shared" si="784"/>
        <v>-</v>
      </c>
      <c r="BR258" s="85" t="str">
        <f>'Consumer Hardware Pricing'!AU266</f>
        <v>-</v>
      </c>
      <c r="BS258" s="85" t="str">
        <f t="shared" si="859"/>
        <v>-</v>
      </c>
      <c r="BT258" s="85" t="str">
        <f t="shared" si="860"/>
        <v>-</v>
      </c>
      <c r="BU258" s="85" t="str">
        <f t="shared" si="861"/>
        <v>-</v>
      </c>
    </row>
    <row r="259" spans="1:73" ht="30.15" customHeight="1" x14ac:dyDescent="0.25">
      <c r="A259" s="87" t="s">
        <v>34</v>
      </c>
      <c r="B259" s="130" t="s">
        <v>1083</v>
      </c>
      <c r="C259" s="130" t="s">
        <v>1090</v>
      </c>
      <c r="D259" s="85">
        <f>'Consumer Hardware Pricing'!L267</f>
        <v>720</v>
      </c>
      <c r="E259" s="85">
        <f>'Consumer Hardware Pricing'!M267</f>
        <v>720</v>
      </c>
      <c r="F259" s="85">
        <f>'Consumer Hardware Pricing'!N267</f>
        <v>0</v>
      </c>
      <c r="G259" s="85">
        <f t="shared" si="862"/>
        <v>30</v>
      </c>
      <c r="H259" s="85" t="str">
        <f>'Consumer Hardware Pricing'!O267</f>
        <v>-</v>
      </c>
      <c r="I259" s="85">
        <f t="shared" si="825"/>
        <v>30</v>
      </c>
      <c r="J259" s="85" t="str">
        <f t="shared" si="826"/>
        <v>-</v>
      </c>
      <c r="K259" s="85">
        <f t="shared" si="827"/>
        <v>720</v>
      </c>
      <c r="L259" s="85" t="str">
        <f>'Consumer Hardware Pricing'!Q267</f>
        <v>-</v>
      </c>
      <c r="M259" s="85" t="str">
        <f t="shared" si="863"/>
        <v>-</v>
      </c>
      <c r="N259" s="85" t="str">
        <f t="shared" si="828"/>
        <v>-</v>
      </c>
      <c r="O259" s="85" t="str">
        <f t="shared" si="829"/>
        <v>-</v>
      </c>
      <c r="P259" s="85" t="str">
        <f t="shared" si="830"/>
        <v>-</v>
      </c>
      <c r="Q259" s="85">
        <f>'Consumer Hardware Pricing'!S267</f>
        <v>0</v>
      </c>
      <c r="R259" s="85">
        <f t="shared" si="831"/>
        <v>30</v>
      </c>
      <c r="S259" s="85" t="str">
        <f>'Consumer Hardware Pricing'!T267</f>
        <v>-</v>
      </c>
      <c r="T259" s="129">
        <f t="shared" si="832"/>
        <v>30</v>
      </c>
      <c r="U259" s="129" t="str">
        <f t="shared" si="833"/>
        <v>-</v>
      </c>
      <c r="V259" s="85">
        <f t="shared" si="834"/>
        <v>720</v>
      </c>
      <c r="W259" s="129" t="str">
        <f>'Consumer Hardware Pricing'!V267</f>
        <v>-</v>
      </c>
      <c r="X259" s="129" t="str">
        <f t="shared" si="864"/>
        <v>-</v>
      </c>
      <c r="Y259" s="129" t="str">
        <f t="shared" si="835"/>
        <v>-</v>
      </c>
      <c r="Z259" s="129" t="str">
        <f t="shared" si="836"/>
        <v>-</v>
      </c>
      <c r="AA259" s="85" t="str">
        <f t="shared" si="837"/>
        <v>-</v>
      </c>
      <c r="AB259" s="85">
        <f>'Consumer Hardware Pricing'!X267</f>
        <v>0</v>
      </c>
      <c r="AC259" s="85">
        <f t="shared" si="777"/>
        <v>30</v>
      </c>
      <c r="AD259" s="85">
        <f>'Consumer Hardware Pricing'!Y267</f>
        <v>15</v>
      </c>
      <c r="AE259" s="85">
        <f t="shared" si="838"/>
        <v>15</v>
      </c>
      <c r="AF259" s="85">
        <f t="shared" si="839"/>
        <v>360</v>
      </c>
      <c r="AG259" s="85">
        <f t="shared" si="840"/>
        <v>360</v>
      </c>
      <c r="AH259" s="85" t="str">
        <f>'Consumer Hardware Pricing'!AA267</f>
        <v>-</v>
      </c>
      <c r="AI259" s="85" t="str">
        <f t="shared" si="778"/>
        <v>-</v>
      </c>
      <c r="AJ259" s="85" t="str">
        <f t="shared" si="841"/>
        <v>-</v>
      </c>
      <c r="AK259" s="85" t="str">
        <f t="shared" si="842"/>
        <v>-</v>
      </c>
      <c r="AL259" s="85" t="str">
        <f t="shared" si="843"/>
        <v>-</v>
      </c>
      <c r="AM259" s="85">
        <f>'Consumer Hardware Pricing'!AC267</f>
        <v>0</v>
      </c>
      <c r="AN259" s="85">
        <f t="shared" si="779"/>
        <v>30</v>
      </c>
      <c r="AO259" s="85">
        <f>'Consumer Hardware Pricing'!AD267</f>
        <v>15</v>
      </c>
      <c r="AP259" s="85">
        <f t="shared" si="844"/>
        <v>15</v>
      </c>
      <c r="AQ259" s="85">
        <f t="shared" si="845"/>
        <v>360</v>
      </c>
      <c r="AR259" s="85">
        <f t="shared" si="846"/>
        <v>360</v>
      </c>
      <c r="AS259" s="85" t="str">
        <f>'Consumer Hardware Pricing'!AF267</f>
        <v>-</v>
      </c>
      <c r="AT259" s="85" t="str">
        <f t="shared" si="780"/>
        <v>-</v>
      </c>
      <c r="AU259" s="85" t="str">
        <f t="shared" si="847"/>
        <v>-</v>
      </c>
      <c r="AV259" s="85" t="str">
        <f t="shared" si="848"/>
        <v>-</v>
      </c>
      <c r="AW259" s="85" t="str">
        <f t="shared" si="849"/>
        <v>-</v>
      </c>
      <c r="AX259" s="85" t="str">
        <f>'Consumer Hardware Pricing'!AH267</f>
        <v>-</v>
      </c>
      <c r="AY259" s="85" t="str">
        <f t="shared" si="781"/>
        <v>-</v>
      </c>
      <c r="AZ259" s="85" t="str">
        <f>'Consumer Hardware Pricing'!AI267</f>
        <v>-</v>
      </c>
      <c r="BA259" s="85" t="str">
        <f t="shared" si="850"/>
        <v>-</v>
      </c>
      <c r="BB259" s="85" t="str">
        <f t="shared" si="851"/>
        <v>-</v>
      </c>
      <c r="BC259" s="85" t="str">
        <f t="shared" si="852"/>
        <v>-</v>
      </c>
      <c r="BD259" s="85" t="str">
        <f>'Consumer Hardware Pricing'!AL267</f>
        <v>-</v>
      </c>
      <c r="BE259" s="85" t="str">
        <f t="shared" si="782"/>
        <v>-</v>
      </c>
      <c r="BF259" s="85" t="str">
        <f>'Consumer Hardware Pricing'!AM267</f>
        <v>-</v>
      </c>
      <c r="BG259" s="85" t="str">
        <f t="shared" si="853"/>
        <v>-</v>
      </c>
      <c r="BH259" s="85" t="str">
        <f t="shared" si="854"/>
        <v>-</v>
      </c>
      <c r="BI259" s="85" t="str">
        <f t="shared" si="855"/>
        <v>-</v>
      </c>
      <c r="BJ259" s="85" t="str">
        <f>'Consumer Hardware Pricing'!AP267</f>
        <v>-</v>
      </c>
      <c r="BK259" s="85" t="str">
        <f t="shared" si="783"/>
        <v>-</v>
      </c>
      <c r="BL259" s="85" t="str">
        <f>'Consumer Hardware Pricing'!AQ267</f>
        <v>-</v>
      </c>
      <c r="BM259" s="85" t="str">
        <f t="shared" si="856"/>
        <v>-</v>
      </c>
      <c r="BN259" s="85" t="str">
        <f t="shared" si="857"/>
        <v>-</v>
      </c>
      <c r="BO259" s="85" t="str">
        <f t="shared" si="858"/>
        <v>-</v>
      </c>
      <c r="BP259" s="85" t="str">
        <f>'Consumer Hardware Pricing'!AT267</f>
        <v>-</v>
      </c>
      <c r="BQ259" s="85" t="str">
        <f t="shared" si="784"/>
        <v>-</v>
      </c>
      <c r="BR259" s="85" t="str">
        <f>'Consumer Hardware Pricing'!AU267</f>
        <v>-</v>
      </c>
      <c r="BS259" s="85" t="str">
        <f t="shared" si="859"/>
        <v>-</v>
      </c>
      <c r="BT259" s="85" t="str">
        <f t="shared" si="860"/>
        <v>-</v>
      </c>
      <c r="BU259" s="85" t="str">
        <f t="shared" si="861"/>
        <v>-</v>
      </c>
    </row>
    <row r="260" spans="1:73" ht="30.15" customHeight="1" x14ac:dyDescent="0.25">
      <c r="A260" s="87" t="s">
        <v>34</v>
      </c>
      <c r="B260" s="130" t="s">
        <v>1084</v>
      </c>
      <c r="C260" s="130" t="s">
        <v>1091</v>
      </c>
      <c r="D260" s="85">
        <f>'Consumer Hardware Pricing'!L268</f>
        <v>790</v>
      </c>
      <c r="E260" s="85">
        <f>'Consumer Hardware Pricing'!M268</f>
        <v>790</v>
      </c>
      <c r="F260" s="85">
        <f>'Consumer Hardware Pricing'!N268</f>
        <v>0</v>
      </c>
      <c r="G260" s="85">
        <f t="shared" si="862"/>
        <v>32.919999999999995</v>
      </c>
      <c r="H260" s="85" t="str">
        <f>'Consumer Hardware Pricing'!O268</f>
        <v>-</v>
      </c>
      <c r="I260" s="85">
        <f t="shared" si="825"/>
        <v>32.919999999999995</v>
      </c>
      <c r="J260" s="85" t="str">
        <f t="shared" si="826"/>
        <v>-</v>
      </c>
      <c r="K260" s="85">
        <f t="shared" si="827"/>
        <v>790.07999999999993</v>
      </c>
      <c r="L260" s="85" t="str">
        <f>'Consumer Hardware Pricing'!Q268</f>
        <v>-</v>
      </c>
      <c r="M260" s="85" t="str">
        <f t="shared" si="863"/>
        <v>-</v>
      </c>
      <c r="N260" s="85" t="str">
        <f t="shared" si="828"/>
        <v>-</v>
      </c>
      <c r="O260" s="85" t="str">
        <f t="shared" si="829"/>
        <v>-</v>
      </c>
      <c r="P260" s="85" t="str">
        <f t="shared" si="830"/>
        <v>-</v>
      </c>
      <c r="Q260" s="85">
        <f>'Consumer Hardware Pricing'!S268</f>
        <v>0</v>
      </c>
      <c r="R260" s="85">
        <f t="shared" si="831"/>
        <v>32.919999999999995</v>
      </c>
      <c r="S260" s="85" t="str">
        <f>'Consumer Hardware Pricing'!T268</f>
        <v>-</v>
      </c>
      <c r="T260" s="129">
        <f t="shared" si="832"/>
        <v>32.919999999999995</v>
      </c>
      <c r="U260" s="129" t="str">
        <f t="shared" si="833"/>
        <v>-</v>
      </c>
      <c r="V260" s="85">
        <f t="shared" si="834"/>
        <v>790.07999999999993</v>
      </c>
      <c r="W260" s="129" t="str">
        <f>'Consumer Hardware Pricing'!V268</f>
        <v>-</v>
      </c>
      <c r="X260" s="129" t="str">
        <f t="shared" si="864"/>
        <v>-</v>
      </c>
      <c r="Y260" s="129" t="str">
        <f t="shared" si="835"/>
        <v>-</v>
      </c>
      <c r="Z260" s="129" t="str">
        <f t="shared" si="836"/>
        <v>-</v>
      </c>
      <c r="AA260" s="85" t="str">
        <f t="shared" si="837"/>
        <v>-</v>
      </c>
      <c r="AB260" s="85">
        <f>'Consumer Hardware Pricing'!X268</f>
        <v>0</v>
      </c>
      <c r="AC260" s="85">
        <f t="shared" si="777"/>
        <v>32.919999999999995</v>
      </c>
      <c r="AD260" s="85">
        <f>'Consumer Hardware Pricing'!Y268</f>
        <v>15</v>
      </c>
      <c r="AE260" s="85">
        <f t="shared" si="838"/>
        <v>17.919999999999995</v>
      </c>
      <c r="AF260" s="85">
        <f t="shared" si="839"/>
        <v>360</v>
      </c>
      <c r="AG260" s="85">
        <f t="shared" si="840"/>
        <v>430.07999999999987</v>
      </c>
      <c r="AH260" s="85" t="str">
        <f>'Consumer Hardware Pricing'!AA268</f>
        <v>-</v>
      </c>
      <c r="AI260" s="85" t="str">
        <f t="shared" si="778"/>
        <v>-</v>
      </c>
      <c r="AJ260" s="85" t="str">
        <f t="shared" si="841"/>
        <v>-</v>
      </c>
      <c r="AK260" s="85" t="str">
        <f t="shared" si="842"/>
        <v>-</v>
      </c>
      <c r="AL260" s="85" t="str">
        <f t="shared" si="843"/>
        <v>-</v>
      </c>
      <c r="AM260" s="85">
        <f>'Consumer Hardware Pricing'!AC268</f>
        <v>0</v>
      </c>
      <c r="AN260" s="85">
        <f t="shared" si="779"/>
        <v>32.919999999999995</v>
      </c>
      <c r="AO260" s="85">
        <f>'Consumer Hardware Pricing'!AD268</f>
        <v>15</v>
      </c>
      <c r="AP260" s="85">
        <f t="shared" si="844"/>
        <v>17.919999999999995</v>
      </c>
      <c r="AQ260" s="85">
        <f t="shared" si="845"/>
        <v>360</v>
      </c>
      <c r="AR260" s="85">
        <f t="shared" si="846"/>
        <v>430.07999999999987</v>
      </c>
      <c r="AS260" s="85" t="str">
        <f>'Consumer Hardware Pricing'!AF268</f>
        <v>-</v>
      </c>
      <c r="AT260" s="85" t="str">
        <f t="shared" si="780"/>
        <v>-</v>
      </c>
      <c r="AU260" s="85" t="str">
        <f t="shared" si="847"/>
        <v>-</v>
      </c>
      <c r="AV260" s="85" t="str">
        <f t="shared" si="848"/>
        <v>-</v>
      </c>
      <c r="AW260" s="85" t="str">
        <f t="shared" si="849"/>
        <v>-</v>
      </c>
      <c r="AX260" s="85" t="str">
        <f>'Consumer Hardware Pricing'!AH268</f>
        <v>-</v>
      </c>
      <c r="AY260" s="85" t="str">
        <f t="shared" si="781"/>
        <v>-</v>
      </c>
      <c r="AZ260" s="85" t="str">
        <f>'Consumer Hardware Pricing'!AI268</f>
        <v>-</v>
      </c>
      <c r="BA260" s="85" t="str">
        <f t="shared" si="850"/>
        <v>-</v>
      </c>
      <c r="BB260" s="85" t="str">
        <f t="shared" si="851"/>
        <v>-</v>
      </c>
      <c r="BC260" s="85" t="str">
        <f t="shared" si="852"/>
        <v>-</v>
      </c>
      <c r="BD260" s="85" t="str">
        <f>'Consumer Hardware Pricing'!AL268</f>
        <v>-</v>
      </c>
      <c r="BE260" s="85" t="str">
        <f t="shared" si="782"/>
        <v>-</v>
      </c>
      <c r="BF260" s="85" t="str">
        <f>'Consumer Hardware Pricing'!AM268</f>
        <v>-</v>
      </c>
      <c r="BG260" s="85" t="str">
        <f t="shared" si="853"/>
        <v>-</v>
      </c>
      <c r="BH260" s="85" t="str">
        <f t="shared" si="854"/>
        <v>-</v>
      </c>
      <c r="BI260" s="85" t="str">
        <f t="shared" si="855"/>
        <v>-</v>
      </c>
      <c r="BJ260" s="85" t="str">
        <f>'Consumer Hardware Pricing'!AP268</f>
        <v>-</v>
      </c>
      <c r="BK260" s="85" t="str">
        <f t="shared" si="783"/>
        <v>-</v>
      </c>
      <c r="BL260" s="85" t="str">
        <f>'Consumer Hardware Pricing'!AQ268</f>
        <v>-</v>
      </c>
      <c r="BM260" s="85" t="str">
        <f t="shared" si="856"/>
        <v>-</v>
      </c>
      <c r="BN260" s="85" t="str">
        <f t="shared" si="857"/>
        <v>-</v>
      </c>
      <c r="BO260" s="85" t="str">
        <f t="shared" si="858"/>
        <v>-</v>
      </c>
      <c r="BP260" s="85" t="str">
        <f>'Consumer Hardware Pricing'!AT268</f>
        <v>-</v>
      </c>
      <c r="BQ260" s="85" t="str">
        <f t="shared" si="784"/>
        <v>-</v>
      </c>
      <c r="BR260" s="85" t="str">
        <f>'Consumer Hardware Pricing'!AU268</f>
        <v>-</v>
      </c>
      <c r="BS260" s="85" t="str">
        <f t="shared" si="859"/>
        <v>-</v>
      </c>
      <c r="BT260" s="85" t="str">
        <f t="shared" si="860"/>
        <v>-</v>
      </c>
      <c r="BU260" s="85" t="str">
        <f t="shared" si="861"/>
        <v>-</v>
      </c>
    </row>
    <row r="261" spans="1:73" ht="30.15" customHeight="1" x14ac:dyDescent="0.25">
      <c r="A261" s="87" t="s">
        <v>34</v>
      </c>
      <c r="B261" s="130" t="s">
        <v>1085</v>
      </c>
      <c r="C261" s="130" t="s">
        <v>1091</v>
      </c>
      <c r="D261" s="85">
        <f>'Consumer Hardware Pricing'!L269</f>
        <v>790</v>
      </c>
      <c r="E261" s="85">
        <f>'Consumer Hardware Pricing'!M269</f>
        <v>790</v>
      </c>
      <c r="F261" s="85">
        <f>'Consumer Hardware Pricing'!N269</f>
        <v>0</v>
      </c>
      <c r="G261" s="85">
        <f t="shared" si="862"/>
        <v>32.919999999999995</v>
      </c>
      <c r="H261" s="85" t="str">
        <f>'Consumer Hardware Pricing'!O269</f>
        <v>-</v>
      </c>
      <c r="I261" s="85">
        <f t="shared" si="825"/>
        <v>32.919999999999995</v>
      </c>
      <c r="J261" s="85" t="str">
        <f t="shared" si="826"/>
        <v>-</v>
      </c>
      <c r="K261" s="85">
        <f t="shared" si="827"/>
        <v>790.07999999999993</v>
      </c>
      <c r="L261" s="85" t="str">
        <f>'Consumer Hardware Pricing'!Q269</f>
        <v>-</v>
      </c>
      <c r="M261" s="85" t="str">
        <f t="shared" si="863"/>
        <v>-</v>
      </c>
      <c r="N261" s="85" t="str">
        <f t="shared" si="828"/>
        <v>-</v>
      </c>
      <c r="O261" s="85" t="str">
        <f t="shared" si="829"/>
        <v>-</v>
      </c>
      <c r="P261" s="85" t="str">
        <f t="shared" si="830"/>
        <v>-</v>
      </c>
      <c r="Q261" s="85">
        <f>'Consumer Hardware Pricing'!S269</f>
        <v>0</v>
      </c>
      <c r="R261" s="85">
        <f t="shared" si="831"/>
        <v>32.919999999999995</v>
      </c>
      <c r="S261" s="85" t="str">
        <f>'Consumer Hardware Pricing'!T269</f>
        <v>-</v>
      </c>
      <c r="T261" s="129">
        <f t="shared" si="832"/>
        <v>32.919999999999995</v>
      </c>
      <c r="U261" s="129" t="str">
        <f t="shared" si="833"/>
        <v>-</v>
      </c>
      <c r="V261" s="85">
        <f t="shared" si="834"/>
        <v>790.07999999999993</v>
      </c>
      <c r="W261" s="129" t="str">
        <f>'Consumer Hardware Pricing'!V269</f>
        <v>-</v>
      </c>
      <c r="X261" s="129" t="str">
        <f t="shared" si="864"/>
        <v>-</v>
      </c>
      <c r="Y261" s="129" t="str">
        <f t="shared" si="835"/>
        <v>-</v>
      </c>
      <c r="Z261" s="129" t="str">
        <f t="shared" si="836"/>
        <v>-</v>
      </c>
      <c r="AA261" s="85" t="str">
        <f t="shared" si="837"/>
        <v>-</v>
      </c>
      <c r="AB261" s="85">
        <f>'Consumer Hardware Pricing'!X269</f>
        <v>0</v>
      </c>
      <c r="AC261" s="85">
        <f t="shared" si="777"/>
        <v>32.919999999999995</v>
      </c>
      <c r="AD261" s="85">
        <f>'Consumer Hardware Pricing'!Y269</f>
        <v>15</v>
      </c>
      <c r="AE261" s="85">
        <f t="shared" si="838"/>
        <v>17.919999999999995</v>
      </c>
      <c r="AF261" s="85">
        <f t="shared" si="839"/>
        <v>360</v>
      </c>
      <c r="AG261" s="85">
        <f t="shared" si="840"/>
        <v>430.07999999999987</v>
      </c>
      <c r="AH261" s="85" t="str">
        <f>'Consumer Hardware Pricing'!AA269</f>
        <v>-</v>
      </c>
      <c r="AI261" s="85" t="str">
        <f t="shared" si="778"/>
        <v>-</v>
      </c>
      <c r="AJ261" s="85" t="str">
        <f t="shared" si="841"/>
        <v>-</v>
      </c>
      <c r="AK261" s="85" t="str">
        <f t="shared" si="842"/>
        <v>-</v>
      </c>
      <c r="AL261" s="85" t="str">
        <f t="shared" si="843"/>
        <v>-</v>
      </c>
      <c r="AM261" s="85">
        <f>'Consumer Hardware Pricing'!AC269</f>
        <v>0</v>
      </c>
      <c r="AN261" s="85">
        <f t="shared" si="779"/>
        <v>32.919999999999995</v>
      </c>
      <c r="AO261" s="85">
        <f>'Consumer Hardware Pricing'!AD269</f>
        <v>15</v>
      </c>
      <c r="AP261" s="85">
        <f t="shared" si="844"/>
        <v>17.919999999999995</v>
      </c>
      <c r="AQ261" s="85">
        <f t="shared" si="845"/>
        <v>360</v>
      </c>
      <c r="AR261" s="85">
        <f t="shared" si="846"/>
        <v>430.07999999999987</v>
      </c>
      <c r="AS261" s="85" t="str">
        <f>'Consumer Hardware Pricing'!AF269</f>
        <v>-</v>
      </c>
      <c r="AT261" s="85" t="str">
        <f t="shared" si="780"/>
        <v>-</v>
      </c>
      <c r="AU261" s="85" t="str">
        <f t="shared" si="847"/>
        <v>-</v>
      </c>
      <c r="AV261" s="85" t="str">
        <f t="shared" si="848"/>
        <v>-</v>
      </c>
      <c r="AW261" s="85" t="str">
        <f t="shared" si="849"/>
        <v>-</v>
      </c>
      <c r="AX261" s="85" t="str">
        <f>'Consumer Hardware Pricing'!AH269</f>
        <v>-</v>
      </c>
      <c r="AY261" s="85" t="str">
        <f t="shared" si="781"/>
        <v>-</v>
      </c>
      <c r="AZ261" s="85" t="str">
        <f>'Consumer Hardware Pricing'!AI269</f>
        <v>-</v>
      </c>
      <c r="BA261" s="85" t="str">
        <f t="shared" si="850"/>
        <v>-</v>
      </c>
      <c r="BB261" s="85" t="str">
        <f t="shared" si="851"/>
        <v>-</v>
      </c>
      <c r="BC261" s="85" t="str">
        <f t="shared" si="852"/>
        <v>-</v>
      </c>
      <c r="BD261" s="85" t="str">
        <f>'Consumer Hardware Pricing'!AL269</f>
        <v>-</v>
      </c>
      <c r="BE261" s="85" t="str">
        <f t="shared" si="782"/>
        <v>-</v>
      </c>
      <c r="BF261" s="85" t="str">
        <f>'Consumer Hardware Pricing'!AM269</f>
        <v>-</v>
      </c>
      <c r="BG261" s="85" t="str">
        <f t="shared" si="853"/>
        <v>-</v>
      </c>
      <c r="BH261" s="85" t="str">
        <f t="shared" si="854"/>
        <v>-</v>
      </c>
      <c r="BI261" s="85" t="str">
        <f t="shared" si="855"/>
        <v>-</v>
      </c>
      <c r="BJ261" s="85" t="str">
        <f>'Consumer Hardware Pricing'!AP269</f>
        <v>-</v>
      </c>
      <c r="BK261" s="85" t="str">
        <f t="shared" si="783"/>
        <v>-</v>
      </c>
      <c r="BL261" s="85" t="str">
        <f>'Consumer Hardware Pricing'!AQ269</f>
        <v>-</v>
      </c>
      <c r="BM261" s="85" t="str">
        <f t="shared" si="856"/>
        <v>-</v>
      </c>
      <c r="BN261" s="85" t="str">
        <f t="shared" si="857"/>
        <v>-</v>
      </c>
      <c r="BO261" s="85" t="str">
        <f t="shared" si="858"/>
        <v>-</v>
      </c>
      <c r="BP261" s="85" t="str">
        <f>'Consumer Hardware Pricing'!AT269</f>
        <v>-</v>
      </c>
      <c r="BQ261" s="85" t="str">
        <f t="shared" si="784"/>
        <v>-</v>
      </c>
      <c r="BR261" s="85" t="str">
        <f>'Consumer Hardware Pricing'!AU269</f>
        <v>-</v>
      </c>
      <c r="BS261" s="85" t="str">
        <f t="shared" si="859"/>
        <v>-</v>
      </c>
      <c r="BT261" s="85" t="str">
        <f t="shared" si="860"/>
        <v>-</v>
      </c>
      <c r="BU261" s="85" t="str">
        <f t="shared" si="861"/>
        <v>-</v>
      </c>
    </row>
    <row r="262" spans="1:73" ht="30.15" customHeight="1" x14ac:dyDescent="0.25">
      <c r="A262" s="87" t="s">
        <v>34</v>
      </c>
      <c r="B262" s="130" t="s">
        <v>1086</v>
      </c>
      <c r="C262" s="130" t="s">
        <v>1091</v>
      </c>
      <c r="D262" s="85">
        <f>'Consumer Hardware Pricing'!L270</f>
        <v>790</v>
      </c>
      <c r="E262" s="85">
        <f>'Consumer Hardware Pricing'!M270</f>
        <v>790</v>
      </c>
      <c r="F262" s="85">
        <f>'Consumer Hardware Pricing'!N270</f>
        <v>0</v>
      </c>
      <c r="G262" s="85">
        <f t="shared" si="862"/>
        <v>32.919999999999995</v>
      </c>
      <c r="H262" s="85" t="str">
        <f>'Consumer Hardware Pricing'!O270</f>
        <v>-</v>
      </c>
      <c r="I262" s="85">
        <f t="shared" si="825"/>
        <v>32.919999999999995</v>
      </c>
      <c r="J262" s="85" t="str">
        <f t="shared" si="826"/>
        <v>-</v>
      </c>
      <c r="K262" s="85">
        <f t="shared" si="827"/>
        <v>790.07999999999993</v>
      </c>
      <c r="L262" s="85" t="str">
        <f>'Consumer Hardware Pricing'!Q270</f>
        <v>-</v>
      </c>
      <c r="M262" s="85" t="str">
        <f t="shared" si="863"/>
        <v>-</v>
      </c>
      <c r="N262" s="85" t="str">
        <f t="shared" si="828"/>
        <v>-</v>
      </c>
      <c r="O262" s="85" t="str">
        <f t="shared" si="829"/>
        <v>-</v>
      </c>
      <c r="P262" s="85" t="str">
        <f t="shared" si="830"/>
        <v>-</v>
      </c>
      <c r="Q262" s="85">
        <f>'Consumer Hardware Pricing'!S270</f>
        <v>0</v>
      </c>
      <c r="R262" s="85">
        <f t="shared" si="831"/>
        <v>32.919999999999995</v>
      </c>
      <c r="S262" s="85" t="str">
        <f>'Consumer Hardware Pricing'!T270</f>
        <v>-</v>
      </c>
      <c r="T262" s="129">
        <f t="shared" si="832"/>
        <v>32.919999999999995</v>
      </c>
      <c r="U262" s="129" t="str">
        <f t="shared" si="833"/>
        <v>-</v>
      </c>
      <c r="V262" s="85">
        <f t="shared" si="834"/>
        <v>790.07999999999993</v>
      </c>
      <c r="W262" s="129" t="str">
        <f>'Consumer Hardware Pricing'!V270</f>
        <v>-</v>
      </c>
      <c r="X262" s="129" t="str">
        <f t="shared" si="864"/>
        <v>-</v>
      </c>
      <c r="Y262" s="129" t="str">
        <f t="shared" si="835"/>
        <v>-</v>
      </c>
      <c r="Z262" s="129" t="str">
        <f t="shared" si="836"/>
        <v>-</v>
      </c>
      <c r="AA262" s="85" t="str">
        <f t="shared" si="837"/>
        <v>-</v>
      </c>
      <c r="AB262" s="85">
        <f>'Consumer Hardware Pricing'!X270</f>
        <v>0</v>
      </c>
      <c r="AC262" s="85">
        <f t="shared" si="777"/>
        <v>32.919999999999995</v>
      </c>
      <c r="AD262" s="85">
        <f>'Consumer Hardware Pricing'!Y270</f>
        <v>15</v>
      </c>
      <c r="AE262" s="85">
        <f t="shared" si="838"/>
        <v>17.919999999999995</v>
      </c>
      <c r="AF262" s="85">
        <f t="shared" si="839"/>
        <v>360</v>
      </c>
      <c r="AG262" s="85">
        <f t="shared" si="840"/>
        <v>430.07999999999987</v>
      </c>
      <c r="AH262" s="85" t="str">
        <f>'Consumer Hardware Pricing'!AA270</f>
        <v>-</v>
      </c>
      <c r="AI262" s="85" t="str">
        <f t="shared" si="778"/>
        <v>-</v>
      </c>
      <c r="AJ262" s="85" t="str">
        <f t="shared" si="841"/>
        <v>-</v>
      </c>
      <c r="AK262" s="85" t="str">
        <f t="shared" si="842"/>
        <v>-</v>
      </c>
      <c r="AL262" s="85" t="str">
        <f t="shared" si="843"/>
        <v>-</v>
      </c>
      <c r="AM262" s="85">
        <f>'Consumer Hardware Pricing'!AC270</f>
        <v>0</v>
      </c>
      <c r="AN262" s="85">
        <f t="shared" si="779"/>
        <v>32.919999999999995</v>
      </c>
      <c r="AO262" s="85">
        <f>'Consumer Hardware Pricing'!AD270</f>
        <v>15</v>
      </c>
      <c r="AP262" s="85">
        <f t="shared" si="844"/>
        <v>17.919999999999995</v>
      </c>
      <c r="AQ262" s="85">
        <f t="shared" si="845"/>
        <v>360</v>
      </c>
      <c r="AR262" s="85">
        <f t="shared" si="846"/>
        <v>430.07999999999987</v>
      </c>
      <c r="AS262" s="85" t="str">
        <f>'Consumer Hardware Pricing'!AF270</f>
        <v>-</v>
      </c>
      <c r="AT262" s="85" t="str">
        <f t="shared" si="780"/>
        <v>-</v>
      </c>
      <c r="AU262" s="85" t="str">
        <f t="shared" si="847"/>
        <v>-</v>
      </c>
      <c r="AV262" s="85" t="str">
        <f t="shared" si="848"/>
        <v>-</v>
      </c>
      <c r="AW262" s="85" t="str">
        <f t="shared" si="849"/>
        <v>-</v>
      </c>
      <c r="AX262" s="85" t="str">
        <f>'Consumer Hardware Pricing'!AH270</f>
        <v>-</v>
      </c>
      <c r="AY262" s="85" t="str">
        <f t="shared" si="781"/>
        <v>-</v>
      </c>
      <c r="AZ262" s="85" t="str">
        <f>'Consumer Hardware Pricing'!AI270</f>
        <v>-</v>
      </c>
      <c r="BA262" s="85" t="str">
        <f t="shared" si="850"/>
        <v>-</v>
      </c>
      <c r="BB262" s="85" t="str">
        <f t="shared" si="851"/>
        <v>-</v>
      </c>
      <c r="BC262" s="85" t="str">
        <f t="shared" si="852"/>
        <v>-</v>
      </c>
      <c r="BD262" s="85" t="str">
        <f>'Consumer Hardware Pricing'!AL270</f>
        <v>-</v>
      </c>
      <c r="BE262" s="85" t="str">
        <f t="shared" si="782"/>
        <v>-</v>
      </c>
      <c r="BF262" s="85" t="str">
        <f>'Consumer Hardware Pricing'!AM270</f>
        <v>-</v>
      </c>
      <c r="BG262" s="85" t="str">
        <f t="shared" si="853"/>
        <v>-</v>
      </c>
      <c r="BH262" s="85" t="str">
        <f t="shared" si="854"/>
        <v>-</v>
      </c>
      <c r="BI262" s="85" t="str">
        <f t="shared" si="855"/>
        <v>-</v>
      </c>
      <c r="BJ262" s="85" t="str">
        <f>'Consumer Hardware Pricing'!AP270</f>
        <v>-</v>
      </c>
      <c r="BK262" s="85" t="str">
        <f t="shared" si="783"/>
        <v>-</v>
      </c>
      <c r="BL262" s="85" t="str">
        <f>'Consumer Hardware Pricing'!AQ270</f>
        <v>-</v>
      </c>
      <c r="BM262" s="85" t="str">
        <f t="shared" si="856"/>
        <v>-</v>
      </c>
      <c r="BN262" s="85" t="str">
        <f t="shared" si="857"/>
        <v>-</v>
      </c>
      <c r="BO262" s="85" t="str">
        <f t="shared" si="858"/>
        <v>-</v>
      </c>
      <c r="BP262" s="85" t="str">
        <f>'Consumer Hardware Pricing'!AT270</f>
        <v>-</v>
      </c>
      <c r="BQ262" s="85" t="str">
        <f t="shared" si="784"/>
        <v>-</v>
      </c>
      <c r="BR262" s="85" t="str">
        <f>'Consumer Hardware Pricing'!AU270</f>
        <v>-</v>
      </c>
      <c r="BS262" s="85" t="str">
        <f t="shared" si="859"/>
        <v>-</v>
      </c>
      <c r="BT262" s="85" t="str">
        <f t="shared" si="860"/>
        <v>-</v>
      </c>
      <c r="BU262" s="85" t="str">
        <f t="shared" si="861"/>
        <v>-</v>
      </c>
    </row>
    <row r="263" spans="1:73" ht="30.15" customHeight="1" x14ac:dyDescent="0.25">
      <c r="A263" s="87" t="s">
        <v>34</v>
      </c>
      <c r="B263" s="130" t="s">
        <v>1087</v>
      </c>
      <c r="C263" s="130" t="s">
        <v>1091</v>
      </c>
      <c r="D263" s="85">
        <f>'Consumer Hardware Pricing'!L271</f>
        <v>790</v>
      </c>
      <c r="E263" s="85">
        <f>'Consumer Hardware Pricing'!M271</f>
        <v>790</v>
      </c>
      <c r="F263" s="85">
        <f>'Consumer Hardware Pricing'!N271</f>
        <v>0</v>
      </c>
      <c r="G263" s="85">
        <f t="shared" si="862"/>
        <v>32.919999999999995</v>
      </c>
      <c r="H263" s="85" t="str">
        <f>'Consumer Hardware Pricing'!O271</f>
        <v>-</v>
      </c>
      <c r="I263" s="85">
        <f t="shared" si="825"/>
        <v>32.919999999999995</v>
      </c>
      <c r="J263" s="85" t="str">
        <f t="shared" si="826"/>
        <v>-</v>
      </c>
      <c r="K263" s="85">
        <f t="shared" si="827"/>
        <v>790.07999999999993</v>
      </c>
      <c r="L263" s="85" t="str">
        <f>'Consumer Hardware Pricing'!Q271</f>
        <v>-</v>
      </c>
      <c r="M263" s="85" t="str">
        <f t="shared" si="863"/>
        <v>-</v>
      </c>
      <c r="N263" s="85" t="str">
        <f t="shared" si="828"/>
        <v>-</v>
      </c>
      <c r="O263" s="85" t="str">
        <f t="shared" si="829"/>
        <v>-</v>
      </c>
      <c r="P263" s="85" t="str">
        <f t="shared" si="830"/>
        <v>-</v>
      </c>
      <c r="Q263" s="85">
        <f>'Consumer Hardware Pricing'!S271</f>
        <v>0</v>
      </c>
      <c r="R263" s="85">
        <f t="shared" si="831"/>
        <v>32.919999999999995</v>
      </c>
      <c r="S263" s="85" t="str">
        <f>'Consumer Hardware Pricing'!T271</f>
        <v>-</v>
      </c>
      <c r="T263" s="129">
        <f t="shared" si="832"/>
        <v>32.919999999999995</v>
      </c>
      <c r="U263" s="129" t="str">
        <f t="shared" si="833"/>
        <v>-</v>
      </c>
      <c r="V263" s="85">
        <f t="shared" si="834"/>
        <v>790.07999999999993</v>
      </c>
      <c r="W263" s="129" t="str">
        <f>'Consumer Hardware Pricing'!V271</f>
        <v>-</v>
      </c>
      <c r="X263" s="129" t="str">
        <f t="shared" si="864"/>
        <v>-</v>
      </c>
      <c r="Y263" s="129" t="str">
        <f t="shared" si="835"/>
        <v>-</v>
      </c>
      <c r="Z263" s="129" t="str">
        <f t="shared" si="836"/>
        <v>-</v>
      </c>
      <c r="AA263" s="85" t="str">
        <f t="shared" si="837"/>
        <v>-</v>
      </c>
      <c r="AB263" s="85">
        <f>'Consumer Hardware Pricing'!X271</f>
        <v>0</v>
      </c>
      <c r="AC263" s="85">
        <f t="shared" si="777"/>
        <v>32.919999999999995</v>
      </c>
      <c r="AD263" s="85">
        <f>'Consumer Hardware Pricing'!Y271</f>
        <v>15</v>
      </c>
      <c r="AE263" s="85">
        <f t="shared" si="838"/>
        <v>17.919999999999995</v>
      </c>
      <c r="AF263" s="85">
        <f t="shared" si="839"/>
        <v>360</v>
      </c>
      <c r="AG263" s="85">
        <f t="shared" si="840"/>
        <v>430.07999999999987</v>
      </c>
      <c r="AH263" s="85" t="str">
        <f>'Consumer Hardware Pricing'!AA271</f>
        <v>-</v>
      </c>
      <c r="AI263" s="85" t="str">
        <f t="shared" si="778"/>
        <v>-</v>
      </c>
      <c r="AJ263" s="85" t="str">
        <f t="shared" si="841"/>
        <v>-</v>
      </c>
      <c r="AK263" s="85" t="str">
        <f t="shared" si="842"/>
        <v>-</v>
      </c>
      <c r="AL263" s="85" t="str">
        <f t="shared" si="843"/>
        <v>-</v>
      </c>
      <c r="AM263" s="85">
        <f>'Consumer Hardware Pricing'!AC271</f>
        <v>0</v>
      </c>
      <c r="AN263" s="85">
        <f t="shared" si="779"/>
        <v>32.919999999999995</v>
      </c>
      <c r="AO263" s="85">
        <f>'Consumer Hardware Pricing'!AD271</f>
        <v>15</v>
      </c>
      <c r="AP263" s="85">
        <f t="shared" si="844"/>
        <v>17.919999999999995</v>
      </c>
      <c r="AQ263" s="85">
        <f t="shared" si="845"/>
        <v>360</v>
      </c>
      <c r="AR263" s="85">
        <f t="shared" si="846"/>
        <v>430.07999999999987</v>
      </c>
      <c r="AS263" s="85" t="str">
        <f>'Consumer Hardware Pricing'!AF271</f>
        <v>-</v>
      </c>
      <c r="AT263" s="85" t="str">
        <f t="shared" si="780"/>
        <v>-</v>
      </c>
      <c r="AU263" s="85" t="str">
        <f t="shared" si="847"/>
        <v>-</v>
      </c>
      <c r="AV263" s="85" t="str">
        <f t="shared" si="848"/>
        <v>-</v>
      </c>
      <c r="AW263" s="85" t="str">
        <f t="shared" si="849"/>
        <v>-</v>
      </c>
      <c r="AX263" s="85" t="str">
        <f>'Consumer Hardware Pricing'!AH271</f>
        <v>-</v>
      </c>
      <c r="AY263" s="85" t="str">
        <f t="shared" si="781"/>
        <v>-</v>
      </c>
      <c r="AZ263" s="85" t="str">
        <f>'Consumer Hardware Pricing'!AI271</f>
        <v>-</v>
      </c>
      <c r="BA263" s="85" t="str">
        <f t="shared" si="850"/>
        <v>-</v>
      </c>
      <c r="BB263" s="85" t="str">
        <f t="shared" si="851"/>
        <v>-</v>
      </c>
      <c r="BC263" s="85" t="str">
        <f t="shared" si="852"/>
        <v>-</v>
      </c>
      <c r="BD263" s="85" t="str">
        <f>'Consumer Hardware Pricing'!AL271</f>
        <v>-</v>
      </c>
      <c r="BE263" s="85" t="str">
        <f t="shared" si="782"/>
        <v>-</v>
      </c>
      <c r="BF263" s="85" t="str">
        <f>'Consumer Hardware Pricing'!AM271</f>
        <v>-</v>
      </c>
      <c r="BG263" s="85" t="str">
        <f t="shared" si="853"/>
        <v>-</v>
      </c>
      <c r="BH263" s="85" t="str">
        <f t="shared" si="854"/>
        <v>-</v>
      </c>
      <c r="BI263" s="85" t="str">
        <f t="shared" si="855"/>
        <v>-</v>
      </c>
      <c r="BJ263" s="85" t="str">
        <f>'Consumer Hardware Pricing'!AP271</f>
        <v>-</v>
      </c>
      <c r="BK263" s="85" t="str">
        <f t="shared" si="783"/>
        <v>-</v>
      </c>
      <c r="BL263" s="85" t="str">
        <f>'Consumer Hardware Pricing'!AQ271</f>
        <v>-</v>
      </c>
      <c r="BM263" s="85" t="str">
        <f t="shared" si="856"/>
        <v>-</v>
      </c>
      <c r="BN263" s="85" t="str">
        <f t="shared" si="857"/>
        <v>-</v>
      </c>
      <c r="BO263" s="85" t="str">
        <f t="shared" si="858"/>
        <v>-</v>
      </c>
      <c r="BP263" s="85" t="str">
        <f>'Consumer Hardware Pricing'!AT271</f>
        <v>-</v>
      </c>
      <c r="BQ263" s="85" t="str">
        <f t="shared" si="784"/>
        <v>-</v>
      </c>
      <c r="BR263" s="85" t="str">
        <f>'Consumer Hardware Pricing'!AU271</f>
        <v>-</v>
      </c>
      <c r="BS263" s="85" t="str">
        <f t="shared" si="859"/>
        <v>-</v>
      </c>
      <c r="BT263" s="85" t="str">
        <f t="shared" si="860"/>
        <v>-</v>
      </c>
      <c r="BU263" s="85" t="str">
        <f t="shared" si="861"/>
        <v>-</v>
      </c>
    </row>
    <row r="264" spans="1:73" ht="30.15" customHeight="1" x14ac:dyDescent="0.25">
      <c r="A264" s="87" t="s">
        <v>34</v>
      </c>
      <c r="B264" s="130" t="s">
        <v>1088</v>
      </c>
      <c r="C264" s="130" t="s">
        <v>1091</v>
      </c>
      <c r="D264" s="85">
        <f>'Consumer Hardware Pricing'!L272</f>
        <v>790</v>
      </c>
      <c r="E264" s="85">
        <f>'Consumer Hardware Pricing'!M272</f>
        <v>790</v>
      </c>
      <c r="F264" s="85">
        <f>'Consumer Hardware Pricing'!N272</f>
        <v>0</v>
      </c>
      <c r="G264" s="85">
        <f t="shared" si="862"/>
        <v>32.919999999999995</v>
      </c>
      <c r="H264" s="85" t="str">
        <f>'Consumer Hardware Pricing'!O272</f>
        <v>-</v>
      </c>
      <c r="I264" s="85">
        <f t="shared" si="825"/>
        <v>32.919999999999995</v>
      </c>
      <c r="J264" s="85" t="str">
        <f t="shared" si="826"/>
        <v>-</v>
      </c>
      <c r="K264" s="85">
        <f t="shared" si="827"/>
        <v>790.07999999999993</v>
      </c>
      <c r="L264" s="85" t="str">
        <f>'Consumer Hardware Pricing'!Q272</f>
        <v>-</v>
      </c>
      <c r="M264" s="85" t="str">
        <f t="shared" si="863"/>
        <v>-</v>
      </c>
      <c r="N264" s="85" t="str">
        <f t="shared" si="828"/>
        <v>-</v>
      </c>
      <c r="O264" s="85" t="str">
        <f t="shared" si="829"/>
        <v>-</v>
      </c>
      <c r="P264" s="85" t="str">
        <f t="shared" si="830"/>
        <v>-</v>
      </c>
      <c r="Q264" s="85">
        <f>'Consumer Hardware Pricing'!S272</f>
        <v>0</v>
      </c>
      <c r="R264" s="85">
        <f t="shared" si="831"/>
        <v>32.919999999999995</v>
      </c>
      <c r="S264" s="85" t="str">
        <f>'Consumer Hardware Pricing'!T272</f>
        <v>-</v>
      </c>
      <c r="T264" s="129">
        <f t="shared" si="832"/>
        <v>32.919999999999995</v>
      </c>
      <c r="U264" s="129" t="str">
        <f t="shared" si="833"/>
        <v>-</v>
      </c>
      <c r="V264" s="85">
        <f t="shared" si="834"/>
        <v>790.07999999999993</v>
      </c>
      <c r="W264" s="129" t="str">
        <f>'Consumer Hardware Pricing'!V272</f>
        <v>-</v>
      </c>
      <c r="X264" s="129" t="str">
        <f t="shared" si="864"/>
        <v>-</v>
      </c>
      <c r="Y264" s="129" t="str">
        <f t="shared" si="835"/>
        <v>-</v>
      </c>
      <c r="Z264" s="129" t="str">
        <f t="shared" si="836"/>
        <v>-</v>
      </c>
      <c r="AA264" s="85" t="str">
        <f t="shared" si="837"/>
        <v>-</v>
      </c>
      <c r="AB264" s="85">
        <f>'Consumer Hardware Pricing'!X272</f>
        <v>0</v>
      </c>
      <c r="AC264" s="85">
        <f t="shared" si="777"/>
        <v>32.919999999999995</v>
      </c>
      <c r="AD264" s="85">
        <f>'Consumer Hardware Pricing'!Y272</f>
        <v>15</v>
      </c>
      <c r="AE264" s="85">
        <f t="shared" si="838"/>
        <v>17.919999999999995</v>
      </c>
      <c r="AF264" s="85">
        <f t="shared" si="839"/>
        <v>360</v>
      </c>
      <c r="AG264" s="85">
        <f t="shared" si="840"/>
        <v>430.07999999999987</v>
      </c>
      <c r="AH264" s="85" t="str">
        <f>'Consumer Hardware Pricing'!AA272</f>
        <v>-</v>
      </c>
      <c r="AI264" s="85" t="str">
        <f t="shared" si="778"/>
        <v>-</v>
      </c>
      <c r="AJ264" s="85" t="str">
        <f t="shared" si="841"/>
        <v>-</v>
      </c>
      <c r="AK264" s="85" t="str">
        <f t="shared" si="842"/>
        <v>-</v>
      </c>
      <c r="AL264" s="85" t="str">
        <f t="shared" si="843"/>
        <v>-</v>
      </c>
      <c r="AM264" s="85">
        <f>'Consumer Hardware Pricing'!AC272</f>
        <v>0</v>
      </c>
      <c r="AN264" s="85">
        <f t="shared" si="779"/>
        <v>32.919999999999995</v>
      </c>
      <c r="AO264" s="85">
        <f>'Consumer Hardware Pricing'!AD272</f>
        <v>15</v>
      </c>
      <c r="AP264" s="85">
        <f t="shared" si="844"/>
        <v>17.919999999999995</v>
      </c>
      <c r="AQ264" s="85">
        <f t="shared" si="845"/>
        <v>360</v>
      </c>
      <c r="AR264" s="85">
        <f t="shared" si="846"/>
        <v>430.07999999999987</v>
      </c>
      <c r="AS264" s="85" t="str">
        <f>'Consumer Hardware Pricing'!AF272</f>
        <v>-</v>
      </c>
      <c r="AT264" s="85" t="str">
        <f t="shared" si="780"/>
        <v>-</v>
      </c>
      <c r="AU264" s="85" t="str">
        <f t="shared" si="847"/>
        <v>-</v>
      </c>
      <c r="AV264" s="85" t="str">
        <f t="shared" si="848"/>
        <v>-</v>
      </c>
      <c r="AW264" s="85" t="str">
        <f t="shared" si="849"/>
        <v>-</v>
      </c>
      <c r="AX264" s="85" t="str">
        <f>'Consumer Hardware Pricing'!AH272</f>
        <v>-</v>
      </c>
      <c r="AY264" s="85" t="str">
        <f t="shared" si="781"/>
        <v>-</v>
      </c>
      <c r="AZ264" s="85" t="str">
        <f>'Consumer Hardware Pricing'!AI272</f>
        <v>-</v>
      </c>
      <c r="BA264" s="85" t="str">
        <f t="shared" si="850"/>
        <v>-</v>
      </c>
      <c r="BB264" s="85" t="str">
        <f t="shared" si="851"/>
        <v>-</v>
      </c>
      <c r="BC264" s="85" t="str">
        <f t="shared" si="852"/>
        <v>-</v>
      </c>
      <c r="BD264" s="85" t="str">
        <f>'Consumer Hardware Pricing'!AL272</f>
        <v>-</v>
      </c>
      <c r="BE264" s="85" t="str">
        <f t="shared" si="782"/>
        <v>-</v>
      </c>
      <c r="BF264" s="85" t="str">
        <f>'Consumer Hardware Pricing'!AM272</f>
        <v>-</v>
      </c>
      <c r="BG264" s="85" t="str">
        <f t="shared" si="853"/>
        <v>-</v>
      </c>
      <c r="BH264" s="85" t="str">
        <f t="shared" si="854"/>
        <v>-</v>
      </c>
      <c r="BI264" s="85" t="str">
        <f t="shared" si="855"/>
        <v>-</v>
      </c>
      <c r="BJ264" s="85" t="str">
        <f>'Consumer Hardware Pricing'!AP272</f>
        <v>-</v>
      </c>
      <c r="BK264" s="85" t="str">
        <f t="shared" si="783"/>
        <v>-</v>
      </c>
      <c r="BL264" s="85" t="str">
        <f>'Consumer Hardware Pricing'!AQ272</f>
        <v>-</v>
      </c>
      <c r="BM264" s="85" t="str">
        <f t="shared" si="856"/>
        <v>-</v>
      </c>
      <c r="BN264" s="85" t="str">
        <f t="shared" si="857"/>
        <v>-</v>
      </c>
      <c r="BO264" s="85" t="str">
        <f t="shared" si="858"/>
        <v>-</v>
      </c>
      <c r="BP264" s="85" t="str">
        <f>'Consumer Hardware Pricing'!AT272</f>
        <v>-</v>
      </c>
      <c r="BQ264" s="85" t="str">
        <f t="shared" si="784"/>
        <v>-</v>
      </c>
      <c r="BR264" s="85" t="str">
        <f>'Consumer Hardware Pricing'!AU272</f>
        <v>-</v>
      </c>
      <c r="BS264" s="85" t="str">
        <f t="shared" si="859"/>
        <v>-</v>
      </c>
      <c r="BT264" s="85" t="str">
        <f t="shared" si="860"/>
        <v>-</v>
      </c>
      <c r="BU264" s="85" t="str">
        <f t="shared" si="861"/>
        <v>-</v>
      </c>
    </row>
    <row r="265" spans="1:73" ht="30.15" customHeight="1" x14ac:dyDescent="0.25">
      <c r="A265" s="87" t="s">
        <v>34</v>
      </c>
      <c r="B265" s="130" t="s">
        <v>1089</v>
      </c>
      <c r="C265" s="130" t="s">
        <v>1091</v>
      </c>
      <c r="D265" s="85">
        <f>'Consumer Hardware Pricing'!L273</f>
        <v>790</v>
      </c>
      <c r="E265" s="85">
        <f>'Consumer Hardware Pricing'!M273</f>
        <v>790</v>
      </c>
      <c r="F265" s="85">
        <f>'Consumer Hardware Pricing'!N273</f>
        <v>0</v>
      </c>
      <c r="G265" s="85">
        <f t="shared" si="862"/>
        <v>32.919999999999995</v>
      </c>
      <c r="H265" s="85" t="str">
        <f>'Consumer Hardware Pricing'!O273</f>
        <v>-</v>
      </c>
      <c r="I265" s="85">
        <f t="shared" si="825"/>
        <v>32.919999999999995</v>
      </c>
      <c r="J265" s="85" t="str">
        <f t="shared" si="826"/>
        <v>-</v>
      </c>
      <c r="K265" s="85">
        <f t="shared" si="827"/>
        <v>790.07999999999993</v>
      </c>
      <c r="L265" s="85" t="str">
        <f>'Consumer Hardware Pricing'!Q273</f>
        <v>-</v>
      </c>
      <c r="M265" s="85" t="str">
        <f t="shared" si="863"/>
        <v>-</v>
      </c>
      <c r="N265" s="85" t="str">
        <f t="shared" si="828"/>
        <v>-</v>
      </c>
      <c r="O265" s="85" t="str">
        <f t="shared" si="829"/>
        <v>-</v>
      </c>
      <c r="P265" s="85" t="str">
        <f t="shared" si="830"/>
        <v>-</v>
      </c>
      <c r="Q265" s="85">
        <f>'Consumer Hardware Pricing'!S273</f>
        <v>0</v>
      </c>
      <c r="R265" s="85">
        <f t="shared" si="831"/>
        <v>32.919999999999995</v>
      </c>
      <c r="S265" s="85" t="str">
        <f>'Consumer Hardware Pricing'!T273</f>
        <v>-</v>
      </c>
      <c r="T265" s="129">
        <f t="shared" si="832"/>
        <v>32.919999999999995</v>
      </c>
      <c r="U265" s="129" t="str">
        <f t="shared" si="833"/>
        <v>-</v>
      </c>
      <c r="V265" s="85">
        <f t="shared" si="834"/>
        <v>790.07999999999993</v>
      </c>
      <c r="W265" s="129" t="str">
        <f>'Consumer Hardware Pricing'!V273</f>
        <v>-</v>
      </c>
      <c r="X265" s="129" t="str">
        <f t="shared" si="864"/>
        <v>-</v>
      </c>
      <c r="Y265" s="129" t="str">
        <f t="shared" si="835"/>
        <v>-</v>
      </c>
      <c r="Z265" s="129" t="str">
        <f t="shared" si="836"/>
        <v>-</v>
      </c>
      <c r="AA265" s="85" t="str">
        <f t="shared" si="837"/>
        <v>-</v>
      </c>
      <c r="AB265" s="85">
        <f>'Consumer Hardware Pricing'!X273</f>
        <v>0</v>
      </c>
      <c r="AC265" s="85">
        <f t="shared" ref="AC265:AC328" si="865">IF(AB265="-","-",ROUNDUP(D265/24,2))</f>
        <v>32.919999999999995</v>
      </c>
      <c r="AD265" s="85">
        <f>'Consumer Hardware Pricing'!Y273</f>
        <v>15</v>
      </c>
      <c r="AE265" s="85">
        <f t="shared" si="838"/>
        <v>17.919999999999995</v>
      </c>
      <c r="AF265" s="85">
        <f t="shared" si="839"/>
        <v>360</v>
      </c>
      <c r="AG265" s="85">
        <f t="shared" si="840"/>
        <v>430.07999999999987</v>
      </c>
      <c r="AH265" s="85" t="str">
        <f>'Consumer Hardware Pricing'!AA273</f>
        <v>-</v>
      </c>
      <c r="AI265" s="85" t="str">
        <f t="shared" ref="AI265:AI328" si="866">IF(AH265="-",AH265,IF(AD265="-",AC265-ROUNDUP((D265-AH265)/24,2),AD265+AC265-ROUNDUP((D265-AH265)/24,2)))</f>
        <v>-</v>
      </c>
      <c r="AJ265" s="85" t="str">
        <f t="shared" si="841"/>
        <v>-</v>
      </c>
      <c r="AK265" s="85" t="str">
        <f t="shared" si="842"/>
        <v>-</v>
      </c>
      <c r="AL265" s="85" t="str">
        <f t="shared" si="843"/>
        <v>-</v>
      </c>
      <c r="AM265" s="85">
        <f>'Consumer Hardware Pricing'!AC273</f>
        <v>0</v>
      </c>
      <c r="AN265" s="85">
        <f t="shared" ref="AN265:AN328" si="867">IF(AM265="-","-",ROUNDUP(D265/24,2))</f>
        <v>32.919999999999995</v>
      </c>
      <c r="AO265" s="85">
        <f>'Consumer Hardware Pricing'!AD273</f>
        <v>15</v>
      </c>
      <c r="AP265" s="85">
        <f t="shared" si="844"/>
        <v>17.919999999999995</v>
      </c>
      <c r="AQ265" s="85">
        <f t="shared" si="845"/>
        <v>360</v>
      </c>
      <c r="AR265" s="85">
        <f t="shared" si="846"/>
        <v>430.07999999999987</v>
      </c>
      <c r="AS265" s="85" t="str">
        <f>'Consumer Hardware Pricing'!AF273</f>
        <v>-</v>
      </c>
      <c r="AT265" s="85" t="str">
        <f t="shared" ref="AT265:AT328" si="868">IF(AS265="-",AS265,IF(AO265="-",AN265-ROUNDUP((D265-AS265)/24,2),AO265+AN265-ROUNDUP((D265-AS265)/24,2)))</f>
        <v>-</v>
      </c>
      <c r="AU265" s="85" t="str">
        <f t="shared" si="847"/>
        <v>-</v>
      </c>
      <c r="AV265" s="85" t="str">
        <f t="shared" si="848"/>
        <v>-</v>
      </c>
      <c r="AW265" s="85" t="str">
        <f t="shared" si="849"/>
        <v>-</v>
      </c>
      <c r="AX265" s="85" t="str">
        <f>'Consumer Hardware Pricing'!AH273</f>
        <v>-</v>
      </c>
      <c r="AY265" s="85" t="str">
        <f t="shared" ref="AY265:AY328" si="869">IF(AX265="-",AX265,ROUNDUP((D265-AX265)/24,2))</f>
        <v>-</v>
      </c>
      <c r="AZ265" s="85" t="str">
        <f>'Consumer Hardware Pricing'!AI273</f>
        <v>-</v>
      </c>
      <c r="BA265" s="85" t="str">
        <f t="shared" si="850"/>
        <v>-</v>
      </c>
      <c r="BB265" s="85" t="str">
        <f t="shared" si="851"/>
        <v>-</v>
      </c>
      <c r="BC265" s="85" t="str">
        <f t="shared" si="852"/>
        <v>-</v>
      </c>
      <c r="BD265" s="85" t="str">
        <f>'Consumer Hardware Pricing'!AL273</f>
        <v>-</v>
      </c>
      <c r="BE265" s="85" t="str">
        <f t="shared" ref="BE265:BE328" si="870">IF(BD265="-",BD265,ROUNDUP((D265-BD265)/24,2))</f>
        <v>-</v>
      </c>
      <c r="BF265" s="85" t="str">
        <f>'Consumer Hardware Pricing'!AM273</f>
        <v>-</v>
      </c>
      <c r="BG265" s="85" t="str">
        <f t="shared" si="853"/>
        <v>-</v>
      </c>
      <c r="BH265" s="85" t="str">
        <f t="shared" si="854"/>
        <v>-</v>
      </c>
      <c r="BI265" s="85" t="str">
        <f t="shared" si="855"/>
        <v>-</v>
      </c>
      <c r="BJ265" s="85" t="str">
        <f>'Consumer Hardware Pricing'!AP273</f>
        <v>-</v>
      </c>
      <c r="BK265" s="85" t="str">
        <f t="shared" ref="BK265:BK328" si="871">IF(BJ265="-",BJ265,ROUNDUP((D265-BJ265)/24,2))</f>
        <v>-</v>
      </c>
      <c r="BL265" s="85" t="str">
        <f>'Consumer Hardware Pricing'!AQ273</f>
        <v>-</v>
      </c>
      <c r="BM265" s="85" t="str">
        <f t="shared" si="856"/>
        <v>-</v>
      </c>
      <c r="BN265" s="85" t="str">
        <f t="shared" si="857"/>
        <v>-</v>
      </c>
      <c r="BO265" s="85" t="str">
        <f t="shared" si="858"/>
        <v>-</v>
      </c>
      <c r="BP265" s="85" t="str">
        <f>'Consumer Hardware Pricing'!AT273</f>
        <v>-</v>
      </c>
      <c r="BQ265" s="85" t="str">
        <f t="shared" ref="BQ265:BQ328" si="872">IF(BP265="-",BP265,ROUNDUP((D265-BP265)/24,2))</f>
        <v>-</v>
      </c>
      <c r="BR265" s="85" t="str">
        <f>'Consumer Hardware Pricing'!AU273</f>
        <v>-</v>
      </c>
      <c r="BS265" s="85" t="str">
        <f t="shared" si="859"/>
        <v>-</v>
      </c>
      <c r="BT265" s="85" t="str">
        <f t="shared" si="860"/>
        <v>-</v>
      </c>
      <c r="BU265" s="85" t="str">
        <f t="shared" si="861"/>
        <v>-</v>
      </c>
    </row>
    <row r="266" spans="1:73" ht="30.15" customHeight="1" x14ac:dyDescent="0.25">
      <c r="A266" s="87" t="s">
        <v>34</v>
      </c>
      <c r="B266" s="88" t="s">
        <v>456</v>
      </c>
      <c r="C266" s="88" t="s">
        <v>449</v>
      </c>
      <c r="D266" s="85">
        <f>'Consumer Hardware Pricing'!L274</f>
        <v>1285</v>
      </c>
      <c r="E266" s="85">
        <f>'Consumer Hardware Pricing'!M274</f>
        <v>1285</v>
      </c>
      <c r="F266" s="85">
        <f>'Consumer Hardware Pricing'!N274</f>
        <v>0</v>
      </c>
      <c r="G266" s="85">
        <f t="shared" si="862"/>
        <v>53.55</v>
      </c>
      <c r="H266" s="85">
        <f>'Consumer Hardware Pricing'!O274</f>
        <v>28.55</v>
      </c>
      <c r="I266" s="85">
        <f t="shared" si="800"/>
        <v>24.999999999999996</v>
      </c>
      <c r="J266" s="85">
        <f t="shared" si="812"/>
        <v>685.2</v>
      </c>
      <c r="K266" s="85">
        <f t="shared" si="813"/>
        <v>599.99999999999989</v>
      </c>
      <c r="L266" s="85" t="str">
        <f>'Consumer Hardware Pricing'!Q274</f>
        <v>-</v>
      </c>
      <c r="M266" s="85" t="str">
        <f t="shared" si="863"/>
        <v>-</v>
      </c>
      <c r="N266" s="85" t="str">
        <f t="shared" si="801"/>
        <v>-</v>
      </c>
      <c r="O266" s="85" t="str">
        <f t="shared" si="802"/>
        <v>-</v>
      </c>
      <c r="P266" s="85" t="str">
        <f t="shared" si="814"/>
        <v>-</v>
      </c>
      <c r="Q266" s="85">
        <f>'Consumer Hardware Pricing'!S274</f>
        <v>0</v>
      </c>
      <c r="R266" s="85">
        <f t="shared" si="803"/>
        <v>53.55</v>
      </c>
      <c r="S266" s="85">
        <f>'Consumer Hardware Pricing'!T274</f>
        <v>28.55</v>
      </c>
      <c r="T266" s="129">
        <f t="shared" si="815"/>
        <v>24.999999999999996</v>
      </c>
      <c r="U266" s="129">
        <f t="shared" si="816"/>
        <v>685.2</v>
      </c>
      <c r="V266" s="85">
        <f t="shared" si="817"/>
        <v>599.99999999999989</v>
      </c>
      <c r="W266" s="129" t="str">
        <f>'Consumer Hardware Pricing'!V274</f>
        <v>-</v>
      </c>
      <c r="X266" s="129" t="str">
        <f t="shared" si="864"/>
        <v>-</v>
      </c>
      <c r="Y266" s="129" t="str">
        <f t="shared" si="818"/>
        <v>-</v>
      </c>
      <c r="Z266" s="129" t="str">
        <f t="shared" si="819"/>
        <v>-</v>
      </c>
      <c r="AA266" s="85" t="str">
        <f t="shared" si="820"/>
        <v>-</v>
      </c>
      <c r="AB266" s="85">
        <f>'Consumer Hardware Pricing'!X274</f>
        <v>0</v>
      </c>
      <c r="AC266" s="85">
        <f t="shared" si="865"/>
        <v>53.55</v>
      </c>
      <c r="AD266" s="85">
        <f>'Consumer Hardware Pricing'!Y274</f>
        <v>41.05</v>
      </c>
      <c r="AE266" s="85">
        <f t="shared" si="788"/>
        <v>12.5</v>
      </c>
      <c r="AF266" s="85">
        <f t="shared" si="789"/>
        <v>985.19999999999993</v>
      </c>
      <c r="AG266" s="85">
        <f t="shared" si="790"/>
        <v>300</v>
      </c>
      <c r="AH266" s="85" t="str">
        <f>'Consumer Hardware Pricing'!AA274</f>
        <v>-</v>
      </c>
      <c r="AI266" s="85" t="str">
        <f t="shared" si="866"/>
        <v>-</v>
      </c>
      <c r="AJ266" s="85" t="str">
        <f t="shared" si="791"/>
        <v>-</v>
      </c>
      <c r="AK266" s="85" t="str">
        <f t="shared" si="792"/>
        <v>-</v>
      </c>
      <c r="AL266" s="85" t="str">
        <f t="shared" si="793"/>
        <v>-</v>
      </c>
      <c r="AM266" s="85">
        <f>'Consumer Hardware Pricing'!AC274</f>
        <v>0</v>
      </c>
      <c r="AN266" s="85">
        <f t="shared" si="867"/>
        <v>53.55</v>
      </c>
      <c r="AO266" s="85">
        <f>'Consumer Hardware Pricing'!AD274</f>
        <v>41.05</v>
      </c>
      <c r="AP266" s="85">
        <f t="shared" si="794"/>
        <v>12.5</v>
      </c>
      <c r="AQ266" s="85">
        <f t="shared" si="795"/>
        <v>985.19999999999993</v>
      </c>
      <c r="AR266" s="85">
        <f t="shared" si="796"/>
        <v>300</v>
      </c>
      <c r="AS266" s="85" t="str">
        <f>'Consumer Hardware Pricing'!AF274</f>
        <v>-</v>
      </c>
      <c r="AT266" s="85" t="str">
        <f t="shared" si="868"/>
        <v>-</v>
      </c>
      <c r="AU266" s="85" t="str">
        <f t="shared" si="797"/>
        <v>-</v>
      </c>
      <c r="AV266" s="85" t="str">
        <f t="shared" si="798"/>
        <v>-</v>
      </c>
      <c r="AW266" s="85" t="str">
        <f t="shared" si="799"/>
        <v>-</v>
      </c>
      <c r="AX266" s="85" t="str">
        <f>'Consumer Hardware Pricing'!AH274</f>
        <v>-</v>
      </c>
      <c r="AY266" s="85" t="str">
        <f t="shared" si="869"/>
        <v>-</v>
      </c>
      <c r="AZ266" s="85" t="str">
        <f>'Consumer Hardware Pricing'!AI274</f>
        <v>-</v>
      </c>
      <c r="BA266" s="85" t="str">
        <f t="shared" si="804"/>
        <v>-</v>
      </c>
      <c r="BB266" s="85" t="str">
        <f t="shared" si="805"/>
        <v>-</v>
      </c>
      <c r="BC266" s="85" t="str">
        <f t="shared" si="821"/>
        <v>-</v>
      </c>
      <c r="BD266" s="85" t="str">
        <f>'Consumer Hardware Pricing'!AL274</f>
        <v>-</v>
      </c>
      <c r="BE266" s="85" t="str">
        <f t="shared" si="870"/>
        <v>-</v>
      </c>
      <c r="BF266" s="85" t="str">
        <f>'Consumer Hardware Pricing'!AM274</f>
        <v>-</v>
      </c>
      <c r="BG266" s="85" t="str">
        <f t="shared" si="806"/>
        <v>-</v>
      </c>
      <c r="BH266" s="85" t="str">
        <f t="shared" si="807"/>
        <v>-</v>
      </c>
      <c r="BI266" s="85" t="str">
        <f t="shared" si="822"/>
        <v>-</v>
      </c>
      <c r="BJ266" s="85" t="str">
        <f>'Consumer Hardware Pricing'!AP274</f>
        <v>-</v>
      </c>
      <c r="BK266" s="85" t="str">
        <f t="shared" si="871"/>
        <v>-</v>
      </c>
      <c r="BL266" s="85" t="str">
        <f>'Consumer Hardware Pricing'!AQ274</f>
        <v>-</v>
      </c>
      <c r="BM266" s="85" t="str">
        <f t="shared" si="808"/>
        <v>-</v>
      </c>
      <c r="BN266" s="85" t="str">
        <f t="shared" si="809"/>
        <v>-</v>
      </c>
      <c r="BO266" s="85" t="str">
        <f t="shared" si="823"/>
        <v>-</v>
      </c>
      <c r="BP266" s="85" t="str">
        <f>'Consumer Hardware Pricing'!AT274</f>
        <v>-</v>
      </c>
      <c r="BQ266" s="85" t="str">
        <f t="shared" si="872"/>
        <v>-</v>
      </c>
      <c r="BR266" s="85" t="str">
        <f>'Consumer Hardware Pricing'!AU274</f>
        <v>-</v>
      </c>
      <c r="BS266" s="85" t="str">
        <f t="shared" si="810"/>
        <v>-</v>
      </c>
      <c r="BT266" s="85" t="str">
        <f t="shared" si="811"/>
        <v>-</v>
      </c>
      <c r="BU266" s="85" t="str">
        <f t="shared" si="824"/>
        <v>-</v>
      </c>
    </row>
    <row r="267" spans="1:73" ht="30.15" customHeight="1" x14ac:dyDescent="0.25">
      <c r="A267" s="87" t="s">
        <v>34</v>
      </c>
      <c r="B267" s="88" t="s">
        <v>455</v>
      </c>
      <c r="C267" s="88" t="s">
        <v>449</v>
      </c>
      <c r="D267" s="85">
        <f>'Consumer Hardware Pricing'!L275</f>
        <v>1285</v>
      </c>
      <c r="E267" s="85">
        <f>'Consumer Hardware Pricing'!M275</f>
        <v>1285</v>
      </c>
      <c r="F267" s="85">
        <f>'Consumer Hardware Pricing'!N275</f>
        <v>0</v>
      </c>
      <c r="G267" s="85">
        <f t="shared" si="862"/>
        <v>53.55</v>
      </c>
      <c r="H267" s="85">
        <f>'Consumer Hardware Pricing'!O275</f>
        <v>28.55</v>
      </c>
      <c r="I267" s="85">
        <f t="shared" si="800"/>
        <v>24.999999999999996</v>
      </c>
      <c r="J267" s="85">
        <f t="shared" si="812"/>
        <v>685.2</v>
      </c>
      <c r="K267" s="85">
        <f t="shared" si="813"/>
        <v>599.99999999999989</v>
      </c>
      <c r="L267" s="85" t="str">
        <f>'Consumer Hardware Pricing'!Q275</f>
        <v>-</v>
      </c>
      <c r="M267" s="85" t="str">
        <f t="shared" si="863"/>
        <v>-</v>
      </c>
      <c r="N267" s="85" t="str">
        <f t="shared" si="801"/>
        <v>-</v>
      </c>
      <c r="O267" s="85" t="str">
        <f t="shared" si="802"/>
        <v>-</v>
      </c>
      <c r="P267" s="85" t="str">
        <f t="shared" si="814"/>
        <v>-</v>
      </c>
      <c r="Q267" s="85">
        <f>'Consumer Hardware Pricing'!S275</f>
        <v>0</v>
      </c>
      <c r="R267" s="85">
        <f t="shared" si="803"/>
        <v>53.55</v>
      </c>
      <c r="S267" s="85">
        <f>'Consumer Hardware Pricing'!T275</f>
        <v>28.55</v>
      </c>
      <c r="T267" s="129">
        <f t="shared" si="815"/>
        <v>24.999999999999996</v>
      </c>
      <c r="U267" s="129">
        <f t="shared" si="816"/>
        <v>685.2</v>
      </c>
      <c r="V267" s="85">
        <f t="shared" si="817"/>
        <v>599.99999999999989</v>
      </c>
      <c r="W267" s="129" t="str">
        <f>'Consumer Hardware Pricing'!V275</f>
        <v>-</v>
      </c>
      <c r="X267" s="129" t="str">
        <f t="shared" si="864"/>
        <v>-</v>
      </c>
      <c r="Y267" s="129" t="str">
        <f t="shared" si="818"/>
        <v>-</v>
      </c>
      <c r="Z267" s="129" t="str">
        <f t="shared" si="819"/>
        <v>-</v>
      </c>
      <c r="AA267" s="85" t="str">
        <f t="shared" si="820"/>
        <v>-</v>
      </c>
      <c r="AB267" s="85">
        <f>'Consumer Hardware Pricing'!X275</f>
        <v>0</v>
      </c>
      <c r="AC267" s="85">
        <f t="shared" si="865"/>
        <v>53.55</v>
      </c>
      <c r="AD267" s="85">
        <f>'Consumer Hardware Pricing'!Y275</f>
        <v>41.05</v>
      </c>
      <c r="AE267" s="85">
        <f t="shared" si="788"/>
        <v>12.5</v>
      </c>
      <c r="AF267" s="85">
        <f t="shared" si="789"/>
        <v>985.19999999999993</v>
      </c>
      <c r="AG267" s="85">
        <f t="shared" si="790"/>
        <v>300</v>
      </c>
      <c r="AH267" s="85" t="str">
        <f>'Consumer Hardware Pricing'!AA275</f>
        <v>-</v>
      </c>
      <c r="AI267" s="85" t="str">
        <f t="shared" si="866"/>
        <v>-</v>
      </c>
      <c r="AJ267" s="85" t="str">
        <f t="shared" si="791"/>
        <v>-</v>
      </c>
      <c r="AK267" s="85" t="str">
        <f t="shared" si="792"/>
        <v>-</v>
      </c>
      <c r="AL267" s="85" t="str">
        <f t="shared" si="793"/>
        <v>-</v>
      </c>
      <c r="AM267" s="85">
        <f>'Consumer Hardware Pricing'!AC275</f>
        <v>0</v>
      </c>
      <c r="AN267" s="85">
        <f t="shared" si="867"/>
        <v>53.55</v>
      </c>
      <c r="AO267" s="85">
        <f>'Consumer Hardware Pricing'!AD275</f>
        <v>41.05</v>
      </c>
      <c r="AP267" s="85">
        <f t="shared" si="794"/>
        <v>12.5</v>
      </c>
      <c r="AQ267" s="85">
        <f t="shared" si="795"/>
        <v>985.19999999999993</v>
      </c>
      <c r="AR267" s="85">
        <f t="shared" si="796"/>
        <v>300</v>
      </c>
      <c r="AS267" s="85" t="str">
        <f>'Consumer Hardware Pricing'!AF275</f>
        <v>-</v>
      </c>
      <c r="AT267" s="85" t="str">
        <f t="shared" si="868"/>
        <v>-</v>
      </c>
      <c r="AU267" s="85" t="str">
        <f t="shared" si="797"/>
        <v>-</v>
      </c>
      <c r="AV267" s="85" t="str">
        <f t="shared" si="798"/>
        <v>-</v>
      </c>
      <c r="AW267" s="85" t="str">
        <f t="shared" si="799"/>
        <v>-</v>
      </c>
      <c r="AX267" s="85" t="str">
        <f>'Consumer Hardware Pricing'!AH275</f>
        <v>-</v>
      </c>
      <c r="AY267" s="85" t="str">
        <f t="shared" si="869"/>
        <v>-</v>
      </c>
      <c r="AZ267" s="85" t="str">
        <f>'Consumer Hardware Pricing'!AI275</f>
        <v>-</v>
      </c>
      <c r="BA267" s="85" t="str">
        <f t="shared" si="804"/>
        <v>-</v>
      </c>
      <c r="BB267" s="85" t="str">
        <f t="shared" si="805"/>
        <v>-</v>
      </c>
      <c r="BC267" s="85" t="str">
        <f t="shared" si="821"/>
        <v>-</v>
      </c>
      <c r="BD267" s="85" t="str">
        <f>'Consumer Hardware Pricing'!AL275</f>
        <v>-</v>
      </c>
      <c r="BE267" s="85" t="str">
        <f t="shared" si="870"/>
        <v>-</v>
      </c>
      <c r="BF267" s="85" t="str">
        <f>'Consumer Hardware Pricing'!AM275</f>
        <v>-</v>
      </c>
      <c r="BG267" s="85" t="str">
        <f t="shared" si="806"/>
        <v>-</v>
      </c>
      <c r="BH267" s="85" t="str">
        <f t="shared" si="807"/>
        <v>-</v>
      </c>
      <c r="BI267" s="85" t="str">
        <f t="shared" si="822"/>
        <v>-</v>
      </c>
      <c r="BJ267" s="85" t="str">
        <f>'Consumer Hardware Pricing'!AP275</f>
        <v>-</v>
      </c>
      <c r="BK267" s="85" t="str">
        <f t="shared" si="871"/>
        <v>-</v>
      </c>
      <c r="BL267" s="85" t="str">
        <f>'Consumer Hardware Pricing'!AQ275</f>
        <v>-</v>
      </c>
      <c r="BM267" s="85" t="str">
        <f t="shared" si="808"/>
        <v>-</v>
      </c>
      <c r="BN267" s="85" t="str">
        <f t="shared" si="809"/>
        <v>-</v>
      </c>
      <c r="BO267" s="85" t="str">
        <f t="shared" si="823"/>
        <v>-</v>
      </c>
      <c r="BP267" s="85" t="str">
        <f>'Consumer Hardware Pricing'!AT275</f>
        <v>-</v>
      </c>
      <c r="BQ267" s="85" t="str">
        <f t="shared" si="872"/>
        <v>-</v>
      </c>
      <c r="BR267" s="85" t="str">
        <f>'Consumer Hardware Pricing'!AU275</f>
        <v>-</v>
      </c>
      <c r="BS267" s="85" t="str">
        <f t="shared" si="810"/>
        <v>-</v>
      </c>
      <c r="BT267" s="85" t="str">
        <f t="shared" si="811"/>
        <v>-</v>
      </c>
      <c r="BU267" s="85" t="str">
        <f t="shared" si="824"/>
        <v>-</v>
      </c>
    </row>
    <row r="268" spans="1:73" ht="30.15" customHeight="1" x14ac:dyDescent="0.25">
      <c r="A268" s="87" t="s">
        <v>34</v>
      </c>
      <c r="B268" s="88" t="s">
        <v>457</v>
      </c>
      <c r="C268" s="88" t="s">
        <v>449</v>
      </c>
      <c r="D268" s="85">
        <f>'Consumer Hardware Pricing'!L276</f>
        <v>1285</v>
      </c>
      <c r="E268" s="85">
        <f>'Consumer Hardware Pricing'!M276</f>
        <v>1285</v>
      </c>
      <c r="F268" s="85">
        <f>'Consumer Hardware Pricing'!N276</f>
        <v>0</v>
      </c>
      <c r="G268" s="85">
        <f t="shared" si="862"/>
        <v>53.55</v>
      </c>
      <c r="H268" s="85">
        <f>'Consumer Hardware Pricing'!O276</f>
        <v>28.55</v>
      </c>
      <c r="I268" s="85">
        <f t="shared" si="800"/>
        <v>24.999999999999996</v>
      </c>
      <c r="J268" s="85">
        <f t="shared" si="812"/>
        <v>685.2</v>
      </c>
      <c r="K268" s="85">
        <f t="shared" si="813"/>
        <v>599.99999999999989</v>
      </c>
      <c r="L268" s="85" t="str">
        <f>'Consumer Hardware Pricing'!Q276</f>
        <v>-</v>
      </c>
      <c r="M268" s="85" t="str">
        <f t="shared" si="863"/>
        <v>-</v>
      </c>
      <c r="N268" s="85" t="str">
        <f t="shared" si="801"/>
        <v>-</v>
      </c>
      <c r="O268" s="85" t="str">
        <f t="shared" si="802"/>
        <v>-</v>
      </c>
      <c r="P268" s="85" t="str">
        <f t="shared" si="814"/>
        <v>-</v>
      </c>
      <c r="Q268" s="85">
        <f>'Consumer Hardware Pricing'!S276</f>
        <v>0</v>
      </c>
      <c r="R268" s="85">
        <f t="shared" si="803"/>
        <v>53.55</v>
      </c>
      <c r="S268" s="85">
        <f>'Consumer Hardware Pricing'!T276</f>
        <v>28.55</v>
      </c>
      <c r="T268" s="129">
        <f t="shared" si="815"/>
        <v>24.999999999999996</v>
      </c>
      <c r="U268" s="129">
        <f t="shared" si="816"/>
        <v>685.2</v>
      </c>
      <c r="V268" s="85">
        <f t="shared" si="817"/>
        <v>599.99999999999989</v>
      </c>
      <c r="W268" s="129" t="str">
        <f>'Consumer Hardware Pricing'!V276</f>
        <v>-</v>
      </c>
      <c r="X268" s="129" t="str">
        <f t="shared" si="864"/>
        <v>-</v>
      </c>
      <c r="Y268" s="129" t="str">
        <f t="shared" si="818"/>
        <v>-</v>
      </c>
      <c r="Z268" s="129" t="str">
        <f t="shared" si="819"/>
        <v>-</v>
      </c>
      <c r="AA268" s="85" t="str">
        <f t="shared" si="820"/>
        <v>-</v>
      </c>
      <c r="AB268" s="85">
        <f>'Consumer Hardware Pricing'!X276</f>
        <v>0</v>
      </c>
      <c r="AC268" s="85">
        <f t="shared" si="865"/>
        <v>53.55</v>
      </c>
      <c r="AD268" s="85">
        <f>'Consumer Hardware Pricing'!Y276</f>
        <v>41.05</v>
      </c>
      <c r="AE268" s="85">
        <f t="shared" si="788"/>
        <v>12.5</v>
      </c>
      <c r="AF268" s="85">
        <f t="shared" si="789"/>
        <v>985.19999999999993</v>
      </c>
      <c r="AG268" s="85">
        <f t="shared" si="790"/>
        <v>300</v>
      </c>
      <c r="AH268" s="85" t="str">
        <f>'Consumer Hardware Pricing'!AA276</f>
        <v>-</v>
      </c>
      <c r="AI268" s="85" t="str">
        <f t="shared" si="866"/>
        <v>-</v>
      </c>
      <c r="AJ268" s="85" t="str">
        <f t="shared" si="791"/>
        <v>-</v>
      </c>
      <c r="AK268" s="85" t="str">
        <f t="shared" si="792"/>
        <v>-</v>
      </c>
      <c r="AL268" s="85" t="str">
        <f t="shared" si="793"/>
        <v>-</v>
      </c>
      <c r="AM268" s="85">
        <f>'Consumer Hardware Pricing'!AC276</f>
        <v>0</v>
      </c>
      <c r="AN268" s="85">
        <f t="shared" si="867"/>
        <v>53.55</v>
      </c>
      <c r="AO268" s="85">
        <f>'Consumer Hardware Pricing'!AD276</f>
        <v>41.05</v>
      </c>
      <c r="AP268" s="85">
        <f t="shared" si="794"/>
        <v>12.5</v>
      </c>
      <c r="AQ268" s="85">
        <f t="shared" si="795"/>
        <v>985.19999999999993</v>
      </c>
      <c r="AR268" s="85">
        <f t="shared" si="796"/>
        <v>300</v>
      </c>
      <c r="AS268" s="85" t="str">
        <f>'Consumer Hardware Pricing'!AF276</f>
        <v>-</v>
      </c>
      <c r="AT268" s="85" t="str">
        <f t="shared" si="868"/>
        <v>-</v>
      </c>
      <c r="AU268" s="85" t="str">
        <f t="shared" si="797"/>
        <v>-</v>
      </c>
      <c r="AV268" s="85" t="str">
        <f t="shared" si="798"/>
        <v>-</v>
      </c>
      <c r="AW268" s="85" t="str">
        <f t="shared" si="799"/>
        <v>-</v>
      </c>
      <c r="AX268" s="85" t="str">
        <f>'Consumer Hardware Pricing'!AH276</f>
        <v>-</v>
      </c>
      <c r="AY268" s="85" t="str">
        <f t="shared" si="869"/>
        <v>-</v>
      </c>
      <c r="AZ268" s="85" t="str">
        <f>'Consumer Hardware Pricing'!AI276</f>
        <v>-</v>
      </c>
      <c r="BA268" s="85" t="str">
        <f t="shared" si="804"/>
        <v>-</v>
      </c>
      <c r="BB268" s="85" t="str">
        <f t="shared" si="805"/>
        <v>-</v>
      </c>
      <c r="BC268" s="85" t="str">
        <f t="shared" si="821"/>
        <v>-</v>
      </c>
      <c r="BD268" s="85" t="str">
        <f>'Consumer Hardware Pricing'!AL276</f>
        <v>-</v>
      </c>
      <c r="BE268" s="85" t="str">
        <f t="shared" si="870"/>
        <v>-</v>
      </c>
      <c r="BF268" s="85" t="str">
        <f>'Consumer Hardware Pricing'!AM276</f>
        <v>-</v>
      </c>
      <c r="BG268" s="85" t="str">
        <f t="shared" si="806"/>
        <v>-</v>
      </c>
      <c r="BH268" s="85" t="str">
        <f t="shared" si="807"/>
        <v>-</v>
      </c>
      <c r="BI268" s="85" t="str">
        <f t="shared" si="822"/>
        <v>-</v>
      </c>
      <c r="BJ268" s="85" t="str">
        <f>'Consumer Hardware Pricing'!AP276</f>
        <v>-</v>
      </c>
      <c r="BK268" s="85" t="str">
        <f t="shared" si="871"/>
        <v>-</v>
      </c>
      <c r="BL268" s="85" t="str">
        <f>'Consumer Hardware Pricing'!AQ276</f>
        <v>-</v>
      </c>
      <c r="BM268" s="85" t="str">
        <f t="shared" si="808"/>
        <v>-</v>
      </c>
      <c r="BN268" s="85" t="str">
        <f t="shared" si="809"/>
        <v>-</v>
      </c>
      <c r="BO268" s="85" t="str">
        <f t="shared" si="823"/>
        <v>-</v>
      </c>
      <c r="BP268" s="85" t="str">
        <f>'Consumer Hardware Pricing'!AT276</f>
        <v>-</v>
      </c>
      <c r="BQ268" s="85" t="str">
        <f t="shared" si="872"/>
        <v>-</v>
      </c>
      <c r="BR268" s="85" t="str">
        <f>'Consumer Hardware Pricing'!AU276</f>
        <v>-</v>
      </c>
      <c r="BS268" s="85" t="str">
        <f t="shared" si="810"/>
        <v>-</v>
      </c>
      <c r="BT268" s="85" t="str">
        <f t="shared" si="811"/>
        <v>-</v>
      </c>
      <c r="BU268" s="85" t="str">
        <f t="shared" si="824"/>
        <v>-</v>
      </c>
    </row>
    <row r="269" spans="1:73" ht="30.15" customHeight="1" x14ac:dyDescent="0.25">
      <c r="A269" s="87" t="s">
        <v>34</v>
      </c>
      <c r="B269" s="88" t="s">
        <v>458</v>
      </c>
      <c r="C269" s="88" t="s">
        <v>450</v>
      </c>
      <c r="D269" s="85">
        <f>'Consumer Hardware Pricing'!L277</f>
        <v>1500</v>
      </c>
      <c r="E269" s="85">
        <f>'Consumer Hardware Pricing'!M277</f>
        <v>1500</v>
      </c>
      <c r="F269" s="85">
        <f>'Consumer Hardware Pricing'!N277</f>
        <v>0</v>
      </c>
      <c r="G269" s="85">
        <f t="shared" si="862"/>
        <v>62.5</v>
      </c>
      <c r="H269" s="85">
        <f>'Consumer Hardware Pricing'!O277</f>
        <v>28.55</v>
      </c>
      <c r="I269" s="85">
        <f t="shared" si="800"/>
        <v>33.950000000000003</v>
      </c>
      <c r="J269" s="85">
        <f t="shared" si="812"/>
        <v>685.2</v>
      </c>
      <c r="K269" s="85">
        <f t="shared" si="813"/>
        <v>814.80000000000007</v>
      </c>
      <c r="L269" s="85" t="str">
        <f>'Consumer Hardware Pricing'!Q277</f>
        <v>-</v>
      </c>
      <c r="M269" s="85" t="str">
        <f t="shared" si="863"/>
        <v>-</v>
      </c>
      <c r="N269" s="85" t="str">
        <f t="shared" si="801"/>
        <v>-</v>
      </c>
      <c r="O269" s="85" t="str">
        <f t="shared" si="802"/>
        <v>-</v>
      </c>
      <c r="P269" s="85" t="str">
        <f t="shared" si="814"/>
        <v>-</v>
      </c>
      <c r="Q269" s="85">
        <f>'Consumer Hardware Pricing'!S277</f>
        <v>0</v>
      </c>
      <c r="R269" s="85">
        <f t="shared" si="803"/>
        <v>62.5</v>
      </c>
      <c r="S269" s="85">
        <f>'Consumer Hardware Pricing'!T277</f>
        <v>28.55</v>
      </c>
      <c r="T269" s="129">
        <f t="shared" si="815"/>
        <v>33.950000000000003</v>
      </c>
      <c r="U269" s="129">
        <f t="shared" si="816"/>
        <v>685.2</v>
      </c>
      <c r="V269" s="85">
        <f t="shared" si="817"/>
        <v>814.80000000000007</v>
      </c>
      <c r="W269" s="129" t="str">
        <f>'Consumer Hardware Pricing'!V277</f>
        <v>-</v>
      </c>
      <c r="X269" s="129" t="str">
        <f t="shared" si="864"/>
        <v>-</v>
      </c>
      <c r="Y269" s="129" t="str">
        <f t="shared" si="818"/>
        <v>-</v>
      </c>
      <c r="Z269" s="129" t="str">
        <f t="shared" si="819"/>
        <v>-</v>
      </c>
      <c r="AA269" s="85" t="str">
        <f t="shared" si="820"/>
        <v>-</v>
      </c>
      <c r="AB269" s="85">
        <f>'Consumer Hardware Pricing'!X277</f>
        <v>0</v>
      </c>
      <c r="AC269" s="85">
        <f t="shared" si="865"/>
        <v>62.5</v>
      </c>
      <c r="AD269" s="85">
        <f>'Consumer Hardware Pricing'!Y277</f>
        <v>41.05</v>
      </c>
      <c r="AE269" s="85">
        <f t="shared" si="788"/>
        <v>21.450000000000003</v>
      </c>
      <c r="AF269" s="85">
        <f t="shared" si="789"/>
        <v>985.19999999999993</v>
      </c>
      <c r="AG269" s="85">
        <f t="shared" si="790"/>
        <v>514.80000000000007</v>
      </c>
      <c r="AH269" s="85" t="str">
        <f>'Consumer Hardware Pricing'!AA277</f>
        <v>-</v>
      </c>
      <c r="AI269" s="85" t="str">
        <f t="shared" si="866"/>
        <v>-</v>
      </c>
      <c r="AJ269" s="85" t="str">
        <f t="shared" si="791"/>
        <v>-</v>
      </c>
      <c r="AK269" s="85" t="str">
        <f t="shared" si="792"/>
        <v>-</v>
      </c>
      <c r="AL269" s="85" t="str">
        <f t="shared" si="793"/>
        <v>-</v>
      </c>
      <c r="AM269" s="85">
        <f>'Consumer Hardware Pricing'!AC277</f>
        <v>0</v>
      </c>
      <c r="AN269" s="85">
        <f t="shared" si="867"/>
        <v>62.5</v>
      </c>
      <c r="AO269" s="85">
        <f>'Consumer Hardware Pricing'!AD277</f>
        <v>41.05</v>
      </c>
      <c r="AP269" s="85">
        <f t="shared" si="794"/>
        <v>21.450000000000003</v>
      </c>
      <c r="AQ269" s="85">
        <f t="shared" si="795"/>
        <v>985.19999999999993</v>
      </c>
      <c r="AR269" s="85">
        <f t="shared" si="796"/>
        <v>514.80000000000007</v>
      </c>
      <c r="AS269" s="85" t="str">
        <f>'Consumer Hardware Pricing'!AF277</f>
        <v>-</v>
      </c>
      <c r="AT269" s="85" t="str">
        <f t="shared" si="868"/>
        <v>-</v>
      </c>
      <c r="AU269" s="85" t="str">
        <f t="shared" si="797"/>
        <v>-</v>
      </c>
      <c r="AV269" s="85" t="str">
        <f t="shared" si="798"/>
        <v>-</v>
      </c>
      <c r="AW269" s="85" t="str">
        <f t="shared" si="799"/>
        <v>-</v>
      </c>
      <c r="AX269" s="85" t="str">
        <f>'Consumer Hardware Pricing'!AH277</f>
        <v>-</v>
      </c>
      <c r="AY269" s="85" t="str">
        <f t="shared" si="869"/>
        <v>-</v>
      </c>
      <c r="AZ269" s="85" t="str">
        <f>'Consumer Hardware Pricing'!AI277</f>
        <v>-</v>
      </c>
      <c r="BA269" s="85" t="str">
        <f t="shared" si="804"/>
        <v>-</v>
      </c>
      <c r="BB269" s="85" t="str">
        <f t="shared" si="805"/>
        <v>-</v>
      </c>
      <c r="BC269" s="85" t="str">
        <f t="shared" si="821"/>
        <v>-</v>
      </c>
      <c r="BD269" s="85" t="str">
        <f>'Consumer Hardware Pricing'!AL277</f>
        <v>-</v>
      </c>
      <c r="BE269" s="85" t="str">
        <f t="shared" si="870"/>
        <v>-</v>
      </c>
      <c r="BF269" s="85" t="str">
        <f>'Consumer Hardware Pricing'!AM277</f>
        <v>-</v>
      </c>
      <c r="BG269" s="85" t="str">
        <f t="shared" si="806"/>
        <v>-</v>
      </c>
      <c r="BH269" s="85" t="str">
        <f t="shared" si="807"/>
        <v>-</v>
      </c>
      <c r="BI269" s="85" t="str">
        <f t="shared" si="822"/>
        <v>-</v>
      </c>
      <c r="BJ269" s="85" t="str">
        <f>'Consumer Hardware Pricing'!AP277</f>
        <v>-</v>
      </c>
      <c r="BK269" s="85" t="str">
        <f t="shared" si="871"/>
        <v>-</v>
      </c>
      <c r="BL269" s="85" t="str">
        <f>'Consumer Hardware Pricing'!AQ277</f>
        <v>-</v>
      </c>
      <c r="BM269" s="85" t="str">
        <f t="shared" si="808"/>
        <v>-</v>
      </c>
      <c r="BN269" s="85" t="str">
        <f t="shared" si="809"/>
        <v>-</v>
      </c>
      <c r="BO269" s="85" t="str">
        <f t="shared" si="823"/>
        <v>-</v>
      </c>
      <c r="BP269" s="85" t="str">
        <f>'Consumer Hardware Pricing'!AT277</f>
        <v>-</v>
      </c>
      <c r="BQ269" s="85" t="str">
        <f t="shared" si="872"/>
        <v>-</v>
      </c>
      <c r="BR269" s="85" t="str">
        <f>'Consumer Hardware Pricing'!AU277</f>
        <v>-</v>
      </c>
      <c r="BS269" s="85" t="str">
        <f t="shared" si="810"/>
        <v>-</v>
      </c>
      <c r="BT269" s="85" t="str">
        <f t="shared" si="811"/>
        <v>-</v>
      </c>
      <c r="BU269" s="85" t="str">
        <f t="shared" si="824"/>
        <v>-</v>
      </c>
    </row>
    <row r="270" spans="1:73" ht="30.15" customHeight="1" x14ac:dyDescent="0.25">
      <c r="A270" s="87" t="s">
        <v>34</v>
      </c>
      <c r="B270" s="88" t="s">
        <v>459</v>
      </c>
      <c r="C270" s="88" t="s">
        <v>450</v>
      </c>
      <c r="D270" s="85">
        <f>'Consumer Hardware Pricing'!L278</f>
        <v>1500</v>
      </c>
      <c r="E270" s="85">
        <f>'Consumer Hardware Pricing'!M278</f>
        <v>1500</v>
      </c>
      <c r="F270" s="85">
        <f>'Consumer Hardware Pricing'!N278</f>
        <v>0</v>
      </c>
      <c r="G270" s="85">
        <f t="shared" si="862"/>
        <v>62.5</v>
      </c>
      <c r="H270" s="85">
        <f>'Consumer Hardware Pricing'!O278</f>
        <v>28.55</v>
      </c>
      <c r="I270" s="85">
        <f t="shared" si="800"/>
        <v>33.950000000000003</v>
      </c>
      <c r="J270" s="85">
        <f t="shared" si="812"/>
        <v>685.2</v>
      </c>
      <c r="K270" s="85">
        <f t="shared" si="813"/>
        <v>814.80000000000007</v>
      </c>
      <c r="L270" s="85" t="str">
        <f>'Consumer Hardware Pricing'!Q278</f>
        <v>-</v>
      </c>
      <c r="M270" s="85" t="str">
        <f t="shared" si="863"/>
        <v>-</v>
      </c>
      <c r="N270" s="85" t="str">
        <f t="shared" si="801"/>
        <v>-</v>
      </c>
      <c r="O270" s="85" t="str">
        <f t="shared" si="802"/>
        <v>-</v>
      </c>
      <c r="P270" s="85" t="str">
        <f t="shared" si="814"/>
        <v>-</v>
      </c>
      <c r="Q270" s="85">
        <f>'Consumer Hardware Pricing'!S278</f>
        <v>0</v>
      </c>
      <c r="R270" s="85">
        <f t="shared" si="803"/>
        <v>62.5</v>
      </c>
      <c r="S270" s="85">
        <f>'Consumer Hardware Pricing'!T278</f>
        <v>28.55</v>
      </c>
      <c r="T270" s="129">
        <f t="shared" si="815"/>
        <v>33.950000000000003</v>
      </c>
      <c r="U270" s="129">
        <f t="shared" si="816"/>
        <v>685.2</v>
      </c>
      <c r="V270" s="85">
        <f t="shared" si="817"/>
        <v>814.80000000000007</v>
      </c>
      <c r="W270" s="129" t="str">
        <f>'Consumer Hardware Pricing'!V278</f>
        <v>-</v>
      </c>
      <c r="X270" s="129" t="str">
        <f t="shared" si="864"/>
        <v>-</v>
      </c>
      <c r="Y270" s="129" t="str">
        <f t="shared" si="818"/>
        <v>-</v>
      </c>
      <c r="Z270" s="129" t="str">
        <f t="shared" si="819"/>
        <v>-</v>
      </c>
      <c r="AA270" s="85" t="str">
        <f t="shared" si="820"/>
        <v>-</v>
      </c>
      <c r="AB270" s="85">
        <f>'Consumer Hardware Pricing'!X278</f>
        <v>0</v>
      </c>
      <c r="AC270" s="85">
        <f t="shared" si="865"/>
        <v>62.5</v>
      </c>
      <c r="AD270" s="85">
        <f>'Consumer Hardware Pricing'!Y278</f>
        <v>41.05</v>
      </c>
      <c r="AE270" s="85">
        <f t="shared" si="788"/>
        <v>21.450000000000003</v>
      </c>
      <c r="AF270" s="85">
        <f t="shared" si="789"/>
        <v>985.19999999999993</v>
      </c>
      <c r="AG270" s="85">
        <f t="shared" si="790"/>
        <v>514.80000000000007</v>
      </c>
      <c r="AH270" s="85" t="str">
        <f>'Consumer Hardware Pricing'!AA278</f>
        <v>-</v>
      </c>
      <c r="AI270" s="85" t="str">
        <f t="shared" si="866"/>
        <v>-</v>
      </c>
      <c r="AJ270" s="85" t="str">
        <f t="shared" si="791"/>
        <v>-</v>
      </c>
      <c r="AK270" s="85" t="str">
        <f t="shared" si="792"/>
        <v>-</v>
      </c>
      <c r="AL270" s="85" t="str">
        <f t="shared" si="793"/>
        <v>-</v>
      </c>
      <c r="AM270" s="85">
        <f>'Consumer Hardware Pricing'!AC278</f>
        <v>0</v>
      </c>
      <c r="AN270" s="85">
        <f t="shared" si="867"/>
        <v>62.5</v>
      </c>
      <c r="AO270" s="85">
        <f>'Consumer Hardware Pricing'!AD278</f>
        <v>41.05</v>
      </c>
      <c r="AP270" s="85">
        <f t="shared" si="794"/>
        <v>21.450000000000003</v>
      </c>
      <c r="AQ270" s="85">
        <f t="shared" si="795"/>
        <v>985.19999999999993</v>
      </c>
      <c r="AR270" s="85">
        <f t="shared" si="796"/>
        <v>514.80000000000007</v>
      </c>
      <c r="AS270" s="85" t="str">
        <f>'Consumer Hardware Pricing'!AF278</f>
        <v>-</v>
      </c>
      <c r="AT270" s="85" t="str">
        <f t="shared" si="868"/>
        <v>-</v>
      </c>
      <c r="AU270" s="85" t="str">
        <f t="shared" si="797"/>
        <v>-</v>
      </c>
      <c r="AV270" s="85" t="str">
        <f t="shared" si="798"/>
        <v>-</v>
      </c>
      <c r="AW270" s="85" t="str">
        <f t="shared" si="799"/>
        <v>-</v>
      </c>
      <c r="AX270" s="85" t="str">
        <f>'Consumer Hardware Pricing'!AH278</f>
        <v>-</v>
      </c>
      <c r="AY270" s="85" t="str">
        <f t="shared" si="869"/>
        <v>-</v>
      </c>
      <c r="AZ270" s="85" t="str">
        <f>'Consumer Hardware Pricing'!AI278</f>
        <v>-</v>
      </c>
      <c r="BA270" s="85" t="str">
        <f t="shared" si="804"/>
        <v>-</v>
      </c>
      <c r="BB270" s="85" t="str">
        <f t="shared" si="805"/>
        <v>-</v>
      </c>
      <c r="BC270" s="85" t="str">
        <f t="shared" si="821"/>
        <v>-</v>
      </c>
      <c r="BD270" s="85" t="str">
        <f>'Consumer Hardware Pricing'!AL278</f>
        <v>-</v>
      </c>
      <c r="BE270" s="85" t="str">
        <f t="shared" si="870"/>
        <v>-</v>
      </c>
      <c r="BF270" s="85" t="str">
        <f>'Consumer Hardware Pricing'!AM278</f>
        <v>-</v>
      </c>
      <c r="BG270" s="85" t="str">
        <f t="shared" si="806"/>
        <v>-</v>
      </c>
      <c r="BH270" s="85" t="str">
        <f t="shared" si="807"/>
        <v>-</v>
      </c>
      <c r="BI270" s="85" t="str">
        <f t="shared" si="822"/>
        <v>-</v>
      </c>
      <c r="BJ270" s="85" t="str">
        <f>'Consumer Hardware Pricing'!AP278</f>
        <v>-</v>
      </c>
      <c r="BK270" s="85" t="str">
        <f t="shared" si="871"/>
        <v>-</v>
      </c>
      <c r="BL270" s="85" t="str">
        <f>'Consumer Hardware Pricing'!AQ278</f>
        <v>-</v>
      </c>
      <c r="BM270" s="85" t="str">
        <f t="shared" si="808"/>
        <v>-</v>
      </c>
      <c r="BN270" s="85" t="str">
        <f t="shared" si="809"/>
        <v>-</v>
      </c>
      <c r="BO270" s="85" t="str">
        <f t="shared" si="823"/>
        <v>-</v>
      </c>
      <c r="BP270" s="85" t="str">
        <f>'Consumer Hardware Pricing'!AT278</f>
        <v>-</v>
      </c>
      <c r="BQ270" s="85" t="str">
        <f t="shared" si="872"/>
        <v>-</v>
      </c>
      <c r="BR270" s="85" t="str">
        <f>'Consumer Hardware Pricing'!AU278</f>
        <v>-</v>
      </c>
      <c r="BS270" s="85" t="str">
        <f t="shared" si="810"/>
        <v>-</v>
      </c>
      <c r="BT270" s="85" t="str">
        <f t="shared" si="811"/>
        <v>-</v>
      </c>
      <c r="BU270" s="85" t="str">
        <f t="shared" si="824"/>
        <v>-</v>
      </c>
    </row>
    <row r="271" spans="1:73" ht="30.15" customHeight="1" x14ac:dyDescent="0.25">
      <c r="A271" s="87" t="s">
        <v>34</v>
      </c>
      <c r="B271" s="88" t="s">
        <v>460</v>
      </c>
      <c r="C271" s="88" t="s">
        <v>450</v>
      </c>
      <c r="D271" s="85">
        <f>'Consumer Hardware Pricing'!L279</f>
        <v>1500</v>
      </c>
      <c r="E271" s="85">
        <f>'Consumer Hardware Pricing'!M279</f>
        <v>1500</v>
      </c>
      <c r="F271" s="85">
        <f>'Consumer Hardware Pricing'!N279</f>
        <v>0</v>
      </c>
      <c r="G271" s="85">
        <f t="shared" si="862"/>
        <v>62.5</v>
      </c>
      <c r="H271" s="85">
        <f>'Consumer Hardware Pricing'!O279</f>
        <v>28.55</v>
      </c>
      <c r="I271" s="85">
        <f t="shared" si="800"/>
        <v>33.950000000000003</v>
      </c>
      <c r="J271" s="85">
        <f t="shared" si="812"/>
        <v>685.2</v>
      </c>
      <c r="K271" s="85">
        <f t="shared" si="813"/>
        <v>814.80000000000007</v>
      </c>
      <c r="L271" s="85" t="str">
        <f>'Consumer Hardware Pricing'!Q279</f>
        <v>-</v>
      </c>
      <c r="M271" s="85" t="str">
        <f t="shared" si="863"/>
        <v>-</v>
      </c>
      <c r="N271" s="85" t="str">
        <f t="shared" si="801"/>
        <v>-</v>
      </c>
      <c r="O271" s="85" t="str">
        <f t="shared" si="802"/>
        <v>-</v>
      </c>
      <c r="P271" s="85" t="str">
        <f t="shared" si="814"/>
        <v>-</v>
      </c>
      <c r="Q271" s="85">
        <f>'Consumer Hardware Pricing'!S279</f>
        <v>0</v>
      </c>
      <c r="R271" s="85">
        <f t="shared" si="803"/>
        <v>62.5</v>
      </c>
      <c r="S271" s="85">
        <f>'Consumer Hardware Pricing'!T279</f>
        <v>28.55</v>
      </c>
      <c r="T271" s="129">
        <f t="shared" si="815"/>
        <v>33.950000000000003</v>
      </c>
      <c r="U271" s="129">
        <f t="shared" si="816"/>
        <v>685.2</v>
      </c>
      <c r="V271" s="85">
        <f t="shared" si="817"/>
        <v>814.80000000000007</v>
      </c>
      <c r="W271" s="129" t="str">
        <f>'Consumer Hardware Pricing'!V279</f>
        <v>-</v>
      </c>
      <c r="X271" s="129" t="str">
        <f t="shared" si="864"/>
        <v>-</v>
      </c>
      <c r="Y271" s="129" t="str">
        <f t="shared" si="818"/>
        <v>-</v>
      </c>
      <c r="Z271" s="129" t="str">
        <f t="shared" si="819"/>
        <v>-</v>
      </c>
      <c r="AA271" s="85" t="str">
        <f t="shared" si="820"/>
        <v>-</v>
      </c>
      <c r="AB271" s="85">
        <f>'Consumer Hardware Pricing'!X279</f>
        <v>0</v>
      </c>
      <c r="AC271" s="85">
        <f t="shared" si="865"/>
        <v>62.5</v>
      </c>
      <c r="AD271" s="85">
        <f>'Consumer Hardware Pricing'!Y279</f>
        <v>41.05</v>
      </c>
      <c r="AE271" s="85">
        <f t="shared" si="788"/>
        <v>21.450000000000003</v>
      </c>
      <c r="AF271" s="85">
        <f t="shared" si="789"/>
        <v>985.19999999999993</v>
      </c>
      <c r="AG271" s="85">
        <f t="shared" si="790"/>
        <v>514.80000000000007</v>
      </c>
      <c r="AH271" s="85" t="str">
        <f>'Consumer Hardware Pricing'!AA279</f>
        <v>-</v>
      </c>
      <c r="AI271" s="85" t="str">
        <f t="shared" si="866"/>
        <v>-</v>
      </c>
      <c r="AJ271" s="85" t="str">
        <f t="shared" si="791"/>
        <v>-</v>
      </c>
      <c r="AK271" s="85" t="str">
        <f t="shared" si="792"/>
        <v>-</v>
      </c>
      <c r="AL271" s="85" t="str">
        <f t="shared" si="793"/>
        <v>-</v>
      </c>
      <c r="AM271" s="85">
        <f>'Consumer Hardware Pricing'!AC279</f>
        <v>0</v>
      </c>
      <c r="AN271" s="85">
        <f t="shared" si="867"/>
        <v>62.5</v>
      </c>
      <c r="AO271" s="85">
        <f>'Consumer Hardware Pricing'!AD279</f>
        <v>41.05</v>
      </c>
      <c r="AP271" s="85">
        <f t="shared" si="794"/>
        <v>21.450000000000003</v>
      </c>
      <c r="AQ271" s="85">
        <f t="shared" si="795"/>
        <v>985.19999999999993</v>
      </c>
      <c r="AR271" s="85">
        <f t="shared" si="796"/>
        <v>514.80000000000007</v>
      </c>
      <c r="AS271" s="85" t="str">
        <f>'Consumer Hardware Pricing'!AF279</f>
        <v>-</v>
      </c>
      <c r="AT271" s="85" t="str">
        <f t="shared" si="868"/>
        <v>-</v>
      </c>
      <c r="AU271" s="85" t="str">
        <f t="shared" si="797"/>
        <v>-</v>
      </c>
      <c r="AV271" s="85" t="str">
        <f t="shared" si="798"/>
        <v>-</v>
      </c>
      <c r="AW271" s="85" t="str">
        <f t="shared" si="799"/>
        <v>-</v>
      </c>
      <c r="AX271" s="85" t="str">
        <f>'Consumer Hardware Pricing'!AH279</f>
        <v>-</v>
      </c>
      <c r="AY271" s="85" t="str">
        <f t="shared" si="869"/>
        <v>-</v>
      </c>
      <c r="AZ271" s="85" t="str">
        <f>'Consumer Hardware Pricing'!AI279</f>
        <v>-</v>
      </c>
      <c r="BA271" s="85" t="str">
        <f t="shared" si="804"/>
        <v>-</v>
      </c>
      <c r="BB271" s="85" t="str">
        <f t="shared" si="805"/>
        <v>-</v>
      </c>
      <c r="BC271" s="85" t="str">
        <f t="shared" si="821"/>
        <v>-</v>
      </c>
      <c r="BD271" s="85" t="str">
        <f>'Consumer Hardware Pricing'!AL279</f>
        <v>-</v>
      </c>
      <c r="BE271" s="85" t="str">
        <f t="shared" si="870"/>
        <v>-</v>
      </c>
      <c r="BF271" s="85" t="str">
        <f>'Consumer Hardware Pricing'!AM279</f>
        <v>-</v>
      </c>
      <c r="BG271" s="85" t="str">
        <f t="shared" si="806"/>
        <v>-</v>
      </c>
      <c r="BH271" s="85" t="str">
        <f t="shared" si="807"/>
        <v>-</v>
      </c>
      <c r="BI271" s="85" t="str">
        <f t="shared" si="822"/>
        <v>-</v>
      </c>
      <c r="BJ271" s="85" t="str">
        <f>'Consumer Hardware Pricing'!AP279</f>
        <v>-</v>
      </c>
      <c r="BK271" s="85" t="str">
        <f t="shared" si="871"/>
        <v>-</v>
      </c>
      <c r="BL271" s="85" t="str">
        <f>'Consumer Hardware Pricing'!AQ279</f>
        <v>-</v>
      </c>
      <c r="BM271" s="85" t="str">
        <f t="shared" si="808"/>
        <v>-</v>
      </c>
      <c r="BN271" s="85" t="str">
        <f t="shared" si="809"/>
        <v>-</v>
      </c>
      <c r="BO271" s="85" t="str">
        <f t="shared" si="823"/>
        <v>-</v>
      </c>
      <c r="BP271" s="85" t="str">
        <f>'Consumer Hardware Pricing'!AT279</f>
        <v>-</v>
      </c>
      <c r="BQ271" s="85" t="str">
        <f t="shared" si="872"/>
        <v>-</v>
      </c>
      <c r="BR271" s="85" t="str">
        <f>'Consumer Hardware Pricing'!AU279</f>
        <v>-</v>
      </c>
      <c r="BS271" s="85" t="str">
        <f t="shared" si="810"/>
        <v>-</v>
      </c>
      <c r="BT271" s="85" t="str">
        <f t="shared" si="811"/>
        <v>-</v>
      </c>
      <c r="BU271" s="85" t="str">
        <f t="shared" si="824"/>
        <v>-</v>
      </c>
    </row>
    <row r="272" spans="1:73" ht="30.15" customHeight="1" x14ac:dyDescent="0.25">
      <c r="A272" s="87" t="s">
        <v>34</v>
      </c>
      <c r="B272" s="88" t="s">
        <v>461</v>
      </c>
      <c r="C272" s="88" t="s">
        <v>453</v>
      </c>
      <c r="D272" s="85">
        <f>'Consumer Hardware Pricing'!L280</f>
        <v>1910</v>
      </c>
      <c r="E272" s="85">
        <f>'Consumer Hardware Pricing'!M280</f>
        <v>1910</v>
      </c>
      <c r="F272" s="85">
        <f>'Consumer Hardware Pricing'!N280</f>
        <v>0</v>
      </c>
      <c r="G272" s="85">
        <f t="shared" si="862"/>
        <v>79.59</v>
      </c>
      <c r="H272" s="85">
        <f>'Consumer Hardware Pricing'!O280</f>
        <v>28.55</v>
      </c>
      <c r="I272" s="85">
        <f t="shared" si="800"/>
        <v>51.040000000000006</v>
      </c>
      <c r="J272" s="85">
        <f t="shared" si="812"/>
        <v>685.2</v>
      </c>
      <c r="K272" s="85">
        <f t="shared" si="813"/>
        <v>1224.96</v>
      </c>
      <c r="L272" s="85" t="str">
        <f>'Consumer Hardware Pricing'!Q280</f>
        <v>-</v>
      </c>
      <c r="M272" s="85" t="str">
        <f t="shared" si="863"/>
        <v>-</v>
      </c>
      <c r="N272" s="85" t="str">
        <f t="shared" si="801"/>
        <v>-</v>
      </c>
      <c r="O272" s="85" t="str">
        <f t="shared" si="802"/>
        <v>-</v>
      </c>
      <c r="P272" s="85" t="str">
        <f t="shared" si="814"/>
        <v>-</v>
      </c>
      <c r="Q272" s="85">
        <f>'Consumer Hardware Pricing'!S280</f>
        <v>0</v>
      </c>
      <c r="R272" s="85">
        <f t="shared" si="803"/>
        <v>79.59</v>
      </c>
      <c r="S272" s="85">
        <f>'Consumer Hardware Pricing'!T280</f>
        <v>28.55</v>
      </c>
      <c r="T272" s="129">
        <f t="shared" si="815"/>
        <v>51.040000000000006</v>
      </c>
      <c r="U272" s="129">
        <f t="shared" si="816"/>
        <v>685.2</v>
      </c>
      <c r="V272" s="85">
        <f t="shared" si="817"/>
        <v>1224.96</v>
      </c>
      <c r="W272" s="129" t="str">
        <f>'Consumer Hardware Pricing'!V280</f>
        <v>-</v>
      </c>
      <c r="X272" s="129" t="str">
        <f t="shared" si="864"/>
        <v>-</v>
      </c>
      <c r="Y272" s="129" t="str">
        <f t="shared" si="818"/>
        <v>-</v>
      </c>
      <c r="Z272" s="129" t="str">
        <f t="shared" si="819"/>
        <v>-</v>
      </c>
      <c r="AA272" s="85" t="str">
        <f t="shared" si="820"/>
        <v>-</v>
      </c>
      <c r="AB272" s="85">
        <f>'Consumer Hardware Pricing'!X280</f>
        <v>0</v>
      </c>
      <c r="AC272" s="85">
        <f t="shared" si="865"/>
        <v>79.59</v>
      </c>
      <c r="AD272" s="85">
        <f>'Consumer Hardware Pricing'!Y280</f>
        <v>41.05</v>
      </c>
      <c r="AE272" s="85">
        <f t="shared" si="788"/>
        <v>38.540000000000006</v>
      </c>
      <c r="AF272" s="85">
        <f t="shared" si="789"/>
        <v>985.19999999999993</v>
      </c>
      <c r="AG272" s="85">
        <f t="shared" si="790"/>
        <v>924.96000000000015</v>
      </c>
      <c r="AH272" s="85" t="str">
        <f>'Consumer Hardware Pricing'!AA280</f>
        <v>-</v>
      </c>
      <c r="AI272" s="85" t="str">
        <f t="shared" si="866"/>
        <v>-</v>
      </c>
      <c r="AJ272" s="85" t="str">
        <f t="shared" si="791"/>
        <v>-</v>
      </c>
      <c r="AK272" s="85" t="str">
        <f t="shared" si="792"/>
        <v>-</v>
      </c>
      <c r="AL272" s="85" t="str">
        <f t="shared" si="793"/>
        <v>-</v>
      </c>
      <c r="AM272" s="85">
        <f>'Consumer Hardware Pricing'!AC280</f>
        <v>0</v>
      </c>
      <c r="AN272" s="85">
        <f t="shared" si="867"/>
        <v>79.59</v>
      </c>
      <c r="AO272" s="85">
        <f>'Consumer Hardware Pricing'!AD280</f>
        <v>41.05</v>
      </c>
      <c r="AP272" s="85">
        <f t="shared" si="794"/>
        <v>38.540000000000006</v>
      </c>
      <c r="AQ272" s="85">
        <f t="shared" si="795"/>
        <v>985.19999999999993</v>
      </c>
      <c r="AR272" s="85">
        <f t="shared" si="796"/>
        <v>924.96000000000015</v>
      </c>
      <c r="AS272" s="85" t="str">
        <f>'Consumer Hardware Pricing'!AF280</f>
        <v>-</v>
      </c>
      <c r="AT272" s="85" t="str">
        <f t="shared" si="868"/>
        <v>-</v>
      </c>
      <c r="AU272" s="85" t="str">
        <f t="shared" si="797"/>
        <v>-</v>
      </c>
      <c r="AV272" s="85" t="str">
        <f t="shared" si="798"/>
        <v>-</v>
      </c>
      <c r="AW272" s="85" t="str">
        <f t="shared" si="799"/>
        <v>-</v>
      </c>
      <c r="AX272" s="85" t="str">
        <f>'Consumer Hardware Pricing'!AH280</f>
        <v>-</v>
      </c>
      <c r="AY272" s="85" t="str">
        <f t="shared" si="869"/>
        <v>-</v>
      </c>
      <c r="AZ272" s="85" t="str">
        <f>'Consumer Hardware Pricing'!AI280</f>
        <v>-</v>
      </c>
      <c r="BA272" s="85" t="str">
        <f t="shared" si="804"/>
        <v>-</v>
      </c>
      <c r="BB272" s="85" t="str">
        <f t="shared" si="805"/>
        <v>-</v>
      </c>
      <c r="BC272" s="85" t="str">
        <f t="shared" si="821"/>
        <v>-</v>
      </c>
      <c r="BD272" s="85" t="str">
        <f>'Consumer Hardware Pricing'!AL280</f>
        <v>-</v>
      </c>
      <c r="BE272" s="85" t="str">
        <f t="shared" si="870"/>
        <v>-</v>
      </c>
      <c r="BF272" s="85" t="str">
        <f>'Consumer Hardware Pricing'!AM280</f>
        <v>-</v>
      </c>
      <c r="BG272" s="85" t="str">
        <f t="shared" si="806"/>
        <v>-</v>
      </c>
      <c r="BH272" s="85" t="str">
        <f t="shared" si="807"/>
        <v>-</v>
      </c>
      <c r="BI272" s="85" t="str">
        <f t="shared" si="822"/>
        <v>-</v>
      </c>
      <c r="BJ272" s="85" t="str">
        <f>'Consumer Hardware Pricing'!AP280</f>
        <v>-</v>
      </c>
      <c r="BK272" s="85" t="str">
        <f t="shared" si="871"/>
        <v>-</v>
      </c>
      <c r="BL272" s="85" t="str">
        <f>'Consumer Hardware Pricing'!AQ280</f>
        <v>-</v>
      </c>
      <c r="BM272" s="85" t="str">
        <f t="shared" si="808"/>
        <v>-</v>
      </c>
      <c r="BN272" s="85" t="str">
        <f t="shared" si="809"/>
        <v>-</v>
      </c>
      <c r="BO272" s="85" t="str">
        <f t="shared" si="823"/>
        <v>-</v>
      </c>
      <c r="BP272" s="85" t="str">
        <f>'Consumer Hardware Pricing'!AT280</f>
        <v>-</v>
      </c>
      <c r="BQ272" s="85" t="str">
        <f t="shared" si="872"/>
        <v>-</v>
      </c>
      <c r="BR272" s="85" t="str">
        <f>'Consumer Hardware Pricing'!AU280</f>
        <v>-</v>
      </c>
      <c r="BS272" s="85" t="str">
        <f t="shared" si="810"/>
        <v>-</v>
      </c>
      <c r="BT272" s="85" t="str">
        <f t="shared" si="811"/>
        <v>-</v>
      </c>
      <c r="BU272" s="85" t="str">
        <f t="shared" si="824"/>
        <v>-</v>
      </c>
    </row>
    <row r="273" spans="1:73" ht="30.15" customHeight="1" x14ac:dyDescent="0.25">
      <c r="A273" s="87" t="s">
        <v>34</v>
      </c>
      <c r="B273" s="88" t="s">
        <v>462</v>
      </c>
      <c r="C273" s="88" t="s">
        <v>453</v>
      </c>
      <c r="D273" s="85">
        <f>'Consumer Hardware Pricing'!L281</f>
        <v>1910</v>
      </c>
      <c r="E273" s="85">
        <f>'Consumer Hardware Pricing'!M281</f>
        <v>1910</v>
      </c>
      <c r="F273" s="85">
        <f>'Consumer Hardware Pricing'!N281</f>
        <v>0</v>
      </c>
      <c r="G273" s="85">
        <f t="shared" si="862"/>
        <v>79.59</v>
      </c>
      <c r="H273" s="85">
        <f>'Consumer Hardware Pricing'!O281</f>
        <v>28.55</v>
      </c>
      <c r="I273" s="85">
        <f t="shared" si="800"/>
        <v>51.040000000000006</v>
      </c>
      <c r="J273" s="85">
        <f t="shared" si="812"/>
        <v>685.2</v>
      </c>
      <c r="K273" s="85">
        <f t="shared" si="813"/>
        <v>1224.96</v>
      </c>
      <c r="L273" s="85" t="str">
        <f>'Consumer Hardware Pricing'!Q281</f>
        <v>-</v>
      </c>
      <c r="M273" s="85" t="str">
        <f t="shared" si="863"/>
        <v>-</v>
      </c>
      <c r="N273" s="85" t="str">
        <f t="shared" si="801"/>
        <v>-</v>
      </c>
      <c r="O273" s="85" t="str">
        <f t="shared" si="802"/>
        <v>-</v>
      </c>
      <c r="P273" s="85" t="str">
        <f t="shared" si="814"/>
        <v>-</v>
      </c>
      <c r="Q273" s="85">
        <f>'Consumer Hardware Pricing'!S281</f>
        <v>0</v>
      </c>
      <c r="R273" s="85">
        <f t="shared" si="803"/>
        <v>79.59</v>
      </c>
      <c r="S273" s="85">
        <f>'Consumer Hardware Pricing'!T281</f>
        <v>28.55</v>
      </c>
      <c r="T273" s="129">
        <f t="shared" si="815"/>
        <v>51.040000000000006</v>
      </c>
      <c r="U273" s="129">
        <f t="shared" si="816"/>
        <v>685.2</v>
      </c>
      <c r="V273" s="85">
        <f t="shared" si="817"/>
        <v>1224.96</v>
      </c>
      <c r="W273" s="129" t="str">
        <f>'Consumer Hardware Pricing'!V281</f>
        <v>-</v>
      </c>
      <c r="X273" s="129" t="str">
        <f t="shared" si="864"/>
        <v>-</v>
      </c>
      <c r="Y273" s="129" t="str">
        <f t="shared" si="818"/>
        <v>-</v>
      </c>
      <c r="Z273" s="129" t="str">
        <f t="shared" si="819"/>
        <v>-</v>
      </c>
      <c r="AA273" s="85" t="str">
        <f t="shared" si="820"/>
        <v>-</v>
      </c>
      <c r="AB273" s="85">
        <f>'Consumer Hardware Pricing'!X281</f>
        <v>0</v>
      </c>
      <c r="AC273" s="85">
        <f t="shared" si="865"/>
        <v>79.59</v>
      </c>
      <c r="AD273" s="85">
        <f>'Consumer Hardware Pricing'!Y281</f>
        <v>41.05</v>
      </c>
      <c r="AE273" s="85">
        <f t="shared" si="788"/>
        <v>38.540000000000006</v>
      </c>
      <c r="AF273" s="85">
        <f t="shared" si="789"/>
        <v>985.19999999999993</v>
      </c>
      <c r="AG273" s="85">
        <f t="shared" si="790"/>
        <v>924.96000000000015</v>
      </c>
      <c r="AH273" s="85" t="str">
        <f>'Consumer Hardware Pricing'!AA281</f>
        <v>-</v>
      </c>
      <c r="AI273" s="85" t="str">
        <f t="shared" si="866"/>
        <v>-</v>
      </c>
      <c r="AJ273" s="85" t="str">
        <f t="shared" si="791"/>
        <v>-</v>
      </c>
      <c r="AK273" s="85" t="str">
        <f t="shared" si="792"/>
        <v>-</v>
      </c>
      <c r="AL273" s="85" t="str">
        <f t="shared" si="793"/>
        <v>-</v>
      </c>
      <c r="AM273" s="85">
        <f>'Consumer Hardware Pricing'!AC281</f>
        <v>0</v>
      </c>
      <c r="AN273" s="85">
        <f t="shared" si="867"/>
        <v>79.59</v>
      </c>
      <c r="AO273" s="85">
        <f>'Consumer Hardware Pricing'!AD281</f>
        <v>41.05</v>
      </c>
      <c r="AP273" s="85">
        <f t="shared" si="794"/>
        <v>38.540000000000006</v>
      </c>
      <c r="AQ273" s="85">
        <f t="shared" si="795"/>
        <v>985.19999999999993</v>
      </c>
      <c r="AR273" s="85">
        <f t="shared" si="796"/>
        <v>924.96000000000015</v>
      </c>
      <c r="AS273" s="85" t="str">
        <f>'Consumer Hardware Pricing'!AF281</f>
        <v>-</v>
      </c>
      <c r="AT273" s="85" t="str">
        <f t="shared" si="868"/>
        <v>-</v>
      </c>
      <c r="AU273" s="85" t="str">
        <f t="shared" si="797"/>
        <v>-</v>
      </c>
      <c r="AV273" s="85" t="str">
        <f t="shared" si="798"/>
        <v>-</v>
      </c>
      <c r="AW273" s="85" t="str">
        <f t="shared" si="799"/>
        <v>-</v>
      </c>
      <c r="AX273" s="85" t="str">
        <f>'Consumer Hardware Pricing'!AH281</f>
        <v>-</v>
      </c>
      <c r="AY273" s="85" t="str">
        <f t="shared" si="869"/>
        <v>-</v>
      </c>
      <c r="AZ273" s="85" t="str">
        <f>'Consumer Hardware Pricing'!AI281</f>
        <v>-</v>
      </c>
      <c r="BA273" s="85" t="str">
        <f t="shared" si="804"/>
        <v>-</v>
      </c>
      <c r="BB273" s="85" t="str">
        <f t="shared" si="805"/>
        <v>-</v>
      </c>
      <c r="BC273" s="85" t="str">
        <f t="shared" si="821"/>
        <v>-</v>
      </c>
      <c r="BD273" s="85" t="str">
        <f>'Consumer Hardware Pricing'!AL281</f>
        <v>-</v>
      </c>
      <c r="BE273" s="85" t="str">
        <f t="shared" si="870"/>
        <v>-</v>
      </c>
      <c r="BF273" s="85" t="str">
        <f>'Consumer Hardware Pricing'!AM281</f>
        <v>-</v>
      </c>
      <c r="BG273" s="85" t="str">
        <f t="shared" si="806"/>
        <v>-</v>
      </c>
      <c r="BH273" s="85" t="str">
        <f t="shared" si="807"/>
        <v>-</v>
      </c>
      <c r="BI273" s="85" t="str">
        <f t="shared" si="822"/>
        <v>-</v>
      </c>
      <c r="BJ273" s="85" t="str">
        <f>'Consumer Hardware Pricing'!AP281</f>
        <v>-</v>
      </c>
      <c r="BK273" s="85" t="str">
        <f t="shared" si="871"/>
        <v>-</v>
      </c>
      <c r="BL273" s="85" t="str">
        <f>'Consumer Hardware Pricing'!AQ281</f>
        <v>-</v>
      </c>
      <c r="BM273" s="85" t="str">
        <f t="shared" si="808"/>
        <v>-</v>
      </c>
      <c r="BN273" s="85" t="str">
        <f t="shared" si="809"/>
        <v>-</v>
      </c>
      <c r="BO273" s="85" t="str">
        <f t="shared" si="823"/>
        <v>-</v>
      </c>
      <c r="BP273" s="85" t="str">
        <f>'Consumer Hardware Pricing'!AT281</f>
        <v>-</v>
      </c>
      <c r="BQ273" s="85" t="str">
        <f t="shared" si="872"/>
        <v>-</v>
      </c>
      <c r="BR273" s="85" t="str">
        <f>'Consumer Hardware Pricing'!AU281</f>
        <v>-</v>
      </c>
      <c r="BS273" s="85" t="str">
        <f t="shared" si="810"/>
        <v>-</v>
      </c>
      <c r="BT273" s="85" t="str">
        <f t="shared" si="811"/>
        <v>-</v>
      </c>
      <c r="BU273" s="85" t="str">
        <f t="shared" si="824"/>
        <v>-</v>
      </c>
    </row>
    <row r="274" spans="1:73" ht="30.15" customHeight="1" x14ac:dyDescent="0.25">
      <c r="A274" s="87" t="s">
        <v>34</v>
      </c>
      <c r="B274" s="88" t="s">
        <v>463</v>
      </c>
      <c r="C274" s="88" t="s">
        <v>453</v>
      </c>
      <c r="D274" s="85">
        <f>'Consumer Hardware Pricing'!L282</f>
        <v>1910</v>
      </c>
      <c r="E274" s="85">
        <f>'Consumer Hardware Pricing'!M282</f>
        <v>1910</v>
      </c>
      <c r="F274" s="85">
        <f>'Consumer Hardware Pricing'!N282</f>
        <v>0</v>
      </c>
      <c r="G274" s="85">
        <f t="shared" si="862"/>
        <v>79.59</v>
      </c>
      <c r="H274" s="85">
        <f>'Consumer Hardware Pricing'!O282</f>
        <v>28.55</v>
      </c>
      <c r="I274" s="85">
        <f t="shared" si="800"/>
        <v>51.040000000000006</v>
      </c>
      <c r="J274" s="85">
        <f t="shared" si="812"/>
        <v>685.2</v>
      </c>
      <c r="K274" s="85">
        <f t="shared" si="813"/>
        <v>1224.96</v>
      </c>
      <c r="L274" s="85" t="str">
        <f>'Consumer Hardware Pricing'!Q282</f>
        <v>-</v>
      </c>
      <c r="M274" s="85" t="str">
        <f t="shared" si="863"/>
        <v>-</v>
      </c>
      <c r="N274" s="85" t="str">
        <f t="shared" si="801"/>
        <v>-</v>
      </c>
      <c r="O274" s="85" t="str">
        <f t="shared" si="802"/>
        <v>-</v>
      </c>
      <c r="P274" s="85" t="str">
        <f t="shared" si="814"/>
        <v>-</v>
      </c>
      <c r="Q274" s="85">
        <f>'Consumer Hardware Pricing'!S282</f>
        <v>0</v>
      </c>
      <c r="R274" s="85">
        <f t="shared" si="803"/>
        <v>79.59</v>
      </c>
      <c r="S274" s="85">
        <f>'Consumer Hardware Pricing'!T282</f>
        <v>28.55</v>
      </c>
      <c r="T274" s="129">
        <f t="shared" si="815"/>
        <v>51.040000000000006</v>
      </c>
      <c r="U274" s="129">
        <f t="shared" si="816"/>
        <v>685.2</v>
      </c>
      <c r="V274" s="85">
        <f t="shared" si="817"/>
        <v>1224.96</v>
      </c>
      <c r="W274" s="129" t="str">
        <f>'Consumer Hardware Pricing'!V282</f>
        <v>-</v>
      </c>
      <c r="X274" s="129" t="str">
        <f t="shared" si="864"/>
        <v>-</v>
      </c>
      <c r="Y274" s="129" t="str">
        <f t="shared" si="818"/>
        <v>-</v>
      </c>
      <c r="Z274" s="129" t="str">
        <f t="shared" si="819"/>
        <v>-</v>
      </c>
      <c r="AA274" s="85" t="str">
        <f t="shared" si="820"/>
        <v>-</v>
      </c>
      <c r="AB274" s="85">
        <f>'Consumer Hardware Pricing'!X282</f>
        <v>0</v>
      </c>
      <c r="AC274" s="85">
        <f t="shared" si="865"/>
        <v>79.59</v>
      </c>
      <c r="AD274" s="85">
        <f>'Consumer Hardware Pricing'!Y282</f>
        <v>41.05</v>
      </c>
      <c r="AE274" s="85">
        <f t="shared" si="788"/>
        <v>38.540000000000006</v>
      </c>
      <c r="AF274" s="85">
        <f t="shared" si="789"/>
        <v>985.19999999999993</v>
      </c>
      <c r="AG274" s="85">
        <f t="shared" si="790"/>
        <v>924.96000000000015</v>
      </c>
      <c r="AH274" s="85" t="str">
        <f>'Consumer Hardware Pricing'!AA282</f>
        <v>-</v>
      </c>
      <c r="AI274" s="85" t="str">
        <f t="shared" si="866"/>
        <v>-</v>
      </c>
      <c r="AJ274" s="85" t="str">
        <f t="shared" si="791"/>
        <v>-</v>
      </c>
      <c r="AK274" s="85" t="str">
        <f t="shared" si="792"/>
        <v>-</v>
      </c>
      <c r="AL274" s="85" t="str">
        <f t="shared" si="793"/>
        <v>-</v>
      </c>
      <c r="AM274" s="85">
        <f>'Consumer Hardware Pricing'!AC282</f>
        <v>0</v>
      </c>
      <c r="AN274" s="85">
        <f t="shared" si="867"/>
        <v>79.59</v>
      </c>
      <c r="AO274" s="85">
        <f>'Consumer Hardware Pricing'!AD282</f>
        <v>41.05</v>
      </c>
      <c r="AP274" s="85">
        <f t="shared" si="794"/>
        <v>38.540000000000006</v>
      </c>
      <c r="AQ274" s="85">
        <f t="shared" si="795"/>
        <v>985.19999999999993</v>
      </c>
      <c r="AR274" s="85">
        <f t="shared" si="796"/>
        <v>924.96000000000015</v>
      </c>
      <c r="AS274" s="85" t="str">
        <f>'Consumer Hardware Pricing'!AF282</f>
        <v>-</v>
      </c>
      <c r="AT274" s="85" t="str">
        <f t="shared" si="868"/>
        <v>-</v>
      </c>
      <c r="AU274" s="85" t="str">
        <f t="shared" si="797"/>
        <v>-</v>
      </c>
      <c r="AV274" s="85" t="str">
        <f t="shared" si="798"/>
        <v>-</v>
      </c>
      <c r="AW274" s="85" t="str">
        <f t="shared" si="799"/>
        <v>-</v>
      </c>
      <c r="AX274" s="85" t="str">
        <f>'Consumer Hardware Pricing'!AH282</f>
        <v>-</v>
      </c>
      <c r="AY274" s="85" t="str">
        <f t="shared" si="869"/>
        <v>-</v>
      </c>
      <c r="AZ274" s="85" t="str">
        <f>'Consumer Hardware Pricing'!AI282</f>
        <v>-</v>
      </c>
      <c r="BA274" s="85" t="str">
        <f t="shared" si="804"/>
        <v>-</v>
      </c>
      <c r="BB274" s="85" t="str">
        <f t="shared" si="805"/>
        <v>-</v>
      </c>
      <c r="BC274" s="85" t="str">
        <f t="shared" si="821"/>
        <v>-</v>
      </c>
      <c r="BD274" s="85" t="str">
        <f>'Consumer Hardware Pricing'!AL282</f>
        <v>-</v>
      </c>
      <c r="BE274" s="85" t="str">
        <f t="shared" si="870"/>
        <v>-</v>
      </c>
      <c r="BF274" s="85" t="str">
        <f>'Consumer Hardware Pricing'!AM282</f>
        <v>-</v>
      </c>
      <c r="BG274" s="85" t="str">
        <f t="shared" si="806"/>
        <v>-</v>
      </c>
      <c r="BH274" s="85" t="str">
        <f t="shared" si="807"/>
        <v>-</v>
      </c>
      <c r="BI274" s="85" t="str">
        <f t="shared" si="822"/>
        <v>-</v>
      </c>
      <c r="BJ274" s="85" t="str">
        <f>'Consumer Hardware Pricing'!AP282</f>
        <v>-</v>
      </c>
      <c r="BK274" s="85" t="str">
        <f t="shared" si="871"/>
        <v>-</v>
      </c>
      <c r="BL274" s="85" t="str">
        <f>'Consumer Hardware Pricing'!AQ282</f>
        <v>-</v>
      </c>
      <c r="BM274" s="85" t="str">
        <f t="shared" si="808"/>
        <v>-</v>
      </c>
      <c r="BN274" s="85" t="str">
        <f t="shared" si="809"/>
        <v>-</v>
      </c>
      <c r="BO274" s="85" t="str">
        <f t="shared" si="823"/>
        <v>-</v>
      </c>
      <c r="BP274" s="85" t="str">
        <f>'Consumer Hardware Pricing'!AT282</f>
        <v>-</v>
      </c>
      <c r="BQ274" s="85" t="str">
        <f t="shared" si="872"/>
        <v>-</v>
      </c>
      <c r="BR274" s="85" t="str">
        <f>'Consumer Hardware Pricing'!AU282</f>
        <v>-</v>
      </c>
      <c r="BS274" s="85" t="str">
        <f t="shared" si="810"/>
        <v>-</v>
      </c>
      <c r="BT274" s="85" t="str">
        <f t="shared" si="811"/>
        <v>-</v>
      </c>
      <c r="BU274" s="85" t="str">
        <f t="shared" si="824"/>
        <v>-</v>
      </c>
    </row>
    <row r="275" spans="1:73" ht="30.15" customHeight="1" x14ac:dyDescent="0.25">
      <c r="A275" s="87" t="s">
        <v>34</v>
      </c>
      <c r="B275" s="88" t="s">
        <v>464</v>
      </c>
      <c r="C275" s="88" t="s">
        <v>451</v>
      </c>
      <c r="D275" s="85">
        <f>'Consumer Hardware Pricing'!L283</f>
        <v>1425</v>
      </c>
      <c r="E275" s="85">
        <f>'Consumer Hardware Pricing'!M283</f>
        <v>1425</v>
      </c>
      <c r="F275" s="85">
        <f>'Consumer Hardware Pricing'!N283</f>
        <v>0</v>
      </c>
      <c r="G275" s="85">
        <f t="shared" si="862"/>
        <v>59.379999999999995</v>
      </c>
      <c r="H275" s="85">
        <f>'Consumer Hardware Pricing'!O283</f>
        <v>42.379999999999995</v>
      </c>
      <c r="I275" s="85">
        <f t="shared" si="800"/>
        <v>17</v>
      </c>
      <c r="J275" s="85">
        <f t="shared" si="812"/>
        <v>1017.1199999999999</v>
      </c>
      <c r="K275" s="85">
        <f t="shared" si="813"/>
        <v>408</v>
      </c>
      <c r="L275" s="85" t="str">
        <f>'Consumer Hardware Pricing'!Q283</f>
        <v>-</v>
      </c>
      <c r="M275" s="85" t="str">
        <f t="shared" si="863"/>
        <v>-</v>
      </c>
      <c r="N275" s="85" t="str">
        <f t="shared" si="801"/>
        <v>-</v>
      </c>
      <c r="O275" s="85" t="str">
        <f t="shared" si="802"/>
        <v>-</v>
      </c>
      <c r="P275" s="85" t="str">
        <f t="shared" si="814"/>
        <v>-</v>
      </c>
      <c r="Q275" s="85">
        <f>'Consumer Hardware Pricing'!S283</f>
        <v>0</v>
      </c>
      <c r="R275" s="85">
        <f t="shared" si="803"/>
        <v>59.379999999999995</v>
      </c>
      <c r="S275" s="85">
        <f>'Consumer Hardware Pricing'!T283</f>
        <v>42.379999999999995</v>
      </c>
      <c r="T275" s="129">
        <f t="shared" si="815"/>
        <v>17</v>
      </c>
      <c r="U275" s="129">
        <f t="shared" si="816"/>
        <v>1017.1199999999999</v>
      </c>
      <c r="V275" s="85">
        <f t="shared" si="817"/>
        <v>408</v>
      </c>
      <c r="W275" s="129" t="str">
        <f>'Consumer Hardware Pricing'!V283</f>
        <v>-</v>
      </c>
      <c r="X275" s="129" t="str">
        <f t="shared" si="864"/>
        <v>-</v>
      </c>
      <c r="Y275" s="129" t="str">
        <f t="shared" si="818"/>
        <v>-</v>
      </c>
      <c r="Z275" s="129" t="str">
        <f t="shared" si="819"/>
        <v>-</v>
      </c>
      <c r="AA275" s="85" t="str">
        <f t="shared" si="820"/>
        <v>-</v>
      </c>
      <c r="AB275" s="85">
        <f>'Consumer Hardware Pricing'!X283</f>
        <v>0</v>
      </c>
      <c r="AC275" s="85">
        <f t="shared" si="865"/>
        <v>59.379999999999995</v>
      </c>
      <c r="AD275" s="85">
        <f>'Consumer Hardware Pricing'!Y283</f>
        <v>42.379999999999995</v>
      </c>
      <c r="AE275" s="85">
        <f t="shared" si="788"/>
        <v>17</v>
      </c>
      <c r="AF275" s="85">
        <f t="shared" si="789"/>
        <v>1017.1199999999999</v>
      </c>
      <c r="AG275" s="85">
        <f t="shared" si="790"/>
        <v>408</v>
      </c>
      <c r="AH275" s="85" t="str">
        <f>'Consumer Hardware Pricing'!AA283</f>
        <v>-</v>
      </c>
      <c r="AI275" s="85" t="str">
        <f t="shared" si="866"/>
        <v>-</v>
      </c>
      <c r="AJ275" s="85" t="str">
        <f t="shared" si="791"/>
        <v>-</v>
      </c>
      <c r="AK275" s="85" t="str">
        <f t="shared" si="792"/>
        <v>-</v>
      </c>
      <c r="AL275" s="85" t="str">
        <f t="shared" si="793"/>
        <v>-</v>
      </c>
      <c r="AM275" s="85">
        <f>'Consumer Hardware Pricing'!AC283</f>
        <v>0</v>
      </c>
      <c r="AN275" s="85">
        <f t="shared" si="867"/>
        <v>59.379999999999995</v>
      </c>
      <c r="AO275" s="85">
        <f>'Consumer Hardware Pricing'!AD283</f>
        <v>42.379999999999995</v>
      </c>
      <c r="AP275" s="85">
        <f t="shared" si="794"/>
        <v>17</v>
      </c>
      <c r="AQ275" s="85">
        <f t="shared" si="795"/>
        <v>1017.1199999999999</v>
      </c>
      <c r="AR275" s="85">
        <f t="shared" si="796"/>
        <v>408</v>
      </c>
      <c r="AS275" s="85" t="str">
        <f>'Consumer Hardware Pricing'!AF283</f>
        <v>-</v>
      </c>
      <c r="AT275" s="85" t="str">
        <f t="shared" si="868"/>
        <v>-</v>
      </c>
      <c r="AU275" s="85" t="str">
        <f t="shared" si="797"/>
        <v>-</v>
      </c>
      <c r="AV275" s="85" t="str">
        <f t="shared" si="798"/>
        <v>-</v>
      </c>
      <c r="AW275" s="85" t="str">
        <f t="shared" si="799"/>
        <v>-</v>
      </c>
      <c r="AX275" s="85" t="str">
        <f>'Consumer Hardware Pricing'!AH283</f>
        <v>-</v>
      </c>
      <c r="AY275" s="85" t="str">
        <f t="shared" si="869"/>
        <v>-</v>
      </c>
      <c r="AZ275" s="85" t="str">
        <f>'Consumer Hardware Pricing'!AI283</f>
        <v>-</v>
      </c>
      <c r="BA275" s="85" t="str">
        <f t="shared" si="804"/>
        <v>-</v>
      </c>
      <c r="BB275" s="85" t="str">
        <f t="shared" si="805"/>
        <v>-</v>
      </c>
      <c r="BC275" s="85" t="str">
        <f t="shared" si="821"/>
        <v>-</v>
      </c>
      <c r="BD275" s="85" t="str">
        <f>'Consumer Hardware Pricing'!AL283</f>
        <v>-</v>
      </c>
      <c r="BE275" s="85" t="str">
        <f t="shared" si="870"/>
        <v>-</v>
      </c>
      <c r="BF275" s="85" t="str">
        <f>'Consumer Hardware Pricing'!AM283</f>
        <v>-</v>
      </c>
      <c r="BG275" s="85" t="str">
        <f t="shared" si="806"/>
        <v>-</v>
      </c>
      <c r="BH275" s="85" t="str">
        <f t="shared" si="807"/>
        <v>-</v>
      </c>
      <c r="BI275" s="85" t="str">
        <f t="shared" si="822"/>
        <v>-</v>
      </c>
      <c r="BJ275" s="85" t="str">
        <f>'Consumer Hardware Pricing'!AP283</f>
        <v>-</v>
      </c>
      <c r="BK275" s="85" t="str">
        <f t="shared" si="871"/>
        <v>-</v>
      </c>
      <c r="BL275" s="85" t="str">
        <f>'Consumer Hardware Pricing'!AQ283</f>
        <v>-</v>
      </c>
      <c r="BM275" s="85" t="str">
        <f t="shared" si="808"/>
        <v>-</v>
      </c>
      <c r="BN275" s="85" t="str">
        <f t="shared" si="809"/>
        <v>-</v>
      </c>
      <c r="BO275" s="85" t="str">
        <f t="shared" si="823"/>
        <v>-</v>
      </c>
      <c r="BP275" s="85" t="str">
        <f>'Consumer Hardware Pricing'!AT283</f>
        <v>-</v>
      </c>
      <c r="BQ275" s="85" t="str">
        <f t="shared" si="872"/>
        <v>-</v>
      </c>
      <c r="BR275" s="85" t="str">
        <f>'Consumer Hardware Pricing'!AU283</f>
        <v>-</v>
      </c>
      <c r="BS275" s="85" t="str">
        <f t="shared" si="810"/>
        <v>-</v>
      </c>
      <c r="BT275" s="85" t="str">
        <f t="shared" si="811"/>
        <v>-</v>
      </c>
      <c r="BU275" s="85" t="str">
        <f t="shared" si="824"/>
        <v>-</v>
      </c>
    </row>
    <row r="276" spans="1:73" ht="30.15" customHeight="1" x14ac:dyDescent="0.25">
      <c r="A276" s="87" t="s">
        <v>34</v>
      </c>
      <c r="B276" s="88" t="s">
        <v>465</v>
      </c>
      <c r="C276" s="88" t="s">
        <v>451</v>
      </c>
      <c r="D276" s="85">
        <f>'Consumer Hardware Pricing'!L284</f>
        <v>1425</v>
      </c>
      <c r="E276" s="85">
        <f>'Consumer Hardware Pricing'!M284</f>
        <v>1425</v>
      </c>
      <c r="F276" s="85">
        <f>'Consumer Hardware Pricing'!N284</f>
        <v>0</v>
      </c>
      <c r="G276" s="85">
        <f t="shared" si="862"/>
        <v>59.379999999999995</v>
      </c>
      <c r="H276" s="85">
        <f>'Consumer Hardware Pricing'!O284</f>
        <v>42.379999999999995</v>
      </c>
      <c r="I276" s="85">
        <f t="shared" si="800"/>
        <v>17</v>
      </c>
      <c r="J276" s="85">
        <f t="shared" si="812"/>
        <v>1017.1199999999999</v>
      </c>
      <c r="K276" s="85">
        <f t="shared" si="813"/>
        <v>408</v>
      </c>
      <c r="L276" s="85" t="str">
        <f>'Consumer Hardware Pricing'!Q284</f>
        <v>-</v>
      </c>
      <c r="M276" s="85" t="str">
        <f t="shared" si="863"/>
        <v>-</v>
      </c>
      <c r="N276" s="85" t="str">
        <f t="shared" si="801"/>
        <v>-</v>
      </c>
      <c r="O276" s="85" t="str">
        <f t="shared" si="802"/>
        <v>-</v>
      </c>
      <c r="P276" s="85" t="str">
        <f t="shared" si="814"/>
        <v>-</v>
      </c>
      <c r="Q276" s="85">
        <f>'Consumer Hardware Pricing'!S284</f>
        <v>0</v>
      </c>
      <c r="R276" s="85">
        <f t="shared" si="803"/>
        <v>59.379999999999995</v>
      </c>
      <c r="S276" s="85">
        <f>'Consumer Hardware Pricing'!T284</f>
        <v>42.379999999999995</v>
      </c>
      <c r="T276" s="129">
        <f t="shared" si="815"/>
        <v>17</v>
      </c>
      <c r="U276" s="129">
        <f t="shared" si="816"/>
        <v>1017.1199999999999</v>
      </c>
      <c r="V276" s="85">
        <f t="shared" si="817"/>
        <v>408</v>
      </c>
      <c r="W276" s="129" t="str">
        <f>'Consumer Hardware Pricing'!V284</f>
        <v>-</v>
      </c>
      <c r="X276" s="129" t="str">
        <f t="shared" si="864"/>
        <v>-</v>
      </c>
      <c r="Y276" s="129" t="str">
        <f t="shared" si="818"/>
        <v>-</v>
      </c>
      <c r="Z276" s="129" t="str">
        <f t="shared" si="819"/>
        <v>-</v>
      </c>
      <c r="AA276" s="85" t="str">
        <f t="shared" si="820"/>
        <v>-</v>
      </c>
      <c r="AB276" s="85">
        <f>'Consumer Hardware Pricing'!X284</f>
        <v>0</v>
      </c>
      <c r="AC276" s="85">
        <f t="shared" si="865"/>
        <v>59.379999999999995</v>
      </c>
      <c r="AD276" s="85">
        <f>'Consumer Hardware Pricing'!Y284</f>
        <v>42.379999999999995</v>
      </c>
      <c r="AE276" s="85">
        <f t="shared" si="788"/>
        <v>17</v>
      </c>
      <c r="AF276" s="85">
        <f t="shared" si="789"/>
        <v>1017.1199999999999</v>
      </c>
      <c r="AG276" s="85">
        <f t="shared" si="790"/>
        <v>408</v>
      </c>
      <c r="AH276" s="85" t="str">
        <f>'Consumer Hardware Pricing'!AA284</f>
        <v>-</v>
      </c>
      <c r="AI276" s="85" t="str">
        <f t="shared" si="866"/>
        <v>-</v>
      </c>
      <c r="AJ276" s="85" t="str">
        <f t="shared" si="791"/>
        <v>-</v>
      </c>
      <c r="AK276" s="85" t="str">
        <f t="shared" si="792"/>
        <v>-</v>
      </c>
      <c r="AL276" s="85" t="str">
        <f t="shared" si="793"/>
        <v>-</v>
      </c>
      <c r="AM276" s="85">
        <f>'Consumer Hardware Pricing'!AC284</f>
        <v>0</v>
      </c>
      <c r="AN276" s="85">
        <f t="shared" si="867"/>
        <v>59.379999999999995</v>
      </c>
      <c r="AO276" s="85">
        <f>'Consumer Hardware Pricing'!AD284</f>
        <v>42.379999999999995</v>
      </c>
      <c r="AP276" s="85">
        <f t="shared" si="794"/>
        <v>17</v>
      </c>
      <c r="AQ276" s="85">
        <f t="shared" si="795"/>
        <v>1017.1199999999999</v>
      </c>
      <c r="AR276" s="85">
        <f t="shared" si="796"/>
        <v>408</v>
      </c>
      <c r="AS276" s="85" t="str">
        <f>'Consumer Hardware Pricing'!AF284</f>
        <v>-</v>
      </c>
      <c r="AT276" s="85" t="str">
        <f t="shared" si="868"/>
        <v>-</v>
      </c>
      <c r="AU276" s="85" t="str">
        <f t="shared" si="797"/>
        <v>-</v>
      </c>
      <c r="AV276" s="85" t="str">
        <f t="shared" si="798"/>
        <v>-</v>
      </c>
      <c r="AW276" s="85" t="str">
        <f t="shared" si="799"/>
        <v>-</v>
      </c>
      <c r="AX276" s="85" t="str">
        <f>'Consumer Hardware Pricing'!AH284</f>
        <v>-</v>
      </c>
      <c r="AY276" s="85" t="str">
        <f t="shared" si="869"/>
        <v>-</v>
      </c>
      <c r="AZ276" s="85" t="str">
        <f>'Consumer Hardware Pricing'!AI284</f>
        <v>-</v>
      </c>
      <c r="BA276" s="85" t="str">
        <f t="shared" si="804"/>
        <v>-</v>
      </c>
      <c r="BB276" s="85" t="str">
        <f t="shared" si="805"/>
        <v>-</v>
      </c>
      <c r="BC276" s="85" t="str">
        <f t="shared" si="821"/>
        <v>-</v>
      </c>
      <c r="BD276" s="85" t="str">
        <f>'Consumer Hardware Pricing'!AL284</f>
        <v>-</v>
      </c>
      <c r="BE276" s="85" t="str">
        <f t="shared" si="870"/>
        <v>-</v>
      </c>
      <c r="BF276" s="85" t="str">
        <f>'Consumer Hardware Pricing'!AM284</f>
        <v>-</v>
      </c>
      <c r="BG276" s="85" t="str">
        <f t="shared" si="806"/>
        <v>-</v>
      </c>
      <c r="BH276" s="85" t="str">
        <f t="shared" si="807"/>
        <v>-</v>
      </c>
      <c r="BI276" s="85" t="str">
        <f t="shared" si="822"/>
        <v>-</v>
      </c>
      <c r="BJ276" s="85" t="str">
        <f>'Consumer Hardware Pricing'!AP284</f>
        <v>-</v>
      </c>
      <c r="BK276" s="85" t="str">
        <f t="shared" si="871"/>
        <v>-</v>
      </c>
      <c r="BL276" s="85" t="str">
        <f>'Consumer Hardware Pricing'!AQ284</f>
        <v>-</v>
      </c>
      <c r="BM276" s="85" t="str">
        <f t="shared" si="808"/>
        <v>-</v>
      </c>
      <c r="BN276" s="85" t="str">
        <f t="shared" si="809"/>
        <v>-</v>
      </c>
      <c r="BO276" s="85" t="str">
        <f t="shared" si="823"/>
        <v>-</v>
      </c>
      <c r="BP276" s="85" t="str">
        <f>'Consumer Hardware Pricing'!AT284</f>
        <v>-</v>
      </c>
      <c r="BQ276" s="85" t="str">
        <f t="shared" si="872"/>
        <v>-</v>
      </c>
      <c r="BR276" s="85" t="str">
        <f>'Consumer Hardware Pricing'!AU284</f>
        <v>-</v>
      </c>
      <c r="BS276" s="85" t="str">
        <f t="shared" si="810"/>
        <v>-</v>
      </c>
      <c r="BT276" s="85" t="str">
        <f t="shared" si="811"/>
        <v>-</v>
      </c>
      <c r="BU276" s="85" t="str">
        <f t="shared" si="824"/>
        <v>-</v>
      </c>
    </row>
    <row r="277" spans="1:73" ht="30.15" customHeight="1" x14ac:dyDescent="0.25">
      <c r="A277" s="87" t="s">
        <v>34</v>
      </c>
      <c r="B277" s="88" t="s">
        <v>466</v>
      </c>
      <c r="C277" s="88" t="s">
        <v>451</v>
      </c>
      <c r="D277" s="85">
        <f>'Consumer Hardware Pricing'!L285</f>
        <v>1425</v>
      </c>
      <c r="E277" s="85">
        <f>'Consumer Hardware Pricing'!M285</f>
        <v>1425</v>
      </c>
      <c r="F277" s="85">
        <f>'Consumer Hardware Pricing'!N285</f>
        <v>0</v>
      </c>
      <c r="G277" s="85">
        <f t="shared" si="862"/>
        <v>59.379999999999995</v>
      </c>
      <c r="H277" s="85">
        <f>'Consumer Hardware Pricing'!O285</f>
        <v>42.379999999999995</v>
      </c>
      <c r="I277" s="85">
        <f t="shared" si="800"/>
        <v>17</v>
      </c>
      <c r="J277" s="85">
        <f t="shared" si="812"/>
        <v>1017.1199999999999</v>
      </c>
      <c r="K277" s="85">
        <f t="shared" si="813"/>
        <v>408</v>
      </c>
      <c r="L277" s="85" t="str">
        <f>'Consumer Hardware Pricing'!Q285</f>
        <v>-</v>
      </c>
      <c r="M277" s="85" t="str">
        <f t="shared" si="863"/>
        <v>-</v>
      </c>
      <c r="N277" s="85" t="str">
        <f t="shared" si="801"/>
        <v>-</v>
      </c>
      <c r="O277" s="85" t="str">
        <f t="shared" si="802"/>
        <v>-</v>
      </c>
      <c r="P277" s="85" t="str">
        <f t="shared" si="814"/>
        <v>-</v>
      </c>
      <c r="Q277" s="85">
        <f>'Consumer Hardware Pricing'!S285</f>
        <v>0</v>
      </c>
      <c r="R277" s="85">
        <f t="shared" si="803"/>
        <v>59.379999999999995</v>
      </c>
      <c r="S277" s="85">
        <f>'Consumer Hardware Pricing'!T285</f>
        <v>42.379999999999995</v>
      </c>
      <c r="T277" s="129">
        <f t="shared" si="815"/>
        <v>17</v>
      </c>
      <c r="U277" s="129">
        <f t="shared" si="816"/>
        <v>1017.1199999999999</v>
      </c>
      <c r="V277" s="85">
        <f t="shared" si="817"/>
        <v>408</v>
      </c>
      <c r="W277" s="129" t="str">
        <f>'Consumer Hardware Pricing'!V285</f>
        <v>-</v>
      </c>
      <c r="X277" s="129" t="str">
        <f t="shared" si="864"/>
        <v>-</v>
      </c>
      <c r="Y277" s="129" t="str">
        <f t="shared" si="818"/>
        <v>-</v>
      </c>
      <c r="Z277" s="129" t="str">
        <f t="shared" si="819"/>
        <v>-</v>
      </c>
      <c r="AA277" s="85" t="str">
        <f t="shared" si="820"/>
        <v>-</v>
      </c>
      <c r="AB277" s="85">
        <f>'Consumer Hardware Pricing'!X285</f>
        <v>0</v>
      </c>
      <c r="AC277" s="85">
        <f t="shared" si="865"/>
        <v>59.379999999999995</v>
      </c>
      <c r="AD277" s="85">
        <f>'Consumer Hardware Pricing'!Y285</f>
        <v>42.379999999999995</v>
      </c>
      <c r="AE277" s="85">
        <f t="shared" si="788"/>
        <v>17</v>
      </c>
      <c r="AF277" s="85">
        <f t="shared" si="789"/>
        <v>1017.1199999999999</v>
      </c>
      <c r="AG277" s="85">
        <f t="shared" si="790"/>
        <v>408</v>
      </c>
      <c r="AH277" s="85" t="str">
        <f>'Consumer Hardware Pricing'!AA285</f>
        <v>-</v>
      </c>
      <c r="AI277" s="85" t="str">
        <f t="shared" si="866"/>
        <v>-</v>
      </c>
      <c r="AJ277" s="85" t="str">
        <f t="shared" si="791"/>
        <v>-</v>
      </c>
      <c r="AK277" s="85" t="str">
        <f t="shared" si="792"/>
        <v>-</v>
      </c>
      <c r="AL277" s="85" t="str">
        <f t="shared" si="793"/>
        <v>-</v>
      </c>
      <c r="AM277" s="85">
        <f>'Consumer Hardware Pricing'!AC285</f>
        <v>0</v>
      </c>
      <c r="AN277" s="85">
        <f t="shared" si="867"/>
        <v>59.379999999999995</v>
      </c>
      <c r="AO277" s="85">
        <f>'Consumer Hardware Pricing'!AD285</f>
        <v>42.379999999999995</v>
      </c>
      <c r="AP277" s="85">
        <f t="shared" si="794"/>
        <v>17</v>
      </c>
      <c r="AQ277" s="85">
        <f t="shared" si="795"/>
        <v>1017.1199999999999</v>
      </c>
      <c r="AR277" s="85">
        <f t="shared" si="796"/>
        <v>408</v>
      </c>
      <c r="AS277" s="85" t="str">
        <f>'Consumer Hardware Pricing'!AF285</f>
        <v>-</v>
      </c>
      <c r="AT277" s="85" t="str">
        <f t="shared" si="868"/>
        <v>-</v>
      </c>
      <c r="AU277" s="85" t="str">
        <f t="shared" si="797"/>
        <v>-</v>
      </c>
      <c r="AV277" s="85" t="str">
        <f t="shared" si="798"/>
        <v>-</v>
      </c>
      <c r="AW277" s="85" t="str">
        <f t="shared" si="799"/>
        <v>-</v>
      </c>
      <c r="AX277" s="85" t="str">
        <f>'Consumer Hardware Pricing'!AH285</f>
        <v>-</v>
      </c>
      <c r="AY277" s="85" t="str">
        <f t="shared" si="869"/>
        <v>-</v>
      </c>
      <c r="AZ277" s="85" t="str">
        <f>'Consumer Hardware Pricing'!AI285</f>
        <v>-</v>
      </c>
      <c r="BA277" s="85" t="str">
        <f t="shared" si="804"/>
        <v>-</v>
      </c>
      <c r="BB277" s="85" t="str">
        <f t="shared" si="805"/>
        <v>-</v>
      </c>
      <c r="BC277" s="85" t="str">
        <f t="shared" si="821"/>
        <v>-</v>
      </c>
      <c r="BD277" s="85" t="str">
        <f>'Consumer Hardware Pricing'!AL285</f>
        <v>-</v>
      </c>
      <c r="BE277" s="85" t="str">
        <f t="shared" si="870"/>
        <v>-</v>
      </c>
      <c r="BF277" s="85" t="str">
        <f>'Consumer Hardware Pricing'!AM285</f>
        <v>-</v>
      </c>
      <c r="BG277" s="85" t="str">
        <f t="shared" si="806"/>
        <v>-</v>
      </c>
      <c r="BH277" s="85" t="str">
        <f t="shared" si="807"/>
        <v>-</v>
      </c>
      <c r="BI277" s="85" t="str">
        <f t="shared" si="822"/>
        <v>-</v>
      </c>
      <c r="BJ277" s="85" t="str">
        <f>'Consumer Hardware Pricing'!AP285</f>
        <v>-</v>
      </c>
      <c r="BK277" s="85" t="str">
        <f t="shared" si="871"/>
        <v>-</v>
      </c>
      <c r="BL277" s="85" t="str">
        <f>'Consumer Hardware Pricing'!AQ285</f>
        <v>-</v>
      </c>
      <c r="BM277" s="85" t="str">
        <f t="shared" si="808"/>
        <v>-</v>
      </c>
      <c r="BN277" s="85" t="str">
        <f t="shared" si="809"/>
        <v>-</v>
      </c>
      <c r="BO277" s="85" t="str">
        <f t="shared" si="823"/>
        <v>-</v>
      </c>
      <c r="BP277" s="85" t="str">
        <f>'Consumer Hardware Pricing'!AT285</f>
        <v>-</v>
      </c>
      <c r="BQ277" s="85" t="str">
        <f t="shared" si="872"/>
        <v>-</v>
      </c>
      <c r="BR277" s="85" t="str">
        <f>'Consumer Hardware Pricing'!AU285</f>
        <v>-</v>
      </c>
      <c r="BS277" s="85" t="str">
        <f t="shared" si="810"/>
        <v>-</v>
      </c>
      <c r="BT277" s="85" t="str">
        <f t="shared" si="811"/>
        <v>-</v>
      </c>
      <c r="BU277" s="85" t="str">
        <f t="shared" si="824"/>
        <v>-</v>
      </c>
    </row>
    <row r="278" spans="1:73" ht="30.15" customHeight="1" x14ac:dyDescent="0.25">
      <c r="A278" s="87" t="s">
        <v>34</v>
      </c>
      <c r="B278" s="88" t="s">
        <v>467</v>
      </c>
      <c r="C278" s="88" t="s">
        <v>452</v>
      </c>
      <c r="D278" s="85">
        <f>'Consumer Hardware Pricing'!L286</f>
        <v>1640</v>
      </c>
      <c r="E278" s="85">
        <f>'Consumer Hardware Pricing'!M286</f>
        <v>1640</v>
      </c>
      <c r="F278" s="85">
        <f>'Consumer Hardware Pricing'!N286</f>
        <v>0</v>
      </c>
      <c r="G278" s="85">
        <f t="shared" si="862"/>
        <v>68.34</v>
      </c>
      <c r="H278" s="85">
        <f>'Consumer Hardware Pricing'!O286</f>
        <v>47.34</v>
      </c>
      <c r="I278" s="85">
        <f t="shared" si="800"/>
        <v>21</v>
      </c>
      <c r="J278" s="85">
        <f t="shared" si="812"/>
        <v>1136.1600000000001</v>
      </c>
      <c r="K278" s="85">
        <f t="shared" si="813"/>
        <v>504</v>
      </c>
      <c r="L278" s="85" t="str">
        <f>'Consumer Hardware Pricing'!Q286</f>
        <v>-</v>
      </c>
      <c r="M278" s="85" t="str">
        <f t="shared" si="863"/>
        <v>-</v>
      </c>
      <c r="N278" s="85" t="str">
        <f t="shared" si="801"/>
        <v>-</v>
      </c>
      <c r="O278" s="85" t="str">
        <f t="shared" si="802"/>
        <v>-</v>
      </c>
      <c r="P278" s="85" t="str">
        <f t="shared" si="814"/>
        <v>-</v>
      </c>
      <c r="Q278" s="85">
        <f>'Consumer Hardware Pricing'!S286</f>
        <v>0</v>
      </c>
      <c r="R278" s="85">
        <f t="shared" si="803"/>
        <v>68.34</v>
      </c>
      <c r="S278" s="85">
        <f>'Consumer Hardware Pricing'!T286</f>
        <v>47.34</v>
      </c>
      <c r="T278" s="129">
        <f t="shared" si="815"/>
        <v>21</v>
      </c>
      <c r="U278" s="129">
        <f t="shared" si="816"/>
        <v>1136.1600000000001</v>
      </c>
      <c r="V278" s="85">
        <f t="shared" si="817"/>
        <v>504</v>
      </c>
      <c r="W278" s="129" t="str">
        <f>'Consumer Hardware Pricing'!V286</f>
        <v>-</v>
      </c>
      <c r="X278" s="129" t="str">
        <f t="shared" si="864"/>
        <v>-</v>
      </c>
      <c r="Y278" s="129" t="str">
        <f t="shared" si="818"/>
        <v>-</v>
      </c>
      <c r="Z278" s="129" t="str">
        <f t="shared" si="819"/>
        <v>-</v>
      </c>
      <c r="AA278" s="85" t="str">
        <f t="shared" si="820"/>
        <v>-</v>
      </c>
      <c r="AB278" s="85">
        <f>'Consumer Hardware Pricing'!X286</f>
        <v>0</v>
      </c>
      <c r="AC278" s="85">
        <f t="shared" si="865"/>
        <v>68.34</v>
      </c>
      <c r="AD278" s="85">
        <f>'Consumer Hardware Pricing'!Y286</f>
        <v>47.34</v>
      </c>
      <c r="AE278" s="85">
        <f t="shared" si="788"/>
        <v>21</v>
      </c>
      <c r="AF278" s="85">
        <f t="shared" si="789"/>
        <v>1136.1600000000001</v>
      </c>
      <c r="AG278" s="85">
        <f t="shared" si="790"/>
        <v>504</v>
      </c>
      <c r="AH278" s="85" t="str">
        <f>'Consumer Hardware Pricing'!AA286</f>
        <v>-</v>
      </c>
      <c r="AI278" s="85" t="str">
        <f t="shared" si="866"/>
        <v>-</v>
      </c>
      <c r="AJ278" s="85" t="str">
        <f t="shared" si="791"/>
        <v>-</v>
      </c>
      <c r="AK278" s="85" t="str">
        <f t="shared" si="792"/>
        <v>-</v>
      </c>
      <c r="AL278" s="85" t="str">
        <f t="shared" si="793"/>
        <v>-</v>
      </c>
      <c r="AM278" s="85">
        <f>'Consumer Hardware Pricing'!AC286</f>
        <v>0</v>
      </c>
      <c r="AN278" s="85">
        <f t="shared" si="867"/>
        <v>68.34</v>
      </c>
      <c r="AO278" s="85">
        <f>'Consumer Hardware Pricing'!AD286</f>
        <v>47.34</v>
      </c>
      <c r="AP278" s="85">
        <f t="shared" si="794"/>
        <v>21</v>
      </c>
      <c r="AQ278" s="85">
        <f t="shared" si="795"/>
        <v>1136.1600000000001</v>
      </c>
      <c r="AR278" s="85">
        <f t="shared" si="796"/>
        <v>504</v>
      </c>
      <c r="AS278" s="85" t="str">
        <f>'Consumer Hardware Pricing'!AF286</f>
        <v>-</v>
      </c>
      <c r="AT278" s="85" t="str">
        <f t="shared" si="868"/>
        <v>-</v>
      </c>
      <c r="AU278" s="85" t="str">
        <f t="shared" si="797"/>
        <v>-</v>
      </c>
      <c r="AV278" s="85" t="str">
        <f t="shared" si="798"/>
        <v>-</v>
      </c>
      <c r="AW278" s="85" t="str">
        <f t="shared" si="799"/>
        <v>-</v>
      </c>
      <c r="AX278" s="85" t="str">
        <f>'Consumer Hardware Pricing'!AH286</f>
        <v>-</v>
      </c>
      <c r="AY278" s="85" t="str">
        <f t="shared" si="869"/>
        <v>-</v>
      </c>
      <c r="AZ278" s="85" t="str">
        <f>'Consumer Hardware Pricing'!AI286</f>
        <v>-</v>
      </c>
      <c r="BA278" s="85" t="str">
        <f t="shared" si="804"/>
        <v>-</v>
      </c>
      <c r="BB278" s="85" t="str">
        <f t="shared" si="805"/>
        <v>-</v>
      </c>
      <c r="BC278" s="85" t="str">
        <f t="shared" si="821"/>
        <v>-</v>
      </c>
      <c r="BD278" s="85" t="str">
        <f>'Consumer Hardware Pricing'!AL286</f>
        <v>-</v>
      </c>
      <c r="BE278" s="85" t="str">
        <f t="shared" si="870"/>
        <v>-</v>
      </c>
      <c r="BF278" s="85" t="str">
        <f>'Consumer Hardware Pricing'!AM286</f>
        <v>-</v>
      </c>
      <c r="BG278" s="85" t="str">
        <f t="shared" si="806"/>
        <v>-</v>
      </c>
      <c r="BH278" s="85" t="str">
        <f t="shared" si="807"/>
        <v>-</v>
      </c>
      <c r="BI278" s="85" t="str">
        <f t="shared" si="822"/>
        <v>-</v>
      </c>
      <c r="BJ278" s="85" t="str">
        <f>'Consumer Hardware Pricing'!AP286</f>
        <v>-</v>
      </c>
      <c r="BK278" s="85" t="str">
        <f t="shared" si="871"/>
        <v>-</v>
      </c>
      <c r="BL278" s="85" t="str">
        <f>'Consumer Hardware Pricing'!AQ286</f>
        <v>-</v>
      </c>
      <c r="BM278" s="85" t="str">
        <f t="shared" si="808"/>
        <v>-</v>
      </c>
      <c r="BN278" s="85" t="str">
        <f t="shared" si="809"/>
        <v>-</v>
      </c>
      <c r="BO278" s="85" t="str">
        <f t="shared" si="823"/>
        <v>-</v>
      </c>
      <c r="BP278" s="85" t="str">
        <f>'Consumer Hardware Pricing'!AT286</f>
        <v>-</v>
      </c>
      <c r="BQ278" s="85" t="str">
        <f t="shared" si="872"/>
        <v>-</v>
      </c>
      <c r="BR278" s="85" t="str">
        <f>'Consumer Hardware Pricing'!AU286</f>
        <v>-</v>
      </c>
      <c r="BS278" s="85" t="str">
        <f t="shared" si="810"/>
        <v>-</v>
      </c>
      <c r="BT278" s="85" t="str">
        <f t="shared" si="811"/>
        <v>-</v>
      </c>
      <c r="BU278" s="85" t="str">
        <f t="shared" si="824"/>
        <v>-</v>
      </c>
    </row>
    <row r="279" spans="1:73" ht="30.15" customHeight="1" x14ac:dyDescent="0.25">
      <c r="A279" s="87" t="s">
        <v>34</v>
      </c>
      <c r="B279" s="88" t="s">
        <v>468</v>
      </c>
      <c r="C279" s="88" t="s">
        <v>452</v>
      </c>
      <c r="D279" s="85">
        <f>'Consumer Hardware Pricing'!L287</f>
        <v>1640</v>
      </c>
      <c r="E279" s="85">
        <f>'Consumer Hardware Pricing'!M287</f>
        <v>1640</v>
      </c>
      <c r="F279" s="85">
        <f>'Consumer Hardware Pricing'!N287</f>
        <v>0</v>
      </c>
      <c r="G279" s="85">
        <f t="shared" si="862"/>
        <v>68.34</v>
      </c>
      <c r="H279" s="85">
        <f>'Consumer Hardware Pricing'!O287</f>
        <v>47.34</v>
      </c>
      <c r="I279" s="85">
        <f t="shared" si="800"/>
        <v>21</v>
      </c>
      <c r="J279" s="85">
        <f t="shared" si="812"/>
        <v>1136.1600000000001</v>
      </c>
      <c r="K279" s="85">
        <f t="shared" si="813"/>
        <v>504</v>
      </c>
      <c r="L279" s="85" t="str">
        <f>'Consumer Hardware Pricing'!Q287</f>
        <v>-</v>
      </c>
      <c r="M279" s="85" t="str">
        <f t="shared" si="863"/>
        <v>-</v>
      </c>
      <c r="N279" s="85" t="str">
        <f t="shared" si="801"/>
        <v>-</v>
      </c>
      <c r="O279" s="85" t="str">
        <f t="shared" si="802"/>
        <v>-</v>
      </c>
      <c r="P279" s="85" t="str">
        <f t="shared" si="814"/>
        <v>-</v>
      </c>
      <c r="Q279" s="85">
        <f>'Consumer Hardware Pricing'!S287</f>
        <v>0</v>
      </c>
      <c r="R279" s="85">
        <f t="shared" si="803"/>
        <v>68.34</v>
      </c>
      <c r="S279" s="85">
        <f>'Consumer Hardware Pricing'!T287</f>
        <v>47.34</v>
      </c>
      <c r="T279" s="129">
        <f t="shared" si="815"/>
        <v>21</v>
      </c>
      <c r="U279" s="129">
        <f t="shared" si="816"/>
        <v>1136.1600000000001</v>
      </c>
      <c r="V279" s="85">
        <f t="shared" si="817"/>
        <v>504</v>
      </c>
      <c r="W279" s="129" t="str">
        <f>'Consumer Hardware Pricing'!V287</f>
        <v>-</v>
      </c>
      <c r="X279" s="129" t="str">
        <f t="shared" si="864"/>
        <v>-</v>
      </c>
      <c r="Y279" s="129" t="str">
        <f t="shared" si="818"/>
        <v>-</v>
      </c>
      <c r="Z279" s="129" t="str">
        <f t="shared" si="819"/>
        <v>-</v>
      </c>
      <c r="AA279" s="85" t="str">
        <f t="shared" si="820"/>
        <v>-</v>
      </c>
      <c r="AB279" s="85">
        <f>'Consumer Hardware Pricing'!X287</f>
        <v>0</v>
      </c>
      <c r="AC279" s="85">
        <f t="shared" si="865"/>
        <v>68.34</v>
      </c>
      <c r="AD279" s="85">
        <f>'Consumer Hardware Pricing'!Y287</f>
        <v>47.34</v>
      </c>
      <c r="AE279" s="85">
        <f t="shared" si="788"/>
        <v>21</v>
      </c>
      <c r="AF279" s="85">
        <f t="shared" si="789"/>
        <v>1136.1600000000001</v>
      </c>
      <c r="AG279" s="85">
        <f t="shared" si="790"/>
        <v>504</v>
      </c>
      <c r="AH279" s="85" t="str">
        <f>'Consumer Hardware Pricing'!AA287</f>
        <v>-</v>
      </c>
      <c r="AI279" s="85" t="str">
        <f t="shared" si="866"/>
        <v>-</v>
      </c>
      <c r="AJ279" s="85" t="str">
        <f t="shared" si="791"/>
        <v>-</v>
      </c>
      <c r="AK279" s="85" t="str">
        <f t="shared" si="792"/>
        <v>-</v>
      </c>
      <c r="AL279" s="85" t="str">
        <f t="shared" si="793"/>
        <v>-</v>
      </c>
      <c r="AM279" s="85">
        <f>'Consumer Hardware Pricing'!AC287</f>
        <v>0</v>
      </c>
      <c r="AN279" s="85">
        <f t="shared" si="867"/>
        <v>68.34</v>
      </c>
      <c r="AO279" s="85">
        <f>'Consumer Hardware Pricing'!AD287</f>
        <v>47.34</v>
      </c>
      <c r="AP279" s="85">
        <f t="shared" si="794"/>
        <v>21</v>
      </c>
      <c r="AQ279" s="85">
        <f t="shared" si="795"/>
        <v>1136.1600000000001</v>
      </c>
      <c r="AR279" s="85">
        <f t="shared" si="796"/>
        <v>504</v>
      </c>
      <c r="AS279" s="85" t="str">
        <f>'Consumer Hardware Pricing'!AF287</f>
        <v>-</v>
      </c>
      <c r="AT279" s="85" t="str">
        <f t="shared" si="868"/>
        <v>-</v>
      </c>
      <c r="AU279" s="85" t="str">
        <f t="shared" si="797"/>
        <v>-</v>
      </c>
      <c r="AV279" s="85" t="str">
        <f t="shared" si="798"/>
        <v>-</v>
      </c>
      <c r="AW279" s="85" t="str">
        <f t="shared" si="799"/>
        <v>-</v>
      </c>
      <c r="AX279" s="85" t="str">
        <f>'Consumer Hardware Pricing'!AH287</f>
        <v>-</v>
      </c>
      <c r="AY279" s="85" t="str">
        <f t="shared" si="869"/>
        <v>-</v>
      </c>
      <c r="AZ279" s="85" t="str">
        <f>'Consumer Hardware Pricing'!AI287</f>
        <v>-</v>
      </c>
      <c r="BA279" s="85" t="str">
        <f t="shared" si="804"/>
        <v>-</v>
      </c>
      <c r="BB279" s="85" t="str">
        <f t="shared" si="805"/>
        <v>-</v>
      </c>
      <c r="BC279" s="85" t="str">
        <f t="shared" si="821"/>
        <v>-</v>
      </c>
      <c r="BD279" s="85" t="str">
        <f>'Consumer Hardware Pricing'!AL287</f>
        <v>-</v>
      </c>
      <c r="BE279" s="85" t="str">
        <f t="shared" si="870"/>
        <v>-</v>
      </c>
      <c r="BF279" s="85" t="str">
        <f>'Consumer Hardware Pricing'!AM287</f>
        <v>-</v>
      </c>
      <c r="BG279" s="85" t="str">
        <f t="shared" si="806"/>
        <v>-</v>
      </c>
      <c r="BH279" s="85" t="str">
        <f t="shared" si="807"/>
        <v>-</v>
      </c>
      <c r="BI279" s="85" t="str">
        <f t="shared" si="822"/>
        <v>-</v>
      </c>
      <c r="BJ279" s="85" t="str">
        <f>'Consumer Hardware Pricing'!AP287</f>
        <v>-</v>
      </c>
      <c r="BK279" s="85" t="str">
        <f t="shared" si="871"/>
        <v>-</v>
      </c>
      <c r="BL279" s="85" t="str">
        <f>'Consumer Hardware Pricing'!AQ287</f>
        <v>-</v>
      </c>
      <c r="BM279" s="85" t="str">
        <f t="shared" si="808"/>
        <v>-</v>
      </c>
      <c r="BN279" s="85" t="str">
        <f t="shared" si="809"/>
        <v>-</v>
      </c>
      <c r="BO279" s="85" t="str">
        <f t="shared" si="823"/>
        <v>-</v>
      </c>
      <c r="BP279" s="85" t="str">
        <f>'Consumer Hardware Pricing'!AT287</f>
        <v>-</v>
      </c>
      <c r="BQ279" s="85" t="str">
        <f t="shared" si="872"/>
        <v>-</v>
      </c>
      <c r="BR279" s="85" t="str">
        <f>'Consumer Hardware Pricing'!AU287</f>
        <v>-</v>
      </c>
      <c r="BS279" s="85" t="str">
        <f t="shared" si="810"/>
        <v>-</v>
      </c>
      <c r="BT279" s="85" t="str">
        <f t="shared" si="811"/>
        <v>-</v>
      </c>
      <c r="BU279" s="85" t="str">
        <f t="shared" si="824"/>
        <v>-</v>
      </c>
    </row>
    <row r="280" spans="1:73" ht="30.15" customHeight="1" x14ac:dyDescent="0.25">
      <c r="A280" s="87" t="s">
        <v>34</v>
      </c>
      <c r="B280" s="88" t="s">
        <v>469</v>
      </c>
      <c r="C280" s="88" t="s">
        <v>452</v>
      </c>
      <c r="D280" s="85">
        <f>'Consumer Hardware Pricing'!L288</f>
        <v>1640</v>
      </c>
      <c r="E280" s="85">
        <f>'Consumer Hardware Pricing'!M288</f>
        <v>1640</v>
      </c>
      <c r="F280" s="85">
        <f>'Consumer Hardware Pricing'!N288</f>
        <v>0</v>
      </c>
      <c r="G280" s="85">
        <f t="shared" si="862"/>
        <v>68.34</v>
      </c>
      <c r="H280" s="85">
        <f>'Consumer Hardware Pricing'!O288</f>
        <v>47.34</v>
      </c>
      <c r="I280" s="85">
        <f t="shared" si="800"/>
        <v>21</v>
      </c>
      <c r="J280" s="85">
        <f t="shared" si="812"/>
        <v>1136.1600000000001</v>
      </c>
      <c r="K280" s="85">
        <f t="shared" si="813"/>
        <v>504</v>
      </c>
      <c r="L280" s="85" t="str">
        <f>'Consumer Hardware Pricing'!Q288</f>
        <v>-</v>
      </c>
      <c r="M280" s="85" t="str">
        <f t="shared" si="863"/>
        <v>-</v>
      </c>
      <c r="N280" s="85" t="str">
        <f t="shared" si="801"/>
        <v>-</v>
      </c>
      <c r="O280" s="85" t="str">
        <f t="shared" si="802"/>
        <v>-</v>
      </c>
      <c r="P280" s="85" t="str">
        <f t="shared" si="814"/>
        <v>-</v>
      </c>
      <c r="Q280" s="85">
        <f>'Consumer Hardware Pricing'!S288</f>
        <v>0</v>
      </c>
      <c r="R280" s="85">
        <f t="shared" si="803"/>
        <v>68.34</v>
      </c>
      <c r="S280" s="85">
        <f>'Consumer Hardware Pricing'!T288</f>
        <v>47.34</v>
      </c>
      <c r="T280" s="129">
        <f t="shared" si="815"/>
        <v>21</v>
      </c>
      <c r="U280" s="129">
        <f t="shared" si="816"/>
        <v>1136.1600000000001</v>
      </c>
      <c r="V280" s="85">
        <f t="shared" si="817"/>
        <v>504</v>
      </c>
      <c r="W280" s="129" t="str">
        <f>'Consumer Hardware Pricing'!V288</f>
        <v>-</v>
      </c>
      <c r="X280" s="129" t="str">
        <f t="shared" si="864"/>
        <v>-</v>
      </c>
      <c r="Y280" s="129" t="str">
        <f t="shared" si="818"/>
        <v>-</v>
      </c>
      <c r="Z280" s="129" t="str">
        <f t="shared" si="819"/>
        <v>-</v>
      </c>
      <c r="AA280" s="85" t="str">
        <f t="shared" si="820"/>
        <v>-</v>
      </c>
      <c r="AB280" s="85">
        <f>'Consumer Hardware Pricing'!X288</f>
        <v>0</v>
      </c>
      <c r="AC280" s="85">
        <f t="shared" si="865"/>
        <v>68.34</v>
      </c>
      <c r="AD280" s="85">
        <f>'Consumer Hardware Pricing'!Y288</f>
        <v>47.34</v>
      </c>
      <c r="AE280" s="85">
        <f t="shared" si="788"/>
        <v>21</v>
      </c>
      <c r="AF280" s="85">
        <f t="shared" si="789"/>
        <v>1136.1600000000001</v>
      </c>
      <c r="AG280" s="85">
        <f t="shared" si="790"/>
        <v>504</v>
      </c>
      <c r="AH280" s="85" t="str">
        <f>'Consumer Hardware Pricing'!AA288</f>
        <v>-</v>
      </c>
      <c r="AI280" s="85" t="str">
        <f t="shared" si="866"/>
        <v>-</v>
      </c>
      <c r="AJ280" s="85" t="str">
        <f t="shared" si="791"/>
        <v>-</v>
      </c>
      <c r="AK280" s="85" t="str">
        <f t="shared" si="792"/>
        <v>-</v>
      </c>
      <c r="AL280" s="85" t="str">
        <f t="shared" si="793"/>
        <v>-</v>
      </c>
      <c r="AM280" s="85">
        <f>'Consumer Hardware Pricing'!AC288</f>
        <v>0</v>
      </c>
      <c r="AN280" s="85">
        <f t="shared" si="867"/>
        <v>68.34</v>
      </c>
      <c r="AO280" s="85">
        <f>'Consumer Hardware Pricing'!AD288</f>
        <v>47.34</v>
      </c>
      <c r="AP280" s="85">
        <f t="shared" si="794"/>
        <v>21</v>
      </c>
      <c r="AQ280" s="85">
        <f t="shared" si="795"/>
        <v>1136.1600000000001</v>
      </c>
      <c r="AR280" s="85">
        <f t="shared" si="796"/>
        <v>504</v>
      </c>
      <c r="AS280" s="85" t="str">
        <f>'Consumer Hardware Pricing'!AF288</f>
        <v>-</v>
      </c>
      <c r="AT280" s="85" t="str">
        <f t="shared" si="868"/>
        <v>-</v>
      </c>
      <c r="AU280" s="85" t="str">
        <f t="shared" si="797"/>
        <v>-</v>
      </c>
      <c r="AV280" s="85" t="str">
        <f t="shared" si="798"/>
        <v>-</v>
      </c>
      <c r="AW280" s="85" t="str">
        <f t="shared" si="799"/>
        <v>-</v>
      </c>
      <c r="AX280" s="85" t="str">
        <f>'Consumer Hardware Pricing'!AH288</f>
        <v>-</v>
      </c>
      <c r="AY280" s="85" t="str">
        <f t="shared" si="869"/>
        <v>-</v>
      </c>
      <c r="AZ280" s="85" t="str">
        <f>'Consumer Hardware Pricing'!AI288</f>
        <v>-</v>
      </c>
      <c r="BA280" s="85" t="str">
        <f t="shared" si="804"/>
        <v>-</v>
      </c>
      <c r="BB280" s="85" t="str">
        <f t="shared" si="805"/>
        <v>-</v>
      </c>
      <c r="BC280" s="85" t="str">
        <f t="shared" si="821"/>
        <v>-</v>
      </c>
      <c r="BD280" s="85" t="str">
        <f>'Consumer Hardware Pricing'!AL288</f>
        <v>-</v>
      </c>
      <c r="BE280" s="85" t="str">
        <f t="shared" si="870"/>
        <v>-</v>
      </c>
      <c r="BF280" s="85" t="str">
        <f>'Consumer Hardware Pricing'!AM288</f>
        <v>-</v>
      </c>
      <c r="BG280" s="85" t="str">
        <f t="shared" si="806"/>
        <v>-</v>
      </c>
      <c r="BH280" s="85" t="str">
        <f t="shared" si="807"/>
        <v>-</v>
      </c>
      <c r="BI280" s="85" t="str">
        <f t="shared" si="822"/>
        <v>-</v>
      </c>
      <c r="BJ280" s="85" t="str">
        <f>'Consumer Hardware Pricing'!AP288</f>
        <v>-</v>
      </c>
      <c r="BK280" s="85" t="str">
        <f t="shared" si="871"/>
        <v>-</v>
      </c>
      <c r="BL280" s="85" t="str">
        <f>'Consumer Hardware Pricing'!AQ288</f>
        <v>-</v>
      </c>
      <c r="BM280" s="85" t="str">
        <f t="shared" si="808"/>
        <v>-</v>
      </c>
      <c r="BN280" s="85" t="str">
        <f t="shared" si="809"/>
        <v>-</v>
      </c>
      <c r="BO280" s="85" t="str">
        <f t="shared" si="823"/>
        <v>-</v>
      </c>
      <c r="BP280" s="85" t="str">
        <f>'Consumer Hardware Pricing'!AT288</f>
        <v>-</v>
      </c>
      <c r="BQ280" s="85" t="str">
        <f t="shared" si="872"/>
        <v>-</v>
      </c>
      <c r="BR280" s="85" t="str">
        <f>'Consumer Hardware Pricing'!AU288</f>
        <v>-</v>
      </c>
      <c r="BS280" s="85" t="str">
        <f t="shared" si="810"/>
        <v>-</v>
      </c>
      <c r="BT280" s="85" t="str">
        <f t="shared" si="811"/>
        <v>-</v>
      </c>
      <c r="BU280" s="85" t="str">
        <f t="shared" si="824"/>
        <v>-</v>
      </c>
    </row>
    <row r="281" spans="1:73" ht="30.15" customHeight="1" x14ac:dyDescent="0.25">
      <c r="A281" s="87" t="s">
        <v>34</v>
      </c>
      <c r="B281" s="88" t="s">
        <v>470</v>
      </c>
      <c r="C281" s="88" t="s">
        <v>454</v>
      </c>
      <c r="D281" s="85">
        <f>'Consumer Hardware Pricing'!L289</f>
        <v>1930</v>
      </c>
      <c r="E281" s="85">
        <f>'Consumer Hardware Pricing'!M289</f>
        <v>1930</v>
      </c>
      <c r="F281" s="85">
        <f>'Consumer Hardware Pricing'!N289</f>
        <v>0</v>
      </c>
      <c r="G281" s="85">
        <f t="shared" si="862"/>
        <v>80.42</v>
      </c>
      <c r="H281" s="85">
        <f>'Consumer Hardware Pricing'!O289</f>
        <v>53.42</v>
      </c>
      <c r="I281" s="85">
        <f t="shared" si="800"/>
        <v>27</v>
      </c>
      <c r="J281" s="85">
        <f t="shared" si="812"/>
        <v>1282.08</v>
      </c>
      <c r="K281" s="85">
        <f t="shared" si="813"/>
        <v>648</v>
      </c>
      <c r="L281" s="85" t="str">
        <f>'Consumer Hardware Pricing'!Q289</f>
        <v>-</v>
      </c>
      <c r="M281" s="85" t="str">
        <f t="shared" si="863"/>
        <v>-</v>
      </c>
      <c r="N281" s="85" t="str">
        <f t="shared" si="801"/>
        <v>-</v>
      </c>
      <c r="O281" s="85" t="str">
        <f t="shared" si="802"/>
        <v>-</v>
      </c>
      <c r="P281" s="85" t="str">
        <f t="shared" si="814"/>
        <v>-</v>
      </c>
      <c r="Q281" s="85">
        <f>'Consumer Hardware Pricing'!S289</f>
        <v>0</v>
      </c>
      <c r="R281" s="85">
        <f t="shared" si="803"/>
        <v>80.42</v>
      </c>
      <c r="S281" s="85">
        <f>'Consumer Hardware Pricing'!T289</f>
        <v>53.42</v>
      </c>
      <c r="T281" s="129">
        <f t="shared" si="815"/>
        <v>27</v>
      </c>
      <c r="U281" s="129">
        <f t="shared" si="816"/>
        <v>1282.08</v>
      </c>
      <c r="V281" s="85">
        <f t="shared" si="817"/>
        <v>648</v>
      </c>
      <c r="W281" s="129" t="str">
        <f>'Consumer Hardware Pricing'!V289</f>
        <v>-</v>
      </c>
      <c r="X281" s="129" t="str">
        <f t="shared" si="864"/>
        <v>-</v>
      </c>
      <c r="Y281" s="129" t="str">
        <f t="shared" si="818"/>
        <v>-</v>
      </c>
      <c r="Z281" s="129" t="str">
        <f t="shared" si="819"/>
        <v>-</v>
      </c>
      <c r="AA281" s="85" t="str">
        <f t="shared" si="820"/>
        <v>-</v>
      </c>
      <c r="AB281" s="85">
        <f>'Consumer Hardware Pricing'!X289</f>
        <v>0</v>
      </c>
      <c r="AC281" s="85">
        <f t="shared" si="865"/>
        <v>80.42</v>
      </c>
      <c r="AD281" s="85">
        <f>'Consumer Hardware Pricing'!Y289</f>
        <v>53.42</v>
      </c>
      <c r="AE281" s="85">
        <f t="shared" si="788"/>
        <v>27</v>
      </c>
      <c r="AF281" s="85">
        <f t="shared" si="789"/>
        <v>1282.08</v>
      </c>
      <c r="AG281" s="85">
        <f t="shared" si="790"/>
        <v>648</v>
      </c>
      <c r="AH281" s="85" t="str">
        <f>'Consumer Hardware Pricing'!AA289</f>
        <v>-</v>
      </c>
      <c r="AI281" s="85" t="str">
        <f t="shared" si="866"/>
        <v>-</v>
      </c>
      <c r="AJ281" s="85" t="str">
        <f t="shared" si="791"/>
        <v>-</v>
      </c>
      <c r="AK281" s="85" t="str">
        <f t="shared" si="792"/>
        <v>-</v>
      </c>
      <c r="AL281" s="85" t="str">
        <f t="shared" si="793"/>
        <v>-</v>
      </c>
      <c r="AM281" s="85">
        <f>'Consumer Hardware Pricing'!AC289</f>
        <v>0</v>
      </c>
      <c r="AN281" s="85">
        <f t="shared" si="867"/>
        <v>80.42</v>
      </c>
      <c r="AO281" s="85">
        <f>'Consumer Hardware Pricing'!AD289</f>
        <v>53.42</v>
      </c>
      <c r="AP281" s="85">
        <f t="shared" si="794"/>
        <v>27</v>
      </c>
      <c r="AQ281" s="85">
        <f t="shared" si="795"/>
        <v>1282.08</v>
      </c>
      <c r="AR281" s="85">
        <f t="shared" si="796"/>
        <v>648</v>
      </c>
      <c r="AS281" s="85" t="str">
        <f>'Consumer Hardware Pricing'!AF289</f>
        <v>-</v>
      </c>
      <c r="AT281" s="85" t="str">
        <f t="shared" si="868"/>
        <v>-</v>
      </c>
      <c r="AU281" s="85" t="str">
        <f t="shared" si="797"/>
        <v>-</v>
      </c>
      <c r="AV281" s="85" t="str">
        <f t="shared" si="798"/>
        <v>-</v>
      </c>
      <c r="AW281" s="85" t="str">
        <f t="shared" si="799"/>
        <v>-</v>
      </c>
      <c r="AX281" s="85" t="str">
        <f>'Consumer Hardware Pricing'!AH289</f>
        <v>-</v>
      </c>
      <c r="AY281" s="85" t="str">
        <f t="shared" si="869"/>
        <v>-</v>
      </c>
      <c r="AZ281" s="85" t="str">
        <f>'Consumer Hardware Pricing'!AI289</f>
        <v>-</v>
      </c>
      <c r="BA281" s="85" t="str">
        <f t="shared" si="804"/>
        <v>-</v>
      </c>
      <c r="BB281" s="85" t="str">
        <f t="shared" si="805"/>
        <v>-</v>
      </c>
      <c r="BC281" s="85" t="str">
        <f t="shared" si="821"/>
        <v>-</v>
      </c>
      <c r="BD281" s="85" t="str">
        <f>'Consumer Hardware Pricing'!AL289</f>
        <v>-</v>
      </c>
      <c r="BE281" s="85" t="str">
        <f t="shared" si="870"/>
        <v>-</v>
      </c>
      <c r="BF281" s="85" t="str">
        <f>'Consumer Hardware Pricing'!AM289</f>
        <v>-</v>
      </c>
      <c r="BG281" s="85" t="str">
        <f t="shared" si="806"/>
        <v>-</v>
      </c>
      <c r="BH281" s="85" t="str">
        <f t="shared" si="807"/>
        <v>-</v>
      </c>
      <c r="BI281" s="85" t="str">
        <f t="shared" si="822"/>
        <v>-</v>
      </c>
      <c r="BJ281" s="85" t="str">
        <f>'Consumer Hardware Pricing'!AP289</f>
        <v>-</v>
      </c>
      <c r="BK281" s="85" t="str">
        <f t="shared" si="871"/>
        <v>-</v>
      </c>
      <c r="BL281" s="85" t="str">
        <f>'Consumer Hardware Pricing'!AQ289</f>
        <v>-</v>
      </c>
      <c r="BM281" s="85" t="str">
        <f t="shared" si="808"/>
        <v>-</v>
      </c>
      <c r="BN281" s="85" t="str">
        <f t="shared" si="809"/>
        <v>-</v>
      </c>
      <c r="BO281" s="85" t="str">
        <f t="shared" si="823"/>
        <v>-</v>
      </c>
      <c r="BP281" s="85" t="str">
        <f>'Consumer Hardware Pricing'!AT289</f>
        <v>-</v>
      </c>
      <c r="BQ281" s="85" t="str">
        <f t="shared" si="872"/>
        <v>-</v>
      </c>
      <c r="BR281" s="85" t="str">
        <f>'Consumer Hardware Pricing'!AU289</f>
        <v>-</v>
      </c>
      <c r="BS281" s="85" t="str">
        <f t="shared" si="810"/>
        <v>-</v>
      </c>
      <c r="BT281" s="85" t="str">
        <f t="shared" si="811"/>
        <v>-</v>
      </c>
      <c r="BU281" s="85" t="str">
        <f t="shared" si="824"/>
        <v>-</v>
      </c>
    </row>
    <row r="282" spans="1:73" ht="30.15" customHeight="1" x14ac:dyDescent="0.25">
      <c r="A282" s="87" t="s">
        <v>34</v>
      </c>
      <c r="B282" s="88" t="s">
        <v>471</v>
      </c>
      <c r="C282" s="88" t="s">
        <v>454</v>
      </c>
      <c r="D282" s="85">
        <f>'Consumer Hardware Pricing'!L290</f>
        <v>1930</v>
      </c>
      <c r="E282" s="85">
        <f>'Consumer Hardware Pricing'!M290</f>
        <v>1930</v>
      </c>
      <c r="F282" s="85">
        <f>'Consumer Hardware Pricing'!N290</f>
        <v>0</v>
      </c>
      <c r="G282" s="85">
        <f t="shared" si="862"/>
        <v>80.42</v>
      </c>
      <c r="H282" s="85">
        <f>'Consumer Hardware Pricing'!O290</f>
        <v>53.42</v>
      </c>
      <c r="I282" s="85">
        <f t="shared" si="800"/>
        <v>27</v>
      </c>
      <c r="J282" s="85">
        <f t="shared" si="812"/>
        <v>1282.08</v>
      </c>
      <c r="K282" s="85">
        <f t="shared" si="813"/>
        <v>648</v>
      </c>
      <c r="L282" s="85" t="str">
        <f>'Consumer Hardware Pricing'!Q290</f>
        <v>-</v>
      </c>
      <c r="M282" s="85" t="str">
        <f t="shared" si="863"/>
        <v>-</v>
      </c>
      <c r="N282" s="85" t="str">
        <f t="shared" si="801"/>
        <v>-</v>
      </c>
      <c r="O282" s="85" t="str">
        <f t="shared" si="802"/>
        <v>-</v>
      </c>
      <c r="P282" s="85" t="str">
        <f t="shared" si="814"/>
        <v>-</v>
      </c>
      <c r="Q282" s="85">
        <f>'Consumer Hardware Pricing'!S290</f>
        <v>0</v>
      </c>
      <c r="R282" s="85">
        <f t="shared" si="803"/>
        <v>80.42</v>
      </c>
      <c r="S282" s="85">
        <f>'Consumer Hardware Pricing'!T290</f>
        <v>53.42</v>
      </c>
      <c r="T282" s="129">
        <f t="shared" si="815"/>
        <v>27</v>
      </c>
      <c r="U282" s="129">
        <f t="shared" si="816"/>
        <v>1282.08</v>
      </c>
      <c r="V282" s="85">
        <f t="shared" si="817"/>
        <v>648</v>
      </c>
      <c r="W282" s="129" t="str">
        <f>'Consumer Hardware Pricing'!V290</f>
        <v>-</v>
      </c>
      <c r="X282" s="129" t="str">
        <f t="shared" si="864"/>
        <v>-</v>
      </c>
      <c r="Y282" s="129" t="str">
        <f t="shared" si="818"/>
        <v>-</v>
      </c>
      <c r="Z282" s="129" t="str">
        <f t="shared" si="819"/>
        <v>-</v>
      </c>
      <c r="AA282" s="85" t="str">
        <f t="shared" si="820"/>
        <v>-</v>
      </c>
      <c r="AB282" s="85">
        <f>'Consumer Hardware Pricing'!X290</f>
        <v>0</v>
      </c>
      <c r="AC282" s="85">
        <f t="shared" si="865"/>
        <v>80.42</v>
      </c>
      <c r="AD282" s="85">
        <f>'Consumer Hardware Pricing'!Y290</f>
        <v>53.42</v>
      </c>
      <c r="AE282" s="85">
        <f t="shared" si="788"/>
        <v>27</v>
      </c>
      <c r="AF282" s="85">
        <f t="shared" si="789"/>
        <v>1282.08</v>
      </c>
      <c r="AG282" s="85">
        <f t="shared" si="790"/>
        <v>648</v>
      </c>
      <c r="AH282" s="85" t="str">
        <f>'Consumer Hardware Pricing'!AA290</f>
        <v>-</v>
      </c>
      <c r="AI282" s="85" t="str">
        <f t="shared" si="866"/>
        <v>-</v>
      </c>
      <c r="AJ282" s="85" t="str">
        <f t="shared" si="791"/>
        <v>-</v>
      </c>
      <c r="AK282" s="85" t="str">
        <f t="shared" si="792"/>
        <v>-</v>
      </c>
      <c r="AL282" s="85" t="str">
        <f t="shared" si="793"/>
        <v>-</v>
      </c>
      <c r="AM282" s="85">
        <f>'Consumer Hardware Pricing'!AC290</f>
        <v>0</v>
      </c>
      <c r="AN282" s="85">
        <f t="shared" si="867"/>
        <v>80.42</v>
      </c>
      <c r="AO282" s="85">
        <f>'Consumer Hardware Pricing'!AD290</f>
        <v>53.42</v>
      </c>
      <c r="AP282" s="85">
        <f t="shared" si="794"/>
        <v>27</v>
      </c>
      <c r="AQ282" s="85">
        <f t="shared" si="795"/>
        <v>1282.08</v>
      </c>
      <c r="AR282" s="85">
        <f t="shared" si="796"/>
        <v>648</v>
      </c>
      <c r="AS282" s="85" t="str">
        <f>'Consumer Hardware Pricing'!AF290</f>
        <v>-</v>
      </c>
      <c r="AT282" s="85" t="str">
        <f t="shared" si="868"/>
        <v>-</v>
      </c>
      <c r="AU282" s="85" t="str">
        <f t="shared" si="797"/>
        <v>-</v>
      </c>
      <c r="AV282" s="85" t="str">
        <f t="shared" si="798"/>
        <v>-</v>
      </c>
      <c r="AW282" s="85" t="str">
        <f t="shared" si="799"/>
        <v>-</v>
      </c>
      <c r="AX282" s="85" t="str">
        <f>'Consumer Hardware Pricing'!AH290</f>
        <v>-</v>
      </c>
      <c r="AY282" s="85" t="str">
        <f t="shared" si="869"/>
        <v>-</v>
      </c>
      <c r="AZ282" s="85" t="str">
        <f>'Consumer Hardware Pricing'!AI290</f>
        <v>-</v>
      </c>
      <c r="BA282" s="85" t="str">
        <f t="shared" si="804"/>
        <v>-</v>
      </c>
      <c r="BB282" s="85" t="str">
        <f t="shared" si="805"/>
        <v>-</v>
      </c>
      <c r="BC282" s="85" t="str">
        <f t="shared" si="821"/>
        <v>-</v>
      </c>
      <c r="BD282" s="85" t="str">
        <f>'Consumer Hardware Pricing'!AL290</f>
        <v>-</v>
      </c>
      <c r="BE282" s="85" t="str">
        <f t="shared" si="870"/>
        <v>-</v>
      </c>
      <c r="BF282" s="85" t="str">
        <f>'Consumer Hardware Pricing'!AM290</f>
        <v>-</v>
      </c>
      <c r="BG282" s="85" t="str">
        <f t="shared" si="806"/>
        <v>-</v>
      </c>
      <c r="BH282" s="85" t="str">
        <f t="shared" si="807"/>
        <v>-</v>
      </c>
      <c r="BI282" s="85" t="str">
        <f t="shared" si="822"/>
        <v>-</v>
      </c>
      <c r="BJ282" s="85" t="str">
        <f>'Consumer Hardware Pricing'!AP290</f>
        <v>-</v>
      </c>
      <c r="BK282" s="85" t="str">
        <f t="shared" si="871"/>
        <v>-</v>
      </c>
      <c r="BL282" s="85" t="str">
        <f>'Consumer Hardware Pricing'!AQ290</f>
        <v>-</v>
      </c>
      <c r="BM282" s="85" t="str">
        <f t="shared" si="808"/>
        <v>-</v>
      </c>
      <c r="BN282" s="85" t="str">
        <f t="shared" si="809"/>
        <v>-</v>
      </c>
      <c r="BO282" s="85" t="str">
        <f t="shared" si="823"/>
        <v>-</v>
      </c>
      <c r="BP282" s="85" t="str">
        <f>'Consumer Hardware Pricing'!AT290</f>
        <v>-</v>
      </c>
      <c r="BQ282" s="85" t="str">
        <f t="shared" si="872"/>
        <v>-</v>
      </c>
      <c r="BR282" s="85" t="str">
        <f>'Consumer Hardware Pricing'!AU290</f>
        <v>-</v>
      </c>
      <c r="BS282" s="85" t="str">
        <f t="shared" si="810"/>
        <v>-</v>
      </c>
      <c r="BT282" s="85" t="str">
        <f t="shared" si="811"/>
        <v>-</v>
      </c>
      <c r="BU282" s="85" t="str">
        <f t="shared" si="824"/>
        <v>-</v>
      </c>
    </row>
    <row r="283" spans="1:73" ht="30.15" customHeight="1" x14ac:dyDescent="0.25">
      <c r="A283" s="87" t="s">
        <v>34</v>
      </c>
      <c r="B283" s="88" t="s">
        <v>472</v>
      </c>
      <c r="C283" s="88" t="s">
        <v>454</v>
      </c>
      <c r="D283" s="85">
        <f>'Consumer Hardware Pricing'!L291</f>
        <v>1930</v>
      </c>
      <c r="E283" s="85">
        <f>'Consumer Hardware Pricing'!M291</f>
        <v>1930</v>
      </c>
      <c r="F283" s="85">
        <f>'Consumer Hardware Pricing'!N291</f>
        <v>0</v>
      </c>
      <c r="G283" s="85">
        <f t="shared" si="862"/>
        <v>80.42</v>
      </c>
      <c r="H283" s="85">
        <f>'Consumer Hardware Pricing'!O291</f>
        <v>53.42</v>
      </c>
      <c r="I283" s="85">
        <f t="shared" si="800"/>
        <v>27</v>
      </c>
      <c r="J283" s="85">
        <f t="shared" si="812"/>
        <v>1282.08</v>
      </c>
      <c r="K283" s="85">
        <f t="shared" si="813"/>
        <v>648</v>
      </c>
      <c r="L283" s="85" t="str">
        <f>'Consumer Hardware Pricing'!Q291</f>
        <v>-</v>
      </c>
      <c r="M283" s="85" t="str">
        <f t="shared" si="863"/>
        <v>-</v>
      </c>
      <c r="N283" s="85" t="str">
        <f t="shared" si="801"/>
        <v>-</v>
      </c>
      <c r="O283" s="85" t="str">
        <f t="shared" si="802"/>
        <v>-</v>
      </c>
      <c r="P283" s="85" t="str">
        <f t="shared" si="814"/>
        <v>-</v>
      </c>
      <c r="Q283" s="85">
        <f>'Consumer Hardware Pricing'!S291</f>
        <v>0</v>
      </c>
      <c r="R283" s="85">
        <f t="shared" si="803"/>
        <v>80.42</v>
      </c>
      <c r="S283" s="85">
        <f>'Consumer Hardware Pricing'!T291</f>
        <v>53.42</v>
      </c>
      <c r="T283" s="129">
        <f t="shared" si="815"/>
        <v>27</v>
      </c>
      <c r="U283" s="129">
        <f t="shared" si="816"/>
        <v>1282.08</v>
      </c>
      <c r="V283" s="85">
        <f t="shared" si="817"/>
        <v>648</v>
      </c>
      <c r="W283" s="129" t="str">
        <f>'Consumer Hardware Pricing'!V291</f>
        <v>-</v>
      </c>
      <c r="X283" s="129" t="str">
        <f t="shared" si="864"/>
        <v>-</v>
      </c>
      <c r="Y283" s="129" t="str">
        <f t="shared" si="818"/>
        <v>-</v>
      </c>
      <c r="Z283" s="129" t="str">
        <f t="shared" si="819"/>
        <v>-</v>
      </c>
      <c r="AA283" s="85" t="str">
        <f t="shared" si="820"/>
        <v>-</v>
      </c>
      <c r="AB283" s="85">
        <f>'Consumer Hardware Pricing'!X291</f>
        <v>0</v>
      </c>
      <c r="AC283" s="85">
        <f t="shared" si="865"/>
        <v>80.42</v>
      </c>
      <c r="AD283" s="85">
        <f>'Consumer Hardware Pricing'!Y291</f>
        <v>53.42</v>
      </c>
      <c r="AE283" s="85">
        <f t="shared" si="788"/>
        <v>27</v>
      </c>
      <c r="AF283" s="85">
        <f t="shared" si="789"/>
        <v>1282.08</v>
      </c>
      <c r="AG283" s="85">
        <f t="shared" si="790"/>
        <v>648</v>
      </c>
      <c r="AH283" s="85" t="str">
        <f>'Consumer Hardware Pricing'!AA291</f>
        <v>-</v>
      </c>
      <c r="AI283" s="85" t="str">
        <f t="shared" si="866"/>
        <v>-</v>
      </c>
      <c r="AJ283" s="85" t="str">
        <f t="shared" si="791"/>
        <v>-</v>
      </c>
      <c r="AK283" s="85" t="str">
        <f t="shared" si="792"/>
        <v>-</v>
      </c>
      <c r="AL283" s="85" t="str">
        <f t="shared" si="793"/>
        <v>-</v>
      </c>
      <c r="AM283" s="85">
        <f>'Consumer Hardware Pricing'!AC291</f>
        <v>0</v>
      </c>
      <c r="AN283" s="85">
        <f t="shared" si="867"/>
        <v>80.42</v>
      </c>
      <c r="AO283" s="85">
        <f>'Consumer Hardware Pricing'!AD291</f>
        <v>53.42</v>
      </c>
      <c r="AP283" s="85">
        <f t="shared" si="794"/>
        <v>27</v>
      </c>
      <c r="AQ283" s="85">
        <f t="shared" si="795"/>
        <v>1282.08</v>
      </c>
      <c r="AR283" s="85">
        <f t="shared" si="796"/>
        <v>648</v>
      </c>
      <c r="AS283" s="85" t="str">
        <f>'Consumer Hardware Pricing'!AF291</f>
        <v>-</v>
      </c>
      <c r="AT283" s="85" t="str">
        <f t="shared" si="868"/>
        <v>-</v>
      </c>
      <c r="AU283" s="85" t="str">
        <f t="shared" si="797"/>
        <v>-</v>
      </c>
      <c r="AV283" s="85" t="str">
        <f t="shared" si="798"/>
        <v>-</v>
      </c>
      <c r="AW283" s="85" t="str">
        <f t="shared" si="799"/>
        <v>-</v>
      </c>
      <c r="AX283" s="85" t="str">
        <f>'Consumer Hardware Pricing'!AH291</f>
        <v>-</v>
      </c>
      <c r="AY283" s="85" t="str">
        <f t="shared" si="869"/>
        <v>-</v>
      </c>
      <c r="AZ283" s="85" t="str">
        <f>'Consumer Hardware Pricing'!AI291</f>
        <v>-</v>
      </c>
      <c r="BA283" s="85" t="str">
        <f t="shared" si="804"/>
        <v>-</v>
      </c>
      <c r="BB283" s="85" t="str">
        <f t="shared" si="805"/>
        <v>-</v>
      </c>
      <c r="BC283" s="85" t="str">
        <f t="shared" si="821"/>
        <v>-</v>
      </c>
      <c r="BD283" s="85" t="str">
        <f>'Consumer Hardware Pricing'!AL291</f>
        <v>-</v>
      </c>
      <c r="BE283" s="85" t="str">
        <f t="shared" si="870"/>
        <v>-</v>
      </c>
      <c r="BF283" s="85" t="str">
        <f>'Consumer Hardware Pricing'!AM291</f>
        <v>-</v>
      </c>
      <c r="BG283" s="85" t="str">
        <f t="shared" si="806"/>
        <v>-</v>
      </c>
      <c r="BH283" s="85" t="str">
        <f t="shared" si="807"/>
        <v>-</v>
      </c>
      <c r="BI283" s="85" t="str">
        <f t="shared" si="822"/>
        <v>-</v>
      </c>
      <c r="BJ283" s="85" t="str">
        <f>'Consumer Hardware Pricing'!AP291</f>
        <v>-</v>
      </c>
      <c r="BK283" s="85" t="str">
        <f t="shared" si="871"/>
        <v>-</v>
      </c>
      <c r="BL283" s="85" t="str">
        <f>'Consumer Hardware Pricing'!AQ291</f>
        <v>-</v>
      </c>
      <c r="BM283" s="85" t="str">
        <f t="shared" si="808"/>
        <v>-</v>
      </c>
      <c r="BN283" s="85" t="str">
        <f t="shared" si="809"/>
        <v>-</v>
      </c>
      <c r="BO283" s="85" t="str">
        <f t="shared" si="823"/>
        <v>-</v>
      </c>
      <c r="BP283" s="85" t="str">
        <f>'Consumer Hardware Pricing'!AT291</f>
        <v>-</v>
      </c>
      <c r="BQ283" s="85" t="str">
        <f t="shared" si="872"/>
        <v>-</v>
      </c>
      <c r="BR283" s="85" t="str">
        <f>'Consumer Hardware Pricing'!AU291</f>
        <v>-</v>
      </c>
      <c r="BS283" s="85" t="str">
        <f t="shared" si="810"/>
        <v>-</v>
      </c>
      <c r="BT283" s="85" t="str">
        <f t="shared" si="811"/>
        <v>-</v>
      </c>
      <c r="BU283" s="85" t="str">
        <f t="shared" si="824"/>
        <v>-</v>
      </c>
    </row>
    <row r="284" spans="1:73" ht="30.15" customHeight="1" x14ac:dyDescent="0.25">
      <c r="A284" s="87" t="s">
        <v>34</v>
      </c>
      <c r="B284" s="88" t="s">
        <v>701</v>
      </c>
      <c r="C284" s="88" t="s">
        <v>659</v>
      </c>
      <c r="D284" s="85">
        <f>'Consumer Hardware Pricing'!L292</f>
        <v>1555</v>
      </c>
      <c r="E284" s="85">
        <f>'Consumer Hardware Pricing'!M292</f>
        <v>1555</v>
      </c>
      <c r="F284" s="85">
        <f>'Consumer Hardware Pricing'!N292</f>
        <v>0</v>
      </c>
      <c r="G284" s="85">
        <f t="shared" si="862"/>
        <v>64.800000000000011</v>
      </c>
      <c r="H284" s="85">
        <f>'Consumer Hardware Pricing'!O292</f>
        <v>12.709999999999999</v>
      </c>
      <c r="I284" s="85">
        <f t="shared" si="800"/>
        <v>52.090000000000011</v>
      </c>
      <c r="J284" s="85">
        <f t="shared" si="812"/>
        <v>305.03999999999996</v>
      </c>
      <c r="K284" s="85">
        <f t="shared" si="813"/>
        <v>1250.1600000000003</v>
      </c>
      <c r="L284" s="85">
        <f>'Consumer Hardware Pricing'!Q292</f>
        <v>290</v>
      </c>
      <c r="M284" s="85">
        <f t="shared" si="863"/>
        <v>24.800000000000004</v>
      </c>
      <c r="N284" s="85">
        <f t="shared" si="801"/>
        <v>40.000000000000007</v>
      </c>
      <c r="O284" s="85">
        <f t="shared" si="802"/>
        <v>595.20000000000005</v>
      </c>
      <c r="P284" s="85">
        <f t="shared" si="814"/>
        <v>960.00000000000023</v>
      </c>
      <c r="Q284" s="85">
        <f>'Consumer Hardware Pricing'!S292</f>
        <v>0</v>
      </c>
      <c r="R284" s="85">
        <f t="shared" si="803"/>
        <v>64.800000000000011</v>
      </c>
      <c r="S284" s="85">
        <f>'Consumer Hardware Pricing'!T292</f>
        <v>12.709999999999999</v>
      </c>
      <c r="T284" s="129">
        <f t="shared" si="815"/>
        <v>52.090000000000011</v>
      </c>
      <c r="U284" s="129">
        <f t="shared" si="816"/>
        <v>305.03999999999996</v>
      </c>
      <c r="V284" s="85">
        <f t="shared" si="817"/>
        <v>1250.1600000000003</v>
      </c>
      <c r="W284" s="129">
        <f>'Consumer Hardware Pricing'!V292</f>
        <v>290</v>
      </c>
      <c r="X284" s="129">
        <f t="shared" si="864"/>
        <v>24.800000000000004</v>
      </c>
      <c r="Y284" s="129">
        <f t="shared" si="818"/>
        <v>40.000000000000007</v>
      </c>
      <c r="Z284" s="129">
        <f t="shared" si="819"/>
        <v>595.20000000000005</v>
      </c>
      <c r="AA284" s="85">
        <f t="shared" si="820"/>
        <v>960.00000000000023</v>
      </c>
      <c r="AB284" s="85">
        <f>'Consumer Hardware Pricing'!X292</f>
        <v>0</v>
      </c>
      <c r="AC284" s="85">
        <f t="shared" si="865"/>
        <v>64.800000000000011</v>
      </c>
      <c r="AD284" s="85">
        <f>'Consumer Hardware Pricing'!Y292</f>
        <v>14.709999999999999</v>
      </c>
      <c r="AE284" s="85">
        <f t="shared" si="788"/>
        <v>50.090000000000011</v>
      </c>
      <c r="AF284" s="85">
        <f t="shared" si="789"/>
        <v>353.03999999999996</v>
      </c>
      <c r="AG284" s="85">
        <f t="shared" si="790"/>
        <v>1202.1600000000003</v>
      </c>
      <c r="AH284" s="85">
        <f>'Consumer Hardware Pricing'!AA292</f>
        <v>290</v>
      </c>
      <c r="AI284" s="85">
        <f t="shared" si="866"/>
        <v>26.800000000000004</v>
      </c>
      <c r="AJ284" s="85">
        <f t="shared" si="791"/>
        <v>38.000000000000007</v>
      </c>
      <c r="AK284" s="85">
        <f t="shared" si="792"/>
        <v>643.20000000000005</v>
      </c>
      <c r="AL284" s="85">
        <f t="shared" si="793"/>
        <v>912.00000000000023</v>
      </c>
      <c r="AM284" s="85">
        <f>'Consumer Hardware Pricing'!AC292</f>
        <v>0</v>
      </c>
      <c r="AN284" s="85">
        <f t="shared" si="867"/>
        <v>64.800000000000011</v>
      </c>
      <c r="AO284" s="85">
        <f>'Consumer Hardware Pricing'!AD292</f>
        <v>14.709999999999999</v>
      </c>
      <c r="AP284" s="85">
        <f t="shared" si="794"/>
        <v>50.090000000000011</v>
      </c>
      <c r="AQ284" s="85">
        <f t="shared" si="795"/>
        <v>353.03999999999996</v>
      </c>
      <c r="AR284" s="85">
        <f t="shared" si="796"/>
        <v>1202.1600000000003</v>
      </c>
      <c r="AS284" s="85">
        <f>'Consumer Hardware Pricing'!AF292</f>
        <v>290</v>
      </c>
      <c r="AT284" s="85">
        <f t="shared" si="868"/>
        <v>26.800000000000004</v>
      </c>
      <c r="AU284" s="85">
        <f t="shared" si="797"/>
        <v>38.000000000000007</v>
      </c>
      <c r="AV284" s="85">
        <f t="shared" si="798"/>
        <v>643.20000000000005</v>
      </c>
      <c r="AW284" s="85">
        <f t="shared" si="799"/>
        <v>912.00000000000023</v>
      </c>
      <c r="AX284" s="85" t="str">
        <f>'Consumer Hardware Pricing'!AH292</f>
        <v>-</v>
      </c>
      <c r="AY284" s="85" t="str">
        <f t="shared" si="869"/>
        <v>-</v>
      </c>
      <c r="AZ284" s="85" t="str">
        <f>'Consumer Hardware Pricing'!AI292</f>
        <v>-</v>
      </c>
      <c r="BA284" s="85" t="str">
        <f t="shared" si="804"/>
        <v>-</v>
      </c>
      <c r="BB284" s="85" t="str">
        <f t="shared" si="805"/>
        <v>-</v>
      </c>
      <c r="BC284" s="85" t="str">
        <f t="shared" si="821"/>
        <v>-</v>
      </c>
      <c r="BD284" s="85" t="str">
        <f>'Consumer Hardware Pricing'!AL292</f>
        <v>-</v>
      </c>
      <c r="BE284" s="85" t="str">
        <f t="shared" si="870"/>
        <v>-</v>
      </c>
      <c r="BF284" s="85" t="str">
        <f>'Consumer Hardware Pricing'!AM292</f>
        <v>-</v>
      </c>
      <c r="BG284" s="85" t="str">
        <f t="shared" si="806"/>
        <v>-</v>
      </c>
      <c r="BH284" s="85" t="str">
        <f t="shared" si="807"/>
        <v>-</v>
      </c>
      <c r="BI284" s="85" t="str">
        <f t="shared" si="822"/>
        <v>-</v>
      </c>
      <c r="BJ284" s="85" t="str">
        <f>'Consumer Hardware Pricing'!AP292</f>
        <v>-</v>
      </c>
      <c r="BK284" s="85" t="str">
        <f t="shared" si="871"/>
        <v>-</v>
      </c>
      <c r="BL284" s="85" t="str">
        <f>'Consumer Hardware Pricing'!AQ292</f>
        <v>-</v>
      </c>
      <c r="BM284" s="85" t="str">
        <f t="shared" si="808"/>
        <v>-</v>
      </c>
      <c r="BN284" s="85" t="str">
        <f t="shared" si="809"/>
        <v>-</v>
      </c>
      <c r="BO284" s="85" t="str">
        <f t="shared" si="823"/>
        <v>-</v>
      </c>
      <c r="BP284" s="85" t="str">
        <f>'Consumer Hardware Pricing'!AT292</f>
        <v>-</v>
      </c>
      <c r="BQ284" s="85" t="str">
        <f t="shared" si="872"/>
        <v>-</v>
      </c>
      <c r="BR284" s="85" t="str">
        <f>'Consumer Hardware Pricing'!AU292</f>
        <v>-</v>
      </c>
      <c r="BS284" s="85" t="str">
        <f t="shared" si="810"/>
        <v>-</v>
      </c>
      <c r="BT284" s="85" t="str">
        <f t="shared" si="811"/>
        <v>-</v>
      </c>
      <c r="BU284" s="85" t="str">
        <f t="shared" si="824"/>
        <v>-</v>
      </c>
    </row>
    <row r="285" spans="1:73" ht="30.15" customHeight="1" x14ac:dyDescent="0.25">
      <c r="A285" s="87" t="s">
        <v>34</v>
      </c>
      <c r="B285" s="88" t="s">
        <v>702</v>
      </c>
      <c r="C285" s="88" t="s">
        <v>659</v>
      </c>
      <c r="D285" s="85">
        <f>'Consumer Hardware Pricing'!L293</f>
        <v>1555</v>
      </c>
      <c r="E285" s="85">
        <f>'Consumer Hardware Pricing'!M293</f>
        <v>1555</v>
      </c>
      <c r="F285" s="85">
        <f>'Consumer Hardware Pricing'!N293</f>
        <v>0</v>
      </c>
      <c r="G285" s="85">
        <f t="shared" si="862"/>
        <v>64.800000000000011</v>
      </c>
      <c r="H285" s="85">
        <f>'Consumer Hardware Pricing'!O293</f>
        <v>12.709999999999999</v>
      </c>
      <c r="I285" s="85">
        <f t="shared" si="800"/>
        <v>52.090000000000011</v>
      </c>
      <c r="J285" s="85">
        <f t="shared" si="812"/>
        <v>305.03999999999996</v>
      </c>
      <c r="K285" s="85">
        <f t="shared" si="813"/>
        <v>1250.1600000000003</v>
      </c>
      <c r="L285" s="85">
        <f>'Consumer Hardware Pricing'!Q293</f>
        <v>290</v>
      </c>
      <c r="M285" s="85">
        <f t="shared" si="863"/>
        <v>24.800000000000004</v>
      </c>
      <c r="N285" s="85">
        <f t="shared" si="801"/>
        <v>40.000000000000007</v>
      </c>
      <c r="O285" s="85">
        <f t="shared" si="802"/>
        <v>595.20000000000005</v>
      </c>
      <c r="P285" s="85">
        <f t="shared" si="814"/>
        <v>960.00000000000023</v>
      </c>
      <c r="Q285" s="85">
        <f>'Consumer Hardware Pricing'!S293</f>
        <v>0</v>
      </c>
      <c r="R285" s="85">
        <f t="shared" si="803"/>
        <v>64.800000000000011</v>
      </c>
      <c r="S285" s="85">
        <f>'Consumer Hardware Pricing'!T293</f>
        <v>12.709999999999999</v>
      </c>
      <c r="T285" s="129">
        <f t="shared" si="815"/>
        <v>52.090000000000011</v>
      </c>
      <c r="U285" s="129">
        <f t="shared" si="816"/>
        <v>305.03999999999996</v>
      </c>
      <c r="V285" s="85">
        <f t="shared" si="817"/>
        <v>1250.1600000000003</v>
      </c>
      <c r="W285" s="129">
        <f>'Consumer Hardware Pricing'!V293</f>
        <v>290</v>
      </c>
      <c r="X285" s="129">
        <f t="shared" si="864"/>
        <v>24.800000000000004</v>
      </c>
      <c r="Y285" s="129">
        <f t="shared" si="818"/>
        <v>40.000000000000007</v>
      </c>
      <c r="Z285" s="129">
        <f t="shared" si="819"/>
        <v>595.20000000000005</v>
      </c>
      <c r="AA285" s="85">
        <f t="shared" si="820"/>
        <v>960.00000000000023</v>
      </c>
      <c r="AB285" s="85">
        <f>'Consumer Hardware Pricing'!X293</f>
        <v>0</v>
      </c>
      <c r="AC285" s="85">
        <f t="shared" si="865"/>
        <v>64.800000000000011</v>
      </c>
      <c r="AD285" s="85">
        <f>'Consumer Hardware Pricing'!Y293</f>
        <v>14.709999999999999</v>
      </c>
      <c r="AE285" s="85">
        <f t="shared" si="788"/>
        <v>50.090000000000011</v>
      </c>
      <c r="AF285" s="85">
        <f t="shared" si="789"/>
        <v>353.03999999999996</v>
      </c>
      <c r="AG285" s="85">
        <f t="shared" si="790"/>
        <v>1202.1600000000003</v>
      </c>
      <c r="AH285" s="85">
        <f>'Consumer Hardware Pricing'!AA293</f>
        <v>290</v>
      </c>
      <c r="AI285" s="85">
        <f t="shared" si="866"/>
        <v>26.800000000000004</v>
      </c>
      <c r="AJ285" s="85">
        <f t="shared" si="791"/>
        <v>38.000000000000007</v>
      </c>
      <c r="AK285" s="85">
        <f t="shared" si="792"/>
        <v>643.20000000000005</v>
      </c>
      <c r="AL285" s="85">
        <f t="shared" si="793"/>
        <v>912.00000000000023</v>
      </c>
      <c r="AM285" s="85">
        <f>'Consumer Hardware Pricing'!AC293</f>
        <v>0</v>
      </c>
      <c r="AN285" s="85">
        <f t="shared" si="867"/>
        <v>64.800000000000011</v>
      </c>
      <c r="AO285" s="85">
        <f>'Consumer Hardware Pricing'!AD293</f>
        <v>14.709999999999999</v>
      </c>
      <c r="AP285" s="85">
        <f t="shared" si="794"/>
        <v>50.090000000000011</v>
      </c>
      <c r="AQ285" s="85">
        <f t="shared" si="795"/>
        <v>353.03999999999996</v>
      </c>
      <c r="AR285" s="85">
        <f t="shared" si="796"/>
        <v>1202.1600000000003</v>
      </c>
      <c r="AS285" s="85">
        <f>'Consumer Hardware Pricing'!AF293</f>
        <v>290</v>
      </c>
      <c r="AT285" s="85">
        <f t="shared" si="868"/>
        <v>26.800000000000004</v>
      </c>
      <c r="AU285" s="85">
        <f t="shared" si="797"/>
        <v>38.000000000000007</v>
      </c>
      <c r="AV285" s="85">
        <f t="shared" si="798"/>
        <v>643.20000000000005</v>
      </c>
      <c r="AW285" s="85">
        <f t="shared" si="799"/>
        <v>912.00000000000023</v>
      </c>
      <c r="AX285" s="85" t="str">
        <f>'Consumer Hardware Pricing'!AH293</f>
        <v>-</v>
      </c>
      <c r="AY285" s="85" t="str">
        <f t="shared" si="869"/>
        <v>-</v>
      </c>
      <c r="AZ285" s="85" t="str">
        <f>'Consumer Hardware Pricing'!AI293</f>
        <v>-</v>
      </c>
      <c r="BA285" s="85" t="str">
        <f t="shared" si="804"/>
        <v>-</v>
      </c>
      <c r="BB285" s="85" t="str">
        <f t="shared" si="805"/>
        <v>-</v>
      </c>
      <c r="BC285" s="85" t="str">
        <f t="shared" si="821"/>
        <v>-</v>
      </c>
      <c r="BD285" s="85" t="str">
        <f>'Consumer Hardware Pricing'!AL293</f>
        <v>-</v>
      </c>
      <c r="BE285" s="85" t="str">
        <f t="shared" si="870"/>
        <v>-</v>
      </c>
      <c r="BF285" s="85" t="str">
        <f>'Consumer Hardware Pricing'!AM293</f>
        <v>-</v>
      </c>
      <c r="BG285" s="85" t="str">
        <f t="shared" si="806"/>
        <v>-</v>
      </c>
      <c r="BH285" s="85" t="str">
        <f t="shared" si="807"/>
        <v>-</v>
      </c>
      <c r="BI285" s="85" t="str">
        <f t="shared" si="822"/>
        <v>-</v>
      </c>
      <c r="BJ285" s="85" t="str">
        <f>'Consumer Hardware Pricing'!AP293</f>
        <v>-</v>
      </c>
      <c r="BK285" s="85" t="str">
        <f t="shared" si="871"/>
        <v>-</v>
      </c>
      <c r="BL285" s="85" t="str">
        <f>'Consumer Hardware Pricing'!AQ293</f>
        <v>-</v>
      </c>
      <c r="BM285" s="85" t="str">
        <f t="shared" si="808"/>
        <v>-</v>
      </c>
      <c r="BN285" s="85" t="str">
        <f t="shared" si="809"/>
        <v>-</v>
      </c>
      <c r="BO285" s="85" t="str">
        <f t="shared" si="823"/>
        <v>-</v>
      </c>
      <c r="BP285" s="85" t="str">
        <f>'Consumer Hardware Pricing'!AT293</f>
        <v>-</v>
      </c>
      <c r="BQ285" s="85" t="str">
        <f t="shared" si="872"/>
        <v>-</v>
      </c>
      <c r="BR285" s="85" t="str">
        <f>'Consumer Hardware Pricing'!AU293</f>
        <v>-</v>
      </c>
      <c r="BS285" s="85" t="str">
        <f t="shared" si="810"/>
        <v>-</v>
      </c>
      <c r="BT285" s="85" t="str">
        <f t="shared" si="811"/>
        <v>-</v>
      </c>
      <c r="BU285" s="85" t="str">
        <f t="shared" si="824"/>
        <v>-</v>
      </c>
    </row>
    <row r="286" spans="1:73" ht="30.15" customHeight="1" x14ac:dyDescent="0.25">
      <c r="A286" s="87" t="s">
        <v>34</v>
      </c>
      <c r="B286" s="88" t="s">
        <v>703</v>
      </c>
      <c r="C286" s="88" t="s">
        <v>659</v>
      </c>
      <c r="D286" s="85">
        <f>'Consumer Hardware Pricing'!L294</f>
        <v>1555</v>
      </c>
      <c r="E286" s="85">
        <f>'Consumer Hardware Pricing'!M294</f>
        <v>1555</v>
      </c>
      <c r="F286" s="85">
        <f>'Consumer Hardware Pricing'!N294</f>
        <v>0</v>
      </c>
      <c r="G286" s="85">
        <f t="shared" si="862"/>
        <v>64.800000000000011</v>
      </c>
      <c r="H286" s="85">
        <f>'Consumer Hardware Pricing'!O294</f>
        <v>12.709999999999999</v>
      </c>
      <c r="I286" s="85">
        <f t="shared" si="800"/>
        <v>52.090000000000011</v>
      </c>
      <c r="J286" s="85">
        <f t="shared" si="812"/>
        <v>305.03999999999996</v>
      </c>
      <c r="K286" s="85">
        <f t="shared" si="813"/>
        <v>1250.1600000000003</v>
      </c>
      <c r="L286" s="85">
        <f>'Consumer Hardware Pricing'!Q294</f>
        <v>290</v>
      </c>
      <c r="M286" s="85">
        <f t="shared" si="863"/>
        <v>24.800000000000004</v>
      </c>
      <c r="N286" s="85">
        <f t="shared" si="801"/>
        <v>40.000000000000007</v>
      </c>
      <c r="O286" s="85">
        <f t="shared" si="802"/>
        <v>595.20000000000005</v>
      </c>
      <c r="P286" s="85">
        <f t="shared" si="814"/>
        <v>960.00000000000023</v>
      </c>
      <c r="Q286" s="85">
        <f>'Consumer Hardware Pricing'!S294</f>
        <v>0</v>
      </c>
      <c r="R286" s="85">
        <f t="shared" si="803"/>
        <v>64.800000000000011</v>
      </c>
      <c r="S286" s="85">
        <f>'Consumer Hardware Pricing'!T294</f>
        <v>12.709999999999999</v>
      </c>
      <c r="T286" s="129">
        <f t="shared" si="815"/>
        <v>52.090000000000011</v>
      </c>
      <c r="U286" s="129">
        <f t="shared" si="816"/>
        <v>305.03999999999996</v>
      </c>
      <c r="V286" s="85">
        <f t="shared" si="817"/>
        <v>1250.1600000000003</v>
      </c>
      <c r="W286" s="129">
        <f>'Consumer Hardware Pricing'!V294</f>
        <v>290</v>
      </c>
      <c r="X286" s="129">
        <f t="shared" si="864"/>
        <v>24.800000000000004</v>
      </c>
      <c r="Y286" s="129">
        <f t="shared" si="818"/>
        <v>40.000000000000007</v>
      </c>
      <c r="Z286" s="129">
        <f t="shared" si="819"/>
        <v>595.20000000000005</v>
      </c>
      <c r="AA286" s="85">
        <f t="shared" si="820"/>
        <v>960.00000000000023</v>
      </c>
      <c r="AB286" s="85">
        <f>'Consumer Hardware Pricing'!X294</f>
        <v>0</v>
      </c>
      <c r="AC286" s="85">
        <f t="shared" si="865"/>
        <v>64.800000000000011</v>
      </c>
      <c r="AD286" s="85">
        <f>'Consumer Hardware Pricing'!Y294</f>
        <v>14.709999999999999</v>
      </c>
      <c r="AE286" s="85">
        <f t="shared" si="788"/>
        <v>50.090000000000011</v>
      </c>
      <c r="AF286" s="85">
        <f t="shared" si="789"/>
        <v>353.03999999999996</v>
      </c>
      <c r="AG286" s="85">
        <f t="shared" si="790"/>
        <v>1202.1600000000003</v>
      </c>
      <c r="AH286" s="85">
        <f>'Consumer Hardware Pricing'!AA294</f>
        <v>290</v>
      </c>
      <c r="AI286" s="85">
        <f t="shared" si="866"/>
        <v>26.800000000000004</v>
      </c>
      <c r="AJ286" s="85">
        <f t="shared" si="791"/>
        <v>38.000000000000007</v>
      </c>
      <c r="AK286" s="85">
        <f t="shared" si="792"/>
        <v>643.20000000000005</v>
      </c>
      <c r="AL286" s="85">
        <f t="shared" si="793"/>
        <v>912.00000000000023</v>
      </c>
      <c r="AM286" s="85">
        <f>'Consumer Hardware Pricing'!AC294</f>
        <v>0</v>
      </c>
      <c r="AN286" s="85">
        <f t="shared" si="867"/>
        <v>64.800000000000011</v>
      </c>
      <c r="AO286" s="85">
        <f>'Consumer Hardware Pricing'!AD294</f>
        <v>14.709999999999999</v>
      </c>
      <c r="AP286" s="85">
        <f t="shared" si="794"/>
        <v>50.090000000000011</v>
      </c>
      <c r="AQ286" s="85">
        <f t="shared" si="795"/>
        <v>353.03999999999996</v>
      </c>
      <c r="AR286" s="85">
        <f t="shared" si="796"/>
        <v>1202.1600000000003</v>
      </c>
      <c r="AS286" s="85">
        <f>'Consumer Hardware Pricing'!AF294</f>
        <v>290</v>
      </c>
      <c r="AT286" s="85">
        <f t="shared" si="868"/>
        <v>26.800000000000004</v>
      </c>
      <c r="AU286" s="85">
        <f t="shared" si="797"/>
        <v>38.000000000000007</v>
      </c>
      <c r="AV286" s="85">
        <f t="shared" si="798"/>
        <v>643.20000000000005</v>
      </c>
      <c r="AW286" s="85">
        <f t="shared" si="799"/>
        <v>912.00000000000023</v>
      </c>
      <c r="AX286" s="85" t="str">
        <f>'Consumer Hardware Pricing'!AH294</f>
        <v>-</v>
      </c>
      <c r="AY286" s="85" t="str">
        <f t="shared" si="869"/>
        <v>-</v>
      </c>
      <c r="AZ286" s="85" t="str">
        <f>'Consumer Hardware Pricing'!AI294</f>
        <v>-</v>
      </c>
      <c r="BA286" s="85" t="str">
        <f t="shared" si="804"/>
        <v>-</v>
      </c>
      <c r="BB286" s="85" t="str">
        <f t="shared" si="805"/>
        <v>-</v>
      </c>
      <c r="BC286" s="85" t="str">
        <f t="shared" si="821"/>
        <v>-</v>
      </c>
      <c r="BD286" s="85" t="str">
        <f>'Consumer Hardware Pricing'!AL294</f>
        <v>-</v>
      </c>
      <c r="BE286" s="85" t="str">
        <f t="shared" si="870"/>
        <v>-</v>
      </c>
      <c r="BF286" s="85" t="str">
        <f>'Consumer Hardware Pricing'!AM294</f>
        <v>-</v>
      </c>
      <c r="BG286" s="85" t="str">
        <f t="shared" si="806"/>
        <v>-</v>
      </c>
      <c r="BH286" s="85" t="str">
        <f t="shared" si="807"/>
        <v>-</v>
      </c>
      <c r="BI286" s="85" t="str">
        <f t="shared" si="822"/>
        <v>-</v>
      </c>
      <c r="BJ286" s="85" t="str">
        <f>'Consumer Hardware Pricing'!AP294</f>
        <v>-</v>
      </c>
      <c r="BK286" s="85" t="str">
        <f t="shared" si="871"/>
        <v>-</v>
      </c>
      <c r="BL286" s="85" t="str">
        <f>'Consumer Hardware Pricing'!AQ294</f>
        <v>-</v>
      </c>
      <c r="BM286" s="85" t="str">
        <f t="shared" si="808"/>
        <v>-</v>
      </c>
      <c r="BN286" s="85" t="str">
        <f t="shared" si="809"/>
        <v>-</v>
      </c>
      <c r="BO286" s="85" t="str">
        <f t="shared" si="823"/>
        <v>-</v>
      </c>
      <c r="BP286" s="85" t="str">
        <f>'Consumer Hardware Pricing'!AT294</f>
        <v>-</v>
      </c>
      <c r="BQ286" s="85" t="str">
        <f t="shared" si="872"/>
        <v>-</v>
      </c>
      <c r="BR286" s="85" t="str">
        <f>'Consumer Hardware Pricing'!AU294</f>
        <v>-</v>
      </c>
      <c r="BS286" s="85" t="str">
        <f t="shared" si="810"/>
        <v>-</v>
      </c>
      <c r="BT286" s="85" t="str">
        <f t="shared" si="811"/>
        <v>-</v>
      </c>
      <c r="BU286" s="85" t="str">
        <f t="shared" si="824"/>
        <v>-</v>
      </c>
    </row>
    <row r="287" spans="1:73" ht="30.15" customHeight="1" x14ac:dyDescent="0.25">
      <c r="A287" s="87" t="s">
        <v>34</v>
      </c>
      <c r="B287" s="88" t="s">
        <v>704</v>
      </c>
      <c r="C287" s="88" t="s">
        <v>659</v>
      </c>
      <c r="D287" s="85">
        <f>'Consumer Hardware Pricing'!L295</f>
        <v>1555</v>
      </c>
      <c r="E287" s="85">
        <f>'Consumer Hardware Pricing'!M295</f>
        <v>1555</v>
      </c>
      <c r="F287" s="85">
        <f>'Consumer Hardware Pricing'!N295</f>
        <v>0</v>
      </c>
      <c r="G287" s="85">
        <f t="shared" si="862"/>
        <v>64.800000000000011</v>
      </c>
      <c r="H287" s="85">
        <f>'Consumer Hardware Pricing'!O295</f>
        <v>12.709999999999999</v>
      </c>
      <c r="I287" s="85">
        <f t="shared" si="800"/>
        <v>52.090000000000011</v>
      </c>
      <c r="J287" s="85">
        <f t="shared" si="812"/>
        <v>305.03999999999996</v>
      </c>
      <c r="K287" s="85">
        <f t="shared" si="813"/>
        <v>1250.1600000000003</v>
      </c>
      <c r="L287" s="85">
        <f>'Consumer Hardware Pricing'!Q295</f>
        <v>290</v>
      </c>
      <c r="M287" s="85">
        <f t="shared" si="863"/>
        <v>24.800000000000004</v>
      </c>
      <c r="N287" s="85">
        <f t="shared" si="801"/>
        <v>40.000000000000007</v>
      </c>
      <c r="O287" s="85">
        <f t="shared" si="802"/>
        <v>595.20000000000005</v>
      </c>
      <c r="P287" s="85">
        <f t="shared" si="814"/>
        <v>960.00000000000023</v>
      </c>
      <c r="Q287" s="85">
        <f>'Consumer Hardware Pricing'!S295</f>
        <v>0</v>
      </c>
      <c r="R287" s="85">
        <f t="shared" si="803"/>
        <v>64.800000000000011</v>
      </c>
      <c r="S287" s="85">
        <f>'Consumer Hardware Pricing'!T295</f>
        <v>12.709999999999999</v>
      </c>
      <c r="T287" s="129">
        <f t="shared" si="815"/>
        <v>52.090000000000011</v>
      </c>
      <c r="U287" s="129">
        <f t="shared" si="816"/>
        <v>305.03999999999996</v>
      </c>
      <c r="V287" s="85">
        <f t="shared" si="817"/>
        <v>1250.1600000000003</v>
      </c>
      <c r="W287" s="129">
        <f>'Consumer Hardware Pricing'!V295</f>
        <v>290</v>
      </c>
      <c r="X287" s="129">
        <f t="shared" si="864"/>
        <v>24.800000000000004</v>
      </c>
      <c r="Y287" s="129">
        <f t="shared" si="818"/>
        <v>40.000000000000007</v>
      </c>
      <c r="Z287" s="129">
        <f t="shared" si="819"/>
        <v>595.20000000000005</v>
      </c>
      <c r="AA287" s="85">
        <f t="shared" si="820"/>
        <v>960.00000000000023</v>
      </c>
      <c r="AB287" s="85">
        <f>'Consumer Hardware Pricing'!X295</f>
        <v>0</v>
      </c>
      <c r="AC287" s="85">
        <f t="shared" si="865"/>
        <v>64.800000000000011</v>
      </c>
      <c r="AD287" s="85">
        <f>'Consumer Hardware Pricing'!Y295</f>
        <v>14.709999999999999</v>
      </c>
      <c r="AE287" s="85">
        <f t="shared" si="788"/>
        <v>50.090000000000011</v>
      </c>
      <c r="AF287" s="85">
        <f t="shared" si="789"/>
        <v>353.03999999999996</v>
      </c>
      <c r="AG287" s="85">
        <f t="shared" si="790"/>
        <v>1202.1600000000003</v>
      </c>
      <c r="AH287" s="85">
        <f>'Consumer Hardware Pricing'!AA295</f>
        <v>290</v>
      </c>
      <c r="AI287" s="85">
        <f t="shared" si="866"/>
        <v>26.800000000000004</v>
      </c>
      <c r="AJ287" s="85">
        <f t="shared" si="791"/>
        <v>38.000000000000007</v>
      </c>
      <c r="AK287" s="85">
        <f t="shared" si="792"/>
        <v>643.20000000000005</v>
      </c>
      <c r="AL287" s="85">
        <f t="shared" si="793"/>
        <v>912.00000000000023</v>
      </c>
      <c r="AM287" s="85">
        <f>'Consumer Hardware Pricing'!AC295</f>
        <v>0</v>
      </c>
      <c r="AN287" s="85">
        <f t="shared" si="867"/>
        <v>64.800000000000011</v>
      </c>
      <c r="AO287" s="85">
        <f>'Consumer Hardware Pricing'!AD295</f>
        <v>14.709999999999999</v>
      </c>
      <c r="AP287" s="85">
        <f t="shared" si="794"/>
        <v>50.090000000000011</v>
      </c>
      <c r="AQ287" s="85">
        <f t="shared" si="795"/>
        <v>353.03999999999996</v>
      </c>
      <c r="AR287" s="85">
        <f t="shared" si="796"/>
        <v>1202.1600000000003</v>
      </c>
      <c r="AS287" s="85">
        <f>'Consumer Hardware Pricing'!AF295</f>
        <v>290</v>
      </c>
      <c r="AT287" s="85">
        <f t="shared" si="868"/>
        <v>26.800000000000004</v>
      </c>
      <c r="AU287" s="85">
        <f t="shared" si="797"/>
        <v>38.000000000000007</v>
      </c>
      <c r="AV287" s="85">
        <f t="shared" si="798"/>
        <v>643.20000000000005</v>
      </c>
      <c r="AW287" s="85">
        <f t="shared" si="799"/>
        <v>912.00000000000023</v>
      </c>
      <c r="AX287" s="85" t="str">
        <f>'Consumer Hardware Pricing'!AH295</f>
        <v>-</v>
      </c>
      <c r="AY287" s="85" t="str">
        <f t="shared" si="869"/>
        <v>-</v>
      </c>
      <c r="AZ287" s="85" t="str">
        <f>'Consumer Hardware Pricing'!AI295</f>
        <v>-</v>
      </c>
      <c r="BA287" s="85" t="str">
        <f t="shared" si="804"/>
        <v>-</v>
      </c>
      <c r="BB287" s="85" t="str">
        <f t="shared" si="805"/>
        <v>-</v>
      </c>
      <c r="BC287" s="85" t="str">
        <f t="shared" si="821"/>
        <v>-</v>
      </c>
      <c r="BD287" s="85" t="str">
        <f>'Consumer Hardware Pricing'!AL295</f>
        <v>-</v>
      </c>
      <c r="BE287" s="85" t="str">
        <f t="shared" si="870"/>
        <v>-</v>
      </c>
      <c r="BF287" s="85" t="str">
        <f>'Consumer Hardware Pricing'!AM295</f>
        <v>-</v>
      </c>
      <c r="BG287" s="85" t="str">
        <f t="shared" si="806"/>
        <v>-</v>
      </c>
      <c r="BH287" s="85" t="str">
        <f t="shared" si="807"/>
        <v>-</v>
      </c>
      <c r="BI287" s="85" t="str">
        <f t="shared" si="822"/>
        <v>-</v>
      </c>
      <c r="BJ287" s="85" t="str">
        <f>'Consumer Hardware Pricing'!AP295</f>
        <v>-</v>
      </c>
      <c r="BK287" s="85" t="str">
        <f t="shared" si="871"/>
        <v>-</v>
      </c>
      <c r="BL287" s="85" t="str">
        <f>'Consumer Hardware Pricing'!AQ295</f>
        <v>-</v>
      </c>
      <c r="BM287" s="85" t="str">
        <f t="shared" si="808"/>
        <v>-</v>
      </c>
      <c r="BN287" s="85" t="str">
        <f t="shared" si="809"/>
        <v>-</v>
      </c>
      <c r="BO287" s="85" t="str">
        <f t="shared" si="823"/>
        <v>-</v>
      </c>
      <c r="BP287" s="85" t="str">
        <f>'Consumer Hardware Pricing'!AT295</f>
        <v>-</v>
      </c>
      <c r="BQ287" s="85" t="str">
        <f t="shared" si="872"/>
        <v>-</v>
      </c>
      <c r="BR287" s="85" t="str">
        <f>'Consumer Hardware Pricing'!AU295</f>
        <v>-</v>
      </c>
      <c r="BS287" s="85" t="str">
        <f t="shared" si="810"/>
        <v>-</v>
      </c>
      <c r="BT287" s="85" t="str">
        <f t="shared" si="811"/>
        <v>-</v>
      </c>
      <c r="BU287" s="85" t="str">
        <f t="shared" si="824"/>
        <v>-</v>
      </c>
    </row>
    <row r="288" spans="1:73" ht="30.15" customHeight="1" x14ac:dyDescent="0.25">
      <c r="A288" s="87" t="s">
        <v>34</v>
      </c>
      <c r="B288" s="88" t="s">
        <v>697</v>
      </c>
      <c r="C288" s="88" t="s">
        <v>660</v>
      </c>
      <c r="D288" s="85">
        <f>'Consumer Hardware Pricing'!L296</f>
        <v>1775</v>
      </c>
      <c r="E288" s="85">
        <f>'Consumer Hardware Pricing'!M296</f>
        <v>1775</v>
      </c>
      <c r="F288" s="85">
        <f>'Consumer Hardware Pricing'!N296</f>
        <v>0</v>
      </c>
      <c r="G288" s="85">
        <f t="shared" si="862"/>
        <v>73.960000000000008</v>
      </c>
      <c r="H288" s="85">
        <f>'Consumer Hardware Pricing'!O296</f>
        <v>12.709999999999999</v>
      </c>
      <c r="I288" s="85">
        <f t="shared" si="800"/>
        <v>61.250000000000007</v>
      </c>
      <c r="J288" s="85">
        <f t="shared" si="812"/>
        <v>305.03999999999996</v>
      </c>
      <c r="K288" s="85">
        <f t="shared" si="813"/>
        <v>1470.0000000000002</v>
      </c>
      <c r="L288" s="85">
        <f>'Consumer Hardware Pricing'!Q296</f>
        <v>330</v>
      </c>
      <c r="M288" s="85">
        <f t="shared" si="863"/>
        <v>26.46</v>
      </c>
      <c r="N288" s="85">
        <f t="shared" si="801"/>
        <v>47.500000000000007</v>
      </c>
      <c r="O288" s="85">
        <f t="shared" si="802"/>
        <v>635.04</v>
      </c>
      <c r="P288" s="85">
        <f t="shared" si="814"/>
        <v>1140.0000000000002</v>
      </c>
      <c r="Q288" s="85">
        <f>'Consumer Hardware Pricing'!S296</f>
        <v>0</v>
      </c>
      <c r="R288" s="85">
        <f t="shared" si="803"/>
        <v>73.960000000000008</v>
      </c>
      <c r="S288" s="85">
        <f>'Consumer Hardware Pricing'!T296</f>
        <v>12.709999999999999</v>
      </c>
      <c r="T288" s="129">
        <f t="shared" si="815"/>
        <v>61.250000000000007</v>
      </c>
      <c r="U288" s="129">
        <f t="shared" si="816"/>
        <v>305.03999999999996</v>
      </c>
      <c r="V288" s="85">
        <f t="shared" si="817"/>
        <v>1470.0000000000002</v>
      </c>
      <c r="W288" s="129">
        <f>'Consumer Hardware Pricing'!V296</f>
        <v>330</v>
      </c>
      <c r="X288" s="129">
        <f t="shared" si="864"/>
        <v>26.46</v>
      </c>
      <c r="Y288" s="129">
        <f t="shared" si="818"/>
        <v>47.500000000000007</v>
      </c>
      <c r="Z288" s="129">
        <f t="shared" si="819"/>
        <v>635.04</v>
      </c>
      <c r="AA288" s="85">
        <f t="shared" si="820"/>
        <v>1140.0000000000002</v>
      </c>
      <c r="AB288" s="85">
        <f>'Consumer Hardware Pricing'!X296</f>
        <v>0</v>
      </c>
      <c r="AC288" s="85">
        <f t="shared" si="865"/>
        <v>73.960000000000008</v>
      </c>
      <c r="AD288" s="85">
        <f>'Consumer Hardware Pricing'!Y296</f>
        <v>14.709999999999999</v>
      </c>
      <c r="AE288" s="85">
        <f t="shared" si="788"/>
        <v>59.250000000000007</v>
      </c>
      <c r="AF288" s="85">
        <f t="shared" si="789"/>
        <v>353.03999999999996</v>
      </c>
      <c r="AG288" s="85">
        <f t="shared" si="790"/>
        <v>1422.0000000000002</v>
      </c>
      <c r="AH288" s="85">
        <f>'Consumer Hardware Pricing'!AA296</f>
        <v>330</v>
      </c>
      <c r="AI288" s="85">
        <f t="shared" si="866"/>
        <v>28.46</v>
      </c>
      <c r="AJ288" s="85">
        <f t="shared" si="791"/>
        <v>45.500000000000007</v>
      </c>
      <c r="AK288" s="85">
        <f t="shared" si="792"/>
        <v>683.04</v>
      </c>
      <c r="AL288" s="85">
        <f t="shared" si="793"/>
        <v>1092.0000000000002</v>
      </c>
      <c r="AM288" s="85">
        <f>'Consumer Hardware Pricing'!AC296</f>
        <v>0</v>
      </c>
      <c r="AN288" s="85">
        <f t="shared" si="867"/>
        <v>73.960000000000008</v>
      </c>
      <c r="AO288" s="85">
        <f>'Consumer Hardware Pricing'!AD296</f>
        <v>14.709999999999999</v>
      </c>
      <c r="AP288" s="85">
        <f t="shared" si="794"/>
        <v>59.250000000000007</v>
      </c>
      <c r="AQ288" s="85">
        <f t="shared" si="795"/>
        <v>353.03999999999996</v>
      </c>
      <c r="AR288" s="85">
        <f t="shared" si="796"/>
        <v>1422.0000000000002</v>
      </c>
      <c r="AS288" s="85">
        <f>'Consumer Hardware Pricing'!AF296</f>
        <v>330</v>
      </c>
      <c r="AT288" s="85">
        <f t="shared" si="868"/>
        <v>28.46</v>
      </c>
      <c r="AU288" s="85">
        <f t="shared" si="797"/>
        <v>45.500000000000007</v>
      </c>
      <c r="AV288" s="85">
        <f t="shared" si="798"/>
        <v>683.04</v>
      </c>
      <c r="AW288" s="85">
        <f t="shared" si="799"/>
        <v>1092.0000000000002</v>
      </c>
      <c r="AX288" s="85" t="str">
        <f>'Consumer Hardware Pricing'!AH296</f>
        <v>-</v>
      </c>
      <c r="AY288" s="85" t="str">
        <f t="shared" si="869"/>
        <v>-</v>
      </c>
      <c r="AZ288" s="85" t="str">
        <f>'Consumer Hardware Pricing'!AI296</f>
        <v>-</v>
      </c>
      <c r="BA288" s="85" t="str">
        <f t="shared" si="804"/>
        <v>-</v>
      </c>
      <c r="BB288" s="85" t="str">
        <f t="shared" si="805"/>
        <v>-</v>
      </c>
      <c r="BC288" s="85" t="str">
        <f t="shared" si="821"/>
        <v>-</v>
      </c>
      <c r="BD288" s="85" t="str">
        <f>'Consumer Hardware Pricing'!AL296</f>
        <v>-</v>
      </c>
      <c r="BE288" s="85" t="str">
        <f t="shared" si="870"/>
        <v>-</v>
      </c>
      <c r="BF288" s="85" t="str">
        <f>'Consumer Hardware Pricing'!AM296</f>
        <v>-</v>
      </c>
      <c r="BG288" s="85" t="str">
        <f t="shared" si="806"/>
        <v>-</v>
      </c>
      <c r="BH288" s="85" t="str">
        <f t="shared" si="807"/>
        <v>-</v>
      </c>
      <c r="BI288" s="85" t="str">
        <f t="shared" si="822"/>
        <v>-</v>
      </c>
      <c r="BJ288" s="85" t="str">
        <f>'Consumer Hardware Pricing'!AP296</f>
        <v>-</v>
      </c>
      <c r="BK288" s="85" t="str">
        <f t="shared" si="871"/>
        <v>-</v>
      </c>
      <c r="BL288" s="85" t="str">
        <f>'Consumer Hardware Pricing'!AQ296</f>
        <v>-</v>
      </c>
      <c r="BM288" s="85" t="str">
        <f t="shared" si="808"/>
        <v>-</v>
      </c>
      <c r="BN288" s="85" t="str">
        <f t="shared" si="809"/>
        <v>-</v>
      </c>
      <c r="BO288" s="85" t="str">
        <f t="shared" si="823"/>
        <v>-</v>
      </c>
      <c r="BP288" s="85" t="str">
        <f>'Consumer Hardware Pricing'!AT296</f>
        <v>-</v>
      </c>
      <c r="BQ288" s="85" t="str">
        <f t="shared" si="872"/>
        <v>-</v>
      </c>
      <c r="BR288" s="85" t="str">
        <f>'Consumer Hardware Pricing'!AU296</f>
        <v>-</v>
      </c>
      <c r="BS288" s="85" t="str">
        <f t="shared" si="810"/>
        <v>-</v>
      </c>
      <c r="BT288" s="85" t="str">
        <f t="shared" si="811"/>
        <v>-</v>
      </c>
      <c r="BU288" s="85" t="str">
        <f t="shared" si="824"/>
        <v>-</v>
      </c>
    </row>
    <row r="289" spans="1:73" ht="30.15" customHeight="1" x14ac:dyDescent="0.25">
      <c r="A289" s="87" t="s">
        <v>34</v>
      </c>
      <c r="B289" s="88" t="s">
        <v>698</v>
      </c>
      <c r="C289" s="88" t="s">
        <v>660</v>
      </c>
      <c r="D289" s="85">
        <f>'Consumer Hardware Pricing'!L297</f>
        <v>1775</v>
      </c>
      <c r="E289" s="85">
        <f>'Consumer Hardware Pricing'!M297</f>
        <v>1775</v>
      </c>
      <c r="F289" s="85">
        <f>'Consumer Hardware Pricing'!N297</f>
        <v>0</v>
      </c>
      <c r="G289" s="85">
        <f t="shared" si="862"/>
        <v>73.960000000000008</v>
      </c>
      <c r="H289" s="85">
        <f>'Consumer Hardware Pricing'!O297</f>
        <v>12.709999999999999</v>
      </c>
      <c r="I289" s="85">
        <f t="shared" si="800"/>
        <v>61.250000000000007</v>
      </c>
      <c r="J289" s="85">
        <f t="shared" si="812"/>
        <v>305.03999999999996</v>
      </c>
      <c r="K289" s="85">
        <f t="shared" si="813"/>
        <v>1470.0000000000002</v>
      </c>
      <c r="L289" s="85">
        <f>'Consumer Hardware Pricing'!Q297</f>
        <v>330</v>
      </c>
      <c r="M289" s="85">
        <f t="shared" si="863"/>
        <v>26.46</v>
      </c>
      <c r="N289" s="85">
        <f t="shared" si="801"/>
        <v>47.500000000000007</v>
      </c>
      <c r="O289" s="85">
        <f t="shared" si="802"/>
        <v>635.04</v>
      </c>
      <c r="P289" s="85">
        <f t="shared" si="814"/>
        <v>1140.0000000000002</v>
      </c>
      <c r="Q289" s="85">
        <f>'Consumer Hardware Pricing'!S297</f>
        <v>0</v>
      </c>
      <c r="R289" s="85">
        <f t="shared" si="803"/>
        <v>73.960000000000008</v>
      </c>
      <c r="S289" s="85">
        <f>'Consumer Hardware Pricing'!T297</f>
        <v>12.709999999999999</v>
      </c>
      <c r="T289" s="129">
        <f t="shared" si="815"/>
        <v>61.250000000000007</v>
      </c>
      <c r="U289" s="129">
        <f t="shared" si="816"/>
        <v>305.03999999999996</v>
      </c>
      <c r="V289" s="85">
        <f t="shared" si="817"/>
        <v>1470.0000000000002</v>
      </c>
      <c r="W289" s="129">
        <f>'Consumer Hardware Pricing'!V297</f>
        <v>330</v>
      </c>
      <c r="X289" s="129">
        <f t="shared" si="864"/>
        <v>26.46</v>
      </c>
      <c r="Y289" s="129">
        <f t="shared" si="818"/>
        <v>47.500000000000007</v>
      </c>
      <c r="Z289" s="129">
        <f t="shared" si="819"/>
        <v>635.04</v>
      </c>
      <c r="AA289" s="85">
        <f t="shared" si="820"/>
        <v>1140.0000000000002</v>
      </c>
      <c r="AB289" s="85">
        <f>'Consumer Hardware Pricing'!X297</f>
        <v>0</v>
      </c>
      <c r="AC289" s="85">
        <f t="shared" si="865"/>
        <v>73.960000000000008</v>
      </c>
      <c r="AD289" s="85">
        <f>'Consumer Hardware Pricing'!Y297</f>
        <v>14.709999999999999</v>
      </c>
      <c r="AE289" s="85">
        <f t="shared" ref="AE289:AE430" si="873">IF(AD289="-",AC289,AC289-AD289)</f>
        <v>59.250000000000007</v>
      </c>
      <c r="AF289" s="85">
        <f t="shared" ref="AF289:AF430" si="874">IF(AD289="-",AD289,AD289*24)</f>
        <v>353.03999999999996</v>
      </c>
      <c r="AG289" s="85">
        <f t="shared" ref="AG289:AG430" si="875">IF(AB289="-",AB289,AE289*24)</f>
        <v>1422.0000000000002</v>
      </c>
      <c r="AH289" s="85">
        <f>'Consumer Hardware Pricing'!AA297</f>
        <v>330</v>
      </c>
      <c r="AI289" s="85">
        <f t="shared" si="866"/>
        <v>28.46</v>
      </c>
      <c r="AJ289" s="85">
        <f t="shared" ref="AJ289:AJ430" si="876">IF(AH289="-",AH289,AC289-AI289)</f>
        <v>45.500000000000007</v>
      </c>
      <c r="AK289" s="85">
        <f t="shared" ref="AK289:AK430" si="877">IF(AH289="-",AH289,AI289*24)</f>
        <v>683.04</v>
      </c>
      <c r="AL289" s="85">
        <f t="shared" ref="AL289:AL430" si="878">IF(AH289="-",AH289,AJ289*24)</f>
        <v>1092.0000000000002</v>
      </c>
      <c r="AM289" s="85">
        <f>'Consumer Hardware Pricing'!AC297</f>
        <v>0</v>
      </c>
      <c r="AN289" s="85">
        <f t="shared" si="867"/>
        <v>73.960000000000008</v>
      </c>
      <c r="AO289" s="85">
        <f>'Consumer Hardware Pricing'!AD297</f>
        <v>14.709999999999999</v>
      </c>
      <c r="AP289" s="85">
        <f t="shared" ref="AP289:AP430" si="879">IF(AO289="-",AN289,AN289-AO289)</f>
        <v>59.250000000000007</v>
      </c>
      <c r="AQ289" s="85">
        <f t="shared" ref="AQ289:AQ430" si="880">IF(AO289="-",AO289,AO289*24)</f>
        <v>353.03999999999996</v>
      </c>
      <c r="AR289" s="85">
        <f t="shared" ref="AR289:AR430" si="881">IF(AM289="-",AM289,AP289*24)</f>
        <v>1422.0000000000002</v>
      </c>
      <c r="AS289" s="85">
        <f>'Consumer Hardware Pricing'!AF297</f>
        <v>330</v>
      </c>
      <c r="AT289" s="85">
        <f t="shared" si="868"/>
        <v>28.46</v>
      </c>
      <c r="AU289" s="85">
        <f t="shared" ref="AU289:AU430" si="882">IF(AS289="-",AS289,AN289-AT289)</f>
        <v>45.500000000000007</v>
      </c>
      <c r="AV289" s="85">
        <f t="shared" ref="AV289:AV430" si="883">IF(AS289="-",AS289,AT289*24)</f>
        <v>683.04</v>
      </c>
      <c r="AW289" s="85">
        <f t="shared" ref="AW289:AW430" si="884">IF(AS289="-",AS289,AU289*24)</f>
        <v>1092.0000000000002</v>
      </c>
      <c r="AX289" s="85" t="str">
        <f>'Consumer Hardware Pricing'!AH297</f>
        <v>-</v>
      </c>
      <c r="AY289" s="85" t="str">
        <f t="shared" si="869"/>
        <v>-</v>
      </c>
      <c r="AZ289" s="85" t="str">
        <f>'Consumer Hardware Pricing'!AI297</f>
        <v>-</v>
      </c>
      <c r="BA289" s="85" t="str">
        <f t="shared" si="804"/>
        <v>-</v>
      </c>
      <c r="BB289" s="85" t="str">
        <f t="shared" si="805"/>
        <v>-</v>
      </c>
      <c r="BC289" s="85" t="str">
        <f t="shared" si="821"/>
        <v>-</v>
      </c>
      <c r="BD289" s="85" t="str">
        <f>'Consumer Hardware Pricing'!AL297</f>
        <v>-</v>
      </c>
      <c r="BE289" s="85" t="str">
        <f t="shared" si="870"/>
        <v>-</v>
      </c>
      <c r="BF289" s="85" t="str">
        <f>'Consumer Hardware Pricing'!AM297</f>
        <v>-</v>
      </c>
      <c r="BG289" s="85" t="str">
        <f t="shared" si="806"/>
        <v>-</v>
      </c>
      <c r="BH289" s="85" t="str">
        <f t="shared" si="807"/>
        <v>-</v>
      </c>
      <c r="BI289" s="85" t="str">
        <f t="shared" si="822"/>
        <v>-</v>
      </c>
      <c r="BJ289" s="85" t="str">
        <f>'Consumer Hardware Pricing'!AP297</f>
        <v>-</v>
      </c>
      <c r="BK289" s="85" t="str">
        <f t="shared" si="871"/>
        <v>-</v>
      </c>
      <c r="BL289" s="85" t="str">
        <f>'Consumer Hardware Pricing'!AQ297</f>
        <v>-</v>
      </c>
      <c r="BM289" s="85" t="str">
        <f t="shared" si="808"/>
        <v>-</v>
      </c>
      <c r="BN289" s="85" t="str">
        <f t="shared" si="809"/>
        <v>-</v>
      </c>
      <c r="BO289" s="85" t="str">
        <f t="shared" si="823"/>
        <v>-</v>
      </c>
      <c r="BP289" s="85" t="str">
        <f>'Consumer Hardware Pricing'!AT297</f>
        <v>-</v>
      </c>
      <c r="BQ289" s="85" t="str">
        <f t="shared" si="872"/>
        <v>-</v>
      </c>
      <c r="BR289" s="85" t="str">
        <f>'Consumer Hardware Pricing'!AU297</f>
        <v>-</v>
      </c>
      <c r="BS289" s="85" t="str">
        <f t="shared" si="810"/>
        <v>-</v>
      </c>
      <c r="BT289" s="85" t="str">
        <f t="shared" si="811"/>
        <v>-</v>
      </c>
      <c r="BU289" s="85" t="str">
        <f t="shared" si="824"/>
        <v>-</v>
      </c>
    </row>
    <row r="290" spans="1:73" ht="30.15" customHeight="1" x14ac:dyDescent="0.25">
      <c r="A290" s="87" t="s">
        <v>34</v>
      </c>
      <c r="B290" s="88" t="s">
        <v>699</v>
      </c>
      <c r="C290" s="88" t="s">
        <v>660</v>
      </c>
      <c r="D290" s="85">
        <f>'Consumer Hardware Pricing'!L298</f>
        <v>1775</v>
      </c>
      <c r="E290" s="85">
        <f>'Consumer Hardware Pricing'!M298</f>
        <v>1775</v>
      </c>
      <c r="F290" s="85">
        <f>'Consumer Hardware Pricing'!N298</f>
        <v>0</v>
      </c>
      <c r="G290" s="85">
        <f t="shared" si="862"/>
        <v>73.960000000000008</v>
      </c>
      <c r="H290" s="85">
        <f>'Consumer Hardware Pricing'!O298</f>
        <v>12.709999999999999</v>
      </c>
      <c r="I290" s="85">
        <f t="shared" si="800"/>
        <v>61.250000000000007</v>
      </c>
      <c r="J290" s="85">
        <f t="shared" si="812"/>
        <v>305.03999999999996</v>
      </c>
      <c r="K290" s="85">
        <f t="shared" si="813"/>
        <v>1470.0000000000002</v>
      </c>
      <c r="L290" s="85">
        <f>'Consumer Hardware Pricing'!Q298</f>
        <v>330</v>
      </c>
      <c r="M290" s="85">
        <f t="shared" si="863"/>
        <v>26.46</v>
      </c>
      <c r="N290" s="85">
        <f t="shared" si="801"/>
        <v>47.500000000000007</v>
      </c>
      <c r="O290" s="85">
        <f t="shared" si="802"/>
        <v>635.04</v>
      </c>
      <c r="P290" s="85">
        <f t="shared" si="814"/>
        <v>1140.0000000000002</v>
      </c>
      <c r="Q290" s="85">
        <f>'Consumer Hardware Pricing'!S298</f>
        <v>0</v>
      </c>
      <c r="R290" s="85">
        <f t="shared" si="803"/>
        <v>73.960000000000008</v>
      </c>
      <c r="S290" s="85">
        <f>'Consumer Hardware Pricing'!T298</f>
        <v>12.709999999999999</v>
      </c>
      <c r="T290" s="129">
        <f t="shared" si="815"/>
        <v>61.250000000000007</v>
      </c>
      <c r="U290" s="129">
        <f t="shared" si="816"/>
        <v>305.03999999999996</v>
      </c>
      <c r="V290" s="85">
        <f t="shared" si="817"/>
        <v>1470.0000000000002</v>
      </c>
      <c r="W290" s="129">
        <f>'Consumer Hardware Pricing'!V298</f>
        <v>330</v>
      </c>
      <c r="X290" s="129">
        <f t="shared" si="864"/>
        <v>26.46</v>
      </c>
      <c r="Y290" s="129">
        <f t="shared" si="818"/>
        <v>47.500000000000007</v>
      </c>
      <c r="Z290" s="129">
        <f t="shared" si="819"/>
        <v>635.04</v>
      </c>
      <c r="AA290" s="85">
        <f t="shared" si="820"/>
        <v>1140.0000000000002</v>
      </c>
      <c r="AB290" s="85">
        <f>'Consumer Hardware Pricing'!X298</f>
        <v>0</v>
      </c>
      <c r="AC290" s="85">
        <f t="shared" si="865"/>
        <v>73.960000000000008</v>
      </c>
      <c r="AD290" s="85">
        <f>'Consumer Hardware Pricing'!Y298</f>
        <v>14.709999999999999</v>
      </c>
      <c r="AE290" s="85">
        <f t="shared" si="873"/>
        <v>59.250000000000007</v>
      </c>
      <c r="AF290" s="85">
        <f t="shared" si="874"/>
        <v>353.03999999999996</v>
      </c>
      <c r="AG290" s="85">
        <f t="shared" si="875"/>
        <v>1422.0000000000002</v>
      </c>
      <c r="AH290" s="85">
        <f>'Consumer Hardware Pricing'!AA298</f>
        <v>330</v>
      </c>
      <c r="AI290" s="85">
        <f t="shared" si="866"/>
        <v>28.46</v>
      </c>
      <c r="AJ290" s="85">
        <f t="shared" si="876"/>
        <v>45.500000000000007</v>
      </c>
      <c r="AK290" s="85">
        <f t="shared" si="877"/>
        <v>683.04</v>
      </c>
      <c r="AL290" s="85">
        <f t="shared" si="878"/>
        <v>1092.0000000000002</v>
      </c>
      <c r="AM290" s="85">
        <f>'Consumer Hardware Pricing'!AC298</f>
        <v>0</v>
      </c>
      <c r="AN290" s="85">
        <f t="shared" si="867"/>
        <v>73.960000000000008</v>
      </c>
      <c r="AO290" s="85">
        <f>'Consumer Hardware Pricing'!AD298</f>
        <v>14.709999999999999</v>
      </c>
      <c r="AP290" s="85">
        <f t="shared" si="879"/>
        <v>59.250000000000007</v>
      </c>
      <c r="AQ290" s="85">
        <f t="shared" si="880"/>
        <v>353.03999999999996</v>
      </c>
      <c r="AR290" s="85">
        <f t="shared" si="881"/>
        <v>1422.0000000000002</v>
      </c>
      <c r="AS290" s="85">
        <f>'Consumer Hardware Pricing'!AF298</f>
        <v>330</v>
      </c>
      <c r="AT290" s="85">
        <f t="shared" si="868"/>
        <v>28.46</v>
      </c>
      <c r="AU290" s="85">
        <f t="shared" si="882"/>
        <v>45.500000000000007</v>
      </c>
      <c r="AV290" s="85">
        <f t="shared" si="883"/>
        <v>683.04</v>
      </c>
      <c r="AW290" s="85">
        <f t="shared" si="884"/>
        <v>1092.0000000000002</v>
      </c>
      <c r="AX290" s="85" t="str">
        <f>'Consumer Hardware Pricing'!AH298</f>
        <v>-</v>
      </c>
      <c r="AY290" s="85" t="str">
        <f t="shared" si="869"/>
        <v>-</v>
      </c>
      <c r="AZ290" s="85" t="str">
        <f>'Consumer Hardware Pricing'!AI298</f>
        <v>-</v>
      </c>
      <c r="BA290" s="85" t="str">
        <f t="shared" si="804"/>
        <v>-</v>
      </c>
      <c r="BB290" s="85" t="str">
        <f t="shared" si="805"/>
        <v>-</v>
      </c>
      <c r="BC290" s="85" t="str">
        <f t="shared" si="821"/>
        <v>-</v>
      </c>
      <c r="BD290" s="85" t="str">
        <f>'Consumer Hardware Pricing'!AL298</f>
        <v>-</v>
      </c>
      <c r="BE290" s="85" t="str">
        <f t="shared" si="870"/>
        <v>-</v>
      </c>
      <c r="BF290" s="85" t="str">
        <f>'Consumer Hardware Pricing'!AM298</f>
        <v>-</v>
      </c>
      <c r="BG290" s="85" t="str">
        <f t="shared" si="806"/>
        <v>-</v>
      </c>
      <c r="BH290" s="85" t="str">
        <f t="shared" si="807"/>
        <v>-</v>
      </c>
      <c r="BI290" s="85" t="str">
        <f t="shared" si="822"/>
        <v>-</v>
      </c>
      <c r="BJ290" s="85" t="str">
        <f>'Consumer Hardware Pricing'!AP298</f>
        <v>-</v>
      </c>
      <c r="BK290" s="85" t="str">
        <f t="shared" si="871"/>
        <v>-</v>
      </c>
      <c r="BL290" s="85" t="str">
        <f>'Consumer Hardware Pricing'!AQ298</f>
        <v>-</v>
      </c>
      <c r="BM290" s="85" t="str">
        <f t="shared" si="808"/>
        <v>-</v>
      </c>
      <c r="BN290" s="85" t="str">
        <f t="shared" si="809"/>
        <v>-</v>
      </c>
      <c r="BO290" s="85" t="str">
        <f t="shared" si="823"/>
        <v>-</v>
      </c>
      <c r="BP290" s="85" t="str">
        <f>'Consumer Hardware Pricing'!AT298</f>
        <v>-</v>
      </c>
      <c r="BQ290" s="85" t="str">
        <f t="shared" si="872"/>
        <v>-</v>
      </c>
      <c r="BR290" s="85" t="str">
        <f>'Consumer Hardware Pricing'!AU298</f>
        <v>-</v>
      </c>
      <c r="BS290" s="85" t="str">
        <f t="shared" si="810"/>
        <v>-</v>
      </c>
      <c r="BT290" s="85" t="str">
        <f t="shared" si="811"/>
        <v>-</v>
      </c>
      <c r="BU290" s="85" t="str">
        <f t="shared" si="824"/>
        <v>-</v>
      </c>
    </row>
    <row r="291" spans="1:73" ht="30.15" customHeight="1" x14ac:dyDescent="0.25">
      <c r="A291" s="87" t="s">
        <v>34</v>
      </c>
      <c r="B291" s="88" t="s">
        <v>700</v>
      </c>
      <c r="C291" s="88" t="s">
        <v>660</v>
      </c>
      <c r="D291" s="85">
        <f>'Consumer Hardware Pricing'!L299</f>
        <v>1775</v>
      </c>
      <c r="E291" s="85">
        <f>'Consumer Hardware Pricing'!M299</f>
        <v>1775</v>
      </c>
      <c r="F291" s="85">
        <f>'Consumer Hardware Pricing'!N299</f>
        <v>0</v>
      </c>
      <c r="G291" s="85">
        <f t="shared" si="862"/>
        <v>73.960000000000008</v>
      </c>
      <c r="H291" s="85">
        <f>'Consumer Hardware Pricing'!O299</f>
        <v>12.709999999999999</v>
      </c>
      <c r="I291" s="85">
        <f t="shared" si="800"/>
        <v>61.250000000000007</v>
      </c>
      <c r="J291" s="85">
        <f t="shared" si="812"/>
        <v>305.03999999999996</v>
      </c>
      <c r="K291" s="85">
        <f t="shared" si="813"/>
        <v>1470.0000000000002</v>
      </c>
      <c r="L291" s="85">
        <f>'Consumer Hardware Pricing'!Q299</f>
        <v>330</v>
      </c>
      <c r="M291" s="85">
        <f t="shared" si="863"/>
        <v>26.46</v>
      </c>
      <c r="N291" s="85">
        <f t="shared" si="801"/>
        <v>47.500000000000007</v>
      </c>
      <c r="O291" s="85">
        <f t="shared" si="802"/>
        <v>635.04</v>
      </c>
      <c r="P291" s="85">
        <f t="shared" si="814"/>
        <v>1140.0000000000002</v>
      </c>
      <c r="Q291" s="85">
        <f>'Consumer Hardware Pricing'!S299</f>
        <v>0</v>
      </c>
      <c r="R291" s="85">
        <f t="shared" si="803"/>
        <v>73.960000000000008</v>
      </c>
      <c r="S291" s="85">
        <f>'Consumer Hardware Pricing'!T299</f>
        <v>12.709999999999999</v>
      </c>
      <c r="T291" s="129">
        <f t="shared" si="815"/>
        <v>61.250000000000007</v>
      </c>
      <c r="U291" s="129">
        <f t="shared" si="816"/>
        <v>305.03999999999996</v>
      </c>
      <c r="V291" s="85">
        <f t="shared" si="817"/>
        <v>1470.0000000000002</v>
      </c>
      <c r="W291" s="129">
        <f>'Consumer Hardware Pricing'!V299</f>
        <v>330</v>
      </c>
      <c r="X291" s="129">
        <f t="shared" si="864"/>
        <v>26.46</v>
      </c>
      <c r="Y291" s="129">
        <f t="shared" si="818"/>
        <v>47.500000000000007</v>
      </c>
      <c r="Z291" s="129">
        <f t="shared" si="819"/>
        <v>635.04</v>
      </c>
      <c r="AA291" s="85">
        <f t="shared" si="820"/>
        <v>1140.0000000000002</v>
      </c>
      <c r="AB291" s="85">
        <f>'Consumer Hardware Pricing'!X299</f>
        <v>0</v>
      </c>
      <c r="AC291" s="85">
        <f t="shared" si="865"/>
        <v>73.960000000000008</v>
      </c>
      <c r="AD291" s="85">
        <f>'Consumer Hardware Pricing'!Y299</f>
        <v>14.709999999999999</v>
      </c>
      <c r="AE291" s="85">
        <f t="shared" si="873"/>
        <v>59.250000000000007</v>
      </c>
      <c r="AF291" s="85">
        <f t="shared" si="874"/>
        <v>353.03999999999996</v>
      </c>
      <c r="AG291" s="85">
        <f t="shared" si="875"/>
        <v>1422.0000000000002</v>
      </c>
      <c r="AH291" s="85">
        <f>'Consumer Hardware Pricing'!AA299</f>
        <v>330</v>
      </c>
      <c r="AI291" s="85">
        <f t="shared" si="866"/>
        <v>28.46</v>
      </c>
      <c r="AJ291" s="85">
        <f t="shared" si="876"/>
        <v>45.500000000000007</v>
      </c>
      <c r="AK291" s="85">
        <f t="shared" si="877"/>
        <v>683.04</v>
      </c>
      <c r="AL291" s="85">
        <f t="shared" si="878"/>
        <v>1092.0000000000002</v>
      </c>
      <c r="AM291" s="85">
        <f>'Consumer Hardware Pricing'!AC299</f>
        <v>0</v>
      </c>
      <c r="AN291" s="85">
        <f t="shared" si="867"/>
        <v>73.960000000000008</v>
      </c>
      <c r="AO291" s="85">
        <f>'Consumer Hardware Pricing'!AD299</f>
        <v>14.709999999999999</v>
      </c>
      <c r="AP291" s="85">
        <f t="shared" si="879"/>
        <v>59.250000000000007</v>
      </c>
      <c r="AQ291" s="85">
        <f t="shared" si="880"/>
        <v>353.03999999999996</v>
      </c>
      <c r="AR291" s="85">
        <f t="shared" si="881"/>
        <v>1422.0000000000002</v>
      </c>
      <c r="AS291" s="85">
        <f>'Consumer Hardware Pricing'!AF299</f>
        <v>330</v>
      </c>
      <c r="AT291" s="85">
        <f t="shared" si="868"/>
        <v>28.46</v>
      </c>
      <c r="AU291" s="85">
        <f t="shared" si="882"/>
        <v>45.500000000000007</v>
      </c>
      <c r="AV291" s="85">
        <f t="shared" si="883"/>
        <v>683.04</v>
      </c>
      <c r="AW291" s="85">
        <f t="shared" si="884"/>
        <v>1092.0000000000002</v>
      </c>
      <c r="AX291" s="85" t="str">
        <f>'Consumer Hardware Pricing'!AH299</f>
        <v>-</v>
      </c>
      <c r="AY291" s="85" t="str">
        <f t="shared" si="869"/>
        <v>-</v>
      </c>
      <c r="AZ291" s="85" t="str">
        <f>'Consumer Hardware Pricing'!AI299</f>
        <v>-</v>
      </c>
      <c r="BA291" s="85" t="str">
        <f t="shared" si="804"/>
        <v>-</v>
      </c>
      <c r="BB291" s="85" t="str">
        <f t="shared" si="805"/>
        <v>-</v>
      </c>
      <c r="BC291" s="85" t="str">
        <f t="shared" si="821"/>
        <v>-</v>
      </c>
      <c r="BD291" s="85" t="str">
        <f>'Consumer Hardware Pricing'!AL299</f>
        <v>-</v>
      </c>
      <c r="BE291" s="85" t="str">
        <f t="shared" si="870"/>
        <v>-</v>
      </c>
      <c r="BF291" s="85" t="str">
        <f>'Consumer Hardware Pricing'!AM299</f>
        <v>-</v>
      </c>
      <c r="BG291" s="85" t="str">
        <f t="shared" si="806"/>
        <v>-</v>
      </c>
      <c r="BH291" s="85" t="str">
        <f t="shared" si="807"/>
        <v>-</v>
      </c>
      <c r="BI291" s="85" t="str">
        <f t="shared" si="822"/>
        <v>-</v>
      </c>
      <c r="BJ291" s="85" t="str">
        <f>'Consumer Hardware Pricing'!AP299</f>
        <v>-</v>
      </c>
      <c r="BK291" s="85" t="str">
        <f t="shared" si="871"/>
        <v>-</v>
      </c>
      <c r="BL291" s="85" t="str">
        <f>'Consumer Hardware Pricing'!AQ299</f>
        <v>-</v>
      </c>
      <c r="BM291" s="85" t="str">
        <f t="shared" si="808"/>
        <v>-</v>
      </c>
      <c r="BN291" s="85" t="str">
        <f t="shared" si="809"/>
        <v>-</v>
      </c>
      <c r="BO291" s="85" t="str">
        <f t="shared" si="823"/>
        <v>-</v>
      </c>
      <c r="BP291" s="85" t="str">
        <f>'Consumer Hardware Pricing'!AT299</f>
        <v>-</v>
      </c>
      <c r="BQ291" s="85" t="str">
        <f t="shared" si="872"/>
        <v>-</v>
      </c>
      <c r="BR291" s="85" t="str">
        <f>'Consumer Hardware Pricing'!AU299</f>
        <v>-</v>
      </c>
      <c r="BS291" s="85" t="str">
        <f t="shared" si="810"/>
        <v>-</v>
      </c>
      <c r="BT291" s="85" t="str">
        <f t="shared" si="811"/>
        <v>-</v>
      </c>
      <c r="BU291" s="85" t="str">
        <f t="shared" si="824"/>
        <v>-</v>
      </c>
    </row>
    <row r="292" spans="1:73" ht="30.15" customHeight="1" x14ac:dyDescent="0.25">
      <c r="A292" s="87" t="s">
        <v>34</v>
      </c>
      <c r="B292" s="88" t="s">
        <v>693</v>
      </c>
      <c r="C292" s="88" t="s">
        <v>661</v>
      </c>
      <c r="D292" s="85">
        <f>'Consumer Hardware Pricing'!L300</f>
        <v>2065</v>
      </c>
      <c r="E292" s="85">
        <f>'Consumer Hardware Pricing'!M300</f>
        <v>2065</v>
      </c>
      <c r="F292" s="85">
        <f>'Consumer Hardware Pricing'!N300</f>
        <v>0</v>
      </c>
      <c r="G292" s="85">
        <f t="shared" si="862"/>
        <v>86.050000000000011</v>
      </c>
      <c r="H292" s="85">
        <f>'Consumer Hardware Pricing'!O300</f>
        <v>12.709999999999999</v>
      </c>
      <c r="I292" s="85">
        <f t="shared" si="800"/>
        <v>73.340000000000018</v>
      </c>
      <c r="J292" s="85">
        <f t="shared" si="812"/>
        <v>305.03999999999996</v>
      </c>
      <c r="K292" s="85">
        <f t="shared" si="813"/>
        <v>1760.1600000000003</v>
      </c>
      <c r="L292" s="85">
        <f>'Consumer Hardware Pricing'!Q300</f>
        <v>390</v>
      </c>
      <c r="M292" s="85">
        <f t="shared" si="863"/>
        <v>28.959999999999994</v>
      </c>
      <c r="N292" s="85">
        <f t="shared" si="801"/>
        <v>57.090000000000018</v>
      </c>
      <c r="O292" s="85">
        <f t="shared" si="802"/>
        <v>695.03999999999985</v>
      </c>
      <c r="P292" s="85">
        <f t="shared" si="814"/>
        <v>1370.1600000000003</v>
      </c>
      <c r="Q292" s="85">
        <f>'Consumer Hardware Pricing'!S300</f>
        <v>0</v>
      </c>
      <c r="R292" s="85">
        <f t="shared" si="803"/>
        <v>86.050000000000011</v>
      </c>
      <c r="S292" s="85">
        <f>'Consumer Hardware Pricing'!T300</f>
        <v>12.709999999999999</v>
      </c>
      <c r="T292" s="129">
        <f t="shared" si="815"/>
        <v>73.340000000000018</v>
      </c>
      <c r="U292" s="129">
        <f t="shared" si="816"/>
        <v>305.03999999999996</v>
      </c>
      <c r="V292" s="85">
        <f t="shared" si="817"/>
        <v>1760.1600000000003</v>
      </c>
      <c r="W292" s="129">
        <f>'Consumer Hardware Pricing'!V300</f>
        <v>390</v>
      </c>
      <c r="X292" s="129">
        <f t="shared" si="864"/>
        <v>28.959999999999994</v>
      </c>
      <c r="Y292" s="129">
        <f t="shared" si="818"/>
        <v>57.090000000000018</v>
      </c>
      <c r="Z292" s="129">
        <f t="shared" si="819"/>
        <v>695.03999999999985</v>
      </c>
      <c r="AA292" s="85">
        <f t="shared" si="820"/>
        <v>1370.1600000000003</v>
      </c>
      <c r="AB292" s="85">
        <f>'Consumer Hardware Pricing'!X300</f>
        <v>0</v>
      </c>
      <c r="AC292" s="85">
        <f t="shared" si="865"/>
        <v>86.050000000000011</v>
      </c>
      <c r="AD292" s="85">
        <f>'Consumer Hardware Pricing'!Y300</f>
        <v>14.709999999999999</v>
      </c>
      <c r="AE292" s="85">
        <f t="shared" si="873"/>
        <v>71.340000000000018</v>
      </c>
      <c r="AF292" s="85">
        <f t="shared" si="874"/>
        <v>353.03999999999996</v>
      </c>
      <c r="AG292" s="85">
        <f t="shared" si="875"/>
        <v>1712.1600000000003</v>
      </c>
      <c r="AH292" s="85">
        <f>'Consumer Hardware Pricing'!AA300</f>
        <v>390</v>
      </c>
      <c r="AI292" s="85">
        <f t="shared" si="866"/>
        <v>30.959999999999994</v>
      </c>
      <c r="AJ292" s="85">
        <f t="shared" si="876"/>
        <v>55.090000000000018</v>
      </c>
      <c r="AK292" s="85">
        <f t="shared" si="877"/>
        <v>743.03999999999985</v>
      </c>
      <c r="AL292" s="85">
        <f t="shared" si="878"/>
        <v>1322.1600000000003</v>
      </c>
      <c r="AM292" s="85">
        <f>'Consumer Hardware Pricing'!AC300</f>
        <v>0</v>
      </c>
      <c r="AN292" s="85">
        <f t="shared" si="867"/>
        <v>86.050000000000011</v>
      </c>
      <c r="AO292" s="85">
        <f>'Consumer Hardware Pricing'!AD300</f>
        <v>14.709999999999999</v>
      </c>
      <c r="AP292" s="85">
        <f t="shared" si="879"/>
        <v>71.340000000000018</v>
      </c>
      <c r="AQ292" s="85">
        <f t="shared" si="880"/>
        <v>353.03999999999996</v>
      </c>
      <c r="AR292" s="85">
        <f t="shared" si="881"/>
        <v>1712.1600000000003</v>
      </c>
      <c r="AS292" s="85">
        <f>'Consumer Hardware Pricing'!AF300</f>
        <v>390</v>
      </c>
      <c r="AT292" s="85">
        <f t="shared" si="868"/>
        <v>30.959999999999994</v>
      </c>
      <c r="AU292" s="85">
        <f t="shared" si="882"/>
        <v>55.090000000000018</v>
      </c>
      <c r="AV292" s="85">
        <f t="shared" si="883"/>
        <v>743.03999999999985</v>
      </c>
      <c r="AW292" s="85">
        <f t="shared" si="884"/>
        <v>1322.1600000000003</v>
      </c>
      <c r="AX292" s="85" t="str">
        <f>'Consumer Hardware Pricing'!AH300</f>
        <v>-</v>
      </c>
      <c r="AY292" s="85" t="str">
        <f t="shared" si="869"/>
        <v>-</v>
      </c>
      <c r="AZ292" s="85" t="str">
        <f>'Consumer Hardware Pricing'!AI300</f>
        <v>-</v>
      </c>
      <c r="BA292" s="85" t="str">
        <f t="shared" si="804"/>
        <v>-</v>
      </c>
      <c r="BB292" s="85" t="str">
        <f t="shared" si="805"/>
        <v>-</v>
      </c>
      <c r="BC292" s="85" t="str">
        <f t="shared" si="821"/>
        <v>-</v>
      </c>
      <c r="BD292" s="85" t="str">
        <f>'Consumer Hardware Pricing'!AL300</f>
        <v>-</v>
      </c>
      <c r="BE292" s="85" t="str">
        <f t="shared" si="870"/>
        <v>-</v>
      </c>
      <c r="BF292" s="85" t="str">
        <f>'Consumer Hardware Pricing'!AM300</f>
        <v>-</v>
      </c>
      <c r="BG292" s="85" t="str">
        <f t="shared" si="806"/>
        <v>-</v>
      </c>
      <c r="BH292" s="85" t="str">
        <f t="shared" si="807"/>
        <v>-</v>
      </c>
      <c r="BI292" s="85" t="str">
        <f t="shared" si="822"/>
        <v>-</v>
      </c>
      <c r="BJ292" s="85" t="str">
        <f>'Consumer Hardware Pricing'!AP300</f>
        <v>-</v>
      </c>
      <c r="BK292" s="85" t="str">
        <f t="shared" si="871"/>
        <v>-</v>
      </c>
      <c r="BL292" s="85" t="str">
        <f>'Consumer Hardware Pricing'!AQ300</f>
        <v>-</v>
      </c>
      <c r="BM292" s="85" t="str">
        <f t="shared" si="808"/>
        <v>-</v>
      </c>
      <c r="BN292" s="85" t="str">
        <f t="shared" si="809"/>
        <v>-</v>
      </c>
      <c r="BO292" s="85" t="str">
        <f t="shared" si="823"/>
        <v>-</v>
      </c>
      <c r="BP292" s="85" t="str">
        <f>'Consumer Hardware Pricing'!AT300</f>
        <v>-</v>
      </c>
      <c r="BQ292" s="85" t="str">
        <f t="shared" si="872"/>
        <v>-</v>
      </c>
      <c r="BR292" s="85" t="str">
        <f>'Consumer Hardware Pricing'!AU300</f>
        <v>-</v>
      </c>
      <c r="BS292" s="85" t="str">
        <f t="shared" si="810"/>
        <v>-</v>
      </c>
      <c r="BT292" s="85" t="str">
        <f t="shared" si="811"/>
        <v>-</v>
      </c>
      <c r="BU292" s="85" t="str">
        <f t="shared" si="824"/>
        <v>-</v>
      </c>
    </row>
    <row r="293" spans="1:73" ht="30.15" customHeight="1" x14ac:dyDescent="0.25">
      <c r="A293" s="87" t="s">
        <v>34</v>
      </c>
      <c r="B293" s="88" t="s">
        <v>694</v>
      </c>
      <c r="C293" s="88" t="s">
        <v>661</v>
      </c>
      <c r="D293" s="85">
        <f>'Consumer Hardware Pricing'!L301</f>
        <v>2065</v>
      </c>
      <c r="E293" s="85">
        <f>'Consumer Hardware Pricing'!M301</f>
        <v>2065</v>
      </c>
      <c r="F293" s="85">
        <f>'Consumer Hardware Pricing'!N301</f>
        <v>0</v>
      </c>
      <c r="G293" s="85">
        <f t="shared" si="862"/>
        <v>86.050000000000011</v>
      </c>
      <c r="H293" s="85">
        <f>'Consumer Hardware Pricing'!O301</f>
        <v>12.709999999999999</v>
      </c>
      <c r="I293" s="85">
        <f t="shared" si="800"/>
        <v>73.340000000000018</v>
      </c>
      <c r="J293" s="85">
        <f t="shared" si="812"/>
        <v>305.03999999999996</v>
      </c>
      <c r="K293" s="85">
        <f t="shared" si="813"/>
        <v>1760.1600000000003</v>
      </c>
      <c r="L293" s="85">
        <f>'Consumer Hardware Pricing'!Q301</f>
        <v>390</v>
      </c>
      <c r="M293" s="85">
        <f t="shared" si="863"/>
        <v>28.959999999999994</v>
      </c>
      <c r="N293" s="85">
        <f t="shared" si="801"/>
        <v>57.090000000000018</v>
      </c>
      <c r="O293" s="85">
        <f t="shared" si="802"/>
        <v>695.03999999999985</v>
      </c>
      <c r="P293" s="85">
        <f t="shared" si="814"/>
        <v>1370.1600000000003</v>
      </c>
      <c r="Q293" s="85">
        <f>'Consumer Hardware Pricing'!S301</f>
        <v>0</v>
      </c>
      <c r="R293" s="85">
        <f t="shared" si="803"/>
        <v>86.050000000000011</v>
      </c>
      <c r="S293" s="85">
        <f>'Consumer Hardware Pricing'!T301</f>
        <v>12.709999999999999</v>
      </c>
      <c r="T293" s="129">
        <f t="shared" si="815"/>
        <v>73.340000000000018</v>
      </c>
      <c r="U293" s="129">
        <f t="shared" si="816"/>
        <v>305.03999999999996</v>
      </c>
      <c r="V293" s="85">
        <f t="shared" si="817"/>
        <v>1760.1600000000003</v>
      </c>
      <c r="W293" s="129">
        <f>'Consumer Hardware Pricing'!V301</f>
        <v>390</v>
      </c>
      <c r="X293" s="129">
        <f t="shared" si="864"/>
        <v>28.959999999999994</v>
      </c>
      <c r="Y293" s="129">
        <f t="shared" si="818"/>
        <v>57.090000000000018</v>
      </c>
      <c r="Z293" s="129">
        <f t="shared" si="819"/>
        <v>695.03999999999985</v>
      </c>
      <c r="AA293" s="85">
        <f t="shared" si="820"/>
        <v>1370.1600000000003</v>
      </c>
      <c r="AB293" s="85">
        <f>'Consumer Hardware Pricing'!X301</f>
        <v>0</v>
      </c>
      <c r="AC293" s="85">
        <f t="shared" si="865"/>
        <v>86.050000000000011</v>
      </c>
      <c r="AD293" s="85">
        <f>'Consumer Hardware Pricing'!Y301</f>
        <v>14.709999999999999</v>
      </c>
      <c r="AE293" s="85">
        <f t="shared" si="873"/>
        <v>71.340000000000018</v>
      </c>
      <c r="AF293" s="85">
        <f t="shared" si="874"/>
        <v>353.03999999999996</v>
      </c>
      <c r="AG293" s="85">
        <f t="shared" si="875"/>
        <v>1712.1600000000003</v>
      </c>
      <c r="AH293" s="85">
        <f>'Consumer Hardware Pricing'!AA301</f>
        <v>390</v>
      </c>
      <c r="AI293" s="85">
        <f t="shared" si="866"/>
        <v>30.959999999999994</v>
      </c>
      <c r="AJ293" s="85">
        <f t="shared" si="876"/>
        <v>55.090000000000018</v>
      </c>
      <c r="AK293" s="85">
        <f t="shared" si="877"/>
        <v>743.03999999999985</v>
      </c>
      <c r="AL293" s="85">
        <f t="shared" si="878"/>
        <v>1322.1600000000003</v>
      </c>
      <c r="AM293" s="85">
        <f>'Consumer Hardware Pricing'!AC301</f>
        <v>0</v>
      </c>
      <c r="AN293" s="85">
        <f t="shared" si="867"/>
        <v>86.050000000000011</v>
      </c>
      <c r="AO293" s="85">
        <f>'Consumer Hardware Pricing'!AD301</f>
        <v>14.709999999999999</v>
      </c>
      <c r="AP293" s="85">
        <f t="shared" si="879"/>
        <v>71.340000000000018</v>
      </c>
      <c r="AQ293" s="85">
        <f t="shared" si="880"/>
        <v>353.03999999999996</v>
      </c>
      <c r="AR293" s="85">
        <f t="shared" si="881"/>
        <v>1712.1600000000003</v>
      </c>
      <c r="AS293" s="85">
        <f>'Consumer Hardware Pricing'!AF301</f>
        <v>390</v>
      </c>
      <c r="AT293" s="85">
        <f t="shared" si="868"/>
        <v>30.959999999999994</v>
      </c>
      <c r="AU293" s="85">
        <f t="shared" si="882"/>
        <v>55.090000000000018</v>
      </c>
      <c r="AV293" s="85">
        <f t="shared" si="883"/>
        <v>743.03999999999985</v>
      </c>
      <c r="AW293" s="85">
        <f t="shared" si="884"/>
        <v>1322.1600000000003</v>
      </c>
      <c r="AX293" s="85" t="str">
        <f>'Consumer Hardware Pricing'!AH301</f>
        <v>-</v>
      </c>
      <c r="AY293" s="85" t="str">
        <f t="shared" si="869"/>
        <v>-</v>
      </c>
      <c r="AZ293" s="85" t="str">
        <f>'Consumer Hardware Pricing'!AI301</f>
        <v>-</v>
      </c>
      <c r="BA293" s="85" t="str">
        <f t="shared" si="804"/>
        <v>-</v>
      </c>
      <c r="BB293" s="85" t="str">
        <f t="shared" si="805"/>
        <v>-</v>
      </c>
      <c r="BC293" s="85" t="str">
        <f t="shared" si="821"/>
        <v>-</v>
      </c>
      <c r="BD293" s="85" t="str">
        <f>'Consumer Hardware Pricing'!AL301</f>
        <v>-</v>
      </c>
      <c r="BE293" s="85" t="str">
        <f t="shared" si="870"/>
        <v>-</v>
      </c>
      <c r="BF293" s="85" t="str">
        <f>'Consumer Hardware Pricing'!AM301</f>
        <v>-</v>
      </c>
      <c r="BG293" s="85" t="str">
        <f t="shared" si="806"/>
        <v>-</v>
      </c>
      <c r="BH293" s="85" t="str">
        <f t="shared" si="807"/>
        <v>-</v>
      </c>
      <c r="BI293" s="85" t="str">
        <f t="shared" si="822"/>
        <v>-</v>
      </c>
      <c r="BJ293" s="85" t="str">
        <f>'Consumer Hardware Pricing'!AP301</f>
        <v>-</v>
      </c>
      <c r="BK293" s="85" t="str">
        <f t="shared" si="871"/>
        <v>-</v>
      </c>
      <c r="BL293" s="85" t="str">
        <f>'Consumer Hardware Pricing'!AQ301</f>
        <v>-</v>
      </c>
      <c r="BM293" s="85" t="str">
        <f t="shared" si="808"/>
        <v>-</v>
      </c>
      <c r="BN293" s="85" t="str">
        <f t="shared" si="809"/>
        <v>-</v>
      </c>
      <c r="BO293" s="85" t="str">
        <f t="shared" si="823"/>
        <v>-</v>
      </c>
      <c r="BP293" s="85" t="str">
        <f>'Consumer Hardware Pricing'!AT301</f>
        <v>-</v>
      </c>
      <c r="BQ293" s="85" t="str">
        <f t="shared" si="872"/>
        <v>-</v>
      </c>
      <c r="BR293" s="85" t="str">
        <f>'Consumer Hardware Pricing'!AU301</f>
        <v>-</v>
      </c>
      <c r="BS293" s="85" t="str">
        <f t="shared" si="810"/>
        <v>-</v>
      </c>
      <c r="BT293" s="85" t="str">
        <f t="shared" si="811"/>
        <v>-</v>
      </c>
      <c r="BU293" s="85" t="str">
        <f t="shared" si="824"/>
        <v>-</v>
      </c>
    </row>
    <row r="294" spans="1:73" ht="30.15" customHeight="1" x14ac:dyDescent="0.25">
      <c r="A294" s="87" t="s">
        <v>34</v>
      </c>
      <c r="B294" s="88" t="s">
        <v>695</v>
      </c>
      <c r="C294" s="88" t="s">
        <v>661</v>
      </c>
      <c r="D294" s="85">
        <f>'Consumer Hardware Pricing'!L302</f>
        <v>2065</v>
      </c>
      <c r="E294" s="85">
        <f>'Consumer Hardware Pricing'!M302</f>
        <v>2065</v>
      </c>
      <c r="F294" s="85">
        <f>'Consumer Hardware Pricing'!N302</f>
        <v>0</v>
      </c>
      <c r="G294" s="85">
        <f t="shared" si="862"/>
        <v>86.050000000000011</v>
      </c>
      <c r="H294" s="85">
        <f>'Consumer Hardware Pricing'!O302</f>
        <v>12.709999999999999</v>
      </c>
      <c r="I294" s="85">
        <f t="shared" si="800"/>
        <v>73.340000000000018</v>
      </c>
      <c r="J294" s="85">
        <f t="shared" si="812"/>
        <v>305.03999999999996</v>
      </c>
      <c r="K294" s="85">
        <f t="shared" si="813"/>
        <v>1760.1600000000003</v>
      </c>
      <c r="L294" s="85">
        <f>'Consumer Hardware Pricing'!Q302</f>
        <v>390</v>
      </c>
      <c r="M294" s="85">
        <f t="shared" si="863"/>
        <v>28.959999999999994</v>
      </c>
      <c r="N294" s="85">
        <f t="shared" si="801"/>
        <v>57.090000000000018</v>
      </c>
      <c r="O294" s="85">
        <f t="shared" si="802"/>
        <v>695.03999999999985</v>
      </c>
      <c r="P294" s="85">
        <f t="shared" si="814"/>
        <v>1370.1600000000003</v>
      </c>
      <c r="Q294" s="85">
        <f>'Consumer Hardware Pricing'!S302</f>
        <v>0</v>
      </c>
      <c r="R294" s="85">
        <f t="shared" si="803"/>
        <v>86.050000000000011</v>
      </c>
      <c r="S294" s="85">
        <f>'Consumer Hardware Pricing'!T302</f>
        <v>12.709999999999999</v>
      </c>
      <c r="T294" s="129">
        <f t="shared" si="815"/>
        <v>73.340000000000018</v>
      </c>
      <c r="U294" s="129">
        <f t="shared" si="816"/>
        <v>305.03999999999996</v>
      </c>
      <c r="V294" s="85">
        <f t="shared" si="817"/>
        <v>1760.1600000000003</v>
      </c>
      <c r="W294" s="129">
        <f>'Consumer Hardware Pricing'!V302</f>
        <v>390</v>
      </c>
      <c r="X294" s="129">
        <f t="shared" si="864"/>
        <v>28.959999999999994</v>
      </c>
      <c r="Y294" s="129">
        <f t="shared" si="818"/>
        <v>57.090000000000018</v>
      </c>
      <c r="Z294" s="129">
        <f t="shared" si="819"/>
        <v>695.03999999999985</v>
      </c>
      <c r="AA294" s="85">
        <f t="shared" si="820"/>
        <v>1370.1600000000003</v>
      </c>
      <c r="AB294" s="85">
        <f>'Consumer Hardware Pricing'!X302</f>
        <v>0</v>
      </c>
      <c r="AC294" s="85">
        <f t="shared" si="865"/>
        <v>86.050000000000011</v>
      </c>
      <c r="AD294" s="85">
        <f>'Consumer Hardware Pricing'!Y302</f>
        <v>14.709999999999999</v>
      </c>
      <c r="AE294" s="85">
        <f t="shared" si="873"/>
        <v>71.340000000000018</v>
      </c>
      <c r="AF294" s="85">
        <f t="shared" si="874"/>
        <v>353.03999999999996</v>
      </c>
      <c r="AG294" s="85">
        <f t="shared" si="875"/>
        <v>1712.1600000000003</v>
      </c>
      <c r="AH294" s="85">
        <f>'Consumer Hardware Pricing'!AA302</f>
        <v>390</v>
      </c>
      <c r="AI294" s="85">
        <f t="shared" si="866"/>
        <v>30.959999999999994</v>
      </c>
      <c r="AJ294" s="85">
        <f t="shared" si="876"/>
        <v>55.090000000000018</v>
      </c>
      <c r="AK294" s="85">
        <f t="shared" si="877"/>
        <v>743.03999999999985</v>
      </c>
      <c r="AL294" s="85">
        <f t="shared" si="878"/>
        <v>1322.1600000000003</v>
      </c>
      <c r="AM294" s="85">
        <f>'Consumer Hardware Pricing'!AC302</f>
        <v>0</v>
      </c>
      <c r="AN294" s="85">
        <f t="shared" si="867"/>
        <v>86.050000000000011</v>
      </c>
      <c r="AO294" s="85">
        <f>'Consumer Hardware Pricing'!AD302</f>
        <v>14.709999999999999</v>
      </c>
      <c r="AP294" s="85">
        <f t="shared" si="879"/>
        <v>71.340000000000018</v>
      </c>
      <c r="AQ294" s="85">
        <f t="shared" si="880"/>
        <v>353.03999999999996</v>
      </c>
      <c r="AR294" s="85">
        <f t="shared" si="881"/>
        <v>1712.1600000000003</v>
      </c>
      <c r="AS294" s="85">
        <f>'Consumer Hardware Pricing'!AF302</f>
        <v>390</v>
      </c>
      <c r="AT294" s="85">
        <f t="shared" si="868"/>
        <v>30.959999999999994</v>
      </c>
      <c r="AU294" s="85">
        <f t="shared" si="882"/>
        <v>55.090000000000018</v>
      </c>
      <c r="AV294" s="85">
        <f t="shared" si="883"/>
        <v>743.03999999999985</v>
      </c>
      <c r="AW294" s="85">
        <f t="shared" si="884"/>
        <v>1322.1600000000003</v>
      </c>
      <c r="AX294" s="85" t="str">
        <f>'Consumer Hardware Pricing'!AH302</f>
        <v>-</v>
      </c>
      <c r="AY294" s="85" t="str">
        <f t="shared" si="869"/>
        <v>-</v>
      </c>
      <c r="AZ294" s="85" t="str">
        <f>'Consumer Hardware Pricing'!AI302</f>
        <v>-</v>
      </c>
      <c r="BA294" s="85" t="str">
        <f t="shared" si="804"/>
        <v>-</v>
      </c>
      <c r="BB294" s="85" t="str">
        <f t="shared" si="805"/>
        <v>-</v>
      </c>
      <c r="BC294" s="85" t="str">
        <f t="shared" si="821"/>
        <v>-</v>
      </c>
      <c r="BD294" s="85" t="str">
        <f>'Consumer Hardware Pricing'!AL302</f>
        <v>-</v>
      </c>
      <c r="BE294" s="85" t="str">
        <f t="shared" si="870"/>
        <v>-</v>
      </c>
      <c r="BF294" s="85" t="str">
        <f>'Consumer Hardware Pricing'!AM302</f>
        <v>-</v>
      </c>
      <c r="BG294" s="85" t="str">
        <f t="shared" si="806"/>
        <v>-</v>
      </c>
      <c r="BH294" s="85" t="str">
        <f t="shared" si="807"/>
        <v>-</v>
      </c>
      <c r="BI294" s="85" t="str">
        <f t="shared" si="822"/>
        <v>-</v>
      </c>
      <c r="BJ294" s="85" t="str">
        <f>'Consumer Hardware Pricing'!AP302</f>
        <v>-</v>
      </c>
      <c r="BK294" s="85" t="str">
        <f t="shared" si="871"/>
        <v>-</v>
      </c>
      <c r="BL294" s="85" t="str">
        <f>'Consumer Hardware Pricing'!AQ302</f>
        <v>-</v>
      </c>
      <c r="BM294" s="85" t="str">
        <f t="shared" si="808"/>
        <v>-</v>
      </c>
      <c r="BN294" s="85" t="str">
        <f t="shared" si="809"/>
        <v>-</v>
      </c>
      <c r="BO294" s="85" t="str">
        <f t="shared" si="823"/>
        <v>-</v>
      </c>
      <c r="BP294" s="85" t="str">
        <f>'Consumer Hardware Pricing'!AT302</f>
        <v>-</v>
      </c>
      <c r="BQ294" s="85" t="str">
        <f t="shared" si="872"/>
        <v>-</v>
      </c>
      <c r="BR294" s="85" t="str">
        <f>'Consumer Hardware Pricing'!AU302</f>
        <v>-</v>
      </c>
      <c r="BS294" s="85" t="str">
        <f t="shared" si="810"/>
        <v>-</v>
      </c>
      <c r="BT294" s="85" t="str">
        <f t="shared" si="811"/>
        <v>-</v>
      </c>
      <c r="BU294" s="85" t="str">
        <f t="shared" si="824"/>
        <v>-</v>
      </c>
    </row>
    <row r="295" spans="1:73" ht="30.15" customHeight="1" x14ac:dyDescent="0.25">
      <c r="A295" s="87" t="s">
        <v>34</v>
      </c>
      <c r="B295" s="88" t="s">
        <v>696</v>
      </c>
      <c r="C295" s="88" t="s">
        <v>661</v>
      </c>
      <c r="D295" s="85">
        <f>'Consumer Hardware Pricing'!L303</f>
        <v>2065</v>
      </c>
      <c r="E295" s="85">
        <f>'Consumer Hardware Pricing'!M303</f>
        <v>2065</v>
      </c>
      <c r="F295" s="85">
        <f>'Consumer Hardware Pricing'!N303</f>
        <v>0</v>
      </c>
      <c r="G295" s="85">
        <f t="shared" si="862"/>
        <v>86.050000000000011</v>
      </c>
      <c r="H295" s="85">
        <f>'Consumer Hardware Pricing'!O303</f>
        <v>12.709999999999999</v>
      </c>
      <c r="I295" s="85">
        <f t="shared" si="800"/>
        <v>73.340000000000018</v>
      </c>
      <c r="J295" s="85">
        <f t="shared" si="812"/>
        <v>305.03999999999996</v>
      </c>
      <c r="K295" s="85">
        <f t="shared" si="813"/>
        <v>1760.1600000000003</v>
      </c>
      <c r="L295" s="85">
        <f>'Consumer Hardware Pricing'!Q303</f>
        <v>390</v>
      </c>
      <c r="M295" s="85">
        <f t="shared" si="863"/>
        <v>28.959999999999994</v>
      </c>
      <c r="N295" s="85">
        <f t="shared" si="801"/>
        <v>57.090000000000018</v>
      </c>
      <c r="O295" s="85">
        <f t="shared" si="802"/>
        <v>695.03999999999985</v>
      </c>
      <c r="P295" s="85">
        <f t="shared" si="814"/>
        <v>1370.1600000000003</v>
      </c>
      <c r="Q295" s="85">
        <f>'Consumer Hardware Pricing'!S303</f>
        <v>0</v>
      </c>
      <c r="R295" s="85">
        <f t="shared" si="803"/>
        <v>86.050000000000011</v>
      </c>
      <c r="S295" s="85">
        <f>'Consumer Hardware Pricing'!T303</f>
        <v>12.709999999999999</v>
      </c>
      <c r="T295" s="129">
        <f t="shared" si="815"/>
        <v>73.340000000000018</v>
      </c>
      <c r="U295" s="129">
        <f t="shared" si="816"/>
        <v>305.03999999999996</v>
      </c>
      <c r="V295" s="85">
        <f t="shared" si="817"/>
        <v>1760.1600000000003</v>
      </c>
      <c r="W295" s="129">
        <f>'Consumer Hardware Pricing'!V303</f>
        <v>390</v>
      </c>
      <c r="X295" s="129">
        <f t="shared" si="864"/>
        <v>28.959999999999994</v>
      </c>
      <c r="Y295" s="129">
        <f t="shared" si="818"/>
        <v>57.090000000000018</v>
      </c>
      <c r="Z295" s="129">
        <f t="shared" si="819"/>
        <v>695.03999999999985</v>
      </c>
      <c r="AA295" s="85">
        <f t="shared" si="820"/>
        <v>1370.1600000000003</v>
      </c>
      <c r="AB295" s="85">
        <f>'Consumer Hardware Pricing'!X303</f>
        <v>0</v>
      </c>
      <c r="AC295" s="85">
        <f t="shared" si="865"/>
        <v>86.050000000000011</v>
      </c>
      <c r="AD295" s="85">
        <f>'Consumer Hardware Pricing'!Y303</f>
        <v>14.709999999999999</v>
      </c>
      <c r="AE295" s="85">
        <f t="shared" si="873"/>
        <v>71.340000000000018</v>
      </c>
      <c r="AF295" s="85">
        <f t="shared" si="874"/>
        <v>353.03999999999996</v>
      </c>
      <c r="AG295" s="85">
        <f t="shared" si="875"/>
        <v>1712.1600000000003</v>
      </c>
      <c r="AH295" s="85">
        <f>'Consumer Hardware Pricing'!AA303</f>
        <v>390</v>
      </c>
      <c r="AI295" s="85">
        <f t="shared" si="866"/>
        <v>30.959999999999994</v>
      </c>
      <c r="AJ295" s="85">
        <f t="shared" si="876"/>
        <v>55.090000000000018</v>
      </c>
      <c r="AK295" s="85">
        <f t="shared" si="877"/>
        <v>743.03999999999985</v>
      </c>
      <c r="AL295" s="85">
        <f t="shared" si="878"/>
        <v>1322.1600000000003</v>
      </c>
      <c r="AM295" s="85">
        <f>'Consumer Hardware Pricing'!AC303</f>
        <v>0</v>
      </c>
      <c r="AN295" s="85">
        <f t="shared" si="867"/>
        <v>86.050000000000011</v>
      </c>
      <c r="AO295" s="85">
        <f>'Consumer Hardware Pricing'!AD303</f>
        <v>14.709999999999999</v>
      </c>
      <c r="AP295" s="85">
        <f t="shared" si="879"/>
        <v>71.340000000000018</v>
      </c>
      <c r="AQ295" s="85">
        <f t="shared" si="880"/>
        <v>353.03999999999996</v>
      </c>
      <c r="AR295" s="85">
        <f t="shared" si="881"/>
        <v>1712.1600000000003</v>
      </c>
      <c r="AS295" s="85">
        <f>'Consumer Hardware Pricing'!AF303</f>
        <v>390</v>
      </c>
      <c r="AT295" s="85">
        <f t="shared" si="868"/>
        <v>30.959999999999994</v>
      </c>
      <c r="AU295" s="85">
        <f t="shared" si="882"/>
        <v>55.090000000000018</v>
      </c>
      <c r="AV295" s="85">
        <f t="shared" si="883"/>
        <v>743.03999999999985</v>
      </c>
      <c r="AW295" s="85">
        <f t="shared" si="884"/>
        <v>1322.1600000000003</v>
      </c>
      <c r="AX295" s="85" t="str">
        <f>'Consumer Hardware Pricing'!AH303</f>
        <v>-</v>
      </c>
      <c r="AY295" s="85" t="str">
        <f t="shared" si="869"/>
        <v>-</v>
      </c>
      <c r="AZ295" s="85" t="str">
        <f>'Consumer Hardware Pricing'!AI303</f>
        <v>-</v>
      </c>
      <c r="BA295" s="85" t="str">
        <f t="shared" si="804"/>
        <v>-</v>
      </c>
      <c r="BB295" s="85" t="str">
        <f t="shared" si="805"/>
        <v>-</v>
      </c>
      <c r="BC295" s="85" t="str">
        <f t="shared" si="821"/>
        <v>-</v>
      </c>
      <c r="BD295" s="85" t="str">
        <f>'Consumer Hardware Pricing'!AL303</f>
        <v>-</v>
      </c>
      <c r="BE295" s="85" t="str">
        <f t="shared" si="870"/>
        <v>-</v>
      </c>
      <c r="BF295" s="85" t="str">
        <f>'Consumer Hardware Pricing'!AM303</f>
        <v>-</v>
      </c>
      <c r="BG295" s="85" t="str">
        <f t="shared" si="806"/>
        <v>-</v>
      </c>
      <c r="BH295" s="85" t="str">
        <f t="shared" si="807"/>
        <v>-</v>
      </c>
      <c r="BI295" s="85" t="str">
        <f t="shared" si="822"/>
        <v>-</v>
      </c>
      <c r="BJ295" s="85" t="str">
        <f>'Consumer Hardware Pricing'!AP303</f>
        <v>-</v>
      </c>
      <c r="BK295" s="85" t="str">
        <f t="shared" si="871"/>
        <v>-</v>
      </c>
      <c r="BL295" s="85" t="str">
        <f>'Consumer Hardware Pricing'!AQ303</f>
        <v>-</v>
      </c>
      <c r="BM295" s="85" t="str">
        <f t="shared" si="808"/>
        <v>-</v>
      </c>
      <c r="BN295" s="85" t="str">
        <f t="shared" si="809"/>
        <v>-</v>
      </c>
      <c r="BO295" s="85" t="str">
        <f t="shared" si="823"/>
        <v>-</v>
      </c>
      <c r="BP295" s="85" t="str">
        <f>'Consumer Hardware Pricing'!AT303</f>
        <v>-</v>
      </c>
      <c r="BQ295" s="85" t="str">
        <f t="shared" si="872"/>
        <v>-</v>
      </c>
      <c r="BR295" s="85" t="str">
        <f>'Consumer Hardware Pricing'!AU303</f>
        <v>-</v>
      </c>
      <c r="BS295" s="85" t="str">
        <f t="shared" si="810"/>
        <v>-</v>
      </c>
      <c r="BT295" s="85" t="str">
        <f t="shared" si="811"/>
        <v>-</v>
      </c>
      <c r="BU295" s="85" t="str">
        <f t="shared" si="824"/>
        <v>-</v>
      </c>
    </row>
    <row r="296" spans="1:73" ht="30.15" customHeight="1" x14ac:dyDescent="0.25">
      <c r="A296" s="87" t="s">
        <v>34</v>
      </c>
      <c r="B296" s="88" t="s">
        <v>689</v>
      </c>
      <c r="C296" s="88" t="s">
        <v>657</v>
      </c>
      <c r="D296" s="85">
        <f>'Consumer Hardware Pricing'!L304</f>
        <v>1415</v>
      </c>
      <c r="E296" s="85">
        <f>'Consumer Hardware Pricing'!M304</f>
        <v>1415</v>
      </c>
      <c r="F296" s="85">
        <f>'Consumer Hardware Pricing'!N304</f>
        <v>0</v>
      </c>
      <c r="G296" s="85">
        <f t="shared" si="862"/>
        <v>58.96</v>
      </c>
      <c r="H296" s="85">
        <f>'Consumer Hardware Pricing'!O304</f>
        <v>12.709999999999999</v>
      </c>
      <c r="I296" s="85">
        <f t="shared" si="800"/>
        <v>46.25</v>
      </c>
      <c r="J296" s="85">
        <f t="shared" si="812"/>
        <v>305.03999999999996</v>
      </c>
      <c r="K296" s="85">
        <f t="shared" si="813"/>
        <v>1110</v>
      </c>
      <c r="L296" s="85">
        <f>'Consumer Hardware Pricing'!Q304</f>
        <v>270</v>
      </c>
      <c r="M296" s="85">
        <f t="shared" si="863"/>
        <v>23.96</v>
      </c>
      <c r="N296" s="85">
        <f t="shared" si="801"/>
        <v>35</v>
      </c>
      <c r="O296" s="85">
        <f t="shared" si="802"/>
        <v>575.04</v>
      </c>
      <c r="P296" s="85">
        <f t="shared" si="814"/>
        <v>840</v>
      </c>
      <c r="Q296" s="85">
        <f>'Consumer Hardware Pricing'!S304</f>
        <v>0</v>
      </c>
      <c r="R296" s="85">
        <f t="shared" si="803"/>
        <v>58.96</v>
      </c>
      <c r="S296" s="85">
        <f>'Consumer Hardware Pricing'!T304</f>
        <v>12.709999999999999</v>
      </c>
      <c r="T296" s="129">
        <f t="shared" si="815"/>
        <v>46.25</v>
      </c>
      <c r="U296" s="129">
        <f t="shared" si="816"/>
        <v>305.03999999999996</v>
      </c>
      <c r="V296" s="85">
        <f t="shared" si="817"/>
        <v>1110</v>
      </c>
      <c r="W296" s="129">
        <f>'Consumer Hardware Pricing'!V304</f>
        <v>270</v>
      </c>
      <c r="X296" s="129">
        <f t="shared" si="864"/>
        <v>23.96</v>
      </c>
      <c r="Y296" s="129">
        <f t="shared" si="818"/>
        <v>35</v>
      </c>
      <c r="Z296" s="129">
        <f t="shared" si="819"/>
        <v>575.04</v>
      </c>
      <c r="AA296" s="85">
        <f t="shared" si="820"/>
        <v>840</v>
      </c>
      <c r="AB296" s="85">
        <f>'Consumer Hardware Pricing'!X304</f>
        <v>0</v>
      </c>
      <c r="AC296" s="85">
        <f t="shared" si="865"/>
        <v>58.96</v>
      </c>
      <c r="AD296" s="85">
        <f>'Consumer Hardware Pricing'!Y304</f>
        <v>13.129999999999999</v>
      </c>
      <c r="AE296" s="85">
        <f t="shared" si="873"/>
        <v>45.83</v>
      </c>
      <c r="AF296" s="85">
        <f t="shared" si="874"/>
        <v>315.12</v>
      </c>
      <c r="AG296" s="85">
        <f t="shared" si="875"/>
        <v>1099.92</v>
      </c>
      <c r="AH296" s="85">
        <f>'Consumer Hardware Pricing'!AA304</f>
        <v>270</v>
      </c>
      <c r="AI296" s="85">
        <f t="shared" si="866"/>
        <v>24.380000000000003</v>
      </c>
      <c r="AJ296" s="85">
        <f t="shared" si="876"/>
        <v>34.58</v>
      </c>
      <c r="AK296" s="85">
        <f t="shared" si="877"/>
        <v>585.12000000000012</v>
      </c>
      <c r="AL296" s="85">
        <f t="shared" si="878"/>
        <v>829.92</v>
      </c>
      <c r="AM296" s="85">
        <f>'Consumer Hardware Pricing'!AC304</f>
        <v>0</v>
      </c>
      <c r="AN296" s="85">
        <f t="shared" si="867"/>
        <v>58.96</v>
      </c>
      <c r="AO296" s="85">
        <f>'Consumer Hardware Pricing'!AD304</f>
        <v>13.129999999999999</v>
      </c>
      <c r="AP296" s="85">
        <f t="shared" si="879"/>
        <v>45.83</v>
      </c>
      <c r="AQ296" s="85">
        <f t="shared" si="880"/>
        <v>315.12</v>
      </c>
      <c r="AR296" s="85">
        <f t="shared" si="881"/>
        <v>1099.92</v>
      </c>
      <c r="AS296" s="85">
        <f>'Consumer Hardware Pricing'!AF304</f>
        <v>270</v>
      </c>
      <c r="AT296" s="85">
        <f t="shared" si="868"/>
        <v>24.380000000000003</v>
      </c>
      <c r="AU296" s="85">
        <f t="shared" si="882"/>
        <v>34.58</v>
      </c>
      <c r="AV296" s="85">
        <f t="shared" si="883"/>
        <v>585.12000000000012</v>
      </c>
      <c r="AW296" s="85">
        <f t="shared" si="884"/>
        <v>829.92</v>
      </c>
      <c r="AX296" s="85" t="str">
        <f>'Consumer Hardware Pricing'!AH304</f>
        <v>-</v>
      </c>
      <c r="AY296" s="85" t="str">
        <f t="shared" si="869"/>
        <v>-</v>
      </c>
      <c r="AZ296" s="85" t="str">
        <f>'Consumer Hardware Pricing'!AI304</f>
        <v>-</v>
      </c>
      <c r="BA296" s="85" t="str">
        <f t="shared" si="804"/>
        <v>-</v>
      </c>
      <c r="BB296" s="85" t="str">
        <f t="shared" si="805"/>
        <v>-</v>
      </c>
      <c r="BC296" s="85" t="str">
        <f t="shared" si="821"/>
        <v>-</v>
      </c>
      <c r="BD296" s="85" t="str">
        <f>'Consumer Hardware Pricing'!AL304</f>
        <v>-</v>
      </c>
      <c r="BE296" s="85" t="str">
        <f t="shared" si="870"/>
        <v>-</v>
      </c>
      <c r="BF296" s="85" t="str">
        <f>'Consumer Hardware Pricing'!AM304</f>
        <v>-</v>
      </c>
      <c r="BG296" s="85" t="str">
        <f t="shared" si="806"/>
        <v>-</v>
      </c>
      <c r="BH296" s="85" t="str">
        <f t="shared" si="807"/>
        <v>-</v>
      </c>
      <c r="BI296" s="85" t="str">
        <f t="shared" si="822"/>
        <v>-</v>
      </c>
      <c r="BJ296" s="85" t="str">
        <f>'Consumer Hardware Pricing'!AP304</f>
        <v>-</v>
      </c>
      <c r="BK296" s="85" t="str">
        <f t="shared" si="871"/>
        <v>-</v>
      </c>
      <c r="BL296" s="85" t="str">
        <f>'Consumer Hardware Pricing'!AQ304</f>
        <v>-</v>
      </c>
      <c r="BM296" s="85" t="str">
        <f t="shared" si="808"/>
        <v>-</v>
      </c>
      <c r="BN296" s="85" t="str">
        <f t="shared" si="809"/>
        <v>-</v>
      </c>
      <c r="BO296" s="85" t="str">
        <f t="shared" si="823"/>
        <v>-</v>
      </c>
      <c r="BP296" s="85" t="str">
        <f>'Consumer Hardware Pricing'!AT304</f>
        <v>-</v>
      </c>
      <c r="BQ296" s="85" t="str">
        <f t="shared" si="872"/>
        <v>-</v>
      </c>
      <c r="BR296" s="85" t="str">
        <f>'Consumer Hardware Pricing'!AU304</f>
        <v>-</v>
      </c>
      <c r="BS296" s="85" t="str">
        <f t="shared" si="810"/>
        <v>-</v>
      </c>
      <c r="BT296" s="85" t="str">
        <f t="shared" si="811"/>
        <v>-</v>
      </c>
      <c r="BU296" s="85" t="str">
        <f t="shared" si="824"/>
        <v>-</v>
      </c>
    </row>
    <row r="297" spans="1:73" ht="30.15" customHeight="1" x14ac:dyDescent="0.25">
      <c r="A297" s="87" t="s">
        <v>34</v>
      </c>
      <c r="B297" s="88" t="s">
        <v>690</v>
      </c>
      <c r="C297" s="88" t="s">
        <v>657</v>
      </c>
      <c r="D297" s="85">
        <f>'Consumer Hardware Pricing'!L305</f>
        <v>1415</v>
      </c>
      <c r="E297" s="85">
        <f>'Consumer Hardware Pricing'!M305</f>
        <v>1415</v>
      </c>
      <c r="F297" s="85">
        <f>'Consumer Hardware Pricing'!N305</f>
        <v>0</v>
      </c>
      <c r="G297" s="85">
        <f t="shared" si="862"/>
        <v>58.96</v>
      </c>
      <c r="H297" s="85">
        <f>'Consumer Hardware Pricing'!O305</f>
        <v>12.709999999999999</v>
      </c>
      <c r="I297" s="85">
        <f t="shared" si="800"/>
        <v>46.25</v>
      </c>
      <c r="J297" s="85">
        <f t="shared" si="812"/>
        <v>305.03999999999996</v>
      </c>
      <c r="K297" s="85">
        <f t="shared" si="813"/>
        <v>1110</v>
      </c>
      <c r="L297" s="85">
        <f>'Consumer Hardware Pricing'!Q305</f>
        <v>270</v>
      </c>
      <c r="M297" s="85">
        <f t="shared" si="863"/>
        <v>23.96</v>
      </c>
      <c r="N297" s="85">
        <f t="shared" si="801"/>
        <v>35</v>
      </c>
      <c r="O297" s="85">
        <f t="shared" si="802"/>
        <v>575.04</v>
      </c>
      <c r="P297" s="85">
        <f t="shared" si="814"/>
        <v>840</v>
      </c>
      <c r="Q297" s="85">
        <f>'Consumer Hardware Pricing'!S305</f>
        <v>0</v>
      </c>
      <c r="R297" s="85">
        <f t="shared" si="803"/>
        <v>58.96</v>
      </c>
      <c r="S297" s="85">
        <f>'Consumer Hardware Pricing'!T305</f>
        <v>12.709999999999999</v>
      </c>
      <c r="T297" s="129">
        <f t="shared" si="815"/>
        <v>46.25</v>
      </c>
      <c r="U297" s="129">
        <f t="shared" si="816"/>
        <v>305.03999999999996</v>
      </c>
      <c r="V297" s="85">
        <f t="shared" si="817"/>
        <v>1110</v>
      </c>
      <c r="W297" s="129">
        <f>'Consumer Hardware Pricing'!V305</f>
        <v>270</v>
      </c>
      <c r="X297" s="129">
        <f t="shared" si="864"/>
        <v>23.96</v>
      </c>
      <c r="Y297" s="129">
        <f t="shared" si="818"/>
        <v>35</v>
      </c>
      <c r="Z297" s="129">
        <f t="shared" si="819"/>
        <v>575.04</v>
      </c>
      <c r="AA297" s="85">
        <f t="shared" si="820"/>
        <v>840</v>
      </c>
      <c r="AB297" s="85">
        <f>'Consumer Hardware Pricing'!X305</f>
        <v>0</v>
      </c>
      <c r="AC297" s="85">
        <f t="shared" si="865"/>
        <v>58.96</v>
      </c>
      <c r="AD297" s="85">
        <f>'Consumer Hardware Pricing'!Y305</f>
        <v>13.129999999999999</v>
      </c>
      <c r="AE297" s="85">
        <f t="shared" si="873"/>
        <v>45.83</v>
      </c>
      <c r="AF297" s="85">
        <f t="shared" si="874"/>
        <v>315.12</v>
      </c>
      <c r="AG297" s="85">
        <f t="shared" si="875"/>
        <v>1099.92</v>
      </c>
      <c r="AH297" s="85">
        <f>'Consumer Hardware Pricing'!AA305</f>
        <v>270</v>
      </c>
      <c r="AI297" s="85">
        <f t="shared" si="866"/>
        <v>24.380000000000003</v>
      </c>
      <c r="AJ297" s="85">
        <f t="shared" si="876"/>
        <v>34.58</v>
      </c>
      <c r="AK297" s="85">
        <f t="shared" si="877"/>
        <v>585.12000000000012</v>
      </c>
      <c r="AL297" s="85">
        <f t="shared" si="878"/>
        <v>829.92</v>
      </c>
      <c r="AM297" s="85">
        <f>'Consumer Hardware Pricing'!AC305</f>
        <v>0</v>
      </c>
      <c r="AN297" s="85">
        <f t="shared" si="867"/>
        <v>58.96</v>
      </c>
      <c r="AO297" s="85">
        <f>'Consumer Hardware Pricing'!AD305</f>
        <v>13.129999999999999</v>
      </c>
      <c r="AP297" s="85">
        <f t="shared" si="879"/>
        <v>45.83</v>
      </c>
      <c r="AQ297" s="85">
        <f t="shared" si="880"/>
        <v>315.12</v>
      </c>
      <c r="AR297" s="85">
        <f t="shared" si="881"/>
        <v>1099.92</v>
      </c>
      <c r="AS297" s="85">
        <f>'Consumer Hardware Pricing'!AF305</f>
        <v>270</v>
      </c>
      <c r="AT297" s="85">
        <f t="shared" si="868"/>
        <v>24.380000000000003</v>
      </c>
      <c r="AU297" s="85">
        <f t="shared" si="882"/>
        <v>34.58</v>
      </c>
      <c r="AV297" s="85">
        <f t="shared" si="883"/>
        <v>585.12000000000012</v>
      </c>
      <c r="AW297" s="85">
        <f t="shared" si="884"/>
        <v>829.92</v>
      </c>
      <c r="AX297" s="85" t="str">
        <f>'Consumer Hardware Pricing'!AH305</f>
        <v>-</v>
      </c>
      <c r="AY297" s="85" t="str">
        <f t="shared" si="869"/>
        <v>-</v>
      </c>
      <c r="AZ297" s="85" t="str">
        <f>'Consumer Hardware Pricing'!AI305</f>
        <v>-</v>
      </c>
      <c r="BA297" s="85" t="str">
        <f t="shared" si="804"/>
        <v>-</v>
      </c>
      <c r="BB297" s="85" t="str">
        <f t="shared" si="805"/>
        <v>-</v>
      </c>
      <c r="BC297" s="85" t="str">
        <f t="shared" si="821"/>
        <v>-</v>
      </c>
      <c r="BD297" s="85" t="str">
        <f>'Consumer Hardware Pricing'!AL305</f>
        <v>-</v>
      </c>
      <c r="BE297" s="85" t="str">
        <f t="shared" si="870"/>
        <v>-</v>
      </c>
      <c r="BF297" s="85" t="str">
        <f>'Consumer Hardware Pricing'!AM305</f>
        <v>-</v>
      </c>
      <c r="BG297" s="85" t="str">
        <f t="shared" si="806"/>
        <v>-</v>
      </c>
      <c r="BH297" s="85" t="str">
        <f t="shared" si="807"/>
        <v>-</v>
      </c>
      <c r="BI297" s="85" t="str">
        <f t="shared" si="822"/>
        <v>-</v>
      </c>
      <c r="BJ297" s="85" t="str">
        <f>'Consumer Hardware Pricing'!AP305</f>
        <v>-</v>
      </c>
      <c r="BK297" s="85" t="str">
        <f t="shared" si="871"/>
        <v>-</v>
      </c>
      <c r="BL297" s="85" t="str">
        <f>'Consumer Hardware Pricing'!AQ305</f>
        <v>-</v>
      </c>
      <c r="BM297" s="85" t="str">
        <f t="shared" si="808"/>
        <v>-</v>
      </c>
      <c r="BN297" s="85" t="str">
        <f t="shared" si="809"/>
        <v>-</v>
      </c>
      <c r="BO297" s="85" t="str">
        <f t="shared" si="823"/>
        <v>-</v>
      </c>
      <c r="BP297" s="85" t="str">
        <f>'Consumer Hardware Pricing'!AT305</f>
        <v>-</v>
      </c>
      <c r="BQ297" s="85" t="str">
        <f t="shared" si="872"/>
        <v>-</v>
      </c>
      <c r="BR297" s="85" t="str">
        <f>'Consumer Hardware Pricing'!AU305</f>
        <v>-</v>
      </c>
      <c r="BS297" s="85" t="str">
        <f t="shared" si="810"/>
        <v>-</v>
      </c>
      <c r="BT297" s="85" t="str">
        <f t="shared" si="811"/>
        <v>-</v>
      </c>
      <c r="BU297" s="85" t="str">
        <f t="shared" si="824"/>
        <v>-</v>
      </c>
    </row>
    <row r="298" spans="1:73" ht="30.15" customHeight="1" x14ac:dyDescent="0.25">
      <c r="A298" s="87" t="s">
        <v>34</v>
      </c>
      <c r="B298" s="88" t="s">
        <v>691</v>
      </c>
      <c r="C298" s="88" t="s">
        <v>657</v>
      </c>
      <c r="D298" s="85">
        <f>'Consumer Hardware Pricing'!L306</f>
        <v>1415</v>
      </c>
      <c r="E298" s="85">
        <f>'Consumer Hardware Pricing'!M306</f>
        <v>1415</v>
      </c>
      <c r="F298" s="85">
        <f>'Consumer Hardware Pricing'!N306</f>
        <v>0</v>
      </c>
      <c r="G298" s="85">
        <f t="shared" si="862"/>
        <v>58.96</v>
      </c>
      <c r="H298" s="85">
        <f>'Consumer Hardware Pricing'!O306</f>
        <v>12.709999999999999</v>
      </c>
      <c r="I298" s="85">
        <f t="shared" si="800"/>
        <v>46.25</v>
      </c>
      <c r="J298" s="85">
        <f t="shared" si="812"/>
        <v>305.03999999999996</v>
      </c>
      <c r="K298" s="85">
        <f t="shared" si="813"/>
        <v>1110</v>
      </c>
      <c r="L298" s="85">
        <f>'Consumer Hardware Pricing'!Q306</f>
        <v>270</v>
      </c>
      <c r="M298" s="85">
        <f t="shared" si="863"/>
        <v>23.96</v>
      </c>
      <c r="N298" s="85">
        <f t="shared" si="801"/>
        <v>35</v>
      </c>
      <c r="O298" s="85">
        <f t="shared" si="802"/>
        <v>575.04</v>
      </c>
      <c r="P298" s="85">
        <f t="shared" si="814"/>
        <v>840</v>
      </c>
      <c r="Q298" s="85">
        <f>'Consumer Hardware Pricing'!S306</f>
        <v>0</v>
      </c>
      <c r="R298" s="85">
        <f t="shared" si="803"/>
        <v>58.96</v>
      </c>
      <c r="S298" s="85">
        <f>'Consumer Hardware Pricing'!T306</f>
        <v>12.709999999999999</v>
      </c>
      <c r="T298" s="129">
        <f t="shared" si="815"/>
        <v>46.25</v>
      </c>
      <c r="U298" s="129">
        <f t="shared" si="816"/>
        <v>305.03999999999996</v>
      </c>
      <c r="V298" s="85">
        <f t="shared" si="817"/>
        <v>1110</v>
      </c>
      <c r="W298" s="129">
        <f>'Consumer Hardware Pricing'!V306</f>
        <v>270</v>
      </c>
      <c r="X298" s="129">
        <f t="shared" si="864"/>
        <v>23.96</v>
      </c>
      <c r="Y298" s="129">
        <f t="shared" si="818"/>
        <v>35</v>
      </c>
      <c r="Z298" s="129">
        <f t="shared" si="819"/>
        <v>575.04</v>
      </c>
      <c r="AA298" s="85">
        <f t="shared" si="820"/>
        <v>840</v>
      </c>
      <c r="AB298" s="85">
        <f>'Consumer Hardware Pricing'!X306</f>
        <v>0</v>
      </c>
      <c r="AC298" s="85">
        <f t="shared" si="865"/>
        <v>58.96</v>
      </c>
      <c r="AD298" s="85">
        <f>'Consumer Hardware Pricing'!Y306</f>
        <v>13.129999999999999</v>
      </c>
      <c r="AE298" s="85">
        <f t="shared" si="873"/>
        <v>45.83</v>
      </c>
      <c r="AF298" s="85">
        <f t="shared" si="874"/>
        <v>315.12</v>
      </c>
      <c r="AG298" s="85">
        <f t="shared" si="875"/>
        <v>1099.92</v>
      </c>
      <c r="AH298" s="85">
        <f>'Consumer Hardware Pricing'!AA306</f>
        <v>270</v>
      </c>
      <c r="AI298" s="85">
        <f t="shared" si="866"/>
        <v>24.380000000000003</v>
      </c>
      <c r="AJ298" s="85">
        <f t="shared" si="876"/>
        <v>34.58</v>
      </c>
      <c r="AK298" s="85">
        <f t="shared" si="877"/>
        <v>585.12000000000012</v>
      </c>
      <c r="AL298" s="85">
        <f t="shared" si="878"/>
        <v>829.92</v>
      </c>
      <c r="AM298" s="85">
        <f>'Consumer Hardware Pricing'!AC306</f>
        <v>0</v>
      </c>
      <c r="AN298" s="85">
        <f t="shared" si="867"/>
        <v>58.96</v>
      </c>
      <c r="AO298" s="85">
        <f>'Consumer Hardware Pricing'!AD306</f>
        <v>13.129999999999999</v>
      </c>
      <c r="AP298" s="85">
        <f t="shared" si="879"/>
        <v>45.83</v>
      </c>
      <c r="AQ298" s="85">
        <f t="shared" si="880"/>
        <v>315.12</v>
      </c>
      <c r="AR298" s="85">
        <f t="shared" si="881"/>
        <v>1099.92</v>
      </c>
      <c r="AS298" s="85">
        <f>'Consumer Hardware Pricing'!AF306</f>
        <v>270</v>
      </c>
      <c r="AT298" s="85">
        <f t="shared" si="868"/>
        <v>24.380000000000003</v>
      </c>
      <c r="AU298" s="85">
        <f t="shared" si="882"/>
        <v>34.58</v>
      </c>
      <c r="AV298" s="85">
        <f t="shared" si="883"/>
        <v>585.12000000000012</v>
      </c>
      <c r="AW298" s="85">
        <f t="shared" si="884"/>
        <v>829.92</v>
      </c>
      <c r="AX298" s="85" t="str">
        <f>'Consumer Hardware Pricing'!AH306</f>
        <v>-</v>
      </c>
      <c r="AY298" s="85" t="str">
        <f t="shared" si="869"/>
        <v>-</v>
      </c>
      <c r="AZ298" s="85" t="str">
        <f>'Consumer Hardware Pricing'!AI306</f>
        <v>-</v>
      </c>
      <c r="BA298" s="85" t="str">
        <f t="shared" si="804"/>
        <v>-</v>
      </c>
      <c r="BB298" s="85" t="str">
        <f t="shared" si="805"/>
        <v>-</v>
      </c>
      <c r="BC298" s="85" t="str">
        <f t="shared" si="821"/>
        <v>-</v>
      </c>
      <c r="BD298" s="85" t="str">
        <f>'Consumer Hardware Pricing'!AL306</f>
        <v>-</v>
      </c>
      <c r="BE298" s="85" t="str">
        <f t="shared" si="870"/>
        <v>-</v>
      </c>
      <c r="BF298" s="85" t="str">
        <f>'Consumer Hardware Pricing'!AM306</f>
        <v>-</v>
      </c>
      <c r="BG298" s="85" t="str">
        <f t="shared" si="806"/>
        <v>-</v>
      </c>
      <c r="BH298" s="85" t="str">
        <f t="shared" si="807"/>
        <v>-</v>
      </c>
      <c r="BI298" s="85" t="str">
        <f t="shared" si="822"/>
        <v>-</v>
      </c>
      <c r="BJ298" s="85" t="str">
        <f>'Consumer Hardware Pricing'!AP306</f>
        <v>-</v>
      </c>
      <c r="BK298" s="85" t="str">
        <f t="shared" si="871"/>
        <v>-</v>
      </c>
      <c r="BL298" s="85" t="str">
        <f>'Consumer Hardware Pricing'!AQ306</f>
        <v>-</v>
      </c>
      <c r="BM298" s="85" t="str">
        <f t="shared" si="808"/>
        <v>-</v>
      </c>
      <c r="BN298" s="85" t="str">
        <f t="shared" si="809"/>
        <v>-</v>
      </c>
      <c r="BO298" s="85" t="str">
        <f t="shared" si="823"/>
        <v>-</v>
      </c>
      <c r="BP298" s="85" t="str">
        <f>'Consumer Hardware Pricing'!AT306</f>
        <v>-</v>
      </c>
      <c r="BQ298" s="85" t="str">
        <f t="shared" si="872"/>
        <v>-</v>
      </c>
      <c r="BR298" s="85" t="str">
        <f>'Consumer Hardware Pricing'!AU306</f>
        <v>-</v>
      </c>
      <c r="BS298" s="85" t="str">
        <f t="shared" si="810"/>
        <v>-</v>
      </c>
      <c r="BT298" s="85" t="str">
        <f t="shared" si="811"/>
        <v>-</v>
      </c>
      <c r="BU298" s="85" t="str">
        <f t="shared" si="824"/>
        <v>-</v>
      </c>
    </row>
    <row r="299" spans="1:73" ht="30.15" customHeight="1" x14ac:dyDescent="0.25">
      <c r="A299" s="87" t="s">
        <v>34</v>
      </c>
      <c r="B299" s="88" t="s">
        <v>692</v>
      </c>
      <c r="C299" s="88" t="s">
        <v>657</v>
      </c>
      <c r="D299" s="85">
        <f>'Consumer Hardware Pricing'!L307</f>
        <v>1415</v>
      </c>
      <c r="E299" s="85">
        <f>'Consumer Hardware Pricing'!M307</f>
        <v>1415</v>
      </c>
      <c r="F299" s="85">
        <f>'Consumer Hardware Pricing'!N307</f>
        <v>0</v>
      </c>
      <c r="G299" s="85">
        <f t="shared" si="862"/>
        <v>58.96</v>
      </c>
      <c r="H299" s="85">
        <f>'Consumer Hardware Pricing'!O307</f>
        <v>12.709999999999999</v>
      </c>
      <c r="I299" s="85">
        <f t="shared" si="800"/>
        <v>46.25</v>
      </c>
      <c r="J299" s="85">
        <f t="shared" si="812"/>
        <v>305.03999999999996</v>
      </c>
      <c r="K299" s="85">
        <f t="shared" si="813"/>
        <v>1110</v>
      </c>
      <c r="L299" s="85">
        <f>'Consumer Hardware Pricing'!Q307</f>
        <v>270</v>
      </c>
      <c r="M299" s="85">
        <f t="shared" si="863"/>
        <v>23.96</v>
      </c>
      <c r="N299" s="85">
        <f t="shared" si="801"/>
        <v>35</v>
      </c>
      <c r="O299" s="85">
        <f t="shared" si="802"/>
        <v>575.04</v>
      </c>
      <c r="P299" s="85">
        <f t="shared" si="814"/>
        <v>840</v>
      </c>
      <c r="Q299" s="85">
        <f>'Consumer Hardware Pricing'!S307</f>
        <v>0</v>
      </c>
      <c r="R299" s="85">
        <f t="shared" si="803"/>
        <v>58.96</v>
      </c>
      <c r="S299" s="85">
        <f>'Consumer Hardware Pricing'!T307</f>
        <v>12.709999999999999</v>
      </c>
      <c r="T299" s="129">
        <f t="shared" si="815"/>
        <v>46.25</v>
      </c>
      <c r="U299" s="129">
        <f t="shared" si="816"/>
        <v>305.03999999999996</v>
      </c>
      <c r="V299" s="85">
        <f t="shared" si="817"/>
        <v>1110</v>
      </c>
      <c r="W299" s="129">
        <f>'Consumer Hardware Pricing'!V307</f>
        <v>270</v>
      </c>
      <c r="X299" s="129">
        <f t="shared" si="864"/>
        <v>23.96</v>
      </c>
      <c r="Y299" s="129">
        <f t="shared" si="818"/>
        <v>35</v>
      </c>
      <c r="Z299" s="129">
        <f t="shared" si="819"/>
        <v>575.04</v>
      </c>
      <c r="AA299" s="85">
        <f t="shared" si="820"/>
        <v>840</v>
      </c>
      <c r="AB299" s="85">
        <f>'Consumer Hardware Pricing'!X307</f>
        <v>0</v>
      </c>
      <c r="AC299" s="85">
        <f t="shared" si="865"/>
        <v>58.96</v>
      </c>
      <c r="AD299" s="85">
        <f>'Consumer Hardware Pricing'!Y307</f>
        <v>13.129999999999999</v>
      </c>
      <c r="AE299" s="85">
        <f t="shared" si="873"/>
        <v>45.83</v>
      </c>
      <c r="AF299" s="85">
        <f t="shared" si="874"/>
        <v>315.12</v>
      </c>
      <c r="AG299" s="85">
        <f t="shared" si="875"/>
        <v>1099.92</v>
      </c>
      <c r="AH299" s="85">
        <f>'Consumer Hardware Pricing'!AA307</f>
        <v>270</v>
      </c>
      <c r="AI299" s="85">
        <f t="shared" si="866"/>
        <v>24.380000000000003</v>
      </c>
      <c r="AJ299" s="85">
        <f t="shared" si="876"/>
        <v>34.58</v>
      </c>
      <c r="AK299" s="85">
        <f t="shared" si="877"/>
        <v>585.12000000000012</v>
      </c>
      <c r="AL299" s="85">
        <f t="shared" si="878"/>
        <v>829.92</v>
      </c>
      <c r="AM299" s="85">
        <f>'Consumer Hardware Pricing'!AC307</f>
        <v>0</v>
      </c>
      <c r="AN299" s="85">
        <f t="shared" si="867"/>
        <v>58.96</v>
      </c>
      <c r="AO299" s="85">
        <f>'Consumer Hardware Pricing'!AD307</f>
        <v>13.129999999999999</v>
      </c>
      <c r="AP299" s="85">
        <f t="shared" si="879"/>
        <v>45.83</v>
      </c>
      <c r="AQ299" s="85">
        <f t="shared" si="880"/>
        <v>315.12</v>
      </c>
      <c r="AR299" s="85">
        <f t="shared" si="881"/>
        <v>1099.92</v>
      </c>
      <c r="AS299" s="85">
        <f>'Consumer Hardware Pricing'!AF307</f>
        <v>270</v>
      </c>
      <c r="AT299" s="85">
        <f t="shared" si="868"/>
        <v>24.380000000000003</v>
      </c>
      <c r="AU299" s="85">
        <f t="shared" si="882"/>
        <v>34.58</v>
      </c>
      <c r="AV299" s="85">
        <f t="shared" si="883"/>
        <v>585.12000000000012</v>
      </c>
      <c r="AW299" s="85">
        <f t="shared" si="884"/>
        <v>829.92</v>
      </c>
      <c r="AX299" s="85" t="str">
        <f>'Consumer Hardware Pricing'!AH307</f>
        <v>-</v>
      </c>
      <c r="AY299" s="85" t="str">
        <f t="shared" si="869"/>
        <v>-</v>
      </c>
      <c r="AZ299" s="85" t="str">
        <f>'Consumer Hardware Pricing'!AI307</f>
        <v>-</v>
      </c>
      <c r="BA299" s="85" t="str">
        <f t="shared" si="804"/>
        <v>-</v>
      </c>
      <c r="BB299" s="85" t="str">
        <f t="shared" si="805"/>
        <v>-</v>
      </c>
      <c r="BC299" s="85" t="str">
        <f t="shared" si="821"/>
        <v>-</v>
      </c>
      <c r="BD299" s="85" t="str">
        <f>'Consumer Hardware Pricing'!AL307</f>
        <v>-</v>
      </c>
      <c r="BE299" s="85" t="str">
        <f t="shared" si="870"/>
        <v>-</v>
      </c>
      <c r="BF299" s="85" t="str">
        <f>'Consumer Hardware Pricing'!AM307</f>
        <v>-</v>
      </c>
      <c r="BG299" s="85" t="str">
        <f t="shared" si="806"/>
        <v>-</v>
      </c>
      <c r="BH299" s="85" t="str">
        <f t="shared" si="807"/>
        <v>-</v>
      </c>
      <c r="BI299" s="85" t="str">
        <f t="shared" si="822"/>
        <v>-</v>
      </c>
      <c r="BJ299" s="85" t="str">
        <f>'Consumer Hardware Pricing'!AP307</f>
        <v>-</v>
      </c>
      <c r="BK299" s="85" t="str">
        <f t="shared" si="871"/>
        <v>-</v>
      </c>
      <c r="BL299" s="85" t="str">
        <f>'Consumer Hardware Pricing'!AQ307</f>
        <v>-</v>
      </c>
      <c r="BM299" s="85" t="str">
        <f t="shared" si="808"/>
        <v>-</v>
      </c>
      <c r="BN299" s="85" t="str">
        <f t="shared" si="809"/>
        <v>-</v>
      </c>
      <c r="BO299" s="85" t="str">
        <f t="shared" si="823"/>
        <v>-</v>
      </c>
      <c r="BP299" s="85" t="str">
        <f>'Consumer Hardware Pricing'!AT307</f>
        <v>-</v>
      </c>
      <c r="BQ299" s="85" t="str">
        <f t="shared" si="872"/>
        <v>-</v>
      </c>
      <c r="BR299" s="85" t="str">
        <f>'Consumer Hardware Pricing'!AU307</f>
        <v>-</v>
      </c>
      <c r="BS299" s="85" t="str">
        <f t="shared" si="810"/>
        <v>-</v>
      </c>
      <c r="BT299" s="85" t="str">
        <f t="shared" si="811"/>
        <v>-</v>
      </c>
      <c r="BU299" s="85" t="str">
        <f t="shared" si="824"/>
        <v>-</v>
      </c>
    </row>
    <row r="300" spans="1:73" ht="30.15" customHeight="1" x14ac:dyDescent="0.25">
      <c r="A300" s="87" t="s">
        <v>34</v>
      </c>
      <c r="B300" s="88" t="s">
        <v>685</v>
      </c>
      <c r="C300" s="88" t="s">
        <v>658</v>
      </c>
      <c r="D300" s="85">
        <f>'Consumer Hardware Pricing'!L308</f>
        <v>1625</v>
      </c>
      <c r="E300" s="85">
        <f>'Consumer Hardware Pricing'!M308</f>
        <v>1625</v>
      </c>
      <c r="F300" s="85">
        <f>'Consumer Hardware Pricing'!N308</f>
        <v>0</v>
      </c>
      <c r="G300" s="85">
        <f t="shared" si="862"/>
        <v>67.710000000000008</v>
      </c>
      <c r="H300" s="85">
        <f>'Consumer Hardware Pricing'!O308</f>
        <v>12.709999999999999</v>
      </c>
      <c r="I300" s="85">
        <f t="shared" si="800"/>
        <v>55.000000000000007</v>
      </c>
      <c r="J300" s="85">
        <f t="shared" si="812"/>
        <v>305.03999999999996</v>
      </c>
      <c r="K300" s="85">
        <f t="shared" si="813"/>
        <v>1320.0000000000002</v>
      </c>
      <c r="L300" s="85">
        <f>'Consumer Hardware Pricing'!Q308</f>
        <v>310</v>
      </c>
      <c r="M300" s="85">
        <f t="shared" si="863"/>
        <v>25.620000000000005</v>
      </c>
      <c r="N300" s="85">
        <f t="shared" si="801"/>
        <v>42.09</v>
      </c>
      <c r="O300" s="85">
        <f t="shared" si="802"/>
        <v>614.88000000000011</v>
      </c>
      <c r="P300" s="85">
        <f t="shared" si="814"/>
        <v>1010.1600000000001</v>
      </c>
      <c r="Q300" s="85">
        <f>'Consumer Hardware Pricing'!S308</f>
        <v>0</v>
      </c>
      <c r="R300" s="85">
        <f t="shared" si="803"/>
        <v>67.710000000000008</v>
      </c>
      <c r="S300" s="85">
        <f>'Consumer Hardware Pricing'!T308</f>
        <v>12.709999999999999</v>
      </c>
      <c r="T300" s="129">
        <f t="shared" si="815"/>
        <v>55.000000000000007</v>
      </c>
      <c r="U300" s="129">
        <f t="shared" si="816"/>
        <v>305.03999999999996</v>
      </c>
      <c r="V300" s="85">
        <f t="shared" si="817"/>
        <v>1320.0000000000002</v>
      </c>
      <c r="W300" s="129">
        <f>'Consumer Hardware Pricing'!V308</f>
        <v>310</v>
      </c>
      <c r="X300" s="129">
        <f t="shared" si="864"/>
        <v>25.620000000000005</v>
      </c>
      <c r="Y300" s="129">
        <f t="shared" si="818"/>
        <v>42.09</v>
      </c>
      <c r="Z300" s="129">
        <f t="shared" si="819"/>
        <v>614.88000000000011</v>
      </c>
      <c r="AA300" s="85">
        <f t="shared" si="820"/>
        <v>1010.1600000000001</v>
      </c>
      <c r="AB300" s="85">
        <f>'Consumer Hardware Pricing'!X308</f>
        <v>0</v>
      </c>
      <c r="AC300" s="85">
        <f t="shared" si="865"/>
        <v>67.710000000000008</v>
      </c>
      <c r="AD300" s="85">
        <f>'Consumer Hardware Pricing'!Y308</f>
        <v>13.129999999999999</v>
      </c>
      <c r="AE300" s="85">
        <f t="shared" si="873"/>
        <v>54.580000000000013</v>
      </c>
      <c r="AF300" s="85">
        <f t="shared" si="874"/>
        <v>315.12</v>
      </c>
      <c r="AG300" s="85">
        <f t="shared" si="875"/>
        <v>1309.9200000000003</v>
      </c>
      <c r="AH300" s="85">
        <f>'Consumer Hardware Pricing'!AA308</f>
        <v>310</v>
      </c>
      <c r="AI300" s="85">
        <f t="shared" si="866"/>
        <v>26.040000000000006</v>
      </c>
      <c r="AJ300" s="85">
        <f t="shared" si="876"/>
        <v>41.67</v>
      </c>
      <c r="AK300" s="85">
        <f t="shared" si="877"/>
        <v>624.96000000000015</v>
      </c>
      <c r="AL300" s="85">
        <f t="shared" si="878"/>
        <v>1000.08</v>
      </c>
      <c r="AM300" s="85">
        <f>'Consumer Hardware Pricing'!AC308</f>
        <v>0</v>
      </c>
      <c r="AN300" s="85">
        <f t="shared" si="867"/>
        <v>67.710000000000008</v>
      </c>
      <c r="AO300" s="85">
        <f>'Consumer Hardware Pricing'!AD308</f>
        <v>13.129999999999999</v>
      </c>
      <c r="AP300" s="85">
        <f t="shared" si="879"/>
        <v>54.580000000000013</v>
      </c>
      <c r="AQ300" s="85">
        <f t="shared" si="880"/>
        <v>315.12</v>
      </c>
      <c r="AR300" s="85">
        <f t="shared" si="881"/>
        <v>1309.9200000000003</v>
      </c>
      <c r="AS300" s="85">
        <f>'Consumer Hardware Pricing'!AF308</f>
        <v>310</v>
      </c>
      <c r="AT300" s="85">
        <f t="shared" si="868"/>
        <v>26.040000000000006</v>
      </c>
      <c r="AU300" s="85">
        <f t="shared" si="882"/>
        <v>41.67</v>
      </c>
      <c r="AV300" s="85">
        <f t="shared" si="883"/>
        <v>624.96000000000015</v>
      </c>
      <c r="AW300" s="85">
        <f t="shared" si="884"/>
        <v>1000.08</v>
      </c>
      <c r="AX300" s="85" t="str">
        <f>'Consumer Hardware Pricing'!AH308</f>
        <v>-</v>
      </c>
      <c r="AY300" s="85" t="str">
        <f t="shared" si="869"/>
        <v>-</v>
      </c>
      <c r="AZ300" s="85" t="str">
        <f>'Consumer Hardware Pricing'!AI308</f>
        <v>-</v>
      </c>
      <c r="BA300" s="85" t="str">
        <f t="shared" si="804"/>
        <v>-</v>
      </c>
      <c r="BB300" s="85" t="str">
        <f t="shared" si="805"/>
        <v>-</v>
      </c>
      <c r="BC300" s="85" t="str">
        <f t="shared" si="821"/>
        <v>-</v>
      </c>
      <c r="BD300" s="85" t="str">
        <f>'Consumer Hardware Pricing'!AL308</f>
        <v>-</v>
      </c>
      <c r="BE300" s="85" t="str">
        <f t="shared" si="870"/>
        <v>-</v>
      </c>
      <c r="BF300" s="85" t="str">
        <f>'Consumer Hardware Pricing'!AM308</f>
        <v>-</v>
      </c>
      <c r="BG300" s="85" t="str">
        <f t="shared" si="806"/>
        <v>-</v>
      </c>
      <c r="BH300" s="85" t="str">
        <f t="shared" si="807"/>
        <v>-</v>
      </c>
      <c r="BI300" s="85" t="str">
        <f t="shared" si="822"/>
        <v>-</v>
      </c>
      <c r="BJ300" s="85" t="str">
        <f>'Consumer Hardware Pricing'!AP308</f>
        <v>-</v>
      </c>
      <c r="BK300" s="85" t="str">
        <f t="shared" si="871"/>
        <v>-</v>
      </c>
      <c r="BL300" s="85" t="str">
        <f>'Consumer Hardware Pricing'!AQ308</f>
        <v>-</v>
      </c>
      <c r="BM300" s="85" t="str">
        <f t="shared" si="808"/>
        <v>-</v>
      </c>
      <c r="BN300" s="85" t="str">
        <f t="shared" si="809"/>
        <v>-</v>
      </c>
      <c r="BO300" s="85" t="str">
        <f t="shared" si="823"/>
        <v>-</v>
      </c>
      <c r="BP300" s="85" t="str">
        <f>'Consumer Hardware Pricing'!AT308</f>
        <v>-</v>
      </c>
      <c r="BQ300" s="85" t="str">
        <f t="shared" si="872"/>
        <v>-</v>
      </c>
      <c r="BR300" s="85" t="str">
        <f>'Consumer Hardware Pricing'!AU308</f>
        <v>-</v>
      </c>
      <c r="BS300" s="85" t="str">
        <f t="shared" si="810"/>
        <v>-</v>
      </c>
      <c r="BT300" s="85" t="str">
        <f t="shared" si="811"/>
        <v>-</v>
      </c>
      <c r="BU300" s="85" t="str">
        <f t="shared" si="824"/>
        <v>-</v>
      </c>
    </row>
    <row r="301" spans="1:73" ht="30.15" customHeight="1" x14ac:dyDescent="0.25">
      <c r="A301" s="87" t="s">
        <v>34</v>
      </c>
      <c r="B301" s="88" t="s">
        <v>686</v>
      </c>
      <c r="C301" s="88" t="s">
        <v>658</v>
      </c>
      <c r="D301" s="85">
        <f>'Consumer Hardware Pricing'!L309</f>
        <v>1625</v>
      </c>
      <c r="E301" s="85">
        <f>'Consumer Hardware Pricing'!M309</f>
        <v>1625</v>
      </c>
      <c r="F301" s="85">
        <f>'Consumer Hardware Pricing'!N309</f>
        <v>0</v>
      </c>
      <c r="G301" s="85">
        <f t="shared" si="862"/>
        <v>67.710000000000008</v>
      </c>
      <c r="H301" s="85">
        <f>'Consumer Hardware Pricing'!O309</f>
        <v>12.709999999999999</v>
      </c>
      <c r="I301" s="85">
        <f t="shared" si="800"/>
        <v>55.000000000000007</v>
      </c>
      <c r="J301" s="85">
        <f t="shared" si="812"/>
        <v>305.03999999999996</v>
      </c>
      <c r="K301" s="85">
        <f t="shared" si="813"/>
        <v>1320.0000000000002</v>
      </c>
      <c r="L301" s="85">
        <f>'Consumer Hardware Pricing'!Q309</f>
        <v>310</v>
      </c>
      <c r="M301" s="85">
        <f t="shared" si="863"/>
        <v>25.620000000000005</v>
      </c>
      <c r="N301" s="85">
        <f t="shared" si="801"/>
        <v>42.09</v>
      </c>
      <c r="O301" s="85">
        <f t="shared" si="802"/>
        <v>614.88000000000011</v>
      </c>
      <c r="P301" s="85">
        <f t="shared" si="814"/>
        <v>1010.1600000000001</v>
      </c>
      <c r="Q301" s="85">
        <f>'Consumer Hardware Pricing'!S309</f>
        <v>0</v>
      </c>
      <c r="R301" s="85">
        <f t="shared" si="803"/>
        <v>67.710000000000008</v>
      </c>
      <c r="S301" s="85">
        <f>'Consumer Hardware Pricing'!T309</f>
        <v>12.709999999999999</v>
      </c>
      <c r="T301" s="129">
        <f t="shared" si="815"/>
        <v>55.000000000000007</v>
      </c>
      <c r="U301" s="129">
        <f t="shared" si="816"/>
        <v>305.03999999999996</v>
      </c>
      <c r="V301" s="85">
        <f t="shared" si="817"/>
        <v>1320.0000000000002</v>
      </c>
      <c r="W301" s="129">
        <f>'Consumer Hardware Pricing'!V309</f>
        <v>310</v>
      </c>
      <c r="X301" s="129">
        <f t="shared" si="864"/>
        <v>25.620000000000005</v>
      </c>
      <c r="Y301" s="129">
        <f t="shared" si="818"/>
        <v>42.09</v>
      </c>
      <c r="Z301" s="129">
        <f t="shared" si="819"/>
        <v>614.88000000000011</v>
      </c>
      <c r="AA301" s="85">
        <f t="shared" si="820"/>
        <v>1010.1600000000001</v>
      </c>
      <c r="AB301" s="85">
        <f>'Consumer Hardware Pricing'!X309</f>
        <v>0</v>
      </c>
      <c r="AC301" s="85">
        <f t="shared" si="865"/>
        <v>67.710000000000008</v>
      </c>
      <c r="AD301" s="85">
        <f>'Consumer Hardware Pricing'!Y309</f>
        <v>13.129999999999999</v>
      </c>
      <c r="AE301" s="85">
        <f t="shared" si="873"/>
        <v>54.580000000000013</v>
      </c>
      <c r="AF301" s="85">
        <f t="shared" si="874"/>
        <v>315.12</v>
      </c>
      <c r="AG301" s="85">
        <f t="shared" si="875"/>
        <v>1309.9200000000003</v>
      </c>
      <c r="AH301" s="85">
        <f>'Consumer Hardware Pricing'!AA309</f>
        <v>310</v>
      </c>
      <c r="AI301" s="85">
        <f t="shared" si="866"/>
        <v>26.040000000000006</v>
      </c>
      <c r="AJ301" s="85">
        <f t="shared" si="876"/>
        <v>41.67</v>
      </c>
      <c r="AK301" s="85">
        <f t="shared" si="877"/>
        <v>624.96000000000015</v>
      </c>
      <c r="AL301" s="85">
        <f t="shared" si="878"/>
        <v>1000.08</v>
      </c>
      <c r="AM301" s="85">
        <f>'Consumer Hardware Pricing'!AC309</f>
        <v>0</v>
      </c>
      <c r="AN301" s="85">
        <f t="shared" si="867"/>
        <v>67.710000000000008</v>
      </c>
      <c r="AO301" s="85">
        <f>'Consumer Hardware Pricing'!AD309</f>
        <v>13.129999999999999</v>
      </c>
      <c r="AP301" s="85">
        <f t="shared" si="879"/>
        <v>54.580000000000013</v>
      </c>
      <c r="AQ301" s="85">
        <f t="shared" si="880"/>
        <v>315.12</v>
      </c>
      <c r="AR301" s="85">
        <f t="shared" si="881"/>
        <v>1309.9200000000003</v>
      </c>
      <c r="AS301" s="85">
        <f>'Consumer Hardware Pricing'!AF309</f>
        <v>310</v>
      </c>
      <c r="AT301" s="85">
        <f t="shared" si="868"/>
        <v>26.040000000000006</v>
      </c>
      <c r="AU301" s="85">
        <f t="shared" si="882"/>
        <v>41.67</v>
      </c>
      <c r="AV301" s="85">
        <f t="shared" si="883"/>
        <v>624.96000000000015</v>
      </c>
      <c r="AW301" s="85">
        <f t="shared" si="884"/>
        <v>1000.08</v>
      </c>
      <c r="AX301" s="85" t="str">
        <f>'Consumer Hardware Pricing'!AH309</f>
        <v>-</v>
      </c>
      <c r="AY301" s="85" t="str">
        <f t="shared" si="869"/>
        <v>-</v>
      </c>
      <c r="AZ301" s="85" t="str">
        <f>'Consumer Hardware Pricing'!AI309</f>
        <v>-</v>
      </c>
      <c r="BA301" s="85" t="str">
        <f t="shared" si="804"/>
        <v>-</v>
      </c>
      <c r="BB301" s="85" t="str">
        <f t="shared" si="805"/>
        <v>-</v>
      </c>
      <c r="BC301" s="85" t="str">
        <f t="shared" si="821"/>
        <v>-</v>
      </c>
      <c r="BD301" s="85" t="str">
        <f>'Consumer Hardware Pricing'!AL309</f>
        <v>-</v>
      </c>
      <c r="BE301" s="85" t="str">
        <f t="shared" si="870"/>
        <v>-</v>
      </c>
      <c r="BF301" s="85" t="str">
        <f>'Consumer Hardware Pricing'!AM309</f>
        <v>-</v>
      </c>
      <c r="BG301" s="85" t="str">
        <f t="shared" si="806"/>
        <v>-</v>
      </c>
      <c r="BH301" s="85" t="str">
        <f t="shared" si="807"/>
        <v>-</v>
      </c>
      <c r="BI301" s="85" t="str">
        <f t="shared" si="822"/>
        <v>-</v>
      </c>
      <c r="BJ301" s="85" t="str">
        <f>'Consumer Hardware Pricing'!AP309</f>
        <v>-</v>
      </c>
      <c r="BK301" s="85" t="str">
        <f t="shared" si="871"/>
        <v>-</v>
      </c>
      <c r="BL301" s="85" t="str">
        <f>'Consumer Hardware Pricing'!AQ309</f>
        <v>-</v>
      </c>
      <c r="BM301" s="85" t="str">
        <f t="shared" si="808"/>
        <v>-</v>
      </c>
      <c r="BN301" s="85" t="str">
        <f t="shared" si="809"/>
        <v>-</v>
      </c>
      <c r="BO301" s="85" t="str">
        <f t="shared" si="823"/>
        <v>-</v>
      </c>
      <c r="BP301" s="85" t="str">
        <f>'Consumer Hardware Pricing'!AT309</f>
        <v>-</v>
      </c>
      <c r="BQ301" s="85" t="str">
        <f t="shared" si="872"/>
        <v>-</v>
      </c>
      <c r="BR301" s="85" t="str">
        <f>'Consumer Hardware Pricing'!AU309</f>
        <v>-</v>
      </c>
      <c r="BS301" s="85" t="str">
        <f t="shared" si="810"/>
        <v>-</v>
      </c>
      <c r="BT301" s="85" t="str">
        <f t="shared" si="811"/>
        <v>-</v>
      </c>
      <c r="BU301" s="85" t="str">
        <f t="shared" si="824"/>
        <v>-</v>
      </c>
    </row>
    <row r="302" spans="1:73" ht="30.15" customHeight="1" x14ac:dyDescent="0.25">
      <c r="A302" s="87" t="s">
        <v>34</v>
      </c>
      <c r="B302" s="88" t="s">
        <v>687</v>
      </c>
      <c r="C302" s="88" t="s">
        <v>658</v>
      </c>
      <c r="D302" s="85">
        <f>'Consumer Hardware Pricing'!L310</f>
        <v>1625</v>
      </c>
      <c r="E302" s="85">
        <f>'Consumer Hardware Pricing'!M310</f>
        <v>1625</v>
      </c>
      <c r="F302" s="85">
        <f>'Consumer Hardware Pricing'!N310</f>
        <v>0</v>
      </c>
      <c r="G302" s="85">
        <f t="shared" si="862"/>
        <v>67.710000000000008</v>
      </c>
      <c r="H302" s="85">
        <f>'Consumer Hardware Pricing'!O310</f>
        <v>12.709999999999999</v>
      </c>
      <c r="I302" s="85">
        <f t="shared" si="800"/>
        <v>55.000000000000007</v>
      </c>
      <c r="J302" s="85">
        <f t="shared" si="812"/>
        <v>305.03999999999996</v>
      </c>
      <c r="K302" s="85">
        <f t="shared" si="813"/>
        <v>1320.0000000000002</v>
      </c>
      <c r="L302" s="85">
        <f>'Consumer Hardware Pricing'!Q310</f>
        <v>310</v>
      </c>
      <c r="M302" s="85">
        <f t="shared" si="863"/>
        <v>25.620000000000005</v>
      </c>
      <c r="N302" s="85">
        <f t="shared" si="801"/>
        <v>42.09</v>
      </c>
      <c r="O302" s="85">
        <f t="shared" si="802"/>
        <v>614.88000000000011</v>
      </c>
      <c r="P302" s="85">
        <f t="shared" si="814"/>
        <v>1010.1600000000001</v>
      </c>
      <c r="Q302" s="85">
        <f>'Consumer Hardware Pricing'!S310</f>
        <v>0</v>
      </c>
      <c r="R302" s="85">
        <f t="shared" si="803"/>
        <v>67.710000000000008</v>
      </c>
      <c r="S302" s="85">
        <f>'Consumer Hardware Pricing'!T310</f>
        <v>12.709999999999999</v>
      </c>
      <c r="T302" s="129">
        <f t="shared" si="815"/>
        <v>55.000000000000007</v>
      </c>
      <c r="U302" s="129">
        <f t="shared" si="816"/>
        <v>305.03999999999996</v>
      </c>
      <c r="V302" s="85">
        <f t="shared" si="817"/>
        <v>1320.0000000000002</v>
      </c>
      <c r="W302" s="129">
        <f>'Consumer Hardware Pricing'!V310</f>
        <v>310</v>
      </c>
      <c r="X302" s="129">
        <f t="shared" si="864"/>
        <v>25.620000000000005</v>
      </c>
      <c r="Y302" s="129">
        <f t="shared" si="818"/>
        <v>42.09</v>
      </c>
      <c r="Z302" s="129">
        <f t="shared" si="819"/>
        <v>614.88000000000011</v>
      </c>
      <c r="AA302" s="85">
        <f t="shared" si="820"/>
        <v>1010.1600000000001</v>
      </c>
      <c r="AB302" s="85">
        <f>'Consumer Hardware Pricing'!X310</f>
        <v>0</v>
      </c>
      <c r="AC302" s="85">
        <f t="shared" si="865"/>
        <v>67.710000000000008</v>
      </c>
      <c r="AD302" s="85">
        <f>'Consumer Hardware Pricing'!Y310</f>
        <v>13.129999999999999</v>
      </c>
      <c r="AE302" s="85">
        <f t="shared" si="873"/>
        <v>54.580000000000013</v>
      </c>
      <c r="AF302" s="85">
        <f t="shared" si="874"/>
        <v>315.12</v>
      </c>
      <c r="AG302" s="85">
        <f t="shared" si="875"/>
        <v>1309.9200000000003</v>
      </c>
      <c r="AH302" s="85">
        <f>'Consumer Hardware Pricing'!AA310</f>
        <v>310</v>
      </c>
      <c r="AI302" s="85">
        <f t="shared" si="866"/>
        <v>26.040000000000006</v>
      </c>
      <c r="AJ302" s="85">
        <f t="shared" si="876"/>
        <v>41.67</v>
      </c>
      <c r="AK302" s="85">
        <f t="shared" si="877"/>
        <v>624.96000000000015</v>
      </c>
      <c r="AL302" s="85">
        <f t="shared" si="878"/>
        <v>1000.08</v>
      </c>
      <c r="AM302" s="85">
        <f>'Consumer Hardware Pricing'!AC310</f>
        <v>0</v>
      </c>
      <c r="AN302" s="85">
        <f t="shared" si="867"/>
        <v>67.710000000000008</v>
      </c>
      <c r="AO302" s="85">
        <f>'Consumer Hardware Pricing'!AD310</f>
        <v>13.129999999999999</v>
      </c>
      <c r="AP302" s="85">
        <f t="shared" si="879"/>
        <v>54.580000000000013</v>
      </c>
      <c r="AQ302" s="85">
        <f t="shared" si="880"/>
        <v>315.12</v>
      </c>
      <c r="AR302" s="85">
        <f t="shared" si="881"/>
        <v>1309.9200000000003</v>
      </c>
      <c r="AS302" s="85">
        <f>'Consumer Hardware Pricing'!AF310</f>
        <v>310</v>
      </c>
      <c r="AT302" s="85">
        <f t="shared" si="868"/>
        <v>26.040000000000006</v>
      </c>
      <c r="AU302" s="85">
        <f t="shared" si="882"/>
        <v>41.67</v>
      </c>
      <c r="AV302" s="85">
        <f t="shared" si="883"/>
        <v>624.96000000000015</v>
      </c>
      <c r="AW302" s="85">
        <f t="shared" si="884"/>
        <v>1000.08</v>
      </c>
      <c r="AX302" s="85" t="str">
        <f>'Consumer Hardware Pricing'!AH310</f>
        <v>-</v>
      </c>
      <c r="AY302" s="85" t="str">
        <f t="shared" si="869"/>
        <v>-</v>
      </c>
      <c r="AZ302" s="85" t="str">
        <f>'Consumer Hardware Pricing'!AI310</f>
        <v>-</v>
      </c>
      <c r="BA302" s="85" t="str">
        <f t="shared" si="804"/>
        <v>-</v>
      </c>
      <c r="BB302" s="85" t="str">
        <f t="shared" si="805"/>
        <v>-</v>
      </c>
      <c r="BC302" s="85" t="str">
        <f t="shared" si="821"/>
        <v>-</v>
      </c>
      <c r="BD302" s="85" t="str">
        <f>'Consumer Hardware Pricing'!AL310</f>
        <v>-</v>
      </c>
      <c r="BE302" s="85" t="str">
        <f t="shared" si="870"/>
        <v>-</v>
      </c>
      <c r="BF302" s="85" t="str">
        <f>'Consumer Hardware Pricing'!AM310</f>
        <v>-</v>
      </c>
      <c r="BG302" s="85" t="str">
        <f t="shared" si="806"/>
        <v>-</v>
      </c>
      <c r="BH302" s="85" t="str">
        <f t="shared" si="807"/>
        <v>-</v>
      </c>
      <c r="BI302" s="85" t="str">
        <f t="shared" si="822"/>
        <v>-</v>
      </c>
      <c r="BJ302" s="85" t="str">
        <f>'Consumer Hardware Pricing'!AP310</f>
        <v>-</v>
      </c>
      <c r="BK302" s="85" t="str">
        <f t="shared" si="871"/>
        <v>-</v>
      </c>
      <c r="BL302" s="85" t="str">
        <f>'Consumer Hardware Pricing'!AQ310</f>
        <v>-</v>
      </c>
      <c r="BM302" s="85" t="str">
        <f t="shared" si="808"/>
        <v>-</v>
      </c>
      <c r="BN302" s="85" t="str">
        <f t="shared" si="809"/>
        <v>-</v>
      </c>
      <c r="BO302" s="85" t="str">
        <f t="shared" si="823"/>
        <v>-</v>
      </c>
      <c r="BP302" s="85" t="str">
        <f>'Consumer Hardware Pricing'!AT310</f>
        <v>-</v>
      </c>
      <c r="BQ302" s="85" t="str">
        <f t="shared" si="872"/>
        <v>-</v>
      </c>
      <c r="BR302" s="85" t="str">
        <f>'Consumer Hardware Pricing'!AU310</f>
        <v>-</v>
      </c>
      <c r="BS302" s="85" t="str">
        <f t="shared" si="810"/>
        <v>-</v>
      </c>
      <c r="BT302" s="85" t="str">
        <f t="shared" si="811"/>
        <v>-</v>
      </c>
      <c r="BU302" s="85" t="str">
        <f t="shared" si="824"/>
        <v>-</v>
      </c>
    </row>
    <row r="303" spans="1:73" ht="30.15" customHeight="1" x14ac:dyDescent="0.25">
      <c r="A303" s="87" t="s">
        <v>34</v>
      </c>
      <c r="B303" s="88" t="s">
        <v>688</v>
      </c>
      <c r="C303" s="88" t="s">
        <v>658</v>
      </c>
      <c r="D303" s="85">
        <f>'Consumer Hardware Pricing'!L311</f>
        <v>1625</v>
      </c>
      <c r="E303" s="85">
        <f>'Consumer Hardware Pricing'!M311</f>
        <v>1625</v>
      </c>
      <c r="F303" s="85">
        <f>'Consumer Hardware Pricing'!N311</f>
        <v>0</v>
      </c>
      <c r="G303" s="85">
        <f t="shared" si="862"/>
        <v>67.710000000000008</v>
      </c>
      <c r="H303" s="85">
        <f>'Consumer Hardware Pricing'!O311</f>
        <v>12.709999999999999</v>
      </c>
      <c r="I303" s="85">
        <f t="shared" si="800"/>
        <v>55.000000000000007</v>
      </c>
      <c r="J303" s="85">
        <f t="shared" si="812"/>
        <v>305.03999999999996</v>
      </c>
      <c r="K303" s="85">
        <f t="shared" si="813"/>
        <v>1320.0000000000002</v>
      </c>
      <c r="L303" s="85">
        <f>'Consumer Hardware Pricing'!Q311</f>
        <v>310</v>
      </c>
      <c r="M303" s="85">
        <f t="shared" si="863"/>
        <v>25.620000000000005</v>
      </c>
      <c r="N303" s="85">
        <f t="shared" si="801"/>
        <v>42.09</v>
      </c>
      <c r="O303" s="85">
        <f t="shared" si="802"/>
        <v>614.88000000000011</v>
      </c>
      <c r="P303" s="85">
        <f t="shared" si="814"/>
        <v>1010.1600000000001</v>
      </c>
      <c r="Q303" s="85">
        <f>'Consumer Hardware Pricing'!S311</f>
        <v>0</v>
      </c>
      <c r="R303" s="85">
        <f t="shared" si="803"/>
        <v>67.710000000000008</v>
      </c>
      <c r="S303" s="85">
        <f>'Consumer Hardware Pricing'!T311</f>
        <v>12.709999999999999</v>
      </c>
      <c r="T303" s="129">
        <f t="shared" si="815"/>
        <v>55.000000000000007</v>
      </c>
      <c r="U303" s="129">
        <f t="shared" si="816"/>
        <v>305.03999999999996</v>
      </c>
      <c r="V303" s="85">
        <f t="shared" si="817"/>
        <v>1320.0000000000002</v>
      </c>
      <c r="W303" s="129">
        <f>'Consumer Hardware Pricing'!V311</f>
        <v>310</v>
      </c>
      <c r="X303" s="129">
        <f t="shared" si="864"/>
        <v>25.620000000000005</v>
      </c>
      <c r="Y303" s="129">
        <f t="shared" si="818"/>
        <v>42.09</v>
      </c>
      <c r="Z303" s="129">
        <f t="shared" si="819"/>
        <v>614.88000000000011</v>
      </c>
      <c r="AA303" s="85">
        <f t="shared" si="820"/>
        <v>1010.1600000000001</v>
      </c>
      <c r="AB303" s="85">
        <f>'Consumer Hardware Pricing'!X311</f>
        <v>0</v>
      </c>
      <c r="AC303" s="85">
        <f t="shared" si="865"/>
        <v>67.710000000000008</v>
      </c>
      <c r="AD303" s="85">
        <f>'Consumer Hardware Pricing'!Y311</f>
        <v>13.129999999999999</v>
      </c>
      <c r="AE303" s="85">
        <f t="shared" si="873"/>
        <v>54.580000000000013</v>
      </c>
      <c r="AF303" s="85">
        <f t="shared" si="874"/>
        <v>315.12</v>
      </c>
      <c r="AG303" s="85">
        <f t="shared" si="875"/>
        <v>1309.9200000000003</v>
      </c>
      <c r="AH303" s="85">
        <f>'Consumer Hardware Pricing'!AA311</f>
        <v>310</v>
      </c>
      <c r="AI303" s="85">
        <f t="shared" si="866"/>
        <v>26.040000000000006</v>
      </c>
      <c r="AJ303" s="85">
        <f t="shared" si="876"/>
        <v>41.67</v>
      </c>
      <c r="AK303" s="85">
        <f t="shared" si="877"/>
        <v>624.96000000000015</v>
      </c>
      <c r="AL303" s="85">
        <f t="shared" si="878"/>
        <v>1000.08</v>
      </c>
      <c r="AM303" s="85">
        <f>'Consumer Hardware Pricing'!AC311</f>
        <v>0</v>
      </c>
      <c r="AN303" s="85">
        <f t="shared" si="867"/>
        <v>67.710000000000008</v>
      </c>
      <c r="AO303" s="85">
        <f>'Consumer Hardware Pricing'!AD311</f>
        <v>13.129999999999999</v>
      </c>
      <c r="AP303" s="85">
        <f t="shared" si="879"/>
        <v>54.580000000000013</v>
      </c>
      <c r="AQ303" s="85">
        <f t="shared" si="880"/>
        <v>315.12</v>
      </c>
      <c r="AR303" s="85">
        <f t="shared" si="881"/>
        <v>1309.9200000000003</v>
      </c>
      <c r="AS303" s="85">
        <f>'Consumer Hardware Pricing'!AF311</f>
        <v>310</v>
      </c>
      <c r="AT303" s="85">
        <f t="shared" si="868"/>
        <v>26.040000000000006</v>
      </c>
      <c r="AU303" s="85">
        <f t="shared" si="882"/>
        <v>41.67</v>
      </c>
      <c r="AV303" s="85">
        <f t="shared" si="883"/>
        <v>624.96000000000015</v>
      </c>
      <c r="AW303" s="85">
        <f t="shared" si="884"/>
        <v>1000.08</v>
      </c>
      <c r="AX303" s="85" t="str">
        <f>'Consumer Hardware Pricing'!AH311</f>
        <v>-</v>
      </c>
      <c r="AY303" s="85" t="str">
        <f t="shared" si="869"/>
        <v>-</v>
      </c>
      <c r="AZ303" s="85" t="str">
        <f>'Consumer Hardware Pricing'!AI311</f>
        <v>-</v>
      </c>
      <c r="BA303" s="85" t="str">
        <f t="shared" si="804"/>
        <v>-</v>
      </c>
      <c r="BB303" s="85" t="str">
        <f t="shared" si="805"/>
        <v>-</v>
      </c>
      <c r="BC303" s="85" t="str">
        <f t="shared" si="821"/>
        <v>-</v>
      </c>
      <c r="BD303" s="85" t="str">
        <f>'Consumer Hardware Pricing'!AL311</f>
        <v>-</v>
      </c>
      <c r="BE303" s="85" t="str">
        <f t="shared" si="870"/>
        <v>-</v>
      </c>
      <c r="BF303" s="85" t="str">
        <f>'Consumer Hardware Pricing'!AM311</f>
        <v>-</v>
      </c>
      <c r="BG303" s="85" t="str">
        <f t="shared" si="806"/>
        <v>-</v>
      </c>
      <c r="BH303" s="85" t="str">
        <f t="shared" si="807"/>
        <v>-</v>
      </c>
      <c r="BI303" s="85" t="str">
        <f t="shared" si="822"/>
        <v>-</v>
      </c>
      <c r="BJ303" s="85" t="str">
        <f>'Consumer Hardware Pricing'!AP311</f>
        <v>-</v>
      </c>
      <c r="BK303" s="85" t="str">
        <f t="shared" si="871"/>
        <v>-</v>
      </c>
      <c r="BL303" s="85" t="str">
        <f>'Consumer Hardware Pricing'!AQ311</f>
        <v>-</v>
      </c>
      <c r="BM303" s="85" t="str">
        <f t="shared" si="808"/>
        <v>-</v>
      </c>
      <c r="BN303" s="85" t="str">
        <f t="shared" si="809"/>
        <v>-</v>
      </c>
      <c r="BO303" s="85" t="str">
        <f t="shared" si="823"/>
        <v>-</v>
      </c>
      <c r="BP303" s="85" t="str">
        <f>'Consumer Hardware Pricing'!AT311</f>
        <v>-</v>
      </c>
      <c r="BQ303" s="85" t="str">
        <f t="shared" si="872"/>
        <v>-</v>
      </c>
      <c r="BR303" s="85" t="str">
        <f>'Consumer Hardware Pricing'!AU311</f>
        <v>-</v>
      </c>
      <c r="BS303" s="85" t="str">
        <f t="shared" si="810"/>
        <v>-</v>
      </c>
      <c r="BT303" s="85" t="str">
        <f t="shared" si="811"/>
        <v>-</v>
      </c>
      <c r="BU303" s="85" t="str">
        <f t="shared" si="824"/>
        <v>-</v>
      </c>
    </row>
    <row r="304" spans="1:73" ht="30.15" customHeight="1" x14ac:dyDescent="0.25">
      <c r="A304" s="87" t="s">
        <v>34</v>
      </c>
      <c r="B304" s="88" t="s">
        <v>681</v>
      </c>
      <c r="C304" s="88" t="s">
        <v>662</v>
      </c>
      <c r="D304" s="85">
        <f>'Consumer Hardware Pricing'!L312</f>
        <v>1910</v>
      </c>
      <c r="E304" s="85">
        <f>'Consumer Hardware Pricing'!M312</f>
        <v>1910</v>
      </c>
      <c r="F304" s="85">
        <f>'Consumer Hardware Pricing'!N312</f>
        <v>0</v>
      </c>
      <c r="G304" s="85">
        <f t="shared" si="862"/>
        <v>79.59</v>
      </c>
      <c r="H304" s="85">
        <f>'Consumer Hardware Pricing'!O312</f>
        <v>12.709999999999999</v>
      </c>
      <c r="I304" s="85">
        <f t="shared" si="800"/>
        <v>66.88000000000001</v>
      </c>
      <c r="J304" s="85">
        <f t="shared" si="812"/>
        <v>305.03999999999996</v>
      </c>
      <c r="K304" s="85">
        <f t="shared" si="813"/>
        <v>1605.1200000000003</v>
      </c>
      <c r="L304" s="85">
        <f>'Consumer Hardware Pricing'!Q312</f>
        <v>360</v>
      </c>
      <c r="M304" s="85">
        <f t="shared" si="863"/>
        <v>27.709999999999994</v>
      </c>
      <c r="N304" s="85">
        <f t="shared" si="801"/>
        <v>51.88000000000001</v>
      </c>
      <c r="O304" s="85">
        <f t="shared" si="802"/>
        <v>665.03999999999985</v>
      </c>
      <c r="P304" s="85">
        <f t="shared" si="814"/>
        <v>1245.1200000000003</v>
      </c>
      <c r="Q304" s="85">
        <f>'Consumer Hardware Pricing'!S312</f>
        <v>0</v>
      </c>
      <c r="R304" s="85">
        <f t="shared" si="803"/>
        <v>79.59</v>
      </c>
      <c r="S304" s="85">
        <f>'Consumer Hardware Pricing'!T312</f>
        <v>12.709999999999999</v>
      </c>
      <c r="T304" s="129">
        <f t="shared" si="815"/>
        <v>66.88000000000001</v>
      </c>
      <c r="U304" s="129">
        <f t="shared" si="816"/>
        <v>305.03999999999996</v>
      </c>
      <c r="V304" s="85">
        <f t="shared" si="817"/>
        <v>1605.1200000000003</v>
      </c>
      <c r="W304" s="129">
        <f>'Consumer Hardware Pricing'!V312</f>
        <v>360</v>
      </c>
      <c r="X304" s="129">
        <f t="shared" si="864"/>
        <v>27.709999999999994</v>
      </c>
      <c r="Y304" s="129">
        <f t="shared" si="818"/>
        <v>51.88000000000001</v>
      </c>
      <c r="Z304" s="129">
        <f t="shared" si="819"/>
        <v>665.03999999999985</v>
      </c>
      <c r="AA304" s="85">
        <f t="shared" si="820"/>
        <v>1245.1200000000003</v>
      </c>
      <c r="AB304" s="85">
        <f>'Consumer Hardware Pricing'!X312</f>
        <v>0</v>
      </c>
      <c r="AC304" s="85">
        <f t="shared" si="865"/>
        <v>79.59</v>
      </c>
      <c r="AD304" s="85">
        <f>'Consumer Hardware Pricing'!Y312</f>
        <v>13.129999999999999</v>
      </c>
      <c r="AE304" s="85">
        <f t="shared" si="873"/>
        <v>66.460000000000008</v>
      </c>
      <c r="AF304" s="85">
        <f t="shared" si="874"/>
        <v>315.12</v>
      </c>
      <c r="AG304" s="85">
        <f t="shared" si="875"/>
        <v>1595.0400000000002</v>
      </c>
      <c r="AH304" s="85">
        <f>'Consumer Hardware Pricing'!AA312</f>
        <v>360</v>
      </c>
      <c r="AI304" s="85">
        <f t="shared" si="866"/>
        <v>28.129999999999995</v>
      </c>
      <c r="AJ304" s="85">
        <f t="shared" si="876"/>
        <v>51.460000000000008</v>
      </c>
      <c r="AK304" s="85">
        <f t="shared" si="877"/>
        <v>675.11999999999989</v>
      </c>
      <c r="AL304" s="85">
        <f t="shared" si="878"/>
        <v>1235.0400000000002</v>
      </c>
      <c r="AM304" s="85">
        <f>'Consumer Hardware Pricing'!AC312</f>
        <v>0</v>
      </c>
      <c r="AN304" s="85">
        <f t="shared" si="867"/>
        <v>79.59</v>
      </c>
      <c r="AO304" s="85">
        <f>'Consumer Hardware Pricing'!AD312</f>
        <v>13.129999999999999</v>
      </c>
      <c r="AP304" s="85">
        <f t="shared" si="879"/>
        <v>66.460000000000008</v>
      </c>
      <c r="AQ304" s="85">
        <f t="shared" si="880"/>
        <v>315.12</v>
      </c>
      <c r="AR304" s="85">
        <f t="shared" si="881"/>
        <v>1595.0400000000002</v>
      </c>
      <c r="AS304" s="85">
        <f>'Consumer Hardware Pricing'!AF312</f>
        <v>360</v>
      </c>
      <c r="AT304" s="85">
        <f t="shared" si="868"/>
        <v>28.129999999999995</v>
      </c>
      <c r="AU304" s="85">
        <f t="shared" si="882"/>
        <v>51.460000000000008</v>
      </c>
      <c r="AV304" s="85">
        <f t="shared" si="883"/>
        <v>675.11999999999989</v>
      </c>
      <c r="AW304" s="85">
        <f t="shared" si="884"/>
        <v>1235.0400000000002</v>
      </c>
      <c r="AX304" s="85" t="str">
        <f>'Consumer Hardware Pricing'!AH312</f>
        <v>-</v>
      </c>
      <c r="AY304" s="85" t="str">
        <f t="shared" si="869"/>
        <v>-</v>
      </c>
      <c r="AZ304" s="85" t="str">
        <f>'Consumer Hardware Pricing'!AI312</f>
        <v>-</v>
      </c>
      <c r="BA304" s="85" t="str">
        <f t="shared" si="804"/>
        <v>-</v>
      </c>
      <c r="BB304" s="85" t="str">
        <f t="shared" si="805"/>
        <v>-</v>
      </c>
      <c r="BC304" s="85" t="str">
        <f t="shared" si="821"/>
        <v>-</v>
      </c>
      <c r="BD304" s="85" t="str">
        <f>'Consumer Hardware Pricing'!AL312</f>
        <v>-</v>
      </c>
      <c r="BE304" s="85" t="str">
        <f t="shared" si="870"/>
        <v>-</v>
      </c>
      <c r="BF304" s="85" t="str">
        <f>'Consumer Hardware Pricing'!AM312</f>
        <v>-</v>
      </c>
      <c r="BG304" s="85" t="str">
        <f t="shared" si="806"/>
        <v>-</v>
      </c>
      <c r="BH304" s="85" t="str">
        <f t="shared" si="807"/>
        <v>-</v>
      </c>
      <c r="BI304" s="85" t="str">
        <f t="shared" si="822"/>
        <v>-</v>
      </c>
      <c r="BJ304" s="85" t="str">
        <f>'Consumer Hardware Pricing'!AP312</f>
        <v>-</v>
      </c>
      <c r="BK304" s="85" t="str">
        <f t="shared" si="871"/>
        <v>-</v>
      </c>
      <c r="BL304" s="85" t="str">
        <f>'Consumer Hardware Pricing'!AQ312</f>
        <v>-</v>
      </c>
      <c r="BM304" s="85" t="str">
        <f t="shared" si="808"/>
        <v>-</v>
      </c>
      <c r="BN304" s="85" t="str">
        <f t="shared" si="809"/>
        <v>-</v>
      </c>
      <c r="BO304" s="85" t="str">
        <f t="shared" si="823"/>
        <v>-</v>
      </c>
      <c r="BP304" s="85" t="str">
        <f>'Consumer Hardware Pricing'!AT312</f>
        <v>-</v>
      </c>
      <c r="BQ304" s="85" t="str">
        <f t="shared" si="872"/>
        <v>-</v>
      </c>
      <c r="BR304" s="85" t="str">
        <f>'Consumer Hardware Pricing'!AU312</f>
        <v>-</v>
      </c>
      <c r="BS304" s="85" t="str">
        <f t="shared" si="810"/>
        <v>-</v>
      </c>
      <c r="BT304" s="85" t="str">
        <f t="shared" si="811"/>
        <v>-</v>
      </c>
      <c r="BU304" s="85" t="str">
        <f t="shared" si="824"/>
        <v>-</v>
      </c>
    </row>
    <row r="305" spans="1:73" ht="30.15" customHeight="1" x14ac:dyDescent="0.25">
      <c r="A305" s="87" t="s">
        <v>34</v>
      </c>
      <c r="B305" s="88" t="s">
        <v>682</v>
      </c>
      <c r="C305" s="88" t="s">
        <v>662</v>
      </c>
      <c r="D305" s="85">
        <f>'Consumer Hardware Pricing'!L313</f>
        <v>1910</v>
      </c>
      <c r="E305" s="85">
        <f>'Consumer Hardware Pricing'!M313</f>
        <v>1910</v>
      </c>
      <c r="F305" s="85">
        <f>'Consumer Hardware Pricing'!N313</f>
        <v>0</v>
      </c>
      <c r="G305" s="85">
        <f t="shared" si="862"/>
        <v>79.59</v>
      </c>
      <c r="H305" s="85">
        <f>'Consumer Hardware Pricing'!O313</f>
        <v>12.709999999999999</v>
      </c>
      <c r="I305" s="85">
        <f t="shared" si="800"/>
        <v>66.88000000000001</v>
      </c>
      <c r="J305" s="85">
        <f t="shared" si="812"/>
        <v>305.03999999999996</v>
      </c>
      <c r="K305" s="85">
        <f t="shared" si="813"/>
        <v>1605.1200000000003</v>
      </c>
      <c r="L305" s="85">
        <f>'Consumer Hardware Pricing'!Q313</f>
        <v>360</v>
      </c>
      <c r="M305" s="85">
        <f t="shared" si="863"/>
        <v>27.709999999999994</v>
      </c>
      <c r="N305" s="85">
        <f t="shared" si="801"/>
        <v>51.88000000000001</v>
      </c>
      <c r="O305" s="85">
        <f t="shared" si="802"/>
        <v>665.03999999999985</v>
      </c>
      <c r="P305" s="85">
        <f t="shared" si="814"/>
        <v>1245.1200000000003</v>
      </c>
      <c r="Q305" s="85">
        <f>'Consumer Hardware Pricing'!S313</f>
        <v>0</v>
      </c>
      <c r="R305" s="85">
        <f t="shared" si="803"/>
        <v>79.59</v>
      </c>
      <c r="S305" s="85">
        <f>'Consumer Hardware Pricing'!T313</f>
        <v>12.709999999999999</v>
      </c>
      <c r="T305" s="129">
        <f t="shared" si="815"/>
        <v>66.88000000000001</v>
      </c>
      <c r="U305" s="129">
        <f t="shared" si="816"/>
        <v>305.03999999999996</v>
      </c>
      <c r="V305" s="85">
        <f t="shared" si="817"/>
        <v>1605.1200000000003</v>
      </c>
      <c r="W305" s="129">
        <f>'Consumer Hardware Pricing'!V313</f>
        <v>360</v>
      </c>
      <c r="X305" s="129">
        <f t="shared" si="864"/>
        <v>27.709999999999994</v>
      </c>
      <c r="Y305" s="129">
        <f t="shared" si="818"/>
        <v>51.88000000000001</v>
      </c>
      <c r="Z305" s="129">
        <f t="shared" si="819"/>
        <v>665.03999999999985</v>
      </c>
      <c r="AA305" s="85">
        <f t="shared" si="820"/>
        <v>1245.1200000000003</v>
      </c>
      <c r="AB305" s="85">
        <f>'Consumer Hardware Pricing'!X313</f>
        <v>0</v>
      </c>
      <c r="AC305" s="85">
        <f t="shared" si="865"/>
        <v>79.59</v>
      </c>
      <c r="AD305" s="85">
        <f>'Consumer Hardware Pricing'!Y313</f>
        <v>13.129999999999999</v>
      </c>
      <c r="AE305" s="85">
        <f t="shared" si="873"/>
        <v>66.460000000000008</v>
      </c>
      <c r="AF305" s="85">
        <f t="shared" si="874"/>
        <v>315.12</v>
      </c>
      <c r="AG305" s="85">
        <f t="shared" si="875"/>
        <v>1595.0400000000002</v>
      </c>
      <c r="AH305" s="85">
        <f>'Consumer Hardware Pricing'!AA313</f>
        <v>360</v>
      </c>
      <c r="AI305" s="85">
        <f t="shared" si="866"/>
        <v>28.129999999999995</v>
      </c>
      <c r="AJ305" s="85">
        <f t="shared" si="876"/>
        <v>51.460000000000008</v>
      </c>
      <c r="AK305" s="85">
        <f t="shared" si="877"/>
        <v>675.11999999999989</v>
      </c>
      <c r="AL305" s="85">
        <f t="shared" si="878"/>
        <v>1235.0400000000002</v>
      </c>
      <c r="AM305" s="85">
        <f>'Consumer Hardware Pricing'!AC313</f>
        <v>0</v>
      </c>
      <c r="AN305" s="85">
        <f t="shared" si="867"/>
        <v>79.59</v>
      </c>
      <c r="AO305" s="85">
        <f>'Consumer Hardware Pricing'!AD313</f>
        <v>13.129999999999999</v>
      </c>
      <c r="AP305" s="85">
        <f t="shared" si="879"/>
        <v>66.460000000000008</v>
      </c>
      <c r="AQ305" s="85">
        <f t="shared" si="880"/>
        <v>315.12</v>
      </c>
      <c r="AR305" s="85">
        <f t="shared" si="881"/>
        <v>1595.0400000000002</v>
      </c>
      <c r="AS305" s="85">
        <f>'Consumer Hardware Pricing'!AF313</f>
        <v>360</v>
      </c>
      <c r="AT305" s="85">
        <f t="shared" si="868"/>
        <v>28.129999999999995</v>
      </c>
      <c r="AU305" s="85">
        <f t="shared" si="882"/>
        <v>51.460000000000008</v>
      </c>
      <c r="AV305" s="85">
        <f t="shared" si="883"/>
        <v>675.11999999999989</v>
      </c>
      <c r="AW305" s="85">
        <f t="shared" si="884"/>
        <v>1235.0400000000002</v>
      </c>
      <c r="AX305" s="85" t="str">
        <f>'Consumer Hardware Pricing'!AH313</f>
        <v>-</v>
      </c>
      <c r="AY305" s="85" t="str">
        <f t="shared" si="869"/>
        <v>-</v>
      </c>
      <c r="AZ305" s="85" t="str">
        <f>'Consumer Hardware Pricing'!AI313</f>
        <v>-</v>
      </c>
      <c r="BA305" s="85" t="str">
        <f t="shared" si="804"/>
        <v>-</v>
      </c>
      <c r="BB305" s="85" t="str">
        <f t="shared" si="805"/>
        <v>-</v>
      </c>
      <c r="BC305" s="85" t="str">
        <f t="shared" si="821"/>
        <v>-</v>
      </c>
      <c r="BD305" s="85" t="str">
        <f>'Consumer Hardware Pricing'!AL313</f>
        <v>-</v>
      </c>
      <c r="BE305" s="85" t="str">
        <f t="shared" si="870"/>
        <v>-</v>
      </c>
      <c r="BF305" s="85" t="str">
        <f>'Consumer Hardware Pricing'!AM313</f>
        <v>-</v>
      </c>
      <c r="BG305" s="85" t="str">
        <f t="shared" si="806"/>
        <v>-</v>
      </c>
      <c r="BH305" s="85" t="str">
        <f t="shared" si="807"/>
        <v>-</v>
      </c>
      <c r="BI305" s="85" t="str">
        <f t="shared" si="822"/>
        <v>-</v>
      </c>
      <c r="BJ305" s="85" t="str">
        <f>'Consumer Hardware Pricing'!AP313</f>
        <v>-</v>
      </c>
      <c r="BK305" s="85" t="str">
        <f t="shared" si="871"/>
        <v>-</v>
      </c>
      <c r="BL305" s="85" t="str">
        <f>'Consumer Hardware Pricing'!AQ313</f>
        <v>-</v>
      </c>
      <c r="BM305" s="85" t="str">
        <f t="shared" si="808"/>
        <v>-</v>
      </c>
      <c r="BN305" s="85" t="str">
        <f t="shared" si="809"/>
        <v>-</v>
      </c>
      <c r="BO305" s="85" t="str">
        <f t="shared" si="823"/>
        <v>-</v>
      </c>
      <c r="BP305" s="85" t="str">
        <f>'Consumer Hardware Pricing'!AT313</f>
        <v>-</v>
      </c>
      <c r="BQ305" s="85" t="str">
        <f t="shared" si="872"/>
        <v>-</v>
      </c>
      <c r="BR305" s="85" t="str">
        <f>'Consumer Hardware Pricing'!AU313</f>
        <v>-</v>
      </c>
      <c r="BS305" s="85" t="str">
        <f t="shared" si="810"/>
        <v>-</v>
      </c>
      <c r="BT305" s="85" t="str">
        <f t="shared" si="811"/>
        <v>-</v>
      </c>
      <c r="BU305" s="85" t="str">
        <f t="shared" si="824"/>
        <v>-</v>
      </c>
    </row>
    <row r="306" spans="1:73" ht="30.15" customHeight="1" x14ac:dyDescent="0.25">
      <c r="A306" s="87" t="s">
        <v>34</v>
      </c>
      <c r="B306" s="88" t="s">
        <v>683</v>
      </c>
      <c r="C306" s="88" t="s">
        <v>662</v>
      </c>
      <c r="D306" s="85">
        <f>'Consumer Hardware Pricing'!L314</f>
        <v>1910</v>
      </c>
      <c r="E306" s="85">
        <f>'Consumer Hardware Pricing'!M314</f>
        <v>1910</v>
      </c>
      <c r="F306" s="85">
        <f>'Consumer Hardware Pricing'!N314</f>
        <v>0</v>
      </c>
      <c r="G306" s="85">
        <f t="shared" si="862"/>
        <v>79.59</v>
      </c>
      <c r="H306" s="85">
        <f>'Consumer Hardware Pricing'!O314</f>
        <v>12.709999999999999</v>
      </c>
      <c r="I306" s="85">
        <f t="shared" si="800"/>
        <v>66.88000000000001</v>
      </c>
      <c r="J306" s="85">
        <f t="shared" si="812"/>
        <v>305.03999999999996</v>
      </c>
      <c r="K306" s="85">
        <f t="shared" si="813"/>
        <v>1605.1200000000003</v>
      </c>
      <c r="L306" s="85">
        <f>'Consumer Hardware Pricing'!Q314</f>
        <v>360</v>
      </c>
      <c r="M306" s="85">
        <f t="shared" si="863"/>
        <v>27.709999999999994</v>
      </c>
      <c r="N306" s="85">
        <f t="shared" si="801"/>
        <v>51.88000000000001</v>
      </c>
      <c r="O306" s="85">
        <f t="shared" si="802"/>
        <v>665.03999999999985</v>
      </c>
      <c r="P306" s="85">
        <f t="shared" si="814"/>
        <v>1245.1200000000003</v>
      </c>
      <c r="Q306" s="85">
        <f>'Consumer Hardware Pricing'!S314</f>
        <v>0</v>
      </c>
      <c r="R306" s="85">
        <f t="shared" si="803"/>
        <v>79.59</v>
      </c>
      <c r="S306" s="85">
        <f>'Consumer Hardware Pricing'!T314</f>
        <v>12.709999999999999</v>
      </c>
      <c r="T306" s="129">
        <f t="shared" si="815"/>
        <v>66.88000000000001</v>
      </c>
      <c r="U306" s="129">
        <f t="shared" si="816"/>
        <v>305.03999999999996</v>
      </c>
      <c r="V306" s="85">
        <f t="shared" si="817"/>
        <v>1605.1200000000003</v>
      </c>
      <c r="W306" s="129">
        <f>'Consumer Hardware Pricing'!V314</f>
        <v>360</v>
      </c>
      <c r="X306" s="129">
        <f t="shared" si="864"/>
        <v>27.709999999999994</v>
      </c>
      <c r="Y306" s="129">
        <f t="shared" si="818"/>
        <v>51.88000000000001</v>
      </c>
      <c r="Z306" s="129">
        <f t="shared" si="819"/>
        <v>665.03999999999985</v>
      </c>
      <c r="AA306" s="85">
        <f t="shared" si="820"/>
        <v>1245.1200000000003</v>
      </c>
      <c r="AB306" s="85">
        <f>'Consumer Hardware Pricing'!X314</f>
        <v>0</v>
      </c>
      <c r="AC306" s="85">
        <f t="shared" si="865"/>
        <v>79.59</v>
      </c>
      <c r="AD306" s="85">
        <f>'Consumer Hardware Pricing'!Y314</f>
        <v>13.129999999999999</v>
      </c>
      <c r="AE306" s="85">
        <f t="shared" si="873"/>
        <v>66.460000000000008</v>
      </c>
      <c r="AF306" s="85">
        <f t="shared" si="874"/>
        <v>315.12</v>
      </c>
      <c r="AG306" s="85">
        <f t="shared" si="875"/>
        <v>1595.0400000000002</v>
      </c>
      <c r="AH306" s="85">
        <f>'Consumer Hardware Pricing'!AA314</f>
        <v>360</v>
      </c>
      <c r="AI306" s="85">
        <f t="shared" si="866"/>
        <v>28.129999999999995</v>
      </c>
      <c r="AJ306" s="85">
        <f t="shared" si="876"/>
        <v>51.460000000000008</v>
      </c>
      <c r="AK306" s="85">
        <f t="shared" si="877"/>
        <v>675.11999999999989</v>
      </c>
      <c r="AL306" s="85">
        <f t="shared" si="878"/>
        <v>1235.0400000000002</v>
      </c>
      <c r="AM306" s="85">
        <f>'Consumer Hardware Pricing'!AC314</f>
        <v>0</v>
      </c>
      <c r="AN306" s="85">
        <f t="shared" si="867"/>
        <v>79.59</v>
      </c>
      <c r="AO306" s="85">
        <f>'Consumer Hardware Pricing'!AD314</f>
        <v>13.129999999999999</v>
      </c>
      <c r="AP306" s="85">
        <f t="shared" si="879"/>
        <v>66.460000000000008</v>
      </c>
      <c r="AQ306" s="85">
        <f t="shared" si="880"/>
        <v>315.12</v>
      </c>
      <c r="AR306" s="85">
        <f t="shared" si="881"/>
        <v>1595.0400000000002</v>
      </c>
      <c r="AS306" s="85">
        <f>'Consumer Hardware Pricing'!AF314</f>
        <v>360</v>
      </c>
      <c r="AT306" s="85">
        <f t="shared" si="868"/>
        <v>28.129999999999995</v>
      </c>
      <c r="AU306" s="85">
        <f t="shared" si="882"/>
        <v>51.460000000000008</v>
      </c>
      <c r="AV306" s="85">
        <f t="shared" si="883"/>
        <v>675.11999999999989</v>
      </c>
      <c r="AW306" s="85">
        <f t="shared" si="884"/>
        <v>1235.0400000000002</v>
      </c>
      <c r="AX306" s="85" t="str">
        <f>'Consumer Hardware Pricing'!AH314</f>
        <v>-</v>
      </c>
      <c r="AY306" s="85" t="str">
        <f t="shared" si="869"/>
        <v>-</v>
      </c>
      <c r="AZ306" s="85" t="str">
        <f>'Consumer Hardware Pricing'!AI314</f>
        <v>-</v>
      </c>
      <c r="BA306" s="85" t="str">
        <f t="shared" si="804"/>
        <v>-</v>
      </c>
      <c r="BB306" s="85" t="str">
        <f t="shared" si="805"/>
        <v>-</v>
      </c>
      <c r="BC306" s="85" t="str">
        <f t="shared" si="821"/>
        <v>-</v>
      </c>
      <c r="BD306" s="85" t="str">
        <f>'Consumer Hardware Pricing'!AL314</f>
        <v>-</v>
      </c>
      <c r="BE306" s="85" t="str">
        <f t="shared" si="870"/>
        <v>-</v>
      </c>
      <c r="BF306" s="85" t="str">
        <f>'Consumer Hardware Pricing'!AM314</f>
        <v>-</v>
      </c>
      <c r="BG306" s="85" t="str">
        <f t="shared" si="806"/>
        <v>-</v>
      </c>
      <c r="BH306" s="85" t="str">
        <f t="shared" si="807"/>
        <v>-</v>
      </c>
      <c r="BI306" s="85" t="str">
        <f t="shared" si="822"/>
        <v>-</v>
      </c>
      <c r="BJ306" s="85" t="str">
        <f>'Consumer Hardware Pricing'!AP314</f>
        <v>-</v>
      </c>
      <c r="BK306" s="85" t="str">
        <f t="shared" si="871"/>
        <v>-</v>
      </c>
      <c r="BL306" s="85" t="str">
        <f>'Consumer Hardware Pricing'!AQ314</f>
        <v>-</v>
      </c>
      <c r="BM306" s="85" t="str">
        <f t="shared" si="808"/>
        <v>-</v>
      </c>
      <c r="BN306" s="85" t="str">
        <f t="shared" si="809"/>
        <v>-</v>
      </c>
      <c r="BO306" s="85" t="str">
        <f t="shared" si="823"/>
        <v>-</v>
      </c>
      <c r="BP306" s="85" t="str">
        <f>'Consumer Hardware Pricing'!AT314</f>
        <v>-</v>
      </c>
      <c r="BQ306" s="85" t="str">
        <f t="shared" si="872"/>
        <v>-</v>
      </c>
      <c r="BR306" s="85" t="str">
        <f>'Consumer Hardware Pricing'!AU314</f>
        <v>-</v>
      </c>
      <c r="BS306" s="85" t="str">
        <f t="shared" si="810"/>
        <v>-</v>
      </c>
      <c r="BT306" s="85" t="str">
        <f t="shared" si="811"/>
        <v>-</v>
      </c>
      <c r="BU306" s="85" t="str">
        <f t="shared" si="824"/>
        <v>-</v>
      </c>
    </row>
    <row r="307" spans="1:73" ht="30.15" customHeight="1" x14ac:dyDescent="0.25">
      <c r="A307" s="87" t="s">
        <v>34</v>
      </c>
      <c r="B307" s="88" t="s">
        <v>684</v>
      </c>
      <c r="C307" s="88" t="s">
        <v>662</v>
      </c>
      <c r="D307" s="85">
        <f>'Consumer Hardware Pricing'!L315</f>
        <v>1910</v>
      </c>
      <c r="E307" s="85">
        <f>'Consumer Hardware Pricing'!M315</f>
        <v>1910</v>
      </c>
      <c r="F307" s="85">
        <f>'Consumer Hardware Pricing'!N315</f>
        <v>0</v>
      </c>
      <c r="G307" s="85">
        <f t="shared" si="862"/>
        <v>79.59</v>
      </c>
      <c r="H307" s="85">
        <f>'Consumer Hardware Pricing'!O315</f>
        <v>12.709999999999999</v>
      </c>
      <c r="I307" s="85">
        <f t="shared" si="800"/>
        <v>66.88000000000001</v>
      </c>
      <c r="J307" s="85">
        <f t="shared" si="812"/>
        <v>305.03999999999996</v>
      </c>
      <c r="K307" s="85">
        <f t="shared" si="813"/>
        <v>1605.1200000000003</v>
      </c>
      <c r="L307" s="85">
        <f>'Consumer Hardware Pricing'!Q315</f>
        <v>360</v>
      </c>
      <c r="M307" s="85">
        <f t="shared" si="863"/>
        <v>27.709999999999994</v>
      </c>
      <c r="N307" s="85">
        <f t="shared" si="801"/>
        <v>51.88000000000001</v>
      </c>
      <c r="O307" s="85">
        <f t="shared" si="802"/>
        <v>665.03999999999985</v>
      </c>
      <c r="P307" s="85">
        <f t="shared" si="814"/>
        <v>1245.1200000000003</v>
      </c>
      <c r="Q307" s="85">
        <f>'Consumer Hardware Pricing'!S315</f>
        <v>0</v>
      </c>
      <c r="R307" s="85">
        <f t="shared" si="803"/>
        <v>79.59</v>
      </c>
      <c r="S307" s="85">
        <f>'Consumer Hardware Pricing'!T315</f>
        <v>12.709999999999999</v>
      </c>
      <c r="T307" s="129">
        <f t="shared" si="815"/>
        <v>66.88000000000001</v>
      </c>
      <c r="U307" s="129">
        <f t="shared" si="816"/>
        <v>305.03999999999996</v>
      </c>
      <c r="V307" s="85">
        <f t="shared" si="817"/>
        <v>1605.1200000000003</v>
      </c>
      <c r="W307" s="129">
        <f>'Consumer Hardware Pricing'!V315</f>
        <v>360</v>
      </c>
      <c r="X307" s="129">
        <f t="shared" si="864"/>
        <v>27.709999999999994</v>
      </c>
      <c r="Y307" s="129">
        <f t="shared" si="818"/>
        <v>51.88000000000001</v>
      </c>
      <c r="Z307" s="129">
        <f t="shared" si="819"/>
        <v>665.03999999999985</v>
      </c>
      <c r="AA307" s="85">
        <f t="shared" si="820"/>
        <v>1245.1200000000003</v>
      </c>
      <c r="AB307" s="85">
        <f>'Consumer Hardware Pricing'!X315</f>
        <v>0</v>
      </c>
      <c r="AC307" s="85">
        <f t="shared" si="865"/>
        <v>79.59</v>
      </c>
      <c r="AD307" s="85">
        <f>'Consumer Hardware Pricing'!Y315</f>
        <v>13.129999999999999</v>
      </c>
      <c r="AE307" s="85">
        <f t="shared" si="873"/>
        <v>66.460000000000008</v>
      </c>
      <c r="AF307" s="85">
        <f t="shared" si="874"/>
        <v>315.12</v>
      </c>
      <c r="AG307" s="85">
        <f t="shared" si="875"/>
        <v>1595.0400000000002</v>
      </c>
      <c r="AH307" s="85">
        <f>'Consumer Hardware Pricing'!AA315</f>
        <v>360</v>
      </c>
      <c r="AI307" s="85">
        <f t="shared" si="866"/>
        <v>28.129999999999995</v>
      </c>
      <c r="AJ307" s="85">
        <f t="shared" si="876"/>
        <v>51.460000000000008</v>
      </c>
      <c r="AK307" s="85">
        <f t="shared" si="877"/>
        <v>675.11999999999989</v>
      </c>
      <c r="AL307" s="85">
        <f t="shared" si="878"/>
        <v>1235.0400000000002</v>
      </c>
      <c r="AM307" s="85">
        <f>'Consumer Hardware Pricing'!AC315</f>
        <v>0</v>
      </c>
      <c r="AN307" s="85">
        <f t="shared" si="867"/>
        <v>79.59</v>
      </c>
      <c r="AO307" s="85">
        <f>'Consumer Hardware Pricing'!AD315</f>
        <v>13.129999999999999</v>
      </c>
      <c r="AP307" s="85">
        <f t="shared" si="879"/>
        <v>66.460000000000008</v>
      </c>
      <c r="AQ307" s="85">
        <f t="shared" si="880"/>
        <v>315.12</v>
      </c>
      <c r="AR307" s="85">
        <f t="shared" si="881"/>
        <v>1595.0400000000002</v>
      </c>
      <c r="AS307" s="85">
        <f>'Consumer Hardware Pricing'!AF315</f>
        <v>360</v>
      </c>
      <c r="AT307" s="85">
        <f t="shared" si="868"/>
        <v>28.129999999999995</v>
      </c>
      <c r="AU307" s="85">
        <f t="shared" si="882"/>
        <v>51.460000000000008</v>
      </c>
      <c r="AV307" s="85">
        <f t="shared" si="883"/>
        <v>675.11999999999989</v>
      </c>
      <c r="AW307" s="85">
        <f t="shared" si="884"/>
        <v>1235.0400000000002</v>
      </c>
      <c r="AX307" s="85" t="str">
        <f>'Consumer Hardware Pricing'!AH315</f>
        <v>-</v>
      </c>
      <c r="AY307" s="85" t="str">
        <f t="shared" si="869"/>
        <v>-</v>
      </c>
      <c r="AZ307" s="85" t="str">
        <f>'Consumer Hardware Pricing'!AI315</f>
        <v>-</v>
      </c>
      <c r="BA307" s="85" t="str">
        <f t="shared" si="804"/>
        <v>-</v>
      </c>
      <c r="BB307" s="85" t="str">
        <f t="shared" si="805"/>
        <v>-</v>
      </c>
      <c r="BC307" s="85" t="str">
        <f t="shared" si="821"/>
        <v>-</v>
      </c>
      <c r="BD307" s="85" t="str">
        <f>'Consumer Hardware Pricing'!AL315</f>
        <v>-</v>
      </c>
      <c r="BE307" s="85" t="str">
        <f t="shared" si="870"/>
        <v>-</v>
      </c>
      <c r="BF307" s="85" t="str">
        <f>'Consumer Hardware Pricing'!AM315</f>
        <v>-</v>
      </c>
      <c r="BG307" s="85" t="str">
        <f t="shared" si="806"/>
        <v>-</v>
      </c>
      <c r="BH307" s="85" t="str">
        <f t="shared" si="807"/>
        <v>-</v>
      </c>
      <c r="BI307" s="85" t="str">
        <f t="shared" si="822"/>
        <v>-</v>
      </c>
      <c r="BJ307" s="85" t="str">
        <f>'Consumer Hardware Pricing'!AP315</f>
        <v>-</v>
      </c>
      <c r="BK307" s="85" t="str">
        <f t="shared" si="871"/>
        <v>-</v>
      </c>
      <c r="BL307" s="85" t="str">
        <f>'Consumer Hardware Pricing'!AQ315</f>
        <v>-</v>
      </c>
      <c r="BM307" s="85" t="str">
        <f t="shared" si="808"/>
        <v>-</v>
      </c>
      <c r="BN307" s="85" t="str">
        <f t="shared" si="809"/>
        <v>-</v>
      </c>
      <c r="BO307" s="85" t="str">
        <f t="shared" si="823"/>
        <v>-</v>
      </c>
      <c r="BP307" s="85" t="str">
        <f>'Consumer Hardware Pricing'!AT315</f>
        <v>-</v>
      </c>
      <c r="BQ307" s="85" t="str">
        <f t="shared" si="872"/>
        <v>-</v>
      </c>
      <c r="BR307" s="85" t="str">
        <f>'Consumer Hardware Pricing'!AU315</f>
        <v>-</v>
      </c>
      <c r="BS307" s="85" t="str">
        <f t="shared" si="810"/>
        <v>-</v>
      </c>
      <c r="BT307" s="85" t="str">
        <f t="shared" si="811"/>
        <v>-</v>
      </c>
      <c r="BU307" s="85" t="str">
        <f t="shared" si="824"/>
        <v>-</v>
      </c>
    </row>
    <row r="308" spans="1:73" ht="30.15" customHeight="1" x14ac:dyDescent="0.25">
      <c r="A308" s="87" t="s">
        <v>34</v>
      </c>
      <c r="B308" s="88" t="s">
        <v>675</v>
      </c>
      <c r="C308" s="88" t="s">
        <v>654</v>
      </c>
      <c r="D308" s="85">
        <f>'Consumer Hardware Pricing'!L316</f>
        <v>875</v>
      </c>
      <c r="E308" s="85">
        <f>'Consumer Hardware Pricing'!M316</f>
        <v>875</v>
      </c>
      <c r="F308" s="85">
        <f>'Consumer Hardware Pricing'!N316</f>
        <v>0</v>
      </c>
      <c r="G308" s="85">
        <f t="shared" si="862"/>
        <v>36.46</v>
      </c>
      <c r="H308" s="85" t="str">
        <f>'Consumer Hardware Pricing'!O316</f>
        <v>-</v>
      </c>
      <c r="I308" s="85">
        <f t="shared" si="800"/>
        <v>36.46</v>
      </c>
      <c r="J308" s="85" t="str">
        <f t="shared" si="812"/>
        <v>-</v>
      </c>
      <c r="K308" s="85">
        <f t="shared" si="813"/>
        <v>875.04</v>
      </c>
      <c r="L308" s="85">
        <f>'Consumer Hardware Pricing'!Q316</f>
        <v>299</v>
      </c>
      <c r="M308" s="85">
        <f t="shared" si="863"/>
        <v>12.46</v>
      </c>
      <c r="N308" s="85">
        <f t="shared" si="801"/>
        <v>24</v>
      </c>
      <c r="O308" s="85">
        <f t="shared" si="802"/>
        <v>299.04000000000002</v>
      </c>
      <c r="P308" s="85">
        <f t="shared" si="814"/>
        <v>576</v>
      </c>
      <c r="Q308" s="85">
        <f>'Consumer Hardware Pricing'!S316</f>
        <v>0</v>
      </c>
      <c r="R308" s="85">
        <f t="shared" si="803"/>
        <v>36.46</v>
      </c>
      <c r="S308" s="85" t="str">
        <f>'Consumer Hardware Pricing'!T316</f>
        <v>-</v>
      </c>
      <c r="T308" s="129">
        <f t="shared" si="815"/>
        <v>36.46</v>
      </c>
      <c r="U308" s="129" t="str">
        <f t="shared" si="816"/>
        <v>-</v>
      </c>
      <c r="V308" s="85">
        <f t="shared" si="817"/>
        <v>875.04</v>
      </c>
      <c r="W308" s="129">
        <f>'Consumer Hardware Pricing'!V316</f>
        <v>299</v>
      </c>
      <c r="X308" s="129">
        <f t="shared" si="864"/>
        <v>12.46</v>
      </c>
      <c r="Y308" s="129">
        <f t="shared" si="818"/>
        <v>24</v>
      </c>
      <c r="Z308" s="129">
        <f t="shared" si="819"/>
        <v>299.04000000000002</v>
      </c>
      <c r="AA308" s="85">
        <f t="shared" si="820"/>
        <v>576</v>
      </c>
      <c r="AB308" s="85">
        <f>'Consumer Hardware Pricing'!X316</f>
        <v>0</v>
      </c>
      <c r="AC308" s="85">
        <f t="shared" si="865"/>
        <v>36.46</v>
      </c>
      <c r="AD308" s="85">
        <f>'Consumer Hardware Pricing'!Y316</f>
        <v>10</v>
      </c>
      <c r="AE308" s="85">
        <f t="shared" si="873"/>
        <v>26.46</v>
      </c>
      <c r="AF308" s="85">
        <f t="shared" si="874"/>
        <v>240</v>
      </c>
      <c r="AG308" s="85">
        <f t="shared" si="875"/>
        <v>635.04</v>
      </c>
      <c r="AH308" s="85">
        <f>'Consumer Hardware Pricing'!AA316</f>
        <v>299</v>
      </c>
      <c r="AI308" s="85">
        <f t="shared" si="866"/>
        <v>22.46</v>
      </c>
      <c r="AJ308" s="85">
        <f t="shared" si="876"/>
        <v>14</v>
      </c>
      <c r="AK308" s="85">
        <f t="shared" si="877"/>
        <v>539.04</v>
      </c>
      <c r="AL308" s="85">
        <f t="shared" si="878"/>
        <v>336</v>
      </c>
      <c r="AM308" s="85">
        <f>'Consumer Hardware Pricing'!AC316</f>
        <v>0</v>
      </c>
      <c r="AN308" s="85">
        <f t="shared" si="867"/>
        <v>36.46</v>
      </c>
      <c r="AO308" s="85">
        <f>'Consumer Hardware Pricing'!AD316</f>
        <v>10</v>
      </c>
      <c r="AP308" s="85">
        <f t="shared" si="879"/>
        <v>26.46</v>
      </c>
      <c r="AQ308" s="85">
        <f t="shared" si="880"/>
        <v>240</v>
      </c>
      <c r="AR308" s="85">
        <f t="shared" si="881"/>
        <v>635.04</v>
      </c>
      <c r="AS308" s="85">
        <f>'Consumer Hardware Pricing'!AF316</f>
        <v>299</v>
      </c>
      <c r="AT308" s="85">
        <f t="shared" si="868"/>
        <v>22.46</v>
      </c>
      <c r="AU308" s="85">
        <f t="shared" si="882"/>
        <v>14</v>
      </c>
      <c r="AV308" s="85">
        <f t="shared" si="883"/>
        <v>539.04</v>
      </c>
      <c r="AW308" s="85">
        <f t="shared" si="884"/>
        <v>336</v>
      </c>
      <c r="AX308" s="85" t="str">
        <f>'Consumer Hardware Pricing'!AH316</f>
        <v>-</v>
      </c>
      <c r="AY308" s="85" t="str">
        <f t="shared" si="869"/>
        <v>-</v>
      </c>
      <c r="AZ308" s="85" t="str">
        <f>'Consumer Hardware Pricing'!AI316</f>
        <v>-</v>
      </c>
      <c r="BA308" s="85" t="str">
        <f t="shared" si="804"/>
        <v>-</v>
      </c>
      <c r="BB308" s="85" t="str">
        <f t="shared" si="805"/>
        <v>-</v>
      </c>
      <c r="BC308" s="85" t="str">
        <f t="shared" si="821"/>
        <v>-</v>
      </c>
      <c r="BD308" s="85" t="str">
        <f>'Consumer Hardware Pricing'!AL316</f>
        <v>-</v>
      </c>
      <c r="BE308" s="85" t="str">
        <f t="shared" si="870"/>
        <v>-</v>
      </c>
      <c r="BF308" s="85" t="str">
        <f>'Consumer Hardware Pricing'!AM316</f>
        <v>-</v>
      </c>
      <c r="BG308" s="85" t="str">
        <f t="shared" si="806"/>
        <v>-</v>
      </c>
      <c r="BH308" s="85" t="str">
        <f t="shared" si="807"/>
        <v>-</v>
      </c>
      <c r="BI308" s="85" t="str">
        <f t="shared" si="822"/>
        <v>-</v>
      </c>
      <c r="BJ308" s="85" t="str">
        <f>'Consumer Hardware Pricing'!AP316</f>
        <v>-</v>
      </c>
      <c r="BK308" s="85" t="str">
        <f t="shared" si="871"/>
        <v>-</v>
      </c>
      <c r="BL308" s="85" t="str">
        <f>'Consumer Hardware Pricing'!AQ316</f>
        <v>-</v>
      </c>
      <c r="BM308" s="85" t="str">
        <f t="shared" si="808"/>
        <v>-</v>
      </c>
      <c r="BN308" s="85" t="str">
        <f t="shared" si="809"/>
        <v>-</v>
      </c>
      <c r="BO308" s="85" t="str">
        <f t="shared" si="823"/>
        <v>-</v>
      </c>
      <c r="BP308" s="85" t="str">
        <f>'Consumer Hardware Pricing'!AT316</f>
        <v>-</v>
      </c>
      <c r="BQ308" s="85" t="str">
        <f t="shared" si="872"/>
        <v>-</v>
      </c>
      <c r="BR308" s="85" t="str">
        <f>'Consumer Hardware Pricing'!AU316</f>
        <v>-</v>
      </c>
      <c r="BS308" s="85" t="str">
        <f t="shared" si="810"/>
        <v>-</v>
      </c>
      <c r="BT308" s="85" t="str">
        <f t="shared" si="811"/>
        <v>-</v>
      </c>
      <c r="BU308" s="85" t="str">
        <f t="shared" si="824"/>
        <v>-</v>
      </c>
    </row>
    <row r="309" spans="1:73" ht="30.15" customHeight="1" x14ac:dyDescent="0.25">
      <c r="A309" s="87" t="s">
        <v>34</v>
      </c>
      <c r="B309" s="88" t="s">
        <v>676</v>
      </c>
      <c r="C309" s="88" t="s">
        <v>654</v>
      </c>
      <c r="D309" s="85">
        <f>'Consumer Hardware Pricing'!L317</f>
        <v>875</v>
      </c>
      <c r="E309" s="85">
        <f>'Consumer Hardware Pricing'!M317</f>
        <v>875</v>
      </c>
      <c r="F309" s="85">
        <f>'Consumer Hardware Pricing'!N317</f>
        <v>0</v>
      </c>
      <c r="G309" s="85">
        <f t="shared" si="862"/>
        <v>36.46</v>
      </c>
      <c r="H309" s="85" t="str">
        <f>'Consumer Hardware Pricing'!O317</f>
        <v>-</v>
      </c>
      <c r="I309" s="85">
        <f t="shared" si="800"/>
        <v>36.46</v>
      </c>
      <c r="J309" s="85" t="str">
        <f t="shared" si="812"/>
        <v>-</v>
      </c>
      <c r="K309" s="85">
        <f t="shared" si="813"/>
        <v>875.04</v>
      </c>
      <c r="L309" s="85">
        <f>'Consumer Hardware Pricing'!Q317</f>
        <v>299</v>
      </c>
      <c r="M309" s="85">
        <f t="shared" si="863"/>
        <v>12.46</v>
      </c>
      <c r="N309" s="85">
        <f t="shared" si="801"/>
        <v>24</v>
      </c>
      <c r="O309" s="85">
        <f t="shared" si="802"/>
        <v>299.04000000000002</v>
      </c>
      <c r="P309" s="85">
        <f t="shared" si="814"/>
        <v>576</v>
      </c>
      <c r="Q309" s="85">
        <f>'Consumer Hardware Pricing'!S317</f>
        <v>0</v>
      </c>
      <c r="R309" s="85">
        <f t="shared" si="803"/>
        <v>36.46</v>
      </c>
      <c r="S309" s="85" t="str">
        <f>'Consumer Hardware Pricing'!T317</f>
        <v>-</v>
      </c>
      <c r="T309" s="129">
        <f t="shared" si="815"/>
        <v>36.46</v>
      </c>
      <c r="U309" s="129" t="str">
        <f t="shared" si="816"/>
        <v>-</v>
      </c>
      <c r="V309" s="85">
        <f t="shared" si="817"/>
        <v>875.04</v>
      </c>
      <c r="W309" s="129">
        <f>'Consumer Hardware Pricing'!V317</f>
        <v>299</v>
      </c>
      <c r="X309" s="129">
        <f t="shared" si="864"/>
        <v>12.46</v>
      </c>
      <c r="Y309" s="129">
        <f t="shared" si="818"/>
        <v>24</v>
      </c>
      <c r="Z309" s="129">
        <f t="shared" si="819"/>
        <v>299.04000000000002</v>
      </c>
      <c r="AA309" s="85">
        <f t="shared" si="820"/>
        <v>576</v>
      </c>
      <c r="AB309" s="85">
        <f>'Consumer Hardware Pricing'!X317</f>
        <v>0</v>
      </c>
      <c r="AC309" s="85">
        <f t="shared" si="865"/>
        <v>36.46</v>
      </c>
      <c r="AD309" s="85">
        <f>'Consumer Hardware Pricing'!Y317</f>
        <v>10</v>
      </c>
      <c r="AE309" s="85">
        <f t="shared" si="873"/>
        <v>26.46</v>
      </c>
      <c r="AF309" s="85">
        <f t="shared" si="874"/>
        <v>240</v>
      </c>
      <c r="AG309" s="85">
        <f t="shared" si="875"/>
        <v>635.04</v>
      </c>
      <c r="AH309" s="85">
        <f>'Consumer Hardware Pricing'!AA317</f>
        <v>299</v>
      </c>
      <c r="AI309" s="85">
        <f t="shared" si="866"/>
        <v>22.46</v>
      </c>
      <c r="AJ309" s="85">
        <f t="shared" si="876"/>
        <v>14</v>
      </c>
      <c r="AK309" s="85">
        <f t="shared" si="877"/>
        <v>539.04</v>
      </c>
      <c r="AL309" s="85">
        <f t="shared" si="878"/>
        <v>336</v>
      </c>
      <c r="AM309" s="85">
        <f>'Consumer Hardware Pricing'!AC317</f>
        <v>0</v>
      </c>
      <c r="AN309" s="85">
        <f t="shared" si="867"/>
        <v>36.46</v>
      </c>
      <c r="AO309" s="85">
        <f>'Consumer Hardware Pricing'!AD317</f>
        <v>10</v>
      </c>
      <c r="AP309" s="85">
        <f t="shared" si="879"/>
        <v>26.46</v>
      </c>
      <c r="AQ309" s="85">
        <f t="shared" si="880"/>
        <v>240</v>
      </c>
      <c r="AR309" s="85">
        <f t="shared" si="881"/>
        <v>635.04</v>
      </c>
      <c r="AS309" s="85">
        <f>'Consumer Hardware Pricing'!AF317</f>
        <v>299</v>
      </c>
      <c r="AT309" s="85">
        <f t="shared" si="868"/>
        <v>22.46</v>
      </c>
      <c r="AU309" s="85">
        <f t="shared" si="882"/>
        <v>14</v>
      </c>
      <c r="AV309" s="85">
        <f t="shared" si="883"/>
        <v>539.04</v>
      </c>
      <c r="AW309" s="85">
        <f t="shared" si="884"/>
        <v>336</v>
      </c>
      <c r="AX309" s="85" t="str">
        <f>'Consumer Hardware Pricing'!AH317</f>
        <v>-</v>
      </c>
      <c r="AY309" s="85" t="str">
        <f t="shared" si="869"/>
        <v>-</v>
      </c>
      <c r="AZ309" s="85" t="str">
        <f>'Consumer Hardware Pricing'!AI317</f>
        <v>-</v>
      </c>
      <c r="BA309" s="85" t="str">
        <f t="shared" si="804"/>
        <v>-</v>
      </c>
      <c r="BB309" s="85" t="str">
        <f t="shared" si="805"/>
        <v>-</v>
      </c>
      <c r="BC309" s="85" t="str">
        <f t="shared" si="821"/>
        <v>-</v>
      </c>
      <c r="BD309" s="85" t="str">
        <f>'Consumer Hardware Pricing'!AL317</f>
        <v>-</v>
      </c>
      <c r="BE309" s="85" t="str">
        <f t="shared" si="870"/>
        <v>-</v>
      </c>
      <c r="BF309" s="85" t="str">
        <f>'Consumer Hardware Pricing'!AM317</f>
        <v>-</v>
      </c>
      <c r="BG309" s="85" t="str">
        <f t="shared" si="806"/>
        <v>-</v>
      </c>
      <c r="BH309" s="85" t="str">
        <f t="shared" si="807"/>
        <v>-</v>
      </c>
      <c r="BI309" s="85" t="str">
        <f t="shared" si="822"/>
        <v>-</v>
      </c>
      <c r="BJ309" s="85" t="str">
        <f>'Consumer Hardware Pricing'!AP317</f>
        <v>-</v>
      </c>
      <c r="BK309" s="85" t="str">
        <f t="shared" si="871"/>
        <v>-</v>
      </c>
      <c r="BL309" s="85" t="str">
        <f>'Consumer Hardware Pricing'!AQ317</f>
        <v>-</v>
      </c>
      <c r="BM309" s="85" t="str">
        <f t="shared" si="808"/>
        <v>-</v>
      </c>
      <c r="BN309" s="85" t="str">
        <f t="shared" si="809"/>
        <v>-</v>
      </c>
      <c r="BO309" s="85" t="str">
        <f t="shared" si="823"/>
        <v>-</v>
      </c>
      <c r="BP309" s="85" t="str">
        <f>'Consumer Hardware Pricing'!AT317</f>
        <v>-</v>
      </c>
      <c r="BQ309" s="85" t="str">
        <f t="shared" si="872"/>
        <v>-</v>
      </c>
      <c r="BR309" s="85" t="str">
        <f>'Consumer Hardware Pricing'!AU317</f>
        <v>-</v>
      </c>
      <c r="BS309" s="85" t="str">
        <f t="shared" si="810"/>
        <v>-</v>
      </c>
      <c r="BT309" s="85" t="str">
        <f t="shared" si="811"/>
        <v>-</v>
      </c>
      <c r="BU309" s="85" t="str">
        <f t="shared" si="824"/>
        <v>-</v>
      </c>
    </row>
    <row r="310" spans="1:73" ht="30.15" customHeight="1" x14ac:dyDescent="0.25">
      <c r="A310" s="87" t="s">
        <v>34</v>
      </c>
      <c r="B310" s="88" t="s">
        <v>677</v>
      </c>
      <c r="C310" s="88" t="s">
        <v>654</v>
      </c>
      <c r="D310" s="85">
        <f>'Consumer Hardware Pricing'!L318</f>
        <v>875</v>
      </c>
      <c r="E310" s="85">
        <f>'Consumer Hardware Pricing'!M318</f>
        <v>875</v>
      </c>
      <c r="F310" s="85">
        <f>'Consumer Hardware Pricing'!N318</f>
        <v>0</v>
      </c>
      <c r="G310" s="85">
        <f t="shared" si="862"/>
        <v>36.46</v>
      </c>
      <c r="H310" s="85" t="str">
        <f>'Consumer Hardware Pricing'!O318</f>
        <v>-</v>
      </c>
      <c r="I310" s="85">
        <f t="shared" si="800"/>
        <v>36.46</v>
      </c>
      <c r="J310" s="85" t="str">
        <f t="shared" si="812"/>
        <v>-</v>
      </c>
      <c r="K310" s="85">
        <f t="shared" si="813"/>
        <v>875.04</v>
      </c>
      <c r="L310" s="85">
        <f>'Consumer Hardware Pricing'!Q318</f>
        <v>299</v>
      </c>
      <c r="M310" s="85">
        <f t="shared" si="863"/>
        <v>12.46</v>
      </c>
      <c r="N310" s="85">
        <f t="shared" si="801"/>
        <v>24</v>
      </c>
      <c r="O310" s="85">
        <f t="shared" si="802"/>
        <v>299.04000000000002</v>
      </c>
      <c r="P310" s="85">
        <f t="shared" si="814"/>
        <v>576</v>
      </c>
      <c r="Q310" s="85">
        <f>'Consumer Hardware Pricing'!S318</f>
        <v>0</v>
      </c>
      <c r="R310" s="85">
        <f t="shared" si="803"/>
        <v>36.46</v>
      </c>
      <c r="S310" s="85" t="str">
        <f>'Consumer Hardware Pricing'!T318</f>
        <v>-</v>
      </c>
      <c r="T310" s="129">
        <f t="shared" si="815"/>
        <v>36.46</v>
      </c>
      <c r="U310" s="129" t="str">
        <f t="shared" si="816"/>
        <v>-</v>
      </c>
      <c r="V310" s="85">
        <f t="shared" si="817"/>
        <v>875.04</v>
      </c>
      <c r="W310" s="129">
        <f>'Consumer Hardware Pricing'!V318</f>
        <v>299</v>
      </c>
      <c r="X310" s="129">
        <f t="shared" si="864"/>
        <v>12.46</v>
      </c>
      <c r="Y310" s="129">
        <f t="shared" si="818"/>
        <v>24</v>
      </c>
      <c r="Z310" s="129">
        <f t="shared" si="819"/>
        <v>299.04000000000002</v>
      </c>
      <c r="AA310" s="85">
        <f t="shared" si="820"/>
        <v>576</v>
      </c>
      <c r="AB310" s="85">
        <f>'Consumer Hardware Pricing'!X318</f>
        <v>0</v>
      </c>
      <c r="AC310" s="85">
        <f t="shared" si="865"/>
        <v>36.46</v>
      </c>
      <c r="AD310" s="85">
        <f>'Consumer Hardware Pricing'!Y318</f>
        <v>10</v>
      </c>
      <c r="AE310" s="85">
        <f t="shared" si="873"/>
        <v>26.46</v>
      </c>
      <c r="AF310" s="85">
        <f t="shared" si="874"/>
        <v>240</v>
      </c>
      <c r="AG310" s="85">
        <f t="shared" si="875"/>
        <v>635.04</v>
      </c>
      <c r="AH310" s="85">
        <f>'Consumer Hardware Pricing'!AA318</f>
        <v>299</v>
      </c>
      <c r="AI310" s="85">
        <f t="shared" si="866"/>
        <v>22.46</v>
      </c>
      <c r="AJ310" s="85">
        <f t="shared" si="876"/>
        <v>14</v>
      </c>
      <c r="AK310" s="85">
        <f t="shared" si="877"/>
        <v>539.04</v>
      </c>
      <c r="AL310" s="85">
        <f t="shared" si="878"/>
        <v>336</v>
      </c>
      <c r="AM310" s="85">
        <f>'Consumer Hardware Pricing'!AC318</f>
        <v>0</v>
      </c>
      <c r="AN310" s="85">
        <f t="shared" si="867"/>
        <v>36.46</v>
      </c>
      <c r="AO310" s="85">
        <f>'Consumer Hardware Pricing'!AD318</f>
        <v>10</v>
      </c>
      <c r="AP310" s="85">
        <f t="shared" si="879"/>
        <v>26.46</v>
      </c>
      <c r="AQ310" s="85">
        <f t="shared" si="880"/>
        <v>240</v>
      </c>
      <c r="AR310" s="85">
        <f t="shared" si="881"/>
        <v>635.04</v>
      </c>
      <c r="AS310" s="85">
        <f>'Consumer Hardware Pricing'!AF318</f>
        <v>299</v>
      </c>
      <c r="AT310" s="85">
        <f t="shared" si="868"/>
        <v>22.46</v>
      </c>
      <c r="AU310" s="85">
        <f t="shared" si="882"/>
        <v>14</v>
      </c>
      <c r="AV310" s="85">
        <f t="shared" si="883"/>
        <v>539.04</v>
      </c>
      <c r="AW310" s="85">
        <f t="shared" si="884"/>
        <v>336</v>
      </c>
      <c r="AX310" s="85" t="str">
        <f>'Consumer Hardware Pricing'!AH318</f>
        <v>-</v>
      </c>
      <c r="AY310" s="85" t="str">
        <f t="shared" si="869"/>
        <v>-</v>
      </c>
      <c r="AZ310" s="85" t="str">
        <f>'Consumer Hardware Pricing'!AI318</f>
        <v>-</v>
      </c>
      <c r="BA310" s="85" t="str">
        <f t="shared" si="804"/>
        <v>-</v>
      </c>
      <c r="BB310" s="85" t="str">
        <f t="shared" si="805"/>
        <v>-</v>
      </c>
      <c r="BC310" s="85" t="str">
        <f t="shared" si="821"/>
        <v>-</v>
      </c>
      <c r="BD310" s="85" t="str">
        <f>'Consumer Hardware Pricing'!AL318</f>
        <v>-</v>
      </c>
      <c r="BE310" s="85" t="str">
        <f t="shared" si="870"/>
        <v>-</v>
      </c>
      <c r="BF310" s="85" t="str">
        <f>'Consumer Hardware Pricing'!AM318</f>
        <v>-</v>
      </c>
      <c r="BG310" s="85" t="str">
        <f t="shared" si="806"/>
        <v>-</v>
      </c>
      <c r="BH310" s="85" t="str">
        <f t="shared" si="807"/>
        <v>-</v>
      </c>
      <c r="BI310" s="85" t="str">
        <f t="shared" si="822"/>
        <v>-</v>
      </c>
      <c r="BJ310" s="85" t="str">
        <f>'Consumer Hardware Pricing'!AP318</f>
        <v>-</v>
      </c>
      <c r="BK310" s="85" t="str">
        <f t="shared" si="871"/>
        <v>-</v>
      </c>
      <c r="BL310" s="85" t="str">
        <f>'Consumer Hardware Pricing'!AQ318</f>
        <v>-</v>
      </c>
      <c r="BM310" s="85" t="str">
        <f t="shared" si="808"/>
        <v>-</v>
      </c>
      <c r="BN310" s="85" t="str">
        <f t="shared" si="809"/>
        <v>-</v>
      </c>
      <c r="BO310" s="85" t="str">
        <f t="shared" si="823"/>
        <v>-</v>
      </c>
      <c r="BP310" s="85" t="str">
        <f>'Consumer Hardware Pricing'!AT318</f>
        <v>-</v>
      </c>
      <c r="BQ310" s="85" t="str">
        <f t="shared" si="872"/>
        <v>-</v>
      </c>
      <c r="BR310" s="85" t="str">
        <f>'Consumer Hardware Pricing'!AU318</f>
        <v>-</v>
      </c>
      <c r="BS310" s="85" t="str">
        <f t="shared" si="810"/>
        <v>-</v>
      </c>
      <c r="BT310" s="85" t="str">
        <f t="shared" si="811"/>
        <v>-</v>
      </c>
      <c r="BU310" s="85" t="str">
        <f t="shared" si="824"/>
        <v>-</v>
      </c>
    </row>
    <row r="311" spans="1:73" ht="30.15" customHeight="1" x14ac:dyDescent="0.25">
      <c r="A311" s="87" t="s">
        <v>34</v>
      </c>
      <c r="B311" s="88" t="s">
        <v>678</v>
      </c>
      <c r="C311" s="88" t="s">
        <v>654</v>
      </c>
      <c r="D311" s="85">
        <f>'Consumer Hardware Pricing'!L319</f>
        <v>875</v>
      </c>
      <c r="E311" s="85">
        <f>'Consumer Hardware Pricing'!M319</f>
        <v>875</v>
      </c>
      <c r="F311" s="85">
        <f>'Consumer Hardware Pricing'!N319</f>
        <v>0</v>
      </c>
      <c r="G311" s="85">
        <f t="shared" si="862"/>
        <v>36.46</v>
      </c>
      <c r="H311" s="85" t="str">
        <f>'Consumer Hardware Pricing'!O319</f>
        <v>-</v>
      </c>
      <c r="I311" s="85">
        <f t="shared" si="800"/>
        <v>36.46</v>
      </c>
      <c r="J311" s="85" t="str">
        <f t="shared" si="812"/>
        <v>-</v>
      </c>
      <c r="K311" s="85">
        <f t="shared" si="813"/>
        <v>875.04</v>
      </c>
      <c r="L311" s="85">
        <f>'Consumer Hardware Pricing'!Q319</f>
        <v>299</v>
      </c>
      <c r="M311" s="85">
        <f t="shared" si="863"/>
        <v>12.46</v>
      </c>
      <c r="N311" s="85">
        <f t="shared" si="801"/>
        <v>24</v>
      </c>
      <c r="O311" s="85">
        <f t="shared" si="802"/>
        <v>299.04000000000002</v>
      </c>
      <c r="P311" s="85">
        <f t="shared" si="814"/>
        <v>576</v>
      </c>
      <c r="Q311" s="85">
        <f>'Consumer Hardware Pricing'!S319</f>
        <v>0</v>
      </c>
      <c r="R311" s="85">
        <f t="shared" si="803"/>
        <v>36.46</v>
      </c>
      <c r="S311" s="85" t="str">
        <f>'Consumer Hardware Pricing'!T319</f>
        <v>-</v>
      </c>
      <c r="T311" s="129">
        <f t="shared" si="815"/>
        <v>36.46</v>
      </c>
      <c r="U311" s="129" t="str">
        <f t="shared" si="816"/>
        <v>-</v>
      </c>
      <c r="V311" s="85">
        <f t="shared" si="817"/>
        <v>875.04</v>
      </c>
      <c r="W311" s="129">
        <f>'Consumer Hardware Pricing'!V319</f>
        <v>299</v>
      </c>
      <c r="X311" s="129">
        <f t="shared" si="864"/>
        <v>12.46</v>
      </c>
      <c r="Y311" s="129">
        <f t="shared" si="818"/>
        <v>24</v>
      </c>
      <c r="Z311" s="129">
        <f t="shared" si="819"/>
        <v>299.04000000000002</v>
      </c>
      <c r="AA311" s="85">
        <f t="shared" si="820"/>
        <v>576</v>
      </c>
      <c r="AB311" s="85">
        <f>'Consumer Hardware Pricing'!X319</f>
        <v>0</v>
      </c>
      <c r="AC311" s="85">
        <f t="shared" si="865"/>
        <v>36.46</v>
      </c>
      <c r="AD311" s="85">
        <f>'Consumer Hardware Pricing'!Y319</f>
        <v>10</v>
      </c>
      <c r="AE311" s="85">
        <f t="shared" si="873"/>
        <v>26.46</v>
      </c>
      <c r="AF311" s="85">
        <f t="shared" si="874"/>
        <v>240</v>
      </c>
      <c r="AG311" s="85">
        <f t="shared" si="875"/>
        <v>635.04</v>
      </c>
      <c r="AH311" s="85">
        <f>'Consumer Hardware Pricing'!AA319</f>
        <v>299</v>
      </c>
      <c r="AI311" s="85">
        <f t="shared" si="866"/>
        <v>22.46</v>
      </c>
      <c r="AJ311" s="85">
        <f t="shared" si="876"/>
        <v>14</v>
      </c>
      <c r="AK311" s="85">
        <f t="shared" si="877"/>
        <v>539.04</v>
      </c>
      <c r="AL311" s="85">
        <f t="shared" si="878"/>
        <v>336</v>
      </c>
      <c r="AM311" s="85">
        <f>'Consumer Hardware Pricing'!AC319</f>
        <v>0</v>
      </c>
      <c r="AN311" s="85">
        <f t="shared" si="867"/>
        <v>36.46</v>
      </c>
      <c r="AO311" s="85">
        <f>'Consumer Hardware Pricing'!AD319</f>
        <v>10</v>
      </c>
      <c r="AP311" s="85">
        <f t="shared" si="879"/>
        <v>26.46</v>
      </c>
      <c r="AQ311" s="85">
        <f t="shared" si="880"/>
        <v>240</v>
      </c>
      <c r="AR311" s="85">
        <f t="shared" si="881"/>
        <v>635.04</v>
      </c>
      <c r="AS311" s="85">
        <f>'Consumer Hardware Pricing'!AF319</f>
        <v>299</v>
      </c>
      <c r="AT311" s="85">
        <f t="shared" si="868"/>
        <v>22.46</v>
      </c>
      <c r="AU311" s="85">
        <f t="shared" si="882"/>
        <v>14</v>
      </c>
      <c r="AV311" s="85">
        <f t="shared" si="883"/>
        <v>539.04</v>
      </c>
      <c r="AW311" s="85">
        <f t="shared" si="884"/>
        <v>336</v>
      </c>
      <c r="AX311" s="85" t="str">
        <f>'Consumer Hardware Pricing'!AH319</f>
        <v>-</v>
      </c>
      <c r="AY311" s="85" t="str">
        <f t="shared" si="869"/>
        <v>-</v>
      </c>
      <c r="AZ311" s="85" t="str">
        <f>'Consumer Hardware Pricing'!AI319</f>
        <v>-</v>
      </c>
      <c r="BA311" s="85" t="str">
        <f t="shared" si="804"/>
        <v>-</v>
      </c>
      <c r="BB311" s="85" t="str">
        <f t="shared" si="805"/>
        <v>-</v>
      </c>
      <c r="BC311" s="85" t="str">
        <f t="shared" si="821"/>
        <v>-</v>
      </c>
      <c r="BD311" s="85" t="str">
        <f>'Consumer Hardware Pricing'!AL319</f>
        <v>-</v>
      </c>
      <c r="BE311" s="85" t="str">
        <f t="shared" si="870"/>
        <v>-</v>
      </c>
      <c r="BF311" s="85" t="str">
        <f>'Consumer Hardware Pricing'!AM319</f>
        <v>-</v>
      </c>
      <c r="BG311" s="85" t="str">
        <f t="shared" si="806"/>
        <v>-</v>
      </c>
      <c r="BH311" s="85" t="str">
        <f t="shared" si="807"/>
        <v>-</v>
      </c>
      <c r="BI311" s="85" t="str">
        <f t="shared" si="822"/>
        <v>-</v>
      </c>
      <c r="BJ311" s="85" t="str">
        <f>'Consumer Hardware Pricing'!AP319</f>
        <v>-</v>
      </c>
      <c r="BK311" s="85" t="str">
        <f t="shared" si="871"/>
        <v>-</v>
      </c>
      <c r="BL311" s="85" t="str">
        <f>'Consumer Hardware Pricing'!AQ319</f>
        <v>-</v>
      </c>
      <c r="BM311" s="85" t="str">
        <f t="shared" si="808"/>
        <v>-</v>
      </c>
      <c r="BN311" s="85" t="str">
        <f t="shared" si="809"/>
        <v>-</v>
      </c>
      <c r="BO311" s="85" t="str">
        <f t="shared" si="823"/>
        <v>-</v>
      </c>
      <c r="BP311" s="85" t="str">
        <f>'Consumer Hardware Pricing'!AT319</f>
        <v>-</v>
      </c>
      <c r="BQ311" s="85" t="str">
        <f t="shared" si="872"/>
        <v>-</v>
      </c>
      <c r="BR311" s="85" t="str">
        <f>'Consumer Hardware Pricing'!AU319</f>
        <v>-</v>
      </c>
      <c r="BS311" s="85" t="str">
        <f t="shared" si="810"/>
        <v>-</v>
      </c>
      <c r="BT311" s="85" t="str">
        <f t="shared" si="811"/>
        <v>-</v>
      </c>
      <c r="BU311" s="85" t="str">
        <f t="shared" si="824"/>
        <v>-</v>
      </c>
    </row>
    <row r="312" spans="1:73" ht="30.15" customHeight="1" x14ac:dyDescent="0.25">
      <c r="A312" s="87" t="s">
        <v>34</v>
      </c>
      <c r="B312" s="88" t="s">
        <v>679</v>
      </c>
      <c r="C312" s="88" t="s">
        <v>654</v>
      </c>
      <c r="D312" s="85">
        <f>'Consumer Hardware Pricing'!L320</f>
        <v>875</v>
      </c>
      <c r="E312" s="85">
        <f>'Consumer Hardware Pricing'!M320</f>
        <v>875</v>
      </c>
      <c r="F312" s="85">
        <f>'Consumer Hardware Pricing'!N320</f>
        <v>0</v>
      </c>
      <c r="G312" s="85">
        <f t="shared" si="862"/>
        <v>36.46</v>
      </c>
      <c r="H312" s="85" t="str">
        <f>'Consumer Hardware Pricing'!O320</f>
        <v>-</v>
      </c>
      <c r="I312" s="85">
        <f t="shared" si="800"/>
        <v>36.46</v>
      </c>
      <c r="J312" s="85" t="str">
        <f t="shared" si="812"/>
        <v>-</v>
      </c>
      <c r="K312" s="85">
        <f t="shared" si="813"/>
        <v>875.04</v>
      </c>
      <c r="L312" s="85">
        <f>'Consumer Hardware Pricing'!Q320</f>
        <v>299</v>
      </c>
      <c r="M312" s="85">
        <f t="shared" si="863"/>
        <v>12.46</v>
      </c>
      <c r="N312" s="85">
        <f t="shared" si="801"/>
        <v>24</v>
      </c>
      <c r="O312" s="85">
        <f t="shared" si="802"/>
        <v>299.04000000000002</v>
      </c>
      <c r="P312" s="85">
        <f t="shared" si="814"/>
        <v>576</v>
      </c>
      <c r="Q312" s="85">
        <f>'Consumer Hardware Pricing'!S320</f>
        <v>0</v>
      </c>
      <c r="R312" s="85">
        <f t="shared" si="803"/>
        <v>36.46</v>
      </c>
      <c r="S312" s="85" t="str">
        <f>'Consumer Hardware Pricing'!T320</f>
        <v>-</v>
      </c>
      <c r="T312" s="129">
        <f t="shared" si="815"/>
        <v>36.46</v>
      </c>
      <c r="U312" s="129" t="str">
        <f t="shared" si="816"/>
        <v>-</v>
      </c>
      <c r="V312" s="85">
        <f t="shared" si="817"/>
        <v>875.04</v>
      </c>
      <c r="W312" s="129">
        <f>'Consumer Hardware Pricing'!V320</f>
        <v>299</v>
      </c>
      <c r="X312" s="129">
        <f t="shared" si="864"/>
        <v>12.46</v>
      </c>
      <c r="Y312" s="129">
        <f t="shared" si="818"/>
        <v>24</v>
      </c>
      <c r="Z312" s="129">
        <f t="shared" si="819"/>
        <v>299.04000000000002</v>
      </c>
      <c r="AA312" s="85">
        <f t="shared" si="820"/>
        <v>576</v>
      </c>
      <c r="AB312" s="85">
        <f>'Consumer Hardware Pricing'!X320</f>
        <v>0</v>
      </c>
      <c r="AC312" s="85">
        <f t="shared" si="865"/>
        <v>36.46</v>
      </c>
      <c r="AD312" s="85">
        <f>'Consumer Hardware Pricing'!Y320</f>
        <v>10</v>
      </c>
      <c r="AE312" s="85">
        <f t="shared" si="873"/>
        <v>26.46</v>
      </c>
      <c r="AF312" s="85">
        <f t="shared" si="874"/>
        <v>240</v>
      </c>
      <c r="AG312" s="85">
        <f t="shared" si="875"/>
        <v>635.04</v>
      </c>
      <c r="AH312" s="85">
        <f>'Consumer Hardware Pricing'!AA320</f>
        <v>299</v>
      </c>
      <c r="AI312" s="85">
        <f t="shared" si="866"/>
        <v>22.46</v>
      </c>
      <c r="AJ312" s="85">
        <f t="shared" si="876"/>
        <v>14</v>
      </c>
      <c r="AK312" s="85">
        <f t="shared" si="877"/>
        <v>539.04</v>
      </c>
      <c r="AL312" s="85">
        <f t="shared" si="878"/>
        <v>336</v>
      </c>
      <c r="AM312" s="85">
        <f>'Consumer Hardware Pricing'!AC320</f>
        <v>0</v>
      </c>
      <c r="AN312" s="85">
        <f t="shared" si="867"/>
        <v>36.46</v>
      </c>
      <c r="AO312" s="85">
        <f>'Consumer Hardware Pricing'!AD320</f>
        <v>10</v>
      </c>
      <c r="AP312" s="85">
        <f t="shared" si="879"/>
        <v>26.46</v>
      </c>
      <c r="AQ312" s="85">
        <f t="shared" si="880"/>
        <v>240</v>
      </c>
      <c r="AR312" s="85">
        <f t="shared" si="881"/>
        <v>635.04</v>
      </c>
      <c r="AS312" s="85">
        <f>'Consumer Hardware Pricing'!AF320</f>
        <v>299</v>
      </c>
      <c r="AT312" s="85">
        <f t="shared" si="868"/>
        <v>22.46</v>
      </c>
      <c r="AU312" s="85">
        <f t="shared" si="882"/>
        <v>14</v>
      </c>
      <c r="AV312" s="85">
        <f t="shared" si="883"/>
        <v>539.04</v>
      </c>
      <c r="AW312" s="85">
        <f t="shared" si="884"/>
        <v>336</v>
      </c>
      <c r="AX312" s="85" t="str">
        <f>'Consumer Hardware Pricing'!AH320</f>
        <v>-</v>
      </c>
      <c r="AY312" s="85" t="str">
        <f t="shared" si="869"/>
        <v>-</v>
      </c>
      <c r="AZ312" s="85" t="str">
        <f>'Consumer Hardware Pricing'!AI320</f>
        <v>-</v>
      </c>
      <c r="BA312" s="85" t="str">
        <f t="shared" si="804"/>
        <v>-</v>
      </c>
      <c r="BB312" s="85" t="str">
        <f t="shared" si="805"/>
        <v>-</v>
      </c>
      <c r="BC312" s="85" t="str">
        <f t="shared" si="821"/>
        <v>-</v>
      </c>
      <c r="BD312" s="85" t="str">
        <f>'Consumer Hardware Pricing'!AL320</f>
        <v>-</v>
      </c>
      <c r="BE312" s="85" t="str">
        <f t="shared" si="870"/>
        <v>-</v>
      </c>
      <c r="BF312" s="85" t="str">
        <f>'Consumer Hardware Pricing'!AM320</f>
        <v>-</v>
      </c>
      <c r="BG312" s="85" t="str">
        <f t="shared" si="806"/>
        <v>-</v>
      </c>
      <c r="BH312" s="85" t="str">
        <f t="shared" si="807"/>
        <v>-</v>
      </c>
      <c r="BI312" s="85" t="str">
        <f t="shared" si="822"/>
        <v>-</v>
      </c>
      <c r="BJ312" s="85" t="str">
        <f>'Consumer Hardware Pricing'!AP320</f>
        <v>-</v>
      </c>
      <c r="BK312" s="85" t="str">
        <f t="shared" si="871"/>
        <v>-</v>
      </c>
      <c r="BL312" s="85" t="str">
        <f>'Consumer Hardware Pricing'!AQ320</f>
        <v>-</v>
      </c>
      <c r="BM312" s="85" t="str">
        <f t="shared" si="808"/>
        <v>-</v>
      </c>
      <c r="BN312" s="85" t="str">
        <f t="shared" si="809"/>
        <v>-</v>
      </c>
      <c r="BO312" s="85" t="str">
        <f t="shared" si="823"/>
        <v>-</v>
      </c>
      <c r="BP312" s="85" t="str">
        <f>'Consumer Hardware Pricing'!AT320</f>
        <v>-</v>
      </c>
      <c r="BQ312" s="85" t="str">
        <f t="shared" si="872"/>
        <v>-</v>
      </c>
      <c r="BR312" s="85" t="str">
        <f>'Consumer Hardware Pricing'!AU320</f>
        <v>-</v>
      </c>
      <c r="BS312" s="85" t="str">
        <f t="shared" si="810"/>
        <v>-</v>
      </c>
      <c r="BT312" s="85" t="str">
        <f t="shared" si="811"/>
        <v>-</v>
      </c>
      <c r="BU312" s="85" t="str">
        <f t="shared" si="824"/>
        <v>-</v>
      </c>
    </row>
    <row r="313" spans="1:73" ht="30.15" customHeight="1" x14ac:dyDescent="0.25">
      <c r="A313" s="87" t="s">
        <v>34</v>
      </c>
      <c r="B313" s="88" t="s">
        <v>680</v>
      </c>
      <c r="C313" s="88" t="s">
        <v>654</v>
      </c>
      <c r="D313" s="85">
        <f>'Consumer Hardware Pricing'!L321</f>
        <v>875</v>
      </c>
      <c r="E313" s="85">
        <f>'Consumer Hardware Pricing'!M321</f>
        <v>875</v>
      </c>
      <c r="F313" s="85">
        <f>'Consumer Hardware Pricing'!N321</f>
        <v>0</v>
      </c>
      <c r="G313" s="85">
        <f t="shared" si="862"/>
        <v>36.46</v>
      </c>
      <c r="H313" s="85" t="str">
        <f>'Consumer Hardware Pricing'!O321</f>
        <v>-</v>
      </c>
      <c r="I313" s="85">
        <f t="shared" si="800"/>
        <v>36.46</v>
      </c>
      <c r="J313" s="85" t="str">
        <f t="shared" si="812"/>
        <v>-</v>
      </c>
      <c r="K313" s="85">
        <f t="shared" si="813"/>
        <v>875.04</v>
      </c>
      <c r="L313" s="85">
        <f>'Consumer Hardware Pricing'!Q321</f>
        <v>299</v>
      </c>
      <c r="M313" s="85">
        <f t="shared" si="863"/>
        <v>12.46</v>
      </c>
      <c r="N313" s="85">
        <f t="shared" si="801"/>
        <v>24</v>
      </c>
      <c r="O313" s="85">
        <f t="shared" si="802"/>
        <v>299.04000000000002</v>
      </c>
      <c r="P313" s="85">
        <f t="shared" si="814"/>
        <v>576</v>
      </c>
      <c r="Q313" s="85">
        <f>'Consumer Hardware Pricing'!S321</f>
        <v>0</v>
      </c>
      <c r="R313" s="85">
        <f t="shared" si="803"/>
        <v>36.46</v>
      </c>
      <c r="S313" s="85" t="str">
        <f>'Consumer Hardware Pricing'!T321</f>
        <v>-</v>
      </c>
      <c r="T313" s="129">
        <f t="shared" si="815"/>
        <v>36.46</v>
      </c>
      <c r="U313" s="129" t="str">
        <f t="shared" si="816"/>
        <v>-</v>
      </c>
      <c r="V313" s="85">
        <f t="shared" si="817"/>
        <v>875.04</v>
      </c>
      <c r="W313" s="129">
        <f>'Consumer Hardware Pricing'!V321</f>
        <v>299</v>
      </c>
      <c r="X313" s="129">
        <f t="shared" si="864"/>
        <v>12.46</v>
      </c>
      <c r="Y313" s="129">
        <f t="shared" si="818"/>
        <v>24</v>
      </c>
      <c r="Z313" s="129">
        <f t="shared" si="819"/>
        <v>299.04000000000002</v>
      </c>
      <c r="AA313" s="85">
        <f t="shared" si="820"/>
        <v>576</v>
      </c>
      <c r="AB313" s="85">
        <f>'Consumer Hardware Pricing'!X321</f>
        <v>0</v>
      </c>
      <c r="AC313" s="85">
        <f t="shared" si="865"/>
        <v>36.46</v>
      </c>
      <c r="AD313" s="85">
        <f>'Consumer Hardware Pricing'!Y321</f>
        <v>10</v>
      </c>
      <c r="AE313" s="85">
        <f t="shared" si="873"/>
        <v>26.46</v>
      </c>
      <c r="AF313" s="85">
        <f t="shared" si="874"/>
        <v>240</v>
      </c>
      <c r="AG313" s="85">
        <f t="shared" si="875"/>
        <v>635.04</v>
      </c>
      <c r="AH313" s="85">
        <f>'Consumer Hardware Pricing'!AA321</f>
        <v>299</v>
      </c>
      <c r="AI313" s="85">
        <f t="shared" si="866"/>
        <v>22.46</v>
      </c>
      <c r="AJ313" s="85">
        <f t="shared" si="876"/>
        <v>14</v>
      </c>
      <c r="AK313" s="85">
        <f t="shared" si="877"/>
        <v>539.04</v>
      </c>
      <c r="AL313" s="85">
        <f t="shared" si="878"/>
        <v>336</v>
      </c>
      <c r="AM313" s="85">
        <f>'Consumer Hardware Pricing'!AC321</f>
        <v>0</v>
      </c>
      <c r="AN313" s="85">
        <f t="shared" si="867"/>
        <v>36.46</v>
      </c>
      <c r="AO313" s="85">
        <f>'Consumer Hardware Pricing'!AD321</f>
        <v>10</v>
      </c>
      <c r="AP313" s="85">
        <f t="shared" si="879"/>
        <v>26.46</v>
      </c>
      <c r="AQ313" s="85">
        <f t="shared" si="880"/>
        <v>240</v>
      </c>
      <c r="AR313" s="85">
        <f t="shared" si="881"/>
        <v>635.04</v>
      </c>
      <c r="AS313" s="85">
        <f>'Consumer Hardware Pricing'!AF321</f>
        <v>299</v>
      </c>
      <c r="AT313" s="85">
        <f t="shared" si="868"/>
        <v>22.46</v>
      </c>
      <c r="AU313" s="85">
        <f t="shared" si="882"/>
        <v>14</v>
      </c>
      <c r="AV313" s="85">
        <f t="shared" si="883"/>
        <v>539.04</v>
      </c>
      <c r="AW313" s="85">
        <f t="shared" si="884"/>
        <v>336</v>
      </c>
      <c r="AX313" s="85" t="str">
        <f>'Consumer Hardware Pricing'!AH321</f>
        <v>-</v>
      </c>
      <c r="AY313" s="85" t="str">
        <f t="shared" si="869"/>
        <v>-</v>
      </c>
      <c r="AZ313" s="85" t="str">
        <f>'Consumer Hardware Pricing'!AI321</f>
        <v>-</v>
      </c>
      <c r="BA313" s="85" t="str">
        <f t="shared" si="804"/>
        <v>-</v>
      </c>
      <c r="BB313" s="85" t="str">
        <f t="shared" si="805"/>
        <v>-</v>
      </c>
      <c r="BC313" s="85" t="str">
        <f t="shared" si="821"/>
        <v>-</v>
      </c>
      <c r="BD313" s="85" t="str">
        <f>'Consumer Hardware Pricing'!AL321</f>
        <v>-</v>
      </c>
      <c r="BE313" s="85" t="str">
        <f t="shared" si="870"/>
        <v>-</v>
      </c>
      <c r="BF313" s="85" t="str">
        <f>'Consumer Hardware Pricing'!AM321</f>
        <v>-</v>
      </c>
      <c r="BG313" s="85" t="str">
        <f t="shared" si="806"/>
        <v>-</v>
      </c>
      <c r="BH313" s="85" t="str">
        <f t="shared" si="807"/>
        <v>-</v>
      </c>
      <c r="BI313" s="85" t="str">
        <f t="shared" si="822"/>
        <v>-</v>
      </c>
      <c r="BJ313" s="85" t="str">
        <f>'Consumer Hardware Pricing'!AP321</f>
        <v>-</v>
      </c>
      <c r="BK313" s="85" t="str">
        <f t="shared" si="871"/>
        <v>-</v>
      </c>
      <c r="BL313" s="85" t="str">
        <f>'Consumer Hardware Pricing'!AQ321</f>
        <v>-</v>
      </c>
      <c r="BM313" s="85" t="str">
        <f t="shared" si="808"/>
        <v>-</v>
      </c>
      <c r="BN313" s="85" t="str">
        <f t="shared" si="809"/>
        <v>-</v>
      </c>
      <c r="BO313" s="85" t="str">
        <f t="shared" si="823"/>
        <v>-</v>
      </c>
      <c r="BP313" s="85" t="str">
        <f>'Consumer Hardware Pricing'!AT321</f>
        <v>-</v>
      </c>
      <c r="BQ313" s="85" t="str">
        <f t="shared" si="872"/>
        <v>-</v>
      </c>
      <c r="BR313" s="85" t="str">
        <f>'Consumer Hardware Pricing'!AU321</f>
        <v>-</v>
      </c>
      <c r="BS313" s="85" t="str">
        <f t="shared" si="810"/>
        <v>-</v>
      </c>
      <c r="BT313" s="85" t="str">
        <f t="shared" si="811"/>
        <v>-</v>
      </c>
      <c r="BU313" s="85" t="str">
        <f t="shared" si="824"/>
        <v>-</v>
      </c>
    </row>
    <row r="314" spans="1:73" ht="30.15" customHeight="1" x14ac:dyDescent="0.25">
      <c r="A314" s="87" t="s">
        <v>34</v>
      </c>
      <c r="B314" s="88" t="s">
        <v>669</v>
      </c>
      <c r="C314" s="88" t="s">
        <v>655</v>
      </c>
      <c r="D314" s="85">
        <f>'Consumer Hardware Pricing'!L322</f>
        <v>945</v>
      </c>
      <c r="E314" s="85">
        <f>'Consumer Hardware Pricing'!M322</f>
        <v>945</v>
      </c>
      <c r="F314" s="85">
        <f>'Consumer Hardware Pricing'!N322</f>
        <v>0</v>
      </c>
      <c r="G314" s="85">
        <f t="shared" si="862"/>
        <v>39.379999999999995</v>
      </c>
      <c r="H314" s="85" t="str">
        <f>'Consumer Hardware Pricing'!O322</f>
        <v>-</v>
      </c>
      <c r="I314" s="85">
        <f t="shared" si="800"/>
        <v>39.379999999999995</v>
      </c>
      <c r="J314" s="85" t="str">
        <f t="shared" si="812"/>
        <v>-</v>
      </c>
      <c r="K314" s="85">
        <f t="shared" si="813"/>
        <v>945.11999999999989</v>
      </c>
      <c r="L314" s="85">
        <f>'Consumer Hardware Pricing'!Q322</f>
        <v>309</v>
      </c>
      <c r="M314" s="85">
        <f t="shared" si="863"/>
        <v>12.879999999999995</v>
      </c>
      <c r="N314" s="85">
        <f t="shared" si="801"/>
        <v>26.5</v>
      </c>
      <c r="O314" s="85">
        <f t="shared" si="802"/>
        <v>309.11999999999989</v>
      </c>
      <c r="P314" s="85">
        <f t="shared" si="814"/>
        <v>636</v>
      </c>
      <c r="Q314" s="85">
        <f>'Consumer Hardware Pricing'!S322</f>
        <v>0</v>
      </c>
      <c r="R314" s="85">
        <f t="shared" si="803"/>
        <v>39.379999999999995</v>
      </c>
      <c r="S314" s="85" t="str">
        <f>'Consumer Hardware Pricing'!T322</f>
        <v>-</v>
      </c>
      <c r="T314" s="129">
        <f t="shared" si="815"/>
        <v>39.379999999999995</v>
      </c>
      <c r="U314" s="129" t="str">
        <f t="shared" si="816"/>
        <v>-</v>
      </c>
      <c r="V314" s="85">
        <f t="shared" si="817"/>
        <v>945.11999999999989</v>
      </c>
      <c r="W314" s="129">
        <f>'Consumer Hardware Pricing'!V322</f>
        <v>309</v>
      </c>
      <c r="X314" s="129">
        <f t="shared" si="864"/>
        <v>12.879999999999995</v>
      </c>
      <c r="Y314" s="129">
        <f t="shared" si="818"/>
        <v>26.5</v>
      </c>
      <c r="Z314" s="129">
        <f t="shared" si="819"/>
        <v>309.11999999999989</v>
      </c>
      <c r="AA314" s="85">
        <f t="shared" si="820"/>
        <v>636</v>
      </c>
      <c r="AB314" s="85">
        <f>'Consumer Hardware Pricing'!X322</f>
        <v>0</v>
      </c>
      <c r="AC314" s="85">
        <f t="shared" si="865"/>
        <v>39.379999999999995</v>
      </c>
      <c r="AD314" s="85">
        <f>'Consumer Hardware Pricing'!Y322</f>
        <v>10</v>
      </c>
      <c r="AE314" s="85">
        <f t="shared" si="873"/>
        <v>29.379999999999995</v>
      </c>
      <c r="AF314" s="85">
        <f t="shared" si="874"/>
        <v>240</v>
      </c>
      <c r="AG314" s="85">
        <f t="shared" si="875"/>
        <v>705.11999999999989</v>
      </c>
      <c r="AH314" s="85">
        <f>'Consumer Hardware Pricing'!AA322</f>
        <v>309</v>
      </c>
      <c r="AI314" s="85">
        <f t="shared" si="866"/>
        <v>22.879999999999995</v>
      </c>
      <c r="AJ314" s="85">
        <f t="shared" si="876"/>
        <v>16.5</v>
      </c>
      <c r="AK314" s="85">
        <f t="shared" si="877"/>
        <v>549.11999999999989</v>
      </c>
      <c r="AL314" s="85">
        <f t="shared" si="878"/>
        <v>396</v>
      </c>
      <c r="AM314" s="85">
        <f>'Consumer Hardware Pricing'!AC322</f>
        <v>0</v>
      </c>
      <c r="AN314" s="85">
        <f t="shared" si="867"/>
        <v>39.379999999999995</v>
      </c>
      <c r="AO314" s="85">
        <f>'Consumer Hardware Pricing'!AD322</f>
        <v>10</v>
      </c>
      <c r="AP314" s="85">
        <f t="shared" si="879"/>
        <v>29.379999999999995</v>
      </c>
      <c r="AQ314" s="85">
        <f t="shared" si="880"/>
        <v>240</v>
      </c>
      <c r="AR314" s="85">
        <f t="shared" si="881"/>
        <v>705.11999999999989</v>
      </c>
      <c r="AS314" s="85">
        <f>'Consumer Hardware Pricing'!AF322</f>
        <v>309</v>
      </c>
      <c r="AT314" s="85">
        <f t="shared" si="868"/>
        <v>22.879999999999995</v>
      </c>
      <c r="AU314" s="85">
        <f t="shared" si="882"/>
        <v>16.5</v>
      </c>
      <c r="AV314" s="85">
        <f t="shared" si="883"/>
        <v>549.11999999999989</v>
      </c>
      <c r="AW314" s="85">
        <f t="shared" si="884"/>
        <v>396</v>
      </c>
      <c r="AX314" s="85" t="str">
        <f>'Consumer Hardware Pricing'!AH322</f>
        <v>-</v>
      </c>
      <c r="AY314" s="85" t="str">
        <f t="shared" si="869"/>
        <v>-</v>
      </c>
      <c r="AZ314" s="85" t="str">
        <f>'Consumer Hardware Pricing'!AI322</f>
        <v>-</v>
      </c>
      <c r="BA314" s="85" t="str">
        <f t="shared" si="804"/>
        <v>-</v>
      </c>
      <c r="BB314" s="85" t="str">
        <f t="shared" si="805"/>
        <v>-</v>
      </c>
      <c r="BC314" s="85" t="str">
        <f t="shared" si="821"/>
        <v>-</v>
      </c>
      <c r="BD314" s="85" t="str">
        <f>'Consumer Hardware Pricing'!AL322</f>
        <v>-</v>
      </c>
      <c r="BE314" s="85" t="str">
        <f t="shared" si="870"/>
        <v>-</v>
      </c>
      <c r="BF314" s="85" t="str">
        <f>'Consumer Hardware Pricing'!AM322</f>
        <v>-</v>
      </c>
      <c r="BG314" s="85" t="str">
        <f t="shared" si="806"/>
        <v>-</v>
      </c>
      <c r="BH314" s="85" t="str">
        <f t="shared" si="807"/>
        <v>-</v>
      </c>
      <c r="BI314" s="85" t="str">
        <f t="shared" si="822"/>
        <v>-</v>
      </c>
      <c r="BJ314" s="85" t="str">
        <f>'Consumer Hardware Pricing'!AP322</f>
        <v>-</v>
      </c>
      <c r="BK314" s="85" t="str">
        <f t="shared" si="871"/>
        <v>-</v>
      </c>
      <c r="BL314" s="85" t="str">
        <f>'Consumer Hardware Pricing'!AQ322</f>
        <v>-</v>
      </c>
      <c r="BM314" s="85" t="str">
        <f t="shared" si="808"/>
        <v>-</v>
      </c>
      <c r="BN314" s="85" t="str">
        <f t="shared" si="809"/>
        <v>-</v>
      </c>
      <c r="BO314" s="85" t="str">
        <f t="shared" si="823"/>
        <v>-</v>
      </c>
      <c r="BP314" s="85" t="str">
        <f>'Consumer Hardware Pricing'!AT322</f>
        <v>-</v>
      </c>
      <c r="BQ314" s="85" t="str">
        <f t="shared" si="872"/>
        <v>-</v>
      </c>
      <c r="BR314" s="85" t="str">
        <f>'Consumer Hardware Pricing'!AU322</f>
        <v>-</v>
      </c>
      <c r="BS314" s="85" t="str">
        <f t="shared" si="810"/>
        <v>-</v>
      </c>
      <c r="BT314" s="85" t="str">
        <f t="shared" si="811"/>
        <v>-</v>
      </c>
      <c r="BU314" s="85" t="str">
        <f t="shared" si="824"/>
        <v>-</v>
      </c>
    </row>
    <row r="315" spans="1:73" ht="30.15" customHeight="1" x14ac:dyDescent="0.25">
      <c r="A315" s="87" t="s">
        <v>34</v>
      </c>
      <c r="B315" s="88" t="s">
        <v>670</v>
      </c>
      <c r="C315" s="88" t="s">
        <v>655</v>
      </c>
      <c r="D315" s="85">
        <f>'Consumer Hardware Pricing'!L323</f>
        <v>945</v>
      </c>
      <c r="E315" s="85">
        <f>'Consumer Hardware Pricing'!M323</f>
        <v>945</v>
      </c>
      <c r="F315" s="85">
        <f>'Consumer Hardware Pricing'!N323</f>
        <v>0</v>
      </c>
      <c r="G315" s="85">
        <f t="shared" si="862"/>
        <v>39.379999999999995</v>
      </c>
      <c r="H315" s="85" t="str">
        <f>'Consumer Hardware Pricing'!O323</f>
        <v>-</v>
      </c>
      <c r="I315" s="85">
        <f t="shared" ref="I315:I438" si="885">IF(H315="-",G315,G315-H315)</f>
        <v>39.379999999999995</v>
      </c>
      <c r="J315" s="85" t="str">
        <f t="shared" si="812"/>
        <v>-</v>
      </c>
      <c r="K315" s="85">
        <f t="shared" si="813"/>
        <v>945.11999999999989</v>
      </c>
      <c r="L315" s="85">
        <f>'Consumer Hardware Pricing'!Q323</f>
        <v>309</v>
      </c>
      <c r="M315" s="85">
        <f t="shared" si="863"/>
        <v>12.879999999999995</v>
      </c>
      <c r="N315" s="85">
        <f t="shared" ref="N315:N438" si="886">IF(L315="-",L315,G315-M315)</f>
        <v>26.5</v>
      </c>
      <c r="O315" s="85">
        <f t="shared" ref="O315:O438" si="887">IF(L315="-",L315,M315*24)</f>
        <v>309.11999999999989</v>
      </c>
      <c r="P315" s="85">
        <f t="shared" si="814"/>
        <v>636</v>
      </c>
      <c r="Q315" s="85">
        <f>'Consumer Hardware Pricing'!S323</f>
        <v>0</v>
      </c>
      <c r="R315" s="85">
        <f t="shared" ref="R315:R438" si="888">G315</f>
        <v>39.379999999999995</v>
      </c>
      <c r="S315" s="85" t="str">
        <f>'Consumer Hardware Pricing'!T323</f>
        <v>-</v>
      </c>
      <c r="T315" s="129">
        <f t="shared" si="815"/>
        <v>39.379999999999995</v>
      </c>
      <c r="U315" s="129" t="str">
        <f t="shared" si="816"/>
        <v>-</v>
      </c>
      <c r="V315" s="85">
        <f t="shared" si="817"/>
        <v>945.11999999999989</v>
      </c>
      <c r="W315" s="129">
        <f>'Consumer Hardware Pricing'!V323</f>
        <v>309</v>
      </c>
      <c r="X315" s="129">
        <f t="shared" si="864"/>
        <v>12.879999999999995</v>
      </c>
      <c r="Y315" s="129">
        <f t="shared" si="818"/>
        <v>26.5</v>
      </c>
      <c r="Z315" s="129">
        <f t="shared" si="819"/>
        <v>309.11999999999989</v>
      </c>
      <c r="AA315" s="85">
        <f t="shared" si="820"/>
        <v>636</v>
      </c>
      <c r="AB315" s="85">
        <f>'Consumer Hardware Pricing'!X323</f>
        <v>0</v>
      </c>
      <c r="AC315" s="85">
        <f t="shared" si="865"/>
        <v>39.379999999999995</v>
      </c>
      <c r="AD315" s="85">
        <f>'Consumer Hardware Pricing'!Y323</f>
        <v>10</v>
      </c>
      <c r="AE315" s="85">
        <f t="shared" si="873"/>
        <v>29.379999999999995</v>
      </c>
      <c r="AF315" s="85">
        <f t="shared" si="874"/>
        <v>240</v>
      </c>
      <c r="AG315" s="85">
        <f t="shared" si="875"/>
        <v>705.11999999999989</v>
      </c>
      <c r="AH315" s="85">
        <f>'Consumer Hardware Pricing'!AA323</f>
        <v>309</v>
      </c>
      <c r="AI315" s="85">
        <f t="shared" si="866"/>
        <v>22.879999999999995</v>
      </c>
      <c r="AJ315" s="85">
        <f t="shared" si="876"/>
        <v>16.5</v>
      </c>
      <c r="AK315" s="85">
        <f t="shared" si="877"/>
        <v>549.11999999999989</v>
      </c>
      <c r="AL315" s="85">
        <f t="shared" si="878"/>
        <v>396</v>
      </c>
      <c r="AM315" s="85">
        <f>'Consumer Hardware Pricing'!AC323</f>
        <v>0</v>
      </c>
      <c r="AN315" s="85">
        <f t="shared" si="867"/>
        <v>39.379999999999995</v>
      </c>
      <c r="AO315" s="85">
        <f>'Consumer Hardware Pricing'!AD323</f>
        <v>10</v>
      </c>
      <c r="AP315" s="85">
        <f t="shared" si="879"/>
        <v>29.379999999999995</v>
      </c>
      <c r="AQ315" s="85">
        <f t="shared" si="880"/>
        <v>240</v>
      </c>
      <c r="AR315" s="85">
        <f t="shared" si="881"/>
        <v>705.11999999999989</v>
      </c>
      <c r="AS315" s="85">
        <f>'Consumer Hardware Pricing'!AF323</f>
        <v>309</v>
      </c>
      <c r="AT315" s="85">
        <f t="shared" si="868"/>
        <v>22.879999999999995</v>
      </c>
      <c r="AU315" s="85">
        <f t="shared" si="882"/>
        <v>16.5</v>
      </c>
      <c r="AV315" s="85">
        <f t="shared" si="883"/>
        <v>549.11999999999989</v>
      </c>
      <c r="AW315" s="85">
        <f t="shared" si="884"/>
        <v>396</v>
      </c>
      <c r="AX315" s="85" t="str">
        <f>'Consumer Hardware Pricing'!AH323</f>
        <v>-</v>
      </c>
      <c r="AY315" s="85" t="str">
        <f t="shared" si="869"/>
        <v>-</v>
      </c>
      <c r="AZ315" s="85" t="str">
        <f>'Consumer Hardware Pricing'!AI323</f>
        <v>-</v>
      </c>
      <c r="BA315" s="85" t="str">
        <f t="shared" ref="BA315:BA438" si="889">IF(AZ315="-",AY315,AY315-AZ315)</f>
        <v>-</v>
      </c>
      <c r="BB315" s="85" t="str">
        <f t="shared" ref="BB315:BB438" si="890">IF(AZ315="-",AZ315,AZ315*24)</f>
        <v>-</v>
      </c>
      <c r="BC315" s="85" t="str">
        <f t="shared" si="821"/>
        <v>-</v>
      </c>
      <c r="BD315" s="85" t="str">
        <f>'Consumer Hardware Pricing'!AL323</f>
        <v>-</v>
      </c>
      <c r="BE315" s="85" t="str">
        <f t="shared" si="870"/>
        <v>-</v>
      </c>
      <c r="BF315" s="85" t="str">
        <f>'Consumer Hardware Pricing'!AM323</f>
        <v>-</v>
      </c>
      <c r="BG315" s="85" t="str">
        <f t="shared" ref="BG315:BG438" si="891">IF(BF315="-",BE315,BE315-BF315)</f>
        <v>-</v>
      </c>
      <c r="BH315" s="85" t="str">
        <f t="shared" ref="BH315:BH438" si="892">IF(BF315="-",BF315,BF315*24)</f>
        <v>-</v>
      </c>
      <c r="BI315" s="85" t="str">
        <f t="shared" si="822"/>
        <v>-</v>
      </c>
      <c r="BJ315" s="85" t="str">
        <f>'Consumer Hardware Pricing'!AP323</f>
        <v>-</v>
      </c>
      <c r="BK315" s="85" t="str">
        <f t="shared" si="871"/>
        <v>-</v>
      </c>
      <c r="BL315" s="85" t="str">
        <f>'Consumer Hardware Pricing'!AQ323</f>
        <v>-</v>
      </c>
      <c r="BM315" s="85" t="str">
        <f t="shared" ref="BM315:BM438" si="893">IF(BL315="-",BK315,BK315-BL315)</f>
        <v>-</v>
      </c>
      <c r="BN315" s="85" t="str">
        <f t="shared" ref="BN315:BN438" si="894">IF(BL315="-",BL315,BL315*24)</f>
        <v>-</v>
      </c>
      <c r="BO315" s="85" t="str">
        <f t="shared" si="823"/>
        <v>-</v>
      </c>
      <c r="BP315" s="85" t="str">
        <f>'Consumer Hardware Pricing'!AT323</f>
        <v>-</v>
      </c>
      <c r="BQ315" s="85" t="str">
        <f t="shared" si="872"/>
        <v>-</v>
      </c>
      <c r="BR315" s="85" t="str">
        <f>'Consumer Hardware Pricing'!AU323</f>
        <v>-</v>
      </c>
      <c r="BS315" s="85" t="str">
        <f t="shared" ref="BS315:BS438" si="895">IF(BR315="-",BQ315,BQ315-BR315)</f>
        <v>-</v>
      </c>
      <c r="BT315" s="85" t="str">
        <f t="shared" ref="BT315:BT438" si="896">IF(BR315="-",BR315,BR315*24)</f>
        <v>-</v>
      </c>
      <c r="BU315" s="85" t="str">
        <f t="shared" si="824"/>
        <v>-</v>
      </c>
    </row>
    <row r="316" spans="1:73" ht="30.15" customHeight="1" x14ac:dyDescent="0.25">
      <c r="A316" s="87" t="s">
        <v>34</v>
      </c>
      <c r="B316" s="88" t="s">
        <v>671</v>
      </c>
      <c r="C316" s="88" t="s">
        <v>655</v>
      </c>
      <c r="D316" s="85">
        <f>'Consumer Hardware Pricing'!L324</f>
        <v>945</v>
      </c>
      <c r="E316" s="85">
        <f>'Consumer Hardware Pricing'!M324</f>
        <v>945</v>
      </c>
      <c r="F316" s="85">
        <f>'Consumer Hardware Pricing'!N324</f>
        <v>0</v>
      </c>
      <c r="G316" s="85">
        <f t="shared" si="862"/>
        <v>39.379999999999995</v>
      </c>
      <c r="H316" s="85" t="str">
        <f>'Consumer Hardware Pricing'!O324</f>
        <v>-</v>
      </c>
      <c r="I316" s="85">
        <f t="shared" si="885"/>
        <v>39.379999999999995</v>
      </c>
      <c r="J316" s="85" t="str">
        <f t="shared" ref="J316:J439" si="897">IF(H316="-",H316,H316*24)</f>
        <v>-</v>
      </c>
      <c r="K316" s="85">
        <f t="shared" ref="K316:K439" si="898">IF(F316="-",F316,I316*24)</f>
        <v>945.11999999999989</v>
      </c>
      <c r="L316" s="85">
        <f>'Consumer Hardware Pricing'!Q324</f>
        <v>309</v>
      </c>
      <c r="M316" s="85">
        <f t="shared" si="863"/>
        <v>12.879999999999995</v>
      </c>
      <c r="N316" s="85">
        <f t="shared" si="886"/>
        <v>26.5</v>
      </c>
      <c r="O316" s="85">
        <f t="shared" si="887"/>
        <v>309.11999999999989</v>
      </c>
      <c r="P316" s="85">
        <f t="shared" ref="P316:P439" si="899">IF(L316="-",L316,N316*24)</f>
        <v>636</v>
      </c>
      <c r="Q316" s="85">
        <f>'Consumer Hardware Pricing'!S324</f>
        <v>0</v>
      </c>
      <c r="R316" s="85">
        <f t="shared" si="888"/>
        <v>39.379999999999995</v>
      </c>
      <c r="S316" s="85" t="str">
        <f>'Consumer Hardware Pricing'!T324</f>
        <v>-</v>
      </c>
      <c r="T316" s="129">
        <f t="shared" ref="T316:T439" si="900">IF(S316="-",R316,R316-S316)</f>
        <v>39.379999999999995</v>
      </c>
      <c r="U316" s="129" t="str">
        <f t="shared" ref="U316:U439" si="901">IF(S316="-",S316,S316*24)</f>
        <v>-</v>
      </c>
      <c r="V316" s="85">
        <f t="shared" ref="V316:V439" si="902">IF(Q316="-",Q316,T316*24)</f>
        <v>945.11999999999989</v>
      </c>
      <c r="W316" s="129">
        <f>'Consumer Hardware Pricing'!V324</f>
        <v>309</v>
      </c>
      <c r="X316" s="129">
        <f t="shared" si="864"/>
        <v>12.879999999999995</v>
      </c>
      <c r="Y316" s="129">
        <f t="shared" ref="Y316:Y439" si="903">IF(W316="-",W316,R316-X316)</f>
        <v>26.5</v>
      </c>
      <c r="Z316" s="129">
        <f t="shared" ref="Z316:Z439" si="904">IF(W316="-",W316,X316*24)</f>
        <v>309.11999999999989</v>
      </c>
      <c r="AA316" s="85">
        <f t="shared" ref="AA316:AA439" si="905">IF(W316="-",W316,Y316*24)</f>
        <v>636</v>
      </c>
      <c r="AB316" s="85">
        <f>'Consumer Hardware Pricing'!X324</f>
        <v>0</v>
      </c>
      <c r="AC316" s="85">
        <f t="shared" si="865"/>
        <v>39.379999999999995</v>
      </c>
      <c r="AD316" s="85">
        <f>'Consumer Hardware Pricing'!Y324</f>
        <v>10</v>
      </c>
      <c r="AE316" s="85">
        <f t="shared" si="873"/>
        <v>29.379999999999995</v>
      </c>
      <c r="AF316" s="85">
        <f t="shared" si="874"/>
        <v>240</v>
      </c>
      <c r="AG316" s="85">
        <f t="shared" si="875"/>
        <v>705.11999999999989</v>
      </c>
      <c r="AH316" s="85">
        <f>'Consumer Hardware Pricing'!AA324</f>
        <v>309</v>
      </c>
      <c r="AI316" s="85">
        <f t="shared" si="866"/>
        <v>22.879999999999995</v>
      </c>
      <c r="AJ316" s="85">
        <f t="shared" si="876"/>
        <v>16.5</v>
      </c>
      <c r="AK316" s="85">
        <f t="shared" si="877"/>
        <v>549.11999999999989</v>
      </c>
      <c r="AL316" s="85">
        <f t="shared" si="878"/>
        <v>396</v>
      </c>
      <c r="AM316" s="85">
        <f>'Consumer Hardware Pricing'!AC324</f>
        <v>0</v>
      </c>
      <c r="AN316" s="85">
        <f t="shared" si="867"/>
        <v>39.379999999999995</v>
      </c>
      <c r="AO316" s="85">
        <f>'Consumer Hardware Pricing'!AD324</f>
        <v>10</v>
      </c>
      <c r="AP316" s="85">
        <f t="shared" si="879"/>
        <v>29.379999999999995</v>
      </c>
      <c r="AQ316" s="85">
        <f t="shared" si="880"/>
        <v>240</v>
      </c>
      <c r="AR316" s="85">
        <f t="shared" si="881"/>
        <v>705.11999999999989</v>
      </c>
      <c r="AS316" s="85">
        <f>'Consumer Hardware Pricing'!AF324</f>
        <v>309</v>
      </c>
      <c r="AT316" s="85">
        <f t="shared" si="868"/>
        <v>22.879999999999995</v>
      </c>
      <c r="AU316" s="85">
        <f t="shared" si="882"/>
        <v>16.5</v>
      </c>
      <c r="AV316" s="85">
        <f t="shared" si="883"/>
        <v>549.11999999999989</v>
      </c>
      <c r="AW316" s="85">
        <f t="shared" si="884"/>
        <v>396</v>
      </c>
      <c r="AX316" s="85" t="str">
        <f>'Consumer Hardware Pricing'!AH324</f>
        <v>-</v>
      </c>
      <c r="AY316" s="85" t="str">
        <f t="shared" si="869"/>
        <v>-</v>
      </c>
      <c r="AZ316" s="85" t="str">
        <f>'Consumer Hardware Pricing'!AI324</f>
        <v>-</v>
      </c>
      <c r="BA316" s="85" t="str">
        <f t="shared" si="889"/>
        <v>-</v>
      </c>
      <c r="BB316" s="85" t="str">
        <f t="shared" si="890"/>
        <v>-</v>
      </c>
      <c r="BC316" s="85" t="str">
        <f t="shared" ref="BC316:BC439" si="906">IF(AX316="-",AX316,AX316+(BA316*24))</f>
        <v>-</v>
      </c>
      <c r="BD316" s="85" t="str">
        <f>'Consumer Hardware Pricing'!AL324</f>
        <v>-</v>
      </c>
      <c r="BE316" s="85" t="str">
        <f t="shared" si="870"/>
        <v>-</v>
      </c>
      <c r="BF316" s="85" t="str">
        <f>'Consumer Hardware Pricing'!AM324</f>
        <v>-</v>
      </c>
      <c r="BG316" s="85" t="str">
        <f t="shared" si="891"/>
        <v>-</v>
      </c>
      <c r="BH316" s="85" t="str">
        <f t="shared" si="892"/>
        <v>-</v>
      </c>
      <c r="BI316" s="85" t="str">
        <f t="shared" ref="BI316:BI439" si="907">IF(BD316="-",BD316,BD316+(BG316*24))</f>
        <v>-</v>
      </c>
      <c r="BJ316" s="85" t="str">
        <f>'Consumer Hardware Pricing'!AP324</f>
        <v>-</v>
      </c>
      <c r="BK316" s="85" t="str">
        <f t="shared" si="871"/>
        <v>-</v>
      </c>
      <c r="BL316" s="85" t="str">
        <f>'Consumer Hardware Pricing'!AQ324</f>
        <v>-</v>
      </c>
      <c r="BM316" s="85" t="str">
        <f t="shared" si="893"/>
        <v>-</v>
      </c>
      <c r="BN316" s="85" t="str">
        <f t="shared" si="894"/>
        <v>-</v>
      </c>
      <c r="BO316" s="85" t="str">
        <f t="shared" ref="BO316:BO439" si="908">IF(BJ316="-",BJ316,BJ316+(BM316*24))</f>
        <v>-</v>
      </c>
      <c r="BP316" s="85" t="str">
        <f>'Consumer Hardware Pricing'!AT324</f>
        <v>-</v>
      </c>
      <c r="BQ316" s="85" t="str">
        <f t="shared" si="872"/>
        <v>-</v>
      </c>
      <c r="BR316" s="85" t="str">
        <f>'Consumer Hardware Pricing'!AU324</f>
        <v>-</v>
      </c>
      <c r="BS316" s="85" t="str">
        <f t="shared" si="895"/>
        <v>-</v>
      </c>
      <c r="BT316" s="85" t="str">
        <f t="shared" si="896"/>
        <v>-</v>
      </c>
      <c r="BU316" s="85" t="str">
        <f t="shared" ref="BU316:BU439" si="909">IF(BP316="-",BP316,BP316+(BS316*24))</f>
        <v>-</v>
      </c>
    </row>
    <row r="317" spans="1:73" ht="30.15" customHeight="1" x14ac:dyDescent="0.25">
      <c r="A317" s="87" t="s">
        <v>34</v>
      </c>
      <c r="B317" s="88" t="s">
        <v>672</v>
      </c>
      <c r="C317" s="88" t="s">
        <v>655</v>
      </c>
      <c r="D317" s="85">
        <f>'Consumer Hardware Pricing'!L325</f>
        <v>945</v>
      </c>
      <c r="E317" s="85">
        <f>'Consumer Hardware Pricing'!M325</f>
        <v>945</v>
      </c>
      <c r="F317" s="85">
        <f>'Consumer Hardware Pricing'!N325</f>
        <v>0</v>
      </c>
      <c r="G317" s="85">
        <f t="shared" si="862"/>
        <v>39.379999999999995</v>
      </c>
      <c r="H317" s="85" t="str">
        <f>'Consumer Hardware Pricing'!O325</f>
        <v>-</v>
      </c>
      <c r="I317" s="85">
        <f t="shared" si="885"/>
        <v>39.379999999999995</v>
      </c>
      <c r="J317" s="85" t="str">
        <f t="shared" si="897"/>
        <v>-</v>
      </c>
      <c r="K317" s="85">
        <f t="shared" si="898"/>
        <v>945.11999999999989</v>
      </c>
      <c r="L317" s="85">
        <f>'Consumer Hardware Pricing'!Q325</f>
        <v>309</v>
      </c>
      <c r="M317" s="85">
        <f t="shared" si="863"/>
        <v>12.879999999999995</v>
      </c>
      <c r="N317" s="85">
        <f t="shared" si="886"/>
        <v>26.5</v>
      </c>
      <c r="O317" s="85">
        <f t="shared" si="887"/>
        <v>309.11999999999989</v>
      </c>
      <c r="P317" s="85">
        <f t="shared" si="899"/>
        <v>636</v>
      </c>
      <c r="Q317" s="85">
        <f>'Consumer Hardware Pricing'!S325</f>
        <v>0</v>
      </c>
      <c r="R317" s="85">
        <f t="shared" si="888"/>
        <v>39.379999999999995</v>
      </c>
      <c r="S317" s="85" t="str">
        <f>'Consumer Hardware Pricing'!T325</f>
        <v>-</v>
      </c>
      <c r="T317" s="129">
        <f t="shared" si="900"/>
        <v>39.379999999999995</v>
      </c>
      <c r="U317" s="129" t="str">
        <f t="shared" si="901"/>
        <v>-</v>
      </c>
      <c r="V317" s="85">
        <f t="shared" si="902"/>
        <v>945.11999999999989</v>
      </c>
      <c r="W317" s="129">
        <f>'Consumer Hardware Pricing'!V325</f>
        <v>309</v>
      </c>
      <c r="X317" s="129">
        <f t="shared" si="864"/>
        <v>12.879999999999995</v>
      </c>
      <c r="Y317" s="129">
        <f t="shared" si="903"/>
        <v>26.5</v>
      </c>
      <c r="Z317" s="129">
        <f t="shared" si="904"/>
        <v>309.11999999999989</v>
      </c>
      <c r="AA317" s="85">
        <f t="shared" si="905"/>
        <v>636</v>
      </c>
      <c r="AB317" s="85">
        <f>'Consumer Hardware Pricing'!X325</f>
        <v>0</v>
      </c>
      <c r="AC317" s="85">
        <f t="shared" si="865"/>
        <v>39.379999999999995</v>
      </c>
      <c r="AD317" s="85">
        <f>'Consumer Hardware Pricing'!Y325</f>
        <v>10</v>
      </c>
      <c r="AE317" s="85">
        <f t="shared" si="873"/>
        <v>29.379999999999995</v>
      </c>
      <c r="AF317" s="85">
        <f t="shared" si="874"/>
        <v>240</v>
      </c>
      <c r="AG317" s="85">
        <f t="shared" si="875"/>
        <v>705.11999999999989</v>
      </c>
      <c r="AH317" s="85">
        <f>'Consumer Hardware Pricing'!AA325</f>
        <v>309</v>
      </c>
      <c r="AI317" s="85">
        <f t="shared" si="866"/>
        <v>22.879999999999995</v>
      </c>
      <c r="AJ317" s="85">
        <f t="shared" si="876"/>
        <v>16.5</v>
      </c>
      <c r="AK317" s="85">
        <f t="shared" si="877"/>
        <v>549.11999999999989</v>
      </c>
      <c r="AL317" s="85">
        <f t="shared" si="878"/>
        <v>396</v>
      </c>
      <c r="AM317" s="85">
        <f>'Consumer Hardware Pricing'!AC325</f>
        <v>0</v>
      </c>
      <c r="AN317" s="85">
        <f t="shared" si="867"/>
        <v>39.379999999999995</v>
      </c>
      <c r="AO317" s="85">
        <f>'Consumer Hardware Pricing'!AD325</f>
        <v>10</v>
      </c>
      <c r="AP317" s="85">
        <f t="shared" si="879"/>
        <v>29.379999999999995</v>
      </c>
      <c r="AQ317" s="85">
        <f t="shared" si="880"/>
        <v>240</v>
      </c>
      <c r="AR317" s="85">
        <f t="shared" si="881"/>
        <v>705.11999999999989</v>
      </c>
      <c r="AS317" s="85">
        <f>'Consumer Hardware Pricing'!AF325</f>
        <v>309</v>
      </c>
      <c r="AT317" s="85">
        <f t="shared" si="868"/>
        <v>22.879999999999995</v>
      </c>
      <c r="AU317" s="85">
        <f t="shared" si="882"/>
        <v>16.5</v>
      </c>
      <c r="AV317" s="85">
        <f t="shared" si="883"/>
        <v>549.11999999999989</v>
      </c>
      <c r="AW317" s="85">
        <f t="shared" si="884"/>
        <v>396</v>
      </c>
      <c r="AX317" s="85" t="str">
        <f>'Consumer Hardware Pricing'!AH325</f>
        <v>-</v>
      </c>
      <c r="AY317" s="85" t="str">
        <f t="shared" si="869"/>
        <v>-</v>
      </c>
      <c r="AZ317" s="85" t="str">
        <f>'Consumer Hardware Pricing'!AI325</f>
        <v>-</v>
      </c>
      <c r="BA317" s="85" t="str">
        <f t="shared" si="889"/>
        <v>-</v>
      </c>
      <c r="BB317" s="85" t="str">
        <f t="shared" si="890"/>
        <v>-</v>
      </c>
      <c r="BC317" s="85" t="str">
        <f t="shared" si="906"/>
        <v>-</v>
      </c>
      <c r="BD317" s="85" t="str">
        <f>'Consumer Hardware Pricing'!AL325</f>
        <v>-</v>
      </c>
      <c r="BE317" s="85" t="str">
        <f t="shared" si="870"/>
        <v>-</v>
      </c>
      <c r="BF317" s="85" t="str">
        <f>'Consumer Hardware Pricing'!AM325</f>
        <v>-</v>
      </c>
      <c r="BG317" s="85" t="str">
        <f t="shared" si="891"/>
        <v>-</v>
      </c>
      <c r="BH317" s="85" t="str">
        <f t="shared" si="892"/>
        <v>-</v>
      </c>
      <c r="BI317" s="85" t="str">
        <f t="shared" si="907"/>
        <v>-</v>
      </c>
      <c r="BJ317" s="85" t="str">
        <f>'Consumer Hardware Pricing'!AP325</f>
        <v>-</v>
      </c>
      <c r="BK317" s="85" t="str">
        <f t="shared" si="871"/>
        <v>-</v>
      </c>
      <c r="BL317" s="85" t="str">
        <f>'Consumer Hardware Pricing'!AQ325</f>
        <v>-</v>
      </c>
      <c r="BM317" s="85" t="str">
        <f t="shared" si="893"/>
        <v>-</v>
      </c>
      <c r="BN317" s="85" t="str">
        <f t="shared" si="894"/>
        <v>-</v>
      </c>
      <c r="BO317" s="85" t="str">
        <f t="shared" si="908"/>
        <v>-</v>
      </c>
      <c r="BP317" s="85" t="str">
        <f>'Consumer Hardware Pricing'!AT325</f>
        <v>-</v>
      </c>
      <c r="BQ317" s="85" t="str">
        <f t="shared" si="872"/>
        <v>-</v>
      </c>
      <c r="BR317" s="85" t="str">
        <f>'Consumer Hardware Pricing'!AU325</f>
        <v>-</v>
      </c>
      <c r="BS317" s="85" t="str">
        <f t="shared" si="895"/>
        <v>-</v>
      </c>
      <c r="BT317" s="85" t="str">
        <f t="shared" si="896"/>
        <v>-</v>
      </c>
      <c r="BU317" s="85" t="str">
        <f t="shared" si="909"/>
        <v>-</v>
      </c>
    </row>
    <row r="318" spans="1:73" ht="30.15" customHeight="1" x14ac:dyDescent="0.25">
      <c r="A318" s="87" t="s">
        <v>34</v>
      </c>
      <c r="B318" s="88" t="s">
        <v>673</v>
      </c>
      <c r="C318" s="88" t="s">
        <v>655</v>
      </c>
      <c r="D318" s="85">
        <f>'Consumer Hardware Pricing'!L326</f>
        <v>945</v>
      </c>
      <c r="E318" s="85">
        <f>'Consumer Hardware Pricing'!M326</f>
        <v>945</v>
      </c>
      <c r="F318" s="85">
        <f>'Consumer Hardware Pricing'!N326</f>
        <v>0</v>
      </c>
      <c r="G318" s="85">
        <f t="shared" si="862"/>
        <v>39.379999999999995</v>
      </c>
      <c r="H318" s="85" t="str">
        <f>'Consumer Hardware Pricing'!O326</f>
        <v>-</v>
      </c>
      <c r="I318" s="85">
        <f t="shared" si="885"/>
        <v>39.379999999999995</v>
      </c>
      <c r="J318" s="85" t="str">
        <f t="shared" si="897"/>
        <v>-</v>
      </c>
      <c r="K318" s="85">
        <f t="shared" si="898"/>
        <v>945.11999999999989</v>
      </c>
      <c r="L318" s="85">
        <f>'Consumer Hardware Pricing'!Q326</f>
        <v>309</v>
      </c>
      <c r="M318" s="85">
        <f t="shared" si="863"/>
        <v>12.879999999999995</v>
      </c>
      <c r="N318" s="85">
        <f t="shared" si="886"/>
        <v>26.5</v>
      </c>
      <c r="O318" s="85">
        <f t="shared" si="887"/>
        <v>309.11999999999989</v>
      </c>
      <c r="P318" s="85">
        <f t="shared" si="899"/>
        <v>636</v>
      </c>
      <c r="Q318" s="85">
        <f>'Consumer Hardware Pricing'!S326</f>
        <v>0</v>
      </c>
      <c r="R318" s="85">
        <f t="shared" si="888"/>
        <v>39.379999999999995</v>
      </c>
      <c r="S318" s="85" t="str">
        <f>'Consumer Hardware Pricing'!T326</f>
        <v>-</v>
      </c>
      <c r="T318" s="129">
        <f t="shared" si="900"/>
        <v>39.379999999999995</v>
      </c>
      <c r="U318" s="129" t="str">
        <f t="shared" si="901"/>
        <v>-</v>
      </c>
      <c r="V318" s="85">
        <f t="shared" si="902"/>
        <v>945.11999999999989</v>
      </c>
      <c r="W318" s="129">
        <f>'Consumer Hardware Pricing'!V326</f>
        <v>309</v>
      </c>
      <c r="X318" s="129">
        <f t="shared" si="864"/>
        <v>12.879999999999995</v>
      </c>
      <c r="Y318" s="129">
        <f t="shared" si="903"/>
        <v>26.5</v>
      </c>
      <c r="Z318" s="129">
        <f t="shared" si="904"/>
        <v>309.11999999999989</v>
      </c>
      <c r="AA318" s="85">
        <f t="shared" si="905"/>
        <v>636</v>
      </c>
      <c r="AB318" s="85">
        <f>'Consumer Hardware Pricing'!X326</f>
        <v>0</v>
      </c>
      <c r="AC318" s="85">
        <f t="shared" si="865"/>
        <v>39.379999999999995</v>
      </c>
      <c r="AD318" s="85">
        <f>'Consumer Hardware Pricing'!Y326</f>
        <v>10</v>
      </c>
      <c r="AE318" s="85">
        <f t="shared" si="873"/>
        <v>29.379999999999995</v>
      </c>
      <c r="AF318" s="85">
        <f t="shared" si="874"/>
        <v>240</v>
      </c>
      <c r="AG318" s="85">
        <f t="shared" si="875"/>
        <v>705.11999999999989</v>
      </c>
      <c r="AH318" s="85">
        <f>'Consumer Hardware Pricing'!AA326</f>
        <v>309</v>
      </c>
      <c r="AI318" s="85">
        <f t="shared" si="866"/>
        <v>22.879999999999995</v>
      </c>
      <c r="AJ318" s="85">
        <f t="shared" si="876"/>
        <v>16.5</v>
      </c>
      <c r="AK318" s="85">
        <f t="shared" si="877"/>
        <v>549.11999999999989</v>
      </c>
      <c r="AL318" s="85">
        <f t="shared" si="878"/>
        <v>396</v>
      </c>
      <c r="AM318" s="85">
        <f>'Consumer Hardware Pricing'!AC326</f>
        <v>0</v>
      </c>
      <c r="AN318" s="85">
        <f t="shared" si="867"/>
        <v>39.379999999999995</v>
      </c>
      <c r="AO318" s="85">
        <f>'Consumer Hardware Pricing'!AD326</f>
        <v>10</v>
      </c>
      <c r="AP318" s="85">
        <f t="shared" si="879"/>
        <v>29.379999999999995</v>
      </c>
      <c r="AQ318" s="85">
        <f t="shared" si="880"/>
        <v>240</v>
      </c>
      <c r="AR318" s="85">
        <f t="shared" si="881"/>
        <v>705.11999999999989</v>
      </c>
      <c r="AS318" s="85">
        <f>'Consumer Hardware Pricing'!AF326</f>
        <v>309</v>
      </c>
      <c r="AT318" s="85">
        <f t="shared" si="868"/>
        <v>22.879999999999995</v>
      </c>
      <c r="AU318" s="85">
        <f t="shared" si="882"/>
        <v>16.5</v>
      </c>
      <c r="AV318" s="85">
        <f t="shared" si="883"/>
        <v>549.11999999999989</v>
      </c>
      <c r="AW318" s="85">
        <f t="shared" si="884"/>
        <v>396</v>
      </c>
      <c r="AX318" s="85" t="str">
        <f>'Consumer Hardware Pricing'!AH326</f>
        <v>-</v>
      </c>
      <c r="AY318" s="85" t="str">
        <f t="shared" si="869"/>
        <v>-</v>
      </c>
      <c r="AZ318" s="85" t="str">
        <f>'Consumer Hardware Pricing'!AI326</f>
        <v>-</v>
      </c>
      <c r="BA318" s="85" t="str">
        <f t="shared" si="889"/>
        <v>-</v>
      </c>
      <c r="BB318" s="85" t="str">
        <f t="shared" si="890"/>
        <v>-</v>
      </c>
      <c r="BC318" s="85" t="str">
        <f t="shared" si="906"/>
        <v>-</v>
      </c>
      <c r="BD318" s="85" t="str">
        <f>'Consumer Hardware Pricing'!AL326</f>
        <v>-</v>
      </c>
      <c r="BE318" s="85" t="str">
        <f t="shared" si="870"/>
        <v>-</v>
      </c>
      <c r="BF318" s="85" t="str">
        <f>'Consumer Hardware Pricing'!AM326</f>
        <v>-</v>
      </c>
      <c r="BG318" s="85" t="str">
        <f t="shared" si="891"/>
        <v>-</v>
      </c>
      <c r="BH318" s="85" t="str">
        <f t="shared" si="892"/>
        <v>-</v>
      </c>
      <c r="BI318" s="85" t="str">
        <f t="shared" si="907"/>
        <v>-</v>
      </c>
      <c r="BJ318" s="85" t="str">
        <f>'Consumer Hardware Pricing'!AP326</f>
        <v>-</v>
      </c>
      <c r="BK318" s="85" t="str">
        <f t="shared" si="871"/>
        <v>-</v>
      </c>
      <c r="BL318" s="85" t="str">
        <f>'Consumer Hardware Pricing'!AQ326</f>
        <v>-</v>
      </c>
      <c r="BM318" s="85" t="str">
        <f t="shared" si="893"/>
        <v>-</v>
      </c>
      <c r="BN318" s="85" t="str">
        <f t="shared" si="894"/>
        <v>-</v>
      </c>
      <c r="BO318" s="85" t="str">
        <f t="shared" si="908"/>
        <v>-</v>
      </c>
      <c r="BP318" s="85" t="str">
        <f>'Consumer Hardware Pricing'!AT326</f>
        <v>-</v>
      </c>
      <c r="BQ318" s="85" t="str">
        <f t="shared" si="872"/>
        <v>-</v>
      </c>
      <c r="BR318" s="85" t="str">
        <f>'Consumer Hardware Pricing'!AU326</f>
        <v>-</v>
      </c>
      <c r="BS318" s="85" t="str">
        <f t="shared" si="895"/>
        <v>-</v>
      </c>
      <c r="BT318" s="85" t="str">
        <f t="shared" si="896"/>
        <v>-</v>
      </c>
      <c r="BU318" s="85" t="str">
        <f t="shared" si="909"/>
        <v>-</v>
      </c>
    </row>
    <row r="319" spans="1:73" ht="30.15" customHeight="1" x14ac:dyDescent="0.25">
      <c r="A319" s="87" t="s">
        <v>34</v>
      </c>
      <c r="B319" s="88" t="s">
        <v>674</v>
      </c>
      <c r="C319" s="88" t="s">
        <v>655</v>
      </c>
      <c r="D319" s="85">
        <f>'Consumer Hardware Pricing'!L327</f>
        <v>945</v>
      </c>
      <c r="E319" s="85">
        <f>'Consumer Hardware Pricing'!M327</f>
        <v>945</v>
      </c>
      <c r="F319" s="85">
        <f>'Consumer Hardware Pricing'!N327</f>
        <v>0</v>
      </c>
      <c r="G319" s="85">
        <f t="shared" ref="G319:G385" si="910">IF(F319="-","-",ROUNDUP(D319/24,2))</f>
        <v>39.379999999999995</v>
      </c>
      <c r="H319" s="85" t="str">
        <f>'Consumer Hardware Pricing'!O327</f>
        <v>-</v>
      </c>
      <c r="I319" s="85">
        <f t="shared" si="885"/>
        <v>39.379999999999995</v>
      </c>
      <c r="J319" s="85" t="str">
        <f t="shared" si="897"/>
        <v>-</v>
      </c>
      <c r="K319" s="85">
        <f t="shared" si="898"/>
        <v>945.11999999999989</v>
      </c>
      <c r="L319" s="85">
        <f>'Consumer Hardware Pricing'!Q327</f>
        <v>309</v>
      </c>
      <c r="M319" s="85">
        <f t="shared" ref="M319:M385" si="911">IF(L319="-",L319,IF(H319="-",G319-ROUNDUP((D319-L319)/24,2),H319+G319-ROUNDUP((D319-L319)/24,2)))</f>
        <v>12.879999999999995</v>
      </c>
      <c r="N319" s="85">
        <f t="shared" si="886"/>
        <v>26.5</v>
      </c>
      <c r="O319" s="85">
        <f t="shared" si="887"/>
        <v>309.11999999999989</v>
      </c>
      <c r="P319" s="85">
        <f t="shared" si="899"/>
        <v>636</v>
      </c>
      <c r="Q319" s="85">
        <f>'Consumer Hardware Pricing'!S327</f>
        <v>0</v>
      </c>
      <c r="R319" s="85">
        <f t="shared" si="888"/>
        <v>39.379999999999995</v>
      </c>
      <c r="S319" s="85" t="str">
        <f>'Consumer Hardware Pricing'!T327</f>
        <v>-</v>
      </c>
      <c r="T319" s="129">
        <f t="shared" si="900"/>
        <v>39.379999999999995</v>
      </c>
      <c r="U319" s="129" t="str">
        <f t="shared" si="901"/>
        <v>-</v>
      </c>
      <c r="V319" s="85">
        <f t="shared" si="902"/>
        <v>945.11999999999989</v>
      </c>
      <c r="W319" s="129">
        <f>'Consumer Hardware Pricing'!V327</f>
        <v>309</v>
      </c>
      <c r="X319" s="129">
        <f t="shared" ref="X319:X385" si="912">IF(W319="-",W319,IF(S319="-",R319-ROUNDUP((D319-W319)/24,2),S319+R319-ROUNDUP((D319-W319)/24,2)))</f>
        <v>12.879999999999995</v>
      </c>
      <c r="Y319" s="129">
        <f t="shared" si="903"/>
        <v>26.5</v>
      </c>
      <c r="Z319" s="129">
        <f t="shared" si="904"/>
        <v>309.11999999999989</v>
      </c>
      <c r="AA319" s="85">
        <f t="shared" si="905"/>
        <v>636</v>
      </c>
      <c r="AB319" s="85">
        <f>'Consumer Hardware Pricing'!X327</f>
        <v>0</v>
      </c>
      <c r="AC319" s="85">
        <f t="shared" si="865"/>
        <v>39.379999999999995</v>
      </c>
      <c r="AD319" s="85">
        <f>'Consumer Hardware Pricing'!Y327</f>
        <v>10</v>
      </c>
      <c r="AE319" s="85">
        <f t="shared" si="873"/>
        <v>29.379999999999995</v>
      </c>
      <c r="AF319" s="85">
        <f t="shared" si="874"/>
        <v>240</v>
      </c>
      <c r="AG319" s="85">
        <f t="shared" si="875"/>
        <v>705.11999999999989</v>
      </c>
      <c r="AH319" s="85">
        <f>'Consumer Hardware Pricing'!AA327</f>
        <v>309</v>
      </c>
      <c r="AI319" s="85">
        <f t="shared" si="866"/>
        <v>22.879999999999995</v>
      </c>
      <c r="AJ319" s="85">
        <f t="shared" si="876"/>
        <v>16.5</v>
      </c>
      <c r="AK319" s="85">
        <f t="shared" si="877"/>
        <v>549.11999999999989</v>
      </c>
      <c r="AL319" s="85">
        <f t="shared" si="878"/>
        <v>396</v>
      </c>
      <c r="AM319" s="85">
        <f>'Consumer Hardware Pricing'!AC327</f>
        <v>0</v>
      </c>
      <c r="AN319" s="85">
        <f t="shared" si="867"/>
        <v>39.379999999999995</v>
      </c>
      <c r="AO319" s="85">
        <f>'Consumer Hardware Pricing'!AD327</f>
        <v>10</v>
      </c>
      <c r="AP319" s="85">
        <f t="shared" si="879"/>
        <v>29.379999999999995</v>
      </c>
      <c r="AQ319" s="85">
        <f t="shared" si="880"/>
        <v>240</v>
      </c>
      <c r="AR319" s="85">
        <f t="shared" si="881"/>
        <v>705.11999999999989</v>
      </c>
      <c r="AS319" s="85">
        <f>'Consumer Hardware Pricing'!AF327</f>
        <v>309</v>
      </c>
      <c r="AT319" s="85">
        <f t="shared" si="868"/>
        <v>22.879999999999995</v>
      </c>
      <c r="AU319" s="85">
        <f t="shared" si="882"/>
        <v>16.5</v>
      </c>
      <c r="AV319" s="85">
        <f t="shared" si="883"/>
        <v>549.11999999999989</v>
      </c>
      <c r="AW319" s="85">
        <f t="shared" si="884"/>
        <v>396</v>
      </c>
      <c r="AX319" s="85" t="str">
        <f>'Consumer Hardware Pricing'!AH327</f>
        <v>-</v>
      </c>
      <c r="AY319" s="85" t="str">
        <f t="shared" si="869"/>
        <v>-</v>
      </c>
      <c r="AZ319" s="85" t="str">
        <f>'Consumer Hardware Pricing'!AI327</f>
        <v>-</v>
      </c>
      <c r="BA319" s="85" t="str">
        <f t="shared" si="889"/>
        <v>-</v>
      </c>
      <c r="BB319" s="85" t="str">
        <f t="shared" si="890"/>
        <v>-</v>
      </c>
      <c r="BC319" s="85" t="str">
        <f t="shared" si="906"/>
        <v>-</v>
      </c>
      <c r="BD319" s="85" t="str">
        <f>'Consumer Hardware Pricing'!AL327</f>
        <v>-</v>
      </c>
      <c r="BE319" s="85" t="str">
        <f t="shared" si="870"/>
        <v>-</v>
      </c>
      <c r="BF319" s="85" t="str">
        <f>'Consumer Hardware Pricing'!AM327</f>
        <v>-</v>
      </c>
      <c r="BG319" s="85" t="str">
        <f t="shared" si="891"/>
        <v>-</v>
      </c>
      <c r="BH319" s="85" t="str">
        <f t="shared" si="892"/>
        <v>-</v>
      </c>
      <c r="BI319" s="85" t="str">
        <f t="shared" si="907"/>
        <v>-</v>
      </c>
      <c r="BJ319" s="85" t="str">
        <f>'Consumer Hardware Pricing'!AP327</f>
        <v>-</v>
      </c>
      <c r="BK319" s="85" t="str">
        <f t="shared" si="871"/>
        <v>-</v>
      </c>
      <c r="BL319" s="85" t="str">
        <f>'Consumer Hardware Pricing'!AQ327</f>
        <v>-</v>
      </c>
      <c r="BM319" s="85" t="str">
        <f t="shared" si="893"/>
        <v>-</v>
      </c>
      <c r="BN319" s="85" t="str">
        <f t="shared" si="894"/>
        <v>-</v>
      </c>
      <c r="BO319" s="85" t="str">
        <f t="shared" si="908"/>
        <v>-</v>
      </c>
      <c r="BP319" s="85" t="str">
        <f>'Consumer Hardware Pricing'!AT327</f>
        <v>-</v>
      </c>
      <c r="BQ319" s="85" t="str">
        <f t="shared" si="872"/>
        <v>-</v>
      </c>
      <c r="BR319" s="85" t="str">
        <f>'Consumer Hardware Pricing'!AU327</f>
        <v>-</v>
      </c>
      <c r="BS319" s="85" t="str">
        <f t="shared" si="895"/>
        <v>-</v>
      </c>
      <c r="BT319" s="85" t="str">
        <f t="shared" si="896"/>
        <v>-</v>
      </c>
      <c r="BU319" s="85" t="str">
        <f t="shared" si="909"/>
        <v>-</v>
      </c>
    </row>
    <row r="320" spans="1:73" ht="30.15" customHeight="1" x14ac:dyDescent="0.25">
      <c r="A320" s="87" t="s">
        <v>34</v>
      </c>
      <c r="B320" s="88" t="s">
        <v>663</v>
      </c>
      <c r="C320" s="88" t="s">
        <v>656</v>
      </c>
      <c r="D320" s="85">
        <f>'Consumer Hardware Pricing'!L328</f>
        <v>1089</v>
      </c>
      <c r="E320" s="85">
        <f>'Consumer Hardware Pricing'!M328</f>
        <v>1089</v>
      </c>
      <c r="F320" s="85">
        <f>'Consumer Hardware Pricing'!N328</f>
        <v>0</v>
      </c>
      <c r="G320" s="85">
        <f t="shared" si="910"/>
        <v>45.379999999999995</v>
      </c>
      <c r="H320" s="85" t="str">
        <f>'Consumer Hardware Pricing'!O328</f>
        <v>-</v>
      </c>
      <c r="I320" s="85">
        <f t="shared" si="885"/>
        <v>45.379999999999995</v>
      </c>
      <c r="J320" s="85" t="str">
        <f t="shared" si="897"/>
        <v>-</v>
      </c>
      <c r="K320" s="85">
        <f t="shared" si="898"/>
        <v>1089.1199999999999</v>
      </c>
      <c r="L320" s="85">
        <f>'Consumer Hardware Pricing'!Q328</f>
        <v>321</v>
      </c>
      <c r="M320" s="85">
        <f t="shared" si="911"/>
        <v>13.379999999999995</v>
      </c>
      <c r="N320" s="85">
        <f t="shared" si="886"/>
        <v>32</v>
      </c>
      <c r="O320" s="85">
        <f t="shared" si="887"/>
        <v>321.11999999999989</v>
      </c>
      <c r="P320" s="85">
        <f t="shared" si="899"/>
        <v>768</v>
      </c>
      <c r="Q320" s="85">
        <f>'Consumer Hardware Pricing'!S328</f>
        <v>0</v>
      </c>
      <c r="R320" s="85">
        <f t="shared" si="888"/>
        <v>45.379999999999995</v>
      </c>
      <c r="S320" s="85" t="str">
        <f>'Consumer Hardware Pricing'!T328</f>
        <v>-</v>
      </c>
      <c r="T320" s="129">
        <f t="shared" si="900"/>
        <v>45.379999999999995</v>
      </c>
      <c r="U320" s="129" t="str">
        <f t="shared" si="901"/>
        <v>-</v>
      </c>
      <c r="V320" s="85">
        <f t="shared" si="902"/>
        <v>1089.1199999999999</v>
      </c>
      <c r="W320" s="129">
        <f>'Consumer Hardware Pricing'!V328</f>
        <v>321</v>
      </c>
      <c r="X320" s="129">
        <f t="shared" si="912"/>
        <v>13.379999999999995</v>
      </c>
      <c r="Y320" s="129">
        <f t="shared" si="903"/>
        <v>32</v>
      </c>
      <c r="Z320" s="129">
        <f t="shared" si="904"/>
        <v>321.11999999999989</v>
      </c>
      <c r="AA320" s="85">
        <f t="shared" si="905"/>
        <v>768</v>
      </c>
      <c r="AB320" s="85">
        <f>'Consumer Hardware Pricing'!X328</f>
        <v>0</v>
      </c>
      <c r="AC320" s="85">
        <f t="shared" si="865"/>
        <v>45.379999999999995</v>
      </c>
      <c r="AD320" s="85">
        <f>'Consumer Hardware Pricing'!Y328</f>
        <v>10</v>
      </c>
      <c r="AE320" s="85">
        <f t="shared" si="873"/>
        <v>35.379999999999995</v>
      </c>
      <c r="AF320" s="85">
        <f t="shared" si="874"/>
        <v>240</v>
      </c>
      <c r="AG320" s="85">
        <f t="shared" si="875"/>
        <v>849.11999999999989</v>
      </c>
      <c r="AH320" s="85">
        <f>'Consumer Hardware Pricing'!AA328</f>
        <v>321</v>
      </c>
      <c r="AI320" s="85">
        <f t="shared" si="866"/>
        <v>23.379999999999995</v>
      </c>
      <c r="AJ320" s="85">
        <f t="shared" si="876"/>
        <v>22</v>
      </c>
      <c r="AK320" s="85">
        <f t="shared" si="877"/>
        <v>561.11999999999989</v>
      </c>
      <c r="AL320" s="85">
        <f t="shared" si="878"/>
        <v>528</v>
      </c>
      <c r="AM320" s="85">
        <f>'Consumer Hardware Pricing'!AC328</f>
        <v>0</v>
      </c>
      <c r="AN320" s="85">
        <f t="shared" si="867"/>
        <v>45.379999999999995</v>
      </c>
      <c r="AO320" s="85">
        <f>'Consumer Hardware Pricing'!AD328</f>
        <v>10</v>
      </c>
      <c r="AP320" s="85">
        <f t="shared" si="879"/>
        <v>35.379999999999995</v>
      </c>
      <c r="AQ320" s="85">
        <f t="shared" si="880"/>
        <v>240</v>
      </c>
      <c r="AR320" s="85">
        <f t="shared" si="881"/>
        <v>849.11999999999989</v>
      </c>
      <c r="AS320" s="85">
        <f>'Consumer Hardware Pricing'!AF328</f>
        <v>321</v>
      </c>
      <c r="AT320" s="85">
        <f t="shared" si="868"/>
        <v>23.379999999999995</v>
      </c>
      <c r="AU320" s="85">
        <f t="shared" si="882"/>
        <v>22</v>
      </c>
      <c r="AV320" s="85">
        <f t="shared" si="883"/>
        <v>561.11999999999989</v>
      </c>
      <c r="AW320" s="85">
        <f t="shared" si="884"/>
        <v>528</v>
      </c>
      <c r="AX320" s="85" t="str">
        <f>'Consumer Hardware Pricing'!AH328</f>
        <v>-</v>
      </c>
      <c r="AY320" s="85" t="str">
        <f t="shared" si="869"/>
        <v>-</v>
      </c>
      <c r="AZ320" s="85" t="str">
        <f>'Consumer Hardware Pricing'!AI328</f>
        <v>-</v>
      </c>
      <c r="BA320" s="85" t="str">
        <f t="shared" si="889"/>
        <v>-</v>
      </c>
      <c r="BB320" s="85" t="str">
        <f t="shared" si="890"/>
        <v>-</v>
      </c>
      <c r="BC320" s="85" t="str">
        <f t="shared" si="906"/>
        <v>-</v>
      </c>
      <c r="BD320" s="85" t="str">
        <f>'Consumer Hardware Pricing'!AL328</f>
        <v>-</v>
      </c>
      <c r="BE320" s="85" t="str">
        <f t="shared" si="870"/>
        <v>-</v>
      </c>
      <c r="BF320" s="85" t="str">
        <f>'Consumer Hardware Pricing'!AM328</f>
        <v>-</v>
      </c>
      <c r="BG320" s="85" t="str">
        <f t="shared" si="891"/>
        <v>-</v>
      </c>
      <c r="BH320" s="85" t="str">
        <f t="shared" si="892"/>
        <v>-</v>
      </c>
      <c r="BI320" s="85" t="str">
        <f t="shared" si="907"/>
        <v>-</v>
      </c>
      <c r="BJ320" s="85" t="str">
        <f>'Consumer Hardware Pricing'!AP328</f>
        <v>-</v>
      </c>
      <c r="BK320" s="85" t="str">
        <f t="shared" si="871"/>
        <v>-</v>
      </c>
      <c r="BL320" s="85" t="str">
        <f>'Consumer Hardware Pricing'!AQ328</f>
        <v>-</v>
      </c>
      <c r="BM320" s="85" t="str">
        <f t="shared" si="893"/>
        <v>-</v>
      </c>
      <c r="BN320" s="85" t="str">
        <f t="shared" si="894"/>
        <v>-</v>
      </c>
      <c r="BO320" s="85" t="str">
        <f t="shared" si="908"/>
        <v>-</v>
      </c>
      <c r="BP320" s="85" t="str">
        <f>'Consumer Hardware Pricing'!AT328</f>
        <v>-</v>
      </c>
      <c r="BQ320" s="85" t="str">
        <f t="shared" si="872"/>
        <v>-</v>
      </c>
      <c r="BR320" s="85" t="str">
        <f>'Consumer Hardware Pricing'!AU328</f>
        <v>-</v>
      </c>
      <c r="BS320" s="85" t="str">
        <f t="shared" si="895"/>
        <v>-</v>
      </c>
      <c r="BT320" s="85" t="str">
        <f t="shared" si="896"/>
        <v>-</v>
      </c>
      <c r="BU320" s="85" t="str">
        <f t="shared" si="909"/>
        <v>-</v>
      </c>
    </row>
    <row r="321" spans="1:73" ht="30.15" customHeight="1" x14ac:dyDescent="0.25">
      <c r="A321" s="87" t="s">
        <v>34</v>
      </c>
      <c r="B321" s="88" t="s">
        <v>664</v>
      </c>
      <c r="C321" s="88" t="s">
        <v>656</v>
      </c>
      <c r="D321" s="85">
        <f>'Consumer Hardware Pricing'!L329</f>
        <v>1089</v>
      </c>
      <c r="E321" s="85">
        <f>'Consumer Hardware Pricing'!M329</f>
        <v>1089</v>
      </c>
      <c r="F321" s="85">
        <f>'Consumer Hardware Pricing'!N329</f>
        <v>0</v>
      </c>
      <c r="G321" s="85">
        <f t="shared" si="910"/>
        <v>45.379999999999995</v>
      </c>
      <c r="H321" s="85" t="str">
        <f>'Consumer Hardware Pricing'!O329</f>
        <v>-</v>
      </c>
      <c r="I321" s="85">
        <f t="shared" si="885"/>
        <v>45.379999999999995</v>
      </c>
      <c r="J321" s="85" t="str">
        <f t="shared" si="897"/>
        <v>-</v>
      </c>
      <c r="K321" s="85">
        <f t="shared" si="898"/>
        <v>1089.1199999999999</v>
      </c>
      <c r="L321" s="85">
        <f>'Consumer Hardware Pricing'!Q329</f>
        <v>321</v>
      </c>
      <c r="M321" s="85">
        <f t="shared" si="911"/>
        <v>13.379999999999995</v>
      </c>
      <c r="N321" s="85">
        <f t="shared" si="886"/>
        <v>32</v>
      </c>
      <c r="O321" s="85">
        <f t="shared" si="887"/>
        <v>321.11999999999989</v>
      </c>
      <c r="P321" s="85">
        <f t="shared" si="899"/>
        <v>768</v>
      </c>
      <c r="Q321" s="85">
        <f>'Consumer Hardware Pricing'!S329</f>
        <v>0</v>
      </c>
      <c r="R321" s="85">
        <f t="shared" si="888"/>
        <v>45.379999999999995</v>
      </c>
      <c r="S321" s="85" t="str">
        <f>'Consumer Hardware Pricing'!T329</f>
        <v>-</v>
      </c>
      <c r="T321" s="129">
        <f t="shared" si="900"/>
        <v>45.379999999999995</v>
      </c>
      <c r="U321" s="129" t="str">
        <f t="shared" si="901"/>
        <v>-</v>
      </c>
      <c r="V321" s="85">
        <f t="shared" si="902"/>
        <v>1089.1199999999999</v>
      </c>
      <c r="W321" s="129">
        <f>'Consumer Hardware Pricing'!V329</f>
        <v>321</v>
      </c>
      <c r="X321" s="129">
        <f t="shared" si="912"/>
        <v>13.379999999999995</v>
      </c>
      <c r="Y321" s="129">
        <f t="shared" si="903"/>
        <v>32</v>
      </c>
      <c r="Z321" s="129">
        <f t="shared" si="904"/>
        <v>321.11999999999989</v>
      </c>
      <c r="AA321" s="85">
        <f t="shared" si="905"/>
        <v>768</v>
      </c>
      <c r="AB321" s="85">
        <f>'Consumer Hardware Pricing'!X329</f>
        <v>0</v>
      </c>
      <c r="AC321" s="85">
        <f t="shared" si="865"/>
        <v>45.379999999999995</v>
      </c>
      <c r="AD321" s="85">
        <f>'Consumer Hardware Pricing'!Y329</f>
        <v>10</v>
      </c>
      <c r="AE321" s="85">
        <f t="shared" si="873"/>
        <v>35.379999999999995</v>
      </c>
      <c r="AF321" s="85">
        <f t="shared" si="874"/>
        <v>240</v>
      </c>
      <c r="AG321" s="85">
        <f t="shared" si="875"/>
        <v>849.11999999999989</v>
      </c>
      <c r="AH321" s="85">
        <f>'Consumer Hardware Pricing'!AA329</f>
        <v>321</v>
      </c>
      <c r="AI321" s="85">
        <f t="shared" si="866"/>
        <v>23.379999999999995</v>
      </c>
      <c r="AJ321" s="85">
        <f t="shared" si="876"/>
        <v>22</v>
      </c>
      <c r="AK321" s="85">
        <f t="shared" si="877"/>
        <v>561.11999999999989</v>
      </c>
      <c r="AL321" s="85">
        <f t="shared" si="878"/>
        <v>528</v>
      </c>
      <c r="AM321" s="85">
        <f>'Consumer Hardware Pricing'!AC329</f>
        <v>0</v>
      </c>
      <c r="AN321" s="85">
        <f t="shared" si="867"/>
        <v>45.379999999999995</v>
      </c>
      <c r="AO321" s="85">
        <f>'Consumer Hardware Pricing'!AD329</f>
        <v>10</v>
      </c>
      <c r="AP321" s="85">
        <f t="shared" si="879"/>
        <v>35.379999999999995</v>
      </c>
      <c r="AQ321" s="85">
        <f t="shared" si="880"/>
        <v>240</v>
      </c>
      <c r="AR321" s="85">
        <f t="shared" si="881"/>
        <v>849.11999999999989</v>
      </c>
      <c r="AS321" s="85">
        <f>'Consumer Hardware Pricing'!AF329</f>
        <v>321</v>
      </c>
      <c r="AT321" s="85">
        <f t="shared" si="868"/>
        <v>23.379999999999995</v>
      </c>
      <c r="AU321" s="85">
        <f t="shared" si="882"/>
        <v>22</v>
      </c>
      <c r="AV321" s="85">
        <f t="shared" si="883"/>
        <v>561.11999999999989</v>
      </c>
      <c r="AW321" s="85">
        <f t="shared" si="884"/>
        <v>528</v>
      </c>
      <c r="AX321" s="85" t="str">
        <f>'Consumer Hardware Pricing'!AH329</f>
        <v>-</v>
      </c>
      <c r="AY321" s="85" t="str">
        <f t="shared" si="869"/>
        <v>-</v>
      </c>
      <c r="AZ321" s="85" t="str">
        <f>'Consumer Hardware Pricing'!AI329</f>
        <v>-</v>
      </c>
      <c r="BA321" s="85" t="str">
        <f t="shared" si="889"/>
        <v>-</v>
      </c>
      <c r="BB321" s="85" t="str">
        <f t="shared" si="890"/>
        <v>-</v>
      </c>
      <c r="BC321" s="85" t="str">
        <f t="shared" si="906"/>
        <v>-</v>
      </c>
      <c r="BD321" s="85" t="str">
        <f>'Consumer Hardware Pricing'!AL329</f>
        <v>-</v>
      </c>
      <c r="BE321" s="85" t="str">
        <f t="shared" si="870"/>
        <v>-</v>
      </c>
      <c r="BF321" s="85" t="str">
        <f>'Consumer Hardware Pricing'!AM329</f>
        <v>-</v>
      </c>
      <c r="BG321" s="85" t="str">
        <f t="shared" si="891"/>
        <v>-</v>
      </c>
      <c r="BH321" s="85" t="str">
        <f t="shared" si="892"/>
        <v>-</v>
      </c>
      <c r="BI321" s="85" t="str">
        <f t="shared" si="907"/>
        <v>-</v>
      </c>
      <c r="BJ321" s="85" t="str">
        <f>'Consumer Hardware Pricing'!AP329</f>
        <v>-</v>
      </c>
      <c r="BK321" s="85" t="str">
        <f t="shared" si="871"/>
        <v>-</v>
      </c>
      <c r="BL321" s="85" t="str">
        <f>'Consumer Hardware Pricing'!AQ329</f>
        <v>-</v>
      </c>
      <c r="BM321" s="85" t="str">
        <f t="shared" si="893"/>
        <v>-</v>
      </c>
      <c r="BN321" s="85" t="str">
        <f t="shared" si="894"/>
        <v>-</v>
      </c>
      <c r="BO321" s="85" t="str">
        <f t="shared" si="908"/>
        <v>-</v>
      </c>
      <c r="BP321" s="85" t="str">
        <f>'Consumer Hardware Pricing'!AT329</f>
        <v>-</v>
      </c>
      <c r="BQ321" s="85" t="str">
        <f t="shared" si="872"/>
        <v>-</v>
      </c>
      <c r="BR321" s="85" t="str">
        <f>'Consumer Hardware Pricing'!AU329</f>
        <v>-</v>
      </c>
      <c r="BS321" s="85" t="str">
        <f t="shared" si="895"/>
        <v>-</v>
      </c>
      <c r="BT321" s="85" t="str">
        <f t="shared" si="896"/>
        <v>-</v>
      </c>
      <c r="BU321" s="85" t="str">
        <f t="shared" si="909"/>
        <v>-</v>
      </c>
    </row>
    <row r="322" spans="1:73" ht="30.15" customHeight="1" x14ac:dyDescent="0.25">
      <c r="A322" s="87" t="s">
        <v>34</v>
      </c>
      <c r="B322" s="88" t="s">
        <v>665</v>
      </c>
      <c r="C322" s="88" t="s">
        <v>656</v>
      </c>
      <c r="D322" s="85">
        <f>'Consumer Hardware Pricing'!L330</f>
        <v>1089</v>
      </c>
      <c r="E322" s="85">
        <f>'Consumer Hardware Pricing'!M330</f>
        <v>1089</v>
      </c>
      <c r="F322" s="85">
        <f>'Consumer Hardware Pricing'!N330</f>
        <v>0</v>
      </c>
      <c r="G322" s="85">
        <f t="shared" si="910"/>
        <v>45.379999999999995</v>
      </c>
      <c r="H322" s="85" t="str">
        <f>'Consumer Hardware Pricing'!O330</f>
        <v>-</v>
      </c>
      <c r="I322" s="85">
        <f t="shared" si="885"/>
        <v>45.379999999999995</v>
      </c>
      <c r="J322" s="85" t="str">
        <f t="shared" si="897"/>
        <v>-</v>
      </c>
      <c r="K322" s="85">
        <f t="shared" si="898"/>
        <v>1089.1199999999999</v>
      </c>
      <c r="L322" s="85">
        <f>'Consumer Hardware Pricing'!Q330</f>
        <v>321</v>
      </c>
      <c r="M322" s="85">
        <f t="shared" si="911"/>
        <v>13.379999999999995</v>
      </c>
      <c r="N322" s="85">
        <f t="shared" si="886"/>
        <v>32</v>
      </c>
      <c r="O322" s="85">
        <f t="shared" si="887"/>
        <v>321.11999999999989</v>
      </c>
      <c r="P322" s="85">
        <f t="shared" si="899"/>
        <v>768</v>
      </c>
      <c r="Q322" s="85">
        <f>'Consumer Hardware Pricing'!S330</f>
        <v>0</v>
      </c>
      <c r="R322" s="85">
        <f t="shared" si="888"/>
        <v>45.379999999999995</v>
      </c>
      <c r="S322" s="85" t="str">
        <f>'Consumer Hardware Pricing'!T330</f>
        <v>-</v>
      </c>
      <c r="T322" s="129">
        <f t="shared" si="900"/>
        <v>45.379999999999995</v>
      </c>
      <c r="U322" s="129" t="str">
        <f t="shared" si="901"/>
        <v>-</v>
      </c>
      <c r="V322" s="85">
        <f t="shared" si="902"/>
        <v>1089.1199999999999</v>
      </c>
      <c r="W322" s="129">
        <f>'Consumer Hardware Pricing'!V330</f>
        <v>321</v>
      </c>
      <c r="X322" s="129">
        <f t="shared" si="912"/>
        <v>13.379999999999995</v>
      </c>
      <c r="Y322" s="129">
        <f t="shared" si="903"/>
        <v>32</v>
      </c>
      <c r="Z322" s="129">
        <f t="shared" si="904"/>
        <v>321.11999999999989</v>
      </c>
      <c r="AA322" s="85">
        <f t="shared" si="905"/>
        <v>768</v>
      </c>
      <c r="AB322" s="85">
        <f>'Consumer Hardware Pricing'!X330</f>
        <v>0</v>
      </c>
      <c r="AC322" s="85">
        <f t="shared" si="865"/>
        <v>45.379999999999995</v>
      </c>
      <c r="AD322" s="85">
        <f>'Consumer Hardware Pricing'!Y330</f>
        <v>10</v>
      </c>
      <c r="AE322" s="85">
        <f t="shared" si="873"/>
        <v>35.379999999999995</v>
      </c>
      <c r="AF322" s="85">
        <f t="shared" si="874"/>
        <v>240</v>
      </c>
      <c r="AG322" s="85">
        <f t="shared" si="875"/>
        <v>849.11999999999989</v>
      </c>
      <c r="AH322" s="85">
        <f>'Consumer Hardware Pricing'!AA330</f>
        <v>321</v>
      </c>
      <c r="AI322" s="85">
        <f t="shared" si="866"/>
        <v>23.379999999999995</v>
      </c>
      <c r="AJ322" s="85">
        <f t="shared" si="876"/>
        <v>22</v>
      </c>
      <c r="AK322" s="85">
        <f t="shared" si="877"/>
        <v>561.11999999999989</v>
      </c>
      <c r="AL322" s="85">
        <f t="shared" si="878"/>
        <v>528</v>
      </c>
      <c r="AM322" s="85">
        <f>'Consumer Hardware Pricing'!AC330</f>
        <v>0</v>
      </c>
      <c r="AN322" s="85">
        <f t="shared" si="867"/>
        <v>45.379999999999995</v>
      </c>
      <c r="AO322" s="85">
        <f>'Consumer Hardware Pricing'!AD330</f>
        <v>10</v>
      </c>
      <c r="AP322" s="85">
        <f t="shared" si="879"/>
        <v>35.379999999999995</v>
      </c>
      <c r="AQ322" s="85">
        <f t="shared" si="880"/>
        <v>240</v>
      </c>
      <c r="AR322" s="85">
        <f t="shared" si="881"/>
        <v>849.11999999999989</v>
      </c>
      <c r="AS322" s="85">
        <f>'Consumer Hardware Pricing'!AF330</f>
        <v>321</v>
      </c>
      <c r="AT322" s="85">
        <f t="shared" si="868"/>
        <v>23.379999999999995</v>
      </c>
      <c r="AU322" s="85">
        <f t="shared" si="882"/>
        <v>22</v>
      </c>
      <c r="AV322" s="85">
        <f t="shared" si="883"/>
        <v>561.11999999999989</v>
      </c>
      <c r="AW322" s="85">
        <f t="shared" si="884"/>
        <v>528</v>
      </c>
      <c r="AX322" s="85" t="str">
        <f>'Consumer Hardware Pricing'!AH330</f>
        <v>-</v>
      </c>
      <c r="AY322" s="85" t="str">
        <f t="shared" si="869"/>
        <v>-</v>
      </c>
      <c r="AZ322" s="85" t="str">
        <f>'Consumer Hardware Pricing'!AI330</f>
        <v>-</v>
      </c>
      <c r="BA322" s="85" t="str">
        <f t="shared" si="889"/>
        <v>-</v>
      </c>
      <c r="BB322" s="85" t="str">
        <f t="shared" si="890"/>
        <v>-</v>
      </c>
      <c r="BC322" s="85" t="str">
        <f t="shared" si="906"/>
        <v>-</v>
      </c>
      <c r="BD322" s="85" t="str">
        <f>'Consumer Hardware Pricing'!AL330</f>
        <v>-</v>
      </c>
      <c r="BE322" s="85" t="str">
        <f t="shared" si="870"/>
        <v>-</v>
      </c>
      <c r="BF322" s="85" t="str">
        <f>'Consumer Hardware Pricing'!AM330</f>
        <v>-</v>
      </c>
      <c r="BG322" s="85" t="str">
        <f t="shared" si="891"/>
        <v>-</v>
      </c>
      <c r="BH322" s="85" t="str">
        <f t="shared" si="892"/>
        <v>-</v>
      </c>
      <c r="BI322" s="85" t="str">
        <f t="shared" si="907"/>
        <v>-</v>
      </c>
      <c r="BJ322" s="85" t="str">
        <f>'Consumer Hardware Pricing'!AP330</f>
        <v>-</v>
      </c>
      <c r="BK322" s="85" t="str">
        <f t="shared" si="871"/>
        <v>-</v>
      </c>
      <c r="BL322" s="85" t="str">
        <f>'Consumer Hardware Pricing'!AQ330</f>
        <v>-</v>
      </c>
      <c r="BM322" s="85" t="str">
        <f t="shared" si="893"/>
        <v>-</v>
      </c>
      <c r="BN322" s="85" t="str">
        <f t="shared" si="894"/>
        <v>-</v>
      </c>
      <c r="BO322" s="85" t="str">
        <f t="shared" si="908"/>
        <v>-</v>
      </c>
      <c r="BP322" s="85" t="str">
        <f>'Consumer Hardware Pricing'!AT330</f>
        <v>-</v>
      </c>
      <c r="BQ322" s="85" t="str">
        <f t="shared" si="872"/>
        <v>-</v>
      </c>
      <c r="BR322" s="85" t="str">
        <f>'Consumer Hardware Pricing'!AU330</f>
        <v>-</v>
      </c>
      <c r="BS322" s="85" t="str">
        <f t="shared" si="895"/>
        <v>-</v>
      </c>
      <c r="BT322" s="85" t="str">
        <f t="shared" si="896"/>
        <v>-</v>
      </c>
      <c r="BU322" s="85" t="str">
        <f t="shared" si="909"/>
        <v>-</v>
      </c>
    </row>
    <row r="323" spans="1:73" ht="30.15" customHeight="1" x14ac:dyDescent="0.25">
      <c r="A323" s="87" t="s">
        <v>34</v>
      </c>
      <c r="B323" s="88" t="s">
        <v>666</v>
      </c>
      <c r="C323" s="88" t="s">
        <v>656</v>
      </c>
      <c r="D323" s="85">
        <f>'Consumer Hardware Pricing'!L331</f>
        <v>1089</v>
      </c>
      <c r="E323" s="85">
        <f>'Consumer Hardware Pricing'!M331</f>
        <v>1089</v>
      </c>
      <c r="F323" s="85">
        <f>'Consumer Hardware Pricing'!N331</f>
        <v>0</v>
      </c>
      <c r="G323" s="85">
        <f t="shared" si="910"/>
        <v>45.379999999999995</v>
      </c>
      <c r="H323" s="85" t="str">
        <f>'Consumer Hardware Pricing'!O331</f>
        <v>-</v>
      </c>
      <c r="I323" s="85">
        <f t="shared" si="885"/>
        <v>45.379999999999995</v>
      </c>
      <c r="J323" s="85" t="str">
        <f t="shared" si="897"/>
        <v>-</v>
      </c>
      <c r="K323" s="85">
        <f t="shared" si="898"/>
        <v>1089.1199999999999</v>
      </c>
      <c r="L323" s="85">
        <f>'Consumer Hardware Pricing'!Q331</f>
        <v>321</v>
      </c>
      <c r="M323" s="85">
        <f t="shared" si="911"/>
        <v>13.379999999999995</v>
      </c>
      <c r="N323" s="85">
        <f t="shared" si="886"/>
        <v>32</v>
      </c>
      <c r="O323" s="85">
        <f t="shared" si="887"/>
        <v>321.11999999999989</v>
      </c>
      <c r="P323" s="85">
        <f t="shared" si="899"/>
        <v>768</v>
      </c>
      <c r="Q323" s="85">
        <f>'Consumer Hardware Pricing'!S331</f>
        <v>0</v>
      </c>
      <c r="R323" s="85">
        <f t="shared" si="888"/>
        <v>45.379999999999995</v>
      </c>
      <c r="S323" s="85" t="str">
        <f>'Consumer Hardware Pricing'!T331</f>
        <v>-</v>
      </c>
      <c r="T323" s="129">
        <f t="shared" si="900"/>
        <v>45.379999999999995</v>
      </c>
      <c r="U323" s="129" t="str">
        <f t="shared" si="901"/>
        <v>-</v>
      </c>
      <c r="V323" s="85">
        <f t="shared" si="902"/>
        <v>1089.1199999999999</v>
      </c>
      <c r="W323" s="129">
        <f>'Consumer Hardware Pricing'!V331</f>
        <v>321</v>
      </c>
      <c r="X323" s="129">
        <f t="shared" si="912"/>
        <v>13.379999999999995</v>
      </c>
      <c r="Y323" s="129">
        <f t="shared" si="903"/>
        <v>32</v>
      </c>
      <c r="Z323" s="129">
        <f t="shared" si="904"/>
        <v>321.11999999999989</v>
      </c>
      <c r="AA323" s="85">
        <f t="shared" si="905"/>
        <v>768</v>
      </c>
      <c r="AB323" s="85">
        <f>'Consumer Hardware Pricing'!X331</f>
        <v>0</v>
      </c>
      <c r="AC323" s="85">
        <f t="shared" si="865"/>
        <v>45.379999999999995</v>
      </c>
      <c r="AD323" s="85">
        <f>'Consumer Hardware Pricing'!Y331</f>
        <v>10</v>
      </c>
      <c r="AE323" s="85">
        <f t="shared" si="873"/>
        <v>35.379999999999995</v>
      </c>
      <c r="AF323" s="85">
        <f t="shared" si="874"/>
        <v>240</v>
      </c>
      <c r="AG323" s="85">
        <f t="shared" si="875"/>
        <v>849.11999999999989</v>
      </c>
      <c r="AH323" s="85">
        <f>'Consumer Hardware Pricing'!AA331</f>
        <v>321</v>
      </c>
      <c r="AI323" s="85">
        <f t="shared" si="866"/>
        <v>23.379999999999995</v>
      </c>
      <c r="AJ323" s="85">
        <f t="shared" si="876"/>
        <v>22</v>
      </c>
      <c r="AK323" s="85">
        <f t="shared" si="877"/>
        <v>561.11999999999989</v>
      </c>
      <c r="AL323" s="85">
        <f t="shared" si="878"/>
        <v>528</v>
      </c>
      <c r="AM323" s="85">
        <f>'Consumer Hardware Pricing'!AC331</f>
        <v>0</v>
      </c>
      <c r="AN323" s="85">
        <f t="shared" si="867"/>
        <v>45.379999999999995</v>
      </c>
      <c r="AO323" s="85">
        <f>'Consumer Hardware Pricing'!AD331</f>
        <v>10</v>
      </c>
      <c r="AP323" s="85">
        <f t="shared" si="879"/>
        <v>35.379999999999995</v>
      </c>
      <c r="AQ323" s="85">
        <f t="shared" si="880"/>
        <v>240</v>
      </c>
      <c r="AR323" s="85">
        <f t="shared" si="881"/>
        <v>849.11999999999989</v>
      </c>
      <c r="AS323" s="85">
        <f>'Consumer Hardware Pricing'!AF331</f>
        <v>321</v>
      </c>
      <c r="AT323" s="85">
        <f t="shared" si="868"/>
        <v>23.379999999999995</v>
      </c>
      <c r="AU323" s="85">
        <f t="shared" si="882"/>
        <v>22</v>
      </c>
      <c r="AV323" s="85">
        <f t="shared" si="883"/>
        <v>561.11999999999989</v>
      </c>
      <c r="AW323" s="85">
        <f t="shared" si="884"/>
        <v>528</v>
      </c>
      <c r="AX323" s="85" t="str">
        <f>'Consumer Hardware Pricing'!AH331</f>
        <v>-</v>
      </c>
      <c r="AY323" s="85" t="str">
        <f t="shared" si="869"/>
        <v>-</v>
      </c>
      <c r="AZ323" s="85" t="str">
        <f>'Consumer Hardware Pricing'!AI331</f>
        <v>-</v>
      </c>
      <c r="BA323" s="85" t="str">
        <f t="shared" si="889"/>
        <v>-</v>
      </c>
      <c r="BB323" s="85" t="str">
        <f t="shared" si="890"/>
        <v>-</v>
      </c>
      <c r="BC323" s="85" t="str">
        <f t="shared" si="906"/>
        <v>-</v>
      </c>
      <c r="BD323" s="85" t="str">
        <f>'Consumer Hardware Pricing'!AL331</f>
        <v>-</v>
      </c>
      <c r="BE323" s="85" t="str">
        <f t="shared" si="870"/>
        <v>-</v>
      </c>
      <c r="BF323" s="85" t="str">
        <f>'Consumer Hardware Pricing'!AM331</f>
        <v>-</v>
      </c>
      <c r="BG323" s="85" t="str">
        <f t="shared" si="891"/>
        <v>-</v>
      </c>
      <c r="BH323" s="85" t="str">
        <f t="shared" si="892"/>
        <v>-</v>
      </c>
      <c r="BI323" s="85" t="str">
        <f t="shared" si="907"/>
        <v>-</v>
      </c>
      <c r="BJ323" s="85" t="str">
        <f>'Consumer Hardware Pricing'!AP331</f>
        <v>-</v>
      </c>
      <c r="BK323" s="85" t="str">
        <f t="shared" si="871"/>
        <v>-</v>
      </c>
      <c r="BL323" s="85" t="str">
        <f>'Consumer Hardware Pricing'!AQ331</f>
        <v>-</v>
      </c>
      <c r="BM323" s="85" t="str">
        <f t="shared" si="893"/>
        <v>-</v>
      </c>
      <c r="BN323" s="85" t="str">
        <f t="shared" si="894"/>
        <v>-</v>
      </c>
      <c r="BO323" s="85" t="str">
        <f t="shared" si="908"/>
        <v>-</v>
      </c>
      <c r="BP323" s="85" t="str">
        <f>'Consumer Hardware Pricing'!AT331</f>
        <v>-</v>
      </c>
      <c r="BQ323" s="85" t="str">
        <f t="shared" si="872"/>
        <v>-</v>
      </c>
      <c r="BR323" s="85" t="str">
        <f>'Consumer Hardware Pricing'!AU331</f>
        <v>-</v>
      </c>
      <c r="BS323" s="85" t="str">
        <f t="shared" si="895"/>
        <v>-</v>
      </c>
      <c r="BT323" s="85" t="str">
        <f t="shared" si="896"/>
        <v>-</v>
      </c>
      <c r="BU323" s="85" t="str">
        <f t="shared" si="909"/>
        <v>-</v>
      </c>
    </row>
    <row r="324" spans="1:73" ht="30.15" customHeight="1" x14ac:dyDescent="0.25">
      <c r="A324" s="87" t="s">
        <v>34</v>
      </c>
      <c r="B324" s="88" t="s">
        <v>667</v>
      </c>
      <c r="C324" s="88" t="s">
        <v>656</v>
      </c>
      <c r="D324" s="85">
        <f>'Consumer Hardware Pricing'!L332</f>
        <v>1089</v>
      </c>
      <c r="E324" s="85">
        <f>'Consumer Hardware Pricing'!M332</f>
        <v>1089</v>
      </c>
      <c r="F324" s="85">
        <f>'Consumer Hardware Pricing'!N332</f>
        <v>0</v>
      </c>
      <c r="G324" s="85">
        <f t="shared" si="910"/>
        <v>45.379999999999995</v>
      </c>
      <c r="H324" s="85" t="str">
        <f>'Consumer Hardware Pricing'!O332</f>
        <v>-</v>
      </c>
      <c r="I324" s="85">
        <f t="shared" si="885"/>
        <v>45.379999999999995</v>
      </c>
      <c r="J324" s="85" t="str">
        <f t="shared" si="897"/>
        <v>-</v>
      </c>
      <c r="K324" s="85">
        <f t="shared" si="898"/>
        <v>1089.1199999999999</v>
      </c>
      <c r="L324" s="85">
        <f>'Consumer Hardware Pricing'!Q332</f>
        <v>321</v>
      </c>
      <c r="M324" s="85">
        <f t="shared" si="911"/>
        <v>13.379999999999995</v>
      </c>
      <c r="N324" s="85">
        <f t="shared" si="886"/>
        <v>32</v>
      </c>
      <c r="O324" s="85">
        <f t="shared" si="887"/>
        <v>321.11999999999989</v>
      </c>
      <c r="P324" s="85">
        <f t="shared" si="899"/>
        <v>768</v>
      </c>
      <c r="Q324" s="85">
        <f>'Consumer Hardware Pricing'!S332</f>
        <v>0</v>
      </c>
      <c r="R324" s="85">
        <f t="shared" si="888"/>
        <v>45.379999999999995</v>
      </c>
      <c r="S324" s="85" t="str">
        <f>'Consumer Hardware Pricing'!T332</f>
        <v>-</v>
      </c>
      <c r="T324" s="129">
        <f t="shared" si="900"/>
        <v>45.379999999999995</v>
      </c>
      <c r="U324" s="129" t="str">
        <f t="shared" si="901"/>
        <v>-</v>
      </c>
      <c r="V324" s="85">
        <f t="shared" si="902"/>
        <v>1089.1199999999999</v>
      </c>
      <c r="W324" s="129">
        <f>'Consumer Hardware Pricing'!V332</f>
        <v>321</v>
      </c>
      <c r="X324" s="129">
        <f t="shared" si="912"/>
        <v>13.379999999999995</v>
      </c>
      <c r="Y324" s="129">
        <f t="shared" si="903"/>
        <v>32</v>
      </c>
      <c r="Z324" s="129">
        <f t="shared" si="904"/>
        <v>321.11999999999989</v>
      </c>
      <c r="AA324" s="85">
        <f t="shared" si="905"/>
        <v>768</v>
      </c>
      <c r="AB324" s="85">
        <f>'Consumer Hardware Pricing'!X332</f>
        <v>0</v>
      </c>
      <c r="AC324" s="85">
        <f t="shared" si="865"/>
        <v>45.379999999999995</v>
      </c>
      <c r="AD324" s="85">
        <f>'Consumer Hardware Pricing'!Y332</f>
        <v>10</v>
      </c>
      <c r="AE324" s="85">
        <f t="shared" si="873"/>
        <v>35.379999999999995</v>
      </c>
      <c r="AF324" s="85">
        <f t="shared" si="874"/>
        <v>240</v>
      </c>
      <c r="AG324" s="85">
        <f t="shared" si="875"/>
        <v>849.11999999999989</v>
      </c>
      <c r="AH324" s="85">
        <f>'Consumer Hardware Pricing'!AA332</f>
        <v>321</v>
      </c>
      <c r="AI324" s="85">
        <f t="shared" si="866"/>
        <v>23.379999999999995</v>
      </c>
      <c r="AJ324" s="85">
        <f t="shared" si="876"/>
        <v>22</v>
      </c>
      <c r="AK324" s="85">
        <f t="shared" si="877"/>
        <v>561.11999999999989</v>
      </c>
      <c r="AL324" s="85">
        <f t="shared" si="878"/>
        <v>528</v>
      </c>
      <c r="AM324" s="85">
        <f>'Consumer Hardware Pricing'!AC332</f>
        <v>0</v>
      </c>
      <c r="AN324" s="85">
        <f t="shared" si="867"/>
        <v>45.379999999999995</v>
      </c>
      <c r="AO324" s="85">
        <f>'Consumer Hardware Pricing'!AD332</f>
        <v>10</v>
      </c>
      <c r="AP324" s="85">
        <f t="shared" si="879"/>
        <v>35.379999999999995</v>
      </c>
      <c r="AQ324" s="85">
        <f t="shared" si="880"/>
        <v>240</v>
      </c>
      <c r="AR324" s="85">
        <f t="shared" si="881"/>
        <v>849.11999999999989</v>
      </c>
      <c r="AS324" s="85">
        <f>'Consumer Hardware Pricing'!AF332</f>
        <v>321</v>
      </c>
      <c r="AT324" s="85">
        <f t="shared" si="868"/>
        <v>23.379999999999995</v>
      </c>
      <c r="AU324" s="85">
        <f t="shared" si="882"/>
        <v>22</v>
      </c>
      <c r="AV324" s="85">
        <f t="shared" si="883"/>
        <v>561.11999999999989</v>
      </c>
      <c r="AW324" s="85">
        <f t="shared" si="884"/>
        <v>528</v>
      </c>
      <c r="AX324" s="85" t="str">
        <f>'Consumer Hardware Pricing'!AH332</f>
        <v>-</v>
      </c>
      <c r="AY324" s="85" t="str">
        <f t="shared" si="869"/>
        <v>-</v>
      </c>
      <c r="AZ324" s="85" t="str">
        <f>'Consumer Hardware Pricing'!AI332</f>
        <v>-</v>
      </c>
      <c r="BA324" s="85" t="str">
        <f t="shared" si="889"/>
        <v>-</v>
      </c>
      <c r="BB324" s="85" t="str">
        <f t="shared" si="890"/>
        <v>-</v>
      </c>
      <c r="BC324" s="85" t="str">
        <f t="shared" si="906"/>
        <v>-</v>
      </c>
      <c r="BD324" s="85" t="str">
        <f>'Consumer Hardware Pricing'!AL332</f>
        <v>-</v>
      </c>
      <c r="BE324" s="85" t="str">
        <f t="shared" si="870"/>
        <v>-</v>
      </c>
      <c r="BF324" s="85" t="str">
        <f>'Consumer Hardware Pricing'!AM332</f>
        <v>-</v>
      </c>
      <c r="BG324" s="85" t="str">
        <f t="shared" si="891"/>
        <v>-</v>
      </c>
      <c r="BH324" s="85" t="str">
        <f t="shared" si="892"/>
        <v>-</v>
      </c>
      <c r="BI324" s="85" t="str">
        <f t="shared" si="907"/>
        <v>-</v>
      </c>
      <c r="BJ324" s="85" t="str">
        <f>'Consumer Hardware Pricing'!AP332</f>
        <v>-</v>
      </c>
      <c r="BK324" s="85" t="str">
        <f t="shared" si="871"/>
        <v>-</v>
      </c>
      <c r="BL324" s="85" t="str">
        <f>'Consumer Hardware Pricing'!AQ332</f>
        <v>-</v>
      </c>
      <c r="BM324" s="85" t="str">
        <f t="shared" si="893"/>
        <v>-</v>
      </c>
      <c r="BN324" s="85" t="str">
        <f t="shared" si="894"/>
        <v>-</v>
      </c>
      <c r="BO324" s="85" t="str">
        <f t="shared" si="908"/>
        <v>-</v>
      </c>
      <c r="BP324" s="85" t="str">
        <f>'Consumer Hardware Pricing'!AT332</f>
        <v>-</v>
      </c>
      <c r="BQ324" s="85" t="str">
        <f t="shared" si="872"/>
        <v>-</v>
      </c>
      <c r="BR324" s="85" t="str">
        <f>'Consumer Hardware Pricing'!AU332</f>
        <v>-</v>
      </c>
      <c r="BS324" s="85" t="str">
        <f t="shared" si="895"/>
        <v>-</v>
      </c>
      <c r="BT324" s="85" t="str">
        <f t="shared" si="896"/>
        <v>-</v>
      </c>
      <c r="BU324" s="85" t="str">
        <f t="shared" si="909"/>
        <v>-</v>
      </c>
    </row>
    <row r="325" spans="1:73" ht="30.15" customHeight="1" x14ac:dyDescent="0.25">
      <c r="A325" s="87" t="s">
        <v>34</v>
      </c>
      <c r="B325" s="88" t="s">
        <v>668</v>
      </c>
      <c r="C325" s="88" t="s">
        <v>656</v>
      </c>
      <c r="D325" s="85">
        <f>'Consumer Hardware Pricing'!L333</f>
        <v>1089</v>
      </c>
      <c r="E325" s="85">
        <f>'Consumer Hardware Pricing'!M333</f>
        <v>1089</v>
      </c>
      <c r="F325" s="85">
        <f>'Consumer Hardware Pricing'!N333</f>
        <v>0</v>
      </c>
      <c r="G325" s="85">
        <f t="shared" si="910"/>
        <v>45.379999999999995</v>
      </c>
      <c r="H325" s="85" t="str">
        <f>'Consumer Hardware Pricing'!O333</f>
        <v>-</v>
      </c>
      <c r="I325" s="85">
        <f t="shared" si="885"/>
        <v>45.379999999999995</v>
      </c>
      <c r="J325" s="85" t="str">
        <f t="shared" si="897"/>
        <v>-</v>
      </c>
      <c r="K325" s="85">
        <f t="shared" si="898"/>
        <v>1089.1199999999999</v>
      </c>
      <c r="L325" s="85">
        <f>'Consumer Hardware Pricing'!Q333</f>
        <v>321</v>
      </c>
      <c r="M325" s="85">
        <f t="shared" si="911"/>
        <v>13.379999999999995</v>
      </c>
      <c r="N325" s="85">
        <f t="shared" si="886"/>
        <v>32</v>
      </c>
      <c r="O325" s="85">
        <f t="shared" si="887"/>
        <v>321.11999999999989</v>
      </c>
      <c r="P325" s="85">
        <f t="shared" si="899"/>
        <v>768</v>
      </c>
      <c r="Q325" s="85">
        <f>'Consumer Hardware Pricing'!S333</f>
        <v>0</v>
      </c>
      <c r="R325" s="85">
        <f t="shared" si="888"/>
        <v>45.379999999999995</v>
      </c>
      <c r="S325" s="85" t="str">
        <f>'Consumer Hardware Pricing'!T333</f>
        <v>-</v>
      </c>
      <c r="T325" s="129">
        <f t="shared" si="900"/>
        <v>45.379999999999995</v>
      </c>
      <c r="U325" s="129" t="str">
        <f t="shared" si="901"/>
        <v>-</v>
      </c>
      <c r="V325" s="85">
        <f t="shared" si="902"/>
        <v>1089.1199999999999</v>
      </c>
      <c r="W325" s="129">
        <f>'Consumer Hardware Pricing'!V333</f>
        <v>321</v>
      </c>
      <c r="X325" s="129">
        <f t="shared" si="912"/>
        <v>13.379999999999995</v>
      </c>
      <c r="Y325" s="129">
        <f t="shared" si="903"/>
        <v>32</v>
      </c>
      <c r="Z325" s="129">
        <f t="shared" si="904"/>
        <v>321.11999999999989</v>
      </c>
      <c r="AA325" s="85">
        <f t="shared" si="905"/>
        <v>768</v>
      </c>
      <c r="AB325" s="85">
        <f>'Consumer Hardware Pricing'!X333</f>
        <v>0</v>
      </c>
      <c r="AC325" s="85">
        <f t="shared" si="865"/>
        <v>45.379999999999995</v>
      </c>
      <c r="AD325" s="85">
        <f>'Consumer Hardware Pricing'!Y333</f>
        <v>10</v>
      </c>
      <c r="AE325" s="85">
        <f t="shared" si="873"/>
        <v>35.379999999999995</v>
      </c>
      <c r="AF325" s="85">
        <f t="shared" si="874"/>
        <v>240</v>
      </c>
      <c r="AG325" s="85">
        <f t="shared" si="875"/>
        <v>849.11999999999989</v>
      </c>
      <c r="AH325" s="85">
        <f>'Consumer Hardware Pricing'!AA333</f>
        <v>321</v>
      </c>
      <c r="AI325" s="85">
        <f t="shared" si="866"/>
        <v>23.379999999999995</v>
      </c>
      <c r="AJ325" s="85">
        <f t="shared" si="876"/>
        <v>22</v>
      </c>
      <c r="AK325" s="85">
        <f t="shared" si="877"/>
        <v>561.11999999999989</v>
      </c>
      <c r="AL325" s="85">
        <f t="shared" si="878"/>
        <v>528</v>
      </c>
      <c r="AM325" s="85">
        <f>'Consumer Hardware Pricing'!AC333</f>
        <v>0</v>
      </c>
      <c r="AN325" s="85">
        <f t="shared" si="867"/>
        <v>45.379999999999995</v>
      </c>
      <c r="AO325" s="85">
        <f>'Consumer Hardware Pricing'!AD333</f>
        <v>10</v>
      </c>
      <c r="AP325" s="85">
        <f t="shared" si="879"/>
        <v>35.379999999999995</v>
      </c>
      <c r="AQ325" s="85">
        <f t="shared" si="880"/>
        <v>240</v>
      </c>
      <c r="AR325" s="85">
        <f t="shared" si="881"/>
        <v>849.11999999999989</v>
      </c>
      <c r="AS325" s="85">
        <f>'Consumer Hardware Pricing'!AF333</f>
        <v>321</v>
      </c>
      <c r="AT325" s="85">
        <f t="shared" si="868"/>
        <v>23.379999999999995</v>
      </c>
      <c r="AU325" s="85">
        <f t="shared" si="882"/>
        <v>22</v>
      </c>
      <c r="AV325" s="85">
        <f t="shared" si="883"/>
        <v>561.11999999999989</v>
      </c>
      <c r="AW325" s="85">
        <f t="shared" si="884"/>
        <v>528</v>
      </c>
      <c r="AX325" s="85" t="str">
        <f>'Consumer Hardware Pricing'!AH333</f>
        <v>-</v>
      </c>
      <c r="AY325" s="85" t="str">
        <f t="shared" si="869"/>
        <v>-</v>
      </c>
      <c r="AZ325" s="85" t="str">
        <f>'Consumer Hardware Pricing'!AI333</f>
        <v>-</v>
      </c>
      <c r="BA325" s="85" t="str">
        <f t="shared" si="889"/>
        <v>-</v>
      </c>
      <c r="BB325" s="85" t="str">
        <f t="shared" si="890"/>
        <v>-</v>
      </c>
      <c r="BC325" s="85" t="str">
        <f t="shared" si="906"/>
        <v>-</v>
      </c>
      <c r="BD325" s="85" t="str">
        <f>'Consumer Hardware Pricing'!AL333</f>
        <v>-</v>
      </c>
      <c r="BE325" s="85" t="str">
        <f t="shared" si="870"/>
        <v>-</v>
      </c>
      <c r="BF325" s="85" t="str">
        <f>'Consumer Hardware Pricing'!AM333</f>
        <v>-</v>
      </c>
      <c r="BG325" s="85" t="str">
        <f t="shared" si="891"/>
        <v>-</v>
      </c>
      <c r="BH325" s="85" t="str">
        <f t="shared" si="892"/>
        <v>-</v>
      </c>
      <c r="BI325" s="85" t="str">
        <f t="shared" si="907"/>
        <v>-</v>
      </c>
      <c r="BJ325" s="85" t="str">
        <f>'Consumer Hardware Pricing'!AP333</f>
        <v>-</v>
      </c>
      <c r="BK325" s="85" t="str">
        <f t="shared" si="871"/>
        <v>-</v>
      </c>
      <c r="BL325" s="85" t="str">
        <f>'Consumer Hardware Pricing'!AQ333</f>
        <v>-</v>
      </c>
      <c r="BM325" s="85" t="str">
        <f t="shared" si="893"/>
        <v>-</v>
      </c>
      <c r="BN325" s="85" t="str">
        <f t="shared" si="894"/>
        <v>-</v>
      </c>
      <c r="BO325" s="85" t="str">
        <f t="shared" si="908"/>
        <v>-</v>
      </c>
      <c r="BP325" s="85" t="str">
        <f>'Consumer Hardware Pricing'!AT333</f>
        <v>-</v>
      </c>
      <c r="BQ325" s="85" t="str">
        <f t="shared" si="872"/>
        <v>-</v>
      </c>
      <c r="BR325" s="85" t="str">
        <f>'Consumer Hardware Pricing'!AU333</f>
        <v>-</v>
      </c>
      <c r="BS325" s="85" t="str">
        <f t="shared" si="895"/>
        <v>-</v>
      </c>
      <c r="BT325" s="85" t="str">
        <f t="shared" si="896"/>
        <v>-</v>
      </c>
      <c r="BU325" s="85" t="str">
        <f t="shared" si="909"/>
        <v>-</v>
      </c>
    </row>
    <row r="326" spans="1:73" ht="30.15" customHeight="1" x14ac:dyDescent="0.25">
      <c r="A326" s="87" t="s">
        <v>34</v>
      </c>
      <c r="B326" s="88" t="s">
        <v>1057</v>
      </c>
      <c r="C326" s="88" t="s">
        <v>1075</v>
      </c>
      <c r="D326" s="85">
        <f>'Consumer Hardware Pricing'!L334</f>
        <v>875</v>
      </c>
      <c r="E326" s="85">
        <f>'Consumer Hardware Pricing'!M334</f>
        <v>875</v>
      </c>
      <c r="F326" s="85">
        <f>'Consumer Hardware Pricing'!N334</f>
        <v>0</v>
      </c>
      <c r="G326" s="85">
        <f t="shared" si="910"/>
        <v>36.46</v>
      </c>
      <c r="H326" s="85" t="str">
        <f>'Consumer Hardware Pricing'!O334</f>
        <v>-</v>
      </c>
      <c r="I326" s="85">
        <f t="shared" ref="I326:I343" si="913">IF(H326="-",G326,G326-H326)</f>
        <v>36.46</v>
      </c>
      <c r="J326" s="85" t="str">
        <f t="shared" ref="J326:J343" si="914">IF(H326="-",H326,H326*24)</f>
        <v>-</v>
      </c>
      <c r="K326" s="85">
        <f t="shared" ref="K326:K343" si="915">IF(F326="-",F326,I326*24)</f>
        <v>875.04</v>
      </c>
      <c r="L326" s="85">
        <f>'Consumer Hardware Pricing'!Q334</f>
        <v>299</v>
      </c>
      <c r="M326" s="85">
        <f t="shared" si="911"/>
        <v>12.46</v>
      </c>
      <c r="N326" s="85">
        <f t="shared" ref="N326:N343" si="916">IF(L326="-",L326,G326-M326)</f>
        <v>24</v>
      </c>
      <c r="O326" s="85">
        <f t="shared" ref="O326:O343" si="917">IF(L326="-",L326,M326*24)</f>
        <v>299.04000000000002</v>
      </c>
      <c r="P326" s="85">
        <f t="shared" ref="P326:P343" si="918">IF(L326="-",L326,N326*24)</f>
        <v>576</v>
      </c>
      <c r="Q326" s="85">
        <f>'Consumer Hardware Pricing'!S334</f>
        <v>0</v>
      </c>
      <c r="R326" s="85">
        <f t="shared" ref="R326:R343" si="919">G326</f>
        <v>36.46</v>
      </c>
      <c r="S326" s="85" t="str">
        <f>'Consumer Hardware Pricing'!T334</f>
        <v>-</v>
      </c>
      <c r="T326" s="129">
        <f t="shared" ref="T326:T343" si="920">IF(S326="-",R326,R326-S326)</f>
        <v>36.46</v>
      </c>
      <c r="U326" s="129" t="str">
        <f t="shared" ref="U326:U343" si="921">IF(S326="-",S326,S326*24)</f>
        <v>-</v>
      </c>
      <c r="V326" s="85">
        <f t="shared" ref="V326:V343" si="922">IF(Q326="-",Q326,T326*24)</f>
        <v>875.04</v>
      </c>
      <c r="W326" s="129">
        <f>'Consumer Hardware Pricing'!V334</f>
        <v>299</v>
      </c>
      <c r="X326" s="129">
        <f t="shared" si="912"/>
        <v>12.46</v>
      </c>
      <c r="Y326" s="129">
        <f t="shared" ref="Y326:Y343" si="923">IF(W326="-",W326,R326-X326)</f>
        <v>24</v>
      </c>
      <c r="Z326" s="129">
        <f t="shared" ref="Z326:Z343" si="924">IF(W326="-",W326,X326*24)</f>
        <v>299.04000000000002</v>
      </c>
      <c r="AA326" s="85">
        <f t="shared" ref="AA326:AA343" si="925">IF(W326="-",W326,Y326*24)</f>
        <v>576</v>
      </c>
      <c r="AB326" s="85">
        <f>'Consumer Hardware Pricing'!X334</f>
        <v>0</v>
      </c>
      <c r="AC326" s="85">
        <f t="shared" si="865"/>
        <v>36.46</v>
      </c>
      <c r="AD326" s="85">
        <f>'Consumer Hardware Pricing'!Y334</f>
        <v>10</v>
      </c>
      <c r="AE326" s="85">
        <f t="shared" ref="AE326:AE343" si="926">IF(AD326="-",AC326,AC326-AD326)</f>
        <v>26.46</v>
      </c>
      <c r="AF326" s="85">
        <f t="shared" ref="AF326:AF343" si="927">IF(AD326="-",AD326,AD326*24)</f>
        <v>240</v>
      </c>
      <c r="AG326" s="85">
        <f t="shared" ref="AG326:AG343" si="928">IF(AB326="-",AB326,AE326*24)</f>
        <v>635.04</v>
      </c>
      <c r="AH326" s="85">
        <f>'Consumer Hardware Pricing'!AA334</f>
        <v>299</v>
      </c>
      <c r="AI326" s="85">
        <f t="shared" si="866"/>
        <v>22.46</v>
      </c>
      <c r="AJ326" s="85">
        <f t="shared" ref="AJ326:AJ343" si="929">IF(AH326="-",AH326,AC326-AI326)</f>
        <v>14</v>
      </c>
      <c r="AK326" s="85">
        <f t="shared" ref="AK326:AK343" si="930">IF(AH326="-",AH326,AI326*24)</f>
        <v>539.04</v>
      </c>
      <c r="AL326" s="85">
        <f t="shared" ref="AL326:AL343" si="931">IF(AH326="-",AH326,AJ326*24)</f>
        <v>336</v>
      </c>
      <c r="AM326" s="85">
        <f>'Consumer Hardware Pricing'!AC334</f>
        <v>0</v>
      </c>
      <c r="AN326" s="85">
        <f t="shared" si="867"/>
        <v>36.46</v>
      </c>
      <c r="AO326" s="85">
        <f>'Consumer Hardware Pricing'!AD334</f>
        <v>10</v>
      </c>
      <c r="AP326" s="85">
        <f t="shared" ref="AP326:AP343" si="932">IF(AO326="-",AN326,AN326-AO326)</f>
        <v>26.46</v>
      </c>
      <c r="AQ326" s="85">
        <f t="shared" ref="AQ326:AQ343" si="933">IF(AO326="-",AO326,AO326*24)</f>
        <v>240</v>
      </c>
      <c r="AR326" s="85">
        <f t="shared" ref="AR326:AR343" si="934">IF(AM326="-",AM326,AP326*24)</f>
        <v>635.04</v>
      </c>
      <c r="AS326" s="85">
        <f>'Consumer Hardware Pricing'!AF334</f>
        <v>299</v>
      </c>
      <c r="AT326" s="85">
        <f t="shared" si="868"/>
        <v>22.46</v>
      </c>
      <c r="AU326" s="85">
        <f t="shared" ref="AU326:AU343" si="935">IF(AS326="-",AS326,AN326-AT326)</f>
        <v>14</v>
      </c>
      <c r="AV326" s="85">
        <f t="shared" ref="AV326:AV343" si="936">IF(AS326="-",AS326,AT326*24)</f>
        <v>539.04</v>
      </c>
      <c r="AW326" s="85">
        <f t="shared" ref="AW326:AW343" si="937">IF(AS326="-",AS326,AU326*24)</f>
        <v>336</v>
      </c>
      <c r="AX326" s="85" t="str">
        <f>'Consumer Hardware Pricing'!AH334</f>
        <v>-</v>
      </c>
      <c r="AY326" s="85" t="str">
        <f t="shared" si="869"/>
        <v>-</v>
      </c>
      <c r="AZ326" s="85" t="str">
        <f>'Consumer Hardware Pricing'!AI334</f>
        <v>-</v>
      </c>
      <c r="BA326" s="85" t="str">
        <f t="shared" ref="BA326:BA343" si="938">IF(AZ326="-",AY326,AY326-AZ326)</f>
        <v>-</v>
      </c>
      <c r="BB326" s="85" t="str">
        <f t="shared" ref="BB326:BB343" si="939">IF(AZ326="-",AZ326,AZ326*24)</f>
        <v>-</v>
      </c>
      <c r="BC326" s="85" t="str">
        <f t="shared" ref="BC326:BC343" si="940">IF(AX326="-",AX326,AX326+(BA326*24))</f>
        <v>-</v>
      </c>
      <c r="BD326" s="85" t="str">
        <f>'Consumer Hardware Pricing'!AL334</f>
        <v>-</v>
      </c>
      <c r="BE326" s="85" t="str">
        <f t="shared" si="870"/>
        <v>-</v>
      </c>
      <c r="BF326" s="85" t="str">
        <f>'Consumer Hardware Pricing'!AM334</f>
        <v>-</v>
      </c>
      <c r="BG326" s="85" t="str">
        <f t="shared" ref="BG326:BG343" si="941">IF(BF326="-",BE326,BE326-BF326)</f>
        <v>-</v>
      </c>
      <c r="BH326" s="85" t="str">
        <f t="shared" ref="BH326:BH343" si="942">IF(BF326="-",BF326,BF326*24)</f>
        <v>-</v>
      </c>
      <c r="BI326" s="85" t="str">
        <f t="shared" ref="BI326:BI343" si="943">IF(BD326="-",BD326,BD326+(BG326*24))</f>
        <v>-</v>
      </c>
      <c r="BJ326" s="85" t="str">
        <f>'Consumer Hardware Pricing'!AP334</f>
        <v>-</v>
      </c>
      <c r="BK326" s="85" t="str">
        <f t="shared" si="871"/>
        <v>-</v>
      </c>
      <c r="BL326" s="85" t="str">
        <f>'Consumer Hardware Pricing'!AQ334</f>
        <v>-</v>
      </c>
      <c r="BM326" s="85" t="str">
        <f t="shared" ref="BM326:BM343" si="944">IF(BL326="-",BK326,BK326-BL326)</f>
        <v>-</v>
      </c>
      <c r="BN326" s="85" t="str">
        <f t="shared" ref="BN326:BN343" si="945">IF(BL326="-",BL326,BL326*24)</f>
        <v>-</v>
      </c>
      <c r="BO326" s="85" t="str">
        <f t="shared" ref="BO326:BO343" si="946">IF(BJ326="-",BJ326,BJ326+(BM326*24))</f>
        <v>-</v>
      </c>
      <c r="BP326" s="85" t="str">
        <f>'Consumer Hardware Pricing'!AT334</f>
        <v>-</v>
      </c>
      <c r="BQ326" s="85" t="str">
        <f t="shared" si="872"/>
        <v>-</v>
      </c>
      <c r="BR326" s="85" t="str">
        <f>'Consumer Hardware Pricing'!AU334</f>
        <v>-</v>
      </c>
      <c r="BS326" s="85" t="str">
        <f t="shared" ref="BS326:BS343" si="947">IF(BR326="-",BQ326,BQ326-BR326)</f>
        <v>-</v>
      </c>
      <c r="BT326" s="85" t="str">
        <f t="shared" ref="BT326:BT343" si="948">IF(BR326="-",BR326,BR326*24)</f>
        <v>-</v>
      </c>
      <c r="BU326" s="85" t="str">
        <f t="shared" ref="BU326:BU343" si="949">IF(BP326="-",BP326,BP326+(BS326*24))</f>
        <v>-</v>
      </c>
    </row>
    <row r="327" spans="1:73" ht="30.15" customHeight="1" x14ac:dyDescent="0.25">
      <c r="A327" s="87" t="s">
        <v>34</v>
      </c>
      <c r="B327" s="88" t="s">
        <v>1058</v>
      </c>
      <c r="C327" s="88" t="s">
        <v>1075</v>
      </c>
      <c r="D327" s="85">
        <f>'Consumer Hardware Pricing'!L335</f>
        <v>875</v>
      </c>
      <c r="E327" s="85">
        <f>'Consumer Hardware Pricing'!M335</f>
        <v>875</v>
      </c>
      <c r="F327" s="85">
        <f>'Consumer Hardware Pricing'!N335</f>
        <v>0</v>
      </c>
      <c r="G327" s="85">
        <f t="shared" si="910"/>
        <v>36.46</v>
      </c>
      <c r="H327" s="85" t="str">
        <f>'Consumer Hardware Pricing'!O335</f>
        <v>-</v>
      </c>
      <c r="I327" s="85">
        <f t="shared" si="913"/>
        <v>36.46</v>
      </c>
      <c r="J327" s="85" t="str">
        <f t="shared" si="914"/>
        <v>-</v>
      </c>
      <c r="K327" s="85">
        <f t="shared" si="915"/>
        <v>875.04</v>
      </c>
      <c r="L327" s="85">
        <f>'Consumer Hardware Pricing'!Q335</f>
        <v>299</v>
      </c>
      <c r="M327" s="85">
        <f t="shared" si="911"/>
        <v>12.46</v>
      </c>
      <c r="N327" s="85">
        <f t="shared" si="916"/>
        <v>24</v>
      </c>
      <c r="O327" s="85">
        <f t="shared" si="917"/>
        <v>299.04000000000002</v>
      </c>
      <c r="P327" s="85">
        <f t="shared" si="918"/>
        <v>576</v>
      </c>
      <c r="Q327" s="85">
        <f>'Consumer Hardware Pricing'!S335</f>
        <v>0</v>
      </c>
      <c r="R327" s="85">
        <f t="shared" si="919"/>
        <v>36.46</v>
      </c>
      <c r="S327" s="85" t="str">
        <f>'Consumer Hardware Pricing'!T335</f>
        <v>-</v>
      </c>
      <c r="T327" s="129">
        <f t="shared" si="920"/>
        <v>36.46</v>
      </c>
      <c r="U327" s="129" t="str">
        <f t="shared" si="921"/>
        <v>-</v>
      </c>
      <c r="V327" s="85">
        <f t="shared" si="922"/>
        <v>875.04</v>
      </c>
      <c r="W327" s="129">
        <f>'Consumer Hardware Pricing'!V335</f>
        <v>299</v>
      </c>
      <c r="X327" s="129">
        <f t="shared" si="912"/>
        <v>12.46</v>
      </c>
      <c r="Y327" s="129">
        <f t="shared" si="923"/>
        <v>24</v>
      </c>
      <c r="Z327" s="129">
        <f t="shared" si="924"/>
        <v>299.04000000000002</v>
      </c>
      <c r="AA327" s="85">
        <f t="shared" si="925"/>
        <v>576</v>
      </c>
      <c r="AB327" s="85">
        <f>'Consumer Hardware Pricing'!X335</f>
        <v>0</v>
      </c>
      <c r="AC327" s="85">
        <f t="shared" si="865"/>
        <v>36.46</v>
      </c>
      <c r="AD327" s="85">
        <f>'Consumer Hardware Pricing'!Y335</f>
        <v>10</v>
      </c>
      <c r="AE327" s="85">
        <f t="shared" si="926"/>
        <v>26.46</v>
      </c>
      <c r="AF327" s="85">
        <f t="shared" si="927"/>
        <v>240</v>
      </c>
      <c r="AG327" s="85">
        <f t="shared" si="928"/>
        <v>635.04</v>
      </c>
      <c r="AH327" s="85">
        <f>'Consumer Hardware Pricing'!AA335</f>
        <v>299</v>
      </c>
      <c r="AI327" s="85">
        <f t="shared" si="866"/>
        <v>22.46</v>
      </c>
      <c r="AJ327" s="85">
        <f t="shared" si="929"/>
        <v>14</v>
      </c>
      <c r="AK327" s="85">
        <f t="shared" si="930"/>
        <v>539.04</v>
      </c>
      <c r="AL327" s="85">
        <f t="shared" si="931"/>
        <v>336</v>
      </c>
      <c r="AM327" s="85">
        <f>'Consumer Hardware Pricing'!AC335</f>
        <v>0</v>
      </c>
      <c r="AN327" s="85">
        <f t="shared" si="867"/>
        <v>36.46</v>
      </c>
      <c r="AO327" s="85">
        <f>'Consumer Hardware Pricing'!AD335</f>
        <v>10</v>
      </c>
      <c r="AP327" s="85">
        <f t="shared" si="932"/>
        <v>26.46</v>
      </c>
      <c r="AQ327" s="85">
        <f t="shared" si="933"/>
        <v>240</v>
      </c>
      <c r="AR327" s="85">
        <f t="shared" si="934"/>
        <v>635.04</v>
      </c>
      <c r="AS327" s="85">
        <f>'Consumer Hardware Pricing'!AF335</f>
        <v>299</v>
      </c>
      <c r="AT327" s="85">
        <f t="shared" si="868"/>
        <v>22.46</v>
      </c>
      <c r="AU327" s="85">
        <f t="shared" si="935"/>
        <v>14</v>
      </c>
      <c r="AV327" s="85">
        <f t="shared" si="936"/>
        <v>539.04</v>
      </c>
      <c r="AW327" s="85">
        <f t="shared" si="937"/>
        <v>336</v>
      </c>
      <c r="AX327" s="85" t="str">
        <f>'Consumer Hardware Pricing'!AH335</f>
        <v>-</v>
      </c>
      <c r="AY327" s="85" t="str">
        <f t="shared" si="869"/>
        <v>-</v>
      </c>
      <c r="AZ327" s="85" t="str">
        <f>'Consumer Hardware Pricing'!AI335</f>
        <v>-</v>
      </c>
      <c r="BA327" s="85" t="str">
        <f t="shared" si="938"/>
        <v>-</v>
      </c>
      <c r="BB327" s="85" t="str">
        <f t="shared" si="939"/>
        <v>-</v>
      </c>
      <c r="BC327" s="85" t="str">
        <f t="shared" si="940"/>
        <v>-</v>
      </c>
      <c r="BD327" s="85" t="str">
        <f>'Consumer Hardware Pricing'!AL335</f>
        <v>-</v>
      </c>
      <c r="BE327" s="85" t="str">
        <f t="shared" si="870"/>
        <v>-</v>
      </c>
      <c r="BF327" s="85" t="str">
        <f>'Consumer Hardware Pricing'!AM335</f>
        <v>-</v>
      </c>
      <c r="BG327" s="85" t="str">
        <f t="shared" si="941"/>
        <v>-</v>
      </c>
      <c r="BH327" s="85" t="str">
        <f t="shared" si="942"/>
        <v>-</v>
      </c>
      <c r="BI327" s="85" t="str">
        <f t="shared" si="943"/>
        <v>-</v>
      </c>
      <c r="BJ327" s="85" t="str">
        <f>'Consumer Hardware Pricing'!AP335</f>
        <v>-</v>
      </c>
      <c r="BK327" s="85" t="str">
        <f t="shared" si="871"/>
        <v>-</v>
      </c>
      <c r="BL327" s="85" t="str">
        <f>'Consumer Hardware Pricing'!AQ335</f>
        <v>-</v>
      </c>
      <c r="BM327" s="85" t="str">
        <f t="shared" si="944"/>
        <v>-</v>
      </c>
      <c r="BN327" s="85" t="str">
        <f t="shared" si="945"/>
        <v>-</v>
      </c>
      <c r="BO327" s="85" t="str">
        <f t="shared" si="946"/>
        <v>-</v>
      </c>
      <c r="BP327" s="85" t="str">
        <f>'Consumer Hardware Pricing'!AT335</f>
        <v>-</v>
      </c>
      <c r="BQ327" s="85" t="str">
        <f t="shared" si="872"/>
        <v>-</v>
      </c>
      <c r="BR327" s="85" t="str">
        <f>'Consumer Hardware Pricing'!AU335</f>
        <v>-</v>
      </c>
      <c r="BS327" s="85" t="str">
        <f t="shared" si="947"/>
        <v>-</v>
      </c>
      <c r="BT327" s="85" t="str">
        <f t="shared" si="948"/>
        <v>-</v>
      </c>
      <c r="BU327" s="85" t="str">
        <f t="shared" si="949"/>
        <v>-</v>
      </c>
    </row>
    <row r="328" spans="1:73" ht="30.15" customHeight="1" x14ac:dyDescent="0.25">
      <c r="A328" s="87" t="s">
        <v>34</v>
      </c>
      <c r="B328" s="88" t="s">
        <v>1059</v>
      </c>
      <c r="C328" s="88" t="s">
        <v>1075</v>
      </c>
      <c r="D328" s="85">
        <f>'Consumer Hardware Pricing'!L336</f>
        <v>875</v>
      </c>
      <c r="E328" s="85">
        <f>'Consumer Hardware Pricing'!M336</f>
        <v>875</v>
      </c>
      <c r="F328" s="85">
        <f>'Consumer Hardware Pricing'!N336</f>
        <v>0</v>
      </c>
      <c r="G328" s="85">
        <f t="shared" si="910"/>
        <v>36.46</v>
      </c>
      <c r="H328" s="85" t="str">
        <f>'Consumer Hardware Pricing'!O336</f>
        <v>-</v>
      </c>
      <c r="I328" s="85">
        <f t="shared" si="913"/>
        <v>36.46</v>
      </c>
      <c r="J328" s="85" t="str">
        <f t="shared" si="914"/>
        <v>-</v>
      </c>
      <c r="K328" s="85">
        <f t="shared" si="915"/>
        <v>875.04</v>
      </c>
      <c r="L328" s="85">
        <f>'Consumer Hardware Pricing'!Q336</f>
        <v>299</v>
      </c>
      <c r="M328" s="85">
        <f t="shared" si="911"/>
        <v>12.46</v>
      </c>
      <c r="N328" s="85">
        <f t="shared" si="916"/>
        <v>24</v>
      </c>
      <c r="O328" s="85">
        <f t="shared" si="917"/>
        <v>299.04000000000002</v>
      </c>
      <c r="P328" s="85">
        <f t="shared" si="918"/>
        <v>576</v>
      </c>
      <c r="Q328" s="85">
        <f>'Consumer Hardware Pricing'!S336</f>
        <v>0</v>
      </c>
      <c r="R328" s="85">
        <f t="shared" si="919"/>
        <v>36.46</v>
      </c>
      <c r="S328" s="85" t="str">
        <f>'Consumer Hardware Pricing'!T336</f>
        <v>-</v>
      </c>
      <c r="T328" s="129">
        <f t="shared" si="920"/>
        <v>36.46</v>
      </c>
      <c r="U328" s="129" t="str">
        <f t="shared" si="921"/>
        <v>-</v>
      </c>
      <c r="V328" s="85">
        <f t="shared" si="922"/>
        <v>875.04</v>
      </c>
      <c r="W328" s="129">
        <f>'Consumer Hardware Pricing'!V336</f>
        <v>299</v>
      </c>
      <c r="X328" s="129">
        <f t="shared" si="912"/>
        <v>12.46</v>
      </c>
      <c r="Y328" s="129">
        <f t="shared" si="923"/>
        <v>24</v>
      </c>
      <c r="Z328" s="129">
        <f t="shared" si="924"/>
        <v>299.04000000000002</v>
      </c>
      <c r="AA328" s="85">
        <f t="shared" si="925"/>
        <v>576</v>
      </c>
      <c r="AB328" s="85">
        <f>'Consumer Hardware Pricing'!X336</f>
        <v>0</v>
      </c>
      <c r="AC328" s="85">
        <f t="shared" si="865"/>
        <v>36.46</v>
      </c>
      <c r="AD328" s="85">
        <f>'Consumer Hardware Pricing'!Y336</f>
        <v>10</v>
      </c>
      <c r="AE328" s="85">
        <f t="shared" si="926"/>
        <v>26.46</v>
      </c>
      <c r="AF328" s="85">
        <f t="shared" si="927"/>
        <v>240</v>
      </c>
      <c r="AG328" s="85">
        <f t="shared" si="928"/>
        <v>635.04</v>
      </c>
      <c r="AH328" s="85">
        <f>'Consumer Hardware Pricing'!AA336</f>
        <v>299</v>
      </c>
      <c r="AI328" s="85">
        <f t="shared" si="866"/>
        <v>22.46</v>
      </c>
      <c r="AJ328" s="85">
        <f t="shared" si="929"/>
        <v>14</v>
      </c>
      <c r="AK328" s="85">
        <f t="shared" si="930"/>
        <v>539.04</v>
      </c>
      <c r="AL328" s="85">
        <f t="shared" si="931"/>
        <v>336</v>
      </c>
      <c r="AM328" s="85">
        <f>'Consumer Hardware Pricing'!AC336</f>
        <v>0</v>
      </c>
      <c r="AN328" s="85">
        <f t="shared" si="867"/>
        <v>36.46</v>
      </c>
      <c r="AO328" s="85">
        <f>'Consumer Hardware Pricing'!AD336</f>
        <v>10</v>
      </c>
      <c r="AP328" s="85">
        <f t="shared" si="932"/>
        <v>26.46</v>
      </c>
      <c r="AQ328" s="85">
        <f t="shared" si="933"/>
        <v>240</v>
      </c>
      <c r="AR328" s="85">
        <f t="shared" si="934"/>
        <v>635.04</v>
      </c>
      <c r="AS328" s="85">
        <f>'Consumer Hardware Pricing'!AF336</f>
        <v>299</v>
      </c>
      <c r="AT328" s="85">
        <f t="shared" si="868"/>
        <v>22.46</v>
      </c>
      <c r="AU328" s="85">
        <f t="shared" si="935"/>
        <v>14</v>
      </c>
      <c r="AV328" s="85">
        <f t="shared" si="936"/>
        <v>539.04</v>
      </c>
      <c r="AW328" s="85">
        <f t="shared" si="937"/>
        <v>336</v>
      </c>
      <c r="AX328" s="85" t="str">
        <f>'Consumer Hardware Pricing'!AH336</f>
        <v>-</v>
      </c>
      <c r="AY328" s="85" t="str">
        <f t="shared" si="869"/>
        <v>-</v>
      </c>
      <c r="AZ328" s="85" t="str">
        <f>'Consumer Hardware Pricing'!AI336</f>
        <v>-</v>
      </c>
      <c r="BA328" s="85" t="str">
        <f t="shared" si="938"/>
        <v>-</v>
      </c>
      <c r="BB328" s="85" t="str">
        <f t="shared" si="939"/>
        <v>-</v>
      </c>
      <c r="BC328" s="85" t="str">
        <f t="shared" si="940"/>
        <v>-</v>
      </c>
      <c r="BD328" s="85" t="str">
        <f>'Consumer Hardware Pricing'!AL336</f>
        <v>-</v>
      </c>
      <c r="BE328" s="85" t="str">
        <f t="shared" si="870"/>
        <v>-</v>
      </c>
      <c r="BF328" s="85" t="str">
        <f>'Consumer Hardware Pricing'!AM336</f>
        <v>-</v>
      </c>
      <c r="BG328" s="85" t="str">
        <f t="shared" si="941"/>
        <v>-</v>
      </c>
      <c r="BH328" s="85" t="str">
        <f t="shared" si="942"/>
        <v>-</v>
      </c>
      <c r="BI328" s="85" t="str">
        <f t="shared" si="943"/>
        <v>-</v>
      </c>
      <c r="BJ328" s="85" t="str">
        <f>'Consumer Hardware Pricing'!AP336</f>
        <v>-</v>
      </c>
      <c r="BK328" s="85" t="str">
        <f t="shared" si="871"/>
        <v>-</v>
      </c>
      <c r="BL328" s="85" t="str">
        <f>'Consumer Hardware Pricing'!AQ336</f>
        <v>-</v>
      </c>
      <c r="BM328" s="85" t="str">
        <f t="shared" si="944"/>
        <v>-</v>
      </c>
      <c r="BN328" s="85" t="str">
        <f t="shared" si="945"/>
        <v>-</v>
      </c>
      <c r="BO328" s="85" t="str">
        <f t="shared" si="946"/>
        <v>-</v>
      </c>
      <c r="BP328" s="85" t="str">
        <f>'Consumer Hardware Pricing'!AT336</f>
        <v>-</v>
      </c>
      <c r="BQ328" s="85" t="str">
        <f t="shared" si="872"/>
        <v>-</v>
      </c>
      <c r="BR328" s="85" t="str">
        <f>'Consumer Hardware Pricing'!AU336</f>
        <v>-</v>
      </c>
      <c r="BS328" s="85" t="str">
        <f t="shared" si="947"/>
        <v>-</v>
      </c>
      <c r="BT328" s="85" t="str">
        <f t="shared" si="948"/>
        <v>-</v>
      </c>
      <c r="BU328" s="85" t="str">
        <f t="shared" si="949"/>
        <v>-</v>
      </c>
    </row>
    <row r="329" spans="1:73" ht="30.15" customHeight="1" x14ac:dyDescent="0.25">
      <c r="A329" s="87" t="s">
        <v>34</v>
      </c>
      <c r="B329" s="88" t="s">
        <v>1060</v>
      </c>
      <c r="C329" s="88" t="s">
        <v>1075</v>
      </c>
      <c r="D329" s="85">
        <f>'Consumer Hardware Pricing'!L337</f>
        <v>875</v>
      </c>
      <c r="E329" s="85">
        <f>'Consumer Hardware Pricing'!M337</f>
        <v>875</v>
      </c>
      <c r="F329" s="85">
        <f>'Consumer Hardware Pricing'!N337</f>
        <v>0</v>
      </c>
      <c r="G329" s="85">
        <f t="shared" si="910"/>
        <v>36.46</v>
      </c>
      <c r="H329" s="85" t="str">
        <f>'Consumer Hardware Pricing'!O337</f>
        <v>-</v>
      </c>
      <c r="I329" s="85">
        <f t="shared" si="913"/>
        <v>36.46</v>
      </c>
      <c r="J329" s="85" t="str">
        <f t="shared" si="914"/>
        <v>-</v>
      </c>
      <c r="K329" s="85">
        <f t="shared" si="915"/>
        <v>875.04</v>
      </c>
      <c r="L329" s="85">
        <f>'Consumer Hardware Pricing'!Q337</f>
        <v>299</v>
      </c>
      <c r="M329" s="85">
        <f t="shared" si="911"/>
        <v>12.46</v>
      </c>
      <c r="N329" s="85">
        <f t="shared" si="916"/>
        <v>24</v>
      </c>
      <c r="O329" s="85">
        <f t="shared" si="917"/>
        <v>299.04000000000002</v>
      </c>
      <c r="P329" s="85">
        <f t="shared" si="918"/>
        <v>576</v>
      </c>
      <c r="Q329" s="85">
        <f>'Consumer Hardware Pricing'!S337</f>
        <v>0</v>
      </c>
      <c r="R329" s="85">
        <f t="shared" si="919"/>
        <v>36.46</v>
      </c>
      <c r="S329" s="85" t="str">
        <f>'Consumer Hardware Pricing'!T337</f>
        <v>-</v>
      </c>
      <c r="T329" s="129">
        <f t="shared" si="920"/>
        <v>36.46</v>
      </c>
      <c r="U329" s="129" t="str">
        <f t="shared" si="921"/>
        <v>-</v>
      </c>
      <c r="V329" s="85">
        <f t="shared" si="922"/>
        <v>875.04</v>
      </c>
      <c r="W329" s="129">
        <f>'Consumer Hardware Pricing'!V337</f>
        <v>299</v>
      </c>
      <c r="X329" s="129">
        <f t="shared" si="912"/>
        <v>12.46</v>
      </c>
      <c r="Y329" s="129">
        <f t="shared" si="923"/>
        <v>24</v>
      </c>
      <c r="Z329" s="129">
        <f t="shared" si="924"/>
        <v>299.04000000000002</v>
      </c>
      <c r="AA329" s="85">
        <f t="shared" si="925"/>
        <v>576</v>
      </c>
      <c r="AB329" s="85">
        <f>'Consumer Hardware Pricing'!X337</f>
        <v>0</v>
      </c>
      <c r="AC329" s="85">
        <f t="shared" ref="AC329:AC394" si="950">IF(AB329="-","-",ROUNDUP(D329/24,2))</f>
        <v>36.46</v>
      </c>
      <c r="AD329" s="85">
        <f>'Consumer Hardware Pricing'!Y337</f>
        <v>10</v>
      </c>
      <c r="AE329" s="85">
        <f t="shared" si="926"/>
        <v>26.46</v>
      </c>
      <c r="AF329" s="85">
        <f t="shared" si="927"/>
        <v>240</v>
      </c>
      <c r="AG329" s="85">
        <f t="shared" si="928"/>
        <v>635.04</v>
      </c>
      <c r="AH329" s="85">
        <f>'Consumer Hardware Pricing'!AA337</f>
        <v>299</v>
      </c>
      <c r="AI329" s="85">
        <f t="shared" ref="AI329:AI394" si="951">IF(AH329="-",AH329,IF(AD329="-",AC329-ROUNDUP((D329-AH329)/24,2),AD329+AC329-ROUNDUP((D329-AH329)/24,2)))</f>
        <v>22.46</v>
      </c>
      <c r="AJ329" s="85">
        <f t="shared" si="929"/>
        <v>14</v>
      </c>
      <c r="AK329" s="85">
        <f t="shared" si="930"/>
        <v>539.04</v>
      </c>
      <c r="AL329" s="85">
        <f t="shared" si="931"/>
        <v>336</v>
      </c>
      <c r="AM329" s="85">
        <f>'Consumer Hardware Pricing'!AC337</f>
        <v>0</v>
      </c>
      <c r="AN329" s="85">
        <f t="shared" ref="AN329:AN394" si="952">IF(AM329="-","-",ROUNDUP(D329/24,2))</f>
        <v>36.46</v>
      </c>
      <c r="AO329" s="85">
        <f>'Consumer Hardware Pricing'!AD337</f>
        <v>10</v>
      </c>
      <c r="AP329" s="85">
        <f t="shared" si="932"/>
        <v>26.46</v>
      </c>
      <c r="AQ329" s="85">
        <f t="shared" si="933"/>
        <v>240</v>
      </c>
      <c r="AR329" s="85">
        <f t="shared" si="934"/>
        <v>635.04</v>
      </c>
      <c r="AS329" s="85">
        <f>'Consumer Hardware Pricing'!AF337</f>
        <v>299</v>
      </c>
      <c r="AT329" s="85">
        <f t="shared" ref="AT329:AT394" si="953">IF(AS329="-",AS329,IF(AO329="-",AN329-ROUNDUP((D329-AS329)/24,2),AO329+AN329-ROUNDUP((D329-AS329)/24,2)))</f>
        <v>22.46</v>
      </c>
      <c r="AU329" s="85">
        <f t="shared" si="935"/>
        <v>14</v>
      </c>
      <c r="AV329" s="85">
        <f t="shared" si="936"/>
        <v>539.04</v>
      </c>
      <c r="AW329" s="85">
        <f t="shared" si="937"/>
        <v>336</v>
      </c>
      <c r="AX329" s="85" t="str">
        <f>'Consumer Hardware Pricing'!AH337</f>
        <v>-</v>
      </c>
      <c r="AY329" s="85" t="str">
        <f t="shared" ref="AY329:AY394" si="954">IF(AX329="-",AX329,ROUNDUP((D329-AX329)/24,2))</f>
        <v>-</v>
      </c>
      <c r="AZ329" s="85" t="str">
        <f>'Consumer Hardware Pricing'!AI337</f>
        <v>-</v>
      </c>
      <c r="BA329" s="85" t="str">
        <f t="shared" si="938"/>
        <v>-</v>
      </c>
      <c r="BB329" s="85" t="str">
        <f t="shared" si="939"/>
        <v>-</v>
      </c>
      <c r="BC329" s="85" t="str">
        <f t="shared" si="940"/>
        <v>-</v>
      </c>
      <c r="BD329" s="85" t="str">
        <f>'Consumer Hardware Pricing'!AL337</f>
        <v>-</v>
      </c>
      <c r="BE329" s="85" t="str">
        <f t="shared" ref="BE329:BE394" si="955">IF(BD329="-",BD329,ROUNDUP((D329-BD329)/24,2))</f>
        <v>-</v>
      </c>
      <c r="BF329" s="85" t="str">
        <f>'Consumer Hardware Pricing'!AM337</f>
        <v>-</v>
      </c>
      <c r="BG329" s="85" t="str">
        <f t="shared" si="941"/>
        <v>-</v>
      </c>
      <c r="BH329" s="85" t="str">
        <f t="shared" si="942"/>
        <v>-</v>
      </c>
      <c r="BI329" s="85" t="str">
        <f t="shared" si="943"/>
        <v>-</v>
      </c>
      <c r="BJ329" s="85" t="str">
        <f>'Consumer Hardware Pricing'!AP337</f>
        <v>-</v>
      </c>
      <c r="BK329" s="85" t="str">
        <f t="shared" ref="BK329:BK394" si="956">IF(BJ329="-",BJ329,ROUNDUP((D329-BJ329)/24,2))</f>
        <v>-</v>
      </c>
      <c r="BL329" s="85" t="str">
        <f>'Consumer Hardware Pricing'!AQ337</f>
        <v>-</v>
      </c>
      <c r="BM329" s="85" t="str">
        <f t="shared" si="944"/>
        <v>-</v>
      </c>
      <c r="BN329" s="85" t="str">
        <f t="shared" si="945"/>
        <v>-</v>
      </c>
      <c r="BO329" s="85" t="str">
        <f t="shared" si="946"/>
        <v>-</v>
      </c>
      <c r="BP329" s="85" t="str">
        <f>'Consumer Hardware Pricing'!AT337</f>
        <v>-</v>
      </c>
      <c r="BQ329" s="85" t="str">
        <f t="shared" ref="BQ329:BQ394" si="957">IF(BP329="-",BP329,ROUNDUP((D329-BP329)/24,2))</f>
        <v>-</v>
      </c>
      <c r="BR329" s="85" t="str">
        <f>'Consumer Hardware Pricing'!AU337</f>
        <v>-</v>
      </c>
      <c r="BS329" s="85" t="str">
        <f t="shared" si="947"/>
        <v>-</v>
      </c>
      <c r="BT329" s="85" t="str">
        <f t="shared" si="948"/>
        <v>-</v>
      </c>
      <c r="BU329" s="85" t="str">
        <f t="shared" si="949"/>
        <v>-</v>
      </c>
    </row>
    <row r="330" spans="1:73" ht="30.15" customHeight="1" x14ac:dyDescent="0.25">
      <c r="A330" s="87" t="s">
        <v>34</v>
      </c>
      <c r="B330" s="88" t="s">
        <v>1061</v>
      </c>
      <c r="C330" s="88" t="s">
        <v>1075</v>
      </c>
      <c r="D330" s="85">
        <f>'Consumer Hardware Pricing'!L338</f>
        <v>875</v>
      </c>
      <c r="E330" s="85">
        <f>'Consumer Hardware Pricing'!M338</f>
        <v>875</v>
      </c>
      <c r="F330" s="85">
        <f>'Consumer Hardware Pricing'!N338</f>
        <v>0</v>
      </c>
      <c r="G330" s="85">
        <f t="shared" si="910"/>
        <v>36.46</v>
      </c>
      <c r="H330" s="85" t="str">
        <f>'Consumer Hardware Pricing'!O338</f>
        <v>-</v>
      </c>
      <c r="I330" s="85">
        <f t="shared" si="913"/>
        <v>36.46</v>
      </c>
      <c r="J330" s="85" t="str">
        <f t="shared" si="914"/>
        <v>-</v>
      </c>
      <c r="K330" s="85">
        <f t="shared" si="915"/>
        <v>875.04</v>
      </c>
      <c r="L330" s="85">
        <f>'Consumer Hardware Pricing'!Q338</f>
        <v>299</v>
      </c>
      <c r="M330" s="85">
        <f t="shared" si="911"/>
        <v>12.46</v>
      </c>
      <c r="N330" s="85">
        <f t="shared" si="916"/>
        <v>24</v>
      </c>
      <c r="O330" s="85">
        <f t="shared" si="917"/>
        <v>299.04000000000002</v>
      </c>
      <c r="P330" s="85">
        <f t="shared" si="918"/>
        <v>576</v>
      </c>
      <c r="Q330" s="85">
        <f>'Consumer Hardware Pricing'!S338</f>
        <v>0</v>
      </c>
      <c r="R330" s="85">
        <f t="shared" si="919"/>
        <v>36.46</v>
      </c>
      <c r="S330" s="85" t="str">
        <f>'Consumer Hardware Pricing'!T338</f>
        <v>-</v>
      </c>
      <c r="T330" s="129">
        <f t="shared" si="920"/>
        <v>36.46</v>
      </c>
      <c r="U330" s="129" t="str">
        <f t="shared" si="921"/>
        <v>-</v>
      </c>
      <c r="V330" s="85">
        <f t="shared" si="922"/>
        <v>875.04</v>
      </c>
      <c r="W330" s="129">
        <f>'Consumer Hardware Pricing'!V338</f>
        <v>299</v>
      </c>
      <c r="X330" s="129">
        <f t="shared" si="912"/>
        <v>12.46</v>
      </c>
      <c r="Y330" s="129">
        <f t="shared" si="923"/>
        <v>24</v>
      </c>
      <c r="Z330" s="129">
        <f t="shared" si="924"/>
        <v>299.04000000000002</v>
      </c>
      <c r="AA330" s="85">
        <f t="shared" si="925"/>
        <v>576</v>
      </c>
      <c r="AB330" s="85">
        <f>'Consumer Hardware Pricing'!X338</f>
        <v>0</v>
      </c>
      <c r="AC330" s="85">
        <f t="shared" si="950"/>
        <v>36.46</v>
      </c>
      <c r="AD330" s="85">
        <f>'Consumer Hardware Pricing'!Y338</f>
        <v>10</v>
      </c>
      <c r="AE330" s="85">
        <f t="shared" si="926"/>
        <v>26.46</v>
      </c>
      <c r="AF330" s="85">
        <f t="shared" si="927"/>
        <v>240</v>
      </c>
      <c r="AG330" s="85">
        <f t="shared" si="928"/>
        <v>635.04</v>
      </c>
      <c r="AH330" s="85">
        <f>'Consumer Hardware Pricing'!AA338</f>
        <v>299</v>
      </c>
      <c r="AI330" s="85">
        <f t="shared" si="951"/>
        <v>22.46</v>
      </c>
      <c r="AJ330" s="85">
        <f t="shared" si="929"/>
        <v>14</v>
      </c>
      <c r="AK330" s="85">
        <f t="shared" si="930"/>
        <v>539.04</v>
      </c>
      <c r="AL330" s="85">
        <f t="shared" si="931"/>
        <v>336</v>
      </c>
      <c r="AM330" s="85">
        <f>'Consumer Hardware Pricing'!AC338</f>
        <v>0</v>
      </c>
      <c r="AN330" s="85">
        <f t="shared" si="952"/>
        <v>36.46</v>
      </c>
      <c r="AO330" s="85">
        <f>'Consumer Hardware Pricing'!AD338</f>
        <v>10</v>
      </c>
      <c r="AP330" s="85">
        <f t="shared" si="932"/>
        <v>26.46</v>
      </c>
      <c r="AQ330" s="85">
        <f t="shared" si="933"/>
        <v>240</v>
      </c>
      <c r="AR330" s="85">
        <f t="shared" si="934"/>
        <v>635.04</v>
      </c>
      <c r="AS330" s="85">
        <f>'Consumer Hardware Pricing'!AF338</f>
        <v>299</v>
      </c>
      <c r="AT330" s="85">
        <f t="shared" si="953"/>
        <v>22.46</v>
      </c>
      <c r="AU330" s="85">
        <f t="shared" si="935"/>
        <v>14</v>
      </c>
      <c r="AV330" s="85">
        <f t="shared" si="936"/>
        <v>539.04</v>
      </c>
      <c r="AW330" s="85">
        <f t="shared" si="937"/>
        <v>336</v>
      </c>
      <c r="AX330" s="85" t="str">
        <f>'Consumer Hardware Pricing'!AH338</f>
        <v>-</v>
      </c>
      <c r="AY330" s="85" t="str">
        <f t="shared" si="954"/>
        <v>-</v>
      </c>
      <c r="AZ330" s="85" t="str">
        <f>'Consumer Hardware Pricing'!AI338</f>
        <v>-</v>
      </c>
      <c r="BA330" s="85" t="str">
        <f t="shared" si="938"/>
        <v>-</v>
      </c>
      <c r="BB330" s="85" t="str">
        <f t="shared" si="939"/>
        <v>-</v>
      </c>
      <c r="BC330" s="85" t="str">
        <f t="shared" si="940"/>
        <v>-</v>
      </c>
      <c r="BD330" s="85" t="str">
        <f>'Consumer Hardware Pricing'!AL338</f>
        <v>-</v>
      </c>
      <c r="BE330" s="85" t="str">
        <f t="shared" si="955"/>
        <v>-</v>
      </c>
      <c r="BF330" s="85" t="str">
        <f>'Consumer Hardware Pricing'!AM338</f>
        <v>-</v>
      </c>
      <c r="BG330" s="85" t="str">
        <f t="shared" si="941"/>
        <v>-</v>
      </c>
      <c r="BH330" s="85" t="str">
        <f t="shared" si="942"/>
        <v>-</v>
      </c>
      <c r="BI330" s="85" t="str">
        <f t="shared" si="943"/>
        <v>-</v>
      </c>
      <c r="BJ330" s="85" t="str">
        <f>'Consumer Hardware Pricing'!AP338</f>
        <v>-</v>
      </c>
      <c r="BK330" s="85" t="str">
        <f t="shared" si="956"/>
        <v>-</v>
      </c>
      <c r="BL330" s="85" t="str">
        <f>'Consumer Hardware Pricing'!AQ338</f>
        <v>-</v>
      </c>
      <c r="BM330" s="85" t="str">
        <f t="shared" si="944"/>
        <v>-</v>
      </c>
      <c r="BN330" s="85" t="str">
        <f t="shared" si="945"/>
        <v>-</v>
      </c>
      <c r="BO330" s="85" t="str">
        <f t="shared" si="946"/>
        <v>-</v>
      </c>
      <c r="BP330" s="85" t="str">
        <f>'Consumer Hardware Pricing'!AT338</f>
        <v>-</v>
      </c>
      <c r="BQ330" s="85" t="str">
        <f t="shared" si="957"/>
        <v>-</v>
      </c>
      <c r="BR330" s="85" t="str">
        <f>'Consumer Hardware Pricing'!AU338</f>
        <v>-</v>
      </c>
      <c r="BS330" s="85" t="str">
        <f t="shared" si="947"/>
        <v>-</v>
      </c>
      <c r="BT330" s="85" t="str">
        <f t="shared" si="948"/>
        <v>-</v>
      </c>
      <c r="BU330" s="85" t="str">
        <f t="shared" si="949"/>
        <v>-</v>
      </c>
    </row>
    <row r="331" spans="1:73" ht="30.15" customHeight="1" x14ac:dyDescent="0.25">
      <c r="A331" s="87" t="s">
        <v>34</v>
      </c>
      <c r="B331" s="88" t="s">
        <v>1062</v>
      </c>
      <c r="C331" s="88" t="s">
        <v>1075</v>
      </c>
      <c r="D331" s="85">
        <f>'Consumer Hardware Pricing'!L339</f>
        <v>875</v>
      </c>
      <c r="E331" s="85">
        <f>'Consumer Hardware Pricing'!M339</f>
        <v>875</v>
      </c>
      <c r="F331" s="85">
        <f>'Consumer Hardware Pricing'!N339</f>
        <v>0</v>
      </c>
      <c r="G331" s="85">
        <f t="shared" si="910"/>
        <v>36.46</v>
      </c>
      <c r="H331" s="85" t="str">
        <f>'Consumer Hardware Pricing'!O339</f>
        <v>-</v>
      </c>
      <c r="I331" s="85">
        <f t="shared" si="913"/>
        <v>36.46</v>
      </c>
      <c r="J331" s="85" t="str">
        <f t="shared" si="914"/>
        <v>-</v>
      </c>
      <c r="K331" s="85">
        <f t="shared" si="915"/>
        <v>875.04</v>
      </c>
      <c r="L331" s="85">
        <f>'Consumer Hardware Pricing'!Q339</f>
        <v>299</v>
      </c>
      <c r="M331" s="85">
        <f t="shared" si="911"/>
        <v>12.46</v>
      </c>
      <c r="N331" s="85">
        <f t="shared" si="916"/>
        <v>24</v>
      </c>
      <c r="O331" s="85">
        <f t="shared" si="917"/>
        <v>299.04000000000002</v>
      </c>
      <c r="P331" s="85">
        <f t="shared" si="918"/>
        <v>576</v>
      </c>
      <c r="Q331" s="85">
        <f>'Consumer Hardware Pricing'!S339</f>
        <v>0</v>
      </c>
      <c r="R331" s="85">
        <f t="shared" si="919"/>
        <v>36.46</v>
      </c>
      <c r="S331" s="85" t="str">
        <f>'Consumer Hardware Pricing'!T339</f>
        <v>-</v>
      </c>
      <c r="T331" s="129">
        <f t="shared" si="920"/>
        <v>36.46</v>
      </c>
      <c r="U331" s="129" t="str">
        <f t="shared" si="921"/>
        <v>-</v>
      </c>
      <c r="V331" s="85">
        <f t="shared" si="922"/>
        <v>875.04</v>
      </c>
      <c r="W331" s="129">
        <f>'Consumer Hardware Pricing'!V339</f>
        <v>299</v>
      </c>
      <c r="X331" s="129">
        <f t="shared" si="912"/>
        <v>12.46</v>
      </c>
      <c r="Y331" s="129">
        <f t="shared" si="923"/>
        <v>24</v>
      </c>
      <c r="Z331" s="129">
        <f t="shared" si="924"/>
        <v>299.04000000000002</v>
      </c>
      <c r="AA331" s="85">
        <f t="shared" si="925"/>
        <v>576</v>
      </c>
      <c r="AB331" s="85">
        <f>'Consumer Hardware Pricing'!X339</f>
        <v>0</v>
      </c>
      <c r="AC331" s="85">
        <f t="shared" si="950"/>
        <v>36.46</v>
      </c>
      <c r="AD331" s="85">
        <f>'Consumer Hardware Pricing'!Y339</f>
        <v>10</v>
      </c>
      <c r="AE331" s="85">
        <f t="shared" si="926"/>
        <v>26.46</v>
      </c>
      <c r="AF331" s="85">
        <f t="shared" si="927"/>
        <v>240</v>
      </c>
      <c r="AG331" s="85">
        <f t="shared" si="928"/>
        <v>635.04</v>
      </c>
      <c r="AH331" s="85">
        <f>'Consumer Hardware Pricing'!AA339</f>
        <v>299</v>
      </c>
      <c r="AI331" s="85">
        <f t="shared" si="951"/>
        <v>22.46</v>
      </c>
      <c r="AJ331" s="85">
        <f t="shared" si="929"/>
        <v>14</v>
      </c>
      <c r="AK331" s="85">
        <f t="shared" si="930"/>
        <v>539.04</v>
      </c>
      <c r="AL331" s="85">
        <f t="shared" si="931"/>
        <v>336</v>
      </c>
      <c r="AM331" s="85">
        <f>'Consumer Hardware Pricing'!AC339</f>
        <v>0</v>
      </c>
      <c r="AN331" s="85">
        <f t="shared" si="952"/>
        <v>36.46</v>
      </c>
      <c r="AO331" s="85">
        <f>'Consumer Hardware Pricing'!AD339</f>
        <v>10</v>
      </c>
      <c r="AP331" s="85">
        <f t="shared" si="932"/>
        <v>26.46</v>
      </c>
      <c r="AQ331" s="85">
        <f t="shared" si="933"/>
        <v>240</v>
      </c>
      <c r="AR331" s="85">
        <f t="shared" si="934"/>
        <v>635.04</v>
      </c>
      <c r="AS331" s="85">
        <f>'Consumer Hardware Pricing'!AF339</f>
        <v>299</v>
      </c>
      <c r="AT331" s="85">
        <f t="shared" si="953"/>
        <v>22.46</v>
      </c>
      <c r="AU331" s="85">
        <f t="shared" si="935"/>
        <v>14</v>
      </c>
      <c r="AV331" s="85">
        <f t="shared" si="936"/>
        <v>539.04</v>
      </c>
      <c r="AW331" s="85">
        <f t="shared" si="937"/>
        <v>336</v>
      </c>
      <c r="AX331" s="85" t="str">
        <f>'Consumer Hardware Pricing'!AH339</f>
        <v>-</v>
      </c>
      <c r="AY331" s="85" t="str">
        <f t="shared" si="954"/>
        <v>-</v>
      </c>
      <c r="AZ331" s="85" t="str">
        <f>'Consumer Hardware Pricing'!AI339</f>
        <v>-</v>
      </c>
      <c r="BA331" s="85" t="str">
        <f t="shared" si="938"/>
        <v>-</v>
      </c>
      <c r="BB331" s="85" t="str">
        <f t="shared" si="939"/>
        <v>-</v>
      </c>
      <c r="BC331" s="85" t="str">
        <f t="shared" si="940"/>
        <v>-</v>
      </c>
      <c r="BD331" s="85" t="str">
        <f>'Consumer Hardware Pricing'!AL339</f>
        <v>-</v>
      </c>
      <c r="BE331" s="85" t="str">
        <f t="shared" si="955"/>
        <v>-</v>
      </c>
      <c r="BF331" s="85" t="str">
        <f>'Consumer Hardware Pricing'!AM339</f>
        <v>-</v>
      </c>
      <c r="BG331" s="85" t="str">
        <f t="shared" si="941"/>
        <v>-</v>
      </c>
      <c r="BH331" s="85" t="str">
        <f t="shared" si="942"/>
        <v>-</v>
      </c>
      <c r="BI331" s="85" t="str">
        <f t="shared" si="943"/>
        <v>-</v>
      </c>
      <c r="BJ331" s="85" t="str">
        <f>'Consumer Hardware Pricing'!AP339</f>
        <v>-</v>
      </c>
      <c r="BK331" s="85" t="str">
        <f t="shared" si="956"/>
        <v>-</v>
      </c>
      <c r="BL331" s="85" t="str">
        <f>'Consumer Hardware Pricing'!AQ339</f>
        <v>-</v>
      </c>
      <c r="BM331" s="85" t="str">
        <f t="shared" si="944"/>
        <v>-</v>
      </c>
      <c r="BN331" s="85" t="str">
        <f t="shared" si="945"/>
        <v>-</v>
      </c>
      <c r="BO331" s="85" t="str">
        <f t="shared" si="946"/>
        <v>-</v>
      </c>
      <c r="BP331" s="85" t="str">
        <f>'Consumer Hardware Pricing'!AT339</f>
        <v>-</v>
      </c>
      <c r="BQ331" s="85" t="str">
        <f t="shared" si="957"/>
        <v>-</v>
      </c>
      <c r="BR331" s="85" t="str">
        <f>'Consumer Hardware Pricing'!AU339</f>
        <v>-</v>
      </c>
      <c r="BS331" s="85" t="str">
        <f t="shared" si="947"/>
        <v>-</v>
      </c>
      <c r="BT331" s="85" t="str">
        <f t="shared" si="948"/>
        <v>-</v>
      </c>
      <c r="BU331" s="85" t="str">
        <f t="shared" si="949"/>
        <v>-</v>
      </c>
    </row>
    <row r="332" spans="1:73" ht="30.15" customHeight="1" x14ac:dyDescent="0.25">
      <c r="A332" s="87" t="s">
        <v>34</v>
      </c>
      <c r="B332" s="88" t="s">
        <v>1063</v>
      </c>
      <c r="C332" s="88" t="s">
        <v>1076</v>
      </c>
      <c r="D332" s="85">
        <f>'Consumer Hardware Pricing'!L340</f>
        <v>945</v>
      </c>
      <c r="E332" s="85">
        <f>'Consumer Hardware Pricing'!M340</f>
        <v>945</v>
      </c>
      <c r="F332" s="85">
        <f>'Consumer Hardware Pricing'!N340</f>
        <v>0</v>
      </c>
      <c r="G332" s="85">
        <f t="shared" si="910"/>
        <v>39.379999999999995</v>
      </c>
      <c r="H332" s="85" t="str">
        <f>'Consumer Hardware Pricing'!O340</f>
        <v>-</v>
      </c>
      <c r="I332" s="85">
        <f t="shared" si="913"/>
        <v>39.379999999999995</v>
      </c>
      <c r="J332" s="85" t="str">
        <f t="shared" si="914"/>
        <v>-</v>
      </c>
      <c r="K332" s="85">
        <f t="shared" si="915"/>
        <v>945.11999999999989</v>
      </c>
      <c r="L332" s="85">
        <f>'Consumer Hardware Pricing'!Q340</f>
        <v>309</v>
      </c>
      <c r="M332" s="85">
        <f t="shared" si="911"/>
        <v>12.879999999999995</v>
      </c>
      <c r="N332" s="85">
        <f t="shared" si="916"/>
        <v>26.5</v>
      </c>
      <c r="O332" s="85">
        <f t="shared" si="917"/>
        <v>309.11999999999989</v>
      </c>
      <c r="P332" s="85">
        <f t="shared" si="918"/>
        <v>636</v>
      </c>
      <c r="Q332" s="85">
        <f>'Consumer Hardware Pricing'!S340</f>
        <v>0</v>
      </c>
      <c r="R332" s="85">
        <f t="shared" si="919"/>
        <v>39.379999999999995</v>
      </c>
      <c r="S332" s="85" t="str">
        <f>'Consumer Hardware Pricing'!T340</f>
        <v>-</v>
      </c>
      <c r="T332" s="129">
        <f t="shared" si="920"/>
        <v>39.379999999999995</v>
      </c>
      <c r="U332" s="129" t="str">
        <f t="shared" si="921"/>
        <v>-</v>
      </c>
      <c r="V332" s="85">
        <f t="shared" si="922"/>
        <v>945.11999999999989</v>
      </c>
      <c r="W332" s="129">
        <f>'Consumer Hardware Pricing'!V340</f>
        <v>309</v>
      </c>
      <c r="X332" s="129">
        <f t="shared" si="912"/>
        <v>12.879999999999995</v>
      </c>
      <c r="Y332" s="129">
        <f t="shared" si="923"/>
        <v>26.5</v>
      </c>
      <c r="Z332" s="129">
        <f t="shared" si="924"/>
        <v>309.11999999999989</v>
      </c>
      <c r="AA332" s="85">
        <f t="shared" si="925"/>
        <v>636</v>
      </c>
      <c r="AB332" s="85">
        <f>'Consumer Hardware Pricing'!X340</f>
        <v>0</v>
      </c>
      <c r="AC332" s="85">
        <f t="shared" si="950"/>
        <v>39.379999999999995</v>
      </c>
      <c r="AD332" s="85">
        <f>'Consumer Hardware Pricing'!Y340</f>
        <v>10</v>
      </c>
      <c r="AE332" s="85">
        <f t="shared" si="926"/>
        <v>29.379999999999995</v>
      </c>
      <c r="AF332" s="85">
        <f t="shared" si="927"/>
        <v>240</v>
      </c>
      <c r="AG332" s="85">
        <f t="shared" si="928"/>
        <v>705.11999999999989</v>
      </c>
      <c r="AH332" s="85">
        <f>'Consumer Hardware Pricing'!AA340</f>
        <v>309</v>
      </c>
      <c r="AI332" s="85">
        <f t="shared" si="951"/>
        <v>22.879999999999995</v>
      </c>
      <c r="AJ332" s="85">
        <f t="shared" si="929"/>
        <v>16.5</v>
      </c>
      <c r="AK332" s="85">
        <f t="shared" si="930"/>
        <v>549.11999999999989</v>
      </c>
      <c r="AL332" s="85">
        <f t="shared" si="931"/>
        <v>396</v>
      </c>
      <c r="AM332" s="85">
        <f>'Consumer Hardware Pricing'!AC340</f>
        <v>0</v>
      </c>
      <c r="AN332" s="85">
        <f t="shared" si="952"/>
        <v>39.379999999999995</v>
      </c>
      <c r="AO332" s="85">
        <f>'Consumer Hardware Pricing'!AD340</f>
        <v>10</v>
      </c>
      <c r="AP332" s="85">
        <f t="shared" si="932"/>
        <v>29.379999999999995</v>
      </c>
      <c r="AQ332" s="85">
        <f t="shared" si="933"/>
        <v>240</v>
      </c>
      <c r="AR332" s="85">
        <f t="shared" si="934"/>
        <v>705.11999999999989</v>
      </c>
      <c r="AS332" s="85">
        <f>'Consumer Hardware Pricing'!AF340</f>
        <v>309</v>
      </c>
      <c r="AT332" s="85">
        <f t="shared" si="953"/>
        <v>22.879999999999995</v>
      </c>
      <c r="AU332" s="85">
        <f t="shared" si="935"/>
        <v>16.5</v>
      </c>
      <c r="AV332" s="85">
        <f t="shared" si="936"/>
        <v>549.11999999999989</v>
      </c>
      <c r="AW332" s="85">
        <f t="shared" si="937"/>
        <v>396</v>
      </c>
      <c r="AX332" s="85" t="str">
        <f>'Consumer Hardware Pricing'!AH340</f>
        <v>-</v>
      </c>
      <c r="AY332" s="85" t="str">
        <f t="shared" si="954"/>
        <v>-</v>
      </c>
      <c r="AZ332" s="85" t="str">
        <f>'Consumer Hardware Pricing'!AI340</f>
        <v>-</v>
      </c>
      <c r="BA332" s="85" t="str">
        <f t="shared" si="938"/>
        <v>-</v>
      </c>
      <c r="BB332" s="85" t="str">
        <f t="shared" si="939"/>
        <v>-</v>
      </c>
      <c r="BC332" s="85" t="str">
        <f t="shared" si="940"/>
        <v>-</v>
      </c>
      <c r="BD332" s="85" t="str">
        <f>'Consumer Hardware Pricing'!AL340</f>
        <v>-</v>
      </c>
      <c r="BE332" s="85" t="str">
        <f t="shared" si="955"/>
        <v>-</v>
      </c>
      <c r="BF332" s="85" t="str">
        <f>'Consumer Hardware Pricing'!AM340</f>
        <v>-</v>
      </c>
      <c r="BG332" s="85" t="str">
        <f t="shared" si="941"/>
        <v>-</v>
      </c>
      <c r="BH332" s="85" t="str">
        <f t="shared" si="942"/>
        <v>-</v>
      </c>
      <c r="BI332" s="85" t="str">
        <f t="shared" si="943"/>
        <v>-</v>
      </c>
      <c r="BJ332" s="85" t="str">
        <f>'Consumer Hardware Pricing'!AP340</f>
        <v>-</v>
      </c>
      <c r="BK332" s="85" t="str">
        <f t="shared" si="956"/>
        <v>-</v>
      </c>
      <c r="BL332" s="85" t="str">
        <f>'Consumer Hardware Pricing'!AQ340</f>
        <v>-</v>
      </c>
      <c r="BM332" s="85" t="str">
        <f t="shared" si="944"/>
        <v>-</v>
      </c>
      <c r="BN332" s="85" t="str">
        <f t="shared" si="945"/>
        <v>-</v>
      </c>
      <c r="BO332" s="85" t="str">
        <f t="shared" si="946"/>
        <v>-</v>
      </c>
      <c r="BP332" s="85" t="str">
        <f>'Consumer Hardware Pricing'!AT340</f>
        <v>-</v>
      </c>
      <c r="BQ332" s="85" t="str">
        <f t="shared" si="957"/>
        <v>-</v>
      </c>
      <c r="BR332" s="85" t="str">
        <f>'Consumer Hardware Pricing'!AU340</f>
        <v>-</v>
      </c>
      <c r="BS332" s="85" t="str">
        <f t="shared" si="947"/>
        <v>-</v>
      </c>
      <c r="BT332" s="85" t="str">
        <f t="shared" si="948"/>
        <v>-</v>
      </c>
      <c r="BU332" s="85" t="str">
        <f t="shared" si="949"/>
        <v>-</v>
      </c>
    </row>
    <row r="333" spans="1:73" ht="30.15" customHeight="1" x14ac:dyDescent="0.25">
      <c r="A333" s="87" t="s">
        <v>34</v>
      </c>
      <c r="B333" s="88" t="s">
        <v>1064</v>
      </c>
      <c r="C333" s="88" t="s">
        <v>1076</v>
      </c>
      <c r="D333" s="85">
        <f>'Consumer Hardware Pricing'!L341</f>
        <v>945</v>
      </c>
      <c r="E333" s="85">
        <f>'Consumer Hardware Pricing'!M341</f>
        <v>945</v>
      </c>
      <c r="F333" s="85">
        <f>'Consumer Hardware Pricing'!N341</f>
        <v>0</v>
      </c>
      <c r="G333" s="85">
        <f t="shared" si="910"/>
        <v>39.379999999999995</v>
      </c>
      <c r="H333" s="85" t="str">
        <f>'Consumer Hardware Pricing'!O341</f>
        <v>-</v>
      </c>
      <c r="I333" s="85">
        <f t="shared" si="913"/>
        <v>39.379999999999995</v>
      </c>
      <c r="J333" s="85" t="str">
        <f t="shared" si="914"/>
        <v>-</v>
      </c>
      <c r="K333" s="85">
        <f t="shared" si="915"/>
        <v>945.11999999999989</v>
      </c>
      <c r="L333" s="85">
        <f>'Consumer Hardware Pricing'!Q341</f>
        <v>309</v>
      </c>
      <c r="M333" s="85">
        <f t="shared" si="911"/>
        <v>12.879999999999995</v>
      </c>
      <c r="N333" s="85">
        <f t="shared" si="916"/>
        <v>26.5</v>
      </c>
      <c r="O333" s="85">
        <f t="shared" si="917"/>
        <v>309.11999999999989</v>
      </c>
      <c r="P333" s="85">
        <f t="shared" si="918"/>
        <v>636</v>
      </c>
      <c r="Q333" s="85">
        <f>'Consumer Hardware Pricing'!S341</f>
        <v>0</v>
      </c>
      <c r="R333" s="85">
        <f t="shared" si="919"/>
        <v>39.379999999999995</v>
      </c>
      <c r="S333" s="85" t="str">
        <f>'Consumer Hardware Pricing'!T341</f>
        <v>-</v>
      </c>
      <c r="T333" s="129">
        <f t="shared" si="920"/>
        <v>39.379999999999995</v>
      </c>
      <c r="U333" s="129" t="str">
        <f t="shared" si="921"/>
        <v>-</v>
      </c>
      <c r="V333" s="85">
        <f t="shared" si="922"/>
        <v>945.11999999999989</v>
      </c>
      <c r="W333" s="129">
        <f>'Consumer Hardware Pricing'!V341</f>
        <v>309</v>
      </c>
      <c r="X333" s="129">
        <f t="shared" si="912"/>
        <v>12.879999999999995</v>
      </c>
      <c r="Y333" s="129">
        <f t="shared" si="923"/>
        <v>26.5</v>
      </c>
      <c r="Z333" s="129">
        <f t="shared" si="924"/>
        <v>309.11999999999989</v>
      </c>
      <c r="AA333" s="85">
        <f t="shared" si="925"/>
        <v>636</v>
      </c>
      <c r="AB333" s="85">
        <f>'Consumer Hardware Pricing'!X341</f>
        <v>0</v>
      </c>
      <c r="AC333" s="85">
        <f t="shared" si="950"/>
        <v>39.379999999999995</v>
      </c>
      <c r="AD333" s="85">
        <f>'Consumer Hardware Pricing'!Y341</f>
        <v>10</v>
      </c>
      <c r="AE333" s="85">
        <f t="shared" si="926"/>
        <v>29.379999999999995</v>
      </c>
      <c r="AF333" s="85">
        <f t="shared" si="927"/>
        <v>240</v>
      </c>
      <c r="AG333" s="85">
        <f t="shared" si="928"/>
        <v>705.11999999999989</v>
      </c>
      <c r="AH333" s="85">
        <f>'Consumer Hardware Pricing'!AA341</f>
        <v>309</v>
      </c>
      <c r="AI333" s="85">
        <f t="shared" si="951"/>
        <v>22.879999999999995</v>
      </c>
      <c r="AJ333" s="85">
        <f t="shared" si="929"/>
        <v>16.5</v>
      </c>
      <c r="AK333" s="85">
        <f t="shared" si="930"/>
        <v>549.11999999999989</v>
      </c>
      <c r="AL333" s="85">
        <f t="shared" si="931"/>
        <v>396</v>
      </c>
      <c r="AM333" s="85">
        <f>'Consumer Hardware Pricing'!AC341</f>
        <v>0</v>
      </c>
      <c r="AN333" s="85">
        <f t="shared" si="952"/>
        <v>39.379999999999995</v>
      </c>
      <c r="AO333" s="85">
        <f>'Consumer Hardware Pricing'!AD341</f>
        <v>10</v>
      </c>
      <c r="AP333" s="85">
        <f t="shared" si="932"/>
        <v>29.379999999999995</v>
      </c>
      <c r="AQ333" s="85">
        <f t="shared" si="933"/>
        <v>240</v>
      </c>
      <c r="AR333" s="85">
        <f t="shared" si="934"/>
        <v>705.11999999999989</v>
      </c>
      <c r="AS333" s="85">
        <f>'Consumer Hardware Pricing'!AF341</f>
        <v>309</v>
      </c>
      <c r="AT333" s="85">
        <f t="shared" si="953"/>
        <v>22.879999999999995</v>
      </c>
      <c r="AU333" s="85">
        <f t="shared" si="935"/>
        <v>16.5</v>
      </c>
      <c r="AV333" s="85">
        <f t="shared" si="936"/>
        <v>549.11999999999989</v>
      </c>
      <c r="AW333" s="85">
        <f t="shared" si="937"/>
        <v>396</v>
      </c>
      <c r="AX333" s="85" t="str">
        <f>'Consumer Hardware Pricing'!AH341</f>
        <v>-</v>
      </c>
      <c r="AY333" s="85" t="str">
        <f t="shared" si="954"/>
        <v>-</v>
      </c>
      <c r="AZ333" s="85" t="str">
        <f>'Consumer Hardware Pricing'!AI341</f>
        <v>-</v>
      </c>
      <c r="BA333" s="85" t="str">
        <f t="shared" si="938"/>
        <v>-</v>
      </c>
      <c r="BB333" s="85" t="str">
        <f t="shared" si="939"/>
        <v>-</v>
      </c>
      <c r="BC333" s="85" t="str">
        <f t="shared" si="940"/>
        <v>-</v>
      </c>
      <c r="BD333" s="85" t="str">
        <f>'Consumer Hardware Pricing'!AL341</f>
        <v>-</v>
      </c>
      <c r="BE333" s="85" t="str">
        <f t="shared" si="955"/>
        <v>-</v>
      </c>
      <c r="BF333" s="85" t="str">
        <f>'Consumer Hardware Pricing'!AM341</f>
        <v>-</v>
      </c>
      <c r="BG333" s="85" t="str">
        <f t="shared" si="941"/>
        <v>-</v>
      </c>
      <c r="BH333" s="85" t="str">
        <f t="shared" si="942"/>
        <v>-</v>
      </c>
      <c r="BI333" s="85" t="str">
        <f t="shared" si="943"/>
        <v>-</v>
      </c>
      <c r="BJ333" s="85" t="str">
        <f>'Consumer Hardware Pricing'!AP341</f>
        <v>-</v>
      </c>
      <c r="BK333" s="85" t="str">
        <f t="shared" si="956"/>
        <v>-</v>
      </c>
      <c r="BL333" s="85" t="str">
        <f>'Consumer Hardware Pricing'!AQ341</f>
        <v>-</v>
      </c>
      <c r="BM333" s="85" t="str">
        <f t="shared" si="944"/>
        <v>-</v>
      </c>
      <c r="BN333" s="85" t="str">
        <f t="shared" si="945"/>
        <v>-</v>
      </c>
      <c r="BO333" s="85" t="str">
        <f t="shared" si="946"/>
        <v>-</v>
      </c>
      <c r="BP333" s="85" t="str">
        <f>'Consumer Hardware Pricing'!AT341</f>
        <v>-</v>
      </c>
      <c r="BQ333" s="85" t="str">
        <f t="shared" si="957"/>
        <v>-</v>
      </c>
      <c r="BR333" s="85" t="str">
        <f>'Consumer Hardware Pricing'!AU341</f>
        <v>-</v>
      </c>
      <c r="BS333" s="85" t="str">
        <f t="shared" si="947"/>
        <v>-</v>
      </c>
      <c r="BT333" s="85" t="str">
        <f t="shared" si="948"/>
        <v>-</v>
      </c>
      <c r="BU333" s="85" t="str">
        <f t="shared" si="949"/>
        <v>-</v>
      </c>
    </row>
    <row r="334" spans="1:73" ht="30.15" customHeight="1" x14ac:dyDescent="0.25">
      <c r="A334" s="87" t="s">
        <v>34</v>
      </c>
      <c r="B334" s="88" t="s">
        <v>1065</v>
      </c>
      <c r="C334" s="88" t="s">
        <v>1076</v>
      </c>
      <c r="D334" s="85">
        <f>'Consumer Hardware Pricing'!L342</f>
        <v>945</v>
      </c>
      <c r="E334" s="85">
        <f>'Consumer Hardware Pricing'!M342</f>
        <v>945</v>
      </c>
      <c r="F334" s="85">
        <f>'Consumer Hardware Pricing'!N342</f>
        <v>0</v>
      </c>
      <c r="G334" s="85">
        <f t="shared" si="910"/>
        <v>39.379999999999995</v>
      </c>
      <c r="H334" s="85" t="str">
        <f>'Consumer Hardware Pricing'!O342</f>
        <v>-</v>
      </c>
      <c r="I334" s="85">
        <f t="shared" si="913"/>
        <v>39.379999999999995</v>
      </c>
      <c r="J334" s="85" t="str">
        <f t="shared" si="914"/>
        <v>-</v>
      </c>
      <c r="K334" s="85">
        <f t="shared" si="915"/>
        <v>945.11999999999989</v>
      </c>
      <c r="L334" s="85">
        <f>'Consumer Hardware Pricing'!Q342</f>
        <v>309</v>
      </c>
      <c r="M334" s="85">
        <f t="shared" si="911"/>
        <v>12.879999999999995</v>
      </c>
      <c r="N334" s="85">
        <f t="shared" si="916"/>
        <v>26.5</v>
      </c>
      <c r="O334" s="85">
        <f t="shared" si="917"/>
        <v>309.11999999999989</v>
      </c>
      <c r="P334" s="85">
        <f t="shared" si="918"/>
        <v>636</v>
      </c>
      <c r="Q334" s="85">
        <f>'Consumer Hardware Pricing'!S342</f>
        <v>0</v>
      </c>
      <c r="R334" s="85">
        <f t="shared" si="919"/>
        <v>39.379999999999995</v>
      </c>
      <c r="S334" s="85" t="str">
        <f>'Consumer Hardware Pricing'!T342</f>
        <v>-</v>
      </c>
      <c r="T334" s="129">
        <f t="shared" si="920"/>
        <v>39.379999999999995</v>
      </c>
      <c r="U334" s="129" t="str">
        <f t="shared" si="921"/>
        <v>-</v>
      </c>
      <c r="V334" s="85">
        <f t="shared" si="922"/>
        <v>945.11999999999989</v>
      </c>
      <c r="W334" s="129">
        <f>'Consumer Hardware Pricing'!V342</f>
        <v>309</v>
      </c>
      <c r="X334" s="129">
        <f t="shared" si="912"/>
        <v>12.879999999999995</v>
      </c>
      <c r="Y334" s="129">
        <f t="shared" si="923"/>
        <v>26.5</v>
      </c>
      <c r="Z334" s="129">
        <f t="shared" si="924"/>
        <v>309.11999999999989</v>
      </c>
      <c r="AA334" s="85">
        <f t="shared" si="925"/>
        <v>636</v>
      </c>
      <c r="AB334" s="85">
        <f>'Consumer Hardware Pricing'!X342</f>
        <v>0</v>
      </c>
      <c r="AC334" s="85">
        <f t="shared" si="950"/>
        <v>39.379999999999995</v>
      </c>
      <c r="AD334" s="85">
        <f>'Consumer Hardware Pricing'!Y342</f>
        <v>10</v>
      </c>
      <c r="AE334" s="85">
        <f t="shared" si="926"/>
        <v>29.379999999999995</v>
      </c>
      <c r="AF334" s="85">
        <f t="shared" si="927"/>
        <v>240</v>
      </c>
      <c r="AG334" s="85">
        <f t="shared" si="928"/>
        <v>705.11999999999989</v>
      </c>
      <c r="AH334" s="85">
        <f>'Consumer Hardware Pricing'!AA342</f>
        <v>309</v>
      </c>
      <c r="AI334" s="85">
        <f t="shared" si="951"/>
        <v>22.879999999999995</v>
      </c>
      <c r="AJ334" s="85">
        <f t="shared" si="929"/>
        <v>16.5</v>
      </c>
      <c r="AK334" s="85">
        <f t="shared" si="930"/>
        <v>549.11999999999989</v>
      </c>
      <c r="AL334" s="85">
        <f t="shared" si="931"/>
        <v>396</v>
      </c>
      <c r="AM334" s="85">
        <f>'Consumer Hardware Pricing'!AC342</f>
        <v>0</v>
      </c>
      <c r="AN334" s="85">
        <f t="shared" si="952"/>
        <v>39.379999999999995</v>
      </c>
      <c r="AO334" s="85">
        <f>'Consumer Hardware Pricing'!AD342</f>
        <v>10</v>
      </c>
      <c r="AP334" s="85">
        <f t="shared" si="932"/>
        <v>29.379999999999995</v>
      </c>
      <c r="AQ334" s="85">
        <f t="shared" si="933"/>
        <v>240</v>
      </c>
      <c r="AR334" s="85">
        <f t="shared" si="934"/>
        <v>705.11999999999989</v>
      </c>
      <c r="AS334" s="85">
        <f>'Consumer Hardware Pricing'!AF342</f>
        <v>309</v>
      </c>
      <c r="AT334" s="85">
        <f t="shared" si="953"/>
        <v>22.879999999999995</v>
      </c>
      <c r="AU334" s="85">
        <f t="shared" si="935"/>
        <v>16.5</v>
      </c>
      <c r="AV334" s="85">
        <f t="shared" si="936"/>
        <v>549.11999999999989</v>
      </c>
      <c r="AW334" s="85">
        <f t="shared" si="937"/>
        <v>396</v>
      </c>
      <c r="AX334" s="85" t="str">
        <f>'Consumer Hardware Pricing'!AH342</f>
        <v>-</v>
      </c>
      <c r="AY334" s="85" t="str">
        <f t="shared" si="954"/>
        <v>-</v>
      </c>
      <c r="AZ334" s="85" t="str">
        <f>'Consumer Hardware Pricing'!AI342</f>
        <v>-</v>
      </c>
      <c r="BA334" s="85" t="str">
        <f t="shared" si="938"/>
        <v>-</v>
      </c>
      <c r="BB334" s="85" t="str">
        <f t="shared" si="939"/>
        <v>-</v>
      </c>
      <c r="BC334" s="85" t="str">
        <f t="shared" si="940"/>
        <v>-</v>
      </c>
      <c r="BD334" s="85" t="str">
        <f>'Consumer Hardware Pricing'!AL342</f>
        <v>-</v>
      </c>
      <c r="BE334" s="85" t="str">
        <f t="shared" si="955"/>
        <v>-</v>
      </c>
      <c r="BF334" s="85" t="str">
        <f>'Consumer Hardware Pricing'!AM342</f>
        <v>-</v>
      </c>
      <c r="BG334" s="85" t="str">
        <f t="shared" si="941"/>
        <v>-</v>
      </c>
      <c r="BH334" s="85" t="str">
        <f t="shared" si="942"/>
        <v>-</v>
      </c>
      <c r="BI334" s="85" t="str">
        <f t="shared" si="943"/>
        <v>-</v>
      </c>
      <c r="BJ334" s="85" t="str">
        <f>'Consumer Hardware Pricing'!AP342</f>
        <v>-</v>
      </c>
      <c r="BK334" s="85" t="str">
        <f t="shared" si="956"/>
        <v>-</v>
      </c>
      <c r="BL334" s="85" t="str">
        <f>'Consumer Hardware Pricing'!AQ342</f>
        <v>-</v>
      </c>
      <c r="BM334" s="85" t="str">
        <f t="shared" si="944"/>
        <v>-</v>
      </c>
      <c r="BN334" s="85" t="str">
        <f t="shared" si="945"/>
        <v>-</v>
      </c>
      <c r="BO334" s="85" t="str">
        <f t="shared" si="946"/>
        <v>-</v>
      </c>
      <c r="BP334" s="85" t="str">
        <f>'Consumer Hardware Pricing'!AT342</f>
        <v>-</v>
      </c>
      <c r="BQ334" s="85" t="str">
        <f t="shared" si="957"/>
        <v>-</v>
      </c>
      <c r="BR334" s="85" t="str">
        <f>'Consumer Hardware Pricing'!AU342</f>
        <v>-</v>
      </c>
      <c r="BS334" s="85" t="str">
        <f t="shared" si="947"/>
        <v>-</v>
      </c>
      <c r="BT334" s="85" t="str">
        <f t="shared" si="948"/>
        <v>-</v>
      </c>
      <c r="BU334" s="85" t="str">
        <f t="shared" si="949"/>
        <v>-</v>
      </c>
    </row>
    <row r="335" spans="1:73" ht="30.15" customHeight="1" x14ac:dyDescent="0.25">
      <c r="A335" s="87" t="s">
        <v>34</v>
      </c>
      <c r="B335" s="88" t="s">
        <v>1066</v>
      </c>
      <c r="C335" s="88" t="s">
        <v>1076</v>
      </c>
      <c r="D335" s="85">
        <f>'Consumer Hardware Pricing'!L343</f>
        <v>945</v>
      </c>
      <c r="E335" s="85">
        <f>'Consumer Hardware Pricing'!M343</f>
        <v>945</v>
      </c>
      <c r="F335" s="85">
        <f>'Consumer Hardware Pricing'!N343</f>
        <v>0</v>
      </c>
      <c r="G335" s="85">
        <f t="shared" si="910"/>
        <v>39.379999999999995</v>
      </c>
      <c r="H335" s="85" t="str">
        <f>'Consumer Hardware Pricing'!O343</f>
        <v>-</v>
      </c>
      <c r="I335" s="85">
        <f t="shared" si="913"/>
        <v>39.379999999999995</v>
      </c>
      <c r="J335" s="85" t="str">
        <f t="shared" si="914"/>
        <v>-</v>
      </c>
      <c r="K335" s="85">
        <f t="shared" si="915"/>
        <v>945.11999999999989</v>
      </c>
      <c r="L335" s="85">
        <f>'Consumer Hardware Pricing'!Q343</f>
        <v>309</v>
      </c>
      <c r="M335" s="85">
        <f t="shared" si="911"/>
        <v>12.879999999999995</v>
      </c>
      <c r="N335" s="85">
        <f t="shared" si="916"/>
        <v>26.5</v>
      </c>
      <c r="O335" s="85">
        <f t="shared" si="917"/>
        <v>309.11999999999989</v>
      </c>
      <c r="P335" s="85">
        <f t="shared" si="918"/>
        <v>636</v>
      </c>
      <c r="Q335" s="85">
        <f>'Consumer Hardware Pricing'!S343</f>
        <v>0</v>
      </c>
      <c r="R335" s="85">
        <f t="shared" si="919"/>
        <v>39.379999999999995</v>
      </c>
      <c r="S335" s="85" t="str">
        <f>'Consumer Hardware Pricing'!T343</f>
        <v>-</v>
      </c>
      <c r="T335" s="129">
        <f t="shared" si="920"/>
        <v>39.379999999999995</v>
      </c>
      <c r="U335" s="129" t="str">
        <f t="shared" si="921"/>
        <v>-</v>
      </c>
      <c r="V335" s="85">
        <f t="shared" si="922"/>
        <v>945.11999999999989</v>
      </c>
      <c r="W335" s="129">
        <f>'Consumer Hardware Pricing'!V343</f>
        <v>309</v>
      </c>
      <c r="X335" s="129">
        <f t="shared" si="912"/>
        <v>12.879999999999995</v>
      </c>
      <c r="Y335" s="129">
        <f t="shared" si="923"/>
        <v>26.5</v>
      </c>
      <c r="Z335" s="129">
        <f t="shared" si="924"/>
        <v>309.11999999999989</v>
      </c>
      <c r="AA335" s="85">
        <f t="shared" si="925"/>
        <v>636</v>
      </c>
      <c r="AB335" s="85">
        <f>'Consumer Hardware Pricing'!X343</f>
        <v>0</v>
      </c>
      <c r="AC335" s="85">
        <f t="shared" si="950"/>
        <v>39.379999999999995</v>
      </c>
      <c r="AD335" s="85">
        <f>'Consumer Hardware Pricing'!Y343</f>
        <v>10</v>
      </c>
      <c r="AE335" s="85">
        <f t="shared" si="926"/>
        <v>29.379999999999995</v>
      </c>
      <c r="AF335" s="85">
        <f t="shared" si="927"/>
        <v>240</v>
      </c>
      <c r="AG335" s="85">
        <f t="shared" si="928"/>
        <v>705.11999999999989</v>
      </c>
      <c r="AH335" s="85">
        <f>'Consumer Hardware Pricing'!AA343</f>
        <v>309</v>
      </c>
      <c r="AI335" s="85">
        <f t="shared" si="951"/>
        <v>22.879999999999995</v>
      </c>
      <c r="AJ335" s="85">
        <f t="shared" si="929"/>
        <v>16.5</v>
      </c>
      <c r="AK335" s="85">
        <f t="shared" si="930"/>
        <v>549.11999999999989</v>
      </c>
      <c r="AL335" s="85">
        <f t="shared" si="931"/>
        <v>396</v>
      </c>
      <c r="AM335" s="85">
        <f>'Consumer Hardware Pricing'!AC343</f>
        <v>0</v>
      </c>
      <c r="AN335" s="85">
        <f t="shared" si="952"/>
        <v>39.379999999999995</v>
      </c>
      <c r="AO335" s="85">
        <f>'Consumer Hardware Pricing'!AD343</f>
        <v>10</v>
      </c>
      <c r="AP335" s="85">
        <f t="shared" si="932"/>
        <v>29.379999999999995</v>
      </c>
      <c r="AQ335" s="85">
        <f t="shared" si="933"/>
        <v>240</v>
      </c>
      <c r="AR335" s="85">
        <f t="shared" si="934"/>
        <v>705.11999999999989</v>
      </c>
      <c r="AS335" s="85">
        <f>'Consumer Hardware Pricing'!AF343</f>
        <v>309</v>
      </c>
      <c r="AT335" s="85">
        <f t="shared" si="953"/>
        <v>22.879999999999995</v>
      </c>
      <c r="AU335" s="85">
        <f t="shared" si="935"/>
        <v>16.5</v>
      </c>
      <c r="AV335" s="85">
        <f t="shared" si="936"/>
        <v>549.11999999999989</v>
      </c>
      <c r="AW335" s="85">
        <f t="shared" si="937"/>
        <v>396</v>
      </c>
      <c r="AX335" s="85" t="str">
        <f>'Consumer Hardware Pricing'!AH343</f>
        <v>-</v>
      </c>
      <c r="AY335" s="85" t="str">
        <f t="shared" si="954"/>
        <v>-</v>
      </c>
      <c r="AZ335" s="85" t="str">
        <f>'Consumer Hardware Pricing'!AI343</f>
        <v>-</v>
      </c>
      <c r="BA335" s="85" t="str">
        <f t="shared" si="938"/>
        <v>-</v>
      </c>
      <c r="BB335" s="85" t="str">
        <f t="shared" si="939"/>
        <v>-</v>
      </c>
      <c r="BC335" s="85" t="str">
        <f t="shared" si="940"/>
        <v>-</v>
      </c>
      <c r="BD335" s="85" t="str">
        <f>'Consumer Hardware Pricing'!AL343</f>
        <v>-</v>
      </c>
      <c r="BE335" s="85" t="str">
        <f t="shared" si="955"/>
        <v>-</v>
      </c>
      <c r="BF335" s="85" t="str">
        <f>'Consumer Hardware Pricing'!AM343</f>
        <v>-</v>
      </c>
      <c r="BG335" s="85" t="str">
        <f t="shared" si="941"/>
        <v>-</v>
      </c>
      <c r="BH335" s="85" t="str">
        <f t="shared" si="942"/>
        <v>-</v>
      </c>
      <c r="BI335" s="85" t="str">
        <f t="shared" si="943"/>
        <v>-</v>
      </c>
      <c r="BJ335" s="85" t="str">
        <f>'Consumer Hardware Pricing'!AP343</f>
        <v>-</v>
      </c>
      <c r="BK335" s="85" t="str">
        <f t="shared" si="956"/>
        <v>-</v>
      </c>
      <c r="BL335" s="85" t="str">
        <f>'Consumer Hardware Pricing'!AQ343</f>
        <v>-</v>
      </c>
      <c r="BM335" s="85" t="str">
        <f t="shared" si="944"/>
        <v>-</v>
      </c>
      <c r="BN335" s="85" t="str">
        <f t="shared" si="945"/>
        <v>-</v>
      </c>
      <c r="BO335" s="85" t="str">
        <f t="shared" si="946"/>
        <v>-</v>
      </c>
      <c r="BP335" s="85" t="str">
        <f>'Consumer Hardware Pricing'!AT343</f>
        <v>-</v>
      </c>
      <c r="BQ335" s="85" t="str">
        <f t="shared" si="957"/>
        <v>-</v>
      </c>
      <c r="BR335" s="85" t="str">
        <f>'Consumer Hardware Pricing'!AU343</f>
        <v>-</v>
      </c>
      <c r="BS335" s="85" t="str">
        <f t="shared" si="947"/>
        <v>-</v>
      </c>
      <c r="BT335" s="85" t="str">
        <f t="shared" si="948"/>
        <v>-</v>
      </c>
      <c r="BU335" s="85" t="str">
        <f t="shared" si="949"/>
        <v>-</v>
      </c>
    </row>
    <row r="336" spans="1:73" ht="30.15" customHeight="1" x14ac:dyDescent="0.25">
      <c r="A336" s="87" t="s">
        <v>34</v>
      </c>
      <c r="B336" s="88" t="s">
        <v>1067</v>
      </c>
      <c r="C336" s="88" t="s">
        <v>1076</v>
      </c>
      <c r="D336" s="85">
        <f>'Consumer Hardware Pricing'!L344</f>
        <v>945</v>
      </c>
      <c r="E336" s="85">
        <f>'Consumer Hardware Pricing'!M344</f>
        <v>945</v>
      </c>
      <c r="F336" s="85">
        <f>'Consumer Hardware Pricing'!N344</f>
        <v>0</v>
      </c>
      <c r="G336" s="85">
        <f t="shared" si="910"/>
        <v>39.379999999999995</v>
      </c>
      <c r="H336" s="85" t="str">
        <f>'Consumer Hardware Pricing'!O344</f>
        <v>-</v>
      </c>
      <c r="I336" s="85">
        <f t="shared" si="913"/>
        <v>39.379999999999995</v>
      </c>
      <c r="J336" s="85" t="str">
        <f t="shared" si="914"/>
        <v>-</v>
      </c>
      <c r="K336" s="85">
        <f t="shared" si="915"/>
        <v>945.11999999999989</v>
      </c>
      <c r="L336" s="85">
        <f>'Consumer Hardware Pricing'!Q344</f>
        <v>309</v>
      </c>
      <c r="M336" s="85">
        <f t="shared" si="911"/>
        <v>12.879999999999995</v>
      </c>
      <c r="N336" s="85">
        <f t="shared" si="916"/>
        <v>26.5</v>
      </c>
      <c r="O336" s="85">
        <f t="shared" si="917"/>
        <v>309.11999999999989</v>
      </c>
      <c r="P336" s="85">
        <f t="shared" si="918"/>
        <v>636</v>
      </c>
      <c r="Q336" s="85">
        <f>'Consumer Hardware Pricing'!S344</f>
        <v>0</v>
      </c>
      <c r="R336" s="85">
        <f t="shared" si="919"/>
        <v>39.379999999999995</v>
      </c>
      <c r="S336" s="85" t="str">
        <f>'Consumer Hardware Pricing'!T344</f>
        <v>-</v>
      </c>
      <c r="T336" s="129">
        <f t="shared" si="920"/>
        <v>39.379999999999995</v>
      </c>
      <c r="U336" s="129" t="str">
        <f t="shared" si="921"/>
        <v>-</v>
      </c>
      <c r="V336" s="85">
        <f t="shared" si="922"/>
        <v>945.11999999999989</v>
      </c>
      <c r="W336" s="129">
        <f>'Consumer Hardware Pricing'!V344</f>
        <v>309</v>
      </c>
      <c r="X336" s="129">
        <f t="shared" si="912"/>
        <v>12.879999999999995</v>
      </c>
      <c r="Y336" s="129">
        <f t="shared" si="923"/>
        <v>26.5</v>
      </c>
      <c r="Z336" s="129">
        <f t="shared" si="924"/>
        <v>309.11999999999989</v>
      </c>
      <c r="AA336" s="85">
        <f t="shared" si="925"/>
        <v>636</v>
      </c>
      <c r="AB336" s="85">
        <f>'Consumer Hardware Pricing'!X344</f>
        <v>0</v>
      </c>
      <c r="AC336" s="85">
        <f t="shared" si="950"/>
        <v>39.379999999999995</v>
      </c>
      <c r="AD336" s="85">
        <f>'Consumer Hardware Pricing'!Y344</f>
        <v>10</v>
      </c>
      <c r="AE336" s="85">
        <f t="shared" si="926"/>
        <v>29.379999999999995</v>
      </c>
      <c r="AF336" s="85">
        <f t="shared" si="927"/>
        <v>240</v>
      </c>
      <c r="AG336" s="85">
        <f t="shared" si="928"/>
        <v>705.11999999999989</v>
      </c>
      <c r="AH336" s="85">
        <f>'Consumer Hardware Pricing'!AA344</f>
        <v>309</v>
      </c>
      <c r="AI336" s="85">
        <f t="shared" si="951"/>
        <v>22.879999999999995</v>
      </c>
      <c r="AJ336" s="85">
        <f t="shared" si="929"/>
        <v>16.5</v>
      </c>
      <c r="AK336" s="85">
        <f t="shared" si="930"/>
        <v>549.11999999999989</v>
      </c>
      <c r="AL336" s="85">
        <f t="shared" si="931"/>
        <v>396</v>
      </c>
      <c r="AM336" s="85">
        <f>'Consumer Hardware Pricing'!AC344</f>
        <v>0</v>
      </c>
      <c r="AN336" s="85">
        <f t="shared" si="952"/>
        <v>39.379999999999995</v>
      </c>
      <c r="AO336" s="85">
        <f>'Consumer Hardware Pricing'!AD344</f>
        <v>10</v>
      </c>
      <c r="AP336" s="85">
        <f t="shared" si="932"/>
        <v>29.379999999999995</v>
      </c>
      <c r="AQ336" s="85">
        <f t="shared" si="933"/>
        <v>240</v>
      </c>
      <c r="AR336" s="85">
        <f t="shared" si="934"/>
        <v>705.11999999999989</v>
      </c>
      <c r="AS336" s="85">
        <f>'Consumer Hardware Pricing'!AF344</f>
        <v>309</v>
      </c>
      <c r="AT336" s="85">
        <f t="shared" si="953"/>
        <v>22.879999999999995</v>
      </c>
      <c r="AU336" s="85">
        <f t="shared" si="935"/>
        <v>16.5</v>
      </c>
      <c r="AV336" s="85">
        <f t="shared" si="936"/>
        <v>549.11999999999989</v>
      </c>
      <c r="AW336" s="85">
        <f t="shared" si="937"/>
        <v>396</v>
      </c>
      <c r="AX336" s="85" t="str">
        <f>'Consumer Hardware Pricing'!AH344</f>
        <v>-</v>
      </c>
      <c r="AY336" s="85" t="str">
        <f t="shared" si="954"/>
        <v>-</v>
      </c>
      <c r="AZ336" s="85" t="str">
        <f>'Consumer Hardware Pricing'!AI344</f>
        <v>-</v>
      </c>
      <c r="BA336" s="85" t="str">
        <f t="shared" si="938"/>
        <v>-</v>
      </c>
      <c r="BB336" s="85" t="str">
        <f t="shared" si="939"/>
        <v>-</v>
      </c>
      <c r="BC336" s="85" t="str">
        <f t="shared" si="940"/>
        <v>-</v>
      </c>
      <c r="BD336" s="85" t="str">
        <f>'Consumer Hardware Pricing'!AL344</f>
        <v>-</v>
      </c>
      <c r="BE336" s="85" t="str">
        <f t="shared" si="955"/>
        <v>-</v>
      </c>
      <c r="BF336" s="85" t="str">
        <f>'Consumer Hardware Pricing'!AM344</f>
        <v>-</v>
      </c>
      <c r="BG336" s="85" t="str">
        <f t="shared" si="941"/>
        <v>-</v>
      </c>
      <c r="BH336" s="85" t="str">
        <f t="shared" si="942"/>
        <v>-</v>
      </c>
      <c r="BI336" s="85" t="str">
        <f t="shared" si="943"/>
        <v>-</v>
      </c>
      <c r="BJ336" s="85" t="str">
        <f>'Consumer Hardware Pricing'!AP344</f>
        <v>-</v>
      </c>
      <c r="BK336" s="85" t="str">
        <f t="shared" si="956"/>
        <v>-</v>
      </c>
      <c r="BL336" s="85" t="str">
        <f>'Consumer Hardware Pricing'!AQ344</f>
        <v>-</v>
      </c>
      <c r="BM336" s="85" t="str">
        <f t="shared" si="944"/>
        <v>-</v>
      </c>
      <c r="BN336" s="85" t="str">
        <f t="shared" si="945"/>
        <v>-</v>
      </c>
      <c r="BO336" s="85" t="str">
        <f t="shared" si="946"/>
        <v>-</v>
      </c>
      <c r="BP336" s="85" t="str">
        <f>'Consumer Hardware Pricing'!AT344</f>
        <v>-</v>
      </c>
      <c r="BQ336" s="85" t="str">
        <f t="shared" si="957"/>
        <v>-</v>
      </c>
      <c r="BR336" s="85" t="str">
        <f>'Consumer Hardware Pricing'!AU344</f>
        <v>-</v>
      </c>
      <c r="BS336" s="85" t="str">
        <f t="shared" si="947"/>
        <v>-</v>
      </c>
      <c r="BT336" s="85" t="str">
        <f t="shared" si="948"/>
        <v>-</v>
      </c>
      <c r="BU336" s="85" t="str">
        <f t="shared" si="949"/>
        <v>-</v>
      </c>
    </row>
    <row r="337" spans="1:73" ht="30.15" customHeight="1" x14ac:dyDescent="0.25">
      <c r="A337" s="87" t="s">
        <v>34</v>
      </c>
      <c r="B337" s="88" t="s">
        <v>1068</v>
      </c>
      <c r="C337" s="88" t="s">
        <v>1076</v>
      </c>
      <c r="D337" s="85">
        <f>'Consumer Hardware Pricing'!L345</f>
        <v>945</v>
      </c>
      <c r="E337" s="85">
        <f>'Consumer Hardware Pricing'!M345</f>
        <v>945</v>
      </c>
      <c r="F337" s="85">
        <f>'Consumer Hardware Pricing'!N345</f>
        <v>0</v>
      </c>
      <c r="G337" s="85">
        <f t="shared" si="910"/>
        <v>39.379999999999995</v>
      </c>
      <c r="H337" s="85" t="str">
        <f>'Consumer Hardware Pricing'!O345</f>
        <v>-</v>
      </c>
      <c r="I337" s="85">
        <f t="shared" si="913"/>
        <v>39.379999999999995</v>
      </c>
      <c r="J337" s="85" t="str">
        <f t="shared" si="914"/>
        <v>-</v>
      </c>
      <c r="K337" s="85">
        <f t="shared" si="915"/>
        <v>945.11999999999989</v>
      </c>
      <c r="L337" s="85">
        <f>'Consumer Hardware Pricing'!Q345</f>
        <v>309</v>
      </c>
      <c r="M337" s="85">
        <f t="shared" si="911"/>
        <v>12.879999999999995</v>
      </c>
      <c r="N337" s="85">
        <f t="shared" si="916"/>
        <v>26.5</v>
      </c>
      <c r="O337" s="85">
        <f t="shared" si="917"/>
        <v>309.11999999999989</v>
      </c>
      <c r="P337" s="85">
        <f t="shared" si="918"/>
        <v>636</v>
      </c>
      <c r="Q337" s="85">
        <f>'Consumer Hardware Pricing'!S345</f>
        <v>0</v>
      </c>
      <c r="R337" s="85">
        <f t="shared" si="919"/>
        <v>39.379999999999995</v>
      </c>
      <c r="S337" s="85" t="str">
        <f>'Consumer Hardware Pricing'!T345</f>
        <v>-</v>
      </c>
      <c r="T337" s="129">
        <f t="shared" si="920"/>
        <v>39.379999999999995</v>
      </c>
      <c r="U337" s="129" t="str">
        <f t="shared" si="921"/>
        <v>-</v>
      </c>
      <c r="V337" s="85">
        <f t="shared" si="922"/>
        <v>945.11999999999989</v>
      </c>
      <c r="W337" s="129">
        <f>'Consumer Hardware Pricing'!V345</f>
        <v>309</v>
      </c>
      <c r="X337" s="129">
        <f t="shared" si="912"/>
        <v>12.879999999999995</v>
      </c>
      <c r="Y337" s="129">
        <f t="shared" si="923"/>
        <v>26.5</v>
      </c>
      <c r="Z337" s="129">
        <f t="shared" si="924"/>
        <v>309.11999999999989</v>
      </c>
      <c r="AA337" s="85">
        <f t="shared" si="925"/>
        <v>636</v>
      </c>
      <c r="AB337" s="85">
        <f>'Consumer Hardware Pricing'!X345</f>
        <v>0</v>
      </c>
      <c r="AC337" s="85">
        <f t="shared" si="950"/>
        <v>39.379999999999995</v>
      </c>
      <c r="AD337" s="85">
        <f>'Consumer Hardware Pricing'!Y345</f>
        <v>10</v>
      </c>
      <c r="AE337" s="85">
        <f t="shared" si="926"/>
        <v>29.379999999999995</v>
      </c>
      <c r="AF337" s="85">
        <f t="shared" si="927"/>
        <v>240</v>
      </c>
      <c r="AG337" s="85">
        <f t="shared" si="928"/>
        <v>705.11999999999989</v>
      </c>
      <c r="AH337" s="85">
        <f>'Consumer Hardware Pricing'!AA345</f>
        <v>309</v>
      </c>
      <c r="AI337" s="85">
        <f t="shared" si="951"/>
        <v>22.879999999999995</v>
      </c>
      <c r="AJ337" s="85">
        <f t="shared" si="929"/>
        <v>16.5</v>
      </c>
      <c r="AK337" s="85">
        <f t="shared" si="930"/>
        <v>549.11999999999989</v>
      </c>
      <c r="AL337" s="85">
        <f t="shared" si="931"/>
        <v>396</v>
      </c>
      <c r="AM337" s="85">
        <f>'Consumer Hardware Pricing'!AC345</f>
        <v>0</v>
      </c>
      <c r="AN337" s="85">
        <f t="shared" si="952"/>
        <v>39.379999999999995</v>
      </c>
      <c r="AO337" s="85">
        <f>'Consumer Hardware Pricing'!AD345</f>
        <v>10</v>
      </c>
      <c r="AP337" s="85">
        <f t="shared" si="932"/>
        <v>29.379999999999995</v>
      </c>
      <c r="AQ337" s="85">
        <f t="shared" si="933"/>
        <v>240</v>
      </c>
      <c r="AR337" s="85">
        <f t="shared" si="934"/>
        <v>705.11999999999989</v>
      </c>
      <c r="AS337" s="85">
        <f>'Consumer Hardware Pricing'!AF345</f>
        <v>309</v>
      </c>
      <c r="AT337" s="85">
        <f t="shared" si="953"/>
        <v>22.879999999999995</v>
      </c>
      <c r="AU337" s="85">
        <f t="shared" si="935"/>
        <v>16.5</v>
      </c>
      <c r="AV337" s="85">
        <f t="shared" si="936"/>
        <v>549.11999999999989</v>
      </c>
      <c r="AW337" s="85">
        <f t="shared" si="937"/>
        <v>396</v>
      </c>
      <c r="AX337" s="85" t="str">
        <f>'Consumer Hardware Pricing'!AH345</f>
        <v>-</v>
      </c>
      <c r="AY337" s="85" t="str">
        <f t="shared" si="954"/>
        <v>-</v>
      </c>
      <c r="AZ337" s="85" t="str">
        <f>'Consumer Hardware Pricing'!AI345</f>
        <v>-</v>
      </c>
      <c r="BA337" s="85" t="str">
        <f t="shared" si="938"/>
        <v>-</v>
      </c>
      <c r="BB337" s="85" t="str">
        <f t="shared" si="939"/>
        <v>-</v>
      </c>
      <c r="BC337" s="85" t="str">
        <f t="shared" si="940"/>
        <v>-</v>
      </c>
      <c r="BD337" s="85" t="str">
        <f>'Consumer Hardware Pricing'!AL345</f>
        <v>-</v>
      </c>
      <c r="BE337" s="85" t="str">
        <f t="shared" si="955"/>
        <v>-</v>
      </c>
      <c r="BF337" s="85" t="str">
        <f>'Consumer Hardware Pricing'!AM345</f>
        <v>-</v>
      </c>
      <c r="BG337" s="85" t="str">
        <f t="shared" si="941"/>
        <v>-</v>
      </c>
      <c r="BH337" s="85" t="str">
        <f t="shared" si="942"/>
        <v>-</v>
      </c>
      <c r="BI337" s="85" t="str">
        <f t="shared" si="943"/>
        <v>-</v>
      </c>
      <c r="BJ337" s="85" t="str">
        <f>'Consumer Hardware Pricing'!AP345</f>
        <v>-</v>
      </c>
      <c r="BK337" s="85" t="str">
        <f t="shared" si="956"/>
        <v>-</v>
      </c>
      <c r="BL337" s="85" t="str">
        <f>'Consumer Hardware Pricing'!AQ345</f>
        <v>-</v>
      </c>
      <c r="BM337" s="85" t="str">
        <f t="shared" si="944"/>
        <v>-</v>
      </c>
      <c r="BN337" s="85" t="str">
        <f t="shared" si="945"/>
        <v>-</v>
      </c>
      <c r="BO337" s="85" t="str">
        <f t="shared" si="946"/>
        <v>-</v>
      </c>
      <c r="BP337" s="85" t="str">
        <f>'Consumer Hardware Pricing'!AT345</f>
        <v>-</v>
      </c>
      <c r="BQ337" s="85" t="str">
        <f t="shared" si="957"/>
        <v>-</v>
      </c>
      <c r="BR337" s="85" t="str">
        <f>'Consumer Hardware Pricing'!AU345</f>
        <v>-</v>
      </c>
      <c r="BS337" s="85" t="str">
        <f t="shared" si="947"/>
        <v>-</v>
      </c>
      <c r="BT337" s="85" t="str">
        <f t="shared" si="948"/>
        <v>-</v>
      </c>
      <c r="BU337" s="85" t="str">
        <f t="shared" si="949"/>
        <v>-</v>
      </c>
    </row>
    <row r="338" spans="1:73" ht="30.15" customHeight="1" x14ac:dyDescent="0.25">
      <c r="A338" s="87" t="s">
        <v>34</v>
      </c>
      <c r="B338" s="88" t="s">
        <v>1069</v>
      </c>
      <c r="C338" s="88" t="s">
        <v>1077</v>
      </c>
      <c r="D338" s="85">
        <f>'Consumer Hardware Pricing'!L346</f>
        <v>1089</v>
      </c>
      <c r="E338" s="85">
        <f>'Consumer Hardware Pricing'!M346</f>
        <v>1089</v>
      </c>
      <c r="F338" s="85">
        <f>'Consumer Hardware Pricing'!N346</f>
        <v>0</v>
      </c>
      <c r="G338" s="85">
        <f t="shared" si="910"/>
        <v>45.379999999999995</v>
      </c>
      <c r="H338" s="85" t="str">
        <f>'Consumer Hardware Pricing'!O346</f>
        <v>-</v>
      </c>
      <c r="I338" s="85">
        <f t="shared" si="913"/>
        <v>45.379999999999995</v>
      </c>
      <c r="J338" s="85" t="str">
        <f t="shared" si="914"/>
        <v>-</v>
      </c>
      <c r="K338" s="85">
        <f t="shared" si="915"/>
        <v>1089.1199999999999</v>
      </c>
      <c r="L338" s="85">
        <f>'Consumer Hardware Pricing'!Q346</f>
        <v>321</v>
      </c>
      <c r="M338" s="85">
        <f t="shared" si="911"/>
        <v>13.379999999999995</v>
      </c>
      <c r="N338" s="85">
        <f t="shared" si="916"/>
        <v>32</v>
      </c>
      <c r="O338" s="85">
        <f t="shared" si="917"/>
        <v>321.11999999999989</v>
      </c>
      <c r="P338" s="85">
        <f t="shared" si="918"/>
        <v>768</v>
      </c>
      <c r="Q338" s="85">
        <f>'Consumer Hardware Pricing'!S346</f>
        <v>0</v>
      </c>
      <c r="R338" s="85">
        <f t="shared" si="919"/>
        <v>45.379999999999995</v>
      </c>
      <c r="S338" s="85" t="str">
        <f>'Consumer Hardware Pricing'!T346</f>
        <v>-</v>
      </c>
      <c r="T338" s="129">
        <f t="shared" si="920"/>
        <v>45.379999999999995</v>
      </c>
      <c r="U338" s="129" t="str">
        <f t="shared" si="921"/>
        <v>-</v>
      </c>
      <c r="V338" s="85">
        <f t="shared" si="922"/>
        <v>1089.1199999999999</v>
      </c>
      <c r="W338" s="129">
        <f>'Consumer Hardware Pricing'!V346</f>
        <v>321</v>
      </c>
      <c r="X338" s="129">
        <f t="shared" si="912"/>
        <v>13.379999999999995</v>
      </c>
      <c r="Y338" s="129">
        <f t="shared" si="923"/>
        <v>32</v>
      </c>
      <c r="Z338" s="129">
        <f t="shared" si="924"/>
        <v>321.11999999999989</v>
      </c>
      <c r="AA338" s="85">
        <f t="shared" si="925"/>
        <v>768</v>
      </c>
      <c r="AB338" s="85">
        <f>'Consumer Hardware Pricing'!X346</f>
        <v>0</v>
      </c>
      <c r="AC338" s="85">
        <f t="shared" si="950"/>
        <v>45.379999999999995</v>
      </c>
      <c r="AD338" s="85">
        <f>'Consumer Hardware Pricing'!Y346</f>
        <v>10</v>
      </c>
      <c r="AE338" s="85">
        <f t="shared" si="926"/>
        <v>35.379999999999995</v>
      </c>
      <c r="AF338" s="85">
        <f t="shared" si="927"/>
        <v>240</v>
      </c>
      <c r="AG338" s="85">
        <f t="shared" si="928"/>
        <v>849.11999999999989</v>
      </c>
      <c r="AH338" s="85">
        <f>'Consumer Hardware Pricing'!AA346</f>
        <v>321</v>
      </c>
      <c r="AI338" s="85">
        <f t="shared" si="951"/>
        <v>23.379999999999995</v>
      </c>
      <c r="AJ338" s="85">
        <f t="shared" si="929"/>
        <v>22</v>
      </c>
      <c r="AK338" s="85">
        <f t="shared" si="930"/>
        <v>561.11999999999989</v>
      </c>
      <c r="AL338" s="85">
        <f t="shared" si="931"/>
        <v>528</v>
      </c>
      <c r="AM338" s="85">
        <f>'Consumer Hardware Pricing'!AC346</f>
        <v>0</v>
      </c>
      <c r="AN338" s="85">
        <f t="shared" si="952"/>
        <v>45.379999999999995</v>
      </c>
      <c r="AO338" s="85">
        <f>'Consumer Hardware Pricing'!AD346</f>
        <v>10</v>
      </c>
      <c r="AP338" s="85">
        <f t="shared" si="932"/>
        <v>35.379999999999995</v>
      </c>
      <c r="AQ338" s="85">
        <f t="shared" si="933"/>
        <v>240</v>
      </c>
      <c r="AR338" s="85">
        <f t="shared" si="934"/>
        <v>849.11999999999989</v>
      </c>
      <c r="AS338" s="85">
        <f>'Consumer Hardware Pricing'!AF346</f>
        <v>321</v>
      </c>
      <c r="AT338" s="85">
        <f t="shared" si="953"/>
        <v>23.379999999999995</v>
      </c>
      <c r="AU338" s="85">
        <f t="shared" si="935"/>
        <v>22</v>
      </c>
      <c r="AV338" s="85">
        <f t="shared" si="936"/>
        <v>561.11999999999989</v>
      </c>
      <c r="AW338" s="85">
        <f t="shared" si="937"/>
        <v>528</v>
      </c>
      <c r="AX338" s="85" t="str">
        <f>'Consumer Hardware Pricing'!AH346</f>
        <v>-</v>
      </c>
      <c r="AY338" s="85" t="str">
        <f t="shared" si="954"/>
        <v>-</v>
      </c>
      <c r="AZ338" s="85" t="str">
        <f>'Consumer Hardware Pricing'!AI346</f>
        <v>-</v>
      </c>
      <c r="BA338" s="85" t="str">
        <f t="shared" si="938"/>
        <v>-</v>
      </c>
      <c r="BB338" s="85" t="str">
        <f t="shared" si="939"/>
        <v>-</v>
      </c>
      <c r="BC338" s="85" t="str">
        <f t="shared" si="940"/>
        <v>-</v>
      </c>
      <c r="BD338" s="85" t="str">
        <f>'Consumer Hardware Pricing'!AL346</f>
        <v>-</v>
      </c>
      <c r="BE338" s="85" t="str">
        <f t="shared" si="955"/>
        <v>-</v>
      </c>
      <c r="BF338" s="85" t="str">
        <f>'Consumer Hardware Pricing'!AM346</f>
        <v>-</v>
      </c>
      <c r="BG338" s="85" t="str">
        <f t="shared" si="941"/>
        <v>-</v>
      </c>
      <c r="BH338" s="85" t="str">
        <f t="shared" si="942"/>
        <v>-</v>
      </c>
      <c r="BI338" s="85" t="str">
        <f t="shared" si="943"/>
        <v>-</v>
      </c>
      <c r="BJ338" s="85" t="str">
        <f>'Consumer Hardware Pricing'!AP346</f>
        <v>-</v>
      </c>
      <c r="BK338" s="85" t="str">
        <f t="shared" si="956"/>
        <v>-</v>
      </c>
      <c r="BL338" s="85" t="str">
        <f>'Consumer Hardware Pricing'!AQ346</f>
        <v>-</v>
      </c>
      <c r="BM338" s="85" t="str">
        <f t="shared" si="944"/>
        <v>-</v>
      </c>
      <c r="BN338" s="85" t="str">
        <f t="shared" si="945"/>
        <v>-</v>
      </c>
      <c r="BO338" s="85" t="str">
        <f t="shared" si="946"/>
        <v>-</v>
      </c>
      <c r="BP338" s="85" t="str">
        <f>'Consumer Hardware Pricing'!AT346</f>
        <v>-</v>
      </c>
      <c r="BQ338" s="85" t="str">
        <f t="shared" si="957"/>
        <v>-</v>
      </c>
      <c r="BR338" s="85" t="str">
        <f>'Consumer Hardware Pricing'!AU346</f>
        <v>-</v>
      </c>
      <c r="BS338" s="85" t="str">
        <f t="shared" si="947"/>
        <v>-</v>
      </c>
      <c r="BT338" s="85" t="str">
        <f t="shared" si="948"/>
        <v>-</v>
      </c>
      <c r="BU338" s="85" t="str">
        <f t="shared" si="949"/>
        <v>-</v>
      </c>
    </row>
    <row r="339" spans="1:73" ht="30.15" customHeight="1" x14ac:dyDescent="0.25">
      <c r="A339" s="87" t="s">
        <v>34</v>
      </c>
      <c r="B339" s="88" t="s">
        <v>1070</v>
      </c>
      <c r="C339" s="88" t="s">
        <v>1077</v>
      </c>
      <c r="D339" s="85">
        <f>'Consumer Hardware Pricing'!L347</f>
        <v>1089</v>
      </c>
      <c r="E339" s="85">
        <f>'Consumer Hardware Pricing'!M347</f>
        <v>1089</v>
      </c>
      <c r="F339" s="85">
        <f>'Consumer Hardware Pricing'!N347</f>
        <v>0</v>
      </c>
      <c r="G339" s="85">
        <f t="shared" si="910"/>
        <v>45.379999999999995</v>
      </c>
      <c r="H339" s="85" t="str">
        <f>'Consumer Hardware Pricing'!O347</f>
        <v>-</v>
      </c>
      <c r="I339" s="85">
        <f t="shared" si="913"/>
        <v>45.379999999999995</v>
      </c>
      <c r="J339" s="85" t="str">
        <f t="shared" si="914"/>
        <v>-</v>
      </c>
      <c r="K339" s="85">
        <f t="shared" si="915"/>
        <v>1089.1199999999999</v>
      </c>
      <c r="L339" s="85">
        <f>'Consumer Hardware Pricing'!Q347</f>
        <v>321</v>
      </c>
      <c r="M339" s="85">
        <f t="shared" si="911"/>
        <v>13.379999999999995</v>
      </c>
      <c r="N339" s="85">
        <f t="shared" si="916"/>
        <v>32</v>
      </c>
      <c r="O339" s="85">
        <f t="shared" si="917"/>
        <v>321.11999999999989</v>
      </c>
      <c r="P339" s="85">
        <f t="shared" si="918"/>
        <v>768</v>
      </c>
      <c r="Q339" s="85">
        <f>'Consumer Hardware Pricing'!S347</f>
        <v>0</v>
      </c>
      <c r="R339" s="85">
        <f t="shared" si="919"/>
        <v>45.379999999999995</v>
      </c>
      <c r="S339" s="85" t="str">
        <f>'Consumer Hardware Pricing'!T347</f>
        <v>-</v>
      </c>
      <c r="T339" s="129">
        <f t="shared" si="920"/>
        <v>45.379999999999995</v>
      </c>
      <c r="U339" s="129" t="str">
        <f t="shared" si="921"/>
        <v>-</v>
      </c>
      <c r="V339" s="85">
        <f t="shared" si="922"/>
        <v>1089.1199999999999</v>
      </c>
      <c r="W339" s="129">
        <f>'Consumer Hardware Pricing'!V347</f>
        <v>321</v>
      </c>
      <c r="X339" s="129">
        <f t="shared" si="912"/>
        <v>13.379999999999995</v>
      </c>
      <c r="Y339" s="129">
        <f t="shared" si="923"/>
        <v>32</v>
      </c>
      <c r="Z339" s="129">
        <f t="shared" si="924"/>
        <v>321.11999999999989</v>
      </c>
      <c r="AA339" s="85">
        <f t="shared" si="925"/>
        <v>768</v>
      </c>
      <c r="AB339" s="85">
        <f>'Consumer Hardware Pricing'!X347</f>
        <v>0</v>
      </c>
      <c r="AC339" s="85">
        <f t="shared" si="950"/>
        <v>45.379999999999995</v>
      </c>
      <c r="AD339" s="85">
        <f>'Consumer Hardware Pricing'!Y347</f>
        <v>10</v>
      </c>
      <c r="AE339" s="85">
        <f t="shared" si="926"/>
        <v>35.379999999999995</v>
      </c>
      <c r="AF339" s="85">
        <f t="shared" si="927"/>
        <v>240</v>
      </c>
      <c r="AG339" s="85">
        <f t="shared" si="928"/>
        <v>849.11999999999989</v>
      </c>
      <c r="AH339" s="85">
        <f>'Consumer Hardware Pricing'!AA347</f>
        <v>321</v>
      </c>
      <c r="AI339" s="85">
        <f t="shared" si="951"/>
        <v>23.379999999999995</v>
      </c>
      <c r="AJ339" s="85">
        <f t="shared" si="929"/>
        <v>22</v>
      </c>
      <c r="AK339" s="85">
        <f t="shared" si="930"/>
        <v>561.11999999999989</v>
      </c>
      <c r="AL339" s="85">
        <f t="shared" si="931"/>
        <v>528</v>
      </c>
      <c r="AM339" s="85">
        <f>'Consumer Hardware Pricing'!AC347</f>
        <v>0</v>
      </c>
      <c r="AN339" s="85">
        <f t="shared" si="952"/>
        <v>45.379999999999995</v>
      </c>
      <c r="AO339" s="85">
        <f>'Consumer Hardware Pricing'!AD347</f>
        <v>10</v>
      </c>
      <c r="AP339" s="85">
        <f t="shared" si="932"/>
        <v>35.379999999999995</v>
      </c>
      <c r="AQ339" s="85">
        <f t="shared" si="933"/>
        <v>240</v>
      </c>
      <c r="AR339" s="85">
        <f t="shared" si="934"/>
        <v>849.11999999999989</v>
      </c>
      <c r="AS339" s="85">
        <f>'Consumer Hardware Pricing'!AF347</f>
        <v>321</v>
      </c>
      <c r="AT339" s="85">
        <f t="shared" si="953"/>
        <v>23.379999999999995</v>
      </c>
      <c r="AU339" s="85">
        <f t="shared" si="935"/>
        <v>22</v>
      </c>
      <c r="AV339" s="85">
        <f t="shared" si="936"/>
        <v>561.11999999999989</v>
      </c>
      <c r="AW339" s="85">
        <f t="shared" si="937"/>
        <v>528</v>
      </c>
      <c r="AX339" s="85" t="str">
        <f>'Consumer Hardware Pricing'!AH347</f>
        <v>-</v>
      </c>
      <c r="AY339" s="85" t="str">
        <f t="shared" si="954"/>
        <v>-</v>
      </c>
      <c r="AZ339" s="85" t="str">
        <f>'Consumer Hardware Pricing'!AI347</f>
        <v>-</v>
      </c>
      <c r="BA339" s="85" t="str">
        <f t="shared" si="938"/>
        <v>-</v>
      </c>
      <c r="BB339" s="85" t="str">
        <f t="shared" si="939"/>
        <v>-</v>
      </c>
      <c r="BC339" s="85" t="str">
        <f t="shared" si="940"/>
        <v>-</v>
      </c>
      <c r="BD339" s="85" t="str">
        <f>'Consumer Hardware Pricing'!AL347</f>
        <v>-</v>
      </c>
      <c r="BE339" s="85" t="str">
        <f t="shared" si="955"/>
        <v>-</v>
      </c>
      <c r="BF339" s="85" t="str">
        <f>'Consumer Hardware Pricing'!AM347</f>
        <v>-</v>
      </c>
      <c r="BG339" s="85" t="str">
        <f t="shared" si="941"/>
        <v>-</v>
      </c>
      <c r="BH339" s="85" t="str">
        <f t="shared" si="942"/>
        <v>-</v>
      </c>
      <c r="BI339" s="85" t="str">
        <f t="shared" si="943"/>
        <v>-</v>
      </c>
      <c r="BJ339" s="85" t="str">
        <f>'Consumer Hardware Pricing'!AP347</f>
        <v>-</v>
      </c>
      <c r="BK339" s="85" t="str">
        <f t="shared" si="956"/>
        <v>-</v>
      </c>
      <c r="BL339" s="85" t="str">
        <f>'Consumer Hardware Pricing'!AQ347</f>
        <v>-</v>
      </c>
      <c r="BM339" s="85" t="str">
        <f t="shared" si="944"/>
        <v>-</v>
      </c>
      <c r="BN339" s="85" t="str">
        <f t="shared" si="945"/>
        <v>-</v>
      </c>
      <c r="BO339" s="85" t="str">
        <f t="shared" si="946"/>
        <v>-</v>
      </c>
      <c r="BP339" s="85" t="str">
        <f>'Consumer Hardware Pricing'!AT347</f>
        <v>-</v>
      </c>
      <c r="BQ339" s="85" t="str">
        <f t="shared" si="957"/>
        <v>-</v>
      </c>
      <c r="BR339" s="85" t="str">
        <f>'Consumer Hardware Pricing'!AU347</f>
        <v>-</v>
      </c>
      <c r="BS339" s="85" t="str">
        <f t="shared" si="947"/>
        <v>-</v>
      </c>
      <c r="BT339" s="85" t="str">
        <f t="shared" si="948"/>
        <v>-</v>
      </c>
      <c r="BU339" s="85" t="str">
        <f t="shared" si="949"/>
        <v>-</v>
      </c>
    </row>
    <row r="340" spans="1:73" ht="30.15" customHeight="1" x14ac:dyDescent="0.25">
      <c r="A340" s="87" t="s">
        <v>34</v>
      </c>
      <c r="B340" s="88" t="s">
        <v>1071</v>
      </c>
      <c r="C340" s="88" t="s">
        <v>1077</v>
      </c>
      <c r="D340" s="85">
        <f>'Consumer Hardware Pricing'!L348</f>
        <v>1089</v>
      </c>
      <c r="E340" s="85">
        <f>'Consumer Hardware Pricing'!M348</f>
        <v>1089</v>
      </c>
      <c r="F340" s="85">
        <f>'Consumer Hardware Pricing'!N348</f>
        <v>0</v>
      </c>
      <c r="G340" s="85">
        <f t="shared" si="910"/>
        <v>45.379999999999995</v>
      </c>
      <c r="H340" s="85" t="str">
        <f>'Consumer Hardware Pricing'!O348</f>
        <v>-</v>
      </c>
      <c r="I340" s="85">
        <f t="shared" si="913"/>
        <v>45.379999999999995</v>
      </c>
      <c r="J340" s="85" t="str">
        <f t="shared" si="914"/>
        <v>-</v>
      </c>
      <c r="K340" s="85">
        <f t="shared" si="915"/>
        <v>1089.1199999999999</v>
      </c>
      <c r="L340" s="85">
        <f>'Consumer Hardware Pricing'!Q348</f>
        <v>321</v>
      </c>
      <c r="M340" s="85">
        <f t="shared" si="911"/>
        <v>13.379999999999995</v>
      </c>
      <c r="N340" s="85">
        <f t="shared" si="916"/>
        <v>32</v>
      </c>
      <c r="O340" s="85">
        <f t="shared" si="917"/>
        <v>321.11999999999989</v>
      </c>
      <c r="P340" s="85">
        <f t="shared" si="918"/>
        <v>768</v>
      </c>
      <c r="Q340" s="85">
        <f>'Consumer Hardware Pricing'!S348</f>
        <v>0</v>
      </c>
      <c r="R340" s="85">
        <f t="shared" si="919"/>
        <v>45.379999999999995</v>
      </c>
      <c r="S340" s="85" t="str">
        <f>'Consumer Hardware Pricing'!T348</f>
        <v>-</v>
      </c>
      <c r="T340" s="129">
        <f t="shared" si="920"/>
        <v>45.379999999999995</v>
      </c>
      <c r="U340" s="129" t="str">
        <f t="shared" si="921"/>
        <v>-</v>
      </c>
      <c r="V340" s="85">
        <f t="shared" si="922"/>
        <v>1089.1199999999999</v>
      </c>
      <c r="W340" s="129">
        <f>'Consumer Hardware Pricing'!V348</f>
        <v>321</v>
      </c>
      <c r="X340" s="129">
        <f t="shared" si="912"/>
        <v>13.379999999999995</v>
      </c>
      <c r="Y340" s="129">
        <f t="shared" si="923"/>
        <v>32</v>
      </c>
      <c r="Z340" s="129">
        <f t="shared" si="924"/>
        <v>321.11999999999989</v>
      </c>
      <c r="AA340" s="85">
        <f t="shared" si="925"/>
        <v>768</v>
      </c>
      <c r="AB340" s="85">
        <f>'Consumer Hardware Pricing'!X348</f>
        <v>0</v>
      </c>
      <c r="AC340" s="85">
        <f t="shared" si="950"/>
        <v>45.379999999999995</v>
      </c>
      <c r="AD340" s="85">
        <f>'Consumer Hardware Pricing'!Y348</f>
        <v>10</v>
      </c>
      <c r="AE340" s="85">
        <f t="shared" si="926"/>
        <v>35.379999999999995</v>
      </c>
      <c r="AF340" s="85">
        <f t="shared" si="927"/>
        <v>240</v>
      </c>
      <c r="AG340" s="85">
        <f t="shared" si="928"/>
        <v>849.11999999999989</v>
      </c>
      <c r="AH340" s="85">
        <f>'Consumer Hardware Pricing'!AA348</f>
        <v>321</v>
      </c>
      <c r="AI340" s="85">
        <f t="shared" si="951"/>
        <v>23.379999999999995</v>
      </c>
      <c r="AJ340" s="85">
        <f t="shared" si="929"/>
        <v>22</v>
      </c>
      <c r="AK340" s="85">
        <f t="shared" si="930"/>
        <v>561.11999999999989</v>
      </c>
      <c r="AL340" s="85">
        <f t="shared" si="931"/>
        <v>528</v>
      </c>
      <c r="AM340" s="85">
        <f>'Consumer Hardware Pricing'!AC348</f>
        <v>0</v>
      </c>
      <c r="AN340" s="85">
        <f t="shared" si="952"/>
        <v>45.379999999999995</v>
      </c>
      <c r="AO340" s="85">
        <f>'Consumer Hardware Pricing'!AD348</f>
        <v>10</v>
      </c>
      <c r="AP340" s="85">
        <f t="shared" si="932"/>
        <v>35.379999999999995</v>
      </c>
      <c r="AQ340" s="85">
        <f t="shared" si="933"/>
        <v>240</v>
      </c>
      <c r="AR340" s="85">
        <f t="shared" si="934"/>
        <v>849.11999999999989</v>
      </c>
      <c r="AS340" s="85">
        <f>'Consumer Hardware Pricing'!AF348</f>
        <v>321</v>
      </c>
      <c r="AT340" s="85">
        <f t="shared" si="953"/>
        <v>23.379999999999995</v>
      </c>
      <c r="AU340" s="85">
        <f t="shared" si="935"/>
        <v>22</v>
      </c>
      <c r="AV340" s="85">
        <f t="shared" si="936"/>
        <v>561.11999999999989</v>
      </c>
      <c r="AW340" s="85">
        <f t="shared" si="937"/>
        <v>528</v>
      </c>
      <c r="AX340" s="85" t="str">
        <f>'Consumer Hardware Pricing'!AH348</f>
        <v>-</v>
      </c>
      <c r="AY340" s="85" t="str">
        <f t="shared" si="954"/>
        <v>-</v>
      </c>
      <c r="AZ340" s="85" t="str">
        <f>'Consumer Hardware Pricing'!AI348</f>
        <v>-</v>
      </c>
      <c r="BA340" s="85" t="str">
        <f t="shared" si="938"/>
        <v>-</v>
      </c>
      <c r="BB340" s="85" t="str">
        <f t="shared" si="939"/>
        <v>-</v>
      </c>
      <c r="BC340" s="85" t="str">
        <f t="shared" si="940"/>
        <v>-</v>
      </c>
      <c r="BD340" s="85" t="str">
        <f>'Consumer Hardware Pricing'!AL348</f>
        <v>-</v>
      </c>
      <c r="BE340" s="85" t="str">
        <f t="shared" si="955"/>
        <v>-</v>
      </c>
      <c r="BF340" s="85" t="str">
        <f>'Consumer Hardware Pricing'!AM348</f>
        <v>-</v>
      </c>
      <c r="BG340" s="85" t="str">
        <f t="shared" si="941"/>
        <v>-</v>
      </c>
      <c r="BH340" s="85" t="str">
        <f t="shared" si="942"/>
        <v>-</v>
      </c>
      <c r="BI340" s="85" t="str">
        <f t="shared" si="943"/>
        <v>-</v>
      </c>
      <c r="BJ340" s="85" t="str">
        <f>'Consumer Hardware Pricing'!AP348</f>
        <v>-</v>
      </c>
      <c r="BK340" s="85" t="str">
        <f t="shared" si="956"/>
        <v>-</v>
      </c>
      <c r="BL340" s="85" t="str">
        <f>'Consumer Hardware Pricing'!AQ348</f>
        <v>-</v>
      </c>
      <c r="BM340" s="85" t="str">
        <f t="shared" si="944"/>
        <v>-</v>
      </c>
      <c r="BN340" s="85" t="str">
        <f t="shared" si="945"/>
        <v>-</v>
      </c>
      <c r="BO340" s="85" t="str">
        <f t="shared" si="946"/>
        <v>-</v>
      </c>
      <c r="BP340" s="85" t="str">
        <f>'Consumer Hardware Pricing'!AT348</f>
        <v>-</v>
      </c>
      <c r="BQ340" s="85" t="str">
        <f t="shared" si="957"/>
        <v>-</v>
      </c>
      <c r="BR340" s="85" t="str">
        <f>'Consumer Hardware Pricing'!AU348</f>
        <v>-</v>
      </c>
      <c r="BS340" s="85" t="str">
        <f t="shared" si="947"/>
        <v>-</v>
      </c>
      <c r="BT340" s="85" t="str">
        <f t="shared" si="948"/>
        <v>-</v>
      </c>
      <c r="BU340" s="85" t="str">
        <f t="shared" si="949"/>
        <v>-</v>
      </c>
    </row>
    <row r="341" spans="1:73" ht="30.15" customHeight="1" x14ac:dyDescent="0.25">
      <c r="A341" s="87" t="s">
        <v>34</v>
      </c>
      <c r="B341" s="88" t="s">
        <v>1072</v>
      </c>
      <c r="C341" s="88" t="s">
        <v>1077</v>
      </c>
      <c r="D341" s="85">
        <f>'Consumer Hardware Pricing'!L349</f>
        <v>1089</v>
      </c>
      <c r="E341" s="85">
        <f>'Consumer Hardware Pricing'!M349</f>
        <v>1089</v>
      </c>
      <c r="F341" s="85">
        <f>'Consumer Hardware Pricing'!N349</f>
        <v>0</v>
      </c>
      <c r="G341" s="85">
        <f t="shared" si="910"/>
        <v>45.379999999999995</v>
      </c>
      <c r="H341" s="85" t="str">
        <f>'Consumer Hardware Pricing'!O349</f>
        <v>-</v>
      </c>
      <c r="I341" s="85">
        <f t="shared" si="913"/>
        <v>45.379999999999995</v>
      </c>
      <c r="J341" s="85" t="str">
        <f t="shared" si="914"/>
        <v>-</v>
      </c>
      <c r="K341" s="85">
        <f t="shared" si="915"/>
        <v>1089.1199999999999</v>
      </c>
      <c r="L341" s="85">
        <f>'Consumer Hardware Pricing'!Q349</f>
        <v>321</v>
      </c>
      <c r="M341" s="85">
        <f t="shared" si="911"/>
        <v>13.379999999999995</v>
      </c>
      <c r="N341" s="85">
        <f t="shared" si="916"/>
        <v>32</v>
      </c>
      <c r="O341" s="85">
        <f t="shared" si="917"/>
        <v>321.11999999999989</v>
      </c>
      <c r="P341" s="85">
        <f t="shared" si="918"/>
        <v>768</v>
      </c>
      <c r="Q341" s="85">
        <f>'Consumer Hardware Pricing'!S349</f>
        <v>0</v>
      </c>
      <c r="R341" s="85">
        <f t="shared" si="919"/>
        <v>45.379999999999995</v>
      </c>
      <c r="S341" s="85" t="str">
        <f>'Consumer Hardware Pricing'!T349</f>
        <v>-</v>
      </c>
      <c r="T341" s="129">
        <f t="shared" si="920"/>
        <v>45.379999999999995</v>
      </c>
      <c r="U341" s="129" t="str">
        <f t="shared" si="921"/>
        <v>-</v>
      </c>
      <c r="V341" s="85">
        <f t="shared" si="922"/>
        <v>1089.1199999999999</v>
      </c>
      <c r="W341" s="129">
        <f>'Consumer Hardware Pricing'!V349</f>
        <v>321</v>
      </c>
      <c r="X341" s="129">
        <f t="shared" si="912"/>
        <v>13.379999999999995</v>
      </c>
      <c r="Y341" s="129">
        <f t="shared" si="923"/>
        <v>32</v>
      </c>
      <c r="Z341" s="129">
        <f t="shared" si="924"/>
        <v>321.11999999999989</v>
      </c>
      <c r="AA341" s="85">
        <f t="shared" si="925"/>
        <v>768</v>
      </c>
      <c r="AB341" s="85">
        <f>'Consumer Hardware Pricing'!X349</f>
        <v>0</v>
      </c>
      <c r="AC341" s="85">
        <f t="shared" si="950"/>
        <v>45.379999999999995</v>
      </c>
      <c r="AD341" s="85">
        <f>'Consumer Hardware Pricing'!Y349</f>
        <v>10</v>
      </c>
      <c r="AE341" s="85">
        <f t="shared" si="926"/>
        <v>35.379999999999995</v>
      </c>
      <c r="AF341" s="85">
        <f t="shared" si="927"/>
        <v>240</v>
      </c>
      <c r="AG341" s="85">
        <f t="shared" si="928"/>
        <v>849.11999999999989</v>
      </c>
      <c r="AH341" s="85">
        <f>'Consumer Hardware Pricing'!AA349</f>
        <v>321</v>
      </c>
      <c r="AI341" s="85">
        <f t="shared" si="951"/>
        <v>23.379999999999995</v>
      </c>
      <c r="AJ341" s="85">
        <f t="shared" si="929"/>
        <v>22</v>
      </c>
      <c r="AK341" s="85">
        <f t="shared" si="930"/>
        <v>561.11999999999989</v>
      </c>
      <c r="AL341" s="85">
        <f t="shared" si="931"/>
        <v>528</v>
      </c>
      <c r="AM341" s="85">
        <f>'Consumer Hardware Pricing'!AC349</f>
        <v>0</v>
      </c>
      <c r="AN341" s="85">
        <f t="shared" si="952"/>
        <v>45.379999999999995</v>
      </c>
      <c r="AO341" s="85">
        <f>'Consumer Hardware Pricing'!AD349</f>
        <v>10</v>
      </c>
      <c r="AP341" s="85">
        <f t="shared" si="932"/>
        <v>35.379999999999995</v>
      </c>
      <c r="AQ341" s="85">
        <f t="shared" si="933"/>
        <v>240</v>
      </c>
      <c r="AR341" s="85">
        <f t="shared" si="934"/>
        <v>849.11999999999989</v>
      </c>
      <c r="AS341" s="85">
        <f>'Consumer Hardware Pricing'!AF349</f>
        <v>321</v>
      </c>
      <c r="AT341" s="85">
        <f t="shared" si="953"/>
        <v>23.379999999999995</v>
      </c>
      <c r="AU341" s="85">
        <f t="shared" si="935"/>
        <v>22</v>
      </c>
      <c r="AV341" s="85">
        <f t="shared" si="936"/>
        <v>561.11999999999989</v>
      </c>
      <c r="AW341" s="85">
        <f t="shared" si="937"/>
        <v>528</v>
      </c>
      <c r="AX341" s="85" t="str">
        <f>'Consumer Hardware Pricing'!AH349</f>
        <v>-</v>
      </c>
      <c r="AY341" s="85" t="str">
        <f t="shared" si="954"/>
        <v>-</v>
      </c>
      <c r="AZ341" s="85" t="str">
        <f>'Consumer Hardware Pricing'!AI349</f>
        <v>-</v>
      </c>
      <c r="BA341" s="85" t="str">
        <f t="shared" si="938"/>
        <v>-</v>
      </c>
      <c r="BB341" s="85" t="str">
        <f t="shared" si="939"/>
        <v>-</v>
      </c>
      <c r="BC341" s="85" t="str">
        <f t="shared" si="940"/>
        <v>-</v>
      </c>
      <c r="BD341" s="85" t="str">
        <f>'Consumer Hardware Pricing'!AL349</f>
        <v>-</v>
      </c>
      <c r="BE341" s="85" t="str">
        <f t="shared" si="955"/>
        <v>-</v>
      </c>
      <c r="BF341" s="85" t="str">
        <f>'Consumer Hardware Pricing'!AM349</f>
        <v>-</v>
      </c>
      <c r="BG341" s="85" t="str">
        <f t="shared" si="941"/>
        <v>-</v>
      </c>
      <c r="BH341" s="85" t="str">
        <f t="shared" si="942"/>
        <v>-</v>
      </c>
      <c r="BI341" s="85" t="str">
        <f t="shared" si="943"/>
        <v>-</v>
      </c>
      <c r="BJ341" s="85" t="str">
        <f>'Consumer Hardware Pricing'!AP349</f>
        <v>-</v>
      </c>
      <c r="BK341" s="85" t="str">
        <f t="shared" si="956"/>
        <v>-</v>
      </c>
      <c r="BL341" s="85" t="str">
        <f>'Consumer Hardware Pricing'!AQ349</f>
        <v>-</v>
      </c>
      <c r="BM341" s="85" t="str">
        <f t="shared" si="944"/>
        <v>-</v>
      </c>
      <c r="BN341" s="85" t="str">
        <f t="shared" si="945"/>
        <v>-</v>
      </c>
      <c r="BO341" s="85" t="str">
        <f t="shared" si="946"/>
        <v>-</v>
      </c>
      <c r="BP341" s="85" t="str">
        <f>'Consumer Hardware Pricing'!AT349</f>
        <v>-</v>
      </c>
      <c r="BQ341" s="85" t="str">
        <f t="shared" si="957"/>
        <v>-</v>
      </c>
      <c r="BR341" s="85" t="str">
        <f>'Consumer Hardware Pricing'!AU349</f>
        <v>-</v>
      </c>
      <c r="BS341" s="85" t="str">
        <f t="shared" si="947"/>
        <v>-</v>
      </c>
      <c r="BT341" s="85" t="str">
        <f t="shared" si="948"/>
        <v>-</v>
      </c>
      <c r="BU341" s="85" t="str">
        <f t="shared" si="949"/>
        <v>-</v>
      </c>
    </row>
    <row r="342" spans="1:73" ht="30.15" customHeight="1" x14ac:dyDescent="0.25">
      <c r="A342" s="87" t="s">
        <v>34</v>
      </c>
      <c r="B342" s="88" t="s">
        <v>1073</v>
      </c>
      <c r="C342" s="88" t="s">
        <v>1077</v>
      </c>
      <c r="D342" s="85">
        <f>'Consumer Hardware Pricing'!L350</f>
        <v>1089</v>
      </c>
      <c r="E342" s="85">
        <f>'Consumer Hardware Pricing'!M350</f>
        <v>1089</v>
      </c>
      <c r="F342" s="85">
        <f>'Consumer Hardware Pricing'!N350</f>
        <v>0</v>
      </c>
      <c r="G342" s="85">
        <f t="shared" si="910"/>
        <v>45.379999999999995</v>
      </c>
      <c r="H342" s="85" t="str">
        <f>'Consumer Hardware Pricing'!O350</f>
        <v>-</v>
      </c>
      <c r="I342" s="85">
        <f t="shared" si="913"/>
        <v>45.379999999999995</v>
      </c>
      <c r="J342" s="85" t="str">
        <f t="shared" si="914"/>
        <v>-</v>
      </c>
      <c r="K342" s="85">
        <f t="shared" si="915"/>
        <v>1089.1199999999999</v>
      </c>
      <c r="L342" s="85">
        <f>'Consumer Hardware Pricing'!Q350</f>
        <v>321</v>
      </c>
      <c r="M342" s="85">
        <f t="shared" si="911"/>
        <v>13.379999999999995</v>
      </c>
      <c r="N342" s="85">
        <f t="shared" si="916"/>
        <v>32</v>
      </c>
      <c r="O342" s="85">
        <f t="shared" si="917"/>
        <v>321.11999999999989</v>
      </c>
      <c r="P342" s="85">
        <f t="shared" si="918"/>
        <v>768</v>
      </c>
      <c r="Q342" s="85">
        <f>'Consumer Hardware Pricing'!S350</f>
        <v>0</v>
      </c>
      <c r="R342" s="85">
        <f t="shared" si="919"/>
        <v>45.379999999999995</v>
      </c>
      <c r="S342" s="85" t="str">
        <f>'Consumer Hardware Pricing'!T350</f>
        <v>-</v>
      </c>
      <c r="T342" s="129">
        <f t="shared" si="920"/>
        <v>45.379999999999995</v>
      </c>
      <c r="U342" s="129" t="str">
        <f t="shared" si="921"/>
        <v>-</v>
      </c>
      <c r="V342" s="85">
        <f t="shared" si="922"/>
        <v>1089.1199999999999</v>
      </c>
      <c r="W342" s="129">
        <f>'Consumer Hardware Pricing'!V350</f>
        <v>321</v>
      </c>
      <c r="X342" s="129">
        <f t="shared" si="912"/>
        <v>13.379999999999995</v>
      </c>
      <c r="Y342" s="129">
        <f t="shared" si="923"/>
        <v>32</v>
      </c>
      <c r="Z342" s="129">
        <f t="shared" si="924"/>
        <v>321.11999999999989</v>
      </c>
      <c r="AA342" s="85">
        <f t="shared" si="925"/>
        <v>768</v>
      </c>
      <c r="AB342" s="85">
        <f>'Consumer Hardware Pricing'!X350</f>
        <v>0</v>
      </c>
      <c r="AC342" s="85">
        <f t="shared" si="950"/>
        <v>45.379999999999995</v>
      </c>
      <c r="AD342" s="85">
        <f>'Consumer Hardware Pricing'!Y350</f>
        <v>10</v>
      </c>
      <c r="AE342" s="85">
        <f t="shared" si="926"/>
        <v>35.379999999999995</v>
      </c>
      <c r="AF342" s="85">
        <f t="shared" si="927"/>
        <v>240</v>
      </c>
      <c r="AG342" s="85">
        <f t="shared" si="928"/>
        <v>849.11999999999989</v>
      </c>
      <c r="AH342" s="85">
        <f>'Consumer Hardware Pricing'!AA350</f>
        <v>321</v>
      </c>
      <c r="AI342" s="85">
        <f t="shared" si="951"/>
        <v>23.379999999999995</v>
      </c>
      <c r="AJ342" s="85">
        <f t="shared" si="929"/>
        <v>22</v>
      </c>
      <c r="AK342" s="85">
        <f t="shared" si="930"/>
        <v>561.11999999999989</v>
      </c>
      <c r="AL342" s="85">
        <f t="shared" si="931"/>
        <v>528</v>
      </c>
      <c r="AM342" s="85">
        <f>'Consumer Hardware Pricing'!AC350</f>
        <v>0</v>
      </c>
      <c r="AN342" s="85">
        <f t="shared" si="952"/>
        <v>45.379999999999995</v>
      </c>
      <c r="AO342" s="85">
        <f>'Consumer Hardware Pricing'!AD350</f>
        <v>10</v>
      </c>
      <c r="AP342" s="85">
        <f t="shared" si="932"/>
        <v>35.379999999999995</v>
      </c>
      <c r="AQ342" s="85">
        <f t="shared" si="933"/>
        <v>240</v>
      </c>
      <c r="AR342" s="85">
        <f t="shared" si="934"/>
        <v>849.11999999999989</v>
      </c>
      <c r="AS342" s="85">
        <f>'Consumer Hardware Pricing'!AF350</f>
        <v>321</v>
      </c>
      <c r="AT342" s="85">
        <f t="shared" si="953"/>
        <v>23.379999999999995</v>
      </c>
      <c r="AU342" s="85">
        <f t="shared" si="935"/>
        <v>22</v>
      </c>
      <c r="AV342" s="85">
        <f t="shared" si="936"/>
        <v>561.11999999999989</v>
      </c>
      <c r="AW342" s="85">
        <f t="shared" si="937"/>
        <v>528</v>
      </c>
      <c r="AX342" s="85" t="str">
        <f>'Consumer Hardware Pricing'!AH350</f>
        <v>-</v>
      </c>
      <c r="AY342" s="85" t="str">
        <f t="shared" si="954"/>
        <v>-</v>
      </c>
      <c r="AZ342" s="85" t="str">
        <f>'Consumer Hardware Pricing'!AI350</f>
        <v>-</v>
      </c>
      <c r="BA342" s="85" t="str">
        <f t="shared" si="938"/>
        <v>-</v>
      </c>
      <c r="BB342" s="85" t="str">
        <f t="shared" si="939"/>
        <v>-</v>
      </c>
      <c r="BC342" s="85" t="str">
        <f t="shared" si="940"/>
        <v>-</v>
      </c>
      <c r="BD342" s="85" t="str">
        <f>'Consumer Hardware Pricing'!AL350</f>
        <v>-</v>
      </c>
      <c r="BE342" s="85" t="str">
        <f t="shared" si="955"/>
        <v>-</v>
      </c>
      <c r="BF342" s="85" t="str">
        <f>'Consumer Hardware Pricing'!AM350</f>
        <v>-</v>
      </c>
      <c r="BG342" s="85" t="str">
        <f t="shared" si="941"/>
        <v>-</v>
      </c>
      <c r="BH342" s="85" t="str">
        <f t="shared" si="942"/>
        <v>-</v>
      </c>
      <c r="BI342" s="85" t="str">
        <f t="shared" si="943"/>
        <v>-</v>
      </c>
      <c r="BJ342" s="85" t="str">
        <f>'Consumer Hardware Pricing'!AP350</f>
        <v>-</v>
      </c>
      <c r="BK342" s="85" t="str">
        <f t="shared" si="956"/>
        <v>-</v>
      </c>
      <c r="BL342" s="85" t="str">
        <f>'Consumer Hardware Pricing'!AQ350</f>
        <v>-</v>
      </c>
      <c r="BM342" s="85" t="str">
        <f t="shared" si="944"/>
        <v>-</v>
      </c>
      <c r="BN342" s="85" t="str">
        <f t="shared" si="945"/>
        <v>-</v>
      </c>
      <c r="BO342" s="85" t="str">
        <f t="shared" si="946"/>
        <v>-</v>
      </c>
      <c r="BP342" s="85" t="str">
        <f>'Consumer Hardware Pricing'!AT350</f>
        <v>-</v>
      </c>
      <c r="BQ342" s="85" t="str">
        <f t="shared" si="957"/>
        <v>-</v>
      </c>
      <c r="BR342" s="85" t="str">
        <f>'Consumer Hardware Pricing'!AU350</f>
        <v>-</v>
      </c>
      <c r="BS342" s="85" t="str">
        <f t="shared" si="947"/>
        <v>-</v>
      </c>
      <c r="BT342" s="85" t="str">
        <f t="shared" si="948"/>
        <v>-</v>
      </c>
      <c r="BU342" s="85" t="str">
        <f t="shared" si="949"/>
        <v>-</v>
      </c>
    </row>
    <row r="343" spans="1:73" ht="30.15" customHeight="1" x14ac:dyDescent="0.25">
      <c r="A343" s="87" t="s">
        <v>34</v>
      </c>
      <c r="B343" s="88" t="s">
        <v>1074</v>
      </c>
      <c r="C343" s="88" t="s">
        <v>1077</v>
      </c>
      <c r="D343" s="85">
        <f>'Consumer Hardware Pricing'!L351</f>
        <v>1089</v>
      </c>
      <c r="E343" s="85">
        <f>'Consumer Hardware Pricing'!M351</f>
        <v>1089</v>
      </c>
      <c r="F343" s="85">
        <f>'Consumer Hardware Pricing'!N351</f>
        <v>0</v>
      </c>
      <c r="G343" s="85">
        <f t="shared" si="910"/>
        <v>45.379999999999995</v>
      </c>
      <c r="H343" s="85" t="str">
        <f>'Consumer Hardware Pricing'!O351</f>
        <v>-</v>
      </c>
      <c r="I343" s="85">
        <f t="shared" si="913"/>
        <v>45.379999999999995</v>
      </c>
      <c r="J343" s="85" t="str">
        <f t="shared" si="914"/>
        <v>-</v>
      </c>
      <c r="K343" s="85">
        <f t="shared" si="915"/>
        <v>1089.1199999999999</v>
      </c>
      <c r="L343" s="85">
        <f>'Consumer Hardware Pricing'!Q351</f>
        <v>321</v>
      </c>
      <c r="M343" s="85">
        <f t="shared" si="911"/>
        <v>13.379999999999995</v>
      </c>
      <c r="N343" s="85">
        <f t="shared" si="916"/>
        <v>32</v>
      </c>
      <c r="O343" s="85">
        <f t="shared" si="917"/>
        <v>321.11999999999989</v>
      </c>
      <c r="P343" s="85">
        <f t="shared" si="918"/>
        <v>768</v>
      </c>
      <c r="Q343" s="85">
        <f>'Consumer Hardware Pricing'!S351</f>
        <v>0</v>
      </c>
      <c r="R343" s="85">
        <f t="shared" si="919"/>
        <v>45.379999999999995</v>
      </c>
      <c r="S343" s="85" t="str">
        <f>'Consumer Hardware Pricing'!T351</f>
        <v>-</v>
      </c>
      <c r="T343" s="129">
        <f t="shared" si="920"/>
        <v>45.379999999999995</v>
      </c>
      <c r="U343" s="129" t="str">
        <f t="shared" si="921"/>
        <v>-</v>
      </c>
      <c r="V343" s="85">
        <f t="shared" si="922"/>
        <v>1089.1199999999999</v>
      </c>
      <c r="W343" s="129">
        <f>'Consumer Hardware Pricing'!V351</f>
        <v>321</v>
      </c>
      <c r="X343" s="129">
        <f t="shared" si="912"/>
        <v>13.379999999999995</v>
      </c>
      <c r="Y343" s="129">
        <f t="shared" si="923"/>
        <v>32</v>
      </c>
      <c r="Z343" s="129">
        <f t="shared" si="924"/>
        <v>321.11999999999989</v>
      </c>
      <c r="AA343" s="85">
        <f t="shared" si="925"/>
        <v>768</v>
      </c>
      <c r="AB343" s="85">
        <f>'Consumer Hardware Pricing'!X351</f>
        <v>0</v>
      </c>
      <c r="AC343" s="85">
        <f t="shared" si="950"/>
        <v>45.379999999999995</v>
      </c>
      <c r="AD343" s="85">
        <f>'Consumer Hardware Pricing'!Y351</f>
        <v>10</v>
      </c>
      <c r="AE343" s="85">
        <f t="shared" si="926"/>
        <v>35.379999999999995</v>
      </c>
      <c r="AF343" s="85">
        <f t="shared" si="927"/>
        <v>240</v>
      </c>
      <c r="AG343" s="85">
        <f t="shared" si="928"/>
        <v>849.11999999999989</v>
      </c>
      <c r="AH343" s="85">
        <f>'Consumer Hardware Pricing'!AA351</f>
        <v>321</v>
      </c>
      <c r="AI343" s="85">
        <f t="shared" si="951"/>
        <v>23.379999999999995</v>
      </c>
      <c r="AJ343" s="85">
        <f t="shared" si="929"/>
        <v>22</v>
      </c>
      <c r="AK343" s="85">
        <f t="shared" si="930"/>
        <v>561.11999999999989</v>
      </c>
      <c r="AL343" s="85">
        <f t="shared" si="931"/>
        <v>528</v>
      </c>
      <c r="AM343" s="85">
        <f>'Consumer Hardware Pricing'!AC351</f>
        <v>0</v>
      </c>
      <c r="AN343" s="85">
        <f t="shared" si="952"/>
        <v>45.379999999999995</v>
      </c>
      <c r="AO343" s="85">
        <f>'Consumer Hardware Pricing'!AD351</f>
        <v>10</v>
      </c>
      <c r="AP343" s="85">
        <f t="shared" si="932"/>
        <v>35.379999999999995</v>
      </c>
      <c r="AQ343" s="85">
        <f t="shared" si="933"/>
        <v>240</v>
      </c>
      <c r="AR343" s="85">
        <f t="shared" si="934"/>
        <v>849.11999999999989</v>
      </c>
      <c r="AS343" s="85">
        <f>'Consumer Hardware Pricing'!AF351</f>
        <v>321</v>
      </c>
      <c r="AT343" s="85">
        <f t="shared" si="953"/>
        <v>23.379999999999995</v>
      </c>
      <c r="AU343" s="85">
        <f t="shared" si="935"/>
        <v>22</v>
      </c>
      <c r="AV343" s="85">
        <f t="shared" si="936"/>
        <v>561.11999999999989</v>
      </c>
      <c r="AW343" s="85">
        <f t="shared" si="937"/>
        <v>528</v>
      </c>
      <c r="AX343" s="85" t="str">
        <f>'Consumer Hardware Pricing'!AH351</f>
        <v>-</v>
      </c>
      <c r="AY343" s="85" t="str">
        <f t="shared" si="954"/>
        <v>-</v>
      </c>
      <c r="AZ343" s="85" t="str">
        <f>'Consumer Hardware Pricing'!AI351</f>
        <v>-</v>
      </c>
      <c r="BA343" s="85" t="str">
        <f t="shared" si="938"/>
        <v>-</v>
      </c>
      <c r="BB343" s="85" t="str">
        <f t="shared" si="939"/>
        <v>-</v>
      </c>
      <c r="BC343" s="85" t="str">
        <f t="shared" si="940"/>
        <v>-</v>
      </c>
      <c r="BD343" s="85" t="str">
        <f>'Consumer Hardware Pricing'!AL351</f>
        <v>-</v>
      </c>
      <c r="BE343" s="85" t="str">
        <f t="shared" si="955"/>
        <v>-</v>
      </c>
      <c r="BF343" s="85" t="str">
        <f>'Consumer Hardware Pricing'!AM351</f>
        <v>-</v>
      </c>
      <c r="BG343" s="85" t="str">
        <f t="shared" si="941"/>
        <v>-</v>
      </c>
      <c r="BH343" s="85" t="str">
        <f t="shared" si="942"/>
        <v>-</v>
      </c>
      <c r="BI343" s="85" t="str">
        <f t="shared" si="943"/>
        <v>-</v>
      </c>
      <c r="BJ343" s="85" t="str">
        <f>'Consumer Hardware Pricing'!AP351</f>
        <v>-</v>
      </c>
      <c r="BK343" s="85" t="str">
        <f t="shared" si="956"/>
        <v>-</v>
      </c>
      <c r="BL343" s="85" t="str">
        <f>'Consumer Hardware Pricing'!AQ351</f>
        <v>-</v>
      </c>
      <c r="BM343" s="85" t="str">
        <f t="shared" si="944"/>
        <v>-</v>
      </c>
      <c r="BN343" s="85" t="str">
        <f t="shared" si="945"/>
        <v>-</v>
      </c>
      <c r="BO343" s="85" t="str">
        <f t="shared" si="946"/>
        <v>-</v>
      </c>
      <c r="BP343" s="85" t="str">
        <f>'Consumer Hardware Pricing'!AT351</f>
        <v>-</v>
      </c>
      <c r="BQ343" s="85" t="str">
        <f t="shared" si="957"/>
        <v>-</v>
      </c>
      <c r="BR343" s="85" t="str">
        <f>'Consumer Hardware Pricing'!AU351</f>
        <v>-</v>
      </c>
      <c r="BS343" s="85" t="str">
        <f t="shared" si="947"/>
        <v>-</v>
      </c>
      <c r="BT343" s="85" t="str">
        <f t="shared" si="948"/>
        <v>-</v>
      </c>
      <c r="BU343" s="85" t="str">
        <f t="shared" si="949"/>
        <v>-</v>
      </c>
    </row>
    <row r="344" spans="1:73" ht="30.15" customHeight="1" x14ac:dyDescent="0.25">
      <c r="A344" s="87" t="s">
        <v>34</v>
      </c>
      <c r="B344" s="88" t="s">
        <v>1157</v>
      </c>
      <c r="C344" s="88" t="s">
        <v>1184</v>
      </c>
      <c r="D344" s="85">
        <f>'Consumer Hardware Pricing'!L352</f>
        <v>1596</v>
      </c>
      <c r="E344" s="85">
        <f>'Consumer Hardware Pricing'!M352</f>
        <v>1596</v>
      </c>
      <c r="F344" s="85">
        <f>'Consumer Hardware Pricing'!N352</f>
        <v>0</v>
      </c>
      <c r="G344" s="85">
        <f t="shared" si="910"/>
        <v>66.5</v>
      </c>
      <c r="H344" s="85" t="str">
        <f>'Consumer Hardware Pricing'!O352</f>
        <v>-</v>
      </c>
      <c r="I344" s="85">
        <f t="shared" ref="I344:I372" si="958">IF(H344="-",G344,G344-H344)</f>
        <v>66.5</v>
      </c>
      <c r="J344" s="85" t="str">
        <f t="shared" ref="J344:J372" si="959">IF(H344="-",H344,H344*24)</f>
        <v>-</v>
      </c>
      <c r="K344" s="85">
        <f t="shared" ref="K344:K372" si="960">IF(F344="-",F344,I344*24)</f>
        <v>1596</v>
      </c>
      <c r="L344" s="85">
        <f>'Consumer Hardware Pricing'!Q352</f>
        <v>636</v>
      </c>
      <c r="M344" s="85">
        <f t="shared" si="911"/>
        <v>26.5</v>
      </c>
      <c r="N344" s="85">
        <f t="shared" ref="N344:N372" si="961">IF(L344="-",L344,G344-M344)</f>
        <v>40</v>
      </c>
      <c r="O344" s="85">
        <f t="shared" ref="O344:O372" si="962">IF(L344="-",L344,M344*24)</f>
        <v>636</v>
      </c>
      <c r="P344" s="85">
        <f t="shared" ref="P344:P372" si="963">IF(L344="-",L344,N344*24)</f>
        <v>960</v>
      </c>
      <c r="Q344" s="85">
        <f>'Consumer Hardware Pricing'!S352</f>
        <v>0</v>
      </c>
      <c r="R344" s="85">
        <f t="shared" ref="R344:R372" si="964">G344</f>
        <v>66.5</v>
      </c>
      <c r="S344" s="85" t="str">
        <f>'Consumer Hardware Pricing'!T352</f>
        <v>-</v>
      </c>
      <c r="T344" s="129">
        <f t="shared" ref="T344:T372" si="965">IF(S344="-",R344,R344-S344)</f>
        <v>66.5</v>
      </c>
      <c r="U344" s="129" t="str">
        <f t="shared" ref="U344:U372" si="966">IF(S344="-",S344,S344*24)</f>
        <v>-</v>
      </c>
      <c r="V344" s="85">
        <f t="shared" ref="V344:V372" si="967">IF(Q344="-",Q344,T344*24)</f>
        <v>1596</v>
      </c>
      <c r="W344" s="129">
        <f>'Consumer Hardware Pricing'!V352</f>
        <v>636</v>
      </c>
      <c r="X344" s="129">
        <f t="shared" si="912"/>
        <v>26.5</v>
      </c>
      <c r="Y344" s="129">
        <f t="shared" ref="Y344:Y372" si="968">IF(W344="-",W344,R344-X344)</f>
        <v>40</v>
      </c>
      <c r="Z344" s="129">
        <f t="shared" ref="Z344:Z372" si="969">IF(W344="-",W344,X344*24)</f>
        <v>636</v>
      </c>
      <c r="AA344" s="85">
        <f t="shared" ref="AA344:AA372" si="970">IF(W344="-",W344,Y344*24)</f>
        <v>960</v>
      </c>
      <c r="AB344" s="85">
        <f>'Consumer Hardware Pricing'!X352</f>
        <v>0</v>
      </c>
      <c r="AC344" s="85">
        <f t="shared" si="950"/>
        <v>66.5</v>
      </c>
      <c r="AD344" s="85">
        <f>'Consumer Hardware Pricing'!Y352</f>
        <v>2</v>
      </c>
      <c r="AE344" s="85">
        <f t="shared" ref="AE344:AE372" si="971">IF(AD344="-",AC344,AC344-AD344)</f>
        <v>64.5</v>
      </c>
      <c r="AF344" s="85">
        <f t="shared" ref="AF344:AF372" si="972">IF(AD344="-",AD344,AD344*24)</f>
        <v>48</v>
      </c>
      <c r="AG344" s="85">
        <f t="shared" ref="AG344:AG372" si="973">IF(AB344="-",AB344,AE344*24)</f>
        <v>1548</v>
      </c>
      <c r="AH344" s="85">
        <f>'Consumer Hardware Pricing'!AA352</f>
        <v>636</v>
      </c>
      <c r="AI344" s="85">
        <f t="shared" si="951"/>
        <v>28.5</v>
      </c>
      <c r="AJ344" s="85">
        <f t="shared" ref="AJ344:AJ372" si="974">IF(AH344="-",AH344,AC344-AI344)</f>
        <v>38</v>
      </c>
      <c r="AK344" s="85">
        <f t="shared" ref="AK344:AK372" si="975">IF(AH344="-",AH344,AI344*24)</f>
        <v>684</v>
      </c>
      <c r="AL344" s="85">
        <f t="shared" ref="AL344:AL372" si="976">IF(AH344="-",AH344,AJ344*24)</f>
        <v>912</v>
      </c>
      <c r="AM344" s="85">
        <f>'Consumer Hardware Pricing'!AC352</f>
        <v>0</v>
      </c>
      <c r="AN344" s="85">
        <f t="shared" si="952"/>
        <v>66.5</v>
      </c>
      <c r="AO344" s="85">
        <f>'Consumer Hardware Pricing'!AD352</f>
        <v>2</v>
      </c>
      <c r="AP344" s="85">
        <f t="shared" ref="AP344:AP372" si="977">IF(AO344="-",AN344,AN344-AO344)</f>
        <v>64.5</v>
      </c>
      <c r="AQ344" s="85">
        <f t="shared" ref="AQ344:AQ372" si="978">IF(AO344="-",AO344,AO344*24)</f>
        <v>48</v>
      </c>
      <c r="AR344" s="85">
        <f t="shared" ref="AR344:AR372" si="979">IF(AM344="-",AM344,AP344*24)</f>
        <v>1548</v>
      </c>
      <c r="AS344" s="85">
        <f>'Consumer Hardware Pricing'!AF352</f>
        <v>636</v>
      </c>
      <c r="AT344" s="85">
        <f t="shared" si="953"/>
        <v>28.5</v>
      </c>
      <c r="AU344" s="85">
        <f t="shared" ref="AU344:AU372" si="980">IF(AS344="-",AS344,AN344-AT344)</f>
        <v>38</v>
      </c>
      <c r="AV344" s="85">
        <f t="shared" ref="AV344:AV372" si="981">IF(AS344="-",AS344,AT344*24)</f>
        <v>684</v>
      </c>
      <c r="AW344" s="85">
        <f t="shared" ref="AW344:AW372" si="982">IF(AS344="-",AS344,AU344*24)</f>
        <v>912</v>
      </c>
      <c r="AX344" s="85" t="str">
        <f>'Consumer Hardware Pricing'!AH352</f>
        <v>-</v>
      </c>
      <c r="AY344" s="85" t="str">
        <f t="shared" si="954"/>
        <v>-</v>
      </c>
      <c r="AZ344" s="85" t="str">
        <f>'Consumer Hardware Pricing'!AI352</f>
        <v>-</v>
      </c>
      <c r="BA344" s="85" t="str">
        <f t="shared" ref="BA344:BA372" si="983">IF(AZ344="-",AY344,AY344-AZ344)</f>
        <v>-</v>
      </c>
      <c r="BB344" s="85" t="str">
        <f t="shared" ref="BB344:BB372" si="984">IF(AZ344="-",AZ344,AZ344*24)</f>
        <v>-</v>
      </c>
      <c r="BC344" s="85" t="str">
        <f t="shared" ref="BC344:BC372" si="985">IF(AX344="-",AX344,AX344+(BA344*24))</f>
        <v>-</v>
      </c>
      <c r="BD344" s="85" t="str">
        <f>'Consumer Hardware Pricing'!AL352</f>
        <v>-</v>
      </c>
      <c r="BE344" s="85" t="str">
        <f t="shared" si="955"/>
        <v>-</v>
      </c>
      <c r="BF344" s="85" t="str">
        <f>'Consumer Hardware Pricing'!AM352</f>
        <v>-</v>
      </c>
      <c r="BG344" s="85" t="str">
        <f t="shared" ref="BG344:BG372" si="986">IF(BF344="-",BE344,BE344-BF344)</f>
        <v>-</v>
      </c>
      <c r="BH344" s="85" t="str">
        <f t="shared" ref="BH344:BH372" si="987">IF(BF344="-",BF344,BF344*24)</f>
        <v>-</v>
      </c>
      <c r="BI344" s="85" t="str">
        <f t="shared" ref="BI344:BI372" si="988">IF(BD344="-",BD344,BD344+(BG344*24))</f>
        <v>-</v>
      </c>
      <c r="BJ344" s="85" t="str">
        <f>'Consumer Hardware Pricing'!AP352</f>
        <v>-</v>
      </c>
      <c r="BK344" s="85" t="str">
        <f t="shared" si="956"/>
        <v>-</v>
      </c>
      <c r="BL344" s="85" t="str">
        <f>'Consumer Hardware Pricing'!AQ352</f>
        <v>-</v>
      </c>
      <c r="BM344" s="85" t="str">
        <f t="shared" ref="BM344:BM372" si="989">IF(BL344="-",BK344,BK344-BL344)</f>
        <v>-</v>
      </c>
      <c r="BN344" s="85" t="str">
        <f t="shared" ref="BN344:BN372" si="990">IF(BL344="-",BL344,BL344*24)</f>
        <v>-</v>
      </c>
      <c r="BO344" s="85" t="str">
        <f t="shared" ref="BO344:BO372" si="991">IF(BJ344="-",BJ344,BJ344+(BM344*24))</f>
        <v>-</v>
      </c>
      <c r="BP344" s="85" t="str">
        <f>'Consumer Hardware Pricing'!AT352</f>
        <v>-</v>
      </c>
      <c r="BQ344" s="85" t="str">
        <f t="shared" si="957"/>
        <v>-</v>
      </c>
      <c r="BR344" s="85" t="str">
        <f>'Consumer Hardware Pricing'!AU352</f>
        <v>-</v>
      </c>
      <c r="BS344" s="85" t="str">
        <f t="shared" ref="BS344:BS372" si="992">IF(BR344="-",BQ344,BQ344-BR344)</f>
        <v>-</v>
      </c>
      <c r="BT344" s="85" t="str">
        <f t="shared" ref="BT344:BT372" si="993">IF(BR344="-",BR344,BR344*24)</f>
        <v>-</v>
      </c>
      <c r="BU344" s="85" t="str">
        <f t="shared" ref="BU344:BU372" si="994">IF(BP344="-",BP344,BP344+(BS344*24))</f>
        <v>-</v>
      </c>
    </row>
    <row r="345" spans="1:73" ht="30.15" customHeight="1" x14ac:dyDescent="0.25">
      <c r="A345" s="87" t="s">
        <v>34</v>
      </c>
      <c r="B345" s="88" t="s">
        <v>1158</v>
      </c>
      <c r="C345" s="88" t="s">
        <v>1184</v>
      </c>
      <c r="D345" s="85">
        <f>'Consumer Hardware Pricing'!L353</f>
        <v>1596</v>
      </c>
      <c r="E345" s="85">
        <f>'Consumer Hardware Pricing'!M353</f>
        <v>1596</v>
      </c>
      <c r="F345" s="85">
        <f>'Consumer Hardware Pricing'!N353</f>
        <v>0</v>
      </c>
      <c r="G345" s="85">
        <f t="shared" si="910"/>
        <v>66.5</v>
      </c>
      <c r="H345" s="85" t="str">
        <f>'Consumer Hardware Pricing'!O353</f>
        <v>-</v>
      </c>
      <c r="I345" s="85">
        <f t="shared" si="958"/>
        <v>66.5</v>
      </c>
      <c r="J345" s="85" t="str">
        <f t="shared" si="959"/>
        <v>-</v>
      </c>
      <c r="K345" s="85">
        <f t="shared" si="960"/>
        <v>1596</v>
      </c>
      <c r="L345" s="85">
        <f>'Consumer Hardware Pricing'!Q353</f>
        <v>636</v>
      </c>
      <c r="M345" s="85">
        <f t="shared" si="911"/>
        <v>26.5</v>
      </c>
      <c r="N345" s="85">
        <f t="shared" si="961"/>
        <v>40</v>
      </c>
      <c r="O345" s="85">
        <f t="shared" si="962"/>
        <v>636</v>
      </c>
      <c r="P345" s="85">
        <f t="shared" si="963"/>
        <v>960</v>
      </c>
      <c r="Q345" s="85">
        <f>'Consumer Hardware Pricing'!S353</f>
        <v>0</v>
      </c>
      <c r="R345" s="85">
        <f t="shared" si="964"/>
        <v>66.5</v>
      </c>
      <c r="S345" s="85" t="str">
        <f>'Consumer Hardware Pricing'!T353</f>
        <v>-</v>
      </c>
      <c r="T345" s="129">
        <f t="shared" si="965"/>
        <v>66.5</v>
      </c>
      <c r="U345" s="129" t="str">
        <f t="shared" si="966"/>
        <v>-</v>
      </c>
      <c r="V345" s="85">
        <f t="shared" si="967"/>
        <v>1596</v>
      </c>
      <c r="W345" s="129">
        <f>'Consumer Hardware Pricing'!V353</f>
        <v>636</v>
      </c>
      <c r="X345" s="129">
        <f t="shared" si="912"/>
        <v>26.5</v>
      </c>
      <c r="Y345" s="129">
        <f t="shared" si="968"/>
        <v>40</v>
      </c>
      <c r="Z345" s="129">
        <f t="shared" si="969"/>
        <v>636</v>
      </c>
      <c r="AA345" s="85">
        <f t="shared" si="970"/>
        <v>960</v>
      </c>
      <c r="AB345" s="85">
        <f>'Consumer Hardware Pricing'!X353</f>
        <v>0</v>
      </c>
      <c r="AC345" s="85">
        <f t="shared" si="950"/>
        <v>66.5</v>
      </c>
      <c r="AD345" s="85">
        <f>'Consumer Hardware Pricing'!Y353</f>
        <v>2</v>
      </c>
      <c r="AE345" s="85">
        <f t="shared" si="971"/>
        <v>64.5</v>
      </c>
      <c r="AF345" s="85">
        <f t="shared" si="972"/>
        <v>48</v>
      </c>
      <c r="AG345" s="85">
        <f t="shared" si="973"/>
        <v>1548</v>
      </c>
      <c r="AH345" s="85">
        <f>'Consumer Hardware Pricing'!AA353</f>
        <v>636</v>
      </c>
      <c r="AI345" s="85">
        <f t="shared" si="951"/>
        <v>28.5</v>
      </c>
      <c r="AJ345" s="85">
        <f t="shared" si="974"/>
        <v>38</v>
      </c>
      <c r="AK345" s="85">
        <f t="shared" si="975"/>
        <v>684</v>
      </c>
      <c r="AL345" s="85">
        <f t="shared" si="976"/>
        <v>912</v>
      </c>
      <c r="AM345" s="85">
        <f>'Consumer Hardware Pricing'!AC353</f>
        <v>0</v>
      </c>
      <c r="AN345" s="85">
        <f t="shared" si="952"/>
        <v>66.5</v>
      </c>
      <c r="AO345" s="85">
        <f>'Consumer Hardware Pricing'!AD353</f>
        <v>2</v>
      </c>
      <c r="AP345" s="85">
        <f t="shared" si="977"/>
        <v>64.5</v>
      </c>
      <c r="AQ345" s="85">
        <f t="shared" si="978"/>
        <v>48</v>
      </c>
      <c r="AR345" s="85">
        <f t="shared" si="979"/>
        <v>1548</v>
      </c>
      <c r="AS345" s="85">
        <f>'Consumer Hardware Pricing'!AF353</f>
        <v>636</v>
      </c>
      <c r="AT345" s="85">
        <f t="shared" si="953"/>
        <v>28.5</v>
      </c>
      <c r="AU345" s="85">
        <f t="shared" si="980"/>
        <v>38</v>
      </c>
      <c r="AV345" s="85">
        <f t="shared" si="981"/>
        <v>684</v>
      </c>
      <c r="AW345" s="85">
        <f t="shared" si="982"/>
        <v>912</v>
      </c>
      <c r="AX345" s="85" t="str">
        <f>'Consumer Hardware Pricing'!AH353</f>
        <v>-</v>
      </c>
      <c r="AY345" s="85" t="str">
        <f t="shared" si="954"/>
        <v>-</v>
      </c>
      <c r="AZ345" s="85" t="str">
        <f>'Consumer Hardware Pricing'!AI353</f>
        <v>-</v>
      </c>
      <c r="BA345" s="85" t="str">
        <f t="shared" si="983"/>
        <v>-</v>
      </c>
      <c r="BB345" s="85" t="str">
        <f t="shared" si="984"/>
        <v>-</v>
      </c>
      <c r="BC345" s="85" t="str">
        <f t="shared" si="985"/>
        <v>-</v>
      </c>
      <c r="BD345" s="85" t="str">
        <f>'Consumer Hardware Pricing'!AL353</f>
        <v>-</v>
      </c>
      <c r="BE345" s="85" t="str">
        <f t="shared" si="955"/>
        <v>-</v>
      </c>
      <c r="BF345" s="85" t="str">
        <f>'Consumer Hardware Pricing'!AM353</f>
        <v>-</v>
      </c>
      <c r="BG345" s="85" t="str">
        <f t="shared" si="986"/>
        <v>-</v>
      </c>
      <c r="BH345" s="85" t="str">
        <f t="shared" si="987"/>
        <v>-</v>
      </c>
      <c r="BI345" s="85" t="str">
        <f t="shared" si="988"/>
        <v>-</v>
      </c>
      <c r="BJ345" s="85" t="str">
        <f>'Consumer Hardware Pricing'!AP353</f>
        <v>-</v>
      </c>
      <c r="BK345" s="85" t="str">
        <f t="shared" si="956"/>
        <v>-</v>
      </c>
      <c r="BL345" s="85" t="str">
        <f>'Consumer Hardware Pricing'!AQ353</f>
        <v>-</v>
      </c>
      <c r="BM345" s="85" t="str">
        <f t="shared" si="989"/>
        <v>-</v>
      </c>
      <c r="BN345" s="85" t="str">
        <f t="shared" si="990"/>
        <v>-</v>
      </c>
      <c r="BO345" s="85" t="str">
        <f t="shared" si="991"/>
        <v>-</v>
      </c>
      <c r="BP345" s="85" t="str">
        <f>'Consumer Hardware Pricing'!AT353</f>
        <v>-</v>
      </c>
      <c r="BQ345" s="85" t="str">
        <f t="shared" si="957"/>
        <v>-</v>
      </c>
      <c r="BR345" s="85" t="str">
        <f>'Consumer Hardware Pricing'!AU353</f>
        <v>-</v>
      </c>
      <c r="BS345" s="85" t="str">
        <f t="shared" si="992"/>
        <v>-</v>
      </c>
      <c r="BT345" s="85" t="str">
        <f t="shared" si="993"/>
        <v>-</v>
      </c>
      <c r="BU345" s="85" t="str">
        <f t="shared" si="994"/>
        <v>-</v>
      </c>
    </row>
    <row r="346" spans="1:73" ht="30.15" customHeight="1" x14ac:dyDescent="0.25">
      <c r="A346" s="87" t="s">
        <v>34</v>
      </c>
      <c r="B346" s="88" t="s">
        <v>1159</v>
      </c>
      <c r="C346" s="88" t="s">
        <v>1184</v>
      </c>
      <c r="D346" s="85">
        <f>'Consumer Hardware Pricing'!L354</f>
        <v>1596</v>
      </c>
      <c r="E346" s="85">
        <f>'Consumer Hardware Pricing'!M354</f>
        <v>1596</v>
      </c>
      <c r="F346" s="85">
        <f>'Consumer Hardware Pricing'!N354</f>
        <v>0</v>
      </c>
      <c r="G346" s="85">
        <f t="shared" si="910"/>
        <v>66.5</v>
      </c>
      <c r="H346" s="85" t="str">
        <f>'Consumer Hardware Pricing'!O354</f>
        <v>-</v>
      </c>
      <c r="I346" s="85">
        <f t="shared" si="958"/>
        <v>66.5</v>
      </c>
      <c r="J346" s="85" t="str">
        <f t="shared" si="959"/>
        <v>-</v>
      </c>
      <c r="K346" s="85">
        <f t="shared" si="960"/>
        <v>1596</v>
      </c>
      <c r="L346" s="85">
        <f>'Consumer Hardware Pricing'!Q354</f>
        <v>636</v>
      </c>
      <c r="M346" s="85">
        <f t="shared" si="911"/>
        <v>26.5</v>
      </c>
      <c r="N346" s="85">
        <f t="shared" si="961"/>
        <v>40</v>
      </c>
      <c r="O346" s="85">
        <f t="shared" si="962"/>
        <v>636</v>
      </c>
      <c r="P346" s="85">
        <f t="shared" si="963"/>
        <v>960</v>
      </c>
      <c r="Q346" s="85">
        <f>'Consumer Hardware Pricing'!S354</f>
        <v>0</v>
      </c>
      <c r="R346" s="85">
        <f t="shared" si="964"/>
        <v>66.5</v>
      </c>
      <c r="S346" s="85" t="str">
        <f>'Consumer Hardware Pricing'!T354</f>
        <v>-</v>
      </c>
      <c r="T346" s="129">
        <f t="shared" si="965"/>
        <v>66.5</v>
      </c>
      <c r="U346" s="129" t="str">
        <f t="shared" si="966"/>
        <v>-</v>
      </c>
      <c r="V346" s="85">
        <f t="shared" si="967"/>
        <v>1596</v>
      </c>
      <c r="W346" s="129">
        <f>'Consumer Hardware Pricing'!V354</f>
        <v>636</v>
      </c>
      <c r="X346" s="129">
        <f t="shared" si="912"/>
        <v>26.5</v>
      </c>
      <c r="Y346" s="129">
        <f t="shared" si="968"/>
        <v>40</v>
      </c>
      <c r="Z346" s="129">
        <f t="shared" si="969"/>
        <v>636</v>
      </c>
      <c r="AA346" s="85">
        <f t="shared" si="970"/>
        <v>960</v>
      </c>
      <c r="AB346" s="85">
        <f>'Consumer Hardware Pricing'!X354</f>
        <v>0</v>
      </c>
      <c r="AC346" s="85">
        <f t="shared" si="950"/>
        <v>66.5</v>
      </c>
      <c r="AD346" s="85">
        <f>'Consumer Hardware Pricing'!Y354</f>
        <v>2</v>
      </c>
      <c r="AE346" s="85">
        <f t="shared" si="971"/>
        <v>64.5</v>
      </c>
      <c r="AF346" s="85">
        <f t="shared" si="972"/>
        <v>48</v>
      </c>
      <c r="AG346" s="85">
        <f t="shared" si="973"/>
        <v>1548</v>
      </c>
      <c r="AH346" s="85">
        <f>'Consumer Hardware Pricing'!AA354</f>
        <v>636</v>
      </c>
      <c r="AI346" s="85">
        <f t="shared" si="951"/>
        <v>28.5</v>
      </c>
      <c r="AJ346" s="85">
        <f t="shared" si="974"/>
        <v>38</v>
      </c>
      <c r="AK346" s="85">
        <f t="shared" si="975"/>
        <v>684</v>
      </c>
      <c r="AL346" s="85">
        <f t="shared" si="976"/>
        <v>912</v>
      </c>
      <c r="AM346" s="85">
        <f>'Consumer Hardware Pricing'!AC354</f>
        <v>0</v>
      </c>
      <c r="AN346" s="85">
        <f t="shared" si="952"/>
        <v>66.5</v>
      </c>
      <c r="AO346" s="85">
        <f>'Consumer Hardware Pricing'!AD354</f>
        <v>2</v>
      </c>
      <c r="AP346" s="85">
        <f t="shared" si="977"/>
        <v>64.5</v>
      </c>
      <c r="AQ346" s="85">
        <f t="shared" si="978"/>
        <v>48</v>
      </c>
      <c r="AR346" s="85">
        <f t="shared" si="979"/>
        <v>1548</v>
      </c>
      <c r="AS346" s="85">
        <f>'Consumer Hardware Pricing'!AF354</f>
        <v>636</v>
      </c>
      <c r="AT346" s="85">
        <f t="shared" si="953"/>
        <v>28.5</v>
      </c>
      <c r="AU346" s="85">
        <f t="shared" si="980"/>
        <v>38</v>
      </c>
      <c r="AV346" s="85">
        <f t="shared" si="981"/>
        <v>684</v>
      </c>
      <c r="AW346" s="85">
        <f t="shared" si="982"/>
        <v>912</v>
      </c>
      <c r="AX346" s="85" t="str">
        <f>'Consumer Hardware Pricing'!AH354</f>
        <v>-</v>
      </c>
      <c r="AY346" s="85" t="str">
        <f t="shared" si="954"/>
        <v>-</v>
      </c>
      <c r="AZ346" s="85" t="str">
        <f>'Consumer Hardware Pricing'!AI354</f>
        <v>-</v>
      </c>
      <c r="BA346" s="85" t="str">
        <f t="shared" si="983"/>
        <v>-</v>
      </c>
      <c r="BB346" s="85" t="str">
        <f t="shared" si="984"/>
        <v>-</v>
      </c>
      <c r="BC346" s="85" t="str">
        <f t="shared" si="985"/>
        <v>-</v>
      </c>
      <c r="BD346" s="85" t="str">
        <f>'Consumer Hardware Pricing'!AL354</f>
        <v>-</v>
      </c>
      <c r="BE346" s="85" t="str">
        <f t="shared" si="955"/>
        <v>-</v>
      </c>
      <c r="BF346" s="85" t="str">
        <f>'Consumer Hardware Pricing'!AM354</f>
        <v>-</v>
      </c>
      <c r="BG346" s="85" t="str">
        <f t="shared" si="986"/>
        <v>-</v>
      </c>
      <c r="BH346" s="85" t="str">
        <f t="shared" si="987"/>
        <v>-</v>
      </c>
      <c r="BI346" s="85" t="str">
        <f t="shared" si="988"/>
        <v>-</v>
      </c>
      <c r="BJ346" s="85" t="str">
        <f>'Consumer Hardware Pricing'!AP354</f>
        <v>-</v>
      </c>
      <c r="BK346" s="85" t="str">
        <f t="shared" si="956"/>
        <v>-</v>
      </c>
      <c r="BL346" s="85" t="str">
        <f>'Consumer Hardware Pricing'!AQ354</f>
        <v>-</v>
      </c>
      <c r="BM346" s="85" t="str">
        <f t="shared" si="989"/>
        <v>-</v>
      </c>
      <c r="BN346" s="85" t="str">
        <f t="shared" si="990"/>
        <v>-</v>
      </c>
      <c r="BO346" s="85" t="str">
        <f t="shared" si="991"/>
        <v>-</v>
      </c>
      <c r="BP346" s="85" t="str">
        <f>'Consumer Hardware Pricing'!AT354</f>
        <v>-</v>
      </c>
      <c r="BQ346" s="85" t="str">
        <f t="shared" si="957"/>
        <v>-</v>
      </c>
      <c r="BR346" s="85" t="str">
        <f>'Consumer Hardware Pricing'!AU354</f>
        <v>-</v>
      </c>
      <c r="BS346" s="85" t="str">
        <f t="shared" si="992"/>
        <v>-</v>
      </c>
      <c r="BT346" s="85" t="str">
        <f t="shared" si="993"/>
        <v>-</v>
      </c>
      <c r="BU346" s="85" t="str">
        <f t="shared" si="994"/>
        <v>-</v>
      </c>
    </row>
    <row r="347" spans="1:73" ht="30.15" customHeight="1" x14ac:dyDescent="0.25">
      <c r="A347" s="87" t="s">
        <v>34</v>
      </c>
      <c r="B347" s="88" t="s">
        <v>1160</v>
      </c>
      <c r="C347" s="88" t="s">
        <v>1184</v>
      </c>
      <c r="D347" s="85">
        <f>'Consumer Hardware Pricing'!L355</f>
        <v>1596</v>
      </c>
      <c r="E347" s="85">
        <f>'Consumer Hardware Pricing'!M355</f>
        <v>1596</v>
      </c>
      <c r="F347" s="85">
        <f>'Consumer Hardware Pricing'!N355</f>
        <v>0</v>
      </c>
      <c r="G347" s="85">
        <f t="shared" si="910"/>
        <v>66.5</v>
      </c>
      <c r="H347" s="85" t="str">
        <f>'Consumer Hardware Pricing'!O355</f>
        <v>-</v>
      </c>
      <c r="I347" s="85">
        <f t="shared" si="958"/>
        <v>66.5</v>
      </c>
      <c r="J347" s="85" t="str">
        <f t="shared" si="959"/>
        <v>-</v>
      </c>
      <c r="K347" s="85">
        <f t="shared" si="960"/>
        <v>1596</v>
      </c>
      <c r="L347" s="85">
        <f>'Consumer Hardware Pricing'!Q355</f>
        <v>636</v>
      </c>
      <c r="M347" s="85">
        <f t="shared" si="911"/>
        <v>26.5</v>
      </c>
      <c r="N347" s="85">
        <f t="shared" si="961"/>
        <v>40</v>
      </c>
      <c r="O347" s="85">
        <f t="shared" si="962"/>
        <v>636</v>
      </c>
      <c r="P347" s="85">
        <f t="shared" si="963"/>
        <v>960</v>
      </c>
      <c r="Q347" s="85">
        <f>'Consumer Hardware Pricing'!S355</f>
        <v>0</v>
      </c>
      <c r="R347" s="85">
        <f t="shared" si="964"/>
        <v>66.5</v>
      </c>
      <c r="S347" s="85" t="str">
        <f>'Consumer Hardware Pricing'!T355</f>
        <v>-</v>
      </c>
      <c r="T347" s="129">
        <f t="shared" si="965"/>
        <v>66.5</v>
      </c>
      <c r="U347" s="129" t="str">
        <f t="shared" si="966"/>
        <v>-</v>
      </c>
      <c r="V347" s="85">
        <f t="shared" si="967"/>
        <v>1596</v>
      </c>
      <c r="W347" s="129">
        <f>'Consumer Hardware Pricing'!V355</f>
        <v>636</v>
      </c>
      <c r="X347" s="129">
        <f t="shared" si="912"/>
        <v>26.5</v>
      </c>
      <c r="Y347" s="129">
        <f t="shared" si="968"/>
        <v>40</v>
      </c>
      <c r="Z347" s="129">
        <f t="shared" si="969"/>
        <v>636</v>
      </c>
      <c r="AA347" s="85">
        <f t="shared" si="970"/>
        <v>960</v>
      </c>
      <c r="AB347" s="85">
        <f>'Consumer Hardware Pricing'!X355</f>
        <v>0</v>
      </c>
      <c r="AC347" s="85">
        <f t="shared" si="950"/>
        <v>66.5</v>
      </c>
      <c r="AD347" s="85">
        <f>'Consumer Hardware Pricing'!Y355</f>
        <v>2</v>
      </c>
      <c r="AE347" s="85">
        <f t="shared" si="971"/>
        <v>64.5</v>
      </c>
      <c r="AF347" s="85">
        <f t="shared" si="972"/>
        <v>48</v>
      </c>
      <c r="AG347" s="85">
        <f t="shared" si="973"/>
        <v>1548</v>
      </c>
      <c r="AH347" s="85">
        <f>'Consumer Hardware Pricing'!AA355</f>
        <v>636</v>
      </c>
      <c r="AI347" s="85">
        <f t="shared" si="951"/>
        <v>28.5</v>
      </c>
      <c r="AJ347" s="85">
        <f t="shared" si="974"/>
        <v>38</v>
      </c>
      <c r="AK347" s="85">
        <f t="shared" si="975"/>
        <v>684</v>
      </c>
      <c r="AL347" s="85">
        <f t="shared" si="976"/>
        <v>912</v>
      </c>
      <c r="AM347" s="85">
        <f>'Consumer Hardware Pricing'!AC355</f>
        <v>0</v>
      </c>
      <c r="AN347" s="85">
        <f t="shared" si="952"/>
        <v>66.5</v>
      </c>
      <c r="AO347" s="85">
        <f>'Consumer Hardware Pricing'!AD355</f>
        <v>2</v>
      </c>
      <c r="AP347" s="85">
        <f t="shared" si="977"/>
        <v>64.5</v>
      </c>
      <c r="AQ347" s="85">
        <f t="shared" si="978"/>
        <v>48</v>
      </c>
      <c r="AR347" s="85">
        <f t="shared" si="979"/>
        <v>1548</v>
      </c>
      <c r="AS347" s="85">
        <f>'Consumer Hardware Pricing'!AF355</f>
        <v>636</v>
      </c>
      <c r="AT347" s="85">
        <f t="shared" si="953"/>
        <v>28.5</v>
      </c>
      <c r="AU347" s="85">
        <f t="shared" si="980"/>
        <v>38</v>
      </c>
      <c r="AV347" s="85">
        <f t="shared" si="981"/>
        <v>684</v>
      </c>
      <c r="AW347" s="85">
        <f t="shared" si="982"/>
        <v>912</v>
      </c>
      <c r="AX347" s="85" t="str">
        <f>'Consumer Hardware Pricing'!AH355</f>
        <v>-</v>
      </c>
      <c r="AY347" s="85" t="str">
        <f t="shared" si="954"/>
        <v>-</v>
      </c>
      <c r="AZ347" s="85" t="str">
        <f>'Consumer Hardware Pricing'!AI355</f>
        <v>-</v>
      </c>
      <c r="BA347" s="85" t="str">
        <f t="shared" si="983"/>
        <v>-</v>
      </c>
      <c r="BB347" s="85" t="str">
        <f t="shared" si="984"/>
        <v>-</v>
      </c>
      <c r="BC347" s="85" t="str">
        <f t="shared" si="985"/>
        <v>-</v>
      </c>
      <c r="BD347" s="85" t="str">
        <f>'Consumer Hardware Pricing'!AL355</f>
        <v>-</v>
      </c>
      <c r="BE347" s="85" t="str">
        <f t="shared" si="955"/>
        <v>-</v>
      </c>
      <c r="BF347" s="85" t="str">
        <f>'Consumer Hardware Pricing'!AM355</f>
        <v>-</v>
      </c>
      <c r="BG347" s="85" t="str">
        <f t="shared" si="986"/>
        <v>-</v>
      </c>
      <c r="BH347" s="85" t="str">
        <f t="shared" si="987"/>
        <v>-</v>
      </c>
      <c r="BI347" s="85" t="str">
        <f t="shared" si="988"/>
        <v>-</v>
      </c>
      <c r="BJ347" s="85" t="str">
        <f>'Consumer Hardware Pricing'!AP355</f>
        <v>-</v>
      </c>
      <c r="BK347" s="85" t="str">
        <f t="shared" si="956"/>
        <v>-</v>
      </c>
      <c r="BL347" s="85" t="str">
        <f>'Consumer Hardware Pricing'!AQ355</f>
        <v>-</v>
      </c>
      <c r="BM347" s="85" t="str">
        <f t="shared" si="989"/>
        <v>-</v>
      </c>
      <c r="BN347" s="85" t="str">
        <f t="shared" si="990"/>
        <v>-</v>
      </c>
      <c r="BO347" s="85" t="str">
        <f t="shared" si="991"/>
        <v>-</v>
      </c>
      <c r="BP347" s="85" t="str">
        <f>'Consumer Hardware Pricing'!AT355</f>
        <v>-</v>
      </c>
      <c r="BQ347" s="85" t="str">
        <f t="shared" si="957"/>
        <v>-</v>
      </c>
      <c r="BR347" s="85" t="str">
        <f>'Consumer Hardware Pricing'!AU355</f>
        <v>-</v>
      </c>
      <c r="BS347" s="85" t="str">
        <f t="shared" si="992"/>
        <v>-</v>
      </c>
      <c r="BT347" s="85" t="str">
        <f t="shared" si="993"/>
        <v>-</v>
      </c>
      <c r="BU347" s="85" t="str">
        <f t="shared" si="994"/>
        <v>-</v>
      </c>
    </row>
    <row r="348" spans="1:73" ht="30.15" customHeight="1" x14ac:dyDescent="0.25">
      <c r="A348" s="87" t="s">
        <v>34</v>
      </c>
      <c r="B348" s="88" t="s">
        <v>1161</v>
      </c>
      <c r="C348" s="88" t="s">
        <v>1185</v>
      </c>
      <c r="D348" s="85">
        <f>'Consumer Hardware Pricing'!L356</f>
        <v>1740</v>
      </c>
      <c r="E348" s="85">
        <f>'Consumer Hardware Pricing'!M356</f>
        <v>1740</v>
      </c>
      <c r="F348" s="85">
        <f>'Consumer Hardware Pricing'!N356</f>
        <v>0</v>
      </c>
      <c r="G348" s="85">
        <f t="shared" si="910"/>
        <v>72.5</v>
      </c>
      <c r="H348" s="85" t="str">
        <f>'Consumer Hardware Pricing'!O356</f>
        <v>-</v>
      </c>
      <c r="I348" s="85">
        <f t="shared" si="958"/>
        <v>72.5</v>
      </c>
      <c r="J348" s="85" t="str">
        <f t="shared" si="959"/>
        <v>-</v>
      </c>
      <c r="K348" s="85">
        <f t="shared" si="960"/>
        <v>1740</v>
      </c>
      <c r="L348" s="85">
        <f>'Consumer Hardware Pricing'!Q356</f>
        <v>660</v>
      </c>
      <c r="M348" s="85">
        <f t="shared" si="911"/>
        <v>27.5</v>
      </c>
      <c r="N348" s="85">
        <f t="shared" si="961"/>
        <v>45</v>
      </c>
      <c r="O348" s="85">
        <f t="shared" si="962"/>
        <v>660</v>
      </c>
      <c r="P348" s="85">
        <f t="shared" si="963"/>
        <v>1080</v>
      </c>
      <c r="Q348" s="85">
        <f>'Consumer Hardware Pricing'!S356</f>
        <v>0</v>
      </c>
      <c r="R348" s="85">
        <f t="shared" si="964"/>
        <v>72.5</v>
      </c>
      <c r="S348" s="85" t="str">
        <f>'Consumer Hardware Pricing'!T356</f>
        <v>-</v>
      </c>
      <c r="T348" s="129">
        <f t="shared" si="965"/>
        <v>72.5</v>
      </c>
      <c r="U348" s="129" t="str">
        <f t="shared" si="966"/>
        <v>-</v>
      </c>
      <c r="V348" s="85">
        <f t="shared" si="967"/>
        <v>1740</v>
      </c>
      <c r="W348" s="129">
        <f>'Consumer Hardware Pricing'!V356</f>
        <v>660</v>
      </c>
      <c r="X348" s="129">
        <f t="shared" si="912"/>
        <v>27.5</v>
      </c>
      <c r="Y348" s="129">
        <f t="shared" si="968"/>
        <v>45</v>
      </c>
      <c r="Z348" s="129">
        <f t="shared" si="969"/>
        <v>660</v>
      </c>
      <c r="AA348" s="85">
        <f t="shared" si="970"/>
        <v>1080</v>
      </c>
      <c r="AB348" s="85">
        <f>'Consumer Hardware Pricing'!X356</f>
        <v>0</v>
      </c>
      <c r="AC348" s="85">
        <f t="shared" si="950"/>
        <v>72.5</v>
      </c>
      <c r="AD348" s="85">
        <f>'Consumer Hardware Pricing'!Y356</f>
        <v>2</v>
      </c>
      <c r="AE348" s="85">
        <f t="shared" si="971"/>
        <v>70.5</v>
      </c>
      <c r="AF348" s="85">
        <f t="shared" si="972"/>
        <v>48</v>
      </c>
      <c r="AG348" s="85">
        <f t="shared" si="973"/>
        <v>1692</v>
      </c>
      <c r="AH348" s="85">
        <f>'Consumer Hardware Pricing'!AA356</f>
        <v>660</v>
      </c>
      <c r="AI348" s="85">
        <f t="shared" si="951"/>
        <v>29.5</v>
      </c>
      <c r="AJ348" s="85">
        <f t="shared" si="974"/>
        <v>43</v>
      </c>
      <c r="AK348" s="85">
        <f t="shared" si="975"/>
        <v>708</v>
      </c>
      <c r="AL348" s="85">
        <f t="shared" si="976"/>
        <v>1032</v>
      </c>
      <c r="AM348" s="85">
        <f>'Consumer Hardware Pricing'!AC356</f>
        <v>0</v>
      </c>
      <c r="AN348" s="85">
        <f t="shared" si="952"/>
        <v>72.5</v>
      </c>
      <c r="AO348" s="85">
        <f>'Consumer Hardware Pricing'!AD356</f>
        <v>2</v>
      </c>
      <c r="AP348" s="85">
        <f t="shared" si="977"/>
        <v>70.5</v>
      </c>
      <c r="AQ348" s="85">
        <f t="shared" si="978"/>
        <v>48</v>
      </c>
      <c r="AR348" s="85">
        <f t="shared" si="979"/>
        <v>1692</v>
      </c>
      <c r="AS348" s="85">
        <f>'Consumer Hardware Pricing'!AF356</f>
        <v>660</v>
      </c>
      <c r="AT348" s="85">
        <f t="shared" si="953"/>
        <v>29.5</v>
      </c>
      <c r="AU348" s="85">
        <f t="shared" si="980"/>
        <v>43</v>
      </c>
      <c r="AV348" s="85">
        <f t="shared" si="981"/>
        <v>708</v>
      </c>
      <c r="AW348" s="85">
        <f t="shared" si="982"/>
        <v>1032</v>
      </c>
      <c r="AX348" s="85" t="str">
        <f>'Consumer Hardware Pricing'!AH356</f>
        <v>-</v>
      </c>
      <c r="AY348" s="85" t="str">
        <f t="shared" si="954"/>
        <v>-</v>
      </c>
      <c r="AZ348" s="85" t="str">
        <f>'Consumer Hardware Pricing'!AI356</f>
        <v>-</v>
      </c>
      <c r="BA348" s="85" t="str">
        <f t="shared" si="983"/>
        <v>-</v>
      </c>
      <c r="BB348" s="85" t="str">
        <f t="shared" si="984"/>
        <v>-</v>
      </c>
      <c r="BC348" s="85" t="str">
        <f t="shared" si="985"/>
        <v>-</v>
      </c>
      <c r="BD348" s="85" t="str">
        <f>'Consumer Hardware Pricing'!AL356</f>
        <v>-</v>
      </c>
      <c r="BE348" s="85" t="str">
        <f t="shared" si="955"/>
        <v>-</v>
      </c>
      <c r="BF348" s="85" t="str">
        <f>'Consumer Hardware Pricing'!AM356</f>
        <v>-</v>
      </c>
      <c r="BG348" s="85" t="str">
        <f t="shared" si="986"/>
        <v>-</v>
      </c>
      <c r="BH348" s="85" t="str">
        <f t="shared" si="987"/>
        <v>-</v>
      </c>
      <c r="BI348" s="85" t="str">
        <f t="shared" si="988"/>
        <v>-</v>
      </c>
      <c r="BJ348" s="85" t="str">
        <f>'Consumer Hardware Pricing'!AP356</f>
        <v>-</v>
      </c>
      <c r="BK348" s="85" t="str">
        <f t="shared" si="956"/>
        <v>-</v>
      </c>
      <c r="BL348" s="85" t="str">
        <f>'Consumer Hardware Pricing'!AQ356</f>
        <v>-</v>
      </c>
      <c r="BM348" s="85" t="str">
        <f t="shared" si="989"/>
        <v>-</v>
      </c>
      <c r="BN348" s="85" t="str">
        <f t="shared" si="990"/>
        <v>-</v>
      </c>
      <c r="BO348" s="85" t="str">
        <f t="shared" si="991"/>
        <v>-</v>
      </c>
      <c r="BP348" s="85" t="str">
        <f>'Consumer Hardware Pricing'!AT356</f>
        <v>-</v>
      </c>
      <c r="BQ348" s="85" t="str">
        <f t="shared" si="957"/>
        <v>-</v>
      </c>
      <c r="BR348" s="85" t="str">
        <f>'Consumer Hardware Pricing'!AU356</f>
        <v>-</v>
      </c>
      <c r="BS348" s="85" t="str">
        <f t="shared" si="992"/>
        <v>-</v>
      </c>
      <c r="BT348" s="85" t="str">
        <f t="shared" si="993"/>
        <v>-</v>
      </c>
      <c r="BU348" s="85" t="str">
        <f t="shared" si="994"/>
        <v>-</v>
      </c>
    </row>
    <row r="349" spans="1:73" ht="30.15" customHeight="1" x14ac:dyDescent="0.25">
      <c r="A349" s="87" t="s">
        <v>34</v>
      </c>
      <c r="B349" s="88" t="s">
        <v>1162</v>
      </c>
      <c r="C349" s="88" t="s">
        <v>1185</v>
      </c>
      <c r="D349" s="85">
        <f>'Consumer Hardware Pricing'!L357</f>
        <v>1740</v>
      </c>
      <c r="E349" s="85">
        <f>'Consumer Hardware Pricing'!M357</f>
        <v>1740</v>
      </c>
      <c r="F349" s="85">
        <f>'Consumer Hardware Pricing'!N357</f>
        <v>0</v>
      </c>
      <c r="G349" s="85">
        <f t="shared" si="910"/>
        <v>72.5</v>
      </c>
      <c r="H349" s="85" t="str">
        <f>'Consumer Hardware Pricing'!O357</f>
        <v>-</v>
      </c>
      <c r="I349" s="85">
        <f t="shared" si="958"/>
        <v>72.5</v>
      </c>
      <c r="J349" s="85" t="str">
        <f t="shared" si="959"/>
        <v>-</v>
      </c>
      <c r="K349" s="85">
        <f t="shared" si="960"/>
        <v>1740</v>
      </c>
      <c r="L349" s="85">
        <f>'Consumer Hardware Pricing'!Q357</f>
        <v>660</v>
      </c>
      <c r="M349" s="85">
        <f t="shared" si="911"/>
        <v>27.5</v>
      </c>
      <c r="N349" s="85">
        <f t="shared" si="961"/>
        <v>45</v>
      </c>
      <c r="O349" s="85">
        <f t="shared" si="962"/>
        <v>660</v>
      </c>
      <c r="P349" s="85">
        <f t="shared" si="963"/>
        <v>1080</v>
      </c>
      <c r="Q349" s="85">
        <f>'Consumer Hardware Pricing'!S357</f>
        <v>0</v>
      </c>
      <c r="R349" s="85">
        <f t="shared" si="964"/>
        <v>72.5</v>
      </c>
      <c r="S349" s="85" t="str">
        <f>'Consumer Hardware Pricing'!T357</f>
        <v>-</v>
      </c>
      <c r="T349" s="129">
        <f t="shared" si="965"/>
        <v>72.5</v>
      </c>
      <c r="U349" s="129" t="str">
        <f t="shared" si="966"/>
        <v>-</v>
      </c>
      <c r="V349" s="85">
        <f t="shared" si="967"/>
        <v>1740</v>
      </c>
      <c r="W349" s="129">
        <f>'Consumer Hardware Pricing'!V357</f>
        <v>660</v>
      </c>
      <c r="X349" s="129">
        <f t="shared" si="912"/>
        <v>27.5</v>
      </c>
      <c r="Y349" s="129">
        <f t="shared" si="968"/>
        <v>45</v>
      </c>
      <c r="Z349" s="129">
        <f t="shared" si="969"/>
        <v>660</v>
      </c>
      <c r="AA349" s="85">
        <f t="shared" si="970"/>
        <v>1080</v>
      </c>
      <c r="AB349" s="85">
        <f>'Consumer Hardware Pricing'!X357</f>
        <v>0</v>
      </c>
      <c r="AC349" s="85">
        <f t="shared" si="950"/>
        <v>72.5</v>
      </c>
      <c r="AD349" s="85">
        <f>'Consumer Hardware Pricing'!Y357</f>
        <v>2</v>
      </c>
      <c r="AE349" s="85">
        <f t="shared" si="971"/>
        <v>70.5</v>
      </c>
      <c r="AF349" s="85">
        <f t="shared" si="972"/>
        <v>48</v>
      </c>
      <c r="AG349" s="85">
        <f t="shared" si="973"/>
        <v>1692</v>
      </c>
      <c r="AH349" s="85">
        <f>'Consumer Hardware Pricing'!AA357</f>
        <v>660</v>
      </c>
      <c r="AI349" s="85">
        <f t="shared" si="951"/>
        <v>29.5</v>
      </c>
      <c r="AJ349" s="85">
        <f t="shared" si="974"/>
        <v>43</v>
      </c>
      <c r="AK349" s="85">
        <f t="shared" si="975"/>
        <v>708</v>
      </c>
      <c r="AL349" s="85">
        <f t="shared" si="976"/>
        <v>1032</v>
      </c>
      <c r="AM349" s="85">
        <f>'Consumer Hardware Pricing'!AC357</f>
        <v>0</v>
      </c>
      <c r="AN349" s="85">
        <f t="shared" si="952"/>
        <v>72.5</v>
      </c>
      <c r="AO349" s="85">
        <f>'Consumer Hardware Pricing'!AD357</f>
        <v>2</v>
      </c>
      <c r="AP349" s="85">
        <f t="shared" si="977"/>
        <v>70.5</v>
      </c>
      <c r="AQ349" s="85">
        <f t="shared" si="978"/>
        <v>48</v>
      </c>
      <c r="AR349" s="85">
        <f t="shared" si="979"/>
        <v>1692</v>
      </c>
      <c r="AS349" s="85">
        <f>'Consumer Hardware Pricing'!AF357</f>
        <v>660</v>
      </c>
      <c r="AT349" s="85">
        <f t="shared" si="953"/>
        <v>29.5</v>
      </c>
      <c r="AU349" s="85">
        <f t="shared" si="980"/>
        <v>43</v>
      </c>
      <c r="AV349" s="85">
        <f t="shared" si="981"/>
        <v>708</v>
      </c>
      <c r="AW349" s="85">
        <f t="shared" si="982"/>
        <v>1032</v>
      </c>
      <c r="AX349" s="85" t="str">
        <f>'Consumer Hardware Pricing'!AH357</f>
        <v>-</v>
      </c>
      <c r="AY349" s="85" t="str">
        <f t="shared" si="954"/>
        <v>-</v>
      </c>
      <c r="AZ349" s="85" t="str">
        <f>'Consumer Hardware Pricing'!AI357</f>
        <v>-</v>
      </c>
      <c r="BA349" s="85" t="str">
        <f t="shared" si="983"/>
        <v>-</v>
      </c>
      <c r="BB349" s="85" t="str">
        <f t="shared" si="984"/>
        <v>-</v>
      </c>
      <c r="BC349" s="85" t="str">
        <f t="shared" si="985"/>
        <v>-</v>
      </c>
      <c r="BD349" s="85" t="str">
        <f>'Consumer Hardware Pricing'!AL357</f>
        <v>-</v>
      </c>
      <c r="BE349" s="85" t="str">
        <f t="shared" si="955"/>
        <v>-</v>
      </c>
      <c r="BF349" s="85" t="str">
        <f>'Consumer Hardware Pricing'!AM357</f>
        <v>-</v>
      </c>
      <c r="BG349" s="85" t="str">
        <f t="shared" si="986"/>
        <v>-</v>
      </c>
      <c r="BH349" s="85" t="str">
        <f t="shared" si="987"/>
        <v>-</v>
      </c>
      <c r="BI349" s="85" t="str">
        <f t="shared" si="988"/>
        <v>-</v>
      </c>
      <c r="BJ349" s="85" t="str">
        <f>'Consumer Hardware Pricing'!AP357</f>
        <v>-</v>
      </c>
      <c r="BK349" s="85" t="str">
        <f t="shared" si="956"/>
        <v>-</v>
      </c>
      <c r="BL349" s="85" t="str">
        <f>'Consumer Hardware Pricing'!AQ357</f>
        <v>-</v>
      </c>
      <c r="BM349" s="85" t="str">
        <f t="shared" si="989"/>
        <v>-</v>
      </c>
      <c r="BN349" s="85" t="str">
        <f t="shared" si="990"/>
        <v>-</v>
      </c>
      <c r="BO349" s="85" t="str">
        <f t="shared" si="991"/>
        <v>-</v>
      </c>
      <c r="BP349" s="85" t="str">
        <f>'Consumer Hardware Pricing'!AT357</f>
        <v>-</v>
      </c>
      <c r="BQ349" s="85" t="str">
        <f t="shared" si="957"/>
        <v>-</v>
      </c>
      <c r="BR349" s="85" t="str">
        <f>'Consumer Hardware Pricing'!AU357</f>
        <v>-</v>
      </c>
      <c r="BS349" s="85" t="str">
        <f t="shared" si="992"/>
        <v>-</v>
      </c>
      <c r="BT349" s="85" t="str">
        <f t="shared" si="993"/>
        <v>-</v>
      </c>
      <c r="BU349" s="85" t="str">
        <f t="shared" si="994"/>
        <v>-</v>
      </c>
    </row>
    <row r="350" spans="1:73" ht="30.15" customHeight="1" x14ac:dyDescent="0.25">
      <c r="A350" s="87" t="s">
        <v>34</v>
      </c>
      <c r="B350" s="88" t="s">
        <v>1163</v>
      </c>
      <c r="C350" s="88" t="s">
        <v>1185</v>
      </c>
      <c r="D350" s="85">
        <f>'Consumer Hardware Pricing'!L358</f>
        <v>1740</v>
      </c>
      <c r="E350" s="85">
        <f>'Consumer Hardware Pricing'!M358</f>
        <v>1740</v>
      </c>
      <c r="F350" s="85">
        <f>'Consumer Hardware Pricing'!N358</f>
        <v>0</v>
      </c>
      <c r="G350" s="85">
        <f t="shared" si="910"/>
        <v>72.5</v>
      </c>
      <c r="H350" s="85" t="str">
        <f>'Consumer Hardware Pricing'!O358</f>
        <v>-</v>
      </c>
      <c r="I350" s="85">
        <f t="shared" si="958"/>
        <v>72.5</v>
      </c>
      <c r="J350" s="85" t="str">
        <f t="shared" si="959"/>
        <v>-</v>
      </c>
      <c r="K350" s="85">
        <f t="shared" si="960"/>
        <v>1740</v>
      </c>
      <c r="L350" s="85">
        <f>'Consumer Hardware Pricing'!Q358</f>
        <v>660</v>
      </c>
      <c r="M350" s="85">
        <f t="shared" si="911"/>
        <v>27.5</v>
      </c>
      <c r="N350" s="85">
        <f t="shared" si="961"/>
        <v>45</v>
      </c>
      <c r="O350" s="85">
        <f t="shared" si="962"/>
        <v>660</v>
      </c>
      <c r="P350" s="85">
        <f t="shared" si="963"/>
        <v>1080</v>
      </c>
      <c r="Q350" s="85">
        <f>'Consumer Hardware Pricing'!S358</f>
        <v>0</v>
      </c>
      <c r="R350" s="85">
        <f t="shared" si="964"/>
        <v>72.5</v>
      </c>
      <c r="S350" s="85" t="str">
        <f>'Consumer Hardware Pricing'!T358</f>
        <v>-</v>
      </c>
      <c r="T350" s="129">
        <f t="shared" si="965"/>
        <v>72.5</v>
      </c>
      <c r="U350" s="129" t="str">
        <f t="shared" si="966"/>
        <v>-</v>
      </c>
      <c r="V350" s="85">
        <f t="shared" si="967"/>
        <v>1740</v>
      </c>
      <c r="W350" s="129">
        <f>'Consumer Hardware Pricing'!V358</f>
        <v>660</v>
      </c>
      <c r="X350" s="129">
        <f t="shared" si="912"/>
        <v>27.5</v>
      </c>
      <c r="Y350" s="129">
        <f t="shared" si="968"/>
        <v>45</v>
      </c>
      <c r="Z350" s="129">
        <f t="shared" si="969"/>
        <v>660</v>
      </c>
      <c r="AA350" s="85">
        <f t="shared" si="970"/>
        <v>1080</v>
      </c>
      <c r="AB350" s="85">
        <f>'Consumer Hardware Pricing'!X358</f>
        <v>0</v>
      </c>
      <c r="AC350" s="85">
        <f t="shared" si="950"/>
        <v>72.5</v>
      </c>
      <c r="AD350" s="85">
        <f>'Consumer Hardware Pricing'!Y358</f>
        <v>2</v>
      </c>
      <c r="AE350" s="85">
        <f t="shared" si="971"/>
        <v>70.5</v>
      </c>
      <c r="AF350" s="85">
        <f t="shared" si="972"/>
        <v>48</v>
      </c>
      <c r="AG350" s="85">
        <f t="shared" si="973"/>
        <v>1692</v>
      </c>
      <c r="AH350" s="85">
        <f>'Consumer Hardware Pricing'!AA358</f>
        <v>660</v>
      </c>
      <c r="AI350" s="85">
        <f t="shared" si="951"/>
        <v>29.5</v>
      </c>
      <c r="AJ350" s="85">
        <f t="shared" si="974"/>
        <v>43</v>
      </c>
      <c r="AK350" s="85">
        <f t="shared" si="975"/>
        <v>708</v>
      </c>
      <c r="AL350" s="85">
        <f t="shared" si="976"/>
        <v>1032</v>
      </c>
      <c r="AM350" s="85">
        <f>'Consumer Hardware Pricing'!AC358</f>
        <v>0</v>
      </c>
      <c r="AN350" s="85">
        <f t="shared" si="952"/>
        <v>72.5</v>
      </c>
      <c r="AO350" s="85">
        <f>'Consumer Hardware Pricing'!AD358</f>
        <v>2</v>
      </c>
      <c r="AP350" s="85">
        <f t="shared" si="977"/>
        <v>70.5</v>
      </c>
      <c r="AQ350" s="85">
        <f t="shared" si="978"/>
        <v>48</v>
      </c>
      <c r="AR350" s="85">
        <f t="shared" si="979"/>
        <v>1692</v>
      </c>
      <c r="AS350" s="85">
        <f>'Consumer Hardware Pricing'!AF358</f>
        <v>660</v>
      </c>
      <c r="AT350" s="85">
        <f t="shared" si="953"/>
        <v>29.5</v>
      </c>
      <c r="AU350" s="85">
        <f t="shared" si="980"/>
        <v>43</v>
      </c>
      <c r="AV350" s="85">
        <f t="shared" si="981"/>
        <v>708</v>
      </c>
      <c r="AW350" s="85">
        <f t="shared" si="982"/>
        <v>1032</v>
      </c>
      <c r="AX350" s="85" t="str">
        <f>'Consumer Hardware Pricing'!AH358</f>
        <v>-</v>
      </c>
      <c r="AY350" s="85" t="str">
        <f t="shared" si="954"/>
        <v>-</v>
      </c>
      <c r="AZ350" s="85" t="str">
        <f>'Consumer Hardware Pricing'!AI358</f>
        <v>-</v>
      </c>
      <c r="BA350" s="85" t="str">
        <f t="shared" si="983"/>
        <v>-</v>
      </c>
      <c r="BB350" s="85" t="str">
        <f t="shared" si="984"/>
        <v>-</v>
      </c>
      <c r="BC350" s="85" t="str">
        <f t="shared" si="985"/>
        <v>-</v>
      </c>
      <c r="BD350" s="85" t="str">
        <f>'Consumer Hardware Pricing'!AL358</f>
        <v>-</v>
      </c>
      <c r="BE350" s="85" t="str">
        <f t="shared" si="955"/>
        <v>-</v>
      </c>
      <c r="BF350" s="85" t="str">
        <f>'Consumer Hardware Pricing'!AM358</f>
        <v>-</v>
      </c>
      <c r="BG350" s="85" t="str">
        <f t="shared" si="986"/>
        <v>-</v>
      </c>
      <c r="BH350" s="85" t="str">
        <f t="shared" si="987"/>
        <v>-</v>
      </c>
      <c r="BI350" s="85" t="str">
        <f t="shared" si="988"/>
        <v>-</v>
      </c>
      <c r="BJ350" s="85" t="str">
        <f>'Consumer Hardware Pricing'!AP358</f>
        <v>-</v>
      </c>
      <c r="BK350" s="85" t="str">
        <f t="shared" si="956"/>
        <v>-</v>
      </c>
      <c r="BL350" s="85" t="str">
        <f>'Consumer Hardware Pricing'!AQ358</f>
        <v>-</v>
      </c>
      <c r="BM350" s="85" t="str">
        <f t="shared" si="989"/>
        <v>-</v>
      </c>
      <c r="BN350" s="85" t="str">
        <f t="shared" si="990"/>
        <v>-</v>
      </c>
      <c r="BO350" s="85" t="str">
        <f t="shared" si="991"/>
        <v>-</v>
      </c>
      <c r="BP350" s="85" t="str">
        <f>'Consumer Hardware Pricing'!AT358</f>
        <v>-</v>
      </c>
      <c r="BQ350" s="85" t="str">
        <f t="shared" si="957"/>
        <v>-</v>
      </c>
      <c r="BR350" s="85" t="str">
        <f>'Consumer Hardware Pricing'!AU358</f>
        <v>-</v>
      </c>
      <c r="BS350" s="85" t="str">
        <f t="shared" si="992"/>
        <v>-</v>
      </c>
      <c r="BT350" s="85" t="str">
        <f t="shared" si="993"/>
        <v>-</v>
      </c>
      <c r="BU350" s="85" t="str">
        <f t="shared" si="994"/>
        <v>-</v>
      </c>
    </row>
    <row r="351" spans="1:73" ht="30.15" customHeight="1" x14ac:dyDescent="0.25">
      <c r="A351" s="87" t="s">
        <v>34</v>
      </c>
      <c r="B351" s="88" t="s">
        <v>1164</v>
      </c>
      <c r="C351" s="88" t="s">
        <v>1185</v>
      </c>
      <c r="D351" s="85">
        <f>'Consumer Hardware Pricing'!L359</f>
        <v>1740</v>
      </c>
      <c r="E351" s="85">
        <f>'Consumer Hardware Pricing'!M359</f>
        <v>1740</v>
      </c>
      <c r="F351" s="85">
        <f>'Consumer Hardware Pricing'!N359</f>
        <v>0</v>
      </c>
      <c r="G351" s="85">
        <f t="shared" si="910"/>
        <v>72.5</v>
      </c>
      <c r="H351" s="85" t="str">
        <f>'Consumer Hardware Pricing'!O359</f>
        <v>-</v>
      </c>
      <c r="I351" s="85">
        <f t="shared" si="958"/>
        <v>72.5</v>
      </c>
      <c r="J351" s="85" t="str">
        <f t="shared" si="959"/>
        <v>-</v>
      </c>
      <c r="K351" s="85">
        <f t="shared" si="960"/>
        <v>1740</v>
      </c>
      <c r="L351" s="85">
        <f>'Consumer Hardware Pricing'!Q359</f>
        <v>660</v>
      </c>
      <c r="M351" s="85">
        <f t="shared" si="911"/>
        <v>27.5</v>
      </c>
      <c r="N351" s="85">
        <f t="shared" si="961"/>
        <v>45</v>
      </c>
      <c r="O351" s="85">
        <f t="shared" si="962"/>
        <v>660</v>
      </c>
      <c r="P351" s="85">
        <f t="shared" si="963"/>
        <v>1080</v>
      </c>
      <c r="Q351" s="85">
        <f>'Consumer Hardware Pricing'!S359</f>
        <v>0</v>
      </c>
      <c r="R351" s="85">
        <f t="shared" si="964"/>
        <v>72.5</v>
      </c>
      <c r="S351" s="85" t="str">
        <f>'Consumer Hardware Pricing'!T359</f>
        <v>-</v>
      </c>
      <c r="T351" s="129">
        <f t="shared" si="965"/>
        <v>72.5</v>
      </c>
      <c r="U351" s="129" t="str">
        <f t="shared" si="966"/>
        <v>-</v>
      </c>
      <c r="V351" s="85">
        <f t="shared" si="967"/>
        <v>1740</v>
      </c>
      <c r="W351" s="129">
        <f>'Consumer Hardware Pricing'!V359</f>
        <v>660</v>
      </c>
      <c r="X351" s="129">
        <f t="shared" si="912"/>
        <v>27.5</v>
      </c>
      <c r="Y351" s="129">
        <f t="shared" si="968"/>
        <v>45</v>
      </c>
      <c r="Z351" s="129">
        <f t="shared" si="969"/>
        <v>660</v>
      </c>
      <c r="AA351" s="85">
        <f t="shared" si="970"/>
        <v>1080</v>
      </c>
      <c r="AB351" s="85">
        <f>'Consumer Hardware Pricing'!X359</f>
        <v>0</v>
      </c>
      <c r="AC351" s="85">
        <f t="shared" si="950"/>
        <v>72.5</v>
      </c>
      <c r="AD351" s="85">
        <f>'Consumer Hardware Pricing'!Y359</f>
        <v>2</v>
      </c>
      <c r="AE351" s="85">
        <f t="shared" si="971"/>
        <v>70.5</v>
      </c>
      <c r="AF351" s="85">
        <f t="shared" si="972"/>
        <v>48</v>
      </c>
      <c r="AG351" s="85">
        <f t="shared" si="973"/>
        <v>1692</v>
      </c>
      <c r="AH351" s="85">
        <f>'Consumer Hardware Pricing'!AA359</f>
        <v>660</v>
      </c>
      <c r="AI351" s="85">
        <f t="shared" si="951"/>
        <v>29.5</v>
      </c>
      <c r="AJ351" s="85">
        <f t="shared" si="974"/>
        <v>43</v>
      </c>
      <c r="AK351" s="85">
        <f t="shared" si="975"/>
        <v>708</v>
      </c>
      <c r="AL351" s="85">
        <f t="shared" si="976"/>
        <v>1032</v>
      </c>
      <c r="AM351" s="85">
        <f>'Consumer Hardware Pricing'!AC359</f>
        <v>0</v>
      </c>
      <c r="AN351" s="85">
        <f t="shared" si="952"/>
        <v>72.5</v>
      </c>
      <c r="AO351" s="85">
        <f>'Consumer Hardware Pricing'!AD359</f>
        <v>2</v>
      </c>
      <c r="AP351" s="85">
        <f t="shared" si="977"/>
        <v>70.5</v>
      </c>
      <c r="AQ351" s="85">
        <f t="shared" si="978"/>
        <v>48</v>
      </c>
      <c r="AR351" s="85">
        <f t="shared" si="979"/>
        <v>1692</v>
      </c>
      <c r="AS351" s="85">
        <f>'Consumer Hardware Pricing'!AF359</f>
        <v>660</v>
      </c>
      <c r="AT351" s="85">
        <f t="shared" si="953"/>
        <v>29.5</v>
      </c>
      <c r="AU351" s="85">
        <f t="shared" si="980"/>
        <v>43</v>
      </c>
      <c r="AV351" s="85">
        <f t="shared" si="981"/>
        <v>708</v>
      </c>
      <c r="AW351" s="85">
        <f t="shared" si="982"/>
        <v>1032</v>
      </c>
      <c r="AX351" s="85" t="str">
        <f>'Consumer Hardware Pricing'!AH359</f>
        <v>-</v>
      </c>
      <c r="AY351" s="85" t="str">
        <f t="shared" si="954"/>
        <v>-</v>
      </c>
      <c r="AZ351" s="85" t="str">
        <f>'Consumer Hardware Pricing'!AI359</f>
        <v>-</v>
      </c>
      <c r="BA351" s="85" t="str">
        <f t="shared" si="983"/>
        <v>-</v>
      </c>
      <c r="BB351" s="85" t="str">
        <f t="shared" si="984"/>
        <v>-</v>
      </c>
      <c r="BC351" s="85" t="str">
        <f t="shared" si="985"/>
        <v>-</v>
      </c>
      <c r="BD351" s="85" t="str">
        <f>'Consumer Hardware Pricing'!AL359</f>
        <v>-</v>
      </c>
      <c r="BE351" s="85" t="str">
        <f t="shared" si="955"/>
        <v>-</v>
      </c>
      <c r="BF351" s="85" t="str">
        <f>'Consumer Hardware Pricing'!AM359</f>
        <v>-</v>
      </c>
      <c r="BG351" s="85" t="str">
        <f t="shared" si="986"/>
        <v>-</v>
      </c>
      <c r="BH351" s="85" t="str">
        <f t="shared" si="987"/>
        <v>-</v>
      </c>
      <c r="BI351" s="85" t="str">
        <f t="shared" si="988"/>
        <v>-</v>
      </c>
      <c r="BJ351" s="85" t="str">
        <f>'Consumer Hardware Pricing'!AP359</f>
        <v>-</v>
      </c>
      <c r="BK351" s="85" t="str">
        <f t="shared" si="956"/>
        <v>-</v>
      </c>
      <c r="BL351" s="85" t="str">
        <f>'Consumer Hardware Pricing'!AQ359</f>
        <v>-</v>
      </c>
      <c r="BM351" s="85" t="str">
        <f t="shared" si="989"/>
        <v>-</v>
      </c>
      <c r="BN351" s="85" t="str">
        <f t="shared" si="990"/>
        <v>-</v>
      </c>
      <c r="BO351" s="85" t="str">
        <f t="shared" si="991"/>
        <v>-</v>
      </c>
      <c r="BP351" s="85" t="str">
        <f>'Consumer Hardware Pricing'!AT359</f>
        <v>-</v>
      </c>
      <c r="BQ351" s="85" t="str">
        <f t="shared" si="957"/>
        <v>-</v>
      </c>
      <c r="BR351" s="85" t="str">
        <f>'Consumer Hardware Pricing'!AU359</f>
        <v>-</v>
      </c>
      <c r="BS351" s="85" t="str">
        <f t="shared" si="992"/>
        <v>-</v>
      </c>
      <c r="BT351" s="85" t="str">
        <f t="shared" si="993"/>
        <v>-</v>
      </c>
      <c r="BU351" s="85" t="str">
        <f t="shared" si="994"/>
        <v>-</v>
      </c>
    </row>
    <row r="352" spans="1:73" ht="30.15" customHeight="1" x14ac:dyDescent="0.25">
      <c r="A352" s="87" t="s">
        <v>34</v>
      </c>
      <c r="B352" s="88" t="s">
        <v>1165</v>
      </c>
      <c r="C352" s="88" t="s">
        <v>1186</v>
      </c>
      <c r="D352" s="85">
        <f>'Consumer Hardware Pricing'!L360</f>
        <v>2016</v>
      </c>
      <c r="E352" s="85">
        <f>'Consumer Hardware Pricing'!M360</f>
        <v>2016</v>
      </c>
      <c r="F352" s="85">
        <f>'Consumer Hardware Pricing'!N360</f>
        <v>0</v>
      </c>
      <c r="G352" s="85">
        <f t="shared" si="910"/>
        <v>84</v>
      </c>
      <c r="H352" s="85" t="str">
        <f>'Consumer Hardware Pricing'!O360</f>
        <v>-</v>
      </c>
      <c r="I352" s="85">
        <f t="shared" si="958"/>
        <v>84</v>
      </c>
      <c r="J352" s="85" t="str">
        <f t="shared" si="959"/>
        <v>-</v>
      </c>
      <c r="K352" s="85">
        <f t="shared" si="960"/>
        <v>2016</v>
      </c>
      <c r="L352" s="85">
        <f>'Consumer Hardware Pricing'!Q360</f>
        <v>696</v>
      </c>
      <c r="M352" s="85">
        <f t="shared" si="911"/>
        <v>29</v>
      </c>
      <c r="N352" s="85">
        <f t="shared" si="961"/>
        <v>55</v>
      </c>
      <c r="O352" s="85">
        <f t="shared" si="962"/>
        <v>696</v>
      </c>
      <c r="P352" s="85">
        <f t="shared" si="963"/>
        <v>1320</v>
      </c>
      <c r="Q352" s="85">
        <f>'Consumer Hardware Pricing'!S360</f>
        <v>0</v>
      </c>
      <c r="R352" s="85">
        <f t="shared" si="964"/>
        <v>84</v>
      </c>
      <c r="S352" s="85" t="str">
        <f>'Consumer Hardware Pricing'!T360</f>
        <v>-</v>
      </c>
      <c r="T352" s="129">
        <f t="shared" si="965"/>
        <v>84</v>
      </c>
      <c r="U352" s="129" t="str">
        <f t="shared" si="966"/>
        <v>-</v>
      </c>
      <c r="V352" s="85">
        <f t="shared" si="967"/>
        <v>2016</v>
      </c>
      <c r="W352" s="129">
        <f>'Consumer Hardware Pricing'!V360</f>
        <v>696</v>
      </c>
      <c r="X352" s="129">
        <f t="shared" si="912"/>
        <v>29</v>
      </c>
      <c r="Y352" s="129">
        <f t="shared" si="968"/>
        <v>55</v>
      </c>
      <c r="Z352" s="129">
        <f t="shared" si="969"/>
        <v>696</v>
      </c>
      <c r="AA352" s="85">
        <f t="shared" si="970"/>
        <v>1320</v>
      </c>
      <c r="AB352" s="85">
        <f>'Consumer Hardware Pricing'!X360</f>
        <v>0</v>
      </c>
      <c r="AC352" s="85">
        <f t="shared" si="950"/>
        <v>84</v>
      </c>
      <c r="AD352" s="85">
        <f>'Consumer Hardware Pricing'!Y360</f>
        <v>2</v>
      </c>
      <c r="AE352" s="85">
        <f t="shared" si="971"/>
        <v>82</v>
      </c>
      <c r="AF352" s="85">
        <f t="shared" si="972"/>
        <v>48</v>
      </c>
      <c r="AG352" s="85">
        <f t="shared" si="973"/>
        <v>1968</v>
      </c>
      <c r="AH352" s="85">
        <f>'Consumer Hardware Pricing'!AA360</f>
        <v>696</v>
      </c>
      <c r="AI352" s="85">
        <f t="shared" si="951"/>
        <v>31</v>
      </c>
      <c r="AJ352" s="85">
        <f t="shared" si="974"/>
        <v>53</v>
      </c>
      <c r="AK352" s="85">
        <f t="shared" si="975"/>
        <v>744</v>
      </c>
      <c r="AL352" s="85">
        <f t="shared" si="976"/>
        <v>1272</v>
      </c>
      <c r="AM352" s="85">
        <f>'Consumer Hardware Pricing'!AC360</f>
        <v>0</v>
      </c>
      <c r="AN352" s="85">
        <f t="shared" si="952"/>
        <v>84</v>
      </c>
      <c r="AO352" s="85">
        <f>'Consumer Hardware Pricing'!AD360</f>
        <v>2</v>
      </c>
      <c r="AP352" s="85">
        <f t="shared" si="977"/>
        <v>82</v>
      </c>
      <c r="AQ352" s="85">
        <f t="shared" si="978"/>
        <v>48</v>
      </c>
      <c r="AR352" s="85">
        <f t="shared" si="979"/>
        <v>1968</v>
      </c>
      <c r="AS352" s="85">
        <f>'Consumer Hardware Pricing'!AF360</f>
        <v>696</v>
      </c>
      <c r="AT352" s="85">
        <f t="shared" si="953"/>
        <v>31</v>
      </c>
      <c r="AU352" s="85">
        <f t="shared" si="980"/>
        <v>53</v>
      </c>
      <c r="AV352" s="85">
        <f t="shared" si="981"/>
        <v>744</v>
      </c>
      <c r="AW352" s="85">
        <f t="shared" si="982"/>
        <v>1272</v>
      </c>
      <c r="AX352" s="85" t="str">
        <f>'Consumer Hardware Pricing'!AH360</f>
        <v>-</v>
      </c>
      <c r="AY352" s="85" t="str">
        <f t="shared" si="954"/>
        <v>-</v>
      </c>
      <c r="AZ352" s="85" t="str">
        <f>'Consumer Hardware Pricing'!AI360</f>
        <v>-</v>
      </c>
      <c r="BA352" s="85" t="str">
        <f t="shared" si="983"/>
        <v>-</v>
      </c>
      <c r="BB352" s="85" t="str">
        <f t="shared" si="984"/>
        <v>-</v>
      </c>
      <c r="BC352" s="85" t="str">
        <f t="shared" si="985"/>
        <v>-</v>
      </c>
      <c r="BD352" s="85" t="str">
        <f>'Consumer Hardware Pricing'!AL360</f>
        <v>-</v>
      </c>
      <c r="BE352" s="85" t="str">
        <f t="shared" si="955"/>
        <v>-</v>
      </c>
      <c r="BF352" s="85" t="str">
        <f>'Consumer Hardware Pricing'!AM360</f>
        <v>-</v>
      </c>
      <c r="BG352" s="85" t="str">
        <f t="shared" si="986"/>
        <v>-</v>
      </c>
      <c r="BH352" s="85" t="str">
        <f t="shared" si="987"/>
        <v>-</v>
      </c>
      <c r="BI352" s="85" t="str">
        <f t="shared" si="988"/>
        <v>-</v>
      </c>
      <c r="BJ352" s="85" t="str">
        <f>'Consumer Hardware Pricing'!AP360</f>
        <v>-</v>
      </c>
      <c r="BK352" s="85" t="str">
        <f t="shared" si="956"/>
        <v>-</v>
      </c>
      <c r="BL352" s="85" t="str">
        <f>'Consumer Hardware Pricing'!AQ360</f>
        <v>-</v>
      </c>
      <c r="BM352" s="85" t="str">
        <f t="shared" si="989"/>
        <v>-</v>
      </c>
      <c r="BN352" s="85" t="str">
        <f t="shared" si="990"/>
        <v>-</v>
      </c>
      <c r="BO352" s="85" t="str">
        <f t="shared" si="991"/>
        <v>-</v>
      </c>
      <c r="BP352" s="85" t="str">
        <f>'Consumer Hardware Pricing'!AT360</f>
        <v>-</v>
      </c>
      <c r="BQ352" s="85" t="str">
        <f t="shared" si="957"/>
        <v>-</v>
      </c>
      <c r="BR352" s="85" t="str">
        <f>'Consumer Hardware Pricing'!AU360</f>
        <v>-</v>
      </c>
      <c r="BS352" s="85" t="str">
        <f t="shared" si="992"/>
        <v>-</v>
      </c>
      <c r="BT352" s="85" t="str">
        <f t="shared" si="993"/>
        <v>-</v>
      </c>
      <c r="BU352" s="85" t="str">
        <f t="shared" si="994"/>
        <v>-</v>
      </c>
    </row>
    <row r="353" spans="1:73" ht="30.15" customHeight="1" x14ac:dyDescent="0.25">
      <c r="A353" s="87" t="s">
        <v>34</v>
      </c>
      <c r="B353" s="88" t="s">
        <v>1166</v>
      </c>
      <c r="C353" s="88" t="s">
        <v>1186</v>
      </c>
      <c r="D353" s="85">
        <f>'Consumer Hardware Pricing'!L361</f>
        <v>2016</v>
      </c>
      <c r="E353" s="85">
        <f>'Consumer Hardware Pricing'!M361</f>
        <v>2016</v>
      </c>
      <c r="F353" s="85">
        <f>'Consumer Hardware Pricing'!N361</f>
        <v>0</v>
      </c>
      <c r="G353" s="85">
        <f t="shared" si="910"/>
        <v>84</v>
      </c>
      <c r="H353" s="85" t="str">
        <f>'Consumer Hardware Pricing'!O361</f>
        <v>-</v>
      </c>
      <c r="I353" s="85">
        <f t="shared" si="958"/>
        <v>84</v>
      </c>
      <c r="J353" s="85" t="str">
        <f t="shared" si="959"/>
        <v>-</v>
      </c>
      <c r="K353" s="85">
        <f t="shared" si="960"/>
        <v>2016</v>
      </c>
      <c r="L353" s="85">
        <f>'Consumer Hardware Pricing'!Q361</f>
        <v>696</v>
      </c>
      <c r="M353" s="85">
        <f t="shared" si="911"/>
        <v>29</v>
      </c>
      <c r="N353" s="85">
        <f t="shared" si="961"/>
        <v>55</v>
      </c>
      <c r="O353" s="85">
        <f t="shared" si="962"/>
        <v>696</v>
      </c>
      <c r="P353" s="85">
        <f t="shared" si="963"/>
        <v>1320</v>
      </c>
      <c r="Q353" s="85">
        <f>'Consumer Hardware Pricing'!S361</f>
        <v>0</v>
      </c>
      <c r="R353" s="85">
        <f t="shared" si="964"/>
        <v>84</v>
      </c>
      <c r="S353" s="85" t="str">
        <f>'Consumer Hardware Pricing'!T361</f>
        <v>-</v>
      </c>
      <c r="T353" s="129">
        <f t="shared" si="965"/>
        <v>84</v>
      </c>
      <c r="U353" s="129" t="str">
        <f t="shared" si="966"/>
        <v>-</v>
      </c>
      <c r="V353" s="85">
        <f t="shared" si="967"/>
        <v>2016</v>
      </c>
      <c r="W353" s="129">
        <f>'Consumer Hardware Pricing'!V361</f>
        <v>696</v>
      </c>
      <c r="X353" s="129">
        <f t="shared" si="912"/>
        <v>29</v>
      </c>
      <c r="Y353" s="129">
        <f t="shared" si="968"/>
        <v>55</v>
      </c>
      <c r="Z353" s="129">
        <f t="shared" si="969"/>
        <v>696</v>
      </c>
      <c r="AA353" s="85">
        <f t="shared" si="970"/>
        <v>1320</v>
      </c>
      <c r="AB353" s="85">
        <f>'Consumer Hardware Pricing'!X361</f>
        <v>0</v>
      </c>
      <c r="AC353" s="85">
        <f t="shared" si="950"/>
        <v>84</v>
      </c>
      <c r="AD353" s="85">
        <f>'Consumer Hardware Pricing'!Y361</f>
        <v>2</v>
      </c>
      <c r="AE353" s="85">
        <f t="shared" si="971"/>
        <v>82</v>
      </c>
      <c r="AF353" s="85">
        <f t="shared" si="972"/>
        <v>48</v>
      </c>
      <c r="AG353" s="85">
        <f t="shared" si="973"/>
        <v>1968</v>
      </c>
      <c r="AH353" s="85">
        <f>'Consumer Hardware Pricing'!AA361</f>
        <v>696</v>
      </c>
      <c r="AI353" s="85">
        <f t="shared" si="951"/>
        <v>31</v>
      </c>
      <c r="AJ353" s="85">
        <f t="shared" si="974"/>
        <v>53</v>
      </c>
      <c r="AK353" s="85">
        <f t="shared" si="975"/>
        <v>744</v>
      </c>
      <c r="AL353" s="85">
        <f t="shared" si="976"/>
        <v>1272</v>
      </c>
      <c r="AM353" s="85">
        <f>'Consumer Hardware Pricing'!AC361</f>
        <v>0</v>
      </c>
      <c r="AN353" s="85">
        <f t="shared" si="952"/>
        <v>84</v>
      </c>
      <c r="AO353" s="85">
        <f>'Consumer Hardware Pricing'!AD361</f>
        <v>2</v>
      </c>
      <c r="AP353" s="85">
        <f t="shared" si="977"/>
        <v>82</v>
      </c>
      <c r="AQ353" s="85">
        <f t="shared" si="978"/>
        <v>48</v>
      </c>
      <c r="AR353" s="85">
        <f t="shared" si="979"/>
        <v>1968</v>
      </c>
      <c r="AS353" s="85">
        <f>'Consumer Hardware Pricing'!AF361</f>
        <v>696</v>
      </c>
      <c r="AT353" s="85">
        <f t="shared" si="953"/>
        <v>31</v>
      </c>
      <c r="AU353" s="85">
        <f t="shared" si="980"/>
        <v>53</v>
      </c>
      <c r="AV353" s="85">
        <f t="shared" si="981"/>
        <v>744</v>
      </c>
      <c r="AW353" s="85">
        <f t="shared" si="982"/>
        <v>1272</v>
      </c>
      <c r="AX353" s="85" t="str">
        <f>'Consumer Hardware Pricing'!AH361</f>
        <v>-</v>
      </c>
      <c r="AY353" s="85" t="str">
        <f t="shared" si="954"/>
        <v>-</v>
      </c>
      <c r="AZ353" s="85" t="str">
        <f>'Consumer Hardware Pricing'!AI361</f>
        <v>-</v>
      </c>
      <c r="BA353" s="85" t="str">
        <f t="shared" si="983"/>
        <v>-</v>
      </c>
      <c r="BB353" s="85" t="str">
        <f t="shared" si="984"/>
        <v>-</v>
      </c>
      <c r="BC353" s="85" t="str">
        <f t="shared" si="985"/>
        <v>-</v>
      </c>
      <c r="BD353" s="85" t="str">
        <f>'Consumer Hardware Pricing'!AL361</f>
        <v>-</v>
      </c>
      <c r="BE353" s="85" t="str">
        <f t="shared" si="955"/>
        <v>-</v>
      </c>
      <c r="BF353" s="85" t="str">
        <f>'Consumer Hardware Pricing'!AM361</f>
        <v>-</v>
      </c>
      <c r="BG353" s="85" t="str">
        <f t="shared" si="986"/>
        <v>-</v>
      </c>
      <c r="BH353" s="85" t="str">
        <f t="shared" si="987"/>
        <v>-</v>
      </c>
      <c r="BI353" s="85" t="str">
        <f t="shared" si="988"/>
        <v>-</v>
      </c>
      <c r="BJ353" s="85" t="str">
        <f>'Consumer Hardware Pricing'!AP361</f>
        <v>-</v>
      </c>
      <c r="BK353" s="85" t="str">
        <f t="shared" si="956"/>
        <v>-</v>
      </c>
      <c r="BL353" s="85" t="str">
        <f>'Consumer Hardware Pricing'!AQ361</f>
        <v>-</v>
      </c>
      <c r="BM353" s="85" t="str">
        <f t="shared" si="989"/>
        <v>-</v>
      </c>
      <c r="BN353" s="85" t="str">
        <f t="shared" si="990"/>
        <v>-</v>
      </c>
      <c r="BO353" s="85" t="str">
        <f t="shared" si="991"/>
        <v>-</v>
      </c>
      <c r="BP353" s="85" t="str">
        <f>'Consumer Hardware Pricing'!AT361</f>
        <v>-</v>
      </c>
      <c r="BQ353" s="85" t="str">
        <f t="shared" si="957"/>
        <v>-</v>
      </c>
      <c r="BR353" s="85" t="str">
        <f>'Consumer Hardware Pricing'!AU361</f>
        <v>-</v>
      </c>
      <c r="BS353" s="85" t="str">
        <f t="shared" si="992"/>
        <v>-</v>
      </c>
      <c r="BT353" s="85" t="str">
        <f t="shared" si="993"/>
        <v>-</v>
      </c>
      <c r="BU353" s="85" t="str">
        <f t="shared" si="994"/>
        <v>-</v>
      </c>
    </row>
    <row r="354" spans="1:73" ht="30.15" customHeight="1" x14ac:dyDescent="0.25">
      <c r="A354" s="87" t="s">
        <v>34</v>
      </c>
      <c r="B354" s="88" t="s">
        <v>1167</v>
      </c>
      <c r="C354" s="88" t="s">
        <v>1186</v>
      </c>
      <c r="D354" s="85">
        <f>'Consumer Hardware Pricing'!L362</f>
        <v>2016</v>
      </c>
      <c r="E354" s="85">
        <f>'Consumer Hardware Pricing'!M362</f>
        <v>2016</v>
      </c>
      <c r="F354" s="85">
        <f>'Consumer Hardware Pricing'!N362</f>
        <v>0</v>
      </c>
      <c r="G354" s="85">
        <f t="shared" si="910"/>
        <v>84</v>
      </c>
      <c r="H354" s="85" t="str">
        <f>'Consumer Hardware Pricing'!O362</f>
        <v>-</v>
      </c>
      <c r="I354" s="85">
        <f t="shared" si="958"/>
        <v>84</v>
      </c>
      <c r="J354" s="85" t="str">
        <f t="shared" si="959"/>
        <v>-</v>
      </c>
      <c r="K354" s="85">
        <f t="shared" si="960"/>
        <v>2016</v>
      </c>
      <c r="L354" s="85">
        <f>'Consumer Hardware Pricing'!Q362</f>
        <v>696</v>
      </c>
      <c r="M354" s="85">
        <f t="shared" si="911"/>
        <v>29</v>
      </c>
      <c r="N354" s="85">
        <f t="shared" si="961"/>
        <v>55</v>
      </c>
      <c r="O354" s="85">
        <f t="shared" si="962"/>
        <v>696</v>
      </c>
      <c r="P354" s="85">
        <f t="shared" si="963"/>
        <v>1320</v>
      </c>
      <c r="Q354" s="85">
        <f>'Consumer Hardware Pricing'!S362</f>
        <v>0</v>
      </c>
      <c r="R354" s="85">
        <f t="shared" si="964"/>
        <v>84</v>
      </c>
      <c r="S354" s="85" t="str">
        <f>'Consumer Hardware Pricing'!T362</f>
        <v>-</v>
      </c>
      <c r="T354" s="129">
        <f t="shared" si="965"/>
        <v>84</v>
      </c>
      <c r="U354" s="129" t="str">
        <f t="shared" si="966"/>
        <v>-</v>
      </c>
      <c r="V354" s="85">
        <f t="shared" si="967"/>
        <v>2016</v>
      </c>
      <c r="W354" s="129">
        <f>'Consumer Hardware Pricing'!V362</f>
        <v>696</v>
      </c>
      <c r="X354" s="129">
        <f t="shared" si="912"/>
        <v>29</v>
      </c>
      <c r="Y354" s="129">
        <f t="shared" si="968"/>
        <v>55</v>
      </c>
      <c r="Z354" s="129">
        <f t="shared" si="969"/>
        <v>696</v>
      </c>
      <c r="AA354" s="85">
        <f t="shared" si="970"/>
        <v>1320</v>
      </c>
      <c r="AB354" s="85">
        <f>'Consumer Hardware Pricing'!X362</f>
        <v>0</v>
      </c>
      <c r="AC354" s="85">
        <f t="shared" si="950"/>
        <v>84</v>
      </c>
      <c r="AD354" s="85">
        <f>'Consumer Hardware Pricing'!Y362</f>
        <v>2</v>
      </c>
      <c r="AE354" s="85">
        <f t="shared" si="971"/>
        <v>82</v>
      </c>
      <c r="AF354" s="85">
        <f t="shared" si="972"/>
        <v>48</v>
      </c>
      <c r="AG354" s="85">
        <f t="shared" si="973"/>
        <v>1968</v>
      </c>
      <c r="AH354" s="85">
        <f>'Consumer Hardware Pricing'!AA362</f>
        <v>696</v>
      </c>
      <c r="AI354" s="85">
        <f t="shared" si="951"/>
        <v>31</v>
      </c>
      <c r="AJ354" s="85">
        <f t="shared" si="974"/>
        <v>53</v>
      </c>
      <c r="AK354" s="85">
        <f t="shared" si="975"/>
        <v>744</v>
      </c>
      <c r="AL354" s="85">
        <f t="shared" si="976"/>
        <v>1272</v>
      </c>
      <c r="AM354" s="85">
        <f>'Consumer Hardware Pricing'!AC362</f>
        <v>0</v>
      </c>
      <c r="AN354" s="85">
        <f t="shared" si="952"/>
        <v>84</v>
      </c>
      <c r="AO354" s="85">
        <f>'Consumer Hardware Pricing'!AD362</f>
        <v>2</v>
      </c>
      <c r="AP354" s="85">
        <f t="shared" si="977"/>
        <v>82</v>
      </c>
      <c r="AQ354" s="85">
        <f t="shared" si="978"/>
        <v>48</v>
      </c>
      <c r="AR354" s="85">
        <f t="shared" si="979"/>
        <v>1968</v>
      </c>
      <c r="AS354" s="85">
        <f>'Consumer Hardware Pricing'!AF362</f>
        <v>696</v>
      </c>
      <c r="AT354" s="85">
        <f t="shared" si="953"/>
        <v>31</v>
      </c>
      <c r="AU354" s="85">
        <f t="shared" si="980"/>
        <v>53</v>
      </c>
      <c r="AV354" s="85">
        <f t="shared" si="981"/>
        <v>744</v>
      </c>
      <c r="AW354" s="85">
        <f t="shared" si="982"/>
        <v>1272</v>
      </c>
      <c r="AX354" s="85" t="str">
        <f>'Consumer Hardware Pricing'!AH362</f>
        <v>-</v>
      </c>
      <c r="AY354" s="85" t="str">
        <f t="shared" si="954"/>
        <v>-</v>
      </c>
      <c r="AZ354" s="85" t="str">
        <f>'Consumer Hardware Pricing'!AI362</f>
        <v>-</v>
      </c>
      <c r="BA354" s="85" t="str">
        <f t="shared" si="983"/>
        <v>-</v>
      </c>
      <c r="BB354" s="85" t="str">
        <f t="shared" si="984"/>
        <v>-</v>
      </c>
      <c r="BC354" s="85" t="str">
        <f t="shared" si="985"/>
        <v>-</v>
      </c>
      <c r="BD354" s="85" t="str">
        <f>'Consumer Hardware Pricing'!AL362</f>
        <v>-</v>
      </c>
      <c r="BE354" s="85" t="str">
        <f t="shared" si="955"/>
        <v>-</v>
      </c>
      <c r="BF354" s="85" t="str">
        <f>'Consumer Hardware Pricing'!AM362</f>
        <v>-</v>
      </c>
      <c r="BG354" s="85" t="str">
        <f t="shared" si="986"/>
        <v>-</v>
      </c>
      <c r="BH354" s="85" t="str">
        <f t="shared" si="987"/>
        <v>-</v>
      </c>
      <c r="BI354" s="85" t="str">
        <f t="shared" si="988"/>
        <v>-</v>
      </c>
      <c r="BJ354" s="85" t="str">
        <f>'Consumer Hardware Pricing'!AP362</f>
        <v>-</v>
      </c>
      <c r="BK354" s="85" t="str">
        <f t="shared" si="956"/>
        <v>-</v>
      </c>
      <c r="BL354" s="85" t="str">
        <f>'Consumer Hardware Pricing'!AQ362</f>
        <v>-</v>
      </c>
      <c r="BM354" s="85" t="str">
        <f t="shared" si="989"/>
        <v>-</v>
      </c>
      <c r="BN354" s="85" t="str">
        <f t="shared" si="990"/>
        <v>-</v>
      </c>
      <c r="BO354" s="85" t="str">
        <f t="shared" si="991"/>
        <v>-</v>
      </c>
      <c r="BP354" s="85" t="str">
        <f>'Consumer Hardware Pricing'!AT362</f>
        <v>-</v>
      </c>
      <c r="BQ354" s="85" t="str">
        <f t="shared" si="957"/>
        <v>-</v>
      </c>
      <c r="BR354" s="85" t="str">
        <f>'Consumer Hardware Pricing'!AU362</f>
        <v>-</v>
      </c>
      <c r="BS354" s="85" t="str">
        <f t="shared" si="992"/>
        <v>-</v>
      </c>
      <c r="BT354" s="85" t="str">
        <f t="shared" si="993"/>
        <v>-</v>
      </c>
      <c r="BU354" s="85" t="str">
        <f t="shared" si="994"/>
        <v>-</v>
      </c>
    </row>
    <row r="355" spans="1:73" ht="30.15" customHeight="1" x14ac:dyDescent="0.25">
      <c r="A355" s="87" t="s">
        <v>34</v>
      </c>
      <c r="B355" s="88" t="s">
        <v>1168</v>
      </c>
      <c r="C355" s="88" t="s">
        <v>1186</v>
      </c>
      <c r="D355" s="85">
        <f>'Consumer Hardware Pricing'!L363</f>
        <v>2016</v>
      </c>
      <c r="E355" s="85">
        <f>'Consumer Hardware Pricing'!M363</f>
        <v>2016</v>
      </c>
      <c r="F355" s="85">
        <f>'Consumer Hardware Pricing'!N363</f>
        <v>0</v>
      </c>
      <c r="G355" s="85">
        <f t="shared" si="910"/>
        <v>84</v>
      </c>
      <c r="H355" s="85" t="str">
        <f>'Consumer Hardware Pricing'!O363</f>
        <v>-</v>
      </c>
      <c r="I355" s="85">
        <f t="shared" si="958"/>
        <v>84</v>
      </c>
      <c r="J355" s="85" t="str">
        <f t="shared" si="959"/>
        <v>-</v>
      </c>
      <c r="K355" s="85">
        <f t="shared" si="960"/>
        <v>2016</v>
      </c>
      <c r="L355" s="85">
        <f>'Consumer Hardware Pricing'!Q363</f>
        <v>696</v>
      </c>
      <c r="M355" s="85">
        <f t="shared" si="911"/>
        <v>29</v>
      </c>
      <c r="N355" s="85">
        <f t="shared" si="961"/>
        <v>55</v>
      </c>
      <c r="O355" s="85">
        <f t="shared" si="962"/>
        <v>696</v>
      </c>
      <c r="P355" s="85">
        <f t="shared" si="963"/>
        <v>1320</v>
      </c>
      <c r="Q355" s="85">
        <f>'Consumer Hardware Pricing'!S363</f>
        <v>0</v>
      </c>
      <c r="R355" s="85">
        <f t="shared" si="964"/>
        <v>84</v>
      </c>
      <c r="S355" s="85" t="str">
        <f>'Consumer Hardware Pricing'!T363</f>
        <v>-</v>
      </c>
      <c r="T355" s="129">
        <f t="shared" si="965"/>
        <v>84</v>
      </c>
      <c r="U355" s="129" t="str">
        <f t="shared" si="966"/>
        <v>-</v>
      </c>
      <c r="V355" s="85">
        <f t="shared" si="967"/>
        <v>2016</v>
      </c>
      <c r="W355" s="129">
        <f>'Consumer Hardware Pricing'!V363</f>
        <v>696</v>
      </c>
      <c r="X355" s="129">
        <f t="shared" si="912"/>
        <v>29</v>
      </c>
      <c r="Y355" s="129">
        <f t="shared" si="968"/>
        <v>55</v>
      </c>
      <c r="Z355" s="129">
        <f t="shared" si="969"/>
        <v>696</v>
      </c>
      <c r="AA355" s="85">
        <f t="shared" si="970"/>
        <v>1320</v>
      </c>
      <c r="AB355" s="85">
        <f>'Consumer Hardware Pricing'!X363</f>
        <v>0</v>
      </c>
      <c r="AC355" s="85">
        <f t="shared" si="950"/>
        <v>84</v>
      </c>
      <c r="AD355" s="85">
        <f>'Consumer Hardware Pricing'!Y363</f>
        <v>2</v>
      </c>
      <c r="AE355" s="85">
        <f t="shared" si="971"/>
        <v>82</v>
      </c>
      <c r="AF355" s="85">
        <f t="shared" si="972"/>
        <v>48</v>
      </c>
      <c r="AG355" s="85">
        <f t="shared" si="973"/>
        <v>1968</v>
      </c>
      <c r="AH355" s="85">
        <f>'Consumer Hardware Pricing'!AA363</f>
        <v>696</v>
      </c>
      <c r="AI355" s="85">
        <f t="shared" si="951"/>
        <v>31</v>
      </c>
      <c r="AJ355" s="85">
        <f t="shared" si="974"/>
        <v>53</v>
      </c>
      <c r="AK355" s="85">
        <f t="shared" si="975"/>
        <v>744</v>
      </c>
      <c r="AL355" s="85">
        <f t="shared" si="976"/>
        <v>1272</v>
      </c>
      <c r="AM355" s="85">
        <f>'Consumer Hardware Pricing'!AC363</f>
        <v>0</v>
      </c>
      <c r="AN355" s="85">
        <f t="shared" si="952"/>
        <v>84</v>
      </c>
      <c r="AO355" s="85">
        <f>'Consumer Hardware Pricing'!AD363</f>
        <v>2</v>
      </c>
      <c r="AP355" s="85">
        <f t="shared" si="977"/>
        <v>82</v>
      </c>
      <c r="AQ355" s="85">
        <f t="shared" si="978"/>
        <v>48</v>
      </c>
      <c r="AR355" s="85">
        <f t="shared" si="979"/>
        <v>1968</v>
      </c>
      <c r="AS355" s="85">
        <f>'Consumer Hardware Pricing'!AF363</f>
        <v>696</v>
      </c>
      <c r="AT355" s="85">
        <f t="shared" si="953"/>
        <v>31</v>
      </c>
      <c r="AU355" s="85">
        <f t="shared" si="980"/>
        <v>53</v>
      </c>
      <c r="AV355" s="85">
        <f t="shared" si="981"/>
        <v>744</v>
      </c>
      <c r="AW355" s="85">
        <f t="shared" si="982"/>
        <v>1272</v>
      </c>
      <c r="AX355" s="85" t="str">
        <f>'Consumer Hardware Pricing'!AH363</f>
        <v>-</v>
      </c>
      <c r="AY355" s="85" t="str">
        <f t="shared" si="954"/>
        <v>-</v>
      </c>
      <c r="AZ355" s="85" t="str">
        <f>'Consumer Hardware Pricing'!AI363</f>
        <v>-</v>
      </c>
      <c r="BA355" s="85" t="str">
        <f t="shared" si="983"/>
        <v>-</v>
      </c>
      <c r="BB355" s="85" t="str">
        <f t="shared" si="984"/>
        <v>-</v>
      </c>
      <c r="BC355" s="85" t="str">
        <f t="shared" si="985"/>
        <v>-</v>
      </c>
      <c r="BD355" s="85" t="str">
        <f>'Consumer Hardware Pricing'!AL363</f>
        <v>-</v>
      </c>
      <c r="BE355" s="85" t="str">
        <f t="shared" si="955"/>
        <v>-</v>
      </c>
      <c r="BF355" s="85" t="str">
        <f>'Consumer Hardware Pricing'!AM363</f>
        <v>-</v>
      </c>
      <c r="BG355" s="85" t="str">
        <f t="shared" si="986"/>
        <v>-</v>
      </c>
      <c r="BH355" s="85" t="str">
        <f t="shared" si="987"/>
        <v>-</v>
      </c>
      <c r="BI355" s="85" t="str">
        <f t="shared" si="988"/>
        <v>-</v>
      </c>
      <c r="BJ355" s="85" t="str">
        <f>'Consumer Hardware Pricing'!AP363</f>
        <v>-</v>
      </c>
      <c r="BK355" s="85" t="str">
        <f t="shared" si="956"/>
        <v>-</v>
      </c>
      <c r="BL355" s="85" t="str">
        <f>'Consumer Hardware Pricing'!AQ363</f>
        <v>-</v>
      </c>
      <c r="BM355" s="85" t="str">
        <f t="shared" si="989"/>
        <v>-</v>
      </c>
      <c r="BN355" s="85" t="str">
        <f t="shared" si="990"/>
        <v>-</v>
      </c>
      <c r="BO355" s="85" t="str">
        <f t="shared" si="991"/>
        <v>-</v>
      </c>
      <c r="BP355" s="85" t="str">
        <f>'Consumer Hardware Pricing'!AT363</f>
        <v>-</v>
      </c>
      <c r="BQ355" s="85" t="str">
        <f t="shared" si="957"/>
        <v>-</v>
      </c>
      <c r="BR355" s="85" t="str">
        <f>'Consumer Hardware Pricing'!AU363</f>
        <v>-</v>
      </c>
      <c r="BS355" s="85" t="str">
        <f t="shared" si="992"/>
        <v>-</v>
      </c>
      <c r="BT355" s="85" t="str">
        <f t="shared" si="993"/>
        <v>-</v>
      </c>
      <c r="BU355" s="85" t="str">
        <f t="shared" si="994"/>
        <v>-</v>
      </c>
    </row>
    <row r="356" spans="1:73" ht="30.15" customHeight="1" x14ac:dyDescent="0.25">
      <c r="A356" s="87" t="s">
        <v>34</v>
      </c>
      <c r="B356" s="88" t="s">
        <v>1169</v>
      </c>
      <c r="C356" s="88" t="s">
        <v>1187</v>
      </c>
      <c r="D356" s="85">
        <f>'Consumer Hardware Pricing'!L364</f>
        <v>1008</v>
      </c>
      <c r="E356" s="85">
        <f>'Consumer Hardware Pricing'!M364</f>
        <v>1008</v>
      </c>
      <c r="F356" s="85">
        <f>'Consumer Hardware Pricing'!N364</f>
        <v>0</v>
      </c>
      <c r="G356" s="85">
        <f t="shared" si="910"/>
        <v>42</v>
      </c>
      <c r="H356" s="85" t="str">
        <f>'Consumer Hardware Pricing'!O364</f>
        <v>-</v>
      </c>
      <c r="I356" s="85">
        <f t="shared" si="958"/>
        <v>42</v>
      </c>
      <c r="J356" s="85" t="str">
        <f t="shared" si="959"/>
        <v>-</v>
      </c>
      <c r="K356" s="85">
        <f t="shared" si="960"/>
        <v>1008</v>
      </c>
      <c r="L356" s="85">
        <f>'Consumer Hardware Pricing'!Q364</f>
        <v>432</v>
      </c>
      <c r="M356" s="85">
        <f t="shared" si="911"/>
        <v>18</v>
      </c>
      <c r="N356" s="85">
        <f t="shared" si="961"/>
        <v>24</v>
      </c>
      <c r="O356" s="85">
        <f t="shared" si="962"/>
        <v>432</v>
      </c>
      <c r="P356" s="85">
        <f t="shared" si="963"/>
        <v>576</v>
      </c>
      <c r="Q356" s="85">
        <f>'Consumer Hardware Pricing'!S364</f>
        <v>0</v>
      </c>
      <c r="R356" s="85">
        <f t="shared" si="964"/>
        <v>42</v>
      </c>
      <c r="S356" s="85" t="str">
        <f>'Consumer Hardware Pricing'!T364</f>
        <v>-</v>
      </c>
      <c r="T356" s="129">
        <f t="shared" si="965"/>
        <v>42</v>
      </c>
      <c r="U356" s="129" t="str">
        <f t="shared" si="966"/>
        <v>-</v>
      </c>
      <c r="V356" s="85">
        <f t="shared" si="967"/>
        <v>1008</v>
      </c>
      <c r="W356" s="129">
        <f>'Consumer Hardware Pricing'!V364</f>
        <v>432</v>
      </c>
      <c r="X356" s="129">
        <f t="shared" si="912"/>
        <v>18</v>
      </c>
      <c r="Y356" s="129">
        <f t="shared" si="968"/>
        <v>24</v>
      </c>
      <c r="Z356" s="129">
        <f t="shared" si="969"/>
        <v>432</v>
      </c>
      <c r="AA356" s="85">
        <f t="shared" si="970"/>
        <v>576</v>
      </c>
      <c r="AB356" s="85">
        <f>'Consumer Hardware Pricing'!X364</f>
        <v>0</v>
      </c>
      <c r="AC356" s="85">
        <f t="shared" si="950"/>
        <v>42</v>
      </c>
      <c r="AD356" s="85">
        <f>'Consumer Hardware Pricing'!Y364</f>
        <v>2</v>
      </c>
      <c r="AE356" s="85">
        <f t="shared" si="971"/>
        <v>40</v>
      </c>
      <c r="AF356" s="85">
        <f t="shared" si="972"/>
        <v>48</v>
      </c>
      <c r="AG356" s="85">
        <f t="shared" si="973"/>
        <v>960</v>
      </c>
      <c r="AH356" s="85">
        <f>'Consumer Hardware Pricing'!AA364</f>
        <v>432</v>
      </c>
      <c r="AI356" s="85">
        <f t="shared" si="951"/>
        <v>20</v>
      </c>
      <c r="AJ356" s="85">
        <f t="shared" si="974"/>
        <v>22</v>
      </c>
      <c r="AK356" s="85">
        <f t="shared" si="975"/>
        <v>480</v>
      </c>
      <c r="AL356" s="85">
        <f t="shared" si="976"/>
        <v>528</v>
      </c>
      <c r="AM356" s="85">
        <f>'Consumer Hardware Pricing'!AC364</f>
        <v>0</v>
      </c>
      <c r="AN356" s="85">
        <f t="shared" si="952"/>
        <v>42</v>
      </c>
      <c r="AO356" s="85">
        <f>'Consumer Hardware Pricing'!AD364</f>
        <v>2</v>
      </c>
      <c r="AP356" s="85">
        <f t="shared" si="977"/>
        <v>40</v>
      </c>
      <c r="AQ356" s="85">
        <f t="shared" si="978"/>
        <v>48</v>
      </c>
      <c r="AR356" s="85">
        <f t="shared" si="979"/>
        <v>960</v>
      </c>
      <c r="AS356" s="85">
        <f>'Consumer Hardware Pricing'!AF364</f>
        <v>432</v>
      </c>
      <c r="AT356" s="85">
        <f t="shared" si="953"/>
        <v>20</v>
      </c>
      <c r="AU356" s="85">
        <f t="shared" si="980"/>
        <v>22</v>
      </c>
      <c r="AV356" s="85">
        <f t="shared" si="981"/>
        <v>480</v>
      </c>
      <c r="AW356" s="85">
        <f t="shared" si="982"/>
        <v>528</v>
      </c>
      <c r="AX356" s="85" t="str">
        <f>'Consumer Hardware Pricing'!AH364</f>
        <v>-</v>
      </c>
      <c r="AY356" s="85" t="str">
        <f t="shared" si="954"/>
        <v>-</v>
      </c>
      <c r="AZ356" s="85" t="str">
        <f>'Consumer Hardware Pricing'!AI364</f>
        <v>-</v>
      </c>
      <c r="BA356" s="85" t="str">
        <f t="shared" si="983"/>
        <v>-</v>
      </c>
      <c r="BB356" s="85" t="str">
        <f t="shared" si="984"/>
        <v>-</v>
      </c>
      <c r="BC356" s="85" t="str">
        <f t="shared" si="985"/>
        <v>-</v>
      </c>
      <c r="BD356" s="85" t="str">
        <f>'Consumer Hardware Pricing'!AL364</f>
        <v>-</v>
      </c>
      <c r="BE356" s="85" t="str">
        <f t="shared" si="955"/>
        <v>-</v>
      </c>
      <c r="BF356" s="85" t="str">
        <f>'Consumer Hardware Pricing'!AM364</f>
        <v>-</v>
      </c>
      <c r="BG356" s="85" t="str">
        <f t="shared" si="986"/>
        <v>-</v>
      </c>
      <c r="BH356" s="85" t="str">
        <f t="shared" si="987"/>
        <v>-</v>
      </c>
      <c r="BI356" s="85" t="str">
        <f t="shared" si="988"/>
        <v>-</v>
      </c>
      <c r="BJ356" s="85" t="str">
        <f>'Consumer Hardware Pricing'!AP364</f>
        <v>-</v>
      </c>
      <c r="BK356" s="85" t="str">
        <f t="shared" si="956"/>
        <v>-</v>
      </c>
      <c r="BL356" s="85" t="str">
        <f>'Consumer Hardware Pricing'!AQ364</f>
        <v>-</v>
      </c>
      <c r="BM356" s="85" t="str">
        <f t="shared" si="989"/>
        <v>-</v>
      </c>
      <c r="BN356" s="85" t="str">
        <f t="shared" si="990"/>
        <v>-</v>
      </c>
      <c r="BO356" s="85" t="str">
        <f t="shared" si="991"/>
        <v>-</v>
      </c>
      <c r="BP356" s="85" t="str">
        <f>'Consumer Hardware Pricing'!AT364</f>
        <v>-</v>
      </c>
      <c r="BQ356" s="85" t="str">
        <f t="shared" si="957"/>
        <v>-</v>
      </c>
      <c r="BR356" s="85" t="str">
        <f>'Consumer Hardware Pricing'!AU364</f>
        <v>-</v>
      </c>
      <c r="BS356" s="85" t="str">
        <f t="shared" si="992"/>
        <v>-</v>
      </c>
      <c r="BT356" s="85" t="str">
        <f t="shared" si="993"/>
        <v>-</v>
      </c>
      <c r="BU356" s="85" t="str">
        <f t="shared" si="994"/>
        <v>-</v>
      </c>
    </row>
    <row r="357" spans="1:73" ht="30.15" customHeight="1" x14ac:dyDescent="0.25">
      <c r="A357" s="87" t="s">
        <v>34</v>
      </c>
      <c r="B357" s="88" t="s">
        <v>1170</v>
      </c>
      <c r="C357" s="88" t="s">
        <v>1187</v>
      </c>
      <c r="D357" s="85">
        <f>'Consumer Hardware Pricing'!L365</f>
        <v>1008</v>
      </c>
      <c r="E357" s="85">
        <f>'Consumer Hardware Pricing'!M365</f>
        <v>1008</v>
      </c>
      <c r="F357" s="85">
        <f>'Consumer Hardware Pricing'!N365</f>
        <v>0</v>
      </c>
      <c r="G357" s="85">
        <f t="shared" si="910"/>
        <v>42</v>
      </c>
      <c r="H357" s="85" t="str">
        <f>'Consumer Hardware Pricing'!O365</f>
        <v>-</v>
      </c>
      <c r="I357" s="85">
        <f t="shared" si="958"/>
        <v>42</v>
      </c>
      <c r="J357" s="85" t="str">
        <f t="shared" si="959"/>
        <v>-</v>
      </c>
      <c r="K357" s="85">
        <f t="shared" si="960"/>
        <v>1008</v>
      </c>
      <c r="L357" s="85">
        <f>'Consumer Hardware Pricing'!Q365</f>
        <v>432</v>
      </c>
      <c r="M357" s="85">
        <f t="shared" si="911"/>
        <v>18</v>
      </c>
      <c r="N357" s="85">
        <f t="shared" si="961"/>
        <v>24</v>
      </c>
      <c r="O357" s="85">
        <f t="shared" si="962"/>
        <v>432</v>
      </c>
      <c r="P357" s="85">
        <f t="shared" si="963"/>
        <v>576</v>
      </c>
      <c r="Q357" s="85">
        <f>'Consumer Hardware Pricing'!S365</f>
        <v>0</v>
      </c>
      <c r="R357" s="85">
        <f t="shared" si="964"/>
        <v>42</v>
      </c>
      <c r="S357" s="85" t="str">
        <f>'Consumer Hardware Pricing'!T365</f>
        <v>-</v>
      </c>
      <c r="T357" s="129">
        <f t="shared" si="965"/>
        <v>42</v>
      </c>
      <c r="U357" s="129" t="str">
        <f t="shared" si="966"/>
        <v>-</v>
      </c>
      <c r="V357" s="85">
        <f t="shared" si="967"/>
        <v>1008</v>
      </c>
      <c r="W357" s="129">
        <f>'Consumer Hardware Pricing'!V365</f>
        <v>432</v>
      </c>
      <c r="X357" s="129">
        <f t="shared" si="912"/>
        <v>18</v>
      </c>
      <c r="Y357" s="129">
        <f t="shared" si="968"/>
        <v>24</v>
      </c>
      <c r="Z357" s="129">
        <f t="shared" si="969"/>
        <v>432</v>
      </c>
      <c r="AA357" s="85">
        <f t="shared" si="970"/>
        <v>576</v>
      </c>
      <c r="AB357" s="85">
        <f>'Consumer Hardware Pricing'!X365</f>
        <v>0</v>
      </c>
      <c r="AC357" s="85">
        <f t="shared" si="950"/>
        <v>42</v>
      </c>
      <c r="AD357" s="85">
        <f>'Consumer Hardware Pricing'!Y365</f>
        <v>2</v>
      </c>
      <c r="AE357" s="85">
        <f t="shared" si="971"/>
        <v>40</v>
      </c>
      <c r="AF357" s="85">
        <f t="shared" si="972"/>
        <v>48</v>
      </c>
      <c r="AG357" s="85">
        <f t="shared" si="973"/>
        <v>960</v>
      </c>
      <c r="AH357" s="85">
        <f>'Consumer Hardware Pricing'!AA365</f>
        <v>432</v>
      </c>
      <c r="AI357" s="85">
        <f t="shared" si="951"/>
        <v>20</v>
      </c>
      <c r="AJ357" s="85">
        <f t="shared" si="974"/>
        <v>22</v>
      </c>
      <c r="AK357" s="85">
        <f t="shared" si="975"/>
        <v>480</v>
      </c>
      <c r="AL357" s="85">
        <f t="shared" si="976"/>
        <v>528</v>
      </c>
      <c r="AM357" s="85">
        <f>'Consumer Hardware Pricing'!AC365</f>
        <v>0</v>
      </c>
      <c r="AN357" s="85">
        <f t="shared" si="952"/>
        <v>42</v>
      </c>
      <c r="AO357" s="85">
        <f>'Consumer Hardware Pricing'!AD365</f>
        <v>2</v>
      </c>
      <c r="AP357" s="85">
        <f t="shared" si="977"/>
        <v>40</v>
      </c>
      <c r="AQ357" s="85">
        <f t="shared" si="978"/>
        <v>48</v>
      </c>
      <c r="AR357" s="85">
        <f t="shared" si="979"/>
        <v>960</v>
      </c>
      <c r="AS357" s="85">
        <f>'Consumer Hardware Pricing'!AF365</f>
        <v>432</v>
      </c>
      <c r="AT357" s="85">
        <f t="shared" si="953"/>
        <v>20</v>
      </c>
      <c r="AU357" s="85">
        <f t="shared" si="980"/>
        <v>22</v>
      </c>
      <c r="AV357" s="85">
        <f t="shared" si="981"/>
        <v>480</v>
      </c>
      <c r="AW357" s="85">
        <f t="shared" si="982"/>
        <v>528</v>
      </c>
      <c r="AX357" s="85" t="str">
        <f>'Consumer Hardware Pricing'!AH365</f>
        <v>-</v>
      </c>
      <c r="AY357" s="85" t="str">
        <f t="shared" si="954"/>
        <v>-</v>
      </c>
      <c r="AZ357" s="85" t="str">
        <f>'Consumer Hardware Pricing'!AI365</f>
        <v>-</v>
      </c>
      <c r="BA357" s="85" t="str">
        <f t="shared" si="983"/>
        <v>-</v>
      </c>
      <c r="BB357" s="85" t="str">
        <f t="shared" si="984"/>
        <v>-</v>
      </c>
      <c r="BC357" s="85" t="str">
        <f t="shared" si="985"/>
        <v>-</v>
      </c>
      <c r="BD357" s="85" t="str">
        <f>'Consumer Hardware Pricing'!AL365</f>
        <v>-</v>
      </c>
      <c r="BE357" s="85" t="str">
        <f t="shared" si="955"/>
        <v>-</v>
      </c>
      <c r="BF357" s="85" t="str">
        <f>'Consumer Hardware Pricing'!AM365</f>
        <v>-</v>
      </c>
      <c r="BG357" s="85" t="str">
        <f t="shared" si="986"/>
        <v>-</v>
      </c>
      <c r="BH357" s="85" t="str">
        <f t="shared" si="987"/>
        <v>-</v>
      </c>
      <c r="BI357" s="85" t="str">
        <f t="shared" si="988"/>
        <v>-</v>
      </c>
      <c r="BJ357" s="85" t="str">
        <f>'Consumer Hardware Pricing'!AP365</f>
        <v>-</v>
      </c>
      <c r="BK357" s="85" t="str">
        <f t="shared" si="956"/>
        <v>-</v>
      </c>
      <c r="BL357" s="85" t="str">
        <f>'Consumer Hardware Pricing'!AQ365</f>
        <v>-</v>
      </c>
      <c r="BM357" s="85" t="str">
        <f t="shared" si="989"/>
        <v>-</v>
      </c>
      <c r="BN357" s="85" t="str">
        <f t="shared" si="990"/>
        <v>-</v>
      </c>
      <c r="BO357" s="85" t="str">
        <f t="shared" si="991"/>
        <v>-</v>
      </c>
      <c r="BP357" s="85" t="str">
        <f>'Consumer Hardware Pricing'!AT365</f>
        <v>-</v>
      </c>
      <c r="BQ357" s="85" t="str">
        <f t="shared" si="957"/>
        <v>-</v>
      </c>
      <c r="BR357" s="85" t="str">
        <f>'Consumer Hardware Pricing'!AU365</f>
        <v>-</v>
      </c>
      <c r="BS357" s="85" t="str">
        <f t="shared" si="992"/>
        <v>-</v>
      </c>
      <c r="BT357" s="85" t="str">
        <f t="shared" si="993"/>
        <v>-</v>
      </c>
      <c r="BU357" s="85" t="str">
        <f t="shared" si="994"/>
        <v>-</v>
      </c>
    </row>
    <row r="358" spans="1:73" ht="30.15" customHeight="1" x14ac:dyDescent="0.25">
      <c r="A358" s="87" t="s">
        <v>34</v>
      </c>
      <c r="B358" s="88" t="s">
        <v>1171</v>
      </c>
      <c r="C358" s="88" t="s">
        <v>1187</v>
      </c>
      <c r="D358" s="85">
        <f>'Consumer Hardware Pricing'!L366</f>
        <v>1008</v>
      </c>
      <c r="E358" s="85">
        <f>'Consumer Hardware Pricing'!M366</f>
        <v>1008</v>
      </c>
      <c r="F358" s="85">
        <f>'Consumer Hardware Pricing'!N366</f>
        <v>0</v>
      </c>
      <c r="G358" s="85">
        <f t="shared" si="910"/>
        <v>42</v>
      </c>
      <c r="H358" s="85" t="str">
        <f>'Consumer Hardware Pricing'!O366</f>
        <v>-</v>
      </c>
      <c r="I358" s="85">
        <f t="shared" si="958"/>
        <v>42</v>
      </c>
      <c r="J358" s="85" t="str">
        <f t="shared" si="959"/>
        <v>-</v>
      </c>
      <c r="K358" s="85">
        <f t="shared" si="960"/>
        <v>1008</v>
      </c>
      <c r="L358" s="85">
        <f>'Consumer Hardware Pricing'!Q366</f>
        <v>432</v>
      </c>
      <c r="M358" s="85">
        <f t="shared" si="911"/>
        <v>18</v>
      </c>
      <c r="N358" s="85">
        <f t="shared" si="961"/>
        <v>24</v>
      </c>
      <c r="O358" s="85">
        <f t="shared" si="962"/>
        <v>432</v>
      </c>
      <c r="P358" s="85">
        <f t="shared" si="963"/>
        <v>576</v>
      </c>
      <c r="Q358" s="85">
        <f>'Consumer Hardware Pricing'!S366</f>
        <v>0</v>
      </c>
      <c r="R358" s="85">
        <f t="shared" si="964"/>
        <v>42</v>
      </c>
      <c r="S358" s="85" t="str">
        <f>'Consumer Hardware Pricing'!T366</f>
        <v>-</v>
      </c>
      <c r="T358" s="129">
        <f t="shared" si="965"/>
        <v>42</v>
      </c>
      <c r="U358" s="129" t="str">
        <f t="shared" si="966"/>
        <v>-</v>
      </c>
      <c r="V358" s="85">
        <f t="shared" si="967"/>
        <v>1008</v>
      </c>
      <c r="W358" s="129">
        <f>'Consumer Hardware Pricing'!V366</f>
        <v>432</v>
      </c>
      <c r="X358" s="129">
        <f t="shared" si="912"/>
        <v>18</v>
      </c>
      <c r="Y358" s="129">
        <f t="shared" si="968"/>
        <v>24</v>
      </c>
      <c r="Z358" s="129">
        <f t="shared" si="969"/>
        <v>432</v>
      </c>
      <c r="AA358" s="85">
        <f t="shared" si="970"/>
        <v>576</v>
      </c>
      <c r="AB358" s="85">
        <f>'Consumer Hardware Pricing'!X366</f>
        <v>0</v>
      </c>
      <c r="AC358" s="85">
        <f t="shared" si="950"/>
        <v>42</v>
      </c>
      <c r="AD358" s="85">
        <f>'Consumer Hardware Pricing'!Y366</f>
        <v>2</v>
      </c>
      <c r="AE358" s="85">
        <f t="shared" si="971"/>
        <v>40</v>
      </c>
      <c r="AF358" s="85">
        <f t="shared" si="972"/>
        <v>48</v>
      </c>
      <c r="AG358" s="85">
        <f t="shared" si="973"/>
        <v>960</v>
      </c>
      <c r="AH358" s="85">
        <f>'Consumer Hardware Pricing'!AA366</f>
        <v>432</v>
      </c>
      <c r="AI358" s="85">
        <f t="shared" si="951"/>
        <v>20</v>
      </c>
      <c r="AJ358" s="85">
        <f t="shared" si="974"/>
        <v>22</v>
      </c>
      <c r="AK358" s="85">
        <f t="shared" si="975"/>
        <v>480</v>
      </c>
      <c r="AL358" s="85">
        <f t="shared" si="976"/>
        <v>528</v>
      </c>
      <c r="AM358" s="85">
        <f>'Consumer Hardware Pricing'!AC366</f>
        <v>0</v>
      </c>
      <c r="AN358" s="85">
        <f t="shared" si="952"/>
        <v>42</v>
      </c>
      <c r="AO358" s="85">
        <f>'Consumer Hardware Pricing'!AD366</f>
        <v>2</v>
      </c>
      <c r="AP358" s="85">
        <f t="shared" si="977"/>
        <v>40</v>
      </c>
      <c r="AQ358" s="85">
        <f t="shared" si="978"/>
        <v>48</v>
      </c>
      <c r="AR358" s="85">
        <f t="shared" si="979"/>
        <v>960</v>
      </c>
      <c r="AS358" s="85">
        <f>'Consumer Hardware Pricing'!AF366</f>
        <v>432</v>
      </c>
      <c r="AT358" s="85">
        <f t="shared" si="953"/>
        <v>20</v>
      </c>
      <c r="AU358" s="85">
        <f t="shared" si="980"/>
        <v>22</v>
      </c>
      <c r="AV358" s="85">
        <f t="shared" si="981"/>
        <v>480</v>
      </c>
      <c r="AW358" s="85">
        <f t="shared" si="982"/>
        <v>528</v>
      </c>
      <c r="AX358" s="85" t="str">
        <f>'Consumer Hardware Pricing'!AH366</f>
        <v>-</v>
      </c>
      <c r="AY358" s="85" t="str">
        <f t="shared" si="954"/>
        <v>-</v>
      </c>
      <c r="AZ358" s="85" t="str">
        <f>'Consumer Hardware Pricing'!AI366</f>
        <v>-</v>
      </c>
      <c r="BA358" s="85" t="str">
        <f t="shared" si="983"/>
        <v>-</v>
      </c>
      <c r="BB358" s="85" t="str">
        <f t="shared" si="984"/>
        <v>-</v>
      </c>
      <c r="BC358" s="85" t="str">
        <f t="shared" si="985"/>
        <v>-</v>
      </c>
      <c r="BD358" s="85" t="str">
        <f>'Consumer Hardware Pricing'!AL366</f>
        <v>-</v>
      </c>
      <c r="BE358" s="85" t="str">
        <f t="shared" si="955"/>
        <v>-</v>
      </c>
      <c r="BF358" s="85" t="str">
        <f>'Consumer Hardware Pricing'!AM366</f>
        <v>-</v>
      </c>
      <c r="BG358" s="85" t="str">
        <f t="shared" si="986"/>
        <v>-</v>
      </c>
      <c r="BH358" s="85" t="str">
        <f t="shared" si="987"/>
        <v>-</v>
      </c>
      <c r="BI358" s="85" t="str">
        <f t="shared" si="988"/>
        <v>-</v>
      </c>
      <c r="BJ358" s="85" t="str">
        <f>'Consumer Hardware Pricing'!AP366</f>
        <v>-</v>
      </c>
      <c r="BK358" s="85" t="str">
        <f t="shared" si="956"/>
        <v>-</v>
      </c>
      <c r="BL358" s="85" t="str">
        <f>'Consumer Hardware Pricing'!AQ366</f>
        <v>-</v>
      </c>
      <c r="BM358" s="85" t="str">
        <f t="shared" si="989"/>
        <v>-</v>
      </c>
      <c r="BN358" s="85" t="str">
        <f t="shared" si="990"/>
        <v>-</v>
      </c>
      <c r="BO358" s="85" t="str">
        <f t="shared" si="991"/>
        <v>-</v>
      </c>
      <c r="BP358" s="85" t="str">
        <f>'Consumer Hardware Pricing'!AT366</f>
        <v>-</v>
      </c>
      <c r="BQ358" s="85" t="str">
        <f t="shared" si="957"/>
        <v>-</v>
      </c>
      <c r="BR358" s="85" t="str">
        <f>'Consumer Hardware Pricing'!AU366</f>
        <v>-</v>
      </c>
      <c r="BS358" s="85" t="str">
        <f t="shared" si="992"/>
        <v>-</v>
      </c>
      <c r="BT358" s="85" t="str">
        <f t="shared" si="993"/>
        <v>-</v>
      </c>
      <c r="BU358" s="85" t="str">
        <f t="shared" si="994"/>
        <v>-</v>
      </c>
    </row>
    <row r="359" spans="1:73" ht="30.15" customHeight="1" x14ac:dyDescent="0.25">
      <c r="A359" s="87" t="s">
        <v>34</v>
      </c>
      <c r="B359" s="88" t="s">
        <v>1172</v>
      </c>
      <c r="C359" s="88" t="s">
        <v>1187</v>
      </c>
      <c r="D359" s="85">
        <f>'Consumer Hardware Pricing'!L367</f>
        <v>1008</v>
      </c>
      <c r="E359" s="85">
        <f>'Consumer Hardware Pricing'!M367</f>
        <v>1008</v>
      </c>
      <c r="F359" s="85">
        <f>'Consumer Hardware Pricing'!N367</f>
        <v>0</v>
      </c>
      <c r="G359" s="85">
        <f t="shared" si="910"/>
        <v>42</v>
      </c>
      <c r="H359" s="85" t="str">
        <f>'Consumer Hardware Pricing'!O367</f>
        <v>-</v>
      </c>
      <c r="I359" s="85">
        <f t="shared" si="958"/>
        <v>42</v>
      </c>
      <c r="J359" s="85" t="str">
        <f t="shared" si="959"/>
        <v>-</v>
      </c>
      <c r="K359" s="85">
        <f t="shared" si="960"/>
        <v>1008</v>
      </c>
      <c r="L359" s="85">
        <f>'Consumer Hardware Pricing'!Q367</f>
        <v>432</v>
      </c>
      <c r="M359" s="85">
        <f t="shared" si="911"/>
        <v>18</v>
      </c>
      <c r="N359" s="85">
        <f t="shared" si="961"/>
        <v>24</v>
      </c>
      <c r="O359" s="85">
        <f t="shared" si="962"/>
        <v>432</v>
      </c>
      <c r="P359" s="85">
        <f t="shared" si="963"/>
        <v>576</v>
      </c>
      <c r="Q359" s="85">
        <f>'Consumer Hardware Pricing'!S367</f>
        <v>0</v>
      </c>
      <c r="R359" s="85">
        <f t="shared" si="964"/>
        <v>42</v>
      </c>
      <c r="S359" s="85" t="str">
        <f>'Consumer Hardware Pricing'!T367</f>
        <v>-</v>
      </c>
      <c r="T359" s="129">
        <f t="shared" si="965"/>
        <v>42</v>
      </c>
      <c r="U359" s="129" t="str">
        <f t="shared" si="966"/>
        <v>-</v>
      </c>
      <c r="V359" s="85">
        <f t="shared" si="967"/>
        <v>1008</v>
      </c>
      <c r="W359" s="129">
        <f>'Consumer Hardware Pricing'!V367</f>
        <v>432</v>
      </c>
      <c r="X359" s="129">
        <f t="shared" si="912"/>
        <v>18</v>
      </c>
      <c r="Y359" s="129">
        <f t="shared" si="968"/>
        <v>24</v>
      </c>
      <c r="Z359" s="129">
        <f t="shared" si="969"/>
        <v>432</v>
      </c>
      <c r="AA359" s="85">
        <f t="shared" si="970"/>
        <v>576</v>
      </c>
      <c r="AB359" s="85">
        <f>'Consumer Hardware Pricing'!X367</f>
        <v>0</v>
      </c>
      <c r="AC359" s="85">
        <f t="shared" si="950"/>
        <v>42</v>
      </c>
      <c r="AD359" s="85">
        <f>'Consumer Hardware Pricing'!Y367</f>
        <v>2</v>
      </c>
      <c r="AE359" s="85">
        <f t="shared" si="971"/>
        <v>40</v>
      </c>
      <c r="AF359" s="85">
        <f t="shared" si="972"/>
        <v>48</v>
      </c>
      <c r="AG359" s="85">
        <f t="shared" si="973"/>
        <v>960</v>
      </c>
      <c r="AH359" s="85">
        <f>'Consumer Hardware Pricing'!AA367</f>
        <v>432</v>
      </c>
      <c r="AI359" s="85">
        <f t="shared" si="951"/>
        <v>20</v>
      </c>
      <c r="AJ359" s="85">
        <f t="shared" si="974"/>
        <v>22</v>
      </c>
      <c r="AK359" s="85">
        <f t="shared" si="975"/>
        <v>480</v>
      </c>
      <c r="AL359" s="85">
        <f t="shared" si="976"/>
        <v>528</v>
      </c>
      <c r="AM359" s="85">
        <f>'Consumer Hardware Pricing'!AC367</f>
        <v>0</v>
      </c>
      <c r="AN359" s="85">
        <f t="shared" si="952"/>
        <v>42</v>
      </c>
      <c r="AO359" s="85">
        <f>'Consumer Hardware Pricing'!AD367</f>
        <v>2</v>
      </c>
      <c r="AP359" s="85">
        <f t="shared" si="977"/>
        <v>40</v>
      </c>
      <c r="AQ359" s="85">
        <f t="shared" si="978"/>
        <v>48</v>
      </c>
      <c r="AR359" s="85">
        <f t="shared" si="979"/>
        <v>960</v>
      </c>
      <c r="AS359" s="85">
        <f>'Consumer Hardware Pricing'!AF367</f>
        <v>432</v>
      </c>
      <c r="AT359" s="85">
        <f t="shared" si="953"/>
        <v>20</v>
      </c>
      <c r="AU359" s="85">
        <f t="shared" si="980"/>
        <v>22</v>
      </c>
      <c r="AV359" s="85">
        <f t="shared" si="981"/>
        <v>480</v>
      </c>
      <c r="AW359" s="85">
        <f t="shared" si="982"/>
        <v>528</v>
      </c>
      <c r="AX359" s="85" t="str">
        <f>'Consumer Hardware Pricing'!AH367</f>
        <v>-</v>
      </c>
      <c r="AY359" s="85" t="str">
        <f t="shared" si="954"/>
        <v>-</v>
      </c>
      <c r="AZ359" s="85" t="str">
        <f>'Consumer Hardware Pricing'!AI367</f>
        <v>-</v>
      </c>
      <c r="BA359" s="85" t="str">
        <f t="shared" si="983"/>
        <v>-</v>
      </c>
      <c r="BB359" s="85" t="str">
        <f t="shared" si="984"/>
        <v>-</v>
      </c>
      <c r="BC359" s="85" t="str">
        <f t="shared" si="985"/>
        <v>-</v>
      </c>
      <c r="BD359" s="85" t="str">
        <f>'Consumer Hardware Pricing'!AL367</f>
        <v>-</v>
      </c>
      <c r="BE359" s="85" t="str">
        <f t="shared" si="955"/>
        <v>-</v>
      </c>
      <c r="BF359" s="85" t="str">
        <f>'Consumer Hardware Pricing'!AM367</f>
        <v>-</v>
      </c>
      <c r="BG359" s="85" t="str">
        <f t="shared" si="986"/>
        <v>-</v>
      </c>
      <c r="BH359" s="85" t="str">
        <f t="shared" si="987"/>
        <v>-</v>
      </c>
      <c r="BI359" s="85" t="str">
        <f t="shared" si="988"/>
        <v>-</v>
      </c>
      <c r="BJ359" s="85" t="str">
        <f>'Consumer Hardware Pricing'!AP367</f>
        <v>-</v>
      </c>
      <c r="BK359" s="85" t="str">
        <f t="shared" si="956"/>
        <v>-</v>
      </c>
      <c r="BL359" s="85" t="str">
        <f>'Consumer Hardware Pricing'!AQ367</f>
        <v>-</v>
      </c>
      <c r="BM359" s="85" t="str">
        <f t="shared" si="989"/>
        <v>-</v>
      </c>
      <c r="BN359" s="85" t="str">
        <f t="shared" si="990"/>
        <v>-</v>
      </c>
      <c r="BO359" s="85" t="str">
        <f t="shared" si="991"/>
        <v>-</v>
      </c>
      <c r="BP359" s="85" t="str">
        <f>'Consumer Hardware Pricing'!AT367</f>
        <v>-</v>
      </c>
      <c r="BQ359" s="85" t="str">
        <f t="shared" si="957"/>
        <v>-</v>
      </c>
      <c r="BR359" s="85" t="str">
        <f>'Consumer Hardware Pricing'!AU367</f>
        <v>-</v>
      </c>
      <c r="BS359" s="85" t="str">
        <f t="shared" si="992"/>
        <v>-</v>
      </c>
      <c r="BT359" s="85" t="str">
        <f t="shared" si="993"/>
        <v>-</v>
      </c>
      <c r="BU359" s="85" t="str">
        <f t="shared" si="994"/>
        <v>-</v>
      </c>
    </row>
    <row r="360" spans="1:73" ht="30.15" customHeight="1" x14ac:dyDescent="0.25">
      <c r="A360" s="87" t="s">
        <v>34</v>
      </c>
      <c r="B360" s="88" t="s">
        <v>1173</v>
      </c>
      <c r="C360" s="88" t="s">
        <v>1187</v>
      </c>
      <c r="D360" s="85">
        <f>'Consumer Hardware Pricing'!L368</f>
        <v>1008</v>
      </c>
      <c r="E360" s="85">
        <f>'Consumer Hardware Pricing'!M368</f>
        <v>1008</v>
      </c>
      <c r="F360" s="85">
        <f>'Consumer Hardware Pricing'!N368</f>
        <v>0</v>
      </c>
      <c r="G360" s="85">
        <f t="shared" si="910"/>
        <v>42</v>
      </c>
      <c r="H360" s="85" t="str">
        <f>'Consumer Hardware Pricing'!O368</f>
        <v>-</v>
      </c>
      <c r="I360" s="85">
        <f t="shared" si="958"/>
        <v>42</v>
      </c>
      <c r="J360" s="85" t="str">
        <f t="shared" si="959"/>
        <v>-</v>
      </c>
      <c r="K360" s="85">
        <f t="shared" si="960"/>
        <v>1008</v>
      </c>
      <c r="L360" s="85">
        <f>'Consumer Hardware Pricing'!Q368</f>
        <v>432</v>
      </c>
      <c r="M360" s="85">
        <f t="shared" si="911"/>
        <v>18</v>
      </c>
      <c r="N360" s="85">
        <f t="shared" si="961"/>
        <v>24</v>
      </c>
      <c r="O360" s="85">
        <f t="shared" si="962"/>
        <v>432</v>
      </c>
      <c r="P360" s="85">
        <f t="shared" si="963"/>
        <v>576</v>
      </c>
      <c r="Q360" s="85">
        <f>'Consumer Hardware Pricing'!S368</f>
        <v>0</v>
      </c>
      <c r="R360" s="85">
        <f t="shared" si="964"/>
        <v>42</v>
      </c>
      <c r="S360" s="85" t="str">
        <f>'Consumer Hardware Pricing'!T368</f>
        <v>-</v>
      </c>
      <c r="T360" s="129">
        <f t="shared" si="965"/>
        <v>42</v>
      </c>
      <c r="U360" s="129" t="str">
        <f t="shared" si="966"/>
        <v>-</v>
      </c>
      <c r="V360" s="85">
        <f t="shared" si="967"/>
        <v>1008</v>
      </c>
      <c r="W360" s="129">
        <f>'Consumer Hardware Pricing'!V368</f>
        <v>432</v>
      </c>
      <c r="X360" s="129">
        <f t="shared" si="912"/>
        <v>18</v>
      </c>
      <c r="Y360" s="129">
        <f t="shared" si="968"/>
        <v>24</v>
      </c>
      <c r="Z360" s="129">
        <f t="shared" si="969"/>
        <v>432</v>
      </c>
      <c r="AA360" s="85">
        <f t="shared" si="970"/>
        <v>576</v>
      </c>
      <c r="AB360" s="85">
        <f>'Consumer Hardware Pricing'!X368</f>
        <v>0</v>
      </c>
      <c r="AC360" s="85">
        <f t="shared" si="950"/>
        <v>42</v>
      </c>
      <c r="AD360" s="85">
        <f>'Consumer Hardware Pricing'!Y368</f>
        <v>2</v>
      </c>
      <c r="AE360" s="85">
        <f t="shared" si="971"/>
        <v>40</v>
      </c>
      <c r="AF360" s="85">
        <f t="shared" si="972"/>
        <v>48</v>
      </c>
      <c r="AG360" s="85">
        <f t="shared" si="973"/>
        <v>960</v>
      </c>
      <c r="AH360" s="85">
        <f>'Consumer Hardware Pricing'!AA368</f>
        <v>432</v>
      </c>
      <c r="AI360" s="85">
        <f t="shared" si="951"/>
        <v>20</v>
      </c>
      <c r="AJ360" s="85">
        <f t="shared" si="974"/>
        <v>22</v>
      </c>
      <c r="AK360" s="85">
        <f t="shared" si="975"/>
        <v>480</v>
      </c>
      <c r="AL360" s="85">
        <f t="shared" si="976"/>
        <v>528</v>
      </c>
      <c r="AM360" s="85">
        <f>'Consumer Hardware Pricing'!AC368</f>
        <v>0</v>
      </c>
      <c r="AN360" s="85">
        <f t="shared" si="952"/>
        <v>42</v>
      </c>
      <c r="AO360" s="85">
        <f>'Consumer Hardware Pricing'!AD368</f>
        <v>2</v>
      </c>
      <c r="AP360" s="85">
        <f t="shared" si="977"/>
        <v>40</v>
      </c>
      <c r="AQ360" s="85">
        <f t="shared" si="978"/>
        <v>48</v>
      </c>
      <c r="AR360" s="85">
        <f t="shared" si="979"/>
        <v>960</v>
      </c>
      <c r="AS360" s="85">
        <f>'Consumer Hardware Pricing'!AF368</f>
        <v>432</v>
      </c>
      <c r="AT360" s="85">
        <f t="shared" si="953"/>
        <v>20</v>
      </c>
      <c r="AU360" s="85">
        <f t="shared" si="980"/>
        <v>22</v>
      </c>
      <c r="AV360" s="85">
        <f t="shared" si="981"/>
        <v>480</v>
      </c>
      <c r="AW360" s="85">
        <f t="shared" si="982"/>
        <v>528</v>
      </c>
      <c r="AX360" s="85" t="str">
        <f>'Consumer Hardware Pricing'!AH368</f>
        <v>-</v>
      </c>
      <c r="AY360" s="85" t="str">
        <f t="shared" si="954"/>
        <v>-</v>
      </c>
      <c r="AZ360" s="85" t="str">
        <f>'Consumer Hardware Pricing'!AI368</f>
        <v>-</v>
      </c>
      <c r="BA360" s="85" t="str">
        <f t="shared" si="983"/>
        <v>-</v>
      </c>
      <c r="BB360" s="85" t="str">
        <f t="shared" si="984"/>
        <v>-</v>
      </c>
      <c r="BC360" s="85" t="str">
        <f t="shared" si="985"/>
        <v>-</v>
      </c>
      <c r="BD360" s="85" t="str">
        <f>'Consumer Hardware Pricing'!AL368</f>
        <v>-</v>
      </c>
      <c r="BE360" s="85" t="str">
        <f t="shared" si="955"/>
        <v>-</v>
      </c>
      <c r="BF360" s="85" t="str">
        <f>'Consumer Hardware Pricing'!AM368</f>
        <v>-</v>
      </c>
      <c r="BG360" s="85" t="str">
        <f t="shared" si="986"/>
        <v>-</v>
      </c>
      <c r="BH360" s="85" t="str">
        <f t="shared" si="987"/>
        <v>-</v>
      </c>
      <c r="BI360" s="85" t="str">
        <f t="shared" si="988"/>
        <v>-</v>
      </c>
      <c r="BJ360" s="85" t="str">
        <f>'Consumer Hardware Pricing'!AP368</f>
        <v>-</v>
      </c>
      <c r="BK360" s="85" t="str">
        <f t="shared" si="956"/>
        <v>-</v>
      </c>
      <c r="BL360" s="85" t="str">
        <f>'Consumer Hardware Pricing'!AQ368</f>
        <v>-</v>
      </c>
      <c r="BM360" s="85" t="str">
        <f t="shared" si="989"/>
        <v>-</v>
      </c>
      <c r="BN360" s="85" t="str">
        <f t="shared" si="990"/>
        <v>-</v>
      </c>
      <c r="BO360" s="85" t="str">
        <f t="shared" si="991"/>
        <v>-</v>
      </c>
      <c r="BP360" s="85" t="str">
        <f>'Consumer Hardware Pricing'!AT368</f>
        <v>-</v>
      </c>
      <c r="BQ360" s="85" t="str">
        <f t="shared" si="957"/>
        <v>-</v>
      </c>
      <c r="BR360" s="85" t="str">
        <f>'Consumer Hardware Pricing'!AU368</f>
        <v>-</v>
      </c>
      <c r="BS360" s="85" t="str">
        <f t="shared" si="992"/>
        <v>-</v>
      </c>
      <c r="BT360" s="85" t="str">
        <f t="shared" si="993"/>
        <v>-</v>
      </c>
      <c r="BU360" s="85" t="str">
        <f t="shared" si="994"/>
        <v>-</v>
      </c>
    </row>
    <row r="361" spans="1:73" ht="30.15" customHeight="1" x14ac:dyDescent="0.25">
      <c r="A361" s="87" t="s">
        <v>34</v>
      </c>
      <c r="B361" s="88" t="s">
        <v>1247</v>
      </c>
      <c r="C361" s="88" t="s">
        <v>1187</v>
      </c>
      <c r="D361" s="85">
        <f>'Consumer Hardware Pricing'!L369</f>
        <v>1008</v>
      </c>
      <c r="E361" s="85">
        <f>'Consumer Hardware Pricing'!M369</f>
        <v>1008</v>
      </c>
      <c r="F361" s="85">
        <f>'Consumer Hardware Pricing'!N369</f>
        <v>0</v>
      </c>
      <c r="G361" s="85">
        <f t="shared" ref="G361" si="995">IF(F361="-","-",ROUNDUP(D361/24,2))</f>
        <v>42</v>
      </c>
      <c r="H361" s="85" t="str">
        <f>'Consumer Hardware Pricing'!O369</f>
        <v>-</v>
      </c>
      <c r="I361" s="85">
        <f t="shared" ref="I361" si="996">IF(H361="-",G361,G361-H361)</f>
        <v>42</v>
      </c>
      <c r="J361" s="85" t="str">
        <f t="shared" ref="J361" si="997">IF(H361="-",H361,H361*24)</f>
        <v>-</v>
      </c>
      <c r="K361" s="85">
        <f t="shared" ref="K361" si="998">IF(F361="-",F361,I361*24)</f>
        <v>1008</v>
      </c>
      <c r="L361" s="85">
        <f>'Consumer Hardware Pricing'!Q369</f>
        <v>432</v>
      </c>
      <c r="M361" s="85">
        <f t="shared" ref="M361" si="999">IF(L361="-",L361,IF(H361="-",G361-ROUNDUP((D361-L361)/24,2),H361+G361-ROUNDUP((D361-L361)/24,2)))</f>
        <v>18</v>
      </c>
      <c r="N361" s="85">
        <f t="shared" ref="N361" si="1000">IF(L361="-",L361,G361-M361)</f>
        <v>24</v>
      </c>
      <c r="O361" s="85">
        <f t="shared" ref="O361" si="1001">IF(L361="-",L361,M361*24)</f>
        <v>432</v>
      </c>
      <c r="P361" s="85">
        <f t="shared" ref="P361" si="1002">IF(L361="-",L361,N361*24)</f>
        <v>576</v>
      </c>
      <c r="Q361" s="85">
        <f>'Consumer Hardware Pricing'!S369</f>
        <v>0</v>
      </c>
      <c r="R361" s="85">
        <f t="shared" ref="R361" si="1003">G361</f>
        <v>42</v>
      </c>
      <c r="S361" s="85" t="str">
        <f>'Consumer Hardware Pricing'!T369</f>
        <v>-</v>
      </c>
      <c r="T361" s="129">
        <f t="shared" ref="T361" si="1004">IF(S361="-",R361,R361-S361)</f>
        <v>42</v>
      </c>
      <c r="U361" s="129" t="str">
        <f t="shared" ref="U361" si="1005">IF(S361="-",S361,S361*24)</f>
        <v>-</v>
      </c>
      <c r="V361" s="85">
        <f t="shared" ref="V361" si="1006">IF(Q361="-",Q361,T361*24)</f>
        <v>1008</v>
      </c>
      <c r="W361" s="129">
        <f>'Consumer Hardware Pricing'!V369</f>
        <v>432</v>
      </c>
      <c r="X361" s="129">
        <f t="shared" ref="X361" si="1007">IF(W361="-",W361,IF(S361="-",R361-ROUNDUP((D361-W361)/24,2),S361+R361-ROUNDUP((D361-W361)/24,2)))</f>
        <v>18</v>
      </c>
      <c r="Y361" s="129">
        <f t="shared" ref="Y361" si="1008">IF(W361="-",W361,R361-X361)</f>
        <v>24</v>
      </c>
      <c r="Z361" s="129">
        <f t="shared" ref="Z361" si="1009">IF(W361="-",W361,X361*24)</f>
        <v>432</v>
      </c>
      <c r="AA361" s="85">
        <f t="shared" ref="AA361" si="1010">IF(W361="-",W361,Y361*24)</f>
        <v>576</v>
      </c>
      <c r="AB361" s="85">
        <f>'Consumer Hardware Pricing'!X369</f>
        <v>0</v>
      </c>
      <c r="AC361" s="85">
        <f t="shared" si="950"/>
        <v>42</v>
      </c>
      <c r="AD361" s="85">
        <f>'Consumer Hardware Pricing'!Y369</f>
        <v>2</v>
      </c>
      <c r="AE361" s="85">
        <f t="shared" ref="AE361" si="1011">IF(AD361="-",AC361,AC361-AD361)</f>
        <v>40</v>
      </c>
      <c r="AF361" s="85">
        <f t="shared" ref="AF361" si="1012">IF(AD361="-",AD361,AD361*24)</f>
        <v>48</v>
      </c>
      <c r="AG361" s="85">
        <f t="shared" ref="AG361" si="1013">IF(AB361="-",AB361,AE361*24)</f>
        <v>960</v>
      </c>
      <c r="AH361" s="85">
        <f>'Consumer Hardware Pricing'!AA369</f>
        <v>432</v>
      </c>
      <c r="AI361" s="85">
        <f t="shared" si="951"/>
        <v>20</v>
      </c>
      <c r="AJ361" s="85">
        <f t="shared" ref="AJ361" si="1014">IF(AH361="-",AH361,AC361-AI361)</f>
        <v>22</v>
      </c>
      <c r="AK361" s="85">
        <f t="shared" ref="AK361" si="1015">IF(AH361="-",AH361,AI361*24)</f>
        <v>480</v>
      </c>
      <c r="AL361" s="85">
        <f t="shared" ref="AL361" si="1016">IF(AH361="-",AH361,AJ361*24)</f>
        <v>528</v>
      </c>
      <c r="AM361" s="85">
        <f>'Consumer Hardware Pricing'!AC369</f>
        <v>0</v>
      </c>
      <c r="AN361" s="85">
        <f t="shared" si="952"/>
        <v>42</v>
      </c>
      <c r="AO361" s="85">
        <f>'Consumer Hardware Pricing'!AD369</f>
        <v>2</v>
      </c>
      <c r="AP361" s="85">
        <f t="shared" ref="AP361" si="1017">IF(AO361="-",AN361,AN361-AO361)</f>
        <v>40</v>
      </c>
      <c r="AQ361" s="85">
        <f t="shared" ref="AQ361" si="1018">IF(AO361="-",AO361,AO361*24)</f>
        <v>48</v>
      </c>
      <c r="AR361" s="85">
        <f t="shared" ref="AR361" si="1019">IF(AM361="-",AM361,AP361*24)</f>
        <v>960</v>
      </c>
      <c r="AS361" s="85">
        <f>'Consumer Hardware Pricing'!AF369</f>
        <v>432</v>
      </c>
      <c r="AT361" s="85">
        <f t="shared" si="953"/>
        <v>20</v>
      </c>
      <c r="AU361" s="85">
        <f t="shared" ref="AU361" si="1020">IF(AS361="-",AS361,AN361-AT361)</f>
        <v>22</v>
      </c>
      <c r="AV361" s="85">
        <f t="shared" ref="AV361" si="1021">IF(AS361="-",AS361,AT361*24)</f>
        <v>480</v>
      </c>
      <c r="AW361" s="85">
        <f t="shared" ref="AW361" si="1022">IF(AS361="-",AS361,AU361*24)</f>
        <v>528</v>
      </c>
      <c r="AX361" s="85" t="str">
        <f>'Consumer Hardware Pricing'!AH369</f>
        <v>-</v>
      </c>
      <c r="AY361" s="85" t="str">
        <f t="shared" si="954"/>
        <v>-</v>
      </c>
      <c r="AZ361" s="85" t="str">
        <f>'Consumer Hardware Pricing'!AI369</f>
        <v>-</v>
      </c>
      <c r="BA361" s="85" t="str">
        <f t="shared" ref="BA361" si="1023">IF(AZ361="-",AY361,AY361-AZ361)</f>
        <v>-</v>
      </c>
      <c r="BB361" s="85" t="str">
        <f t="shared" ref="BB361" si="1024">IF(AZ361="-",AZ361,AZ361*24)</f>
        <v>-</v>
      </c>
      <c r="BC361" s="85" t="str">
        <f t="shared" ref="BC361" si="1025">IF(AX361="-",AX361,AX361+(BA361*24))</f>
        <v>-</v>
      </c>
      <c r="BD361" s="85" t="str">
        <f>'Consumer Hardware Pricing'!AL369</f>
        <v>-</v>
      </c>
      <c r="BE361" s="85" t="str">
        <f t="shared" si="955"/>
        <v>-</v>
      </c>
      <c r="BF361" s="85" t="str">
        <f>'Consumer Hardware Pricing'!AM369</f>
        <v>-</v>
      </c>
      <c r="BG361" s="85" t="str">
        <f t="shared" ref="BG361" si="1026">IF(BF361="-",BE361,BE361-BF361)</f>
        <v>-</v>
      </c>
      <c r="BH361" s="85" t="str">
        <f t="shared" ref="BH361" si="1027">IF(BF361="-",BF361,BF361*24)</f>
        <v>-</v>
      </c>
      <c r="BI361" s="85" t="str">
        <f t="shared" ref="BI361" si="1028">IF(BD361="-",BD361,BD361+(BG361*24))</f>
        <v>-</v>
      </c>
      <c r="BJ361" s="85" t="str">
        <f>'Consumer Hardware Pricing'!AP369</f>
        <v>-</v>
      </c>
      <c r="BK361" s="85" t="str">
        <f t="shared" si="956"/>
        <v>-</v>
      </c>
      <c r="BL361" s="85" t="str">
        <f>'Consumer Hardware Pricing'!AQ369</f>
        <v>-</v>
      </c>
      <c r="BM361" s="85" t="str">
        <f t="shared" ref="BM361" si="1029">IF(BL361="-",BK361,BK361-BL361)</f>
        <v>-</v>
      </c>
      <c r="BN361" s="85" t="str">
        <f t="shared" ref="BN361" si="1030">IF(BL361="-",BL361,BL361*24)</f>
        <v>-</v>
      </c>
      <c r="BO361" s="85" t="str">
        <f t="shared" ref="BO361" si="1031">IF(BJ361="-",BJ361,BJ361+(BM361*24))</f>
        <v>-</v>
      </c>
      <c r="BP361" s="85" t="str">
        <f>'Consumer Hardware Pricing'!AT369</f>
        <v>-</v>
      </c>
      <c r="BQ361" s="85" t="str">
        <f t="shared" si="957"/>
        <v>-</v>
      </c>
      <c r="BR361" s="85" t="str">
        <f>'Consumer Hardware Pricing'!AU369</f>
        <v>-</v>
      </c>
      <c r="BS361" s="85" t="str">
        <f t="shared" ref="BS361" si="1032">IF(BR361="-",BQ361,BQ361-BR361)</f>
        <v>-</v>
      </c>
      <c r="BT361" s="85" t="str">
        <f t="shared" ref="BT361" si="1033">IF(BR361="-",BR361,BR361*24)</f>
        <v>-</v>
      </c>
      <c r="BU361" s="85" t="str">
        <f t="shared" ref="BU361" si="1034">IF(BP361="-",BP361,BP361+(BS361*24))</f>
        <v>-</v>
      </c>
    </row>
    <row r="362" spans="1:73" ht="30.15" customHeight="1" x14ac:dyDescent="0.25">
      <c r="A362" s="87" t="s">
        <v>34</v>
      </c>
      <c r="B362" s="88" t="s">
        <v>1174</v>
      </c>
      <c r="C362" s="88" t="s">
        <v>1188</v>
      </c>
      <c r="D362" s="85">
        <f>'Consumer Hardware Pricing'!L370</f>
        <v>1080</v>
      </c>
      <c r="E362" s="85">
        <f>'Consumer Hardware Pricing'!M370</f>
        <v>1080</v>
      </c>
      <c r="F362" s="85">
        <f>'Consumer Hardware Pricing'!N370</f>
        <v>0</v>
      </c>
      <c r="G362" s="85">
        <f t="shared" si="910"/>
        <v>45</v>
      </c>
      <c r="H362" s="85" t="str">
        <f>'Consumer Hardware Pricing'!O370</f>
        <v>-</v>
      </c>
      <c r="I362" s="85">
        <f t="shared" si="958"/>
        <v>45</v>
      </c>
      <c r="J362" s="85" t="str">
        <f t="shared" si="959"/>
        <v>-</v>
      </c>
      <c r="K362" s="85">
        <f t="shared" si="960"/>
        <v>1080</v>
      </c>
      <c r="L362" s="85">
        <f>'Consumer Hardware Pricing'!Q370</f>
        <v>444</v>
      </c>
      <c r="M362" s="85">
        <f t="shared" si="911"/>
        <v>18.5</v>
      </c>
      <c r="N362" s="85">
        <f t="shared" si="961"/>
        <v>26.5</v>
      </c>
      <c r="O362" s="85">
        <f t="shared" si="962"/>
        <v>444</v>
      </c>
      <c r="P362" s="85">
        <f t="shared" si="963"/>
        <v>636</v>
      </c>
      <c r="Q362" s="85">
        <f>'Consumer Hardware Pricing'!S370</f>
        <v>0</v>
      </c>
      <c r="R362" s="85">
        <f t="shared" si="964"/>
        <v>45</v>
      </c>
      <c r="S362" s="85" t="str">
        <f>'Consumer Hardware Pricing'!T370</f>
        <v>-</v>
      </c>
      <c r="T362" s="129">
        <f t="shared" si="965"/>
        <v>45</v>
      </c>
      <c r="U362" s="129" t="str">
        <f t="shared" si="966"/>
        <v>-</v>
      </c>
      <c r="V362" s="85">
        <f t="shared" si="967"/>
        <v>1080</v>
      </c>
      <c r="W362" s="129">
        <f>'Consumer Hardware Pricing'!V370</f>
        <v>444</v>
      </c>
      <c r="X362" s="129">
        <f t="shared" si="912"/>
        <v>18.5</v>
      </c>
      <c r="Y362" s="129">
        <f t="shared" si="968"/>
        <v>26.5</v>
      </c>
      <c r="Z362" s="129">
        <f t="shared" si="969"/>
        <v>444</v>
      </c>
      <c r="AA362" s="85">
        <f t="shared" si="970"/>
        <v>636</v>
      </c>
      <c r="AB362" s="85">
        <f>'Consumer Hardware Pricing'!X370</f>
        <v>0</v>
      </c>
      <c r="AC362" s="85">
        <f t="shared" si="950"/>
        <v>45</v>
      </c>
      <c r="AD362" s="85">
        <f>'Consumer Hardware Pricing'!Y370</f>
        <v>1.5</v>
      </c>
      <c r="AE362" s="85">
        <f t="shared" si="971"/>
        <v>43.5</v>
      </c>
      <c r="AF362" s="85">
        <f t="shared" si="972"/>
        <v>36</v>
      </c>
      <c r="AG362" s="85">
        <f t="shared" si="973"/>
        <v>1044</v>
      </c>
      <c r="AH362" s="85">
        <f>'Consumer Hardware Pricing'!AA370</f>
        <v>444</v>
      </c>
      <c r="AI362" s="85">
        <f t="shared" si="951"/>
        <v>20</v>
      </c>
      <c r="AJ362" s="85">
        <f t="shared" si="974"/>
        <v>25</v>
      </c>
      <c r="AK362" s="85">
        <f t="shared" si="975"/>
        <v>480</v>
      </c>
      <c r="AL362" s="85">
        <f t="shared" si="976"/>
        <v>600</v>
      </c>
      <c r="AM362" s="85">
        <f>'Consumer Hardware Pricing'!AC370</f>
        <v>0</v>
      </c>
      <c r="AN362" s="85">
        <f t="shared" si="952"/>
        <v>45</v>
      </c>
      <c r="AO362" s="85">
        <f>'Consumer Hardware Pricing'!AD370</f>
        <v>1.5</v>
      </c>
      <c r="AP362" s="85">
        <f t="shared" si="977"/>
        <v>43.5</v>
      </c>
      <c r="AQ362" s="85">
        <f t="shared" si="978"/>
        <v>36</v>
      </c>
      <c r="AR362" s="85">
        <f t="shared" si="979"/>
        <v>1044</v>
      </c>
      <c r="AS362" s="85">
        <f>'Consumer Hardware Pricing'!AF370</f>
        <v>444</v>
      </c>
      <c r="AT362" s="85">
        <f t="shared" si="953"/>
        <v>20</v>
      </c>
      <c r="AU362" s="85">
        <f t="shared" si="980"/>
        <v>25</v>
      </c>
      <c r="AV362" s="85">
        <f t="shared" si="981"/>
        <v>480</v>
      </c>
      <c r="AW362" s="85">
        <f t="shared" si="982"/>
        <v>600</v>
      </c>
      <c r="AX362" s="85" t="str">
        <f>'Consumer Hardware Pricing'!AH370</f>
        <v>-</v>
      </c>
      <c r="AY362" s="85" t="str">
        <f t="shared" si="954"/>
        <v>-</v>
      </c>
      <c r="AZ362" s="85" t="str">
        <f>'Consumer Hardware Pricing'!AI370</f>
        <v>-</v>
      </c>
      <c r="BA362" s="85" t="str">
        <f t="shared" si="983"/>
        <v>-</v>
      </c>
      <c r="BB362" s="85" t="str">
        <f t="shared" si="984"/>
        <v>-</v>
      </c>
      <c r="BC362" s="85" t="str">
        <f t="shared" si="985"/>
        <v>-</v>
      </c>
      <c r="BD362" s="85" t="str">
        <f>'Consumer Hardware Pricing'!AL370</f>
        <v>-</v>
      </c>
      <c r="BE362" s="85" t="str">
        <f t="shared" si="955"/>
        <v>-</v>
      </c>
      <c r="BF362" s="85" t="str">
        <f>'Consumer Hardware Pricing'!AM370</f>
        <v>-</v>
      </c>
      <c r="BG362" s="85" t="str">
        <f t="shared" si="986"/>
        <v>-</v>
      </c>
      <c r="BH362" s="85" t="str">
        <f t="shared" si="987"/>
        <v>-</v>
      </c>
      <c r="BI362" s="85" t="str">
        <f t="shared" si="988"/>
        <v>-</v>
      </c>
      <c r="BJ362" s="85" t="str">
        <f>'Consumer Hardware Pricing'!AP370</f>
        <v>-</v>
      </c>
      <c r="BK362" s="85" t="str">
        <f t="shared" si="956"/>
        <v>-</v>
      </c>
      <c r="BL362" s="85" t="str">
        <f>'Consumer Hardware Pricing'!AQ370</f>
        <v>-</v>
      </c>
      <c r="BM362" s="85" t="str">
        <f t="shared" si="989"/>
        <v>-</v>
      </c>
      <c r="BN362" s="85" t="str">
        <f t="shared" si="990"/>
        <v>-</v>
      </c>
      <c r="BO362" s="85" t="str">
        <f t="shared" si="991"/>
        <v>-</v>
      </c>
      <c r="BP362" s="85" t="str">
        <f>'Consumer Hardware Pricing'!AT370</f>
        <v>-</v>
      </c>
      <c r="BQ362" s="85" t="str">
        <f t="shared" si="957"/>
        <v>-</v>
      </c>
      <c r="BR362" s="85" t="str">
        <f>'Consumer Hardware Pricing'!AU370</f>
        <v>-</v>
      </c>
      <c r="BS362" s="85" t="str">
        <f t="shared" si="992"/>
        <v>-</v>
      </c>
      <c r="BT362" s="85" t="str">
        <f t="shared" si="993"/>
        <v>-</v>
      </c>
      <c r="BU362" s="85" t="str">
        <f t="shared" si="994"/>
        <v>-</v>
      </c>
    </row>
    <row r="363" spans="1:73" ht="30.15" customHeight="1" x14ac:dyDescent="0.25">
      <c r="A363" s="87" t="s">
        <v>34</v>
      </c>
      <c r="B363" s="88" t="s">
        <v>1175</v>
      </c>
      <c r="C363" s="88" t="s">
        <v>1188</v>
      </c>
      <c r="D363" s="85">
        <f>'Consumer Hardware Pricing'!L371</f>
        <v>1080</v>
      </c>
      <c r="E363" s="85">
        <f>'Consumer Hardware Pricing'!M371</f>
        <v>1080</v>
      </c>
      <c r="F363" s="85">
        <f>'Consumer Hardware Pricing'!N371</f>
        <v>0</v>
      </c>
      <c r="G363" s="85">
        <f t="shared" si="910"/>
        <v>45</v>
      </c>
      <c r="H363" s="85" t="str">
        <f>'Consumer Hardware Pricing'!O371</f>
        <v>-</v>
      </c>
      <c r="I363" s="85">
        <f t="shared" si="958"/>
        <v>45</v>
      </c>
      <c r="J363" s="85" t="str">
        <f t="shared" si="959"/>
        <v>-</v>
      </c>
      <c r="K363" s="85">
        <f t="shared" si="960"/>
        <v>1080</v>
      </c>
      <c r="L363" s="85">
        <f>'Consumer Hardware Pricing'!Q371</f>
        <v>444</v>
      </c>
      <c r="M363" s="85">
        <f t="shared" si="911"/>
        <v>18.5</v>
      </c>
      <c r="N363" s="85">
        <f t="shared" si="961"/>
        <v>26.5</v>
      </c>
      <c r="O363" s="85">
        <f t="shared" si="962"/>
        <v>444</v>
      </c>
      <c r="P363" s="85">
        <f t="shared" si="963"/>
        <v>636</v>
      </c>
      <c r="Q363" s="85">
        <f>'Consumer Hardware Pricing'!S371</f>
        <v>0</v>
      </c>
      <c r="R363" s="85">
        <f t="shared" si="964"/>
        <v>45</v>
      </c>
      <c r="S363" s="85" t="str">
        <f>'Consumer Hardware Pricing'!T371</f>
        <v>-</v>
      </c>
      <c r="T363" s="129">
        <f t="shared" si="965"/>
        <v>45</v>
      </c>
      <c r="U363" s="129" t="str">
        <f t="shared" si="966"/>
        <v>-</v>
      </c>
      <c r="V363" s="85">
        <f t="shared" si="967"/>
        <v>1080</v>
      </c>
      <c r="W363" s="129">
        <f>'Consumer Hardware Pricing'!V371</f>
        <v>444</v>
      </c>
      <c r="X363" s="129">
        <f t="shared" si="912"/>
        <v>18.5</v>
      </c>
      <c r="Y363" s="129">
        <f t="shared" si="968"/>
        <v>26.5</v>
      </c>
      <c r="Z363" s="129">
        <f t="shared" si="969"/>
        <v>444</v>
      </c>
      <c r="AA363" s="85">
        <f t="shared" si="970"/>
        <v>636</v>
      </c>
      <c r="AB363" s="85">
        <f>'Consumer Hardware Pricing'!X371</f>
        <v>0</v>
      </c>
      <c r="AC363" s="85">
        <f t="shared" si="950"/>
        <v>45</v>
      </c>
      <c r="AD363" s="85">
        <f>'Consumer Hardware Pricing'!Y371</f>
        <v>1.5</v>
      </c>
      <c r="AE363" s="85">
        <f t="shared" si="971"/>
        <v>43.5</v>
      </c>
      <c r="AF363" s="85">
        <f t="shared" si="972"/>
        <v>36</v>
      </c>
      <c r="AG363" s="85">
        <f t="shared" si="973"/>
        <v>1044</v>
      </c>
      <c r="AH363" s="85">
        <f>'Consumer Hardware Pricing'!AA371</f>
        <v>444</v>
      </c>
      <c r="AI363" s="85">
        <f t="shared" si="951"/>
        <v>20</v>
      </c>
      <c r="AJ363" s="85">
        <f t="shared" si="974"/>
        <v>25</v>
      </c>
      <c r="AK363" s="85">
        <f t="shared" si="975"/>
        <v>480</v>
      </c>
      <c r="AL363" s="85">
        <f t="shared" si="976"/>
        <v>600</v>
      </c>
      <c r="AM363" s="85">
        <f>'Consumer Hardware Pricing'!AC371</f>
        <v>0</v>
      </c>
      <c r="AN363" s="85">
        <f t="shared" si="952"/>
        <v>45</v>
      </c>
      <c r="AO363" s="85">
        <f>'Consumer Hardware Pricing'!AD371</f>
        <v>1.5</v>
      </c>
      <c r="AP363" s="85">
        <f t="shared" si="977"/>
        <v>43.5</v>
      </c>
      <c r="AQ363" s="85">
        <f t="shared" si="978"/>
        <v>36</v>
      </c>
      <c r="AR363" s="85">
        <f t="shared" si="979"/>
        <v>1044</v>
      </c>
      <c r="AS363" s="85">
        <f>'Consumer Hardware Pricing'!AF371</f>
        <v>444</v>
      </c>
      <c r="AT363" s="85">
        <f t="shared" si="953"/>
        <v>20</v>
      </c>
      <c r="AU363" s="85">
        <f t="shared" si="980"/>
        <v>25</v>
      </c>
      <c r="AV363" s="85">
        <f t="shared" si="981"/>
        <v>480</v>
      </c>
      <c r="AW363" s="85">
        <f t="shared" si="982"/>
        <v>600</v>
      </c>
      <c r="AX363" s="85" t="str">
        <f>'Consumer Hardware Pricing'!AH371</f>
        <v>-</v>
      </c>
      <c r="AY363" s="85" t="str">
        <f t="shared" si="954"/>
        <v>-</v>
      </c>
      <c r="AZ363" s="85" t="str">
        <f>'Consumer Hardware Pricing'!AI371</f>
        <v>-</v>
      </c>
      <c r="BA363" s="85" t="str">
        <f t="shared" si="983"/>
        <v>-</v>
      </c>
      <c r="BB363" s="85" t="str">
        <f t="shared" si="984"/>
        <v>-</v>
      </c>
      <c r="BC363" s="85" t="str">
        <f t="shared" si="985"/>
        <v>-</v>
      </c>
      <c r="BD363" s="85" t="str">
        <f>'Consumer Hardware Pricing'!AL371</f>
        <v>-</v>
      </c>
      <c r="BE363" s="85" t="str">
        <f t="shared" si="955"/>
        <v>-</v>
      </c>
      <c r="BF363" s="85" t="str">
        <f>'Consumer Hardware Pricing'!AM371</f>
        <v>-</v>
      </c>
      <c r="BG363" s="85" t="str">
        <f t="shared" si="986"/>
        <v>-</v>
      </c>
      <c r="BH363" s="85" t="str">
        <f t="shared" si="987"/>
        <v>-</v>
      </c>
      <c r="BI363" s="85" t="str">
        <f t="shared" si="988"/>
        <v>-</v>
      </c>
      <c r="BJ363" s="85" t="str">
        <f>'Consumer Hardware Pricing'!AP371</f>
        <v>-</v>
      </c>
      <c r="BK363" s="85" t="str">
        <f t="shared" si="956"/>
        <v>-</v>
      </c>
      <c r="BL363" s="85" t="str">
        <f>'Consumer Hardware Pricing'!AQ371</f>
        <v>-</v>
      </c>
      <c r="BM363" s="85" t="str">
        <f t="shared" si="989"/>
        <v>-</v>
      </c>
      <c r="BN363" s="85" t="str">
        <f t="shared" si="990"/>
        <v>-</v>
      </c>
      <c r="BO363" s="85" t="str">
        <f t="shared" si="991"/>
        <v>-</v>
      </c>
      <c r="BP363" s="85" t="str">
        <f>'Consumer Hardware Pricing'!AT371</f>
        <v>-</v>
      </c>
      <c r="BQ363" s="85" t="str">
        <f t="shared" si="957"/>
        <v>-</v>
      </c>
      <c r="BR363" s="85" t="str">
        <f>'Consumer Hardware Pricing'!AU371</f>
        <v>-</v>
      </c>
      <c r="BS363" s="85" t="str">
        <f t="shared" si="992"/>
        <v>-</v>
      </c>
      <c r="BT363" s="85" t="str">
        <f t="shared" si="993"/>
        <v>-</v>
      </c>
      <c r="BU363" s="85" t="str">
        <f t="shared" si="994"/>
        <v>-</v>
      </c>
    </row>
    <row r="364" spans="1:73" ht="30.15" customHeight="1" x14ac:dyDescent="0.25">
      <c r="A364" s="87" t="s">
        <v>34</v>
      </c>
      <c r="B364" s="88" t="s">
        <v>1176</v>
      </c>
      <c r="C364" s="88" t="s">
        <v>1188</v>
      </c>
      <c r="D364" s="85">
        <f>'Consumer Hardware Pricing'!L372</f>
        <v>1080</v>
      </c>
      <c r="E364" s="85">
        <f>'Consumer Hardware Pricing'!M372</f>
        <v>1080</v>
      </c>
      <c r="F364" s="85">
        <f>'Consumer Hardware Pricing'!N372</f>
        <v>0</v>
      </c>
      <c r="G364" s="85">
        <f t="shared" si="910"/>
        <v>45</v>
      </c>
      <c r="H364" s="85" t="str">
        <f>'Consumer Hardware Pricing'!O372</f>
        <v>-</v>
      </c>
      <c r="I364" s="85">
        <f t="shared" si="958"/>
        <v>45</v>
      </c>
      <c r="J364" s="85" t="str">
        <f t="shared" si="959"/>
        <v>-</v>
      </c>
      <c r="K364" s="85">
        <f t="shared" si="960"/>
        <v>1080</v>
      </c>
      <c r="L364" s="85">
        <f>'Consumer Hardware Pricing'!Q372</f>
        <v>444</v>
      </c>
      <c r="M364" s="85">
        <f t="shared" si="911"/>
        <v>18.5</v>
      </c>
      <c r="N364" s="85">
        <f t="shared" si="961"/>
        <v>26.5</v>
      </c>
      <c r="O364" s="85">
        <f t="shared" si="962"/>
        <v>444</v>
      </c>
      <c r="P364" s="85">
        <f t="shared" si="963"/>
        <v>636</v>
      </c>
      <c r="Q364" s="85">
        <f>'Consumer Hardware Pricing'!S372</f>
        <v>0</v>
      </c>
      <c r="R364" s="85">
        <f t="shared" si="964"/>
        <v>45</v>
      </c>
      <c r="S364" s="85" t="str">
        <f>'Consumer Hardware Pricing'!T372</f>
        <v>-</v>
      </c>
      <c r="T364" s="129">
        <f t="shared" si="965"/>
        <v>45</v>
      </c>
      <c r="U364" s="129" t="str">
        <f t="shared" si="966"/>
        <v>-</v>
      </c>
      <c r="V364" s="85">
        <f t="shared" si="967"/>
        <v>1080</v>
      </c>
      <c r="W364" s="129">
        <f>'Consumer Hardware Pricing'!V372</f>
        <v>444</v>
      </c>
      <c r="X364" s="129">
        <f t="shared" si="912"/>
        <v>18.5</v>
      </c>
      <c r="Y364" s="129">
        <f t="shared" si="968"/>
        <v>26.5</v>
      </c>
      <c r="Z364" s="129">
        <f t="shared" si="969"/>
        <v>444</v>
      </c>
      <c r="AA364" s="85">
        <f t="shared" si="970"/>
        <v>636</v>
      </c>
      <c r="AB364" s="85">
        <f>'Consumer Hardware Pricing'!X372</f>
        <v>0</v>
      </c>
      <c r="AC364" s="85">
        <f t="shared" si="950"/>
        <v>45</v>
      </c>
      <c r="AD364" s="85">
        <f>'Consumer Hardware Pricing'!Y372</f>
        <v>1.5</v>
      </c>
      <c r="AE364" s="85">
        <f t="shared" si="971"/>
        <v>43.5</v>
      </c>
      <c r="AF364" s="85">
        <f t="shared" si="972"/>
        <v>36</v>
      </c>
      <c r="AG364" s="85">
        <f t="shared" si="973"/>
        <v>1044</v>
      </c>
      <c r="AH364" s="85">
        <f>'Consumer Hardware Pricing'!AA372</f>
        <v>444</v>
      </c>
      <c r="AI364" s="85">
        <f t="shared" si="951"/>
        <v>20</v>
      </c>
      <c r="AJ364" s="85">
        <f t="shared" si="974"/>
        <v>25</v>
      </c>
      <c r="AK364" s="85">
        <f t="shared" si="975"/>
        <v>480</v>
      </c>
      <c r="AL364" s="85">
        <f t="shared" si="976"/>
        <v>600</v>
      </c>
      <c r="AM364" s="85">
        <f>'Consumer Hardware Pricing'!AC372</f>
        <v>0</v>
      </c>
      <c r="AN364" s="85">
        <f t="shared" si="952"/>
        <v>45</v>
      </c>
      <c r="AO364" s="85">
        <f>'Consumer Hardware Pricing'!AD372</f>
        <v>1.5</v>
      </c>
      <c r="AP364" s="85">
        <f t="shared" si="977"/>
        <v>43.5</v>
      </c>
      <c r="AQ364" s="85">
        <f t="shared" si="978"/>
        <v>36</v>
      </c>
      <c r="AR364" s="85">
        <f t="shared" si="979"/>
        <v>1044</v>
      </c>
      <c r="AS364" s="85">
        <f>'Consumer Hardware Pricing'!AF372</f>
        <v>444</v>
      </c>
      <c r="AT364" s="85">
        <f t="shared" si="953"/>
        <v>20</v>
      </c>
      <c r="AU364" s="85">
        <f t="shared" si="980"/>
        <v>25</v>
      </c>
      <c r="AV364" s="85">
        <f t="shared" si="981"/>
        <v>480</v>
      </c>
      <c r="AW364" s="85">
        <f t="shared" si="982"/>
        <v>600</v>
      </c>
      <c r="AX364" s="85" t="str">
        <f>'Consumer Hardware Pricing'!AH372</f>
        <v>-</v>
      </c>
      <c r="AY364" s="85" t="str">
        <f t="shared" si="954"/>
        <v>-</v>
      </c>
      <c r="AZ364" s="85" t="str">
        <f>'Consumer Hardware Pricing'!AI372</f>
        <v>-</v>
      </c>
      <c r="BA364" s="85" t="str">
        <f t="shared" si="983"/>
        <v>-</v>
      </c>
      <c r="BB364" s="85" t="str">
        <f t="shared" si="984"/>
        <v>-</v>
      </c>
      <c r="BC364" s="85" t="str">
        <f t="shared" si="985"/>
        <v>-</v>
      </c>
      <c r="BD364" s="85" t="str">
        <f>'Consumer Hardware Pricing'!AL372</f>
        <v>-</v>
      </c>
      <c r="BE364" s="85" t="str">
        <f t="shared" si="955"/>
        <v>-</v>
      </c>
      <c r="BF364" s="85" t="str">
        <f>'Consumer Hardware Pricing'!AM372</f>
        <v>-</v>
      </c>
      <c r="BG364" s="85" t="str">
        <f t="shared" si="986"/>
        <v>-</v>
      </c>
      <c r="BH364" s="85" t="str">
        <f t="shared" si="987"/>
        <v>-</v>
      </c>
      <c r="BI364" s="85" t="str">
        <f t="shared" si="988"/>
        <v>-</v>
      </c>
      <c r="BJ364" s="85" t="str">
        <f>'Consumer Hardware Pricing'!AP372</f>
        <v>-</v>
      </c>
      <c r="BK364" s="85" t="str">
        <f t="shared" si="956"/>
        <v>-</v>
      </c>
      <c r="BL364" s="85" t="str">
        <f>'Consumer Hardware Pricing'!AQ372</f>
        <v>-</v>
      </c>
      <c r="BM364" s="85" t="str">
        <f t="shared" si="989"/>
        <v>-</v>
      </c>
      <c r="BN364" s="85" t="str">
        <f t="shared" si="990"/>
        <v>-</v>
      </c>
      <c r="BO364" s="85" t="str">
        <f t="shared" si="991"/>
        <v>-</v>
      </c>
      <c r="BP364" s="85" t="str">
        <f>'Consumer Hardware Pricing'!AT372</f>
        <v>-</v>
      </c>
      <c r="BQ364" s="85" t="str">
        <f t="shared" si="957"/>
        <v>-</v>
      </c>
      <c r="BR364" s="85" t="str">
        <f>'Consumer Hardware Pricing'!AU372</f>
        <v>-</v>
      </c>
      <c r="BS364" s="85" t="str">
        <f t="shared" si="992"/>
        <v>-</v>
      </c>
      <c r="BT364" s="85" t="str">
        <f t="shared" si="993"/>
        <v>-</v>
      </c>
      <c r="BU364" s="85" t="str">
        <f t="shared" si="994"/>
        <v>-</v>
      </c>
    </row>
    <row r="365" spans="1:73" ht="30.15" customHeight="1" x14ac:dyDescent="0.25">
      <c r="A365" s="87" t="s">
        <v>34</v>
      </c>
      <c r="B365" s="88" t="s">
        <v>1177</v>
      </c>
      <c r="C365" s="88" t="s">
        <v>1188</v>
      </c>
      <c r="D365" s="85">
        <f>'Consumer Hardware Pricing'!L373</f>
        <v>1080</v>
      </c>
      <c r="E365" s="85">
        <f>'Consumer Hardware Pricing'!M373</f>
        <v>1080</v>
      </c>
      <c r="F365" s="85">
        <f>'Consumer Hardware Pricing'!N373</f>
        <v>0</v>
      </c>
      <c r="G365" s="85">
        <f t="shared" si="910"/>
        <v>45</v>
      </c>
      <c r="H365" s="85" t="str">
        <f>'Consumer Hardware Pricing'!O373</f>
        <v>-</v>
      </c>
      <c r="I365" s="85">
        <f t="shared" si="958"/>
        <v>45</v>
      </c>
      <c r="J365" s="85" t="str">
        <f t="shared" si="959"/>
        <v>-</v>
      </c>
      <c r="K365" s="85">
        <f t="shared" si="960"/>
        <v>1080</v>
      </c>
      <c r="L365" s="85">
        <f>'Consumer Hardware Pricing'!Q373</f>
        <v>444</v>
      </c>
      <c r="M365" s="85">
        <f t="shared" si="911"/>
        <v>18.5</v>
      </c>
      <c r="N365" s="85">
        <f t="shared" si="961"/>
        <v>26.5</v>
      </c>
      <c r="O365" s="85">
        <f t="shared" si="962"/>
        <v>444</v>
      </c>
      <c r="P365" s="85">
        <f t="shared" si="963"/>
        <v>636</v>
      </c>
      <c r="Q365" s="85">
        <f>'Consumer Hardware Pricing'!S373</f>
        <v>0</v>
      </c>
      <c r="R365" s="85">
        <f t="shared" si="964"/>
        <v>45</v>
      </c>
      <c r="S365" s="85" t="str">
        <f>'Consumer Hardware Pricing'!T373</f>
        <v>-</v>
      </c>
      <c r="T365" s="129">
        <f t="shared" si="965"/>
        <v>45</v>
      </c>
      <c r="U365" s="129" t="str">
        <f t="shared" si="966"/>
        <v>-</v>
      </c>
      <c r="V365" s="85">
        <f t="shared" si="967"/>
        <v>1080</v>
      </c>
      <c r="W365" s="129">
        <f>'Consumer Hardware Pricing'!V373</f>
        <v>444</v>
      </c>
      <c r="X365" s="129">
        <f t="shared" si="912"/>
        <v>18.5</v>
      </c>
      <c r="Y365" s="129">
        <f t="shared" si="968"/>
        <v>26.5</v>
      </c>
      <c r="Z365" s="129">
        <f t="shared" si="969"/>
        <v>444</v>
      </c>
      <c r="AA365" s="85">
        <f t="shared" si="970"/>
        <v>636</v>
      </c>
      <c r="AB365" s="85">
        <f>'Consumer Hardware Pricing'!X373</f>
        <v>0</v>
      </c>
      <c r="AC365" s="85">
        <f t="shared" si="950"/>
        <v>45</v>
      </c>
      <c r="AD365" s="85">
        <f>'Consumer Hardware Pricing'!Y373</f>
        <v>1.5</v>
      </c>
      <c r="AE365" s="85">
        <f t="shared" si="971"/>
        <v>43.5</v>
      </c>
      <c r="AF365" s="85">
        <f t="shared" si="972"/>
        <v>36</v>
      </c>
      <c r="AG365" s="85">
        <f t="shared" si="973"/>
        <v>1044</v>
      </c>
      <c r="AH365" s="85">
        <f>'Consumer Hardware Pricing'!AA373</f>
        <v>444</v>
      </c>
      <c r="AI365" s="85">
        <f t="shared" si="951"/>
        <v>20</v>
      </c>
      <c r="AJ365" s="85">
        <f t="shared" si="974"/>
        <v>25</v>
      </c>
      <c r="AK365" s="85">
        <f t="shared" si="975"/>
        <v>480</v>
      </c>
      <c r="AL365" s="85">
        <f t="shared" si="976"/>
        <v>600</v>
      </c>
      <c r="AM365" s="85">
        <f>'Consumer Hardware Pricing'!AC373</f>
        <v>0</v>
      </c>
      <c r="AN365" s="85">
        <f t="shared" si="952"/>
        <v>45</v>
      </c>
      <c r="AO365" s="85">
        <f>'Consumer Hardware Pricing'!AD373</f>
        <v>1.5</v>
      </c>
      <c r="AP365" s="85">
        <f t="shared" si="977"/>
        <v>43.5</v>
      </c>
      <c r="AQ365" s="85">
        <f t="shared" si="978"/>
        <v>36</v>
      </c>
      <c r="AR365" s="85">
        <f t="shared" si="979"/>
        <v>1044</v>
      </c>
      <c r="AS365" s="85">
        <f>'Consumer Hardware Pricing'!AF373</f>
        <v>444</v>
      </c>
      <c r="AT365" s="85">
        <f t="shared" si="953"/>
        <v>20</v>
      </c>
      <c r="AU365" s="85">
        <f t="shared" si="980"/>
        <v>25</v>
      </c>
      <c r="AV365" s="85">
        <f t="shared" si="981"/>
        <v>480</v>
      </c>
      <c r="AW365" s="85">
        <f t="shared" si="982"/>
        <v>600</v>
      </c>
      <c r="AX365" s="85" t="str">
        <f>'Consumer Hardware Pricing'!AH373</f>
        <v>-</v>
      </c>
      <c r="AY365" s="85" t="str">
        <f t="shared" si="954"/>
        <v>-</v>
      </c>
      <c r="AZ365" s="85" t="str">
        <f>'Consumer Hardware Pricing'!AI373</f>
        <v>-</v>
      </c>
      <c r="BA365" s="85" t="str">
        <f t="shared" si="983"/>
        <v>-</v>
      </c>
      <c r="BB365" s="85" t="str">
        <f t="shared" si="984"/>
        <v>-</v>
      </c>
      <c r="BC365" s="85" t="str">
        <f t="shared" si="985"/>
        <v>-</v>
      </c>
      <c r="BD365" s="85" t="str">
        <f>'Consumer Hardware Pricing'!AL373</f>
        <v>-</v>
      </c>
      <c r="BE365" s="85" t="str">
        <f t="shared" si="955"/>
        <v>-</v>
      </c>
      <c r="BF365" s="85" t="str">
        <f>'Consumer Hardware Pricing'!AM373</f>
        <v>-</v>
      </c>
      <c r="BG365" s="85" t="str">
        <f t="shared" si="986"/>
        <v>-</v>
      </c>
      <c r="BH365" s="85" t="str">
        <f t="shared" si="987"/>
        <v>-</v>
      </c>
      <c r="BI365" s="85" t="str">
        <f t="shared" si="988"/>
        <v>-</v>
      </c>
      <c r="BJ365" s="85" t="str">
        <f>'Consumer Hardware Pricing'!AP373</f>
        <v>-</v>
      </c>
      <c r="BK365" s="85" t="str">
        <f t="shared" si="956"/>
        <v>-</v>
      </c>
      <c r="BL365" s="85" t="str">
        <f>'Consumer Hardware Pricing'!AQ373</f>
        <v>-</v>
      </c>
      <c r="BM365" s="85" t="str">
        <f t="shared" si="989"/>
        <v>-</v>
      </c>
      <c r="BN365" s="85" t="str">
        <f t="shared" si="990"/>
        <v>-</v>
      </c>
      <c r="BO365" s="85" t="str">
        <f t="shared" si="991"/>
        <v>-</v>
      </c>
      <c r="BP365" s="85" t="str">
        <f>'Consumer Hardware Pricing'!AT373</f>
        <v>-</v>
      </c>
      <c r="BQ365" s="85" t="str">
        <f t="shared" si="957"/>
        <v>-</v>
      </c>
      <c r="BR365" s="85" t="str">
        <f>'Consumer Hardware Pricing'!AU373</f>
        <v>-</v>
      </c>
      <c r="BS365" s="85" t="str">
        <f t="shared" si="992"/>
        <v>-</v>
      </c>
      <c r="BT365" s="85" t="str">
        <f t="shared" si="993"/>
        <v>-</v>
      </c>
      <c r="BU365" s="85" t="str">
        <f t="shared" si="994"/>
        <v>-</v>
      </c>
    </row>
    <row r="366" spans="1:73" ht="30.15" customHeight="1" x14ac:dyDescent="0.25">
      <c r="A366" s="87" t="s">
        <v>34</v>
      </c>
      <c r="B366" s="88" t="s">
        <v>1178</v>
      </c>
      <c r="C366" s="88" t="s">
        <v>1188</v>
      </c>
      <c r="D366" s="85">
        <f>'Consumer Hardware Pricing'!L374</f>
        <v>1080</v>
      </c>
      <c r="E366" s="85">
        <f>'Consumer Hardware Pricing'!M374</f>
        <v>1080</v>
      </c>
      <c r="F366" s="85">
        <f>'Consumer Hardware Pricing'!N374</f>
        <v>0</v>
      </c>
      <c r="G366" s="85">
        <f t="shared" si="910"/>
        <v>45</v>
      </c>
      <c r="H366" s="85" t="str">
        <f>'Consumer Hardware Pricing'!O374</f>
        <v>-</v>
      </c>
      <c r="I366" s="85">
        <f t="shared" si="958"/>
        <v>45</v>
      </c>
      <c r="J366" s="85" t="str">
        <f t="shared" si="959"/>
        <v>-</v>
      </c>
      <c r="K366" s="85">
        <f t="shared" si="960"/>
        <v>1080</v>
      </c>
      <c r="L366" s="85">
        <f>'Consumer Hardware Pricing'!Q374</f>
        <v>444</v>
      </c>
      <c r="M366" s="85">
        <f t="shared" si="911"/>
        <v>18.5</v>
      </c>
      <c r="N366" s="85">
        <f t="shared" si="961"/>
        <v>26.5</v>
      </c>
      <c r="O366" s="85">
        <f t="shared" si="962"/>
        <v>444</v>
      </c>
      <c r="P366" s="85">
        <f t="shared" si="963"/>
        <v>636</v>
      </c>
      <c r="Q366" s="85">
        <f>'Consumer Hardware Pricing'!S374</f>
        <v>0</v>
      </c>
      <c r="R366" s="85">
        <f t="shared" si="964"/>
        <v>45</v>
      </c>
      <c r="S366" s="85" t="str">
        <f>'Consumer Hardware Pricing'!T374</f>
        <v>-</v>
      </c>
      <c r="T366" s="129">
        <f t="shared" si="965"/>
        <v>45</v>
      </c>
      <c r="U366" s="129" t="str">
        <f t="shared" si="966"/>
        <v>-</v>
      </c>
      <c r="V366" s="85">
        <f t="shared" si="967"/>
        <v>1080</v>
      </c>
      <c r="W366" s="129">
        <f>'Consumer Hardware Pricing'!V374</f>
        <v>444</v>
      </c>
      <c r="X366" s="129">
        <f t="shared" si="912"/>
        <v>18.5</v>
      </c>
      <c r="Y366" s="129">
        <f t="shared" si="968"/>
        <v>26.5</v>
      </c>
      <c r="Z366" s="129">
        <f t="shared" si="969"/>
        <v>444</v>
      </c>
      <c r="AA366" s="85">
        <f t="shared" si="970"/>
        <v>636</v>
      </c>
      <c r="AB366" s="85">
        <f>'Consumer Hardware Pricing'!X374</f>
        <v>0</v>
      </c>
      <c r="AC366" s="85">
        <f t="shared" si="950"/>
        <v>45</v>
      </c>
      <c r="AD366" s="85">
        <f>'Consumer Hardware Pricing'!Y374</f>
        <v>1.5</v>
      </c>
      <c r="AE366" s="85">
        <f t="shared" si="971"/>
        <v>43.5</v>
      </c>
      <c r="AF366" s="85">
        <f t="shared" si="972"/>
        <v>36</v>
      </c>
      <c r="AG366" s="85">
        <f t="shared" si="973"/>
        <v>1044</v>
      </c>
      <c r="AH366" s="85">
        <f>'Consumer Hardware Pricing'!AA374</f>
        <v>444</v>
      </c>
      <c r="AI366" s="85">
        <f t="shared" si="951"/>
        <v>20</v>
      </c>
      <c r="AJ366" s="85">
        <f t="shared" si="974"/>
        <v>25</v>
      </c>
      <c r="AK366" s="85">
        <f t="shared" si="975"/>
        <v>480</v>
      </c>
      <c r="AL366" s="85">
        <f t="shared" si="976"/>
        <v>600</v>
      </c>
      <c r="AM366" s="85">
        <f>'Consumer Hardware Pricing'!AC374</f>
        <v>0</v>
      </c>
      <c r="AN366" s="85">
        <f t="shared" si="952"/>
        <v>45</v>
      </c>
      <c r="AO366" s="85">
        <f>'Consumer Hardware Pricing'!AD374</f>
        <v>1.5</v>
      </c>
      <c r="AP366" s="85">
        <f t="shared" si="977"/>
        <v>43.5</v>
      </c>
      <c r="AQ366" s="85">
        <f t="shared" si="978"/>
        <v>36</v>
      </c>
      <c r="AR366" s="85">
        <f t="shared" si="979"/>
        <v>1044</v>
      </c>
      <c r="AS366" s="85">
        <f>'Consumer Hardware Pricing'!AF374</f>
        <v>444</v>
      </c>
      <c r="AT366" s="85">
        <f t="shared" si="953"/>
        <v>20</v>
      </c>
      <c r="AU366" s="85">
        <f t="shared" si="980"/>
        <v>25</v>
      </c>
      <c r="AV366" s="85">
        <f t="shared" si="981"/>
        <v>480</v>
      </c>
      <c r="AW366" s="85">
        <f t="shared" si="982"/>
        <v>600</v>
      </c>
      <c r="AX366" s="85" t="str">
        <f>'Consumer Hardware Pricing'!AH374</f>
        <v>-</v>
      </c>
      <c r="AY366" s="85" t="str">
        <f t="shared" si="954"/>
        <v>-</v>
      </c>
      <c r="AZ366" s="85" t="str">
        <f>'Consumer Hardware Pricing'!AI374</f>
        <v>-</v>
      </c>
      <c r="BA366" s="85" t="str">
        <f t="shared" si="983"/>
        <v>-</v>
      </c>
      <c r="BB366" s="85" t="str">
        <f t="shared" si="984"/>
        <v>-</v>
      </c>
      <c r="BC366" s="85" t="str">
        <f t="shared" si="985"/>
        <v>-</v>
      </c>
      <c r="BD366" s="85" t="str">
        <f>'Consumer Hardware Pricing'!AL374</f>
        <v>-</v>
      </c>
      <c r="BE366" s="85" t="str">
        <f t="shared" si="955"/>
        <v>-</v>
      </c>
      <c r="BF366" s="85" t="str">
        <f>'Consumer Hardware Pricing'!AM374</f>
        <v>-</v>
      </c>
      <c r="BG366" s="85" t="str">
        <f t="shared" si="986"/>
        <v>-</v>
      </c>
      <c r="BH366" s="85" t="str">
        <f t="shared" si="987"/>
        <v>-</v>
      </c>
      <c r="BI366" s="85" t="str">
        <f t="shared" si="988"/>
        <v>-</v>
      </c>
      <c r="BJ366" s="85" t="str">
        <f>'Consumer Hardware Pricing'!AP374</f>
        <v>-</v>
      </c>
      <c r="BK366" s="85" t="str">
        <f t="shared" si="956"/>
        <v>-</v>
      </c>
      <c r="BL366" s="85" t="str">
        <f>'Consumer Hardware Pricing'!AQ374</f>
        <v>-</v>
      </c>
      <c r="BM366" s="85" t="str">
        <f t="shared" si="989"/>
        <v>-</v>
      </c>
      <c r="BN366" s="85" t="str">
        <f t="shared" si="990"/>
        <v>-</v>
      </c>
      <c r="BO366" s="85" t="str">
        <f t="shared" si="991"/>
        <v>-</v>
      </c>
      <c r="BP366" s="85" t="str">
        <f>'Consumer Hardware Pricing'!AT374</f>
        <v>-</v>
      </c>
      <c r="BQ366" s="85" t="str">
        <f t="shared" si="957"/>
        <v>-</v>
      </c>
      <c r="BR366" s="85" t="str">
        <f>'Consumer Hardware Pricing'!AU374</f>
        <v>-</v>
      </c>
      <c r="BS366" s="85" t="str">
        <f t="shared" si="992"/>
        <v>-</v>
      </c>
      <c r="BT366" s="85" t="str">
        <f t="shared" si="993"/>
        <v>-</v>
      </c>
      <c r="BU366" s="85" t="str">
        <f t="shared" si="994"/>
        <v>-</v>
      </c>
    </row>
    <row r="367" spans="1:73" ht="30.15" customHeight="1" x14ac:dyDescent="0.25">
      <c r="A367" s="87" t="s">
        <v>34</v>
      </c>
      <c r="B367" s="88" t="s">
        <v>1266</v>
      </c>
      <c r="C367" s="88" t="s">
        <v>1188</v>
      </c>
      <c r="D367" s="85">
        <f>'Consumer Hardware Pricing'!L375</f>
        <v>1080</v>
      </c>
      <c r="E367" s="85">
        <f>'Consumer Hardware Pricing'!M375</f>
        <v>1080</v>
      </c>
      <c r="F367" s="85">
        <f>'Consumer Hardware Pricing'!N375</f>
        <v>0</v>
      </c>
      <c r="G367" s="85">
        <f t="shared" ref="G367" si="1035">IF(F367="-","-",ROUNDUP(D367/24,2))</f>
        <v>45</v>
      </c>
      <c r="H367" s="85" t="str">
        <f>'Consumer Hardware Pricing'!O375</f>
        <v>-</v>
      </c>
      <c r="I367" s="85">
        <f t="shared" ref="I367" si="1036">IF(H367="-",G367,G367-H367)</f>
        <v>45</v>
      </c>
      <c r="J367" s="85" t="str">
        <f t="shared" ref="J367" si="1037">IF(H367="-",H367,H367*24)</f>
        <v>-</v>
      </c>
      <c r="K367" s="85">
        <f t="shared" ref="K367" si="1038">IF(F367="-",F367,I367*24)</f>
        <v>1080</v>
      </c>
      <c r="L367" s="85">
        <f>'Consumer Hardware Pricing'!Q375</f>
        <v>444</v>
      </c>
      <c r="M367" s="85">
        <f t="shared" ref="M367" si="1039">IF(L367="-",L367,IF(H367="-",G367-ROUNDUP((D367-L367)/24,2),H367+G367-ROUNDUP((D367-L367)/24,2)))</f>
        <v>18.5</v>
      </c>
      <c r="N367" s="85">
        <f t="shared" ref="N367" si="1040">IF(L367="-",L367,G367-M367)</f>
        <v>26.5</v>
      </c>
      <c r="O367" s="85">
        <f t="shared" ref="O367" si="1041">IF(L367="-",L367,M367*24)</f>
        <v>444</v>
      </c>
      <c r="P367" s="85">
        <f t="shared" ref="P367" si="1042">IF(L367="-",L367,N367*24)</f>
        <v>636</v>
      </c>
      <c r="Q367" s="85">
        <f>'Consumer Hardware Pricing'!S375</f>
        <v>0</v>
      </c>
      <c r="R367" s="85">
        <f t="shared" ref="R367" si="1043">G367</f>
        <v>45</v>
      </c>
      <c r="S367" s="85" t="str">
        <f>'Consumer Hardware Pricing'!T375</f>
        <v>-</v>
      </c>
      <c r="T367" s="129">
        <f t="shared" ref="T367" si="1044">IF(S367="-",R367,R367-S367)</f>
        <v>45</v>
      </c>
      <c r="U367" s="129" t="str">
        <f t="shared" ref="U367" si="1045">IF(S367="-",S367,S367*24)</f>
        <v>-</v>
      </c>
      <c r="V367" s="85">
        <f t="shared" ref="V367" si="1046">IF(Q367="-",Q367,T367*24)</f>
        <v>1080</v>
      </c>
      <c r="W367" s="129">
        <f>'Consumer Hardware Pricing'!V375</f>
        <v>444</v>
      </c>
      <c r="X367" s="129">
        <f t="shared" ref="X367" si="1047">IF(W367="-",W367,IF(S367="-",R367-ROUNDUP((D367-W367)/24,2),S367+R367-ROUNDUP((D367-W367)/24,2)))</f>
        <v>18.5</v>
      </c>
      <c r="Y367" s="129">
        <f t="shared" ref="Y367" si="1048">IF(W367="-",W367,R367-X367)</f>
        <v>26.5</v>
      </c>
      <c r="Z367" s="129">
        <f t="shared" ref="Z367" si="1049">IF(W367="-",W367,X367*24)</f>
        <v>444</v>
      </c>
      <c r="AA367" s="85">
        <f t="shared" ref="AA367" si="1050">IF(W367="-",W367,Y367*24)</f>
        <v>636</v>
      </c>
      <c r="AB367" s="85">
        <f>'Consumer Hardware Pricing'!X375</f>
        <v>0</v>
      </c>
      <c r="AC367" s="85">
        <f t="shared" ref="AC367" si="1051">IF(AB367="-","-",ROUNDUP(D367/24,2))</f>
        <v>45</v>
      </c>
      <c r="AD367" s="85">
        <f>'Consumer Hardware Pricing'!Y375</f>
        <v>1.5</v>
      </c>
      <c r="AE367" s="85">
        <f t="shared" ref="AE367" si="1052">IF(AD367="-",AC367,AC367-AD367)</f>
        <v>43.5</v>
      </c>
      <c r="AF367" s="85">
        <f t="shared" ref="AF367" si="1053">IF(AD367="-",AD367,AD367*24)</f>
        <v>36</v>
      </c>
      <c r="AG367" s="85">
        <f t="shared" ref="AG367" si="1054">IF(AB367="-",AB367,AE367*24)</f>
        <v>1044</v>
      </c>
      <c r="AH367" s="85">
        <f>'Consumer Hardware Pricing'!AA375</f>
        <v>444</v>
      </c>
      <c r="AI367" s="85">
        <f t="shared" ref="AI367" si="1055">IF(AH367="-",AH367,IF(AD367="-",AC367-ROUNDUP((D367-AH367)/24,2),AD367+AC367-ROUNDUP((D367-AH367)/24,2)))</f>
        <v>20</v>
      </c>
      <c r="AJ367" s="85">
        <f t="shared" ref="AJ367" si="1056">IF(AH367="-",AH367,AC367-AI367)</f>
        <v>25</v>
      </c>
      <c r="AK367" s="85">
        <f t="shared" ref="AK367" si="1057">IF(AH367="-",AH367,AI367*24)</f>
        <v>480</v>
      </c>
      <c r="AL367" s="85">
        <f t="shared" ref="AL367" si="1058">IF(AH367="-",AH367,AJ367*24)</f>
        <v>600</v>
      </c>
      <c r="AM367" s="85">
        <f>'Consumer Hardware Pricing'!AC375</f>
        <v>0</v>
      </c>
      <c r="AN367" s="85">
        <f t="shared" ref="AN367" si="1059">IF(AM367="-","-",ROUNDUP(D367/24,2))</f>
        <v>45</v>
      </c>
      <c r="AO367" s="85">
        <f>'Consumer Hardware Pricing'!AD375</f>
        <v>1.5</v>
      </c>
      <c r="AP367" s="85">
        <f t="shared" ref="AP367" si="1060">IF(AO367="-",AN367,AN367-AO367)</f>
        <v>43.5</v>
      </c>
      <c r="AQ367" s="85">
        <f t="shared" ref="AQ367" si="1061">IF(AO367="-",AO367,AO367*24)</f>
        <v>36</v>
      </c>
      <c r="AR367" s="85">
        <f t="shared" ref="AR367" si="1062">IF(AM367="-",AM367,AP367*24)</f>
        <v>1044</v>
      </c>
      <c r="AS367" s="85">
        <f>'Consumer Hardware Pricing'!AF375</f>
        <v>444</v>
      </c>
      <c r="AT367" s="85">
        <f t="shared" ref="AT367" si="1063">IF(AS367="-",AS367,IF(AO367="-",AN367-ROUNDUP((D367-AS367)/24,2),AO367+AN367-ROUNDUP((D367-AS367)/24,2)))</f>
        <v>20</v>
      </c>
      <c r="AU367" s="85">
        <f t="shared" ref="AU367" si="1064">IF(AS367="-",AS367,AN367-AT367)</f>
        <v>25</v>
      </c>
      <c r="AV367" s="85">
        <f t="shared" ref="AV367" si="1065">IF(AS367="-",AS367,AT367*24)</f>
        <v>480</v>
      </c>
      <c r="AW367" s="85">
        <f t="shared" ref="AW367" si="1066">IF(AS367="-",AS367,AU367*24)</f>
        <v>600</v>
      </c>
      <c r="AX367" s="85" t="str">
        <f>'Consumer Hardware Pricing'!AH375</f>
        <v>-</v>
      </c>
      <c r="AY367" s="85" t="str">
        <f t="shared" ref="AY367" si="1067">IF(AX367="-",AX367,ROUNDUP((D367-AX367)/24,2))</f>
        <v>-</v>
      </c>
      <c r="AZ367" s="85" t="str">
        <f>'Consumer Hardware Pricing'!AI375</f>
        <v>-</v>
      </c>
      <c r="BA367" s="85" t="str">
        <f t="shared" ref="BA367" si="1068">IF(AZ367="-",AY367,AY367-AZ367)</f>
        <v>-</v>
      </c>
      <c r="BB367" s="85" t="str">
        <f t="shared" ref="BB367" si="1069">IF(AZ367="-",AZ367,AZ367*24)</f>
        <v>-</v>
      </c>
      <c r="BC367" s="85" t="str">
        <f t="shared" ref="BC367" si="1070">IF(AX367="-",AX367,AX367+(BA367*24))</f>
        <v>-</v>
      </c>
      <c r="BD367" s="85" t="str">
        <f>'Consumer Hardware Pricing'!AL375</f>
        <v>-</v>
      </c>
      <c r="BE367" s="85" t="str">
        <f t="shared" ref="BE367" si="1071">IF(BD367="-",BD367,ROUNDUP((D367-BD367)/24,2))</f>
        <v>-</v>
      </c>
      <c r="BF367" s="85" t="str">
        <f>'Consumer Hardware Pricing'!AM375</f>
        <v>-</v>
      </c>
      <c r="BG367" s="85" t="str">
        <f t="shared" ref="BG367" si="1072">IF(BF367="-",BE367,BE367-BF367)</f>
        <v>-</v>
      </c>
      <c r="BH367" s="85" t="str">
        <f t="shared" ref="BH367" si="1073">IF(BF367="-",BF367,BF367*24)</f>
        <v>-</v>
      </c>
      <c r="BI367" s="85" t="str">
        <f t="shared" ref="BI367" si="1074">IF(BD367="-",BD367,BD367+(BG367*24))</f>
        <v>-</v>
      </c>
      <c r="BJ367" s="85" t="str">
        <f>'Consumer Hardware Pricing'!AP375</f>
        <v>-</v>
      </c>
      <c r="BK367" s="85" t="str">
        <f t="shared" ref="BK367" si="1075">IF(BJ367="-",BJ367,ROUNDUP((D367-BJ367)/24,2))</f>
        <v>-</v>
      </c>
      <c r="BL367" s="85" t="str">
        <f>'Consumer Hardware Pricing'!AQ375</f>
        <v>-</v>
      </c>
      <c r="BM367" s="85" t="str">
        <f t="shared" ref="BM367" si="1076">IF(BL367="-",BK367,BK367-BL367)</f>
        <v>-</v>
      </c>
      <c r="BN367" s="85" t="str">
        <f t="shared" ref="BN367" si="1077">IF(BL367="-",BL367,BL367*24)</f>
        <v>-</v>
      </c>
      <c r="BO367" s="85" t="str">
        <f t="shared" ref="BO367" si="1078">IF(BJ367="-",BJ367,BJ367+(BM367*24))</f>
        <v>-</v>
      </c>
      <c r="BP367" s="85" t="str">
        <f>'Consumer Hardware Pricing'!AT375</f>
        <v>-</v>
      </c>
      <c r="BQ367" s="85" t="str">
        <f t="shared" ref="BQ367" si="1079">IF(BP367="-",BP367,ROUNDUP((D367-BP367)/24,2))</f>
        <v>-</v>
      </c>
      <c r="BR367" s="85" t="str">
        <f>'Consumer Hardware Pricing'!AU375</f>
        <v>-</v>
      </c>
      <c r="BS367" s="85" t="str">
        <f t="shared" ref="BS367" si="1080">IF(BR367="-",BQ367,BQ367-BR367)</f>
        <v>-</v>
      </c>
      <c r="BT367" s="85" t="str">
        <f t="shared" ref="BT367" si="1081">IF(BR367="-",BR367,BR367*24)</f>
        <v>-</v>
      </c>
      <c r="BU367" s="85" t="str">
        <f t="shared" ref="BU367" si="1082">IF(BP367="-",BP367,BP367+(BS367*24))</f>
        <v>-</v>
      </c>
    </row>
    <row r="368" spans="1:73" ht="30.15" customHeight="1" x14ac:dyDescent="0.25">
      <c r="A368" s="87" t="s">
        <v>34</v>
      </c>
      <c r="B368" s="88" t="s">
        <v>1179</v>
      </c>
      <c r="C368" s="88" t="s">
        <v>1189</v>
      </c>
      <c r="D368" s="85">
        <f>'Consumer Hardware Pricing'!L376</f>
        <v>1225</v>
      </c>
      <c r="E368" s="85">
        <f>'Consumer Hardware Pricing'!M376</f>
        <v>1225</v>
      </c>
      <c r="F368" s="85">
        <f>'Consumer Hardware Pricing'!N376</f>
        <v>0</v>
      </c>
      <c r="G368" s="85">
        <f t="shared" si="910"/>
        <v>51.05</v>
      </c>
      <c r="H368" s="85" t="str">
        <f>'Consumer Hardware Pricing'!O376</f>
        <v>-</v>
      </c>
      <c r="I368" s="85">
        <f t="shared" si="958"/>
        <v>51.05</v>
      </c>
      <c r="J368" s="85" t="str">
        <f t="shared" si="959"/>
        <v>-</v>
      </c>
      <c r="K368" s="85">
        <f t="shared" si="960"/>
        <v>1225.1999999999998</v>
      </c>
      <c r="L368" s="85">
        <f>'Consumer Hardware Pricing'!Q376</f>
        <v>457</v>
      </c>
      <c r="M368" s="85">
        <f t="shared" si="911"/>
        <v>19.049999999999997</v>
      </c>
      <c r="N368" s="85">
        <f t="shared" si="961"/>
        <v>32</v>
      </c>
      <c r="O368" s="85">
        <f t="shared" si="962"/>
        <v>457.19999999999993</v>
      </c>
      <c r="P368" s="85">
        <f t="shared" si="963"/>
        <v>768</v>
      </c>
      <c r="Q368" s="85">
        <f>'Consumer Hardware Pricing'!S376</f>
        <v>0</v>
      </c>
      <c r="R368" s="85">
        <f t="shared" si="964"/>
        <v>51.05</v>
      </c>
      <c r="S368" s="85" t="str">
        <f>'Consumer Hardware Pricing'!T376</f>
        <v>-</v>
      </c>
      <c r="T368" s="129">
        <f t="shared" si="965"/>
        <v>51.05</v>
      </c>
      <c r="U368" s="129" t="str">
        <f t="shared" si="966"/>
        <v>-</v>
      </c>
      <c r="V368" s="85">
        <f t="shared" si="967"/>
        <v>1225.1999999999998</v>
      </c>
      <c r="W368" s="129">
        <f>'Consumer Hardware Pricing'!V376</f>
        <v>457</v>
      </c>
      <c r="X368" s="129">
        <f t="shared" si="912"/>
        <v>19.049999999999997</v>
      </c>
      <c r="Y368" s="129">
        <f t="shared" si="968"/>
        <v>32</v>
      </c>
      <c r="Z368" s="129">
        <f t="shared" si="969"/>
        <v>457.19999999999993</v>
      </c>
      <c r="AA368" s="85">
        <f t="shared" si="970"/>
        <v>768</v>
      </c>
      <c r="AB368" s="85">
        <f>'Consumer Hardware Pricing'!X376</f>
        <v>0</v>
      </c>
      <c r="AC368" s="85">
        <f t="shared" si="950"/>
        <v>51.05</v>
      </c>
      <c r="AD368" s="85">
        <f>'Consumer Hardware Pricing'!Y376</f>
        <v>2</v>
      </c>
      <c r="AE368" s="85">
        <f t="shared" si="971"/>
        <v>49.05</v>
      </c>
      <c r="AF368" s="85">
        <f t="shared" si="972"/>
        <v>48</v>
      </c>
      <c r="AG368" s="85">
        <f t="shared" si="973"/>
        <v>1177.1999999999998</v>
      </c>
      <c r="AH368" s="85">
        <f>'Consumer Hardware Pricing'!AA376</f>
        <v>457</v>
      </c>
      <c r="AI368" s="85">
        <f t="shared" si="951"/>
        <v>21.049999999999997</v>
      </c>
      <c r="AJ368" s="85">
        <f t="shared" si="974"/>
        <v>30</v>
      </c>
      <c r="AK368" s="85">
        <f t="shared" si="975"/>
        <v>505.19999999999993</v>
      </c>
      <c r="AL368" s="85">
        <f t="shared" si="976"/>
        <v>720</v>
      </c>
      <c r="AM368" s="85">
        <f>'Consumer Hardware Pricing'!AC376</f>
        <v>0</v>
      </c>
      <c r="AN368" s="85">
        <f t="shared" si="952"/>
        <v>51.05</v>
      </c>
      <c r="AO368" s="85">
        <f>'Consumer Hardware Pricing'!AD376</f>
        <v>2</v>
      </c>
      <c r="AP368" s="85">
        <f t="shared" si="977"/>
        <v>49.05</v>
      </c>
      <c r="AQ368" s="85">
        <f t="shared" si="978"/>
        <v>48</v>
      </c>
      <c r="AR368" s="85">
        <f t="shared" si="979"/>
        <v>1177.1999999999998</v>
      </c>
      <c r="AS368" s="85">
        <f>'Consumer Hardware Pricing'!AF376</f>
        <v>457</v>
      </c>
      <c r="AT368" s="85">
        <f t="shared" si="953"/>
        <v>21.049999999999997</v>
      </c>
      <c r="AU368" s="85">
        <f t="shared" si="980"/>
        <v>30</v>
      </c>
      <c r="AV368" s="85">
        <f t="shared" si="981"/>
        <v>505.19999999999993</v>
      </c>
      <c r="AW368" s="85">
        <f t="shared" si="982"/>
        <v>720</v>
      </c>
      <c r="AX368" s="85" t="str">
        <f>'Consumer Hardware Pricing'!AH376</f>
        <v>-</v>
      </c>
      <c r="AY368" s="85" t="str">
        <f t="shared" si="954"/>
        <v>-</v>
      </c>
      <c r="AZ368" s="85" t="str">
        <f>'Consumer Hardware Pricing'!AI376</f>
        <v>-</v>
      </c>
      <c r="BA368" s="85" t="str">
        <f t="shared" si="983"/>
        <v>-</v>
      </c>
      <c r="BB368" s="85" t="str">
        <f t="shared" si="984"/>
        <v>-</v>
      </c>
      <c r="BC368" s="85" t="str">
        <f t="shared" si="985"/>
        <v>-</v>
      </c>
      <c r="BD368" s="85" t="str">
        <f>'Consumer Hardware Pricing'!AL376</f>
        <v>-</v>
      </c>
      <c r="BE368" s="85" t="str">
        <f t="shared" si="955"/>
        <v>-</v>
      </c>
      <c r="BF368" s="85" t="str">
        <f>'Consumer Hardware Pricing'!AM376</f>
        <v>-</v>
      </c>
      <c r="BG368" s="85" t="str">
        <f t="shared" si="986"/>
        <v>-</v>
      </c>
      <c r="BH368" s="85" t="str">
        <f t="shared" si="987"/>
        <v>-</v>
      </c>
      <c r="BI368" s="85" t="str">
        <f t="shared" si="988"/>
        <v>-</v>
      </c>
      <c r="BJ368" s="85" t="str">
        <f>'Consumer Hardware Pricing'!AP376</f>
        <v>-</v>
      </c>
      <c r="BK368" s="85" t="str">
        <f t="shared" si="956"/>
        <v>-</v>
      </c>
      <c r="BL368" s="85" t="str">
        <f>'Consumer Hardware Pricing'!AQ376</f>
        <v>-</v>
      </c>
      <c r="BM368" s="85" t="str">
        <f t="shared" si="989"/>
        <v>-</v>
      </c>
      <c r="BN368" s="85" t="str">
        <f t="shared" si="990"/>
        <v>-</v>
      </c>
      <c r="BO368" s="85" t="str">
        <f t="shared" si="991"/>
        <v>-</v>
      </c>
      <c r="BP368" s="85" t="str">
        <f>'Consumer Hardware Pricing'!AT376</f>
        <v>-</v>
      </c>
      <c r="BQ368" s="85" t="str">
        <f t="shared" si="957"/>
        <v>-</v>
      </c>
      <c r="BR368" s="85" t="str">
        <f>'Consumer Hardware Pricing'!AU376</f>
        <v>-</v>
      </c>
      <c r="BS368" s="85" t="str">
        <f t="shared" si="992"/>
        <v>-</v>
      </c>
      <c r="BT368" s="85" t="str">
        <f t="shared" si="993"/>
        <v>-</v>
      </c>
      <c r="BU368" s="85" t="str">
        <f t="shared" si="994"/>
        <v>-</v>
      </c>
    </row>
    <row r="369" spans="1:73" ht="30.15" customHeight="1" x14ac:dyDescent="0.25">
      <c r="A369" s="87" t="s">
        <v>34</v>
      </c>
      <c r="B369" s="88" t="s">
        <v>1180</v>
      </c>
      <c r="C369" s="88" t="s">
        <v>1189</v>
      </c>
      <c r="D369" s="85">
        <f>'Consumer Hardware Pricing'!L377</f>
        <v>1225</v>
      </c>
      <c r="E369" s="85">
        <f>'Consumer Hardware Pricing'!M377</f>
        <v>1225</v>
      </c>
      <c r="F369" s="85">
        <f>'Consumer Hardware Pricing'!N377</f>
        <v>0</v>
      </c>
      <c r="G369" s="85">
        <f t="shared" si="910"/>
        <v>51.05</v>
      </c>
      <c r="H369" s="85" t="str">
        <f>'Consumer Hardware Pricing'!O377</f>
        <v>-</v>
      </c>
      <c r="I369" s="85">
        <f t="shared" si="958"/>
        <v>51.05</v>
      </c>
      <c r="J369" s="85" t="str">
        <f t="shared" si="959"/>
        <v>-</v>
      </c>
      <c r="K369" s="85">
        <f t="shared" si="960"/>
        <v>1225.1999999999998</v>
      </c>
      <c r="L369" s="85">
        <f>'Consumer Hardware Pricing'!Q377</f>
        <v>457</v>
      </c>
      <c r="M369" s="85">
        <f t="shared" si="911"/>
        <v>19.049999999999997</v>
      </c>
      <c r="N369" s="85">
        <f t="shared" si="961"/>
        <v>32</v>
      </c>
      <c r="O369" s="85">
        <f t="shared" si="962"/>
        <v>457.19999999999993</v>
      </c>
      <c r="P369" s="85">
        <f t="shared" si="963"/>
        <v>768</v>
      </c>
      <c r="Q369" s="85">
        <f>'Consumer Hardware Pricing'!S377</f>
        <v>0</v>
      </c>
      <c r="R369" s="85">
        <f t="shared" si="964"/>
        <v>51.05</v>
      </c>
      <c r="S369" s="85" t="str">
        <f>'Consumer Hardware Pricing'!T377</f>
        <v>-</v>
      </c>
      <c r="T369" s="129">
        <f t="shared" si="965"/>
        <v>51.05</v>
      </c>
      <c r="U369" s="129" t="str">
        <f t="shared" si="966"/>
        <v>-</v>
      </c>
      <c r="V369" s="85">
        <f t="shared" si="967"/>
        <v>1225.1999999999998</v>
      </c>
      <c r="W369" s="129">
        <f>'Consumer Hardware Pricing'!V377</f>
        <v>457</v>
      </c>
      <c r="X369" s="129">
        <f t="shared" si="912"/>
        <v>19.049999999999997</v>
      </c>
      <c r="Y369" s="129">
        <f t="shared" si="968"/>
        <v>32</v>
      </c>
      <c r="Z369" s="129">
        <f t="shared" si="969"/>
        <v>457.19999999999993</v>
      </c>
      <c r="AA369" s="85">
        <f t="shared" si="970"/>
        <v>768</v>
      </c>
      <c r="AB369" s="85">
        <f>'Consumer Hardware Pricing'!X377</f>
        <v>0</v>
      </c>
      <c r="AC369" s="85">
        <f t="shared" si="950"/>
        <v>51.05</v>
      </c>
      <c r="AD369" s="85">
        <f>'Consumer Hardware Pricing'!Y377</f>
        <v>2</v>
      </c>
      <c r="AE369" s="85">
        <f t="shared" si="971"/>
        <v>49.05</v>
      </c>
      <c r="AF369" s="85">
        <f t="shared" si="972"/>
        <v>48</v>
      </c>
      <c r="AG369" s="85">
        <f t="shared" si="973"/>
        <v>1177.1999999999998</v>
      </c>
      <c r="AH369" s="85">
        <f>'Consumer Hardware Pricing'!AA377</f>
        <v>457</v>
      </c>
      <c r="AI369" s="85">
        <f t="shared" si="951"/>
        <v>21.049999999999997</v>
      </c>
      <c r="AJ369" s="85">
        <f t="shared" si="974"/>
        <v>30</v>
      </c>
      <c r="AK369" s="85">
        <f t="shared" si="975"/>
        <v>505.19999999999993</v>
      </c>
      <c r="AL369" s="85">
        <f t="shared" si="976"/>
        <v>720</v>
      </c>
      <c r="AM369" s="85">
        <f>'Consumer Hardware Pricing'!AC377</f>
        <v>0</v>
      </c>
      <c r="AN369" s="85">
        <f t="shared" si="952"/>
        <v>51.05</v>
      </c>
      <c r="AO369" s="85">
        <f>'Consumer Hardware Pricing'!AD377</f>
        <v>2</v>
      </c>
      <c r="AP369" s="85">
        <f t="shared" si="977"/>
        <v>49.05</v>
      </c>
      <c r="AQ369" s="85">
        <f t="shared" si="978"/>
        <v>48</v>
      </c>
      <c r="AR369" s="85">
        <f t="shared" si="979"/>
        <v>1177.1999999999998</v>
      </c>
      <c r="AS369" s="85">
        <f>'Consumer Hardware Pricing'!AF377</f>
        <v>457</v>
      </c>
      <c r="AT369" s="85">
        <f t="shared" si="953"/>
        <v>21.049999999999997</v>
      </c>
      <c r="AU369" s="85">
        <f t="shared" si="980"/>
        <v>30</v>
      </c>
      <c r="AV369" s="85">
        <f t="shared" si="981"/>
        <v>505.19999999999993</v>
      </c>
      <c r="AW369" s="85">
        <f t="shared" si="982"/>
        <v>720</v>
      </c>
      <c r="AX369" s="85" t="str">
        <f>'Consumer Hardware Pricing'!AH377</f>
        <v>-</v>
      </c>
      <c r="AY369" s="85" t="str">
        <f t="shared" si="954"/>
        <v>-</v>
      </c>
      <c r="AZ369" s="85" t="str">
        <f>'Consumer Hardware Pricing'!AI377</f>
        <v>-</v>
      </c>
      <c r="BA369" s="85" t="str">
        <f t="shared" si="983"/>
        <v>-</v>
      </c>
      <c r="BB369" s="85" t="str">
        <f t="shared" si="984"/>
        <v>-</v>
      </c>
      <c r="BC369" s="85" t="str">
        <f t="shared" si="985"/>
        <v>-</v>
      </c>
      <c r="BD369" s="85" t="str">
        <f>'Consumer Hardware Pricing'!AL377</f>
        <v>-</v>
      </c>
      <c r="BE369" s="85" t="str">
        <f t="shared" si="955"/>
        <v>-</v>
      </c>
      <c r="BF369" s="85" t="str">
        <f>'Consumer Hardware Pricing'!AM377</f>
        <v>-</v>
      </c>
      <c r="BG369" s="85" t="str">
        <f t="shared" si="986"/>
        <v>-</v>
      </c>
      <c r="BH369" s="85" t="str">
        <f t="shared" si="987"/>
        <v>-</v>
      </c>
      <c r="BI369" s="85" t="str">
        <f t="shared" si="988"/>
        <v>-</v>
      </c>
      <c r="BJ369" s="85" t="str">
        <f>'Consumer Hardware Pricing'!AP377</f>
        <v>-</v>
      </c>
      <c r="BK369" s="85" t="str">
        <f t="shared" si="956"/>
        <v>-</v>
      </c>
      <c r="BL369" s="85" t="str">
        <f>'Consumer Hardware Pricing'!AQ377</f>
        <v>-</v>
      </c>
      <c r="BM369" s="85" t="str">
        <f t="shared" si="989"/>
        <v>-</v>
      </c>
      <c r="BN369" s="85" t="str">
        <f t="shared" si="990"/>
        <v>-</v>
      </c>
      <c r="BO369" s="85" t="str">
        <f t="shared" si="991"/>
        <v>-</v>
      </c>
      <c r="BP369" s="85" t="str">
        <f>'Consumer Hardware Pricing'!AT377</f>
        <v>-</v>
      </c>
      <c r="BQ369" s="85" t="str">
        <f t="shared" si="957"/>
        <v>-</v>
      </c>
      <c r="BR369" s="85" t="str">
        <f>'Consumer Hardware Pricing'!AU377</f>
        <v>-</v>
      </c>
      <c r="BS369" s="85" t="str">
        <f t="shared" si="992"/>
        <v>-</v>
      </c>
      <c r="BT369" s="85" t="str">
        <f t="shared" si="993"/>
        <v>-</v>
      </c>
      <c r="BU369" s="85" t="str">
        <f t="shared" si="994"/>
        <v>-</v>
      </c>
    </row>
    <row r="370" spans="1:73" ht="30.15" customHeight="1" x14ac:dyDescent="0.25">
      <c r="A370" s="87" t="s">
        <v>34</v>
      </c>
      <c r="B370" s="88" t="s">
        <v>1181</v>
      </c>
      <c r="C370" s="88" t="s">
        <v>1189</v>
      </c>
      <c r="D370" s="85">
        <f>'Consumer Hardware Pricing'!L378</f>
        <v>1225</v>
      </c>
      <c r="E370" s="85">
        <f>'Consumer Hardware Pricing'!M378</f>
        <v>1225</v>
      </c>
      <c r="F370" s="85">
        <f>'Consumer Hardware Pricing'!N378</f>
        <v>0</v>
      </c>
      <c r="G370" s="85">
        <f t="shared" si="910"/>
        <v>51.05</v>
      </c>
      <c r="H370" s="85" t="str">
        <f>'Consumer Hardware Pricing'!O378</f>
        <v>-</v>
      </c>
      <c r="I370" s="85">
        <f t="shared" si="958"/>
        <v>51.05</v>
      </c>
      <c r="J370" s="85" t="str">
        <f t="shared" si="959"/>
        <v>-</v>
      </c>
      <c r="K370" s="85">
        <f t="shared" si="960"/>
        <v>1225.1999999999998</v>
      </c>
      <c r="L370" s="85">
        <f>'Consumer Hardware Pricing'!Q378</f>
        <v>457</v>
      </c>
      <c r="M370" s="85">
        <f t="shared" si="911"/>
        <v>19.049999999999997</v>
      </c>
      <c r="N370" s="85">
        <f t="shared" si="961"/>
        <v>32</v>
      </c>
      <c r="O370" s="85">
        <f t="shared" si="962"/>
        <v>457.19999999999993</v>
      </c>
      <c r="P370" s="85">
        <f t="shared" si="963"/>
        <v>768</v>
      </c>
      <c r="Q370" s="85">
        <f>'Consumer Hardware Pricing'!S378</f>
        <v>0</v>
      </c>
      <c r="R370" s="85">
        <f t="shared" si="964"/>
        <v>51.05</v>
      </c>
      <c r="S370" s="85" t="str">
        <f>'Consumer Hardware Pricing'!T378</f>
        <v>-</v>
      </c>
      <c r="T370" s="129">
        <f t="shared" si="965"/>
        <v>51.05</v>
      </c>
      <c r="U370" s="129" t="str">
        <f t="shared" si="966"/>
        <v>-</v>
      </c>
      <c r="V370" s="85">
        <f t="shared" si="967"/>
        <v>1225.1999999999998</v>
      </c>
      <c r="W370" s="129">
        <f>'Consumer Hardware Pricing'!V378</f>
        <v>457</v>
      </c>
      <c r="X370" s="129">
        <f t="shared" si="912"/>
        <v>19.049999999999997</v>
      </c>
      <c r="Y370" s="129">
        <f t="shared" si="968"/>
        <v>32</v>
      </c>
      <c r="Z370" s="129">
        <f t="shared" si="969"/>
        <v>457.19999999999993</v>
      </c>
      <c r="AA370" s="85">
        <f t="shared" si="970"/>
        <v>768</v>
      </c>
      <c r="AB370" s="85">
        <f>'Consumer Hardware Pricing'!X378</f>
        <v>0</v>
      </c>
      <c r="AC370" s="85">
        <f t="shared" si="950"/>
        <v>51.05</v>
      </c>
      <c r="AD370" s="85">
        <f>'Consumer Hardware Pricing'!Y378</f>
        <v>2</v>
      </c>
      <c r="AE370" s="85">
        <f t="shared" si="971"/>
        <v>49.05</v>
      </c>
      <c r="AF370" s="85">
        <f t="shared" si="972"/>
        <v>48</v>
      </c>
      <c r="AG370" s="85">
        <f t="shared" si="973"/>
        <v>1177.1999999999998</v>
      </c>
      <c r="AH370" s="85">
        <f>'Consumer Hardware Pricing'!AA378</f>
        <v>457</v>
      </c>
      <c r="AI370" s="85">
        <f t="shared" si="951"/>
        <v>21.049999999999997</v>
      </c>
      <c r="AJ370" s="85">
        <f t="shared" si="974"/>
        <v>30</v>
      </c>
      <c r="AK370" s="85">
        <f t="shared" si="975"/>
        <v>505.19999999999993</v>
      </c>
      <c r="AL370" s="85">
        <f t="shared" si="976"/>
        <v>720</v>
      </c>
      <c r="AM370" s="85">
        <f>'Consumer Hardware Pricing'!AC378</f>
        <v>0</v>
      </c>
      <c r="AN370" s="85">
        <f t="shared" si="952"/>
        <v>51.05</v>
      </c>
      <c r="AO370" s="85">
        <f>'Consumer Hardware Pricing'!AD378</f>
        <v>2</v>
      </c>
      <c r="AP370" s="85">
        <f t="shared" si="977"/>
        <v>49.05</v>
      </c>
      <c r="AQ370" s="85">
        <f t="shared" si="978"/>
        <v>48</v>
      </c>
      <c r="AR370" s="85">
        <f t="shared" si="979"/>
        <v>1177.1999999999998</v>
      </c>
      <c r="AS370" s="85">
        <f>'Consumer Hardware Pricing'!AF378</f>
        <v>457</v>
      </c>
      <c r="AT370" s="85">
        <f t="shared" si="953"/>
        <v>21.049999999999997</v>
      </c>
      <c r="AU370" s="85">
        <f t="shared" si="980"/>
        <v>30</v>
      </c>
      <c r="AV370" s="85">
        <f t="shared" si="981"/>
        <v>505.19999999999993</v>
      </c>
      <c r="AW370" s="85">
        <f t="shared" si="982"/>
        <v>720</v>
      </c>
      <c r="AX370" s="85" t="str">
        <f>'Consumer Hardware Pricing'!AH378</f>
        <v>-</v>
      </c>
      <c r="AY370" s="85" t="str">
        <f t="shared" si="954"/>
        <v>-</v>
      </c>
      <c r="AZ370" s="85" t="str">
        <f>'Consumer Hardware Pricing'!AI378</f>
        <v>-</v>
      </c>
      <c r="BA370" s="85" t="str">
        <f t="shared" si="983"/>
        <v>-</v>
      </c>
      <c r="BB370" s="85" t="str">
        <f t="shared" si="984"/>
        <v>-</v>
      </c>
      <c r="BC370" s="85" t="str">
        <f t="shared" si="985"/>
        <v>-</v>
      </c>
      <c r="BD370" s="85" t="str">
        <f>'Consumer Hardware Pricing'!AL378</f>
        <v>-</v>
      </c>
      <c r="BE370" s="85" t="str">
        <f t="shared" si="955"/>
        <v>-</v>
      </c>
      <c r="BF370" s="85" t="str">
        <f>'Consumer Hardware Pricing'!AM378</f>
        <v>-</v>
      </c>
      <c r="BG370" s="85" t="str">
        <f t="shared" si="986"/>
        <v>-</v>
      </c>
      <c r="BH370" s="85" t="str">
        <f t="shared" si="987"/>
        <v>-</v>
      </c>
      <c r="BI370" s="85" t="str">
        <f t="shared" si="988"/>
        <v>-</v>
      </c>
      <c r="BJ370" s="85" t="str">
        <f>'Consumer Hardware Pricing'!AP378</f>
        <v>-</v>
      </c>
      <c r="BK370" s="85" t="str">
        <f t="shared" si="956"/>
        <v>-</v>
      </c>
      <c r="BL370" s="85" t="str">
        <f>'Consumer Hardware Pricing'!AQ378</f>
        <v>-</v>
      </c>
      <c r="BM370" s="85" t="str">
        <f t="shared" si="989"/>
        <v>-</v>
      </c>
      <c r="BN370" s="85" t="str">
        <f t="shared" si="990"/>
        <v>-</v>
      </c>
      <c r="BO370" s="85" t="str">
        <f t="shared" si="991"/>
        <v>-</v>
      </c>
      <c r="BP370" s="85" t="str">
        <f>'Consumer Hardware Pricing'!AT378</f>
        <v>-</v>
      </c>
      <c r="BQ370" s="85" t="str">
        <f t="shared" si="957"/>
        <v>-</v>
      </c>
      <c r="BR370" s="85" t="str">
        <f>'Consumer Hardware Pricing'!AU378</f>
        <v>-</v>
      </c>
      <c r="BS370" s="85" t="str">
        <f t="shared" si="992"/>
        <v>-</v>
      </c>
      <c r="BT370" s="85" t="str">
        <f t="shared" si="993"/>
        <v>-</v>
      </c>
      <c r="BU370" s="85" t="str">
        <f t="shared" si="994"/>
        <v>-</v>
      </c>
    </row>
    <row r="371" spans="1:73" ht="30.15" customHeight="1" x14ac:dyDescent="0.25">
      <c r="A371" s="87" t="s">
        <v>34</v>
      </c>
      <c r="B371" s="88" t="s">
        <v>1182</v>
      </c>
      <c r="C371" s="88" t="s">
        <v>1189</v>
      </c>
      <c r="D371" s="85">
        <f>'Consumer Hardware Pricing'!L379</f>
        <v>1225</v>
      </c>
      <c r="E371" s="85">
        <f>'Consumer Hardware Pricing'!M379</f>
        <v>1225</v>
      </c>
      <c r="F371" s="85">
        <f>'Consumer Hardware Pricing'!N379</f>
        <v>0</v>
      </c>
      <c r="G371" s="85">
        <f t="shared" si="910"/>
        <v>51.05</v>
      </c>
      <c r="H371" s="85" t="str">
        <f>'Consumer Hardware Pricing'!O379</f>
        <v>-</v>
      </c>
      <c r="I371" s="85">
        <f t="shared" si="958"/>
        <v>51.05</v>
      </c>
      <c r="J371" s="85" t="str">
        <f t="shared" si="959"/>
        <v>-</v>
      </c>
      <c r="K371" s="85">
        <f t="shared" si="960"/>
        <v>1225.1999999999998</v>
      </c>
      <c r="L371" s="85">
        <f>'Consumer Hardware Pricing'!Q379</f>
        <v>457</v>
      </c>
      <c r="M371" s="85">
        <f t="shared" si="911"/>
        <v>19.049999999999997</v>
      </c>
      <c r="N371" s="85">
        <f t="shared" si="961"/>
        <v>32</v>
      </c>
      <c r="O371" s="85">
        <f t="shared" si="962"/>
        <v>457.19999999999993</v>
      </c>
      <c r="P371" s="85">
        <f t="shared" si="963"/>
        <v>768</v>
      </c>
      <c r="Q371" s="85">
        <f>'Consumer Hardware Pricing'!S379</f>
        <v>0</v>
      </c>
      <c r="R371" s="85">
        <f t="shared" si="964"/>
        <v>51.05</v>
      </c>
      <c r="S371" s="85" t="str">
        <f>'Consumer Hardware Pricing'!T379</f>
        <v>-</v>
      </c>
      <c r="T371" s="129">
        <f t="shared" si="965"/>
        <v>51.05</v>
      </c>
      <c r="U371" s="129" t="str">
        <f t="shared" si="966"/>
        <v>-</v>
      </c>
      <c r="V371" s="85">
        <f t="shared" si="967"/>
        <v>1225.1999999999998</v>
      </c>
      <c r="W371" s="129">
        <f>'Consumer Hardware Pricing'!V379</f>
        <v>457</v>
      </c>
      <c r="X371" s="129">
        <f t="shared" si="912"/>
        <v>19.049999999999997</v>
      </c>
      <c r="Y371" s="129">
        <f t="shared" si="968"/>
        <v>32</v>
      </c>
      <c r="Z371" s="129">
        <f t="shared" si="969"/>
        <v>457.19999999999993</v>
      </c>
      <c r="AA371" s="85">
        <f t="shared" si="970"/>
        <v>768</v>
      </c>
      <c r="AB371" s="85">
        <f>'Consumer Hardware Pricing'!X379</f>
        <v>0</v>
      </c>
      <c r="AC371" s="85">
        <f t="shared" si="950"/>
        <v>51.05</v>
      </c>
      <c r="AD371" s="85">
        <f>'Consumer Hardware Pricing'!Y379</f>
        <v>2</v>
      </c>
      <c r="AE371" s="85">
        <f t="shared" si="971"/>
        <v>49.05</v>
      </c>
      <c r="AF371" s="85">
        <f t="shared" si="972"/>
        <v>48</v>
      </c>
      <c r="AG371" s="85">
        <f t="shared" si="973"/>
        <v>1177.1999999999998</v>
      </c>
      <c r="AH371" s="85">
        <f>'Consumer Hardware Pricing'!AA379</f>
        <v>457</v>
      </c>
      <c r="AI371" s="85">
        <f t="shared" si="951"/>
        <v>21.049999999999997</v>
      </c>
      <c r="AJ371" s="85">
        <f t="shared" si="974"/>
        <v>30</v>
      </c>
      <c r="AK371" s="85">
        <f t="shared" si="975"/>
        <v>505.19999999999993</v>
      </c>
      <c r="AL371" s="85">
        <f t="shared" si="976"/>
        <v>720</v>
      </c>
      <c r="AM371" s="85">
        <f>'Consumer Hardware Pricing'!AC379</f>
        <v>0</v>
      </c>
      <c r="AN371" s="85">
        <f t="shared" si="952"/>
        <v>51.05</v>
      </c>
      <c r="AO371" s="85">
        <f>'Consumer Hardware Pricing'!AD379</f>
        <v>2</v>
      </c>
      <c r="AP371" s="85">
        <f t="shared" si="977"/>
        <v>49.05</v>
      </c>
      <c r="AQ371" s="85">
        <f t="shared" si="978"/>
        <v>48</v>
      </c>
      <c r="AR371" s="85">
        <f t="shared" si="979"/>
        <v>1177.1999999999998</v>
      </c>
      <c r="AS371" s="85">
        <f>'Consumer Hardware Pricing'!AF379</f>
        <v>457</v>
      </c>
      <c r="AT371" s="85">
        <f t="shared" si="953"/>
        <v>21.049999999999997</v>
      </c>
      <c r="AU371" s="85">
        <f t="shared" si="980"/>
        <v>30</v>
      </c>
      <c r="AV371" s="85">
        <f t="shared" si="981"/>
        <v>505.19999999999993</v>
      </c>
      <c r="AW371" s="85">
        <f t="shared" si="982"/>
        <v>720</v>
      </c>
      <c r="AX371" s="85" t="str">
        <f>'Consumer Hardware Pricing'!AH379</f>
        <v>-</v>
      </c>
      <c r="AY371" s="85" t="str">
        <f t="shared" si="954"/>
        <v>-</v>
      </c>
      <c r="AZ371" s="85" t="str">
        <f>'Consumer Hardware Pricing'!AI379</f>
        <v>-</v>
      </c>
      <c r="BA371" s="85" t="str">
        <f t="shared" si="983"/>
        <v>-</v>
      </c>
      <c r="BB371" s="85" t="str">
        <f t="shared" si="984"/>
        <v>-</v>
      </c>
      <c r="BC371" s="85" t="str">
        <f t="shared" si="985"/>
        <v>-</v>
      </c>
      <c r="BD371" s="85" t="str">
        <f>'Consumer Hardware Pricing'!AL379</f>
        <v>-</v>
      </c>
      <c r="BE371" s="85" t="str">
        <f t="shared" si="955"/>
        <v>-</v>
      </c>
      <c r="BF371" s="85" t="str">
        <f>'Consumer Hardware Pricing'!AM379</f>
        <v>-</v>
      </c>
      <c r="BG371" s="85" t="str">
        <f t="shared" si="986"/>
        <v>-</v>
      </c>
      <c r="BH371" s="85" t="str">
        <f t="shared" si="987"/>
        <v>-</v>
      </c>
      <c r="BI371" s="85" t="str">
        <f t="shared" si="988"/>
        <v>-</v>
      </c>
      <c r="BJ371" s="85" t="str">
        <f>'Consumer Hardware Pricing'!AP379</f>
        <v>-</v>
      </c>
      <c r="BK371" s="85" t="str">
        <f t="shared" si="956"/>
        <v>-</v>
      </c>
      <c r="BL371" s="85" t="str">
        <f>'Consumer Hardware Pricing'!AQ379</f>
        <v>-</v>
      </c>
      <c r="BM371" s="85" t="str">
        <f t="shared" si="989"/>
        <v>-</v>
      </c>
      <c r="BN371" s="85" t="str">
        <f t="shared" si="990"/>
        <v>-</v>
      </c>
      <c r="BO371" s="85" t="str">
        <f t="shared" si="991"/>
        <v>-</v>
      </c>
      <c r="BP371" s="85" t="str">
        <f>'Consumer Hardware Pricing'!AT379</f>
        <v>-</v>
      </c>
      <c r="BQ371" s="85" t="str">
        <f t="shared" si="957"/>
        <v>-</v>
      </c>
      <c r="BR371" s="85" t="str">
        <f>'Consumer Hardware Pricing'!AU379</f>
        <v>-</v>
      </c>
      <c r="BS371" s="85" t="str">
        <f t="shared" si="992"/>
        <v>-</v>
      </c>
      <c r="BT371" s="85" t="str">
        <f t="shared" si="993"/>
        <v>-</v>
      </c>
      <c r="BU371" s="85" t="str">
        <f t="shared" si="994"/>
        <v>-</v>
      </c>
    </row>
    <row r="372" spans="1:73" ht="30.15" customHeight="1" x14ac:dyDescent="0.25">
      <c r="A372" s="87" t="s">
        <v>34</v>
      </c>
      <c r="B372" s="88" t="s">
        <v>1183</v>
      </c>
      <c r="C372" s="88" t="s">
        <v>1189</v>
      </c>
      <c r="D372" s="85">
        <f>'Consumer Hardware Pricing'!L380</f>
        <v>1225</v>
      </c>
      <c r="E372" s="85">
        <f>'Consumer Hardware Pricing'!M380</f>
        <v>1225</v>
      </c>
      <c r="F372" s="85">
        <f>'Consumer Hardware Pricing'!N380</f>
        <v>0</v>
      </c>
      <c r="G372" s="85">
        <f t="shared" si="910"/>
        <v>51.05</v>
      </c>
      <c r="H372" s="85" t="str">
        <f>'Consumer Hardware Pricing'!O380</f>
        <v>-</v>
      </c>
      <c r="I372" s="85">
        <f t="shared" si="958"/>
        <v>51.05</v>
      </c>
      <c r="J372" s="85" t="str">
        <f t="shared" si="959"/>
        <v>-</v>
      </c>
      <c r="K372" s="85">
        <f t="shared" si="960"/>
        <v>1225.1999999999998</v>
      </c>
      <c r="L372" s="85">
        <f>'Consumer Hardware Pricing'!Q380</f>
        <v>457</v>
      </c>
      <c r="M372" s="85">
        <f t="shared" si="911"/>
        <v>19.049999999999997</v>
      </c>
      <c r="N372" s="85">
        <f t="shared" si="961"/>
        <v>32</v>
      </c>
      <c r="O372" s="85">
        <f t="shared" si="962"/>
        <v>457.19999999999993</v>
      </c>
      <c r="P372" s="85">
        <f t="shared" si="963"/>
        <v>768</v>
      </c>
      <c r="Q372" s="85">
        <f>'Consumer Hardware Pricing'!S380</f>
        <v>0</v>
      </c>
      <c r="R372" s="85">
        <f t="shared" si="964"/>
        <v>51.05</v>
      </c>
      <c r="S372" s="85" t="str">
        <f>'Consumer Hardware Pricing'!T380</f>
        <v>-</v>
      </c>
      <c r="T372" s="129">
        <f t="shared" si="965"/>
        <v>51.05</v>
      </c>
      <c r="U372" s="129" t="str">
        <f t="shared" si="966"/>
        <v>-</v>
      </c>
      <c r="V372" s="85">
        <f t="shared" si="967"/>
        <v>1225.1999999999998</v>
      </c>
      <c r="W372" s="129">
        <f>'Consumer Hardware Pricing'!V380</f>
        <v>457</v>
      </c>
      <c r="X372" s="129">
        <f t="shared" si="912"/>
        <v>19.049999999999997</v>
      </c>
      <c r="Y372" s="129">
        <f t="shared" si="968"/>
        <v>32</v>
      </c>
      <c r="Z372" s="129">
        <f t="shared" si="969"/>
        <v>457.19999999999993</v>
      </c>
      <c r="AA372" s="85">
        <f t="shared" si="970"/>
        <v>768</v>
      </c>
      <c r="AB372" s="85">
        <f>'Consumer Hardware Pricing'!X380</f>
        <v>0</v>
      </c>
      <c r="AC372" s="85">
        <f t="shared" si="950"/>
        <v>51.05</v>
      </c>
      <c r="AD372" s="85">
        <f>'Consumer Hardware Pricing'!Y380</f>
        <v>2</v>
      </c>
      <c r="AE372" s="85">
        <f t="shared" si="971"/>
        <v>49.05</v>
      </c>
      <c r="AF372" s="85">
        <f t="shared" si="972"/>
        <v>48</v>
      </c>
      <c r="AG372" s="85">
        <f t="shared" si="973"/>
        <v>1177.1999999999998</v>
      </c>
      <c r="AH372" s="85">
        <f>'Consumer Hardware Pricing'!AA380</f>
        <v>457</v>
      </c>
      <c r="AI372" s="85">
        <f t="shared" si="951"/>
        <v>21.049999999999997</v>
      </c>
      <c r="AJ372" s="85">
        <f t="shared" si="974"/>
        <v>30</v>
      </c>
      <c r="AK372" s="85">
        <f t="shared" si="975"/>
        <v>505.19999999999993</v>
      </c>
      <c r="AL372" s="85">
        <f t="shared" si="976"/>
        <v>720</v>
      </c>
      <c r="AM372" s="85">
        <f>'Consumer Hardware Pricing'!AC380</f>
        <v>0</v>
      </c>
      <c r="AN372" s="85">
        <f t="shared" si="952"/>
        <v>51.05</v>
      </c>
      <c r="AO372" s="85">
        <f>'Consumer Hardware Pricing'!AD380</f>
        <v>2</v>
      </c>
      <c r="AP372" s="85">
        <f t="shared" si="977"/>
        <v>49.05</v>
      </c>
      <c r="AQ372" s="85">
        <f t="shared" si="978"/>
        <v>48</v>
      </c>
      <c r="AR372" s="85">
        <f t="shared" si="979"/>
        <v>1177.1999999999998</v>
      </c>
      <c r="AS372" s="85">
        <f>'Consumer Hardware Pricing'!AF380</f>
        <v>457</v>
      </c>
      <c r="AT372" s="85">
        <f t="shared" si="953"/>
        <v>21.049999999999997</v>
      </c>
      <c r="AU372" s="85">
        <f t="shared" si="980"/>
        <v>30</v>
      </c>
      <c r="AV372" s="85">
        <f t="shared" si="981"/>
        <v>505.19999999999993</v>
      </c>
      <c r="AW372" s="85">
        <f t="shared" si="982"/>
        <v>720</v>
      </c>
      <c r="AX372" s="85" t="str">
        <f>'Consumer Hardware Pricing'!AH380</f>
        <v>-</v>
      </c>
      <c r="AY372" s="85" t="str">
        <f t="shared" si="954"/>
        <v>-</v>
      </c>
      <c r="AZ372" s="85" t="str">
        <f>'Consumer Hardware Pricing'!AI380</f>
        <v>-</v>
      </c>
      <c r="BA372" s="85" t="str">
        <f t="shared" si="983"/>
        <v>-</v>
      </c>
      <c r="BB372" s="85" t="str">
        <f t="shared" si="984"/>
        <v>-</v>
      </c>
      <c r="BC372" s="85" t="str">
        <f t="shared" si="985"/>
        <v>-</v>
      </c>
      <c r="BD372" s="85" t="str">
        <f>'Consumer Hardware Pricing'!AL380</f>
        <v>-</v>
      </c>
      <c r="BE372" s="85" t="str">
        <f t="shared" si="955"/>
        <v>-</v>
      </c>
      <c r="BF372" s="85" t="str">
        <f>'Consumer Hardware Pricing'!AM380</f>
        <v>-</v>
      </c>
      <c r="BG372" s="85" t="str">
        <f t="shared" si="986"/>
        <v>-</v>
      </c>
      <c r="BH372" s="85" t="str">
        <f t="shared" si="987"/>
        <v>-</v>
      </c>
      <c r="BI372" s="85" t="str">
        <f t="shared" si="988"/>
        <v>-</v>
      </c>
      <c r="BJ372" s="85" t="str">
        <f>'Consumer Hardware Pricing'!AP380</f>
        <v>-</v>
      </c>
      <c r="BK372" s="85" t="str">
        <f t="shared" si="956"/>
        <v>-</v>
      </c>
      <c r="BL372" s="85" t="str">
        <f>'Consumer Hardware Pricing'!AQ380</f>
        <v>-</v>
      </c>
      <c r="BM372" s="85" t="str">
        <f t="shared" si="989"/>
        <v>-</v>
      </c>
      <c r="BN372" s="85" t="str">
        <f t="shared" si="990"/>
        <v>-</v>
      </c>
      <c r="BO372" s="85" t="str">
        <f t="shared" si="991"/>
        <v>-</v>
      </c>
      <c r="BP372" s="85" t="str">
        <f>'Consumer Hardware Pricing'!AT380</f>
        <v>-</v>
      </c>
      <c r="BQ372" s="85" t="str">
        <f t="shared" si="957"/>
        <v>-</v>
      </c>
      <c r="BR372" s="85" t="str">
        <f>'Consumer Hardware Pricing'!AU380</f>
        <v>-</v>
      </c>
      <c r="BS372" s="85" t="str">
        <f t="shared" si="992"/>
        <v>-</v>
      </c>
      <c r="BT372" s="85" t="str">
        <f t="shared" si="993"/>
        <v>-</v>
      </c>
      <c r="BU372" s="85" t="str">
        <f t="shared" si="994"/>
        <v>-</v>
      </c>
    </row>
    <row r="373" spans="1:73" ht="30.15" customHeight="1" x14ac:dyDescent="0.25">
      <c r="A373" s="87" t="s">
        <v>34</v>
      </c>
      <c r="B373" s="88" t="s">
        <v>1267</v>
      </c>
      <c r="C373" s="88" t="s">
        <v>1189</v>
      </c>
      <c r="D373" s="85">
        <f>'Consumer Hardware Pricing'!L381</f>
        <v>1225</v>
      </c>
      <c r="E373" s="85">
        <f>'Consumer Hardware Pricing'!M381</f>
        <v>1225</v>
      </c>
      <c r="F373" s="85">
        <f>'Consumer Hardware Pricing'!N381</f>
        <v>0</v>
      </c>
      <c r="G373" s="85">
        <f t="shared" ref="G373" si="1083">IF(F373="-","-",ROUNDUP(D373/24,2))</f>
        <v>51.05</v>
      </c>
      <c r="H373" s="85" t="str">
        <f>'Consumer Hardware Pricing'!O381</f>
        <v>-</v>
      </c>
      <c r="I373" s="85">
        <f t="shared" ref="I373" si="1084">IF(H373="-",G373,G373-H373)</f>
        <v>51.05</v>
      </c>
      <c r="J373" s="85" t="str">
        <f t="shared" ref="J373" si="1085">IF(H373="-",H373,H373*24)</f>
        <v>-</v>
      </c>
      <c r="K373" s="85">
        <f t="shared" ref="K373" si="1086">IF(F373="-",F373,I373*24)</f>
        <v>1225.1999999999998</v>
      </c>
      <c r="L373" s="85">
        <f>'Consumer Hardware Pricing'!Q381</f>
        <v>457</v>
      </c>
      <c r="M373" s="85">
        <f t="shared" ref="M373" si="1087">IF(L373="-",L373,IF(H373="-",G373-ROUNDUP((D373-L373)/24,2),H373+G373-ROUNDUP((D373-L373)/24,2)))</f>
        <v>19.049999999999997</v>
      </c>
      <c r="N373" s="85">
        <f t="shared" ref="N373" si="1088">IF(L373="-",L373,G373-M373)</f>
        <v>32</v>
      </c>
      <c r="O373" s="85">
        <f t="shared" ref="O373" si="1089">IF(L373="-",L373,M373*24)</f>
        <v>457.19999999999993</v>
      </c>
      <c r="P373" s="85">
        <f t="shared" ref="P373" si="1090">IF(L373="-",L373,N373*24)</f>
        <v>768</v>
      </c>
      <c r="Q373" s="85">
        <f>'Consumer Hardware Pricing'!S381</f>
        <v>0</v>
      </c>
      <c r="R373" s="85">
        <f t="shared" ref="R373" si="1091">G373</f>
        <v>51.05</v>
      </c>
      <c r="S373" s="85" t="str">
        <f>'Consumer Hardware Pricing'!T381</f>
        <v>-</v>
      </c>
      <c r="T373" s="129">
        <f t="shared" ref="T373" si="1092">IF(S373="-",R373,R373-S373)</f>
        <v>51.05</v>
      </c>
      <c r="U373" s="129" t="str">
        <f t="shared" ref="U373" si="1093">IF(S373="-",S373,S373*24)</f>
        <v>-</v>
      </c>
      <c r="V373" s="85">
        <f t="shared" ref="V373" si="1094">IF(Q373="-",Q373,T373*24)</f>
        <v>1225.1999999999998</v>
      </c>
      <c r="W373" s="129">
        <f>'Consumer Hardware Pricing'!V381</f>
        <v>457</v>
      </c>
      <c r="X373" s="129">
        <f t="shared" ref="X373" si="1095">IF(W373="-",W373,IF(S373="-",R373-ROUNDUP((D373-W373)/24,2),S373+R373-ROUNDUP((D373-W373)/24,2)))</f>
        <v>19.049999999999997</v>
      </c>
      <c r="Y373" s="129">
        <f t="shared" ref="Y373" si="1096">IF(W373="-",W373,R373-X373)</f>
        <v>32</v>
      </c>
      <c r="Z373" s="129">
        <f t="shared" ref="Z373" si="1097">IF(W373="-",W373,X373*24)</f>
        <v>457.19999999999993</v>
      </c>
      <c r="AA373" s="85">
        <f t="shared" ref="AA373" si="1098">IF(W373="-",W373,Y373*24)</f>
        <v>768</v>
      </c>
      <c r="AB373" s="85">
        <f>'Consumer Hardware Pricing'!X381</f>
        <v>0</v>
      </c>
      <c r="AC373" s="85">
        <f t="shared" ref="AC373" si="1099">IF(AB373="-","-",ROUNDUP(D373/24,2))</f>
        <v>51.05</v>
      </c>
      <c r="AD373" s="85">
        <f>'Consumer Hardware Pricing'!Y381</f>
        <v>2</v>
      </c>
      <c r="AE373" s="85">
        <f t="shared" ref="AE373" si="1100">IF(AD373="-",AC373,AC373-AD373)</f>
        <v>49.05</v>
      </c>
      <c r="AF373" s="85">
        <f t="shared" ref="AF373" si="1101">IF(AD373="-",AD373,AD373*24)</f>
        <v>48</v>
      </c>
      <c r="AG373" s="85">
        <f t="shared" ref="AG373" si="1102">IF(AB373="-",AB373,AE373*24)</f>
        <v>1177.1999999999998</v>
      </c>
      <c r="AH373" s="85">
        <f>'Consumer Hardware Pricing'!AA381</f>
        <v>457</v>
      </c>
      <c r="AI373" s="85">
        <f t="shared" ref="AI373" si="1103">IF(AH373="-",AH373,IF(AD373="-",AC373-ROUNDUP((D373-AH373)/24,2),AD373+AC373-ROUNDUP((D373-AH373)/24,2)))</f>
        <v>21.049999999999997</v>
      </c>
      <c r="AJ373" s="85">
        <f t="shared" ref="AJ373" si="1104">IF(AH373="-",AH373,AC373-AI373)</f>
        <v>30</v>
      </c>
      <c r="AK373" s="85">
        <f t="shared" ref="AK373" si="1105">IF(AH373="-",AH373,AI373*24)</f>
        <v>505.19999999999993</v>
      </c>
      <c r="AL373" s="85">
        <f t="shared" ref="AL373" si="1106">IF(AH373="-",AH373,AJ373*24)</f>
        <v>720</v>
      </c>
      <c r="AM373" s="85">
        <f>'Consumer Hardware Pricing'!AC381</f>
        <v>0</v>
      </c>
      <c r="AN373" s="85">
        <f t="shared" ref="AN373" si="1107">IF(AM373="-","-",ROUNDUP(D373/24,2))</f>
        <v>51.05</v>
      </c>
      <c r="AO373" s="85">
        <f>'Consumer Hardware Pricing'!AD381</f>
        <v>2</v>
      </c>
      <c r="AP373" s="85">
        <f t="shared" ref="AP373" si="1108">IF(AO373="-",AN373,AN373-AO373)</f>
        <v>49.05</v>
      </c>
      <c r="AQ373" s="85">
        <f t="shared" ref="AQ373" si="1109">IF(AO373="-",AO373,AO373*24)</f>
        <v>48</v>
      </c>
      <c r="AR373" s="85">
        <f t="shared" ref="AR373" si="1110">IF(AM373="-",AM373,AP373*24)</f>
        <v>1177.1999999999998</v>
      </c>
      <c r="AS373" s="85">
        <f>'Consumer Hardware Pricing'!AF381</f>
        <v>457</v>
      </c>
      <c r="AT373" s="85">
        <f t="shared" ref="AT373" si="1111">IF(AS373="-",AS373,IF(AO373="-",AN373-ROUNDUP((D373-AS373)/24,2),AO373+AN373-ROUNDUP((D373-AS373)/24,2)))</f>
        <v>21.049999999999997</v>
      </c>
      <c r="AU373" s="85">
        <f t="shared" ref="AU373" si="1112">IF(AS373="-",AS373,AN373-AT373)</f>
        <v>30</v>
      </c>
      <c r="AV373" s="85">
        <f t="shared" ref="AV373" si="1113">IF(AS373="-",AS373,AT373*24)</f>
        <v>505.19999999999993</v>
      </c>
      <c r="AW373" s="85">
        <f t="shared" ref="AW373" si="1114">IF(AS373="-",AS373,AU373*24)</f>
        <v>720</v>
      </c>
      <c r="AX373" s="85" t="str">
        <f>'Consumer Hardware Pricing'!AH381</f>
        <v>-</v>
      </c>
      <c r="AY373" s="85" t="str">
        <f t="shared" ref="AY373" si="1115">IF(AX373="-",AX373,ROUNDUP((D373-AX373)/24,2))</f>
        <v>-</v>
      </c>
      <c r="AZ373" s="85" t="str">
        <f>'Consumer Hardware Pricing'!AI381</f>
        <v>-</v>
      </c>
      <c r="BA373" s="85" t="str">
        <f t="shared" ref="BA373" si="1116">IF(AZ373="-",AY373,AY373-AZ373)</f>
        <v>-</v>
      </c>
      <c r="BB373" s="85" t="str">
        <f t="shared" ref="BB373" si="1117">IF(AZ373="-",AZ373,AZ373*24)</f>
        <v>-</v>
      </c>
      <c r="BC373" s="85" t="str">
        <f t="shared" ref="BC373" si="1118">IF(AX373="-",AX373,AX373+(BA373*24))</f>
        <v>-</v>
      </c>
      <c r="BD373" s="85" t="str">
        <f>'Consumer Hardware Pricing'!AL381</f>
        <v>-</v>
      </c>
      <c r="BE373" s="85" t="str">
        <f t="shared" ref="BE373" si="1119">IF(BD373="-",BD373,ROUNDUP((D373-BD373)/24,2))</f>
        <v>-</v>
      </c>
      <c r="BF373" s="85" t="str">
        <f>'Consumer Hardware Pricing'!AM381</f>
        <v>-</v>
      </c>
      <c r="BG373" s="85" t="str">
        <f t="shared" ref="BG373" si="1120">IF(BF373="-",BE373,BE373-BF373)</f>
        <v>-</v>
      </c>
      <c r="BH373" s="85" t="str">
        <f t="shared" ref="BH373" si="1121">IF(BF373="-",BF373,BF373*24)</f>
        <v>-</v>
      </c>
      <c r="BI373" s="85" t="str">
        <f t="shared" ref="BI373" si="1122">IF(BD373="-",BD373,BD373+(BG373*24))</f>
        <v>-</v>
      </c>
      <c r="BJ373" s="85" t="str">
        <f>'Consumer Hardware Pricing'!AP381</f>
        <v>-</v>
      </c>
      <c r="BK373" s="85" t="str">
        <f t="shared" ref="BK373" si="1123">IF(BJ373="-",BJ373,ROUNDUP((D373-BJ373)/24,2))</f>
        <v>-</v>
      </c>
      <c r="BL373" s="85" t="str">
        <f>'Consumer Hardware Pricing'!AQ381</f>
        <v>-</v>
      </c>
      <c r="BM373" s="85" t="str">
        <f t="shared" ref="BM373" si="1124">IF(BL373="-",BK373,BK373-BL373)</f>
        <v>-</v>
      </c>
      <c r="BN373" s="85" t="str">
        <f t="shared" ref="BN373" si="1125">IF(BL373="-",BL373,BL373*24)</f>
        <v>-</v>
      </c>
      <c r="BO373" s="85" t="str">
        <f t="shared" ref="BO373" si="1126">IF(BJ373="-",BJ373,BJ373+(BM373*24))</f>
        <v>-</v>
      </c>
      <c r="BP373" s="85" t="str">
        <f>'Consumer Hardware Pricing'!AT381</f>
        <v>-</v>
      </c>
      <c r="BQ373" s="85" t="str">
        <f t="shared" ref="BQ373" si="1127">IF(BP373="-",BP373,ROUNDUP((D373-BP373)/24,2))</f>
        <v>-</v>
      </c>
      <c r="BR373" s="85" t="str">
        <f>'Consumer Hardware Pricing'!AU381</f>
        <v>-</v>
      </c>
      <c r="BS373" s="85" t="str">
        <f t="shared" ref="BS373" si="1128">IF(BR373="-",BQ373,BQ373-BR373)</f>
        <v>-</v>
      </c>
      <c r="BT373" s="85" t="str">
        <f t="shared" ref="BT373" si="1129">IF(BR373="-",BR373,BR373*24)</f>
        <v>-</v>
      </c>
      <c r="BU373" s="85" t="str">
        <f t="shared" ref="BU373" si="1130">IF(BP373="-",BP373,BP373+(BS373*24))</f>
        <v>-</v>
      </c>
    </row>
    <row r="374" spans="1:73" ht="30.15" customHeight="1" x14ac:dyDescent="0.25">
      <c r="A374" s="87" t="s">
        <v>34</v>
      </c>
      <c r="B374" s="88" t="s">
        <v>1122</v>
      </c>
      <c r="C374" s="88" t="s">
        <v>1134</v>
      </c>
      <c r="D374" s="85">
        <f>'Consumer Hardware Pricing'!L382</f>
        <v>1440</v>
      </c>
      <c r="E374" s="85">
        <f>'Consumer Hardware Pricing'!M382</f>
        <v>1440</v>
      </c>
      <c r="F374" s="85">
        <f>'Consumer Hardware Pricing'!N382</f>
        <v>0</v>
      </c>
      <c r="G374" s="85">
        <f t="shared" si="910"/>
        <v>60</v>
      </c>
      <c r="H374" s="85" t="str">
        <f>'Consumer Hardware Pricing'!O382</f>
        <v>-</v>
      </c>
      <c r="I374" s="85">
        <f t="shared" ref="I374:I402" si="1131">IF(H374="-",G374,G374-H374)</f>
        <v>60</v>
      </c>
      <c r="J374" s="85" t="str">
        <f t="shared" ref="J374:J402" si="1132">IF(H374="-",H374,H374*24)</f>
        <v>-</v>
      </c>
      <c r="K374" s="85">
        <f t="shared" ref="K374:K402" si="1133">IF(F374="-",F374,I374*24)</f>
        <v>1440</v>
      </c>
      <c r="L374" s="85">
        <f>'Consumer Hardware Pricing'!Q382</f>
        <v>552</v>
      </c>
      <c r="M374" s="85">
        <f t="shared" si="911"/>
        <v>23</v>
      </c>
      <c r="N374" s="85">
        <f t="shared" ref="N374:N402" si="1134">IF(L374="-",L374,G374-M374)</f>
        <v>37</v>
      </c>
      <c r="O374" s="85">
        <f t="shared" ref="O374:O402" si="1135">IF(L374="-",L374,M374*24)</f>
        <v>552</v>
      </c>
      <c r="P374" s="85">
        <f t="shared" ref="P374:P402" si="1136">IF(L374="-",L374,N374*24)</f>
        <v>888</v>
      </c>
      <c r="Q374" s="85">
        <f>'Consumer Hardware Pricing'!S382</f>
        <v>0</v>
      </c>
      <c r="R374" s="85">
        <f t="shared" ref="R374:R402" si="1137">G374</f>
        <v>60</v>
      </c>
      <c r="S374" s="85" t="str">
        <f>'Consumer Hardware Pricing'!T382</f>
        <v>-</v>
      </c>
      <c r="T374" s="129">
        <f t="shared" ref="T374:T402" si="1138">IF(S374="-",R374,R374-S374)</f>
        <v>60</v>
      </c>
      <c r="U374" s="129" t="str">
        <f t="shared" ref="U374:U402" si="1139">IF(S374="-",S374,S374*24)</f>
        <v>-</v>
      </c>
      <c r="V374" s="85">
        <f t="shared" ref="V374:V402" si="1140">IF(Q374="-",Q374,T374*24)</f>
        <v>1440</v>
      </c>
      <c r="W374" s="129">
        <f>'Consumer Hardware Pricing'!V382</f>
        <v>552</v>
      </c>
      <c r="X374" s="129">
        <f t="shared" si="912"/>
        <v>23</v>
      </c>
      <c r="Y374" s="129">
        <f t="shared" ref="Y374:Y402" si="1141">IF(W374="-",W374,R374-X374)</f>
        <v>37</v>
      </c>
      <c r="Z374" s="129">
        <f t="shared" ref="Z374:Z402" si="1142">IF(W374="-",W374,X374*24)</f>
        <v>552</v>
      </c>
      <c r="AA374" s="85">
        <f t="shared" ref="AA374:AA402" si="1143">IF(W374="-",W374,Y374*24)</f>
        <v>888</v>
      </c>
      <c r="AB374" s="85">
        <f>'Consumer Hardware Pricing'!X382</f>
        <v>0</v>
      </c>
      <c r="AC374" s="85">
        <f t="shared" si="950"/>
        <v>60</v>
      </c>
      <c r="AD374" s="85">
        <f>'Consumer Hardware Pricing'!Y382</f>
        <v>2</v>
      </c>
      <c r="AE374" s="85">
        <f t="shared" ref="AE374:AE402" si="1144">IF(AD374="-",AC374,AC374-AD374)</f>
        <v>58</v>
      </c>
      <c r="AF374" s="85">
        <f t="shared" ref="AF374:AF402" si="1145">IF(AD374="-",AD374,AD374*24)</f>
        <v>48</v>
      </c>
      <c r="AG374" s="85">
        <f t="shared" ref="AG374:AG402" si="1146">IF(AB374="-",AB374,AE374*24)</f>
        <v>1392</v>
      </c>
      <c r="AH374" s="85">
        <f>'Consumer Hardware Pricing'!AA382</f>
        <v>552</v>
      </c>
      <c r="AI374" s="85">
        <f t="shared" si="951"/>
        <v>25</v>
      </c>
      <c r="AJ374" s="85">
        <f t="shared" ref="AJ374:AJ402" si="1147">IF(AH374="-",AH374,AC374-AI374)</f>
        <v>35</v>
      </c>
      <c r="AK374" s="85">
        <f t="shared" ref="AK374:AK402" si="1148">IF(AH374="-",AH374,AI374*24)</f>
        <v>600</v>
      </c>
      <c r="AL374" s="85">
        <f t="shared" ref="AL374:AL402" si="1149">IF(AH374="-",AH374,AJ374*24)</f>
        <v>840</v>
      </c>
      <c r="AM374" s="85">
        <f>'Consumer Hardware Pricing'!AC382</f>
        <v>0</v>
      </c>
      <c r="AN374" s="85">
        <f t="shared" si="952"/>
        <v>60</v>
      </c>
      <c r="AO374" s="85">
        <f>'Consumer Hardware Pricing'!AD382</f>
        <v>2</v>
      </c>
      <c r="AP374" s="85">
        <f t="shared" ref="AP374:AP402" si="1150">IF(AO374="-",AN374,AN374-AO374)</f>
        <v>58</v>
      </c>
      <c r="AQ374" s="85">
        <f t="shared" ref="AQ374:AQ402" si="1151">IF(AO374="-",AO374,AO374*24)</f>
        <v>48</v>
      </c>
      <c r="AR374" s="85">
        <f t="shared" ref="AR374:AR402" si="1152">IF(AM374="-",AM374,AP374*24)</f>
        <v>1392</v>
      </c>
      <c r="AS374" s="85">
        <f>'Consumer Hardware Pricing'!AF382</f>
        <v>552</v>
      </c>
      <c r="AT374" s="85">
        <f t="shared" si="953"/>
        <v>25</v>
      </c>
      <c r="AU374" s="85">
        <f t="shared" ref="AU374:AU402" si="1153">IF(AS374="-",AS374,AN374-AT374)</f>
        <v>35</v>
      </c>
      <c r="AV374" s="85">
        <f t="shared" ref="AV374:AV402" si="1154">IF(AS374="-",AS374,AT374*24)</f>
        <v>600</v>
      </c>
      <c r="AW374" s="85">
        <f t="shared" ref="AW374:AW402" si="1155">IF(AS374="-",AS374,AU374*24)</f>
        <v>840</v>
      </c>
      <c r="AX374" s="85" t="str">
        <f>'Consumer Hardware Pricing'!AH382</f>
        <v>-</v>
      </c>
      <c r="AY374" s="85" t="str">
        <f t="shared" si="954"/>
        <v>-</v>
      </c>
      <c r="AZ374" s="85" t="str">
        <f>'Consumer Hardware Pricing'!AI382</f>
        <v>-</v>
      </c>
      <c r="BA374" s="85" t="str">
        <f t="shared" ref="BA374:BA402" si="1156">IF(AZ374="-",AY374,AY374-AZ374)</f>
        <v>-</v>
      </c>
      <c r="BB374" s="85" t="str">
        <f t="shared" ref="BB374:BB402" si="1157">IF(AZ374="-",AZ374,AZ374*24)</f>
        <v>-</v>
      </c>
      <c r="BC374" s="85" t="str">
        <f t="shared" ref="BC374:BC402" si="1158">IF(AX374="-",AX374,AX374+(BA374*24))</f>
        <v>-</v>
      </c>
      <c r="BD374" s="85" t="str">
        <f>'Consumer Hardware Pricing'!AL382</f>
        <v>-</v>
      </c>
      <c r="BE374" s="85" t="str">
        <f t="shared" si="955"/>
        <v>-</v>
      </c>
      <c r="BF374" s="85" t="str">
        <f>'Consumer Hardware Pricing'!AM382</f>
        <v>-</v>
      </c>
      <c r="BG374" s="85" t="str">
        <f t="shared" ref="BG374:BG402" si="1159">IF(BF374="-",BE374,BE374-BF374)</f>
        <v>-</v>
      </c>
      <c r="BH374" s="85" t="str">
        <f t="shared" ref="BH374:BH402" si="1160">IF(BF374="-",BF374,BF374*24)</f>
        <v>-</v>
      </c>
      <c r="BI374" s="85" t="str">
        <f t="shared" ref="BI374:BI402" si="1161">IF(BD374="-",BD374,BD374+(BG374*24))</f>
        <v>-</v>
      </c>
      <c r="BJ374" s="85" t="str">
        <f>'Consumer Hardware Pricing'!AP382</f>
        <v>-</v>
      </c>
      <c r="BK374" s="85" t="str">
        <f t="shared" si="956"/>
        <v>-</v>
      </c>
      <c r="BL374" s="85" t="str">
        <f>'Consumer Hardware Pricing'!AQ382</f>
        <v>-</v>
      </c>
      <c r="BM374" s="85" t="str">
        <f t="shared" ref="BM374:BM402" si="1162">IF(BL374="-",BK374,BK374-BL374)</f>
        <v>-</v>
      </c>
      <c r="BN374" s="85" t="str">
        <f t="shared" ref="BN374:BN402" si="1163">IF(BL374="-",BL374,BL374*24)</f>
        <v>-</v>
      </c>
      <c r="BO374" s="85" t="str">
        <f t="shared" ref="BO374:BO402" si="1164">IF(BJ374="-",BJ374,BJ374+(BM374*24))</f>
        <v>-</v>
      </c>
      <c r="BP374" s="85" t="str">
        <f>'Consumer Hardware Pricing'!AT382</f>
        <v>-</v>
      </c>
      <c r="BQ374" s="85" t="str">
        <f t="shared" si="957"/>
        <v>-</v>
      </c>
      <c r="BR374" s="85" t="str">
        <f>'Consumer Hardware Pricing'!AU382</f>
        <v>-</v>
      </c>
      <c r="BS374" s="85" t="str">
        <f t="shared" ref="BS374:BS402" si="1165">IF(BR374="-",BQ374,BQ374-BR374)</f>
        <v>-</v>
      </c>
      <c r="BT374" s="85" t="str">
        <f t="shared" ref="BT374:BT402" si="1166">IF(BR374="-",BR374,BR374*24)</f>
        <v>-</v>
      </c>
      <c r="BU374" s="85" t="str">
        <f t="shared" ref="BU374:BU402" si="1167">IF(BP374="-",BP374,BP374+(BS374*24))</f>
        <v>-</v>
      </c>
    </row>
    <row r="375" spans="1:73" ht="30.15" customHeight="1" x14ac:dyDescent="0.25">
      <c r="A375" s="87" t="s">
        <v>34</v>
      </c>
      <c r="B375" s="88" t="s">
        <v>1123</v>
      </c>
      <c r="C375" s="88" t="s">
        <v>1134</v>
      </c>
      <c r="D375" s="85">
        <f>'Consumer Hardware Pricing'!L383</f>
        <v>1440</v>
      </c>
      <c r="E375" s="85">
        <f>'Consumer Hardware Pricing'!M383</f>
        <v>1440</v>
      </c>
      <c r="F375" s="85">
        <f>'Consumer Hardware Pricing'!N383</f>
        <v>0</v>
      </c>
      <c r="G375" s="85">
        <f t="shared" si="910"/>
        <v>60</v>
      </c>
      <c r="H375" s="85" t="str">
        <f>'Consumer Hardware Pricing'!O383</f>
        <v>-</v>
      </c>
      <c r="I375" s="85">
        <f t="shared" si="1131"/>
        <v>60</v>
      </c>
      <c r="J375" s="85" t="str">
        <f t="shared" si="1132"/>
        <v>-</v>
      </c>
      <c r="K375" s="85">
        <f t="shared" si="1133"/>
        <v>1440</v>
      </c>
      <c r="L375" s="85">
        <f>'Consumer Hardware Pricing'!Q383</f>
        <v>552</v>
      </c>
      <c r="M375" s="85">
        <f t="shared" si="911"/>
        <v>23</v>
      </c>
      <c r="N375" s="85">
        <f t="shared" si="1134"/>
        <v>37</v>
      </c>
      <c r="O375" s="85">
        <f t="shared" si="1135"/>
        <v>552</v>
      </c>
      <c r="P375" s="85">
        <f t="shared" si="1136"/>
        <v>888</v>
      </c>
      <c r="Q375" s="85">
        <f>'Consumer Hardware Pricing'!S383</f>
        <v>0</v>
      </c>
      <c r="R375" s="85">
        <f t="shared" si="1137"/>
        <v>60</v>
      </c>
      <c r="S375" s="85" t="str">
        <f>'Consumer Hardware Pricing'!T383</f>
        <v>-</v>
      </c>
      <c r="T375" s="129">
        <f t="shared" si="1138"/>
        <v>60</v>
      </c>
      <c r="U375" s="129" t="str">
        <f t="shared" si="1139"/>
        <v>-</v>
      </c>
      <c r="V375" s="85">
        <f t="shared" si="1140"/>
        <v>1440</v>
      </c>
      <c r="W375" s="129">
        <f>'Consumer Hardware Pricing'!V383</f>
        <v>552</v>
      </c>
      <c r="X375" s="129">
        <f t="shared" si="912"/>
        <v>23</v>
      </c>
      <c r="Y375" s="129">
        <f t="shared" si="1141"/>
        <v>37</v>
      </c>
      <c r="Z375" s="129">
        <f t="shared" si="1142"/>
        <v>552</v>
      </c>
      <c r="AA375" s="85">
        <f t="shared" si="1143"/>
        <v>888</v>
      </c>
      <c r="AB375" s="85">
        <f>'Consumer Hardware Pricing'!X383</f>
        <v>0</v>
      </c>
      <c r="AC375" s="85">
        <f t="shared" si="950"/>
        <v>60</v>
      </c>
      <c r="AD375" s="85">
        <f>'Consumer Hardware Pricing'!Y383</f>
        <v>2</v>
      </c>
      <c r="AE375" s="85">
        <f t="shared" si="1144"/>
        <v>58</v>
      </c>
      <c r="AF375" s="85">
        <f t="shared" si="1145"/>
        <v>48</v>
      </c>
      <c r="AG375" s="85">
        <f t="shared" si="1146"/>
        <v>1392</v>
      </c>
      <c r="AH375" s="85">
        <f>'Consumer Hardware Pricing'!AA383</f>
        <v>552</v>
      </c>
      <c r="AI375" s="85">
        <f t="shared" si="951"/>
        <v>25</v>
      </c>
      <c r="AJ375" s="85">
        <f t="shared" si="1147"/>
        <v>35</v>
      </c>
      <c r="AK375" s="85">
        <f t="shared" si="1148"/>
        <v>600</v>
      </c>
      <c r="AL375" s="85">
        <f t="shared" si="1149"/>
        <v>840</v>
      </c>
      <c r="AM375" s="85">
        <f>'Consumer Hardware Pricing'!AC383</f>
        <v>0</v>
      </c>
      <c r="AN375" s="85">
        <f t="shared" si="952"/>
        <v>60</v>
      </c>
      <c r="AO375" s="85">
        <f>'Consumer Hardware Pricing'!AD383</f>
        <v>2</v>
      </c>
      <c r="AP375" s="85">
        <f t="shared" si="1150"/>
        <v>58</v>
      </c>
      <c r="AQ375" s="85">
        <f t="shared" si="1151"/>
        <v>48</v>
      </c>
      <c r="AR375" s="85">
        <f t="shared" si="1152"/>
        <v>1392</v>
      </c>
      <c r="AS375" s="85">
        <f>'Consumer Hardware Pricing'!AF383</f>
        <v>552</v>
      </c>
      <c r="AT375" s="85">
        <f t="shared" si="953"/>
        <v>25</v>
      </c>
      <c r="AU375" s="85">
        <f t="shared" si="1153"/>
        <v>35</v>
      </c>
      <c r="AV375" s="85">
        <f t="shared" si="1154"/>
        <v>600</v>
      </c>
      <c r="AW375" s="85">
        <f t="shared" si="1155"/>
        <v>840</v>
      </c>
      <c r="AX375" s="85" t="str">
        <f>'Consumer Hardware Pricing'!AH383</f>
        <v>-</v>
      </c>
      <c r="AY375" s="85" t="str">
        <f t="shared" si="954"/>
        <v>-</v>
      </c>
      <c r="AZ375" s="85" t="str">
        <f>'Consumer Hardware Pricing'!AI383</f>
        <v>-</v>
      </c>
      <c r="BA375" s="85" t="str">
        <f t="shared" si="1156"/>
        <v>-</v>
      </c>
      <c r="BB375" s="85" t="str">
        <f t="shared" si="1157"/>
        <v>-</v>
      </c>
      <c r="BC375" s="85" t="str">
        <f t="shared" si="1158"/>
        <v>-</v>
      </c>
      <c r="BD375" s="85" t="str">
        <f>'Consumer Hardware Pricing'!AL383</f>
        <v>-</v>
      </c>
      <c r="BE375" s="85" t="str">
        <f t="shared" si="955"/>
        <v>-</v>
      </c>
      <c r="BF375" s="85" t="str">
        <f>'Consumer Hardware Pricing'!AM383</f>
        <v>-</v>
      </c>
      <c r="BG375" s="85" t="str">
        <f t="shared" si="1159"/>
        <v>-</v>
      </c>
      <c r="BH375" s="85" t="str">
        <f t="shared" si="1160"/>
        <v>-</v>
      </c>
      <c r="BI375" s="85" t="str">
        <f t="shared" si="1161"/>
        <v>-</v>
      </c>
      <c r="BJ375" s="85" t="str">
        <f>'Consumer Hardware Pricing'!AP383</f>
        <v>-</v>
      </c>
      <c r="BK375" s="85" t="str">
        <f t="shared" si="956"/>
        <v>-</v>
      </c>
      <c r="BL375" s="85" t="str">
        <f>'Consumer Hardware Pricing'!AQ383</f>
        <v>-</v>
      </c>
      <c r="BM375" s="85" t="str">
        <f t="shared" si="1162"/>
        <v>-</v>
      </c>
      <c r="BN375" s="85" t="str">
        <f t="shared" si="1163"/>
        <v>-</v>
      </c>
      <c r="BO375" s="85" t="str">
        <f t="shared" si="1164"/>
        <v>-</v>
      </c>
      <c r="BP375" s="85" t="str">
        <f>'Consumer Hardware Pricing'!AT383</f>
        <v>-</v>
      </c>
      <c r="BQ375" s="85" t="str">
        <f t="shared" si="957"/>
        <v>-</v>
      </c>
      <c r="BR375" s="85" t="str">
        <f>'Consumer Hardware Pricing'!AU383</f>
        <v>-</v>
      </c>
      <c r="BS375" s="85" t="str">
        <f t="shared" si="1165"/>
        <v>-</v>
      </c>
      <c r="BT375" s="85" t="str">
        <f t="shared" si="1166"/>
        <v>-</v>
      </c>
      <c r="BU375" s="85" t="str">
        <f t="shared" si="1167"/>
        <v>-</v>
      </c>
    </row>
    <row r="376" spans="1:73" ht="30.15" customHeight="1" x14ac:dyDescent="0.25">
      <c r="A376" s="87" t="s">
        <v>34</v>
      </c>
      <c r="B376" s="88" t="s">
        <v>1124</v>
      </c>
      <c r="C376" s="88" t="s">
        <v>1134</v>
      </c>
      <c r="D376" s="85">
        <f>'Consumer Hardware Pricing'!L384</f>
        <v>1440</v>
      </c>
      <c r="E376" s="85">
        <f>'Consumer Hardware Pricing'!M384</f>
        <v>1440</v>
      </c>
      <c r="F376" s="85">
        <f>'Consumer Hardware Pricing'!N384</f>
        <v>0</v>
      </c>
      <c r="G376" s="85">
        <f t="shared" si="910"/>
        <v>60</v>
      </c>
      <c r="H376" s="85" t="str">
        <f>'Consumer Hardware Pricing'!O384</f>
        <v>-</v>
      </c>
      <c r="I376" s="85">
        <f t="shared" si="1131"/>
        <v>60</v>
      </c>
      <c r="J376" s="85" t="str">
        <f t="shared" si="1132"/>
        <v>-</v>
      </c>
      <c r="K376" s="85">
        <f t="shared" si="1133"/>
        <v>1440</v>
      </c>
      <c r="L376" s="85">
        <f>'Consumer Hardware Pricing'!Q384</f>
        <v>552</v>
      </c>
      <c r="M376" s="85">
        <f t="shared" si="911"/>
        <v>23</v>
      </c>
      <c r="N376" s="85">
        <f t="shared" si="1134"/>
        <v>37</v>
      </c>
      <c r="O376" s="85">
        <f t="shared" si="1135"/>
        <v>552</v>
      </c>
      <c r="P376" s="85">
        <f t="shared" si="1136"/>
        <v>888</v>
      </c>
      <c r="Q376" s="85">
        <f>'Consumer Hardware Pricing'!S384</f>
        <v>0</v>
      </c>
      <c r="R376" s="85">
        <f t="shared" si="1137"/>
        <v>60</v>
      </c>
      <c r="S376" s="85" t="str">
        <f>'Consumer Hardware Pricing'!T384</f>
        <v>-</v>
      </c>
      <c r="T376" s="129">
        <f t="shared" si="1138"/>
        <v>60</v>
      </c>
      <c r="U376" s="129" t="str">
        <f t="shared" si="1139"/>
        <v>-</v>
      </c>
      <c r="V376" s="85">
        <f t="shared" si="1140"/>
        <v>1440</v>
      </c>
      <c r="W376" s="129">
        <f>'Consumer Hardware Pricing'!V384</f>
        <v>552</v>
      </c>
      <c r="X376" s="129">
        <f t="shared" si="912"/>
        <v>23</v>
      </c>
      <c r="Y376" s="129">
        <f t="shared" si="1141"/>
        <v>37</v>
      </c>
      <c r="Z376" s="129">
        <f t="shared" si="1142"/>
        <v>552</v>
      </c>
      <c r="AA376" s="85">
        <f t="shared" si="1143"/>
        <v>888</v>
      </c>
      <c r="AB376" s="85">
        <f>'Consumer Hardware Pricing'!X384</f>
        <v>0</v>
      </c>
      <c r="AC376" s="85">
        <f t="shared" si="950"/>
        <v>60</v>
      </c>
      <c r="AD376" s="85">
        <f>'Consumer Hardware Pricing'!Y384</f>
        <v>2</v>
      </c>
      <c r="AE376" s="85">
        <f t="shared" si="1144"/>
        <v>58</v>
      </c>
      <c r="AF376" s="85">
        <f t="shared" si="1145"/>
        <v>48</v>
      </c>
      <c r="AG376" s="85">
        <f t="shared" si="1146"/>
        <v>1392</v>
      </c>
      <c r="AH376" s="85">
        <f>'Consumer Hardware Pricing'!AA384</f>
        <v>552</v>
      </c>
      <c r="AI376" s="85">
        <f t="shared" si="951"/>
        <v>25</v>
      </c>
      <c r="AJ376" s="85">
        <f t="shared" si="1147"/>
        <v>35</v>
      </c>
      <c r="AK376" s="85">
        <f t="shared" si="1148"/>
        <v>600</v>
      </c>
      <c r="AL376" s="85">
        <f t="shared" si="1149"/>
        <v>840</v>
      </c>
      <c r="AM376" s="85">
        <f>'Consumer Hardware Pricing'!AC384</f>
        <v>0</v>
      </c>
      <c r="AN376" s="85">
        <f t="shared" si="952"/>
        <v>60</v>
      </c>
      <c r="AO376" s="85">
        <f>'Consumer Hardware Pricing'!AD384</f>
        <v>2</v>
      </c>
      <c r="AP376" s="85">
        <f t="shared" si="1150"/>
        <v>58</v>
      </c>
      <c r="AQ376" s="85">
        <f t="shared" si="1151"/>
        <v>48</v>
      </c>
      <c r="AR376" s="85">
        <f t="shared" si="1152"/>
        <v>1392</v>
      </c>
      <c r="AS376" s="85">
        <f>'Consumer Hardware Pricing'!AF384</f>
        <v>552</v>
      </c>
      <c r="AT376" s="85">
        <f t="shared" si="953"/>
        <v>25</v>
      </c>
      <c r="AU376" s="85">
        <f t="shared" si="1153"/>
        <v>35</v>
      </c>
      <c r="AV376" s="85">
        <f t="shared" si="1154"/>
        <v>600</v>
      </c>
      <c r="AW376" s="85">
        <f t="shared" si="1155"/>
        <v>840</v>
      </c>
      <c r="AX376" s="85" t="str">
        <f>'Consumer Hardware Pricing'!AH384</f>
        <v>-</v>
      </c>
      <c r="AY376" s="85" t="str">
        <f t="shared" si="954"/>
        <v>-</v>
      </c>
      <c r="AZ376" s="85" t="str">
        <f>'Consumer Hardware Pricing'!AI384</f>
        <v>-</v>
      </c>
      <c r="BA376" s="85" t="str">
        <f t="shared" si="1156"/>
        <v>-</v>
      </c>
      <c r="BB376" s="85" t="str">
        <f t="shared" si="1157"/>
        <v>-</v>
      </c>
      <c r="BC376" s="85" t="str">
        <f t="shared" si="1158"/>
        <v>-</v>
      </c>
      <c r="BD376" s="85" t="str">
        <f>'Consumer Hardware Pricing'!AL384</f>
        <v>-</v>
      </c>
      <c r="BE376" s="85" t="str">
        <f t="shared" si="955"/>
        <v>-</v>
      </c>
      <c r="BF376" s="85" t="str">
        <f>'Consumer Hardware Pricing'!AM384</f>
        <v>-</v>
      </c>
      <c r="BG376" s="85" t="str">
        <f t="shared" si="1159"/>
        <v>-</v>
      </c>
      <c r="BH376" s="85" t="str">
        <f t="shared" si="1160"/>
        <v>-</v>
      </c>
      <c r="BI376" s="85" t="str">
        <f t="shared" si="1161"/>
        <v>-</v>
      </c>
      <c r="BJ376" s="85" t="str">
        <f>'Consumer Hardware Pricing'!AP384</f>
        <v>-</v>
      </c>
      <c r="BK376" s="85" t="str">
        <f t="shared" si="956"/>
        <v>-</v>
      </c>
      <c r="BL376" s="85" t="str">
        <f>'Consumer Hardware Pricing'!AQ384</f>
        <v>-</v>
      </c>
      <c r="BM376" s="85" t="str">
        <f t="shared" si="1162"/>
        <v>-</v>
      </c>
      <c r="BN376" s="85" t="str">
        <f t="shared" si="1163"/>
        <v>-</v>
      </c>
      <c r="BO376" s="85" t="str">
        <f t="shared" si="1164"/>
        <v>-</v>
      </c>
      <c r="BP376" s="85" t="str">
        <f>'Consumer Hardware Pricing'!AT384</f>
        <v>-</v>
      </c>
      <c r="BQ376" s="85" t="str">
        <f t="shared" si="957"/>
        <v>-</v>
      </c>
      <c r="BR376" s="85" t="str">
        <f>'Consumer Hardware Pricing'!AU384</f>
        <v>-</v>
      </c>
      <c r="BS376" s="85" t="str">
        <f t="shared" si="1165"/>
        <v>-</v>
      </c>
      <c r="BT376" s="85" t="str">
        <f t="shared" si="1166"/>
        <v>-</v>
      </c>
      <c r="BU376" s="85" t="str">
        <f t="shared" si="1167"/>
        <v>-</v>
      </c>
    </row>
    <row r="377" spans="1:73" ht="30.15" customHeight="1" x14ac:dyDescent="0.25">
      <c r="A377" s="87" t="s">
        <v>34</v>
      </c>
      <c r="B377" s="88" t="s">
        <v>1125</v>
      </c>
      <c r="C377" s="88" t="s">
        <v>1134</v>
      </c>
      <c r="D377" s="85">
        <f>'Consumer Hardware Pricing'!L385</f>
        <v>1440</v>
      </c>
      <c r="E377" s="85">
        <f>'Consumer Hardware Pricing'!M385</f>
        <v>1440</v>
      </c>
      <c r="F377" s="85">
        <f>'Consumer Hardware Pricing'!N385</f>
        <v>0</v>
      </c>
      <c r="G377" s="85">
        <f t="shared" si="910"/>
        <v>60</v>
      </c>
      <c r="H377" s="85" t="str">
        <f>'Consumer Hardware Pricing'!O385</f>
        <v>-</v>
      </c>
      <c r="I377" s="85">
        <f t="shared" si="1131"/>
        <v>60</v>
      </c>
      <c r="J377" s="85" t="str">
        <f t="shared" si="1132"/>
        <v>-</v>
      </c>
      <c r="K377" s="85">
        <f t="shared" si="1133"/>
        <v>1440</v>
      </c>
      <c r="L377" s="85">
        <f>'Consumer Hardware Pricing'!Q385</f>
        <v>552</v>
      </c>
      <c r="M377" s="85">
        <f t="shared" si="911"/>
        <v>23</v>
      </c>
      <c r="N377" s="85">
        <f t="shared" si="1134"/>
        <v>37</v>
      </c>
      <c r="O377" s="85">
        <f t="shared" si="1135"/>
        <v>552</v>
      </c>
      <c r="P377" s="85">
        <f t="shared" si="1136"/>
        <v>888</v>
      </c>
      <c r="Q377" s="85">
        <f>'Consumer Hardware Pricing'!S385</f>
        <v>0</v>
      </c>
      <c r="R377" s="85">
        <f t="shared" si="1137"/>
        <v>60</v>
      </c>
      <c r="S377" s="85" t="str">
        <f>'Consumer Hardware Pricing'!T385</f>
        <v>-</v>
      </c>
      <c r="T377" s="129">
        <f t="shared" si="1138"/>
        <v>60</v>
      </c>
      <c r="U377" s="129" t="str">
        <f t="shared" si="1139"/>
        <v>-</v>
      </c>
      <c r="V377" s="85">
        <f t="shared" si="1140"/>
        <v>1440</v>
      </c>
      <c r="W377" s="129">
        <f>'Consumer Hardware Pricing'!V385</f>
        <v>552</v>
      </c>
      <c r="X377" s="129">
        <f t="shared" si="912"/>
        <v>23</v>
      </c>
      <c r="Y377" s="129">
        <f t="shared" si="1141"/>
        <v>37</v>
      </c>
      <c r="Z377" s="129">
        <f t="shared" si="1142"/>
        <v>552</v>
      </c>
      <c r="AA377" s="85">
        <f t="shared" si="1143"/>
        <v>888</v>
      </c>
      <c r="AB377" s="85">
        <f>'Consumer Hardware Pricing'!X385</f>
        <v>0</v>
      </c>
      <c r="AC377" s="85">
        <f t="shared" si="950"/>
        <v>60</v>
      </c>
      <c r="AD377" s="85">
        <f>'Consumer Hardware Pricing'!Y385</f>
        <v>2</v>
      </c>
      <c r="AE377" s="85">
        <f t="shared" si="1144"/>
        <v>58</v>
      </c>
      <c r="AF377" s="85">
        <f t="shared" si="1145"/>
        <v>48</v>
      </c>
      <c r="AG377" s="85">
        <f t="shared" si="1146"/>
        <v>1392</v>
      </c>
      <c r="AH377" s="85">
        <f>'Consumer Hardware Pricing'!AA385</f>
        <v>552</v>
      </c>
      <c r="AI377" s="85">
        <f t="shared" si="951"/>
        <v>25</v>
      </c>
      <c r="AJ377" s="85">
        <f t="shared" si="1147"/>
        <v>35</v>
      </c>
      <c r="AK377" s="85">
        <f t="shared" si="1148"/>
        <v>600</v>
      </c>
      <c r="AL377" s="85">
        <f t="shared" si="1149"/>
        <v>840</v>
      </c>
      <c r="AM377" s="85">
        <f>'Consumer Hardware Pricing'!AC385</f>
        <v>0</v>
      </c>
      <c r="AN377" s="85">
        <f t="shared" si="952"/>
        <v>60</v>
      </c>
      <c r="AO377" s="85">
        <f>'Consumer Hardware Pricing'!AD385</f>
        <v>2</v>
      </c>
      <c r="AP377" s="85">
        <f t="shared" si="1150"/>
        <v>58</v>
      </c>
      <c r="AQ377" s="85">
        <f t="shared" si="1151"/>
        <v>48</v>
      </c>
      <c r="AR377" s="85">
        <f t="shared" si="1152"/>
        <v>1392</v>
      </c>
      <c r="AS377" s="85">
        <f>'Consumer Hardware Pricing'!AF385</f>
        <v>552</v>
      </c>
      <c r="AT377" s="85">
        <f t="shared" si="953"/>
        <v>25</v>
      </c>
      <c r="AU377" s="85">
        <f t="shared" si="1153"/>
        <v>35</v>
      </c>
      <c r="AV377" s="85">
        <f t="shared" si="1154"/>
        <v>600</v>
      </c>
      <c r="AW377" s="85">
        <f t="shared" si="1155"/>
        <v>840</v>
      </c>
      <c r="AX377" s="85" t="str">
        <f>'Consumer Hardware Pricing'!AH385</f>
        <v>-</v>
      </c>
      <c r="AY377" s="85" t="str">
        <f t="shared" si="954"/>
        <v>-</v>
      </c>
      <c r="AZ377" s="85" t="str">
        <f>'Consumer Hardware Pricing'!AI385</f>
        <v>-</v>
      </c>
      <c r="BA377" s="85" t="str">
        <f t="shared" si="1156"/>
        <v>-</v>
      </c>
      <c r="BB377" s="85" t="str">
        <f t="shared" si="1157"/>
        <v>-</v>
      </c>
      <c r="BC377" s="85" t="str">
        <f t="shared" si="1158"/>
        <v>-</v>
      </c>
      <c r="BD377" s="85" t="str">
        <f>'Consumer Hardware Pricing'!AL385</f>
        <v>-</v>
      </c>
      <c r="BE377" s="85" t="str">
        <f t="shared" si="955"/>
        <v>-</v>
      </c>
      <c r="BF377" s="85" t="str">
        <f>'Consumer Hardware Pricing'!AM385</f>
        <v>-</v>
      </c>
      <c r="BG377" s="85" t="str">
        <f t="shared" si="1159"/>
        <v>-</v>
      </c>
      <c r="BH377" s="85" t="str">
        <f t="shared" si="1160"/>
        <v>-</v>
      </c>
      <c r="BI377" s="85" t="str">
        <f t="shared" si="1161"/>
        <v>-</v>
      </c>
      <c r="BJ377" s="85" t="str">
        <f>'Consumer Hardware Pricing'!AP385</f>
        <v>-</v>
      </c>
      <c r="BK377" s="85" t="str">
        <f t="shared" si="956"/>
        <v>-</v>
      </c>
      <c r="BL377" s="85" t="str">
        <f>'Consumer Hardware Pricing'!AQ385</f>
        <v>-</v>
      </c>
      <c r="BM377" s="85" t="str">
        <f t="shared" si="1162"/>
        <v>-</v>
      </c>
      <c r="BN377" s="85" t="str">
        <f t="shared" si="1163"/>
        <v>-</v>
      </c>
      <c r="BO377" s="85" t="str">
        <f t="shared" si="1164"/>
        <v>-</v>
      </c>
      <c r="BP377" s="85" t="str">
        <f>'Consumer Hardware Pricing'!AT385</f>
        <v>-</v>
      </c>
      <c r="BQ377" s="85" t="str">
        <f t="shared" si="957"/>
        <v>-</v>
      </c>
      <c r="BR377" s="85" t="str">
        <f>'Consumer Hardware Pricing'!AU385</f>
        <v>-</v>
      </c>
      <c r="BS377" s="85" t="str">
        <f t="shared" si="1165"/>
        <v>-</v>
      </c>
      <c r="BT377" s="85" t="str">
        <f t="shared" si="1166"/>
        <v>-</v>
      </c>
      <c r="BU377" s="85" t="str">
        <f t="shared" si="1167"/>
        <v>-</v>
      </c>
    </row>
    <row r="378" spans="1:73" ht="30.15" customHeight="1" x14ac:dyDescent="0.25">
      <c r="A378" s="87" t="s">
        <v>34</v>
      </c>
      <c r="B378" s="88" t="s">
        <v>1126</v>
      </c>
      <c r="C378" s="88" t="s">
        <v>1135</v>
      </c>
      <c r="D378" s="85">
        <f>'Consumer Hardware Pricing'!L386</f>
        <v>1584</v>
      </c>
      <c r="E378" s="85">
        <f>'Consumer Hardware Pricing'!M386</f>
        <v>1584</v>
      </c>
      <c r="F378" s="85">
        <f>'Consumer Hardware Pricing'!N386</f>
        <v>0</v>
      </c>
      <c r="G378" s="85">
        <f t="shared" si="910"/>
        <v>66</v>
      </c>
      <c r="H378" s="85" t="str">
        <f>'Consumer Hardware Pricing'!O386</f>
        <v>-</v>
      </c>
      <c r="I378" s="85">
        <f t="shared" si="1131"/>
        <v>66</v>
      </c>
      <c r="J378" s="85" t="str">
        <f t="shared" si="1132"/>
        <v>-</v>
      </c>
      <c r="K378" s="85">
        <f t="shared" si="1133"/>
        <v>1584</v>
      </c>
      <c r="L378" s="85">
        <f>'Consumer Hardware Pricing'!Q386</f>
        <v>576</v>
      </c>
      <c r="M378" s="85">
        <f t="shared" si="911"/>
        <v>24</v>
      </c>
      <c r="N378" s="85">
        <f t="shared" si="1134"/>
        <v>42</v>
      </c>
      <c r="O378" s="85">
        <f t="shared" si="1135"/>
        <v>576</v>
      </c>
      <c r="P378" s="85">
        <f t="shared" si="1136"/>
        <v>1008</v>
      </c>
      <c r="Q378" s="85">
        <f>'Consumer Hardware Pricing'!S386</f>
        <v>0</v>
      </c>
      <c r="R378" s="85">
        <f t="shared" si="1137"/>
        <v>66</v>
      </c>
      <c r="S378" s="85" t="str">
        <f>'Consumer Hardware Pricing'!T386</f>
        <v>-</v>
      </c>
      <c r="T378" s="129">
        <f t="shared" si="1138"/>
        <v>66</v>
      </c>
      <c r="U378" s="129" t="str">
        <f t="shared" si="1139"/>
        <v>-</v>
      </c>
      <c r="V378" s="85">
        <f t="shared" si="1140"/>
        <v>1584</v>
      </c>
      <c r="W378" s="129">
        <f>'Consumer Hardware Pricing'!V386</f>
        <v>576</v>
      </c>
      <c r="X378" s="129">
        <f t="shared" si="912"/>
        <v>24</v>
      </c>
      <c r="Y378" s="129">
        <f t="shared" si="1141"/>
        <v>42</v>
      </c>
      <c r="Z378" s="129">
        <f t="shared" si="1142"/>
        <v>576</v>
      </c>
      <c r="AA378" s="85">
        <f t="shared" si="1143"/>
        <v>1008</v>
      </c>
      <c r="AB378" s="85">
        <f>'Consumer Hardware Pricing'!X386</f>
        <v>0</v>
      </c>
      <c r="AC378" s="85">
        <f t="shared" si="950"/>
        <v>66</v>
      </c>
      <c r="AD378" s="85">
        <f>'Consumer Hardware Pricing'!Y386</f>
        <v>2</v>
      </c>
      <c r="AE378" s="85">
        <f t="shared" si="1144"/>
        <v>64</v>
      </c>
      <c r="AF378" s="85">
        <f t="shared" si="1145"/>
        <v>48</v>
      </c>
      <c r="AG378" s="85">
        <f t="shared" si="1146"/>
        <v>1536</v>
      </c>
      <c r="AH378" s="85">
        <f>'Consumer Hardware Pricing'!AA386</f>
        <v>576</v>
      </c>
      <c r="AI378" s="85">
        <f t="shared" si="951"/>
        <v>26</v>
      </c>
      <c r="AJ378" s="85">
        <f t="shared" si="1147"/>
        <v>40</v>
      </c>
      <c r="AK378" s="85">
        <f t="shared" si="1148"/>
        <v>624</v>
      </c>
      <c r="AL378" s="85">
        <f t="shared" si="1149"/>
        <v>960</v>
      </c>
      <c r="AM378" s="85">
        <f>'Consumer Hardware Pricing'!AC386</f>
        <v>0</v>
      </c>
      <c r="AN378" s="85">
        <f t="shared" si="952"/>
        <v>66</v>
      </c>
      <c r="AO378" s="85">
        <f>'Consumer Hardware Pricing'!AD386</f>
        <v>2</v>
      </c>
      <c r="AP378" s="85">
        <f t="shared" si="1150"/>
        <v>64</v>
      </c>
      <c r="AQ378" s="85">
        <f t="shared" si="1151"/>
        <v>48</v>
      </c>
      <c r="AR378" s="85">
        <f t="shared" si="1152"/>
        <v>1536</v>
      </c>
      <c r="AS378" s="85">
        <f>'Consumer Hardware Pricing'!AF386</f>
        <v>576</v>
      </c>
      <c r="AT378" s="85">
        <f t="shared" si="953"/>
        <v>26</v>
      </c>
      <c r="AU378" s="85">
        <f t="shared" si="1153"/>
        <v>40</v>
      </c>
      <c r="AV378" s="85">
        <f t="shared" si="1154"/>
        <v>624</v>
      </c>
      <c r="AW378" s="85">
        <f t="shared" si="1155"/>
        <v>960</v>
      </c>
      <c r="AX378" s="85" t="str">
        <f>'Consumer Hardware Pricing'!AH386</f>
        <v>-</v>
      </c>
      <c r="AY378" s="85" t="str">
        <f t="shared" si="954"/>
        <v>-</v>
      </c>
      <c r="AZ378" s="85" t="str">
        <f>'Consumer Hardware Pricing'!AI386</f>
        <v>-</v>
      </c>
      <c r="BA378" s="85" t="str">
        <f t="shared" si="1156"/>
        <v>-</v>
      </c>
      <c r="BB378" s="85" t="str">
        <f t="shared" si="1157"/>
        <v>-</v>
      </c>
      <c r="BC378" s="85" t="str">
        <f t="shared" si="1158"/>
        <v>-</v>
      </c>
      <c r="BD378" s="85" t="str">
        <f>'Consumer Hardware Pricing'!AL386</f>
        <v>-</v>
      </c>
      <c r="BE378" s="85" t="str">
        <f t="shared" si="955"/>
        <v>-</v>
      </c>
      <c r="BF378" s="85" t="str">
        <f>'Consumer Hardware Pricing'!AM386</f>
        <v>-</v>
      </c>
      <c r="BG378" s="85" t="str">
        <f t="shared" si="1159"/>
        <v>-</v>
      </c>
      <c r="BH378" s="85" t="str">
        <f t="shared" si="1160"/>
        <v>-</v>
      </c>
      <c r="BI378" s="85" t="str">
        <f t="shared" si="1161"/>
        <v>-</v>
      </c>
      <c r="BJ378" s="85" t="str">
        <f>'Consumer Hardware Pricing'!AP386</f>
        <v>-</v>
      </c>
      <c r="BK378" s="85" t="str">
        <f t="shared" si="956"/>
        <v>-</v>
      </c>
      <c r="BL378" s="85" t="str">
        <f>'Consumer Hardware Pricing'!AQ386</f>
        <v>-</v>
      </c>
      <c r="BM378" s="85" t="str">
        <f t="shared" si="1162"/>
        <v>-</v>
      </c>
      <c r="BN378" s="85" t="str">
        <f t="shared" si="1163"/>
        <v>-</v>
      </c>
      <c r="BO378" s="85" t="str">
        <f t="shared" si="1164"/>
        <v>-</v>
      </c>
      <c r="BP378" s="85" t="str">
        <f>'Consumer Hardware Pricing'!AT386</f>
        <v>-</v>
      </c>
      <c r="BQ378" s="85" t="str">
        <f t="shared" si="957"/>
        <v>-</v>
      </c>
      <c r="BR378" s="85" t="str">
        <f>'Consumer Hardware Pricing'!AU386</f>
        <v>-</v>
      </c>
      <c r="BS378" s="85" t="str">
        <f t="shared" si="1165"/>
        <v>-</v>
      </c>
      <c r="BT378" s="85" t="str">
        <f t="shared" si="1166"/>
        <v>-</v>
      </c>
      <c r="BU378" s="85" t="str">
        <f t="shared" si="1167"/>
        <v>-</v>
      </c>
    </row>
    <row r="379" spans="1:73" ht="30.15" customHeight="1" x14ac:dyDescent="0.25">
      <c r="A379" s="87" t="s">
        <v>34</v>
      </c>
      <c r="B379" s="88" t="s">
        <v>1127</v>
      </c>
      <c r="C379" s="88" t="s">
        <v>1135</v>
      </c>
      <c r="D379" s="85">
        <f>'Consumer Hardware Pricing'!L387</f>
        <v>1584</v>
      </c>
      <c r="E379" s="85">
        <f>'Consumer Hardware Pricing'!M387</f>
        <v>1584</v>
      </c>
      <c r="F379" s="85">
        <f>'Consumer Hardware Pricing'!N387</f>
        <v>0</v>
      </c>
      <c r="G379" s="85">
        <f t="shared" si="910"/>
        <v>66</v>
      </c>
      <c r="H379" s="85" t="str">
        <f>'Consumer Hardware Pricing'!O387</f>
        <v>-</v>
      </c>
      <c r="I379" s="85">
        <f t="shared" si="1131"/>
        <v>66</v>
      </c>
      <c r="J379" s="85" t="str">
        <f t="shared" si="1132"/>
        <v>-</v>
      </c>
      <c r="K379" s="85">
        <f t="shared" si="1133"/>
        <v>1584</v>
      </c>
      <c r="L379" s="85">
        <f>'Consumer Hardware Pricing'!Q387</f>
        <v>576</v>
      </c>
      <c r="M379" s="85">
        <f t="shared" si="911"/>
        <v>24</v>
      </c>
      <c r="N379" s="85">
        <f t="shared" si="1134"/>
        <v>42</v>
      </c>
      <c r="O379" s="85">
        <f t="shared" si="1135"/>
        <v>576</v>
      </c>
      <c r="P379" s="85">
        <f t="shared" si="1136"/>
        <v>1008</v>
      </c>
      <c r="Q379" s="85">
        <f>'Consumer Hardware Pricing'!S387</f>
        <v>0</v>
      </c>
      <c r="R379" s="85">
        <f t="shared" si="1137"/>
        <v>66</v>
      </c>
      <c r="S379" s="85" t="str">
        <f>'Consumer Hardware Pricing'!T387</f>
        <v>-</v>
      </c>
      <c r="T379" s="129">
        <f t="shared" si="1138"/>
        <v>66</v>
      </c>
      <c r="U379" s="129" t="str">
        <f t="shared" si="1139"/>
        <v>-</v>
      </c>
      <c r="V379" s="85">
        <f t="shared" si="1140"/>
        <v>1584</v>
      </c>
      <c r="W379" s="129">
        <f>'Consumer Hardware Pricing'!V387</f>
        <v>576</v>
      </c>
      <c r="X379" s="129">
        <f t="shared" si="912"/>
        <v>24</v>
      </c>
      <c r="Y379" s="129">
        <f t="shared" si="1141"/>
        <v>42</v>
      </c>
      <c r="Z379" s="129">
        <f t="shared" si="1142"/>
        <v>576</v>
      </c>
      <c r="AA379" s="85">
        <f t="shared" si="1143"/>
        <v>1008</v>
      </c>
      <c r="AB379" s="85">
        <f>'Consumer Hardware Pricing'!X387</f>
        <v>0</v>
      </c>
      <c r="AC379" s="85">
        <f t="shared" si="950"/>
        <v>66</v>
      </c>
      <c r="AD379" s="85">
        <f>'Consumer Hardware Pricing'!Y387</f>
        <v>2</v>
      </c>
      <c r="AE379" s="85">
        <f t="shared" si="1144"/>
        <v>64</v>
      </c>
      <c r="AF379" s="85">
        <f t="shared" si="1145"/>
        <v>48</v>
      </c>
      <c r="AG379" s="85">
        <f t="shared" si="1146"/>
        <v>1536</v>
      </c>
      <c r="AH379" s="85">
        <f>'Consumer Hardware Pricing'!AA387</f>
        <v>576</v>
      </c>
      <c r="AI379" s="85">
        <f t="shared" si="951"/>
        <v>26</v>
      </c>
      <c r="AJ379" s="85">
        <f t="shared" si="1147"/>
        <v>40</v>
      </c>
      <c r="AK379" s="85">
        <f t="shared" si="1148"/>
        <v>624</v>
      </c>
      <c r="AL379" s="85">
        <f t="shared" si="1149"/>
        <v>960</v>
      </c>
      <c r="AM379" s="85">
        <f>'Consumer Hardware Pricing'!AC387</f>
        <v>0</v>
      </c>
      <c r="AN379" s="85">
        <f t="shared" si="952"/>
        <v>66</v>
      </c>
      <c r="AO379" s="85">
        <f>'Consumer Hardware Pricing'!AD387</f>
        <v>2</v>
      </c>
      <c r="AP379" s="85">
        <f t="shared" si="1150"/>
        <v>64</v>
      </c>
      <c r="AQ379" s="85">
        <f t="shared" si="1151"/>
        <v>48</v>
      </c>
      <c r="AR379" s="85">
        <f t="shared" si="1152"/>
        <v>1536</v>
      </c>
      <c r="AS379" s="85">
        <f>'Consumer Hardware Pricing'!AF387</f>
        <v>576</v>
      </c>
      <c r="AT379" s="85">
        <f t="shared" si="953"/>
        <v>26</v>
      </c>
      <c r="AU379" s="85">
        <f t="shared" si="1153"/>
        <v>40</v>
      </c>
      <c r="AV379" s="85">
        <f t="shared" si="1154"/>
        <v>624</v>
      </c>
      <c r="AW379" s="85">
        <f t="shared" si="1155"/>
        <v>960</v>
      </c>
      <c r="AX379" s="85" t="str">
        <f>'Consumer Hardware Pricing'!AH387</f>
        <v>-</v>
      </c>
      <c r="AY379" s="85" t="str">
        <f t="shared" si="954"/>
        <v>-</v>
      </c>
      <c r="AZ379" s="85" t="str">
        <f>'Consumer Hardware Pricing'!AI387</f>
        <v>-</v>
      </c>
      <c r="BA379" s="85" t="str">
        <f t="shared" si="1156"/>
        <v>-</v>
      </c>
      <c r="BB379" s="85" t="str">
        <f t="shared" si="1157"/>
        <v>-</v>
      </c>
      <c r="BC379" s="85" t="str">
        <f t="shared" si="1158"/>
        <v>-</v>
      </c>
      <c r="BD379" s="85" t="str">
        <f>'Consumer Hardware Pricing'!AL387</f>
        <v>-</v>
      </c>
      <c r="BE379" s="85" t="str">
        <f t="shared" si="955"/>
        <v>-</v>
      </c>
      <c r="BF379" s="85" t="str">
        <f>'Consumer Hardware Pricing'!AM387</f>
        <v>-</v>
      </c>
      <c r="BG379" s="85" t="str">
        <f t="shared" si="1159"/>
        <v>-</v>
      </c>
      <c r="BH379" s="85" t="str">
        <f t="shared" si="1160"/>
        <v>-</v>
      </c>
      <c r="BI379" s="85" t="str">
        <f t="shared" si="1161"/>
        <v>-</v>
      </c>
      <c r="BJ379" s="85" t="str">
        <f>'Consumer Hardware Pricing'!AP387</f>
        <v>-</v>
      </c>
      <c r="BK379" s="85" t="str">
        <f t="shared" si="956"/>
        <v>-</v>
      </c>
      <c r="BL379" s="85" t="str">
        <f>'Consumer Hardware Pricing'!AQ387</f>
        <v>-</v>
      </c>
      <c r="BM379" s="85" t="str">
        <f t="shared" si="1162"/>
        <v>-</v>
      </c>
      <c r="BN379" s="85" t="str">
        <f t="shared" si="1163"/>
        <v>-</v>
      </c>
      <c r="BO379" s="85" t="str">
        <f t="shared" si="1164"/>
        <v>-</v>
      </c>
      <c r="BP379" s="85" t="str">
        <f>'Consumer Hardware Pricing'!AT387</f>
        <v>-</v>
      </c>
      <c r="BQ379" s="85" t="str">
        <f t="shared" si="957"/>
        <v>-</v>
      </c>
      <c r="BR379" s="85" t="str">
        <f>'Consumer Hardware Pricing'!AU387</f>
        <v>-</v>
      </c>
      <c r="BS379" s="85" t="str">
        <f t="shared" si="1165"/>
        <v>-</v>
      </c>
      <c r="BT379" s="85" t="str">
        <f t="shared" si="1166"/>
        <v>-</v>
      </c>
      <c r="BU379" s="85" t="str">
        <f t="shared" si="1167"/>
        <v>-</v>
      </c>
    </row>
    <row r="380" spans="1:73" ht="30.15" customHeight="1" x14ac:dyDescent="0.25">
      <c r="A380" s="87" t="s">
        <v>34</v>
      </c>
      <c r="B380" s="88" t="s">
        <v>1128</v>
      </c>
      <c r="C380" s="88" t="s">
        <v>1135</v>
      </c>
      <c r="D380" s="85">
        <f>'Consumer Hardware Pricing'!L388</f>
        <v>1584</v>
      </c>
      <c r="E380" s="85">
        <f>'Consumer Hardware Pricing'!M388</f>
        <v>1584</v>
      </c>
      <c r="F380" s="85">
        <f>'Consumer Hardware Pricing'!N388</f>
        <v>0</v>
      </c>
      <c r="G380" s="85">
        <f t="shared" si="910"/>
        <v>66</v>
      </c>
      <c r="H380" s="85" t="str">
        <f>'Consumer Hardware Pricing'!O388</f>
        <v>-</v>
      </c>
      <c r="I380" s="85">
        <f t="shared" si="1131"/>
        <v>66</v>
      </c>
      <c r="J380" s="85" t="str">
        <f t="shared" si="1132"/>
        <v>-</v>
      </c>
      <c r="K380" s="85">
        <f t="shared" si="1133"/>
        <v>1584</v>
      </c>
      <c r="L380" s="85">
        <f>'Consumer Hardware Pricing'!Q388</f>
        <v>576</v>
      </c>
      <c r="M380" s="85">
        <f t="shared" si="911"/>
        <v>24</v>
      </c>
      <c r="N380" s="85">
        <f t="shared" si="1134"/>
        <v>42</v>
      </c>
      <c r="O380" s="85">
        <f t="shared" si="1135"/>
        <v>576</v>
      </c>
      <c r="P380" s="85">
        <f t="shared" si="1136"/>
        <v>1008</v>
      </c>
      <c r="Q380" s="85">
        <f>'Consumer Hardware Pricing'!S388</f>
        <v>0</v>
      </c>
      <c r="R380" s="85">
        <f t="shared" si="1137"/>
        <v>66</v>
      </c>
      <c r="S380" s="85" t="str">
        <f>'Consumer Hardware Pricing'!T388</f>
        <v>-</v>
      </c>
      <c r="T380" s="129">
        <f t="shared" si="1138"/>
        <v>66</v>
      </c>
      <c r="U380" s="129" t="str">
        <f t="shared" si="1139"/>
        <v>-</v>
      </c>
      <c r="V380" s="85">
        <f t="shared" si="1140"/>
        <v>1584</v>
      </c>
      <c r="W380" s="129">
        <f>'Consumer Hardware Pricing'!V388</f>
        <v>576</v>
      </c>
      <c r="X380" s="129">
        <f t="shared" si="912"/>
        <v>24</v>
      </c>
      <c r="Y380" s="129">
        <f t="shared" si="1141"/>
        <v>42</v>
      </c>
      <c r="Z380" s="129">
        <f t="shared" si="1142"/>
        <v>576</v>
      </c>
      <c r="AA380" s="85">
        <f t="shared" si="1143"/>
        <v>1008</v>
      </c>
      <c r="AB380" s="85">
        <f>'Consumer Hardware Pricing'!X388</f>
        <v>0</v>
      </c>
      <c r="AC380" s="85">
        <f t="shared" si="950"/>
        <v>66</v>
      </c>
      <c r="AD380" s="85">
        <f>'Consumer Hardware Pricing'!Y388</f>
        <v>2</v>
      </c>
      <c r="AE380" s="85">
        <f t="shared" si="1144"/>
        <v>64</v>
      </c>
      <c r="AF380" s="85">
        <f t="shared" si="1145"/>
        <v>48</v>
      </c>
      <c r="AG380" s="85">
        <f t="shared" si="1146"/>
        <v>1536</v>
      </c>
      <c r="AH380" s="85">
        <f>'Consumer Hardware Pricing'!AA388</f>
        <v>576</v>
      </c>
      <c r="AI380" s="85">
        <f t="shared" si="951"/>
        <v>26</v>
      </c>
      <c r="AJ380" s="85">
        <f t="shared" si="1147"/>
        <v>40</v>
      </c>
      <c r="AK380" s="85">
        <f t="shared" si="1148"/>
        <v>624</v>
      </c>
      <c r="AL380" s="85">
        <f t="shared" si="1149"/>
        <v>960</v>
      </c>
      <c r="AM380" s="85">
        <f>'Consumer Hardware Pricing'!AC388</f>
        <v>0</v>
      </c>
      <c r="AN380" s="85">
        <f t="shared" si="952"/>
        <v>66</v>
      </c>
      <c r="AO380" s="85">
        <f>'Consumer Hardware Pricing'!AD388</f>
        <v>2</v>
      </c>
      <c r="AP380" s="85">
        <f t="shared" si="1150"/>
        <v>64</v>
      </c>
      <c r="AQ380" s="85">
        <f t="shared" si="1151"/>
        <v>48</v>
      </c>
      <c r="AR380" s="85">
        <f t="shared" si="1152"/>
        <v>1536</v>
      </c>
      <c r="AS380" s="85">
        <f>'Consumer Hardware Pricing'!AF388</f>
        <v>576</v>
      </c>
      <c r="AT380" s="85">
        <f t="shared" si="953"/>
        <v>26</v>
      </c>
      <c r="AU380" s="85">
        <f t="shared" si="1153"/>
        <v>40</v>
      </c>
      <c r="AV380" s="85">
        <f t="shared" si="1154"/>
        <v>624</v>
      </c>
      <c r="AW380" s="85">
        <f t="shared" si="1155"/>
        <v>960</v>
      </c>
      <c r="AX380" s="85" t="str">
        <f>'Consumer Hardware Pricing'!AH388</f>
        <v>-</v>
      </c>
      <c r="AY380" s="85" t="str">
        <f t="shared" si="954"/>
        <v>-</v>
      </c>
      <c r="AZ380" s="85" t="str">
        <f>'Consumer Hardware Pricing'!AI388</f>
        <v>-</v>
      </c>
      <c r="BA380" s="85" t="str">
        <f t="shared" si="1156"/>
        <v>-</v>
      </c>
      <c r="BB380" s="85" t="str">
        <f t="shared" si="1157"/>
        <v>-</v>
      </c>
      <c r="BC380" s="85" t="str">
        <f t="shared" si="1158"/>
        <v>-</v>
      </c>
      <c r="BD380" s="85" t="str">
        <f>'Consumer Hardware Pricing'!AL388</f>
        <v>-</v>
      </c>
      <c r="BE380" s="85" t="str">
        <f t="shared" si="955"/>
        <v>-</v>
      </c>
      <c r="BF380" s="85" t="str">
        <f>'Consumer Hardware Pricing'!AM388</f>
        <v>-</v>
      </c>
      <c r="BG380" s="85" t="str">
        <f t="shared" si="1159"/>
        <v>-</v>
      </c>
      <c r="BH380" s="85" t="str">
        <f t="shared" si="1160"/>
        <v>-</v>
      </c>
      <c r="BI380" s="85" t="str">
        <f t="shared" si="1161"/>
        <v>-</v>
      </c>
      <c r="BJ380" s="85" t="str">
        <f>'Consumer Hardware Pricing'!AP388</f>
        <v>-</v>
      </c>
      <c r="BK380" s="85" t="str">
        <f t="shared" si="956"/>
        <v>-</v>
      </c>
      <c r="BL380" s="85" t="str">
        <f>'Consumer Hardware Pricing'!AQ388</f>
        <v>-</v>
      </c>
      <c r="BM380" s="85" t="str">
        <f t="shared" si="1162"/>
        <v>-</v>
      </c>
      <c r="BN380" s="85" t="str">
        <f t="shared" si="1163"/>
        <v>-</v>
      </c>
      <c r="BO380" s="85" t="str">
        <f t="shared" si="1164"/>
        <v>-</v>
      </c>
      <c r="BP380" s="85" t="str">
        <f>'Consumer Hardware Pricing'!AT388</f>
        <v>-</v>
      </c>
      <c r="BQ380" s="85" t="str">
        <f t="shared" si="957"/>
        <v>-</v>
      </c>
      <c r="BR380" s="85" t="str">
        <f>'Consumer Hardware Pricing'!AU388</f>
        <v>-</v>
      </c>
      <c r="BS380" s="85" t="str">
        <f t="shared" si="1165"/>
        <v>-</v>
      </c>
      <c r="BT380" s="85" t="str">
        <f t="shared" si="1166"/>
        <v>-</v>
      </c>
      <c r="BU380" s="85" t="str">
        <f t="shared" si="1167"/>
        <v>-</v>
      </c>
    </row>
    <row r="381" spans="1:73" ht="30.15" customHeight="1" x14ac:dyDescent="0.25">
      <c r="A381" s="87" t="s">
        <v>34</v>
      </c>
      <c r="B381" s="88" t="s">
        <v>1129</v>
      </c>
      <c r="C381" s="88" t="s">
        <v>1135</v>
      </c>
      <c r="D381" s="85">
        <f>'Consumer Hardware Pricing'!L389</f>
        <v>1584</v>
      </c>
      <c r="E381" s="85">
        <f>'Consumer Hardware Pricing'!M389</f>
        <v>1584</v>
      </c>
      <c r="F381" s="85">
        <f>'Consumer Hardware Pricing'!N389</f>
        <v>0</v>
      </c>
      <c r="G381" s="85">
        <f t="shared" si="910"/>
        <v>66</v>
      </c>
      <c r="H381" s="85" t="str">
        <f>'Consumer Hardware Pricing'!O389</f>
        <v>-</v>
      </c>
      <c r="I381" s="85">
        <f t="shared" si="1131"/>
        <v>66</v>
      </c>
      <c r="J381" s="85" t="str">
        <f t="shared" si="1132"/>
        <v>-</v>
      </c>
      <c r="K381" s="85">
        <f t="shared" si="1133"/>
        <v>1584</v>
      </c>
      <c r="L381" s="85">
        <f>'Consumer Hardware Pricing'!Q389</f>
        <v>576</v>
      </c>
      <c r="M381" s="85">
        <f t="shared" si="911"/>
        <v>24</v>
      </c>
      <c r="N381" s="85">
        <f t="shared" si="1134"/>
        <v>42</v>
      </c>
      <c r="O381" s="85">
        <f t="shared" si="1135"/>
        <v>576</v>
      </c>
      <c r="P381" s="85">
        <f t="shared" si="1136"/>
        <v>1008</v>
      </c>
      <c r="Q381" s="85">
        <f>'Consumer Hardware Pricing'!S389</f>
        <v>0</v>
      </c>
      <c r="R381" s="85">
        <f t="shared" si="1137"/>
        <v>66</v>
      </c>
      <c r="S381" s="85" t="str">
        <f>'Consumer Hardware Pricing'!T389</f>
        <v>-</v>
      </c>
      <c r="T381" s="129">
        <f t="shared" si="1138"/>
        <v>66</v>
      </c>
      <c r="U381" s="129" t="str">
        <f t="shared" si="1139"/>
        <v>-</v>
      </c>
      <c r="V381" s="85">
        <f t="shared" si="1140"/>
        <v>1584</v>
      </c>
      <c r="W381" s="129">
        <f>'Consumer Hardware Pricing'!V389</f>
        <v>576</v>
      </c>
      <c r="X381" s="129">
        <f t="shared" si="912"/>
        <v>24</v>
      </c>
      <c r="Y381" s="129">
        <f t="shared" si="1141"/>
        <v>42</v>
      </c>
      <c r="Z381" s="129">
        <f t="shared" si="1142"/>
        <v>576</v>
      </c>
      <c r="AA381" s="85">
        <f t="shared" si="1143"/>
        <v>1008</v>
      </c>
      <c r="AB381" s="85">
        <f>'Consumer Hardware Pricing'!X389</f>
        <v>0</v>
      </c>
      <c r="AC381" s="85">
        <f t="shared" si="950"/>
        <v>66</v>
      </c>
      <c r="AD381" s="85">
        <f>'Consumer Hardware Pricing'!Y389</f>
        <v>2</v>
      </c>
      <c r="AE381" s="85">
        <f t="shared" si="1144"/>
        <v>64</v>
      </c>
      <c r="AF381" s="85">
        <f t="shared" si="1145"/>
        <v>48</v>
      </c>
      <c r="AG381" s="85">
        <f t="shared" si="1146"/>
        <v>1536</v>
      </c>
      <c r="AH381" s="85">
        <f>'Consumer Hardware Pricing'!AA389</f>
        <v>576</v>
      </c>
      <c r="AI381" s="85">
        <f t="shared" si="951"/>
        <v>26</v>
      </c>
      <c r="AJ381" s="85">
        <f t="shared" si="1147"/>
        <v>40</v>
      </c>
      <c r="AK381" s="85">
        <f t="shared" si="1148"/>
        <v>624</v>
      </c>
      <c r="AL381" s="85">
        <f t="shared" si="1149"/>
        <v>960</v>
      </c>
      <c r="AM381" s="85">
        <f>'Consumer Hardware Pricing'!AC389</f>
        <v>0</v>
      </c>
      <c r="AN381" s="85">
        <f t="shared" si="952"/>
        <v>66</v>
      </c>
      <c r="AO381" s="85">
        <f>'Consumer Hardware Pricing'!AD389</f>
        <v>2</v>
      </c>
      <c r="AP381" s="85">
        <f t="shared" si="1150"/>
        <v>64</v>
      </c>
      <c r="AQ381" s="85">
        <f t="shared" si="1151"/>
        <v>48</v>
      </c>
      <c r="AR381" s="85">
        <f t="shared" si="1152"/>
        <v>1536</v>
      </c>
      <c r="AS381" s="85">
        <f>'Consumer Hardware Pricing'!AF389</f>
        <v>576</v>
      </c>
      <c r="AT381" s="85">
        <f t="shared" si="953"/>
        <v>26</v>
      </c>
      <c r="AU381" s="85">
        <f t="shared" si="1153"/>
        <v>40</v>
      </c>
      <c r="AV381" s="85">
        <f t="shared" si="1154"/>
        <v>624</v>
      </c>
      <c r="AW381" s="85">
        <f t="shared" si="1155"/>
        <v>960</v>
      </c>
      <c r="AX381" s="85" t="str">
        <f>'Consumer Hardware Pricing'!AH389</f>
        <v>-</v>
      </c>
      <c r="AY381" s="85" t="str">
        <f t="shared" si="954"/>
        <v>-</v>
      </c>
      <c r="AZ381" s="85" t="str">
        <f>'Consumer Hardware Pricing'!AI389</f>
        <v>-</v>
      </c>
      <c r="BA381" s="85" t="str">
        <f t="shared" si="1156"/>
        <v>-</v>
      </c>
      <c r="BB381" s="85" t="str">
        <f t="shared" si="1157"/>
        <v>-</v>
      </c>
      <c r="BC381" s="85" t="str">
        <f t="shared" si="1158"/>
        <v>-</v>
      </c>
      <c r="BD381" s="85" t="str">
        <f>'Consumer Hardware Pricing'!AL389</f>
        <v>-</v>
      </c>
      <c r="BE381" s="85" t="str">
        <f t="shared" si="955"/>
        <v>-</v>
      </c>
      <c r="BF381" s="85" t="str">
        <f>'Consumer Hardware Pricing'!AM389</f>
        <v>-</v>
      </c>
      <c r="BG381" s="85" t="str">
        <f t="shared" si="1159"/>
        <v>-</v>
      </c>
      <c r="BH381" s="85" t="str">
        <f t="shared" si="1160"/>
        <v>-</v>
      </c>
      <c r="BI381" s="85" t="str">
        <f t="shared" si="1161"/>
        <v>-</v>
      </c>
      <c r="BJ381" s="85" t="str">
        <f>'Consumer Hardware Pricing'!AP389</f>
        <v>-</v>
      </c>
      <c r="BK381" s="85" t="str">
        <f t="shared" si="956"/>
        <v>-</v>
      </c>
      <c r="BL381" s="85" t="str">
        <f>'Consumer Hardware Pricing'!AQ389</f>
        <v>-</v>
      </c>
      <c r="BM381" s="85" t="str">
        <f t="shared" si="1162"/>
        <v>-</v>
      </c>
      <c r="BN381" s="85" t="str">
        <f t="shared" si="1163"/>
        <v>-</v>
      </c>
      <c r="BO381" s="85" t="str">
        <f t="shared" si="1164"/>
        <v>-</v>
      </c>
      <c r="BP381" s="85" t="str">
        <f>'Consumer Hardware Pricing'!AT389</f>
        <v>-</v>
      </c>
      <c r="BQ381" s="85" t="str">
        <f t="shared" si="957"/>
        <v>-</v>
      </c>
      <c r="BR381" s="85" t="str">
        <f>'Consumer Hardware Pricing'!AU389</f>
        <v>-</v>
      </c>
      <c r="BS381" s="85" t="str">
        <f t="shared" si="1165"/>
        <v>-</v>
      </c>
      <c r="BT381" s="85" t="str">
        <f t="shared" si="1166"/>
        <v>-</v>
      </c>
      <c r="BU381" s="85" t="str">
        <f t="shared" si="1167"/>
        <v>-</v>
      </c>
    </row>
    <row r="382" spans="1:73" ht="30.15" customHeight="1" x14ac:dyDescent="0.25">
      <c r="A382" s="87" t="s">
        <v>34</v>
      </c>
      <c r="B382" s="88" t="s">
        <v>1130</v>
      </c>
      <c r="C382" s="88" t="s">
        <v>1136</v>
      </c>
      <c r="D382" s="85">
        <f>'Consumer Hardware Pricing'!L390</f>
        <v>1860</v>
      </c>
      <c r="E382" s="85">
        <f>'Consumer Hardware Pricing'!M390</f>
        <v>1860</v>
      </c>
      <c r="F382" s="85">
        <f>'Consumer Hardware Pricing'!N390</f>
        <v>0</v>
      </c>
      <c r="G382" s="85">
        <f t="shared" si="910"/>
        <v>77.5</v>
      </c>
      <c r="H382" s="85" t="str">
        <f>'Consumer Hardware Pricing'!O390</f>
        <v>-</v>
      </c>
      <c r="I382" s="85">
        <f t="shared" si="1131"/>
        <v>77.5</v>
      </c>
      <c r="J382" s="85" t="str">
        <f t="shared" si="1132"/>
        <v>-</v>
      </c>
      <c r="K382" s="85">
        <f t="shared" si="1133"/>
        <v>1860</v>
      </c>
      <c r="L382" s="85">
        <f>'Consumer Hardware Pricing'!Q390</f>
        <v>612</v>
      </c>
      <c r="M382" s="85">
        <f t="shared" si="911"/>
        <v>25.5</v>
      </c>
      <c r="N382" s="85">
        <f t="shared" si="1134"/>
        <v>52</v>
      </c>
      <c r="O382" s="85">
        <f t="shared" si="1135"/>
        <v>612</v>
      </c>
      <c r="P382" s="85">
        <f t="shared" si="1136"/>
        <v>1248</v>
      </c>
      <c r="Q382" s="85">
        <f>'Consumer Hardware Pricing'!S390</f>
        <v>0</v>
      </c>
      <c r="R382" s="85">
        <f t="shared" si="1137"/>
        <v>77.5</v>
      </c>
      <c r="S382" s="85" t="str">
        <f>'Consumer Hardware Pricing'!T390</f>
        <v>-</v>
      </c>
      <c r="T382" s="129">
        <f t="shared" si="1138"/>
        <v>77.5</v>
      </c>
      <c r="U382" s="129" t="str">
        <f t="shared" si="1139"/>
        <v>-</v>
      </c>
      <c r="V382" s="85">
        <f t="shared" si="1140"/>
        <v>1860</v>
      </c>
      <c r="W382" s="129">
        <f>'Consumer Hardware Pricing'!V390</f>
        <v>612</v>
      </c>
      <c r="X382" s="129">
        <f t="shared" si="912"/>
        <v>25.5</v>
      </c>
      <c r="Y382" s="129">
        <f t="shared" si="1141"/>
        <v>52</v>
      </c>
      <c r="Z382" s="129">
        <f t="shared" si="1142"/>
        <v>612</v>
      </c>
      <c r="AA382" s="85">
        <f t="shared" si="1143"/>
        <v>1248</v>
      </c>
      <c r="AB382" s="85">
        <f>'Consumer Hardware Pricing'!X390</f>
        <v>0</v>
      </c>
      <c r="AC382" s="85">
        <f t="shared" si="950"/>
        <v>77.5</v>
      </c>
      <c r="AD382" s="85">
        <f>'Consumer Hardware Pricing'!Y390</f>
        <v>2</v>
      </c>
      <c r="AE382" s="85">
        <f t="shared" si="1144"/>
        <v>75.5</v>
      </c>
      <c r="AF382" s="85">
        <f t="shared" si="1145"/>
        <v>48</v>
      </c>
      <c r="AG382" s="85">
        <f t="shared" si="1146"/>
        <v>1812</v>
      </c>
      <c r="AH382" s="85">
        <f>'Consumer Hardware Pricing'!AA390</f>
        <v>612</v>
      </c>
      <c r="AI382" s="85">
        <f t="shared" si="951"/>
        <v>27.5</v>
      </c>
      <c r="AJ382" s="85">
        <f t="shared" si="1147"/>
        <v>50</v>
      </c>
      <c r="AK382" s="85">
        <f t="shared" si="1148"/>
        <v>660</v>
      </c>
      <c r="AL382" s="85">
        <f t="shared" si="1149"/>
        <v>1200</v>
      </c>
      <c r="AM382" s="85">
        <f>'Consumer Hardware Pricing'!AC390</f>
        <v>0</v>
      </c>
      <c r="AN382" s="85">
        <f t="shared" si="952"/>
        <v>77.5</v>
      </c>
      <c r="AO382" s="85">
        <f>'Consumer Hardware Pricing'!AD390</f>
        <v>2</v>
      </c>
      <c r="AP382" s="85">
        <f t="shared" si="1150"/>
        <v>75.5</v>
      </c>
      <c r="AQ382" s="85">
        <f t="shared" si="1151"/>
        <v>48</v>
      </c>
      <c r="AR382" s="85">
        <f t="shared" si="1152"/>
        <v>1812</v>
      </c>
      <c r="AS382" s="85">
        <f>'Consumer Hardware Pricing'!AF390</f>
        <v>612</v>
      </c>
      <c r="AT382" s="85">
        <f t="shared" si="953"/>
        <v>27.5</v>
      </c>
      <c r="AU382" s="85">
        <f t="shared" si="1153"/>
        <v>50</v>
      </c>
      <c r="AV382" s="85">
        <f t="shared" si="1154"/>
        <v>660</v>
      </c>
      <c r="AW382" s="85">
        <f t="shared" si="1155"/>
        <v>1200</v>
      </c>
      <c r="AX382" s="85" t="str">
        <f>'Consumer Hardware Pricing'!AH390</f>
        <v>-</v>
      </c>
      <c r="AY382" s="85" t="str">
        <f t="shared" si="954"/>
        <v>-</v>
      </c>
      <c r="AZ382" s="85" t="str">
        <f>'Consumer Hardware Pricing'!AI390</f>
        <v>-</v>
      </c>
      <c r="BA382" s="85" t="str">
        <f t="shared" si="1156"/>
        <v>-</v>
      </c>
      <c r="BB382" s="85" t="str">
        <f t="shared" si="1157"/>
        <v>-</v>
      </c>
      <c r="BC382" s="85" t="str">
        <f t="shared" si="1158"/>
        <v>-</v>
      </c>
      <c r="BD382" s="85" t="str">
        <f>'Consumer Hardware Pricing'!AL390</f>
        <v>-</v>
      </c>
      <c r="BE382" s="85" t="str">
        <f t="shared" si="955"/>
        <v>-</v>
      </c>
      <c r="BF382" s="85" t="str">
        <f>'Consumer Hardware Pricing'!AM390</f>
        <v>-</v>
      </c>
      <c r="BG382" s="85" t="str">
        <f t="shared" si="1159"/>
        <v>-</v>
      </c>
      <c r="BH382" s="85" t="str">
        <f t="shared" si="1160"/>
        <v>-</v>
      </c>
      <c r="BI382" s="85" t="str">
        <f t="shared" si="1161"/>
        <v>-</v>
      </c>
      <c r="BJ382" s="85" t="str">
        <f>'Consumer Hardware Pricing'!AP390</f>
        <v>-</v>
      </c>
      <c r="BK382" s="85" t="str">
        <f t="shared" si="956"/>
        <v>-</v>
      </c>
      <c r="BL382" s="85" t="str">
        <f>'Consumer Hardware Pricing'!AQ390</f>
        <v>-</v>
      </c>
      <c r="BM382" s="85" t="str">
        <f t="shared" si="1162"/>
        <v>-</v>
      </c>
      <c r="BN382" s="85" t="str">
        <f t="shared" si="1163"/>
        <v>-</v>
      </c>
      <c r="BO382" s="85" t="str">
        <f t="shared" si="1164"/>
        <v>-</v>
      </c>
      <c r="BP382" s="85" t="str">
        <f>'Consumer Hardware Pricing'!AT390</f>
        <v>-</v>
      </c>
      <c r="BQ382" s="85" t="str">
        <f t="shared" si="957"/>
        <v>-</v>
      </c>
      <c r="BR382" s="85" t="str">
        <f>'Consumer Hardware Pricing'!AU390</f>
        <v>-</v>
      </c>
      <c r="BS382" s="85" t="str">
        <f t="shared" si="1165"/>
        <v>-</v>
      </c>
      <c r="BT382" s="85" t="str">
        <f t="shared" si="1166"/>
        <v>-</v>
      </c>
      <c r="BU382" s="85" t="str">
        <f t="shared" si="1167"/>
        <v>-</v>
      </c>
    </row>
    <row r="383" spans="1:73" ht="30.15" customHeight="1" x14ac:dyDescent="0.25">
      <c r="A383" s="87" t="s">
        <v>34</v>
      </c>
      <c r="B383" s="88" t="s">
        <v>1131</v>
      </c>
      <c r="C383" s="88" t="s">
        <v>1136</v>
      </c>
      <c r="D383" s="85">
        <f>'Consumer Hardware Pricing'!L391</f>
        <v>1860</v>
      </c>
      <c r="E383" s="85">
        <f>'Consumer Hardware Pricing'!M391</f>
        <v>1860</v>
      </c>
      <c r="F383" s="85">
        <f>'Consumer Hardware Pricing'!N391</f>
        <v>0</v>
      </c>
      <c r="G383" s="85">
        <f t="shared" si="910"/>
        <v>77.5</v>
      </c>
      <c r="H383" s="85" t="str">
        <f>'Consumer Hardware Pricing'!O391</f>
        <v>-</v>
      </c>
      <c r="I383" s="85">
        <f t="shared" si="1131"/>
        <v>77.5</v>
      </c>
      <c r="J383" s="85" t="str">
        <f t="shared" si="1132"/>
        <v>-</v>
      </c>
      <c r="K383" s="85">
        <f t="shared" si="1133"/>
        <v>1860</v>
      </c>
      <c r="L383" s="85">
        <f>'Consumer Hardware Pricing'!Q391</f>
        <v>612</v>
      </c>
      <c r="M383" s="85">
        <f t="shared" si="911"/>
        <v>25.5</v>
      </c>
      <c r="N383" s="85">
        <f t="shared" si="1134"/>
        <v>52</v>
      </c>
      <c r="O383" s="85">
        <f t="shared" si="1135"/>
        <v>612</v>
      </c>
      <c r="P383" s="85">
        <f t="shared" si="1136"/>
        <v>1248</v>
      </c>
      <c r="Q383" s="85">
        <f>'Consumer Hardware Pricing'!S391</f>
        <v>0</v>
      </c>
      <c r="R383" s="85">
        <f t="shared" si="1137"/>
        <v>77.5</v>
      </c>
      <c r="S383" s="85" t="str">
        <f>'Consumer Hardware Pricing'!T391</f>
        <v>-</v>
      </c>
      <c r="T383" s="129">
        <f t="shared" si="1138"/>
        <v>77.5</v>
      </c>
      <c r="U383" s="129" t="str">
        <f t="shared" si="1139"/>
        <v>-</v>
      </c>
      <c r="V383" s="85">
        <f t="shared" si="1140"/>
        <v>1860</v>
      </c>
      <c r="W383" s="129">
        <f>'Consumer Hardware Pricing'!V391</f>
        <v>612</v>
      </c>
      <c r="X383" s="129">
        <f t="shared" si="912"/>
        <v>25.5</v>
      </c>
      <c r="Y383" s="129">
        <f t="shared" si="1141"/>
        <v>52</v>
      </c>
      <c r="Z383" s="129">
        <f t="shared" si="1142"/>
        <v>612</v>
      </c>
      <c r="AA383" s="85">
        <f t="shared" si="1143"/>
        <v>1248</v>
      </c>
      <c r="AB383" s="85">
        <f>'Consumer Hardware Pricing'!X391</f>
        <v>0</v>
      </c>
      <c r="AC383" s="85">
        <f t="shared" si="950"/>
        <v>77.5</v>
      </c>
      <c r="AD383" s="85">
        <f>'Consumer Hardware Pricing'!Y391</f>
        <v>2</v>
      </c>
      <c r="AE383" s="85">
        <f t="shared" si="1144"/>
        <v>75.5</v>
      </c>
      <c r="AF383" s="85">
        <f t="shared" si="1145"/>
        <v>48</v>
      </c>
      <c r="AG383" s="85">
        <f t="shared" si="1146"/>
        <v>1812</v>
      </c>
      <c r="AH383" s="85">
        <f>'Consumer Hardware Pricing'!AA391</f>
        <v>612</v>
      </c>
      <c r="AI383" s="85">
        <f t="shared" si="951"/>
        <v>27.5</v>
      </c>
      <c r="AJ383" s="85">
        <f t="shared" si="1147"/>
        <v>50</v>
      </c>
      <c r="AK383" s="85">
        <f t="shared" si="1148"/>
        <v>660</v>
      </c>
      <c r="AL383" s="85">
        <f t="shared" si="1149"/>
        <v>1200</v>
      </c>
      <c r="AM383" s="85">
        <f>'Consumer Hardware Pricing'!AC391</f>
        <v>0</v>
      </c>
      <c r="AN383" s="85">
        <f t="shared" si="952"/>
        <v>77.5</v>
      </c>
      <c r="AO383" s="85">
        <f>'Consumer Hardware Pricing'!AD391</f>
        <v>2</v>
      </c>
      <c r="AP383" s="85">
        <f t="shared" si="1150"/>
        <v>75.5</v>
      </c>
      <c r="AQ383" s="85">
        <f t="shared" si="1151"/>
        <v>48</v>
      </c>
      <c r="AR383" s="85">
        <f t="shared" si="1152"/>
        <v>1812</v>
      </c>
      <c r="AS383" s="85">
        <f>'Consumer Hardware Pricing'!AF391</f>
        <v>612</v>
      </c>
      <c r="AT383" s="85">
        <f t="shared" si="953"/>
        <v>27.5</v>
      </c>
      <c r="AU383" s="85">
        <f t="shared" si="1153"/>
        <v>50</v>
      </c>
      <c r="AV383" s="85">
        <f t="shared" si="1154"/>
        <v>660</v>
      </c>
      <c r="AW383" s="85">
        <f t="shared" si="1155"/>
        <v>1200</v>
      </c>
      <c r="AX383" s="85" t="str">
        <f>'Consumer Hardware Pricing'!AH391</f>
        <v>-</v>
      </c>
      <c r="AY383" s="85" t="str">
        <f t="shared" si="954"/>
        <v>-</v>
      </c>
      <c r="AZ383" s="85" t="str">
        <f>'Consumer Hardware Pricing'!AI391</f>
        <v>-</v>
      </c>
      <c r="BA383" s="85" t="str">
        <f t="shared" si="1156"/>
        <v>-</v>
      </c>
      <c r="BB383" s="85" t="str">
        <f t="shared" si="1157"/>
        <v>-</v>
      </c>
      <c r="BC383" s="85" t="str">
        <f t="shared" si="1158"/>
        <v>-</v>
      </c>
      <c r="BD383" s="85" t="str">
        <f>'Consumer Hardware Pricing'!AL391</f>
        <v>-</v>
      </c>
      <c r="BE383" s="85" t="str">
        <f t="shared" si="955"/>
        <v>-</v>
      </c>
      <c r="BF383" s="85" t="str">
        <f>'Consumer Hardware Pricing'!AM391</f>
        <v>-</v>
      </c>
      <c r="BG383" s="85" t="str">
        <f t="shared" si="1159"/>
        <v>-</v>
      </c>
      <c r="BH383" s="85" t="str">
        <f t="shared" si="1160"/>
        <v>-</v>
      </c>
      <c r="BI383" s="85" t="str">
        <f t="shared" si="1161"/>
        <v>-</v>
      </c>
      <c r="BJ383" s="85" t="str">
        <f>'Consumer Hardware Pricing'!AP391</f>
        <v>-</v>
      </c>
      <c r="BK383" s="85" t="str">
        <f t="shared" si="956"/>
        <v>-</v>
      </c>
      <c r="BL383" s="85" t="str">
        <f>'Consumer Hardware Pricing'!AQ391</f>
        <v>-</v>
      </c>
      <c r="BM383" s="85" t="str">
        <f t="shared" si="1162"/>
        <v>-</v>
      </c>
      <c r="BN383" s="85" t="str">
        <f t="shared" si="1163"/>
        <v>-</v>
      </c>
      <c r="BO383" s="85" t="str">
        <f t="shared" si="1164"/>
        <v>-</v>
      </c>
      <c r="BP383" s="85" t="str">
        <f>'Consumer Hardware Pricing'!AT391</f>
        <v>-</v>
      </c>
      <c r="BQ383" s="85" t="str">
        <f t="shared" si="957"/>
        <v>-</v>
      </c>
      <c r="BR383" s="85" t="str">
        <f>'Consumer Hardware Pricing'!AU391</f>
        <v>-</v>
      </c>
      <c r="BS383" s="85" t="str">
        <f t="shared" si="1165"/>
        <v>-</v>
      </c>
      <c r="BT383" s="85" t="str">
        <f t="shared" si="1166"/>
        <v>-</v>
      </c>
      <c r="BU383" s="85" t="str">
        <f t="shared" si="1167"/>
        <v>-</v>
      </c>
    </row>
    <row r="384" spans="1:73" ht="30.15" customHeight="1" x14ac:dyDescent="0.25">
      <c r="A384" s="87" t="s">
        <v>34</v>
      </c>
      <c r="B384" s="88" t="s">
        <v>1132</v>
      </c>
      <c r="C384" s="88" t="s">
        <v>1136</v>
      </c>
      <c r="D384" s="85">
        <f>'Consumer Hardware Pricing'!L392</f>
        <v>1860</v>
      </c>
      <c r="E384" s="85">
        <f>'Consumer Hardware Pricing'!M392</f>
        <v>1860</v>
      </c>
      <c r="F384" s="85">
        <f>'Consumer Hardware Pricing'!N392</f>
        <v>0</v>
      </c>
      <c r="G384" s="85">
        <f t="shared" si="910"/>
        <v>77.5</v>
      </c>
      <c r="H384" s="85" t="str">
        <f>'Consumer Hardware Pricing'!O392</f>
        <v>-</v>
      </c>
      <c r="I384" s="85">
        <f t="shared" si="1131"/>
        <v>77.5</v>
      </c>
      <c r="J384" s="85" t="str">
        <f t="shared" si="1132"/>
        <v>-</v>
      </c>
      <c r="K384" s="85">
        <f t="shared" si="1133"/>
        <v>1860</v>
      </c>
      <c r="L384" s="85">
        <f>'Consumer Hardware Pricing'!Q392</f>
        <v>612</v>
      </c>
      <c r="M384" s="85">
        <f t="shared" si="911"/>
        <v>25.5</v>
      </c>
      <c r="N384" s="85">
        <f t="shared" si="1134"/>
        <v>52</v>
      </c>
      <c r="O384" s="85">
        <f t="shared" si="1135"/>
        <v>612</v>
      </c>
      <c r="P384" s="85">
        <f t="shared" si="1136"/>
        <v>1248</v>
      </c>
      <c r="Q384" s="85">
        <f>'Consumer Hardware Pricing'!S392</f>
        <v>0</v>
      </c>
      <c r="R384" s="85">
        <f t="shared" si="1137"/>
        <v>77.5</v>
      </c>
      <c r="S384" s="85" t="str">
        <f>'Consumer Hardware Pricing'!T392</f>
        <v>-</v>
      </c>
      <c r="T384" s="129">
        <f t="shared" si="1138"/>
        <v>77.5</v>
      </c>
      <c r="U384" s="129" t="str">
        <f t="shared" si="1139"/>
        <v>-</v>
      </c>
      <c r="V384" s="85">
        <f t="shared" si="1140"/>
        <v>1860</v>
      </c>
      <c r="W384" s="129">
        <f>'Consumer Hardware Pricing'!V392</f>
        <v>612</v>
      </c>
      <c r="X384" s="129">
        <f t="shared" si="912"/>
        <v>25.5</v>
      </c>
      <c r="Y384" s="129">
        <f t="shared" si="1141"/>
        <v>52</v>
      </c>
      <c r="Z384" s="129">
        <f t="shared" si="1142"/>
        <v>612</v>
      </c>
      <c r="AA384" s="85">
        <f t="shared" si="1143"/>
        <v>1248</v>
      </c>
      <c r="AB384" s="85">
        <f>'Consumer Hardware Pricing'!X392</f>
        <v>0</v>
      </c>
      <c r="AC384" s="85">
        <f t="shared" si="950"/>
        <v>77.5</v>
      </c>
      <c r="AD384" s="85">
        <f>'Consumer Hardware Pricing'!Y392</f>
        <v>2</v>
      </c>
      <c r="AE384" s="85">
        <f t="shared" si="1144"/>
        <v>75.5</v>
      </c>
      <c r="AF384" s="85">
        <f t="shared" si="1145"/>
        <v>48</v>
      </c>
      <c r="AG384" s="85">
        <f t="shared" si="1146"/>
        <v>1812</v>
      </c>
      <c r="AH384" s="85">
        <f>'Consumer Hardware Pricing'!AA392</f>
        <v>612</v>
      </c>
      <c r="AI384" s="85">
        <f t="shared" si="951"/>
        <v>27.5</v>
      </c>
      <c r="AJ384" s="85">
        <f t="shared" si="1147"/>
        <v>50</v>
      </c>
      <c r="AK384" s="85">
        <f t="shared" si="1148"/>
        <v>660</v>
      </c>
      <c r="AL384" s="85">
        <f t="shared" si="1149"/>
        <v>1200</v>
      </c>
      <c r="AM384" s="85">
        <f>'Consumer Hardware Pricing'!AC392</f>
        <v>0</v>
      </c>
      <c r="AN384" s="85">
        <f t="shared" si="952"/>
        <v>77.5</v>
      </c>
      <c r="AO384" s="85">
        <f>'Consumer Hardware Pricing'!AD392</f>
        <v>2</v>
      </c>
      <c r="AP384" s="85">
        <f t="shared" si="1150"/>
        <v>75.5</v>
      </c>
      <c r="AQ384" s="85">
        <f t="shared" si="1151"/>
        <v>48</v>
      </c>
      <c r="AR384" s="85">
        <f t="shared" si="1152"/>
        <v>1812</v>
      </c>
      <c r="AS384" s="85">
        <f>'Consumer Hardware Pricing'!AF392</f>
        <v>612</v>
      </c>
      <c r="AT384" s="85">
        <f t="shared" si="953"/>
        <v>27.5</v>
      </c>
      <c r="AU384" s="85">
        <f t="shared" si="1153"/>
        <v>50</v>
      </c>
      <c r="AV384" s="85">
        <f t="shared" si="1154"/>
        <v>660</v>
      </c>
      <c r="AW384" s="85">
        <f t="shared" si="1155"/>
        <v>1200</v>
      </c>
      <c r="AX384" s="85" t="str">
        <f>'Consumer Hardware Pricing'!AH392</f>
        <v>-</v>
      </c>
      <c r="AY384" s="85" t="str">
        <f t="shared" si="954"/>
        <v>-</v>
      </c>
      <c r="AZ384" s="85" t="str">
        <f>'Consumer Hardware Pricing'!AI392</f>
        <v>-</v>
      </c>
      <c r="BA384" s="85" t="str">
        <f t="shared" si="1156"/>
        <v>-</v>
      </c>
      <c r="BB384" s="85" t="str">
        <f t="shared" si="1157"/>
        <v>-</v>
      </c>
      <c r="BC384" s="85" t="str">
        <f t="shared" si="1158"/>
        <v>-</v>
      </c>
      <c r="BD384" s="85" t="str">
        <f>'Consumer Hardware Pricing'!AL392</f>
        <v>-</v>
      </c>
      <c r="BE384" s="85" t="str">
        <f t="shared" si="955"/>
        <v>-</v>
      </c>
      <c r="BF384" s="85" t="str">
        <f>'Consumer Hardware Pricing'!AM392</f>
        <v>-</v>
      </c>
      <c r="BG384" s="85" t="str">
        <f t="shared" si="1159"/>
        <v>-</v>
      </c>
      <c r="BH384" s="85" t="str">
        <f t="shared" si="1160"/>
        <v>-</v>
      </c>
      <c r="BI384" s="85" t="str">
        <f t="shared" si="1161"/>
        <v>-</v>
      </c>
      <c r="BJ384" s="85" t="str">
        <f>'Consumer Hardware Pricing'!AP392</f>
        <v>-</v>
      </c>
      <c r="BK384" s="85" t="str">
        <f t="shared" si="956"/>
        <v>-</v>
      </c>
      <c r="BL384" s="85" t="str">
        <f>'Consumer Hardware Pricing'!AQ392</f>
        <v>-</v>
      </c>
      <c r="BM384" s="85" t="str">
        <f t="shared" si="1162"/>
        <v>-</v>
      </c>
      <c r="BN384" s="85" t="str">
        <f t="shared" si="1163"/>
        <v>-</v>
      </c>
      <c r="BO384" s="85" t="str">
        <f t="shared" si="1164"/>
        <v>-</v>
      </c>
      <c r="BP384" s="85" t="str">
        <f>'Consumer Hardware Pricing'!AT392</f>
        <v>-</v>
      </c>
      <c r="BQ384" s="85" t="str">
        <f t="shared" si="957"/>
        <v>-</v>
      </c>
      <c r="BR384" s="85" t="str">
        <f>'Consumer Hardware Pricing'!AU392</f>
        <v>-</v>
      </c>
      <c r="BS384" s="85" t="str">
        <f t="shared" si="1165"/>
        <v>-</v>
      </c>
      <c r="BT384" s="85" t="str">
        <f t="shared" si="1166"/>
        <v>-</v>
      </c>
      <c r="BU384" s="85" t="str">
        <f t="shared" si="1167"/>
        <v>-</v>
      </c>
    </row>
    <row r="385" spans="1:73" ht="30.15" customHeight="1" x14ac:dyDescent="0.25">
      <c r="A385" s="87" t="s">
        <v>34</v>
      </c>
      <c r="B385" s="88" t="s">
        <v>1133</v>
      </c>
      <c r="C385" s="88" t="s">
        <v>1136</v>
      </c>
      <c r="D385" s="85">
        <f>'Consumer Hardware Pricing'!L393</f>
        <v>1860</v>
      </c>
      <c r="E385" s="85">
        <f>'Consumer Hardware Pricing'!M393</f>
        <v>1860</v>
      </c>
      <c r="F385" s="85">
        <f>'Consumer Hardware Pricing'!N393</f>
        <v>0</v>
      </c>
      <c r="G385" s="85">
        <f t="shared" si="910"/>
        <v>77.5</v>
      </c>
      <c r="H385" s="85" t="str">
        <f>'Consumer Hardware Pricing'!O393</f>
        <v>-</v>
      </c>
      <c r="I385" s="85">
        <f t="shared" si="1131"/>
        <v>77.5</v>
      </c>
      <c r="J385" s="85" t="str">
        <f t="shared" si="1132"/>
        <v>-</v>
      </c>
      <c r="K385" s="85">
        <f t="shared" si="1133"/>
        <v>1860</v>
      </c>
      <c r="L385" s="85">
        <f>'Consumer Hardware Pricing'!Q393</f>
        <v>612</v>
      </c>
      <c r="M385" s="85">
        <f t="shared" si="911"/>
        <v>25.5</v>
      </c>
      <c r="N385" s="85">
        <f t="shared" si="1134"/>
        <v>52</v>
      </c>
      <c r="O385" s="85">
        <f t="shared" si="1135"/>
        <v>612</v>
      </c>
      <c r="P385" s="85">
        <f t="shared" si="1136"/>
        <v>1248</v>
      </c>
      <c r="Q385" s="85">
        <f>'Consumer Hardware Pricing'!S393</f>
        <v>0</v>
      </c>
      <c r="R385" s="85">
        <f t="shared" si="1137"/>
        <v>77.5</v>
      </c>
      <c r="S385" s="85" t="str">
        <f>'Consumer Hardware Pricing'!T393</f>
        <v>-</v>
      </c>
      <c r="T385" s="129">
        <f t="shared" si="1138"/>
        <v>77.5</v>
      </c>
      <c r="U385" s="129" t="str">
        <f t="shared" si="1139"/>
        <v>-</v>
      </c>
      <c r="V385" s="85">
        <f t="shared" si="1140"/>
        <v>1860</v>
      </c>
      <c r="W385" s="129">
        <f>'Consumer Hardware Pricing'!V393</f>
        <v>612</v>
      </c>
      <c r="X385" s="129">
        <f t="shared" si="912"/>
        <v>25.5</v>
      </c>
      <c r="Y385" s="129">
        <f t="shared" si="1141"/>
        <v>52</v>
      </c>
      <c r="Z385" s="129">
        <f t="shared" si="1142"/>
        <v>612</v>
      </c>
      <c r="AA385" s="85">
        <f t="shared" si="1143"/>
        <v>1248</v>
      </c>
      <c r="AB385" s="85">
        <f>'Consumer Hardware Pricing'!X393</f>
        <v>0</v>
      </c>
      <c r="AC385" s="85">
        <f t="shared" si="950"/>
        <v>77.5</v>
      </c>
      <c r="AD385" s="85">
        <f>'Consumer Hardware Pricing'!Y393</f>
        <v>2</v>
      </c>
      <c r="AE385" s="85">
        <f t="shared" si="1144"/>
        <v>75.5</v>
      </c>
      <c r="AF385" s="85">
        <f t="shared" si="1145"/>
        <v>48</v>
      </c>
      <c r="AG385" s="85">
        <f t="shared" si="1146"/>
        <v>1812</v>
      </c>
      <c r="AH385" s="85">
        <f>'Consumer Hardware Pricing'!AA393</f>
        <v>612</v>
      </c>
      <c r="AI385" s="85">
        <f t="shared" si="951"/>
        <v>27.5</v>
      </c>
      <c r="AJ385" s="85">
        <f t="shared" si="1147"/>
        <v>50</v>
      </c>
      <c r="AK385" s="85">
        <f t="shared" si="1148"/>
        <v>660</v>
      </c>
      <c r="AL385" s="85">
        <f t="shared" si="1149"/>
        <v>1200</v>
      </c>
      <c r="AM385" s="85">
        <f>'Consumer Hardware Pricing'!AC393</f>
        <v>0</v>
      </c>
      <c r="AN385" s="85">
        <f t="shared" si="952"/>
        <v>77.5</v>
      </c>
      <c r="AO385" s="85">
        <f>'Consumer Hardware Pricing'!AD393</f>
        <v>2</v>
      </c>
      <c r="AP385" s="85">
        <f t="shared" si="1150"/>
        <v>75.5</v>
      </c>
      <c r="AQ385" s="85">
        <f t="shared" si="1151"/>
        <v>48</v>
      </c>
      <c r="AR385" s="85">
        <f t="shared" si="1152"/>
        <v>1812</v>
      </c>
      <c r="AS385" s="85">
        <f>'Consumer Hardware Pricing'!AF393</f>
        <v>612</v>
      </c>
      <c r="AT385" s="85">
        <f t="shared" si="953"/>
        <v>27.5</v>
      </c>
      <c r="AU385" s="85">
        <f t="shared" si="1153"/>
        <v>50</v>
      </c>
      <c r="AV385" s="85">
        <f t="shared" si="1154"/>
        <v>660</v>
      </c>
      <c r="AW385" s="85">
        <f t="shared" si="1155"/>
        <v>1200</v>
      </c>
      <c r="AX385" s="85" t="str">
        <f>'Consumer Hardware Pricing'!AH393</f>
        <v>-</v>
      </c>
      <c r="AY385" s="85" t="str">
        <f t="shared" si="954"/>
        <v>-</v>
      </c>
      <c r="AZ385" s="85" t="str">
        <f>'Consumer Hardware Pricing'!AI393</f>
        <v>-</v>
      </c>
      <c r="BA385" s="85" t="str">
        <f t="shared" si="1156"/>
        <v>-</v>
      </c>
      <c r="BB385" s="85" t="str">
        <f t="shared" si="1157"/>
        <v>-</v>
      </c>
      <c r="BC385" s="85" t="str">
        <f t="shared" si="1158"/>
        <v>-</v>
      </c>
      <c r="BD385" s="85" t="str">
        <f>'Consumer Hardware Pricing'!AL393</f>
        <v>-</v>
      </c>
      <c r="BE385" s="85" t="str">
        <f t="shared" si="955"/>
        <v>-</v>
      </c>
      <c r="BF385" s="85" t="str">
        <f>'Consumer Hardware Pricing'!AM393</f>
        <v>-</v>
      </c>
      <c r="BG385" s="85" t="str">
        <f t="shared" si="1159"/>
        <v>-</v>
      </c>
      <c r="BH385" s="85" t="str">
        <f t="shared" si="1160"/>
        <v>-</v>
      </c>
      <c r="BI385" s="85" t="str">
        <f t="shared" si="1161"/>
        <v>-</v>
      </c>
      <c r="BJ385" s="85" t="str">
        <f>'Consumer Hardware Pricing'!AP393</f>
        <v>-</v>
      </c>
      <c r="BK385" s="85" t="str">
        <f t="shared" si="956"/>
        <v>-</v>
      </c>
      <c r="BL385" s="85" t="str">
        <f>'Consumer Hardware Pricing'!AQ393</f>
        <v>-</v>
      </c>
      <c r="BM385" s="85" t="str">
        <f t="shared" si="1162"/>
        <v>-</v>
      </c>
      <c r="BN385" s="85" t="str">
        <f t="shared" si="1163"/>
        <v>-</v>
      </c>
      <c r="BO385" s="85" t="str">
        <f t="shared" si="1164"/>
        <v>-</v>
      </c>
      <c r="BP385" s="85" t="str">
        <f>'Consumer Hardware Pricing'!AT393</f>
        <v>-</v>
      </c>
      <c r="BQ385" s="85" t="str">
        <f t="shared" si="957"/>
        <v>-</v>
      </c>
      <c r="BR385" s="85" t="str">
        <f>'Consumer Hardware Pricing'!AU393</f>
        <v>-</v>
      </c>
      <c r="BS385" s="85" t="str">
        <f t="shared" si="1165"/>
        <v>-</v>
      </c>
      <c r="BT385" s="85" t="str">
        <f t="shared" si="1166"/>
        <v>-</v>
      </c>
      <c r="BU385" s="85" t="str">
        <f t="shared" si="1167"/>
        <v>-</v>
      </c>
    </row>
    <row r="386" spans="1:73" ht="30.15" customHeight="1" x14ac:dyDescent="0.25">
      <c r="A386" s="87" t="s">
        <v>34</v>
      </c>
      <c r="B386" s="88" t="s">
        <v>1104</v>
      </c>
      <c r="C386" s="88" t="s">
        <v>1119</v>
      </c>
      <c r="D386" s="85">
        <f>'Consumer Hardware Pricing'!L394</f>
        <v>1164</v>
      </c>
      <c r="E386" s="85">
        <f>'Consumer Hardware Pricing'!M394</f>
        <v>1164</v>
      </c>
      <c r="F386" s="85">
        <f>'Consumer Hardware Pricing'!N394</f>
        <v>0</v>
      </c>
      <c r="G386" s="85">
        <f t="shared" ref="G386:G445" si="1168">IF(F386="-","-",ROUNDUP(D386/24,2))</f>
        <v>48.5</v>
      </c>
      <c r="H386" s="85" t="str">
        <f>'Consumer Hardware Pricing'!O394</f>
        <v>-</v>
      </c>
      <c r="I386" s="85">
        <f t="shared" si="1131"/>
        <v>48.5</v>
      </c>
      <c r="J386" s="85" t="str">
        <f t="shared" si="1132"/>
        <v>-</v>
      </c>
      <c r="K386" s="85">
        <f t="shared" si="1133"/>
        <v>1164</v>
      </c>
      <c r="L386" s="85">
        <f>'Consumer Hardware Pricing'!Q394</f>
        <v>540</v>
      </c>
      <c r="M386" s="85">
        <f t="shared" ref="M386:M445" si="1169">IF(L386="-",L386,IF(H386="-",G386-ROUNDUP((D386-L386)/24,2),H386+G386-ROUNDUP((D386-L386)/24,2)))</f>
        <v>22.5</v>
      </c>
      <c r="N386" s="85">
        <f t="shared" si="1134"/>
        <v>26</v>
      </c>
      <c r="O386" s="85">
        <f t="shared" si="1135"/>
        <v>540</v>
      </c>
      <c r="P386" s="85">
        <f t="shared" si="1136"/>
        <v>624</v>
      </c>
      <c r="Q386" s="85">
        <f>'Consumer Hardware Pricing'!S394</f>
        <v>0</v>
      </c>
      <c r="R386" s="85">
        <f t="shared" si="1137"/>
        <v>48.5</v>
      </c>
      <c r="S386" s="85" t="str">
        <f>'Consumer Hardware Pricing'!T394</f>
        <v>-</v>
      </c>
      <c r="T386" s="129">
        <f t="shared" si="1138"/>
        <v>48.5</v>
      </c>
      <c r="U386" s="129" t="str">
        <f t="shared" si="1139"/>
        <v>-</v>
      </c>
      <c r="V386" s="85">
        <f t="shared" si="1140"/>
        <v>1164</v>
      </c>
      <c r="W386" s="129">
        <f>'Consumer Hardware Pricing'!V394</f>
        <v>540</v>
      </c>
      <c r="X386" s="129">
        <f t="shared" ref="X386:X445" si="1170">IF(W386="-",W386,IF(S386="-",R386-ROUNDUP((D386-W386)/24,2),S386+R386-ROUNDUP((D386-W386)/24,2)))</f>
        <v>22.5</v>
      </c>
      <c r="Y386" s="129">
        <f t="shared" si="1141"/>
        <v>26</v>
      </c>
      <c r="Z386" s="129">
        <f t="shared" si="1142"/>
        <v>540</v>
      </c>
      <c r="AA386" s="85">
        <f t="shared" si="1143"/>
        <v>624</v>
      </c>
      <c r="AB386" s="85">
        <f>'Consumer Hardware Pricing'!X394</f>
        <v>0</v>
      </c>
      <c r="AC386" s="85">
        <f t="shared" si="950"/>
        <v>48.5</v>
      </c>
      <c r="AD386" s="85">
        <f>'Consumer Hardware Pricing'!Y394</f>
        <v>2</v>
      </c>
      <c r="AE386" s="85">
        <f t="shared" si="1144"/>
        <v>46.5</v>
      </c>
      <c r="AF386" s="85">
        <f t="shared" si="1145"/>
        <v>48</v>
      </c>
      <c r="AG386" s="85">
        <f t="shared" si="1146"/>
        <v>1116</v>
      </c>
      <c r="AH386" s="85">
        <f>'Consumer Hardware Pricing'!AA394</f>
        <v>540</v>
      </c>
      <c r="AI386" s="85">
        <f t="shared" si="951"/>
        <v>24.5</v>
      </c>
      <c r="AJ386" s="85">
        <f t="shared" si="1147"/>
        <v>24</v>
      </c>
      <c r="AK386" s="85">
        <f t="shared" si="1148"/>
        <v>588</v>
      </c>
      <c r="AL386" s="85">
        <f t="shared" si="1149"/>
        <v>576</v>
      </c>
      <c r="AM386" s="85">
        <f>'Consumer Hardware Pricing'!AC394</f>
        <v>0</v>
      </c>
      <c r="AN386" s="85">
        <f t="shared" si="952"/>
        <v>48.5</v>
      </c>
      <c r="AO386" s="85">
        <f>'Consumer Hardware Pricing'!AD394</f>
        <v>2</v>
      </c>
      <c r="AP386" s="85">
        <f t="shared" si="1150"/>
        <v>46.5</v>
      </c>
      <c r="AQ386" s="85">
        <f t="shared" si="1151"/>
        <v>48</v>
      </c>
      <c r="AR386" s="85">
        <f t="shared" si="1152"/>
        <v>1116</v>
      </c>
      <c r="AS386" s="85">
        <f>'Consumer Hardware Pricing'!AF394</f>
        <v>540</v>
      </c>
      <c r="AT386" s="85">
        <f t="shared" si="953"/>
        <v>24.5</v>
      </c>
      <c r="AU386" s="85">
        <f t="shared" si="1153"/>
        <v>24</v>
      </c>
      <c r="AV386" s="85">
        <f t="shared" si="1154"/>
        <v>588</v>
      </c>
      <c r="AW386" s="85">
        <f t="shared" si="1155"/>
        <v>576</v>
      </c>
      <c r="AX386" s="85" t="str">
        <f>'Consumer Hardware Pricing'!AH394</f>
        <v>-</v>
      </c>
      <c r="AY386" s="85" t="str">
        <f t="shared" si="954"/>
        <v>-</v>
      </c>
      <c r="AZ386" s="85" t="str">
        <f>'Consumer Hardware Pricing'!AI394</f>
        <v>-</v>
      </c>
      <c r="BA386" s="85" t="str">
        <f t="shared" si="1156"/>
        <v>-</v>
      </c>
      <c r="BB386" s="85" t="str">
        <f t="shared" si="1157"/>
        <v>-</v>
      </c>
      <c r="BC386" s="85" t="str">
        <f t="shared" si="1158"/>
        <v>-</v>
      </c>
      <c r="BD386" s="85" t="str">
        <f>'Consumer Hardware Pricing'!AL394</f>
        <v>-</v>
      </c>
      <c r="BE386" s="85" t="str">
        <f t="shared" si="955"/>
        <v>-</v>
      </c>
      <c r="BF386" s="85" t="str">
        <f>'Consumer Hardware Pricing'!AM394</f>
        <v>-</v>
      </c>
      <c r="BG386" s="85" t="str">
        <f t="shared" si="1159"/>
        <v>-</v>
      </c>
      <c r="BH386" s="85" t="str">
        <f t="shared" si="1160"/>
        <v>-</v>
      </c>
      <c r="BI386" s="85" t="str">
        <f t="shared" si="1161"/>
        <v>-</v>
      </c>
      <c r="BJ386" s="85" t="str">
        <f>'Consumer Hardware Pricing'!AP394</f>
        <v>-</v>
      </c>
      <c r="BK386" s="85" t="str">
        <f t="shared" si="956"/>
        <v>-</v>
      </c>
      <c r="BL386" s="85" t="str">
        <f>'Consumer Hardware Pricing'!AQ394</f>
        <v>-</v>
      </c>
      <c r="BM386" s="85" t="str">
        <f t="shared" si="1162"/>
        <v>-</v>
      </c>
      <c r="BN386" s="85" t="str">
        <f t="shared" si="1163"/>
        <v>-</v>
      </c>
      <c r="BO386" s="85" t="str">
        <f t="shared" si="1164"/>
        <v>-</v>
      </c>
      <c r="BP386" s="85" t="str">
        <f>'Consumer Hardware Pricing'!AT394</f>
        <v>-</v>
      </c>
      <c r="BQ386" s="85" t="str">
        <f t="shared" si="957"/>
        <v>-</v>
      </c>
      <c r="BR386" s="85" t="str">
        <f>'Consumer Hardware Pricing'!AU394</f>
        <v>-</v>
      </c>
      <c r="BS386" s="85" t="str">
        <f t="shared" si="1165"/>
        <v>-</v>
      </c>
      <c r="BT386" s="85" t="str">
        <f t="shared" si="1166"/>
        <v>-</v>
      </c>
      <c r="BU386" s="85" t="str">
        <f t="shared" si="1167"/>
        <v>-</v>
      </c>
    </row>
    <row r="387" spans="1:73" ht="30.15" customHeight="1" x14ac:dyDescent="0.25">
      <c r="A387" s="87" t="s">
        <v>34</v>
      </c>
      <c r="B387" s="88" t="s">
        <v>1105</v>
      </c>
      <c r="C387" s="88" t="s">
        <v>1119</v>
      </c>
      <c r="D387" s="85">
        <f>'Consumer Hardware Pricing'!L395</f>
        <v>1164</v>
      </c>
      <c r="E387" s="85">
        <f>'Consumer Hardware Pricing'!M395</f>
        <v>1164</v>
      </c>
      <c r="F387" s="85">
        <f>'Consumer Hardware Pricing'!N395</f>
        <v>0</v>
      </c>
      <c r="G387" s="85">
        <f t="shared" si="1168"/>
        <v>48.5</v>
      </c>
      <c r="H387" s="85" t="str">
        <f>'Consumer Hardware Pricing'!O395</f>
        <v>-</v>
      </c>
      <c r="I387" s="85">
        <f t="shared" si="1131"/>
        <v>48.5</v>
      </c>
      <c r="J387" s="85" t="str">
        <f t="shared" si="1132"/>
        <v>-</v>
      </c>
      <c r="K387" s="85">
        <f t="shared" si="1133"/>
        <v>1164</v>
      </c>
      <c r="L387" s="85">
        <f>'Consumer Hardware Pricing'!Q395</f>
        <v>540</v>
      </c>
      <c r="M387" s="85">
        <f t="shared" si="1169"/>
        <v>22.5</v>
      </c>
      <c r="N387" s="85">
        <f t="shared" si="1134"/>
        <v>26</v>
      </c>
      <c r="O387" s="85">
        <f t="shared" si="1135"/>
        <v>540</v>
      </c>
      <c r="P387" s="85">
        <f t="shared" si="1136"/>
        <v>624</v>
      </c>
      <c r="Q387" s="85">
        <f>'Consumer Hardware Pricing'!S395</f>
        <v>0</v>
      </c>
      <c r="R387" s="85">
        <f t="shared" si="1137"/>
        <v>48.5</v>
      </c>
      <c r="S387" s="85" t="str">
        <f>'Consumer Hardware Pricing'!T395</f>
        <v>-</v>
      </c>
      <c r="T387" s="129">
        <f t="shared" si="1138"/>
        <v>48.5</v>
      </c>
      <c r="U387" s="129" t="str">
        <f t="shared" si="1139"/>
        <v>-</v>
      </c>
      <c r="V387" s="85">
        <f t="shared" si="1140"/>
        <v>1164</v>
      </c>
      <c r="W387" s="129">
        <f>'Consumer Hardware Pricing'!V395</f>
        <v>540</v>
      </c>
      <c r="X387" s="129">
        <f t="shared" si="1170"/>
        <v>22.5</v>
      </c>
      <c r="Y387" s="129">
        <f t="shared" si="1141"/>
        <v>26</v>
      </c>
      <c r="Z387" s="129">
        <f t="shared" si="1142"/>
        <v>540</v>
      </c>
      <c r="AA387" s="85">
        <f t="shared" si="1143"/>
        <v>624</v>
      </c>
      <c r="AB387" s="85">
        <f>'Consumer Hardware Pricing'!X395</f>
        <v>0</v>
      </c>
      <c r="AC387" s="85">
        <f t="shared" si="950"/>
        <v>48.5</v>
      </c>
      <c r="AD387" s="85">
        <f>'Consumer Hardware Pricing'!Y395</f>
        <v>2</v>
      </c>
      <c r="AE387" s="85">
        <f t="shared" si="1144"/>
        <v>46.5</v>
      </c>
      <c r="AF387" s="85">
        <f t="shared" si="1145"/>
        <v>48</v>
      </c>
      <c r="AG387" s="85">
        <f t="shared" si="1146"/>
        <v>1116</v>
      </c>
      <c r="AH387" s="85">
        <f>'Consumer Hardware Pricing'!AA395</f>
        <v>540</v>
      </c>
      <c r="AI387" s="85">
        <f t="shared" si="951"/>
        <v>24.5</v>
      </c>
      <c r="AJ387" s="85">
        <f t="shared" si="1147"/>
        <v>24</v>
      </c>
      <c r="AK387" s="85">
        <f t="shared" si="1148"/>
        <v>588</v>
      </c>
      <c r="AL387" s="85">
        <f t="shared" si="1149"/>
        <v>576</v>
      </c>
      <c r="AM387" s="85">
        <f>'Consumer Hardware Pricing'!AC395</f>
        <v>0</v>
      </c>
      <c r="AN387" s="85">
        <f t="shared" si="952"/>
        <v>48.5</v>
      </c>
      <c r="AO387" s="85">
        <f>'Consumer Hardware Pricing'!AD395</f>
        <v>2</v>
      </c>
      <c r="AP387" s="85">
        <f t="shared" si="1150"/>
        <v>46.5</v>
      </c>
      <c r="AQ387" s="85">
        <f t="shared" si="1151"/>
        <v>48</v>
      </c>
      <c r="AR387" s="85">
        <f t="shared" si="1152"/>
        <v>1116</v>
      </c>
      <c r="AS387" s="85">
        <f>'Consumer Hardware Pricing'!AF395</f>
        <v>540</v>
      </c>
      <c r="AT387" s="85">
        <f t="shared" si="953"/>
        <v>24.5</v>
      </c>
      <c r="AU387" s="85">
        <f t="shared" si="1153"/>
        <v>24</v>
      </c>
      <c r="AV387" s="85">
        <f t="shared" si="1154"/>
        <v>588</v>
      </c>
      <c r="AW387" s="85">
        <f t="shared" si="1155"/>
        <v>576</v>
      </c>
      <c r="AX387" s="85" t="str">
        <f>'Consumer Hardware Pricing'!AH395</f>
        <v>-</v>
      </c>
      <c r="AY387" s="85" t="str">
        <f t="shared" si="954"/>
        <v>-</v>
      </c>
      <c r="AZ387" s="85" t="str">
        <f>'Consumer Hardware Pricing'!AI395</f>
        <v>-</v>
      </c>
      <c r="BA387" s="85" t="str">
        <f t="shared" si="1156"/>
        <v>-</v>
      </c>
      <c r="BB387" s="85" t="str">
        <f t="shared" si="1157"/>
        <v>-</v>
      </c>
      <c r="BC387" s="85" t="str">
        <f t="shared" si="1158"/>
        <v>-</v>
      </c>
      <c r="BD387" s="85" t="str">
        <f>'Consumer Hardware Pricing'!AL395</f>
        <v>-</v>
      </c>
      <c r="BE387" s="85" t="str">
        <f t="shared" si="955"/>
        <v>-</v>
      </c>
      <c r="BF387" s="85" t="str">
        <f>'Consumer Hardware Pricing'!AM395</f>
        <v>-</v>
      </c>
      <c r="BG387" s="85" t="str">
        <f t="shared" si="1159"/>
        <v>-</v>
      </c>
      <c r="BH387" s="85" t="str">
        <f t="shared" si="1160"/>
        <v>-</v>
      </c>
      <c r="BI387" s="85" t="str">
        <f t="shared" si="1161"/>
        <v>-</v>
      </c>
      <c r="BJ387" s="85" t="str">
        <f>'Consumer Hardware Pricing'!AP395</f>
        <v>-</v>
      </c>
      <c r="BK387" s="85" t="str">
        <f t="shared" si="956"/>
        <v>-</v>
      </c>
      <c r="BL387" s="85" t="str">
        <f>'Consumer Hardware Pricing'!AQ395</f>
        <v>-</v>
      </c>
      <c r="BM387" s="85" t="str">
        <f t="shared" si="1162"/>
        <v>-</v>
      </c>
      <c r="BN387" s="85" t="str">
        <f t="shared" si="1163"/>
        <v>-</v>
      </c>
      <c r="BO387" s="85" t="str">
        <f t="shared" si="1164"/>
        <v>-</v>
      </c>
      <c r="BP387" s="85" t="str">
        <f>'Consumer Hardware Pricing'!AT395</f>
        <v>-</v>
      </c>
      <c r="BQ387" s="85" t="str">
        <f t="shared" si="957"/>
        <v>-</v>
      </c>
      <c r="BR387" s="85" t="str">
        <f>'Consumer Hardware Pricing'!AU395</f>
        <v>-</v>
      </c>
      <c r="BS387" s="85" t="str">
        <f t="shared" si="1165"/>
        <v>-</v>
      </c>
      <c r="BT387" s="85" t="str">
        <f t="shared" si="1166"/>
        <v>-</v>
      </c>
      <c r="BU387" s="85" t="str">
        <f t="shared" si="1167"/>
        <v>-</v>
      </c>
    </row>
    <row r="388" spans="1:73" ht="30.15" customHeight="1" x14ac:dyDescent="0.25">
      <c r="A388" s="87" t="s">
        <v>34</v>
      </c>
      <c r="B388" s="88" t="s">
        <v>1106</v>
      </c>
      <c r="C388" s="88" t="s">
        <v>1119</v>
      </c>
      <c r="D388" s="85">
        <f>'Consumer Hardware Pricing'!L396</f>
        <v>1164</v>
      </c>
      <c r="E388" s="85">
        <f>'Consumer Hardware Pricing'!M396</f>
        <v>1164</v>
      </c>
      <c r="F388" s="85">
        <f>'Consumer Hardware Pricing'!N396</f>
        <v>0</v>
      </c>
      <c r="G388" s="85">
        <f t="shared" si="1168"/>
        <v>48.5</v>
      </c>
      <c r="H388" s="85" t="str">
        <f>'Consumer Hardware Pricing'!O396</f>
        <v>-</v>
      </c>
      <c r="I388" s="85">
        <f t="shared" si="1131"/>
        <v>48.5</v>
      </c>
      <c r="J388" s="85" t="str">
        <f t="shared" si="1132"/>
        <v>-</v>
      </c>
      <c r="K388" s="85">
        <f t="shared" si="1133"/>
        <v>1164</v>
      </c>
      <c r="L388" s="85">
        <f>'Consumer Hardware Pricing'!Q396</f>
        <v>540</v>
      </c>
      <c r="M388" s="85">
        <f t="shared" si="1169"/>
        <v>22.5</v>
      </c>
      <c r="N388" s="85">
        <f t="shared" si="1134"/>
        <v>26</v>
      </c>
      <c r="O388" s="85">
        <f t="shared" si="1135"/>
        <v>540</v>
      </c>
      <c r="P388" s="85">
        <f t="shared" si="1136"/>
        <v>624</v>
      </c>
      <c r="Q388" s="85">
        <f>'Consumer Hardware Pricing'!S396</f>
        <v>0</v>
      </c>
      <c r="R388" s="85">
        <f t="shared" si="1137"/>
        <v>48.5</v>
      </c>
      <c r="S388" s="85" t="str">
        <f>'Consumer Hardware Pricing'!T396</f>
        <v>-</v>
      </c>
      <c r="T388" s="129">
        <f t="shared" si="1138"/>
        <v>48.5</v>
      </c>
      <c r="U388" s="129" t="str">
        <f t="shared" si="1139"/>
        <v>-</v>
      </c>
      <c r="V388" s="85">
        <f t="shared" si="1140"/>
        <v>1164</v>
      </c>
      <c r="W388" s="129">
        <f>'Consumer Hardware Pricing'!V396</f>
        <v>540</v>
      </c>
      <c r="X388" s="129">
        <f t="shared" si="1170"/>
        <v>22.5</v>
      </c>
      <c r="Y388" s="129">
        <f t="shared" si="1141"/>
        <v>26</v>
      </c>
      <c r="Z388" s="129">
        <f t="shared" si="1142"/>
        <v>540</v>
      </c>
      <c r="AA388" s="85">
        <f t="shared" si="1143"/>
        <v>624</v>
      </c>
      <c r="AB388" s="85">
        <f>'Consumer Hardware Pricing'!X396</f>
        <v>0</v>
      </c>
      <c r="AC388" s="85">
        <f t="shared" si="950"/>
        <v>48.5</v>
      </c>
      <c r="AD388" s="85">
        <f>'Consumer Hardware Pricing'!Y396</f>
        <v>2</v>
      </c>
      <c r="AE388" s="85">
        <f t="shared" si="1144"/>
        <v>46.5</v>
      </c>
      <c r="AF388" s="85">
        <f t="shared" si="1145"/>
        <v>48</v>
      </c>
      <c r="AG388" s="85">
        <f t="shared" si="1146"/>
        <v>1116</v>
      </c>
      <c r="AH388" s="85">
        <f>'Consumer Hardware Pricing'!AA396</f>
        <v>540</v>
      </c>
      <c r="AI388" s="85">
        <f t="shared" si="951"/>
        <v>24.5</v>
      </c>
      <c r="AJ388" s="85">
        <f t="shared" si="1147"/>
        <v>24</v>
      </c>
      <c r="AK388" s="85">
        <f t="shared" si="1148"/>
        <v>588</v>
      </c>
      <c r="AL388" s="85">
        <f t="shared" si="1149"/>
        <v>576</v>
      </c>
      <c r="AM388" s="85">
        <f>'Consumer Hardware Pricing'!AC396</f>
        <v>0</v>
      </c>
      <c r="AN388" s="85">
        <f t="shared" si="952"/>
        <v>48.5</v>
      </c>
      <c r="AO388" s="85">
        <f>'Consumer Hardware Pricing'!AD396</f>
        <v>2</v>
      </c>
      <c r="AP388" s="85">
        <f t="shared" si="1150"/>
        <v>46.5</v>
      </c>
      <c r="AQ388" s="85">
        <f t="shared" si="1151"/>
        <v>48</v>
      </c>
      <c r="AR388" s="85">
        <f t="shared" si="1152"/>
        <v>1116</v>
      </c>
      <c r="AS388" s="85">
        <f>'Consumer Hardware Pricing'!AF396</f>
        <v>540</v>
      </c>
      <c r="AT388" s="85">
        <f t="shared" si="953"/>
        <v>24.5</v>
      </c>
      <c r="AU388" s="85">
        <f t="shared" si="1153"/>
        <v>24</v>
      </c>
      <c r="AV388" s="85">
        <f t="shared" si="1154"/>
        <v>588</v>
      </c>
      <c r="AW388" s="85">
        <f t="shared" si="1155"/>
        <v>576</v>
      </c>
      <c r="AX388" s="85" t="str">
        <f>'Consumer Hardware Pricing'!AH396</f>
        <v>-</v>
      </c>
      <c r="AY388" s="85" t="str">
        <f t="shared" si="954"/>
        <v>-</v>
      </c>
      <c r="AZ388" s="85" t="str">
        <f>'Consumer Hardware Pricing'!AI396</f>
        <v>-</v>
      </c>
      <c r="BA388" s="85" t="str">
        <f t="shared" si="1156"/>
        <v>-</v>
      </c>
      <c r="BB388" s="85" t="str">
        <f t="shared" si="1157"/>
        <v>-</v>
      </c>
      <c r="BC388" s="85" t="str">
        <f t="shared" si="1158"/>
        <v>-</v>
      </c>
      <c r="BD388" s="85" t="str">
        <f>'Consumer Hardware Pricing'!AL396</f>
        <v>-</v>
      </c>
      <c r="BE388" s="85" t="str">
        <f t="shared" si="955"/>
        <v>-</v>
      </c>
      <c r="BF388" s="85" t="str">
        <f>'Consumer Hardware Pricing'!AM396</f>
        <v>-</v>
      </c>
      <c r="BG388" s="85" t="str">
        <f t="shared" si="1159"/>
        <v>-</v>
      </c>
      <c r="BH388" s="85" t="str">
        <f t="shared" si="1160"/>
        <v>-</v>
      </c>
      <c r="BI388" s="85" t="str">
        <f t="shared" si="1161"/>
        <v>-</v>
      </c>
      <c r="BJ388" s="85" t="str">
        <f>'Consumer Hardware Pricing'!AP396</f>
        <v>-</v>
      </c>
      <c r="BK388" s="85" t="str">
        <f t="shared" si="956"/>
        <v>-</v>
      </c>
      <c r="BL388" s="85" t="str">
        <f>'Consumer Hardware Pricing'!AQ396</f>
        <v>-</v>
      </c>
      <c r="BM388" s="85" t="str">
        <f t="shared" si="1162"/>
        <v>-</v>
      </c>
      <c r="BN388" s="85" t="str">
        <f t="shared" si="1163"/>
        <v>-</v>
      </c>
      <c r="BO388" s="85" t="str">
        <f t="shared" si="1164"/>
        <v>-</v>
      </c>
      <c r="BP388" s="85" t="str">
        <f>'Consumer Hardware Pricing'!AT396</f>
        <v>-</v>
      </c>
      <c r="BQ388" s="85" t="str">
        <f t="shared" si="957"/>
        <v>-</v>
      </c>
      <c r="BR388" s="85" t="str">
        <f>'Consumer Hardware Pricing'!AU396</f>
        <v>-</v>
      </c>
      <c r="BS388" s="85" t="str">
        <f t="shared" si="1165"/>
        <v>-</v>
      </c>
      <c r="BT388" s="85" t="str">
        <f t="shared" si="1166"/>
        <v>-</v>
      </c>
      <c r="BU388" s="85" t="str">
        <f t="shared" si="1167"/>
        <v>-</v>
      </c>
    </row>
    <row r="389" spans="1:73" ht="30.15" customHeight="1" x14ac:dyDescent="0.25">
      <c r="A389" s="87" t="s">
        <v>34</v>
      </c>
      <c r="B389" s="88" t="s">
        <v>1107</v>
      </c>
      <c r="C389" s="88" t="s">
        <v>1119</v>
      </c>
      <c r="D389" s="85">
        <f>'Consumer Hardware Pricing'!L397</f>
        <v>1164</v>
      </c>
      <c r="E389" s="85">
        <f>'Consumer Hardware Pricing'!M397</f>
        <v>1164</v>
      </c>
      <c r="F389" s="85">
        <f>'Consumer Hardware Pricing'!N397</f>
        <v>0</v>
      </c>
      <c r="G389" s="85">
        <f t="shared" si="1168"/>
        <v>48.5</v>
      </c>
      <c r="H389" s="85" t="str">
        <f>'Consumer Hardware Pricing'!O397</f>
        <v>-</v>
      </c>
      <c r="I389" s="85">
        <f t="shared" si="1131"/>
        <v>48.5</v>
      </c>
      <c r="J389" s="85" t="str">
        <f t="shared" si="1132"/>
        <v>-</v>
      </c>
      <c r="K389" s="85">
        <f t="shared" si="1133"/>
        <v>1164</v>
      </c>
      <c r="L389" s="85">
        <f>'Consumer Hardware Pricing'!Q397</f>
        <v>540</v>
      </c>
      <c r="M389" s="85">
        <f t="shared" si="1169"/>
        <v>22.5</v>
      </c>
      <c r="N389" s="85">
        <f t="shared" si="1134"/>
        <v>26</v>
      </c>
      <c r="O389" s="85">
        <f t="shared" si="1135"/>
        <v>540</v>
      </c>
      <c r="P389" s="85">
        <f t="shared" si="1136"/>
        <v>624</v>
      </c>
      <c r="Q389" s="85">
        <f>'Consumer Hardware Pricing'!S397</f>
        <v>0</v>
      </c>
      <c r="R389" s="85">
        <f t="shared" si="1137"/>
        <v>48.5</v>
      </c>
      <c r="S389" s="85" t="str">
        <f>'Consumer Hardware Pricing'!T397</f>
        <v>-</v>
      </c>
      <c r="T389" s="129">
        <f t="shared" si="1138"/>
        <v>48.5</v>
      </c>
      <c r="U389" s="129" t="str">
        <f t="shared" si="1139"/>
        <v>-</v>
      </c>
      <c r="V389" s="85">
        <f t="shared" si="1140"/>
        <v>1164</v>
      </c>
      <c r="W389" s="129">
        <f>'Consumer Hardware Pricing'!V397</f>
        <v>540</v>
      </c>
      <c r="X389" s="129">
        <f t="shared" si="1170"/>
        <v>22.5</v>
      </c>
      <c r="Y389" s="129">
        <f t="shared" si="1141"/>
        <v>26</v>
      </c>
      <c r="Z389" s="129">
        <f t="shared" si="1142"/>
        <v>540</v>
      </c>
      <c r="AA389" s="85">
        <f t="shared" si="1143"/>
        <v>624</v>
      </c>
      <c r="AB389" s="85">
        <f>'Consumer Hardware Pricing'!X397</f>
        <v>0</v>
      </c>
      <c r="AC389" s="85">
        <f t="shared" si="950"/>
        <v>48.5</v>
      </c>
      <c r="AD389" s="85">
        <f>'Consumer Hardware Pricing'!Y397</f>
        <v>2</v>
      </c>
      <c r="AE389" s="85">
        <f t="shared" si="1144"/>
        <v>46.5</v>
      </c>
      <c r="AF389" s="85">
        <f t="shared" si="1145"/>
        <v>48</v>
      </c>
      <c r="AG389" s="85">
        <f t="shared" si="1146"/>
        <v>1116</v>
      </c>
      <c r="AH389" s="85">
        <f>'Consumer Hardware Pricing'!AA397</f>
        <v>540</v>
      </c>
      <c r="AI389" s="85">
        <f t="shared" si="951"/>
        <v>24.5</v>
      </c>
      <c r="AJ389" s="85">
        <f t="shared" si="1147"/>
        <v>24</v>
      </c>
      <c r="AK389" s="85">
        <f t="shared" si="1148"/>
        <v>588</v>
      </c>
      <c r="AL389" s="85">
        <f t="shared" si="1149"/>
        <v>576</v>
      </c>
      <c r="AM389" s="85">
        <f>'Consumer Hardware Pricing'!AC397</f>
        <v>0</v>
      </c>
      <c r="AN389" s="85">
        <f t="shared" si="952"/>
        <v>48.5</v>
      </c>
      <c r="AO389" s="85">
        <f>'Consumer Hardware Pricing'!AD397</f>
        <v>2</v>
      </c>
      <c r="AP389" s="85">
        <f t="shared" si="1150"/>
        <v>46.5</v>
      </c>
      <c r="AQ389" s="85">
        <f t="shared" si="1151"/>
        <v>48</v>
      </c>
      <c r="AR389" s="85">
        <f t="shared" si="1152"/>
        <v>1116</v>
      </c>
      <c r="AS389" s="85">
        <f>'Consumer Hardware Pricing'!AF397</f>
        <v>540</v>
      </c>
      <c r="AT389" s="85">
        <f t="shared" si="953"/>
        <v>24.5</v>
      </c>
      <c r="AU389" s="85">
        <f t="shared" si="1153"/>
        <v>24</v>
      </c>
      <c r="AV389" s="85">
        <f t="shared" si="1154"/>
        <v>588</v>
      </c>
      <c r="AW389" s="85">
        <f t="shared" si="1155"/>
        <v>576</v>
      </c>
      <c r="AX389" s="85" t="str">
        <f>'Consumer Hardware Pricing'!AH397</f>
        <v>-</v>
      </c>
      <c r="AY389" s="85" t="str">
        <f t="shared" si="954"/>
        <v>-</v>
      </c>
      <c r="AZ389" s="85" t="str">
        <f>'Consumer Hardware Pricing'!AI397</f>
        <v>-</v>
      </c>
      <c r="BA389" s="85" t="str">
        <f t="shared" si="1156"/>
        <v>-</v>
      </c>
      <c r="BB389" s="85" t="str">
        <f t="shared" si="1157"/>
        <v>-</v>
      </c>
      <c r="BC389" s="85" t="str">
        <f t="shared" si="1158"/>
        <v>-</v>
      </c>
      <c r="BD389" s="85" t="str">
        <f>'Consumer Hardware Pricing'!AL397</f>
        <v>-</v>
      </c>
      <c r="BE389" s="85" t="str">
        <f t="shared" si="955"/>
        <v>-</v>
      </c>
      <c r="BF389" s="85" t="str">
        <f>'Consumer Hardware Pricing'!AM397</f>
        <v>-</v>
      </c>
      <c r="BG389" s="85" t="str">
        <f t="shared" si="1159"/>
        <v>-</v>
      </c>
      <c r="BH389" s="85" t="str">
        <f t="shared" si="1160"/>
        <v>-</v>
      </c>
      <c r="BI389" s="85" t="str">
        <f t="shared" si="1161"/>
        <v>-</v>
      </c>
      <c r="BJ389" s="85" t="str">
        <f>'Consumer Hardware Pricing'!AP397</f>
        <v>-</v>
      </c>
      <c r="BK389" s="85" t="str">
        <f t="shared" si="956"/>
        <v>-</v>
      </c>
      <c r="BL389" s="85" t="str">
        <f>'Consumer Hardware Pricing'!AQ397</f>
        <v>-</v>
      </c>
      <c r="BM389" s="85" t="str">
        <f t="shared" si="1162"/>
        <v>-</v>
      </c>
      <c r="BN389" s="85" t="str">
        <f t="shared" si="1163"/>
        <v>-</v>
      </c>
      <c r="BO389" s="85" t="str">
        <f t="shared" si="1164"/>
        <v>-</v>
      </c>
      <c r="BP389" s="85" t="str">
        <f>'Consumer Hardware Pricing'!AT397</f>
        <v>-</v>
      </c>
      <c r="BQ389" s="85" t="str">
        <f t="shared" si="957"/>
        <v>-</v>
      </c>
      <c r="BR389" s="85" t="str">
        <f>'Consumer Hardware Pricing'!AU397</f>
        <v>-</v>
      </c>
      <c r="BS389" s="85" t="str">
        <f t="shared" si="1165"/>
        <v>-</v>
      </c>
      <c r="BT389" s="85" t="str">
        <f t="shared" si="1166"/>
        <v>-</v>
      </c>
      <c r="BU389" s="85" t="str">
        <f t="shared" si="1167"/>
        <v>-</v>
      </c>
    </row>
    <row r="390" spans="1:73" ht="30.15" customHeight="1" x14ac:dyDescent="0.25">
      <c r="A390" s="87" t="s">
        <v>34</v>
      </c>
      <c r="B390" s="88" t="s">
        <v>1108</v>
      </c>
      <c r="C390" s="88" t="s">
        <v>1119</v>
      </c>
      <c r="D390" s="85">
        <f>'Consumer Hardware Pricing'!L398</f>
        <v>1164</v>
      </c>
      <c r="E390" s="85">
        <f>'Consumer Hardware Pricing'!M398</f>
        <v>1164</v>
      </c>
      <c r="F390" s="85">
        <f>'Consumer Hardware Pricing'!N398</f>
        <v>0</v>
      </c>
      <c r="G390" s="85">
        <f t="shared" si="1168"/>
        <v>48.5</v>
      </c>
      <c r="H390" s="85" t="str">
        <f>'Consumer Hardware Pricing'!O398</f>
        <v>-</v>
      </c>
      <c r="I390" s="85">
        <f t="shared" si="1131"/>
        <v>48.5</v>
      </c>
      <c r="J390" s="85" t="str">
        <f t="shared" si="1132"/>
        <v>-</v>
      </c>
      <c r="K390" s="85">
        <f t="shared" si="1133"/>
        <v>1164</v>
      </c>
      <c r="L390" s="85">
        <f>'Consumer Hardware Pricing'!Q398</f>
        <v>540</v>
      </c>
      <c r="M390" s="85">
        <f t="shared" si="1169"/>
        <v>22.5</v>
      </c>
      <c r="N390" s="85">
        <f t="shared" si="1134"/>
        <v>26</v>
      </c>
      <c r="O390" s="85">
        <f t="shared" si="1135"/>
        <v>540</v>
      </c>
      <c r="P390" s="85">
        <f t="shared" si="1136"/>
        <v>624</v>
      </c>
      <c r="Q390" s="85">
        <f>'Consumer Hardware Pricing'!S398</f>
        <v>0</v>
      </c>
      <c r="R390" s="85">
        <f t="shared" si="1137"/>
        <v>48.5</v>
      </c>
      <c r="S390" s="85" t="str">
        <f>'Consumer Hardware Pricing'!T398</f>
        <v>-</v>
      </c>
      <c r="T390" s="129">
        <f t="shared" si="1138"/>
        <v>48.5</v>
      </c>
      <c r="U390" s="129" t="str">
        <f t="shared" si="1139"/>
        <v>-</v>
      </c>
      <c r="V390" s="85">
        <f t="shared" si="1140"/>
        <v>1164</v>
      </c>
      <c r="W390" s="129">
        <f>'Consumer Hardware Pricing'!V398</f>
        <v>540</v>
      </c>
      <c r="X390" s="129">
        <f t="shared" si="1170"/>
        <v>22.5</v>
      </c>
      <c r="Y390" s="129">
        <f t="shared" si="1141"/>
        <v>26</v>
      </c>
      <c r="Z390" s="129">
        <f t="shared" si="1142"/>
        <v>540</v>
      </c>
      <c r="AA390" s="85">
        <f t="shared" si="1143"/>
        <v>624</v>
      </c>
      <c r="AB390" s="85">
        <f>'Consumer Hardware Pricing'!X398</f>
        <v>0</v>
      </c>
      <c r="AC390" s="85">
        <f t="shared" si="950"/>
        <v>48.5</v>
      </c>
      <c r="AD390" s="85">
        <f>'Consumer Hardware Pricing'!Y398</f>
        <v>2</v>
      </c>
      <c r="AE390" s="85">
        <f t="shared" si="1144"/>
        <v>46.5</v>
      </c>
      <c r="AF390" s="85">
        <f t="shared" si="1145"/>
        <v>48</v>
      </c>
      <c r="AG390" s="85">
        <f t="shared" si="1146"/>
        <v>1116</v>
      </c>
      <c r="AH390" s="85">
        <f>'Consumer Hardware Pricing'!AA398</f>
        <v>540</v>
      </c>
      <c r="AI390" s="85">
        <f t="shared" si="951"/>
        <v>24.5</v>
      </c>
      <c r="AJ390" s="85">
        <f t="shared" si="1147"/>
        <v>24</v>
      </c>
      <c r="AK390" s="85">
        <f t="shared" si="1148"/>
        <v>588</v>
      </c>
      <c r="AL390" s="85">
        <f t="shared" si="1149"/>
        <v>576</v>
      </c>
      <c r="AM390" s="85">
        <f>'Consumer Hardware Pricing'!AC398</f>
        <v>0</v>
      </c>
      <c r="AN390" s="85">
        <f t="shared" si="952"/>
        <v>48.5</v>
      </c>
      <c r="AO390" s="85">
        <f>'Consumer Hardware Pricing'!AD398</f>
        <v>2</v>
      </c>
      <c r="AP390" s="85">
        <f t="shared" si="1150"/>
        <v>46.5</v>
      </c>
      <c r="AQ390" s="85">
        <f t="shared" si="1151"/>
        <v>48</v>
      </c>
      <c r="AR390" s="85">
        <f t="shared" si="1152"/>
        <v>1116</v>
      </c>
      <c r="AS390" s="85">
        <f>'Consumer Hardware Pricing'!AF398</f>
        <v>540</v>
      </c>
      <c r="AT390" s="85">
        <f t="shared" si="953"/>
        <v>24.5</v>
      </c>
      <c r="AU390" s="85">
        <f t="shared" si="1153"/>
        <v>24</v>
      </c>
      <c r="AV390" s="85">
        <f t="shared" si="1154"/>
        <v>588</v>
      </c>
      <c r="AW390" s="85">
        <f t="shared" si="1155"/>
        <v>576</v>
      </c>
      <c r="AX390" s="85" t="str">
        <f>'Consumer Hardware Pricing'!AH398</f>
        <v>-</v>
      </c>
      <c r="AY390" s="85" t="str">
        <f t="shared" si="954"/>
        <v>-</v>
      </c>
      <c r="AZ390" s="85" t="str">
        <f>'Consumer Hardware Pricing'!AI398</f>
        <v>-</v>
      </c>
      <c r="BA390" s="85" t="str">
        <f t="shared" si="1156"/>
        <v>-</v>
      </c>
      <c r="BB390" s="85" t="str">
        <f t="shared" si="1157"/>
        <v>-</v>
      </c>
      <c r="BC390" s="85" t="str">
        <f t="shared" si="1158"/>
        <v>-</v>
      </c>
      <c r="BD390" s="85" t="str">
        <f>'Consumer Hardware Pricing'!AL398</f>
        <v>-</v>
      </c>
      <c r="BE390" s="85" t="str">
        <f t="shared" si="955"/>
        <v>-</v>
      </c>
      <c r="BF390" s="85" t="str">
        <f>'Consumer Hardware Pricing'!AM398</f>
        <v>-</v>
      </c>
      <c r="BG390" s="85" t="str">
        <f t="shared" si="1159"/>
        <v>-</v>
      </c>
      <c r="BH390" s="85" t="str">
        <f t="shared" si="1160"/>
        <v>-</v>
      </c>
      <c r="BI390" s="85" t="str">
        <f t="shared" si="1161"/>
        <v>-</v>
      </c>
      <c r="BJ390" s="85" t="str">
        <f>'Consumer Hardware Pricing'!AP398</f>
        <v>-</v>
      </c>
      <c r="BK390" s="85" t="str">
        <f t="shared" si="956"/>
        <v>-</v>
      </c>
      <c r="BL390" s="85" t="str">
        <f>'Consumer Hardware Pricing'!AQ398</f>
        <v>-</v>
      </c>
      <c r="BM390" s="85" t="str">
        <f t="shared" si="1162"/>
        <v>-</v>
      </c>
      <c r="BN390" s="85" t="str">
        <f t="shared" si="1163"/>
        <v>-</v>
      </c>
      <c r="BO390" s="85" t="str">
        <f t="shared" si="1164"/>
        <v>-</v>
      </c>
      <c r="BP390" s="85" t="str">
        <f>'Consumer Hardware Pricing'!AT398</f>
        <v>-</v>
      </c>
      <c r="BQ390" s="85" t="str">
        <f t="shared" si="957"/>
        <v>-</v>
      </c>
      <c r="BR390" s="85" t="str">
        <f>'Consumer Hardware Pricing'!AU398</f>
        <v>-</v>
      </c>
      <c r="BS390" s="85" t="str">
        <f t="shared" si="1165"/>
        <v>-</v>
      </c>
      <c r="BT390" s="85" t="str">
        <f t="shared" si="1166"/>
        <v>-</v>
      </c>
      <c r="BU390" s="85" t="str">
        <f t="shared" si="1167"/>
        <v>-</v>
      </c>
    </row>
    <row r="391" spans="1:73" ht="30.15" customHeight="1" x14ac:dyDescent="0.25">
      <c r="A391" s="87" t="s">
        <v>34</v>
      </c>
      <c r="B391" s="88" t="s">
        <v>1248</v>
      </c>
      <c r="C391" s="88" t="s">
        <v>1119</v>
      </c>
      <c r="D391" s="85">
        <f>'Consumer Hardware Pricing'!L399</f>
        <v>1164</v>
      </c>
      <c r="E391" s="85">
        <f>'Consumer Hardware Pricing'!M399</f>
        <v>1164</v>
      </c>
      <c r="F391" s="85">
        <f>'Consumer Hardware Pricing'!N399</f>
        <v>0</v>
      </c>
      <c r="G391" s="85">
        <f t="shared" ref="G391" si="1171">IF(F391="-","-",ROUNDUP(D391/24,2))</f>
        <v>48.5</v>
      </c>
      <c r="H391" s="85" t="str">
        <f>'Consumer Hardware Pricing'!O399</f>
        <v>-</v>
      </c>
      <c r="I391" s="85">
        <f t="shared" ref="I391" si="1172">IF(H391="-",G391,G391-H391)</f>
        <v>48.5</v>
      </c>
      <c r="J391" s="85" t="str">
        <f t="shared" ref="J391" si="1173">IF(H391="-",H391,H391*24)</f>
        <v>-</v>
      </c>
      <c r="K391" s="85">
        <f t="shared" ref="K391" si="1174">IF(F391="-",F391,I391*24)</f>
        <v>1164</v>
      </c>
      <c r="L391" s="85">
        <f>'Consumer Hardware Pricing'!Q399</f>
        <v>540</v>
      </c>
      <c r="M391" s="85">
        <f t="shared" ref="M391" si="1175">IF(L391="-",L391,IF(H391="-",G391-ROUNDUP((D391-L391)/24,2),H391+G391-ROUNDUP((D391-L391)/24,2)))</f>
        <v>22.5</v>
      </c>
      <c r="N391" s="85">
        <f t="shared" ref="N391" si="1176">IF(L391="-",L391,G391-M391)</f>
        <v>26</v>
      </c>
      <c r="O391" s="85">
        <f t="shared" ref="O391" si="1177">IF(L391="-",L391,M391*24)</f>
        <v>540</v>
      </c>
      <c r="P391" s="85">
        <f t="shared" ref="P391" si="1178">IF(L391="-",L391,N391*24)</f>
        <v>624</v>
      </c>
      <c r="Q391" s="85">
        <f>'Consumer Hardware Pricing'!S399</f>
        <v>0</v>
      </c>
      <c r="R391" s="85">
        <f t="shared" ref="R391" si="1179">G391</f>
        <v>48.5</v>
      </c>
      <c r="S391" s="85" t="str">
        <f>'Consumer Hardware Pricing'!T399</f>
        <v>-</v>
      </c>
      <c r="T391" s="129">
        <f t="shared" ref="T391" si="1180">IF(S391="-",R391,R391-S391)</f>
        <v>48.5</v>
      </c>
      <c r="U391" s="129" t="str">
        <f t="shared" ref="U391" si="1181">IF(S391="-",S391,S391*24)</f>
        <v>-</v>
      </c>
      <c r="V391" s="85">
        <f t="shared" ref="V391" si="1182">IF(Q391="-",Q391,T391*24)</f>
        <v>1164</v>
      </c>
      <c r="W391" s="129">
        <f>'Consumer Hardware Pricing'!V399</f>
        <v>540</v>
      </c>
      <c r="X391" s="129">
        <f t="shared" ref="X391" si="1183">IF(W391="-",W391,IF(S391="-",R391-ROUNDUP((D391-W391)/24,2),S391+R391-ROUNDUP((D391-W391)/24,2)))</f>
        <v>22.5</v>
      </c>
      <c r="Y391" s="129">
        <f t="shared" ref="Y391" si="1184">IF(W391="-",W391,R391-X391)</f>
        <v>26</v>
      </c>
      <c r="Z391" s="129">
        <f t="shared" ref="Z391" si="1185">IF(W391="-",W391,X391*24)</f>
        <v>540</v>
      </c>
      <c r="AA391" s="85">
        <f t="shared" ref="AA391" si="1186">IF(W391="-",W391,Y391*24)</f>
        <v>624</v>
      </c>
      <c r="AB391" s="85">
        <f>'Consumer Hardware Pricing'!X399</f>
        <v>0</v>
      </c>
      <c r="AC391" s="85">
        <f t="shared" si="950"/>
        <v>48.5</v>
      </c>
      <c r="AD391" s="85">
        <f>'Consumer Hardware Pricing'!Y399</f>
        <v>2</v>
      </c>
      <c r="AE391" s="85">
        <f t="shared" ref="AE391" si="1187">IF(AD391="-",AC391,AC391-AD391)</f>
        <v>46.5</v>
      </c>
      <c r="AF391" s="85">
        <f t="shared" ref="AF391" si="1188">IF(AD391="-",AD391,AD391*24)</f>
        <v>48</v>
      </c>
      <c r="AG391" s="85">
        <f t="shared" ref="AG391" si="1189">IF(AB391="-",AB391,AE391*24)</f>
        <v>1116</v>
      </c>
      <c r="AH391" s="85">
        <f>'Consumer Hardware Pricing'!AA399</f>
        <v>540</v>
      </c>
      <c r="AI391" s="85">
        <f t="shared" si="951"/>
        <v>24.5</v>
      </c>
      <c r="AJ391" s="85">
        <f t="shared" ref="AJ391" si="1190">IF(AH391="-",AH391,AC391-AI391)</f>
        <v>24</v>
      </c>
      <c r="AK391" s="85">
        <f t="shared" ref="AK391" si="1191">IF(AH391="-",AH391,AI391*24)</f>
        <v>588</v>
      </c>
      <c r="AL391" s="85">
        <f t="shared" ref="AL391" si="1192">IF(AH391="-",AH391,AJ391*24)</f>
        <v>576</v>
      </c>
      <c r="AM391" s="85">
        <f>'Consumer Hardware Pricing'!AC399</f>
        <v>0</v>
      </c>
      <c r="AN391" s="85">
        <f t="shared" si="952"/>
        <v>48.5</v>
      </c>
      <c r="AO391" s="85">
        <f>'Consumer Hardware Pricing'!AD399</f>
        <v>2</v>
      </c>
      <c r="AP391" s="85">
        <f t="shared" ref="AP391" si="1193">IF(AO391="-",AN391,AN391-AO391)</f>
        <v>46.5</v>
      </c>
      <c r="AQ391" s="85">
        <f t="shared" ref="AQ391" si="1194">IF(AO391="-",AO391,AO391*24)</f>
        <v>48</v>
      </c>
      <c r="AR391" s="85">
        <f t="shared" ref="AR391" si="1195">IF(AM391="-",AM391,AP391*24)</f>
        <v>1116</v>
      </c>
      <c r="AS391" s="85">
        <f>'Consumer Hardware Pricing'!AF399</f>
        <v>540</v>
      </c>
      <c r="AT391" s="85">
        <f t="shared" si="953"/>
        <v>24.5</v>
      </c>
      <c r="AU391" s="85">
        <f t="shared" ref="AU391" si="1196">IF(AS391="-",AS391,AN391-AT391)</f>
        <v>24</v>
      </c>
      <c r="AV391" s="85">
        <f t="shared" ref="AV391" si="1197">IF(AS391="-",AS391,AT391*24)</f>
        <v>588</v>
      </c>
      <c r="AW391" s="85">
        <f t="shared" ref="AW391" si="1198">IF(AS391="-",AS391,AU391*24)</f>
        <v>576</v>
      </c>
      <c r="AX391" s="85" t="str">
        <f>'Consumer Hardware Pricing'!AH399</f>
        <v>-</v>
      </c>
      <c r="AY391" s="85" t="str">
        <f t="shared" si="954"/>
        <v>-</v>
      </c>
      <c r="AZ391" s="85" t="str">
        <f>'Consumer Hardware Pricing'!AI399</f>
        <v>-</v>
      </c>
      <c r="BA391" s="85" t="str">
        <f t="shared" ref="BA391" si="1199">IF(AZ391="-",AY391,AY391-AZ391)</f>
        <v>-</v>
      </c>
      <c r="BB391" s="85" t="str">
        <f t="shared" ref="BB391" si="1200">IF(AZ391="-",AZ391,AZ391*24)</f>
        <v>-</v>
      </c>
      <c r="BC391" s="85" t="str">
        <f t="shared" ref="BC391" si="1201">IF(AX391="-",AX391,AX391+(BA391*24))</f>
        <v>-</v>
      </c>
      <c r="BD391" s="85" t="str">
        <f>'Consumer Hardware Pricing'!AL399</f>
        <v>-</v>
      </c>
      <c r="BE391" s="85" t="str">
        <f t="shared" si="955"/>
        <v>-</v>
      </c>
      <c r="BF391" s="85" t="str">
        <f>'Consumer Hardware Pricing'!AM399</f>
        <v>-</v>
      </c>
      <c r="BG391" s="85" t="str">
        <f t="shared" ref="BG391" si="1202">IF(BF391="-",BE391,BE391-BF391)</f>
        <v>-</v>
      </c>
      <c r="BH391" s="85" t="str">
        <f t="shared" ref="BH391" si="1203">IF(BF391="-",BF391,BF391*24)</f>
        <v>-</v>
      </c>
      <c r="BI391" s="85" t="str">
        <f t="shared" ref="BI391" si="1204">IF(BD391="-",BD391,BD391+(BG391*24))</f>
        <v>-</v>
      </c>
      <c r="BJ391" s="85" t="str">
        <f>'Consumer Hardware Pricing'!AP399</f>
        <v>-</v>
      </c>
      <c r="BK391" s="85" t="str">
        <f t="shared" si="956"/>
        <v>-</v>
      </c>
      <c r="BL391" s="85" t="str">
        <f>'Consumer Hardware Pricing'!AQ399</f>
        <v>-</v>
      </c>
      <c r="BM391" s="85" t="str">
        <f t="shared" ref="BM391" si="1205">IF(BL391="-",BK391,BK391-BL391)</f>
        <v>-</v>
      </c>
      <c r="BN391" s="85" t="str">
        <f t="shared" ref="BN391" si="1206">IF(BL391="-",BL391,BL391*24)</f>
        <v>-</v>
      </c>
      <c r="BO391" s="85" t="str">
        <f t="shared" ref="BO391" si="1207">IF(BJ391="-",BJ391,BJ391+(BM391*24))</f>
        <v>-</v>
      </c>
      <c r="BP391" s="85" t="str">
        <f>'Consumer Hardware Pricing'!AT399</f>
        <v>-</v>
      </c>
      <c r="BQ391" s="85" t="str">
        <f t="shared" si="957"/>
        <v>-</v>
      </c>
      <c r="BR391" s="85" t="str">
        <f>'Consumer Hardware Pricing'!AU399</f>
        <v>-</v>
      </c>
      <c r="BS391" s="85" t="str">
        <f t="shared" ref="BS391" si="1208">IF(BR391="-",BQ391,BQ391-BR391)</f>
        <v>-</v>
      </c>
      <c r="BT391" s="85" t="str">
        <f t="shared" ref="BT391" si="1209">IF(BR391="-",BR391,BR391*24)</f>
        <v>-</v>
      </c>
      <c r="BU391" s="85" t="str">
        <f t="shared" ref="BU391" si="1210">IF(BP391="-",BP391,BP391+(BS391*24))</f>
        <v>-</v>
      </c>
    </row>
    <row r="392" spans="1:73" ht="30.15" customHeight="1" x14ac:dyDescent="0.25">
      <c r="A392" s="87" t="s">
        <v>34</v>
      </c>
      <c r="B392" s="88" t="s">
        <v>1109</v>
      </c>
      <c r="C392" s="88" t="s">
        <v>1120</v>
      </c>
      <c r="D392" s="85">
        <f>'Consumer Hardware Pricing'!L400</f>
        <v>1236</v>
      </c>
      <c r="E392" s="85">
        <f>'Consumer Hardware Pricing'!M400</f>
        <v>1236</v>
      </c>
      <c r="F392" s="85">
        <f>'Consumer Hardware Pricing'!N400</f>
        <v>0</v>
      </c>
      <c r="G392" s="85">
        <f t="shared" si="1168"/>
        <v>51.5</v>
      </c>
      <c r="H392" s="85" t="str">
        <f>'Consumer Hardware Pricing'!O400</f>
        <v>-</v>
      </c>
      <c r="I392" s="85">
        <f t="shared" si="1131"/>
        <v>51.5</v>
      </c>
      <c r="J392" s="85" t="str">
        <f t="shared" si="1132"/>
        <v>-</v>
      </c>
      <c r="K392" s="85">
        <f t="shared" si="1133"/>
        <v>1236</v>
      </c>
      <c r="L392" s="85">
        <f>'Consumer Hardware Pricing'!Q400</f>
        <v>552</v>
      </c>
      <c r="M392" s="85">
        <f t="shared" si="1169"/>
        <v>23</v>
      </c>
      <c r="N392" s="85">
        <f t="shared" si="1134"/>
        <v>28.5</v>
      </c>
      <c r="O392" s="85">
        <f t="shared" si="1135"/>
        <v>552</v>
      </c>
      <c r="P392" s="85">
        <f t="shared" si="1136"/>
        <v>684</v>
      </c>
      <c r="Q392" s="85">
        <f>'Consumer Hardware Pricing'!S400</f>
        <v>0</v>
      </c>
      <c r="R392" s="85">
        <f t="shared" si="1137"/>
        <v>51.5</v>
      </c>
      <c r="S392" s="85" t="str">
        <f>'Consumer Hardware Pricing'!T400</f>
        <v>-</v>
      </c>
      <c r="T392" s="129">
        <f t="shared" si="1138"/>
        <v>51.5</v>
      </c>
      <c r="U392" s="129" t="str">
        <f t="shared" si="1139"/>
        <v>-</v>
      </c>
      <c r="V392" s="85">
        <f t="shared" si="1140"/>
        <v>1236</v>
      </c>
      <c r="W392" s="129">
        <f>'Consumer Hardware Pricing'!V400</f>
        <v>552</v>
      </c>
      <c r="X392" s="129">
        <f t="shared" si="1170"/>
        <v>23</v>
      </c>
      <c r="Y392" s="129">
        <f t="shared" si="1141"/>
        <v>28.5</v>
      </c>
      <c r="Z392" s="129">
        <f t="shared" si="1142"/>
        <v>552</v>
      </c>
      <c r="AA392" s="85">
        <f t="shared" si="1143"/>
        <v>684</v>
      </c>
      <c r="AB392" s="85">
        <f>'Consumer Hardware Pricing'!X400</f>
        <v>0</v>
      </c>
      <c r="AC392" s="85">
        <f t="shared" si="950"/>
        <v>51.5</v>
      </c>
      <c r="AD392" s="85">
        <f>'Consumer Hardware Pricing'!Y400</f>
        <v>1.5</v>
      </c>
      <c r="AE392" s="85">
        <f t="shared" si="1144"/>
        <v>50</v>
      </c>
      <c r="AF392" s="85">
        <f t="shared" si="1145"/>
        <v>36</v>
      </c>
      <c r="AG392" s="85">
        <f t="shared" si="1146"/>
        <v>1200</v>
      </c>
      <c r="AH392" s="85">
        <f>'Consumer Hardware Pricing'!AA400</f>
        <v>552</v>
      </c>
      <c r="AI392" s="85">
        <f t="shared" si="951"/>
        <v>24.5</v>
      </c>
      <c r="AJ392" s="85">
        <f t="shared" si="1147"/>
        <v>27</v>
      </c>
      <c r="AK392" s="85">
        <f t="shared" si="1148"/>
        <v>588</v>
      </c>
      <c r="AL392" s="85">
        <f t="shared" si="1149"/>
        <v>648</v>
      </c>
      <c r="AM392" s="85">
        <f>'Consumer Hardware Pricing'!AC400</f>
        <v>0</v>
      </c>
      <c r="AN392" s="85">
        <f t="shared" si="952"/>
        <v>51.5</v>
      </c>
      <c r="AO392" s="85">
        <f>'Consumer Hardware Pricing'!AD400</f>
        <v>1.5</v>
      </c>
      <c r="AP392" s="85">
        <f t="shared" si="1150"/>
        <v>50</v>
      </c>
      <c r="AQ392" s="85">
        <f t="shared" si="1151"/>
        <v>36</v>
      </c>
      <c r="AR392" s="85">
        <f t="shared" si="1152"/>
        <v>1200</v>
      </c>
      <c r="AS392" s="85">
        <f>'Consumer Hardware Pricing'!AF400</f>
        <v>552</v>
      </c>
      <c r="AT392" s="85">
        <f t="shared" si="953"/>
        <v>24.5</v>
      </c>
      <c r="AU392" s="85">
        <f t="shared" si="1153"/>
        <v>27</v>
      </c>
      <c r="AV392" s="85">
        <f t="shared" si="1154"/>
        <v>588</v>
      </c>
      <c r="AW392" s="85">
        <f t="shared" si="1155"/>
        <v>648</v>
      </c>
      <c r="AX392" s="85" t="str">
        <f>'Consumer Hardware Pricing'!AH400</f>
        <v>-</v>
      </c>
      <c r="AY392" s="85" t="str">
        <f t="shared" si="954"/>
        <v>-</v>
      </c>
      <c r="AZ392" s="85" t="str">
        <f>'Consumer Hardware Pricing'!AI400</f>
        <v>-</v>
      </c>
      <c r="BA392" s="85" t="str">
        <f t="shared" si="1156"/>
        <v>-</v>
      </c>
      <c r="BB392" s="85" t="str">
        <f t="shared" si="1157"/>
        <v>-</v>
      </c>
      <c r="BC392" s="85" t="str">
        <f t="shared" si="1158"/>
        <v>-</v>
      </c>
      <c r="BD392" s="85" t="str">
        <f>'Consumer Hardware Pricing'!AL400</f>
        <v>-</v>
      </c>
      <c r="BE392" s="85" t="str">
        <f t="shared" si="955"/>
        <v>-</v>
      </c>
      <c r="BF392" s="85" t="str">
        <f>'Consumer Hardware Pricing'!AM400</f>
        <v>-</v>
      </c>
      <c r="BG392" s="85" t="str">
        <f t="shared" si="1159"/>
        <v>-</v>
      </c>
      <c r="BH392" s="85" t="str">
        <f t="shared" si="1160"/>
        <v>-</v>
      </c>
      <c r="BI392" s="85" t="str">
        <f t="shared" si="1161"/>
        <v>-</v>
      </c>
      <c r="BJ392" s="85" t="str">
        <f>'Consumer Hardware Pricing'!AP400</f>
        <v>-</v>
      </c>
      <c r="BK392" s="85" t="str">
        <f t="shared" si="956"/>
        <v>-</v>
      </c>
      <c r="BL392" s="85" t="str">
        <f>'Consumer Hardware Pricing'!AQ400</f>
        <v>-</v>
      </c>
      <c r="BM392" s="85" t="str">
        <f t="shared" si="1162"/>
        <v>-</v>
      </c>
      <c r="BN392" s="85" t="str">
        <f t="shared" si="1163"/>
        <v>-</v>
      </c>
      <c r="BO392" s="85" t="str">
        <f t="shared" si="1164"/>
        <v>-</v>
      </c>
      <c r="BP392" s="85" t="str">
        <f>'Consumer Hardware Pricing'!AT400</f>
        <v>-</v>
      </c>
      <c r="BQ392" s="85" t="str">
        <f t="shared" si="957"/>
        <v>-</v>
      </c>
      <c r="BR392" s="85" t="str">
        <f>'Consumer Hardware Pricing'!AU400</f>
        <v>-</v>
      </c>
      <c r="BS392" s="85" t="str">
        <f t="shared" si="1165"/>
        <v>-</v>
      </c>
      <c r="BT392" s="85" t="str">
        <f t="shared" si="1166"/>
        <v>-</v>
      </c>
      <c r="BU392" s="85" t="str">
        <f t="shared" si="1167"/>
        <v>-</v>
      </c>
    </row>
    <row r="393" spans="1:73" ht="30.15" customHeight="1" x14ac:dyDescent="0.25">
      <c r="A393" s="87" t="s">
        <v>34</v>
      </c>
      <c r="B393" s="88" t="s">
        <v>1110</v>
      </c>
      <c r="C393" s="88" t="s">
        <v>1120</v>
      </c>
      <c r="D393" s="85">
        <f>'Consumer Hardware Pricing'!L401</f>
        <v>1236</v>
      </c>
      <c r="E393" s="85">
        <f>'Consumer Hardware Pricing'!M401</f>
        <v>1236</v>
      </c>
      <c r="F393" s="85">
        <f>'Consumer Hardware Pricing'!N401</f>
        <v>0</v>
      </c>
      <c r="G393" s="85">
        <f t="shared" si="1168"/>
        <v>51.5</v>
      </c>
      <c r="H393" s="85" t="str">
        <f>'Consumer Hardware Pricing'!O401</f>
        <v>-</v>
      </c>
      <c r="I393" s="85">
        <f t="shared" si="1131"/>
        <v>51.5</v>
      </c>
      <c r="J393" s="85" t="str">
        <f t="shared" si="1132"/>
        <v>-</v>
      </c>
      <c r="K393" s="85">
        <f t="shared" si="1133"/>
        <v>1236</v>
      </c>
      <c r="L393" s="85">
        <f>'Consumer Hardware Pricing'!Q401</f>
        <v>552</v>
      </c>
      <c r="M393" s="85">
        <f t="shared" si="1169"/>
        <v>23</v>
      </c>
      <c r="N393" s="85">
        <f t="shared" si="1134"/>
        <v>28.5</v>
      </c>
      <c r="O393" s="85">
        <f t="shared" si="1135"/>
        <v>552</v>
      </c>
      <c r="P393" s="85">
        <f t="shared" si="1136"/>
        <v>684</v>
      </c>
      <c r="Q393" s="85">
        <f>'Consumer Hardware Pricing'!S401</f>
        <v>0</v>
      </c>
      <c r="R393" s="85">
        <f t="shared" si="1137"/>
        <v>51.5</v>
      </c>
      <c r="S393" s="85" t="str">
        <f>'Consumer Hardware Pricing'!T401</f>
        <v>-</v>
      </c>
      <c r="T393" s="129">
        <f t="shared" si="1138"/>
        <v>51.5</v>
      </c>
      <c r="U393" s="129" t="str">
        <f t="shared" si="1139"/>
        <v>-</v>
      </c>
      <c r="V393" s="85">
        <f t="shared" si="1140"/>
        <v>1236</v>
      </c>
      <c r="W393" s="129">
        <f>'Consumer Hardware Pricing'!V401</f>
        <v>552</v>
      </c>
      <c r="X393" s="129">
        <f t="shared" si="1170"/>
        <v>23</v>
      </c>
      <c r="Y393" s="129">
        <f t="shared" si="1141"/>
        <v>28.5</v>
      </c>
      <c r="Z393" s="129">
        <f t="shared" si="1142"/>
        <v>552</v>
      </c>
      <c r="AA393" s="85">
        <f t="shared" si="1143"/>
        <v>684</v>
      </c>
      <c r="AB393" s="85">
        <f>'Consumer Hardware Pricing'!X401</f>
        <v>0</v>
      </c>
      <c r="AC393" s="85">
        <f t="shared" si="950"/>
        <v>51.5</v>
      </c>
      <c r="AD393" s="85">
        <f>'Consumer Hardware Pricing'!Y401</f>
        <v>1.5</v>
      </c>
      <c r="AE393" s="85">
        <f t="shared" si="1144"/>
        <v>50</v>
      </c>
      <c r="AF393" s="85">
        <f t="shared" si="1145"/>
        <v>36</v>
      </c>
      <c r="AG393" s="85">
        <f t="shared" si="1146"/>
        <v>1200</v>
      </c>
      <c r="AH393" s="85">
        <f>'Consumer Hardware Pricing'!AA401</f>
        <v>552</v>
      </c>
      <c r="AI393" s="85">
        <f t="shared" si="951"/>
        <v>24.5</v>
      </c>
      <c r="AJ393" s="85">
        <f t="shared" si="1147"/>
        <v>27</v>
      </c>
      <c r="AK393" s="85">
        <f t="shared" si="1148"/>
        <v>588</v>
      </c>
      <c r="AL393" s="85">
        <f t="shared" si="1149"/>
        <v>648</v>
      </c>
      <c r="AM393" s="85">
        <f>'Consumer Hardware Pricing'!AC401</f>
        <v>0</v>
      </c>
      <c r="AN393" s="85">
        <f t="shared" si="952"/>
        <v>51.5</v>
      </c>
      <c r="AO393" s="85">
        <f>'Consumer Hardware Pricing'!AD401</f>
        <v>1.5</v>
      </c>
      <c r="AP393" s="85">
        <f t="shared" si="1150"/>
        <v>50</v>
      </c>
      <c r="AQ393" s="85">
        <f t="shared" si="1151"/>
        <v>36</v>
      </c>
      <c r="AR393" s="85">
        <f t="shared" si="1152"/>
        <v>1200</v>
      </c>
      <c r="AS393" s="85">
        <f>'Consumer Hardware Pricing'!AF401</f>
        <v>552</v>
      </c>
      <c r="AT393" s="85">
        <f t="shared" si="953"/>
        <v>24.5</v>
      </c>
      <c r="AU393" s="85">
        <f t="shared" si="1153"/>
        <v>27</v>
      </c>
      <c r="AV393" s="85">
        <f t="shared" si="1154"/>
        <v>588</v>
      </c>
      <c r="AW393" s="85">
        <f t="shared" si="1155"/>
        <v>648</v>
      </c>
      <c r="AX393" s="85" t="str">
        <f>'Consumer Hardware Pricing'!AH401</f>
        <v>-</v>
      </c>
      <c r="AY393" s="85" t="str">
        <f t="shared" si="954"/>
        <v>-</v>
      </c>
      <c r="AZ393" s="85" t="str">
        <f>'Consumer Hardware Pricing'!AI401</f>
        <v>-</v>
      </c>
      <c r="BA393" s="85" t="str">
        <f t="shared" si="1156"/>
        <v>-</v>
      </c>
      <c r="BB393" s="85" t="str">
        <f t="shared" si="1157"/>
        <v>-</v>
      </c>
      <c r="BC393" s="85" t="str">
        <f t="shared" si="1158"/>
        <v>-</v>
      </c>
      <c r="BD393" s="85" t="str">
        <f>'Consumer Hardware Pricing'!AL401</f>
        <v>-</v>
      </c>
      <c r="BE393" s="85" t="str">
        <f t="shared" si="955"/>
        <v>-</v>
      </c>
      <c r="BF393" s="85" t="str">
        <f>'Consumer Hardware Pricing'!AM401</f>
        <v>-</v>
      </c>
      <c r="BG393" s="85" t="str">
        <f t="shared" si="1159"/>
        <v>-</v>
      </c>
      <c r="BH393" s="85" t="str">
        <f t="shared" si="1160"/>
        <v>-</v>
      </c>
      <c r="BI393" s="85" t="str">
        <f t="shared" si="1161"/>
        <v>-</v>
      </c>
      <c r="BJ393" s="85" t="str">
        <f>'Consumer Hardware Pricing'!AP401</f>
        <v>-</v>
      </c>
      <c r="BK393" s="85" t="str">
        <f t="shared" si="956"/>
        <v>-</v>
      </c>
      <c r="BL393" s="85" t="str">
        <f>'Consumer Hardware Pricing'!AQ401</f>
        <v>-</v>
      </c>
      <c r="BM393" s="85" t="str">
        <f t="shared" si="1162"/>
        <v>-</v>
      </c>
      <c r="BN393" s="85" t="str">
        <f t="shared" si="1163"/>
        <v>-</v>
      </c>
      <c r="BO393" s="85" t="str">
        <f t="shared" si="1164"/>
        <v>-</v>
      </c>
      <c r="BP393" s="85" t="str">
        <f>'Consumer Hardware Pricing'!AT401</f>
        <v>-</v>
      </c>
      <c r="BQ393" s="85" t="str">
        <f t="shared" si="957"/>
        <v>-</v>
      </c>
      <c r="BR393" s="85" t="str">
        <f>'Consumer Hardware Pricing'!AU401</f>
        <v>-</v>
      </c>
      <c r="BS393" s="85" t="str">
        <f t="shared" si="1165"/>
        <v>-</v>
      </c>
      <c r="BT393" s="85" t="str">
        <f t="shared" si="1166"/>
        <v>-</v>
      </c>
      <c r="BU393" s="85" t="str">
        <f t="shared" si="1167"/>
        <v>-</v>
      </c>
    </row>
    <row r="394" spans="1:73" ht="30.15" customHeight="1" x14ac:dyDescent="0.25">
      <c r="A394" s="87" t="s">
        <v>34</v>
      </c>
      <c r="B394" s="88" t="s">
        <v>1111</v>
      </c>
      <c r="C394" s="88" t="s">
        <v>1120</v>
      </c>
      <c r="D394" s="85">
        <f>'Consumer Hardware Pricing'!L402</f>
        <v>1236</v>
      </c>
      <c r="E394" s="85">
        <f>'Consumer Hardware Pricing'!M402</f>
        <v>1236</v>
      </c>
      <c r="F394" s="85">
        <f>'Consumer Hardware Pricing'!N402</f>
        <v>0</v>
      </c>
      <c r="G394" s="85">
        <f t="shared" si="1168"/>
        <v>51.5</v>
      </c>
      <c r="H394" s="85" t="str">
        <f>'Consumer Hardware Pricing'!O402</f>
        <v>-</v>
      </c>
      <c r="I394" s="85">
        <f t="shared" si="1131"/>
        <v>51.5</v>
      </c>
      <c r="J394" s="85" t="str">
        <f t="shared" si="1132"/>
        <v>-</v>
      </c>
      <c r="K394" s="85">
        <f t="shared" si="1133"/>
        <v>1236</v>
      </c>
      <c r="L394" s="85">
        <f>'Consumer Hardware Pricing'!Q402</f>
        <v>552</v>
      </c>
      <c r="M394" s="85">
        <f t="shared" si="1169"/>
        <v>23</v>
      </c>
      <c r="N394" s="85">
        <f t="shared" si="1134"/>
        <v>28.5</v>
      </c>
      <c r="O394" s="85">
        <f t="shared" si="1135"/>
        <v>552</v>
      </c>
      <c r="P394" s="85">
        <f t="shared" si="1136"/>
        <v>684</v>
      </c>
      <c r="Q394" s="85">
        <f>'Consumer Hardware Pricing'!S402</f>
        <v>0</v>
      </c>
      <c r="R394" s="85">
        <f t="shared" si="1137"/>
        <v>51.5</v>
      </c>
      <c r="S394" s="85" t="str">
        <f>'Consumer Hardware Pricing'!T402</f>
        <v>-</v>
      </c>
      <c r="T394" s="129">
        <f t="shared" si="1138"/>
        <v>51.5</v>
      </c>
      <c r="U394" s="129" t="str">
        <f t="shared" si="1139"/>
        <v>-</v>
      </c>
      <c r="V394" s="85">
        <f t="shared" si="1140"/>
        <v>1236</v>
      </c>
      <c r="W394" s="129">
        <f>'Consumer Hardware Pricing'!V402</f>
        <v>552</v>
      </c>
      <c r="X394" s="129">
        <f t="shared" si="1170"/>
        <v>23</v>
      </c>
      <c r="Y394" s="129">
        <f t="shared" si="1141"/>
        <v>28.5</v>
      </c>
      <c r="Z394" s="129">
        <f t="shared" si="1142"/>
        <v>552</v>
      </c>
      <c r="AA394" s="85">
        <f t="shared" si="1143"/>
        <v>684</v>
      </c>
      <c r="AB394" s="85">
        <f>'Consumer Hardware Pricing'!X402</f>
        <v>0</v>
      </c>
      <c r="AC394" s="85">
        <f t="shared" si="950"/>
        <v>51.5</v>
      </c>
      <c r="AD394" s="85">
        <f>'Consumer Hardware Pricing'!Y402</f>
        <v>1.5</v>
      </c>
      <c r="AE394" s="85">
        <f t="shared" si="1144"/>
        <v>50</v>
      </c>
      <c r="AF394" s="85">
        <f t="shared" si="1145"/>
        <v>36</v>
      </c>
      <c r="AG394" s="85">
        <f t="shared" si="1146"/>
        <v>1200</v>
      </c>
      <c r="AH394" s="85">
        <f>'Consumer Hardware Pricing'!AA402</f>
        <v>552</v>
      </c>
      <c r="AI394" s="85">
        <f t="shared" si="951"/>
        <v>24.5</v>
      </c>
      <c r="AJ394" s="85">
        <f t="shared" si="1147"/>
        <v>27</v>
      </c>
      <c r="AK394" s="85">
        <f t="shared" si="1148"/>
        <v>588</v>
      </c>
      <c r="AL394" s="85">
        <f t="shared" si="1149"/>
        <v>648</v>
      </c>
      <c r="AM394" s="85">
        <f>'Consumer Hardware Pricing'!AC402</f>
        <v>0</v>
      </c>
      <c r="AN394" s="85">
        <f t="shared" si="952"/>
        <v>51.5</v>
      </c>
      <c r="AO394" s="85">
        <f>'Consumer Hardware Pricing'!AD402</f>
        <v>1.5</v>
      </c>
      <c r="AP394" s="85">
        <f t="shared" si="1150"/>
        <v>50</v>
      </c>
      <c r="AQ394" s="85">
        <f t="shared" si="1151"/>
        <v>36</v>
      </c>
      <c r="AR394" s="85">
        <f t="shared" si="1152"/>
        <v>1200</v>
      </c>
      <c r="AS394" s="85">
        <f>'Consumer Hardware Pricing'!AF402</f>
        <v>552</v>
      </c>
      <c r="AT394" s="85">
        <f t="shared" si="953"/>
        <v>24.5</v>
      </c>
      <c r="AU394" s="85">
        <f t="shared" si="1153"/>
        <v>27</v>
      </c>
      <c r="AV394" s="85">
        <f t="shared" si="1154"/>
        <v>588</v>
      </c>
      <c r="AW394" s="85">
        <f t="shared" si="1155"/>
        <v>648</v>
      </c>
      <c r="AX394" s="85" t="str">
        <f>'Consumer Hardware Pricing'!AH402</f>
        <v>-</v>
      </c>
      <c r="AY394" s="85" t="str">
        <f t="shared" si="954"/>
        <v>-</v>
      </c>
      <c r="AZ394" s="85" t="str">
        <f>'Consumer Hardware Pricing'!AI402</f>
        <v>-</v>
      </c>
      <c r="BA394" s="85" t="str">
        <f t="shared" si="1156"/>
        <v>-</v>
      </c>
      <c r="BB394" s="85" t="str">
        <f t="shared" si="1157"/>
        <v>-</v>
      </c>
      <c r="BC394" s="85" t="str">
        <f t="shared" si="1158"/>
        <v>-</v>
      </c>
      <c r="BD394" s="85" t="str">
        <f>'Consumer Hardware Pricing'!AL402</f>
        <v>-</v>
      </c>
      <c r="BE394" s="85" t="str">
        <f t="shared" si="955"/>
        <v>-</v>
      </c>
      <c r="BF394" s="85" t="str">
        <f>'Consumer Hardware Pricing'!AM402</f>
        <v>-</v>
      </c>
      <c r="BG394" s="85" t="str">
        <f t="shared" si="1159"/>
        <v>-</v>
      </c>
      <c r="BH394" s="85" t="str">
        <f t="shared" si="1160"/>
        <v>-</v>
      </c>
      <c r="BI394" s="85" t="str">
        <f t="shared" si="1161"/>
        <v>-</v>
      </c>
      <c r="BJ394" s="85" t="str">
        <f>'Consumer Hardware Pricing'!AP402</f>
        <v>-</v>
      </c>
      <c r="BK394" s="85" t="str">
        <f t="shared" si="956"/>
        <v>-</v>
      </c>
      <c r="BL394" s="85" t="str">
        <f>'Consumer Hardware Pricing'!AQ402</f>
        <v>-</v>
      </c>
      <c r="BM394" s="85" t="str">
        <f t="shared" si="1162"/>
        <v>-</v>
      </c>
      <c r="BN394" s="85" t="str">
        <f t="shared" si="1163"/>
        <v>-</v>
      </c>
      <c r="BO394" s="85" t="str">
        <f t="shared" si="1164"/>
        <v>-</v>
      </c>
      <c r="BP394" s="85" t="str">
        <f>'Consumer Hardware Pricing'!AT402</f>
        <v>-</v>
      </c>
      <c r="BQ394" s="85" t="str">
        <f t="shared" si="957"/>
        <v>-</v>
      </c>
      <c r="BR394" s="85" t="str">
        <f>'Consumer Hardware Pricing'!AU402</f>
        <v>-</v>
      </c>
      <c r="BS394" s="85" t="str">
        <f t="shared" si="1165"/>
        <v>-</v>
      </c>
      <c r="BT394" s="85" t="str">
        <f t="shared" si="1166"/>
        <v>-</v>
      </c>
      <c r="BU394" s="85" t="str">
        <f t="shared" si="1167"/>
        <v>-</v>
      </c>
    </row>
    <row r="395" spans="1:73" ht="30.15" customHeight="1" x14ac:dyDescent="0.25">
      <c r="A395" s="87" t="s">
        <v>34</v>
      </c>
      <c r="B395" s="88" t="s">
        <v>1112</v>
      </c>
      <c r="C395" s="88" t="s">
        <v>1120</v>
      </c>
      <c r="D395" s="85">
        <f>'Consumer Hardware Pricing'!L403</f>
        <v>1236</v>
      </c>
      <c r="E395" s="85">
        <f>'Consumer Hardware Pricing'!M403</f>
        <v>1236</v>
      </c>
      <c r="F395" s="85">
        <f>'Consumer Hardware Pricing'!N403</f>
        <v>0</v>
      </c>
      <c r="G395" s="85">
        <f t="shared" si="1168"/>
        <v>51.5</v>
      </c>
      <c r="H395" s="85" t="str">
        <f>'Consumer Hardware Pricing'!O403</f>
        <v>-</v>
      </c>
      <c r="I395" s="85">
        <f t="shared" si="1131"/>
        <v>51.5</v>
      </c>
      <c r="J395" s="85" t="str">
        <f t="shared" si="1132"/>
        <v>-</v>
      </c>
      <c r="K395" s="85">
        <f t="shared" si="1133"/>
        <v>1236</v>
      </c>
      <c r="L395" s="85">
        <f>'Consumer Hardware Pricing'!Q403</f>
        <v>552</v>
      </c>
      <c r="M395" s="85">
        <f t="shared" si="1169"/>
        <v>23</v>
      </c>
      <c r="N395" s="85">
        <f t="shared" si="1134"/>
        <v>28.5</v>
      </c>
      <c r="O395" s="85">
        <f t="shared" si="1135"/>
        <v>552</v>
      </c>
      <c r="P395" s="85">
        <f t="shared" si="1136"/>
        <v>684</v>
      </c>
      <c r="Q395" s="85">
        <f>'Consumer Hardware Pricing'!S403</f>
        <v>0</v>
      </c>
      <c r="R395" s="85">
        <f t="shared" si="1137"/>
        <v>51.5</v>
      </c>
      <c r="S395" s="85" t="str">
        <f>'Consumer Hardware Pricing'!T403</f>
        <v>-</v>
      </c>
      <c r="T395" s="129">
        <f t="shared" si="1138"/>
        <v>51.5</v>
      </c>
      <c r="U395" s="129" t="str">
        <f t="shared" si="1139"/>
        <v>-</v>
      </c>
      <c r="V395" s="85">
        <f t="shared" si="1140"/>
        <v>1236</v>
      </c>
      <c r="W395" s="129">
        <f>'Consumer Hardware Pricing'!V403</f>
        <v>552</v>
      </c>
      <c r="X395" s="129">
        <f t="shared" si="1170"/>
        <v>23</v>
      </c>
      <c r="Y395" s="129">
        <f t="shared" si="1141"/>
        <v>28.5</v>
      </c>
      <c r="Z395" s="129">
        <f t="shared" si="1142"/>
        <v>552</v>
      </c>
      <c r="AA395" s="85">
        <f t="shared" si="1143"/>
        <v>684</v>
      </c>
      <c r="AB395" s="85">
        <f>'Consumer Hardware Pricing'!X403</f>
        <v>0</v>
      </c>
      <c r="AC395" s="85">
        <f t="shared" ref="AC395:AC460" si="1211">IF(AB395="-","-",ROUNDUP(D395/24,2))</f>
        <v>51.5</v>
      </c>
      <c r="AD395" s="85">
        <f>'Consumer Hardware Pricing'!Y403</f>
        <v>1.5</v>
      </c>
      <c r="AE395" s="85">
        <f t="shared" si="1144"/>
        <v>50</v>
      </c>
      <c r="AF395" s="85">
        <f t="shared" si="1145"/>
        <v>36</v>
      </c>
      <c r="AG395" s="85">
        <f t="shared" si="1146"/>
        <v>1200</v>
      </c>
      <c r="AH395" s="85">
        <f>'Consumer Hardware Pricing'!AA403</f>
        <v>552</v>
      </c>
      <c r="AI395" s="85">
        <f t="shared" ref="AI395:AI460" si="1212">IF(AH395="-",AH395,IF(AD395="-",AC395-ROUNDUP((D395-AH395)/24,2),AD395+AC395-ROUNDUP((D395-AH395)/24,2)))</f>
        <v>24.5</v>
      </c>
      <c r="AJ395" s="85">
        <f t="shared" si="1147"/>
        <v>27</v>
      </c>
      <c r="AK395" s="85">
        <f t="shared" si="1148"/>
        <v>588</v>
      </c>
      <c r="AL395" s="85">
        <f t="shared" si="1149"/>
        <v>648</v>
      </c>
      <c r="AM395" s="85">
        <f>'Consumer Hardware Pricing'!AC403</f>
        <v>0</v>
      </c>
      <c r="AN395" s="85">
        <f t="shared" ref="AN395:AN460" si="1213">IF(AM395="-","-",ROUNDUP(D395/24,2))</f>
        <v>51.5</v>
      </c>
      <c r="AO395" s="85">
        <f>'Consumer Hardware Pricing'!AD403</f>
        <v>1.5</v>
      </c>
      <c r="AP395" s="85">
        <f t="shared" si="1150"/>
        <v>50</v>
      </c>
      <c r="AQ395" s="85">
        <f t="shared" si="1151"/>
        <v>36</v>
      </c>
      <c r="AR395" s="85">
        <f t="shared" si="1152"/>
        <v>1200</v>
      </c>
      <c r="AS395" s="85">
        <f>'Consumer Hardware Pricing'!AF403</f>
        <v>552</v>
      </c>
      <c r="AT395" s="85">
        <f t="shared" ref="AT395:AT460" si="1214">IF(AS395="-",AS395,IF(AO395="-",AN395-ROUNDUP((D395-AS395)/24,2),AO395+AN395-ROUNDUP((D395-AS395)/24,2)))</f>
        <v>24.5</v>
      </c>
      <c r="AU395" s="85">
        <f t="shared" si="1153"/>
        <v>27</v>
      </c>
      <c r="AV395" s="85">
        <f t="shared" si="1154"/>
        <v>588</v>
      </c>
      <c r="AW395" s="85">
        <f t="shared" si="1155"/>
        <v>648</v>
      </c>
      <c r="AX395" s="85" t="str">
        <f>'Consumer Hardware Pricing'!AH403</f>
        <v>-</v>
      </c>
      <c r="AY395" s="85" t="str">
        <f t="shared" ref="AY395:AY460" si="1215">IF(AX395="-",AX395,ROUNDUP((D395-AX395)/24,2))</f>
        <v>-</v>
      </c>
      <c r="AZ395" s="85" t="str">
        <f>'Consumer Hardware Pricing'!AI403</f>
        <v>-</v>
      </c>
      <c r="BA395" s="85" t="str">
        <f t="shared" si="1156"/>
        <v>-</v>
      </c>
      <c r="BB395" s="85" t="str">
        <f t="shared" si="1157"/>
        <v>-</v>
      </c>
      <c r="BC395" s="85" t="str">
        <f t="shared" si="1158"/>
        <v>-</v>
      </c>
      <c r="BD395" s="85" t="str">
        <f>'Consumer Hardware Pricing'!AL403</f>
        <v>-</v>
      </c>
      <c r="BE395" s="85" t="str">
        <f t="shared" ref="BE395:BE460" si="1216">IF(BD395="-",BD395,ROUNDUP((D395-BD395)/24,2))</f>
        <v>-</v>
      </c>
      <c r="BF395" s="85" t="str">
        <f>'Consumer Hardware Pricing'!AM403</f>
        <v>-</v>
      </c>
      <c r="BG395" s="85" t="str">
        <f t="shared" si="1159"/>
        <v>-</v>
      </c>
      <c r="BH395" s="85" t="str">
        <f t="shared" si="1160"/>
        <v>-</v>
      </c>
      <c r="BI395" s="85" t="str">
        <f t="shared" si="1161"/>
        <v>-</v>
      </c>
      <c r="BJ395" s="85" t="str">
        <f>'Consumer Hardware Pricing'!AP403</f>
        <v>-</v>
      </c>
      <c r="BK395" s="85" t="str">
        <f t="shared" ref="BK395:BK460" si="1217">IF(BJ395="-",BJ395,ROUNDUP((D395-BJ395)/24,2))</f>
        <v>-</v>
      </c>
      <c r="BL395" s="85" t="str">
        <f>'Consumer Hardware Pricing'!AQ403</f>
        <v>-</v>
      </c>
      <c r="BM395" s="85" t="str">
        <f t="shared" si="1162"/>
        <v>-</v>
      </c>
      <c r="BN395" s="85" t="str">
        <f t="shared" si="1163"/>
        <v>-</v>
      </c>
      <c r="BO395" s="85" t="str">
        <f t="shared" si="1164"/>
        <v>-</v>
      </c>
      <c r="BP395" s="85" t="str">
        <f>'Consumer Hardware Pricing'!AT403</f>
        <v>-</v>
      </c>
      <c r="BQ395" s="85" t="str">
        <f t="shared" ref="BQ395:BQ460" si="1218">IF(BP395="-",BP395,ROUNDUP((D395-BP395)/24,2))</f>
        <v>-</v>
      </c>
      <c r="BR395" s="85" t="str">
        <f>'Consumer Hardware Pricing'!AU403</f>
        <v>-</v>
      </c>
      <c r="BS395" s="85" t="str">
        <f t="shared" si="1165"/>
        <v>-</v>
      </c>
      <c r="BT395" s="85" t="str">
        <f t="shared" si="1166"/>
        <v>-</v>
      </c>
      <c r="BU395" s="85" t="str">
        <f t="shared" si="1167"/>
        <v>-</v>
      </c>
    </row>
    <row r="396" spans="1:73" ht="30.15" customHeight="1" x14ac:dyDescent="0.25">
      <c r="A396" s="87" t="s">
        <v>34</v>
      </c>
      <c r="B396" s="88" t="s">
        <v>1113</v>
      </c>
      <c r="C396" s="88" t="s">
        <v>1120</v>
      </c>
      <c r="D396" s="85">
        <f>'Consumer Hardware Pricing'!L404</f>
        <v>1236</v>
      </c>
      <c r="E396" s="85">
        <f>'Consumer Hardware Pricing'!M404</f>
        <v>1236</v>
      </c>
      <c r="F396" s="85">
        <f>'Consumer Hardware Pricing'!N404</f>
        <v>0</v>
      </c>
      <c r="G396" s="85">
        <f t="shared" si="1168"/>
        <v>51.5</v>
      </c>
      <c r="H396" s="85" t="str">
        <f>'Consumer Hardware Pricing'!O404</f>
        <v>-</v>
      </c>
      <c r="I396" s="85">
        <f t="shared" si="1131"/>
        <v>51.5</v>
      </c>
      <c r="J396" s="85" t="str">
        <f t="shared" si="1132"/>
        <v>-</v>
      </c>
      <c r="K396" s="85">
        <f t="shared" si="1133"/>
        <v>1236</v>
      </c>
      <c r="L396" s="85">
        <f>'Consumer Hardware Pricing'!Q404</f>
        <v>552</v>
      </c>
      <c r="M396" s="85">
        <f t="shared" si="1169"/>
        <v>23</v>
      </c>
      <c r="N396" s="85">
        <f t="shared" si="1134"/>
        <v>28.5</v>
      </c>
      <c r="O396" s="85">
        <f t="shared" si="1135"/>
        <v>552</v>
      </c>
      <c r="P396" s="85">
        <f t="shared" si="1136"/>
        <v>684</v>
      </c>
      <c r="Q396" s="85">
        <f>'Consumer Hardware Pricing'!S404</f>
        <v>0</v>
      </c>
      <c r="R396" s="85">
        <f t="shared" si="1137"/>
        <v>51.5</v>
      </c>
      <c r="S396" s="85" t="str">
        <f>'Consumer Hardware Pricing'!T404</f>
        <v>-</v>
      </c>
      <c r="T396" s="129">
        <f t="shared" si="1138"/>
        <v>51.5</v>
      </c>
      <c r="U396" s="129" t="str">
        <f t="shared" si="1139"/>
        <v>-</v>
      </c>
      <c r="V396" s="85">
        <f t="shared" si="1140"/>
        <v>1236</v>
      </c>
      <c r="W396" s="129">
        <f>'Consumer Hardware Pricing'!V404</f>
        <v>552</v>
      </c>
      <c r="X396" s="129">
        <f t="shared" si="1170"/>
        <v>23</v>
      </c>
      <c r="Y396" s="129">
        <f t="shared" si="1141"/>
        <v>28.5</v>
      </c>
      <c r="Z396" s="129">
        <f t="shared" si="1142"/>
        <v>552</v>
      </c>
      <c r="AA396" s="85">
        <f t="shared" si="1143"/>
        <v>684</v>
      </c>
      <c r="AB396" s="85">
        <f>'Consumer Hardware Pricing'!X404</f>
        <v>0</v>
      </c>
      <c r="AC396" s="85">
        <f t="shared" si="1211"/>
        <v>51.5</v>
      </c>
      <c r="AD396" s="85">
        <f>'Consumer Hardware Pricing'!Y404</f>
        <v>1.5</v>
      </c>
      <c r="AE396" s="85">
        <f t="shared" si="1144"/>
        <v>50</v>
      </c>
      <c r="AF396" s="85">
        <f t="shared" si="1145"/>
        <v>36</v>
      </c>
      <c r="AG396" s="85">
        <f t="shared" si="1146"/>
        <v>1200</v>
      </c>
      <c r="AH396" s="85">
        <f>'Consumer Hardware Pricing'!AA404</f>
        <v>552</v>
      </c>
      <c r="AI396" s="85">
        <f t="shared" si="1212"/>
        <v>24.5</v>
      </c>
      <c r="AJ396" s="85">
        <f t="shared" si="1147"/>
        <v>27</v>
      </c>
      <c r="AK396" s="85">
        <f t="shared" si="1148"/>
        <v>588</v>
      </c>
      <c r="AL396" s="85">
        <f t="shared" si="1149"/>
        <v>648</v>
      </c>
      <c r="AM396" s="85">
        <f>'Consumer Hardware Pricing'!AC404</f>
        <v>0</v>
      </c>
      <c r="AN396" s="85">
        <f t="shared" si="1213"/>
        <v>51.5</v>
      </c>
      <c r="AO396" s="85">
        <f>'Consumer Hardware Pricing'!AD404</f>
        <v>1.5</v>
      </c>
      <c r="AP396" s="85">
        <f t="shared" si="1150"/>
        <v>50</v>
      </c>
      <c r="AQ396" s="85">
        <f t="shared" si="1151"/>
        <v>36</v>
      </c>
      <c r="AR396" s="85">
        <f t="shared" si="1152"/>
        <v>1200</v>
      </c>
      <c r="AS396" s="85">
        <f>'Consumer Hardware Pricing'!AF404</f>
        <v>552</v>
      </c>
      <c r="AT396" s="85">
        <f t="shared" si="1214"/>
        <v>24.5</v>
      </c>
      <c r="AU396" s="85">
        <f t="shared" si="1153"/>
        <v>27</v>
      </c>
      <c r="AV396" s="85">
        <f t="shared" si="1154"/>
        <v>588</v>
      </c>
      <c r="AW396" s="85">
        <f t="shared" si="1155"/>
        <v>648</v>
      </c>
      <c r="AX396" s="85" t="str">
        <f>'Consumer Hardware Pricing'!AH404</f>
        <v>-</v>
      </c>
      <c r="AY396" s="85" t="str">
        <f t="shared" si="1215"/>
        <v>-</v>
      </c>
      <c r="AZ396" s="85" t="str">
        <f>'Consumer Hardware Pricing'!AI404</f>
        <v>-</v>
      </c>
      <c r="BA396" s="85" t="str">
        <f t="shared" si="1156"/>
        <v>-</v>
      </c>
      <c r="BB396" s="85" t="str">
        <f t="shared" si="1157"/>
        <v>-</v>
      </c>
      <c r="BC396" s="85" t="str">
        <f t="shared" si="1158"/>
        <v>-</v>
      </c>
      <c r="BD396" s="85" t="str">
        <f>'Consumer Hardware Pricing'!AL404</f>
        <v>-</v>
      </c>
      <c r="BE396" s="85" t="str">
        <f t="shared" si="1216"/>
        <v>-</v>
      </c>
      <c r="BF396" s="85" t="str">
        <f>'Consumer Hardware Pricing'!AM404</f>
        <v>-</v>
      </c>
      <c r="BG396" s="85" t="str">
        <f t="shared" si="1159"/>
        <v>-</v>
      </c>
      <c r="BH396" s="85" t="str">
        <f t="shared" si="1160"/>
        <v>-</v>
      </c>
      <c r="BI396" s="85" t="str">
        <f t="shared" si="1161"/>
        <v>-</v>
      </c>
      <c r="BJ396" s="85" t="str">
        <f>'Consumer Hardware Pricing'!AP404</f>
        <v>-</v>
      </c>
      <c r="BK396" s="85" t="str">
        <f t="shared" si="1217"/>
        <v>-</v>
      </c>
      <c r="BL396" s="85" t="str">
        <f>'Consumer Hardware Pricing'!AQ404</f>
        <v>-</v>
      </c>
      <c r="BM396" s="85" t="str">
        <f t="shared" si="1162"/>
        <v>-</v>
      </c>
      <c r="BN396" s="85" t="str">
        <f t="shared" si="1163"/>
        <v>-</v>
      </c>
      <c r="BO396" s="85" t="str">
        <f t="shared" si="1164"/>
        <v>-</v>
      </c>
      <c r="BP396" s="85" t="str">
        <f>'Consumer Hardware Pricing'!AT404</f>
        <v>-</v>
      </c>
      <c r="BQ396" s="85" t="str">
        <f t="shared" si="1218"/>
        <v>-</v>
      </c>
      <c r="BR396" s="85" t="str">
        <f>'Consumer Hardware Pricing'!AU404</f>
        <v>-</v>
      </c>
      <c r="BS396" s="85" t="str">
        <f t="shared" si="1165"/>
        <v>-</v>
      </c>
      <c r="BT396" s="85" t="str">
        <f t="shared" si="1166"/>
        <v>-</v>
      </c>
      <c r="BU396" s="85" t="str">
        <f t="shared" si="1167"/>
        <v>-</v>
      </c>
    </row>
    <row r="397" spans="1:73" ht="30.15" customHeight="1" x14ac:dyDescent="0.25">
      <c r="A397" s="87" t="s">
        <v>34</v>
      </c>
      <c r="B397" s="88" t="s">
        <v>1268</v>
      </c>
      <c r="C397" s="88" t="s">
        <v>1120</v>
      </c>
      <c r="D397" s="85">
        <f>'Consumer Hardware Pricing'!L405</f>
        <v>1236</v>
      </c>
      <c r="E397" s="85">
        <f>'Consumer Hardware Pricing'!M405</f>
        <v>1236</v>
      </c>
      <c r="F397" s="85">
        <f>'Consumer Hardware Pricing'!N405</f>
        <v>0</v>
      </c>
      <c r="G397" s="85">
        <f t="shared" ref="G397" si="1219">IF(F397="-","-",ROUNDUP(D397/24,2))</f>
        <v>51.5</v>
      </c>
      <c r="H397" s="85" t="str">
        <f>'Consumer Hardware Pricing'!O405</f>
        <v>-</v>
      </c>
      <c r="I397" s="85">
        <f t="shared" ref="I397" si="1220">IF(H397="-",G397,G397-H397)</f>
        <v>51.5</v>
      </c>
      <c r="J397" s="85" t="str">
        <f t="shared" ref="J397" si="1221">IF(H397="-",H397,H397*24)</f>
        <v>-</v>
      </c>
      <c r="K397" s="85">
        <f t="shared" ref="K397" si="1222">IF(F397="-",F397,I397*24)</f>
        <v>1236</v>
      </c>
      <c r="L397" s="85">
        <f>'Consumer Hardware Pricing'!Q405</f>
        <v>552</v>
      </c>
      <c r="M397" s="85">
        <f t="shared" ref="M397" si="1223">IF(L397="-",L397,IF(H397="-",G397-ROUNDUP((D397-L397)/24,2),H397+G397-ROUNDUP((D397-L397)/24,2)))</f>
        <v>23</v>
      </c>
      <c r="N397" s="85">
        <f t="shared" ref="N397" si="1224">IF(L397="-",L397,G397-M397)</f>
        <v>28.5</v>
      </c>
      <c r="O397" s="85">
        <f t="shared" ref="O397" si="1225">IF(L397="-",L397,M397*24)</f>
        <v>552</v>
      </c>
      <c r="P397" s="85">
        <f t="shared" ref="P397" si="1226">IF(L397="-",L397,N397*24)</f>
        <v>684</v>
      </c>
      <c r="Q397" s="85">
        <f>'Consumer Hardware Pricing'!S405</f>
        <v>0</v>
      </c>
      <c r="R397" s="85">
        <f t="shared" ref="R397" si="1227">G397</f>
        <v>51.5</v>
      </c>
      <c r="S397" s="85" t="str">
        <f>'Consumer Hardware Pricing'!T405</f>
        <v>-</v>
      </c>
      <c r="T397" s="129">
        <f t="shared" ref="T397" si="1228">IF(S397="-",R397,R397-S397)</f>
        <v>51.5</v>
      </c>
      <c r="U397" s="129" t="str">
        <f t="shared" ref="U397" si="1229">IF(S397="-",S397,S397*24)</f>
        <v>-</v>
      </c>
      <c r="V397" s="85">
        <f t="shared" ref="V397" si="1230">IF(Q397="-",Q397,T397*24)</f>
        <v>1236</v>
      </c>
      <c r="W397" s="129">
        <f>'Consumer Hardware Pricing'!V405</f>
        <v>552</v>
      </c>
      <c r="X397" s="129">
        <f t="shared" ref="X397" si="1231">IF(W397="-",W397,IF(S397="-",R397-ROUNDUP((D397-W397)/24,2),S397+R397-ROUNDUP((D397-W397)/24,2)))</f>
        <v>23</v>
      </c>
      <c r="Y397" s="129">
        <f t="shared" ref="Y397" si="1232">IF(W397="-",W397,R397-X397)</f>
        <v>28.5</v>
      </c>
      <c r="Z397" s="129">
        <f t="shared" ref="Z397" si="1233">IF(W397="-",W397,X397*24)</f>
        <v>552</v>
      </c>
      <c r="AA397" s="85">
        <f t="shared" ref="AA397" si="1234">IF(W397="-",W397,Y397*24)</f>
        <v>684</v>
      </c>
      <c r="AB397" s="85">
        <f>'Consumer Hardware Pricing'!X405</f>
        <v>0</v>
      </c>
      <c r="AC397" s="85">
        <f t="shared" ref="AC397" si="1235">IF(AB397="-","-",ROUNDUP(D397/24,2))</f>
        <v>51.5</v>
      </c>
      <c r="AD397" s="85">
        <f>'Consumer Hardware Pricing'!Y405</f>
        <v>1.5</v>
      </c>
      <c r="AE397" s="85">
        <f t="shared" ref="AE397" si="1236">IF(AD397="-",AC397,AC397-AD397)</f>
        <v>50</v>
      </c>
      <c r="AF397" s="85">
        <f t="shared" ref="AF397" si="1237">IF(AD397="-",AD397,AD397*24)</f>
        <v>36</v>
      </c>
      <c r="AG397" s="85">
        <f t="shared" ref="AG397" si="1238">IF(AB397="-",AB397,AE397*24)</f>
        <v>1200</v>
      </c>
      <c r="AH397" s="85">
        <f>'Consumer Hardware Pricing'!AA405</f>
        <v>552</v>
      </c>
      <c r="AI397" s="85">
        <f t="shared" ref="AI397" si="1239">IF(AH397="-",AH397,IF(AD397="-",AC397-ROUNDUP((D397-AH397)/24,2),AD397+AC397-ROUNDUP((D397-AH397)/24,2)))</f>
        <v>24.5</v>
      </c>
      <c r="AJ397" s="85">
        <f t="shared" ref="AJ397" si="1240">IF(AH397="-",AH397,AC397-AI397)</f>
        <v>27</v>
      </c>
      <c r="AK397" s="85">
        <f t="shared" ref="AK397" si="1241">IF(AH397="-",AH397,AI397*24)</f>
        <v>588</v>
      </c>
      <c r="AL397" s="85">
        <f t="shared" ref="AL397" si="1242">IF(AH397="-",AH397,AJ397*24)</f>
        <v>648</v>
      </c>
      <c r="AM397" s="85">
        <f>'Consumer Hardware Pricing'!AC405</f>
        <v>0</v>
      </c>
      <c r="AN397" s="85">
        <f t="shared" ref="AN397" si="1243">IF(AM397="-","-",ROUNDUP(D397/24,2))</f>
        <v>51.5</v>
      </c>
      <c r="AO397" s="85">
        <f>'Consumer Hardware Pricing'!AD405</f>
        <v>1.5</v>
      </c>
      <c r="AP397" s="85">
        <f t="shared" ref="AP397" si="1244">IF(AO397="-",AN397,AN397-AO397)</f>
        <v>50</v>
      </c>
      <c r="AQ397" s="85">
        <f t="shared" ref="AQ397" si="1245">IF(AO397="-",AO397,AO397*24)</f>
        <v>36</v>
      </c>
      <c r="AR397" s="85">
        <f t="shared" ref="AR397" si="1246">IF(AM397="-",AM397,AP397*24)</f>
        <v>1200</v>
      </c>
      <c r="AS397" s="85">
        <f>'Consumer Hardware Pricing'!AF405</f>
        <v>552</v>
      </c>
      <c r="AT397" s="85">
        <f t="shared" ref="AT397" si="1247">IF(AS397="-",AS397,IF(AO397="-",AN397-ROUNDUP((D397-AS397)/24,2),AO397+AN397-ROUNDUP((D397-AS397)/24,2)))</f>
        <v>24.5</v>
      </c>
      <c r="AU397" s="85">
        <f t="shared" ref="AU397" si="1248">IF(AS397="-",AS397,AN397-AT397)</f>
        <v>27</v>
      </c>
      <c r="AV397" s="85">
        <f t="shared" ref="AV397" si="1249">IF(AS397="-",AS397,AT397*24)</f>
        <v>588</v>
      </c>
      <c r="AW397" s="85">
        <f t="shared" ref="AW397" si="1250">IF(AS397="-",AS397,AU397*24)</f>
        <v>648</v>
      </c>
      <c r="AX397" s="85" t="str">
        <f>'Consumer Hardware Pricing'!AH405</f>
        <v>-</v>
      </c>
      <c r="AY397" s="85" t="str">
        <f t="shared" ref="AY397" si="1251">IF(AX397="-",AX397,ROUNDUP((D397-AX397)/24,2))</f>
        <v>-</v>
      </c>
      <c r="AZ397" s="85" t="str">
        <f>'Consumer Hardware Pricing'!AI405</f>
        <v>-</v>
      </c>
      <c r="BA397" s="85" t="str">
        <f t="shared" ref="BA397" si="1252">IF(AZ397="-",AY397,AY397-AZ397)</f>
        <v>-</v>
      </c>
      <c r="BB397" s="85" t="str">
        <f t="shared" ref="BB397" si="1253">IF(AZ397="-",AZ397,AZ397*24)</f>
        <v>-</v>
      </c>
      <c r="BC397" s="85" t="str">
        <f t="shared" ref="BC397" si="1254">IF(AX397="-",AX397,AX397+(BA397*24))</f>
        <v>-</v>
      </c>
      <c r="BD397" s="85" t="str">
        <f>'Consumer Hardware Pricing'!AL405</f>
        <v>-</v>
      </c>
      <c r="BE397" s="85" t="str">
        <f t="shared" ref="BE397" si="1255">IF(BD397="-",BD397,ROUNDUP((D397-BD397)/24,2))</f>
        <v>-</v>
      </c>
      <c r="BF397" s="85" t="str">
        <f>'Consumer Hardware Pricing'!AM405</f>
        <v>-</v>
      </c>
      <c r="BG397" s="85" t="str">
        <f t="shared" ref="BG397" si="1256">IF(BF397="-",BE397,BE397-BF397)</f>
        <v>-</v>
      </c>
      <c r="BH397" s="85" t="str">
        <f t="shared" ref="BH397" si="1257">IF(BF397="-",BF397,BF397*24)</f>
        <v>-</v>
      </c>
      <c r="BI397" s="85" t="str">
        <f t="shared" ref="BI397" si="1258">IF(BD397="-",BD397,BD397+(BG397*24))</f>
        <v>-</v>
      </c>
      <c r="BJ397" s="85" t="str">
        <f>'Consumer Hardware Pricing'!AP405</f>
        <v>-</v>
      </c>
      <c r="BK397" s="85" t="str">
        <f t="shared" ref="BK397" si="1259">IF(BJ397="-",BJ397,ROUNDUP((D397-BJ397)/24,2))</f>
        <v>-</v>
      </c>
      <c r="BL397" s="85" t="str">
        <f>'Consumer Hardware Pricing'!AQ405</f>
        <v>-</v>
      </c>
      <c r="BM397" s="85" t="str">
        <f t="shared" ref="BM397" si="1260">IF(BL397="-",BK397,BK397-BL397)</f>
        <v>-</v>
      </c>
      <c r="BN397" s="85" t="str">
        <f t="shared" ref="BN397" si="1261">IF(BL397="-",BL397,BL397*24)</f>
        <v>-</v>
      </c>
      <c r="BO397" s="85" t="str">
        <f t="shared" ref="BO397" si="1262">IF(BJ397="-",BJ397,BJ397+(BM397*24))</f>
        <v>-</v>
      </c>
      <c r="BP397" s="85" t="str">
        <f>'Consumer Hardware Pricing'!AT405</f>
        <v>-</v>
      </c>
      <c r="BQ397" s="85" t="str">
        <f t="shared" ref="BQ397" si="1263">IF(BP397="-",BP397,ROUNDUP((D397-BP397)/24,2))</f>
        <v>-</v>
      </c>
      <c r="BR397" s="85" t="str">
        <f>'Consumer Hardware Pricing'!AU405</f>
        <v>-</v>
      </c>
      <c r="BS397" s="85" t="str">
        <f t="shared" ref="BS397" si="1264">IF(BR397="-",BQ397,BQ397-BR397)</f>
        <v>-</v>
      </c>
      <c r="BT397" s="85" t="str">
        <f t="shared" ref="BT397" si="1265">IF(BR397="-",BR397,BR397*24)</f>
        <v>-</v>
      </c>
      <c r="BU397" s="85" t="str">
        <f t="shared" ref="BU397" si="1266">IF(BP397="-",BP397,BP397+(BS397*24))</f>
        <v>-</v>
      </c>
    </row>
    <row r="398" spans="1:73" ht="30.15" customHeight="1" x14ac:dyDescent="0.25">
      <c r="A398" s="87" t="s">
        <v>34</v>
      </c>
      <c r="B398" s="88" t="s">
        <v>1114</v>
      </c>
      <c r="C398" s="88" t="s">
        <v>1121</v>
      </c>
      <c r="D398" s="85">
        <f>'Consumer Hardware Pricing'!L406</f>
        <v>1380</v>
      </c>
      <c r="E398" s="85">
        <f>'Consumer Hardware Pricing'!M406</f>
        <v>1380</v>
      </c>
      <c r="F398" s="85">
        <f>'Consumer Hardware Pricing'!N406</f>
        <v>0</v>
      </c>
      <c r="G398" s="85">
        <f t="shared" si="1168"/>
        <v>57.5</v>
      </c>
      <c r="H398" s="85" t="str">
        <f>'Consumer Hardware Pricing'!O406</f>
        <v>-</v>
      </c>
      <c r="I398" s="85">
        <f t="shared" si="1131"/>
        <v>57.5</v>
      </c>
      <c r="J398" s="85" t="str">
        <f t="shared" si="1132"/>
        <v>-</v>
      </c>
      <c r="K398" s="85">
        <f t="shared" si="1133"/>
        <v>1380</v>
      </c>
      <c r="L398" s="85">
        <f>'Consumer Hardware Pricing'!Q406</f>
        <v>588</v>
      </c>
      <c r="M398" s="85">
        <f t="shared" si="1169"/>
        <v>24.5</v>
      </c>
      <c r="N398" s="85">
        <f t="shared" si="1134"/>
        <v>33</v>
      </c>
      <c r="O398" s="85">
        <f t="shared" si="1135"/>
        <v>588</v>
      </c>
      <c r="P398" s="85">
        <f t="shared" si="1136"/>
        <v>792</v>
      </c>
      <c r="Q398" s="85">
        <f>'Consumer Hardware Pricing'!S406</f>
        <v>0</v>
      </c>
      <c r="R398" s="85">
        <f t="shared" si="1137"/>
        <v>57.5</v>
      </c>
      <c r="S398" s="85" t="str">
        <f>'Consumer Hardware Pricing'!T406</f>
        <v>-</v>
      </c>
      <c r="T398" s="129">
        <f t="shared" si="1138"/>
        <v>57.5</v>
      </c>
      <c r="U398" s="129" t="str">
        <f t="shared" si="1139"/>
        <v>-</v>
      </c>
      <c r="V398" s="85">
        <f t="shared" si="1140"/>
        <v>1380</v>
      </c>
      <c r="W398" s="129">
        <f>'Consumer Hardware Pricing'!V406</f>
        <v>588</v>
      </c>
      <c r="X398" s="129">
        <f t="shared" si="1170"/>
        <v>24.5</v>
      </c>
      <c r="Y398" s="129">
        <f t="shared" si="1141"/>
        <v>33</v>
      </c>
      <c r="Z398" s="129">
        <f t="shared" si="1142"/>
        <v>588</v>
      </c>
      <c r="AA398" s="85">
        <f t="shared" si="1143"/>
        <v>792</v>
      </c>
      <c r="AB398" s="85">
        <f>'Consumer Hardware Pricing'!X406</f>
        <v>0</v>
      </c>
      <c r="AC398" s="85">
        <f t="shared" si="1211"/>
        <v>57.5</v>
      </c>
      <c r="AD398" s="85">
        <f>'Consumer Hardware Pricing'!Y406</f>
        <v>2</v>
      </c>
      <c r="AE398" s="85">
        <f t="shared" si="1144"/>
        <v>55.5</v>
      </c>
      <c r="AF398" s="85">
        <f t="shared" si="1145"/>
        <v>48</v>
      </c>
      <c r="AG398" s="85">
        <f t="shared" si="1146"/>
        <v>1332</v>
      </c>
      <c r="AH398" s="85">
        <f>'Consumer Hardware Pricing'!AA406</f>
        <v>588</v>
      </c>
      <c r="AI398" s="85">
        <f t="shared" si="1212"/>
        <v>26.5</v>
      </c>
      <c r="AJ398" s="85">
        <f t="shared" si="1147"/>
        <v>31</v>
      </c>
      <c r="AK398" s="85">
        <f t="shared" si="1148"/>
        <v>636</v>
      </c>
      <c r="AL398" s="85">
        <f t="shared" si="1149"/>
        <v>744</v>
      </c>
      <c r="AM398" s="85">
        <f>'Consumer Hardware Pricing'!AC406</f>
        <v>0</v>
      </c>
      <c r="AN398" s="85">
        <f t="shared" si="1213"/>
        <v>57.5</v>
      </c>
      <c r="AO398" s="85">
        <f>'Consumer Hardware Pricing'!AD406</f>
        <v>2</v>
      </c>
      <c r="AP398" s="85">
        <f t="shared" si="1150"/>
        <v>55.5</v>
      </c>
      <c r="AQ398" s="85">
        <f t="shared" si="1151"/>
        <v>48</v>
      </c>
      <c r="AR398" s="85">
        <f t="shared" si="1152"/>
        <v>1332</v>
      </c>
      <c r="AS398" s="85">
        <f>'Consumer Hardware Pricing'!AF406</f>
        <v>588</v>
      </c>
      <c r="AT398" s="85">
        <f t="shared" si="1214"/>
        <v>26.5</v>
      </c>
      <c r="AU398" s="85">
        <f t="shared" si="1153"/>
        <v>31</v>
      </c>
      <c r="AV398" s="85">
        <f t="shared" si="1154"/>
        <v>636</v>
      </c>
      <c r="AW398" s="85">
        <f t="shared" si="1155"/>
        <v>744</v>
      </c>
      <c r="AX398" s="85" t="str">
        <f>'Consumer Hardware Pricing'!AH406</f>
        <v>-</v>
      </c>
      <c r="AY398" s="85" t="str">
        <f t="shared" si="1215"/>
        <v>-</v>
      </c>
      <c r="AZ398" s="85" t="str">
        <f>'Consumer Hardware Pricing'!AI406</f>
        <v>-</v>
      </c>
      <c r="BA398" s="85" t="str">
        <f t="shared" si="1156"/>
        <v>-</v>
      </c>
      <c r="BB398" s="85" t="str">
        <f t="shared" si="1157"/>
        <v>-</v>
      </c>
      <c r="BC398" s="85" t="str">
        <f t="shared" si="1158"/>
        <v>-</v>
      </c>
      <c r="BD398" s="85" t="str">
        <f>'Consumer Hardware Pricing'!AL406</f>
        <v>-</v>
      </c>
      <c r="BE398" s="85" t="str">
        <f t="shared" si="1216"/>
        <v>-</v>
      </c>
      <c r="BF398" s="85" t="str">
        <f>'Consumer Hardware Pricing'!AM406</f>
        <v>-</v>
      </c>
      <c r="BG398" s="85" t="str">
        <f t="shared" si="1159"/>
        <v>-</v>
      </c>
      <c r="BH398" s="85" t="str">
        <f t="shared" si="1160"/>
        <v>-</v>
      </c>
      <c r="BI398" s="85" t="str">
        <f t="shared" si="1161"/>
        <v>-</v>
      </c>
      <c r="BJ398" s="85" t="str">
        <f>'Consumer Hardware Pricing'!AP406</f>
        <v>-</v>
      </c>
      <c r="BK398" s="85" t="str">
        <f t="shared" si="1217"/>
        <v>-</v>
      </c>
      <c r="BL398" s="85" t="str">
        <f>'Consumer Hardware Pricing'!AQ406</f>
        <v>-</v>
      </c>
      <c r="BM398" s="85" t="str">
        <f t="shared" si="1162"/>
        <v>-</v>
      </c>
      <c r="BN398" s="85" t="str">
        <f t="shared" si="1163"/>
        <v>-</v>
      </c>
      <c r="BO398" s="85" t="str">
        <f t="shared" si="1164"/>
        <v>-</v>
      </c>
      <c r="BP398" s="85" t="str">
        <f>'Consumer Hardware Pricing'!AT406</f>
        <v>-</v>
      </c>
      <c r="BQ398" s="85" t="str">
        <f t="shared" si="1218"/>
        <v>-</v>
      </c>
      <c r="BR398" s="85" t="str">
        <f>'Consumer Hardware Pricing'!AU406</f>
        <v>-</v>
      </c>
      <c r="BS398" s="85" t="str">
        <f t="shared" si="1165"/>
        <v>-</v>
      </c>
      <c r="BT398" s="85" t="str">
        <f t="shared" si="1166"/>
        <v>-</v>
      </c>
      <c r="BU398" s="85" t="str">
        <f t="shared" si="1167"/>
        <v>-</v>
      </c>
    </row>
    <row r="399" spans="1:73" ht="30.15" customHeight="1" x14ac:dyDescent="0.25">
      <c r="A399" s="87" t="s">
        <v>34</v>
      </c>
      <c r="B399" s="88" t="s">
        <v>1115</v>
      </c>
      <c r="C399" s="88" t="s">
        <v>1121</v>
      </c>
      <c r="D399" s="85">
        <f>'Consumer Hardware Pricing'!L407</f>
        <v>1380</v>
      </c>
      <c r="E399" s="85">
        <f>'Consumer Hardware Pricing'!M407</f>
        <v>1380</v>
      </c>
      <c r="F399" s="85">
        <f>'Consumer Hardware Pricing'!N407</f>
        <v>0</v>
      </c>
      <c r="G399" s="85">
        <f t="shared" si="1168"/>
        <v>57.5</v>
      </c>
      <c r="H399" s="85" t="str">
        <f>'Consumer Hardware Pricing'!O407</f>
        <v>-</v>
      </c>
      <c r="I399" s="85">
        <f t="shared" si="1131"/>
        <v>57.5</v>
      </c>
      <c r="J399" s="85" t="str">
        <f t="shared" si="1132"/>
        <v>-</v>
      </c>
      <c r="K399" s="85">
        <f t="shared" si="1133"/>
        <v>1380</v>
      </c>
      <c r="L399" s="85">
        <f>'Consumer Hardware Pricing'!Q407</f>
        <v>588</v>
      </c>
      <c r="M399" s="85">
        <f t="shared" si="1169"/>
        <v>24.5</v>
      </c>
      <c r="N399" s="85">
        <f t="shared" si="1134"/>
        <v>33</v>
      </c>
      <c r="O399" s="85">
        <f t="shared" si="1135"/>
        <v>588</v>
      </c>
      <c r="P399" s="85">
        <f t="shared" si="1136"/>
        <v>792</v>
      </c>
      <c r="Q399" s="85">
        <f>'Consumer Hardware Pricing'!S407</f>
        <v>0</v>
      </c>
      <c r="R399" s="85">
        <f t="shared" si="1137"/>
        <v>57.5</v>
      </c>
      <c r="S399" s="85" t="str">
        <f>'Consumer Hardware Pricing'!T407</f>
        <v>-</v>
      </c>
      <c r="T399" s="129">
        <f t="shared" si="1138"/>
        <v>57.5</v>
      </c>
      <c r="U399" s="129" t="str">
        <f t="shared" si="1139"/>
        <v>-</v>
      </c>
      <c r="V399" s="85">
        <f t="shared" si="1140"/>
        <v>1380</v>
      </c>
      <c r="W399" s="129">
        <f>'Consumer Hardware Pricing'!V407</f>
        <v>588</v>
      </c>
      <c r="X399" s="129">
        <f t="shared" si="1170"/>
        <v>24.5</v>
      </c>
      <c r="Y399" s="129">
        <f t="shared" si="1141"/>
        <v>33</v>
      </c>
      <c r="Z399" s="129">
        <f t="shared" si="1142"/>
        <v>588</v>
      </c>
      <c r="AA399" s="85">
        <f t="shared" si="1143"/>
        <v>792</v>
      </c>
      <c r="AB399" s="85">
        <f>'Consumer Hardware Pricing'!X407</f>
        <v>0</v>
      </c>
      <c r="AC399" s="85">
        <f t="shared" si="1211"/>
        <v>57.5</v>
      </c>
      <c r="AD399" s="85">
        <f>'Consumer Hardware Pricing'!Y407</f>
        <v>2</v>
      </c>
      <c r="AE399" s="85">
        <f t="shared" si="1144"/>
        <v>55.5</v>
      </c>
      <c r="AF399" s="85">
        <f t="shared" si="1145"/>
        <v>48</v>
      </c>
      <c r="AG399" s="85">
        <f t="shared" si="1146"/>
        <v>1332</v>
      </c>
      <c r="AH399" s="85">
        <f>'Consumer Hardware Pricing'!AA407</f>
        <v>588</v>
      </c>
      <c r="AI399" s="85">
        <f t="shared" si="1212"/>
        <v>26.5</v>
      </c>
      <c r="AJ399" s="85">
        <f t="shared" si="1147"/>
        <v>31</v>
      </c>
      <c r="AK399" s="85">
        <f t="shared" si="1148"/>
        <v>636</v>
      </c>
      <c r="AL399" s="85">
        <f t="shared" si="1149"/>
        <v>744</v>
      </c>
      <c r="AM399" s="85">
        <f>'Consumer Hardware Pricing'!AC407</f>
        <v>0</v>
      </c>
      <c r="AN399" s="85">
        <f t="shared" si="1213"/>
        <v>57.5</v>
      </c>
      <c r="AO399" s="85">
        <f>'Consumer Hardware Pricing'!AD407</f>
        <v>2</v>
      </c>
      <c r="AP399" s="85">
        <f t="shared" si="1150"/>
        <v>55.5</v>
      </c>
      <c r="AQ399" s="85">
        <f t="shared" si="1151"/>
        <v>48</v>
      </c>
      <c r="AR399" s="85">
        <f t="shared" si="1152"/>
        <v>1332</v>
      </c>
      <c r="AS399" s="85">
        <f>'Consumer Hardware Pricing'!AF407</f>
        <v>588</v>
      </c>
      <c r="AT399" s="85">
        <f t="shared" si="1214"/>
        <v>26.5</v>
      </c>
      <c r="AU399" s="85">
        <f t="shared" si="1153"/>
        <v>31</v>
      </c>
      <c r="AV399" s="85">
        <f t="shared" si="1154"/>
        <v>636</v>
      </c>
      <c r="AW399" s="85">
        <f t="shared" si="1155"/>
        <v>744</v>
      </c>
      <c r="AX399" s="85" t="str">
        <f>'Consumer Hardware Pricing'!AH407</f>
        <v>-</v>
      </c>
      <c r="AY399" s="85" t="str">
        <f t="shared" si="1215"/>
        <v>-</v>
      </c>
      <c r="AZ399" s="85" t="str">
        <f>'Consumer Hardware Pricing'!AI407</f>
        <v>-</v>
      </c>
      <c r="BA399" s="85" t="str">
        <f t="shared" si="1156"/>
        <v>-</v>
      </c>
      <c r="BB399" s="85" t="str">
        <f t="shared" si="1157"/>
        <v>-</v>
      </c>
      <c r="BC399" s="85" t="str">
        <f t="shared" si="1158"/>
        <v>-</v>
      </c>
      <c r="BD399" s="85" t="str">
        <f>'Consumer Hardware Pricing'!AL407</f>
        <v>-</v>
      </c>
      <c r="BE399" s="85" t="str">
        <f t="shared" si="1216"/>
        <v>-</v>
      </c>
      <c r="BF399" s="85" t="str">
        <f>'Consumer Hardware Pricing'!AM407</f>
        <v>-</v>
      </c>
      <c r="BG399" s="85" t="str">
        <f t="shared" si="1159"/>
        <v>-</v>
      </c>
      <c r="BH399" s="85" t="str">
        <f t="shared" si="1160"/>
        <v>-</v>
      </c>
      <c r="BI399" s="85" t="str">
        <f t="shared" si="1161"/>
        <v>-</v>
      </c>
      <c r="BJ399" s="85" t="str">
        <f>'Consumer Hardware Pricing'!AP407</f>
        <v>-</v>
      </c>
      <c r="BK399" s="85" t="str">
        <f t="shared" si="1217"/>
        <v>-</v>
      </c>
      <c r="BL399" s="85" t="str">
        <f>'Consumer Hardware Pricing'!AQ407</f>
        <v>-</v>
      </c>
      <c r="BM399" s="85" t="str">
        <f t="shared" si="1162"/>
        <v>-</v>
      </c>
      <c r="BN399" s="85" t="str">
        <f t="shared" si="1163"/>
        <v>-</v>
      </c>
      <c r="BO399" s="85" t="str">
        <f t="shared" si="1164"/>
        <v>-</v>
      </c>
      <c r="BP399" s="85" t="str">
        <f>'Consumer Hardware Pricing'!AT407</f>
        <v>-</v>
      </c>
      <c r="BQ399" s="85" t="str">
        <f t="shared" si="1218"/>
        <v>-</v>
      </c>
      <c r="BR399" s="85" t="str">
        <f>'Consumer Hardware Pricing'!AU407</f>
        <v>-</v>
      </c>
      <c r="BS399" s="85" t="str">
        <f t="shared" si="1165"/>
        <v>-</v>
      </c>
      <c r="BT399" s="85" t="str">
        <f t="shared" si="1166"/>
        <v>-</v>
      </c>
      <c r="BU399" s="85" t="str">
        <f t="shared" si="1167"/>
        <v>-</v>
      </c>
    </row>
    <row r="400" spans="1:73" ht="30.15" customHeight="1" x14ac:dyDescent="0.25">
      <c r="A400" s="87" t="s">
        <v>34</v>
      </c>
      <c r="B400" s="88" t="s">
        <v>1116</v>
      </c>
      <c r="C400" s="88" t="s">
        <v>1121</v>
      </c>
      <c r="D400" s="85">
        <f>'Consumer Hardware Pricing'!L408</f>
        <v>1380</v>
      </c>
      <c r="E400" s="85">
        <f>'Consumer Hardware Pricing'!M408</f>
        <v>1380</v>
      </c>
      <c r="F400" s="85">
        <f>'Consumer Hardware Pricing'!N408</f>
        <v>0</v>
      </c>
      <c r="G400" s="85">
        <f t="shared" si="1168"/>
        <v>57.5</v>
      </c>
      <c r="H400" s="85" t="str">
        <f>'Consumer Hardware Pricing'!O408</f>
        <v>-</v>
      </c>
      <c r="I400" s="85">
        <f t="shared" si="1131"/>
        <v>57.5</v>
      </c>
      <c r="J400" s="85" t="str">
        <f t="shared" si="1132"/>
        <v>-</v>
      </c>
      <c r="K400" s="85">
        <f t="shared" si="1133"/>
        <v>1380</v>
      </c>
      <c r="L400" s="85">
        <f>'Consumer Hardware Pricing'!Q408</f>
        <v>588</v>
      </c>
      <c r="M400" s="85">
        <f t="shared" si="1169"/>
        <v>24.5</v>
      </c>
      <c r="N400" s="85">
        <f t="shared" si="1134"/>
        <v>33</v>
      </c>
      <c r="O400" s="85">
        <f t="shared" si="1135"/>
        <v>588</v>
      </c>
      <c r="P400" s="85">
        <f t="shared" si="1136"/>
        <v>792</v>
      </c>
      <c r="Q400" s="85">
        <f>'Consumer Hardware Pricing'!S408</f>
        <v>0</v>
      </c>
      <c r="R400" s="85">
        <f t="shared" si="1137"/>
        <v>57.5</v>
      </c>
      <c r="S400" s="85" t="str">
        <f>'Consumer Hardware Pricing'!T408</f>
        <v>-</v>
      </c>
      <c r="T400" s="129">
        <f t="shared" si="1138"/>
        <v>57.5</v>
      </c>
      <c r="U400" s="129" t="str">
        <f t="shared" si="1139"/>
        <v>-</v>
      </c>
      <c r="V400" s="85">
        <f t="shared" si="1140"/>
        <v>1380</v>
      </c>
      <c r="W400" s="129">
        <f>'Consumer Hardware Pricing'!V408</f>
        <v>588</v>
      </c>
      <c r="X400" s="129">
        <f t="shared" si="1170"/>
        <v>24.5</v>
      </c>
      <c r="Y400" s="129">
        <f t="shared" si="1141"/>
        <v>33</v>
      </c>
      <c r="Z400" s="129">
        <f t="shared" si="1142"/>
        <v>588</v>
      </c>
      <c r="AA400" s="85">
        <f t="shared" si="1143"/>
        <v>792</v>
      </c>
      <c r="AB400" s="85">
        <f>'Consumer Hardware Pricing'!X408</f>
        <v>0</v>
      </c>
      <c r="AC400" s="85">
        <f t="shared" si="1211"/>
        <v>57.5</v>
      </c>
      <c r="AD400" s="85">
        <f>'Consumer Hardware Pricing'!Y408</f>
        <v>2</v>
      </c>
      <c r="AE400" s="85">
        <f t="shared" si="1144"/>
        <v>55.5</v>
      </c>
      <c r="AF400" s="85">
        <f t="shared" si="1145"/>
        <v>48</v>
      </c>
      <c r="AG400" s="85">
        <f t="shared" si="1146"/>
        <v>1332</v>
      </c>
      <c r="AH400" s="85">
        <f>'Consumer Hardware Pricing'!AA408</f>
        <v>588</v>
      </c>
      <c r="AI400" s="85">
        <f t="shared" si="1212"/>
        <v>26.5</v>
      </c>
      <c r="AJ400" s="85">
        <f t="shared" si="1147"/>
        <v>31</v>
      </c>
      <c r="AK400" s="85">
        <f t="shared" si="1148"/>
        <v>636</v>
      </c>
      <c r="AL400" s="85">
        <f t="shared" si="1149"/>
        <v>744</v>
      </c>
      <c r="AM400" s="85">
        <f>'Consumer Hardware Pricing'!AC408</f>
        <v>0</v>
      </c>
      <c r="AN400" s="85">
        <f t="shared" si="1213"/>
        <v>57.5</v>
      </c>
      <c r="AO400" s="85">
        <f>'Consumer Hardware Pricing'!AD408</f>
        <v>2</v>
      </c>
      <c r="AP400" s="85">
        <f t="shared" si="1150"/>
        <v>55.5</v>
      </c>
      <c r="AQ400" s="85">
        <f t="shared" si="1151"/>
        <v>48</v>
      </c>
      <c r="AR400" s="85">
        <f t="shared" si="1152"/>
        <v>1332</v>
      </c>
      <c r="AS400" s="85">
        <f>'Consumer Hardware Pricing'!AF408</f>
        <v>588</v>
      </c>
      <c r="AT400" s="85">
        <f t="shared" si="1214"/>
        <v>26.5</v>
      </c>
      <c r="AU400" s="85">
        <f t="shared" si="1153"/>
        <v>31</v>
      </c>
      <c r="AV400" s="85">
        <f t="shared" si="1154"/>
        <v>636</v>
      </c>
      <c r="AW400" s="85">
        <f t="shared" si="1155"/>
        <v>744</v>
      </c>
      <c r="AX400" s="85" t="str">
        <f>'Consumer Hardware Pricing'!AH408</f>
        <v>-</v>
      </c>
      <c r="AY400" s="85" t="str">
        <f t="shared" si="1215"/>
        <v>-</v>
      </c>
      <c r="AZ400" s="85" t="str">
        <f>'Consumer Hardware Pricing'!AI408</f>
        <v>-</v>
      </c>
      <c r="BA400" s="85" t="str">
        <f t="shared" si="1156"/>
        <v>-</v>
      </c>
      <c r="BB400" s="85" t="str">
        <f t="shared" si="1157"/>
        <v>-</v>
      </c>
      <c r="BC400" s="85" t="str">
        <f t="shared" si="1158"/>
        <v>-</v>
      </c>
      <c r="BD400" s="85" t="str">
        <f>'Consumer Hardware Pricing'!AL408</f>
        <v>-</v>
      </c>
      <c r="BE400" s="85" t="str">
        <f t="shared" si="1216"/>
        <v>-</v>
      </c>
      <c r="BF400" s="85" t="str">
        <f>'Consumer Hardware Pricing'!AM408</f>
        <v>-</v>
      </c>
      <c r="BG400" s="85" t="str">
        <f t="shared" si="1159"/>
        <v>-</v>
      </c>
      <c r="BH400" s="85" t="str">
        <f t="shared" si="1160"/>
        <v>-</v>
      </c>
      <c r="BI400" s="85" t="str">
        <f t="shared" si="1161"/>
        <v>-</v>
      </c>
      <c r="BJ400" s="85" t="str">
        <f>'Consumer Hardware Pricing'!AP408</f>
        <v>-</v>
      </c>
      <c r="BK400" s="85" t="str">
        <f t="shared" si="1217"/>
        <v>-</v>
      </c>
      <c r="BL400" s="85" t="str">
        <f>'Consumer Hardware Pricing'!AQ408</f>
        <v>-</v>
      </c>
      <c r="BM400" s="85" t="str">
        <f t="shared" si="1162"/>
        <v>-</v>
      </c>
      <c r="BN400" s="85" t="str">
        <f t="shared" si="1163"/>
        <v>-</v>
      </c>
      <c r="BO400" s="85" t="str">
        <f t="shared" si="1164"/>
        <v>-</v>
      </c>
      <c r="BP400" s="85" t="str">
        <f>'Consumer Hardware Pricing'!AT408</f>
        <v>-</v>
      </c>
      <c r="BQ400" s="85" t="str">
        <f t="shared" si="1218"/>
        <v>-</v>
      </c>
      <c r="BR400" s="85" t="str">
        <f>'Consumer Hardware Pricing'!AU408</f>
        <v>-</v>
      </c>
      <c r="BS400" s="85" t="str">
        <f t="shared" si="1165"/>
        <v>-</v>
      </c>
      <c r="BT400" s="85" t="str">
        <f t="shared" si="1166"/>
        <v>-</v>
      </c>
      <c r="BU400" s="85" t="str">
        <f t="shared" si="1167"/>
        <v>-</v>
      </c>
    </row>
    <row r="401" spans="1:73" ht="30.15" customHeight="1" x14ac:dyDescent="0.25">
      <c r="A401" s="87" t="s">
        <v>34</v>
      </c>
      <c r="B401" s="88" t="s">
        <v>1117</v>
      </c>
      <c r="C401" s="88" t="s">
        <v>1121</v>
      </c>
      <c r="D401" s="85">
        <f>'Consumer Hardware Pricing'!L409</f>
        <v>1380</v>
      </c>
      <c r="E401" s="85">
        <f>'Consumer Hardware Pricing'!M409</f>
        <v>1380</v>
      </c>
      <c r="F401" s="85">
        <f>'Consumer Hardware Pricing'!N409</f>
        <v>0</v>
      </c>
      <c r="G401" s="85">
        <f t="shared" si="1168"/>
        <v>57.5</v>
      </c>
      <c r="H401" s="85" t="str">
        <f>'Consumer Hardware Pricing'!O409</f>
        <v>-</v>
      </c>
      <c r="I401" s="85">
        <f t="shared" si="1131"/>
        <v>57.5</v>
      </c>
      <c r="J401" s="85" t="str">
        <f t="shared" si="1132"/>
        <v>-</v>
      </c>
      <c r="K401" s="85">
        <f t="shared" si="1133"/>
        <v>1380</v>
      </c>
      <c r="L401" s="85">
        <f>'Consumer Hardware Pricing'!Q409</f>
        <v>588</v>
      </c>
      <c r="M401" s="85">
        <f t="shared" si="1169"/>
        <v>24.5</v>
      </c>
      <c r="N401" s="85">
        <f t="shared" si="1134"/>
        <v>33</v>
      </c>
      <c r="O401" s="85">
        <f t="shared" si="1135"/>
        <v>588</v>
      </c>
      <c r="P401" s="85">
        <f t="shared" si="1136"/>
        <v>792</v>
      </c>
      <c r="Q401" s="85">
        <f>'Consumer Hardware Pricing'!S409</f>
        <v>0</v>
      </c>
      <c r="R401" s="85">
        <f t="shared" si="1137"/>
        <v>57.5</v>
      </c>
      <c r="S401" s="85" t="str">
        <f>'Consumer Hardware Pricing'!T409</f>
        <v>-</v>
      </c>
      <c r="T401" s="129">
        <f t="shared" si="1138"/>
        <v>57.5</v>
      </c>
      <c r="U401" s="129" t="str">
        <f t="shared" si="1139"/>
        <v>-</v>
      </c>
      <c r="V401" s="85">
        <f t="shared" si="1140"/>
        <v>1380</v>
      </c>
      <c r="W401" s="129">
        <f>'Consumer Hardware Pricing'!V409</f>
        <v>588</v>
      </c>
      <c r="X401" s="129">
        <f t="shared" si="1170"/>
        <v>24.5</v>
      </c>
      <c r="Y401" s="129">
        <f t="shared" si="1141"/>
        <v>33</v>
      </c>
      <c r="Z401" s="129">
        <f t="shared" si="1142"/>
        <v>588</v>
      </c>
      <c r="AA401" s="85">
        <f t="shared" si="1143"/>
        <v>792</v>
      </c>
      <c r="AB401" s="85">
        <f>'Consumer Hardware Pricing'!X409</f>
        <v>0</v>
      </c>
      <c r="AC401" s="85">
        <f t="shared" si="1211"/>
        <v>57.5</v>
      </c>
      <c r="AD401" s="85">
        <f>'Consumer Hardware Pricing'!Y409</f>
        <v>2</v>
      </c>
      <c r="AE401" s="85">
        <f t="shared" si="1144"/>
        <v>55.5</v>
      </c>
      <c r="AF401" s="85">
        <f t="shared" si="1145"/>
        <v>48</v>
      </c>
      <c r="AG401" s="85">
        <f t="shared" si="1146"/>
        <v>1332</v>
      </c>
      <c r="AH401" s="85">
        <f>'Consumer Hardware Pricing'!AA409</f>
        <v>588</v>
      </c>
      <c r="AI401" s="85">
        <f t="shared" si="1212"/>
        <v>26.5</v>
      </c>
      <c r="AJ401" s="85">
        <f t="shared" si="1147"/>
        <v>31</v>
      </c>
      <c r="AK401" s="85">
        <f t="shared" si="1148"/>
        <v>636</v>
      </c>
      <c r="AL401" s="85">
        <f t="shared" si="1149"/>
        <v>744</v>
      </c>
      <c r="AM401" s="85">
        <f>'Consumer Hardware Pricing'!AC409</f>
        <v>0</v>
      </c>
      <c r="AN401" s="85">
        <f t="shared" si="1213"/>
        <v>57.5</v>
      </c>
      <c r="AO401" s="85">
        <f>'Consumer Hardware Pricing'!AD409</f>
        <v>2</v>
      </c>
      <c r="AP401" s="85">
        <f t="shared" si="1150"/>
        <v>55.5</v>
      </c>
      <c r="AQ401" s="85">
        <f t="shared" si="1151"/>
        <v>48</v>
      </c>
      <c r="AR401" s="85">
        <f t="shared" si="1152"/>
        <v>1332</v>
      </c>
      <c r="AS401" s="85">
        <f>'Consumer Hardware Pricing'!AF409</f>
        <v>588</v>
      </c>
      <c r="AT401" s="85">
        <f t="shared" si="1214"/>
        <v>26.5</v>
      </c>
      <c r="AU401" s="85">
        <f t="shared" si="1153"/>
        <v>31</v>
      </c>
      <c r="AV401" s="85">
        <f t="shared" si="1154"/>
        <v>636</v>
      </c>
      <c r="AW401" s="85">
        <f t="shared" si="1155"/>
        <v>744</v>
      </c>
      <c r="AX401" s="85" t="str">
        <f>'Consumer Hardware Pricing'!AH409</f>
        <v>-</v>
      </c>
      <c r="AY401" s="85" t="str">
        <f t="shared" si="1215"/>
        <v>-</v>
      </c>
      <c r="AZ401" s="85" t="str">
        <f>'Consumer Hardware Pricing'!AI409</f>
        <v>-</v>
      </c>
      <c r="BA401" s="85" t="str">
        <f t="shared" si="1156"/>
        <v>-</v>
      </c>
      <c r="BB401" s="85" t="str">
        <f t="shared" si="1157"/>
        <v>-</v>
      </c>
      <c r="BC401" s="85" t="str">
        <f t="shared" si="1158"/>
        <v>-</v>
      </c>
      <c r="BD401" s="85" t="str">
        <f>'Consumer Hardware Pricing'!AL409</f>
        <v>-</v>
      </c>
      <c r="BE401" s="85" t="str">
        <f t="shared" si="1216"/>
        <v>-</v>
      </c>
      <c r="BF401" s="85" t="str">
        <f>'Consumer Hardware Pricing'!AM409</f>
        <v>-</v>
      </c>
      <c r="BG401" s="85" t="str">
        <f t="shared" si="1159"/>
        <v>-</v>
      </c>
      <c r="BH401" s="85" t="str">
        <f t="shared" si="1160"/>
        <v>-</v>
      </c>
      <c r="BI401" s="85" t="str">
        <f t="shared" si="1161"/>
        <v>-</v>
      </c>
      <c r="BJ401" s="85" t="str">
        <f>'Consumer Hardware Pricing'!AP409</f>
        <v>-</v>
      </c>
      <c r="BK401" s="85" t="str">
        <f t="shared" si="1217"/>
        <v>-</v>
      </c>
      <c r="BL401" s="85" t="str">
        <f>'Consumer Hardware Pricing'!AQ409</f>
        <v>-</v>
      </c>
      <c r="BM401" s="85" t="str">
        <f t="shared" si="1162"/>
        <v>-</v>
      </c>
      <c r="BN401" s="85" t="str">
        <f t="shared" si="1163"/>
        <v>-</v>
      </c>
      <c r="BO401" s="85" t="str">
        <f t="shared" si="1164"/>
        <v>-</v>
      </c>
      <c r="BP401" s="85" t="str">
        <f>'Consumer Hardware Pricing'!AT409</f>
        <v>-</v>
      </c>
      <c r="BQ401" s="85" t="str">
        <f t="shared" si="1218"/>
        <v>-</v>
      </c>
      <c r="BR401" s="85" t="str">
        <f>'Consumer Hardware Pricing'!AU409</f>
        <v>-</v>
      </c>
      <c r="BS401" s="85" t="str">
        <f t="shared" si="1165"/>
        <v>-</v>
      </c>
      <c r="BT401" s="85" t="str">
        <f t="shared" si="1166"/>
        <v>-</v>
      </c>
      <c r="BU401" s="85" t="str">
        <f t="shared" si="1167"/>
        <v>-</v>
      </c>
    </row>
    <row r="402" spans="1:73" ht="30.15" customHeight="1" x14ac:dyDescent="0.25">
      <c r="A402" s="87" t="s">
        <v>34</v>
      </c>
      <c r="B402" s="88" t="s">
        <v>1118</v>
      </c>
      <c r="C402" s="88" t="s">
        <v>1121</v>
      </c>
      <c r="D402" s="85">
        <f>'Consumer Hardware Pricing'!L410</f>
        <v>1380</v>
      </c>
      <c r="E402" s="85">
        <f>'Consumer Hardware Pricing'!M410</f>
        <v>1380</v>
      </c>
      <c r="F402" s="85">
        <f>'Consumer Hardware Pricing'!N410</f>
        <v>0</v>
      </c>
      <c r="G402" s="85">
        <f t="shared" si="1168"/>
        <v>57.5</v>
      </c>
      <c r="H402" s="85" t="str">
        <f>'Consumer Hardware Pricing'!O410</f>
        <v>-</v>
      </c>
      <c r="I402" s="85">
        <f t="shared" si="1131"/>
        <v>57.5</v>
      </c>
      <c r="J402" s="85" t="str">
        <f t="shared" si="1132"/>
        <v>-</v>
      </c>
      <c r="K402" s="85">
        <f t="shared" si="1133"/>
        <v>1380</v>
      </c>
      <c r="L402" s="85">
        <f>'Consumer Hardware Pricing'!Q410</f>
        <v>588</v>
      </c>
      <c r="M402" s="85">
        <f t="shared" si="1169"/>
        <v>24.5</v>
      </c>
      <c r="N402" s="85">
        <f t="shared" si="1134"/>
        <v>33</v>
      </c>
      <c r="O402" s="85">
        <f t="shared" si="1135"/>
        <v>588</v>
      </c>
      <c r="P402" s="85">
        <f t="shared" si="1136"/>
        <v>792</v>
      </c>
      <c r="Q402" s="85">
        <f>'Consumer Hardware Pricing'!S410</f>
        <v>0</v>
      </c>
      <c r="R402" s="85">
        <f t="shared" si="1137"/>
        <v>57.5</v>
      </c>
      <c r="S402" s="85" t="str">
        <f>'Consumer Hardware Pricing'!T410</f>
        <v>-</v>
      </c>
      <c r="T402" s="129">
        <f t="shared" si="1138"/>
        <v>57.5</v>
      </c>
      <c r="U402" s="129" t="str">
        <f t="shared" si="1139"/>
        <v>-</v>
      </c>
      <c r="V402" s="85">
        <f t="shared" si="1140"/>
        <v>1380</v>
      </c>
      <c r="W402" s="129">
        <f>'Consumer Hardware Pricing'!V410</f>
        <v>588</v>
      </c>
      <c r="X402" s="129">
        <f t="shared" si="1170"/>
        <v>24.5</v>
      </c>
      <c r="Y402" s="129">
        <f t="shared" si="1141"/>
        <v>33</v>
      </c>
      <c r="Z402" s="129">
        <f t="shared" si="1142"/>
        <v>588</v>
      </c>
      <c r="AA402" s="85">
        <f t="shared" si="1143"/>
        <v>792</v>
      </c>
      <c r="AB402" s="85">
        <f>'Consumer Hardware Pricing'!X410</f>
        <v>0</v>
      </c>
      <c r="AC402" s="85">
        <f t="shared" si="1211"/>
        <v>57.5</v>
      </c>
      <c r="AD402" s="85">
        <f>'Consumer Hardware Pricing'!Y410</f>
        <v>2</v>
      </c>
      <c r="AE402" s="85">
        <f t="shared" si="1144"/>
        <v>55.5</v>
      </c>
      <c r="AF402" s="85">
        <f t="shared" si="1145"/>
        <v>48</v>
      </c>
      <c r="AG402" s="85">
        <f t="shared" si="1146"/>
        <v>1332</v>
      </c>
      <c r="AH402" s="85">
        <f>'Consumer Hardware Pricing'!AA410</f>
        <v>588</v>
      </c>
      <c r="AI402" s="85">
        <f t="shared" si="1212"/>
        <v>26.5</v>
      </c>
      <c r="AJ402" s="85">
        <f t="shared" si="1147"/>
        <v>31</v>
      </c>
      <c r="AK402" s="85">
        <f t="shared" si="1148"/>
        <v>636</v>
      </c>
      <c r="AL402" s="85">
        <f t="shared" si="1149"/>
        <v>744</v>
      </c>
      <c r="AM402" s="85">
        <f>'Consumer Hardware Pricing'!AC410</f>
        <v>0</v>
      </c>
      <c r="AN402" s="85">
        <f t="shared" si="1213"/>
        <v>57.5</v>
      </c>
      <c r="AO402" s="85">
        <f>'Consumer Hardware Pricing'!AD410</f>
        <v>2</v>
      </c>
      <c r="AP402" s="85">
        <f t="shared" si="1150"/>
        <v>55.5</v>
      </c>
      <c r="AQ402" s="85">
        <f t="shared" si="1151"/>
        <v>48</v>
      </c>
      <c r="AR402" s="85">
        <f t="shared" si="1152"/>
        <v>1332</v>
      </c>
      <c r="AS402" s="85">
        <f>'Consumer Hardware Pricing'!AF410</f>
        <v>588</v>
      </c>
      <c r="AT402" s="85">
        <f t="shared" si="1214"/>
        <v>26.5</v>
      </c>
      <c r="AU402" s="85">
        <f t="shared" si="1153"/>
        <v>31</v>
      </c>
      <c r="AV402" s="85">
        <f t="shared" si="1154"/>
        <v>636</v>
      </c>
      <c r="AW402" s="85">
        <f t="shared" si="1155"/>
        <v>744</v>
      </c>
      <c r="AX402" s="85" t="str">
        <f>'Consumer Hardware Pricing'!AH410</f>
        <v>-</v>
      </c>
      <c r="AY402" s="85" t="str">
        <f t="shared" si="1215"/>
        <v>-</v>
      </c>
      <c r="AZ402" s="85" t="str">
        <f>'Consumer Hardware Pricing'!AI410</f>
        <v>-</v>
      </c>
      <c r="BA402" s="85" t="str">
        <f t="shared" si="1156"/>
        <v>-</v>
      </c>
      <c r="BB402" s="85" t="str">
        <f t="shared" si="1157"/>
        <v>-</v>
      </c>
      <c r="BC402" s="85" t="str">
        <f t="shared" si="1158"/>
        <v>-</v>
      </c>
      <c r="BD402" s="85" t="str">
        <f>'Consumer Hardware Pricing'!AL410</f>
        <v>-</v>
      </c>
      <c r="BE402" s="85" t="str">
        <f t="shared" si="1216"/>
        <v>-</v>
      </c>
      <c r="BF402" s="85" t="str">
        <f>'Consumer Hardware Pricing'!AM410</f>
        <v>-</v>
      </c>
      <c r="BG402" s="85" t="str">
        <f t="shared" si="1159"/>
        <v>-</v>
      </c>
      <c r="BH402" s="85" t="str">
        <f t="shared" si="1160"/>
        <v>-</v>
      </c>
      <c r="BI402" s="85" t="str">
        <f t="shared" si="1161"/>
        <v>-</v>
      </c>
      <c r="BJ402" s="85" t="str">
        <f>'Consumer Hardware Pricing'!AP410</f>
        <v>-</v>
      </c>
      <c r="BK402" s="85" t="str">
        <f t="shared" si="1217"/>
        <v>-</v>
      </c>
      <c r="BL402" s="85" t="str">
        <f>'Consumer Hardware Pricing'!AQ410</f>
        <v>-</v>
      </c>
      <c r="BM402" s="85" t="str">
        <f t="shared" si="1162"/>
        <v>-</v>
      </c>
      <c r="BN402" s="85" t="str">
        <f t="shared" si="1163"/>
        <v>-</v>
      </c>
      <c r="BO402" s="85" t="str">
        <f t="shared" si="1164"/>
        <v>-</v>
      </c>
      <c r="BP402" s="85" t="str">
        <f>'Consumer Hardware Pricing'!AT410</f>
        <v>-</v>
      </c>
      <c r="BQ402" s="85" t="str">
        <f t="shared" si="1218"/>
        <v>-</v>
      </c>
      <c r="BR402" s="85" t="str">
        <f>'Consumer Hardware Pricing'!AU410</f>
        <v>-</v>
      </c>
      <c r="BS402" s="85" t="str">
        <f t="shared" si="1165"/>
        <v>-</v>
      </c>
      <c r="BT402" s="85" t="str">
        <f t="shared" si="1166"/>
        <v>-</v>
      </c>
      <c r="BU402" s="85" t="str">
        <f t="shared" si="1167"/>
        <v>-</v>
      </c>
    </row>
    <row r="403" spans="1:73" ht="30.15" customHeight="1" x14ac:dyDescent="0.25">
      <c r="A403" s="87" t="s">
        <v>34</v>
      </c>
      <c r="B403" s="88" t="s">
        <v>1269</v>
      </c>
      <c r="C403" s="88" t="s">
        <v>1121</v>
      </c>
      <c r="D403" s="85">
        <f>'Consumer Hardware Pricing'!L411</f>
        <v>1380</v>
      </c>
      <c r="E403" s="85">
        <f>'Consumer Hardware Pricing'!M411</f>
        <v>1380</v>
      </c>
      <c r="F403" s="85">
        <f>'Consumer Hardware Pricing'!N411</f>
        <v>0</v>
      </c>
      <c r="G403" s="85">
        <f t="shared" ref="G403" si="1267">IF(F403="-","-",ROUNDUP(D403/24,2))</f>
        <v>57.5</v>
      </c>
      <c r="H403" s="85" t="str">
        <f>'Consumer Hardware Pricing'!O411</f>
        <v>-</v>
      </c>
      <c r="I403" s="85">
        <f t="shared" ref="I403" si="1268">IF(H403="-",G403,G403-H403)</f>
        <v>57.5</v>
      </c>
      <c r="J403" s="85" t="str">
        <f t="shared" ref="J403" si="1269">IF(H403="-",H403,H403*24)</f>
        <v>-</v>
      </c>
      <c r="K403" s="85">
        <f t="shared" ref="K403" si="1270">IF(F403="-",F403,I403*24)</f>
        <v>1380</v>
      </c>
      <c r="L403" s="85">
        <f>'Consumer Hardware Pricing'!Q411</f>
        <v>588</v>
      </c>
      <c r="M403" s="85">
        <f t="shared" ref="M403" si="1271">IF(L403="-",L403,IF(H403="-",G403-ROUNDUP((D403-L403)/24,2),H403+G403-ROUNDUP((D403-L403)/24,2)))</f>
        <v>24.5</v>
      </c>
      <c r="N403" s="85">
        <f t="shared" ref="N403" si="1272">IF(L403="-",L403,G403-M403)</f>
        <v>33</v>
      </c>
      <c r="O403" s="85">
        <f t="shared" ref="O403" si="1273">IF(L403="-",L403,M403*24)</f>
        <v>588</v>
      </c>
      <c r="P403" s="85">
        <f t="shared" ref="P403" si="1274">IF(L403="-",L403,N403*24)</f>
        <v>792</v>
      </c>
      <c r="Q403" s="85">
        <f>'Consumer Hardware Pricing'!S411</f>
        <v>0</v>
      </c>
      <c r="R403" s="85">
        <f t="shared" ref="R403" si="1275">G403</f>
        <v>57.5</v>
      </c>
      <c r="S403" s="85" t="str">
        <f>'Consumer Hardware Pricing'!T411</f>
        <v>-</v>
      </c>
      <c r="T403" s="129">
        <f t="shared" ref="T403" si="1276">IF(S403="-",R403,R403-S403)</f>
        <v>57.5</v>
      </c>
      <c r="U403" s="129" t="str">
        <f t="shared" ref="U403" si="1277">IF(S403="-",S403,S403*24)</f>
        <v>-</v>
      </c>
      <c r="V403" s="85">
        <f t="shared" ref="V403" si="1278">IF(Q403="-",Q403,T403*24)</f>
        <v>1380</v>
      </c>
      <c r="W403" s="129">
        <f>'Consumer Hardware Pricing'!V411</f>
        <v>588</v>
      </c>
      <c r="X403" s="129">
        <f t="shared" ref="X403" si="1279">IF(W403="-",W403,IF(S403="-",R403-ROUNDUP((D403-W403)/24,2),S403+R403-ROUNDUP((D403-W403)/24,2)))</f>
        <v>24.5</v>
      </c>
      <c r="Y403" s="129">
        <f t="shared" ref="Y403" si="1280">IF(W403="-",W403,R403-X403)</f>
        <v>33</v>
      </c>
      <c r="Z403" s="129">
        <f t="shared" ref="Z403" si="1281">IF(W403="-",W403,X403*24)</f>
        <v>588</v>
      </c>
      <c r="AA403" s="85">
        <f t="shared" ref="AA403" si="1282">IF(W403="-",W403,Y403*24)</f>
        <v>792</v>
      </c>
      <c r="AB403" s="85">
        <f>'Consumer Hardware Pricing'!X411</f>
        <v>0</v>
      </c>
      <c r="AC403" s="85">
        <f t="shared" ref="AC403" si="1283">IF(AB403="-","-",ROUNDUP(D403/24,2))</f>
        <v>57.5</v>
      </c>
      <c r="AD403" s="85">
        <f>'Consumer Hardware Pricing'!Y411</f>
        <v>2</v>
      </c>
      <c r="AE403" s="85">
        <f t="shared" ref="AE403" si="1284">IF(AD403="-",AC403,AC403-AD403)</f>
        <v>55.5</v>
      </c>
      <c r="AF403" s="85">
        <f t="shared" ref="AF403" si="1285">IF(AD403="-",AD403,AD403*24)</f>
        <v>48</v>
      </c>
      <c r="AG403" s="85">
        <f t="shared" ref="AG403" si="1286">IF(AB403="-",AB403,AE403*24)</f>
        <v>1332</v>
      </c>
      <c r="AH403" s="85">
        <f>'Consumer Hardware Pricing'!AA411</f>
        <v>588</v>
      </c>
      <c r="AI403" s="85">
        <f t="shared" ref="AI403" si="1287">IF(AH403="-",AH403,IF(AD403="-",AC403-ROUNDUP((D403-AH403)/24,2),AD403+AC403-ROUNDUP((D403-AH403)/24,2)))</f>
        <v>26.5</v>
      </c>
      <c r="AJ403" s="85">
        <f t="shared" ref="AJ403" si="1288">IF(AH403="-",AH403,AC403-AI403)</f>
        <v>31</v>
      </c>
      <c r="AK403" s="85">
        <f t="shared" ref="AK403" si="1289">IF(AH403="-",AH403,AI403*24)</f>
        <v>636</v>
      </c>
      <c r="AL403" s="85">
        <f t="shared" ref="AL403" si="1290">IF(AH403="-",AH403,AJ403*24)</f>
        <v>744</v>
      </c>
      <c r="AM403" s="85">
        <f>'Consumer Hardware Pricing'!AC411</f>
        <v>0</v>
      </c>
      <c r="AN403" s="85">
        <f t="shared" ref="AN403" si="1291">IF(AM403="-","-",ROUNDUP(D403/24,2))</f>
        <v>57.5</v>
      </c>
      <c r="AO403" s="85">
        <f>'Consumer Hardware Pricing'!AD411</f>
        <v>2</v>
      </c>
      <c r="AP403" s="85">
        <f t="shared" ref="AP403" si="1292">IF(AO403="-",AN403,AN403-AO403)</f>
        <v>55.5</v>
      </c>
      <c r="AQ403" s="85">
        <f t="shared" ref="AQ403" si="1293">IF(AO403="-",AO403,AO403*24)</f>
        <v>48</v>
      </c>
      <c r="AR403" s="85">
        <f t="shared" ref="AR403" si="1294">IF(AM403="-",AM403,AP403*24)</f>
        <v>1332</v>
      </c>
      <c r="AS403" s="85">
        <f>'Consumer Hardware Pricing'!AF411</f>
        <v>588</v>
      </c>
      <c r="AT403" s="85">
        <f t="shared" ref="AT403" si="1295">IF(AS403="-",AS403,IF(AO403="-",AN403-ROUNDUP((D403-AS403)/24,2),AO403+AN403-ROUNDUP((D403-AS403)/24,2)))</f>
        <v>26.5</v>
      </c>
      <c r="AU403" s="85">
        <f t="shared" ref="AU403" si="1296">IF(AS403="-",AS403,AN403-AT403)</f>
        <v>31</v>
      </c>
      <c r="AV403" s="85">
        <f t="shared" ref="AV403" si="1297">IF(AS403="-",AS403,AT403*24)</f>
        <v>636</v>
      </c>
      <c r="AW403" s="85">
        <f t="shared" ref="AW403" si="1298">IF(AS403="-",AS403,AU403*24)</f>
        <v>744</v>
      </c>
      <c r="AX403" s="85" t="str">
        <f>'Consumer Hardware Pricing'!AH411</f>
        <v>-</v>
      </c>
      <c r="AY403" s="85" t="str">
        <f t="shared" ref="AY403" si="1299">IF(AX403="-",AX403,ROUNDUP((D403-AX403)/24,2))</f>
        <v>-</v>
      </c>
      <c r="AZ403" s="85" t="str">
        <f>'Consumer Hardware Pricing'!AI411</f>
        <v>-</v>
      </c>
      <c r="BA403" s="85" t="str">
        <f t="shared" ref="BA403" si="1300">IF(AZ403="-",AY403,AY403-AZ403)</f>
        <v>-</v>
      </c>
      <c r="BB403" s="85" t="str">
        <f t="shared" ref="BB403" si="1301">IF(AZ403="-",AZ403,AZ403*24)</f>
        <v>-</v>
      </c>
      <c r="BC403" s="85" t="str">
        <f t="shared" ref="BC403" si="1302">IF(AX403="-",AX403,AX403+(BA403*24))</f>
        <v>-</v>
      </c>
      <c r="BD403" s="85" t="str">
        <f>'Consumer Hardware Pricing'!AL411</f>
        <v>-</v>
      </c>
      <c r="BE403" s="85" t="str">
        <f t="shared" ref="BE403" si="1303">IF(BD403="-",BD403,ROUNDUP((D403-BD403)/24,2))</f>
        <v>-</v>
      </c>
      <c r="BF403" s="85" t="str">
        <f>'Consumer Hardware Pricing'!AM411</f>
        <v>-</v>
      </c>
      <c r="BG403" s="85" t="str">
        <f t="shared" ref="BG403" si="1304">IF(BF403="-",BE403,BE403-BF403)</f>
        <v>-</v>
      </c>
      <c r="BH403" s="85" t="str">
        <f t="shared" ref="BH403" si="1305">IF(BF403="-",BF403,BF403*24)</f>
        <v>-</v>
      </c>
      <c r="BI403" s="85" t="str">
        <f t="shared" ref="BI403" si="1306">IF(BD403="-",BD403,BD403+(BG403*24))</f>
        <v>-</v>
      </c>
      <c r="BJ403" s="85" t="str">
        <f>'Consumer Hardware Pricing'!AP411</f>
        <v>-</v>
      </c>
      <c r="BK403" s="85" t="str">
        <f t="shared" ref="BK403" si="1307">IF(BJ403="-",BJ403,ROUNDUP((D403-BJ403)/24,2))</f>
        <v>-</v>
      </c>
      <c r="BL403" s="85" t="str">
        <f>'Consumer Hardware Pricing'!AQ411</f>
        <v>-</v>
      </c>
      <c r="BM403" s="85" t="str">
        <f t="shared" ref="BM403" si="1308">IF(BL403="-",BK403,BK403-BL403)</f>
        <v>-</v>
      </c>
      <c r="BN403" s="85" t="str">
        <f t="shared" ref="BN403" si="1309">IF(BL403="-",BL403,BL403*24)</f>
        <v>-</v>
      </c>
      <c r="BO403" s="85" t="str">
        <f t="shared" ref="BO403" si="1310">IF(BJ403="-",BJ403,BJ403+(BM403*24))</f>
        <v>-</v>
      </c>
      <c r="BP403" s="85" t="str">
        <f>'Consumer Hardware Pricing'!AT411</f>
        <v>-</v>
      </c>
      <c r="BQ403" s="85" t="str">
        <f t="shared" ref="BQ403" si="1311">IF(BP403="-",BP403,ROUNDUP((D403-BP403)/24,2))</f>
        <v>-</v>
      </c>
      <c r="BR403" s="85" t="str">
        <f>'Consumer Hardware Pricing'!AU411</f>
        <v>-</v>
      </c>
      <c r="BS403" s="85" t="str">
        <f t="shared" ref="BS403" si="1312">IF(BR403="-",BQ403,BQ403-BR403)</f>
        <v>-</v>
      </c>
      <c r="BT403" s="85" t="str">
        <f t="shared" ref="BT403" si="1313">IF(BR403="-",BR403,BR403*24)</f>
        <v>-</v>
      </c>
      <c r="BU403" s="85" t="str">
        <f t="shared" ref="BU403" si="1314">IF(BP403="-",BP403,BP403+(BS403*24))</f>
        <v>-</v>
      </c>
    </row>
    <row r="404" spans="1:73" s="131" customFormat="1" ht="30.15" customHeight="1" x14ac:dyDescent="0.25">
      <c r="A404" s="87" t="s">
        <v>34</v>
      </c>
      <c r="B404" s="88" t="s">
        <v>496</v>
      </c>
      <c r="C404" s="88" t="s">
        <v>492</v>
      </c>
      <c r="D404" s="85">
        <f>'Consumer Hardware Pricing'!L412</f>
        <v>1125</v>
      </c>
      <c r="E404" s="85">
        <f>'Consumer Hardware Pricing'!M412</f>
        <v>1125</v>
      </c>
      <c r="F404" s="85">
        <f>'Consumer Hardware Pricing'!N412</f>
        <v>0</v>
      </c>
      <c r="G404" s="85">
        <f t="shared" si="1168"/>
        <v>46.879999999999995</v>
      </c>
      <c r="H404" s="85">
        <f>'Consumer Hardware Pricing'!O412</f>
        <v>36.880000000000003</v>
      </c>
      <c r="I404" s="85">
        <f t="shared" si="885"/>
        <v>9.9999999999999929</v>
      </c>
      <c r="J404" s="85">
        <f t="shared" si="897"/>
        <v>885.12000000000012</v>
      </c>
      <c r="K404" s="85">
        <f t="shared" si="898"/>
        <v>239.99999999999983</v>
      </c>
      <c r="L404" s="85" t="str">
        <f>'Consumer Hardware Pricing'!Q412</f>
        <v>-</v>
      </c>
      <c r="M404" s="85" t="str">
        <f t="shared" si="1169"/>
        <v>-</v>
      </c>
      <c r="N404" s="85" t="str">
        <f t="shared" si="886"/>
        <v>-</v>
      </c>
      <c r="O404" s="85" t="str">
        <f t="shared" si="887"/>
        <v>-</v>
      </c>
      <c r="P404" s="85" t="str">
        <f t="shared" si="899"/>
        <v>-</v>
      </c>
      <c r="Q404" s="85">
        <f>'Consumer Hardware Pricing'!S412</f>
        <v>0</v>
      </c>
      <c r="R404" s="85">
        <f t="shared" si="888"/>
        <v>46.879999999999995</v>
      </c>
      <c r="S404" s="85">
        <f>'Consumer Hardware Pricing'!T412</f>
        <v>36.880000000000003</v>
      </c>
      <c r="T404" s="129">
        <f t="shared" si="900"/>
        <v>9.9999999999999929</v>
      </c>
      <c r="U404" s="129">
        <f t="shared" si="901"/>
        <v>885.12000000000012</v>
      </c>
      <c r="V404" s="85">
        <f t="shared" si="902"/>
        <v>239.99999999999983</v>
      </c>
      <c r="W404" s="129" t="str">
        <f>'Consumer Hardware Pricing'!V412</f>
        <v>-</v>
      </c>
      <c r="X404" s="129" t="str">
        <f t="shared" si="1170"/>
        <v>-</v>
      </c>
      <c r="Y404" s="129" t="str">
        <f t="shared" si="903"/>
        <v>-</v>
      </c>
      <c r="Z404" s="129" t="str">
        <f t="shared" si="904"/>
        <v>-</v>
      </c>
      <c r="AA404" s="85" t="str">
        <f t="shared" si="905"/>
        <v>-</v>
      </c>
      <c r="AB404" s="85">
        <f>'Consumer Hardware Pricing'!X412</f>
        <v>0</v>
      </c>
      <c r="AC404" s="85">
        <f t="shared" si="1211"/>
        <v>46.879999999999995</v>
      </c>
      <c r="AD404" s="85">
        <f>'Consumer Hardware Pricing'!Y412</f>
        <v>36.880000000000003</v>
      </c>
      <c r="AE404" s="85">
        <f t="shared" si="873"/>
        <v>9.9999999999999929</v>
      </c>
      <c r="AF404" s="85">
        <f t="shared" si="874"/>
        <v>885.12000000000012</v>
      </c>
      <c r="AG404" s="85">
        <f t="shared" si="875"/>
        <v>239.99999999999983</v>
      </c>
      <c r="AH404" s="85" t="str">
        <f>'Consumer Hardware Pricing'!AA412</f>
        <v>-</v>
      </c>
      <c r="AI404" s="85" t="str">
        <f t="shared" si="1212"/>
        <v>-</v>
      </c>
      <c r="AJ404" s="85" t="str">
        <f t="shared" si="876"/>
        <v>-</v>
      </c>
      <c r="AK404" s="85" t="str">
        <f t="shared" si="877"/>
        <v>-</v>
      </c>
      <c r="AL404" s="85" t="str">
        <f t="shared" si="878"/>
        <v>-</v>
      </c>
      <c r="AM404" s="85">
        <f>'Consumer Hardware Pricing'!AC412</f>
        <v>0</v>
      </c>
      <c r="AN404" s="85">
        <f t="shared" si="1213"/>
        <v>46.879999999999995</v>
      </c>
      <c r="AO404" s="85">
        <f>'Consumer Hardware Pricing'!AD412</f>
        <v>36.880000000000003</v>
      </c>
      <c r="AP404" s="85">
        <f t="shared" si="879"/>
        <v>9.9999999999999929</v>
      </c>
      <c r="AQ404" s="85">
        <f t="shared" si="880"/>
        <v>885.12000000000012</v>
      </c>
      <c r="AR404" s="85">
        <f t="shared" si="881"/>
        <v>239.99999999999983</v>
      </c>
      <c r="AS404" s="85" t="str">
        <f>'Consumer Hardware Pricing'!AF412</f>
        <v>-</v>
      </c>
      <c r="AT404" s="85" t="str">
        <f t="shared" si="1214"/>
        <v>-</v>
      </c>
      <c r="AU404" s="85" t="str">
        <f t="shared" si="882"/>
        <v>-</v>
      </c>
      <c r="AV404" s="85" t="str">
        <f t="shared" si="883"/>
        <v>-</v>
      </c>
      <c r="AW404" s="85" t="str">
        <f t="shared" si="884"/>
        <v>-</v>
      </c>
      <c r="AX404" s="85" t="str">
        <f>'Consumer Hardware Pricing'!AH412</f>
        <v>-</v>
      </c>
      <c r="AY404" s="85" t="str">
        <f t="shared" si="1215"/>
        <v>-</v>
      </c>
      <c r="AZ404" s="85" t="str">
        <f>'Consumer Hardware Pricing'!AI412</f>
        <v>-</v>
      </c>
      <c r="BA404" s="85" t="str">
        <f t="shared" si="889"/>
        <v>-</v>
      </c>
      <c r="BB404" s="85" t="str">
        <f t="shared" si="890"/>
        <v>-</v>
      </c>
      <c r="BC404" s="85" t="str">
        <f t="shared" si="906"/>
        <v>-</v>
      </c>
      <c r="BD404" s="85" t="str">
        <f>'Consumer Hardware Pricing'!AL412</f>
        <v>-</v>
      </c>
      <c r="BE404" s="85" t="str">
        <f t="shared" si="1216"/>
        <v>-</v>
      </c>
      <c r="BF404" s="85" t="str">
        <f>'Consumer Hardware Pricing'!AM412</f>
        <v>-</v>
      </c>
      <c r="BG404" s="85" t="str">
        <f t="shared" si="891"/>
        <v>-</v>
      </c>
      <c r="BH404" s="85" t="str">
        <f t="shared" si="892"/>
        <v>-</v>
      </c>
      <c r="BI404" s="85" t="str">
        <f t="shared" si="907"/>
        <v>-</v>
      </c>
      <c r="BJ404" s="85" t="str">
        <f>'Consumer Hardware Pricing'!AP412</f>
        <v>-</v>
      </c>
      <c r="BK404" s="85" t="str">
        <f t="shared" si="1217"/>
        <v>-</v>
      </c>
      <c r="BL404" s="85" t="str">
        <f>'Consumer Hardware Pricing'!AQ412</f>
        <v>-</v>
      </c>
      <c r="BM404" s="85" t="str">
        <f t="shared" si="893"/>
        <v>-</v>
      </c>
      <c r="BN404" s="85" t="str">
        <f t="shared" si="894"/>
        <v>-</v>
      </c>
      <c r="BO404" s="85" t="str">
        <f t="shared" si="908"/>
        <v>-</v>
      </c>
      <c r="BP404" s="85" t="str">
        <f>'Consumer Hardware Pricing'!AT412</f>
        <v>-</v>
      </c>
      <c r="BQ404" s="85" t="str">
        <f t="shared" si="1218"/>
        <v>-</v>
      </c>
      <c r="BR404" s="85" t="str">
        <f>'Consumer Hardware Pricing'!AU412</f>
        <v>-</v>
      </c>
      <c r="BS404" s="85" t="str">
        <f t="shared" si="895"/>
        <v>-</v>
      </c>
      <c r="BT404" s="85" t="str">
        <f t="shared" si="896"/>
        <v>-</v>
      </c>
      <c r="BU404" s="85" t="str">
        <f t="shared" si="909"/>
        <v>-</v>
      </c>
    </row>
    <row r="405" spans="1:73" s="131" customFormat="1" ht="30.15" customHeight="1" x14ac:dyDescent="0.25">
      <c r="A405" s="87" t="s">
        <v>34</v>
      </c>
      <c r="B405" s="88" t="s">
        <v>497</v>
      </c>
      <c r="C405" s="88" t="s">
        <v>492</v>
      </c>
      <c r="D405" s="85">
        <f>'Consumer Hardware Pricing'!L413</f>
        <v>1125</v>
      </c>
      <c r="E405" s="85">
        <f>'Consumer Hardware Pricing'!M413</f>
        <v>1125</v>
      </c>
      <c r="F405" s="85">
        <f>'Consumer Hardware Pricing'!N413</f>
        <v>0</v>
      </c>
      <c r="G405" s="85">
        <f t="shared" si="1168"/>
        <v>46.879999999999995</v>
      </c>
      <c r="H405" s="85">
        <f>'Consumer Hardware Pricing'!O413</f>
        <v>36.880000000000003</v>
      </c>
      <c r="I405" s="85">
        <f t="shared" si="885"/>
        <v>9.9999999999999929</v>
      </c>
      <c r="J405" s="85">
        <f t="shared" si="897"/>
        <v>885.12000000000012</v>
      </c>
      <c r="K405" s="85">
        <f t="shared" si="898"/>
        <v>239.99999999999983</v>
      </c>
      <c r="L405" s="85" t="str">
        <f>'Consumer Hardware Pricing'!Q413</f>
        <v>-</v>
      </c>
      <c r="M405" s="85" t="str">
        <f t="shared" si="1169"/>
        <v>-</v>
      </c>
      <c r="N405" s="85" t="str">
        <f t="shared" si="886"/>
        <v>-</v>
      </c>
      <c r="O405" s="85" t="str">
        <f t="shared" si="887"/>
        <v>-</v>
      </c>
      <c r="P405" s="85" t="str">
        <f t="shared" si="899"/>
        <v>-</v>
      </c>
      <c r="Q405" s="85">
        <f>'Consumer Hardware Pricing'!S413</f>
        <v>0</v>
      </c>
      <c r="R405" s="85">
        <f t="shared" si="888"/>
        <v>46.879999999999995</v>
      </c>
      <c r="S405" s="85">
        <f>'Consumer Hardware Pricing'!T413</f>
        <v>36.880000000000003</v>
      </c>
      <c r="T405" s="129">
        <f t="shared" si="900"/>
        <v>9.9999999999999929</v>
      </c>
      <c r="U405" s="129">
        <f t="shared" si="901"/>
        <v>885.12000000000012</v>
      </c>
      <c r="V405" s="85">
        <f t="shared" si="902"/>
        <v>239.99999999999983</v>
      </c>
      <c r="W405" s="129" t="str">
        <f>'Consumer Hardware Pricing'!V413</f>
        <v>-</v>
      </c>
      <c r="X405" s="129" t="str">
        <f t="shared" si="1170"/>
        <v>-</v>
      </c>
      <c r="Y405" s="129" t="str">
        <f t="shared" si="903"/>
        <v>-</v>
      </c>
      <c r="Z405" s="129" t="str">
        <f t="shared" si="904"/>
        <v>-</v>
      </c>
      <c r="AA405" s="85" t="str">
        <f t="shared" si="905"/>
        <v>-</v>
      </c>
      <c r="AB405" s="85">
        <f>'Consumer Hardware Pricing'!X413</f>
        <v>0</v>
      </c>
      <c r="AC405" s="85">
        <f t="shared" si="1211"/>
        <v>46.879999999999995</v>
      </c>
      <c r="AD405" s="85">
        <f>'Consumer Hardware Pricing'!Y413</f>
        <v>36.880000000000003</v>
      </c>
      <c r="AE405" s="85">
        <f t="shared" si="873"/>
        <v>9.9999999999999929</v>
      </c>
      <c r="AF405" s="85">
        <f t="shared" si="874"/>
        <v>885.12000000000012</v>
      </c>
      <c r="AG405" s="85">
        <f t="shared" si="875"/>
        <v>239.99999999999983</v>
      </c>
      <c r="AH405" s="85" t="str">
        <f>'Consumer Hardware Pricing'!AA413</f>
        <v>-</v>
      </c>
      <c r="AI405" s="85" t="str">
        <f t="shared" si="1212"/>
        <v>-</v>
      </c>
      <c r="AJ405" s="85" t="str">
        <f t="shared" si="876"/>
        <v>-</v>
      </c>
      <c r="AK405" s="85" t="str">
        <f t="shared" si="877"/>
        <v>-</v>
      </c>
      <c r="AL405" s="85" t="str">
        <f t="shared" si="878"/>
        <v>-</v>
      </c>
      <c r="AM405" s="85">
        <f>'Consumer Hardware Pricing'!AC413</f>
        <v>0</v>
      </c>
      <c r="AN405" s="85">
        <f t="shared" si="1213"/>
        <v>46.879999999999995</v>
      </c>
      <c r="AO405" s="85">
        <f>'Consumer Hardware Pricing'!AD413</f>
        <v>36.880000000000003</v>
      </c>
      <c r="AP405" s="85">
        <f t="shared" si="879"/>
        <v>9.9999999999999929</v>
      </c>
      <c r="AQ405" s="85">
        <f t="shared" si="880"/>
        <v>885.12000000000012</v>
      </c>
      <c r="AR405" s="85">
        <f t="shared" si="881"/>
        <v>239.99999999999983</v>
      </c>
      <c r="AS405" s="85" t="str">
        <f>'Consumer Hardware Pricing'!AF413</f>
        <v>-</v>
      </c>
      <c r="AT405" s="85" t="str">
        <f t="shared" si="1214"/>
        <v>-</v>
      </c>
      <c r="AU405" s="85" t="str">
        <f t="shared" si="882"/>
        <v>-</v>
      </c>
      <c r="AV405" s="85" t="str">
        <f t="shared" si="883"/>
        <v>-</v>
      </c>
      <c r="AW405" s="85" t="str">
        <f t="shared" si="884"/>
        <v>-</v>
      </c>
      <c r="AX405" s="85" t="str">
        <f>'Consumer Hardware Pricing'!AH413</f>
        <v>-</v>
      </c>
      <c r="AY405" s="85" t="str">
        <f t="shared" si="1215"/>
        <v>-</v>
      </c>
      <c r="AZ405" s="85" t="str">
        <f>'Consumer Hardware Pricing'!AI413</f>
        <v>-</v>
      </c>
      <c r="BA405" s="85" t="str">
        <f t="shared" si="889"/>
        <v>-</v>
      </c>
      <c r="BB405" s="85" t="str">
        <f t="shared" si="890"/>
        <v>-</v>
      </c>
      <c r="BC405" s="85" t="str">
        <f t="shared" si="906"/>
        <v>-</v>
      </c>
      <c r="BD405" s="85" t="str">
        <f>'Consumer Hardware Pricing'!AL413</f>
        <v>-</v>
      </c>
      <c r="BE405" s="85" t="str">
        <f t="shared" si="1216"/>
        <v>-</v>
      </c>
      <c r="BF405" s="85" t="str">
        <f>'Consumer Hardware Pricing'!AM413</f>
        <v>-</v>
      </c>
      <c r="BG405" s="85" t="str">
        <f t="shared" si="891"/>
        <v>-</v>
      </c>
      <c r="BH405" s="85" t="str">
        <f t="shared" si="892"/>
        <v>-</v>
      </c>
      <c r="BI405" s="85" t="str">
        <f t="shared" si="907"/>
        <v>-</v>
      </c>
      <c r="BJ405" s="85" t="str">
        <f>'Consumer Hardware Pricing'!AP413</f>
        <v>-</v>
      </c>
      <c r="BK405" s="85" t="str">
        <f t="shared" si="1217"/>
        <v>-</v>
      </c>
      <c r="BL405" s="85" t="str">
        <f>'Consumer Hardware Pricing'!AQ413</f>
        <v>-</v>
      </c>
      <c r="BM405" s="85" t="str">
        <f t="shared" si="893"/>
        <v>-</v>
      </c>
      <c r="BN405" s="85" t="str">
        <f t="shared" si="894"/>
        <v>-</v>
      </c>
      <c r="BO405" s="85" t="str">
        <f t="shared" si="908"/>
        <v>-</v>
      </c>
      <c r="BP405" s="85" t="str">
        <f>'Consumer Hardware Pricing'!AT413</f>
        <v>-</v>
      </c>
      <c r="BQ405" s="85" t="str">
        <f t="shared" si="1218"/>
        <v>-</v>
      </c>
      <c r="BR405" s="85" t="str">
        <f>'Consumer Hardware Pricing'!AU413</f>
        <v>-</v>
      </c>
      <c r="BS405" s="85" t="str">
        <f t="shared" si="895"/>
        <v>-</v>
      </c>
      <c r="BT405" s="85" t="str">
        <f t="shared" si="896"/>
        <v>-</v>
      </c>
      <c r="BU405" s="85" t="str">
        <f t="shared" si="909"/>
        <v>-</v>
      </c>
    </row>
    <row r="406" spans="1:73" s="131" customFormat="1" ht="30.15" customHeight="1" x14ac:dyDescent="0.25">
      <c r="A406" s="87" t="s">
        <v>34</v>
      </c>
      <c r="B406" s="88" t="s">
        <v>498</v>
      </c>
      <c r="C406" s="88" t="s">
        <v>493</v>
      </c>
      <c r="D406" s="85">
        <f>'Consumer Hardware Pricing'!L414</f>
        <v>1269</v>
      </c>
      <c r="E406" s="85">
        <f>'Consumer Hardware Pricing'!M414</f>
        <v>1269</v>
      </c>
      <c r="F406" s="85">
        <f>'Consumer Hardware Pricing'!N414</f>
        <v>0</v>
      </c>
      <c r="G406" s="85">
        <f t="shared" si="1168"/>
        <v>52.879999999999995</v>
      </c>
      <c r="H406" s="85">
        <f>'Consumer Hardware Pricing'!O414</f>
        <v>38.71</v>
      </c>
      <c r="I406" s="85">
        <f t="shared" si="885"/>
        <v>14.169999999999995</v>
      </c>
      <c r="J406" s="85">
        <f t="shared" si="897"/>
        <v>929.04</v>
      </c>
      <c r="K406" s="85">
        <f t="shared" si="898"/>
        <v>340.07999999999987</v>
      </c>
      <c r="L406" s="85" t="str">
        <f>'Consumer Hardware Pricing'!Q414</f>
        <v>-</v>
      </c>
      <c r="M406" s="85" t="str">
        <f t="shared" si="1169"/>
        <v>-</v>
      </c>
      <c r="N406" s="85" t="str">
        <f t="shared" si="886"/>
        <v>-</v>
      </c>
      <c r="O406" s="85" t="str">
        <f t="shared" si="887"/>
        <v>-</v>
      </c>
      <c r="P406" s="85" t="str">
        <f t="shared" si="899"/>
        <v>-</v>
      </c>
      <c r="Q406" s="85">
        <f>'Consumer Hardware Pricing'!S414</f>
        <v>0</v>
      </c>
      <c r="R406" s="85">
        <f t="shared" si="888"/>
        <v>52.879999999999995</v>
      </c>
      <c r="S406" s="85">
        <f>'Consumer Hardware Pricing'!T414</f>
        <v>38.71</v>
      </c>
      <c r="T406" s="129">
        <f t="shared" si="900"/>
        <v>14.169999999999995</v>
      </c>
      <c r="U406" s="129">
        <f t="shared" si="901"/>
        <v>929.04</v>
      </c>
      <c r="V406" s="85">
        <f t="shared" si="902"/>
        <v>340.07999999999987</v>
      </c>
      <c r="W406" s="129" t="str">
        <f>'Consumer Hardware Pricing'!V414</f>
        <v>-</v>
      </c>
      <c r="X406" s="129" t="str">
        <f t="shared" si="1170"/>
        <v>-</v>
      </c>
      <c r="Y406" s="129" t="str">
        <f t="shared" si="903"/>
        <v>-</v>
      </c>
      <c r="Z406" s="129" t="str">
        <f t="shared" si="904"/>
        <v>-</v>
      </c>
      <c r="AA406" s="85" t="str">
        <f t="shared" si="905"/>
        <v>-</v>
      </c>
      <c r="AB406" s="85">
        <f>'Consumer Hardware Pricing'!X414</f>
        <v>0</v>
      </c>
      <c r="AC406" s="85">
        <f t="shared" si="1211"/>
        <v>52.879999999999995</v>
      </c>
      <c r="AD406" s="85">
        <f>'Consumer Hardware Pricing'!Y414</f>
        <v>38.71</v>
      </c>
      <c r="AE406" s="85">
        <f t="shared" si="873"/>
        <v>14.169999999999995</v>
      </c>
      <c r="AF406" s="85">
        <f t="shared" si="874"/>
        <v>929.04</v>
      </c>
      <c r="AG406" s="85">
        <f t="shared" si="875"/>
        <v>340.07999999999987</v>
      </c>
      <c r="AH406" s="85" t="str">
        <f>'Consumer Hardware Pricing'!AA414</f>
        <v>-</v>
      </c>
      <c r="AI406" s="85" t="str">
        <f t="shared" si="1212"/>
        <v>-</v>
      </c>
      <c r="AJ406" s="85" t="str">
        <f t="shared" si="876"/>
        <v>-</v>
      </c>
      <c r="AK406" s="85" t="str">
        <f t="shared" si="877"/>
        <v>-</v>
      </c>
      <c r="AL406" s="85" t="str">
        <f t="shared" si="878"/>
        <v>-</v>
      </c>
      <c r="AM406" s="85">
        <f>'Consumer Hardware Pricing'!AC414</f>
        <v>0</v>
      </c>
      <c r="AN406" s="85">
        <f t="shared" si="1213"/>
        <v>52.879999999999995</v>
      </c>
      <c r="AO406" s="85">
        <f>'Consumer Hardware Pricing'!AD414</f>
        <v>38.71</v>
      </c>
      <c r="AP406" s="85">
        <f t="shared" si="879"/>
        <v>14.169999999999995</v>
      </c>
      <c r="AQ406" s="85">
        <f t="shared" si="880"/>
        <v>929.04</v>
      </c>
      <c r="AR406" s="85">
        <f t="shared" si="881"/>
        <v>340.07999999999987</v>
      </c>
      <c r="AS406" s="85" t="str">
        <f>'Consumer Hardware Pricing'!AF414</f>
        <v>-</v>
      </c>
      <c r="AT406" s="85" t="str">
        <f t="shared" si="1214"/>
        <v>-</v>
      </c>
      <c r="AU406" s="85" t="str">
        <f t="shared" si="882"/>
        <v>-</v>
      </c>
      <c r="AV406" s="85" t="str">
        <f t="shared" si="883"/>
        <v>-</v>
      </c>
      <c r="AW406" s="85" t="str">
        <f t="shared" si="884"/>
        <v>-</v>
      </c>
      <c r="AX406" s="85" t="str">
        <f>'Consumer Hardware Pricing'!AH414</f>
        <v>-</v>
      </c>
      <c r="AY406" s="85" t="str">
        <f t="shared" si="1215"/>
        <v>-</v>
      </c>
      <c r="AZ406" s="85" t="str">
        <f>'Consumer Hardware Pricing'!AI414</f>
        <v>-</v>
      </c>
      <c r="BA406" s="85" t="str">
        <f t="shared" si="889"/>
        <v>-</v>
      </c>
      <c r="BB406" s="85" t="str">
        <f t="shared" si="890"/>
        <v>-</v>
      </c>
      <c r="BC406" s="85" t="str">
        <f t="shared" si="906"/>
        <v>-</v>
      </c>
      <c r="BD406" s="85" t="str">
        <f>'Consumer Hardware Pricing'!AL414</f>
        <v>-</v>
      </c>
      <c r="BE406" s="85" t="str">
        <f t="shared" si="1216"/>
        <v>-</v>
      </c>
      <c r="BF406" s="85" t="str">
        <f>'Consumer Hardware Pricing'!AM414</f>
        <v>-</v>
      </c>
      <c r="BG406" s="85" t="str">
        <f t="shared" si="891"/>
        <v>-</v>
      </c>
      <c r="BH406" s="85" t="str">
        <f t="shared" si="892"/>
        <v>-</v>
      </c>
      <c r="BI406" s="85" t="str">
        <f t="shared" si="907"/>
        <v>-</v>
      </c>
      <c r="BJ406" s="85" t="str">
        <f>'Consumer Hardware Pricing'!AP414</f>
        <v>-</v>
      </c>
      <c r="BK406" s="85" t="str">
        <f t="shared" si="1217"/>
        <v>-</v>
      </c>
      <c r="BL406" s="85" t="str">
        <f>'Consumer Hardware Pricing'!AQ414</f>
        <v>-</v>
      </c>
      <c r="BM406" s="85" t="str">
        <f t="shared" si="893"/>
        <v>-</v>
      </c>
      <c r="BN406" s="85" t="str">
        <f t="shared" si="894"/>
        <v>-</v>
      </c>
      <c r="BO406" s="85" t="str">
        <f t="shared" si="908"/>
        <v>-</v>
      </c>
      <c r="BP406" s="85" t="str">
        <f>'Consumer Hardware Pricing'!AT414</f>
        <v>-</v>
      </c>
      <c r="BQ406" s="85" t="str">
        <f t="shared" si="1218"/>
        <v>-</v>
      </c>
      <c r="BR406" s="85" t="str">
        <f>'Consumer Hardware Pricing'!AU414</f>
        <v>-</v>
      </c>
      <c r="BS406" s="85" t="str">
        <f t="shared" si="895"/>
        <v>-</v>
      </c>
      <c r="BT406" s="85" t="str">
        <f t="shared" si="896"/>
        <v>-</v>
      </c>
      <c r="BU406" s="85" t="str">
        <f t="shared" si="909"/>
        <v>-</v>
      </c>
    </row>
    <row r="407" spans="1:73" s="131" customFormat="1" ht="30.15" customHeight="1" x14ac:dyDescent="0.25">
      <c r="A407" s="87" t="s">
        <v>34</v>
      </c>
      <c r="B407" s="88" t="s">
        <v>499</v>
      </c>
      <c r="C407" s="88" t="s">
        <v>493</v>
      </c>
      <c r="D407" s="85">
        <f>'Consumer Hardware Pricing'!L415</f>
        <v>1269</v>
      </c>
      <c r="E407" s="85">
        <f>'Consumer Hardware Pricing'!M415</f>
        <v>1269</v>
      </c>
      <c r="F407" s="85">
        <f>'Consumer Hardware Pricing'!N415</f>
        <v>0</v>
      </c>
      <c r="G407" s="85">
        <f t="shared" si="1168"/>
        <v>52.879999999999995</v>
      </c>
      <c r="H407" s="85">
        <f>'Consumer Hardware Pricing'!O415</f>
        <v>38.71</v>
      </c>
      <c r="I407" s="85">
        <f t="shared" si="885"/>
        <v>14.169999999999995</v>
      </c>
      <c r="J407" s="85">
        <f t="shared" si="897"/>
        <v>929.04</v>
      </c>
      <c r="K407" s="85">
        <f t="shared" si="898"/>
        <v>340.07999999999987</v>
      </c>
      <c r="L407" s="85" t="str">
        <f>'Consumer Hardware Pricing'!Q415</f>
        <v>-</v>
      </c>
      <c r="M407" s="85" t="str">
        <f t="shared" si="1169"/>
        <v>-</v>
      </c>
      <c r="N407" s="85" t="str">
        <f t="shared" si="886"/>
        <v>-</v>
      </c>
      <c r="O407" s="85" t="str">
        <f t="shared" si="887"/>
        <v>-</v>
      </c>
      <c r="P407" s="85" t="str">
        <f t="shared" si="899"/>
        <v>-</v>
      </c>
      <c r="Q407" s="85">
        <f>'Consumer Hardware Pricing'!S415</f>
        <v>0</v>
      </c>
      <c r="R407" s="85">
        <f t="shared" si="888"/>
        <v>52.879999999999995</v>
      </c>
      <c r="S407" s="85">
        <f>'Consumer Hardware Pricing'!T415</f>
        <v>38.71</v>
      </c>
      <c r="T407" s="129">
        <f t="shared" si="900"/>
        <v>14.169999999999995</v>
      </c>
      <c r="U407" s="129">
        <f t="shared" si="901"/>
        <v>929.04</v>
      </c>
      <c r="V407" s="85">
        <f t="shared" si="902"/>
        <v>340.07999999999987</v>
      </c>
      <c r="W407" s="129" t="str">
        <f>'Consumer Hardware Pricing'!V415</f>
        <v>-</v>
      </c>
      <c r="X407" s="129" t="str">
        <f t="shared" si="1170"/>
        <v>-</v>
      </c>
      <c r="Y407" s="129" t="str">
        <f t="shared" si="903"/>
        <v>-</v>
      </c>
      <c r="Z407" s="129" t="str">
        <f t="shared" si="904"/>
        <v>-</v>
      </c>
      <c r="AA407" s="85" t="str">
        <f t="shared" si="905"/>
        <v>-</v>
      </c>
      <c r="AB407" s="85">
        <f>'Consumer Hardware Pricing'!X415</f>
        <v>0</v>
      </c>
      <c r="AC407" s="85">
        <f t="shared" si="1211"/>
        <v>52.879999999999995</v>
      </c>
      <c r="AD407" s="85">
        <f>'Consumer Hardware Pricing'!Y415</f>
        <v>38.71</v>
      </c>
      <c r="AE407" s="85">
        <f t="shared" si="873"/>
        <v>14.169999999999995</v>
      </c>
      <c r="AF407" s="85">
        <f t="shared" si="874"/>
        <v>929.04</v>
      </c>
      <c r="AG407" s="85">
        <f t="shared" si="875"/>
        <v>340.07999999999987</v>
      </c>
      <c r="AH407" s="85" t="str">
        <f>'Consumer Hardware Pricing'!AA415</f>
        <v>-</v>
      </c>
      <c r="AI407" s="85" t="str">
        <f t="shared" si="1212"/>
        <v>-</v>
      </c>
      <c r="AJ407" s="85" t="str">
        <f t="shared" si="876"/>
        <v>-</v>
      </c>
      <c r="AK407" s="85" t="str">
        <f t="shared" si="877"/>
        <v>-</v>
      </c>
      <c r="AL407" s="85" t="str">
        <f t="shared" si="878"/>
        <v>-</v>
      </c>
      <c r="AM407" s="85">
        <f>'Consumer Hardware Pricing'!AC415</f>
        <v>0</v>
      </c>
      <c r="AN407" s="85">
        <f t="shared" si="1213"/>
        <v>52.879999999999995</v>
      </c>
      <c r="AO407" s="85">
        <f>'Consumer Hardware Pricing'!AD415</f>
        <v>38.71</v>
      </c>
      <c r="AP407" s="85">
        <f t="shared" si="879"/>
        <v>14.169999999999995</v>
      </c>
      <c r="AQ407" s="85">
        <f t="shared" si="880"/>
        <v>929.04</v>
      </c>
      <c r="AR407" s="85">
        <f t="shared" si="881"/>
        <v>340.07999999999987</v>
      </c>
      <c r="AS407" s="85" t="str">
        <f>'Consumer Hardware Pricing'!AF415</f>
        <v>-</v>
      </c>
      <c r="AT407" s="85" t="str">
        <f t="shared" si="1214"/>
        <v>-</v>
      </c>
      <c r="AU407" s="85" t="str">
        <f t="shared" si="882"/>
        <v>-</v>
      </c>
      <c r="AV407" s="85" t="str">
        <f t="shared" si="883"/>
        <v>-</v>
      </c>
      <c r="AW407" s="85" t="str">
        <f t="shared" si="884"/>
        <v>-</v>
      </c>
      <c r="AX407" s="85" t="str">
        <f>'Consumer Hardware Pricing'!AH415</f>
        <v>-</v>
      </c>
      <c r="AY407" s="85" t="str">
        <f t="shared" si="1215"/>
        <v>-</v>
      </c>
      <c r="AZ407" s="85" t="str">
        <f>'Consumer Hardware Pricing'!AI415</f>
        <v>-</v>
      </c>
      <c r="BA407" s="85" t="str">
        <f t="shared" si="889"/>
        <v>-</v>
      </c>
      <c r="BB407" s="85" t="str">
        <f t="shared" si="890"/>
        <v>-</v>
      </c>
      <c r="BC407" s="85" t="str">
        <f t="shared" si="906"/>
        <v>-</v>
      </c>
      <c r="BD407" s="85" t="str">
        <f>'Consumer Hardware Pricing'!AL415</f>
        <v>-</v>
      </c>
      <c r="BE407" s="85" t="str">
        <f t="shared" si="1216"/>
        <v>-</v>
      </c>
      <c r="BF407" s="85" t="str">
        <f>'Consumer Hardware Pricing'!AM415</f>
        <v>-</v>
      </c>
      <c r="BG407" s="85" t="str">
        <f t="shared" si="891"/>
        <v>-</v>
      </c>
      <c r="BH407" s="85" t="str">
        <f t="shared" si="892"/>
        <v>-</v>
      </c>
      <c r="BI407" s="85" t="str">
        <f t="shared" si="907"/>
        <v>-</v>
      </c>
      <c r="BJ407" s="85" t="str">
        <f>'Consumer Hardware Pricing'!AP415</f>
        <v>-</v>
      </c>
      <c r="BK407" s="85" t="str">
        <f t="shared" si="1217"/>
        <v>-</v>
      </c>
      <c r="BL407" s="85" t="str">
        <f>'Consumer Hardware Pricing'!AQ415</f>
        <v>-</v>
      </c>
      <c r="BM407" s="85" t="str">
        <f t="shared" si="893"/>
        <v>-</v>
      </c>
      <c r="BN407" s="85" t="str">
        <f t="shared" si="894"/>
        <v>-</v>
      </c>
      <c r="BO407" s="85" t="str">
        <f t="shared" si="908"/>
        <v>-</v>
      </c>
      <c r="BP407" s="85" t="str">
        <f>'Consumer Hardware Pricing'!AT415</f>
        <v>-</v>
      </c>
      <c r="BQ407" s="85" t="str">
        <f t="shared" si="1218"/>
        <v>-</v>
      </c>
      <c r="BR407" s="85" t="str">
        <f>'Consumer Hardware Pricing'!AU415</f>
        <v>-</v>
      </c>
      <c r="BS407" s="85" t="str">
        <f t="shared" si="895"/>
        <v>-</v>
      </c>
      <c r="BT407" s="85" t="str">
        <f t="shared" si="896"/>
        <v>-</v>
      </c>
      <c r="BU407" s="85" t="str">
        <f t="shared" si="909"/>
        <v>-</v>
      </c>
    </row>
    <row r="408" spans="1:73" s="131" customFormat="1" ht="30.15" customHeight="1" x14ac:dyDescent="0.25">
      <c r="A408" s="87" t="s">
        <v>34</v>
      </c>
      <c r="B408" s="88" t="s">
        <v>500</v>
      </c>
      <c r="C408" s="88" t="s">
        <v>494</v>
      </c>
      <c r="D408" s="85">
        <f>'Consumer Hardware Pricing'!L416</f>
        <v>1270</v>
      </c>
      <c r="E408" s="85">
        <f>'Consumer Hardware Pricing'!M416</f>
        <v>1270</v>
      </c>
      <c r="F408" s="85">
        <f>'Consumer Hardware Pricing'!N416</f>
        <v>0</v>
      </c>
      <c r="G408" s="85">
        <f t="shared" si="1168"/>
        <v>52.919999999999995</v>
      </c>
      <c r="H408" s="85">
        <f>'Consumer Hardware Pricing'!O416</f>
        <v>38.75</v>
      </c>
      <c r="I408" s="85">
        <f t="shared" si="885"/>
        <v>14.169999999999995</v>
      </c>
      <c r="J408" s="85">
        <f t="shared" si="897"/>
        <v>930</v>
      </c>
      <c r="K408" s="85">
        <f t="shared" si="898"/>
        <v>340.07999999999987</v>
      </c>
      <c r="L408" s="85" t="str">
        <f>'Consumer Hardware Pricing'!Q416</f>
        <v>-</v>
      </c>
      <c r="M408" s="85" t="str">
        <f t="shared" si="1169"/>
        <v>-</v>
      </c>
      <c r="N408" s="85" t="str">
        <f t="shared" si="886"/>
        <v>-</v>
      </c>
      <c r="O408" s="85" t="str">
        <f t="shared" si="887"/>
        <v>-</v>
      </c>
      <c r="P408" s="85" t="str">
        <f t="shared" si="899"/>
        <v>-</v>
      </c>
      <c r="Q408" s="85">
        <f>'Consumer Hardware Pricing'!S416</f>
        <v>0</v>
      </c>
      <c r="R408" s="85">
        <f t="shared" si="888"/>
        <v>52.919999999999995</v>
      </c>
      <c r="S408" s="85">
        <f>'Consumer Hardware Pricing'!T416</f>
        <v>38.75</v>
      </c>
      <c r="T408" s="129">
        <f t="shared" si="900"/>
        <v>14.169999999999995</v>
      </c>
      <c r="U408" s="129">
        <f t="shared" si="901"/>
        <v>930</v>
      </c>
      <c r="V408" s="85">
        <f t="shared" si="902"/>
        <v>340.07999999999987</v>
      </c>
      <c r="W408" s="129" t="str">
        <f>'Consumer Hardware Pricing'!V416</f>
        <v>-</v>
      </c>
      <c r="X408" s="129" t="str">
        <f t="shared" si="1170"/>
        <v>-</v>
      </c>
      <c r="Y408" s="129" t="str">
        <f t="shared" si="903"/>
        <v>-</v>
      </c>
      <c r="Z408" s="129" t="str">
        <f t="shared" si="904"/>
        <v>-</v>
      </c>
      <c r="AA408" s="85" t="str">
        <f t="shared" si="905"/>
        <v>-</v>
      </c>
      <c r="AB408" s="85">
        <f>'Consumer Hardware Pricing'!X416</f>
        <v>0</v>
      </c>
      <c r="AC408" s="85">
        <f t="shared" si="1211"/>
        <v>52.919999999999995</v>
      </c>
      <c r="AD408" s="85">
        <f>'Consumer Hardware Pricing'!Y416</f>
        <v>38.75</v>
      </c>
      <c r="AE408" s="85">
        <f t="shared" si="873"/>
        <v>14.169999999999995</v>
      </c>
      <c r="AF408" s="85">
        <f t="shared" si="874"/>
        <v>930</v>
      </c>
      <c r="AG408" s="85">
        <f t="shared" si="875"/>
        <v>340.07999999999987</v>
      </c>
      <c r="AH408" s="85" t="str">
        <f>'Consumer Hardware Pricing'!AA416</f>
        <v>-</v>
      </c>
      <c r="AI408" s="85" t="str">
        <f t="shared" si="1212"/>
        <v>-</v>
      </c>
      <c r="AJ408" s="85" t="str">
        <f t="shared" si="876"/>
        <v>-</v>
      </c>
      <c r="AK408" s="85" t="str">
        <f t="shared" si="877"/>
        <v>-</v>
      </c>
      <c r="AL408" s="85" t="str">
        <f t="shared" si="878"/>
        <v>-</v>
      </c>
      <c r="AM408" s="85">
        <f>'Consumer Hardware Pricing'!AC416</f>
        <v>0</v>
      </c>
      <c r="AN408" s="85">
        <f t="shared" si="1213"/>
        <v>52.919999999999995</v>
      </c>
      <c r="AO408" s="85">
        <f>'Consumer Hardware Pricing'!AD416</f>
        <v>38.75</v>
      </c>
      <c r="AP408" s="85">
        <f t="shared" si="879"/>
        <v>14.169999999999995</v>
      </c>
      <c r="AQ408" s="85">
        <f t="shared" si="880"/>
        <v>930</v>
      </c>
      <c r="AR408" s="85">
        <f t="shared" si="881"/>
        <v>340.07999999999987</v>
      </c>
      <c r="AS408" s="85" t="str">
        <f>'Consumer Hardware Pricing'!AF416</f>
        <v>-</v>
      </c>
      <c r="AT408" s="85" t="str">
        <f t="shared" si="1214"/>
        <v>-</v>
      </c>
      <c r="AU408" s="85" t="str">
        <f t="shared" si="882"/>
        <v>-</v>
      </c>
      <c r="AV408" s="85" t="str">
        <f t="shared" si="883"/>
        <v>-</v>
      </c>
      <c r="AW408" s="85" t="str">
        <f t="shared" si="884"/>
        <v>-</v>
      </c>
      <c r="AX408" s="85" t="str">
        <f>'Consumer Hardware Pricing'!AH416</f>
        <v>-</v>
      </c>
      <c r="AY408" s="85" t="str">
        <f t="shared" si="1215"/>
        <v>-</v>
      </c>
      <c r="AZ408" s="85" t="str">
        <f>'Consumer Hardware Pricing'!AI416</f>
        <v>-</v>
      </c>
      <c r="BA408" s="85" t="str">
        <f t="shared" si="889"/>
        <v>-</v>
      </c>
      <c r="BB408" s="85" t="str">
        <f t="shared" si="890"/>
        <v>-</v>
      </c>
      <c r="BC408" s="85" t="str">
        <f t="shared" si="906"/>
        <v>-</v>
      </c>
      <c r="BD408" s="85" t="str">
        <f>'Consumer Hardware Pricing'!AL416</f>
        <v>-</v>
      </c>
      <c r="BE408" s="85" t="str">
        <f t="shared" si="1216"/>
        <v>-</v>
      </c>
      <c r="BF408" s="85" t="str">
        <f>'Consumer Hardware Pricing'!AM416</f>
        <v>-</v>
      </c>
      <c r="BG408" s="85" t="str">
        <f t="shared" si="891"/>
        <v>-</v>
      </c>
      <c r="BH408" s="85" t="str">
        <f t="shared" si="892"/>
        <v>-</v>
      </c>
      <c r="BI408" s="85" t="str">
        <f t="shared" si="907"/>
        <v>-</v>
      </c>
      <c r="BJ408" s="85" t="str">
        <f>'Consumer Hardware Pricing'!AP416</f>
        <v>-</v>
      </c>
      <c r="BK408" s="85" t="str">
        <f t="shared" si="1217"/>
        <v>-</v>
      </c>
      <c r="BL408" s="85" t="str">
        <f>'Consumer Hardware Pricing'!AQ416</f>
        <v>-</v>
      </c>
      <c r="BM408" s="85" t="str">
        <f t="shared" si="893"/>
        <v>-</v>
      </c>
      <c r="BN408" s="85" t="str">
        <f t="shared" si="894"/>
        <v>-</v>
      </c>
      <c r="BO408" s="85" t="str">
        <f t="shared" si="908"/>
        <v>-</v>
      </c>
      <c r="BP408" s="85" t="str">
        <f>'Consumer Hardware Pricing'!AT416</f>
        <v>-</v>
      </c>
      <c r="BQ408" s="85" t="str">
        <f t="shared" si="1218"/>
        <v>-</v>
      </c>
      <c r="BR408" s="85" t="str">
        <f>'Consumer Hardware Pricing'!AU416</f>
        <v>-</v>
      </c>
      <c r="BS408" s="85" t="str">
        <f t="shared" si="895"/>
        <v>-</v>
      </c>
      <c r="BT408" s="85" t="str">
        <f t="shared" si="896"/>
        <v>-</v>
      </c>
      <c r="BU408" s="85" t="str">
        <f t="shared" si="909"/>
        <v>-</v>
      </c>
    </row>
    <row r="409" spans="1:73" s="131" customFormat="1" ht="30.15" customHeight="1" x14ac:dyDescent="0.25">
      <c r="A409" s="87" t="s">
        <v>34</v>
      </c>
      <c r="B409" s="88" t="s">
        <v>501</v>
      </c>
      <c r="C409" s="88" t="s">
        <v>494</v>
      </c>
      <c r="D409" s="85">
        <f>'Consumer Hardware Pricing'!L417</f>
        <v>1270</v>
      </c>
      <c r="E409" s="85">
        <f>'Consumer Hardware Pricing'!M417</f>
        <v>1270</v>
      </c>
      <c r="F409" s="85">
        <f>'Consumer Hardware Pricing'!N417</f>
        <v>0</v>
      </c>
      <c r="G409" s="85">
        <f t="shared" si="1168"/>
        <v>52.919999999999995</v>
      </c>
      <c r="H409" s="85">
        <f>'Consumer Hardware Pricing'!O417</f>
        <v>38.75</v>
      </c>
      <c r="I409" s="85">
        <f t="shared" si="885"/>
        <v>14.169999999999995</v>
      </c>
      <c r="J409" s="85">
        <f t="shared" si="897"/>
        <v>930</v>
      </c>
      <c r="K409" s="85">
        <f t="shared" si="898"/>
        <v>340.07999999999987</v>
      </c>
      <c r="L409" s="85" t="str">
        <f>'Consumer Hardware Pricing'!Q417</f>
        <v>-</v>
      </c>
      <c r="M409" s="85" t="str">
        <f t="shared" si="1169"/>
        <v>-</v>
      </c>
      <c r="N409" s="85" t="str">
        <f t="shared" si="886"/>
        <v>-</v>
      </c>
      <c r="O409" s="85" t="str">
        <f t="shared" si="887"/>
        <v>-</v>
      </c>
      <c r="P409" s="85" t="str">
        <f t="shared" si="899"/>
        <v>-</v>
      </c>
      <c r="Q409" s="85">
        <f>'Consumer Hardware Pricing'!S417</f>
        <v>0</v>
      </c>
      <c r="R409" s="85">
        <f t="shared" si="888"/>
        <v>52.919999999999995</v>
      </c>
      <c r="S409" s="85">
        <f>'Consumer Hardware Pricing'!T417</f>
        <v>38.75</v>
      </c>
      <c r="T409" s="129">
        <f t="shared" si="900"/>
        <v>14.169999999999995</v>
      </c>
      <c r="U409" s="129">
        <f t="shared" si="901"/>
        <v>930</v>
      </c>
      <c r="V409" s="85">
        <f t="shared" si="902"/>
        <v>340.07999999999987</v>
      </c>
      <c r="W409" s="129" t="str">
        <f>'Consumer Hardware Pricing'!V417</f>
        <v>-</v>
      </c>
      <c r="X409" s="129" t="str">
        <f t="shared" si="1170"/>
        <v>-</v>
      </c>
      <c r="Y409" s="129" t="str">
        <f t="shared" si="903"/>
        <v>-</v>
      </c>
      <c r="Z409" s="129" t="str">
        <f t="shared" si="904"/>
        <v>-</v>
      </c>
      <c r="AA409" s="85" t="str">
        <f t="shared" si="905"/>
        <v>-</v>
      </c>
      <c r="AB409" s="85">
        <f>'Consumer Hardware Pricing'!X417</f>
        <v>0</v>
      </c>
      <c r="AC409" s="85">
        <f t="shared" si="1211"/>
        <v>52.919999999999995</v>
      </c>
      <c r="AD409" s="85">
        <f>'Consumer Hardware Pricing'!Y417</f>
        <v>38.75</v>
      </c>
      <c r="AE409" s="85">
        <f t="shared" si="873"/>
        <v>14.169999999999995</v>
      </c>
      <c r="AF409" s="85">
        <f t="shared" si="874"/>
        <v>930</v>
      </c>
      <c r="AG409" s="85">
        <f t="shared" si="875"/>
        <v>340.07999999999987</v>
      </c>
      <c r="AH409" s="85" t="str">
        <f>'Consumer Hardware Pricing'!AA417</f>
        <v>-</v>
      </c>
      <c r="AI409" s="85" t="str">
        <f t="shared" si="1212"/>
        <v>-</v>
      </c>
      <c r="AJ409" s="85" t="str">
        <f t="shared" si="876"/>
        <v>-</v>
      </c>
      <c r="AK409" s="85" t="str">
        <f t="shared" si="877"/>
        <v>-</v>
      </c>
      <c r="AL409" s="85" t="str">
        <f t="shared" si="878"/>
        <v>-</v>
      </c>
      <c r="AM409" s="85">
        <f>'Consumer Hardware Pricing'!AC417</f>
        <v>0</v>
      </c>
      <c r="AN409" s="85">
        <f t="shared" si="1213"/>
        <v>52.919999999999995</v>
      </c>
      <c r="AO409" s="85">
        <f>'Consumer Hardware Pricing'!AD417</f>
        <v>38.75</v>
      </c>
      <c r="AP409" s="85">
        <f t="shared" si="879"/>
        <v>14.169999999999995</v>
      </c>
      <c r="AQ409" s="85">
        <f t="shared" si="880"/>
        <v>930</v>
      </c>
      <c r="AR409" s="85">
        <f t="shared" si="881"/>
        <v>340.07999999999987</v>
      </c>
      <c r="AS409" s="85" t="str">
        <f>'Consumer Hardware Pricing'!AF417</f>
        <v>-</v>
      </c>
      <c r="AT409" s="85" t="str">
        <f t="shared" si="1214"/>
        <v>-</v>
      </c>
      <c r="AU409" s="85" t="str">
        <f t="shared" si="882"/>
        <v>-</v>
      </c>
      <c r="AV409" s="85" t="str">
        <f t="shared" si="883"/>
        <v>-</v>
      </c>
      <c r="AW409" s="85" t="str">
        <f t="shared" si="884"/>
        <v>-</v>
      </c>
      <c r="AX409" s="85" t="str">
        <f>'Consumer Hardware Pricing'!AH417</f>
        <v>-</v>
      </c>
      <c r="AY409" s="85" t="str">
        <f t="shared" si="1215"/>
        <v>-</v>
      </c>
      <c r="AZ409" s="85" t="str">
        <f>'Consumer Hardware Pricing'!AI417</f>
        <v>-</v>
      </c>
      <c r="BA409" s="85" t="str">
        <f t="shared" si="889"/>
        <v>-</v>
      </c>
      <c r="BB409" s="85" t="str">
        <f t="shared" si="890"/>
        <v>-</v>
      </c>
      <c r="BC409" s="85" t="str">
        <f t="shared" si="906"/>
        <v>-</v>
      </c>
      <c r="BD409" s="85" t="str">
        <f>'Consumer Hardware Pricing'!AL417</f>
        <v>-</v>
      </c>
      <c r="BE409" s="85" t="str">
        <f t="shared" si="1216"/>
        <v>-</v>
      </c>
      <c r="BF409" s="85" t="str">
        <f>'Consumer Hardware Pricing'!AM417</f>
        <v>-</v>
      </c>
      <c r="BG409" s="85" t="str">
        <f t="shared" si="891"/>
        <v>-</v>
      </c>
      <c r="BH409" s="85" t="str">
        <f t="shared" si="892"/>
        <v>-</v>
      </c>
      <c r="BI409" s="85" t="str">
        <f t="shared" si="907"/>
        <v>-</v>
      </c>
      <c r="BJ409" s="85" t="str">
        <f>'Consumer Hardware Pricing'!AP417</f>
        <v>-</v>
      </c>
      <c r="BK409" s="85" t="str">
        <f t="shared" si="1217"/>
        <v>-</v>
      </c>
      <c r="BL409" s="85" t="str">
        <f>'Consumer Hardware Pricing'!AQ417</f>
        <v>-</v>
      </c>
      <c r="BM409" s="85" t="str">
        <f t="shared" si="893"/>
        <v>-</v>
      </c>
      <c r="BN409" s="85" t="str">
        <f t="shared" si="894"/>
        <v>-</v>
      </c>
      <c r="BO409" s="85" t="str">
        <f t="shared" si="908"/>
        <v>-</v>
      </c>
      <c r="BP409" s="85" t="str">
        <f>'Consumer Hardware Pricing'!AT417</f>
        <v>-</v>
      </c>
      <c r="BQ409" s="85" t="str">
        <f t="shared" si="1218"/>
        <v>-</v>
      </c>
      <c r="BR409" s="85" t="str">
        <f>'Consumer Hardware Pricing'!AU417</f>
        <v>-</v>
      </c>
      <c r="BS409" s="85" t="str">
        <f t="shared" si="895"/>
        <v>-</v>
      </c>
      <c r="BT409" s="85" t="str">
        <f t="shared" si="896"/>
        <v>-</v>
      </c>
      <c r="BU409" s="85" t="str">
        <f t="shared" si="909"/>
        <v>-</v>
      </c>
    </row>
    <row r="410" spans="1:73" s="131" customFormat="1" ht="30.15" customHeight="1" x14ac:dyDescent="0.25">
      <c r="A410" s="87" t="s">
        <v>34</v>
      </c>
      <c r="B410" s="88" t="s">
        <v>502</v>
      </c>
      <c r="C410" s="88" t="s">
        <v>495</v>
      </c>
      <c r="D410" s="85">
        <f>'Consumer Hardware Pricing'!L418</f>
        <v>1399</v>
      </c>
      <c r="E410" s="85">
        <f>'Consumer Hardware Pricing'!M418</f>
        <v>1399</v>
      </c>
      <c r="F410" s="85">
        <f>'Consumer Hardware Pricing'!N418</f>
        <v>0</v>
      </c>
      <c r="G410" s="85">
        <f t="shared" si="1168"/>
        <v>58.3</v>
      </c>
      <c r="H410" s="85">
        <f>'Consumer Hardware Pricing'!O418</f>
        <v>39.130000000000003</v>
      </c>
      <c r="I410" s="85">
        <f t="shared" si="885"/>
        <v>19.169999999999995</v>
      </c>
      <c r="J410" s="85">
        <f t="shared" si="897"/>
        <v>939.12000000000012</v>
      </c>
      <c r="K410" s="85">
        <f t="shared" si="898"/>
        <v>460.07999999999987</v>
      </c>
      <c r="L410" s="85" t="str">
        <f>'Consumer Hardware Pricing'!Q418</f>
        <v>-</v>
      </c>
      <c r="M410" s="85" t="str">
        <f t="shared" si="1169"/>
        <v>-</v>
      </c>
      <c r="N410" s="85" t="str">
        <f t="shared" si="886"/>
        <v>-</v>
      </c>
      <c r="O410" s="85" t="str">
        <f t="shared" si="887"/>
        <v>-</v>
      </c>
      <c r="P410" s="85" t="str">
        <f t="shared" si="899"/>
        <v>-</v>
      </c>
      <c r="Q410" s="85">
        <f>'Consumer Hardware Pricing'!S418</f>
        <v>0</v>
      </c>
      <c r="R410" s="85">
        <f t="shared" si="888"/>
        <v>58.3</v>
      </c>
      <c r="S410" s="85">
        <f>'Consumer Hardware Pricing'!T418</f>
        <v>39.130000000000003</v>
      </c>
      <c r="T410" s="129">
        <f t="shared" si="900"/>
        <v>19.169999999999995</v>
      </c>
      <c r="U410" s="129">
        <f t="shared" si="901"/>
        <v>939.12000000000012</v>
      </c>
      <c r="V410" s="85">
        <f t="shared" si="902"/>
        <v>460.07999999999987</v>
      </c>
      <c r="W410" s="129" t="str">
        <f>'Consumer Hardware Pricing'!V418</f>
        <v>-</v>
      </c>
      <c r="X410" s="129" t="str">
        <f t="shared" si="1170"/>
        <v>-</v>
      </c>
      <c r="Y410" s="129" t="str">
        <f t="shared" si="903"/>
        <v>-</v>
      </c>
      <c r="Z410" s="129" t="str">
        <f t="shared" si="904"/>
        <v>-</v>
      </c>
      <c r="AA410" s="85" t="str">
        <f t="shared" si="905"/>
        <v>-</v>
      </c>
      <c r="AB410" s="85">
        <f>'Consumer Hardware Pricing'!X418</f>
        <v>0</v>
      </c>
      <c r="AC410" s="85">
        <f t="shared" si="1211"/>
        <v>58.3</v>
      </c>
      <c r="AD410" s="85">
        <f>'Consumer Hardware Pricing'!Y418</f>
        <v>39.130000000000003</v>
      </c>
      <c r="AE410" s="85">
        <f t="shared" si="873"/>
        <v>19.169999999999995</v>
      </c>
      <c r="AF410" s="85">
        <f t="shared" si="874"/>
        <v>939.12000000000012</v>
      </c>
      <c r="AG410" s="85">
        <f t="shared" si="875"/>
        <v>460.07999999999987</v>
      </c>
      <c r="AH410" s="85" t="str">
        <f>'Consumer Hardware Pricing'!AA418</f>
        <v>-</v>
      </c>
      <c r="AI410" s="85" t="str">
        <f t="shared" si="1212"/>
        <v>-</v>
      </c>
      <c r="AJ410" s="85" t="str">
        <f t="shared" si="876"/>
        <v>-</v>
      </c>
      <c r="AK410" s="85" t="str">
        <f t="shared" si="877"/>
        <v>-</v>
      </c>
      <c r="AL410" s="85" t="str">
        <f t="shared" si="878"/>
        <v>-</v>
      </c>
      <c r="AM410" s="85">
        <f>'Consumer Hardware Pricing'!AC418</f>
        <v>0</v>
      </c>
      <c r="AN410" s="85">
        <f t="shared" si="1213"/>
        <v>58.3</v>
      </c>
      <c r="AO410" s="85">
        <f>'Consumer Hardware Pricing'!AD418</f>
        <v>39.130000000000003</v>
      </c>
      <c r="AP410" s="85">
        <f t="shared" si="879"/>
        <v>19.169999999999995</v>
      </c>
      <c r="AQ410" s="85">
        <f t="shared" si="880"/>
        <v>939.12000000000012</v>
      </c>
      <c r="AR410" s="85">
        <f t="shared" si="881"/>
        <v>460.07999999999987</v>
      </c>
      <c r="AS410" s="85" t="str">
        <f>'Consumer Hardware Pricing'!AF418</f>
        <v>-</v>
      </c>
      <c r="AT410" s="85" t="str">
        <f t="shared" si="1214"/>
        <v>-</v>
      </c>
      <c r="AU410" s="85" t="str">
        <f t="shared" si="882"/>
        <v>-</v>
      </c>
      <c r="AV410" s="85" t="str">
        <f t="shared" si="883"/>
        <v>-</v>
      </c>
      <c r="AW410" s="85" t="str">
        <f t="shared" si="884"/>
        <v>-</v>
      </c>
      <c r="AX410" s="85" t="str">
        <f>'Consumer Hardware Pricing'!AH418</f>
        <v>-</v>
      </c>
      <c r="AY410" s="85" t="str">
        <f t="shared" si="1215"/>
        <v>-</v>
      </c>
      <c r="AZ410" s="85" t="str">
        <f>'Consumer Hardware Pricing'!AI418</f>
        <v>-</v>
      </c>
      <c r="BA410" s="85" t="str">
        <f t="shared" si="889"/>
        <v>-</v>
      </c>
      <c r="BB410" s="85" t="str">
        <f t="shared" si="890"/>
        <v>-</v>
      </c>
      <c r="BC410" s="85" t="str">
        <f t="shared" si="906"/>
        <v>-</v>
      </c>
      <c r="BD410" s="85" t="str">
        <f>'Consumer Hardware Pricing'!AL418</f>
        <v>-</v>
      </c>
      <c r="BE410" s="85" t="str">
        <f t="shared" si="1216"/>
        <v>-</v>
      </c>
      <c r="BF410" s="85" t="str">
        <f>'Consumer Hardware Pricing'!AM418</f>
        <v>-</v>
      </c>
      <c r="BG410" s="85" t="str">
        <f t="shared" si="891"/>
        <v>-</v>
      </c>
      <c r="BH410" s="85" t="str">
        <f t="shared" si="892"/>
        <v>-</v>
      </c>
      <c r="BI410" s="85" t="str">
        <f t="shared" si="907"/>
        <v>-</v>
      </c>
      <c r="BJ410" s="85" t="str">
        <f>'Consumer Hardware Pricing'!AP418</f>
        <v>-</v>
      </c>
      <c r="BK410" s="85" t="str">
        <f t="shared" si="1217"/>
        <v>-</v>
      </c>
      <c r="BL410" s="85" t="str">
        <f>'Consumer Hardware Pricing'!AQ418</f>
        <v>-</v>
      </c>
      <c r="BM410" s="85" t="str">
        <f t="shared" si="893"/>
        <v>-</v>
      </c>
      <c r="BN410" s="85" t="str">
        <f t="shared" si="894"/>
        <v>-</v>
      </c>
      <c r="BO410" s="85" t="str">
        <f t="shared" si="908"/>
        <v>-</v>
      </c>
      <c r="BP410" s="85" t="str">
        <f>'Consumer Hardware Pricing'!AT418</f>
        <v>-</v>
      </c>
      <c r="BQ410" s="85" t="str">
        <f t="shared" si="1218"/>
        <v>-</v>
      </c>
      <c r="BR410" s="85" t="str">
        <f>'Consumer Hardware Pricing'!AU418</f>
        <v>-</v>
      </c>
      <c r="BS410" s="85" t="str">
        <f t="shared" si="895"/>
        <v>-</v>
      </c>
      <c r="BT410" s="85" t="str">
        <f t="shared" si="896"/>
        <v>-</v>
      </c>
      <c r="BU410" s="85" t="str">
        <f t="shared" si="909"/>
        <v>-</v>
      </c>
    </row>
    <row r="411" spans="1:73" s="131" customFormat="1" ht="30.15" customHeight="1" x14ac:dyDescent="0.25">
      <c r="A411" s="87" t="s">
        <v>34</v>
      </c>
      <c r="B411" s="88" t="s">
        <v>503</v>
      </c>
      <c r="C411" s="88" t="s">
        <v>495</v>
      </c>
      <c r="D411" s="85">
        <f>'Consumer Hardware Pricing'!L419</f>
        <v>1399</v>
      </c>
      <c r="E411" s="85">
        <f>'Consumer Hardware Pricing'!M419</f>
        <v>1399</v>
      </c>
      <c r="F411" s="85">
        <f>'Consumer Hardware Pricing'!N419</f>
        <v>0</v>
      </c>
      <c r="G411" s="85">
        <f t="shared" si="1168"/>
        <v>58.3</v>
      </c>
      <c r="H411" s="85">
        <f>'Consumer Hardware Pricing'!O419</f>
        <v>39.130000000000003</v>
      </c>
      <c r="I411" s="85">
        <f t="shared" si="885"/>
        <v>19.169999999999995</v>
      </c>
      <c r="J411" s="85">
        <f t="shared" si="897"/>
        <v>939.12000000000012</v>
      </c>
      <c r="K411" s="85">
        <f t="shared" si="898"/>
        <v>460.07999999999987</v>
      </c>
      <c r="L411" s="85" t="str">
        <f>'Consumer Hardware Pricing'!Q419</f>
        <v>-</v>
      </c>
      <c r="M411" s="85" t="str">
        <f t="shared" si="1169"/>
        <v>-</v>
      </c>
      <c r="N411" s="85" t="str">
        <f t="shared" si="886"/>
        <v>-</v>
      </c>
      <c r="O411" s="85" t="str">
        <f t="shared" si="887"/>
        <v>-</v>
      </c>
      <c r="P411" s="85" t="str">
        <f t="shared" si="899"/>
        <v>-</v>
      </c>
      <c r="Q411" s="85">
        <f>'Consumer Hardware Pricing'!S419</f>
        <v>0</v>
      </c>
      <c r="R411" s="85">
        <f t="shared" si="888"/>
        <v>58.3</v>
      </c>
      <c r="S411" s="85">
        <f>'Consumer Hardware Pricing'!T419</f>
        <v>39.130000000000003</v>
      </c>
      <c r="T411" s="129">
        <f t="shared" si="900"/>
        <v>19.169999999999995</v>
      </c>
      <c r="U411" s="129">
        <f t="shared" si="901"/>
        <v>939.12000000000012</v>
      </c>
      <c r="V411" s="85">
        <f t="shared" si="902"/>
        <v>460.07999999999987</v>
      </c>
      <c r="W411" s="129" t="str">
        <f>'Consumer Hardware Pricing'!V419</f>
        <v>-</v>
      </c>
      <c r="X411" s="129" t="str">
        <f t="shared" si="1170"/>
        <v>-</v>
      </c>
      <c r="Y411" s="129" t="str">
        <f t="shared" si="903"/>
        <v>-</v>
      </c>
      <c r="Z411" s="129" t="str">
        <f t="shared" si="904"/>
        <v>-</v>
      </c>
      <c r="AA411" s="85" t="str">
        <f t="shared" si="905"/>
        <v>-</v>
      </c>
      <c r="AB411" s="85">
        <f>'Consumer Hardware Pricing'!X419</f>
        <v>0</v>
      </c>
      <c r="AC411" s="85">
        <f t="shared" si="1211"/>
        <v>58.3</v>
      </c>
      <c r="AD411" s="85">
        <f>'Consumer Hardware Pricing'!Y419</f>
        <v>39.130000000000003</v>
      </c>
      <c r="AE411" s="85">
        <f t="shared" si="873"/>
        <v>19.169999999999995</v>
      </c>
      <c r="AF411" s="85">
        <f t="shared" si="874"/>
        <v>939.12000000000012</v>
      </c>
      <c r="AG411" s="85">
        <f t="shared" si="875"/>
        <v>460.07999999999987</v>
      </c>
      <c r="AH411" s="85" t="str">
        <f>'Consumer Hardware Pricing'!AA419</f>
        <v>-</v>
      </c>
      <c r="AI411" s="85" t="str">
        <f t="shared" si="1212"/>
        <v>-</v>
      </c>
      <c r="AJ411" s="85" t="str">
        <f t="shared" si="876"/>
        <v>-</v>
      </c>
      <c r="AK411" s="85" t="str">
        <f t="shared" si="877"/>
        <v>-</v>
      </c>
      <c r="AL411" s="85" t="str">
        <f t="shared" si="878"/>
        <v>-</v>
      </c>
      <c r="AM411" s="85">
        <f>'Consumer Hardware Pricing'!AC419</f>
        <v>0</v>
      </c>
      <c r="AN411" s="85">
        <f t="shared" si="1213"/>
        <v>58.3</v>
      </c>
      <c r="AO411" s="85">
        <f>'Consumer Hardware Pricing'!AD419</f>
        <v>39.130000000000003</v>
      </c>
      <c r="AP411" s="85">
        <f t="shared" si="879"/>
        <v>19.169999999999995</v>
      </c>
      <c r="AQ411" s="85">
        <f t="shared" si="880"/>
        <v>939.12000000000012</v>
      </c>
      <c r="AR411" s="85">
        <f t="shared" si="881"/>
        <v>460.07999999999987</v>
      </c>
      <c r="AS411" s="85" t="str">
        <f>'Consumer Hardware Pricing'!AF419</f>
        <v>-</v>
      </c>
      <c r="AT411" s="85" t="str">
        <f t="shared" si="1214"/>
        <v>-</v>
      </c>
      <c r="AU411" s="85" t="str">
        <f t="shared" si="882"/>
        <v>-</v>
      </c>
      <c r="AV411" s="85" t="str">
        <f t="shared" si="883"/>
        <v>-</v>
      </c>
      <c r="AW411" s="85" t="str">
        <f t="shared" si="884"/>
        <v>-</v>
      </c>
      <c r="AX411" s="85" t="str">
        <f>'Consumer Hardware Pricing'!AH419</f>
        <v>-</v>
      </c>
      <c r="AY411" s="85" t="str">
        <f t="shared" si="1215"/>
        <v>-</v>
      </c>
      <c r="AZ411" s="85" t="str">
        <f>'Consumer Hardware Pricing'!AI419</f>
        <v>-</v>
      </c>
      <c r="BA411" s="85" t="str">
        <f t="shared" si="889"/>
        <v>-</v>
      </c>
      <c r="BB411" s="85" t="str">
        <f t="shared" si="890"/>
        <v>-</v>
      </c>
      <c r="BC411" s="85" t="str">
        <f t="shared" si="906"/>
        <v>-</v>
      </c>
      <c r="BD411" s="85" t="str">
        <f>'Consumer Hardware Pricing'!AL419</f>
        <v>-</v>
      </c>
      <c r="BE411" s="85" t="str">
        <f t="shared" si="1216"/>
        <v>-</v>
      </c>
      <c r="BF411" s="85" t="str">
        <f>'Consumer Hardware Pricing'!AM419</f>
        <v>-</v>
      </c>
      <c r="BG411" s="85" t="str">
        <f t="shared" si="891"/>
        <v>-</v>
      </c>
      <c r="BH411" s="85" t="str">
        <f t="shared" si="892"/>
        <v>-</v>
      </c>
      <c r="BI411" s="85" t="str">
        <f t="shared" si="907"/>
        <v>-</v>
      </c>
      <c r="BJ411" s="85" t="str">
        <f>'Consumer Hardware Pricing'!AP419</f>
        <v>-</v>
      </c>
      <c r="BK411" s="85" t="str">
        <f t="shared" si="1217"/>
        <v>-</v>
      </c>
      <c r="BL411" s="85" t="str">
        <f>'Consumer Hardware Pricing'!AQ419</f>
        <v>-</v>
      </c>
      <c r="BM411" s="85" t="str">
        <f t="shared" si="893"/>
        <v>-</v>
      </c>
      <c r="BN411" s="85" t="str">
        <f t="shared" si="894"/>
        <v>-</v>
      </c>
      <c r="BO411" s="85" t="str">
        <f t="shared" si="908"/>
        <v>-</v>
      </c>
      <c r="BP411" s="85" t="str">
        <f>'Consumer Hardware Pricing'!AT419</f>
        <v>-</v>
      </c>
      <c r="BQ411" s="85" t="str">
        <f t="shared" si="1218"/>
        <v>-</v>
      </c>
      <c r="BR411" s="85" t="str">
        <f>'Consumer Hardware Pricing'!AU419</f>
        <v>-</v>
      </c>
      <c r="BS411" s="85" t="str">
        <f t="shared" si="895"/>
        <v>-</v>
      </c>
      <c r="BT411" s="85" t="str">
        <f t="shared" si="896"/>
        <v>-</v>
      </c>
      <c r="BU411" s="85" t="str">
        <f t="shared" si="909"/>
        <v>-</v>
      </c>
    </row>
    <row r="412" spans="1:73" s="131" customFormat="1" ht="30.15" customHeight="1" x14ac:dyDescent="0.25">
      <c r="A412" s="87" t="s">
        <v>34</v>
      </c>
      <c r="B412" s="88" t="s">
        <v>590</v>
      </c>
      <c r="C412" s="88" t="s">
        <v>594</v>
      </c>
      <c r="D412" s="85">
        <f>'Consumer Hardware Pricing'!L420</f>
        <v>650</v>
      </c>
      <c r="E412" s="85">
        <f>'Consumer Hardware Pricing'!M420</f>
        <v>650</v>
      </c>
      <c r="F412" s="85">
        <f>'Consumer Hardware Pricing'!N420</f>
        <v>0</v>
      </c>
      <c r="G412" s="85">
        <f t="shared" si="1168"/>
        <v>27.09</v>
      </c>
      <c r="H412" s="85">
        <f>'Consumer Hardware Pricing'!O420</f>
        <v>22.09</v>
      </c>
      <c r="I412" s="85">
        <f t="shared" si="885"/>
        <v>5</v>
      </c>
      <c r="J412" s="85">
        <f t="shared" si="897"/>
        <v>530.16</v>
      </c>
      <c r="K412" s="85">
        <f t="shared" si="898"/>
        <v>120</v>
      </c>
      <c r="L412" s="85" t="str">
        <f>'Consumer Hardware Pricing'!Q420</f>
        <v>-</v>
      </c>
      <c r="M412" s="85" t="str">
        <f t="shared" si="1169"/>
        <v>-</v>
      </c>
      <c r="N412" s="85" t="str">
        <f t="shared" si="886"/>
        <v>-</v>
      </c>
      <c r="O412" s="85" t="str">
        <f t="shared" si="887"/>
        <v>-</v>
      </c>
      <c r="P412" s="85" t="str">
        <f t="shared" si="899"/>
        <v>-</v>
      </c>
      <c r="Q412" s="85">
        <f>'Consumer Hardware Pricing'!S420</f>
        <v>0</v>
      </c>
      <c r="R412" s="85">
        <f t="shared" si="888"/>
        <v>27.09</v>
      </c>
      <c r="S412" s="85">
        <f>'Consumer Hardware Pricing'!T420</f>
        <v>22.09</v>
      </c>
      <c r="T412" s="129">
        <f t="shared" si="900"/>
        <v>5</v>
      </c>
      <c r="U412" s="129">
        <f t="shared" si="901"/>
        <v>530.16</v>
      </c>
      <c r="V412" s="85">
        <f t="shared" si="902"/>
        <v>120</v>
      </c>
      <c r="W412" s="129" t="str">
        <f>'Consumer Hardware Pricing'!V420</f>
        <v>-</v>
      </c>
      <c r="X412" s="129" t="str">
        <f t="shared" si="1170"/>
        <v>-</v>
      </c>
      <c r="Y412" s="129" t="str">
        <f t="shared" si="903"/>
        <v>-</v>
      </c>
      <c r="Z412" s="129" t="str">
        <f t="shared" si="904"/>
        <v>-</v>
      </c>
      <c r="AA412" s="85" t="str">
        <f t="shared" si="905"/>
        <v>-</v>
      </c>
      <c r="AB412" s="85">
        <f>'Consumer Hardware Pricing'!X420</f>
        <v>0</v>
      </c>
      <c r="AC412" s="85">
        <f t="shared" si="1211"/>
        <v>27.09</v>
      </c>
      <c r="AD412" s="85">
        <f>'Consumer Hardware Pricing'!Y420</f>
        <v>17.09</v>
      </c>
      <c r="AE412" s="85">
        <f t="shared" si="873"/>
        <v>10</v>
      </c>
      <c r="AF412" s="85">
        <f t="shared" si="874"/>
        <v>410.15999999999997</v>
      </c>
      <c r="AG412" s="85">
        <f t="shared" si="875"/>
        <v>240</v>
      </c>
      <c r="AH412" s="85" t="str">
        <f>'Consumer Hardware Pricing'!AA420</f>
        <v>-</v>
      </c>
      <c r="AI412" s="85" t="str">
        <f t="shared" si="1212"/>
        <v>-</v>
      </c>
      <c r="AJ412" s="85" t="str">
        <f t="shared" si="876"/>
        <v>-</v>
      </c>
      <c r="AK412" s="85" t="str">
        <f t="shared" si="877"/>
        <v>-</v>
      </c>
      <c r="AL412" s="85" t="str">
        <f t="shared" si="878"/>
        <v>-</v>
      </c>
      <c r="AM412" s="85">
        <f>'Consumer Hardware Pricing'!AC420</f>
        <v>0</v>
      </c>
      <c r="AN412" s="85">
        <f t="shared" si="1213"/>
        <v>27.09</v>
      </c>
      <c r="AO412" s="85">
        <f>'Consumer Hardware Pricing'!AD420</f>
        <v>17.09</v>
      </c>
      <c r="AP412" s="85">
        <f t="shared" si="879"/>
        <v>10</v>
      </c>
      <c r="AQ412" s="85">
        <f t="shared" si="880"/>
        <v>410.15999999999997</v>
      </c>
      <c r="AR412" s="85">
        <f t="shared" si="881"/>
        <v>240</v>
      </c>
      <c r="AS412" s="85" t="str">
        <f>'Consumer Hardware Pricing'!AF420</f>
        <v>-</v>
      </c>
      <c r="AT412" s="85" t="str">
        <f t="shared" si="1214"/>
        <v>-</v>
      </c>
      <c r="AU412" s="85" t="str">
        <f t="shared" si="882"/>
        <v>-</v>
      </c>
      <c r="AV412" s="85" t="str">
        <f t="shared" si="883"/>
        <v>-</v>
      </c>
      <c r="AW412" s="85" t="str">
        <f t="shared" si="884"/>
        <v>-</v>
      </c>
      <c r="AX412" s="85" t="str">
        <f>'Consumer Hardware Pricing'!AH420</f>
        <v>-</v>
      </c>
      <c r="AY412" s="85" t="str">
        <f t="shared" si="1215"/>
        <v>-</v>
      </c>
      <c r="AZ412" s="85" t="str">
        <f>'Consumer Hardware Pricing'!AI420</f>
        <v>-</v>
      </c>
      <c r="BA412" s="85" t="str">
        <f t="shared" si="889"/>
        <v>-</v>
      </c>
      <c r="BB412" s="85" t="str">
        <f t="shared" si="890"/>
        <v>-</v>
      </c>
      <c r="BC412" s="85" t="str">
        <f t="shared" si="906"/>
        <v>-</v>
      </c>
      <c r="BD412" s="85" t="str">
        <f>'Consumer Hardware Pricing'!AL420</f>
        <v>-</v>
      </c>
      <c r="BE412" s="85" t="str">
        <f t="shared" si="1216"/>
        <v>-</v>
      </c>
      <c r="BF412" s="85" t="str">
        <f>'Consumer Hardware Pricing'!AM420</f>
        <v>-</v>
      </c>
      <c r="BG412" s="85" t="str">
        <f t="shared" si="891"/>
        <v>-</v>
      </c>
      <c r="BH412" s="85" t="str">
        <f t="shared" si="892"/>
        <v>-</v>
      </c>
      <c r="BI412" s="85" t="str">
        <f t="shared" si="907"/>
        <v>-</v>
      </c>
      <c r="BJ412" s="85" t="str">
        <f>'Consumer Hardware Pricing'!AP420</f>
        <v>-</v>
      </c>
      <c r="BK412" s="85" t="str">
        <f t="shared" si="1217"/>
        <v>-</v>
      </c>
      <c r="BL412" s="85" t="str">
        <f>'Consumer Hardware Pricing'!AQ420</f>
        <v>-</v>
      </c>
      <c r="BM412" s="85" t="str">
        <f t="shared" si="893"/>
        <v>-</v>
      </c>
      <c r="BN412" s="85" t="str">
        <f t="shared" si="894"/>
        <v>-</v>
      </c>
      <c r="BO412" s="85" t="str">
        <f t="shared" si="908"/>
        <v>-</v>
      </c>
      <c r="BP412" s="85" t="str">
        <f>'Consumer Hardware Pricing'!AT420</f>
        <v>-</v>
      </c>
      <c r="BQ412" s="85" t="str">
        <f t="shared" si="1218"/>
        <v>-</v>
      </c>
      <c r="BR412" s="85" t="str">
        <f>'Consumer Hardware Pricing'!AU420</f>
        <v>-</v>
      </c>
      <c r="BS412" s="85" t="str">
        <f t="shared" si="895"/>
        <v>-</v>
      </c>
      <c r="BT412" s="85" t="str">
        <f t="shared" si="896"/>
        <v>-</v>
      </c>
      <c r="BU412" s="85" t="str">
        <f t="shared" si="909"/>
        <v>-</v>
      </c>
    </row>
    <row r="413" spans="1:73" s="131" customFormat="1" ht="30.15" customHeight="1" x14ac:dyDescent="0.25">
      <c r="A413" s="87" t="s">
        <v>34</v>
      </c>
      <c r="B413" s="88" t="s">
        <v>591</v>
      </c>
      <c r="C413" s="88" t="s">
        <v>594</v>
      </c>
      <c r="D413" s="85">
        <f>'Consumer Hardware Pricing'!L421</f>
        <v>650</v>
      </c>
      <c r="E413" s="85">
        <f>'Consumer Hardware Pricing'!M421</f>
        <v>650</v>
      </c>
      <c r="F413" s="85">
        <f>'Consumer Hardware Pricing'!N421</f>
        <v>0</v>
      </c>
      <c r="G413" s="85">
        <f t="shared" si="1168"/>
        <v>27.09</v>
      </c>
      <c r="H413" s="85">
        <f>'Consumer Hardware Pricing'!O421</f>
        <v>22.09</v>
      </c>
      <c r="I413" s="85">
        <f t="shared" si="885"/>
        <v>5</v>
      </c>
      <c r="J413" s="85">
        <f t="shared" si="897"/>
        <v>530.16</v>
      </c>
      <c r="K413" s="85">
        <f t="shared" si="898"/>
        <v>120</v>
      </c>
      <c r="L413" s="85" t="str">
        <f>'Consumer Hardware Pricing'!Q421</f>
        <v>-</v>
      </c>
      <c r="M413" s="85" t="str">
        <f t="shared" si="1169"/>
        <v>-</v>
      </c>
      <c r="N413" s="85" t="str">
        <f t="shared" si="886"/>
        <v>-</v>
      </c>
      <c r="O413" s="85" t="str">
        <f t="shared" si="887"/>
        <v>-</v>
      </c>
      <c r="P413" s="85" t="str">
        <f t="shared" si="899"/>
        <v>-</v>
      </c>
      <c r="Q413" s="85">
        <f>'Consumer Hardware Pricing'!S421</f>
        <v>0</v>
      </c>
      <c r="R413" s="85">
        <f t="shared" si="888"/>
        <v>27.09</v>
      </c>
      <c r="S413" s="85">
        <f>'Consumer Hardware Pricing'!T421</f>
        <v>22.09</v>
      </c>
      <c r="T413" s="129">
        <f t="shared" si="900"/>
        <v>5</v>
      </c>
      <c r="U413" s="129">
        <f t="shared" si="901"/>
        <v>530.16</v>
      </c>
      <c r="V413" s="85">
        <f t="shared" si="902"/>
        <v>120</v>
      </c>
      <c r="W413" s="129" t="str">
        <f>'Consumer Hardware Pricing'!V421</f>
        <v>-</v>
      </c>
      <c r="X413" s="129" t="str">
        <f t="shared" si="1170"/>
        <v>-</v>
      </c>
      <c r="Y413" s="129" t="str">
        <f t="shared" si="903"/>
        <v>-</v>
      </c>
      <c r="Z413" s="129" t="str">
        <f t="shared" si="904"/>
        <v>-</v>
      </c>
      <c r="AA413" s="85" t="str">
        <f t="shared" si="905"/>
        <v>-</v>
      </c>
      <c r="AB413" s="85">
        <f>'Consumer Hardware Pricing'!X421</f>
        <v>0</v>
      </c>
      <c r="AC413" s="85">
        <f t="shared" si="1211"/>
        <v>27.09</v>
      </c>
      <c r="AD413" s="85">
        <f>'Consumer Hardware Pricing'!Y421</f>
        <v>17.09</v>
      </c>
      <c r="AE413" s="85">
        <f t="shared" si="873"/>
        <v>10</v>
      </c>
      <c r="AF413" s="85">
        <f t="shared" si="874"/>
        <v>410.15999999999997</v>
      </c>
      <c r="AG413" s="85">
        <f t="shared" si="875"/>
        <v>240</v>
      </c>
      <c r="AH413" s="85" t="str">
        <f>'Consumer Hardware Pricing'!AA421</f>
        <v>-</v>
      </c>
      <c r="AI413" s="85" t="str">
        <f t="shared" si="1212"/>
        <v>-</v>
      </c>
      <c r="AJ413" s="85" t="str">
        <f t="shared" si="876"/>
        <v>-</v>
      </c>
      <c r="AK413" s="85" t="str">
        <f t="shared" si="877"/>
        <v>-</v>
      </c>
      <c r="AL413" s="85" t="str">
        <f t="shared" si="878"/>
        <v>-</v>
      </c>
      <c r="AM413" s="85">
        <f>'Consumer Hardware Pricing'!AC421</f>
        <v>0</v>
      </c>
      <c r="AN413" s="85">
        <f t="shared" si="1213"/>
        <v>27.09</v>
      </c>
      <c r="AO413" s="85">
        <f>'Consumer Hardware Pricing'!AD421</f>
        <v>17.09</v>
      </c>
      <c r="AP413" s="85">
        <f t="shared" si="879"/>
        <v>10</v>
      </c>
      <c r="AQ413" s="85">
        <f t="shared" si="880"/>
        <v>410.15999999999997</v>
      </c>
      <c r="AR413" s="85">
        <f t="shared" si="881"/>
        <v>240</v>
      </c>
      <c r="AS413" s="85" t="str">
        <f>'Consumer Hardware Pricing'!AF421</f>
        <v>-</v>
      </c>
      <c r="AT413" s="85" t="str">
        <f t="shared" si="1214"/>
        <v>-</v>
      </c>
      <c r="AU413" s="85" t="str">
        <f t="shared" si="882"/>
        <v>-</v>
      </c>
      <c r="AV413" s="85" t="str">
        <f t="shared" si="883"/>
        <v>-</v>
      </c>
      <c r="AW413" s="85" t="str">
        <f t="shared" si="884"/>
        <v>-</v>
      </c>
      <c r="AX413" s="85" t="str">
        <f>'Consumer Hardware Pricing'!AH421</f>
        <v>-</v>
      </c>
      <c r="AY413" s="85" t="str">
        <f t="shared" si="1215"/>
        <v>-</v>
      </c>
      <c r="AZ413" s="85" t="str">
        <f>'Consumer Hardware Pricing'!AI421</f>
        <v>-</v>
      </c>
      <c r="BA413" s="85" t="str">
        <f t="shared" si="889"/>
        <v>-</v>
      </c>
      <c r="BB413" s="85" t="str">
        <f t="shared" si="890"/>
        <v>-</v>
      </c>
      <c r="BC413" s="85" t="str">
        <f t="shared" si="906"/>
        <v>-</v>
      </c>
      <c r="BD413" s="85" t="str">
        <f>'Consumer Hardware Pricing'!AL421</f>
        <v>-</v>
      </c>
      <c r="BE413" s="85" t="str">
        <f t="shared" si="1216"/>
        <v>-</v>
      </c>
      <c r="BF413" s="85" t="str">
        <f>'Consumer Hardware Pricing'!AM421</f>
        <v>-</v>
      </c>
      <c r="BG413" s="85" t="str">
        <f t="shared" si="891"/>
        <v>-</v>
      </c>
      <c r="BH413" s="85" t="str">
        <f t="shared" si="892"/>
        <v>-</v>
      </c>
      <c r="BI413" s="85" t="str">
        <f t="shared" si="907"/>
        <v>-</v>
      </c>
      <c r="BJ413" s="85" t="str">
        <f>'Consumer Hardware Pricing'!AP421</f>
        <v>-</v>
      </c>
      <c r="BK413" s="85" t="str">
        <f t="shared" si="1217"/>
        <v>-</v>
      </c>
      <c r="BL413" s="85" t="str">
        <f>'Consumer Hardware Pricing'!AQ421</f>
        <v>-</v>
      </c>
      <c r="BM413" s="85" t="str">
        <f t="shared" si="893"/>
        <v>-</v>
      </c>
      <c r="BN413" s="85" t="str">
        <f t="shared" si="894"/>
        <v>-</v>
      </c>
      <c r="BO413" s="85" t="str">
        <f t="shared" si="908"/>
        <v>-</v>
      </c>
      <c r="BP413" s="85" t="str">
        <f>'Consumer Hardware Pricing'!AT421</f>
        <v>-</v>
      </c>
      <c r="BQ413" s="85" t="str">
        <f t="shared" si="1218"/>
        <v>-</v>
      </c>
      <c r="BR413" s="85" t="str">
        <f>'Consumer Hardware Pricing'!AU421</f>
        <v>-</v>
      </c>
      <c r="BS413" s="85" t="str">
        <f t="shared" si="895"/>
        <v>-</v>
      </c>
      <c r="BT413" s="85" t="str">
        <f t="shared" si="896"/>
        <v>-</v>
      </c>
      <c r="BU413" s="85" t="str">
        <f t="shared" si="909"/>
        <v>-</v>
      </c>
    </row>
    <row r="414" spans="1:73" s="131" customFormat="1" ht="30.15" customHeight="1" x14ac:dyDescent="0.25">
      <c r="A414" s="87" t="s">
        <v>34</v>
      </c>
      <c r="B414" s="88" t="s">
        <v>592</v>
      </c>
      <c r="C414" s="88" t="s">
        <v>595</v>
      </c>
      <c r="D414" s="85">
        <f>'Consumer Hardware Pricing'!L422</f>
        <v>800</v>
      </c>
      <c r="E414" s="85">
        <f>'Consumer Hardware Pricing'!M422</f>
        <v>800</v>
      </c>
      <c r="F414" s="85">
        <f>'Consumer Hardware Pricing'!N422</f>
        <v>0</v>
      </c>
      <c r="G414" s="85">
        <f t="shared" si="1168"/>
        <v>33.339999999999996</v>
      </c>
      <c r="H414" s="85">
        <f>'Consumer Hardware Pricing'!O422</f>
        <v>23.34</v>
      </c>
      <c r="I414" s="85">
        <f t="shared" si="885"/>
        <v>9.9999999999999964</v>
      </c>
      <c r="J414" s="85">
        <f t="shared" si="897"/>
        <v>560.16</v>
      </c>
      <c r="K414" s="85">
        <f t="shared" si="898"/>
        <v>239.99999999999991</v>
      </c>
      <c r="L414" s="85" t="str">
        <f>'Consumer Hardware Pricing'!Q422</f>
        <v>-</v>
      </c>
      <c r="M414" s="85" t="str">
        <f t="shared" si="1169"/>
        <v>-</v>
      </c>
      <c r="N414" s="85" t="str">
        <f t="shared" si="886"/>
        <v>-</v>
      </c>
      <c r="O414" s="85" t="str">
        <f t="shared" si="887"/>
        <v>-</v>
      </c>
      <c r="P414" s="85" t="str">
        <f t="shared" si="899"/>
        <v>-</v>
      </c>
      <c r="Q414" s="85">
        <f>'Consumer Hardware Pricing'!S422</f>
        <v>0</v>
      </c>
      <c r="R414" s="85">
        <f t="shared" si="888"/>
        <v>33.339999999999996</v>
      </c>
      <c r="S414" s="85">
        <f>'Consumer Hardware Pricing'!T422</f>
        <v>23.34</v>
      </c>
      <c r="T414" s="129">
        <f t="shared" si="900"/>
        <v>9.9999999999999964</v>
      </c>
      <c r="U414" s="129">
        <f t="shared" si="901"/>
        <v>560.16</v>
      </c>
      <c r="V414" s="85">
        <f t="shared" si="902"/>
        <v>239.99999999999991</v>
      </c>
      <c r="W414" s="129" t="str">
        <f>'Consumer Hardware Pricing'!V422</f>
        <v>-</v>
      </c>
      <c r="X414" s="129" t="str">
        <f t="shared" si="1170"/>
        <v>-</v>
      </c>
      <c r="Y414" s="129" t="str">
        <f t="shared" si="903"/>
        <v>-</v>
      </c>
      <c r="Z414" s="129" t="str">
        <f t="shared" si="904"/>
        <v>-</v>
      </c>
      <c r="AA414" s="85" t="str">
        <f t="shared" si="905"/>
        <v>-</v>
      </c>
      <c r="AB414" s="85">
        <f>'Consumer Hardware Pricing'!X422</f>
        <v>0</v>
      </c>
      <c r="AC414" s="85">
        <f t="shared" si="1211"/>
        <v>33.339999999999996</v>
      </c>
      <c r="AD414" s="85">
        <f>'Consumer Hardware Pricing'!Y422</f>
        <v>18.34</v>
      </c>
      <c r="AE414" s="85">
        <f t="shared" si="873"/>
        <v>14.999999999999996</v>
      </c>
      <c r="AF414" s="85">
        <f t="shared" si="874"/>
        <v>440.15999999999997</v>
      </c>
      <c r="AG414" s="85">
        <f t="shared" si="875"/>
        <v>359.99999999999989</v>
      </c>
      <c r="AH414" s="85" t="str">
        <f>'Consumer Hardware Pricing'!AA422</f>
        <v>-</v>
      </c>
      <c r="AI414" s="85" t="str">
        <f t="shared" si="1212"/>
        <v>-</v>
      </c>
      <c r="AJ414" s="85" t="str">
        <f t="shared" si="876"/>
        <v>-</v>
      </c>
      <c r="AK414" s="85" t="str">
        <f t="shared" si="877"/>
        <v>-</v>
      </c>
      <c r="AL414" s="85" t="str">
        <f t="shared" si="878"/>
        <v>-</v>
      </c>
      <c r="AM414" s="85">
        <f>'Consumer Hardware Pricing'!AC422</f>
        <v>0</v>
      </c>
      <c r="AN414" s="85">
        <f t="shared" si="1213"/>
        <v>33.339999999999996</v>
      </c>
      <c r="AO414" s="85">
        <f>'Consumer Hardware Pricing'!AD422</f>
        <v>18.34</v>
      </c>
      <c r="AP414" s="85">
        <f t="shared" si="879"/>
        <v>14.999999999999996</v>
      </c>
      <c r="AQ414" s="85">
        <f t="shared" si="880"/>
        <v>440.15999999999997</v>
      </c>
      <c r="AR414" s="85">
        <f t="shared" si="881"/>
        <v>359.99999999999989</v>
      </c>
      <c r="AS414" s="85" t="str">
        <f>'Consumer Hardware Pricing'!AF422</f>
        <v>-</v>
      </c>
      <c r="AT414" s="85" t="str">
        <f t="shared" si="1214"/>
        <v>-</v>
      </c>
      <c r="AU414" s="85" t="str">
        <f t="shared" si="882"/>
        <v>-</v>
      </c>
      <c r="AV414" s="85" t="str">
        <f t="shared" si="883"/>
        <v>-</v>
      </c>
      <c r="AW414" s="85" t="str">
        <f t="shared" si="884"/>
        <v>-</v>
      </c>
      <c r="AX414" s="85" t="str">
        <f>'Consumer Hardware Pricing'!AH422</f>
        <v>-</v>
      </c>
      <c r="AY414" s="85" t="str">
        <f t="shared" si="1215"/>
        <v>-</v>
      </c>
      <c r="AZ414" s="85" t="str">
        <f>'Consumer Hardware Pricing'!AI422</f>
        <v>-</v>
      </c>
      <c r="BA414" s="85" t="str">
        <f t="shared" si="889"/>
        <v>-</v>
      </c>
      <c r="BB414" s="85" t="str">
        <f t="shared" si="890"/>
        <v>-</v>
      </c>
      <c r="BC414" s="85" t="str">
        <f t="shared" si="906"/>
        <v>-</v>
      </c>
      <c r="BD414" s="85" t="str">
        <f>'Consumer Hardware Pricing'!AL422</f>
        <v>-</v>
      </c>
      <c r="BE414" s="85" t="str">
        <f t="shared" si="1216"/>
        <v>-</v>
      </c>
      <c r="BF414" s="85" t="str">
        <f>'Consumer Hardware Pricing'!AM422</f>
        <v>-</v>
      </c>
      <c r="BG414" s="85" t="str">
        <f t="shared" si="891"/>
        <v>-</v>
      </c>
      <c r="BH414" s="85" t="str">
        <f t="shared" si="892"/>
        <v>-</v>
      </c>
      <c r="BI414" s="85" t="str">
        <f t="shared" si="907"/>
        <v>-</v>
      </c>
      <c r="BJ414" s="85" t="str">
        <f>'Consumer Hardware Pricing'!AP422</f>
        <v>-</v>
      </c>
      <c r="BK414" s="85" t="str">
        <f t="shared" si="1217"/>
        <v>-</v>
      </c>
      <c r="BL414" s="85" t="str">
        <f>'Consumer Hardware Pricing'!AQ422</f>
        <v>-</v>
      </c>
      <c r="BM414" s="85" t="str">
        <f t="shared" si="893"/>
        <v>-</v>
      </c>
      <c r="BN414" s="85" t="str">
        <f t="shared" si="894"/>
        <v>-</v>
      </c>
      <c r="BO414" s="85" t="str">
        <f t="shared" si="908"/>
        <v>-</v>
      </c>
      <c r="BP414" s="85" t="str">
        <f>'Consumer Hardware Pricing'!AT422</f>
        <v>-</v>
      </c>
      <c r="BQ414" s="85" t="str">
        <f t="shared" si="1218"/>
        <v>-</v>
      </c>
      <c r="BR414" s="85" t="str">
        <f>'Consumer Hardware Pricing'!AU422</f>
        <v>-</v>
      </c>
      <c r="BS414" s="85" t="str">
        <f t="shared" si="895"/>
        <v>-</v>
      </c>
      <c r="BT414" s="85" t="str">
        <f t="shared" si="896"/>
        <v>-</v>
      </c>
      <c r="BU414" s="85" t="str">
        <f t="shared" si="909"/>
        <v>-</v>
      </c>
    </row>
    <row r="415" spans="1:73" s="131" customFormat="1" ht="30.15" customHeight="1" x14ac:dyDescent="0.25">
      <c r="A415" s="87" t="s">
        <v>34</v>
      </c>
      <c r="B415" s="88" t="s">
        <v>593</v>
      </c>
      <c r="C415" s="88" t="s">
        <v>595</v>
      </c>
      <c r="D415" s="85">
        <f>'Consumer Hardware Pricing'!L423</f>
        <v>800</v>
      </c>
      <c r="E415" s="85">
        <f>'Consumer Hardware Pricing'!M423</f>
        <v>800</v>
      </c>
      <c r="F415" s="85">
        <f>'Consumer Hardware Pricing'!N423</f>
        <v>0</v>
      </c>
      <c r="G415" s="85">
        <f t="shared" si="1168"/>
        <v>33.339999999999996</v>
      </c>
      <c r="H415" s="85">
        <f>'Consumer Hardware Pricing'!O423</f>
        <v>23.34</v>
      </c>
      <c r="I415" s="85">
        <f t="shared" si="885"/>
        <v>9.9999999999999964</v>
      </c>
      <c r="J415" s="85">
        <f t="shared" si="897"/>
        <v>560.16</v>
      </c>
      <c r="K415" s="85">
        <f t="shared" si="898"/>
        <v>239.99999999999991</v>
      </c>
      <c r="L415" s="85" t="str">
        <f>'Consumer Hardware Pricing'!Q423</f>
        <v>-</v>
      </c>
      <c r="M415" s="85" t="str">
        <f t="shared" si="1169"/>
        <v>-</v>
      </c>
      <c r="N415" s="85" t="str">
        <f t="shared" si="886"/>
        <v>-</v>
      </c>
      <c r="O415" s="85" t="str">
        <f t="shared" si="887"/>
        <v>-</v>
      </c>
      <c r="P415" s="85" t="str">
        <f t="shared" si="899"/>
        <v>-</v>
      </c>
      <c r="Q415" s="85">
        <f>'Consumer Hardware Pricing'!S423</f>
        <v>0</v>
      </c>
      <c r="R415" s="85">
        <f t="shared" si="888"/>
        <v>33.339999999999996</v>
      </c>
      <c r="S415" s="85">
        <f>'Consumer Hardware Pricing'!T423</f>
        <v>23.34</v>
      </c>
      <c r="T415" s="129">
        <f t="shared" si="900"/>
        <v>9.9999999999999964</v>
      </c>
      <c r="U415" s="129">
        <f t="shared" si="901"/>
        <v>560.16</v>
      </c>
      <c r="V415" s="85">
        <f t="shared" si="902"/>
        <v>239.99999999999991</v>
      </c>
      <c r="W415" s="129" t="str">
        <f>'Consumer Hardware Pricing'!V423</f>
        <v>-</v>
      </c>
      <c r="X415" s="129" t="str">
        <f t="shared" si="1170"/>
        <v>-</v>
      </c>
      <c r="Y415" s="129" t="str">
        <f t="shared" si="903"/>
        <v>-</v>
      </c>
      <c r="Z415" s="129" t="str">
        <f t="shared" si="904"/>
        <v>-</v>
      </c>
      <c r="AA415" s="85" t="str">
        <f t="shared" si="905"/>
        <v>-</v>
      </c>
      <c r="AB415" s="85">
        <f>'Consumer Hardware Pricing'!X423</f>
        <v>0</v>
      </c>
      <c r="AC415" s="85">
        <f t="shared" si="1211"/>
        <v>33.339999999999996</v>
      </c>
      <c r="AD415" s="85">
        <f>'Consumer Hardware Pricing'!Y423</f>
        <v>18.34</v>
      </c>
      <c r="AE415" s="85">
        <f t="shared" si="873"/>
        <v>14.999999999999996</v>
      </c>
      <c r="AF415" s="85">
        <f t="shared" si="874"/>
        <v>440.15999999999997</v>
      </c>
      <c r="AG415" s="85">
        <f t="shared" si="875"/>
        <v>359.99999999999989</v>
      </c>
      <c r="AH415" s="85" t="str">
        <f>'Consumer Hardware Pricing'!AA423</f>
        <v>-</v>
      </c>
      <c r="AI415" s="85" t="str">
        <f t="shared" si="1212"/>
        <v>-</v>
      </c>
      <c r="AJ415" s="85" t="str">
        <f t="shared" si="876"/>
        <v>-</v>
      </c>
      <c r="AK415" s="85" t="str">
        <f t="shared" si="877"/>
        <v>-</v>
      </c>
      <c r="AL415" s="85" t="str">
        <f t="shared" si="878"/>
        <v>-</v>
      </c>
      <c r="AM415" s="85">
        <f>'Consumer Hardware Pricing'!AC423</f>
        <v>0</v>
      </c>
      <c r="AN415" s="85">
        <f t="shared" si="1213"/>
        <v>33.339999999999996</v>
      </c>
      <c r="AO415" s="85">
        <f>'Consumer Hardware Pricing'!AD423</f>
        <v>18.34</v>
      </c>
      <c r="AP415" s="85">
        <f t="shared" si="879"/>
        <v>14.999999999999996</v>
      </c>
      <c r="AQ415" s="85">
        <f t="shared" si="880"/>
        <v>440.15999999999997</v>
      </c>
      <c r="AR415" s="85">
        <f t="shared" si="881"/>
        <v>359.99999999999989</v>
      </c>
      <c r="AS415" s="85" t="str">
        <f>'Consumer Hardware Pricing'!AF423</f>
        <v>-</v>
      </c>
      <c r="AT415" s="85" t="str">
        <f t="shared" si="1214"/>
        <v>-</v>
      </c>
      <c r="AU415" s="85" t="str">
        <f t="shared" si="882"/>
        <v>-</v>
      </c>
      <c r="AV415" s="85" t="str">
        <f t="shared" si="883"/>
        <v>-</v>
      </c>
      <c r="AW415" s="85" t="str">
        <f t="shared" si="884"/>
        <v>-</v>
      </c>
      <c r="AX415" s="85" t="str">
        <f>'Consumer Hardware Pricing'!AH423</f>
        <v>-</v>
      </c>
      <c r="AY415" s="85" t="str">
        <f t="shared" si="1215"/>
        <v>-</v>
      </c>
      <c r="AZ415" s="85" t="str">
        <f>'Consumer Hardware Pricing'!AI423</f>
        <v>-</v>
      </c>
      <c r="BA415" s="85" t="str">
        <f t="shared" si="889"/>
        <v>-</v>
      </c>
      <c r="BB415" s="85" t="str">
        <f t="shared" si="890"/>
        <v>-</v>
      </c>
      <c r="BC415" s="85" t="str">
        <f t="shared" si="906"/>
        <v>-</v>
      </c>
      <c r="BD415" s="85" t="str">
        <f>'Consumer Hardware Pricing'!AL423</f>
        <v>-</v>
      </c>
      <c r="BE415" s="85" t="str">
        <f t="shared" si="1216"/>
        <v>-</v>
      </c>
      <c r="BF415" s="85" t="str">
        <f>'Consumer Hardware Pricing'!AM423</f>
        <v>-</v>
      </c>
      <c r="BG415" s="85" t="str">
        <f t="shared" si="891"/>
        <v>-</v>
      </c>
      <c r="BH415" s="85" t="str">
        <f t="shared" si="892"/>
        <v>-</v>
      </c>
      <c r="BI415" s="85" t="str">
        <f t="shared" si="907"/>
        <v>-</v>
      </c>
      <c r="BJ415" s="85" t="str">
        <f>'Consumer Hardware Pricing'!AP423</f>
        <v>-</v>
      </c>
      <c r="BK415" s="85" t="str">
        <f t="shared" si="1217"/>
        <v>-</v>
      </c>
      <c r="BL415" s="85" t="str">
        <f>'Consumer Hardware Pricing'!AQ423</f>
        <v>-</v>
      </c>
      <c r="BM415" s="85" t="str">
        <f t="shared" si="893"/>
        <v>-</v>
      </c>
      <c r="BN415" s="85" t="str">
        <f t="shared" si="894"/>
        <v>-</v>
      </c>
      <c r="BO415" s="85" t="str">
        <f t="shared" si="908"/>
        <v>-</v>
      </c>
      <c r="BP415" s="85" t="str">
        <f>'Consumer Hardware Pricing'!AT423</f>
        <v>-</v>
      </c>
      <c r="BQ415" s="85" t="str">
        <f t="shared" si="1218"/>
        <v>-</v>
      </c>
      <c r="BR415" s="85" t="str">
        <f>'Consumer Hardware Pricing'!AU423</f>
        <v>-</v>
      </c>
      <c r="BS415" s="85" t="str">
        <f t="shared" si="895"/>
        <v>-</v>
      </c>
      <c r="BT415" s="85" t="str">
        <f t="shared" si="896"/>
        <v>-</v>
      </c>
      <c r="BU415" s="85" t="str">
        <f t="shared" si="909"/>
        <v>-</v>
      </c>
    </row>
    <row r="416" spans="1:73" s="131" customFormat="1" ht="30.15" customHeight="1" x14ac:dyDescent="0.25">
      <c r="A416" s="87" t="s">
        <v>34</v>
      </c>
      <c r="B416" s="140" t="s">
        <v>726</v>
      </c>
      <c r="C416" s="140" t="s">
        <v>727</v>
      </c>
      <c r="D416" s="85">
        <f>'Consumer Hardware Pricing'!L424</f>
        <v>1169</v>
      </c>
      <c r="E416" s="85">
        <f>'Consumer Hardware Pricing'!M424</f>
        <v>1169</v>
      </c>
      <c r="F416" s="85">
        <f>'Consumer Hardware Pricing'!N424</f>
        <v>0</v>
      </c>
      <c r="G416" s="85">
        <f t="shared" si="1168"/>
        <v>48.71</v>
      </c>
      <c r="H416" s="85">
        <f>'Consumer Hardware Pricing'!O424</f>
        <v>43.71</v>
      </c>
      <c r="I416" s="85">
        <f t="shared" si="885"/>
        <v>5</v>
      </c>
      <c r="J416" s="85">
        <f t="shared" si="897"/>
        <v>1049.04</v>
      </c>
      <c r="K416" s="85">
        <f t="shared" si="898"/>
        <v>120</v>
      </c>
      <c r="L416" s="85" t="str">
        <f>'Consumer Hardware Pricing'!Q424</f>
        <v>-</v>
      </c>
      <c r="M416" s="85" t="str">
        <f t="shared" si="1169"/>
        <v>-</v>
      </c>
      <c r="N416" s="85" t="str">
        <f t="shared" si="886"/>
        <v>-</v>
      </c>
      <c r="O416" s="85" t="str">
        <f t="shared" si="887"/>
        <v>-</v>
      </c>
      <c r="P416" s="85" t="str">
        <f t="shared" si="899"/>
        <v>-</v>
      </c>
      <c r="Q416" s="85">
        <f>'Consumer Hardware Pricing'!S424</f>
        <v>0</v>
      </c>
      <c r="R416" s="85">
        <f t="shared" si="888"/>
        <v>48.71</v>
      </c>
      <c r="S416" s="85">
        <f>'Consumer Hardware Pricing'!T424</f>
        <v>43.71</v>
      </c>
      <c r="T416" s="129">
        <f t="shared" si="900"/>
        <v>5</v>
      </c>
      <c r="U416" s="129">
        <f t="shared" si="901"/>
        <v>1049.04</v>
      </c>
      <c r="V416" s="85">
        <f t="shared" si="902"/>
        <v>120</v>
      </c>
      <c r="W416" s="129" t="str">
        <f>'Consumer Hardware Pricing'!V424</f>
        <v>-</v>
      </c>
      <c r="X416" s="129" t="str">
        <f t="shared" si="1170"/>
        <v>-</v>
      </c>
      <c r="Y416" s="129" t="str">
        <f t="shared" si="903"/>
        <v>-</v>
      </c>
      <c r="Z416" s="129" t="str">
        <f t="shared" si="904"/>
        <v>-</v>
      </c>
      <c r="AA416" s="85" t="str">
        <f t="shared" si="905"/>
        <v>-</v>
      </c>
      <c r="AB416" s="85">
        <f>'Consumer Hardware Pricing'!X424</f>
        <v>0</v>
      </c>
      <c r="AC416" s="85">
        <f t="shared" si="1211"/>
        <v>48.71</v>
      </c>
      <c r="AD416" s="85">
        <f>'Consumer Hardware Pricing'!Y424</f>
        <v>43.71</v>
      </c>
      <c r="AE416" s="85">
        <f t="shared" si="873"/>
        <v>5</v>
      </c>
      <c r="AF416" s="85">
        <f t="shared" si="874"/>
        <v>1049.04</v>
      </c>
      <c r="AG416" s="85">
        <f t="shared" si="875"/>
        <v>120</v>
      </c>
      <c r="AH416" s="85" t="str">
        <f>'Consumer Hardware Pricing'!AA424</f>
        <v>-</v>
      </c>
      <c r="AI416" s="85" t="str">
        <f t="shared" si="1212"/>
        <v>-</v>
      </c>
      <c r="AJ416" s="85" t="str">
        <f t="shared" si="876"/>
        <v>-</v>
      </c>
      <c r="AK416" s="85" t="str">
        <f t="shared" si="877"/>
        <v>-</v>
      </c>
      <c r="AL416" s="85" t="str">
        <f t="shared" si="878"/>
        <v>-</v>
      </c>
      <c r="AM416" s="85">
        <f>'Consumer Hardware Pricing'!AC424</f>
        <v>0</v>
      </c>
      <c r="AN416" s="85">
        <f t="shared" si="1213"/>
        <v>48.71</v>
      </c>
      <c r="AO416" s="85">
        <f>'Consumer Hardware Pricing'!AD424</f>
        <v>43.71</v>
      </c>
      <c r="AP416" s="85">
        <f t="shared" si="879"/>
        <v>5</v>
      </c>
      <c r="AQ416" s="85">
        <f t="shared" si="880"/>
        <v>1049.04</v>
      </c>
      <c r="AR416" s="85">
        <f t="shared" si="881"/>
        <v>120</v>
      </c>
      <c r="AS416" s="85" t="str">
        <f>'Consumer Hardware Pricing'!AF424</f>
        <v>-</v>
      </c>
      <c r="AT416" s="85" t="str">
        <f t="shared" si="1214"/>
        <v>-</v>
      </c>
      <c r="AU416" s="85" t="str">
        <f t="shared" si="882"/>
        <v>-</v>
      </c>
      <c r="AV416" s="85" t="str">
        <f t="shared" si="883"/>
        <v>-</v>
      </c>
      <c r="AW416" s="85" t="str">
        <f t="shared" si="884"/>
        <v>-</v>
      </c>
      <c r="AX416" s="85" t="str">
        <f>'Consumer Hardware Pricing'!AH424</f>
        <v>-</v>
      </c>
      <c r="AY416" s="85" t="str">
        <f t="shared" si="1215"/>
        <v>-</v>
      </c>
      <c r="AZ416" s="85" t="str">
        <f>'Consumer Hardware Pricing'!AI424</f>
        <v>-</v>
      </c>
      <c r="BA416" s="85" t="str">
        <f t="shared" si="889"/>
        <v>-</v>
      </c>
      <c r="BB416" s="85" t="str">
        <f t="shared" si="890"/>
        <v>-</v>
      </c>
      <c r="BC416" s="85" t="str">
        <f t="shared" si="906"/>
        <v>-</v>
      </c>
      <c r="BD416" s="85" t="str">
        <f>'Consumer Hardware Pricing'!AL424</f>
        <v>-</v>
      </c>
      <c r="BE416" s="85" t="str">
        <f t="shared" si="1216"/>
        <v>-</v>
      </c>
      <c r="BF416" s="85" t="str">
        <f>'Consumer Hardware Pricing'!AM424</f>
        <v>-</v>
      </c>
      <c r="BG416" s="85" t="str">
        <f t="shared" si="891"/>
        <v>-</v>
      </c>
      <c r="BH416" s="85" t="str">
        <f t="shared" si="892"/>
        <v>-</v>
      </c>
      <c r="BI416" s="85" t="str">
        <f t="shared" si="907"/>
        <v>-</v>
      </c>
      <c r="BJ416" s="85" t="str">
        <f>'Consumer Hardware Pricing'!AP424</f>
        <v>-</v>
      </c>
      <c r="BK416" s="85" t="str">
        <f t="shared" si="1217"/>
        <v>-</v>
      </c>
      <c r="BL416" s="85" t="str">
        <f>'Consumer Hardware Pricing'!AQ424</f>
        <v>-</v>
      </c>
      <c r="BM416" s="85" t="str">
        <f t="shared" si="893"/>
        <v>-</v>
      </c>
      <c r="BN416" s="85" t="str">
        <f t="shared" si="894"/>
        <v>-</v>
      </c>
      <c r="BO416" s="85" t="str">
        <f t="shared" si="908"/>
        <v>-</v>
      </c>
      <c r="BP416" s="85" t="str">
        <f>'Consumer Hardware Pricing'!AT424</f>
        <v>-</v>
      </c>
      <c r="BQ416" s="85" t="str">
        <f t="shared" si="1218"/>
        <v>-</v>
      </c>
      <c r="BR416" s="85" t="str">
        <f>'Consumer Hardware Pricing'!AU424</f>
        <v>-</v>
      </c>
      <c r="BS416" s="85" t="str">
        <f t="shared" si="895"/>
        <v>-</v>
      </c>
      <c r="BT416" s="85" t="str">
        <f t="shared" si="896"/>
        <v>-</v>
      </c>
      <c r="BU416" s="85" t="str">
        <f t="shared" si="909"/>
        <v>-</v>
      </c>
    </row>
    <row r="417" spans="1:73" s="131" customFormat="1" ht="30.15" customHeight="1" x14ac:dyDescent="0.25">
      <c r="A417" s="87" t="s">
        <v>34</v>
      </c>
      <c r="B417" s="140" t="s">
        <v>728</v>
      </c>
      <c r="C417" s="140" t="s">
        <v>727</v>
      </c>
      <c r="D417" s="85">
        <f>'Consumer Hardware Pricing'!L425</f>
        <v>1169</v>
      </c>
      <c r="E417" s="85">
        <f>'Consumer Hardware Pricing'!M425</f>
        <v>1169</v>
      </c>
      <c r="F417" s="85">
        <f>'Consumer Hardware Pricing'!N425</f>
        <v>0</v>
      </c>
      <c r="G417" s="85">
        <f t="shared" si="1168"/>
        <v>48.71</v>
      </c>
      <c r="H417" s="85">
        <f>'Consumer Hardware Pricing'!O425</f>
        <v>43.71</v>
      </c>
      <c r="I417" s="85">
        <f t="shared" si="885"/>
        <v>5</v>
      </c>
      <c r="J417" s="85">
        <f t="shared" si="897"/>
        <v>1049.04</v>
      </c>
      <c r="K417" s="85">
        <f t="shared" si="898"/>
        <v>120</v>
      </c>
      <c r="L417" s="85" t="str">
        <f>'Consumer Hardware Pricing'!Q425</f>
        <v>-</v>
      </c>
      <c r="M417" s="85" t="str">
        <f t="shared" si="1169"/>
        <v>-</v>
      </c>
      <c r="N417" s="85" t="str">
        <f t="shared" si="886"/>
        <v>-</v>
      </c>
      <c r="O417" s="85" t="str">
        <f t="shared" si="887"/>
        <v>-</v>
      </c>
      <c r="P417" s="85" t="str">
        <f t="shared" si="899"/>
        <v>-</v>
      </c>
      <c r="Q417" s="85">
        <f>'Consumer Hardware Pricing'!S425</f>
        <v>0</v>
      </c>
      <c r="R417" s="85">
        <f t="shared" si="888"/>
        <v>48.71</v>
      </c>
      <c r="S417" s="85">
        <f>'Consumer Hardware Pricing'!T425</f>
        <v>43.71</v>
      </c>
      <c r="T417" s="129">
        <f t="shared" si="900"/>
        <v>5</v>
      </c>
      <c r="U417" s="129">
        <f t="shared" si="901"/>
        <v>1049.04</v>
      </c>
      <c r="V417" s="85">
        <f t="shared" si="902"/>
        <v>120</v>
      </c>
      <c r="W417" s="129" t="str">
        <f>'Consumer Hardware Pricing'!V425</f>
        <v>-</v>
      </c>
      <c r="X417" s="129" t="str">
        <f t="shared" si="1170"/>
        <v>-</v>
      </c>
      <c r="Y417" s="129" t="str">
        <f t="shared" si="903"/>
        <v>-</v>
      </c>
      <c r="Z417" s="129" t="str">
        <f t="shared" si="904"/>
        <v>-</v>
      </c>
      <c r="AA417" s="85" t="str">
        <f t="shared" si="905"/>
        <v>-</v>
      </c>
      <c r="AB417" s="85">
        <f>'Consumer Hardware Pricing'!X425</f>
        <v>0</v>
      </c>
      <c r="AC417" s="85">
        <f t="shared" si="1211"/>
        <v>48.71</v>
      </c>
      <c r="AD417" s="85">
        <f>'Consumer Hardware Pricing'!Y425</f>
        <v>43.71</v>
      </c>
      <c r="AE417" s="85">
        <f t="shared" si="873"/>
        <v>5</v>
      </c>
      <c r="AF417" s="85">
        <f t="shared" si="874"/>
        <v>1049.04</v>
      </c>
      <c r="AG417" s="85">
        <f t="shared" si="875"/>
        <v>120</v>
      </c>
      <c r="AH417" s="85" t="str">
        <f>'Consumer Hardware Pricing'!AA425</f>
        <v>-</v>
      </c>
      <c r="AI417" s="85" t="str">
        <f t="shared" si="1212"/>
        <v>-</v>
      </c>
      <c r="AJ417" s="85" t="str">
        <f t="shared" si="876"/>
        <v>-</v>
      </c>
      <c r="AK417" s="85" t="str">
        <f t="shared" si="877"/>
        <v>-</v>
      </c>
      <c r="AL417" s="85" t="str">
        <f t="shared" si="878"/>
        <v>-</v>
      </c>
      <c r="AM417" s="85">
        <f>'Consumer Hardware Pricing'!AC425</f>
        <v>0</v>
      </c>
      <c r="AN417" s="85">
        <f t="shared" si="1213"/>
        <v>48.71</v>
      </c>
      <c r="AO417" s="85">
        <f>'Consumer Hardware Pricing'!AD425</f>
        <v>43.71</v>
      </c>
      <c r="AP417" s="85">
        <f t="shared" si="879"/>
        <v>5</v>
      </c>
      <c r="AQ417" s="85">
        <f t="shared" si="880"/>
        <v>1049.04</v>
      </c>
      <c r="AR417" s="85">
        <f t="shared" si="881"/>
        <v>120</v>
      </c>
      <c r="AS417" s="85" t="str">
        <f>'Consumer Hardware Pricing'!AF425</f>
        <v>-</v>
      </c>
      <c r="AT417" s="85" t="str">
        <f t="shared" si="1214"/>
        <v>-</v>
      </c>
      <c r="AU417" s="85" t="str">
        <f t="shared" si="882"/>
        <v>-</v>
      </c>
      <c r="AV417" s="85" t="str">
        <f t="shared" si="883"/>
        <v>-</v>
      </c>
      <c r="AW417" s="85" t="str">
        <f t="shared" si="884"/>
        <v>-</v>
      </c>
      <c r="AX417" s="85" t="str">
        <f>'Consumer Hardware Pricing'!AH425</f>
        <v>-</v>
      </c>
      <c r="AY417" s="85" t="str">
        <f t="shared" si="1215"/>
        <v>-</v>
      </c>
      <c r="AZ417" s="85" t="str">
        <f>'Consumer Hardware Pricing'!AI425</f>
        <v>-</v>
      </c>
      <c r="BA417" s="85" t="str">
        <f t="shared" si="889"/>
        <v>-</v>
      </c>
      <c r="BB417" s="85" t="str">
        <f t="shared" si="890"/>
        <v>-</v>
      </c>
      <c r="BC417" s="85" t="str">
        <f t="shared" si="906"/>
        <v>-</v>
      </c>
      <c r="BD417" s="85" t="str">
        <f>'Consumer Hardware Pricing'!AL425</f>
        <v>-</v>
      </c>
      <c r="BE417" s="85" t="str">
        <f t="shared" si="1216"/>
        <v>-</v>
      </c>
      <c r="BF417" s="85" t="str">
        <f>'Consumer Hardware Pricing'!AM425</f>
        <v>-</v>
      </c>
      <c r="BG417" s="85" t="str">
        <f t="shared" si="891"/>
        <v>-</v>
      </c>
      <c r="BH417" s="85" t="str">
        <f t="shared" si="892"/>
        <v>-</v>
      </c>
      <c r="BI417" s="85" t="str">
        <f t="shared" si="907"/>
        <v>-</v>
      </c>
      <c r="BJ417" s="85" t="str">
        <f>'Consumer Hardware Pricing'!AP425</f>
        <v>-</v>
      </c>
      <c r="BK417" s="85" t="str">
        <f t="shared" si="1217"/>
        <v>-</v>
      </c>
      <c r="BL417" s="85" t="str">
        <f>'Consumer Hardware Pricing'!AQ425</f>
        <v>-</v>
      </c>
      <c r="BM417" s="85" t="str">
        <f t="shared" si="893"/>
        <v>-</v>
      </c>
      <c r="BN417" s="85" t="str">
        <f t="shared" si="894"/>
        <v>-</v>
      </c>
      <c r="BO417" s="85" t="str">
        <f t="shared" si="908"/>
        <v>-</v>
      </c>
      <c r="BP417" s="85" t="str">
        <f>'Consumer Hardware Pricing'!AT425</f>
        <v>-</v>
      </c>
      <c r="BQ417" s="85" t="str">
        <f t="shared" si="1218"/>
        <v>-</v>
      </c>
      <c r="BR417" s="85" t="str">
        <f>'Consumer Hardware Pricing'!AU425</f>
        <v>-</v>
      </c>
      <c r="BS417" s="85" t="str">
        <f t="shared" si="895"/>
        <v>-</v>
      </c>
      <c r="BT417" s="85" t="str">
        <f t="shared" si="896"/>
        <v>-</v>
      </c>
      <c r="BU417" s="85" t="str">
        <f t="shared" si="909"/>
        <v>-</v>
      </c>
    </row>
    <row r="418" spans="1:73" s="131" customFormat="1" ht="30.15" customHeight="1" x14ac:dyDescent="0.25">
      <c r="A418" s="87" t="s">
        <v>34</v>
      </c>
      <c r="B418" s="140" t="s">
        <v>729</v>
      </c>
      <c r="C418" s="140" t="s">
        <v>730</v>
      </c>
      <c r="D418" s="85">
        <f>'Consumer Hardware Pricing'!L426</f>
        <v>1329</v>
      </c>
      <c r="E418" s="85">
        <f>'Consumer Hardware Pricing'!M426</f>
        <v>1329</v>
      </c>
      <c r="F418" s="85">
        <f>'Consumer Hardware Pricing'!N426</f>
        <v>0</v>
      </c>
      <c r="G418" s="85">
        <f t="shared" si="1168"/>
        <v>55.379999999999995</v>
      </c>
      <c r="H418" s="85">
        <f>'Consumer Hardware Pricing'!O426</f>
        <v>40.379999999999995</v>
      </c>
      <c r="I418" s="85">
        <f t="shared" si="885"/>
        <v>15</v>
      </c>
      <c r="J418" s="85">
        <f t="shared" si="897"/>
        <v>969.11999999999989</v>
      </c>
      <c r="K418" s="85">
        <f t="shared" si="898"/>
        <v>360</v>
      </c>
      <c r="L418" s="85" t="str">
        <f>'Consumer Hardware Pricing'!Q426</f>
        <v>-</v>
      </c>
      <c r="M418" s="85" t="str">
        <f t="shared" si="1169"/>
        <v>-</v>
      </c>
      <c r="N418" s="85" t="str">
        <f t="shared" si="886"/>
        <v>-</v>
      </c>
      <c r="O418" s="85" t="str">
        <f t="shared" si="887"/>
        <v>-</v>
      </c>
      <c r="P418" s="85" t="str">
        <f t="shared" si="899"/>
        <v>-</v>
      </c>
      <c r="Q418" s="85">
        <f>'Consumer Hardware Pricing'!S426</f>
        <v>0</v>
      </c>
      <c r="R418" s="85">
        <f t="shared" si="888"/>
        <v>55.379999999999995</v>
      </c>
      <c r="S418" s="85">
        <f>'Consumer Hardware Pricing'!T426</f>
        <v>40.379999999999995</v>
      </c>
      <c r="T418" s="129">
        <f t="shared" si="900"/>
        <v>15</v>
      </c>
      <c r="U418" s="129">
        <f t="shared" si="901"/>
        <v>969.11999999999989</v>
      </c>
      <c r="V418" s="85">
        <f t="shared" si="902"/>
        <v>360</v>
      </c>
      <c r="W418" s="129" t="str">
        <f>'Consumer Hardware Pricing'!V426</f>
        <v>-</v>
      </c>
      <c r="X418" s="129" t="str">
        <f t="shared" si="1170"/>
        <v>-</v>
      </c>
      <c r="Y418" s="129" t="str">
        <f t="shared" si="903"/>
        <v>-</v>
      </c>
      <c r="Z418" s="129" t="str">
        <f t="shared" si="904"/>
        <v>-</v>
      </c>
      <c r="AA418" s="85" t="str">
        <f t="shared" si="905"/>
        <v>-</v>
      </c>
      <c r="AB418" s="85">
        <f>'Consumer Hardware Pricing'!X426</f>
        <v>0</v>
      </c>
      <c r="AC418" s="85">
        <f t="shared" si="1211"/>
        <v>55.379999999999995</v>
      </c>
      <c r="AD418" s="85">
        <f>'Consumer Hardware Pricing'!Y426</f>
        <v>29.55</v>
      </c>
      <c r="AE418" s="85">
        <f t="shared" si="873"/>
        <v>25.829999999999995</v>
      </c>
      <c r="AF418" s="85">
        <f t="shared" si="874"/>
        <v>709.2</v>
      </c>
      <c r="AG418" s="85">
        <f t="shared" si="875"/>
        <v>619.91999999999985</v>
      </c>
      <c r="AH418" s="85" t="str">
        <f>'Consumer Hardware Pricing'!AA426</f>
        <v>-</v>
      </c>
      <c r="AI418" s="85" t="str">
        <f t="shared" si="1212"/>
        <v>-</v>
      </c>
      <c r="AJ418" s="85" t="str">
        <f t="shared" si="876"/>
        <v>-</v>
      </c>
      <c r="AK418" s="85" t="str">
        <f t="shared" si="877"/>
        <v>-</v>
      </c>
      <c r="AL418" s="85" t="str">
        <f t="shared" si="878"/>
        <v>-</v>
      </c>
      <c r="AM418" s="85">
        <f>'Consumer Hardware Pricing'!AC426</f>
        <v>0</v>
      </c>
      <c r="AN418" s="85">
        <f t="shared" si="1213"/>
        <v>55.379999999999995</v>
      </c>
      <c r="AO418" s="85">
        <f>'Consumer Hardware Pricing'!AD426</f>
        <v>29.55</v>
      </c>
      <c r="AP418" s="85">
        <f t="shared" si="879"/>
        <v>25.829999999999995</v>
      </c>
      <c r="AQ418" s="85">
        <f t="shared" si="880"/>
        <v>709.2</v>
      </c>
      <c r="AR418" s="85">
        <f t="shared" si="881"/>
        <v>619.91999999999985</v>
      </c>
      <c r="AS418" s="85" t="str">
        <f>'Consumer Hardware Pricing'!AF426</f>
        <v>-</v>
      </c>
      <c r="AT418" s="85" t="str">
        <f t="shared" si="1214"/>
        <v>-</v>
      </c>
      <c r="AU418" s="85" t="str">
        <f t="shared" si="882"/>
        <v>-</v>
      </c>
      <c r="AV418" s="85" t="str">
        <f t="shared" si="883"/>
        <v>-</v>
      </c>
      <c r="AW418" s="85" t="str">
        <f t="shared" si="884"/>
        <v>-</v>
      </c>
      <c r="AX418" s="85" t="str">
        <f>'Consumer Hardware Pricing'!AH426</f>
        <v>-</v>
      </c>
      <c r="AY418" s="85" t="str">
        <f t="shared" si="1215"/>
        <v>-</v>
      </c>
      <c r="AZ418" s="85" t="str">
        <f>'Consumer Hardware Pricing'!AI426</f>
        <v>-</v>
      </c>
      <c r="BA418" s="85" t="str">
        <f t="shared" si="889"/>
        <v>-</v>
      </c>
      <c r="BB418" s="85" t="str">
        <f t="shared" si="890"/>
        <v>-</v>
      </c>
      <c r="BC418" s="85" t="str">
        <f t="shared" si="906"/>
        <v>-</v>
      </c>
      <c r="BD418" s="85" t="str">
        <f>'Consumer Hardware Pricing'!AL426</f>
        <v>-</v>
      </c>
      <c r="BE418" s="85" t="str">
        <f t="shared" si="1216"/>
        <v>-</v>
      </c>
      <c r="BF418" s="85" t="str">
        <f>'Consumer Hardware Pricing'!AM426</f>
        <v>-</v>
      </c>
      <c r="BG418" s="85" t="str">
        <f t="shared" si="891"/>
        <v>-</v>
      </c>
      <c r="BH418" s="85" t="str">
        <f t="shared" si="892"/>
        <v>-</v>
      </c>
      <c r="BI418" s="85" t="str">
        <f t="shared" si="907"/>
        <v>-</v>
      </c>
      <c r="BJ418" s="85" t="str">
        <f>'Consumer Hardware Pricing'!AP426</f>
        <v>-</v>
      </c>
      <c r="BK418" s="85" t="str">
        <f t="shared" si="1217"/>
        <v>-</v>
      </c>
      <c r="BL418" s="85" t="str">
        <f>'Consumer Hardware Pricing'!AQ426</f>
        <v>-</v>
      </c>
      <c r="BM418" s="85" t="str">
        <f t="shared" si="893"/>
        <v>-</v>
      </c>
      <c r="BN418" s="85" t="str">
        <f t="shared" si="894"/>
        <v>-</v>
      </c>
      <c r="BO418" s="85" t="str">
        <f t="shared" si="908"/>
        <v>-</v>
      </c>
      <c r="BP418" s="85" t="str">
        <f>'Consumer Hardware Pricing'!AT426</f>
        <v>-</v>
      </c>
      <c r="BQ418" s="85" t="str">
        <f t="shared" si="1218"/>
        <v>-</v>
      </c>
      <c r="BR418" s="85" t="str">
        <f>'Consumer Hardware Pricing'!AU426</f>
        <v>-</v>
      </c>
      <c r="BS418" s="85" t="str">
        <f t="shared" si="895"/>
        <v>-</v>
      </c>
      <c r="BT418" s="85" t="str">
        <f t="shared" si="896"/>
        <v>-</v>
      </c>
      <c r="BU418" s="85" t="str">
        <f t="shared" si="909"/>
        <v>-</v>
      </c>
    </row>
    <row r="419" spans="1:73" s="131" customFormat="1" ht="30.15" customHeight="1" x14ac:dyDescent="0.25">
      <c r="A419" s="87" t="s">
        <v>34</v>
      </c>
      <c r="B419" s="140" t="s">
        <v>731</v>
      </c>
      <c r="C419" s="140" t="s">
        <v>730</v>
      </c>
      <c r="D419" s="85">
        <f>'Consumer Hardware Pricing'!L427</f>
        <v>1329</v>
      </c>
      <c r="E419" s="85">
        <f>'Consumer Hardware Pricing'!M427</f>
        <v>1329</v>
      </c>
      <c r="F419" s="85">
        <f>'Consumer Hardware Pricing'!N427</f>
        <v>0</v>
      </c>
      <c r="G419" s="85">
        <f t="shared" si="1168"/>
        <v>55.379999999999995</v>
      </c>
      <c r="H419" s="85">
        <f>'Consumer Hardware Pricing'!O427</f>
        <v>40.379999999999995</v>
      </c>
      <c r="I419" s="85">
        <f t="shared" si="885"/>
        <v>15</v>
      </c>
      <c r="J419" s="85">
        <f t="shared" si="897"/>
        <v>969.11999999999989</v>
      </c>
      <c r="K419" s="85">
        <f t="shared" si="898"/>
        <v>360</v>
      </c>
      <c r="L419" s="85" t="str">
        <f>'Consumer Hardware Pricing'!Q427</f>
        <v>-</v>
      </c>
      <c r="M419" s="85" t="str">
        <f t="shared" si="1169"/>
        <v>-</v>
      </c>
      <c r="N419" s="85" t="str">
        <f t="shared" si="886"/>
        <v>-</v>
      </c>
      <c r="O419" s="85" t="str">
        <f t="shared" si="887"/>
        <v>-</v>
      </c>
      <c r="P419" s="85" t="str">
        <f t="shared" si="899"/>
        <v>-</v>
      </c>
      <c r="Q419" s="85">
        <f>'Consumer Hardware Pricing'!S427</f>
        <v>0</v>
      </c>
      <c r="R419" s="85">
        <f t="shared" si="888"/>
        <v>55.379999999999995</v>
      </c>
      <c r="S419" s="85">
        <f>'Consumer Hardware Pricing'!T427</f>
        <v>40.379999999999995</v>
      </c>
      <c r="T419" s="129">
        <f t="shared" si="900"/>
        <v>15</v>
      </c>
      <c r="U419" s="129">
        <f t="shared" si="901"/>
        <v>969.11999999999989</v>
      </c>
      <c r="V419" s="85">
        <f t="shared" si="902"/>
        <v>360</v>
      </c>
      <c r="W419" s="129" t="str">
        <f>'Consumer Hardware Pricing'!V427</f>
        <v>-</v>
      </c>
      <c r="X419" s="129" t="str">
        <f t="shared" si="1170"/>
        <v>-</v>
      </c>
      <c r="Y419" s="129" t="str">
        <f t="shared" si="903"/>
        <v>-</v>
      </c>
      <c r="Z419" s="129" t="str">
        <f t="shared" si="904"/>
        <v>-</v>
      </c>
      <c r="AA419" s="85" t="str">
        <f t="shared" si="905"/>
        <v>-</v>
      </c>
      <c r="AB419" s="85">
        <f>'Consumer Hardware Pricing'!X427</f>
        <v>0</v>
      </c>
      <c r="AC419" s="85">
        <f t="shared" si="1211"/>
        <v>55.379999999999995</v>
      </c>
      <c r="AD419" s="85">
        <f>'Consumer Hardware Pricing'!Y427</f>
        <v>29.55</v>
      </c>
      <c r="AE419" s="85">
        <f t="shared" si="873"/>
        <v>25.829999999999995</v>
      </c>
      <c r="AF419" s="85">
        <f t="shared" si="874"/>
        <v>709.2</v>
      </c>
      <c r="AG419" s="85">
        <f t="shared" si="875"/>
        <v>619.91999999999985</v>
      </c>
      <c r="AH419" s="85" t="str">
        <f>'Consumer Hardware Pricing'!AA427</f>
        <v>-</v>
      </c>
      <c r="AI419" s="85" t="str">
        <f t="shared" si="1212"/>
        <v>-</v>
      </c>
      <c r="AJ419" s="85" t="str">
        <f t="shared" si="876"/>
        <v>-</v>
      </c>
      <c r="AK419" s="85" t="str">
        <f t="shared" si="877"/>
        <v>-</v>
      </c>
      <c r="AL419" s="85" t="str">
        <f t="shared" si="878"/>
        <v>-</v>
      </c>
      <c r="AM419" s="85">
        <f>'Consumer Hardware Pricing'!AC427</f>
        <v>0</v>
      </c>
      <c r="AN419" s="85">
        <f t="shared" si="1213"/>
        <v>55.379999999999995</v>
      </c>
      <c r="AO419" s="85">
        <f>'Consumer Hardware Pricing'!AD427</f>
        <v>29.55</v>
      </c>
      <c r="AP419" s="85">
        <f t="shared" si="879"/>
        <v>25.829999999999995</v>
      </c>
      <c r="AQ419" s="85">
        <f t="shared" si="880"/>
        <v>709.2</v>
      </c>
      <c r="AR419" s="85">
        <f t="shared" si="881"/>
        <v>619.91999999999985</v>
      </c>
      <c r="AS419" s="85" t="str">
        <f>'Consumer Hardware Pricing'!AF427</f>
        <v>-</v>
      </c>
      <c r="AT419" s="85" t="str">
        <f t="shared" si="1214"/>
        <v>-</v>
      </c>
      <c r="AU419" s="85" t="str">
        <f t="shared" si="882"/>
        <v>-</v>
      </c>
      <c r="AV419" s="85" t="str">
        <f t="shared" si="883"/>
        <v>-</v>
      </c>
      <c r="AW419" s="85" t="str">
        <f t="shared" si="884"/>
        <v>-</v>
      </c>
      <c r="AX419" s="85" t="str">
        <f>'Consumer Hardware Pricing'!AH427</f>
        <v>-</v>
      </c>
      <c r="AY419" s="85" t="str">
        <f t="shared" si="1215"/>
        <v>-</v>
      </c>
      <c r="AZ419" s="85" t="str">
        <f>'Consumer Hardware Pricing'!AI427</f>
        <v>-</v>
      </c>
      <c r="BA419" s="85" t="str">
        <f t="shared" si="889"/>
        <v>-</v>
      </c>
      <c r="BB419" s="85" t="str">
        <f t="shared" si="890"/>
        <v>-</v>
      </c>
      <c r="BC419" s="85" t="str">
        <f t="shared" si="906"/>
        <v>-</v>
      </c>
      <c r="BD419" s="85" t="str">
        <f>'Consumer Hardware Pricing'!AL427</f>
        <v>-</v>
      </c>
      <c r="BE419" s="85" t="str">
        <f t="shared" si="1216"/>
        <v>-</v>
      </c>
      <c r="BF419" s="85" t="str">
        <f>'Consumer Hardware Pricing'!AM427</f>
        <v>-</v>
      </c>
      <c r="BG419" s="85" t="str">
        <f t="shared" si="891"/>
        <v>-</v>
      </c>
      <c r="BH419" s="85" t="str">
        <f t="shared" si="892"/>
        <v>-</v>
      </c>
      <c r="BI419" s="85" t="str">
        <f t="shared" si="907"/>
        <v>-</v>
      </c>
      <c r="BJ419" s="85" t="str">
        <f>'Consumer Hardware Pricing'!AP427</f>
        <v>-</v>
      </c>
      <c r="BK419" s="85" t="str">
        <f t="shared" si="1217"/>
        <v>-</v>
      </c>
      <c r="BL419" s="85" t="str">
        <f>'Consumer Hardware Pricing'!AQ427</f>
        <v>-</v>
      </c>
      <c r="BM419" s="85" t="str">
        <f t="shared" si="893"/>
        <v>-</v>
      </c>
      <c r="BN419" s="85" t="str">
        <f t="shared" si="894"/>
        <v>-</v>
      </c>
      <c r="BO419" s="85" t="str">
        <f t="shared" si="908"/>
        <v>-</v>
      </c>
      <c r="BP419" s="85" t="str">
        <f>'Consumer Hardware Pricing'!AT427</f>
        <v>-</v>
      </c>
      <c r="BQ419" s="85" t="str">
        <f t="shared" si="1218"/>
        <v>-</v>
      </c>
      <c r="BR419" s="85" t="str">
        <f>'Consumer Hardware Pricing'!AU427</f>
        <v>-</v>
      </c>
      <c r="BS419" s="85" t="str">
        <f t="shared" si="895"/>
        <v>-</v>
      </c>
      <c r="BT419" s="85" t="str">
        <f t="shared" si="896"/>
        <v>-</v>
      </c>
      <c r="BU419" s="85" t="str">
        <f t="shared" si="909"/>
        <v>-</v>
      </c>
    </row>
    <row r="420" spans="1:73" s="131" customFormat="1" ht="30.15" customHeight="1" x14ac:dyDescent="0.25">
      <c r="A420" s="87" t="s">
        <v>34</v>
      </c>
      <c r="B420" s="140" t="s">
        <v>732</v>
      </c>
      <c r="C420" s="140" t="s">
        <v>733</v>
      </c>
      <c r="D420" s="85">
        <f>'Consumer Hardware Pricing'!L428</f>
        <v>1329</v>
      </c>
      <c r="E420" s="85">
        <f>'Consumer Hardware Pricing'!M428</f>
        <v>1329</v>
      </c>
      <c r="F420" s="85">
        <f>'Consumer Hardware Pricing'!N428</f>
        <v>0</v>
      </c>
      <c r="G420" s="85">
        <f t="shared" si="1168"/>
        <v>55.379999999999995</v>
      </c>
      <c r="H420" s="85">
        <f>'Consumer Hardware Pricing'!O428</f>
        <v>47.379999999999995</v>
      </c>
      <c r="I420" s="85">
        <f t="shared" si="885"/>
        <v>8</v>
      </c>
      <c r="J420" s="85">
        <f t="shared" si="897"/>
        <v>1137.1199999999999</v>
      </c>
      <c r="K420" s="85">
        <f t="shared" si="898"/>
        <v>192</v>
      </c>
      <c r="L420" s="85" t="str">
        <f>'Consumer Hardware Pricing'!Q428</f>
        <v>-</v>
      </c>
      <c r="M420" s="85" t="str">
        <f t="shared" si="1169"/>
        <v>-</v>
      </c>
      <c r="N420" s="85" t="str">
        <f t="shared" si="886"/>
        <v>-</v>
      </c>
      <c r="O420" s="85" t="str">
        <f t="shared" si="887"/>
        <v>-</v>
      </c>
      <c r="P420" s="85" t="str">
        <f t="shared" si="899"/>
        <v>-</v>
      </c>
      <c r="Q420" s="85">
        <f>'Consumer Hardware Pricing'!S428</f>
        <v>0</v>
      </c>
      <c r="R420" s="85">
        <f t="shared" si="888"/>
        <v>55.379999999999995</v>
      </c>
      <c r="S420" s="85">
        <f>'Consumer Hardware Pricing'!T428</f>
        <v>47.379999999999995</v>
      </c>
      <c r="T420" s="129">
        <f t="shared" si="900"/>
        <v>8</v>
      </c>
      <c r="U420" s="129">
        <f t="shared" si="901"/>
        <v>1137.1199999999999</v>
      </c>
      <c r="V420" s="85">
        <f t="shared" si="902"/>
        <v>192</v>
      </c>
      <c r="W420" s="129" t="str">
        <f>'Consumer Hardware Pricing'!V428</f>
        <v>-</v>
      </c>
      <c r="X420" s="129" t="str">
        <f t="shared" si="1170"/>
        <v>-</v>
      </c>
      <c r="Y420" s="129" t="str">
        <f t="shared" si="903"/>
        <v>-</v>
      </c>
      <c r="Z420" s="129" t="str">
        <f t="shared" si="904"/>
        <v>-</v>
      </c>
      <c r="AA420" s="85" t="str">
        <f t="shared" si="905"/>
        <v>-</v>
      </c>
      <c r="AB420" s="85">
        <f>'Consumer Hardware Pricing'!X428</f>
        <v>0</v>
      </c>
      <c r="AC420" s="85">
        <f t="shared" si="1211"/>
        <v>55.379999999999995</v>
      </c>
      <c r="AD420" s="85">
        <f>'Consumer Hardware Pricing'!Y428</f>
        <v>47.379999999999995</v>
      </c>
      <c r="AE420" s="85">
        <f t="shared" si="873"/>
        <v>8</v>
      </c>
      <c r="AF420" s="85">
        <f t="shared" si="874"/>
        <v>1137.1199999999999</v>
      </c>
      <c r="AG420" s="85">
        <f t="shared" si="875"/>
        <v>192</v>
      </c>
      <c r="AH420" s="85" t="str">
        <f>'Consumer Hardware Pricing'!AA428</f>
        <v>-</v>
      </c>
      <c r="AI420" s="85" t="str">
        <f t="shared" si="1212"/>
        <v>-</v>
      </c>
      <c r="AJ420" s="85" t="str">
        <f t="shared" si="876"/>
        <v>-</v>
      </c>
      <c r="AK420" s="85" t="str">
        <f t="shared" si="877"/>
        <v>-</v>
      </c>
      <c r="AL420" s="85" t="str">
        <f t="shared" si="878"/>
        <v>-</v>
      </c>
      <c r="AM420" s="85">
        <f>'Consumer Hardware Pricing'!AC428</f>
        <v>0</v>
      </c>
      <c r="AN420" s="85">
        <f t="shared" si="1213"/>
        <v>55.379999999999995</v>
      </c>
      <c r="AO420" s="85">
        <f>'Consumer Hardware Pricing'!AD428</f>
        <v>47.379999999999995</v>
      </c>
      <c r="AP420" s="85">
        <f t="shared" si="879"/>
        <v>8</v>
      </c>
      <c r="AQ420" s="85">
        <f t="shared" si="880"/>
        <v>1137.1199999999999</v>
      </c>
      <c r="AR420" s="85">
        <f t="shared" si="881"/>
        <v>192</v>
      </c>
      <c r="AS420" s="85" t="str">
        <f>'Consumer Hardware Pricing'!AF428</f>
        <v>-</v>
      </c>
      <c r="AT420" s="85" t="str">
        <f t="shared" si="1214"/>
        <v>-</v>
      </c>
      <c r="AU420" s="85" t="str">
        <f t="shared" si="882"/>
        <v>-</v>
      </c>
      <c r="AV420" s="85" t="str">
        <f t="shared" si="883"/>
        <v>-</v>
      </c>
      <c r="AW420" s="85" t="str">
        <f t="shared" si="884"/>
        <v>-</v>
      </c>
      <c r="AX420" s="85" t="str">
        <f>'Consumer Hardware Pricing'!AH428</f>
        <v>-</v>
      </c>
      <c r="AY420" s="85" t="str">
        <f t="shared" si="1215"/>
        <v>-</v>
      </c>
      <c r="AZ420" s="85" t="str">
        <f>'Consumer Hardware Pricing'!AI428</f>
        <v>-</v>
      </c>
      <c r="BA420" s="85" t="str">
        <f t="shared" si="889"/>
        <v>-</v>
      </c>
      <c r="BB420" s="85" t="str">
        <f t="shared" si="890"/>
        <v>-</v>
      </c>
      <c r="BC420" s="85" t="str">
        <f t="shared" si="906"/>
        <v>-</v>
      </c>
      <c r="BD420" s="85" t="str">
        <f>'Consumer Hardware Pricing'!AL428</f>
        <v>-</v>
      </c>
      <c r="BE420" s="85" t="str">
        <f t="shared" si="1216"/>
        <v>-</v>
      </c>
      <c r="BF420" s="85" t="str">
        <f>'Consumer Hardware Pricing'!AM428</f>
        <v>-</v>
      </c>
      <c r="BG420" s="85" t="str">
        <f t="shared" si="891"/>
        <v>-</v>
      </c>
      <c r="BH420" s="85" t="str">
        <f t="shared" si="892"/>
        <v>-</v>
      </c>
      <c r="BI420" s="85" t="str">
        <f t="shared" si="907"/>
        <v>-</v>
      </c>
      <c r="BJ420" s="85" t="str">
        <f>'Consumer Hardware Pricing'!AP428</f>
        <v>-</v>
      </c>
      <c r="BK420" s="85" t="str">
        <f t="shared" si="1217"/>
        <v>-</v>
      </c>
      <c r="BL420" s="85" t="str">
        <f>'Consumer Hardware Pricing'!AQ428</f>
        <v>-</v>
      </c>
      <c r="BM420" s="85" t="str">
        <f t="shared" si="893"/>
        <v>-</v>
      </c>
      <c r="BN420" s="85" t="str">
        <f t="shared" si="894"/>
        <v>-</v>
      </c>
      <c r="BO420" s="85" t="str">
        <f t="shared" si="908"/>
        <v>-</v>
      </c>
      <c r="BP420" s="85" t="str">
        <f>'Consumer Hardware Pricing'!AT428</f>
        <v>-</v>
      </c>
      <c r="BQ420" s="85" t="str">
        <f t="shared" si="1218"/>
        <v>-</v>
      </c>
      <c r="BR420" s="85" t="str">
        <f>'Consumer Hardware Pricing'!AU428</f>
        <v>-</v>
      </c>
      <c r="BS420" s="85" t="str">
        <f t="shared" si="895"/>
        <v>-</v>
      </c>
      <c r="BT420" s="85" t="str">
        <f t="shared" si="896"/>
        <v>-</v>
      </c>
      <c r="BU420" s="85" t="str">
        <f t="shared" si="909"/>
        <v>-</v>
      </c>
    </row>
    <row r="421" spans="1:73" s="131" customFormat="1" ht="30.15" customHeight="1" x14ac:dyDescent="0.25">
      <c r="A421" s="87" t="s">
        <v>34</v>
      </c>
      <c r="B421" s="140" t="s">
        <v>734</v>
      </c>
      <c r="C421" s="140" t="s">
        <v>733</v>
      </c>
      <c r="D421" s="85">
        <f>'Consumer Hardware Pricing'!L429</f>
        <v>1329</v>
      </c>
      <c r="E421" s="85">
        <f>'Consumer Hardware Pricing'!M429</f>
        <v>1329</v>
      </c>
      <c r="F421" s="85">
        <f>'Consumer Hardware Pricing'!N429</f>
        <v>0</v>
      </c>
      <c r="G421" s="85">
        <f t="shared" si="1168"/>
        <v>55.379999999999995</v>
      </c>
      <c r="H421" s="85">
        <f>'Consumer Hardware Pricing'!O429</f>
        <v>47.379999999999995</v>
      </c>
      <c r="I421" s="85">
        <f t="shared" si="885"/>
        <v>8</v>
      </c>
      <c r="J421" s="85">
        <f t="shared" si="897"/>
        <v>1137.1199999999999</v>
      </c>
      <c r="K421" s="85">
        <f t="shared" si="898"/>
        <v>192</v>
      </c>
      <c r="L421" s="85" t="str">
        <f>'Consumer Hardware Pricing'!Q429</f>
        <v>-</v>
      </c>
      <c r="M421" s="85" t="str">
        <f t="shared" si="1169"/>
        <v>-</v>
      </c>
      <c r="N421" s="85" t="str">
        <f t="shared" si="886"/>
        <v>-</v>
      </c>
      <c r="O421" s="85" t="str">
        <f t="shared" si="887"/>
        <v>-</v>
      </c>
      <c r="P421" s="85" t="str">
        <f t="shared" si="899"/>
        <v>-</v>
      </c>
      <c r="Q421" s="85">
        <f>'Consumer Hardware Pricing'!S429</f>
        <v>0</v>
      </c>
      <c r="R421" s="85">
        <f t="shared" si="888"/>
        <v>55.379999999999995</v>
      </c>
      <c r="S421" s="85">
        <f>'Consumer Hardware Pricing'!T429</f>
        <v>47.379999999999995</v>
      </c>
      <c r="T421" s="129">
        <f t="shared" si="900"/>
        <v>8</v>
      </c>
      <c r="U421" s="129">
        <f t="shared" si="901"/>
        <v>1137.1199999999999</v>
      </c>
      <c r="V421" s="85">
        <f t="shared" si="902"/>
        <v>192</v>
      </c>
      <c r="W421" s="129" t="str">
        <f>'Consumer Hardware Pricing'!V429</f>
        <v>-</v>
      </c>
      <c r="X421" s="129" t="str">
        <f t="shared" si="1170"/>
        <v>-</v>
      </c>
      <c r="Y421" s="129" t="str">
        <f t="shared" si="903"/>
        <v>-</v>
      </c>
      <c r="Z421" s="129" t="str">
        <f t="shared" si="904"/>
        <v>-</v>
      </c>
      <c r="AA421" s="85" t="str">
        <f t="shared" si="905"/>
        <v>-</v>
      </c>
      <c r="AB421" s="85">
        <f>'Consumer Hardware Pricing'!X429</f>
        <v>0</v>
      </c>
      <c r="AC421" s="85">
        <f t="shared" si="1211"/>
        <v>55.379999999999995</v>
      </c>
      <c r="AD421" s="85">
        <f>'Consumer Hardware Pricing'!Y429</f>
        <v>47.379999999999995</v>
      </c>
      <c r="AE421" s="85">
        <f t="shared" si="873"/>
        <v>8</v>
      </c>
      <c r="AF421" s="85">
        <f t="shared" si="874"/>
        <v>1137.1199999999999</v>
      </c>
      <c r="AG421" s="85">
        <f t="shared" si="875"/>
        <v>192</v>
      </c>
      <c r="AH421" s="85" t="str">
        <f>'Consumer Hardware Pricing'!AA429</f>
        <v>-</v>
      </c>
      <c r="AI421" s="85" t="str">
        <f t="shared" si="1212"/>
        <v>-</v>
      </c>
      <c r="AJ421" s="85" t="str">
        <f t="shared" si="876"/>
        <v>-</v>
      </c>
      <c r="AK421" s="85" t="str">
        <f t="shared" si="877"/>
        <v>-</v>
      </c>
      <c r="AL421" s="85" t="str">
        <f t="shared" si="878"/>
        <v>-</v>
      </c>
      <c r="AM421" s="85">
        <f>'Consumer Hardware Pricing'!AC429</f>
        <v>0</v>
      </c>
      <c r="AN421" s="85">
        <f t="shared" si="1213"/>
        <v>55.379999999999995</v>
      </c>
      <c r="AO421" s="85">
        <f>'Consumer Hardware Pricing'!AD429</f>
        <v>47.379999999999995</v>
      </c>
      <c r="AP421" s="85">
        <f t="shared" si="879"/>
        <v>8</v>
      </c>
      <c r="AQ421" s="85">
        <f t="shared" si="880"/>
        <v>1137.1199999999999</v>
      </c>
      <c r="AR421" s="85">
        <f t="shared" si="881"/>
        <v>192</v>
      </c>
      <c r="AS421" s="85" t="str">
        <f>'Consumer Hardware Pricing'!AF429</f>
        <v>-</v>
      </c>
      <c r="AT421" s="85" t="str">
        <f t="shared" si="1214"/>
        <v>-</v>
      </c>
      <c r="AU421" s="85" t="str">
        <f t="shared" si="882"/>
        <v>-</v>
      </c>
      <c r="AV421" s="85" t="str">
        <f t="shared" si="883"/>
        <v>-</v>
      </c>
      <c r="AW421" s="85" t="str">
        <f t="shared" si="884"/>
        <v>-</v>
      </c>
      <c r="AX421" s="85" t="str">
        <f>'Consumer Hardware Pricing'!AH429</f>
        <v>-</v>
      </c>
      <c r="AY421" s="85" t="str">
        <f t="shared" si="1215"/>
        <v>-</v>
      </c>
      <c r="AZ421" s="85" t="str">
        <f>'Consumer Hardware Pricing'!AI429</f>
        <v>-</v>
      </c>
      <c r="BA421" s="85" t="str">
        <f t="shared" si="889"/>
        <v>-</v>
      </c>
      <c r="BB421" s="85" t="str">
        <f t="shared" si="890"/>
        <v>-</v>
      </c>
      <c r="BC421" s="85" t="str">
        <f t="shared" si="906"/>
        <v>-</v>
      </c>
      <c r="BD421" s="85" t="str">
        <f>'Consumer Hardware Pricing'!AL429</f>
        <v>-</v>
      </c>
      <c r="BE421" s="85" t="str">
        <f t="shared" si="1216"/>
        <v>-</v>
      </c>
      <c r="BF421" s="85" t="str">
        <f>'Consumer Hardware Pricing'!AM429</f>
        <v>-</v>
      </c>
      <c r="BG421" s="85" t="str">
        <f t="shared" si="891"/>
        <v>-</v>
      </c>
      <c r="BH421" s="85" t="str">
        <f t="shared" si="892"/>
        <v>-</v>
      </c>
      <c r="BI421" s="85" t="str">
        <f t="shared" si="907"/>
        <v>-</v>
      </c>
      <c r="BJ421" s="85" t="str">
        <f>'Consumer Hardware Pricing'!AP429</f>
        <v>-</v>
      </c>
      <c r="BK421" s="85" t="str">
        <f t="shared" si="1217"/>
        <v>-</v>
      </c>
      <c r="BL421" s="85" t="str">
        <f>'Consumer Hardware Pricing'!AQ429</f>
        <v>-</v>
      </c>
      <c r="BM421" s="85" t="str">
        <f t="shared" si="893"/>
        <v>-</v>
      </c>
      <c r="BN421" s="85" t="str">
        <f t="shared" si="894"/>
        <v>-</v>
      </c>
      <c r="BO421" s="85" t="str">
        <f t="shared" si="908"/>
        <v>-</v>
      </c>
      <c r="BP421" s="85" t="str">
        <f>'Consumer Hardware Pricing'!AT429</f>
        <v>-</v>
      </c>
      <c r="BQ421" s="85" t="str">
        <f t="shared" si="1218"/>
        <v>-</v>
      </c>
      <c r="BR421" s="85" t="str">
        <f>'Consumer Hardware Pricing'!AU429</f>
        <v>-</v>
      </c>
      <c r="BS421" s="85" t="str">
        <f t="shared" si="895"/>
        <v>-</v>
      </c>
      <c r="BT421" s="85" t="str">
        <f t="shared" si="896"/>
        <v>-</v>
      </c>
      <c r="BU421" s="85" t="str">
        <f t="shared" si="909"/>
        <v>-</v>
      </c>
    </row>
    <row r="422" spans="1:73" s="131" customFormat="1" ht="30.15" customHeight="1" x14ac:dyDescent="0.25">
      <c r="A422" s="87" t="s">
        <v>34</v>
      </c>
      <c r="B422" s="140" t="s">
        <v>735</v>
      </c>
      <c r="C422" s="140" t="s">
        <v>736</v>
      </c>
      <c r="D422" s="85">
        <f>'Consumer Hardware Pricing'!L430</f>
        <v>1499</v>
      </c>
      <c r="E422" s="85">
        <f>'Consumer Hardware Pricing'!M430</f>
        <v>1499</v>
      </c>
      <c r="F422" s="85">
        <f>'Consumer Hardware Pricing'!N430</f>
        <v>0</v>
      </c>
      <c r="G422" s="85">
        <f t="shared" si="1168"/>
        <v>62.46</v>
      </c>
      <c r="H422" s="85">
        <f>'Consumer Hardware Pricing'!O430</f>
        <v>52.46</v>
      </c>
      <c r="I422" s="85">
        <f t="shared" si="885"/>
        <v>10</v>
      </c>
      <c r="J422" s="85">
        <f t="shared" si="897"/>
        <v>1259.04</v>
      </c>
      <c r="K422" s="85">
        <f t="shared" si="898"/>
        <v>240</v>
      </c>
      <c r="L422" s="85" t="str">
        <f>'Consumer Hardware Pricing'!Q430</f>
        <v>-</v>
      </c>
      <c r="M422" s="85" t="str">
        <f t="shared" si="1169"/>
        <v>-</v>
      </c>
      <c r="N422" s="85" t="str">
        <f t="shared" si="886"/>
        <v>-</v>
      </c>
      <c r="O422" s="85" t="str">
        <f t="shared" si="887"/>
        <v>-</v>
      </c>
      <c r="P422" s="85" t="str">
        <f t="shared" si="899"/>
        <v>-</v>
      </c>
      <c r="Q422" s="85">
        <f>'Consumer Hardware Pricing'!S430</f>
        <v>0</v>
      </c>
      <c r="R422" s="85">
        <f t="shared" si="888"/>
        <v>62.46</v>
      </c>
      <c r="S422" s="85">
        <f>'Consumer Hardware Pricing'!T430</f>
        <v>52.46</v>
      </c>
      <c r="T422" s="129">
        <f t="shared" si="900"/>
        <v>10</v>
      </c>
      <c r="U422" s="129">
        <f t="shared" si="901"/>
        <v>1259.04</v>
      </c>
      <c r="V422" s="85">
        <f t="shared" si="902"/>
        <v>240</v>
      </c>
      <c r="W422" s="129" t="str">
        <f>'Consumer Hardware Pricing'!V430</f>
        <v>-</v>
      </c>
      <c r="X422" s="129" t="str">
        <f t="shared" si="1170"/>
        <v>-</v>
      </c>
      <c r="Y422" s="129" t="str">
        <f t="shared" si="903"/>
        <v>-</v>
      </c>
      <c r="Z422" s="129" t="str">
        <f t="shared" si="904"/>
        <v>-</v>
      </c>
      <c r="AA422" s="85" t="str">
        <f t="shared" si="905"/>
        <v>-</v>
      </c>
      <c r="AB422" s="85">
        <f>'Consumer Hardware Pricing'!X430</f>
        <v>0</v>
      </c>
      <c r="AC422" s="85">
        <f t="shared" si="1211"/>
        <v>62.46</v>
      </c>
      <c r="AD422" s="85">
        <f>'Consumer Hardware Pricing'!Y430</f>
        <v>52.46</v>
      </c>
      <c r="AE422" s="85">
        <f t="shared" si="873"/>
        <v>10</v>
      </c>
      <c r="AF422" s="85">
        <f t="shared" si="874"/>
        <v>1259.04</v>
      </c>
      <c r="AG422" s="85">
        <f t="shared" si="875"/>
        <v>240</v>
      </c>
      <c r="AH422" s="85" t="str">
        <f>'Consumer Hardware Pricing'!AA430</f>
        <v>-</v>
      </c>
      <c r="AI422" s="85" t="str">
        <f t="shared" si="1212"/>
        <v>-</v>
      </c>
      <c r="AJ422" s="85" t="str">
        <f t="shared" si="876"/>
        <v>-</v>
      </c>
      <c r="AK422" s="85" t="str">
        <f t="shared" si="877"/>
        <v>-</v>
      </c>
      <c r="AL422" s="85" t="str">
        <f t="shared" si="878"/>
        <v>-</v>
      </c>
      <c r="AM422" s="85">
        <f>'Consumer Hardware Pricing'!AC430</f>
        <v>0</v>
      </c>
      <c r="AN422" s="85">
        <f t="shared" si="1213"/>
        <v>62.46</v>
      </c>
      <c r="AO422" s="85">
        <f>'Consumer Hardware Pricing'!AD430</f>
        <v>52.46</v>
      </c>
      <c r="AP422" s="85">
        <f t="shared" si="879"/>
        <v>10</v>
      </c>
      <c r="AQ422" s="85">
        <f t="shared" si="880"/>
        <v>1259.04</v>
      </c>
      <c r="AR422" s="85">
        <f t="shared" si="881"/>
        <v>240</v>
      </c>
      <c r="AS422" s="85" t="str">
        <f>'Consumer Hardware Pricing'!AF430</f>
        <v>-</v>
      </c>
      <c r="AT422" s="85" t="str">
        <f t="shared" si="1214"/>
        <v>-</v>
      </c>
      <c r="AU422" s="85" t="str">
        <f t="shared" si="882"/>
        <v>-</v>
      </c>
      <c r="AV422" s="85" t="str">
        <f t="shared" si="883"/>
        <v>-</v>
      </c>
      <c r="AW422" s="85" t="str">
        <f t="shared" si="884"/>
        <v>-</v>
      </c>
      <c r="AX422" s="85" t="str">
        <f>'Consumer Hardware Pricing'!AH430</f>
        <v>-</v>
      </c>
      <c r="AY422" s="85" t="str">
        <f t="shared" si="1215"/>
        <v>-</v>
      </c>
      <c r="AZ422" s="85" t="str">
        <f>'Consumer Hardware Pricing'!AI430</f>
        <v>-</v>
      </c>
      <c r="BA422" s="85" t="str">
        <f t="shared" si="889"/>
        <v>-</v>
      </c>
      <c r="BB422" s="85" t="str">
        <f t="shared" si="890"/>
        <v>-</v>
      </c>
      <c r="BC422" s="85" t="str">
        <f t="shared" si="906"/>
        <v>-</v>
      </c>
      <c r="BD422" s="85" t="str">
        <f>'Consumer Hardware Pricing'!AL430</f>
        <v>-</v>
      </c>
      <c r="BE422" s="85" t="str">
        <f t="shared" si="1216"/>
        <v>-</v>
      </c>
      <c r="BF422" s="85" t="str">
        <f>'Consumer Hardware Pricing'!AM430</f>
        <v>-</v>
      </c>
      <c r="BG422" s="85" t="str">
        <f t="shared" si="891"/>
        <v>-</v>
      </c>
      <c r="BH422" s="85" t="str">
        <f t="shared" si="892"/>
        <v>-</v>
      </c>
      <c r="BI422" s="85" t="str">
        <f t="shared" si="907"/>
        <v>-</v>
      </c>
      <c r="BJ422" s="85" t="str">
        <f>'Consumer Hardware Pricing'!AP430</f>
        <v>-</v>
      </c>
      <c r="BK422" s="85" t="str">
        <f t="shared" si="1217"/>
        <v>-</v>
      </c>
      <c r="BL422" s="85" t="str">
        <f>'Consumer Hardware Pricing'!AQ430</f>
        <v>-</v>
      </c>
      <c r="BM422" s="85" t="str">
        <f t="shared" si="893"/>
        <v>-</v>
      </c>
      <c r="BN422" s="85" t="str">
        <f t="shared" si="894"/>
        <v>-</v>
      </c>
      <c r="BO422" s="85" t="str">
        <f t="shared" si="908"/>
        <v>-</v>
      </c>
      <c r="BP422" s="85" t="str">
        <f>'Consumer Hardware Pricing'!AT430</f>
        <v>-</v>
      </c>
      <c r="BQ422" s="85" t="str">
        <f t="shared" si="1218"/>
        <v>-</v>
      </c>
      <c r="BR422" s="85" t="str">
        <f>'Consumer Hardware Pricing'!AU430</f>
        <v>-</v>
      </c>
      <c r="BS422" s="85" t="str">
        <f t="shared" si="895"/>
        <v>-</v>
      </c>
      <c r="BT422" s="85" t="str">
        <f t="shared" si="896"/>
        <v>-</v>
      </c>
      <c r="BU422" s="85" t="str">
        <f t="shared" si="909"/>
        <v>-</v>
      </c>
    </row>
    <row r="423" spans="1:73" s="131" customFormat="1" ht="30.15" customHeight="1" x14ac:dyDescent="0.25">
      <c r="A423" s="87" t="s">
        <v>34</v>
      </c>
      <c r="B423" s="140" t="s">
        <v>737</v>
      </c>
      <c r="C423" s="140" t="s">
        <v>736</v>
      </c>
      <c r="D423" s="85">
        <f>'Consumer Hardware Pricing'!L431</f>
        <v>1499</v>
      </c>
      <c r="E423" s="85">
        <f>'Consumer Hardware Pricing'!M431</f>
        <v>1499</v>
      </c>
      <c r="F423" s="85">
        <f>'Consumer Hardware Pricing'!N431</f>
        <v>0</v>
      </c>
      <c r="G423" s="85">
        <f t="shared" si="1168"/>
        <v>62.46</v>
      </c>
      <c r="H423" s="85">
        <f>'Consumer Hardware Pricing'!O431</f>
        <v>52.46</v>
      </c>
      <c r="I423" s="85">
        <f t="shared" si="885"/>
        <v>10</v>
      </c>
      <c r="J423" s="85">
        <f t="shared" si="897"/>
        <v>1259.04</v>
      </c>
      <c r="K423" s="85">
        <f t="shared" si="898"/>
        <v>240</v>
      </c>
      <c r="L423" s="85" t="str">
        <f>'Consumer Hardware Pricing'!Q431</f>
        <v>-</v>
      </c>
      <c r="M423" s="85" t="str">
        <f t="shared" si="1169"/>
        <v>-</v>
      </c>
      <c r="N423" s="85" t="str">
        <f t="shared" si="886"/>
        <v>-</v>
      </c>
      <c r="O423" s="85" t="str">
        <f t="shared" si="887"/>
        <v>-</v>
      </c>
      <c r="P423" s="85" t="str">
        <f t="shared" si="899"/>
        <v>-</v>
      </c>
      <c r="Q423" s="85">
        <f>'Consumer Hardware Pricing'!S431</f>
        <v>0</v>
      </c>
      <c r="R423" s="85">
        <f t="shared" si="888"/>
        <v>62.46</v>
      </c>
      <c r="S423" s="85">
        <f>'Consumer Hardware Pricing'!T431</f>
        <v>52.46</v>
      </c>
      <c r="T423" s="129">
        <f t="shared" si="900"/>
        <v>10</v>
      </c>
      <c r="U423" s="129">
        <f t="shared" si="901"/>
        <v>1259.04</v>
      </c>
      <c r="V423" s="85">
        <f t="shared" si="902"/>
        <v>240</v>
      </c>
      <c r="W423" s="129" t="str">
        <f>'Consumer Hardware Pricing'!V431</f>
        <v>-</v>
      </c>
      <c r="X423" s="129" t="str">
        <f t="shared" si="1170"/>
        <v>-</v>
      </c>
      <c r="Y423" s="129" t="str">
        <f t="shared" si="903"/>
        <v>-</v>
      </c>
      <c r="Z423" s="129" t="str">
        <f t="shared" si="904"/>
        <v>-</v>
      </c>
      <c r="AA423" s="85" t="str">
        <f t="shared" si="905"/>
        <v>-</v>
      </c>
      <c r="AB423" s="85">
        <f>'Consumer Hardware Pricing'!X431</f>
        <v>0</v>
      </c>
      <c r="AC423" s="85">
        <f t="shared" si="1211"/>
        <v>62.46</v>
      </c>
      <c r="AD423" s="85">
        <f>'Consumer Hardware Pricing'!Y431</f>
        <v>52.46</v>
      </c>
      <c r="AE423" s="85">
        <f t="shared" si="873"/>
        <v>10</v>
      </c>
      <c r="AF423" s="85">
        <f t="shared" si="874"/>
        <v>1259.04</v>
      </c>
      <c r="AG423" s="85">
        <f t="shared" si="875"/>
        <v>240</v>
      </c>
      <c r="AH423" s="85" t="str">
        <f>'Consumer Hardware Pricing'!AA431</f>
        <v>-</v>
      </c>
      <c r="AI423" s="85" t="str">
        <f t="shared" si="1212"/>
        <v>-</v>
      </c>
      <c r="AJ423" s="85" t="str">
        <f t="shared" si="876"/>
        <v>-</v>
      </c>
      <c r="AK423" s="85" t="str">
        <f t="shared" si="877"/>
        <v>-</v>
      </c>
      <c r="AL423" s="85" t="str">
        <f t="shared" si="878"/>
        <v>-</v>
      </c>
      <c r="AM423" s="85">
        <f>'Consumer Hardware Pricing'!AC431</f>
        <v>0</v>
      </c>
      <c r="AN423" s="85">
        <f t="shared" si="1213"/>
        <v>62.46</v>
      </c>
      <c r="AO423" s="85">
        <f>'Consumer Hardware Pricing'!AD431</f>
        <v>52.46</v>
      </c>
      <c r="AP423" s="85">
        <f t="shared" si="879"/>
        <v>10</v>
      </c>
      <c r="AQ423" s="85">
        <f t="shared" si="880"/>
        <v>1259.04</v>
      </c>
      <c r="AR423" s="85">
        <f t="shared" si="881"/>
        <v>240</v>
      </c>
      <c r="AS423" s="85" t="str">
        <f>'Consumer Hardware Pricing'!AF431</f>
        <v>-</v>
      </c>
      <c r="AT423" s="85" t="str">
        <f t="shared" si="1214"/>
        <v>-</v>
      </c>
      <c r="AU423" s="85" t="str">
        <f t="shared" si="882"/>
        <v>-</v>
      </c>
      <c r="AV423" s="85" t="str">
        <f t="shared" si="883"/>
        <v>-</v>
      </c>
      <c r="AW423" s="85" t="str">
        <f t="shared" si="884"/>
        <v>-</v>
      </c>
      <c r="AX423" s="85" t="str">
        <f>'Consumer Hardware Pricing'!AH431</f>
        <v>-</v>
      </c>
      <c r="AY423" s="85" t="str">
        <f t="shared" si="1215"/>
        <v>-</v>
      </c>
      <c r="AZ423" s="85" t="str">
        <f>'Consumer Hardware Pricing'!AI431</f>
        <v>-</v>
      </c>
      <c r="BA423" s="85" t="str">
        <f t="shared" si="889"/>
        <v>-</v>
      </c>
      <c r="BB423" s="85" t="str">
        <f t="shared" si="890"/>
        <v>-</v>
      </c>
      <c r="BC423" s="85" t="str">
        <f t="shared" si="906"/>
        <v>-</v>
      </c>
      <c r="BD423" s="85" t="str">
        <f>'Consumer Hardware Pricing'!AL431</f>
        <v>-</v>
      </c>
      <c r="BE423" s="85" t="str">
        <f t="shared" si="1216"/>
        <v>-</v>
      </c>
      <c r="BF423" s="85" t="str">
        <f>'Consumer Hardware Pricing'!AM431</f>
        <v>-</v>
      </c>
      <c r="BG423" s="85" t="str">
        <f t="shared" si="891"/>
        <v>-</v>
      </c>
      <c r="BH423" s="85" t="str">
        <f t="shared" si="892"/>
        <v>-</v>
      </c>
      <c r="BI423" s="85" t="str">
        <f t="shared" si="907"/>
        <v>-</v>
      </c>
      <c r="BJ423" s="85" t="str">
        <f>'Consumer Hardware Pricing'!AP431</f>
        <v>-</v>
      </c>
      <c r="BK423" s="85" t="str">
        <f t="shared" si="1217"/>
        <v>-</v>
      </c>
      <c r="BL423" s="85" t="str">
        <f>'Consumer Hardware Pricing'!AQ431</f>
        <v>-</v>
      </c>
      <c r="BM423" s="85" t="str">
        <f t="shared" si="893"/>
        <v>-</v>
      </c>
      <c r="BN423" s="85" t="str">
        <f t="shared" si="894"/>
        <v>-</v>
      </c>
      <c r="BO423" s="85" t="str">
        <f t="shared" si="908"/>
        <v>-</v>
      </c>
      <c r="BP423" s="85" t="str">
        <f>'Consumer Hardware Pricing'!AT431</f>
        <v>-</v>
      </c>
      <c r="BQ423" s="85" t="str">
        <f t="shared" si="1218"/>
        <v>-</v>
      </c>
      <c r="BR423" s="85" t="str">
        <f>'Consumer Hardware Pricing'!AU431</f>
        <v>-</v>
      </c>
      <c r="BS423" s="85" t="str">
        <f t="shared" si="895"/>
        <v>-</v>
      </c>
      <c r="BT423" s="85" t="str">
        <f t="shared" si="896"/>
        <v>-</v>
      </c>
      <c r="BU423" s="85" t="str">
        <f t="shared" si="909"/>
        <v>-</v>
      </c>
    </row>
    <row r="424" spans="1:73" s="131" customFormat="1" ht="30.15" customHeight="1" x14ac:dyDescent="0.25">
      <c r="A424" s="87" t="s">
        <v>34</v>
      </c>
      <c r="B424" s="140" t="s">
        <v>932</v>
      </c>
      <c r="C424" s="140" t="s">
        <v>933</v>
      </c>
      <c r="D424" s="85">
        <f>'Consumer Hardware Pricing'!L432</f>
        <v>560</v>
      </c>
      <c r="E424" s="85">
        <f>'Consumer Hardware Pricing'!M432</f>
        <v>560</v>
      </c>
      <c r="F424" s="85">
        <f>'Consumer Hardware Pricing'!N432</f>
        <v>0</v>
      </c>
      <c r="G424" s="85">
        <f t="shared" si="1168"/>
        <v>23.34</v>
      </c>
      <c r="H424" s="85">
        <f>'Consumer Hardware Pricing'!O432</f>
        <v>3.38</v>
      </c>
      <c r="I424" s="85">
        <f t="shared" ref="I424" si="1315">IF(H424="-",G424,G424-H424)</f>
        <v>19.96</v>
      </c>
      <c r="J424" s="85">
        <f t="shared" ref="J424" si="1316">IF(H424="-",H424,H424*24)</f>
        <v>81.12</v>
      </c>
      <c r="K424" s="85">
        <f t="shared" ref="K424" si="1317">IF(F424="-",F424,I424*24)</f>
        <v>479.04</v>
      </c>
      <c r="L424" s="85" t="str">
        <f>'Consumer Hardware Pricing'!Q432</f>
        <v>-</v>
      </c>
      <c r="M424" s="85" t="str">
        <f t="shared" si="1169"/>
        <v>-</v>
      </c>
      <c r="N424" s="85" t="str">
        <f t="shared" ref="N424" si="1318">IF(L424="-",L424,G424-M424)</f>
        <v>-</v>
      </c>
      <c r="O424" s="85" t="str">
        <f t="shared" ref="O424" si="1319">IF(L424="-",L424,M424*24)</f>
        <v>-</v>
      </c>
      <c r="P424" s="85" t="str">
        <f t="shared" ref="P424" si="1320">IF(L424="-",L424,N424*24)</f>
        <v>-</v>
      </c>
      <c r="Q424" s="85">
        <f>'Consumer Hardware Pricing'!S432</f>
        <v>0</v>
      </c>
      <c r="R424" s="85">
        <f t="shared" ref="R424" si="1321">G424</f>
        <v>23.34</v>
      </c>
      <c r="S424" s="85">
        <f>'Consumer Hardware Pricing'!T432</f>
        <v>3.38</v>
      </c>
      <c r="T424" s="129">
        <f t="shared" ref="T424" si="1322">IF(S424="-",R424,R424-S424)</f>
        <v>19.96</v>
      </c>
      <c r="U424" s="129">
        <f t="shared" ref="U424" si="1323">IF(S424="-",S424,S424*24)</f>
        <v>81.12</v>
      </c>
      <c r="V424" s="85">
        <f t="shared" ref="V424" si="1324">IF(Q424="-",Q424,T424*24)</f>
        <v>479.04</v>
      </c>
      <c r="W424" s="129" t="str">
        <f>'Consumer Hardware Pricing'!V432</f>
        <v>-</v>
      </c>
      <c r="X424" s="129" t="str">
        <f t="shared" si="1170"/>
        <v>-</v>
      </c>
      <c r="Y424" s="129" t="str">
        <f t="shared" ref="Y424" si="1325">IF(W424="-",W424,R424-X424)</f>
        <v>-</v>
      </c>
      <c r="Z424" s="129" t="str">
        <f t="shared" ref="Z424" si="1326">IF(W424="-",W424,X424*24)</f>
        <v>-</v>
      </c>
      <c r="AA424" s="85" t="str">
        <f t="shared" ref="AA424" si="1327">IF(W424="-",W424,Y424*24)</f>
        <v>-</v>
      </c>
      <c r="AB424" s="85">
        <f>'Consumer Hardware Pricing'!X432</f>
        <v>0</v>
      </c>
      <c r="AC424" s="85">
        <f t="shared" si="1211"/>
        <v>23.34</v>
      </c>
      <c r="AD424" s="85">
        <f>'Consumer Hardware Pricing'!Y432</f>
        <v>3.38</v>
      </c>
      <c r="AE424" s="85">
        <f t="shared" si="873"/>
        <v>19.96</v>
      </c>
      <c r="AF424" s="85">
        <f t="shared" si="874"/>
        <v>81.12</v>
      </c>
      <c r="AG424" s="85">
        <f t="shared" si="875"/>
        <v>479.04</v>
      </c>
      <c r="AH424" s="85" t="str">
        <f>'Consumer Hardware Pricing'!AA432</f>
        <v>-</v>
      </c>
      <c r="AI424" s="85" t="str">
        <f t="shared" si="1212"/>
        <v>-</v>
      </c>
      <c r="AJ424" s="85" t="str">
        <f t="shared" si="876"/>
        <v>-</v>
      </c>
      <c r="AK424" s="85" t="str">
        <f t="shared" si="877"/>
        <v>-</v>
      </c>
      <c r="AL424" s="85" t="str">
        <f t="shared" si="878"/>
        <v>-</v>
      </c>
      <c r="AM424" s="85">
        <f>'Consumer Hardware Pricing'!AC432</f>
        <v>0</v>
      </c>
      <c r="AN424" s="85">
        <f t="shared" si="1213"/>
        <v>23.34</v>
      </c>
      <c r="AO424" s="85">
        <f>'Consumer Hardware Pricing'!AD432</f>
        <v>3.38</v>
      </c>
      <c r="AP424" s="85">
        <f t="shared" si="879"/>
        <v>19.96</v>
      </c>
      <c r="AQ424" s="85">
        <f t="shared" si="880"/>
        <v>81.12</v>
      </c>
      <c r="AR424" s="85">
        <f t="shared" si="881"/>
        <v>479.04</v>
      </c>
      <c r="AS424" s="85" t="str">
        <f>'Consumer Hardware Pricing'!AF432</f>
        <v>-</v>
      </c>
      <c r="AT424" s="85" t="str">
        <f t="shared" si="1214"/>
        <v>-</v>
      </c>
      <c r="AU424" s="85" t="str">
        <f t="shared" si="882"/>
        <v>-</v>
      </c>
      <c r="AV424" s="85" t="str">
        <f t="shared" si="883"/>
        <v>-</v>
      </c>
      <c r="AW424" s="85" t="str">
        <f t="shared" si="884"/>
        <v>-</v>
      </c>
      <c r="AX424" s="85" t="str">
        <f>'Consumer Hardware Pricing'!AH432</f>
        <v>-</v>
      </c>
      <c r="AY424" s="85" t="str">
        <f t="shared" si="1215"/>
        <v>-</v>
      </c>
      <c r="AZ424" s="85" t="str">
        <f>'Consumer Hardware Pricing'!AI432</f>
        <v>-</v>
      </c>
      <c r="BA424" s="85" t="str">
        <f t="shared" ref="BA424" si="1328">IF(AZ424="-",AY424,AY424-AZ424)</f>
        <v>-</v>
      </c>
      <c r="BB424" s="85" t="str">
        <f t="shared" ref="BB424" si="1329">IF(AZ424="-",AZ424,AZ424*24)</f>
        <v>-</v>
      </c>
      <c r="BC424" s="85" t="str">
        <f t="shared" ref="BC424" si="1330">IF(AX424="-",AX424,AX424+(BA424*24))</f>
        <v>-</v>
      </c>
      <c r="BD424" s="85" t="str">
        <f>'Consumer Hardware Pricing'!AL432</f>
        <v>-</v>
      </c>
      <c r="BE424" s="85" t="str">
        <f t="shared" si="1216"/>
        <v>-</v>
      </c>
      <c r="BF424" s="85" t="str">
        <f>'Consumer Hardware Pricing'!AM432</f>
        <v>-</v>
      </c>
      <c r="BG424" s="85" t="str">
        <f t="shared" ref="BG424" si="1331">IF(BF424="-",BE424,BE424-BF424)</f>
        <v>-</v>
      </c>
      <c r="BH424" s="85" t="str">
        <f t="shared" ref="BH424" si="1332">IF(BF424="-",BF424,BF424*24)</f>
        <v>-</v>
      </c>
      <c r="BI424" s="85" t="str">
        <f t="shared" ref="BI424" si="1333">IF(BD424="-",BD424,BD424+(BG424*24))</f>
        <v>-</v>
      </c>
      <c r="BJ424" s="85" t="str">
        <f>'Consumer Hardware Pricing'!AP432</f>
        <v>-</v>
      </c>
      <c r="BK424" s="85" t="str">
        <f t="shared" si="1217"/>
        <v>-</v>
      </c>
      <c r="BL424" s="85" t="str">
        <f>'Consumer Hardware Pricing'!AQ432</f>
        <v>-</v>
      </c>
      <c r="BM424" s="85" t="str">
        <f t="shared" ref="BM424" si="1334">IF(BL424="-",BK424,BK424-BL424)</f>
        <v>-</v>
      </c>
      <c r="BN424" s="85" t="str">
        <f t="shared" ref="BN424" si="1335">IF(BL424="-",BL424,BL424*24)</f>
        <v>-</v>
      </c>
      <c r="BO424" s="85" t="str">
        <f t="shared" ref="BO424" si="1336">IF(BJ424="-",BJ424,BJ424+(BM424*24))</f>
        <v>-</v>
      </c>
      <c r="BP424" s="85" t="str">
        <f>'Consumer Hardware Pricing'!AT432</f>
        <v>-</v>
      </c>
      <c r="BQ424" s="85" t="str">
        <f t="shared" si="1218"/>
        <v>-</v>
      </c>
      <c r="BR424" s="85" t="str">
        <f>'Consumer Hardware Pricing'!AU432</f>
        <v>-</v>
      </c>
      <c r="BS424" s="85" t="str">
        <f t="shared" ref="BS424" si="1337">IF(BR424="-",BQ424,BQ424-BR424)</f>
        <v>-</v>
      </c>
      <c r="BT424" s="85" t="str">
        <f t="shared" ref="BT424" si="1338">IF(BR424="-",BR424,BR424*24)</f>
        <v>-</v>
      </c>
      <c r="BU424" s="85" t="str">
        <f t="shared" ref="BU424" si="1339">IF(BP424="-",BP424,BP424+(BS424*24))</f>
        <v>-</v>
      </c>
    </row>
    <row r="425" spans="1:73" s="131" customFormat="1" ht="30.15" customHeight="1" x14ac:dyDescent="0.25">
      <c r="A425" s="87" t="s">
        <v>34</v>
      </c>
      <c r="B425" s="140" t="s">
        <v>1151</v>
      </c>
      <c r="C425" s="140" t="s">
        <v>1152</v>
      </c>
      <c r="D425" s="85">
        <f>'Consumer Hardware Pricing'!L433</f>
        <v>800</v>
      </c>
      <c r="E425" s="85">
        <f>'Consumer Hardware Pricing'!M433</f>
        <v>800</v>
      </c>
      <c r="F425" s="85">
        <f>'Consumer Hardware Pricing'!N433</f>
        <v>0</v>
      </c>
      <c r="G425" s="85">
        <f t="shared" si="1168"/>
        <v>33.339999999999996</v>
      </c>
      <c r="H425" s="85">
        <f>'Consumer Hardware Pricing'!O433</f>
        <v>5.05</v>
      </c>
      <c r="I425" s="85">
        <f t="shared" ref="I425" si="1340">IF(H425="-",G425,G425-H425)</f>
        <v>28.289999999999996</v>
      </c>
      <c r="J425" s="85">
        <f t="shared" ref="J425" si="1341">IF(H425="-",H425,H425*24)</f>
        <v>121.19999999999999</v>
      </c>
      <c r="K425" s="85">
        <f t="shared" ref="K425" si="1342">IF(F425="-",F425,I425*24)</f>
        <v>678.95999999999992</v>
      </c>
      <c r="L425" s="85" t="str">
        <f>'Consumer Hardware Pricing'!Q433</f>
        <v>-</v>
      </c>
      <c r="M425" s="85" t="str">
        <f t="shared" si="1169"/>
        <v>-</v>
      </c>
      <c r="N425" s="85" t="str">
        <f t="shared" ref="N425" si="1343">IF(L425="-",L425,G425-M425)</f>
        <v>-</v>
      </c>
      <c r="O425" s="85" t="str">
        <f t="shared" ref="O425" si="1344">IF(L425="-",L425,M425*24)</f>
        <v>-</v>
      </c>
      <c r="P425" s="85" t="str">
        <f t="shared" ref="P425" si="1345">IF(L425="-",L425,N425*24)</f>
        <v>-</v>
      </c>
      <c r="Q425" s="85">
        <f>'Consumer Hardware Pricing'!S433</f>
        <v>0</v>
      </c>
      <c r="R425" s="85">
        <f t="shared" ref="R425" si="1346">G425</f>
        <v>33.339999999999996</v>
      </c>
      <c r="S425" s="85">
        <f>'Consumer Hardware Pricing'!T433</f>
        <v>5.05</v>
      </c>
      <c r="T425" s="129">
        <f t="shared" ref="T425" si="1347">IF(S425="-",R425,R425-S425)</f>
        <v>28.289999999999996</v>
      </c>
      <c r="U425" s="129">
        <f t="shared" ref="U425" si="1348">IF(S425="-",S425,S425*24)</f>
        <v>121.19999999999999</v>
      </c>
      <c r="V425" s="85">
        <f t="shared" ref="V425" si="1349">IF(Q425="-",Q425,T425*24)</f>
        <v>678.95999999999992</v>
      </c>
      <c r="W425" s="129" t="str">
        <f>'Consumer Hardware Pricing'!V433</f>
        <v>-</v>
      </c>
      <c r="X425" s="129" t="str">
        <f t="shared" si="1170"/>
        <v>-</v>
      </c>
      <c r="Y425" s="129" t="str">
        <f t="shared" ref="Y425" si="1350">IF(W425="-",W425,R425-X425)</f>
        <v>-</v>
      </c>
      <c r="Z425" s="129" t="str">
        <f t="shared" ref="Z425" si="1351">IF(W425="-",W425,X425*24)</f>
        <v>-</v>
      </c>
      <c r="AA425" s="85" t="str">
        <f t="shared" ref="AA425" si="1352">IF(W425="-",W425,Y425*24)</f>
        <v>-</v>
      </c>
      <c r="AB425" s="85">
        <f>'Consumer Hardware Pricing'!X433</f>
        <v>0</v>
      </c>
      <c r="AC425" s="85">
        <f t="shared" si="1211"/>
        <v>33.339999999999996</v>
      </c>
      <c r="AD425" s="85">
        <f>'Consumer Hardware Pricing'!Y433</f>
        <v>5.05</v>
      </c>
      <c r="AE425" s="85">
        <f t="shared" ref="AE425" si="1353">IF(AD425="-",AC425,AC425-AD425)</f>
        <v>28.289999999999996</v>
      </c>
      <c r="AF425" s="85">
        <f t="shared" ref="AF425" si="1354">IF(AD425="-",AD425,AD425*24)</f>
        <v>121.19999999999999</v>
      </c>
      <c r="AG425" s="85">
        <f t="shared" ref="AG425" si="1355">IF(AB425="-",AB425,AE425*24)</f>
        <v>678.95999999999992</v>
      </c>
      <c r="AH425" s="85" t="str">
        <f>'Consumer Hardware Pricing'!AA433</f>
        <v>-</v>
      </c>
      <c r="AI425" s="85" t="str">
        <f t="shared" si="1212"/>
        <v>-</v>
      </c>
      <c r="AJ425" s="85" t="str">
        <f t="shared" ref="AJ425" si="1356">IF(AH425="-",AH425,AC425-AI425)</f>
        <v>-</v>
      </c>
      <c r="AK425" s="85" t="str">
        <f t="shared" ref="AK425" si="1357">IF(AH425="-",AH425,AI425*24)</f>
        <v>-</v>
      </c>
      <c r="AL425" s="85" t="str">
        <f t="shared" ref="AL425" si="1358">IF(AH425="-",AH425,AJ425*24)</f>
        <v>-</v>
      </c>
      <c r="AM425" s="85">
        <f>'Consumer Hardware Pricing'!AC433</f>
        <v>0</v>
      </c>
      <c r="AN425" s="85">
        <f t="shared" si="1213"/>
        <v>33.339999999999996</v>
      </c>
      <c r="AO425" s="85">
        <f>'Consumer Hardware Pricing'!AD433</f>
        <v>5.05</v>
      </c>
      <c r="AP425" s="85">
        <f t="shared" ref="AP425" si="1359">IF(AO425="-",AN425,AN425-AO425)</f>
        <v>28.289999999999996</v>
      </c>
      <c r="AQ425" s="85">
        <f t="shared" ref="AQ425" si="1360">IF(AO425="-",AO425,AO425*24)</f>
        <v>121.19999999999999</v>
      </c>
      <c r="AR425" s="85">
        <f t="shared" ref="AR425" si="1361">IF(AM425="-",AM425,AP425*24)</f>
        <v>678.95999999999992</v>
      </c>
      <c r="AS425" s="85" t="str">
        <f>'Consumer Hardware Pricing'!AF433</f>
        <v>-</v>
      </c>
      <c r="AT425" s="85" t="str">
        <f t="shared" si="1214"/>
        <v>-</v>
      </c>
      <c r="AU425" s="85" t="str">
        <f t="shared" ref="AU425" si="1362">IF(AS425="-",AS425,AN425-AT425)</f>
        <v>-</v>
      </c>
      <c r="AV425" s="85" t="str">
        <f t="shared" ref="AV425" si="1363">IF(AS425="-",AS425,AT425*24)</f>
        <v>-</v>
      </c>
      <c r="AW425" s="85" t="str">
        <f t="shared" ref="AW425" si="1364">IF(AS425="-",AS425,AU425*24)</f>
        <v>-</v>
      </c>
      <c r="AX425" s="85" t="str">
        <f>'Consumer Hardware Pricing'!AH433</f>
        <v>-</v>
      </c>
      <c r="AY425" s="85" t="str">
        <f t="shared" si="1215"/>
        <v>-</v>
      </c>
      <c r="AZ425" s="85" t="str">
        <f>'Consumer Hardware Pricing'!AI433</f>
        <v>-</v>
      </c>
      <c r="BA425" s="85" t="str">
        <f t="shared" ref="BA425" si="1365">IF(AZ425="-",AY425,AY425-AZ425)</f>
        <v>-</v>
      </c>
      <c r="BB425" s="85" t="str">
        <f t="shared" ref="BB425" si="1366">IF(AZ425="-",AZ425,AZ425*24)</f>
        <v>-</v>
      </c>
      <c r="BC425" s="85" t="str">
        <f t="shared" ref="BC425" si="1367">IF(AX425="-",AX425,AX425+(BA425*24))</f>
        <v>-</v>
      </c>
      <c r="BD425" s="85" t="str">
        <f>'Consumer Hardware Pricing'!AL433</f>
        <v>-</v>
      </c>
      <c r="BE425" s="85" t="str">
        <f t="shared" si="1216"/>
        <v>-</v>
      </c>
      <c r="BF425" s="85" t="str">
        <f>'Consumer Hardware Pricing'!AM433</f>
        <v>-</v>
      </c>
      <c r="BG425" s="85" t="str">
        <f t="shared" ref="BG425" si="1368">IF(BF425="-",BE425,BE425-BF425)</f>
        <v>-</v>
      </c>
      <c r="BH425" s="85" t="str">
        <f t="shared" ref="BH425" si="1369">IF(BF425="-",BF425,BF425*24)</f>
        <v>-</v>
      </c>
      <c r="BI425" s="85" t="str">
        <f t="shared" ref="BI425" si="1370">IF(BD425="-",BD425,BD425+(BG425*24))</f>
        <v>-</v>
      </c>
      <c r="BJ425" s="85" t="str">
        <f>'Consumer Hardware Pricing'!AP433</f>
        <v>-</v>
      </c>
      <c r="BK425" s="85" t="str">
        <f t="shared" si="1217"/>
        <v>-</v>
      </c>
      <c r="BL425" s="85" t="str">
        <f>'Consumer Hardware Pricing'!AQ433</f>
        <v>-</v>
      </c>
      <c r="BM425" s="85" t="str">
        <f t="shared" ref="BM425" si="1371">IF(BL425="-",BK425,BK425-BL425)</f>
        <v>-</v>
      </c>
      <c r="BN425" s="85" t="str">
        <f t="shared" ref="BN425" si="1372">IF(BL425="-",BL425,BL425*24)</f>
        <v>-</v>
      </c>
      <c r="BO425" s="85" t="str">
        <f t="shared" ref="BO425" si="1373">IF(BJ425="-",BJ425,BJ425+(BM425*24))</f>
        <v>-</v>
      </c>
      <c r="BP425" s="85" t="str">
        <f>'Consumer Hardware Pricing'!AT433</f>
        <v>-</v>
      </c>
      <c r="BQ425" s="85" t="str">
        <f t="shared" si="1218"/>
        <v>-</v>
      </c>
      <c r="BR425" s="85" t="str">
        <f>'Consumer Hardware Pricing'!AU433</f>
        <v>-</v>
      </c>
      <c r="BS425" s="85" t="str">
        <f t="shared" ref="BS425" si="1374">IF(BR425="-",BQ425,BQ425-BR425)</f>
        <v>-</v>
      </c>
      <c r="BT425" s="85" t="str">
        <f t="shared" ref="BT425" si="1375">IF(BR425="-",BR425,BR425*24)</f>
        <v>-</v>
      </c>
      <c r="BU425" s="85" t="str">
        <f t="shared" ref="BU425" si="1376">IF(BP425="-",BP425,BP425+(BS425*24))</f>
        <v>-</v>
      </c>
    </row>
    <row r="426" spans="1:73" s="131" customFormat="1" ht="30.15" customHeight="1" x14ac:dyDescent="0.25">
      <c r="A426" s="87" t="s">
        <v>34</v>
      </c>
      <c r="B426" s="140" t="s">
        <v>1153</v>
      </c>
      <c r="C426" s="140" t="s">
        <v>1154</v>
      </c>
      <c r="D426" s="85">
        <f>'Consumer Hardware Pricing'!L434</f>
        <v>800</v>
      </c>
      <c r="E426" s="85">
        <f>'Consumer Hardware Pricing'!M434</f>
        <v>800</v>
      </c>
      <c r="F426" s="85">
        <f>'Consumer Hardware Pricing'!N434</f>
        <v>0</v>
      </c>
      <c r="G426" s="85">
        <f t="shared" si="1168"/>
        <v>33.339999999999996</v>
      </c>
      <c r="H426" s="85">
        <f>'Consumer Hardware Pricing'!O434</f>
        <v>5.05</v>
      </c>
      <c r="I426" s="85">
        <f t="shared" ref="I426" si="1377">IF(H426="-",G426,G426-H426)</f>
        <v>28.289999999999996</v>
      </c>
      <c r="J426" s="85">
        <f t="shared" ref="J426" si="1378">IF(H426="-",H426,H426*24)</f>
        <v>121.19999999999999</v>
      </c>
      <c r="K426" s="85">
        <f t="shared" ref="K426" si="1379">IF(F426="-",F426,I426*24)</f>
        <v>678.95999999999992</v>
      </c>
      <c r="L426" s="85" t="str">
        <f>'Consumer Hardware Pricing'!Q434</f>
        <v>-</v>
      </c>
      <c r="M426" s="85" t="str">
        <f t="shared" si="1169"/>
        <v>-</v>
      </c>
      <c r="N426" s="85" t="str">
        <f t="shared" ref="N426" si="1380">IF(L426="-",L426,G426-M426)</f>
        <v>-</v>
      </c>
      <c r="O426" s="85" t="str">
        <f t="shared" ref="O426" si="1381">IF(L426="-",L426,M426*24)</f>
        <v>-</v>
      </c>
      <c r="P426" s="85" t="str">
        <f t="shared" ref="P426" si="1382">IF(L426="-",L426,N426*24)</f>
        <v>-</v>
      </c>
      <c r="Q426" s="85">
        <f>'Consumer Hardware Pricing'!S434</f>
        <v>0</v>
      </c>
      <c r="R426" s="85">
        <f t="shared" ref="R426" si="1383">G426</f>
        <v>33.339999999999996</v>
      </c>
      <c r="S426" s="85">
        <f>'Consumer Hardware Pricing'!T434</f>
        <v>5.05</v>
      </c>
      <c r="T426" s="129">
        <f t="shared" ref="T426" si="1384">IF(S426="-",R426,R426-S426)</f>
        <v>28.289999999999996</v>
      </c>
      <c r="U426" s="129">
        <f t="shared" ref="U426" si="1385">IF(S426="-",S426,S426*24)</f>
        <v>121.19999999999999</v>
      </c>
      <c r="V426" s="85">
        <f t="shared" ref="V426" si="1386">IF(Q426="-",Q426,T426*24)</f>
        <v>678.95999999999992</v>
      </c>
      <c r="W426" s="129" t="str">
        <f>'Consumer Hardware Pricing'!V434</f>
        <v>-</v>
      </c>
      <c r="X426" s="129" t="str">
        <f t="shared" si="1170"/>
        <v>-</v>
      </c>
      <c r="Y426" s="129" t="str">
        <f t="shared" ref="Y426" si="1387">IF(W426="-",W426,R426-X426)</f>
        <v>-</v>
      </c>
      <c r="Z426" s="129" t="str">
        <f t="shared" ref="Z426" si="1388">IF(W426="-",W426,X426*24)</f>
        <v>-</v>
      </c>
      <c r="AA426" s="85" t="str">
        <f t="shared" ref="AA426" si="1389">IF(W426="-",W426,Y426*24)</f>
        <v>-</v>
      </c>
      <c r="AB426" s="85">
        <f>'Consumer Hardware Pricing'!X434</f>
        <v>0</v>
      </c>
      <c r="AC426" s="85">
        <f t="shared" si="1211"/>
        <v>33.339999999999996</v>
      </c>
      <c r="AD426" s="85">
        <f>'Consumer Hardware Pricing'!Y434</f>
        <v>5.05</v>
      </c>
      <c r="AE426" s="85">
        <f t="shared" ref="AE426" si="1390">IF(AD426="-",AC426,AC426-AD426)</f>
        <v>28.289999999999996</v>
      </c>
      <c r="AF426" s="85">
        <f t="shared" ref="AF426" si="1391">IF(AD426="-",AD426,AD426*24)</f>
        <v>121.19999999999999</v>
      </c>
      <c r="AG426" s="85">
        <f t="shared" ref="AG426" si="1392">IF(AB426="-",AB426,AE426*24)</f>
        <v>678.95999999999992</v>
      </c>
      <c r="AH426" s="85" t="str">
        <f>'Consumer Hardware Pricing'!AA434</f>
        <v>-</v>
      </c>
      <c r="AI426" s="85" t="str">
        <f t="shared" si="1212"/>
        <v>-</v>
      </c>
      <c r="AJ426" s="85" t="str">
        <f t="shared" ref="AJ426" si="1393">IF(AH426="-",AH426,AC426-AI426)</f>
        <v>-</v>
      </c>
      <c r="AK426" s="85" t="str">
        <f t="shared" ref="AK426" si="1394">IF(AH426="-",AH426,AI426*24)</f>
        <v>-</v>
      </c>
      <c r="AL426" s="85" t="str">
        <f t="shared" ref="AL426" si="1395">IF(AH426="-",AH426,AJ426*24)</f>
        <v>-</v>
      </c>
      <c r="AM426" s="85">
        <f>'Consumer Hardware Pricing'!AC434</f>
        <v>0</v>
      </c>
      <c r="AN426" s="85">
        <f t="shared" si="1213"/>
        <v>33.339999999999996</v>
      </c>
      <c r="AO426" s="85">
        <f>'Consumer Hardware Pricing'!AD434</f>
        <v>5.05</v>
      </c>
      <c r="AP426" s="85">
        <f t="shared" ref="AP426" si="1396">IF(AO426="-",AN426,AN426-AO426)</f>
        <v>28.289999999999996</v>
      </c>
      <c r="AQ426" s="85">
        <f t="shared" ref="AQ426" si="1397">IF(AO426="-",AO426,AO426*24)</f>
        <v>121.19999999999999</v>
      </c>
      <c r="AR426" s="85">
        <f t="shared" ref="AR426" si="1398">IF(AM426="-",AM426,AP426*24)</f>
        <v>678.95999999999992</v>
      </c>
      <c r="AS426" s="85" t="str">
        <f>'Consumer Hardware Pricing'!AF434</f>
        <v>-</v>
      </c>
      <c r="AT426" s="85" t="str">
        <f t="shared" si="1214"/>
        <v>-</v>
      </c>
      <c r="AU426" s="85" t="str">
        <f t="shared" ref="AU426" si="1399">IF(AS426="-",AS426,AN426-AT426)</f>
        <v>-</v>
      </c>
      <c r="AV426" s="85" t="str">
        <f t="shared" ref="AV426" si="1400">IF(AS426="-",AS426,AT426*24)</f>
        <v>-</v>
      </c>
      <c r="AW426" s="85" t="str">
        <f t="shared" ref="AW426" si="1401">IF(AS426="-",AS426,AU426*24)</f>
        <v>-</v>
      </c>
      <c r="AX426" s="85" t="str">
        <f>'Consumer Hardware Pricing'!AH434</f>
        <v>-</v>
      </c>
      <c r="AY426" s="85" t="str">
        <f t="shared" si="1215"/>
        <v>-</v>
      </c>
      <c r="AZ426" s="85" t="str">
        <f>'Consumer Hardware Pricing'!AI434</f>
        <v>-</v>
      </c>
      <c r="BA426" s="85" t="str">
        <f t="shared" ref="BA426" si="1402">IF(AZ426="-",AY426,AY426-AZ426)</f>
        <v>-</v>
      </c>
      <c r="BB426" s="85" t="str">
        <f t="shared" ref="BB426" si="1403">IF(AZ426="-",AZ426,AZ426*24)</f>
        <v>-</v>
      </c>
      <c r="BC426" s="85" t="str">
        <f t="shared" ref="BC426" si="1404">IF(AX426="-",AX426,AX426+(BA426*24))</f>
        <v>-</v>
      </c>
      <c r="BD426" s="85" t="str">
        <f>'Consumer Hardware Pricing'!AL434</f>
        <v>-</v>
      </c>
      <c r="BE426" s="85" t="str">
        <f t="shared" si="1216"/>
        <v>-</v>
      </c>
      <c r="BF426" s="85" t="str">
        <f>'Consumer Hardware Pricing'!AM434</f>
        <v>-</v>
      </c>
      <c r="BG426" s="85" t="str">
        <f t="shared" ref="BG426" si="1405">IF(BF426="-",BE426,BE426-BF426)</f>
        <v>-</v>
      </c>
      <c r="BH426" s="85" t="str">
        <f t="shared" ref="BH426" si="1406">IF(BF426="-",BF426,BF426*24)</f>
        <v>-</v>
      </c>
      <c r="BI426" s="85" t="str">
        <f t="shared" ref="BI426" si="1407">IF(BD426="-",BD426,BD426+(BG426*24))</f>
        <v>-</v>
      </c>
      <c r="BJ426" s="85" t="str">
        <f>'Consumer Hardware Pricing'!AP434</f>
        <v>-</v>
      </c>
      <c r="BK426" s="85" t="str">
        <f t="shared" si="1217"/>
        <v>-</v>
      </c>
      <c r="BL426" s="85" t="str">
        <f>'Consumer Hardware Pricing'!AQ434</f>
        <v>-</v>
      </c>
      <c r="BM426" s="85" t="str">
        <f t="shared" ref="BM426" si="1408">IF(BL426="-",BK426,BK426-BL426)</f>
        <v>-</v>
      </c>
      <c r="BN426" s="85" t="str">
        <f t="shared" ref="BN426" si="1409">IF(BL426="-",BL426,BL426*24)</f>
        <v>-</v>
      </c>
      <c r="BO426" s="85" t="str">
        <f t="shared" ref="BO426" si="1410">IF(BJ426="-",BJ426,BJ426+(BM426*24))</f>
        <v>-</v>
      </c>
      <c r="BP426" s="85" t="str">
        <f>'Consumer Hardware Pricing'!AT434</f>
        <v>-</v>
      </c>
      <c r="BQ426" s="85" t="str">
        <f t="shared" si="1218"/>
        <v>-</v>
      </c>
      <c r="BR426" s="85" t="str">
        <f>'Consumer Hardware Pricing'!AU434</f>
        <v>-</v>
      </c>
      <c r="BS426" s="85" t="str">
        <f t="shared" ref="BS426" si="1411">IF(BR426="-",BQ426,BQ426-BR426)</f>
        <v>-</v>
      </c>
      <c r="BT426" s="85" t="str">
        <f t="shared" ref="BT426" si="1412">IF(BR426="-",BR426,BR426*24)</f>
        <v>-</v>
      </c>
      <c r="BU426" s="85" t="str">
        <f t="shared" ref="BU426" si="1413">IF(BP426="-",BP426,BP426+(BS426*24))</f>
        <v>-</v>
      </c>
    </row>
    <row r="427" spans="1:73" s="131" customFormat="1" ht="30.15" customHeight="1" x14ac:dyDescent="0.25">
      <c r="A427" s="87" t="s">
        <v>34</v>
      </c>
      <c r="B427" s="140" t="s">
        <v>1022</v>
      </c>
      <c r="C427" s="140" t="s">
        <v>1023</v>
      </c>
      <c r="D427" s="85">
        <f>'Consumer Hardware Pricing'!L435</f>
        <v>560</v>
      </c>
      <c r="E427" s="85">
        <f>'Consumer Hardware Pricing'!M435</f>
        <v>560</v>
      </c>
      <c r="F427" s="85">
        <f>'Consumer Hardware Pricing'!N435</f>
        <v>0</v>
      </c>
      <c r="G427" s="85">
        <f t="shared" si="1168"/>
        <v>23.34</v>
      </c>
      <c r="H427" s="85">
        <f>'Consumer Hardware Pricing'!O435</f>
        <v>3.38</v>
      </c>
      <c r="I427" s="85">
        <f t="shared" ref="I427" si="1414">IF(H427="-",G427,G427-H427)</f>
        <v>19.96</v>
      </c>
      <c r="J427" s="85">
        <f t="shared" ref="J427" si="1415">IF(H427="-",H427,H427*24)</f>
        <v>81.12</v>
      </c>
      <c r="K427" s="85">
        <f t="shared" ref="K427" si="1416">IF(F427="-",F427,I427*24)</f>
        <v>479.04</v>
      </c>
      <c r="L427" s="85" t="str">
        <f>'Consumer Hardware Pricing'!Q435</f>
        <v>-</v>
      </c>
      <c r="M427" s="85" t="str">
        <f t="shared" si="1169"/>
        <v>-</v>
      </c>
      <c r="N427" s="85" t="str">
        <f t="shared" ref="N427" si="1417">IF(L427="-",L427,G427-M427)</f>
        <v>-</v>
      </c>
      <c r="O427" s="85" t="str">
        <f t="shared" ref="O427" si="1418">IF(L427="-",L427,M427*24)</f>
        <v>-</v>
      </c>
      <c r="P427" s="85" t="str">
        <f t="shared" ref="P427" si="1419">IF(L427="-",L427,N427*24)</f>
        <v>-</v>
      </c>
      <c r="Q427" s="85">
        <f>'Consumer Hardware Pricing'!S435</f>
        <v>0</v>
      </c>
      <c r="R427" s="85">
        <f t="shared" ref="R427" si="1420">G427</f>
        <v>23.34</v>
      </c>
      <c r="S427" s="85">
        <f>'Consumer Hardware Pricing'!T435</f>
        <v>3.38</v>
      </c>
      <c r="T427" s="129">
        <f t="shared" ref="T427" si="1421">IF(S427="-",R427,R427-S427)</f>
        <v>19.96</v>
      </c>
      <c r="U427" s="129">
        <f t="shared" ref="U427" si="1422">IF(S427="-",S427,S427*24)</f>
        <v>81.12</v>
      </c>
      <c r="V427" s="85">
        <f t="shared" ref="V427" si="1423">IF(Q427="-",Q427,T427*24)</f>
        <v>479.04</v>
      </c>
      <c r="W427" s="129" t="str">
        <f>'Consumer Hardware Pricing'!V435</f>
        <v>-</v>
      </c>
      <c r="X427" s="129" t="str">
        <f t="shared" si="1170"/>
        <v>-</v>
      </c>
      <c r="Y427" s="129" t="str">
        <f t="shared" ref="Y427" si="1424">IF(W427="-",W427,R427-X427)</f>
        <v>-</v>
      </c>
      <c r="Z427" s="129" t="str">
        <f t="shared" ref="Z427" si="1425">IF(W427="-",W427,X427*24)</f>
        <v>-</v>
      </c>
      <c r="AA427" s="85" t="str">
        <f t="shared" ref="AA427" si="1426">IF(W427="-",W427,Y427*24)</f>
        <v>-</v>
      </c>
      <c r="AB427" s="85">
        <f>'Consumer Hardware Pricing'!X435</f>
        <v>0</v>
      </c>
      <c r="AC427" s="85">
        <f t="shared" si="1211"/>
        <v>23.34</v>
      </c>
      <c r="AD427" s="85">
        <f>'Consumer Hardware Pricing'!Y435</f>
        <v>3.38</v>
      </c>
      <c r="AE427" s="85">
        <f t="shared" si="873"/>
        <v>19.96</v>
      </c>
      <c r="AF427" s="85">
        <f t="shared" si="874"/>
        <v>81.12</v>
      </c>
      <c r="AG427" s="85">
        <f t="shared" si="875"/>
        <v>479.04</v>
      </c>
      <c r="AH427" s="85" t="str">
        <f>'Consumer Hardware Pricing'!AA435</f>
        <v>-</v>
      </c>
      <c r="AI427" s="85" t="str">
        <f t="shared" si="1212"/>
        <v>-</v>
      </c>
      <c r="AJ427" s="85" t="str">
        <f t="shared" si="876"/>
        <v>-</v>
      </c>
      <c r="AK427" s="85" t="str">
        <f t="shared" si="877"/>
        <v>-</v>
      </c>
      <c r="AL427" s="85" t="str">
        <f t="shared" si="878"/>
        <v>-</v>
      </c>
      <c r="AM427" s="85">
        <f>'Consumer Hardware Pricing'!AC435</f>
        <v>0</v>
      </c>
      <c r="AN427" s="85">
        <f t="shared" si="1213"/>
        <v>23.34</v>
      </c>
      <c r="AO427" s="85">
        <f>'Consumer Hardware Pricing'!AD435</f>
        <v>3.38</v>
      </c>
      <c r="AP427" s="85">
        <f t="shared" si="879"/>
        <v>19.96</v>
      </c>
      <c r="AQ427" s="85">
        <f t="shared" si="880"/>
        <v>81.12</v>
      </c>
      <c r="AR427" s="85">
        <f t="shared" si="881"/>
        <v>479.04</v>
      </c>
      <c r="AS427" s="85" t="str">
        <f>'Consumer Hardware Pricing'!AF435</f>
        <v>-</v>
      </c>
      <c r="AT427" s="85" t="str">
        <f t="shared" si="1214"/>
        <v>-</v>
      </c>
      <c r="AU427" s="85" t="str">
        <f t="shared" si="882"/>
        <v>-</v>
      </c>
      <c r="AV427" s="85" t="str">
        <f t="shared" si="883"/>
        <v>-</v>
      </c>
      <c r="AW427" s="85" t="str">
        <f t="shared" si="884"/>
        <v>-</v>
      </c>
      <c r="AX427" s="85" t="str">
        <f>'Consumer Hardware Pricing'!AH435</f>
        <v>-</v>
      </c>
      <c r="AY427" s="85" t="str">
        <f t="shared" si="1215"/>
        <v>-</v>
      </c>
      <c r="AZ427" s="85" t="str">
        <f>'Consumer Hardware Pricing'!AI435</f>
        <v>-</v>
      </c>
      <c r="BA427" s="85" t="str">
        <f t="shared" ref="BA427" si="1427">IF(AZ427="-",AY427,AY427-AZ427)</f>
        <v>-</v>
      </c>
      <c r="BB427" s="85" t="str">
        <f t="shared" ref="BB427" si="1428">IF(AZ427="-",AZ427,AZ427*24)</f>
        <v>-</v>
      </c>
      <c r="BC427" s="85" t="str">
        <f t="shared" ref="BC427" si="1429">IF(AX427="-",AX427,AX427+(BA427*24))</f>
        <v>-</v>
      </c>
      <c r="BD427" s="85" t="str">
        <f>'Consumer Hardware Pricing'!AL435</f>
        <v>-</v>
      </c>
      <c r="BE427" s="85" t="str">
        <f t="shared" si="1216"/>
        <v>-</v>
      </c>
      <c r="BF427" s="85" t="str">
        <f>'Consumer Hardware Pricing'!AM435</f>
        <v>-</v>
      </c>
      <c r="BG427" s="85" t="str">
        <f t="shared" ref="BG427" si="1430">IF(BF427="-",BE427,BE427-BF427)</f>
        <v>-</v>
      </c>
      <c r="BH427" s="85" t="str">
        <f t="shared" ref="BH427" si="1431">IF(BF427="-",BF427,BF427*24)</f>
        <v>-</v>
      </c>
      <c r="BI427" s="85" t="str">
        <f t="shared" ref="BI427" si="1432">IF(BD427="-",BD427,BD427+(BG427*24))</f>
        <v>-</v>
      </c>
      <c r="BJ427" s="85" t="str">
        <f>'Consumer Hardware Pricing'!AP435</f>
        <v>-</v>
      </c>
      <c r="BK427" s="85" t="str">
        <f t="shared" si="1217"/>
        <v>-</v>
      </c>
      <c r="BL427" s="85" t="str">
        <f>'Consumer Hardware Pricing'!AQ435</f>
        <v>-</v>
      </c>
      <c r="BM427" s="85" t="str">
        <f t="shared" ref="BM427" si="1433">IF(BL427="-",BK427,BK427-BL427)</f>
        <v>-</v>
      </c>
      <c r="BN427" s="85" t="str">
        <f t="shared" ref="BN427" si="1434">IF(BL427="-",BL427,BL427*24)</f>
        <v>-</v>
      </c>
      <c r="BO427" s="85" t="str">
        <f t="shared" ref="BO427" si="1435">IF(BJ427="-",BJ427,BJ427+(BM427*24))</f>
        <v>-</v>
      </c>
      <c r="BP427" s="85" t="str">
        <f>'Consumer Hardware Pricing'!AT435</f>
        <v>-</v>
      </c>
      <c r="BQ427" s="85" t="str">
        <f t="shared" si="1218"/>
        <v>-</v>
      </c>
      <c r="BR427" s="85" t="str">
        <f>'Consumer Hardware Pricing'!AU435</f>
        <v>-</v>
      </c>
      <c r="BS427" s="85" t="str">
        <f t="shared" ref="BS427" si="1436">IF(BR427="-",BQ427,BQ427-BR427)</f>
        <v>-</v>
      </c>
      <c r="BT427" s="85" t="str">
        <f t="shared" ref="BT427" si="1437">IF(BR427="-",BR427,BR427*24)</f>
        <v>-</v>
      </c>
      <c r="BU427" s="85" t="str">
        <f t="shared" ref="BU427" si="1438">IF(BP427="-",BP427,BP427+(BS427*24))</f>
        <v>-</v>
      </c>
    </row>
    <row r="428" spans="1:73" s="131" customFormat="1" ht="30.15" customHeight="1" x14ac:dyDescent="0.25">
      <c r="A428" s="87" t="s">
        <v>34</v>
      </c>
      <c r="B428" s="140" t="s">
        <v>1029</v>
      </c>
      <c r="C428" s="140" t="s">
        <v>1030</v>
      </c>
      <c r="D428" s="85">
        <f>'Consumer Hardware Pricing'!L436</f>
        <v>950</v>
      </c>
      <c r="E428" s="85">
        <f>'Consumer Hardware Pricing'!M436</f>
        <v>950</v>
      </c>
      <c r="F428" s="85">
        <f>'Consumer Hardware Pricing'!N436</f>
        <v>0</v>
      </c>
      <c r="G428" s="85">
        <f t="shared" si="1168"/>
        <v>39.589999999999996</v>
      </c>
      <c r="H428" s="85">
        <f>'Consumer Hardware Pricing'!O436</f>
        <v>6.3</v>
      </c>
      <c r="I428" s="85">
        <f t="shared" ref="I428:I430" si="1439">IF(H428="-",G428,G428-H428)</f>
        <v>33.29</v>
      </c>
      <c r="J428" s="85">
        <f t="shared" ref="J428:J430" si="1440">IF(H428="-",H428,H428*24)</f>
        <v>151.19999999999999</v>
      </c>
      <c r="K428" s="85">
        <f t="shared" ref="K428:K430" si="1441">IF(F428="-",F428,I428*24)</f>
        <v>798.96</v>
      </c>
      <c r="L428" s="85" t="str">
        <f>'Consumer Hardware Pricing'!Q436</f>
        <v>-</v>
      </c>
      <c r="M428" s="85" t="str">
        <f t="shared" si="1169"/>
        <v>-</v>
      </c>
      <c r="N428" s="85" t="str">
        <f t="shared" ref="N428:N430" si="1442">IF(L428="-",L428,G428-M428)</f>
        <v>-</v>
      </c>
      <c r="O428" s="85" t="str">
        <f t="shared" ref="O428:O430" si="1443">IF(L428="-",L428,M428*24)</f>
        <v>-</v>
      </c>
      <c r="P428" s="85" t="str">
        <f t="shared" ref="P428:P430" si="1444">IF(L428="-",L428,N428*24)</f>
        <v>-</v>
      </c>
      <c r="Q428" s="85">
        <f>'Consumer Hardware Pricing'!S436</f>
        <v>0</v>
      </c>
      <c r="R428" s="85">
        <f t="shared" ref="R428:R430" si="1445">G428</f>
        <v>39.589999999999996</v>
      </c>
      <c r="S428" s="85">
        <f>'Consumer Hardware Pricing'!T436</f>
        <v>6.3</v>
      </c>
      <c r="T428" s="129">
        <f t="shared" ref="T428:T430" si="1446">IF(S428="-",R428,R428-S428)</f>
        <v>33.29</v>
      </c>
      <c r="U428" s="129">
        <f t="shared" ref="U428:U430" si="1447">IF(S428="-",S428,S428*24)</f>
        <v>151.19999999999999</v>
      </c>
      <c r="V428" s="85">
        <f t="shared" ref="V428:V430" si="1448">IF(Q428="-",Q428,T428*24)</f>
        <v>798.96</v>
      </c>
      <c r="W428" s="129" t="str">
        <f>'Consumer Hardware Pricing'!V436</f>
        <v>-</v>
      </c>
      <c r="X428" s="129" t="str">
        <f t="shared" si="1170"/>
        <v>-</v>
      </c>
      <c r="Y428" s="129" t="str">
        <f t="shared" ref="Y428:Y430" si="1449">IF(W428="-",W428,R428-X428)</f>
        <v>-</v>
      </c>
      <c r="Z428" s="129" t="str">
        <f t="shared" ref="Z428:Z430" si="1450">IF(W428="-",W428,X428*24)</f>
        <v>-</v>
      </c>
      <c r="AA428" s="85" t="str">
        <f t="shared" ref="AA428:AA430" si="1451">IF(W428="-",W428,Y428*24)</f>
        <v>-</v>
      </c>
      <c r="AB428" s="85">
        <f>'Consumer Hardware Pricing'!X436</f>
        <v>0</v>
      </c>
      <c r="AC428" s="85">
        <f t="shared" si="1211"/>
        <v>39.589999999999996</v>
      </c>
      <c r="AD428" s="85">
        <f>'Consumer Hardware Pricing'!Y436</f>
        <v>14.59</v>
      </c>
      <c r="AE428" s="85">
        <f t="shared" si="873"/>
        <v>24.999999999999996</v>
      </c>
      <c r="AF428" s="85">
        <f t="shared" si="874"/>
        <v>350.15999999999997</v>
      </c>
      <c r="AG428" s="85">
        <f t="shared" si="875"/>
        <v>599.99999999999989</v>
      </c>
      <c r="AH428" s="85" t="str">
        <f>'Consumer Hardware Pricing'!AA436</f>
        <v>-</v>
      </c>
      <c r="AI428" s="85" t="str">
        <f t="shared" si="1212"/>
        <v>-</v>
      </c>
      <c r="AJ428" s="85" t="str">
        <f t="shared" si="876"/>
        <v>-</v>
      </c>
      <c r="AK428" s="85" t="str">
        <f t="shared" si="877"/>
        <v>-</v>
      </c>
      <c r="AL428" s="85" t="str">
        <f t="shared" si="878"/>
        <v>-</v>
      </c>
      <c r="AM428" s="85">
        <f>'Consumer Hardware Pricing'!AC436</f>
        <v>0</v>
      </c>
      <c r="AN428" s="85">
        <f t="shared" si="1213"/>
        <v>39.589999999999996</v>
      </c>
      <c r="AO428" s="85">
        <f>'Consumer Hardware Pricing'!AD436</f>
        <v>14.59</v>
      </c>
      <c r="AP428" s="85">
        <f t="shared" si="879"/>
        <v>24.999999999999996</v>
      </c>
      <c r="AQ428" s="85">
        <f t="shared" si="880"/>
        <v>350.15999999999997</v>
      </c>
      <c r="AR428" s="85">
        <f t="shared" si="881"/>
        <v>599.99999999999989</v>
      </c>
      <c r="AS428" s="85" t="str">
        <f>'Consumer Hardware Pricing'!AF436</f>
        <v>-</v>
      </c>
      <c r="AT428" s="85" t="str">
        <f t="shared" si="1214"/>
        <v>-</v>
      </c>
      <c r="AU428" s="85" t="str">
        <f t="shared" si="882"/>
        <v>-</v>
      </c>
      <c r="AV428" s="85" t="str">
        <f t="shared" si="883"/>
        <v>-</v>
      </c>
      <c r="AW428" s="85" t="str">
        <f t="shared" si="884"/>
        <v>-</v>
      </c>
      <c r="AX428" s="85" t="str">
        <f>'Consumer Hardware Pricing'!AH436</f>
        <v>-</v>
      </c>
      <c r="AY428" s="85" t="str">
        <f t="shared" si="1215"/>
        <v>-</v>
      </c>
      <c r="AZ428" s="85" t="str">
        <f>'Consumer Hardware Pricing'!AI436</f>
        <v>-</v>
      </c>
      <c r="BA428" s="85" t="str">
        <f t="shared" ref="BA428:BA430" si="1452">IF(AZ428="-",AY428,AY428-AZ428)</f>
        <v>-</v>
      </c>
      <c r="BB428" s="85" t="str">
        <f t="shared" ref="BB428:BB430" si="1453">IF(AZ428="-",AZ428,AZ428*24)</f>
        <v>-</v>
      </c>
      <c r="BC428" s="85" t="str">
        <f t="shared" ref="BC428:BC430" si="1454">IF(AX428="-",AX428,AX428+(BA428*24))</f>
        <v>-</v>
      </c>
      <c r="BD428" s="85" t="str">
        <f>'Consumer Hardware Pricing'!AL436</f>
        <v>-</v>
      </c>
      <c r="BE428" s="85" t="str">
        <f t="shared" si="1216"/>
        <v>-</v>
      </c>
      <c r="BF428" s="85" t="str">
        <f>'Consumer Hardware Pricing'!AM436</f>
        <v>-</v>
      </c>
      <c r="BG428" s="85" t="str">
        <f t="shared" ref="BG428:BG430" si="1455">IF(BF428="-",BE428,BE428-BF428)</f>
        <v>-</v>
      </c>
      <c r="BH428" s="85" t="str">
        <f t="shared" ref="BH428:BH430" si="1456">IF(BF428="-",BF428,BF428*24)</f>
        <v>-</v>
      </c>
      <c r="BI428" s="85" t="str">
        <f t="shared" ref="BI428:BI430" si="1457">IF(BD428="-",BD428,BD428+(BG428*24))</f>
        <v>-</v>
      </c>
      <c r="BJ428" s="85" t="str">
        <f>'Consumer Hardware Pricing'!AP436</f>
        <v>-</v>
      </c>
      <c r="BK428" s="85" t="str">
        <f t="shared" si="1217"/>
        <v>-</v>
      </c>
      <c r="BL428" s="85" t="str">
        <f>'Consumer Hardware Pricing'!AQ436</f>
        <v>-</v>
      </c>
      <c r="BM428" s="85" t="str">
        <f t="shared" ref="BM428:BM430" si="1458">IF(BL428="-",BK428,BK428-BL428)</f>
        <v>-</v>
      </c>
      <c r="BN428" s="85" t="str">
        <f t="shared" ref="BN428:BN430" si="1459">IF(BL428="-",BL428,BL428*24)</f>
        <v>-</v>
      </c>
      <c r="BO428" s="85" t="str">
        <f t="shared" ref="BO428:BO430" si="1460">IF(BJ428="-",BJ428,BJ428+(BM428*24))</f>
        <v>-</v>
      </c>
      <c r="BP428" s="85" t="str">
        <f>'Consumer Hardware Pricing'!AT436</f>
        <v>-</v>
      </c>
      <c r="BQ428" s="85" t="str">
        <f t="shared" si="1218"/>
        <v>-</v>
      </c>
      <c r="BR428" s="85" t="str">
        <f>'Consumer Hardware Pricing'!AU436</f>
        <v>-</v>
      </c>
      <c r="BS428" s="85" t="str">
        <f t="shared" ref="BS428:BS430" si="1461">IF(BR428="-",BQ428,BQ428-BR428)</f>
        <v>-</v>
      </c>
      <c r="BT428" s="85" t="str">
        <f t="shared" ref="BT428:BT430" si="1462">IF(BR428="-",BR428,BR428*24)</f>
        <v>-</v>
      </c>
      <c r="BU428" s="85" t="str">
        <f t="shared" ref="BU428:BU430" si="1463">IF(BP428="-",BP428,BP428+(BS428*24))</f>
        <v>-</v>
      </c>
    </row>
    <row r="429" spans="1:73" s="131" customFormat="1" ht="30.15" customHeight="1" x14ac:dyDescent="0.25">
      <c r="A429" s="87" t="s">
        <v>34</v>
      </c>
      <c r="B429" s="140" t="s">
        <v>1150</v>
      </c>
      <c r="C429" s="140" t="s">
        <v>1030</v>
      </c>
      <c r="D429" s="85">
        <f>'Consumer Hardware Pricing'!L437</f>
        <v>950</v>
      </c>
      <c r="E429" s="85">
        <f>'Consumer Hardware Pricing'!M437</f>
        <v>950</v>
      </c>
      <c r="F429" s="85">
        <f>'Consumer Hardware Pricing'!N437</f>
        <v>0</v>
      </c>
      <c r="G429" s="85">
        <f t="shared" si="1168"/>
        <v>39.589999999999996</v>
      </c>
      <c r="H429" s="85">
        <f>'Consumer Hardware Pricing'!O437</f>
        <v>6.3</v>
      </c>
      <c r="I429" s="85">
        <f t="shared" ref="I429" si="1464">IF(H429="-",G429,G429-H429)</f>
        <v>33.29</v>
      </c>
      <c r="J429" s="85">
        <f t="shared" ref="J429" si="1465">IF(H429="-",H429,H429*24)</f>
        <v>151.19999999999999</v>
      </c>
      <c r="K429" s="85">
        <f t="shared" ref="K429" si="1466">IF(F429="-",F429,I429*24)</f>
        <v>798.96</v>
      </c>
      <c r="L429" s="85" t="str">
        <f>'Consumer Hardware Pricing'!Q437</f>
        <v>-</v>
      </c>
      <c r="M429" s="85" t="str">
        <f t="shared" si="1169"/>
        <v>-</v>
      </c>
      <c r="N429" s="85" t="str">
        <f t="shared" ref="N429" si="1467">IF(L429="-",L429,G429-M429)</f>
        <v>-</v>
      </c>
      <c r="O429" s="85" t="str">
        <f t="shared" ref="O429" si="1468">IF(L429="-",L429,M429*24)</f>
        <v>-</v>
      </c>
      <c r="P429" s="85" t="str">
        <f t="shared" ref="P429" si="1469">IF(L429="-",L429,N429*24)</f>
        <v>-</v>
      </c>
      <c r="Q429" s="85">
        <f>'Consumer Hardware Pricing'!S437</f>
        <v>0</v>
      </c>
      <c r="R429" s="85">
        <f t="shared" ref="R429" si="1470">G429</f>
        <v>39.589999999999996</v>
      </c>
      <c r="S429" s="85">
        <f>'Consumer Hardware Pricing'!T437</f>
        <v>6.3</v>
      </c>
      <c r="T429" s="129">
        <f t="shared" ref="T429" si="1471">IF(S429="-",R429,R429-S429)</f>
        <v>33.29</v>
      </c>
      <c r="U429" s="129">
        <f t="shared" ref="U429" si="1472">IF(S429="-",S429,S429*24)</f>
        <v>151.19999999999999</v>
      </c>
      <c r="V429" s="85">
        <f t="shared" ref="V429" si="1473">IF(Q429="-",Q429,T429*24)</f>
        <v>798.96</v>
      </c>
      <c r="W429" s="129" t="str">
        <f>'Consumer Hardware Pricing'!V437</f>
        <v>-</v>
      </c>
      <c r="X429" s="129" t="str">
        <f t="shared" si="1170"/>
        <v>-</v>
      </c>
      <c r="Y429" s="129" t="str">
        <f t="shared" ref="Y429" si="1474">IF(W429="-",W429,R429-X429)</f>
        <v>-</v>
      </c>
      <c r="Z429" s="129" t="str">
        <f t="shared" ref="Z429" si="1475">IF(W429="-",W429,X429*24)</f>
        <v>-</v>
      </c>
      <c r="AA429" s="85" t="str">
        <f t="shared" ref="AA429" si="1476">IF(W429="-",W429,Y429*24)</f>
        <v>-</v>
      </c>
      <c r="AB429" s="85">
        <f>'Consumer Hardware Pricing'!X437</f>
        <v>0</v>
      </c>
      <c r="AC429" s="85">
        <f t="shared" si="1211"/>
        <v>39.589999999999996</v>
      </c>
      <c r="AD429" s="85">
        <f>'Consumer Hardware Pricing'!Y437</f>
        <v>14.59</v>
      </c>
      <c r="AE429" s="85">
        <f t="shared" ref="AE429" si="1477">IF(AD429="-",AC429,AC429-AD429)</f>
        <v>24.999999999999996</v>
      </c>
      <c r="AF429" s="85">
        <f t="shared" ref="AF429" si="1478">IF(AD429="-",AD429,AD429*24)</f>
        <v>350.15999999999997</v>
      </c>
      <c r="AG429" s="85">
        <f t="shared" ref="AG429" si="1479">IF(AB429="-",AB429,AE429*24)</f>
        <v>599.99999999999989</v>
      </c>
      <c r="AH429" s="85" t="str">
        <f>'Consumer Hardware Pricing'!AA437</f>
        <v>-</v>
      </c>
      <c r="AI429" s="85" t="str">
        <f t="shared" si="1212"/>
        <v>-</v>
      </c>
      <c r="AJ429" s="85" t="str">
        <f t="shared" ref="AJ429" si="1480">IF(AH429="-",AH429,AC429-AI429)</f>
        <v>-</v>
      </c>
      <c r="AK429" s="85" t="str">
        <f t="shared" ref="AK429" si="1481">IF(AH429="-",AH429,AI429*24)</f>
        <v>-</v>
      </c>
      <c r="AL429" s="85" t="str">
        <f t="shared" ref="AL429" si="1482">IF(AH429="-",AH429,AJ429*24)</f>
        <v>-</v>
      </c>
      <c r="AM429" s="85">
        <f>'Consumer Hardware Pricing'!AC437</f>
        <v>0</v>
      </c>
      <c r="AN429" s="85">
        <f t="shared" si="1213"/>
        <v>39.589999999999996</v>
      </c>
      <c r="AO429" s="85">
        <f>'Consumer Hardware Pricing'!AD437</f>
        <v>14.59</v>
      </c>
      <c r="AP429" s="85">
        <f t="shared" ref="AP429" si="1483">IF(AO429="-",AN429,AN429-AO429)</f>
        <v>24.999999999999996</v>
      </c>
      <c r="AQ429" s="85">
        <f t="shared" ref="AQ429" si="1484">IF(AO429="-",AO429,AO429*24)</f>
        <v>350.15999999999997</v>
      </c>
      <c r="AR429" s="85">
        <f t="shared" ref="AR429" si="1485">IF(AM429="-",AM429,AP429*24)</f>
        <v>599.99999999999989</v>
      </c>
      <c r="AS429" s="85" t="str">
        <f>'Consumer Hardware Pricing'!AF437</f>
        <v>-</v>
      </c>
      <c r="AT429" s="85" t="str">
        <f t="shared" si="1214"/>
        <v>-</v>
      </c>
      <c r="AU429" s="85" t="str">
        <f t="shared" ref="AU429" si="1486">IF(AS429="-",AS429,AN429-AT429)</f>
        <v>-</v>
      </c>
      <c r="AV429" s="85" t="str">
        <f t="shared" ref="AV429" si="1487">IF(AS429="-",AS429,AT429*24)</f>
        <v>-</v>
      </c>
      <c r="AW429" s="85" t="str">
        <f t="shared" ref="AW429" si="1488">IF(AS429="-",AS429,AU429*24)</f>
        <v>-</v>
      </c>
      <c r="AX429" s="85" t="str">
        <f>'Consumer Hardware Pricing'!AH437</f>
        <v>-</v>
      </c>
      <c r="AY429" s="85" t="str">
        <f t="shared" si="1215"/>
        <v>-</v>
      </c>
      <c r="AZ429" s="85" t="str">
        <f>'Consumer Hardware Pricing'!AI437</f>
        <v>-</v>
      </c>
      <c r="BA429" s="85" t="str">
        <f t="shared" ref="BA429" si="1489">IF(AZ429="-",AY429,AY429-AZ429)</f>
        <v>-</v>
      </c>
      <c r="BB429" s="85" t="str">
        <f t="shared" ref="BB429" si="1490">IF(AZ429="-",AZ429,AZ429*24)</f>
        <v>-</v>
      </c>
      <c r="BC429" s="85" t="str">
        <f t="shared" ref="BC429" si="1491">IF(AX429="-",AX429,AX429+(BA429*24))</f>
        <v>-</v>
      </c>
      <c r="BD429" s="85" t="str">
        <f>'Consumer Hardware Pricing'!AL437</f>
        <v>-</v>
      </c>
      <c r="BE429" s="85" t="str">
        <f t="shared" si="1216"/>
        <v>-</v>
      </c>
      <c r="BF429" s="85" t="str">
        <f>'Consumer Hardware Pricing'!AM437</f>
        <v>-</v>
      </c>
      <c r="BG429" s="85" t="str">
        <f t="shared" ref="BG429" si="1492">IF(BF429="-",BE429,BE429-BF429)</f>
        <v>-</v>
      </c>
      <c r="BH429" s="85" t="str">
        <f t="shared" ref="BH429" si="1493">IF(BF429="-",BF429,BF429*24)</f>
        <v>-</v>
      </c>
      <c r="BI429" s="85" t="str">
        <f t="shared" ref="BI429" si="1494">IF(BD429="-",BD429,BD429+(BG429*24))</f>
        <v>-</v>
      </c>
      <c r="BJ429" s="85" t="str">
        <f>'Consumer Hardware Pricing'!AP437</f>
        <v>-</v>
      </c>
      <c r="BK429" s="85" t="str">
        <f t="shared" si="1217"/>
        <v>-</v>
      </c>
      <c r="BL429" s="85" t="str">
        <f>'Consumer Hardware Pricing'!AQ437</f>
        <v>-</v>
      </c>
      <c r="BM429" s="85" t="str">
        <f t="shared" ref="BM429" si="1495">IF(BL429="-",BK429,BK429-BL429)</f>
        <v>-</v>
      </c>
      <c r="BN429" s="85" t="str">
        <f t="shared" ref="BN429" si="1496">IF(BL429="-",BL429,BL429*24)</f>
        <v>-</v>
      </c>
      <c r="BO429" s="85" t="str">
        <f t="shared" ref="BO429" si="1497">IF(BJ429="-",BJ429,BJ429+(BM429*24))</f>
        <v>-</v>
      </c>
      <c r="BP429" s="85" t="str">
        <f>'Consumer Hardware Pricing'!AT437</f>
        <v>-</v>
      </c>
      <c r="BQ429" s="85" t="str">
        <f t="shared" si="1218"/>
        <v>-</v>
      </c>
      <c r="BR429" s="85" t="str">
        <f>'Consumer Hardware Pricing'!AU437</f>
        <v>-</v>
      </c>
      <c r="BS429" s="85" t="str">
        <f t="shared" ref="BS429" si="1498">IF(BR429="-",BQ429,BQ429-BR429)</f>
        <v>-</v>
      </c>
      <c r="BT429" s="85" t="str">
        <f t="shared" ref="BT429" si="1499">IF(BR429="-",BR429,BR429*24)</f>
        <v>-</v>
      </c>
      <c r="BU429" s="85" t="str">
        <f t="shared" ref="BU429" si="1500">IF(BP429="-",BP429,BP429+(BS429*24))</f>
        <v>-</v>
      </c>
    </row>
    <row r="430" spans="1:73" s="131" customFormat="1" ht="30.15" customHeight="1" x14ac:dyDescent="0.25">
      <c r="A430" s="87" t="s">
        <v>34</v>
      </c>
      <c r="B430" s="140" t="s">
        <v>1027</v>
      </c>
      <c r="C430" s="140" t="s">
        <v>1028</v>
      </c>
      <c r="D430" s="85">
        <f>'Consumer Hardware Pricing'!L438</f>
        <v>950</v>
      </c>
      <c r="E430" s="85">
        <f>'Consumer Hardware Pricing'!M438</f>
        <v>950</v>
      </c>
      <c r="F430" s="85">
        <f>'Consumer Hardware Pricing'!N438</f>
        <v>0</v>
      </c>
      <c r="G430" s="85">
        <f t="shared" si="1168"/>
        <v>39.589999999999996</v>
      </c>
      <c r="H430" s="85">
        <f>'Consumer Hardware Pricing'!O438</f>
        <v>6.3</v>
      </c>
      <c r="I430" s="85">
        <f t="shared" si="1439"/>
        <v>33.29</v>
      </c>
      <c r="J430" s="85">
        <f t="shared" si="1440"/>
        <v>151.19999999999999</v>
      </c>
      <c r="K430" s="85">
        <f t="shared" si="1441"/>
        <v>798.96</v>
      </c>
      <c r="L430" s="85" t="str">
        <f>'Consumer Hardware Pricing'!Q438</f>
        <v>-</v>
      </c>
      <c r="M430" s="85" t="str">
        <f t="shared" si="1169"/>
        <v>-</v>
      </c>
      <c r="N430" s="85" t="str">
        <f t="shared" si="1442"/>
        <v>-</v>
      </c>
      <c r="O430" s="85" t="str">
        <f t="shared" si="1443"/>
        <v>-</v>
      </c>
      <c r="P430" s="85" t="str">
        <f t="shared" si="1444"/>
        <v>-</v>
      </c>
      <c r="Q430" s="85">
        <f>'Consumer Hardware Pricing'!S438</f>
        <v>0</v>
      </c>
      <c r="R430" s="85">
        <f t="shared" si="1445"/>
        <v>39.589999999999996</v>
      </c>
      <c r="S430" s="85">
        <f>'Consumer Hardware Pricing'!T438</f>
        <v>6.3</v>
      </c>
      <c r="T430" s="129">
        <f t="shared" si="1446"/>
        <v>33.29</v>
      </c>
      <c r="U430" s="129">
        <f t="shared" si="1447"/>
        <v>151.19999999999999</v>
      </c>
      <c r="V430" s="85">
        <f t="shared" si="1448"/>
        <v>798.96</v>
      </c>
      <c r="W430" s="129" t="str">
        <f>'Consumer Hardware Pricing'!V438</f>
        <v>-</v>
      </c>
      <c r="X430" s="129" t="str">
        <f t="shared" si="1170"/>
        <v>-</v>
      </c>
      <c r="Y430" s="129" t="str">
        <f t="shared" si="1449"/>
        <v>-</v>
      </c>
      <c r="Z430" s="129" t="str">
        <f t="shared" si="1450"/>
        <v>-</v>
      </c>
      <c r="AA430" s="85" t="str">
        <f t="shared" si="1451"/>
        <v>-</v>
      </c>
      <c r="AB430" s="85">
        <f>'Consumer Hardware Pricing'!X438</f>
        <v>0</v>
      </c>
      <c r="AC430" s="85">
        <f t="shared" si="1211"/>
        <v>39.589999999999996</v>
      </c>
      <c r="AD430" s="85">
        <f>'Consumer Hardware Pricing'!Y438</f>
        <v>14.59</v>
      </c>
      <c r="AE430" s="85">
        <f t="shared" si="873"/>
        <v>24.999999999999996</v>
      </c>
      <c r="AF430" s="85">
        <f t="shared" si="874"/>
        <v>350.15999999999997</v>
      </c>
      <c r="AG430" s="85">
        <f t="shared" si="875"/>
        <v>599.99999999999989</v>
      </c>
      <c r="AH430" s="85" t="str">
        <f>'Consumer Hardware Pricing'!AA438</f>
        <v>-</v>
      </c>
      <c r="AI430" s="85" t="str">
        <f t="shared" si="1212"/>
        <v>-</v>
      </c>
      <c r="AJ430" s="85" t="str">
        <f t="shared" si="876"/>
        <v>-</v>
      </c>
      <c r="AK430" s="85" t="str">
        <f t="shared" si="877"/>
        <v>-</v>
      </c>
      <c r="AL430" s="85" t="str">
        <f t="shared" si="878"/>
        <v>-</v>
      </c>
      <c r="AM430" s="85">
        <f>'Consumer Hardware Pricing'!AC438</f>
        <v>0</v>
      </c>
      <c r="AN430" s="85">
        <f t="shared" si="1213"/>
        <v>39.589999999999996</v>
      </c>
      <c r="AO430" s="85">
        <f>'Consumer Hardware Pricing'!AD438</f>
        <v>14.59</v>
      </c>
      <c r="AP430" s="85">
        <f t="shared" si="879"/>
        <v>24.999999999999996</v>
      </c>
      <c r="AQ430" s="85">
        <f t="shared" si="880"/>
        <v>350.15999999999997</v>
      </c>
      <c r="AR430" s="85">
        <f t="shared" si="881"/>
        <v>599.99999999999989</v>
      </c>
      <c r="AS430" s="85" t="str">
        <f>'Consumer Hardware Pricing'!AF438</f>
        <v>-</v>
      </c>
      <c r="AT430" s="85" t="str">
        <f t="shared" si="1214"/>
        <v>-</v>
      </c>
      <c r="AU430" s="85" t="str">
        <f t="shared" si="882"/>
        <v>-</v>
      </c>
      <c r="AV430" s="85" t="str">
        <f t="shared" si="883"/>
        <v>-</v>
      </c>
      <c r="AW430" s="85" t="str">
        <f t="shared" si="884"/>
        <v>-</v>
      </c>
      <c r="AX430" s="85" t="str">
        <f>'Consumer Hardware Pricing'!AH438</f>
        <v>-</v>
      </c>
      <c r="AY430" s="85" t="str">
        <f t="shared" si="1215"/>
        <v>-</v>
      </c>
      <c r="AZ430" s="85" t="str">
        <f>'Consumer Hardware Pricing'!AI438</f>
        <v>-</v>
      </c>
      <c r="BA430" s="85" t="str">
        <f t="shared" si="1452"/>
        <v>-</v>
      </c>
      <c r="BB430" s="85" t="str">
        <f t="shared" si="1453"/>
        <v>-</v>
      </c>
      <c r="BC430" s="85" t="str">
        <f t="shared" si="1454"/>
        <v>-</v>
      </c>
      <c r="BD430" s="85" t="str">
        <f>'Consumer Hardware Pricing'!AL438</f>
        <v>-</v>
      </c>
      <c r="BE430" s="85" t="str">
        <f t="shared" si="1216"/>
        <v>-</v>
      </c>
      <c r="BF430" s="85" t="str">
        <f>'Consumer Hardware Pricing'!AM438</f>
        <v>-</v>
      </c>
      <c r="BG430" s="85" t="str">
        <f t="shared" si="1455"/>
        <v>-</v>
      </c>
      <c r="BH430" s="85" t="str">
        <f t="shared" si="1456"/>
        <v>-</v>
      </c>
      <c r="BI430" s="85" t="str">
        <f t="shared" si="1457"/>
        <v>-</v>
      </c>
      <c r="BJ430" s="85" t="str">
        <f>'Consumer Hardware Pricing'!AP438</f>
        <v>-</v>
      </c>
      <c r="BK430" s="85" t="str">
        <f t="shared" si="1217"/>
        <v>-</v>
      </c>
      <c r="BL430" s="85" t="str">
        <f>'Consumer Hardware Pricing'!AQ438</f>
        <v>-</v>
      </c>
      <c r="BM430" s="85" t="str">
        <f t="shared" si="1458"/>
        <v>-</v>
      </c>
      <c r="BN430" s="85" t="str">
        <f t="shared" si="1459"/>
        <v>-</v>
      </c>
      <c r="BO430" s="85" t="str">
        <f t="shared" si="1460"/>
        <v>-</v>
      </c>
      <c r="BP430" s="85" t="str">
        <f>'Consumer Hardware Pricing'!AT438</f>
        <v>-</v>
      </c>
      <c r="BQ430" s="85" t="str">
        <f t="shared" si="1218"/>
        <v>-</v>
      </c>
      <c r="BR430" s="85" t="str">
        <f>'Consumer Hardware Pricing'!AU438</f>
        <v>-</v>
      </c>
      <c r="BS430" s="85" t="str">
        <f t="shared" si="1461"/>
        <v>-</v>
      </c>
      <c r="BT430" s="85" t="str">
        <f t="shared" si="1462"/>
        <v>-</v>
      </c>
      <c r="BU430" s="85" t="str">
        <f t="shared" si="1463"/>
        <v>-</v>
      </c>
    </row>
    <row r="431" spans="1:73" s="131" customFormat="1" ht="30.15" customHeight="1" x14ac:dyDescent="0.25">
      <c r="A431" s="86" t="s">
        <v>35</v>
      </c>
      <c r="B431" s="88" t="s">
        <v>91</v>
      </c>
      <c r="C431" s="88" t="s">
        <v>92</v>
      </c>
      <c r="D431" s="85">
        <f>'Consumer Hardware Pricing'!L439</f>
        <v>179.99</v>
      </c>
      <c r="E431" s="85">
        <f>'Consumer Hardware Pricing'!M439</f>
        <v>179.99</v>
      </c>
      <c r="F431" s="85" t="str">
        <f>'Consumer Hardware Pricing'!N439</f>
        <v>-</v>
      </c>
      <c r="G431" s="85" t="str">
        <f t="shared" si="1168"/>
        <v>-</v>
      </c>
      <c r="H431" s="85" t="str">
        <f>'Consumer Hardware Pricing'!O439</f>
        <v>-</v>
      </c>
      <c r="I431" s="85" t="str">
        <f t="shared" si="885"/>
        <v>-</v>
      </c>
      <c r="J431" s="85" t="str">
        <f t="shared" si="897"/>
        <v>-</v>
      </c>
      <c r="K431" s="85" t="str">
        <f t="shared" si="898"/>
        <v>-</v>
      </c>
      <c r="L431" s="85" t="str">
        <f>'Consumer Hardware Pricing'!Q439</f>
        <v>-</v>
      </c>
      <c r="M431" s="85" t="str">
        <f t="shared" si="1169"/>
        <v>-</v>
      </c>
      <c r="N431" s="85" t="str">
        <f t="shared" si="886"/>
        <v>-</v>
      </c>
      <c r="O431" s="85" t="str">
        <f t="shared" si="887"/>
        <v>-</v>
      </c>
      <c r="P431" s="85" t="str">
        <f t="shared" si="899"/>
        <v>-</v>
      </c>
      <c r="Q431" s="85" t="str">
        <f>'Consumer Hardware Pricing'!S439</f>
        <v>-</v>
      </c>
      <c r="R431" s="85" t="str">
        <f t="shared" si="888"/>
        <v>-</v>
      </c>
      <c r="S431" s="85" t="str">
        <f>'Consumer Hardware Pricing'!T439</f>
        <v>-</v>
      </c>
      <c r="T431" s="129" t="str">
        <f t="shared" si="900"/>
        <v>-</v>
      </c>
      <c r="U431" s="129" t="str">
        <f t="shared" si="901"/>
        <v>-</v>
      </c>
      <c r="V431" s="85" t="str">
        <f t="shared" si="902"/>
        <v>-</v>
      </c>
      <c r="W431" s="129" t="str">
        <f>'Consumer Hardware Pricing'!V439</f>
        <v>-</v>
      </c>
      <c r="X431" s="129" t="str">
        <f t="shared" si="1170"/>
        <v>-</v>
      </c>
      <c r="Y431" s="129" t="str">
        <f t="shared" si="903"/>
        <v>-</v>
      </c>
      <c r="Z431" s="129" t="str">
        <f t="shared" si="904"/>
        <v>-</v>
      </c>
      <c r="AA431" s="85" t="str">
        <f t="shared" si="905"/>
        <v>-</v>
      </c>
      <c r="AB431" s="85" t="str">
        <f>'Consumer Hardware Pricing'!X439</f>
        <v>-</v>
      </c>
      <c r="AC431" s="85" t="str">
        <f t="shared" si="1211"/>
        <v>-</v>
      </c>
      <c r="AD431" s="85" t="str">
        <f>'Consumer Hardware Pricing'!Y439</f>
        <v>-</v>
      </c>
      <c r="AE431" s="85" t="str">
        <f t="shared" ref="AE431:AE484" si="1501">IF(AD431="-",AC431,AC431-AD431)</f>
        <v>-</v>
      </c>
      <c r="AF431" s="85" t="str">
        <f t="shared" ref="AF431:AF484" si="1502">IF(AD431="-",AD431,AD431*24)</f>
        <v>-</v>
      </c>
      <c r="AG431" s="85" t="str">
        <f t="shared" ref="AG431:AG484" si="1503">IF(AB431="-",AB431,AE431*24)</f>
        <v>-</v>
      </c>
      <c r="AH431" s="85" t="str">
        <f>'Consumer Hardware Pricing'!AA439</f>
        <v>-</v>
      </c>
      <c r="AI431" s="85" t="str">
        <f t="shared" si="1212"/>
        <v>-</v>
      </c>
      <c r="AJ431" s="85" t="str">
        <f t="shared" ref="AJ431:AJ484" si="1504">IF(AH431="-",AH431,AC431-AI431)</f>
        <v>-</v>
      </c>
      <c r="AK431" s="85" t="str">
        <f t="shared" ref="AK431:AK484" si="1505">IF(AH431="-",AH431,AI431*24)</f>
        <v>-</v>
      </c>
      <c r="AL431" s="85" t="str">
        <f t="shared" ref="AL431:AL484" si="1506">IF(AH431="-",AH431,AJ431*24)</f>
        <v>-</v>
      </c>
      <c r="AM431" s="85" t="str">
        <f>'Consumer Hardware Pricing'!AC439</f>
        <v>-</v>
      </c>
      <c r="AN431" s="85" t="str">
        <f t="shared" si="1213"/>
        <v>-</v>
      </c>
      <c r="AO431" s="85" t="str">
        <f>'Consumer Hardware Pricing'!AD439</f>
        <v>-</v>
      </c>
      <c r="AP431" s="85" t="str">
        <f t="shared" ref="AP431:AP484" si="1507">IF(AO431="-",AN431,AN431-AO431)</f>
        <v>-</v>
      </c>
      <c r="AQ431" s="85" t="str">
        <f t="shared" ref="AQ431:AQ484" si="1508">IF(AO431="-",AO431,AO431*24)</f>
        <v>-</v>
      </c>
      <c r="AR431" s="85" t="str">
        <f t="shared" ref="AR431:AR484" si="1509">IF(AM431="-",AM431,AP431*24)</f>
        <v>-</v>
      </c>
      <c r="AS431" s="85" t="str">
        <f>'Consumer Hardware Pricing'!AF439</f>
        <v>-</v>
      </c>
      <c r="AT431" s="85" t="str">
        <f t="shared" si="1214"/>
        <v>-</v>
      </c>
      <c r="AU431" s="85" t="str">
        <f t="shared" ref="AU431:AU484" si="1510">IF(AS431="-",AS431,AN431-AT431)</f>
        <v>-</v>
      </c>
      <c r="AV431" s="85" t="str">
        <f t="shared" ref="AV431:AV484" si="1511">IF(AS431="-",AS431,AT431*24)</f>
        <v>-</v>
      </c>
      <c r="AW431" s="85" t="str">
        <f t="shared" ref="AW431:AW484" si="1512">IF(AS431="-",AS431,AU431*24)</f>
        <v>-</v>
      </c>
      <c r="AX431" s="85" t="str">
        <f>'Consumer Hardware Pricing'!AH439</f>
        <v>-</v>
      </c>
      <c r="AY431" s="85" t="str">
        <f t="shared" si="1215"/>
        <v>-</v>
      </c>
      <c r="AZ431" s="85" t="str">
        <f>'Consumer Hardware Pricing'!AI439</f>
        <v>-</v>
      </c>
      <c r="BA431" s="85" t="str">
        <f t="shared" si="889"/>
        <v>-</v>
      </c>
      <c r="BB431" s="85" t="str">
        <f t="shared" si="890"/>
        <v>-</v>
      </c>
      <c r="BC431" s="85" t="str">
        <f t="shared" si="906"/>
        <v>-</v>
      </c>
      <c r="BD431" s="85">
        <f>'Consumer Hardware Pricing'!AL439</f>
        <v>0</v>
      </c>
      <c r="BE431" s="85">
        <f t="shared" si="1216"/>
        <v>7.5</v>
      </c>
      <c r="BF431" s="85" t="str">
        <f>'Consumer Hardware Pricing'!AM439</f>
        <v>-</v>
      </c>
      <c r="BG431" s="85">
        <f t="shared" si="891"/>
        <v>7.5</v>
      </c>
      <c r="BH431" s="85" t="str">
        <f t="shared" si="892"/>
        <v>-</v>
      </c>
      <c r="BI431" s="85">
        <f t="shared" si="907"/>
        <v>180</v>
      </c>
      <c r="BJ431" s="85" t="str">
        <f>'Consumer Hardware Pricing'!AP439</f>
        <v>-</v>
      </c>
      <c r="BK431" s="85" t="str">
        <f t="shared" si="1217"/>
        <v>-</v>
      </c>
      <c r="BL431" s="85" t="str">
        <f>'Consumer Hardware Pricing'!AQ439</f>
        <v>-</v>
      </c>
      <c r="BM431" s="85" t="str">
        <f t="shared" si="893"/>
        <v>-</v>
      </c>
      <c r="BN431" s="85" t="str">
        <f t="shared" si="894"/>
        <v>-</v>
      </c>
      <c r="BO431" s="85" t="str">
        <f t="shared" si="908"/>
        <v>-</v>
      </c>
      <c r="BP431" s="85" t="str">
        <f>'Consumer Hardware Pricing'!AT439</f>
        <v>-</v>
      </c>
      <c r="BQ431" s="85" t="str">
        <f t="shared" si="1218"/>
        <v>-</v>
      </c>
      <c r="BR431" s="85" t="str">
        <f>'Consumer Hardware Pricing'!AU439</f>
        <v>-</v>
      </c>
      <c r="BS431" s="85" t="str">
        <f t="shared" si="895"/>
        <v>-</v>
      </c>
      <c r="BT431" s="85" t="str">
        <f t="shared" si="896"/>
        <v>-</v>
      </c>
      <c r="BU431" s="85" t="str">
        <f t="shared" si="909"/>
        <v>-</v>
      </c>
    </row>
    <row r="432" spans="1:73" s="131" customFormat="1" ht="30.15" customHeight="1" x14ac:dyDescent="0.25">
      <c r="A432" s="87" t="s">
        <v>34</v>
      </c>
      <c r="B432" s="88" t="s">
        <v>390</v>
      </c>
      <c r="C432" s="88" t="s">
        <v>393</v>
      </c>
      <c r="D432" s="85">
        <f>'Consumer Hardware Pricing'!L440</f>
        <v>260</v>
      </c>
      <c r="E432" s="85">
        <f>'Consumer Hardware Pricing'!M440</f>
        <v>260</v>
      </c>
      <c r="F432" s="85">
        <f>'Consumer Hardware Pricing'!N440</f>
        <v>0</v>
      </c>
      <c r="G432" s="85">
        <f t="shared" si="1168"/>
        <v>10.84</v>
      </c>
      <c r="H432" s="85" t="str">
        <f>'Consumer Hardware Pricing'!O440</f>
        <v>-</v>
      </c>
      <c r="I432" s="85">
        <f t="shared" si="885"/>
        <v>10.84</v>
      </c>
      <c r="J432" s="85" t="str">
        <f t="shared" si="897"/>
        <v>-</v>
      </c>
      <c r="K432" s="85">
        <f t="shared" si="898"/>
        <v>260.15999999999997</v>
      </c>
      <c r="L432" s="85" t="str">
        <f>'Consumer Hardware Pricing'!Q440</f>
        <v>-</v>
      </c>
      <c r="M432" s="85" t="str">
        <f t="shared" si="1169"/>
        <v>-</v>
      </c>
      <c r="N432" s="85" t="str">
        <f t="shared" si="886"/>
        <v>-</v>
      </c>
      <c r="O432" s="85" t="str">
        <f t="shared" si="887"/>
        <v>-</v>
      </c>
      <c r="P432" s="85" t="str">
        <f t="shared" si="899"/>
        <v>-</v>
      </c>
      <c r="Q432" s="85">
        <f>'Consumer Hardware Pricing'!S440</f>
        <v>0</v>
      </c>
      <c r="R432" s="85">
        <f t="shared" si="888"/>
        <v>10.84</v>
      </c>
      <c r="S432" s="85" t="str">
        <f>'Consumer Hardware Pricing'!T440</f>
        <v>-</v>
      </c>
      <c r="T432" s="129">
        <f t="shared" si="900"/>
        <v>10.84</v>
      </c>
      <c r="U432" s="129" t="str">
        <f t="shared" si="901"/>
        <v>-</v>
      </c>
      <c r="V432" s="85">
        <f t="shared" si="902"/>
        <v>260.15999999999997</v>
      </c>
      <c r="W432" s="129" t="str">
        <f>'Consumer Hardware Pricing'!V440</f>
        <v>-</v>
      </c>
      <c r="X432" s="129" t="str">
        <f t="shared" si="1170"/>
        <v>-</v>
      </c>
      <c r="Y432" s="129" t="str">
        <f t="shared" si="903"/>
        <v>-</v>
      </c>
      <c r="Z432" s="129" t="str">
        <f t="shared" si="904"/>
        <v>-</v>
      </c>
      <c r="AA432" s="85" t="str">
        <f t="shared" si="905"/>
        <v>-</v>
      </c>
      <c r="AB432" s="85">
        <f>'Consumer Hardware Pricing'!X440</f>
        <v>0</v>
      </c>
      <c r="AC432" s="85">
        <f t="shared" si="1211"/>
        <v>10.84</v>
      </c>
      <c r="AD432" s="85" t="str">
        <f>'Consumer Hardware Pricing'!Y440</f>
        <v>-</v>
      </c>
      <c r="AE432" s="85">
        <f t="shared" si="1501"/>
        <v>10.84</v>
      </c>
      <c r="AF432" s="85" t="str">
        <f t="shared" si="1502"/>
        <v>-</v>
      </c>
      <c r="AG432" s="85">
        <f t="shared" si="1503"/>
        <v>260.15999999999997</v>
      </c>
      <c r="AH432" s="85" t="str">
        <f>'Consumer Hardware Pricing'!AA440</f>
        <v>-</v>
      </c>
      <c r="AI432" s="85" t="str">
        <f t="shared" si="1212"/>
        <v>-</v>
      </c>
      <c r="AJ432" s="85" t="str">
        <f t="shared" si="1504"/>
        <v>-</v>
      </c>
      <c r="AK432" s="85" t="str">
        <f t="shared" si="1505"/>
        <v>-</v>
      </c>
      <c r="AL432" s="85" t="str">
        <f t="shared" si="1506"/>
        <v>-</v>
      </c>
      <c r="AM432" s="85">
        <f>'Consumer Hardware Pricing'!AC440</f>
        <v>0</v>
      </c>
      <c r="AN432" s="85">
        <f t="shared" si="1213"/>
        <v>10.84</v>
      </c>
      <c r="AO432" s="85" t="str">
        <f>'Consumer Hardware Pricing'!AD440</f>
        <v>-</v>
      </c>
      <c r="AP432" s="85">
        <f t="shared" si="1507"/>
        <v>10.84</v>
      </c>
      <c r="AQ432" s="85" t="str">
        <f t="shared" si="1508"/>
        <v>-</v>
      </c>
      <c r="AR432" s="85">
        <f t="shared" si="1509"/>
        <v>260.15999999999997</v>
      </c>
      <c r="AS432" s="85" t="str">
        <f>'Consumer Hardware Pricing'!AF440</f>
        <v>-</v>
      </c>
      <c r="AT432" s="85" t="str">
        <f t="shared" si="1214"/>
        <v>-</v>
      </c>
      <c r="AU432" s="85" t="str">
        <f t="shared" si="1510"/>
        <v>-</v>
      </c>
      <c r="AV432" s="85" t="str">
        <f t="shared" si="1511"/>
        <v>-</v>
      </c>
      <c r="AW432" s="85" t="str">
        <f t="shared" si="1512"/>
        <v>-</v>
      </c>
      <c r="AX432" s="85">
        <f>'Consumer Hardware Pricing'!AH440</f>
        <v>0</v>
      </c>
      <c r="AY432" s="85">
        <f t="shared" si="1215"/>
        <v>10.84</v>
      </c>
      <c r="AZ432" s="85" t="str">
        <f>'Consumer Hardware Pricing'!AI440</f>
        <v>-</v>
      </c>
      <c r="BA432" s="85">
        <f t="shared" si="889"/>
        <v>10.84</v>
      </c>
      <c r="BB432" s="85" t="str">
        <f t="shared" si="890"/>
        <v>-</v>
      </c>
      <c r="BC432" s="85">
        <f t="shared" si="906"/>
        <v>260.15999999999997</v>
      </c>
      <c r="BD432" s="85" t="str">
        <f>'Consumer Hardware Pricing'!AL440</f>
        <v>-</v>
      </c>
      <c r="BE432" s="85" t="str">
        <f t="shared" si="1216"/>
        <v>-</v>
      </c>
      <c r="BF432" s="85" t="str">
        <f>'Consumer Hardware Pricing'!AM440</f>
        <v>-</v>
      </c>
      <c r="BG432" s="85" t="str">
        <f t="shared" si="891"/>
        <v>-</v>
      </c>
      <c r="BH432" s="85" t="str">
        <f t="shared" si="892"/>
        <v>-</v>
      </c>
      <c r="BI432" s="85" t="str">
        <f t="shared" si="907"/>
        <v>-</v>
      </c>
      <c r="BJ432" s="85" t="str">
        <f>'Consumer Hardware Pricing'!AP440</f>
        <v>-</v>
      </c>
      <c r="BK432" s="85" t="str">
        <f t="shared" si="1217"/>
        <v>-</v>
      </c>
      <c r="BL432" s="85" t="str">
        <f>'Consumer Hardware Pricing'!AQ440</f>
        <v>-</v>
      </c>
      <c r="BM432" s="85" t="str">
        <f t="shared" si="893"/>
        <v>-</v>
      </c>
      <c r="BN432" s="85" t="str">
        <f t="shared" si="894"/>
        <v>-</v>
      </c>
      <c r="BO432" s="85" t="str">
        <f t="shared" si="908"/>
        <v>-</v>
      </c>
      <c r="BP432" s="85" t="str">
        <f>'Consumer Hardware Pricing'!AT440</f>
        <v>-</v>
      </c>
      <c r="BQ432" s="85" t="str">
        <f t="shared" si="1218"/>
        <v>-</v>
      </c>
      <c r="BR432" s="85" t="str">
        <f>'Consumer Hardware Pricing'!AU440</f>
        <v>-</v>
      </c>
      <c r="BS432" s="85" t="str">
        <f t="shared" si="895"/>
        <v>-</v>
      </c>
      <c r="BT432" s="85" t="str">
        <f t="shared" si="896"/>
        <v>-</v>
      </c>
      <c r="BU432" s="85" t="str">
        <f t="shared" si="909"/>
        <v>-</v>
      </c>
    </row>
    <row r="433" spans="1:73" s="131" customFormat="1" ht="30.15" customHeight="1" x14ac:dyDescent="0.25">
      <c r="A433" s="87" t="s">
        <v>34</v>
      </c>
      <c r="B433" s="88" t="s">
        <v>391</v>
      </c>
      <c r="C433" s="88" t="s">
        <v>394</v>
      </c>
      <c r="D433" s="85">
        <f>'Consumer Hardware Pricing'!L441</f>
        <v>670</v>
      </c>
      <c r="E433" s="85">
        <f>'Consumer Hardware Pricing'!M441</f>
        <v>670</v>
      </c>
      <c r="F433" s="85">
        <f>'Consumer Hardware Pricing'!N441</f>
        <v>0</v>
      </c>
      <c r="G433" s="85">
        <f t="shared" si="1168"/>
        <v>27.92</v>
      </c>
      <c r="H433" s="85" t="str">
        <f>'Consumer Hardware Pricing'!O441</f>
        <v>-</v>
      </c>
      <c r="I433" s="85">
        <f t="shared" si="885"/>
        <v>27.92</v>
      </c>
      <c r="J433" s="85" t="str">
        <f t="shared" si="897"/>
        <v>-</v>
      </c>
      <c r="K433" s="85">
        <f t="shared" si="898"/>
        <v>670.08</v>
      </c>
      <c r="L433" s="85" t="str">
        <f>'Consumer Hardware Pricing'!Q441</f>
        <v>-</v>
      </c>
      <c r="M433" s="85" t="str">
        <f t="shared" si="1169"/>
        <v>-</v>
      </c>
      <c r="N433" s="85" t="str">
        <f t="shared" si="886"/>
        <v>-</v>
      </c>
      <c r="O433" s="85" t="str">
        <f t="shared" si="887"/>
        <v>-</v>
      </c>
      <c r="P433" s="85" t="str">
        <f t="shared" si="899"/>
        <v>-</v>
      </c>
      <c r="Q433" s="85">
        <f>'Consumer Hardware Pricing'!S441</f>
        <v>0</v>
      </c>
      <c r="R433" s="85">
        <f t="shared" si="888"/>
        <v>27.92</v>
      </c>
      <c r="S433" s="85" t="str">
        <f>'Consumer Hardware Pricing'!T441</f>
        <v>-</v>
      </c>
      <c r="T433" s="129">
        <f t="shared" si="900"/>
        <v>27.92</v>
      </c>
      <c r="U433" s="129" t="str">
        <f t="shared" si="901"/>
        <v>-</v>
      </c>
      <c r="V433" s="85">
        <f t="shared" si="902"/>
        <v>670.08</v>
      </c>
      <c r="W433" s="129" t="str">
        <f>'Consumer Hardware Pricing'!V441</f>
        <v>-</v>
      </c>
      <c r="X433" s="129" t="str">
        <f t="shared" si="1170"/>
        <v>-</v>
      </c>
      <c r="Y433" s="129" t="str">
        <f t="shared" si="903"/>
        <v>-</v>
      </c>
      <c r="Z433" s="129" t="str">
        <f t="shared" si="904"/>
        <v>-</v>
      </c>
      <c r="AA433" s="85" t="str">
        <f t="shared" si="905"/>
        <v>-</v>
      </c>
      <c r="AB433" s="85">
        <f>'Consumer Hardware Pricing'!X441</f>
        <v>0</v>
      </c>
      <c r="AC433" s="85">
        <f t="shared" si="1211"/>
        <v>27.92</v>
      </c>
      <c r="AD433" s="85" t="str">
        <f>'Consumer Hardware Pricing'!Y441</f>
        <v>-</v>
      </c>
      <c r="AE433" s="85">
        <f t="shared" si="1501"/>
        <v>27.92</v>
      </c>
      <c r="AF433" s="85" t="str">
        <f t="shared" si="1502"/>
        <v>-</v>
      </c>
      <c r="AG433" s="85">
        <f t="shared" si="1503"/>
        <v>670.08</v>
      </c>
      <c r="AH433" s="85" t="str">
        <f>'Consumer Hardware Pricing'!AA441</f>
        <v>-</v>
      </c>
      <c r="AI433" s="85" t="str">
        <f t="shared" si="1212"/>
        <v>-</v>
      </c>
      <c r="AJ433" s="85" t="str">
        <f t="shared" si="1504"/>
        <v>-</v>
      </c>
      <c r="AK433" s="85" t="str">
        <f t="shared" si="1505"/>
        <v>-</v>
      </c>
      <c r="AL433" s="85" t="str">
        <f t="shared" si="1506"/>
        <v>-</v>
      </c>
      <c r="AM433" s="85">
        <f>'Consumer Hardware Pricing'!AC441</f>
        <v>0</v>
      </c>
      <c r="AN433" s="85">
        <f t="shared" si="1213"/>
        <v>27.92</v>
      </c>
      <c r="AO433" s="85" t="str">
        <f>'Consumer Hardware Pricing'!AD441</f>
        <v>-</v>
      </c>
      <c r="AP433" s="85">
        <f t="shared" si="1507"/>
        <v>27.92</v>
      </c>
      <c r="AQ433" s="85" t="str">
        <f t="shared" si="1508"/>
        <v>-</v>
      </c>
      <c r="AR433" s="85">
        <f t="shared" si="1509"/>
        <v>670.08</v>
      </c>
      <c r="AS433" s="85" t="str">
        <f>'Consumer Hardware Pricing'!AF441</f>
        <v>-</v>
      </c>
      <c r="AT433" s="85" t="str">
        <f t="shared" si="1214"/>
        <v>-</v>
      </c>
      <c r="AU433" s="85" t="str">
        <f t="shared" si="1510"/>
        <v>-</v>
      </c>
      <c r="AV433" s="85" t="str">
        <f t="shared" si="1511"/>
        <v>-</v>
      </c>
      <c r="AW433" s="85" t="str">
        <f t="shared" si="1512"/>
        <v>-</v>
      </c>
      <c r="AX433" s="85" t="str">
        <f>'Consumer Hardware Pricing'!AH441</f>
        <v>-</v>
      </c>
      <c r="AY433" s="85" t="str">
        <f t="shared" si="1215"/>
        <v>-</v>
      </c>
      <c r="AZ433" s="85" t="str">
        <f>'Consumer Hardware Pricing'!AI441</f>
        <v>-</v>
      </c>
      <c r="BA433" s="85" t="str">
        <f t="shared" si="889"/>
        <v>-</v>
      </c>
      <c r="BB433" s="85" t="str">
        <f t="shared" si="890"/>
        <v>-</v>
      </c>
      <c r="BC433" s="85" t="str">
        <f t="shared" si="906"/>
        <v>-</v>
      </c>
      <c r="BD433" s="85" t="str">
        <f>'Consumer Hardware Pricing'!AL441</f>
        <v>-</v>
      </c>
      <c r="BE433" s="85" t="str">
        <f t="shared" si="1216"/>
        <v>-</v>
      </c>
      <c r="BF433" s="85" t="str">
        <f>'Consumer Hardware Pricing'!AM441</f>
        <v>-</v>
      </c>
      <c r="BG433" s="85" t="str">
        <f t="shared" si="891"/>
        <v>-</v>
      </c>
      <c r="BH433" s="85" t="str">
        <f t="shared" si="892"/>
        <v>-</v>
      </c>
      <c r="BI433" s="85" t="str">
        <f t="shared" si="907"/>
        <v>-</v>
      </c>
      <c r="BJ433" s="85" t="str">
        <f>'Consumer Hardware Pricing'!AP441</f>
        <v>-</v>
      </c>
      <c r="BK433" s="85" t="str">
        <f t="shared" si="1217"/>
        <v>-</v>
      </c>
      <c r="BL433" s="85" t="str">
        <f>'Consumer Hardware Pricing'!AQ441</f>
        <v>-</v>
      </c>
      <c r="BM433" s="85" t="str">
        <f t="shared" si="893"/>
        <v>-</v>
      </c>
      <c r="BN433" s="85" t="str">
        <f t="shared" si="894"/>
        <v>-</v>
      </c>
      <c r="BO433" s="85" t="str">
        <f t="shared" si="908"/>
        <v>-</v>
      </c>
      <c r="BP433" s="85" t="str">
        <f>'Consumer Hardware Pricing'!AT441</f>
        <v>-</v>
      </c>
      <c r="BQ433" s="85" t="str">
        <f t="shared" si="1218"/>
        <v>-</v>
      </c>
      <c r="BR433" s="85" t="str">
        <f>'Consumer Hardware Pricing'!AU441</f>
        <v>-</v>
      </c>
      <c r="BS433" s="85" t="str">
        <f t="shared" si="895"/>
        <v>-</v>
      </c>
      <c r="BT433" s="85" t="str">
        <f t="shared" si="896"/>
        <v>-</v>
      </c>
      <c r="BU433" s="85" t="str">
        <f t="shared" si="909"/>
        <v>-</v>
      </c>
    </row>
    <row r="434" spans="1:73" s="131" customFormat="1" ht="30.15" customHeight="1" x14ac:dyDescent="0.25">
      <c r="A434" s="87" t="s">
        <v>34</v>
      </c>
      <c r="B434" s="88" t="s">
        <v>392</v>
      </c>
      <c r="C434" s="88" t="s">
        <v>395</v>
      </c>
      <c r="D434" s="85">
        <f>'Consumer Hardware Pricing'!L442</f>
        <v>950</v>
      </c>
      <c r="E434" s="85">
        <f>'Consumer Hardware Pricing'!M442</f>
        <v>950</v>
      </c>
      <c r="F434" s="85">
        <f>'Consumer Hardware Pricing'!N442</f>
        <v>0</v>
      </c>
      <c r="G434" s="85">
        <f t="shared" si="1168"/>
        <v>39.589999999999996</v>
      </c>
      <c r="H434" s="85" t="str">
        <f>'Consumer Hardware Pricing'!O442</f>
        <v>-</v>
      </c>
      <c r="I434" s="85">
        <f t="shared" si="885"/>
        <v>39.589999999999996</v>
      </c>
      <c r="J434" s="85" t="str">
        <f t="shared" si="897"/>
        <v>-</v>
      </c>
      <c r="K434" s="85">
        <f t="shared" si="898"/>
        <v>950.15999999999985</v>
      </c>
      <c r="L434" s="85" t="str">
        <f>'Consumer Hardware Pricing'!Q442</f>
        <v>-</v>
      </c>
      <c r="M434" s="85" t="str">
        <f t="shared" si="1169"/>
        <v>-</v>
      </c>
      <c r="N434" s="85" t="str">
        <f t="shared" si="886"/>
        <v>-</v>
      </c>
      <c r="O434" s="85" t="str">
        <f t="shared" si="887"/>
        <v>-</v>
      </c>
      <c r="P434" s="85" t="str">
        <f t="shared" si="899"/>
        <v>-</v>
      </c>
      <c r="Q434" s="85">
        <f>'Consumer Hardware Pricing'!S442</f>
        <v>0</v>
      </c>
      <c r="R434" s="85">
        <f t="shared" si="888"/>
        <v>39.589999999999996</v>
      </c>
      <c r="S434" s="85" t="str">
        <f>'Consumer Hardware Pricing'!T442</f>
        <v>-</v>
      </c>
      <c r="T434" s="129">
        <f t="shared" si="900"/>
        <v>39.589999999999996</v>
      </c>
      <c r="U434" s="129" t="str">
        <f t="shared" si="901"/>
        <v>-</v>
      </c>
      <c r="V434" s="85">
        <f t="shared" si="902"/>
        <v>950.15999999999985</v>
      </c>
      <c r="W434" s="129" t="str">
        <f>'Consumer Hardware Pricing'!V442</f>
        <v>-</v>
      </c>
      <c r="X434" s="129" t="str">
        <f t="shared" si="1170"/>
        <v>-</v>
      </c>
      <c r="Y434" s="129" t="str">
        <f t="shared" si="903"/>
        <v>-</v>
      </c>
      <c r="Z434" s="129" t="str">
        <f t="shared" si="904"/>
        <v>-</v>
      </c>
      <c r="AA434" s="85" t="str">
        <f t="shared" si="905"/>
        <v>-</v>
      </c>
      <c r="AB434" s="85">
        <f>'Consumer Hardware Pricing'!X442</f>
        <v>0</v>
      </c>
      <c r="AC434" s="85">
        <f t="shared" si="1211"/>
        <v>39.589999999999996</v>
      </c>
      <c r="AD434" s="85" t="str">
        <f>'Consumer Hardware Pricing'!Y442</f>
        <v>-</v>
      </c>
      <c r="AE434" s="85">
        <f t="shared" si="1501"/>
        <v>39.589999999999996</v>
      </c>
      <c r="AF434" s="85" t="str">
        <f t="shared" si="1502"/>
        <v>-</v>
      </c>
      <c r="AG434" s="85">
        <f t="shared" si="1503"/>
        <v>950.15999999999985</v>
      </c>
      <c r="AH434" s="85" t="str">
        <f>'Consumer Hardware Pricing'!AA442</f>
        <v>-</v>
      </c>
      <c r="AI434" s="85" t="str">
        <f t="shared" si="1212"/>
        <v>-</v>
      </c>
      <c r="AJ434" s="85" t="str">
        <f t="shared" si="1504"/>
        <v>-</v>
      </c>
      <c r="AK434" s="85" t="str">
        <f t="shared" si="1505"/>
        <v>-</v>
      </c>
      <c r="AL434" s="85" t="str">
        <f t="shared" si="1506"/>
        <v>-</v>
      </c>
      <c r="AM434" s="85">
        <f>'Consumer Hardware Pricing'!AC442</f>
        <v>0</v>
      </c>
      <c r="AN434" s="85">
        <f t="shared" si="1213"/>
        <v>39.589999999999996</v>
      </c>
      <c r="AO434" s="85" t="str">
        <f>'Consumer Hardware Pricing'!AD442</f>
        <v>-</v>
      </c>
      <c r="AP434" s="85">
        <f t="shared" si="1507"/>
        <v>39.589999999999996</v>
      </c>
      <c r="AQ434" s="85" t="str">
        <f t="shared" si="1508"/>
        <v>-</v>
      </c>
      <c r="AR434" s="85">
        <f t="shared" si="1509"/>
        <v>950.15999999999985</v>
      </c>
      <c r="AS434" s="85" t="str">
        <f>'Consumer Hardware Pricing'!AF442</f>
        <v>-</v>
      </c>
      <c r="AT434" s="85" t="str">
        <f t="shared" si="1214"/>
        <v>-</v>
      </c>
      <c r="AU434" s="85" t="str">
        <f t="shared" si="1510"/>
        <v>-</v>
      </c>
      <c r="AV434" s="85" t="str">
        <f t="shared" si="1511"/>
        <v>-</v>
      </c>
      <c r="AW434" s="85" t="str">
        <f t="shared" si="1512"/>
        <v>-</v>
      </c>
      <c r="AX434" s="85" t="str">
        <f>'Consumer Hardware Pricing'!AH442</f>
        <v>-</v>
      </c>
      <c r="AY434" s="85" t="str">
        <f t="shared" si="1215"/>
        <v>-</v>
      </c>
      <c r="AZ434" s="85" t="str">
        <f>'Consumer Hardware Pricing'!AI442</f>
        <v>-</v>
      </c>
      <c r="BA434" s="85" t="str">
        <f t="shared" si="889"/>
        <v>-</v>
      </c>
      <c r="BB434" s="85" t="str">
        <f t="shared" si="890"/>
        <v>-</v>
      </c>
      <c r="BC434" s="85" t="str">
        <f t="shared" si="906"/>
        <v>-</v>
      </c>
      <c r="BD434" s="85" t="str">
        <f>'Consumer Hardware Pricing'!AL442</f>
        <v>-</v>
      </c>
      <c r="BE434" s="85" t="str">
        <f t="shared" si="1216"/>
        <v>-</v>
      </c>
      <c r="BF434" s="85" t="str">
        <f>'Consumer Hardware Pricing'!AM442</f>
        <v>-</v>
      </c>
      <c r="BG434" s="85" t="str">
        <f t="shared" si="891"/>
        <v>-</v>
      </c>
      <c r="BH434" s="85" t="str">
        <f t="shared" si="892"/>
        <v>-</v>
      </c>
      <c r="BI434" s="85" t="str">
        <f t="shared" si="907"/>
        <v>-</v>
      </c>
      <c r="BJ434" s="85" t="str">
        <f>'Consumer Hardware Pricing'!AP442</f>
        <v>-</v>
      </c>
      <c r="BK434" s="85" t="str">
        <f t="shared" si="1217"/>
        <v>-</v>
      </c>
      <c r="BL434" s="85" t="str">
        <f>'Consumer Hardware Pricing'!AQ442</f>
        <v>-</v>
      </c>
      <c r="BM434" s="85" t="str">
        <f t="shared" si="893"/>
        <v>-</v>
      </c>
      <c r="BN434" s="85" t="str">
        <f t="shared" si="894"/>
        <v>-</v>
      </c>
      <c r="BO434" s="85" t="str">
        <f t="shared" si="908"/>
        <v>-</v>
      </c>
      <c r="BP434" s="85" t="str">
        <f>'Consumer Hardware Pricing'!AT442</f>
        <v>-</v>
      </c>
      <c r="BQ434" s="85" t="str">
        <f t="shared" si="1218"/>
        <v>-</v>
      </c>
      <c r="BR434" s="85" t="str">
        <f>'Consumer Hardware Pricing'!AU442</f>
        <v>-</v>
      </c>
      <c r="BS434" s="85" t="str">
        <f t="shared" si="895"/>
        <v>-</v>
      </c>
      <c r="BT434" s="85" t="str">
        <f t="shared" si="896"/>
        <v>-</v>
      </c>
      <c r="BU434" s="85" t="str">
        <f t="shared" si="909"/>
        <v>-</v>
      </c>
    </row>
    <row r="435" spans="1:73" s="131" customFormat="1" ht="30.15" customHeight="1" x14ac:dyDescent="0.25">
      <c r="A435" s="87" t="s">
        <v>34</v>
      </c>
      <c r="B435" s="88" t="s">
        <v>446</v>
      </c>
      <c r="C435" s="88" t="s">
        <v>395</v>
      </c>
      <c r="D435" s="85">
        <f>'Consumer Hardware Pricing'!L443</f>
        <v>950</v>
      </c>
      <c r="E435" s="85">
        <f>'Consumer Hardware Pricing'!M443</f>
        <v>950</v>
      </c>
      <c r="F435" s="85">
        <f>'Consumer Hardware Pricing'!N443</f>
        <v>0</v>
      </c>
      <c r="G435" s="85">
        <f t="shared" si="1168"/>
        <v>39.589999999999996</v>
      </c>
      <c r="H435" s="85" t="str">
        <f>'Consumer Hardware Pricing'!O443</f>
        <v>-</v>
      </c>
      <c r="I435" s="85">
        <f t="shared" si="885"/>
        <v>39.589999999999996</v>
      </c>
      <c r="J435" s="85" t="str">
        <f t="shared" si="897"/>
        <v>-</v>
      </c>
      <c r="K435" s="85">
        <f t="shared" si="898"/>
        <v>950.15999999999985</v>
      </c>
      <c r="L435" s="85" t="str">
        <f>'Consumer Hardware Pricing'!Q443</f>
        <v>-</v>
      </c>
      <c r="M435" s="85" t="str">
        <f t="shared" si="1169"/>
        <v>-</v>
      </c>
      <c r="N435" s="85" t="str">
        <f t="shared" si="886"/>
        <v>-</v>
      </c>
      <c r="O435" s="85" t="str">
        <f t="shared" si="887"/>
        <v>-</v>
      </c>
      <c r="P435" s="85" t="str">
        <f t="shared" si="899"/>
        <v>-</v>
      </c>
      <c r="Q435" s="85">
        <f>'Consumer Hardware Pricing'!S443</f>
        <v>0</v>
      </c>
      <c r="R435" s="85">
        <f t="shared" si="888"/>
        <v>39.589999999999996</v>
      </c>
      <c r="S435" s="85" t="str">
        <f>'Consumer Hardware Pricing'!T443</f>
        <v>-</v>
      </c>
      <c r="T435" s="129">
        <f t="shared" si="900"/>
        <v>39.589999999999996</v>
      </c>
      <c r="U435" s="129" t="str">
        <f t="shared" si="901"/>
        <v>-</v>
      </c>
      <c r="V435" s="85">
        <f t="shared" si="902"/>
        <v>950.15999999999985</v>
      </c>
      <c r="W435" s="129" t="str">
        <f>'Consumer Hardware Pricing'!V443</f>
        <v>-</v>
      </c>
      <c r="X435" s="129" t="str">
        <f t="shared" si="1170"/>
        <v>-</v>
      </c>
      <c r="Y435" s="129" t="str">
        <f t="shared" si="903"/>
        <v>-</v>
      </c>
      <c r="Z435" s="129" t="str">
        <f t="shared" si="904"/>
        <v>-</v>
      </c>
      <c r="AA435" s="85" t="str">
        <f t="shared" si="905"/>
        <v>-</v>
      </c>
      <c r="AB435" s="85">
        <f>'Consumer Hardware Pricing'!X443</f>
        <v>0</v>
      </c>
      <c r="AC435" s="85">
        <f t="shared" si="1211"/>
        <v>39.589999999999996</v>
      </c>
      <c r="AD435" s="85" t="str">
        <f>'Consumer Hardware Pricing'!Y443</f>
        <v>-</v>
      </c>
      <c r="AE435" s="85">
        <f t="shared" si="1501"/>
        <v>39.589999999999996</v>
      </c>
      <c r="AF435" s="85" t="str">
        <f t="shared" si="1502"/>
        <v>-</v>
      </c>
      <c r="AG435" s="85">
        <f t="shared" si="1503"/>
        <v>950.15999999999985</v>
      </c>
      <c r="AH435" s="85" t="str">
        <f>'Consumer Hardware Pricing'!AA443</f>
        <v>-</v>
      </c>
      <c r="AI435" s="85" t="str">
        <f t="shared" si="1212"/>
        <v>-</v>
      </c>
      <c r="AJ435" s="85" t="str">
        <f t="shared" si="1504"/>
        <v>-</v>
      </c>
      <c r="AK435" s="85" t="str">
        <f t="shared" si="1505"/>
        <v>-</v>
      </c>
      <c r="AL435" s="85" t="str">
        <f t="shared" si="1506"/>
        <v>-</v>
      </c>
      <c r="AM435" s="85">
        <f>'Consumer Hardware Pricing'!AC443</f>
        <v>0</v>
      </c>
      <c r="AN435" s="85">
        <f t="shared" si="1213"/>
        <v>39.589999999999996</v>
      </c>
      <c r="AO435" s="85" t="str">
        <f>'Consumer Hardware Pricing'!AD443</f>
        <v>-</v>
      </c>
      <c r="AP435" s="85">
        <f t="shared" si="1507"/>
        <v>39.589999999999996</v>
      </c>
      <c r="AQ435" s="85" t="str">
        <f t="shared" si="1508"/>
        <v>-</v>
      </c>
      <c r="AR435" s="85">
        <f t="shared" si="1509"/>
        <v>950.15999999999985</v>
      </c>
      <c r="AS435" s="85" t="str">
        <f>'Consumer Hardware Pricing'!AF443</f>
        <v>-</v>
      </c>
      <c r="AT435" s="85" t="str">
        <f t="shared" si="1214"/>
        <v>-</v>
      </c>
      <c r="AU435" s="85" t="str">
        <f t="shared" si="1510"/>
        <v>-</v>
      </c>
      <c r="AV435" s="85" t="str">
        <f t="shared" si="1511"/>
        <v>-</v>
      </c>
      <c r="AW435" s="85" t="str">
        <f t="shared" si="1512"/>
        <v>-</v>
      </c>
      <c r="AX435" s="85" t="str">
        <f>'Consumer Hardware Pricing'!AH443</f>
        <v>-</v>
      </c>
      <c r="AY435" s="85" t="str">
        <f t="shared" si="1215"/>
        <v>-</v>
      </c>
      <c r="AZ435" s="85" t="str">
        <f>'Consumer Hardware Pricing'!AI443</f>
        <v>-</v>
      </c>
      <c r="BA435" s="85" t="str">
        <f t="shared" si="889"/>
        <v>-</v>
      </c>
      <c r="BB435" s="85" t="str">
        <f t="shared" si="890"/>
        <v>-</v>
      </c>
      <c r="BC435" s="85" t="str">
        <f t="shared" si="906"/>
        <v>-</v>
      </c>
      <c r="BD435" s="85" t="str">
        <f>'Consumer Hardware Pricing'!AL443</f>
        <v>-</v>
      </c>
      <c r="BE435" s="85" t="str">
        <f t="shared" si="1216"/>
        <v>-</v>
      </c>
      <c r="BF435" s="85" t="str">
        <f>'Consumer Hardware Pricing'!AM443</f>
        <v>-</v>
      </c>
      <c r="BG435" s="85" t="str">
        <f t="shared" si="891"/>
        <v>-</v>
      </c>
      <c r="BH435" s="85" t="str">
        <f t="shared" si="892"/>
        <v>-</v>
      </c>
      <c r="BI435" s="85" t="str">
        <f t="shared" si="907"/>
        <v>-</v>
      </c>
      <c r="BJ435" s="85" t="str">
        <f>'Consumer Hardware Pricing'!AP443</f>
        <v>-</v>
      </c>
      <c r="BK435" s="85" t="str">
        <f t="shared" si="1217"/>
        <v>-</v>
      </c>
      <c r="BL435" s="85" t="str">
        <f>'Consumer Hardware Pricing'!AQ443</f>
        <v>-</v>
      </c>
      <c r="BM435" s="85" t="str">
        <f t="shared" si="893"/>
        <v>-</v>
      </c>
      <c r="BN435" s="85" t="str">
        <f t="shared" si="894"/>
        <v>-</v>
      </c>
      <c r="BO435" s="85" t="str">
        <f t="shared" si="908"/>
        <v>-</v>
      </c>
      <c r="BP435" s="85" t="str">
        <f>'Consumer Hardware Pricing'!AT443</f>
        <v>-</v>
      </c>
      <c r="BQ435" s="85" t="str">
        <f t="shared" si="1218"/>
        <v>-</v>
      </c>
      <c r="BR435" s="85" t="str">
        <f>'Consumer Hardware Pricing'!AU443</f>
        <v>-</v>
      </c>
      <c r="BS435" s="85" t="str">
        <f t="shared" si="895"/>
        <v>-</v>
      </c>
      <c r="BT435" s="85" t="str">
        <f t="shared" si="896"/>
        <v>-</v>
      </c>
      <c r="BU435" s="85" t="str">
        <f t="shared" si="909"/>
        <v>-</v>
      </c>
    </row>
    <row r="436" spans="1:73" s="131" customFormat="1" ht="30.15" customHeight="1" x14ac:dyDescent="0.25">
      <c r="A436" s="87" t="s">
        <v>34</v>
      </c>
      <c r="B436" s="88" t="s">
        <v>573</v>
      </c>
      <c r="C436" s="88" t="s">
        <v>581</v>
      </c>
      <c r="D436" s="85">
        <f>'Consumer Hardware Pricing'!L444</f>
        <v>1200</v>
      </c>
      <c r="E436" s="85">
        <f>'Consumer Hardware Pricing'!M444</f>
        <v>1200</v>
      </c>
      <c r="F436" s="85">
        <f>'Consumer Hardware Pricing'!N444</f>
        <v>0</v>
      </c>
      <c r="G436" s="85">
        <f t="shared" si="1168"/>
        <v>50</v>
      </c>
      <c r="H436" s="85">
        <f>'Consumer Hardware Pricing'!O444</f>
        <v>30</v>
      </c>
      <c r="I436" s="85">
        <f t="shared" si="885"/>
        <v>20</v>
      </c>
      <c r="J436" s="85">
        <f t="shared" si="897"/>
        <v>720</v>
      </c>
      <c r="K436" s="85">
        <f t="shared" si="898"/>
        <v>480</v>
      </c>
      <c r="L436" s="85" t="str">
        <f>'Consumer Hardware Pricing'!Q444</f>
        <v>-</v>
      </c>
      <c r="M436" s="85" t="str">
        <f t="shared" si="1169"/>
        <v>-</v>
      </c>
      <c r="N436" s="85" t="str">
        <f t="shared" si="886"/>
        <v>-</v>
      </c>
      <c r="O436" s="85" t="str">
        <f t="shared" si="887"/>
        <v>-</v>
      </c>
      <c r="P436" s="85" t="str">
        <f t="shared" si="899"/>
        <v>-</v>
      </c>
      <c r="Q436" s="85">
        <f>'Consumer Hardware Pricing'!S444</f>
        <v>0</v>
      </c>
      <c r="R436" s="85">
        <f t="shared" si="888"/>
        <v>50</v>
      </c>
      <c r="S436" s="85">
        <f>'Consumer Hardware Pricing'!T444</f>
        <v>30</v>
      </c>
      <c r="T436" s="129">
        <f t="shared" si="900"/>
        <v>20</v>
      </c>
      <c r="U436" s="129">
        <f t="shared" si="901"/>
        <v>720</v>
      </c>
      <c r="V436" s="85">
        <f t="shared" si="902"/>
        <v>480</v>
      </c>
      <c r="W436" s="129" t="str">
        <f>'Consumer Hardware Pricing'!V444</f>
        <v>-</v>
      </c>
      <c r="X436" s="129" t="str">
        <f t="shared" si="1170"/>
        <v>-</v>
      </c>
      <c r="Y436" s="129" t="str">
        <f t="shared" si="903"/>
        <v>-</v>
      </c>
      <c r="Z436" s="129" t="str">
        <f t="shared" si="904"/>
        <v>-</v>
      </c>
      <c r="AA436" s="85" t="str">
        <f t="shared" si="905"/>
        <v>-</v>
      </c>
      <c r="AB436" s="85">
        <f>'Consumer Hardware Pricing'!X444</f>
        <v>0</v>
      </c>
      <c r="AC436" s="85">
        <f t="shared" si="1211"/>
        <v>50</v>
      </c>
      <c r="AD436" s="85">
        <f>'Consumer Hardware Pricing'!Y444</f>
        <v>30</v>
      </c>
      <c r="AE436" s="85">
        <f t="shared" si="1501"/>
        <v>20</v>
      </c>
      <c r="AF436" s="85">
        <f t="shared" si="1502"/>
        <v>720</v>
      </c>
      <c r="AG436" s="85">
        <f t="shared" si="1503"/>
        <v>480</v>
      </c>
      <c r="AH436" s="85" t="str">
        <f>'Consumer Hardware Pricing'!AA444</f>
        <v>-</v>
      </c>
      <c r="AI436" s="85" t="str">
        <f t="shared" si="1212"/>
        <v>-</v>
      </c>
      <c r="AJ436" s="85" t="str">
        <f t="shared" si="1504"/>
        <v>-</v>
      </c>
      <c r="AK436" s="85" t="str">
        <f t="shared" si="1505"/>
        <v>-</v>
      </c>
      <c r="AL436" s="85" t="str">
        <f t="shared" si="1506"/>
        <v>-</v>
      </c>
      <c r="AM436" s="85">
        <f>'Consumer Hardware Pricing'!AC444</f>
        <v>0</v>
      </c>
      <c r="AN436" s="85">
        <f t="shared" si="1213"/>
        <v>50</v>
      </c>
      <c r="AO436" s="85">
        <f>'Consumer Hardware Pricing'!AD444</f>
        <v>30</v>
      </c>
      <c r="AP436" s="85">
        <f t="shared" si="1507"/>
        <v>20</v>
      </c>
      <c r="AQ436" s="85">
        <f t="shared" si="1508"/>
        <v>720</v>
      </c>
      <c r="AR436" s="85">
        <f t="shared" si="1509"/>
        <v>480</v>
      </c>
      <c r="AS436" s="85" t="str">
        <f>'Consumer Hardware Pricing'!AF444</f>
        <v>-</v>
      </c>
      <c r="AT436" s="85" t="str">
        <f t="shared" si="1214"/>
        <v>-</v>
      </c>
      <c r="AU436" s="85" t="str">
        <f t="shared" si="1510"/>
        <v>-</v>
      </c>
      <c r="AV436" s="85" t="str">
        <f t="shared" si="1511"/>
        <v>-</v>
      </c>
      <c r="AW436" s="85" t="str">
        <f t="shared" si="1512"/>
        <v>-</v>
      </c>
      <c r="AX436" s="85" t="str">
        <f>'Consumer Hardware Pricing'!AH444</f>
        <v>-</v>
      </c>
      <c r="AY436" s="85" t="str">
        <f t="shared" si="1215"/>
        <v>-</v>
      </c>
      <c r="AZ436" s="85" t="str">
        <f>'Consumer Hardware Pricing'!AI444</f>
        <v>-</v>
      </c>
      <c r="BA436" s="85" t="str">
        <f t="shared" si="889"/>
        <v>-</v>
      </c>
      <c r="BB436" s="85" t="str">
        <f t="shared" si="890"/>
        <v>-</v>
      </c>
      <c r="BC436" s="85" t="str">
        <f t="shared" si="906"/>
        <v>-</v>
      </c>
      <c r="BD436" s="85" t="str">
        <f>'Consumer Hardware Pricing'!AL444</f>
        <v>-</v>
      </c>
      <c r="BE436" s="85" t="str">
        <f t="shared" si="1216"/>
        <v>-</v>
      </c>
      <c r="BF436" s="85" t="str">
        <f>'Consumer Hardware Pricing'!AM444</f>
        <v>-</v>
      </c>
      <c r="BG436" s="85" t="str">
        <f t="shared" si="891"/>
        <v>-</v>
      </c>
      <c r="BH436" s="85" t="str">
        <f t="shared" si="892"/>
        <v>-</v>
      </c>
      <c r="BI436" s="85" t="str">
        <f t="shared" si="907"/>
        <v>-</v>
      </c>
      <c r="BJ436" s="85" t="str">
        <f>'Consumer Hardware Pricing'!AP444</f>
        <v>-</v>
      </c>
      <c r="BK436" s="85" t="str">
        <f t="shared" si="1217"/>
        <v>-</v>
      </c>
      <c r="BL436" s="85" t="str">
        <f>'Consumer Hardware Pricing'!AQ444</f>
        <v>-</v>
      </c>
      <c r="BM436" s="85" t="str">
        <f t="shared" si="893"/>
        <v>-</v>
      </c>
      <c r="BN436" s="85" t="str">
        <f t="shared" si="894"/>
        <v>-</v>
      </c>
      <c r="BO436" s="85" t="str">
        <f t="shared" si="908"/>
        <v>-</v>
      </c>
      <c r="BP436" s="85" t="str">
        <f>'Consumer Hardware Pricing'!AT444</f>
        <v>-</v>
      </c>
      <c r="BQ436" s="85" t="str">
        <f t="shared" si="1218"/>
        <v>-</v>
      </c>
      <c r="BR436" s="85" t="str">
        <f>'Consumer Hardware Pricing'!AU444</f>
        <v>-</v>
      </c>
      <c r="BS436" s="85" t="str">
        <f t="shared" si="895"/>
        <v>-</v>
      </c>
      <c r="BT436" s="85" t="str">
        <f t="shared" si="896"/>
        <v>-</v>
      </c>
      <c r="BU436" s="85" t="str">
        <f t="shared" si="909"/>
        <v>-</v>
      </c>
    </row>
    <row r="437" spans="1:73" s="131" customFormat="1" ht="30.15" customHeight="1" x14ac:dyDescent="0.25">
      <c r="A437" s="87" t="s">
        <v>34</v>
      </c>
      <c r="B437" s="88" t="s">
        <v>574</v>
      </c>
      <c r="C437" s="88" t="s">
        <v>581</v>
      </c>
      <c r="D437" s="85">
        <f>'Consumer Hardware Pricing'!L445</f>
        <v>1200</v>
      </c>
      <c r="E437" s="85">
        <f>'Consumer Hardware Pricing'!M445</f>
        <v>1200</v>
      </c>
      <c r="F437" s="85">
        <f>'Consumer Hardware Pricing'!N445</f>
        <v>0</v>
      </c>
      <c r="G437" s="85">
        <f t="shared" si="1168"/>
        <v>50</v>
      </c>
      <c r="H437" s="85">
        <f>'Consumer Hardware Pricing'!O445</f>
        <v>30</v>
      </c>
      <c r="I437" s="85">
        <f t="shared" si="885"/>
        <v>20</v>
      </c>
      <c r="J437" s="85">
        <f t="shared" si="897"/>
        <v>720</v>
      </c>
      <c r="K437" s="85">
        <f t="shared" si="898"/>
        <v>480</v>
      </c>
      <c r="L437" s="85" t="str">
        <f>'Consumer Hardware Pricing'!Q445</f>
        <v>-</v>
      </c>
      <c r="M437" s="85" t="str">
        <f t="shared" si="1169"/>
        <v>-</v>
      </c>
      <c r="N437" s="85" t="str">
        <f t="shared" si="886"/>
        <v>-</v>
      </c>
      <c r="O437" s="85" t="str">
        <f t="shared" si="887"/>
        <v>-</v>
      </c>
      <c r="P437" s="85" t="str">
        <f t="shared" si="899"/>
        <v>-</v>
      </c>
      <c r="Q437" s="85">
        <f>'Consumer Hardware Pricing'!S445</f>
        <v>0</v>
      </c>
      <c r="R437" s="85">
        <f t="shared" si="888"/>
        <v>50</v>
      </c>
      <c r="S437" s="85">
        <f>'Consumer Hardware Pricing'!T445</f>
        <v>30</v>
      </c>
      <c r="T437" s="129">
        <f t="shared" si="900"/>
        <v>20</v>
      </c>
      <c r="U437" s="129">
        <f t="shared" si="901"/>
        <v>720</v>
      </c>
      <c r="V437" s="85">
        <f t="shared" si="902"/>
        <v>480</v>
      </c>
      <c r="W437" s="129" t="str">
        <f>'Consumer Hardware Pricing'!V445</f>
        <v>-</v>
      </c>
      <c r="X437" s="129" t="str">
        <f t="shared" si="1170"/>
        <v>-</v>
      </c>
      <c r="Y437" s="129" t="str">
        <f t="shared" si="903"/>
        <v>-</v>
      </c>
      <c r="Z437" s="129" t="str">
        <f t="shared" si="904"/>
        <v>-</v>
      </c>
      <c r="AA437" s="85" t="str">
        <f t="shared" si="905"/>
        <v>-</v>
      </c>
      <c r="AB437" s="85">
        <f>'Consumer Hardware Pricing'!X445</f>
        <v>0</v>
      </c>
      <c r="AC437" s="85">
        <f t="shared" si="1211"/>
        <v>50</v>
      </c>
      <c r="AD437" s="85">
        <f>'Consumer Hardware Pricing'!Y445</f>
        <v>30</v>
      </c>
      <c r="AE437" s="85">
        <f t="shared" si="1501"/>
        <v>20</v>
      </c>
      <c r="AF437" s="85">
        <f t="shared" si="1502"/>
        <v>720</v>
      </c>
      <c r="AG437" s="85">
        <f t="shared" si="1503"/>
        <v>480</v>
      </c>
      <c r="AH437" s="85" t="str">
        <f>'Consumer Hardware Pricing'!AA445</f>
        <v>-</v>
      </c>
      <c r="AI437" s="85" t="str">
        <f t="shared" si="1212"/>
        <v>-</v>
      </c>
      <c r="AJ437" s="85" t="str">
        <f t="shared" si="1504"/>
        <v>-</v>
      </c>
      <c r="AK437" s="85" t="str">
        <f t="shared" si="1505"/>
        <v>-</v>
      </c>
      <c r="AL437" s="85" t="str">
        <f t="shared" si="1506"/>
        <v>-</v>
      </c>
      <c r="AM437" s="85">
        <f>'Consumer Hardware Pricing'!AC445</f>
        <v>0</v>
      </c>
      <c r="AN437" s="85">
        <f t="shared" si="1213"/>
        <v>50</v>
      </c>
      <c r="AO437" s="85">
        <f>'Consumer Hardware Pricing'!AD445</f>
        <v>30</v>
      </c>
      <c r="AP437" s="85">
        <f t="shared" si="1507"/>
        <v>20</v>
      </c>
      <c r="AQ437" s="85">
        <f t="shared" si="1508"/>
        <v>720</v>
      </c>
      <c r="AR437" s="85">
        <f t="shared" si="1509"/>
        <v>480</v>
      </c>
      <c r="AS437" s="85" t="str">
        <f>'Consumer Hardware Pricing'!AF445</f>
        <v>-</v>
      </c>
      <c r="AT437" s="85" t="str">
        <f t="shared" si="1214"/>
        <v>-</v>
      </c>
      <c r="AU437" s="85" t="str">
        <f t="shared" si="1510"/>
        <v>-</v>
      </c>
      <c r="AV437" s="85" t="str">
        <f t="shared" si="1511"/>
        <v>-</v>
      </c>
      <c r="AW437" s="85" t="str">
        <f t="shared" si="1512"/>
        <v>-</v>
      </c>
      <c r="AX437" s="85" t="str">
        <f>'Consumer Hardware Pricing'!AH445</f>
        <v>-</v>
      </c>
      <c r="AY437" s="85" t="str">
        <f t="shared" si="1215"/>
        <v>-</v>
      </c>
      <c r="AZ437" s="85" t="str">
        <f>'Consumer Hardware Pricing'!AI445</f>
        <v>-</v>
      </c>
      <c r="BA437" s="85" t="str">
        <f t="shared" si="889"/>
        <v>-</v>
      </c>
      <c r="BB437" s="85" t="str">
        <f t="shared" si="890"/>
        <v>-</v>
      </c>
      <c r="BC437" s="85" t="str">
        <f t="shared" si="906"/>
        <v>-</v>
      </c>
      <c r="BD437" s="85" t="str">
        <f>'Consumer Hardware Pricing'!AL445</f>
        <v>-</v>
      </c>
      <c r="BE437" s="85" t="str">
        <f t="shared" si="1216"/>
        <v>-</v>
      </c>
      <c r="BF437" s="85" t="str">
        <f>'Consumer Hardware Pricing'!AM445</f>
        <v>-</v>
      </c>
      <c r="BG437" s="85" t="str">
        <f t="shared" si="891"/>
        <v>-</v>
      </c>
      <c r="BH437" s="85" t="str">
        <f t="shared" si="892"/>
        <v>-</v>
      </c>
      <c r="BI437" s="85" t="str">
        <f t="shared" si="907"/>
        <v>-</v>
      </c>
      <c r="BJ437" s="85" t="str">
        <f>'Consumer Hardware Pricing'!AP445</f>
        <v>-</v>
      </c>
      <c r="BK437" s="85" t="str">
        <f t="shared" si="1217"/>
        <v>-</v>
      </c>
      <c r="BL437" s="85" t="str">
        <f>'Consumer Hardware Pricing'!AQ445</f>
        <v>-</v>
      </c>
      <c r="BM437" s="85" t="str">
        <f t="shared" si="893"/>
        <v>-</v>
      </c>
      <c r="BN437" s="85" t="str">
        <f t="shared" si="894"/>
        <v>-</v>
      </c>
      <c r="BO437" s="85" t="str">
        <f t="shared" si="908"/>
        <v>-</v>
      </c>
      <c r="BP437" s="85" t="str">
        <f>'Consumer Hardware Pricing'!AT445</f>
        <v>-</v>
      </c>
      <c r="BQ437" s="85" t="str">
        <f t="shared" si="1218"/>
        <v>-</v>
      </c>
      <c r="BR437" s="85" t="str">
        <f>'Consumer Hardware Pricing'!AU445</f>
        <v>-</v>
      </c>
      <c r="BS437" s="85" t="str">
        <f t="shared" si="895"/>
        <v>-</v>
      </c>
      <c r="BT437" s="85" t="str">
        <f t="shared" si="896"/>
        <v>-</v>
      </c>
      <c r="BU437" s="85" t="str">
        <f t="shared" si="909"/>
        <v>-</v>
      </c>
    </row>
    <row r="438" spans="1:73" s="131" customFormat="1" ht="30.15" customHeight="1" x14ac:dyDescent="0.25">
      <c r="A438" s="87" t="s">
        <v>34</v>
      </c>
      <c r="B438" s="88" t="s">
        <v>575</v>
      </c>
      <c r="C438" s="88" t="s">
        <v>583</v>
      </c>
      <c r="D438" s="85">
        <f>'Consumer Hardware Pricing'!L446</f>
        <v>950</v>
      </c>
      <c r="E438" s="85">
        <f>'Consumer Hardware Pricing'!M446</f>
        <v>950</v>
      </c>
      <c r="F438" s="85">
        <f>'Consumer Hardware Pricing'!N446</f>
        <v>0</v>
      </c>
      <c r="G438" s="85">
        <f t="shared" si="1168"/>
        <v>39.589999999999996</v>
      </c>
      <c r="H438" s="85">
        <f>'Consumer Hardware Pricing'!O446</f>
        <v>13.34</v>
      </c>
      <c r="I438" s="85">
        <f t="shared" si="885"/>
        <v>26.249999999999996</v>
      </c>
      <c r="J438" s="85">
        <f t="shared" si="897"/>
        <v>320.15999999999997</v>
      </c>
      <c r="K438" s="85">
        <f t="shared" si="898"/>
        <v>629.99999999999989</v>
      </c>
      <c r="L438" s="85" t="str">
        <f>'Consumer Hardware Pricing'!Q446</f>
        <v>-</v>
      </c>
      <c r="M438" s="85" t="str">
        <f t="shared" si="1169"/>
        <v>-</v>
      </c>
      <c r="N438" s="85" t="str">
        <f t="shared" si="886"/>
        <v>-</v>
      </c>
      <c r="O438" s="85" t="str">
        <f t="shared" si="887"/>
        <v>-</v>
      </c>
      <c r="P438" s="85" t="str">
        <f t="shared" si="899"/>
        <v>-</v>
      </c>
      <c r="Q438" s="85">
        <f>'Consumer Hardware Pricing'!S446</f>
        <v>0</v>
      </c>
      <c r="R438" s="85">
        <f t="shared" si="888"/>
        <v>39.589999999999996</v>
      </c>
      <c r="S438" s="85">
        <f>'Consumer Hardware Pricing'!T446</f>
        <v>13.34</v>
      </c>
      <c r="T438" s="129">
        <f t="shared" si="900"/>
        <v>26.249999999999996</v>
      </c>
      <c r="U438" s="129">
        <f t="shared" si="901"/>
        <v>320.15999999999997</v>
      </c>
      <c r="V438" s="85">
        <f t="shared" si="902"/>
        <v>629.99999999999989</v>
      </c>
      <c r="W438" s="129" t="str">
        <f>'Consumer Hardware Pricing'!V446</f>
        <v>-</v>
      </c>
      <c r="X438" s="129" t="str">
        <f t="shared" si="1170"/>
        <v>-</v>
      </c>
      <c r="Y438" s="129" t="str">
        <f t="shared" si="903"/>
        <v>-</v>
      </c>
      <c r="Z438" s="129" t="str">
        <f t="shared" si="904"/>
        <v>-</v>
      </c>
      <c r="AA438" s="85" t="str">
        <f t="shared" si="905"/>
        <v>-</v>
      </c>
      <c r="AB438" s="85">
        <f>'Consumer Hardware Pricing'!X446</f>
        <v>0</v>
      </c>
      <c r="AC438" s="85">
        <f t="shared" si="1211"/>
        <v>39.589999999999996</v>
      </c>
      <c r="AD438" s="85">
        <f>'Consumer Hardware Pricing'!Y446</f>
        <v>16.170000000000002</v>
      </c>
      <c r="AE438" s="85">
        <f t="shared" si="1501"/>
        <v>23.419999999999995</v>
      </c>
      <c r="AF438" s="85">
        <f t="shared" si="1502"/>
        <v>388.08000000000004</v>
      </c>
      <c r="AG438" s="85">
        <f t="shared" si="1503"/>
        <v>562.07999999999993</v>
      </c>
      <c r="AH438" s="85" t="str">
        <f>'Consumer Hardware Pricing'!AA446</f>
        <v>-</v>
      </c>
      <c r="AI438" s="85" t="str">
        <f t="shared" si="1212"/>
        <v>-</v>
      </c>
      <c r="AJ438" s="85" t="str">
        <f t="shared" si="1504"/>
        <v>-</v>
      </c>
      <c r="AK438" s="85" t="str">
        <f t="shared" si="1505"/>
        <v>-</v>
      </c>
      <c r="AL438" s="85" t="str">
        <f t="shared" si="1506"/>
        <v>-</v>
      </c>
      <c r="AM438" s="85">
        <f>'Consumer Hardware Pricing'!AC446</f>
        <v>0</v>
      </c>
      <c r="AN438" s="85">
        <f t="shared" si="1213"/>
        <v>39.589999999999996</v>
      </c>
      <c r="AO438" s="85">
        <f>'Consumer Hardware Pricing'!AD446</f>
        <v>16.170000000000002</v>
      </c>
      <c r="AP438" s="85">
        <f t="shared" si="1507"/>
        <v>23.419999999999995</v>
      </c>
      <c r="AQ438" s="85">
        <f t="shared" si="1508"/>
        <v>388.08000000000004</v>
      </c>
      <c r="AR438" s="85">
        <f t="shared" si="1509"/>
        <v>562.07999999999993</v>
      </c>
      <c r="AS438" s="85" t="str">
        <f>'Consumer Hardware Pricing'!AF446</f>
        <v>-</v>
      </c>
      <c r="AT438" s="85" t="str">
        <f t="shared" si="1214"/>
        <v>-</v>
      </c>
      <c r="AU438" s="85" t="str">
        <f t="shared" si="1510"/>
        <v>-</v>
      </c>
      <c r="AV438" s="85" t="str">
        <f t="shared" si="1511"/>
        <v>-</v>
      </c>
      <c r="AW438" s="85" t="str">
        <f t="shared" si="1512"/>
        <v>-</v>
      </c>
      <c r="AX438" s="85" t="str">
        <f>'Consumer Hardware Pricing'!AH446</f>
        <v>-</v>
      </c>
      <c r="AY438" s="85" t="str">
        <f t="shared" si="1215"/>
        <v>-</v>
      </c>
      <c r="AZ438" s="85" t="str">
        <f>'Consumer Hardware Pricing'!AI446</f>
        <v>-</v>
      </c>
      <c r="BA438" s="85" t="str">
        <f t="shared" si="889"/>
        <v>-</v>
      </c>
      <c r="BB438" s="85" t="str">
        <f t="shared" si="890"/>
        <v>-</v>
      </c>
      <c r="BC438" s="85" t="str">
        <f t="shared" si="906"/>
        <v>-</v>
      </c>
      <c r="BD438" s="85" t="str">
        <f>'Consumer Hardware Pricing'!AL446</f>
        <v>-</v>
      </c>
      <c r="BE438" s="85" t="str">
        <f t="shared" si="1216"/>
        <v>-</v>
      </c>
      <c r="BF438" s="85" t="str">
        <f>'Consumer Hardware Pricing'!AM446</f>
        <v>-</v>
      </c>
      <c r="BG438" s="85" t="str">
        <f t="shared" si="891"/>
        <v>-</v>
      </c>
      <c r="BH438" s="85" t="str">
        <f t="shared" si="892"/>
        <v>-</v>
      </c>
      <c r="BI438" s="85" t="str">
        <f t="shared" si="907"/>
        <v>-</v>
      </c>
      <c r="BJ438" s="85" t="str">
        <f>'Consumer Hardware Pricing'!AP446</f>
        <v>-</v>
      </c>
      <c r="BK438" s="85" t="str">
        <f t="shared" si="1217"/>
        <v>-</v>
      </c>
      <c r="BL438" s="85" t="str">
        <f>'Consumer Hardware Pricing'!AQ446</f>
        <v>-</v>
      </c>
      <c r="BM438" s="85" t="str">
        <f t="shared" si="893"/>
        <v>-</v>
      </c>
      <c r="BN438" s="85" t="str">
        <f t="shared" si="894"/>
        <v>-</v>
      </c>
      <c r="BO438" s="85" t="str">
        <f t="shared" si="908"/>
        <v>-</v>
      </c>
      <c r="BP438" s="85" t="str">
        <f>'Consumer Hardware Pricing'!AT446</f>
        <v>-</v>
      </c>
      <c r="BQ438" s="85" t="str">
        <f t="shared" si="1218"/>
        <v>-</v>
      </c>
      <c r="BR438" s="85" t="str">
        <f>'Consumer Hardware Pricing'!AU446</f>
        <v>-</v>
      </c>
      <c r="BS438" s="85" t="str">
        <f t="shared" si="895"/>
        <v>-</v>
      </c>
      <c r="BT438" s="85" t="str">
        <f t="shared" si="896"/>
        <v>-</v>
      </c>
      <c r="BU438" s="85" t="str">
        <f t="shared" si="909"/>
        <v>-</v>
      </c>
    </row>
    <row r="439" spans="1:73" s="131" customFormat="1" ht="30.15" customHeight="1" x14ac:dyDescent="0.25">
      <c r="A439" s="87" t="s">
        <v>34</v>
      </c>
      <c r="B439" s="88" t="s">
        <v>576</v>
      </c>
      <c r="C439" s="88" t="s">
        <v>580</v>
      </c>
      <c r="D439" s="85">
        <f>'Consumer Hardware Pricing'!L447</f>
        <v>950</v>
      </c>
      <c r="E439" s="85">
        <f>'Consumer Hardware Pricing'!M447</f>
        <v>950</v>
      </c>
      <c r="F439" s="85">
        <f>'Consumer Hardware Pricing'!N447</f>
        <v>0</v>
      </c>
      <c r="G439" s="85">
        <f t="shared" si="1168"/>
        <v>39.589999999999996</v>
      </c>
      <c r="H439" s="85">
        <f>'Consumer Hardware Pricing'!O447</f>
        <v>13.34</v>
      </c>
      <c r="I439" s="85">
        <f t="shared" ref="I439:I495" si="1513">IF(H439="-",G439,G439-H439)</f>
        <v>26.249999999999996</v>
      </c>
      <c r="J439" s="85">
        <f t="shared" si="897"/>
        <v>320.15999999999997</v>
      </c>
      <c r="K439" s="85">
        <f t="shared" si="898"/>
        <v>629.99999999999989</v>
      </c>
      <c r="L439" s="85" t="str">
        <f>'Consumer Hardware Pricing'!Q447</f>
        <v>-</v>
      </c>
      <c r="M439" s="85" t="str">
        <f t="shared" si="1169"/>
        <v>-</v>
      </c>
      <c r="N439" s="85" t="str">
        <f t="shared" ref="N439:N495" si="1514">IF(L439="-",L439,G439-M439)</f>
        <v>-</v>
      </c>
      <c r="O439" s="85" t="str">
        <f t="shared" ref="O439:O495" si="1515">IF(L439="-",L439,M439*24)</f>
        <v>-</v>
      </c>
      <c r="P439" s="85" t="str">
        <f t="shared" si="899"/>
        <v>-</v>
      </c>
      <c r="Q439" s="85">
        <f>'Consumer Hardware Pricing'!S447</f>
        <v>0</v>
      </c>
      <c r="R439" s="85">
        <f t="shared" ref="R439:R495" si="1516">G439</f>
        <v>39.589999999999996</v>
      </c>
      <c r="S439" s="85">
        <f>'Consumer Hardware Pricing'!T447</f>
        <v>13.34</v>
      </c>
      <c r="T439" s="129">
        <f t="shared" si="900"/>
        <v>26.249999999999996</v>
      </c>
      <c r="U439" s="129">
        <f t="shared" si="901"/>
        <v>320.15999999999997</v>
      </c>
      <c r="V439" s="85">
        <f t="shared" si="902"/>
        <v>629.99999999999989</v>
      </c>
      <c r="W439" s="129" t="str">
        <f>'Consumer Hardware Pricing'!V447</f>
        <v>-</v>
      </c>
      <c r="X439" s="129" t="str">
        <f t="shared" si="1170"/>
        <v>-</v>
      </c>
      <c r="Y439" s="129" t="str">
        <f t="shared" si="903"/>
        <v>-</v>
      </c>
      <c r="Z439" s="129" t="str">
        <f t="shared" si="904"/>
        <v>-</v>
      </c>
      <c r="AA439" s="85" t="str">
        <f t="shared" si="905"/>
        <v>-</v>
      </c>
      <c r="AB439" s="85">
        <f>'Consumer Hardware Pricing'!X447</f>
        <v>0</v>
      </c>
      <c r="AC439" s="85">
        <f t="shared" si="1211"/>
        <v>39.589999999999996</v>
      </c>
      <c r="AD439" s="85">
        <f>'Consumer Hardware Pricing'!Y447</f>
        <v>16.170000000000002</v>
      </c>
      <c r="AE439" s="85">
        <f t="shared" si="1501"/>
        <v>23.419999999999995</v>
      </c>
      <c r="AF439" s="85">
        <f t="shared" si="1502"/>
        <v>388.08000000000004</v>
      </c>
      <c r="AG439" s="85">
        <f t="shared" si="1503"/>
        <v>562.07999999999993</v>
      </c>
      <c r="AH439" s="85" t="str">
        <f>'Consumer Hardware Pricing'!AA447</f>
        <v>-</v>
      </c>
      <c r="AI439" s="85" t="str">
        <f t="shared" si="1212"/>
        <v>-</v>
      </c>
      <c r="AJ439" s="85" t="str">
        <f t="shared" si="1504"/>
        <v>-</v>
      </c>
      <c r="AK439" s="85" t="str">
        <f t="shared" si="1505"/>
        <v>-</v>
      </c>
      <c r="AL439" s="85" t="str">
        <f t="shared" si="1506"/>
        <v>-</v>
      </c>
      <c r="AM439" s="85">
        <f>'Consumer Hardware Pricing'!AC447</f>
        <v>0</v>
      </c>
      <c r="AN439" s="85">
        <f t="shared" si="1213"/>
        <v>39.589999999999996</v>
      </c>
      <c r="AO439" s="85">
        <f>'Consumer Hardware Pricing'!AD447</f>
        <v>16.170000000000002</v>
      </c>
      <c r="AP439" s="85">
        <f t="shared" si="1507"/>
        <v>23.419999999999995</v>
      </c>
      <c r="AQ439" s="85">
        <f t="shared" si="1508"/>
        <v>388.08000000000004</v>
      </c>
      <c r="AR439" s="85">
        <f t="shared" si="1509"/>
        <v>562.07999999999993</v>
      </c>
      <c r="AS439" s="85" t="str">
        <f>'Consumer Hardware Pricing'!AF447</f>
        <v>-</v>
      </c>
      <c r="AT439" s="85" t="str">
        <f t="shared" si="1214"/>
        <v>-</v>
      </c>
      <c r="AU439" s="85" t="str">
        <f t="shared" si="1510"/>
        <v>-</v>
      </c>
      <c r="AV439" s="85" t="str">
        <f t="shared" si="1511"/>
        <v>-</v>
      </c>
      <c r="AW439" s="85" t="str">
        <f t="shared" si="1512"/>
        <v>-</v>
      </c>
      <c r="AX439" s="85" t="str">
        <f>'Consumer Hardware Pricing'!AH447</f>
        <v>-</v>
      </c>
      <c r="AY439" s="85" t="str">
        <f t="shared" si="1215"/>
        <v>-</v>
      </c>
      <c r="AZ439" s="85" t="str">
        <f>'Consumer Hardware Pricing'!AI447</f>
        <v>-</v>
      </c>
      <c r="BA439" s="85" t="str">
        <f t="shared" ref="BA439:BA495" si="1517">IF(AZ439="-",AY439,AY439-AZ439)</f>
        <v>-</v>
      </c>
      <c r="BB439" s="85" t="str">
        <f t="shared" ref="BB439:BB495" si="1518">IF(AZ439="-",AZ439,AZ439*24)</f>
        <v>-</v>
      </c>
      <c r="BC439" s="85" t="str">
        <f t="shared" si="906"/>
        <v>-</v>
      </c>
      <c r="BD439" s="85" t="str">
        <f>'Consumer Hardware Pricing'!AL447</f>
        <v>-</v>
      </c>
      <c r="BE439" s="85" t="str">
        <f t="shared" si="1216"/>
        <v>-</v>
      </c>
      <c r="BF439" s="85" t="str">
        <f>'Consumer Hardware Pricing'!AM447</f>
        <v>-</v>
      </c>
      <c r="BG439" s="85" t="str">
        <f t="shared" ref="BG439:BG495" si="1519">IF(BF439="-",BE439,BE439-BF439)</f>
        <v>-</v>
      </c>
      <c r="BH439" s="85" t="str">
        <f t="shared" ref="BH439:BH495" si="1520">IF(BF439="-",BF439,BF439*24)</f>
        <v>-</v>
      </c>
      <c r="BI439" s="85" t="str">
        <f t="shared" si="907"/>
        <v>-</v>
      </c>
      <c r="BJ439" s="85" t="str">
        <f>'Consumer Hardware Pricing'!AP447</f>
        <v>-</v>
      </c>
      <c r="BK439" s="85" t="str">
        <f t="shared" si="1217"/>
        <v>-</v>
      </c>
      <c r="BL439" s="85" t="str">
        <f>'Consumer Hardware Pricing'!AQ447</f>
        <v>-</v>
      </c>
      <c r="BM439" s="85" t="str">
        <f t="shared" ref="BM439:BM495" si="1521">IF(BL439="-",BK439,BK439-BL439)</f>
        <v>-</v>
      </c>
      <c r="BN439" s="85" t="str">
        <f t="shared" ref="BN439:BN495" si="1522">IF(BL439="-",BL439,BL439*24)</f>
        <v>-</v>
      </c>
      <c r="BO439" s="85" t="str">
        <f t="shared" si="908"/>
        <v>-</v>
      </c>
      <c r="BP439" s="85" t="str">
        <f>'Consumer Hardware Pricing'!AT447</f>
        <v>-</v>
      </c>
      <c r="BQ439" s="85" t="str">
        <f t="shared" si="1218"/>
        <v>-</v>
      </c>
      <c r="BR439" s="85" t="str">
        <f>'Consumer Hardware Pricing'!AU447</f>
        <v>-</v>
      </c>
      <c r="BS439" s="85" t="str">
        <f t="shared" ref="BS439:BS495" si="1523">IF(BR439="-",BQ439,BQ439-BR439)</f>
        <v>-</v>
      </c>
      <c r="BT439" s="85" t="str">
        <f t="shared" ref="BT439:BT495" si="1524">IF(BR439="-",BR439,BR439*24)</f>
        <v>-</v>
      </c>
      <c r="BU439" s="85" t="str">
        <f t="shared" si="909"/>
        <v>-</v>
      </c>
    </row>
    <row r="440" spans="1:73" s="131" customFormat="1" ht="30.15" customHeight="1" x14ac:dyDescent="0.25">
      <c r="A440" s="87" t="s">
        <v>34</v>
      </c>
      <c r="B440" s="88" t="s">
        <v>577</v>
      </c>
      <c r="C440" s="88" t="s">
        <v>584</v>
      </c>
      <c r="D440" s="85">
        <f>'Consumer Hardware Pricing'!L448</f>
        <v>480</v>
      </c>
      <c r="E440" s="85">
        <f>'Consumer Hardware Pricing'!M448</f>
        <v>480</v>
      </c>
      <c r="F440" s="85">
        <f>'Consumer Hardware Pricing'!N448</f>
        <v>0</v>
      </c>
      <c r="G440" s="85">
        <f t="shared" si="1168"/>
        <v>20</v>
      </c>
      <c r="H440" s="85">
        <f>'Consumer Hardware Pricing'!O448</f>
        <v>6</v>
      </c>
      <c r="I440" s="85">
        <f t="shared" si="1513"/>
        <v>14</v>
      </c>
      <c r="J440" s="85">
        <f t="shared" ref="J440:J496" si="1525">IF(H440="-",H440,H440*24)</f>
        <v>144</v>
      </c>
      <c r="K440" s="85">
        <f t="shared" ref="K440:K496" si="1526">IF(F440="-",F440,I440*24)</f>
        <v>336</v>
      </c>
      <c r="L440" s="85" t="str">
        <f>'Consumer Hardware Pricing'!Q448</f>
        <v>-</v>
      </c>
      <c r="M440" s="85" t="str">
        <f t="shared" si="1169"/>
        <v>-</v>
      </c>
      <c r="N440" s="85" t="str">
        <f t="shared" si="1514"/>
        <v>-</v>
      </c>
      <c r="O440" s="85" t="str">
        <f t="shared" si="1515"/>
        <v>-</v>
      </c>
      <c r="P440" s="85" t="str">
        <f t="shared" ref="P440:P496" si="1527">IF(L440="-",L440,N440*24)</f>
        <v>-</v>
      </c>
      <c r="Q440" s="85">
        <f>'Consumer Hardware Pricing'!S448</f>
        <v>0</v>
      </c>
      <c r="R440" s="85">
        <f t="shared" si="1516"/>
        <v>20</v>
      </c>
      <c r="S440" s="85">
        <f>'Consumer Hardware Pricing'!T448</f>
        <v>6</v>
      </c>
      <c r="T440" s="129">
        <f t="shared" ref="T440:T496" si="1528">IF(S440="-",R440,R440-S440)</f>
        <v>14</v>
      </c>
      <c r="U440" s="129">
        <f t="shared" ref="U440:U496" si="1529">IF(S440="-",S440,S440*24)</f>
        <v>144</v>
      </c>
      <c r="V440" s="85">
        <f t="shared" ref="V440:V496" si="1530">IF(Q440="-",Q440,T440*24)</f>
        <v>336</v>
      </c>
      <c r="W440" s="129" t="str">
        <f>'Consumer Hardware Pricing'!V448</f>
        <v>-</v>
      </c>
      <c r="X440" s="129" t="str">
        <f t="shared" si="1170"/>
        <v>-</v>
      </c>
      <c r="Y440" s="129" t="str">
        <f t="shared" ref="Y440:Y496" si="1531">IF(W440="-",W440,R440-X440)</f>
        <v>-</v>
      </c>
      <c r="Z440" s="129" t="str">
        <f t="shared" ref="Z440:Z496" si="1532">IF(W440="-",W440,X440*24)</f>
        <v>-</v>
      </c>
      <c r="AA440" s="85" t="str">
        <f t="shared" ref="AA440:AA496" si="1533">IF(W440="-",W440,Y440*24)</f>
        <v>-</v>
      </c>
      <c r="AB440" s="85">
        <f>'Consumer Hardware Pricing'!X448</f>
        <v>0</v>
      </c>
      <c r="AC440" s="85">
        <f t="shared" si="1211"/>
        <v>20</v>
      </c>
      <c r="AD440" s="85">
        <f>'Consumer Hardware Pricing'!Y448</f>
        <v>8.2999999999999989</v>
      </c>
      <c r="AE440" s="85">
        <f t="shared" si="1501"/>
        <v>11.700000000000001</v>
      </c>
      <c r="AF440" s="85">
        <f t="shared" si="1502"/>
        <v>199.2</v>
      </c>
      <c r="AG440" s="85">
        <f t="shared" si="1503"/>
        <v>280.8</v>
      </c>
      <c r="AH440" s="85" t="str">
        <f>'Consumer Hardware Pricing'!AA448</f>
        <v>-</v>
      </c>
      <c r="AI440" s="85" t="str">
        <f t="shared" si="1212"/>
        <v>-</v>
      </c>
      <c r="AJ440" s="85" t="str">
        <f t="shared" si="1504"/>
        <v>-</v>
      </c>
      <c r="AK440" s="85" t="str">
        <f t="shared" si="1505"/>
        <v>-</v>
      </c>
      <c r="AL440" s="85" t="str">
        <f t="shared" si="1506"/>
        <v>-</v>
      </c>
      <c r="AM440" s="85">
        <f>'Consumer Hardware Pricing'!AC448</f>
        <v>0</v>
      </c>
      <c r="AN440" s="85">
        <f t="shared" si="1213"/>
        <v>20</v>
      </c>
      <c r="AO440" s="85">
        <f>'Consumer Hardware Pricing'!AD448</f>
        <v>8.2999999999999989</v>
      </c>
      <c r="AP440" s="85">
        <f t="shared" si="1507"/>
        <v>11.700000000000001</v>
      </c>
      <c r="AQ440" s="85">
        <f t="shared" si="1508"/>
        <v>199.2</v>
      </c>
      <c r="AR440" s="85">
        <f t="shared" si="1509"/>
        <v>280.8</v>
      </c>
      <c r="AS440" s="85" t="str">
        <f>'Consumer Hardware Pricing'!AF448</f>
        <v>-</v>
      </c>
      <c r="AT440" s="85" t="str">
        <f t="shared" si="1214"/>
        <v>-</v>
      </c>
      <c r="AU440" s="85" t="str">
        <f t="shared" si="1510"/>
        <v>-</v>
      </c>
      <c r="AV440" s="85" t="str">
        <f t="shared" si="1511"/>
        <v>-</v>
      </c>
      <c r="AW440" s="85" t="str">
        <f t="shared" si="1512"/>
        <v>-</v>
      </c>
      <c r="AX440" s="85">
        <f>'Consumer Hardware Pricing'!AH448</f>
        <v>0</v>
      </c>
      <c r="AY440" s="85">
        <f t="shared" si="1215"/>
        <v>20</v>
      </c>
      <c r="AZ440" s="85">
        <f>'Consumer Hardware Pricing'!AI448</f>
        <v>6</v>
      </c>
      <c r="BA440" s="85">
        <f t="shared" si="1517"/>
        <v>14</v>
      </c>
      <c r="BB440" s="85">
        <f t="shared" si="1518"/>
        <v>144</v>
      </c>
      <c r="BC440" s="85">
        <f t="shared" ref="BC440:BC496" si="1534">IF(AX440="-",AX440,AX440+(BA440*24))</f>
        <v>336</v>
      </c>
      <c r="BD440" s="85" t="str">
        <f>'Consumer Hardware Pricing'!AL448</f>
        <v>-</v>
      </c>
      <c r="BE440" s="85" t="str">
        <f t="shared" si="1216"/>
        <v>-</v>
      </c>
      <c r="BF440" s="85" t="str">
        <f>'Consumer Hardware Pricing'!AM448</f>
        <v>-</v>
      </c>
      <c r="BG440" s="85" t="str">
        <f t="shared" si="1519"/>
        <v>-</v>
      </c>
      <c r="BH440" s="85" t="str">
        <f t="shared" si="1520"/>
        <v>-</v>
      </c>
      <c r="BI440" s="85" t="str">
        <f t="shared" ref="BI440:BI496" si="1535">IF(BD440="-",BD440,BD440+(BG440*24))</f>
        <v>-</v>
      </c>
      <c r="BJ440" s="85" t="str">
        <f>'Consumer Hardware Pricing'!AP448</f>
        <v>-</v>
      </c>
      <c r="BK440" s="85" t="str">
        <f t="shared" si="1217"/>
        <v>-</v>
      </c>
      <c r="BL440" s="85" t="str">
        <f>'Consumer Hardware Pricing'!AQ448</f>
        <v>-</v>
      </c>
      <c r="BM440" s="85" t="str">
        <f t="shared" si="1521"/>
        <v>-</v>
      </c>
      <c r="BN440" s="85" t="str">
        <f t="shared" si="1522"/>
        <v>-</v>
      </c>
      <c r="BO440" s="85" t="str">
        <f t="shared" ref="BO440:BO496" si="1536">IF(BJ440="-",BJ440,BJ440+(BM440*24))</f>
        <v>-</v>
      </c>
      <c r="BP440" s="85" t="str">
        <f>'Consumer Hardware Pricing'!AT448</f>
        <v>-</v>
      </c>
      <c r="BQ440" s="85" t="str">
        <f t="shared" si="1218"/>
        <v>-</v>
      </c>
      <c r="BR440" s="85" t="str">
        <f>'Consumer Hardware Pricing'!AU448</f>
        <v>-</v>
      </c>
      <c r="BS440" s="85" t="str">
        <f t="shared" si="1523"/>
        <v>-</v>
      </c>
      <c r="BT440" s="85" t="str">
        <f t="shared" si="1524"/>
        <v>-</v>
      </c>
      <c r="BU440" s="85" t="str">
        <f t="shared" ref="BU440:BU496" si="1537">IF(BP440="-",BP440,BP440+(BS440*24))</f>
        <v>-</v>
      </c>
    </row>
    <row r="441" spans="1:73" s="131" customFormat="1" ht="30.15" customHeight="1" x14ac:dyDescent="0.25">
      <c r="A441" s="87" t="s">
        <v>35</v>
      </c>
      <c r="B441" s="88" t="s">
        <v>397</v>
      </c>
      <c r="C441" s="88" t="s">
        <v>398</v>
      </c>
      <c r="D441" s="85">
        <f>'Consumer Hardware Pricing'!L449</f>
        <v>329</v>
      </c>
      <c r="E441" s="85">
        <f>'Consumer Hardware Pricing'!M449</f>
        <v>329</v>
      </c>
      <c r="F441" s="85" t="str">
        <f>'Consumer Hardware Pricing'!N449</f>
        <v>-</v>
      </c>
      <c r="G441" s="85" t="str">
        <f t="shared" si="1168"/>
        <v>-</v>
      </c>
      <c r="H441" s="85" t="str">
        <f>'Consumer Hardware Pricing'!O449</f>
        <v>-</v>
      </c>
      <c r="I441" s="85" t="str">
        <f t="shared" si="1513"/>
        <v>-</v>
      </c>
      <c r="J441" s="85" t="str">
        <f t="shared" si="1525"/>
        <v>-</v>
      </c>
      <c r="K441" s="85" t="str">
        <f t="shared" si="1526"/>
        <v>-</v>
      </c>
      <c r="L441" s="85" t="str">
        <f>'Consumer Hardware Pricing'!Q449</f>
        <v>-</v>
      </c>
      <c r="M441" s="85" t="str">
        <f t="shared" si="1169"/>
        <v>-</v>
      </c>
      <c r="N441" s="85" t="str">
        <f t="shared" si="1514"/>
        <v>-</v>
      </c>
      <c r="O441" s="85" t="str">
        <f t="shared" si="1515"/>
        <v>-</v>
      </c>
      <c r="P441" s="85" t="str">
        <f t="shared" si="1527"/>
        <v>-</v>
      </c>
      <c r="Q441" s="85" t="str">
        <f>'Consumer Hardware Pricing'!S449</f>
        <v>-</v>
      </c>
      <c r="R441" s="85" t="str">
        <f t="shared" si="1516"/>
        <v>-</v>
      </c>
      <c r="S441" s="85" t="str">
        <f>'Consumer Hardware Pricing'!T449</f>
        <v>-</v>
      </c>
      <c r="T441" s="129" t="str">
        <f t="shared" si="1528"/>
        <v>-</v>
      </c>
      <c r="U441" s="129" t="str">
        <f t="shared" si="1529"/>
        <v>-</v>
      </c>
      <c r="V441" s="85" t="str">
        <f t="shared" si="1530"/>
        <v>-</v>
      </c>
      <c r="W441" s="129" t="str">
        <f>'Consumer Hardware Pricing'!V449</f>
        <v>-</v>
      </c>
      <c r="X441" s="129" t="str">
        <f t="shared" si="1170"/>
        <v>-</v>
      </c>
      <c r="Y441" s="129" t="str">
        <f t="shared" si="1531"/>
        <v>-</v>
      </c>
      <c r="Z441" s="129" t="str">
        <f t="shared" si="1532"/>
        <v>-</v>
      </c>
      <c r="AA441" s="85" t="str">
        <f t="shared" si="1533"/>
        <v>-</v>
      </c>
      <c r="AB441" s="85" t="str">
        <f>'Consumer Hardware Pricing'!X449</f>
        <v>-</v>
      </c>
      <c r="AC441" s="85" t="str">
        <f t="shared" si="1211"/>
        <v>-</v>
      </c>
      <c r="AD441" s="85" t="str">
        <f>'Consumer Hardware Pricing'!Y449</f>
        <v>-</v>
      </c>
      <c r="AE441" s="85" t="str">
        <f t="shared" si="1501"/>
        <v>-</v>
      </c>
      <c r="AF441" s="85" t="str">
        <f t="shared" si="1502"/>
        <v>-</v>
      </c>
      <c r="AG441" s="85" t="str">
        <f t="shared" si="1503"/>
        <v>-</v>
      </c>
      <c r="AH441" s="85" t="str">
        <f>'Consumer Hardware Pricing'!AA449</f>
        <v>-</v>
      </c>
      <c r="AI441" s="85" t="str">
        <f t="shared" si="1212"/>
        <v>-</v>
      </c>
      <c r="AJ441" s="85" t="str">
        <f t="shared" si="1504"/>
        <v>-</v>
      </c>
      <c r="AK441" s="85" t="str">
        <f t="shared" si="1505"/>
        <v>-</v>
      </c>
      <c r="AL441" s="85" t="str">
        <f t="shared" si="1506"/>
        <v>-</v>
      </c>
      <c r="AM441" s="85" t="str">
        <f>'Consumer Hardware Pricing'!AC449</f>
        <v>-</v>
      </c>
      <c r="AN441" s="85" t="str">
        <f t="shared" si="1213"/>
        <v>-</v>
      </c>
      <c r="AO441" s="85" t="str">
        <f>'Consumer Hardware Pricing'!AD449</f>
        <v>-</v>
      </c>
      <c r="AP441" s="85" t="str">
        <f t="shared" si="1507"/>
        <v>-</v>
      </c>
      <c r="AQ441" s="85" t="str">
        <f t="shared" si="1508"/>
        <v>-</v>
      </c>
      <c r="AR441" s="85" t="str">
        <f t="shared" si="1509"/>
        <v>-</v>
      </c>
      <c r="AS441" s="85" t="str">
        <f>'Consumer Hardware Pricing'!AF449</f>
        <v>-</v>
      </c>
      <c r="AT441" s="85" t="str">
        <f t="shared" si="1214"/>
        <v>-</v>
      </c>
      <c r="AU441" s="85" t="str">
        <f t="shared" si="1510"/>
        <v>-</v>
      </c>
      <c r="AV441" s="85" t="str">
        <f t="shared" si="1511"/>
        <v>-</v>
      </c>
      <c r="AW441" s="85" t="str">
        <f t="shared" si="1512"/>
        <v>-</v>
      </c>
      <c r="AX441" s="85" t="str">
        <f>'Consumer Hardware Pricing'!AH449</f>
        <v>-</v>
      </c>
      <c r="AY441" s="85" t="str">
        <f t="shared" si="1215"/>
        <v>-</v>
      </c>
      <c r="AZ441" s="85" t="str">
        <f>'Consumer Hardware Pricing'!AI449</f>
        <v>-</v>
      </c>
      <c r="BA441" s="85" t="str">
        <f t="shared" si="1517"/>
        <v>-</v>
      </c>
      <c r="BB441" s="85" t="str">
        <f t="shared" si="1518"/>
        <v>-</v>
      </c>
      <c r="BC441" s="85" t="str">
        <f t="shared" si="1534"/>
        <v>-</v>
      </c>
      <c r="BD441" s="85">
        <f>'Consumer Hardware Pricing'!AL449</f>
        <v>0</v>
      </c>
      <c r="BE441" s="85">
        <f t="shared" si="1216"/>
        <v>13.709999999999999</v>
      </c>
      <c r="BF441" s="85" t="str">
        <f>'Consumer Hardware Pricing'!AM449</f>
        <v>-</v>
      </c>
      <c r="BG441" s="85">
        <f t="shared" si="1519"/>
        <v>13.709999999999999</v>
      </c>
      <c r="BH441" s="85" t="str">
        <f t="shared" si="1520"/>
        <v>-</v>
      </c>
      <c r="BI441" s="85">
        <f t="shared" si="1535"/>
        <v>329.03999999999996</v>
      </c>
      <c r="BJ441" s="85" t="str">
        <f>'Consumer Hardware Pricing'!AP449</f>
        <v>-</v>
      </c>
      <c r="BK441" s="85" t="str">
        <f t="shared" si="1217"/>
        <v>-</v>
      </c>
      <c r="BL441" s="85" t="str">
        <f>'Consumer Hardware Pricing'!AQ449</f>
        <v>-</v>
      </c>
      <c r="BM441" s="85" t="str">
        <f t="shared" si="1521"/>
        <v>-</v>
      </c>
      <c r="BN441" s="85" t="str">
        <f t="shared" si="1522"/>
        <v>-</v>
      </c>
      <c r="BO441" s="85" t="str">
        <f t="shared" si="1536"/>
        <v>-</v>
      </c>
      <c r="BP441" s="85" t="str">
        <f>'Consumer Hardware Pricing'!AT449</f>
        <v>-</v>
      </c>
      <c r="BQ441" s="85" t="str">
        <f t="shared" si="1218"/>
        <v>-</v>
      </c>
      <c r="BR441" s="85" t="str">
        <f>'Consumer Hardware Pricing'!AU449</f>
        <v>-</v>
      </c>
      <c r="BS441" s="85" t="str">
        <f t="shared" si="1523"/>
        <v>-</v>
      </c>
      <c r="BT441" s="85" t="str">
        <f t="shared" si="1524"/>
        <v>-</v>
      </c>
      <c r="BU441" s="85" t="str">
        <f t="shared" si="1537"/>
        <v>-</v>
      </c>
    </row>
    <row r="442" spans="1:73" s="131" customFormat="1" ht="30.15" customHeight="1" x14ac:dyDescent="0.25">
      <c r="A442" s="87" t="s">
        <v>35</v>
      </c>
      <c r="B442" s="88" t="s">
        <v>396</v>
      </c>
      <c r="C442" s="88" t="s">
        <v>417</v>
      </c>
      <c r="D442" s="85">
        <f>'Consumer Hardware Pricing'!L450</f>
        <v>0</v>
      </c>
      <c r="E442" s="85">
        <f>'Consumer Hardware Pricing'!M450</f>
        <v>0</v>
      </c>
      <c r="F442" s="85" t="str">
        <f>'Consumer Hardware Pricing'!N450</f>
        <v>-</v>
      </c>
      <c r="G442" s="85" t="str">
        <f t="shared" si="1168"/>
        <v>-</v>
      </c>
      <c r="H442" s="85" t="str">
        <f>'Consumer Hardware Pricing'!O450</f>
        <v>-</v>
      </c>
      <c r="I442" s="85" t="str">
        <f t="shared" si="1513"/>
        <v>-</v>
      </c>
      <c r="J442" s="85" t="str">
        <f t="shared" si="1525"/>
        <v>-</v>
      </c>
      <c r="K442" s="85" t="str">
        <f t="shared" si="1526"/>
        <v>-</v>
      </c>
      <c r="L442" s="85" t="str">
        <f>'Consumer Hardware Pricing'!Q450</f>
        <v>-</v>
      </c>
      <c r="M442" s="85" t="str">
        <f t="shared" si="1169"/>
        <v>-</v>
      </c>
      <c r="N442" s="85" t="str">
        <f t="shared" si="1514"/>
        <v>-</v>
      </c>
      <c r="O442" s="85" t="str">
        <f t="shared" si="1515"/>
        <v>-</v>
      </c>
      <c r="P442" s="85" t="str">
        <f t="shared" si="1527"/>
        <v>-</v>
      </c>
      <c r="Q442" s="85" t="str">
        <f>'Consumer Hardware Pricing'!S450</f>
        <v>-</v>
      </c>
      <c r="R442" s="85" t="str">
        <f t="shared" si="1516"/>
        <v>-</v>
      </c>
      <c r="S442" s="85" t="str">
        <f>'Consumer Hardware Pricing'!T450</f>
        <v>-</v>
      </c>
      <c r="T442" s="129" t="str">
        <f t="shared" si="1528"/>
        <v>-</v>
      </c>
      <c r="U442" s="129" t="str">
        <f t="shared" si="1529"/>
        <v>-</v>
      </c>
      <c r="V442" s="85" t="str">
        <f t="shared" si="1530"/>
        <v>-</v>
      </c>
      <c r="W442" s="129" t="str">
        <f>'Consumer Hardware Pricing'!V450</f>
        <v>-</v>
      </c>
      <c r="X442" s="129" t="str">
        <f t="shared" si="1170"/>
        <v>-</v>
      </c>
      <c r="Y442" s="129" t="str">
        <f t="shared" si="1531"/>
        <v>-</v>
      </c>
      <c r="Z442" s="129" t="str">
        <f t="shared" si="1532"/>
        <v>-</v>
      </c>
      <c r="AA442" s="85" t="str">
        <f t="shared" si="1533"/>
        <v>-</v>
      </c>
      <c r="AB442" s="85" t="str">
        <f>'Consumer Hardware Pricing'!X450</f>
        <v>-</v>
      </c>
      <c r="AC442" s="85" t="str">
        <f t="shared" si="1211"/>
        <v>-</v>
      </c>
      <c r="AD442" s="85" t="str">
        <f>'Consumer Hardware Pricing'!Y450</f>
        <v>-</v>
      </c>
      <c r="AE442" s="85" t="str">
        <f t="shared" si="1501"/>
        <v>-</v>
      </c>
      <c r="AF442" s="85" t="str">
        <f t="shared" si="1502"/>
        <v>-</v>
      </c>
      <c r="AG442" s="85" t="str">
        <f t="shared" si="1503"/>
        <v>-</v>
      </c>
      <c r="AH442" s="85" t="str">
        <f>'Consumer Hardware Pricing'!AA450</f>
        <v>-</v>
      </c>
      <c r="AI442" s="85" t="str">
        <f t="shared" si="1212"/>
        <v>-</v>
      </c>
      <c r="AJ442" s="85" t="str">
        <f t="shared" si="1504"/>
        <v>-</v>
      </c>
      <c r="AK442" s="85" t="str">
        <f t="shared" si="1505"/>
        <v>-</v>
      </c>
      <c r="AL442" s="85" t="str">
        <f t="shared" si="1506"/>
        <v>-</v>
      </c>
      <c r="AM442" s="85" t="str">
        <f>'Consumer Hardware Pricing'!AC450</f>
        <v>-</v>
      </c>
      <c r="AN442" s="85" t="str">
        <f t="shared" si="1213"/>
        <v>-</v>
      </c>
      <c r="AO442" s="85" t="str">
        <f>'Consumer Hardware Pricing'!AD450</f>
        <v>-</v>
      </c>
      <c r="AP442" s="85" t="str">
        <f t="shared" si="1507"/>
        <v>-</v>
      </c>
      <c r="AQ442" s="85" t="str">
        <f t="shared" si="1508"/>
        <v>-</v>
      </c>
      <c r="AR442" s="85" t="str">
        <f t="shared" si="1509"/>
        <v>-</v>
      </c>
      <c r="AS442" s="85" t="str">
        <f>'Consumer Hardware Pricing'!AF450</f>
        <v>-</v>
      </c>
      <c r="AT442" s="85" t="str">
        <f t="shared" si="1214"/>
        <v>-</v>
      </c>
      <c r="AU442" s="85" t="str">
        <f t="shared" si="1510"/>
        <v>-</v>
      </c>
      <c r="AV442" s="85" t="str">
        <f t="shared" si="1511"/>
        <v>-</v>
      </c>
      <c r="AW442" s="85" t="str">
        <f t="shared" si="1512"/>
        <v>-</v>
      </c>
      <c r="AX442" s="85" t="str">
        <f>'Consumer Hardware Pricing'!AH450</f>
        <v>-</v>
      </c>
      <c r="AY442" s="85" t="str">
        <f t="shared" si="1215"/>
        <v>-</v>
      </c>
      <c r="AZ442" s="85" t="str">
        <f>'Consumer Hardware Pricing'!AI450</f>
        <v>-</v>
      </c>
      <c r="BA442" s="85" t="str">
        <f t="shared" si="1517"/>
        <v>-</v>
      </c>
      <c r="BB442" s="85" t="str">
        <f t="shared" si="1518"/>
        <v>-</v>
      </c>
      <c r="BC442" s="85" t="str">
        <f t="shared" si="1534"/>
        <v>-</v>
      </c>
      <c r="BD442" s="85" t="str">
        <f>'Consumer Hardware Pricing'!AL450</f>
        <v>-</v>
      </c>
      <c r="BE442" s="85" t="str">
        <f t="shared" si="1216"/>
        <v>-</v>
      </c>
      <c r="BF442" s="85" t="str">
        <f>'Consumer Hardware Pricing'!AM450</f>
        <v>-</v>
      </c>
      <c r="BG442" s="85" t="str">
        <f t="shared" si="1519"/>
        <v>-</v>
      </c>
      <c r="BH442" s="85" t="str">
        <f t="shared" si="1520"/>
        <v>-</v>
      </c>
      <c r="BI442" s="85" t="str">
        <f t="shared" si="1535"/>
        <v>-</v>
      </c>
      <c r="BJ442" s="85" t="str">
        <f>'Consumer Hardware Pricing'!AP450</f>
        <v>-</v>
      </c>
      <c r="BK442" s="85" t="str">
        <f t="shared" si="1217"/>
        <v>-</v>
      </c>
      <c r="BL442" s="85" t="str">
        <f>'Consumer Hardware Pricing'!AQ450</f>
        <v>-</v>
      </c>
      <c r="BM442" s="85" t="str">
        <f t="shared" si="1521"/>
        <v>-</v>
      </c>
      <c r="BN442" s="85" t="str">
        <f t="shared" si="1522"/>
        <v>-</v>
      </c>
      <c r="BO442" s="85" t="str">
        <f t="shared" si="1536"/>
        <v>-</v>
      </c>
      <c r="BP442" s="85" t="str">
        <f>'Consumer Hardware Pricing'!AT450</f>
        <v>-</v>
      </c>
      <c r="BQ442" s="85" t="str">
        <f t="shared" si="1218"/>
        <v>-</v>
      </c>
      <c r="BR442" s="85" t="str">
        <f>'Consumer Hardware Pricing'!AU450</f>
        <v>-</v>
      </c>
      <c r="BS442" s="85" t="str">
        <f t="shared" si="1523"/>
        <v>-</v>
      </c>
      <c r="BT442" s="85" t="str">
        <f t="shared" si="1524"/>
        <v>-</v>
      </c>
      <c r="BU442" s="85" t="str">
        <f t="shared" si="1537"/>
        <v>-</v>
      </c>
    </row>
    <row r="443" spans="1:73" s="131" customFormat="1" ht="30.15" customHeight="1" x14ac:dyDescent="0.25">
      <c r="A443" s="87" t="s">
        <v>35</v>
      </c>
      <c r="B443" s="88" t="s">
        <v>402</v>
      </c>
      <c r="C443" s="88" t="s">
        <v>417</v>
      </c>
      <c r="D443" s="85">
        <f>'Consumer Hardware Pricing'!L451</f>
        <v>0</v>
      </c>
      <c r="E443" s="85">
        <f>'Consumer Hardware Pricing'!M451</f>
        <v>0</v>
      </c>
      <c r="F443" s="85" t="str">
        <f>'Consumer Hardware Pricing'!N451</f>
        <v>-</v>
      </c>
      <c r="G443" s="85" t="str">
        <f t="shared" si="1168"/>
        <v>-</v>
      </c>
      <c r="H443" s="85" t="str">
        <f>'Consumer Hardware Pricing'!O451</f>
        <v>-</v>
      </c>
      <c r="I443" s="85" t="str">
        <f t="shared" si="1513"/>
        <v>-</v>
      </c>
      <c r="J443" s="85" t="str">
        <f t="shared" si="1525"/>
        <v>-</v>
      </c>
      <c r="K443" s="85" t="str">
        <f t="shared" si="1526"/>
        <v>-</v>
      </c>
      <c r="L443" s="85" t="str">
        <f>'Consumer Hardware Pricing'!Q451</f>
        <v>-</v>
      </c>
      <c r="M443" s="85" t="str">
        <f t="shared" si="1169"/>
        <v>-</v>
      </c>
      <c r="N443" s="85" t="str">
        <f t="shared" si="1514"/>
        <v>-</v>
      </c>
      <c r="O443" s="85" t="str">
        <f t="shared" si="1515"/>
        <v>-</v>
      </c>
      <c r="P443" s="85" t="str">
        <f t="shared" si="1527"/>
        <v>-</v>
      </c>
      <c r="Q443" s="85" t="str">
        <f>'Consumer Hardware Pricing'!S451</f>
        <v>-</v>
      </c>
      <c r="R443" s="85" t="str">
        <f t="shared" si="1516"/>
        <v>-</v>
      </c>
      <c r="S443" s="85" t="str">
        <f>'Consumer Hardware Pricing'!T451</f>
        <v>-</v>
      </c>
      <c r="T443" s="129" t="str">
        <f t="shared" si="1528"/>
        <v>-</v>
      </c>
      <c r="U443" s="129" t="str">
        <f t="shared" si="1529"/>
        <v>-</v>
      </c>
      <c r="V443" s="85" t="str">
        <f t="shared" si="1530"/>
        <v>-</v>
      </c>
      <c r="W443" s="129" t="str">
        <f>'Consumer Hardware Pricing'!V451</f>
        <v>-</v>
      </c>
      <c r="X443" s="129" t="str">
        <f t="shared" si="1170"/>
        <v>-</v>
      </c>
      <c r="Y443" s="129" t="str">
        <f t="shared" si="1531"/>
        <v>-</v>
      </c>
      <c r="Z443" s="129" t="str">
        <f t="shared" si="1532"/>
        <v>-</v>
      </c>
      <c r="AA443" s="85" t="str">
        <f t="shared" si="1533"/>
        <v>-</v>
      </c>
      <c r="AB443" s="85" t="str">
        <f>'Consumer Hardware Pricing'!X451</f>
        <v>-</v>
      </c>
      <c r="AC443" s="85" t="str">
        <f t="shared" si="1211"/>
        <v>-</v>
      </c>
      <c r="AD443" s="85" t="str">
        <f>'Consumer Hardware Pricing'!Y451</f>
        <v>-</v>
      </c>
      <c r="AE443" s="85" t="str">
        <f t="shared" si="1501"/>
        <v>-</v>
      </c>
      <c r="AF443" s="85" t="str">
        <f t="shared" si="1502"/>
        <v>-</v>
      </c>
      <c r="AG443" s="85" t="str">
        <f t="shared" si="1503"/>
        <v>-</v>
      </c>
      <c r="AH443" s="85" t="str">
        <f>'Consumer Hardware Pricing'!AA451</f>
        <v>-</v>
      </c>
      <c r="AI443" s="85" t="str">
        <f t="shared" si="1212"/>
        <v>-</v>
      </c>
      <c r="AJ443" s="85" t="str">
        <f t="shared" si="1504"/>
        <v>-</v>
      </c>
      <c r="AK443" s="85" t="str">
        <f t="shared" si="1505"/>
        <v>-</v>
      </c>
      <c r="AL443" s="85" t="str">
        <f t="shared" si="1506"/>
        <v>-</v>
      </c>
      <c r="AM443" s="85" t="str">
        <f>'Consumer Hardware Pricing'!AC451</f>
        <v>-</v>
      </c>
      <c r="AN443" s="85" t="str">
        <f t="shared" si="1213"/>
        <v>-</v>
      </c>
      <c r="AO443" s="85" t="str">
        <f>'Consumer Hardware Pricing'!AD451</f>
        <v>-</v>
      </c>
      <c r="AP443" s="85" t="str">
        <f t="shared" si="1507"/>
        <v>-</v>
      </c>
      <c r="AQ443" s="85" t="str">
        <f t="shared" si="1508"/>
        <v>-</v>
      </c>
      <c r="AR443" s="85" t="str">
        <f t="shared" si="1509"/>
        <v>-</v>
      </c>
      <c r="AS443" s="85" t="str">
        <f>'Consumer Hardware Pricing'!AF451</f>
        <v>-</v>
      </c>
      <c r="AT443" s="85" t="str">
        <f t="shared" si="1214"/>
        <v>-</v>
      </c>
      <c r="AU443" s="85" t="str">
        <f t="shared" si="1510"/>
        <v>-</v>
      </c>
      <c r="AV443" s="85" t="str">
        <f t="shared" si="1511"/>
        <v>-</v>
      </c>
      <c r="AW443" s="85" t="str">
        <f t="shared" si="1512"/>
        <v>-</v>
      </c>
      <c r="AX443" s="85" t="str">
        <f>'Consumer Hardware Pricing'!AH451</f>
        <v>-</v>
      </c>
      <c r="AY443" s="85" t="str">
        <f t="shared" si="1215"/>
        <v>-</v>
      </c>
      <c r="AZ443" s="85" t="str">
        <f>'Consumer Hardware Pricing'!AI451</f>
        <v>-</v>
      </c>
      <c r="BA443" s="85" t="str">
        <f t="shared" si="1517"/>
        <v>-</v>
      </c>
      <c r="BB443" s="85" t="str">
        <f t="shared" si="1518"/>
        <v>-</v>
      </c>
      <c r="BC443" s="85" t="str">
        <f t="shared" si="1534"/>
        <v>-</v>
      </c>
      <c r="BD443" s="85" t="str">
        <f>'Consumer Hardware Pricing'!AL451</f>
        <v>-</v>
      </c>
      <c r="BE443" s="85" t="str">
        <f t="shared" si="1216"/>
        <v>-</v>
      </c>
      <c r="BF443" s="85" t="str">
        <f>'Consumer Hardware Pricing'!AM451</f>
        <v>-</v>
      </c>
      <c r="BG443" s="85" t="str">
        <f t="shared" si="1519"/>
        <v>-</v>
      </c>
      <c r="BH443" s="85" t="str">
        <f t="shared" si="1520"/>
        <v>-</v>
      </c>
      <c r="BI443" s="85" t="str">
        <f t="shared" si="1535"/>
        <v>-</v>
      </c>
      <c r="BJ443" s="85" t="str">
        <f>'Consumer Hardware Pricing'!AP451</f>
        <v>-</v>
      </c>
      <c r="BK443" s="85" t="str">
        <f t="shared" si="1217"/>
        <v>-</v>
      </c>
      <c r="BL443" s="85" t="str">
        <f>'Consumer Hardware Pricing'!AQ451</f>
        <v>-</v>
      </c>
      <c r="BM443" s="85" t="str">
        <f t="shared" si="1521"/>
        <v>-</v>
      </c>
      <c r="BN443" s="85" t="str">
        <f t="shared" si="1522"/>
        <v>-</v>
      </c>
      <c r="BO443" s="85" t="str">
        <f t="shared" si="1536"/>
        <v>-</v>
      </c>
      <c r="BP443" s="85" t="str">
        <f>'Consumer Hardware Pricing'!AT451</f>
        <v>-</v>
      </c>
      <c r="BQ443" s="85" t="str">
        <f t="shared" si="1218"/>
        <v>-</v>
      </c>
      <c r="BR443" s="85" t="str">
        <f>'Consumer Hardware Pricing'!AU451</f>
        <v>-</v>
      </c>
      <c r="BS443" s="85" t="str">
        <f t="shared" si="1523"/>
        <v>-</v>
      </c>
      <c r="BT443" s="85" t="str">
        <f t="shared" si="1524"/>
        <v>-</v>
      </c>
      <c r="BU443" s="85" t="str">
        <f t="shared" si="1537"/>
        <v>-</v>
      </c>
    </row>
    <row r="444" spans="1:73" s="131" customFormat="1" ht="30.15" customHeight="1" x14ac:dyDescent="0.25">
      <c r="A444" s="87" t="s">
        <v>35</v>
      </c>
      <c r="B444" s="88" t="s">
        <v>589</v>
      </c>
      <c r="C444" s="88" t="s">
        <v>588</v>
      </c>
      <c r="D444" s="85">
        <f>'Consumer Hardware Pricing'!L452</f>
        <v>360</v>
      </c>
      <c r="E444" s="85">
        <f>'Consumer Hardware Pricing'!M452</f>
        <v>360</v>
      </c>
      <c r="F444" s="85" t="str">
        <f>'Consumer Hardware Pricing'!N452</f>
        <v>-</v>
      </c>
      <c r="G444" s="85" t="str">
        <f t="shared" si="1168"/>
        <v>-</v>
      </c>
      <c r="H444" s="85" t="str">
        <f>'Consumer Hardware Pricing'!O452</f>
        <v>-</v>
      </c>
      <c r="I444" s="85" t="str">
        <f t="shared" si="1513"/>
        <v>-</v>
      </c>
      <c r="J444" s="85" t="str">
        <f t="shared" si="1525"/>
        <v>-</v>
      </c>
      <c r="K444" s="85" t="str">
        <f t="shared" si="1526"/>
        <v>-</v>
      </c>
      <c r="L444" s="85" t="str">
        <f>'Consumer Hardware Pricing'!Q452</f>
        <v>-</v>
      </c>
      <c r="M444" s="85" t="str">
        <f t="shared" si="1169"/>
        <v>-</v>
      </c>
      <c r="N444" s="85" t="str">
        <f t="shared" si="1514"/>
        <v>-</v>
      </c>
      <c r="O444" s="85" t="str">
        <f t="shared" si="1515"/>
        <v>-</v>
      </c>
      <c r="P444" s="85" t="str">
        <f t="shared" si="1527"/>
        <v>-</v>
      </c>
      <c r="Q444" s="85" t="str">
        <f>'Consumer Hardware Pricing'!S452</f>
        <v>-</v>
      </c>
      <c r="R444" s="85" t="str">
        <f t="shared" si="1516"/>
        <v>-</v>
      </c>
      <c r="S444" s="85" t="str">
        <f>'Consumer Hardware Pricing'!T452</f>
        <v>-</v>
      </c>
      <c r="T444" s="129" t="str">
        <f t="shared" si="1528"/>
        <v>-</v>
      </c>
      <c r="U444" s="129" t="str">
        <f t="shared" si="1529"/>
        <v>-</v>
      </c>
      <c r="V444" s="85" t="str">
        <f t="shared" si="1530"/>
        <v>-</v>
      </c>
      <c r="W444" s="129" t="str">
        <f>'Consumer Hardware Pricing'!V452</f>
        <v>-</v>
      </c>
      <c r="X444" s="129" t="str">
        <f t="shared" si="1170"/>
        <v>-</v>
      </c>
      <c r="Y444" s="129" t="str">
        <f t="shared" si="1531"/>
        <v>-</v>
      </c>
      <c r="Z444" s="129" t="str">
        <f t="shared" si="1532"/>
        <v>-</v>
      </c>
      <c r="AA444" s="85" t="str">
        <f t="shared" si="1533"/>
        <v>-</v>
      </c>
      <c r="AB444" s="85" t="str">
        <f>'Consumer Hardware Pricing'!X452</f>
        <v>-</v>
      </c>
      <c r="AC444" s="85" t="str">
        <f t="shared" si="1211"/>
        <v>-</v>
      </c>
      <c r="AD444" s="85" t="str">
        <f>'Consumer Hardware Pricing'!Y452</f>
        <v>-</v>
      </c>
      <c r="AE444" s="85" t="str">
        <f t="shared" si="1501"/>
        <v>-</v>
      </c>
      <c r="AF444" s="85" t="str">
        <f t="shared" si="1502"/>
        <v>-</v>
      </c>
      <c r="AG444" s="85" t="str">
        <f t="shared" si="1503"/>
        <v>-</v>
      </c>
      <c r="AH444" s="85" t="str">
        <f>'Consumer Hardware Pricing'!AA452</f>
        <v>-</v>
      </c>
      <c r="AI444" s="85" t="str">
        <f t="shared" si="1212"/>
        <v>-</v>
      </c>
      <c r="AJ444" s="85" t="str">
        <f t="shared" si="1504"/>
        <v>-</v>
      </c>
      <c r="AK444" s="85" t="str">
        <f t="shared" si="1505"/>
        <v>-</v>
      </c>
      <c r="AL444" s="85" t="str">
        <f t="shared" si="1506"/>
        <v>-</v>
      </c>
      <c r="AM444" s="85" t="str">
        <f>'Consumer Hardware Pricing'!AC452</f>
        <v>-</v>
      </c>
      <c r="AN444" s="85" t="str">
        <f t="shared" si="1213"/>
        <v>-</v>
      </c>
      <c r="AO444" s="85" t="str">
        <f>'Consumer Hardware Pricing'!AD452</f>
        <v>-</v>
      </c>
      <c r="AP444" s="85" t="str">
        <f t="shared" si="1507"/>
        <v>-</v>
      </c>
      <c r="AQ444" s="85" t="str">
        <f t="shared" si="1508"/>
        <v>-</v>
      </c>
      <c r="AR444" s="85" t="str">
        <f t="shared" si="1509"/>
        <v>-</v>
      </c>
      <c r="AS444" s="85" t="str">
        <f>'Consumer Hardware Pricing'!AF452</f>
        <v>-</v>
      </c>
      <c r="AT444" s="85" t="str">
        <f t="shared" si="1214"/>
        <v>-</v>
      </c>
      <c r="AU444" s="85" t="str">
        <f t="shared" si="1510"/>
        <v>-</v>
      </c>
      <c r="AV444" s="85" t="str">
        <f t="shared" si="1511"/>
        <v>-</v>
      </c>
      <c r="AW444" s="85" t="str">
        <f t="shared" si="1512"/>
        <v>-</v>
      </c>
      <c r="AX444" s="85" t="str">
        <f>'Consumer Hardware Pricing'!AH452</f>
        <v>-</v>
      </c>
      <c r="AY444" s="85" t="str">
        <f t="shared" si="1215"/>
        <v>-</v>
      </c>
      <c r="AZ444" s="85" t="str">
        <f>'Consumer Hardware Pricing'!AI452</f>
        <v>-</v>
      </c>
      <c r="BA444" s="85" t="str">
        <f t="shared" si="1517"/>
        <v>-</v>
      </c>
      <c r="BB444" s="85" t="str">
        <f t="shared" si="1518"/>
        <v>-</v>
      </c>
      <c r="BC444" s="85" t="str">
        <f t="shared" si="1534"/>
        <v>-</v>
      </c>
      <c r="BD444" s="85">
        <f>'Consumer Hardware Pricing'!AL452</f>
        <v>0</v>
      </c>
      <c r="BE444" s="85">
        <f t="shared" si="1216"/>
        <v>15</v>
      </c>
      <c r="BF444" s="85">
        <f>'Consumer Hardware Pricing'!AM452</f>
        <v>15</v>
      </c>
      <c r="BG444" s="85">
        <f t="shared" si="1519"/>
        <v>0</v>
      </c>
      <c r="BH444" s="85">
        <f t="shared" si="1520"/>
        <v>360</v>
      </c>
      <c r="BI444" s="85">
        <f t="shared" si="1535"/>
        <v>0</v>
      </c>
      <c r="BJ444" s="85" t="str">
        <f>'Consumer Hardware Pricing'!AP452</f>
        <v>-</v>
      </c>
      <c r="BK444" s="85" t="str">
        <f t="shared" si="1217"/>
        <v>-</v>
      </c>
      <c r="BL444" s="85" t="str">
        <f>'Consumer Hardware Pricing'!AQ452</f>
        <v>-</v>
      </c>
      <c r="BM444" s="85" t="str">
        <f t="shared" si="1521"/>
        <v>-</v>
      </c>
      <c r="BN444" s="85" t="str">
        <f t="shared" si="1522"/>
        <v>-</v>
      </c>
      <c r="BO444" s="85" t="str">
        <f t="shared" si="1536"/>
        <v>-</v>
      </c>
      <c r="BP444" s="85" t="str">
        <f>'Consumer Hardware Pricing'!AT452</f>
        <v>-</v>
      </c>
      <c r="BQ444" s="85" t="str">
        <f t="shared" si="1218"/>
        <v>-</v>
      </c>
      <c r="BR444" s="85" t="str">
        <f>'Consumer Hardware Pricing'!AU452</f>
        <v>-</v>
      </c>
      <c r="BS444" s="85" t="str">
        <f t="shared" si="1523"/>
        <v>-</v>
      </c>
      <c r="BT444" s="85" t="str">
        <f t="shared" si="1524"/>
        <v>-</v>
      </c>
      <c r="BU444" s="85" t="str">
        <f t="shared" si="1537"/>
        <v>-</v>
      </c>
    </row>
    <row r="445" spans="1:73" s="131" customFormat="1" ht="30.15" customHeight="1" x14ac:dyDescent="0.25">
      <c r="A445" s="87" t="s">
        <v>35</v>
      </c>
      <c r="B445" s="88" t="s">
        <v>902</v>
      </c>
      <c r="C445" s="88" t="s">
        <v>903</v>
      </c>
      <c r="D445" s="85">
        <f>'Consumer Hardware Pricing'!L453</f>
        <v>360</v>
      </c>
      <c r="E445" s="85">
        <f>'Consumer Hardware Pricing'!M453</f>
        <v>360</v>
      </c>
      <c r="F445" s="85" t="str">
        <f>'Consumer Hardware Pricing'!N453</f>
        <v>-</v>
      </c>
      <c r="G445" s="85" t="str">
        <f t="shared" si="1168"/>
        <v>-</v>
      </c>
      <c r="H445" s="85" t="str">
        <f>'Consumer Hardware Pricing'!O453</f>
        <v>-</v>
      </c>
      <c r="I445" s="85" t="str">
        <f t="shared" ref="I445" si="1538">IF(H445="-",G445,G445-H445)</f>
        <v>-</v>
      </c>
      <c r="J445" s="85" t="str">
        <f t="shared" ref="J445" si="1539">IF(H445="-",H445,H445*24)</f>
        <v>-</v>
      </c>
      <c r="K445" s="85" t="str">
        <f t="shared" ref="K445" si="1540">IF(F445="-",F445,I445*24)</f>
        <v>-</v>
      </c>
      <c r="L445" s="85" t="str">
        <f>'Consumer Hardware Pricing'!Q453</f>
        <v>-</v>
      </c>
      <c r="M445" s="85" t="str">
        <f t="shared" si="1169"/>
        <v>-</v>
      </c>
      <c r="N445" s="85" t="str">
        <f t="shared" ref="N445" si="1541">IF(L445="-",L445,G445-M445)</f>
        <v>-</v>
      </c>
      <c r="O445" s="85" t="str">
        <f t="shared" ref="O445" si="1542">IF(L445="-",L445,M445*24)</f>
        <v>-</v>
      </c>
      <c r="P445" s="85" t="str">
        <f t="shared" ref="P445" si="1543">IF(L445="-",L445,N445*24)</f>
        <v>-</v>
      </c>
      <c r="Q445" s="85" t="str">
        <f>'Consumer Hardware Pricing'!S453</f>
        <v>-</v>
      </c>
      <c r="R445" s="85" t="str">
        <f t="shared" ref="R445" si="1544">G445</f>
        <v>-</v>
      </c>
      <c r="S445" s="85" t="str">
        <f>'Consumer Hardware Pricing'!T453</f>
        <v>-</v>
      </c>
      <c r="T445" s="129" t="str">
        <f t="shared" ref="T445" si="1545">IF(S445="-",R445,R445-S445)</f>
        <v>-</v>
      </c>
      <c r="U445" s="129" t="str">
        <f t="shared" ref="U445" si="1546">IF(S445="-",S445,S445*24)</f>
        <v>-</v>
      </c>
      <c r="V445" s="85" t="str">
        <f t="shared" ref="V445" si="1547">IF(Q445="-",Q445,T445*24)</f>
        <v>-</v>
      </c>
      <c r="W445" s="129" t="str">
        <f>'Consumer Hardware Pricing'!V453</f>
        <v>-</v>
      </c>
      <c r="X445" s="129" t="str">
        <f t="shared" si="1170"/>
        <v>-</v>
      </c>
      <c r="Y445" s="129" t="str">
        <f t="shared" ref="Y445" si="1548">IF(W445="-",W445,R445-X445)</f>
        <v>-</v>
      </c>
      <c r="Z445" s="129" t="str">
        <f t="shared" ref="Z445" si="1549">IF(W445="-",W445,X445*24)</f>
        <v>-</v>
      </c>
      <c r="AA445" s="85" t="str">
        <f t="shared" ref="AA445" si="1550">IF(W445="-",W445,Y445*24)</f>
        <v>-</v>
      </c>
      <c r="AB445" s="85" t="str">
        <f>'Consumer Hardware Pricing'!X453</f>
        <v>-</v>
      </c>
      <c r="AC445" s="85" t="str">
        <f t="shared" si="1211"/>
        <v>-</v>
      </c>
      <c r="AD445" s="85" t="str">
        <f>'Consumer Hardware Pricing'!Y453</f>
        <v>-</v>
      </c>
      <c r="AE445" s="85" t="str">
        <f t="shared" si="1501"/>
        <v>-</v>
      </c>
      <c r="AF445" s="85" t="str">
        <f t="shared" si="1502"/>
        <v>-</v>
      </c>
      <c r="AG445" s="85" t="str">
        <f t="shared" si="1503"/>
        <v>-</v>
      </c>
      <c r="AH445" s="85" t="str">
        <f>'Consumer Hardware Pricing'!AA453</f>
        <v>-</v>
      </c>
      <c r="AI445" s="85" t="str">
        <f t="shared" si="1212"/>
        <v>-</v>
      </c>
      <c r="AJ445" s="85" t="str">
        <f t="shared" si="1504"/>
        <v>-</v>
      </c>
      <c r="AK445" s="85" t="str">
        <f t="shared" si="1505"/>
        <v>-</v>
      </c>
      <c r="AL445" s="85" t="str">
        <f t="shared" si="1506"/>
        <v>-</v>
      </c>
      <c r="AM445" s="85" t="str">
        <f>'Consumer Hardware Pricing'!AC453</f>
        <v>-</v>
      </c>
      <c r="AN445" s="85" t="str">
        <f t="shared" si="1213"/>
        <v>-</v>
      </c>
      <c r="AO445" s="85" t="str">
        <f>'Consumer Hardware Pricing'!AD453</f>
        <v>-</v>
      </c>
      <c r="AP445" s="85" t="str">
        <f t="shared" si="1507"/>
        <v>-</v>
      </c>
      <c r="AQ445" s="85" t="str">
        <f t="shared" si="1508"/>
        <v>-</v>
      </c>
      <c r="AR445" s="85" t="str">
        <f t="shared" si="1509"/>
        <v>-</v>
      </c>
      <c r="AS445" s="85" t="str">
        <f>'Consumer Hardware Pricing'!AF453</f>
        <v>-</v>
      </c>
      <c r="AT445" s="85" t="str">
        <f t="shared" si="1214"/>
        <v>-</v>
      </c>
      <c r="AU445" s="85" t="str">
        <f t="shared" si="1510"/>
        <v>-</v>
      </c>
      <c r="AV445" s="85" t="str">
        <f t="shared" si="1511"/>
        <v>-</v>
      </c>
      <c r="AW445" s="85" t="str">
        <f t="shared" si="1512"/>
        <v>-</v>
      </c>
      <c r="AX445" s="85" t="str">
        <f>'Consumer Hardware Pricing'!AH453</f>
        <v>-</v>
      </c>
      <c r="AY445" s="85" t="str">
        <f t="shared" si="1215"/>
        <v>-</v>
      </c>
      <c r="AZ445" s="85" t="str">
        <f>'Consumer Hardware Pricing'!AI453</f>
        <v>-</v>
      </c>
      <c r="BA445" s="85" t="str">
        <f t="shared" ref="BA445" si="1551">IF(AZ445="-",AY445,AY445-AZ445)</f>
        <v>-</v>
      </c>
      <c r="BB445" s="85" t="str">
        <f t="shared" ref="BB445" si="1552">IF(AZ445="-",AZ445,AZ445*24)</f>
        <v>-</v>
      </c>
      <c r="BC445" s="85" t="str">
        <f t="shared" ref="BC445" si="1553">IF(AX445="-",AX445,AX445+(BA445*24))</f>
        <v>-</v>
      </c>
      <c r="BD445" s="85">
        <f>'Consumer Hardware Pricing'!AL453</f>
        <v>0</v>
      </c>
      <c r="BE445" s="85">
        <f t="shared" si="1216"/>
        <v>15</v>
      </c>
      <c r="BF445" s="85">
        <f>'Consumer Hardware Pricing'!AM453</f>
        <v>15</v>
      </c>
      <c r="BG445" s="85">
        <f t="shared" ref="BG445" si="1554">IF(BF445="-",BE445,BE445-BF445)</f>
        <v>0</v>
      </c>
      <c r="BH445" s="85">
        <f t="shared" ref="BH445" si="1555">IF(BF445="-",BF445,BF445*24)</f>
        <v>360</v>
      </c>
      <c r="BI445" s="85">
        <f t="shared" ref="BI445" si="1556">IF(BD445="-",BD445,BD445+(BG445*24))</f>
        <v>0</v>
      </c>
      <c r="BJ445" s="85" t="str">
        <f>'Consumer Hardware Pricing'!AP453</f>
        <v>-</v>
      </c>
      <c r="BK445" s="85" t="str">
        <f t="shared" si="1217"/>
        <v>-</v>
      </c>
      <c r="BL445" s="85" t="str">
        <f>'Consumer Hardware Pricing'!AQ453</f>
        <v>-</v>
      </c>
      <c r="BM445" s="85" t="str">
        <f t="shared" ref="BM445" si="1557">IF(BL445="-",BK445,BK445-BL445)</f>
        <v>-</v>
      </c>
      <c r="BN445" s="85" t="str">
        <f t="shared" ref="BN445" si="1558">IF(BL445="-",BL445,BL445*24)</f>
        <v>-</v>
      </c>
      <c r="BO445" s="85" t="str">
        <f t="shared" ref="BO445" si="1559">IF(BJ445="-",BJ445,BJ445+(BM445*24))</f>
        <v>-</v>
      </c>
      <c r="BP445" s="85" t="str">
        <f>'Consumer Hardware Pricing'!AT453</f>
        <v>-</v>
      </c>
      <c r="BQ445" s="85" t="str">
        <f t="shared" si="1218"/>
        <v>-</v>
      </c>
      <c r="BR445" s="85" t="str">
        <f>'Consumer Hardware Pricing'!AU453</f>
        <v>-</v>
      </c>
      <c r="BS445" s="85" t="str">
        <f t="shared" ref="BS445" si="1560">IF(BR445="-",BQ445,BQ445-BR445)</f>
        <v>-</v>
      </c>
      <c r="BT445" s="85" t="str">
        <f t="shared" ref="BT445" si="1561">IF(BR445="-",BR445,BR445*24)</f>
        <v>-</v>
      </c>
      <c r="BU445" s="85" t="str">
        <f t="shared" ref="BU445" si="1562">IF(BP445="-",BP445,BP445+(BS445*24))</f>
        <v>-</v>
      </c>
    </row>
    <row r="446" spans="1:73" s="131" customFormat="1" ht="30.15" customHeight="1" x14ac:dyDescent="0.25">
      <c r="A446" s="87" t="s">
        <v>34</v>
      </c>
      <c r="B446" s="88" t="s">
        <v>403</v>
      </c>
      <c r="C446" s="88" t="s">
        <v>405</v>
      </c>
      <c r="D446" s="85">
        <f>'Consumer Hardware Pricing'!L454</f>
        <v>1050</v>
      </c>
      <c r="E446" s="85">
        <f>'Consumer Hardware Pricing'!M454</f>
        <v>1050</v>
      </c>
      <c r="F446" s="85">
        <f>'Consumer Hardware Pricing'!N454</f>
        <v>0</v>
      </c>
      <c r="G446" s="85">
        <f t="shared" ref="G446:G500" si="1563">IF(F446="-","-",ROUNDUP(D446/24,2))</f>
        <v>43.75</v>
      </c>
      <c r="H446" s="85">
        <f>'Consumer Hardware Pricing'!O454</f>
        <v>25</v>
      </c>
      <c r="I446" s="85">
        <f t="shared" si="1513"/>
        <v>18.75</v>
      </c>
      <c r="J446" s="85">
        <f t="shared" si="1525"/>
        <v>600</v>
      </c>
      <c r="K446" s="85">
        <f t="shared" si="1526"/>
        <v>450</v>
      </c>
      <c r="L446" s="85" t="str">
        <f>'Consumer Hardware Pricing'!Q454</f>
        <v>-</v>
      </c>
      <c r="M446" s="85" t="str">
        <f t="shared" ref="M446:M500" si="1564">IF(L446="-",L446,IF(H446="-",G446-ROUNDUP((D446-L446)/24,2),H446+G446-ROUNDUP((D446-L446)/24,2)))</f>
        <v>-</v>
      </c>
      <c r="N446" s="85" t="str">
        <f t="shared" si="1514"/>
        <v>-</v>
      </c>
      <c r="O446" s="85" t="str">
        <f t="shared" si="1515"/>
        <v>-</v>
      </c>
      <c r="P446" s="85" t="str">
        <f t="shared" si="1527"/>
        <v>-</v>
      </c>
      <c r="Q446" s="85">
        <f>'Consumer Hardware Pricing'!S454</f>
        <v>0</v>
      </c>
      <c r="R446" s="85">
        <f t="shared" si="1516"/>
        <v>43.75</v>
      </c>
      <c r="S446" s="85">
        <f>'Consumer Hardware Pricing'!T454</f>
        <v>25</v>
      </c>
      <c r="T446" s="129">
        <f t="shared" si="1528"/>
        <v>18.75</v>
      </c>
      <c r="U446" s="129">
        <f t="shared" si="1529"/>
        <v>600</v>
      </c>
      <c r="V446" s="85">
        <f t="shared" si="1530"/>
        <v>450</v>
      </c>
      <c r="W446" s="129" t="str">
        <f>'Consumer Hardware Pricing'!V454</f>
        <v>-</v>
      </c>
      <c r="X446" s="129" t="str">
        <f t="shared" ref="X446:X500" si="1565">IF(W446="-",W446,IF(S446="-",R446-ROUNDUP((D446-W446)/24,2),S446+R446-ROUNDUP((D446-W446)/24,2)))</f>
        <v>-</v>
      </c>
      <c r="Y446" s="129" t="str">
        <f t="shared" si="1531"/>
        <v>-</v>
      </c>
      <c r="Z446" s="129" t="str">
        <f t="shared" si="1532"/>
        <v>-</v>
      </c>
      <c r="AA446" s="85" t="str">
        <f t="shared" si="1533"/>
        <v>-</v>
      </c>
      <c r="AB446" s="85">
        <f>'Consumer Hardware Pricing'!X454</f>
        <v>0</v>
      </c>
      <c r="AC446" s="85">
        <f t="shared" si="1211"/>
        <v>43.75</v>
      </c>
      <c r="AD446" s="85">
        <f>'Consumer Hardware Pricing'!Y454</f>
        <v>25</v>
      </c>
      <c r="AE446" s="85">
        <f t="shared" si="1501"/>
        <v>18.75</v>
      </c>
      <c r="AF446" s="85">
        <f t="shared" si="1502"/>
        <v>600</v>
      </c>
      <c r="AG446" s="85">
        <f t="shared" si="1503"/>
        <v>450</v>
      </c>
      <c r="AH446" s="85" t="str">
        <f>'Consumer Hardware Pricing'!AA454</f>
        <v>-</v>
      </c>
      <c r="AI446" s="85" t="str">
        <f t="shared" si="1212"/>
        <v>-</v>
      </c>
      <c r="AJ446" s="85" t="str">
        <f t="shared" si="1504"/>
        <v>-</v>
      </c>
      <c r="AK446" s="85" t="str">
        <f t="shared" si="1505"/>
        <v>-</v>
      </c>
      <c r="AL446" s="85" t="str">
        <f t="shared" si="1506"/>
        <v>-</v>
      </c>
      <c r="AM446" s="85">
        <f>'Consumer Hardware Pricing'!AC454</f>
        <v>0</v>
      </c>
      <c r="AN446" s="85">
        <f t="shared" si="1213"/>
        <v>43.75</v>
      </c>
      <c r="AO446" s="85">
        <f>'Consumer Hardware Pricing'!AD454</f>
        <v>25</v>
      </c>
      <c r="AP446" s="85">
        <f t="shared" si="1507"/>
        <v>18.75</v>
      </c>
      <c r="AQ446" s="85">
        <f t="shared" si="1508"/>
        <v>600</v>
      </c>
      <c r="AR446" s="85">
        <f t="shared" si="1509"/>
        <v>450</v>
      </c>
      <c r="AS446" s="85" t="str">
        <f>'Consumer Hardware Pricing'!AF454</f>
        <v>-</v>
      </c>
      <c r="AT446" s="85" t="str">
        <f t="shared" si="1214"/>
        <v>-</v>
      </c>
      <c r="AU446" s="85" t="str">
        <f t="shared" si="1510"/>
        <v>-</v>
      </c>
      <c r="AV446" s="85" t="str">
        <f t="shared" si="1511"/>
        <v>-</v>
      </c>
      <c r="AW446" s="85" t="str">
        <f t="shared" si="1512"/>
        <v>-</v>
      </c>
      <c r="AX446" s="85" t="str">
        <f>'Consumer Hardware Pricing'!AH454</f>
        <v>-</v>
      </c>
      <c r="AY446" s="85" t="str">
        <f t="shared" si="1215"/>
        <v>-</v>
      </c>
      <c r="AZ446" s="85" t="str">
        <f>'Consumer Hardware Pricing'!AI454</f>
        <v>-</v>
      </c>
      <c r="BA446" s="85" t="str">
        <f t="shared" si="1517"/>
        <v>-</v>
      </c>
      <c r="BB446" s="85" t="str">
        <f t="shared" si="1518"/>
        <v>-</v>
      </c>
      <c r="BC446" s="85" t="str">
        <f t="shared" si="1534"/>
        <v>-</v>
      </c>
      <c r="BD446" s="85" t="str">
        <f>'Consumer Hardware Pricing'!AL454</f>
        <v>-</v>
      </c>
      <c r="BE446" s="85" t="str">
        <f t="shared" si="1216"/>
        <v>-</v>
      </c>
      <c r="BF446" s="85" t="str">
        <f>'Consumer Hardware Pricing'!AM454</f>
        <v>-</v>
      </c>
      <c r="BG446" s="85" t="str">
        <f t="shared" si="1519"/>
        <v>-</v>
      </c>
      <c r="BH446" s="85" t="str">
        <f t="shared" si="1520"/>
        <v>-</v>
      </c>
      <c r="BI446" s="85" t="str">
        <f t="shared" si="1535"/>
        <v>-</v>
      </c>
      <c r="BJ446" s="85" t="str">
        <f>'Consumer Hardware Pricing'!AP454</f>
        <v>-</v>
      </c>
      <c r="BK446" s="85" t="str">
        <f t="shared" si="1217"/>
        <v>-</v>
      </c>
      <c r="BL446" s="85" t="str">
        <f>'Consumer Hardware Pricing'!AQ454</f>
        <v>-</v>
      </c>
      <c r="BM446" s="85" t="str">
        <f t="shared" si="1521"/>
        <v>-</v>
      </c>
      <c r="BN446" s="85" t="str">
        <f t="shared" si="1522"/>
        <v>-</v>
      </c>
      <c r="BO446" s="85" t="str">
        <f t="shared" si="1536"/>
        <v>-</v>
      </c>
      <c r="BP446" s="85" t="str">
        <f>'Consumer Hardware Pricing'!AT454</f>
        <v>-</v>
      </c>
      <c r="BQ446" s="85" t="str">
        <f t="shared" si="1218"/>
        <v>-</v>
      </c>
      <c r="BR446" s="85" t="str">
        <f>'Consumer Hardware Pricing'!AU454</f>
        <v>-</v>
      </c>
      <c r="BS446" s="85" t="str">
        <f t="shared" si="1523"/>
        <v>-</v>
      </c>
      <c r="BT446" s="85" t="str">
        <f t="shared" si="1524"/>
        <v>-</v>
      </c>
      <c r="BU446" s="85" t="str">
        <f t="shared" si="1537"/>
        <v>-</v>
      </c>
    </row>
    <row r="447" spans="1:73" s="131" customFormat="1" ht="30.15" customHeight="1" x14ac:dyDescent="0.25">
      <c r="A447" s="87" t="s">
        <v>34</v>
      </c>
      <c r="B447" s="88" t="s">
        <v>404</v>
      </c>
      <c r="C447" s="88" t="s">
        <v>405</v>
      </c>
      <c r="D447" s="85">
        <f>'Consumer Hardware Pricing'!L455</f>
        <v>1050</v>
      </c>
      <c r="E447" s="85">
        <f>'Consumer Hardware Pricing'!M455</f>
        <v>1050</v>
      </c>
      <c r="F447" s="85">
        <f>'Consumer Hardware Pricing'!N455</f>
        <v>0</v>
      </c>
      <c r="G447" s="85">
        <f t="shared" si="1563"/>
        <v>43.75</v>
      </c>
      <c r="H447" s="85">
        <f>'Consumer Hardware Pricing'!O455</f>
        <v>25</v>
      </c>
      <c r="I447" s="85">
        <f t="shared" si="1513"/>
        <v>18.75</v>
      </c>
      <c r="J447" s="85">
        <f t="shared" si="1525"/>
        <v>600</v>
      </c>
      <c r="K447" s="85">
        <f t="shared" si="1526"/>
        <v>450</v>
      </c>
      <c r="L447" s="85" t="str">
        <f>'Consumer Hardware Pricing'!Q455</f>
        <v>-</v>
      </c>
      <c r="M447" s="85" t="str">
        <f t="shared" si="1564"/>
        <v>-</v>
      </c>
      <c r="N447" s="85" t="str">
        <f t="shared" si="1514"/>
        <v>-</v>
      </c>
      <c r="O447" s="85" t="str">
        <f t="shared" si="1515"/>
        <v>-</v>
      </c>
      <c r="P447" s="85" t="str">
        <f t="shared" si="1527"/>
        <v>-</v>
      </c>
      <c r="Q447" s="85">
        <f>'Consumer Hardware Pricing'!S455</f>
        <v>0</v>
      </c>
      <c r="R447" s="85">
        <f t="shared" si="1516"/>
        <v>43.75</v>
      </c>
      <c r="S447" s="85">
        <f>'Consumer Hardware Pricing'!T455</f>
        <v>25</v>
      </c>
      <c r="T447" s="129">
        <f t="shared" si="1528"/>
        <v>18.75</v>
      </c>
      <c r="U447" s="129">
        <f t="shared" si="1529"/>
        <v>600</v>
      </c>
      <c r="V447" s="85">
        <f t="shared" si="1530"/>
        <v>450</v>
      </c>
      <c r="W447" s="129" t="str">
        <f>'Consumer Hardware Pricing'!V455</f>
        <v>-</v>
      </c>
      <c r="X447" s="129" t="str">
        <f t="shared" si="1565"/>
        <v>-</v>
      </c>
      <c r="Y447" s="129" t="str">
        <f t="shared" si="1531"/>
        <v>-</v>
      </c>
      <c r="Z447" s="129" t="str">
        <f t="shared" si="1532"/>
        <v>-</v>
      </c>
      <c r="AA447" s="85" t="str">
        <f t="shared" si="1533"/>
        <v>-</v>
      </c>
      <c r="AB447" s="85">
        <f>'Consumer Hardware Pricing'!X455</f>
        <v>0</v>
      </c>
      <c r="AC447" s="85">
        <f t="shared" si="1211"/>
        <v>43.75</v>
      </c>
      <c r="AD447" s="85">
        <f>'Consumer Hardware Pricing'!Y455</f>
        <v>25</v>
      </c>
      <c r="AE447" s="85">
        <f t="shared" si="1501"/>
        <v>18.75</v>
      </c>
      <c r="AF447" s="85">
        <f t="shared" si="1502"/>
        <v>600</v>
      </c>
      <c r="AG447" s="85">
        <f t="shared" si="1503"/>
        <v>450</v>
      </c>
      <c r="AH447" s="85" t="str">
        <f>'Consumer Hardware Pricing'!AA455</f>
        <v>-</v>
      </c>
      <c r="AI447" s="85" t="str">
        <f t="shared" si="1212"/>
        <v>-</v>
      </c>
      <c r="AJ447" s="85" t="str">
        <f t="shared" si="1504"/>
        <v>-</v>
      </c>
      <c r="AK447" s="85" t="str">
        <f t="shared" si="1505"/>
        <v>-</v>
      </c>
      <c r="AL447" s="85" t="str">
        <f t="shared" si="1506"/>
        <v>-</v>
      </c>
      <c r="AM447" s="85">
        <f>'Consumer Hardware Pricing'!AC455</f>
        <v>0</v>
      </c>
      <c r="AN447" s="85">
        <f t="shared" si="1213"/>
        <v>43.75</v>
      </c>
      <c r="AO447" s="85">
        <f>'Consumer Hardware Pricing'!AD455</f>
        <v>25</v>
      </c>
      <c r="AP447" s="85">
        <f t="shared" si="1507"/>
        <v>18.75</v>
      </c>
      <c r="AQ447" s="85">
        <f t="shared" si="1508"/>
        <v>600</v>
      </c>
      <c r="AR447" s="85">
        <f t="shared" si="1509"/>
        <v>450</v>
      </c>
      <c r="AS447" s="85" t="str">
        <f>'Consumer Hardware Pricing'!AF455</f>
        <v>-</v>
      </c>
      <c r="AT447" s="85" t="str">
        <f t="shared" si="1214"/>
        <v>-</v>
      </c>
      <c r="AU447" s="85" t="str">
        <f t="shared" si="1510"/>
        <v>-</v>
      </c>
      <c r="AV447" s="85" t="str">
        <f t="shared" si="1511"/>
        <v>-</v>
      </c>
      <c r="AW447" s="85" t="str">
        <f t="shared" si="1512"/>
        <v>-</v>
      </c>
      <c r="AX447" s="85" t="str">
        <f>'Consumer Hardware Pricing'!AH455</f>
        <v>-</v>
      </c>
      <c r="AY447" s="85" t="str">
        <f t="shared" si="1215"/>
        <v>-</v>
      </c>
      <c r="AZ447" s="85" t="str">
        <f>'Consumer Hardware Pricing'!AI455</f>
        <v>-</v>
      </c>
      <c r="BA447" s="85" t="str">
        <f t="shared" si="1517"/>
        <v>-</v>
      </c>
      <c r="BB447" s="85" t="str">
        <f t="shared" si="1518"/>
        <v>-</v>
      </c>
      <c r="BC447" s="85" t="str">
        <f t="shared" si="1534"/>
        <v>-</v>
      </c>
      <c r="BD447" s="85" t="str">
        <f>'Consumer Hardware Pricing'!AL455</f>
        <v>-</v>
      </c>
      <c r="BE447" s="85" t="str">
        <f t="shared" si="1216"/>
        <v>-</v>
      </c>
      <c r="BF447" s="85" t="str">
        <f>'Consumer Hardware Pricing'!AM455</f>
        <v>-</v>
      </c>
      <c r="BG447" s="85" t="str">
        <f t="shared" si="1519"/>
        <v>-</v>
      </c>
      <c r="BH447" s="85" t="str">
        <f t="shared" si="1520"/>
        <v>-</v>
      </c>
      <c r="BI447" s="85" t="str">
        <f t="shared" si="1535"/>
        <v>-</v>
      </c>
      <c r="BJ447" s="85" t="str">
        <f>'Consumer Hardware Pricing'!AP455</f>
        <v>-</v>
      </c>
      <c r="BK447" s="85" t="str">
        <f t="shared" si="1217"/>
        <v>-</v>
      </c>
      <c r="BL447" s="85" t="str">
        <f>'Consumer Hardware Pricing'!AQ455</f>
        <v>-</v>
      </c>
      <c r="BM447" s="85" t="str">
        <f t="shared" si="1521"/>
        <v>-</v>
      </c>
      <c r="BN447" s="85" t="str">
        <f t="shared" si="1522"/>
        <v>-</v>
      </c>
      <c r="BO447" s="85" t="str">
        <f t="shared" si="1536"/>
        <v>-</v>
      </c>
      <c r="BP447" s="85" t="str">
        <f>'Consumer Hardware Pricing'!AT455</f>
        <v>-</v>
      </c>
      <c r="BQ447" s="85" t="str">
        <f t="shared" si="1218"/>
        <v>-</v>
      </c>
      <c r="BR447" s="85" t="str">
        <f>'Consumer Hardware Pricing'!AU455</f>
        <v>-</v>
      </c>
      <c r="BS447" s="85" t="str">
        <f t="shared" si="1523"/>
        <v>-</v>
      </c>
      <c r="BT447" s="85" t="str">
        <f t="shared" si="1524"/>
        <v>-</v>
      </c>
      <c r="BU447" s="85" t="str">
        <f t="shared" si="1537"/>
        <v>-</v>
      </c>
    </row>
    <row r="448" spans="1:73" s="131" customFormat="1" ht="30.15" customHeight="1" x14ac:dyDescent="0.25">
      <c r="A448" s="87" t="s">
        <v>34</v>
      </c>
      <c r="B448" s="88" t="s">
        <v>587</v>
      </c>
      <c r="C448" s="88" t="s">
        <v>582</v>
      </c>
      <c r="D448" s="85">
        <f>'Consumer Hardware Pricing'!L456</f>
        <v>1250</v>
      </c>
      <c r="E448" s="85">
        <f>'Consumer Hardware Pricing'!M456</f>
        <v>1250</v>
      </c>
      <c r="F448" s="85">
        <f>'Consumer Hardware Pricing'!N456</f>
        <v>0</v>
      </c>
      <c r="G448" s="85">
        <f t="shared" si="1563"/>
        <v>52.089999999999996</v>
      </c>
      <c r="H448" s="85">
        <f>'Consumer Hardware Pricing'!O456</f>
        <v>17.5</v>
      </c>
      <c r="I448" s="85">
        <f t="shared" si="1513"/>
        <v>34.589999999999996</v>
      </c>
      <c r="J448" s="85">
        <f t="shared" si="1525"/>
        <v>420</v>
      </c>
      <c r="K448" s="85">
        <f t="shared" si="1526"/>
        <v>830.15999999999985</v>
      </c>
      <c r="L448" s="85" t="str">
        <f>'Consumer Hardware Pricing'!Q456</f>
        <v>-</v>
      </c>
      <c r="M448" s="85" t="str">
        <f t="shared" si="1564"/>
        <v>-</v>
      </c>
      <c r="N448" s="85" t="str">
        <f t="shared" si="1514"/>
        <v>-</v>
      </c>
      <c r="O448" s="85" t="str">
        <f t="shared" si="1515"/>
        <v>-</v>
      </c>
      <c r="P448" s="85" t="str">
        <f t="shared" si="1527"/>
        <v>-</v>
      </c>
      <c r="Q448" s="85">
        <f>'Consumer Hardware Pricing'!S456</f>
        <v>0</v>
      </c>
      <c r="R448" s="85">
        <f t="shared" si="1516"/>
        <v>52.089999999999996</v>
      </c>
      <c r="S448" s="85">
        <f>'Consumer Hardware Pricing'!T456</f>
        <v>17.5</v>
      </c>
      <c r="T448" s="129">
        <f t="shared" si="1528"/>
        <v>34.589999999999996</v>
      </c>
      <c r="U448" s="129">
        <f t="shared" si="1529"/>
        <v>420</v>
      </c>
      <c r="V448" s="85">
        <f t="shared" si="1530"/>
        <v>830.15999999999985</v>
      </c>
      <c r="W448" s="129" t="str">
        <f>'Consumer Hardware Pricing'!V456</f>
        <v>-</v>
      </c>
      <c r="X448" s="129" t="str">
        <f t="shared" si="1565"/>
        <v>-</v>
      </c>
      <c r="Y448" s="129" t="str">
        <f t="shared" si="1531"/>
        <v>-</v>
      </c>
      <c r="Z448" s="129" t="str">
        <f t="shared" si="1532"/>
        <v>-</v>
      </c>
      <c r="AA448" s="85" t="str">
        <f t="shared" si="1533"/>
        <v>-</v>
      </c>
      <c r="AB448" s="85">
        <f>'Consumer Hardware Pricing'!X456</f>
        <v>0</v>
      </c>
      <c r="AC448" s="85">
        <f t="shared" si="1211"/>
        <v>52.089999999999996</v>
      </c>
      <c r="AD448" s="85">
        <f>'Consumer Hardware Pricing'!Y456</f>
        <v>17.5</v>
      </c>
      <c r="AE448" s="85">
        <f t="shared" si="1501"/>
        <v>34.589999999999996</v>
      </c>
      <c r="AF448" s="85">
        <f t="shared" si="1502"/>
        <v>420</v>
      </c>
      <c r="AG448" s="85">
        <f t="shared" si="1503"/>
        <v>830.15999999999985</v>
      </c>
      <c r="AH448" s="85" t="str">
        <f>'Consumer Hardware Pricing'!AA456</f>
        <v>-</v>
      </c>
      <c r="AI448" s="85" t="str">
        <f t="shared" si="1212"/>
        <v>-</v>
      </c>
      <c r="AJ448" s="85" t="str">
        <f t="shared" si="1504"/>
        <v>-</v>
      </c>
      <c r="AK448" s="85" t="str">
        <f t="shared" si="1505"/>
        <v>-</v>
      </c>
      <c r="AL448" s="85" t="str">
        <f t="shared" si="1506"/>
        <v>-</v>
      </c>
      <c r="AM448" s="85">
        <f>'Consumer Hardware Pricing'!AC456</f>
        <v>0</v>
      </c>
      <c r="AN448" s="85">
        <f t="shared" si="1213"/>
        <v>52.089999999999996</v>
      </c>
      <c r="AO448" s="85">
        <f>'Consumer Hardware Pricing'!AD456</f>
        <v>17.5</v>
      </c>
      <c r="AP448" s="85">
        <f t="shared" si="1507"/>
        <v>34.589999999999996</v>
      </c>
      <c r="AQ448" s="85">
        <f t="shared" si="1508"/>
        <v>420</v>
      </c>
      <c r="AR448" s="85">
        <f t="shared" si="1509"/>
        <v>830.15999999999985</v>
      </c>
      <c r="AS448" s="85" t="str">
        <f>'Consumer Hardware Pricing'!AF456</f>
        <v>-</v>
      </c>
      <c r="AT448" s="85" t="str">
        <f t="shared" si="1214"/>
        <v>-</v>
      </c>
      <c r="AU448" s="85" t="str">
        <f t="shared" si="1510"/>
        <v>-</v>
      </c>
      <c r="AV448" s="85" t="str">
        <f t="shared" si="1511"/>
        <v>-</v>
      </c>
      <c r="AW448" s="85" t="str">
        <f t="shared" si="1512"/>
        <v>-</v>
      </c>
      <c r="AX448" s="85" t="str">
        <f>'Consumer Hardware Pricing'!AH456</f>
        <v>-</v>
      </c>
      <c r="AY448" s="85" t="str">
        <f t="shared" si="1215"/>
        <v>-</v>
      </c>
      <c r="AZ448" s="85" t="str">
        <f>'Consumer Hardware Pricing'!AI456</f>
        <v>-</v>
      </c>
      <c r="BA448" s="85" t="str">
        <f t="shared" si="1517"/>
        <v>-</v>
      </c>
      <c r="BB448" s="85" t="str">
        <f t="shared" si="1518"/>
        <v>-</v>
      </c>
      <c r="BC448" s="85" t="str">
        <f t="shared" si="1534"/>
        <v>-</v>
      </c>
      <c r="BD448" s="85" t="str">
        <f>'Consumer Hardware Pricing'!AL456</f>
        <v>-</v>
      </c>
      <c r="BE448" s="85" t="str">
        <f t="shared" si="1216"/>
        <v>-</v>
      </c>
      <c r="BF448" s="85" t="str">
        <f>'Consumer Hardware Pricing'!AM456</f>
        <v>-</v>
      </c>
      <c r="BG448" s="85" t="str">
        <f t="shared" si="1519"/>
        <v>-</v>
      </c>
      <c r="BH448" s="85" t="str">
        <f t="shared" si="1520"/>
        <v>-</v>
      </c>
      <c r="BI448" s="85" t="str">
        <f t="shared" si="1535"/>
        <v>-</v>
      </c>
      <c r="BJ448" s="85" t="str">
        <f>'Consumer Hardware Pricing'!AP456</f>
        <v>-</v>
      </c>
      <c r="BK448" s="85" t="str">
        <f t="shared" si="1217"/>
        <v>-</v>
      </c>
      <c r="BL448" s="85" t="str">
        <f>'Consumer Hardware Pricing'!AQ456</f>
        <v>-</v>
      </c>
      <c r="BM448" s="85" t="str">
        <f t="shared" si="1521"/>
        <v>-</v>
      </c>
      <c r="BN448" s="85" t="str">
        <f t="shared" si="1522"/>
        <v>-</v>
      </c>
      <c r="BO448" s="85" t="str">
        <f t="shared" si="1536"/>
        <v>-</v>
      </c>
      <c r="BP448" s="85" t="str">
        <f>'Consumer Hardware Pricing'!AT456</f>
        <v>-</v>
      </c>
      <c r="BQ448" s="85" t="str">
        <f t="shared" si="1218"/>
        <v>-</v>
      </c>
      <c r="BR448" s="85" t="str">
        <f>'Consumer Hardware Pricing'!AU456</f>
        <v>-</v>
      </c>
      <c r="BS448" s="85" t="str">
        <f t="shared" si="1523"/>
        <v>-</v>
      </c>
      <c r="BT448" s="85" t="str">
        <f t="shared" si="1524"/>
        <v>-</v>
      </c>
      <c r="BU448" s="85" t="str">
        <f t="shared" si="1537"/>
        <v>-</v>
      </c>
    </row>
    <row r="449" spans="1:73" s="131" customFormat="1" ht="30.15" customHeight="1" x14ac:dyDescent="0.25">
      <c r="A449" s="87" t="s">
        <v>34</v>
      </c>
      <c r="B449" s="88" t="s">
        <v>911</v>
      </c>
      <c r="C449" s="88" t="s">
        <v>912</v>
      </c>
      <c r="D449" s="85">
        <f>'Consumer Hardware Pricing'!L457</f>
        <v>750</v>
      </c>
      <c r="E449" s="85">
        <f>'Consumer Hardware Pricing'!M457</f>
        <v>750</v>
      </c>
      <c r="F449" s="85">
        <f>'Consumer Hardware Pricing'!N457</f>
        <v>0</v>
      </c>
      <c r="G449" s="85">
        <f t="shared" si="1563"/>
        <v>31.25</v>
      </c>
      <c r="H449" s="85">
        <f>'Consumer Hardware Pricing'!O457</f>
        <v>16.25</v>
      </c>
      <c r="I449" s="85">
        <f t="shared" ref="I449" si="1566">IF(H449="-",G449,G449-H449)</f>
        <v>15</v>
      </c>
      <c r="J449" s="85">
        <f t="shared" ref="J449" si="1567">IF(H449="-",H449,H449*24)</f>
        <v>390</v>
      </c>
      <c r="K449" s="85">
        <f t="shared" ref="K449" si="1568">IF(F449="-",F449,I449*24)</f>
        <v>360</v>
      </c>
      <c r="L449" s="85" t="str">
        <f>'Consumer Hardware Pricing'!Q457</f>
        <v>-</v>
      </c>
      <c r="M449" s="85" t="str">
        <f t="shared" si="1564"/>
        <v>-</v>
      </c>
      <c r="N449" s="85" t="str">
        <f t="shared" ref="N449" si="1569">IF(L449="-",L449,G449-M449)</f>
        <v>-</v>
      </c>
      <c r="O449" s="85" t="str">
        <f t="shared" ref="O449" si="1570">IF(L449="-",L449,M449*24)</f>
        <v>-</v>
      </c>
      <c r="P449" s="85" t="str">
        <f t="shared" ref="P449" si="1571">IF(L449="-",L449,N449*24)</f>
        <v>-</v>
      </c>
      <c r="Q449" s="85">
        <f>'Consumer Hardware Pricing'!S457</f>
        <v>0</v>
      </c>
      <c r="R449" s="85">
        <f t="shared" ref="R449" si="1572">G449</f>
        <v>31.25</v>
      </c>
      <c r="S449" s="85">
        <f>'Consumer Hardware Pricing'!T457</f>
        <v>16.25</v>
      </c>
      <c r="T449" s="129">
        <f t="shared" ref="T449" si="1573">IF(S449="-",R449,R449-S449)</f>
        <v>15</v>
      </c>
      <c r="U449" s="129">
        <f t="shared" ref="U449" si="1574">IF(S449="-",S449,S449*24)</f>
        <v>390</v>
      </c>
      <c r="V449" s="85">
        <f t="shared" ref="V449" si="1575">IF(Q449="-",Q449,T449*24)</f>
        <v>360</v>
      </c>
      <c r="W449" s="129" t="str">
        <f>'Consumer Hardware Pricing'!V457</f>
        <v>-</v>
      </c>
      <c r="X449" s="129" t="str">
        <f t="shared" si="1565"/>
        <v>-</v>
      </c>
      <c r="Y449" s="129" t="str">
        <f t="shared" ref="Y449" si="1576">IF(W449="-",W449,R449-X449)</f>
        <v>-</v>
      </c>
      <c r="Z449" s="129" t="str">
        <f t="shared" ref="Z449" si="1577">IF(W449="-",W449,X449*24)</f>
        <v>-</v>
      </c>
      <c r="AA449" s="85" t="str">
        <f t="shared" ref="AA449" si="1578">IF(W449="-",W449,Y449*24)</f>
        <v>-</v>
      </c>
      <c r="AB449" s="85">
        <f>'Consumer Hardware Pricing'!X457</f>
        <v>0</v>
      </c>
      <c r="AC449" s="85">
        <f t="shared" si="1211"/>
        <v>31.25</v>
      </c>
      <c r="AD449" s="85">
        <f>'Consumer Hardware Pricing'!Y457</f>
        <v>16.25</v>
      </c>
      <c r="AE449" s="85">
        <f t="shared" si="1501"/>
        <v>15</v>
      </c>
      <c r="AF449" s="85">
        <f t="shared" si="1502"/>
        <v>390</v>
      </c>
      <c r="AG449" s="85">
        <f t="shared" si="1503"/>
        <v>360</v>
      </c>
      <c r="AH449" s="85" t="str">
        <f>'Consumer Hardware Pricing'!AA457</f>
        <v>-</v>
      </c>
      <c r="AI449" s="85" t="str">
        <f t="shared" si="1212"/>
        <v>-</v>
      </c>
      <c r="AJ449" s="85" t="str">
        <f t="shared" si="1504"/>
        <v>-</v>
      </c>
      <c r="AK449" s="85" t="str">
        <f t="shared" si="1505"/>
        <v>-</v>
      </c>
      <c r="AL449" s="85" t="str">
        <f t="shared" si="1506"/>
        <v>-</v>
      </c>
      <c r="AM449" s="85">
        <f>'Consumer Hardware Pricing'!AC457</f>
        <v>0</v>
      </c>
      <c r="AN449" s="85">
        <f t="shared" si="1213"/>
        <v>31.25</v>
      </c>
      <c r="AO449" s="85">
        <f>'Consumer Hardware Pricing'!AD457</f>
        <v>16.25</v>
      </c>
      <c r="AP449" s="85">
        <f t="shared" si="1507"/>
        <v>15</v>
      </c>
      <c r="AQ449" s="85">
        <f t="shared" si="1508"/>
        <v>390</v>
      </c>
      <c r="AR449" s="85">
        <f t="shared" si="1509"/>
        <v>360</v>
      </c>
      <c r="AS449" s="85" t="str">
        <f>'Consumer Hardware Pricing'!AF457</f>
        <v>-</v>
      </c>
      <c r="AT449" s="85" t="str">
        <f t="shared" si="1214"/>
        <v>-</v>
      </c>
      <c r="AU449" s="85" t="str">
        <f t="shared" si="1510"/>
        <v>-</v>
      </c>
      <c r="AV449" s="85" t="str">
        <f t="shared" si="1511"/>
        <v>-</v>
      </c>
      <c r="AW449" s="85" t="str">
        <f t="shared" si="1512"/>
        <v>-</v>
      </c>
      <c r="AX449" s="85" t="str">
        <f>'Consumer Hardware Pricing'!AH457</f>
        <v>-</v>
      </c>
      <c r="AY449" s="85" t="str">
        <f t="shared" si="1215"/>
        <v>-</v>
      </c>
      <c r="AZ449" s="85" t="str">
        <f>'Consumer Hardware Pricing'!AI457</f>
        <v>-</v>
      </c>
      <c r="BA449" s="85" t="str">
        <f t="shared" ref="BA449" si="1579">IF(AZ449="-",AY449,AY449-AZ449)</f>
        <v>-</v>
      </c>
      <c r="BB449" s="85" t="str">
        <f t="shared" ref="BB449" si="1580">IF(AZ449="-",AZ449,AZ449*24)</f>
        <v>-</v>
      </c>
      <c r="BC449" s="85" t="str">
        <f t="shared" ref="BC449" si="1581">IF(AX449="-",AX449,AX449+(BA449*24))</f>
        <v>-</v>
      </c>
      <c r="BD449" s="85" t="str">
        <f>'Consumer Hardware Pricing'!AL457</f>
        <v>-</v>
      </c>
      <c r="BE449" s="85" t="str">
        <f t="shared" si="1216"/>
        <v>-</v>
      </c>
      <c r="BF449" s="85" t="str">
        <f>'Consumer Hardware Pricing'!AM457</f>
        <v>-</v>
      </c>
      <c r="BG449" s="85" t="str">
        <f t="shared" ref="BG449" si="1582">IF(BF449="-",BE449,BE449-BF449)</f>
        <v>-</v>
      </c>
      <c r="BH449" s="85" t="str">
        <f t="shared" ref="BH449" si="1583">IF(BF449="-",BF449,BF449*24)</f>
        <v>-</v>
      </c>
      <c r="BI449" s="85" t="str">
        <f t="shared" ref="BI449" si="1584">IF(BD449="-",BD449,BD449+(BG449*24))</f>
        <v>-</v>
      </c>
      <c r="BJ449" s="85" t="str">
        <f>'Consumer Hardware Pricing'!AP457</f>
        <v>-</v>
      </c>
      <c r="BK449" s="85" t="str">
        <f t="shared" si="1217"/>
        <v>-</v>
      </c>
      <c r="BL449" s="85" t="str">
        <f>'Consumer Hardware Pricing'!AQ457</f>
        <v>-</v>
      </c>
      <c r="BM449" s="85" t="str">
        <f t="shared" ref="BM449" si="1585">IF(BL449="-",BK449,BK449-BL449)</f>
        <v>-</v>
      </c>
      <c r="BN449" s="85" t="str">
        <f t="shared" ref="BN449" si="1586">IF(BL449="-",BL449,BL449*24)</f>
        <v>-</v>
      </c>
      <c r="BO449" s="85" t="str">
        <f t="shared" ref="BO449" si="1587">IF(BJ449="-",BJ449,BJ449+(BM449*24))</f>
        <v>-</v>
      </c>
      <c r="BP449" s="85" t="str">
        <f>'Consumer Hardware Pricing'!AT457</f>
        <v>-</v>
      </c>
      <c r="BQ449" s="85" t="str">
        <f t="shared" si="1218"/>
        <v>-</v>
      </c>
      <c r="BR449" s="85" t="str">
        <f>'Consumer Hardware Pricing'!AU457</f>
        <v>-</v>
      </c>
      <c r="BS449" s="85" t="str">
        <f t="shared" ref="BS449" si="1588">IF(BR449="-",BQ449,BQ449-BR449)</f>
        <v>-</v>
      </c>
      <c r="BT449" s="85" t="str">
        <f t="shared" ref="BT449" si="1589">IF(BR449="-",BR449,BR449*24)</f>
        <v>-</v>
      </c>
      <c r="BU449" s="85" t="str">
        <f t="shared" ref="BU449" si="1590">IF(BP449="-",BP449,BP449+(BS449*24))</f>
        <v>-</v>
      </c>
    </row>
    <row r="450" spans="1:73" s="131" customFormat="1" ht="30.15" customHeight="1" x14ac:dyDescent="0.25">
      <c r="A450" s="87" t="s">
        <v>34</v>
      </c>
      <c r="B450" s="88" t="s">
        <v>1025</v>
      </c>
      <c r="C450" s="88" t="s">
        <v>912</v>
      </c>
      <c r="D450" s="85">
        <f>'Consumer Hardware Pricing'!L458</f>
        <v>750</v>
      </c>
      <c r="E450" s="85">
        <f>'Consumer Hardware Pricing'!M458</f>
        <v>750</v>
      </c>
      <c r="F450" s="85">
        <f>'Consumer Hardware Pricing'!N458</f>
        <v>0</v>
      </c>
      <c r="G450" s="85">
        <f t="shared" si="1563"/>
        <v>31.25</v>
      </c>
      <c r="H450" s="85">
        <f>'Consumer Hardware Pricing'!O458</f>
        <v>16.25</v>
      </c>
      <c r="I450" s="85">
        <f t="shared" ref="I450" si="1591">IF(H450="-",G450,G450-H450)</f>
        <v>15</v>
      </c>
      <c r="J450" s="85">
        <f t="shared" ref="J450" si="1592">IF(H450="-",H450,H450*24)</f>
        <v>390</v>
      </c>
      <c r="K450" s="85">
        <f t="shared" ref="K450" si="1593">IF(F450="-",F450,I450*24)</f>
        <v>360</v>
      </c>
      <c r="L450" s="85" t="str">
        <f>'Consumer Hardware Pricing'!Q458</f>
        <v>-</v>
      </c>
      <c r="M450" s="85" t="str">
        <f t="shared" si="1564"/>
        <v>-</v>
      </c>
      <c r="N450" s="85" t="str">
        <f t="shared" ref="N450" si="1594">IF(L450="-",L450,G450-M450)</f>
        <v>-</v>
      </c>
      <c r="O450" s="85" t="str">
        <f t="shared" ref="O450" si="1595">IF(L450="-",L450,M450*24)</f>
        <v>-</v>
      </c>
      <c r="P450" s="85" t="str">
        <f t="shared" ref="P450" si="1596">IF(L450="-",L450,N450*24)</f>
        <v>-</v>
      </c>
      <c r="Q450" s="85">
        <f>'Consumer Hardware Pricing'!S458</f>
        <v>0</v>
      </c>
      <c r="R450" s="85">
        <f t="shared" ref="R450" si="1597">G450</f>
        <v>31.25</v>
      </c>
      <c r="S450" s="85">
        <f>'Consumer Hardware Pricing'!T458</f>
        <v>16.25</v>
      </c>
      <c r="T450" s="129">
        <f t="shared" ref="T450" si="1598">IF(S450="-",R450,R450-S450)</f>
        <v>15</v>
      </c>
      <c r="U450" s="129">
        <f t="shared" ref="U450" si="1599">IF(S450="-",S450,S450*24)</f>
        <v>390</v>
      </c>
      <c r="V450" s="85">
        <f t="shared" ref="V450" si="1600">IF(Q450="-",Q450,T450*24)</f>
        <v>360</v>
      </c>
      <c r="W450" s="129" t="str">
        <f>'Consumer Hardware Pricing'!V458</f>
        <v>-</v>
      </c>
      <c r="X450" s="129" t="str">
        <f t="shared" si="1565"/>
        <v>-</v>
      </c>
      <c r="Y450" s="129" t="str">
        <f t="shared" ref="Y450" si="1601">IF(W450="-",W450,R450-X450)</f>
        <v>-</v>
      </c>
      <c r="Z450" s="129" t="str">
        <f t="shared" ref="Z450" si="1602">IF(W450="-",W450,X450*24)</f>
        <v>-</v>
      </c>
      <c r="AA450" s="85" t="str">
        <f t="shared" ref="AA450" si="1603">IF(W450="-",W450,Y450*24)</f>
        <v>-</v>
      </c>
      <c r="AB450" s="85">
        <f>'Consumer Hardware Pricing'!X458</f>
        <v>0</v>
      </c>
      <c r="AC450" s="85">
        <f t="shared" si="1211"/>
        <v>31.25</v>
      </c>
      <c r="AD450" s="85">
        <f>'Consumer Hardware Pricing'!Y458</f>
        <v>16.25</v>
      </c>
      <c r="AE450" s="85">
        <f t="shared" si="1501"/>
        <v>15</v>
      </c>
      <c r="AF450" s="85">
        <f t="shared" si="1502"/>
        <v>390</v>
      </c>
      <c r="AG450" s="85">
        <f t="shared" si="1503"/>
        <v>360</v>
      </c>
      <c r="AH450" s="85" t="str">
        <f>'Consumer Hardware Pricing'!AA458</f>
        <v>-</v>
      </c>
      <c r="AI450" s="85" t="str">
        <f t="shared" si="1212"/>
        <v>-</v>
      </c>
      <c r="AJ450" s="85" t="str">
        <f t="shared" si="1504"/>
        <v>-</v>
      </c>
      <c r="AK450" s="85" t="str">
        <f t="shared" si="1505"/>
        <v>-</v>
      </c>
      <c r="AL450" s="85" t="str">
        <f t="shared" si="1506"/>
        <v>-</v>
      </c>
      <c r="AM450" s="85">
        <f>'Consumer Hardware Pricing'!AC458</f>
        <v>0</v>
      </c>
      <c r="AN450" s="85">
        <f t="shared" si="1213"/>
        <v>31.25</v>
      </c>
      <c r="AO450" s="85">
        <f>'Consumer Hardware Pricing'!AD458</f>
        <v>16.25</v>
      </c>
      <c r="AP450" s="85">
        <f t="shared" si="1507"/>
        <v>15</v>
      </c>
      <c r="AQ450" s="85">
        <f t="shared" si="1508"/>
        <v>390</v>
      </c>
      <c r="AR450" s="85">
        <f t="shared" si="1509"/>
        <v>360</v>
      </c>
      <c r="AS450" s="85" t="str">
        <f>'Consumer Hardware Pricing'!AF458</f>
        <v>-</v>
      </c>
      <c r="AT450" s="85" t="str">
        <f t="shared" si="1214"/>
        <v>-</v>
      </c>
      <c r="AU450" s="85" t="str">
        <f t="shared" si="1510"/>
        <v>-</v>
      </c>
      <c r="AV450" s="85" t="str">
        <f t="shared" si="1511"/>
        <v>-</v>
      </c>
      <c r="AW450" s="85" t="str">
        <f t="shared" si="1512"/>
        <v>-</v>
      </c>
      <c r="AX450" s="85" t="str">
        <f>'Consumer Hardware Pricing'!AH458</f>
        <v>-</v>
      </c>
      <c r="AY450" s="85" t="str">
        <f t="shared" si="1215"/>
        <v>-</v>
      </c>
      <c r="AZ450" s="85" t="str">
        <f>'Consumer Hardware Pricing'!AI458</f>
        <v>-</v>
      </c>
      <c r="BA450" s="85" t="str">
        <f t="shared" ref="BA450" si="1604">IF(AZ450="-",AY450,AY450-AZ450)</f>
        <v>-</v>
      </c>
      <c r="BB450" s="85" t="str">
        <f t="shared" ref="BB450" si="1605">IF(AZ450="-",AZ450,AZ450*24)</f>
        <v>-</v>
      </c>
      <c r="BC450" s="85" t="str">
        <f t="shared" ref="BC450" si="1606">IF(AX450="-",AX450,AX450+(BA450*24))</f>
        <v>-</v>
      </c>
      <c r="BD450" s="85" t="str">
        <f>'Consumer Hardware Pricing'!AL458</f>
        <v>-</v>
      </c>
      <c r="BE450" s="85" t="str">
        <f t="shared" si="1216"/>
        <v>-</v>
      </c>
      <c r="BF450" s="85" t="str">
        <f>'Consumer Hardware Pricing'!AM458</f>
        <v>-</v>
      </c>
      <c r="BG450" s="85" t="str">
        <f t="shared" ref="BG450" si="1607">IF(BF450="-",BE450,BE450-BF450)</f>
        <v>-</v>
      </c>
      <c r="BH450" s="85" t="str">
        <f t="shared" ref="BH450" si="1608">IF(BF450="-",BF450,BF450*24)</f>
        <v>-</v>
      </c>
      <c r="BI450" s="85" t="str">
        <f t="shared" ref="BI450" si="1609">IF(BD450="-",BD450,BD450+(BG450*24))</f>
        <v>-</v>
      </c>
      <c r="BJ450" s="85" t="str">
        <f>'Consumer Hardware Pricing'!AP458</f>
        <v>-</v>
      </c>
      <c r="BK450" s="85" t="str">
        <f t="shared" si="1217"/>
        <v>-</v>
      </c>
      <c r="BL450" s="85" t="str">
        <f>'Consumer Hardware Pricing'!AQ458</f>
        <v>-</v>
      </c>
      <c r="BM450" s="85" t="str">
        <f t="shared" ref="BM450" si="1610">IF(BL450="-",BK450,BK450-BL450)</f>
        <v>-</v>
      </c>
      <c r="BN450" s="85" t="str">
        <f t="shared" ref="BN450" si="1611">IF(BL450="-",BL450,BL450*24)</f>
        <v>-</v>
      </c>
      <c r="BO450" s="85" t="str">
        <f t="shared" ref="BO450" si="1612">IF(BJ450="-",BJ450,BJ450+(BM450*24))</f>
        <v>-</v>
      </c>
      <c r="BP450" s="85" t="str">
        <f>'Consumer Hardware Pricing'!AT458</f>
        <v>-</v>
      </c>
      <c r="BQ450" s="85" t="str">
        <f t="shared" si="1218"/>
        <v>-</v>
      </c>
      <c r="BR450" s="85" t="str">
        <f>'Consumer Hardware Pricing'!AU458</f>
        <v>-</v>
      </c>
      <c r="BS450" s="85" t="str">
        <f t="shared" ref="BS450" si="1613">IF(BR450="-",BQ450,BQ450-BR450)</f>
        <v>-</v>
      </c>
      <c r="BT450" s="85" t="str">
        <f t="shared" ref="BT450" si="1614">IF(BR450="-",BR450,BR450*24)</f>
        <v>-</v>
      </c>
      <c r="BU450" s="85" t="str">
        <f t="shared" ref="BU450" si="1615">IF(BP450="-",BP450,BP450+(BS450*24))</f>
        <v>-</v>
      </c>
    </row>
    <row r="451" spans="1:73" s="131" customFormat="1" ht="30.15" customHeight="1" x14ac:dyDescent="0.25">
      <c r="A451" s="87" t="s">
        <v>34</v>
      </c>
      <c r="B451" s="88" t="s">
        <v>344</v>
      </c>
      <c r="C451" s="88" t="s">
        <v>343</v>
      </c>
      <c r="D451" s="85">
        <f>'Consumer Hardware Pricing'!L459</f>
        <v>240</v>
      </c>
      <c r="E451" s="85">
        <f>'Consumer Hardware Pricing'!M459</f>
        <v>240</v>
      </c>
      <c r="F451" s="85">
        <f>'Consumer Hardware Pricing'!N459</f>
        <v>0</v>
      </c>
      <c r="G451" s="85">
        <f t="shared" si="1563"/>
        <v>10</v>
      </c>
      <c r="H451" s="85" t="str">
        <f>'Consumer Hardware Pricing'!O459</f>
        <v>-</v>
      </c>
      <c r="I451" s="85">
        <f t="shared" si="1513"/>
        <v>10</v>
      </c>
      <c r="J451" s="85" t="str">
        <f t="shared" si="1525"/>
        <v>-</v>
      </c>
      <c r="K451" s="85">
        <f t="shared" si="1526"/>
        <v>240</v>
      </c>
      <c r="L451" s="85" t="str">
        <f>'Consumer Hardware Pricing'!Q459</f>
        <v>-</v>
      </c>
      <c r="M451" s="85" t="str">
        <f t="shared" si="1564"/>
        <v>-</v>
      </c>
      <c r="N451" s="85" t="str">
        <f t="shared" si="1514"/>
        <v>-</v>
      </c>
      <c r="O451" s="85" t="str">
        <f t="shared" si="1515"/>
        <v>-</v>
      </c>
      <c r="P451" s="85" t="str">
        <f t="shared" si="1527"/>
        <v>-</v>
      </c>
      <c r="Q451" s="85">
        <f>'Consumer Hardware Pricing'!S459</f>
        <v>0</v>
      </c>
      <c r="R451" s="85">
        <f t="shared" si="1516"/>
        <v>10</v>
      </c>
      <c r="S451" s="85" t="str">
        <f>'Consumer Hardware Pricing'!T459</f>
        <v>-</v>
      </c>
      <c r="T451" s="129">
        <f t="shared" si="1528"/>
        <v>10</v>
      </c>
      <c r="U451" s="129" t="str">
        <f t="shared" si="1529"/>
        <v>-</v>
      </c>
      <c r="V451" s="85">
        <f t="shared" si="1530"/>
        <v>240</v>
      </c>
      <c r="W451" s="129" t="str">
        <f>'Consumer Hardware Pricing'!V459</f>
        <v>-</v>
      </c>
      <c r="X451" s="129" t="str">
        <f t="shared" si="1565"/>
        <v>-</v>
      </c>
      <c r="Y451" s="129" t="str">
        <f t="shared" si="1531"/>
        <v>-</v>
      </c>
      <c r="Z451" s="129" t="str">
        <f t="shared" si="1532"/>
        <v>-</v>
      </c>
      <c r="AA451" s="85" t="str">
        <f t="shared" si="1533"/>
        <v>-</v>
      </c>
      <c r="AB451" s="85">
        <f>'Consumer Hardware Pricing'!X459</f>
        <v>0</v>
      </c>
      <c r="AC451" s="85">
        <f t="shared" si="1211"/>
        <v>10</v>
      </c>
      <c r="AD451" s="85" t="str">
        <f>'Consumer Hardware Pricing'!Y459</f>
        <v>-</v>
      </c>
      <c r="AE451" s="85">
        <f t="shared" si="1501"/>
        <v>10</v>
      </c>
      <c r="AF451" s="85" t="str">
        <f t="shared" si="1502"/>
        <v>-</v>
      </c>
      <c r="AG451" s="85">
        <f t="shared" si="1503"/>
        <v>240</v>
      </c>
      <c r="AH451" s="85" t="str">
        <f>'Consumer Hardware Pricing'!AA459</f>
        <v>-</v>
      </c>
      <c r="AI451" s="85" t="str">
        <f t="shared" si="1212"/>
        <v>-</v>
      </c>
      <c r="AJ451" s="85" t="str">
        <f t="shared" si="1504"/>
        <v>-</v>
      </c>
      <c r="AK451" s="85" t="str">
        <f t="shared" si="1505"/>
        <v>-</v>
      </c>
      <c r="AL451" s="85" t="str">
        <f t="shared" si="1506"/>
        <v>-</v>
      </c>
      <c r="AM451" s="85">
        <f>'Consumer Hardware Pricing'!AC459</f>
        <v>0</v>
      </c>
      <c r="AN451" s="85">
        <f t="shared" si="1213"/>
        <v>10</v>
      </c>
      <c r="AO451" s="85" t="str">
        <f>'Consumer Hardware Pricing'!AD459</f>
        <v>-</v>
      </c>
      <c r="AP451" s="85">
        <f t="shared" si="1507"/>
        <v>10</v>
      </c>
      <c r="AQ451" s="85" t="str">
        <f t="shared" si="1508"/>
        <v>-</v>
      </c>
      <c r="AR451" s="85">
        <f t="shared" si="1509"/>
        <v>240</v>
      </c>
      <c r="AS451" s="85" t="str">
        <f>'Consumer Hardware Pricing'!AF459</f>
        <v>-</v>
      </c>
      <c r="AT451" s="85" t="str">
        <f t="shared" si="1214"/>
        <v>-</v>
      </c>
      <c r="AU451" s="85" t="str">
        <f t="shared" si="1510"/>
        <v>-</v>
      </c>
      <c r="AV451" s="85" t="str">
        <f t="shared" si="1511"/>
        <v>-</v>
      </c>
      <c r="AW451" s="85" t="str">
        <f t="shared" si="1512"/>
        <v>-</v>
      </c>
      <c r="AX451" s="85">
        <f>'Consumer Hardware Pricing'!AH459</f>
        <v>0</v>
      </c>
      <c r="AY451" s="85">
        <f t="shared" si="1215"/>
        <v>10</v>
      </c>
      <c r="AZ451" s="85" t="str">
        <f>'Consumer Hardware Pricing'!AI459</f>
        <v>-</v>
      </c>
      <c r="BA451" s="85">
        <f t="shared" si="1517"/>
        <v>10</v>
      </c>
      <c r="BB451" s="85" t="str">
        <f t="shared" si="1518"/>
        <v>-</v>
      </c>
      <c r="BC451" s="85">
        <f t="shared" si="1534"/>
        <v>240</v>
      </c>
      <c r="BD451" s="85" t="str">
        <f>'Consumer Hardware Pricing'!AL459</f>
        <v>-</v>
      </c>
      <c r="BE451" s="85" t="str">
        <f t="shared" si="1216"/>
        <v>-</v>
      </c>
      <c r="BF451" s="85" t="str">
        <f>'Consumer Hardware Pricing'!AM459</f>
        <v>-</v>
      </c>
      <c r="BG451" s="85" t="str">
        <f t="shared" si="1519"/>
        <v>-</v>
      </c>
      <c r="BH451" s="85" t="str">
        <f t="shared" si="1520"/>
        <v>-</v>
      </c>
      <c r="BI451" s="85" t="str">
        <f t="shared" si="1535"/>
        <v>-</v>
      </c>
      <c r="BJ451" s="85" t="str">
        <f>'Consumer Hardware Pricing'!AP459</f>
        <v>-</v>
      </c>
      <c r="BK451" s="85" t="str">
        <f t="shared" si="1217"/>
        <v>-</v>
      </c>
      <c r="BL451" s="85" t="str">
        <f>'Consumer Hardware Pricing'!AQ459</f>
        <v>-</v>
      </c>
      <c r="BM451" s="85" t="str">
        <f t="shared" si="1521"/>
        <v>-</v>
      </c>
      <c r="BN451" s="85" t="str">
        <f t="shared" si="1522"/>
        <v>-</v>
      </c>
      <c r="BO451" s="85" t="str">
        <f t="shared" si="1536"/>
        <v>-</v>
      </c>
      <c r="BP451" s="85" t="str">
        <f>'Consumer Hardware Pricing'!AT459</f>
        <v>-</v>
      </c>
      <c r="BQ451" s="85" t="str">
        <f t="shared" si="1218"/>
        <v>-</v>
      </c>
      <c r="BR451" s="85" t="str">
        <f>'Consumer Hardware Pricing'!AU459</f>
        <v>-</v>
      </c>
      <c r="BS451" s="85" t="str">
        <f t="shared" si="1523"/>
        <v>-</v>
      </c>
      <c r="BT451" s="85" t="str">
        <f t="shared" si="1524"/>
        <v>-</v>
      </c>
      <c r="BU451" s="85" t="str">
        <f t="shared" si="1537"/>
        <v>-</v>
      </c>
    </row>
    <row r="452" spans="1:73" s="131" customFormat="1" ht="30.15" customHeight="1" x14ac:dyDescent="0.25">
      <c r="A452" s="87" t="s">
        <v>34</v>
      </c>
      <c r="B452" s="88" t="s">
        <v>530</v>
      </c>
      <c r="C452" s="88" t="s">
        <v>529</v>
      </c>
      <c r="D452" s="85">
        <f>'Consumer Hardware Pricing'!L460</f>
        <v>230</v>
      </c>
      <c r="E452" s="85">
        <f>'Consumer Hardware Pricing'!M460</f>
        <v>230</v>
      </c>
      <c r="F452" s="85">
        <f>'Consumer Hardware Pricing'!N460</f>
        <v>0</v>
      </c>
      <c r="G452" s="85">
        <f t="shared" si="1563"/>
        <v>9.59</v>
      </c>
      <c r="H452" s="85" t="str">
        <f>'Consumer Hardware Pricing'!O460</f>
        <v>-</v>
      </c>
      <c r="I452" s="85">
        <f t="shared" si="1513"/>
        <v>9.59</v>
      </c>
      <c r="J452" s="85" t="str">
        <f t="shared" si="1525"/>
        <v>-</v>
      </c>
      <c r="K452" s="85">
        <f t="shared" si="1526"/>
        <v>230.16</v>
      </c>
      <c r="L452" s="85" t="str">
        <f>'Consumer Hardware Pricing'!Q460</f>
        <v>-</v>
      </c>
      <c r="M452" s="85" t="str">
        <f t="shared" si="1564"/>
        <v>-</v>
      </c>
      <c r="N452" s="85" t="str">
        <f t="shared" si="1514"/>
        <v>-</v>
      </c>
      <c r="O452" s="85" t="str">
        <f t="shared" si="1515"/>
        <v>-</v>
      </c>
      <c r="P452" s="85" t="str">
        <f t="shared" si="1527"/>
        <v>-</v>
      </c>
      <c r="Q452" s="85">
        <f>'Consumer Hardware Pricing'!S460</f>
        <v>0</v>
      </c>
      <c r="R452" s="85">
        <f t="shared" si="1516"/>
        <v>9.59</v>
      </c>
      <c r="S452" s="85" t="str">
        <f>'Consumer Hardware Pricing'!T460</f>
        <v>-</v>
      </c>
      <c r="T452" s="129">
        <f t="shared" si="1528"/>
        <v>9.59</v>
      </c>
      <c r="U452" s="129" t="str">
        <f t="shared" si="1529"/>
        <v>-</v>
      </c>
      <c r="V452" s="85">
        <f t="shared" si="1530"/>
        <v>230.16</v>
      </c>
      <c r="W452" s="129" t="str">
        <f>'Consumer Hardware Pricing'!V460</f>
        <v>-</v>
      </c>
      <c r="X452" s="129" t="str">
        <f t="shared" si="1565"/>
        <v>-</v>
      </c>
      <c r="Y452" s="129" t="str">
        <f t="shared" si="1531"/>
        <v>-</v>
      </c>
      <c r="Z452" s="129" t="str">
        <f t="shared" si="1532"/>
        <v>-</v>
      </c>
      <c r="AA452" s="85" t="str">
        <f t="shared" si="1533"/>
        <v>-</v>
      </c>
      <c r="AB452" s="85">
        <f>'Consumer Hardware Pricing'!X460</f>
        <v>0</v>
      </c>
      <c r="AC452" s="85">
        <f t="shared" si="1211"/>
        <v>9.59</v>
      </c>
      <c r="AD452" s="85" t="str">
        <f>'Consumer Hardware Pricing'!Y460</f>
        <v>-</v>
      </c>
      <c r="AE452" s="85">
        <f t="shared" si="1501"/>
        <v>9.59</v>
      </c>
      <c r="AF452" s="85" t="str">
        <f t="shared" si="1502"/>
        <v>-</v>
      </c>
      <c r="AG452" s="85">
        <f t="shared" si="1503"/>
        <v>230.16</v>
      </c>
      <c r="AH452" s="85" t="str">
        <f>'Consumer Hardware Pricing'!AA460</f>
        <v>-</v>
      </c>
      <c r="AI452" s="85" t="str">
        <f t="shared" si="1212"/>
        <v>-</v>
      </c>
      <c r="AJ452" s="85" t="str">
        <f t="shared" si="1504"/>
        <v>-</v>
      </c>
      <c r="AK452" s="85" t="str">
        <f t="shared" si="1505"/>
        <v>-</v>
      </c>
      <c r="AL452" s="85" t="str">
        <f t="shared" si="1506"/>
        <v>-</v>
      </c>
      <c r="AM452" s="85">
        <f>'Consumer Hardware Pricing'!AC460</f>
        <v>0</v>
      </c>
      <c r="AN452" s="85">
        <f t="shared" si="1213"/>
        <v>9.59</v>
      </c>
      <c r="AO452" s="85" t="str">
        <f>'Consumer Hardware Pricing'!AD460</f>
        <v>-</v>
      </c>
      <c r="AP452" s="85">
        <f t="shared" si="1507"/>
        <v>9.59</v>
      </c>
      <c r="AQ452" s="85" t="str">
        <f t="shared" si="1508"/>
        <v>-</v>
      </c>
      <c r="AR452" s="85">
        <f t="shared" si="1509"/>
        <v>230.16</v>
      </c>
      <c r="AS452" s="85" t="str">
        <f>'Consumer Hardware Pricing'!AF460</f>
        <v>-</v>
      </c>
      <c r="AT452" s="85" t="str">
        <f t="shared" si="1214"/>
        <v>-</v>
      </c>
      <c r="AU452" s="85" t="str">
        <f t="shared" si="1510"/>
        <v>-</v>
      </c>
      <c r="AV452" s="85" t="str">
        <f t="shared" si="1511"/>
        <v>-</v>
      </c>
      <c r="AW452" s="85" t="str">
        <f t="shared" si="1512"/>
        <v>-</v>
      </c>
      <c r="AX452" s="85">
        <f>'Consumer Hardware Pricing'!AH460</f>
        <v>0</v>
      </c>
      <c r="AY452" s="85">
        <f t="shared" si="1215"/>
        <v>9.59</v>
      </c>
      <c r="AZ452" s="85" t="str">
        <f>'Consumer Hardware Pricing'!AI460</f>
        <v>-</v>
      </c>
      <c r="BA452" s="85">
        <f t="shared" si="1517"/>
        <v>9.59</v>
      </c>
      <c r="BB452" s="85" t="str">
        <f t="shared" si="1518"/>
        <v>-</v>
      </c>
      <c r="BC452" s="85">
        <f t="shared" si="1534"/>
        <v>230.16</v>
      </c>
      <c r="BD452" s="85" t="str">
        <f>'Consumer Hardware Pricing'!AL460</f>
        <v>-</v>
      </c>
      <c r="BE452" s="85" t="str">
        <f t="shared" si="1216"/>
        <v>-</v>
      </c>
      <c r="BF452" s="85" t="str">
        <f>'Consumer Hardware Pricing'!AM460</f>
        <v>-</v>
      </c>
      <c r="BG452" s="85" t="str">
        <f t="shared" si="1519"/>
        <v>-</v>
      </c>
      <c r="BH452" s="85" t="str">
        <f t="shared" si="1520"/>
        <v>-</v>
      </c>
      <c r="BI452" s="85" t="str">
        <f t="shared" si="1535"/>
        <v>-</v>
      </c>
      <c r="BJ452" s="85" t="str">
        <f>'Consumer Hardware Pricing'!AP460</f>
        <v>-</v>
      </c>
      <c r="BK452" s="85" t="str">
        <f t="shared" si="1217"/>
        <v>-</v>
      </c>
      <c r="BL452" s="85" t="str">
        <f>'Consumer Hardware Pricing'!AQ460</f>
        <v>-</v>
      </c>
      <c r="BM452" s="85" t="str">
        <f t="shared" si="1521"/>
        <v>-</v>
      </c>
      <c r="BN452" s="85" t="str">
        <f t="shared" si="1522"/>
        <v>-</v>
      </c>
      <c r="BO452" s="85" t="str">
        <f t="shared" si="1536"/>
        <v>-</v>
      </c>
      <c r="BP452" s="85" t="str">
        <f>'Consumer Hardware Pricing'!AT460</f>
        <v>-</v>
      </c>
      <c r="BQ452" s="85" t="str">
        <f t="shared" si="1218"/>
        <v>-</v>
      </c>
      <c r="BR452" s="85" t="str">
        <f>'Consumer Hardware Pricing'!AU460</f>
        <v>-</v>
      </c>
      <c r="BS452" s="85" t="str">
        <f t="shared" si="1523"/>
        <v>-</v>
      </c>
      <c r="BT452" s="85" t="str">
        <f t="shared" si="1524"/>
        <v>-</v>
      </c>
      <c r="BU452" s="85" t="str">
        <f t="shared" si="1537"/>
        <v>-</v>
      </c>
    </row>
    <row r="453" spans="1:73" s="131" customFormat="1" ht="30.15" customHeight="1" x14ac:dyDescent="0.25">
      <c r="A453" s="87" t="s">
        <v>34</v>
      </c>
      <c r="B453" s="88" t="s">
        <v>585</v>
      </c>
      <c r="C453" s="88" t="s">
        <v>586</v>
      </c>
      <c r="D453" s="85">
        <f>'Consumer Hardware Pricing'!L461</f>
        <v>250</v>
      </c>
      <c r="E453" s="85">
        <f>'Consumer Hardware Pricing'!M461</f>
        <v>250</v>
      </c>
      <c r="F453" s="85">
        <f>'Consumer Hardware Pricing'!N461</f>
        <v>0</v>
      </c>
      <c r="G453" s="85">
        <f t="shared" si="1563"/>
        <v>10.42</v>
      </c>
      <c r="H453" s="85">
        <f>'Consumer Hardware Pricing'!O461</f>
        <v>5.42</v>
      </c>
      <c r="I453" s="85">
        <f t="shared" si="1513"/>
        <v>5</v>
      </c>
      <c r="J453" s="85">
        <f t="shared" si="1525"/>
        <v>130.07999999999998</v>
      </c>
      <c r="K453" s="85">
        <f t="shared" si="1526"/>
        <v>120</v>
      </c>
      <c r="L453" s="85" t="str">
        <f>'Consumer Hardware Pricing'!Q461</f>
        <v>-</v>
      </c>
      <c r="M453" s="85" t="str">
        <f t="shared" si="1564"/>
        <v>-</v>
      </c>
      <c r="N453" s="85" t="str">
        <f t="shared" si="1514"/>
        <v>-</v>
      </c>
      <c r="O453" s="85" t="str">
        <f t="shared" si="1515"/>
        <v>-</v>
      </c>
      <c r="P453" s="85" t="str">
        <f t="shared" si="1527"/>
        <v>-</v>
      </c>
      <c r="Q453" s="85">
        <f>'Consumer Hardware Pricing'!S461</f>
        <v>0</v>
      </c>
      <c r="R453" s="85">
        <f t="shared" si="1516"/>
        <v>10.42</v>
      </c>
      <c r="S453" s="85">
        <f>'Consumer Hardware Pricing'!T461</f>
        <v>5.42</v>
      </c>
      <c r="T453" s="129">
        <f t="shared" si="1528"/>
        <v>5</v>
      </c>
      <c r="U453" s="129">
        <f t="shared" si="1529"/>
        <v>130.07999999999998</v>
      </c>
      <c r="V453" s="85">
        <f t="shared" si="1530"/>
        <v>120</v>
      </c>
      <c r="W453" s="129" t="str">
        <f>'Consumer Hardware Pricing'!V461</f>
        <v>-</v>
      </c>
      <c r="X453" s="129" t="str">
        <f t="shared" si="1565"/>
        <v>-</v>
      </c>
      <c r="Y453" s="129" t="str">
        <f t="shared" si="1531"/>
        <v>-</v>
      </c>
      <c r="Z453" s="129" t="str">
        <f t="shared" si="1532"/>
        <v>-</v>
      </c>
      <c r="AA453" s="85" t="str">
        <f t="shared" si="1533"/>
        <v>-</v>
      </c>
      <c r="AB453" s="85">
        <f>'Consumer Hardware Pricing'!X461</f>
        <v>0</v>
      </c>
      <c r="AC453" s="85">
        <f t="shared" si="1211"/>
        <v>10.42</v>
      </c>
      <c r="AD453" s="85">
        <f>'Consumer Hardware Pricing'!Y461</f>
        <v>5.42</v>
      </c>
      <c r="AE453" s="85">
        <f t="shared" si="1501"/>
        <v>5</v>
      </c>
      <c r="AF453" s="85">
        <f t="shared" si="1502"/>
        <v>130.07999999999998</v>
      </c>
      <c r="AG453" s="85">
        <f t="shared" si="1503"/>
        <v>120</v>
      </c>
      <c r="AH453" s="85" t="str">
        <f>'Consumer Hardware Pricing'!AA461</f>
        <v>-</v>
      </c>
      <c r="AI453" s="85" t="str">
        <f t="shared" si="1212"/>
        <v>-</v>
      </c>
      <c r="AJ453" s="85" t="str">
        <f t="shared" si="1504"/>
        <v>-</v>
      </c>
      <c r="AK453" s="85" t="str">
        <f t="shared" si="1505"/>
        <v>-</v>
      </c>
      <c r="AL453" s="85" t="str">
        <f t="shared" si="1506"/>
        <v>-</v>
      </c>
      <c r="AM453" s="85">
        <f>'Consumer Hardware Pricing'!AC461</f>
        <v>0</v>
      </c>
      <c r="AN453" s="85">
        <f t="shared" si="1213"/>
        <v>10.42</v>
      </c>
      <c r="AO453" s="85">
        <f>'Consumer Hardware Pricing'!AD461</f>
        <v>5.42</v>
      </c>
      <c r="AP453" s="85">
        <f t="shared" si="1507"/>
        <v>5</v>
      </c>
      <c r="AQ453" s="85">
        <f t="shared" si="1508"/>
        <v>130.07999999999998</v>
      </c>
      <c r="AR453" s="85">
        <f t="shared" si="1509"/>
        <v>120</v>
      </c>
      <c r="AS453" s="85" t="str">
        <f>'Consumer Hardware Pricing'!AF461</f>
        <v>-</v>
      </c>
      <c r="AT453" s="85" t="str">
        <f t="shared" si="1214"/>
        <v>-</v>
      </c>
      <c r="AU453" s="85" t="str">
        <f t="shared" si="1510"/>
        <v>-</v>
      </c>
      <c r="AV453" s="85" t="str">
        <f t="shared" si="1511"/>
        <v>-</v>
      </c>
      <c r="AW453" s="85" t="str">
        <f t="shared" si="1512"/>
        <v>-</v>
      </c>
      <c r="AX453" s="85">
        <f>'Consumer Hardware Pricing'!AH461</f>
        <v>0</v>
      </c>
      <c r="AY453" s="85">
        <f t="shared" si="1215"/>
        <v>10.42</v>
      </c>
      <c r="AZ453" s="85" t="str">
        <f>'Consumer Hardware Pricing'!AI461</f>
        <v>-</v>
      </c>
      <c r="BA453" s="85">
        <f t="shared" si="1517"/>
        <v>10.42</v>
      </c>
      <c r="BB453" s="85" t="str">
        <f t="shared" si="1518"/>
        <v>-</v>
      </c>
      <c r="BC453" s="85">
        <f t="shared" si="1534"/>
        <v>250.07999999999998</v>
      </c>
      <c r="BD453" s="85" t="str">
        <f>'Consumer Hardware Pricing'!AL461</f>
        <v>-</v>
      </c>
      <c r="BE453" s="85" t="str">
        <f t="shared" si="1216"/>
        <v>-</v>
      </c>
      <c r="BF453" s="85" t="str">
        <f>'Consumer Hardware Pricing'!AM461</f>
        <v>-</v>
      </c>
      <c r="BG453" s="85" t="str">
        <f t="shared" si="1519"/>
        <v>-</v>
      </c>
      <c r="BH453" s="85" t="str">
        <f t="shared" si="1520"/>
        <v>-</v>
      </c>
      <c r="BI453" s="85" t="str">
        <f t="shared" si="1535"/>
        <v>-</v>
      </c>
      <c r="BJ453" s="85" t="str">
        <f>'Consumer Hardware Pricing'!AP461</f>
        <v>-</v>
      </c>
      <c r="BK453" s="85" t="str">
        <f t="shared" si="1217"/>
        <v>-</v>
      </c>
      <c r="BL453" s="85" t="str">
        <f>'Consumer Hardware Pricing'!AQ461</f>
        <v>-</v>
      </c>
      <c r="BM453" s="85" t="str">
        <f t="shared" si="1521"/>
        <v>-</v>
      </c>
      <c r="BN453" s="85" t="str">
        <f t="shared" si="1522"/>
        <v>-</v>
      </c>
      <c r="BO453" s="85" t="str">
        <f t="shared" si="1536"/>
        <v>-</v>
      </c>
      <c r="BP453" s="85" t="str">
        <f>'Consumer Hardware Pricing'!AT461</f>
        <v>-</v>
      </c>
      <c r="BQ453" s="85" t="str">
        <f t="shared" si="1218"/>
        <v>-</v>
      </c>
      <c r="BR453" s="85" t="str">
        <f>'Consumer Hardware Pricing'!AU461</f>
        <v>-</v>
      </c>
      <c r="BS453" s="85" t="str">
        <f t="shared" si="1523"/>
        <v>-</v>
      </c>
      <c r="BT453" s="85" t="str">
        <f t="shared" si="1524"/>
        <v>-</v>
      </c>
      <c r="BU453" s="85" t="str">
        <f t="shared" si="1537"/>
        <v>-</v>
      </c>
    </row>
    <row r="454" spans="1:73" s="131" customFormat="1" ht="30.15" customHeight="1" x14ac:dyDescent="0.25">
      <c r="A454" s="87" t="s">
        <v>34</v>
      </c>
      <c r="B454" s="88" t="s">
        <v>928</v>
      </c>
      <c r="C454" s="88" t="s">
        <v>929</v>
      </c>
      <c r="D454" s="85">
        <f>'Consumer Hardware Pricing'!L462</f>
        <v>240</v>
      </c>
      <c r="E454" s="85">
        <f>'Consumer Hardware Pricing'!M462</f>
        <v>240</v>
      </c>
      <c r="F454" s="85">
        <f>'Consumer Hardware Pricing'!N462</f>
        <v>0</v>
      </c>
      <c r="G454" s="85">
        <f t="shared" si="1563"/>
        <v>10</v>
      </c>
      <c r="H454" s="85">
        <f>'Consumer Hardware Pricing'!O462</f>
        <v>0</v>
      </c>
      <c r="I454" s="85">
        <f t="shared" ref="I454" si="1616">IF(H454="-",G454,G454-H454)</f>
        <v>10</v>
      </c>
      <c r="J454" s="85">
        <f t="shared" ref="J454" si="1617">IF(H454="-",H454,H454*24)</f>
        <v>0</v>
      </c>
      <c r="K454" s="85">
        <f t="shared" ref="K454" si="1618">IF(F454="-",F454,I454*24)</f>
        <v>240</v>
      </c>
      <c r="L454" s="85" t="str">
        <f>'Consumer Hardware Pricing'!Q462</f>
        <v>-</v>
      </c>
      <c r="M454" s="85" t="str">
        <f t="shared" si="1564"/>
        <v>-</v>
      </c>
      <c r="N454" s="85" t="str">
        <f t="shared" ref="N454" si="1619">IF(L454="-",L454,G454-M454)</f>
        <v>-</v>
      </c>
      <c r="O454" s="85" t="str">
        <f t="shared" ref="O454" si="1620">IF(L454="-",L454,M454*24)</f>
        <v>-</v>
      </c>
      <c r="P454" s="85" t="str">
        <f t="shared" ref="P454" si="1621">IF(L454="-",L454,N454*24)</f>
        <v>-</v>
      </c>
      <c r="Q454" s="85">
        <f>'Consumer Hardware Pricing'!S462</f>
        <v>0</v>
      </c>
      <c r="R454" s="85">
        <f t="shared" ref="R454" si="1622">G454</f>
        <v>10</v>
      </c>
      <c r="S454" s="85">
        <f>'Consumer Hardware Pricing'!T462</f>
        <v>0</v>
      </c>
      <c r="T454" s="129">
        <f t="shared" ref="T454" si="1623">IF(S454="-",R454,R454-S454)</f>
        <v>10</v>
      </c>
      <c r="U454" s="129">
        <f t="shared" ref="U454" si="1624">IF(S454="-",S454,S454*24)</f>
        <v>0</v>
      </c>
      <c r="V454" s="85">
        <f t="shared" ref="V454" si="1625">IF(Q454="-",Q454,T454*24)</f>
        <v>240</v>
      </c>
      <c r="W454" s="129" t="str">
        <f>'Consumer Hardware Pricing'!V462</f>
        <v>-</v>
      </c>
      <c r="X454" s="129" t="str">
        <f t="shared" si="1565"/>
        <v>-</v>
      </c>
      <c r="Y454" s="129" t="str">
        <f t="shared" ref="Y454" si="1626">IF(W454="-",W454,R454-X454)</f>
        <v>-</v>
      </c>
      <c r="Z454" s="129" t="str">
        <f t="shared" ref="Z454" si="1627">IF(W454="-",W454,X454*24)</f>
        <v>-</v>
      </c>
      <c r="AA454" s="85" t="str">
        <f t="shared" ref="AA454" si="1628">IF(W454="-",W454,Y454*24)</f>
        <v>-</v>
      </c>
      <c r="AB454" s="85">
        <f>'Consumer Hardware Pricing'!X462</f>
        <v>0</v>
      </c>
      <c r="AC454" s="85">
        <f t="shared" si="1211"/>
        <v>10</v>
      </c>
      <c r="AD454" s="85">
        <f>'Consumer Hardware Pricing'!Y462</f>
        <v>9</v>
      </c>
      <c r="AE454" s="85">
        <f t="shared" si="1501"/>
        <v>1</v>
      </c>
      <c r="AF454" s="85">
        <f t="shared" si="1502"/>
        <v>216</v>
      </c>
      <c r="AG454" s="85">
        <f t="shared" si="1503"/>
        <v>24</v>
      </c>
      <c r="AH454" s="85" t="str">
        <f>'Consumer Hardware Pricing'!AA462</f>
        <v>-</v>
      </c>
      <c r="AI454" s="85" t="str">
        <f t="shared" si="1212"/>
        <v>-</v>
      </c>
      <c r="AJ454" s="85" t="str">
        <f t="shared" si="1504"/>
        <v>-</v>
      </c>
      <c r="AK454" s="85" t="str">
        <f t="shared" si="1505"/>
        <v>-</v>
      </c>
      <c r="AL454" s="85" t="str">
        <f t="shared" si="1506"/>
        <v>-</v>
      </c>
      <c r="AM454" s="85">
        <f>'Consumer Hardware Pricing'!AC462</f>
        <v>0</v>
      </c>
      <c r="AN454" s="85">
        <f t="shared" si="1213"/>
        <v>10</v>
      </c>
      <c r="AO454" s="85">
        <f>'Consumer Hardware Pricing'!AD462</f>
        <v>9</v>
      </c>
      <c r="AP454" s="85">
        <f t="shared" si="1507"/>
        <v>1</v>
      </c>
      <c r="AQ454" s="85">
        <f t="shared" si="1508"/>
        <v>216</v>
      </c>
      <c r="AR454" s="85">
        <f t="shared" si="1509"/>
        <v>24</v>
      </c>
      <c r="AS454" s="85" t="str">
        <f>'Consumer Hardware Pricing'!AF462</f>
        <v>-</v>
      </c>
      <c r="AT454" s="85" t="str">
        <f t="shared" si="1214"/>
        <v>-</v>
      </c>
      <c r="AU454" s="85" t="str">
        <f t="shared" si="1510"/>
        <v>-</v>
      </c>
      <c r="AV454" s="85" t="str">
        <f t="shared" si="1511"/>
        <v>-</v>
      </c>
      <c r="AW454" s="85" t="str">
        <f t="shared" si="1512"/>
        <v>-</v>
      </c>
      <c r="AX454" s="85">
        <f>'Consumer Hardware Pricing'!AH462</f>
        <v>0</v>
      </c>
      <c r="AY454" s="85">
        <f t="shared" si="1215"/>
        <v>10</v>
      </c>
      <c r="AZ454" s="85" t="str">
        <f>'Consumer Hardware Pricing'!AI462</f>
        <v>-</v>
      </c>
      <c r="BA454" s="85">
        <f t="shared" ref="BA454" si="1629">IF(AZ454="-",AY454,AY454-AZ454)</f>
        <v>10</v>
      </c>
      <c r="BB454" s="85" t="str">
        <f t="shared" ref="BB454" si="1630">IF(AZ454="-",AZ454,AZ454*24)</f>
        <v>-</v>
      </c>
      <c r="BC454" s="85">
        <f t="shared" ref="BC454" si="1631">IF(AX454="-",AX454,AX454+(BA454*24))</f>
        <v>240</v>
      </c>
      <c r="BD454" s="85" t="str">
        <f>'Consumer Hardware Pricing'!AL462</f>
        <v>-</v>
      </c>
      <c r="BE454" s="85" t="str">
        <f t="shared" si="1216"/>
        <v>-</v>
      </c>
      <c r="BF454" s="85" t="str">
        <f>'Consumer Hardware Pricing'!AM462</f>
        <v>-</v>
      </c>
      <c r="BG454" s="85" t="str">
        <f t="shared" ref="BG454" si="1632">IF(BF454="-",BE454,BE454-BF454)</f>
        <v>-</v>
      </c>
      <c r="BH454" s="85" t="str">
        <f t="shared" ref="BH454" si="1633">IF(BF454="-",BF454,BF454*24)</f>
        <v>-</v>
      </c>
      <c r="BI454" s="85" t="str">
        <f t="shared" ref="BI454" si="1634">IF(BD454="-",BD454,BD454+(BG454*24))</f>
        <v>-</v>
      </c>
      <c r="BJ454" s="85" t="str">
        <f>'Consumer Hardware Pricing'!AP462</f>
        <v>-</v>
      </c>
      <c r="BK454" s="85" t="str">
        <f t="shared" si="1217"/>
        <v>-</v>
      </c>
      <c r="BL454" s="85" t="str">
        <f>'Consumer Hardware Pricing'!AQ462</f>
        <v>-</v>
      </c>
      <c r="BM454" s="85" t="str">
        <f t="shared" ref="BM454" si="1635">IF(BL454="-",BK454,BK454-BL454)</f>
        <v>-</v>
      </c>
      <c r="BN454" s="85" t="str">
        <f t="shared" ref="BN454" si="1636">IF(BL454="-",BL454,BL454*24)</f>
        <v>-</v>
      </c>
      <c r="BO454" s="85" t="str">
        <f t="shared" ref="BO454" si="1637">IF(BJ454="-",BJ454,BJ454+(BM454*24))</f>
        <v>-</v>
      </c>
      <c r="BP454" s="85" t="str">
        <f>'Consumer Hardware Pricing'!AT462</f>
        <v>-</v>
      </c>
      <c r="BQ454" s="85" t="str">
        <f t="shared" si="1218"/>
        <v>-</v>
      </c>
      <c r="BR454" s="85" t="str">
        <f>'Consumer Hardware Pricing'!AU462</f>
        <v>-</v>
      </c>
      <c r="BS454" s="85" t="str">
        <f t="shared" ref="BS454" si="1638">IF(BR454="-",BQ454,BQ454-BR454)</f>
        <v>-</v>
      </c>
      <c r="BT454" s="85" t="str">
        <f t="shared" ref="BT454" si="1639">IF(BR454="-",BR454,BR454*24)</f>
        <v>-</v>
      </c>
      <c r="BU454" s="85" t="str">
        <f t="shared" ref="BU454" si="1640">IF(BP454="-",BP454,BP454+(BS454*24))</f>
        <v>-</v>
      </c>
    </row>
    <row r="455" spans="1:73" s="131" customFormat="1" ht="30.15" customHeight="1" x14ac:dyDescent="0.25">
      <c r="A455" s="87" t="s">
        <v>34</v>
      </c>
      <c r="B455" s="88" t="s">
        <v>1020</v>
      </c>
      <c r="C455" s="88" t="s">
        <v>1021</v>
      </c>
      <c r="D455" s="85">
        <f>'Consumer Hardware Pricing'!L463</f>
        <v>360</v>
      </c>
      <c r="E455" s="85">
        <f>'Consumer Hardware Pricing'!M463</f>
        <v>360</v>
      </c>
      <c r="F455" s="85">
        <f>'Consumer Hardware Pricing'!N463</f>
        <v>0</v>
      </c>
      <c r="G455" s="85">
        <f t="shared" si="1563"/>
        <v>15</v>
      </c>
      <c r="H455" s="85">
        <f>'Consumer Hardware Pricing'!O463</f>
        <v>1.46</v>
      </c>
      <c r="I455" s="85">
        <f t="shared" ref="I455" si="1641">IF(H455="-",G455,G455-H455)</f>
        <v>13.54</v>
      </c>
      <c r="J455" s="85">
        <f t="shared" ref="J455" si="1642">IF(H455="-",H455,H455*24)</f>
        <v>35.04</v>
      </c>
      <c r="K455" s="85">
        <f t="shared" ref="K455" si="1643">IF(F455="-",F455,I455*24)</f>
        <v>324.95999999999998</v>
      </c>
      <c r="L455" s="85" t="str">
        <f>'Consumer Hardware Pricing'!Q463</f>
        <v>-</v>
      </c>
      <c r="M455" s="85" t="str">
        <f t="shared" si="1564"/>
        <v>-</v>
      </c>
      <c r="N455" s="85" t="str">
        <f t="shared" ref="N455" si="1644">IF(L455="-",L455,G455-M455)</f>
        <v>-</v>
      </c>
      <c r="O455" s="85" t="str">
        <f t="shared" ref="O455" si="1645">IF(L455="-",L455,M455*24)</f>
        <v>-</v>
      </c>
      <c r="P455" s="85" t="str">
        <f t="shared" ref="P455" si="1646">IF(L455="-",L455,N455*24)</f>
        <v>-</v>
      </c>
      <c r="Q455" s="85">
        <f>'Consumer Hardware Pricing'!S463</f>
        <v>0</v>
      </c>
      <c r="R455" s="85">
        <f t="shared" ref="R455" si="1647">G455</f>
        <v>15</v>
      </c>
      <c r="S455" s="85">
        <f>'Consumer Hardware Pricing'!T463</f>
        <v>1.46</v>
      </c>
      <c r="T455" s="129">
        <f t="shared" ref="T455" si="1648">IF(S455="-",R455,R455-S455)</f>
        <v>13.54</v>
      </c>
      <c r="U455" s="129">
        <f t="shared" ref="U455" si="1649">IF(S455="-",S455,S455*24)</f>
        <v>35.04</v>
      </c>
      <c r="V455" s="85">
        <f t="shared" ref="V455" si="1650">IF(Q455="-",Q455,T455*24)</f>
        <v>324.95999999999998</v>
      </c>
      <c r="W455" s="129" t="str">
        <f>'Consumer Hardware Pricing'!V463</f>
        <v>-</v>
      </c>
      <c r="X455" s="129" t="str">
        <f t="shared" si="1565"/>
        <v>-</v>
      </c>
      <c r="Y455" s="129" t="str">
        <f t="shared" ref="Y455" si="1651">IF(W455="-",W455,R455-X455)</f>
        <v>-</v>
      </c>
      <c r="Z455" s="129" t="str">
        <f t="shared" ref="Z455" si="1652">IF(W455="-",W455,X455*24)</f>
        <v>-</v>
      </c>
      <c r="AA455" s="85" t="str">
        <f t="shared" ref="AA455" si="1653">IF(W455="-",W455,Y455*24)</f>
        <v>-</v>
      </c>
      <c r="AB455" s="85">
        <f>'Consumer Hardware Pricing'!X463</f>
        <v>0</v>
      </c>
      <c r="AC455" s="85">
        <f t="shared" si="1211"/>
        <v>15</v>
      </c>
      <c r="AD455" s="85">
        <f>'Consumer Hardware Pricing'!Y463</f>
        <v>14</v>
      </c>
      <c r="AE455" s="85">
        <f t="shared" si="1501"/>
        <v>1</v>
      </c>
      <c r="AF455" s="85">
        <f t="shared" si="1502"/>
        <v>336</v>
      </c>
      <c r="AG455" s="85">
        <f t="shared" si="1503"/>
        <v>24</v>
      </c>
      <c r="AH455" s="85" t="str">
        <f>'Consumer Hardware Pricing'!AA463</f>
        <v>-</v>
      </c>
      <c r="AI455" s="85" t="str">
        <f t="shared" si="1212"/>
        <v>-</v>
      </c>
      <c r="AJ455" s="85" t="str">
        <f t="shared" si="1504"/>
        <v>-</v>
      </c>
      <c r="AK455" s="85" t="str">
        <f t="shared" si="1505"/>
        <v>-</v>
      </c>
      <c r="AL455" s="85" t="str">
        <f t="shared" si="1506"/>
        <v>-</v>
      </c>
      <c r="AM455" s="85">
        <f>'Consumer Hardware Pricing'!AC463</f>
        <v>0</v>
      </c>
      <c r="AN455" s="85">
        <f t="shared" si="1213"/>
        <v>15</v>
      </c>
      <c r="AO455" s="85">
        <f>'Consumer Hardware Pricing'!AD463</f>
        <v>14</v>
      </c>
      <c r="AP455" s="85">
        <f t="shared" si="1507"/>
        <v>1</v>
      </c>
      <c r="AQ455" s="85">
        <f t="shared" si="1508"/>
        <v>336</v>
      </c>
      <c r="AR455" s="85">
        <f t="shared" si="1509"/>
        <v>24</v>
      </c>
      <c r="AS455" s="85" t="str">
        <f>'Consumer Hardware Pricing'!AF463</f>
        <v>-</v>
      </c>
      <c r="AT455" s="85" t="str">
        <f t="shared" si="1214"/>
        <v>-</v>
      </c>
      <c r="AU455" s="85" t="str">
        <f t="shared" si="1510"/>
        <v>-</v>
      </c>
      <c r="AV455" s="85" t="str">
        <f t="shared" si="1511"/>
        <v>-</v>
      </c>
      <c r="AW455" s="85" t="str">
        <f t="shared" si="1512"/>
        <v>-</v>
      </c>
      <c r="AX455" s="85">
        <f>'Consumer Hardware Pricing'!AH463</f>
        <v>0</v>
      </c>
      <c r="AY455" s="85">
        <f t="shared" si="1215"/>
        <v>15</v>
      </c>
      <c r="AZ455" s="85" t="str">
        <f>'Consumer Hardware Pricing'!AI463</f>
        <v>-</v>
      </c>
      <c r="BA455" s="85">
        <f t="shared" ref="BA455" si="1654">IF(AZ455="-",AY455,AY455-AZ455)</f>
        <v>15</v>
      </c>
      <c r="BB455" s="85" t="str">
        <f t="shared" ref="BB455" si="1655">IF(AZ455="-",AZ455,AZ455*24)</f>
        <v>-</v>
      </c>
      <c r="BC455" s="85">
        <f t="shared" ref="BC455" si="1656">IF(AX455="-",AX455,AX455+(BA455*24))</f>
        <v>360</v>
      </c>
      <c r="BD455" s="85" t="str">
        <f>'Consumer Hardware Pricing'!AL463</f>
        <v>-</v>
      </c>
      <c r="BE455" s="85" t="str">
        <f t="shared" si="1216"/>
        <v>-</v>
      </c>
      <c r="BF455" s="85" t="str">
        <f>'Consumer Hardware Pricing'!AM463</f>
        <v>-</v>
      </c>
      <c r="BG455" s="85" t="str">
        <f t="shared" ref="BG455" si="1657">IF(BF455="-",BE455,BE455-BF455)</f>
        <v>-</v>
      </c>
      <c r="BH455" s="85" t="str">
        <f t="shared" ref="BH455" si="1658">IF(BF455="-",BF455,BF455*24)</f>
        <v>-</v>
      </c>
      <c r="BI455" s="85" t="str">
        <f t="shared" ref="BI455" si="1659">IF(BD455="-",BD455,BD455+(BG455*24))</f>
        <v>-</v>
      </c>
      <c r="BJ455" s="85" t="str">
        <f>'Consumer Hardware Pricing'!AP463</f>
        <v>-</v>
      </c>
      <c r="BK455" s="85" t="str">
        <f t="shared" si="1217"/>
        <v>-</v>
      </c>
      <c r="BL455" s="85" t="str">
        <f>'Consumer Hardware Pricing'!AQ463</f>
        <v>-</v>
      </c>
      <c r="BM455" s="85" t="str">
        <f t="shared" ref="BM455" si="1660">IF(BL455="-",BK455,BK455-BL455)</f>
        <v>-</v>
      </c>
      <c r="BN455" s="85" t="str">
        <f t="shared" ref="BN455" si="1661">IF(BL455="-",BL455,BL455*24)</f>
        <v>-</v>
      </c>
      <c r="BO455" s="85" t="str">
        <f t="shared" ref="BO455" si="1662">IF(BJ455="-",BJ455,BJ455+(BM455*24))</f>
        <v>-</v>
      </c>
      <c r="BP455" s="85" t="str">
        <f>'Consumer Hardware Pricing'!AT463</f>
        <v>-</v>
      </c>
      <c r="BQ455" s="85" t="str">
        <f t="shared" si="1218"/>
        <v>-</v>
      </c>
      <c r="BR455" s="85" t="str">
        <f>'Consumer Hardware Pricing'!AU463</f>
        <v>-</v>
      </c>
      <c r="BS455" s="85" t="str">
        <f t="shared" ref="BS455" si="1663">IF(BR455="-",BQ455,BQ455-BR455)</f>
        <v>-</v>
      </c>
      <c r="BT455" s="85" t="str">
        <f t="shared" ref="BT455" si="1664">IF(BR455="-",BR455,BR455*24)</f>
        <v>-</v>
      </c>
      <c r="BU455" s="85" t="str">
        <f t="shared" ref="BU455" si="1665">IF(BP455="-",BP455,BP455+(BS455*24))</f>
        <v>-</v>
      </c>
    </row>
    <row r="456" spans="1:73" s="131" customFormat="1" ht="30.15" customHeight="1" x14ac:dyDescent="0.25">
      <c r="A456" s="87" t="s">
        <v>34</v>
      </c>
      <c r="B456" s="88" t="s">
        <v>723</v>
      </c>
      <c r="C456" s="88" t="s">
        <v>722</v>
      </c>
      <c r="D456" s="85">
        <f>'Consumer Hardware Pricing'!L464</f>
        <v>150</v>
      </c>
      <c r="E456" s="85">
        <f>'Consumer Hardware Pricing'!M464</f>
        <v>150</v>
      </c>
      <c r="F456" s="85">
        <f>'Consumer Hardware Pricing'!N464</f>
        <v>0</v>
      </c>
      <c r="G456" s="85">
        <f t="shared" si="1563"/>
        <v>6.25</v>
      </c>
      <c r="H456" s="85" t="str">
        <f>'Consumer Hardware Pricing'!O464</f>
        <v>-</v>
      </c>
      <c r="I456" s="85">
        <f t="shared" si="1513"/>
        <v>6.25</v>
      </c>
      <c r="J456" s="85" t="str">
        <f t="shared" si="1525"/>
        <v>-</v>
      </c>
      <c r="K456" s="85">
        <f t="shared" si="1526"/>
        <v>150</v>
      </c>
      <c r="L456" s="85" t="str">
        <f>'Consumer Hardware Pricing'!Q464</f>
        <v>-</v>
      </c>
      <c r="M456" s="85" t="str">
        <f t="shared" si="1564"/>
        <v>-</v>
      </c>
      <c r="N456" s="85" t="str">
        <f t="shared" si="1514"/>
        <v>-</v>
      </c>
      <c r="O456" s="85" t="str">
        <f t="shared" si="1515"/>
        <v>-</v>
      </c>
      <c r="P456" s="85" t="str">
        <f t="shared" si="1527"/>
        <v>-</v>
      </c>
      <c r="Q456" s="85">
        <f>'Consumer Hardware Pricing'!S464</f>
        <v>0</v>
      </c>
      <c r="R456" s="85">
        <f t="shared" si="1516"/>
        <v>6.25</v>
      </c>
      <c r="S456" s="85" t="str">
        <f>'Consumer Hardware Pricing'!T464</f>
        <v>-</v>
      </c>
      <c r="T456" s="129">
        <f t="shared" si="1528"/>
        <v>6.25</v>
      </c>
      <c r="U456" s="129" t="str">
        <f t="shared" si="1529"/>
        <v>-</v>
      </c>
      <c r="V456" s="85">
        <f t="shared" si="1530"/>
        <v>150</v>
      </c>
      <c r="W456" s="129" t="str">
        <f>'Consumer Hardware Pricing'!V464</f>
        <v>-</v>
      </c>
      <c r="X456" s="129" t="str">
        <f t="shared" si="1565"/>
        <v>-</v>
      </c>
      <c r="Y456" s="129" t="str">
        <f t="shared" si="1531"/>
        <v>-</v>
      </c>
      <c r="Z456" s="129" t="str">
        <f t="shared" si="1532"/>
        <v>-</v>
      </c>
      <c r="AA456" s="85" t="str">
        <f t="shared" si="1533"/>
        <v>-</v>
      </c>
      <c r="AB456" s="85">
        <f>'Consumer Hardware Pricing'!X464</f>
        <v>0</v>
      </c>
      <c r="AC456" s="85">
        <f t="shared" si="1211"/>
        <v>6.25</v>
      </c>
      <c r="AD456" s="85" t="str">
        <f>'Consumer Hardware Pricing'!Y464</f>
        <v>-</v>
      </c>
      <c r="AE456" s="85">
        <f t="shared" si="1501"/>
        <v>6.25</v>
      </c>
      <c r="AF456" s="85" t="str">
        <f t="shared" si="1502"/>
        <v>-</v>
      </c>
      <c r="AG456" s="85">
        <f t="shared" si="1503"/>
        <v>150</v>
      </c>
      <c r="AH456" s="85" t="str">
        <f>'Consumer Hardware Pricing'!AA464</f>
        <v>-</v>
      </c>
      <c r="AI456" s="85" t="str">
        <f t="shared" si="1212"/>
        <v>-</v>
      </c>
      <c r="AJ456" s="85" t="str">
        <f t="shared" si="1504"/>
        <v>-</v>
      </c>
      <c r="AK456" s="85" t="str">
        <f t="shared" si="1505"/>
        <v>-</v>
      </c>
      <c r="AL456" s="85" t="str">
        <f t="shared" si="1506"/>
        <v>-</v>
      </c>
      <c r="AM456" s="85">
        <f>'Consumer Hardware Pricing'!AC464</f>
        <v>0</v>
      </c>
      <c r="AN456" s="85">
        <f t="shared" si="1213"/>
        <v>6.25</v>
      </c>
      <c r="AO456" s="85" t="str">
        <f>'Consumer Hardware Pricing'!AD464</f>
        <v>-</v>
      </c>
      <c r="AP456" s="85">
        <f t="shared" si="1507"/>
        <v>6.25</v>
      </c>
      <c r="AQ456" s="85" t="str">
        <f t="shared" si="1508"/>
        <v>-</v>
      </c>
      <c r="AR456" s="85">
        <f t="shared" si="1509"/>
        <v>150</v>
      </c>
      <c r="AS456" s="85" t="str">
        <f>'Consumer Hardware Pricing'!AF464</f>
        <v>-</v>
      </c>
      <c r="AT456" s="85" t="str">
        <f t="shared" si="1214"/>
        <v>-</v>
      </c>
      <c r="AU456" s="85" t="str">
        <f t="shared" si="1510"/>
        <v>-</v>
      </c>
      <c r="AV456" s="85" t="str">
        <f t="shared" si="1511"/>
        <v>-</v>
      </c>
      <c r="AW456" s="85" t="str">
        <f t="shared" si="1512"/>
        <v>-</v>
      </c>
      <c r="AX456" s="85">
        <f>'Consumer Hardware Pricing'!AH464</f>
        <v>0</v>
      </c>
      <c r="AY456" s="85">
        <f t="shared" si="1215"/>
        <v>6.25</v>
      </c>
      <c r="AZ456" s="85" t="str">
        <f>'Consumer Hardware Pricing'!AI464</f>
        <v>-</v>
      </c>
      <c r="BA456" s="85">
        <f t="shared" si="1517"/>
        <v>6.25</v>
      </c>
      <c r="BB456" s="85" t="str">
        <f t="shared" si="1518"/>
        <v>-</v>
      </c>
      <c r="BC456" s="85">
        <f t="shared" si="1534"/>
        <v>150</v>
      </c>
      <c r="BD456" s="85" t="str">
        <f>'Consumer Hardware Pricing'!AL464</f>
        <v>-</v>
      </c>
      <c r="BE456" s="85" t="str">
        <f t="shared" si="1216"/>
        <v>-</v>
      </c>
      <c r="BF456" s="85" t="str">
        <f>'Consumer Hardware Pricing'!AM464</f>
        <v>-</v>
      </c>
      <c r="BG456" s="85" t="str">
        <f t="shared" si="1519"/>
        <v>-</v>
      </c>
      <c r="BH456" s="85" t="str">
        <f t="shared" si="1520"/>
        <v>-</v>
      </c>
      <c r="BI456" s="85" t="str">
        <f t="shared" si="1535"/>
        <v>-</v>
      </c>
      <c r="BJ456" s="85" t="str">
        <f>'Consumer Hardware Pricing'!AP464</f>
        <v>-</v>
      </c>
      <c r="BK456" s="85" t="str">
        <f t="shared" si="1217"/>
        <v>-</v>
      </c>
      <c r="BL456" s="85" t="str">
        <f>'Consumer Hardware Pricing'!AQ464</f>
        <v>-</v>
      </c>
      <c r="BM456" s="85" t="str">
        <f t="shared" si="1521"/>
        <v>-</v>
      </c>
      <c r="BN456" s="85" t="str">
        <f t="shared" si="1522"/>
        <v>-</v>
      </c>
      <c r="BO456" s="85" t="str">
        <f t="shared" si="1536"/>
        <v>-</v>
      </c>
      <c r="BP456" s="85" t="str">
        <f>'Consumer Hardware Pricing'!AT464</f>
        <v>-</v>
      </c>
      <c r="BQ456" s="85" t="str">
        <f t="shared" si="1218"/>
        <v>-</v>
      </c>
      <c r="BR456" s="85" t="str">
        <f>'Consumer Hardware Pricing'!AU464</f>
        <v>-</v>
      </c>
      <c r="BS456" s="85" t="str">
        <f t="shared" si="1523"/>
        <v>-</v>
      </c>
      <c r="BT456" s="85" t="str">
        <f t="shared" si="1524"/>
        <v>-</v>
      </c>
      <c r="BU456" s="85" t="str">
        <f t="shared" si="1537"/>
        <v>-</v>
      </c>
    </row>
    <row r="457" spans="1:73" s="131" customFormat="1" ht="30.15" customHeight="1" x14ac:dyDescent="0.25">
      <c r="A457" s="87" t="s">
        <v>34</v>
      </c>
      <c r="B457" s="88" t="s">
        <v>904</v>
      </c>
      <c r="C457" s="88" t="s">
        <v>905</v>
      </c>
      <c r="D457" s="85">
        <f>'Consumer Hardware Pricing'!L465</f>
        <v>150</v>
      </c>
      <c r="E457" s="85">
        <f>'Consumer Hardware Pricing'!M465</f>
        <v>150</v>
      </c>
      <c r="F457" s="85">
        <f>'Consumer Hardware Pricing'!N465</f>
        <v>0</v>
      </c>
      <c r="G457" s="85">
        <f t="shared" si="1563"/>
        <v>6.25</v>
      </c>
      <c r="H457" s="85" t="str">
        <f>'Consumer Hardware Pricing'!O465</f>
        <v>-</v>
      </c>
      <c r="I457" s="85">
        <f t="shared" ref="I457" si="1666">IF(H457="-",G457,G457-H457)</f>
        <v>6.25</v>
      </c>
      <c r="J457" s="85" t="str">
        <f t="shared" ref="J457" si="1667">IF(H457="-",H457,H457*24)</f>
        <v>-</v>
      </c>
      <c r="K457" s="85">
        <f t="shared" ref="K457" si="1668">IF(F457="-",F457,I457*24)</f>
        <v>150</v>
      </c>
      <c r="L457" s="85" t="str">
        <f>'Consumer Hardware Pricing'!Q465</f>
        <v>-</v>
      </c>
      <c r="M457" s="85" t="str">
        <f t="shared" si="1564"/>
        <v>-</v>
      </c>
      <c r="N457" s="85" t="str">
        <f t="shared" ref="N457" si="1669">IF(L457="-",L457,G457-M457)</f>
        <v>-</v>
      </c>
      <c r="O457" s="85" t="str">
        <f t="shared" ref="O457" si="1670">IF(L457="-",L457,M457*24)</f>
        <v>-</v>
      </c>
      <c r="P457" s="85" t="str">
        <f t="shared" ref="P457" si="1671">IF(L457="-",L457,N457*24)</f>
        <v>-</v>
      </c>
      <c r="Q457" s="85">
        <f>'Consumer Hardware Pricing'!S465</f>
        <v>0</v>
      </c>
      <c r="R457" s="85">
        <f t="shared" ref="R457" si="1672">G457</f>
        <v>6.25</v>
      </c>
      <c r="S457" s="85" t="str">
        <f>'Consumer Hardware Pricing'!T465</f>
        <v>-</v>
      </c>
      <c r="T457" s="129">
        <f t="shared" ref="T457" si="1673">IF(S457="-",R457,R457-S457)</f>
        <v>6.25</v>
      </c>
      <c r="U457" s="129" t="str">
        <f t="shared" ref="U457" si="1674">IF(S457="-",S457,S457*24)</f>
        <v>-</v>
      </c>
      <c r="V457" s="85">
        <f t="shared" ref="V457" si="1675">IF(Q457="-",Q457,T457*24)</f>
        <v>150</v>
      </c>
      <c r="W457" s="129" t="str">
        <f>'Consumer Hardware Pricing'!V465</f>
        <v>-</v>
      </c>
      <c r="X457" s="129" t="str">
        <f t="shared" si="1565"/>
        <v>-</v>
      </c>
      <c r="Y457" s="129" t="str">
        <f t="shared" ref="Y457" si="1676">IF(W457="-",W457,R457-X457)</f>
        <v>-</v>
      </c>
      <c r="Z457" s="129" t="str">
        <f t="shared" ref="Z457" si="1677">IF(W457="-",W457,X457*24)</f>
        <v>-</v>
      </c>
      <c r="AA457" s="85" t="str">
        <f t="shared" ref="AA457" si="1678">IF(W457="-",W457,Y457*24)</f>
        <v>-</v>
      </c>
      <c r="AB457" s="85">
        <f>'Consumer Hardware Pricing'!X465</f>
        <v>0</v>
      </c>
      <c r="AC457" s="85">
        <f t="shared" si="1211"/>
        <v>6.25</v>
      </c>
      <c r="AD457" s="85" t="str">
        <f>'Consumer Hardware Pricing'!Y465</f>
        <v>-</v>
      </c>
      <c r="AE457" s="85">
        <f t="shared" si="1501"/>
        <v>6.25</v>
      </c>
      <c r="AF457" s="85" t="str">
        <f t="shared" si="1502"/>
        <v>-</v>
      </c>
      <c r="AG457" s="85">
        <f t="shared" si="1503"/>
        <v>150</v>
      </c>
      <c r="AH457" s="85" t="str">
        <f>'Consumer Hardware Pricing'!AA465</f>
        <v>-</v>
      </c>
      <c r="AI457" s="85" t="str">
        <f t="shared" si="1212"/>
        <v>-</v>
      </c>
      <c r="AJ457" s="85" t="str">
        <f t="shared" si="1504"/>
        <v>-</v>
      </c>
      <c r="AK457" s="85" t="str">
        <f t="shared" si="1505"/>
        <v>-</v>
      </c>
      <c r="AL457" s="85" t="str">
        <f t="shared" si="1506"/>
        <v>-</v>
      </c>
      <c r="AM457" s="85">
        <f>'Consumer Hardware Pricing'!AC465</f>
        <v>0</v>
      </c>
      <c r="AN457" s="85">
        <f t="shared" si="1213"/>
        <v>6.25</v>
      </c>
      <c r="AO457" s="85" t="str">
        <f>'Consumer Hardware Pricing'!AD465</f>
        <v>-</v>
      </c>
      <c r="AP457" s="85">
        <f t="shared" si="1507"/>
        <v>6.25</v>
      </c>
      <c r="AQ457" s="85" t="str">
        <f t="shared" si="1508"/>
        <v>-</v>
      </c>
      <c r="AR457" s="85">
        <f t="shared" si="1509"/>
        <v>150</v>
      </c>
      <c r="AS457" s="85" t="str">
        <f>'Consumer Hardware Pricing'!AF465</f>
        <v>-</v>
      </c>
      <c r="AT457" s="85" t="str">
        <f t="shared" si="1214"/>
        <v>-</v>
      </c>
      <c r="AU457" s="85" t="str">
        <f t="shared" si="1510"/>
        <v>-</v>
      </c>
      <c r="AV457" s="85" t="str">
        <f t="shared" si="1511"/>
        <v>-</v>
      </c>
      <c r="AW457" s="85" t="str">
        <f t="shared" si="1512"/>
        <v>-</v>
      </c>
      <c r="AX457" s="85">
        <f>'Consumer Hardware Pricing'!AH465</f>
        <v>0</v>
      </c>
      <c r="AY457" s="85">
        <f t="shared" si="1215"/>
        <v>6.25</v>
      </c>
      <c r="AZ457" s="85" t="str">
        <f>'Consumer Hardware Pricing'!AI465</f>
        <v>-</v>
      </c>
      <c r="BA457" s="85">
        <f t="shared" ref="BA457" si="1679">IF(AZ457="-",AY457,AY457-AZ457)</f>
        <v>6.25</v>
      </c>
      <c r="BB457" s="85" t="str">
        <f t="shared" ref="BB457" si="1680">IF(AZ457="-",AZ457,AZ457*24)</f>
        <v>-</v>
      </c>
      <c r="BC457" s="85">
        <f t="shared" ref="BC457" si="1681">IF(AX457="-",AX457,AX457+(BA457*24))</f>
        <v>150</v>
      </c>
      <c r="BD457" s="85" t="str">
        <f>'Consumer Hardware Pricing'!AL465</f>
        <v>-</v>
      </c>
      <c r="BE457" s="85" t="str">
        <f t="shared" si="1216"/>
        <v>-</v>
      </c>
      <c r="BF457" s="85" t="str">
        <f>'Consumer Hardware Pricing'!AM465</f>
        <v>-</v>
      </c>
      <c r="BG457" s="85" t="str">
        <f t="shared" ref="BG457" si="1682">IF(BF457="-",BE457,BE457-BF457)</f>
        <v>-</v>
      </c>
      <c r="BH457" s="85" t="str">
        <f t="shared" ref="BH457" si="1683">IF(BF457="-",BF457,BF457*24)</f>
        <v>-</v>
      </c>
      <c r="BI457" s="85" t="str">
        <f t="shared" ref="BI457" si="1684">IF(BD457="-",BD457,BD457+(BG457*24))</f>
        <v>-</v>
      </c>
      <c r="BJ457" s="85" t="str">
        <f>'Consumer Hardware Pricing'!AP465</f>
        <v>-</v>
      </c>
      <c r="BK457" s="85" t="str">
        <f t="shared" si="1217"/>
        <v>-</v>
      </c>
      <c r="BL457" s="85" t="str">
        <f>'Consumer Hardware Pricing'!AQ465</f>
        <v>-</v>
      </c>
      <c r="BM457" s="85" t="str">
        <f t="shared" ref="BM457" si="1685">IF(BL457="-",BK457,BK457-BL457)</f>
        <v>-</v>
      </c>
      <c r="BN457" s="85" t="str">
        <f t="shared" ref="BN457" si="1686">IF(BL457="-",BL457,BL457*24)</f>
        <v>-</v>
      </c>
      <c r="BO457" s="85" t="str">
        <f t="shared" ref="BO457" si="1687">IF(BJ457="-",BJ457,BJ457+(BM457*24))</f>
        <v>-</v>
      </c>
      <c r="BP457" s="85" t="str">
        <f>'Consumer Hardware Pricing'!AT465</f>
        <v>-</v>
      </c>
      <c r="BQ457" s="85" t="str">
        <f t="shared" si="1218"/>
        <v>-</v>
      </c>
      <c r="BR457" s="85" t="str">
        <f>'Consumer Hardware Pricing'!AU465</f>
        <v>-</v>
      </c>
      <c r="BS457" s="85" t="str">
        <f t="shared" ref="BS457" si="1688">IF(BR457="-",BQ457,BQ457-BR457)</f>
        <v>-</v>
      </c>
      <c r="BT457" s="85" t="str">
        <f t="shared" ref="BT457" si="1689">IF(BR457="-",BR457,BR457*24)</f>
        <v>-</v>
      </c>
      <c r="BU457" s="85" t="str">
        <f t="shared" ref="BU457" si="1690">IF(BP457="-",BP457,BP457+(BS457*24))</f>
        <v>-</v>
      </c>
    </row>
    <row r="458" spans="1:73" s="131" customFormat="1" ht="30.15" customHeight="1" x14ac:dyDescent="0.25">
      <c r="A458" s="87" t="s">
        <v>34</v>
      </c>
      <c r="B458" s="88" t="s">
        <v>900</v>
      </c>
      <c r="C458" s="88" t="s">
        <v>901</v>
      </c>
      <c r="D458" s="85">
        <f>'Consumer Hardware Pricing'!L468</f>
        <v>2000</v>
      </c>
      <c r="E458" s="85">
        <f>'Consumer Hardware Pricing'!M468</f>
        <v>2000</v>
      </c>
      <c r="F458" s="85">
        <f>'Consumer Hardware Pricing'!N468</f>
        <v>0</v>
      </c>
      <c r="G458" s="85">
        <f t="shared" si="1563"/>
        <v>83.34</v>
      </c>
      <c r="H458" s="85">
        <f>'Consumer Hardware Pricing'!O468</f>
        <v>68.34</v>
      </c>
      <c r="I458" s="85">
        <f t="shared" ref="I458" si="1691">IF(H458="-",G458,G458-H458)</f>
        <v>15</v>
      </c>
      <c r="J458" s="85">
        <f t="shared" ref="J458" si="1692">IF(H458="-",H458,H458*24)</f>
        <v>1640.16</v>
      </c>
      <c r="K458" s="85">
        <f t="shared" ref="K458" si="1693">IF(F458="-",F458,I458*24)</f>
        <v>360</v>
      </c>
      <c r="L458" s="85" t="str">
        <f>'Consumer Hardware Pricing'!Q468</f>
        <v>-</v>
      </c>
      <c r="M458" s="85" t="str">
        <f t="shared" si="1564"/>
        <v>-</v>
      </c>
      <c r="N458" s="85" t="str">
        <f t="shared" ref="N458" si="1694">IF(L458="-",L458,G458-M458)</f>
        <v>-</v>
      </c>
      <c r="O458" s="85" t="str">
        <f t="shared" ref="O458" si="1695">IF(L458="-",L458,M458*24)</f>
        <v>-</v>
      </c>
      <c r="P458" s="85" t="str">
        <f t="shared" ref="P458" si="1696">IF(L458="-",L458,N458*24)</f>
        <v>-</v>
      </c>
      <c r="Q458" s="85">
        <f>'Consumer Hardware Pricing'!S468</f>
        <v>0</v>
      </c>
      <c r="R458" s="85">
        <f t="shared" ref="R458" si="1697">G458</f>
        <v>83.34</v>
      </c>
      <c r="S458" s="85">
        <f>'Consumer Hardware Pricing'!T468</f>
        <v>68.34</v>
      </c>
      <c r="T458" s="129">
        <f t="shared" ref="T458" si="1698">IF(S458="-",R458,R458-S458)</f>
        <v>15</v>
      </c>
      <c r="U458" s="129">
        <f t="shared" ref="U458" si="1699">IF(S458="-",S458,S458*24)</f>
        <v>1640.16</v>
      </c>
      <c r="V458" s="85">
        <f t="shared" ref="V458" si="1700">IF(Q458="-",Q458,T458*24)</f>
        <v>360</v>
      </c>
      <c r="W458" s="129" t="str">
        <f>'Consumer Hardware Pricing'!V468</f>
        <v>-</v>
      </c>
      <c r="X458" s="129" t="str">
        <f t="shared" si="1565"/>
        <v>-</v>
      </c>
      <c r="Y458" s="129" t="str">
        <f t="shared" ref="Y458" si="1701">IF(W458="-",W458,R458-X458)</f>
        <v>-</v>
      </c>
      <c r="Z458" s="129" t="str">
        <f t="shared" ref="Z458" si="1702">IF(W458="-",W458,X458*24)</f>
        <v>-</v>
      </c>
      <c r="AA458" s="85" t="str">
        <f t="shared" ref="AA458" si="1703">IF(W458="-",W458,Y458*24)</f>
        <v>-</v>
      </c>
      <c r="AB458" s="85">
        <f>'Consumer Hardware Pricing'!X468</f>
        <v>0</v>
      </c>
      <c r="AC458" s="85">
        <f t="shared" si="1211"/>
        <v>83.34</v>
      </c>
      <c r="AD458" s="85">
        <f>'Consumer Hardware Pricing'!Y468</f>
        <v>68.34</v>
      </c>
      <c r="AE458" s="85">
        <f t="shared" si="1501"/>
        <v>15</v>
      </c>
      <c r="AF458" s="85">
        <f t="shared" si="1502"/>
        <v>1640.16</v>
      </c>
      <c r="AG458" s="85">
        <f t="shared" si="1503"/>
        <v>360</v>
      </c>
      <c r="AH458" s="85" t="str">
        <f>'Consumer Hardware Pricing'!AA468</f>
        <v>-</v>
      </c>
      <c r="AI458" s="85" t="str">
        <f t="shared" si="1212"/>
        <v>-</v>
      </c>
      <c r="AJ458" s="85" t="str">
        <f t="shared" si="1504"/>
        <v>-</v>
      </c>
      <c r="AK458" s="85" t="str">
        <f t="shared" si="1505"/>
        <v>-</v>
      </c>
      <c r="AL458" s="85" t="str">
        <f t="shared" si="1506"/>
        <v>-</v>
      </c>
      <c r="AM458" s="85">
        <f>'Consumer Hardware Pricing'!AC468</f>
        <v>0</v>
      </c>
      <c r="AN458" s="85">
        <f t="shared" si="1213"/>
        <v>83.34</v>
      </c>
      <c r="AO458" s="85">
        <f>'Consumer Hardware Pricing'!AD468</f>
        <v>68.34</v>
      </c>
      <c r="AP458" s="85">
        <f t="shared" si="1507"/>
        <v>15</v>
      </c>
      <c r="AQ458" s="85">
        <f t="shared" si="1508"/>
        <v>1640.16</v>
      </c>
      <c r="AR458" s="85">
        <f t="shared" si="1509"/>
        <v>360</v>
      </c>
      <c r="AS458" s="85" t="str">
        <f>'Consumer Hardware Pricing'!AF468</f>
        <v>-</v>
      </c>
      <c r="AT458" s="85" t="str">
        <f t="shared" si="1214"/>
        <v>-</v>
      </c>
      <c r="AU458" s="85" t="str">
        <f t="shared" si="1510"/>
        <v>-</v>
      </c>
      <c r="AV458" s="85" t="str">
        <f t="shared" si="1511"/>
        <v>-</v>
      </c>
      <c r="AW458" s="85" t="str">
        <f t="shared" si="1512"/>
        <v>-</v>
      </c>
      <c r="AX458" s="85" t="str">
        <f>'Consumer Hardware Pricing'!AH468</f>
        <v>-</v>
      </c>
      <c r="AY458" s="85" t="str">
        <f t="shared" si="1215"/>
        <v>-</v>
      </c>
      <c r="AZ458" s="85" t="str">
        <f>'Consumer Hardware Pricing'!AI468</f>
        <v>-</v>
      </c>
      <c r="BA458" s="85" t="str">
        <f t="shared" ref="BA458" si="1704">IF(AZ458="-",AY458,AY458-AZ458)</f>
        <v>-</v>
      </c>
      <c r="BB458" s="85" t="str">
        <f t="shared" ref="BB458" si="1705">IF(AZ458="-",AZ458,AZ458*24)</f>
        <v>-</v>
      </c>
      <c r="BC458" s="85" t="str">
        <f t="shared" ref="BC458" si="1706">IF(AX458="-",AX458,AX458+(BA458*24))</f>
        <v>-</v>
      </c>
      <c r="BD458" s="85" t="str">
        <f>'Consumer Hardware Pricing'!AL468</f>
        <v>-</v>
      </c>
      <c r="BE458" s="85" t="str">
        <f t="shared" si="1216"/>
        <v>-</v>
      </c>
      <c r="BF458" s="85" t="str">
        <f>'Consumer Hardware Pricing'!AM468</f>
        <v>-</v>
      </c>
      <c r="BG458" s="85" t="str">
        <f t="shared" ref="BG458" si="1707">IF(BF458="-",BE458,BE458-BF458)</f>
        <v>-</v>
      </c>
      <c r="BH458" s="85" t="str">
        <f t="shared" ref="BH458" si="1708">IF(BF458="-",BF458,BF458*24)</f>
        <v>-</v>
      </c>
      <c r="BI458" s="85" t="str">
        <f t="shared" ref="BI458" si="1709">IF(BD458="-",BD458,BD458+(BG458*24))</f>
        <v>-</v>
      </c>
      <c r="BJ458" s="85" t="str">
        <f>'Consumer Hardware Pricing'!AP468</f>
        <v>-</v>
      </c>
      <c r="BK458" s="85" t="str">
        <f t="shared" si="1217"/>
        <v>-</v>
      </c>
      <c r="BL458" s="85" t="str">
        <f>'Consumer Hardware Pricing'!AQ468</f>
        <v>-</v>
      </c>
      <c r="BM458" s="85" t="str">
        <f t="shared" ref="BM458" si="1710">IF(BL458="-",BK458,BK458-BL458)</f>
        <v>-</v>
      </c>
      <c r="BN458" s="85" t="str">
        <f t="shared" ref="BN458" si="1711">IF(BL458="-",BL458,BL458*24)</f>
        <v>-</v>
      </c>
      <c r="BO458" s="85" t="str">
        <f t="shared" ref="BO458" si="1712">IF(BJ458="-",BJ458,BJ458+(BM458*24))</f>
        <v>-</v>
      </c>
      <c r="BP458" s="85" t="str">
        <f>'Consumer Hardware Pricing'!AT468</f>
        <v>-</v>
      </c>
      <c r="BQ458" s="85" t="str">
        <f t="shared" si="1218"/>
        <v>-</v>
      </c>
      <c r="BR458" s="85" t="str">
        <f>'Consumer Hardware Pricing'!AU468</f>
        <v>-</v>
      </c>
      <c r="BS458" s="85" t="str">
        <f t="shared" ref="BS458" si="1713">IF(BR458="-",BQ458,BQ458-BR458)</f>
        <v>-</v>
      </c>
      <c r="BT458" s="85" t="str">
        <f t="shared" ref="BT458" si="1714">IF(BR458="-",BR458,BR458*24)</f>
        <v>-</v>
      </c>
      <c r="BU458" s="85" t="str">
        <f t="shared" ref="BU458" si="1715">IF(BP458="-",BP458,BP458+(BS458*24))</f>
        <v>-</v>
      </c>
    </row>
    <row r="459" spans="1:73" s="131" customFormat="1" ht="30.15" customHeight="1" x14ac:dyDescent="0.25">
      <c r="A459" s="86" t="s">
        <v>35</v>
      </c>
      <c r="B459" s="88" t="s">
        <v>441</v>
      </c>
      <c r="C459" s="88" t="s">
        <v>442</v>
      </c>
      <c r="D459" s="85">
        <f>'Consumer Hardware Pricing'!L469</f>
        <v>199.99</v>
      </c>
      <c r="E459" s="85">
        <f>'Consumer Hardware Pricing'!M469</f>
        <v>199.99</v>
      </c>
      <c r="F459" s="85" t="str">
        <f>'Consumer Hardware Pricing'!N469</f>
        <v>-</v>
      </c>
      <c r="G459" s="85" t="str">
        <f t="shared" si="1563"/>
        <v>-</v>
      </c>
      <c r="H459" s="85" t="str">
        <f>'Consumer Hardware Pricing'!O469</f>
        <v>-</v>
      </c>
      <c r="I459" s="85" t="str">
        <f t="shared" si="1513"/>
        <v>-</v>
      </c>
      <c r="J459" s="85" t="str">
        <f t="shared" si="1525"/>
        <v>-</v>
      </c>
      <c r="K459" s="85" t="str">
        <f t="shared" si="1526"/>
        <v>-</v>
      </c>
      <c r="L459" s="85" t="str">
        <f>'Consumer Hardware Pricing'!Q469</f>
        <v>-</v>
      </c>
      <c r="M459" s="85" t="str">
        <f t="shared" si="1564"/>
        <v>-</v>
      </c>
      <c r="N459" s="85" t="str">
        <f t="shared" si="1514"/>
        <v>-</v>
      </c>
      <c r="O459" s="85" t="str">
        <f t="shared" si="1515"/>
        <v>-</v>
      </c>
      <c r="P459" s="85" t="str">
        <f t="shared" si="1527"/>
        <v>-</v>
      </c>
      <c r="Q459" s="85" t="str">
        <f>'Consumer Hardware Pricing'!S469</f>
        <v>-</v>
      </c>
      <c r="R459" s="85" t="str">
        <f t="shared" si="1516"/>
        <v>-</v>
      </c>
      <c r="S459" s="85" t="str">
        <f>'Consumer Hardware Pricing'!T469</f>
        <v>-</v>
      </c>
      <c r="T459" s="129" t="str">
        <f t="shared" si="1528"/>
        <v>-</v>
      </c>
      <c r="U459" s="129" t="str">
        <f t="shared" si="1529"/>
        <v>-</v>
      </c>
      <c r="V459" s="85" t="str">
        <f t="shared" si="1530"/>
        <v>-</v>
      </c>
      <c r="W459" s="129" t="str">
        <f>'Consumer Hardware Pricing'!V469</f>
        <v>-</v>
      </c>
      <c r="X459" s="129" t="str">
        <f t="shared" si="1565"/>
        <v>-</v>
      </c>
      <c r="Y459" s="129" t="str">
        <f t="shared" si="1531"/>
        <v>-</v>
      </c>
      <c r="Z459" s="129" t="str">
        <f t="shared" si="1532"/>
        <v>-</v>
      </c>
      <c r="AA459" s="85" t="str">
        <f t="shared" si="1533"/>
        <v>-</v>
      </c>
      <c r="AB459" s="85" t="str">
        <f>'Consumer Hardware Pricing'!X469</f>
        <v>-</v>
      </c>
      <c r="AC459" s="85" t="str">
        <f t="shared" si="1211"/>
        <v>-</v>
      </c>
      <c r="AD459" s="85" t="str">
        <f>'Consumer Hardware Pricing'!Y469</f>
        <v>-</v>
      </c>
      <c r="AE459" s="85" t="str">
        <f t="shared" si="1501"/>
        <v>-</v>
      </c>
      <c r="AF459" s="85" t="str">
        <f t="shared" si="1502"/>
        <v>-</v>
      </c>
      <c r="AG459" s="85" t="str">
        <f t="shared" si="1503"/>
        <v>-</v>
      </c>
      <c r="AH459" s="85" t="str">
        <f>'Consumer Hardware Pricing'!AA469</f>
        <v>-</v>
      </c>
      <c r="AI459" s="85" t="str">
        <f t="shared" si="1212"/>
        <v>-</v>
      </c>
      <c r="AJ459" s="85" t="str">
        <f t="shared" si="1504"/>
        <v>-</v>
      </c>
      <c r="AK459" s="85" t="str">
        <f t="shared" si="1505"/>
        <v>-</v>
      </c>
      <c r="AL459" s="85" t="str">
        <f t="shared" si="1506"/>
        <v>-</v>
      </c>
      <c r="AM459" s="85" t="str">
        <f>'Consumer Hardware Pricing'!AC469</f>
        <v>-</v>
      </c>
      <c r="AN459" s="85" t="str">
        <f t="shared" si="1213"/>
        <v>-</v>
      </c>
      <c r="AO459" s="85" t="str">
        <f>'Consumer Hardware Pricing'!AD469</f>
        <v>-</v>
      </c>
      <c r="AP459" s="85" t="str">
        <f t="shared" si="1507"/>
        <v>-</v>
      </c>
      <c r="AQ459" s="85" t="str">
        <f t="shared" si="1508"/>
        <v>-</v>
      </c>
      <c r="AR459" s="85" t="str">
        <f t="shared" si="1509"/>
        <v>-</v>
      </c>
      <c r="AS459" s="85" t="str">
        <f>'Consumer Hardware Pricing'!AF469</f>
        <v>-</v>
      </c>
      <c r="AT459" s="85" t="str">
        <f t="shared" si="1214"/>
        <v>-</v>
      </c>
      <c r="AU459" s="85" t="str">
        <f t="shared" si="1510"/>
        <v>-</v>
      </c>
      <c r="AV459" s="85" t="str">
        <f t="shared" si="1511"/>
        <v>-</v>
      </c>
      <c r="AW459" s="85" t="str">
        <f t="shared" si="1512"/>
        <v>-</v>
      </c>
      <c r="AX459" s="85" t="str">
        <f>'Consumer Hardware Pricing'!AH469</f>
        <v>-</v>
      </c>
      <c r="AY459" s="85" t="str">
        <f t="shared" si="1215"/>
        <v>-</v>
      </c>
      <c r="AZ459" s="85" t="str">
        <f>'Consumer Hardware Pricing'!AI469</f>
        <v>-</v>
      </c>
      <c r="BA459" s="85" t="str">
        <f t="shared" si="1517"/>
        <v>-</v>
      </c>
      <c r="BB459" s="85" t="str">
        <f t="shared" si="1518"/>
        <v>-</v>
      </c>
      <c r="BC459" s="85" t="str">
        <f t="shared" si="1534"/>
        <v>-</v>
      </c>
      <c r="BD459" s="85">
        <f>'Consumer Hardware Pricing'!AL469</f>
        <v>0</v>
      </c>
      <c r="BE459" s="85">
        <f t="shared" si="1216"/>
        <v>8.34</v>
      </c>
      <c r="BF459" s="85" t="str">
        <f>'Consumer Hardware Pricing'!AM469</f>
        <v>-</v>
      </c>
      <c r="BG459" s="85">
        <f t="shared" si="1519"/>
        <v>8.34</v>
      </c>
      <c r="BH459" s="85" t="str">
        <f t="shared" si="1520"/>
        <v>-</v>
      </c>
      <c r="BI459" s="85">
        <f t="shared" si="1535"/>
        <v>200.16</v>
      </c>
      <c r="BJ459" s="85" t="str">
        <f>'Consumer Hardware Pricing'!AP469</f>
        <v>-</v>
      </c>
      <c r="BK459" s="85" t="str">
        <f t="shared" si="1217"/>
        <v>-</v>
      </c>
      <c r="BL459" s="85" t="str">
        <f>'Consumer Hardware Pricing'!AQ469</f>
        <v>-</v>
      </c>
      <c r="BM459" s="85" t="str">
        <f t="shared" si="1521"/>
        <v>-</v>
      </c>
      <c r="BN459" s="85" t="str">
        <f t="shared" si="1522"/>
        <v>-</v>
      </c>
      <c r="BO459" s="85" t="str">
        <f t="shared" si="1536"/>
        <v>-</v>
      </c>
      <c r="BP459" s="85" t="str">
        <f>'Consumer Hardware Pricing'!AT469</f>
        <v>-</v>
      </c>
      <c r="BQ459" s="85" t="str">
        <f t="shared" si="1218"/>
        <v>-</v>
      </c>
      <c r="BR459" s="85" t="str">
        <f>'Consumer Hardware Pricing'!AU469</f>
        <v>-</v>
      </c>
      <c r="BS459" s="85" t="str">
        <f t="shared" si="1523"/>
        <v>-</v>
      </c>
      <c r="BT459" s="85" t="str">
        <f t="shared" si="1524"/>
        <v>-</v>
      </c>
      <c r="BU459" s="85" t="str">
        <f t="shared" si="1537"/>
        <v>-</v>
      </c>
    </row>
    <row r="460" spans="1:73" s="131" customFormat="1" ht="30.15" customHeight="1" x14ac:dyDescent="0.25">
      <c r="A460" s="86" t="s">
        <v>35</v>
      </c>
      <c r="B460" s="88" t="s">
        <v>1235</v>
      </c>
      <c r="C460" s="88" t="s">
        <v>1236</v>
      </c>
      <c r="D460" s="85">
        <f>'Consumer Hardware Pricing'!L470</f>
        <v>225</v>
      </c>
      <c r="E460" s="85">
        <f>'Consumer Hardware Pricing'!M470</f>
        <v>225</v>
      </c>
      <c r="F460" s="85" t="str">
        <f>'Consumer Hardware Pricing'!N470</f>
        <v>-</v>
      </c>
      <c r="G460" s="85" t="str">
        <f t="shared" ref="G460" si="1716">IF(F460="-","-",ROUNDUP(D460/24,2))</f>
        <v>-</v>
      </c>
      <c r="H460" s="85" t="str">
        <f>'Consumer Hardware Pricing'!O470</f>
        <v>-</v>
      </c>
      <c r="I460" s="85" t="str">
        <f t="shared" ref="I460" si="1717">IF(H460="-",G460,G460-H460)</f>
        <v>-</v>
      </c>
      <c r="J460" s="85" t="str">
        <f t="shared" ref="J460" si="1718">IF(H460="-",H460,H460*24)</f>
        <v>-</v>
      </c>
      <c r="K460" s="85" t="str">
        <f t="shared" ref="K460" si="1719">IF(F460="-",F460,I460*24)</f>
        <v>-</v>
      </c>
      <c r="L460" s="85" t="str">
        <f>'Consumer Hardware Pricing'!Q470</f>
        <v>-</v>
      </c>
      <c r="M460" s="85" t="str">
        <f t="shared" ref="M460" si="1720">IF(L460="-",L460,IF(H460="-",G460-ROUNDUP((D460-L460)/24,2),H460+G460-ROUNDUP((D460-L460)/24,2)))</f>
        <v>-</v>
      </c>
      <c r="N460" s="85" t="str">
        <f t="shared" ref="N460" si="1721">IF(L460="-",L460,G460-M460)</f>
        <v>-</v>
      </c>
      <c r="O460" s="85" t="str">
        <f t="shared" ref="O460" si="1722">IF(L460="-",L460,M460*24)</f>
        <v>-</v>
      </c>
      <c r="P460" s="85" t="str">
        <f t="shared" ref="P460" si="1723">IF(L460="-",L460,N460*24)</f>
        <v>-</v>
      </c>
      <c r="Q460" s="85" t="str">
        <f>'Consumer Hardware Pricing'!S470</f>
        <v>-</v>
      </c>
      <c r="R460" s="85" t="str">
        <f t="shared" ref="R460" si="1724">G460</f>
        <v>-</v>
      </c>
      <c r="S460" s="85" t="str">
        <f>'Consumer Hardware Pricing'!T470</f>
        <v>-</v>
      </c>
      <c r="T460" s="129" t="str">
        <f t="shared" ref="T460" si="1725">IF(S460="-",R460,R460-S460)</f>
        <v>-</v>
      </c>
      <c r="U460" s="129" t="str">
        <f t="shared" ref="U460" si="1726">IF(S460="-",S460,S460*24)</f>
        <v>-</v>
      </c>
      <c r="V460" s="85" t="str">
        <f t="shared" ref="V460" si="1727">IF(Q460="-",Q460,T460*24)</f>
        <v>-</v>
      </c>
      <c r="W460" s="129" t="str">
        <f>'Consumer Hardware Pricing'!V470</f>
        <v>-</v>
      </c>
      <c r="X460" s="129" t="str">
        <f t="shared" ref="X460" si="1728">IF(W460="-",W460,IF(S460="-",R460-ROUNDUP((D460-W460)/24,2),S460+R460-ROUNDUP((D460-W460)/24,2)))</f>
        <v>-</v>
      </c>
      <c r="Y460" s="129" t="str">
        <f t="shared" ref="Y460" si="1729">IF(W460="-",W460,R460-X460)</f>
        <v>-</v>
      </c>
      <c r="Z460" s="129" t="str">
        <f t="shared" ref="Z460" si="1730">IF(W460="-",W460,X460*24)</f>
        <v>-</v>
      </c>
      <c r="AA460" s="85" t="str">
        <f t="shared" ref="AA460" si="1731">IF(W460="-",W460,Y460*24)</f>
        <v>-</v>
      </c>
      <c r="AB460" s="85" t="str">
        <f>'Consumer Hardware Pricing'!X470</f>
        <v>-</v>
      </c>
      <c r="AC460" s="85" t="str">
        <f t="shared" si="1211"/>
        <v>-</v>
      </c>
      <c r="AD460" s="85" t="str">
        <f>'Consumer Hardware Pricing'!Y470</f>
        <v>-</v>
      </c>
      <c r="AE460" s="85" t="str">
        <f t="shared" ref="AE460" si="1732">IF(AD460="-",AC460,AC460-AD460)</f>
        <v>-</v>
      </c>
      <c r="AF460" s="85" t="str">
        <f t="shared" ref="AF460" si="1733">IF(AD460="-",AD460,AD460*24)</f>
        <v>-</v>
      </c>
      <c r="AG460" s="85" t="str">
        <f t="shared" ref="AG460" si="1734">IF(AB460="-",AB460,AE460*24)</f>
        <v>-</v>
      </c>
      <c r="AH460" s="85" t="str">
        <f>'Consumer Hardware Pricing'!AA470</f>
        <v>-</v>
      </c>
      <c r="AI460" s="85" t="str">
        <f t="shared" si="1212"/>
        <v>-</v>
      </c>
      <c r="AJ460" s="85" t="str">
        <f t="shared" ref="AJ460" si="1735">IF(AH460="-",AH460,AC460-AI460)</f>
        <v>-</v>
      </c>
      <c r="AK460" s="85" t="str">
        <f t="shared" ref="AK460" si="1736">IF(AH460="-",AH460,AI460*24)</f>
        <v>-</v>
      </c>
      <c r="AL460" s="85" t="str">
        <f t="shared" ref="AL460" si="1737">IF(AH460="-",AH460,AJ460*24)</f>
        <v>-</v>
      </c>
      <c r="AM460" s="85" t="str">
        <f>'Consumer Hardware Pricing'!AC470</f>
        <v>-</v>
      </c>
      <c r="AN460" s="85" t="str">
        <f t="shared" si="1213"/>
        <v>-</v>
      </c>
      <c r="AO460" s="85" t="str">
        <f>'Consumer Hardware Pricing'!AD470</f>
        <v>-</v>
      </c>
      <c r="AP460" s="85" t="str">
        <f t="shared" ref="AP460" si="1738">IF(AO460="-",AN460,AN460-AO460)</f>
        <v>-</v>
      </c>
      <c r="AQ460" s="85" t="str">
        <f t="shared" ref="AQ460" si="1739">IF(AO460="-",AO460,AO460*24)</f>
        <v>-</v>
      </c>
      <c r="AR460" s="85" t="str">
        <f t="shared" ref="AR460" si="1740">IF(AM460="-",AM460,AP460*24)</f>
        <v>-</v>
      </c>
      <c r="AS460" s="85" t="str">
        <f>'Consumer Hardware Pricing'!AF470</f>
        <v>-</v>
      </c>
      <c r="AT460" s="85" t="str">
        <f t="shared" si="1214"/>
        <v>-</v>
      </c>
      <c r="AU460" s="85" t="str">
        <f t="shared" ref="AU460" si="1741">IF(AS460="-",AS460,AN460-AT460)</f>
        <v>-</v>
      </c>
      <c r="AV460" s="85" t="str">
        <f t="shared" ref="AV460" si="1742">IF(AS460="-",AS460,AT460*24)</f>
        <v>-</v>
      </c>
      <c r="AW460" s="85" t="str">
        <f t="shared" ref="AW460" si="1743">IF(AS460="-",AS460,AU460*24)</f>
        <v>-</v>
      </c>
      <c r="AX460" s="85" t="str">
        <f>'Consumer Hardware Pricing'!AH470</f>
        <v>-</v>
      </c>
      <c r="AY460" s="85" t="str">
        <f t="shared" si="1215"/>
        <v>-</v>
      </c>
      <c r="AZ460" s="85" t="str">
        <f>'Consumer Hardware Pricing'!AI470</f>
        <v>-</v>
      </c>
      <c r="BA460" s="85" t="str">
        <f t="shared" ref="BA460" si="1744">IF(AZ460="-",AY460,AY460-AZ460)</f>
        <v>-</v>
      </c>
      <c r="BB460" s="85" t="str">
        <f t="shared" ref="BB460" si="1745">IF(AZ460="-",AZ460,AZ460*24)</f>
        <v>-</v>
      </c>
      <c r="BC460" s="85" t="str">
        <f t="shared" ref="BC460" si="1746">IF(AX460="-",AX460,AX460+(BA460*24))</f>
        <v>-</v>
      </c>
      <c r="BD460" s="85">
        <f>'Consumer Hardware Pricing'!AL470</f>
        <v>0</v>
      </c>
      <c r="BE460" s="85">
        <f t="shared" si="1216"/>
        <v>9.379999999999999</v>
      </c>
      <c r="BF460" s="85" t="str">
        <f>'Consumer Hardware Pricing'!AM470</f>
        <v>-</v>
      </c>
      <c r="BG460" s="85">
        <f t="shared" ref="BG460" si="1747">IF(BF460="-",BE460,BE460-BF460)</f>
        <v>9.379999999999999</v>
      </c>
      <c r="BH460" s="85" t="str">
        <f t="shared" ref="BH460" si="1748">IF(BF460="-",BF460,BF460*24)</f>
        <v>-</v>
      </c>
      <c r="BI460" s="85">
        <f t="shared" ref="BI460" si="1749">IF(BD460="-",BD460,BD460+(BG460*24))</f>
        <v>225.11999999999998</v>
      </c>
      <c r="BJ460" s="85" t="str">
        <f>'Consumer Hardware Pricing'!AP470</f>
        <v>-</v>
      </c>
      <c r="BK460" s="85" t="str">
        <f t="shared" si="1217"/>
        <v>-</v>
      </c>
      <c r="BL460" s="85" t="str">
        <f>'Consumer Hardware Pricing'!AQ470</f>
        <v>-</v>
      </c>
      <c r="BM460" s="85" t="str">
        <f t="shared" ref="BM460" si="1750">IF(BL460="-",BK460,BK460-BL460)</f>
        <v>-</v>
      </c>
      <c r="BN460" s="85" t="str">
        <f t="shared" ref="BN460" si="1751">IF(BL460="-",BL460,BL460*24)</f>
        <v>-</v>
      </c>
      <c r="BO460" s="85" t="str">
        <f t="shared" ref="BO460" si="1752">IF(BJ460="-",BJ460,BJ460+(BM460*24))</f>
        <v>-</v>
      </c>
      <c r="BP460" s="85" t="str">
        <f>'Consumer Hardware Pricing'!AT470</f>
        <v>-</v>
      </c>
      <c r="BQ460" s="85" t="str">
        <f t="shared" si="1218"/>
        <v>-</v>
      </c>
      <c r="BR460" s="85" t="str">
        <f>'Consumer Hardware Pricing'!AU470</f>
        <v>-</v>
      </c>
      <c r="BS460" s="85" t="str">
        <f t="shared" ref="BS460" si="1753">IF(BR460="-",BQ460,BQ460-BR460)</f>
        <v>-</v>
      </c>
      <c r="BT460" s="85" t="str">
        <f t="shared" ref="BT460" si="1754">IF(BR460="-",BR460,BR460*24)</f>
        <v>-</v>
      </c>
      <c r="BU460" s="85" t="str">
        <f t="shared" ref="BU460" si="1755">IF(BP460="-",BP460,BP460+(BS460*24))</f>
        <v>-</v>
      </c>
    </row>
    <row r="461" spans="1:73" s="131" customFormat="1" ht="30.15" customHeight="1" x14ac:dyDescent="0.25">
      <c r="A461" s="87" t="s">
        <v>34</v>
      </c>
      <c r="B461" s="88" t="s">
        <v>242</v>
      </c>
      <c r="C461" s="88" t="s">
        <v>243</v>
      </c>
      <c r="D461" s="85">
        <f>'Consumer Hardware Pricing'!L471</f>
        <v>260</v>
      </c>
      <c r="E461" s="85">
        <f>'Consumer Hardware Pricing'!M471</f>
        <v>260</v>
      </c>
      <c r="F461" s="85">
        <f>'Consumer Hardware Pricing'!N471</f>
        <v>0</v>
      </c>
      <c r="G461" s="85">
        <f t="shared" si="1563"/>
        <v>10.84</v>
      </c>
      <c r="H461" s="85" t="str">
        <f>'Consumer Hardware Pricing'!O471</f>
        <v>-</v>
      </c>
      <c r="I461" s="85">
        <f t="shared" si="1513"/>
        <v>10.84</v>
      </c>
      <c r="J461" s="85" t="str">
        <f t="shared" si="1525"/>
        <v>-</v>
      </c>
      <c r="K461" s="85">
        <f t="shared" si="1526"/>
        <v>260.15999999999997</v>
      </c>
      <c r="L461" s="85" t="str">
        <f>'Consumer Hardware Pricing'!Q471</f>
        <v>-</v>
      </c>
      <c r="M461" s="85" t="str">
        <f t="shared" si="1564"/>
        <v>-</v>
      </c>
      <c r="N461" s="85" t="str">
        <f t="shared" si="1514"/>
        <v>-</v>
      </c>
      <c r="O461" s="85" t="str">
        <f t="shared" si="1515"/>
        <v>-</v>
      </c>
      <c r="P461" s="85" t="str">
        <f t="shared" si="1527"/>
        <v>-</v>
      </c>
      <c r="Q461" s="85">
        <f>'Consumer Hardware Pricing'!S471</f>
        <v>0</v>
      </c>
      <c r="R461" s="85">
        <f t="shared" si="1516"/>
        <v>10.84</v>
      </c>
      <c r="S461" s="85" t="str">
        <f>'Consumer Hardware Pricing'!T471</f>
        <v>-</v>
      </c>
      <c r="T461" s="129">
        <f t="shared" si="1528"/>
        <v>10.84</v>
      </c>
      <c r="U461" s="129" t="str">
        <f t="shared" si="1529"/>
        <v>-</v>
      </c>
      <c r="V461" s="85">
        <f t="shared" si="1530"/>
        <v>260.15999999999997</v>
      </c>
      <c r="W461" s="129" t="str">
        <f>'Consumer Hardware Pricing'!V471</f>
        <v>-</v>
      </c>
      <c r="X461" s="129" t="str">
        <f t="shared" si="1565"/>
        <v>-</v>
      </c>
      <c r="Y461" s="129" t="str">
        <f t="shared" si="1531"/>
        <v>-</v>
      </c>
      <c r="Z461" s="129" t="str">
        <f t="shared" si="1532"/>
        <v>-</v>
      </c>
      <c r="AA461" s="85" t="str">
        <f t="shared" si="1533"/>
        <v>-</v>
      </c>
      <c r="AB461" s="85">
        <f>'Consumer Hardware Pricing'!X471</f>
        <v>0</v>
      </c>
      <c r="AC461" s="85">
        <f t="shared" ref="AC461:AC524" si="1756">IF(AB461="-","-",ROUNDUP(D461/24,2))</f>
        <v>10.84</v>
      </c>
      <c r="AD461" s="85" t="str">
        <f>'Consumer Hardware Pricing'!Y471</f>
        <v>-</v>
      </c>
      <c r="AE461" s="85">
        <f t="shared" si="1501"/>
        <v>10.84</v>
      </c>
      <c r="AF461" s="85" t="str">
        <f t="shared" si="1502"/>
        <v>-</v>
      </c>
      <c r="AG461" s="85">
        <f t="shared" si="1503"/>
        <v>260.15999999999997</v>
      </c>
      <c r="AH461" s="85" t="str">
        <f>'Consumer Hardware Pricing'!AA471</f>
        <v>-</v>
      </c>
      <c r="AI461" s="85" t="str">
        <f t="shared" ref="AI461:AI524" si="1757">IF(AH461="-",AH461,IF(AD461="-",AC461-ROUNDUP((D461-AH461)/24,2),AD461+AC461-ROUNDUP((D461-AH461)/24,2)))</f>
        <v>-</v>
      </c>
      <c r="AJ461" s="85" t="str">
        <f t="shared" si="1504"/>
        <v>-</v>
      </c>
      <c r="AK461" s="85" t="str">
        <f t="shared" si="1505"/>
        <v>-</v>
      </c>
      <c r="AL461" s="85" t="str">
        <f t="shared" si="1506"/>
        <v>-</v>
      </c>
      <c r="AM461" s="85">
        <f>'Consumer Hardware Pricing'!AC471</f>
        <v>0</v>
      </c>
      <c r="AN461" s="85">
        <f t="shared" ref="AN461:AN524" si="1758">IF(AM461="-","-",ROUNDUP(D461/24,2))</f>
        <v>10.84</v>
      </c>
      <c r="AO461" s="85" t="str">
        <f>'Consumer Hardware Pricing'!AD471</f>
        <v>-</v>
      </c>
      <c r="AP461" s="85">
        <f t="shared" si="1507"/>
        <v>10.84</v>
      </c>
      <c r="AQ461" s="85" t="str">
        <f t="shared" si="1508"/>
        <v>-</v>
      </c>
      <c r="AR461" s="85">
        <f t="shared" si="1509"/>
        <v>260.15999999999997</v>
      </c>
      <c r="AS461" s="85" t="str">
        <f>'Consumer Hardware Pricing'!AF471</f>
        <v>-</v>
      </c>
      <c r="AT461" s="85" t="str">
        <f t="shared" ref="AT461:AT524" si="1759">IF(AS461="-",AS461,IF(AO461="-",AN461-ROUNDUP((D461-AS461)/24,2),AO461+AN461-ROUNDUP((D461-AS461)/24,2)))</f>
        <v>-</v>
      </c>
      <c r="AU461" s="85" t="str">
        <f t="shared" si="1510"/>
        <v>-</v>
      </c>
      <c r="AV461" s="85" t="str">
        <f t="shared" si="1511"/>
        <v>-</v>
      </c>
      <c r="AW461" s="85" t="str">
        <f t="shared" si="1512"/>
        <v>-</v>
      </c>
      <c r="AX461" s="85">
        <f>'Consumer Hardware Pricing'!AH471</f>
        <v>0</v>
      </c>
      <c r="AY461" s="85">
        <f t="shared" ref="AY461:AY524" si="1760">IF(AX461="-",AX461,ROUNDUP((D461-AX461)/24,2))</f>
        <v>10.84</v>
      </c>
      <c r="AZ461" s="85" t="str">
        <f>'Consumer Hardware Pricing'!AI471</f>
        <v>-</v>
      </c>
      <c r="BA461" s="85">
        <f t="shared" si="1517"/>
        <v>10.84</v>
      </c>
      <c r="BB461" s="85" t="str">
        <f t="shared" si="1518"/>
        <v>-</v>
      </c>
      <c r="BC461" s="85">
        <f t="shared" si="1534"/>
        <v>260.15999999999997</v>
      </c>
      <c r="BD461" s="85" t="str">
        <f>'Consumer Hardware Pricing'!AL471</f>
        <v>-</v>
      </c>
      <c r="BE461" s="85" t="str">
        <f t="shared" ref="BE461:BE524" si="1761">IF(BD461="-",BD461,ROUNDUP((D461-BD461)/24,2))</f>
        <v>-</v>
      </c>
      <c r="BF461" s="85" t="str">
        <f>'Consumer Hardware Pricing'!AM471</f>
        <v>-</v>
      </c>
      <c r="BG461" s="85" t="str">
        <f t="shared" si="1519"/>
        <v>-</v>
      </c>
      <c r="BH461" s="85" t="str">
        <f t="shared" si="1520"/>
        <v>-</v>
      </c>
      <c r="BI461" s="85" t="str">
        <f t="shared" si="1535"/>
        <v>-</v>
      </c>
      <c r="BJ461" s="85" t="str">
        <f>'Consumer Hardware Pricing'!AP471</f>
        <v>-</v>
      </c>
      <c r="BK461" s="85" t="str">
        <f t="shared" ref="BK461:BK524" si="1762">IF(BJ461="-",BJ461,ROUNDUP((D461-BJ461)/24,2))</f>
        <v>-</v>
      </c>
      <c r="BL461" s="85" t="str">
        <f>'Consumer Hardware Pricing'!AQ471</f>
        <v>-</v>
      </c>
      <c r="BM461" s="85" t="str">
        <f t="shared" si="1521"/>
        <v>-</v>
      </c>
      <c r="BN461" s="85" t="str">
        <f t="shared" si="1522"/>
        <v>-</v>
      </c>
      <c r="BO461" s="85" t="str">
        <f t="shared" si="1536"/>
        <v>-</v>
      </c>
      <c r="BP461" s="85" t="str">
        <f>'Consumer Hardware Pricing'!AT471</f>
        <v>-</v>
      </c>
      <c r="BQ461" s="85" t="str">
        <f t="shared" ref="BQ461:BQ524" si="1763">IF(BP461="-",BP461,ROUNDUP((D461-BP461)/24,2))</f>
        <v>-</v>
      </c>
      <c r="BR461" s="85" t="str">
        <f>'Consumer Hardware Pricing'!AU471</f>
        <v>-</v>
      </c>
      <c r="BS461" s="85" t="str">
        <f t="shared" si="1523"/>
        <v>-</v>
      </c>
      <c r="BT461" s="85" t="str">
        <f t="shared" si="1524"/>
        <v>-</v>
      </c>
      <c r="BU461" s="85" t="str">
        <f t="shared" si="1537"/>
        <v>-</v>
      </c>
    </row>
    <row r="462" spans="1:73" ht="30.45" customHeight="1" x14ac:dyDescent="0.25">
      <c r="A462" s="87" t="s">
        <v>34</v>
      </c>
      <c r="B462" s="88" t="s">
        <v>725</v>
      </c>
      <c r="C462" s="88" t="s">
        <v>724</v>
      </c>
      <c r="D462" s="85">
        <f>'Consumer Hardware Pricing'!L472</f>
        <v>210</v>
      </c>
      <c r="E462" s="85">
        <f>'Consumer Hardware Pricing'!M472</f>
        <v>210</v>
      </c>
      <c r="F462" s="85">
        <f>'Consumer Hardware Pricing'!N472</f>
        <v>0</v>
      </c>
      <c r="G462" s="85">
        <f t="shared" si="1563"/>
        <v>8.75</v>
      </c>
      <c r="H462" s="85" t="str">
        <f>'Consumer Hardware Pricing'!O472</f>
        <v>-</v>
      </c>
      <c r="I462" s="85">
        <f t="shared" si="1513"/>
        <v>8.75</v>
      </c>
      <c r="J462" s="85" t="str">
        <f t="shared" si="1525"/>
        <v>-</v>
      </c>
      <c r="K462" s="85">
        <f t="shared" si="1526"/>
        <v>210</v>
      </c>
      <c r="L462" s="85" t="str">
        <f>'Consumer Hardware Pricing'!Q472</f>
        <v>-</v>
      </c>
      <c r="M462" s="85" t="str">
        <f t="shared" si="1564"/>
        <v>-</v>
      </c>
      <c r="N462" s="85" t="str">
        <f t="shared" si="1514"/>
        <v>-</v>
      </c>
      <c r="O462" s="85" t="str">
        <f t="shared" si="1515"/>
        <v>-</v>
      </c>
      <c r="P462" s="85" t="str">
        <f t="shared" si="1527"/>
        <v>-</v>
      </c>
      <c r="Q462" s="85">
        <f>'Consumer Hardware Pricing'!S472</f>
        <v>0</v>
      </c>
      <c r="R462" s="85">
        <f t="shared" si="1516"/>
        <v>8.75</v>
      </c>
      <c r="S462" s="85" t="str">
        <f>'Consumer Hardware Pricing'!T472</f>
        <v>-</v>
      </c>
      <c r="T462" s="129">
        <f t="shared" si="1528"/>
        <v>8.75</v>
      </c>
      <c r="U462" s="129" t="str">
        <f t="shared" si="1529"/>
        <v>-</v>
      </c>
      <c r="V462" s="85">
        <f t="shared" si="1530"/>
        <v>210</v>
      </c>
      <c r="W462" s="129" t="str">
        <f>'Consumer Hardware Pricing'!V472</f>
        <v>-</v>
      </c>
      <c r="X462" s="129" t="str">
        <f t="shared" si="1565"/>
        <v>-</v>
      </c>
      <c r="Y462" s="129" t="str">
        <f t="shared" si="1531"/>
        <v>-</v>
      </c>
      <c r="Z462" s="129" t="str">
        <f t="shared" si="1532"/>
        <v>-</v>
      </c>
      <c r="AA462" s="85" t="str">
        <f t="shared" si="1533"/>
        <v>-</v>
      </c>
      <c r="AB462" s="85">
        <f>'Consumer Hardware Pricing'!X472</f>
        <v>0</v>
      </c>
      <c r="AC462" s="85">
        <f t="shared" si="1756"/>
        <v>8.75</v>
      </c>
      <c r="AD462" s="85" t="str">
        <f>'Consumer Hardware Pricing'!Y472</f>
        <v>-</v>
      </c>
      <c r="AE462" s="85">
        <f t="shared" si="1501"/>
        <v>8.75</v>
      </c>
      <c r="AF462" s="85" t="str">
        <f t="shared" si="1502"/>
        <v>-</v>
      </c>
      <c r="AG462" s="85">
        <f t="shared" si="1503"/>
        <v>210</v>
      </c>
      <c r="AH462" s="85" t="str">
        <f>'Consumer Hardware Pricing'!AA472</f>
        <v>-</v>
      </c>
      <c r="AI462" s="85" t="str">
        <f t="shared" si="1757"/>
        <v>-</v>
      </c>
      <c r="AJ462" s="85" t="str">
        <f t="shared" si="1504"/>
        <v>-</v>
      </c>
      <c r="AK462" s="85" t="str">
        <f t="shared" si="1505"/>
        <v>-</v>
      </c>
      <c r="AL462" s="85" t="str">
        <f t="shared" si="1506"/>
        <v>-</v>
      </c>
      <c r="AM462" s="85">
        <f>'Consumer Hardware Pricing'!AC472</f>
        <v>0</v>
      </c>
      <c r="AN462" s="85">
        <f t="shared" si="1758"/>
        <v>8.75</v>
      </c>
      <c r="AO462" s="85" t="str">
        <f>'Consumer Hardware Pricing'!AD472</f>
        <v>-</v>
      </c>
      <c r="AP462" s="85">
        <f t="shared" si="1507"/>
        <v>8.75</v>
      </c>
      <c r="AQ462" s="85" t="str">
        <f t="shared" si="1508"/>
        <v>-</v>
      </c>
      <c r="AR462" s="85">
        <f t="shared" si="1509"/>
        <v>210</v>
      </c>
      <c r="AS462" s="85" t="str">
        <f>'Consumer Hardware Pricing'!AF472</f>
        <v>-</v>
      </c>
      <c r="AT462" s="85" t="str">
        <f t="shared" si="1759"/>
        <v>-</v>
      </c>
      <c r="AU462" s="85" t="str">
        <f t="shared" si="1510"/>
        <v>-</v>
      </c>
      <c r="AV462" s="85" t="str">
        <f t="shared" si="1511"/>
        <v>-</v>
      </c>
      <c r="AW462" s="85" t="str">
        <f t="shared" si="1512"/>
        <v>-</v>
      </c>
      <c r="AX462" s="85">
        <f>'Consumer Hardware Pricing'!AH472</f>
        <v>0</v>
      </c>
      <c r="AY462" s="85">
        <f t="shared" si="1760"/>
        <v>8.75</v>
      </c>
      <c r="AZ462" s="85" t="str">
        <f>'Consumer Hardware Pricing'!AI472</f>
        <v>-</v>
      </c>
      <c r="BA462" s="85">
        <f t="shared" si="1517"/>
        <v>8.75</v>
      </c>
      <c r="BB462" s="85" t="str">
        <f t="shared" si="1518"/>
        <v>-</v>
      </c>
      <c r="BC462" s="85">
        <f t="shared" si="1534"/>
        <v>210</v>
      </c>
      <c r="BD462" s="85" t="str">
        <f>'Consumer Hardware Pricing'!AL472</f>
        <v>-</v>
      </c>
      <c r="BE462" s="85" t="str">
        <f t="shared" si="1761"/>
        <v>-</v>
      </c>
      <c r="BF462" s="85" t="str">
        <f>'Consumer Hardware Pricing'!AM472</f>
        <v>-</v>
      </c>
      <c r="BG462" s="85" t="str">
        <f t="shared" si="1519"/>
        <v>-</v>
      </c>
      <c r="BH462" s="85" t="str">
        <f t="shared" si="1520"/>
        <v>-</v>
      </c>
      <c r="BI462" s="85" t="str">
        <f t="shared" si="1535"/>
        <v>-</v>
      </c>
      <c r="BJ462" s="85" t="str">
        <f>'Consumer Hardware Pricing'!AP472</f>
        <v>-</v>
      </c>
      <c r="BK462" s="85" t="str">
        <f t="shared" si="1762"/>
        <v>-</v>
      </c>
      <c r="BL462" s="85" t="str">
        <f>'Consumer Hardware Pricing'!AQ472</f>
        <v>-</v>
      </c>
      <c r="BM462" s="85" t="str">
        <f t="shared" si="1521"/>
        <v>-</v>
      </c>
      <c r="BN462" s="85" t="str">
        <f t="shared" si="1522"/>
        <v>-</v>
      </c>
      <c r="BO462" s="85" t="str">
        <f t="shared" si="1536"/>
        <v>-</v>
      </c>
      <c r="BP462" s="85" t="str">
        <f>'Consumer Hardware Pricing'!AT472</f>
        <v>-</v>
      </c>
      <c r="BQ462" s="85" t="str">
        <f t="shared" si="1763"/>
        <v>-</v>
      </c>
      <c r="BR462" s="85" t="str">
        <f>'Consumer Hardware Pricing'!AU472</f>
        <v>-</v>
      </c>
      <c r="BS462" s="85" t="str">
        <f t="shared" si="1523"/>
        <v>-</v>
      </c>
      <c r="BT462" s="85" t="str">
        <f t="shared" si="1524"/>
        <v>-</v>
      </c>
      <c r="BU462" s="85" t="str">
        <f t="shared" si="1537"/>
        <v>-</v>
      </c>
    </row>
    <row r="463" spans="1:73" ht="30.45" customHeight="1" x14ac:dyDescent="0.25">
      <c r="A463" s="87" t="s">
        <v>34</v>
      </c>
      <c r="B463" s="88" t="s">
        <v>913</v>
      </c>
      <c r="C463" s="88" t="s">
        <v>914</v>
      </c>
      <c r="D463" s="85">
        <f>'Consumer Hardware Pricing'!L473</f>
        <v>250</v>
      </c>
      <c r="E463" s="85">
        <f>'Consumer Hardware Pricing'!M473</f>
        <v>250</v>
      </c>
      <c r="F463" s="85">
        <f>'Consumer Hardware Pricing'!N473</f>
        <v>0</v>
      </c>
      <c r="G463" s="85">
        <f t="shared" si="1563"/>
        <v>10.42</v>
      </c>
      <c r="H463" s="85">
        <f>'Consumer Hardware Pricing'!O473</f>
        <v>1.42</v>
      </c>
      <c r="I463" s="85">
        <f t="shared" ref="I463" si="1764">IF(H463="-",G463,G463-H463)</f>
        <v>9</v>
      </c>
      <c r="J463" s="85">
        <f t="shared" ref="J463" si="1765">IF(H463="-",H463,H463*24)</f>
        <v>34.08</v>
      </c>
      <c r="K463" s="85">
        <f t="shared" ref="K463" si="1766">IF(F463="-",F463,I463*24)</f>
        <v>216</v>
      </c>
      <c r="L463" s="85" t="str">
        <f>'Consumer Hardware Pricing'!Q473</f>
        <v>-</v>
      </c>
      <c r="M463" s="85" t="str">
        <f t="shared" si="1564"/>
        <v>-</v>
      </c>
      <c r="N463" s="85" t="str">
        <f t="shared" ref="N463" si="1767">IF(L463="-",L463,G463-M463)</f>
        <v>-</v>
      </c>
      <c r="O463" s="85" t="str">
        <f t="shared" ref="O463" si="1768">IF(L463="-",L463,M463*24)</f>
        <v>-</v>
      </c>
      <c r="P463" s="85" t="str">
        <f t="shared" ref="P463" si="1769">IF(L463="-",L463,N463*24)</f>
        <v>-</v>
      </c>
      <c r="Q463" s="85">
        <f>'Consumer Hardware Pricing'!S473</f>
        <v>0</v>
      </c>
      <c r="R463" s="85">
        <f t="shared" ref="R463" si="1770">G463</f>
        <v>10.42</v>
      </c>
      <c r="S463" s="85">
        <f>'Consumer Hardware Pricing'!T473</f>
        <v>1.42</v>
      </c>
      <c r="T463" s="129">
        <f t="shared" ref="T463" si="1771">IF(S463="-",R463,R463-S463)</f>
        <v>9</v>
      </c>
      <c r="U463" s="129">
        <f t="shared" ref="U463" si="1772">IF(S463="-",S463,S463*24)</f>
        <v>34.08</v>
      </c>
      <c r="V463" s="85">
        <f t="shared" ref="V463" si="1773">IF(Q463="-",Q463,T463*24)</f>
        <v>216</v>
      </c>
      <c r="W463" s="129" t="str">
        <f>'Consumer Hardware Pricing'!V473</f>
        <v>-</v>
      </c>
      <c r="X463" s="129" t="str">
        <f t="shared" si="1565"/>
        <v>-</v>
      </c>
      <c r="Y463" s="129" t="str">
        <f t="shared" ref="Y463" si="1774">IF(W463="-",W463,R463-X463)</f>
        <v>-</v>
      </c>
      <c r="Z463" s="129" t="str">
        <f t="shared" ref="Z463" si="1775">IF(W463="-",W463,X463*24)</f>
        <v>-</v>
      </c>
      <c r="AA463" s="85" t="str">
        <f t="shared" ref="AA463" si="1776">IF(W463="-",W463,Y463*24)</f>
        <v>-</v>
      </c>
      <c r="AB463" s="85">
        <f>'Consumer Hardware Pricing'!X473</f>
        <v>0</v>
      </c>
      <c r="AC463" s="85">
        <f t="shared" si="1756"/>
        <v>10.42</v>
      </c>
      <c r="AD463" s="85">
        <f>'Consumer Hardware Pricing'!Y473</f>
        <v>1.42</v>
      </c>
      <c r="AE463" s="85">
        <f t="shared" si="1501"/>
        <v>9</v>
      </c>
      <c r="AF463" s="85">
        <f t="shared" si="1502"/>
        <v>34.08</v>
      </c>
      <c r="AG463" s="85">
        <f t="shared" si="1503"/>
        <v>216</v>
      </c>
      <c r="AH463" s="85" t="str">
        <f>'Consumer Hardware Pricing'!AA473</f>
        <v>-</v>
      </c>
      <c r="AI463" s="85" t="str">
        <f t="shared" si="1757"/>
        <v>-</v>
      </c>
      <c r="AJ463" s="85" t="str">
        <f t="shared" si="1504"/>
        <v>-</v>
      </c>
      <c r="AK463" s="85" t="str">
        <f t="shared" si="1505"/>
        <v>-</v>
      </c>
      <c r="AL463" s="85" t="str">
        <f t="shared" si="1506"/>
        <v>-</v>
      </c>
      <c r="AM463" s="85">
        <f>'Consumer Hardware Pricing'!AC473</f>
        <v>0</v>
      </c>
      <c r="AN463" s="85">
        <f t="shared" si="1758"/>
        <v>10.42</v>
      </c>
      <c r="AO463" s="85">
        <f>'Consumer Hardware Pricing'!AD473</f>
        <v>1.42</v>
      </c>
      <c r="AP463" s="85">
        <f t="shared" si="1507"/>
        <v>9</v>
      </c>
      <c r="AQ463" s="85">
        <f t="shared" si="1508"/>
        <v>34.08</v>
      </c>
      <c r="AR463" s="85">
        <f t="shared" si="1509"/>
        <v>216</v>
      </c>
      <c r="AS463" s="85" t="str">
        <f>'Consumer Hardware Pricing'!AF473</f>
        <v>-</v>
      </c>
      <c r="AT463" s="85" t="str">
        <f t="shared" si="1759"/>
        <v>-</v>
      </c>
      <c r="AU463" s="85" t="str">
        <f t="shared" si="1510"/>
        <v>-</v>
      </c>
      <c r="AV463" s="85" t="str">
        <f t="shared" si="1511"/>
        <v>-</v>
      </c>
      <c r="AW463" s="85" t="str">
        <f t="shared" si="1512"/>
        <v>-</v>
      </c>
      <c r="AX463" s="85">
        <f>'Consumer Hardware Pricing'!AH473</f>
        <v>0</v>
      </c>
      <c r="AY463" s="85">
        <f t="shared" si="1760"/>
        <v>10.42</v>
      </c>
      <c r="AZ463" s="85" t="str">
        <f>'Consumer Hardware Pricing'!AI473</f>
        <v>-</v>
      </c>
      <c r="BA463" s="85">
        <f t="shared" ref="BA463" si="1777">IF(AZ463="-",AY463,AY463-AZ463)</f>
        <v>10.42</v>
      </c>
      <c r="BB463" s="85" t="str">
        <f t="shared" ref="BB463" si="1778">IF(AZ463="-",AZ463,AZ463*24)</f>
        <v>-</v>
      </c>
      <c r="BC463" s="85">
        <f t="shared" ref="BC463" si="1779">IF(AX463="-",AX463,AX463+(BA463*24))</f>
        <v>250.07999999999998</v>
      </c>
      <c r="BD463" s="85" t="str">
        <f>'Consumer Hardware Pricing'!AL473</f>
        <v>-</v>
      </c>
      <c r="BE463" s="85" t="str">
        <f t="shared" si="1761"/>
        <v>-</v>
      </c>
      <c r="BF463" s="85" t="str">
        <f>'Consumer Hardware Pricing'!AM473</f>
        <v>-</v>
      </c>
      <c r="BG463" s="85" t="str">
        <f t="shared" ref="BG463" si="1780">IF(BF463="-",BE463,BE463-BF463)</f>
        <v>-</v>
      </c>
      <c r="BH463" s="85" t="str">
        <f t="shared" ref="BH463" si="1781">IF(BF463="-",BF463,BF463*24)</f>
        <v>-</v>
      </c>
      <c r="BI463" s="85" t="str">
        <f t="shared" ref="BI463" si="1782">IF(BD463="-",BD463,BD463+(BG463*24))</f>
        <v>-</v>
      </c>
      <c r="BJ463" s="85" t="str">
        <f>'Consumer Hardware Pricing'!AP473</f>
        <v>-</v>
      </c>
      <c r="BK463" s="85" t="str">
        <f t="shared" si="1762"/>
        <v>-</v>
      </c>
      <c r="BL463" s="85" t="str">
        <f>'Consumer Hardware Pricing'!AQ473</f>
        <v>-</v>
      </c>
      <c r="BM463" s="85" t="str">
        <f t="shared" ref="BM463" si="1783">IF(BL463="-",BK463,BK463-BL463)</f>
        <v>-</v>
      </c>
      <c r="BN463" s="85" t="str">
        <f t="shared" ref="BN463" si="1784">IF(BL463="-",BL463,BL463*24)</f>
        <v>-</v>
      </c>
      <c r="BO463" s="85" t="str">
        <f t="shared" ref="BO463" si="1785">IF(BJ463="-",BJ463,BJ463+(BM463*24))</f>
        <v>-</v>
      </c>
      <c r="BP463" s="85" t="str">
        <f>'Consumer Hardware Pricing'!AT473</f>
        <v>-</v>
      </c>
      <c r="BQ463" s="85" t="str">
        <f t="shared" si="1763"/>
        <v>-</v>
      </c>
      <c r="BR463" s="85" t="str">
        <f>'Consumer Hardware Pricing'!AU473</f>
        <v>-</v>
      </c>
      <c r="BS463" s="85" t="str">
        <f t="shared" ref="BS463" si="1786">IF(BR463="-",BQ463,BQ463-BR463)</f>
        <v>-</v>
      </c>
      <c r="BT463" s="85" t="str">
        <f t="shared" ref="BT463" si="1787">IF(BR463="-",BR463,BR463*24)</f>
        <v>-</v>
      </c>
      <c r="BU463" s="85" t="str">
        <f t="shared" ref="BU463" si="1788">IF(BP463="-",BP463,BP463+(BS463*24))</f>
        <v>-</v>
      </c>
    </row>
    <row r="464" spans="1:73" ht="30.45" customHeight="1" x14ac:dyDescent="0.25">
      <c r="A464" s="87" t="s">
        <v>34</v>
      </c>
      <c r="B464" s="88" t="s">
        <v>597</v>
      </c>
      <c r="C464" s="88" t="s">
        <v>600</v>
      </c>
      <c r="D464" s="85">
        <f>'Consumer Hardware Pricing'!L474</f>
        <v>400</v>
      </c>
      <c r="E464" s="85">
        <f>'Consumer Hardware Pricing'!M474</f>
        <v>400</v>
      </c>
      <c r="F464" s="85">
        <f>'Consumer Hardware Pricing'!N474</f>
        <v>0</v>
      </c>
      <c r="G464" s="85">
        <f t="shared" si="1563"/>
        <v>16.670000000000002</v>
      </c>
      <c r="H464" s="85">
        <f>'Consumer Hardware Pricing'!O474</f>
        <v>3.34</v>
      </c>
      <c r="I464" s="85">
        <f t="shared" si="1513"/>
        <v>13.330000000000002</v>
      </c>
      <c r="J464" s="85">
        <f t="shared" si="1525"/>
        <v>80.16</v>
      </c>
      <c r="K464" s="85">
        <f t="shared" si="1526"/>
        <v>319.92000000000007</v>
      </c>
      <c r="L464" s="85" t="str">
        <f>'Consumer Hardware Pricing'!Q474</f>
        <v>-</v>
      </c>
      <c r="M464" s="85" t="str">
        <f t="shared" si="1564"/>
        <v>-</v>
      </c>
      <c r="N464" s="85" t="str">
        <f t="shared" si="1514"/>
        <v>-</v>
      </c>
      <c r="O464" s="85" t="str">
        <f t="shared" si="1515"/>
        <v>-</v>
      </c>
      <c r="P464" s="85" t="str">
        <f t="shared" si="1527"/>
        <v>-</v>
      </c>
      <c r="Q464" s="85">
        <f>'Consumer Hardware Pricing'!S474</f>
        <v>0</v>
      </c>
      <c r="R464" s="85">
        <f t="shared" si="1516"/>
        <v>16.670000000000002</v>
      </c>
      <c r="S464" s="85">
        <f>'Consumer Hardware Pricing'!T474</f>
        <v>3.34</v>
      </c>
      <c r="T464" s="129">
        <f t="shared" si="1528"/>
        <v>13.330000000000002</v>
      </c>
      <c r="U464" s="129">
        <f t="shared" si="1529"/>
        <v>80.16</v>
      </c>
      <c r="V464" s="85">
        <f t="shared" si="1530"/>
        <v>319.92000000000007</v>
      </c>
      <c r="W464" s="129" t="str">
        <f>'Consumer Hardware Pricing'!V474</f>
        <v>-</v>
      </c>
      <c r="X464" s="129" t="str">
        <f t="shared" si="1565"/>
        <v>-</v>
      </c>
      <c r="Y464" s="129" t="str">
        <f t="shared" si="1531"/>
        <v>-</v>
      </c>
      <c r="Z464" s="129" t="str">
        <f t="shared" si="1532"/>
        <v>-</v>
      </c>
      <c r="AA464" s="85" t="str">
        <f t="shared" si="1533"/>
        <v>-</v>
      </c>
      <c r="AB464" s="85">
        <f>'Consumer Hardware Pricing'!X474</f>
        <v>0</v>
      </c>
      <c r="AC464" s="85">
        <f t="shared" si="1756"/>
        <v>16.670000000000002</v>
      </c>
      <c r="AD464" s="85">
        <f>'Consumer Hardware Pricing'!Y474</f>
        <v>3.34</v>
      </c>
      <c r="AE464" s="85">
        <f t="shared" si="1501"/>
        <v>13.330000000000002</v>
      </c>
      <c r="AF464" s="85">
        <f t="shared" si="1502"/>
        <v>80.16</v>
      </c>
      <c r="AG464" s="85">
        <f t="shared" si="1503"/>
        <v>319.92000000000007</v>
      </c>
      <c r="AH464" s="85" t="str">
        <f>'Consumer Hardware Pricing'!AA474</f>
        <v>-</v>
      </c>
      <c r="AI464" s="85" t="str">
        <f t="shared" si="1757"/>
        <v>-</v>
      </c>
      <c r="AJ464" s="85" t="str">
        <f t="shared" si="1504"/>
        <v>-</v>
      </c>
      <c r="AK464" s="85" t="str">
        <f t="shared" si="1505"/>
        <v>-</v>
      </c>
      <c r="AL464" s="85" t="str">
        <f t="shared" si="1506"/>
        <v>-</v>
      </c>
      <c r="AM464" s="85">
        <f>'Consumer Hardware Pricing'!AC474</f>
        <v>0</v>
      </c>
      <c r="AN464" s="85">
        <f t="shared" si="1758"/>
        <v>16.670000000000002</v>
      </c>
      <c r="AO464" s="85">
        <f>'Consumer Hardware Pricing'!AD474</f>
        <v>3.34</v>
      </c>
      <c r="AP464" s="85">
        <f t="shared" si="1507"/>
        <v>13.330000000000002</v>
      </c>
      <c r="AQ464" s="85">
        <f t="shared" si="1508"/>
        <v>80.16</v>
      </c>
      <c r="AR464" s="85">
        <f t="shared" si="1509"/>
        <v>319.92000000000007</v>
      </c>
      <c r="AS464" s="85" t="str">
        <f>'Consumer Hardware Pricing'!AF474</f>
        <v>-</v>
      </c>
      <c r="AT464" s="85" t="str">
        <f t="shared" si="1759"/>
        <v>-</v>
      </c>
      <c r="AU464" s="85" t="str">
        <f t="shared" si="1510"/>
        <v>-</v>
      </c>
      <c r="AV464" s="85" t="str">
        <f t="shared" si="1511"/>
        <v>-</v>
      </c>
      <c r="AW464" s="85" t="str">
        <f t="shared" si="1512"/>
        <v>-</v>
      </c>
      <c r="AX464" s="85">
        <f>'Consumer Hardware Pricing'!AH474</f>
        <v>0</v>
      </c>
      <c r="AY464" s="85">
        <f t="shared" si="1760"/>
        <v>16.670000000000002</v>
      </c>
      <c r="AZ464" s="85" t="str">
        <f>'Consumer Hardware Pricing'!AI474</f>
        <v>-</v>
      </c>
      <c r="BA464" s="85">
        <f t="shared" si="1517"/>
        <v>16.670000000000002</v>
      </c>
      <c r="BB464" s="85" t="str">
        <f t="shared" si="1518"/>
        <v>-</v>
      </c>
      <c r="BC464" s="85">
        <f t="shared" si="1534"/>
        <v>400.08000000000004</v>
      </c>
      <c r="BD464" s="85" t="str">
        <f>'Consumer Hardware Pricing'!AL474</f>
        <v>-</v>
      </c>
      <c r="BE464" s="85" t="str">
        <f t="shared" si="1761"/>
        <v>-</v>
      </c>
      <c r="BF464" s="85" t="str">
        <f>'Consumer Hardware Pricing'!AM474</f>
        <v>-</v>
      </c>
      <c r="BG464" s="85" t="str">
        <f t="shared" si="1519"/>
        <v>-</v>
      </c>
      <c r="BH464" s="85" t="str">
        <f t="shared" si="1520"/>
        <v>-</v>
      </c>
      <c r="BI464" s="85" t="str">
        <f t="shared" si="1535"/>
        <v>-</v>
      </c>
      <c r="BJ464" s="85" t="str">
        <f>'Consumer Hardware Pricing'!AP474</f>
        <v>-</v>
      </c>
      <c r="BK464" s="85" t="str">
        <f t="shared" si="1762"/>
        <v>-</v>
      </c>
      <c r="BL464" s="85" t="str">
        <f>'Consumer Hardware Pricing'!AQ474</f>
        <v>-</v>
      </c>
      <c r="BM464" s="85" t="str">
        <f t="shared" si="1521"/>
        <v>-</v>
      </c>
      <c r="BN464" s="85" t="str">
        <f t="shared" si="1522"/>
        <v>-</v>
      </c>
      <c r="BO464" s="85" t="str">
        <f t="shared" si="1536"/>
        <v>-</v>
      </c>
      <c r="BP464" s="85" t="str">
        <f>'Consumer Hardware Pricing'!AT474</f>
        <v>-</v>
      </c>
      <c r="BQ464" s="85" t="str">
        <f t="shared" si="1763"/>
        <v>-</v>
      </c>
      <c r="BR464" s="85" t="str">
        <f>'Consumer Hardware Pricing'!AU474</f>
        <v>-</v>
      </c>
      <c r="BS464" s="85" t="str">
        <f t="shared" si="1523"/>
        <v>-</v>
      </c>
      <c r="BT464" s="85" t="str">
        <f t="shared" si="1524"/>
        <v>-</v>
      </c>
      <c r="BU464" s="85" t="str">
        <f t="shared" si="1537"/>
        <v>-</v>
      </c>
    </row>
    <row r="465" spans="1:73" ht="30.45" customHeight="1" x14ac:dyDescent="0.25">
      <c r="A465" s="87" t="s">
        <v>34</v>
      </c>
      <c r="B465" s="88" t="s">
        <v>598</v>
      </c>
      <c r="C465" s="88" t="s">
        <v>601</v>
      </c>
      <c r="D465" s="85">
        <f>'Consumer Hardware Pricing'!L475</f>
        <v>500</v>
      </c>
      <c r="E465" s="85">
        <f>'Consumer Hardware Pricing'!M475</f>
        <v>500</v>
      </c>
      <c r="F465" s="85">
        <f>'Consumer Hardware Pricing'!N475</f>
        <v>0</v>
      </c>
      <c r="G465" s="85">
        <f t="shared" si="1563"/>
        <v>20.84</v>
      </c>
      <c r="H465" s="85">
        <f>'Consumer Hardware Pricing'!O475</f>
        <v>10.84</v>
      </c>
      <c r="I465" s="85">
        <f t="shared" si="1513"/>
        <v>10</v>
      </c>
      <c r="J465" s="85">
        <f t="shared" si="1525"/>
        <v>260.15999999999997</v>
      </c>
      <c r="K465" s="85">
        <f t="shared" si="1526"/>
        <v>240</v>
      </c>
      <c r="L465" s="85" t="str">
        <f>'Consumer Hardware Pricing'!Q475</f>
        <v>-</v>
      </c>
      <c r="M465" s="85" t="str">
        <f t="shared" si="1564"/>
        <v>-</v>
      </c>
      <c r="N465" s="85" t="str">
        <f t="shared" si="1514"/>
        <v>-</v>
      </c>
      <c r="O465" s="85" t="str">
        <f t="shared" si="1515"/>
        <v>-</v>
      </c>
      <c r="P465" s="85" t="str">
        <f t="shared" si="1527"/>
        <v>-</v>
      </c>
      <c r="Q465" s="85">
        <f>'Consumer Hardware Pricing'!S475</f>
        <v>0</v>
      </c>
      <c r="R465" s="85">
        <f t="shared" si="1516"/>
        <v>20.84</v>
      </c>
      <c r="S465" s="85">
        <f>'Consumer Hardware Pricing'!T475</f>
        <v>10.84</v>
      </c>
      <c r="T465" s="129">
        <f t="shared" si="1528"/>
        <v>10</v>
      </c>
      <c r="U465" s="129">
        <f t="shared" si="1529"/>
        <v>260.15999999999997</v>
      </c>
      <c r="V465" s="85">
        <f t="shared" si="1530"/>
        <v>240</v>
      </c>
      <c r="W465" s="129" t="str">
        <f>'Consumer Hardware Pricing'!V475</f>
        <v>-</v>
      </c>
      <c r="X465" s="129" t="str">
        <f t="shared" si="1565"/>
        <v>-</v>
      </c>
      <c r="Y465" s="129" t="str">
        <f t="shared" si="1531"/>
        <v>-</v>
      </c>
      <c r="Z465" s="129" t="str">
        <f t="shared" si="1532"/>
        <v>-</v>
      </c>
      <c r="AA465" s="85" t="str">
        <f t="shared" si="1533"/>
        <v>-</v>
      </c>
      <c r="AB465" s="85">
        <f>'Consumer Hardware Pricing'!X475</f>
        <v>0</v>
      </c>
      <c r="AC465" s="85">
        <f t="shared" si="1756"/>
        <v>20.84</v>
      </c>
      <c r="AD465" s="85">
        <f>'Consumer Hardware Pricing'!Y475</f>
        <v>10.84</v>
      </c>
      <c r="AE465" s="85">
        <f t="shared" si="1501"/>
        <v>10</v>
      </c>
      <c r="AF465" s="85">
        <f t="shared" si="1502"/>
        <v>260.15999999999997</v>
      </c>
      <c r="AG465" s="85">
        <f t="shared" si="1503"/>
        <v>240</v>
      </c>
      <c r="AH465" s="85" t="str">
        <f>'Consumer Hardware Pricing'!AA475</f>
        <v>-</v>
      </c>
      <c r="AI465" s="85" t="str">
        <f t="shared" si="1757"/>
        <v>-</v>
      </c>
      <c r="AJ465" s="85" t="str">
        <f t="shared" si="1504"/>
        <v>-</v>
      </c>
      <c r="AK465" s="85" t="str">
        <f t="shared" si="1505"/>
        <v>-</v>
      </c>
      <c r="AL465" s="85" t="str">
        <f t="shared" si="1506"/>
        <v>-</v>
      </c>
      <c r="AM465" s="85">
        <f>'Consumer Hardware Pricing'!AC475</f>
        <v>0</v>
      </c>
      <c r="AN465" s="85">
        <f t="shared" si="1758"/>
        <v>20.84</v>
      </c>
      <c r="AO465" s="85">
        <f>'Consumer Hardware Pricing'!AD475</f>
        <v>10.84</v>
      </c>
      <c r="AP465" s="85">
        <f t="shared" si="1507"/>
        <v>10</v>
      </c>
      <c r="AQ465" s="85">
        <f t="shared" si="1508"/>
        <v>260.15999999999997</v>
      </c>
      <c r="AR465" s="85">
        <f t="shared" si="1509"/>
        <v>240</v>
      </c>
      <c r="AS465" s="85" t="str">
        <f>'Consumer Hardware Pricing'!AF475</f>
        <v>-</v>
      </c>
      <c r="AT465" s="85" t="str">
        <f t="shared" si="1759"/>
        <v>-</v>
      </c>
      <c r="AU465" s="85" t="str">
        <f t="shared" si="1510"/>
        <v>-</v>
      </c>
      <c r="AV465" s="85" t="str">
        <f t="shared" si="1511"/>
        <v>-</v>
      </c>
      <c r="AW465" s="85" t="str">
        <f t="shared" si="1512"/>
        <v>-</v>
      </c>
      <c r="AX465" s="85">
        <f>'Consumer Hardware Pricing'!AH475</f>
        <v>0</v>
      </c>
      <c r="AY465" s="85">
        <f t="shared" si="1760"/>
        <v>20.84</v>
      </c>
      <c r="AZ465" s="85">
        <f>'Consumer Hardware Pricing'!AI475</f>
        <v>10.84</v>
      </c>
      <c r="BA465" s="85">
        <f t="shared" si="1517"/>
        <v>10</v>
      </c>
      <c r="BB465" s="85">
        <f t="shared" si="1518"/>
        <v>260.15999999999997</v>
      </c>
      <c r="BC465" s="85">
        <f t="shared" si="1534"/>
        <v>240</v>
      </c>
      <c r="BD465" s="85" t="str">
        <f>'Consumer Hardware Pricing'!AL475</f>
        <v>-</v>
      </c>
      <c r="BE465" s="85" t="str">
        <f t="shared" si="1761"/>
        <v>-</v>
      </c>
      <c r="BF465" s="85" t="str">
        <f>'Consumer Hardware Pricing'!AM475</f>
        <v>-</v>
      </c>
      <c r="BG465" s="85" t="str">
        <f t="shared" si="1519"/>
        <v>-</v>
      </c>
      <c r="BH465" s="85" t="str">
        <f t="shared" si="1520"/>
        <v>-</v>
      </c>
      <c r="BI465" s="85" t="str">
        <f t="shared" si="1535"/>
        <v>-</v>
      </c>
      <c r="BJ465" s="85" t="str">
        <f>'Consumer Hardware Pricing'!AP475</f>
        <v>-</v>
      </c>
      <c r="BK465" s="85" t="str">
        <f t="shared" si="1762"/>
        <v>-</v>
      </c>
      <c r="BL465" s="85" t="str">
        <f>'Consumer Hardware Pricing'!AQ475</f>
        <v>-</v>
      </c>
      <c r="BM465" s="85" t="str">
        <f t="shared" si="1521"/>
        <v>-</v>
      </c>
      <c r="BN465" s="85" t="str">
        <f t="shared" si="1522"/>
        <v>-</v>
      </c>
      <c r="BO465" s="85" t="str">
        <f t="shared" si="1536"/>
        <v>-</v>
      </c>
      <c r="BP465" s="85" t="str">
        <f>'Consumer Hardware Pricing'!AT475</f>
        <v>-</v>
      </c>
      <c r="BQ465" s="85" t="str">
        <f t="shared" si="1763"/>
        <v>-</v>
      </c>
      <c r="BR465" s="85" t="str">
        <f>'Consumer Hardware Pricing'!AU475</f>
        <v>-</v>
      </c>
      <c r="BS465" s="85" t="str">
        <f t="shared" si="1523"/>
        <v>-</v>
      </c>
      <c r="BT465" s="85" t="str">
        <f t="shared" si="1524"/>
        <v>-</v>
      </c>
      <c r="BU465" s="85" t="str">
        <f t="shared" si="1537"/>
        <v>-</v>
      </c>
    </row>
    <row r="466" spans="1:73" ht="30.45" customHeight="1" x14ac:dyDescent="0.25">
      <c r="A466" s="87" t="s">
        <v>34</v>
      </c>
      <c r="B466" s="88" t="s">
        <v>741</v>
      </c>
      <c r="C466" s="88" t="s">
        <v>601</v>
      </c>
      <c r="D466" s="85">
        <f>'Consumer Hardware Pricing'!L476</f>
        <v>500</v>
      </c>
      <c r="E466" s="85">
        <f>'Consumer Hardware Pricing'!M476</f>
        <v>500</v>
      </c>
      <c r="F466" s="85">
        <f>'Consumer Hardware Pricing'!N476</f>
        <v>0</v>
      </c>
      <c r="G466" s="85">
        <f t="shared" si="1563"/>
        <v>20.84</v>
      </c>
      <c r="H466" s="85">
        <f>'Consumer Hardware Pricing'!O476</f>
        <v>10.84</v>
      </c>
      <c r="I466" s="85">
        <f t="shared" si="1513"/>
        <v>10</v>
      </c>
      <c r="J466" s="85">
        <f t="shared" si="1525"/>
        <v>260.15999999999997</v>
      </c>
      <c r="K466" s="85">
        <f t="shared" si="1526"/>
        <v>240</v>
      </c>
      <c r="L466" s="85" t="str">
        <f>'Consumer Hardware Pricing'!Q476</f>
        <v>-</v>
      </c>
      <c r="M466" s="85" t="str">
        <f t="shared" si="1564"/>
        <v>-</v>
      </c>
      <c r="N466" s="85" t="str">
        <f t="shared" si="1514"/>
        <v>-</v>
      </c>
      <c r="O466" s="85" t="str">
        <f t="shared" si="1515"/>
        <v>-</v>
      </c>
      <c r="P466" s="85" t="str">
        <f t="shared" si="1527"/>
        <v>-</v>
      </c>
      <c r="Q466" s="85">
        <f>'Consumer Hardware Pricing'!S476</f>
        <v>0</v>
      </c>
      <c r="R466" s="85">
        <f t="shared" si="1516"/>
        <v>20.84</v>
      </c>
      <c r="S466" s="85">
        <f>'Consumer Hardware Pricing'!T476</f>
        <v>10.84</v>
      </c>
      <c r="T466" s="129">
        <f t="shared" si="1528"/>
        <v>10</v>
      </c>
      <c r="U466" s="129">
        <f t="shared" si="1529"/>
        <v>260.15999999999997</v>
      </c>
      <c r="V466" s="85">
        <f t="shared" si="1530"/>
        <v>240</v>
      </c>
      <c r="W466" s="129" t="str">
        <f>'Consumer Hardware Pricing'!V476</f>
        <v>-</v>
      </c>
      <c r="X466" s="129" t="str">
        <f t="shared" si="1565"/>
        <v>-</v>
      </c>
      <c r="Y466" s="129" t="str">
        <f t="shared" si="1531"/>
        <v>-</v>
      </c>
      <c r="Z466" s="129" t="str">
        <f t="shared" si="1532"/>
        <v>-</v>
      </c>
      <c r="AA466" s="85" t="str">
        <f t="shared" si="1533"/>
        <v>-</v>
      </c>
      <c r="AB466" s="85">
        <f>'Consumer Hardware Pricing'!X476</f>
        <v>0</v>
      </c>
      <c r="AC466" s="85">
        <f t="shared" si="1756"/>
        <v>20.84</v>
      </c>
      <c r="AD466" s="85">
        <f>'Consumer Hardware Pricing'!Y476</f>
        <v>10.84</v>
      </c>
      <c r="AE466" s="85">
        <f t="shared" si="1501"/>
        <v>10</v>
      </c>
      <c r="AF466" s="85">
        <f t="shared" si="1502"/>
        <v>260.15999999999997</v>
      </c>
      <c r="AG466" s="85">
        <f t="shared" si="1503"/>
        <v>240</v>
      </c>
      <c r="AH466" s="85" t="str">
        <f>'Consumer Hardware Pricing'!AA476</f>
        <v>-</v>
      </c>
      <c r="AI466" s="85" t="str">
        <f t="shared" si="1757"/>
        <v>-</v>
      </c>
      <c r="AJ466" s="85" t="str">
        <f t="shared" si="1504"/>
        <v>-</v>
      </c>
      <c r="AK466" s="85" t="str">
        <f t="shared" si="1505"/>
        <v>-</v>
      </c>
      <c r="AL466" s="85" t="str">
        <f t="shared" si="1506"/>
        <v>-</v>
      </c>
      <c r="AM466" s="85">
        <f>'Consumer Hardware Pricing'!AC476</f>
        <v>0</v>
      </c>
      <c r="AN466" s="85">
        <f t="shared" si="1758"/>
        <v>20.84</v>
      </c>
      <c r="AO466" s="85">
        <f>'Consumer Hardware Pricing'!AD476</f>
        <v>10.84</v>
      </c>
      <c r="AP466" s="85">
        <f t="shared" si="1507"/>
        <v>10</v>
      </c>
      <c r="AQ466" s="85">
        <f t="shared" si="1508"/>
        <v>260.15999999999997</v>
      </c>
      <c r="AR466" s="85">
        <f t="shared" si="1509"/>
        <v>240</v>
      </c>
      <c r="AS466" s="85" t="str">
        <f>'Consumer Hardware Pricing'!AF476</f>
        <v>-</v>
      </c>
      <c r="AT466" s="85" t="str">
        <f t="shared" si="1759"/>
        <v>-</v>
      </c>
      <c r="AU466" s="85" t="str">
        <f t="shared" si="1510"/>
        <v>-</v>
      </c>
      <c r="AV466" s="85" t="str">
        <f t="shared" si="1511"/>
        <v>-</v>
      </c>
      <c r="AW466" s="85" t="str">
        <f t="shared" si="1512"/>
        <v>-</v>
      </c>
      <c r="AX466" s="85">
        <f>'Consumer Hardware Pricing'!AH476</f>
        <v>0</v>
      </c>
      <c r="AY466" s="85">
        <f t="shared" si="1760"/>
        <v>20.84</v>
      </c>
      <c r="AZ466" s="85">
        <f>'Consumer Hardware Pricing'!AI476</f>
        <v>10.84</v>
      </c>
      <c r="BA466" s="85">
        <f t="shared" si="1517"/>
        <v>10</v>
      </c>
      <c r="BB466" s="85">
        <f t="shared" si="1518"/>
        <v>260.15999999999997</v>
      </c>
      <c r="BC466" s="85">
        <f t="shared" si="1534"/>
        <v>240</v>
      </c>
      <c r="BD466" s="85" t="str">
        <f>'Consumer Hardware Pricing'!AL476</f>
        <v>-</v>
      </c>
      <c r="BE466" s="85" t="str">
        <f t="shared" si="1761"/>
        <v>-</v>
      </c>
      <c r="BF466" s="85" t="str">
        <f>'Consumer Hardware Pricing'!AM476</f>
        <v>-</v>
      </c>
      <c r="BG466" s="85" t="str">
        <f t="shared" si="1519"/>
        <v>-</v>
      </c>
      <c r="BH466" s="85" t="str">
        <f t="shared" si="1520"/>
        <v>-</v>
      </c>
      <c r="BI466" s="85" t="str">
        <f t="shared" si="1535"/>
        <v>-</v>
      </c>
      <c r="BJ466" s="85" t="str">
        <f>'Consumer Hardware Pricing'!AP476</f>
        <v>-</v>
      </c>
      <c r="BK466" s="85" t="str">
        <f t="shared" si="1762"/>
        <v>-</v>
      </c>
      <c r="BL466" s="85" t="str">
        <f>'Consumer Hardware Pricing'!AQ476</f>
        <v>-</v>
      </c>
      <c r="BM466" s="85" t="str">
        <f t="shared" si="1521"/>
        <v>-</v>
      </c>
      <c r="BN466" s="85" t="str">
        <f t="shared" si="1522"/>
        <v>-</v>
      </c>
      <c r="BO466" s="85" t="str">
        <f t="shared" si="1536"/>
        <v>-</v>
      </c>
      <c r="BP466" s="85" t="str">
        <f>'Consumer Hardware Pricing'!AT476</f>
        <v>-</v>
      </c>
      <c r="BQ466" s="85" t="str">
        <f t="shared" si="1763"/>
        <v>-</v>
      </c>
      <c r="BR466" s="85" t="str">
        <f>'Consumer Hardware Pricing'!AU476</f>
        <v>-</v>
      </c>
      <c r="BS466" s="85" t="str">
        <f t="shared" si="1523"/>
        <v>-</v>
      </c>
      <c r="BT466" s="85" t="str">
        <f t="shared" si="1524"/>
        <v>-</v>
      </c>
      <c r="BU466" s="85" t="str">
        <f t="shared" si="1537"/>
        <v>-</v>
      </c>
    </row>
    <row r="467" spans="1:73" ht="30.45" customHeight="1" x14ac:dyDescent="0.25">
      <c r="A467" s="87" t="s">
        <v>34</v>
      </c>
      <c r="B467" s="88" t="s">
        <v>880</v>
      </c>
      <c r="C467" s="88" t="s">
        <v>881</v>
      </c>
      <c r="D467" s="85">
        <f>'Consumer Hardware Pricing'!L477</f>
        <v>560</v>
      </c>
      <c r="E467" s="85">
        <f>'Consumer Hardware Pricing'!M477</f>
        <v>560</v>
      </c>
      <c r="F467" s="85">
        <f>'Consumer Hardware Pricing'!N477</f>
        <v>0</v>
      </c>
      <c r="G467" s="85">
        <f t="shared" si="1563"/>
        <v>23.34</v>
      </c>
      <c r="H467" s="85">
        <f>'Consumer Hardware Pricing'!O477</f>
        <v>3.34</v>
      </c>
      <c r="I467" s="85">
        <f t="shared" ref="I467" si="1789">IF(H467="-",G467,G467-H467)</f>
        <v>20</v>
      </c>
      <c r="J467" s="85">
        <f t="shared" ref="J467" si="1790">IF(H467="-",H467,H467*24)</f>
        <v>80.16</v>
      </c>
      <c r="K467" s="85">
        <f>IF(F467="-",F467,I467*24)</f>
        <v>480</v>
      </c>
      <c r="L467" s="85" t="str">
        <f>'Consumer Hardware Pricing'!Q477</f>
        <v>-</v>
      </c>
      <c r="M467" s="85" t="str">
        <f t="shared" si="1564"/>
        <v>-</v>
      </c>
      <c r="N467" s="85" t="str">
        <f t="shared" ref="N467" si="1791">IF(L467="-",L467,G467-M467)</f>
        <v>-</v>
      </c>
      <c r="O467" s="85" t="str">
        <f t="shared" ref="O467" si="1792">IF(L467="-",L467,M467*24)</f>
        <v>-</v>
      </c>
      <c r="P467" s="85" t="str">
        <f t="shared" ref="P467" si="1793">IF(L467="-",L467,N467*24)</f>
        <v>-</v>
      </c>
      <c r="Q467" s="85">
        <f>'Consumer Hardware Pricing'!S477</f>
        <v>0</v>
      </c>
      <c r="R467" s="85">
        <f t="shared" ref="R467" si="1794">G467</f>
        <v>23.34</v>
      </c>
      <c r="S467" s="85">
        <f>'Consumer Hardware Pricing'!T477</f>
        <v>3.34</v>
      </c>
      <c r="T467" s="129">
        <f t="shared" ref="T467" si="1795">IF(S467="-",R467,R467-S467)</f>
        <v>20</v>
      </c>
      <c r="U467" s="129">
        <f t="shared" ref="U467" si="1796">IF(S467="-",S467,S467*24)</f>
        <v>80.16</v>
      </c>
      <c r="V467" s="85">
        <f t="shared" ref="V467" si="1797">IF(Q467="-",Q467,T467*24)</f>
        <v>480</v>
      </c>
      <c r="W467" s="129" t="str">
        <f>'Consumer Hardware Pricing'!V477</f>
        <v>-</v>
      </c>
      <c r="X467" s="129" t="str">
        <f t="shared" si="1565"/>
        <v>-</v>
      </c>
      <c r="Y467" s="129" t="str">
        <f t="shared" ref="Y467" si="1798">IF(W467="-",W467,R467-X467)</f>
        <v>-</v>
      </c>
      <c r="Z467" s="129" t="str">
        <f t="shared" ref="Z467" si="1799">IF(W467="-",W467,X467*24)</f>
        <v>-</v>
      </c>
      <c r="AA467" s="85" t="str">
        <f t="shared" ref="AA467" si="1800">IF(W467="-",W467,Y467*24)</f>
        <v>-</v>
      </c>
      <c r="AB467" s="85">
        <f>'Consumer Hardware Pricing'!X477</f>
        <v>0</v>
      </c>
      <c r="AC467" s="85">
        <f t="shared" si="1756"/>
        <v>23.34</v>
      </c>
      <c r="AD467" s="85">
        <f>'Consumer Hardware Pricing'!Y477</f>
        <v>23.34</v>
      </c>
      <c r="AE467" s="85">
        <f t="shared" si="1501"/>
        <v>0</v>
      </c>
      <c r="AF467" s="85">
        <f t="shared" si="1502"/>
        <v>560.16</v>
      </c>
      <c r="AG467" s="85">
        <f t="shared" si="1503"/>
        <v>0</v>
      </c>
      <c r="AH467" s="85" t="str">
        <f>'Consumer Hardware Pricing'!AA477</f>
        <v>-</v>
      </c>
      <c r="AI467" s="85" t="str">
        <f t="shared" si="1757"/>
        <v>-</v>
      </c>
      <c r="AJ467" s="85" t="str">
        <f t="shared" si="1504"/>
        <v>-</v>
      </c>
      <c r="AK467" s="85" t="str">
        <f t="shared" si="1505"/>
        <v>-</v>
      </c>
      <c r="AL467" s="85" t="str">
        <f t="shared" si="1506"/>
        <v>-</v>
      </c>
      <c r="AM467" s="85">
        <f>'Consumer Hardware Pricing'!AC477</f>
        <v>0</v>
      </c>
      <c r="AN467" s="85">
        <f t="shared" si="1758"/>
        <v>23.34</v>
      </c>
      <c r="AO467" s="85">
        <f>'Consumer Hardware Pricing'!AD477</f>
        <v>23.34</v>
      </c>
      <c r="AP467" s="85">
        <f t="shared" si="1507"/>
        <v>0</v>
      </c>
      <c r="AQ467" s="85">
        <f t="shared" si="1508"/>
        <v>560.16</v>
      </c>
      <c r="AR467" s="85">
        <f t="shared" si="1509"/>
        <v>0</v>
      </c>
      <c r="AS467" s="85" t="str">
        <f>'Consumer Hardware Pricing'!AF477</f>
        <v>-</v>
      </c>
      <c r="AT467" s="85" t="str">
        <f t="shared" si="1759"/>
        <v>-</v>
      </c>
      <c r="AU467" s="85" t="str">
        <f t="shared" si="1510"/>
        <v>-</v>
      </c>
      <c r="AV467" s="85" t="str">
        <f t="shared" si="1511"/>
        <v>-</v>
      </c>
      <c r="AW467" s="85" t="str">
        <f t="shared" si="1512"/>
        <v>-</v>
      </c>
      <c r="AX467" s="85" t="str">
        <f>'Consumer Hardware Pricing'!AH477</f>
        <v>-</v>
      </c>
      <c r="AY467" s="85" t="str">
        <f t="shared" si="1760"/>
        <v>-</v>
      </c>
      <c r="AZ467" s="85" t="str">
        <f>'Consumer Hardware Pricing'!AI477</f>
        <v>-</v>
      </c>
      <c r="BA467" s="85" t="str">
        <f t="shared" ref="BA467" si="1801">IF(AZ467="-",AY467,AY467-AZ467)</f>
        <v>-</v>
      </c>
      <c r="BB467" s="85" t="str">
        <f t="shared" ref="BB467" si="1802">IF(AZ467="-",AZ467,AZ467*24)</f>
        <v>-</v>
      </c>
      <c r="BC467" s="85" t="str">
        <f t="shared" ref="BC467" si="1803">IF(AX467="-",AX467,AX467+(BA467*24))</f>
        <v>-</v>
      </c>
      <c r="BD467" s="85" t="str">
        <f>'Consumer Hardware Pricing'!AL477</f>
        <v>-</v>
      </c>
      <c r="BE467" s="85" t="str">
        <f t="shared" si="1761"/>
        <v>-</v>
      </c>
      <c r="BF467" s="85" t="str">
        <f>'Consumer Hardware Pricing'!AM477</f>
        <v>-</v>
      </c>
      <c r="BG467" s="85" t="str">
        <f t="shared" ref="BG467" si="1804">IF(BF467="-",BE467,BE467-BF467)</f>
        <v>-</v>
      </c>
      <c r="BH467" s="85" t="str">
        <f t="shared" ref="BH467" si="1805">IF(BF467="-",BF467,BF467*24)</f>
        <v>-</v>
      </c>
      <c r="BI467" s="85" t="str">
        <f t="shared" ref="BI467" si="1806">IF(BD467="-",BD467,BD467+(BG467*24))</f>
        <v>-</v>
      </c>
      <c r="BJ467" s="85" t="str">
        <f>'Consumer Hardware Pricing'!AP477</f>
        <v>-</v>
      </c>
      <c r="BK467" s="85" t="str">
        <f t="shared" si="1762"/>
        <v>-</v>
      </c>
      <c r="BL467" s="85" t="str">
        <f>'Consumer Hardware Pricing'!AQ477</f>
        <v>-</v>
      </c>
      <c r="BM467" s="85" t="str">
        <f t="shared" ref="BM467" si="1807">IF(BL467="-",BK467,BK467-BL467)</f>
        <v>-</v>
      </c>
      <c r="BN467" s="85" t="str">
        <f t="shared" ref="BN467" si="1808">IF(BL467="-",BL467,BL467*24)</f>
        <v>-</v>
      </c>
      <c r="BO467" s="85" t="str">
        <f t="shared" ref="BO467" si="1809">IF(BJ467="-",BJ467,BJ467+(BM467*24))</f>
        <v>-</v>
      </c>
      <c r="BP467" s="85" t="str">
        <f>'Consumer Hardware Pricing'!AT477</f>
        <v>-</v>
      </c>
      <c r="BQ467" s="85" t="str">
        <f t="shared" si="1763"/>
        <v>-</v>
      </c>
      <c r="BR467" s="85" t="str">
        <f>'Consumer Hardware Pricing'!AU477</f>
        <v>-</v>
      </c>
      <c r="BS467" s="85" t="str">
        <f t="shared" ref="BS467" si="1810">IF(BR467="-",BQ467,BQ467-BR467)</f>
        <v>-</v>
      </c>
      <c r="BT467" s="85" t="str">
        <f t="shared" ref="BT467" si="1811">IF(BR467="-",BR467,BR467*24)</f>
        <v>-</v>
      </c>
      <c r="BU467" s="85" t="str">
        <f t="shared" ref="BU467" si="1812">IF(BP467="-",BP467,BP467+(BS467*24))</f>
        <v>-</v>
      </c>
    </row>
    <row r="468" spans="1:73" ht="30.45" customHeight="1" x14ac:dyDescent="0.25">
      <c r="A468" s="87" t="s">
        <v>34</v>
      </c>
      <c r="B468" s="88" t="s">
        <v>599</v>
      </c>
      <c r="C468" s="88" t="s">
        <v>602</v>
      </c>
      <c r="D468" s="85">
        <f>'Consumer Hardware Pricing'!L478</f>
        <v>700</v>
      </c>
      <c r="E468" s="85">
        <f>'Consumer Hardware Pricing'!M478</f>
        <v>700</v>
      </c>
      <c r="F468" s="85">
        <f>'Consumer Hardware Pricing'!N478</f>
        <v>0</v>
      </c>
      <c r="G468" s="85">
        <f t="shared" si="1563"/>
        <v>29.17</v>
      </c>
      <c r="H468" s="85">
        <f>'Consumer Hardware Pricing'!O478</f>
        <v>14.17</v>
      </c>
      <c r="I468" s="85">
        <f t="shared" si="1513"/>
        <v>15.000000000000002</v>
      </c>
      <c r="J468" s="85">
        <f t="shared" si="1525"/>
        <v>340.08</v>
      </c>
      <c r="K468" s="85">
        <f t="shared" si="1526"/>
        <v>360.00000000000006</v>
      </c>
      <c r="L468" s="85" t="str">
        <f>'Consumer Hardware Pricing'!Q478</f>
        <v>-</v>
      </c>
      <c r="M468" s="85" t="str">
        <f t="shared" si="1564"/>
        <v>-</v>
      </c>
      <c r="N468" s="85" t="str">
        <f t="shared" si="1514"/>
        <v>-</v>
      </c>
      <c r="O468" s="85" t="str">
        <f t="shared" si="1515"/>
        <v>-</v>
      </c>
      <c r="P468" s="85" t="str">
        <f t="shared" si="1527"/>
        <v>-</v>
      </c>
      <c r="Q468" s="85">
        <f>'Consumer Hardware Pricing'!S478</f>
        <v>0</v>
      </c>
      <c r="R468" s="85">
        <f t="shared" si="1516"/>
        <v>29.17</v>
      </c>
      <c r="S468" s="85">
        <f>'Consumer Hardware Pricing'!T478</f>
        <v>14.17</v>
      </c>
      <c r="T468" s="129">
        <f t="shared" si="1528"/>
        <v>15.000000000000002</v>
      </c>
      <c r="U468" s="129">
        <f t="shared" si="1529"/>
        <v>340.08</v>
      </c>
      <c r="V468" s="85">
        <f t="shared" si="1530"/>
        <v>360.00000000000006</v>
      </c>
      <c r="W468" s="129" t="str">
        <f>'Consumer Hardware Pricing'!V478</f>
        <v>-</v>
      </c>
      <c r="X468" s="129" t="str">
        <f t="shared" si="1565"/>
        <v>-</v>
      </c>
      <c r="Y468" s="129" t="str">
        <f t="shared" si="1531"/>
        <v>-</v>
      </c>
      <c r="Z468" s="129" t="str">
        <f t="shared" si="1532"/>
        <v>-</v>
      </c>
      <c r="AA468" s="85" t="str">
        <f t="shared" si="1533"/>
        <v>-</v>
      </c>
      <c r="AB468" s="85">
        <f>'Consumer Hardware Pricing'!X478</f>
        <v>0</v>
      </c>
      <c r="AC468" s="85">
        <f t="shared" si="1756"/>
        <v>29.17</v>
      </c>
      <c r="AD468" s="85">
        <f>'Consumer Hardware Pricing'!Y478</f>
        <v>14.17</v>
      </c>
      <c r="AE468" s="85">
        <f t="shared" si="1501"/>
        <v>15.000000000000002</v>
      </c>
      <c r="AF468" s="85">
        <f t="shared" si="1502"/>
        <v>340.08</v>
      </c>
      <c r="AG468" s="85">
        <f t="shared" si="1503"/>
        <v>360.00000000000006</v>
      </c>
      <c r="AH468" s="85" t="str">
        <f>'Consumer Hardware Pricing'!AA478</f>
        <v>-</v>
      </c>
      <c r="AI468" s="85" t="str">
        <f t="shared" si="1757"/>
        <v>-</v>
      </c>
      <c r="AJ468" s="85" t="str">
        <f t="shared" si="1504"/>
        <v>-</v>
      </c>
      <c r="AK468" s="85" t="str">
        <f t="shared" si="1505"/>
        <v>-</v>
      </c>
      <c r="AL468" s="85" t="str">
        <f t="shared" si="1506"/>
        <v>-</v>
      </c>
      <c r="AM468" s="85">
        <f>'Consumer Hardware Pricing'!AC478</f>
        <v>0</v>
      </c>
      <c r="AN468" s="85">
        <f t="shared" si="1758"/>
        <v>29.17</v>
      </c>
      <c r="AO468" s="85">
        <f>'Consumer Hardware Pricing'!AD478</f>
        <v>14.17</v>
      </c>
      <c r="AP468" s="85">
        <f t="shared" si="1507"/>
        <v>15.000000000000002</v>
      </c>
      <c r="AQ468" s="85">
        <f t="shared" si="1508"/>
        <v>340.08</v>
      </c>
      <c r="AR468" s="85">
        <f t="shared" si="1509"/>
        <v>360.00000000000006</v>
      </c>
      <c r="AS468" s="85" t="str">
        <f>'Consumer Hardware Pricing'!AF478</f>
        <v>-</v>
      </c>
      <c r="AT468" s="85" t="str">
        <f t="shared" si="1759"/>
        <v>-</v>
      </c>
      <c r="AU468" s="85" t="str">
        <f t="shared" si="1510"/>
        <v>-</v>
      </c>
      <c r="AV468" s="85" t="str">
        <f t="shared" si="1511"/>
        <v>-</v>
      </c>
      <c r="AW468" s="85" t="str">
        <f t="shared" si="1512"/>
        <v>-</v>
      </c>
      <c r="AX468" s="85">
        <f>'Consumer Hardware Pricing'!AH478</f>
        <v>0</v>
      </c>
      <c r="AY468" s="85">
        <f t="shared" si="1760"/>
        <v>29.17</v>
      </c>
      <c r="AZ468" s="85">
        <f>'Consumer Hardware Pricing'!AI478</f>
        <v>14.17</v>
      </c>
      <c r="BA468" s="85">
        <f t="shared" si="1517"/>
        <v>15.000000000000002</v>
      </c>
      <c r="BB468" s="85">
        <f t="shared" si="1518"/>
        <v>340.08</v>
      </c>
      <c r="BC468" s="85">
        <f t="shared" si="1534"/>
        <v>360.00000000000006</v>
      </c>
      <c r="BD468" s="85" t="str">
        <f>'Consumer Hardware Pricing'!AL478</f>
        <v>-</v>
      </c>
      <c r="BE468" s="85" t="str">
        <f t="shared" si="1761"/>
        <v>-</v>
      </c>
      <c r="BF468" s="85" t="str">
        <f>'Consumer Hardware Pricing'!AM478</f>
        <v>-</v>
      </c>
      <c r="BG468" s="85" t="str">
        <f t="shared" si="1519"/>
        <v>-</v>
      </c>
      <c r="BH468" s="85" t="str">
        <f t="shared" si="1520"/>
        <v>-</v>
      </c>
      <c r="BI468" s="85" t="str">
        <f t="shared" si="1535"/>
        <v>-</v>
      </c>
      <c r="BJ468" s="85" t="str">
        <f>'Consumer Hardware Pricing'!AP478</f>
        <v>-</v>
      </c>
      <c r="BK468" s="85" t="str">
        <f t="shared" si="1762"/>
        <v>-</v>
      </c>
      <c r="BL468" s="85" t="str">
        <f>'Consumer Hardware Pricing'!AQ478</f>
        <v>-</v>
      </c>
      <c r="BM468" s="85" t="str">
        <f t="shared" si="1521"/>
        <v>-</v>
      </c>
      <c r="BN468" s="85" t="str">
        <f t="shared" si="1522"/>
        <v>-</v>
      </c>
      <c r="BO468" s="85" t="str">
        <f t="shared" si="1536"/>
        <v>-</v>
      </c>
      <c r="BP468" s="85" t="str">
        <f>'Consumer Hardware Pricing'!AT478</f>
        <v>-</v>
      </c>
      <c r="BQ468" s="85" t="str">
        <f t="shared" si="1763"/>
        <v>-</v>
      </c>
      <c r="BR468" s="85" t="str">
        <f>'Consumer Hardware Pricing'!AU478</f>
        <v>-</v>
      </c>
      <c r="BS468" s="85" t="str">
        <f t="shared" si="1523"/>
        <v>-</v>
      </c>
      <c r="BT468" s="85" t="str">
        <f t="shared" si="1524"/>
        <v>-</v>
      </c>
      <c r="BU468" s="85" t="str">
        <f t="shared" si="1537"/>
        <v>-</v>
      </c>
    </row>
    <row r="469" spans="1:73" ht="30.45" customHeight="1" x14ac:dyDescent="0.25">
      <c r="A469" s="87" t="s">
        <v>34</v>
      </c>
      <c r="B469" s="88" t="s">
        <v>882</v>
      </c>
      <c r="C469" s="88" t="s">
        <v>883</v>
      </c>
      <c r="D469" s="85">
        <f>'Consumer Hardware Pricing'!L479</f>
        <v>710</v>
      </c>
      <c r="E469" s="85">
        <f>'Consumer Hardware Pricing'!M479</f>
        <v>710</v>
      </c>
      <c r="F469" s="85">
        <f>'Consumer Hardware Pricing'!N479</f>
        <v>0</v>
      </c>
      <c r="G469" s="85">
        <f t="shared" si="1563"/>
        <v>29.59</v>
      </c>
      <c r="H469" s="85">
        <f>'Consumer Hardware Pricing'!O479</f>
        <v>14.59</v>
      </c>
      <c r="I469" s="85">
        <f t="shared" ref="I469" si="1813">IF(H469="-",G469,G469-H469)</f>
        <v>15</v>
      </c>
      <c r="J469" s="85">
        <f t="shared" ref="J469" si="1814">IF(H469="-",H469,H469*24)</f>
        <v>350.15999999999997</v>
      </c>
      <c r="K469" s="85">
        <f>IF(F469="-",F469,I469*24)</f>
        <v>360</v>
      </c>
      <c r="L469" s="85" t="str">
        <f>'Consumer Hardware Pricing'!Q479</f>
        <v>-</v>
      </c>
      <c r="M469" s="85" t="str">
        <f t="shared" si="1564"/>
        <v>-</v>
      </c>
      <c r="N469" s="85" t="str">
        <f t="shared" ref="N469" si="1815">IF(L469="-",L469,G469-M469)</f>
        <v>-</v>
      </c>
      <c r="O469" s="85" t="str">
        <f t="shared" ref="O469" si="1816">IF(L469="-",L469,M469*24)</f>
        <v>-</v>
      </c>
      <c r="P469" s="85" t="str">
        <f t="shared" ref="P469" si="1817">IF(L469="-",L469,N469*24)</f>
        <v>-</v>
      </c>
      <c r="Q469" s="85">
        <f>'Consumer Hardware Pricing'!S479</f>
        <v>0</v>
      </c>
      <c r="R469" s="85">
        <f t="shared" ref="R469" si="1818">G469</f>
        <v>29.59</v>
      </c>
      <c r="S469" s="85">
        <f>'Consumer Hardware Pricing'!T479</f>
        <v>14.59</v>
      </c>
      <c r="T469" s="129">
        <f t="shared" ref="T469" si="1819">IF(S469="-",R469,R469-S469)</f>
        <v>15</v>
      </c>
      <c r="U469" s="129">
        <f t="shared" ref="U469" si="1820">IF(S469="-",S469,S469*24)</f>
        <v>350.15999999999997</v>
      </c>
      <c r="V469" s="85">
        <f t="shared" ref="V469" si="1821">IF(Q469="-",Q469,T469*24)</f>
        <v>360</v>
      </c>
      <c r="W469" s="129" t="str">
        <f>'Consumer Hardware Pricing'!V479</f>
        <v>-</v>
      </c>
      <c r="X469" s="129" t="str">
        <f t="shared" si="1565"/>
        <v>-</v>
      </c>
      <c r="Y469" s="129" t="str">
        <f t="shared" ref="Y469" si="1822">IF(W469="-",W469,R469-X469)</f>
        <v>-</v>
      </c>
      <c r="Z469" s="129" t="str">
        <f t="shared" ref="Z469" si="1823">IF(W469="-",W469,X469*24)</f>
        <v>-</v>
      </c>
      <c r="AA469" s="85" t="str">
        <f t="shared" ref="AA469" si="1824">IF(W469="-",W469,Y469*24)</f>
        <v>-</v>
      </c>
      <c r="AB469" s="85">
        <f>'Consumer Hardware Pricing'!X479</f>
        <v>0</v>
      </c>
      <c r="AC469" s="85">
        <f t="shared" si="1756"/>
        <v>29.59</v>
      </c>
      <c r="AD469" s="85">
        <f>'Consumer Hardware Pricing'!Y479</f>
        <v>19.59</v>
      </c>
      <c r="AE469" s="85">
        <f t="shared" si="1501"/>
        <v>10</v>
      </c>
      <c r="AF469" s="85">
        <f t="shared" si="1502"/>
        <v>470.15999999999997</v>
      </c>
      <c r="AG469" s="85">
        <f t="shared" si="1503"/>
        <v>240</v>
      </c>
      <c r="AH469" s="85" t="str">
        <f>'Consumer Hardware Pricing'!AA479</f>
        <v>-</v>
      </c>
      <c r="AI469" s="85" t="str">
        <f t="shared" si="1757"/>
        <v>-</v>
      </c>
      <c r="AJ469" s="85" t="str">
        <f t="shared" si="1504"/>
        <v>-</v>
      </c>
      <c r="AK469" s="85" t="str">
        <f t="shared" si="1505"/>
        <v>-</v>
      </c>
      <c r="AL469" s="85" t="str">
        <f t="shared" si="1506"/>
        <v>-</v>
      </c>
      <c r="AM469" s="85">
        <f>'Consumer Hardware Pricing'!AC479</f>
        <v>0</v>
      </c>
      <c r="AN469" s="85">
        <f t="shared" si="1758"/>
        <v>29.59</v>
      </c>
      <c r="AO469" s="85">
        <f>'Consumer Hardware Pricing'!AD479</f>
        <v>19.59</v>
      </c>
      <c r="AP469" s="85">
        <f t="shared" si="1507"/>
        <v>10</v>
      </c>
      <c r="AQ469" s="85">
        <f t="shared" si="1508"/>
        <v>470.15999999999997</v>
      </c>
      <c r="AR469" s="85">
        <f t="shared" si="1509"/>
        <v>240</v>
      </c>
      <c r="AS469" s="85" t="str">
        <f>'Consumer Hardware Pricing'!AF479</f>
        <v>-</v>
      </c>
      <c r="AT469" s="85" t="str">
        <f t="shared" si="1759"/>
        <v>-</v>
      </c>
      <c r="AU469" s="85" t="str">
        <f t="shared" si="1510"/>
        <v>-</v>
      </c>
      <c r="AV469" s="85" t="str">
        <f t="shared" si="1511"/>
        <v>-</v>
      </c>
      <c r="AW469" s="85" t="str">
        <f t="shared" si="1512"/>
        <v>-</v>
      </c>
      <c r="AX469" s="85" t="str">
        <f>'Consumer Hardware Pricing'!AH479</f>
        <v>-</v>
      </c>
      <c r="AY469" s="85" t="str">
        <f t="shared" si="1760"/>
        <v>-</v>
      </c>
      <c r="AZ469" s="85" t="str">
        <f>'Consumer Hardware Pricing'!AI479</f>
        <v>-</v>
      </c>
      <c r="BA469" s="85" t="str">
        <f t="shared" ref="BA469" si="1825">IF(AZ469="-",AY469,AY469-AZ469)</f>
        <v>-</v>
      </c>
      <c r="BB469" s="85" t="str">
        <f t="shared" ref="BB469" si="1826">IF(AZ469="-",AZ469,AZ469*24)</f>
        <v>-</v>
      </c>
      <c r="BC469" s="85" t="str">
        <f t="shared" ref="BC469" si="1827">IF(AX469="-",AX469,AX469+(BA469*24))</f>
        <v>-</v>
      </c>
      <c r="BD469" s="85" t="str">
        <f>'Consumer Hardware Pricing'!AL479</f>
        <v>-</v>
      </c>
      <c r="BE469" s="85" t="str">
        <f t="shared" si="1761"/>
        <v>-</v>
      </c>
      <c r="BF469" s="85" t="str">
        <f>'Consumer Hardware Pricing'!AM479</f>
        <v>-</v>
      </c>
      <c r="BG469" s="85" t="str">
        <f t="shared" ref="BG469" si="1828">IF(BF469="-",BE469,BE469-BF469)</f>
        <v>-</v>
      </c>
      <c r="BH469" s="85" t="str">
        <f t="shared" ref="BH469" si="1829">IF(BF469="-",BF469,BF469*24)</f>
        <v>-</v>
      </c>
      <c r="BI469" s="85" t="str">
        <f t="shared" ref="BI469" si="1830">IF(BD469="-",BD469,BD469+(BG469*24))</f>
        <v>-</v>
      </c>
      <c r="BJ469" s="85" t="str">
        <f>'Consumer Hardware Pricing'!AP479</f>
        <v>-</v>
      </c>
      <c r="BK469" s="85" t="str">
        <f t="shared" si="1762"/>
        <v>-</v>
      </c>
      <c r="BL469" s="85" t="str">
        <f>'Consumer Hardware Pricing'!AQ479</f>
        <v>-</v>
      </c>
      <c r="BM469" s="85" t="str">
        <f t="shared" ref="BM469" si="1831">IF(BL469="-",BK469,BK469-BL469)</f>
        <v>-</v>
      </c>
      <c r="BN469" s="85" t="str">
        <f t="shared" ref="BN469" si="1832">IF(BL469="-",BL469,BL469*24)</f>
        <v>-</v>
      </c>
      <c r="BO469" s="85" t="str">
        <f t="shared" ref="BO469" si="1833">IF(BJ469="-",BJ469,BJ469+(BM469*24))</f>
        <v>-</v>
      </c>
      <c r="BP469" s="85" t="str">
        <f>'Consumer Hardware Pricing'!AT479</f>
        <v>-</v>
      </c>
      <c r="BQ469" s="85" t="str">
        <f t="shared" si="1763"/>
        <v>-</v>
      </c>
      <c r="BR469" s="85" t="str">
        <f>'Consumer Hardware Pricing'!AU479</f>
        <v>-</v>
      </c>
      <c r="BS469" s="85" t="str">
        <f t="shared" ref="BS469" si="1834">IF(BR469="-",BQ469,BQ469-BR469)</f>
        <v>-</v>
      </c>
      <c r="BT469" s="85" t="str">
        <f t="shared" ref="BT469" si="1835">IF(BR469="-",BR469,BR469*24)</f>
        <v>-</v>
      </c>
      <c r="BU469" s="85" t="str">
        <f t="shared" ref="BU469" si="1836">IF(BP469="-",BP469,BP469+(BS469*24))</f>
        <v>-</v>
      </c>
    </row>
    <row r="470" spans="1:73" ht="30.45" customHeight="1" x14ac:dyDescent="0.25">
      <c r="A470" s="87" t="s">
        <v>34</v>
      </c>
      <c r="B470" s="88" t="s">
        <v>1238</v>
      </c>
      <c r="C470" s="88" t="s">
        <v>1240</v>
      </c>
      <c r="D470" s="85">
        <f>'Consumer Hardware Pricing'!L480</f>
        <v>435</v>
      </c>
      <c r="E470" s="85">
        <f>'Consumer Hardware Pricing'!M480</f>
        <v>435</v>
      </c>
      <c r="F470" s="85">
        <f>'Consumer Hardware Pricing'!N480</f>
        <v>0</v>
      </c>
      <c r="G470" s="85">
        <f t="shared" ref="G470:G471" si="1837">IF(F470="-","-",ROUNDUP(D470/24,2))</f>
        <v>18.130000000000003</v>
      </c>
      <c r="H470" s="85">
        <f>'Consumer Hardware Pricing'!O480</f>
        <v>2.71</v>
      </c>
      <c r="I470" s="85">
        <f t="shared" ref="I470:I471" si="1838">IF(H470="-",G470,G470-H470)</f>
        <v>15.420000000000002</v>
      </c>
      <c r="J470" s="85">
        <f t="shared" ref="J470:J471" si="1839">IF(H470="-",H470,H470*24)</f>
        <v>65.039999999999992</v>
      </c>
      <c r="K470" s="85">
        <f t="shared" ref="K470:K471" si="1840">IF(F470="-",F470,I470*24)</f>
        <v>370.08000000000004</v>
      </c>
      <c r="L470" s="85" t="str">
        <f>'Consumer Hardware Pricing'!Q480</f>
        <v>-</v>
      </c>
      <c r="M470" s="85" t="str">
        <f t="shared" ref="M470:M471" si="1841">IF(L470="-",L470,IF(H470="-",G470-ROUNDUP((D470-L470)/24,2),H470+G470-ROUNDUP((D470-L470)/24,2)))</f>
        <v>-</v>
      </c>
      <c r="N470" s="85" t="str">
        <f t="shared" ref="N470:N471" si="1842">IF(L470="-",L470,G470-M470)</f>
        <v>-</v>
      </c>
      <c r="O470" s="85" t="str">
        <f t="shared" ref="O470:O471" si="1843">IF(L470="-",L470,M470*24)</f>
        <v>-</v>
      </c>
      <c r="P470" s="85" t="str">
        <f t="shared" ref="P470:P471" si="1844">IF(L470="-",L470,N470*24)</f>
        <v>-</v>
      </c>
      <c r="Q470" s="85">
        <f>'Consumer Hardware Pricing'!S480</f>
        <v>0</v>
      </c>
      <c r="R470" s="85">
        <f t="shared" ref="R470:R471" si="1845">G470</f>
        <v>18.130000000000003</v>
      </c>
      <c r="S470" s="85">
        <f>'Consumer Hardware Pricing'!T480</f>
        <v>2.71</v>
      </c>
      <c r="T470" s="129">
        <f t="shared" ref="T470:T471" si="1846">IF(S470="-",R470,R470-S470)</f>
        <v>15.420000000000002</v>
      </c>
      <c r="U470" s="129">
        <f t="shared" ref="U470:U471" si="1847">IF(S470="-",S470,S470*24)</f>
        <v>65.039999999999992</v>
      </c>
      <c r="V470" s="85">
        <f t="shared" ref="V470:V471" si="1848">IF(Q470="-",Q470,T470*24)</f>
        <v>370.08000000000004</v>
      </c>
      <c r="W470" s="129" t="str">
        <f>'Consumer Hardware Pricing'!V480</f>
        <v>-</v>
      </c>
      <c r="X470" s="129" t="str">
        <f t="shared" ref="X470:X471" si="1849">IF(W470="-",W470,IF(S470="-",R470-ROUNDUP((D470-W470)/24,2),S470+R470-ROUNDUP((D470-W470)/24,2)))</f>
        <v>-</v>
      </c>
      <c r="Y470" s="129" t="str">
        <f t="shared" ref="Y470:Y471" si="1850">IF(W470="-",W470,R470-X470)</f>
        <v>-</v>
      </c>
      <c r="Z470" s="129" t="str">
        <f t="shared" ref="Z470:Z471" si="1851">IF(W470="-",W470,X470*24)</f>
        <v>-</v>
      </c>
      <c r="AA470" s="85" t="str">
        <f t="shared" ref="AA470:AA471" si="1852">IF(W470="-",W470,Y470*24)</f>
        <v>-</v>
      </c>
      <c r="AB470" s="85">
        <f>'Consumer Hardware Pricing'!X480</f>
        <v>0</v>
      </c>
      <c r="AC470" s="85">
        <f t="shared" si="1756"/>
        <v>18.130000000000003</v>
      </c>
      <c r="AD470" s="85">
        <f>'Consumer Hardware Pricing'!Y480</f>
        <v>2.71</v>
      </c>
      <c r="AE470" s="85">
        <f t="shared" ref="AE470:AE471" si="1853">IF(AD470="-",AC470,AC470-AD470)</f>
        <v>15.420000000000002</v>
      </c>
      <c r="AF470" s="85">
        <f t="shared" ref="AF470:AF471" si="1854">IF(AD470="-",AD470,AD470*24)</f>
        <v>65.039999999999992</v>
      </c>
      <c r="AG470" s="85">
        <f t="shared" ref="AG470:AG471" si="1855">IF(AB470="-",AB470,AE470*24)</f>
        <v>370.08000000000004</v>
      </c>
      <c r="AH470" s="85" t="str">
        <f>'Consumer Hardware Pricing'!AA480</f>
        <v>-</v>
      </c>
      <c r="AI470" s="85" t="str">
        <f t="shared" si="1757"/>
        <v>-</v>
      </c>
      <c r="AJ470" s="85" t="str">
        <f t="shared" ref="AJ470:AJ471" si="1856">IF(AH470="-",AH470,AC470-AI470)</f>
        <v>-</v>
      </c>
      <c r="AK470" s="85" t="str">
        <f t="shared" ref="AK470:AK471" si="1857">IF(AH470="-",AH470,AI470*24)</f>
        <v>-</v>
      </c>
      <c r="AL470" s="85" t="str">
        <f t="shared" ref="AL470:AL471" si="1858">IF(AH470="-",AH470,AJ470*24)</f>
        <v>-</v>
      </c>
      <c r="AM470" s="85">
        <f>'Consumer Hardware Pricing'!AC480</f>
        <v>0</v>
      </c>
      <c r="AN470" s="85">
        <f t="shared" si="1758"/>
        <v>18.130000000000003</v>
      </c>
      <c r="AO470" s="85">
        <f>'Consumer Hardware Pricing'!AD480</f>
        <v>2.71</v>
      </c>
      <c r="AP470" s="85">
        <f t="shared" ref="AP470:AP471" si="1859">IF(AO470="-",AN470,AN470-AO470)</f>
        <v>15.420000000000002</v>
      </c>
      <c r="AQ470" s="85">
        <f t="shared" ref="AQ470:AQ471" si="1860">IF(AO470="-",AO470,AO470*24)</f>
        <v>65.039999999999992</v>
      </c>
      <c r="AR470" s="85">
        <f t="shared" ref="AR470:AR471" si="1861">IF(AM470="-",AM470,AP470*24)</f>
        <v>370.08000000000004</v>
      </c>
      <c r="AS470" s="85" t="str">
        <f>'Consumer Hardware Pricing'!AF480</f>
        <v>-</v>
      </c>
      <c r="AT470" s="85" t="str">
        <f t="shared" si="1759"/>
        <v>-</v>
      </c>
      <c r="AU470" s="85" t="str">
        <f t="shared" ref="AU470:AU471" si="1862">IF(AS470="-",AS470,AN470-AT470)</f>
        <v>-</v>
      </c>
      <c r="AV470" s="85" t="str">
        <f t="shared" ref="AV470:AV471" si="1863">IF(AS470="-",AS470,AT470*24)</f>
        <v>-</v>
      </c>
      <c r="AW470" s="85" t="str">
        <f t="shared" ref="AW470:AW471" si="1864">IF(AS470="-",AS470,AU470*24)</f>
        <v>-</v>
      </c>
      <c r="AX470" s="85" t="str">
        <f>'Consumer Hardware Pricing'!AH480</f>
        <v>-</v>
      </c>
      <c r="AY470" s="85" t="str">
        <f t="shared" si="1760"/>
        <v>-</v>
      </c>
      <c r="AZ470" s="85" t="str">
        <f>'Consumer Hardware Pricing'!AI480</f>
        <v>-</v>
      </c>
      <c r="BA470" s="85" t="str">
        <f t="shared" ref="BA470:BA471" si="1865">IF(AZ470="-",AY470,AY470-AZ470)</f>
        <v>-</v>
      </c>
      <c r="BB470" s="85" t="str">
        <f t="shared" ref="BB470:BB471" si="1866">IF(AZ470="-",AZ470,AZ470*24)</f>
        <v>-</v>
      </c>
      <c r="BC470" s="85" t="str">
        <f t="shared" ref="BC470:BC471" si="1867">IF(AX470="-",AX470,AX470+(BA470*24))</f>
        <v>-</v>
      </c>
      <c r="BD470" s="85" t="str">
        <f>'Consumer Hardware Pricing'!AL480</f>
        <v>-</v>
      </c>
      <c r="BE470" s="85" t="str">
        <f t="shared" si="1761"/>
        <v>-</v>
      </c>
      <c r="BF470" s="85" t="str">
        <f>'Consumer Hardware Pricing'!AM480</f>
        <v>-</v>
      </c>
      <c r="BG470" s="85" t="str">
        <f t="shared" ref="BG470:BG471" si="1868">IF(BF470="-",BE470,BE470-BF470)</f>
        <v>-</v>
      </c>
      <c r="BH470" s="85" t="str">
        <f t="shared" ref="BH470:BH471" si="1869">IF(BF470="-",BF470,BF470*24)</f>
        <v>-</v>
      </c>
      <c r="BI470" s="85" t="str">
        <f t="shared" ref="BI470:BI471" si="1870">IF(BD470="-",BD470,BD470+(BG470*24))</f>
        <v>-</v>
      </c>
      <c r="BJ470" s="85" t="str">
        <f>'Consumer Hardware Pricing'!AP480</f>
        <v>-</v>
      </c>
      <c r="BK470" s="85" t="str">
        <f t="shared" si="1762"/>
        <v>-</v>
      </c>
      <c r="BL470" s="85" t="str">
        <f>'Consumer Hardware Pricing'!AQ480</f>
        <v>-</v>
      </c>
      <c r="BM470" s="85" t="str">
        <f t="shared" ref="BM470:BM471" si="1871">IF(BL470="-",BK470,BK470-BL470)</f>
        <v>-</v>
      </c>
      <c r="BN470" s="85" t="str">
        <f t="shared" ref="BN470:BN471" si="1872">IF(BL470="-",BL470,BL470*24)</f>
        <v>-</v>
      </c>
      <c r="BO470" s="85" t="str">
        <f t="shared" ref="BO470:BO471" si="1873">IF(BJ470="-",BJ470,BJ470+(BM470*24))</f>
        <v>-</v>
      </c>
      <c r="BP470" s="85" t="str">
        <f>'Consumer Hardware Pricing'!AT480</f>
        <v>-</v>
      </c>
      <c r="BQ470" s="85" t="str">
        <f t="shared" si="1763"/>
        <v>-</v>
      </c>
      <c r="BR470" s="85" t="str">
        <f>'Consumer Hardware Pricing'!AU480</f>
        <v>-</v>
      </c>
      <c r="BS470" s="85" t="str">
        <f t="shared" ref="BS470:BS471" si="1874">IF(BR470="-",BQ470,BQ470-BR470)</f>
        <v>-</v>
      </c>
      <c r="BT470" s="85" t="str">
        <f t="shared" ref="BT470:BT471" si="1875">IF(BR470="-",BR470,BR470*24)</f>
        <v>-</v>
      </c>
      <c r="BU470" s="85" t="str">
        <f t="shared" ref="BU470:BU471" si="1876">IF(BP470="-",BP470,BP470+(BS470*24))</f>
        <v>-</v>
      </c>
    </row>
    <row r="471" spans="1:73" ht="30.45" customHeight="1" x14ac:dyDescent="0.25">
      <c r="A471" s="87" t="s">
        <v>34</v>
      </c>
      <c r="B471" s="88" t="s">
        <v>1239</v>
      </c>
      <c r="C471" s="88" t="s">
        <v>1241</v>
      </c>
      <c r="D471" s="85">
        <f>'Consumer Hardware Pricing'!L481</f>
        <v>770</v>
      </c>
      <c r="E471" s="85">
        <f>'Consumer Hardware Pricing'!M481</f>
        <v>770</v>
      </c>
      <c r="F471" s="85">
        <f>'Consumer Hardware Pricing'!N481</f>
        <v>0</v>
      </c>
      <c r="G471" s="85">
        <f t="shared" si="1837"/>
        <v>32.089999999999996</v>
      </c>
      <c r="H471" s="85">
        <f>'Consumer Hardware Pricing'!O481</f>
        <v>4.59</v>
      </c>
      <c r="I471" s="85">
        <f t="shared" si="1838"/>
        <v>27.499999999999996</v>
      </c>
      <c r="J471" s="85">
        <f t="shared" si="1839"/>
        <v>110.16</v>
      </c>
      <c r="K471" s="85">
        <f t="shared" si="1840"/>
        <v>659.99999999999989</v>
      </c>
      <c r="L471" s="85" t="str">
        <f>'Consumer Hardware Pricing'!Q481</f>
        <v>-</v>
      </c>
      <c r="M471" s="85" t="str">
        <f t="shared" si="1841"/>
        <v>-</v>
      </c>
      <c r="N471" s="85" t="str">
        <f t="shared" si="1842"/>
        <v>-</v>
      </c>
      <c r="O471" s="85" t="str">
        <f t="shared" si="1843"/>
        <v>-</v>
      </c>
      <c r="P471" s="85" t="str">
        <f t="shared" si="1844"/>
        <v>-</v>
      </c>
      <c r="Q471" s="85">
        <f>'Consumer Hardware Pricing'!S481</f>
        <v>0</v>
      </c>
      <c r="R471" s="85">
        <f t="shared" si="1845"/>
        <v>32.089999999999996</v>
      </c>
      <c r="S471" s="85">
        <f>'Consumer Hardware Pricing'!T481</f>
        <v>4.59</v>
      </c>
      <c r="T471" s="129">
        <f t="shared" si="1846"/>
        <v>27.499999999999996</v>
      </c>
      <c r="U471" s="129">
        <f t="shared" si="1847"/>
        <v>110.16</v>
      </c>
      <c r="V471" s="85">
        <f t="shared" si="1848"/>
        <v>659.99999999999989</v>
      </c>
      <c r="W471" s="129" t="str">
        <f>'Consumer Hardware Pricing'!V481</f>
        <v>-</v>
      </c>
      <c r="X471" s="129" t="str">
        <f t="shared" si="1849"/>
        <v>-</v>
      </c>
      <c r="Y471" s="129" t="str">
        <f t="shared" si="1850"/>
        <v>-</v>
      </c>
      <c r="Z471" s="129" t="str">
        <f t="shared" si="1851"/>
        <v>-</v>
      </c>
      <c r="AA471" s="85" t="str">
        <f t="shared" si="1852"/>
        <v>-</v>
      </c>
      <c r="AB471" s="85">
        <f>'Consumer Hardware Pricing'!X481</f>
        <v>0</v>
      </c>
      <c r="AC471" s="85">
        <f t="shared" si="1756"/>
        <v>32.089999999999996</v>
      </c>
      <c r="AD471" s="85">
        <f>'Consumer Hardware Pricing'!Y481</f>
        <v>4.59</v>
      </c>
      <c r="AE471" s="85">
        <f t="shared" si="1853"/>
        <v>27.499999999999996</v>
      </c>
      <c r="AF471" s="85">
        <f t="shared" si="1854"/>
        <v>110.16</v>
      </c>
      <c r="AG471" s="85">
        <f t="shared" si="1855"/>
        <v>659.99999999999989</v>
      </c>
      <c r="AH471" s="85" t="str">
        <f>'Consumer Hardware Pricing'!AA481</f>
        <v>-</v>
      </c>
      <c r="AI471" s="85" t="str">
        <f t="shared" si="1757"/>
        <v>-</v>
      </c>
      <c r="AJ471" s="85" t="str">
        <f t="shared" si="1856"/>
        <v>-</v>
      </c>
      <c r="AK471" s="85" t="str">
        <f t="shared" si="1857"/>
        <v>-</v>
      </c>
      <c r="AL471" s="85" t="str">
        <f t="shared" si="1858"/>
        <v>-</v>
      </c>
      <c r="AM471" s="85">
        <f>'Consumer Hardware Pricing'!AC481</f>
        <v>0</v>
      </c>
      <c r="AN471" s="85">
        <f t="shared" si="1758"/>
        <v>32.089999999999996</v>
      </c>
      <c r="AO471" s="85">
        <f>'Consumer Hardware Pricing'!AD481</f>
        <v>4.59</v>
      </c>
      <c r="AP471" s="85">
        <f t="shared" si="1859"/>
        <v>27.499999999999996</v>
      </c>
      <c r="AQ471" s="85">
        <f t="shared" si="1860"/>
        <v>110.16</v>
      </c>
      <c r="AR471" s="85">
        <f t="shared" si="1861"/>
        <v>659.99999999999989</v>
      </c>
      <c r="AS471" s="85" t="str">
        <f>'Consumer Hardware Pricing'!AF481</f>
        <v>-</v>
      </c>
      <c r="AT471" s="85" t="str">
        <f t="shared" si="1759"/>
        <v>-</v>
      </c>
      <c r="AU471" s="85" t="str">
        <f t="shared" si="1862"/>
        <v>-</v>
      </c>
      <c r="AV471" s="85" t="str">
        <f t="shared" si="1863"/>
        <v>-</v>
      </c>
      <c r="AW471" s="85" t="str">
        <f t="shared" si="1864"/>
        <v>-</v>
      </c>
      <c r="AX471" s="85" t="str">
        <f>'Consumer Hardware Pricing'!AH481</f>
        <v>-</v>
      </c>
      <c r="AY471" s="85" t="str">
        <f t="shared" si="1760"/>
        <v>-</v>
      </c>
      <c r="AZ471" s="85" t="str">
        <f>'Consumer Hardware Pricing'!AI481</f>
        <v>-</v>
      </c>
      <c r="BA471" s="85" t="str">
        <f t="shared" si="1865"/>
        <v>-</v>
      </c>
      <c r="BB471" s="85" t="str">
        <f t="shared" si="1866"/>
        <v>-</v>
      </c>
      <c r="BC471" s="85" t="str">
        <f t="shared" si="1867"/>
        <v>-</v>
      </c>
      <c r="BD471" s="85" t="str">
        <f>'Consumer Hardware Pricing'!AL481</f>
        <v>-</v>
      </c>
      <c r="BE471" s="85" t="str">
        <f t="shared" si="1761"/>
        <v>-</v>
      </c>
      <c r="BF471" s="85" t="str">
        <f>'Consumer Hardware Pricing'!AM481</f>
        <v>-</v>
      </c>
      <c r="BG471" s="85" t="str">
        <f t="shared" si="1868"/>
        <v>-</v>
      </c>
      <c r="BH471" s="85" t="str">
        <f t="shared" si="1869"/>
        <v>-</v>
      </c>
      <c r="BI471" s="85" t="str">
        <f t="shared" si="1870"/>
        <v>-</v>
      </c>
      <c r="BJ471" s="85" t="str">
        <f>'Consumer Hardware Pricing'!AP481</f>
        <v>-</v>
      </c>
      <c r="BK471" s="85" t="str">
        <f t="shared" si="1762"/>
        <v>-</v>
      </c>
      <c r="BL471" s="85" t="str">
        <f>'Consumer Hardware Pricing'!AQ481</f>
        <v>-</v>
      </c>
      <c r="BM471" s="85" t="str">
        <f t="shared" si="1871"/>
        <v>-</v>
      </c>
      <c r="BN471" s="85" t="str">
        <f t="shared" si="1872"/>
        <v>-</v>
      </c>
      <c r="BO471" s="85" t="str">
        <f t="shared" si="1873"/>
        <v>-</v>
      </c>
      <c r="BP471" s="85" t="str">
        <f>'Consumer Hardware Pricing'!AT481</f>
        <v>-</v>
      </c>
      <c r="BQ471" s="85" t="str">
        <f t="shared" si="1763"/>
        <v>-</v>
      </c>
      <c r="BR471" s="85" t="str">
        <f>'Consumer Hardware Pricing'!AU481</f>
        <v>-</v>
      </c>
      <c r="BS471" s="85" t="str">
        <f t="shared" si="1874"/>
        <v>-</v>
      </c>
      <c r="BT471" s="85" t="str">
        <f t="shared" si="1875"/>
        <v>-</v>
      </c>
      <c r="BU471" s="85" t="str">
        <f t="shared" si="1876"/>
        <v>-</v>
      </c>
    </row>
    <row r="472" spans="1:73" ht="30.45" customHeight="1" x14ac:dyDescent="0.25">
      <c r="A472" s="87" t="s">
        <v>34</v>
      </c>
      <c r="B472" s="88" t="s">
        <v>486</v>
      </c>
      <c r="C472" s="88" t="s">
        <v>487</v>
      </c>
      <c r="D472" s="85">
        <f>'Consumer Hardware Pricing'!L482</f>
        <v>185</v>
      </c>
      <c r="E472" s="85">
        <f>'Consumer Hardware Pricing'!M482</f>
        <v>185</v>
      </c>
      <c r="F472" s="85">
        <f>'Consumer Hardware Pricing'!N482</f>
        <v>0</v>
      </c>
      <c r="G472" s="85">
        <f t="shared" si="1563"/>
        <v>7.71</v>
      </c>
      <c r="H472" s="85" t="str">
        <f>'Consumer Hardware Pricing'!O482</f>
        <v>-</v>
      </c>
      <c r="I472" s="85">
        <f t="shared" si="1513"/>
        <v>7.71</v>
      </c>
      <c r="J472" s="85" t="str">
        <f t="shared" si="1525"/>
        <v>-</v>
      </c>
      <c r="K472" s="85">
        <f t="shared" si="1526"/>
        <v>185.04</v>
      </c>
      <c r="L472" s="85" t="str">
        <f>'Consumer Hardware Pricing'!Q482</f>
        <v>-</v>
      </c>
      <c r="M472" s="85" t="str">
        <f t="shared" si="1564"/>
        <v>-</v>
      </c>
      <c r="N472" s="85" t="str">
        <f t="shared" si="1514"/>
        <v>-</v>
      </c>
      <c r="O472" s="85" t="str">
        <f t="shared" si="1515"/>
        <v>-</v>
      </c>
      <c r="P472" s="85" t="str">
        <f t="shared" si="1527"/>
        <v>-</v>
      </c>
      <c r="Q472" s="85">
        <f>'Consumer Hardware Pricing'!S482</f>
        <v>0</v>
      </c>
      <c r="R472" s="85">
        <f t="shared" si="1516"/>
        <v>7.71</v>
      </c>
      <c r="S472" s="85" t="str">
        <f>'Consumer Hardware Pricing'!T482</f>
        <v>-</v>
      </c>
      <c r="T472" s="129">
        <f t="shared" si="1528"/>
        <v>7.71</v>
      </c>
      <c r="U472" s="129" t="str">
        <f t="shared" si="1529"/>
        <v>-</v>
      </c>
      <c r="V472" s="85">
        <f t="shared" si="1530"/>
        <v>185.04</v>
      </c>
      <c r="W472" s="129" t="str">
        <f>'Consumer Hardware Pricing'!V482</f>
        <v>-</v>
      </c>
      <c r="X472" s="129" t="str">
        <f t="shared" si="1565"/>
        <v>-</v>
      </c>
      <c r="Y472" s="129" t="str">
        <f t="shared" si="1531"/>
        <v>-</v>
      </c>
      <c r="Z472" s="129" t="str">
        <f t="shared" si="1532"/>
        <v>-</v>
      </c>
      <c r="AA472" s="85" t="str">
        <f t="shared" si="1533"/>
        <v>-</v>
      </c>
      <c r="AB472" s="85">
        <f>'Consumer Hardware Pricing'!X482</f>
        <v>0</v>
      </c>
      <c r="AC472" s="85">
        <f t="shared" si="1756"/>
        <v>7.71</v>
      </c>
      <c r="AD472" s="85" t="str">
        <f>'Consumer Hardware Pricing'!Y482</f>
        <v>-</v>
      </c>
      <c r="AE472" s="85">
        <f t="shared" si="1501"/>
        <v>7.71</v>
      </c>
      <c r="AF472" s="85" t="str">
        <f t="shared" si="1502"/>
        <v>-</v>
      </c>
      <c r="AG472" s="85">
        <f t="shared" si="1503"/>
        <v>185.04</v>
      </c>
      <c r="AH472" s="85" t="str">
        <f>'Consumer Hardware Pricing'!AA482</f>
        <v>-</v>
      </c>
      <c r="AI472" s="85" t="str">
        <f t="shared" si="1757"/>
        <v>-</v>
      </c>
      <c r="AJ472" s="85" t="str">
        <f t="shared" si="1504"/>
        <v>-</v>
      </c>
      <c r="AK472" s="85" t="str">
        <f t="shared" si="1505"/>
        <v>-</v>
      </c>
      <c r="AL472" s="85" t="str">
        <f t="shared" si="1506"/>
        <v>-</v>
      </c>
      <c r="AM472" s="85">
        <f>'Consumer Hardware Pricing'!AC482</f>
        <v>0</v>
      </c>
      <c r="AN472" s="85">
        <f t="shared" si="1758"/>
        <v>7.71</v>
      </c>
      <c r="AO472" s="85" t="str">
        <f>'Consumer Hardware Pricing'!AD482</f>
        <v>-</v>
      </c>
      <c r="AP472" s="85">
        <f t="shared" si="1507"/>
        <v>7.71</v>
      </c>
      <c r="AQ472" s="85" t="str">
        <f t="shared" si="1508"/>
        <v>-</v>
      </c>
      <c r="AR472" s="85">
        <f t="shared" si="1509"/>
        <v>185.04</v>
      </c>
      <c r="AS472" s="85" t="str">
        <f>'Consumer Hardware Pricing'!AF482</f>
        <v>-</v>
      </c>
      <c r="AT472" s="85" t="str">
        <f t="shared" si="1759"/>
        <v>-</v>
      </c>
      <c r="AU472" s="85" t="str">
        <f t="shared" si="1510"/>
        <v>-</v>
      </c>
      <c r="AV472" s="85" t="str">
        <f t="shared" si="1511"/>
        <v>-</v>
      </c>
      <c r="AW472" s="85" t="str">
        <f t="shared" si="1512"/>
        <v>-</v>
      </c>
      <c r="AX472" s="85">
        <f>'Consumer Hardware Pricing'!AH482</f>
        <v>0</v>
      </c>
      <c r="AY472" s="85">
        <f t="shared" si="1760"/>
        <v>7.71</v>
      </c>
      <c r="AZ472" s="85" t="str">
        <f>'Consumer Hardware Pricing'!AI482</f>
        <v>-</v>
      </c>
      <c r="BA472" s="85">
        <f t="shared" si="1517"/>
        <v>7.71</v>
      </c>
      <c r="BB472" s="85" t="str">
        <f t="shared" si="1518"/>
        <v>-</v>
      </c>
      <c r="BC472" s="85">
        <f t="shared" si="1534"/>
        <v>185.04</v>
      </c>
      <c r="BD472" s="85" t="str">
        <f>'Consumer Hardware Pricing'!AL482</f>
        <v>-</v>
      </c>
      <c r="BE472" s="85" t="str">
        <f t="shared" si="1761"/>
        <v>-</v>
      </c>
      <c r="BF472" s="85" t="str">
        <f>'Consumer Hardware Pricing'!AM482</f>
        <v>-</v>
      </c>
      <c r="BG472" s="85" t="str">
        <f t="shared" si="1519"/>
        <v>-</v>
      </c>
      <c r="BH472" s="85" t="str">
        <f t="shared" si="1520"/>
        <v>-</v>
      </c>
      <c r="BI472" s="85" t="str">
        <f t="shared" si="1535"/>
        <v>-</v>
      </c>
      <c r="BJ472" s="85" t="str">
        <f>'Consumer Hardware Pricing'!AP482</f>
        <v>-</v>
      </c>
      <c r="BK472" s="85" t="str">
        <f t="shared" si="1762"/>
        <v>-</v>
      </c>
      <c r="BL472" s="85" t="str">
        <f>'Consumer Hardware Pricing'!AQ482</f>
        <v>-</v>
      </c>
      <c r="BM472" s="85" t="str">
        <f t="shared" si="1521"/>
        <v>-</v>
      </c>
      <c r="BN472" s="85" t="str">
        <f t="shared" si="1522"/>
        <v>-</v>
      </c>
      <c r="BO472" s="85" t="str">
        <f t="shared" si="1536"/>
        <v>-</v>
      </c>
      <c r="BP472" s="85" t="str">
        <f>'Consumer Hardware Pricing'!AT482</f>
        <v>-</v>
      </c>
      <c r="BQ472" s="85" t="str">
        <f t="shared" si="1763"/>
        <v>-</v>
      </c>
      <c r="BR472" s="85" t="str">
        <f>'Consumer Hardware Pricing'!AU482</f>
        <v>-</v>
      </c>
      <c r="BS472" s="85" t="str">
        <f t="shared" si="1523"/>
        <v>-</v>
      </c>
      <c r="BT472" s="85" t="str">
        <f t="shared" si="1524"/>
        <v>-</v>
      </c>
      <c r="BU472" s="85" t="str">
        <f t="shared" si="1537"/>
        <v>-</v>
      </c>
    </row>
    <row r="473" spans="1:73" ht="30" x14ac:dyDescent="0.25">
      <c r="A473" s="87" t="s">
        <v>34</v>
      </c>
      <c r="B473" s="88" t="s">
        <v>544</v>
      </c>
      <c r="C473" s="88" t="s">
        <v>539</v>
      </c>
      <c r="D473" s="85">
        <f>'Consumer Hardware Pricing'!L483</f>
        <v>1440</v>
      </c>
      <c r="E473" s="85">
        <f>'Consumer Hardware Pricing'!M483</f>
        <v>1440</v>
      </c>
      <c r="F473" s="85">
        <f>'Consumer Hardware Pricing'!N483</f>
        <v>0</v>
      </c>
      <c r="G473" s="85">
        <f t="shared" si="1563"/>
        <v>60</v>
      </c>
      <c r="H473" s="85">
        <f>'Consumer Hardware Pricing'!O483</f>
        <v>21.67</v>
      </c>
      <c r="I473" s="85">
        <f t="shared" si="1513"/>
        <v>38.33</v>
      </c>
      <c r="J473" s="85">
        <f t="shared" si="1525"/>
        <v>520.08000000000004</v>
      </c>
      <c r="K473" s="85">
        <f t="shared" si="1526"/>
        <v>919.92</v>
      </c>
      <c r="L473" s="85" t="str">
        <f>'Consumer Hardware Pricing'!Q483</f>
        <v>-</v>
      </c>
      <c r="M473" s="85" t="str">
        <f t="shared" si="1564"/>
        <v>-</v>
      </c>
      <c r="N473" s="85" t="str">
        <f t="shared" si="1514"/>
        <v>-</v>
      </c>
      <c r="O473" s="85" t="str">
        <f t="shared" si="1515"/>
        <v>-</v>
      </c>
      <c r="P473" s="85" t="str">
        <f t="shared" si="1527"/>
        <v>-</v>
      </c>
      <c r="Q473" s="85">
        <f>'Consumer Hardware Pricing'!S483</f>
        <v>0</v>
      </c>
      <c r="R473" s="85">
        <f t="shared" si="1516"/>
        <v>60</v>
      </c>
      <c r="S473" s="85">
        <f>'Consumer Hardware Pricing'!T483</f>
        <v>21.67</v>
      </c>
      <c r="T473" s="129">
        <f t="shared" si="1528"/>
        <v>38.33</v>
      </c>
      <c r="U473" s="129">
        <f t="shared" si="1529"/>
        <v>520.08000000000004</v>
      </c>
      <c r="V473" s="85">
        <f t="shared" si="1530"/>
        <v>919.92</v>
      </c>
      <c r="W473" s="129" t="str">
        <f>'Consumer Hardware Pricing'!V483</f>
        <v>-</v>
      </c>
      <c r="X473" s="129" t="str">
        <f t="shared" si="1565"/>
        <v>-</v>
      </c>
      <c r="Y473" s="129" t="str">
        <f t="shared" si="1531"/>
        <v>-</v>
      </c>
      <c r="Z473" s="129" t="str">
        <f t="shared" si="1532"/>
        <v>-</v>
      </c>
      <c r="AA473" s="85" t="str">
        <f t="shared" si="1533"/>
        <v>-</v>
      </c>
      <c r="AB473" s="85">
        <f>'Consumer Hardware Pricing'!X483</f>
        <v>0</v>
      </c>
      <c r="AC473" s="85">
        <f t="shared" si="1756"/>
        <v>60</v>
      </c>
      <c r="AD473" s="85">
        <f>'Consumer Hardware Pricing'!Y483</f>
        <v>21.67</v>
      </c>
      <c r="AE473" s="85">
        <f t="shared" si="1501"/>
        <v>38.33</v>
      </c>
      <c r="AF473" s="85">
        <f t="shared" si="1502"/>
        <v>520.08000000000004</v>
      </c>
      <c r="AG473" s="85">
        <f t="shared" si="1503"/>
        <v>919.92</v>
      </c>
      <c r="AH473" s="85" t="str">
        <f>'Consumer Hardware Pricing'!AA483</f>
        <v>-</v>
      </c>
      <c r="AI473" s="85" t="str">
        <f t="shared" si="1757"/>
        <v>-</v>
      </c>
      <c r="AJ473" s="85" t="str">
        <f t="shared" si="1504"/>
        <v>-</v>
      </c>
      <c r="AK473" s="85" t="str">
        <f t="shared" si="1505"/>
        <v>-</v>
      </c>
      <c r="AL473" s="85" t="str">
        <f t="shared" si="1506"/>
        <v>-</v>
      </c>
      <c r="AM473" s="85">
        <f>'Consumer Hardware Pricing'!AC483</f>
        <v>0</v>
      </c>
      <c r="AN473" s="85">
        <f t="shared" si="1758"/>
        <v>60</v>
      </c>
      <c r="AO473" s="85">
        <f>'Consumer Hardware Pricing'!AD483</f>
        <v>21.67</v>
      </c>
      <c r="AP473" s="85">
        <f t="shared" si="1507"/>
        <v>38.33</v>
      </c>
      <c r="AQ473" s="85">
        <f t="shared" si="1508"/>
        <v>520.08000000000004</v>
      </c>
      <c r="AR473" s="85">
        <f t="shared" si="1509"/>
        <v>919.92</v>
      </c>
      <c r="AS473" s="85" t="str">
        <f>'Consumer Hardware Pricing'!AF483</f>
        <v>-</v>
      </c>
      <c r="AT473" s="85" t="str">
        <f t="shared" si="1759"/>
        <v>-</v>
      </c>
      <c r="AU473" s="85" t="str">
        <f t="shared" si="1510"/>
        <v>-</v>
      </c>
      <c r="AV473" s="85" t="str">
        <f t="shared" si="1511"/>
        <v>-</v>
      </c>
      <c r="AW473" s="85" t="str">
        <f t="shared" si="1512"/>
        <v>-</v>
      </c>
      <c r="AX473" s="85" t="str">
        <f>'Consumer Hardware Pricing'!AH483</f>
        <v>-</v>
      </c>
      <c r="AY473" s="85" t="str">
        <f t="shared" si="1760"/>
        <v>-</v>
      </c>
      <c r="AZ473" s="85" t="str">
        <f>'Consumer Hardware Pricing'!AI483</f>
        <v>-</v>
      </c>
      <c r="BA473" s="85" t="str">
        <f t="shared" si="1517"/>
        <v>-</v>
      </c>
      <c r="BB473" s="85" t="str">
        <f t="shared" si="1518"/>
        <v>-</v>
      </c>
      <c r="BC473" s="85" t="str">
        <f t="shared" si="1534"/>
        <v>-</v>
      </c>
      <c r="BD473" s="85" t="str">
        <f>'Consumer Hardware Pricing'!AL483</f>
        <v>-</v>
      </c>
      <c r="BE473" s="85" t="str">
        <f t="shared" si="1761"/>
        <v>-</v>
      </c>
      <c r="BF473" s="85" t="str">
        <f>'Consumer Hardware Pricing'!AM483</f>
        <v>-</v>
      </c>
      <c r="BG473" s="85" t="str">
        <f t="shared" si="1519"/>
        <v>-</v>
      </c>
      <c r="BH473" s="85" t="str">
        <f t="shared" si="1520"/>
        <v>-</v>
      </c>
      <c r="BI473" s="85" t="str">
        <f t="shared" si="1535"/>
        <v>-</v>
      </c>
      <c r="BJ473" s="85" t="str">
        <f>'Consumer Hardware Pricing'!AP483</f>
        <v>-</v>
      </c>
      <c r="BK473" s="85" t="str">
        <f t="shared" si="1762"/>
        <v>-</v>
      </c>
      <c r="BL473" s="85" t="str">
        <f>'Consumer Hardware Pricing'!AQ483</f>
        <v>-</v>
      </c>
      <c r="BM473" s="85" t="str">
        <f t="shared" si="1521"/>
        <v>-</v>
      </c>
      <c r="BN473" s="85" t="str">
        <f t="shared" si="1522"/>
        <v>-</v>
      </c>
      <c r="BO473" s="85" t="str">
        <f t="shared" si="1536"/>
        <v>-</v>
      </c>
      <c r="BP473" s="85" t="str">
        <f>'Consumer Hardware Pricing'!AT483</f>
        <v>-</v>
      </c>
      <c r="BQ473" s="85" t="str">
        <f t="shared" si="1763"/>
        <v>-</v>
      </c>
      <c r="BR473" s="85" t="str">
        <f>'Consumer Hardware Pricing'!AU483</f>
        <v>-</v>
      </c>
      <c r="BS473" s="85" t="str">
        <f t="shared" si="1523"/>
        <v>-</v>
      </c>
      <c r="BT473" s="85" t="str">
        <f t="shared" si="1524"/>
        <v>-</v>
      </c>
      <c r="BU473" s="85" t="str">
        <f t="shared" si="1537"/>
        <v>-</v>
      </c>
    </row>
    <row r="474" spans="1:73" ht="30" x14ac:dyDescent="0.25">
      <c r="A474" s="87" t="s">
        <v>34</v>
      </c>
      <c r="B474" s="88" t="s">
        <v>445</v>
      </c>
      <c r="C474" s="88" t="s">
        <v>539</v>
      </c>
      <c r="D474" s="85">
        <f>'Consumer Hardware Pricing'!L484</f>
        <v>1440</v>
      </c>
      <c r="E474" s="85">
        <f>'Consumer Hardware Pricing'!M484</f>
        <v>1440</v>
      </c>
      <c r="F474" s="85">
        <f>'Consumer Hardware Pricing'!N484</f>
        <v>0</v>
      </c>
      <c r="G474" s="85">
        <f t="shared" si="1563"/>
        <v>60</v>
      </c>
      <c r="H474" s="85">
        <f>'Consumer Hardware Pricing'!O484</f>
        <v>21.67</v>
      </c>
      <c r="I474" s="85">
        <f t="shared" si="1513"/>
        <v>38.33</v>
      </c>
      <c r="J474" s="85">
        <f t="shared" si="1525"/>
        <v>520.08000000000004</v>
      </c>
      <c r="K474" s="85">
        <f t="shared" si="1526"/>
        <v>919.92</v>
      </c>
      <c r="L474" s="85" t="str">
        <f>'Consumer Hardware Pricing'!Q484</f>
        <v>-</v>
      </c>
      <c r="M474" s="85" t="str">
        <f t="shared" si="1564"/>
        <v>-</v>
      </c>
      <c r="N474" s="85" t="str">
        <f t="shared" si="1514"/>
        <v>-</v>
      </c>
      <c r="O474" s="85" t="str">
        <f t="shared" si="1515"/>
        <v>-</v>
      </c>
      <c r="P474" s="85" t="str">
        <f t="shared" si="1527"/>
        <v>-</v>
      </c>
      <c r="Q474" s="85">
        <f>'Consumer Hardware Pricing'!S484</f>
        <v>0</v>
      </c>
      <c r="R474" s="85">
        <f t="shared" si="1516"/>
        <v>60</v>
      </c>
      <c r="S474" s="85">
        <f>'Consumer Hardware Pricing'!T484</f>
        <v>21.67</v>
      </c>
      <c r="T474" s="129">
        <f t="shared" si="1528"/>
        <v>38.33</v>
      </c>
      <c r="U474" s="129">
        <f t="shared" si="1529"/>
        <v>520.08000000000004</v>
      </c>
      <c r="V474" s="85">
        <f t="shared" si="1530"/>
        <v>919.92</v>
      </c>
      <c r="W474" s="129" t="str">
        <f>'Consumer Hardware Pricing'!V484</f>
        <v>-</v>
      </c>
      <c r="X474" s="129" t="str">
        <f t="shared" si="1565"/>
        <v>-</v>
      </c>
      <c r="Y474" s="129" t="str">
        <f t="shared" si="1531"/>
        <v>-</v>
      </c>
      <c r="Z474" s="129" t="str">
        <f t="shared" si="1532"/>
        <v>-</v>
      </c>
      <c r="AA474" s="85" t="str">
        <f t="shared" si="1533"/>
        <v>-</v>
      </c>
      <c r="AB474" s="85">
        <f>'Consumer Hardware Pricing'!X484</f>
        <v>0</v>
      </c>
      <c r="AC474" s="85">
        <f t="shared" si="1756"/>
        <v>60</v>
      </c>
      <c r="AD474" s="85">
        <f>'Consumer Hardware Pricing'!Y484</f>
        <v>21.67</v>
      </c>
      <c r="AE474" s="85">
        <f t="shared" si="1501"/>
        <v>38.33</v>
      </c>
      <c r="AF474" s="85">
        <f t="shared" si="1502"/>
        <v>520.08000000000004</v>
      </c>
      <c r="AG474" s="85">
        <f t="shared" si="1503"/>
        <v>919.92</v>
      </c>
      <c r="AH474" s="85" t="str">
        <f>'Consumer Hardware Pricing'!AA484</f>
        <v>-</v>
      </c>
      <c r="AI474" s="85" t="str">
        <f t="shared" si="1757"/>
        <v>-</v>
      </c>
      <c r="AJ474" s="85" t="str">
        <f t="shared" si="1504"/>
        <v>-</v>
      </c>
      <c r="AK474" s="85" t="str">
        <f t="shared" si="1505"/>
        <v>-</v>
      </c>
      <c r="AL474" s="85" t="str">
        <f t="shared" si="1506"/>
        <v>-</v>
      </c>
      <c r="AM474" s="85">
        <f>'Consumer Hardware Pricing'!AC484</f>
        <v>0</v>
      </c>
      <c r="AN474" s="85">
        <f t="shared" si="1758"/>
        <v>60</v>
      </c>
      <c r="AO474" s="85">
        <f>'Consumer Hardware Pricing'!AD484</f>
        <v>21.67</v>
      </c>
      <c r="AP474" s="85">
        <f t="shared" si="1507"/>
        <v>38.33</v>
      </c>
      <c r="AQ474" s="85">
        <f t="shared" si="1508"/>
        <v>520.08000000000004</v>
      </c>
      <c r="AR474" s="85">
        <f t="shared" si="1509"/>
        <v>919.92</v>
      </c>
      <c r="AS474" s="85" t="str">
        <f>'Consumer Hardware Pricing'!AF484</f>
        <v>-</v>
      </c>
      <c r="AT474" s="85" t="str">
        <f t="shared" si="1759"/>
        <v>-</v>
      </c>
      <c r="AU474" s="85" t="str">
        <f t="shared" si="1510"/>
        <v>-</v>
      </c>
      <c r="AV474" s="85" t="str">
        <f t="shared" si="1511"/>
        <v>-</v>
      </c>
      <c r="AW474" s="85" t="str">
        <f t="shared" si="1512"/>
        <v>-</v>
      </c>
      <c r="AX474" s="85" t="str">
        <f>'Consumer Hardware Pricing'!AH484</f>
        <v>-</v>
      </c>
      <c r="AY474" s="85" t="str">
        <f t="shared" si="1760"/>
        <v>-</v>
      </c>
      <c r="AZ474" s="85" t="str">
        <f>'Consumer Hardware Pricing'!AI484</f>
        <v>-</v>
      </c>
      <c r="BA474" s="85" t="str">
        <f t="shared" si="1517"/>
        <v>-</v>
      </c>
      <c r="BB474" s="85" t="str">
        <f t="shared" si="1518"/>
        <v>-</v>
      </c>
      <c r="BC474" s="85" t="str">
        <f t="shared" si="1534"/>
        <v>-</v>
      </c>
      <c r="BD474" s="85" t="str">
        <f>'Consumer Hardware Pricing'!AL484</f>
        <v>-</v>
      </c>
      <c r="BE474" s="85" t="str">
        <f t="shared" si="1761"/>
        <v>-</v>
      </c>
      <c r="BF474" s="85" t="str">
        <f>'Consumer Hardware Pricing'!AM484</f>
        <v>-</v>
      </c>
      <c r="BG474" s="85" t="str">
        <f t="shared" si="1519"/>
        <v>-</v>
      </c>
      <c r="BH474" s="85" t="str">
        <f t="shared" si="1520"/>
        <v>-</v>
      </c>
      <c r="BI474" s="85" t="str">
        <f t="shared" si="1535"/>
        <v>-</v>
      </c>
      <c r="BJ474" s="85" t="str">
        <f>'Consumer Hardware Pricing'!AP484</f>
        <v>-</v>
      </c>
      <c r="BK474" s="85" t="str">
        <f t="shared" si="1762"/>
        <v>-</v>
      </c>
      <c r="BL474" s="85" t="str">
        <f>'Consumer Hardware Pricing'!AQ484</f>
        <v>-</v>
      </c>
      <c r="BM474" s="85" t="str">
        <f t="shared" si="1521"/>
        <v>-</v>
      </c>
      <c r="BN474" s="85" t="str">
        <f t="shared" si="1522"/>
        <v>-</v>
      </c>
      <c r="BO474" s="85" t="str">
        <f t="shared" si="1536"/>
        <v>-</v>
      </c>
      <c r="BP474" s="85" t="str">
        <f>'Consumer Hardware Pricing'!AT484</f>
        <v>-</v>
      </c>
      <c r="BQ474" s="85" t="str">
        <f t="shared" si="1763"/>
        <v>-</v>
      </c>
      <c r="BR474" s="85" t="str">
        <f>'Consumer Hardware Pricing'!AU484</f>
        <v>-</v>
      </c>
      <c r="BS474" s="85" t="str">
        <f t="shared" si="1523"/>
        <v>-</v>
      </c>
      <c r="BT474" s="85" t="str">
        <f t="shared" si="1524"/>
        <v>-</v>
      </c>
      <c r="BU474" s="85" t="str">
        <f t="shared" si="1537"/>
        <v>-</v>
      </c>
    </row>
    <row r="475" spans="1:73" ht="30" x14ac:dyDescent="0.25">
      <c r="A475" s="87" t="s">
        <v>34</v>
      </c>
      <c r="B475" s="88" t="s">
        <v>538</v>
      </c>
      <c r="C475" s="88" t="s">
        <v>540</v>
      </c>
      <c r="D475" s="85">
        <f>'Consumer Hardware Pricing'!L485</f>
        <v>1510</v>
      </c>
      <c r="E475" s="85">
        <f>'Consumer Hardware Pricing'!M485</f>
        <v>1510</v>
      </c>
      <c r="F475" s="85">
        <f>'Consumer Hardware Pricing'!N485</f>
        <v>0</v>
      </c>
      <c r="G475" s="85">
        <f t="shared" si="1563"/>
        <v>62.919999999999995</v>
      </c>
      <c r="H475" s="85" t="str">
        <f>'Consumer Hardware Pricing'!O485</f>
        <v>-</v>
      </c>
      <c r="I475" s="85">
        <f t="shared" si="1513"/>
        <v>62.919999999999995</v>
      </c>
      <c r="J475" s="85" t="str">
        <f t="shared" si="1525"/>
        <v>-</v>
      </c>
      <c r="K475" s="85">
        <f t="shared" si="1526"/>
        <v>1510.08</v>
      </c>
      <c r="L475" s="85" t="str">
        <f>'Consumer Hardware Pricing'!Q485</f>
        <v>-</v>
      </c>
      <c r="M475" s="85" t="str">
        <f t="shared" si="1564"/>
        <v>-</v>
      </c>
      <c r="N475" s="85" t="str">
        <f t="shared" si="1514"/>
        <v>-</v>
      </c>
      <c r="O475" s="85" t="str">
        <f t="shared" si="1515"/>
        <v>-</v>
      </c>
      <c r="P475" s="85" t="str">
        <f t="shared" si="1527"/>
        <v>-</v>
      </c>
      <c r="Q475" s="85">
        <f>'Consumer Hardware Pricing'!S485</f>
        <v>0</v>
      </c>
      <c r="R475" s="85">
        <f t="shared" si="1516"/>
        <v>62.919999999999995</v>
      </c>
      <c r="S475" s="85" t="str">
        <f>'Consumer Hardware Pricing'!T485</f>
        <v>-</v>
      </c>
      <c r="T475" s="129">
        <f t="shared" si="1528"/>
        <v>62.919999999999995</v>
      </c>
      <c r="U475" s="129" t="str">
        <f t="shared" si="1529"/>
        <v>-</v>
      </c>
      <c r="V475" s="85">
        <f t="shared" si="1530"/>
        <v>1510.08</v>
      </c>
      <c r="W475" s="129" t="str">
        <f>'Consumer Hardware Pricing'!V485</f>
        <v>-</v>
      </c>
      <c r="X475" s="129" t="str">
        <f t="shared" si="1565"/>
        <v>-</v>
      </c>
      <c r="Y475" s="129" t="str">
        <f t="shared" si="1531"/>
        <v>-</v>
      </c>
      <c r="Z475" s="129" t="str">
        <f t="shared" si="1532"/>
        <v>-</v>
      </c>
      <c r="AA475" s="85" t="str">
        <f t="shared" si="1533"/>
        <v>-</v>
      </c>
      <c r="AB475" s="85">
        <f>'Consumer Hardware Pricing'!X485</f>
        <v>0</v>
      </c>
      <c r="AC475" s="85">
        <f t="shared" si="1756"/>
        <v>62.919999999999995</v>
      </c>
      <c r="AD475" s="85" t="str">
        <f>'Consumer Hardware Pricing'!Y485</f>
        <v>-</v>
      </c>
      <c r="AE475" s="85">
        <f t="shared" si="1501"/>
        <v>62.919999999999995</v>
      </c>
      <c r="AF475" s="85" t="str">
        <f t="shared" si="1502"/>
        <v>-</v>
      </c>
      <c r="AG475" s="85">
        <f t="shared" si="1503"/>
        <v>1510.08</v>
      </c>
      <c r="AH475" s="85" t="str">
        <f>'Consumer Hardware Pricing'!AA485</f>
        <v>-</v>
      </c>
      <c r="AI475" s="85" t="str">
        <f t="shared" si="1757"/>
        <v>-</v>
      </c>
      <c r="AJ475" s="85" t="str">
        <f t="shared" si="1504"/>
        <v>-</v>
      </c>
      <c r="AK475" s="85" t="str">
        <f t="shared" si="1505"/>
        <v>-</v>
      </c>
      <c r="AL475" s="85" t="str">
        <f t="shared" si="1506"/>
        <v>-</v>
      </c>
      <c r="AM475" s="85">
        <f>'Consumer Hardware Pricing'!AC485</f>
        <v>0</v>
      </c>
      <c r="AN475" s="85">
        <f t="shared" si="1758"/>
        <v>62.919999999999995</v>
      </c>
      <c r="AO475" s="85" t="str">
        <f>'Consumer Hardware Pricing'!AD485</f>
        <v>-</v>
      </c>
      <c r="AP475" s="85">
        <f t="shared" si="1507"/>
        <v>62.919999999999995</v>
      </c>
      <c r="AQ475" s="85" t="str">
        <f t="shared" si="1508"/>
        <v>-</v>
      </c>
      <c r="AR475" s="85">
        <f t="shared" si="1509"/>
        <v>1510.08</v>
      </c>
      <c r="AS475" s="85" t="str">
        <f>'Consumer Hardware Pricing'!AF485</f>
        <v>-</v>
      </c>
      <c r="AT475" s="85" t="str">
        <f t="shared" si="1759"/>
        <v>-</v>
      </c>
      <c r="AU475" s="85" t="str">
        <f t="shared" si="1510"/>
        <v>-</v>
      </c>
      <c r="AV475" s="85" t="str">
        <f t="shared" si="1511"/>
        <v>-</v>
      </c>
      <c r="AW475" s="85" t="str">
        <f t="shared" si="1512"/>
        <v>-</v>
      </c>
      <c r="AX475" s="85" t="str">
        <f>'Consumer Hardware Pricing'!AH485</f>
        <v>-</v>
      </c>
      <c r="AY475" s="85" t="str">
        <f t="shared" si="1760"/>
        <v>-</v>
      </c>
      <c r="AZ475" s="85" t="str">
        <f>'Consumer Hardware Pricing'!AI485</f>
        <v>-</v>
      </c>
      <c r="BA475" s="85" t="str">
        <f t="shared" si="1517"/>
        <v>-</v>
      </c>
      <c r="BB475" s="85" t="str">
        <f t="shared" si="1518"/>
        <v>-</v>
      </c>
      <c r="BC475" s="85" t="str">
        <f t="shared" si="1534"/>
        <v>-</v>
      </c>
      <c r="BD475" s="85" t="str">
        <f>'Consumer Hardware Pricing'!AL485</f>
        <v>-</v>
      </c>
      <c r="BE475" s="85" t="str">
        <f t="shared" si="1761"/>
        <v>-</v>
      </c>
      <c r="BF475" s="85" t="str">
        <f>'Consumer Hardware Pricing'!AM485</f>
        <v>-</v>
      </c>
      <c r="BG475" s="85" t="str">
        <f t="shared" si="1519"/>
        <v>-</v>
      </c>
      <c r="BH475" s="85" t="str">
        <f t="shared" si="1520"/>
        <v>-</v>
      </c>
      <c r="BI475" s="85" t="str">
        <f t="shared" si="1535"/>
        <v>-</v>
      </c>
      <c r="BJ475" s="85" t="str">
        <f>'Consumer Hardware Pricing'!AP485</f>
        <v>-</v>
      </c>
      <c r="BK475" s="85" t="str">
        <f t="shared" si="1762"/>
        <v>-</v>
      </c>
      <c r="BL475" s="85" t="str">
        <f>'Consumer Hardware Pricing'!AQ485</f>
        <v>-</v>
      </c>
      <c r="BM475" s="85" t="str">
        <f t="shared" si="1521"/>
        <v>-</v>
      </c>
      <c r="BN475" s="85" t="str">
        <f t="shared" si="1522"/>
        <v>-</v>
      </c>
      <c r="BO475" s="85" t="str">
        <f t="shared" si="1536"/>
        <v>-</v>
      </c>
      <c r="BP475" s="85" t="str">
        <f>'Consumer Hardware Pricing'!AT485</f>
        <v>-</v>
      </c>
      <c r="BQ475" s="85" t="str">
        <f t="shared" si="1763"/>
        <v>-</v>
      </c>
      <c r="BR475" s="85" t="str">
        <f>'Consumer Hardware Pricing'!AU485</f>
        <v>-</v>
      </c>
      <c r="BS475" s="85" t="str">
        <f t="shared" si="1523"/>
        <v>-</v>
      </c>
      <c r="BT475" s="85" t="str">
        <f t="shared" si="1524"/>
        <v>-</v>
      </c>
      <c r="BU475" s="85" t="str">
        <f t="shared" si="1537"/>
        <v>-</v>
      </c>
    </row>
    <row r="476" spans="1:73" ht="30" x14ac:dyDescent="0.25">
      <c r="A476" s="87" t="s">
        <v>34</v>
      </c>
      <c r="B476" s="88" t="s">
        <v>642</v>
      </c>
      <c r="C476" s="88" t="s">
        <v>649</v>
      </c>
      <c r="D476" s="85">
        <f>'Consumer Hardware Pricing'!L486</f>
        <v>1518</v>
      </c>
      <c r="E476" s="85">
        <f>'Consumer Hardware Pricing'!M486</f>
        <v>1518</v>
      </c>
      <c r="F476" s="85">
        <f>'Consumer Hardware Pricing'!N486</f>
        <v>0</v>
      </c>
      <c r="G476" s="85">
        <f t="shared" si="1563"/>
        <v>63.25</v>
      </c>
      <c r="H476" s="85">
        <f>'Consumer Hardware Pricing'!O486</f>
        <v>2.42</v>
      </c>
      <c r="I476" s="85">
        <f t="shared" si="1513"/>
        <v>60.83</v>
      </c>
      <c r="J476" s="85">
        <f t="shared" si="1525"/>
        <v>58.08</v>
      </c>
      <c r="K476" s="85">
        <f t="shared" si="1526"/>
        <v>1459.92</v>
      </c>
      <c r="L476" s="85">
        <f>'Consumer Hardware Pricing'!Q486</f>
        <v>290</v>
      </c>
      <c r="M476" s="85">
        <f t="shared" si="1564"/>
        <v>14.500000000000007</v>
      </c>
      <c r="N476" s="85">
        <f t="shared" si="1514"/>
        <v>48.749999999999993</v>
      </c>
      <c r="O476" s="85">
        <f t="shared" si="1515"/>
        <v>348.00000000000017</v>
      </c>
      <c r="P476" s="85">
        <f t="shared" si="1527"/>
        <v>1169.9999999999998</v>
      </c>
      <c r="Q476" s="85">
        <f>'Consumer Hardware Pricing'!S486</f>
        <v>0</v>
      </c>
      <c r="R476" s="85">
        <f t="shared" si="1516"/>
        <v>63.25</v>
      </c>
      <c r="S476" s="85">
        <f>'Consumer Hardware Pricing'!T486</f>
        <v>2.42</v>
      </c>
      <c r="T476" s="129">
        <f t="shared" si="1528"/>
        <v>60.83</v>
      </c>
      <c r="U476" s="129">
        <f t="shared" si="1529"/>
        <v>58.08</v>
      </c>
      <c r="V476" s="85">
        <f t="shared" si="1530"/>
        <v>1459.92</v>
      </c>
      <c r="W476" s="129">
        <f>'Consumer Hardware Pricing'!V486</f>
        <v>290</v>
      </c>
      <c r="X476" s="129">
        <f t="shared" si="1565"/>
        <v>14.500000000000007</v>
      </c>
      <c r="Y476" s="129">
        <f t="shared" si="1531"/>
        <v>48.749999999999993</v>
      </c>
      <c r="Z476" s="129">
        <f t="shared" si="1532"/>
        <v>348.00000000000017</v>
      </c>
      <c r="AA476" s="85">
        <f t="shared" si="1533"/>
        <v>1169.9999999999998</v>
      </c>
      <c r="AB476" s="85">
        <f>'Consumer Hardware Pricing'!X486</f>
        <v>0</v>
      </c>
      <c r="AC476" s="85">
        <f t="shared" si="1756"/>
        <v>63.25</v>
      </c>
      <c r="AD476" s="85">
        <f>'Consumer Hardware Pricing'!Y486</f>
        <v>13.25</v>
      </c>
      <c r="AE476" s="85">
        <f t="shared" si="1501"/>
        <v>50</v>
      </c>
      <c r="AF476" s="85">
        <f t="shared" si="1502"/>
        <v>318</v>
      </c>
      <c r="AG476" s="85">
        <f t="shared" si="1503"/>
        <v>1200</v>
      </c>
      <c r="AH476" s="85">
        <f>'Consumer Hardware Pricing'!AA486</f>
        <v>290</v>
      </c>
      <c r="AI476" s="85">
        <f t="shared" si="1757"/>
        <v>25.330000000000005</v>
      </c>
      <c r="AJ476" s="85">
        <f t="shared" si="1504"/>
        <v>37.919999999999995</v>
      </c>
      <c r="AK476" s="85">
        <f t="shared" si="1505"/>
        <v>607.92000000000007</v>
      </c>
      <c r="AL476" s="85">
        <f t="shared" si="1506"/>
        <v>910.07999999999993</v>
      </c>
      <c r="AM476" s="85">
        <f>'Consumer Hardware Pricing'!AC486</f>
        <v>0</v>
      </c>
      <c r="AN476" s="85">
        <f t="shared" si="1758"/>
        <v>63.25</v>
      </c>
      <c r="AO476" s="85">
        <f>'Consumer Hardware Pricing'!AD486</f>
        <v>13.25</v>
      </c>
      <c r="AP476" s="85">
        <f t="shared" si="1507"/>
        <v>50</v>
      </c>
      <c r="AQ476" s="85">
        <f t="shared" si="1508"/>
        <v>318</v>
      </c>
      <c r="AR476" s="85">
        <f t="shared" si="1509"/>
        <v>1200</v>
      </c>
      <c r="AS476" s="85">
        <f>'Consumer Hardware Pricing'!AF486</f>
        <v>290</v>
      </c>
      <c r="AT476" s="85">
        <f t="shared" si="1759"/>
        <v>25.330000000000005</v>
      </c>
      <c r="AU476" s="85">
        <f t="shared" si="1510"/>
        <v>37.919999999999995</v>
      </c>
      <c r="AV476" s="85">
        <f t="shared" si="1511"/>
        <v>607.92000000000007</v>
      </c>
      <c r="AW476" s="85">
        <f t="shared" si="1512"/>
        <v>910.07999999999993</v>
      </c>
      <c r="AX476" s="85" t="str">
        <f>'Consumer Hardware Pricing'!AH486</f>
        <v>-</v>
      </c>
      <c r="AY476" s="85" t="str">
        <f t="shared" si="1760"/>
        <v>-</v>
      </c>
      <c r="AZ476" s="85" t="str">
        <f>'Consumer Hardware Pricing'!AI486</f>
        <v>-</v>
      </c>
      <c r="BA476" s="85" t="str">
        <f t="shared" si="1517"/>
        <v>-</v>
      </c>
      <c r="BB476" s="85" t="str">
        <f t="shared" si="1518"/>
        <v>-</v>
      </c>
      <c r="BC476" s="85" t="str">
        <f t="shared" si="1534"/>
        <v>-</v>
      </c>
      <c r="BD476" s="85" t="str">
        <f>'Consumer Hardware Pricing'!AL486</f>
        <v>-</v>
      </c>
      <c r="BE476" s="85" t="str">
        <f t="shared" si="1761"/>
        <v>-</v>
      </c>
      <c r="BF476" s="85" t="str">
        <f>'Consumer Hardware Pricing'!AM486</f>
        <v>-</v>
      </c>
      <c r="BG476" s="85" t="str">
        <f t="shared" si="1519"/>
        <v>-</v>
      </c>
      <c r="BH476" s="85" t="str">
        <f t="shared" si="1520"/>
        <v>-</v>
      </c>
      <c r="BI476" s="85" t="str">
        <f t="shared" si="1535"/>
        <v>-</v>
      </c>
      <c r="BJ476" s="85" t="str">
        <f>'Consumer Hardware Pricing'!AP486</f>
        <v>-</v>
      </c>
      <c r="BK476" s="85" t="str">
        <f t="shared" si="1762"/>
        <v>-</v>
      </c>
      <c r="BL476" s="85" t="str">
        <f>'Consumer Hardware Pricing'!AQ486</f>
        <v>-</v>
      </c>
      <c r="BM476" s="85" t="str">
        <f t="shared" si="1521"/>
        <v>-</v>
      </c>
      <c r="BN476" s="85" t="str">
        <f t="shared" si="1522"/>
        <v>-</v>
      </c>
      <c r="BO476" s="85" t="str">
        <f t="shared" si="1536"/>
        <v>-</v>
      </c>
      <c r="BP476" s="85" t="str">
        <f>'Consumer Hardware Pricing'!AT486</f>
        <v>-</v>
      </c>
      <c r="BQ476" s="85" t="str">
        <f t="shared" si="1763"/>
        <v>-</v>
      </c>
      <c r="BR476" s="85" t="str">
        <f>'Consumer Hardware Pricing'!AU486</f>
        <v>-</v>
      </c>
      <c r="BS476" s="85" t="str">
        <f t="shared" si="1523"/>
        <v>-</v>
      </c>
      <c r="BT476" s="85" t="str">
        <f t="shared" si="1524"/>
        <v>-</v>
      </c>
      <c r="BU476" s="85" t="str">
        <f t="shared" si="1537"/>
        <v>-</v>
      </c>
    </row>
    <row r="477" spans="1:73" ht="30" x14ac:dyDescent="0.25">
      <c r="A477" s="87" t="s">
        <v>34</v>
      </c>
      <c r="B477" s="88" t="s">
        <v>643</v>
      </c>
      <c r="C477" s="88" t="s">
        <v>649</v>
      </c>
      <c r="D477" s="85">
        <f>'Consumer Hardware Pricing'!L487</f>
        <v>1518</v>
      </c>
      <c r="E477" s="85">
        <f>'Consumer Hardware Pricing'!M487</f>
        <v>1518</v>
      </c>
      <c r="F477" s="85">
        <f>'Consumer Hardware Pricing'!N487</f>
        <v>0</v>
      </c>
      <c r="G477" s="85">
        <f t="shared" si="1563"/>
        <v>63.25</v>
      </c>
      <c r="H477" s="85">
        <f>'Consumer Hardware Pricing'!O487</f>
        <v>2.42</v>
      </c>
      <c r="I477" s="85">
        <f t="shared" si="1513"/>
        <v>60.83</v>
      </c>
      <c r="J477" s="85">
        <f t="shared" si="1525"/>
        <v>58.08</v>
      </c>
      <c r="K477" s="85">
        <f t="shared" si="1526"/>
        <v>1459.92</v>
      </c>
      <c r="L477" s="85">
        <f>'Consumer Hardware Pricing'!Q487</f>
        <v>290</v>
      </c>
      <c r="M477" s="85">
        <f t="shared" si="1564"/>
        <v>14.500000000000007</v>
      </c>
      <c r="N477" s="85">
        <f t="shared" si="1514"/>
        <v>48.749999999999993</v>
      </c>
      <c r="O477" s="85">
        <f t="shared" si="1515"/>
        <v>348.00000000000017</v>
      </c>
      <c r="P477" s="85">
        <f t="shared" si="1527"/>
        <v>1169.9999999999998</v>
      </c>
      <c r="Q477" s="85">
        <f>'Consumer Hardware Pricing'!S487</f>
        <v>0</v>
      </c>
      <c r="R477" s="85">
        <f t="shared" si="1516"/>
        <v>63.25</v>
      </c>
      <c r="S477" s="85">
        <f>'Consumer Hardware Pricing'!T487</f>
        <v>2.42</v>
      </c>
      <c r="T477" s="129">
        <f t="shared" si="1528"/>
        <v>60.83</v>
      </c>
      <c r="U477" s="129">
        <f t="shared" si="1529"/>
        <v>58.08</v>
      </c>
      <c r="V477" s="85">
        <f t="shared" si="1530"/>
        <v>1459.92</v>
      </c>
      <c r="W477" s="129">
        <f>'Consumer Hardware Pricing'!V487</f>
        <v>290</v>
      </c>
      <c r="X477" s="129">
        <f t="shared" si="1565"/>
        <v>14.500000000000007</v>
      </c>
      <c r="Y477" s="129">
        <f t="shared" si="1531"/>
        <v>48.749999999999993</v>
      </c>
      <c r="Z477" s="129">
        <f t="shared" si="1532"/>
        <v>348.00000000000017</v>
      </c>
      <c r="AA477" s="85">
        <f t="shared" si="1533"/>
        <v>1169.9999999999998</v>
      </c>
      <c r="AB477" s="85">
        <f>'Consumer Hardware Pricing'!X487</f>
        <v>0</v>
      </c>
      <c r="AC477" s="85">
        <f t="shared" si="1756"/>
        <v>63.25</v>
      </c>
      <c r="AD477" s="85">
        <f>'Consumer Hardware Pricing'!Y487</f>
        <v>13.25</v>
      </c>
      <c r="AE477" s="85">
        <f t="shared" si="1501"/>
        <v>50</v>
      </c>
      <c r="AF477" s="85">
        <f t="shared" si="1502"/>
        <v>318</v>
      </c>
      <c r="AG477" s="85">
        <f t="shared" si="1503"/>
        <v>1200</v>
      </c>
      <c r="AH477" s="85">
        <f>'Consumer Hardware Pricing'!AA487</f>
        <v>290</v>
      </c>
      <c r="AI477" s="85">
        <f t="shared" si="1757"/>
        <v>25.330000000000005</v>
      </c>
      <c r="AJ477" s="85">
        <f t="shared" si="1504"/>
        <v>37.919999999999995</v>
      </c>
      <c r="AK477" s="85">
        <f t="shared" si="1505"/>
        <v>607.92000000000007</v>
      </c>
      <c r="AL477" s="85">
        <f t="shared" si="1506"/>
        <v>910.07999999999993</v>
      </c>
      <c r="AM477" s="85">
        <f>'Consumer Hardware Pricing'!AC487</f>
        <v>0</v>
      </c>
      <c r="AN477" s="85">
        <f t="shared" si="1758"/>
        <v>63.25</v>
      </c>
      <c r="AO477" s="85">
        <f>'Consumer Hardware Pricing'!AD487</f>
        <v>13.25</v>
      </c>
      <c r="AP477" s="85">
        <f t="shared" si="1507"/>
        <v>50</v>
      </c>
      <c r="AQ477" s="85">
        <f t="shared" si="1508"/>
        <v>318</v>
      </c>
      <c r="AR477" s="85">
        <f t="shared" si="1509"/>
        <v>1200</v>
      </c>
      <c r="AS477" s="85">
        <f>'Consumer Hardware Pricing'!AF487</f>
        <v>290</v>
      </c>
      <c r="AT477" s="85">
        <f t="shared" si="1759"/>
        <v>25.330000000000005</v>
      </c>
      <c r="AU477" s="85">
        <f t="shared" si="1510"/>
        <v>37.919999999999995</v>
      </c>
      <c r="AV477" s="85">
        <f t="shared" si="1511"/>
        <v>607.92000000000007</v>
      </c>
      <c r="AW477" s="85">
        <f t="shared" si="1512"/>
        <v>910.07999999999993</v>
      </c>
      <c r="AX477" s="85" t="str">
        <f>'Consumer Hardware Pricing'!AH487</f>
        <v>-</v>
      </c>
      <c r="AY477" s="85" t="str">
        <f t="shared" si="1760"/>
        <v>-</v>
      </c>
      <c r="AZ477" s="85" t="str">
        <f>'Consumer Hardware Pricing'!AI487</f>
        <v>-</v>
      </c>
      <c r="BA477" s="85" t="str">
        <f t="shared" si="1517"/>
        <v>-</v>
      </c>
      <c r="BB477" s="85" t="str">
        <f t="shared" si="1518"/>
        <v>-</v>
      </c>
      <c r="BC477" s="85" t="str">
        <f t="shared" si="1534"/>
        <v>-</v>
      </c>
      <c r="BD477" s="85" t="str">
        <f>'Consumer Hardware Pricing'!AL487</f>
        <v>-</v>
      </c>
      <c r="BE477" s="85" t="str">
        <f t="shared" si="1761"/>
        <v>-</v>
      </c>
      <c r="BF477" s="85" t="str">
        <f>'Consumer Hardware Pricing'!AM487</f>
        <v>-</v>
      </c>
      <c r="BG477" s="85" t="str">
        <f t="shared" si="1519"/>
        <v>-</v>
      </c>
      <c r="BH477" s="85" t="str">
        <f t="shared" si="1520"/>
        <v>-</v>
      </c>
      <c r="BI477" s="85" t="str">
        <f t="shared" si="1535"/>
        <v>-</v>
      </c>
      <c r="BJ477" s="85" t="str">
        <f>'Consumer Hardware Pricing'!AP487</f>
        <v>-</v>
      </c>
      <c r="BK477" s="85" t="str">
        <f t="shared" si="1762"/>
        <v>-</v>
      </c>
      <c r="BL477" s="85" t="str">
        <f>'Consumer Hardware Pricing'!AQ487</f>
        <v>-</v>
      </c>
      <c r="BM477" s="85" t="str">
        <f t="shared" si="1521"/>
        <v>-</v>
      </c>
      <c r="BN477" s="85" t="str">
        <f t="shared" si="1522"/>
        <v>-</v>
      </c>
      <c r="BO477" s="85" t="str">
        <f t="shared" si="1536"/>
        <v>-</v>
      </c>
      <c r="BP477" s="85" t="str">
        <f>'Consumer Hardware Pricing'!AT487</f>
        <v>-</v>
      </c>
      <c r="BQ477" s="85" t="str">
        <f t="shared" si="1763"/>
        <v>-</v>
      </c>
      <c r="BR477" s="85" t="str">
        <f>'Consumer Hardware Pricing'!AU487</f>
        <v>-</v>
      </c>
      <c r="BS477" s="85" t="str">
        <f t="shared" si="1523"/>
        <v>-</v>
      </c>
      <c r="BT477" s="85" t="str">
        <f t="shared" si="1524"/>
        <v>-</v>
      </c>
      <c r="BU477" s="85" t="str">
        <f t="shared" si="1537"/>
        <v>-</v>
      </c>
    </row>
    <row r="478" spans="1:73" ht="31.2" customHeight="1" x14ac:dyDescent="0.25">
      <c r="A478" s="87" t="s">
        <v>34</v>
      </c>
      <c r="B478" s="88" t="s">
        <v>648</v>
      </c>
      <c r="C478" s="88" t="s">
        <v>649</v>
      </c>
      <c r="D478" s="85">
        <f>'Consumer Hardware Pricing'!L488</f>
        <v>1518</v>
      </c>
      <c r="E478" s="85">
        <f>'Consumer Hardware Pricing'!M488</f>
        <v>1518</v>
      </c>
      <c r="F478" s="85">
        <f>'Consumer Hardware Pricing'!N488</f>
        <v>0</v>
      </c>
      <c r="G478" s="85">
        <f t="shared" si="1563"/>
        <v>63.25</v>
      </c>
      <c r="H478" s="85">
        <f>'Consumer Hardware Pricing'!O488</f>
        <v>2.42</v>
      </c>
      <c r="I478" s="85">
        <f t="shared" si="1513"/>
        <v>60.83</v>
      </c>
      <c r="J478" s="85">
        <f t="shared" si="1525"/>
        <v>58.08</v>
      </c>
      <c r="K478" s="85">
        <f t="shared" si="1526"/>
        <v>1459.92</v>
      </c>
      <c r="L478" s="85">
        <f>'Consumer Hardware Pricing'!Q488</f>
        <v>290</v>
      </c>
      <c r="M478" s="85">
        <f t="shared" si="1564"/>
        <v>14.500000000000007</v>
      </c>
      <c r="N478" s="85">
        <f t="shared" si="1514"/>
        <v>48.749999999999993</v>
      </c>
      <c r="O478" s="85">
        <f t="shared" si="1515"/>
        <v>348.00000000000017</v>
      </c>
      <c r="P478" s="85">
        <f t="shared" si="1527"/>
        <v>1169.9999999999998</v>
      </c>
      <c r="Q478" s="85">
        <f>'Consumer Hardware Pricing'!S488</f>
        <v>0</v>
      </c>
      <c r="R478" s="85">
        <f t="shared" si="1516"/>
        <v>63.25</v>
      </c>
      <c r="S478" s="85">
        <f>'Consumer Hardware Pricing'!T488</f>
        <v>2.42</v>
      </c>
      <c r="T478" s="129">
        <f t="shared" si="1528"/>
        <v>60.83</v>
      </c>
      <c r="U478" s="129">
        <f t="shared" si="1529"/>
        <v>58.08</v>
      </c>
      <c r="V478" s="85">
        <f t="shared" si="1530"/>
        <v>1459.92</v>
      </c>
      <c r="W478" s="129">
        <f>'Consumer Hardware Pricing'!V488</f>
        <v>290</v>
      </c>
      <c r="X478" s="129">
        <f t="shared" si="1565"/>
        <v>14.500000000000007</v>
      </c>
      <c r="Y478" s="129">
        <f t="shared" si="1531"/>
        <v>48.749999999999993</v>
      </c>
      <c r="Z478" s="129">
        <f t="shared" si="1532"/>
        <v>348.00000000000017</v>
      </c>
      <c r="AA478" s="85">
        <f t="shared" si="1533"/>
        <v>1169.9999999999998</v>
      </c>
      <c r="AB478" s="85">
        <f>'Consumer Hardware Pricing'!X488</f>
        <v>0</v>
      </c>
      <c r="AC478" s="85">
        <f t="shared" si="1756"/>
        <v>63.25</v>
      </c>
      <c r="AD478" s="85">
        <f>'Consumer Hardware Pricing'!Y488</f>
        <v>13.25</v>
      </c>
      <c r="AE478" s="85">
        <f t="shared" si="1501"/>
        <v>50</v>
      </c>
      <c r="AF478" s="85">
        <f t="shared" si="1502"/>
        <v>318</v>
      </c>
      <c r="AG478" s="85">
        <f t="shared" si="1503"/>
        <v>1200</v>
      </c>
      <c r="AH478" s="85">
        <f>'Consumer Hardware Pricing'!AA488</f>
        <v>290</v>
      </c>
      <c r="AI478" s="85">
        <f t="shared" si="1757"/>
        <v>25.330000000000005</v>
      </c>
      <c r="AJ478" s="85">
        <f t="shared" si="1504"/>
        <v>37.919999999999995</v>
      </c>
      <c r="AK478" s="85">
        <f t="shared" si="1505"/>
        <v>607.92000000000007</v>
      </c>
      <c r="AL478" s="85">
        <f t="shared" si="1506"/>
        <v>910.07999999999993</v>
      </c>
      <c r="AM478" s="85">
        <f>'Consumer Hardware Pricing'!AC488</f>
        <v>0</v>
      </c>
      <c r="AN478" s="85">
        <f t="shared" si="1758"/>
        <v>63.25</v>
      </c>
      <c r="AO478" s="85">
        <f>'Consumer Hardware Pricing'!AD488</f>
        <v>13.25</v>
      </c>
      <c r="AP478" s="85">
        <f t="shared" si="1507"/>
        <v>50</v>
      </c>
      <c r="AQ478" s="85">
        <f t="shared" si="1508"/>
        <v>318</v>
      </c>
      <c r="AR478" s="85">
        <f t="shared" si="1509"/>
        <v>1200</v>
      </c>
      <c r="AS478" s="85">
        <f>'Consumer Hardware Pricing'!AF488</f>
        <v>290</v>
      </c>
      <c r="AT478" s="85">
        <f t="shared" si="1759"/>
        <v>25.330000000000005</v>
      </c>
      <c r="AU478" s="85">
        <f t="shared" si="1510"/>
        <v>37.919999999999995</v>
      </c>
      <c r="AV478" s="85">
        <f t="shared" si="1511"/>
        <v>607.92000000000007</v>
      </c>
      <c r="AW478" s="85">
        <f t="shared" si="1512"/>
        <v>910.07999999999993</v>
      </c>
      <c r="AX478" s="85" t="str">
        <f>'Consumer Hardware Pricing'!AH488</f>
        <v>-</v>
      </c>
      <c r="AY478" s="85" t="str">
        <f t="shared" si="1760"/>
        <v>-</v>
      </c>
      <c r="AZ478" s="85" t="str">
        <f>'Consumer Hardware Pricing'!AI488</f>
        <v>-</v>
      </c>
      <c r="BA478" s="85" t="str">
        <f t="shared" si="1517"/>
        <v>-</v>
      </c>
      <c r="BB478" s="85" t="str">
        <f t="shared" si="1518"/>
        <v>-</v>
      </c>
      <c r="BC478" s="85" t="str">
        <f t="shared" si="1534"/>
        <v>-</v>
      </c>
      <c r="BD478" s="85" t="str">
        <f>'Consumer Hardware Pricing'!AL488</f>
        <v>-</v>
      </c>
      <c r="BE478" s="85" t="str">
        <f t="shared" si="1761"/>
        <v>-</v>
      </c>
      <c r="BF478" s="85" t="str">
        <f>'Consumer Hardware Pricing'!AM488</f>
        <v>-</v>
      </c>
      <c r="BG478" s="85" t="str">
        <f t="shared" si="1519"/>
        <v>-</v>
      </c>
      <c r="BH478" s="85" t="str">
        <f t="shared" si="1520"/>
        <v>-</v>
      </c>
      <c r="BI478" s="85" t="str">
        <f t="shared" si="1535"/>
        <v>-</v>
      </c>
      <c r="BJ478" s="85" t="str">
        <f>'Consumer Hardware Pricing'!AP488</f>
        <v>-</v>
      </c>
      <c r="BK478" s="85" t="str">
        <f t="shared" si="1762"/>
        <v>-</v>
      </c>
      <c r="BL478" s="85" t="str">
        <f>'Consumer Hardware Pricing'!AQ488</f>
        <v>-</v>
      </c>
      <c r="BM478" s="85" t="str">
        <f t="shared" si="1521"/>
        <v>-</v>
      </c>
      <c r="BN478" s="85" t="str">
        <f t="shared" si="1522"/>
        <v>-</v>
      </c>
      <c r="BO478" s="85" t="str">
        <f t="shared" si="1536"/>
        <v>-</v>
      </c>
      <c r="BP478" s="85" t="str">
        <f>'Consumer Hardware Pricing'!AT488</f>
        <v>-</v>
      </c>
      <c r="BQ478" s="85" t="str">
        <f t="shared" si="1763"/>
        <v>-</v>
      </c>
      <c r="BR478" s="85" t="str">
        <f>'Consumer Hardware Pricing'!AU488</f>
        <v>-</v>
      </c>
      <c r="BS478" s="85" t="str">
        <f t="shared" si="1523"/>
        <v>-</v>
      </c>
      <c r="BT478" s="85" t="str">
        <f t="shared" si="1524"/>
        <v>-</v>
      </c>
      <c r="BU478" s="85" t="str">
        <f t="shared" si="1537"/>
        <v>-</v>
      </c>
    </row>
    <row r="479" spans="1:73" ht="31.2" customHeight="1" x14ac:dyDescent="0.25">
      <c r="A479" s="87" t="s">
        <v>34</v>
      </c>
      <c r="B479" s="88" t="s">
        <v>650</v>
      </c>
      <c r="C479" s="88" t="s">
        <v>651</v>
      </c>
      <c r="D479" s="85">
        <f>'Consumer Hardware Pricing'!L489</f>
        <v>1600</v>
      </c>
      <c r="E479" s="85">
        <f>'Consumer Hardware Pricing'!M489</f>
        <v>1600</v>
      </c>
      <c r="F479" s="85">
        <f>'Consumer Hardware Pricing'!N489</f>
        <v>0</v>
      </c>
      <c r="G479" s="85">
        <f t="shared" si="1563"/>
        <v>66.67</v>
      </c>
      <c r="H479" s="85" t="str">
        <f>'Consumer Hardware Pricing'!O489</f>
        <v>-</v>
      </c>
      <c r="I479" s="85">
        <f t="shared" si="1513"/>
        <v>66.67</v>
      </c>
      <c r="J479" s="85" t="str">
        <f t="shared" si="1525"/>
        <v>-</v>
      </c>
      <c r="K479" s="85">
        <f t="shared" si="1526"/>
        <v>1600.08</v>
      </c>
      <c r="L479" s="85" t="str">
        <f>'Consumer Hardware Pricing'!Q489</f>
        <v>-</v>
      </c>
      <c r="M479" s="85" t="str">
        <f t="shared" si="1564"/>
        <v>-</v>
      </c>
      <c r="N479" s="85" t="str">
        <f t="shared" si="1514"/>
        <v>-</v>
      </c>
      <c r="O479" s="85" t="str">
        <f t="shared" si="1515"/>
        <v>-</v>
      </c>
      <c r="P479" s="85" t="str">
        <f t="shared" si="1527"/>
        <v>-</v>
      </c>
      <c r="Q479" s="85">
        <f>'Consumer Hardware Pricing'!S489</f>
        <v>0</v>
      </c>
      <c r="R479" s="85">
        <f t="shared" si="1516"/>
        <v>66.67</v>
      </c>
      <c r="S479" s="85" t="str">
        <f>'Consumer Hardware Pricing'!T489</f>
        <v>-</v>
      </c>
      <c r="T479" s="129">
        <f t="shared" si="1528"/>
        <v>66.67</v>
      </c>
      <c r="U479" s="129" t="str">
        <f t="shared" si="1529"/>
        <v>-</v>
      </c>
      <c r="V479" s="85">
        <f t="shared" si="1530"/>
        <v>1600.08</v>
      </c>
      <c r="W479" s="129" t="str">
        <f>'Consumer Hardware Pricing'!V489</f>
        <v>-</v>
      </c>
      <c r="X479" s="129" t="str">
        <f t="shared" si="1565"/>
        <v>-</v>
      </c>
      <c r="Y479" s="129" t="str">
        <f t="shared" si="1531"/>
        <v>-</v>
      </c>
      <c r="Z479" s="129" t="str">
        <f t="shared" si="1532"/>
        <v>-</v>
      </c>
      <c r="AA479" s="85" t="str">
        <f t="shared" si="1533"/>
        <v>-</v>
      </c>
      <c r="AB479" s="85">
        <f>'Consumer Hardware Pricing'!X489</f>
        <v>0</v>
      </c>
      <c r="AC479" s="85">
        <f t="shared" si="1756"/>
        <v>66.67</v>
      </c>
      <c r="AD479" s="85" t="str">
        <f>'Consumer Hardware Pricing'!Y489</f>
        <v>-</v>
      </c>
      <c r="AE479" s="85">
        <f t="shared" si="1501"/>
        <v>66.67</v>
      </c>
      <c r="AF479" s="85" t="str">
        <f t="shared" si="1502"/>
        <v>-</v>
      </c>
      <c r="AG479" s="85">
        <f t="shared" si="1503"/>
        <v>1600.08</v>
      </c>
      <c r="AH479" s="85" t="str">
        <f>'Consumer Hardware Pricing'!AA489</f>
        <v>-</v>
      </c>
      <c r="AI479" s="85" t="str">
        <f t="shared" si="1757"/>
        <v>-</v>
      </c>
      <c r="AJ479" s="85" t="str">
        <f t="shared" si="1504"/>
        <v>-</v>
      </c>
      <c r="AK479" s="85" t="str">
        <f t="shared" si="1505"/>
        <v>-</v>
      </c>
      <c r="AL479" s="85" t="str">
        <f t="shared" si="1506"/>
        <v>-</v>
      </c>
      <c r="AM479" s="85">
        <f>'Consumer Hardware Pricing'!AC489</f>
        <v>0</v>
      </c>
      <c r="AN479" s="85">
        <f t="shared" si="1758"/>
        <v>66.67</v>
      </c>
      <c r="AO479" s="85" t="str">
        <f>'Consumer Hardware Pricing'!AD489</f>
        <v>-</v>
      </c>
      <c r="AP479" s="85">
        <f t="shared" si="1507"/>
        <v>66.67</v>
      </c>
      <c r="AQ479" s="85" t="str">
        <f t="shared" si="1508"/>
        <v>-</v>
      </c>
      <c r="AR479" s="85">
        <f t="shared" si="1509"/>
        <v>1600.08</v>
      </c>
      <c r="AS479" s="85" t="str">
        <f>'Consumer Hardware Pricing'!AF489</f>
        <v>-</v>
      </c>
      <c r="AT479" s="85" t="str">
        <f t="shared" si="1759"/>
        <v>-</v>
      </c>
      <c r="AU479" s="85" t="str">
        <f t="shared" si="1510"/>
        <v>-</v>
      </c>
      <c r="AV479" s="85" t="str">
        <f t="shared" si="1511"/>
        <v>-</v>
      </c>
      <c r="AW479" s="85" t="str">
        <f t="shared" si="1512"/>
        <v>-</v>
      </c>
      <c r="AX479" s="85" t="str">
        <f>'Consumer Hardware Pricing'!AH489</f>
        <v>-</v>
      </c>
      <c r="AY479" s="85" t="str">
        <f t="shared" si="1760"/>
        <v>-</v>
      </c>
      <c r="AZ479" s="85" t="str">
        <f>'Consumer Hardware Pricing'!AI489</f>
        <v>-</v>
      </c>
      <c r="BA479" s="85" t="str">
        <f t="shared" si="1517"/>
        <v>-</v>
      </c>
      <c r="BB479" s="85" t="str">
        <f t="shared" si="1518"/>
        <v>-</v>
      </c>
      <c r="BC479" s="85" t="str">
        <f t="shared" si="1534"/>
        <v>-</v>
      </c>
      <c r="BD479" s="85" t="str">
        <f>'Consumer Hardware Pricing'!AL489</f>
        <v>-</v>
      </c>
      <c r="BE479" s="85" t="str">
        <f t="shared" si="1761"/>
        <v>-</v>
      </c>
      <c r="BF479" s="85" t="str">
        <f>'Consumer Hardware Pricing'!AM489</f>
        <v>-</v>
      </c>
      <c r="BG479" s="85" t="str">
        <f t="shared" si="1519"/>
        <v>-</v>
      </c>
      <c r="BH479" s="85" t="str">
        <f t="shared" si="1520"/>
        <v>-</v>
      </c>
      <c r="BI479" s="85" t="str">
        <f t="shared" si="1535"/>
        <v>-</v>
      </c>
      <c r="BJ479" s="85" t="str">
        <f>'Consumer Hardware Pricing'!AP489</f>
        <v>-</v>
      </c>
      <c r="BK479" s="85" t="str">
        <f t="shared" si="1762"/>
        <v>-</v>
      </c>
      <c r="BL479" s="85" t="str">
        <f>'Consumer Hardware Pricing'!AQ489</f>
        <v>-</v>
      </c>
      <c r="BM479" s="85" t="str">
        <f t="shared" si="1521"/>
        <v>-</v>
      </c>
      <c r="BN479" s="85" t="str">
        <f t="shared" si="1522"/>
        <v>-</v>
      </c>
      <c r="BO479" s="85" t="str">
        <f t="shared" si="1536"/>
        <v>-</v>
      </c>
      <c r="BP479" s="85" t="str">
        <f>'Consumer Hardware Pricing'!AT489</f>
        <v>-</v>
      </c>
      <c r="BQ479" s="85" t="str">
        <f t="shared" si="1763"/>
        <v>-</v>
      </c>
      <c r="BR479" s="85" t="str">
        <f>'Consumer Hardware Pricing'!AU489</f>
        <v>-</v>
      </c>
      <c r="BS479" s="85" t="str">
        <f t="shared" si="1523"/>
        <v>-</v>
      </c>
      <c r="BT479" s="85" t="str">
        <f t="shared" si="1524"/>
        <v>-</v>
      </c>
      <c r="BU479" s="85" t="str">
        <f t="shared" si="1537"/>
        <v>-</v>
      </c>
    </row>
    <row r="480" spans="1:73" ht="31.2" customHeight="1" x14ac:dyDescent="0.25">
      <c r="A480" s="87" t="s">
        <v>34</v>
      </c>
      <c r="B480" s="88" t="s">
        <v>652</v>
      </c>
      <c r="C480" s="88" t="s">
        <v>646</v>
      </c>
      <c r="D480" s="85">
        <f>'Consumer Hardware Pricing'!L490</f>
        <v>1260</v>
      </c>
      <c r="E480" s="85">
        <f>'Consumer Hardware Pricing'!M490</f>
        <v>1260</v>
      </c>
      <c r="F480" s="85">
        <f>'Consumer Hardware Pricing'!N490</f>
        <v>0</v>
      </c>
      <c r="G480" s="85">
        <f t="shared" si="1563"/>
        <v>52.5</v>
      </c>
      <c r="H480" s="85" t="str">
        <f>'Consumer Hardware Pricing'!O490</f>
        <v>-</v>
      </c>
      <c r="I480" s="85">
        <f t="shared" si="1513"/>
        <v>52.5</v>
      </c>
      <c r="J480" s="85" t="str">
        <f t="shared" si="1525"/>
        <v>-</v>
      </c>
      <c r="K480" s="85">
        <f t="shared" si="1526"/>
        <v>1260</v>
      </c>
      <c r="L480" s="85" t="str">
        <f>'Consumer Hardware Pricing'!Q490</f>
        <v>-</v>
      </c>
      <c r="M480" s="85" t="str">
        <f t="shared" si="1564"/>
        <v>-</v>
      </c>
      <c r="N480" s="85" t="str">
        <f t="shared" si="1514"/>
        <v>-</v>
      </c>
      <c r="O480" s="85" t="str">
        <f t="shared" si="1515"/>
        <v>-</v>
      </c>
      <c r="P480" s="85" t="str">
        <f t="shared" si="1527"/>
        <v>-</v>
      </c>
      <c r="Q480" s="85">
        <f>'Consumer Hardware Pricing'!S490</f>
        <v>0</v>
      </c>
      <c r="R480" s="85">
        <f t="shared" si="1516"/>
        <v>52.5</v>
      </c>
      <c r="S480" s="85" t="str">
        <f>'Consumer Hardware Pricing'!T490</f>
        <v>-</v>
      </c>
      <c r="T480" s="129">
        <f t="shared" si="1528"/>
        <v>52.5</v>
      </c>
      <c r="U480" s="129" t="str">
        <f t="shared" si="1529"/>
        <v>-</v>
      </c>
      <c r="V480" s="85">
        <f t="shared" si="1530"/>
        <v>1260</v>
      </c>
      <c r="W480" s="129" t="str">
        <f>'Consumer Hardware Pricing'!V490</f>
        <v>-</v>
      </c>
      <c r="X480" s="129" t="str">
        <f t="shared" si="1565"/>
        <v>-</v>
      </c>
      <c r="Y480" s="129" t="str">
        <f t="shared" si="1531"/>
        <v>-</v>
      </c>
      <c r="Z480" s="129" t="str">
        <f t="shared" si="1532"/>
        <v>-</v>
      </c>
      <c r="AA480" s="85" t="str">
        <f t="shared" si="1533"/>
        <v>-</v>
      </c>
      <c r="AB480" s="85">
        <f>'Consumer Hardware Pricing'!X490</f>
        <v>0</v>
      </c>
      <c r="AC480" s="85">
        <f t="shared" si="1756"/>
        <v>52.5</v>
      </c>
      <c r="AD480" s="85">
        <f>'Consumer Hardware Pricing'!Y490</f>
        <v>10.84</v>
      </c>
      <c r="AE480" s="85">
        <f t="shared" si="1501"/>
        <v>41.66</v>
      </c>
      <c r="AF480" s="85">
        <f t="shared" si="1502"/>
        <v>260.15999999999997</v>
      </c>
      <c r="AG480" s="85">
        <f t="shared" si="1503"/>
        <v>999.83999999999992</v>
      </c>
      <c r="AH480" s="85" t="str">
        <f>'Consumer Hardware Pricing'!AA490</f>
        <v>-</v>
      </c>
      <c r="AI480" s="85" t="str">
        <f t="shared" si="1757"/>
        <v>-</v>
      </c>
      <c r="AJ480" s="85" t="str">
        <f t="shared" si="1504"/>
        <v>-</v>
      </c>
      <c r="AK480" s="85" t="str">
        <f t="shared" si="1505"/>
        <v>-</v>
      </c>
      <c r="AL480" s="85" t="str">
        <f t="shared" si="1506"/>
        <v>-</v>
      </c>
      <c r="AM480" s="85">
        <f>'Consumer Hardware Pricing'!AC490</f>
        <v>0</v>
      </c>
      <c r="AN480" s="85">
        <f t="shared" si="1758"/>
        <v>52.5</v>
      </c>
      <c r="AO480" s="85">
        <f>'Consumer Hardware Pricing'!AD490</f>
        <v>10.84</v>
      </c>
      <c r="AP480" s="85">
        <f t="shared" si="1507"/>
        <v>41.66</v>
      </c>
      <c r="AQ480" s="85">
        <f t="shared" si="1508"/>
        <v>260.15999999999997</v>
      </c>
      <c r="AR480" s="85">
        <f t="shared" si="1509"/>
        <v>999.83999999999992</v>
      </c>
      <c r="AS480" s="85" t="str">
        <f>'Consumer Hardware Pricing'!AF490</f>
        <v>-</v>
      </c>
      <c r="AT480" s="85" t="str">
        <f t="shared" si="1759"/>
        <v>-</v>
      </c>
      <c r="AU480" s="85" t="str">
        <f t="shared" si="1510"/>
        <v>-</v>
      </c>
      <c r="AV480" s="85" t="str">
        <f t="shared" si="1511"/>
        <v>-</v>
      </c>
      <c r="AW480" s="85" t="str">
        <f t="shared" si="1512"/>
        <v>-</v>
      </c>
      <c r="AX480" s="85" t="str">
        <f>'Consumer Hardware Pricing'!AH490</f>
        <v>-</v>
      </c>
      <c r="AY480" s="85" t="str">
        <f t="shared" si="1760"/>
        <v>-</v>
      </c>
      <c r="AZ480" s="85" t="str">
        <f>'Consumer Hardware Pricing'!AI490</f>
        <v>-</v>
      </c>
      <c r="BA480" s="85" t="str">
        <f t="shared" si="1517"/>
        <v>-</v>
      </c>
      <c r="BB480" s="85" t="str">
        <f t="shared" si="1518"/>
        <v>-</v>
      </c>
      <c r="BC480" s="85" t="str">
        <f t="shared" si="1534"/>
        <v>-</v>
      </c>
      <c r="BD480" s="85" t="str">
        <f>'Consumer Hardware Pricing'!AL490</f>
        <v>-</v>
      </c>
      <c r="BE480" s="85" t="str">
        <f t="shared" si="1761"/>
        <v>-</v>
      </c>
      <c r="BF480" s="85" t="str">
        <f>'Consumer Hardware Pricing'!AM490</f>
        <v>-</v>
      </c>
      <c r="BG480" s="85" t="str">
        <f t="shared" si="1519"/>
        <v>-</v>
      </c>
      <c r="BH480" s="85" t="str">
        <f t="shared" si="1520"/>
        <v>-</v>
      </c>
      <c r="BI480" s="85" t="str">
        <f t="shared" si="1535"/>
        <v>-</v>
      </c>
      <c r="BJ480" s="85" t="str">
        <f>'Consumer Hardware Pricing'!AP490</f>
        <v>-</v>
      </c>
      <c r="BK480" s="85" t="str">
        <f t="shared" si="1762"/>
        <v>-</v>
      </c>
      <c r="BL480" s="85" t="str">
        <f>'Consumer Hardware Pricing'!AQ490</f>
        <v>-</v>
      </c>
      <c r="BM480" s="85" t="str">
        <f t="shared" si="1521"/>
        <v>-</v>
      </c>
      <c r="BN480" s="85" t="str">
        <f t="shared" si="1522"/>
        <v>-</v>
      </c>
      <c r="BO480" s="85" t="str">
        <f t="shared" si="1536"/>
        <v>-</v>
      </c>
      <c r="BP480" s="85" t="str">
        <f>'Consumer Hardware Pricing'!AT490</f>
        <v>-</v>
      </c>
      <c r="BQ480" s="85" t="str">
        <f t="shared" si="1763"/>
        <v>-</v>
      </c>
      <c r="BR480" s="85" t="str">
        <f>'Consumer Hardware Pricing'!AU490</f>
        <v>-</v>
      </c>
      <c r="BS480" s="85" t="str">
        <f t="shared" si="1523"/>
        <v>-</v>
      </c>
      <c r="BT480" s="85" t="str">
        <f t="shared" si="1524"/>
        <v>-</v>
      </c>
      <c r="BU480" s="85" t="str">
        <f t="shared" si="1537"/>
        <v>-</v>
      </c>
    </row>
    <row r="481" spans="1:73" ht="31.2" customHeight="1" x14ac:dyDescent="0.25">
      <c r="A481" s="87" t="s">
        <v>34</v>
      </c>
      <c r="B481" s="88" t="s">
        <v>644</v>
      </c>
      <c r="C481" s="88" t="s">
        <v>646</v>
      </c>
      <c r="D481" s="85">
        <f>'Consumer Hardware Pricing'!L491</f>
        <v>1260</v>
      </c>
      <c r="E481" s="85">
        <f>'Consumer Hardware Pricing'!M491</f>
        <v>1260</v>
      </c>
      <c r="F481" s="85">
        <f>'Consumer Hardware Pricing'!N491</f>
        <v>0</v>
      </c>
      <c r="G481" s="85">
        <f t="shared" si="1563"/>
        <v>52.5</v>
      </c>
      <c r="H481" s="85" t="str">
        <f>'Consumer Hardware Pricing'!O491</f>
        <v>-</v>
      </c>
      <c r="I481" s="85">
        <f t="shared" si="1513"/>
        <v>52.5</v>
      </c>
      <c r="J481" s="85" t="str">
        <f t="shared" si="1525"/>
        <v>-</v>
      </c>
      <c r="K481" s="85">
        <f t="shared" si="1526"/>
        <v>1260</v>
      </c>
      <c r="L481" s="85" t="str">
        <f>'Consumer Hardware Pricing'!Q491</f>
        <v>-</v>
      </c>
      <c r="M481" s="85" t="str">
        <f t="shared" si="1564"/>
        <v>-</v>
      </c>
      <c r="N481" s="85" t="str">
        <f t="shared" si="1514"/>
        <v>-</v>
      </c>
      <c r="O481" s="85" t="str">
        <f t="shared" si="1515"/>
        <v>-</v>
      </c>
      <c r="P481" s="85" t="str">
        <f t="shared" si="1527"/>
        <v>-</v>
      </c>
      <c r="Q481" s="85">
        <f>'Consumer Hardware Pricing'!S491</f>
        <v>0</v>
      </c>
      <c r="R481" s="85">
        <f t="shared" si="1516"/>
        <v>52.5</v>
      </c>
      <c r="S481" s="85" t="str">
        <f>'Consumer Hardware Pricing'!T491</f>
        <v>-</v>
      </c>
      <c r="T481" s="129">
        <f t="shared" si="1528"/>
        <v>52.5</v>
      </c>
      <c r="U481" s="129" t="str">
        <f t="shared" si="1529"/>
        <v>-</v>
      </c>
      <c r="V481" s="85">
        <f t="shared" si="1530"/>
        <v>1260</v>
      </c>
      <c r="W481" s="129" t="str">
        <f>'Consumer Hardware Pricing'!V491</f>
        <v>-</v>
      </c>
      <c r="X481" s="129" t="str">
        <f t="shared" si="1565"/>
        <v>-</v>
      </c>
      <c r="Y481" s="129" t="str">
        <f t="shared" si="1531"/>
        <v>-</v>
      </c>
      <c r="Z481" s="129" t="str">
        <f t="shared" si="1532"/>
        <v>-</v>
      </c>
      <c r="AA481" s="85" t="str">
        <f t="shared" si="1533"/>
        <v>-</v>
      </c>
      <c r="AB481" s="85">
        <f>'Consumer Hardware Pricing'!X491</f>
        <v>0</v>
      </c>
      <c r="AC481" s="85">
        <f t="shared" si="1756"/>
        <v>52.5</v>
      </c>
      <c r="AD481" s="85">
        <f>'Consumer Hardware Pricing'!Y491</f>
        <v>10.84</v>
      </c>
      <c r="AE481" s="85">
        <f t="shared" si="1501"/>
        <v>41.66</v>
      </c>
      <c r="AF481" s="85">
        <f t="shared" si="1502"/>
        <v>260.15999999999997</v>
      </c>
      <c r="AG481" s="85">
        <f t="shared" si="1503"/>
        <v>999.83999999999992</v>
      </c>
      <c r="AH481" s="85" t="str">
        <f>'Consumer Hardware Pricing'!AA491</f>
        <v>-</v>
      </c>
      <c r="AI481" s="85" t="str">
        <f t="shared" si="1757"/>
        <v>-</v>
      </c>
      <c r="AJ481" s="85" t="str">
        <f t="shared" si="1504"/>
        <v>-</v>
      </c>
      <c r="AK481" s="85" t="str">
        <f t="shared" si="1505"/>
        <v>-</v>
      </c>
      <c r="AL481" s="85" t="str">
        <f t="shared" si="1506"/>
        <v>-</v>
      </c>
      <c r="AM481" s="85">
        <f>'Consumer Hardware Pricing'!AC491</f>
        <v>0</v>
      </c>
      <c r="AN481" s="85">
        <f t="shared" si="1758"/>
        <v>52.5</v>
      </c>
      <c r="AO481" s="85">
        <f>'Consumer Hardware Pricing'!AD491</f>
        <v>10.84</v>
      </c>
      <c r="AP481" s="85">
        <f t="shared" si="1507"/>
        <v>41.66</v>
      </c>
      <c r="AQ481" s="85">
        <f t="shared" si="1508"/>
        <v>260.15999999999997</v>
      </c>
      <c r="AR481" s="85">
        <f t="shared" si="1509"/>
        <v>999.83999999999992</v>
      </c>
      <c r="AS481" s="85" t="str">
        <f>'Consumer Hardware Pricing'!AF491</f>
        <v>-</v>
      </c>
      <c r="AT481" s="85" t="str">
        <f t="shared" si="1759"/>
        <v>-</v>
      </c>
      <c r="AU481" s="85" t="str">
        <f t="shared" si="1510"/>
        <v>-</v>
      </c>
      <c r="AV481" s="85" t="str">
        <f t="shared" si="1511"/>
        <v>-</v>
      </c>
      <c r="AW481" s="85" t="str">
        <f t="shared" si="1512"/>
        <v>-</v>
      </c>
      <c r="AX481" s="85" t="str">
        <f>'Consumer Hardware Pricing'!AH491</f>
        <v>-</v>
      </c>
      <c r="AY481" s="85" t="str">
        <f t="shared" si="1760"/>
        <v>-</v>
      </c>
      <c r="AZ481" s="85" t="str">
        <f>'Consumer Hardware Pricing'!AI491</f>
        <v>-</v>
      </c>
      <c r="BA481" s="85" t="str">
        <f t="shared" si="1517"/>
        <v>-</v>
      </c>
      <c r="BB481" s="85" t="str">
        <f t="shared" si="1518"/>
        <v>-</v>
      </c>
      <c r="BC481" s="85" t="str">
        <f t="shared" si="1534"/>
        <v>-</v>
      </c>
      <c r="BD481" s="85" t="str">
        <f>'Consumer Hardware Pricing'!AL491</f>
        <v>-</v>
      </c>
      <c r="BE481" s="85" t="str">
        <f t="shared" si="1761"/>
        <v>-</v>
      </c>
      <c r="BF481" s="85" t="str">
        <f>'Consumer Hardware Pricing'!AM491</f>
        <v>-</v>
      </c>
      <c r="BG481" s="85" t="str">
        <f t="shared" si="1519"/>
        <v>-</v>
      </c>
      <c r="BH481" s="85" t="str">
        <f t="shared" si="1520"/>
        <v>-</v>
      </c>
      <c r="BI481" s="85" t="str">
        <f t="shared" si="1535"/>
        <v>-</v>
      </c>
      <c r="BJ481" s="85" t="str">
        <f>'Consumer Hardware Pricing'!AP491</f>
        <v>-</v>
      </c>
      <c r="BK481" s="85" t="str">
        <f t="shared" si="1762"/>
        <v>-</v>
      </c>
      <c r="BL481" s="85" t="str">
        <f>'Consumer Hardware Pricing'!AQ491</f>
        <v>-</v>
      </c>
      <c r="BM481" s="85" t="str">
        <f t="shared" si="1521"/>
        <v>-</v>
      </c>
      <c r="BN481" s="85" t="str">
        <f t="shared" si="1522"/>
        <v>-</v>
      </c>
      <c r="BO481" s="85" t="str">
        <f t="shared" si="1536"/>
        <v>-</v>
      </c>
      <c r="BP481" s="85" t="str">
        <f>'Consumer Hardware Pricing'!AT491</f>
        <v>-</v>
      </c>
      <c r="BQ481" s="85" t="str">
        <f t="shared" si="1763"/>
        <v>-</v>
      </c>
      <c r="BR481" s="85" t="str">
        <f>'Consumer Hardware Pricing'!AU491</f>
        <v>-</v>
      </c>
      <c r="BS481" s="85" t="str">
        <f t="shared" si="1523"/>
        <v>-</v>
      </c>
      <c r="BT481" s="85" t="str">
        <f t="shared" si="1524"/>
        <v>-</v>
      </c>
      <c r="BU481" s="85" t="str">
        <f t="shared" si="1537"/>
        <v>-</v>
      </c>
    </row>
    <row r="482" spans="1:73" ht="31.2" customHeight="1" x14ac:dyDescent="0.25">
      <c r="A482" s="87" t="s">
        <v>34</v>
      </c>
      <c r="B482" s="88" t="s">
        <v>645</v>
      </c>
      <c r="C482" s="88" t="s">
        <v>646</v>
      </c>
      <c r="D482" s="85">
        <f>'Consumer Hardware Pricing'!L492</f>
        <v>1260</v>
      </c>
      <c r="E482" s="85">
        <f>'Consumer Hardware Pricing'!M492</f>
        <v>1260</v>
      </c>
      <c r="F482" s="85">
        <f>'Consumer Hardware Pricing'!N492</f>
        <v>0</v>
      </c>
      <c r="G482" s="85">
        <f t="shared" si="1563"/>
        <v>52.5</v>
      </c>
      <c r="H482" s="85" t="str">
        <f>'Consumer Hardware Pricing'!O492</f>
        <v>-</v>
      </c>
      <c r="I482" s="85">
        <f t="shared" si="1513"/>
        <v>52.5</v>
      </c>
      <c r="J482" s="85" t="str">
        <f t="shared" si="1525"/>
        <v>-</v>
      </c>
      <c r="K482" s="85">
        <f t="shared" si="1526"/>
        <v>1260</v>
      </c>
      <c r="L482" s="85" t="str">
        <f>'Consumer Hardware Pricing'!Q492</f>
        <v>-</v>
      </c>
      <c r="M482" s="85" t="str">
        <f t="shared" si="1564"/>
        <v>-</v>
      </c>
      <c r="N482" s="85" t="str">
        <f t="shared" si="1514"/>
        <v>-</v>
      </c>
      <c r="O482" s="85" t="str">
        <f t="shared" si="1515"/>
        <v>-</v>
      </c>
      <c r="P482" s="85" t="str">
        <f t="shared" si="1527"/>
        <v>-</v>
      </c>
      <c r="Q482" s="85">
        <f>'Consumer Hardware Pricing'!S492</f>
        <v>0</v>
      </c>
      <c r="R482" s="85">
        <f t="shared" si="1516"/>
        <v>52.5</v>
      </c>
      <c r="S482" s="85" t="str">
        <f>'Consumer Hardware Pricing'!T492</f>
        <v>-</v>
      </c>
      <c r="T482" s="129">
        <f t="shared" si="1528"/>
        <v>52.5</v>
      </c>
      <c r="U482" s="129" t="str">
        <f t="shared" si="1529"/>
        <v>-</v>
      </c>
      <c r="V482" s="85">
        <f t="shared" si="1530"/>
        <v>1260</v>
      </c>
      <c r="W482" s="129" t="str">
        <f>'Consumer Hardware Pricing'!V492</f>
        <v>-</v>
      </c>
      <c r="X482" s="129" t="str">
        <f t="shared" si="1565"/>
        <v>-</v>
      </c>
      <c r="Y482" s="129" t="str">
        <f t="shared" si="1531"/>
        <v>-</v>
      </c>
      <c r="Z482" s="129" t="str">
        <f t="shared" si="1532"/>
        <v>-</v>
      </c>
      <c r="AA482" s="85" t="str">
        <f t="shared" si="1533"/>
        <v>-</v>
      </c>
      <c r="AB482" s="85">
        <f>'Consumer Hardware Pricing'!X492</f>
        <v>0</v>
      </c>
      <c r="AC482" s="85">
        <f t="shared" si="1756"/>
        <v>52.5</v>
      </c>
      <c r="AD482" s="85">
        <f>'Consumer Hardware Pricing'!Y492</f>
        <v>10.84</v>
      </c>
      <c r="AE482" s="85">
        <f t="shared" si="1501"/>
        <v>41.66</v>
      </c>
      <c r="AF482" s="85">
        <f t="shared" si="1502"/>
        <v>260.15999999999997</v>
      </c>
      <c r="AG482" s="85">
        <f t="shared" si="1503"/>
        <v>999.83999999999992</v>
      </c>
      <c r="AH482" s="85" t="str">
        <f>'Consumer Hardware Pricing'!AA492</f>
        <v>-</v>
      </c>
      <c r="AI482" s="85" t="str">
        <f t="shared" si="1757"/>
        <v>-</v>
      </c>
      <c r="AJ482" s="85" t="str">
        <f t="shared" si="1504"/>
        <v>-</v>
      </c>
      <c r="AK482" s="85" t="str">
        <f t="shared" si="1505"/>
        <v>-</v>
      </c>
      <c r="AL482" s="85" t="str">
        <f t="shared" si="1506"/>
        <v>-</v>
      </c>
      <c r="AM482" s="85">
        <f>'Consumer Hardware Pricing'!AC492</f>
        <v>0</v>
      </c>
      <c r="AN482" s="85">
        <f t="shared" si="1758"/>
        <v>52.5</v>
      </c>
      <c r="AO482" s="85">
        <f>'Consumer Hardware Pricing'!AD492</f>
        <v>10.84</v>
      </c>
      <c r="AP482" s="85">
        <f t="shared" si="1507"/>
        <v>41.66</v>
      </c>
      <c r="AQ482" s="85">
        <f t="shared" si="1508"/>
        <v>260.15999999999997</v>
      </c>
      <c r="AR482" s="85">
        <f t="shared" si="1509"/>
        <v>999.83999999999992</v>
      </c>
      <c r="AS482" s="85" t="str">
        <f>'Consumer Hardware Pricing'!AF492</f>
        <v>-</v>
      </c>
      <c r="AT482" s="85" t="str">
        <f t="shared" si="1759"/>
        <v>-</v>
      </c>
      <c r="AU482" s="85" t="str">
        <f t="shared" si="1510"/>
        <v>-</v>
      </c>
      <c r="AV482" s="85" t="str">
        <f t="shared" si="1511"/>
        <v>-</v>
      </c>
      <c r="AW482" s="85" t="str">
        <f t="shared" si="1512"/>
        <v>-</v>
      </c>
      <c r="AX482" s="85" t="str">
        <f>'Consumer Hardware Pricing'!AH492</f>
        <v>-</v>
      </c>
      <c r="AY482" s="85" t="str">
        <f t="shared" si="1760"/>
        <v>-</v>
      </c>
      <c r="AZ482" s="85" t="str">
        <f>'Consumer Hardware Pricing'!AI492</f>
        <v>-</v>
      </c>
      <c r="BA482" s="85" t="str">
        <f t="shared" si="1517"/>
        <v>-</v>
      </c>
      <c r="BB482" s="85" t="str">
        <f t="shared" si="1518"/>
        <v>-</v>
      </c>
      <c r="BC482" s="85" t="str">
        <f t="shared" si="1534"/>
        <v>-</v>
      </c>
      <c r="BD482" s="85" t="str">
        <f>'Consumer Hardware Pricing'!AL492</f>
        <v>-</v>
      </c>
      <c r="BE482" s="85" t="str">
        <f t="shared" si="1761"/>
        <v>-</v>
      </c>
      <c r="BF482" s="85" t="str">
        <f>'Consumer Hardware Pricing'!AM492</f>
        <v>-</v>
      </c>
      <c r="BG482" s="85" t="str">
        <f t="shared" si="1519"/>
        <v>-</v>
      </c>
      <c r="BH482" s="85" t="str">
        <f t="shared" si="1520"/>
        <v>-</v>
      </c>
      <c r="BI482" s="85" t="str">
        <f t="shared" si="1535"/>
        <v>-</v>
      </c>
      <c r="BJ482" s="85" t="str">
        <f>'Consumer Hardware Pricing'!AP492</f>
        <v>-</v>
      </c>
      <c r="BK482" s="85" t="str">
        <f t="shared" si="1762"/>
        <v>-</v>
      </c>
      <c r="BL482" s="85" t="str">
        <f>'Consumer Hardware Pricing'!AQ492</f>
        <v>-</v>
      </c>
      <c r="BM482" s="85" t="str">
        <f t="shared" si="1521"/>
        <v>-</v>
      </c>
      <c r="BN482" s="85" t="str">
        <f t="shared" si="1522"/>
        <v>-</v>
      </c>
      <c r="BO482" s="85" t="str">
        <f t="shared" si="1536"/>
        <v>-</v>
      </c>
      <c r="BP482" s="85" t="str">
        <f>'Consumer Hardware Pricing'!AT492</f>
        <v>-</v>
      </c>
      <c r="BQ482" s="85" t="str">
        <f t="shared" si="1763"/>
        <v>-</v>
      </c>
      <c r="BR482" s="85" t="str">
        <f>'Consumer Hardware Pricing'!AU492</f>
        <v>-</v>
      </c>
      <c r="BS482" s="85" t="str">
        <f t="shared" si="1523"/>
        <v>-</v>
      </c>
      <c r="BT482" s="85" t="str">
        <f t="shared" si="1524"/>
        <v>-</v>
      </c>
      <c r="BU482" s="85" t="str">
        <f t="shared" si="1537"/>
        <v>-</v>
      </c>
    </row>
    <row r="483" spans="1:73" ht="31.2" customHeight="1" x14ac:dyDescent="0.25">
      <c r="A483" s="87" t="s">
        <v>34</v>
      </c>
      <c r="B483" s="88" t="s">
        <v>918</v>
      </c>
      <c r="C483" s="88" t="s">
        <v>919</v>
      </c>
      <c r="D483" s="85">
        <f>'Consumer Hardware Pricing'!L493</f>
        <v>2250</v>
      </c>
      <c r="E483" s="85">
        <f>'Consumer Hardware Pricing'!M493</f>
        <v>2250</v>
      </c>
      <c r="F483" s="85">
        <f>'Consumer Hardware Pricing'!N493</f>
        <v>0</v>
      </c>
      <c r="G483" s="85">
        <f t="shared" si="1563"/>
        <v>93.75</v>
      </c>
      <c r="H483" s="85">
        <f>'Consumer Hardware Pricing'!O493</f>
        <v>17.920000000000002</v>
      </c>
      <c r="I483" s="85">
        <f t="shared" ref="I483:I488" si="1877">IF(H483="-",G483,G483-H483)</f>
        <v>75.83</v>
      </c>
      <c r="J483" s="85">
        <f t="shared" ref="J483:J488" si="1878">IF(H483="-",H483,H483*24)</f>
        <v>430.08000000000004</v>
      </c>
      <c r="K483" s="85">
        <f t="shared" ref="K483:K488" si="1879">IF(F483="-",F483,I483*24)</f>
        <v>1819.92</v>
      </c>
      <c r="L483" s="85">
        <f>'Consumer Hardware Pricing'!Q493</f>
        <v>380</v>
      </c>
      <c r="M483" s="85">
        <f t="shared" si="1564"/>
        <v>33.75</v>
      </c>
      <c r="N483" s="85">
        <f t="shared" ref="N483:N488" si="1880">IF(L483="-",L483,G483-M483)</f>
        <v>60</v>
      </c>
      <c r="O483" s="85">
        <f t="shared" ref="O483:O488" si="1881">IF(L483="-",L483,M483*24)</f>
        <v>810</v>
      </c>
      <c r="P483" s="85">
        <f t="shared" ref="P483:P488" si="1882">IF(L483="-",L483,N483*24)</f>
        <v>1440</v>
      </c>
      <c r="Q483" s="85">
        <f>'Consumer Hardware Pricing'!S493</f>
        <v>0</v>
      </c>
      <c r="R483" s="85">
        <f t="shared" ref="R483:R488" si="1883">G483</f>
        <v>93.75</v>
      </c>
      <c r="S483" s="85">
        <f>'Consumer Hardware Pricing'!T493</f>
        <v>17.920000000000002</v>
      </c>
      <c r="T483" s="129">
        <f t="shared" ref="T483:T488" si="1884">IF(S483="-",R483,R483-S483)</f>
        <v>75.83</v>
      </c>
      <c r="U483" s="129">
        <f t="shared" ref="U483:U488" si="1885">IF(S483="-",S483,S483*24)</f>
        <v>430.08000000000004</v>
      </c>
      <c r="V483" s="85">
        <f t="shared" ref="V483:V488" si="1886">IF(Q483="-",Q483,T483*24)</f>
        <v>1819.92</v>
      </c>
      <c r="W483" s="129">
        <f>'Consumer Hardware Pricing'!V493</f>
        <v>380</v>
      </c>
      <c r="X483" s="129">
        <f t="shared" si="1565"/>
        <v>33.75</v>
      </c>
      <c r="Y483" s="129">
        <f t="shared" ref="Y483:Y488" si="1887">IF(W483="-",W483,R483-X483)</f>
        <v>60</v>
      </c>
      <c r="Z483" s="129">
        <f t="shared" ref="Z483:Z488" si="1888">IF(W483="-",W483,X483*24)</f>
        <v>810</v>
      </c>
      <c r="AA483" s="85">
        <f t="shared" ref="AA483:AA488" si="1889">IF(W483="-",W483,Y483*24)</f>
        <v>1440</v>
      </c>
      <c r="AB483" s="85">
        <f>'Consumer Hardware Pricing'!X493</f>
        <v>0</v>
      </c>
      <c r="AC483" s="85">
        <f t="shared" si="1756"/>
        <v>93.75</v>
      </c>
      <c r="AD483" s="85">
        <f>'Consumer Hardware Pricing'!Y493</f>
        <v>39.42</v>
      </c>
      <c r="AE483" s="85">
        <f t="shared" si="1501"/>
        <v>54.33</v>
      </c>
      <c r="AF483" s="85">
        <f t="shared" si="1502"/>
        <v>946.08</v>
      </c>
      <c r="AG483" s="85">
        <f t="shared" si="1503"/>
        <v>1303.92</v>
      </c>
      <c r="AH483" s="85">
        <f>'Consumer Hardware Pricing'!AA493</f>
        <v>380</v>
      </c>
      <c r="AI483" s="85">
        <f t="shared" si="1757"/>
        <v>55.250000000000014</v>
      </c>
      <c r="AJ483" s="85">
        <f t="shared" si="1504"/>
        <v>38.499999999999986</v>
      </c>
      <c r="AK483" s="85">
        <f t="shared" si="1505"/>
        <v>1326.0000000000005</v>
      </c>
      <c r="AL483" s="85">
        <f t="shared" si="1506"/>
        <v>923.99999999999966</v>
      </c>
      <c r="AM483" s="85">
        <f>'Consumer Hardware Pricing'!AC493</f>
        <v>0</v>
      </c>
      <c r="AN483" s="85">
        <f t="shared" si="1758"/>
        <v>93.75</v>
      </c>
      <c r="AO483" s="85">
        <f>'Consumer Hardware Pricing'!AD493</f>
        <v>39.42</v>
      </c>
      <c r="AP483" s="85">
        <f t="shared" si="1507"/>
        <v>54.33</v>
      </c>
      <c r="AQ483" s="85">
        <f t="shared" si="1508"/>
        <v>946.08</v>
      </c>
      <c r="AR483" s="85">
        <f t="shared" si="1509"/>
        <v>1303.92</v>
      </c>
      <c r="AS483" s="85">
        <f>'Consumer Hardware Pricing'!AF493</f>
        <v>380</v>
      </c>
      <c r="AT483" s="85">
        <f t="shared" si="1759"/>
        <v>55.250000000000014</v>
      </c>
      <c r="AU483" s="85">
        <f t="shared" si="1510"/>
        <v>38.499999999999986</v>
      </c>
      <c r="AV483" s="85">
        <f t="shared" si="1511"/>
        <v>1326.0000000000005</v>
      </c>
      <c r="AW483" s="85">
        <f t="shared" si="1512"/>
        <v>923.99999999999966</v>
      </c>
      <c r="AX483" s="85" t="str">
        <f>'Consumer Hardware Pricing'!AH493</f>
        <v>-</v>
      </c>
      <c r="AY483" s="85" t="str">
        <f t="shared" si="1760"/>
        <v>-</v>
      </c>
      <c r="AZ483" s="85" t="str">
        <f>'Consumer Hardware Pricing'!AI493</f>
        <v>-</v>
      </c>
      <c r="BA483" s="85" t="str">
        <f t="shared" ref="BA483:BA488" si="1890">IF(AZ483="-",AY483,AY483-AZ483)</f>
        <v>-</v>
      </c>
      <c r="BB483" s="85" t="str">
        <f t="shared" ref="BB483:BB488" si="1891">IF(AZ483="-",AZ483,AZ483*24)</f>
        <v>-</v>
      </c>
      <c r="BC483" s="85" t="str">
        <f t="shared" ref="BC483:BC488" si="1892">IF(AX483="-",AX483,AX483+(BA483*24))</f>
        <v>-</v>
      </c>
      <c r="BD483" s="85" t="str">
        <f>'Consumer Hardware Pricing'!AL493</f>
        <v>-</v>
      </c>
      <c r="BE483" s="85" t="str">
        <f t="shared" si="1761"/>
        <v>-</v>
      </c>
      <c r="BF483" s="85" t="str">
        <f>'Consumer Hardware Pricing'!AM493</f>
        <v>-</v>
      </c>
      <c r="BG483" s="85" t="str">
        <f t="shared" ref="BG483:BG488" si="1893">IF(BF483="-",BE483,BE483-BF483)</f>
        <v>-</v>
      </c>
      <c r="BH483" s="85" t="str">
        <f t="shared" ref="BH483:BH488" si="1894">IF(BF483="-",BF483,BF483*24)</f>
        <v>-</v>
      </c>
      <c r="BI483" s="85" t="str">
        <f t="shared" ref="BI483:BI488" si="1895">IF(BD483="-",BD483,BD483+(BG483*24))</f>
        <v>-</v>
      </c>
      <c r="BJ483" s="85" t="str">
        <f>'Consumer Hardware Pricing'!AP493</f>
        <v>-</v>
      </c>
      <c r="BK483" s="85" t="str">
        <f t="shared" si="1762"/>
        <v>-</v>
      </c>
      <c r="BL483" s="85" t="str">
        <f>'Consumer Hardware Pricing'!AQ493</f>
        <v>-</v>
      </c>
      <c r="BM483" s="85" t="str">
        <f t="shared" ref="BM483:BM488" si="1896">IF(BL483="-",BK483,BK483-BL483)</f>
        <v>-</v>
      </c>
      <c r="BN483" s="85" t="str">
        <f t="shared" ref="BN483:BN488" si="1897">IF(BL483="-",BL483,BL483*24)</f>
        <v>-</v>
      </c>
      <c r="BO483" s="85" t="str">
        <f t="shared" ref="BO483:BO488" si="1898">IF(BJ483="-",BJ483,BJ483+(BM483*24))</f>
        <v>-</v>
      </c>
      <c r="BP483" s="85" t="str">
        <f>'Consumer Hardware Pricing'!AT493</f>
        <v>-</v>
      </c>
      <c r="BQ483" s="85" t="str">
        <f t="shared" si="1763"/>
        <v>-</v>
      </c>
      <c r="BR483" s="85" t="str">
        <f>'Consumer Hardware Pricing'!AU493</f>
        <v>-</v>
      </c>
      <c r="BS483" s="85" t="str">
        <f t="shared" ref="BS483:BS488" si="1899">IF(BR483="-",BQ483,BQ483-BR483)</f>
        <v>-</v>
      </c>
      <c r="BT483" s="85" t="str">
        <f t="shared" ref="BT483:BT488" si="1900">IF(BR483="-",BR483,BR483*24)</f>
        <v>-</v>
      </c>
      <c r="BU483" s="85" t="str">
        <f t="shared" ref="BU483:BU488" si="1901">IF(BP483="-",BP483,BP483+(BS483*24))</f>
        <v>-</v>
      </c>
    </row>
    <row r="484" spans="1:73" ht="31.2" customHeight="1" x14ac:dyDescent="0.25">
      <c r="A484" s="87" t="s">
        <v>34</v>
      </c>
      <c r="B484" s="88" t="s">
        <v>920</v>
      </c>
      <c r="C484" s="88" t="s">
        <v>919</v>
      </c>
      <c r="D484" s="85">
        <f>'Consumer Hardware Pricing'!L494</f>
        <v>2250</v>
      </c>
      <c r="E484" s="85">
        <f>'Consumer Hardware Pricing'!M494</f>
        <v>2250</v>
      </c>
      <c r="F484" s="85">
        <f>'Consumer Hardware Pricing'!N494</f>
        <v>0</v>
      </c>
      <c r="G484" s="85">
        <f t="shared" si="1563"/>
        <v>93.75</v>
      </c>
      <c r="H484" s="85">
        <f>'Consumer Hardware Pricing'!O494</f>
        <v>17.920000000000002</v>
      </c>
      <c r="I484" s="85">
        <f t="shared" si="1877"/>
        <v>75.83</v>
      </c>
      <c r="J484" s="85">
        <f t="shared" si="1878"/>
        <v>430.08000000000004</v>
      </c>
      <c r="K484" s="85">
        <f t="shared" si="1879"/>
        <v>1819.92</v>
      </c>
      <c r="L484" s="85">
        <f>'Consumer Hardware Pricing'!Q494</f>
        <v>380</v>
      </c>
      <c r="M484" s="85">
        <f t="shared" si="1564"/>
        <v>33.75</v>
      </c>
      <c r="N484" s="85">
        <f t="shared" si="1880"/>
        <v>60</v>
      </c>
      <c r="O484" s="85">
        <f t="shared" si="1881"/>
        <v>810</v>
      </c>
      <c r="P484" s="85">
        <f t="shared" si="1882"/>
        <v>1440</v>
      </c>
      <c r="Q484" s="85">
        <f>'Consumer Hardware Pricing'!S494</f>
        <v>0</v>
      </c>
      <c r="R484" s="85">
        <f t="shared" si="1883"/>
        <v>93.75</v>
      </c>
      <c r="S484" s="85">
        <f>'Consumer Hardware Pricing'!T494</f>
        <v>17.920000000000002</v>
      </c>
      <c r="T484" s="129">
        <f t="shared" si="1884"/>
        <v>75.83</v>
      </c>
      <c r="U484" s="129">
        <f t="shared" si="1885"/>
        <v>430.08000000000004</v>
      </c>
      <c r="V484" s="85">
        <f t="shared" si="1886"/>
        <v>1819.92</v>
      </c>
      <c r="W484" s="129">
        <f>'Consumer Hardware Pricing'!V494</f>
        <v>380</v>
      </c>
      <c r="X484" s="129">
        <f t="shared" si="1565"/>
        <v>33.75</v>
      </c>
      <c r="Y484" s="129">
        <f t="shared" si="1887"/>
        <v>60</v>
      </c>
      <c r="Z484" s="129">
        <f t="shared" si="1888"/>
        <v>810</v>
      </c>
      <c r="AA484" s="85">
        <f t="shared" si="1889"/>
        <v>1440</v>
      </c>
      <c r="AB484" s="85">
        <f>'Consumer Hardware Pricing'!X494</f>
        <v>0</v>
      </c>
      <c r="AC484" s="85">
        <f t="shared" si="1756"/>
        <v>93.75</v>
      </c>
      <c r="AD484" s="85">
        <f>'Consumer Hardware Pricing'!Y494</f>
        <v>39.42</v>
      </c>
      <c r="AE484" s="85">
        <f t="shared" si="1501"/>
        <v>54.33</v>
      </c>
      <c r="AF484" s="85">
        <f t="shared" si="1502"/>
        <v>946.08</v>
      </c>
      <c r="AG484" s="85">
        <f t="shared" si="1503"/>
        <v>1303.92</v>
      </c>
      <c r="AH484" s="85">
        <f>'Consumer Hardware Pricing'!AA494</f>
        <v>380</v>
      </c>
      <c r="AI484" s="85">
        <f t="shared" si="1757"/>
        <v>55.250000000000014</v>
      </c>
      <c r="AJ484" s="85">
        <f t="shared" si="1504"/>
        <v>38.499999999999986</v>
      </c>
      <c r="AK484" s="85">
        <f t="shared" si="1505"/>
        <v>1326.0000000000005</v>
      </c>
      <c r="AL484" s="85">
        <f t="shared" si="1506"/>
        <v>923.99999999999966</v>
      </c>
      <c r="AM484" s="85">
        <f>'Consumer Hardware Pricing'!AC494</f>
        <v>0</v>
      </c>
      <c r="AN484" s="85">
        <f t="shared" si="1758"/>
        <v>93.75</v>
      </c>
      <c r="AO484" s="85">
        <f>'Consumer Hardware Pricing'!AD494</f>
        <v>39.42</v>
      </c>
      <c r="AP484" s="85">
        <f t="shared" si="1507"/>
        <v>54.33</v>
      </c>
      <c r="AQ484" s="85">
        <f t="shared" si="1508"/>
        <v>946.08</v>
      </c>
      <c r="AR484" s="85">
        <f t="shared" si="1509"/>
        <v>1303.92</v>
      </c>
      <c r="AS484" s="85">
        <f>'Consumer Hardware Pricing'!AF494</f>
        <v>380</v>
      </c>
      <c r="AT484" s="85">
        <f t="shared" si="1759"/>
        <v>55.250000000000014</v>
      </c>
      <c r="AU484" s="85">
        <f t="shared" si="1510"/>
        <v>38.499999999999986</v>
      </c>
      <c r="AV484" s="85">
        <f t="shared" si="1511"/>
        <v>1326.0000000000005</v>
      </c>
      <c r="AW484" s="85">
        <f t="shared" si="1512"/>
        <v>923.99999999999966</v>
      </c>
      <c r="AX484" s="85" t="str">
        <f>'Consumer Hardware Pricing'!AH494</f>
        <v>-</v>
      </c>
      <c r="AY484" s="85" t="str">
        <f t="shared" si="1760"/>
        <v>-</v>
      </c>
      <c r="AZ484" s="85" t="str">
        <f>'Consumer Hardware Pricing'!AI494</f>
        <v>-</v>
      </c>
      <c r="BA484" s="85" t="str">
        <f t="shared" si="1890"/>
        <v>-</v>
      </c>
      <c r="BB484" s="85" t="str">
        <f t="shared" si="1891"/>
        <v>-</v>
      </c>
      <c r="BC484" s="85" t="str">
        <f t="shared" si="1892"/>
        <v>-</v>
      </c>
      <c r="BD484" s="85" t="str">
        <f>'Consumer Hardware Pricing'!AL494</f>
        <v>-</v>
      </c>
      <c r="BE484" s="85" t="str">
        <f t="shared" si="1761"/>
        <v>-</v>
      </c>
      <c r="BF484" s="85" t="str">
        <f>'Consumer Hardware Pricing'!AM494</f>
        <v>-</v>
      </c>
      <c r="BG484" s="85" t="str">
        <f t="shared" si="1893"/>
        <v>-</v>
      </c>
      <c r="BH484" s="85" t="str">
        <f t="shared" si="1894"/>
        <v>-</v>
      </c>
      <c r="BI484" s="85" t="str">
        <f t="shared" si="1895"/>
        <v>-</v>
      </c>
      <c r="BJ484" s="85" t="str">
        <f>'Consumer Hardware Pricing'!AP494</f>
        <v>-</v>
      </c>
      <c r="BK484" s="85" t="str">
        <f t="shared" si="1762"/>
        <v>-</v>
      </c>
      <c r="BL484" s="85" t="str">
        <f>'Consumer Hardware Pricing'!AQ494</f>
        <v>-</v>
      </c>
      <c r="BM484" s="85" t="str">
        <f t="shared" si="1896"/>
        <v>-</v>
      </c>
      <c r="BN484" s="85" t="str">
        <f t="shared" si="1897"/>
        <v>-</v>
      </c>
      <c r="BO484" s="85" t="str">
        <f t="shared" si="1898"/>
        <v>-</v>
      </c>
      <c r="BP484" s="85" t="str">
        <f>'Consumer Hardware Pricing'!AT494</f>
        <v>-</v>
      </c>
      <c r="BQ484" s="85" t="str">
        <f t="shared" si="1763"/>
        <v>-</v>
      </c>
      <c r="BR484" s="85" t="str">
        <f>'Consumer Hardware Pricing'!AU494</f>
        <v>-</v>
      </c>
      <c r="BS484" s="85" t="str">
        <f t="shared" si="1899"/>
        <v>-</v>
      </c>
      <c r="BT484" s="85" t="str">
        <f t="shared" si="1900"/>
        <v>-</v>
      </c>
      <c r="BU484" s="85" t="str">
        <f t="shared" si="1901"/>
        <v>-</v>
      </c>
    </row>
    <row r="485" spans="1:73" ht="31.2" customHeight="1" x14ac:dyDescent="0.25">
      <c r="A485" s="87" t="s">
        <v>34</v>
      </c>
      <c r="B485" s="88" t="s">
        <v>921</v>
      </c>
      <c r="C485" s="88" t="s">
        <v>922</v>
      </c>
      <c r="D485" s="85">
        <f>'Consumer Hardware Pricing'!L495</f>
        <v>2510</v>
      </c>
      <c r="E485" s="85">
        <f>'Consumer Hardware Pricing'!M495</f>
        <v>2510</v>
      </c>
      <c r="F485" s="85">
        <f>'Consumer Hardware Pricing'!N495</f>
        <v>0</v>
      </c>
      <c r="G485" s="85">
        <f t="shared" si="1563"/>
        <v>104.59</v>
      </c>
      <c r="H485" s="85">
        <f>'Consumer Hardware Pricing'!O495</f>
        <v>20</v>
      </c>
      <c r="I485" s="85">
        <f t="shared" si="1877"/>
        <v>84.59</v>
      </c>
      <c r="J485" s="85">
        <f t="shared" si="1878"/>
        <v>480</v>
      </c>
      <c r="K485" s="85">
        <f t="shared" si="1879"/>
        <v>2030.16</v>
      </c>
      <c r="L485" s="85">
        <f>'Consumer Hardware Pricing'!Q495</f>
        <v>410</v>
      </c>
      <c r="M485" s="85">
        <f t="shared" si="1564"/>
        <v>37.090000000000003</v>
      </c>
      <c r="N485" s="85">
        <f t="shared" si="1880"/>
        <v>67.5</v>
      </c>
      <c r="O485" s="85">
        <f t="shared" si="1881"/>
        <v>890.16000000000008</v>
      </c>
      <c r="P485" s="85">
        <f t="shared" si="1882"/>
        <v>1620</v>
      </c>
      <c r="Q485" s="85">
        <f>'Consumer Hardware Pricing'!S495</f>
        <v>0</v>
      </c>
      <c r="R485" s="85">
        <f t="shared" si="1883"/>
        <v>104.59</v>
      </c>
      <c r="S485" s="85">
        <f>'Consumer Hardware Pricing'!T495</f>
        <v>20</v>
      </c>
      <c r="T485" s="129">
        <f t="shared" si="1884"/>
        <v>84.59</v>
      </c>
      <c r="U485" s="129">
        <f t="shared" si="1885"/>
        <v>480</v>
      </c>
      <c r="V485" s="85">
        <f t="shared" si="1886"/>
        <v>2030.16</v>
      </c>
      <c r="W485" s="129">
        <f>'Consumer Hardware Pricing'!V495</f>
        <v>410</v>
      </c>
      <c r="X485" s="129">
        <f t="shared" si="1565"/>
        <v>37.090000000000003</v>
      </c>
      <c r="Y485" s="129">
        <f t="shared" si="1887"/>
        <v>67.5</v>
      </c>
      <c r="Z485" s="129">
        <f t="shared" si="1888"/>
        <v>890.16000000000008</v>
      </c>
      <c r="AA485" s="85">
        <f t="shared" si="1889"/>
        <v>1620</v>
      </c>
      <c r="AB485" s="85">
        <f>'Consumer Hardware Pricing'!X495</f>
        <v>0</v>
      </c>
      <c r="AC485" s="85">
        <f t="shared" si="1756"/>
        <v>104.59</v>
      </c>
      <c r="AD485" s="85">
        <f>'Consumer Hardware Pricing'!Y495</f>
        <v>39.42</v>
      </c>
      <c r="AE485" s="85">
        <f t="shared" ref="AE485:AE584" si="1902">IF(AD485="-",AC485,AC485-AD485)</f>
        <v>65.17</v>
      </c>
      <c r="AF485" s="85">
        <f t="shared" ref="AF485:AF584" si="1903">IF(AD485="-",AD485,AD485*24)</f>
        <v>946.08</v>
      </c>
      <c r="AG485" s="85">
        <f t="shared" ref="AG485:AG584" si="1904">IF(AB485="-",AB485,AE485*24)</f>
        <v>1564.08</v>
      </c>
      <c r="AH485" s="85">
        <f>'Consumer Hardware Pricing'!AA495</f>
        <v>410</v>
      </c>
      <c r="AI485" s="85">
        <f t="shared" si="1757"/>
        <v>56.509999999999991</v>
      </c>
      <c r="AJ485" s="85">
        <f t="shared" ref="AJ485:AJ584" si="1905">IF(AH485="-",AH485,AC485-AI485)</f>
        <v>48.080000000000013</v>
      </c>
      <c r="AK485" s="85">
        <f t="shared" ref="AK485:AK584" si="1906">IF(AH485="-",AH485,AI485*24)</f>
        <v>1356.2399999999998</v>
      </c>
      <c r="AL485" s="85">
        <f t="shared" ref="AL485:AL584" si="1907">IF(AH485="-",AH485,AJ485*24)</f>
        <v>1153.9200000000003</v>
      </c>
      <c r="AM485" s="85">
        <f>'Consumer Hardware Pricing'!AC495</f>
        <v>0</v>
      </c>
      <c r="AN485" s="85">
        <f t="shared" si="1758"/>
        <v>104.59</v>
      </c>
      <c r="AO485" s="85">
        <f>'Consumer Hardware Pricing'!AD495</f>
        <v>39.42</v>
      </c>
      <c r="AP485" s="85">
        <f t="shared" ref="AP485:AP584" si="1908">IF(AO485="-",AN485,AN485-AO485)</f>
        <v>65.17</v>
      </c>
      <c r="AQ485" s="85">
        <f t="shared" ref="AQ485:AQ584" si="1909">IF(AO485="-",AO485,AO485*24)</f>
        <v>946.08</v>
      </c>
      <c r="AR485" s="85">
        <f t="shared" ref="AR485:AR584" si="1910">IF(AM485="-",AM485,AP485*24)</f>
        <v>1564.08</v>
      </c>
      <c r="AS485" s="85">
        <f>'Consumer Hardware Pricing'!AF495</f>
        <v>410</v>
      </c>
      <c r="AT485" s="85">
        <f t="shared" si="1759"/>
        <v>56.509999999999991</v>
      </c>
      <c r="AU485" s="85">
        <f t="shared" ref="AU485:AU584" si="1911">IF(AS485="-",AS485,AN485-AT485)</f>
        <v>48.080000000000013</v>
      </c>
      <c r="AV485" s="85">
        <f t="shared" ref="AV485:AV584" si="1912">IF(AS485="-",AS485,AT485*24)</f>
        <v>1356.2399999999998</v>
      </c>
      <c r="AW485" s="85">
        <f t="shared" ref="AW485:AW584" si="1913">IF(AS485="-",AS485,AU485*24)</f>
        <v>1153.9200000000003</v>
      </c>
      <c r="AX485" s="85" t="str">
        <f>'Consumer Hardware Pricing'!AH495</f>
        <v>-</v>
      </c>
      <c r="AY485" s="85" t="str">
        <f t="shared" si="1760"/>
        <v>-</v>
      </c>
      <c r="AZ485" s="85" t="str">
        <f>'Consumer Hardware Pricing'!AI495</f>
        <v>-</v>
      </c>
      <c r="BA485" s="85" t="str">
        <f t="shared" si="1890"/>
        <v>-</v>
      </c>
      <c r="BB485" s="85" t="str">
        <f t="shared" si="1891"/>
        <v>-</v>
      </c>
      <c r="BC485" s="85" t="str">
        <f t="shared" si="1892"/>
        <v>-</v>
      </c>
      <c r="BD485" s="85" t="str">
        <f>'Consumer Hardware Pricing'!AL495</f>
        <v>-</v>
      </c>
      <c r="BE485" s="85" t="str">
        <f t="shared" si="1761"/>
        <v>-</v>
      </c>
      <c r="BF485" s="85" t="str">
        <f>'Consumer Hardware Pricing'!AM495</f>
        <v>-</v>
      </c>
      <c r="BG485" s="85" t="str">
        <f t="shared" si="1893"/>
        <v>-</v>
      </c>
      <c r="BH485" s="85" t="str">
        <f t="shared" si="1894"/>
        <v>-</v>
      </c>
      <c r="BI485" s="85" t="str">
        <f t="shared" si="1895"/>
        <v>-</v>
      </c>
      <c r="BJ485" s="85" t="str">
        <f>'Consumer Hardware Pricing'!AP495</f>
        <v>-</v>
      </c>
      <c r="BK485" s="85" t="str">
        <f t="shared" si="1762"/>
        <v>-</v>
      </c>
      <c r="BL485" s="85" t="str">
        <f>'Consumer Hardware Pricing'!AQ495</f>
        <v>-</v>
      </c>
      <c r="BM485" s="85" t="str">
        <f t="shared" si="1896"/>
        <v>-</v>
      </c>
      <c r="BN485" s="85" t="str">
        <f t="shared" si="1897"/>
        <v>-</v>
      </c>
      <c r="BO485" s="85" t="str">
        <f t="shared" si="1898"/>
        <v>-</v>
      </c>
      <c r="BP485" s="85" t="str">
        <f>'Consumer Hardware Pricing'!AT495</f>
        <v>-</v>
      </c>
      <c r="BQ485" s="85" t="str">
        <f t="shared" si="1763"/>
        <v>-</v>
      </c>
      <c r="BR485" s="85" t="str">
        <f>'Consumer Hardware Pricing'!AU495</f>
        <v>-</v>
      </c>
      <c r="BS485" s="85" t="str">
        <f t="shared" si="1899"/>
        <v>-</v>
      </c>
      <c r="BT485" s="85" t="str">
        <f t="shared" si="1900"/>
        <v>-</v>
      </c>
      <c r="BU485" s="85" t="str">
        <f t="shared" si="1901"/>
        <v>-</v>
      </c>
    </row>
    <row r="486" spans="1:73" ht="31.2" customHeight="1" x14ac:dyDescent="0.25">
      <c r="A486" s="87" t="s">
        <v>34</v>
      </c>
      <c r="B486" s="88" t="s">
        <v>923</v>
      </c>
      <c r="C486" s="88" t="s">
        <v>924</v>
      </c>
      <c r="D486" s="85">
        <f>'Consumer Hardware Pricing'!L496</f>
        <v>1730</v>
      </c>
      <c r="E486" s="85">
        <f>'Consumer Hardware Pricing'!M496</f>
        <v>1730</v>
      </c>
      <c r="F486" s="85">
        <f>'Consumer Hardware Pricing'!N496</f>
        <v>0</v>
      </c>
      <c r="G486" s="85">
        <f t="shared" si="1563"/>
        <v>72.09</v>
      </c>
      <c r="H486" s="85">
        <f>'Consumer Hardware Pricing'!O496</f>
        <v>13.75</v>
      </c>
      <c r="I486" s="85">
        <f t="shared" si="1877"/>
        <v>58.34</v>
      </c>
      <c r="J486" s="85">
        <f t="shared" si="1878"/>
        <v>330</v>
      </c>
      <c r="K486" s="85">
        <f t="shared" si="1879"/>
        <v>1400.16</v>
      </c>
      <c r="L486" s="85">
        <f>'Consumer Hardware Pricing'!Q496</f>
        <v>260</v>
      </c>
      <c r="M486" s="85">
        <f t="shared" si="1564"/>
        <v>24.590000000000003</v>
      </c>
      <c r="N486" s="85">
        <f t="shared" si="1880"/>
        <v>47.5</v>
      </c>
      <c r="O486" s="85">
        <f t="shared" si="1881"/>
        <v>590.16000000000008</v>
      </c>
      <c r="P486" s="85">
        <f t="shared" si="1882"/>
        <v>1140</v>
      </c>
      <c r="Q486" s="85">
        <f>'Consumer Hardware Pricing'!S496</f>
        <v>0</v>
      </c>
      <c r="R486" s="85">
        <f t="shared" si="1883"/>
        <v>72.09</v>
      </c>
      <c r="S486" s="85">
        <f>'Consumer Hardware Pricing'!T496</f>
        <v>13.75</v>
      </c>
      <c r="T486" s="129">
        <f t="shared" si="1884"/>
        <v>58.34</v>
      </c>
      <c r="U486" s="129">
        <f t="shared" si="1885"/>
        <v>330</v>
      </c>
      <c r="V486" s="85">
        <f t="shared" si="1886"/>
        <v>1400.16</v>
      </c>
      <c r="W486" s="129">
        <f>'Consumer Hardware Pricing'!V496</f>
        <v>260</v>
      </c>
      <c r="X486" s="129">
        <f t="shared" si="1565"/>
        <v>24.590000000000003</v>
      </c>
      <c r="Y486" s="129">
        <f t="shared" si="1887"/>
        <v>47.5</v>
      </c>
      <c r="Z486" s="129">
        <f t="shared" si="1888"/>
        <v>590.16000000000008</v>
      </c>
      <c r="AA486" s="85">
        <f t="shared" si="1889"/>
        <v>1140</v>
      </c>
      <c r="AB486" s="85">
        <f>'Consumer Hardware Pricing'!X496</f>
        <v>0</v>
      </c>
      <c r="AC486" s="85">
        <f t="shared" si="1756"/>
        <v>72.09</v>
      </c>
      <c r="AD486" s="85">
        <f>'Consumer Hardware Pricing'!Y496</f>
        <v>34.75</v>
      </c>
      <c r="AE486" s="85">
        <f t="shared" si="1902"/>
        <v>37.340000000000003</v>
      </c>
      <c r="AF486" s="85">
        <f t="shared" si="1903"/>
        <v>834</v>
      </c>
      <c r="AG486" s="85">
        <f t="shared" si="1904"/>
        <v>896.16000000000008</v>
      </c>
      <c r="AH486" s="85">
        <f>'Consumer Hardware Pricing'!AA496</f>
        <v>260</v>
      </c>
      <c r="AI486" s="85">
        <f t="shared" si="1757"/>
        <v>45.59</v>
      </c>
      <c r="AJ486" s="85">
        <f t="shared" si="1905"/>
        <v>26.5</v>
      </c>
      <c r="AK486" s="85">
        <f t="shared" si="1906"/>
        <v>1094.1600000000001</v>
      </c>
      <c r="AL486" s="85">
        <f t="shared" si="1907"/>
        <v>636</v>
      </c>
      <c r="AM486" s="85">
        <f>'Consumer Hardware Pricing'!AC496</f>
        <v>0</v>
      </c>
      <c r="AN486" s="85">
        <f t="shared" si="1758"/>
        <v>72.09</v>
      </c>
      <c r="AO486" s="85">
        <f>'Consumer Hardware Pricing'!AD496</f>
        <v>34.75</v>
      </c>
      <c r="AP486" s="85">
        <f t="shared" si="1908"/>
        <v>37.340000000000003</v>
      </c>
      <c r="AQ486" s="85">
        <f t="shared" si="1909"/>
        <v>834</v>
      </c>
      <c r="AR486" s="85">
        <f t="shared" si="1910"/>
        <v>896.16000000000008</v>
      </c>
      <c r="AS486" s="85">
        <f>'Consumer Hardware Pricing'!AF496</f>
        <v>260</v>
      </c>
      <c r="AT486" s="85">
        <f t="shared" si="1759"/>
        <v>45.59</v>
      </c>
      <c r="AU486" s="85">
        <f t="shared" si="1911"/>
        <v>26.5</v>
      </c>
      <c r="AV486" s="85">
        <f t="shared" si="1912"/>
        <v>1094.1600000000001</v>
      </c>
      <c r="AW486" s="85">
        <f t="shared" si="1913"/>
        <v>636</v>
      </c>
      <c r="AX486" s="85" t="str">
        <f>'Consumer Hardware Pricing'!AH496</f>
        <v>-</v>
      </c>
      <c r="AY486" s="85" t="str">
        <f t="shared" si="1760"/>
        <v>-</v>
      </c>
      <c r="AZ486" s="85" t="str">
        <f>'Consumer Hardware Pricing'!AI496</f>
        <v>-</v>
      </c>
      <c r="BA486" s="85" t="str">
        <f t="shared" si="1890"/>
        <v>-</v>
      </c>
      <c r="BB486" s="85" t="str">
        <f t="shared" si="1891"/>
        <v>-</v>
      </c>
      <c r="BC486" s="85" t="str">
        <f t="shared" si="1892"/>
        <v>-</v>
      </c>
      <c r="BD486" s="85" t="str">
        <f>'Consumer Hardware Pricing'!AL496</f>
        <v>-</v>
      </c>
      <c r="BE486" s="85" t="str">
        <f t="shared" si="1761"/>
        <v>-</v>
      </c>
      <c r="BF486" s="85" t="str">
        <f>'Consumer Hardware Pricing'!AM496</f>
        <v>-</v>
      </c>
      <c r="BG486" s="85" t="str">
        <f t="shared" si="1893"/>
        <v>-</v>
      </c>
      <c r="BH486" s="85" t="str">
        <f t="shared" si="1894"/>
        <v>-</v>
      </c>
      <c r="BI486" s="85" t="str">
        <f t="shared" si="1895"/>
        <v>-</v>
      </c>
      <c r="BJ486" s="85" t="str">
        <f>'Consumer Hardware Pricing'!AP496</f>
        <v>-</v>
      </c>
      <c r="BK486" s="85" t="str">
        <f t="shared" si="1762"/>
        <v>-</v>
      </c>
      <c r="BL486" s="85" t="str">
        <f>'Consumer Hardware Pricing'!AQ496</f>
        <v>-</v>
      </c>
      <c r="BM486" s="85" t="str">
        <f t="shared" si="1896"/>
        <v>-</v>
      </c>
      <c r="BN486" s="85" t="str">
        <f t="shared" si="1897"/>
        <v>-</v>
      </c>
      <c r="BO486" s="85" t="str">
        <f t="shared" si="1898"/>
        <v>-</v>
      </c>
      <c r="BP486" s="85" t="str">
        <f>'Consumer Hardware Pricing'!AT496</f>
        <v>-</v>
      </c>
      <c r="BQ486" s="85" t="str">
        <f t="shared" si="1763"/>
        <v>-</v>
      </c>
      <c r="BR486" s="85" t="str">
        <f>'Consumer Hardware Pricing'!AU496</f>
        <v>-</v>
      </c>
      <c r="BS486" s="85" t="str">
        <f t="shared" si="1899"/>
        <v>-</v>
      </c>
      <c r="BT486" s="85" t="str">
        <f t="shared" si="1900"/>
        <v>-</v>
      </c>
      <c r="BU486" s="85" t="str">
        <f t="shared" si="1901"/>
        <v>-</v>
      </c>
    </row>
    <row r="487" spans="1:73" ht="31.2" customHeight="1" x14ac:dyDescent="0.25">
      <c r="A487" s="87" t="s">
        <v>34</v>
      </c>
      <c r="B487" s="88" t="s">
        <v>925</v>
      </c>
      <c r="C487" s="88" t="s">
        <v>924</v>
      </c>
      <c r="D487" s="85">
        <f>'Consumer Hardware Pricing'!L497</f>
        <v>1730</v>
      </c>
      <c r="E487" s="85">
        <f>'Consumer Hardware Pricing'!M497</f>
        <v>1730</v>
      </c>
      <c r="F487" s="85">
        <f>'Consumer Hardware Pricing'!N497</f>
        <v>0</v>
      </c>
      <c r="G487" s="85">
        <f t="shared" si="1563"/>
        <v>72.09</v>
      </c>
      <c r="H487" s="85">
        <f>'Consumer Hardware Pricing'!O497</f>
        <v>13.75</v>
      </c>
      <c r="I487" s="85">
        <f t="shared" si="1877"/>
        <v>58.34</v>
      </c>
      <c r="J487" s="85">
        <f t="shared" si="1878"/>
        <v>330</v>
      </c>
      <c r="K487" s="85">
        <f t="shared" si="1879"/>
        <v>1400.16</v>
      </c>
      <c r="L487" s="85">
        <f>'Consumer Hardware Pricing'!Q497</f>
        <v>260</v>
      </c>
      <c r="M487" s="85">
        <f t="shared" si="1564"/>
        <v>24.590000000000003</v>
      </c>
      <c r="N487" s="85">
        <f t="shared" si="1880"/>
        <v>47.5</v>
      </c>
      <c r="O487" s="85">
        <f t="shared" si="1881"/>
        <v>590.16000000000008</v>
      </c>
      <c r="P487" s="85">
        <f t="shared" si="1882"/>
        <v>1140</v>
      </c>
      <c r="Q487" s="85">
        <f>'Consumer Hardware Pricing'!S497</f>
        <v>0</v>
      </c>
      <c r="R487" s="85">
        <f t="shared" si="1883"/>
        <v>72.09</v>
      </c>
      <c r="S487" s="85">
        <f>'Consumer Hardware Pricing'!T497</f>
        <v>13.75</v>
      </c>
      <c r="T487" s="129">
        <f t="shared" si="1884"/>
        <v>58.34</v>
      </c>
      <c r="U487" s="129">
        <f t="shared" si="1885"/>
        <v>330</v>
      </c>
      <c r="V487" s="85">
        <f t="shared" si="1886"/>
        <v>1400.16</v>
      </c>
      <c r="W487" s="129">
        <f>'Consumer Hardware Pricing'!V497</f>
        <v>260</v>
      </c>
      <c r="X487" s="129">
        <f t="shared" si="1565"/>
        <v>24.590000000000003</v>
      </c>
      <c r="Y487" s="129">
        <f t="shared" si="1887"/>
        <v>47.5</v>
      </c>
      <c r="Z487" s="129">
        <f t="shared" si="1888"/>
        <v>590.16000000000008</v>
      </c>
      <c r="AA487" s="85">
        <f t="shared" si="1889"/>
        <v>1140</v>
      </c>
      <c r="AB487" s="85">
        <f>'Consumer Hardware Pricing'!X497</f>
        <v>0</v>
      </c>
      <c r="AC487" s="85">
        <f t="shared" si="1756"/>
        <v>72.09</v>
      </c>
      <c r="AD487" s="85">
        <f>'Consumer Hardware Pricing'!Y497</f>
        <v>34.75</v>
      </c>
      <c r="AE487" s="85">
        <f t="shared" si="1902"/>
        <v>37.340000000000003</v>
      </c>
      <c r="AF487" s="85">
        <f t="shared" si="1903"/>
        <v>834</v>
      </c>
      <c r="AG487" s="85">
        <f t="shared" si="1904"/>
        <v>896.16000000000008</v>
      </c>
      <c r="AH487" s="85">
        <f>'Consumer Hardware Pricing'!AA497</f>
        <v>260</v>
      </c>
      <c r="AI487" s="85">
        <f t="shared" si="1757"/>
        <v>45.59</v>
      </c>
      <c r="AJ487" s="85">
        <f t="shared" si="1905"/>
        <v>26.5</v>
      </c>
      <c r="AK487" s="85">
        <f t="shared" si="1906"/>
        <v>1094.1600000000001</v>
      </c>
      <c r="AL487" s="85">
        <f t="shared" si="1907"/>
        <v>636</v>
      </c>
      <c r="AM487" s="85">
        <f>'Consumer Hardware Pricing'!AC497</f>
        <v>0</v>
      </c>
      <c r="AN487" s="85">
        <f t="shared" si="1758"/>
        <v>72.09</v>
      </c>
      <c r="AO487" s="85">
        <f>'Consumer Hardware Pricing'!AD497</f>
        <v>34.75</v>
      </c>
      <c r="AP487" s="85">
        <f t="shared" si="1908"/>
        <v>37.340000000000003</v>
      </c>
      <c r="AQ487" s="85">
        <f t="shared" si="1909"/>
        <v>834</v>
      </c>
      <c r="AR487" s="85">
        <f t="shared" si="1910"/>
        <v>896.16000000000008</v>
      </c>
      <c r="AS487" s="85">
        <f>'Consumer Hardware Pricing'!AF497</f>
        <v>260</v>
      </c>
      <c r="AT487" s="85">
        <f t="shared" si="1759"/>
        <v>45.59</v>
      </c>
      <c r="AU487" s="85">
        <f t="shared" si="1911"/>
        <v>26.5</v>
      </c>
      <c r="AV487" s="85">
        <f t="shared" si="1912"/>
        <v>1094.1600000000001</v>
      </c>
      <c r="AW487" s="85">
        <f t="shared" si="1913"/>
        <v>636</v>
      </c>
      <c r="AX487" s="85" t="str">
        <f>'Consumer Hardware Pricing'!AH497</f>
        <v>-</v>
      </c>
      <c r="AY487" s="85" t="str">
        <f t="shared" si="1760"/>
        <v>-</v>
      </c>
      <c r="AZ487" s="85" t="str">
        <f>'Consumer Hardware Pricing'!AI497</f>
        <v>-</v>
      </c>
      <c r="BA487" s="85" t="str">
        <f t="shared" si="1890"/>
        <v>-</v>
      </c>
      <c r="BB487" s="85" t="str">
        <f t="shared" si="1891"/>
        <v>-</v>
      </c>
      <c r="BC487" s="85" t="str">
        <f t="shared" si="1892"/>
        <v>-</v>
      </c>
      <c r="BD487" s="85" t="str">
        <f>'Consumer Hardware Pricing'!AL497</f>
        <v>-</v>
      </c>
      <c r="BE487" s="85" t="str">
        <f t="shared" si="1761"/>
        <v>-</v>
      </c>
      <c r="BF487" s="85" t="str">
        <f>'Consumer Hardware Pricing'!AM497</f>
        <v>-</v>
      </c>
      <c r="BG487" s="85" t="str">
        <f t="shared" si="1893"/>
        <v>-</v>
      </c>
      <c r="BH487" s="85" t="str">
        <f t="shared" si="1894"/>
        <v>-</v>
      </c>
      <c r="BI487" s="85" t="str">
        <f t="shared" si="1895"/>
        <v>-</v>
      </c>
      <c r="BJ487" s="85" t="str">
        <f>'Consumer Hardware Pricing'!AP497</f>
        <v>-</v>
      </c>
      <c r="BK487" s="85" t="str">
        <f t="shared" si="1762"/>
        <v>-</v>
      </c>
      <c r="BL487" s="85" t="str">
        <f>'Consumer Hardware Pricing'!AQ497</f>
        <v>-</v>
      </c>
      <c r="BM487" s="85" t="str">
        <f t="shared" si="1896"/>
        <v>-</v>
      </c>
      <c r="BN487" s="85" t="str">
        <f t="shared" si="1897"/>
        <v>-</v>
      </c>
      <c r="BO487" s="85" t="str">
        <f t="shared" si="1898"/>
        <v>-</v>
      </c>
      <c r="BP487" s="85" t="str">
        <f>'Consumer Hardware Pricing'!AT497</f>
        <v>-</v>
      </c>
      <c r="BQ487" s="85" t="str">
        <f t="shared" si="1763"/>
        <v>-</v>
      </c>
      <c r="BR487" s="85" t="str">
        <f>'Consumer Hardware Pricing'!AU497</f>
        <v>-</v>
      </c>
      <c r="BS487" s="85" t="str">
        <f t="shared" si="1899"/>
        <v>-</v>
      </c>
      <c r="BT487" s="85" t="str">
        <f t="shared" si="1900"/>
        <v>-</v>
      </c>
      <c r="BU487" s="85" t="str">
        <f t="shared" si="1901"/>
        <v>-</v>
      </c>
    </row>
    <row r="488" spans="1:73" ht="31.2" customHeight="1" x14ac:dyDescent="0.25">
      <c r="A488" s="87" t="s">
        <v>34</v>
      </c>
      <c r="B488" s="88" t="s">
        <v>926</v>
      </c>
      <c r="C488" s="88" t="s">
        <v>924</v>
      </c>
      <c r="D488" s="85">
        <f>'Consumer Hardware Pricing'!L498</f>
        <v>1730</v>
      </c>
      <c r="E488" s="85">
        <f>'Consumer Hardware Pricing'!M498</f>
        <v>1730</v>
      </c>
      <c r="F488" s="85">
        <f>'Consumer Hardware Pricing'!N498</f>
        <v>0</v>
      </c>
      <c r="G488" s="85">
        <f t="shared" si="1563"/>
        <v>72.09</v>
      </c>
      <c r="H488" s="85">
        <f>'Consumer Hardware Pricing'!O498</f>
        <v>13.75</v>
      </c>
      <c r="I488" s="85">
        <f t="shared" si="1877"/>
        <v>58.34</v>
      </c>
      <c r="J488" s="85">
        <f t="shared" si="1878"/>
        <v>330</v>
      </c>
      <c r="K488" s="85">
        <f t="shared" si="1879"/>
        <v>1400.16</v>
      </c>
      <c r="L488" s="85">
        <f>'Consumer Hardware Pricing'!Q498</f>
        <v>260</v>
      </c>
      <c r="M488" s="85">
        <f t="shared" si="1564"/>
        <v>24.590000000000003</v>
      </c>
      <c r="N488" s="85">
        <f t="shared" si="1880"/>
        <v>47.5</v>
      </c>
      <c r="O488" s="85">
        <f t="shared" si="1881"/>
        <v>590.16000000000008</v>
      </c>
      <c r="P488" s="85">
        <f t="shared" si="1882"/>
        <v>1140</v>
      </c>
      <c r="Q488" s="85">
        <f>'Consumer Hardware Pricing'!S498</f>
        <v>0</v>
      </c>
      <c r="R488" s="85">
        <f t="shared" si="1883"/>
        <v>72.09</v>
      </c>
      <c r="S488" s="85">
        <f>'Consumer Hardware Pricing'!T498</f>
        <v>13.75</v>
      </c>
      <c r="T488" s="129">
        <f t="shared" si="1884"/>
        <v>58.34</v>
      </c>
      <c r="U488" s="129">
        <f t="shared" si="1885"/>
        <v>330</v>
      </c>
      <c r="V488" s="85">
        <f t="shared" si="1886"/>
        <v>1400.16</v>
      </c>
      <c r="W488" s="129">
        <f>'Consumer Hardware Pricing'!V498</f>
        <v>260</v>
      </c>
      <c r="X488" s="129">
        <f t="shared" si="1565"/>
        <v>24.590000000000003</v>
      </c>
      <c r="Y488" s="129">
        <f t="shared" si="1887"/>
        <v>47.5</v>
      </c>
      <c r="Z488" s="129">
        <f t="shared" si="1888"/>
        <v>590.16000000000008</v>
      </c>
      <c r="AA488" s="85">
        <f t="shared" si="1889"/>
        <v>1140</v>
      </c>
      <c r="AB488" s="85">
        <f>'Consumer Hardware Pricing'!X498</f>
        <v>0</v>
      </c>
      <c r="AC488" s="85">
        <f t="shared" si="1756"/>
        <v>72.09</v>
      </c>
      <c r="AD488" s="85">
        <f>'Consumer Hardware Pricing'!Y498</f>
        <v>34.75</v>
      </c>
      <c r="AE488" s="85">
        <f t="shared" si="1902"/>
        <v>37.340000000000003</v>
      </c>
      <c r="AF488" s="85">
        <f t="shared" si="1903"/>
        <v>834</v>
      </c>
      <c r="AG488" s="85">
        <f t="shared" si="1904"/>
        <v>896.16000000000008</v>
      </c>
      <c r="AH488" s="85">
        <f>'Consumer Hardware Pricing'!AA498</f>
        <v>260</v>
      </c>
      <c r="AI488" s="85">
        <f t="shared" si="1757"/>
        <v>45.59</v>
      </c>
      <c r="AJ488" s="85">
        <f t="shared" si="1905"/>
        <v>26.5</v>
      </c>
      <c r="AK488" s="85">
        <f t="shared" si="1906"/>
        <v>1094.1600000000001</v>
      </c>
      <c r="AL488" s="85">
        <f t="shared" si="1907"/>
        <v>636</v>
      </c>
      <c r="AM488" s="85">
        <f>'Consumer Hardware Pricing'!AC498</f>
        <v>0</v>
      </c>
      <c r="AN488" s="85">
        <f t="shared" si="1758"/>
        <v>72.09</v>
      </c>
      <c r="AO488" s="85">
        <f>'Consumer Hardware Pricing'!AD498</f>
        <v>34.75</v>
      </c>
      <c r="AP488" s="85">
        <f t="shared" si="1908"/>
        <v>37.340000000000003</v>
      </c>
      <c r="AQ488" s="85">
        <f t="shared" si="1909"/>
        <v>834</v>
      </c>
      <c r="AR488" s="85">
        <f t="shared" si="1910"/>
        <v>896.16000000000008</v>
      </c>
      <c r="AS488" s="85">
        <f>'Consumer Hardware Pricing'!AF498</f>
        <v>260</v>
      </c>
      <c r="AT488" s="85">
        <f t="shared" si="1759"/>
        <v>45.59</v>
      </c>
      <c r="AU488" s="85">
        <f t="shared" si="1911"/>
        <v>26.5</v>
      </c>
      <c r="AV488" s="85">
        <f t="shared" si="1912"/>
        <v>1094.1600000000001</v>
      </c>
      <c r="AW488" s="85">
        <f t="shared" si="1913"/>
        <v>636</v>
      </c>
      <c r="AX488" s="85" t="str">
        <f>'Consumer Hardware Pricing'!AH498</f>
        <v>-</v>
      </c>
      <c r="AY488" s="85" t="str">
        <f t="shared" si="1760"/>
        <v>-</v>
      </c>
      <c r="AZ488" s="85" t="str">
        <f>'Consumer Hardware Pricing'!AI498</f>
        <v>-</v>
      </c>
      <c r="BA488" s="85" t="str">
        <f t="shared" si="1890"/>
        <v>-</v>
      </c>
      <c r="BB488" s="85" t="str">
        <f t="shared" si="1891"/>
        <v>-</v>
      </c>
      <c r="BC488" s="85" t="str">
        <f t="shared" si="1892"/>
        <v>-</v>
      </c>
      <c r="BD488" s="85" t="str">
        <f>'Consumer Hardware Pricing'!AL498</f>
        <v>-</v>
      </c>
      <c r="BE488" s="85" t="str">
        <f t="shared" si="1761"/>
        <v>-</v>
      </c>
      <c r="BF488" s="85" t="str">
        <f>'Consumer Hardware Pricing'!AM498</f>
        <v>-</v>
      </c>
      <c r="BG488" s="85" t="str">
        <f t="shared" si="1893"/>
        <v>-</v>
      </c>
      <c r="BH488" s="85" t="str">
        <f t="shared" si="1894"/>
        <v>-</v>
      </c>
      <c r="BI488" s="85" t="str">
        <f t="shared" si="1895"/>
        <v>-</v>
      </c>
      <c r="BJ488" s="85" t="str">
        <f>'Consumer Hardware Pricing'!AP498</f>
        <v>-</v>
      </c>
      <c r="BK488" s="85" t="str">
        <f t="shared" si="1762"/>
        <v>-</v>
      </c>
      <c r="BL488" s="85" t="str">
        <f>'Consumer Hardware Pricing'!AQ498</f>
        <v>-</v>
      </c>
      <c r="BM488" s="85" t="str">
        <f t="shared" si="1896"/>
        <v>-</v>
      </c>
      <c r="BN488" s="85" t="str">
        <f t="shared" si="1897"/>
        <v>-</v>
      </c>
      <c r="BO488" s="85" t="str">
        <f t="shared" si="1898"/>
        <v>-</v>
      </c>
      <c r="BP488" s="85" t="str">
        <f>'Consumer Hardware Pricing'!AT498</f>
        <v>-</v>
      </c>
      <c r="BQ488" s="85" t="str">
        <f t="shared" si="1763"/>
        <v>-</v>
      </c>
      <c r="BR488" s="85" t="str">
        <f>'Consumer Hardware Pricing'!AU498</f>
        <v>-</v>
      </c>
      <c r="BS488" s="85" t="str">
        <f t="shared" si="1899"/>
        <v>-</v>
      </c>
      <c r="BT488" s="85" t="str">
        <f t="shared" si="1900"/>
        <v>-</v>
      </c>
      <c r="BU488" s="85" t="str">
        <f t="shared" si="1901"/>
        <v>-</v>
      </c>
    </row>
    <row r="489" spans="1:73" ht="31.2" customHeight="1" x14ac:dyDescent="0.25">
      <c r="A489" s="87" t="s">
        <v>34</v>
      </c>
      <c r="B489" s="88" t="s">
        <v>265</v>
      </c>
      <c r="C489" s="88" t="s">
        <v>269</v>
      </c>
      <c r="D489" s="85">
        <f>'Consumer Hardware Pricing'!L499</f>
        <v>670</v>
      </c>
      <c r="E489" s="85">
        <f>'Consumer Hardware Pricing'!M499</f>
        <v>670</v>
      </c>
      <c r="F489" s="85">
        <f>'Consumer Hardware Pricing'!N499</f>
        <v>0</v>
      </c>
      <c r="G489" s="85">
        <f t="shared" si="1563"/>
        <v>27.92</v>
      </c>
      <c r="H489" s="85" t="str">
        <f>'Consumer Hardware Pricing'!O499</f>
        <v>-</v>
      </c>
      <c r="I489" s="85">
        <f t="shared" si="1513"/>
        <v>27.92</v>
      </c>
      <c r="J489" s="85" t="str">
        <f t="shared" si="1525"/>
        <v>-</v>
      </c>
      <c r="K489" s="85">
        <f t="shared" si="1526"/>
        <v>670.08</v>
      </c>
      <c r="L489" s="85" t="str">
        <f>'Consumer Hardware Pricing'!Q499</f>
        <v>-</v>
      </c>
      <c r="M489" s="85" t="str">
        <f t="shared" si="1564"/>
        <v>-</v>
      </c>
      <c r="N489" s="85" t="str">
        <f t="shared" si="1514"/>
        <v>-</v>
      </c>
      <c r="O489" s="85" t="str">
        <f t="shared" si="1515"/>
        <v>-</v>
      </c>
      <c r="P489" s="85" t="str">
        <f t="shared" si="1527"/>
        <v>-</v>
      </c>
      <c r="Q489" s="85">
        <f>'Consumer Hardware Pricing'!S499</f>
        <v>0</v>
      </c>
      <c r="R489" s="85">
        <f t="shared" si="1516"/>
        <v>27.92</v>
      </c>
      <c r="S489" s="85" t="str">
        <f>'Consumer Hardware Pricing'!T499</f>
        <v>-</v>
      </c>
      <c r="T489" s="129">
        <f t="shared" si="1528"/>
        <v>27.92</v>
      </c>
      <c r="U489" s="129" t="str">
        <f t="shared" si="1529"/>
        <v>-</v>
      </c>
      <c r="V489" s="85">
        <f t="shared" si="1530"/>
        <v>670.08</v>
      </c>
      <c r="W489" s="129" t="str">
        <f>'Consumer Hardware Pricing'!V499</f>
        <v>-</v>
      </c>
      <c r="X489" s="129" t="str">
        <f t="shared" si="1565"/>
        <v>-</v>
      </c>
      <c r="Y489" s="129" t="str">
        <f t="shared" si="1531"/>
        <v>-</v>
      </c>
      <c r="Z489" s="129" t="str">
        <f t="shared" si="1532"/>
        <v>-</v>
      </c>
      <c r="AA489" s="85" t="str">
        <f t="shared" si="1533"/>
        <v>-</v>
      </c>
      <c r="AB489" s="85">
        <f>'Consumer Hardware Pricing'!X499</f>
        <v>0</v>
      </c>
      <c r="AC489" s="85">
        <f t="shared" si="1756"/>
        <v>27.92</v>
      </c>
      <c r="AD489" s="85" t="str">
        <f>'Consumer Hardware Pricing'!Y499</f>
        <v>-</v>
      </c>
      <c r="AE489" s="85">
        <f t="shared" si="1902"/>
        <v>27.92</v>
      </c>
      <c r="AF489" s="85" t="str">
        <f t="shared" si="1903"/>
        <v>-</v>
      </c>
      <c r="AG489" s="85">
        <f t="shared" si="1904"/>
        <v>670.08</v>
      </c>
      <c r="AH489" s="85" t="str">
        <f>'Consumer Hardware Pricing'!AA499</f>
        <v>-</v>
      </c>
      <c r="AI489" s="85" t="str">
        <f t="shared" si="1757"/>
        <v>-</v>
      </c>
      <c r="AJ489" s="85" t="str">
        <f t="shared" si="1905"/>
        <v>-</v>
      </c>
      <c r="AK489" s="85" t="str">
        <f t="shared" si="1906"/>
        <v>-</v>
      </c>
      <c r="AL489" s="85" t="str">
        <f t="shared" si="1907"/>
        <v>-</v>
      </c>
      <c r="AM489" s="85">
        <f>'Consumer Hardware Pricing'!AC499</f>
        <v>0</v>
      </c>
      <c r="AN489" s="85">
        <f t="shared" si="1758"/>
        <v>27.92</v>
      </c>
      <c r="AO489" s="85" t="str">
        <f>'Consumer Hardware Pricing'!AD499</f>
        <v>-</v>
      </c>
      <c r="AP489" s="85">
        <f t="shared" si="1908"/>
        <v>27.92</v>
      </c>
      <c r="AQ489" s="85" t="str">
        <f t="shared" si="1909"/>
        <v>-</v>
      </c>
      <c r="AR489" s="85">
        <f t="shared" si="1910"/>
        <v>670.08</v>
      </c>
      <c r="AS489" s="85" t="str">
        <f>'Consumer Hardware Pricing'!AF499</f>
        <v>-</v>
      </c>
      <c r="AT489" s="85" t="str">
        <f t="shared" si="1759"/>
        <v>-</v>
      </c>
      <c r="AU489" s="85" t="str">
        <f t="shared" si="1911"/>
        <v>-</v>
      </c>
      <c r="AV489" s="85" t="str">
        <f t="shared" si="1912"/>
        <v>-</v>
      </c>
      <c r="AW489" s="85" t="str">
        <f t="shared" si="1913"/>
        <v>-</v>
      </c>
      <c r="AX489" s="85" t="str">
        <f>'Consumer Hardware Pricing'!AH499</f>
        <v>-</v>
      </c>
      <c r="AY489" s="85" t="str">
        <f t="shared" si="1760"/>
        <v>-</v>
      </c>
      <c r="AZ489" s="85" t="str">
        <f>'Consumer Hardware Pricing'!AI499</f>
        <v>-</v>
      </c>
      <c r="BA489" s="85" t="str">
        <f t="shared" si="1517"/>
        <v>-</v>
      </c>
      <c r="BB489" s="85" t="str">
        <f t="shared" si="1518"/>
        <v>-</v>
      </c>
      <c r="BC489" s="85" t="str">
        <f t="shared" si="1534"/>
        <v>-</v>
      </c>
      <c r="BD489" s="85" t="str">
        <f>'Consumer Hardware Pricing'!AL499</f>
        <v>-</v>
      </c>
      <c r="BE489" s="85" t="str">
        <f t="shared" si="1761"/>
        <v>-</v>
      </c>
      <c r="BF489" s="85" t="str">
        <f>'Consumer Hardware Pricing'!AM499</f>
        <v>-</v>
      </c>
      <c r="BG489" s="85" t="str">
        <f t="shared" si="1519"/>
        <v>-</v>
      </c>
      <c r="BH489" s="85" t="str">
        <f t="shared" si="1520"/>
        <v>-</v>
      </c>
      <c r="BI489" s="85" t="str">
        <f t="shared" si="1535"/>
        <v>-</v>
      </c>
      <c r="BJ489" s="85" t="str">
        <f>'Consumer Hardware Pricing'!AP499</f>
        <v>-</v>
      </c>
      <c r="BK489" s="85" t="str">
        <f t="shared" si="1762"/>
        <v>-</v>
      </c>
      <c r="BL489" s="85" t="str">
        <f>'Consumer Hardware Pricing'!AQ499</f>
        <v>-</v>
      </c>
      <c r="BM489" s="85" t="str">
        <f t="shared" si="1521"/>
        <v>-</v>
      </c>
      <c r="BN489" s="85" t="str">
        <f t="shared" si="1522"/>
        <v>-</v>
      </c>
      <c r="BO489" s="85" t="str">
        <f t="shared" si="1536"/>
        <v>-</v>
      </c>
      <c r="BP489" s="85" t="str">
        <f>'Consumer Hardware Pricing'!AT499</f>
        <v>-</v>
      </c>
      <c r="BQ489" s="85" t="str">
        <f t="shared" si="1763"/>
        <v>-</v>
      </c>
      <c r="BR489" s="85" t="str">
        <f>'Consumer Hardware Pricing'!AU499</f>
        <v>-</v>
      </c>
      <c r="BS489" s="85" t="str">
        <f t="shared" si="1523"/>
        <v>-</v>
      </c>
      <c r="BT489" s="85" t="str">
        <f t="shared" si="1524"/>
        <v>-</v>
      </c>
      <c r="BU489" s="85" t="str">
        <f t="shared" si="1537"/>
        <v>-</v>
      </c>
    </row>
    <row r="490" spans="1:73" ht="31.2" customHeight="1" x14ac:dyDescent="0.25">
      <c r="A490" s="87" t="s">
        <v>34</v>
      </c>
      <c r="B490" s="88" t="s">
        <v>375</v>
      </c>
      <c r="C490" s="88" t="s">
        <v>373</v>
      </c>
      <c r="D490" s="85">
        <f>'Consumer Hardware Pricing'!L500</f>
        <v>1055</v>
      </c>
      <c r="E490" s="85">
        <f>'Consumer Hardware Pricing'!M500</f>
        <v>1055</v>
      </c>
      <c r="F490" s="85">
        <f>'Consumer Hardware Pricing'!N500</f>
        <v>0</v>
      </c>
      <c r="G490" s="85">
        <f t="shared" si="1563"/>
        <v>43.96</v>
      </c>
      <c r="H490" s="85">
        <f>'Consumer Hardware Pricing'!O500</f>
        <v>23.96</v>
      </c>
      <c r="I490" s="85">
        <f t="shared" si="1513"/>
        <v>20</v>
      </c>
      <c r="J490" s="85">
        <f t="shared" si="1525"/>
        <v>575.04</v>
      </c>
      <c r="K490" s="85">
        <f t="shared" si="1526"/>
        <v>480</v>
      </c>
      <c r="L490" s="85" t="str">
        <f>'Consumer Hardware Pricing'!Q500</f>
        <v>-</v>
      </c>
      <c r="M490" s="85" t="str">
        <f t="shared" si="1564"/>
        <v>-</v>
      </c>
      <c r="N490" s="85" t="str">
        <f t="shared" si="1514"/>
        <v>-</v>
      </c>
      <c r="O490" s="85" t="str">
        <f t="shared" si="1515"/>
        <v>-</v>
      </c>
      <c r="P490" s="85" t="str">
        <f t="shared" si="1527"/>
        <v>-</v>
      </c>
      <c r="Q490" s="85">
        <f>'Consumer Hardware Pricing'!S500</f>
        <v>0</v>
      </c>
      <c r="R490" s="85">
        <f t="shared" si="1516"/>
        <v>43.96</v>
      </c>
      <c r="S490" s="85">
        <f>'Consumer Hardware Pricing'!T500</f>
        <v>23.96</v>
      </c>
      <c r="T490" s="129">
        <f t="shared" si="1528"/>
        <v>20</v>
      </c>
      <c r="U490" s="129">
        <f t="shared" si="1529"/>
        <v>575.04</v>
      </c>
      <c r="V490" s="85">
        <f t="shared" si="1530"/>
        <v>480</v>
      </c>
      <c r="W490" s="129" t="str">
        <f>'Consumer Hardware Pricing'!V500</f>
        <v>-</v>
      </c>
      <c r="X490" s="129" t="str">
        <f t="shared" si="1565"/>
        <v>-</v>
      </c>
      <c r="Y490" s="129" t="str">
        <f t="shared" si="1531"/>
        <v>-</v>
      </c>
      <c r="Z490" s="129" t="str">
        <f t="shared" si="1532"/>
        <v>-</v>
      </c>
      <c r="AA490" s="85" t="str">
        <f t="shared" si="1533"/>
        <v>-</v>
      </c>
      <c r="AB490" s="85">
        <f>'Consumer Hardware Pricing'!X500</f>
        <v>0</v>
      </c>
      <c r="AC490" s="85">
        <f t="shared" si="1756"/>
        <v>43.96</v>
      </c>
      <c r="AD490" s="85">
        <f>'Consumer Hardware Pricing'!Y500</f>
        <v>23.96</v>
      </c>
      <c r="AE490" s="85">
        <f t="shared" si="1902"/>
        <v>20</v>
      </c>
      <c r="AF490" s="85">
        <f t="shared" si="1903"/>
        <v>575.04</v>
      </c>
      <c r="AG490" s="85">
        <f t="shared" si="1904"/>
        <v>480</v>
      </c>
      <c r="AH490" s="85" t="str">
        <f>'Consumer Hardware Pricing'!AA500</f>
        <v>-</v>
      </c>
      <c r="AI490" s="85" t="str">
        <f t="shared" si="1757"/>
        <v>-</v>
      </c>
      <c r="AJ490" s="85" t="str">
        <f t="shared" si="1905"/>
        <v>-</v>
      </c>
      <c r="AK490" s="85" t="str">
        <f t="shared" si="1906"/>
        <v>-</v>
      </c>
      <c r="AL490" s="85" t="str">
        <f t="shared" si="1907"/>
        <v>-</v>
      </c>
      <c r="AM490" s="85">
        <f>'Consumer Hardware Pricing'!AC500</f>
        <v>0</v>
      </c>
      <c r="AN490" s="85">
        <f t="shared" si="1758"/>
        <v>43.96</v>
      </c>
      <c r="AO490" s="85">
        <f>'Consumer Hardware Pricing'!AD500</f>
        <v>23.96</v>
      </c>
      <c r="AP490" s="85">
        <f t="shared" si="1908"/>
        <v>20</v>
      </c>
      <c r="AQ490" s="85">
        <f t="shared" si="1909"/>
        <v>575.04</v>
      </c>
      <c r="AR490" s="85">
        <f t="shared" si="1910"/>
        <v>480</v>
      </c>
      <c r="AS490" s="85" t="str">
        <f>'Consumer Hardware Pricing'!AF500</f>
        <v>-</v>
      </c>
      <c r="AT490" s="85" t="str">
        <f t="shared" si="1759"/>
        <v>-</v>
      </c>
      <c r="AU490" s="85" t="str">
        <f t="shared" si="1911"/>
        <v>-</v>
      </c>
      <c r="AV490" s="85" t="str">
        <f t="shared" si="1912"/>
        <v>-</v>
      </c>
      <c r="AW490" s="85" t="str">
        <f t="shared" si="1913"/>
        <v>-</v>
      </c>
      <c r="AX490" s="85" t="str">
        <f>'Consumer Hardware Pricing'!AH500</f>
        <v>-</v>
      </c>
      <c r="AY490" s="85" t="str">
        <f t="shared" si="1760"/>
        <v>-</v>
      </c>
      <c r="AZ490" s="85" t="str">
        <f>'Consumer Hardware Pricing'!AI500</f>
        <v>-</v>
      </c>
      <c r="BA490" s="85" t="str">
        <f t="shared" si="1517"/>
        <v>-</v>
      </c>
      <c r="BB490" s="85" t="str">
        <f t="shared" si="1518"/>
        <v>-</v>
      </c>
      <c r="BC490" s="85" t="str">
        <f t="shared" si="1534"/>
        <v>-</v>
      </c>
      <c r="BD490" s="85" t="str">
        <f>'Consumer Hardware Pricing'!AL500</f>
        <v>-</v>
      </c>
      <c r="BE490" s="85" t="str">
        <f t="shared" si="1761"/>
        <v>-</v>
      </c>
      <c r="BF490" s="85" t="str">
        <f>'Consumer Hardware Pricing'!AM500</f>
        <v>-</v>
      </c>
      <c r="BG490" s="85" t="str">
        <f t="shared" si="1519"/>
        <v>-</v>
      </c>
      <c r="BH490" s="85" t="str">
        <f t="shared" si="1520"/>
        <v>-</v>
      </c>
      <c r="BI490" s="85" t="str">
        <f t="shared" si="1535"/>
        <v>-</v>
      </c>
      <c r="BJ490" s="85" t="str">
        <f>'Consumer Hardware Pricing'!AP500</f>
        <v>-</v>
      </c>
      <c r="BK490" s="85" t="str">
        <f t="shared" si="1762"/>
        <v>-</v>
      </c>
      <c r="BL490" s="85" t="str">
        <f>'Consumer Hardware Pricing'!AQ500</f>
        <v>-</v>
      </c>
      <c r="BM490" s="85" t="str">
        <f t="shared" si="1521"/>
        <v>-</v>
      </c>
      <c r="BN490" s="85" t="str">
        <f t="shared" si="1522"/>
        <v>-</v>
      </c>
      <c r="BO490" s="85" t="str">
        <f t="shared" si="1536"/>
        <v>-</v>
      </c>
      <c r="BP490" s="85" t="str">
        <f>'Consumer Hardware Pricing'!AT500</f>
        <v>-</v>
      </c>
      <c r="BQ490" s="85" t="str">
        <f t="shared" si="1763"/>
        <v>-</v>
      </c>
      <c r="BR490" s="85" t="str">
        <f>'Consumer Hardware Pricing'!AU500</f>
        <v>-</v>
      </c>
      <c r="BS490" s="85" t="str">
        <f t="shared" si="1523"/>
        <v>-</v>
      </c>
      <c r="BT490" s="85" t="str">
        <f t="shared" si="1524"/>
        <v>-</v>
      </c>
      <c r="BU490" s="85" t="str">
        <f t="shared" si="1537"/>
        <v>-</v>
      </c>
    </row>
    <row r="491" spans="1:73" ht="31.2" customHeight="1" x14ac:dyDescent="0.25">
      <c r="A491" s="87" t="s">
        <v>34</v>
      </c>
      <c r="B491" s="88" t="s">
        <v>376</v>
      </c>
      <c r="C491" s="88" t="s">
        <v>373</v>
      </c>
      <c r="D491" s="85">
        <f>'Consumer Hardware Pricing'!L501</f>
        <v>1055</v>
      </c>
      <c r="E491" s="85">
        <f>'Consumer Hardware Pricing'!M501</f>
        <v>1055</v>
      </c>
      <c r="F491" s="85">
        <f>'Consumer Hardware Pricing'!N501</f>
        <v>0</v>
      </c>
      <c r="G491" s="85">
        <f t="shared" si="1563"/>
        <v>43.96</v>
      </c>
      <c r="H491" s="85">
        <f>'Consumer Hardware Pricing'!O501</f>
        <v>23.96</v>
      </c>
      <c r="I491" s="85">
        <f t="shared" si="1513"/>
        <v>20</v>
      </c>
      <c r="J491" s="85">
        <f t="shared" si="1525"/>
        <v>575.04</v>
      </c>
      <c r="K491" s="85">
        <f t="shared" si="1526"/>
        <v>480</v>
      </c>
      <c r="L491" s="85" t="str">
        <f>'Consumer Hardware Pricing'!Q501</f>
        <v>-</v>
      </c>
      <c r="M491" s="85" t="str">
        <f t="shared" si="1564"/>
        <v>-</v>
      </c>
      <c r="N491" s="85" t="str">
        <f t="shared" si="1514"/>
        <v>-</v>
      </c>
      <c r="O491" s="85" t="str">
        <f t="shared" si="1515"/>
        <v>-</v>
      </c>
      <c r="P491" s="85" t="str">
        <f t="shared" si="1527"/>
        <v>-</v>
      </c>
      <c r="Q491" s="85">
        <f>'Consumer Hardware Pricing'!S501</f>
        <v>0</v>
      </c>
      <c r="R491" s="85">
        <f t="shared" si="1516"/>
        <v>43.96</v>
      </c>
      <c r="S491" s="85">
        <f>'Consumer Hardware Pricing'!T501</f>
        <v>23.96</v>
      </c>
      <c r="T491" s="129">
        <f t="shared" si="1528"/>
        <v>20</v>
      </c>
      <c r="U491" s="129">
        <f t="shared" si="1529"/>
        <v>575.04</v>
      </c>
      <c r="V491" s="85">
        <f t="shared" si="1530"/>
        <v>480</v>
      </c>
      <c r="W491" s="129" t="str">
        <f>'Consumer Hardware Pricing'!V501</f>
        <v>-</v>
      </c>
      <c r="X491" s="129" t="str">
        <f t="shared" si="1565"/>
        <v>-</v>
      </c>
      <c r="Y491" s="129" t="str">
        <f t="shared" si="1531"/>
        <v>-</v>
      </c>
      <c r="Z491" s="129" t="str">
        <f t="shared" si="1532"/>
        <v>-</v>
      </c>
      <c r="AA491" s="85" t="str">
        <f t="shared" si="1533"/>
        <v>-</v>
      </c>
      <c r="AB491" s="85">
        <f>'Consumer Hardware Pricing'!X501</f>
        <v>0</v>
      </c>
      <c r="AC491" s="85">
        <f t="shared" si="1756"/>
        <v>43.96</v>
      </c>
      <c r="AD491" s="85">
        <f>'Consumer Hardware Pricing'!Y501</f>
        <v>23.96</v>
      </c>
      <c r="AE491" s="85">
        <f t="shared" si="1902"/>
        <v>20</v>
      </c>
      <c r="AF491" s="85">
        <f t="shared" si="1903"/>
        <v>575.04</v>
      </c>
      <c r="AG491" s="85">
        <f t="shared" si="1904"/>
        <v>480</v>
      </c>
      <c r="AH491" s="85" t="str">
        <f>'Consumer Hardware Pricing'!AA501</f>
        <v>-</v>
      </c>
      <c r="AI491" s="85" t="str">
        <f t="shared" si="1757"/>
        <v>-</v>
      </c>
      <c r="AJ491" s="85" t="str">
        <f t="shared" si="1905"/>
        <v>-</v>
      </c>
      <c r="AK491" s="85" t="str">
        <f t="shared" si="1906"/>
        <v>-</v>
      </c>
      <c r="AL491" s="85" t="str">
        <f t="shared" si="1907"/>
        <v>-</v>
      </c>
      <c r="AM491" s="85">
        <f>'Consumer Hardware Pricing'!AC501</f>
        <v>0</v>
      </c>
      <c r="AN491" s="85">
        <f t="shared" si="1758"/>
        <v>43.96</v>
      </c>
      <c r="AO491" s="85">
        <f>'Consumer Hardware Pricing'!AD501</f>
        <v>23.96</v>
      </c>
      <c r="AP491" s="85">
        <f t="shared" si="1908"/>
        <v>20</v>
      </c>
      <c r="AQ491" s="85">
        <f t="shared" si="1909"/>
        <v>575.04</v>
      </c>
      <c r="AR491" s="85">
        <f t="shared" si="1910"/>
        <v>480</v>
      </c>
      <c r="AS491" s="85" t="str">
        <f>'Consumer Hardware Pricing'!AF501</f>
        <v>-</v>
      </c>
      <c r="AT491" s="85" t="str">
        <f t="shared" si="1759"/>
        <v>-</v>
      </c>
      <c r="AU491" s="85" t="str">
        <f t="shared" si="1911"/>
        <v>-</v>
      </c>
      <c r="AV491" s="85" t="str">
        <f t="shared" si="1912"/>
        <v>-</v>
      </c>
      <c r="AW491" s="85" t="str">
        <f t="shared" si="1913"/>
        <v>-</v>
      </c>
      <c r="AX491" s="85" t="str">
        <f>'Consumer Hardware Pricing'!AH501</f>
        <v>-</v>
      </c>
      <c r="AY491" s="85" t="str">
        <f t="shared" si="1760"/>
        <v>-</v>
      </c>
      <c r="AZ491" s="85" t="str">
        <f>'Consumer Hardware Pricing'!AI501</f>
        <v>-</v>
      </c>
      <c r="BA491" s="85" t="str">
        <f t="shared" si="1517"/>
        <v>-</v>
      </c>
      <c r="BB491" s="85" t="str">
        <f t="shared" si="1518"/>
        <v>-</v>
      </c>
      <c r="BC491" s="85" t="str">
        <f t="shared" si="1534"/>
        <v>-</v>
      </c>
      <c r="BD491" s="85" t="str">
        <f>'Consumer Hardware Pricing'!AL501</f>
        <v>-</v>
      </c>
      <c r="BE491" s="85" t="str">
        <f t="shared" si="1761"/>
        <v>-</v>
      </c>
      <c r="BF491" s="85" t="str">
        <f>'Consumer Hardware Pricing'!AM501</f>
        <v>-</v>
      </c>
      <c r="BG491" s="85" t="str">
        <f t="shared" si="1519"/>
        <v>-</v>
      </c>
      <c r="BH491" s="85" t="str">
        <f t="shared" si="1520"/>
        <v>-</v>
      </c>
      <c r="BI491" s="85" t="str">
        <f t="shared" si="1535"/>
        <v>-</v>
      </c>
      <c r="BJ491" s="85" t="str">
        <f>'Consumer Hardware Pricing'!AP501</f>
        <v>-</v>
      </c>
      <c r="BK491" s="85" t="str">
        <f t="shared" si="1762"/>
        <v>-</v>
      </c>
      <c r="BL491" s="85" t="str">
        <f>'Consumer Hardware Pricing'!AQ501</f>
        <v>-</v>
      </c>
      <c r="BM491" s="85" t="str">
        <f t="shared" si="1521"/>
        <v>-</v>
      </c>
      <c r="BN491" s="85" t="str">
        <f t="shared" si="1522"/>
        <v>-</v>
      </c>
      <c r="BO491" s="85" t="str">
        <f t="shared" si="1536"/>
        <v>-</v>
      </c>
      <c r="BP491" s="85" t="str">
        <f>'Consumer Hardware Pricing'!AT501</f>
        <v>-</v>
      </c>
      <c r="BQ491" s="85" t="str">
        <f t="shared" si="1763"/>
        <v>-</v>
      </c>
      <c r="BR491" s="85" t="str">
        <f>'Consumer Hardware Pricing'!AU501</f>
        <v>-</v>
      </c>
      <c r="BS491" s="85" t="str">
        <f t="shared" si="1523"/>
        <v>-</v>
      </c>
      <c r="BT491" s="85" t="str">
        <f t="shared" si="1524"/>
        <v>-</v>
      </c>
      <c r="BU491" s="85" t="str">
        <f t="shared" si="1537"/>
        <v>-</v>
      </c>
    </row>
    <row r="492" spans="1:73" ht="31.2" customHeight="1" x14ac:dyDescent="0.25">
      <c r="A492" s="87" t="s">
        <v>34</v>
      </c>
      <c r="B492" s="88" t="s">
        <v>377</v>
      </c>
      <c r="C492" s="88" t="s">
        <v>374</v>
      </c>
      <c r="D492" s="85">
        <f>'Consumer Hardware Pricing'!L502</f>
        <v>1000</v>
      </c>
      <c r="E492" s="85">
        <f>'Consumer Hardware Pricing'!M502</f>
        <v>1000</v>
      </c>
      <c r="F492" s="85">
        <f>'Consumer Hardware Pricing'!N502</f>
        <v>0</v>
      </c>
      <c r="G492" s="85">
        <f t="shared" si="1563"/>
        <v>41.669999999999995</v>
      </c>
      <c r="H492" s="85">
        <f>'Consumer Hardware Pricing'!O502</f>
        <v>21.67</v>
      </c>
      <c r="I492" s="85">
        <f t="shared" si="1513"/>
        <v>19.999999999999993</v>
      </c>
      <c r="J492" s="85">
        <f t="shared" si="1525"/>
        <v>520.08000000000004</v>
      </c>
      <c r="K492" s="85">
        <f t="shared" si="1526"/>
        <v>479.99999999999983</v>
      </c>
      <c r="L492" s="85" t="str">
        <f>'Consumer Hardware Pricing'!Q502</f>
        <v>-</v>
      </c>
      <c r="M492" s="85" t="str">
        <f t="shared" si="1564"/>
        <v>-</v>
      </c>
      <c r="N492" s="85" t="str">
        <f t="shared" si="1514"/>
        <v>-</v>
      </c>
      <c r="O492" s="85" t="str">
        <f t="shared" si="1515"/>
        <v>-</v>
      </c>
      <c r="P492" s="85" t="str">
        <f t="shared" si="1527"/>
        <v>-</v>
      </c>
      <c r="Q492" s="85">
        <f>'Consumer Hardware Pricing'!S502</f>
        <v>0</v>
      </c>
      <c r="R492" s="85">
        <f t="shared" si="1516"/>
        <v>41.669999999999995</v>
      </c>
      <c r="S492" s="85">
        <f>'Consumer Hardware Pricing'!T502</f>
        <v>21.67</v>
      </c>
      <c r="T492" s="129">
        <f t="shared" si="1528"/>
        <v>19.999999999999993</v>
      </c>
      <c r="U492" s="129">
        <f t="shared" si="1529"/>
        <v>520.08000000000004</v>
      </c>
      <c r="V492" s="85">
        <f t="shared" si="1530"/>
        <v>479.99999999999983</v>
      </c>
      <c r="W492" s="129" t="str">
        <f>'Consumer Hardware Pricing'!V502</f>
        <v>-</v>
      </c>
      <c r="X492" s="129" t="str">
        <f t="shared" si="1565"/>
        <v>-</v>
      </c>
      <c r="Y492" s="129" t="str">
        <f t="shared" si="1531"/>
        <v>-</v>
      </c>
      <c r="Z492" s="129" t="str">
        <f t="shared" si="1532"/>
        <v>-</v>
      </c>
      <c r="AA492" s="85" t="str">
        <f t="shared" si="1533"/>
        <v>-</v>
      </c>
      <c r="AB492" s="85">
        <f>'Consumer Hardware Pricing'!X502</f>
        <v>0</v>
      </c>
      <c r="AC492" s="85">
        <f t="shared" si="1756"/>
        <v>41.669999999999995</v>
      </c>
      <c r="AD492" s="85">
        <f>'Consumer Hardware Pricing'!Y502</f>
        <v>21.67</v>
      </c>
      <c r="AE492" s="85">
        <f t="shared" si="1902"/>
        <v>19.999999999999993</v>
      </c>
      <c r="AF492" s="85">
        <f t="shared" si="1903"/>
        <v>520.08000000000004</v>
      </c>
      <c r="AG492" s="85">
        <f t="shared" si="1904"/>
        <v>479.99999999999983</v>
      </c>
      <c r="AH492" s="85" t="str">
        <f>'Consumer Hardware Pricing'!AA502</f>
        <v>-</v>
      </c>
      <c r="AI492" s="85" t="str">
        <f t="shared" si="1757"/>
        <v>-</v>
      </c>
      <c r="AJ492" s="85" t="str">
        <f t="shared" si="1905"/>
        <v>-</v>
      </c>
      <c r="AK492" s="85" t="str">
        <f t="shared" si="1906"/>
        <v>-</v>
      </c>
      <c r="AL492" s="85" t="str">
        <f t="shared" si="1907"/>
        <v>-</v>
      </c>
      <c r="AM492" s="85">
        <f>'Consumer Hardware Pricing'!AC502</f>
        <v>0</v>
      </c>
      <c r="AN492" s="85">
        <f t="shared" si="1758"/>
        <v>41.669999999999995</v>
      </c>
      <c r="AO492" s="85">
        <f>'Consumer Hardware Pricing'!AD502</f>
        <v>21.67</v>
      </c>
      <c r="AP492" s="85">
        <f t="shared" si="1908"/>
        <v>19.999999999999993</v>
      </c>
      <c r="AQ492" s="85">
        <f t="shared" si="1909"/>
        <v>520.08000000000004</v>
      </c>
      <c r="AR492" s="85">
        <f t="shared" si="1910"/>
        <v>479.99999999999983</v>
      </c>
      <c r="AS492" s="85" t="str">
        <f>'Consumer Hardware Pricing'!AF502</f>
        <v>-</v>
      </c>
      <c r="AT492" s="85" t="str">
        <f t="shared" si="1759"/>
        <v>-</v>
      </c>
      <c r="AU492" s="85" t="str">
        <f t="shared" si="1911"/>
        <v>-</v>
      </c>
      <c r="AV492" s="85" t="str">
        <f t="shared" si="1912"/>
        <v>-</v>
      </c>
      <c r="AW492" s="85" t="str">
        <f t="shared" si="1913"/>
        <v>-</v>
      </c>
      <c r="AX492" s="85" t="str">
        <f>'Consumer Hardware Pricing'!AH502</f>
        <v>-</v>
      </c>
      <c r="AY492" s="85" t="str">
        <f t="shared" si="1760"/>
        <v>-</v>
      </c>
      <c r="AZ492" s="85" t="str">
        <f>'Consumer Hardware Pricing'!AI502</f>
        <v>-</v>
      </c>
      <c r="BA492" s="85" t="str">
        <f t="shared" si="1517"/>
        <v>-</v>
      </c>
      <c r="BB492" s="85" t="str">
        <f t="shared" si="1518"/>
        <v>-</v>
      </c>
      <c r="BC492" s="85" t="str">
        <f t="shared" si="1534"/>
        <v>-</v>
      </c>
      <c r="BD492" s="85" t="str">
        <f>'Consumer Hardware Pricing'!AL502</f>
        <v>-</v>
      </c>
      <c r="BE492" s="85" t="str">
        <f t="shared" si="1761"/>
        <v>-</v>
      </c>
      <c r="BF492" s="85" t="str">
        <f>'Consumer Hardware Pricing'!AM502</f>
        <v>-</v>
      </c>
      <c r="BG492" s="85" t="str">
        <f t="shared" si="1519"/>
        <v>-</v>
      </c>
      <c r="BH492" s="85" t="str">
        <f t="shared" si="1520"/>
        <v>-</v>
      </c>
      <c r="BI492" s="85" t="str">
        <f t="shared" si="1535"/>
        <v>-</v>
      </c>
      <c r="BJ492" s="85" t="str">
        <f>'Consumer Hardware Pricing'!AP502</f>
        <v>-</v>
      </c>
      <c r="BK492" s="85" t="str">
        <f t="shared" si="1762"/>
        <v>-</v>
      </c>
      <c r="BL492" s="85" t="str">
        <f>'Consumer Hardware Pricing'!AQ502</f>
        <v>-</v>
      </c>
      <c r="BM492" s="85" t="str">
        <f t="shared" si="1521"/>
        <v>-</v>
      </c>
      <c r="BN492" s="85" t="str">
        <f t="shared" si="1522"/>
        <v>-</v>
      </c>
      <c r="BO492" s="85" t="str">
        <f t="shared" si="1536"/>
        <v>-</v>
      </c>
      <c r="BP492" s="85" t="str">
        <f>'Consumer Hardware Pricing'!AT502</f>
        <v>-</v>
      </c>
      <c r="BQ492" s="85" t="str">
        <f t="shared" si="1763"/>
        <v>-</v>
      </c>
      <c r="BR492" s="85" t="str">
        <f>'Consumer Hardware Pricing'!AU502</f>
        <v>-</v>
      </c>
      <c r="BS492" s="85" t="str">
        <f t="shared" si="1523"/>
        <v>-</v>
      </c>
      <c r="BT492" s="85" t="str">
        <f t="shared" si="1524"/>
        <v>-</v>
      </c>
      <c r="BU492" s="85" t="str">
        <f t="shared" si="1537"/>
        <v>-</v>
      </c>
    </row>
    <row r="493" spans="1:73" ht="31.2" customHeight="1" x14ac:dyDescent="0.25">
      <c r="A493" s="87" t="s">
        <v>34</v>
      </c>
      <c r="B493" s="88" t="s">
        <v>378</v>
      </c>
      <c r="C493" s="88" t="s">
        <v>374</v>
      </c>
      <c r="D493" s="85">
        <f>'Consumer Hardware Pricing'!L503</f>
        <v>1000</v>
      </c>
      <c r="E493" s="85">
        <f>'Consumer Hardware Pricing'!M503</f>
        <v>1000</v>
      </c>
      <c r="F493" s="85">
        <f>'Consumer Hardware Pricing'!N503</f>
        <v>0</v>
      </c>
      <c r="G493" s="85">
        <f t="shared" si="1563"/>
        <v>41.669999999999995</v>
      </c>
      <c r="H493" s="85">
        <f>'Consumer Hardware Pricing'!O503</f>
        <v>21.67</v>
      </c>
      <c r="I493" s="85">
        <f t="shared" si="1513"/>
        <v>19.999999999999993</v>
      </c>
      <c r="J493" s="85">
        <f t="shared" si="1525"/>
        <v>520.08000000000004</v>
      </c>
      <c r="K493" s="85">
        <f t="shared" si="1526"/>
        <v>479.99999999999983</v>
      </c>
      <c r="L493" s="85" t="str">
        <f>'Consumer Hardware Pricing'!Q503</f>
        <v>-</v>
      </c>
      <c r="M493" s="85" t="str">
        <f t="shared" si="1564"/>
        <v>-</v>
      </c>
      <c r="N493" s="85" t="str">
        <f t="shared" si="1514"/>
        <v>-</v>
      </c>
      <c r="O493" s="85" t="str">
        <f t="shared" si="1515"/>
        <v>-</v>
      </c>
      <c r="P493" s="85" t="str">
        <f t="shared" si="1527"/>
        <v>-</v>
      </c>
      <c r="Q493" s="85">
        <f>'Consumer Hardware Pricing'!S503</f>
        <v>0</v>
      </c>
      <c r="R493" s="85">
        <f t="shared" si="1516"/>
        <v>41.669999999999995</v>
      </c>
      <c r="S493" s="85">
        <f>'Consumer Hardware Pricing'!T503</f>
        <v>21.67</v>
      </c>
      <c r="T493" s="129">
        <f t="shared" si="1528"/>
        <v>19.999999999999993</v>
      </c>
      <c r="U493" s="129">
        <f t="shared" si="1529"/>
        <v>520.08000000000004</v>
      </c>
      <c r="V493" s="85">
        <f t="shared" si="1530"/>
        <v>479.99999999999983</v>
      </c>
      <c r="W493" s="129" t="str">
        <f>'Consumer Hardware Pricing'!V503</f>
        <v>-</v>
      </c>
      <c r="X493" s="129" t="str">
        <f t="shared" si="1565"/>
        <v>-</v>
      </c>
      <c r="Y493" s="129" t="str">
        <f t="shared" si="1531"/>
        <v>-</v>
      </c>
      <c r="Z493" s="129" t="str">
        <f t="shared" si="1532"/>
        <v>-</v>
      </c>
      <c r="AA493" s="85" t="str">
        <f t="shared" si="1533"/>
        <v>-</v>
      </c>
      <c r="AB493" s="85">
        <f>'Consumer Hardware Pricing'!X503</f>
        <v>0</v>
      </c>
      <c r="AC493" s="85">
        <f t="shared" si="1756"/>
        <v>41.669999999999995</v>
      </c>
      <c r="AD493" s="85">
        <f>'Consumer Hardware Pricing'!Y503</f>
        <v>21.67</v>
      </c>
      <c r="AE493" s="85">
        <f t="shared" si="1902"/>
        <v>19.999999999999993</v>
      </c>
      <c r="AF493" s="85">
        <f t="shared" si="1903"/>
        <v>520.08000000000004</v>
      </c>
      <c r="AG493" s="85">
        <f t="shared" si="1904"/>
        <v>479.99999999999983</v>
      </c>
      <c r="AH493" s="85" t="str">
        <f>'Consumer Hardware Pricing'!AA503</f>
        <v>-</v>
      </c>
      <c r="AI493" s="85" t="str">
        <f t="shared" si="1757"/>
        <v>-</v>
      </c>
      <c r="AJ493" s="85" t="str">
        <f t="shared" si="1905"/>
        <v>-</v>
      </c>
      <c r="AK493" s="85" t="str">
        <f t="shared" si="1906"/>
        <v>-</v>
      </c>
      <c r="AL493" s="85" t="str">
        <f t="shared" si="1907"/>
        <v>-</v>
      </c>
      <c r="AM493" s="85">
        <f>'Consumer Hardware Pricing'!AC503</f>
        <v>0</v>
      </c>
      <c r="AN493" s="85">
        <f t="shared" si="1758"/>
        <v>41.669999999999995</v>
      </c>
      <c r="AO493" s="85">
        <f>'Consumer Hardware Pricing'!AD503</f>
        <v>21.67</v>
      </c>
      <c r="AP493" s="85">
        <f t="shared" si="1908"/>
        <v>19.999999999999993</v>
      </c>
      <c r="AQ493" s="85">
        <f t="shared" si="1909"/>
        <v>520.08000000000004</v>
      </c>
      <c r="AR493" s="85">
        <f t="shared" si="1910"/>
        <v>479.99999999999983</v>
      </c>
      <c r="AS493" s="85" t="str">
        <f>'Consumer Hardware Pricing'!AF503</f>
        <v>-</v>
      </c>
      <c r="AT493" s="85" t="str">
        <f t="shared" si="1759"/>
        <v>-</v>
      </c>
      <c r="AU493" s="85" t="str">
        <f t="shared" si="1911"/>
        <v>-</v>
      </c>
      <c r="AV493" s="85" t="str">
        <f t="shared" si="1912"/>
        <v>-</v>
      </c>
      <c r="AW493" s="85" t="str">
        <f t="shared" si="1913"/>
        <v>-</v>
      </c>
      <c r="AX493" s="85" t="str">
        <f>'Consumer Hardware Pricing'!AH503</f>
        <v>-</v>
      </c>
      <c r="AY493" s="85" t="str">
        <f t="shared" si="1760"/>
        <v>-</v>
      </c>
      <c r="AZ493" s="85" t="str">
        <f>'Consumer Hardware Pricing'!AI503</f>
        <v>-</v>
      </c>
      <c r="BA493" s="85" t="str">
        <f t="shared" si="1517"/>
        <v>-</v>
      </c>
      <c r="BB493" s="85" t="str">
        <f t="shared" si="1518"/>
        <v>-</v>
      </c>
      <c r="BC493" s="85" t="str">
        <f t="shared" si="1534"/>
        <v>-</v>
      </c>
      <c r="BD493" s="85" t="str">
        <f>'Consumer Hardware Pricing'!AL503</f>
        <v>-</v>
      </c>
      <c r="BE493" s="85" t="str">
        <f t="shared" si="1761"/>
        <v>-</v>
      </c>
      <c r="BF493" s="85" t="str">
        <f>'Consumer Hardware Pricing'!AM503</f>
        <v>-</v>
      </c>
      <c r="BG493" s="85" t="str">
        <f t="shared" si="1519"/>
        <v>-</v>
      </c>
      <c r="BH493" s="85" t="str">
        <f t="shared" si="1520"/>
        <v>-</v>
      </c>
      <c r="BI493" s="85" t="str">
        <f t="shared" si="1535"/>
        <v>-</v>
      </c>
      <c r="BJ493" s="85" t="str">
        <f>'Consumer Hardware Pricing'!AP503</f>
        <v>-</v>
      </c>
      <c r="BK493" s="85" t="str">
        <f t="shared" si="1762"/>
        <v>-</v>
      </c>
      <c r="BL493" s="85" t="str">
        <f>'Consumer Hardware Pricing'!AQ503</f>
        <v>-</v>
      </c>
      <c r="BM493" s="85" t="str">
        <f t="shared" si="1521"/>
        <v>-</v>
      </c>
      <c r="BN493" s="85" t="str">
        <f t="shared" si="1522"/>
        <v>-</v>
      </c>
      <c r="BO493" s="85" t="str">
        <f t="shared" si="1536"/>
        <v>-</v>
      </c>
      <c r="BP493" s="85" t="str">
        <f>'Consumer Hardware Pricing'!AT503</f>
        <v>-</v>
      </c>
      <c r="BQ493" s="85" t="str">
        <f t="shared" si="1763"/>
        <v>-</v>
      </c>
      <c r="BR493" s="85" t="str">
        <f>'Consumer Hardware Pricing'!AU503</f>
        <v>-</v>
      </c>
      <c r="BS493" s="85" t="str">
        <f t="shared" si="1523"/>
        <v>-</v>
      </c>
      <c r="BT493" s="85" t="str">
        <f t="shared" si="1524"/>
        <v>-</v>
      </c>
      <c r="BU493" s="85" t="str">
        <f t="shared" si="1537"/>
        <v>-</v>
      </c>
    </row>
    <row r="494" spans="1:73" ht="31.2" customHeight="1" x14ac:dyDescent="0.25">
      <c r="A494" s="87" t="s">
        <v>34</v>
      </c>
      <c r="B494" s="88" t="s">
        <v>545</v>
      </c>
      <c r="C494" s="88" t="s">
        <v>546</v>
      </c>
      <c r="D494" s="85">
        <f>'Consumer Hardware Pricing'!L504</f>
        <v>1400</v>
      </c>
      <c r="E494" s="85">
        <f>'Consumer Hardware Pricing'!M504</f>
        <v>1400</v>
      </c>
      <c r="F494" s="85">
        <f>'Consumer Hardware Pricing'!N504</f>
        <v>0</v>
      </c>
      <c r="G494" s="85">
        <f t="shared" si="1563"/>
        <v>58.339999999999996</v>
      </c>
      <c r="H494" s="85">
        <f>'Consumer Hardware Pricing'!O504</f>
        <v>43.339999999999996</v>
      </c>
      <c r="I494" s="85">
        <f t="shared" si="1513"/>
        <v>15</v>
      </c>
      <c r="J494" s="85">
        <f t="shared" si="1525"/>
        <v>1040.1599999999999</v>
      </c>
      <c r="K494" s="85">
        <f t="shared" si="1526"/>
        <v>360</v>
      </c>
      <c r="L494" s="85" t="str">
        <f>'Consumer Hardware Pricing'!Q504</f>
        <v>-</v>
      </c>
      <c r="M494" s="85" t="str">
        <f t="shared" si="1564"/>
        <v>-</v>
      </c>
      <c r="N494" s="85" t="str">
        <f t="shared" si="1514"/>
        <v>-</v>
      </c>
      <c r="O494" s="85" t="str">
        <f t="shared" si="1515"/>
        <v>-</v>
      </c>
      <c r="P494" s="85" t="str">
        <f t="shared" si="1527"/>
        <v>-</v>
      </c>
      <c r="Q494" s="85">
        <f>'Consumer Hardware Pricing'!S504</f>
        <v>0</v>
      </c>
      <c r="R494" s="85">
        <f t="shared" si="1516"/>
        <v>58.339999999999996</v>
      </c>
      <c r="S494" s="85">
        <f>'Consumer Hardware Pricing'!T504</f>
        <v>43.339999999999996</v>
      </c>
      <c r="T494" s="129">
        <f t="shared" si="1528"/>
        <v>15</v>
      </c>
      <c r="U494" s="129">
        <f t="shared" si="1529"/>
        <v>1040.1599999999999</v>
      </c>
      <c r="V494" s="85">
        <f t="shared" si="1530"/>
        <v>360</v>
      </c>
      <c r="W494" s="129" t="str">
        <f>'Consumer Hardware Pricing'!V504</f>
        <v>-</v>
      </c>
      <c r="X494" s="129" t="str">
        <f t="shared" si="1565"/>
        <v>-</v>
      </c>
      <c r="Y494" s="129" t="str">
        <f t="shared" si="1531"/>
        <v>-</v>
      </c>
      <c r="Z494" s="129" t="str">
        <f t="shared" si="1532"/>
        <v>-</v>
      </c>
      <c r="AA494" s="85" t="str">
        <f t="shared" si="1533"/>
        <v>-</v>
      </c>
      <c r="AB494" s="85">
        <f>'Consumer Hardware Pricing'!X504</f>
        <v>0</v>
      </c>
      <c r="AC494" s="85">
        <f t="shared" si="1756"/>
        <v>58.339999999999996</v>
      </c>
      <c r="AD494" s="85">
        <f>'Consumer Hardware Pricing'!Y504</f>
        <v>33.339999999999996</v>
      </c>
      <c r="AE494" s="85">
        <f t="shared" si="1902"/>
        <v>25</v>
      </c>
      <c r="AF494" s="85">
        <f t="shared" si="1903"/>
        <v>800.15999999999985</v>
      </c>
      <c r="AG494" s="85">
        <f t="shared" si="1904"/>
        <v>600</v>
      </c>
      <c r="AH494" s="85" t="str">
        <f>'Consumer Hardware Pricing'!AA504</f>
        <v>-</v>
      </c>
      <c r="AI494" s="85" t="str">
        <f t="shared" si="1757"/>
        <v>-</v>
      </c>
      <c r="AJ494" s="85" t="str">
        <f t="shared" si="1905"/>
        <v>-</v>
      </c>
      <c r="AK494" s="85" t="str">
        <f t="shared" si="1906"/>
        <v>-</v>
      </c>
      <c r="AL494" s="85" t="str">
        <f t="shared" si="1907"/>
        <v>-</v>
      </c>
      <c r="AM494" s="85">
        <f>'Consumer Hardware Pricing'!AC504</f>
        <v>0</v>
      </c>
      <c r="AN494" s="85">
        <f t="shared" si="1758"/>
        <v>58.339999999999996</v>
      </c>
      <c r="AO494" s="85">
        <f>'Consumer Hardware Pricing'!AD504</f>
        <v>33.339999999999996</v>
      </c>
      <c r="AP494" s="85">
        <f t="shared" si="1908"/>
        <v>25</v>
      </c>
      <c r="AQ494" s="85">
        <f t="shared" si="1909"/>
        <v>800.15999999999985</v>
      </c>
      <c r="AR494" s="85">
        <f t="shared" si="1910"/>
        <v>600</v>
      </c>
      <c r="AS494" s="85" t="str">
        <f>'Consumer Hardware Pricing'!AF504</f>
        <v>-</v>
      </c>
      <c r="AT494" s="85" t="str">
        <f t="shared" si="1759"/>
        <v>-</v>
      </c>
      <c r="AU494" s="85" t="str">
        <f t="shared" si="1911"/>
        <v>-</v>
      </c>
      <c r="AV494" s="85" t="str">
        <f t="shared" si="1912"/>
        <v>-</v>
      </c>
      <c r="AW494" s="85" t="str">
        <f t="shared" si="1913"/>
        <v>-</v>
      </c>
      <c r="AX494" s="85" t="str">
        <f>'Consumer Hardware Pricing'!AH504</f>
        <v>-</v>
      </c>
      <c r="AY494" s="85" t="str">
        <f t="shared" si="1760"/>
        <v>-</v>
      </c>
      <c r="AZ494" s="85" t="str">
        <f>'Consumer Hardware Pricing'!AI504</f>
        <v>-</v>
      </c>
      <c r="BA494" s="85" t="str">
        <f t="shared" si="1517"/>
        <v>-</v>
      </c>
      <c r="BB494" s="85" t="str">
        <f t="shared" si="1518"/>
        <v>-</v>
      </c>
      <c r="BC494" s="85" t="str">
        <f t="shared" si="1534"/>
        <v>-</v>
      </c>
      <c r="BD494" s="85" t="str">
        <f>'Consumer Hardware Pricing'!AL504</f>
        <v>-</v>
      </c>
      <c r="BE494" s="85" t="str">
        <f t="shared" si="1761"/>
        <v>-</v>
      </c>
      <c r="BF494" s="85" t="str">
        <f>'Consumer Hardware Pricing'!AM504</f>
        <v>-</v>
      </c>
      <c r="BG494" s="85" t="str">
        <f t="shared" si="1519"/>
        <v>-</v>
      </c>
      <c r="BH494" s="85" t="str">
        <f t="shared" si="1520"/>
        <v>-</v>
      </c>
      <c r="BI494" s="85" t="str">
        <f t="shared" si="1535"/>
        <v>-</v>
      </c>
      <c r="BJ494" s="85" t="str">
        <f>'Consumer Hardware Pricing'!AP504</f>
        <v>-</v>
      </c>
      <c r="BK494" s="85" t="str">
        <f t="shared" si="1762"/>
        <v>-</v>
      </c>
      <c r="BL494" s="85" t="str">
        <f>'Consumer Hardware Pricing'!AQ504</f>
        <v>-</v>
      </c>
      <c r="BM494" s="85" t="str">
        <f t="shared" si="1521"/>
        <v>-</v>
      </c>
      <c r="BN494" s="85" t="str">
        <f t="shared" si="1522"/>
        <v>-</v>
      </c>
      <c r="BO494" s="85" t="str">
        <f t="shared" si="1536"/>
        <v>-</v>
      </c>
      <c r="BP494" s="85" t="str">
        <f>'Consumer Hardware Pricing'!AT504</f>
        <v>-</v>
      </c>
      <c r="BQ494" s="85" t="str">
        <f t="shared" si="1763"/>
        <v>-</v>
      </c>
      <c r="BR494" s="85" t="str">
        <f>'Consumer Hardware Pricing'!AU504</f>
        <v>-</v>
      </c>
      <c r="BS494" s="85" t="str">
        <f t="shared" si="1523"/>
        <v>-</v>
      </c>
      <c r="BT494" s="85" t="str">
        <f t="shared" si="1524"/>
        <v>-</v>
      </c>
      <c r="BU494" s="85" t="str">
        <f t="shared" si="1537"/>
        <v>-</v>
      </c>
    </row>
    <row r="495" spans="1:73" ht="31.2" customHeight="1" x14ac:dyDescent="0.25">
      <c r="A495" s="87" t="s">
        <v>34</v>
      </c>
      <c r="B495" s="88" t="s">
        <v>547</v>
      </c>
      <c r="C495" s="88" t="s">
        <v>546</v>
      </c>
      <c r="D495" s="85">
        <f>'Consumer Hardware Pricing'!L505</f>
        <v>1400</v>
      </c>
      <c r="E495" s="85">
        <f>'Consumer Hardware Pricing'!M505</f>
        <v>1400</v>
      </c>
      <c r="F495" s="85">
        <f>'Consumer Hardware Pricing'!N505</f>
        <v>0</v>
      </c>
      <c r="G495" s="85">
        <f t="shared" si="1563"/>
        <v>58.339999999999996</v>
      </c>
      <c r="H495" s="85">
        <f>'Consumer Hardware Pricing'!O505</f>
        <v>43.339999999999996</v>
      </c>
      <c r="I495" s="85">
        <f t="shared" si="1513"/>
        <v>15</v>
      </c>
      <c r="J495" s="85">
        <f t="shared" si="1525"/>
        <v>1040.1599999999999</v>
      </c>
      <c r="K495" s="85">
        <f t="shared" si="1526"/>
        <v>360</v>
      </c>
      <c r="L495" s="85" t="str">
        <f>'Consumer Hardware Pricing'!Q505</f>
        <v>-</v>
      </c>
      <c r="M495" s="85" t="str">
        <f t="shared" si="1564"/>
        <v>-</v>
      </c>
      <c r="N495" s="85" t="str">
        <f t="shared" si="1514"/>
        <v>-</v>
      </c>
      <c r="O495" s="85" t="str">
        <f t="shared" si="1515"/>
        <v>-</v>
      </c>
      <c r="P495" s="85" t="str">
        <f t="shared" si="1527"/>
        <v>-</v>
      </c>
      <c r="Q495" s="85">
        <f>'Consumer Hardware Pricing'!S505</f>
        <v>0</v>
      </c>
      <c r="R495" s="85">
        <f t="shared" si="1516"/>
        <v>58.339999999999996</v>
      </c>
      <c r="S495" s="85">
        <f>'Consumer Hardware Pricing'!T505</f>
        <v>43.339999999999996</v>
      </c>
      <c r="T495" s="129">
        <f t="shared" si="1528"/>
        <v>15</v>
      </c>
      <c r="U495" s="129">
        <f t="shared" si="1529"/>
        <v>1040.1599999999999</v>
      </c>
      <c r="V495" s="85">
        <f t="shared" si="1530"/>
        <v>360</v>
      </c>
      <c r="W495" s="129" t="str">
        <f>'Consumer Hardware Pricing'!V505</f>
        <v>-</v>
      </c>
      <c r="X495" s="129" t="str">
        <f t="shared" si="1565"/>
        <v>-</v>
      </c>
      <c r="Y495" s="129" t="str">
        <f t="shared" si="1531"/>
        <v>-</v>
      </c>
      <c r="Z495" s="129" t="str">
        <f t="shared" si="1532"/>
        <v>-</v>
      </c>
      <c r="AA495" s="85" t="str">
        <f t="shared" si="1533"/>
        <v>-</v>
      </c>
      <c r="AB495" s="85">
        <f>'Consumer Hardware Pricing'!X505</f>
        <v>0</v>
      </c>
      <c r="AC495" s="85">
        <f t="shared" si="1756"/>
        <v>58.339999999999996</v>
      </c>
      <c r="AD495" s="85">
        <f>'Consumer Hardware Pricing'!Y505</f>
        <v>33.339999999999996</v>
      </c>
      <c r="AE495" s="85">
        <f t="shared" si="1902"/>
        <v>25</v>
      </c>
      <c r="AF495" s="85">
        <f t="shared" si="1903"/>
        <v>800.15999999999985</v>
      </c>
      <c r="AG495" s="85">
        <f t="shared" si="1904"/>
        <v>600</v>
      </c>
      <c r="AH495" s="85" t="str">
        <f>'Consumer Hardware Pricing'!AA505</f>
        <v>-</v>
      </c>
      <c r="AI495" s="85" t="str">
        <f t="shared" si="1757"/>
        <v>-</v>
      </c>
      <c r="AJ495" s="85" t="str">
        <f t="shared" si="1905"/>
        <v>-</v>
      </c>
      <c r="AK495" s="85" t="str">
        <f t="shared" si="1906"/>
        <v>-</v>
      </c>
      <c r="AL495" s="85" t="str">
        <f t="shared" si="1907"/>
        <v>-</v>
      </c>
      <c r="AM495" s="85">
        <f>'Consumer Hardware Pricing'!AC505</f>
        <v>0</v>
      </c>
      <c r="AN495" s="85">
        <f t="shared" si="1758"/>
        <v>58.339999999999996</v>
      </c>
      <c r="AO495" s="85">
        <f>'Consumer Hardware Pricing'!AD505</f>
        <v>33.339999999999996</v>
      </c>
      <c r="AP495" s="85">
        <f t="shared" si="1908"/>
        <v>25</v>
      </c>
      <c r="AQ495" s="85">
        <f t="shared" si="1909"/>
        <v>800.15999999999985</v>
      </c>
      <c r="AR495" s="85">
        <f t="shared" si="1910"/>
        <v>600</v>
      </c>
      <c r="AS495" s="85" t="str">
        <f>'Consumer Hardware Pricing'!AF505</f>
        <v>-</v>
      </c>
      <c r="AT495" s="85" t="str">
        <f t="shared" si="1759"/>
        <v>-</v>
      </c>
      <c r="AU495" s="85" t="str">
        <f t="shared" si="1911"/>
        <v>-</v>
      </c>
      <c r="AV495" s="85" t="str">
        <f t="shared" si="1912"/>
        <v>-</v>
      </c>
      <c r="AW495" s="85" t="str">
        <f t="shared" si="1913"/>
        <v>-</v>
      </c>
      <c r="AX495" s="85" t="str">
        <f>'Consumer Hardware Pricing'!AH505</f>
        <v>-</v>
      </c>
      <c r="AY495" s="85" t="str">
        <f t="shared" si="1760"/>
        <v>-</v>
      </c>
      <c r="AZ495" s="85" t="str">
        <f>'Consumer Hardware Pricing'!AI505</f>
        <v>-</v>
      </c>
      <c r="BA495" s="85" t="str">
        <f t="shared" si="1517"/>
        <v>-</v>
      </c>
      <c r="BB495" s="85" t="str">
        <f t="shared" si="1518"/>
        <v>-</v>
      </c>
      <c r="BC495" s="85" t="str">
        <f t="shared" si="1534"/>
        <v>-</v>
      </c>
      <c r="BD495" s="85" t="str">
        <f>'Consumer Hardware Pricing'!AL505</f>
        <v>-</v>
      </c>
      <c r="BE495" s="85" t="str">
        <f t="shared" si="1761"/>
        <v>-</v>
      </c>
      <c r="BF495" s="85" t="str">
        <f>'Consumer Hardware Pricing'!AM505</f>
        <v>-</v>
      </c>
      <c r="BG495" s="85" t="str">
        <f t="shared" si="1519"/>
        <v>-</v>
      </c>
      <c r="BH495" s="85" t="str">
        <f t="shared" si="1520"/>
        <v>-</v>
      </c>
      <c r="BI495" s="85" t="str">
        <f t="shared" si="1535"/>
        <v>-</v>
      </c>
      <c r="BJ495" s="85" t="str">
        <f>'Consumer Hardware Pricing'!AP505</f>
        <v>-</v>
      </c>
      <c r="BK495" s="85" t="str">
        <f t="shared" si="1762"/>
        <v>-</v>
      </c>
      <c r="BL495" s="85" t="str">
        <f>'Consumer Hardware Pricing'!AQ505</f>
        <v>-</v>
      </c>
      <c r="BM495" s="85" t="str">
        <f t="shared" si="1521"/>
        <v>-</v>
      </c>
      <c r="BN495" s="85" t="str">
        <f t="shared" si="1522"/>
        <v>-</v>
      </c>
      <c r="BO495" s="85" t="str">
        <f t="shared" si="1536"/>
        <v>-</v>
      </c>
      <c r="BP495" s="85" t="str">
        <f>'Consumer Hardware Pricing'!AT505</f>
        <v>-</v>
      </c>
      <c r="BQ495" s="85" t="str">
        <f t="shared" si="1763"/>
        <v>-</v>
      </c>
      <c r="BR495" s="85" t="str">
        <f>'Consumer Hardware Pricing'!AU505</f>
        <v>-</v>
      </c>
      <c r="BS495" s="85" t="str">
        <f t="shared" si="1523"/>
        <v>-</v>
      </c>
      <c r="BT495" s="85" t="str">
        <f t="shared" si="1524"/>
        <v>-</v>
      </c>
      <c r="BU495" s="85" t="str">
        <f t="shared" si="1537"/>
        <v>-</v>
      </c>
    </row>
    <row r="496" spans="1:73" ht="31.2" customHeight="1" x14ac:dyDescent="0.25">
      <c r="A496" s="87" t="s">
        <v>34</v>
      </c>
      <c r="B496" s="88" t="s">
        <v>548</v>
      </c>
      <c r="C496" s="88" t="s">
        <v>546</v>
      </c>
      <c r="D496" s="85">
        <f>'Consumer Hardware Pricing'!L506</f>
        <v>1400</v>
      </c>
      <c r="E496" s="85">
        <f>'Consumer Hardware Pricing'!M506</f>
        <v>1400</v>
      </c>
      <c r="F496" s="85">
        <f>'Consumer Hardware Pricing'!N506</f>
        <v>0</v>
      </c>
      <c r="G496" s="85">
        <f t="shared" si="1563"/>
        <v>58.339999999999996</v>
      </c>
      <c r="H496" s="85">
        <f>'Consumer Hardware Pricing'!O506</f>
        <v>43.339999999999996</v>
      </c>
      <c r="I496" s="85">
        <f t="shared" ref="I496:I585" si="1914">IF(H496="-",G496,G496-H496)</f>
        <v>15</v>
      </c>
      <c r="J496" s="85">
        <f t="shared" si="1525"/>
        <v>1040.1599999999999</v>
      </c>
      <c r="K496" s="85">
        <f t="shared" si="1526"/>
        <v>360</v>
      </c>
      <c r="L496" s="85" t="str">
        <f>'Consumer Hardware Pricing'!Q506</f>
        <v>-</v>
      </c>
      <c r="M496" s="85" t="str">
        <f t="shared" si="1564"/>
        <v>-</v>
      </c>
      <c r="N496" s="85" t="str">
        <f t="shared" ref="N496:N585" si="1915">IF(L496="-",L496,G496-M496)</f>
        <v>-</v>
      </c>
      <c r="O496" s="85" t="str">
        <f t="shared" ref="O496:O585" si="1916">IF(L496="-",L496,M496*24)</f>
        <v>-</v>
      </c>
      <c r="P496" s="85" t="str">
        <f t="shared" si="1527"/>
        <v>-</v>
      </c>
      <c r="Q496" s="85">
        <f>'Consumer Hardware Pricing'!S506</f>
        <v>0</v>
      </c>
      <c r="R496" s="85">
        <f t="shared" ref="R496:R585" si="1917">G496</f>
        <v>58.339999999999996</v>
      </c>
      <c r="S496" s="85">
        <f>'Consumer Hardware Pricing'!T506</f>
        <v>43.339999999999996</v>
      </c>
      <c r="T496" s="129">
        <f t="shared" si="1528"/>
        <v>15</v>
      </c>
      <c r="U496" s="129">
        <f t="shared" si="1529"/>
        <v>1040.1599999999999</v>
      </c>
      <c r="V496" s="85">
        <f t="shared" si="1530"/>
        <v>360</v>
      </c>
      <c r="W496" s="129" t="str">
        <f>'Consumer Hardware Pricing'!V506</f>
        <v>-</v>
      </c>
      <c r="X496" s="129" t="str">
        <f t="shared" si="1565"/>
        <v>-</v>
      </c>
      <c r="Y496" s="129" t="str">
        <f t="shared" si="1531"/>
        <v>-</v>
      </c>
      <c r="Z496" s="129" t="str">
        <f t="shared" si="1532"/>
        <v>-</v>
      </c>
      <c r="AA496" s="85" t="str">
        <f t="shared" si="1533"/>
        <v>-</v>
      </c>
      <c r="AB496" s="85">
        <f>'Consumer Hardware Pricing'!X506</f>
        <v>0</v>
      </c>
      <c r="AC496" s="85">
        <f t="shared" si="1756"/>
        <v>58.339999999999996</v>
      </c>
      <c r="AD496" s="85">
        <f>'Consumer Hardware Pricing'!Y506</f>
        <v>33.339999999999996</v>
      </c>
      <c r="AE496" s="85">
        <f t="shared" si="1902"/>
        <v>25</v>
      </c>
      <c r="AF496" s="85">
        <f t="shared" si="1903"/>
        <v>800.15999999999985</v>
      </c>
      <c r="AG496" s="85">
        <f t="shared" si="1904"/>
        <v>600</v>
      </c>
      <c r="AH496" s="85" t="str">
        <f>'Consumer Hardware Pricing'!AA506</f>
        <v>-</v>
      </c>
      <c r="AI496" s="85" t="str">
        <f t="shared" si="1757"/>
        <v>-</v>
      </c>
      <c r="AJ496" s="85" t="str">
        <f t="shared" si="1905"/>
        <v>-</v>
      </c>
      <c r="AK496" s="85" t="str">
        <f t="shared" si="1906"/>
        <v>-</v>
      </c>
      <c r="AL496" s="85" t="str">
        <f t="shared" si="1907"/>
        <v>-</v>
      </c>
      <c r="AM496" s="85">
        <f>'Consumer Hardware Pricing'!AC506</f>
        <v>0</v>
      </c>
      <c r="AN496" s="85">
        <f t="shared" si="1758"/>
        <v>58.339999999999996</v>
      </c>
      <c r="AO496" s="85">
        <f>'Consumer Hardware Pricing'!AD506</f>
        <v>33.339999999999996</v>
      </c>
      <c r="AP496" s="85">
        <f t="shared" si="1908"/>
        <v>25</v>
      </c>
      <c r="AQ496" s="85">
        <f t="shared" si="1909"/>
        <v>800.15999999999985</v>
      </c>
      <c r="AR496" s="85">
        <f t="shared" si="1910"/>
        <v>600</v>
      </c>
      <c r="AS496" s="85" t="str">
        <f>'Consumer Hardware Pricing'!AF506</f>
        <v>-</v>
      </c>
      <c r="AT496" s="85" t="str">
        <f t="shared" si="1759"/>
        <v>-</v>
      </c>
      <c r="AU496" s="85" t="str">
        <f t="shared" si="1911"/>
        <v>-</v>
      </c>
      <c r="AV496" s="85" t="str">
        <f t="shared" si="1912"/>
        <v>-</v>
      </c>
      <c r="AW496" s="85" t="str">
        <f t="shared" si="1913"/>
        <v>-</v>
      </c>
      <c r="AX496" s="85" t="str">
        <f>'Consumer Hardware Pricing'!AH506</f>
        <v>-</v>
      </c>
      <c r="AY496" s="85" t="str">
        <f t="shared" si="1760"/>
        <v>-</v>
      </c>
      <c r="AZ496" s="85" t="str">
        <f>'Consumer Hardware Pricing'!AI506</f>
        <v>-</v>
      </c>
      <c r="BA496" s="85" t="str">
        <f t="shared" ref="BA496:BA585" si="1918">IF(AZ496="-",AY496,AY496-AZ496)</f>
        <v>-</v>
      </c>
      <c r="BB496" s="85" t="str">
        <f t="shared" ref="BB496:BB585" si="1919">IF(AZ496="-",AZ496,AZ496*24)</f>
        <v>-</v>
      </c>
      <c r="BC496" s="85" t="str">
        <f t="shared" si="1534"/>
        <v>-</v>
      </c>
      <c r="BD496" s="85" t="str">
        <f>'Consumer Hardware Pricing'!AL506</f>
        <v>-</v>
      </c>
      <c r="BE496" s="85" t="str">
        <f t="shared" si="1761"/>
        <v>-</v>
      </c>
      <c r="BF496" s="85" t="str">
        <f>'Consumer Hardware Pricing'!AM506</f>
        <v>-</v>
      </c>
      <c r="BG496" s="85" t="str">
        <f t="shared" ref="BG496:BG585" si="1920">IF(BF496="-",BE496,BE496-BF496)</f>
        <v>-</v>
      </c>
      <c r="BH496" s="85" t="str">
        <f t="shared" ref="BH496:BH585" si="1921">IF(BF496="-",BF496,BF496*24)</f>
        <v>-</v>
      </c>
      <c r="BI496" s="85" t="str">
        <f t="shared" si="1535"/>
        <v>-</v>
      </c>
      <c r="BJ496" s="85" t="str">
        <f>'Consumer Hardware Pricing'!AP506</f>
        <v>-</v>
      </c>
      <c r="BK496" s="85" t="str">
        <f t="shared" si="1762"/>
        <v>-</v>
      </c>
      <c r="BL496" s="85" t="str">
        <f>'Consumer Hardware Pricing'!AQ506</f>
        <v>-</v>
      </c>
      <c r="BM496" s="85" t="str">
        <f t="shared" ref="BM496:BM585" si="1922">IF(BL496="-",BK496,BK496-BL496)</f>
        <v>-</v>
      </c>
      <c r="BN496" s="85" t="str">
        <f t="shared" ref="BN496:BN585" si="1923">IF(BL496="-",BL496,BL496*24)</f>
        <v>-</v>
      </c>
      <c r="BO496" s="85" t="str">
        <f t="shared" si="1536"/>
        <v>-</v>
      </c>
      <c r="BP496" s="85" t="str">
        <f>'Consumer Hardware Pricing'!AT506</f>
        <v>-</v>
      </c>
      <c r="BQ496" s="85" t="str">
        <f t="shared" si="1763"/>
        <v>-</v>
      </c>
      <c r="BR496" s="85" t="str">
        <f>'Consumer Hardware Pricing'!AU506</f>
        <v>-</v>
      </c>
      <c r="BS496" s="85" t="str">
        <f t="shared" ref="BS496:BS585" si="1924">IF(BR496="-",BQ496,BQ496-BR496)</f>
        <v>-</v>
      </c>
      <c r="BT496" s="85" t="str">
        <f t="shared" ref="BT496:BT585" si="1925">IF(BR496="-",BR496,BR496*24)</f>
        <v>-</v>
      </c>
      <c r="BU496" s="85" t="str">
        <f t="shared" si="1537"/>
        <v>-</v>
      </c>
    </row>
    <row r="497" spans="1:73" ht="31.2" customHeight="1" x14ac:dyDescent="0.25">
      <c r="A497" s="87" t="s">
        <v>34</v>
      </c>
      <c r="B497" s="88" t="s">
        <v>549</v>
      </c>
      <c r="C497" s="88" t="s">
        <v>550</v>
      </c>
      <c r="D497" s="85">
        <f>'Consumer Hardware Pricing'!L507</f>
        <v>1770</v>
      </c>
      <c r="E497" s="85">
        <f>'Consumer Hardware Pricing'!M507</f>
        <v>1770</v>
      </c>
      <c r="F497" s="85">
        <f>'Consumer Hardware Pricing'!N507</f>
        <v>0</v>
      </c>
      <c r="G497" s="85">
        <f t="shared" si="1563"/>
        <v>73.75</v>
      </c>
      <c r="H497" s="85">
        <f>'Consumer Hardware Pricing'!O507</f>
        <v>46.25</v>
      </c>
      <c r="I497" s="85">
        <f t="shared" si="1914"/>
        <v>27.5</v>
      </c>
      <c r="J497" s="85">
        <f t="shared" ref="J497:J585" si="1926">IF(H497="-",H497,H497*24)</f>
        <v>1110</v>
      </c>
      <c r="K497" s="85">
        <f t="shared" ref="K497:K585" si="1927">IF(F497="-",F497,I497*24)</f>
        <v>660</v>
      </c>
      <c r="L497" s="85" t="str">
        <f>'Consumer Hardware Pricing'!Q507</f>
        <v>-</v>
      </c>
      <c r="M497" s="85" t="str">
        <f t="shared" si="1564"/>
        <v>-</v>
      </c>
      <c r="N497" s="85" t="str">
        <f t="shared" si="1915"/>
        <v>-</v>
      </c>
      <c r="O497" s="85" t="str">
        <f t="shared" si="1916"/>
        <v>-</v>
      </c>
      <c r="P497" s="85" t="str">
        <f t="shared" ref="P497:P585" si="1928">IF(L497="-",L497,N497*24)</f>
        <v>-</v>
      </c>
      <c r="Q497" s="85">
        <f>'Consumer Hardware Pricing'!S507</f>
        <v>0</v>
      </c>
      <c r="R497" s="85">
        <f t="shared" si="1917"/>
        <v>73.75</v>
      </c>
      <c r="S497" s="85">
        <f>'Consumer Hardware Pricing'!T507</f>
        <v>46.25</v>
      </c>
      <c r="T497" s="129">
        <f t="shared" ref="T497:T585" si="1929">IF(S497="-",R497,R497-S497)</f>
        <v>27.5</v>
      </c>
      <c r="U497" s="129">
        <f t="shared" ref="U497:U585" si="1930">IF(S497="-",S497,S497*24)</f>
        <v>1110</v>
      </c>
      <c r="V497" s="85">
        <f t="shared" ref="V497:V585" si="1931">IF(Q497="-",Q497,T497*24)</f>
        <v>660</v>
      </c>
      <c r="W497" s="129" t="str">
        <f>'Consumer Hardware Pricing'!V507</f>
        <v>-</v>
      </c>
      <c r="X497" s="129" t="str">
        <f t="shared" si="1565"/>
        <v>-</v>
      </c>
      <c r="Y497" s="129" t="str">
        <f t="shared" ref="Y497:Y585" si="1932">IF(W497="-",W497,R497-X497)</f>
        <v>-</v>
      </c>
      <c r="Z497" s="129" t="str">
        <f t="shared" ref="Z497:Z585" si="1933">IF(W497="-",W497,X497*24)</f>
        <v>-</v>
      </c>
      <c r="AA497" s="85" t="str">
        <f t="shared" ref="AA497:AA585" si="1934">IF(W497="-",W497,Y497*24)</f>
        <v>-</v>
      </c>
      <c r="AB497" s="85">
        <f>'Consumer Hardware Pricing'!X507</f>
        <v>0</v>
      </c>
      <c r="AC497" s="85">
        <f t="shared" si="1756"/>
        <v>73.75</v>
      </c>
      <c r="AD497" s="85">
        <f>'Consumer Hardware Pricing'!Y507</f>
        <v>36.25</v>
      </c>
      <c r="AE497" s="85">
        <f t="shared" si="1902"/>
        <v>37.5</v>
      </c>
      <c r="AF497" s="85">
        <f t="shared" si="1903"/>
        <v>870</v>
      </c>
      <c r="AG497" s="85">
        <f t="shared" si="1904"/>
        <v>900</v>
      </c>
      <c r="AH497" s="85" t="str">
        <f>'Consumer Hardware Pricing'!AA507</f>
        <v>-</v>
      </c>
      <c r="AI497" s="85" t="str">
        <f t="shared" si="1757"/>
        <v>-</v>
      </c>
      <c r="AJ497" s="85" t="str">
        <f t="shared" si="1905"/>
        <v>-</v>
      </c>
      <c r="AK497" s="85" t="str">
        <f t="shared" si="1906"/>
        <v>-</v>
      </c>
      <c r="AL497" s="85" t="str">
        <f t="shared" si="1907"/>
        <v>-</v>
      </c>
      <c r="AM497" s="85">
        <f>'Consumer Hardware Pricing'!AC507</f>
        <v>0</v>
      </c>
      <c r="AN497" s="85">
        <f t="shared" si="1758"/>
        <v>73.75</v>
      </c>
      <c r="AO497" s="85">
        <f>'Consumer Hardware Pricing'!AD507</f>
        <v>36.25</v>
      </c>
      <c r="AP497" s="85">
        <f t="shared" si="1908"/>
        <v>37.5</v>
      </c>
      <c r="AQ497" s="85">
        <f t="shared" si="1909"/>
        <v>870</v>
      </c>
      <c r="AR497" s="85">
        <f t="shared" si="1910"/>
        <v>900</v>
      </c>
      <c r="AS497" s="85" t="str">
        <f>'Consumer Hardware Pricing'!AF507</f>
        <v>-</v>
      </c>
      <c r="AT497" s="85" t="str">
        <f t="shared" si="1759"/>
        <v>-</v>
      </c>
      <c r="AU497" s="85" t="str">
        <f t="shared" si="1911"/>
        <v>-</v>
      </c>
      <c r="AV497" s="85" t="str">
        <f t="shared" si="1912"/>
        <v>-</v>
      </c>
      <c r="AW497" s="85" t="str">
        <f t="shared" si="1913"/>
        <v>-</v>
      </c>
      <c r="AX497" s="85" t="str">
        <f>'Consumer Hardware Pricing'!AH507</f>
        <v>-</v>
      </c>
      <c r="AY497" s="85" t="str">
        <f t="shared" si="1760"/>
        <v>-</v>
      </c>
      <c r="AZ497" s="85" t="str">
        <f>'Consumer Hardware Pricing'!AI507</f>
        <v>-</v>
      </c>
      <c r="BA497" s="85" t="str">
        <f t="shared" si="1918"/>
        <v>-</v>
      </c>
      <c r="BB497" s="85" t="str">
        <f t="shared" si="1919"/>
        <v>-</v>
      </c>
      <c r="BC497" s="85" t="str">
        <f t="shared" ref="BC497:BC585" si="1935">IF(AX497="-",AX497,AX497+(BA497*24))</f>
        <v>-</v>
      </c>
      <c r="BD497" s="85" t="str">
        <f>'Consumer Hardware Pricing'!AL507</f>
        <v>-</v>
      </c>
      <c r="BE497" s="85" t="str">
        <f t="shared" si="1761"/>
        <v>-</v>
      </c>
      <c r="BF497" s="85" t="str">
        <f>'Consumer Hardware Pricing'!AM507</f>
        <v>-</v>
      </c>
      <c r="BG497" s="85" t="str">
        <f t="shared" si="1920"/>
        <v>-</v>
      </c>
      <c r="BH497" s="85" t="str">
        <f t="shared" si="1921"/>
        <v>-</v>
      </c>
      <c r="BI497" s="85" t="str">
        <f t="shared" ref="BI497:BI585" si="1936">IF(BD497="-",BD497,BD497+(BG497*24))</f>
        <v>-</v>
      </c>
      <c r="BJ497" s="85" t="str">
        <f>'Consumer Hardware Pricing'!AP507</f>
        <v>-</v>
      </c>
      <c r="BK497" s="85" t="str">
        <f t="shared" si="1762"/>
        <v>-</v>
      </c>
      <c r="BL497" s="85" t="str">
        <f>'Consumer Hardware Pricing'!AQ507</f>
        <v>-</v>
      </c>
      <c r="BM497" s="85" t="str">
        <f t="shared" si="1922"/>
        <v>-</v>
      </c>
      <c r="BN497" s="85" t="str">
        <f t="shared" si="1923"/>
        <v>-</v>
      </c>
      <c r="BO497" s="85" t="str">
        <f t="shared" ref="BO497:BO585" si="1937">IF(BJ497="-",BJ497,BJ497+(BM497*24))</f>
        <v>-</v>
      </c>
      <c r="BP497" s="85" t="str">
        <f>'Consumer Hardware Pricing'!AT507</f>
        <v>-</v>
      </c>
      <c r="BQ497" s="85" t="str">
        <f t="shared" si="1763"/>
        <v>-</v>
      </c>
      <c r="BR497" s="85" t="str">
        <f>'Consumer Hardware Pricing'!AU507</f>
        <v>-</v>
      </c>
      <c r="BS497" s="85" t="str">
        <f t="shared" si="1924"/>
        <v>-</v>
      </c>
      <c r="BT497" s="85" t="str">
        <f t="shared" si="1925"/>
        <v>-</v>
      </c>
      <c r="BU497" s="85" t="str">
        <f t="shared" ref="BU497:BU585" si="1938">IF(BP497="-",BP497,BP497+(BS497*24))</f>
        <v>-</v>
      </c>
    </row>
    <row r="498" spans="1:73" ht="31.2" customHeight="1" x14ac:dyDescent="0.25">
      <c r="A498" s="87" t="s">
        <v>34</v>
      </c>
      <c r="B498" s="88" t="s">
        <v>553</v>
      </c>
      <c r="C498" s="88" t="s">
        <v>554</v>
      </c>
      <c r="D498" s="85">
        <f>'Consumer Hardware Pricing'!L508</f>
        <v>1125</v>
      </c>
      <c r="E498" s="85">
        <f>'Consumer Hardware Pricing'!M508</f>
        <v>1125</v>
      </c>
      <c r="F498" s="85">
        <f>'Consumer Hardware Pricing'!N508</f>
        <v>0</v>
      </c>
      <c r="G498" s="85">
        <f t="shared" si="1563"/>
        <v>46.879999999999995</v>
      </c>
      <c r="H498" s="85">
        <f>'Consumer Hardware Pricing'!O508</f>
        <v>26.88</v>
      </c>
      <c r="I498" s="85">
        <f t="shared" si="1914"/>
        <v>19.999999999999996</v>
      </c>
      <c r="J498" s="85">
        <f t="shared" si="1926"/>
        <v>645.12</v>
      </c>
      <c r="K498" s="85">
        <f t="shared" si="1927"/>
        <v>479.99999999999989</v>
      </c>
      <c r="L498" s="85" t="str">
        <f>'Consumer Hardware Pricing'!Q508</f>
        <v>-</v>
      </c>
      <c r="M498" s="85" t="str">
        <f t="shared" si="1564"/>
        <v>-</v>
      </c>
      <c r="N498" s="85" t="str">
        <f t="shared" si="1915"/>
        <v>-</v>
      </c>
      <c r="O498" s="85" t="str">
        <f t="shared" si="1916"/>
        <v>-</v>
      </c>
      <c r="P498" s="85" t="str">
        <f t="shared" si="1928"/>
        <v>-</v>
      </c>
      <c r="Q498" s="85">
        <f>'Consumer Hardware Pricing'!S508</f>
        <v>0</v>
      </c>
      <c r="R498" s="85">
        <f t="shared" si="1917"/>
        <v>46.879999999999995</v>
      </c>
      <c r="S498" s="85">
        <f>'Consumer Hardware Pricing'!T508</f>
        <v>26.88</v>
      </c>
      <c r="T498" s="129">
        <f t="shared" si="1929"/>
        <v>19.999999999999996</v>
      </c>
      <c r="U498" s="129">
        <f t="shared" si="1930"/>
        <v>645.12</v>
      </c>
      <c r="V498" s="85">
        <f t="shared" si="1931"/>
        <v>479.99999999999989</v>
      </c>
      <c r="W498" s="129" t="str">
        <f>'Consumer Hardware Pricing'!V508</f>
        <v>-</v>
      </c>
      <c r="X498" s="129" t="str">
        <f t="shared" si="1565"/>
        <v>-</v>
      </c>
      <c r="Y498" s="129" t="str">
        <f t="shared" si="1932"/>
        <v>-</v>
      </c>
      <c r="Z498" s="129" t="str">
        <f t="shared" si="1933"/>
        <v>-</v>
      </c>
      <c r="AA498" s="85" t="str">
        <f t="shared" si="1934"/>
        <v>-</v>
      </c>
      <c r="AB498" s="85">
        <f>'Consumer Hardware Pricing'!X508</f>
        <v>0</v>
      </c>
      <c r="AC498" s="85">
        <f t="shared" si="1756"/>
        <v>46.879999999999995</v>
      </c>
      <c r="AD498" s="85">
        <f>'Consumer Hardware Pricing'!Y508</f>
        <v>26.88</v>
      </c>
      <c r="AE498" s="85">
        <f t="shared" si="1902"/>
        <v>19.999999999999996</v>
      </c>
      <c r="AF498" s="85">
        <f t="shared" si="1903"/>
        <v>645.12</v>
      </c>
      <c r="AG498" s="85">
        <f t="shared" si="1904"/>
        <v>479.99999999999989</v>
      </c>
      <c r="AH498" s="85" t="str">
        <f>'Consumer Hardware Pricing'!AA508</f>
        <v>-</v>
      </c>
      <c r="AI498" s="85" t="str">
        <f t="shared" si="1757"/>
        <v>-</v>
      </c>
      <c r="AJ498" s="85" t="str">
        <f t="shared" si="1905"/>
        <v>-</v>
      </c>
      <c r="AK498" s="85" t="str">
        <f t="shared" si="1906"/>
        <v>-</v>
      </c>
      <c r="AL498" s="85" t="str">
        <f t="shared" si="1907"/>
        <v>-</v>
      </c>
      <c r="AM498" s="85">
        <f>'Consumer Hardware Pricing'!AC508</f>
        <v>0</v>
      </c>
      <c r="AN498" s="85">
        <f t="shared" si="1758"/>
        <v>46.879999999999995</v>
      </c>
      <c r="AO498" s="85">
        <f>'Consumer Hardware Pricing'!AD508</f>
        <v>26.88</v>
      </c>
      <c r="AP498" s="85">
        <f t="shared" si="1908"/>
        <v>19.999999999999996</v>
      </c>
      <c r="AQ498" s="85">
        <f t="shared" si="1909"/>
        <v>645.12</v>
      </c>
      <c r="AR498" s="85">
        <f t="shared" si="1910"/>
        <v>479.99999999999989</v>
      </c>
      <c r="AS498" s="85" t="str">
        <f>'Consumer Hardware Pricing'!AF508</f>
        <v>-</v>
      </c>
      <c r="AT498" s="85" t="str">
        <f t="shared" si="1759"/>
        <v>-</v>
      </c>
      <c r="AU498" s="85" t="str">
        <f t="shared" si="1911"/>
        <v>-</v>
      </c>
      <c r="AV498" s="85" t="str">
        <f t="shared" si="1912"/>
        <v>-</v>
      </c>
      <c r="AW498" s="85" t="str">
        <f t="shared" si="1913"/>
        <v>-</v>
      </c>
      <c r="AX498" s="85" t="str">
        <f>'Consumer Hardware Pricing'!AH508</f>
        <v>-</v>
      </c>
      <c r="AY498" s="85" t="str">
        <f t="shared" si="1760"/>
        <v>-</v>
      </c>
      <c r="AZ498" s="85" t="str">
        <f>'Consumer Hardware Pricing'!AI508</f>
        <v>-</v>
      </c>
      <c r="BA498" s="85" t="str">
        <f t="shared" si="1918"/>
        <v>-</v>
      </c>
      <c r="BB498" s="85" t="str">
        <f t="shared" si="1919"/>
        <v>-</v>
      </c>
      <c r="BC498" s="85" t="str">
        <f t="shared" si="1935"/>
        <v>-</v>
      </c>
      <c r="BD498" s="85" t="str">
        <f>'Consumer Hardware Pricing'!AL508</f>
        <v>-</v>
      </c>
      <c r="BE498" s="85" t="str">
        <f t="shared" si="1761"/>
        <v>-</v>
      </c>
      <c r="BF498" s="85" t="str">
        <f>'Consumer Hardware Pricing'!AM508</f>
        <v>-</v>
      </c>
      <c r="BG498" s="85" t="str">
        <f t="shared" si="1920"/>
        <v>-</v>
      </c>
      <c r="BH498" s="85" t="str">
        <f t="shared" si="1921"/>
        <v>-</v>
      </c>
      <c r="BI498" s="85" t="str">
        <f t="shared" si="1936"/>
        <v>-</v>
      </c>
      <c r="BJ498" s="85" t="str">
        <f>'Consumer Hardware Pricing'!AP508</f>
        <v>-</v>
      </c>
      <c r="BK498" s="85" t="str">
        <f t="shared" si="1762"/>
        <v>-</v>
      </c>
      <c r="BL498" s="85" t="str">
        <f>'Consumer Hardware Pricing'!AQ508</f>
        <v>-</v>
      </c>
      <c r="BM498" s="85" t="str">
        <f t="shared" si="1922"/>
        <v>-</v>
      </c>
      <c r="BN498" s="85" t="str">
        <f t="shared" si="1923"/>
        <v>-</v>
      </c>
      <c r="BO498" s="85" t="str">
        <f t="shared" si="1937"/>
        <v>-</v>
      </c>
      <c r="BP498" s="85" t="str">
        <f>'Consumer Hardware Pricing'!AT508</f>
        <v>-</v>
      </c>
      <c r="BQ498" s="85" t="str">
        <f t="shared" si="1763"/>
        <v>-</v>
      </c>
      <c r="BR498" s="85" t="str">
        <f>'Consumer Hardware Pricing'!AU508</f>
        <v>-</v>
      </c>
      <c r="BS498" s="85" t="str">
        <f t="shared" si="1924"/>
        <v>-</v>
      </c>
      <c r="BT498" s="85" t="str">
        <f t="shared" si="1925"/>
        <v>-</v>
      </c>
      <c r="BU498" s="85" t="str">
        <f t="shared" si="1938"/>
        <v>-</v>
      </c>
    </row>
    <row r="499" spans="1:73" ht="31.2" customHeight="1" x14ac:dyDescent="0.25">
      <c r="A499" s="87" t="s">
        <v>34</v>
      </c>
      <c r="B499" s="88" t="s">
        <v>555</v>
      </c>
      <c r="C499" s="88" t="s">
        <v>554</v>
      </c>
      <c r="D499" s="85">
        <f>'Consumer Hardware Pricing'!L509</f>
        <v>1125</v>
      </c>
      <c r="E499" s="85">
        <f>'Consumer Hardware Pricing'!M509</f>
        <v>1125</v>
      </c>
      <c r="F499" s="85">
        <f>'Consumer Hardware Pricing'!N509</f>
        <v>0</v>
      </c>
      <c r="G499" s="85">
        <f t="shared" si="1563"/>
        <v>46.879999999999995</v>
      </c>
      <c r="H499" s="85">
        <f>'Consumer Hardware Pricing'!O509</f>
        <v>26.88</v>
      </c>
      <c r="I499" s="85">
        <f t="shared" si="1914"/>
        <v>19.999999999999996</v>
      </c>
      <c r="J499" s="85">
        <f t="shared" si="1926"/>
        <v>645.12</v>
      </c>
      <c r="K499" s="85">
        <f t="shared" si="1927"/>
        <v>479.99999999999989</v>
      </c>
      <c r="L499" s="85" t="str">
        <f>'Consumer Hardware Pricing'!Q509</f>
        <v>-</v>
      </c>
      <c r="M499" s="85" t="str">
        <f t="shared" si="1564"/>
        <v>-</v>
      </c>
      <c r="N499" s="85" t="str">
        <f t="shared" si="1915"/>
        <v>-</v>
      </c>
      <c r="O499" s="85" t="str">
        <f t="shared" si="1916"/>
        <v>-</v>
      </c>
      <c r="P499" s="85" t="str">
        <f t="shared" si="1928"/>
        <v>-</v>
      </c>
      <c r="Q499" s="85">
        <f>'Consumer Hardware Pricing'!S509</f>
        <v>0</v>
      </c>
      <c r="R499" s="85">
        <f t="shared" si="1917"/>
        <v>46.879999999999995</v>
      </c>
      <c r="S499" s="85">
        <f>'Consumer Hardware Pricing'!T509</f>
        <v>26.88</v>
      </c>
      <c r="T499" s="129">
        <f t="shared" si="1929"/>
        <v>19.999999999999996</v>
      </c>
      <c r="U499" s="129">
        <f t="shared" si="1930"/>
        <v>645.12</v>
      </c>
      <c r="V499" s="85">
        <f t="shared" si="1931"/>
        <v>479.99999999999989</v>
      </c>
      <c r="W499" s="129" t="str">
        <f>'Consumer Hardware Pricing'!V509</f>
        <v>-</v>
      </c>
      <c r="X499" s="129" t="str">
        <f t="shared" si="1565"/>
        <v>-</v>
      </c>
      <c r="Y499" s="129" t="str">
        <f t="shared" si="1932"/>
        <v>-</v>
      </c>
      <c r="Z499" s="129" t="str">
        <f t="shared" si="1933"/>
        <v>-</v>
      </c>
      <c r="AA499" s="85" t="str">
        <f t="shared" si="1934"/>
        <v>-</v>
      </c>
      <c r="AB499" s="85">
        <f>'Consumer Hardware Pricing'!X509</f>
        <v>0</v>
      </c>
      <c r="AC499" s="85">
        <f t="shared" si="1756"/>
        <v>46.879999999999995</v>
      </c>
      <c r="AD499" s="85">
        <f>'Consumer Hardware Pricing'!Y509</f>
        <v>26.88</v>
      </c>
      <c r="AE499" s="85">
        <f t="shared" si="1902"/>
        <v>19.999999999999996</v>
      </c>
      <c r="AF499" s="85">
        <f t="shared" si="1903"/>
        <v>645.12</v>
      </c>
      <c r="AG499" s="85">
        <f t="shared" si="1904"/>
        <v>479.99999999999989</v>
      </c>
      <c r="AH499" s="85" t="str">
        <f>'Consumer Hardware Pricing'!AA509</f>
        <v>-</v>
      </c>
      <c r="AI499" s="85" t="str">
        <f t="shared" si="1757"/>
        <v>-</v>
      </c>
      <c r="AJ499" s="85" t="str">
        <f t="shared" si="1905"/>
        <v>-</v>
      </c>
      <c r="AK499" s="85" t="str">
        <f t="shared" si="1906"/>
        <v>-</v>
      </c>
      <c r="AL499" s="85" t="str">
        <f t="shared" si="1907"/>
        <v>-</v>
      </c>
      <c r="AM499" s="85">
        <f>'Consumer Hardware Pricing'!AC509</f>
        <v>0</v>
      </c>
      <c r="AN499" s="85">
        <f t="shared" si="1758"/>
        <v>46.879999999999995</v>
      </c>
      <c r="AO499" s="85">
        <f>'Consumer Hardware Pricing'!AD509</f>
        <v>26.88</v>
      </c>
      <c r="AP499" s="85">
        <f t="shared" si="1908"/>
        <v>19.999999999999996</v>
      </c>
      <c r="AQ499" s="85">
        <f t="shared" si="1909"/>
        <v>645.12</v>
      </c>
      <c r="AR499" s="85">
        <f t="shared" si="1910"/>
        <v>479.99999999999989</v>
      </c>
      <c r="AS499" s="85" t="str">
        <f>'Consumer Hardware Pricing'!AF509</f>
        <v>-</v>
      </c>
      <c r="AT499" s="85" t="str">
        <f t="shared" si="1759"/>
        <v>-</v>
      </c>
      <c r="AU499" s="85" t="str">
        <f t="shared" si="1911"/>
        <v>-</v>
      </c>
      <c r="AV499" s="85" t="str">
        <f t="shared" si="1912"/>
        <v>-</v>
      </c>
      <c r="AW499" s="85" t="str">
        <f t="shared" si="1913"/>
        <v>-</v>
      </c>
      <c r="AX499" s="85" t="str">
        <f>'Consumer Hardware Pricing'!AH509</f>
        <v>-</v>
      </c>
      <c r="AY499" s="85" t="str">
        <f t="shared" si="1760"/>
        <v>-</v>
      </c>
      <c r="AZ499" s="85" t="str">
        <f>'Consumer Hardware Pricing'!AI509</f>
        <v>-</v>
      </c>
      <c r="BA499" s="85" t="str">
        <f t="shared" si="1918"/>
        <v>-</v>
      </c>
      <c r="BB499" s="85" t="str">
        <f t="shared" si="1919"/>
        <v>-</v>
      </c>
      <c r="BC499" s="85" t="str">
        <f t="shared" si="1935"/>
        <v>-</v>
      </c>
      <c r="BD499" s="85" t="str">
        <f>'Consumer Hardware Pricing'!AL509</f>
        <v>-</v>
      </c>
      <c r="BE499" s="85" t="str">
        <f t="shared" si="1761"/>
        <v>-</v>
      </c>
      <c r="BF499" s="85" t="str">
        <f>'Consumer Hardware Pricing'!AM509</f>
        <v>-</v>
      </c>
      <c r="BG499" s="85" t="str">
        <f t="shared" si="1920"/>
        <v>-</v>
      </c>
      <c r="BH499" s="85" t="str">
        <f t="shared" si="1921"/>
        <v>-</v>
      </c>
      <c r="BI499" s="85" t="str">
        <f t="shared" si="1936"/>
        <v>-</v>
      </c>
      <c r="BJ499" s="85" t="str">
        <f>'Consumer Hardware Pricing'!AP509</f>
        <v>-</v>
      </c>
      <c r="BK499" s="85" t="str">
        <f t="shared" si="1762"/>
        <v>-</v>
      </c>
      <c r="BL499" s="85" t="str">
        <f>'Consumer Hardware Pricing'!AQ509</f>
        <v>-</v>
      </c>
      <c r="BM499" s="85" t="str">
        <f t="shared" si="1922"/>
        <v>-</v>
      </c>
      <c r="BN499" s="85" t="str">
        <f t="shared" si="1923"/>
        <v>-</v>
      </c>
      <c r="BO499" s="85" t="str">
        <f t="shared" si="1937"/>
        <v>-</v>
      </c>
      <c r="BP499" s="85" t="str">
        <f>'Consumer Hardware Pricing'!AT509</f>
        <v>-</v>
      </c>
      <c r="BQ499" s="85" t="str">
        <f t="shared" si="1763"/>
        <v>-</v>
      </c>
      <c r="BR499" s="85" t="str">
        <f>'Consumer Hardware Pricing'!AU509</f>
        <v>-</v>
      </c>
      <c r="BS499" s="85" t="str">
        <f t="shared" si="1924"/>
        <v>-</v>
      </c>
      <c r="BT499" s="85" t="str">
        <f t="shared" si="1925"/>
        <v>-</v>
      </c>
      <c r="BU499" s="85" t="str">
        <f t="shared" si="1938"/>
        <v>-</v>
      </c>
    </row>
    <row r="500" spans="1:73" ht="31.2" customHeight="1" x14ac:dyDescent="0.25">
      <c r="A500" s="87" t="s">
        <v>34</v>
      </c>
      <c r="B500" s="88" t="s">
        <v>556</v>
      </c>
      <c r="C500" s="88" t="s">
        <v>554</v>
      </c>
      <c r="D500" s="85">
        <f>'Consumer Hardware Pricing'!L510</f>
        <v>1125</v>
      </c>
      <c r="E500" s="85">
        <f>'Consumer Hardware Pricing'!M510</f>
        <v>1125</v>
      </c>
      <c r="F500" s="85">
        <f>'Consumer Hardware Pricing'!N510</f>
        <v>0</v>
      </c>
      <c r="G500" s="85">
        <f t="shared" si="1563"/>
        <v>46.879999999999995</v>
      </c>
      <c r="H500" s="85">
        <f>'Consumer Hardware Pricing'!O510</f>
        <v>26.88</v>
      </c>
      <c r="I500" s="85">
        <f t="shared" si="1914"/>
        <v>19.999999999999996</v>
      </c>
      <c r="J500" s="85">
        <f t="shared" si="1926"/>
        <v>645.12</v>
      </c>
      <c r="K500" s="85">
        <f t="shared" si="1927"/>
        <v>479.99999999999989</v>
      </c>
      <c r="L500" s="85" t="str">
        <f>'Consumer Hardware Pricing'!Q510</f>
        <v>-</v>
      </c>
      <c r="M500" s="85" t="str">
        <f t="shared" si="1564"/>
        <v>-</v>
      </c>
      <c r="N500" s="85" t="str">
        <f t="shared" si="1915"/>
        <v>-</v>
      </c>
      <c r="O500" s="85" t="str">
        <f t="shared" si="1916"/>
        <v>-</v>
      </c>
      <c r="P500" s="85" t="str">
        <f t="shared" si="1928"/>
        <v>-</v>
      </c>
      <c r="Q500" s="85">
        <f>'Consumer Hardware Pricing'!S510</f>
        <v>0</v>
      </c>
      <c r="R500" s="85">
        <f t="shared" si="1917"/>
        <v>46.879999999999995</v>
      </c>
      <c r="S500" s="85">
        <f>'Consumer Hardware Pricing'!T510</f>
        <v>26.88</v>
      </c>
      <c r="T500" s="129">
        <f t="shared" si="1929"/>
        <v>19.999999999999996</v>
      </c>
      <c r="U500" s="129">
        <f t="shared" si="1930"/>
        <v>645.12</v>
      </c>
      <c r="V500" s="85">
        <f t="shared" si="1931"/>
        <v>479.99999999999989</v>
      </c>
      <c r="W500" s="129" t="str">
        <f>'Consumer Hardware Pricing'!V510</f>
        <v>-</v>
      </c>
      <c r="X500" s="129" t="str">
        <f t="shared" si="1565"/>
        <v>-</v>
      </c>
      <c r="Y500" s="129" t="str">
        <f t="shared" si="1932"/>
        <v>-</v>
      </c>
      <c r="Z500" s="129" t="str">
        <f t="shared" si="1933"/>
        <v>-</v>
      </c>
      <c r="AA500" s="85" t="str">
        <f t="shared" si="1934"/>
        <v>-</v>
      </c>
      <c r="AB500" s="85">
        <f>'Consumer Hardware Pricing'!X510</f>
        <v>0</v>
      </c>
      <c r="AC500" s="85">
        <f t="shared" si="1756"/>
        <v>46.879999999999995</v>
      </c>
      <c r="AD500" s="85">
        <f>'Consumer Hardware Pricing'!Y510</f>
        <v>26.88</v>
      </c>
      <c r="AE500" s="85">
        <f t="shared" si="1902"/>
        <v>19.999999999999996</v>
      </c>
      <c r="AF500" s="85">
        <f t="shared" si="1903"/>
        <v>645.12</v>
      </c>
      <c r="AG500" s="85">
        <f t="shared" si="1904"/>
        <v>479.99999999999989</v>
      </c>
      <c r="AH500" s="85" t="str">
        <f>'Consumer Hardware Pricing'!AA510</f>
        <v>-</v>
      </c>
      <c r="AI500" s="85" t="str">
        <f t="shared" si="1757"/>
        <v>-</v>
      </c>
      <c r="AJ500" s="85" t="str">
        <f t="shared" si="1905"/>
        <v>-</v>
      </c>
      <c r="AK500" s="85" t="str">
        <f t="shared" si="1906"/>
        <v>-</v>
      </c>
      <c r="AL500" s="85" t="str">
        <f t="shared" si="1907"/>
        <v>-</v>
      </c>
      <c r="AM500" s="85">
        <f>'Consumer Hardware Pricing'!AC510</f>
        <v>0</v>
      </c>
      <c r="AN500" s="85">
        <f t="shared" si="1758"/>
        <v>46.879999999999995</v>
      </c>
      <c r="AO500" s="85">
        <f>'Consumer Hardware Pricing'!AD510</f>
        <v>26.88</v>
      </c>
      <c r="AP500" s="85">
        <f t="shared" si="1908"/>
        <v>19.999999999999996</v>
      </c>
      <c r="AQ500" s="85">
        <f t="shared" si="1909"/>
        <v>645.12</v>
      </c>
      <c r="AR500" s="85">
        <f t="shared" si="1910"/>
        <v>479.99999999999989</v>
      </c>
      <c r="AS500" s="85" t="str">
        <f>'Consumer Hardware Pricing'!AF510</f>
        <v>-</v>
      </c>
      <c r="AT500" s="85" t="str">
        <f t="shared" si="1759"/>
        <v>-</v>
      </c>
      <c r="AU500" s="85" t="str">
        <f t="shared" si="1911"/>
        <v>-</v>
      </c>
      <c r="AV500" s="85" t="str">
        <f t="shared" si="1912"/>
        <v>-</v>
      </c>
      <c r="AW500" s="85" t="str">
        <f t="shared" si="1913"/>
        <v>-</v>
      </c>
      <c r="AX500" s="85" t="str">
        <f>'Consumer Hardware Pricing'!AH510</f>
        <v>-</v>
      </c>
      <c r="AY500" s="85" t="str">
        <f t="shared" si="1760"/>
        <v>-</v>
      </c>
      <c r="AZ500" s="85" t="str">
        <f>'Consumer Hardware Pricing'!AI510</f>
        <v>-</v>
      </c>
      <c r="BA500" s="85" t="str">
        <f t="shared" si="1918"/>
        <v>-</v>
      </c>
      <c r="BB500" s="85" t="str">
        <f t="shared" si="1919"/>
        <v>-</v>
      </c>
      <c r="BC500" s="85" t="str">
        <f t="shared" si="1935"/>
        <v>-</v>
      </c>
      <c r="BD500" s="85" t="str">
        <f>'Consumer Hardware Pricing'!AL510</f>
        <v>-</v>
      </c>
      <c r="BE500" s="85" t="str">
        <f t="shared" si="1761"/>
        <v>-</v>
      </c>
      <c r="BF500" s="85" t="str">
        <f>'Consumer Hardware Pricing'!AM510</f>
        <v>-</v>
      </c>
      <c r="BG500" s="85" t="str">
        <f t="shared" si="1920"/>
        <v>-</v>
      </c>
      <c r="BH500" s="85" t="str">
        <f t="shared" si="1921"/>
        <v>-</v>
      </c>
      <c r="BI500" s="85" t="str">
        <f t="shared" si="1936"/>
        <v>-</v>
      </c>
      <c r="BJ500" s="85" t="str">
        <f>'Consumer Hardware Pricing'!AP510</f>
        <v>-</v>
      </c>
      <c r="BK500" s="85" t="str">
        <f t="shared" si="1762"/>
        <v>-</v>
      </c>
      <c r="BL500" s="85" t="str">
        <f>'Consumer Hardware Pricing'!AQ510</f>
        <v>-</v>
      </c>
      <c r="BM500" s="85" t="str">
        <f t="shared" si="1922"/>
        <v>-</v>
      </c>
      <c r="BN500" s="85" t="str">
        <f t="shared" si="1923"/>
        <v>-</v>
      </c>
      <c r="BO500" s="85" t="str">
        <f t="shared" si="1937"/>
        <v>-</v>
      </c>
      <c r="BP500" s="85" t="str">
        <f>'Consumer Hardware Pricing'!AT510</f>
        <v>-</v>
      </c>
      <c r="BQ500" s="85" t="str">
        <f t="shared" si="1763"/>
        <v>-</v>
      </c>
      <c r="BR500" s="85" t="str">
        <f>'Consumer Hardware Pricing'!AU510</f>
        <v>-</v>
      </c>
      <c r="BS500" s="85" t="str">
        <f t="shared" si="1924"/>
        <v>-</v>
      </c>
      <c r="BT500" s="85" t="str">
        <f t="shared" si="1925"/>
        <v>-</v>
      </c>
      <c r="BU500" s="85" t="str">
        <f t="shared" si="1938"/>
        <v>-</v>
      </c>
    </row>
    <row r="501" spans="1:73" ht="31.2" customHeight="1" x14ac:dyDescent="0.25">
      <c r="A501" s="87" t="s">
        <v>34</v>
      </c>
      <c r="B501" s="88" t="s">
        <v>561</v>
      </c>
      <c r="C501" s="88" t="s">
        <v>562</v>
      </c>
      <c r="D501" s="85">
        <f>'Consumer Hardware Pricing'!L511</f>
        <v>1575</v>
      </c>
      <c r="E501" s="85">
        <f>'Consumer Hardware Pricing'!M511</f>
        <v>1575</v>
      </c>
      <c r="F501" s="85">
        <f>'Consumer Hardware Pricing'!N511</f>
        <v>0</v>
      </c>
      <c r="G501" s="85">
        <f t="shared" ref="G501:G585" si="1939">IF(F501="-","-",ROUNDUP(D501/24,2))</f>
        <v>65.63000000000001</v>
      </c>
      <c r="H501" s="85">
        <f>'Consumer Hardware Pricing'!O511</f>
        <v>18.55</v>
      </c>
      <c r="I501" s="85">
        <f t="shared" si="1914"/>
        <v>47.080000000000013</v>
      </c>
      <c r="J501" s="85">
        <f t="shared" si="1926"/>
        <v>445.20000000000005</v>
      </c>
      <c r="K501" s="85">
        <f t="shared" si="1927"/>
        <v>1129.9200000000003</v>
      </c>
      <c r="L501" s="85" t="str">
        <f>'Consumer Hardware Pricing'!Q511</f>
        <v>-</v>
      </c>
      <c r="M501" s="85" t="str">
        <f t="shared" ref="M501:M585" si="1940">IF(L501="-",L501,IF(H501="-",G501-ROUNDUP((D501-L501)/24,2),H501+G501-ROUNDUP((D501-L501)/24,2)))</f>
        <v>-</v>
      </c>
      <c r="N501" s="85" t="str">
        <f t="shared" si="1915"/>
        <v>-</v>
      </c>
      <c r="O501" s="85" t="str">
        <f t="shared" si="1916"/>
        <v>-</v>
      </c>
      <c r="P501" s="85" t="str">
        <f t="shared" si="1928"/>
        <v>-</v>
      </c>
      <c r="Q501" s="85">
        <f>'Consumer Hardware Pricing'!S511</f>
        <v>0</v>
      </c>
      <c r="R501" s="85">
        <f t="shared" si="1917"/>
        <v>65.63000000000001</v>
      </c>
      <c r="S501" s="85">
        <f>'Consumer Hardware Pricing'!T511</f>
        <v>18.55</v>
      </c>
      <c r="T501" s="129">
        <f t="shared" si="1929"/>
        <v>47.080000000000013</v>
      </c>
      <c r="U501" s="129">
        <f t="shared" si="1930"/>
        <v>445.20000000000005</v>
      </c>
      <c r="V501" s="85">
        <f t="shared" si="1931"/>
        <v>1129.9200000000003</v>
      </c>
      <c r="W501" s="129" t="str">
        <f>'Consumer Hardware Pricing'!V511</f>
        <v>-</v>
      </c>
      <c r="X501" s="129" t="str">
        <f t="shared" ref="X501:X585" si="1941">IF(W501="-",W501,IF(S501="-",R501-ROUNDUP((D501-W501)/24,2),S501+R501-ROUNDUP((D501-W501)/24,2)))</f>
        <v>-</v>
      </c>
      <c r="Y501" s="129" t="str">
        <f t="shared" si="1932"/>
        <v>-</v>
      </c>
      <c r="Z501" s="129" t="str">
        <f t="shared" si="1933"/>
        <v>-</v>
      </c>
      <c r="AA501" s="85" t="str">
        <f t="shared" si="1934"/>
        <v>-</v>
      </c>
      <c r="AB501" s="85">
        <f>'Consumer Hardware Pricing'!X511</f>
        <v>0</v>
      </c>
      <c r="AC501" s="85">
        <f t="shared" si="1756"/>
        <v>65.63000000000001</v>
      </c>
      <c r="AD501" s="85">
        <f>'Consumer Hardware Pricing'!Y511</f>
        <v>35.629999999999995</v>
      </c>
      <c r="AE501" s="85">
        <f t="shared" si="1902"/>
        <v>30.000000000000014</v>
      </c>
      <c r="AF501" s="85">
        <f t="shared" si="1903"/>
        <v>855.11999999999989</v>
      </c>
      <c r="AG501" s="85">
        <f t="shared" si="1904"/>
        <v>720.00000000000034</v>
      </c>
      <c r="AH501" s="85" t="str">
        <f>'Consumer Hardware Pricing'!AA511</f>
        <v>-</v>
      </c>
      <c r="AI501" s="85" t="str">
        <f t="shared" si="1757"/>
        <v>-</v>
      </c>
      <c r="AJ501" s="85" t="str">
        <f t="shared" si="1905"/>
        <v>-</v>
      </c>
      <c r="AK501" s="85" t="str">
        <f t="shared" si="1906"/>
        <v>-</v>
      </c>
      <c r="AL501" s="85" t="str">
        <f t="shared" si="1907"/>
        <v>-</v>
      </c>
      <c r="AM501" s="85">
        <f>'Consumer Hardware Pricing'!AC511</f>
        <v>0</v>
      </c>
      <c r="AN501" s="85">
        <f t="shared" si="1758"/>
        <v>65.63000000000001</v>
      </c>
      <c r="AO501" s="85">
        <f>'Consumer Hardware Pricing'!AD511</f>
        <v>35.629999999999995</v>
      </c>
      <c r="AP501" s="85">
        <f t="shared" si="1908"/>
        <v>30.000000000000014</v>
      </c>
      <c r="AQ501" s="85">
        <f t="shared" si="1909"/>
        <v>855.11999999999989</v>
      </c>
      <c r="AR501" s="85">
        <f t="shared" si="1910"/>
        <v>720.00000000000034</v>
      </c>
      <c r="AS501" s="85" t="str">
        <f>'Consumer Hardware Pricing'!AF511</f>
        <v>-</v>
      </c>
      <c r="AT501" s="85" t="str">
        <f t="shared" si="1759"/>
        <v>-</v>
      </c>
      <c r="AU501" s="85" t="str">
        <f t="shared" si="1911"/>
        <v>-</v>
      </c>
      <c r="AV501" s="85" t="str">
        <f t="shared" si="1912"/>
        <v>-</v>
      </c>
      <c r="AW501" s="85" t="str">
        <f t="shared" si="1913"/>
        <v>-</v>
      </c>
      <c r="AX501" s="85" t="str">
        <f>'Consumer Hardware Pricing'!AH511</f>
        <v>-</v>
      </c>
      <c r="AY501" s="85" t="str">
        <f t="shared" si="1760"/>
        <v>-</v>
      </c>
      <c r="AZ501" s="85" t="str">
        <f>'Consumer Hardware Pricing'!AI511</f>
        <v>-</v>
      </c>
      <c r="BA501" s="85" t="str">
        <f t="shared" si="1918"/>
        <v>-</v>
      </c>
      <c r="BB501" s="85" t="str">
        <f t="shared" si="1919"/>
        <v>-</v>
      </c>
      <c r="BC501" s="85" t="str">
        <f t="shared" si="1935"/>
        <v>-</v>
      </c>
      <c r="BD501" s="85" t="str">
        <f>'Consumer Hardware Pricing'!AL511</f>
        <v>-</v>
      </c>
      <c r="BE501" s="85" t="str">
        <f t="shared" si="1761"/>
        <v>-</v>
      </c>
      <c r="BF501" s="85" t="str">
        <f>'Consumer Hardware Pricing'!AM511</f>
        <v>-</v>
      </c>
      <c r="BG501" s="85" t="str">
        <f t="shared" si="1920"/>
        <v>-</v>
      </c>
      <c r="BH501" s="85" t="str">
        <f t="shared" si="1921"/>
        <v>-</v>
      </c>
      <c r="BI501" s="85" t="str">
        <f t="shared" si="1936"/>
        <v>-</v>
      </c>
      <c r="BJ501" s="85" t="str">
        <f>'Consumer Hardware Pricing'!AP511</f>
        <v>-</v>
      </c>
      <c r="BK501" s="85" t="str">
        <f t="shared" si="1762"/>
        <v>-</v>
      </c>
      <c r="BL501" s="85" t="str">
        <f>'Consumer Hardware Pricing'!AQ511</f>
        <v>-</v>
      </c>
      <c r="BM501" s="85" t="str">
        <f t="shared" si="1922"/>
        <v>-</v>
      </c>
      <c r="BN501" s="85" t="str">
        <f t="shared" si="1923"/>
        <v>-</v>
      </c>
      <c r="BO501" s="85" t="str">
        <f t="shared" si="1937"/>
        <v>-</v>
      </c>
      <c r="BP501" s="85" t="str">
        <f>'Consumer Hardware Pricing'!AT511</f>
        <v>-</v>
      </c>
      <c r="BQ501" s="85" t="str">
        <f t="shared" si="1763"/>
        <v>-</v>
      </c>
      <c r="BR501" s="85" t="str">
        <f>'Consumer Hardware Pricing'!AU511</f>
        <v>-</v>
      </c>
      <c r="BS501" s="85" t="str">
        <f t="shared" si="1924"/>
        <v>-</v>
      </c>
      <c r="BT501" s="85" t="str">
        <f t="shared" si="1925"/>
        <v>-</v>
      </c>
      <c r="BU501" s="85" t="str">
        <f t="shared" si="1938"/>
        <v>-</v>
      </c>
    </row>
    <row r="502" spans="1:73" ht="31.2" customHeight="1" x14ac:dyDescent="0.25">
      <c r="A502" s="87" t="s">
        <v>34</v>
      </c>
      <c r="B502" s="88" t="s">
        <v>563</v>
      </c>
      <c r="C502" s="88" t="s">
        <v>562</v>
      </c>
      <c r="D502" s="85">
        <f>'Consumer Hardware Pricing'!L512</f>
        <v>1575</v>
      </c>
      <c r="E502" s="85">
        <f>'Consumer Hardware Pricing'!M512</f>
        <v>1575</v>
      </c>
      <c r="F502" s="85">
        <f>'Consumer Hardware Pricing'!N512</f>
        <v>0</v>
      </c>
      <c r="G502" s="85">
        <f t="shared" si="1939"/>
        <v>65.63000000000001</v>
      </c>
      <c r="H502" s="85">
        <f>'Consumer Hardware Pricing'!O512</f>
        <v>18.55</v>
      </c>
      <c r="I502" s="85">
        <f t="shared" si="1914"/>
        <v>47.080000000000013</v>
      </c>
      <c r="J502" s="85">
        <f t="shared" si="1926"/>
        <v>445.20000000000005</v>
      </c>
      <c r="K502" s="85">
        <f t="shared" si="1927"/>
        <v>1129.9200000000003</v>
      </c>
      <c r="L502" s="85" t="str">
        <f>'Consumer Hardware Pricing'!Q512</f>
        <v>-</v>
      </c>
      <c r="M502" s="85" t="str">
        <f t="shared" si="1940"/>
        <v>-</v>
      </c>
      <c r="N502" s="85" t="str">
        <f t="shared" si="1915"/>
        <v>-</v>
      </c>
      <c r="O502" s="85" t="str">
        <f t="shared" si="1916"/>
        <v>-</v>
      </c>
      <c r="P502" s="85" t="str">
        <f t="shared" si="1928"/>
        <v>-</v>
      </c>
      <c r="Q502" s="85">
        <f>'Consumer Hardware Pricing'!S512</f>
        <v>0</v>
      </c>
      <c r="R502" s="85">
        <f t="shared" si="1917"/>
        <v>65.63000000000001</v>
      </c>
      <c r="S502" s="85">
        <f>'Consumer Hardware Pricing'!T512</f>
        <v>18.55</v>
      </c>
      <c r="T502" s="129">
        <f t="shared" si="1929"/>
        <v>47.080000000000013</v>
      </c>
      <c r="U502" s="129">
        <f t="shared" si="1930"/>
        <v>445.20000000000005</v>
      </c>
      <c r="V502" s="85">
        <f t="shared" si="1931"/>
        <v>1129.9200000000003</v>
      </c>
      <c r="W502" s="129" t="str">
        <f>'Consumer Hardware Pricing'!V512</f>
        <v>-</v>
      </c>
      <c r="X502" s="129" t="str">
        <f t="shared" si="1941"/>
        <v>-</v>
      </c>
      <c r="Y502" s="129" t="str">
        <f t="shared" si="1932"/>
        <v>-</v>
      </c>
      <c r="Z502" s="129" t="str">
        <f t="shared" si="1933"/>
        <v>-</v>
      </c>
      <c r="AA502" s="85" t="str">
        <f t="shared" si="1934"/>
        <v>-</v>
      </c>
      <c r="AB502" s="85">
        <f>'Consumer Hardware Pricing'!X512</f>
        <v>0</v>
      </c>
      <c r="AC502" s="85">
        <f t="shared" si="1756"/>
        <v>65.63000000000001</v>
      </c>
      <c r="AD502" s="85">
        <f>'Consumer Hardware Pricing'!Y512</f>
        <v>35.629999999999995</v>
      </c>
      <c r="AE502" s="85">
        <f t="shared" si="1902"/>
        <v>30.000000000000014</v>
      </c>
      <c r="AF502" s="85">
        <f t="shared" si="1903"/>
        <v>855.11999999999989</v>
      </c>
      <c r="AG502" s="85">
        <f t="shared" si="1904"/>
        <v>720.00000000000034</v>
      </c>
      <c r="AH502" s="85" t="str">
        <f>'Consumer Hardware Pricing'!AA512</f>
        <v>-</v>
      </c>
      <c r="AI502" s="85" t="str">
        <f t="shared" si="1757"/>
        <v>-</v>
      </c>
      <c r="AJ502" s="85" t="str">
        <f t="shared" si="1905"/>
        <v>-</v>
      </c>
      <c r="AK502" s="85" t="str">
        <f t="shared" si="1906"/>
        <v>-</v>
      </c>
      <c r="AL502" s="85" t="str">
        <f t="shared" si="1907"/>
        <v>-</v>
      </c>
      <c r="AM502" s="85">
        <f>'Consumer Hardware Pricing'!AC512</f>
        <v>0</v>
      </c>
      <c r="AN502" s="85">
        <f t="shared" si="1758"/>
        <v>65.63000000000001</v>
      </c>
      <c r="AO502" s="85">
        <f>'Consumer Hardware Pricing'!AD512</f>
        <v>35.629999999999995</v>
      </c>
      <c r="AP502" s="85">
        <f t="shared" si="1908"/>
        <v>30.000000000000014</v>
      </c>
      <c r="AQ502" s="85">
        <f t="shared" si="1909"/>
        <v>855.11999999999989</v>
      </c>
      <c r="AR502" s="85">
        <f t="shared" si="1910"/>
        <v>720.00000000000034</v>
      </c>
      <c r="AS502" s="85" t="str">
        <f>'Consumer Hardware Pricing'!AF512</f>
        <v>-</v>
      </c>
      <c r="AT502" s="85" t="str">
        <f t="shared" si="1759"/>
        <v>-</v>
      </c>
      <c r="AU502" s="85" t="str">
        <f t="shared" si="1911"/>
        <v>-</v>
      </c>
      <c r="AV502" s="85" t="str">
        <f t="shared" si="1912"/>
        <v>-</v>
      </c>
      <c r="AW502" s="85" t="str">
        <f t="shared" si="1913"/>
        <v>-</v>
      </c>
      <c r="AX502" s="85" t="str">
        <f>'Consumer Hardware Pricing'!AH512</f>
        <v>-</v>
      </c>
      <c r="AY502" s="85" t="str">
        <f t="shared" si="1760"/>
        <v>-</v>
      </c>
      <c r="AZ502" s="85" t="str">
        <f>'Consumer Hardware Pricing'!AI512</f>
        <v>-</v>
      </c>
      <c r="BA502" s="85" t="str">
        <f t="shared" si="1918"/>
        <v>-</v>
      </c>
      <c r="BB502" s="85" t="str">
        <f t="shared" si="1919"/>
        <v>-</v>
      </c>
      <c r="BC502" s="85" t="str">
        <f t="shared" si="1935"/>
        <v>-</v>
      </c>
      <c r="BD502" s="85" t="str">
        <f>'Consumer Hardware Pricing'!AL512</f>
        <v>-</v>
      </c>
      <c r="BE502" s="85" t="str">
        <f t="shared" si="1761"/>
        <v>-</v>
      </c>
      <c r="BF502" s="85" t="str">
        <f>'Consumer Hardware Pricing'!AM512</f>
        <v>-</v>
      </c>
      <c r="BG502" s="85" t="str">
        <f t="shared" si="1920"/>
        <v>-</v>
      </c>
      <c r="BH502" s="85" t="str">
        <f t="shared" si="1921"/>
        <v>-</v>
      </c>
      <c r="BI502" s="85" t="str">
        <f t="shared" si="1936"/>
        <v>-</v>
      </c>
      <c r="BJ502" s="85" t="str">
        <f>'Consumer Hardware Pricing'!AP512</f>
        <v>-</v>
      </c>
      <c r="BK502" s="85" t="str">
        <f t="shared" si="1762"/>
        <v>-</v>
      </c>
      <c r="BL502" s="85" t="str">
        <f>'Consumer Hardware Pricing'!AQ512</f>
        <v>-</v>
      </c>
      <c r="BM502" s="85" t="str">
        <f t="shared" si="1922"/>
        <v>-</v>
      </c>
      <c r="BN502" s="85" t="str">
        <f t="shared" si="1923"/>
        <v>-</v>
      </c>
      <c r="BO502" s="85" t="str">
        <f t="shared" si="1937"/>
        <v>-</v>
      </c>
      <c r="BP502" s="85" t="str">
        <f>'Consumer Hardware Pricing'!AT512</f>
        <v>-</v>
      </c>
      <c r="BQ502" s="85" t="str">
        <f t="shared" si="1763"/>
        <v>-</v>
      </c>
      <c r="BR502" s="85" t="str">
        <f>'Consumer Hardware Pricing'!AU512</f>
        <v>-</v>
      </c>
      <c r="BS502" s="85" t="str">
        <f t="shared" si="1924"/>
        <v>-</v>
      </c>
      <c r="BT502" s="85" t="str">
        <f t="shared" si="1925"/>
        <v>-</v>
      </c>
      <c r="BU502" s="85" t="str">
        <f t="shared" si="1938"/>
        <v>-</v>
      </c>
    </row>
    <row r="503" spans="1:73" ht="30" x14ac:dyDescent="0.25">
      <c r="A503" s="87" t="s">
        <v>34</v>
      </c>
      <c r="B503" s="88" t="s">
        <v>564</v>
      </c>
      <c r="C503" s="88" t="s">
        <v>562</v>
      </c>
      <c r="D503" s="85">
        <f>'Consumer Hardware Pricing'!L513</f>
        <v>1575</v>
      </c>
      <c r="E503" s="85">
        <f>'Consumer Hardware Pricing'!M513</f>
        <v>1575</v>
      </c>
      <c r="F503" s="85">
        <f>'Consumer Hardware Pricing'!N513</f>
        <v>0</v>
      </c>
      <c r="G503" s="85">
        <f t="shared" si="1939"/>
        <v>65.63000000000001</v>
      </c>
      <c r="H503" s="85">
        <f>'Consumer Hardware Pricing'!O513</f>
        <v>18.55</v>
      </c>
      <c r="I503" s="85">
        <f t="shared" si="1914"/>
        <v>47.080000000000013</v>
      </c>
      <c r="J503" s="85">
        <f t="shared" si="1926"/>
        <v>445.20000000000005</v>
      </c>
      <c r="K503" s="85">
        <f t="shared" si="1927"/>
        <v>1129.9200000000003</v>
      </c>
      <c r="L503" s="85" t="str">
        <f>'Consumer Hardware Pricing'!Q513</f>
        <v>-</v>
      </c>
      <c r="M503" s="85" t="str">
        <f t="shared" si="1940"/>
        <v>-</v>
      </c>
      <c r="N503" s="85" t="str">
        <f t="shared" si="1915"/>
        <v>-</v>
      </c>
      <c r="O503" s="85" t="str">
        <f t="shared" si="1916"/>
        <v>-</v>
      </c>
      <c r="P503" s="85" t="str">
        <f t="shared" si="1928"/>
        <v>-</v>
      </c>
      <c r="Q503" s="85">
        <f>'Consumer Hardware Pricing'!S513</f>
        <v>0</v>
      </c>
      <c r="R503" s="85">
        <f t="shared" si="1917"/>
        <v>65.63000000000001</v>
      </c>
      <c r="S503" s="85">
        <f>'Consumer Hardware Pricing'!T513</f>
        <v>18.55</v>
      </c>
      <c r="T503" s="129">
        <f t="shared" si="1929"/>
        <v>47.080000000000013</v>
      </c>
      <c r="U503" s="129">
        <f t="shared" si="1930"/>
        <v>445.20000000000005</v>
      </c>
      <c r="V503" s="85">
        <f t="shared" si="1931"/>
        <v>1129.9200000000003</v>
      </c>
      <c r="W503" s="129" t="str">
        <f>'Consumer Hardware Pricing'!V513</f>
        <v>-</v>
      </c>
      <c r="X503" s="129" t="str">
        <f t="shared" si="1941"/>
        <v>-</v>
      </c>
      <c r="Y503" s="129" t="str">
        <f t="shared" si="1932"/>
        <v>-</v>
      </c>
      <c r="Z503" s="129" t="str">
        <f t="shared" si="1933"/>
        <v>-</v>
      </c>
      <c r="AA503" s="85" t="str">
        <f t="shared" si="1934"/>
        <v>-</v>
      </c>
      <c r="AB503" s="85">
        <f>'Consumer Hardware Pricing'!X513</f>
        <v>0</v>
      </c>
      <c r="AC503" s="85">
        <f t="shared" si="1756"/>
        <v>65.63000000000001</v>
      </c>
      <c r="AD503" s="85">
        <f>'Consumer Hardware Pricing'!Y513</f>
        <v>35.629999999999995</v>
      </c>
      <c r="AE503" s="85">
        <f t="shared" si="1902"/>
        <v>30.000000000000014</v>
      </c>
      <c r="AF503" s="85">
        <f t="shared" si="1903"/>
        <v>855.11999999999989</v>
      </c>
      <c r="AG503" s="85">
        <f t="shared" si="1904"/>
        <v>720.00000000000034</v>
      </c>
      <c r="AH503" s="85" t="str">
        <f>'Consumer Hardware Pricing'!AA513</f>
        <v>-</v>
      </c>
      <c r="AI503" s="85" t="str">
        <f t="shared" si="1757"/>
        <v>-</v>
      </c>
      <c r="AJ503" s="85" t="str">
        <f t="shared" si="1905"/>
        <v>-</v>
      </c>
      <c r="AK503" s="85" t="str">
        <f t="shared" si="1906"/>
        <v>-</v>
      </c>
      <c r="AL503" s="85" t="str">
        <f t="shared" si="1907"/>
        <v>-</v>
      </c>
      <c r="AM503" s="85">
        <f>'Consumer Hardware Pricing'!AC513</f>
        <v>0</v>
      </c>
      <c r="AN503" s="85">
        <f t="shared" si="1758"/>
        <v>65.63000000000001</v>
      </c>
      <c r="AO503" s="85">
        <f>'Consumer Hardware Pricing'!AD513</f>
        <v>35.629999999999995</v>
      </c>
      <c r="AP503" s="85">
        <f t="shared" si="1908"/>
        <v>30.000000000000014</v>
      </c>
      <c r="AQ503" s="85">
        <f t="shared" si="1909"/>
        <v>855.11999999999989</v>
      </c>
      <c r="AR503" s="85">
        <f t="shared" si="1910"/>
        <v>720.00000000000034</v>
      </c>
      <c r="AS503" s="85" t="str">
        <f>'Consumer Hardware Pricing'!AF513</f>
        <v>-</v>
      </c>
      <c r="AT503" s="85" t="str">
        <f t="shared" si="1759"/>
        <v>-</v>
      </c>
      <c r="AU503" s="85" t="str">
        <f t="shared" si="1911"/>
        <v>-</v>
      </c>
      <c r="AV503" s="85" t="str">
        <f t="shared" si="1912"/>
        <v>-</v>
      </c>
      <c r="AW503" s="85" t="str">
        <f t="shared" si="1913"/>
        <v>-</v>
      </c>
      <c r="AX503" s="85" t="str">
        <f>'Consumer Hardware Pricing'!AH513</f>
        <v>-</v>
      </c>
      <c r="AY503" s="85" t="str">
        <f t="shared" si="1760"/>
        <v>-</v>
      </c>
      <c r="AZ503" s="85" t="str">
        <f>'Consumer Hardware Pricing'!AI513</f>
        <v>-</v>
      </c>
      <c r="BA503" s="85" t="str">
        <f t="shared" si="1918"/>
        <v>-</v>
      </c>
      <c r="BB503" s="85" t="str">
        <f t="shared" si="1919"/>
        <v>-</v>
      </c>
      <c r="BC503" s="85" t="str">
        <f t="shared" si="1935"/>
        <v>-</v>
      </c>
      <c r="BD503" s="85" t="str">
        <f>'Consumer Hardware Pricing'!AL513</f>
        <v>-</v>
      </c>
      <c r="BE503" s="85" t="str">
        <f t="shared" si="1761"/>
        <v>-</v>
      </c>
      <c r="BF503" s="85" t="str">
        <f>'Consumer Hardware Pricing'!AM513</f>
        <v>-</v>
      </c>
      <c r="BG503" s="85" t="str">
        <f t="shared" si="1920"/>
        <v>-</v>
      </c>
      <c r="BH503" s="85" t="str">
        <f t="shared" si="1921"/>
        <v>-</v>
      </c>
      <c r="BI503" s="85" t="str">
        <f t="shared" si="1936"/>
        <v>-</v>
      </c>
      <c r="BJ503" s="85" t="str">
        <f>'Consumer Hardware Pricing'!AP513</f>
        <v>-</v>
      </c>
      <c r="BK503" s="85" t="str">
        <f t="shared" si="1762"/>
        <v>-</v>
      </c>
      <c r="BL503" s="85" t="str">
        <f>'Consumer Hardware Pricing'!AQ513</f>
        <v>-</v>
      </c>
      <c r="BM503" s="85" t="str">
        <f t="shared" si="1922"/>
        <v>-</v>
      </c>
      <c r="BN503" s="85" t="str">
        <f t="shared" si="1923"/>
        <v>-</v>
      </c>
      <c r="BO503" s="85" t="str">
        <f t="shared" si="1937"/>
        <v>-</v>
      </c>
      <c r="BP503" s="85" t="str">
        <f>'Consumer Hardware Pricing'!AT513</f>
        <v>-</v>
      </c>
      <c r="BQ503" s="85" t="str">
        <f t="shared" si="1763"/>
        <v>-</v>
      </c>
      <c r="BR503" s="85" t="str">
        <f>'Consumer Hardware Pricing'!AU513</f>
        <v>-</v>
      </c>
      <c r="BS503" s="85" t="str">
        <f t="shared" si="1924"/>
        <v>-</v>
      </c>
      <c r="BT503" s="85" t="str">
        <f t="shared" si="1925"/>
        <v>-</v>
      </c>
      <c r="BU503" s="85" t="str">
        <f t="shared" si="1938"/>
        <v>-</v>
      </c>
    </row>
    <row r="504" spans="1:73" ht="30" x14ac:dyDescent="0.25">
      <c r="A504" s="87" t="s">
        <v>34</v>
      </c>
      <c r="B504" s="88" t="s">
        <v>565</v>
      </c>
      <c r="C504" s="88" t="s">
        <v>566</v>
      </c>
      <c r="D504" s="85">
        <f>'Consumer Hardware Pricing'!L514</f>
        <v>1949</v>
      </c>
      <c r="E504" s="85">
        <f>'Consumer Hardware Pricing'!M514</f>
        <v>1949</v>
      </c>
      <c r="F504" s="85">
        <f>'Consumer Hardware Pricing'!N514</f>
        <v>0</v>
      </c>
      <c r="G504" s="85">
        <f t="shared" si="1939"/>
        <v>81.210000000000008</v>
      </c>
      <c r="H504" s="85">
        <f>'Consumer Hardware Pricing'!O514</f>
        <v>21.630000000000003</v>
      </c>
      <c r="I504" s="85">
        <f t="shared" si="1914"/>
        <v>59.580000000000005</v>
      </c>
      <c r="J504" s="85">
        <f t="shared" si="1926"/>
        <v>519.12000000000012</v>
      </c>
      <c r="K504" s="85">
        <f t="shared" si="1927"/>
        <v>1429.92</v>
      </c>
      <c r="L504" s="85" t="str">
        <f>'Consumer Hardware Pricing'!Q514</f>
        <v>-</v>
      </c>
      <c r="M504" s="85" t="str">
        <f t="shared" si="1940"/>
        <v>-</v>
      </c>
      <c r="N504" s="85" t="str">
        <f t="shared" si="1915"/>
        <v>-</v>
      </c>
      <c r="O504" s="85" t="str">
        <f t="shared" si="1916"/>
        <v>-</v>
      </c>
      <c r="P504" s="85" t="str">
        <f t="shared" si="1928"/>
        <v>-</v>
      </c>
      <c r="Q504" s="85">
        <f>'Consumer Hardware Pricing'!S514</f>
        <v>0</v>
      </c>
      <c r="R504" s="85">
        <f t="shared" si="1917"/>
        <v>81.210000000000008</v>
      </c>
      <c r="S504" s="85">
        <f>'Consumer Hardware Pricing'!T514</f>
        <v>21.630000000000003</v>
      </c>
      <c r="T504" s="129">
        <f t="shared" si="1929"/>
        <v>59.580000000000005</v>
      </c>
      <c r="U504" s="129">
        <f t="shared" si="1930"/>
        <v>519.12000000000012</v>
      </c>
      <c r="V504" s="85">
        <f t="shared" si="1931"/>
        <v>1429.92</v>
      </c>
      <c r="W504" s="129" t="str">
        <f>'Consumer Hardware Pricing'!V514</f>
        <v>-</v>
      </c>
      <c r="X504" s="129" t="str">
        <f t="shared" si="1941"/>
        <v>-</v>
      </c>
      <c r="Y504" s="129" t="str">
        <f t="shared" si="1932"/>
        <v>-</v>
      </c>
      <c r="Z504" s="129" t="str">
        <f t="shared" si="1933"/>
        <v>-</v>
      </c>
      <c r="AA504" s="85" t="str">
        <f t="shared" si="1934"/>
        <v>-</v>
      </c>
      <c r="AB504" s="85">
        <f>'Consumer Hardware Pricing'!X514</f>
        <v>0</v>
      </c>
      <c r="AC504" s="85">
        <f t="shared" si="1756"/>
        <v>81.210000000000008</v>
      </c>
      <c r="AD504" s="85">
        <f>'Consumer Hardware Pricing'!Y514</f>
        <v>38.71</v>
      </c>
      <c r="AE504" s="85">
        <f t="shared" si="1902"/>
        <v>42.500000000000007</v>
      </c>
      <c r="AF504" s="85">
        <f t="shared" si="1903"/>
        <v>929.04</v>
      </c>
      <c r="AG504" s="85">
        <f t="shared" si="1904"/>
        <v>1020.0000000000002</v>
      </c>
      <c r="AH504" s="85" t="str">
        <f>'Consumer Hardware Pricing'!AA514</f>
        <v>-</v>
      </c>
      <c r="AI504" s="85" t="str">
        <f t="shared" si="1757"/>
        <v>-</v>
      </c>
      <c r="AJ504" s="85" t="str">
        <f t="shared" si="1905"/>
        <v>-</v>
      </c>
      <c r="AK504" s="85" t="str">
        <f t="shared" si="1906"/>
        <v>-</v>
      </c>
      <c r="AL504" s="85" t="str">
        <f t="shared" si="1907"/>
        <v>-</v>
      </c>
      <c r="AM504" s="85">
        <f>'Consumer Hardware Pricing'!AC514</f>
        <v>0</v>
      </c>
      <c r="AN504" s="85">
        <f t="shared" si="1758"/>
        <v>81.210000000000008</v>
      </c>
      <c r="AO504" s="85">
        <f>'Consumer Hardware Pricing'!AD514</f>
        <v>38.71</v>
      </c>
      <c r="AP504" s="85">
        <f t="shared" si="1908"/>
        <v>42.500000000000007</v>
      </c>
      <c r="AQ504" s="85">
        <f t="shared" si="1909"/>
        <v>929.04</v>
      </c>
      <c r="AR504" s="85">
        <f t="shared" si="1910"/>
        <v>1020.0000000000002</v>
      </c>
      <c r="AS504" s="85" t="str">
        <f>'Consumer Hardware Pricing'!AF514</f>
        <v>-</v>
      </c>
      <c r="AT504" s="85" t="str">
        <f t="shared" si="1759"/>
        <v>-</v>
      </c>
      <c r="AU504" s="85" t="str">
        <f t="shared" si="1911"/>
        <v>-</v>
      </c>
      <c r="AV504" s="85" t="str">
        <f t="shared" si="1912"/>
        <v>-</v>
      </c>
      <c r="AW504" s="85" t="str">
        <f t="shared" si="1913"/>
        <v>-</v>
      </c>
      <c r="AX504" s="85" t="str">
        <f>'Consumer Hardware Pricing'!AH514</f>
        <v>-</v>
      </c>
      <c r="AY504" s="85" t="str">
        <f t="shared" si="1760"/>
        <v>-</v>
      </c>
      <c r="AZ504" s="85" t="str">
        <f>'Consumer Hardware Pricing'!AI514</f>
        <v>-</v>
      </c>
      <c r="BA504" s="85" t="str">
        <f t="shared" si="1918"/>
        <v>-</v>
      </c>
      <c r="BB504" s="85" t="str">
        <f t="shared" si="1919"/>
        <v>-</v>
      </c>
      <c r="BC504" s="85" t="str">
        <f t="shared" si="1935"/>
        <v>-</v>
      </c>
      <c r="BD504" s="85" t="str">
        <f>'Consumer Hardware Pricing'!AL514</f>
        <v>-</v>
      </c>
      <c r="BE504" s="85" t="str">
        <f t="shared" si="1761"/>
        <v>-</v>
      </c>
      <c r="BF504" s="85" t="str">
        <f>'Consumer Hardware Pricing'!AM514</f>
        <v>-</v>
      </c>
      <c r="BG504" s="85" t="str">
        <f t="shared" si="1920"/>
        <v>-</v>
      </c>
      <c r="BH504" s="85" t="str">
        <f t="shared" si="1921"/>
        <v>-</v>
      </c>
      <c r="BI504" s="85" t="str">
        <f t="shared" si="1936"/>
        <v>-</v>
      </c>
      <c r="BJ504" s="85" t="str">
        <f>'Consumer Hardware Pricing'!AP514</f>
        <v>-</v>
      </c>
      <c r="BK504" s="85" t="str">
        <f t="shared" si="1762"/>
        <v>-</v>
      </c>
      <c r="BL504" s="85" t="str">
        <f>'Consumer Hardware Pricing'!AQ514</f>
        <v>-</v>
      </c>
      <c r="BM504" s="85" t="str">
        <f t="shared" si="1922"/>
        <v>-</v>
      </c>
      <c r="BN504" s="85" t="str">
        <f t="shared" si="1923"/>
        <v>-</v>
      </c>
      <c r="BO504" s="85" t="str">
        <f t="shared" si="1937"/>
        <v>-</v>
      </c>
      <c r="BP504" s="85" t="str">
        <f>'Consumer Hardware Pricing'!AT514</f>
        <v>-</v>
      </c>
      <c r="BQ504" s="85" t="str">
        <f t="shared" si="1763"/>
        <v>-</v>
      </c>
      <c r="BR504" s="85" t="str">
        <f>'Consumer Hardware Pricing'!AU514</f>
        <v>-</v>
      </c>
      <c r="BS504" s="85" t="str">
        <f t="shared" si="1924"/>
        <v>-</v>
      </c>
      <c r="BT504" s="85" t="str">
        <f t="shared" si="1925"/>
        <v>-</v>
      </c>
      <c r="BU504" s="85" t="str">
        <f t="shared" si="1938"/>
        <v>-</v>
      </c>
    </row>
    <row r="505" spans="1:73" ht="30.45" customHeight="1" x14ac:dyDescent="0.25">
      <c r="A505" s="87" t="s">
        <v>34</v>
      </c>
      <c r="B505" s="88" t="s">
        <v>811</v>
      </c>
      <c r="C505" s="88" t="s">
        <v>812</v>
      </c>
      <c r="D505" s="85">
        <f>'Consumer Hardware Pricing'!L515</f>
        <v>2600</v>
      </c>
      <c r="E505" s="85">
        <f>'Consumer Hardware Pricing'!M515</f>
        <v>2600</v>
      </c>
      <c r="F505" s="85">
        <f>'Consumer Hardware Pricing'!N515</f>
        <v>0</v>
      </c>
      <c r="G505" s="85">
        <f t="shared" si="1939"/>
        <v>108.34</v>
      </c>
      <c r="H505" s="85" t="str">
        <f>'Consumer Hardware Pricing'!O515</f>
        <v>-</v>
      </c>
      <c r="I505" s="85">
        <f t="shared" si="1914"/>
        <v>108.34</v>
      </c>
      <c r="J505" s="85" t="str">
        <f t="shared" si="1926"/>
        <v>-</v>
      </c>
      <c r="K505" s="85">
        <f t="shared" si="1927"/>
        <v>2600.16</v>
      </c>
      <c r="L505" s="85" t="str">
        <f>'Consumer Hardware Pricing'!Q515</f>
        <v>-</v>
      </c>
      <c r="M505" s="85" t="str">
        <f t="shared" si="1940"/>
        <v>-</v>
      </c>
      <c r="N505" s="85" t="str">
        <f t="shared" si="1915"/>
        <v>-</v>
      </c>
      <c r="O505" s="85" t="str">
        <f t="shared" si="1916"/>
        <v>-</v>
      </c>
      <c r="P505" s="85" t="str">
        <f t="shared" si="1928"/>
        <v>-</v>
      </c>
      <c r="Q505" s="85">
        <f>'Consumer Hardware Pricing'!S515</f>
        <v>0</v>
      </c>
      <c r="R505" s="85">
        <f t="shared" si="1917"/>
        <v>108.34</v>
      </c>
      <c r="S505" s="85" t="str">
        <f>'Consumer Hardware Pricing'!T515</f>
        <v>-</v>
      </c>
      <c r="T505" s="129">
        <f t="shared" si="1929"/>
        <v>108.34</v>
      </c>
      <c r="U505" s="129" t="str">
        <f t="shared" si="1930"/>
        <v>-</v>
      </c>
      <c r="V505" s="85">
        <f t="shared" si="1931"/>
        <v>2600.16</v>
      </c>
      <c r="W505" s="129" t="str">
        <f>'Consumer Hardware Pricing'!V515</f>
        <v>-</v>
      </c>
      <c r="X505" s="129" t="str">
        <f t="shared" si="1941"/>
        <v>-</v>
      </c>
      <c r="Y505" s="129" t="str">
        <f t="shared" si="1932"/>
        <v>-</v>
      </c>
      <c r="Z505" s="129" t="str">
        <f t="shared" si="1933"/>
        <v>-</v>
      </c>
      <c r="AA505" s="85" t="str">
        <f t="shared" si="1934"/>
        <v>-</v>
      </c>
      <c r="AB505" s="85">
        <f>'Consumer Hardware Pricing'!X515</f>
        <v>0</v>
      </c>
      <c r="AC505" s="85">
        <f t="shared" si="1756"/>
        <v>108.34</v>
      </c>
      <c r="AD505" s="85" t="str">
        <f>'Consumer Hardware Pricing'!Y515</f>
        <v>-</v>
      </c>
      <c r="AE505" s="85">
        <f t="shared" si="1902"/>
        <v>108.34</v>
      </c>
      <c r="AF505" s="85" t="str">
        <f t="shared" si="1903"/>
        <v>-</v>
      </c>
      <c r="AG505" s="85">
        <f t="shared" si="1904"/>
        <v>2600.16</v>
      </c>
      <c r="AH505" s="85" t="str">
        <f>'Consumer Hardware Pricing'!AA515</f>
        <v>-</v>
      </c>
      <c r="AI505" s="85" t="str">
        <f t="shared" si="1757"/>
        <v>-</v>
      </c>
      <c r="AJ505" s="85" t="str">
        <f t="shared" si="1905"/>
        <v>-</v>
      </c>
      <c r="AK505" s="85" t="str">
        <f t="shared" si="1906"/>
        <v>-</v>
      </c>
      <c r="AL505" s="85" t="str">
        <f t="shared" si="1907"/>
        <v>-</v>
      </c>
      <c r="AM505" s="85">
        <f>'Consumer Hardware Pricing'!AC515</f>
        <v>0</v>
      </c>
      <c r="AN505" s="85">
        <f t="shared" si="1758"/>
        <v>108.34</v>
      </c>
      <c r="AO505" s="85" t="str">
        <f>'Consumer Hardware Pricing'!AD515</f>
        <v>-</v>
      </c>
      <c r="AP505" s="85">
        <f t="shared" si="1908"/>
        <v>108.34</v>
      </c>
      <c r="AQ505" s="85" t="str">
        <f t="shared" si="1909"/>
        <v>-</v>
      </c>
      <c r="AR505" s="85">
        <f t="shared" si="1910"/>
        <v>2600.16</v>
      </c>
      <c r="AS505" s="85" t="str">
        <f>'Consumer Hardware Pricing'!AF515</f>
        <v>-</v>
      </c>
      <c r="AT505" s="85" t="str">
        <f t="shared" si="1759"/>
        <v>-</v>
      </c>
      <c r="AU505" s="85" t="str">
        <f t="shared" si="1911"/>
        <v>-</v>
      </c>
      <c r="AV505" s="85" t="str">
        <f t="shared" si="1912"/>
        <v>-</v>
      </c>
      <c r="AW505" s="85" t="str">
        <f t="shared" si="1913"/>
        <v>-</v>
      </c>
      <c r="AX505" s="85" t="str">
        <f>'Consumer Hardware Pricing'!AH515</f>
        <v>-</v>
      </c>
      <c r="AY505" s="85" t="str">
        <f t="shared" si="1760"/>
        <v>-</v>
      </c>
      <c r="AZ505" s="85" t="str">
        <f>'Consumer Hardware Pricing'!AI515</f>
        <v>-</v>
      </c>
      <c r="BA505" s="85" t="str">
        <f t="shared" si="1918"/>
        <v>-</v>
      </c>
      <c r="BB505" s="85" t="str">
        <f t="shared" si="1919"/>
        <v>-</v>
      </c>
      <c r="BC505" s="85" t="str">
        <f t="shared" si="1935"/>
        <v>-</v>
      </c>
      <c r="BD505" s="85" t="str">
        <f>'Consumer Hardware Pricing'!AL515</f>
        <v>-</v>
      </c>
      <c r="BE505" s="85" t="str">
        <f t="shared" si="1761"/>
        <v>-</v>
      </c>
      <c r="BF505" s="85" t="str">
        <f>'Consumer Hardware Pricing'!AM515</f>
        <v>-</v>
      </c>
      <c r="BG505" s="85" t="str">
        <f t="shared" si="1920"/>
        <v>-</v>
      </c>
      <c r="BH505" s="85" t="str">
        <f t="shared" si="1921"/>
        <v>-</v>
      </c>
      <c r="BI505" s="85" t="str">
        <f t="shared" si="1936"/>
        <v>-</v>
      </c>
      <c r="BJ505" s="85" t="str">
        <f>'Consumer Hardware Pricing'!AP515</f>
        <v>-</v>
      </c>
      <c r="BK505" s="85" t="str">
        <f t="shared" si="1762"/>
        <v>-</v>
      </c>
      <c r="BL505" s="85" t="str">
        <f>'Consumer Hardware Pricing'!AQ515</f>
        <v>-</v>
      </c>
      <c r="BM505" s="85" t="str">
        <f t="shared" si="1922"/>
        <v>-</v>
      </c>
      <c r="BN505" s="85" t="str">
        <f t="shared" si="1923"/>
        <v>-</v>
      </c>
      <c r="BO505" s="85" t="str">
        <f t="shared" si="1937"/>
        <v>-</v>
      </c>
      <c r="BP505" s="85" t="str">
        <f>'Consumer Hardware Pricing'!AT515</f>
        <v>-</v>
      </c>
      <c r="BQ505" s="85" t="str">
        <f t="shared" si="1763"/>
        <v>-</v>
      </c>
      <c r="BR505" s="85" t="str">
        <f>'Consumer Hardware Pricing'!AU515</f>
        <v>-</v>
      </c>
      <c r="BS505" s="85" t="str">
        <f t="shared" si="1924"/>
        <v>-</v>
      </c>
      <c r="BT505" s="85" t="str">
        <f t="shared" si="1925"/>
        <v>-</v>
      </c>
      <c r="BU505" s="85" t="str">
        <f t="shared" si="1938"/>
        <v>-</v>
      </c>
    </row>
    <row r="506" spans="1:73" ht="30.45" customHeight="1" x14ac:dyDescent="0.25">
      <c r="A506" s="87" t="s">
        <v>34</v>
      </c>
      <c r="B506" s="88" t="s">
        <v>1047</v>
      </c>
      <c r="C506" s="88" t="s">
        <v>1046</v>
      </c>
      <c r="D506" s="85">
        <f>'Consumer Hardware Pricing'!L516</f>
        <v>2865</v>
      </c>
      <c r="E506" s="85">
        <f>'Consumer Hardware Pricing'!M516</f>
        <v>2865</v>
      </c>
      <c r="F506" s="85">
        <f>'Consumer Hardware Pricing'!N516</f>
        <v>0</v>
      </c>
      <c r="G506" s="85">
        <f t="shared" si="1939"/>
        <v>119.38000000000001</v>
      </c>
      <c r="H506" s="85">
        <f>'Consumer Hardware Pricing'!O516</f>
        <v>22.71</v>
      </c>
      <c r="I506" s="85">
        <f t="shared" ref="I506:I515" si="1942">IF(H506="-",G506,G506-H506)</f>
        <v>96.670000000000016</v>
      </c>
      <c r="J506" s="85">
        <f t="shared" ref="J506:J515" si="1943">IF(H506="-",H506,H506*24)</f>
        <v>545.04</v>
      </c>
      <c r="K506" s="85">
        <f t="shared" ref="K506:K515" si="1944">IF(F506="-",F506,I506*24)</f>
        <v>2320.0800000000004</v>
      </c>
      <c r="L506" s="85" t="str">
        <f>'Consumer Hardware Pricing'!Q516</f>
        <v>-</v>
      </c>
      <c r="M506" s="85" t="str">
        <f t="shared" si="1940"/>
        <v>-</v>
      </c>
      <c r="N506" s="85" t="str">
        <f t="shared" ref="N506:N515" si="1945">IF(L506="-",L506,G506-M506)</f>
        <v>-</v>
      </c>
      <c r="O506" s="85" t="str">
        <f t="shared" ref="O506:O515" si="1946">IF(L506="-",L506,M506*24)</f>
        <v>-</v>
      </c>
      <c r="P506" s="85" t="str">
        <f t="shared" ref="P506:P515" si="1947">IF(L506="-",L506,N506*24)</f>
        <v>-</v>
      </c>
      <c r="Q506" s="85">
        <f>'Consumer Hardware Pricing'!S516</f>
        <v>0</v>
      </c>
      <c r="R506" s="85">
        <f t="shared" ref="R506:R515" si="1948">G506</f>
        <v>119.38000000000001</v>
      </c>
      <c r="S506" s="85">
        <f>'Consumer Hardware Pricing'!T516</f>
        <v>22.71</v>
      </c>
      <c r="T506" s="129">
        <f t="shared" ref="T506:T515" si="1949">IF(S506="-",R506,R506-S506)</f>
        <v>96.670000000000016</v>
      </c>
      <c r="U506" s="129">
        <f t="shared" ref="U506:U515" si="1950">IF(S506="-",S506,S506*24)</f>
        <v>545.04</v>
      </c>
      <c r="V506" s="85">
        <f t="shared" ref="V506:V515" si="1951">IF(Q506="-",Q506,T506*24)</f>
        <v>2320.0800000000004</v>
      </c>
      <c r="W506" s="129" t="str">
        <f>'Consumer Hardware Pricing'!V516</f>
        <v>-</v>
      </c>
      <c r="X506" s="129" t="str">
        <f t="shared" si="1941"/>
        <v>-</v>
      </c>
      <c r="Y506" s="129" t="str">
        <f t="shared" ref="Y506:Y515" si="1952">IF(W506="-",W506,R506-X506)</f>
        <v>-</v>
      </c>
      <c r="Z506" s="129" t="str">
        <f t="shared" ref="Z506:Z515" si="1953">IF(W506="-",W506,X506*24)</f>
        <v>-</v>
      </c>
      <c r="AA506" s="85" t="str">
        <f t="shared" ref="AA506:AA515" si="1954">IF(W506="-",W506,Y506*24)</f>
        <v>-</v>
      </c>
      <c r="AB506" s="85">
        <f>'Consumer Hardware Pricing'!X516</f>
        <v>0</v>
      </c>
      <c r="AC506" s="85">
        <f t="shared" si="1756"/>
        <v>119.38000000000001</v>
      </c>
      <c r="AD506" s="85">
        <f>'Consumer Hardware Pricing'!Y516</f>
        <v>31.05</v>
      </c>
      <c r="AE506" s="85">
        <f t="shared" ref="AE506:AE515" si="1955">IF(AD506="-",AC506,AC506-AD506)</f>
        <v>88.330000000000013</v>
      </c>
      <c r="AF506" s="85">
        <f t="shared" ref="AF506:AF515" si="1956">IF(AD506="-",AD506,AD506*24)</f>
        <v>745.2</v>
      </c>
      <c r="AG506" s="85">
        <f t="shared" ref="AG506:AG515" si="1957">IF(AB506="-",AB506,AE506*24)</f>
        <v>2119.92</v>
      </c>
      <c r="AH506" s="85" t="str">
        <f>'Consumer Hardware Pricing'!AA516</f>
        <v>-</v>
      </c>
      <c r="AI506" s="85" t="str">
        <f t="shared" si="1757"/>
        <v>-</v>
      </c>
      <c r="AJ506" s="85" t="str">
        <f t="shared" ref="AJ506:AJ515" si="1958">IF(AH506="-",AH506,AC506-AI506)</f>
        <v>-</v>
      </c>
      <c r="AK506" s="85" t="str">
        <f t="shared" ref="AK506:AK515" si="1959">IF(AH506="-",AH506,AI506*24)</f>
        <v>-</v>
      </c>
      <c r="AL506" s="85" t="str">
        <f t="shared" ref="AL506:AL515" si="1960">IF(AH506="-",AH506,AJ506*24)</f>
        <v>-</v>
      </c>
      <c r="AM506" s="85">
        <f>'Consumer Hardware Pricing'!AC516</f>
        <v>0</v>
      </c>
      <c r="AN506" s="85">
        <f t="shared" si="1758"/>
        <v>119.38000000000001</v>
      </c>
      <c r="AO506" s="85">
        <f>'Consumer Hardware Pricing'!AD516</f>
        <v>31.05</v>
      </c>
      <c r="AP506" s="85">
        <f t="shared" ref="AP506:AP515" si="1961">IF(AO506="-",AN506,AN506-AO506)</f>
        <v>88.330000000000013</v>
      </c>
      <c r="AQ506" s="85">
        <f t="shared" ref="AQ506:AQ515" si="1962">IF(AO506="-",AO506,AO506*24)</f>
        <v>745.2</v>
      </c>
      <c r="AR506" s="85">
        <f t="shared" ref="AR506:AR515" si="1963">IF(AM506="-",AM506,AP506*24)</f>
        <v>2119.92</v>
      </c>
      <c r="AS506" s="85" t="str">
        <f>'Consumer Hardware Pricing'!AF516</f>
        <v>-</v>
      </c>
      <c r="AT506" s="85" t="str">
        <f t="shared" si="1759"/>
        <v>-</v>
      </c>
      <c r="AU506" s="85" t="str">
        <f t="shared" ref="AU506:AU515" si="1964">IF(AS506="-",AS506,AN506-AT506)</f>
        <v>-</v>
      </c>
      <c r="AV506" s="85" t="str">
        <f t="shared" ref="AV506:AV515" si="1965">IF(AS506="-",AS506,AT506*24)</f>
        <v>-</v>
      </c>
      <c r="AW506" s="85" t="str">
        <f t="shared" ref="AW506:AW515" si="1966">IF(AS506="-",AS506,AU506*24)</f>
        <v>-</v>
      </c>
      <c r="AX506" s="85" t="str">
        <f>'Consumer Hardware Pricing'!AH516</f>
        <v>-</v>
      </c>
      <c r="AY506" s="85" t="str">
        <f t="shared" si="1760"/>
        <v>-</v>
      </c>
      <c r="AZ506" s="85" t="str">
        <f>'Consumer Hardware Pricing'!AI516</f>
        <v>-</v>
      </c>
      <c r="BA506" s="85" t="str">
        <f t="shared" ref="BA506:BA515" si="1967">IF(AZ506="-",AY506,AY506-AZ506)</f>
        <v>-</v>
      </c>
      <c r="BB506" s="85" t="str">
        <f t="shared" ref="BB506:BB515" si="1968">IF(AZ506="-",AZ506,AZ506*24)</f>
        <v>-</v>
      </c>
      <c r="BC506" s="85" t="str">
        <f t="shared" ref="BC506:BC515" si="1969">IF(AX506="-",AX506,AX506+(BA506*24))</f>
        <v>-</v>
      </c>
      <c r="BD506" s="85" t="str">
        <f>'Consumer Hardware Pricing'!AL516</f>
        <v>-</v>
      </c>
      <c r="BE506" s="85" t="str">
        <f t="shared" si="1761"/>
        <v>-</v>
      </c>
      <c r="BF506" s="85" t="str">
        <f>'Consumer Hardware Pricing'!AM516</f>
        <v>-</v>
      </c>
      <c r="BG506" s="85" t="str">
        <f t="shared" ref="BG506:BG515" si="1970">IF(BF506="-",BE506,BE506-BF506)</f>
        <v>-</v>
      </c>
      <c r="BH506" s="85" t="str">
        <f t="shared" ref="BH506:BH515" si="1971">IF(BF506="-",BF506,BF506*24)</f>
        <v>-</v>
      </c>
      <c r="BI506" s="85" t="str">
        <f t="shared" ref="BI506:BI515" si="1972">IF(BD506="-",BD506,BD506+(BG506*24))</f>
        <v>-</v>
      </c>
      <c r="BJ506" s="85" t="str">
        <f>'Consumer Hardware Pricing'!AP516</f>
        <v>-</v>
      </c>
      <c r="BK506" s="85" t="str">
        <f t="shared" si="1762"/>
        <v>-</v>
      </c>
      <c r="BL506" s="85" t="str">
        <f>'Consumer Hardware Pricing'!AQ516</f>
        <v>-</v>
      </c>
      <c r="BM506" s="85" t="str">
        <f t="shared" ref="BM506:BM515" si="1973">IF(BL506="-",BK506,BK506-BL506)</f>
        <v>-</v>
      </c>
      <c r="BN506" s="85" t="str">
        <f t="shared" ref="BN506:BN515" si="1974">IF(BL506="-",BL506,BL506*24)</f>
        <v>-</v>
      </c>
      <c r="BO506" s="85" t="str">
        <f t="shared" ref="BO506:BO515" si="1975">IF(BJ506="-",BJ506,BJ506+(BM506*24))</f>
        <v>-</v>
      </c>
      <c r="BP506" s="85" t="str">
        <f>'Consumer Hardware Pricing'!AT516</f>
        <v>-</v>
      </c>
      <c r="BQ506" s="85" t="str">
        <f t="shared" si="1763"/>
        <v>-</v>
      </c>
      <c r="BR506" s="85" t="str">
        <f>'Consumer Hardware Pricing'!AU516</f>
        <v>-</v>
      </c>
      <c r="BS506" s="85" t="str">
        <f t="shared" ref="BS506:BS515" si="1976">IF(BR506="-",BQ506,BQ506-BR506)</f>
        <v>-</v>
      </c>
      <c r="BT506" s="85" t="str">
        <f t="shared" ref="BT506:BT515" si="1977">IF(BR506="-",BR506,BR506*24)</f>
        <v>-</v>
      </c>
      <c r="BU506" s="85" t="str">
        <f t="shared" ref="BU506:BU515" si="1978">IF(BP506="-",BP506,BP506+(BS506*24))</f>
        <v>-</v>
      </c>
    </row>
    <row r="507" spans="1:73" ht="30.45" customHeight="1" x14ac:dyDescent="0.25">
      <c r="A507" s="87" t="s">
        <v>34</v>
      </c>
      <c r="B507" s="88" t="s">
        <v>1048</v>
      </c>
      <c r="C507" s="88" t="s">
        <v>1046</v>
      </c>
      <c r="D507" s="85">
        <f>'Consumer Hardware Pricing'!L517</f>
        <v>2865</v>
      </c>
      <c r="E507" s="85">
        <f>'Consumer Hardware Pricing'!M517</f>
        <v>2865</v>
      </c>
      <c r="F507" s="85">
        <f>'Consumer Hardware Pricing'!N517</f>
        <v>0</v>
      </c>
      <c r="G507" s="85">
        <f t="shared" si="1939"/>
        <v>119.38000000000001</v>
      </c>
      <c r="H507" s="85">
        <f>'Consumer Hardware Pricing'!O517</f>
        <v>22.71</v>
      </c>
      <c r="I507" s="85">
        <f t="shared" si="1942"/>
        <v>96.670000000000016</v>
      </c>
      <c r="J507" s="85">
        <f t="shared" si="1943"/>
        <v>545.04</v>
      </c>
      <c r="K507" s="85">
        <f t="shared" si="1944"/>
        <v>2320.0800000000004</v>
      </c>
      <c r="L507" s="85" t="str">
        <f>'Consumer Hardware Pricing'!Q517</f>
        <v>-</v>
      </c>
      <c r="M507" s="85" t="str">
        <f t="shared" si="1940"/>
        <v>-</v>
      </c>
      <c r="N507" s="85" t="str">
        <f t="shared" si="1945"/>
        <v>-</v>
      </c>
      <c r="O507" s="85" t="str">
        <f t="shared" si="1946"/>
        <v>-</v>
      </c>
      <c r="P507" s="85" t="str">
        <f t="shared" si="1947"/>
        <v>-</v>
      </c>
      <c r="Q507" s="85">
        <f>'Consumer Hardware Pricing'!S517</f>
        <v>0</v>
      </c>
      <c r="R507" s="85">
        <f t="shared" si="1948"/>
        <v>119.38000000000001</v>
      </c>
      <c r="S507" s="85">
        <f>'Consumer Hardware Pricing'!T517</f>
        <v>22.71</v>
      </c>
      <c r="T507" s="129">
        <f t="shared" si="1949"/>
        <v>96.670000000000016</v>
      </c>
      <c r="U507" s="129">
        <f t="shared" si="1950"/>
        <v>545.04</v>
      </c>
      <c r="V507" s="85">
        <f t="shared" si="1951"/>
        <v>2320.0800000000004</v>
      </c>
      <c r="W507" s="129" t="str">
        <f>'Consumer Hardware Pricing'!V517</f>
        <v>-</v>
      </c>
      <c r="X507" s="129" t="str">
        <f t="shared" si="1941"/>
        <v>-</v>
      </c>
      <c r="Y507" s="129" t="str">
        <f t="shared" si="1952"/>
        <v>-</v>
      </c>
      <c r="Z507" s="129" t="str">
        <f t="shared" si="1953"/>
        <v>-</v>
      </c>
      <c r="AA507" s="85" t="str">
        <f t="shared" si="1954"/>
        <v>-</v>
      </c>
      <c r="AB507" s="85">
        <f>'Consumer Hardware Pricing'!X517</f>
        <v>0</v>
      </c>
      <c r="AC507" s="85">
        <f t="shared" si="1756"/>
        <v>119.38000000000001</v>
      </c>
      <c r="AD507" s="85">
        <f>'Consumer Hardware Pricing'!Y517</f>
        <v>31.05</v>
      </c>
      <c r="AE507" s="85">
        <f t="shared" si="1955"/>
        <v>88.330000000000013</v>
      </c>
      <c r="AF507" s="85">
        <f t="shared" si="1956"/>
        <v>745.2</v>
      </c>
      <c r="AG507" s="85">
        <f t="shared" si="1957"/>
        <v>2119.92</v>
      </c>
      <c r="AH507" s="85" t="str">
        <f>'Consumer Hardware Pricing'!AA517</f>
        <v>-</v>
      </c>
      <c r="AI507" s="85" t="str">
        <f t="shared" si="1757"/>
        <v>-</v>
      </c>
      <c r="AJ507" s="85" t="str">
        <f t="shared" si="1958"/>
        <v>-</v>
      </c>
      <c r="AK507" s="85" t="str">
        <f t="shared" si="1959"/>
        <v>-</v>
      </c>
      <c r="AL507" s="85" t="str">
        <f t="shared" si="1960"/>
        <v>-</v>
      </c>
      <c r="AM507" s="85">
        <f>'Consumer Hardware Pricing'!AC517</f>
        <v>0</v>
      </c>
      <c r="AN507" s="85">
        <f t="shared" si="1758"/>
        <v>119.38000000000001</v>
      </c>
      <c r="AO507" s="85">
        <f>'Consumer Hardware Pricing'!AD517</f>
        <v>31.05</v>
      </c>
      <c r="AP507" s="85">
        <f t="shared" si="1961"/>
        <v>88.330000000000013</v>
      </c>
      <c r="AQ507" s="85">
        <f t="shared" si="1962"/>
        <v>745.2</v>
      </c>
      <c r="AR507" s="85">
        <f t="shared" si="1963"/>
        <v>2119.92</v>
      </c>
      <c r="AS507" s="85" t="str">
        <f>'Consumer Hardware Pricing'!AF517</f>
        <v>-</v>
      </c>
      <c r="AT507" s="85" t="str">
        <f t="shared" si="1759"/>
        <v>-</v>
      </c>
      <c r="AU507" s="85" t="str">
        <f t="shared" si="1964"/>
        <v>-</v>
      </c>
      <c r="AV507" s="85" t="str">
        <f t="shared" si="1965"/>
        <v>-</v>
      </c>
      <c r="AW507" s="85" t="str">
        <f t="shared" si="1966"/>
        <v>-</v>
      </c>
      <c r="AX507" s="85" t="str">
        <f>'Consumer Hardware Pricing'!AH517</f>
        <v>-</v>
      </c>
      <c r="AY507" s="85" t="str">
        <f t="shared" si="1760"/>
        <v>-</v>
      </c>
      <c r="AZ507" s="85" t="str">
        <f>'Consumer Hardware Pricing'!AI517</f>
        <v>-</v>
      </c>
      <c r="BA507" s="85" t="str">
        <f t="shared" si="1967"/>
        <v>-</v>
      </c>
      <c r="BB507" s="85" t="str">
        <f t="shared" si="1968"/>
        <v>-</v>
      </c>
      <c r="BC507" s="85" t="str">
        <f t="shared" si="1969"/>
        <v>-</v>
      </c>
      <c r="BD507" s="85" t="str">
        <f>'Consumer Hardware Pricing'!AL517</f>
        <v>-</v>
      </c>
      <c r="BE507" s="85" t="str">
        <f t="shared" si="1761"/>
        <v>-</v>
      </c>
      <c r="BF507" s="85" t="str">
        <f>'Consumer Hardware Pricing'!AM517</f>
        <v>-</v>
      </c>
      <c r="BG507" s="85" t="str">
        <f t="shared" si="1970"/>
        <v>-</v>
      </c>
      <c r="BH507" s="85" t="str">
        <f t="shared" si="1971"/>
        <v>-</v>
      </c>
      <c r="BI507" s="85" t="str">
        <f t="shared" si="1972"/>
        <v>-</v>
      </c>
      <c r="BJ507" s="85" t="str">
        <f>'Consumer Hardware Pricing'!AP517</f>
        <v>-</v>
      </c>
      <c r="BK507" s="85" t="str">
        <f t="shared" si="1762"/>
        <v>-</v>
      </c>
      <c r="BL507" s="85" t="str">
        <f>'Consumer Hardware Pricing'!AQ517</f>
        <v>-</v>
      </c>
      <c r="BM507" s="85" t="str">
        <f t="shared" si="1973"/>
        <v>-</v>
      </c>
      <c r="BN507" s="85" t="str">
        <f t="shared" si="1974"/>
        <v>-</v>
      </c>
      <c r="BO507" s="85" t="str">
        <f t="shared" si="1975"/>
        <v>-</v>
      </c>
      <c r="BP507" s="85" t="str">
        <f>'Consumer Hardware Pricing'!AT517</f>
        <v>-</v>
      </c>
      <c r="BQ507" s="85" t="str">
        <f t="shared" si="1763"/>
        <v>-</v>
      </c>
      <c r="BR507" s="85" t="str">
        <f>'Consumer Hardware Pricing'!AU517</f>
        <v>-</v>
      </c>
      <c r="BS507" s="85" t="str">
        <f t="shared" si="1976"/>
        <v>-</v>
      </c>
      <c r="BT507" s="85" t="str">
        <f t="shared" si="1977"/>
        <v>-</v>
      </c>
      <c r="BU507" s="85" t="str">
        <f t="shared" si="1978"/>
        <v>-</v>
      </c>
    </row>
    <row r="508" spans="1:73" ht="30.45" customHeight="1" x14ac:dyDescent="0.25">
      <c r="A508" s="87" t="s">
        <v>34</v>
      </c>
      <c r="B508" s="88" t="s">
        <v>1049</v>
      </c>
      <c r="C508" s="88" t="s">
        <v>1046</v>
      </c>
      <c r="D508" s="85">
        <f>'Consumer Hardware Pricing'!L518</f>
        <v>2865</v>
      </c>
      <c r="E508" s="85">
        <f>'Consumer Hardware Pricing'!M518</f>
        <v>2865</v>
      </c>
      <c r="F508" s="85">
        <f>'Consumer Hardware Pricing'!N518</f>
        <v>0</v>
      </c>
      <c r="G508" s="85">
        <f t="shared" si="1939"/>
        <v>119.38000000000001</v>
      </c>
      <c r="H508" s="85">
        <f>'Consumer Hardware Pricing'!O518</f>
        <v>22.71</v>
      </c>
      <c r="I508" s="85">
        <f t="shared" si="1942"/>
        <v>96.670000000000016</v>
      </c>
      <c r="J508" s="85">
        <f t="shared" si="1943"/>
        <v>545.04</v>
      </c>
      <c r="K508" s="85">
        <f t="shared" si="1944"/>
        <v>2320.0800000000004</v>
      </c>
      <c r="L508" s="85" t="str">
        <f>'Consumer Hardware Pricing'!Q518</f>
        <v>-</v>
      </c>
      <c r="M508" s="85" t="str">
        <f t="shared" si="1940"/>
        <v>-</v>
      </c>
      <c r="N508" s="85" t="str">
        <f t="shared" si="1945"/>
        <v>-</v>
      </c>
      <c r="O508" s="85" t="str">
        <f t="shared" si="1946"/>
        <v>-</v>
      </c>
      <c r="P508" s="85" t="str">
        <f t="shared" si="1947"/>
        <v>-</v>
      </c>
      <c r="Q508" s="85">
        <f>'Consumer Hardware Pricing'!S518</f>
        <v>0</v>
      </c>
      <c r="R508" s="85">
        <f t="shared" si="1948"/>
        <v>119.38000000000001</v>
      </c>
      <c r="S508" s="85">
        <f>'Consumer Hardware Pricing'!T518</f>
        <v>22.71</v>
      </c>
      <c r="T508" s="129">
        <f t="shared" si="1949"/>
        <v>96.670000000000016</v>
      </c>
      <c r="U508" s="129">
        <f t="shared" si="1950"/>
        <v>545.04</v>
      </c>
      <c r="V508" s="85">
        <f t="shared" si="1951"/>
        <v>2320.0800000000004</v>
      </c>
      <c r="W508" s="129" t="str">
        <f>'Consumer Hardware Pricing'!V518</f>
        <v>-</v>
      </c>
      <c r="X508" s="129" t="str">
        <f t="shared" si="1941"/>
        <v>-</v>
      </c>
      <c r="Y508" s="129" t="str">
        <f t="shared" si="1952"/>
        <v>-</v>
      </c>
      <c r="Z508" s="129" t="str">
        <f t="shared" si="1953"/>
        <v>-</v>
      </c>
      <c r="AA508" s="85" t="str">
        <f t="shared" si="1954"/>
        <v>-</v>
      </c>
      <c r="AB508" s="85">
        <f>'Consumer Hardware Pricing'!X518</f>
        <v>0</v>
      </c>
      <c r="AC508" s="85">
        <f t="shared" si="1756"/>
        <v>119.38000000000001</v>
      </c>
      <c r="AD508" s="85">
        <f>'Consumer Hardware Pricing'!Y518</f>
        <v>31.05</v>
      </c>
      <c r="AE508" s="85">
        <f t="shared" si="1955"/>
        <v>88.330000000000013</v>
      </c>
      <c r="AF508" s="85">
        <f t="shared" si="1956"/>
        <v>745.2</v>
      </c>
      <c r="AG508" s="85">
        <f t="shared" si="1957"/>
        <v>2119.92</v>
      </c>
      <c r="AH508" s="85" t="str">
        <f>'Consumer Hardware Pricing'!AA518</f>
        <v>-</v>
      </c>
      <c r="AI508" s="85" t="str">
        <f t="shared" si="1757"/>
        <v>-</v>
      </c>
      <c r="AJ508" s="85" t="str">
        <f t="shared" si="1958"/>
        <v>-</v>
      </c>
      <c r="AK508" s="85" t="str">
        <f t="shared" si="1959"/>
        <v>-</v>
      </c>
      <c r="AL508" s="85" t="str">
        <f t="shared" si="1960"/>
        <v>-</v>
      </c>
      <c r="AM508" s="85">
        <f>'Consumer Hardware Pricing'!AC518</f>
        <v>0</v>
      </c>
      <c r="AN508" s="85">
        <f t="shared" si="1758"/>
        <v>119.38000000000001</v>
      </c>
      <c r="AO508" s="85">
        <f>'Consumer Hardware Pricing'!AD518</f>
        <v>31.05</v>
      </c>
      <c r="AP508" s="85">
        <f t="shared" si="1961"/>
        <v>88.330000000000013</v>
      </c>
      <c r="AQ508" s="85">
        <f t="shared" si="1962"/>
        <v>745.2</v>
      </c>
      <c r="AR508" s="85">
        <f t="shared" si="1963"/>
        <v>2119.92</v>
      </c>
      <c r="AS508" s="85" t="str">
        <f>'Consumer Hardware Pricing'!AF518</f>
        <v>-</v>
      </c>
      <c r="AT508" s="85" t="str">
        <f t="shared" si="1759"/>
        <v>-</v>
      </c>
      <c r="AU508" s="85" t="str">
        <f t="shared" si="1964"/>
        <v>-</v>
      </c>
      <c r="AV508" s="85" t="str">
        <f t="shared" si="1965"/>
        <v>-</v>
      </c>
      <c r="AW508" s="85" t="str">
        <f t="shared" si="1966"/>
        <v>-</v>
      </c>
      <c r="AX508" s="85" t="str">
        <f>'Consumer Hardware Pricing'!AH518</f>
        <v>-</v>
      </c>
      <c r="AY508" s="85" t="str">
        <f t="shared" si="1760"/>
        <v>-</v>
      </c>
      <c r="AZ508" s="85" t="str">
        <f>'Consumer Hardware Pricing'!AI518</f>
        <v>-</v>
      </c>
      <c r="BA508" s="85" t="str">
        <f t="shared" si="1967"/>
        <v>-</v>
      </c>
      <c r="BB508" s="85" t="str">
        <f t="shared" si="1968"/>
        <v>-</v>
      </c>
      <c r="BC508" s="85" t="str">
        <f t="shared" si="1969"/>
        <v>-</v>
      </c>
      <c r="BD508" s="85" t="str">
        <f>'Consumer Hardware Pricing'!AL518</f>
        <v>-</v>
      </c>
      <c r="BE508" s="85" t="str">
        <f t="shared" si="1761"/>
        <v>-</v>
      </c>
      <c r="BF508" s="85" t="str">
        <f>'Consumer Hardware Pricing'!AM518</f>
        <v>-</v>
      </c>
      <c r="BG508" s="85" t="str">
        <f t="shared" si="1970"/>
        <v>-</v>
      </c>
      <c r="BH508" s="85" t="str">
        <f t="shared" si="1971"/>
        <v>-</v>
      </c>
      <c r="BI508" s="85" t="str">
        <f t="shared" si="1972"/>
        <v>-</v>
      </c>
      <c r="BJ508" s="85" t="str">
        <f>'Consumer Hardware Pricing'!AP518</f>
        <v>-</v>
      </c>
      <c r="BK508" s="85" t="str">
        <f t="shared" si="1762"/>
        <v>-</v>
      </c>
      <c r="BL508" s="85" t="str">
        <f>'Consumer Hardware Pricing'!AQ518</f>
        <v>-</v>
      </c>
      <c r="BM508" s="85" t="str">
        <f t="shared" si="1973"/>
        <v>-</v>
      </c>
      <c r="BN508" s="85" t="str">
        <f t="shared" si="1974"/>
        <v>-</v>
      </c>
      <c r="BO508" s="85" t="str">
        <f t="shared" si="1975"/>
        <v>-</v>
      </c>
      <c r="BP508" s="85" t="str">
        <f>'Consumer Hardware Pricing'!AT518</f>
        <v>-</v>
      </c>
      <c r="BQ508" s="85" t="str">
        <f t="shared" si="1763"/>
        <v>-</v>
      </c>
      <c r="BR508" s="85" t="str">
        <f>'Consumer Hardware Pricing'!AU518</f>
        <v>-</v>
      </c>
      <c r="BS508" s="85" t="str">
        <f t="shared" si="1976"/>
        <v>-</v>
      </c>
      <c r="BT508" s="85" t="str">
        <f t="shared" si="1977"/>
        <v>-</v>
      </c>
      <c r="BU508" s="85" t="str">
        <f t="shared" si="1978"/>
        <v>-</v>
      </c>
    </row>
    <row r="509" spans="1:73" ht="30.45" customHeight="1" x14ac:dyDescent="0.25">
      <c r="A509" s="87" t="s">
        <v>34</v>
      </c>
      <c r="B509" s="88" t="s">
        <v>1050</v>
      </c>
      <c r="C509" s="88" t="s">
        <v>1046</v>
      </c>
      <c r="D509" s="85">
        <f>'Consumer Hardware Pricing'!L519</f>
        <v>2865</v>
      </c>
      <c r="E509" s="85">
        <f>'Consumer Hardware Pricing'!M519</f>
        <v>2865</v>
      </c>
      <c r="F509" s="85">
        <f>'Consumer Hardware Pricing'!N519</f>
        <v>0</v>
      </c>
      <c r="G509" s="85">
        <f t="shared" si="1939"/>
        <v>119.38000000000001</v>
      </c>
      <c r="H509" s="85">
        <f>'Consumer Hardware Pricing'!O519</f>
        <v>22.71</v>
      </c>
      <c r="I509" s="85">
        <f t="shared" si="1942"/>
        <v>96.670000000000016</v>
      </c>
      <c r="J509" s="85">
        <f t="shared" si="1943"/>
        <v>545.04</v>
      </c>
      <c r="K509" s="85">
        <f t="shared" si="1944"/>
        <v>2320.0800000000004</v>
      </c>
      <c r="L509" s="85" t="str">
        <f>'Consumer Hardware Pricing'!Q519</f>
        <v>-</v>
      </c>
      <c r="M509" s="85" t="str">
        <f t="shared" si="1940"/>
        <v>-</v>
      </c>
      <c r="N509" s="85" t="str">
        <f t="shared" si="1945"/>
        <v>-</v>
      </c>
      <c r="O509" s="85" t="str">
        <f t="shared" si="1946"/>
        <v>-</v>
      </c>
      <c r="P509" s="85" t="str">
        <f t="shared" si="1947"/>
        <v>-</v>
      </c>
      <c r="Q509" s="85">
        <f>'Consumer Hardware Pricing'!S519</f>
        <v>0</v>
      </c>
      <c r="R509" s="85">
        <f t="shared" si="1948"/>
        <v>119.38000000000001</v>
      </c>
      <c r="S509" s="85">
        <f>'Consumer Hardware Pricing'!T519</f>
        <v>22.71</v>
      </c>
      <c r="T509" s="129">
        <f t="shared" si="1949"/>
        <v>96.670000000000016</v>
      </c>
      <c r="U509" s="129">
        <f t="shared" si="1950"/>
        <v>545.04</v>
      </c>
      <c r="V509" s="85">
        <f t="shared" si="1951"/>
        <v>2320.0800000000004</v>
      </c>
      <c r="W509" s="129" t="str">
        <f>'Consumer Hardware Pricing'!V519</f>
        <v>-</v>
      </c>
      <c r="X509" s="129" t="str">
        <f t="shared" si="1941"/>
        <v>-</v>
      </c>
      <c r="Y509" s="129" t="str">
        <f t="shared" si="1952"/>
        <v>-</v>
      </c>
      <c r="Z509" s="129" t="str">
        <f t="shared" si="1953"/>
        <v>-</v>
      </c>
      <c r="AA509" s="85" t="str">
        <f t="shared" si="1954"/>
        <v>-</v>
      </c>
      <c r="AB509" s="85">
        <f>'Consumer Hardware Pricing'!X519</f>
        <v>0</v>
      </c>
      <c r="AC509" s="85">
        <f t="shared" si="1756"/>
        <v>119.38000000000001</v>
      </c>
      <c r="AD509" s="85">
        <f>'Consumer Hardware Pricing'!Y519</f>
        <v>31.05</v>
      </c>
      <c r="AE509" s="85">
        <f t="shared" si="1955"/>
        <v>88.330000000000013</v>
      </c>
      <c r="AF509" s="85">
        <f t="shared" si="1956"/>
        <v>745.2</v>
      </c>
      <c r="AG509" s="85">
        <f t="shared" si="1957"/>
        <v>2119.92</v>
      </c>
      <c r="AH509" s="85" t="str">
        <f>'Consumer Hardware Pricing'!AA519</f>
        <v>-</v>
      </c>
      <c r="AI509" s="85" t="str">
        <f t="shared" si="1757"/>
        <v>-</v>
      </c>
      <c r="AJ509" s="85" t="str">
        <f t="shared" si="1958"/>
        <v>-</v>
      </c>
      <c r="AK509" s="85" t="str">
        <f t="shared" si="1959"/>
        <v>-</v>
      </c>
      <c r="AL509" s="85" t="str">
        <f t="shared" si="1960"/>
        <v>-</v>
      </c>
      <c r="AM509" s="85">
        <f>'Consumer Hardware Pricing'!AC519</f>
        <v>0</v>
      </c>
      <c r="AN509" s="85">
        <f t="shared" si="1758"/>
        <v>119.38000000000001</v>
      </c>
      <c r="AO509" s="85">
        <f>'Consumer Hardware Pricing'!AD519</f>
        <v>31.05</v>
      </c>
      <c r="AP509" s="85">
        <f t="shared" si="1961"/>
        <v>88.330000000000013</v>
      </c>
      <c r="AQ509" s="85">
        <f t="shared" si="1962"/>
        <v>745.2</v>
      </c>
      <c r="AR509" s="85">
        <f t="shared" si="1963"/>
        <v>2119.92</v>
      </c>
      <c r="AS509" s="85" t="str">
        <f>'Consumer Hardware Pricing'!AF519</f>
        <v>-</v>
      </c>
      <c r="AT509" s="85" t="str">
        <f t="shared" si="1759"/>
        <v>-</v>
      </c>
      <c r="AU509" s="85" t="str">
        <f t="shared" si="1964"/>
        <v>-</v>
      </c>
      <c r="AV509" s="85" t="str">
        <f t="shared" si="1965"/>
        <v>-</v>
      </c>
      <c r="AW509" s="85" t="str">
        <f t="shared" si="1966"/>
        <v>-</v>
      </c>
      <c r="AX509" s="85" t="str">
        <f>'Consumer Hardware Pricing'!AH519</f>
        <v>-</v>
      </c>
      <c r="AY509" s="85" t="str">
        <f t="shared" si="1760"/>
        <v>-</v>
      </c>
      <c r="AZ509" s="85" t="str">
        <f>'Consumer Hardware Pricing'!AI519</f>
        <v>-</v>
      </c>
      <c r="BA509" s="85" t="str">
        <f t="shared" si="1967"/>
        <v>-</v>
      </c>
      <c r="BB509" s="85" t="str">
        <f t="shared" si="1968"/>
        <v>-</v>
      </c>
      <c r="BC509" s="85" t="str">
        <f t="shared" si="1969"/>
        <v>-</v>
      </c>
      <c r="BD509" s="85" t="str">
        <f>'Consumer Hardware Pricing'!AL519</f>
        <v>-</v>
      </c>
      <c r="BE509" s="85" t="str">
        <f t="shared" si="1761"/>
        <v>-</v>
      </c>
      <c r="BF509" s="85" t="str">
        <f>'Consumer Hardware Pricing'!AM519</f>
        <v>-</v>
      </c>
      <c r="BG509" s="85" t="str">
        <f t="shared" si="1970"/>
        <v>-</v>
      </c>
      <c r="BH509" s="85" t="str">
        <f t="shared" si="1971"/>
        <v>-</v>
      </c>
      <c r="BI509" s="85" t="str">
        <f t="shared" si="1972"/>
        <v>-</v>
      </c>
      <c r="BJ509" s="85" t="str">
        <f>'Consumer Hardware Pricing'!AP519</f>
        <v>-</v>
      </c>
      <c r="BK509" s="85" t="str">
        <f t="shared" si="1762"/>
        <v>-</v>
      </c>
      <c r="BL509" s="85" t="str">
        <f>'Consumer Hardware Pricing'!AQ519</f>
        <v>-</v>
      </c>
      <c r="BM509" s="85" t="str">
        <f t="shared" si="1973"/>
        <v>-</v>
      </c>
      <c r="BN509" s="85" t="str">
        <f t="shared" si="1974"/>
        <v>-</v>
      </c>
      <c r="BO509" s="85" t="str">
        <f t="shared" si="1975"/>
        <v>-</v>
      </c>
      <c r="BP509" s="85" t="str">
        <f>'Consumer Hardware Pricing'!AT519</f>
        <v>-</v>
      </c>
      <c r="BQ509" s="85" t="str">
        <f t="shared" si="1763"/>
        <v>-</v>
      </c>
      <c r="BR509" s="85" t="str">
        <f>'Consumer Hardware Pricing'!AU519</f>
        <v>-</v>
      </c>
      <c r="BS509" s="85" t="str">
        <f t="shared" si="1976"/>
        <v>-</v>
      </c>
      <c r="BT509" s="85" t="str">
        <f t="shared" si="1977"/>
        <v>-</v>
      </c>
      <c r="BU509" s="85" t="str">
        <f t="shared" si="1978"/>
        <v>-</v>
      </c>
    </row>
    <row r="510" spans="1:73" ht="30.45" customHeight="1" x14ac:dyDescent="0.25">
      <c r="A510" s="87" t="s">
        <v>34</v>
      </c>
      <c r="B510" s="88" t="s">
        <v>1051</v>
      </c>
      <c r="C510" s="88" t="s">
        <v>1046</v>
      </c>
      <c r="D510" s="85">
        <f>'Consumer Hardware Pricing'!L520</f>
        <v>2865</v>
      </c>
      <c r="E510" s="85">
        <f>'Consumer Hardware Pricing'!M520</f>
        <v>2865</v>
      </c>
      <c r="F510" s="85">
        <f>'Consumer Hardware Pricing'!N520</f>
        <v>0</v>
      </c>
      <c r="G510" s="85">
        <f t="shared" si="1939"/>
        <v>119.38000000000001</v>
      </c>
      <c r="H510" s="85">
        <f>'Consumer Hardware Pricing'!O520</f>
        <v>22.71</v>
      </c>
      <c r="I510" s="85">
        <f t="shared" si="1942"/>
        <v>96.670000000000016</v>
      </c>
      <c r="J510" s="85">
        <f t="shared" si="1943"/>
        <v>545.04</v>
      </c>
      <c r="K510" s="85">
        <f t="shared" si="1944"/>
        <v>2320.0800000000004</v>
      </c>
      <c r="L510" s="85" t="str">
        <f>'Consumer Hardware Pricing'!Q520</f>
        <v>-</v>
      </c>
      <c r="M510" s="85" t="str">
        <f t="shared" si="1940"/>
        <v>-</v>
      </c>
      <c r="N510" s="85" t="str">
        <f t="shared" si="1945"/>
        <v>-</v>
      </c>
      <c r="O510" s="85" t="str">
        <f t="shared" si="1946"/>
        <v>-</v>
      </c>
      <c r="P510" s="85" t="str">
        <f t="shared" si="1947"/>
        <v>-</v>
      </c>
      <c r="Q510" s="85">
        <f>'Consumer Hardware Pricing'!S520</f>
        <v>0</v>
      </c>
      <c r="R510" s="85">
        <f t="shared" si="1948"/>
        <v>119.38000000000001</v>
      </c>
      <c r="S510" s="85">
        <f>'Consumer Hardware Pricing'!T520</f>
        <v>22.71</v>
      </c>
      <c r="T510" s="129">
        <f t="shared" si="1949"/>
        <v>96.670000000000016</v>
      </c>
      <c r="U510" s="129">
        <f t="shared" si="1950"/>
        <v>545.04</v>
      </c>
      <c r="V510" s="85">
        <f t="shared" si="1951"/>
        <v>2320.0800000000004</v>
      </c>
      <c r="W510" s="129" t="str">
        <f>'Consumer Hardware Pricing'!V520</f>
        <v>-</v>
      </c>
      <c r="X510" s="129" t="str">
        <f t="shared" si="1941"/>
        <v>-</v>
      </c>
      <c r="Y510" s="129" t="str">
        <f t="shared" si="1952"/>
        <v>-</v>
      </c>
      <c r="Z510" s="129" t="str">
        <f t="shared" si="1953"/>
        <v>-</v>
      </c>
      <c r="AA510" s="85" t="str">
        <f t="shared" si="1954"/>
        <v>-</v>
      </c>
      <c r="AB510" s="85">
        <f>'Consumer Hardware Pricing'!X520</f>
        <v>0</v>
      </c>
      <c r="AC510" s="85">
        <f t="shared" si="1756"/>
        <v>119.38000000000001</v>
      </c>
      <c r="AD510" s="85">
        <f>'Consumer Hardware Pricing'!Y520</f>
        <v>31.05</v>
      </c>
      <c r="AE510" s="85">
        <f t="shared" si="1955"/>
        <v>88.330000000000013</v>
      </c>
      <c r="AF510" s="85">
        <f t="shared" si="1956"/>
        <v>745.2</v>
      </c>
      <c r="AG510" s="85">
        <f t="shared" si="1957"/>
        <v>2119.92</v>
      </c>
      <c r="AH510" s="85" t="str">
        <f>'Consumer Hardware Pricing'!AA520</f>
        <v>-</v>
      </c>
      <c r="AI510" s="85" t="str">
        <f t="shared" si="1757"/>
        <v>-</v>
      </c>
      <c r="AJ510" s="85" t="str">
        <f t="shared" si="1958"/>
        <v>-</v>
      </c>
      <c r="AK510" s="85" t="str">
        <f t="shared" si="1959"/>
        <v>-</v>
      </c>
      <c r="AL510" s="85" t="str">
        <f t="shared" si="1960"/>
        <v>-</v>
      </c>
      <c r="AM510" s="85">
        <f>'Consumer Hardware Pricing'!AC520</f>
        <v>0</v>
      </c>
      <c r="AN510" s="85">
        <f t="shared" si="1758"/>
        <v>119.38000000000001</v>
      </c>
      <c r="AO510" s="85">
        <f>'Consumer Hardware Pricing'!AD520</f>
        <v>31.05</v>
      </c>
      <c r="AP510" s="85">
        <f t="shared" si="1961"/>
        <v>88.330000000000013</v>
      </c>
      <c r="AQ510" s="85">
        <f t="shared" si="1962"/>
        <v>745.2</v>
      </c>
      <c r="AR510" s="85">
        <f t="shared" si="1963"/>
        <v>2119.92</v>
      </c>
      <c r="AS510" s="85" t="str">
        <f>'Consumer Hardware Pricing'!AF520</f>
        <v>-</v>
      </c>
      <c r="AT510" s="85" t="str">
        <f t="shared" si="1759"/>
        <v>-</v>
      </c>
      <c r="AU510" s="85" t="str">
        <f t="shared" si="1964"/>
        <v>-</v>
      </c>
      <c r="AV510" s="85" t="str">
        <f t="shared" si="1965"/>
        <v>-</v>
      </c>
      <c r="AW510" s="85" t="str">
        <f t="shared" si="1966"/>
        <v>-</v>
      </c>
      <c r="AX510" s="85" t="str">
        <f>'Consumer Hardware Pricing'!AH520</f>
        <v>-</v>
      </c>
      <c r="AY510" s="85" t="str">
        <f t="shared" si="1760"/>
        <v>-</v>
      </c>
      <c r="AZ510" s="85" t="str">
        <f>'Consumer Hardware Pricing'!AI520</f>
        <v>-</v>
      </c>
      <c r="BA510" s="85" t="str">
        <f t="shared" si="1967"/>
        <v>-</v>
      </c>
      <c r="BB510" s="85" t="str">
        <f t="shared" si="1968"/>
        <v>-</v>
      </c>
      <c r="BC510" s="85" t="str">
        <f t="shared" si="1969"/>
        <v>-</v>
      </c>
      <c r="BD510" s="85" t="str">
        <f>'Consumer Hardware Pricing'!AL520</f>
        <v>-</v>
      </c>
      <c r="BE510" s="85" t="str">
        <f t="shared" si="1761"/>
        <v>-</v>
      </c>
      <c r="BF510" s="85" t="str">
        <f>'Consumer Hardware Pricing'!AM520</f>
        <v>-</v>
      </c>
      <c r="BG510" s="85" t="str">
        <f t="shared" si="1970"/>
        <v>-</v>
      </c>
      <c r="BH510" s="85" t="str">
        <f t="shared" si="1971"/>
        <v>-</v>
      </c>
      <c r="BI510" s="85" t="str">
        <f t="shared" si="1972"/>
        <v>-</v>
      </c>
      <c r="BJ510" s="85" t="str">
        <f>'Consumer Hardware Pricing'!AP520</f>
        <v>-</v>
      </c>
      <c r="BK510" s="85" t="str">
        <f t="shared" si="1762"/>
        <v>-</v>
      </c>
      <c r="BL510" s="85" t="str">
        <f>'Consumer Hardware Pricing'!AQ520</f>
        <v>-</v>
      </c>
      <c r="BM510" s="85" t="str">
        <f t="shared" si="1973"/>
        <v>-</v>
      </c>
      <c r="BN510" s="85" t="str">
        <f t="shared" si="1974"/>
        <v>-</v>
      </c>
      <c r="BO510" s="85" t="str">
        <f t="shared" si="1975"/>
        <v>-</v>
      </c>
      <c r="BP510" s="85" t="str">
        <f>'Consumer Hardware Pricing'!AT520</f>
        <v>-</v>
      </c>
      <c r="BQ510" s="85" t="str">
        <f t="shared" si="1763"/>
        <v>-</v>
      </c>
      <c r="BR510" s="85" t="str">
        <f>'Consumer Hardware Pricing'!AU520</f>
        <v>-</v>
      </c>
      <c r="BS510" s="85" t="str">
        <f t="shared" si="1976"/>
        <v>-</v>
      </c>
      <c r="BT510" s="85" t="str">
        <f t="shared" si="1977"/>
        <v>-</v>
      </c>
      <c r="BU510" s="85" t="str">
        <f t="shared" si="1978"/>
        <v>-</v>
      </c>
    </row>
    <row r="511" spans="1:73" ht="30.45" customHeight="1" x14ac:dyDescent="0.25">
      <c r="A511" s="87" t="s">
        <v>34</v>
      </c>
      <c r="B511" s="88" t="s">
        <v>1052</v>
      </c>
      <c r="C511" s="88" t="s">
        <v>1046</v>
      </c>
      <c r="D511" s="85">
        <f>'Consumer Hardware Pricing'!L521</f>
        <v>2865</v>
      </c>
      <c r="E511" s="85">
        <f>'Consumer Hardware Pricing'!M521</f>
        <v>2865</v>
      </c>
      <c r="F511" s="85">
        <f>'Consumer Hardware Pricing'!N521</f>
        <v>0</v>
      </c>
      <c r="G511" s="85">
        <f t="shared" si="1939"/>
        <v>119.38000000000001</v>
      </c>
      <c r="H511" s="85">
        <f>'Consumer Hardware Pricing'!O521</f>
        <v>22.71</v>
      </c>
      <c r="I511" s="85">
        <f t="shared" si="1942"/>
        <v>96.670000000000016</v>
      </c>
      <c r="J511" s="85">
        <f t="shared" si="1943"/>
        <v>545.04</v>
      </c>
      <c r="K511" s="85">
        <f t="shared" si="1944"/>
        <v>2320.0800000000004</v>
      </c>
      <c r="L511" s="85" t="str">
        <f>'Consumer Hardware Pricing'!Q521</f>
        <v>-</v>
      </c>
      <c r="M511" s="85" t="str">
        <f t="shared" si="1940"/>
        <v>-</v>
      </c>
      <c r="N511" s="85" t="str">
        <f t="shared" si="1945"/>
        <v>-</v>
      </c>
      <c r="O511" s="85" t="str">
        <f t="shared" si="1946"/>
        <v>-</v>
      </c>
      <c r="P511" s="85" t="str">
        <f t="shared" si="1947"/>
        <v>-</v>
      </c>
      <c r="Q511" s="85">
        <f>'Consumer Hardware Pricing'!S521</f>
        <v>0</v>
      </c>
      <c r="R511" s="85">
        <f t="shared" si="1948"/>
        <v>119.38000000000001</v>
      </c>
      <c r="S511" s="85">
        <f>'Consumer Hardware Pricing'!T521</f>
        <v>22.71</v>
      </c>
      <c r="T511" s="129">
        <f t="shared" si="1949"/>
        <v>96.670000000000016</v>
      </c>
      <c r="U511" s="129">
        <f t="shared" si="1950"/>
        <v>545.04</v>
      </c>
      <c r="V511" s="85">
        <f t="shared" si="1951"/>
        <v>2320.0800000000004</v>
      </c>
      <c r="W511" s="129" t="str">
        <f>'Consumer Hardware Pricing'!V521</f>
        <v>-</v>
      </c>
      <c r="X511" s="129" t="str">
        <f t="shared" si="1941"/>
        <v>-</v>
      </c>
      <c r="Y511" s="129" t="str">
        <f t="shared" si="1952"/>
        <v>-</v>
      </c>
      <c r="Z511" s="129" t="str">
        <f t="shared" si="1953"/>
        <v>-</v>
      </c>
      <c r="AA511" s="85" t="str">
        <f t="shared" si="1954"/>
        <v>-</v>
      </c>
      <c r="AB511" s="85">
        <f>'Consumer Hardware Pricing'!X521</f>
        <v>0</v>
      </c>
      <c r="AC511" s="85">
        <f t="shared" si="1756"/>
        <v>119.38000000000001</v>
      </c>
      <c r="AD511" s="85">
        <f>'Consumer Hardware Pricing'!Y521</f>
        <v>31.05</v>
      </c>
      <c r="AE511" s="85">
        <f t="shared" si="1955"/>
        <v>88.330000000000013</v>
      </c>
      <c r="AF511" s="85">
        <f t="shared" si="1956"/>
        <v>745.2</v>
      </c>
      <c r="AG511" s="85">
        <f t="shared" si="1957"/>
        <v>2119.92</v>
      </c>
      <c r="AH511" s="85" t="str">
        <f>'Consumer Hardware Pricing'!AA521</f>
        <v>-</v>
      </c>
      <c r="AI511" s="85" t="str">
        <f t="shared" si="1757"/>
        <v>-</v>
      </c>
      <c r="AJ511" s="85" t="str">
        <f t="shared" si="1958"/>
        <v>-</v>
      </c>
      <c r="AK511" s="85" t="str">
        <f t="shared" si="1959"/>
        <v>-</v>
      </c>
      <c r="AL511" s="85" t="str">
        <f t="shared" si="1960"/>
        <v>-</v>
      </c>
      <c r="AM511" s="85">
        <f>'Consumer Hardware Pricing'!AC521</f>
        <v>0</v>
      </c>
      <c r="AN511" s="85">
        <f t="shared" si="1758"/>
        <v>119.38000000000001</v>
      </c>
      <c r="AO511" s="85">
        <f>'Consumer Hardware Pricing'!AD521</f>
        <v>31.05</v>
      </c>
      <c r="AP511" s="85">
        <f t="shared" si="1961"/>
        <v>88.330000000000013</v>
      </c>
      <c r="AQ511" s="85">
        <f t="shared" si="1962"/>
        <v>745.2</v>
      </c>
      <c r="AR511" s="85">
        <f t="shared" si="1963"/>
        <v>2119.92</v>
      </c>
      <c r="AS511" s="85" t="str">
        <f>'Consumer Hardware Pricing'!AF521</f>
        <v>-</v>
      </c>
      <c r="AT511" s="85" t="str">
        <f t="shared" si="1759"/>
        <v>-</v>
      </c>
      <c r="AU511" s="85" t="str">
        <f t="shared" si="1964"/>
        <v>-</v>
      </c>
      <c r="AV511" s="85" t="str">
        <f t="shared" si="1965"/>
        <v>-</v>
      </c>
      <c r="AW511" s="85" t="str">
        <f t="shared" si="1966"/>
        <v>-</v>
      </c>
      <c r="AX511" s="85" t="str">
        <f>'Consumer Hardware Pricing'!AH521</f>
        <v>-</v>
      </c>
      <c r="AY511" s="85" t="str">
        <f t="shared" si="1760"/>
        <v>-</v>
      </c>
      <c r="AZ511" s="85" t="str">
        <f>'Consumer Hardware Pricing'!AI521</f>
        <v>-</v>
      </c>
      <c r="BA511" s="85" t="str">
        <f t="shared" si="1967"/>
        <v>-</v>
      </c>
      <c r="BB511" s="85" t="str">
        <f t="shared" si="1968"/>
        <v>-</v>
      </c>
      <c r="BC511" s="85" t="str">
        <f t="shared" si="1969"/>
        <v>-</v>
      </c>
      <c r="BD511" s="85" t="str">
        <f>'Consumer Hardware Pricing'!AL521</f>
        <v>-</v>
      </c>
      <c r="BE511" s="85" t="str">
        <f t="shared" si="1761"/>
        <v>-</v>
      </c>
      <c r="BF511" s="85" t="str">
        <f>'Consumer Hardware Pricing'!AM521</f>
        <v>-</v>
      </c>
      <c r="BG511" s="85" t="str">
        <f t="shared" si="1970"/>
        <v>-</v>
      </c>
      <c r="BH511" s="85" t="str">
        <f t="shared" si="1971"/>
        <v>-</v>
      </c>
      <c r="BI511" s="85" t="str">
        <f t="shared" si="1972"/>
        <v>-</v>
      </c>
      <c r="BJ511" s="85" t="str">
        <f>'Consumer Hardware Pricing'!AP521</f>
        <v>-</v>
      </c>
      <c r="BK511" s="85" t="str">
        <f t="shared" si="1762"/>
        <v>-</v>
      </c>
      <c r="BL511" s="85" t="str">
        <f>'Consumer Hardware Pricing'!AQ521</f>
        <v>-</v>
      </c>
      <c r="BM511" s="85" t="str">
        <f t="shared" si="1973"/>
        <v>-</v>
      </c>
      <c r="BN511" s="85" t="str">
        <f t="shared" si="1974"/>
        <v>-</v>
      </c>
      <c r="BO511" s="85" t="str">
        <f t="shared" si="1975"/>
        <v>-</v>
      </c>
      <c r="BP511" s="85" t="str">
        <f>'Consumer Hardware Pricing'!AT521</f>
        <v>-</v>
      </c>
      <c r="BQ511" s="85" t="str">
        <f t="shared" si="1763"/>
        <v>-</v>
      </c>
      <c r="BR511" s="85" t="str">
        <f>'Consumer Hardware Pricing'!AU521</f>
        <v>-</v>
      </c>
      <c r="BS511" s="85" t="str">
        <f t="shared" si="1976"/>
        <v>-</v>
      </c>
      <c r="BT511" s="85" t="str">
        <f t="shared" si="1977"/>
        <v>-</v>
      </c>
      <c r="BU511" s="85" t="str">
        <f t="shared" si="1978"/>
        <v>-</v>
      </c>
    </row>
    <row r="512" spans="1:73" ht="30.45" customHeight="1" x14ac:dyDescent="0.25">
      <c r="A512" s="87" t="s">
        <v>34</v>
      </c>
      <c r="B512" s="88" t="s">
        <v>1053</v>
      </c>
      <c r="C512" s="88" t="s">
        <v>1046</v>
      </c>
      <c r="D512" s="85">
        <f>'Consumer Hardware Pricing'!L522</f>
        <v>2865</v>
      </c>
      <c r="E512" s="85">
        <f>'Consumer Hardware Pricing'!M522</f>
        <v>2865</v>
      </c>
      <c r="F512" s="85">
        <f>'Consumer Hardware Pricing'!N522</f>
        <v>0</v>
      </c>
      <c r="G512" s="85">
        <f t="shared" si="1939"/>
        <v>119.38000000000001</v>
      </c>
      <c r="H512" s="85">
        <f>'Consumer Hardware Pricing'!O522</f>
        <v>22.71</v>
      </c>
      <c r="I512" s="85">
        <f t="shared" si="1942"/>
        <v>96.670000000000016</v>
      </c>
      <c r="J512" s="85">
        <f t="shared" si="1943"/>
        <v>545.04</v>
      </c>
      <c r="K512" s="85">
        <f t="shared" si="1944"/>
        <v>2320.0800000000004</v>
      </c>
      <c r="L512" s="85" t="str">
        <f>'Consumer Hardware Pricing'!Q522</f>
        <v>-</v>
      </c>
      <c r="M512" s="85" t="str">
        <f t="shared" si="1940"/>
        <v>-</v>
      </c>
      <c r="N512" s="85" t="str">
        <f t="shared" si="1945"/>
        <v>-</v>
      </c>
      <c r="O512" s="85" t="str">
        <f t="shared" si="1946"/>
        <v>-</v>
      </c>
      <c r="P512" s="85" t="str">
        <f t="shared" si="1947"/>
        <v>-</v>
      </c>
      <c r="Q512" s="85">
        <f>'Consumer Hardware Pricing'!S522</f>
        <v>0</v>
      </c>
      <c r="R512" s="85">
        <f t="shared" si="1948"/>
        <v>119.38000000000001</v>
      </c>
      <c r="S512" s="85">
        <f>'Consumer Hardware Pricing'!T522</f>
        <v>22.71</v>
      </c>
      <c r="T512" s="129">
        <f t="shared" si="1949"/>
        <v>96.670000000000016</v>
      </c>
      <c r="U512" s="129">
        <f t="shared" si="1950"/>
        <v>545.04</v>
      </c>
      <c r="V512" s="85">
        <f t="shared" si="1951"/>
        <v>2320.0800000000004</v>
      </c>
      <c r="W512" s="129" t="str">
        <f>'Consumer Hardware Pricing'!V522</f>
        <v>-</v>
      </c>
      <c r="X512" s="129" t="str">
        <f t="shared" si="1941"/>
        <v>-</v>
      </c>
      <c r="Y512" s="129" t="str">
        <f t="shared" si="1952"/>
        <v>-</v>
      </c>
      <c r="Z512" s="129" t="str">
        <f t="shared" si="1953"/>
        <v>-</v>
      </c>
      <c r="AA512" s="85" t="str">
        <f t="shared" si="1954"/>
        <v>-</v>
      </c>
      <c r="AB512" s="85">
        <f>'Consumer Hardware Pricing'!X522</f>
        <v>0</v>
      </c>
      <c r="AC512" s="85">
        <f t="shared" si="1756"/>
        <v>119.38000000000001</v>
      </c>
      <c r="AD512" s="85">
        <f>'Consumer Hardware Pricing'!Y522</f>
        <v>31.05</v>
      </c>
      <c r="AE512" s="85">
        <f t="shared" si="1955"/>
        <v>88.330000000000013</v>
      </c>
      <c r="AF512" s="85">
        <f t="shared" si="1956"/>
        <v>745.2</v>
      </c>
      <c r="AG512" s="85">
        <f t="shared" si="1957"/>
        <v>2119.92</v>
      </c>
      <c r="AH512" s="85" t="str">
        <f>'Consumer Hardware Pricing'!AA522</f>
        <v>-</v>
      </c>
      <c r="AI512" s="85" t="str">
        <f t="shared" si="1757"/>
        <v>-</v>
      </c>
      <c r="AJ512" s="85" t="str">
        <f t="shared" si="1958"/>
        <v>-</v>
      </c>
      <c r="AK512" s="85" t="str">
        <f t="shared" si="1959"/>
        <v>-</v>
      </c>
      <c r="AL512" s="85" t="str">
        <f t="shared" si="1960"/>
        <v>-</v>
      </c>
      <c r="AM512" s="85">
        <f>'Consumer Hardware Pricing'!AC522</f>
        <v>0</v>
      </c>
      <c r="AN512" s="85">
        <f t="shared" si="1758"/>
        <v>119.38000000000001</v>
      </c>
      <c r="AO512" s="85">
        <f>'Consumer Hardware Pricing'!AD522</f>
        <v>31.05</v>
      </c>
      <c r="AP512" s="85">
        <f t="shared" si="1961"/>
        <v>88.330000000000013</v>
      </c>
      <c r="AQ512" s="85">
        <f t="shared" si="1962"/>
        <v>745.2</v>
      </c>
      <c r="AR512" s="85">
        <f t="shared" si="1963"/>
        <v>2119.92</v>
      </c>
      <c r="AS512" s="85" t="str">
        <f>'Consumer Hardware Pricing'!AF522</f>
        <v>-</v>
      </c>
      <c r="AT512" s="85" t="str">
        <f t="shared" si="1759"/>
        <v>-</v>
      </c>
      <c r="AU512" s="85" t="str">
        <f t="shared" si="1964"/>
        <v>-</v>
      </c>
      <c r="AV512" s="85" t="str">
        <f t="shared" si="1965"/>
        <v>-</v>
      </c>
      <c r="AW512" s="85" t="str">
        <f t="shared" si="1966"/>
        <v>-</v>
      </c>
      <c r="AX512" s="85" t="str">
        <f>'Consumer Hardware Pricing'!AH522</f>
        <v>-</v>
      </c>
      <c r="AY512" s="85" t="str">
        <f t="shared" si="1760"/>
        <v>-</v>
      </c>
      <c r="AZ512" s="85" t="str">
        <f>'Consumer Hardware Pricing'!AI522</f>
        <v>-</v>
      </c>
      <c r="BA512" s="85" t="str">
        <f t="shared" si="1967"/>
        <v>-</v>
      </c>
      <c r="BB512" s="85" t="str">
        <f t="shared" si="1968"/>
        <v>-</v>
      </c>
      <c r="BC512" s="85" t="str">
        <f t="shared" si="1969"/>
        <v>-</v>
      </c>
      <c r="BD512" s="85" t="str">
        <f>'Consumer Hardware Pricing'!AL522</f>
        <v>-</v>
      </c>
      <c r="BE512" s="85" t="str">
        <f t="shared" si="1761"/>
        <v>-</v>
      </c>
      <c r="BF512" s="85" t="str">
        <f>'Consumer Hardware Pricing'!AM522</f>
        <v>-</v>
      </c>
      <c r="BG512" s="85" t="str">
        <f t="shared" si="1970"/>
        <v>-</v>
      </c>
      <c r="BH512" s="85" t="str">
        <f t="shared" si="1971"/>
        <v>-</v>
      </c>
      <c r="BI512" s="85" t="str">
        <f t="shared" si="1972"/>
        <v>-</v>
      </c>
      <c r="BJ512" s="85" t="str">
        <f>'Consumer Hardware Pricing'!AP522</f>
        <v>-</v>
      </c>
      <c r="BK512" s="85" t="str">
        <f t="shared" si="1762"/>
        <v>-</v>
      </c>
      <c r="BL512" s="85" t="str">
        <f>'Consumer Hardware Pricing'!AQ522</f>
        <v>-</v>
      </c>
      <c r="BM512" s="85" t="str">
        <f t="shared" si="1973"/>
        <v>-</v>
      </c>
      <c r="BN512" s="85" t="str">
        <f t="shared" si="1974"/>
        <v>-</v>
      </c>
      <c r="BO512" s="85" t="str">
        <f t="shared" si="1975"/>
        <v>-</v>
      </c>
      <c r="BP512" s="85" t="str">
        <f>'Consumer Hardware Pricing'!AT522</f>
        <v>-</v>
      </c>
      <c r="BQ512" s="85" t="str">
        <f t="shared" si="1763"/>
        <v>-</v>
      </c>
      <c r="BR512" s="85" t="str">
        <f>'Consumer Hardware Pricing'!AU522</f>
        <v>-</v>
      </c>
      <c r="BS512" s="85" t="str">
        <f t="shared" si="1976"/>
        <v>-</v>
      </c>
      <c r="BT512" s="85" t="str">
        <f t="shared" si="1977"/>
        <v>-</v>
      </c>
      <c r="BU512" s="85" t="str">
        <f t="shared" si="1978"/>
        <v>-</v>
      </c>
    </row>
    <row r="513" spans="1:73" ht="30.45" customHeight="1" x14ac:dyDescent="0.25">
      <c r="A513" s="87" t="s">
        <v>34</v>
      </c>
      <c r="B513" s="88" t="s">
        <v>1054</v>
      </c>
      <c r="C513" s="88" t="s">
        <v>1046</v>
      </c>
      <c r="D513" s="85">
        <f>'Consumer Hardware Pricing'!L523</f>
        <v>2865</v>
      </c>
      <c r="E513" s="85">
        <f>'Consumer Hardware Pricing'!M523</f>
        <v>2865</v>
      </c>
      <c r="F513" s="85">
        <f>'Consumer Hardware Pricing'!N523</f>
        <v>0</v>
      </c>
      <c r="G513" s="85">
        <f t="shared" si="1939"/>
        <v>119.38000000000001</v>
      </c>
      <c r="H513" s="85">
        <f>'Consumer Hardware Pricing'!O523</f>
        <v>22.71</v>
      </c>
      <c r="I513" s="85">
        <f t="shared" si="1942"/>
        <v>96.670000000000016</v>
      </c>
      <c r="J513" s="85">
        <f t="shared" si="1943"/>
        <v>545.04</v>
      </c>
      <c r="K513" s="85">
        <f t="shared" si="1944"/>
        <v>2320.0800000000004</v>
      </c>
      <c r="L513" s="85" t="str">
        <f>'Consumer Hardware Pricing'!Q523</f>
        <v>-</v>
      </c>
      <c r="M513" s="85" t="str">
        <f t="shared" si="1940"/>
        <v>-</v>
      </c>
      <c r="N513" s="85" t="str">
        <f t="shared" si="1945"/>
        <v>-</v>
      </c>
      <c r="O513" s="85" t="str">
        <f t="shared" si="1946"/>
        <v>-</v>
      </c>
      <c r="P513" s="85" t="str">
        <f t="shared" si="1947"/>
        <v>-</v>
      </c>
      <c r="Q513" s="85">
        <f>'Consumer Hardware Pricing'!S523</f>
        <v>0</v>
      </c>
      <c r="R513" s="85">
        <f t="shared" si="1948"/>
        <v>119.38000000000001</v>
      </c>
      <c r="S513" s="85">
        <f>'Consumer Hardware Pricing'!T523</f>
        <v>22.71</v>
      </c>
      <c r="T513" s="129">
        <f t="shared" si="1949"/>
        <v>96.670000000000016</v>
      </c>
      <c r="U513" s="129">
        <f t="shared" si="1950"/>
        <v>545.04</v>
      </c>
      <c r="V513" s="85">
        <f t="shared" si="1951"/>
        <v>2320.0800000000004</v>
      </c>
      <c r="W513" s="129" t="str">
        <f>'Consumer Hardware Pricing'!V523</f>
        <v>-</v>
      </c>
      <c r="X513" s="129" t="str">
        <f t="shared" si="1941"/>
        <v>-</v>
      </c>
      <c r="Y513" s="129" t="str">
        <f t="shared" si="1952"/>
        <v>-</v>
      </c>
      <c r="Z513" s="129" t="str">
        <f t="shared" si="1953"/>
        <v>-</v>
      </c>
      <c r="AA513" s="85" t="str">
        <f t="shared" si="1954"/>
        <v>-</v>
      </c>
      <c r="AB513" s="85">
        <f>'Consumer Hardware Pricing'!X523</f>
        <v>0</v>
      </c>
      <c r="AC513" s="85">
        <f t="shared" si="1756"/>
        <v>119.38000000000001</v>
      </c>
      <c r="AD513" s="85">
        <f>'Consumer Hardware Pricing'!Y523</f>
        <v>31.05</v>
      </c>
      <c r="AE513" s="85">
        <f t="shared" si="1955"/>
        <v>88.330000000000013</v>
      </c>
      <c r="AF513" s="85">
        <f t="shared" si="1956"/>
        <v>745.2</v>
      </c>
      <c r="AG513" s="85">
        <f t="shared" si="1957"/>
        <v>2119.92</v>
      </c>
      <c r="AH513" s="85" t="str">
        <f>'Consumer Hardware Pricing'!AA523</f>
        <v>-</v>
      </c>
      <c r="AI513" s="85" t="str">
        <f t="shared" si="1757"/>
        <v>-</v>
      </c>
      <c r="AJ513" s="85" t="str">
        <f t="shared" si="1958"/>
        <v>-</v>
      </c>
      <c r="AK513" s="85" t="str">
        <f t="shared" si="1959"/>
        <v>-</v>
      </c>
      <c r="AL513" s="85" t="str">
        <f t="shared" si="1960"/>
        <v>-</v>
      </c>
      <c r="AM513" s="85">
        <f>'Consumer Hardware Pricing'!AC523</f>
        <v>0</v>
      </c>
      <c r="AN513" s="85">
        <f t="shared" si="1758"/>
        <v>119.38000000000001</v>
      </c>
      <c r="AO513" s="85">
        <f>'Consumer Hardware Pricing'!AD523</f>
        <v>31.05</v>
      </c>
      <c r="AP513" s="85">
        <f t="shared" si="1961"/>
        <v>88.330000000000013</v>
      </c>
      <c r="AQ513" s="85">
        <f t="shared" si="1962"/>
        <v>745.2</v>
      </c>
      <c r="AR513" s="85">
        <f t="shared" si="1963"/>
        <v>2119.92</v>
      </c>
      <c r="AS513" s="85" t="str">
        <f>'Consumer Hardware Pricing'!AF523</f>
        <v>-</v>
      </c>
      <c r="AT513" s="85" t="str">
        <f t="shared" si="1759"/>
        <v>-</v>
      </c>
      <c r="AU513" s="85" t="str">
        <f t="shared" si="1964"/>
        <v>-</v>
      </c>
      <c r="AV513" s="85" t="str">
        <f t="shared" si="1965"/>
        <v>-</v>
      </c>
      <c r="AW513" s="85" t="str">
        <f t="shared" si="1966"/>
        <v>-</v>
      </c>
      <c r="AX513" s="85" t="str">
        <f>'Consumer Hardware Pricing'!AH523</f>
        <v>-</v>
      </c>
      <c r="AY513" s="85" t="str">
        <f t="shared" si="1760"/>
        <v>-</v>
      </c>
      <c r="AZ513" s="85" t="str">
        <f>'Consumer Hardware Pricing'!AI523</f>
        <v>-</v>
      </c>
      <c r="BA513" s="85" t="str">
        <f t="shared" si="1967"/>
        <v>-</v>
      </c>
      <c r="BB513" s="85" t="str">
        <f t="shared" si="1968"/>
        <v>-</v>
      </c>
      <c r="BC513" s="85" t="str">
        <f t="shared" si="1969"/>
        <v>-</v>
      </c>
      <c r="BD513" s="85" t="str">
        <f>'Consumer Hardware Pricing'!AL523</f>
        <v>-</v>
      </c>
      <c r="BE513" s="85" t="str">
        <f t="shared" si="1761"/>
        <v>-</v>
      </c>
      <c r="BF513" s="85" t="str">
        <f>'Consumer Hardware Pricing'!AM523</f>
        <v>-</v>
      </c>
      <c r="BG513" s="85" t="str">
        <f t="shared" si="1970"/>
        <v>-</v>
      </c>
      <c r="BH513" s="85" t="str">
        <f t="shared" si="1971"/>
        <v>-</v>
      </c>
      <c r="BI513" s="85" t="str">
        <f t="shared" si="1972"/>
        <v>-</v>
      </c>
      <c r="BJ513" s="85" t="str">
        <f>'Consumer Hardware Pricing'!AP523</f>
        <v>-</v>
      </c>
      <c r="BK513" s="85" t="str">
        <f t="shared" si="1762"/>
        <v>-</v>
      </c>
      <c r="BL513" s="85" t="str">
        <f>'Consumer Hardware Pricing'!AQ523</f>
        <v>-</v>
      </c>
      <c r="BM513" s="85" t="str">
        <f t="shared" si="1973"/>
        <v>-</v>
      </c>
      <c r="BN513" s="85" t="str">
        <f t="shared" si="1974"/>
        <v>-</v>
      </c>
      <c r="BO513" s="85" t="str">
        <f t="shared" si="1975"/>
        <v>-</v>
      </c>
      <c r="BP513" s="85" t="str">
        <f>'Consumer Hardware Pricing'!AT523</f>
        <v>-</v>
      </c>
      <c r="BQ513" s="85" t="str">
        <f t="shared" si="1763"/>
        <v>-</v>
      </c>
      <c r="BR513" s="85" t="str">
        <f>'Consumer Hardware Pricing'!AU523</f>
        <v>-</v>
      </c>
      <c r="BS513" s="85" t="str">
        <f t="shared" si="1976"/>
        <v>-</v>
      </c>
      <c r="BT513" s="85" t="str">
        <f t="shared" si="1977"/>
        <v>-</v>
      </c>
      <c r="BU513" s="85" t="str">
        <f t="shared" si="1978"/>
        <v>-</v>
      </c>
    </row>
    <row r="514" spans="1:73" ht="30.45" customHeight="1" x14ac:dyDescent="0.25">
      <c r="A514" s="87" t="s">
        <v>34</v>
      </c>
      <c r="B514" s="88" t="s">
        <v>1055</v>
      </c>
      <c r="C514" s="88" t="s">
        <v>1046</v>
      </c>
      <c r="D514" s="85">
        <f>'Consumer Hardware Pricing'!L524</f>
        <v>2865</v>
      </c>
      <c r="E514" s="85">
        <f>'Consumer Hardware Pricing'!M524</f>
        <v>2865</v>
      </c>
      <c r="F514" s="85">
        <f>'Consumer Hardware Pricing'!N524</f>
        <v>0</v>
      </c>
      <c r="G514" s="85">
        <f t="shared" si="1939"/>
        <v>119.38000000000001</v>
      </c>
      <c r="H514" s="85">
        <f>'Consumer Hardware Pricing'!O524</f>
        <v>22.71</v>
      </c>
      <c r="I514" s="85">
        <f t="shared" si="1942"/>
        <v>96.670000000000016</v>
      </c>
      <c r="J514" s="85">
        <f t="shared" si="1943"/>
        <v>545.04</v>
      </c>
      <c r="K514" s="85">
        <f t="shared" si="1944"/>
        <v>2320.0800000000004</v>
      </c>
      <c r="L514" s="85" t="str">
        <f>'Consumer Hardware Pricing'!Q524</f>
        <v>-</v>
      </c>
      <c r="M514" s="85" t="str">
        <f t="shared" si="1940"/>
        <v>-</v>
      </c>
      <c r="N514" s="85" t="str">
        <f t="shared" si="1945"/>
        <v>-</v>
      </c>
      <c r="O514" s="85" t="str">
        <f t="shared" si="1946"/>
        <v>-</v>
      </c>
      <c r="P514" s="85" t="str">
        <f t="shared" si="1947"/>
        <v>-</v>
      </c>
      <c r="Q514" s="85">
        <f>'Consumer Hardware Pricing'!S524</f>
        <v>0</v>
      </c>
      <c r="R514" s="85">
        <f t="shared" si="1948"/>
        <v>119.38000000000001</v>
      </c>
      <c r="S514" s="85">
        <f>'Consumer Hardware Pricing'!T524</f>
        <v>22.71</v>
      </c>
      <c r="T514" s="129">
        <f t="shared" si="1949"/>
        <v>96.670000000000016</v>
      </c>
      <c r="U514" s="129">
        <f t="shared" si="1950"/>
        <v>545.04</v>
      </c>
      <c r="V514" s="85">
        <f t="shared" si="1951"/>
        <v>2320.0800000000004</v>
      </c>
      <c r="W514" s="129" t="str">
        <f>'Consumer Hardware Pricing'!V524</f>
        <v>-</v>
      </c>
      <c r="X514" s="129" t="str">
        <f t="shared" si="1941"/>
        <v>-</v>
      </c>
      <c r="Y514" s="129" t="str">
        <f t="shared" si="1952"/>
        <v>-</v>
      </c>
      <c r="Z514" s="129" t="str">
        <f t="shared" si="1953"/>
        <v>-</v>
      </c>
      <c r="AA514" s="85" t="str">
        <f t="shared" si="1954"/>
        <v>-</v>
      </c>
      <c r="AB514" s="85">
        <f>'Consumer Hardware Pricing'!X524</f>
        <v>0</v>
      </c>
      <c r="AC514" s="85">
        <f t="shared" si="1756"/>
        <v>119.38000000000001</v>
      </c>
      <c r="AD514" s="85">
        <f>'Consumer Hardware Pricing'!Y524</f>
        <v>31.05</v>
      </c>
      <c r="AE514" s="85">
        <f t="shared" si="1955"/>
        <v>88.330000000000013</v>
      </c>
      <c r="AF514" s="85">
        <f t="shared" si="1956"/>
        <v>745.2</v>
      </c>
      <c r="AG514" s="85">
        <f t="shared" si="1957"/>
        <v>2119.92</v>
      </c>
      <c r="AH514" s="85" t="str">
        <f>'Consumer Hardware Pricing'!AA524</f>
        <v>-</v>
      </c>
      <c r="AI514" s="85" t="str">
        <f t="shared" si="1757"/>
        <v>-</v>
      </c>
      <c r="AJ514" s="85" t="str">
        <f t="shared" si="1958"/>
        <v>-</v>
      </c>
      <c r="AK514" s="85" t="str">
        <f t="shared" si="1959"/>
        <v>-</v>
      </c>
      <c r="AL514" s="85" t="str">
        <f t="shared" si="1960"/>
        <v>-</v>
      </c>
      <c r="AM514" s="85">
        <f>'Consumer Hardware Pricing'!AC524</f>
        <v>0</v>
      </c>
      <c r="AN514" s="85">
        <f t="shared" si="1758"/>
        <v>119.38000000000001</v>
      </c>
      <c r="AO514" s="85">
        <f>'Consumer Hardware Pricing'!AD524</f>
        <v>31.05</v>
      </c>
      <c r="AP514" s="85">
        <f t="shared" si="1961"/>
        <v>88.330000000000013</v>
      </c>
      <c r="AQ514" s="85">
        <f t="shared" si="1962"/>
        <v>745.2</v>
      </c>
      <c r="AR514" s="85">
        <f t="shared" si="1963"/>
        <v>2119.92</v>
      </c>
      <c r="AS514" s="85" t="str">
        <f>'Consumer Hardware Pricing'!AF524</f>
        <v>-</v>
      </c>
      <c r="AT514" s="85" t="str">
        <f t="shared" si="1759"/>
        <v>-</v>
      </c>
      <c r="AU514" s="85" t="str">
        <f t="shared" si="1964"/>
        <v>-</v>
      </c>
      <c r="AV514" s="85" t="str">
        <f t="shared" si="1965"/>
        <v>-</v>
      </c>
      <c r="AW514" s="85" t="str">
        <f t="shared" si="1966"/>
        <v>-</v>
      </c>
      <c r="AX514" s="85" t="str">
        <f>'Consumer Hardware Pricing'!AH524</f>
        <v>-</v>
      </c>
      <c r="AY514" s="85" t="str">
        <f t="shared" si="1760"/>
        <v>-</v>
      </c>
      <c r="AZ514" s="85" t="str">
        <f>'Consumer Hardware Pricing'!AI524</f>
        <v>-</v>
      </c>
      <c r="BA514" s="85" t="str">
        <f t="shared" si="1967"/>
        <v>-</v>
      </c>
      <c r="BB514" s="85" t="str">
        <f t="shared" si="1968"/>
        <v>-</v>
      </c>
      <c r="BC514" s="85" t="str">
        <f t="shared" si="1969"/>
        <v>-</v>
      </c>
      <c r="BD514" s="85" t="str">
        <f>'Consumer Hardware Pricing'!AL524</f>
        <v>-</v>
      </c>
      <c r="BE514" s="85" t="str">
        <f t="shared" si="1761"/>
        <v>-</v>
      </c>
      <c r="BF514" s="85" t="str">
        <f>'Consumer Hardware Pricing'!AM524</f>
        <v>-</v>
      </c>
      <c r="BG514" s="85" t="str">
        <f t="shared" si="1970"/>
        <v>-</v>
      </c>
      <c r="BH514" s="85" t="str">
        <f t="shared" si="1971"/>
        <v>-</v>
      </c>
      <c r="BI514" s="85" t="str">
        <f t="shared" si="1972"/>
        <v>-</v>
      </c>
      <c r="BJ514" s="85" t="str">
        <f>'Consumer Hardware Pricing'!AP524</f>
        <v>-</v>
      </c>
      <c r="BK514" s="85" t="str">
        <f t="shared" si="1762"/>
        <v>-</v>
      </c>
      <c r="BL514" s="85" t="str">
        <f>'Consumer Hardware Pricing'!AQ524</f>
        <v>-</v>
      </c>
      <c r="BM514" s="85" t="str">
        <f t="shared" si="1973"/>
        <v>-</v>
      </c>
      <c r="BN514" s="85" t="str">
        <f t="shared" si="1974"/>
        <v>-</v>
      </c>
      <c r="BO514" s="85" t="str">
        <f t="shared" si="1975"/>
        <v>-</v>
      </c>
      <c r="BP514" s="85" t="str">
        <f>'Consumer Hardware Pricing'!AT524</f>
        <v>-</v>
      </c>
      <c r="BQ514" s="85" t="str">
        <f t="shared" si="1763"/>
        <v>-</v>
      </c>
      <c r="BR514" s="85" t="str">
        <f>'Consumer Hardware Pricing'!AU524</f>
        <v>-</v>
      </c>
      <c r="BS514" s="85" t="str">
        <f t="shared" si="1976"/>
        <v>-</v>
      </c>
      <c r="BT514" s="85" t="str">
        <f t="shared" si="1977"/>
        <v>-</v>
      </c>
      <c r="BU514" s="85" t="str">
        <f t="shared" si="1978"/>
        <v>-</v>
      </c>
    </row>
    <row r="515" spans="1:73" ht="30.45" customHeight="1" x14ac:dyDescent="0.25">
      <c r="A515" s="87" t="s">
        <v>34</v>
      </c>
      <c r="B515" s="88" t="s">
        <v>1056</v>
      </c>
      <c r="C515" s="88" t="s">
        <v>1046</v>
      </c>
      <c r="D515" s="85">
        <f>'Consumer Hardware Pricing'!L525</f>
        <v>2865</v>
      </c>
      <c r="E515" s="85">
        <f>'Consumer Hardware Pricing'!M525</f>
        <v>2865</v>
      </c>
      <c r="F515" s="85">
        <f>'Consumer Hardware Pricing'!N525</f>
        <v>0</v>
      </c>
      <c r="G515" s="85">
        <f t="shared" si="1939"/>
        <v>119.38000000000001</v>
      </c>
      <c r="H515" s="85">
        <f>'Consumer Hardware Pricing'!O525</f>
        <v>22.71</v>
      </c>
      <c r="I515" s="85">
        <f t="shared" si="1942"/>
        <v>96.670000000000016</v>
      </c>
      <c r="J515" s="85">
        <f t="shared" si="1943"/>
        <v>545.04</v>
      </c>
      <c r="K515" s="85">
        <f t="shared" si="1944"/>
        <v>2320.0800000000004</v>
      </c>
      <c r="L515" s="85" t="str">
        <f>'Consumer Hardware Pricing'!Q525</f>
        <v>-</v>
      </c>
      <c r="M515" s="85" t="str">
        <f t="shared" si="1940"/>
        <v>-</v>
      </c>
      <c r="N515" s="85" t="str">
        <f t="shared" si="1945"/>
        <v>-</v>
      </c>
      <c r="O515" s="85" t="str">
        <f t="shared" si="1946"/>
        <v>-</v>
      </c>
      <c r="P515" s="85" t="str">
        <f t="shared" si="1947"/>
        <v>-</v>
      </c>
      <c r="Q515" s="85">
        <f>'Consumer Hardware Pricing'!S525</f>
        <v>0</v>
      </c>
      <c r="R515" s="85">
        <f t="shared" si="1948"/>
        <v>119.38000000000001</v>
      </c>
      <c r="S515" s="85">
        <f>'Consumer Hardware Pricing'!T525</f>
        <v>22.71</v>
      </c>
      <c r="T515" s="129">
        <f t="shared" si="1949"/>
        <v>96.670000000000016</v>
      </c>
      <c r="U515" s="129">
        <f t="shared" si="1950"/>
        <v>545.04</v>
      </c>
      <c r="V515" s="85">
        <f t="shared" si="1951"/>
        <v>2320.0800000000004</v>
      </c>
      <c r="W515" s="129" t="str">
        <f>'Consumer Hardware Pricing'!V525</f>
        <v>-</v>
      </c>
      <c r="X515" s="129" t="str">
        <f t="shared" si="1941"/>
        <v>-</v>
      </c>
      <c r="Y515" s="129" t="str">
        <f t="shared" si="1952"/>
        <v>-</v>
      </c>
      <c r="Z515" s="129" t="str">
        <f t="shared" si="1953"/>
        <v>-</v>
      </c>
      <c r="AA515" s="85" t="str">
        <f t="shared" si="1954"/>
        <v>-</v>
      </c>
      <c r="AB515" s="85">
        <f>'Consumer Hardware Pricing'!X525</f>
        <v>0</v>
      </c>
      <c r="AC515" s="85">
        <f t="shared" si="1756"/>
        <v>119.38000000000001</v>
      </c>
      <c r="AD515" s="85">
        <f>'Consumer Hardware Pricing'!Y525</f>
        <v>31.05</v>
      </c>
      <c r="AE515" s="85">
        <f t="shared" si="1955"/>
        <v>88.330000000000013</v>
      </c>
      <c r="AF515" s="85">
        <f t="shared" si="1956"/>
        <v>745.2</v>
      </c>
      <c r="AG515" s="85">
        <f t="shared" si="1957"/>
        <v>2119.92</v>
      </c>
      <c r="AH515" s="85" t="str">
        <f>'Consumer Hardware Pricing'!AA525</f>
        <v>-</v>
      </c>
      <c r="AI515" s="85" t="str">
        <f t="shared" si="1757"/>
        <v>-</v>
      </c>
      <c r="AJ515" s="85" t="str">
        <f t="shared" si="1958"/>
        <v>-</v>
      </c>
      <c r="AK515" s="85" t="str">
        <f t="shared" si="1959"/>
        <v>-</v>
      </c>
      <c r="AL515" s="85" t="str">
        <f t="shared" si="1960"/>
        <v>-</v>
      </c>
      <c r="AM515" s="85">
        <f>'Consumer Hardware Pricing'!AC525</f>
        <v>0</v>
      </c>
      <c r="AN515" s="85">
        <f t="shared" si="1758"/>
        <v>119.38000000000001</v>
      </c>
      <c r="AO515" s="85">
        <f>'Consumer Hardware Pricing'!AD525</f>
        <v>31.05</v>
      </c>
      <c r="AP515" s="85">
        <f t="shared" si="1961"/>
        <v>88.330000000000013</v>
      </c>
      <c r="AQ515" s="85">
        <f t="shared" si="1962"/>
        <v>745.2</v>
      </c>
      <c r="AR515" s="85">
        <f t="shared" si="1963"/>
        <v>2119.92</v>
      </c>
      <c r="AS515" s="85" t="str">
        <f>'Consumer Hardware Pricing'!AF525</f>
        <v>-</v>
      </c>
      <c r="AT515" s="85" t="str">
        <f t="shared" si="1759"/>
        <v>-</v>
      </c>
      <c r="AU515" s="85" t="str">
        <f t="shared" si="1964"/>
        <v>-</v>
      </c>
      <c r="AV515" s="85" t="str">
        <f t="shared" si="1965"/>
        <v>-</v>
      </c>
      <c r="AW515" s="85" t="str">
        <f t="shared" si="1966"/>
        <v>-</v>
      </c>
      <c r="AX515" s="85" t="str">
        <f>'Consumer Hardware Pricing'!AH525</f>
        <v>-</v>
      </c>
      <c r="AY515" s="85" t="str">
        <f t="shared" si="1760"/>
        <v>-</v>
      </c>
      <c r="AZ515" s="85" t="str">
        <f>'Consumer Hardware Pricing'!AI525</f>
        <v>-</v>
      </c>
      <c r="BA515" s="85" t="str">
        <f t="shared" si="1967"/>
        <v>-</v>
      </c>
      <c r="BB515" s="85" t="str">
        <f t="shared" si="1968"/>
        <v>-</v>
      </c>
      <c r="BC515" s="85" t="str">
        <f t="shared" si="1969"/>
        <v>-</v>
      </c>
      <c r="BD515" s="85" t="str">
        <f>'Consumer Hardware Pricing'!AL525</f>
        <v>-</v>
      </c>
      <c r="BE515" s="85" t="str">
        <f t="shared" si="1761"/>
        <v>-</v>
      </c>
      <c r="BF515" s="85" t="str">
        <f>'Consumer Hardware Pricing'!AM525</f>
        <v>-</v>
      </c>
      <c r="BG515" s="85" t="str">
        <f t="shared" si="1970"/>
        <v>-</v>
      </c>
      <c r="BH515" s="85" t="str">
        <f t="shared" si="1971"/>
        <v>-</v>
      </c>
      <c r="BI515" s="85" t="str">
        <f t="shared" si="1972"/>
        <v>-</v>
      </c>
      <c r="BJ515" s="85" t="str">
        <f>'Consumer Hardware Pricing'!AP525</f>
        <v>-</v>
      </c>
      <c r="BK515" s="85" t="str">
        <f t="shared" si="1762"/>
        <v>-</v>
      </c>
      <c r="BL515" s="85" t="str">
        <f>'Consumer Hardware Pricing'!AQ525</f>
        <v>-</v>
      </c>
      <c r="BM515" s="85" t="str">
        <f t="shared" si="1973"/>
        <v>-</v>
      </c>
      <c r="BN515" s="85" t="str">
        <f t="shared" si="1974"/>
        <v>-</v>
      </c>
      <c r="BO515" s="85" t="str">
        <f t="shared" si="1975"/>
        <v>-</v>
      </c>
      <c r="BP515" s="85" t="str">
        <f>'Consumer Hardware Pricing'!AT525</f>
        <v>-</v>
      </c>
      <c r="BQ515" s="85" t="str">
        <f t="shared" si="1763"/>
        <v>-</v>
      </c>
      <c r="BR515" s="85" t="str">
        <f>'Consumer Hardware Pricing'!AU525</f>
        <v>-</v>
      </c>
      <c r="BS515" s="85" t="str">
        <f t="shared" si="1976"/>
        <v>-</v>
      </c>
      <c r="BT515" s="85" t="str">
        <f t="shared" si="1977"/>
        <v>-</v>
      </c>
      <c r="BU515" s="85" t="str">
        <f t="shared" si="1978"/>
        <v>-</v>
      </c>
    </row>
    <row r="516" spans="1:73" ht="30.45" customHeight="1" x14ac:dyDescent="0.25">
      <c r="A516" s="87" t="s">
        <v>34</v>
      </c>
      <c r="B516" s="88" t="s">
        <v>1039</v>
      </c>
      <c r="C516" s="88" t="s">
        <v>1045</v>
      </c>
      <c r="D516" s="85">
        <f>'Consumer Hardware Pricing'!L526</f>
        <v>1200</v>
      </c>
      <c r="E516" s="85">
        <f>'Consumer Hardware Pricing'!M526</f>
        <v>1200</v>
      </c>
      <c r="F516" s="85">
        <f>'Consumer Hardware Pricing'!N526</f>
        <v>0</v>
      </c>
      <c r="G516" s="85">
        <f t="shared" si="1939"/>
        <v>50</v>
      </c>
      <c r="H516" s="85">
        <f>'Consumer Hardware Pricing'!O526</f>
        <v>10.42</v>
      </c>
      <c r="I516" s="85">
        <f t="shared" ref="I516:I521" si="1979">IF(H516="-",G516,G516-H516)</f>
        <v>39.58</v>
      </c>
      <c r="J516" s="85">
        <f t="shared" ref="J516:J521" si="1980">IF(H516="-",H516,H516*24)</f>
        <v>250.07999999999998</v>
      </c>
      <c r="K516" s="85">
        <f t="shared" ref="K516:K521" si="1981">IF(F516="-",F516,I516*24)</f>
        <v>949.92</v>
      </c>
      <c r="L516" s="85">
        <f>'Consumer Hardware Pricing'!Q526</f>
        <v>340</v>
      </c>
      <c r="M516" s="85">
        <f t="shared" si="1940"/>
        <v>24.580000000000005</v>
      </c>
      <c r="N516" s="85">
        <f t="shared" ref="N516:N521" si="1982">IF(L516="-",L516,G516-M516)</f>
        <v>25.419999999999995</v>
      </c>
      <c r="O516" s="85">
        <f t="shared" ref="O516:O521" si="1983">IF(L516="-",L516,M516*24)</f>
        <v>589.92000000000007</v>
      </c>
      <c r="P516" s="85">
        <f t="shared" ref="P516:P521" si="1984">IF(L516="-",L516,N516*24)</f>
        <v>610.07999999999993</v>
      </c>
      <c r="Q516" s="85">
        <f>'Consumer Hardware Pricing'!S526</f>
        <v>0</v>
      </c>
      <c r="R516" s="85">
        <f t="shared" ref="R516:R521" si="1985">G516</f>
        <v>50</v>
      </c>
      <c r="S516" s="85">
        <f>'Consumer Hardware Pricing'!T526</f>
        <v>10.42</v>
      </c>
      <c r="T516" s="129">
        <f t="shared" ref="T516:T521" si="1986">IF(S516="-",R516,R516-S516)</f>
        <v>39.58</v>
      </c>
      <c r="U516" s="129">
        <f t="shared" ref="U516:U521" si="1987">IF(S516="-",S516,S516*24)</f>
        <v>250.07999999999998</v>
      </c>
      <c r="V516" s="85">
        <f t="shared" ref="V516:V521" si="1988">IF(Q516="-",Q516,T516*24)</f>
        <v>949.92</v>
      </c>
      <c r="W516" s="129">
        <f>'Consumer Hardware Pricing'!V526</f>
        <v>340</v>
      </c>
      <c r="X516" s="129">
        <f t="shared" si="1941"/>
        <v>24.580000000000005</v>
      </c>
      <c r="Y516" s="129">
        <f t="shared" ref="Y516:Y521" si="1989">IF(W516="-",W516,R516-X516)</f>
        <v>25.419999999999995</v>
      </c>
      <c r="Z516" s="129">
        <f t="shared" ref="Z516:Z521" si="1990">IF(W516="-",W516,X516*24)</f>
        <v>589.92000000000007</v>
      </c>
      <c r="AA516" s="85">
        <f t="shared" ref="AA516:AA521" si="1991">IF(W516="-",W516,Y516*24)</f>
        <v>610.07999999999993</v>
      </c>
      <c r="AB516" s="85">
        <f>'Consumer Hardware Pricing'!X526</f>
        <v>0</v>
      </c>
      <c r="AC516" s="85">
        <f t="shared" si="1756"/>
        <v>50</v>
      </c>
      <c r="AD516" s="85">
        <f>'Consumer Hardware Pricing'!Y526</f>
        <v>21.84</v>
      </c>
      <c r="AE516" s="85">
        <f t="shared" ref="AE516:AE521" si="1992">IF(AD516="-",AC516,AC516-AD516)</f>
        <v>28.16</v>
      </c>
      <c r="AF516" s="85">
        <f t="shared" ref="AF516:AF521" si="1993">IF(AD516="-",AD516,AD516*24)</f>
        <v>524.16</v>
      </c>
      <c r="AG516" s="85">
        <f t="shared" ref="AG516:AG521" si="1994">IF(AB516="-",AB516,AE516*24)</f>
        <v>675.84</v>
      </c>
      <c r="AH516" s="85">
        <f>'Consumer Hardware Pricing'!AA526</f>
        <v>340</v>
      </c>
      <c r="AI516" s="85">
        <f t="shared" si="1757"/>
        <v>36.000000000000007</v>
      </c>
      <c r="AJ516" s="85">
        <f t="shared" ref="AJ516:AJ521" si="1995">IF(AH516="-",AH516,AC516-AI516)</f>
        <v>13.999999999999993</v>
      </c>
      <c r="AK516" s="85">
        <f t="shared" ref="AK516:AK521" si="1996">IF(AH516="-",AH516,AI516*24)</f>
        <v>864.00000000000023</v>
      </c>
      <c r="AL516" s="85">
        <f t="shared" ref="AL516:AL521" si="1997">IF(AH516="-",AH516,AJ516*24)</f>
        <v>335.99999999999983</v>
      </c>
      <c r="AM516" s="85">
        <f>'Consumer Hardware Pricing'!AC526</f>
        <v>0</v>
      </c>
      <c r="AN516" s="85">
        <f t="shared" si="1758"/>
        <v>50</v>
      </c>
      <c r="AO516" s="85">
        <f>'Consumer Hardware Pricing'!AD526</f>
        <v>21.84</v>
      </c>
      <c r="AP516" s="85">
        <f t="shared" ref="AP516:AP521" si="1998">IF(AO516="-",AN516,AN516-AO516)</f>
        <v>28.16</v>
      </c>
      <c r="AQ516" s="85">
        <f t="shared" ref="AQ516:AQ521" si="1999">IF(AO516="-",AO516,AO516*24)</f>
        <v>524.16</v>
      </c>
      <c r="AR516" s="85">
        <f t="shared" ref="AR516:AR521" si="2000">IF(AM516="-",AM516,AP516*24)</f>
        <v>675.84</v>
      </c>
      <c r="AS516" s="85">
        <f>'Consumer Hardware Pricing'!AF526</f>
        <v>340</v>
      </c>
      <c r="AT516" s="85">
        <f t="shared" si="1759"/>
        <v>36.000000000000007</v>
      </c>
      <c r="AU516" s="85">
        <f t="shared" ref="AU516:AU521" si="2001">IF(AS516="-",AS516,AN516-AT516)</f>
        <v>13.999999999999993</v>
      </c>
      <c r="AV516" s="85">
        <f t="shared" ref="AV516:AV521" si="2002">IF(AS516="-",AS516,AT516*24)</f>
        <v>864.00000000000023</v>
      </c>
      <c r="AW516" s="85">
        <f t="shared" ref="AW516:AW521" si="2003">IF(AS516="-",AS516,AU516*24)</f>
        <v>335.99999999999983</v>
      </c>
      <c r="AX516" s="85" t="str">
        <f>'Consumer Hardware Pricing'!AH526</f>
        <v>-</v>
      </c>
      <c r="AY516" s="85" t="str">
        <f t="shared" si="1760"/>
        <v>-</v>
      </c>
      <c r="AZ516" s="85" t="str">
        <f>'Consumer Hardware Pricing'!AI526</f>
        <v>-</v>
      </c>
      <c r="BA516" s="85" t="str">
        <f t="shared" ref="BA516:BA521" si="2004">IF(AZ516="-",AY516,AY516-AZ516)</f>
        <v>-</v>
      </c>
      <c r="BB516" s="85" t="str">
        <f t="shared" ref="BB516:BB521" si="2005">IF(AZ516="-",AZ516,AZ516*24)</f>
        <v>-</v>
      </c>
      <c r="BC516" s="85" t="str">
        <f t="shared" ref="BC516:BC521" si="2006">IF(AX516="-",AX516,AX516+(BA516*24))</f>
        <v>-</v>
      </c>
      <c r="BD516" s="85" t="str">
        <f>'Consumer Hardware Pricing'!AL526</f>
        <v>-</v>
      </c>
      <c r="BE516" s="85" t="str">
        <f t="shared" si="1761"/>
        <v>-</v>
      </c>
      <c r="BF516" s="85" t="str">
        <f>'Consumer Hardware Pricing'!AM526</f>
        <v>-</v>
      </c>
      <c r="BG516" s="85" t="str">
        <f t="shared" ref="BG516:BG521" si="2007">IF(BF516="-",BE516,BE516-BF516)</f>
        <v>-</v>
      </c>
      <c r="BH516" s="85" t="str">
        <f t="shared" ref="BH516:BH521" si="2008">IF(BF516="-",BF516,BF516*24)</f>
        <v>-</v>
      </c>
      <c r="BI516" s="85" t="str">
        <f t="shared" ref="BI516:BI521" si="2009">IF(BD516="-",BD516,BD516+(BG516*24))</f>
        <v>-</v>
      </c>
      <c r="BJ516" s="85" t="str">
        <f>'Consumer Hardware Pricing'!AP526</f>
        <v>-</v>
      </c>
      <c r="BK516" s="85" t="str">
        <f t="shared" si="1762"/>
        <v>-</v>
      </c>
      <c r="BL516" s="85" t="str">
        <f>'Consumer Hardware Pricing'!AQ526</f>
        <v>-</v>
      </c>
      <c r="BM516" s="85" t="str">
        <f t="shared" ref="BM516:BM521" si="2010">IF(BL516="-",BK516,BK516-BL516)</f>
        <v>-</v>
      </c>
      <c r="BN516" s="85" t="str">
        <f t="shared" ref="BN516:BN521" si="2011">IF(BL516="-",BL516,BL516*24)</f>
        <v>-</v>
      </c>
      <c r="BO516" s="85" t="str">
        <f t="shared" ref="BO516:BO521" si="2012">IF(BJ516="-",BJ516,BJ516+(BM516*24))</f>
        <v>-</v>
      </c>
      <c r="BP516" s="85" t="str">
        <f>'Consumer Hardware Pricing'!AT526</f>
        <v>-</v>
      </c>
      <c r="BQ516" s="85" t="str">
        <f t="shared" si="1763"/>
        <v>-</v>
      </c>
      <c r="BR516" s="85" t="str">
        <f>'Consumer Hardware Pricing'!AU526</f>
        <v>-</v>
      </c>
      <c r="BS516" s="85" t="str">
        <f t="shared" ref="BS516:BS521" si="2013">IF(BR516="-",BQ516,BQ516-BR516)</f>
        <v>-</v>
      </c>
      <c r="BT516" s="85" t="str">
        <f t="shared" ref="BT516:BT521" si="2014">IF(BR516="-",BR516,BR516*24)</f>
        <v>-</v>
      </c>
      <c r="BU516" s="85" t="str">
        <f t="shared" ref="BU516:BU521" si="2015">IF(BP516="-",BP516,BP516+(BS516*24))</f>
        <v>-</v>
      </c>
    </row>
    <row r="517" spans="1:73" ht="30.45" customHeight="1" x14ac:dyDescent="0.25">
      <c r="A517" s="87" t="s">
        <v>34</v>
      </c>
      <c r="B517" s="88" t="s">
        <v>1040</v>
      </c>
      <c r="C517" s="88" t="s">
        <v>1045</v>
      </c>
      <c r="D517" s="85">
        <f>'Consumer Hardware Pricing'!L527</f>
        <v>1200</v>
      </c>
      <c r="E517" s="85">
        <f>'Consumer Hardware Pricing'!M527</f>
        <v>1200</v>
      </c>
      <c r="F517" s="85">
        <f>'Consumer Hardware Pricing'!N527</f>
        <v>0</v>
      </c>
      <c r="G517" s="85">
        <f t="shared" si="1939"/>
        <v>50</v>
      </c>
      <c r="H517" s="85">
        <f>'Consumer Hardware Pricing'!O527</f>
        <v>10.42</v>
      </c>
      <c r="I517" s="85">
        <f t="shared" si="1979"/>
        <v>39.58</v>
      </c>
      <c r="J517" s="85">
        <f t="shared" si="1980"/>
        <v>250.07999999999998</v>
      </c>
      <c r="K517" s="85">
        <f t="shared" si="1981"/>
        <v>949.92</v>
      </c>
      <c r="L517" s="85">
        <f>'Consumer Hardware Pricing'!Q527</f>
        <v>340</v>
      </c>
      <c r="M517" s="85">
        <f t="shared" si="1940"/>
        <v>24.580000000000005</v>
      </c>
      <c r="N517" s="85">
        <f t="shared" si="1982"/>
        <v>25.419999999999995</v>
      </c>
      <c r="O517" s="85">
        <f t="shared" si="1983"/>
        <v>589.92000000000007</v>
      </c>
      <c r="P517" s="85">
        <f t="shared" si="1984"/>
        <v>610.07999999999993</v>
      </c>
      <c r="Q517" s="85">
        <f>'Consumer Hardware Pricing'!S527</f>
        <v>0</v>
      </c>
      <c r="R517" s="85">
        <f t="shared" si="1985"/>
        <v>50</v>
      </c>
      <c r="S517" s="85">
        <f>'Consumer Hardware Pricing'!T527</f>
        <v>10.42</v>
      </c>
      <c r="T517" s="129">
        <f t="shared" si="1986"/>
        <v>39.58</v>
      </c>
      <c r="U517" s="129">
        <f t="shared" si="1987"/>
        <v>250.07999999999998</v>
      </c>
      <c r="V517" s="85">
        <f t="shared" si="1988"/>
        <v>949.92</v>
      </c>
      <c r="W517" s="129">
        <f>'Consumer Hardware Pricing'!V527</f>
        <v>340</v>
      </c>
      <c r="X517" s="129">
        <f t="shared" si="1941"/>
        <v>24.580000000000005</v>
      </c>
      <c r="Y517" s="129">
        <f t="shared" si="1989"/>
        <v>25.419999999999995</v>
      </c>
      <c r="Z517" s="129">
        <f t="shared" si="1990"/>
        <v>589.92000000000007</v>
      </c>
      <c r="AA517" s="85">
        <f t="shared" si="1991"/>
        <v>610.07999999999993</v>
      </c>
      <c r="AB517" s="85">
        <f>'Consumer Hardware Pricing'!X527</f>
        <v>0</v>
      </c>
      <c r="AC517" s="85">
        <f t="shared" si="1756"/>
        <v>50</v>
      </c>
      <c r="AD517" s="85">
        <f>'Consumer Hardware Pricing'!Y527</f>
        <v>21.84</v>
      </c>
      <c r="AE517" s="85">
        <f t="shared" si="1992"/>
        <v>28.16</v>
      </c>
      <c r="AF517" s="85">
        <f t="shared" si="1993"/>
        <v>524.16</v>
      </c>
      <c r="AG517" s="85">
        <f t="shared" si="1994"/>
        <v>675.84</v>
      </c>
      <c r="AH517" s="85">
        <f>'Consumer Hardware Pricing'!AA527</f>
        <v>340</v>
      </c>
      <c r="AI517" s="85">
        <f t="shared" si="1757"/>
        <v>36.000000000000007</v>
      </c>
      <c r="AJ517" s="85">
        <f t="shared" si="1995"/>
        <v>13.999999999999993</v>
      </c>
      <c r="AK517" s="85">
        <f t="shared" si="1996"/>
        <v>864.00000000000023</v>
      </c>
      <c r="AL517" s="85">
        <f t="shared" si="1997"/>
        <v>335.99999999999983</v>
      </c>
      <c r="AM517" s="85">
        <f>'Consumer Hardware Pricing'!AC527</f>
        <v>0</v>
      </c>
      <c r="AN517" s="85">
        <f t="shared" si="1758"/>
        <v>50</v>
      </c>
      <c r="AO517" s="85">
        <f>'Consumer Hardware Pricing'!AD527</f>
        <v>21.84</v>
      </c>
      <c r="AP517" s="85">
        <f t="shared" si="1998"/>
        <v>28.16</v>
      </c>
      <c r="AQ517" s="85">
        <f t="shared" si="1999"/>
        <v>524.16</v>
      </c>
      <c r="AR517" s="85">
        <f t="shared" si="2000"/>
        <v>675.84</v>
      </c>
      <c r="AS517" s="85">
        <f>'Consumer Hardware Pricing'!AF527</f>
        <v>340</v>
      </c>
      <c r="AT517" s="85">
        <f t="shared" si="1759"/>
        <v>36.000000000000007</v>
      </c>
      <c r="AU517" s="85">
        <f t="shared" si="2001"/>
        <v>13.999999999999993</v>
      </c>
      <c r="AV517" s="85">
        <f t="shared" si="2002"/>
        <v>864.00000000000023</v>
      </c>
      <c r="AW517" s="85">
        <f t="shared" si="2003"/>
        <v>335.99999999999983</v>
      </c>
      <c r="AX517" s="85" t="str">
        <f>'Consumer Hardware Pricing'!AH527</f>
        <v>-</v>
      </c>
      <c r="AY517" s="85" t="str">
        <f t="shared" si="1760"/>
        <v>-</v>
      </c>
      <c r="AZ517" s="85" t="str">
        <f>'Consumer Hardware Pricing'!AI527</f>
        <v>-</v>
      </c>
      <c r="BA517" s="85" t="str">
        <f t="shared" si="2004"/>
        <v>-</v>
      </c>
      <c r="BB517" s="85" t="str">
        <f t="shared" si="2005"/>
        <v>-</v>
      </c>
      <c r="BC517" s="85" t="str">
        <f t="shared" si="2006"/>
        <v>-</v>
      </c>
      <c r="BD517" s="85" t="str">
        <f>'Consumer Hardware Pricing'!AL527</f>
        <v>-</v>
      </c>
      <c r="BE517" s="85" t="str">
        <f t="shared" si="1761"/>
        <v>-</v>
      </c>
      <c r="BF517" s="85" t="str">
        <f>'Consumer Hardware Pricing'!AM527</f>
        <v>-</v>
      </c>
      <c r="BG517" s="85" t="str">
        <f t="shared" si="2007"/>
        <v>-</v>
      </c>
      <c r="BH517" s="85" t="str">
        <f t="shared" si="2008"/>
        <v>-</v>
      </c>
      <c r="BI517" s="85" t="str">
        <f t="shared" si="2009"/>
        <v>-</v>
      </c>
      <c r="BJ517" s="85" t="str">
        <f>'Consumer Hardware Pricing'!AP527</f>
        <v>-</v>
      </c>
      <c r="BK517" s="85" t="str">
        <f t="shared" si="1762"/>
        <v>-</v>
      </c>
      <c r="BL517" s="85" t="str">
        <f>'Consumer Hardware Pricing'!AQ527</f>
        <v>-</v>
      </c>
      <c r="BM517" s="85" t="str">
        <f t="shared" si="2010"/>
        <v>-</v>
      </c>
      <c r="BN517" s="85" t="str">
        <f t="shared" si="2011"/>
        <v>-</v>
      </c>
      <c r="BO517" s="85" t="str">
        <f t="shared" si="2012"/>
        <v>-</v>
      </c>
      <c r="BP517" s="85" t="str">
        <f>'Consumer Hardware Pricing'!AT527</f>
        <v>-</v>
      </c>
      <c r="BQ517" s="85" t="str">
        <f t="shared" si="1763"/>
        <v>-</v>
      </c>
      <c r="BR517" s="85" t="str">
        <f>'Consumer Hardware Pricing'!AU527</f>
        <v>-</v>
      </c>
      <c r="BS517" s="85" t="str">
        <f t="shared" si="2013"/>
        <v>-</v>
      </c>
      <c r="BT517" s="85" t="str">
        <f t="shared" si="2014"/>
        <v>-</v>
      </c>
      <c r="BU517" s="85" t="str">
        <f t="shared" si="2015"/>
        <v>-</v>
      </c>
    </row>
    <row r="518" spans="1:73" ht="30.45" customHeight="1" x14ac:dyDescent="0.25">
      <c r="A518" s="87" t="s">
        <v>34</v>
      </c>
      <c r="B518" s="88" t="s">
        <v>1041</v>
      </c>
      <c r="C518" s="88" t="s">
        <v>1045</v>
      </c>
      <c r="D518" s="85">
        <f>'Consumer Hardware Pricing'!L528</f>
        <v>1200</v>
      </c>
      <c r="E518" s="85">
        <f>'Consumer Hardware Pricing'!M528</f>
        <v>1200</v>
      </c>
      <c r="F518" s="85">
        <f>'Consumer Hardware Pricing'!N528</f>
        <v>0</v>
      </c>
      <c r="G518" s="85">
        <f t="shared" si="1939"/>
        <v>50</v>
      </c>
      <c r="H518" s="85">
        <f>'Consumer Hardware Pricing'!O528</f>
        <v>10.42</v>
      </c>
      <c r="I518" s="85">
        <f t="shared" si="1979"/>
        <v>39.58</v>
      </c>
      <c r="J518" s="85">
        <f t="shared" si="1980"/>
        <v>250.07999999999998</v>
      </c>
      <c r="K518" s="85">
        <f t="shared" si="1981"/>
        <v>949.92</v>
      </c>
      <c r="L518" s="85">
        <f>'Consumer Hardware Pricing'!Q528</f>
        <v>340</v>
      </c>
      <c r="M518" s="85">
        <f t="shared" si="1940"/>
        <v>24.580000000000005</v>
      </c>
      <c r="N518" s="85">
        <f t="shared" si="1982"/>
        <v>25.419999999999995</v>
      </c>
      <c r="O518" s="85">
        <f t="shared" si="1983"/>
        <v>589.92000000000007</v>
      </c>
      <c r="P518" s="85">
        <f t="shared" si="1984"/>
        <v>610.07999999999993</v>
      </c>
      <c r="Q518" s="85">
        <f>'Consumer Hardware Pricing'!S528</f>
        <v>0</v>
      </c>
      <c r="R518" s="85">
        <f t="shared" si="1985"/>
        <v>50</v>
      </c>
      <c r="S518" s="85">
        <f>'Consumer Hardware Pricing'!T528</f>
        <v>10.42</v>
      </c>
      <c r="T518" s="129">
        <f t="shared" si="1986"/>
        <v>39.58</v>
      </c>
      <c r="U518" s="129">
        <f t="shared" si="1987"/>
        <v>250.07999999999998</v>
      </c>
      <c r="V518" s="85">
        <f t="shared" si="1988"/>
        <v>949.92</v>
      </c>
      <c r="W518" s="129">
        <f>'Consumer Hardware Pricing'!V528</f>
        <v>340</v>
      </c>
      <c r="X518" s="129">
        <f t="shared" si="1941"/>
        <v>24.580000000000005</v>
      </c>
      <c r="Y518" s="129">
        <f t="shared" si="1989"/>
        <v>25.419999999999995</v>
      </c>
      <c r="Z518" s="129">
        <f t="shared" si="1990"/>
        <v>589.92000000000007</v>
      </c>
      <c r="AA518" s="85">
        <f t="shared" si="1991"/>
        <v>610.07999999999993</v>
      </c>
      <c r="AB518" s="85">
        <f>'Consumer Hardware Pricing'!X528</f>
        <v>0</v>
      </c>
      <c r="AC518" s="85">
        <f t="shared" si="1756"/>
        <v>50</v>
      </c>
      <c r="AD518" s="85">
        <f>'Consumer Hardware Pricing'!Y528</f>
        <v>21.84</v>
      </c>
      <c r="AE518" s="85">
        <f t="shared" si="1992"/>
        <v>28.16</v>
      </c>
      <c r="AF518" s="85">
        <f t="shared" si="1993"/>
        <v>524.16</v>
      </c>
      <c r="AG518" s="85">
        <f t="shared" si="1994"/>
        <v>675.84</v>
      </c>
      <c r="AH518" s="85">
        <f>'Consumer Hardware Pricing'!AA528</f>
        <v>340</v>
      </c>
      <c r="AI518" s="85">
        <f t="shared" si="1757"/>
        <v>36.000000000000007</v>
      </c>
      <c r="AJ518" s="85">
        <f t="shared" si="1995"/>
        <v>13.999999999999993</v>
      </c>
      <c r="AK518" s="85">
        <f t="shared" si="1996"/>
        <v>864.00000000000023</v>
      </c>
      <c r="AL518" s="85">
        <f t="shared" si="1997"/>
        <v>335.99999999999983</v>
      </c>
      <c r="AM518" s="85">
        <f>'Consumer Hardware Pricing'!AC528</f>
        <v>0</v>
      </c>
      <c r="AN518" s="85">
        <f t="shared" si="1758"/>
        <v>50</v>
      </c>
      <c r="AO518" s="85">
        <f>'Consumer Hardware Pricing'!AD528</f>
        <v>21.84</v>
      </c>
      <c r="AP518" s="85">
        <f t="shared" si="1998"/>
        <v>28.16</v>
      </c>
      <c r="AQ518" s="85">
        <f t="shared" si="1999"/>
        <v>524.16</v>
      </c>
      <c r="AR518" s="85">
        <f t="shared" si="2000"/>
        <v>675.84</v>
      </c>
      <c r="AS518" s="85">
        <f>'Consumer Hardware Pricing'!AF528</f>
        <v>340</v>
      </c>
      <c r="AT518" s="85">
        <f t="shared" si="1759"/>
        <v>36.000000000000007</v>
      </c>
      <c r="AU518" s="85">
        <f t="shared" si="2001"/>
        <v>13.999999999999993</v>
      </c>
      <c r="AV518" s="85">
        <f t="shared" si="2002"/>
        <v>864.00000000000023</v>
      </c>
      <c r="AW518" s="85">
        <f t="shared" si="2003"/>
        <v>335.99999999999983</v>
      </c>
      <c r="AX518" s="85" t="str">
        <f>'Consumer Hardware Pricing'!AH528</f>
        <v>-</v>
      </c>
      <c r="AY518" s="85" t="str">
        <f t="shared" si="1760"/>
        <v>-</v>
      </c>
      <c r="AZ518" s="85" t="str">
        <f>'Consumer Hardware Pricing'!AI528</f>
        <v>-</v>
      </c>
      <c r="BA518" s="85" t="str">
        <f t="shared" si="2004"/>
        <v>-</v>
      </c>
      <c r="BB518" s="85" t="str">
        <f t="shared" si="2005"/>
        <v>-</v>
      </c>
      <c r="BC518" s="85" t="str">
        <f t="shared" si="2006"/>
        <v>-</v>
      </c>
      <c r="BD518" s="85" t="str">
        <f>'Consumer Hardware Pricing'!AL528</f>
        <v>-</v>
      </c>
      <c r="BE518" s="85" t="str">
        <f t="shared" si="1761"/>
        <v>-</v>
      </c>
      <c r="BF518" s="85" t="str">
        <f>'Consumer Hardware Pricing'!AM528</f>
        <v>-</v>
      </c>
      <c r="BG518" s="85" t="str">
        <f t="shared" si="2007"/>
        <v>-</v>
      </c>
      <c r="BH518" s="85" t="str">
        <f t="shared" si="2008"/>
        <v>-</v>
      </c>
      <c r="BI518" s="85" t="str">
        <f t="shared" si="2009"/>
        <v>-</v>
      </c>
      <c r="BJ518" s="85" t="str">
        <f>'Consumer Hardware Pricing'!AP528</f>
        <v>-</v>
      </c>
      <c r="BK518" s="85" t="str">
        <f t="shared" si="1762"/>
        <v>-</v>
      </c>
      <c r="BL518" s="85" t="str">
        <f>'Consumer Hardware Pricing'!AQ528</f>
        <v>-</v>
      </c>
      <c r="BM518" s="85" t="str">
        <f t="shared" si="2010"/>
        <v>-</v>
      </c>
      <c r="BN518" s="85" t="str">
        <f t="shared" si="2011"/>
        <v>-</v>
      </c>
      <c r="BO518" s="85" t="str">
        <f t="shared" si="2012"/>
        <v>-</v>
      </c>
      <c r="BP518" s="85" t="str">
        <f>'Consumer Hardware Pricing'!AT528</f>
        <v>-</v>
      </c>
      <c r="BQ518" s="85" t="str">
        <f t="shared" si="1763"/>
        <v>-</v>
      </c>
      <c r="BR518" s="85" t="str">
        <f>'Consumer Hardware Pricing'!AU528</f>
        <v>-</v>
      </c>
      <c r="BS518" s="85" t="str">
        <f t="shared" si="2013"/>
        <v>-</v>
      </c>
      <c r="BT518" s="85" t="str">
        <f t="shared" si="2014"/>
        <v>-</v>
      </c>
      <c r="BU518" s="85" t="str">
        <f t="shared" si="2015"/>
        <v>-</v>
      </c>
    </row>
    <row r="519" spans="1:73" ht="30.45" customHeight="1" x14ac:dyDescent="0.25">
      <c r="A519" s="87" t="s">
        <v>34</v>
      </c>
      <c r="B519" s="88" t="s">
        <v>1042</v>
      </c>
      <c r="C519" s="88" t="s">
        <v>1045</v>
      </c>
      <c r="D519" s="85">
        <f>'Consumer Hardware Pricing'!L529</f>
        <v>1200</v>
      </c>
      <c r="E519" s="85">
        <f>'Consumer Hardware Pricing'!M529</f>
        <v>1200</v>
      </c>
      <c r="F519" s="85">
        <f>'Consumer Hardware Pricing'!N529</f>
        <v>0</v>
      </c>
      <c r="G519" s="85">
        <f t="shared" si="1939"/>
        <v>50</v>
      </c>
      <c r="H519" s="85">
        <f>'Consumer Hardware Pricing'!O529</f>
        <v>10.42</v>
      </c>
      <c r="I519" s="85">
        <f t="shared" si="1979"/>
        <v>39.58</v>
      </c>
      <c r="J519" s="85">
        <f t="shared" si="1980"/>
        <v>250.07999999999998</v>
      </c>
      <c r="K519" s="85">
        <f t="shared" si="1981"/>
        <v>949.92</v>
      </c>
      <c r="L519" s="85">
        <f>'Consumer Hardware Pricing'!Q529</f>
        <v>340</v>
      </c>
      <c r="M519" s="85">
        <f t="shared" si="1940"/>
        <v>24.580000000000005</v>
      </c>
      <c r="N519" s="85">
        <f t="shared" si="1982"/>
        <v>25.419999999999995</v>
      </c>
      <c r="O519" s="85">
        <f t="shared" si="1983"/>
        <v>589.92000000000007</v>
      </c>
      <c r="P519" s="85">
        <f t="shared" si="1984"/>
        <v>610.07999999999993</v>
      </c>
      <c r="Q519" s="85">
        <f>'Consumer Hardware Pricing'!S529</f>
        <v>0</v>
      </c>
      <c r="R519" s="85">
        <f t="shared" si="1985"/>
        <v>50</v>
      </c>
      <c r="S519" s="85">
        <f>'Consumer Hardware Pricing'!T529</f>
        <v>10.42</v>
      </c>
      <c r="T519" s="129">
        <f t="shared" si="1986"/>
        <v>39.58</v>
      </c>
      <c r="U519" s="129">
        <f t="shared" si="1987"/>
        <v>250.07999999999998</v>
      </c>
      <c r="V519" s="85">
        <f t="shared" si="1988"/>
        <v>949.92</v>
      </c>
      <c r="W519" s="129">
        <f>'Consumer Hardware Pricing'!V529</f>
        <v>340</v>
      </c>
      <c r="X519" s="129">
        <f t="shared" si="1941"/>
        <v>24.580000000000005</v>
      </c>
      <c r="Y519" s="129">
        <f t="shared" si="1989"/>
        <v>25.419999999999995</v>
      </c>
      <c r="Z519" s="129">
        <f t="shared" si="1990"/>
        <v>589.92000000000007</v>
      </c>
      <c r="AA519" s="85">
        <f t="shared" si="1991"/>
        <v>610.07999999999993</v>
      </c>
      <c r="AB519" s="85">
        <f>'Consumer Hardware Pricing'!X529</f>
        <v>0</v>
      </c>
      <c r="AC519" s="85">
        <f t="shared" si="1756"/>
        <v>50</v>
      </c>
      <c r="AD519" s="85">
        <f>'Consumer Hardware Pricing'!Y529</f>
        <v>21.84</v>
      </c>
      <c r="AE519" s="85">
        <f t="shared" si="1992"/>
        <v>28.16</v>
      </c>
      <c r="AF519" s="85">
        <f t="shared" si="1993"/>
        <v>524.16</v>
      </c>
      <c r="AG519" s="85">
        <f t="shared" si="1994"/>
        <v>675.84</v>
      </c>
      <c r="AH519" s="85">
        <f>'Consumer Hardware Pricing'!AA529</f>
        <v>340</v>
      </c>
      <c r="AI519" s="85">
        <f t="shared" si="1757"/>
        <v>36.000000000000007</v>
      </c>
      <c r="AJ519" s="85">
        <f t="shared" si="1995"/>
        <v>13.999999999999993</v>
      </c>
      <c r="AK519" s="85">
        <f t="shared" si="1996"/>
        <v>864.00000000000023</v>
      </c>
      <c r="AL519" s="85">
        <f t="shared" si="1997"/>
        <v>335.99999999999983</v>
      </c>
      <c r="AM519" s="85">
        <f>'Consumer Hardware Pricing'!AC529</f>
        <v>0</v>
      </c>
      <c r="AN519" s="85">
        <f t="shared" si="1758"/>
        <v>50</v>
      </c>
      <c r="AO519" s="85">
        <f>'Consumer Hardware Pricing'!AD529</f>
        <v>21.84</v>
      </c>
      <c r="AP519" s="85">
        <f t="shared" si="1998"/>
        <v>28.16</v>
      </c>
      <c r="AQ519" s="85">
        <f t="shared" si="1999"/>
        <v>524.16</v>
      </c>
      <c r="AR519" s="85">
        <f t="shared" si="2000"/>
        <v>675.84</v>
      </c>
      <c r="AS519" s="85">
        <f>'Consumer Hardware Pricing'!AF529</f>
        <v>340</v>
      </c>
      <c r="AT519" s="85">
        <f t="shared" si="1759"/>
        <v>36.000000000000007</v>
      </c>
      <c r="AU519" s="85">
        <f t="shared" si="2001"/>
        <v>13.999999999999993</v>
      </c>
      <c r="AV519" s="85">
        <f t="shared" si="2002"/>
        <v>864.00000000000023</v>
      </c>
      <c r="AW519" s="85">
        <f t="shared" si="2003"/>
        <v>335.99999999999983</v>
      </c>
      <c r="AX519" s="85" t="str">
        <f>'Consumer Hardware Pricing'!AH529</f>
        <v>-</v>
      </c>
      <c r="AY519" s="85" t="str">
        <f t="shared" si="1760"/>
        <v>-</v>
      </c>
      <c r="AZ519" s="85" t="str">
        <f>'Consumer Hardware Pricing'!AI529</f>
        <v>-</v>
      </c>
      <c r="BA519" s="85" t="str">
        <f t="shared" si="2004"/>
        <v>-</v>
      </c>
      <c r="BB519" s="85" t="str">
        <f t="shared" si="2005"/>
        <v>-</v>
      </c>
      <c r="BC519" s="85" t="str">
        <f t="shared" si="2006"/>
        <v>-</v>
      </c>
      <c r="BD519" s="85" t="str">
        <f>'Consumer Hardware Pricing'!AL529</f>
        <v>-</v>
      </c>
      <c r="BE519" s="85" t="str">
        <f t="shared" si="1761"/>
        <v>-</v>
      </c>
      <c r="BF519" s="85" t="str">
        <f>'Consumer Hardware Pricing'!AM529</f>
        <v>-</v>
      </c>
      <c r="BG519" s="85" t="str">
        <f t="shared" si="2007"/>
        <v>-</v>
      </c>
      <c r="BH519" s="85" t="str">
        <f t="shared" si="2008"/>
        <v>-</v>
      </c>
      <c r="BI519" s="85" t="str">
        <f t="shared" si="2009"/>
        <v>-</v>
      </c>
      <c r="BJ519" s="85" t="str">
        <f>'Consumer Hardware Pricing'!AP529</f>
        <v>-</v>
      </c>
      <c r="BK519" s="85" t="str">
        <f t="shared" si="1762"/>
        <v>-</v>
      </c>
      <c r="BL519" s="85" t="str">
        <f>'Consumer Hardware Pricing'!AQ529</f>
        <v>-</v>
      </c>
      <c r="BM519" s="85" t="str">
        <f t="shared" si="2010"/>
        <v>-</v>
      </c>
      <c r="BN519" s="85" t="str">
        <f t="shared" si="2011"/>
        <v>-</v>
      </c>
      <c r="BO519" s="85" t="str">
        <f t="shared" si="2012"/>
        <v>-</v>
      </c>
      <c r="BP519" s="85" t="str">
        <f>'Consumer Hardware Pricing'!AT529</f>
        <v>-</v>
      </c>
      <c r="BQ519" s="85" t="str">
        <f t="shared" si="1763"/>
        <v>-</v>
      </c>
      <c r="BR519" s="85" t="str">
        <f>'Consumer Hardware Pricing'!AU529</f>
        <v>-</v>
      </c>
      <c r="BS519" s="85" t="str">
        <f t="shared" si="2013"/>
        <v>-</v>
      </c>
      <c r="BT519" s="85" t="str">
        <f t="shared" si="2014"/>
        <v>-</v>
      </c>
      <c r="BU519" s="85" t="str">
        <f t="shared" si="2015"/>
        <v>-</v>
      </c>
    </row>
    <row r="520" spans="1:73" ht="30.45" customHeight="1" x14ac:dyDescent="0.25">
      <c r="A520" s="87" t="s">
        <v>34</v>
      </c>
      <c r="B520" s="88" t="s">
        <v>1043</v>
      </c>
      <c r="C520" s="88" t="s">
        <v>1045</v>
      </c>
      <c r="D520" s="85">
        <f>'Consumer Hardware Pricing'!L530</f>
        <v>1200</v>
      </c>
      <c r="E520" s="85">
        <f>'Consumer Hardware Pricing'!M530</f>
        <v>1200</v>
      </c>
      <c r="F520" s="85">
        <f>'Consumer Hardware Pricing'!N530</f>
        <v>0</v>
      </c>
      <c r="G520" s="85">
        <f t="shared" si="1939"/>
        <v>50</v>
      </c>
      <c r="H520" s="85">
        <f>'Consumer Hardware Pricing'!O530</f>
        <v>10.42</v>
      </c>
      <c r="I520" s="85">
        <f t="shared" si="1979"/>
        <v>39.58</v>
      </c>
      <c r="J520" s="85">
        <f t="shared" si="1980"/>
        <v>250.07999999999998</v>
      </c>
      <c r="K520" s="85">
        <f t="shared" si="1981"/>
        <v>949.92</v>
      </c>
      <c r="L520" s="85">
        <f>'Consumer Hardware Pricing'!Q530</f>
        <v>340</v>
      </c>
      <c r="M520" s="85">
        <f t="shared" si="1940"/>
        <v>24.580000000000005</v>
      </c>
      <c r="N520" s="85">
        <f t="shared" si="1982"/>
        <v>25.419999999999995</v>
      </c>
      <c r="O520" s="85">
        <f t="shared" si="1983"/>
        <v>589.92000000000007</v>
      </c>
      <c r="P520" s="85">
        <f t="shared" si="1984"/>
        <v>610.07999999999993</v>
      </c>
      <c r="Q520" s="85">
        <f>'Consumer Hardware Pricing'!S530</f>
        <v>0</v>
      </c>
      <c r="R520" s="85">
        <f t="shared" si="1985"/>
        <v>50</v>
      </c>
      <c r="S520" s="85">
        <f>'Consumer Hardware Pricing'!T530</f>
        <v>10.42</v>
      </c>
      <c r="T520" s="129">
        <f t="shared" si="1986"/>
        <v>39.58</v>
      </c>
      <c r="U520" s="129">
        <f t="shared" si="1987"/>
        <v>250.07999999999998</v>
      </c>
      <c r="V520" s="85">
        <f t="shared" si="1988"/>
        <v>949.92</v>
      </c>
      <c r="W520" s="129">
        <f>'Consumer Hardware Pricing'!V530</f>
        <v>340</v>
      </c>
      <c r="X520" s="129">
        <f t="shared" si="1941"/>
        <v>24.580000000000005</v>
      </c>
      <c r="Y520" s="129">
        <f t="shared" si="1989"/>
        <v>25.419999999999995</v>
      </c>
      <c r="Z520" s="129">
        <f t="shared" si="1990"/>
        <v>589.92000000000007</v>
      </c>
      <c r="AA520" s="85">
        <f t="shared" si="1991"/>
        <v>610.07999999999993</v>
      </c>
      <c r="AB520" s="85">
        <f>'Consumer Hardware Pricing'!X530</f>
        <v>0</v>
      </c>
      <c r="AC520" s="85">
        <f t="shared" si="1756"/>
        <v>50</v>
      </c>
      <c r="AD520" s="85">
        <f>'Consumer Hardware Pricing'!Y530</f>
        <v>21.84</v>
      </c>
      <c r="AE520" s="85">
        <f t="shared" si="1992"/>
        <v>28.16</v>
      </c>
      <c r="AF520" s="85">
        <f t="shared" si="1993"/>
        <v>524.16</v>
      </c>
      <c r="AG520" s="85">
        <f t="shared" si="1994"/>
        <v>675.84</v>
      </c>
      <c r="AH520" s="85">
        <f>'Consumer Hardware Pricing'!AA530</f>
        <v>340</v>
      </c>
      <c r="AI520" s="85">
        <f t="shared" si="1757"/>
        <v>36.000000000000007</v>
      </c>
      <c r="AJ520" s="85">
        <f t="shared" si="1995"/>
        <v>13.999999999999993</v>
      </c>
      <c r="AK520" s="85">
        <f t="shared" si="1996"/>
        <v>864.00000000000023</v>
      </c>
      <c r="AL520" s="85">
        <f t="shared" si="1997"/>
        <v>335.99999999999983</v>
      </c>
      <c r="AM520" s="85">
        <f>'Consumer Hardware Pricing'!AC530</f>
        <v>0</v>
      </c>
      <c r="AN520" s="85">
        <f t="shared" si="1758"/>
        <v>50</v>
      </c>
      <c r="AO520" s="85">
        <f>'Consumer Hardware Pricing'!AD530</f>
        <v>21.84</v>
      </c>
      <c r="AP520" s="85">
        <f t="shared" si="1998"/>
        <v>28.16</v>
      </c>
      <c r="AQ520" s="85">
        <f t="shared" si="1999"/>
        <v>524.16</v>
      </c>
      <c r="AR520" s="85">
        <f t="shared" si="2000"/>
        <v>675.84</v>
      </c>
      <c r="AS520" s="85">
        <f>'Consumer Hardware Pricing'!AF530</f>
        <v>340</v>
      </c>
      <c r="AT520" s="85">
        <f t="shared" si="1759"/>
        <v>36.000000000000007</v>
      </c>
      <c r="AU520" s="85">
        <f t="shared" si="2001"/>
        <v>13.999999999999993</v>
      </c>
      <c r="AV520" s="85">
        <f t="shared" si="2002"/>
        <v>864.00000000000023</v>
      </c>
      <c r="AW520" s="85">
        <f t="shared" si="2003"/>
        <v>335.99999999999983</v>
      </c>
      <c r="AX520" s="85" t="str">
        <f>'Consumer Hardware Pricing'!AH530</f>
        <v>-</v>
      </c>
      <c r="AY520" s="85" t="str">
        <f t="shared" si="1760"/>
        <v>-</v>
      </c>
      <c r="AZ520" s="85" t="str">
        <f>'Consumer Hardware Pricing'!AI530</f>
        <v>-</v>
      </c>
      <c r="BA520" s="85" t="str">
        <f t="shared" si="2004"/>
        <v>-</v>
      </c>
      <c r="BB520" s="85" t="str">
        <f t="shared" si="2005"/>
        <v>-</v>
      </c>
      <c r="BC520" s="85" t="str">
        <f t="shared" si="2006"/>
        <v>-</v>
      </c>
      <c r="BD520" s="85" t="str">
        <f>'Consumer Hardware Pricing'!AL530</f>
        <v>-</v>
      </c>
      <c r="BE520" s="85" t="str">
        <f t="shared" si="1761"/>
        <v>-</v>
      </c>
      <c r="BF520" s="85" t="str">
        <f>'Consumer Hardware Pricing'!AM530</f>
        <v>-</v>
      </c>
      <c r="BG520" s="85" t="str">
        <f t="shared" si="2007"/>
        <v>-</v>
      </c>
      <c r="BH520" s="85" t="str">
        <f t="shared" si="2008"/>
        <v>-</v>
      </c>
      <c r="BI520" s="85" t="str">
        <f t="shared" si="2009"/>
        <v>-</v>
      </c>
      <c r="BJ520" s="85" t="str">
        <f>'Consumer Hardware Pricing'!AP530</f>
        <v>-</v>
      </c>
      <c r="BK520" s="85" t="str">
        <f t="shared" si="1762"/>
        <v>-</v>
      </c>
      <c r="BL520" s="85" t="str">
        <f>'Consumer Hardware Pricing'!AQ530</f>
        <v>-</v>
      </c>
      <c r="BM520" s="85" t="str">
        <f t="shared" si="2010"/>
        <v>-</v>
      </c>
      <c r="BN520" s="85" t="str">
        <f t="shared" si="2011"/>
        <v>-</v>
      </c>
      <c r="BO520" s="85" t="str">
        <f t="shared" si="2012"/>
        <v>-</v>
      </c>
      <c r="BP520" s="85" t="str">
        <f>'Consumer Hardware Pricing'!AT530</f>
        <v>-</v>
      </c>
      <c r="BQ520" s="85" t="str">
        <f t="shared" si="1763"/>
        <v>-</v>
      </c>
      <c r="BR520" s="85" t="str">
        <f>'Consumer Hardware Pricing'!AU530</f>
        <v>-</v>
      </c>
      <c r="BS520" s="85" t="str">
        <f t="shared" si="2013"/>
        <v>-</v>
      </c>
      <c r="BT520" s="85" t="str">
        <f t="shared" si="2014"/>
        <v>-</v>
      </c>
      <c r="BU520" s="85" t="str">
        <f t="shared" si="2015"/>
        <v>-</v>
      </c>
    </row>
    <row r="521" spans="1:73" ht="30.45" customHeight="1" x14ac:dyDescent="0.25">
      <c r="A521" s="87" t="s">
        <v>34</v>
      </c>
      <c r="B521" s="88" t="s">
        <v>1044</v>
      </c>
      <c r="C521" s="88" t="s">
        <v>1045</v>
      </c>
      <c r="D521" s="85">
        <f>'Consumer Hardware Pricing'!L531</f>
        <v>1200</v>
      </c>
      <c r="E521" s="85">
        <f>'Consumer Hardware Pricing'!M531</f>
        <v>1200</v>
      </c>
      <c r="F521" s="85">
        <f>'Consumer Hardware Pricing'!N531</f>
        <v>0</v>
      </c>
      <c r="G521" s="85">
        <f t="shared" si="1939"/>
        <v>50</v>
      </c>
      <c r="H521" s="85">
        <f>'Consumer Hardware Pricing'!O531</f>
        <v>10.42</v>
      </c>
      <c r="I521" s="85">
        <f t="shared" si="1979"/>
        <v>39.58</v>
      </c>
      <c r="J521" s="85">
        <f t="shared" si="1980"/>
        <v>250.07999999999998</v>
      </c>
      <c r="K521" s="85">
        <f t="shared" si="1981"/>
        <v>949.92</v>
      </c>
      <c r="L521" s="85">
        <f>'Consumer Hardware Pricing'!Q531</f>
        <v>340</v>
      </c>
      <c r="M521" s="85">
        <f t="shared" si="1940"/>
        <v>24.580000000000005</v>
      </c>
      <c r="N521" s="85">
        <f t="shared" si="1982"/>
        <v>25.419999999999995</v>
      </c>
      <c r="O521" s="85">
        <f t="shared" si="1983"/>
        <v>589.92000000000007</v>
      </c>
      <c r="P521" s="85">
        <f t="shared" si="1984"/>
        <v>610.07999999999993</v>
      </c>
      <c r="Q521" s="85">
        <f>'Consumer Hardware Pricing'!S531</f>
        <v>0</v>
      </c>
      <c r="R521" s="85">
        <f t="shared" si="1985"/>
        <v>50</v>
      </c>
      <c r="S521" s="85">
        <f>'Consumer Hardware Pricing'!T531</f>
        <v>10.42</v>
      </c>
      <c r="T521" s="129">
        <f t="shared" si="1986"/>
        <v>39.58</v>
      </c>
      <c r="U521" s="129">
        <f t="shared" si="1987"/>
        <v>250.07999999999998</v>
      </c>
      <c r="V521" s="85">
        <f t="shared" si="1988"/>
        <v>949.92</v>
      </c>
      <c r="W521" s="129">
        <f>'Consumer Hardware Pricing'!V531</f>
        <v>340</v>
      </c>
      <c r="X521" s="129">
        <f t="shared" si="1941"/>
        <v>24.580000000000005</v>
      </c>
      <c r="Y521" s="129">
        <f t="shared" si="1989"/>
        <v>25.419999999999995</v>
      </c>
      <c r="Z521" s="129">
        <f t="shared" si="1990"/>
        <v>589.92000000000007</v>
      </c>
      <c r="AA521" s="85">
        <f t="shared" si="1991"/>
        <v>610.07999999999993</v>
      </c>
      <c r="AB521" s="85">
        <f>'Consumer Hardware Pricing'!X531</f>
        <v>0</v>
      </c>
      <c r="AC521" s="85">
        <f t="shared" si="1756"/>
        <v>50</v>
      </c>
      <c r="AD521" s="85">
        <f>'Consumer Hardware Pricing'!Y531</f>
        <v>21.84</v>
      </c>
      <c r="AE521" s="85">
        <f t="shared" si="1992"/>
        <v>28.16</v>
      </c>
      <c r="AF521" s="85">
        <f t="shared" si="1993"/>
        <v>524.16</v>
      </c>
      <c r="AG521" s="85">
        <f t="shared" si="1994"/>
        <v>675.84</v>
      </c>
      <c r="AH521" s="85">
        <f>'Consumer Hardware Pricing'!AA531</f>
        <v>340</v>
      </c>
      <c r="AI521" s="85">
        <f t="shared" si="1757"/>
        <v>36.000000000000007</v>
      </c>
      <c r="AJ521" s="85">
        <f t="shared" si="1995"/>
        <v>13.999999999999993</v>
      </c>
      <c r="AK521" s="85">
        <f t="shared" si="1996"/>
        <v>864.00000000000023</v>
      </c>
      <c r="AL521" s="85">
        <f t="shared" si="1997"/>
        <v>335.99999999999983</v>
      </c>
      <c r="AM521" s="85">
        <f>'Consumer Hardware Pricing'!AC531</f>
        <v>0</v>
      </c>
      <c r="AN521" s="85">
        <f t="shared" si="1758"/>
        <v>50</v>
      </c>
      <c r="AO521" s="85">
        <f>'Consumer Hardware Pricing'!AD531</f>
        <v>21.84</v>
      </c>
      <c r="AP521" s="85">
        <f t="shared" si="1998"/>
        <v>28.16</v>
      </c>
      <c r="AQ521" s="85">
        <f t="shared" si="1999"/>
        <v>524.16</v>
      </c>
      <c r="AR521" s="85">
        <f t="shared" si="2000"/>
        <v>675.84</v>
      </c>
      <c r="AS521" s="85">
        <f>'Consumer Hardware Pricing'!AF531</f>
        <v>340</v>
      </c>
      <c r="AT521" s="85">
        <f t="shared" si="1759"/>
        <v>36.000000000000007</v>
      </c>
      <c r="AU521" s="85">
        <f t="shared" si="2001"/>
        <v>13.999999999999993</v>
      </c>
      <c r="AV521" s="85">
        <f t="shared" si="2002"/>
        <v>864.00000000000023</v>
      </c>
      <c r="AW521" s="85">
        <f t="shared" si="2003"/>
        <v>335.99999999999983</v>
      </c>
      <c r="AX521" s="85" t="str">
        <f>'Consumer Hardware Pricing'!AH531</f>
        <v>-</v>
      </c>
      <c r="AY521" s="85" t="str">
        <f t="shared" si="1760"/>
        <v>-</v>
      </c>
      <c r="AZ521" s="85" t="str">
        <f>'Consumer Hardware Pricing'!AI531</f>
        <v>-</v>
      </c>
      <c r="BA521" s="85" t="str">
        <f t="shared" si="2004"/>
        <v>-</v>
      </c>
      <c r="BB521" s="85" t="str">
        <f t="shared" si="2005"/>
        <v>-</v>
      </c>
      <c r="BC521" s="85" t="str">
        <f t="shared" si="2006"/>
        <v>-</v>
      </c>
      <c r="BD521" s="85" t="str">
        <f>'Consumer Hardware Pricing'!AL531</f>
        <v>-</v>
      </c>
      <c r="BE521" s="85" t="str">
        <f t="shared" si="1761"/>
        <v>-</v>
      </c>
      <c r="BF521" s="85" t="str">
        <f>'Consumer Hardware Pricing'!AM531</f>
        <v>-</v>
      </c>
      <c r="BG521" s="85" t="str">
        <f t="shared" si="2007"/>
        <v>-</v>
      </c>
      <c r="BH521" s="85" t="str">
        <f t="shared" si="2008"/>
        <v>-</v>
      </c>
      <c r="BI521" s="85" t="str">
        <f t="shared" si="2009"/>
        <v>-</v>
      </c>
      <c r="BJ521" s="85" t="str">
        <f>'Consumer Hardware Pricing'!AP531</f>
        <v>-</v>
      </c>
      <c r="BK521" s="85" t="str">
        <f t="shared" si="1762"/>
        <v>-</v>
      </c>
      <c r="BL521" s="85" t="str">
        <f>'Consumer Hardware Pricing'!AQ531</f>
        <v>-</v>
      </c>
      <c r="BM521" s="85" t="str">
        <f t="shared" si="2010"/>
        <v>-</v>
      </c>
      <c r="BN521" s="85" t="str">
        <f t="shared" si="2011"/>
        <v>-</v>
      </c>
      <c r="BO521" s="85" t="str">
        <f t="shared" si="2012"/>
        <v>-</v>
      </c>
      <c r="BP521" s="85" t="str">
        <f>'Consumer Hardware Pricing'!AT531</f>
        <v>-</v>
      </c>
      <c r="BQ521" s="85" t="str">
        <f t="shared" si="1763"/>
        <v>-</v>
      </c>
      <c r="BR521" s="85" t="str">
        <f>'Consumer Hardware Pricing'!AU531</f>
        <v>-</v>
      </c>
      <c r="BS521" s="85" t="str">
        <f t="shared" si="2013"/>
        <v>-</v>
      </c>
      <c r="BT521" s="85" t="str">
        <f t="shared" si="2014"/>
        <v>-</v>
      </c>
      <c r="BU521" s="85" t="str">
        <f t="shared" si="2015"/>
        <v>-</v>
      </c>
    </row>
    <row r="522" spans="1:73" ht="30.45" customHeight="1" x14ac:dyDescent="0.25">
      <c r="A522" s="87" t="s">
        <v>34</v>
      </c>
      <c r="B522" s="88" t="s">
        <v>838</v>
      </c>
      <c r="C522" s="88" t="s">
        <v>839</v>
      </c>
      <c r="D522" s="85">
        <f>'Consumer Hardware Pricing'!L532</f>
        <v>1650</v>
      </c>
      <c r="E522" s="85">
        <f>'Consumer Hardware Pricing'!M532</f>
        <v>1650</v>
      </c>
      <c r="F522" s="85">
        <f>'Consumer Hardware Pricing'!N532</f>
        <v>0</v>
      </c>
      <c r="G522" s="85">
        <f t="shared" si="1939"/>
        <v>68.75</v>
      </c>
      <c r="H522" s="85">
        <f>'Consumer Hardware Pricing'!O532</f>
        <v>13.75</v>
      </c>
      <c r="I522" s="85">
        <f t="shared" ref="I522:I529" si="2016">IF(H522="-",G522,G522-H522)</f>
        <v>55</v>
      </c>
      <c r="J522" s="85">
        <f t="shared" ref="J522:J529" si="2017">IF(H522="-",H522,H522*24)</f>
        <v>330</v>
      </c>
      <c r="K522" s="85">
        <f t="shared" ref="K522:K529" si="2018">IF(F522="-",F522,I522*24)</f>
        <v>1320</v>
      </c>
      <c r="L522" s="85" t="str">
        <f>'Consumer Hardware Pricing'!Q532</f>
        <v>-</v>
      </c>
      <c r="M522" s="85" t="str">
        <f t="shared" si="1940"/>
        <v>-</v>
      </c>
      <c r="N522" s="85" t="str">
        <f t="shared" ref="N522:N529" si="2019">IF(L522="-",L522,G522-M522)</f>
        <v>-</v>
      </c>
      <c r="O522" s="85" t="str">
        <f t="shared" ref="O522:O529" si="2020">IF(L522="-",L522,M522*24)</f>
        <v>-</v>
      </c>
      <c r="P522" s="85" t="str">
        <f t="shared" ref="P522:P529" si="2021">IF(L522="-",L522,N522*24)</f>
        <v>-</v>
      </c>
      <c r="Q522" s="85">
        <f>'Consumer Hardware Pricing'!S532</f>
        <v>0</v>
      </c>
      <c r="R522" s="85">
        <f t="shared" ref="R522:R529" si="2022">G522</f>
        <v>68.75</v>
      </c>
      <c r="S522" s="85">
        <f>'Consumer Hardware Pricing'!T532</f>
        <v>13.75</v>
      </c>
      <c r="T522" s="129">
        <f t="shared" ref="T522:T529" si="2023">IF(S522="-",R522,R522-S522)</f>
        <v>55</v>
      </c>
      <c r="U522" s="129">
        <f t="shared" ref="U522:U529" si="2024">IF(S522="-",S522,S522*24)</f>
        <v>330</v>
      </c>
      <c r="V522" s="85">
        <f t="shared" ref="V522:V529" si="2025">IF(Q522="-",Q522,T522*24)</f>
        <v>1320</v>
      </c>
      <c r="W522" s="129" t="str">
        <f>'Consumer Hardware Pricing'!V532</f>
        <v>-</v>
      </c>
      <c r="X522" s="129" t="str">
        <f t="shared" si="1941"/>
        <v>-</v>
      </c>
      <c r="Y522" s="129" t="str">
        <f t="shared" ref="Y522:Y529" si="2026">IF(W522="-",W522,R522-X522)</f>
        <v>-</v>
      </c>
      <c r="Z522" s="129" t="str">
        <f t="shared" ref="Z522:Z529" si="2027">IF(W522="-",W522,X522*24)</f>
        <v>-</v>
      </c>
      <c r="AA522" s="85" t="str">
        <f t="shared" ref="AA522:AA529" si="2028">IF(W522="-",W522,Y522*24)</f>
        <v>-</v>
      </c>
      <c r="AB522" s="85">
        <f>'Consumer Hardware Pricing'!X532</f>
        <v>0</v>
      </c>
      <c r="AC522" s="85">
        <f t="shared" si="1756"/>
        <v>68.75</v>
      </c>
      <c r="AD522" s="85">
        <f>'Consumer Hardware Pricing'!Y532</f>
        <v>33.75</v>
      </c>
      <c r="AE522" s="85">
        <f t="shared" si="1902"/>
        <v>35</v>
      </c>
      <c r="AF522" s="85">
        <f t="shared" si="1903"/>
        <v>810</v>
      </c>
      <c r="AG522" s="85">
        <f t="shared" si="1904"/>
        <v>840</v>
      </c>
      <c r="AH522" s="85" t="str">
        <f>'Consumer Hardware Pricing'!AA532</f>
        <v>-</v>
      </c>
      <c r="AI522" s="85" t="str">
        <f t="shared" si="1757"/>
        <v>-</v>
      </c>
      <c r="AJ522" s="85" t="str">
        <f t="shared" si="1905"/>
        <v>-</v>
      </c>
      <c r="AK522" s="85" t="str">
        <f t="shared" si="1906"/>
        <v>-</v>
      </c>
      <c r="AL522" s="85" t="str">
        <f t="shared" si="1907"/>
        <v>-</v>
      </c>
      <c r="AM522" s="85">
        <f>'Consumer Hardware Pricing'!AC532</f>
        <v>0</v>
      </c>
      <c r="AN522" s="85">
        <f t="shared" si="1758"/>
        <v>68.75</v>
      </c>
      <c r="AO522" s="85">
        <f>'Consumer Hardware Pricing'!AD532</f>
        <v>33.75</v>
      </c>
      <c r="AP522" s="85">
        <f t="shared" si="1908"/>
        <v>35</v>
      </c>
      <c r="AQ522" s="85">
        <f t="shared" si="1909"/>
        <v>810</v>
      </c>
      <c r="AR522" s="85">
        <f t="shared" si="1910"/>
        <v>840</v>
      </c>
      <c r="AS522" s="85" t="str">
        <f>'Consumer Hardware Pricing'!AF532</f>
        <v>-</v>
      </c>
      <c r="AT522" s="85" t="str">
        <f t="shared" si="1759"/>
        <v>-</v>
      </c>
      <c r="AU522" s="85" t="str">
        <f t="shared" si="1911"/>
        <v>-</v>
      </c>
      <c r="AV522" s="85" t="str">
        <f t="shared" si="1912"/>
        <v>-</v>
      </c>
      <c r="AW522" s="85" t="str">
        <f t="shared" si="1913"/>
        <v>-</v>
      </c>
      <c r="AX522" s="85" t="str">
        <f>'Consumer Hardware Pricing'!AH532</f>
        <v>-</v>
      </c>
      <c r="AY522" s="85" t="str">
        <f t="shared" si="1760"/>
        <v>-</v>
      </c>
      <c r="AZ522" s="85" t="str">
        <f>'Consumer Hardware Pricing'!AI532</f>
        <v>-</v>
      </c>
      <c r="BA522" s="85" t="str">
        <f t="shared" ref="BA522:BA529" si="2029">IF(AZ522="-",AY522,AY522-AZ522)</f>
        <v>-</v>
      </c>
      <c r="BB522" s="85" t="str">
        <f t="shared" ref="BB522:BB529" si="2030">IF(AZ522="-",AZ522,AZ522*24)</f>
        <v>-</v>
      </c>
      <c r="BC522" s="85" t="str">
        <f t="shared" ref="BC522:BC529" si="2031">IF(AX522="-",AX522,AX522+(BA522*24))</f>
        <v>-</v>
      </c>
      <c r="BD522" s="85" t="str">
        <f>'Consumer Hardware Pricing'!AL532</f>
        <v>-</v>
      </c>
      <c r="BE522" s="85" t="str">
        <f t="shared" si="1761"/>
        <v>-</v>
      </c>
      <c r="BF522" s="85" t="str">
        <f>'Consumer Hardware Pricing'!AM532</f>
        <v>-</v>
      </c>
      <c r="BG522" s="85" t="str">
        <f t="shared" ref="BG522:BG529" si="2032">IF(BF522="-",BE522,BE522-BF522)</f>
        <v>-</v>
      </c>
      <c r="BH522" s="85" t="str">
        <f t="shared" ref="BH522:BH529" si="2033">IF(BF522="-",BF522,BF522*24)</f>
        <v>-</v>
      </c>
      <c r="BI522" s="85" t="str">
        <f t="shared" ref="BI522:BI529" si="2034">IF(BD522="-",BD522,BD522+(BG522*24))</f>
        <v>-</v>
      </c>
      <c r="BJ522" s="85" t="str">
        <f>'Consumer Hardware Pricing'!AP532</f>
        <v>-</v>
      </c>
      <c r="BK522" s="85" t="str">
        <f t="shared" si="1762"/>
        <v>-</v>
      </c>
      <c r="BL522" s="85" t="str">
        <f>'Consumer Hardware Pricing'!AQ532</f>
        <v>-</v>
      </c>
      <c r="BM522" s="85" t="str">
        <f t="shared" ref="BM522:BM529" si="2035">IF(BL522="-",BK522,BK522-BL522)</f>
        <v>-</v>
      </c>
      <c r="BN522" s="85" t="str">
        <f t="shared" ref="BN522:BN529" si="2036">IF(BL522="-",BL522,BL522*24)</f>
        <v>-</v>
      </c>
      <c r="BO522" s="85" t="str">
        <f t="shared" ref="BO522:BO529" si="2037">IF(BJ522="-",BJ522,BJ522+(BM522*24))</f>
        <v>-</v>
      </c>
      <c r="BP522" s="85" t="str">
        <f>'Consumer Hardware Pricing'!AT532</f>
        <v>-</v>
      </c>
      <c r="BQ522" s="85" t="str">
        <f t="shared" si="1763"/>
        <v>-</v>
      </c>
      <c r="BR522" s="85" t="str">
        <f>'Consumer Hardware Pricing'!AU532</f>
        <v>-</v>
      </c>
      <c r="BS522" s="85" t="str">
        <f t="shared" ref="BS522:BS529" si="2038">IF(BR522="-",BQ522,BQ522-BR522)</f>
        <v>-</v>
      </c>
      <c r="BT522" s="85" t="str">
        <f t="shared" ref="BT522:BT529" si="2039">IF(BR522="-",BR522,BR522*24)</f>
        <v>-</v>
      </c>
      <c r="BU522" s="85" t="str">
        <f t="shared" ref="BU522:BU529" si="2040">IF(BP522="-",BP522,BP522+(BS522*24))</f>
        <v>-</v>
      </c>
    </row>
    <row r="523" spans="1:73" ht="30.45" customHeight="1" x14ac:dyDescent="0.25">
      <c r="A523" s="87" t="s">
        <v>34</v>
      </c>
      <c r="B523" s="88" t="s">
        <v>840</v>
      </c>
      <c r="C523" s="88" t="s">
        <v>839</v>
      </c>
      <c r="D523" s="85">
        <f>'Consumer Hardware Pricing'!L533</f>
        <v>1650</v>
      </c>
      <c r="E523" s="85">
        <f>'Consumer Hardware Pricing'!M533</f>
        <v>1650</v>
      </c>
      <c r="F523" s="85">
        <f>'Consumer Hardware Pricing'!N533</f>
        <v>0</v>
      </c>
      <c r="G523" s="85">
        <f t="shared" si="1939"/>
        <v>68.75</v>
      </c>
      <c r="H523" s="85">
        <f>'Consumer Hardware Pricing'!O533</f>
        <v>13.75</v>
      </c>
      <c r="I523" s="85">
        <f t="shared" si="2016"/>
        <v>55</v>
      </c>
      <c r="J523" s="85">
        <f t="shared" si="2017"/>
        <v>330</v>
      </c>
      <c r="K523" s="85">
        <f t="shared" si="2018"/>
        <v>1320</v>
      </c>
      <c r="L523" s="85" t="str">
        <f>'Consumer Hardware Pricing'!Q533</f>
        <v>-</v>
      </c>
      <c r="M523" s="85" t="str">
        <f t="shared" si="1940"/>
        <v>-</v>
      </c>
      <c r="N523" s="85" t="str">
        <f t="shared" si="2019"/>
        <v>-</v>
      </c>
      <c r="O523" s="85" t="str">
        <f t="shared" si="2020"/>
        <v>-</v>
      </c>
      <c r="P523" s="85" t="str">
        <f t="shared" si="2021"/>
        <v>-</v>
      </c>
      <c r="Q523" s="85">
        <f>'Consumer Hardware Pricing'!S533</f>
        <v>0</v>
      </c>
      <c r="R523" s="85">
        <f t="shared" si="2022"/>
        <v>68.75</v>
      </c>
      <c r="S523" s="85">
        <f>'Consumer Hardware Pricing'!T533</f>
        <v>13.75</v>
      </c>
      <c r="T523" s="129">
        <f t="shared" si="2023"/>
        <v>55</v>
      </c>
      <c r="U523" s="129">
        <f t="shared" si="2024"/>
        <v>330</v>
      </c>
      <c r="V523" s="85">
        <f t="shared" si="2025"/>
        <v>1320</v>
      </c>
      <c r="W523" s="129" t="str">
        <f>'Consumer Hardware Pricing'!V533</f>
        <v>-</v>
      </c>
      <c r="X523" s="129" t="str">
        <f t="shared" si="1941"/>
        <v>-</v>
      </c>
      <c r="Y523" s="129" t="str">
        <f t="shared" si="2026"/>
        <v>-</v>
      </c>
      <c r="Z523" s="129" t="str">
        <f t="shared" si="2027"/>
        <v>-</v>
      </c>
      <c r="AA523" s="85" t="str">
        <f t="shared" si="2028"/>
        <v>-</v>
      </c>
      <c r="AB523" s="85">
        <f>'Consumer Hardware Pricing'!X533</f>
        <v>0</v>
      </c>
      <c r="AC523" s="85">
        <f t="shared" si="1756"/>
        <v>68.75</v>
      </c>
      <c r="AD523" s="85">
        <f>'Consumer Hardware Pricing'!Y533</f>
        <v>33.75</v>
      </c>
      <c r="AE523" s="85">
        <f t="shared" si="1902"/>
        <v>35</v>
      </c>
      <c r="AF523" s="85">
        <f t="shared" si="1903"/>
        <v>810</v>
      </c>
      <c r="AG523" s="85">
        <f t="shared" si="1904"/>
        <v>840</v>
      </c>
      <c r="AH523" s="85" t="str">
        <f>'Consumer Hardware Pricing'!AA533</f>
        <v>-</v>
      </c>
      <c r="AI523" s="85" t="str">
        <f t="shared" si="1757"/>
        <v>-</v>
      </c>
      <c r="AJ523" s="85" t="str">
        <f t="shared" si="1905"/>
        <v>-</v>
      </c>
      <c r="AK523" s="85" t="str">
        <f t="shared" si="1906"/>
        <v>-</v>
      </c>
      <c r="AL523" s="85" t="str">
        <f t="shared" si="1907"/>
        <v>-</v>
      </c>
      <c r="AM523" s="85">
        <f>'Consumer Hardware Pricing'!AC533</f>
        <v>0</v>
      </c>
      <c r="AN523" s="85">
        <f t="shared" si="1758"/>
        <v>68.75</v>
      </c>
      <c r="AO523" s="85">
        <f>'Consumer Hardware Pricing'!AD533</f>
        <v>33.75</v>
      </c>
      <c r="AP523" s="85">
        <f t="shared" si="1908"/>
        <v>35</v>
      </c>
      <c r="AQ523" s="85">
        <f t="shared" si="1909"/>
        <v>810</v>
      </c>
      <c r="AR523" s="85">
        <f t="shared" si="1910"/>
        <v>840</v>
      </c>
      <c r="AS523" s="85" t="str">
        <f>'Consumer Hardware Pricing'!AF533</f>
        <v>-</v>
      </c>
      <c r="AT523" s="85" t="str">
        <f t="shared" si="1759"/>
        <v>-</v>
      </c>
      <c r="AU523" s="85" t="str">
        <f t="shared" si="1911"/>
        <v>-</v>
      </c>
      <c r="AV523" s="85" t="str">
        <f t="shared" si="1912"/>
        <v>-</v>
      </c>
      <c r="AW523" s="85" t="str">
        <f t="shared" si="1913"/>
        <v>-</v>
      </c>
      <c r="AX523" s="85" t="str">
        <f>'Consumer Hardware Pricing'!AH533</f>
        <v>-</v>
      </c>
      <c r="AY523" s="85" t="str">
        <f t="shared" si="1760"/>
        <v>-</v>
      </c>
      <c r="AZ523" s="85" t="str">
        <f>'Consumer Hardware Pricing'!AI533</f>
        <v>-</v>
      </c>
      <c r="BA523" s="85" t="str">
        <f t="shared" si="2029"/>
        <v>-</v>
      </c>
      <c r="BB523" s="85" t="str">
        <f t="shared" si="2030"/>
        <v>-</v>
      </c>
      <c r="BC523" s="85" t="str">
        <f t="shared" si="2031"/>
        <v>-</v>
      </c>
      <c r="BD523" s="85" t="str">
        <f>'Consumer Hardware Pricing'!AL533</f>
        <v>-</v>
      </c>
      <c r="BE523" s="85" t="str">
        <f t="shared" si="1761"/>
        <v>-</v>
      </c>
      <c r="BF523" s="85" t="str">
        <f>'Consumer Hardware Pricing'!AM533</f>
        <v>-</v>
      </c>
      <c r="BG523" s="85" t="str">
        <f t="shared" si="2032"/>
        <v>-</v>
      </c>
      <c r="BH523" s="85" t="str">
        <f t="shared" si="2033"/>
        <v>-</v>
      </c>
      <c r="BI523" s="85" t="str">
        <f t="shared" si="2034"/>
        <v>-</v>
      </c>
      <c r="BJ523" s="85" t="str">
        <f>'Consumer Hardware Pricing'!AP533</f>
        <v>-</v>
      </c>
      <c r="BK523" s="85" t="str">
        <f t="shared" si="1762"/>
        <v>-</v>
      </c>
      <c r="BL523" s="85" t="str">
        <f>'Consumer Hardware Pricing'!AQ533</f>
        <v>-</v>
      </c>
      <c r="BM523" s="85" t="str">
        <f t="shared" si="2035"/>
        <v>-</v>
      </c>
      <c r="BN523" s="85" t="str">
        <f t="shared" si="2036"/>
        <v>-</v>
      </c>
      <c r="BO523" s="85" t="str">
        <f t="shared" si="2037"/>
        <v>-</v>
      </c>
      <c r="BP523" s="85" t="str">
        <f>'Consumer Hardware Pricing'!AT533</f>
        <v>-</v>
      </c>
      <c r="BQ523" s="85" t="str">
        <f t="shared" si="1763"/>
        <v>-</v>
      </c>
      <c r="BR523" s="85" t="str">
        <f>'Consumer Hardware Pricing'!AU533</f>
        <v>-</v>
      </c>
      <c r="BS523" s="85" t="str">
        <f t="shared" si="2038"/>
        <v>-</v>
      </c>
      <c r="BT523" s="85" t="str">
        <f t="shared" si="2039"/>
        <v>-</v>
      </c>
      <c r="BU523" s="85" t="str">
        <f t="shared" si="2040"/>
        <v>-</v>
      </c>
    </row>
    <row r="524" spans="1:73" ht="30.45" customHeight="1" x14ac:dyDescent="0.25">
      <c r="A524" s="87" t="s">
        <v>34</v>
      </c>
      <c r="B524" s="88" t="s">
        <v>841</v>
      </c>
      <c r="C524" s="88" t="s">
        <v>842</v>
      </c>
      <c r="D524" s="85">
        <f>'Consumer Hardware Pricing'!L534</f>
        <v>2000</v>
      </c>
      <c r="E524" s="85">
        <f>'Consumer Hardware Pricing'!M534</f>
        <v>2000</v>
      </c>
      <c r="F524" s="85">
        <f>'Consumer Hardware Pricing'!N534</f>
        <v>0</v>
      </c>
      <c r="G524" s="85">
        <f t="shared" si="1939"/>
        <v>83.34</v>
      </c>
      <c r="H524" s="85">
        <f>'Consumer Hardware Pricing'!O534</f>
        <v>17.5</v>
      </c>
      <c r="I524" s="85">
        <f t="shared" si="2016"/>
        <v>65.84</v>
      </c>
      <c r="J524" s="85">
        <f t="shared" si="2017"/>
        <v>420</v>
      </c>
      <c r="K524" s="85">
        <f t="shared" si="2018"/>
        <v>1580.16</v>
      </c>
      <c r="L524" s="85" t="str">
        <f>'Consumer Hardware Pricing'!Q534</f>
        <v>-</v>
      </c>
      <c r="M524" s="85" t="str">
        <f t="shared" si="1940"/>
        <v>-</v>
      </c>
      <c r="N524" s="85" t="str">
        <f t="shared" si="2019"/>
        <v>-</v>
      </c>
      <c r="O524" s="85" t="str">
        <f t="shared" si="2020"/>
        <v>-</v>
      </c>
      <c r="P524" s="85" t="str">
        <f t="shared" si="2021"/>
        <v>-</v>
      </c>
      <c r="Q524" s="85">
        <f>'Consumer Hardware Pricing'!S534</f>
        <v>0</v>
      </c>
      <c r="R524" s="85">
        <f t="shared" si="2022"/>
        <v>83.34</v>
      </c>
      <c r="S524" s="85">
        <f>'Consumer Hardware Pricing'!T534</f>
        <v>17.5</v>
      </c>
      <c r="T524" s="129">
        <f t="shared" si="2023"/>
        <v>65.84</v>
      </c>
      <c r="U524" s="129">
        <f t="shared" si="2024"/>
        <v>420</v>
      </c>
      <c r="V524" s="85">
        <f t="shared" si="2025"/>
        <v>1580.16</v>
      </c>
      <c r="W524" s="129" t="str">
        <f>'Consumer Hardware Pricing'!V534</f>
        <v>-</v>
      </c>
      <c r="X524" s="129" t="str">
        <f t="shared" si="1941"/>
        <v>-</v>
      </c>
      <c r="Y524" s="129" t="str">
        <f t="shared" si="2026"/>
        <v>-</v>
      </c>
      <c r="Z524" s="129" t="str">
        <f t="shared" si="2027"/>
        <v>-</v>
      </c>
      <c r="AA524" s="85" t="str">
        <f t="shared" si="2028"/>
        <v>-</v>
      </c>
      <c r="AB524" s="85">
        <f>'Consumer Hardware Pricing'!X534</f>
        <v>0</v>
      </c>
      <c r="AC524" s="85">
        <f t="shared" si="1756"/>
        <v>83.34</v>
      </c>
      <c r="AD524" s="85">
        <f>'Consumer Hardware Pricing'!Y534</f>
        <v>38.339999999999996</v>
      </c>
      <c r="AE524" s="85">
        <f t="shared" si="1902"/>
        <v>45.000000000000007</v>
      </c>
      <c r="AF524" s="85">
        <f t="shared" si="1903"/>
        <v>920.15999999999985</v>
      </c>
      <c r="AG524" s="85">
        <f t="shared" si="1904"/>
        <v>1080.0000000000002</v>
      </c>
      <c r="AH524" s="85" t="str">
        <f>'Consumer Hardware Pricing'!AA534</f>
        <v>-</v>
      </c>
      <c r="AI524" s="85" t="str">
        <f t="shared" si="1757"/>
        <v>-</v>
      </c>
      <c r="AJ524" s="85" t="str">
        <f t="shared" si="1905"/>
        <v>-</v>
      </c>
      <c r="AK524" s="85" t="str">
        <f t="shared" si="1906"/>
        <v>-</v>
      </c>
      <c r="AL524" s="85" t="str">
        <f t="shared" si="1907"/>
        <v>-</v>
      </c>
      <c r="AM524" s="85">
        <f>'Consumer Hardware Pricing'!AC534</f>
        <v>0</v>
      </c>
      <c r="AN524" s="85">
        <f t="shared" si="1758"/>
        <v>83.34</v>
      </c>
      <c r="AO524" s="85">
        <f>'Consumer Hardware Pricing'!AD534</f>
        <v>38.339999999999996</v>
      </c>
      <c r="AP524" s="85">
        <f t="shared" si="1908"/>
        <v>45.000000000000007</v>
      </c>
      <c r="AQ524" s="85">
        <f t="shared" si="1909"/>
        <v>920.15999999999985</v>
      </c>
      <c r="AR524" s="85">
        <f t="shared" si="1910"/>
        <v>1080.0000000000002</v>
      </c>
      <c r="AS524" s="85" t="str">
        <f>'Consumer Hardware Pricing'!AF534</f>
        <v>-</v>
      </c>
      <c r="AT524" s="85" t="str">
        <f t="shared" si="1759"/>
        <v>-</v>
      </c>
      <c r="AU524" s="85" t="str">
        <f t="shared" si="1911"/>
        <v>-</v>
      </c>
      <c r="AV524" s="85" t="str">
        <f t="shared" si="1912"/>
        <v>-</v>
      </c>
      <c r="AW524" s="85" t="str">
        <f t="shared" si="1913"/>
        <v>-</v>
      </c>
      <c r="AX524" s="85" t="str">
        <f>'Consumer Hardware Pricing'!AH534</f>
        <v>-</v>
      </c>
      <c r="AY524" s="85" t="str">
        <f t="shared" si="1760"/>
        <v>-</v>
      </c>
      <c r="AZ524" s="85" t="str">
        <f>'Consumer Hardware Pricing'!AI534</f>
        <v>-</v>
      </c>
      <c r="BA524" s="85" t="str">
        <f t="shared" si="2029"/>
        <v>-</v>
      </c>
      <c r="BB524" s="85" t="str">
        <f t="shared" si="2030"/>
        <v>-</v>
      </c>
      <c r="BC524" s="85" t="str">
        <f t="shared" si="2031"/>
        <v>-</v>
      </c>
      <c r="BD524" s="85" t="str">
        <f>'Consumer Hardware Pricing'!AL534</f>
        <v>-</v>
      </c>
      <c r="BE524" s="85" t="str">
        <f t="shared" si="1761"/>
        <v>-</v>
      </c>
      <c r="BF524" s="85" t="str">
        <f>'Consumer Hardware Pricing'!AM534</f>
        <v>-</v>
      </c>
      <c r="BG524" s="85" t="str">
        <f t="shared" si="2032"/>
        <v>-</v>
      </c>
      <c r="BH524" s="85" t="str">
        <f t="shared" si="2033"/>
        <v>-</v>
      </c>
      <c r="BI524" s="85" t="str">
        <f t="shared" si="2034"/>
        <v>-</v>
      </c>
      <c r="BJ524" s="85" t="str">
        <f>'Consumer Hardware Pricing'!AP534</f>
        <v>-</v>
      </c>
      <c r="BK524" s="85" t="str">
        <f t="shared" si="1762"/>
        <v>-</v>
      </c>
      <c r="BL524" s="85" t="str">
        <f>'Consumer Hardware Pricing'!AQ534</f>
        <v>-</v>
      </c>
      <c r="BM524" s="85" t="str">
        <f t="shared" si="2035"/>
        <v>-</v>
      </c>
      <c r="BN524" s="85" t="str">
        <f t="shared" si="2036"/>
        <v>-</v>
      </c>
      <c r="BO524" s="85" t="str">
        <f t="shared" si="2037"/>
        <v>-</v>
      </c>
      <c r="BP524" s="85" t="str">
        <f>'Consumer Hardware Pricing'!AT534</f>
        <v>-</v>
      </c>
      <c r="BQ524" s="85" t="str">
        <f t="shared" si="1763"/>
        <v>-</v>
      </c>
      <c r="BR524" s="85" t="str">
        <f>'Consumer Hardware Pricing'!AU534</f>
        <v>-</v>
      </c>
      <c r="BS524" s="85" t="str">
        <f t="shared" si="2038"/>
        <v>-</v>
      </c>
      <c r="BT524" s="85" t="str">
        <f t="shared" si="2039"/>
        <v>-</v>
      </c>
      <c r="BU524" s="85" t="str">
        <f t="shared" si="2040"/>
        <v>-</v>
      </c>
    </row>
    <row r="525" spans="1:73" ht="30.45" customHeight="1" x14ac:dyDescent="0.25">
      <c r="A525" s="87" t="s">
        <v>34</v>
      </c>
      <c r="B525" s="88" t="s">
        <v>843</v>
      </c>
      <c r="C525" s="88" t="s">
        <v>842</v>
      </c>
      <c r="D525" s="85">
        <f>'Consumer Hardware Pricing'!L535</f>
        <v>2000</v>
      </c>
      <c r="E525" s="85">
        <f>'Consumer Hardware Pricing'!M535</f>
        <v>2000</v>
      </c>
      <c r="F525" s="85">
        <f>'Consumer Hardware Pricing'!N535</f>
        <v>0</v>
      </c>
      <c r="G525" s="85">
        <f t="shared" si="1939"/>
        <v>83.34</v>
      </c>
      <c r="H525" s="85">
        <f>'Consumer Hardware Pricing'!O535</f>
        <v>17.5</v>
      </c>
      <c r="I525" s="85">
        <f t="shared" si="2016"/>
        <v>65.84</v>
      </c>
      <c r="J525" s="85">
        <f t="shared" si="2017"/>
        <v>420</v>
      </c>
      <c r="K525" s="85">
        <f t="shared" si="2018"/>
        <v>1580.16</v>
      </c>
      <c r="L525" s="85" t="str">
        <f>'Consumer Hardware Pricing'!Q535</f>
        <v>-</v>
      </c>
      <c r="M525" s="85" t="str">
        <f t="shared" si="1940"/>
        <v>-</v>
      </c>
      <c r="N525" s="85" t="str">
        <f t="shared" si="2019"/>
        <v>-</v>
      </c>
      <c r="O525" s="85" t="str">
        <f t="shared" si="2020"/>
        <v>-</v>
      </c>
      <c r="P525" s="85" t="str">
        <f t="shared" si="2021"/>
        <v>-</v>
      </c>
      <c r="Q525" s="85">
        <f>'Consumer Hardware Pricing'!S535</f>
        <v>0</v>
      </c>
      <c r="R525" s="85">
        <f t="shared" si="2022"/>
        <v>83.34</v>
      </c>
      <c r="S525" s="85">
        <f>'Consumer Hardware Pricing'!T535</f>
        <v>17.5</v>
      </c>
      <c r="T525" s="129">
        <f t="shared" si="2023"/>
        <v>65.84</v>
      </c>
      <c r="U525" s="129">
        <f t="shared" si="2024"/>
        <v>420</v>
      </c>
      <c r="V525" s="85">
        <f t="shared" si="2025"/>
        <v>1580.16</v>
      </c>
      <c r="W525" s="129" t="str">
        <f>'Consumer Hardware Pricing'!V535</f>
        <v>-</v>
      </c>
      <c r="X525" s="129" t="str">
        <f t="shared" si="1941"/>
        <v>-</v>
      </c>
      <c r="Y525" s="129" t="str">
        <f t="shared" si="2026"/>
        <v>-</v>
      </c>
      <c r="Z525" s="129" t="str">
        <f t="shared" si="2027"/>
        <v>-</v>
      </c>
      <c r="AA525" s="85" t="str">
        <f t="shared" si="2028"/>
        <v>-</v>
      </c>
      <c r="AB525" s="85">
        <f>'Consumer Hardware Pricing'!X535</f>
        <v>0</v>
      </c>
      <c r="AC525" s="85">
        <f t="shared" ref="AC525:AC585" si="2041">IF(AB525="-","-",ROUNDUP(D525/24,2))</f>
        <v>83.34</v>
      </c>
      <c r="AD525" s="85">
        <f>'Consumer Hardware Pricing'!Y535</f>
        <v>38.339999999999996</v>
      </c>
      <c r="AE525" s="85">
        <f t="shared" si="1902"/>
        <v>45.000000000000007</v>
      </c>
      <c r="AF525" s="85">
        <f t="shared" si="1903"/>
        <v>920.15999999999985</v>
      </c>
      <c r="AG525" s="85">
        <f t="shared" si="1904"/>
        <v>1080.0000000000002</v>
      </c>
      <c r="AH525" s="85" t="str">
        <f>'Consumer Hardware Pricing'!AA535</f>
        <v>-</v>
      </c>
      <c r="AI525" s="85" t="str">
        <f t="shared" ref="AI525:AI585" si="2042">IF(AH525="-",AH525,IF(AD525="-",AC525-ROUNDUP((D525-AH525)/24,2),AD525+AC525-ROUNDUP((D525-AH525)/24,2)))</f>
        <v>-</v>
      </c>
      <c r="AJ525" s="85" t="str">
        <f t="shared" si="1905"/>
        <v>-</v>
      </c>
      <c r="AK525" s="85" t="str">
        <f t="shared" si="1906"/>
        <v>-</v>
      </c>
      <c r="AL525" s="85" t="str">
        <f t="shared" si="1907"/>
        <v>-</v>
      </c>
      <c r="AM525" s="85">
        <f>'Consumer Hardware Pricing'!AC535</f>
        <v>0</v>
      </c>
      <c r="AN525" s="85">
        <f t="shared" ref="AN525:AN585" si="2043">IF(AM525="-","-",ROUNDUP(D525/24,2))</f>
        <v>83.34</v>
      </c>
      <c r="AO525" s="85">
        <f>'Consumer Hardware Pricing'!AD535</f>
        <v>38.339999999999996</v>
      </c>
      <c r="AP525" s="85">
        <f t="shared" si="1908"/>
        <v>45.000000000000007</v>
      </c>
      <c r="AQ525" s="85">
        <f t="shared" si="1909"/>
        <v>920.15999999999985</v>
      </c>
      <c r="AR525" s="85">
        <f t="shared" si="1910"/>
        <v>1080.0000000000002</v>
      </c>
      <c r="AS525" s="85" t="str">
        <f>'Consumer Hardware Pricing'!AF535</f>
        <v>-</v>
      </c>
      <c r="AT525" s="85" t="str">
        <f t="shared" ref="AT525:AT585" si="2044">IF(AS525="-",AS525,IF(AO525="-",AN525-ROUNDUP((D525-AS525)/24,2),AO525+AN525-ROUNDUP((D525-AS525)/24,2)))</f>
        <v>-</v>
      </c>
      <c r="AU525" s="85" t="str">
        <f t="shared" si="1911"/>
        <v>-</v>
      </c>
      <c r="AV525" s="85" t="str">
        <f t="shared" si="1912"/>
        <v>-</v>
      </c>
      <c r="AW525" s="85" t="str">
        <f t="shared" si="1913"/>
        <v>-</v>
      </c>
      <c r="AX525" s="85" t="str">
        <f>'Consumer Hardware Pricing'!AH535</f>
        <v>-</v>
      </c>
      <c r="AY525" s="85" t="str">
        <f t="shared" ref="AY525:AY585" si="2045">IF(AX525="-",AX525,ROUNDUP((D525-AX525)/24,2))</f>
        <v>-</v>
      </c>
      <c r="AZ525" s="85" t="str">
        <f>'Consumer Hardware Pricing'!AI535</f>
        <v>-</v>
      </c>
      <c r="BA525" s="85" t="str">
        <f t="shared" si="2029"/>
        <v>-</v>
      </c>
      <c r="BB525" s="85" t="str">
        <f t="shared" si="2030"/>
        <v>-</v>
      </c>
      <c r="BC525" s="85" t="str">
        <f t="shared" si="2031"/>
        <v>-</v>
      </c>
      <c r="BD525" s="85" t="str">
        <f>'Consumer Hardware Pricing'!AL535</f>
        <v>-</v>
      </c>
      <c r="BE525" s="85" t="str">
        <f t="shared" ref="BE525:BE585" si="2046">IF(BD525="-",BD525,ROUNDUP((D525-BD525)/24,2))</f>
        <v>-</v>
      </c>
      <c r="BF525" s="85" t="str">
        <f>'Consumer Hardware Pricing'!AM535</f>
        <v>-</v>
      </c>
      <c r="BG525" s="85" t="str">
        <f t="shared" si="2032"/>
        <v>-</v>
      </c>
      <c r="BH525" s="85" t="str">
        <f t="shared" si="2033"/>
        <v>-</v>
      </c>
      <c r="BI525" s="85" t="str">
        <f t="shared" si="2034"/>
        <v>-</v>
      </c>
      <c r="BJ525" s="85" t="str">
        <f>'Consumer Hardware Pricing'!AP535</f>
        <v>-</v>
      </c>
      <c r="BK525" s="85" t="str">
        <f t="shared" ref="BK525:BK585" si="2047">IF(BJ525="-",BJ525,ROUNDUP((D525-BJ525)/24,2))</f>
        <v>-</v>
      </c>
      <c r="BL525" s="85" t="str">
        <f>'Consumer Hardware Pricing'!AQ535</f>
        <v>-</v>
      </c>
      <c r="BM525" s="85" t="str">
        <f t="shared" si="2035"/>
        <v>-</v>
      </c>
      <c r="BN525" s="85" t="str">
        <f t="shared" si="2036"/>
        <v>-</v>
      </c>
      <c r="BO525" s="85" t="str">
        <f t="shared" si="2037"/>
        <v>-</v>
      </c>
      <c r="BP525" s="85" t="str">
        <f>'Consumer Hardware Pricing'!AT535</f>
        <v>-</v>
      </c>
      <c r="BQ525" s="85" t="str">
        <f t="shared" ref="BQ525:BQ585" si="2048">IF(BP525="-",BP525,ROUNDUP((D525-BP525)/24,2))</f>
        <v>-</v>
      </c>
      <c r="BR525" s="85" t="str">
        <f>'Consumer Hardware Pricing'!AU535</f>
        <v>-</v>
      </c>
      <c r="BS525" s="85" t="str">
        <f t="shared" si="2038"/>
        <v>-</v>
      </c>
      <c r="BT525" s="85" t="str">
        <f t="shared" si="2039"/>
        <v>-</v>
      </c>
      <c r="BU525" s="85" t="str">
        <f t="shared" si="2040"/>
        <v>-</v>
      </c>
    </row>
    <row r="526" spans="1:73" ht="30.45" customHeight="1" x14ac:dyDescent="0.25">
      <c r="A526" s="87" t="s">
        <v>34</v>
      </c>
      <c r="B526" s="88" t="s">
        <v>844</v>
      </c>
      <c r="C526" s="88" t="s">
        <v>845</v>
      </c>
      <c r="D526" s="85">
        <f>'Consumer Hardware Pricing'!L536</f>
        <v>2200</v>
      </c>
      <c r="E526" s="85">
        <f>'Consumer Hardware Pricing'!M536</f>
        <v>2200</v>
      </c>
      <c r="F526" s="85">
        <f>'Consumer Hardware Pricing'!N536</f>
        <v>0</v>
      </c>
      <c r="G526" s="85">
        <f t="shared" si="1939"/>
        <v>91.67</v>
      </c>
      <c r="H526" s="85">
        <f>'Consumer Hardware Pricing'!O536</f>
        <v>17.5</v>
      </c>
      <c r="I526" s="85">
        <f t="shared" si="2016"/>
        <v>74.17</v>
      </c>
      <c r="J526" s="85">
        <f t="shared" si="2017"/>
        <v>420</v>
      </c>
      <c r="K526" s="85">
        <f t="shared" si="2018"/>
        <v>1780.08</v>
      </c>
      <c r="L526" s="85" t="str">
        <f>'Consumer Hardware Pricing'!Q536</f>
        <v>-</v>
      </c>
      <c r="M526" s="85" t="str">
        <f t="shared" si="1940"/>
        <v>-</v>
      </c>
      <c r="N526" s="85" t="str">
        <f t="shared" si="2019"/>
        <v>-</v>
      </c>
      <c r="O526" s="85" t="str">
        <f t="shared" si="2020"/>
        <v>-</v>
      </c>
      <c r="P526" s="85" t="str">
        <f t="shared" si="2021"/>
        <v>-</v>
      </c>
      <c r="Q526" s="85">
        <f>'Consumer Hardware Pricing'!S536</f>
        <v>0</v>
      </c>
      <c r="R526" s="85">
        <f t="shared" si="2022"/>
        <v>91.67</v>
      </c>
      <c r="S526" s="85">
        <f>'Consumer Hardware Pricing'!T536</f>
        <v>17.5</v>
      </c>
      <c r="T526" s="129">
        <f t="shared" si="2023"/>
        <v>74.17</v>
      </c>
      <c r="U526" s="129">
        <f t="shared" si="2024"/>
        <v>420</v>
      </c>
      <c r="V526" s="85">
        <f t="shared" si="2025"/>
        <v>1780.08</v>
      </c>
      <c r="W526" s="129" t="str">
        <f>'Consumer Hardware Pricing'!V536</f>
        <v>-</v>
      </c>
      <c r="X526" s="129" t="str">
        <f t="shared" si="1941"/>
        <v>-</v>
      </c>
      <c r="Y526" s="129" t="str">
        <f t="shared" si="2026"/>
        <v>-</v>
      </c>
      <c r="Z526" s="129" t="str">
        <f t="shared" si="2027"/>
        <v>-</v>
      </c>
      <c r="AA526" s="85" t="str">
        <f t="shared" si="2028"/>
        <v>-</v>
      </c>
      <c r="AB526" s="85">
        <f>'Consumer Hardware Pricing'!X536</f>
        <v>0</v>
      </c>
      <c r="AC526" s="85">
        <f t="shared" si="2041"/>
        <v>91.67</v>
      </c>
      <c r="AD526" s="85">
        <f>'Consumer Hardware Pricing'!Y536</f>
        <v>38.339999999999996</v>
      </c>
      <c r="AE526" s="85">
        <f t="shared" si="1902"/>
        <v>53.330000000000005</v>
      </c>
      <c r="AF526" s="85">
        <f t="shared" si="1903"/>
        <v>920.15999999999985</v>
      </c>
      <c r="AG526" s="85">
        <f t="shared" si="1904"/>
        <v>1279.92</v>
      </c>
      <c r="AH526" s="85" t="str">
        <f>'Consumer Hardware Pricing'!AA536</f>
        <v>-</v>
      </c>
      <c r="AI526" s="85" t="str">
        <f t="shared" si="2042"/>
        <v>-</v>
      </c>
      <c r="AJ526" s="85" t="str">
        <f t="shared" si="1905"/>
        <v>-</v>
      </c>
      <c r="AK526" s="85" t="str">
        <f t="shared" si="1906"/>
        <v>-</v>
      </c>
      <c r="AL526" s="85" t="str">
        <f t="shared" si="1907"/>
        <v>-</v>
      </c>
      <c r="AM526" s="85">
        <f>'Consumer Hardware Pricing'!AC536</f>
        <v>0</v>
      </c>
      <c r="AN526" s="85">
        <f t="shared" si="2043"/>
        <v>91.67</v>
      </c>
      <c r="AO526" s="85">
        <f>'Consumer Hardware Pricing'!AD536</f>
        <v>38.339999999999996</v>
      </c>
      <c r="AP526" s="85">
        <f t="shared" si="1908"/>
        <v>53.330000000000005</v>
      </c>
      <c r="AQ526" s="85">
        <f t="shared" si="1909"/>
        <v>920.15999999999985</v>
      </c>
      <c r="AR526" s="85">
        <f t="shared" si="1910"/>
        <v>1279.92</v>
      </c>
      <c r="AS526" s="85" t="str">
        <f>'Consumer Hardware Pricing'!AF536</f>
        <v>-</v>
      </c>
      <c r="AT526" s="85" t="str">
        <f t="shared" si="2044"/>
        <v>-</v>
      </c>
      <c r="AU526" s="85" t="str">
        <f t="shared" si="1911"/>
        <v>-</v>
      </c>
      <c r="AV526" s="85" t="str">
        <f t="shared" si="1912"/>
        <v>-</v>
      </c>
      <c r="AW526" s="85" t="str">
        <f t="shared" si="1913"/>
        <v>-</v>
      </c>
      <c r="AX526" s="85" t="str">
        <f>'Consumer Hardware Pricing'!AH536</f>
        <v>-</v>
      </c>
      <c r="AY526" s="85" t="str">
        <f t="shared" si="2045"/>
        <v>-</v>
      </c>
      <c r="AZ526" s="85" t="str">
        <f>'Consumer Hardware Pricing'!AI536</f>
        <v>-</v>
      </c>
      <c r="BA526" s="85" t="str">
        <f t="shared" si="2029"/>
        <v>-</v>
      </c>
      <c r="BB526" s="85" t="str">
        <f t="shared" si="2030"/>
        <v>-</v>
      </c>
      <c r="BC526" s="85" t="str">
        <f t="shared" si="2031"/>
        <v>-</v>
      </c>
      <c r="BD526" s="85" t="str">
        <f>'Consumer Hardware Pricing'!AL536</f>
        <v>-</v>
      </c>
      <c r="BE526" s="85" t="str">
        <f t="shared" si="2046"/>
        <v>-</v>
      </c>
      <c r="BF526" s="85" t="str">
        <f>'Consumer Hardware Pricing'!AM536</f>
        <v>-</v>
      </c>
      <c r="BG526" s="85" t="str">
        <f t="shared" si="2032"/>
        <v>-</v>
      </c>
      <c r="BH526" s="85" t="str">
        <f t="shared" si="2033"/>
        <v>-</v>
      </c>
      <c r="BI526" s="85" t="str">
        <f t="shared" si="2034"/>
        <v>-</v>
      </c>
      <c r="BJ526" s="85" t="str">
        <f>'Consumer Hardware Pricing'!AP536</f>
        <v>-</v>
      </c>
      <c r="BK526" s="85" t="str">
        <f t="shared" si="2047"/>
        <v>-</v>
      </c>
      <c r="BL526" s="85" t="str">
        <f>'Consumer Hardware Pricing'!AQ536</f>
        <v>-</v>
      </c>
      <c r="BM526" s="85" t="str">
        <f t="shared" si="2035"/>
        <v>-</v>
      </c>
      <c r="BN526" s="85" t="str">
        <f t="shared" si="2036"/>
        <v>-</v>
      </c>
      <c r="BO526" s="85" t="str">
        <f t="shared" si="2037"/>
        <v>-</v>
      </c>
      <c r="BP526" s="85" t="str">
        <f>'Consumer Hardware Pricing'!AT536</f>
        <v>-</v>
      </c>
      <c r="BQ526" s="85" t="str">
        <f t="shared" si="2048"/>
        <v>-</v>
      </c>
      <c r="BR526" s="85" t="str">
        <f>'Consumer Hardware Pricing'!AU536</f>
        <v>-</v>
      </c>
      <c r="BS526" s="85" t="str">
        <f t="shared" si="2038"/>
        <v>-</v>
      </c>
      <c r="BT526" s="85" t="str">
        <f t="shared" si="2039"/>
        <v>-</v>
      </c>
      <c r="BU526" s="85" t="str">
        <f t="shared" si="2040"/>
        <v>-</v>
      </c>
    </row>
    <row r="527" spans="1:73" ht="30.45" customHeight="1" x14ac:dyDescent="0.25">
      <c r="A527" s="87" t="s">
        <v>34</v>
      </c>
      <c r="B527" s="88" t="s">
        <v>846</v>
      </c>
      <c r="C527" s="88" t="s">
        <v>847</v>
      </c>
      <c r="D527" s="85">
        <f>'Consumer Hardware Pricing'!L537</f>
        <v>2300</v>
      </c>
      <c r="E527" s="85">
        <f>'Consumer Hardware Pricing'!M537</f>
        <v>2300</v>
      </c>
      <c r="F527" s="85">
        <f>'Consumer Hardware Pricing'!N537</f>
        <v>0</v>
      </c>
      <c r="G527" s="85">
        <f t="shared" si="1939"/>
        <v>95.84</v>
      </c>
      <c r="H527" s="85">
        <f>'Consumer Hardware Pricing'!O537</f>
        <v>18.75</v>
      </c>
      <c r="I527" s="85">
        <f t="shared" si="2016"/>
        <v>77.09</v>
      </c>
      <c r="J527" s="85">
        <f t="shared" si="2017"/>
        <v>450</v>
      </c>
      <c r="K527" s="85">
        <f t="shared" si="2018"/>
        <v>1850.16</v>
      </c>
      <c r="L527" s="85" t="str">
        <f>'Consumer Hardware Pricing'!Q537</f>
        <v>-</v>
      </c>
      <c r="M527" s="85" t="str">
        <f t="shared" si="1940"/>
        <v>-</v>
      </c>
      <c r="N527" s="85" t="str">
        <f t="shared" si="2019"/>
        <v>-</v>
      </c>
      <c r="O527" s="85" t="str">
        <f t="shared" si="2020"/>
        <v>-</v>
      </c>
      <c r="P527" s="85" t="str">
        <f t="shared" si="2021"/>
        <v>-</v>
      </c>
      <c r="Q527" s="85">
        <f>'Consumer Hardware Pricing'!S537</f>
        <v>0</v>
      </c>
      <c r="R527" s="85">
        <f t="shared" si="2022"/>
        <v>95.84</v>
      </c>
      <c r="S527" s="85">
        <f>'Consumer Hardware Pricing'!T537</f>
        <v>18.75</v>
      </c>
      <c r="T527" s="129">
        <f t="shared" si="2023"/>
        <v>77.09</v>
      </c>
      <c r="U527" s="129">
        <f t="shared" si="2024"/>
        <v>450</v>
      </c>
      <c r="V527" s="85">
        <f t="shared" si="2025"/>
        <v>1850.16</v>
      </c>
      <c r="W527" s="129" t="str">
        <f>'Consumer Hardware Pricing'!V537</f>
        <v>-</v>
      </c>
      <c r="X527" s="129" t="str">
        <f t="shared" si="1941"/>
        <v>-</v>
      </c>
      <c r="Y527" s="129" t="str">
        <f t="shared" si="2026"/>
        <v>-</v>
      </c>
      <c r="Z527" s="129" t="str">
        <f t="shared" si="2027"/>
        <v>-</v>
      </c>
      <c r="AA527" s="85" t="str">
        <f t="shared" si="2028"/>
        <v>-</v>
      </c>
      <c r="AB527" s="85">
        <f>'Consumer Hardware Pricing'!X537</f>
        <v>0</v>
      </c>
      <c r="AC527" s="85">
        <f t="shared" si="2041"/>
        <v>95.84</v>
      </c>
      <c r="AD527" s="85">
        <f>'Consumer Hardware Pricing'!Y537</f>
        <v>45.839999999999996</v>
      </c>
      <c r="AE527" s="85">
        <f t="shared" si="1902"/>
        <v>50.000000000000007</v>
      </c>
      <c r="AF527" s="85">
        <f t="shared" si="1903"/>
        <v>1100.1599999999999</v>
      </c>
      <c r="AG527" s="85">
        <f t="shared" si="1904"/>
        <v>1200.0000000000002</v>
      </c>
      <c r="AH527" s="85" t="str">
        <f>'Consumer Hardware Pricing'!AA537</f>
        <v>-</v>
      </c>
      <c r="AI527" s="85" t="str">
        <f t="shared" si="2042"/>
        <v>-</v>
      </c>
      <c r="AJ527" s="85" t="str">
        <f t="shared" si="1905"/>
        <v>-</v>
      </c>
      <c r="AK527" s="85" t="str">
        <f t="shared" si="1906"/>
        <v>-</v>
      </c>
      <c r="AL527" s="85" t="str">
        <f t="shared" si="1907"/>
        <v>-</v>
      </c>
      <c r="AM527" s="85">
        <f>'Consumer Hardware Pricing'!AC537</f>
        <v>0</v>
      </c>
      <c r="AN527" s="85">
        <f t="shared" si="2043"/>
        <v>95.84</v>
      </c>
      <c r="AO527" s="85">
        <f>'Consumer Hardware Pricing'!AD537</f>
        <v>45.839999999999996</v>
      </c>
      <c r="AP527" s="85">
        <f t="shared" si="1908"/>
        <v>50.000000000000007</v>
      </c>
      <c r="AQ527" s="85">
        <f t="shared" si="1909"/>
        <v>1100.1599999999999</v>
      </c>
      <c r="AR527" s="85">
        <f t="shared" si="1910"/>
        <v>1200.0000000000002</v>
      </c>
      <c r="AS527" s="85" t="str">
        <f>'Consumer Hardware Pricing'!AF537</f>
        <v>-</v>
      </c>
      <c r="AT527" s="85" t="str">
        <f t="shared" si="2044"/>
        <v>-</v>
      </c>
      <c r="AU527" s="85" t="str">
        <f t="shared" si="1911"/>
        <v>-</v>
      </c>
      <c r="AV527" s="85" t="str">
        <f t="shared" si="1912"/>
        <v>-</v>
      </c>
      <c r="AW527" s="85" t="str">
        <f t="shared" si="1913"/>
        <v>-</v>
      </c>
      <c r="AX527" s="85" t="str">
        <f>'Consumer Hardware Pricing'!AH537</f>
        <v>-</v>
      </c>
      <c r="AY527" s="85" t="str">
        <f t="shared" si="2045"/>
        <v>-</v>
      </c>
      <c r="AZ527" s="85" t="str">
        <f>'Consumer Hardware Pricing'!AI537</f>
        <v>-</v>
      </c>
      <c r="BA527" s="85" t="str">
        <f t="shared" si="2029"/>
        <v>-</v>
      </c>
      <c r="BB527" s="85" t="str">
        <f t="shared" si="2030"/>
        <v>-</v>
      </c>
      <c r="BC527" s="85" t="str">
        <f t="shared" si="2031"/>
        <v>-</v>
      </c>
      <c r="BD527" s="85" t="str">
        <f>'Consumer Hardware Pricing'!AL537</f>
        <v>-</v>
      </c>
      <c r="BE527" s="85" t="str">
        <f t="shared" si="2046"/>
        <v>-</v>
      </c>
      <c r="BF527" s="85" t="str">
        <f>'Consumer Hardware Pricing'!AM537</f>
        <v>-</v>
      </c>
      <c r="BG527" s="85" t="str">
        <f t="shared" si="2032"/>
        <v>-</v>
      </c>
      <c r="BH527" s="85" t="str">
        <f t="shared" si="2033"/>
        <v>-</v>
      </c>
      <c r="BI527" s="85" t="str">
        <f t="shared" si="2034"/>
        <v>-</v>
      </c>
      <c r="BJ527" s="85" t="str">
        <f>'Consumer Hardware Pricing'!AP537</f>
        <v>-</v>
      </c>
      <c r="BK527" s="85" t="str">
        <f t="shared" si="2047"/>
        <v>-</v>
      </c>
      <c r="BL527" s="85" t="str">
        <f>'Consumer Hardware Pricing'!AQ537</f>
        <v>-</v>
      </c>
      <c r="BM527" s="85" t="str">
        <f t="shared" si="2035"/>
        <v>-</v>
      </c>
      <c r="BN527" s="85" t="str">
        <f t="shared" si="2036"/>
        <v>-</v>
      </c>
      <c r="BO527" s="85" t="str">
        <f t="shared" si="2037"/>
        <v>-</v>
      </c>
      <c r="BP527" s="85" t="str">
        <f>'Consumer Hardware Pricing'!AT537</f>
        <v>-</v>
      </c>
      <c r="BQ527" s="85" t="str">
        <f t="shared" si="2048"/>
        <v>-</v>
      </c>
      <c r="BR527" s="85" t="str">
        <f>'Consumer Hardware Pricing'!AU537</f>
        <v>-</v>
      </c>
      <c r="BS527" s="85" t="str">
        <f t="shared" si="2038"/>
        <v>-</v>
      </c>
      <c r="BT527" s="85" t="str">
        <f t="shared" si="2039"/>
        <v>-</v>
      </c>
      <c r="BU527" s="85" t="str">
        <f t="shared" si="2040"/>
        <v>-</v>
      </c>
    </row>
    <row r="528" spans="1:73" ht="30.45" customHeight="1" x14ac:dyDescent="0.25">
      <c r="A528" s="87" t="s">
        <v>34</v>
      </c>
      <c r="B528" s="88" t="s">
        <v>848</v>
      </c>
      <c r="C528" s="88" t="s">
        <v>847</v>
      </c>
      <c r="D528" s="85">
        <f>'Consumer Hardware Pricing'!L538</f>
        <v>2300</v>
      </c>
      <c r="E528" s="85">
        <f>'Consumer Hardware Pricing'!M538</f>
        <v>2300</v>
      </c>
      <c r="F528" s="85">
        <f>'Consumer Hardware Pricing'!N538</f>
        <v>0</v>
      </c>
      <c r="G528" s="85">
        <f t="shared" si="1939"/>
        <v>95.84</v>
      </c>
      <c r="H528" s="85">
        <f>'Consumer Hardware Pricing'!O538</f>
        <v>18.75</v>
      </c>
      <c r="I528" s="85">
        <f t="shared" si="2016"/>
        <v>77.09</v>
      </c>
      <c r="J528" s="85">
        <f t="shared" si="2017"/>
        <v>450</v>
      </c>
      <c r="K528" s="85">
        <f t="shared" si="2018"/>
        <v>1850.16</v>
      </c>
      <c r="L528" s="85" t="str">
        <f>'Consumer Hardware Pricing'!Q538</f>
        <v>-</v>
      </c>
      <c r="M528" s="85" t="str">
        <f t="shared" si="1940"/>
        <v>-</v>
      </c>
      <c r="N528" s="85" t="str">
        <f t="shared" si="2019"/>
        <v>-</v>
      </c>
      <c r="O528" s="85" t="str">
        <f t="shared" si="2020"/>
        <v>-</v>
      </c>
      <c r="P528" s="85" t="str">
        <f t="shared" si="2021"/>
        <v>-</v>
      </c>
      <c r="Q528" s="85">
        <f>'Consumer Hardware Pricing'!S538</f>
        <v>0</v>
      </c>
      <c r="R528" s="85">
        <f t="shared" si="2022"/>
        <v>95.84</v>
      </c>
      <c r="S528" s="85">
        <f>'Consumer Hardware Pricing'!T538</f>
        <v>18.75</v>
      </c>
      <c r="T528" s="129">
        <f t="shared" si="2023"/>
        <v>77.09</v>
      </c>
      <c r="U528" s="129">
        <f t="shared" si="2024"/>
        <v>450</v>
      </c>
      <c r="V528" s="85">
        <f t="shared" si="2025"/>
        <v>1850.16</v>
      </c>
      <c r="W528" s="129" t="str">
        <f>'Consumer Hardware Pricing'!V538</f>
        <v>-</v>
      </c>
      <c r="X528" s="129" t="str">
        <f t="shared" si="1941"/>
        <v>-</v>
      </c>
      <c r="Y528" s="129" t="str">
        <f t="shared" si="2026"/>
        <v>-</v>
      </c>
      <c r="Z528" s="129" t="str">
        <f t="shared" si="2027"/>
        <v>-</v>
      </c>
      <c r="AA528" s="85" t="str">
        <f t="shared" si="2028"/>
        <v>-</v>
      </c>
      <c r="AB528" s="85">
        <f>'Consumer Hardware Pricing'!X538</f>
        <v>0</v>
      </c>
      <c r="AC528" s="85">
        <f t="shared" si="2041"/>
        <v>95.84</v>
      </c>
      <c r="AD528" s="85">
        <f>'Consumer Hardware Pricing'!Y538</f>
        <v>45.839999999999996</v>
      </c>
      <c r="AE528" s="85">
        <f t="shared" si="1902"/>
        <v>50.000000000000007</v>
      </c>
      <c r="AF528" s="85">
        <f t="shared" si="1903"/>
        <v>1100.1599999999999</v>
      </c>
      <c r="AG528" s="85">
        <f t="shared" si="1904"/>
        <v>1200.0000000000002</v>
      </c>
      <c r="AH528" s="85" t="str">
        <f>'Consumer Hardware Pricing'!AA538</f>
        <v>-</v>
      </c>
      <c r="AI528" s="85" t="str">
        <f t="shared" si="2042"/>
        <v>-</v>
      </c>
      <c r="AJ528" s="85" t="str">
        <f t="shared" si="1905"/>
        <v>-</v>
      </c>
      <c r="AK528" s="85" t="str">
        <f t="shared" si="1906"/>
        <v>-</v>
      </c>
      <c r="AL528" s="85" t="str">
        <f t="shared" si="1907"/>
        <v>-</v>
      </c>
      <c r="AM528" s="85">
        <f>'Consumer Hardware Pricing'!AC538</f>
        <v>0</v>
      </c>
      <c r="AN528" s="85">
        <f t="shared" si="2043"/>
        <v>95.84</v>
      </c>
      <c r="AO528" s="85">
        <f>'Consumer Hardware Pricing'!AD538</f>
        <v>45.839999999999996</v>
      </c>
      <c r="AP528" s="85">
        <f t="shared" si="1908"/>
        <v>50.000000000000007</v>
      </c>
      <c r="AQ528" s="85">
        <f t="shared" si="1909"/>
        <v>1100.1599999999999</v>
      </c>
      <c r="AR528" s="85">
        <f t="shared" si="1910"/>
        <v>1200.0000000000002</v>
      </c>
      <c r="AS528" s="85" t="str">
        <f>'Consumer Hardware Pricing'!AF538</f>
        <v>-</v>
      </c>
      <c r="AT528" s="85" t="str">
        <f t="shared" si="2044"/>
        <v>-</v>
      </c>
      <c r="AU528" s="85" t="str">
        <f t="shared" si="1911"/>
        <v>-</v>
      </c>
      <c r="AV528" s="85" t="str">
        <f t="shared" si="1912"/>
        <v>-</v>
      </c>
      <c r="AW528" s="85" t="str">
        <f t="shared" si="1913"/>
        <v>-</v>
      </c>
      <c r="AX528" s="85" t="str">
        <f>'Consumer Hardware Pricing'!AH538</f>
        <v>-</v>
      </c>
      <c r="AY528" s="85" t="str">
        <f t="shared" si="2045"/>
        <v>-</v>
      </c>
      <c r="AZ528" s="85" t="str">
        <f>'Consumer Hardware Pricing'!AI538</f>
        <v>-</v>
      </c>
      <c r="BA528" s="85" t="str">
        <f t="shared" si="2029"/>
        <v>-</v>
      </c>
      <c r="BB528" s="85" t="str">
        <f t="shared" si="2030"/>
        <v>-</v>
      </c>
      <c r="BC528" s="85" t="str">
        <f t="shared" si="2031"/>
        <v>-</v>
      </c>
      <c r="BD528" s="85" t="str">
        <f>'Consumer Hardware Pricing'!AL538</f>
        <v>-</v>
      </c>
      <c r="BE528" s="85" t="str">
        <f t="shared" si="2046"/>
        <v>-</v>
      </c>
      <c r="BF528" s="85" t="str">
        <f>'Consumer Hardware Pricing'!AM538</f>
        <v>-</v>
      </c>
      <c r="BG528" s="85" t="str">
        <f t="shared" si="2032"/>
        <v>-</v>
      </c>
      <c r="BH528" s="85" t="str">
        <f t="shared" si="2033"/>
        <v>-</v>
      </c>
      <c r="BI528" s="85" t="str">
        <f t="shared" si="2034"/>
        <v>-</v>
      </c>
      <c r="BJ528" s="85" t="str">
        <f>'Consumer Hardware Pricing'!AP538</f>
        <v>-</v>
      </c>
      <c r="BK528" s="85" t="str">
        <f t="shared" si="2047"/>
        <v>-</v>
      </c>
      <c r="BL528" s="85" t="str">
        <f>'Consumer Hardware Pricing'!AQ538</f>
        <v>-</v>
      </c>
      <c r="BM528" s="85" t="str">
        <f t="shared" si="2035"/>
        <v>-</v>
      </c>
      <c r="BN528" s="85" t="str">
        <f t="shared" si="2036"/>
        <v>-</v>
      </c>
      <c r="BO528" s="85" t="str">
        <f t="shared" si="2037"/>
        <v>-</v>
      </c>
      <c r="BP528" s="85" t="str">
        <f>'Consumer Hardware Pricing'!AT538</f>
        <v>-</v>
      </c>
      <c r="BQ528" s="85" t="str">
        <f t="shared" si="2048"/>
        <v>-</v>
      </c>
      <c r="BR528" s="85" t="str">
        <f>'Consumer Hardware Pricing'!AU538</f>
        <v>-</v>
      </c>
      <c r="BS528" s="85" t="str">
        <f t="shared" si="2038"/>
        <v>-</v>
      </c>
      <c r="BT528" s="85" t="str">
        <f t="shared" si="2039"/>
        <v>-</v>
      </c>
      <c r="BU528" s="85" t="str">
        <f t="shared" si="2040"/>
        <v>-</v>
      </c>
    </row>
    <row r="529" spans="1:73" ht="30.45" customHeight="1" x14ac:dyDescent="0.25">
      <c r="A529" s="87" t="s">
        <v>34</v>
      </c>
      <c r="B529" s="88" t="s">
        <v>849</v>
      </c>
      <c r="C529" s="88" t="s">
        <v>850</v>
      </c>
      <c r="D529" s="85">
        <f>'Consumer Hardware Pricing'!L539</f>
        <v>2610</v>
      </c>
      <c r="E529" s="85">
        <f>'Consumer Hardware Pricing'!M539</f>
        <v>2610</v>
      </c>
      <c r="F529" s="85">
        <f>'Consumer Hardware Pricing'!N539</f>
        <v>0</v>
      </c>
      <c r="G529" s="85">
        <f t="shared" si="1939"/>
        <v>108.75</v>
      </c>
      <c r="H529" s="85">
        <f>'Consumer Hardware Pricing'!O539</f>
        <v>20.84</v>
      </c>
      <c r="I529" s="85">
        <f t="shared" si="2016"/>
        <v>87.91</v>
      </c>
      <c r="J529" s="85">
        <f t="shared" si="2017"/>
        <v>500.15999999999997</v>
      </c>
      <c r="K529" s="85">
        <f t="shared" si="2018"/>
        <v>2109.84</v>
      </c>
      <c r="L529" s="85" t="str">
        <f>'Consumer Hardware Pricing'!Q539</f>
        <v>-</v>
      </c>
      <c r="M529" s="85" t="str">
        <f t="shared" si="1940"/>
        <v>-</v>
      </c>
      <c r="N529" s="85" t="str">
        <f t="shared" si="2019"/>
        <v>-</v>
      </c>
      <c r="O529" s="85" t="str">
        <f t="shared" si="2020"/>
        <v>-</v>
      </c>
      <c r="P529" s="85" t="str">
        <f t="shared" si="2021"/>
        <v>-</v>
      </c>
      <c r="Q529" s="85">
        <f>'Consumer Hardware Pricing'!S539</f>
        <v>0</v>
      </c>
      <c r="R529" s="85">
        <f t="shared" si="2022"/>
        <v>108.75</v>
      </c>
      <c r="S529" s="85">
        <f>'Consumer Hardware Pricing'!T539</f>
        <v>20.84</v>
      </c>
      <c r="T529" s="129">
        <f t="shared" si="2023"/>
        <v>87.91</v>
      </c>
      <c r="U529" s="129">
        <f t="shared" si="2024"/>
        <v>500.15999999999997</v>
      </c>
      <c r="V529" s="85">
        <f t="shared" si="2025"/>
        <v>2109.84</v>
      </c>
      <c r="W529" s="129" t="str">
        <f>'Consumer Hardware Pricing'!V539</f>
        <v>-</v>
      </c>
      <c r="X529" s="129" t="str">
        <f t="shared" si="1941"/>
        <v>-</v>
      </c>
      <c r="Y529" s="129" t="str">
        <f t="shared" si="2026"/>
        <v>-</v>
      </c>
      <c r="Z529" s="129" t="str">
        <f t="shared" si="2027"/>
        <v>-</v>
      </c>
      <c r="AA529" s="85" t="str">
        <f t="shared" si="2028"/>
        <v>-</v>
      </c>
      <c r="AB529" s="85">
        <f>'Consumer Hardware Pricing'!X539</f>
        <v>0</v>
      </c>
      <c r="AC529" s="85">
        <f t="shared" si="2041"/>
        <v>108.75</v>
      </c>
      <c r="AD529" s="85">
        <f>'Consumer Hardware Pricing'!Y539</f>
        <v>47.919999999999995</v>
      </c>
      <c r="AE529" s="85">
        <f t="shared" si="1902"/>
        <v>60.830000000000005</v>
      </c>
      <c r="AF529" s="85">
        <f t="shared" si="1903"/>
        <v>1150.08</v>
      </c>
      <c r="AG529" s="85">
        <f t="shared" si="1904"/>
        <v>1459.92</v>
      </c>
      <c r="AH529" s="85" t="str">
        <f>'Consumer Hardware Pricing'!AA539</f>
        <v>-</v>
      </c>
      <c r="AI529" s="85" t="str">
        <f t="shared" si="2042"/>
        <v>-</v>
      </c>
      <c r="AJ529" s="85" t="str">
        <f t="shared" si="1905"/>
        <v>-</v>
      </c>
      <c r="AK529" s="85" t="str">
        <f t="shared" si="1906"/>
        <v>-</v>
      </c>
      <c r="AL529" s="85" t="str">
        <f t="shared" si="1907"/>
        <v>-</v>
      </c>
      <c r="AM529" s="85">
        <f>'Consumer Hardware Pricing'!AC539</f>
        <v>0</v>
      </c>
      <c r="AN529" s="85">
        <f t="shared" si="2043"/>
        <v>108.75</v>
      </c>
      <c r="AO529" s="85">
        <f>'Consumer Hardware Pricing'!AD539</f>
        <v>47.919999999999995</v>
      </c>
      <c r="AP529" s="85">
        <f t="shared" si="1908"/>
        <v>60.830000000000005</v>
      </c>
      <c r="AQ529" s="85">
        <f t="shared" si="1909"/>
        <v>1150.08</v>
      </c>
      <c r="AR529" s="85">
        <f t="shared" si="1910"/>
        <v>1459.92</v>
      </c>
      <c r="AS529" s="85" t="str">
        <f>'Consumer Hardware Pricing'!AF539</f>
        <v>-</v>
      </c>
      <c r="AT529" s="85" t="str">
        <f t="shared" si="2044"/>
        <v>-</v>
      </c>
      <c r="AU529" s="85" t="str">
        <f t="shared" si="1911"/>
        <v>-</v>
      </c>
      <c r="AV529" s="85" t="str">
        <f t="shared" si="1912"/>
        <v>-</v>
      </c>
      <c r="AW529" s="85" t="str">
        <f t="shared" si="1913"/>
        <v>-</v>
      </c>
      <c r="AX529" s="85" t="str">
        <f>'Consumer Hardware Pricing'!AH539</f>
        <v>-</v>
      </c>
      <c r="AY529" s="85" t="str">
        <f t="shared" si="2045"/>
        <v>-</v>
      </c>
      <c r="AZ529" s="85" t="str">
        <f>'Consumer Hardware Pricing'!AI539</f>
        <v>-</v>
      </c>
      <c r="BA529" s="85" t="str">
        <f t="shared" si="2029"/>
        <v>-</v>
      </c>
      <c r="BB529" s="85" t="str">
        <f t="shared" si="2030"/>
        <v>-</v>
      </c>
      <c r="BC529" s="85" t="str">
        <f t="shared" si="2031"/>
        <v>-</v>
      </c>
      <c r="BD529" s="85" t="str">
        <f>'Consumer Hardware Pricing'!AL539</f>
        <v>-</v>
      </c>
      <c r="BE529" s="85" t="str">
        <f t="shared" si="2046"/>
        <v>-</v>
      </c>
      <c r="BF529" s="85" t="str">
        <f>'Consumer Hardware Pricing'!AM539</f>
        <v>-</v>
      </c>
      <c r="BG529" s="85" t="str">
        <f t="shared" si="2032"/>
        <v>-</v>
      </c>
      <c r="BH529" s="85" t="str">
        <f t="shared" si="2033"/>
        <v>-</v>
      </c>
      <c r="BI529" s="85" t="str">
        <f t="shared" si="2034"/>
        <v>-</v>
      </c>
      <c r="BJ529" s="85" t="str">
        <f>'Consumer Hardware Pricing'!AP539</f>
        <v>-</v>
      </c>
      <c r="BK529" s="85" t="str">
        <f t="shared" si="2047"/>
        <v>-</v>
      </c>
      <c r="BL529" s="85" t="str">
        <f>'Consumer Hardware Pricing'!AQ539</f>
        <v>-</v>
      </c>
      <c r="BM529" s="85" t="str">
        <f t="shared" si="2035"/>
        <v>-</v>
      </c>
      <c r="BN529" s="85" t="str">
        <f t="shared" si="2036"/>
        <v>-</v>
      </c>
      <c r="BO529" s="85" t="str">
        <f t="shared" si="2037"/>
        <v>-</v>
      </c>
      <c r="BP529" s="85" t="str">
        <f>'Consumer Hardware Pricing'!AT539</f>
        <v>-</v>
      </c>
      <c r="BQ529" s="85" t="str">
        <f t="shared" si="2048"/>
        <v>-</v>
      </c>
      <c r="BR529" s="85" t="str">
        <f>'Consumer Hardware Pricing'!AU539</f>
        <v>-</v>
      </c>
      <c r="BS529" s="85" t="str">
        <f t="shared" si="2038"/>
        <v>-</v>
      </c>
      <c r="BT529" s="85" t="str">
        <f t="shared" si="2039"/>
        <v>-</v>
      </c>
      <c r="BU529" s="85" t="str">
        <f t="shared" si="2040"/>
        <v>-</v>
      </c>
    </row>
    <row r="530" spans="1:73" ht="30.45" customHeight="1" x14ac:dyDescent="0.25">
      <c r="A530" s="87" t="s">
        <v>34</v>
      </c>
      <c r="B530" s="88" t="s">
        <v>1190</v>
      </c>
      <c r="C530" s="88" t="s">
        <v>1203</v>
      </c>
      <c r="D530" s="85">
        <f>'Consumer Hardware Pricing'!L540</f>
        <v>1400</v>
      </c>
      <c r="E530" s="85">
        <f>'Consumer Hardware Pricing'!M540</f>
        <v>1400</v>
      </c>
      <c r="F530" s="85">
        <f>'Consumer Hardware Pricing'!N540</f>
        <v>0</v>
      </c>
      <c r="G530" s="85">
        <f t="shared" ref="G530:G554" si="2049">IF(F530="-","-",ROUNDUP(D530/24,2))</f>
        <v>58.339999999999996</v>
      </c>
      <c r="H530" s="85">
        <f>'Consumer Hardware Pricing'!O540</f>
        <v>11.25</v>
      </c>
      <c r="I530" s="85">
        <f t="shared" ref="I530:I554" si="2050">IF(H530="-",G530,G530-H530)</f>
        <v>47.089999999999996</v>
      </c>
      <c r="J530" s="85">
        <f t="shared" ref="J530:J554" si="2051">IF(H530="-",H530,H530*24)</f>
        <v>270</v>
      </c>
      <c r="K530" s="85">
        <f t="shared" ref="K530:K554" si="2052">IF(F530="-",F530,I530*24)</f>
        <v>1130.1599999999999</v>
      </c>
      <c r="L530" s="85">
        <f>'Consumer Hardware Pricing'!Q540</f>
        <v>614</v>
      </c>
      <c r="M530" s="85">
        <f t="shared" ref="M530:M554" si="2053">IF(L530="-",L530,IF(H530="-",G530-ROUNDUP((D530-L530)/24,2),H530+G530-ROUNDUP((D530-L530)/24,2)))</f>
        <v>36.840000000000003</v>
      </c>
      <c r="N530" s="85">
        <f t="shared" ref="N530:N554" si="2054">IF(L530="-",L530,G530-M530)</f>
        <v>21.499999999999993</v>
      </c>
      <c r="O530" s="85">
        <f t="shared" ref="O530:O554" si="2055">IF(L530="-",L530,M530*24)</f>
        <v>884.16000000000008</v>
      </c>
      <c r="P530" s="85">
        <f t="shared" ref="P530:P554" si="2056">IF(L530="-",L530,N530*24)</f>
        <v>515.99999999999977</v>
      </c>
      <c r="Q530" s="85">
        <f>'Consumer Hardware Pricing'!S540</f>
        <v>0</v>
      </c>
      <c r="R530" s="85">
        <f t="shared" ref="R530:R554" si="2057">G530</f>
        <v>58.339999999999996</v>
      </c>
      <c r="S530" s="85">
        <f>'Consumer Hardware Pricing'!T540</f>
        <v>11.25</v>
      </c>
      <c r="T530" s="129">
        <f t="shared" ref="T530:T554" si="2058">IF(S530="-",R530,R530-S530)</f>
        <v>47.089999999999996</v>
      </c>
      <c r="U530" s="129">
        <f t="shared" ref="U530:U554" si="2059">IF(S530="-",S530,S530*24)</f>
        <v>270</v>
      </c>
      <c r="V530" s="85">
        <f t="shared" ref="V530:V554" si="2060">IF(Q530="-",Q530,T530*24)</f>
        <v>1130.1599999999999</v>
      </c>
      <c r="W530" s="129">
        <f>'Consumer Hardware Pricing'!V540</f>
        <v>614</v>
      </c>
      <c r="X530" s="129">
        <f t="shared" ref="X530:X554" si="2061">IF(W530="-",W530,IF(S530="-",R530-ROUNDUP((D530-W530)/24,2),S530+R530-ROUNDUP((D530-W530)/24,2)))</f>
        <v>36.840000000000003</v>
      </c>
      <c r="Y530" s="129">
        <f t="shared" ref="Y530:Y554" si="2062">IF(W530="-",W530,R530-X530)</f>
        <v>21.499999999999993</v>
      </c>
      <c r="Z530" s="129">
        <f t="shared" ref="Z530:Z554" si="2063">IF(W530="-",W530,X530*24)</f>
        <v>884.16000000000008</v>
      </c>
      <c r="AA530" s="85">
        <f t="shared" ref="AA530:AA554" si="2064">IF(W530="-",W530,Y530*24)</f>
        <v>515.99999999999977</v>
      </c>
      <c r="AB530" s="85">
        <f>'Consumer Hardware Pricing'!X540</f>
        <v>0</v>
      </c>
      <c r="AC530" s="85">
        <f t="shared" si="2041"/>
        <v>58.339999999999996</v>
      </c>
      <c r="AD530" s="85">
        <f>'Consumer Hardware Pricing'!Y540</f>
        <v>28.75</v>
      </c>
      <c r="AE530" s="85">
        <f t="shared" ref="AE530:AE554" si="2065">IF(AD530="-",AC530,AC530-AD530)</f>
        <v>29.589999999999996</v>
      </c>
      <c r="AF530" s="85">
        <f t="shared" ref="AF530:AF554" si="2066">IF(AD530="-",AD530,AD530*24)</f>
        <v>690</v>
      </c>
      <c r="AG530" s="85">
        <f t="shared" ref="AG530:AG554" si="2067">IF(AB530="-",AB530,AE530*24)</f>
        <v>710.15999999999985</v>
      </c>
      <c r="AH530" s="85">
        <f>'Consumer Hardware Pricing'!AA540</f>
        <v>614</v>
      </c>
      <c r="AI530" s="85">
        <f t="shared" si="2042"/>
        <v>54.34</v>
      </c>
      <c r="AJ530" s="85">
        <f t="shared" ref="AJ530:AJ554" si="2068">IF(AH530="-",AH530,AC530-AI530)</f>
        <v>3.9999999999999929</v>
      </c>
      <c r="AK530" s="85">
        <f t="shared" ref="AK530:AK554" si="2069">IF(AH530="-",AH530,AI530*24)</f>
        <v>1304.1600000000001</v>
      </c>
      <c r="AL530" s="85">
        <f t="shared" ref="AL530:AL554" si="2070">IF(AH530="-",AH530,AJ530*24)</f>
        <v>95.999999999999829</v>
      </c>
      <c r="AM530" s="85">
        <f>'Consumer Hardware Pricing'!AC540</f>
        <v>0</v>
      </c>
      <c r="AN530" s="85">
        <f t="shared" si="2043"/>
        <v>58.339999999999996</v>
      </c>
      <c r="AO530" s="85">
        <f>'Consumer Hardware Pricing'!AD540</f>
        <v>28.75</v>
      </c>
      <c r="AP530" s="85">
        <f t="shared" ref="AP530:AP554" si="2071">IF(AO530="-",AN530,AN530-AO530)</f>
        <v>29.589999999999996</v>
      </c>
      <c r="AQ530" s="85">
        <f t="shared" ref="AQ530:AQ554" si="2072">IF(AO530="-",AO530,AO530*24)</f>
        <v>690</v>
      </c>
      <c r="AR530" s="85">
        <f t="shared" ref="AR530:AR554" si="2073">IF(AM530="-",AM530,AP530*24)</f>
        <v>710.15999999999985</v>
      </c>
      <c r="AS530" s="85">
        <f>'Consumer Hardware Pricing'!AF540</f>
        <v>614</v>
      </c>
      <c r="AT530" s="85">
        <f t="shared" si="2044"/>
        <v>54.34</v>
      </c>
      <c r="AU530" s="85">
        <f t="shared" ref="AU530:AU554" si="2074">IF(AS530="-",AS530,AN530-AT530)</f>
        <v>3.9999999999999929</v>
      </c>
      <c r="AV530" s="85">
        <f t="shared" ref="AV530:AV554" si="2075">IF(AS530="-",AS530,AT530*24)</f>
        <v>1304.1600000000001</v>
      </c>
      <c r="AW530" s="85">
        <f t="shared" ref="AW530:AW554" si="2076">IF(AS530="-",AS530,AU530*24)</f>
        <v>95.999999999999829</v>
      </c>
      <c r="AX530" s="85" t="str">
        <f>'Consumer Hardware Pricing'!AH540</f>
        <v>-</v>
      </c>
      <c r="AY530" s="85" t="str">
        <f t="shared" si="2045"/>
        <v>-</v>
      </c>
      <c r="AZ530" s="85" t="str">
        <f>'Consumer Hardware Pricing'!AI540</f>
        <v>-</v>
      </c>
      <c r="BA530" s="85" t="str">
        <f t="shared" ref="BA530:BA554" si="2077">IF(AZ530="-",AY530,AY530-AZ530)</f>
        <v>-</v>
      </c>
      <c r="BB530" s="85" t="str">
        <f t="shared" ref="BB530:BB554" si="2078">IF(AZ530="-",AZ530,AZ530*24)</f>
        <v>-</v>
      </c>
      <c r="BC530" s="85" t="str">
        <f t="shared" ref="BC530:BC554" si="2079">IF(AX530="-",AX530,AX530+(BA530*24))</f>
        <v>-</v>
      </c>
      <c r="BD530" s="85" t="str">
        <f>'Consumer Hardware Pricing'!AL540</f>
        <v>-</v>
      </c>
      <c r="BE530" s="85" t="str">
        <f t="shared" si="2046"/>
        <v>-</v>
      </c>
      <c r="BF530" s="85" t="str">
        <f>'Consumer Hardware Pricing'!AM540</f>
        <v>-</v>
      </c>
      <c r="BG530" s="85" t="str">
        <f t="shared" ref="BG530:BG554" si="2080">IF(BF530="-",BE530,BE530-BF530)</f>
        <v>-</v>
      </c>
      <c r="BH530" s="85" t="str">
        <f t="shared" ref="BH530:BH554" si="2081">IF(BF530="-",BF530,BF530*24)</f>
        <v>-</v>
      </c>
      <c r="BI530" s="85" t="str">
        <f t="shared" ref="BI530:BI554" si="2082">IF(BD530="-",BD530,BD530+(BG530*24))</f>
        <v>-</v>
      </c>
      <c r="BJ530" s="85" t="str">
        <f>'Consumer Hardware Pricing'!AP540</f>
        <v>-</v>
      </c>
      <c r="BK530" s="85" t="str">
        <f t="shared" si="2047"/>
        <v>-</v>
      </c>
      <c r="BL530" s="85" t="str">
        <f>'Consumer Hardware Pricing'!AQ540</f>
        <v>-</v>
      </c>
      <c r="BM530" s="85" t="str">
        <f t="shared" ref="BM530:BM554" si="2083">IF(BL530="-",BK530,BK530-BL530)</f>
        <v>-</v>
      </c>
      <c r="BN530" s="85" t="str">
        <f t="shared" ref="BN530:BN554" si="2084">IF(BL530="-",BL530,BL530*24)</f>
        <v>-</v>
      </c>
      <c r="BO530" s="85" t="str">
        <f t="shared" ref="BO530:BO554" si="2085">IF(BJ530="-",BJ530,BJ530+(BM530*24))</f>
        <v>-</v>
      </c>
      <c r="BP530" s="85" t="str">
        <f>'Consumer Hardware Pricing'!AT540</f>
        <v>-</v>
      </c>
      <c r="BQ530" s="85" t="str">
        <f t="shared" si="2048"/>
        <v>-</v>
      </c>
      <c r="BR530" s="85" t="str">
        <f>'Consumer Hardware Pricing'!AU540</f>
        <v>-</v>
      </c>
      <c r="BS530" s="85" t="str">
        <f t="shared" ref="BS530:BS554" si="2086">IF(BR530="-",BQ530,BQ530-BR530)</f>
        <v>-</v>
      </c>
      <c r="BT530" s="85" t="str">
        <f t="shared" ref="BT530:BT554" si="2087">IF(BR530="-",BR530,BR530*24)</f>
        <v>-</v>
      </c>
      <c r="BU530" s="85" t="str">
        <f t="shared" ref="BU530:BU554" si="2088">IF(BP530="-",BP530,BP530+(BS530*24))</f>
        <v>-</v>
      </c>
    </row>
    <row r="531" spans="1:73" ht="30.45" customHeight="1" x14ac:dyDescent="0.25">
      <c r="A531" s="87" t="s">
        <v>34</v>
      </c>
      <c r="B531" s="88" t="s">
        <v>1191</v>
      </c>
      <c r="C531" s="88" t="s">
        <v>1203</v>
      </c>
      <c r="D531" s="85">
        <f>'Consumer Hardware Pricing'!L541</f>
        <v>1400</v>
      </c>
      <c r="E531" s="85">
        <f>'Consumer Hardware Pricing'!M541</f>
        <v>1400</v>
      </c>
      <c r="F531" s="85">
        <f>'Consumer Hardware Pricing'!N541</f>
        <v>0</v>
      </c>
      <c r="G531" s="85">
        <f t="shared" si="2049"/>
        <v>58.339999999999996</v>
      </c>
      <c r="H531" s="85">
        <f>'Consumer Hardware Pricing'!O541</f>
        <v>11.25</v>
      </c>
      <c r="I531" s="85">
        <f t="shared" si="2050"/>
        <v>47.089999999999996</v>
      </c>
      <c r="J531" s="85">
        <f t="shared" si="2051"/>
        <v>270</v>
      </c>
      <c r="K531" s="85">
        <f t="shared" si="2052"/>
        <v>1130.1599999999999</v>
      </c>
      <c r="L531" s="85">
        <f>'Consumer Hardware Pricing'!Q541</f>
        <v>614</v>
      </c>
      <c r="M531" s="85">
        <f t="shared" si="2053"/>
        <v>36.840000000000003</v>
      </c>
      <c r="N531" s="85">
        <f t="shared" si="2054"/>
        <v>21.499999999999993</v>
      </c>
      <c r="O531" s="85">
        <f t="shared" si="2055"/>
        <v>884.16000000000008</v>
      </c>
      <c r="P531" s="85">
        <f t="shared" si="2056"/>
        <v>515.99999999999977</v>
      </c>
      <c r="Q531" s="85">
        <f>'Consumer Hardware Pricing'!S541</f>
        <v>0</v>
      </c>
      <c r="R531" s="85">
        <f t="shared" si="2057"/>
        <v>58.339999999999996</v>
      </c>
      <c r="S531" s="85">
        <f>'Consumer Hardware Pricing'!T541</f>
        <v>11.25</v>
      </c>
      <c r="T531" s="129">
        <f t="shared" si="2058"/>
        <v>47.089999999999996</v>
      </c>
      <c r="U531" s="129">
        <f t="shared" si="2059"/>
        <v>270</v>
      </c>
      <c r="V531" s="85">
        <f t="shared" si="2060"/>
        <v>1130.1599999999999</v>
      </c>
      <c r="W531" s="129">
        <f>'Consumer Hardware Pricing'!V541</f>
        <v>614</v>
      </c>
      <c r="X531" s="129">
        <f t="shared" si="2061"/>
        <v>36.840000000000003</v>
      </c>
      <c r="Y531" s="129">
        <f t="shared" si="2062"/>
        <v>21.499999999999993</v>
      </c>
      <c r="Z531" s="129">
        <f t="shared" si="2063"/>
        <v>884.16000000000008</v>
      </c>
      <c r="AA531" s="85">
        <f t="shared" si="2064"/>
        <v>515.99999999999977</v>
      </c>
      <c r="AB531" s="85">
        <f>'Consumer Hardware Pricing'!X541</f>
        <v>0</v>
      </c>
      <c r="AC531" s="85">
        <f t="shared" si="2041"/>
        <v>58.339999999999996</v>
      </c>
      <c r="AD531" s="85">
        <f>'Consumer Hardware Pricing'!Y541</f>
        <v>28.75</v>
      </c>
      <c r="AE531" s="85">
        <f t="shared" si="2065"/>
        <v>29.589999999999996</v>
      </c>
      <c r="AF531" s="85">
        <f t="shared" si="2066"/>
        <v>690</v>
      </c>
      <c r="AG531" s="85">
        <f t="shared" si="2067"/>
        <v>710.15999999999985</v>
      </c>
      <c r="AH531" s="85">
        <f>'Consumer Hardware Pricing'!AA541</f>
        <v>614</v>
      </c>
      <c r="AI531" s="85">
        <f t="shared" si="2042"/>
        <v>54.34</v>
      </c>
      <c r="AJ531" s="85">
        <f t="shared" si="2068"/>
        <v>3.9999999999999929</v>
      </c>
      <c r="AK531" s="85">
        <f t="shared" si="2069"/>
        <v>1304.1600000000001</v>
      </c>
      <c r="AL531" s="85">
        <f t="shared" si="2070"/>
        <v>95.999999999999829</v>
      </c>
      <c r="AM531" s="85">
        <f>'Consumer Hardware Pricing'!AC541</f>
        <v>0</v>
      </c>
      <c r="AN531" s="85">
        <f t="shared" si="2043"/>
        <v>58.339999999999996</v>
      </c>
      <c r="AO531" s="85">
        <f>'Consumer Hardware Pricing'!AD541</f>
        <v>28.75</v>
      </c>
      <c r="AP531" s="85">
        <f t="shared" si="2071"/>
        <v>29.589999999999996</v>
      </c>
      <c r="AQ531" s="85">
        <f t="shared" si="2072"/>
        <v>690</v>
      </c>
      <c r="AR531" s="85">
        <f t="shared" si="2073"/>
        <v>710.15999999999985</v>
      </c>
      <c r="AS531" s="85">
        <f>'Consumer Hardware Pricing'!AF541</f>
        <v>614</v>
      </c>
      <c r="AT531" s="85">
        <f t="shared" si="2044"/>
        <v>54.34</v>
      </c>
      <c r="AU531" s="85">
        <f t="shared" si="2074"/>
        <v>3.9999999999999929</v>
      </c>
      <c r="AV531" s="85">
        <f t="shared" si="2075"/>
        <v>1304.1600000000001</v>
      </c>
      <c r="AW531" s="85">
        <f t="shared" si="2076"/>
        <v>95.999999999999829</v>
      </c>
      <c r="AX531" s="85" t="str">
        <f>'Consumer Hardware Pricing'!AH541</f>
        <v>-</v>
      </c>
      <c r="AY531" s="85" t="str">
        <f t="shared" si="2045"/>
        <v>-</v>
      </c>
      <c r="AZ531" s="85" t="str">
        <f>'Consumer Hardware Pricing'!AI541</f>
        <v>-</v>
      </c>
      <c r="BA531" s="85" t="str">
        <f t="shared" si="2077"/>
        <v>-</v>
      </c>
      <c r="BB531" s="85" t="str">
        <f t="shared" si="2078"/>
        <v>-</v>
      </c>
      <c r="BC531" s="85" t="str">
        <f t="shared" si="2079"/>
        <v>-</v>
      </c>
      <c r="BD531" s="85" t="str">
        <f>'Consumer Hardware Pricing'!AL541</f>
        <v>-</v>
      </c>
      <c r="BE531" s="85" t="str">
        <f t="shared" si="2046"/>
        <v>-</v>
      </c>
      <c r="BF531" s="85" t="str">
        <f>'Consumer Hardware Pricing'!AM541</f>
        <v>-</v>
      </c>
      <c r="BG531" s="85" t="str">
        <f t="shared" si="2080"/>
        <v>-</v>
      </c>
      <c r="BH531" s="85" t="str">
        <f t="shared" si="2081"/>
        <v>-</v>
      </c>
      <c r="BI531" s="85" t="str">
        <f t="shared" si="2082"/>
        <v>-</v>
      </c>
      <c r="BJ531" s="85" t="str">
        <f>'Consumer Hardware Pricing'!AP541</f>
        <v>-</v>
      </c>
      <c r="BK531" s="85" t="str">
        <f t="shared" si="2047"/>
        <v>-</v>
      </c>
      <c r="BL531" s="85" t="str">
        <f>'Consumer Hardware Pricing'!AQ541</f>
        <v>-</v>
      </c>
      <c r="BM531" s="85" t="str">
        <f t="shared" si="2083"/>
        <v>-</v>
      </c>
      <c r="BN531" s="85" t="str">
        <f t="shared" si="2084"/>
        <v>-</v>
      </c>
      <c r="BO531" s="85" t="str">
        <f t="shared" si="2085"/>
        <v>-</v>
      </c>
      <c r="BP531" s="85" t="str">
        <f>'Consumer Hardware Pricing'!AT541</f>
        <v>-</v>
      </c>
      <c r="BQ531" s="85" t="str">
        <f t="shared" si="2048"/>
        <v>-</v>
      </c>
      <c r="BR531" s="85" t="str">
        <f>'Consumer Hardware Pricing'!AU541</f>
        <v>-</v>
      </c>
      <c r="BS531" s="85" t="str">
        <f t="shared" si="2086"/>
        <v>-</v>
      </c>
      <c r="BT531" s="85" t="str">
        <f t="shared" si="2087"/>
        <v>-</v>
      </c>
      <c r="BU531" s="85" t="str">
        <f t="shared" si="2088"/>
        <v>-</v>
      </c>
    </row>
    <row r="532" spans="1:73" ht="30.45" customHeight="1" x14ac:dyDescent="0.25">
      <c r="A532" s="87" t="s">
        <v>34</v>
      </c>
      <c r="B532" s="88" t="s">
        <v>1192</v>
      </c>
      <c r="C532" s="88" t="s">
        <v>1203</v>
      </c>
      <c r="D532" s="85">
        <f>'Consumer Hardware Pricing'!L542</f>
        <v>1400</v>
      </c>
      <c r="E532" s="85">
        <f>'Consumer Hardware Pricing'!M542</f>
        <v>1400</v>
      </c>
      <c r="F532" s="85">
        <f>'Consumer Hardware Pricing'!N542</f>
        <v>0</v>
      </c>
      <c r="G532" s="85">
        <f t="shared" si="2049"/>
        <v>58.339999999999996</v>
      </c>
      <c r="H532" s="85">
        <f>'Consumer Hardware Pricing'!O542</f>
        <v>11.25</v>
      </c>
      <c r="I532" s="85">
        <f t="shared" si="2050"/>
        <v>47.089999999999996</v>
      </c>
      <c r="J532" s="85">
        <f t="shared" si="2051"/>
        <v>270</v>
      </c>
      <c r="K532" s="85">
        <f t="shared" si="2052"/>
        <v>1130.1599999999999</v>
      </c>
      <c r="L532" s="85">
        <f>'Consumer Hardware Pricing'!Q542</f>
        <v>614</v>
      </c>
      <c r="M532" s="85">
        <f t="shared" si="2053"/>
        <v>36.840000000000003</v>
      </c>
      <c r="N532" s="85">
        <f t="shared" si="2054"/>
        <v>21.499999999999993</v>
      </c>
      <c r="O532" s="85">
        <f t="shared" si="2055"/>
        <v>884.16000000000008</v>
      </c>
      <c r="P532" s="85">
        <f t="shared" si="2056"/>
        <v>515.99999999999977</v>
      </c>
      <c r="Q532" s="85">
        <f>'Consumer Hardware Pricing'!S542</f>
        <v>0</v>
      </c>
      <c r="R532" s="85">
        <f t="shared" si="2057"/>
        <v>58.339999999999996</v>
      </c>
      <c r="S532" s="85">
        <f>'Consumer Hardware Pricing'!T542</f>
        <v>11.25</v>
      </c>
      <c r="T532" s="129">
        <f t="shared" si="2058"/>
        <v>47.089999999999996</v>
      </c>
      <c r="U532" s="129">
        <f t="shared" si="2059"/>
        <v>270</v>
      </c>
      <c r="V532" s="85">
        <f t="shared" si="2060"/>
        <v>1130.1599999999999</v>
      </c>
      <c r="W532" s="129">
        <f>'Consumer Hardware Pricing'!V542</f>
        <v>614</v>
      </c>
      <c r="X532" s="129">
        <f t="shared" si="2061"/>
        <v>36.840000000000003</v>
      </c>
      <c r="Y532" s="129">
        <f t="shared" si="2062"/>
        <v>21.499999999999993</v>
      </c>
      <c r="Z532" s="129">
        <f t="shared" si="2063"/>
        <v>884.16000000000008</v>
      </c>
      <c r="AA532" s="85">
        <f t="shared" si="2064"/>
        <v>515.99999999999977</v>
      </c>
      <c r="AB532" s="85">
        <f>'Consumer Hardware Pricing'!X542</f>
        <v>0</v>
      </c>
      <c r="AC532" s="85">
        <f t="shared" si="2041"/>
        <v>58.339999999999996</v>
      </c>
      <c r="AD532" s="85">
        <f>'Consumer Hardware Pricing'!Y542</f>
        <v>28.75</v>
      </c>
      <c r="AE532" s="85">
        <f t="shared" si="2065"/>
        <v>29.589999999999996</v>
      </c>
      <c r="AF532" s="85">
        <f t="shared" si="2066"/>
        <v>690</v>
      </c>
      <c r="AG532" s="85">
        <f t="shared" si="2067"/>
        <v>710.15999999999985</v>
      </c>
      <c r="AH532" s="85">
        <f>'Consumer Hardware Pricing'!AA542</f>
        <v>614</v>
      </c>
      <c r="AI532" s="85">
        <f t="shared" si="2042"/>
        <v>54.34</v>
      </c>
      <c r="AJ532" s="85">
        <f t="shared" si="2068"/>
        <v>3.9999999999999929</v>
      </c>
      <c r="AK532" s="85">
        <f t="shared" si="2069"/>
        <v>1304.1600000000001</v>
      </c>
      <c r="AL532" s="85">
        <f t="shared" si="2070"/>
        <v>95.999999999999829</v>
      </c>
      <c r="AM532" s="85">
        <f>'Consumer Hardware Pricing'!AC542</f>
        <v>0</v>
      </c>
      <c r="AN532" s="85">
        <f t="shared" si="2043"/>
        <v>58.339999999999996</v>
      </c>
      <c r="AO532" s="85">
        <f>'Consumer Hardware Pricing'!AD542</f>
        <v>28.75</v>
      </c>
      <c r="AP532" s="85">
        <f t="shared" si="2071"/>
        <v>29.589999999999996</v>
      </c>
      <c r="AQ532" s="85">
        <f t="shared" si="2072"/>
        <v>690</v>
      </c>
      <c r="AR532" s="85">
        <f t="shared" si="2073"/>
        <v>710.15999999999985</v>
      </c>
      <c r="AS532" s="85">
        <f>'Consumer Hardware Pricing'!AF542</f>
        <v>614</v>
      </c>
      <c r="AT532" s="85">
        <f t="shared" si="2044"/>
        <v>54.34</v>
      </c>
      <c r="AU532" s="85">
        <f t="shared" si="2074"/>
        <v>3.9999999999999929</v>
      </c>
      <c r="AV532" s="85">
        <f t="shared" si="2075"/>
        <v>1304.1600000000001</v>
      </c>
      <c r="AW532" s="85">
        <f t="shared" si="2076"/>
        <v>95.999999999999829</v>
      </c>
      <c r="AX532" s="85" t="str">
        <f>'Consumer Hardware Pricing'!AH542</f>
        <v>-</v>
      </c>
      <c r="AY532" s="85" t="str">
        <f t="shared" si="2045"/>
        <v>-</v>
      </c>
      <c r="AZ532" s="85" t="str">
        <f>'Consumer Hardware Pricing'!AI542</f>
        <v>-</v>
      </c>
      <c r="BA532" s="85" t="str">
        <f t="shared" si="2077"/>
        <v>-</v>
      </c>
      <c r="BB532" s="85" t="str">
        <f t="shared" si="2078"/>
        <v>-</v>
      </c>
      <c r="BC532" s="85" t="str">
        <f t="shared" si="2079"/>
        <v>-</v>
      </c>
      <c r="BD532" s="85" t="str">
        <f>'Consumer Hardware Pricing'!AL542</f>
        <v>-</v>
      </c>
      <c r="BE532" s="85" t="str">
        <f t="shared" si="2046"/>
        <v>-</v>
      </c>
      <c r="BF532" s="85" t="str">
        <f>'Consumer Hardware Pricing'!AM542</f>
        <v>-</v>
      </c>
      <c r="BG532" s="85" t="str">
        <f t="shared" si="2080"/>
        <v>-</v>
      </c>
      <c r="BH532" s="85" t="str">
        <f t="shared" si="2081"/>
        <v>-</v>
      </c>
      <c r="BI532" s="85" t="str">
        <f t="shared" si="2082"/>
        <v>-</v>
      </c>
      <c r="BJ532" s="85" t="str">
        <f>'Consumer Hardware Pricing'!AP542</f>
        <v>-</v>
      </c>
      <c r="BK532" s="85" t="str">
        <f t="shared" si="2047"/>
        <v>-</v>
      </c>
      <c r="BL532" s="85" t="str">
        <f>'Consumer Hardware Pricing'!AQ542</f>
        <v>-</v>
      </c>
      <c r="BM532" s="85" t="str">
        <f t="shared" si="2083"/>
        <v>-</v>
      </c>
      <c r="BN532" s="85" t="str">
        <f t="shared" si="2084"/>
        <v>-</v>
      </c>
      <c r="BO532" s="85" t="str">
        <f t="shared" si="2085"/>
        <v>-</v>
      </c>
      <c r="BP532" s="85" t="str">
        <f>'Consumer Hardware Pricing'!AT542</f>
        <v>-</v>
      </c>
      <c r="BQ532" s="85" t="str">
        <f t="shared" si="2048"/>
        <v>-</v>
      </c>
      <c r="BR532" s="85" t="str">
        <f>'Consumer Hardware Pricing'!AU542</f>
        <v>-</v>
      </c>
      <c r="BS532" s="85" t="str">
        <f t="shared" si="2086"/>
        <v>-</v>
      </c>
      <c r="BT532" s="85" t="str">
        <f t="shared" si="2087"/>
        <v>-</v>
      </c>
      <c r="BU532" s="85" t="str">
        <f t="shared" si="2088"/>
        <v>-</v>
      </c>
    </row>
    <row r="533" spans="1:73" ht="30.45" customHeight="1" x14ac:dyDescent="0.25">
      <c r="A533" s="87" t="s">
        <v>34</v>
      </c>
      <c r="B533" s="88" t="s">
        <v>1193</v>
      </c>
      <c r="C533" s="88" t="s">
        <v>1203</v>
      </c>
      <c r="D533" s="85">
        <f>'Consumer Hardware Pricing'!L543</f>
        <v>1400</v>
      </c>
      <c r="E533" s="85">
        <f>'Consumer Hardware Pricing'!M543</f>
        <v>1400</v>
      </c>
      <c r="F533" s="85">
        <f>'Consumer Hardware Pricing'!N543</f>
        <v>0</v>
      </c>
      <c r="G533" s="85">
        <f t="shared" si="2049"/>
        <v>58.339999999999996</v>
      </c>
      <c r="H533" s="85">
        <f>'Consumer Hardware Pricing'!O543</f>
        <v>11.25</v>
      </c>
      <c r="I533" s="85">
        <f t="shared" si="2050"/>
        <v>47.089999999999996</v>
      </c>
      <c r="J533" s="85">
        <f t="shared" si="2051"/>
        <v>270</v>
      </c>
      <c r="K533" s="85">
        <f t="shared" si="2052"/>
        <v>1130.1599999999999</v>
      </c>
      <c r="L533" s="85">
        <f>'Consumer Hardware Pricing'!Q543</f>
        <v>614</v>
      </c>
      <c r="M533" s="85">
        <f t="shared" si="2053"/>
        <v>36.840000000000003</v>
      </c>
      <c r="N533" s="85">
        <f t="shared" si="2054"/>
        <v>21.499999999999993</v>
      </c>
      <c r="O533" s="85">
        <f t="shared" si="2055"/>
        <v>884.16000000000008</v>
      </c>
      <c r="P533" s="85">
        <f t="shared" si="2056"/>
        <v>515.99999999999977</v>
      </c>
      <c r="Q533" s="85">
        <f>'Consumer Hardware Pricing'!S543</f>
        <v>0</v>
      </c>
      <c r="R533" s="85">
        <f t="shared" si="2057"/>
        <v>58.339999999999996</v>
      </c>
      <c r="S533" s="85">
        <f>'Consumer Hardware Pricing'!T543</f>
        <v>11.25</v>
      </c>
      <c r="T533" s="129">
        <f t="shared" si="2058"/>
        <v>47.089999999999996</v>
      </c>
      <c r="U533" s="129">
        <f t="shared" si="2059"/>
        <v>270</v>
      </c>
      <c r="V533" s="85">
        <f t="shared" si="2060"/>
        <v>1130.1599999999999</v>
      </c>
      <c r="W533" s="129">
        <f>'Consumer Hardware Pricing'!V543</f>
        <v>614</v>
      </c>
      <c r="X533" s="129">
        <f t="shared" si="2061"/>
        <v>36.840000000000003</v>
      </c>
      <c r="Y533" s="129">
        <f t="shared" si="2062"/>
        <v>21.499999999999993</v>
      </c>
      <c r="Z533" s="129">
        <f t="shared" si="2063"/>
        <v>884.16000000000008</v>
      </c>
      <c r="AA533" s="85">
        <f t="shared" si="2064"/>
        <v>515.99999999999977</v>
      </c>
      <c r="AB533" s="85">
        <f>'Consumer Hardware Pricing'!X543</f>
        <v>0</v>
      </c>
      <c r="AC533" s="85">
        <f t="shared" si="2041"/>
        <v>58.339999999999996</v>
      </c>
      <c r="AD533" s="85">
        <f>'Consumer Hardware Pricing'!Y543</f>
        <v>28.75</v>
      </c>
      <c r="AE533" s="85">
        <f t="shared" si="2065"/>
        <v>29.589999999999996</v>
      </c>
      <c r="AF533" s="85">
        <f t="shared" si="2066"/>
        <v>690</v>
      </c>
      <c r="AG533" s="85">
        <f t="shared" si="2067"/>
        <v>710.15999999999985</v>
      </c>
      <c r="AH533" s="85">
        <f>'Consumer Hardware Pricing'!AA543</f>
        <v>614</v>
      </c>
      <c r="AI533" s="85">
        <f t="shared" si="2042"/>
        <v>54.34</v>
      </c>
      <c r="AJ533" s="85">
        <f t="shared" si="2068"/>
        <v>3.9999999999999929</v>
      </c>
      <c r="AK533" s="85">
        <f t="shared" si="2069"/>
        <v>1304.1600000000001</v>
      </c>
      <c r="AL533" s="85">
        <f t="shared" si="2070"/>
        <v>95.999999999999829</v>
      </c>
      <c r="AM533" s="85">
        <f>'Consumer Hardware Pricing'!AC543</f>
        <v>0</v>
      </c>
      <c r="AN533" s="85">
        <f t="shared" si="2043"/>
        <v>58.339999999999996</v>
      </c>
      <c r="AO533" s="85">
        <f>'Consumer Hardware Pricing'!AD543</f>
        <v>28.75</v>
      </c>
      <c r="AP533" s="85">
        <f t="shared" si="2071"/>
        <v>29.589999999999996</v>
      </c>
      <c r="AQ533" s="85">
        <f t="shared" si="2072"/>
        <v>690</v>
      </c>
      <c r="AR533" s="85">
        <f t="shared" si="2073"/>
        <v>710.15999999999985</v>
      </c>
      <c r="AS533" s="85">
        <f>'Consumer Hardware Pricing'!AF543</f>
        <v>614</v>
      </c>
      <c r="AT533" s="85">
        <f t="shared" si="2044"/>
        <v>54.34</v>
      </c>
      <c r="AU533" s="85">
        <f t="shared" si="2074"/>
        <v>3.9999999999999929</v>
      </c>
      <c r="AV533" s="85">
        <f t="shared" si="2075"/>
        <v>1304.1600000000001</v>
      </c>
      <c r="AW533" s="85">
        <f t="shared" si="2076"/>
        <v>95.999999999999829</v>
      </c>
      <c r="AX533" s="85" t="str">
        <f>'Consumer Hardware Pricing'!AH543</f>
        <v>-</v>
      </c>
      <c r="AY533" s="85" t="str">
        <f t="shared" si="2045"/>
        <v>-</v>
      </c>
      <c r="AZ533" s="85" t="str">
        <f>'Consumer Hardware Pricing'!AI543</f>
        <v>-</v>
      </c>
      <c r="BA533" s="85" t="str">
        <f t="shared" si="2077"/>
        <v>-</v>
      </c>
      <c r="BB533" s="85" t="str">
        <f t="shared" si="2078"/>
        <v>-</v>
      </c>
      <c r="BC533" s="85" t="str">
        <f t="shared" si="2079"/>
        <v>-</v>
      </c>
      <c r="BD533" s="85" t="str">
        <f>'Consumer Hardware Pricing'!AL543</f>
        <v>-</v>
      </c>
      <c r="BE533" s="85" t="str">
        <f t="shared" si="2046"/>
        <v>-</v>
      </c>
      <c r="BF533" s="85" t="str">
        <f>'Consumer Hardware Pricing'!AM543</f>
        <v>-</v>
      </c>
      <c r="BG533" s="85" t="str">
        <f t="shared" si="2080"/>
        <v>-</v>
      </c>
      <c r="BH533" s="85" t="str">
        <f t="shared" si="2081"/>
        <v>-</v>
      </c>
      <c r="BI533" s="85" t="str">
        <f t="shared" si="2082"/>
        <v>-</v>
      </c>
      <c r="BJ533" s="85" t="str">
        <f>'Consumer Hardware Pricing'!AP543</f>
        <v>-</v>
      </c>
      <c r="BK533" s="85" t="str">
        <f t="shared" si="2047"/>
        <v>-</v>
      </c>
      <c r="BL533" s="85" t="str">
        <f>'Consumer Hardware Pricing'!AQ543</f>
        <v>-</v>
      </c>
      <c r="BM533" s="85" t="str">
        <f t="shared" si="2083"/>
        <v>-</v>
      </c>
      <c r="BN533" s="85" t="str">
        <f t="shared" si="2084"/>
        <v>-</v>
      </c>
      <c r="BO533" s="85" t="str">
        <f t="shared" si="2085"/>
        <v>-</v>
      </c>
      <c r="BP533" s="85" t="str">
        <f>'Consumer Hardware Pricing'!AT543</f>
        <v>-</v>
      </c>
      <c r="BQ533" s="85" t="str">
        <f t="shared" si="2048"/>
        <v>-</v>
      </c>
      <c r="BR533" s="85" t="str">
        <f>'Consumer Hardware Pricing'!AU543</f>
        <v>-</v>
      </c>
      <c r="BS533" s="85" t="str">
        <f t="shared" si="2086"/>
        <v>-</v>
      </c>
      <c r="BT533" s="85" t="str">
        <f t="shared" si="2087"/>
        <v>-</v>
      </c>
      <c r="BU533" s="85" t="str">
        <f t="shared" si="2088"/>
        <v>-</v>
      </c>
    </row>
    <row r="534" spans="1:73" ht="30.45" customHeight="1" x14ac:dyDescent="0.25">
      <c r="A534" s="87" t="s">
        <v>34</v>
      </c>
      <c r="B534" s="88" t="s">
        <v>1194</v>
      </c>
      <c r="C534" s="88" t="s">
        <v>1204</v>
      </c>
      <c r="D534" s="85">
        <f>'Consumer Hardware Pricing'!L544</f>
        <v>1485</v>
      </c>
      <c r="E534" s="85">
        <f>'Consumer Hardware Pricing'!M544</f>
        <v>1485</v>
      </c>
      <c r="F534" s="85">
        <f>'Consumer Hardware Pricing'!N544</f>
        <v>0</v>
      </c>
      <c r="G534" s="85">
        <f t="shared" si="2049"/>
        <v>61.879999999999995</v>
      </c>
      <c r="H534" s="85">
        <f>'Consumer Hardware Pricing'!O544</f>
        <v>11.879999999999999</v>
      </c>
      <c r="I534" s="85">
        <f t="shared" si="2050"/>
        <v>50</v>
      </c>
      <c r="J534" s="85">
        <f t="shared" si="2051"/>
        <v>285.12</v>
      </c>
      <c r="K534" s="85">
        <f t="shared" si="2052"/>
        <v>1200</v>
      </c>
      <c r="L534" s="85">
        <f>'Consumer Hardware Pricing'!Q544</f>
        <v>628</v>
      </c>
      <c r="M534" s="85">
        <f t="shared" si="2053"/>
        <v>38.04999999999999</v>
      </c>
      <c r="N534" s="85">
        <f t="shared" si="2054"/>
        <v>23.830000000000005</v>
      </c>
      <c r="O534" s="85">
        <f t="shared" si="2055"/>
        <v>913.19999999999982</v>
      </c>
      <c r="P534" s="85">
        <f t="shared" si="2056"/>
        <v>571.92000000000007</v>
      </c>
      <c r="Q534" s="85">
        <f>'Consumer Hardware Pricing'!S544</f>
        <v>0</v>
      </c>
      <c r="R534" s="85">
        <f t="shared" si="2057"/>
        <v>61.879999999999995</v>
      </c>
      <c r="S534" s="85">
        <f>'Consumer Hardware Pricing'!T544</f>
        <v>11.879999999999999</v>
      </c>
      <c r="T534" s="129">
        <f t="shared" si="2058"/>
        <v>50</v>
      </c>
      <c r="U534" s="129">
        <f t="shared" si="2059"/>
        <v>285.12</v>
      </c>
      <c r="V534" s="85">
        <f t="shared" si="2060"/>
        <v>1200</v>
      </c>
      <c r="W534" s="129">
        <f>'Consumer Hardware Pricing'!V544</f>
        <v>628</v>
      </c>
      <c r="X534" s="129">
        <f t="shared" si="2061"/>
        <v>38.04999999999999</v>
      </c>
      <c r="Y534" s="129">
        <f t="shared" si="2062"/>
        <v>23.830000000000005</v>
      </c>
      <c r="Z534" s="129">
        <f t="shared" si="2063"/>
        <v>913.19999999999982</v>
      </c>
      <c r="AA534" s="85">
        <f t="shared" si="2064"/>
        <v>571.92000000000007</v>
      </c>
      <c r="AB534" s="85">
        <f>'Consumer Hardware Pricing'!X544</f>
        <v>0</v>
      </c>
      <c r="AC534" s="85">
        <f t="shared" si="2041"/>
        <v>61.879999999999995</v>
      </c>
      <c r="AD534" s="85">
        <f>'Consumer Hardware Pricing'!Y544</f>
        <v>28.75</v>
      </c>
      <c r="AE534" s="85">
        <f t="shared" si="2065"/>
        <v>33.129999999999995</v>
      </c>
      <c r="AF534" s="85">
        <f t="shared" si="2066"/>
        <v>690</v>
      </c>
      <c r="AG534" s="85">
        <f t="shared" si="2067"/>
        <v>795.11999999999989</v>
      </c>
      <c r="AH534" s="85">
        <f>'Consumer Hardware Pricing'!AA544</f>
        <v>628</v>
      </c>
      <c r="AI534" s="85">
        <f t="shared" si="2042"/>
        <v>54.919999999999995</v>
      </c>
      <c r="AJ534" s="85">
        <f t="shared" si="2068"/>
        <v>6.9600000000000009</v>
      </c>
      <c r="AK534" s="85">
        <f t="shared" si="2069"/>
        <v>1318.08</v>
      </c>
      <c r="AL534" s="85">
        <f t="shared" si="2070"/>
        <v>167.04000000000002</v>
      </c>
      <c r="AM534" s="85">
        <f>'Consumer Hardware Pricing'!AC544</f>
        <v>0</v>
      </c>
      <c r="AN534" s="85">
        <f t="shared" si="2043"/>
        <v>61.879999999999995</v>
      </c>
      <c r="AO534" s="85">
        <f>'Consumer Hardware Pricing'!AD544</f>
        <v>28.75</v>
      </c>
      <c r="AP534" s="85">
        <f t="shared" si="2071"/>
        <v>33.129999999999995</v>
      </c>
      <c r="AQ534" s="85">
        <f t="shared" si="2072"/>
        <v>690</v>
      </c>
      <c r="AR534" s="85">
        <f t="shared" si="2073"/>
        <v>795.11999999999989</v>
      </c>
      <c r="AS534" s="85">
        <f>'Consumer Hardware Pricing'!AF544</f>
        <v>628</v>
      </c>
      <c r="AT534" s="85">
        <f t="shared" si="2044"/>
        <v>54.919999999999995</v>
      </c>
      <c r="AU534" s="85">
        <f t="shared" si="2074"/>
        <v>6.9600000000000009</v>
      </c>
      <c r="AV534" s="85">
        <f t="shared" si="2075"/>
        <v>1318.08</v>
      </c>
      <c r="AW534" s="85">
        <f t="shared" si="2076"/>
        <v>167.04000000000002</v>
      </c>
      <c r="AX534" s="85" t="str">
        <f>'Consumer Hardware Pricing'!AH544</f>
        <v>-</v>
      </c>
      <c r="AY534" s="85" t="str">
        <f t="shared" si="2045"/>
        <v>-</v>
      </c>
      <c r="AZ534" s="85" t="str">
        <f>'Consumer Hardware Pricing'!AI544</f>
        <v>-</v>
      </c>
      <c r="BA534" s="85" t="str">
        <f t="shared" si="2077"/>
        <v>-</v>
      </c>
      <c r="BB534" s="85" t="str">
        <f t="shared" si="2078"/>
        <v>-</v>
      </c>
      <c r="BC534" s="85" t="str">
        <f t="shared" si="2079"/>
        <v>-</v>
      </c>
      <c r="BD534" s="85" t="str">
        <f>'Consumer Hardware Pricing'!AL544</f>
        <v>-</v>
      </c>
      <c r="BE534" s="85" t="str">
        <f t="shared" si="2046"/>
        <v>-</v>
      </c>
      <c r="BF534" s="85" t="str">
        <f>'Consumer Hardware Pricing'!AM544</f>
        <v>-</v>
      </c>
      <c r="BG534" s="85" t="str">
        <f t="shared" si="2080"/>
        <v>-</v>
      </c>
      <c r="BH534" s="85" t="str">
        <f t="shared" si="2081"/>
        <v>-</v>
      </c>
      <c r="BI534" s="85" t="str">
        <f t="shared" si="2082"/>
        <v>-</v>
      </c>
      <c r="BJ534" s="85" t="str">
        <f>'Consumer Hardware Pricing'!AP544</f>
        <v>-</v>
      </c>
      <c r="BK534" s="85" t="str">
        <f t="shared" si="2047"/>
        <v>-</v>
      </c>
      <c r="BL534" s="85" t="str">
        <f>'Consumer Hardware Pricing'!AQ544</f>
        <v>-</v>
      </c>
      <c r="BM534" s="85" t="str">
        <f t="shared" si="2083"/>
        <v>-</v>
      </c>
      <c r="BN534" s="85" t="str">
        <f t="shared" si="2084"/>
        <v>-</v>
      </c>
      <c r="BO534" s="85" t="str">
        <f t="shared" si="2085"/>
        <v>-</v>
      </c>
      <c r="BP534" s="85" t="str">
        <f>'Consumer Hardware Pricing'!AT544</f>
        <v>-</v>
      </c>
      <c r="BQ534" s="85" t="str">
        <f t="shared" si="2048"/>
        <v>-</v>
      </c>
      <c r="BR534" s="85" t="str">
        <f>'Consumer Hardware Pricing'!AU544</f>
        <v>-</v>
      </c>
      <c r="BS534" s="85" t="str">
        <f t="shared" si="2086"/>
        <v>-</v>
      </c>
      <c r="BT534" s="85" t="str">
        <f t="shared" si="2087"/>
        <v>-</v>
      </c>
      <c r="BU534" s="85" t="str">
        <f t="shared" si="2088"/>
        <v>-</v>
      </c>
    </row>
    <row r="535" spans="1:73" ht="30.45" customHeight="1" x14ac:dyDescent="0.25">
      <c r="A535" s="87" t="s">
        <v>34</v>
      </c>
      <c r="B535" s="88" t="s">
        <v>1195</v>
      </c>
      <c r="C535" s="88" t="s">
        <v>1205</v>
      </c>
      <c r="D535" s="85">
        <f>'Consumer Hardware Pricing'!L545</f>
        <v>1730</v>
      </c>
      <c r="E535" s="85">
        <f>'Consumer Hardware Pricing'!M545</f>
        <v>1730</v>
      </c>
      <c r="F535" s="85">
        <f>'Consumer Hardware Pricing'!N545</f>
        <v>0</v>
      </c>
      <c r="G535" s="85">
        <f t="shared" si="2049"/>
        <v>72.09</v>
      </c>
      <c r="H535" s="85">
        <f>'Consumer Hardware Pricing'!O545</f>
        <v>13.75</v>
      </c>
      <c r="I535" s="85">
        <f t="shared" si="2050"/>
        <v>58.34</v>
      </c>
      <c r="J535" s="85">
        <f t="shared" si="2051"/>
        <v>330</v>
      </c>
      <c r="K535" s="85">
        <f t="shared" si="2052"/>
        <v>1400.16</v>
      </c>
      <c r="L535" s="85">
        <f>'Consumer Hardware Pricing'!Q545</f>
        <v>640</v>
      </c>
      <c r="M535" s="85">
        <f t="shared" si="2053"/>
        <v>40.420000000000009</v>
      </c>
      <c r="N535" s="85">
        <f t="shared" si="2054"/>
        <v>31.669999999999995</v>
      </c>
      <c r="O535" s="85">
        <f t="shared" si="2055"/>
        <v>970.08000000000015</v>
      </c>
      <c r="P535" s="85">
        <f t="shared" si="2056"/>
        <v>760.07999999999993</v>
      </c>
      <c r="Q535" s="85">
        <f>'Consumer Hardware Pricing'!S545</f>
        <v>0</v>
      </c>
      <c r="R535" s="85">
        <f t="shared" si="2057"/>
        <v>72.09</v>
      </c>
      <c r="S535" s="85">
        <f>'Consumer Hardware Pricing'!T545</f>
        <v>13.75</v>
      </c>
      <c r="T535" s="129">
        <f t="shared" si="2058"/>
        <v>58.34</v>
      </c>
      <c r="U535" s="129">
        <f t="shared" si="2059"/>
        <v>330</v>
      </c>
      <c r="V535" s="85">
        <f t="shared" si="2060"/>
        <v>1400.16</v>
      </c>
      <c r="W535" s="129">
        <f>'Consumer Hardware Pricing'!V545</f>
        <v>640</v>
      </c>
      <c r="X535" s="129">
        <f t="shared" si="2061"/>
        <v>40.420000000000009</v>
      </c>
      <c r="Y535" s="129">
        <f t="shared" si="2062"/>
        <v>31.669999999999995</v>
      </c>
      <c r="Z535" s="129">
        <f t="shared" si="2063"/>
        <v>970.08000000000015</v>
      </c>
      <c r="AA535" s="85">
        <f t="shared" si="2064"/>
        <v>760.07999999999993</v>
      </c>
      <c r="AB535" s="85">
        <f>'Consumer Hardware Pricing'!X545</f>
        <v>0</v>
      </c>
      <c r="AC535" s="85">
        <f t="shared" si="2041"/>
        <v>72.09</v>
      </c>
      <c r="AD535" s="85">
        <f>'Consumer Hardware Pricing'!Y545</f>
        <v>32.42</v>
      </c>
      <c r="AE535" s="85">
        <f t="shared" si="2065"/>
        <v>39.67</v>
      </c>
      <c r="AF535" s="85">
        <f t="shared" si="2066"/>
        <v>778.08</v>
      </c>
      <c r="AG535" s="85">
        <f t="shared" si="2067"/>
        <v>952.08</v>
      </c>
      <c r="AH535" s="85">
        <f>'Consumer Hardware Pricing'!AA545</f>
        <v>640</v>
      </c>
      <c r="AI535" s="85">
        <f t="shared" si="2042"/>
        <v>59.090000000000011</v>
      </c>
      <c r="AJ535" s="85">
        <f t="shared" si="2068"/>
        <v>12.999999999999993</v>
      </c>
      <c r="AK535" s="85">
        <f t="shared" si="2069"/>
        <v>1418.1600000000003</v>
      </c>
      <c r="AL535" s="85">
        <f t="shared" si="2070"/>
        <v>311.99999999999983</v>
      </c>
      <c r="AM535" s="85">
        <f>'Consumer Hardware Pricing'!AC545</f>
        <v>0</v>
      </c>
      <c r="AN535" s="85">
        <f t="shared" si="2043"/>
        <v>72.09</v>
      </c>
      <c r="AO535" s="85">
        <f>'Consumer Hardware Pricing'!AD545</f>
        <v>32.42</v>
      </c>
      <c r="AP535" s="85">
        <f t="shared" si="2071"/>
        <v>39.67</v>
      </c>
      <c r="AQ535" s="85">
        <f t="shared" si="2072"/>
        <v>778.08</v>
      </c>
      <c r="AR535" s="85">
        <f t="shared" si="2073"/>
        <v>952.08</v>
      </c>
      <c r="AS535" s="85">
        <f>'Consumer Hardware Pricing'!AF545</f>
        <v>640</v>
      </c>
      <c r="AT535" s="85">
        <f t="shared" si="2044"/>
        <v>59.090000000000011</v>
      </c>
      <c r="AU535" s="85">
        <f t="shared" si="2074"/>
        <v>12.999999999999993</v>
      </c>
      <c r="AV535" s="85">
        <f t="shared" si="2075"/>
        <v>1418.1600000000003</v>
      </c>
      <c r="AW535" s="85">
        <f t="shared" si="2076"/>
        <v>311.99999999999983</v>
      </c>
      <c r="AX535" s="85" t="str">
        <f>'Consumer Hardware Pricing'!AH545</f>
        <v>-</v>
      </c>
      <c r="AY535" s="85" t="str">
        <f t="shared" si="2045"/>
        <v>-</v>
      </c>
      <c r="AZ535" s="85" t="str">
        <f>'Consumer Hardware Pricing'!AI545</f>
        <v>-</v>
      </c>
      <c r="BA535" s="85" t="str">
        <f t="shared" si="2077"/>
        <v>-</v>
      </c>
      <c r="BB535" s="85" t="str">
        <f t="shared" si="2078"/>
        <v>-</v>
      </c>
      <c r="BC535" s="85" t="str">
        <f t="shared" si="2079"/>
        <v>-</v>
      </c>
      <c r="BD535" s="85" t="str">
        <f>'Consumer Hardware Pricing'!AL545</f>
        <v>-</v>
      </c>
      <c r="BE535" s="85" t="str">
        <f t="shared" si="2046"/>
        <v>-</v>
      </c>
      <c r="BF535" s="85" t="str">
        <f>'Consumer Hardware Pricing'!AM545</f>
        <v>-</v>
      </c>
      <c r="BG535" s="85" t="str">
        <f t="shared" si="2080"/>
        <v>-</v>
      </c>
      <c r="BH535" s="85" t="str">
        <f t="shared" si="2081"/>
        <v>-</v>
      </c>
      <c r="BI535" s="85" t="str">
        <f t="shared" si="2082"/>
        <v>-</v>
      </c>
      <c r="BJ535" s="85" t="str">
        <f>'Consumer Hardware Pricing'!AP545</f>
        <v>-</v>
      </c>
      <c r="BK535" s="85" t="str">
        <f t="shared" si="2047"/>
        <v>-</v>
      </c>
      <c r="BL535" s="85" t="str">
        <f>'Consumer Hardware Pricing'!AQ545</f>
        <v>-</v>
      </c>
      <c r="BM535" s="85" t="str">
        <f t="shared" si="2083"/>
        <v>-</v>
      </c>
      <c r="BN535" s="85" t="str">
        <f t="shared" si="2084"/>
        <v>-</v>
      </c>
      <c r="BO535" s="85" t="str">
        <f t="shared" si="2085"/>
        <v>-</v>
      </c>
      <c r="BP535" s="85" t="str">
        <f>'Consumer Hardware Pricing'!AT545</f>
        <v>-</v>
      </c>
      <c r="BQ535" s="85" t="str">
        <f t="shared" si="2048"/>
        <v>-</v>
      </c>
      <c r="BR535" s="85" t="str">
        <f>'Consumer Hardware Pricing'!AU545</f>
        <v>-</v>
      </c>
      <c r="BS535" s="85" t="str">
        <f t="shared" si="2086"/>
        <v>-</v>
      </c>
      <c r="BT535" s="85" t="str">
        <f t="shared" si="2087"/>
        <v>-</v>
      </c>
      <c r="BU535" s="85" t="str">
        <f t="shared" si="2088"/>
        <v>-</v>
      </c>
    </row>
    <row r="536" spans="1:73" ht="30.45" customHeight="1" x14ac:dyDescent="0.25">
      <c r="A536" s="87" t="s">
        <v>34</v>
      </c>
      <c r="B536" s="88" t="s">
        <v>1196</v>
      </c>
      <c r="C536" s="88" t="s">
        <v>1205</v>
      </c>
      <c r="D536" s="85">
        <f>'Consumer Hardware Pricing'!L546</f>
        <v>1730</v>
      </c>
      <c r="E536" s="85">
        <f>'Consumer Hardware Pricing'!M546</f>
        <v>1730</v>
      </c>
      <c r="F536" s="85">
        <f>'Consumer Hardware Pricing'!N546</f>
        <v>0</v>
      </c>
      <c r="G536" s="85">
        <f t="shared" si="2049"/>
        <v>72.09</v>
      </c>
      <c r="H536" s="85">
        <f>'Consumer Hardware Pricing'!O546</f>
        <v>13.75</v>
      </c>
      <c r="I536" s="85">
        <f t="shared" si="2050"/>
        <v>58.34</v>
      </c>
      <c r="J536" s="85">
        <f t="shared" si="2051"/>
        <v>330</v>
      </c>
      <c r="K536" s="85">
        <f t="shared" si="2052"/>
        <v>1400.16</v>
      </c>
      <c r="L536" s="85">
        <f>'Consumer Hardware Pricing'!Q546</f>
        <v>640</v>
      </c>
      <c r="M536" s="85">
        <f t="shared" si="2053"/>
        <v>40.420000000000009</v>
      </c>
      <c r="N536" s="85">
        <f t="shared" si="2054"/>
        <v>31.669999999999995</v>
      </c>
      <c r="O536" s="85">
        <f t="shared" si="2055"/>
        <v>970.08000000000015</v>
      </c>
      <c r="P536" s="85">
        <f t="shared" si="2056"/>
        <v>760.07999999999993</v>
      </c>
      <c r="Q536" s="85">
        <f>'Consumer Hardware Pricing'!S546</f>
        <v>0</v>
      </c>
      <c r="R536" s="85">
        <f t="shared" si="2057"/>
        <v>72.09</v>
      </c>
      <c r="S536" s="85">
        <f>'Consumer Hardware Pricing'!T546</f>
        <v>13.75</v>
      </c>
      <c r="T536" s="129">
        <f t="shared" si="2058"/>
        <v>58.34</v>
      </c>
      <c r="U536" s="129">
        <f t="shared" si="2059"/>
        <v>330</v>
      </c>
      <c r="V536" s="85">
        <f t="shared" si="2060"/>
        <v>1400.16</v>
      </c>
      <c r="W536" s="129">
        <f>'Consumer Hardware Pricing'!V546</f>
        <v>640</v>
      </c>
      <c r="X536" s="129">
        <f t="shared" si="2061"/>
        <v>40.420000000000009</v>
      </c>
      <c r="Y536" s="129">
        <f t="shared" si="2062"/>
        <v>31.669999999999995</v>
      </c>
      <c r="Z536" s="129">
        <f t="shared" si="2063"/>
        <v>970.08000000000015</v>
      </c>
      <c r="AA536" s="85">
        <f t="shared" si="2064"/>
        <v>760.07999999999993</v>
      </c>
      <c r="AB536" s="85">
        <f>'Consumer Hardware Pricing'!X546</f>
        <v>0</v>
      </c>
      <c r="AC536" s="85">
        <f t="shared" si="2041"/>
        <v>72.09</v>
      </c>
      <c r="AD536" s="85">
        <f>'Consumer Hardware Pricing'!Y546</f>
        <v>32.42</v>
      </c>
      <c r="AE536" s="85">
        <f t="shared" si="2065"/>
        <v>39.67</v>
      </c>
      <c r="AF536" s="85">
        <f t="shared" si="2066"/>
        <v>778.08</v>
      </c>
      <c r="AG536" s="85">
        <f t="shared" si="2067"/>
        <v>952.08</v>
      </c>
      <c r="AH536" s="85">
        <f>'Consumer Hardware Pricing'!AA546</f>
        <v>640</v>
      </c>
      <c r="AI536" s="85">
        <f t="shared" si="2042"/>
        <v>59.090000000000011</v>
      </c>
      <c r="AJ536" s="85">
        <f t="shared" si="2068"/>
        <v>12.999999999999993</v>
      </c>
      <c r="AK536" s="85">
        <f t="shared" si="2069"/>
        <v>1418.1600000000003</v>
      </c>
      <c r="AL536" s="85">
        <f t="shared" si="2070"/>
        <v>311.99999999999983</v>
      </c>
      <c r="AM536" s="85">
        <f>'Consumer Hardware Pricing'!AC546</f>
        <v>0</v>
      </c>
      <c r="AN536" s="85">
        <f t="shared" si="2043"/>
        <v>72.09</v>
      </c>
      <c r="AO536" s="85">
        <f>'Consumer Hardware Pricing'!AD546</f>
        <v>32.42</v>
      </c>
      <c r="AP536" s="85">
        <f t="shared" si="2071"/>
        <v>39.67</v>
      </c>
      <c r="AQ536" s="85">
        <f t="shared" si="2072"/>
        <v>778.08</v>
      </c>
      <c r="AR536" s="85">
        <f t="shared" si="2073"/>
        <v>952.08</v>
      </c>
      <c r="AS536" s="85">
        <f>'Consumer Hardware Pricing'!AF546</f>
        <v>640</v>
      </c>
      <c r="AT536" s="85">
        <f t="shared" si="2044"/>
        <v>59.090000000000011</v>
      </c>
      <c r="AU536" s="85">
        <f t="shared" si="2074"/>
        <v>12.999999999999993</v>
      </c>
      <c r="AV536" s="85">
        <f t="shared" si="2075"/>
        <v>1418.1600000000003</v>
      </c>
      <c r="AW536" s="85">
        <f t="shared" si="2076"/>
        <v>311.99999999999983</v>
      </c>
      <c r="AX536" s="85" t="str">
        <f>'Consumer Hardware Pricing'!AH546</f>
        <v>-</v>
      </c>
      <c r="AY536" s="85" t="str">
        <f t="shared" si="2045"/>
        <v>-</v>
      </c>
      <c r="AZ536" s="85" t="str">
        <f>'Consumer Hardware Pricing'!AI546</f>
        <v>-</v>
      </c>
      <c r="BA536" s="85" t="str">
        <f t="shared" si="2077"/>
        <v>-</v>
      </c>
      <c r="BB536" s="85" t="str">
        <f t="shared" si="2078"/>
        <v>-</v>
      </c>
      <c r="BC536" s="85" t="str">
        <f t="shared" si="2079"/>
        <v>-</v>
      </c>
      <c r="BD536" s="85" t="str">
        <f>'Consumer Hardware Pricing'!AL546</f>
        <v>-</v>
      </c>
      <c r="BE536" s="85" t="str">
        <f t="shared" si="2046"/>
        <v>-</v>
      </c>
      <c r="BF536" s="85" t="str">
        <f>'Consumer Hardware Pricing'!AM546</f>
        <v>-</v>
      </c>
      <c r="BG536" s="85" t="str">
        <f t="shared" si="2080"/>
        <v>-</v>
      </c>
      <c r="BH536" s="85" t="str">
        <f t="shared" si="2081"/>
        <v>-</v>
      </c>
      <c r="BI536" s="85" t="str">
        <f t="shared" si="2082"/>
        <v>-</v>
      </c>
      <c r="BJ536" s="85" t="str">
        <f>'Consumer Hardware Pricing'!AP546</f>
        <v>-</v>
      </c>
      <c r="BK536" s="85" t="str">
        <f t="shared" si="2047"/>
        <v>-</v>
      </c>
      <c r="BL536" s="85" t="str">
        <f>'Consumer Hardware Pricing'!AQ546</f>
        <v>-</v>
      </c>
      <c r="BM536" s="85" t="str">
        <f t="shared" si="2083"/>
        <v>-</v>
      </c>
      <c r="BN536" s="85" t="str">
        <f t="shared" si="2084"/>
        <v>-</v>
      </c>
      <c r="BO536" s="85" t="str">
        <f t="shared" si="2085"/>
        <v>-</v>
      </c>
      <c r="BP536" s="85" t="str">
        <f>'Consumer Hardware Pricing'!AT546</f>
        <v>-</v>
      </c>
      <c r="BQ536" s="85" t="str">
        <f t="shared" si="2048"/>
        <v>-</v>
      </c>
      <c r="BR536" s="85" t="str">
        <f>'Consumer Hardware Pricing'!AU546</f>
        <v>-</v>
      </c>
      <c r="BS536" s="85" t="str">
        <f t="shared" si="2086"/>
        <v>-</v>
      </c>
      <c r="BT536" s="85" t="str">
        <f t="shared" si="2087"/>
        <v>-</v>
      </c>
      <c r="BU536" s="85" t="str">
        <f t="shared" si="2088"/>
        <v>-</v>
      </c>
    </row>
    <row r="537" spans="1:73" ht="30.45" customHeight="1" x14ac:dyDescent="0.25">
      <c r="A537" s="87" t="s">
        <v>34</v>
      </c>
      <c r="B537" s="88" t="s">
        <v>1197</v>
      </c>
      <c r="C537" s="88" t="s">
        <v>1205</v>
      </c>
      <c r="D537" s="85">
        <f>'Consumer Hardware Pricing'!L547</f>
        <v>1730</v>
      </c>
      <c r="E537" s="85">
        <f>'Consumer Hardware Pricing'!M547</f>
        <v>1730</v>
      </c>
      <c r="F537" s="85">
        <f>'Consumer Hardware Pricing'!N547</f>
        <v>0</v>
      </c>
      <c r="G537" s="85">
        <f t="shared" si="2049"/>
        <v>72.09</v>
      </c>
      <c r="H537" s="85">
        <f>'Consumer Hardware Pricing'!O547</f>
        <v>13.75</v>
      </c>
      <c r="I537" s="85">
        <f t="shared" si="2050"/>
        <v>58.34</v>
      </c>
      <c r="J537" s="85">
        <f t="shared" si="2051"/>
        <v>330</v>
      </c>
      <c r="K537" s="85">
        <f t="shared" si="2052"/>
        <v>1400.16</v>
      </c>
      <c r="L537" s="85">
        <f>'Consumer Hardware Pricing'!Q547</f>
        <v>640</v>
      </c>
      <c r="M537" s="85">
        <f t="shared" si="2053"/>
        <v>40.420000000000009</v>
      </c>
      <c r="N537" s="85">
        <f t="shared" si="2054"/>
        <v>31.669999999999995</v>
      </c>
      <c r="O537" s="85">
        <f t="shared" si="2055"/>
        <v>970.08000000000015</v>
      </c>
      <c r="P537" s="85">
        <f t="shared" si="2056"/>
        <v>760.07999999999993</v>
      </c>
      <c r="Q537" s="85">
        <f>'Consumer Hardware Pricing'!S547</f>
        <v>0</v>
      </c>
      <c r="R537" s="85">
        <f t="shared" si="2057"/>
        <v>72.09</v>
      </c>
      <c r="S537" s="85">
        <f>'Consumer Hardware Pricing'!T547</f>
        <v>13.75</v>
      </c>
      <c r="T537" s="129">
        <f t="shared" si="2058"/>
        <v>58.34</v>
      </c>
      <c r="U537" s="129">
        <f t="shared" si="2059"/>
        <v>330</v>
      </c>
      <c r="V537" s="85">
        <f t="shared" si="2060"/>
        <v>1400.16</v>
      </c>
      <c r="W537" s="129">
        <f>'Consumer Hardware Pricing'!V547</f>
        <v>640</v>
      </c>
      <c r="X537" s="129">
        <f t="shared" si="2061"/>
        <v>40.420000000000009</v>
      </c>
      <c r="Y537" s="129">
        <f t="shared" si="2062"/>
        <v>31.669999999999995</v>
      </c>
      <c r="Z537" s="129">
        <f t="shared" si="2063"/>
        <v>970.08000000000015</v>
      </c>
      <c r="AA537" s="85">
        <f t="shared" si="2064"/>
        <v>760.07999999999993</v>
      </c>
      <c r="AB537" s="85">
        <f>'Consumer Hardware Pricing'!X547</f>
        <v>0</v>
      </c>
      <c r="AC537" s="85">
        <f t="shared" si="2041"/>
        <v>72.09</v>
      </c>
      <c r="AD537" s="85">
        <f>'Consumer Hardware Pricing'!Y547</f>
        <v>32.42</v>
      </c>
      <c r="AE537" s="85">
        <f t="shared" si="2065"/>
        <v>39.67</v>
      </c>
      <c r="AF537" s="85">
        <f t="shared" si="2066"/>
        <v>778.08</v>
      </c>
      <c r="AG537" s="85">
        <f t="shared" si="2067"/>
        <v>952.08</v>
      </c>
      <c r="AH537" s="85">
        <f>'Consumer Hardware Pricing'!AA547</f>
        <v>640</v>
      </c>
      <c r="AI537" s="85">
        <f t="shared" si="2042"/>
        <v>59.090000000000011</v>
      </c>
      <c r="AJ537" s="85">
        <f t="shared" si="2068"/>
        <v>12.999999999999993</v>
      </c>
      <c r="AK537" s="85">
        <f t="shared" si="2069"/>
        <v>1418.1600000000003</v>
      </c>
      <c r="AL537" s="85">
        <f t="shared" si="2070"/>
        <v>311.99999999999983</v>
      </c>
      <c r="AM537" s="85">
        <f>'Consumer Hardware Pricing'!AC547</f>
        <v>0</v>
      </c>
      <c r="AN537" s="85">
        <f t="shared" si="2043"/>
        <v>72.09</v>
      </c>
      <c r="AO537" s="85">
        <f>'Consumer Hardware Pricing'!AD547</f>
        <v>32.42</v>
      </c>
      <c r="AP537" s="85">
        <f t="shared" si="2071"/>
        <v>39.67</v>
      </c>
      <c r="AQ537" s="85">
        <f t="shared" si="2072"/>
        <v>778.08</v>
      </c>
      <c r="AR537" s="85">
        <f t="shared" si="2073"/>
        <v>952.08</v>
      </c>
      <c r="AS537" s="85">
        <f>'Consumer Hardware Pricing'!AF547</f>
        <v>640</v>
      </c>
      <c r="AT537" s="85">
        <f t="shared" si="2044"/>
        <v>59.090000000000011</v>
      </c>
      <c r="AU537" s="85">
        <f t="shared" si="2074"/>
        <v>12.999999999999993</v>
      </c>
      <c r="AV537" s="85">
        <f t="shared" si="2075"/>
        <v>1418.1600000000003</v>
      </c>
      <c r="AW537" s="85">
        <f t="shared" si="2076"/>
        <v>311.99999999999983</v>
      </c>
      <c r="AX537" s="85" t="str">
        <f>'Consumer Hardware Pricing'!AH547</f>
        <v>-</v>
      </c>
      <c r="AY537" s="85" t="str">
        <f t="shared" si="2045"/>
        <v>-</v>
      </c>
      <c r="AZ537" s="85" t="str">
        <f>'Consumer Hardware Pricing'!AI547</f>
        <v>-</v>
      </c>
      <c r="BA537" s="85" t="str">
        <f t="shared" si="2077"/>
        <v>-</v>
      </c>
      <c r="BB537" s="85" t="str">
        <f t="shared" si="2078"/>
        <v>-</v>
      </c>
      <c r="BC537" s="85" t="str">
        <f t="shared" si="2079"/>
        <v>-</v>
      </c>
      <c r="BD537" s="85" t="str">
        <f>'Consumer Hardware Pricing'!AL547</f>
        <v>-</v>
      </c>
      <c r="BE537" s="85" t="str">
        <f t="shared" si="2046"/>
        <v>-</v>
      </c>
      <c r="BF537" s="85" t="str">
        <f>'Consumer Hardware Pricing'!AM547</f>
        <v>-</v>
      </c>
      <c r="BG537" s="85" t="str">
        <f t="shared" si="2080"/>
        <v>-</v>
      </c>
      <c r="BH537" s="85" t="str">
        <f t="shared" si="2081"/>
        <v>-</v>
      </c>
      <c r="BI537" s="85" t="str">
        <f t="shared" si="2082"/>
        <v>-</v>
      </c>
      <c r="BJ537" s="85" t="str">
        <f>'Consumer Hardware Pricing'!AP547</f>
        <v>-</v>
      </c>
      <c r="BK537" s="85" t="str">
        <f t="shared" si="2047"/>
        <v>-</v>
      </c>
      <c r="BL537" s="85" t="str">
        <f>'Consumer Hardware Pricing'!AQ547</f>
        <v>-</v>
      </c>
      <c r="BM537" s="85" t="str">
        <f t="shared" si="2083"/>
        <v>-</v>
      </c>
      <c r="BN537" s="85" t="str">
        <f t="shared" si="2084"/>
        <v>-</v>
      </c>
      <c r="BO537" s="85" t="str">
        <f t="shared" si="2085"/>
        <v>-</v>
      </c>
      <c r="BP537" s="85" t="str">
        <f>'Consumer Hardware Pricing'!AT547</f>
        <v>-</v>
      </c>
      <c r="BQ537" s="85" t="str">
        <f t="shared" si="2048"/>
        <v>-</v>
      </c>
      <c r="BR537" s="85" t="str">
        <f>'Consumer Hardware Pricing'!AU547</f>
        <v>-</v>
      </c>
      <c r="BS537" s="85" t="str">
        <f t="shared" si="2086"/>
        <v>-</v>
      </c>
      <c r="BT537" s="85" t="str">
        <f t="shared" si="2087"/>
        <v>-</v>
      </c>
      <c r="BU537" s="85" t="str">
        <f t="shared" si="2088"/>
        <v>-</v>
      </c>
    </row>
    <row r="538" spans="1:73" ht="30.45" customHeight="1" x14ac:dyDescent="0.25">
      <c r="A538" s="87" t="s">
        <v>34</v>
      </c>
      <c r="B538" s="88" t="s">
        <v>1210</v>
      </c>
      <c r="C538" s="88" t="s">
        <v>1205</v>
      </c>
      <c r="D538" s="85">
        <f>'Consumer Hardware Pricing'!L548</f>
        <v>1730</v>
      </c>
      <c r="E538" s="85">
        <f>'Consumer Hardware Pricing'!M548</f>
        <v>1730</v>
      </c>
      <c r="F538" s="85">
        <f>'Consumer Hardware Pricing'!N548</f>
        <v>0</v>
      </c>
      <c r="G538" s="85">
        <f t="shared" ref="G538:G540" si="2089">IF(F538="-","-",ROUNDUP(D538/24,2))</f>
        <v>72.09</v>
      </c>
      <c r="H538" s="85">
        <f>'Consumer Hardware Pricing'!O548</f>
        <v>13.75</v>
      </c>
      <c r="I538" s="85">
        <f t="shared" ref="I538:I540" si="2090">IF(H538="-",G538,G538-H538)</f>
        <v>58.34</v>
      </c>
      <c r="J538" s="85">
        <f t="shared" ref="J538:J540" si="2091">IF(H538="-",H538,H538*24)</f>
        <v>330</v>
      </c>
      <c r="K538" s="85">
        <f t="shared" ref="K538:K540" si="2092">IF(F538="-",F538,I538*24)</f>
        <v>1400.16</v>
      </c>
      <c r="L538" s="85">
        <f>'Consumer Hardware Pricing'!Q548</f>
        <v>640</v>
      </c>
      <c r="M538" s="85">
        <f t="shared" ref="M538:M540" si="2093">IF(L538="-",L538,IF(H538="-",G538-ROUNDUP((D538-L538)/24,2),H538+G538-ROUNDUP((D538-L538)/24,2)))</f>
        <v>40.420000000000009</v>
      </c>
      <c r="N538" s="85">
        <f t="shared" ref="N538:N540" si="2094">IF(L538="-",L538,G538-M538)</f>
        <v>31.669999999999995</v>
      </c>
      <c r="O538" s="85">
        <f t="shared" ref="O538:O540" si="2095">IF(L538="-",L538,M538*24)</f>
        <v>970.08000000000015</v>
      </c>
      <c r="P538" s="85">
        <f t="shared" ref="P538:P540" si="2096">IF(L538="-",L538,N538*24)</f>
        <v>760.07999999999993</v>
      </c>
      <c r="Q538" s="85">
        <f>'Consumer Hardware Pricing'!S548</f>
        <v>0</v>
      </c>
      <c r="R538" s="85">
        <f t="shared" ref="R538:R540" si="2097">G538</f>
        <v>72.09</v>
      </c>
      <c r="S538" s="85">
        <f>'Consumer Hardware Pricing'!T548</f>
        <v>13.75</v>
      </c>
      <c r="T538" s="129">
        <f t="shared" ref="T538:T540" si="2098">IF(S538="-",R538,R538-S538)</f>
        <v>58.34</v>
      </c>
      <c r="U538" s="129">
        <f t="shared" ref="U538:U540" si="2099">IF(S538="-",S538,S538*24)</f>
        <v>330</v>
      </c>
      <c r="V538" s="85">
        <f t="shared" ref="V538:V540" si="2100">IF(Q538="-",Q538,T538*24)</f>
        <v>1400.16</v>
      </c>
      <c r="W538" s="129">
        <f>'Consumer Hardware Pricing'!V548</f>
        <v>640</v>
      </c>
      <c r="X538" s="129">
        <f t="shared" ref="X538:X540" si="2101">IF(W538="-",W538,IF(S538="-",R538-ROUNDUP((D538-W538)/24,2),S538+R538-ROUNDUP((D538-W538)/24,2)))</f>
        <v>40.420000000000009</v>
      </c>
      <c r="Y538" s="129">
        <f t="shared" ref="Y538:Y540" si="2102">IF(W538="-",W538,R538-X538)</f>
        <v>31.669999999999995</v>
      </c>
      <c r="Z538" s="129">
        <f t="shared" ref="Z538:Z540" si="2103">IF(W538="-",W538,X538*24)</f>
        <v>970.08000000000015</v>
      </c>
      <c r="AA538" s="85">
        <f t="shared" ref="AA538:AA540" si="2104">IF(W538="-",W538,Y538*24)</f>
        <v>760.07999999999993</v>
      </c>
      <c r="AB538" s="85">
        <f>'Consumer Hardware Pricing'!X548</f>
        <v>0</v>
      </c>
      <c r="AC538" s="85">
        <f t="shared" si="2041"/>
        <v>72.09</v>
      </c>
      <c r="AD538" s="85">
        <f>'Consumer Hardware Pricing'!Y548</f>
        <v>32.42</v>
      </c>
      <c r="AE538" s="85">
        <f t="shared" ref="AE538:AE540" si="2105">IF(AD538="-",AC538,AC538-AD538)</f>
        <v>39.67</v>
      </c>
      <c r="AF538" s="85">
        <f t="shared" ref="AF538:AF540" si="2106">IF(AD538="-",AD538,AD538*24)</f>
        <v>778.08</v>
      </c>
      <c r="AG538" s="85">
        <f t="shared" ref="AG538:AG540" si="2107">IF(AB538="-",AB538,AE538*24)</f>
        <v>952.08</v>
      </c>
      <c r="AH538" s="85">
        <f>'Consumer Hardware Pricing'!AA548</f>
        <v>640</v>
      </c>
      <c r="AI538" s="85">
        <f t="shared" si="2042"/>
        <v>59.090000000000011</v>
      </c>
      <c r="AJ538" s="85">
        <f t="shared" ref="AJ538:AJ540" si="2108">IF(AH538="-",AH538,AC538-AI538)</f>
        <v>12.999999999999993</v>
      </c>
      <c r="AK538" s="85">
        <f t="shared" ref="AK538:AK540" si="2109">IF(AH538="-",AH538,AI538*24)</f>
        <v>1418.1600000000003</v>
      </c>
      <c r="AL538" s="85">
        <f t="shared" ref="AL538:AL540" si="2110">IF(AH538="-",AH538,AJ538*24)</f>
        <v>311.99999999999983</v>
      </c>
      <c r="AM538" s="85">
        <f>'Consumer Hardware Pricing'!AC548</f>
        <v>0</v>
      </c>
      <c r="AN538" s="85">
        <f t="shared" si="2043"/>
        <v>72.09</v>
      </c>
      <c r="AO538" s="85">
        <f>'Consumer Hardware Pricing'!AD548</f>
        <v>32.42</v>
      </c>
      <c r="AP538" s="85">
        <f t="shared" ref="AP538:AP540" si="2111">IF(AO538="-",AN538,AN538-AO538)</f>
        <v>39.67</v>
      </c>
      <c r="AQ538" s="85">
        <f t="shared" ref="AQ538:AQ540" si="2112">IF(AO538="-",AO538,AO538*24)</f>
        <v>778.08</v>
      </c>
      <c r="AR538" s="85">
        <f t="shared" ref="AR538:AR540" si="2113">IF(AM538="-",AM538,AP538*24)</f>
        <v>952.08</v>
      </c>
      <c r="AS538" s="85">
        <f>'Consumer Hardware Pricing'!AF548</f>
        <v>640</v>
      </c>
      <c r="AT538" s="85">
        <f t="shared" si="2044"/>
        <v>59.090000000000011</v>
      </c>
      <c r="AU538" s="85">
        <f t="shared" ref="AU538:AU540" si="2114">IF(AS538="-",AS538,AN538-AT538)</f>
        <v>12.999999999999993</v>
      </c>
      <c r="AV538" s="85">
        <f t="shared" ref="AV538:AV540" si="2115">IF(AS538="-",AS538,AT538*24)</f>
        <v>1418.1600000000003</v>
      </c>
      <c r="AW538" s="85">
        <f t="shared" ref="AW538:AW540" si="2116">IF(AS538="-",AS538,AU538*24)</f>
        <v>311.99999999999983</v>
      </c>
      <c r="AX538" s="85" t="str">
        <f>'Consumer Hardware Pricing'!AH548</f>
        <v>-</v>
      </c>
      <c r="AY538" s="85" t="str">
        <f t="shared" si="2045"/>
        <v>-</v>
      </c>
      <c r="AZ538" s="85" t="str">
        <f>'Consumer Hardware Pricing'!AI548</f>
        <v>-</v>
      </c>
      <c r="BA538" s="85" t="str">
        <f t="shared" ref="BA538:BA540" si="2117">IF(AZ538="-",AY538,AY538-AZ538)</f>
        <v>-</v>
      </c>
      <c r="BB538" s="85" t="str">
        <f t="shared" ref="BB538:BB540" si="2118">IF(AZ538="-",AZ538,AZ538*24)</f>
        <v>-</v>
      </c>
      <c r="BC538" s="85" t="str">
        <f t="shared" ref="BC538:BC540" si="2119">IF(AX538="-",AX538,AX538+(BA538*24))</f>
        <v>-</v>
      </c>
      <c r="BD538" s="85" t="str">
        <f>'Consumer Hardware Pricing'!AL548</f>
        <v>-</v>
      </c>
      <c r="BE538" s="85" t="str">
        <f t="shared" si="2046"/>
        <v>-</v>
      </c>
      <c r="BF538" s="85" t="str">
        <f>'Consumer Hardware Pricing'!AM548</f>
        <v>-</v>
      </c>
      <c r="BG538" s="85" t="str">
        <f t="shared" ref="BG538:BG540" si="2120">IF(BF538="-",BE538,BE538-BF538)</f>
        <v>-</v>
      </c>
      <c r="BH538" s="85" t="str">
        <f t="shared" ref="BH538:BH540" si="2121">IF(BF538="-",BF538,BF538*24)</f>
        <v>-</v>
      </c>
      <c r="BI538" s="85" t="str">
        <f t="shared" ref="BI538:BI540" si="2122">IF(BD538="-",BD538,BD538+(BG538*24))</f>
        <v>-</v>
      </c>
      <c r="BJ538" s="85" t="str">
        <f>'Consumer Hardware Pricing'!AP548</f>
        <v>-</v>
      </c>
      <c r="BK538" s="85" t="str">
        <f t="shared" si="2047"/>
        <v>-</v>
      </c>
      <c r="BL538" s="85" t="str">
        <f>'Consumer Hardware Pricing'!AQ548</f>
        <v>-</v>
      </c>
      <c r="BM538" s="85" t="str">
        <f t="shared" ref="BM538:BM540" si="2123">IF(BL538="-",BK538,BK538-BL538)</f>
        <v>-</v>
      </c>
      <c r="BN538" s="85" t="str">
        <f t="shared" ref="BN538:BN540" si="2124">IF(BL538="-",BL538,BL538*24)</f>
        <v>-</v>
      </c>
      <c r="BO538" s="85" t="str">
        <f t="shared" ref="BO538:BO540" si="2125">IF(BJ538="-",BJ538,BJ538+(BM538*24))</f>
        <v>-</v>
      </c>
      <c r="BP538" s="85" t="str">
        <f>'Consumer Hardware Pricing'!AT548</f>
        <v>-</v>
      </c>
      <c r="BQ538" s="85" t="str">
        <f t="shared" si="2048"/>
        <v>-</v>
      </c>
      <c r="BR538" s="85" t="str">
        <f>'Consumer Hardware Pricing'!AU548</f>
        <v>-</v>
      </c>
      <c r="BS538" s="85" t="str">
        <f t="shared" ref="BS538:BS540" si="2126">IF(BR538="-",BQ538,BQ538-BR538)</f>
        <v>-</v>
      </c>
      <c r="BT538" s="85" t="str">
        <f t="shared" ref="BT538:BT540" si="2127">IF(BR538="-",BR538,BR538*24)</f>
        <v>-</v>
      </c>
      <c r="BU538" s="85" t="str">
        <f t="shared" ref="BU538:BU540" si="2128">IF(BP538="-",BP538,BP538+(BS538*24))</f>
        <v>-</v>
      </c>
    </row>
    <row r="539" spans="1:73" ht="30.45" customHeight="1" x14ac:dyDescent="0.25">
      <c r="A539" s="87" t="s">
        <v>34</v>
      </c>
      <c r="B539" s="88" t="s">
        <v>1211</v>
      </c>
      <c r="C539" s="88" t="s">
        <v>1205</v>
      </c>
      <c r="D539" s="85">
        <f>'Consumer Hardware Pricing'!L549</f>
        <v>1730</v>
      </c>
      <c r="E539" s="85">
        <f>'Consumer Hardware Pricing'!M549</f>
        <v>1730</v>
      </c>
      <c r="F539" s="85">
        <f>'Consumer Hardware Pricing'!N549</f>
        <v>0</v>
      </c>
      <c r="G539" s="85">
        <f t="shared" si="2089"/>
        <v>72.09</v>
      </c>
      <c r="H539" s="85">
        <f>'Consumer Hardware Pricing'!O549</f>
        <v>13.75</v>
      </c>
      <c r="I539" s="85">
        <f t="shared" si="2090"/>
        <v>58.34</v>
      </c>
      <c r="J539" s="85">
        <f t="shared" si="2091"/>
        <v>330</v>
      </c>
      <c r="K539" s="85">
        <f t="shared" si="2092"/>
        <v>1400.16</v>
      </c>
      <c r="L539" s="85">
        <f>'Consumer Hardware Pricing'!Q549</f>
        <v>640</v>
      </c>
      <c r="M539" s="85">
        <f t="shared" si="2093"/>
        <v>40.420000000000009</v>
      </c>
      <c r="N539" s="85">
        <f t="shared" si="2094"/>
        <v>31.669999999999995</v>
      </c>
      <c r="O539" s="85">
        <f t="shared" si="2095"/>
        <v>970.08000000000015</v>
      </c>
      <c r="P539" s="85">
        <f t="shared" si="2096"/>
        <v>760.07999999999993</v>
      </c>
      <c r="Q539" s="85">
        <f>'Consumer Hardware Pricing'!S549</f>
        <v>0</v>
      </c>
      <c r="R539" s="85">
        <f t="shared" si="2097"/>
        <v>72.09</v>
      </c>
      <c r="S539" s="85">
        <f>'Consumer Hardware Pricing'!T549</f>
        <v>13.75</v>
      </c>
      <c r="T539" s="129">
        <f t="shared" si="2098"/>
        <v>58.34</v>
      </c>
      <c r="U539" s="129">
        <f t="shared" si="2099"/>
        <v>330</v>
      </c>
      <c r="V539" s="85">
        <f t="shared" si="2100"/>
        <v>1400.16</v>
      </c>
      <c r="W539" s="129">
        <f>'Consumer Hardware Pricing'!V549</f>
        <v>640</v>
      </c>
      <c r="X539" s="129">
        <f t="shared" si="2101"/>
        <v>40.420000000000009</v>
      </c>
      <c r="Y539" s="129">
        <f t="shared" si="2102"/>
        <v>31.669999999999995</v>
      </c>
      <c r="Z539" s="129">
        <f t="shared" si="2103"/>
        <v>970.08000000000015</v>
      </c>
      <c r="AA539" s="85">
        <f t="shared" si="2104"/>
        <v>760.07999999999993</v>
      </c>
      <c r="AB539" s="85">
        <f>'Consumer Hardware Pricing'!X549</f>
        <v>0</v>
      </c>
      <c r="AC539" s="85">
        <f t="shared" si="2041"/>
        <v>72.09</v>
      </c>
      <c r="AD539" s="85">
        <f>'Consumer Hardware Pricing'!Y549</f>
        <v>32.42</v>
      </c>
      <c r="AE539" s="85">
        <f t="shared" si="2105"/>
        <v>39.67</v>
      </c>
      <c r="AF539" s="85">
        <f t="shared" si="2106"/>
        <v>778.08</v>
      </c>
      <c r="AG539" s="85">
        <f t="shared" si="2107"/>
        <v>952.08</v>
      </c>
      <c r="AH539" s="85">
        <f>'Consumer Hardware Pricing'!AA549</f>
        <v>640</v>
      </c>
      <c r="AI539" s="85">
        <f t="shared" si="2042"/>
        <v>59.090000000000011</v>
      </c>
      <c r="AJ539" s="85">
        <f t="shared" si="2108"/>
        <v>12.999999999999993</v>
      </c>
      <c r="AK539" s="85">
        <f t="shared" si="2109"/>
        <v>1418.1600000000003</v>
      </c>
      <c r="AL539" s="85">
        <f t="shared" si="2110"/>
        <v>311.99999999999983</v>
      </c>
      <c r="AM539" s="85">
        <f>'Consumer Hardware Pricing'!AC549</f>
        <v>0</v>
      </c>
      <c r="AN539" s="85">
        <f t="shared" si="2043"/>
        <v>72.09</v>
      </c>
      <c r="AO539" s="85">
        <f>'Consumer Hardware Pricing'!AD549</f>
        <v>32.42</v>
      </c>
      <c r="AP539" s="85">
        <f t="shared" si="2111"/>
        <v>39.67</v>
      </c>
      <c r="AQ539" s="85">
        <f t="shared" si="2112"/>
        <v>778.08</v>
      </c>
      <c r="AR539" s="85">
        <f t="shared" si="2113"/>
        <v>952.08</v>
      </c>
      <c r="AS539" s="85">
        <f>'Consumer Hardware Pricing'!AF549</f>
        <v>640</v>
      </c>
      <c r="AT539" s="85">
        <f t="shared" si="2044"/>
        <v>59.090000000000011</v>
      </c>
      <c r="AU539" s="85">
        <f t="shared" si="2114"/>
        <v>12.999999999999993</v>
      </c>
      <c r="AV539" s="85">
        <f t="shared" si="2115"/>
        <v>1418.1600000000003</v>
      </c>
      <c r="AW539" s="85">
        <f t="shared" si="2116"/>
        <v>311.99999999999983</v>
      </c>
      <c r="AX539" s="85" t="str">
        <f>'Consumer Hardware Pricing'!AH549</f>
        <v>-</v>
      </c>
      <c r="AY539" s="85" t="str">
        <f t="shared" si="2045"/>
        <v>-</v>
      </c>
      <c r="AZ539" s="85" t="str">
        <f>'Consumer Hardware Pricing'!AI549</f>
        <v>-</v>
      </c>
      <c r="BA539" s="85" t="str">
        <f t="shared" si="2117"/>
        <v>-</v>
      </c>
      <c r="BB539" s="85" t="str">
        <f t="shared" si="2118"/>
        <v>-</v>
      </c>
      <c r="BC539" s="85" t="str">
        <f t="shared" si="2119"/>
        <v>-</v>
      </c>
      <c r="BD539" s="85" t="str">
        <f>'Consumer Hardware Pricing'!AL549</f>
        <v>-</v>
      </c>
      <c r="BE539" s="85" t="str">
        <f t="shared" si="2046"/>
        <v>-</v>
      </c>
      <c r="BF539" s="85" t="str">
        <f>'Consumer Hardware Pricing'!AM549</f>
        <v>-</v>
      </c>
      <c r="BG539" s="85" t="str">
        <f t="shared" si="2120"/>
        <v>-</v>
      </c>
      <c r="BH539" s="85" t="str">
        <f t="shared" si="2121"/>
        <v>-</v>
      </c>
      <c r="BI539" s="85" t="str">
        <f t="shared" si="2122"/>
        <v>-</v>
      </c>
      <c r="BJ539" s="85" t="str">
        <f>'Consumer Hardware Pricing'!AP549</f>
        <v>-</v>
      </c>
      <c r="BK539" s="85" t="str">
        <f t="shared" si="2047"/>
        <v>-</v>
      </c>
      <c r="BL539" s="85" t="str">
        <f>'Consumer Hardware Pricing'!AQ549</f>
        <v>-</v>
      </c>
      <c r="BM539" s="85" t="str">
        <f t="shared" si="2123"/>
        <v>-</v>
      </c>
      <c r="BN539" s="85" t="str">
        <f t="shared" si="2124"/>
        <v>-</v>
      </c>
      <c r="BO539" s="85" t="str">
        <f t="shared" si="2125"/>
        <v>-</v>
      </c>
      <c r="BP539" s="85" t="str">
        <f>'Consumer Hardware Pricing'!AT549</f>
        <v>-</v>
      </c>
      <c r="BQ539" s="85" t="str">
        <f t="shared" si="2048"/>
        <v>-</v>
      </c>
      <c r="BR539" s="85" t="str">
        <f>'Consumer Hardware Pricing'!AU549</f>
        <v>-</v>
      </c>
      <c r="BS539" s="85" t="str">
        <f t="shared" si="2126"/>
        <v>-</v>
      </c>
      <c r="BT539" s="85" t="str">
        <f t="shared" si="2127"/>
        <v>-</v>
      </c>
      <c r="BU539" s="85" t="str">
        <f t="shared" si="2128"/>
        <v>-</v>
      </c>
    </row>
    <row r="540" spans="1:73" ht="30.45" customHeight="1" x14ac:dyDescent="0.25">
      <c r="A540" s="87" t="s">
        <v>34</v>
      </c>
      <c r="B540" s="88" t="s">
        <v>1212</v>
      </c>
      <c r="C540" s="88" t="s">
        <v>1205</v>
      </c>
      <c r="D540" s="85">
        <f>'Consumer Hardware Pricing'!L550</f>
        <v>1730</v>
      </c>
      <c r="E540" s="85">
        <f>'Consumer Hardware Pricing'!M550</f>
        <v>1730</v>
      </c>
      <c r="F540" s="85">
        <f>'Consumer Hardware Pricing'!N550</f>
        <v>0</v>
      </c>
      <c r="G540" s="85">
        <f t="shared" si="2089"/>
        <v>72.09</v>
      </c>
      <c r="H540" s="85">
        <f>'Consumer Hardware Pricing'!O550</f>
        <v>13.75</v>
      </c>
      <c r="I540" s="85">
        <f t="shared" si="2090"/>
        <v>58.34</v>
      </c>
      <c r="J540" s="85">
        <f t="shared" si="2091"/>
        <v>330</v>
      </c>
      <c r="K540" s="85">
        <f t="shared" si="2092"/>
        <v>1400.16</v>
      </c>
      <c r="L540" s="85">
        <f>'Consumer Hardware Pricing'!Q550</f>
        <v>640</v>
      </c>
      <c r="M540" s="85">
        <f t="shared" si="2093"/>
        <v>40.420000000000009</v>
      </c>
      <c r="N540" s="85">
        <f t="shared" si="2094"/>
        <v>31.669999999999995</v>
      </c>
      <c r="O540" s="85">
        <f t="shared" si="2095"/>
        <v>970.08000000000015</v>
      </c>
      <c r="P540" s="85">
        <f t="shared" si="2096"/>
        <v>760.07999999999993</v>
      </c>
      <c r="Q540" s="85">
        <f>'Consumer Hardware Pricing'!S550</f>
        <v>0</v>
      </c>
      <c r="R540" s="85">
        <f t="shared" si="2097"/>
        <v>72.09</v>
      </c>
      <c r="S540" s="85">
        <f>'Consumer Hardware Pricing'!T550</f>
        <v>13.75</v>
      </c>
      <c r="T540" s="129">
        <f t="shared" si="2098"/>
        <v>58.34</v>
      </c>
      <c r="U540" s="129">
        <f t="shared" si="2099"/>
        <v>330</v>
      </c>
      <c r="V540" s="85">
        <f t="shared" si="2100"/>
        <v>1400.16</v>
      </c>
      <c r="W540" s="129">
        <f>'Consumer Hardware Pricing'!V550</f>
        <v>640</v>
      </c>
      <c r="X540" s="129">
        <f t="shared" si="2101"/>
        <v>40.420000000000009</v>
      </c>
      <c r="Y540" s="129">
        <f t="shared" si="2102"/>
        <v>31.669999999999995</v>
      </c>
      <c r="Z540" s="129">
        <f t="shared" si="2103"/>
        <v>970.08000000000015</v>
      </c>
      <c r="AA540" s="85">
        <f t="shared" si="2104"/>
        <v>760.07999999999993</v>
      </c>
      <c r="AB540" s="85">
        <f>'Consumer Hardware Pricing'!X550</f>
        <v>0</v>
      </c>
      <c r="AC540" s="85">
        <f t="shared" si="2041"/>
        <v>72.09</v>
      </c>
      <c r="AD540" s="85">
        <f>'Consumer Hardware Pricing'!Y550</f>
        <v>32.42</v>
      </c>
      <c r="AE540" s="85">
        <f t="shared" si="2105"/>
        <v>39.67</v>
      </c>
      <c r="AF540" s="85">
        <f t="shared" si="2106"/>
        <v>778.08</v>
      </c>
      <c r="AG540" s="85">
        <f t="shared" si="2107"/>
        <v>952.08</v>
      </c>
      <c r="AH540" s="85">
        <f>'Consumer Hardware Pricing'!AA550</f>
        <v>640</v>
      </c>
      <c r="AI540" s="85">
        <f t="shared" si="2042"/>
        <v>59.090000000000011</v>
      </c>
      <c r="AJ540" s="85">
        <f t="shared" si="2108"/>
        <v>12.999999999999993</v>
      </c>
      <c r="AK540" s="85">
        <f t="shared" si="2109"/>
        <v>1418.1600000000003</v>
      </c>
      <c r="AL540" s="85">
        <f t="shared" si="2110"/>
        <v>311.99999999999983</v>
      </c>
      <c r="AM540" s="85">
        <f>'Consumer Hardware Pricing'!AC550</f>
        <v>0</v>
      </c>
      <c r="AN540" s="85">
        <f t="shared" si="2043"/>
        <v>72.09</v>
      </c>
      <c r="AO540" s="85">
        <f>'Consumer Hardware Pricing'!AD550</f>
        <v>32.42</v>
      </c>
      <c r="AP540" s="85">
        <f t="shared" si="2111"/>
        <v>39.67</v>
      </c>
      <c r="AQ540" s="85">
        <f t="shared" si="2112"/>
        <v>778.08</v>
      </c>
      <c r="AR540" s="85">
        <f t="shared" si="2113"/>
        <v>952.08</v>
      </c>
      <c r="AS540" s="85">
        <f>'Consumer Hardware Pricing'!AF550</f>
        <v>640</v>
      </c>
      <c r="AT540" s="85">
        <f t="shared" si="2044"/>
        <v>59.090000000000011</v>
      </c>
      <c r="AU540" s="85">
        <f t="shared" si="2114"/>
        <v>12.999999999999993</v>
      </c>
      <c r="AV540" s="85">
        <f t="shared" si="2115"/>
        <v>1418.1600000000003</v>
      </c>
      <c r="AW540" s="85">
        <f t="shared" si="2116"/>
        <v>311.99999999999983</v>
      </c>
      <c r="AX540" s="85" t="str">
        <f>'Consumer Hardware Pricing'!AH550</f>
        <v>-</v>
      </c>
      <c r="AY540" s="85" t="str">
        <f t="shared" si="2045"/>
        <v>-</v>
      </c>
      <c r="AZ540" s="85" t="str">
        <f>'Consumer Hardware Pricing'!AI550</f>
        <v>-</v>
      </c>
      <c r="BA540" s="85" t="str">
        <f t="shared" si="2117"/>
        <v>-</v>
      </c>
      <c r="BB540" s="85" t="str">
        <f t="shared" si="2118"/>
        <v>-</v>
      </c>
      <c r="BC540" s="85" t="str">
        <f t="shared" si="2119"/>
        <v>-</v>
      </c>
      <c r="BD540" s="85" t="str">
        <f>'Consumer Hardware Pricing'!AL550</f>
        <v>-</v>
      </c>
      <c r="BE540" s="85" t="str">
        <f t="shared" si="2046"/>
        <v>-</v>
      </c>
      <c r="BF540" s="85" t="str">
        <f>'Consumer Hardware Pricing'!AM550</f>
        <v>-</v>
      </c>
      <c r="BG540" s="85" t="str">
        <f t="shared" si="2120"/>
        <v>-</v>
      </c>
      <c r="BH540" s="85" t="str">
        <f t="shared" si="2121"/>
        <v>-</v>
      </c>
      <c r="BI540" s="85" t="str">
        <f t="shared" si="2122"/>
        <v>-</v>
      </c>
      <c r="BJ540" s="85" t="str">
        <f>'Consumer Hardware Pricing'!AP550</f>
        <v>-</v>
      </c>
      <c r="BK540" s="85" t="str">
        <f t="shared" si="2047"/>
        <v>-</v>
      </c>
      <c r="BL540" s="85" t="str">
        <f>'Consumer Hardware Pricing'!AQ550</f>
        <v>-</v>
      </c>
      <c r="BM540" s="85" t="str">
        <f t="shared" si="2123"/>
        <v>-</v>
      </c>
      <c r="BN540" s="85" t="str">
        <f t="shared" si="2124"/>
        <v>-</v>
      </c>
      <c r="BO540" s="85" t="str">
        <f t="shared" si="2125"/>
        <v>-</v>
      </c>
      <c r="BP540" s="85" t="str">
        <f>'Consumer Hardware Pricing'!AT550</f>
        <v>-</v>
      </c>
      <c r="BQ540" s="85" t="str">
        <f t="shared" si="2048"/>
        <v>-</v>
      </c>
      <c r="BR540" s="85" t="str">
        <f>'Consumer Hardware Pricing'!AU550</f>
        <v>-</v>
      </c>
      <c r="BS540" s="85" t="str">
        <f t="shared" si="2126"/>
        <v>-</v>
      </c>
      <c r="BT540" s="85" t="str">
        <f t="shared" si="2127"/>
        <v>-</v>
      </c>
      <c r="BU540" s="85" t="str">
        <f t="shared" si="2128"/>
        <v>-</v>
      </c>
    </row>
    <row r="541" spans="1:73" ht="30.45" customHeight="1" x14ac:dyDescent="0.25">
      <c r="A541" s="87" t="s">
        <v>34</v>
      </c>
      <c r="B541" s="88" t="s">
        <v>1198</v>
      </c>
      <c r="C541" s="88" t="s">
        <v>1206</v>
      </c>
      <c r="D541" s="85">
        <f>'Consumer Hardware Pricing'!L551</f>
        <v>1820</v>
      </c>
      <c r="E541" s="85">
        <f>'Consumer Hardware Pricing'!M551</f>
        <v>1820</v>
      </c>
      <c r="F541" s="85">
        <f>'Consumer Hardware Pricing'!N551</f>
        <v>0</v>
      </c>
      <c r="G541" s="85">
        <f t="shared" si="2049"/>
        <v>75.84</v>
      </c>
      <c r="H541" s="85">
        <f>'Consumer Hardware Pricing'!O551</f>
        <v>14.59</v>
      </c>
      <c r="I541" s="85">
        <f t="shared" si="2050"/>
        <v>61.25</v>
      </c>
      <c r="J541" s="85">
        <f t="shared" si="2051"/>
        <v>350.15999999999997</v>
      </c>
      <c r="K541" s="85">
        <f t="shared" si="2052"/>
        <v>1470</v>
      </c>
      <c r="L541" s="85">
        <f>'Consumer Hardware Pricing'!Q551</f>
        <v>650</v>
      </c>
      <c r="M541" s="85">
        <f t="shared" si="2053"/>
        <v>41.680000000000007</v>
      </c>
      <c r="N541" s="85">
        <f t="shared" si="2054"/>
        <v>34.159999999999997</v>
      </c>
      <c r="O541" s="85">
        <f t="shared" si="2055"/>
        <v>1000.3200000000002</v>
      </c>
      <c r="P541" s="85">
        <f t="shared" si="2056"/>
        <v>819.83999999999992</v>
      </c>
      <c r="Q541" s="85">
        <f>'Consumer Hardware Pricing'!S551</f>
        <v>0</v>
      </c>
      <c r="R541" s="85">
        <f t="shared" si="2057"/>
        <v>75.84</v>
      </c>
      <c r="S541" s="85">
        <f>'Consumer Hardware Pricing'!T551</f>
        <v>14.59</v>
      </c>
      <c r="T541" s="129">
        <f t="shared" si="2058"/>
        <v>61.25</v>
      </c>
      <c r="U541" s="129">
        <f t="shared" si="2059"/>
        <v>350.15999999999997</v>
      </c>
      <c r="V541" s="85">
        <f t="shared" si="2060"/>
        <v>1470</v>
      </c>
      <c r="W541" s="129">
        <f>'Consumer Hardware Pricing'!V551</f>
        <v>650</v>
      </c>
      <c r="X541" s="129">
        <f t="shared" si="2061"/>
        <v>41.680000000000007</v>
      </c>
      <c r="Y541" s="129">
        <f t="shared" si="2062"/>
        <v>34.159999999999997</v>
      </c>
      <c r="Z541" s="129">
        <f t="shared" si="2063"/>
        <v>1000.3200000000002</v>
      </c>
      <c r="AA541" s="85">
        <f t="shared" si="2064"/>
        <v>819.83999999999992</v>
      </c>
      <c r="AB541" s="85">
        <f>'Consumer Hardware Pricing'!X551</f>
        <v>0</v>
      </c>
      <c r="AC541" s="85">
        <f t="shared" si="2041"/>
        <v>75.84</v>
      </c>
      <c r="AD541" s="85">
        <f>'Consumer Hardware Pricing'!Y551</f>
        <v>32.42</v>
      </c>
      <c r="AE541" s="85">
        <f t="shared" si="2065"/>
        <v>43.42</v>
      </c>
      <c r="AF541" s="85">
        <f t="shared" si="2066"/>
        <v>778.08</v>
      </c>
      <c r="AG541" s="85">
        <f t="shared" si="2067"/>
        <v>1042.08</v>
      </c>
      <c r="AH541" s="85">
        <f>'Consumer Hardware Pricing'!AA551</f>
        <v>650</v>
      </c>
      <c r="AI541" s="85">
        <f t="shared" si="2042"/>
        <v>59.510000000000005</v>
      </c>
      <c r="AJ541" s="85">
        <f t="shared" si="2068"/>
        <v>16.329999999999998</v>
      </c>
      <c r="AK541" s="85">
        <f t="shared" si="2069"/>
        <v>1428.2400000000002</v>
      </c>
      <c r="AL541" s="85">
        <f t="shared" si="2070"/>
        <v>391.91999999999996</v>
      </c>
      <c r="AM541" s="85">
        <f>'Consumer Hardware Pricing'!AC551</f>
        <v>0</v>
      </c>
      <c r="AN541" s="85">
        <f t="shared" si="2043"/>
        <v>75.84</v>
      </c>
      <c r="AO541" s="85">
        <f>'Consumer Hardware Pricing'!AD551</f>
        <v>32.42</v>
      </c>
      <c r="AP541" s="85">
        <f t="shared" si="2071"/>
        <v>43.42</v>
      </c>
      <c r="AQ541" s="85">
        <f t="shared" si="2072"/>
        <v>778.08</v>
      </c>
      <c r="AR541" s="85">
        <f t="shared" si="2073"/>
        <v>1042.08</v>
      </c>
      <c r="AS541" s="85">
        <f>'Consumer Hardware Pricing'!AF551</f>
        <v>650</v>
      </c>
      <c r="AT541" s="85">
        <f t="shared" si="2044"/>
        <v>59.510000000000005</v>
      </c>
      <c r="AU541" s="85">
        <f t="shared" si="2074"/>
        <v>16.329999999999998</v>
      </c>
      <c r="AV541" s="85">
        <f t="shared" si="2075"/>
        <v>1428.2400000000002</v>
      </c>
      <c r="AW541" s="85">
        <f t="shared" si="2076"/>
        <v>391.91999999999996</v>
      </c>
      <c r="AX541" s="85" t="str">
        <f>'Consumer Hardware Pricing'!AH551</f>
        <v>-</v>
      </c>
      <c r="AY541" s="85" t="str">
        <f t="shared" si="2045"/>
        <v>-</v>
      </c>
      <c r="AZ541" s="85" t="str">
        <f>'Consumer Hardware Pricing'!AI551</f>
        <v>-</v>
      </c>
      <c r="BA541" s="85" t="str">
        <f t="shared" si="2077"/>
        <v>-</v>
      </c>
      <c r="BB541" s="85" t="str">
        <f t="shared" si="2078"/>
        <v>-</v>
      </c>
      <c r="BC541" s="85" t="str">
        <f t="shared" si="2079"/>
        <v>-</v>
      </c>
      <c r="BD541" s="85" t="str">
        <f>'Consumer Hardware Pricing'!AL551</f>
        <v>-</v>
      </c>
      <c r="BE541" s="85" t="str">
        <f t="shared" si="2046"/>
        <v>-</v>
      </c>
      <c r="BF541" s="85" t="str">
        <f>'Consumer Hardware Pricing'!AM551</f>
        <v>-</v>
      </c>
      <c r="BG541" s="85" t="str">
        <f t="shared" si="2080"/>
        <v>-</v>
      </c>
      <c r="BH541" s="85" t="str">
        <f t="shared" si="2081"/>
        <v>-</v>
      </c>
      <c r="BI541" s="85" t="str">
        <f t="shared" si="2082"/>
        <v>-</v>
      </c>
      <c r="BJ541" s="85" t="str">
        <f>'Consumer Hardware Pricing'!AP551</f>
        <v>-</v>
      </c>
      <c r="BK541" s="85" t="str">
        <f t="shared" si="2047"/>
        <v>-</v>
      </c>
      <c r="BL541" s="85" t="str">
        <f>'Consumer Hardware Pricing'!AQ551</f>
        <v>-</v>
      </c>
      <c r="BM541" s="85" t="str">
        <f t="shared" si="2083"/>
        <v>-</v>
      </c>
      <c r="BN541" s="85" t="str">
        <f t="shared" si="2084"/>
        <v>-</v>
      </c>
      <c r="BO541" s="85" t="str">
        <f t="shared" si="2085"/>
        <v>-</v>
      </c>
      <c r="BP541" s="85" t="str">
        <f>'Consumer Hardware Pricing'!AT551</f>
        <v>-</v>
      </c>
      <c r="BQ541" s="85" t="str">
        <f t="shared" si="2048"/>
        <v>-</v>
      </c>
      <c r="BR541" s="85" t="str">
        <f>'Consumer Hardware Pricing'!AU551</f>
        <v>-</v>
      </c>
      <c r="BS541" s="85" t="str">
        <f t="shared" si="2086"/>
        <v>-</v>
      </c>
      <c r="BT541" s="85" t="str">
        <f t="shared" si="2087"/>
        <v>-</v>
      </c>
      <c r="BU541" s="85" t="str">
        <f t="shared" si="2088"/>
        <v>-</v>
      </c>
    </row>
    <row r="542" spans="1:73" ht="30.45" customHeight="1" x14ac:dyDescent="0.25">
      <c r="A542" s="87" t="s">
        <v>34</v>
      </c>
      <c r="B542" s="88" t="s">
        <v>1213</v>
      </c>
      <c r="C542" s="88" t="s">
        <v>1206</v>
      </c>
      <c r="D542" s="85">
        <f>'Consumer Hardware Pricing'!L552</f>
        <v>1820</v>
      </c>
      <c r="E542" s="85">
        <f>'Consumer Hardware Pricing'!M552</f>
        <v>1820</v>
      </c>
      <c r="F542" s="85">
        <f>'Consumer Hardware Pricing'!N552</f>
        <v>0</v>
      </c>
      <c r="G542" s="85">
        <f t="shared" ref="G542:G544" si="2129">IF(F542="-","-",ROUNDUP(D542/24,2))</f>
        <v>75.84</v>
      </c>
      <c r="H542" s="85">
        <f>'Consumer Hardware Pricing'!O552</f>
        <v>14.59</v>
      </c>
      <c r="I542" s="85">
        <f t="shared" ref="I542:I544" si="2130">IF(H542="-",G542,G542-H542)</f>
        <v>61.25</v>
      </c>
      <c r="J542" s="85">
        <f t="shared" ref="J542:J544" si="2131">IF(H542="-",H542,H542*24)</f>
        <v>350.15999999999997</v>
      </c>
      <c r="K542" s="85">
        <f t="shared" ref="K542:K544" si="2132">IF(F542="-",F542,I542*24)</f>
        <v>1470</v>
      </c>
      <c r="L542" s="85">
        <f>'Consumer Hardware Pricing'!Q552</f>
        <v>650</v>
      </c>
      <c r="M542" s="85">
        <f t="shared" ref="M542:M544" si="2133">IF(L542="-",L542,IF(H542="-",G542-ROUNDUP((D542-L542)/24,2),H542+G542-ROUNDUP((D542-L542)/24,2)))</f>
        <v>41.680000000000007</v>
      </c>
      <c r="N542" s="85">
        <f t="shared" ref="N542:N544" si="2134">IF(L542="-",L542,G542-M542)</f>
        <v>34.159999999999997</v>
      </c>
      <c r="O542" s="85">
        <f t="shared" ref="O542:O544" si="2135">IF(L542="-",L542,M542*24)</f>
        <v>1000.3200000000002</v>
      </c>
      <c r="P542" s="85">
        <f t="shared" ref="P542:P544" si="2136">IF(L542="-",L542,N542*24)</f>
        <v>819.83999999999992</v>
      </c>
      <c r="Q542" s="85">
        <f>'Consumer Hardware Pricing'!S552</f>
        <v>0</v>
      </c>
      <c r="R542" s="85">
        <f t="shared" ref="R542:R544" si="2137">G542</f>
        <v>75.84</v>
      </c>
      <c r="S542" s="85">
        <f>'Consumer Hardware Pricing'!T552</f>
        <v>14.59</v>
      </c>
      <c r="T542" s="129">
        <f t="shared" ref="T542:T544" si="2138">IF(S542="-",R542,R542-S542)</f>
        <v>61.25</v>
      </c>
      <c r="U542" s="129">
        <f t="shared" ref="U542:U544" si="2139">IF(S542="-",S542,S542*24)</f>
        <v>350.15999999999997</v>
      </c>
      <c r="V542" s="85">
        <f t="shared" ref="V542:V544" si="2140">IF(Q542="-",Q542,T542*24)</f>
        <v>1470</v>
      </c>
      <c r="W542" s="129">
        <f>'Consumer Hardware Pricing'!V552</f>
        <v>650</v>
      </c>
      <c r="X542" s="129">
        <f t="shared" ref="X542:X544" si="2141">IF(W542="-",W542,IF(S542="-",R542-ROUNDUP((D542-W542)/24,2),S542+R542-ROUNDUP((D542-W542)/24,2)))</f>
        <v>41.680000000000007</v>
      </c>
      <c r="Y542" s="129">
        <f t="shared" ref="Y542:Y544" si="2142">IF(W542="-",W542,R542-X542)</f>
        <v>34.159999999999997</v>
      </c>
      <c r="Z542" s="129">
        <f t="shared" ref="Z542:Z544" si="2143">IF(W542="-",W542,X542*24)</f>
        <v>1000.3200000000002</v>
      </c>
      <c r="AA542" s="85">
        <f t="shared" ref="AA542:AA544" si="2144">IF(W542="-",W542,Y542*24)</f>
        <v>819.83999999999992</v>
      </c>
      <c r="AB542" s="85">
        <f>'Consumer Hardware Pricing'!X552</f>
        <v>0</v>
      </c>
      <c r="AC542" s="85">
        <f t="shared" si="2041"/>
        <v>75.84</v>
      </c>
      <c r="AD542" s="85">
        <f>'Consumer Hardware Pricing'!Y552</f>
        <v>32.42</v>
      </c>
      <c r="AE542" s="85">
        <f t="shared" ref="AE542:AE544" si="2145">IF(AD542="-",AC542,AC542-AD542)</f>
        <v>43.42</v>
      </c>
      <c r="AF542" s="85">
        <f t="shared" ref="AF542:AF544" si="2146">IF(AD542="-",AD542,AD542*24)</f>
        <v>778.08</v>
      </c>
      <c r="AG542" s="85">
        <f t="shared" ref="AG542:AG544" si="2147">IF(AB542="-",AB542,AE542*24)</f>
        <v>1042.08</v>
      </c>
      <c r="AH542" s="85">
        <f>'Consumer Hardware Pricing'!AA552</f>
        <v>650</v>
      </c>
      <c r="AI542" s="85">
        <f t="shared" si="2042"/>
        <v>59.510000000000005</v>
      </c>
      <c r="AJ542" s="85">
        <f t="shared" ref="AJ542:AJ544" si="2148">IF(AH542="-",AH542,AC542-AI542)</f>
        <v>16.329999999999998</v>
      </c>
      <c r="AK542" s="85">
        <f t="shared" ref="AK542:AK544" si="2149">IF(AH542="-",AH542,AI542*24)</f>
        <v>1428.2400000000002</v>
      </c>
      <c r="AL542" s="85">
        <f t="shared" ref="AL542:AL544" si="2150">IF(AH542="-",AH542,AJ542*24)</f>
        <v>391.91999999999996</v>
      </c>
      <c r="AM542" s="85">
        <f>'Consumer Hardware Pricing'!AC552</f>
        <v>0</v>
      </c>
      <c r="AN542" s="85">
        <f t="shared" si="2043"/>
        <v>75.84</v>
      </c>
      <c r="AO542" s="85">
        <f>'Consumer Hardware Pricing'!AD552</f>
        <v>32.42</v>
      </c>
      <c r="AP542" s="85">
        <f t="shared" ref="AP542:AP544" si="2151">IF(AO542="-",AN542,AN542-AO542)</f>
        <v>43.42</v>
      </c>
      <c r="AQ542" s="85">
        <f t="shared" ref="AQ542:AQ544" si="2152">IF(AO542="-",AO542,AO542*24)</f>
        <v>778.08</v>
      </c>
      <c r="AR542" s="85">
        <f t="shared" ref="AR542:AR544" si="2153">IF(AM542="-",AM542,AP542*24)</f>
        <v>1042.08</v>
      </c>
      <c r="AS542" s="85">
        <f>'Consumer Hardware Pricing'!AF552</f>
        <v>650</v>
      </c>
      <c r="AT542" s="85">
        <f t="shared" si="2044"/>
        <v>59.510000000000005</v>
      </c>
      <c r="AU542" s="85">
        <f t="shared" ref="AU542:AU544" si="2154">IF(AS542="-",AS542,AN542-AT542)</f>
        <v>16.329999999999998</v>
      </c>
      <c r="AV542" s="85">
        <f t="shared" ref="AV542:AV544" si="2155">IF(AS542="-",AS542,AT542*24)</f>
        <v>1428.2400000000002</v>
      </c>
      <c r="AW542" s="85">
        <f t="shared" ref="AW542:AW544" si="2156">IF(AS542="-",AS542,AU542*24)</f>
        <v>391.91999999999996</v>
      </c>
      <c r="AX542" s="85" t="str">
        <f>'Consumer Hardware Pricing'!AH552</f>
        <v>-</v>
      </c>
      <c r="AY542" s="85" t="str">
        <f t="shared" si="2045"/>
        <v>-</v>
      </c>
      <c r="AZ542" s="85" t="str">
        <f>'Consumer Hardware Pricing'!AI552</f>
        <v>-</v>
      </c>
      <c r="BA542" s="85" t="str">
        <f t="shared" ref="BA542:BA544" si="2157">IF(AZ542="-",AY542,AY542-AZ542)</f>
        <v>-</v>
      </c>
      <c r="BB542" s="85" t="str">
        <f t="shared" ref="BB542:BB544" si="2158">IF(AZ542="-",AZ542,AZ542*24)</f>
        <v>-</v>
      </c>
      <c r="BC542" s="85" t="str">
        <f t="shared" ref="BC542:BC544" si="2159">IF(AX542="-",AX542,AX542+(BA542*24))</f>
        <v>-</v>
      </c>
      <c r="BD542" s="85" t="str">
        <f>'Consumer Hardware Pricing'!AL552</f>
        <v>-</v>
      </c>
      <c r="BE542" s="85" t="str">
        <f t="shared" si="2046"/>
        <v>-</v>
      </c>
      <c r="BF542" s="85" t="str">
        <f>'Consumer Hardware Pricing'!AM552</f>
        <v>-</v>
      </c>
      <c r="BG542" s="85" t="str">
        <f t="shared" ref="BG542:BG544" si="2160">IF(BF542="-",BE542,BE542-BF542)</f>
        <v>-</v>
      </c>
      <c r="BH542" s="85" t="str">
        <f t="shared" ref="BH542:BH544" si="2161">IF(BF542="-",BF542,BF542*24)</f>
        <v>-</v>
      </c>
      <c r="BI542" s="85" t="str">
        <f t="shared" ref="BI542:BI544" si="2162">IF(BD542="-",BD542,BD542+(BG542*24))</f>
        <v>-</v>
      </c>
      <c r="BJ542" s="85" t="str">
        <f>'Consumer Hardware Pricing'!AP552</f>
        <v>-</v>
      </c>
      <c r="BK542" s="85" t="str">
        <f t="shared" si="2047"/>
        <v>-</v>
      </c>
      <c r="BL542" s="85" t="str">
        <f>'Consumer Hardware Pricing'!AQ552</f>
        <v>-</v>
      </c>
      <c r="BM542" s="85" t="str">
        <f t="shared" ref="BM542:BM544" si="2163">IF(BL542="-",BK542,BK542-BL542)</f>
        <v>-</v>
      </c>
      <c r="BN542" s="85" t="str">
        <f t="shared" ref="BN542:BN544" si="2164">IF(BL542="-",BL542,BL542*24)</f>
        <v>-</v>
      </c>
      <c r="BO542" s="85" t="str">
        <f t="shared" ref="BO542:BO544" si="2165">IF(BJ542="-",BJ542,BJ542+(BM542*24))</f>
        <v>-</v>
      </c>
      <c r="BP542" s="85" t="str">
        <f>'Consumer Hardware Pricing'!AT552</f>
        <v>-</v>
      </c>
      <c r="BQ542" s="85" t="str">
        <f t="shared" si="2048"/>
        <v>-</v>
      </c>
      <c r="BR542" s="85" t="str">
        <f>'Consumer Hardware Pricing'!AU552</f>
        <v>-</v>
      </c>
      <c r="BS542" s="85" t="str">
        <f t="shared" ref="BS542:BS544" si="2166">IF(BR542="-",BQ542,BQ542-BR542)</f>
        <v>-</v>
      </c>
      <c r="BT542" s="85" t="str">
        <f t="shared" ref="BT542:BT544" si="2167">IF(BR542="-",BR542,BR542*24)</f>
        <v>-</v>
      </c>
      <c r="BU542" s="85" t="str">
        <f t="shared" ref="BU542:BU544" si="2168">IF(BP542="-",BP542,BP542+(BS542*24))</f>
        <v>-</v>
      </c>
    </row>
    <row r="543" spans="1:73" ht="30.45" customHeight="1" x14ac:dyDescent="0.25">
      <c r="A543" s="87" t="s">
        <v>34</v>
      </c>
      <c r="B543" s="88" t="s">
        <v>1214</v>
      </c>
      <c r="C543" s="88" t="s">
        <v>1206</v>
      </c>
      <c r="D543" s="85">
        <f>'Consumer Hardware Pricing'!L553</f>
        <v>1820</v>
      </c>
      <c r="E543" s="85">
        <f>'Consumer Hardware Pricing'!M553</f>
        <v>1820</v>
      </c>
      <c r="F543" s="85">
        <f>'Consumer Hardware Pricing'!N553</f>
        <v>0</v>
      </c>
      <c r="G543" s="85">
        <f t="shared" si="2129"/>
        <v>75.84</v>
      </c>
      <c r="H543" s="85">
        <f>'Consumer Hardware Pricing'!O553</f>
        <v>14.59</v>
      </c>
      <c r="I543" s="85">
        <f t="shared" si="2130"/>
        <v>61.25</v>
      </c>
      <c r="J543" s="85">
        <f t="shared" si="2131"/>
        <v>350.15999999999997</v>
      </c>
      <c r="K543" s="85">
        <f t="shared" si="2132"/>
        <v>1470</v>
      </c>
      <c r="L543" s="85">
        <f>'Consumer Hardware Pricing'!Q553</f>
        <v>650</v>
      </c>
      <c r="M543" s="85">
        <f t="shared" si="2133"/>
        <v>41.680000000000007</v>
      </c>
      <c r="N543" s="85">
        <f t="shared" si="2134"/>
        <v>34.159999999999997</v>
      </c>
      <c r="O543" s="85">
        <f t="shared" si="2135"/>
        <v>1000.3200000000002</v>
      </c>
      <c r="P543" s="85">
        <f t="shared" si="2136"/>
        <v>819.83999999999992</v>
      </c>
      <c r="Q543" s="85">
        <f>'Consumer Hardware Pricing'!S553</f>
        <v>0</v>
      </c>
      <c r="R543" s="85">
        <f t="shared" si="2137"/>
        <v>75.84</v>
      </c>
      <c r="S543" s="85">
        <f>'Consumer Hardware Pricing'!T553</f>
        <v>14.59</v>
      </c>
      <c r="T543" s="129">
        <f t="shared" si="2138"/>
        <v>61.25</v>
      </c>
      <c r="U543" s="129">
        <f t="shared" si="2139"/>
        <v>350.15999999999997</v>
      </c>
      <c r="V543" s="85">
        <f t="shared" si="2140"/>
        <v>1470</v>
      </c>
      <c r="W543" s="129">
        <f>'Consumer Hardware Pricing'!V553</f>
        <v>650</v>
      </c>
      <c r="X543" s="129">
        <f t="shared" si="2141"/>
        <v>41.680000000000007</v>
      </c>
      <c r="Y543" s="129">
        <f t="shared" si="2142"/>
        <v>34.159999999999997</v>
      </c>
      <c r="Z543" s="129">
        <f t="shared" si="2143"/>
        <v>1000.3200000000002</v>
      </c>
      <c r="AA543" s="85">
        <f t="shared" si="2144"/>
        <v>819.83999999999992</v>
      </c>
      <c r="AB543" s="85">
        <f>'Consumer Hardware Pricing'!X553</f>
        <v>0</v>
      </c>
      <c r="AC543" s="85">
        <f t="shared" si="2041"/>
        <v>75.84</v>
      </c>
      <c r="AD543" s="85">
        <f>'Consumer Hardware Pricing'!Y553</f>
        <v>32.42</v>
      </c>
      <c r="AE543" s="85">
        <f t="shared" si="2145"/>
        <v>43.42</v>
      </c>
      <c r="AF543" s="85">
        <f t="shared" si="2146"/>
        <v>778.08</v>
      </c>
      <c r="AG543" s="85">
        <f t="shared" si="2147"/>
        <v>1042.08</v>
      </c>
      <c r="AH543" s="85">
        <f>'Consumer Hardware Pricing'!AA553</f>
        <v>650</v>
      </c>
      <c r="AI543" s="85">
        <f t="shared" si="2042"/>
        <v>59.510000000000005</v>
      </c>
      <c r="AJ543" s="85">
        <f t="shared" si="2148"/>
        <v>16.329999999999998</v>
      </c>
      <c r="AK543" s="85">
        <f t="shared" si="2149"/>
        <v>1428.2400000000002</v>
      </c>
      <c r="AL543" s="85">
        <f t="shared" si="2150"/>
        <v>391.91999999999996</v>
      </c>
      <c r="AM543" s="85">
        <f>'Consumer Hardware Pricing'!AC553</f>
        <v>0</v>
      </c>
      <c r="AN543" s="85">
        <f t="shared" si="2043"/>
        <v>75.84</v>
      </c>
      <c r="AO543" s="85">
        <f>'Consumer Hardware Pricing'!AD553</f>
        <v>32.42</v>
      </c>
      <c r="AP543" s="85">
        <f t="shared" si="2151"/>
        <v>43.42</v>
      </c>
      <c r="AQ543" s="85">
        <f t="shared" si="2152"/>
        <v>778.08</v>
      </c>
      <c r="AR543" s="85">
        <f t="shared" si="2153"/>
        <v>1042.08</v>
      </c>
      <c r="AS543" s="85">
        <f>'Consumer Hardware Pricing'!AF553</f>
        <v>650</v>
      </c>
      <c r="AT543" s="85">
        <f t="shared" si="2044"/>
        <v>59.510000000000005</v>
      </c>
      <c r="AU543" s="85">
        <f t="shared" si="2154"/>
        <v>16.329999999999998</v>
      </c>
      <c r="AV543" s="85">
        <f t="shared" si="2155"/>
        <v>1428.2400000000002</v>
      </c>
      <c r="AW543" s="85">
        <f t="shared" si="2156"/>
        <v>391.91999999999996</v>
      </c>
      <c r="AX543" s="85" t="str">
        <f>'Consumer Hardware Pricing'!AH553</f>
        <v>-</v>
      </c>
      <c r="AY543" s="85" t="str">
        <f t="shared" si="2045"/>
        <v>-</v>
      </c>
      <c r="AZ543" s="85" t="str">
        <f>'Consumer Hardware Pricing'!AI553</f>
        <v>-</v>
      </c>
      <c r="BA543" s="85" t="str">
        <f t="shared" si="2157"/>
        <v>-</v>
      </c>
      <c r="BB543" s="85" t="str">
        <f t="shared" si="2158"/>
        <v>-</v>
      </c>
      <c r="BC543" s="85" t="str">
        <f t="shared" si="2159"/>
        <v>-</v>
      </c>
      <c r="BD543" s="85" t="str">
        <f>'Consumer Hardware Pricing'!AL553</f>
        <v>-</v>
      </c>
      <c r="BE543" s="85" t="str">
        <f t="shared" si="2046"/>
        <v>-</v>
      </c>
      <c r="BF543" s="85" t="str">
        <f>'Consumer Hardware Pricing'!AM553</f>
        <v>-</v>
      </c>
      <c r="BG543" s="85" t="str">
        <f t="shared" si="2160"/>
        <v>-</v>
      </c>
      <c r="BH543" s="85" t="str">
        <f t="shared" si="2161"/>
        <v>-</v>
      </c>
      <c r="BI543" s="85" t="str">
        <f t="shared" si="2162"/>
        <v>-</v>
      </c>
      <c r="BJ543" s="85" t="str">
        <f>'Consumer Hardware Pricing'!AP553</f>
        <v>-</v>
      </c>
      <c r="BK543" s="85" t="str">
        <f t="shared" si="2047"/>
        <v>-</v>
      </c>
      <c r="BL543" s="85" t="str">
        <f>'Consumer Hardware Pricing'!AQ553</f>
        <v>-</v>
      </c>
      <c r="BM543" s="85" t="str">
        <f t="shared" si="2163"/>
        <v>-</v>
      </c>
      <c r="BN543" s="85" t="str">
        <f t="shared" si="2164"/>
        <v>-</v>
      </c>
      <c r="BO543" s="85" t="str">
        <f t="shared" si="2165"/>
        <v>-</v>
      </c>
      <c r="BP543" s="85" t="str">
        <f>'Consumer Hardware Pricing'!AT553</f>
        <v>-</v>
      </c>
      <c r="BQ543" s="85" t="str">
        <f t="shared" si="2048"/>
        <v>-</v>
      </c>
      <c r="BR543" s="85" t="str">
        <f>'Consumer Hardware Pricing'!AU553</f>
        <v>-</v>
      </c>
      <c r="BS543" s="85" t="str">
        <f t="shared" si="2166"/>
        <v>-</v>
      </c>
      <c r="BT543" s="85" t="str">
        <f t="shared" si="2167"/>
        <v>-</v>
      </c>
      <c r="BU543" s="85" t="str">
        <f t="shared" si="2168"/>
        <v>-</v>
      </c>
    </row>
    <row r="544" spans="1:73" ht="30.45" customHeight="1" x14ac:dyDescent="0.25">
      <c r="A544" s="87" t="s">
        <v>34</v>
      </c>
      <c r="B544" s="88" t="s">
        <v>1215</v>
      </c>
      <c r="C544" s="88" t="s">
        <v>1206</v>
      </c>
      <c r="D544" s="85">
        <f>'Consumer Hardware Pricing'!L554</f>
        <v>1820</v>
      </c>
      <c r="E544" s="85">
        <f>'Consumer Hardware Pricing'!M554</f>
        <v>1820</v>
      </c>
      <c r="F544" s="85">
        <f>'Consumer Hardware Pricing'!N554</f>
        <v>0</v>
      </c>
      <c r="G544" s="85">
        <f t="shared" si="2129"/>
        <v>75.84</v>
      </c>
      <c r="H544" s="85">
        <f>'Consumer Hardware Pricing'!O554</f>
        <v>14.59</v>
      </c>
      <c r="I544" s="85">
        <f t="shared" si="2130"/>
        <v>61.25</v>
      </c>
      <c r="J544" s="85">
        <f t="shared" si="2131"/>
        <v>350.15999999999997</v>
      </c>
      <c r="K544" s="85">
        <f t="shared" si="2132"/>
        <v>1470</v>
      </c>
      <c r="L544" s="85">
        <f>'Consumer Hardware Pricing'!Q554</f>
        <v>650</v>
      </c>
      <c r="M544" s="85">
        <f t="shared" si="2133"/>
        <v>41.680000000000007</v>
      </c>
      <c r="N544" s="85">
        <f t="shared" si="2134"/>
        <v>34.159999999999997</v>
      </c>
      <c r="O544" s="85">
        <f t="shared" si="2135"/>
        <v>1000.3200000000002</v>
      </c>
      <c r="P544" s="85">
        <f t="shared" si="2136"/>
        <v>819.83999999999992</v>
      </c>
      <c r="Q544" s="85">
        <f>'Consumer Hardware Pricing'!S554</f>
        <v>0</v>
      </c>
      <c r="R544" s="85">
        <f t="shared" si="2137"/>
        <v>75.84</v>
      </c>
      <c r="S544" s="85">
        <f>'Consumer Hardware Pricing'!T554</f>
        <v>14.59</v>
      </c>
      <c r="T544" s="129">
        <f t="shared" si="2138"/>
        <v>61.25</v>
      </c>
      <c r="U544" s="129">
        <f t="shared" si="2139"/>
        <v>350.15999999999997</v>
      </c>
      <c r="V544" s="85">
        <f t="shared" si="2140"/>
        <v>1470</v>
      </c>
      <c r="W544" s="129">
        <f>'Consumer Hardware Pricing'!V554</f>
        <v>650</v>
      </c>
      <c r="X544" s="129">
        <f t="shared" si="2141"/>
        <v>41.680000000000007</v>
      </c>
      <c r="Y544" s="129">
        <f t="shared" si="2142"/>
        <v>34.159999999999997</v>
      </c>
      <c r="Z544" s="129">
        <f t="shared" si="2143"/>
        <v>1000.3200000000002</v>
      </c>
      <c r="AA544" s="85">
        <f t="shared" si="2144"/>
        <v>819.83999999999992</v>
      </c>
      <c r="AB544" s="85">
        <f>'Consumer Hardware Pricing'!X554</f>
        <v>0</v>
      </c>
      <c r="AC544" s="85">
        <f t="shared" si="2041"/>
        <v>75.84</v>
      </c>
      <c r="AD544" s="85">
        <f>'Consumer Hardware Pricing'!Y554</f>
        <v>32.42</v>
      </c>
      <c r="AE544" s="85">
        <f t="shared" si="2145"/>
        <v>43.42</v>
      </c>
      <c r="AF544" s="85">
        <f t="shared" si="2146"/>
        <v>778.08</v>
      </c>
      <c r="AG544" s="85">
        <f t="shared" si="2147"/>
        <v>1042.08</v>
      </c>
      <c r="AH544" s="85">
        <f>'Consumer Hardware Pricing'!AA554</f>
        <v>650</v>
      </c>
      <c r="AI544" s="85">
        <f t="shared" si="2042"/>
        <v>59.510000000000005</v>
      </c>
      <c r="AJ544" s="85">
        <f t="shared" si="2148"/>
        <v>16.329999999999998</v>
      </c>
      <c r="AK544" s="85">
        <f t="shared" si="2149"/>
        <v>1428.2400000000002</v>
      </c>
      <c r="AL544" s="85">
        <f t="shared" si="2150"/>
        <v>391.91999999999996</v>
      </c>
      <c r="AM544" s="85">
        <f>'Consumer Hardware Pricing'!AC554</f>
        <v>0</v>
      </c>
      <c r="AN544" s="85">
        <f t="shared" si="2043"/>
        <v>75.84</v>
      </c>
      <c r="AO544" s="85">
        <f>'Consumer Hardware Pricing'!AD554</f>
        <v>32.42</v>
      </c>
      <c r="AP544" s="85">
        <f t="shared" si="2151"/>
        <v>43.42</v>
      </c>
      <c r="AQ544" s="85">
        <f t="shared" si="2152"/>
        <v>778.08</v>
      </c>
      <c r="AR544" s="85">
        <f t="shared" si="2153"/>
        <v>1042.08</v>
      </c>
      <c r="AS544" s="85">
        <f>'Consumer Hardware Pricing'!AF554</f>
        <v>650</v>
      </c>
      <c r="AT544" s="85">
        <f t="shared" si="2044"/>
        <v>59.510000000000005</v>
      </c>
      <c r="AU544" s="85">
        <f t="shared" si="2154"/>
        <v>16.329999999999998</v>
      </c>
      <c r="AV544" s="85">
        <f t="shared" si="2155"/>
        <v>1428.2400000000002</v>
      </c>
      <c r="AW544" s="85">
        <f t="shared" si="2156"/>
        <v>391.91999999999996</v>
      </c>
      <c r="AX544" s="85" t="str">
        <f>'Consumer Hardware Pricing'!AH554</f>
        <v>-</v>
      </c>
      <c r="AY544" s="85" t="str">
        <f t="shared" si="2045"/>
        <v>-</v>
      </c>
      <c r="AZ544" s="85" t="str">
        <f>'Consumer Hardware Pricing'!AI554</f>
        <v>-</v>
      </c>
      <c r="BA544" s="85" t="str">
        <f t="shared" si="2157"/>
        <v>-</v>
      </c>
      <c r="BB544" s="85" t="str">
        <f t="shared" si="2158"/>
        <v>-</v>
      </c>
      <c r="BC544" s="85" t="str">
        <f t="shared" si="2159"/>
        <v>-</v>
      </c>
      <c r="BD544" s="85" t="str">
        <f>'Consumer Hardware Pricing'!AL554</f>
        <v>-</v>
      </c>
      <c r="BE544" s="85" t="str">
        <f t="shared" si="2046"/>
        <v>-</v>
      </c>
      <c r="BF544" s="85" t="str">
        <f>'Consumer Hardware Pricing'!AM554</f>
        <v>-</v>
      </c>
      <c r="BG544" s="85" t="str">
        <f t="shared" si="2160"/>
        <v>-</v>
      </c>
      <c r="BH544" s="85" t="str">
        <f t="shared" si="2161"/>
        <v>-</v>
      </c>
      <c r="BI544" s="85" t="str">
        <f t="shared" si="2162"/>
        <v>-</v>
      </c>
      <c r="BJ544" s="85" t="str">
        <f>'Consumer Hardware Pricing'!AP554</f>
        <v>-</v>
      </c>
      <c r="BK544" s="85" t="str">
        <f t="shared" si="2047"/>
        <v>-</v>
      </c>
      <c r="BL544" s="85" t="str">
        <f>'Consumer Hardware Pricing'!AQ554</f>
        <v>-</v>
      </c>
      <c r="BM544" s="85" t="str">
        <f t="shared" si="2163"/>
        <v>-</v>
      </c>
      <c r="BN544" s="85" t="str">
        <f t="shared" si="2164"/>
        <v>-</v>
      </c>
      <c r="BO544" s="85" t="str">
        <f t="shared" si="2165"/>
        <v>-</v>
      </c>
      <c r="BP544" s="85" t="str">
        <f>'Consumer Hardware Pricing'!AT554</f>
        <v>-</v>
      </c>
      <c r="BQ544" s="85" t="str">
        <f t="shared" si="2048"/>
        <v>-</v>
      </c>
      <c r="BR544" s="85" t="str">
        <f>'Consumer Hardware Pricing'!AU554</f>
        <v>-</v>
      </c>
      <c r="BS544" s="85" t="str">
        <f t="shared" si="2166"/>
        <v>-</v>
      </c>
      <c r="BT544" s="85" t="str">
        <f t="shared" si="2167"/>
        <v>-</v>
      </c>
      <c r="BU544" s="85" t="str">
        <f t="shared" si="2168"/>
        <v>-</v>
      </c>
    </row>
    <row r="545" spans="1:73" ht="30.45" customHeight="1" x14ac:dyDescent="0.25">
      <c r="A545" s="87" t="s">
        <v>34</v>
      </c>
      <c r="B545" s="88" t="s">
        <v>1199</v>
      </c>
      <c r="C545" s="88" t="s">
        <v>1207</v>
      </c>
      <c r="D545" s="85">
        <f>'Consumer Hardware Pricing'!L555</f>
        <v>2040</v>
      </c>
      <c r="E545" s="85">
        <f>'Consumer Hardware Pricing'!M555</f>
        <v>2040</v>
      </c>
      <c r="F545" s="85">
        <f>'Consumer Hardware Pricing'!N555</f>
        <v>0</v>
      </c>
      <c r="G545" s="85">
        <f t="shared" si="2049"/>
        <v>85</v>
      </c>
      <c r="H545" s="85">
        <f>'Consumer Hardware Pricing'!O555</f>
        <v>16.25</v>
      </c>
      <c r="I545" s="85">
        <f t="shared" si="2050"/>
        <v>68.75</v>
      </c>
      <c r="J545" s="85">
        <f t="shared" si="2051"/>
        <v>390</v>
      </c>
      <c r="K545" s="85">
        <f t="shared" si="2052"/>
        <v>1650</v>
      </c>
      <c r="L545" s="85">
        <f>'Consumer Hardware Pricing'!Q555</f>
        <v>770</v>
      </c>
      <c r="M545" s="85">
        <f t="shared" si="2053"/>
        <v>48.330000000000005</v>
      </c>
      <c r="N545" s="85">
        <f t="shared" si="2054"/>
        <v>36.669999999999995</v>
      </c>
      <c r="O545" s="85">
        <f t="shared" si="2055"/>
        <v>1159.92</v>
      </c>
      <c r="P545" s="85">
        <f t="shared" si="2056"/>
        <v>880.07999999999993</v>
      </c>
      <c r="Q545" s="85">
        <f>'Consumer Hardware Pricing'!S555</f>
        <v>0</v>
      </c>
      <c r="R545" s="85">
        <f t="shared" si="2057"/>
        <v>85</v>
      </c>
      <c r="S545" s="85">
        <f>'Consumer Hardware Pricing'!T555</f>
        <v>16.25</v>
      </c>
      <c r="T545" s="129">
        <f t="shared" si="2058"/>
        <v>68.75</v>
      </c>
      <c r="U545" s="129">
        <f t="shared" si="2059"/>
        <v>390</v>
      </c>
      <c r="V545" s="85">
        <f t="shared" si="2060"/>
        <v>1650</v>
      </c>
      <c r="W545" s="129">
        <f>'Consumer Hardware Pricing'!V555</f>
        <v>770</v>
      </c>
      <c r="X545" s="129">
        <f t="shared" si="2061"/>
        <v>48.330000000000005</v>
      </c>
      <c r="Y545" s="129">
        <f t="shared" si="2062"/>
        <v>36.669999999999995</v>
      </c>
      <c r="Z545" s="129">
        <f t="shared" si="2063"/>
        <v>1159.92</v>
      </c>
      <c r="AA545" s="85">
        <f t="shared" si="2064"/>
        <v>880.07999999999993</v>
      </c>
      <c r="AB545" s="85">
        <f>'Consumer Hardware Pricing'!X555</f>
        <v>0</v>
      </c>
      <c r="AC545" s="85">
        <f t="shared" si="2041"/>
        <v>85</v>
      </c>
      <c r="AD545" s="85">
        <f>'Consumer Hardware Pricing'!Y555</f>
        <v>26.42</v>
      </c>
      <c r="AE545" s="85">
        <f t="shared" si="2065"/>
        <v>58.58</v>
      </c>
      <c r="AF545" s="85">
        <f t="shared" si="2066"/>
        <v>634.08000000000004</v>
      </c>
      <c r="AG545" s="85">
        <f t="shared" si="2067"/>
        <v>1405.92</v>
      </c>
      <c r="AH545" s="85">
        <f>'Consumer Hardware Pricing'!AA555</f>
        <v>770</v>
      </c>
      <c r="AI545" s="85">
        <f t="shared" si="2042"/>
        <v>58.500000000000007</v>
      </c>
      <c r="AJ545" s="85">
        <f t="shared" si="2068"/>
        <v>26.499999999999993</v>
      </c>
      <c r="AK545" s="85">
        <f t="shared" si="2069"/>
        <v>1404.0000000000002</v>
      </c>
      <c r="AL545" s="85">
        <f t="shared" si="2070"/>
        <v>635.99999999999977</v>
      </c>
      <c r="AM545" s="85">
        <f>'Consumer Hardware Pricing'!AC555</f>
        <v>0</v>
      </c>
      <c r="AN545" s="85">
        <f t="shared" si="2043"/>
        <v>85</v>
      </c>
      <c r="AO545" s="85">
        <f>'Consumer Hardware Pricing'!AD555</f>
        <v>26.42</v>
      </c>
      <c r="AP545" s="85">
        <f t="shared" si="2071"/>
        <v>58.58</v>
      </c>
      <c r="AQ545" s="85">
        <f t="shared" si="2072"/>
        <v>634.08000000000004</v>
      </c>
      <c r="AR545" s="85">
        <f t="shared" si="2073"/>
        <v>1405.92</v>
      </c>
      <c r="AS545" s="85">
        <f>'Consumer Hardware Pricing'!AF555</f>
        <v>770</v>
      </c>
      <c r="AT545" s="85">
        <f t="shared" si="2044"/>
        <v>58.500000000000007</v>
      </c>
      <c r="AU545" s="85">
        <f t="shared" si="2074"/>
        <v>26.499999999999993</v>
      </c>
      <c r="AV545" s="85">
        <f t="shared" si="2075"/>
        <v>1404.0000000000002</v>
      </c>
      <c r="AW545" s="85">
        <f t="shared" si="2076"/>
        <v>635.99999999999977</v>
      </c>
      <c r="AX545" s="85" t="str">
        <f>'Consumer Hardware Pricing'!AH555</f>
        <v>-</v>
      </c>
      <c r="AY545" s="85" t="str">
        <f t="shared" si="2045"/>
        <v>-</v>
      </c>
      <c r="AZ545" s="85" t="str">
        <f>'Consumer Hardware Pricing'!AI555</f>
        <v>-</v>
      </c>
      <c r="BA545" s="85" t="str">
        <f t="shared" si="2077"/>
        <v>-</v>
      </c>
      <c r="BB545" s="85" t="str">
        <f t="shared" si="2078"/>
        <v>-</v>
      </c>
      <c r="BC545" s="85" t="str">
        <f t="shared" si="2079"/>
        <v>-</v>
      </c>
      <c r="BD545" s="85" t="str">
        <f>'Consumer Hardware Pricing'!AL555</f>
        <v>-</v>
      </c>
      <c r="BE545" s="85" t="str">
        <f t="shared" si="2046"/>
        <v>-</v>
      </c>
      <c r="BF545" s="85" t="str">
        <f>'Consumer Hardware Pricing'!AM555</f>
        <v>-</v>
      </c>
      <c r="BG545" s="85" t="str">
        <f t="shared" si="2080"/>
        <v>-</v>
      </c>
      <c r="BH545" s="85" t="str">
        <f t="shared" si="2081"/>
        <v>-</v>
      </c>
      <c r="BI545" s="85" t="str">
        <f t="shared" si="2082"/>
        <v>-</v>
      </c>
      <c r="BJ545" s="85" t="str">
        <f>'Consumer Hardware Pricing'!AP555</f>
        <v>-</v>
      </c>
      <c r="BK545" s="85" t="str">
        <f t="shared" si="2047"/>
        <v>-</v>
      </c>
      <c r="BL545" s="85" t="str">
        <f>'Consumer Hardware Pricing'!AQ555</f>
        <v>-</v>
      </c>
      <c r="BM545" s="85" t="str">
        <f t="shared" si="2083"/>
        <v>-</v>
      </c>
      <c r="BN545" s="85" t="str">
        <f t="shared" si="2084"/>
        <v>-</v>
      </c>
      <c r="BO545" s="85" t="str">
        <f t="shared" si="2085"/>
        <v>-</v>
      </c>
      <c r="BP545" s="85" t="str">
        <f>'Consumer Hardware Pricing'!AT555</f>
        <v>-</v>
      </c>
      <c r="BQ545" s="85" t="str">
        <f t="shared" si="2048"/>
        <v>-</v>
      </c>
      <c r="BR545" s="85" t="str">
        <f>'Consumer Hardware Pricing'!AU555</f>
        <v>-</v>
      </c>
      <c r="BS545" s="85" t="str">
        <f t="shared" si="2086"/>
        <v>-</v>
      </c>
      <c r="BT545" s="85" t="str">
        <f t="shared" si="2087"/>
        <v>-</v>
      </c>
      <c r="BU545" s="85" t="str">
        <f t="shared" si="2088"/>
        <v>-</v>
      </c>
    </row>
    <row r="546" spans="1:73" ht="30.45" customHeight="1" x14ac:dyDescent="0.25">
      <c r="A546" s="87" t="s">
        <v>34</v>
      </c>
      <c r="B546" s="88" t="s">
        <v>1200</v>
      </c>
      <c r="C546" s="88" t="s">
        <v>1207</v>
      </c>
      <c r="D546" s="85">
        <f>'Consumer Hardware Pricing'!L556</f>
        <v>2040</v>
      </c>
      <c r="E546" s="85">
        <f>'Consumer Hardware Pricing'!M556</f>
        <v>2040</v>
      </c>
      <c r="F546" s="85">
        <f>'Consumer Hardware Pricing'!N556</f>
        <v>0</v>
      </c>
      <c r="G546" s="85">
        <f t="shared" si="2049"/>
        <v>85</v>
      </c>
      <c r="H546" s="85">
        <f>'Consumer Hardware Pricing'!O556</f>
        <v>16.25</v>
      </c>
      <c r="I546" s="85">
        <f t="shared" si="2050"/>
        <v>68.75</v>
      </c>
      <c r="J546" s="85">
        <f t="shared" si="2051"/>
        <v>390</v>
      </c>
      <c r="K546" s="85">
        <f t="shared" si="2052"/>
        <v>1650</v>
      </c>
      <c r="L546" s="85">
        <f>'Consumer Hardware Pricing'!Q556</f>
        <v>770</v>
      </c>
      <c r="M546" s="85">
        <f t="shared" si="2053"/>
        <v>48.330000000000005</v>
      </c>
      <c r="N546" s="85">
        <f t="shared" si="2054"/>
        <v>36.669999999999995</v>
      </c>
      <c r="O546" s="85">
        <f t="shared" si="2055"/>
        <v>1159.92</v>
      </c>
      <c r="P546" s="85">
        <f t="shared" si="2056"/>
        <v>880.07999999999993</v>
      </c>
      <c r="Q546" s="85">
        <f>'Consumer Hardware Pricing'!S556</f>
        <v>0</v>
      </c>
      <c r="R546" s="85">
        <f t="shared" si="2057"/>
        <v>85</v>
      </c>
      <c r="S546" s="85">
        <f>'Consumer Hardware Pricing'!T556</f>
        <v>16.25</v>
      </c>
      <c r="T546" s="129">
        <f t="shared" si="2058"/>
        <v>68.75</v>
      </c>
      <c r="U546" s="129">
        <f t="shared" si="2059"/>
        <v>390</v>
      </c>
      <c r="V546" s="85">
        <f t="shared" si="2060"/>
        <v>1650</v>
      </c>
      <c r="W546" s="129">
        <f>'Consumer Hardware Pricing'!V556</f>
        <v>770</v>
      </c>
      <c r="X546" s="129">
        <f t="shared" si="2061"/>
        <v>48.330000000000005</v>
      </c>
      <c r="Y546" s="129">
        <f t="shared" si="2062"/>
        <v>36.669999999999995</v>
      </c>
      <c r="Z546" s="129">
        <f t="shared" si="2063"/>
        <v>1159.92</v>
      </c>
      <c r="AA546" s="85">
        <f t="shared" si="2064"/>
        <v>880.07999999999993</v>
      </c>
      <c r="AB546" s="85">
        <f>'Consumer Hardware Pricing'!X556</f>
        <v>0</v>
      </c>
      <c r="AC546" s="85">
        <f t="shared" si="2041"/>
        <v>85</v>
      </c>
      <c r="AD546" s="85">
        <f>'Consumer Hardware Pricing'!Y556</f>
        <v>26.42</v>
      </c>
      <c r="AE546" s="85">
        <f t="shared" si="2065"/>
        <v>58.58</v>
      </c>
      <c r="AF546" s="85">
        <f t="shared" si="2066"/>
        <v>634.08000000000004</v>
      </c>
      <c r="AG546" s="85">
        <f t="shared" si="2067"/>
        <v>1405.92</v>
      </c>
      <c r="AH546" s="85">
        <f>'Consumer Hardware Pricing'!AA556</f>
        <v>770</v>
      </c>
      <c r="AI546" s="85">
        <f t="shared" si="2042"/>
        <v>58.500000000000007</v>
      </c>
      <c r="AJ546" s="85">
        <f t="shared" si="2068"/>
        <v>26.499999999999993</v>
      </c>
      <c r="AK546" s="85">
        <f t="shared" si="2069"/>
        <v>1404.0000000000002</v>
      </c>
      <c r="AL546" s="85">
        <f t="shared" si="2070"/>
        <v>635.99999999999977</v>
      </c>
      <c r="AM546" s="85">
        <f>'Consumer Hardware Pricing'!AC556</f>
        <v>0</v>
      </c>
      <c r="AN546" s="85">
        <f t="shared" si="2043"/>
        <v>85</v>
      </c>
      <c r="AO546" s="85">
        <f>'Consumer Hardware Pricing'!AD556</f>
        <v>26.42</v>
      </c>
      <c r="AP546" s="85">
        <f t="shared" si="2071"/>
        <v>58.58</v>
      </c>
      <c r="AQ546" s="85">
        <f t="shared" si="2072"/>
        <v>634.08000000000004</v>
      </c>
      <c r="AR546" s="85">
        <f t="shared" si="2073"/>
        <v>1405.92</v>
      </c>
      <c r="AS546" s="85">
        <f>'Consumer Hardware Pricing'!AF556</f>
        <v>770</v>
      </c>
      <c r="AT546" s="85">
        <f t="shared" si="2044"/>
        <v>58.500000000000007</v>
      </c>
      <c r="AU546" s="85">
        <f t="shared" si="2074"/>
        <v>26.499999999999993</v>
      </c>
      <c r="AV546" s="85">
        <f t="shared" si="2075"/>
        <v>1404.0000000000002</v>
      </c>
      <c r="AW546" s="85">
        <f t="shared" si="2076"/>
        <v>635.99999999999977</v>
      </c>
      <c r="AX546" s="85" t="str">
        <f>'Consumer Hardware Pricing'!AH556</f>
        <v>-</v>
      </c>
      <c r="AY546" s="85" t="str">
        <f t="shared" si="2045"/>
        <v>-</v>
      </c>
      <c r="AZ546" s="85" t="str">
        <f>'Consumer Hardware Pricing'!AI556</f>
        <v>-</v>
      </c>
      <c r="BA546" s="85" t="str">
        <f t="shared" si="2077"/>
        <v>-</v>
      </c>
      <c r="BB546" s="85" t="str">
        <f t="shared" si="2078"/>
        <v>-</v>
      </c>
      <c r="BC546" s="85" t="str">
        <f t="shared" si="2079"/>
        <v>-</v>
      </c>
      <c r="BD546" s="85" t="str">
        <f>'Consumer Hardware Pricing'!AL556</f>
        <v>-</v>
      </c>
      <c r="BE546" s="85" t="str">
        <f t="shared" si="2046"/>
        <v>-</v>
      </c>
      <c r="BF546" s="85" t="str">
        <f>'Consumer Hardware Pricing'!AM556</f>
        <v>-</v>
      </c>
      <c r="BG546" s="85" t="str">
        <f t="shared" si="2080"/>
        <v>-</v>
      </c>
      <c r="BH546" s="85" t="str">
        <f t="shared" si="2081"/>
        <v>-</v>
      </c>
      <c r="BI546" s="85" t="str">
        <f t="shared" si="2082"/>
        <v>-</v>
      </c>
      <c r="BJ546" s="85" t="str">
        <f>'Consumer Hardware Pricing'!AP556</f>
        <v>-</v>
      </c>
      <c r="BK546" s="85" t="str">
        <f t="shared" si="2047"/>
        <v>-</v>
      </c>
      <c r="BL546" s="85" t="str">
        <f>'Consumer Hardware Pricing'!AQ556</f>
        <v>-</v>
      </c>
      <c r="BM546" s="85" t="str">
        <f t="shared" si="2083"/>
        <v>-</v>
      </c>
      <c r="BN546" s="85" t="str">
        <f t="shared" si="2084"/>
        <v>-</v>
      </c>
      <c r="BO546" s="85" t="str">
        <f t="shared" si="2085"/>
        <v>-</v>
      </c>
      <c r="BP546" s="85" t="str">
        <f>'Consumer Hardware Pricing'!AT556</f>
        <v>-</v>
      </c>
      <c r="BQ546" s="85" t="str">
        <f t="shared" si="2048"/>
        <v>-</v>
      </c>
      <c r="BR546" s="85" t="str">
        <f>'Consumer Hardware Pricing'!AU556</f>
        <v>-</v>
      </c>
      <c r="BS546" s="85" t="str">
        <f t="shared" si="2086"/>
        <v>-</v>
      </c>
      <c r="BT546" s="85" t="str">
        <f t="shared" si="2087"/>
        <v>-</v>
      </c>
      <c r="BU546" s="85" t="str">
        <f t="shared" si="2088"/>
        <v>-</v>
      </c>
    </row>
    <row r="547" spans="1:73" ht="30.45" customHeight="1" x14ac:dyDescent="0.25">
      <c r="A547" s="87" t="s">
        <v>34</v>
      </c>
      <c r="B547" s="88" t="s">
        <v>1216</v>
      </c>
      <c r="C547" s="88" t="s">
        <v>1207</v>
      </c>
      <c r="D547" s="85">
        <f>'Consumer Hardware Pricing'!L557</f>
        <v>2040</v>
      </c>
      <c r="E547" s="85">
        <f>'Consumer Hardware Pricing'!M557</f>
        <v>2040</v>
      </c>
      <c r="F547" s="85">
        <f>'Consumer Hardware Pricing'!N557</f>
        <v>0</v>
      </c>
      <c r="G547" s="85">
        <f t="shared" ref="G547:G549" si="2169">IF(F547="-","-",ROUNDUP(D547/24,2))</f>
        <v>85</v>
      </c>
      <c r="H547" s="85">
        <f>'Consumer Hardware Pricing'!O557</f>
        <v>16.25</v>
      </c>
      <c r="I547" s="85">
        <f t="shared" ref="I547:I549" si="2170">IF(H547="-",G547,G547-H547)</f>
        <v>68.75</v>
      </c>
      <c r="J547" s="85">
        <f t="shared" ref="J547:J549" si="2171">IF(H547="-",H547,H547*24)</f>
        <v>390</v>
      </c>
      <c r="K547" s="85">
        <f t="shared" ref="K547:K549" si="2172">IF(F547="-",F547,I547*24)</f>
        <v>1650</v>
      </c>
      <c r="L547" s="85">
        <f>'Consumer Hardware Pricing'!Q557</f>
        <v>770</v>
      </c>
      <c r="M547" s="85">
        <f t="shared" ref="M547:M549" si="2173">IF(L547="-",L547,IF(H547="-",G547-ROUNDUP((D547-L547)/24,2),H547+G547-ROUNDUP((D547-L547)/24,2)))</f>
        <v>48.330000000000005</v>
      </c>
      <c r="N547" s="85">
        <f t="shared" ref="N547:N549" si="2174">IF(L547="-",L547,G547-M547)</f>
        <v>36.669999999999995</v>
      </c>
      <c r="O547" s="85">
        <f t="shared" ref="O547:O549" si="2175">IF(L547="-",L547,M547*24)</f>
        <v>1159.92</v>
      </c>
      <c r="P547" s="85">
        <f t="shared" ref="P547:P549" si="2176">IF(L547="-",L547,N547*24)</f>
        <v>880.07999999999993</v>
      </c>
      <c r="Q547" s="85">
        <f>'Consumer Hardware Pricing'!S557</f>
        <v>0</v>
      </c>
      <c r="R547" s="85">
        <f t="shared" ref="R547:R549" si="2177">G547</f>
        <v>85</v>
      </c>
      <c r="S547" s="85">
        <f>'Consumer Hardware Pricing'!T557</f>
        <v>16.25</v>
      </c>
      <c r="T547" s="129">
        <f t="shared" ref="T547:T549" si="2178">IF(S547="-",R547,R547-S547)</f>
        <v>68.75</v>
      </c>
      <c r="U547" s="129">
        <f t="shared" ref="U547:U549" si="2179">IF(S547="-",S547,S547*24)</f>
        <v>390</v>
      </c>
      <c r="V547" s="85">
        <f t="shared" ref="V547:V549" si="2180">IF(Q547="-",Q547,T547*24)</f>
        <v>1650</v>
      </c>
      <c r="W547" s="129">
        <f>'Consumer Hardware Pricing'!V557</f>
        <v>770</v>
      </c>
      <c r="X547" s="129">
        <f t="shared" ref="X547:X549" si="2181">IF(W547="-",W547,IF(S547="-",R547-ROUNDUP((D547-W547)/24,2),S547+R547-ROUNDUP((D547-W547)/24,2)))</f>
        <v>48.330000000000005</v>
      </c>
      <c r="Y547" s="129">
        <f t="shared" ref="Y547:Y549" si="2182">IF(W547="-",W547,R547-X547)</f>
        <v>36.669999999999995</v>
      </c>
      <c r="Z547" s="129">
        <f t="shared" ref="Z547:Z549" si="2183">IF(W547="-",W547,X547*24)</f>
        <v>1159.92</v>
      </c>
      <c r="AA547" s="85">
        <f t="shared" ref="AA547:AA549" si="2184">IF(W547="-",W547,Y547*24)</f>
        <v>880.07999999999993</v>
      </c>
      <c r="AB547" s="85">
        <f>'Consumer Hardware Pricing'!X557</f>
        <v>0</v>
      </c>
      <c r="AC547" s="85">
        <f t="shared" si="2041"/>
        <v>85</v>
      </c>
      <c r="AD547" s="85">
        <f>'Consumer Hardware Pricing'!Y557</f>
        <v>26.42</v>
      </c>
      <c r="AE547" s="85">
        <f t="shared" ref="AE547:AE549" si="2185">IF(AD547="-",AC547,AC547-AD547)</f>
        <v>58.58</v>
      </c>
      <c r="AF547" s="85">
        <f t="shared" ref="AF547:AF549" si="2186">IF(AD547="-",AD547,AD547*24)</f>
        <v>634.08000000000004</v>
      </c>
      <c r="AG547" s="85">
        <f t="shared" ref="AG547:AG549" si="2187">IF(AB547="-",AB547,AE547*24)</f>
        <v>1405.92</v>
      </c>
      <c r="AH547" s="85">
        <f>'Consumer Hardware Pricing'!AA557</f>
        <v>770</v>
      </c>
      <c r="AI547" s="85">
        <f t="shared" si="2042"/>
        <v>58.500000000000007</v>
      </c>
      <c r="AJ547" s="85">
        <f t="shared" ref="AJ547:AJ549" si="2188">IF(AH547="-",AH547,AC547-AI547)</f>
        <v>26.499999999999993</v>
      </c>
      <c r="AK547" s="85">
        <f t="shared" ref="AK547:AK549" si="2189">IF(AH547="-",AH547,AI547*24)</f>
        <v>1404.0000000000002</v>
      </c>
      <c r="AL547" s="85">
        <f t="shared" ref="AL547:AL549" si="2190">IF(AH547="-",AH547,AJ547*24)</f>
        <v>635.99999999999977</v>
      </c>
      <c r="AM547" s="85">
        <f>'Consumer Hardware Pricing'!AC557</f>
        <v>0</v>
      </c>
      <c r="AN547" s="85">
        <f t="shared" si="2043"/>
        <v>85</v>
      </c>
      <c r="AO547" s="85">
        <f>'Consumer Hardware Pricing'!AD557</f>
        <v>26.42</v>
      </c>
      <c r="AP547" s="85">
        <f t="shared" ref="AP547:AP549" si="2191">IF(AO547="-",AN547,AN547-AO547)</f>
        <v>58.58</v>
      </c>
      <c r="AQ547" s="85">
        <f t="shared" ref="AQ547:AQ549" si="2192">IF(AO547="-",AO547,AO547*24)</f>
        <v>634.08000000000004</v>
      </c>
      <c r="AR547" s="85">
        <f t="shared" ref="AR547:AR549" si="2193">IF(AM547="-",AM547,AP547*24)</f>
        <v>1405.92</v>
      </c>
      <c r="AS547" s="85">
        <f>'Consumer Hardware Pricing'!AF557</f>
        <v>770</v>
      </c>
      <c r="AT547" s="85">
        <f t="shared" si="2044"/>
        <v>58.500000000000007</v>
      </c>
      <c r="AU547" s="85">
        <f t="shared" ref="AU547:AU549" si="2194">IF(AS547="-",AS547,AN547-AT547)</f>
        <v>26.499999999999993</v>
      </c>
      <c r="AV547" s="85">
        <f t="shared" ref="AV547:AV549" si="2195">IF(AS547="-",AS547,AT547*24)</f>
        <v>1404.0000000000002</v>
      </c>
      <c r="AW547" s="85">
        <f t="shared" ref="AW547:AW549" si="2196">IF(AS547="-",AS547,AU547*24)</f>
        <v>635.99999999999977</v>
      </c>
      <c r="AX547" s="85" t="str">
        <f>'Consumer Hardware Pricing'!AH557</f>
        <v>-</v>
      </c>
      <c r="AY547" s="85" t="str">
        <f t="shared" si="2045"/>
        <v>-</v>
      </c>
      <c r="AZ547" s="85" t="str">
        <f>'Consumer Hardware Pricing'!AI557</f>
        <v>-</v>
      </c>
      <c r="BA547" s="85" t="str">
        <f t="shared" ref="BA547:BA549" si="2197">IF(AZ547="-",AY547,AY547-AZ547)</f>
        <v>-</v>
      </c>
      <c r="BB547" s="85" t="str">
        <f t="shared" ref="BB547:BB549" si="2198">IF(AZ547="-",AZ547,AZ547*24)</f>
        <v>-</v>
      </c>
      <c r="BC547" s="85" t="str">
        <f t="shared" ref="BC547:BC549" si="2199">IF(AX547="-",AX547,AX547+(BA547*24))</f>
        <v>-</v>
      </c>
      <c r="BD547" s="85" t="str">
        <f>'Consumer Hardware Pricing'!AL557</f>
        <v>-</v>
      </c>
      <c r="BE547" s="85" t="str">
        <f t="shared" si="2046"/>
        <v>-</v>
      </c>
      <c r="BF547" s="85" t="str">
        <f>'Consumer Hardware Pricing'!AM557</f>
        <v>-</v>
      </c>
      <c r="BG547" s="85" t="str">
        <f t="shared" ref="BG547:BG549" si="2200">IF(BF547="-",BE547,BE547-BF547)</f>
        <v>-</v>
      </c>
      <c r="BH547" s="85" t="str">
        <f t="shared" ref="BH547:BH549" si="2201">IF(BF547="-",BF547,BF547*24)</f>
        <v>-</v>
      </c>
      <c r="BI547" s="85" t="str">
        <f t="shared" ref="BI547:BI549" si="2202">IF(BD547="-",BD547,BD547+(BG547*24))</f>
        <v>-</v>
      </c>
      <c r="BJ547" s="85" t="str">
        <f>'Consumer Hardware Pricing'!AP557</f>
        <v>-</v>
      </c>
      <c r="BK547" s="85" t="str">
        <f t="shared" si="2047"/>
        <v>-</v>
      </c>
      <c r="BL547" s="85" t="str">
        <f>'Consumer Hardware Pricing'!AQ557</f>
        <v>-</v>
      </c>
      <c r="BM547" s="85" t="str">
        <f t="shared" ref="BM547:BM549" si="2203">IF(BL547="-",BK547,BK547-BL547)</f>
        <v>-</v>
      </c>
      <c r="BN547" s="85" t="str">
        <f t="shared" ref="BN547:BN549" si="2204">IF(BL547="-",BL547,BL547*24)</f>
        <v>-</v>
      </c>
      <c r="BO547" s="85" t="str">
        <f t="shared" ref="BO547:BO549" si="2205">IF(BJ547="-",BJ547,BJ547+(BM547*24))</f>
        <v>-</v>
      </c>
      <c r="BP547" s="85" t="str">
        <f>'Consumer Hardware Pricing'!AT557</f>
        <v>-</v>
      </c>
      <c r="BQ547" s="85" t="str">
        <f t="shared" si="2048"/>
        <v>-</v>
      </c>
      <c r="BR547" s="85" t="str">
        <f>'Consumer Hardware Pricing'!AU557</f>
        <v>-</v>
      </c>
      <c r="BS547" s="85" t="str">
        <f t="shared" ref="BS547:BS549" si="2206">IF(BR547="-",BQ547,BQ547-BR547)</f>
        <v>-</v>
      </c>
      <c r="BT547" s="85" t="str">
        <f t="shared" ref="BT547:BT549" si="2207">IF(BR547="-",BR547,BR547*24)</f>
        <v>-</v>
      </c>
      <c r="BU547" s="85" t="str">
        <f t="shared" ref="BU547:BU549" si="2208">IF(BP547="-",BP547,BP547+(BS547*24))</f>
        <v>-</v>
      </c>
    </row>
    <row r="548" spans="1:73" ht="30.45" customHeight="1" x14ac:dyDescent="0.25">
      <c r="A548" s="87" t="s">
        <v>34</v>
      </c>
      <c r="B548" s="88" t="s">
        <v>1217</v>
      </c>
      <c r="C548" s="88" t="s">
        <v>1207</v>
      </c>
      <c r="D548" s="85">
        <f>'Consumer Hardware Pricing'!L558</f>
        <v>2040</v>
      </c>
      <c r="E548" s="85">
        <f>'Consumer Hardware Pricing'!M558</f>
        <v>2040</v>
      </c>
      <c r="F548" s="85">
        <f>'Consumer Hardware Pricing'!N558</f>
        <v>0</v>
      </c>
      <c r="G548" s="85">
        <f t="shared" si="2169"/>
        <v>85</v>
      </c>
      <c r="H548" s="85">
        <f>'Consumer Hardware Pricing'!O558</f>
        <v>16.25</v>
      </c>
      <c r="I548" s="85">
        <f t="shared" si="2170"/>
        <v>68.75</v>
      </c>
      <c r="J548" s="85">
        <f t="shared" si="2171"/>
        <v>390</v>
      </c>
      <c r="K548" s="85">
        <f t="shared" si="2172"/>
        <v>1650</v>
      </c>
      <c r="L548" s="85">
        <f>'Consumer Hardware Pricing'!Q558</f>
        <v>770</v>
      </c>
      <c r="M548" s="85">
        <f t="shared" si="2173"/>
        <v>48.330000000000005</v>
      </c>
      <c r="N548" s="85">
        <f t="shared" si="2174"/>
        <v>36.669999999999995</v>
      </c>
      <c r="O548" s="85">
        <f t="shared" si="2175"/>
        <v>1159.92</v>
      </c>
      <c r="P548" s="85">
        <f t="shared" si="2176"/>
        <v>880.07999999999993</v>
      </c>
      <c r="Q548" s="85">
        <f>'Consumer Hardware Pricing'!S558</f>
        <v>0</v>
      </c>
      <c r="R548" s="85">
        <f t="shared" si="2177"/>
        <v>85</v>
      </c>
      <c r="S548" s="85">
        <f>'Consumer Hardware Pricing'!T558</f>
        <v>16.25</v>
      </c>
      <c r="T548" s="129">
        <f t="shared" si="2178"/>
        <v>68.75</v>
      </c>
      <c r="U548" s="129">
        <f t="shared" si="2179"/>
        <v>390</v>
      </c>
      <c r="V548" s="85">
        <f t="shared" si="2180"/>
        <v>1650</v>
      </c>
      <c r="W548" s="129">
        <f>'Consumer Hardware Pricing'!V558</f>
        <v>770</v>
      </c>
      <c r="X548" s="129">
        <f t="shared" si="2181"/>
        <v>48.330000000000005</v>
      </c>
      <c r="Y548" s="129">
        <f t="shared" si="2182"/>
        <v>36.669999999999995</v>
      </c>
      <c r="Z548" s="129">
        <f t="shared" si="2183"/>
        <v>1159.92</v>
      </c>
      <c r="AA548" s="85">
        <f t="shared" si="2184"/>
        <v>880.07999999999993</v>
      </c>
      <c r="AB548" s="85">
        <f>'Consumer Hardware Pricing'!X558</f>
        <v>0</v>
      </c>
      <c r="AC548" s="85">
        <f t="shared" si="2041"/>
        <v>85</v>
      </c>
      <c r="AD548" s="85">
        <f>'Consumer Hardware Pricing'!Y558</f>
        <v>26.42</v>
      </c>
      <c r="AE548" s="85">
        <f t="shared" si="2185"/>
        <v>58.58</v>
      </c>
      <c r="AF548" s="85">
        <f t="shared" si="2186"/>
        <v>634.08000000000004</v>
      </c>
      <c r="AG548" s="85">
        <f t="shared" si="2187"/>
        <v>1405.92</v>
      </c>
      <c r="AH548" s="85">
        <f>'Consumer Hardware Pricing'!AA558</f>
        <v>770</v>
      </c>
      <c r="AI548" s="85">
        <f t="shared" si="2042"/>
        <v>58.500000000000007</v>
      </c>
      <c r="AJ548" s="85">
        <f t="shared" si="2188"/>
        <v>26.499999999999993</v>
      </c>
      <c r="AK548" s="85">
        <f t="shared" si="2189"/>
        <v>1404.0000000000002</v>
      </c>
      <c r="AL548" s="85">
        <f t="shared" si="2190"/>
        <v>635.99999999999977</v>
      </c>
      <c r="AM548" s="85">
        <f>'Consumer Hardware Pricing'!AC558</f>
        <v>0</v>
      </c>
      <c r="AN548" s="85">
        <f t="shared" si="2043"/>
        <v>85</v>
      </c>
      <c r="AO548" s="85">
        <f>'Consumer Hardware Pricing'!AD558</f>
        <v>26.42</v>
      </c>
      <c r="AP548" s="85">
        <f t="shared" si="2191"/>
        <v>58.58</v>
      </c>
      <c r="AQ548" s="85">
        <f t="shared" si="2192"/>
        <v>634.08000000000004</v>
      </c>
      <c r="AR548" s="85">
        <f t="shared" si="2193"/>
        <v>1405.92</v>
      </c>
      <c r="AS548" s="85">
        <f>'Consumer Hardware Pricing'!AF558</f>
        <v>770</v>
      </c>
      <c r="AT548" s="85">
        <f t="shared" si="2044"/>
        <v>58.500000000000007</v>
      </c>
      <c r="AU548" s="85">
        <f t="shared" si="2194"/>
        <v>26.499999999999993</v>
      </c>
      <c r="AV548" s="85">
        <f t="shared" si="2195"/>
        <v>1404.0000000000002</v>
      </c>
      <c r="AW548" s="85">
        <f t="shared" si="2196"/>
        <v>635.99999999999977</v>
      </c>
      <c r="AX548" s="85" t="str">
        <f>'Consumer Hardware Pricing'!AH558</f>
        <v>-</v>
      </c>
      <c r="AY548" s="85" t="str">
        <f t="shared" si="2045"/>
        <v>-</v>
      </c>
      <c r="AZ548" s="85" t="str">
        <f>'Consumer Hardware Pricing'!AI558</f>
        <v>-</v>
      </c>
      <c r="BA548" s="85" t="str">
        <f t="shared" si="2197"/>
        <v>-</v>
      </c>
      <c r="BB548" s="85" t="str">
        <f t="shared" si="2198"/>
        <v>-</v>
      </c>
      <c r="BC548" s="85" t="str">
        <f t="shared" si="2199"/>
        <v>-</v>
      </c>
      <c r="BD548" s="85" t="str">
        <f>'Consumer Hardware Pricing'!AL558</f>
        <v>-</v>
      </c>
      <c r="BE548" s="85" t="str">
        <f t="shared" si="2046"/>
        <v>-</v>
      </c>
      <c r="BF548" s="85" t="str">
        <f>'Consumer Hardware Pricing'!AM558</f>
        <v>-</v>
      </c>
      <c r="BG548" s="85" t="str">
        <f t="shared" si="2200"/>
        <v>-</v>
      </c>
      <c r="BH548" s="85" t="str">
        <f t="shared" si="2201"/>
        <v>-</v>
      </c>
      <c r="BI548" s="85" t="str">
        <f t="shared" si="2202"/>
        <v>-</v>
      </c>
      <c r="BJ548" s="85" t="str">
        <f>'Consumer Hardware Pricing'!AP558</f>
        <v>-</v>
      </c>
      <c r="BK548" s="85" t="str">
        <f t="shared" si="2047"/>
        <v>-</v>
      </c>
      <c r="BL548" s="85" t="str">
        <f>'Consumer Hardware Pricing'!AQ558</f>
        <v>-</v>
      </c>
      <c r="BM548" s="85" t="str">
        <f t="shared" si="2203"/>
        <v>-</v>
      </c>
      <c r="BN548" s="85" t="str">
        <f t="shared" si="2204"/>
        <v>-</v>
      </c>
      <c r="BO548" s="85" t="str">
        <f t="shared" si="2205"/>
        <v>-</v>
      </c>
      <c r="BP548" s="85" t="str">
        <f>'Consumer Hardware Pricing'!AT558</f>
        <v>-</v>
      </c>
      <c r="BQ548" s="85" t="str">
        <f t="shared" si="2048"/>
        <v>-</v>
      </c>
      <c r="BR548" s="85" t="str">
        <f>'Consumer Hardware Pricing'!AU558</f>
        <v>-</v>
      </c>
      <c r="BS548" s="85" t="str">
        <f t="shared" si="2206"/>
        <v>-</v>
      </c>
      <c r="BT548" s="85" t="str">
        <f t="shared" si="2207"/>
        <v>-</v>
      </c>
      <c r="BU548" s="85" t="str">
        <f t="shared" si="2208"/>
        <v>-</v>
      </c>
    </row>
    <row r="549" spans="1:73" ht="30.45" customHeight="1" x14ac:dyDescent="0.25">
      <c r="A549" s="87" t="s">
        <v>34</v>
      </c>
      <c r="B549" s="88" t="s">
        <v>1218</v>
      </c>
      <c r="C549" s="88" t="s">
        <v>1207</v>
      </c>
      <c r="D549" s="85">
        <f>'Consumer Hardware Pricing'!L559</f>
        <v>2040</v>
      </c>
      <c r="E549" s="85">
        <f>'Consumer Hardware Pricing'!M559</f>
        <v>2040</v>
      </c>
      <c r="F549" s="85">
        <f>'Consumer Hardware Pricing'!N559</f>
        <v>0</v>
      </c>
      <c r="G549" s="85">
        <f t="shared" si="2169"/>
        <v>85</v>
      </c>
      <c r="H549" s="85">
        <f>'Consumer Hardware Pricing'!O559</f>
        <v>16.25</v>
      </c>
      <c r="I549" s="85">
        <f t="shared" si="2170"/>
        <v>68.75</v>
      </c>
      <c r="J549" s="85">
        <f t="shared" si="2171"/>
        <v>390</v>
      </c>
      <c r="K549" s="85">
        <f t="shared" si="2172"/>
        <v>1650</v>
      </c>
      <c r="L549" s="85">
        <f>'Consumer Hardware Pricing'!Q559</f>
        <v>770</v>
      </c>
      <c r="M549" s="85">
        <f t="shared" si="2173"/>
        <v>48.330000000000005</v>
      </c>
      <c r="N549" s="85">
        <f t="shared" si="2174"/>
        <v>36.669999999999995</v>
      </c>
      <c r="O549" s="85">
        <f t="shared" si="2175"/>
        <v>1159.92</v>
      </c>
      <c r="P549" s="85">
        <f t="shared" si="2176"/>
        <v>880.07999999999993</v>
      </c>
      <c r="Q549" s="85">
        <f>'Consumer Hardware Pricing'!S559</f>
        <v>0</v>
      </c>
      <c r="R549" s="85">
        <f t="shared" si="2177"/>
        <v>85</v>
      </c>
      <c r="S549" s="85">
        <f>'Consumer Hardware Pricing'!T559</f>
        <v>16.25</v>
      </c>
      <c r="T549" s="129">
        <f t="shared" si="2178"/>
        <v>68.75</v>
      </c>
      <c r="U549" s="129">
        <f t="shared" si="2179"/>
        <v>390</v>
      </c>
      <c r="V549" s="85">
        <f t="shared" si="2180"/>
        <v>1650</v>
      </c>
      <c r="W549" s="129">
        <f>'Consumer Hardware Pricing'!V559</f>
        <v>770</v>
      </c>
      <c r="X549" s="129">
        <f t="shared" si="2181"/>
        <v>48.330000000000005</v>
      </c>
      <c r="Y549" s="129">
        <f t="shared" si="2182"/>
        <v>36.669999999999995</v>
      </c>
      <c r="Z549" s="129">
        <f t="shared" si="2183"/>
        <v>1159.92</v>
      </c>
      <c r="AA549" s="85">
        <f t="shared" si="2184"/>
        <v>880.07999999999993</v>
      </c>
      <c r="AB549" s="85">
        <f>'Consumer Hardware Pricing'!X559</f>
        <v>0</v>
      </c>
      <c r="AC549" s="85">
        <f t="shared" si="2041"/>
        <v>85</v>
      </c>
      <c r="AD549" s="85">
        <f>'Consumer Hardware Pricing'!Y559</f>
        <v>26.42</v>
      </c>
      <c r="AE549" s="85">
        <f t="shared" si="2185"/>
        <v>58.58</v>
      </c>
      <c r="AF549" s="85">
        <f t="shared" si="2186"/>
        <v>634.08000000000004</v>
      </c>
      <c r="AG549" s="85">
        <f t="shared" si="2187"/>
        <v>1405.92</v>
      </c>
      <c r="AH549" s="85">
        <f>'Consumer Hardware Pricing'!AA559</f>
        <v>770</v>
      </c>
      <c r="AI549" s="85">
        <f t="shared" si="2042"/>
        <v>58.500000000000007</v>
      </c>
      <c r="AJ549" s="85">
        <f t="shared" si="2188"/>
        <v>26.499999999999993</v>
      </c>
      <c r="AK549" s="85">
        <f t="shared" si="2189"/>
        <v>1404.0000000000002</v>
      </c>
      <c r="AL549" s="85">
        <f t="shared" si="2190"/>
        <v>635.99999999999977</v>
      </c>
      <c r="AM549" s="85">
        <f>'Consumer Hardware Pricing'!AC559</f>
        <v>0</v>
      </c>
      <c r="AN549" s="85">
        <f t="shared" si="2043"/>
        <v>85</v>
      </c>
      <c r="AO549" s="85">
        <f>'Consumer Hardware Pricing'!AD559</f>
        <v>26.42</v>
      </c>
      <c r="AP549" s="85">
        <f t="shared" si="2191"/>
        <v>58.58</v>
      </c>
      <c r="AQ549" s="85">
        <f t="shared" si="2192"/>
        <v>634.08000000000004</v>
      </c>
      <c r="AR549" s="85">
        <f t="shared" si="2193"/>
        <v>1405.92</v>
      </c>
      <c r="AS549" s="85">
        <f>'Consumer Hardware Pricing'!AF559</f>
        <v>770</v>
      </c>
      <c r="AT549" s="85">
        <f t="shared" si="2044"/>
        <v>58.500000000000007</v>
      </c>
      <c r="AU549" s="85">
        <f t="shared" si="2194"/>
        <v>26.499999999999993</v>
      </c>
      <c r="AV549" s="85">
        <f t="shared" si="2195"/>
        <v>1404.0000000000002</v>
      </c>
      <c r="AW549" s="85">
        <f t="shared" si="2196"/>
        <v>635.99999999999977</v>
      </c>
      <c r="AX549" s="85" t="str">
        <f>'Consumer Hardware Pricing'!AH559</f>
        <v>-</v>
      </c>
      <c r="AY549" s="85" t="str">
        <f t="shared" si="2045"/>
        <v>-</v>
      </c>
      <c r="AZ549" s="85" t="str">
        <f>'Consumer Hardware Pricing'!AI559</f>
        <v>-</v>
      </c>
      <c r="BA549" s="85" t="str">
        <f t="shared" si="2197"/>
        <v>-</v>
      </c>
      <c r="BB549" s="85" t="str">
        <f t="shared" si="2198"/>
        <v>-</v>
      </c>
      <c r="BC549" s="85" t="str">
        <f t="shared" si="2199"/>
        <v>-</v>
      </c>
      <c r="BD549" s="85" t="str">
        <f>'Consumer Hardware Pricing'!AL559</f>
        <v>-</v>
      </c>
      <c r="BE549" s="85" t="str">
        <f t="shared" si="2046"/>
        <v>-</v>
      </c>
      <c r="BF549" s="85" t="str">
        <f>'Consumer Hardware Pricing'!AM559</f>
        <v>-</v>
      </c>
      <c r="BG549" s="85" t="str">
        <f t="shared" si="2200"/>
        <v>-</v>
      </c>
      <c r="BH549" s="85" t="str">
        <f t="shared" si="2201"/>
        <v>-</v>
      </c>
      <c r="BI549" s="85" t="str">
        <f t="shared" si="2202"/>
        <v>-</v>
      </c>
      <c r="BJ549" s="85" t="str">
        <f>'Consumer Hardware Pricing'!AP559</f>
        <v>-</v>
      </c>
      <c r="BK549" s="85" t="str">
        <f t="shared" si="2047"/>
        <v>-</v>
      </c>
      <c r="BL549" s="85" t="str">
        <f>'Consumer Hardware Pricing'!AQ559</f>
        <v>-</v>
      </c>
      <c r="BM549" s="85" t="str">
        <f t="shared" si="2203"/>
        <v>-</v>
      </c>
      <c r="BN549" s="85" t="str">
        <f t="shared" si="2204"/>
        <v>-</v>
      </c>
      <c r="BO549" s="85" t="str">
        <f t="shared" si="2205"/>
        <v>-</v>
      </c>
      <c r="BP549" s="85" t="str">
        <f>'Consumer Hardware Pricing'!AT559</f>
        <v>-</v>
      </c>
      <c r="BQ549" s="85" t="str">
        <f t="shared" si="2048"/>
        <v>-</v>
      </c>
      <c r="BR549" s="85" t="str">
        <f>'Consumer Hardware Pricing'!AU559</f>
        <v>-</v>
      </c>
      <c r="BS549" s="85" t="str">
        <f t="shared" si="2206"/>
        <v>-</v>
      </c>
      <c r="BT549" s="85" t="str">
        <f t="shared" si="2207"/>
        <v>-</v>
      </c>
      <c r="BU549" s="85" t="str">
        <f t="shared" si="2208"/>
        <v>-</v>
      </c>
    </row>
    <row r="550" spans="1:73" ht="30.45" customHeight="1" x14ac:dyDescent="0.25">
      <c r="A550" s="87" t="s">
        <v>34</v>
      </c>
      <c r="B550" s="88" t="s">
        <v>1201</v>
      </c>
      <c r="C550" s="88" t="s">
        <v>1208</v>
      </c>
      <c r="D550" s="85">
        <f>'Consumer Hardware Pricing'!L560</f>
        <v>2125</v>
      </c>
      <c r="E550" s="85">
        <f>'Consumer Hardware Pricing'!M560</f>
        <v>2125</v>
      </c>
      <c r="F550" s="85">
        <f>'Consumer Hardware Pricing'!N560</f>
        <v>0</v>
      </c>
      <c r="G550" s="85">
        <f t="shared" si="2049"/>
        <v>88.550000000000011</v>
      </c>
      <c r="H550" s="85">
        <f>'Consumer Hardware Pricing'!O560</f>
        <v>16.880000000000003</v>
      </c>
      <c r="I550" s="85">
        <f t="shared" si="2050"/>
        <v>71.670000000000016</v>
      </c>
      <c r="J550" s="85">
        <f t="shared" si="2051"/>
        <v>405.12000000000006</v>
      </c>
      <c r="K550" s="85">
        <f t="shared" si="2052"/>
        <v>1720.0800000000004</v>
      </c>
      <c r="L550" s="85">
        <f>'Consumer Hardware Pricing'!Q560</f>
        <v>780</v>
      </c>
      <c r="M550" s="85">
        <f t="shared" si="2053"/>
        <v>49.38000000000001</v>
      </c>
      <c r="N550" s="85">
        <f t="shared" si="2054"/>
        <v>39.17</v>
      </c>
      <c r="O550" s="85">
        <f t="shared" si="2055"/>
        <v>1185.1200000000003</v>
      </c>
      <c r="P550" s="85">
        <f t="shared" si="2056"/>
        <v>940.08</v>
      </c>
      <c r="Q550" s="85">
        <f>'Consumer Hardware Pricing'!S560</f>
        <v>0</v>
      </c>
      <c r="R550" s="85">
        <f t="shared" si="2057"/>
        <v>88.550000000000011</v>
      </c>
      <c r="S550" s="85">
        <f>'Consumer Hardware Pricing'!T560</f>
        <v>16.880000000000003</v>
      </c>
      <c r="T550" s="129">
        <f t="shared" si="2058"/>
        <v>71.670000000000016</v>
      </c>
      <c r="U550" s="129">
        <f t="shared" si="2059"/>
        <v>405.12000000000006</v>
      </c>
      <c r="V550" s="85">
        <f t="shared" si="2060"/>
        <v>1720.0800000000004</v>
      </c>
      <c r="W550" s="129">
        <f>'Consumer Hardware Pricing'!V560</f>
        <v>780</v>
      </c>
      <c r="X550" s="129">
        <f t="shared" si="2061"/>
        <v>49.38000000000001</v>
      </c>
      <c r="Y550" s="129">
        <f t="shared" si="2062"/>
        <v>39.17</v>
      </c>
      <c r="Z550" s="129">
        <f t="shared" si="2063"/>
        <v>1185.1200000000003</v>
      </c>
      <c r="AA550" s="85">
        <f t="shared" si="2064"/>
        <v>940.08</v>
      </c>
      <c r="AB550" s="85">
        <f>'Consumer Hardware Pricing'!X560</f>
        <v>0</v>
      </c>
      <c r="AC550" s="85">
        <f t="shared" si="2041"/>
        <v>88.550000000000011</v>
      </c>
      <c r="AD550" s="85">
        <f>'Consumer Hardware Pricing'!Y560</f>
        <v>26.88</v>
      </c>
      <c r="AE550" s="85">
        <f t="shared" si="2065"/>
        <v>61.670000000000016</v>
      </c>
      <c r="AF550" s="85">
        <f t="shared" si="2066"/>
        <v>645.12</v>
      </c>
      <c r="AG550" s="85">
        <f t="shared" si="2067"/>
        <v>1480.0800000000004</v>
      </c>
      <c r="AH550" s="85">
        <f>'Consumer Hardware Pricing'!AA560</f>
        <v>780</v>
      </c>
      <c r="AI550" s="85">
        <f t="shared" si="2042"/>
        <v>59.38000000000001</v>
      </c>
      <c r="AJ550" s="85">
        <f t="shared" si="2068"/>
        <v>29.17</v>
      </c>
      <c r="AK550" s="85">
        <f t="shared" si="2069"/>
        <v>1425.1200000000003</v>
      </c>
      <c r="AL550" s="85">
        <f t="shared" si="2070"/>
        <v>700.08</v>
      </c>
      <c r="AM550" s="85">
        <f>'Consumer Hardware Pricing'!AC560</f>
        <v>0</v>
      </c>
      <c r="AN550" s="85">
        <f t="shared" si="2043"/>
        <v>88.550000000000011</v>
      </c>
      <c r="AO550" s="85">
        <f>'Consumer Hardware Pricing'!AD560</f>
        <v>26.88</v>
      </c>
      <c r="AP550" s="85">
        <f t="shared" si="2071"/>
        <v>61.670000000000016</v>
      </c>
      <c r="AQ550" s="85">
        <f t="shared" si="2072"/>
        <v>645.12</v>
      </c>
      <c r="AR550" s="85">
        <f t="shared" si="2073"/>
        <v>1480.0800000000004</v>
      </c>
      <c r="AS550" s="85">
        <f>'Consumer Hardware Pricing'!AF560</f>
        <v>780</v>
      </c>
      <c r="AT550" s="85">
        <f t="shared" si="2044"/>
        <v>59.38000000000001</v>
      </c>
      <c r="AU550" s="85">
        <f t="shared" si="2074"/>
        <v>29.17</v>
      </c>
      <c r="AV550" s="85">
        <f t="shared" si="2075"/>
        <v>1425.1200000000003</v>
      </c>
      <c r="AW550" s="85">
        <f t="shared" si="2076"/>
        <v>700.08</v>
      </c>
      <c r="AX550" s="85" t="str">
        <f>'Consumer Hardware Pricing'!AH560</f>
        <v>-</v>
      </c>
      <c r="AY550" s="85" t="str">
        <f t="shared" si="2045"/>
        <v>-</v>
      </c>
      <c r="AZ550" s="85" t="str">
        <f>'Consumer Hardware Pricing'!AI560</f>
        <v>-</v>
      </c>
      <c r="BA550" s="85" t="str">
        <f t="shared" si="2077"/>
        <v>-</v>
      </c>
      <c r="BB550" s="85" t="str">
        <f t="shared" si="2078"/>
        <v>-</v>
      </c>
      <c r="BC550" s="85" t="str">
        <f t="shared" si="2079"/>
        <v>-</v>
      </c>
      <c r="BD550" s="85" t="str">
        <f>'Consumer Hardware Pricing'!AL560</f>
        <v>-</v>
      </c>
      <c r="BE550" s="85" t="str">
        <f t="shared" si="2046"/>
        <v>-</v>
      </c>
      <c r="BF550" s="85" t="str">
        <f>'Consumer Hardware Pricing'!AM560</f>
        <v>-</v>
      </c>
      <c r="BG550" s="85" t="str">
        <f t="shared" si="2080"/>
        <v>-</v>
      </c>
      <c r="BH550" s="85" t="str">
        <f t="shared" si="2081"/>
        <v>-</v>
      </c>
      <c r="BI550" s="85" t="str">
        <f t="shared" si="2082"/>
        <v>-</v>
      </c>
      <c r="BJ550" s="85" t="str">
        <f>'Consumer Hardware Pricing'!AP560</f>
        <v>-</v>
      </c>
      <c r="BK550" s="85" t="str">
        <f t="shared" si="2047"/>
        <v>-</v>
      </c>
      <c r="BL550" s="85" t="str">
        <f>'Consumer Hardware Pricing'!AQ560</f>
        <v>-</v>
      </c>
      <c r="BM550" s="85" t="str">
        <f t="shared" si="2083"/>
        <v>-</v>
      </c>
      <c r="BN550" s="85" t="str">
        <f t="shared" si="2084"/>
        <v>-</v>
      </c>
      <c r="BO550" s="85" t="str">
        <f t="shared" si="2085"/>
        <v>-</v>
      </c>
      <c r="BP550" s="85" t="str">
        <f>'Consumer Hardware Pricing'!AT560</f>
        <v>-</v>
      </c>
      <c r="BQ550" s="85" t="str">
        <f t="shared" si="2048"/>
        <v>-</v>
      </c>
      <c r="BR550" s="85" t="str">
        <f>'Consumer Hardware Pricing'!AU560</f>
        <v>-</v>
      </c>
      <c r="BS550" s="85" t="str">
        <f t="shared" si="2086"/>
        <v>-</v>
      </c>
      <c r="BT550" s="85" t="str">
        <f t="shared" si="2087"/>
        <v>-</v>
      </c>
      <c r="BU550" s="85" t="str">
        <f t="shared" si="2088"/>
        <v>-</v>
      </c>
    </row>
    <row r="551" spans="1:73" ht="30.45" customHeight="1" x14ac:dyDescent="0.25">
      <c r="A551" s="87" t="s">
        <v>34</v>
      </c>
      <c r="B551" s="88" t="s">
        <v>1219</v>
      </c>
      <c r="C551" s="88" t="s">
        <v>1208</v>
      </c>
      <c r="D551" s="85">
        <f>'Consumer Hardware Pricing'!L561</f>
        <v>2125</v>
      </c>
      <c r="E551" s="85">
        <f>'Consumer Hardware Pricing'!M561</f>
        <v>2125</v>
      </c>
      <c r="F551" s="85">
        <f>'Consumer Hardware Pricing'!N561</f>
        <v>0</v>
      </c>
      <c r="G551" s="85">
        <f t="shared" ref="G551:G553" si="2209">IF(F551="-","-",ROUNDUP(D551/24,2))</f>
        <v>88.550000000000011</v>
      </c>
      <c r="H551" s="85">
        <f>'Consumer Hardware Pricing'!O561</f>
        <v>16.880000000000003</v>
      </c>
      <c r="I551" s="85">
        <f t="shared" ref="I551:I553" si="2210">IF(H551="-",G551,G551-H551)</f>
        <v>71.670000000000016</v>
      </c>
      <c r="J551" s="85">
        <f t="shared" ref="J551:J553" si="2211">IF(H551="-",H551,H551*24)</f>
        <v>405.12000000000006</v>
      </c>
      <c r="K551" s="85">
        <f t="shared" ref="K551:K553" si="2212">IF(F551="-",F551,I551*24)</f>
        <v>1720.0800000000004</v>
      </c>
      <c r="L551" s="85">
        <f>'Consumer Hardware Pricing'!Q561</f>
        <v>780</v>
      </c>
      <c r="M551" s="85">
        <f t="shared" ref="M551:M553" si="2213">IF(L551="-",L551,IF(H551="-",G551-ROUNDUP((D551-L551)/24,2),H551+G551-ROUNDUP((D551-L551)/24,2)))</f>
        <v>49.38000000000001</v>
      </c>
      <c r="N551" s="85">
        <f t="shared" ref="N551:N553" si="2214">IF(L551="-",L551,G551-M551)</f>
        <v>39.17</v>
      </c>
      <c r="O551" s="85">
        <f t="shared" ref="O551:O553" si="2215">IF(L551="-",L551,M551*24)</f>
        <v>1185.1200000000003</v>
      </c>
      <c r="P551" s="85">
        <f t="shared" ref="P551:P553" si="2216">IF(L551="-",L551,N551*24)</f>
        <v>940.08</v>
      </c>
      <c r="Q551" s="85">
        <f>'Consumer Hardware Pricing'!S561</f>
        <v>0</v>
      </c>
      <c r="R551" s="85">
        <f t="shared" ref="R551:R553" si="2217">G551</f>
        <v>88.550000000000011</v>
      </c>
      <c r="S551" s="85">
        <f>'Consumer Hardware Pricing'!T561</f>
        <v>16.880000000000003</v>
      </c>
      <c r="T551" s="129">
        <f t="shared" ref="T551:T553" si="2218">IF(S551="-",R551,R551-S551)</f>
        <v>71.670000000000016</v>
      </c>
      <c r="U551" s="129">
        <f t="shared" ref="U551:U553" si="2219">IF(S551="-",S551,S551*24)</f>
        <v>405.12000000000006</v>
      </c>
      <c r="V551" s="85">
        <f t="shared" ref="V551:V553" si="2220">IF(Q551="-",Q551,T551*24)</f>
        <v>1720.0800000000004</v>
      </c>
      <c r="W551" s="129">
        <f>'Consumer Hardware Pricing'!V561</f>
        <v>780</v>
      </c>
      <c r="X551" s="129">
        <f t="shared" ref="X551:X553" si="2221">IF(W551="-",W551,IF(S551="-",R551-ROUNDUP((D551-W551)/24,2),S551+R551-ROUNDUP((D551-W551)/24,2)))</f>
        <v>49.38000000000001</v>
      </c>
      <c r="Y551" s="129">
        <f t="shared" ref="Y551:Y553" si="2222">IF(W551="-",W551,R551-X551)</f>
        <v>39.17</v>
      </c>
      <c r="Z551" s="129">
        <f t="shared" ref="Z551:Z553" si="2223">IF(W551="-",W551,X551*24)</f>
        <v>1185.1200000000003</v>
      </c>
      <c r="AA551" s="85">
        <f t="shared" ref="AA551:AA553" si="2224">IF(W551="-",W551,Y551*24)</f>
        <v>940.08</v>
      </c>
      <c r="AB551" s="85">
        <f>'Consumer Hardware Pricing'!X561</f>
        <v>0</v>
      </c>
      <c r="AC551" s="85">
        <f t="shared" si="2041"/>
        <v>88.550000000000011</v>
      </c>
      <c r="AD551" s="85">
        <f>'Consumer Hardware Pricing'!Y561</f>
        <v>26.88</v>
      </c>
      <c r="AE551" s="85">
        <f t="shared" ref="AE551:AE553" si="2225">IF(AD551="-",AC551,AC551-AD551)</f>
        <v>61.670000000000016</v>
      </c>
      <c r="AF551" s="85">
        <f t="shared" ref="AF551:AF553" si="2226">IF(AD551="-",AD551,AD551*24)</f>
        <v>645.12</v>
      </c>
      <c r="AG551" s="85">
        <f t="shared" ref="AG551:AG553" si="2227">IF(AB551="-",AB551,AE551*24)</f>
        <v>1480.0800000000004</v>
      </c>
      <c r="AH551" s="85">
        <f>'Consumer Hardware Pricing'!AA561</f>
        <v>780</v>
      </c>
      <c r="AI551" s="85">
        <f t="shared" si="2042"/>
        <v>59.38000000000001</v>
      </c>
      <c r="AJ551" s="85">
        <f t="shared" ref="AJ551:AJ553" si="2228">IF(AH551="-",AH551,AC551-AI551)</f>
        <v>29.17</v>
      </c>
      <c r="AK551" s="85">
        <f t="shared" ref="AK551:AK553" si="2229">IF(AH551="-",AH551,AI551*24)</f>
        <v>1425.1200000000003</v>
      </c>
      <c r="AL551" s="85">
        <f t="shared" ref="AL551:AL553" si="2230">IF(AH551="-",AH551,AJ551*24)</f>
        <v>700.08</v>
      </c>
      <c r="AM551" s="85">
        <f>'Consumer Hardware Pricing'!AC561</f>
        <v>0</v>
      </c>
      <c r="AN551" s="85">
        <f t="shared" si="2043"/>
        <v>88.550000000000011</v>
      </c>
      <c r="AO551" s="85">
        <f>'Consumer Hardware Pricing'!AD561</f>
        <v>26.88</v>
      </c>
      <c r="AP551" s="85">
        <f t="shared" ref="AP551:AP553" si="2231">IF(AO551="-",AN551,AN551-AO551)</f>
        <v>61.670000000000016</v>
      </c>
      <c r="AQ551" s="85">
        <f t="shared" ref="AQ551:AQ553" si="2232">IF(AO551="-",AO551,AO551*24)</f>
        <v>645.12</v>
      </c>
      <c r="AR551" s="85">
        <f t="shared" ref="AR551:AR553" si="2233">IF(AM551="-",AM551,AP551*24)</f>
        <v>1480.0800000000004</v>
      </c>
      <c r="AS551" s="85">
        <f>'Consumer Hardware Pricing'!AF561</f>
        <v>780</v>
      </c>
      <c r="AT551" s="85">
        <f t="shared" si="2044"/>
        <v>59.38000000000001</v>
      </c>
      <c r="AU551" s="85">
        <f t="shared" ref="AU551:AU553" si="2234">IF(AS551="-",AS551,AN551-AT551)</f>
        <v>29.17</v>
      </c>
      <c r="AV551" s="85">
        <f t="shared" ref="AV551:AV553" si="2235">IF(AS551="-",AS551,AT551*24)</f>
        <v>1425.1200000000003</v>
      </c>
      <c r="AW551" s="85">
        <f t="shared" ref="AW551:AW553" si="2236">IF(AS551="-",AS551,AU551*24)</f>
        <v>700.08</v>
      </c>
      <c r="AX551" s="85" t="str">
        <f>'Consumer Hardware Pricing'!AH561</f>
        <v>-</v>
      </c>
      <c r="AY551" s="85" t="str">
        <f t="shared" si="2045"/>
        <v>-</v>
      </c>
      <c r="AZ551" s="85" t="str">
        <f>'Consumer Hardware Pricing'!AI561</f>
        <v>-</v>
      </c>
      <c r="BA551" s="85" t="str">
        <f t="shared" ref="BA551:BA553" si="2237">IF(AZ551="-",AY551,AY551-AZ551)</f>
        <v>-</v>
      </c>
      <c r="BB551" s="85" t="str">
        <f t="shared" ref="BB551:BB553" si="2238">IF(AZ551="-",AZ551,AZ551*24)</f>
        <v>-</v>
      </c>
      <c r="BC551" s="85" t="str">
        <f t="shared" ref="BC551:BC553" si="2239">IF(AX551="-",AX551,AX551+(BA551*24))</f>
        <v>-</v>
      </c>
      <c r="BD551" s="85" t="str">
        <f>'Consumer Hardware Pricing'!AL561</f>
        <v>-</v>
      </c>
      <c r="BE551" s="85" t="str">
        <f t="shared" si="2046"/>
        <v>-</v>
      </c>
      <c r="BF551" s="85" t="str">
        <f>'Consumer Hardware Pricing'!AM561</f>
        <v>-</v>
      </c>
      <c r="BG551" s="85" t="str">
        <f t="shared" ref="BG551:BG553" si="2240">IF(BF551="-",BE551,BE551-BF551)</f>
        <v>-</v>
      </c>
      <c r="BH551" s="85" t="str">
        <f t="shared" ref="BH551:BH553" si="2241">IF(BF551="-",BF551,BF551*24)</f>
        <v>-</v>
      </c>
      <c r="BI551" s="85" t="str">
        <f t="shared" ref="BI551:BI553" si="2242">IF(BD551="-",BD551,BD551+(BG551*24))</f>
        <v>-</v>
      </c>
      <c r="BJ551" s="85" t="str">
        <f>'Consumer Hardware Pricing'!AP561</f>
        <v>-</v>
      </c>
      <c r="BK551" s="85" t="str">
        <f t="shared" si="2047"/>
        <v>-</v>
      </c>
      <c r="BL551" s="85" t="str">
        <f>'Consumer Hardware Pricing'!AQ561</f>
        <v>-</v>
      </c>
      <c r="BM551" s="85" t="str">
        <f t="shared" ref="BM551:BM553" si="2243">IF(BL551="-",BK551,BK551-BL551)</f>
        <v>-</v>
      </c>
      <c r="BN551" s="85" t="str">
        <f t="shared" ref="BN551:BN553" si="2244">IF(BL551="-",BL551,BL551*24)</f>
        <v>-</v>
      </c>
      <c r="BO551" s="85" t="str">
        <f t="shared" ref="BO551:BO553" si="2245">IF(BJ551="-",BJ551,BJ551+(BM551*24))</f>
        <v>-</v>
      </c>
      <c r="BP551" s="85" t="str">
        <f>'Consumer Hardware Pricing'!AT561</f>
        <v>-</v>
      </c>
      <c r="BQ551" s="85" t="str">
        <f t="shared" si="2048"/>
        <v>-</v>
      </c>
      <c r="BR551" s="85" t="str">
        <f>'Consumer Hardware Pricing'!AU561</f>
        <v>-</v>
      </c>
      <c r="BS551" s="85" t="str">
        <f t="shared" ref="BS551:BS553" si="2246">IF(BR551="-",BQ551,BQ551-BR551)</f>
        <v>-</v>
      </c>
      <c r="BT551" s="85" t="str">
        <f t="shared" ref="BT551:BT553" si="2247">IF(BR551="-",BR551,BR551*24)</f>
        <v>-</v>
      </c>
      <c r="BU551" s="85" t="str">
        <f t="shared" ref="BU551:BU553" si="2248">IF(BP551="-",BP551,BP551+(BS551*24))</f>
        <v>-</v>
      </c>
    </row>
    <row r="552" spans="1:73" ht="30.45" customHeight="1" x14ac:dyDescent="0.25">
      <c r="A552" s="87" t="s">
        <v>34</v>
      </c>
      <c r="B552" s="88" t="s">
        <v>1220</v>
      </c>
      <c r="C552" s="88" t="s">
        <v>1208</v>
      </c>
      <c r="D552" s="85">
        <f>'Consumer Hardware Pricing'!L562</f>
        <v>2125</v>
      </c>
      <c r="E552" s="85">
        <f>'Consumer Hardware Pricing'!M562</f>
        <v>2125</v>
      </c>
      <c r="F552" s="85">
        <f>'Consumer Hardware Pricing'!N562</f>
        <v>0</v>
      </c>
      <c r="G552" s="85">
        <f t="shared" si="2209"/>
        <v>88.550000000000011</v>
      </c>
      <c r="H552" s="85">
        <f>'Consumer Hardware Pricing'!O562</f>
        <v>16.880000000000003</v>
      </c>
      <c r="I552" s="85">
        <f t="shared" si="2210"/>
        <v>71.670000000000016</v>
      </c>
      <c r="J552" s="85">
        <f t="shared" si="2211"/>
        <v>405.12000000000006</v>
      </c>
      <c r="K552" s="85">
        <f t="shared" si="2212"/>
        <v>1720.0800000000004</v>
      </c>
      <c r="L552" s="85">
        <f>'Consumer Hardware Pricing'!Q562</f>
        <v>780</v>
      </c>
      <c r="M552" s="85">
        <f t="shared" si="2213"/>
        <v>49.38000000000001</v>
      </c>
      <c r="N552" s="85">
        <f t="shared" si="2214"/>
        <v>39.17</v>
      </c>
      <c r="O552" s="85">
        <f t="shared" si="2215"/>
        <v>1185.1200000000003</v>
      </c>
      <c r="P552" s="85">
        <f t="shared" si="2216"/>
        <v>940.08</v>
      </c>
      <c r="Q552" s="85">
        <f>'Consumer Hardware Pricing'!S562</f>
        <v>0</v>
      </c>
      <c r="R552" s="85">
        <f t="shared" si="2217"/>
        <v>88.550000000000011</v>
      </c>
      <c r="S552" s="85">
        <f>'Consumer Hardware Pricing'!T562</f>
        <v>16.880000000000003</v>
      </c>
      <c r="T552" s="129">
        <f t="shared" si="2218"/>
        <v>71.670000000000016</v>
      </c>
      <c r="U552" s="129">
        <f t="shared" si="2219"/>
        <v>405.12000000000006</v>
      </c>
      <c r="V552" s="85">
        <f t="shared" si="2220"/>
        <v>1720.0800000000004</v>
      </c>
      <c r="W552" s="129">
        <f>'Consumer Hardware Pricing'!V562</f>
        <v>780</v>
      </c>
      <c r="X552" s="129">
        <f t="shared" si="2221"/>
        <v>49.38000000000001</v>
      </c>
      <c r="Y552" s="129">
        <f t="shared" si="2222"/>
        <v>39.17</v>
      </c>
      <c r="Z552" s="129">
        <f t="shared" si="2223"/>
        <v>1185.1200000000003</v>
      </c>
      <c r="AA552" s="85">
        <f t="shared" si="2224"/>
        <v>940.08</v>
      </c>
      <c r="AB552" s="85">
        <f>'Consumer Hardware Pricing'!X562</f>
        <v>0</v>
      </c>
      <c r="AC552" s="85">
        <f t="shared" si="2041"/>
        <v>88.550000000000011</v>
      </c>
      <c r="AD552" s="85">
        <f>'Consumer Hardware Pricing'!Y562</f>
        <v>26.88</v>
      </c>
      <c r="AE552" s="85">
        <f t="shared" si="2225"/>
        <v>61.670000000000016</v>
      </c>
      <c r="AF552" s="85">
        <f t="shared" si="2226"/>
        <v>645.12</v>
      </c>
      <c r="AG552" s="85">
        <f t="shared" si="2227"/>
        <v>1480.0800000000004</v>
      </c>
      <c r="AH552" s="85">
        <f>'Consumer Hardware Pricing'!AA562</f>
        <v>780</v>
      </c>
      <c r="AI552" s="85">
        <f t="shared" si="2042"/>
        <v>59.38000000000001</v>
      </c>
      <c r="AJ552" s="85">
        <f t="shared" si="2228"/>
        <v>29.17</v>
      </c>
      <c r="AK552" s="85">
        <f t="shared" si="2229"/>
        <v>1425.1200000000003</v>
      </c>
      <c r="AL552" s="85">
        <f t="shared" si="2230"/>
        <v>700.08</v>
      </c>
      <c r="AM552" s="85">
        <f>'Consumer Hardware Pricing'!AC562</f>
        <v>0</v>
      </c>
      <c r="AN552" s="85">
        <f t="shared" si="2043"/>
        <v>88.550000000000011</v>
      </c>
      <c r="AO552" s="85">
        <f>'Consumer Hardware Pricing'!AD562</f>
        <v>26.88</v>
      </c>
      <c r="AP552" s="85">
        <f t="shared" si="2231"/>
        <v>61.670000000000016</v>
      </c>
      <c r="AQ552" s="85">
        <f t="shared" si="2232"/>
        <v>645.12</v>
      </c>
      <c r="AR552" s="85">
        <f t="shared" si="2233"/>
        <v>1480.0800000000004</v>
      </c>
      <c r="AS552" s="85">
        <f>'Consumer Hardware Pricing'!AF562</f>
        <v>780</v>
      </c>
      <c r="AT552" s="85">
        <f t="shared" si="2044"/>
        <v>59.38000000000001</v>
      </c>
      <c r="AU552" s="85">
        <f t="shared" si="2234"/>
        <v>29.17</v>
      </c>
      <c r="AV552" s="85">
        <f t="shared" si="2235"/>
        <v>1425.1200000000003</v>
      </c>
      <c r="AW552" s="85">
        <f t="shared" si="2236"/>
        <v>700.08</v>
      </c>
      <c r="AX552" s="85" t="str">
        <f>'Consumer Hardware Pricing'!AH562</f>
        <v>-</v>
      </c>
      <c r="AY552" s="85" t="str">
        <f t="shared" si="2045"/>
        <v>-</v>
      </c>
      <c r="AZ552" s="85" t="str">
        <f>'Consumer Hardware Pricing'!AI562</f>
        <v>-</v>
      </c>
      <c r="BA552" s="85" t="str">
        <f t="shared" si="2237"/>
        <v>-</v>
      </c>
      <c r="BB552" s="85" t="str">
        <f t="shared" si="2238"/>
        <v>-</v>
      </c>
      <c r="BC552" s="85" t="str">
        <f t="shared" si="2239"/>
        <v>-</v>
      </c>
      <c r="BD552" s="85" t="str">
        <f>'Consumer Hardware Pricing'!AL562</f>
        <v>-</v>
      </c>
      <c r="BE552" s="85" t="str">
        <f t="shared" si="2046"/>
        <v>-</v>
      </c>
      <c r="BF552" s="85" t="str">
        <f>'Consumer Hardware Pricing'!AM562</f>
        <v>-</v>
      </c>
      <c r="BG552" s="85" t="str">
        <f t="shared" si="2240"/>
        <v>-</v>
      </c>
      <c r="BH552" s="85" t="str">
        <f t="shared" si="2241"/>
        <v>-</v>
      </c>
      <c r="BI552" s="85" t="str">
        <f t="shared" si="2242"/>
        <v>-</v>
      </c>
      <c r="BJ552" s="85" t="str">
        <f>'Consumer Hardware Pricing'!AP562</f>
        <v>-</v>
      </c>
      <c r="BK552" s="85" t="str">
        <f t="shared" si="2047"/>
        <v>-</v>
      </c>
      <c r="BL552" s="85" t="str">
        <f>'Consumer Hardware Pricing'!AQ562</f>
        <v>-</v>
      </c>
      <c r="BM552" s="85" t="str">
        <f t="shared" si="2243"/>
        <v>-</v>
      </c>
      <c r="BN552" s="85" t="str">
        <f t="shared" si="2244"/>
        <v>-</v>
      </c>
      <c r="BO552" s="85" t="str">
        <f t="shared" si="2245"/>
        <v>-</v>
      </c>
      <c r="BP552" s="85" t="str">
        <f>'Consumer Hardware Pricing'!AT562</f>
        <v>-</v>
      </c>
      <c r="BQ552" s="85" t="str">
        <f t="shared" si="2048"/>
        <v>-</v>
      </c>
      <c r="BR552" s="85" t="str">
        <f>'Consumer Hardware Pricing'!AU562</f>
        <v>-</v>
      </c>
      <c r="BS552" s="85" t="str">
        <f t="shared" si="2246"/>
        <v>-</v>
      </c>
      <c r="BT552" s="85" t="str">
        <f t="shared" si="2247"/>
        <v>-</v>
      </c>
      <c r="BU552" s="85" t="str">
        <f t="shared" si="2248"/>
        <v>-</v>
      </c>
    </row>
    <row r="553" spans="1:73" ht="30.45" customHeight="1" x14ac:dyDescent="0.25">
      <c r="A553" s="87" t="s">
        <v>34</v>
      </c>
      <c r="B553" s="88" t="s">
        <v>1221</v>
      </c>
      <c r="C553" s="88" t="s">
        <v>1208</v>
      </c>
      <c r="D553" s="85">
        <f>'Consumer Hardware Pricing'!L563</f>
        <v>2125</v>
      </c>
      <c r="E553" s="85">
        <f>'Consumer Hardware Pricing'!M563</f>
        <v>2125</v>
      </c>
      <c r="F553" s="85">
        <f>'Consumer Hardware Pricing'!N563</f>
        <v>0</v>
      </c>
      <c r="G553" s="85">
        <f t="shared" si="2209"/>
        <v>88.550000000000011</v>
      </c>
      <c r="H553" s="85">
        <f>'Consumer Hardware Pricing'!O563</f>
        <v>16.880000000000003</v>
      </c>
      <c r="I553" s="85">
        <f t="shared" si="2210"/>
        <v>71.670000000000016</v>
      </c>
      <c r="J553" s="85">
        <f t="shared" si="2211"/>
        <v>405.12000000000006</v>
      </c>
      <c r="K553" s="85">
        <f t="shared" si="2212"/>
        <v>1720.0800000000004</v>
      </c>
      <c r="L553" s="85">
        <f>'Consumer Hardware Pricing'!Q563</f>
        <v>780</v>
      </c>
      <c r="M553" s="85">
        <f t="shared" si="2213"/>
        <v>49.38000000000001</v>
      </c>
      <c r="N553" s="85">
        <f t="shared" si="2214"/>
        <v>39.17</v>
      </c>
      <c r="O553" s="85">
        <f t="shared" si="2215"/>
        <v>1185.1200000000003</v>
      </c>
      <c r="P553" s="85">
        <f t="shared" si="2216"/>
        <v>940.08</v>
      </c>
      <c r="Q553" s="85">
        <f>'Consumer Hardware Pricing'!S563</f>
        <v>0</v>
      </c>
      <c r="R553" s="85">
        <f t="shared" si="2217"/>
        <v>88.550000000000011</v>
      </c>
      <c r="S553" s="85">
        <f>'Consumer Hardware Pricing'!T563</f>
        <v>16.880000000000003</v>
      </c>
      <c r="T553" s="129">
        <f t="shared" si="2218"/>
        <v>71.670000000000016</v>
      </c>
      <c r="U553" s="129">
        <f t="shared" si="2219"/>
        <v>405.12000000000006</v>
      </c>
      <c r="V553" s="85">
        <f t="shared" si="2220"/>
        <v>1720.0800000000004</v>
      </c>
      <c r="W553" s="129">
        <f>'Consumer Hardware Pricing'!V563</f>
        <v>780</v>
      </c>
      <c r="X553" s="129">
        <f t="shared" si="2221"/>
        <v>49.38000000000001</v>
      </c>
      <c r="Y553" s="129">
        <f t="shared" si="2222"/>
        <v>39.17</v>
      </c>
      <c r="Z553" s="129">
        <f t="shared" si="2223"/>
        <v>1185.1200000000003</v>
      </c>
      <c r="AA553" s="85">
        <f t="shared" si="2224"/>
        <v>940.08</v>
      </c>
      <c r="AB553" s="85">
        <f>'Consumer Hardware Pricing'!X563</f>
        <v>0</v>
      </c>
      <c r="AC553" s="85">
        <f t="shared" si="2041"/>
        <v>88.550000000000011</v>
      </c>
      <c r="AD553" s="85">
        <f>'Consumer Hardware Pricing'!Y563</f>
        <v>26.88</v>
      </c>
      <c r="AE553" s="85">
        <f t="shared" si="2225"/>
        <v>61.670000000000016</v>
      </c>
      <c r="AF553" s="85">
        <f t="shared" si="2226"/>
        <v>645.12</v>
      </c>
      <c r="AG553" s="85">
        <f t="shared" si="2227"/>
        <v>1480.0800000000004</v>
      </c>
      <c r="AH553" s="85">
        <f>'Consumer Hardware Pricing'!AA563</f>
        <v>780</v>
      </c>
      <c r="AI553" s="85">
        <f t="shared" si="2042"/>
        <v>59.38000000000001</v>
      </c>
      <c r="AJ553" s="85">
        <f t="shared" si="2228"/>
        <v>29.17</v>
      </c>
      <c r="AK553" s="85">
        <f t="shared" si="2229"/>
        <v>1425.1200000000003</v>
      </c>
      <c r="AL553" s="85">
        <f t="shared" si="2230"/>
        <v>700.08</v>
      </c>
      <c r="AM553" s="85">
        <f>'Consumer Hardware Pricing'!AC563</f>
        <v>0</v>
      </c>
      <c r="AN553" s="85">
        <f t="shared" si="2043"/>
        <v>88.550000000000011</v>
      </c>
      <c r="AO553" s="85">
        <f>'Consumer Hardware Pricing'!AD563</f>
        <v>26.88</v>
      </c>
      <c r="AP553" s="85">
        <f t="shared" si="2231"/>
        <v>61.670000000000016</v>
      </c>
      <c r="AQ553" s="85">
        <f t="shared" si="2232"/>
        <v>645.12</v>
      </c>
      <c r="AR553" s="85">
        <f t="shared" si="2233"/>
        <v>1480.0800000000004</v>
      </c>
      <c r="AS553" s="85">
        <f>'Consumer Hardware Pricing'!AF563</f>
        <v>780</v>
      </c>
      <c r="AT553" s="85">
        <f t="shared" si="2044"/>
        <v>59.38000000000001</v>
      </c>
      <c r="AU553" s="85">
        <f t="shared" si="2234"/>
        <v>29.17</v>
      </c>
      <c r="AV553" s="85">
        <f t="shared" si="2235"/>
        <v>1425.1200000000003</v>
      </c>
      <c r="AW553" s="85">
        <f t="shared" si="2236"/>
        <v>700.08</v>
      </c>
      <c r="AX553" s="85" t="str">
        <f>'Consumer Hardware Pricing'!AH563</f>
        <v>-</v>
      </c>
      <c r="AY553" s="85" t="str">
        <f t="shared" si="2045"/>
        <v>-</v>
      </c>
      <c r="AZ553" s="85" t="str">
        <f>'Consumer Hardware Pricing'!AI563</f>
        <v>-</v>
      </c>
      <c r="BA553" s="85" t="str">
        <f t="shared" si="2237"/>
        <v>-</v>
      </c>
      <c r="BB553" s="85" t="str">
        <f t="shared" si="2238"/>
        <v>-</v>
      </c>
      <c r="BC553" s="85" t="str">
        <f t="shared" si="2239"/>
        <v>-</v>
      </c>
      <c r="BD553" s="85" t="str">
        <f>'Consumer Hardware Pricing'!AL563</f>
        <v>-</v>
      </c>
      <c r="BE553" s="85" t="str">
        <f t="shared" si="2046"/>
        <v>-</v>
      </c>
      <c r="BF553" s="85" t="str">
        <f>'Consumer Hardware Pricing'!AM563</f>
        <v>-</v>
      </c>
      <c r="BG553" s="85" t="str">
        <f t="shared" si="2240"/>
        <v>-</v>
      </c>
      <c r="BH553" s="85" t="str">
        <f t="shared" si="2241"/>
        <v>-</v>
      </c>
      <c r="BI553" s="85" t="str">
        <f t="shared" si="2242"/>
        <v>-</v>
      </c>
      <c r="BJ553" s="85" t="str">
        <f>'Consumer Hardware Pricing'!AP563</f>
        <v>-</v>
      </c>
      <c r="BK553" s="85" t="str">
        <f t="shared" si="2047"/>
        <v>-</v>
      </c>
      <c r="BL553" s="85" t="str">
        <f>'Consumer Hardware Pricing'!AQ563</f>
        <v>-</v>
      </c>
      <c r="BM553" s="85" t="str">
        <f t="shared" si="2243"/>
        <v>-</v>
      </c>
      <c r="BN553" s="85" t="str">
        <f t="shared" si="2244"/>
        <v>-</v>
      </c>
      <c r="BO553" s="85" t="str">
        <f t="shared" si="2245"/>
        <v>-</v>
      </c>
      <c r="BP553" s="85" t="str">
        <f>'Consumer Hardware Pricing'!AT563</f>
        <v>-</v>
      </c>
      <c r="BQ553" s="85" t="str">
        <f t="shared" si="2048"/>
        <v>-</v>
      </c>
      <c r="BR553" s="85" t="str">
        <f>'Consumer Hardware Pricing'!AU563</f>
        <v>-</v>
      </c>
      <c r="BS553" s="85" t="str">
        <f t="shared" si="2246"/>
        <v>-</v>
      </c>
      <c r="BT553" s="85" t="str">
        <f t="shared" si="2247"/>
        <v>-</v>
      </c>
      <c r="BU553" s="85" t="str">
        <f t="shared" si="2248"/>
        <v>-</v>
      </c>
    </row>
    <row r="554" spans="1:73" ht="30.45" customHeight="1" x14ac:dyDescent="0.25">
      <c r="A554" s="87" t="s">
        <v>34</v>
      </c>
      <c r="B554" s="88" t="s">
        <v>1202</v>
      </c>
      <c r="C554" s="88" t="s">
        <v>1209</v>
      </c>
      <c r="D554" s="85">
        <f>'Consumer Hardware Pricing'!L564</f>
        <v>2335</v>
      </c>
      <c r="E554" s="85">
        <f>'Consumer Hardware Pricing'!M564</f>
        <v>2335</v>
      </c>
      <c r="F554" s="85">
        <f>'Consumer Hardware Pricing'!N564</f>
        <v>0</v>
      </c>
      <c r="G554" s="85">
        <f t="shared" si="2049"/>
        <v>97.300000000000011</v>
      </c>
      <c r="H554" s="85">
        <f>'Consumer Hardware Pricing'!O564</f>
        <v>18.55</v>
      </c>
      <c r="I554" s="85">
        <f t="shared" si="2050"/>
        <v>78.750000000000014</v>
      </c>
      <c r="J554" s="85">
        <f t="shared" si="2051"/>
        <v>445.20000000000005</v>
      </c>
      <c r="K554" s="85">
        <f t="shared" si="2052"/>
        <v>1890.0000000000005</v>
      </c>
      <c r="L554" s="85">
        <f>'Consumer Hardware Pricing'!Q564</f>
        <v>820</v>
      </c>
      <c r="M554" s="85">
        <f t="shared" si="2053"/>
        <v>52.720000000000013</v>
      </c>
      <c r="N554" s="85">
        <f t="shared" si="2054"/>
        <v>44.58</v>
      </c>
      <c r="O554" s="85">
        <f t="shared" si="2055"/>
        <v>1265.2800000000002</v>
      </c>
      <c r="P554" s="85">
        <f t="shared" si="2056"/>
        <v>1069.92</v>
      </c>
      <c r="Q554" s="85">
        <f>'Consumer Hardware Pricing'!S564</f>
        <v>0</v>
      </c>
      <c r="R554" s="85">
        <f t="shared" si="2057"/>
        <v>97.300000000000011</v>
      </c>
      <c r="S554" s="85">
        <f>'Consumer Hardware Pricing'!T564</f>
        <v>18.55</v>
      </c>
      <c r="T554" s="129">
        <f t="shared" si="2058"/>
        <v>78.750000000000014</v>
      </c>
      <c r="U554" s="129">
        <f t="shared" si="2059"/>
        <v>445.20000000000005</v>
      </c>
      <c r="V554" s="85">
        <f t="shared" si="2060"/>
        <v>1890.0000000000005</v>
      </c>
      <c r="W554" s="129">
        <f>'Consumer Hardware Pricing'!V564</f>
        <v>820</v>
      </c>
      <c r="X554" s="129">
        <f t="shared" si="2061"/>
        <v>52.720000000000013</v>
      </c>
      <c r="Y554" s="129">
        <f t="shared" si="2062"/>
        <v>44.58</v>
      </c>
      <c r="Z554" s="129">
        <f t="shared" si="2063"/>
        <v>1265.2800000000002</v>
      </c>
      <c r="AA554" s="85">
        <f t="shared" si="2064"/>
        <v>1069.92</v>
      </c>
      <c r="AB554" s="85">
        <f>'Consumer Hardware Pricing'!X564</f>
        <v>0</v>
      </c>
      <c r="AC554" s="85">
        <f t="shared" si="2041"/>
        <v>97.300000000000011</v>
      </c>
      <c r="AD554" s="85">
        <f>'Consumer Hardware Pricing'!Y564</f>
        <v>28.55</v>
      </c>
      <c r="AE554" s="85">
        <f t="shared" si="2065"/>
        <v>68.750000000000014</v>
      </c>
      <c r="AF554" s="85">
        <f t="shared" si="2066"/>
        <v>685.2</v>
      </c>
      <c r="AG554" s="85">
        <f t="shared" si="2067"/>
        <v>1650.0000000000005</v>
      </c>
      <c r="AH554" s="85">
        <f>'Consumer Hardware Pricing'!AA564</f>
        <v>820</v>
      </c>
      <c r="AI554" s="85">
        <f t="shared" si="2042"/>
        <v>62.720000000000013</v>
      </c>
      <c r="AJ554" s="85">
        <f t="shared" si="2068"/>
        <v>34.58</v>
      </c>
      <c r="AK554" s="85">
        <f t="shared" si="2069"/>
        <v>1505.2800000000002</v>
      </c>
      <c r="AL554" s="85">
        <f t="shared" si="2070"/>
        <v>829.92</v>
      </c>
      <c r="AM554" s="85">
        <f>'Consumer Hardware Pricing'!AC564</f>
        <v>0</v>
      </c>
      <c r="AN554" s="85">
        <f t="shared" si="2043"/>
        <v>97.300000000000011</v>
      </c>
      <c r="AO554" s="85">
        <f>'Consumer Hardware Pricing'!AD564</f>
        <v>28.55</v>
      </c>
      <c r="AP554" s="85">
        <f t="shared" si="2071"/>
        <v>68.750000000000014</v>
      </c>
      <c r="AQ554" s="85">
        <f t="shared" si="2072"/>
        <v>685.2</v>
      </c>
      <c r="AR554" s="85">
        <f t="shared" si="2073"/>
        <v>1650.0000000000005</v>
      </c>
      <c r="AS554" s="85">
        <f>'Consumer Hardware Pricing'!AF564</f>
        <v>820</v>
      </c>
      <c r="AT554" s="85">
        <f t="shared" si="2044"/>
        <v>62.720000000000013</v>
      </c>
      <c r="AU554" s="85">
        <f t="shared" si="2074"/>
        <v>34.58</v>
      </c>
      <c r="AV554" s="85">
        <f t="shared" si="2075"/>
        <v>1505.2800000000002</v>
      </c>
      <c r="AW554" s="85">
        <f t="shared" si="2076"/>
        <v>829.92</v>
      </c>
      <c r="AX554" s="85" t="str">
        <f>'Consumer Hardware Pricing'!AH564</f>
        <v>-</v>
      </c>
      <c r="AY554" s="85" t="str">
        <f t="shared" si="2045"/>
        <v>-</v>
      </c>
      <c r="AZ554" s="85" t="str">
        <f>'Consumer Hardware Pricing'!AI564</f>
        <v>-</v>
      </c>
      <c r="BA554" s="85" t="str">
        <f t="shared" si="2077"/>
        <v>-</v>
      </c>
      <c r="BB554" s="85" t="str">
        <f t="shared" si="2078"/>
        <v>-</v>
      </c>
      <c r="BC554" s="85" t="str">
        <f t="shared" si="2079"/>
        <v>-</v>
      </c>
      <c r="BD554" s="85" t="str">
        <f>'Consumer Hardware Pricing'!AL564</f>
        <v>-</v>
      </c>
      <c r="BE554" s="85" t="str">
        <f t="shared" si="2046"/>
        <v>-</v>
      </c>
      <c r="BF554" s="85" t="str">
        <f>'Consumer Hardware Pricing'!AM564</f>
        <v>-</v>
      </c>
      <c r="BG554" s="85" t="str">
        <f t="shared" si="2080"/>
        <v>-</v>
      </c>
      <c r="BH554" s="85" t="str">
        <f t="shared" si="2081"/>
        <v>-</v>
      </c>
      <c r="BI554" s="85" t="str">
        <f t="shared" si="2082"/>
        <v>-</v>
      </c>
      <c r="BJ554" s="85" t="str">
        <f>'Consumer Hardware Pricing'!AP564</f>
        <v>-</v>
      </c>
      <c r="BK554" s="85" t="str">
        <f t="shared" si="2047"/>
        <v>-</v>
      </c>
      <c r="BL554" s="85" t="str">
        <f>'Consumer Hardware Pricing'!AQ564</f>
        <v>-</v>
      </c>
      <c r="BM554" s="85" t="str">
        <f t="shared" si="2083"/>
        <v>-</v>
      </c>
      <c r="BN554" s="85" t="str">
        <f t="shared" si="2084"/>
        <v>-</v>
      </c>
      <c r="BO554" s="85" t="str">
        <f t="shared" si="2085"/>
        <v>-</v>
      </c>
      <c r="BP554" s="85" t="str">
        <f>'Consumer Hardware Pricing'!AT564</f>
        <v>-</v>
      </c>
      <c r="BQ554" s="85" t="str">
        <f t="shared" si="2048"/>
        <v>-</v>
      </c>
      <c r="BR554" s="85" t="str">
        <f>'Consumer Hardware Pricing'!AU564</f>
        <v>-</v>
      </c>
      <c r="BS554" s="85" t="str">
        <f t="shared" si="2086"/>
        <v>-</v>
      </c>
      <c r="BT554" s="85" t="str">
        <f t="shared" si="2087"/>
        <v>-</v>
      </c>
      <c r="BU554" s="85" t="str">
        <f t="shared" si="2088"/>
        <v>-</v>
      </c>
    </row>
    <row r="555" spans="1:73" ht="30.45" customHeight="1" x14ac:dyDescent="0.25">
      <c r="A555" s="87" t="s">
        <v>34</v>
      </c>
      <c r="B555" s="88" t="s">
        <v>1222</v>
      </c>
      <c r="C555" s="88" t="s">
        <v>1209</v>
      </c>
      <c r="D555" s="85">
        <f>'Consumer Hardware Pricing'!L565</f>
        <v>2335</v>
      </c>
      <c r="E555" s="85">
        <f>'Consumer Hardware Pricing'!M565</f>
        <v>2335</v>
      </c>
      <c r="F555" s="85">
        <f>'Consumer Hardware Pricing'!N565</f>
        <v>0</v>
      </c>
      <c r="G555" s="85">
        <f t="shared" ref="G555:G557" si="2249">IF(F555="-","-",ROUNDUP(D555/24,2))</f>
        <v>97.300000000000011</v>
      </c>
      <c r="H555" s="85">
        <f>'Consumer Hardware Pricing'!O565</f>
        <v>18.55</v>
      </c>
      <c r="I555" s="85">
        <f t="shared" ref="I555:I557" si="2250">IF(H555="-",G555,G555-H555)</f>
        <v>78.750000000000014</v>
      </c>
      <c r="J555" s="85">
        <f t="shared" ref="J555:J557" si="2251">IF(H555="-",H555,H555*24)</f>
        <v>445.20000000000005</v>
      </c>
      <c r="K555" s="85">
        <f t="shared" ref="K555:K557" si="2252">IF(F555="-",F555,I555*24)</f>
        <v>1890.0000000000005</v>
      </c>
      <c r="L555" s="85">
        <f>'Consumer Hardware Pricing'!Q565</f>
        <v>820</v>
      </c>
      <c r="M555" s="85">
        <f t="shared" ref="M555:M557" si="2253">IF(L555="-",L555,IF(H555="-",G555-ROUNDUP((D555-L555)/24,2),H555+G555-ROUNDUP((D555-L555)/24,2)))</f>
        <v>52.720000000000013</v>
      </c>
      <c r="N555" s="85">
        <f t="shared" ref="N555:N557" si="2254">IF(L555="-",L555,G555-M555)</f>
        <v>44.58</v>
      </c>
      <c r="O555" s="85">
        <f t="shared" ref="O555:O557" si="2255">IF(L555="-",L555,M555*24)</f>
        <v>1265.2800000000002</v>
      </c>
      <c r="P555" s="85">
        <f t="shared" ref="P555:P557" si="2256">IF(L555="-",L555,N555*24)</f>
        <v>1069.92</v>
      </c>
      <c r="Q555" s="85">
        <f>'Consumer Hardware Pricing'!S565</f>
        <v>0</v>
      </c>
      <c r="R555" s="85">
        <f t="shared" ref="R555:R557" si="2257">G555</f>
        <v>97.300000000000011</v>
      </c>
      <c r="S555" s="85">
        <f>'Consumer Hardware Pricing'!T565</f>
        <v>18.55</v>
      </c>
      <c r="T555" s="129">
        <f t="shared" ref="T555:T557" si="2258">IF(S555="-",R555,R555-S555)</f>
        <v>78.750000000000014</v>
      </c>
      <c r="U555" s="129">
        <f t="shared" ref="U555:U557" si="2259">IF(S555="-",S555,S555*24)</f>
        <v>445.20000000000005</v>
      </c>
      <c r="V555" s="85">
        <f t="shared" ref="V555:V557" si="2260">IF(Q555="-",Q555,T555*24)</f>
        <v>1890.0000000000005</v>
      </c>
      <c r="W555" s="129">
        <f>'Consumer Hardware Pricing'!V565</f>
        <v>820</v>
      </c>
      <c r="X555" s="129">
        <f t="shared" ref="X555:X557" si="2261">IF(W555="-",W555,IF(S555="-",R555-ROUNDUP((D555-W555)/24,2),S555+R555-ROUNDUP((D555-W555)/24,2)))</f>
        <v>52.720000000000013</v>
      </c>
      <c r="Y555" s="129">
        <f t="shared" ref="Y555:Y557" si="2262">IF(W555="-",W555,R555-X555)</f>
        <v>44.58</v>
      </c>
      <c r="Z555" s="129">
        <f t="shared" ref="Z555:Z557" si="2263">IF(W555="-",W555,X555*24)</f>
        <v>1265.2800000000002</v>
      </c>
      <c r="AA555" s="85">
        <f t="shared" ref="AA555:AA557" si="2264">IF(W555="-",W555,Y555*24)</f>
        <v>1069.92</v>
      </c>
      <c r="AB555" s="85">
        <f>'Consumer Hardware Pricing'!X565</f>
        <v>0</v>
      </c>
      <c r="AC555" s="85">
        <f t="shared" si="2041"/>
        <v>97.300000000000011</v>
      </c>
      <c r="AD555" s="85">
        <f>'Consumer Hardware Pricing'!Y565</f>
        <v>28.55</v>
      </c>
      <c r="AE555" s="85">
        <f t="shared" ref="AE555:AE557" si="2265">IF(AD555="-",AC555,AC555-AD555)</f>
        <v>68.750000000000014</v>
      </c>
      <c r="AF555" s="85">
        <f t="shared" ref="AF555:AF557" si="2266">IF(AD555="-",AD555,AD555*24)</f>
        <v>685.2</v>
      </c>
      <c r="AG555" s="85">
        <f t="shared" ref="AG555:AG557" si="2267">IF(AB555="-",AB555,AE555*24)</f>
        <v>1650.0000000000005</v>
      </c>
      <c r="AH555" s="85">
        <f>'Consumer Hardware Pricing'!AA565</f>
        <v>820</v>
      </c>
      <c r="AI555" s="85">
        <f t="shared" si="2042"/>
        <v>62.720000000000013</v>
      </c>
      <c r="AJ555" s="85">
        <f t="shared" ref="AJ555:AJ557" si="2268">IF(AH555="-",AH555,AC555-AI555)</f>
        <v>34.58</v>
      </c>
      <c r="AK555" s="85">
        <f t="shared" ref="AK555:AK557" si="2269">IF(AH555="-",AH555,AI555*24)</f>
        <v>1505.2800000000002</v>
      </c>
      <c r="AL555" s="85">
        <f t="shared" ref="AL555:AL557" si="2270">IF(AH555="-",AH555,AJ555*24)</f>
        <v>829.92</v>
      </c>
      <c r="AM555" s="85">
        <f>'Consumer Hardware Pricing'!AC565</f>
        <v>0</v>
      </c>
      <c r="AN555" s="85">
        <f t="shared" si="2043"/>
        <v>97.300000000000011</v>
      </c>
      <c r="AO555" s="85">
        <f>'Consumer Hardware Pricing'!AD565</f>
        <v>28.55</v>
      </c>
      <c r="AP555" s="85">
        <f t="shared" ref="AP555:AP557" si="2271">IF(AO555="-",AN555,AN555-AO555)</f>
        <v>68.750000000000014</v>
      </c>
      <c r="AQ555" s="85">
        <f t="shared" ref="AQ555:AQ557" si="2272">IF(AO555="-",AO555,AO555*24)</f>
        <v>685.2</v>
      </c>
      <c r="AR555" s="85">
        <f t="shared" ref="AR555:AR557" si="2273">IF(AM555="-",AM555,AP555*24)</f>
        <v>1650.0000000000005</v>
      </c>
      <c r="AS555" s="85">
        <f>'Consumer Hardware Pricing'!AF565</f>
        <v>820</v>
      </c>
      <c r="AT555" s="85">
        <f t="shared" si="2044"/>
        <v>62.720000000000013</v>
      </c>
      <c r="AU555" s="85">
        <f t="shared" ref="AU555:AU557" si="2274">IF(AS555="-",AS555,AN555-AT555)</f>
        <v>34.58</v>
      </c>
      <c r="AV555" s="85">
        <f t="shared" ref="AV555:AV557" si="2275">IF(AS555="-",AS555,AT555*24)</f>
        <v>1505.2800000000002</v>
      </c>
      <c r="AW555" s="85">
        <f t="shared" ref="AW555:AW557" si="2276">IF(AS555="-",AS555,AU555*24)</f>
        <v>829.92</v>
      </c>
      <c r="AX555" s="85" t="str">
        <f>'Consumer Hardware Pricing'!AH565</f>
        <v>-</v>
      </c>
      <c r="AY555" s="85" t="str">
        <f t="shared" si="2045"/>
        <v>-</v>
      </c>
      <c r="AZ555" s="85" t="str">
        <f>'Consumer Hardware Pricing'!AI565</f>
        <v>-</v>
      </c>
      <c r="BA555" s="85" t="str">
        <f t="shared" ref="BA555:BA557" si="2277">IF(AZ555="-",AY555,AY555-AZ555)</f>
        <v>-</v>
      </c>
      <c r="BB555" s="85" t="str">
        <f t="shared" ref="BB555:BB557" si="2278">IF(AZ555="-",AZ555,AZ555*24)</f>
        <v>-</v>
      </c>
      <c r="BC555" s="85" t="str">
        <f t="shared" ref="BC555:BC557" si="2279">IF(AX555="-",AX555,AX555+(BA555*24))</f>
        <v>-</v>
      </c>
      <c r="BD555" s="85" t="str">
        <f>'Consumer Hardware Pricing'!AL565</f>
        <v>-</v>
      </c>
      <c r="BE555" s="85" t="str">
        <f t="shared" si="2046"/>
        <v>-</v>
      </c>
      <c r="BF555" s="85" t="str">
        <f>'Consumer Hardware Pricing'!AM565</f>
        <v>-</v>
      </c>
      <c r="BG555" s="85" t="str">
        <f t="shared" ref="BG555:BG557" si="2280">IF(BF555="-",BE555,BE555-BF555)</f>
        <v>-</v>
      </c>
      <c r="BH555" s="85" t="str">
        <f t="shared" ref="BH555:BH557" si="2281">IF(BF555="-",BF555,BF555*24)</f>
        <v>-</v>
      </c>
      <c r="BI555" s="85" t="str">
        <f t="shared" ref="BI555:BI557" si="2282">IF(BD555="-",BD555,BD555+(BG555*24))</f>
        <v>-</v>
      </c>
      <c r="BJ555" s="85" t="str">
        <f>'Consumer Hardware Pricing'!AP565</f>
        <v>-</v>
      </c>
      <c r="BK555" s="85" t="str">
        <f t="shared" si="2047"/>
        <v>-</v>
      </c>
      <c r="BL555" s="85" t="str">
        <f>'Consumer Hardware Pricing'!AQ565</f>
        <v>-</v>
      </c>
      <c r="BM555" s="85" t="str">
        <f t="shared" ref="BM555:BM557" si="2283">IF(BL555="-",BK555,BK555-BL555)</f>
        <v>-</v>
      </c>
      <c r="BN555" s="85" t="str">
        <f t="shared" ref="BN555:BN557" si="2284">IF(BL555="-",BL555,BL555*24)</f>
        <v>-</v>
      </c>
      <c r="BO555" s="85" t="str">
        <f t="shared" ref="BO555:BO557" si="2285">IF(BJ555="-",BJ555,BJ555+(BM555*24))</f>
        <v>-</v>
      </c>
      <c r="BP555" s="85" t="str">
        <f>'Consumer Hardware Pricing'!AT565</f>
        <v>-</v>
      </c>
      <c r="BQ555" s="85" t="str">
        <f t="shared" si="2048"/>
        <v>-</v>
      </c>
      <c r="BR555" s="85" t="str">
        <f>'Consumer Hardware Pricing'!AU565</f>
        <v>-</v>
      </c>
      <c r="BS555" s="85" t="str">
        <f t="shared" ref="BS555:BS557" si="2286">IF(BR555="-",BQ555,BQ555-BR555)</f>
        <v>-</v>
      </c>
      <c r="BT555" s="85" t="str">
        <f t="shared" ref="BT555:BT557" si="2287">IF(BR555="-",BR555,BR555*24)</f>
        <v>-</v>
      </c>
      <c r="BU555" s="85" t="str">
        <f t="shared" ref="BU555:BU557" si="2288">IF(BP555="-",BP555,BP555+(BS555*24))</f>
        <v>-</v>
      </c>
    </row>
    <row r="556" spans="1:73" ht="30.45" customHeight="1" x14ac:dyDescent="0.25">
      <c r="A556" s="87" t="s">
        <v>34</v>
      </c>
      <c r="B556" s="88" t="s">
        <v>1223</v>
      </c>
      <c r="C556" s="88" t="s">
        <v>1209</v>
      </c>
      <c r="D556" s="85">
        <f>'Consumer Hardware Pricing'!L566</f>
        <v>2335</v>
      </c>
      <c r="E556" s="85">
        <f>'Consumer Hardware Pricing'!M566</f>
        <v>2335</v>
      </c>
      <c r="F556" s="85">
        <f>'Consumer Hardware Pricing'!N566</f>
        <v>0</v>
      </c>
      <c r="G556" s="85">
        <f t="shared" si="2249"/>
        <v>97.300000000000011</v>
      </c>
      <c r="H556" s="85">
        <f>'Consumer Hardware Pricing'!O566</f>
        <v>18.55</v>
      </c>
      <c r="I556" s="85">
        <f t="shared" si="2250"/>
        <v>78.750000000000014</v>
      </c>
      <c r="J556" s="85">
        <f t="shared" si="2251"/>
        <v>445.20000000000005</v>
      </c>
      <c r="K556" s="85">
        <f t="shared" si="2252"/>
        <v>1890.0000000000005</v>
      </c>
      <c r="L556" s="85">
        <f>'Consumer Hardware Pricing'!Q566</f>
        <v>820</v>
      </c>
      <c r="M556" s="85">
        <f t="shared" si="2253"/>
        <v>52.720000000000013</v>
      </c>
      <c r="N556" s="85">
        <f t="shared" si="2254"/>
        <v>44.58</v>
      </c>
      <c r="O556" s="85">
        <f t="shared" si="2255"/>
        <v>1265.2800000000002</v>
      </c>
      <c r="P556" s="85">
        <f t="shared" si="2256"/>
        <v>1069.92</v>
      </c>
      <c r="Q556" s="85">
        <f>'Consumer Hardware Pricing'!S566</f>
        <v>0</v>
      </c>
      <c r="R556" s="85">
        <f t="shared" si="2257"/>
        <v>97.300000000000011</v>
      </c>
      <c r="S556" s="85">
        <f>'Consumer Hardware Pricing'!T566</f>
        <v>18.55</v>
      </c>
      <c r="T556" s="129">
        <f t="shared" si="2258"/>
        <v>78.750000000000014</v>
      </c>
      <c r="U556" s="129">
        <f t="shared" si="2259"/>
        <v>445.20000000000005</v>
      </c>
      <c r="V556" s="85">
        <f t="shared" si="2260"/>
        <v>1890.0000000000005</v>
      </c>
      <c r="W556" s="129">
        <f>'Consumer Hardware Pricing'!V566</f>
        <v>820</v>
      </c>
      <c r="X556" s="129">
        <f t="shared" si="2261"/>
        <v>52.720000000000013</v>
      </c>
      <c r="Y556" s="129">
        <f t="shared" si="2262"/>
        <v>44.58</v>
      </c>
      <c r="Z556" s="129">
        <f t="shared" si="2263"/>
        <v>1265.2800000000002</v>
      </c>
      <c r="AA556" s="85">
        <f t="shared" si="2264"/>
        <v>1069.92</v>
      </c>
      <c r="AB556" s="85">
        <f>'Consumer Hardware Pricing'!X566</f>
        <v>0</v>
      </c>
      <c r="AC556" s="85">
        <f t="shared" si="2041"/>
        <v>97.300000000000011</v>
      </c>
      <c r="AD556" s="85">
        <f>'Consumer Hardware Pricing'!Y566</f>
        <v>28.55</v>
      </c>
      <c r="AE556" s="85">
        <f t="shared" si="2265"/>
        <v>68.750000000000014</v>
      </c>
      <c r="AF556" s="85">
        <f t="shared" si="2266"/>
        <v>685.2</v>
      </c>
      <c r="AG556" s="85">
        <f t="shared" si="2267"/>
        <v>1650.0000000000005</v>
      </c>
      <c r="AH556" s="85">
        <f>'Consumer Hardware Pricing'!AA566</f>
        <v>820</v>
      </c>
      <c r="AI556" s="85">
        <f t="shared" si="2042"/>
        <v>62.720000000000013</v>
      </c>
      <c r="AJ556" s="85">
        <f t="shared" si="2268"/>
        <v>34.58</v>
      </c>
      <c r="AK556" s="85">
        <f t="shared" si="2269"/>
        <v>1505.2800000000002</v>
      </c>
      <c r="AL556" s="85">
        <f t="shared" si="2270"/>
        <v>829.92</v>
      </c>
      <c r="AM556" s="85">
        <f>'Consumer Hardware Pricing'!AC566</f>
        <v>0</v>
      </c>
      <c r="AN556" s="85">
        <f t="shared" si="2043"/>
        <v>97.300000000000011</v>
      </c>
      <c r="AO556" s="85">
        <f>'Consumer Hardware Pricing'!AD566</f>
        <v>28.55</v>
      </c>
      <c r="AP556" s="85">
        <f t="shared" si="2271"/>
        <v>68.750000000000014</v>
      </c>
      <c r="AQ556" s="85">
        <f t="shared" si="2272"/>
        <v>685.2</v>
      </c>
      <c r="AR556" s="85">
        <f t="shared" si="2273"/>
        <v>1650.0000000000005</v>
      </c>
      <c r="AS556" s="85">
        <f>'Consumer Hardware Pricing'!AF566</f>
        <v>820</v>
      </c>
      <c r="AT556" s="85">
        <f t="shared" si="2044"/>
        <v>62.720000000000013</v>
      </c>
      <c r="AU556" s="85">
        <f t="shared" si="2274"/>
        <v>34.58</v>
      </c>
      <c r="AV556" s="85">
        <f t="shared" si="2275"/>
        <v>1505.2800000000002</v>
      </c>
      <c r="AW556" s="85">
        <f t="shared" si="2276"/>
        <v>829.92</v>
      </c>
      <c r="AX556" s="85" t="str">
        <f>'Consumer Hardware Pricing'!AH566</f>
        <v>-</v>
      </c>
      <c r="AY556" s="85" t="str">
        <f t="shared" si="2045"/>
        <v>-</v>
      </c>
      <c r="AZ556" s="85" t="str">
        <f>'Consumer Hardware Pricing'!AI566</f>
        <v>-</v>
      </c>
      <c r="BA556" s="85" t="str">
        <f t="shared" si="2277"/>
        <v>-</v>
      </c>
      <c r="BB556" s="85" t="str">
        <f t="shared" si="2278"/>
        <v>-</v>
      </c>
      <c r="BC556" s="85" t="str">
        <f t="shared" si="2279"/>
        <v>-</v>
      </c>
      <c r="BD556" s="85" t="str">
        <f>'Consumer Hardware Pricing'!AL566</f>
        <v>-</v>
      </c>
      <c r="BE556" s="85" t="str">
        <f t="shared" si="2046"/>
        <v>-</v>
      </c>
      <c r="BF556" s="85" t="str">
        <f>'Consumer Hardware Pricing'!AM566</f>
        <v>-</v>
      </c>
      <c r="BG556" s="85" t="str">
        <f t="shared" si="2280"/>
        <v>-</v>
      </c>
      <c r="BH556" s="85" t="str">
        <f t="shared" si="2281"/>
        <v>-</v>
      </c>
      <c r="BI556" s="85" t="str">
        <f t="shared" si="2282"/>
        <v>-</v>
      </c>
      <c r="BJ556" s="85" t="str">
        <f>'Consumer Hardware Pricing'!AP566</f>
        <v>-</v>
      </c>
      <c r="BK556" s="85" t="str">
        <f t="shared" si="2047"/>
        <v>-</v>
      </c>
      <c r="BL556" s="85" t="str">
        <f>'Consumer Hardware Pricing'!AQ566</f>
        <v>-</v>
      </c>
      <c r="BM556" s="85" t="str">
        <f t="shared" si="2283"/>
        <v>-</v>
      </c>
      <c r="BN556" s="85" t="str">
        <f t="shared" si="2284"/>
        <v>-</v>
      </c>
      <c r="BO556" s="85" t="str">
        <f t="shared" si="2285"/>
        <v>-</v>
      </c>
      <c r="BP556" s="85" t="str">
        <f>'Consumer Hardware Pricing'!AT566</f>
        <v>-</v>
      </c>
      <c r="BQ556" s="85" t="str">
        <f t="shared" si="2048"/>
        <v>-</v>
      </c>
      <c r="BR556" s="85" t="str">
        <f>'Consumer Hardware Pricing'!AU566</f>
        <v>-</v>
      </c>
      <c r="BS556" s="85" t="str">
        <f t="shared" si="2286"/>
        <v>-</v>
      </c>
      <c r="BT556" s="85" t="str">
        <f t="shared" si="2287"/>
        <v>-</v>
      </c>
      <c r="BU556" s="85" t="str">
        <f t="shared" si="2288"/>
        <v>-</v>
      </c>
    </row>
    <row r="557" spans="1:73" ht="30.45" customHeight="1" x14ac:dyDescent="0.25">
      <c r="A557" s="87" t="s">
        <v>34</v>
      </c>
      <c r="B557" s="88" t="s">
        <v>1224</v>
      </c>
      <c r="C557" s="88" t="s">
        <v>1209</v>
      </c>
      <c r="D557" s="85">
        <f>'Consumer Hardware Pricing'!L567</f>
        <v>2335</v>
      </c>
      <c r="E557" s="85">
        <f>'Consumer Hardware Pricing'!M567</f>
        <v>2335</v>
      </c>
      <c r="F557" s="85">
        <f>'Consumer Hardware Pricing'!N567</f>
        <v>0</v>
      </c>
      <c r="G557" s="85">
        <f t="shared" si="2249"/>
        <v>97.300000000000011</v>
      </c>
      <c r="H557" s="85">
        <f>'Consumer Hardware Pricing'!O567</f>
        <v>18.55</v>
      </c>
      <c r="I557" s="85">
        <f t="shared" si="2250"/>
        <v>78.750000000000014</v>
      </c>
      <c r="J557" s="85">
        <f t="shared" si="2251"/>
        <v>445.20000000000005</v>
      </c>
      <c r="K557" s="85">
        <f t="shared" si="2252"/>
        <v>1890.0000000000005</v>
      </c>
      <c r="L557" s="85">
        <f>'Consumer Hardware Pricing'!Q567</f>
        <v>820</v>
      </c>
      <c r="M557" s="85">
        <f t="shared" si="2253"/>
        <v>52.720000000000013</v>
      </c>
      <c r="N557" s="85">
        <f t="shared" si="2254"/>
        <v>44.58</v>
      </c>
      <c r="O557" s="85">
        <f t="shared" si="2255"/>
        <v>1265.2800000000002</v>
      </c>
      <c r="P557" s="85">
        <f t="shared" si="2256"/>
        <v>1069.92</v>
      </c>
      <c r="Q557" s="85">
        <f>'Consumer Hardware Pricing'!S567</f>
        <v>0</v>
      </c>
      <c r="R557" s="85">
        <f t="shared" si="2257"/>
        <v>97.300000000000011</v>
      </c>
      <c r="S557" s="85">
        <f>'Consumer Hardware Pricing'!T567</f>
        <v>18.55</v>
      </c>
      <c r="T557" s="129">
        <f t="shared" si="2258"/>
        <v>78.750000000000014</v>
      </c>
      <c r="U557" s="129">
        <f t="shared" si="2259"/>
        <v>445.20000000000005</v>
      </c>
      <c r="V557" s="85">
        <f t="shared" si="2260"/>
        <v>1890.0000000000005</v>
      </c>
      <c r="W557" s="129">
        <f>'Consumer Hardware Pricing'!V567</f>
        <v>820</v>
      </c>
      <c r="X557" s="129">
        <f t="shared" si="2261"/>
        <v>52.720000000000013</v>
      </c>
      <c r="Y557" s="129">
        <f t="shared" si="2262"/>
        <v>44.58</v>
      </c>
      <c r="Z557" s="129">
        <f t="shared" si="2263"/>
        <v>1265.2800000000002</v>
      </c>
      <c r="AA557" s="85">
        <f t="shared" si="2264"/>
        <v>1069.92</v>
      </c>
      <c r="AB557" s="85">
        <f>'Consumer Hardware Pricing'!X567</f>
        <v>0</v>
      </c>
      <c r="AC557" s="85">
        <f t="shared" si="2041"/>
        <v>97.300000000000011</v>
      </c>
      <c r="AD557" s="85">
        <f>'Consumer Hardware Pricing'!Y567</f>
        <v>28.55</v>
      </c>
      <c r="AE557" s="85">
        <f t="shared" si="2265"/>
        <v>68.750000000000014</v>
      </c>
      <c r="AF557" s="85">
        <f t="shared" si="2266"/>
        <v>685.2</v>
      </c>
      <c r="AG557" s="85">
        <f t="shared" si="2267"/>
        <v>1650.0000000000005</v>
      </c>
      <c r="AH557" s="85">
        <f>'Consumer Hardware Pricing'!AA567</f>
        <v>820</v>
      </c>
      <c r="AI557" s="85">
        <f t="shared" si="2042"/>
        <v>62.720000000000013</v>
      </c>
      <c r="AJ557" s="85">
        <f t="shared" si="2268"/>
        <v>34.58</v>
      </c>
      <c r="AK557" s="85">
        <f t="shared" si="2269"/>
        <v>1505.2800000000002</v>
      </c>
      <c r="AL557" s="85">
        <f t="shared" si="2270"/>
        <v>829.92</v>
      </c>
      <c r="AM557" s="85">
        <f>'Consumer Hardware Pricing'!AC567</f>
        <v>0</v>
      </c>
      <c r="AN557" s="85">
        <f t="shared" si="2043"/>
        <v>97.300000000000011</v>
      </c>
      <c r="AO557" s="85">
        <f>'Consumer Hardware Pricing'!AD567</f>
        <v>28.55</v>
      </c>
      <c r="AP557" s="85">
        <f t="shared" si="2271"/>
        <v>68.750000000000014</v>
      </c>
      <c r="AQ557" s="85">
        <f t="shared" si="2272"/>
        <v>685.2</v>
      </c>
      <c r="AR557" s="85">
        <f t="shared" si="2273"/>
        <v>1650.0000000000005</v>
      </c>
      <c r="AS557" s="85">
        <f>'Consumer Hardware Pricing'!AF567</f>
        <v>820</v>
      </c>
      <c r="AT557" s="85">
        <f t="shared" si="2044"/>
        <v>62.720000000000013</v>
      </c>
      <c r="AU557" s="85">
        <f t="shared" si="2274"/>
        <v>34.58</v>
      </c>
      <c r="AV557" s="85">
        <f t="shared" si="2275"/>
        <v>1505.2800000000002</v>
      </c>
      <c r="AW557" s="85">
        <f t="shared" si="2276"/>
        <v>829.92</v>
      </c>
      <c r="AX557" s="85" t="str">
        <f>'Consumer Hardware Pricing'!AH567</f>
        <v>-</v>
      </c>
      <c r="AY557" s="85" t="str">
        <f t="shared" si="2045"/>
        <v>-</v>
      </c>
      <c r="AZ557" s="85" t="str">
        <f>'Consumer Hardware Pricing'!AI567</f>
        <v>-</v>
      </c>
      <c r="BA557" s="85" t="str">
        <f t="shared" si="2277"/>
        <v>-</v>
      </c>
      <c r="BB557" s="85" t="str">
        <f t="shared" si="2278"/>
        <v>-</v>
      </c>
      <c r="BC557" s="85" t="str">
        <f t="shared" si="2279"/>
        <v>-</v>
      </c>
      <c r="BD557" s="85" t="str">
        <f>'Consumer Hardware Pricing'!AL567</f>
        <v>-</v>
      </c>
      <c r="BE557" s="85" t="str">
        <f t="shared" si="2046"/>
        <v>-</v>
      </c>
      <c r="BF557" s="85" t="str">
        <f>'Consumer Hardware Pricing'!AM567</f>
        <v>-</v>
      </c>
      <c r="BG557" s="85" t="str">
        <f t="shared" si="2280"/>
        <v>-</v>
      </c>
      <c r="BH557" s="85" t="str">
        <f t="shared" si="2281"/>
        <v>-</v>
      </c>
      <c r="BI557" s="85" t="str">
        <f t="shared" si="2282"/>
        <v>-</v>
      </c>
      <c r="BJ557" s="85" t="str">
        <f>'Consumer Hardware Pricing'!AP567</f>
        <v>-</v>
      </c>
      <c r="BK557" s="85" t="str">
        <f t="shared" si="2047"/>
        <v>-</v>
      </c>
      <c r="BL557" s="85" t="str">
        <f>'Consumer Hardware Pricing'!AQ567</f>
        <v>-</v>
      </c>
      <c r="BM557" s="85" t="str">
        <f t="shared" si="2283"/>
        <v>-</v>
      </c>
      <c r="BN557" s="85" t="str">
        <f t="shared" si="2284"/>
        <v>-</v>
      </c>
      <c r="BO557" s="85" t="str">
        <f t="shared" si="2285"/>
        <v>-</v>
      </c>
      <c r="BP557" s="85" t="str">
        <f>'Consumer Hardware Pricing'!AT567</f>
        <v>-</v>
      </c>
      <c r="BQ557" s="85" t="str">
        <f t="shared" si="2048"/>
        <v>-</v>
      </c>
      <c r="BR557" s="85" t="str">
        <f>'Consumer Hardware Pricing'!AU567</f>
        <v>-</v>
      </c>
      <c r="BS557" s="85" t="str">
        <f t="shared" si="2286"/>
        <v>-</v>
      </c>
      <c r="BT557" s="85" t="str">
        <f t="shared" si="2287"/>
        <v>-</v>
      </c>
      <c r="BU557" s="85" t="str">
        <f t="shared" si="2288"/>
        <v>-</v>
      </c>
    </row>
    <row r="558" spans="1:73" ht="30.45" customHeight="1" x14ac:dyDescent="0.25">
      <c r="A558" s="87" t="s">
        <v>34</v>
      </c>
      <c r="B558" s="88" t="s">
        <v>851</v>
      </c>
      <c r="C558" s="88" t="s">
        <v>853</v>
      </c>
      <c r="D558" s="85">
        <f>'Consumer Hardware Pricing'!L568</f>
        <v>2275</v>
      </c>
      <c r="E558" s="85">
        <f>'Consumer Hardware Pricing'!M568</f>
        <v>2275</v>
      </c>
      <c r="F558" s="85">
        <f>'Consumer Hardware Pricing'!N568</f>
        <v>0</v>
      </c>
      <c r="G558" s="85">
        <f t="shared" si="1939"/>
        <v>94.800000000000011</v>
      </c>
      <c r="H558" s="85">
        <f>'Consumer Hardware Pricing'!O568</f>
        <v>62.800000000000011</v>
      </c>
      <c r="I558" s="85">
        <f t="shared" ref="I558:I559" si="2289">IF(H558="-",G558,G558-H558)</f>
        <v>32</v>
      </c>
      <c r="J558" s="85">
        <f t="shared" ref="J558:J559" si="2290">IF(H558="-",H558,H558*24)</f>
        <v>1507.2000000000003</v>
      </c>
      <c r="K558" s="85">
        <f t="shared" ref="K558:K559" si="2291">IF(F558="-",F558,I558*24)</f>
        <v>768</v>
      </c>
      <c r="L558" s="85" t="str">
        <f>'Consumer Hardware Pricing'!Q568</f>
        <v>-</v>
      </c>
      <c r="M558" s="85" t="str">
        <f t="shared" si="1940"/>
        <v>-</v>
      </c>
      <c r="N558" s="85" t="str">
        <f t="shared" ref="N558:N559" si="2292">IF(L558="-",L558,G558-M558)</f>
        <v>-</v>
      </c>
      <c r="O558" s="85" t="str">
        <f t="shared" ref="O558:O559" si="2293">IF(L558="-",L558,M558*24)</f>
        <v>-</v>
      </c>
      <c r="P558" s="85" t="str">
        <f t="shared" ref="P558:P559" si="2294">IF(L558="-",L558,N558*24)</f>
        <v>-</v>
      </c>
      <c r="Q558" s="85">
        <f>'Consumer Hardware Pricing'!S568</f>
        <v>0</v>
      </c>
      <c r="R558" s="85">
        <f t="shared" ref="R558:R559" si="2295">G558</f>
        <v>94.800000000000011</v>
      </c>
      <c r="S558" s="85">
        <f>'Consumer Hardware Pricing'!T568</f>
        <v>62.800000000000011</v>
      </c>
      <c r="T558" s="129">
        <f t="shared" ref="T558:T559" si="2296">IF(S558="-",R558,R558-S558)</f>
        <v>32</v>
      </c>
      <c r="U558" s="129">
        <f t="shared" ref="U558:U559" si="2297">IF(S558="-",S558,S558*24)</f>
        <v>1507.2000000000003</v>
      </c>
      <c r="V558" s="85">
        <f t="shared" ref="V558:V559" si="2298">IF(Q558="-",Q558,T558*24)</f>
        <v>768</v>
      </c>
      <c r="W558" s="129" t="str">
        <f>'Consumer Hardware Pricing'!V568</f>
        <v>-</v>
      </c>
      <c r="X558" s="129" t="str">
        <f t="shared" si="1941"/>
        <v>-</v>
      </c>
      <c r="Y558" s="129" t="str">
        <f t="shared" ref="Y558:Y559" si="2299">IF(W558="-",W558,R558-X558)</f>
        <v>-</v>
      </c>
      <c r="Z558" s="129" t="str">
        <f t="shared" ref="Z558:Z559" si="2300">IF(W558="-",W558,X558*24)</f>
        <v>-</v>
      </c>
      <c r="AA558" s="85" t="str">
        <f t="shared" ref="AA558:AA559" si="2301">IF(W558="-",W558,Y558*24)</f>
        <v>-</v>
      </c>
      <c r="AB558" s="85">
        <f>'Consumer Hardware Pricing'!X568</f>
        <v>0</v>
      </c>
      <c r="AC558" s="85">
        <f t="shared" si="2041"/>
        <v>94.800000000000011</v>
      </c>
      <c r="AD558" s="85">
        <f>'Consumer Hardware Pricing'!Y568</f>
        <v>62.800000000000011</v>
      </c>
      <c r="AE558" s="85">
        <f t="shared" si="1902"/>
        <v>32</v>
      </c>
      <c r="AF558" s="85">
        <f t="shared" si="1903"/>
        <v>1507.2000000000003</v>
      </c>
      <c r="AG558" s="85">
        <f t="shared" si="1904"/>
        <v>768</v>
      </c>
      <c r="AH558" s="85" t="str">
        <f>'Consumer Hardware Pricing'!AA568</f>
        <v>-</v>
      </c>
      <c r="AI558" s="85" t="str">
        <f t="shared" si="2042"/>
        <v>-</v>
      </c>
      <c r="AJ558" s="85" t="str">
        <f t="shared" si="1905"/>
        <v>-</v>
      </c>
      <c r="AK558" s="85" t="str">
        <f t="shared" si="1906"/>
        <v>-</v>
      </c>
      <c r="AL558" s="85" t="str">
        <f t="shared" si="1907"/>
        <v>-</v>
      </c>
      <c r="AM558" s="85">
        <f>'Consumer Hardware Pricing'!AC568</f>
        <v>0</v>
      </c>
      <c r="AN558" s="85">
        <f t="shared" si="2043"/>
        <v>94.800000000000011</v>
      </c>
      <c r="AO558" s="85">
        <f>'Consumer Hardware Pricing'!AD568</f>
        <v>62.800000000000011</v>
      </c>
      <c r="AP558" s="85">
        <f t="shared" si="1908"/>
        <v>32</v>
      </c>
      <c r="AQ558" s="85">
        <f t="shared" si="1909"/>
        <v>1507.2000000000003</v>
      </c>
      <c r="AR558" s="85">
        <f t="shared" si="1910"/>
        <v>768</v>
      </c>
      <c r="AS558" s="85" t="str">
        <f>'Consumer Hardware Pricing'!AF568</f>
        <v>-</v>
      </c>
      <c r="AT558" s="85" t="str">
        <f t="shared" si="2044"/>
        <v>-</v>
      </c>
      <c r="AU558" s="85" t="str">
        <f t="shared" si="1911"/>
        <v>-</v>
      </c>
      <c r="AV558" s="85" t="str">
        <f t="shared" si="1912"/>
        <v>-</v>
      </c>
      <c r="AW558" s="85" t="str">
        <f t="shared" si="1913"/>
        <v>-</v>
      </c>
      <c r="AX558" s="85" t="str">
        <f>'Consumer Hardware Pricing'!AH568</f>
        <v>-</v>
      </c>
      <c r="AY558" s="85" t="str">
        <f t="shared" si="2045"/>
        <v>-</v>
      </c>
      <c r="AZ558" s="85" t="str">
        <f>'Consumer Hardware Pricing'!AI568</f>
        <v>-</v>
      </c>
      <c r="BA558" s="85" t="str">
        <f t="shared" ref="BA558:BA559" si="2302">IF(AZ558="-",AY558,AY558-AZ558)</f>
        <v>-</v>
      </c>
      <c r="BB558" s="85" t="str">
        <f t="shared" ref="BB558:BB559" si="2303">IF(AZ558="-",AZ558,AZ558*24)</f>
        <v>-</v>
      </c>
      <c r="BC558" s="85" t="str">
        <f t="shared" ref="BC558:BC559" si="2304">IF(AX558="-",AX558,AX558+(BA558*24))</f>
        <v>-</v>
      </c>
      <c r="BD558" s="85" t="str">
        <f>'Consumer Hardware Pricing'!AL568</f>
        <v>-</v>
      </c>
      <c r="BE558" s="85" t="str">
        <f t="shared" si="2046"/>
        <v>-</v>
      </c>
      <c r="BF558" s="85" t="str">
        <f>'Consumer Hardware Pricing'!AM568</f>
        <v>-</v>
      </c>
      <c r="BG558" s="85" t="str">
        <f t="shared" ref="BG558:BG559" si="2305">IF(BF558="-",BE558,BE558-BF558)</f>
        <v>-</v>
      </c>
      <c r="BH558" s="85" t="str">
        <f t="shared" ref="BH558:BH559" si="2306">IF(BF558="-",BF558,BF558*24)</f>
        <v>-</v>
      </c>
      <c r="BI558" s="85" t="str">
        <f t="shared" ref="BI558:BI559" si="2307">IF(BD558="-",BD558,BD558+(BG558*24))</f>
        <v>-</v>
      </c>
      <c r="BJ558" s="85" t="str">
        <f>'Consumer Hardware Pricing'!AP568</f>
        <v>-</v>
      </c>
      <c r="BK558" s="85" t="str">
        <f t="shared" si="2047"/>
        <v>-</v>
      </c>
      <c r="BL558" s="85" t="str">
        <f>'Consumer Hardware Pricing'!AQ568</f>
        <v>-</v>
      </c>
      <c r="BM558" s="85" t="str">
        <f t="shared" ref="BM558:BM559" si="2308">IF(BL558="-",BK558,BK558-BL558)</f>
        <v>-</v>
      </c>
      <c r="BN558" s="85" t="str">
        <f t="shared" ref="BN558:BN559" si="2309">IF(BL558="-",BL558,BL558*24)</f>
        <v>-</v>
      </c>
      <c r="BO558" s="85" t="str">
        <f t="shared" ref="BO558:BO559" si="2310">IF(BJ558="-",BJ558,BJ558+(BM558*24))</f>
        <v>-</v>
      </c>
      <c r="BP558" s="85" t="str">
        <f>'Consumer Hardware Pricing'!AT568</f>
        <v>-</v>
      </c>
      <c r="BQ558" s="85" t="str">
        <f t="shared" si="2048"/>
        <v>-</v>
      </c>
      <c r="BR558" s="85" t="str">
        <f>'Consumer Hardware Pricing'!AU568</f>
        <v>-</v>
      </c>
      <c r="BS558" s="85" t="str">
        <f t="shared" ref="BS558:BS559" si="2311">IF(BR558="-",BQ558,BQ558-BR558)</f>
        <v>-</v>
      </c>
      <c r="BT558" s="85" t="str">
        <f t="shared" ref="BT558:BT559" si="2312">IF(BR558="-",BR558,BR558*24)</f>
        <v>-</v>
      </c>
      <c r="BU558" s="85" t="str">
        <f t="shared" ref="BU558:BU559" si="2313">IF(BP558="-",BP558,BP558+(BS558*24))</f>
        <v>-</v>
      </c>
    </row>
    <row r="559" spans="1:73" ht="30.45" customHeight="1" x14ac:dyDescent="0.25">
      <c r="A559" s="87" t="s">
        <v>34</v>
      </c>
      <c r="B559" s="88" t="s">
        <v>852</v>
      </c>
      <c r="C559" s="88" t="s">
        <v>853</v>
      </c>
      <c r="D559" s="85">
        <f>'Consumer Hardware Pricing'!L569</f>
        <v>2275</v>
      </c>
      <c r="E559" s="85">
        <f>'Consumer Hardware Pricing'!M569</f>
        <v>2275</v>
      </c>
      <c r="F559" s="85">
        <f>'Consumer Hardware Pricing'!N569</f>
        <v>0</v>
      </c>
      <c r="G559" s="85">
        <f t="shared" si="1939"/>
        <v>94.800000000000011</v>
      </c>
      <c r="H559" s="85">
        <f>'Consumer Hardware Pricing'!O569</f>
        <v>62.800000000000011</v>
      </c>
      <c r="I559" s="85">
        <f t="shared" si="2289"/>
        <v>32</v>
      </c>
      <c r="J559" s="85">
        <f t="shared" si="2290"/>
        <v>1507.2000000000003</v>
      </c>
      <c r="K559" s="85">
        <f t="shared" si="2291"/>
        <v>768</v>
      </c>
      <c r="L559" s="85" t="str">
        <f>'Consumer Hardware Pricing'!Q569</f>
        <v>-</v>
      </c>
      <c r="M559" s="85" t="str">
        <f t="shared" si="1940"/>
        <v>-</v>
      </c>
      <c r="N559" s="85" t="str">
        <f t="shared" si="2292"/>
        <v>-</v>
      </c>
      <c r="O559" s="85" t="str">
        <f t="shared" si="2293"/>
        <v>-</v>
      </c>
      <c r="P559" s="85" t="str">
        <f t="shared" si="2294"/>
        <v>-</v>
      </c>
      <c r="Q559" s="85">
        <f>'Consumer Hardware Pricing'!S569</f>
        <v>0</v>
      </c>
      <c r="R559" s="85">
        <f t="shared" si="2295"/>
        <v>94.800000000000011</v>
      </c>
      <c r="S559" s="85">
        <f>'Consumer Hardware Pricing'!T569</f>
        <v>62.800000000000011</v>
      </c>
      <c r="T559" s="129">
        <f t="shared" si="2296"/>
        <v>32</v>
      </c>
      <c r="U559" s="129">
        <f t="shared" si="2297"/>
        <v>1507.2000000000003</v>
      </c>
      <c r="V559" s="85">
        <f t="shared" si="2298"/>
        <v>768</v>
      </c>
      <c r="W559" s="129" t="str">
        <f>'Consumer Hardware Pricing'!V569</f>
        <v>-</v>
      </c>
      <c r="X559" s="129" t="str">
        <f t="shared" si="1941"/>
        <v>-</v>
      </c>
      <c r="Y559" s="129" t="str">
        <f t="shared" si="2299"/>
        <v>-</v>
      </c>
      <c r="Z559" s="129" t="str">
        <f t="shared" si="2300"/>
        <v>-</v>
      </c>
      <c r="AA559" s="85" t="str">
        <f t="shared" si="2301"/>
        <v>-</v>
      </c>
      <c r="AB559" s="85">
        <f>'Consumer Hardware Pricing'!X569</f>
        <v>0</v>
      </c>
      <c r="AC559" s="85">
        <f t="shared" si="2041"/>
        <v>94.800000000000011</v>
      </c>
      <c r="AD559" s="85">
        <f>'Consumer Hardware Pricing'!Y569</f>
        <v>62.800000000000011</v>
      </c>
      <c r="AE559" s="85">
        <f t="shared" si="1902"/>
        <v>32</v>
      </c>
      <c r="AF559" s="85">
        <f t="shared" si="1903"/>
        <v>1507.2000000000003</v>
      </c>
      <c r="AG559" s="85">
        <f t="shared" si="1904"/>
        <v>768</v>
      </c>
      <c r="AH559" s="85" t="str">
        <f>'Consumer Hardware Pricing'!AA569</f>
        <v>-</v>
      </c>
      <c r="AI559" s="85" t="str">
        <f t="shared" si="2042"/>
        <v>-</v>
      </c>
      <c r="AJ559" s="85" t="str">
        <f t="shared" si="1905"/>
        <v>-</v>
      </c>
      <c r="AK559" s="85" t="str">
        <f t="shared" si="1906"/>
        <v>-</v>
      </c>
      <c r="AL559" s="85" t="str">
        <f t="shared" si="1907"/>
        <v>-</v>
      </c>
      <c r="AM559" s="85">
        <f>'Consumer Hardware Pricing'!AC569</f>
        <v>0</v>
      </c>
      <c r="AN559" s="85">
        <f t="shared" si="2043"/>
        <v>94.800000000000011</v>
      </c>
      <c r="AO559" s="85">
        <f>'Consumer Hardware Pricing'!AD569</f>
        <v>62.800000000000011</v>
      </c>
      <c r="AP559" s="85">
        <f t="shared" si="1908"/>
        <v>32</v>
      </c>
      <c r="AQ559" s="85">
        <f t="shared" si="1909"/>
        <v>1507.2000000000003</v>
      </c>
      <c r="AR559" s="85">
        <f t="shared" si="1910"/>
        <v>768</v>
      </c>
      <c r="AS559" s="85" t="str">
        <f>'Consumer Hardware Pricing'!AF569</f>
        <v>-</v>
      </c>
      <c r="AT559" s="85" t="str">
        <f t="shared" si="2044"/>
        <v>-</v>
      </c>
      <c r="AU559" s="85" t="str">
        <f t="shared" si="1911"/>
        <v>-</v>
      </c>
      <c r="AV559" s="85" t="str">
        <f t="shared" si="1912"/>
        <v>-</v>
      </c>
      <c r="AW559" s="85" t="str">
        <f t="shared" si="1913"/>
        <v>-</v>
      </c>
      <c r="AX559" s="85" t="str">
        <f>'Consumer Hardware Pricing'!AH569</f>
        <v>-</v>
      </c>
      <c r="AY559" s="85" t="str">
        <f t="shared" si="2045"/>
        <v>-</v>
      </c>
      <c r="AZ559" s="85" t="str">
        <f>'Consumer Hardware Pricing'!AI569</f>
        <v>-</v>
      </c>
      <c r="BA559" s="85" t="str">
        <f t="shared" si="2302"/>
        <v>-</v>
      </c>
      <c r="BB559" s="85" t="str">
        <f t="shared" si="2303"/>
        <v>-</v>
      </c>
      <c r="BC559" s="85" t="str">
        <f t="shared" si="2304"/>
        <v>-</v>
      </c>
      <c r="BD559" s="85" t="str">
        <f>'Consumer Hardware Pricing'!AL569</f>
        <v>-</v>
      </c>
      <c r="BE559" s="85" t="str">
        <f t="shared" si="2046"/>
        <v>-</v>
      </c>
      <c r="BF559" s="85" t="str">
        <f>'Consumer Hardware Pricing'!AM569</f>
        <v>-</v>
      </c>
      <c r="BG559" s="85" t="str">
        <f t="shared" si="2305"/>
        <v>-</v>
      </c>
      <c r="BH559" s="85" t="str">
        <f t="shared" si="2306"/>
        <v>-</v>
      </c>
      <c r="BI559" s="85" t="str">
        <f t="shared" si="2307"/>
        <v>-</v>
      </c>
      <c r="BJ559" s="85" t="str">
        <f>'Consumer Hardware Pricing'!AP569</f>
        <v>-</v>
      </c>
      <c r="BK559" s="85" t="str">
        <f t="shared" si="2047"/>
        <v>-</v>
      </c>
      <c r="BL559" s="85" t="str">
        <f>'Consumer Hardware Pricing'!AQ569</f>
        <v>-</v>
      </c>
      <c r="BM559" s="85" t="str">
        <f t="shared" si="2308"/>
        <v>-</v>
      </c>
      <c r="BN559" s="85" t="str">
        <f t="shared" si="2309"/>
        <v>-</v>
      </c>
      <c r="BO559" s="85" t="str">
        <f t="shared" si="2310"/>
        <v>-</v>
      </c>
      <c r="BP559" s="85" t="str">
        <f>'Consumer Hardware Pricing'!AT569</f>
        <v>-</v>
      </c>
      <c r="BQ559" s="85" t="str">
        <f t="shared" si="2048"/>
        <v>-</v>
      </c>
      <c r="BR559" s="85" t="str">
        <f>'Consumer Hardware Pricing'!AU569</f>
        <v>-</v>
      </c>
      <c r="BS559" s="85" t="str">
        <f t="shared" si="2311"/>
        <v>-</v>
      </c>
      <c r="BT559" s="85" t="str">
        <f t="shared" si="2312"/>
        <v>-</v>
      </c>
      <c r="BU559" s="85" t="str">
        <f t="shared" si="2313"/>
        <v>-</v>
      </c>
    </row>
    <row r="560" spans="1:73" ht="30.45" customHeight="1" x14ac:dyDescent="0.25">
      <c r="A560" s="87" t="s">
        <v>34</v>
      </c>
      <c r="B560" s="347">
        <v>44247</v>
      </c>
      <c r="C560" s="88" t="s">
        <v>917</v>
      </c>
      <c r="D560" s="85">
        <f>'Consumer Hardware Pricing'!L570</f>
        <v>1950</v>
      </c>
      <c r="E560" s="85">
        <f>'Consumer Hardware Pricing'!M570</f>
        <v>1950</v>
      </c>
      <c r="F560" s="85">
        <f>'Consumer Hardware Pricing'!N570</f>
        <v>0</v>
      </c>
      <c r="G560" s="85">
        <f t="shared" si="1939"/>
        <v>81.25</v>
      </c>
      <c r="H560" s="85">
        <f>'Consumer Hardware Pricing'!O570</f>
        <v>15.42</v>
      </c>
      <c r="I560" s="85">
        <f t="shared" ref="I560:I561" si="2314">IF(H560="-",G560,G560-H560)</f>
        <v>65.83</v>
      </c>
      <c r="J560" s="85">
        <f t="shared" ref="J560:J561" si="2315">IF(H560="-",H560,H560*24)</f>
        <v>370.08</v>
      </c>
      <c r="K560" s="85">
        <f t="shared" ref="K560:K561" si="2316">IF(F560="-",F560,I560*24)</f>
        <v>1579.92</v>
      </c>
      <c r="L560" s="85">
        <f>'Consumer Hardware Pricing'!Q570</f>
        <v>290</v>
      </c>
      <c r="M560" s="85">
        <f t="shared" si="1940"/>
        <v>27.5</v>
      </c>
      <c r="N560" s="85">
        <f t="shared" ref="N560:N561" si="2317">IF(L560="-",L560,G560-M560)</f>
        <v>53.75</v>
      </c>
      <c r="O560" s="85">
        <f t="shared" ref="O560:O561" si="2318">IF(L560="-",L560,M560*24)</f>
        <v>660</v>
      </c>
      <c r="P560" s="85">
        <f t="shared" ref="P560:P561" si="2319">IF(L560="-",L560,N560*24)</f>
        <v>1290</v>
      </c>
      <c r="Q560" s="85">
        <f>'Consumer Hardware Pricing'!S570</f>
        <v>0</v>
      </c>
      <c r="R560" s="85">
        <f t="shared" ref="R560:R561" si="2320">G560</f>
        <v>81.25</v>
      </c>
      <c r="S560" s="85">
        <f>'Consumer Hardware Pricing'!T570</f>
        <v>15.42</v>
      </c>
      <c r="T560" s="129">
        <f t="shared" ref="T560:T561" si="2321">IF(S560="-",R560,R560-S560)</f>
        <v>65.83</v>
      </c>
      <c r="U560" s="129">
        <f t="shared" ref="U560:U561" si="2322">IF(S560="-",S560,S560*24)</f>
        <v>370.08</v>
      </c>
      <c r="V560" s="85">
        <f t="shared" ref="V560:V561" si="2323">IF(Q560="-",Q560,T560*24)</f>
        <v>1579.92</v>
      </c>
      <c r="W560" s="129">
        <f>'Consumer Hardware Pricing'!V570</f>
        <v>290</v>
      </c>
      <c r="X560" s="129">
        <f t="shared" si="1941"/>
        <v>27.5</v>
      </c>
      <c r="Y560" s="129">
        <f t="shared" ref="Y560:Y561" si="2324">IF(W560="-",W560,R560-X560)</f>
        <v>53.75</v>
      </c>
      <c r="Z560" s="129">
        <f t="shared" ref="Z560:Z561" si="2325">IF(W560="-",W560,X560*24)</f>
        <v>660</v>
      </c>
      <c r="AA560" s="85">
        <f t="shared" ref="AA560:AA561" si="2326">IF(W560="-",W560,Y560*24)</f>
        <v>1290</v>
      </c>
      <c r="AB560" s="85">
        <f>'Consumer Hardware Pricing'!X570</f>
        <v>0</v>
      </c>
      <c r="AC560" s="85">
        <f t="shared" si="2041"/>
        <v>81.25</v>
      </c>
      <c r="AD560" s="85">
        <f>'Consumer Hardware Pricing'!Y570</f>
        <v>23.75</v>
      </c>
      <c r="AE560" s="85">
        <f t="shared" si="1902"/>
        <v>57.5</v>
      </c>
      <c r="AF560" s="85">
        <f t="shared" si="1903"/>
        <v>570</v>
      </c>
      <c r="AG560" s="85">
        <f t="shared" si="1904"/>
        <v>1380</v>
      </c>
      <c r="AH560" s="85">
        <f>'Consumer Hardware Pricing'!AA570</f>
        <v>290</v>
      </c>
      <c r="AI560" s="85">
        <f t="shared" si="2042"/>
        <v>35.83</v>
      </c>
      <c r="AJ560" s="85">
        <f t="shared" si="1905"/>
        <v>45.42</v>
      </c>
      <c r="AK560" s="85">
        <f t="shared" si="1906"/>
        <v>859.92</v>
      </c>
      <c r="AL560" s="85">
        <f t="shared" si="1907"/>
        <v>1090.08</v>
      </c>
      <c r="AM560" s="85">
        <f>'Consumer Hardware Pricing'!AC570</f>
        <v>0</v>
      </c>
      <c r="AN560" s="85">
        <f t="shared" si="2043"/>
        <v>81.25</v>
      </c>
      <c r="AO560" s="85">
        <f>'Consumer Hardware Pricing'!AD570</f>
        <v>23.75</v>
      </c>
      <c r="AP560" s="85">
        <f t="shared" si="1908"/>
        <v>57.5</v>
      </c>
      <c r="AQ560" s="85">
        <f t="shared" si="1909"/>
        <v>570</v>
      </c>
      <c r="AR560" s="85">
        <f t="shared" si="1910"/>
        <v>1380</v>
      </c>
      <c r="AS560" s="85">
        <f>'Consumer Hardware Pricing'!AF570</f>
        <v>290</v>
      </c>
      <c r="AT560" s="85">
        <f t="shared" si="2044"/>
        <v>35.83</v>
      </c>
      <c r="AU560" s="85">
        <f t="shared" si="1911"/>
        <v>45.42</v>
      </c>
      <c r="AV560" s="85">
        <f t="shared" si="1912"/>
        <v>859.92</v>
      </c>
      <c r="AW560" s="85">
        <f t="shared" si="1913"/>
        <v>1090.08</v>
      </c>
      <c r="AX560" s="85" t="str">
        <f>'Consumer Hardware Pricing'!AH570</f>
        <v>-</v>
      </c>
      <c r="AY560" s="85" t="str">
        <f t="shared" si="2045"/>
        <v>-</v>
      </c>
      <c r="AZ560" s="85" t="str">
        <f>'Consumer Hardware Pricing'!AI570</f>
        <v>-</v>
      </c>
      <c r="BA560" s="85" t="str">
        <f t="shared" ref="BA560:BA561" si="2327">IF(AZ560="-",AY560,AY560-AZ560)</f>
        <v>-</v>
      </c>
      <c r="BB560" s="85" t="str">
        <f t="shared" ref="BB560:BB561" si="2328">IF(AZ560="-",AZ560,AZ560*24)</f>
        <v>-</v>
      </c>
      <c r="BC560" s="85" t="str">
        <f t="shared" ref="BC560:BC561" si="2329">IF(AX560="-",AX560,AX560+(BA560*24))</f>
        <v>-</v>
      </c>
      <c r="BD560" s="85" t="str">
        <f>'Consumer Hardware Pricing'!AL570</f>
        <v>-</v>
      </c>
      <c r="BE560" s="85" t="str">
        <f t="shared" si="2046"/>
        <v>-</v>
      </c>
      <c r="BF560" s="85" t="str">
        <f>'Consumer Hardware Pricing'!AM570</f>
        <v>-</v>
      </c>
      <c r="BG560" s="85" t="str">
        <f t="shared" ref="BG560:BG561" si="2330">IF(BF560="-",BE560,BE560-BF560)</f>
        <v>-</v>
      </c>
      <c r="BH560" s="85" t="str">
        <f t="shared" ref="BH560:BH561" si="2331">IF(BF560="-",BF560,BF560*24)</f>
        <v>-</v>
      </c>
      <c r="BI560" s="85" t="str">
        <f t="shared" ref="BI560:BI561" si="2332">IF(BD560="-",BD560,BD560+(BG560*24))</f>
        <v>-</v>
      </c>
      <c r="BJ560" s="85" t="str">
        <f>'Consumer Hardware Pricing'!AP570</f>
        <v>-</v>
      </c>
      <c r="BK560" s="85" t="str">
        <f t="shared" si="2047"/>
        <v>-</v>
      </c>
      <c r="BL560" s="85" t="str">
        <f>'Consumer Hardware Pricing'!AQ570</f>
        <v>-</v>
      </c>
      <c r="BM560" s="85" t="str">
        <f t="shared" ref="BM560:BM561" si="2333">IF(BL560="-",BK560,BK560-BL560)</f>
        <v>-</v>
      </c>
      <c r="BN560" s="85" t="str">
        <f t="shared" ref="BN560:BN561" si="2334">IF(BL560="-",BL560,BL560*24)</f>
        <v>-</v>
      </c>
      <c r="BO560" s="85" t="str">
        <f t="shared" ref="BO560:BO561" si="2335">IF(BJ560="-",BJ560,BJ560+(BM560*24))</f>
        <v>-</v>
      </c>
      <c r="BP560" s="85" t="str">
        <f>'Consumer Hardware Pricing'!AT570</f>
        <v>-</v>
      </c>
      <c r="BQ560" s="85" t="str">
        <f t="shared" si="2048"/>
        <v>-</v>
      </c>
      <c r="BR560" s="85" t="str">
        <f>'Consumer Hardware Pricing'!AU570</f>
        <v>-</v>
      </c>
      <c r="BS560" s="85" t="str">
        <f t="shared" ref="BS560:BS561" si="2336">IF(BR560="-",BQ560,BQ560-BR560)</f>
        <v>-</v>
      </c>
      <c r="BT560" s="85" t="str">
        <f t="shared" ref="BT560:BT561" si="2337">IF(BR560="-",BR560,BR560*24)</f>
        <v>-</v>
      </c>
      <c r="BU560" s="85" t="str">
        <f t="shared" ref="BU560:BU561" si="2338">IF(BP560="-",BP560,BP560+(BS560*24))</f>
        <v>-</v>
      </c>
    </row>
    <row r="561" spans="1:73" ht="30.45" customHeight="1" x14ac:dyDescent="0.25">
      <c r="A561" s="87" t="s">
        <v>34</v>
      </c>
      <c r="B561" s="88" t="s">
        <v>916</v>
      </c>
      <c r="C561" s="88" t="s">
        <v>917</v>
      </c>
      <c r="D561" s="85">
        <f>'Consumer Hardware Pricing'!L571</f>
        <v>1950</v>
      </c>
      <c r="E561" s="85">
        <f>'Consumer Hardware Pricing'!M571</f>
        <v>1950</v>
      </c>
      <c r="F561" s="85">
        <f>'Consumer Hardware Pricing'!N571</f>
        <v>0</v>
      </c>
      <c r="G561" s="85">
        <f t="shared" si="1939"/>
        <v>81.25</v>
      </c>
      <c r="H561" s="85">
        <f>'Consumer Hardware Pricing'!O571</f>
        <v>15.42</v>
      </c>
      <c r="I561" s="85">
        <f t="shared" si="2314"/>
        <v>65.83</v>
      </c>
      <c r="J561" s="85">
        <f t="shared" si="2315"/>
        <v>370.08</v>
      </c>
      <c r="K561" s="85">
        <f t="shared" si="2316"/>
        <v>1579.92</v>
      </c>
      <c r="L561" s="85">
        <f>'Consumer Hardware Pricing'!Q571</f>
        <v>290</v>
      </c>
      <c r="M561" s="85">
        <f t="shared" si="1940"/>
        <v>27.5</v>
      </c>
      <c r="N561" s="85">
        <f t="shared" si="2317"/>
        <v>53.75</v>
      </c>
      <c r="O561" s="85">
        <f t="shared" si="2318"/>
        <v>660</v>
      </c>
      <c r="P561" s="85">
        <f t="shared" si="2319"/>
        <v>1290</v>
      </c>
      <c r="Q561" s="85">
        <f>'Consumer Hardware Pricing'!S571</f>
        <v>0</v>
      </c>
      <c r="R561" s="85">
        <f t="shared" si="2320"/>
        <v>81.25</v>
      </c>
      <c r="S561" s="85">
        <f>'Consumer Hardware Pricing'!T571</f>
        <v>15.42</v>
      </c>
      <c r="T561" s="129">
        <f t="shared" si="2321"/>
        <v>65.83</v>
      </c>
      <c r="U561" s="129">
        <f t="shared" si="2322"/>
        <v>370.08</v>
      </c>
      <c r="V561" s="85">
        <f t="shared" si="2323"/>
        <v>1579.92</v>
      </c>
      <c r="W561" s="129">
        <f>'Consumer Hardware Pricing'!V571</f>
        <v>290</v>
      </c>
      <c r="X561" s="129">
        <f t="shared" si="1941"/>
        <v>27.5</v>
      </c>
      <c r="Y561" s="129">
        <f t="shared" si="2324"/>
        <v>53.75</v>
      </c>
      <c r="Z561" s="129">
        <f t="shared" si="2325"/>
        <v>660</v>
      </c>
      <c r="AA561" s="85">
        <f t="shared" si="2326"/>
        <v>1290</v>
      </c>
      <c r="AB561" s="85">
        <f>'Consumer Hardware Pricing'!X571</f>
        <v>0</v>
      </c>
      <c r="AC561" s="85">
        <f t="shared" si="2041"/>
        <v>81.25</v>
      </c>
      <c r="AD561" s="85">
        <f>'Consumer Hardware Pricing'!Y571</f>
        <v>23.75</v>
      </c>
      <c r="AE561" s="85">
        <f t="shared" si="1902"/>
        <v>57.5</v>
      </c>
      <c r="AF561" s="85">
        <f t="shared" si="1903"/>
        <v>570</v>
      </c>
      <c r="AG561" s="85">
        <f t="shared" si="1904"/>
        <v>1380</v>
      </c>
      <c r="AH561" s="85">
        <f>'Consumer Hardware Pricing'!AA571</f>
        <v>290</v>
      </c>
      <c r="AI561" s="85">
        <f t="shared" si="2042"/>
        <v>35.83</v>
      </c>
      <c r="AJ561" s="85">
        <f t="shared" si="1905"/>
        <v>45.42</v>
      </c>
      <c r="AK561" s="85">
        <f t="shared" si="1906"/>
        <v>859.92</v>
      </c>
      <c r="AL561" s="85">
        <f t="shared" si="1907"/>
        <v>1090.08</v>
      </c>
      <c r="AM561" s="85">
        <f>'Consumer Hardware Pricing'!AC571</f>
        <v>0</v>
      </c>
      <c r="AN561" s="85">
        <f t="shared" si="2043"/>
        <v>81.25</v>
      </c>
      <c r="AO561" s="85">
        <f>'Consumer Hardware Pricing'!AD571</f>
        <v>23.75</v>
      </c>
      <c r="AP561" s="85">
        <f t="shared" si="1908"/>
        <v>57.5</v>
      </c>
      <c r="AQ561" s="85">
        <f t="shared" si="1909"/>
        <v>570</v>
      </c>
      <c r="AR561" s="85">
        <f t="shared" si="1910"/>
        <v>1380</v>
      </c>
      <c r="AS561" s="85">
        <f>'Consumer Hardware Pricing'!AF571</f>
        <v>290</v>
      </c>
      <c r="AT561" s="85">
        <f t="shared" si="2044"/>
        <v>35.83</v>
      </c>
      <c r="AU561" s="85">
        <f t="shared" si="1911"/>
        <v>45.42</v>
      </c>
      <c r="AV561" s="85">
        <f t="shared" si="1912"/>
        <v>859.92</v>
      </c>
      <c r="AW561" s="85">
        <f t="shared" si="1913"/>
        <v>1090.08</v>
      </c>
      <c r="AX561" s="85" t="str">
        <f>'Consumer Hardware Pricing'!AH571</f>
        <v>-</v>
      </c>
      <c r="AY561" s="85" t="str">
        <f t="shared" si="2045"/>
        <v>-</v>
      </c>
      <c r="AZ561" s="85" t="str">
        <f>'Consumer Hardware Pricing'!AI571</f>
        <v>-</v>
      </c>
      <c r="BA561" s="85" t="str">
        <f t="shared" si="2327"/>
        <v>-</v>
      </c>
      <c r="BB561" s="85" t="str">
        <f t="shared" si="2328"/>
        <v>-</v>
      </c>
      <c r="BC561" s="85" t="str">
        <f t="shared" si="2329"/>
        <v>-</v>
      </c>
      <c r="BD561" s="85" t="str">
        <f>'Consumer Hardware Pricing'!AL571</f>
        <v>-</v>
      </c>
      <c r="BE561" s="85" t="str">
        <f t="shared" si="2046"/>
        <v>-</v>
      </c>
      <c r="BF561" s="85" t="str">
        <f>'Consumer Hardware Pricing'!AM571</f>
        <v>-</v>
      </c>
      <c r="BG561" s="85" t="str">
        <f t="shared" si="2330"/>
        <v>-</v>
      </c>
      <c r="BH561" s="85" t="str">
        <f t="shared" si="2331"/>
        <v>-</v>
      </c>
      <c r="BI561" s="85" t="str">
        <f t="shared" si="2332"/>
        <v>-</v>
      </c>
      <c r="BJ561" s="85" t="str">
        <f>'Consumer Hardware Pricing'!AP571</f>
        <v>-</v>
      </c>
      <c r="BK561" s="85" t="str">
        <f t="shared" si="2047"/>
        <v>-</v>
      </c>
      <c r="BL561" s="85" t="str">
        <f>'Consumer Hardware Pricing'!AQ571</f>
        <v>-</v>
      </c>
      <c r="BM561" s="85" t="str">
        <f t="shared" si="2333"/>
        <v>-</v>
      </c>
      <c r="BN561" s="85" t="str">
        <f t="shared" si="2334"/>
        <v>-</v>
      </c>
      <c r="BO561" s="85" t="str">
        <f t="shared" si="2335"/>
        <v>-</v>
      </c>
      <c r="BP561" s="85" t="str">
        <f>'Consumer Hardware Pricing'!AT571</f>
        <v>-</v>
      </c>
      <c r="BQ561" s="85" t="str">
        <f t="shared" si="2048"/>
        <v>-</v>
      </c>
      <c r="BR561" s="85" t="str">
        <f>'Consumer Hardware Pricing'!AU571</f>
        <v>-</v>
      </c>
      <c r="BS561" s="85" t="str">
        <f t="shared" si="2336"/>
        <v>-</v>
      </c>
      <c r="BT561" s="85" t="str">
        <f t="shared" si="2337"/>
        <v>-</v>
      </c>
      <c r="BU561" s="85" t="str">
        <f t="shared" si="2338"/>
        <v>-</v>
      </c>
    </row>
    <row r="562" spans="1:73" ht="30.45" customHeight="1" x14ac:dyDescent="0.25">
      <c r="A562" s="87" t="s">
        <v>35</v>
      </c>
      <c r="B562" s="88" t="s">
        <v>571</v>
      </c>
      <c r="C562" s="88" t="s">
        <v>572</v>
      </c>
      <c r="D562" s="85">
        <f>'Consumer Hardware Pricing'!L572</f>
        <v>359</v>
      </c>
      <c r="E562" s="85">
        <f>'Consumer Hardware Pricing'!M572</f>
        <v>359</v>
      </c>
      <c r="F562" s="85" t="str">
        <f>'Consumer Hardware Pricing'!N572</f>
        <v>-</v>
      </c>
      <c r="G562" s="85" t="str">
        <f t="shared" si="1939"/>
        <v>-</v>
      </c>
      <c r="H562" s="85" t="str">
        <f>'Consumer Hardware Pricing'!O572</f>
        <v>-</v>
      </c>
      <c r="I562" s="85" t="str">
        <f t="shared" si="1914"/>
        <v>-</v>
      </c>
      <c r="J562" s="85" t="str">
        <f t="shared" si="1926"/>
        <v>-</v>
      </c>
      <c r="K562" s="85" t="str">
        <f t="shared" si="1927"/>
        <v>-</v>
      </c>
      <c r="L562" s="85" t="str">
        <f>'Consumer Hardware Pricing'!Q572</f>
        <v>-</v>
      </c>
      <c r="M562" s="85" t="str">
        <f t="shared" si="1940"/>
        <v>-</v>
      </c>
      <c r="N562" s="85" t="str">
        <f t="shared" si="1915"/>
        <v>-</v>
      </c>
      <c r="O562" s="85" t="str">
        <f t="shared" si="1916"/>
        <v>-</v>
      </c>
      <c r="P562" s="85" t="str">
        <f t="shared" si="1928"/>
        <v>-</v>
      </c>
      <c r="Q562" s="85" t="str">
        <f>'Consumer Hardware Pricing'!S572</f>
        <v>-</v>
      </c>
      <c r="R562" s="85" t="str">
        <f t="shared" si="1917"/>
        <v>-</v>
      </c>
      <c r="S562" s="85" t="str">
        <f>'Consumer Hardware Pricing'!T572</f>
        <v>-</v>
      </c>
      <c r="T562" s="129" t="str">
        <f t="shared" si="1929"/>
        <v>-</v>
      </c>
      <c r="U562" s="129" t="str">
        <f t="shared" si="1930"/>
        <v>-</v>
      </c>
      <c r="V562" s="85" t="str">
        <f t="shared" si="1931"/>
        <v>-</v>
      </c>
      <c r="W562" s="129" t="str">
        <f>'Consumer Hardware Pricing'!V572</f>
        <v>-</v>
      </c>
      <c r="X562" s="129" t="str">
        <f t="shared" si="1941"/>
        <v>-</v>
      </c>
      <c r="Y562" s="129" t="str">
        <f t="shared" si="1932"/>
        <v>-</v>
      </c>
      <c r="Z562" s="129" t="str">
        <f t="shared" si="1933"/>
        <v>-</v>
      </c>
      <c r="AA562" s="85" t="str">
        <f t="shared" si="1934"/>
        <v>-</v>
      </c>
      <c r="AB562" s="85" t="str">
        <f>'Consumer Hardware Pricing'!X572</f>
        <v>-</v>
      </c>
      <c r="AC562" s="85" t="str">
        <f t="shared" si="2041"/>
        <v>-</v>
      </c>
      <c r="AD562" s="85" t="str">
        <f>'Consumer Hardware Pricing'!Y572</f>
        <v>-</v>
      </c>
      <c r="AE562" s="85" t="str">
        <f t="shared" si="1902"/>
        <v>-</v>
      </c>
      <c r="AF562" s="85" t="str">
        <f t="shared" si="1903"/>
        <v>-</v>
      </c>
      <c r="AG562" s="85" t="str">
        <f t="shared" si="1904"/>
        <v>-</v>
      </c>
      <c r="AH562" s="85" t="str">
        <f>'Consumer Hardware Pricing'!AA572</f>
        <v>-</v>
      </c>
      <c r="AI562" s="85" t="str">
        <f t="shared" si="2042"/>
        <v>-</v>
      </c>
      <c r="AJ562" s="85" t="str">
        <f t="shared" si="1905"/>
        <v>-</v>
      </c>
      <c r="AK562" s="85" t="str">
        <f t="shared" si="1906"/>
        <v>-</v>
      </c>
      <c r="AL562" s="85" t="str">
        <f t="shared" si="1907"/>
        <v>-</v>
      </c>
      <c r="AM562" s="85" t="str">
        <f>'Consumer Hardware Pricing'!AC572</f>
        <v>-</v>
      </c>
      <c r="AN562" s="85" t="str">
        <f t="shared" si="2043"/>
        <v>-</v>
      </c>
      <c r="AO562" s="85" t="str">
        <f>'Consumer Hardware Pricing'!AD572</f>
        <v>-</v>
      </c>
      <c r="AP562" s="85" t="str">
        <f t="shared" si="1908"/>
        <v>-</v>
      </c>
      <c r="AQ562" s="85" t="str">
        <f t="shared" si="1909"/>
        <v>-</v>
      </c>
      <c r="AR562" s="85" t="str">
        <f t="shared" si="1910"/>
        <v>-</v>
      </c>
      <c r="AS562" s="85" t="str">
        <f>'Consumer Hardware Pricing'!AF572</f>
        <v>-</v>
      </c>
      <c r="AT562" s="85" t="str">
        <f t="shared" si="2044"/>
        <v>-</v>
      </c>
      <c r="AU562" s="85" t="str">
        <f t="shared" si="1911"/>
        <v>-</v>
      </c>
      <c r="AV562" s="85" t="str">
        <f t="shared" si="1912"/>
        <v>-</v>
      </c>
      <c r="AW562" s="85" t="str">
        <f t="shared" si="1913"/>
        <v>-</v>
      </c>
      <c r="AX562" s="85" t="str">
        <f>'Consumer Hardware Pricing'!AH572</f>
        <v>-</v>
      </c>
      <c r="AY562" s="85" t="str">
        <f t="shared" si="2045"/>
        <v>-</v>
      </c>
      <c r="AZ562" s="85" t="str">
        <f>'Consumer Hardware Pricing'!AI572</f>
        <v>-</v>
      </c>
      <c r="BA562" s="85" t="str">
        <f t="shared" si="1918"/>
        <v>-</v>
      </c>
      <c r="BB562" s="85" t="str">
        <f t="shared" si="1919"/>
        <v>-</v>
      </c>
      <c r="BC562" s="85" t="str">
        <f t="shared" si="1935"/>
        <v>-</v>
      </c>
      <c r="BD562" s="85">
        <f>'Consumer Hardware Pricing'!AL572</f>
        <v>0</v>
      </c>
      <c r="BE562" s="85">
        <f t="shared" si="2046"/>
        <v>14.959999999999999</v>
      </c>
      <c r="BF562" s="85">
        <f>'Consumer Hardware Pricing'!AM572</f>
        <v>14.95</v>
      </c>
      <c r="BG562" s="85">
        <f t="shared" si="1920"/>
        <v>9.9999999999997868E-3</v>
      </c>
      <c r="BH562" s="85">
        <f t="shared" si="1921"/>
        <v>358.79999999999995</v>
      </c>
      <c r="BI562" s="85">
        <f t="shared" si="1936"/>
        <v>0.23999999999999488</v>
      </c>
      <c r="BJ562" s="85" t="str">
        <f>'Consumer Hardware Pricing'!AP572</f>
        <v>-</v>
      </c>
      <c r="BK562" s="85" t="str">
        <f t="shared" si="2047"/>
        <v>-</v>
      </c>
      <c r="BL562" s="85" t="str">
        <f>'Consumer Hardware Pricing'!AQ572</f>
        <v>-</v>
      </c>
      <c r="BM562" s="85" t="str">
        <f t="shared" si="1922"/>
        <v>-</v>
      </c>
      <c r="BN562" s="85" t="str">
        <f t="shared" si="1923"/>
        <v>-</v>
      </c>
      <c r="BO562" s="85" t="str">
        <f t="shared" si="1937"/>
        <v>-</v>
      </c>
      <c r="BP562" s="85" t="str">
        <f>'Consumer Hardware Pricing'!AT572</f>
        <v>-</v>
      </c>
      <c r="BQ562" s="85" t="str">
        <f t="shared" si="2048"/>
        <v>-</v>
      </c>
      <c r="BR562" s="85" t="str">
        <f>'Consumer Hardware Pricing'!AU572</f>
        <v>-</v>
      </c>
      <c r="BS562" s="85" t="str">
        <f t="shared" si="1924"/>
        <v>-</v>
      </c>
      <c r="BT562" s="85" t="str">
        <f t="shared" si="1925"/>
        <v>-</v>
      </c>
      <c r="BU562" s="85" t="str">
        <f t="shared" si="1938"/>
        <v>-</v>
      </c>
    </row>
    <row r="563" spans="1:73" ht="30.45" customHeight="1" x14ac:dyDescent="0.25">
      <c r="A563" s="87" t="s">
        <v>35</v>
      </c>
      <c r="B563" s="88" t="s">
        <v>896</v>
      </c>
      <c r="C563" s="88" t="s">
        <v>897</v>
      </c>
      <c r="D563" s="85">
        <f>'Consumer Hardware Pricing'!L573</f>
        <v>360</v>
      </c>
      <c r="E563" s="85">
        <f>'Consumer Hardware Pricing'!M573</f>
        <v>360</v>
      </c>
      <c r="F563" s="85" t="str">
        <f>'Consumer Hardware Pricing'!N573</f>
        <v>-</v>
      </c>
      <c r="G563" s="85" t="str">
        <f t="shared" si="1939"/>
        <v>-</v>
      </c>
      <c r="H563" s="85" t="str">
        <f>'Consumer Hardware Pricing'!O573</f>
        <v>-</v>
      </c>
      <c r="I563" s="85" t="str">
        <f t="shared" ref="I563" si="2339">IF(H563="-",G563,G563-H563)</f>
        <v>-</v>
      </c>
      <c r="J563" s="85" t="str">
        <f t="shared" ref="J563" si="2340">IF(H563="-",H563,H563*24)</f>
        <v>-</v>
      </c>
      <c r="K563" s="85" t="str">
        <f t="shared" ref="K563" si="2341">IF(F563="-",F563,I563*24)</f>
        <v>-</v>
      </c>
      <c r="L563" s="85" t="str">
        <f>'Consumer Hardware Pricing'!Q573</f>
        <v>-</v>
      </c>
      <c r="M563" s="85" t="str">
        <f t="shared" si="1940"/>
        <v>-</v>
      </c>
      <c r="N563" s="85" t="str">
        <f t="shared" ref="N563" si="2342">IF(L563="-",L563,G563-M563)</f>
        <v>-</v>
      </c>
      <c r="O563" s="85" t="str">
        <f t="shared" ref="O563" si="2343">IF(L563="-",L563,M563*24)</f>
        <v>-</v>
      </c>
      <c r="P563" s="85" t="str">
        <f t="shared" ref="P563" si="2344">IF(L563="-",L563,N563*24)</f>
        <v>-</v>
      </c>
      <c r="Q563" s="85" t="str">
        <f>'Consumer Hardware Pricing'!S573</f>
        <v>-</v>
      </c>
      <c r="R563" s="85" t="str">
        <f t="shared" ref="R563" si="2345">G563</f>
        <v>-</v>
      </c>
      <c r="S563" s="85" t="str">
        <f>'Consumer Hardware Pricing'!T573</f>
        <v>-</v>
      </c>
      <c r="T563" s="129" t="str">
        <f t="shared" ref="T563" si="2346">IF(S563="-",R563,R563-S563)</f>
        <v>-</v>
      </c>
      <c r="U563" s="129" t="str">
        <f t="shared" ref="U563" si="2347">IF(S563="-",S563,S563*24)</f>
        <v>-</v>
      </c>
      <c r="V563" s="85" t="str">
        <f t="shared" ref="V563" si="2348">IF(Q563="-",Q563,T563*24)</f>
        <v>-</v>
      </c>
      <c r="W563" s="129" t="str">
        <f>'Consumer Hardware Pricing'!V573</f>
        <v>-</v>
      </c>
      <c r="X563" s="129" t="str">
        <f t="shared" si="1941"/>
        <v>-</v>
      </c>
      <c r="Y563" s="129" t="str">
        <f t="shared" ref="Y563" si="2349">IF(W563="-",W563,R563-X563)</f>
        <v>-</v>
      </c>
      <c r="Z563" s="129" t="str">
        <f t="shared" ref="Z563" si="2350">IF(W563="-",W563,X563*24)</f>
        <v>-</v>
      </c>
      <c r="AA563" s="85" t="str">
        <f t="shared" ref="AA563" si="2351">IF(W563="-",W563,Y563*24)</f>
        <v>-</v>
      </c>
      <c r="AB563" s="85" t="str">
        <f>'Consumer Hardware Pricing'!X573</f>
        <v>-</v>
      </c>
      <c r="AC563" s="85" t="str">
        <f t="shared" si="2041"/>
        <v>-</v>
      </c>
      <c r="AD563" s="85" t="str">
        <f>'Consumer Hardware Pricing'!Y573</f>
        <v>-</v>
      </c>
      <c r="AE563" s="85" t="str">
        <f t="shared" si="1902"/>
        <v>-</v>
      </c>
      <c r="AF563" s="85" t="str">
        <f t="shared" si="1903"/>
        <v>-</v>
      </c>
      <c r="AG563" s="85" t="str">
        <f t="shared" si="1904"/>
        <v>-</v>
      </c>
      <c r="AH563" s="85" t="str">
        <f>'Consumer Hardware Pricing'!AA573</f>
        <v>-</v>
      </c>
      <c r="AI563" s="85" t="str">
        <f t="shared" si="2042"/>
        <v>-</v>
      </c>
      <c r="AJ563" s="85" t="str">
        <f t="shared" si="1905"/>
        <v>-</v>
      </c>
      <c r="AK563" s="85" t="str">
        <f t="shared" si="1906"/>
        <v>-</v>
      </c>
      <c r="AL563" s="85" t="str">
        <f t="shared" si="1907"/>
        <v>-</v>
      </c>
      <c r="AM563" s="85" t="str">
        <f>'Consumer Hardware Pricing'!AC573</f>
        <v>-</v>
      </c>
      <c r="AN563" s="85" t="str">
        <f t="shared" si="2043"/>
        <v>-</v>
      </c>
      <c r="AO563" s="85" t="str">
        <f>'Consumer Hardware Pricing'!AD573</f>
        <v>-</v>
      </c>
      <c r="AP563" s="85" t="str">
        <f t="shared" si="1908"/>
        <v>-</v>
      </c>
      <c r="AQ563" s="85" t="str">
        <f t="shared" si="1909"/>
        <v>-</v>
      </c>
      <c r="AR563" s="85" t="str">
        <f t="shared" si="1910"/>
        <v>-</v>
      </c>
      <c r="AS563" s="85" t="str">
        <f>'Consumer Hardware Pricing'!AF573</f>
        <v>-</v>
      </c>
      <c r="AT563" s="85" t="str">
        <f t="shared" si="2044"/>
        <v>-</v>
      </c>
      <c r="AU563" s="85" t="str">
        <f t="shared" si="1911"/>
        <v>-</v>
      </c>
      <c r="AV563" s="85" t="str">
        <f t="shared" si="1912"/>
        <v>-</v>
      </c>
      <c r="AW563" s="85" t="str">
        <f t="shared" si="1913"/>
        <v>-</v>
      </c>
      <c r="AX563" s="85" t="str">
        <f>'Consumer Hardware Pricing'!AH573</f>
        <v>-</v>
      </c>
      <c r="AY563" s="85" t="str">
        <f t="shared" si="2045"/>
        <v>-</v>
      </c>
      <c r="AZ563" s="85" t="str">
        <f>'Consumer Hardware Pricing'!AI573</f>
        <v>-</v>
      </c>
      <c r="BA563" s="85" t="str">
        <f t="shared" ref="BA563" si="2352">IF(AZ563="-",AY563,AY563-AZ563)</f>
        <v>-</v>
      </c>
      <c r="BB563" s="85" t="str">
        <f t="shared" ref="BB563" si="2353">IF(AZ563="-",AZ563,AZ563*24)</f>
        <v>-</v>
      </c>
      <c r="BC563" s="85" t="str">
        <f t="shared" ref="BC563" si="2354">IF(AX563="-",AX563,AX563+(BA563*24))</f>
        <v>-</v>
      </c>
      <c r="BD563" s="85">
        <f>'Consumer Hardware Pricing'!AL573</f>
        <v>0</v>
      </c>
      <c r="BE563" s="85">
        <f t="shared" si="2046"/>
        <v>15</v>
      </c>
      <c r="BF563" s="85">
        <f>'Consumer Hardware Pricing'!AM573</f>
        <v>10</v>
      </c>
      <c r="BG563" s="85">
        <f t="shared" ref="BG563" si="2355">IF(BF563="-",BE563,BE563-BF563)</f>
        <v>5</v>
      </c>
      <c r="BH563" s="85">
        <f t="shared" ref="BH563" si="2356">IF(BF563="-",BF563,BF563*24)</f>
        <v>240</v>
      </c>
      <c r="BI563" s="85">
        <f t="shared" ref="BI563" si="2357">IF(BD563="-",BD563,BD563+(BG563*24))</f>
        <v>120</v>
      </c>
      <c r="BJ563" s="85" t="str">
        <f>'Consumer Hardware Pricing'!AP573</f>
        <v>-</v>
      </c>
      <c r="BK563" s="85" t="str">
        <f t="shared" si="2047"/>
        <v>-</v>
      </c>
      <c r="BL563" s="85" t="str">
        <f>'Consumer Hardware Pricing'!AQ573</f>
        <v>-</v>
      </c>
      <c r="BM563" s="85" t="str">
        <f t="shared" ref="BM563" si="2358">IF(BL563="-",BK563,BK563-BL563)</f>
        <v>-</v>
      </c>
      <c r="BN563" s="85" t="str">
        <f t="shared" ref="BN563" si="2359">IF(BL563="-",BL563,BL563*24)</f>
        <v>-</v>
      </c>
      <c r="BO563" s="85" t="str">
        <f t="shared" ref="BO563" si="2360">IF(BJ563="-",BJ563,BJ563+(BM563*24))</f>
        <v>-</v>
      </c>
      <c r="BP563" s="85" t="str">
        <f>'Consumer Hardware Pricing'!AT573</f>
        <v>-</v>
      </c>
      <c r="BQ563" s="85" t="str">
        <f t="shared" si="2048"/>
        <v>-</v>
      </c>
      <c r="BR563" s="85" t="str">
        <f>'Consumer Hardware Pricing'!AU573</f>
        <v>-</v>
      </c>
      <c r="BS563" s="85" t="str">
        <f t="shared" ref="BS563" si="2361">IF(BR563="-",BQ563,BQ563-BR563)</f>
        <v>-</v>
      </c>
      <c r="BT563" s="85" t="str">
        <f t="shared" ref="BT563" si="2362">IF(BR563="-",BR563,BR563*24)</f>
        <v>-</v>
      </c>
      <c r="BU563" s="85" t="str">
        <f t="shared" ref="BU563" si="2363">IF(BP563="-",BP563,BP563+(BS563*24))</f>
        <v>-</v>
      </c>
    </row>
    <row r="564" spans="1:73" ht="30.45" customHeight="1" x14ac:dyDescent="0.25">
      <c r="A564" s="87" t="s">
        <v>35</v>
      </c>
      <c r="B564" s="88" t="s">
        <v>531</v>
      </c>
      <c r="C564" s="88" t="s">
        <v>532</v>
      </c>
      <c r="D564" s="85">
        <f>'Consumer Hardware Pricing'!L574</f>
        <v>550</v>
      </c>
      <c r="E564" s="85">
        <f>'Consumer Hardware Pricing'!M574</f>
        <v>550</v>
      </c>
      <c r="F564" s="85" t="str">
        <f>'Consumer Hardware Pricing'!N574</f>
        <v>-</v>
      </c>
      <c r="G564" s="85" t="str">
        <f t="shared" si="1939"/>
        <v>-</v>
      </c>
      <c r="H564" s="85" t="str">
        <f>'Consumer Hardware Pricing'!O574</f>
        <v>-</v>
      </c>
      <c r="I564" s="85" t="str">
        <f t="shared" si="1914"/>
        <v>-</v>
      </c>
      <c r="J564" s="85" t="str">
        <f t="shared" si="1926"/>
        <v>-</v>
      </c>
      <c r="K564" s="85" t="str">
        <f t="shared" si="1927"/>
        <v>-</v>
      </c>
      <c r="L564" s="85" t="str">
        <f>'Consumer Hardware Pricing'!Q574</f>
        <v>-</v>
      </c>
      <c r="M564" s="85" t="str">
        <f t="shared" si="1940"/>
        <v>-</v>
      </c>
      <c r="N564" s="85" t="str">
        <f t="shared" si="1915"/>
        <v>-</v>
      </c>
      <c r="O564" s="85" t="str">
        <f t="shared" si="1916"/>
        <v>-</v>
      </c>
      <c r="P564" s="85" t="str">
        <f t="shared" si="1928"/>
        <v>-</v>
      </c>
      <c r="Q564" s="85" t="str">
        <f>'Consumer Hardware Pricing'!S574</f>
        <v>-</v>
      </c>
      <c r="R564" s="85" t="str">
        <f t="shared" si="1917"/>
        <v>-</v>
      </c>
      <c r="S564" s="85" t="str">
        <f>'Consumer Hardware Pricing'!T574</f>
        <v>-</v>
      </c>
      <c r="T564" s="129" t="str">
        <f t="shared" si="1929"/>
        <v>-</v>
      </c>
      <c r="U564" s="129" t="str">
        <f t="shared" si="1930"/>
        <v>-</v>
      </c>
      <c r="V564" s="85" t="str">
        <f t="shared" si="1931"/>
        <v>-</v>
      </c>
      <c r="W564" s="129" t="str">
        <f>'Consumer Hardware Pricing'!V574</f>
        <v>-</v>
      </c>
      <c r="X564" s="129" t="str">
        <f t="shared" si="1941"/>
        <v>-</v>
      </c>
      <c r="Y564" s="129" t="str">
        <f t="shared" si="1932"/>
        <v>-</v>
      </c>
      <c r="Z564" s="129" t="str">
        <f t="shared" si="1933"/>
        <v>-</v>
      </c>
      <c r="AA564" s="85" t="str">
        <f t="shared" si="1934"/>
        <v>-</v>
      </c>
      <c r="AB564" s="85" t="str">
        <f>'Consumer Hardware Pricing'!X574</f>
        <v>-</v>
      </c>
      <c r="AC564" s="85" t="str">
        <f t="shared" si="2041"/>
        <v>-</v>
      </c>
      <c r="AD564" s="85" t="str">
        <f>'Consumer Hardware Pricing'!Y574</f>
        <v>-</v>
      </c>
      <c r="AE564" s="85" t="str">
        <f t="shared" si="1902"/>
        <v>-</v>
      </c>
      <c r="AF564" s="85" t="str">
        <f t="shared" si="1903"/>
        <v>-</v>
      </c>
      <c r="AG564" s="85" t="str">
        <f t="shared" si="1904"/>
        <v>-</v>
      </c>
      <c r="AH564" s="85" t="str">
        <f>'Consumer Hardware Pricing'!AA574</f>
        <v>-</v>
      </c>
      <c r="AI564" s="85" t="str">
        <f t="shared" si="2042"/>
        <v>-</v>
      </c>
      <c r="AJ564" s="85" t="str">
        <f t="shared" si="1905"/>
        <v>-</v>
      </c>
      <c r="AK564" s="85" t="str">
        <f t="shared" si="1906"/>
        <v>-</v>
      </c>
      <c r="AL564" s="85" t="str">
        <f t="shared" si="1907"/>
        <v>-</v>
      </c>
      <c r="AM564" s="85" t="str">
        <f>'Consumer Hardware Pricing'!AC574</f>
        <v>-</v>
      </c>
      <c r="AN564" s="85" t="str">
        <f t="shared" si="2043"/>
        <v>-</v>
      </c>
      <c r="AO564" s="85" t="str">
        <f>'Consumer Hardware Pricing'!AD574</f>
        <v>-</v>
      </c>
      <c r="AP564" s="85" t="str">
        <f t="shared" si="1908"/>
        <v>-</v>
      </c>
      <c r="AQ564" s="85" t="str">
        <f t="shared" si="1909"/>
        <v>-</v>
      </c>
      <c r="AR564" s="85" t="str">
        <f t="shared" si="1910"/>
        <v>-</v>
      </c>
      <c r="AS564" s="85" t="str">
        <f>'Consumer Hardware Pricing'!AF574</f>
        <v>-</v>
      </c>
      <c r="AT564" s="85" t="str">
        <f t="shared" si="2044"/>
        <v>-</v>
      </c>
      <c r="AU564" s="85" t="str">
        <f t="shared" si="1911"/>
        <v>-</v>
      </c>
      <c r="AV564" s="85" t="str">
        <f t="shared" si="1912"/>
        <v>-</v>
      </c>
      <c r="AW564" s="85" t="str">
        <f t="shared" si="1913"/>
        <v>-</v>
      </c>
      <c r="AX564" s="85" t="str">
        <f>'Consumer Hardware Pricing'!AH574</f>
        <v>-</v>
      </c>
      <c r="AY564" s="85" t="str">
        <f t="shared" si="2045"/>
        <v>-</v>
      </c>
      <c r="AZ564" s="85" t="str">
        <f>'Consumer Hardware Pricing'!AI574</f>
        <v>-</v>
      </c>
      <c r="BA564" s="85" t="str">
        <f t="shared" si="1918"/>
        <v>-</v>
      </c>
      <c r="BB564" s="85" t="str">
        <f t="shared" si="1919"/>
        <v>-</v>
      </c>
      <c r="BC564" s="85" t="str">
        <f t="shared" si="1935"/>
        <v>-</v>
      </c>
      <c r="BD564" s="85">
        <f>'Consumer Hardware Pricing'!AL574</f>
        <v>0</v>
      </c>
      <c r="BE564" s="85">
        <f t="shared" si="2046"/>
        <v>22.92</v>
      </c>
      <c r="BF564" s="85" t="str">
        <f>'Consumer Hardware Pricing'!AM574</f>
        <v>-</v>
      </c>
      <c r="BG564" s="85">
        <f t="shared" si="1920"/>
        <v>22.92</v>
      </c>
      <c r="BH564" s="85" t="str">
        <f t="shared" si="1921"/>
        <v>-</v>
      </c>
      <c r="BI564" s="85">
        <f t="shared" si="1936"/>
        <v>550.08000000000004</v>
      </c>
      <c r="BJ564" s="85" t="str">
        <f>'Consumer Hardware Pricing'!AP574</f>
        <v>-</v>
      </c>
      <c r="BK564" s="85" t="str">
        <f t="shared" si="2047"/>
        <v>-</v>
      </c>
      <c r="BL564" s="85" t="str">
        <f>'Consumer Hardware Pricing'!AQ574</f>
        <v>-</v>
      </c>
      <c r="BM564" s="85" t="str">
        <f t="shared" si="1922"/>
        <v>-</v>
      </c>
      <c r="BN564" s="85" t="str">
        <f t="shared" si="1923"/>
        <v>-</v>
      </c>
      <c r="BO564" s="85" t="str">
        <f t="shared" si="1937"/>
        <v>-</v>
      </c>
      <c r="BP564" s="85" t="str">
        <f>'Consumer Hardware Pricing'!AT574</f>
        <v>-</v>
      </c>
      <c r="BQ564" s="85" t="str">
        <f t="shared" si="2048"/>
        <v>-</v>
      </c>
      <c r="BR564" s="85" t="str">
        <f>'Consumer Hardware Pricing'!AU574</f>
        <v>-</v>
      </c>
      <c r="BS564" s="85" t="str">
        <f t="shared" si="1924"/>
        <v>-</v>
      </c>
      <c r="BT564" s="85" t="str">
        <f t="shared" si="1925"/>
        <v>-</v>
      </c>
      <c r="BU564" s="85" t="str">
        <f t="shared" si="1938"/>
        <v>-</v>
      </c>
    </row>
    <row r="565" spans="1:73" ht="30.45" customHeight="1" x14ac:dyDescent="0.25">
      <c r="A565" s="87" t="s">
        <v>35</v>
      </c>
      <c r="B565" s="88" t="s">
        <v>1225</v>
      </c>
      <c r="C565" s="89" t="s">
        <v>1226</v>
      </c>
      <c r="D565" s="85">
        <f>'Consumer Hardware Pricing'!L575</f>
        <v>779.99</v>
      </c>
      <c r="E565" s="85">
        <f>'Consumer Hardware Pricing'!M575</f>
        <v>779.99</v>
      </c>
      <c r="F565" s="85" t="str">
        <f>'Consumer Hardware Pricing'!N575</f>
        <v>-</v>
      </c>
      <c r="G565" s="85" t="str">
        <f t="shared" ref="G565" si="2364">IF(F565="-","-",ROUNDUP(D565/24,2))</f>
        <v>-</v>
      </c>
      <c r="H565" s="85" t="str">
        <f>'Consumer Hardware Pricing'!O575</f>
        <v>-</v>
      </c>
      <c r="I565" s="85" t="str">
        <f t="shared" ref="I565" si="2365">IF(H565="-",G565,G565-H565)</f>
        <v>-</v>
      </c>
      <c r="J565" s="85" t="str">
        <f t="shared" ref="J565" si="2366">IF(H565="-",H565,H565*24)</f>
        <v>-</v>
      </c>
      <c r="K565" s="85" t="str">
        <f t="shared" ref="K565" si="2367">IF(F565="-",F565,I565*24)</f>
        <v>-</v>
      </c>
      <c r="L565" s="85" t="str">
        <f>'Consumer Hardware Pricing'!Q575</f>
        <v>-</v>
      </c>
      <c r="M565" s="85" t="str">
        <f t="shared" ref="M565" si="2368">IF(L565="-",L565,IF(H565="-",G565-ROUNDUP((D565-L565)/24,2),H565+G565-ROUNDUP((D565-L565)/24,2)))</f>
        <v>-</v>
      </c>
      <c r="N565" s="85" t="str">
        <f t="shared" ref="N565" si="2369">IF(L565="-",L565,G565-M565)</f>
        <v>-</v>
      </c>
      <c r="O565" s="85" t="str">
        <f t="shared" ref="O565" si="2370">IF(L565="-",L565,M565*24)</f>
        <v>-</v>
      </c>
      <c r="P565" s="85" t="str">
        <f t="shared" ref="P565" si="2371">IF(L565="-",L565,N565*24)</f>
        <v>-</v>
      </c>
      <c r="Q565" s="85" t="str">
        <f>'Consumer Hardware Pricing'!S575</f>
        <v>-</v>
      </c>
      <c r="R565" s="85" t="str">
        <f t="shared" ref="R565" si="2372">G565</f>
        <v>-</v>
      </c>
      <c r="S565" s="85" t="str">
        <f>'Consumer Hardware Pricing'!T575</f>
        <v>-</v>
      </c>
      <c r="T565" s="129" t="str">
        <f t="shared" ref="T565" si="2373">IF(S565="-",R565,R565-S565)</f>
        <v>-</v>
      </c>
      <c r="U565" s="129" t="str">
        <f t="shared" ref="U565" si="2374">IF(S565="-",S565,S565*24)</f>
        <v>-</v>
      </c>
      <c r="V565" s="85" t="str">
        <f t="shared" ref="V565" si="2375">IF(Q565="-",Q565,T565*24)</f>
        <v>-</v>
      </c>
      <c r="W565" s="129" t="str">
        <f>'Consumer Hardware Pricing'!V575</f>
        <v>-</v>
      </c>
      <c r="X565" s="129" t="str">
        <f t="shared" ref="X565" si="2376">IF(W565="-",W565,IF(S565="-",R565-ROUNDUP((D565-W565)/24,2),S565+R565-ROUNDUP((D565-W565)/24,2)))</f>
        <v>-</v>
      </c>
      <c r="Y565" s="129" t="str">
        <f t="shared" ref="Y565" si="2377">IF(W565="-",W565,R565-X565)</f>
        <v>-</v>
      </c>
      <c r="Z565" s="129" t="str">
        <f t="shared" ref="Z565" si="2378">IF(W565="-",W565,X565*24)</f>
        <v>-</v>
      </c>
      <c r="AA565" s="85" t="str">
        <f t="shared" ref="AA565" si="2379">IF(W565="-",W565,Y565*24)</f>
        <v>-</v>
      </c>
      <c r="AB565" s="85" t="str">
        <f>'Consumer Hardware Pricing'!X575</f>
        <v>-</v>
      </c>
      <c r="AC565" s="85" t="str">
        <f t="shared" si="2041"/>
        <v>-</v>
      </c>
      <c r="AD565" s="85" t="str">
        <f>'Consumer Hardware Pricing'!Y575</f>
        <v>-</v>
      </c>
      <c r="AE565" s="85" t="str">
        <f t="shared" ref="AE565" si="2380">IF(AD565="-",AC565,AC565-AD565)</f>
        <v>-</v>
      </c>
      <c r="AF565" s="85" t="str">
        <f t="shared" ref="AF565" si="2381">IF(AD565="-",AD565,AD565*24)</f>
        <v>-</v>
      </c>
      <c r="AG565" s="85" t="str">
        <f t="shared" ref="AG565" si="2382">IF(AB565="-",AB565,AE565*24)</f>
        <v>-</v>
      </c>
      <c r="AH565" s="85" t="str">
        <f>'Consumer Hardware Pricing'!AA575</f>
        <v>-</v>
      </c>
      <c r="AI565" s="85" t="str">
        <f t="shared" si="2042"/>
        <v>-</v>
      </c>
      <c r="AJ565" s="85" t="str">
        <f t="shared" ref="AJ565" si="2383">IF(AH565="-",AH565,AC565-AI565)</f>
        <v>-</v>
      </c>
      <c r="AK565" s="85" t="str">
        <f t="shared" ref="AK565" si="2384">IF(AH565="-",AH565,AI565*24)</f>
        <v>-</v>
      </c>
      <c r="AL565" s="85" t="str">
        <f t="shared" ref="AL565" si="2385">IF(AH565="-",AH565,AJ565*24)</f>
        <v>-</v>
      </c>
      <c r="AM565" s="85" t="str">
        <f>'Consumer Hardware Pricing'!AC575</f>
        <v>-</v>
      </c>
      <c r="AN565" s="85" t="str">
        <f t="shared" si="2043"/>
        <v>-</v>
      </c>
      <c r="AO565" s="85" t="str">
        <f>'Consumer Hardware Pricing'!AD575</f>
        <v>-</v>
      </c>
      <c r="AP565" s="85" t="str">
        <f t="shared" ref="AP565" si="2386">IF(AO565="-",AN565,AN565-AO565)</f>
        <v>-</v>
      </c>
      <c r="AQ565" s="85" t="str">
        <f t="shared" ref="AQ565" si="2387">IF(AO565="-",AO565,AO565*24)</f>
        <v>-</v>
      </c>
      <c r="AR565" s="85" t="str">
        <f t="shared" ref="AR565" si="2388">IF(AM565="-",AM565,AP565*24)</f>
        <v>-</v>
      </c>
      <c r="AS565" s="85" t="str">
        <f>'Consumer Hardware Pricing'!AF575</f>
        <v>-</v>
      </c>
      <c r="AT565" s="85" t="str">
        <f t="shared" si="2044"/>
        <v>-</v>
      </c>
      <c r="AU565" s="85" t="str">
        <f t="shared" ref="AU565" si="2389">IF(AS565="-",AS565,AN565-AT565)</f>
        <v>-</v>
      </c>
      <c r="AV565" s="85" t="str">
        <f t="shared" ref="AV565" si="2390">IF(AS565="-",AS565,AT565*24)</f>
        <v>-</v>
      </c>
      <c r="AW565" s="85" t="str">
        <f t="shared" ref="AW565" si="2391">IF(AS565="-",AS565,AU565*24)</f>
        <v>-</v>
      </c>
      <c r="AX565" s="85" t="str">
        <f>'Consumer Hardware Pricing'!AH575</f>
        <v>-</v>
      </c>
      <c r="AY565" s="85" t="str">
        <f t="shared" si="2045"/>
        <v>-</v>
      </c>
      <c r="AZ565" s="85" t="str">
        <f>'Consumer Hardware Pricing'!AI575</f>
        <v>-</v>
      </c>
      <c r="BA565" s="85" t="str">
        <f t="shared" ref="BA565" si="2392">IF(AZ565="-",AY565,AY565-AZ565)</f>
        <v>-</v>
      </c>
      <c r="BB565" s="85" t="str">
        <f t="shared" ref="BB565" si="2393">IF(AZ565="-",AZ565,AZ565*24)</f>
        <v>-</v>
      </c>
      <c r="BC565" s="85" t="str">
        <f t="shared" ref="BC565" si="2394">IF(AX565="-",AX565,AX565+(BA565*24))</f>
        <v>-</v>
      </c>
      <c r="BD565" s="85">
        <f>'Consumer Hardware Pricing'!AL575</f>
        <v>0</v>
      </c>
      <c r="BE565" s="85">
        <f t="shared" si="2046"/>
        <v>32.5</v>
      </c>
      <c r="BF565" s="85" t="str">
        <f>'Consumer Hardware Pricing'!AM575</f>
        <v>-</v>
      </c>
      <c r="BG565" s="85">
        <f t="shared" ref="BG565" si="2395">IF(BF565="-",BE565,BE565-BF565)</f>
        <v>32.5</v>
      </c>
      <c r="BH565" s="85" t="str">
        <f t="shared" ref="BH565" si="2396">IF(BF565="-",BF565,BF565*24)</f>
        <v>-</v>
      </c>
      <c r="BI565" s="85">
        <f t="shared" ref="BI565" si="2397">IF(BD565="-",BD565,BD565+(BG565*24))</f>
        <v>780</v>
      </c>
      <c r="BJ565" s="85" t="str">
        <f>'Consumer Hardware Pricing'!AP575</f>
        <v>-</v>
      </c>
      <c r="BK565" s="85" t="str">
        <f t="shared" si="2047"/>
        <v>-</v>
      </c>
      <c r="BL565" s="85" t="str">
        <f>'Consumer Hardware Pricing'!AQ575</f>
        <v>-</v>
      </c>
      <c r="BM565" s="85" t="str">
        <f t="shared" ref="BM565" si="2398">IF(BL565="-",BK565,BK565-BL565)</f>
        <v>-</v>
      </c>
      <c r="BN565" s="85" t="str">
        <f t="shared" ref="BN565" si="2399">IF(BL565="-",BL565,BL565*24)</f>
        <v>-</v>
      </c>
      <c r="BO565" s="85" t="str">
        <f t="shared" ref="BO565" si="2400">IF(BJ565="-",BJ565,BJ565+(BM565*24))</f>
        <v>-</v>
      </c>
      <c r="BP565" s="85" t="str">
        <f>'Consumer Hardware Pricing'!AT575</f>
        <v>-</v>
      </c>
      <c r="BQ565" s="85" t="str">
        <f t="shared" si="2048"/>
        <v>-</v>
      </c>
      <c r="BR565" s="85" t="str">
        <f>'Consumer Hardware Pricing'!AU575</f>
        <v>-</v>
      </c>
      <c r="BS565" s="85" t="str">
        <f t="shared" ref="BS565" si="2401">IF(BR565="-",BQ565,BQ565-BR565)</f>
        <v>-</v>
      </c>
      <c r="BT565" s="85" t="str">
        <f t="shared" ref="BT565" si="2402">IF(BR565="-",BR565,BR565*24)</f>
        <v>-</v>
      </c>
      <c r="BU565" s="85" t="str">
        <f t="shared" ref="BU565" si="2403">IF(BP565="-",BP565,BP565+(BS565*24))</f>
        <v>-</v>
      </c>
    </row>
    <row r="566" spans="1:73" ht="30.45" customHeight="1" x14ac:dyDescent="0.25">
      <c r="A566" s="87" t="s">
        <v>35</v>
      </c>
      <c r="B566" s="88" t="s">
        <v>1227</v>
      </c>
      <c r="C566" s="89" t="s">
        <v>1228</v>
      </c>
      <c r="D566" s="85">
        <f>'Consumer Hardware Pricing'!L576</f>
        <v>900</v>
      </c>
      <c r="E566" s="85">
        <f>'Consumer Hardware Pricing'!M576</f>
        <v>900</v>
      </c>
      <c r="F566" s="85" t="str">
        <f>'Consumer Hardware Pricing'!N576</f>
        <v>-</v>
      </c>
      <c r="G566" s="85" t="str">
        <f t="shared" ref="G566" si="2404">IF(F566="-","-",ROUNDUP(D566/24,2))</f>
        <v>-</v>
      </c>
      <c r="H566" s="85" t="str">
        <f>'Consumer Hardware Pricing'!O576</f>
        <v>-</v>
      </c>
      <c r="I566" s="85" t="str">
        <f t="shared" ref="I566" si="2405">IF(H566="-",G566,G566-H566)</f>
        <v>-</v>
      </c>
      <c r="J566" s="85" t="str">
        <f t="shared" ref="J566" si="2406">IF(H566="-",H566,H566*24)</f>
        <v>-</v>
      </c>
      <c r="K566" s="85" t="str">
        <f t="shared" ref="K566" si="2407">IF(F566="-",F566,I566*24)</f>
        <v>-</v>
      </c>
      <c r="L566" s="85" t="str">
        <f>'Consumer Hardware Pricing'!Q576</f>
        <v>-</v>
      </c>
      <c r="M566" s="85" t="str">
        <f t="shared" ref="M566" si="2408">IF(L566="-",L566,IF(H566="-",G566-ROUNDUP((D566-L566)/24,2),H566+G566-ROUNDUP((D566-L566)/24,2)))</f>
        <v>-</v>
      </c>
      <c r="N566" s="85" t="str">
        <f t="shared" ref="N566" si="2409">IF(L566="-",L566,G566-M566)</f>
        <v>-</v>
      </c>
      <c r="O566" s="85" t="str">
        <f t="shared" ref="O566" si="2410">IF(L566="-",L566,M566*24)</f>
        <v>-</v>
      </c>
      <c r="P566" s="85" t="str">
        <f t="shared" ref="P566" si="2411">IF(L566="-",L566,N566*24)</f>
        <v>-</v>
      </c>
      <c r="Q566" s="85" t="str">
        <f>'Consumer Hardware Pricing'!S576</f>
        <v>-</v>
      </c>
      <c r="R566" s="85" t="str">
        <f t="shared" ref="R566" si="2412">G566</f>
        <v>-</v>
      </c>
      <c r="S566" s="85" t="str">
        <f>'Consumer Hardware Pricing'!T576</f>
        <v>-</v>
      </c>
      <c r="T566" s="129" t="str">
        <f t="shared" ref="T566" si="2413">IF(S566="-",R566,R566-S566)</f>
        <v>-</v>
      </c>
      <c r="U566" s="129" t="str">
        <f t="shared" ref="U566" si="2414">IF(S566="-",S566,S566*24)</f>
        <v>-</v>
      </c>
      <c r="V566" s="85" t="str">
        <f t="shared" ref="V566" si="2415">IF(Q566="-",Q566,T566*24)</f>
        <v>-</v>
      </c>
      <c r="W566" s="129" t="str">
        <f>'Consumer Hardware Pricing'!V576</f>
        <v>-</v>
      </c>
      <c r="X566" s="129" t="str">
        <f t="shared" ref="X566" si="2416">IF(W566="-",W566,IF(S566="-",R566-ROUNDUP((D566-W566)/24,2),S566+R566-ROUNDUP((D566-W566)/24,2)))</f>
        <v>-</v>
      </c>
      <c r="Y566" s="129" t="str">
        <f t="shared" ref="Y566" si="2417">IF(W566="-",W566,R566-X566)</f>
        <v>-</v>
      </c>
      <c r="Z566" s="129" t="str">
        <f t="shared" ref="Z566" si="2418">IF(W566="-",W566,X566*24)</f>
        <v>-</v>
      </c>
      <c r="AA566" s="85" t="str">
        <f t="shared" ref="AA566" si="2419">IF(W566="-",W566,Y566*24)</f>
        <v>-</v>
      </c>
      <c r="AB566" s="85" t="str">
        <f>'Consumer Hardware Pricing'!X576</f>
        <v>-</v>
      </c>
      <c r="AC566" s="85" t="str">
        <f t="shared" si="2041"/>
        <v>-</v>
      </c>
      <c r="AD566" s="85" t="str">
        <f>'Consumer Hardware Pricing'!Y576</f>
        <v>-</v>
      </c>
      <c r="AE566" s="85" t="str">
        <f t="shared" ref="AE566" si="2420">IF(AD566="-",AC566,AC566-AD566)</f>
        <v>-</v>
      </c>
      <c r="AF566" s="85" t="str">
        <f t="shared" ref="AF566" si="2421">IF(AD566="-",AD566,AD566*24)</f>
        <v>-</v>
      </c>
      <c r="AG566" s="85" t="str">
        <f t="shared" ref="AG566" si="2422">IF(AB566="-",AB566,AE566*24)</f>
        <v>-</v>
      </c>
      <c r="AH566" s="85" t="str">
        <f>'Consumer Hardware Pricing'!AA576</f>
        <v>-</v>
      </c>
      <c r="AI566" s="85" t="str">
        <f t="shared" si="2042"/>
        <v>-</v>
      </c>
      <c r="AJ566" s="85" t="str">
        <f t="shared" ref="AJ566" si="2423">IF(AH566="-",AH566,AC566-AI566)</f>
        <v>-</v>
      </c>
      <c r="AK566" s="85" t="str">
        <f t="shared" ref="AK566" si="2424">IF(AH566="-",AH566,AI566*24)</f>
        <v>-</v>
      </c>
      <c r="AL566" s="85" t="str">
        <f t="shared" ref="AL566" si="2425">IF(AH566="-",AH566,AJ566*24)</f>
        <v>-</v>
      </c>
      <c r="AM566" s="85" t="str">
        <f>'Consumer Hardware Pricing'!AC576</f>
        <v>-</v>
      </c>
      <c r="AN566" s="85" t="str">
        <f t="shared" si="2043"/>
        <v>-</v>
      </c>
      <c r="AO566" s="85" t="str">
        <f>'Consumer Hardware Pricing'!AD576</f>
        <v>-</v>
      </c>
      <c r="AP566" s="85" t="str">
        <f t="shared" ref="AP566" si="2426">IF(AO566="-",AN566,AN566-AO566)</f>
        <v>-</v>
      </c>
      <c r="AQ566" s="85" t="str">
        <f t="shared" ref="AQ566" si="2427">IF(AO566="-",AO566,AO566*24)</f>
        <v>-</v>
      </c>
      <c r="AR566" s="85" t="str">
        <f t="shared" ref="AR566" si="2428">IF(AM566="-",AM566,AP566*24)</f>
        <v>-</v>
      </c>
      <c r="AS566" s="85" t="str">
        <f>'Consumer Hardware Pricing'!AF576</f>
        <v>-</v>
      </c>
      <c r="AT566" s="85" t="str">
        <f t="shared" si="2044"/>
        <v>-</v>
      </c>
      <c r="AU566" s="85" t="str">
        <f t="shared" ref="AU566" si="2429">IF(AS566="-",AS566,AN566-AT566)</f>
        <v>-</v>
      </c>
      <c r="AV566" s="85" t="str">
        <f t="shared" ref="AV566" si="2430">IF(AS566="-",AS566,AT566*24)</f>
        <v>-</v>
      </c>
      <c r="AW566" s="85" t="str">
        <f t="shared" ref="AW566" si="2431">IF(AS566="-",AS566,AU566*24)</f>
        <v>-</v>
      </c>
      <c r="AX566" s="85" t="str">
        <f>'Consumer Hardware Pricing'!AH576</f>
        <v>-</v>
      </c>
      <c r="AY566" s="85" t="str">
        <f t="shared" si="2045"/>
        <v>-</v>
      </c>
      <c r="AZ566" s="85" t="str">
        <f>'Consumer Hardware Pricing'!AI576</f>
        <v>-</v>
      </c>
      <c r="BA566" s="85" t="str">
        <f t="shared" ref="BA566" si="2432">IF(AZ566="-",AY566,AY566-AZ566)</f>
        <v>-</v>
      </c>
      <c r="BB566" s="85" t="str">
        <f t="shared" ref="BB566" si="2433">IF(AZ566="-",AZ566,AZ566*24)</f>
        <v>-</v>
      </c>
      <c r="BC566" s="85" t="str">
        <f t="shared" ref="BC566" si="2434">IF(AX566="-",AX566,AX566+(BA566*24))</f>
        <v>-</v>
      </c>
      <c r="BD566" s="85">
        <f>'Consumer Hardware Pricing'!AL576</f>
        <v>0</v>
      </c>
      <c r="BE566" s="85">
        <f t="shared" si="2046"/>
        <v>37.5</v>
      </c>
      <c r="BF566" s="85" t="str">
        <f>'Consumer Hardware Pricing'!AM576</f>
        <v>-</v>
      </c>
      <c r="BG566" s="85">
        <f t="shared" ref="BG566" si="2435">IF(BF566="-",BE566,BE566-BF566)</f>
        <v>37.5</v>
      </c>
      <c r="BH566" s="85" t="str">
        <f t="shared" ref="BH566" si="2436">IF(BF566="-",BF566,BF566*24)</f>
        <v>-</v>
      </c>
      <c r="BI566" s="85">
        <f t="shared" ref="BI566" si="2437">IF(BD566="-",BD566,BD566+(BG566*24))</f>
        <v>900</v>
      </c>
      <c r="BJ566" s="85" t="str">
        <f>'Consumer Hardware Pricing'!AP576</f>
        <v>-</v>
      </c>
      <c r="BK566" s="85" t="str">
        <f t="shared" si="2047"/>
        <v>-</v>
      </c>
      <c r="BL566" s="85" t="str">
        <f>'Consumer Hardware Pricing'!AQ576</f>
        <v>-</v>
      </c>
      <c r="BM566" s="85" t="str">
        <f t="shared" ref="BM566" si="2438">IF(BL566="-",BK566,BK566-BL566)</f>
        <v>-</v>
      </c>
      <c r="BN566" s="85" t="str">
        <f t="shared" ref="BN566" si="2439">IF(BL566="-",BL566,BL566*24)</f>
        <v>-</v>
      </c>
      <c r="BO566" s="85" t="str">
        <f t="shared" ref="BO566" si="2440">IF(BJ566="-",BJ566,BJ566+(BM566*24))</f>
        <v>-</v>
      </c>
      <c r="BP566" s="85" t="str">
        <f>'Consumer Hardware Pricing'!AT576</f>
        <v>-</v>
      </c>
      <c r="BQ566" s="85" t="str">
        <f t="shared" si="2048"/>
        <v>-</v>
      </c>
      <c r="BR566" s="85" t="str">
        <f>'Consumer Hardware Pricing'!AU576</f>
        <v>-</v>
      </c>
      <c r="BS566" s="85" t="str">
        <f t="shared" ref="BS566" si="2441">IF(BR566="-",BQ566,BQ566-BR566)</f>
        <v>-</v>
      </c>
      <c r="BT566" s="85" t="str">
        <f t="shared" ref="BT566" si="2442">IF(BR566="-",BR566,BR566*24)</f>
        <v>-</v>
      </c>
      <c r="BU566" s="85" t="str">
        <f t="shared" ref="BU566" si="2443">IF(BP566="-",BP566,BP566+(BS566*24))</f>
        <v>-</v>
      </c>
    </row>
    <row r="567" spans="1:73" ht="30.45" customHeight="1" x14ac:dyDescent="0.25">
      <c r="A567" s="87" t="s">
        <v>34</v>
      </c>
      <c r="B567" s="88" t="s">
        <v>288</v>
      </c>
      <c r="C567" s="89" t="s">
        <v>289</v>
      </c>
      <c r="D567" s="85">
        <f>'Consumer Hardware Pricing'!L577</f>
        <v>350</v>
      </c>
      <c r="E567" s="85">
        <f>'Consumer Hardware Pricing'!M577</f>
        <v>350</v>
      </c>
      <c r="F567" s="85">
        <f>'Consumer Hardware Pricing'!N577</f>
        <v>0</v>
      </c>
      <c r="G567" s="85">
        <f t="shared" si="1939"/>
        <v>14.59</v>
      </c>
      <c r="H567" s="85" t="str">
        <f>'Consumer Hardware Pricing'!O577</f>
        <v>-</v>
      </c>
      <c r="I567" s="85">
        <f t="shared" si="1914"/>
        <v>14.59</v>
      </c>
      <c r="J567" s="85" t="str">
        <f t="shared" si="1926"/>
        <v>-</v>
      </c>
      <c r="K567" s="85">
        <f t="shared" si="1927"/>
        <v>350.15999999999997</v>
      </c>
      <c r="L567" s="85" t="str">
        <f>'Consumer Hardware Pricing'!Q577</f>
        <v>-</v>
      </c>
      <c r="M567" s="85" t="str">
        <f t="shared" si="1940"/>
        <v>-</v>
      </c>
      <c r="N567" s="85" t="str">
        <f t="shared" si="1915"/>
        <v>-</v>
      </c>
      <c r="O567" s="85" t="str">
        <f t="shared" si="1916"/>
        <v>-</v>
      </c>
      <c r="P567" s="85" t="str">
        <f t="shared" si="1928"/>
        <v>-</v>
      </c>
      <c r="Q567" s="85">
        <f>'Consumer Hardware Pricing'!S577</f>
        <v>0</v>
      </c>
      <c r="R567" s="85">
        <f t="shared" si="1917"/>
        <v>14.59</v>
      </c>
      <c r="S567" s="85" t="str">
        <f>'Consumer Hardware Pricing'!T577</f>
        <v>-</v>
      </c>
      <c r="T567" s="129">
        <f t="shared" si="1929"/>
        <v>14.59</v>
      </c>
      <c r="U567" s="129" t="str">
        <f t="shared" si="1930"/>
        <v>-</v>
      </c>
      <c r="V567" s="85">
        <f t="shared" si="1931"/>
        <v>350.15999999999997</v>
      </c>
      <c r="W567" s="129" t="str">
        <f>'Consumer Hardware Pricing'!V577</f>
        <v>-</v>
      </c>
      <c r="X567" s="129" t="str">
        <f t="shared" si="1941"/>
        <v>-</v>
      </c>
      <c r="Y567" s="129" t="str">
        <f t="shared" si="1932"/>
        <v>-</v>
      </c>
      <c r="Z567" s="129" t="str">
        <f t="shared" si="1933"/>
        <v>-</v>
      </c>
      <c r="AA567" s="85" t="str">
        <f t="shared" si="1934"/>
        <v>-</v>
      </c>
      <c r="AB567" s="85">
        <f>'Consumer Hardware Pricing'!X577</f>
        <v>0</v>
      </c>
      <c r="AC567" s="85">
        <f t="shared" si="2041"/>
        <v>14.59</v>
      </c>
      <c r="AD567" s="85" t="str">
        <f>'Consumer Hardware Pricing'!Y577</f>
        <v>-</v>
      </c>
      <c r="AE567" s="85">
        <f t="shared" si="1902"/>
        <v>14.59</v>
      </c>
      <c r="AF567" s="85" t="str">
        <f t="shared" si="1903"/>
        <v>-</v>
      </c>
      <c r="AG567" s="85">
        <f t="shared" si="1904"/>
        <v>350.15999999999997</v>
      </c>
      <c r="AH567" s="85" t="str">
        <f>'Consumer Hardware Pricing'!AA577</f>
        <v>-</v>
      </c>
      <c r="AI567" s="85" t="str">
        <f t="shared" si="2042"/>
        <v>-</v>
      </c>
      <c r="AJ567" s="85" t="str">
        <f t="shared" si="1905"/>
        <v>-</v>
      </c>
      <c r="AK567" s="85" t="str">
        <f t="shared" si="1906"/>
        <v>-</v>
      </c>
      <c r="AL567" s="85" t="str">
        <f t="shared" si="1907"/>
        <v>-</v>
      </c>
      <c r="AM567" s="85">
        <f>'Consumer Hardware Pricing'!AC577</f>
        <v>0</v>
      </c>
      <c r="AN567" s="85">
        <f t="shared" si="2043"/>
        <v>14.59</v>
      </c>
      <c r="AO567" s="85" t="str">
        <f>'Consumer Hardware Pricing'!AD577</f>
        <v>-</v>
      </c>
      <c r="AP567" s="85">
        <f t="shared" si="1908"/>
        <v>14.59</v>
      </c>
      <c r="AQ567" s="85" t="str">
        <f t="shared" si="1909"/>
        <v>-</v>
      </c>
      <c r="AR567" s="85">
        <f t="shared" si="1910"/>
        <v>350.15999999999997</v>
      </c>
      <c r="AS567" s="85" t="str">
        <f>'Consumer Hardware Pricing'!AF577</f>
        <v>-</v>
      </c>
      <c r="AT567" s="85" t="str">
        <f t="shared" si="2044"/>
        <v>-</v>
      </c>
      <c r="AU567" s="85" t="str">
        <f t="shared" si="1911"/>
        <v>-</v>
      </c>
      <c r="AV567" s="85" t="str">
        <f t="shared" si="1912"/>
        <v>-</v>
      </c>
      <c r="AW567" s="85" t="str">
        <f t="shared" si="1913"/>
        <v>-</v>
      </c>
      <c r="AX567" s="85">
        <f>'Consumer Hardware Pricing'!AH577</f>
        <v>0</v>
      </c>
      <c r="AY567" s="85">
        <f t="shared" si="2045"/>
        <v>14.59</v>
      </c>
      <c r="AZ567" s="85" t="str">
        <f>'Consumer Hardware Pricing'!AI577</f>
        <v>-</v>
      </c>
      <c r="BA567" s="85">
        <f t="shared" si="1918"/>
        <v>14.59</v>
      </c>
      <c r="BB567" s="85" t="str">
        <f t="shared" si="1919"/>
        <v>-</v>
      </c>
      <c r="BC567" s="85">
        <f t="shared" si="1935"/>
        <v>350.15999999999997</v>
      </c>
      <c r="BD567" s="85" t="str">
        <f>'Consumer Hardware Pricing'!AL577</f>
        <v>-</v>
      </c>
      <c r="BE567" s="85" t="str">
        <f t="shared" si="2046"/>
        <v>-</v>
      </c>
      <c r="BF567" s="85" t="str">
        <f>'Consumer Hardware Pricing'!AM577</f>
        <v>-</v>
      </c>
      <c r="BG567" s="85" t="str">
        <f t="shared" si="1920"/>
        <v>-</v>
      </c>
      <c r="BH567" s="85" t="str">
        <f t="shared" si="1921"/>
        <v>-</v>
      </c>
      <c r="BI567" s="85" t="str">
        <f t="shared" si="1936"/>
        <v>-</v>
      </c>
      <c r="BJ567" s="85" t="str">
        <f>'Consumer Hardware Pricing'!AP577</f>
        <v>-</v>
      </c>
      <c r="BK567" s="85" t="str">
        <f t="shared" si="2047"/>
        <v>-</v>
      </c>
      <c r="BL567" s="85" t="str">
        <f>'Consumer Hardware Pricing'!AQ577</f>
        <v>-</v>
      </c>
      <c r="BM567" s="85" t="str">
        <f t="shared" si="1922"/>
        <v>-</v>
      </c>
      <c r="BN567" s="85" t="str">
        <f t="shared" si="1923"/>
        <v>-</v>
      </c>
      <c r="BO567" s="85" t="str">
        <f t="shared" si="1937"/>
        <v>-</v>
      </c>
      <c r="BP567" s="85" t="str">
        <f>'Consumer Hardware Pricing'!AT577</f>
        <v>-</v>
      </c>
      <c r="BQ567" s="85" t="str">
        <f t="shared" si="2048"/>
        <v>-</v>
      </c>
      <c r="BR567" s="85" t="str">
        <f>'Consumer Hardware Pricing'!AU577</f>
        <v>-</v>
      </c>
      <c r="BS567" s="85" t="str">
        <f t="shared" si="1924"/>
        <v>-</v>
      </c>
      <c r="BT567" s="85" t="str">
        <f t="shared" si="1925"/>
        <v>-</v>
      </c>
      <c r="BU567" s="85" t="str">
        <f t="shared" si="1938"/>
        <v>-</v>
      </c>
    </row>
    <row r="568" spans="1:73" ht="30.45" customHeight="1" x14ac:dyDescent="0.25">
      <c r="A568" s="87" t="s">
        <v>34</v>
      </c>
      <c r="B568" s="88" t="s">
        <v>898</v>
      </c>
      <c r="C568" s="89" t="s">
        <v>899</v>
      </c>
      <c r="D568" s="85">
        <f>'Consumer Hardware Pricing'!L578</f>
        <v>699.99</v>
      </c>
      <c r="E568" s="85">
        <f>'Consumer Hardware Pricing'!M578</f>
        <v>699.99</v>
      </c>
      <c r="F568" s="85">
        <f>'Consumer Hardware Pricing'!N578</f>
        <v>0</v>
      </c>
      <c r="G568" s="85">
        <f t="shared" si="1939"/>
        <v>29.17</v>
      </c>
      <c r="H568" s="85" t="str">
        <f>'Consumer Hardware Pricing'!O578</f>
        <v>-</v>
      </c>
      <c r="I568" s="85">
        <f t="shared" ref="I568" si="2444">IF(H568="-",G568,G568-H568)</f>
        <v>29.17</v>
      </c>
      <c r="J568" s="85" t="str">
        <f t="shared" ref="J568" si="2445">IF(H568="-",H568,H568*24)</f>
        <v>-</v>
      </c>
      <c r="K568" s="85">
        <f t="shared" ref="K568" si="2446">IF(F568="-",F568,I568*24)</f>
        <v>700.08</v>
      </c>
      <c r="L568" s="85" t="str">
        <f>'Consumer Hardware Pricing'!Q578</f>
        <v>-</v>
      </c>
      <c r="M568" s="85" t="str">
        <f t="shared" si="1940"/>
        <v>-</v>
      </c>
      <c r="N568" s="85" t="str">
        <f t="shared" ref="N568" si="2447">IF(L568="-",L568,G568-M568)</f>
        <v>-</v>
      </c>
      <c r="O568" s="85" t="str">
        <f t="shared" ref="O568" si="2448">IF(L568="-",L568,M568*24)</f>
        <v>-</v>
      </c>
      <c r="P568" s="85" t="str">
        <f t="shared" ref="P568" si="2449">IF(L568="-",L568,N568*24)</f>
        <v>-</v>
      </c>
      <c r="Q568" s="85">
        <f>'Consumer Hardware Pricing'!S578</f>
        <v>0</v>
      </c>
      <c r="R568" s="85">
        <f t="shared" ref="R568" si="2450">G568</f>
        <v>29.17</v>
      </c>
      <c r="S568" s="85" t="str">
        <f>'Consumer Hardware Pricing'!T578</f>
        <v>-</v>
      </c>
      <c r="T568" s="129">
        <f t="shared" ref="T568" si="2451">IF(S568="-",R568,R568-S568)</f>
        <v>29.17</v>
      </c>
      <c r="U568" s="129" t="str">
        <f t="shared" ref="U568" si="2452">IF(S568="-",S568,S568*24)</f>
        <v>-</v>
      </c>
      <c r="V568" s="85">
        <f t="shared" ref="V568" si="2453">IF(Q568="-",Q568,T568*24)</f>
        <v>700.08</v>
      </c>
      <c r="W568" s="129" t="str">
        <f>'Consumer Hardware Pricing'!V578</f>
        <v>-</v>
      </c>
      <c r="X568" s="129" t="str">
        <f t="shared" si="1941"/>
        <v>-</v>
      </c>
      <c r="Y568" s="129" t="str">
        <f t="shared" ref="Y568" si="2454">IF(W568="-",W568,R568-X568)</f>
        <v>-</v>
      </c>
      <c r="Z568" s="129" t="str">
        <f t="shared" ref="Z568" si="2455">IF(W568="-",W568,X568*24)</f>
        <v>-</v>
      </c>
      <c r="AA568" s="85" t="str">
        <f t="shared" ref="AA568" si="2456">IF(W568="-",W568,Y568*24)</f>
        <v>-</v>
      </c>
      <c r="AB568" s="85">
        <f>'Consumer Hardware Pricing'!X578</f>
        <v>0</v>
      </c>
      <c r="AC568" s="85">
        <f t="shared" si="2041"/>
        <v>29.17</v>
      </c>
      <c r="AD568" s="85" t="str">
        <f>'Consumer Hardware Pricing'!Y578</f>
        <v>-</v>
      </c>
      <c r="AE568" s="85">
        <f t="shared" si="1902"/>
        <v>29.17</v>
      </c>
      <c r="AF568" s="85" t="str">
        <f t="shared" si="1903"/>
        <v>-</v>
      </c>
      <c r="AG568" s="85">
        <f t="shared" si="1904"/>
        <v>700.08</v>
      </c>
      <c r="AH568" s="85" t="str">
        <f>'Consumer Hardware Pricing'!AA578</f>
        <v>-</v>
      </c>
      <c r="AI568" s="85" t="str">
        <f t="shared" si="2042"/>
        <v>-</v>
      </c>
      <c r="AJ568" s="85" t="str">
        <f t="shared" si="1905"/>
        <v>-</v>
      </c>
      <c r="AK568" s="85" t="str">
        <f t="shared" si="1906"/>
        <v>-</v>
      </c>
      <c r="AL568" s="85" t="str">
        <f t="shared" si="1907"/>
        <v>-</v>
      </c>
      <c r="AM568" s="85">
        <f>'Consumer Hardware Pricing'!AC578</f>
        <v>0</v>
      </c>
      <c r="AN568" s="85">
        <f t="shared" si="2043"/>
        <v>29.17</v>
      </c>
      <c r="AO568" s="85" t="str">
        <f>'Consumer Hardware Pricing'!AD578</f>
        <v>-</v>
      </c>
      <c r="AP568" s="85">
        <f t="shared" si="1908"/>
        <v>29.17</v>
      </c>
      <c r="AQ568" s="85" t="str">
        <f t="shared" si="1909"/>
        <v>-</v>
      </c>
      <c r="AR568" s="85">
        <f t="shared" si="1910"/>
        <v>700.08</v>
      </c>
      <c r="AS568" s="85" t="str">
        <f>'Consumer Hardware Pricing'!AF578</f>
        <v>-</v>
      </c>
      <c r="AT568" s="85" t="str">
        <f t="shared" si="2044"/>
        <v>-</v>
      </c>
      <c r="AU568" s="85" t="str">
        <f t="shared" si="1911"/>
        <v>-</v>
      </c>
      <c r="AV568" s="85" t="str">
        <f t="shared" si="1912"/>
        <v>-</v>
      </c>
      <c r="AW568" s="85" t="str">
        <f t="shared" si="1913"/>
        <v>-</v>
      </c>
      <c r="AX568" s="85" t="str">
        <f>'Consumer Hardware Pricing'!AH578</f>
        <v>-</v>
      </c>
      <c r="AY568" s="85" t="str">
        <f t="shared" si="2045"/>
        <v>-</v>
      </c>
      <c r="AZ568" s="85" t="str">
        <f>'Consumer Hardware Pricing'!AI578</f>
        <v>-</v>
      </c>
      <c r="BA568" s="85" t="str">
        <f t="shared" ref="BA568" si="2457">IF(AZ568="-",AY568,AY568-AZ568)</f>
        <v>-</v>
      </c>
      <c r="BB568" s="85" t="str">
        <f t="shared" ref="BB568" si="2458">IF(AZ568="-",AZ568,AZ568*24)</f>
        <v>-</v>
      </c>
      <c r="BC568" s="85" t="str">
        <f t="shared" ref="BC568" si="2459">IF(AX568="-",AX568,AX568+(BA568*24))</f>
        <v>-</v>
      </c>
      <c r="BD568" s="85" t="str">
        <f>'Consumer Hardware Pricing'!AL578</f>
        <v>-</v>
      </c>
      <c r="BE568" s="85" t="str">
        <f t="shared" si="2046"/>
        <v>-</v>
      </c>
      <c r="BF568" s="85" t="str">
        <f>'Consumer Hardware Pricing'!AM578</f>
        <v>-</v>
      </c>
      <c r="BG568" s="85" t="str">
        <f t="shared" ref="BG568" si="2460">IF(BF568="-",BE568,BE568-BF568)</f>
        <v>-</v>
      </c>
      <c r="BH568" s="85" t="str">
        <f t="shared" ref="BH568" si="2461">IF(BF568="-",BF568,BF568*24)</f>
        <v>-</v>
      </c>
      <c r="BI568" s="85" t="str">
        <f t="shared" ref="BI568" si="2462">IF(BD568="-",BD568,BD568+(BG568*24))</f>
        <v>-</v>
      </c>
      <c r="BJ568" s="85" t="str">
        <f>'Consumer Hardware Pricing'!AP578</f>
        <v>-</v>
      </c>
      <c r="BK568" s="85" t="str">
        <f t="shared" si="2047"/>
        <v>-</v>
      </c>
      <c r="BL568" s="85" t="str">
        <f>'Consumer Hardware Pricing'!AQ578</f>
        <v>-</v>
      </c>
      <c r="BM568" s="85" t="str">
        <f t="shared" ref="BM568" si="2463">IF(BL568="-",BK568,BK568-BL568)</f>
        <v>-</v>
      </c>
      <c r="BN568" s="85" t="str">
        <f t="shared" ref="BN568" si="2464">IF(BL568="-",BL568,BL568*24)</f>
        <v>-</v>
      </c>
      <c r="BO568" s="85" t="str">
        <f t="shared" ref="BO568" si="2465">IF(BJ568="-",BJ568,BJ568+(BM568*24))</f>
        <v>-</v>
      </c>
      <c r="BP568" s="85" t="str">
        <f>'Consumer Hardware Pricing'!AT578</f>
        <v>-</v>
      </c>
      <c r="BQ568" s="85" t="str">
        <f t="shared" si="2048"/>
        <v>-</v>
      </c>
      <c r="BR568" s="85" t="str">
        <f>'Consumer Hardware Pricing'!AU578</f>
        <v>-</v>
      </c>
      <c r="BS568" s="85" t="str">
        <f t="shared" ref="BS568" si="2466">IF(BR568="-",BQ568,BQ568-BR568)</f>
        <v>-</v>
      </c>
      <c r="BT568" s="85" t="str">
        <f t="shared" ref="BT568" si="2467">IF(BR568="-",BR568,BR568*24)</f>
        <v>-</v>
      </c>
      <c r="BU568" s="85" t="str">
        <f t="shared" ref="BU568" si="2468">IF(BP568="-",BP568,BP568+(BS568*24))</f>
        <v>-</v>
      </c>
    </row>
    <row r="569" spans="1:73" ht="33.450000000000003" customHeight="1" x14ac:dyDescent="0.25">
      <c r="A569" s="86" t="s">
        <v>35</v>
      </c>
      <c r="B569" s="88" t="s">
        <v>12</v>
      </c>
      <c r="C569" s="88" t="s">
        <v>32</v>
      </c>
      <c r="D569" s="85">
        <f>'Consumer Hardware Pricing'!L579</f>
        <v>199.99</v>
      </c>
      <c r="E569" s="85">
        <f>'Consumer Hardware Pricing'!M579</f>
        <v>199.99</v>
      </c>
      <c r="F569" s="85" t="str">
        <f>'Consumer Hardware Pricing'!N579</f>
        <v>-</v>
      </c>
      <c r="G569" s="85" t="str">
        <f t="shared" si="1939"/>
        <v>-</v>
      </c>
      <c r="H569" s="85" t="str">
        <f>'Consumer Hardware Pricing'!O579</f>
        <v>-</v>
      </c>
      <c r="I569" s="85" t="str">
        <f t="shared" si="1914"/>
        <v>-</v>
      </c>
      <c r="J569" s="85" t="str">
        <f t="shared" si="1926"/>
        <v>-</v>
      </c>
      <c r="K569" s="85" t="str">
        <f t="shared" si="1927"/>
        <v>-</v>
      </c>
      <c r="L569" s="85" t="str">
        <f>'Consumer Hardware Pricing'!Q579</f>
        <v>-</v>
      </c>
      <c r="M569" s="85" t="str">
        <f t="shared" si="1940"/>
        <v>-</v>
      </c>
      <c r="N569" s="85" t="str">
        <f t="shared" si="1915"/>
        <v>-</v>
      </c>
      <c r="O569" s="85" t="str">
        <f t="shared" si="1916"/>
        <v>-</v>
      </c>
      <c r="P569" s="85" t="str">
        <f t="shared" si="1928"/>
        <v>-</v>
      </c>
      <c r="Q569" s="85" t="str">
        <f>'Consumer Hardware Pricing'!S579</f>
        <v>-</v>
      </c>
      <c r="R569" s="85" t="str">
        <f t="shared" si="1917"/>
        <v>-</v>
      </c>
      <c r="S569" s="85" t="str">
        <f>'Consumer Hardware Pricing'!T579</f>
        <v>-</v>
      </c>
      <c r="T569" s="129" t="str">
        <f t="shared" si="1929"/>
        <v>-</v>
      </c>
      <c r="U569" s="129" t="str">
        <f t="shared" si="1930"/>
        <v>-</v>
      </c>
      <c r="V569" s="85" t="str">
        <f t="shared" si="1931"/>
        <v>-</v>
      </c>
      <c r="W569" s="129" t="str">
        <f>'Consumer Hardware Pricing'!V579</f>
        <v>-</v>
      </c>
      <c r="X569" s="129" t="str">
        <f t="shared" si="1941"/>
        <v>-</v>
      </c>
      <c r="Y569" s="129" t="str">
        <f t="shared" si="1932"/>
        <v>-</v>
      </c>
      <c r="Z569" s="129" t="str">
        <f t="shared" si="1933"/>
        <v>-</v>
      </c>
      <c r="AA569" s="85" t="str">
        <f t="shared" si="1934"/>
        <v>-</v>
      </c>
      <c r="AB569" s="85" t="str">
        <f>'Consumer Hardware Pricing'!X579</f>
        <v>-</v>
      </c>
      <c r="AC569" s="85" t="str">
        <f t="shared" si="2041"/>
        <v>-</v>
      </c>
      <c r="AD569" s="85" t="str">
        <f>'Consumer Hardware Pricing'!Y579</f>
        <v>-</v>
      </c>
      <c r="AE569" s="85" t="str">
        <f t="shared" si="1902"/>
        <v>-</v>
      </c>
      <c r="AF569" s="85" t="str">
        <f t="shared" si="1903"/>
        <v>-</v>
      </c>
      <c r="AG569" s="85" t="str">
        <f t="shared" si="1904"/>
        <v>-</v>
      </c>
      <c r="AH569" s="85" t="str">
        <f>'Consumer Hardware Pricing'!AA579</f>
        <v>-</v>
      </c>
      <c r="AI569" s="85" t="str">
        <f t="shared" si="2042"/>
        <v>-</v>
      </c>
      <c r="AJ569" s="85" t="str">
        <f t="shared" si="1905"/>
        <v>-</v>
      </c>
      <c r="AK569" s="85" t="str">
        <f t="shared" si="1906"/>
        <v>-</v>
      </c>
      <c r="AL569" s="85" t="str">
        <f t="shared" si="1907"/>
        <v>-</v>
      </c>
      <c r="AM569" s="85" t="str">
        <f>'Consumer Hardware Pricing'!AC579</f>
        <v>-</v>
      </c>
      <c r="AN569" s="85" t="str">
        <f t="shared" si="2043"/>
        <v>-</v>
      </c>
      <c r="AO569" s="85" t="str">
        <f>'Consumer Hardware Pricing'!AD579</f>
        <v>-</v>
      </c>
      <c r="AP569" s="85" t="str">
        <f t="shared" si="1908"/>
        <v>-</v>
      </c>
      <c r="AQ569" s="85" t="str">
        <f t="shared" si="1909"/>
        <v>-</v>
      </c>
      <c r="AR569" s="85" t="str">
        <f t="shared" si="1910"/>
        <v>-</v>
      </c>
      <c r="AS569" s="85" t="str">
        <f>'Consumer Hardware Pricing'!AF579</f>
        <v>-</v>
      </c>
      <c r="AT569" s="85" t="str">
        <f t="shared" si="2044"/>
        <v>-</v>
      </c>
      <c r="AU569" s="85" t="str">
        <f t="shared" si="1911"/>
        <v>-</v>
      </c>
      <c r="AV569" s="85" t="str">
        <f t="shared" si="1912"/>
        <v>-</v>
      </c>
      <c r="AW569" s="85" t="str">
        <f t="shared" si="1913"/>
        <v>-</v>
      </c>
      <c r="AX569" s="85" t="str">
        <f>'Consumer Hardware Pricing'!AH579</f>
        <v>-</v>
      </c>
      <c r="AY569" s="85" t="str">
        <f t="shared" si="2045"/>
        <v>-</v>
      </c>
      <c r="AZ569" s="85" t="str">
        <f>'Consumer Hardware Pricing'!AI579</f>
        <v>-</v>
      </c>
      <c r="BA569" s="85" t="str">
        <f t="shared" si="1918"/>
        <v>-</v>
      </c>
      <c r="BB569" s="85" t="str">
        <f t="shared" si="1919"/>
        <v>-</v>
      </c>
      <c r="BC569" s="85" t="str">
        <f t="shared" si="1935"/>
        <v>-</v>
      </c>
      <c r="BD569" s="85">
        <f>'Consumer Hardware Pricing'!AL579</f>
        <v>0</v>
      </c>
      <c r="BE569" s="85">
        <f t="shared" si="2046"/>
        <v>8.34</v>
      </c>
      <c r="BF569" s="85" t="str">
        <f>'Consumer Hardware Pricing'!AM579</f>
        <v>-</v>
      </c>
      <c r="BG569" s="85">
        <f t="shared" si="1920"/>
        <v>8.34</v>
      </c>
      <c r="BH569" s="85" t="str">
        <f t="shared" si="1921"/>
        <v>-</v>
      </c>
      <c r="BI569" s="85">
        <f t="shared" si="1936"/>
        <v>200.16</v>
      </c>
      <c r="BJ569" s="85" t="str">
        <f>'Consumer Hardware Pricing'!AP579</f>
        <v>-</v>
      </c>
      <c r="BK569" s="85" t="str">
        <f t="shared" si="2047"/>
        <v>-</v>
      </c>
      <c r="BL569" s="85" t="str">
        <f>'Consumer Hardware Pricing'!AQ579</f>
        <v>-</v>
      </c>
      <c r="BM569" s="85" t="str">
        <f t="shared" si="1922"/>
        <v>-</v>
      </c>
      <c r="BN569" s="85" t="str">
        <f t="shared" si="1923"/>
        <v>-</v>
      </c>
      <c r="BO569" s="85" t="str">
        <f t="shared" si="1937"/>
        <v>-</v>
      </c>
      <c r="BP569" s="85" t="str">
        <f>'Consumer Hardware Pricing'!AT579</f>
        <v>-</v>
      </c>
      <c r="BQ569" s="85" t="str">
        <f t="shared" si="2048"/>
        <v>-</v>
      </c>
      <c r="BR569" s="85" t="str">
        <f>'Consumer Hardware Pricing'!AU579</f>
        <v>-</v>
      </c>
      <c r="BS569" s="85" t="str">
        <f t="shared" si="1924"/>
        <v>-</v>
      </c>
      <c r="BT569" s="85" t="str">
        <f t="shared" si="1925"/>
        <v>-</v>
      </c>
      <c r="BU569" s="85" t="str">
        <f t="shared" si="1938"/>
        <v>-</v>
      </c>
    </row>
    <row r="570" spans="1:73" ht="33.450000000000003" customHeight="1" x14ac:dyDescent="0.25">
      <c r="A570" s="86" t="s">
        <v>35</v>
      </c>
      <c r="B570" s="88" t="s">
        <v>42</v>
      </c>
      <c r="C570" s="88" t="s">
        <v>32</v>
      </c>
      <c r="D570" s="85">
        <f>'Consumer Hardware Pricing'!L580</f>
        <v>199.99</v>
      </c>
      <c r="E570" s="85">
        <f>'Consumer Hardware Pricing'!M580</f>
        <v>199.99</v>
      </c>
      <c r="F570" s="85" t="str">
        <f>'Consumer Hardware Pricing'!N580</f>
        <v>-</v>
      </c>
      <c r="G570" s="85" t="str">
        <f t="shared" si="1939"/>
        <v>-</v>
      </c>
      <c r="H570" s="85" t="str">
        <f>'Consumer Hardware Pricing'!O580</f>
        <v>-</v>
      </c>
      <c r="I570" s="85" t="str">
        <f t="shared" si="1914"/>
        <v>-</v>
      </c>
      <c r="J570" s="85" t="str">
        <f t="shared" si="1926"/>
        <v>-</v>
      </c>
      <c r="K570" s="85" t="str">
        <f t="shared" si="1927"/>
        <v>-</v>
      </c>
      <c r="L570" s="85" t="str">
        <f>'Consumer Hardware Pricing'!Q580</f>
        <v>-</v>
      </c>
      <c r="M570" s="85" t="str">
        <f t="shared" si="1940"/>
        <v>-</v>
      </c>
      <c r="N570" s="85" t="str">
        <f t="shared" si="1915"/>
        <v>-</v>
      </c>
      <c r="O570" s="85" t="str">
        <f t="shared" si="1916"/>
        <v>-</v>
      </c>
      <c r="P570" s="85" t="str">
        <f t="shared" si="1928"/>
        <v>-</v>
      </c>
      <c r="Q570" s="85" t="str">
        <f>'Consumer Hardware Pricing'!S580</f>
        <v>-</v>
      </c>
      <c r="R570" s="85" t="str">
        <f t="shared" si="1917"/>
        <v>-</v>
      </c>
      <c r="S570" s="85" t="str">
        <f>'Consumer Hardware Pricing'!T580</f>
        <v>-</v>
      </c>
      <c r="T570" s="129" t="str">
        <f t="shared" si="1929"/>
        <v>-</v>
      </c>
      <c r="U570" s="129" t="str">
        <f t="shared" si="1930"/>
        <v>-</v>
      </c>
      <c r="V570" s="85" t="str">
        <f t="shared" si="1931"/>
        <v>-</v>
      </c>
      <c r="W570" s="129" t="str">
        <f>'Consumer Hardware Pricing'!V580</f>
        <v>-</v>
      </c>
      <c r="X570" s="129" t="str">
        <f t="shared" si="1941"/>
        <v>-</v>
      </c>
      <c r="Y570" s="129" t="str">
        <f t="shared" si="1932"/>
        <v>-</v>
      </c>
      <c r="Z570" s="129" t="str">
        <f t="shared" si="1933"/>
        <v>-</v>
      </c>
      <c r="AA570" s="85" t="str">
        <f t="shared" si="1934"/>
        <v>-</v>
      </c>
      <c r="AB570" s="85" t="str">
        <f>'Consumer Hardware Pricing'!X580</f>
        <v>-</v>
      </c>
      <c r="AC570" s="85" t="str">
        <f t="shared" si="2041"/>
        <v>-</v>
      </c>
      <c r="AD570" s="85" t="str">
        <f>'Consumer Hardware Pricing'!Y580</f>
        <v>-</v>
      </c>
      <c r="AE570" s="85" t="str">
        <f t="shared" si="1902"/>
        <v>-</v>
      </c>
      <c r="AF570" s="85" t="str">
        <f t="shared" si="1903"/>
        <v>-</v>
      </c>
      <c r="AG570" s="85" t="str">
        <f t="shared" si="1904"/>
        <v>-</v>
      </c>
      <c r="AH570" s="85" t="str">
        <f>'Consumer Hardware Pricing'!AA580</f>
        <v>-</v>
      </c>
      <c r="AI570" s="85" t="str">
        <f t="shared" si="2042"/>
        <v>-</v>
      </c>
      <c r="AJ570" s="85" t="str">
        <f t="shared" si="1905"/>
        <v>-</v>
      </c>
      <c r="AK570" s="85" t="str">
        <f t="shared" si="1906"/>
        <v>-</v>
      </c>
      <c r="AL570" s="85" t="str">
        <f t="shared" si="1907"/>
        <v>-</v>
      </c>
      <c r="AM570" s="85" t="str">
        <f>'Consumer Hardware Pricing'!AC580</f>
        <v>-</v>
      </c>
      <c r="AN570" s="85" t="str">
        <f t="shared" si="2043"/>
        <v>-</v>
      </c>
      <c r="AO570" s="85" t="str">
        <f>'Consumer Hardware Pricing'!AD580</f>
        <v>-</v>
      </c>
      <c r="AP570" s="85" t="str">
        <f t="shared" si="1908"/>
        <v>-</v>
      </c>
      <c r="AQ570" s="85" t="str">
        <f t="shared" si="1909"/>
        <v>-</v>
      </c>
      <c r="AR570" s="85" t="str">
        <f t="shared" si="1910"/>
        <v>-</v>
      </c>
      <c r="AS570" s="85" t="str">
        <f>'Consumer Hardware Pricing'!AF580</f>
        <v>-</v>
      </c>
      <c r="AT570" s="85" t="str">
        <f t="shared" si="2044"/>
        <v>-</v>
      </c>
      <c r="AU570" s="85" t="str">
        <f t="shared" si="1911"/>
        <v>-</v>
      </c>
      <c r="AV570" s="85" t="str">
        <f t="shared" si="1912"/>
        <v>-</v>
      </c>
      <c r="AW570" s="85" t="str">
        <f t="shared" si="1913"/>
        <v>-</v>
      </c>
      <c r="AX570" s="85" t="str">
        <f>'Consumer Hardware Pricing'!AH580</f>
        <v>-</v>
      </c>
      <c r="AY570" s="85" t="str">
        <f t="shared" si="2045"/>
        <v>-</v>
      </c>
      <c r="AZ570" s="85" t="str">
        <f>'Consumer Hardware Pricing'!AI580</f>
        <v>-</v>
      </c>
      <c r="BA570" s="85" t="str">
        <f t="shared" si="1918"/>
        <v>-</v>
      </c>
      <c r="BB570" s="85" t="str">
        <f t="shared" si="1919"/>
        <v>-</v>
      </c>
      <c r="BC570" s="85" t="str">
        <f t="shared" si="1935"/>
        <v>-</v>
      </c>
      <c r="BD570" s="85">
        <f>'Consumer Hardware Pricing'!AL580</f>
        <v>0</v>
      </c>
      <c r="BE570" s="85">
        <f t="shared" si="2046"/>
        <v>8.34</v>
      </c>
      <c r="BF570" s="85" t="str">
        <f>'Consumer Hardware Pricing'!AM580</f>
        <v>-</v>
      </c>
      <c r="BG570" s="85">
        <f t="shared" si="1920"/>
        <v>8.34</v>
      </c>
      <c r="BH570" s="85" t="str">
        <f t="shared" si="1921"/>
        <v>-</v>
      </c>
      <c r="BI570" s="85">
        <f t="shared" si="1936"/>
        <v>200.16</v>
      </c>
      <c r="BJ570" s="85" t="str">
        <f>'Consumer Hardware Pricing'!AP580</f>
        <v>-</v>
      </c>
      <c r="BK570" s="85" t="str">
        <f t="shared" si="2047"/>
        <v>-</v>
      </c>
      <c r="BL570" s="85" t="str">
        <f>'Consumer Hardware Pricing'!AQ580</f>
        <v>-</v>
      </c>
      <c r="BM570" s="85" t="str">
        <f t="shared" si="1922"/>
        <v>-</v>
      </c>
      <c r="BN570" s="85" t="str">
        <f t="shared" si="1923"/>
        <v>-</v>
      </c>
      <c r="BO570" s="85" t="str">
        <f t="shared" si="1937"/>
        <v>-</v>
      </c>
      <c r="BP570" s="85" t="str">
        <f>'Consumer Hardware Pricing'!AT580</f>
        <v>-</v>
      </c>
      <c r="BQ570" s="85" t="str">
        <f t="shared" si="2048"/>
        <v>-</v>
      </c>
      <c r="BR570" s="85" t="str">
        <f>'Consumer Hardware Pricing'!AU580</f>
        <v>-</v>
      </c>
      <c r="BS570" s="85" t="str">
        <f t="shared" si="1924"/>
        <v>-</v>
      </c>
      <c r="BT570" s="85" t="str">
        <f t="shared" si="1925"/>
        <v>-</v>
      </c>
      <c r="BU570" s="85" t="str">
        <f t="shared" si="1938"/>
        <v>-</v>
      </c>
    </row>
    <row r="571" spans="1:73" ht="29.85" customHeight="1" x14ac:dyDescent="0.25">
      <c r="A571" s="87" t="s">
        <v>34</v>
      </c>
      <c r="B571" s="88" t="s">
        <v>489</v>
      </c>
      <c r="C571" s="88" t="s">
        <v>488</v>
      </c>
      <c r="D571" s="85">
        <f>'Consumer Hardware Pricing'!L581</f>
        <v>499</v>
      </c>
      <c r="E571" s="85">
        <f>'Consumer Hardware Pricing'!M581</f>
        <v>499</v>
      </c>
      <c r="F571" s="85">
        <f>'Consumer Hardware Pricing'!N581</f>
        <v>0</v>
      </c>
      <c r="G571" s="85">
        <f t="shared" si="1939"/>
        <v>20.8</v>
      </c>
      <c r="H571" s="85" t="str">
        <f>'Consumer Hardware Pricing'!O581</f>
        <v>-</v>
      </c>
      <c r="I571" s="85">
        <f t="shared" si="1914"/>
        <v>20.8</v>
      </c>
      <c r="J571" s="85" t="str">
        <f t="shared" si="1926"/>
        <v>-</v>
      </c>
      <c r="K571" s="85">
        <f t="shared" si="1927"/>
        <v>499.20000000000005</v>
      </c>
      <c r="L571" s="85" t="str">
        <f>'Consumer Hardware Pricing'!Q581</f>
        <v>-</v>
      </c>
      <c r="M571" s="85" t="str">
        <f t="shared" si="1940"/>
        <v>-</v>
      </c>
      <c r="N571" s="85" t="str">
        <f t="shared" si="1915"/>
        <v>-</v>
      </c>
      <c r="O571" s="85" t="str">
        <f t="shared" si="1916"/>
        <v>-</v>
      </c>
      <c r="P571" s="85" t="str">
        <f t="shared" si="1928"/>
        <v>-</v>
      </c>
      <c r="Q571" s="85">
        <f>'Consumer Hardware Pricing'!S581</f>
        <v>0</v>
      </c>
      <c r="R571" s="85">
        <f t="shared" si="1917"/>
        <v>20.8</v>
      </c>
      <c r="S571" s="85" t="str">
        <f>'Consumer Hardware Pricing'!T581</f>
        <v>-</v>
      </c>
      <c r="T571" s="129">
        <f t="shared" si="1929"/>
        <v>20.8</v>
      </c>
      <c r="U571" s="129" t="str">
        <f t="shared" si="1930"/>
        <v>-</v>
      </c>
      <c r="V571" s="85">
        <f t="shared" si="1931"/>
        <v>499.20000000000005</v>
      </c>
      <c r="W571" s="129" t="str">
        <f>'Consumer Hardware Pricing'!V581</f>
        <v>-</v>
      </c>
      <c r="X571" s="129" t="str">
        <f t="shared" si="1941"/>
        <v>-</v>
      </c>
      <c r="Y571" s="129" t="str">
        <f t="shared" si="1932"/>
        <v>-</v>
      </c>
      <c r="Z571" s="129" t="str">
        <f t="shared" si="1933"/>
        <v>-</v>
      </c>
      <c r="AA571" s="85" t="str">
        <f t="shared" si="1934"/>
        <v>-</v>
      </c>
      <c r="AB571" s="85">
        <f>'Consumer Hardware Pricing'!X581</f>
        <v>0</v>
      </c>
      <c r="AC571" s="85">
        <f t="shared" si="2041"/>
        <v>20.8</v>
      </c>
      <c r="AD571" s="85" t="str">
        <f>'Consumer Hardware Pricing'!Y581</f>
        <v>-</v>
      </c>
      <c r="AE571" s="85">
        <f t="shared" si="1902"/>
        <v>20.8</v>
      </c>
      <c r="AF571" s="85" t="str">
        <f t="shared" si="1903"/>
        <v>-</v>
      </c>
      <c r="AG571" s="85">
        <f t="shared" si="1904"/>
        <v>499.20000000000005</v>
      </c>
      <c r="AH571" s="85" t="str">
        <f>'Consumer Hardware Pricing'!AA581</f>
        <v>-</v>
      </c>
      <c r="AI571" s="85" t="str">
        <f t="shared" si="2042"/>
        <v>-</v>
      </c>
      <c r="AJ571" s="85" t="str">
        <f t="shared" si="1905"/>
        <v>-</v>
      </c>
      <c r="AK571" s="85" t="str">
        <f t="shared" si="1906"/>
        <v>-</v>
      </c>
      <c r="AL571" s="85" t="str">
        <f t="shared" si="1907"/>
        <v>-</v>
      </c>
      <c r="AM571" s="85">
        <f>'Consumer Hardware Pricing'!AC581</f>
        <v>0</v>
      </c>
      <c r="AN571" s="85">
        <f t="shared" si="2043"/>
        <v>20.8</v>
      </c>
      <c r="AO571" s="85" t="str">
        <f>'Consumer Hardware Pricing'!AD581</f>
        <v>-</v>
      </c>
      <c r="AP571" s="85">
        <f t="shared" si="1908"/>
        <v>20.8</v>
      </c>
      <c r="AQ571" s="85" t="str">
        <f t="shared" si="1909"/>
        <v>-</v>
      </c>
      <c r="AR571" s="85">
        <f t="shared" si="1910"/>
        <v>499.20000000000005</v>
      </c>
      <c r="AS571" s="85" t="str">
        <f>'Consumer Hardware Pricing'!AF581</f>
        <v>-</v>
      </c>
      <c r="AT571" s="85" t="str">
        <f t="shared" si="2044"/>
        <v>-</v>
      </c>
      <c r="AU571" s="85" t="str">
        <f t="shared" si="1911"/>
        <v>-</v>
      </c>
      <c r="AV571" s="85" t="str">
        <f t="shared" si="1912"/>
        <v>-</v>
      </c>
      <c r="AW571" s="85" t="str">
        <f t="shared" si="1913"/>
        <v>-</v>
      </c>
      <c r="AX571" s="85">
        <f>'Consumer Hardware Pricing'!AH581</f>
        <v>0</v>
      </c>
      <c r="AY571" s="85">
        <f t="shared" si="2045"/>
        <v>20.8</v>
      </c>
      <c r="AZ571" s="85" t="str">
        <f>'Consumer Hardware Pricing'!AI581</f>
        <v>-</v>
      </c>
      <c r="BA571" s="85">
        <f t="shared" si="1918"/>
        <v>20.8</v>
      </c>
      <c r="BB571" s="85" t="str">
        <f t="shared" si="1919"/>
        <v>-</v>
      </c>
      <c r="BC571" s="85">
        <f t="shared" si="1935"/>
        <v>499.20000000000005</v>
      </c>
      <c r="BD571" s="85" t="str">
        <f>'Consumer Hardware Pricing'!AL581</f>
        <v>-</v>
      </c>
      <c r="BE571" s="85" t="str">
        <f t="shared" si="2046"/>
        <v>-</v>
      </c>
      <c r="BF571" s="85" t="str">
        <f>'Consumer Hardware Pricing'!AM581</f>
        <v>-</v>
      </c>
      <c r="BG571" s="85" t="str">
        <f t="shared" si="1920"/>
        <v>-</v>
      </c>
      <c r="BH571" s="85" t="str">
        <f t="shared" si="1921"/>
        <v>-</v>
      </c>
      <c r="BI571" s="85" t="str">
        <f t="shared" si="1936"/>
        <v>-</v>
      </c>
      <c r="BJ571" s="85" t="str">
        <f>'Consumer Hardware Pricing'!AP581</f>
        <v>-</v>
      </c>
      <c r="BK571" s="85" t="str">
        <f t="shared" si="2047"/>
        <v>-</v>
      </c>
      <c r="BL571" s="85" t="str">
        <f>'Consumer Hardware Pricing'!AQ581</f>
        <v>-</v>
      </c>
      <c r="BM571" s="85" t="str">
        <f t="shared" si="1922"/>
        <v>-</v>
      </c>
      <c r="BN571" s="85" t="str">
        <f t="shared" si="1923"/>
        <v>-</v>
      </c>
      <c r="BO571" s="85" t="str">
        <f t="shared" si="1937"/>
        <v>-</v>
      </c>
      <c r="BP571" s="85" t="str">
        <f>'Consumer Hardware Pricing'!AT581</f>
        <v>-</v>
      </c>
      <c r="BQ571" s="85" t="str">
        <f t="shared" si="2048"/>
        <v>-</v>
      </c>
      <c r="BR571" s="85" t="str">
        <f>'Consumer Hardware Pricing'!AU581</f>
        <v>-</v>
      </c>
      <c r="BS571" s="85" t="str">
        <f t="shared" si="1924"/>
        <v>-</v>
      </c>
      <c r="BT571" s="85" t="str">
        <f t="shared" si="1925"/>
        <v>-</v>
      </c>
      <c r="BU571" s="85" t="str">
        <f t="shared" si="1938"/>
        <v>-</v>
      </c>
    </row>
    <row r="572" spans="1:73" ht="29.85" customHeight="1" x14ac:dyDescent="0.25">
      <c r="A572" s="87" t="s">
        <v>34</v>
      </c>
      <c r="B572" s="88" t="s">
        <v>447</v>
      </c>
      <c r="C572" s="88" t="s">
        <v>448</v>
      </c>
      <c r="D572" s="85">
        <f>'Consumer Hardware Pricing'!L582</f>
        <v>899</v>
      </c>
      <c r="E572" s="85">
        <f>'Consumer Hardware Pricing'!M582</f>
        <v>899</v>
      </c>
      <c r="F572" s="85">
        <f>'Consumer Hardware Pricing'!N582</f>
        <v>0</v>
      </c>
      <c r="G572" s="85">
        <f t="shared" si="1939"/>
        <v>37.46</v>
      </c>
      <c r="H572" s="85" t="str">
        <f>'Consumer Hardware Pricing'!O582</f>
        <v>-</v>
      </c>
      <c r="I572" s="85">
        <f t="shared" si="1914"/>
        <v>37.46</v>
      </c>
      <c r="J572" s="85" t="str">
        <f t="shared" si="1926"/>
        <v>-</v>
      </c>
      <c r="K572" s="85">
        <f t="shared" si="1927"/>
        <v>899.04</v>
      </c>
      <c r="L572" s="85" t="str">
        <f>'Consumer Hardware Pricing'!Q582</f>
        <v>-</v>
      </c>
      <c r="M572" s="85" t="str">
        <f t="shared" si="1940"/>
        <v>-</v>
      </c>
      <c r="N572" s="85" t="str">
        <f t="shared" si="1915"/>
        <v>-</v>
      </c>
      <c r="O572" s="85" t="str">
        <f t="shared" si="1916"/>
        <v>-</v>
      </c>
      <c r="P572" s="85" t="str">
        <f t="shared" si="1928"/>
        <v>-</v>
      </c>
      <c r="Q572" s="85">
        <f>'Consumer Hardware Pricing'!S582</f>
        <v>0</v>
      </c>
      <c r="R572" s="85">
        <f t="shared" si="1917"/>
        <v>37.46</v>
      </c>
      <c r="S572" s="85" t="str">
        <f>'Consumer Hardware Pricing'!T582</f>
        <v>-</v>
      </c>
      <c r="T572" s="129">
        <f t="shared" si="1929"/>
        <v>37.46</v>
      </c>
      <c r="U572" s="129" t="str">
        <f t="shared" si="1930"/>
        <v>-</v>
      </c>
      <c r="V572" s="85">
        <f t="shared" si="1931"/>
        <v>899.04</v>
      </c>
      <c r="W572" s="129" t="str">
        <f>'Consumer Hardware Pricing'!V582</f>
        <v>-</v>
      </c>
      <c r="X572" s="129" t="str">
        <f t="shared" si="1941"/>
        <v>-</v>
      </c>
      <c r="Y572" s="129" t="str">
        <f t="shared" si="1932"/>
        <v>-</v>
      </c>
      <c r="Z572" s="129" t="str">
        <f t="shared" si="1933"/>
        <v>-</v>
      </c>
      <c r="AA572" s="85" t="str">
        <f t="shared" si="1934"/>
        <v>-</v>
      </c>
      <c r="AB572" s="85">
        <f>'Consumer Hardware Pricing'!X582</f>
        <v>0</v>
      </c>
      <c r="AC572" s="85">
        <f t="shared" si="2041"/>
        <v>37.46</v>
      </c>
      <c r="AD572" s="85" t="str">
        <f>'Consumer Hardware Pricing'!Y582</f>
        <v>-</v>
      </c>
      <c r="AE572" s="85">
        <f t="shared" si="1902"/>
        <v>37.46</v>
      </c>
      <c r="AF572" s="85" t="str">
        <f t="shared" si="1903"/>
        <v>-</v>
      </c>
      <c r="AG572" s="85">
        <f t="shared" si="1904"/>
        <v>899.04</v>
      </c>
      <c r="AH572" s="85" t="str">
        <f>'Consumer Hardware Pricing'!AA582</f>
        <v>-</v>
      </c>
      <c r="AI572" s="85" t="str">
        <f t="shared" si="2042"/>
        <v>-</v>
      </c>
      <c r="AJ572" s="85" t="str">
        <f t="shared" si="1905"/>
        <v>-</v>
      </c>
      <c r="AK572" s="85" t="str">
        <f t="shared" si="1906"/>
        <v>-</v>
      </c>
      <c r="AL572" s="85" t="str">
        <f t="shared" si="1907"/>
        <v>-</v>
      </c>
      <c r="AM572" s="85">
        <f>'Consumer Hardware Pricing'!AC582</f>
        <v>0</v>
      </c>
      <c r="AN572" s="85">
        <f t="shared" si="2043"/>
        <v>37.46</v>
      </c>
      <c r="AO572" s="85" t="str">
        <f>'Consumer Hardware Pricing'!AD582</f>
        <v>-</v>
      </c>
      <c r="AP572" s="85">
        <f t="shared" si="1908"/>
        <v>37.46</v>
      </c>
      <c r="AQ572" s="85" t="str">
        <f t="shared" si="1909"/>
        <v>-</v>
      </c>
      <c r="AR572" s="85">
        <f t="shared" si="1910"/>
        <v>899.04</v>
      </c>
      <c r="AS572" s="85" t="str">
        <f>'Consumer Hardware Pricing'!AF582</f>
        <v>-</v>
      </c>
      <c r="AT572" s="85" t="str">
        <f t="shared" si="2044"/>
        <v>-</v>
      </c>
      <c r="AU572" s="85" t="str">
        <f t="shared" si="1911"/>
        <v>-</v>
      </c>
      <c r="AV572" s="85" t="str">
        <f t="shared" si="1912"/>
        <v>-</v>
      </c>
      <c r="AW572" s="85" t="str">
        <f t="shared" si="1913"/>
        <v>-</v>
      </c>
      <c r="AX572" s="85" t="str">
        <f>'Consumer Hardware Pricing'!AH582</f>
        <v>-</v>
      </c>
      <c r="AY572" s="85" t="str">
        <f t="shared" si="2045"/>
        <v>-</v>
      </c>
      <c r="AZ572" s="85" t="str">
        <f>'Consumer Hardware Pricing'!AI582</f>
        <v>-</v>
      </c>
      <c r="BA572" s="85" t="str">
        <f t="shared" si="1918"/>
        <v>-</v>
      </c>
      <c r="BB572" s="85" t="str">
        <f t="shared" si="1919"/>
        <v>-</v>
      </c>
      <c r="BC572" s="85" t="str">
        <f t="shared" si="1935"/>
        <v>-</v>
      </c>
      <c r="BD572" s="85" t="str">
        <f>'Consumer Hardware Pricing'!AL582</f>
        <v>-</v>
      </c>
      <c r="BE572" s="85" t="str">
        <f t="shared" si="2046"/>
        <v>-</v>
      </c>
      <c r="BF572" s="85" t="str">
        <f>'Consumer Hardware Pricing'!AM582</f>
        <v>-</v>
      </c>
      <c r="BG572" s="85" t="str">
        <f t="shared" si="1920"/>
        <v>-</v>
      </c>
      <c r="BH572" s="85" t="str">
        <f t="shared" si="1921"/>
        <v>-</v>
      </c>
      <c r="BI572" s="85" t="str">
        <f t="shared" si="1936"/>
        <v>-</v>
      </c>
      <c r="BJ572" s="85" t="str">
        <f>'Consumer Hardware Pricing'!AP582</f>
        <v>-</v>
      </c>
      <c r="BK572" s="85" t="str">
        <f t="shared" si="2047"/>
        <v>-</v>
      </c>
      <c r="BL572" s="85" t="str">
        <f>'Consumer Hardware Pricing'!AQ582</f>
        <v>-</v>
      </c>
      <c r="BM572" s="85" t="str">
        <f t="shared" si="1922"/>
        <v>-</v>
      </c>
      <c r="BN572" s="85" t="str">
        <f t="shared" si="1923"/>
        <v>-</v>
      </c>
      <c r="BO572" s="85" t="str">
        <f t="shared" si="1937"/>
        <v>-</v>
      </c>
      <c r="BP572" s="85" t="str">
        <f>'Consumer Hardware Pricing'!AT582</f>
        <v>-</v>
      </c>
      <c r="BQ572" s="85" t="str">
        <f t="shared" si="2048"/>
        <v>-</v>
      </c>
      <c r="BR572" s="85" t="str">
        <f>'Consumer Hardware Pricing'!AU582</f>
        <v>-</v>
      </c>
      <c r="BS572" s="85" t="str">
        <f t="shared" si="1924"/>
        <v>-</v>
      </c>
      <c r="BT572" s="85" t="str">
        <f t="shared" si="1925"/>
        <v>-</v>
      </c>
      <c r="BU572" s="85" t="str">
        <f t="shared" si="1938"/>
        <v>-</v>
      </c>
    </row>
    <row r="573" spans="1:73" ht="29.85" customHeight="1" x14ac:dyDescent="0.25">
      <c r="A573" s="87" t="s">
        <v>35</v>
      </c>
      <c r="B573" s="88" t="s">
        <v>65</v>
      </c>
      <c r="C573" s="88" t="s">
        <v>66</v>
      </c>
      <c r="D573" s="85">
        <f>'Consumer Hardware Pricing'!L583</f>
        <v>359.99</v>
      </c>
      <c r="E573" s="85">
        <f>'Consumer Hardware Pricing'!M583</f>
        <v>359.99</v>
      </c>
      <c r="F573" s="85" t="str">
        <f>'Consumer Hardware Pricing'!N583</f>
        <v>-</v>
      </c>
      <c r="G573" s="85" t="str">
        <f t="shared" si="1939"/>
        <v>-</v>
      </c>
      <c r="H573" s="85" t="str">
        <f>'Consumer Hardware Pricing'!O583</f>
        <v>-</v>
      </c>
      <c r="I573" s="85" t="str">
        <f t="shared" si="1914"/>
        <v>-</v>
      </c>
      <c r="J573" s="85" t="str">
        <f t="shared" si="1926"/>
        <v>-</v>
      </c>
      <c r="K573" s="85" t="str">
        <f t="shared" si="1927"/>
        <v>-</v>
      </c>
      <c r="L573" s="85" t="str">
        <f>'Consumer Hardware Pricing'!Q583</f>
        <v>-</v>
      </c>
      <c r="M573" s="85" t="str">
        <f t="shared" si="1940"/>
        <v>-</v>
      </c>
      <c r="N573" s="85" t="str">
        <f t="shared" si="1915"/>
        <v>-</v>
      </c>
      <c r="O573" s="85" t="str">
        <f t="shared" si="1916"/>
        <v>-</v>
      </c>
      <c r="P573" s="85" t="str">
        <f t="shared" si="1928"/>
        <v>-</v>
      </c>
      <c r="Q573" s="85" t="str">
        <f>'Consumer Hardware Pricing'!S583</f>
        <v>-</v>
      </c>
      <c r="R573" s="85" t="str">
        <f t="shared" si="1917"/>
        <v>-</v>
      </c>
      <c r="S573" s="85" t="str">
        <f>'Consumer Hardware Pricing'!T583</f>
        <v>-</v>
      </c>
      <c r="T573" s="129" t="str">
        <f t="shared" si="1929"/>
        <v>-</v>
      </c>
      <c r="U573" s="129" t="str">
        <f t="shared" si="1930"/>
        <v>-</v>
      </c>
      <c r="V573" s="85" t="str">
        <f t="shared" si="1931"/>
        <v>-</v>
      </c>
      <c r="W573" s="129" t="str">
        <f>'Consumer Hardware Pricing'!V583</f>
        <v>-</v>
      </c>
      <c r="X573" s="129" t="str">
        <f t="shared" si="1941"/>
        <v>-</v>
      </c>
      <c r="Y573" s="129" t="str">
        <f t="shared" si="1932"/>
        <v>-</v>
      </c>
      <c r="Z573" s="129" t="str">
        <f t="shared" si="1933"/>
        <v>-</v>
      </c>
      <c r="AA573" s="85" t="str">
        <f t="shared" si="1934"/>
        <v>-</v>
      </c>
      <c r="AB573" s="85" t="str">
        <f>'Consumer Hardware Pricing'!X583</f>
        <v>-</v>
      </c>
      <c r="AC573" s="85" t="str">
        <f t="shared" si="2041"/>
        <v>-</v>
      </c>
      <c r="AD573" s="85" t="str">
        <f>'Consumer Hardware Pricing'!Y583</f>
        <v>-</v>
      </c>
      <c r="AE573" s="85" t="str">
        <f t="shared" si="1902"/>
        <v>-</v>
      </c>
      <c r="AF573" s="85" t="str">
        <f t="shared" si="1903"/>
        <v>-</v>
      </c>
      <c r="AG573" s="85" t="str">
        <f t="shared" si="1904"/>
        <v>-</v>
      </c>
      <c r="AH573" s="85" t="str">
        <f>'Consumer Hardware Pricing'!AA583</f>
        <v>-</v>
      </c>
      <c r="AI573" s="85" t="str">
        <f t="shared" si="2042"/>
        <v>-</v>
      </c>
      <c r="AJ573" s="85" t="str">
        <f t="shared" si="1905"/>
        <v>-</v>
      </c>
      <c r="AK573" s="85" t="str">
        <f t="shared" si="1906"/>
        <v>-</v>
      </c>
      <c r="AL573" s="85" t="str">
        <f t="shared" si="1907"/>
        <v>-</v>
      </c>
      <c r="AM573" s="85" t="str">
        <f>'Consumer Hardware Pricing'!AC583</f>
        <v>-</v>
      </c>
      <c r="AN573" s="85" t="str">
        <f t="shared" si="2043"/>
        <v>-</v>
      </c>
      <c r="AO573" s="85" t="str">
        <f>'Consumer Hardware Pricing'!AD583</f>
        <v>-</v>
      </c>
      <c r="AP573" s="85" t="str">
        <f t="shared" si="1908"/>
        <v>-</v>
      </c>
      <c r="AQ573" s="85" t="str">
        <f t="shared" si="1909"/>
        <v>-</v>
      </c>
      <c r="AR573" s="85" t="str">
        <f t="shared" si="1910"/>
        <v>-</v>
      </c>
      <c r="AS573" s="85" t="str">
        <f>'Consumer Hardware Pricing'!AF583</f>
        <v>-</v>
      </c>
      <c r="AT573" s="85" t="str">
        <f t="shared" si="2044"/>
        <v>-</v>
      </c>
      <c r="AU573" s="85" t="str">
        <f t="shared" si="1911"/>
        <v>-</v>
      </c>
      <c r="AV573" s="85" t="str">
        <f t="shared" si="1912"/>
        <v>-</v>
      </c>
      <c r="AW573" s="85" t="str">
        <f t="shared" si="1913"/>
        <v>-</v>
      </c>
      <c r="AX573" s="85" t="str">
        <f>'Consumer Hardware Pricing'!AH583</f>
        <v>-</v>
      </c>
      <c r="AY573" s="85" t="str">
        <f t="shared" si="2045"/>
        <v>-</v>
      </c>
      <c r="AZ573" s="85" t="str">
        <f>'Consumer Hardware Pricing'!AI583</f>
        <v>-</v>
      </c>
      <c r="BA573" s="85" t="str">
        <f t="shared" si="1918"/>
        <v>-</v>
      </c>
      <c r="BB573" s="85" t="str">
        <f t="shared" si="1919"/>
        <v>-</v>
      </c>
      <c r="BC573" s="85" t="str">
        <f t="shared" si="1935"/>
        <v>-</v>
      </c>
      <c r="BD573" s="85">
        <f>'Consumer Hardware Pricing'!AL583</f>
        <v>0</v>
      </c>
      <c r="BE573" s="85">
        <f t="shared" si="2046"/>
        <v>15</v>
      </c>
      <c r="BF573" s="85" t="str">
        <f>'Consumer Hardware Pricing'!AM583</f>
        <v>-</v>
      </c>
      <c r="BG573" s="85">
        <f t="shared" si="1920"/>
        <v>15</v>
      </c>
      <c r="BH573" s="85" t="str">
        <f t="shared" si="1921"/>
        <v>-</v>
      </c>
      <c r="BI573" s="85">
        <f t="shared" si="1936"/>
        <v>360</v>
      </c>
      <c r="BJ573" s="85" t="str">
        <f>'Consumer Hardware Pricing'!AP583</f>
        <v>-</v>
      </c>
      <c r="BK573" s="85" t="str">
        <f t="shared" si="2047"/>
        <v>-</v>
      </c>
      <c r="BL573" s="85" t="str">
        <f>'Consumer Hardware Pricing'!AQ583</f>
        <v>-</v>
      </c>
      <c r="BM573" s="85" t="str">
        <f t="shared" si="1922"/>
        <v>-</v>
      </c>
      <c r="BN573" s="85" t="str">
        <f t="shared" si="1923"/>
        <v>-</v>
      </c>
      <c r="BO573" s="85" t="str">
        <f t="shared" si="1937"/>
        <v>-</v>
      </c>
      <c r="BP573" s="85" t="str">
        <f>'Consumer Hardware Pricing'!AT583</f>
        <v>-</v>
      </c>
      <c r="BQ573" s="85" t="str">
        <f t="shared" si="2048"/>
        <v>-</v>
      </c>
      <c r="BR573" s="85" t="str">
        <f>'Consumer Hardware Pricing'!AU583</f>
        <v>-</v>
      </c>
      <c r="BS573" s="85" t="str">
        <f t="shared" si="1924"/>
        <v>-</v>
      </c>
      <c r="BT573" s="85" t="str">
        <f t="shared" si="1925"/>
        <v>-</v>
      </c>
      <c r="BU573" s="85" t="str">
        <f t="shared" si="1938"/>
        <v>-</v>
      </c>
    </row>
    <row r="574" spans="1:73" ht="29.85" customHeight="1" x14ac:dyDescent="0.25">
      <c r="A574" s="87" t="s">
        <v>34</v>
      </c>
      <c r="B574" s="88" t="s">
        <v>1243</v>
      </c>
      <c r="C574" s="88" t="s">
        <v>1245</v>
      </c>
      <c r="D574" s="85">
        <f>'Consumer Hardware Pricing'!L584</f>
        <v>844</v>
      </c>
      <c r="E574" s="85">
        <f>'Consumer Hardware Pricing'!M584</f>
        <v>844</v>
      </c>
      <c r="F574" s="85">
        <f>'Consumer Hardware Pricing'!N584</f>
        <v>0</v>
      </c>
      <c r="G574" s="85">
        <f t="shared" ref="G574:G575" si="2469">IF(F574="-","-",ROUNDUP(D574/24,2))</f>
        <v>35.169999999999995</v>
      </c>
      <c r="H574" s="85">
        <f>'Consumer Hardware Pricing'!O584</f>
        <v>5.17</v>
      </c>
      <c r="I574" s="85">
        <f t="shared" ref="I574:I575" si="2470">IF(H574="-",G574,G574-H574)</f>
        <v>29.999999999999993</v>
      </c>
      <c r="J574" s="85">
        <f t="shared" ref="J574:J575" si="2471">IF(H574="-",H574,H574*24)</f>
        <v>124.08</v>
      </c>
      <c r="K574" s="85">
        <f t="shared" ref="K574:K575" si="2472">IF(F574="-",F574,I574*24)</f>
        <v>719.99999999999977</v>
      </c>
      <c r="L574" s="85" t="str">
        <f>'Consumer Hardware Pricing'!Q584</f>
        <v>-</v>
      </c>
      <c r="M574" s="85" t="str">
        <f t="shared" ref="M574:M575" si="2473">IF(L574="-",L574,IF(H574="-",G574-ROUNDUP((D574-L574)/24,2),H574+G574-ROUNDUP((D574-L574)/24,2)))</f>
        <v>-</v>
      </c>
      <c r="N574" s="85" t="str">
        <f t="shared" ref="N574:N575" si="2474">IF(L574="-",L574,G574-M574)</f>
        <v>-</v>
      </c>
      <c r="O574" s="85" t="str">
        <f t="shared" ref="O574:O575" si="2475">IF(L574="-",L574,M574*24)</f>
        <v>-</v>
      </c>
      <c r="P574" s="85" t="str">
        <f t="shared" ref="P574:P575" si="2476">IF(L574="-",L574,N574*24)</f>
        <v>-</v>
      </c>
      <c r="Q574" s="85">
        <f>'Consumer Hardware Pricing'!S584</f>
        <v>0</v>
      </c>
      <c r="R574" s="85">
        <f t="shared" ref="R574:R575" si="2477">G574</f>
        <v>35.169999999999995</v>
      </c>
      <c r="S574" s="85">
        <f>'Consumer Hardware Pricing'!T584</f>
        <v>5.17</v>
      </c>
      <c r="T574" s="129">
        <f t="shared" ref="T574:T575" si="2478">IF(S574="-",R574,R574-S574)</f>
        <v>29.999999999999993</v>
      </c>
      <c r="U574" s="129">
        <f t="shared" ref="U574:U575" si="2479">IF(S574="-",S574,S574*24)</f>
        <v>124.08</v>
      </c>
      <c r="V574" s="85">
        <f t="shared" ref="V574:V575" si="2480">IF(Q574="-",Q574,T574*24)</f>
        <v>719.99999999999977</v>
      </c>
      <c r="W574" s="129" t="str">
        <f>'Consumer Hardware Pricing'!V584</f>
        <v>-</v>
      </c>
      <c r="X574" s="129" t="str">
        <f t="shared" ref="X574:X575" si="2481">IF(W574="-",W574,IF(S574="-",R574-ROUNDUP((D574-W574)/24,2),S574+R574-ROUNDUP((D574-W574)/24,2)))</f>
        <v>-</v>
      </c>
      <c r="Y574" s="129" t="str">
        <f t="shared" ref="Y574:Y575" si="2482">IF(W574="-",W574,R574-X574)</f>
        <v>-</v>
      </c>
      <c r="Z574" s="129" t="str">
        <f t="shared" ref="Z574:Z575" si="2483">IF(W574="-",W574,X574*24)</f>
        <v>-</v>
      </c>
      <c r="AA574" s="85" t="str">
        <f t="shared" ref="AA574:AA575" si="2484">IF(W574="-",W574,Y574*24)</f>
        <v>-</v>
      </c>
      <c r="AB574" s="85">
        <f>'Consumer Hardware Pricing'!X584</f>
        <v>0</v>
      </c>
      <c r="AC574" s="85">
        <f t="shared" si="2041"/>
        <v>35.169999999999995</v>
      </c>
      <c r="AD574" s="85">
        <f>'Consumer Hardware Pricing'!Y584</f>
        <v>5.17</v>
      </c>
      <c r="AE574" s="85">
        <f t="shared" ref="AE574:AE575" si="2485">IF(AD574="-",AC574,AC574-AD574)</f>
        <v>29.999999999999993</v>
      </c>
      <c r="AF574" s="85">
        <f t="shared" ref="AF574:AF575" si="2486">IF(AD574="-",AD574,AD574*24)</f>
        <v>124.08</v>
      </c>
      <c r="AG574" s="85">
        <f t="shared" ref="AG574:AG575" si="2487">IF(AB574="-",AB574,AE574*24)</f>
        <v>719.99999999999977</v>
      </c>
      <c r="AH574" s="85" t="str">
        <f>'Consumer Hardware Pricing'!AA584</f>
        <v>-</v>
      </c>
      <c r="AI574" s="85" t="str">
        <f t="shared" si="2042"/>
        <v>-</v>
      </c>
      <c r="AJ574" s="85" t="str">
        <f t="shared" ref="AJ574:AJ575" si="2488">IF(AH574="-",AH574,AC574-AI574)</f>
        <v>-</v>
      </c>
      <c r="AK574" s="85" t="str">
        <f t="shared" ref="AK574:AK575" si="2489">IF(AH574="-",AH574,AI574*24)</f>
        <v>-</v>
      </c>
      <c r="AL574" s="85" t="str">
        <f t="shared" ref="AL574:AL575" si="2490">IF(AH574="-",AH574,AJ574*24)</f>
        <v>-</v>
      </c>
      <c r="AM574" s="85">
        <f>'Consumer Hardware Pricing'!AC584</f>
        <v>0</v>
      </c>
      <c r="AN574" s="85">
        <f t="shared" si="2043"/>
        <v>35.169999999999995</v>
      </c>
      <c r="AO574" s="85">
        <f>'Consumer Hardware Pricing'!AD584</f>
        <v>5.17</v>
      </c>
      <c r="AP574" s="85">
        <f t="shared" ref="AP574:AP575" si="2491">IF(AO574="-",AN574,AN574-AO574)</f>
        <v>29.999999999999993</v>
      </c>
      <c r="AQ574" s="85">
        <f t="shared" ref="AQ574:AQ575" si="2492">IF(AO574="-",AO574,AO574*24)</f>
        <v>124.08</v>
      </c>
      <c r="AR574" s="85">
        <f t="shared" ref="AR574:AR575" si="2493">IF(AM574="-",AM574,AP574*24)</f>
        <v>719.99999999999977</v>
      </c>
      <c r="AS574" s="85" t="str">
        <f>'Consumer Hardware Pricing'!AF584</f>
        <v>-</v>
      </c>
      <c r="AT574" s="85" t="str">
        <f t="shared" si="2044"/>
        <v>-</v>
      </c>
      <c r="AU574" s="85" t="str">
        <f t="shared" ref="AU574:AU575" si="2494">IF(AS574="-",AS574,AN574-AT574)</f>
        <v>-</v>
      </c>
      <c r="AV574" s="85" t="str">
        <f t="shared" ref="AV574:AV575" si="2495">IF(AS574="-",AS574,AT574*24)</f>
        <v>-</v>
      </c>
      <c r="AW574" s="85" t="str">
        <f t="shared" ref="AW574:AW575" si="2496">IF(AS574="-",AS574,AU574*24)</f>
        <v>-</v>
      </c>
      <c r="AX574" s="85" t="str">
        <f>'Consumer Hardware Pricing'!AH584</f>
        <v>-</v>
      </c>
      <c r="AY574" s="85" t="str">
        <f t="shared" si="2045"/>
        <v>-</v>
      </c>
      <c r="AZ574" s="85" t="str">
        <f>'Consumer Hardware Pricing'!AI584</f>
        <v>-</v>
      </c>
      <c r="BA574" s="85" t="str">
        <f t="shared" ref="BA574:BA575" si="2497">IF(AZ574="-",AY574,AY574-AZ574)</f>
        <v>-</v>
      </c>
      <c r="BB574" s="85" t="str">
        <f t="shared" ref="BB574:BB575" si="2498">IF(AZ574="-",AZ574,AZ574*24)</f>
        <v>-</v>
      </c>
      <c r="BC574" s="85" t="str">
        <f t="shared" ref="BC574:BC575" si="2499">IF(AX574="-",AX574,AX574+(BA574*24))</f>
        <v>-</v>
      </c>
      <c r="BD574" s="85" t="str">
        <f>'Consumer Hardware Pricing'!AL584</f>
        <v>-</v>
      </c>
      <c r="BE574" s="85" t="str">
        <f t="shared" si="2046"/>
        <v>-</v>
      </c>
      <c r="BF574" s="85" t="str">
        <f>'Consumer Hardware Pricing'!AM584</f>
        <v>-</v>
      </c>
      <c r="BG574" s="85" t="str">
        <f t="shared" ref="BG574:BG575" si="2500">IF(BF574="-",BE574,BE574-BF574)</f>
        <v>-</v>
      </c>
      <c r="BH574" s="85" t="str">
        <f t="shared" ref="BH574:BH575" si="2501">IF(BF574="-",BF574,BF574*24)</f>
        <v>-</v>
      </c>
      <c r="BI574" s="85" t="str">
        <f t="shared" ref="BI574:BI575" si="2502">IF(BD574="-",BD574,BD574+(BG574*24))</f>
        <v>-</v>
      </c>
      <c r="BJ574" s="85" t="str">
        <f>'Consumer Hardware Pricing'!AP584</f>
        <v>-</v>
      </c>
      <c r="BK574" s="85" t="str">
        <f t="shared" si="2047"/>
        <v>-</v>
      </c>
      <c r="BL574" s="85" t="str">
        <f>'Consumer Hardware Pricing'!AQ584</f>
        <v>-</v>
      </c>
      <c r="BM574" s="85" t="str">
        <f t="shared" ref="BM574:BM575" si="2503">IF(BL574="-",BK574,BK574-BL574)</f>
        <v>-</v>
      </c>
      <c r="BN574" s="85" t="str">
        <f t="shared" ref="BN574:BN575" si="2504">IF(BL574="-",BL574,BL574*24)</f>
        <v>-</v>
      </c>
      <c r="BO574" s="85" t="str">
        <f t="shared" ref="BO574:BO575" si="2505">IF(BJ574="-",BJ574,BJ574+(BM574*24))</f>
        <v>-</v>
      </c>
      <c r="BP574" s="85" t="str">
        <f>'Consumer Hardware Pricing'!AT584</f>
        <v>-</v>
      </c>
      <c r="BQ574" s="85" t="str">
        <f t="shared" si="2048"/>
        <v>-</v>
      </c>
      <c r="BR574" s="85" t="str">
        <f>'Consumer Hardware Pricing'!AU584</f>
        <v>-</v>
      </c>
      <c r="BS574" s="85" t="str">
        <f t="shared" ref="BS574:BS575" si="2506">IF(BR574="-",BQ574,BQ574-BR574)</f>
        <v>-</v>
      </c>
      <c r="BT574" s="85" t="str">
        <f t="shared" ref="BT574:BT575" si="2507">IF(BR574="-",BR574,BR574*24)</f>
        <v>-</v>
      </c>
      <c r="BU574" s="85" t="str">
        <f t="shared" ref="BU574:BU575" si="2508">IF(BP574="-",BP574,BP574+(BS574*24))</f>
        <v>-</v>
      </c>
    </row>
    <row r="575" spans="1:73" ht="29.85" customHeight="1" x14ac:dyDescent="0.25">
      <c r="A575" s="87" t="s">
        <v>34</v>
      </c>
      <c r="B575" s="88" t="s">
        <v>1244</v>
      </c>
      <c r="C575" s="88" t="s">
        <v>1246</v>
      </c>
      <c r="D575" s="85">
        <f>'Consumer Hardware Pricing'!L585</f>
        <v>460</v>
      </c>
      <c r="E575" s="85">
        <f>'Consumer Hardware Pricing'!M585</f>
        <v>460</v>
      </c>
      <c r="F575" s="85">
        <f>'Consumer Hardware Pricing'!N585</f>
        <v>0</v>
      </c>
      <c r="G575" s="85">
        <f t="shared" si="2469"/>
        <v>19.170000000000002</v>
      </c>
      <c r="H575" s="85">
        <f>'Consumer Hardware Pricing'!O585</f>
        <v>3.17</v>
      </c>
      <c r="I575" s="85">
        <f t="shared" si="2470"/>
        <v>16</v>
      </c>
      <c r="J575" s="85">
        <f t="shared" si="2471"/>
        <v>76.08</v>
      </c>
      <c r="K575" s="85">
        <f t="shared" si="2472"/>
        <v>384</v>
      </c>
      <c r="L575" s="85" t="str">
        <f>'Consumer Hardware Pricing'!Q585</f>
        <v>-</v>
      </c>
      <c r="M575" s="85" t="str">
        <f t="shared" si="2473"/>
        <v>-</v>
      </c>
      <c r="N575" s="85" t="str">
        <f t="shared" si="2474"/>
        <v>-</v>
      </c>
      <c r="O575" s="85" t="str">
        <f t="shared" si="2475"/>
        <v>-</v>
      </c>
      <c r="P575" s="85" t="str">
        <f t="shared" si="2476"/>
        <v>-</v>
      </c>
      <c r="Q575" s="85">
        <f>'Consumer Hardware Pricing'!S585</f>
        <v>0</v>
      </c>
      <c r="R575" s="85">
        <f t="shared" si="2477"/>
        <v>19.170000000000002</v>
      </c>
      <c r="S575" s="85">
        <f>'Consumer Hardware Pricing'!T585</f>
        <v>3.17</v>
      </c>
      <c r="T575" s="129">
        <f t="shared" si="2478"/>
        <v>16</v>
      </c>
      <c r="U575" s="129">
        <f t="shared" si="2479"/>
        <v>76.08</v>
      </c>
      <c r="V575" s="85">
        <f t="shared" si="2480"/>
        <v>384</v>
      </c>
      <c r="W575" s="129" t="str">
        <f>'Consumer Hardware Pricing'!V585</f>
        <v>-</v>
      </c>
      <c r="X575" s="129" t="str">
        <f t="shared" si="2481"/>
        <v>-</v>
      </c>
      <c r="Y575" s="129" t="str">
        <f t="shared" si="2482"/>
        <v>-</v>
      </c>
      <c r="Z575" s="129" t="str">
        <f t="shared" si="2483"/>
        <v>-</v>
      </c>
      <c r="AA575" s="85" t="str">
        <f t="shared" si="2484"/>
        <v>-</v>
      </c>
      <c r="AB575" s="85">
        <f>'Consumer Hardware Pricing'!X585</f>
        <v>0</v>
      </c>
      <c r="AC575" s="85">
        <f t="shared" si="2041"/>
        <v>19.170000000000002</v>
      </c>
      <c r="AD575" s="85">
        <f>'Consumer Hardware Pricing'!Y585</f>
        <v>3.17</v>
      </c>
      <c r="AE575" s="85">
        <f t="shared" si="2485"/>
        <v>16</v>
      </c>
      <c r="AF575" s="85">
        <f t="shared" si="2486"/>
        <v>76.08</v>
      </c>
      <c r="AG575" s="85">
        <f t="shared" si="2487"/>
        <v>384</v>
      </c>
      <c r="AH575" s="85" t="str">
        <f>'Consumer Hardware Pricing'!AA585</f>
        <v>-</v>
      </c>
      <c r="AI575" s="85" t="str">
        <f t="shared" si="2042"/>
        <v>-</v>
      </c>
      <c r="AJ575" s="85" t="str">
        <f t="shared" si="2488"/>
        <v>-</v>
      </c>
      <c r="AK575" s="85" t="str">
        <f t="shared" si="2489"/>
        <v>-</v>
      </c>
      <c r="AL575" s="85" t="str">
        <f t="shared" si="2490"/>
        <v>-</v>
      </c>
      <c r="AM575" s="85">
        <f>'Consumer Hardware Pricing'!AC585</f>
        <v>0</v>
      </c>
      <c r="AN575" s="85">
        <f t="shared" si="2043"/>
        <v>19.170000000000002</v>
      </c>
      <c r="AO575" s="85">
        <f>'Consumer Hardware Pricing'!AD585</f>
        <v>3.17</v>
      </c>
      <c r="AP575" s="85">
        <f t="shared" si="2491"/>
        <v>16</v>
      </c>
      <c r="AQ575" s="85">
        <f t="shared" si="2492"/>
        <v>76.08</v>
      </c>
      <c r="AR575" s="85">
        <f t="shared" si="2493"/>
        <v>384</v>
      </c>
      <c r="AS575" s="85" t="str">
        <f>'Consumer Hardware Pricing'!AF585</f>
        <v>-</v>
      </c>
      <c r="AT575" s="85" t="str">
        <f t="shared" si="2044"/>
        <v>-</v>
      </c>
      <c r="AU575" s="85" t="str">
        <f t="shared" si="2494"/>
        <v>-</v>
      </c>
      <c r="AV575" s="85" t="str">
        <f t="shared" si="2495"/>
        <v>-</v>
      </c>
      <c r="AW575" s="85" t="str">
        <f t="shared" si="2496"/>
        <v>-</v>
      </c>
      <c r="AX575" s="85" t="str">
        <f>'Consumer Hardware Pricing'!AH585</f>
        <v>-</v>
      </c>
      <c r="AY575" s="85" t="str">
        <f t="shared" si="2045"/>
        <v>-</v>
      </c>
      <c r="AZ575" s="85" t="str">
        <f>'Consumer Hardware Pricing'!AI585</f>
        <v>-</v>
      </c>
      <c r="BA575" s="85" t="str">
        <f t="shared" si="2497"/>
        <v>-</v>
      </c>
      <c r="BB575" s="85" t="str">
        <f t="shared" si="2498"/>
        <v>-</v>
      </c>
      <c r="BC575" s="85" t="str">
        <f t="shared" si="2499"/>
        <v>-</v>
      </c>
      <c r="BD575" s="85" t="str">
        <f>'Consumer Hardware Pricing'!AL585</f>
        <v>-</v>
      </c>
      <c r="BE575" s="85" t="str">
        <f t="shared" si="2046"/>
        <v>-</v>
      </c>
      <c r="BF575" s="85" t="str">
        <f>'Consumer Hardware Pricing'!AM585</f>
        <v>-</v>
      </c>
      <c r="BG575" s="85" t="str">
        <f t="shared" si="2500"/>
        <v>-</v>
      </c>
      <c r="BH575" s="85" t="str">
        <f t="shared" si="2501"/>
        <v>-</v>
      </c>
      <c r="BI575" s="85" t="str">
        <f t="shared" si="2502"/>
        <v>-</v>
      </c>
      <c r="BJ575" s="85" t="str">
        <f>'Consumer Hardware Pricing'!AP585</f>
        <v>-</v>
      </c>
      <c r="BK575" s="85" t="str">
        <f t="shared" si="2047"/>
        <v>-</v>
      </c>
      <c r="BL575" s="85" t="str">
        <f>'Consumer Hardware Pricing'!AQ585</f>
        <v>-</v>
      </c>
      <c r="BM575" s="85" t="str">
        <f t="shared" si="2503"/>
        <v>-</v>
      </c>
      <c r="BN575" s="85" t="str">
        <f t="shared" si="2504"/>
        <v>-</v>
      </c>
      <c r="BO575" s="85" t="str">
        <f t="shared" si="2505"/>
        <v>-</v>
      </c>
      <c r="BP575" s="85" t="str">
        <f>'Consumer Hardware Pricing'!AT585</f>
        <v>-</v>
      </c>
      <c r="BQ575" s="85" t="str">
        <f t="shared" si="2048"/>
        <v>-</v>
      </c>
      <c r="BR575" s="85" t="str">
        <f>'Consumer Hardware Pricing'!AU585</f>
        <v>-</v>
      </c>
      <c r="BS575" s="85" t="str">
        <f t="shared" si="2506"/>
        <v>-</v>
      </c>
      <c r="BT575" s="85" t="str">
        <f t="shared" si="2507"/>
        <v>-</v>
      </c>
      <c r="BU575" s="85" t="str">
        <f t="shared" si="2508"/>
        <v>-</v>
      </c>
    </row>
    <row r="576" spans="1:73" ht="29.85" customHeight="1" x14ac:dyDescent="0.25">
      <c r="A576" s="87" t="s">
        <v>34</v>
      </c>
      <c r="B576" s="88" t="s">
        <v>89</v>
      </c>
      <c r="C576" s="88" t="s">
        <v>25</v>
      </c>
      <c r="D576" s="85">
        <f>'Consumer Hardware Pricing'!L586</f>
        <v>39.99</v>
      </c>
      <c r="E576" s="85">
        <f>'Consumer Hardware Pricing'!M586</f>
        <v>39.99</v>
      </c>
      <c r="F576" s="85" t="str">
        <f>'Consumer Hardware Pricing'!N586</f>
        <v>-</v>
      </c>
      <c r="G576" s="85" t="str">
        <f t="shared" si="1939"/>
        <v>-</v>
      </c>
      <c r="H576" s="85" t="str">
        <f>'Consumer Hardware Pricing'!O586</f>
        <v>-</v>
      </c>
      <c r="I576" s="85" t="str">
        <f t="shared" si="1914"/>
        <v>-</v>
      </c>
      <c r="J576" s="85" t="str">
        <f t="shared" si="1926"/>
        <v>-</v>
      </c>
      <c r="K576" s="85" t="str">
        <f t="shared" si="1927"/>
        <v>-</v>
      </c>
      <c r="L576" s="85" t="str">
        <f>'Consumer Hardware Pricing'!Q586</f>
        <v>-</v>
      </c>
      <c r="M576" s="85" t="str">
        <f t="shared" si="1940"/>
        <v>-</v>
      </c>
      <c r="N576" s="85" t="str">
        <f t="shared" si="1915"/>
        <v>-</v>
      </c>
      <c r="O576" s="85" t="str">
        <f t="shared" si="1916"/>
        <v>-</v>
      </c>
      <c r="P576" s="85" t="str">
        <f t="shared" si="1928"/>
        <v>-</v>
      </c>
      <c r="Q576" s="85" t="str">
        <f>'Consumer Hardware Pricing'!S586</f>
        <v>-</v>
      </c>
      <c r="R576" s="85" t="str">
        <f t="shared" si="1917"/>
        <v>-</v>
      </c>
      <c r="S576" s="85" t="str">
        <f>'Consumer Hardware Pricing'!T586</f>
        <v>-</v>
      </c>
      <c r="T576" s="129" t="str">
        <f t="shared" si="1929"/>
        <v>-</v>
      </c>
      <c r="U576" s="129" t="str">
        <f t="shared" si="1930"/>
        <v>-</v>
      </c>
      <c r="V576" s="85" t="str">
        <f t="shared" si="1931"/>
        <v>-</v>
      </c>
      <c r="W576" s="129" t="str">
        <f>'Consumer Hardware Pricing'!V586</f>
        <v>-</v>
      </c>
      <c r="X576" s="129" t="str">
        <f t="shared" si="1941"/>
        <v>-</v>
      </c>
      <c r="Y576" s="129" t="str">
        <f t="shared" si="1932"/>
        <v>-</v>
      </c>
      <c r="Z576" s="129" t="str">
        <f t="shared" si="1933"/>
        <v>-</v>
      </c>
      <c r="AA576" s="85" t="str">
        <f t="shared" si="1934"/>
        <v>-</v>
      </c>
      <c r="AB576" s="85" t="str">
        <f>'Consumer Hardware Pricing'!X586</f>
        <v>-</v>
      </c>
      <c r="AC576" s="85" t="str">
        <f t="shared" si="2041"/>
        <v>-</v>
      </c>
      <c r="AD576" s="85" t="str">
        <f>'Consumer Hardware Pricing'!Y586</f>
        <v>-</v>
      </c>
      <c r="AE576" s="85" t="str">
        <f t="shared" si="1902"/>
        <v>-</v>
      </c>
      <c r="AF576" s="85" t="str">
        <f t="shared" si="1903"/>
        <v>-</v>
      </c>
      <c r="AG576" s="85" t="str">
        <f t="shared" si="1904"/>
        <v>-</v>
      </c>
      <c r="AH576" s="85" t="str">
        <f>'Consumer Hardware Pricing'!AA586</f>
        <v>-</v>
      </c>
      <c r="AI576" s="85" t="str">
        <f t="shared" si="2042"/>
        <v>-</v>
      </c>
      <c r="AJ576" s="85" t="str">
        <f t="shared" si="1905"/>
        <v>-</v>
      </c>
      <c r="AK576" s="85" t="str">
        <f t="shared" si="1906"/>
        <v>-</v>
      </c>
      <c r="AL576" s="85" t="str">
        <f t="shared" si="1907"/>
        <v>-</v>
      </c>
      <c r="AM576" s="85" t="str">
        <f>'Consumer Hardware Pricing'!AC586</f>
        <v>-</v>
      </c>
      <c r="AN576" s="85" t="str">
        <f t="shared" si="2043"/>
        <v>-</v>
      </c>
      <c r="AO576" s="85" t="str">
        <f>'Consumer Hardware Pricing'!AD586</f>
        <v>-</v>
      </c>
      <c r="AP576" s="85" t="str">
        <f t="shared" si="1908"/>
        <v>-</v>
      </c>
      <c r="AQ576" s="85" t="str">
        <f t="shared" si="1909"/>
        <v>-</v>
      </c>
      <c r="AR576" s="85" t="str">
        <f t="shared" si="1910"/>
        <v>-</v>
      </c>
      <c r="AS576" s="85" t="str">
        <f>'Consumer Hardware Pricing'!AF586</f>
        <v>-</v>
      </c>
      <c r="AT576" s="85" t="str">
        <f t="shared" si="2044"/>
        <v>-</v>
      </c>
      <c r="AU576" s="85" t="str">
        <f t="shared" si="1911"/>
        <v>-</v>
      </c>
      <c r="AV576" s="85" t="str">
        <f t="shared" si="1912"/>
        <v>-</v>
      </c>
      <c r="AW576" s="85" t="str">
        <f t="shared" si="1913"/>
        <v>-</v>
      </c>
      <c r="AX576" s="85" t="str">
        <f>'Consumer Hardware Pricing'!AH586</f>
        <v>-</v>
      </c>
      <c r="AY576" s="85" t="str">
        <f t="shared" si="2045"/>
        <v>-</v>
      </c>
      <c r="AZ576" s="85" t="str">
        <f>'Consumer Hardware Pricing'!AI586</f>
        <v>-</v>
      </c>
      <c r="BA576" s="85" t="str">
        <f t="shared" si="1918"/>
        <v>-</v>
      </c>
      <c r="BB576" s="85" t="str">
        <f t="shared" si="1919"/>
        <v>-</v>
      </c>
      <c r="BC576" s="85" t="str">
        <f t="shared" si="1935"/>
        <v>-</v>
      </c>
      <c r="BD576" s="85" t="str">
        <f>'Consumer Hardware Pricing'!AL586</f>
        <v>-</v>
      </c>
      <c r="BE576" s="85" t="str">
        <f t="shared" si="2046"/>
        <v>-</v>
      </c>
      <c r="BF576" s="85" t="str">
        <f>'Consumer Hardware Pricing'!AM586</f>
        <v>-</v>
      </c>
      <c r="BG576" s="85" t="str">
        <f t="shared" si="1920"/>
        <v>-</v>
      </c>
      <c r="BH576" s="85" t="str">
        <f t="shared" si="1921"/>
        <v>-</v>
      </c>
      <c r="BI576" s="85" t="str">
        <f t="shared" si="1936"/>
        <v>-</v>
      </c>
      <c r="BJ576" s="85" t="str">
        <f>'Consumer Hardware Pricing'!AP586</f>
        <v>-</v>
      </c>
      <c r="BK576" s="85" t="str">
        <f t="shared" si="2047"/>
        <v>-</v>
      </c>
      <c r="BL576" s="85" t="str">
        <f>'Consumer Hardware Pricing'!AQ586</f>
        <v>-</v>
      </c>
      <c r="BM576" s="85" t="str">
        <f t="shared" si="1922"/>
        <v>-</v>
      </c>
      <c r="BN576" s="85" t="str">
        <f t="shared" si="1923"/>
        <v>-</v>
      </c>
      <c r="BO576" s="85" t="str">
        <f t="shared" si="1937"/>
        <v>-</v>
      </c>
      <c r="BP576" s="85">
        <f>'Consumer Hardware Pricing'!AT586</f>
        <v>39.99</v>
      </c>
      <c r="BQ576" s="85">
        <f t="shared" si="2048"/>
        <v>0</v>
      </c>
      <c r="BR576" s="85" t="str">
        <f>'Consumer Hardware Pricing'!AU586</f>
        <v>-</v>
      </c>
      <c r="BS576" s="85">
        <f t="shared" si="1924"/>
        <v>0</v>
      </c>
      <c r="BT576" s="85" t="str">
        <f t="shared" si="1925"/>
        <v>-</v>
      </c>
      <c r="BU576" s="85">
        <f t="shared" si="1938"/>
        <v>39.99</v>
      </c>
    </row>
    <row r="577" spans="1:73" ht="29.85" customHeight="1" x14ac:dyDescent="0.25">
      <c r="A577" s="87" t="s">
        <v>34</v>
      </c>
      <c r="B577" s="88" t="s">
        <v>345</v>
      </c>
      <c r="C577" s="88" t="s">
        <v>25</v>
      </c>
      <c r="D577" s="85">
        <f>'Consumer Hardware Pricing'!L587</f>
        <v>120</v>
      </c>
      <c r="E577" s="85">
        <f>'Consumer Hardware Pricing'!M587</f>
        <v>120</v>
      </c>
      <c r="F577" s="85" t="str">
        <f>'Consumer Hardware Pricing'!N587</f>
        <v>-</v>
      </c>
      <c r="G577" s="85" t="str">
        <f t="shared" si="1939"/>
        <v>-</v>
      </c>
      <c r="H577" s="85" t="str">
        <f>'Consumer Hardware Pricing'!O587</f>
        <v>-</v>
      </c>
      <c r="I577" s="85" t="str">
        <f t="shared" si="1914"/>
        <v>-</v>
      </c>
      <c r="J577" s="85" t="str">
        <f t="shared" si="1926"/>
        <v>-</v>
      </c>
      <c r="K577" s="85" t="str">
        <f t="shared" si="1927"/>
        <v>-</v>
      </c>
      <c r="L577" s="85" t="str">
        <f>'Consumer Hardware Pricing'!Q587</f>
        <v>-</v>
      </c>
      <c r="M577" s="85" t="str">
        <f t="shared" si="1940"/>
        <v>-</v>
      </c>
      <c r="N577" s="85" t="str">
        <f t="shared" si="1915"/>
        <v>-</v>
      </c>
      <c r="O577" s="85" t="str">
        <f t="shared" si="1916"/>
        <v>-</v>
      </c>
      <c r="P577" s="85" t="str">
        <f t="shared" si="1928"/>
        <v>-</v>
      </c>
      <c r="Q577" s="85" t="str">
        <f>'Consumer Hardware Pricing'!S587</f>
        <v>-</v>
      </c>
      <c r="R577" s="85" t="str">
        <f t="shared" si="1917"/>
        <v>-</v>
      </c>
      <c r="S577" s="85" t="str">
        <f>'Consumer Hardware Pricing'!T587</f>
        <v>-</v>
      </c>
      <c r="T577" s="129" t="str">
        <f t="shared" si="1929"/>
        <v>-</v>
      </c>
      <c r="U577" s="129" t="str">
        <f t="shared" si="1930"/>
        <v>-</v>
      </c>
      <c r="V577" s="85" t="str">
        <f t="shared" si="1931"/>
        <v>-</v>
      </c>
      <c r="W577" s="129" t="str">
        <f>'Consumer Hardware Pricing'!V587</f>
        <v>-</v>
      </c>
      <c r="X577" s="129" t="str">
        <f t="shared" si="1941"/>
        <v>-</v>
      </c>
      <c r="Y577" s="129" t="str">
        <f t="shared" si="1932"/>
        <v>-</v>
      </c>
      <c r="Z577" s="129" t="str">
        <f t="shared" si="1933"/>
        <v>-</v>
      </c>
      <c r="AA577" s="85" t="str">
        <f t="shared" si="1934"/>
        <v>-</v>
      </c>
      <c r="AB577" s="85" t="str">
        <f>'Consumer Hardware Pricing'!X587</f>
        <v>-</v>
      </c>
      <c r="AC577" s="85" t="str">
        <f t="shared" si="2041"/>
        <v>-</v>
      </c>
      <c r="AD577" s="85" t="str">
        <f>'Consumer Hardware Pricing'!Y587</f>
        <v>-</v>
      </c>
      <c r="AE577" s="85" t="str">
        <f t="shared" si="1902"/>
        <v>-</v>
      </c>
      <c r="AF577" s="85" t="str">
        <f t="shared" si="1903"/>
        <v>-</v>
      </c>
      <c r="AG577" s="85" t="str">
        <f t="shared" si="1904"/>
        <v>-</v>
      </c>
      <c r="AH577" s="85" t="str">
        <f>'Consumer Hardware Pricing'!AA587</f>
        <v>-</v>
      </c>
      <c r="AI577" s="85" t="str">
        <f t="shared" si="2042"/>
        <v>-</v>
      </c>
      <c r="AJ577" s="85" t="str">
        <f t="shared" si="1905"/>
        <v>-</v>
      </c>
      <c r="AK577" s="85" t="str">
        <f t="shared" si="1906"/>
        <v>-</v>
      </c>
      <c r="AL577" s="85" t="str">
        <f t="shared" si="1907"/>
        <v>-</v>
      </c>
      <c r="AM577" s="85" t="str">
        <f>'Consumer Hardware Pricing'!AC587</f>
        <v>-</v>
      </c>
      <c r="AN577" s="85" t="str">
        <f t="shared" si="2043"/>
        <v>-</v>
      </c>
      <c r="AO577" s="85" t="str">
        <f>'Consumer Hardware Pricing'!AD587</f>
        <v>-</v>
      </c>
      <c r="AP577" s="85" t="str">
        <f t="shared" si="1908"/>
        <v>-</v>
      </c>
      <c r="AQ577" s="85" t="str">
        <f t="shared" si="1909"/>
        <v>-</v>
      </c>
      <c r="AR577" s="85" t="str">
        <f t="shared" si="1910"/>
        <v>-</v>
      </c>
      <c r="AS577" s="85" t="str">
        <f>'Consumer Hardware Pricing'!AF587</f>
        <v>-</v>
      </c>
      <c r="AT577" s="85" t="str">
        <f t="shared" si="2044"/>
        <v>-</v>
      </c>
      <c r="AU577" s="85" t="str">
        <f t="shared" si="1911"/>
        <v>-</v>
      </c>
      <c r="AV577" s="85" t="str">
        <f t="shared" si="1912"/>
        <v>-</v>
      </c>
      <c r="AW577" s="85" t="str">
        <f t="shared" si="1913"/>
        <v>-</v>
      </c>
      <c r="AX577" s="85" t="str">
        <f>'Consumer Hardware Pricing'!AH587</f>
        <v>-</v>
      </c>
      <c r="AY577" s="85" t="str">
        <f t="shared" si="2045"/>
        <v>-</v>
      </c>
      <c r="AZ577" s="85" t="str">
        <f>'Consumer Hardware Pricing'!AI587</f>
        <v>-</v>
      </c>
      <c r="BA577" s="85" t="str">
        <f t="shared" si="1918"/>
        <v>-</v>
      </c>
      <c r="BB577" s="85" t="str">
        <f t="shared" si="1919"/>
        <v>-</v>
      </c>
      <c r="BC577" s="85" t="str">
        <f t="shared" si="1935"/>
        <v>-</v>
      </c>
      <c r="BD577" s="85" t="str">
        <f>'Consumer Hardware Pricing'!AL587</f>
        <v>-</v>
      </c>
      <c r="BE577" s="85" t="str">
        <f t="shared" si="2046"/>
        <v>-</v>
      </c>
      <c r="BF577" s="85" t="str">
        <f>'Consumer Hardware Pricing'!AM587</f>
        <v>-</v>
      </c>
      <c r="BG577" s="85" t="str">
        <f t="shared" si="1920"/>
        <v>-</v>
      </c>
      <c r="BH577" s="85" t="str">
        <f t="shared" si="1921"/>
        <v>-</v>
      </c>
      <c r="BI577" s="85" t="str">
        <f t="shared" si="1936"/>
        <v>-</v>
      </c>
      <c r="BJ577" s="85" t="str">
        <f>'Consumer Hardware Pricing'!AP587</f>
        <v>-</v>
      </c>
      <c r="BK577" s="85" t="str">
        <f t="shared" si="2047"/>
        <v>-</v>
      </c>
      <c r="BL577" s="85" t="str">
        <f>'Consumer Hardware Pricing'!AQ587</f>
        <v>-</v>
      </c>
      <c r="BM577" s="85" t="str">
        <f t="shared" si="1922"/>
        <v>-</v>
      </c>
      <c r="BN577" s="85" t="str">
        <f t="shared" si="1923"/>
        <v>-</v>
      </c>
      <c r="BO577" s="85" t="str">
        <f t="shared" si="1937"/>
        <v>-</v>
      </c>
      <c r="BP577" s="85">
        <f>'Consumer Hardware Pricing'!AT587</f>
        <v>0</v>
      </c>
      <c r="BQ577" s="85">
        <f t="shared" si="2048"/>
        <v>5</v>
      </c>
      <c r="BR577" s="85">
        <f>'Consumer Hardware Pricing'!AU587</f>
        <v>5</v>
      </c>
      <c r="BS577" s="85">
        <f t="shared" si="1924"/>
        <v>0</v>
      </c>
      <c r="BT577" s="85">
        <f t="shared" si="1925"/>
        <v>120</v>
      </c>
      <c r="BU577" s="85">
        <f t="shared" si="1938"/>
        <v>0</v>
      </c>
    </row>
    <row r="578" spans="1:73" ht="29.85" customHeight="1" x14ac:dyDescent="0.25">
      <c r="A578" s="141" t="s">
        <v>34</v>
      </c>
      <c r="B578" s="133" t="s">
        <v>738</v>
      </c>
      <c r="C578" s="133" t="s">
        <v>25</v>
      </c>
      <c r="D578" s="85">
        <f>'Consumer Hardware Pricing'!L588</f>
        <v>120</v>
      </c>
      <c r="E578" s="85">
        <f>'Consumer Hardware Pricing'!M588</f>
        <v>120</v>
      </c>
      <c r="F578" s="85" t="str">
        <f>'Consumer Hardware Pricing'!N588</f>
        <v>-</v>
      </c>
      <c r="G578" s="85" t="str">
        <f t="shared" si="1939"/>
        <v>-</v>
      </c>
      <c r="H578" s="85" t="str">
        <f>'Consumer Hardware Pricing'!O588</f>
        <v>-</v>
      </c>
      <c r="I578" s="85" t="str">
        <f t="shared" si="1914"/>
        <v>-</v>
      </c>
      <c r="J578" s="85" t="str">
        <f t="shared" si="1926"/>
        <v>-</v>
      </c>
      <c r="K578" s="85" t="str">
        <f t="shared" si="1927"/>
        <v>-</v>
      </c>
      <c r="L578" s="85" t="str">
        <f>'Consumer Hardware Pricing'!Q588</f>
        <v>-</v>
      </c>
      <c r="M578" s="85" t="str">
        <f t="shared" si="1940"/>
        <v>-</v>
      </c>
      <c r="N578" s="85" t="str">
        <f t="shared" si="1915"/>
        <v>-</v>
      </c>
      <c r="O578" s="85" t="str">
        <f t="shared" si="1916"/>
        <v>-</v>
      </c>
      <c r="P578" s="85" t="str">
        <f t="shared" si="1928"/>
        <v>-</v>
      </c>
      <c r="Q578" s="85" t="str">
        <f>'Consumer Hardware Pricing'!S588</f>
        <v>-</v>
      </c>
      <c r="R578" s="85" t="str">
        <f t="shared" si="1917"/>
        <v>-</v>
      </c>
      <c r="S578" s="85" t="str">
        <f>'Consumer Hardware Pricing'!T588</f>
        <v>-</v>
      </c>
      <c r="T578" s="129" t="str">
        <f t="shared" si="1929"/>
        <v>-</v>
      </c>
      <c r="U578" s="129" t="str">
        <f t="shared" si="1930"/>
        <v>-</v>
      </c>
      <c r="V578" s="85" t="str">
        <f t="shared" si="1931"/>
        <v>-</v>
      </c>
      <c r="W578" s="129" t="str">
        <f>'Consumer Hardware Pricing'!V588</f>
        <v>-</v>
      </c>
      <c r="X578" s="129" t="str">
        <f t="shared" si="1941"/>
        <v>-</v>
      </c>
      <c r="Y578" s="129" t="str">
        <f t="shared" si="1932"/>
        <v>-</v>
      </c>
      <c r="Z578" s="129" t="str">
        <f t="shared" si="1933"/>
        <v>-</v>
      </c>
      <c r="AA578" s="85" t="str">
        <f t="shared" si="1934"/>
        <v>-</v>
      </c>
      <c r="AB578" s="85" t="str">
        <f>'Consumer Hardware Pricing'!X588</f>
        <v>-</v>
      </c>
      <c r="AC578" s="85" t="str">
        <f t="shared" si="2041"/>
        <v>-</v>
      </c>
      <c r="AD578" s="85" t="str">
        <f>'Consumer Hardware Pricing'!Y588</f>
        <v>-</v>
      </c>
      <c r="AE578" s="85" t="str">
        <f t="shared" si="1902"/>
        <v>-</v>
      </c>
      <c r="AF578" s="85" t="str">
        <f t="shared" si="1903"/>
        <v>-</v>
      </c>
      <c r="AG578" s="85" t="str">
        <f t="shared" si="1904"/>
        <v>-</v>
      </c>
      <c r="AH578" s="85" t="str">
        <f>'Consumer Hardware Pricing'!AA588</f>
        <v>-</v>
      </c>
      <c r="AI578" s="85" t="str">
        <f t="shared" si="2042"/>
        <v>-</v>
      </c>
      <c r="AJ578" s="85" t="str">
        <f t="shared" si="1905"/>
        <v>-</v>
      </c>
      <c r="AK578" s="85" t="str">
        <f t="shared" si="1906"/>
        <v>-</v>
      </c>
      <c r="AL578" s="85" t="str">
        <f t="shared" si="1907"/>
        <v>-</v>
      </c>
      <c r="AM578" s="85" t="str">
        <f>'Consumer Hardware Pricing'!AC588</f>
        <v>-</v>
      </c>
      <c r="AN578" s="85" t="str">
        <f t="shared" si="2043"/>
        <v>-</v>
      </c>
      <c r="AO578" s="85" t="str">
        <f>'Consumer Hardware Pricing'!AD588</f>
        <v>-</v>
      </c>
      <c r="AP578" s="85" t="str">
        <f t="shared" si="1908"/>
        <v>-</v>
      </c>
      <c r="AQ578" s="85" t="str">
        <f t="shared" si="1909"/>
        <v>-</v>
      </c>
      <c r="AR578" s="85" t="str">
        <f t="shared" si="1910"/>
        <v>-</v>
      </c>
      <c r="AS578" s="85" t="str">
        <f>'Consumer Hardware Pricing'!AF588</f>
        <v>-</v>
      </c>
      <c r="AT578" s="85" t="str">
        <f t="shared" si="2044"/>
        <v>-</v>
      </c>
      <c r="AU578" s="85" t="str">
        <f t="shared" si="1911"/>
        <v>-</v>
      </c>
      <c r="AV578" s="85" t="str">
        <f t="shared" si="1912"/>
        <v>-</v>
      </c>
      <c r="AW578" s="85" t="str">
        <f t="shared" si="1913"/>
        <v>-</v>
      </c>
      <c r="AX578" s="85" t="str">
        <f>'Consumer Hardware Pricing'!AH588</f>
        <v>-</v>
      </c>
      <c r="AY578" s="85" t="str">
        <f t="shared" si="2045"/>
        <v>-</v>
      </c>
      <c r="AZ578" s="85" t="str">
        <f>'Consumer Hardware Pricing'!AI588</f>
        <v>-</v>
      </c>
      <c r="BA578" s="85" t="str">
        <f t="shared" si="1918"/>
        <v>-</v>
      </c>
      <c r="BB578" s="85" t="str">
        <f t="shared" si="1919"/>
        <v>-</v>
      </c>
      <c r="BC578" s="85" t="str">
        <f t="shared" si="1935"/>
        <v>-</v>
      </c>
      <c r="BD578" s="85" t="str">
        <f>'Consumer Hardware Pricing'!AL588</f>
        <v>-</v>
      </c>
      <c r="BE578" s="85" t="str">
        <f t="shared" si="2046"/>
        <v>-</v>
      </c>
      <c r="BF578" s="85" t="str">
        <f>'Consumer Hardware Pricing'!AM588</f>
        <v>-</v>
      </c>
      <c r="BG578" s="85" t="str">
        <f t="shared" si="1920"/>
        <v>-</v>
      </c>
      <c r="BH578" s="85" t="str">
        <f t="shared" si="1921"/>
        <v>-</v>
      </c>
      <c r="BI578" s="85" t="str">
        <f t="shared" si="1936"/>
        <v>-</v>
      </c>
      <c r="BJ578" s="85" t="str">
        <f>'Consumer Hardware Pricing'!AP588</f>
        <v>-</v>
      </c>
      <c r="BK578" s="85" t="str">
        <f t="shared" si="2047"/>
        <v>-</v>
      </c>
      <c r="BL578" s="85" t="str">
        <f>'Consumer Hardware Pricing'!AQ588</f>
        <v>-</v>
      </c>
      <c r="BM578" s="85" t="str">
        <f t="shared" si="1922"/>
        <v>-</v>
      </c>
      <c r="BN578" s="85" t="str">
        <f t="shared" si="1923"/>
        <v>-</v>
      </c>
      <c r="BO578" s="85" t="str">
        <f t="shared" si="1937"/>
        <v>-</v>
      </c>
      <c r="BP578" s="85">
        <f>'Consumer Hardware Pricing'!AT588</f>
        <v>0</v>
      </c>
      <c r="BQ578" s="85">
        <f t="shared" si="2048"/>
        <v>5</v>
      </c>
      <c r="BR578" s="85">
        <f>'Consumer Hardware Pricing'!AU588</f>
        <v>5</v>
      </c>
      <c r="BS578" s="85">
        <f t="shared" si="1924"/>
        <v>0</v>
      </c>
      <c r="BT578" s="85">
        <f t="shared" si="1925"/>
        <v>120</v>
      </c>
      <c r="BU578" s="85">
        <f t="shared" si="1938"/>
        <v>0</v>
      </c>
    </row>
    <row r="579" spans="1:73" ht="29.85" customHeight="1" x14ac:dyDescent="0.25">
      <c r="A579" s="132" t="s">
        <v>35</v>
      </c>
      <c r="B579" s="133" t="s">
        <v>297</v>
      </c>
      <c r="C579" s="133" t="s">
        <v>425</v>
      </c>
      <c r="D579" s="85">
        <f>'Consumer Hardware Pricing'!L589</f>
        <v>199</v>
      </c>
      <c r="E579" s="85">
        <f>'Consumer Hardware Pricing'!M589</f>
        <v>199</v>
      </c>
      <c r="F579" s="85" t="str">
        <f>'Consumer Hardware Pricing'!N589</f>
        <v>-</v>
      </c>
      <c r="G579" s="85" t="str">
        <f t="shared" si="1939"/>
        <v>-</v>
      </c>
      <c r="H579" s="85" t="str">
        <f>'Consumer Hardware Pricing'!O589</f>
        <v>-</v>
      </c>
      <c r="I579" s="85" t="str">
        <f t="shared" si="1914"/>
        <v>-</v>
      </c>
      <c r="J579" s="85" t="str">
        <f t="shared" si="1926"/>
        <v>-</v>
      </c>
      <c r="K579" s="85" t="str">
        <f t="shared" si="1927"/>
        <v>-</v>
      </c>
      <c r="L579" s="85" t="str">
        <f>'Consumer Hardware Pricing'!Q589</f>
        <v>-</v>
      </c>
      <c r="M579" s="85" t="str">
        <f t="shared" si="1940"/>
        <v>-</v>
      </c>
      <c r="N579" s="85" t="str">
        <f t="shared" si="1915"/>
        <v>-</v>
      </c>
      <c r="O579" s="85" t="str">
        <f t="shared" si="1916"/>
        <v>-</v>
      </c>
      <c r="P579" s="85" t="str">
        <f t="shared" si="1928"/>
        <v>-</v>
      </c>
      <c r="Q579" s="85" t="str">
        <f>'Consumer Hardware Pricing'!S589</f>
        <v>-</v>
      </c>
      <c r="R579" s="85" t="str">
        <f t="shared" si="1917"/>
        <v>-</v>
      </c>
      <c r="S579" s="85" t="str">
        <f>'Consumer Hardware Pricing'!T589</f>
        <v>-</v>
      </c>
      <c r="T579" s="129" t="str">
        <f t="shared" si="1929"/>
        <v>-</v>
      </c>
      <c r="U579" s="129" t="str">
        <f t="shared" si="1930"/>
        <v>-</v>
      </c>
      <c r="V579" s="85" t="str">
        <f t="shared" si="1931"/>
        <v>-</v>
      </c>
      <c r="W579" s="129" t="str">
        <f>'Consumer Hardware Pricing'!V589</f>
        <v>-</v>
      </c>
      <c r="X579" s="129" t="str">
        <f t="shared" si="1941"/>
        <v>-</v>
      </c>
      <c r="Y579" s="129" t="str">
        <f t="shared" si="1932"/>
        <v>-</v>
      </c>
      <c r="Z579" s="129" t="str">
        <f t="shared" si="1933"/>
        <v>-</v>
      </c>
      <c r="AA579" s="85" t="str">
        <f t="shared" si="1934"/>
        <v>-</v>
      </c>
      <c r="AB579" s="85" t="str">
        <f>'Consumer Hardware Pricing'!X589</f>
        <v>-</v>
      </c>
      <c r="AC579" s="85" t="str">
        <f t="shared" si="2041"/>
        <v>-</v>
      </c>
      <c r="AD579" s="85" t="str">
        <f>'Consumer Hardware Pricing'!Y589</f>
        <v>-</v>
      </c>
      <c r="AE579" s="85" t="str">
        <f t="shared" si="1902"/>
        <v>-</v>
      </c>
      <c r="AF579" s="85" t="str">
        <f t="shared" si="1903"/>
        <v>-</v>
      </c>
      <c r="AG579" s="85" t="str">
        <f t="shared" si="1904"/>
        <v>-</v>
      </c>
      <c r="AH579" s="85" t="str">
        <f>'Consumer Hardware Pricing'!AA589</f>
        <v>-</v>
      </c>
      <c r="AI579" s="85" t="str">
        <f t="shared" si="2042"/>
        <v>-</v>
      </c>
      <c r="AJ579" s="85" t="str">
        <f t="shared" si="1905"/>
        <v>-</v>
      </c>
      <c r="AK579" s="85" t="str">
        <f t="shared" si="1906"/>
        <v>-</v>
      </c>
      <c r="AL579" s="85" t="str">
        <f t="shared" si="1907"/>
        <v>-</v>
      </c>
      <c r="AM579" s="85" t="str">
        <f>'Consumer Hardware Pricing'!AC589</f>
        <v>-</v>
      </c>
      <c r="AN579" s="85" t="str">
        <f t="shared" si="2043"/>
        <v>-</v>
      </c>
      <c r="AO579" s="85" t="str">
        <f>'Consumer Hardware Pricing'!AD589</f>
        <v>-</v>
      </c>
      <c r="AP579" s="85" t="str">
        <f t="shared" si="1908"/>
        <v>-</v>
      </c>
      <c r="AQ579" s="85" t="str">
        <f t="shared" si="1909"/>
        <v>-</v>
      </c>
      <c r="AR579" s="85" t="str">
        <f t="shared" si="1910"/>
        <v>-</v>
      </c>
      <c r="AS579" s="85" t="str">
        <f>'Consumer Hardware Pricing'!AF589</f>
        <v>-</v>
      </c>
      <c r="AT579" s="85" t="str">
        <f t="shared" si="2044"/>
        <v>-</v>
      </c>
      <c r="AU579" s="85" t="str">
        <f t="shared" si="1911"/>
        <v>-</v>
      </c>
      <c r="AV579" s="85" t="str">
        <f t="shared" si="1912"/>
        <v>-</v>
      </c>
      <c r="AW579" s="85" t="str">
        <f t="shared" si="1913"/>
        <v>-</v>
      </c>
      <c r="AX579" s="85" t="str">
        <f>'Consumer Hardware Pricing'!AH589</f>
        <v>-</v>
      </c>
      <c r="AY579" s="85" t="str">
        <f t="shared" si="2045"/>
        <v>-</v>
      </c>
      <c r="AZ579" s="85" t="str">
        <f>'Consumer Hardware Pricing'!AI589</f>
        <v>-</v>
      </c>
      <c r="BA579" s="85" t="str">
        <f t="shared" si="1918"/>
        <v>-</v>
      </c>
      <c r="BB579" s="85" t="str">
        <f t="shared" si="1919"/>
        <v>-</v>
      </c>
      <c r="BC579" s="85" t="str">
        <f t="shared" si="1935"/>
        <v>-</v>
      </c>
      <c r="BD579" s="85">
        <f>'Consumer Hardware Pricing'!AL589</f>
        <v>0</v>
      </c>
      <c r="BE579" s="85">
        <f t="shared" si="2046"/>
        <v>8.2999999999999989</v>
      </c>
      <c r="BF579" s="85" t="str">
        <f>'Consumer Hardware Pricing'!AM589</f>
        <v>-</v>
      </c>
      <c r="BG579" s="85">
        <f t="shared" si="1920"/>
        <v>8.2999999999999989</v>
      </c>
      <c r="BH579" s="85" t="str">
        <f t="shared" si="1921"/>
        <v>-</v>
      </c>
      <c r="BI579" s="85">
        <f t="shared" si="1936"/>
        <v>199.2</v>
      </c>
      <c r="BJ579" s="85" t="str">
        <f>'Consumer Hardware Pricing'!AP589</f>
        <v>-</v>
      </c>
      <c r="BK579" s="85" t="str">
        <f t="shared" si="2047"/>
        <v>-</v>
      </c>
      <c r="BL579" s="85" t="str">
        <f>'Consumer Hardware Pricing'!AQ589</f>
        <v>-</v>
      </c>
      <c r="BM579" s="85" t="str">
        <f t="shared" si="1922"/>
        <v>-</v>
      </c>
      <c r="BN579" s="85" t="str">
        <f t="shared" si="1923"/>
        <v>-</v>
      </c>
      <c r="BO579" s="85" t="str">
        <f t="shared" si="1937"/>
        <v>-</v>
      </c>
      <c r="BP579" s="85" t="str">
        <f>'Consumer Hardware Pricing'!AT589</f>
        <v>-</v>
      </c>
      <c r="BQ579" s="85" t="str">
        <f t="shared" si="2048"/>
        <v>-</v>
      </c>
      <c r="BR579" s="85" t="str">
        <f>'Consumer Hardware Pricing'!AU589</f>
        <v>-</v>
      </c>
      <c r="BS579" s="85" t="str">
        <f t="shared" si="1924"/>
        <v>-</v>
      </c>
      <c r="BT579" s="85" t="str">
        <f t="shared" si="1925"/>
        <v>-</v>
      </c>
      <c r="BU579" s="85" t="str">
        <f t="shared" si="1938"/>
        <v>-</v>
      </c>
    </row>
    <row r="580" spans="1:73" ht="29.85" customHeight="1" x14ac:dyDescent="0.25">
      <c r="A580" s="132" t="s">
        <v>35</v>
      </c>
      <c r="B580" s="133" t="s">
        <v>910</v>
      </c>
      <c r="C580" s="133" t="s">
        <v>909</v>
      </c>
      <c r="D580" s="85">
        <f>'Consumer Hardware Pricing'!L590</f>
        <v>180</v>
      </c>
      <c r="E580" s="85">
        <f>'Consumer Hardware Pricing'!M590</f>
        <v>180</v>
      </c>
      <c r="F580" s="85" t="str">
        <f>'Consumer Hardware Pricing'!N590</f>
        <v>-</v>
      </c>
      <c r="G580" s="85" t="str">
        <f t="shared" si="1939"/>
        <v>-</v>
      </c>
      <c r="H580" s="85" t="str">
        <f>'Consumer Hardware Pricing'!O590</f>
        <v>-</v>
      </c>
      <c r="I580" s="85" t="str">
        <f t="shared" ref="I580" si="2509">IF(H580="-",G580,G580-H580)</f>
        <v>-</v>
      </c>
      <c r="J580" s="85" t="str">
        <f t="shared" ref="J580" si="2510">IF(H580="-",H580,H580*24)</f>
        <v>-</v>
      </c>
      <c r="K580" s="85" t="str">
        <f t="shared" ref="K580" si="2511">IF(F580="-",F580,I580*24)</f>
        <v>-</v>
      </c>
      <c r="L580" s="85" t="str">
        <f>'Consumer Hardware Pricing'!Q590</f>
        <v>-</v>
      </c>
      <c r="M580" s="85" t="str">
        <f t="shared" si="1940"/>
        <v>-</v>
      </c>
      <c r="N580" s="85" t="str">
        <f t="shared" ref="N580" si="2512">IF(L580="-",L580,G580-M580)</f>
        <v>-</v>
      </c>
      <c r="O580" s="85" t="str">
        <f t="shared" ref="O580" si="2513">IF(L580="-",L580,M580*24)</f>
        <v>-</v>
      </c>
      <c r="P580" s="85" t="str">
        <f t="shared" ref="P580" si="2514">IF(L580="-",L580,N580*24)</f>
        <v>-</v>
      </c>
      <c r="Q580" s="85" t="str">
        <f>'Consumer Hardware Pricing'!S590</f>
        <v>-</v>
      </c>
      <c r="R580" s="85" t="str">
        <f t="shared" ref="R580" si="2515">G580</f>
        <v>-</v>
      </c>
      <c r="S580" s="85" t="str">
        <f>'Consumer Hardware Pricing'!T590</f>
        <v>-</v>
      </c>
      <c r="T580" s="129" t="str">
        <f t="shared" ref="T580" si="2516">IF(S580="-",R580,R580-S580)</f>
        <v>-</v>
      </c>
      <c r="U580" s="129" t="str">
        <f t="shared" ref="U580" si="2517">IF(S580="-",S580,S580*24)</f>
        <v>-</v>
      </c>
      <c r="V580" s="85" t="str">
        <f t="shared" ref="V580" si="2518">IF(Q580="-",Q580,T580*24)</f>
        <v>-</v>
      </c>
      <c r="W580" s="129" t="str">
        <f>'Consumer Hardware Pricing'!V590</f>
        <v>-</v>
      </c>
      <c r="X580" s="129" t="str">
        <f t="shared" si="1941"/>
        <v>-</v>
      </c>
      <c r="Y580" s="129" t="str">
        <f t="shared" ref="Y580" si="2519">IF(W580="-",W580,R580-X580)</f>
        <v>-</v>
      </c>
      <c r="Z580" s="129" t="str">
        <f t="shared" ref="Z580" si="2520">IF(W580="-",W580,X580*24)</f>
        <v>-</v>
      </c>
      <c r="AA580" s="85" t="str">
        <f t="shared" ref="AA580" si="2521">IF(W580="-",W580,Y580*24)</f>
        <v>-</v>
      </c>
      <c r="AB580" s="85" t="str">
        <f>'Consumer Hardware Pricing'!X590</f>
        <v>-</v>
      </c>
      <c r="AC580" s="85" t="str">
        <f t="shared" si="2041"/>
        <v>-</v>
      </c>
      <c r="AD580" s="85" t="str">
        <f>'Consumer Hardware Pricing'!Y590</f>
        <v>-</v>
      </c>
      <c r="AE580" s="85" t="str">
        <f t="shared" si="1902"/>
        <v>-</v>
      </c>
      <c r="AF580" s="85" t="str">
        <f t="shared" si="1903"/>
        <v>-</v>
      </c>
      <c r="AG580" s="85" t="str">
        <f t="shared" si="1904"/>
        <v>-</v>
      </c>
      <c r="AH580" s="85" t="str">
        <f>'Consumer Hardware Pricing'!AA590</f>
        <v>-</v>
      </c>
      <c r="AI580" s="85" t="str">
        <f t="shared" si="2042"/>
        <v>-</v>
      </c>
      <c r="AJ580" s="85" t="str">
        <f t="shared" si="1905"/>
        <v>-</v>
      </c>
      <c r="AK580" s="85" t="str">
        <f t="shared" si="1906"/>
        <v>-</v>
      </c>
      <c r="AL580" s="85" t="str">
        <f t="shared" si="1907"/>
        <v>-</v>
      </c>
      <c r="AM580" s="85" t="str">
        <f>'Consumer Hardware Pricing'!AC590</f>
        <v>-</v>
      </c>
      <c r="AN580" s="85" t="str">
        <f t="shared" si="2043"/>
        <v>-</v>
      </c>
      <c r="AO580" s="85" t="str">
        <f>'Consumer Hardware Pricing'!AD590</f>
        <v>-</v>
      </c>
      <c r="AP580" s="85" t="str">
        <f t="shared" si="1908"/>
        <v>-</v>
      </c>
      <c r="AQ580" s="85" t="str">
        <f t="shared" si="1909"/>
        <v>-</v>
      </c>
      <c r="AR580" s="85" t="str">
        <f t="shared" si="1910"/>
        <v>-</v>
      </c>
      <c r="AS580" s="85" t="str">
        <f>'Consumer Hardware Pricing'!AF590</f>
        <v>-</v>
      </c>
      <c r="AT580" s="85" t="str">
        <f t="shared" si="2044"/>
        <v>-</v>
      </c>
      <c r="AU580" s="85" t="str">
        <f t="shared" si="1911"/>
        <v>-</v>
      </c>
      <c r="AV580" s="85" t="str">
        <f t="shared" si="1912"/>
        <v>-</v>
      </c>
      <c r="AW580" s="85" t="str">
        <f t="shared" si="1913"/>
        <v>-</v>
      </c>
      <c r="AX580" s="85" t="str">
        <f>'Consumer Hardware Pricing'!AH590</f>
        <v>-</v>
      </c>
      <c r="AY580" s="85" t="str">
        <f t="shared" si="2045"/>
        <v>-</v>
      </c>
      <c r="AZ580" s="85" t="str">
        <f>'Consumer Hardware Pricing'!AI590</f>
        <v>-</v>
      </c>
      <c r="BA580" s="85" t="str">
        <f t="shared" ref="BA580" si="2522">IF(AZ580="-",AY580,AY580-AZ580)</f>
        <v>-</v>
      </c>
      <c r="BB580" s="85" t="str">
        <f t="shared" ref="BB580" si="2523">IF(AZ580="-",AZ580,AZ580*24)</f>
        <v>-</v>
      </c>
      <c r="BC580" s="85" t="str">
        <f t="shared" ref="BC580" si="2524">IF(AX580="-",AX580,AX580+(BA580*24))</f>
        <v>-</v>
      </c>
      <c r="BD580" s="85">
        <f>'Consumer Hardware Pricing'!AL590</f>
        <v>0</v>
      </c>
      <c r="BE580" s="85">
        <f t="shared" si="2046"/>
        <v>7.5</v>
      </c>
      <c r="BF580" s="85">
        <f>'Consumer Hardware Pricing'!AM590</f>
        <v>7.5</v>
      </c>
      <c r="BG580" s="85">
        <f t="shared" ref="BG580" si="2525">IF(BF580="-",BE580,BE580-BF580)</f>
        <v>0</v>
      </c>
      <c r="BH580" s="85">
        <f t="shared" ref="BH580" si="2526">IF(BF580="-",BF580,BF580*24)</f>
        <v>180</v>
      </c>
      <c r="BI580" s="85">
        <f t="shared" ref="BI580" si="2527">IF(BD580="-",BD580,BD580+(BG580*24))</f>
        <v>0</v>
      </c>
      <c r="BJ580" s="85" t="str">
        <f>'Consumer Hardware Pricing'!AP590</f>
        <v>-</v>
      </c>
      <c r="BK580" s="85" t="str">
        <f t="shared" si="2047"/>
        <v>-</v>
      </c>
      <c r="BL580" s="85" t="str">
        <f>'Consumer Hardware Pricing'!AQ590</f>
        <v>-</v>
      </c>
      <c r="BM580" s="85" t="str">
        <f t="shared" ref="BM580" si="2528">IF(BL580="-",BK580,BK580-BL580)</f>
        <v>-</v>
      </c>
      <c r="BN580" s="85" t="str">
        <f t="shared" ref="BN580" si="2529">IF(BL580="-",BL580,BL580*24)</f>
        <v>-</v>
      </c>
      <c r="BO580" s="85" t="str">
        <f t="shared" ref="BO580" si="2530">IF(BJ580="-",BJ580,BJ580+(BM580*24))</f>
        <v>-</v>
      </c>
      <c r="BP580" s="85" t="str">
        <f>'Consumer Hardware Pricing'!AT590</f>
        <v>-</v>
      </c>
      <c r="BQ580" s="85" t="str">
        <f t="shared" si="2048"/>
        <v>-</v>
      </c>
      <c r="BR580" s="85" t="str">
        <f>'Consumer Hardware Pricing'!AU590</f>
        <v>-</v>
      </c>
      <c r="BS580" s="85" t="str">
        <f t="shared" ref="BS580" si="2531">IF(BR580="-",BQ580,BQ580-BR580)</f>
        <v>-</v>
      </c>
      <c r="BT580" s="85" t="str">
        <f t="shared" ref="BT580" si="2532">IF(BR580="-",BR580,BR580*24)</f>
        <v>-</v>
      </c>
      <c r="BU580" s="85" t="str">
        <f t="shared" ref="BU580" si="2533">IF(BP580="-",BP580,BP580+(BS580*24))</f>
        <v>-</v>
      </c>
    </row>
    <row r="581" spans="1:73" ht="29.85" customHeight="1" x14ac:dyDescent="0.25">
      <c r="A581" s="132" t="s">
        <v>35</v>
      </c>
      <c r="B581" s="133" t="s">
        <v>930</v>
      </c>
      <c r="C581" s="133" t="s">
        <v>931</v>
      </c>
      <c r="D581" s="85">
        <f>'Consumer Hardware Pricing'!L591</f>
        <v>180</v>
      </c>
      <c r="E581" s="85">
        <f>'Consumer Hardware Pricing'!M591</f>
        <v>180</v>
      </c>
      <c r="F581" s="85" t="str">
        <f>'Consumer Hardware Pricing'!N591</f>
        <v>-</v>
      </c>
      <c r="G581" s="85" t="str">
        <f t="shared" si="1939"/>
        <v>-</v>
      </c>
      <c r="H581" s="85" t="str">
        <f>'Consumer Hardware Pricing'!O591</f>
        <v>-</v>
      </c>
      <c r="I581" s="85" t="str">
        <f t="shared" ref="I581" si="2534">IF(H581="-",G581,G581-H581)</f>
        <v>-</v>
      </c>
      <c r="J581" s="85" t="str">
        <f t="shared" ref="J581" si="2535">IF(H581="-",H581,H581*24)</f>
        <v>-</v>
      </c>
      <c r="K581" s="85" t="str">
        <f t="shared" ref="K581" si="2536">IF(F581="-",F581,I581*24)</f>
        <v>-</v>
      </c>
      <c r="L581" s="85" t="str">
        <f>'Consumer Hardware Pricing'!Q591</f>
        <v>-</v>
      </c>
      <c r="M581" s="85" t="str">
        <f t="shared" si="1940"/>
        <v>-</v>
      </c>
      <c r="N581" s="85" t="str">
        <f t="shared" ref="N581" si="2537">IF(L581="-",L581,G581-M581)</f>
        <v>-</v>
      </c>
      <c r="O581" s="85" t="str">
        <f t="shared" ref="O581" si="2538">IF(L581="-",L581,M581*24)</f>
        <v>-</v>
      </c>
      <c r="P581" s="85" t="str">
        <f t="shared" ref="P581" si="2539">IF(L581="-",L581,N581*24)</f>
        <v>-</v>
      </c>
      <c r="Q581" s="85" t="str">
        <f>'Consumer Hardware Pricing'!S591</f>
        <v>-</v>
      </c>
      <c r="R581" s="85" t="str">
        <f t="shared" ref="R581" si="2540">G581</f>
        <v>-</v>
      </c>
      <c r="S581" s="85" t="str">
        <f>'Consumer Hardware Pricing'!T591</f>
        <v>-</v>
      </c>
      <c r="T581" s="129" t="str">
        <f t="shared" ref="T581" si="2541">IF(S581="-",R581,R581-S581)</f>
        <v>-</v>
      </c>
      <c r="U581" s="129" t="str">
        <f t="shared" ref="U581" si="2542">IF(S581="-",S581,S581*24)</f>
        <v>-</v>
      </c>
      <c r="V581" s="85" t="str">
        <f t="shared" ref="V581" si="2543">IF(Q581="-",Q581,T581*24)</f>
        <v>-</v>
      </c>
      <c r="W581" s="129" t="str">
        <f>'Consumer Hardware Pricing'!V591</f>
        <v>-</v>
      </c>
      <c r="X581" s="129" t="str">
        <f t="shared" si="1941"/>
        <v>-</v>
      </c>
      <c r="Y581" s="129" t="str">
        <f t="shared" ref="Y581" si="2544">IF(W581="-",W581,R581-X581)</f>
        <v>-</v>
      </c>
      <c r="Z581" s="129" t="str">
        <f t="shared" ref="Z581" si="2545">IF(W581="-",W581,X581*24)</f>
        <v>-</v>
      </c>
      <c r="AA581" s="85" t="str">
        <f t="shared" ref="AA581" si="2546">IF(W581="-",W581,Y581*24)</f>
        <v>-</v>
      </c>
      <c r="AB581" s="85" t="str">
        <f>'Consumer Hardware Pricing'!X591</f>
        <v>-</v>
      </c>
      <c r="AC581" s="85" t="str">
        <f t="shared" si="2041"/>
        <v>-</v>
      </c>
      <c r="AD581" s="85" t="str">
        <f>'Consumer Hardware Pricing'!Y591</f>
        <v>-</v>
      </c>
      <c r="AE581" s="85" t="str">
        <f t="shared" si="1902"/>
        <v>-</v>
      </c>
      <c r="AF581" s="85" t="str">
        <f t="shared" si="1903"/>
        <v>-</v>
      </c>
      <c r="AG581" s="85" t="str">
        <f t="shared" si="1904"/>
        <v>-</v>
      </c>
      <c r="AH581" s="85" t="str">
        <f>'Consumer Hardware Pricing'!AA591</f>
        <v>-</v>
      </c>
      <c r="AI581" s="85" t="str">
        <f t="shared" si="2042"/>
        <v>-</v>
      </c>
      <c r="AJ581" s="85" t="str">
        <f t="shared" si="1905"/>
        <v>-</v>
      </c>
      <c r="AK581" s="85" t="str">
        <f t="shared" si="1906"/>
        <v>-</v>
      </c>
      <c r="AL581" s="85" t="str">
        <f t="shared" si="1907"/>
        <v>-</v>
      </c>
      <c r="AM581" s="85" t="str">
        <f>'Consumer Hardware Pricing'!AC591</f>
        <v>-</v>
      </c>
      <c r="AN581" s="85" t="str">
        <f t="shared" si="2043"/>
        <v>-</v>
      </c>
      <c r="AO581" s="85" t="str">
        <f>'Consumer Hardware Pricing'!AD591</f>
        <v>-</v>
      </c>
      <c r="AP581" s="85" t="str">
        <f t="shared" si="1908"/>
        <v>-</v>
      </c>
      <c r="AQ581" s="85" t="str">
        <f t="shared" si="1909"/>
        <v>-</v>
      </c>
      <c r="AR581" s="85" t="str">
        <f t="shared" si="1910"/>
        <v>-</v>
      </c>
      <c r="AS581" s="85" t="str">
        <f>'Consumer Hardware Pricing'!AF591</f>
        <v>-</v>
      </c>
      <c r="AT581" s="85" t="str">
        <f t="shared" si="2044"/>
        <v>-</v>
      </c>
      <c r="AU581" s="85" t="str">
        <f t="shared" si="1911"/>
        <v>-</v>
      </c>
      <c r="AV581" s="85" t="str">
        <f t="shared" si="1912"/>
        <v>-</v>
      </c>
      <c r="AW581" s="85" t="str">
        <f t="shared" si="1913"/>
        <v>-</v>
      </c>
      <c r="AX581" s="85" t="str">
        <f>'Consumer Hardware Pricing'!AH591</f>
        <v>-</v>
      </c>
      <c r="AY581" s="85" t="str">
        <f t="shared" si="2045"/>
        <v>-</v>
      </c>
      <c r="AZ581" s="85" t="str">
        <f>'Consumer Hardware Pricing'!AI591</f>
        <v>-</v>
      </c>
      <c r="BA581" s="85" t="str">
        <f t="shared" ref="BA581" si="2547">IF(AZ581="-",AY581,AY581-AZ581)</f>
        <v>-</v>
      </c>
      <c r="BB581" s="85" t="str">
        <f t="shared" ref="BB581" si="2548">IF(AZ581="-",AZ581,AZ581*24)</f>
        <v>-</v>
      </c>
      <c r="BC581" s="85" t="str">
        <f t="shared" ref="BC581" si="2549">IF(AX581="-",AX581,AX581+(BA581*24))</f>
        <v>-</v>
      </c>
      <c r="BD581" s="85">
        <f>'Consumer Hardware Pricing'!AL591</f>
        <v>0</v>
      </c>
      <c r="BE581" s="85">
        <f t="shared" si="2046"/>
        <v>7.5</v>
      </c>
      <c r="BF581" s="85">
        <f>'Consumer Hardware Pricing'!AM591</f>
        <v>7.5</v>
      </c>
      <c r="BG581" s="85">
        <f t="shared" ref="BG581" si="2550">IF(BF581="-",BE581,BE581-BF581)</f>
        <v>0</v>
      </c>
      <c r="BH581" s="85">
        <f t="shared" ref="BH581" si="2551">IF(BF581="-",BF581,BF581*24)</f>
        <v>180</v>
      </c>
      <c r="BI581" s="85">
        <f t="shared" ref="BI581" si="2552">IF(BD581="-",BD581,BD581+(BG581*24))</f>
        <v>0</v>
      </c>
      <c r="BJ581" s="85" t="str">
        <f>'Consumer Hardware Pricing'!AP591</f>
        <v>-</v>
      </c>
      <c r="BK581" s="85" t="str">
        <f t="shared" si="2047"/>
        <v>-</v>
      </c>
      <c r="BL581" s="85" t="str">
        <f>'Consumer Hardware Pricing'!AQ591</f>
        <v>-</v>
      </c>
      <c r="BM581" s="85" t="str">
        <f t="shared" ref="BM581" si="2553">IF(BL581="-",BK581,BK581-BL581)</f>
        <v>-</v>
      </c>
      <c r="BN581" s="85" t="str">
        <f t="shared" ref="BN581" si="2554">IF(BL581="-",BL581,BL581*24)</f>
        <v>-</v>
      </c>
      <c r="BO581" s="85" t="str">
        <f t="shared" ref="BO581" si="2555">IF(BJ581="-",BJ581,BJ581+(BM581*24))</f>
        <v>-</v>
      </c>
      <c r="BP581" s="85" t="str">
        <f>'Consumer Hardware Pricing'!AT591</f>
        <v>-</v>
      </c>
      <c r="BQ581" s="85" t="str">
        <f t="shared" si="2048"/>
        <v>-</v>
      </c>
      <c r="BR581" s="85" t="str">
        <f>'Consumer Hardware Pricing'!AU591</f>
        <v>-</v>
      </c>
      <c r="BS581" s="85" t="str">
        <f t="shared" ref="BS581" si="2556">IF(BR581="-",BQ581,BQ581-BR581)</f>
        <v>-</v>
      </c>
      <c r="BT581" s="85" t="str">
        <f t="shared" ref="BT581" si="2557">IF(BR581="-",BR581,BR581*24)</f>
        <v>-</v>
      </c>
      <c r="BU581" s="85" t="str">
        <f t="shared" ref="BU581" si="2558">IF(BP581="-",BP581,BP581+(BS581*24))</f>
        <v>-</v>
      </c>
    </row>
    <row r="582" spans="1:73" ht="29.85" customHeight="1" x14ac:dyDescent="0.25">
      <c r="A582" s="86" t="s">
        <v>35</v>
      </c>
      <c r="B582" s="88" t="s">
        <v>106</v>
      </c>
      <c r="C582" s="88" t="s">
        <v>107</v>
      </c>
      <c r="D582" s="85">
        <f>'Consumer Hardware Pricing'!L592</f>
        <v>239.99</v>
      </c>
      <c r="E582" s="85">
        <f>'Consumer Hardware Pricing'!M592</f>
        <v>239.99</v>
      </c>
      <c r="F582" s="85" t="str">
        <f>'Consumer Hardware Pricing'!N592</f>
        <v>-</v>
      </c>
      <c r="G582" s="85" t="str">
        <f t="shared" si="1939"/>
        <v>-</v>
      </c>
      <c r="H582" s="85" t="str">
        <f>'Consumer Hardware Pricing'!O592</f>
        <v>-</v>
      </c>
      <c r="I582" s="85" t="str">
        <f t="shared" si="1914"/>
        <v>-</v>
      </c>
      <c r="J582" s="85" t="str">
        <f t="shared" si="1926"/>
        <v>-</v>
      </c>
      <c r="K582" s="85" t="str">
        <f t="shared" si="1927"/>
        <v>-</v>
      </c>
      <c r="L582" s="85" t="str">
        <f>'Consumer Hardware Pricing'!Q592</f>
        <v>-</v>
      </c>
      <c r="M582" s="85" t="str">
        <f t="shared" si="1940"/>
        <v>-</v>
      </c>
      <c r="N582" s="85" t="str">
        <f t="shared" si="1915"/>
        <v>-</v>
      </c>
      <c r="O582" s="85" t="str">
        <f t="shared" si="1916"/>
        <v>-</v>
      </c>
      <c r="P582" s="85" t="str">
        <f t="shared" si="1928"/>
        <v>-</v>
      </c>
      <c r="Q582" s="85" t="str">
        <f>'Consumer Hardware Pricing'!S592</f>
        <v>-</v>
      </c>
      <c r="R582" s="85" t="str">
        <f t="shared" si="1917"/>
        <v>-</v>
      </c>
      <c r="S582" s="85" t="str">
        <f>'Consumer Hardware Pricing'!T592</f>
        <v>-</v>
      </c>
      <c r="T582" s="129" t="str">
        <f t="shared" si="1929"/>
        <v>-</v>
      </c>
      <c r="U582" s="129" t="str">
        <f t="shared" si="1930"/>
        <v>-</v>
      </c>
      <c r="V582" s="85" t="str">
        <f t="shared" si="1931"/>
        <v>-</v>
      </c>
      <c r="W582" s="129" t="str">
        <f>'Consumer Hardware Pricing'!V592</f>
        <v>-</v>
      </c>
      <c r="X582" s="129" t="str">
        <f t="shared" si="1941"/>
        <v>-</v>
      </c>
      <c r="Y582" s="129" t="str">
        <f t="shared" si="1932"/>
        <v>-</v>
      </c>
      <c r="Z582" s="129" t="str">
        <f t="shared" si="1933"/>
        <v>-</v>
      </c>
      <c r="AA582" s="85" t="str">
        <f t="shared" si="1934"/>
        <v>-</v>
      </c>
      <c r="AB582" s="85" t="str">
        <f>'Consumer Hardware Pricing'!X592</f>
        <v>-</v>
      </c>
      <c r="AC582" s="85" t="str">
        <f t="shared" si="2041"/>
        <v>-</v>
      </c>
      <c r="AD582" s="85" t="str">
        <f>'Consumer Hardware Pricing'!Y592</f>
        <v>-</v>
      </c>
      <c r="AE582" s="85" t="str">
        <f t="shared" si="1902"/>
        <v>-</v>
      </c>
      <c r="AF582" s="85" t="str">
        <f t="shared" si="1903"/>
        <v>-</v>
      </c>
      <c r="AG582" s="85" t="str">
        <f t="shared" si="1904"/>
        <v>-</v>
      </c>
      <c r="AH582" s="85" t="str">
        <f>'Consumer Hardware Pricing'!AA592</f>
        <v>-</v>
      </c>
      <c r="AI582" s="85" t="str">
        <f t="shared" si="2042"/>
        <v>-</v>
      </c>
      <c r="AJ582" s="85" t="str">
        <f t="shared" si="1905"/>
        <v>-</v>
      </c>
      <c r="AK582" s="85" t="str">
        <f t="shared" si="1906"/>
        <v>-</v>
      </c>
      <c r="AL582" s="85" t="str">
        <f t="shared" si="1907"/>
        <v>-</v>
      </c>
      <c r="AM582" s="85" t="str">
        <f>'Consumer Hardware Pricing'!AC592</f>
        <v>-</v>
      </c>
      <c r="AN582" s="85" t="str">
        <f t="shared" si="2043"/>
        <v>-</v>
      </c>
      <c r="AO582" s="85" t="str">
        <f>'Consumer Hardware Pricing'!AD592</f>
        <v>-</v>
      </c>
      <c r="AP582" s="85" t="str">
        <f t="shared" si="1908"/>
        <v>-</v>
      </c>
      <c r="AQ582" s="85" t="str">
        <f t="shared" si="1909"/>
        <v>-</v>
      </c>
      <c r="AR582" s="85" t="str">
        <f t="shared" si="1910"/>
        <v>-</v>
      </c>
      <c r="AS582" s="85" t="str">
        <f>'Consumer Hardware Pricing'!AF592</f>
        <v>-</v>
      </c>
      <c r="AT582" s="85" t="str">
        <f t="shared" si="2044"/>
        <v>-</v>
      </c>
      <c r="AU582" s="85" t="str">
        <f t="shared" si="1911"/>
        <v>-</v>
      </c>
      <c r="AV582" s="85" t="str">
        <f t="shared" si="1912"/>
        <v>-</v>
      </c>
      <c r="AW582" s="85" t="str">
        <f t="shared" si="1913"/>
        <v>-</v>
      </c>
      <c r="AX582" s="85" t="str">
        <f>'Consumer Hardware Pricing'!AH592</f>
        <v>-</v>
      </c>
      <c r="AY582" s="85" t="str">
        <f t="shared" si="2045"/>
        <v>-</v>
      </c>
      <c r="AZ582" s="85" t="str">
        <f>'Consumer Hardware Pricing'!AI592</f>
        <v>-</v>
      </c>
      <c r="BA582" s="85" t="str">
        <f t="shared" si="1918"/>
        <v>-</v>
      </c>
      <c r="BB582" s="85" t="str">
        <f t="shared" si="1919"/>
        <v>-</v>
      </c>
      <c r="BC582" s="85" t="str">
        <f t="shared" si="1935"/>
        <v>-</v>
      </c>
      <c r="BD582" s="85">
        <f>'Consumer Hardware Pricing'!AL592</f>
        <v>0</v>
      </c>
      <c r="BE582" s="85">
        <f t="shared" si="2046"/>
        <v>10</v>
      </c>
      <c r="BF582" s="85" t="str">
        <f>'Consumer Hardware Pricing'!AM592</f>
        <v>-</v>
      </c>
      <c r="BG582" s="85">
        <f t="shared" si="1920"/>
        <v>10</v>
      </c>
      <c r="BH582" s="85" t="str">
        <f t="shared" si="1921"/>
        <v>-</v>
      </c>
      <c r="BI582" s="85">
        <f t="shared" si="1936"/>
        <v>240</v>
      </c>
      <c r="BJ582" s="85" t="str">
        <f>'Consumer Hardware Pricing'!AP592</f>
        <v>-</v>
      </c>
      <c r="BK582" s="85" t="str">
        <f t="shared" si="2047"/>
        <v>-</v>
      </c>
      <c r="BL582" s="85" t="str">
        <f>'Consumer Hardware Pricing'!AQ592</f>
        <v>-</v>
      </c>
      <c r="BM582" s="85" t="str">
        <f t="shared" si="1922"/>
        <v>-</v>
      </c>
      <c r="BN582" s="85" t="str">
        <f t="shared" si="1923"/>
        <v>-</v>
      </c>
      <c r="BO582" s="85" t="str">
        <f t="shared" si="1937"/>
        <v>-</v>
      </c>
      <c r="BP582" s="85" t="str">
        <f>'Consumer Hardware Pricing'!AT592</f>
        <v>-</v>
      </c>
      <c r="BQ582" s="85" t="str">
        <f t="shared" si="2048"/>
        <v>-</v>
      </c>
      <c r="BR582" s="85" t="str">
        <f>'Consumer Hardware Pricing'!AU592</f>
        <v>-</v>
      </c>
      <c r="BS582" s="85" t="str">
        <f t="shared" si="1924"/>
        <v>-</v>
      </c>
      <c r="BT582" s="85" t="str">
        <f t="shared" si="1925"/>
        <v>-</v>
      </c>
      <c r="BU582" s="85" t="str">
        <f t="shared" si="1938"/>
        <v>-</v>
      </c>
    </row>
    <row r="583" spans="1:73" ht="29.85" customHeight="1" x14ac:dyDescent="0.25">
      <c r="A583" s="86" t="s">
        <v>35</v>
      </c>
      <c r="B583" s="88" t="s">
        <v>542</v>
      </c>
      <c r="C583" s="88" t="s">
        <v>543</v>
      </c>
      <c r="D583" s="85">
        <f>'Consumer Hardware Pricing'!L593</f>
        <v>259</v>
      </c>
      <c r="E583" s="85">
        <f>'Consumer Hardware Pricing'!M593</f>
        <v>259</v>
      </c>
      <c r="F583" s="85" t="str">
        <f>'Consumer Hardware Pricing'!N593</f>
        <v>-</v>
      </c>
      <c r="G583" s="85" t="str">
        <f t="shared" si="1939"/>
        <v>-</v>
      </c>
      <c r="H583" s="85" t="str">
        <f>'Consumer Hardware Pricing'!O593</f>
        <v>-</v>
      </c>
      <c r="I583" s="85" t="str">
        <f t="shared" si="1914"/>
        <v>-</v>
      </c>
      <c r="J583" s="85" t="str">
        <f t="shared" si="1926"/>
        <v>-</v>
      </c>
      <c r="K583" s="85" t="str">
        <f t="shared" si="1927"/>
        <v>-</v>
      </c>
      <c r="L583" s="85" t="str">
        <f>'Consumer Hardware Pricing'!Q593</f>
        <v>-</v>
      </c>
      <c r="M583" s="85" t="str">
        <f t="shared" si="1940"/>
        <v>-</v>
      </c>
      <c r="N583" s="85" t="str">
        <f t="shared" si="1915"/>
        <v>-</v>
      </c>
      <c r="O583" s="85" t="str">
        <f t="shared" si="1916"/>
        <v>-</v>
      </c>
      <c r="P583" s="85" t="str">
        <f t="shared" si="1928"/>
        <v>-</v>
      </c>
      <c r="Q583" s="85" t="str">
        <f>'Consumer Hardware Pricing'!S593</f>
        <v>-</v>
      </c>
      <c r="R583" s="85" t="str">
        <f t="shared" si="1917"/>
        <v>-</v>
      </c>
      <c r="S583" s="85" t="str">
        <f>'Consumer Hardware Pricing'!T593</f>
        <v>-</v>
      </c>
      <c r="T583" s="129" t="str">
        <f t="shared" si="1929"/>
        <v>-</v>
      </c>
      <c r="U583" s="129" t="str">
        <f t="shared" si="1930"/>
        <v>-</v>
      </c>
      <c r="V583" s="85" t="str">
        <f t="shared" si="1931"/>
        <v>-</v>
      </c>
      <c r="W583" s="129" t="str">
        <f>'Consumer Hardware Pricing'!V593</f>
        <v>-</v>
      </c>
      <c r="X583" s="129" t="str">
        <f t="shared" si="1941"/>
        <v>-</v>
      </c>
      <c r="Y583" s="129" t="str">
        <f t="shared" si="1932"/>
        <v>-</v>
      </c>
      <c r="Z583" s="129" t="str">
        <f t="shared" si="1933"/>
        <v>-</v>
      </c>
      <c r="AA583" s="85" t="str">
        <f t="shared" si="1934"/>
        <v>-</v>
      </c>
      <c r="AB583" s="85" t="str">
        <f>'Consumer Hardware Pricing'!X593</f>
        <v>-</v>
      </c>
      <c r="AC583" s="85" t="str">
        <f t="shared" si="2041"/>
        <v>-</v>
      </c>
      <c r="AD583" s="85" t="str">
        <f>'Consumer Hardware Pricing'!Y593</f>
        <v>-</v>
      </c>
      <c r="AE583" s="85" t="str">
        <f t="shared" si="1902"/>
        <v>-</v>
      </c>
      <c r="AF583" s="85" t="str">
        <f t="shared" si="1903"/>
        <v>-</v>
      </c>
      <c r="AG583" s="85" t="str">
        <f t="shared" si="1904"/>
        <v>-</v>
      </c>
      <c r="AH583" s="85" t="str">
        <f>'Consumer Hardware Pricing'!AA593</f>
        <v>-</v>
      </c>
      <c r="AI583" s="85" t="str">
        <f t="shared" si="2042"/>
        <v>-</v>
      </c>
      <c r="AJ583" s="85" t="str">
        <f t="shared" si="1905"/>
        <v>-</v>
      </c>
      <c r="AK583" s="85" t="str">
        <f t="shared" si="1906"/>
        <v>-</v>
      </c>
      <c r="AL583" s="85" t="str">
        <f t="shared" si="1907"/>
        <v>-</v>
      </c>
      <c r="AM583" s="85" t="str">
        <f>'Consumer Hardware Pricing'!AC593</f>
        <v>-</v>
      </c>
      <c r="AN583" s="85" t="str">
        <f t="shared" si="2043"/>
        <v>-</v>
      </c>
      <c r="AO583" s="85" t="str">
        <f>'Consumer Hardware Pricing'!AD593</f>
        <v>-</v>
      </c>
      <c r="AP583" s="85" t="str">
        <f t="shared" si="1908"/>
        <v>-</v>
      </c>
      <c r="AQ583" s="85" t="str">
        <f t="shared" si="1909"/>
        <v>-</v>
      </c>
      <c r="AR583" s="85" t="str">
        <f t="shared" si="1910"/>
        <v>-</v>
      </c>
      <c r="AS583" s="85" t="str">
        <f>'Consumer Hardware Pricing'!AF593</f>
        <v>-</v>
      </c>
      <c r="AT583" s="85" t="str">
        <f t="shared" si="2044"/>
        <v>-</v>
      </c>
      <c r="AU583" s="85" t="str">
        <f t="shared" si="1911"/>
        <v>-</v>
      </c>
      <c r="AV583" s="85" t="str">
        <f t="shared" si="1912"/>
        <v>-</v>
      </c>
      <c r="AW583" s="85" t="str">
        <f t="shared" si="1913"/>
        <v>-</v>
      </c>
      <c r="AX583" s="85" t="str">
        <f>'Consumer Hardware Pricing'!AH593</f>
        <v>-</v>
      </c>
      <c r="AY583" s="85" t="str">
        <f t="shared" si="2045"/>
        <v>-</v>
      </c>
      <c r="AZ583" s="85" t="str">
        <f>'Consumer Hardware Pricing'!AI593</f>
        <v>-</v>
      </c>
      <c r="BA583" s="85" t="str">
        <f t="shared" si="1918"/>
        <v>-</v>
      </c>
      <c r="BB583" s="85" t="str">
        <f t="shared" si="1919"/>
        <v>-</v>
      </c>
      <c r="BC583" s="85" t="str">
        <f t="shared" si="1935"/>
        <v>-</v>
      </c>
      <c r="BD583" s="85">
        <f>'Consumer Hardware Pricing'!AL593</f>
        <v>0</v>
      </c>
      <c r="BE583" s="85">
        <f t="shared" si="2046"/>
        <v>10.799999999999999</v>
      </c>
      <c r="BF583" s="85" t="str">
        <f>'Consumer Hardware Pricing'!AM593</f>
        <v>-</v>
      </c>
      <c r="BG583" s="85">
        <f t="shared" si="1920"/>
        <v>10.799999999999999</v>
      </c>
      <c r="BH583" s="85" t="str">
        <f t="shared" si="1921"/>
        <v>-</v>
      </c>
      <c r="BI583" s="85">
        <f t="shared" si="1936"/>
        <v>259.2</v>
      </c>
      <c r="BJ583" s="85" t="str">
        <f>'Consumer Hardware Pricing'!AP593</f>
        <v>-</v>
      </c>
      <c r="BK583" s="85" t="str">
        <f t="shared" si="2047"/>
        <v>-</v>
      </c>
      <c r="BL583" s="85" t="str">
        <f>'Consumer Hardware Pricing'!AQ593</f>
        <v>-</v>
      </c>
      <c r="BM583" s="85" t="str">
        <f t="shared" si="1922"/>
        <v>-</v>
      </c>
      <c r="BN583" s="85" t="str">
        <f t="shared" si="1923"/>
        <v>-</v>
      </c>
      <c r="BO583" s="85" t="str">
        <f t="shared" si="1937"/>
        <v>-</v>
      </c>
      <c r="BP583" s="85" t="str">
        <f>'Consumer Hardware Pricing'!AT593</f>
        <v>-</v>
      </c>
      <c r="BQ583" s="85" t="str">
        <f t="shared" si="2048"/>
        <v>-</v>
      </c>
      <c r="BR583" s="85" t="str">
        <f>'Consumer Hardware Pricing'!AU593</f>
        <v>-</v>
      </c>
      <c r="BS583" s="85" t="str">
        <f t="shared" si="1924"/>
        <v>-</v>
      </c>
      <c r="BT583" s="85" t="str">
        <f t="shared" si="1925"/>
        <v>-</v>
      </c>
      <c r="BU583" s="85" t="str">
        <f t="shared" si="1938"/>
        <v>-</v>
      </c>
    </row>
    <row r="584" spans="1:73" ht="29.85" customHeight="1" x14ac:dyDescent="0.25">
      <c r="A584" s="86" t="s">
        <v>35</v>
      </c>
      <c r="B584" s="133" t="s">
        <v>108</v>
      </c>
      <c r="C584" s="88" t="s">
        <v>109</v>
      </c>
      <c r="D584" s="85">
        <f>'Consumer Hardware Pricing'!L594</f>
        <v>199.99</v>
      </c>
      <c r="E584" s="85">
        <f>'Consumer Hardware Pricing'!M594</f>
        <v>199.99</v>
      </c>
      <c r="F584" s="85" t="str">
        <f>'Consumer Hardware Pricing'!N594</f>
        <v>-</v>
      </c>
      <c r="G584" s="85" t="str">
        <f t="shared" si="1939"/>
        <v>-</v>
      </c>
      <c r="H584" s="85" t="str">
        <f>'Consumer Hardware Pricing'!O594</f>
        <v>-</v>
      </c>
      <c r="I584" s="85" t="str">
        <f t="shared" si="1914"/>
        <v>-</v>
      </c>
      <c r="J584" s="85" t="str">
        <f t="shared" si="1926"/>
        <v>-</v>
      </c>
      <c r="K584" s="85" t="str">
        <f t="shared" si="1927"/>
        <v>-</v>
      </c>
      <c r="L584" s="85" t="str">
        <f>'Consumer Hardware Pricing'!Q594</f>
        <v>-</v>
      </c>
      <c r="M584" s="85" t="str">
        <f t="shared" si="1940"/>
        <v>-</v>
      </c>
      <c r="N584" s="85" t="str">
        <f t="shared" si="1915"/>
        <v>-</v>
      </c>
      <c r="O584" s="85" t="str">
        <f t="shared" si="1916"/>
        <v>-</v>
      </c>
      <c r="P584" s="85" t="str">
        <f t="shared" si="1928"/>
        <v>-</v>
      </c>
      <c r="Q584" s="85" t="str">
        <f>'Consumer Hardware Pricing'!S594</f>
        <v>-</v>
      </c>
      <c r="R584" s="85" t="str">
        <f t="shared" si="1917"/>
        <v>-</v>
      </c>
      <c r="S584" s="85" t="str">
        <f>'Consumer Hardware Pricing'!T594</f>
        <v>-</v>
      </c>
      <c r="T584" s="129" t="str">
        <f t="shared" si="1929"/>
        <v>-</v>
      </c>
      <c r="U584" s="129" t="str">
        <f t="shared" si="1930"/>
        <v>-</v>
      </c>
      <c r="V584" s="85" t="str">
        <f t="shared" si="1931"/>
        <v>-</v>
      </c>
      <c r="W584" s="129" t="str">
        <f>'Consumer Hardware Pricing'!V594</f>
        <v>-</v>
      </c>
      <c r="X584" s="129" t="str">
        <f t="shared" si="1941"/>
        <v>-</v>
      </c>
      <c r="Y584" s="129" t="str">
        <f t="shared" si="1932"/>
        <v>-</v>
      </c>
      <c r="Z584" s="129" t="str">
        <f t="shared" si="1933"/>
        <v>-</v>
      </c>
      <c r="AA584" s="85" t="str">
        <f t="shared" si="1934"/>
        <v>-</v>
      </c>
      <c r="AB584" s="85" t="str">
        <f>'Consumer Hardware Pricing'!X594</f>
        <v>-</v>
      </c>
      <c r="AC584" s="85" t="str">
        <f t="shared" si="2041"/>
        <v>-</v>
      </c>
      <c r="AD584" s="85" t="str">
        <f>'Consumer Hardware Pricing'!Y594</f>
        <v>-</v>
      </c>
      <c r="AE584" s="85" t="str">
        <f t="shared" si="1902"/>
        <v>-</v>
      </c>
      <c r="AF584" s="85" t="str">
        <f t="shared" si="1903"/>
        <v>-</v>
      </c>
      <c r="AG584" s="85" t="str">
        <f t="shared" si="1904"/>
        <v>-</v>
      </c>
      <c r="AH584" s="85" t="str">
        <f>'Consumer Hardware Pricing'!AA594</f>
        <v>-</v>
      </c>
      <c r="AI584" s="85" t="str">
        <f t="shared" si="2042"/>
        <v>-</v>
      </c>
      <c r="AJ584" s="85" t="str">
        <f t="shared" si="1905"/>
        <v>-</v>
      </c>
      <c r="AK584" s="85" t="str">
        <f t="shared" si="1906"/>
        <v>-</v>
      </c>
      <c r="AL584" s="85" t="str">
        <f t="shared" si="1907"/>
        <v>-</v>
      </c>
      <c r="AM584" s="85" t="str">
        <f>'Consumer Hardware Pricing'!AC594</f>
        <v>-</v>
      </c>
      <c r="AN584" s="85" t="str">
        <f t="shared" si="2043"/>
        <v>-</v>
      </c>
      <c r="AO584" s="85" t="str">
        <f>'Consumer Hardware Pricing'!AD594</f>
        <v>-</v>
      </c>
      <c r="AP584" s="85" t="str">
        <f t="shared" si="1908"/>
        <v>-</v>
      </c>
      <c r="AQ584" s="85" t="str">
        <f t="shared" si="1909"/>
        <v>-</v>
      </c>
      <c r="AR584" s="85" t="str">
        <f t="shared" si="1910"/>
        <v>-</v>
      </c>
      <c r="AS584" s="85" t="str">
        <f>'Consumer Hardware Pricing'!AF594</f>
        <v>-</v>
      </c>
      <c r="AT584" s="85" t="str">
        <f t="shared" si="2044"/>
        <v>-</v>
      </c>
      <c r="AU584" s="85" t="str">
        <f t="shared" si="1911"/>
        <v>-</v>
      </c>
      <c r="AV584" s="85" t="str">
        <f t="shared" si="1912"/>
        <v>-</v>
      </c>
      <c r="AW584" s="85" t="str">
        <f t="shared" si="1913"/>
        <v>-</v>
      </c>
      <c r="AX584" s="85" t="str">
        <f>'Consumer Hardware Pricing'!AH594</f>
        <v>-</v>
      </c>
      <c r="AY584" s="85" t="str">
        <f t="shared" si="2045"/>
        <v>-</v>
      </c>
      <c r="AZ584" s="85" t="str">
        <f>'Consumer Hardware Pricing'!AI594</f>
        <v>-</v>
      </c>
      <c r="BA584" s="85" t="str">
        <f t="shared" si="1918"/>
        <v>-</v>
      </c>
      <c r="BB584" s="85" t="str">
        <f t="shared" si="1919"/>
        <v>-</v>
      </c>
      <c r="BC584" s="85" t="str">
        <f t="shared" si="1935"/>
        <v>-</v>
      </c>
      <c r="BD584" s="85">
        <f>'Consumer Hardware Pricing'!AL594</f>
        <v>0</v>
      </c>
      <c r="BE584" s="85">
        <f t="shared" si="2046"/>
        <v>8.34</v>
      </c>
      <c r="BF584" s="85" t="str">
        <f>'Consumer Hardware Pricing'!AM594</f>
        <v>-</v>
      </c>
      <c r="BG584" s="85">
        <f t="shared" si="1920"/>
        <v>8.34</v>
      </c>
      <c r="BH584" s="85" t="str">
        <f t="shared" si="1921"/>
        <v>-</v>
      </c>
      <c r="BI584" s="85">
        <f t="shared" si="1936"/>
        <v>200.16</v>
      </c>
      <c r="BJ584" s="85" t="str">
        <f>'Consumer Hardware Pricing'!AP594</f>
        <v>-</v>
      </c>
      <c r="BK584" s="85" t="str">
        <f t="shared" si="2047"/>
        <v>-</v>
      </c>
      <c r="BL584" s="85" t="str">
        <f>'Consumer Hardware Pricing'!AQ594</f>
        <v>-</v>
      </c>
      <c r="BM584" s="85" t="str">
        <f t="shared" si="1922"/>
        <v>-</v>
      </c>
      <c r="BN584" s="85" t="str">
        <f t="shared" si="1923"/>
        <v>-</v>
      </c>
      <c r="BO584" s="85" t="str">
        <f t="shared" si="1937"/>
        <v>-</v>
      </c>
      <c r="BP584" s="85" t="str">
        <f>'Consumer Hardware Pricing'!AT594</f>
        <v>-</v>
      </c>
      <c r="BQ584" s="85" t="str">
        <f t="shared" si="2048"/>
        <v>-</v>
      </c>
      <c r="BR584" s="85" t="str">
        <f>'Consumer Hardware Pricing'!AU594</f>
        <v>-</v>
      </c>
      <c r="BS584" s="85" t="str">
        <f t="shared" si="1924"/>
        <v>-</v>
      </c>
      <c r="BT584" s="85" t="str">
        <f t="shared" si="1925"/>
        <v>-</v>
      </c>
      <c r="BU584" s="85" t="str">
        <f t="shared" si="1938"/>
        <v>-</v>
      </c>
    </row>
    <row r="585" spans="1:73" ht="29.85" customHeight="1" x14ac:dyDescent="0.25">
      <c r="A585" s="86" t="s">
        <v>35</v>
      </c>
      <c r="B585" s="88" t="s">
        <v>141</v>
      </c>
      <c r="C585" s="88" t="s">
        <v>142</v>
      </c>
      <c r="D585" s="85">
        <f>'Consumer Hardware Pricing'!L595</f>
        <v>650</v>
      </c>
      <c r="E585" s="85">
        <f>'Consumer Hardware Pricing'!M595</f>
        <v>650</v>
      </c>
      <c r="F585" s="85" t="str">
        <f>'Consumer Hardware Pricing'!N595</f>
        <v>-</v>
      </c>
      <c r="G585" s="85" t="str">
        <f t="shared" si="1939"/>
        <v>-</v>
      </c>
      <c r="H585" s="85" t="str">
        <f>'Consumer Hardware Pricing'!O595</f>
        <v>-</v>
      </c>
      <c r="I585" s="85" t="str">
        <f t="shared" si="1914"/>
        <v>-</v>
      </c>
      <c r="J585" s="85" t="str">
        <f t="shared" si="1926"/>
        <v>-</v>
      </c>
      <c r="K585" s="85" t="str">
        <f t="shared" si="1927"/>
        <v>-</v>
      </c>
      <c r="L585" s="85" t="str">
        <f>'Consumer Hardware Pricing'!Q595</f>
        <v>-</v>
      </c>
      <c r="M585" s="85" t="str">
        <f t="shared" si="1940"/>
        <v>-</v>
      </c>
      <c r="N585" s="85" t="str">
        <f t="shared" si="1915"/>
        <v>-</v>
      </c>
      <c r="O585" s="85" t="str">
        <f t="shared" si="1916"/>
        <v>-</v>
      </c>
      <c r="P585" s="85" t="str">
        <f t="shared" si="1928"/>
        <v>-</v>
      </c>
      <c r="Q585" s="85" t="str">
        <f>'Consumer Hardware Pricing'!S595</f>
        <v>-</v>
      </c>
      <c r="R585" s="85" t="str">
        <f t="shared" si="1917"/>
        <v>-</v>
      </c>
      <c r="S585" s="85" t="str">
        <f>'Consumer Hardware Pricing'!T595</f>
        <v>-</v>
      </c>
      <c r="T585" s="129" t="str">
        <f t="shared" si="1929"/>
        <v>-</v>
      </c>
      <c r="U585" s="129" t="str">
        <f t="shared" si="1930"/>
        <v>-</v>
      </c>
      <c r="V585" s="85" t="str">
        <f t="shared" si="1931"/>
        <v>-</v>
      </c>
      <c r="W585" s="129" t="str">
        <f>'Consumer Hardware Pricing'!V595</f>
        <v>-</v>
      </c>
      <c r="X585" s="129" t="str">
        <f t="shared" si="1941"/>
        <v>-</v>
      </c>
      <c r="Y585" s="129" t="str">
        <f t="shared" si="1932"/>
        <v>-</v>
      </c>
      <c r="Z585" s="129" t="str">
        <f t="shared" si="1933"/>
        <v>-</v>
      </c>
      <c r="AA585" s="85" t="str">
        <f t="shared" si="1934"/>
        <v>-</v>
      </c>
      <c r="AB585" s="85" t="str">
        <f>'Consumer Hardware Pricing'!X595</f>
        <v>-</v>
      </c>
      <c r="AC585" s="85" t="str">
        <f t="shared" si="2041"/>
        <v>-</v>
      </c>
      <c r="AD585" s="85" t="str">
        <f>'Consumer Hardware Pricing'!Y595</f>
        <v>-</v>
      </c>
      <c r="AE585" s="85" t="str">
        <f t="shared" ref="AE585" si="2559">IF(AD585="-",AC585,AC585-AD585)</f>
        <v>-</v>
      </c>
      <c r="AF585" s="85" t="str">
        <f t="shared" ref="AF585" si="2560">IF(AD585="-",AD585,AD585*24)</f>
        <v>-</v>
      </c>
      <c r="AG585" s="85" t="str">
        <f t="shared" ref="AG585" si="2561">IF(AB585="-",AB585,AE585*24)</f>
        <v>-</v>
      </c>
      <c r="AH585" s="85" t="str">
        <f>'Consumer Hardware Pricing'!AA595</f>
        <v>-</v>
      </c>
      <c r="AI585" s="85" t="str">
        <f t="shared" si="2042"/>
        <v>-</v>
      </c>
      <c r="AJ585" s="85" t="str">
        <f t="shared" ref="AJ585" si="2562">IF(AH585="-",AH585,AC585-AI585)</f>
        <v>-</v>
      </c>
      <c r="AK585" s="85" t="str">
        <f t="shared" ref="AK585" si="2563">IF(AH585="-",AH585,AI585*24)</f>
        <v>-</v>
      </c>
      <c r="AL585" s="85" t="str">
        <f t="shared" ref="AL585" si="2564">IF(AH585="-",AH585,AJ585*24)</f>
        <v>-</v>
      </c>
      <c r="AM585" s="85" t="str">
        <f>'Consumer Hardware Pricing'!AC595</f>
        <v>-</v>
      </c>
      <c r="AN585" s="85" t="str">
        <f t="shared" si="2043"/>
        <v>-</v>
      </c>
      <c r="AO585" s="85" t="str">
        <f>'Consumer Hardware Pricing'!AD595</f>
        <v>-</v>
      </c>
      <c r="AP585" s="85" t="str">
        <f t="shared" ref="AP585" si="2565">IF(AO585="-",AN585,AN585-AO585)</f>
        <v>-</v>
      </c>
      <c r="AQ585" s="85" t="str">
        <f t="shared" ref="AQ585" si="2566">IF(AO585="-",AO585,AO585*24)</f>
        <v>-</v>
      </c>
      <c r="AR585" s="85" t="str">
        <f t="shared" ref="AR585" si="2567">IF(AM585="-",AM585,AP585*24)</f>
        <v>-</v>
      </c>
      <c r="AS585" s="85" t="str">
        <f>'Consumer Hardware Pricing'!AF595</f>
        <v>-</v>
      </c>
      <c r="AT585" s="85" t="str">
        <f t="shared" si="2044"/>
        <v>-</v>
      </c>
      <c r="AU585" s="85" t="str">
        <f t="shared" ref="AU585" si="2568">IF(AS585="-",AS585,AN585-AT585)</f>
        <v>-</v>
      </c>
      <c r="AV585" s="85" t="str">
        <f t="shared" ref="AV585" si="2569">IF(AS585="-",AS585,AT585*24)</f>
        <v>-</v>
      </c>
      <c r="AW585" s="85" t="str">
        <f t="shared" ref="AW585" si="2570">IF(AS585="-",AS585,AU585*24)</f>
        <v>-</v>
      </c>
      <c r="AX585" s="85" t="str">
        <f>'Consumer Hardware Pricing'!AH595</f>
        <v>-</v>
      </c>
      <c r="AY585" s="85" t="str">
        <f t="shared" si="2045"/>
        <v>-</v>
      </c>
      <c r="AZ585" s="85" t="str">
        <f>'Consumer Hardware Pricing'!AI595</f>
        <v>-</v>
      </c>
      <c r="BA585" s="85" t="str">
        <f t="shared" si="1918"/>
        <v>-</v>
      </c>
      <c r="BB585" s="85" t="str">
        <f t="shared" si="1919"/>
        <v>-</v>
      </c>
      <c r="BC585" s="85" t="str">
        <f t="shared" si="1935"/>
        <v>-</v>
      </c>
      <c r="BD585" s="85">
        <f>'Consumer Hardware Pricing'!AL595</f>
        <v>0</v>
      </c>
      <c r="BE585" s="85">
        <f t="shared" si="2046"/>
        <v>27.09</v>
      </c>
      <c r="BF585" s="85" t="str">
        <f>'Consumer Hardware Pricing'!AM595</f>
        <v>-</v>
      </c>
      <c r="BG585" s="85">
        <f t="shared" si="1920"/>
        <v>27.09</v>
      </c>
      <c r="BH585" s="85" t="str">
        <f t="shared" si="1921"/>
        <v>-</v>
      </c>
      <c r="BI585" s="85">
        <f t="shared" si="1936"/>
        <v>650.16</v>
      </c>
      <c r="BJ585" s="85" t="str">
        <f>'Consumer Hardware Pricing'!AP595</f>
        <v>-</v>
      </c>
      <c r="BK585" s="85" t="str">
        <f t="shared" si="2047"/>
        <v>-</v>
      </c>
      <c r="BL585" s="85" t="str">
        <f>'Consumer Hardware Pricing'!AQ595</f>
        <v>-</v>
      </c>
      <c r="BM585" s="85" t="str">
        <f t="shared" si="1922"/>
        <v>-</v>
      </c>
      <c r="BN585" s="85" t="str">
        <f t="shared" si="1923"/>
        <v>-</v>
      </c>
      <c r="BO585" s="85" t="str">
        <f t="shared" si="1937"/>
        <v>-</v>
      </c>
      <c r="BP585" s="85" t="str">
        <f>'Consumer Hardware Pricing'!AT595</f>
        <v>-</v>
      </c>
      <c r="BQ585" s="85" t="str">
        <f t="shared" si="2048"/>
        <v>-</v>
      </c>
      <c r="BR585" s="85" t="str">
        <f>'Consumer Hardware Pricing'!AU595</f>
        <v>-</v>
      </c>
      <c r="BS585" s="85" t="str">
        <f t="shared" si="1924"/>
        <v>-</v>
      </c>
      <c r="BT585" s="85" t="str">
        <f t="shared" si="1925"/>
        <v>-</v>
      </c>
      <c r="BU585" s="85" t="str">
        <f t="shared" si="1938"/>
        <v>-</v>
      </c>
    </row>
    <row r="586" spans="1:73" ht="17.399999999999999" x14ac:dyDescent="0.25">
      <c r="BF586" s="85"/>
    </row>
  </sheetData>
  <mergeCells count="22">
    <mergeCell ref="BP4:BU4"/>
    <mergeCell ref="BP5:BU5"/>
    <mergeCell ref="AX5:BC5"/>
    <mergeCell ref="BD5:BI5"/>
    <mergeCell ref="AB5:AL5"/>
    <mergeCell ref="AM5:AW5"/>
    <mergeCell ref="BJ3:BO3"/>
    <mergeCell ref="BP3:BU3"/>
    <mergeCell ref="BD4:BI4"/>
    <mergeCell ref="F5:P5"/>
    <mergeCell ref="Q5:AA5"/>
    <mergeCell ref="BJ5:BO5"/>
    <mergeCell ref="F3:AA3"/>
    <mergeCell ref="F4:P4"/>
    <mergeCell ref="Q4:AA4"/>
    <mergeCell ref="AX4:BC4"/>
    <mergeCell ref="AX3:BC3"/>
    <mergeCell ref="AB3:AW3"/>
    <mergeCell ref="AB4:AL4"/>
    <mergeCell ref="AM4:AW4"/>
    <mergeCell ref="BD3:BI3"/>
    <mergeCell ref="BJ4:BO4"/>
  </mergeCells>
  <conditionalFormatting sqref="B558:B561">
    <cfRule type="duplicateValues" dxfId="169" priority="6"/>
  </conditionalFormatting>
  <conditionalFormatting sqref="B558:B561">
    <cfRule type="duplicateValues" dxfId="168" priority="5"/>
  </conditionalFormatting>
  <conditionalFormatting sqref="B558:B561">
    <cfRule type="duplicateValues" dxfId="167" priority="4"/>
  </conditionalFormatting>
  <conditionalFormatting sqref="B144:B146">
    <cfRule type="duplicateValues" dxfId="166" priority="2"/>
  </conditionalFormatting>
  <conditionalFormatting sqref="B562:B585 B7:B143 B147:B521">
    <cfRule type="duplicateValues" dxfId="165" priority="438"/>
  </conditionalFormatting>
  <conditionalFormatting sqref="B522:B557">
    <cfRule type="duplicateValues" dxfId="164" priority="736"/>
  </conditionalFormatting>
  <conditionalFormatting sqref="B10:B100">
    <cfRule type="duplicateValues" dxfId="163" priority="77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D94E-485C-49DE-95EB-05A9535DB4D3}">
  <sheetPr codeName="Sheet3">
    <pageSetUpPr fitToPage="1"/>
  </sheetPr>
  <dimension ref="A1:AW595"/>
  <sheetViews>
    <sheetView showGridLines="0" zoomScale="50" zoomScaleNormal="50" workbookViewId="0">
      <pane xSplit="7" ySplit="14" topLeftCell="M15" activePane="bottomRight" state="frozen"/>
      <selection pane="topRight" activeCell="H1" sqref="H1"/>
      <selection pane="bottomLeft" activeCell="A14" sqref="A14"/>
      <selection pane="bottomRight" activeCell="A11" sqref="A11:AW595"/>
    </sheetView>
  </sheetViews>
  <sheetFormatPr defaultColWidth="19.6640625" defaultRowHeight="13.2" x14ac:dyDescent="0.25"/>
  <cols>
    <col min="1" max="3" width="19.6640625" style="64"/>
    <col min="4" max="11" width="19.6640625" style="90"/>
    <col min="12" max="16384" width="19.6640625" style="79"/>
  </cols>
  <sheetData>
    <row r="1" spans="1:49" ht="38.25" customHeight="1" x14ac:dyDescent="0.25">
      <c r="A1" s="110" t="s">
        <v>1137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49" ht="15.6" x14ac:dyDescent="0.25">
      <c r="A2" s="76"/>
      <c r="B2" s="76"/>
      <c r="C2" s="76"/>
      <c r="D2" s="68"/>
      <c r="E2" s="68"/>
      <c r="F2" s="68"/>
      <c r="G2" s="68"/>
      <c r="H2" s="68"/>
      <c r="I2" s="68"/>
      <c r="J2" s="68"/>
      <c r="K2" s="68"/>
    </row>
    <row r="3" spans="1:49" ht="15.6" x14ac:dyDescent="0.25">
      <c r="A3" s="69" t="s">
        <v>38</v>
      </c>
      <c r="B3" s="172"/>
      <c r="C3" s="70"/>
      <c r="D3" s="70"/>
      <c r="E3" s="70"/>
      <c r="F3" s="70"/>
      <c r="G3" s="70"/>
      <c r="H3" s="70"/>
      <c r="I3" s="70"/>
      <c r="J3" s="70"/>
      <c r="K3" s="70"/>
    </row>
    <row r="4" spans="1:49" ht="31.2" customHeight="1" x14ac:dyDescent="0.25">
      <c r="A4" s="73" t="s">
        <v>23</v>
      </c>
      <c r="B4" s="180"/>
      <c r="C4" s="74"/>
      <c r="D4" s="74"/>
      <c r="E4" s="74"/>
      <c r="F4" s="74"/>
      <c r="G4" s="74"/>
      <c r="H4" s="70"/>
      <c r="I4" s="70"/>
      <c r="J4" s="70"/>
      <c r="K4" s="70"/>
    </row>
    <row r="5" spans="1:49" ht="15.6" x14ac:dyDescent="0.25">
      <c r="A5" s="73"/>
      <c r="B5" s="75"/>
      <c r="C5" s="74"/>
      <c r="D5" s="74"/>
      <c r="E5" s="74"/>
      <c r="F5" s="74"/>
      <c r="G5" s="74"/>
      <c r="H5" s="70"/>
      <c r="I5" s="70"/>
      <c r="J5" s="74"/>
      <c r="K5" s="74"/>
    </row>
    <row r="6" spans="1:49" ht="15.6" x14ac:dyDescent="0.25">
      <c r="A6" s="77"/>
      <c r="B6" s="78" t="s">
        <v>43</v>
      </c>
      <c r="C6" s="74"/>
      <c r="D6" s="74"/>
      <c r="E6" s="74"/>
      <c r="F6" s="74"/>
      <c r="G6" s="74"/>
      <c r="H6" s="74"/>
      <c r="I6" s="74"/>
      <c r="J6" s="74"/>
      <c r="K6" s="74"/>
    </row>
    <row r="7" spans="1:49" ht="15.6" x14ac:dyDescent="0.25">
      <c r="A7" s="123"/>
      <c r="B7" s="78" t="s">
        <v>44</v>
      </c>
      <c r="C7" s="72"/>
      <c r="D7" s="72"/>
      <c r="E7" s="72"/>
      <c r="F7" s="72"/>
      <c r="G7" s="72"/>
      <c r="H7" s="72"/>
      <c r="I7" s="72"/>
      <c r="J7" s="72"/>
      <c r="K7" s="72"/>
    </row>
    <row r="8" spans="1:49" ht="15.6" x14ac:dyDescent="0.25">
      <c r="A8" s="124"/>
      <c r="B8" s="78" t="s">
        <v>40</v>
      </c>
      <c r="C8" s="72"/>
      <c r="D8" s="72"/>
      <c r="E8" s="72"/>
      <c r="F8" s="72"/>
      <c r="G8" s="72"/>
      <c r="H8" s="72"/>
      <c r="I8" s="72"/>
      <c r="J8" s="72"/>
      <c r="K8" s="72"/>
    </row>
    <row r="9" spans="1:49" ht="15.6" x14ac:dyDescent="0.25">
      <c r="A9" s="125"/>
      <c r="B9" s="78" t="s">
        <v>47</v>
      </c>
      <c r="C9" s="72"/>
      <c r="D9" s="72"/>
      <c r="E9" s="72"/>
      <c r="F9" s="72"/>
      <c r="G9" s="72"/>
      <c r="H9" s="72"/>
      <c r="I9" s="72"/>
      <c r="J9" s="72"/>
      <c r="K9" s="72"/>
    </row>
    <row r="10" spans="1:49" ht="15.6" x14ac:dyDescent="0.25">
      <c r="A10" s="181">
        <v>0.2</v>
      </c>
      <c r="B10" s="182" t="s">
        <v>1250</v>
      </c>
      <c r="C10" s="72"/>
      <c r="D10" s="72"/>
      <c r="E10" s="72"/>
      <c r="F10" s="72"/>
      <c r="G10" s="72"/>
      <c r="H10" s="72"/>
      <c r="I10" s="72"/>
      <c r="J10" s="72"/>
      <c r="K10" s="72"/>
    </row>
    <row r="11" spans="1:49" ht="30.15" customHeight="1" x14ac:dyDescent="0.25">
      <c r="A11" s="80"/>
      <c r="B11" s="80"/>
      <c r="C11" s="72"/>
      <c r="D11" s="72"/>
      <c r="E11" s="68"/>
      <c r="F11" s="68"/>
      <c r="G11" s="176"/>
      <c r="H11" s="68"/>
      <c r="I11" s="68"/>
      <c r="J11" s="68"/>
      <c r="K11" s="68"/>
      <c r="L11" s="68"/>
      <c r="M11" s="68"/>
      <c r="N11" s="328" t="s">
        <v>813</v>
      </c>
      <c r="O11" s="329"/>
      <c r="P11" s="329"/>
      <c r="Q11" s="329"/>
      <c r="R11" s="329"/>
      <c r="S11" s="329"/>
      <c r="T11" s="329"/>
      <c r="U11" s="329"/>
      <c r="V11" s="329"/>
      <c r="W11" s="330"/>
      <c r="X11" s="328" t="s">
        <v>1032</v>
      </c>
      <c r="Y11" s="329"/>
      <c r="Z11" s="329"/>
      <c r="AA11" s="329"/>
      <c r="AB11" s="329"/>
      <c r="AC11" s="329"/>
      <c r="AD11" s="329"/>
      <c r="AE11" s="329"/>
      <c r="AF11" s="329"/>
      <c r="AG11" s="330"/>
      <c r="AH11" s="328" t="s">
        <v>814</v>
      </c>
      <c r="AI11" s="329"/>
      <c r="AJ11" s="329"/>
      <c r="AK11" s="330"/>
      <c r="AL11" s="328" t="s">
        <v>815</v>
      </c>
      <c r="AM11" s="331"/>
      <c r="AN11" s="331"/>
      <c r="AO11" s="330"/>
      <c r="AP11" s="328" t="s">
        <v>816</v>
      </c>
      <c r="AQ11" s="329"/>
      <c r="AR11" s="329"/>
      <c r="AS11" s="330"/>
      <c r="AT11" s="332" t="s">
        <v>817</v>
      </c>
      <c r="AU11" s="333"/>
      <c r="AV11" s="333"/>
      <c r="AW11" s="334"/>
    </row>
    <row r="12" spans="1:49" ht="30.15" customHeight="1" x14ac:dyDescent="0.25">
      <c r="A12" s="80"/>
      <c r="B12" s="80"/>
      <c r="C12" s="80"/>
      <c r="D12" s="81"/>
      <c r="E12" s="68"/>
      <c r="F12" s="68"/>
      <c r="G12" s="176"/>
      <c r="H12" s="68"/>
      <c r="I12" s="68"/>
      <c r="J12" s="68"/>
      <c r="K12" s="68"/>
      <c r="L12" s="66"/>
      <c r="M12" s="66"/>
      <c r="N12" s="324" t="s">
        <v>59</v>
      </c>
      <c r="O12" s="324"/>
      <c r="P12" s="324"/>
      <c r="Q12" s="324"/>
      <c r="R12" s="325"/>
      <c r="S12" s="336" t="s">
        <v>93</v>
      </c>
      <c r="T12" s="336"/>
      <c r="U12" s="336"/>
      <c r="V12" s="336"/>
      <c r="W12" s="325"/>
      <c r="X12" s="324" t="s">
        <v>1033</v>
      </c>
      <c r="Y12" s="324"/>
      <c r="Z12" s="324"/>
      <c r="AA12" s="324"/>
      <c r="AB12" s="325"/>
      <c r="AC12" s="336" t="s">
        <v>1034</v>
      </c>
      <c r="AD12" s="325"/>
      <c r="AE12" s="325"/>
      <c r="AF12" s="325"/>
      <c r="AG12" s="325"/>
      <c r="AH12" s="324" t="s">
        <v>59</v>
      </c>
      <c r="AI12" s="324"/>
      <c r="AJ12" s="324"/>
      <c r="AK12" s="325"/>
      <c r="AL12" s="324" t="s">
        <v>59</v>
      </c>
      <c r="AM12" s="335"/>
      <c r="AN12" s="335"/>
      <c r="AO12" s="335"/>
      <c r="AP12" s="324" t="s">
        <v>59</v>
      </c>
      <c r="AQ12" s="324"/>
      <c r="AR12" s="324"/>
      <c r="AS12" s="325"/>
      <c r="AT12" s="126" t="s">
        <v>59</v>
      </c>
      <c r="AU12" s="126"/>
      <c r="AV12" s="126"/>
      <c r="AW12" s="126"/>
    </row>
    <row r="13" spans="1:49" ht="30.15" customHeight="1" x14ac:dyDescent="0.25">
      <c r="A13" s="82"/>
      <c r="B13" s="82"/>
      <c r="C13" s="82"/>
      <c r="D13" s="82"/>
      <c r="E13" s="82"/>
      <c r="F13" s="82"/>
      <c r="G13" s="82"/>
      <c r="H13" s="82"/>
      <c r="I13" s="127"/>
      <c r="J13" s="127"/>
      <c r="K13" s="127"/>
      <c r="L13" s="186" t="s">
        <v>64</v>
      </c>
      <c r="M13" s="187" t="s">
        <v>20</v>
      </c>
      <c r="N13" s="326" t="s">
        <v>640</v>
      </c>
      <c r="O13" s="326"/>
      <c r="P13" s="326"/>
      <c r="Q13" s="326"/>
      <c r="R13" s="327"/>
      <c r="S13" s="326" t="s">
        <v>641</v>
      </c>
      <c r="T13" s="326"/>
      <c r="U13" s="326"/>
      <c r="V13" s="326"/>
      <c r="W13" s="327"/>
      <c r="X13" s="326" t="s">
        <v>1035</v>
      </c>
      <c r="Y13" s="326"/>
      <c r="Z13" s="326"/>
      <c r="AA13" s="326"/>
      <c r="AB13" s="327"/>
      <c r="AC13" s="326" t="s">
        <v>1036</v>
      </c>
      <c r="AD13" s="327"/>
      <c r="AE13" s="327"/>
      <c r="AF13" s="327"/>
      <c r="AG13" s="327"/>
      <c r="AH13" s="326" t="s">
        <v>818</v>
      </c>
      <c r="AI13" s="326"/>
      <c r="AJ13" s="326"/>
      <c r="AK13" s="327"/>
      <c r="AL13" s="326" t="s">
        <v>819</v>
      </c>
      <c r="AM13" s="327"/>
      <c r="AN13" s="327"/>
      <c r="AO13" s="327"/>
      <c r="AP13" s="326" t="s">
        <v>820</v>
      </c>
      <c r="AQ13" s="327"/>
      <c r="AR13" s="327"/>
      <c r="AS13" s="327"/>
      <c r="AT13" s="326" t="s">
        <v>826</v>
      </c>
      <c r="AU13" s="327"/>
      <c r="AV13" s="327"/>
      <c r="AW13" s="327"/>
    </row>
    <row r="14" spans="1:49" ht="30.15" customHeight="1" x14ac:dyDescent="0.25">
      <c r="A14" s="83" t="s">
        <v>30</v>
      </c>
      <c r="B14" s="83" t="s">
        <v>39</v>
      </c>
      <c r="C14" s="83" t="s">
        <v>33</v>
      </c>
      <c r="D14" s="84" t="s">
        <v>29</v>
      </c>
      <c r="E14" s="84" t="s">
        <v>0</v>
      </c>
      <c r="F14" s="84" t="s">
        <v>1031</v>
      </c>
      <c r="G14" s="84" t="s">
        <v>31</v>
      </c>
      <c r="H14" s="84" t="s">
        <v>410</v>
      </c>
      <c r="I14" s="84" t="s">
        <v>443</v>
      </c>
      <c r="J14" s="84" t="s">
        <v>444</v>
      </c>
      <c r="K14" s="84" t="s">
        <v>36</v>
      </c>
      <c r="L14" s="84" t="s">
        <v>20</v>
      </c>
      <c r="M14" s="168" t="s">
        <v>20</v>
      </c>
      <c r="N14" s="137" t="s">
        <v>614</v>
      </c>
      <c r="O14" s="146" t="s">
        <v>739</v>
      </c>
      <c r="P14" s="138" t="s">
        <v>740</v>
      </c>
      <c r="Q14" s="139" t="s">
        <v>653</v>
      </c>
      <c r="R14" s="50" t="s">
        <v>1249</v>
      </c>
      <c r="S14" s="128" t="s">
        <v>636</v>
      </c>
      <c r="T14" s="146" t="s">
        <v>739</v>
      </c>
      <c r="U14" s="138" t="s">
        <v>740</v>
      </c>
      <c r="V14" s="12" t="s">
        <v>653</v>
      </c>
      <c r="W14" s="12" t="s">
        <v>1249</v>
      </c>
      <c r="X14" s="128" t="s">
        <v>1037</v>
      </c>
      <c r="Y14" s="146" t="s">
        <v>739</v>
      </c>
      <c r="Z14" s="146" t="s">
        <v>740</v>
      </c>
      <c r="AA14" s="138" t="s">
        <v>653</v>
      </c>
      <c r="AB14" s="128" t="s">
        <v>1249</v>
      </c>
      <c r="AC14" s="128" t="s">
        <v>1038</v>
      </c>
      <c r="AD14" s="146" t="s">
        <v>739</v>
      </c>
      <c r="AE14" s="146" t="s">
        <v>740</v>
      </c>
      <c r="AF14" s="138" t="s">
        <v>653</v>
      </c>
      <c r="AG14" s="138" t="s">
        <v>1249</v>
      </c>
      <c r="AH14" s="138" t="s">
        <v>821</v>
      </c>
      <c r="AI14" s="138" t="s">
        <v>739</v>
      </c>
      <c r="AJ14" s="138" t="s">
        <v>822</v>
      </c>
      <c r="AK14" s="138" t="s">
        <v>1249</v>
      </c>
      <c r="AL14" s="138" t="s">
        <v>823</v>
      </c>
      <c r="AM14" s="138" t="s">
        <v>739</v>
      </c>
      <c r="AN14" s="138" t="s">
        <v>822</v>
      </c>
      <c r="AO14" s="128" t="s">
        <v>1249</v>
      </c>
      <c r="AP14" s="128" t="s">
        <v>824</v>
      </c>
      <c r="AQ14" s="138" t="s">
        <v>739</v>
      </c>
      <c r="AR14" s="138" t="s">
        <v>822</v>
      </c>
      <c r="AS14" s="138" t="s">
        <v>1249</v>
      </c>
      <c r="AT14" s="138" t="s">
        <v>825</v>
      </c>
      <c r="AU14" s="138" t="s">
        <v>739</v>
      </c>
      <c r="AV14" s="178" t="s">
        <v>822</v>
      </c>
      <c r="AW14" s="84" t="s">
        <v>1249</v>
      </c>
    </row>
    <row r="15" spans="1:49" ht="30.15" customHeight="1" x14ac:dyDescent="0.25">
      <c r="A15" s="188" t="s">
        <v>18</v>
      </c>
      <c r="B15" s="189" t="s">
        <v>1</v>
      </c>
      <c r="C15" s="188" t="s">
        <v>35</v>
      </c>
      <c r="D15" s="190" t="s">
        <v>245</v>
      </c>
      <c r="E15" s="190" t="s">
        <v>433</v>
      </c>
      <c r="F15" s="191"/>
      <c r="G15" s="192" t="s">
        <v>434</v>
      </c>
      <c r="H15" s="192" t="s">
        <v>409</v>
      </c>
      <c r="I15" s="193">
        <v>150</v>
      </c>
      <c r="J15" s="193">
        <v>150</v>
      </c>
      <c r="K15" s="193">
        <v>150</v>
      </c>
      <c r="L15" s="193">
        <v>190</v>
      </c>
      <c r="M15" s="194">
        <v>190</v>
      </c>
      <c r="N15" s="276" t="s">
        <v>1</v>
      </c>
      <c r="O15" s="277" t="s">
        <v>1</v>
      </c>
      <c r="P15" s="277" t="s">
        <v>1</v>
      </c>
      <c r="Q15" s="277" t="s">
        <v>1</v>
      </c>
      <c r="R15" s="277" t="s">
        <v>1</v>
      </c>
      <c r="S15" s="278" t="s">
        <v>1</v>
      </c>
      <c r="T15" s="277" t="s">
        <v>1</v>
      </c>
      <c r="U15" s="277" t="s">
        <v>1</v>
      </c>
      <c r="V15" s="277" t="s">
        <v>1</v>
      </c>
      <c r="W15" s="277" t="s">
        <v>1</v>
      </c>
      <c r="X15" s="278" t="s">
        <v>1</v>
      </c>
      <c r="Y15" s="277" t="s">
        <v>1</v>
      </c>
      <c r="Z15" s="277" t="s">
        <v>1</v>
      </c>
      <c r="AA15" s="277" t="s">
        <v>1</v>
      </c>
      <c r="AB15" s="277" t="s">
        <v>1</v>
      </c>
      <c r="AC15" s="278" t="s">
        <v>1</v>
      </c>
      <c r="AD15" s="277" t="s">
        <v>1</v>
      </c>
      <c r="AE15" s="277" t="s">
        <v>1</v>
      </c>
      <c r="AF15" s="277" t="s">
        <v>1</v>
      </c>
      <c r="AG15" s="277" t="s">
        <v>1</v>
      </c>
      <c r="AH15" s="278" t="s">
        <v>1</v>
      </c>
      <c r="AI15" s="279" t="s">
        <v>1</v>
      </c>
      <c r="AJ15" s="279" t="s">
        <v>1</v>
      </c>
      <c r="AK15" s="279" t="s">
        <v>1</v>
      </c>
      <c r="AL15" s="278">
        <v>38</v>
      </c>
      <c r="AM15" s="280" t="s">
        <v>1</v>
      </c>
      <c r="AN15" s="279" t="s">
        <v>1</v>
      </c>
      <c r="AO15" s="279" t="s">
        <v>1</v>
      </c>
      <c r="AP15" s="278" t="s">
        <v>1</v>
      </c>
      <c r="AQ15" s="277" t="s">
        <v>1</v>
      </c>
      <c r="AR15" s="281" t="s">
        <v>1</v>
      </c>
      <c r="AS15" s="281" t="s">
        <v>1</v>
      </c>
      <c r="AT15" s="282" t="s">
        <v>1</v>
      </c>
      <c r="AU15" s="279" t="s">
        <v>1</v>
      </c>
      <c r="AV15" s="279" t="s">
        <v>1</v>
      </c>
      <c r="AW15" s="283" t="s">
        <v>1</v>
      </c>
    </row>
    <row r="16" spans="1:49" ht="30.15" customHeight="1" x14ac:dyDescent="0.25">
      <c r="A16" s="188" t="s">
        <v>18</v>
      </c>
      <c r="B16" s="189" t="s">
        <v>1</v>
      </c>
      <c r="C16" s="188" t="s">
        <v>34</v>
      </c>
      <c r="D16" s="190" t="s">
        <v>245</v>
      </c>
      <c r="E16" s="190" t="s">
        <v>438</v>
      </c>
      <c r="F16" s="191"/>
      <c r="G16" s="192" t="s">
        <v>439</v>
      </c>
      <c r="H16" s="192" t="s">
        <v>409</v>
      </c>
      <c r="I16" s="193">
        <v>81</v>
      </c>
      <c r="J16" s="193">
        <v>81</v>
      </c>
      <c r="K16" s="193">
        <v>81</v>
      </c>
      <c r="L16" s="193">
        <v>85</v>
      </c>
      <c r="M16" s="194">
        <v>85</v>
      </c>
      <c r="N16" s="284">
        <v>17</v>
      </c>
      <c r="O16" s="285" t="s">
        <v>1</v>
      </c>
      <c r="P16" s="285" t="s">
        <v>1</v>
      </c>
      <c r="Q16" s="285" t="s">
        <v>1</v>
      </c>
      <c r="R16" s="285" t="s">
        <v>1</v>
      </c>
      <c r="S16" s="286">
        <v>17</v>
      </c>
      <c r="T16" s="285" t="s">
        <v>1</v>
      </c>
      <c r="U16" s="285" t="s">
        <v>1</v>
      </c>
      <c r="V16" s="285" t="s">
        <v>1</v>
      </c>
      <c r="W16" s="285" t="s">
        <v>1</v>
      </c>
      <c r="X16" s="286">
        <v>17</v>
      </c>
      <c r="Y16" s="285" t="s">
        <v>1</v>
      </c>
      <c r="Z16" s="285" t="s">
        <v>1</v>
      </c>
      <c r="AA16" s="285" t="s">
        <v>1</v>
      </c>
      <c r="AB16" s="285" t="s">
        <v>1</v>
      </c>
      <c r="AC16" s="286">
        <v>17</v>
      </c>
      <c r="AD16" s="285" t="s">
        <v>1</v>
      </c>
      <c r="AE16" s="285" t="s">
        <v>1</v>
      </c>
      <c r="AF16" s="285" t="s">
        <v>1</v>
      </c>
      <c r="AG16" s="285" t="s">
        <v>1</v>
      </c>
      <c r="AH16" s="286">
        <v>17</v>
      </c>
      <c r="AI16" s="287" t="s">
        <v>1</v>
      </c>
      <c r="AJ16" s="287" t="s">
        <v>1</v>
      </c>
      <c r="AK16" s="287" t="s">
        <v>1</v>
      </c>
      <c r="AL16" s="286" t="s">
        <v>1</v>
      </c>
      <c r="AM16" s="288" t="s">
        <v>1</v>
      </c>
      <c r="AN16" s="287" t="s">
        <v>1</v>
      </c>
      <c r="AO16" s="287" t="s">
        <v>1</v>
      </c>
      <c r="AP16" s="286" t="s">
        <v>1</v>
      </c>
      <c r="AQ16" s="285" t="s">
        <v>1</v>
      </c>
      <c r="AR16" s="289" t="s">
        <v>1</v>
      </c>
      <c r="AS16" s="289" t="s">
        <v>1</v>
      </c>
      <c r="AT16" s="290" t="s">
        <v>1</v>
      </c>
      <c r="AU16" s="287" t="s">
        <v>1</v>
      </c>
      <c r="AV16" s="287" t="s">
        <v>1</v>
      </c>
      <c r="AW16" s="291" t="s">
        <v>1</v>
      </c>
    </row>
    <row r="17" spans="1:49" ht="30.15" customHeight="1" x14ac:dyDescent="0.25">
      <c r="A17" s="188" t="s">
        <v>18</v>
      </c>
      <c r="B17" s="189" t="s">
        <v>1</v>
      </c>
      <c r="C17" s="188" t="s">
        <v>34</v>
      </c>
      <c r="D17" s="190" t="s">
        <v>245</v>
      </c>
      <c r="E17" s="190" t="s">
        <v>856</v>
      </c>
      <c r="F17" s="203"/>
      <c r="G17" s="204" t="s">
        <v>855</v>
      </c>
      <c r="H17" s="192" t="s">
        <v>409</v>
      </c>
      <c r="I17" s="205">
        <v>58</v>
      </c>
      <c r="J17" s="205">
        <v>58</v>
      </c>
      <c r="K17" s="205">
        <v>58</v>
      </c>
      <c r="L17" s="205">
        <v>75</v>
      </c>
      <c r="M17" s="206">
        <v>75</v>
      </c>
      <c r="N17" s="284">
        <v>15</v>
      </c>
      <c r="O17" s="292" t="s">
        <v>1</v>
      </c>
      <c r="P17" s="292" t="s">
        <v>1</v>
      </c>
      <c r="Q17" s="285" t="s">
        <v>1</v>
      </c>
      <c r="R17" s="285" t="s">
        <v>1</v>
      </c>
      <c r="S17" s="286">
        <v>15</v>
      </c>
      <c r="T17" s="292" t="s">
        <v>1</v>
      </c>
      <c r="U17" s="292" t="s">
        <v>1</v>
      </c>
      <c r="V17" s="285" t="s">
        <v>1</v>
      </c>
      <c r="W17" s="285" t="s">
        <v>1</v>
      </c>
      <c r="X17" s="286">
        <v>15</v>
      </c>
      <c r="Y17" s="285" t="s">
        <v>1</v>
      </c>
      <c r="Z17" s="285" t="s">
        <v>1</v>
      </c>
      <c r="AA17" s="285" t="s">
        <v>1</v>
      </c>
      <c r="AB17" s="285" t="s">
        <v>1</v>
      </c>
      <c r="AC17" s="286">
        <v>15</v>
      </c>
      <c r="AD17" s="285" t="s">
        <v>1</v>
      </c>
      <c r="AE17" s="285" t="s">
        <v>1</v>
      </c>
      <c r="AF17" s="285" t="s">
        <v>1</v>
      </c>
      <c r="AG17" s="285" t="s">
        <v>1</v>
      </c>
      <c r="AH17" s="286">
        <v>15</v>
      </c>
      <c r="AI17" s="289" t="s">
        <v>1</v>
      </c>
      <c r="AJ17" s="289" t="s">
        <v>1</v>
      </c>
      <c r="AK17" s="289" t="s">
        <v>1</v>
      </c>
      <c r="AL17" s="286" t="s">
        <v>1</v>
      </c>
      <c r="AM17" s="288" t="s">
        <v>1</v>
      </c>
      <c r="AN17" s="289" t="s">
        <v>1</v>
      </c>
      <c r="AO17" s="289" t="s">
        <v>1</v>
      </c>
      <c r="AP17" s="286" t="s">
        <v>1</v>
      </c>
      <c r="AQ17" s="285" t="s">
        <v>1</v>
      </c>
      <c r="AR17" s="289" t="s">
        <v>1</v>
      </c>
      <c r="AS17" s="289" t="s">
        <v>1</v>
      </c>
      <c r="AT17" s="293" t="s">
        <v>1</v>
      </c>
      <c r="AU17" s="289" t="s">
        <v>1</v>
      </c>
      <c r="AV17" s="289" t="s">
        <v>1</v>
      </c>
      <c r="AW17" s="294" t="s">
        <v>1</v>
      </c>
    </row>
    <row r="18" spans="1:49" ht="30.15" customHeight="1" x14ac:dyDescent="0.25">
      <c r="A18" s="188" t="s">
        <v>18</v>
      </c>
      <c r="B18" s="188" t="s">
        <v>1</v>
      </c>
      <c r="C18" s="188" t="s">
        <v>35</v>
      </c>
      <c r="D18" s="190" t="s">
        <v>3</v>
      </c>
      <c r="E18" s="190" t="s">
        <v>482</v>
      </c>
      <c r="F18" s="203"/>
      <c r="G18" s="190" t="s">
        <v>484</v>
      </c>
      <c r="H18" s="192" t="s">
        <v>481</v>
      </c>
      <c r="I18" s="194">
        <v>354</v>
      </c>
      <c r="J18" s="194">
        <v>380</v>
      </c>
      <c r="K18" s="193">
        <v>380</v>
      </c>
      <c r="L18" s="193">
        <v>120</v>
      </c>
      <c r="M18" s="194">
        <v>120</v>
      </c>
      <c r="N18" s="284" t="s">
        <v>1</v>
      </c>
      <c r="O18" s="285" t="s">
        <v>1</v>
      </c>
      <c r="P18" s="285" t="s">
        <v>1</v>
      </c>
      <c r="Q18" s="285" t="s">
        <v>1</v>
      </c>
      <c r="R18" s="285" t="s">
        <v>1</v>
      </c>
      <c r="S18" s="286" t="s">
        <v>1</v>
      </c>
      <c r="T18" s="285" t="s">
        <v>1</v>
      </c>
      <c r="U18" s="285" t="s">
        <v>1</v>
      </c>
      <c r="V18" s="285" t="s">
        <v>1</v>
      </c>
      <c r="W18" s="285" t="s">
        <v>1</v>
      </c>
      <c r="X18" s="286" t="s">
        <v>1</v>
      </c>
      <c r="Y18" s="285" t="s">
        <v>1</v>
      </c>
      <c r="Z18" s="285" t="s">
        <v>1</v>
      </c>
      <c r="AA18" s="285" t="s">
        <v>1</v>
      </c>
      <c r="AB18" s="285" t="s">
        <v>1</v>
      </c>
      <c r="AC18" s="286" t="s">
        <v>1</v>
      </c>
      <c r="AD18" s="285" t="s">
        <v>1</v>
      </c>
      <c r="AE18" s="285" t="s">
        <v>1</v>
      </c>
      <c r="AF18" s="285" t="s">
        <v>1</v>
      </c>
      <c r="AG18" s="285" t="s">
        <v>1</v>
      </c>
      <c r="AH18" s="286" t="s">
        <v>1</v>
      </c>
      <c r="AI18" s="287" t="s">
        <v>1</v>
      </c>
      <c r="AJ18" s="287" t="s">
        <v>1</v>
      </c>
      <c r="AK18" s="287" t="s">
        <v>1</v>
      </c>
      <c r="AL18" s="286">
        <v>24</v>
      </c>
      <c r="AM18" s="288" t="s">
        <v>1</v>
      </c>
      <c r="AN18" s="287" t="s">
        <v>1</v>
      </c>
      <c r="AO18" s="287" t="s">
        <v>1</v>
      </c>
      <c r="AP18" s="286" t="s">
        <v>1</v>
      </c>
      <c r="AQ18" s="285" t="s">
        <v>1</v>
      </c>
      <c r="AR18" s="289" t="s">
        <v>1</v>
      </c>
      <c r="AS18" s="289" t="s">
        <v>1</v>
      </c>
      <c r="AT18" s="290" t="s">
        <v>1</v>
      </c>
      <c r="AU18" s="287" t="s">
        <v>1</v>
      </c>
      <c r="AV18" s="287" t="s">
        <v>1</v>
      </c>
      <c r="AW18" s="291" t="s">
        <v>1</v>
      </c>
    </row>
    <row r="19" spans="1:49" ht="30.15" customHeight="1" x14ac:dyDescent="0.25">
      <c r="A19" s="188" t="s">
        <v>18</v>
      </c>
      <c r="B19" s="188" t="s">
        <v>1</v>
      </c>
      <c r="C19" s="188" t="s">
        <v>35</v>
      </c>
      <c r="D19" s="190" t="s">
        <v>3</v>
      </c>
      <c r="E19" s="190" t="s">
        <v>483</v>
      </c>
      <c r="F19" s="203"/>
      <c r="G19" s="190" t="s">
        <v>485</v>
      </c>
      <c r="H19" s="192" t="s">
        <v>481</v>
      </c>
      <c r="I19" s="194">
        <v>390</v>
      </c>
      <c r="J19" s="194">
        <v>420</v>
      </c>
      <c r="K19" s="193">
        <v>420</v>
      </c>
      <c r="L19" s="193">
        <v>160</v>
      </c>
      <c r="M19" s="194">
        <v>160</v>
      </c>
      <c r="N19" s="284" t="s">
        <v>1</v>
      </c>
      <c r="O19" s="285" t="s">
        <v>1</v>
      </c>
      <c r="P19" s="285" t="s">
        <v>1</v>
      </c>
      <c r="Q19" s="285" t="s">
        <v>1</v>
      </c>
      <c r="R19" s="285" t="s">
        <v>1</v>
      </c>
      <c r="S19" s="286" t="s">
        <v>1</v>
      </c>
      <c r="T19" s="285" t="s">
        <v>1</v>
      </c>
      <c r="U19" s="285" t="s">
        <v>1</v>
      </c>
      <c r="V19" s="285" t="s">
        <v>1</v>
      </c>
      <c r="W19" s="285" t="s">
        <v>1</v>
      </c>
      <c r="X19" s="286" t="s">
        <v>1</v>
      </c>
      <c r="Y19" s="285" t="s">
        <v>1</v>
      </c>
      <c r="Z19" s="285" t="s">
        <v>1</v>
      </c>
      <c r="AA19" s="285" t="s">
        <v>1</v>
      </c>
      <c r="AB19" s="285" t="s">
        <v>1</v>
      </c>
      <c r="AC19" s="286" t="s">
        <v>1</v>
      </c>
      <c r="AD19" s="285" t="s">
        <v>1</v>
      </c>
      <c r="AE19" s="285" t="s">
        <v>1</v>
      </c>
      <c r="AF19" s="285" t="s">
        <v>1</v>
      </c>
      <c r="AG19" s="285" t="s">
        <v>1</v>
      </c>
      <c r="AH19" s="286" t="s">
        <v>1</v>
      </c>
      <c r="AI19" s="287" t="s">
        <v>1</v>
      </c>
      <c r="AJ19" s="287" t="s">
        <v>1</v>
      </c>
      <c r="AK19" s="287" t="s">
        <v>1</v>
      </c>
      <c r="AL19" s="286">
        <v>32</v>
      </c>
      <c r="AM19" s="288" t="s">
        <v>1</v>
      </c>
      <c r="AN19" s="287" t="s">
        <v>1</v>
      </c>
      <c r="AO19" s="287" t="s">
        <v>1</v>
      </c>
      <c r="AP19" s="286" t="s">
        <v>1</v>
      </c>
      <c r="AQ19" s="285" t="s">
        <v>1</v>
      </c>
      <c r="AR19" s="289" t="s">
        <v>1</v>
      </c>
      <c r="AS19" s="289" t="s">
        <v>1</v>
      </c>
      <c r="AT19" s="290" t="s">
        <v>1</v>
      </c>
      <c r="AU19" s="287" t="s">
        <v>1</v>
      </c>
      <c r="AV19" s="287" t="s">
        <v>1</v>
      </c>
      <c r="AW19" s="291" t="s">
        <v>1</v>
      </c>
    </row>
    <row r="20" spans="1:49" ht="30.15" customHeight="1" x14ac:dyDescent="0.25">
      <c r="A20" s="188" t="s">
        <v>18</v>
      </c>
      <c r="B20" s="188" t="s">
        <v>1</v>
      </c>
      <c r="C20" s="188" t="s">
        <v>35</v>
      </c>
      <c r="D20" s="190" t="s">
        <v>3</v>
      </c>
      <c r="E20" s="190" t="s">
        <v>474</v>
      </c>
      <c r="F20" s="203"/>
      <c r="G20" s="190" t="s">
        <v>479</v>
      </c>
      <c r="H20" s="192" t="s">
        <v>742</v>
      </c>
      <c r="I20" s="194">
        <v>591</v>
      </c>
      <c r="J20" s="194">
        <v>649</v>
      </c>
      <c r="K20" s="193">
        <v>649</v>
      </c>
      <c r="L20" s="193">
        <v>240</v>
      </c>
      <c r="M20" s="194">
        <v>240</v>
      </c>
      <c r="N20" s="284" t="s">
        <v>1</v>
      </c>
      <c r="O20" s="285" t="s">
        <v>1</v>
      </c>
      <c r="P20" s="285" t="s">
        <v>1</v>
      </c>
      <c r="Q20" s="285" t="s">
        <v>1</v>
      </c>
      <c r="R20" s="285" t="s">
        <v>1</v>
      </c>
      <c r="S20" s="286" t="s">
        <v>1</v>
      </c>
      <c r="T20" s="285" t="s">
        <v>1</v>
      </c>
      <c r="U20" s="285" t="s">
        <v>1</v>
      </c>
      <c r="V20" s="285" t="s">
        <v>1</v>
      </c>
      <c r="W20" s="285" t="s">
        <v>1</v>
      </c>
      <c r="X20" s="286" t="s">
        <v>1</v>
      </c>
      <c r="Y20" s="285" t="s">
        <v>1</v>
      </c>
      <c r="Z20" s="285" t="s">
        <v>1</v>
      </c>
      <c r="AA20" s="285" t="s">
        <v>1</v>
      </c>
      <c r="AB20" s="285" t="s">
        <v>1</v>
      </c>
      <c r="AC20" s="286" t="s">
        <v>1</v>
      </c>
      <c r="AD20" s="285" t="s">
        <v>1</v>
      </c>
      <c r="AE20" s="285" t="s">
        <v>1</v>
      </c>
      <c r="AF20" s="285" t="s">
        <v>1</v>
      </c>
      <c r="AG20" s="285" t="s">
        <v>1</v>
      </c>
      <c r="AH20" s="286" t="s">
        <v>1</v>
      </c>
      <c r="AI20" s="287" t="s">
        <v>1</v>
      </c>
      <c r="AJ20" s="287" t="s">
        <v>1</v>
      </c>
      <c r="AK20" s="287" t="s">
        <v>1</v>
      </c>
      <c r="AL20" s="286">
        <v>48</v>
      </c>
      <c r="AM20" s="288" t="s">
        <v>1</v>
      </c>
      <c r="AN20" s="287" t="s">
        <v>1</v>
      </c>
      <c r="AO20" s="287" t="s">
        <v>1</v>
      </c>
      <c r="AP20" s="286" t="s">
        <v>1</v>
      </c>
      <c r="AQ20" s="285" t="s">
        <v>1</v>
      </c>
      <c r="AR20" s="289" t="s">
        <v>1</v>
      </c>
      <c r="AS20" s="289" t="s">
        <v>1</v>
      </c>
      <c r="AT20" s="290" t="s">
        <v>1</v>
      </c>
      <c r="AU20" s="287" t="s">
        <v>1</v>
      </c>
      <c r="AV20" s="287" t="s">
        <v>1</v>
      </c>
      <c r="AW20" s="291" t="s">
        <v>1</v>
      </c>
    </row>
    <row r="21" spans="1:49" ht="30.15" customHeight="1" x14ac:dyDescent="0.25">
      <c r="A21" s="188" t="s">
        <v>18</v>
      </c>
      <c r="B21" s="188" t="s">
        <v>1</v>
      </c>
      <c r="C21" s="188" t="s">
        <v>35</v>
      </c>
      <c r="D21" s="190" t="s">
        <v>3</v>
      </c>
      <c r="E21" s="190" t="s">
        <v>475</v>
      </c>
      <c r="F21" s="203"/>
      <c r="G21" s="190" t="s">
        <v>479</v>
      </c>
      <c r="H21" s="192" t="s">
        <v>742</v>
      </c>
      <c r="I21" s="194">
        <v>591</v>
      </c>
      <c r="J21" s="194">
        <v>649</v>
      </c>
      <c r="K21" s="193">
        <v>649</v>
      </c>
      <c r="L21" s="193">
        <v>240</v>
      </c>
      <c r="M21" s="194">
        <v>240</v>
      </c>
      <c r="N21" s="284" t="s">
        <v>1</v>
      </c>
      <c r="O21" s="285" t="s">
        <v>1</v>
      </c>
      <c r="P21" s="285" t="s">
        <v>1</v>
      </c>
      <c r="Q21" s="285" t="s">
        <v>1</v>
      </c>
      <c r="R21" s="285" t="s">
        <v>1</v>
      </c>
      <c r="S21" s="286" t="s">
        <v>1</v>
      </c>
      <c r="T21" s="285" t="s">
        <v>1</v>
      </c>
      <c r="U21" s="285" t="s">
        <v>1</v>
      </c>
      <c r="V21" s="285" t="s">
        <v>1</v>
      </c>
      <c r="W21" s="285" t="s">
        <v>1</v>
      </c>
      <c r="X21" s="286" t="s">
        <v>1</v>
      </c>
      <c r="Y21" s="285" t="s">
        <v>1</v>
      </c>
      <c r="Z21" s="285" t="s">
        <v>1</v>
      </c>
      <c r="AA21" s="285" t="s">
        <v>1</v>
      </c>
      <c r="AB21" s="285" t="s">
        <v>1</v>
      </c>
      <c r="AC21" s="286" t="s">
        <v>1</v>
      </c>
      <c r="AD21" s="285" t="s">
        <v>1</v>
      </c>
      <c r="AE21" s="285" t="s">
        <v>1</v>
      </c>
      <c r="AF21" s="285" t="s">
        <v>1</v>
      </c>
      <c r="AG21" s="285" t="s">
        <v>1</v>
      </c>
      <c r="AH21" s="286" t="s">
        <v>1</v>
      </c>
      <c r="AI21" s="287" t="s">
        <v>1</v>
      </c>
      <c r="AJ21" s="287" t="s">
        <v>1</v>
      </c>
      <c r="AK21" s="287" t="s">
        <v>1</v>
      </c>
      <c r="AL21" s="286">
        <v>48</v>
      </c>
      <c r="AM21" s="288" t="s">
        <v>1</v>
      </c>
      <c r="AN21" s="287" t="s">
        <v>1</v>
      </c>
      <c r="AO21" s="287" t="s">
        <v>1</v>
      </c>
      <c r="AP21" s="286" t="s">
        <v>1</v>
      </c>
      <c r="AQ21" s="285" t="s">
        <v>1</v>
      </c>
      <c r="AR21" s="289" t="s">
        <v>1</v>
      </c>
      <c r="AS21" s="289" t="s">
        <v>1</v>
      </c>
      <c r="AT21" s="290" t="s">
        <v>1</v>
      </c>
      <c r="AU21" s="287" t="s">
        <v>1</v>
      </c>
      <c r="AV21" s="287" t="s">
        <v>1</v>
      </c>
      <c r="AW21" s="291" t="s">
        <v>1</v>
      </c>
    </row>
    <row r="22" spans="1:49" ht="30.15" customHeight="1" x14ac:dyDescent="0.25">
      <c r="A22" s="188" t="s">
        <v>18</v>
      </c>
      <c r="B22" s="188" t="s">
        <v>1</v>
      </c>
      <c r="C22" s="188" t="s">
        <v>35</v>
      </c>
      <c r="D22" s="190" t="s">
        <v>3</v>
      </c>
      <c r="E22" s="190" t="s">
        <v>473</v>
      </c>
      <c r="F22" s="203"/>
      <c r="G22" s="190" t="s">
        <v>479</v>
      </c>
      <c r="H22" s="192" t="s">
        <v>742</v>
      </c>
      <c r="I22" s="194">
        <v>591</v>
      </c>
      <c r="J22" s="194">
        <v>649</v>
      </c>
      <c r="K22" s="193">
        <v>649</v>
      </c>
      <c r="L22" s="193">
        <v>240</v>
      </c>
      <c r="M22" s="194">
        <v>240</v>
      </c>
      <c r="N22" s="284" t="s">
        <v>1</v>
      </c>
      <c r="O22" s="285" t="s">
        <v>1</v>
      </c>
      <c r="P22" s="285" t="s">
        <v>1</v>
      </c>
      <c r="Q22" s="285" t="s">
        <v>1</v>
      </c>
      <c r="R22" s="285" t="s">
        <v>1</v>
      </c>
      <c r="S22" s="286" t="s">
        <v>1</v>
      </c>
      <c r="T22" s="285" t="s">
        <v>1</v>
      </c>
      <c r="U22" s="285" t="s">
        <v>1</v>
      </c>
      <c r="V22" s="285" t="s">
        <v>1</v>
      </c>
      <c r="W22" s="285" t="s">
        <v>1</v>
      </c>
      <c r="X22" s="286" t="s">
        <v>1</v>
      </c>
      <c r="Y22" s="285" t="s">
        <v>1</v>
      </c>
      <c r="Z22" s="285" t="s">
        <v>1</v>
      </c>
      <c r="AA22" s="285" t="s">
        <v>1</v>
      </c>
      <c r="AB22" s="285" t="s">
        <v>1</v>
      </c>
      <c r="AC22" s="286" t="s">
        <v>1</v>
      </c>
      <c r="AD22" s="285" t="s">
        <v>1</v>
      </c>
      <c r="AE22" s="285" t="s">
        <v>1</v>
      </c>
      <c r="AF22" s="285" t="s">
        <v>1</v>
      </c>
      <c r="AG22" s="285" t="s">
        <v>1</v>
      </c>
      <c r="AH22" s="286" t="s">
        <v>1</v>
      </c>
      <c r="AI22" s="287" t="s">
        <v>1</v>
      </c>
      <c r="AJ22" s="287" t="s">
        <v>1</v>
      </c>
      <c r="AK22" s="287" t="s">
        <v>1</v>
      </c>
      <c r="AL22" s="286">
        <v>48</v>
      </c>
      <c r="AM22" s="288" t="s">
        <v>1</v>
      </c>
      <c r="AN22" s="287" t="s">
        <v>1</v>
      </c>
      <c r="AO22" s="287" t="s">
        <v>1</v>
      </c>
      <c r="AP22" s="286" t="s">
        <v>1</v>
      </c>
      <c r="AQ22" s="285" t="s">
        <v>1</v>
      </c>
      <c r="AR22" s="289" t="s">
        <v>1</v>
      </c>
      <c r="AS22" s="289" t="s">
        <v>1</v>
      </c>
      <c r="AT22" s="290" t="s">
        <v>1</v>
      </c>
      <c r="AU22" s="287" t="s">
        <v>1</v>
      </c>
      <c r="AV22" s="287" t="s">
        <v>1</v>
      </c>
      <c r="AW22" s="291" t="s">
        <v>1</v>
      </c>
    </row>
    <row r="23" spans="1:49" ht="30.15" customHeight="1" x14ac:dyDescent="0.25">
      <c r="A23" s="188" t="s">
        <v>18</v>
      </c>
      <c r="B23" s="188" t="s">
        <v>1</v>
      </c>
      <c r="C23" s="188" t="s">
        <v>35</v>
      </c>
      <c r="D23" s="190" t="s">
        <v>3</v>
      </c>
      <c r="E23" s="190" t="s">
        <v>476</v>
      </c>
      <c r="F23" s="203"/>
      <c r="G23" s="190" t="s">
        <v>480</v>
      </c>
      <c r="H23" s="192" t="s">
        <v>742</v>
      </c>
      <c r="I23" s="194">
        <v>627</v>
      </c>
      <c r="J23" s="194">
        <v>689</v>
      </c>
      <c r="K23" s="193">
        <v>689</v>
      </c>
      <c r="L23" s="193">
        <v>290</v>
      </c>
      <c r="M23" s="194">
        <v>290</v>
      </c>
      <c r="N23" s="284" t="s">
        <v>1</v>
      </c>
      <c r="O23" s="285" t="s">
        <v>1</v>
      </c>
      <c r="P23" s="285" t="s">
        <v>1</v>
      </c>
      <c r="Q23" s="285" t="s">
        <v>1</v>
      </c>
      <c r="R23" s="285" t="s">
        <v>1</v>
      </c>
      <c r="S23" s="286" t="s">
        <v>1</v>
      </c>
      <c r="T23" s="285" t="s">
        <v>1</v>
      </c>
      <c r="U23" s="285" t="s">
        <v>1</v>
      </c>
      <c r="V23" s="285" t="s">
        <v>1</v>
      </c>
      <c r="W23" s="285" t="s">
        <v>1</v>
      </c>
      <c r="X23" s="286" t="s">
        <v>1</v>
      </c>
      <c r="Y23" s="285" t="s">
        <v>1</v>
      </c>
      <c r="Z23" s="285" t="s">
        <v>1</v>
      </c>
      <c r="AA23" s="285" t="s">
        <v>1</v>
      </c>
      <c r="AB23" s="285" t="s">
        <v>1</v>
      </c>
      <c r="AC23" s="286" t="s">
        <v>1</v>
      </c>
      <c r="AD23" s="285" t="s">
        <v>1</v>
      </c>
      <c r="AE23" s="285" t="s">
        <v>1</v>
      </c>
      <c r="AF23" s="285" t="s">
        <v>1</v>
      </c>
      <c r="AG23" s="285" t="s">
        <v>1</v>
      </c>
      <c r="AH23" s="286" t="s">
        <v>1</v>
      </c>
      <c r="AI23" s="287" t="s">
        <v>1</v>
      </c>
      <c r="AJ23" s="287" t="s">
        <v>1</v>
      </c>
      <c r="AK23" s="287" t="s">
        <v>1</v>
      </c>
      <c r="AL23" s="286">
        <v>58</v>
      </c>
      <c r="AM23" s="288" t="s">
        <v>1</v>
      </c>
      <c r="AN23" s="287" t="s">
        <v>1</v>
      </c>
      <c r="AO23" s="287" t="s">
        <v>1</v>
      </c>
      <c r="AP23" s="286" t="s">
        <v>1</v>
      </c>
      <c r="AQ23" s="285" t="s">
        <v>1</v>
      </c>
      <c r="AR23" s="289" t="s">
        <v>1</v>
      </c>
      <c r="AS23" s="289" t="s">
        <v>1</v>
      </c>
      <c r="AT23" s="290" t="s">
        <v>1</v>
      </c>
      <c r="AU23" s="287" t="s">
        <v>1</v>
      </c>
      <c r="AV23" s="287" t="s">
        <v>1</v>
      </c>
      <c r="AW23" s="291" t="s">
        <v>1</v>
      </c>
    </row>
    <row r="24" spans="1:49" ht="30.15" customHeight="1" x14ac:dyDescent="0.25">
      <c r="A24" s="188" t="s">
        <v>18</v>
      </c>
      <c r="B24" s="188" t="s">
        <v>1</v>
      </c>
      <c r="C24" s="188" t="s">
        <v>35</v>
      </c>
      <c r="D24" s="190" t="s">
        <v>3</v>
      </c>
      <c r="E24" s="190" t="s">
        <v>477</v>
      </c>
      <c r="F24" s="203"/>
      <c r="G24" s="190" t="s">
        <v>480</v>
      </c>
      <c r="H24" s="192" t="s">
        <v>742</v>
      </c>
      <c r="I24" s="194">
        <v>627</v>
      </c>
      <c r="J24" s="194">
        <v>689</v>
      </c>
      <c r="K24" s="193">
        <v>689</v>
      </c>
      <c r="L24" s="193">
        <v>290</v>
      </c>
      <c r="M24" s="194">
        <v>290</v>
      </c>
      <c r="N24" s="284" t="s">
        <v>1</v>
      </c>
      <c r="O24" s="285" t="s">
        <v>1</v>
      </c>
      <c r="P24" s="285" t="s">
        <v>1</v>
      </c>
      <c r="Q24" s="285" t="s">
        <v>1</v>
      </c>
      <c r="R24" s="285" t="s">
        <v>1</v>
      </c>
      <c r="S24" s="286" t="s">
        <v>1</v>
      </c>
      <c r="T24" s="285" t="s">
        <v>1</v>
      </c>
      <c r="U24" s="285" t="s">
        <v>1</v>
      </c>
      <c r="V24" s="285" t="s">
        <v>1</v>
      </c>
      <c r="W24" s="285" t="s">
        <v>1</v>
      </c>
      <c r="X24" s="286" t="s">
        <v>1</v>
      </c>
      <c r="Y24" s="285" t="s">
        <v>1</v>
      </c>
      <c r="Z24" s="285" t="s">
        <v>1</v>
      </c>
      <c r="AA24" s="285" t="s">
        <v>1</v>
      </c>
      <c r="AB24" s="285" t="s">
        <v>1</v>
      </c>
      <c r="AC24" s="286" t="s">
        <v>1</v>
      </c>
      <c r="AD24" s="285" t="s">
        <v>1</v>
      </c>
      <c r="AE24" s="285" t="s">
        <v>1</v>
      </c>
      <c r="AF24" s="285" t="s">
        <v>1</v>
      </c>
      <c r="AG24" s="285" t="s">
        <v>1</v>
      </c>
      <c r="AH24" s="286" t="s">
        <v>1</v>
      </c>
      <c r="AI24" s="287" t="s">
        <v>1</v>
      </c>
      <c r="AJ24" s="287" t="s">
        <v>1</v>
      </c>
      <c r="AK24" s="287" t="s">
        <v>1</v>
      </c>
      <c r="AL24" s="286">
        <v>58</v>
      </c>
      <c r="AM24" s="288" t="s">
        <v>1</v>
      </c>
      <c r="AN24" s="287" t="s">
        <v>1</v>
      </c>
      <c r="AO24" s="287" t="s">
        <v>1</v>
      </c>
      <c r="AP24" s="286" t="s">
        <v>1</v>
      </c>
      <c r="AQ24" s="285" t="s">
        <v>1</v>
      </c>
      <c r="AR24" s="289" t="s">
        <v>1</v>
      </c>
      <c r="AS24" s="289" t="s">
        <v>1</v>
      </c>
      <c r="AT24" s="290" t="s">
        <v>1</v>
      </c>
      <c r="AU24" s="287" t="s">
        <v>1</v>
      </c>
      <c r="AV24" s="287" t="s">
        <v>1</v>
      </c>
      <c r="AW24" s="291" t="s">
        <v>1</v>
      </c>
    </row>
    <row r="25" spans="1:49" ht="30.15" customHeight="1" x14ac:dyDescent="0.25">
      <c r="A25" s="188" t="s">
        <v>18</v>
      </c>
      <c r="B25" s="188" t="s">
        <v>1</v>
      </c>
      <c r="C25" s="188" t="s">
        <v>35</v>
      </c>
      <c r="D25" s="190" t="s">
        <v>3</v>
      </c>
      <c r="E25" s="190" t="s">
        <v>478</v>
      </c>
      <c r="F25" s="203"/>
      <c r="G25" s="190" t="s">
        <v>480</v>
      </c>
      <c r="H25" s="192" t="s">
        <v>742</v>
      </c>
      <c r="I25" s="194">
        <v>627</v>
      </c>
      <c r="J25" s="194">
        <v>689</v>
      </c>
      <c r="K25" s="193">
        <v>689</v>
      </c>
      <c r="L25" s="193">
        <v>290</v>
      </c>
      <c r="M25" s="194">
        <v>290</v>
      </c>
      <c r="N25" s="284" t="s">
        <v>1</v>
      </c>
      <c r="O25" s="285" t="s">
        <v>1</v>
      </c>
      <c r="P25" s="285" t="s">
        <v>1</v>
      </c>
      <c r="Q25" s="285" t="s">
        <v>1</v>
      </c>
      <c r="R25" s="285" t="s">
        <v>1</v>
      </c>
      <c r="S25" s="286" t="s">
        <v>1</v>
      </c>
      <c r="T25" s="285" t="s">
        <v>1</v>
      </c>
      <c r="U25" s="285" t="s">
        <v>1</v>
      </c>
      <c r="V25" s="285" t="s">
        <v>1</v>
      </c>
      <c r="W25" s="285" t="s">
        <v>1</v>
      </c>
      <c r="X25" s="286" t="s">
        <v>1</v>
      </c>
      <c r="Y25" s="285" t="s">
        <v>1</v>
      </c>
      <c r="Z25" s="285" t="s">
        <v>1</v>
      </c>
      <c r="AA25" s="285" t="s">
        <v>1</v>
      </c>
      <c r="AB25" s="285" t="s">
        <v>1</v>
      </c>
      <c r="AC25" s="286" t="s">
        <v>1</v>
      </c>
      <c r="AD25" s="285" t="s">
        <v>1</v>
      </c>
      <c r="AE25" s="285" t="s">
        <v>1</v>
      </c>
      <c r="AF25" s="285" t="s">
        <v>1</v>
      </c>
      <c r="AG25" s="285" t="s">
        <v>1</v>
      </c>
      <c r="AH25" s="286" t="s">
        <v>1</v>
      </c>
      <c r="AI25" s="287" t="s">
        <v>1</v>
      </c>
      <c r="AJ25" s="287" t="s">
        <v>1</v>
      </c>
      <c r="AK25" s="287" t="s">
        <v>1</v>
      </c>
      <c r="AL25" s="286">
        <v>58</v>
      </c>
      <c r="AM25" s="288" t="s">
        <v>1</v>
      </c>
      <c r="AN25" s="287" t="s">
        <v>1</v>
      </c>
      <c r="AO25" s="287" t="s">
        <v>1</v>
      </c>
      <c r="AP25" s="286" t="s">
        <v>1</v>
      </c>
      <c r="AQ25" s="285" t="s">
        <v>1</v>
      </c>
      <c r="AR25" s="289" t="s">
        <v>1</v>
      </c>
      <c r="AS25" s="289" t="s">
        <v>1</v>
      </c>
      <c r="AT25" s="290" t="s">
        <v>1</v>
      </c>
      <c r="AU25" s="287" t="s">
        <v>1</v>
      </c>
      <c r="AV25" s="287" t="s">
        <v>1</v>
      </c>
      <c r="AW25" s="291" t="s">
        <v>1</v>
      </c>
    </row>
    <row r="26" spans="1:49" ht="30.15" customHeight="1" x14ac:dyDescent="0.25">
      <c r="A26" s="188" t="s">
        <v>18</v>
      </c>
      <c r="B26" s="188" t="s">
        <v>1</v>
      </c>
      <c r="C26" s="188" t="s">
        <v>35</v>
      </c>
      <c r="D26" s="190" t="s">
        <v>3</v>
      </c>
      <c r="E26" s="190" t="s">
        <v>711</v>
      </c>
      <c r="F26" s="203"/>
      <c r="G26" s="190" t="s">
        <v>705</v>
      </c>
      <c r="H26" s="192" t="s">
        <v>409</v>
      </c>
      <c r="I26" s="194">
        <v>600</v>
      </c>
      <c r="J26" s="194">
        <v>660</v>
      </c>
      <c r="K26" s="193">
        <v>660</v>
      </c>
      <c r="L26" s="193">
        <v>690</v>
      </c>
      <c r="M26" s="194">
        <v>690</v>
      </c>
      <c r="N26" s="284" t="s">
        <v>1</v>
      </c>
      <c r="O26" s="285" t="s">
        <v>1</v>
      </c>
      <c r="P26" s="285" t="s">
        <v>1</v>
      </c>
      <c r="Q26" s="285" t="s">
        <v>1</v>
      </c>
      <c r="R26" s="285" t="s">
        <v>1</v>
      </c>
      <c r="S26" s="286" t="s">
        <v>1</v>
      </c>
      <c r="T26" s="285" t="s">
        <v>1</v>
      </c>
      <c r="U26" s="285" t="s">
        <v>1</v>
      </c>
      <c r="V26" s="285" t="s">
        <v>1</v>
      </c>
      <c r="W26" s="285" t="s">
        <v>1</v>
      </c>
      <c r="X26" s="286" t="s">
        <v>1</v>
      </c>
      <c r="Y26" s="285" t="s">
        <v>1</v>
      </c>
      <c r="Z26" s="285" t="s">
        <v>1</v>
      </c>
      <c r="AA26" s="285" t="s">
        <v>1</v>
      </c>
      <c r="AB26" s="285" t="s">
        <v>1</v>
      </c>
      <c r="AC26" s="286" t="s">
        <v>1</v>
      </c>
      <c r="AD26" s="285" t="s">
        <v>1</v>
      </c>
      <c r="AE26" s="285" t="s">
        <v>1</v>
      </c>
      <c r="AF26" s="285" t="s">
        <v>1</v>
      </c>
      <c r="AG26" s="285" t="s">
        <v>1</v>
      </c>
      <c r="AH26" s="286" t="s">
        <v>1</v>
      </c>
      <c r="AI26" s="287" t="s">
        <v>1</v>
      </c>
      <c r="AJ26" s="287" t="s">
        <v>1</v>
      </c>
      <c r="AK26" s="287" t="s">
        <v>1</v>
      </c>
      <c r="AL26" s="286">
        <v>138</v>
      </c>
      <c r="AM26" s="288">
        <v>8.75</v>
      </c>
      <c r="AN26" s="285">
        <v>24</v>
      </c>
      <c r="AO26" s="287" t="s">
        <v>1</v>
      </c>
      <c r="AP26" s="286" t="s">
        <v>1</v>
      </c>
      <c r="AQ26" s="285" t="s">
        <v>1</v>
      </c>
      <c r="AR26" s="289" t="s">
        <v>1</v>
      </c>
      <c r="AS26" s="289" t="s">
        <v>1</v>
      </c>
      <c r="AT26" s="290" t="s">
        <v>1</v>
      </c>
      <c r="AU26" s="287" t="s">
        <v>1</v>
      </c>
      <c r="AV26" s="287" t="s">
        <v>1</v>
      </c>
      <c r="AW26" s="291" t="s">
        <v>1</v>
      </c>
    </row>
    <row r="27" spans="1:49" ht="30.15" customHeight="1" x14ac:dyDescent="0.25">
      <c r="A27" s="188" t="s">
        <v>18</v>
      </c>
      <c r="B27" s="188" t="s">
        <v>1</v>
      </c>
      <c r="C27" s="188" t="s">
        <v>35</v>
      </c>
      <c r="D27" s="190" t="s">
        <v>3</v>
      </c>
      <c r="E27" s="190" t="s">
        <v>712</v>
      </c>
      <c r="F27" s="203"/>
      <c r="G27" s="190" t="s">
        <v>705</v>
      </c>
      <c r="H27" s="192" t="s">
        <v>409</v>
      </c>
      <c r="I27" s="194">
        <v>600</v>
      </c>
      <c r="J27" s="194">
        <v>660</v>
      </c>
      <c r="K27" s="193">
        <v>660</v>
      </c>
      <c r="L27" s="193">
        <v>690</v>
      </c>
      <c r="M27" s="194">
        <v>690</v>
      </c>
      <c r="N27" s="284" t="s">
        <v>1</v>
      </c>
      <c r="O27" s="285" t="s">
        <v>1</v>
      </c>
      <c r="P27" s="285" t="s">
        <v>1</v>
      </c>
      <c r="Q27" s="285" t="s">
        <v>1</v>
      </c>
      <c r="R27" s="285" t="s">
        <v>1</v>
      </c>
      <c r="S27" s="286" t="s">
        <v>1</v>
      </c>
      <c r="T27" s="285" t="s">
        <v>1</v>
      </c>
      <c r="U27" s="285" t="s">
        <v>1</v>
      </c>
      <c r="V27" s="285" t="s">
        <v>1</v>
      </c>
      <c r="W27" s="285" t="s">
        <v>1</v>
      </c>
      <c r="X27" s="286" t="s">
        <v>1</v>
      </c>
      <c r="Y27" s="285" t="s">
        <v>1</v>
      </c>
      <c r="Z27" s="285" t="s">
        <v>1</v>
      </c>
      <c r="AA27" s="285" t="s">
        <v>1</v>
      </c>
      <c r="AB27" s="285" t="s">
        <v>1</v>
      </c>
      <c r="AC27" s="286" t="s">
        <v>1</v>
      </c>
      <c r="AD27" s="285" t="s">
        <v>1</v>
      </c>
      <c r="AE27" s="285" t="s">
        <v>1</v>
      </c>
      <c r="AF27" s="285" t="s">
        <v>1</v>
      </c>
      <c r="AG27" s="285" t="s">
        <v>1</v>
      </c>
      <c r="AH27" s="286" t="s">
        <v>1</v>
      </c>
      <c r="AI27" s="287" t="s">
        <v>1</v>
      </c>
      <c r="AJ27" s="287" t="s">
        <v>1</v>
      </c>
      <c r="AK27" s="287" t="s">
        <v>1</v>
      </c>
      <c r="AL27" s="286">
        <v>138</v>
      </c>
      <c r="AM27" s="288">
        <v>8.75</v>
      </c>
      <c r="AN27" s="285">
        <v>24</v>
      </c>
      <c r="AO27" s="287" t="s">
        <v>1</v>
      </c>
      <c r="AP27" s="286" t="s">
        <v>1</v>
      </c>
      <c r="AQ27" s="285" t="s">
        <v>1</v>
      </c>
      <c r="AR27" s="289" t="s">
        <v>1</v>
      </c>
      <c r="AS27" s="289" t="s">
        <v>1</v>
      </c>
      <c r="AT27" s="290" t="s">
        <v>1</v>
      </c>
      <c r="AU27" s="287" t="s">
        <v>1</v>
      </c>
      <c r="AV27" s="287" t="s">
        <v>1</v>
      </c>
      <c r="AW27" s="291" t="s">
        <v>1</v>
      </c>
    </row>
    <row r="28" spans="1:49" ht="30.15" customHeight="1" x14ac:dyDescent="0.25">
      <c r="A28" s="188" t="s">
        <v>18</v>
      </c>
      <c r="B28" s="188" t="s">
        <v>1</v>
      </c>
      <c r="C28" s="188" t="s">
        <v>35</v>
      </c>
      <c r="D28" s="190" t="s">
        <v>3</v>
      </c>
      <c r="E28" s="190" t="s">
        <v>713</v>
      </c>
      <c r="F28" s="203"/>
      <c r="G28" s="190" t="s">
        <v>705</v>
      </c>
      <c r="H28" s="192" t="s">
        <v>409</v>
      </c>
      <c r="I28" s="194">
        <v>600</v>
      </c>
      <c r="J28" s="194">
        <v>660</v>
      </c>
      <c r="K28" s="193">
        <v>660</v>
      </c>
      <c r="L28" s="193">
        <v>690</v>
      </c>
      <c r="M28" s="194">
        <v>690</v>
      </c>
      <c r="N28" s="284" t="s">
        <v>1</v>
      </c>
      <c r="O28" s="285" t="s">
        <v>1</v>
      </c>
      <c r="P28" s="285" t="s">
        <v>1</v>
      </c>
      <c r="Q28" s="285" t="s">
        <v>1</v>
      </c>
      <c r="R28" s="285" t="s">
        <v>1</v>
      </c>
      <c r="S28" s="286" t="s">
        <v>1</v>
      </c>
      <c r="T28" s="285" t="s">
        <v>1</v>
      </c>
      <c r="U28" s="285" t="s">
        <v>1</v>
      </c>
      <c r="V28" s="285" t="s">
        <v>1</v>
      </c>
      <c r="W28" s="285" t="s">
        <v>1</v>
      </c>
      <c r="X28" s="286" t="s">
        <v>1</v>
      </c>
      <c r="Y28" s="285" t="s">
        <v>1</v>
      </c>
      <c r="Z28" s="285" t="s">
        <v>1</v>
      </c>
      <c r="AA28" s="285" t="s">
        <v>1</v>
      </c>
      <c r="AB28" s="285" t="s">
        <v>1</v>
      </c>
      <c r="AC28" s="286" t="s">
        <v>1</v>
      </c>
      <c r="AD28" s="285" t="s">
        <v>1</v>
      </c>
      <c r="AE28" s="285" t="s">
        <v>1</v>
      </c>
      <c r="AF28" s="285" t="s">
        <v>1</v>
      </c>
      <c r="AG28" s="285" t="s">
        <v>1</v>
      </c>
      <c r="AH28" s="286" t="s">
        <v>1</v>
      </c>
      <c r="AI28" s="287" t="s">
        <v>1</v>
      </c>
      <c r="AJ28" s="287" t="s">
        <v>1</v>
      </c>
      <c r="AK28" s="287" t="s">
        <v>1</v>
      </c>
      <c r="AL28" s="286">
        <v>138</v>
      </c>
      <c r="AM28" s="288">
        <v>8.75</v>
      </c>
      <c r="AN28" s="285">
        <v>24</v>
      </c>
      <c r="AO28" s="287" t="s">
        <v>1</v>
      </c>
      <c r="AP28" s="286" t="s">
        <v>1</v>
      </c>
      <c r="AQ28" s="285" t="s">
        <v>1</v>
      </c>
      <c r="AR28" s="289" t="s">
        <v>1</v>
      </c>
      <c r="AS28" s="289" t="s">
        <v>1</v>
      </c>
      <c r="AT28" s="290" t="s">
        <v>1</v>
      </c>
      <c r="AU28" s="287" t="s">
        <v>1</v>
      </c>
      <c r="AV28" s="287" t="s">
        <v>1</v>
      </c>
      <c r="AW28" s="291" t="s">
        <v>1</v>
      </c>
    </row>
    <row r="29" spans="1:49" ht="30.15" customHeight="1" x14ac:dyDescent="0.25">
      <c r="A29" s="188" t="s">
        <v>18</v>
      </c>
      <c r="B29" s="188" t="s">
        <v>1</v>
      </c>
      <c r="C29" s="188" t="s">
        <v>35</v>
      </c>
      <c r="D29" s="190" t="s">
        <v>3</v>
      </c>
      <c r="E29" s="190" t="s">
        <v>714</v>
      </c>
      <c r="F29" s="203"/>
      <c r="G29" s="190" t="s">
        <v>706</v>
      </c>
      <c r="H29" s="192" t="s">
        <v>409</v>
      </c>
      <c r="I29" s="194">
        <v>636</v>
      </c>
      <c r="J29" s="194">
        <v>700</v>
      </c>
      <c r="K29" s="193">
        <v>700</v>
      </c>
      <c r="L29" s="193">
        <v>730</v>
      </c>
      <c r="M29" s="194">
        <v>730</v>
      </c>
      <c r="N29" s="284" t="s">
        <v>1</v>
      </c>
      <c r="O29" s="285" t="s">
        <v>1</v>
      </c>
      <c r="P29" s="285" t="s">
        <v>1</v>
      </c>
      <c r="Q29" s="285" t="s">
        <v>1</v>
      </c>
      <c r="R29" s="285" t="s">
        <v>1</v>
      </c>
      <c r="S29" s="286" t="s">
        <v>1</v>
      </c>
      <c r="T29" s="285" t="s">
        <v>1</v>
      </c>
      <c r="U29" s="285" t="s">
        <v>1</v>
      </c>
      <c r="V29" s="285" t="s">
        <v>1</v>
      </c>
      <c r="W29" s="285" t="s">
        <v>1</v>
      </c>
      <c r="X29" s="286" t="s">
        <v>1</v>
      </c>
      <c r="Y29" s="285" t="s">
        <v>1</v>
      </c>
      <c r="Z29" s="285" t="s">
        <v>1</v>
      </c>
      <c r="AA29" s="285" t="s">
        <v>1</v>
      </c>
      <c r="AB29" s="285" t="s">
        <v>1</v>
      </c>
      <c r="AC29" s="286" t="s">
        <v>1</v>
      </c>
      <c r="AD29" s="285" t="s">
        <v>1</v>
      </c>
      <c r="AE29" s="285" t="s">
        <v>1</v>
      </c>
      <c r="AF29" s="285" t="s">
        <v>1</v>
      </c>
      <c r="AG29" s="285" t="s">
        <v>1</v>
      </c>
      <c r="AH29" s="286" t="s">
        <v>1</v>
      </c>
      <c r="AI29" s="287" t="s">
        <v>1</v>
      </c>
      <c r="AJ29" s="287" t="s">
        <v>1</v>
      </c>
      <c r="AK29" s="287" t="s">
        <v>1</v>
      </c>
      <c r="AL29" s="286">
        <v>146</v>
      </c>
      <c r="AM29" s="288">
        <v>9.4200000000000017</v>
      </c>
      <c r="AN29" s="285">
        <v>24</v>
      </c>
      <c r="AO29" s="287" t="s">
        <v>1</v>
      </c>
      <c r="AP29" s="286" t="s">
        <v>1</v>
      </c>
      <c r="AQ29" s="285" t="s">
        <v>1</v>
      </c>
      <c r="AR29" s="289" t="s">
        <v>1</v>
      </c>
      <c r="AS29" s="289" t="s">
        <v>1</v>
      </c>
      <c r="AT29" s="290" t="s">
        <v>1</v>
      </c>
      <c r="AU29" s="287" t="s">
        <v>1</v>
      </c>
      <c r="AV29" s="287" t="s">
        <v>1</v>
      </c>
      <c r="AW29" s="291" t="s">
        <v>1</v>
      </c>
    </row>
    <row r="30" spans="1:49" ht="30.15" customHeight="1" x14ac:dyDescent="0.25">
      <c r="A30" s="188" t="s">
        <v>18</v>
      </c>
      <c r="B30" s="188" t="s">
        <v>1</v>
      </c>
      <c r="C30" s="188" t="s">
        <v>35</v>
      </c>
      <c r="D30" s="190" t="s">
        <v>3</v>
      </c>
      <c r="E30" s="190" t="s">
        <v>715</v>
      </c>
      <c r="F30" s="203"/>
      <c r="G30" s="190" t="s">
        <v>706</v>
      </c>
      <c r="H30" s="192" t="s">
        <v>409</v>
      </c>
      <c r="I30" s="194">
        <v>636</v>
      </c>
      <c r="J30" s="194">
        <v>700</v>
      </c>
      <c r="K30" s="193">
        <v>700</v>
      </c>
      <c r="L30" s="193">
        <v>730</v>
      </c>
      <c r="M30" s="194">
        <v>730</v>
      </c>
      <c r="N30" s="284" t="s">
        <v>1</v>
      </c>
      <c r="O30" s="285" t="s">
        <v>1</v>
      </c>
      <c r="P30" s="285" t="s">
        <v>1</v>
      </c>
      <c r="Q30" s="285" t="s">
        <v>1</v>
      </c>
      <c r="R30" s="285" t="s">
        <v>1</v>
      </c>
      <c r="S30" s="286" t="s">
        <v>1</v>
      </c>
      <c r="T30" s="285" t="s">
        <v>1</v>
      </c>
      <c r="U30" s="285" t="s">
        <v>1</v>
      </c>
      <c r="V30" s="285" t="s">
        <v>1</v>
      </c>
      <c r="W30" s="285" t="s">
        <v>1</v>
      </c>
      <c r="X30" s="286" t="s">
        <v>1</v>
      </c>
      <c r="Y30" s="285" t="s">
        <v>1</v>
      </c>
      <c r="Z30" s="285" t="s">
        <v>1</v>
      </c>
      <c r="AA30" s="285" t="s">
        <v>1</v>
      </c>
      <c r="AB30" s="285" t="s">
        <v>1</v>
      </c>
      <c r="AC30" s="286" t="s">
        <v>1</v>
      </c>
      <c r="AD30" s="285" t="s">
        <v>1</v>
      </c>
      <c r="AE30" s="285" t="s">
        <v>1</v>
      </c>
      <c r="AF30" s="285" t="s">
        <v>1</v>
      </c>
      <c r="AG30" s="285" t="s">
        <v>1</v>
      </c>
      <c r="AH30" s="286" t="s">
        <v>1</v>
      </c>
      <c r="AI30" s="287" t="s">
        <v>1</v>
      </c>
      <c r="AJ30" s="287" t="s">
        <v>1</v>
      </c>
      <c r="AK30" s="287" t="s">
        <v>1</v>
      </c>
      <c r="AL30" s="286">
        <v>146</v>
      </c>
      <c r="AM30" s="288">
        <v>9.4200000000000017</v>
      </c>
      <c r="AN30" s="285">
        <v>24</v>
      </c>
      <c r="AO30" s="287" t="s">
        <v>1</v>
      </c>
      <c r="AP30" s="286" t="s">
        <v>1</v>
      </c>
      <c r="AQ30" s="285" t="s">
        <v>1</v>
      </c>
      <c r="AR30" s="289" t="s">
        <v>1</v>
      </c>
      <c r="AS30" s="289" t="s">
        <v>1</v>
      </c>
      <c r="AT30" s="290" t="s">
        <v>1</v>
      </c>
      <c r="AU30" s="287" t="s">
        <v>1</v>
      </c>
      <c r="AV30" s="287" t="s">
        <v>1</v>
      </c>
      <c r="AW30" s="291" t="s">
        <v>1</v>
      </c>
    </row>
    <row r="31" spans="1:49" ht="30.15" customHeight="1" x14ac:dyDescent="0.25">
      <c r="A31" s="188" t="s">
        <v>18</v>
      </c>
      <c r="B31" s="188" t="s">
        <v>1</v>
      </c>
      <c r="C31" s="188" t="s">
        <v>35</v>
      </c>
      <c r="D31" s="190" t="s">
        <v>3</v>
      </c>
      <c r="E31" s="190" t="s">
        <v>716</v>
      </c>
      <c r="F31" s="203"/>
      <c r="G31" s="190" t="s">
        <v>706</v>
      </c>
      <c r="H31" s="192" t="s">
        <v>409</v>
      </c>
      <c r="I31" s="194">
        <v>636</v>
      </c>
      <c r="J31" s="194">
        <v>700</v>
      </c>
      <c r="K31" s="193">
        <v>700</v>
      </c>
      <c r="L31" s="193">
        <v>730</v>
      </c>
      <c r="M31" s="194">
        <v>730</v>
      </c>
      <c r="N31" s="284" t="s">
        <v>1</v>
      </c>
      <c r="O31" s="285" t="s">
        <v>1</v>
      </c>
      <c r="P31" s="285" t="s">
        <v>1</v>
      </c>
      <c r="Q31" s="285" t="s">
        <v>1</v>
      </c>
      <c r="R31" s="285" t="s">
        <v>1</v>
      </c>
      <c r="S31" s="286" t="s">
        <v>1</v>
      </c>
      <c r="T31" s="285" t="s">
        <v>1</v>
      </c>
      <c r="U31" s="285" t="s">
        <v>1</v>
      </c>
      <c r="V31" s="285" t="s">
        <v>1</v>
      </c>
      <c r="W31" s="285" t="s">
        <v>1</v>
      </c>
      <c r="X31" s="286" t="s">
        <v>1</v>
      </c>
      <c r="Y31" s="285" t="s">
        <v>1</v>
      </c>
      <c r="Z31" s="285" t="s">
        <v>1</v>
      </c>
      <c r="AA31" s="285" t="s">
        <v>1</v>
      </c>
      <c r="AB31" s="285" t="s">
        <v>1</v>
      </c>
      <c r="AC31" s="286" t="s">
        <v>1</v>
      </c>
      <c r="AD31" s="285" t="s">
        <v>1</v>
      </c>
      <c r="AE31" s="285" t="s">
        <v>1</v>
      </c>
      <c r="AF31" s="285" t="s">
        <v>1</v>
      </c>
      <c r="AG31" s="285" t="s">
        <v>1</v>
      </c>
      <c r="AH31" s="286" t="s">
        <v>1</v>
      </c>
      <c r="AI31" s="287" t="s">
        <v>1</v>
      </c>
      <c r="AJ31" s="287" t="s">
        <v>1</v>
      </c>
      <c r="AK31" s="287" t="s">
        <v>1</v>
      </c>
      <c r="AL31" s="286">
        <v>146</v>
      </c>
      <c r="AM31" s="288">
        <v>9.4200000000000017</v>
      </c>
      <c r="AN31" s="285">
        <v>24</v>
      </c>
      <c r="AO31" s="287" t="s">
        <v>1</v>
      </c>
      <c r="AP31" s="286" t="s">
        <v>1</v>
      </c>
      <c r="AQ31" s="285" t="s">
        <v>1</v>
      </c>
      <c r="AR31" s="289" t="s">
        <v>1</v>
      </c>
      <c r="AS31" s="289" t="s">
        <v>1</v>
      </c>
      <c r="AT31" s="290" t="s">
        <v>1</v>
      </c>
      <c r="AU31" s="287" t="s">
        <v>1</v>
      </c>
      <c r="AV31" s="287" t="s">
        <v>1</v>
      </c>
      <c r="AW31" s="291" t="s">
        <v>1</v>
      </c>
    </row>
    <row r="32" spans="1:49" ht="30.15" customHeight="1" x14ac:dyDescent="0.25">
      <c r="A32" s="188" t="s">
        <v>18</v>
      </c>
      <c r="B32" s="188" t="s">
        <v>1</v>
      </c>
      <c r="C32" s="188" t="s">
        <v>35</v>
      </c>
      <c r="D32" s="190" t="s">
        <v>3</v>
      </c>
      <c r="E32" s="190" t="s">
        <v>718</v>
      </c>
      <c r="F32" s="203"/>
      <c r="G32" s="190" t="s">
        <v>717</v>
      </c>
      <c r="H32" s="192" t="s">
        <v>409</v>
      </c>
      <c r="I32" s="194">
        <v>902</v>
      </c>
      <c r="J32" s="194">
        <v>990</v>
      </c>
      <c r="K32" s="193">
        <v>990</v>
      </c>
      <c r="L32" s="193">
        <v>1040</v>
      </c>
      <c r="M32" s="194">
        <v>1040</v>
      </c>
      <c r="N32" s="284" t="s">
        <v>1</v>
      </c>
      <c r="O32" s="285" t="s">
        <v>1</v>
      </c>
      <c r="P32" s="285" t="s">
        <v>1</v>
      </c>
      <c r="Q32" s="285" t="s">
        <v>1</v>
      </c>
      <c r="R32" s="285" t="s">
        <v>1</v>
      </c>
      <c r="S32" s="286" t="s">
        <v>1</v>
      </c>
      <c r="T32" s="285" t="s">
        <v>1</v>
      </c>
      <c r="U32" s="285" t="s">
        <v>1</v>
      </c>
      <c r="V32" s="285" t="s">
        <v>1</v>
      </c>
      <c r="W32" s="285" t="s">
        <v>1</v>
      </c>
      <c r="X32" s="286" t="s">
        <v>1</v>
      </c>
      <c r="Y32" s="285" t="s">
        <v>1</v>
      </c>
      <c r="Z32" s="285" t="s">
        <v>1</v>
      </c>
      <c r="AA32" s="285" t="s">
        <v>1</v>
      </c>
      <c r="AB32" s="285" t="s">
        <v>1</v>
      </c>
      <c r="AC32" s="286" t="s">
        <v>1</v>
      </c>
      <c r="AD32" s="285" t="s">
        <v>1</v>
      </c>
      <c r="AE32" s="285" t="s">
        <v>1</v>
      </c>
      <c r="AF32" s="285" t="s">
        <v>1</v>
      </c>
      <c r="AG32" s="285" t="s">
        <v>1</v>
      </c>
      <c r="AH32" s="286" t="s">
        <v>1</v>
      </c>
      <c r="AI32" s="287" t="s">
        <v>1</v>
      </c>
      <c r="AJ32" s="287" t="s">
        <v>1</v>
      </c>
      <c r="AK32" s="287" t="s">
        <v>1</v>
      </c>
      <c r="AL32" s="286">
        <v>208</v>
      </c>
      <c r="AM32" s="288" t="s">
        <v>1</v>
      </c>
      <c r="AN32" s="287" t="s">
        <v>1</v>
      </c>
      <c r="AO32" s="287" t="s">
        <v>1</v>
      </c>
      <c r="AP32" s="286" t="s">
        <v>1</v>
      </c>
      <c r="AQ32" s="285" t="s">
        <v>1</v>
      </c>
      <c r="AR32" s="289" t="s">
        <v>1</v>
      </c>
      <c r="AS32" s="289" t="s">
        <v>1</v>
      </c>
      <c r="AT32" s="290" t="s">
        <v>1</v>
      </c>
      <c r="AU32" s="287" t="s">
        <v>1</v>
      </c>
      <c r="AV32" s="287" t="s">
        <v>1</v>
      </c>
      <c r="AW32" s="291" t="s">
        <v>1</v>
      </c>
    </row>
    <row r="33" spans="1:49" ht="30.15" customHeight="1" x14ac:dyDescent="0.25">
      <c r="A33" s="188" t="s">
        <v>18</v>
      </c>
      <c r="B33" s="188" t="s">
        <v>1</v>
      </c>
      <c r="C33" s="188" t="s">
        <v>35</v>
      </c>
      <c r="D33" s="190" t="s">
        <v>3</v>
      </c>
      <c r="E33" s="190" t="s">
        <v>940</v>
      </c>
      <c r="F33" s="203"/>
      <c r="G33" s="190" t="s">
        <v>936</v>
      </c>
      <c r="H33" s="192" t="s">
        <v>409</v>
      </c>
      <c r="I33" s="194">
        <v>659</v>
      </c>
      <c r="J33" s="194">
        <v>665</v>
      </c>
      <c r="K33" s="194">
        <v>665</v>
      </c>
      <c r="L33" s="193">
        <v>698</v>
      </c>
      <c r="M33" s="194">
        <v>698</v>
      </c>
      <c r="N33" s="284" t="s">
        <v>1</v>
      </c>
      <c r="O33" s="285" t="s">
        <v>1</v>
      </c>
      <c r="P33" s="285" t="s">
        <v>1</v>
      </c>
      <c r="Q33" s="285" t="s">
        <v>1</v>
      </c>
      <c r="R33" s="285" t="s">
        <v>1</v>
      </c>
      <c r="S33" s="286" t="s">
        <v>1</v>
      </c>
      <c r="T33" s="285" t="s">
        <v>1</v>
      </c>
      <c r="U33" s="285" t="s">
        <v>1</v>
      </c>
      <c r="V33" s="285" t="s">
        <v>1</v>
      </c>
      <c r="W33" s="285" t="s">
        <v>1</v>
      </c>
      <c r="X33" s="286" t="s">
        <v>1</v>
      </c>
      <c r="Y33" s="285" t="s">
        <v>1</v>
      </c>
      <c r="Z33" s="285" t="s">
        <v>1</v>
      </c>
      <c r="AA33" s="285" t="s">
        <v>1</v>
      </c>
      <c r="AB33" s="285" t="s">
        <v>1</v>
      </c>
      <c r="AC33" s="286" t="s">
        <v>1</v>
      </c>
      <c r="AD33" s="285" t="s">
        <v>1</v>
      </c>
      <c r="AE33" s="285" t="s">
        <v>1</v>
      </c>
      <c r="AF33" s="285" t="s">
        <v>1</v>
      </c>
      <c r="AG33" s="285" t="s">
        <v>1</v>
      </c>
      <c r="AH33" s="286" t="s">
        <v>1</v>
      </c>
      <c r="AI33" s="287" t="s">
        <v>1</v>
      </c>
      <c r="AJ33" s="287" t="s">
        <v>1</v>
      </c>
      <c r="AK33" s="287" t="s">
        <v>1</v>
      </c>
      <c r="AL33" s="286">
        <v>139.6</v>
      </c>
      <c r="AM33" s="288" t="s">
        <v>1</v>
      </c>
      <c r="AN33" s="287" t="s">
        <v>1</v>
      </c>
      <c r="AO33" s="287" t="s">
        <v>1</v>
      </c>
      <c r="AP33" s="286" t="s">
        <v>1</v>
      </c>
      <c r="AQ33" s="285" t="s">
        <v>1</v>
      </c>
      <c r="AR33" s="289" t="s">
        <v>1</v>
      </c>
      <c r="AS33" s="289" t="s">
        <v>1</v>
      </c>
      <c r="AT33" s="290" t="s">
        <v>1</v>
      </c>
      <c r="AU33" s="287" t="s">
        <v>1</v>
      </c>
      <c r="AV33" s="287" t="s">
        <v>1</v>
      </c>
      <c r="AW33" s="291" t="s">
        <v>1</v>
      </c>
    </row>
    <row r="34" spans="1:49" ht="30.15" customHeight="1" x14ac:dyDescent="0.25">
      <c r="A34" s="188" t="s">
        <v>18</v>
      </c>
      <c r="B34" s="188" t="s">
        <v>1</v>
      </c>
      <c r="C34" s="188" t="s">
        <v>35</v>
      </c>
      <c r="D34" s="190" t="s">
        <v>3</v>
      </c>
      <c r="E34" s="190" t="s">
        <v>941</v>
      </c>
      <c r="F34" s="203"/>
      <c r="G34" s="190" t="s">
        <v>936</v>
      </c>
      <c r="H34" s="192" t="s">
        <v>409</v>
      </c>
      <c r="I34" s="194">
        <v>659</v>
      </c>
      <c r="J34" s="194">
        <v>665</v>
      </c>
      <c r="K34" s="194">
        <v>665</v>
      </c>
      <c r="L34" s="193">
        <v>698</v>
      </c>
      <c r="M34" s="194">
        <v>698</v>
      </c>
      <c r="N34" s="284" t="s">
        <v>1</v>
      </c>
      <c r="O34" s="285" t="s">
        <v>1</v>
      </c>
      <c r="P34" s="285" t="s">
        <v>1</v>
      </c>
      <c r="Q34" s="285" t="s">
        <v>1</v>
      </c>
      <c r="R34" s="285" t="s">
        <v>1</v>
      </c>
      <c r="S34" s="286" t="s">
        <v>1</v>
      </c>
      <c r="T34" s="285" t="s">
        <v>1</v>
      </c>
      <c r="U34" s="285" t="s">
        <v>1</v>
      </c>
      <c r="V34" s="285" t="s">
        <v>1</v>
      </c>
      <c r="W34" s="285" t="s">
        <v>1</v>
      </c>
      <c r="X34" s="286" t="s">
        <v>1</v>
      </c>
      <c r="Y34" s="285" t="s">
        <v>1</v>
      </c>
      <c r="Z34" s="285" t="s">
        <v>1</v>
      </c>
      <c r="AA34" s="285" t="s">
        <v>1</v>
      </c>
      <c r="AB34" s="285" t="s">
        <v>1</v>
      </c>
      <c r="AC34" s="286" t="s">
        <v>1</v>
      </c>
      <c r="AD34" s="285" t="s">
        <v>1</v>
      </c>
      <c r="AE34" s="285" t="s">
        <v>1</v>
      </c>
      <c r="AF34" s="285" t="s">
        <v>1</v>
      </c>
      <c r="AG34" s="285" t="s">
        <v>1</v>
      </c>
      <c r="AH34" s="286" t="s">
        <v>1</v>
      </c>
      <c r="AI34" s="287" t="s">
        <v>1</v>
      </c>
      <c r="AJ34" s="287" t="s">
        <v>1</v>
      </c>
      <c r="AK34" s="287" t="s">
        <v>1</v>
      </c>
      <c r="AL34" s="286">
        <v>139.6</v>
      </c>
      <c r="AM34" s="288" t="s">
        <v>1</v>
      </c>
      <c r="AN34" s="287" t="s">
        <v>1</v>
      </c>
      <c r="AO34" s="287" t="s">
        <v>1</v>
      </c>
      <c r="AP34" s="286" t="s">
        <v>1</v>
      </c>
      <c r="AQ34" s="285" t="s">
        <v>1</v>
      </c>
      <c r="AR34" s="289" t="s">
        <v>1</v>
      </c>
      <c r="AS34" s="289" t="s">
        <v>1</v>
      </c>
      <c r="AT34" s="290" t="s">
        <v>1</v>
      </c>
      <c r="AU34" s="287" t="s">
        <v>1</v>
      </c>
      <c r="AV34" s="287" t="s">
        <v>1</v>
      </c>
      <c r="AW34" s="291" t="s">
        <v>1</v>
      </c>
    </row>
    <row r="35" spans="1:49" ht="30.15" customHeight="1" x14ac:dyDescent="0.25">
      <c r="A35" s="188" t="s">
        <v>18</v>
      </c>
      <c r="B35" s="188" t="s">
        <v>1</v>
      </c>
      <c r="C35" s="188" t="s">
        <v>35</v>
      </c>
      <c r="D35" s="190" t="s">
        <v>3</v>
      </c>
      <c r="E35" s="190" t="s">
        <v>942</v>
      </c>
      <c r="F35" s="203"/>
      <c r="G35" s="190" t="s">
        <v>936</v>
      </c>
      <c r="H35" s="192" t="s">
        <v>409</v>
      </c>
      <c r="I35" s="194">
        <v>659</v>
      </c>
      <c r="J35" s="194">
        <v>665</v>
      </c>
      <c r="K35" s="194">
        <v>665</v>
      </c>
      <c r="L35" s="193">
        <v>698</v>
      </c>
      <c r="M35" s="194">
        <v>698</v>
      </c>
      <c r="N35" s="284" t="s">
        <v>1</v>
      </c>
      <c r="O35" s="285" t="s">
        <v>1</v>
      </c>
      <c r="P35" s="285" t="s">
        <v>1</v>
      </c>
      <c r="Q35" s="285" t="s">
        <v>1</v>
      </c>
      <c r="R35" s="285" t="s">
        <v>1</v>
      </c>
      <c r="S35" s="286" t="s">
        <v>1</v>
      </c>
      <c r="T35" s="285" t="s">
        <v>1</v>
      </c>
      <c r="U35" s="285" t="s">
        <v>1</v>
      </c>
      <c r="V35" s="285" t="s">
        <v>1</v>
      </c>
      <c r="W35" s="285" t="s">
        <v>1</v>
      </c>
      <c r="X35" s="286" t="s">
        <v>1</v>
      </c>
      <c r="Y35" s="285" t="s">
        <v>1</v>
      </c>
      <c r="Z35" s="285" t="s">
        <v>1</v>
      </c>
      <c r="AA35" s="285" t="s">
        <v>1</v>
      </c>
      <c r="AB35" s="285" t="s">
        <v>1</v>
      </c>
      <c r="AC35" s="286" t="s">
        <v>1</v>
      </c>
      <c r="AD35" s="285" t="s">
        <v>1</v>
      </c>
      <c r="AE35" s="285" t="s">
        <v>1</v>
      </c>
      <c r="AF35" s="285" t="s">
        <v>1</v>
      </c>
      <c r="AG35" s="285" t="s">
        <v>1</v>
      </c>
      <c r="AH35" s="286" t="s">
        <v>1</v>
      </c>
      <c r="AI35" s="287" t="s">
        <v>1</v>
      </c>
      <c r="AJ35" s="287" t="s">
        <v>1</v>
      </c>
      <c r="AK35" s="287" t="s">
        <v>1</v>
      </c>
      <c r="AL35" s="286">
        <v>139.6</v>
      </c>
      <c r="AM35" s="288" t="s">
        <v>1</v>
      </c>
      <c r="AN35" s="287" t="s">
        <v>1</v>
      </c>
      <c r="AO35" s="287" t="s">
        <v>1</v>
      </c>
      <c r="AP35" s="286" t="s">
        <v>1</v>
      </c>
      <c r="AQ35" s="285" t="s">
        <v>1</v>
      </c>
      <c r="AR35" s="289" t="s">
        <v>1</v>
      </c>
      <c r="AS35" s="289" t="s">
        <v>1</v>
      </c>
      <c r="AT35" s="290" t="s">
        <v>1</v>
      </c>
      <c r="AU35" s="287" t="s">
        <v>1</v>
      </c>
      <c r="AV35" s="287" t="s">
        <v>1</v>
      </c>
      <c r="AW35" s="291" t="s">
        <v>1</v>
      </c>
    </row>
    <row r="36" spans="1:49" ht="30.15" customHeight="1" x14ac:dyDescent="0.25">
      <c r="A36" s="188" t="s">
        <v>18</v>
      </c>
      <c r="B36" s="188" t="s">
        <v>1</v>
      </c>
      <c r="C36" s="188" t="s">
        <v>35</v>
      </c>
      <c r="D36" s="190" t="s">
        <v>3</v>
      </c>
      <c r="E36" s="190" t="s">
        <v>943</v>
      </c>
      <c r="F36" s="203"/>
      <c r="G36" s="190" t="s">
        <v>937</v>
      </c>
      <c r="H36" s="192" t="s">
        <v>409</v>
      </c>
      <c r="I36" s="194">
        <v>699</v>
      </c>
      <c r="J36" s="194">
        <v>703</v>
      </c>
      <c r="K36" s="194">
        <v>703</v>
      </c>
      <c r="L36" s="193">
        <v>740</v>
      </c>
      <c r="M36" s="194">
        <v>740</v>
      </c>
      <c r="N36" s="284" t="s">
        <v>1</v>
      </c>
      <c r="O36" s="285" t="s">
        <v>1</v>
      </c>
      <c r="P36" s="285" t="s">
        <v>1</v>
      </c>
      <c r="Q36" s="285" t="s">
        <v>1</v>
      </c>
      <c r="R36" s="285" t="s">
        <v>1</v>
      </c>
      <c r="S36" s="286" t="s">
        <v>1</v>
      </c>
      <c r="T36" s="285" t="s">
        <v>1</v>
      </c>
      <c r="U36" s="285" t="s">
        <v>1</v>
      </c>
      <c r="V36" s="285" t="s">
        <v>1</v>
      </c>
      <c r="W36" s="285" t="s">
        <v>1</v>
      </c>
      <c r="X36" s="286" t="s">
        <v>1</v>
      </c>
      <c r="Y36" s="285" t="s">
        <v>1</v>
      </c>
      <c r="Z36" s="285" t="s">
        <v>1</v>
      </c>
      <c r="AA36" s="285" t="s">
        <v>1</v>
      </c>
      <c r="AB36" s="285" t="s">
        <v>1</v>
      </c>
      <c r="AC36" s="286" t="s">
        <v>1</v>
      </c>
      <c r="AD36" s="285" t="s">
        <v>1</v>
      </c>
      <c r="AE36" s="285" t="s">
        <v>1</v>
      </c>
      <c r="AF36" s="285" t="s">
        <v>1</v>
      </c>
      <c r="AG36" s="285" t="s">
        <v>1</v>
      </c>
      <c r="AH36" s="286" t="s">
        <v>1</v>
      </c>
      <c r="AI36" s="295" t="s">
        <v>1</v>
      </c>
      <c r="AJ36" s="295" t="s">
        <v>1</v>
      </c>
      <c r="AK36" s="295" t="s">
        <v>1</v>
      </c>
      <c r="AL36" s="286">
        <v>148</v>
      </c>
      <c r="AM36" s="288" t="s">
        <v>1</v>
      </c>
      <c r="AN36" s="287" t="s">
        <v>1</v>
      </c>
      <c r="AO36" s="287" t="s">
        <v>1</v>
      </c>
      <c r="AP36" s="286" t="s">
        <v>1</v>
      </c>
      <c r="AQ36" s="285" t="s">
        <v>1</v>
      </c>
      <c r="AR36" s="289" t="s">
        <v>1</v>
      </c>
      <c r="AS36" s="289" t="s">
        <v>1</v>
      </c>
      <c r="AT36" s="290" t="s">
        <v>1</v>
      </c>
      <c r="AU36" s="287" t="s">
        <v>1</v>
      </c>
      <c r="AV36" s="287" t="s">
        <v>1</v>
      </c>
      <c r="AW36" s="291" t="s">
        <v>1</v>
      </c>
    </row>
    <row r="37" spans="1:49" ht="30.15" customHeight="1" x14ac:dyDescent="0.25">
      <c r="A37" s="188" t="s">
        <v>18</v>
      </c>
      <c r="B37" s="188" t="s">
        <v>1</v>
      </c>
      <c r="C37" s="188" t="s">
        <v>35</v>
      </c>
      <c r="D37" s="190" t="s">
        <v>3</v>
      </c>
      <c r="E37" s="190" t="s">
        <v>944</v>
      </c>
      <c r="F37" s="203"/>
      <c r="G37" s="190" t="s">
        <v>937</v>
      </c>
      <c r="H37" s="192" t="s">
        <v>409</v>
      </c>
      <c r="I37" s="194">
        <v>699</v>
      </c>
      <c r="J37" s="194">
        <v>703</v>
      </c>
      <c r="K37" s="194">
        <v>703</v>
      </c>
      <c r="L37" s="193">
        <v>740</v>
      </c>
      <c r="M37" s="194">
        <v>740</v>
      </c>
      <c r="N37" s="284" t="s">
        <v>1</v>
      </c>
      <c r="O37" s="285" t="s">
        <v>1</v>
      </c>
      <c r="P37" s="285" t="s">
        <v>1</v>
      </c>
      <c r="Q37" s="285" t="s">
        <v>1</v>
      </c>
      <c r="R37" s="285" t="s">
        <v>1</v>
      </c>
      <c r="S37" s="286" t="s">
        <v>1</v>
      </c>
      <c r="T37" s="285" t="s">
        <v>1</v>
      </c>
      <c r="U37" s="285" t="s">
        <v>1</v>
      </c>
      <c r="V37" s="285" t="s">
        <v>1</v>
      </c>
      <c r="W37" s="285" t="s">
        <v>1</v>
      </c>
      <c r="X37" s="286" t="s">
        <v>1</v>
      </c>
      <c r="Y37" s="285" t="s">
        <v>1</v>
      </c>
      <c r="Z37" s="285" t="s">
        <v>1</v>
      </c>
      <c r="AA37" s="285" t="s">
        <v>1</v>
      </c>
      <c r="AB37" s="285" t="s">
        <v>1</v>
      </c>
      <c r="AC37" s="286" t="s">
        <v>1</v>
      </c>
      <c r="AD37" s="285" t="s">
        <v>1</v>
      </c>
      <c r="AE37" s="285" t="s">
        <v>1</v>
      </c>
      <c r="AF37" s="285" t="s">
        <v>1</v>
      </c>
      <c r="AG37" s="285" t="s">
        <v>1</v>
      </c>
      <c r="AH37" s="286" t="s">
        <v>1</v>
      </c>
      <c r="AI37" s="295" t="s">
        <v>1</v>
      </c>
      <c r="AJ37" s="295" t="s">
        <v>1</v>
      </c>
      <c r="AK37" s="295" t="s">
        <v>1</v>
      </c>
      <c r="AL37" s="286">
        <v>148</v>
      </c>
      <c r="AM37" s="288" t="s">
        <v>1</v>
      </c>
      <c r="AN37" s="287" t="s">
        <v>1</v>
      </c>
      <c r="AO37" s="287" t="s">
        <v>1</v>
      </c>
      <c r="AP37" s="286" t="s">
        <v>1</v>
      </c>
      <c r="AQ37" s="285" t="s">
        <v>1</v>
      </c>
      <c r="AR37" s="289" t="s">
        <v>1</v>
      </c>
      <c r="AS37" s="289" t="s">
        <v>1</v>
      </c>
      <c r="AT37" s="290" t="s">
        <v>1</v>
      </c>
      <c r="AU37" s="287" t="s">
        <v>1</v>
      </c>
      <c r="AV37" s="287" t="s">
        <v>1</v>
      </c>
      <c r="AW37" s="291" t="s">
        <v>1</v>
      </c>
    </row>
    <row r="38" spans="1:49" ht="30.15" customHeight="1" x14ac:dyDescent="0.25">
      <c r="A38" s="188" t="s">
        <v>18</v>
      </c>
      <c r="B38" s="188" t="s">
        <v>1</v>
      </c>
      <c r="C38" s="188" t="s">
        <v>35</v>
      </c>
      <c r="D38" s="190" t="s">
        <v>3</v>
      </c>
      <c r="E38" s="190" t="s">
        <v>945</v>
      </c>
      <c r="F38" s="203"/>
      <c r="G38" s="190" t="s">
        <v>937</v>
      </c>
      <c r="H38" s="192" t="s">
        <v>409</v>
      </c>
      <c r="I38" s="194">
        <v>699</v>
      </c>
      <c r="J38" s="194">
        <v>703</v>
      </c>
      <c r="K38" s="194">
        <v>703</v>
      </c>
      <c r="L38" s="193">
        <v>740</v>
      </c>
      <c r="M38" s="194">
        <v>740</v>
      </c>
      <c r="N38" s="284" t="s">
        <v>1</v>
      </c>
      <c r="O38" s="285" t="s">
        <v>1</v>
      </c>
      <c r="P38" s="285" t="s">
        <v>1</v>
      </c>
      <c r="Q38" s="285" t="s">
        <v>1</v>
      </c>
      <c r="R38" s="285" t="s">
        <v>1</v>
      </c>
      <c r="S38" s="286" t="s">
        <v>1</v>
      </c>
      <c r="T38" s="285" t="s">
        <v>1</v>
      </c>
      <c r="U38" s="285" t="s">
        <v>1</v>
      </c>
      <c r="V38" s="285" t="s">
        <v>1</v>
      </c>
      <c r="W38" s="285" t="s">
        <v>1</v>
      </c>
      <c r="X38" s="286" t="s">
        <v>1</v>
      </c>
      <c r="Y38" s="285" t="s">
        <v>1</v>
      </c>
      <c r="Z38" s="285" t="s">
        <v>1</v>
      </c>
      <c r="AA38" s="285" t="s">
        <v>1</v>
      </c>
      <c r="AB38" s="285" t="s">
        <v>1</v>
      </c>
      <c r="AC38" s="286" t="s">
        <v>1</v>
      </c>
      <c r="AD38" s="285" t="s">
        <v>1</v>
      </c>
      <c r="AE38" s="285" t="s">
        <v>1</v>
      </c>
      <c r="AF38" s="285" t="s">
        <v>1</v>
      </c>
      <c r="AG38" s="285" t="s">
        <v>1</v>
      </c>
      <c r="AH38" s="286" t="s">
        <v>1</v>
      </c>
      <c r="AI38" s="295" t="s">
        <v>1</v>
      </c>
      <c r="AJ38" s="295" t="s">
        <v>1</v>
      </c>
      <c r="AK38" s="295" t="s">
        <v>1</v>
      </c>
      <c r="AL38" s="286">
        <v>148</v>
      </c>
      <c r="AM38" s="288" t="s">
        <v>1</v>
      </c>
      <c r="AN38" s="287" t="s">
        <v>1</v>
      </c>
      <c r="AO38" s="287" t="s">
        <v>1</v>
      </c>
      <c r="AP38" s="286" t="s">
        <v>1</v>
      </c>
      <c r="AQ38" s="285" t="s">
        <v>1</v>
      </c>
      <c r="AR38" s="289" t="s">
        <v>1</v>
      </c>
      <c r="AS38" s="289" t="s">
        <v>1</v>
      </c>
      <c r="AT38" s="290" t="s">
        <v>1</v>
      </c>
      <c r="AU38" s="287" t="s">
        <v>1</v>
      </c>
      <c r="AV38" s="287" t="s">
        <v>1</v>
      </c>
      <c r="AW38" s="291" t="s">
        <v>1</v>
      </c>
    </row>
    <row r="39" spans="1:49" ht="30.15" customHeight="1" x14ac:dyDescent="0.25">
      <c r="A39" s="188" t="s">
        <v>18</v>
      </c>
      <c r="B39" s="188" t="s">
        <v>1</v>
      </c>
      <c r="C39" s="188" t="s">
        <v>35</v>
      </c>
      <c r="D39" s="190" t="s">
        <v>3</v>
      </c>
      <c r="E39" s="190" t="s">
        <v>948</v>
      </c>
      <c r="F39" s="203"/>
      <c r="G39" s="190" t="s">
        <v>946</v>
      </c>
      <c r="H39" s="192" t="s">
        <v>409</v>
      </c>
      <c r="I39" s="194">
        <v>429</v>
      </c>
      <c r="J39" s="194">
        <v>432</v>
      </c>
      <c r="K39" s="194">
        <v>432</v>
      </c>
      <c r="L39" s="193">
        <v>454</v>
      </c>
      <c r="M39" s="194">
        <v>454</v>
      </c>
      <c r="N39" s="284" t="s">
        <v>1</v>
      </c>
      <c r="O39" s="285" t="s">
        <v>1</v>
      </c>
      <c r="P39" s="285" t="s">
        <v>1</v>
      </c>
      <c r="Q39" s="285" t="s">
        <v>1</v>
      </c>
      <c r="R39" s="285" t="s">
        <v>1</v>
      </c>
      <c r="S39" s="286" t="s">
        <v>1</v>
      </c>
      <c r="T39" s="285" t="s">
        <v>1</v>
      </c>
      <c r="U39" s="285" t="s">
        <v>1</v>
      </c>
      <c r="V39" s="285" t="s">
        <v>1</v>
      </c>
      <c r="W39" s="285" t="s">
        <v>1</v>
      </c>
      <c r="X39" s="286" t="s">
        <v>1</v>
      </c>
      <c r="Y39" s="285" t="s">
        <v>1</v>
      </c>
      <c r="Z39" s="285" t="s">
        <v>1</v>
      </c>
      <c r="AA39" s="285" t="s">
        <v>1</v>
      </c>
      <c r="AB39" s="285" t="s">
        <v>1</v>
      </c>
      <c r="AC39" s="286" t="s">
        <v>1</v>
      </c>
      <c r="AD39" s="285" t="s">
        <v>1</v>
      </c>
      <c r="AE39" s="285" t="s">
        <v>1</v>
      </c>
      <c r="AF39" s="285" t="s">
        <v>1</v>
      </c>
      <c r="AG39" s="285" t="s">
        <v>1</v>
      </c>
      <c r="AH39" s="286" t="s">
        <v>1</v>
      </c>
      <c r="AI39" s="295" t="s">
        <v>1</v>
      </c>
      <c r="AJ39" s="295" t="s">
        <v>1</v>
      </c>
      <c r="AK39" s="295" t="s">
        <v>1</v>
      </c>
      <c r="AL39" s="286">
        <v>90.8</v>
      </c>
      <c r="AM39" s="288" t="s">
        <v>1</v>
      </c>
      <c r="AN39" s="287" t="s">
        <v>1</v>
      </c>
      <c r="AO39" s="287" t="s">
        <v>1</v>
      </c>
      <c r="AP39" s="286" t="s">
        <v>1</v>
      </c>
      <c r="AQ39" s="285" t="s">
        <v>1</v>
      </c>
      <c r="AR39" s="289" t="s">
        <v>1</v>
      </c>
      <c r="AS39" s="289" t="s">
        <v>1</v>
      </c>
      <c r="AT39" s="290" t="s">
        <v>1</v>
      </c>
      <c r="AU39" s="287" t="s">
        <v>1</v>
      </c>
      <c r="AV39" s="287" t="s">
        <v>1</v>
      </c>
      <c r="AW39" s="291" t="s">
        <v>1</v>
      </c>
    </row>
    <row r="40" spans="1:49" ht="30.15" customHeight="1" x14ac:dyDescent="0.25">
      <c r="A40" s="188" t="s">
        <v>18</v>
      </c>
      <c r="B40" s="188" t="s">
        <v>1</v>
      </c>
      <c r="C40" s="188" t="s">
        <v>35</v>
      </c>
      <c r="D40" s="190" t="s">
        <v>3</v>
      </c>
      <c r="E40" s="190" t="s">
        <v>949</v>
      </c>
      <c r="F40" s="203"/>
      <c r="G40" s="190" t="s">
        <v>946</v>
      </c>
      <c r="H40" s="192" t="s">
        <v>409</v>
      </c>
      <c r="I40" s="194">
        <v>429</v>
      </c>
      <c r="J40" s="194">
        <v>432</v>
      </c>
      <c r="K40" s="194">
        <v>432</v>
      </c>
      <c r="L40" s="193">
        <v>454</v>
      </c>
      <c r="M40" s="194">
        <v>454</v>
      </c>
      <c r="N40" s="284" t="s">
        <v>1</v>
      </c>
      <c r="O40" s="285" t="s">
        <v>1</v>
      </c>
      <c r="P40" s="285" t="s">
        <v>1</v>
      </c>
      <c r="Q40" s="285" t="s">
        <v>1</v>
      </c>
      <c r="R40" s="285" t="s">
        <v>1</v>
      </c>
      <c r="S40" s="286" t="s">
        <v>1</v>
      </c>
      <c r="T40" s="285" t="s">
        <v>1</v>
      </c>
      <c r="U40" s="285" t="s">
        <v>1</v>
      </c>
      <c r="V40" s="285" t="s">
        <v>1</v>
      </c>
      <c r="W40" s="285" t="s">
        <v>1</v>
      </c>
      <c r="X40" s="286" t="s">
        <v>1</v>
      </c>
      <c r="Y40" s="285" t="s">
        <v>1</v>
      </c>
      <c r="Z40" s="285" t="s">
        <v>1</v>
      </c>
      <c r="AA40" s="285" t="s">
        <v>1</v>
      </c>
      <c r="AB40" s="285" t="s">
        <v>1</v>
      </c>
      <c r="AC40" s="286" t="s">
        <v>1</v>
      </c>
      <c r="AD40" s="285" t="s">
        <v>1</v>
      </c>
      <c r="AE40" s="285" t="s">
        <v>1</v>
      </c>
      <c r="AF40" s="285" t="s">
        <v>1</v>
      </c>
      <c r="AG40" s="285" t="s">
        <v>1</v>
      </c>
      <c r="AH40" s="286" t="s">
        <v>1</v>
      </c>
      <c r="AI40" s="295" t="s">
        <v>1</v>
      </c>
      <c r="AJ40" s="295" t="s">
        <v>1</v>
      </c>
      <c r="AK40" s="295" t="s">
        <v>1</v>
      </c>
      <c r="AL40" s="286">
        <v>90.8</v>
      </c>
      <c r="AM40" s="288" t="s">
        <v>1</v>
      </c>
      <c r="AN40" s="287" t="s">
        <v>1</v>
      </c>
      <c r="AO40" s="287" t="s">
        <v>1</v>
      </c>
      <c r="AP40" s="286" t="s">
        <v>1</v>
      </c>
      <c r="AQ40" s="285" t="s">
        <v>1</v>
      </c>
      <c r="AR40" s="289" t="s">
        <v>1</v>
      </c>
      <c r="AS40" s="289" t="s">
        <v>1</v>
      </c>
      <c r="AT40" s="290" t="s">
        <v>1</v>
      </c>
      <c r="AU40" s="287" t="s">
        <v>1</v>
      </c>
      <c r="AV40" s="287" t="s">
        <v>1</v>
      </c>
      <c r="AW40" s="291" t="s">
        <v>1</v>
      </c>
    </row>
    <row r="41" spans="1:49" ht="30.15" customHeight="1" x14ac:dyDescent="0.25">
      <c r="A41" s="188" t="s">
        <v>18</v>
      </c>
      <c r="B41" s="188" t="s">
        <v>1</v>
      </c>
      <c r="C41" s="188" t="s">
        <v>35</v>
      </c>
      <c r="D41" s="190" t="s">
        <v>3</v>
      </c>
      <c r="E41" s="190" t="s">
        <v>950</v>
      </c>
      <c r="F41" s="203"/>
      <c r="G41" s="190" t="s">
        <v>947</v>
      </c>
      <c r="H41" s="192" t="s">
        <v>409</v>
      </c>
      <c r="I41" s="194">
        <v>469</v>
      </c>
      <c r="J41" s="194">
        <v>475</v>
      </c>
      <c r="K41" s="194">
        <v>475</v>
      </c>
      <c r="L41" s="193">
        <v>497</v>
      </c>
      <c r="M41" s="194">
        <v>497</v>
      </c>
      <c r="N41" s="284" t="s">
        <v>1</v>
      </c>
      <c r="O41" s="285" t="s">
        <v>1</v>
      </c>
      <c r="P41" s="285" t="s">
        <v>1</v>
      </c>
      <c r="Q41" s="285" t="s">
        <v>1</v>
      </c>
      <c r="R41" s="285" t="s">
        <v>1</v>
      </c>
      <c r="S41" s="286" t="s">
        <v>1</v>
      </c>
      <c r="T41" s="285" t="s">
        <v>1</v>
      </c>
      <c r="U41" s="285" t="s">
        <v>1</v>
      </c>
      <c r="V41" s="285" t="s">
        <v>1</v>
      </c>
      <c r="W41" s="285" t="s">
        <v>1</v>
      </c>
      <c r="X41" s="286" t="s">
        <v>1</v>
      </c>
      <c r="Y41" s="285" t="s">
        <v>1</v>
      </c>
      <c r="Z41" s="285" t="s">
        <v>1</v>
      </c>
      <c r="AA41" s="285" t="s">
        <v>1</v>
      </c>
      <c r="AB41" s="285" t="s">
        <v>1</v>
      </c>
      <c r="AC41" s="286" t="s">
        <v>1</v>
      </c>
      <c r="AD41" s="285" t="s">
        <v>1</v>
      </c>
      <c r="AE41" s="285" t="s">
        <v>1</v>
      </c>
      <c r="AF41" s="285" t="s">
        <v>1</v>
      </c>
      <c r="AG41" s="285" t="s">
        <v>1</v>
      </c>
      <c r="AH41" s="286" t="s">
        <v>1</v>
      </c>
      <c r="AI41" s="295" t="s">
        <v>1</v>
      </c>
      <c r="AJ41" s="295" t="s">
        <v>1</v>
      </c>
      <c r="AK41" s="295" t="s">
        <v>1</v>
      </c>
      <c r="AL41" s="286">
        <v>99.4</v>
      </c>
      <c r="AM41" s="288" t="s">
        <v>1</v>
      </c>
      <c r="AN41" s="287" t="s">
        <v>1</v>
      </c>
      <c r="AO41" s="287" t="s">
        <v>1</v>
      </c>
      <c r="AP41" s="286" t="s">
        <v>1</v>
      </c>
      <c r="AQ41" s="285" t="s">
        <v>1</v>
      </c>
      <c r="AR41" s="289" t="s">
        <v>1</v>
      </c>
      <c r="AS41" s="289" t="s">
        <v>1</v>
      </c>
      <c r="AT41" s="290" t="s">
        <v>1</v>
      </c>
      <c r="AU41" s="287" t="s">
        <v>1</v>
      </c>
      <c r="AV41" s="287" t="s">
        <v>1</v>
      </c>
      <c r="AW41" s="291" t="s">
        <v>1</v>
      </c>
    </row>
    <row r="42" spans="1:49" ht="30.15" customHeight="1" x14ac:dyDescent="0.25">
      <c r="A42" s="188" t="s">
        <v>18</v>
      </c>
      <c r="B42" s="188" t="s">
        <v>1</v>
      </c>
      <c r="C42" s="188" t="s">
        <v>35</v>
      </c>
      <c r="D42" s="190" t="s">
        <v>3</v>
      </c>
      <c r="E42" s="190" t="s">
        <v>951</v>
      </c>
      <c r="F42" s="203"/>
      <c r="G42" s="190" t="s">
        <v>947</v>
      </c>
      <c r="H42" s="192" t="s">
        <v>409</v>
      </c>
      <c r="I42" s="194">
        <v>469</v>
      </c>
      <c r="J42" s="194">
        <v>475</v>
      </c>
      <c r="K42" s="194">
        <v>475</v>
      </c>
      <c r="L42" s="193">
        <v>497</v>
      </c>
      <c r="M42" s="194">
        <v>497</v>
      </c>
      <c r="N42" s="284" t="s">
        <v>1</v>
      </c>
      <c r="O42" s="285" t="s">
        <v>1</v>
      </c>
      <c r="P42" s="285" t="s">
        <v>1</v>
      </c>
      <c r="Q42" s="285" t="s">
        <v>1</v>
      </c>
      <c r="R42" s="285" t="s">
        <v>1</v>
      </c>
      <c r="S42" s="286" t="s">
        <v>1</v>
      </c>
      <c r="T42" s="285" t="s">
        <v>1</v>
      </c>
      <c r="U42" s="285" t="s">
        <v>1</v>
      </c>
      <c r="V42" s="285" t="s">
        <v>1</v>
      </c>
      <c r="W42" s="285" t="s">
        <v>1</v>
      </c>
      <c r="X42" s="286" t="s">
        <v>1</v>
      </c>
      <c r="Y42" s="285" t="s">
        <v>1</v>
      </c>
      <c r="Z42" s="285" t="s">
        <v>1</v>
      </c>
      <c r="AA42" s="285" t="s">
        <v>1</v>
      </c>
      <c r="AB42" s="285" t="s">
        <v>1</v>
      </c>
      <c r="AC42" s="286" t="s">
        <v>1</v>
      </c>
      <c r="AD42" s="285" t="s">
        <v>1</v>
      </c>
      <c r="AE42" s="285" t="s">
        <v>1</v>
      </c>
      <c r="AF42" s="285" t="s">
        <v>1</v>
      </c>
      <c r="AG42" s="285" t="s">
        <v>1</v>
      </c>
      <c r="AH42" s="286" t="s">
        <v>1</v>
      </c>
      <c r="AI42" s="295" t="s">
        <v>1</v>
      </c>
      <c r="AJ42" s="295" t="s">
        <v>1</v>
      </c>
      <c r="AK42" s="295" t="s">
        <v>1</v>
      </c>
      <c r="AL42" s="286">
        <v>99.4</v>
      </c>
      <c r="AM42" s="288" t="s">
        <v>1</v>
      </c>
      <c r="AN42" s="287" t="s">
        <v>1</v>
      </c>
      <c r="AO42" s="287" t="s">
        <v>1</v>
      </c>
      <c r="AP42" s="286" t="s">
        <v>1</v>
      </c>
      <c r="AQ42" s="285" t="s">
        <v>1</v>
      </c>
      <c r="AR42" s="289" t="s">
        <v>1</v>
      </c>
      <c r="AS42" s="289" t="s">
        <v>1</v>
      </c>
      <c r="AT42" s="290" t="s">
        <v>1</v>
      </c>
      <c r="AU42" s="287" t="s">
        <v>1</v>
      </c>
      <c r="AV42" s="287" t="s">
        <v>1</v>
      </c>
      <c r="AW42" s="291" t="s">
        <v>1</v>
      </c>
    </row>
    <row r="43" spans="1:49" ht="30.15" customHeight="1" x14ac:dyDescent="0.25">
      <c r="A43" s="188" t="s">
        <v>18</v>
      </c>
      <c r="B43" s="188" t="s">
        <v>1</v>
      </c>
      <c r="C43" s="188" t="s">
        <v>35</v>
      </c>
      <c r="D43" s="190" t="s">
        <v>3</v>
      </c>
      <c r="E43" s="190" t="s">
        <v>953</v>
      </c>
      <c r="F43" s="203"/>
      <c r="G43" s="190" t="s">
        <v>985</v>
      </c>
      <c r="H43" s="192" t="s">
        <v>414</v>
      </c>
      <c r="I43" s="194">
        <v>429</v>
      </c>
      <c r="J43" s="194">
        <v>432</v>
      </c>
      <c r="K43" s="194">
        <v>432</v>
      </c>
      <c r="L43" s="193">
        <v>454</v>
      </c>
      <c r="M43" s="193">
        <v>454</v>
      </c>
      <c r="N43" s="284" t="s">
        <v>1</v>
      </c>
      <c r="O43" s="285" t="s">
        <v>1</v>
      </c>
      <c r="P43" s="285" t="s">
        <v>1</v>
      </c>
      <c r="Q43" s="285" t="s">
        <v>1</v>
      </c>
      <c r="R43" s="285" t="s">
        <v>1</v>
      </c>
      <c r="S43" s="286" t="s">
        <v>1</v>
      </c>
      <c r="T43" s="285" t="s">
        <v>1</v>
      </c>
      <c r="U43" s="285" t="s">
        <v>1</v>
      </c>
      <c r="V43" s="285" t="s">
        <v>1</v>
      </c>
      <c r="W43" s="285" t="s">
        <v>1</v>
      </c>
      <c r="X43" s="286" t="s">
        <v>1</v>
      </c>
      <c r="Y43" s="285" t="s">
        <v>1</v>
      </c>
      <c r="Z43" s="285" t="s">
        <v>1</v>
      </c>
      <c r="AA43" s="285" t="s">
        <v>1</v>
      </c>
      <c r="AB43" s="285" t="s">
        <v>1</v>
      </c>
      <c r="AC43" s="286" t="s">
        <v>1</v>
      </c>
      <c r="AD43" s="285" t="s">
        <v>1</v>
      </c>
      <c r="AE43" s="285" t="s">
        <v>1</v>
      </c>
      <c r="AF43" s="285" t="s">
        <v>1</v>
      </c>
      <c r="AG43" s="285" t="s">
        <v>1</v>
      </c>
      <c r="AH43" s="286" t="s">
        <v>1</v>
      </c>
      <c r="AI43" s="295" t="s">
        <v>1</v>
      </c>
      <c r="AJ43" s="295" t="s">
        <v>1</v>
      </c>
      <c r="AK43" s="295" t="s">
        <v>1</v>
      </c>
      <c r="AL43" s="286">
        <v>90.8</v>
      </c>
      <c r="AM43" s="288" t="s">
        <v>1</v>
      </c>
      <c r="AN43" s="287" t="s">
        <v>1</v>
      </c>
      <c r="AO43" s="287" t="s">
        <v>1</v>
      </c>
      <c r="AP43" s="286" t="s">
        <v>1</v>
      </c>
      <c r="AQ43" s="285" t="s">
        <v>1</v>
      </c>
      <c r="AR43" s="289" t="s">
        <v>1</v>
      </c>
      <c r="AS43" s="289" t="s">
        <v>1</v>
      </c>
      <c r="AT43" s="290" t="s">
        <v>1</v>
      </c>
      <c r="AU43" s="287" t="s">
        <v>1</v>
      </c>
      <c r="AV43" s="287" t="s">
        <v>1</v>
      </c>
      <c r="AW43" s="291" t="s">
        <v>1</v>
      </c>
    </row>
    <row r="44" spans="1:49" ht="30.15" customHeight="1" x14ac:dyDescent="0.25">
      <c r="A44" s="188" t="s">
        <v>18</v>
      </c>
      <c r="B44" s="188" t="s">
        <v>1</v>
      </c>
      <c r="C44" s="188" t="s">
        <v>35</v>
      </c>
      <c r="D44" s="190" t="s">
        <v>3</v>
      </c>
      <c r="E44" s="190" t="s">
        <v>955</v>
      </c>
      <c r="F44" s="203"/>
      <c r="G44" s="190" t="s">
        <v>986</v>
      </c>
      <c r="H44" s="192" t="s">
        <v>414</v>
      </c>
      <c r="I44" s="194">
        <v>429</v>
      </c>
      <c r="J44" s="194">
        <v>432</v>
      </c>
      <c r="K44" s="194">
        <v>432</v>
      </c>
      <c r="L44" s="193">
        <v>454</v>
      </c>
      <c r="M44" s="193">
        <v>454</v>
      </c>
      <c r="N44" s="284" t="s">
        <v>1</v>
      </c>
      <c r="O44" s="285" t="s">
        <v>1</v>
      </c>
      <c r="P44" s="285" t="s">
        <v>1</v>
      </c>
      <c r="Q44" s="285" t="s">
        <v>1</v>
      </c>
      <c r="R44" s="285" t="s">
        <v>1</v>
      </c>
      <c r="S44" s="286" t="s">
        <v>1</v>
      </c>
      <c r="T44" s="285" t="s">
        <v>1</v>
      </c>
      <c r="U44" s="285" t="s">
        <v>1</v>
      </c>
      <c r="V44" s="285" t="s">
        <v>1</v>
      </c>
      <c r="W44" s="285" t="s">
        <v>1</v>
      </c>
      <c r="X44" s="286" t="s">
        <v>1</v>
      </c>
      <c r="Y44" s="285" t="s">
        <v>1</v>
      </c>
      <c r="Z44" s="285" t="s">
        <v>1</v>
      </c>
      <c r="AA44" s="285" t="s">
        <v>1</v>
      </c>
      <c r="AB44" s="285" t="s">
        <v>1</v>
      </c>
      <c r="AC44" s="286" t="s">
        <v>1</v>
      </c>
      <c r="AD44" s="285" t="s">
        <v>1</v>
      </c>
      <c r="AE44" s="285" t="s">
        <v>1</v>
      </c>
      <c r="AF44" s="285" t="s">
        <v>1</v>
      </c>
      <c r="AG44" s="285" t="s">
        <v>1</v>
      </c>
      <c r="AH44" s="286" t="s">
        <v>1</v>
      </c>
      <c r="AI44" s="295" t="s">
        <v>1</v>
      </c>
      <c r="AJ44" s="295" t="s">
        <v>1</v>
      </c>
      <c r="AK44" s="295" t="s">
        <v>1</v>
      </c>
      <c r="AL44" s="286">
        <v>90.8</v>
      </c>
      <c r="AM44" s="288" t="s">
        <v>1</v>
      </c>
      <c r="AN44" s="287" t="s">
        <v>1</v>
      </c>
      <c r="AO44" s="287" t="s">
        <v>1</v>
      </c>
      <c r="AP44" s="286" t="s">
        <v>1</v>
      </c>
      <c r="AQ44" s="285" t="s">
        <v>1</v>
      </c>
      <c r="AR44" s="289" t="s">
        <v>1</v>
      </c>
      <c r="AS44" s="289" t="s">
        <v>1</v>
      </c>
      <c r="AT44" s="290" t="s">
        <v>1</v>
      </c>
      <c r="AU44" s="287" t="s">
        <v>1</v>
      </c>
      <c r="AV44" s="287" t="s">
        <v>1</v>
      </c>
      <c r="AW44" s="291" t="s">
        <v>1</v>
      </c>
    </row>
    <row r="45" spans="1:49" ht="30.15" customHeight="1" x14ac:dyDescent="0.25">
      <c r="A45" s="188" t="s">
        <v>18</v>
      </c>
      <c r="B45" s="188" t="s">
        <v>1</v>
      </c>
      <c r="C45" s="188" t="s">
        <v>35</v>
      </c>
      <c r="D45" s="190" t="s">
        <v>3</v>
      </c>
      <c r="E45" s="190" t="s">
        <v>956</v>
      </c>
      <c r="F45" s="203"/>
      <c r="G45" s="190" t="s">
        <v>987</v>
      </c>
      <c r="H45" s="192" t="s">
        <v>414</v>
      </c>
      <c r="I45" s="194">
        <v>429</v>
      </c>
      <c r="J45" s="194">
        <v>432</v>
      </c>
      <c r="K45" s="194">
        <v>432</v>
      </c>
      <c r="L45" s="193">
        <v>454</v>
      </c>
      <c r="M45" s="193">
        <v>454</v>
      </c>
      <c r="N45" s="284" t="s">
        <v>1</v>
      </c>
      <c r="O45" s="285" t="s">
        <v>1</v>
      </c>
      <c r="P45" s="285" t="s">
        <v>1</v>
      </c>
      <c r="Q45" s="285" t="s">
        <v>1</v>
      </c>
      <c r="R45" s="285" t="s">
        <v>1</v>
      </c>
      <c r="S45" s="286" t="s">
        <v>1</v>
      </c>
      <c r="T45" s="285" t="s">
        <v>1</v>
      </c>
      <c r="U45" s="285" t="s">
        <v>1</v>
      </c>
      <c r="V45" s="285" t="s">
        <v>1</v>
      </c>
      <c r="W45" s="285" t="s">
        <v>1</v>
      </c>
      <c r="X45" s="286" t="s">
        <v>1</v>
      </c>
      <c r="Y45" s="285" t="s">
        <v>1</v>
      </c>
      <c r="Z45" s="285" t="s">
        <v>1</v>
      </c>
      <c r="AA45" s="285" t="s">
        <v>1</v>
      </c>
      <c r="AB45" s="285" t="s">
        <v>1</v>
      </c>
      <c r="AC45" s="286" t="s">
        <v>1</v>
      </c>
      <c r="AD45" s="285" t="s">
        <v>1</v>
      </c>
      <c r="AE45" s="285" t="s">
        <v>1</v>
      </c>
      <c r="AF45" s="285" t="s">
        <v>1</v>
      </c>
      <c r="AG45" s="285" t="s">
        <v>1</v>
      </c>
      <c r="AH45" s="286" t="s">
        <v>1</v>
      </c>
      <c r="AI45" s="295" t="s">
        <v>1</v>
      </c>
      <c r="AJ45" s="295" t="s">
        <v>1</v>
      </c>
      <c r="AK45" s="295" t="s">
        <v>1</v>
      </c>
      <c r="AL45" s="286">
        <v>90.8</v>
      </c>
      <c r="AM45" s="288" t="s">
        <v>1</v>
      </c>
      <c r="AN45" s="287" t="s">
        <v>1</v>
      </c>
      <c r="AO45" s="287" t="s">
        <v>1</v>
      </c>
      <c r="AP45" s="286" t="s">
        <v>1</v>
      </c>
      <c r="AQ45" s="285" t="s">
        <v>1</v>
      </c>
      <c r="AR45" s="289" t="s">
        <v>1</v>
      </c>
      <c r="AS45" s="289" t="s">
        <v>1</v>
      </c>
      <c r="AT45" s="290" t="s">
        <v>1</v>
      </c>
      <c r="AU45" s="287" t="s">
        <v>1</v>
      </c>
      <c r="AV45" s="287" t="s">
        <v>1</v>
      </c>
      <c r="AW45" s="291" t="s">
        <v>1</v>
      </c>
    </row>
    <row r="46" spans="1:49" ht="30.15" customHeight="1" x14ac:dyDescent="0.25">
      <c r="A46" s="188" t="s">
        <v>18</v>
      </c>
      <c r="B46" s="188" t="s">
        <v>1</v>
      </c>
      <c r="C46" s="188" t="s">
        <v>35</v>
      </c>
      <c r="D46" s="190" t="s">
        <v>3</v>
      </c>
      <c r="E46" s="190" t="s">
        <v>957</v>
      </c>
      <c r="F46" s="203"/>
      <c r="G46" s="190" t="s">
        <v>988</v>
      </c>
      <c r="H46" s="192" t="s">
        <v>414</v>
      </c>
      <c r="I46" s="194">
        <v>429</v>
      </c>
      <c r="J46" s="194">
        <v>432</v>
      </c>
      <c r="K46" s="194">
        <v>432</v>
      </c>
      <c r="L46" s="193">
        <v>454</v>
      </c>
      <c r="M46" s="193">
        <v>454</v>
      </c>
      <c r="N46" s="284" t="s">
        <v>1</v>
      </c>
      <c r="O46" s="285" t="s">
        <v>1</v>
      </c>
      <c r="P46" s="285" t="s">
        <v>1</v>
      </c>
      <c r="Q46" s="285" t="s">
        <v>1</v>
      </c>
      <c r="R46" s="285" t="s">
        <v>1</v>
      </c>
      <c r="S46" s="286" t="s">
        <v>1</v>
      </c>
      <c r="T46" s="285" t="s">
        <v>1</v>
      </c>
      <c r="U46" s="285" t="s">
        <v>1</v>
      </c>
      <c r="V46" s="285" t="s">
        <v>1</v>
      </c>
      <c r="W46" s="285" t="s">
        <v>1</v>
      </c>
      <c r="X46" s="286" t="s">
        <v>1</v>
      </c>
      <c r="Y46" s="285" t="s">
        <v>1</v>
      </c>
      <c r="Z46" s="285" t="s">
        <v>1</v>
      </c>
      <c r="AA46" s="285" t="s">
        <v>1</v>
      </c>
      <c r="AB46" s="285" t="s">
        <v>1</v>
      </c>
      <c r="AC46" s="286" t="s">
        <v>1</v>
      </c>
      <c r="AD46" s="285" t="s">
        <v>1</v>
      </c>
      <c r="AE46" s="285" t="s">
        <v>1</v>
      </c>
      <c r="AF46" s="285" t="s">
        <v>1</v>
      </c>
      <c r="AG46" s="285" t="s">
        <v>1</v>
      </c>
      <c r="AH46" s="286" t="s">
        <v>1</v>
      </c>
      <c r="AI46" s="295" t="s">
        <v>1</v>
      </c>
      <c r="AJ46" s="295" t="s">
        <v>1</v>
      </c>
      <c r="AK46" s="295" t="s">
        <v>1</v>
      </c>
      <c r="AL46" s="286">
        <v>90.8</v>
      </c>
      <c r="AM46" s="288" t="s">
        <v>1</v>
      </c>
      <c r="AN46" s="287" t="s">
        <v>1</v>
      </c>
      <c r="AO46" s="287" t="s">
        <v>1</v>
      </c>
      <c r="AP46" s="286" t="s">
        <v>1</v>
      </c>
      <c r="AQ46" s="285" t="s">
        <v>1</v>
      </c>
      <c r="AR46" s="289" t="s">
        <v>1</v>
      </c>
      <c r="AS46" s="289" t="s">
        <v>1</v>
      </c>
      <c r="AT46" s="290" t="s">
        <v>1</v>
      </c>
      <c r="AU46" s="287" t="s">
        <v>1</v>
      </c>
      <c r="AV46" s="287" t="s">
        <v>1</v>
      </c>
      <c r="AW46" s="291" t="s">
        <v>1</v>
      </c>
    </row>
    <row r="47" spans="1:49" ht="30.15" customHeight="1" x14ac:dyDescent="0.25">
      <c r="A47" s="188" t="s">
        <v>18</v>
      </c>
      <c r="B47" s="188" t="s">
        <v>1</v>
      </c>
      <c r="C47" s="188" t="s">
        <v>35</v>
      </c>
      <c r="D47" s="190" t="s">
        <v>3</v>
      </c>
      <c r="E47" s="190" t="s">
        <v>954</v>
      </c>
      <c r="F47" s="203"/>
      <c r="G47" s="190" t="s">
        <v>989</v>
      </c>
      <c r="H47" s="192" t="s">
        <v>414</v>
      </c>
      <c r="I47" s="194">
        <v>469</v>
      </c>
      <c r="J47" s="194">
        <v>475</v>
      </c>
      <c r="K47" s="194">
        <v>475</v>
      </c>
      <c r="L47" s="193">
        <v>497</v>
      </c>
      <c r="M47" s="193">
        <v>497</v>
      </c>
      <c r="N47" s="284" t="s">
        <v>1</v>
      </c>
      <c r="O47" s="285" t="s">
        <v>1</v>
      </c>
      <c r="P47" s="285" t="s">
        <v>1</v>
      </c>
      <c r="Q47" s="285" t="s">
        <v>1</v>
      </c>
      <c r="R47" s="285" t="s">
        <v>1</v>
      </c>
      <c r="S47" s="286" t="s">
        <v>1</v>
      </c>
      <c r="T47" s="285" t="s">
        <v>1</v>
      </c>
      <c r="U47" s="285" t="s">
        <v>1</v>
      </c>
      <c r="V47" s="285" t="s">
        <v>1</v>
      </c>
      <c r="W47" s="285" t="s">
        <v>1</v>
      </c>
      <c r="X47" s="286" t="s">
        <v>1</v>
      </c>
      <c r="Y47" s="285" t="s">
        <v>1</v>
      </c>
      <c r="Z47" s="285" t="s">
        <v>1</v>
      </c>
      <c r="AA47" s="285" t="s">
        <v>1</v>
      </c>
      <c r="AB47" s="285" t="s">
        <v>1</v>
      </c>
      <c r="AC47" s="286" t="s">
        <v>1</v>
      </c>
      <c r="AD47" s="285" t="s">
        <v>1</v>
      </c>
      <c r="AE47" s="285" t="s">
        <v>1</v>
      </c>
      <c r="AF47" s="285" t="s">
        <v>1</v>
      </c>
      <c r="AG47" s="285" t="s">
        <v>1</v>
      </c>
      <c r="AH47" s="286" t="s">
        <v>1</v>
      </c>
      <c r="AI47" s="295" t="s">
        <v>1</v>
      </c>
      <c r="AJ47" s="295" t="s">
        <v>1</v>
      </c>
      <c r="AK47" s="295" t="s">
        <v>1</v>
      </c>
      <c r="AL47" s="286">
        <v>99.4</v>
      </c>
      <c r="AM47" s="288" t="s">
        <v>1</v>
      </c>
      <c r="AN47" s="287" t="s">
        <v>1</v>
      </c>
      <c r="AO47" s="287" t="s">
        <v>1</v>
      </c>
      <c r="AP47" s="286" t="s">
        <v>1</v>
      </c>
      <c r="AQ47" s="285" t="s">
        <v>1</v>
      </c>
      <c r="AR47" s="289" t="s">
        <v>1</v>
      </c>
      <c r="AS47" s="289" t="s">
        <v>1</v>
      </c>
      <c r="AT47" s="290" t="s">
        <v>1</v>
      </c>
      <c r="AU47" s="287" t="s">
        <v>1</v>
      </c>
      <c r="AV47" s="287" t="s">
        <v>1</v>
      </c>
      <c r="AW47" s="291" t="s">
        <v>1</v>
      </c>
    </row>
    <row r="48" spans="1:49" ht="30.15" customHeight="1" x14ac:dyDescent="0.25">
      <c r="A48" s="188" t="s">
        <v>18</v>
      </c>
      <c r="B48" s="188" t="s">
        <v>1</v>
      </c>
      <c r="C48" s="188" t="s">
        <v>35</v>
      </c>
      <c r="D48" s="190" t="s">
        <v>3</v>
      </c>
      <c r="E48" s="190" t="s">
        <v>958</v>
      </c>
      <c r="F48" s="203"/>
      <c r="G48" s="190" t="s">
        <v>990</v>
      </c>
      <c r="H48" s="192" t="s">
        <v>414</v>
      </c>
      <c r="I48" s="194">
        <v>469</v>
      </c>
      <c r="J48" s="194">
        <v>475</v>
      </c>
      <c r="K48" s="194">
        <v>475</v>
      </c>
      <c r="L48" s="193">
        <v>497</v>
      </c>
      <c r="M48" s="193">
        <v>497</v>
      </c>
      <c r="N48" s="284" t="s">
        <v>1</v>
      </c>
      <c r="O48" s="285" t="s">
        <v>1</v>
      </c>
      <c r="P48" s="285" t="s">
        <v>1</v>
      </c>
      <c r="Q48" s="285" t="s">
        <v>1</v>
      </c>
      <c r="R48" s="285" t="s">
        <v>1</v>
      </c>
      <c r="S48" s="286" t="s">
        <v>1</v>
      </c>
      <c r="T48" s="285" t="s">
        <v>1</v>
      </c>
      <c r="U48" s="285" t="s">
        <v>1</v>
      </c>
      <c r="V48" s="285" t="s">
        <v>1</v>
      </c>
      <c r="W48" s="285" t="s">
        <v>1</v>
      </c>
      <c r="X48" s="286" t="s">
        <v>1</v>
      </c>
      <c r="Y48" s="285" t="s">
        <v>1</v>
      </c>
      <c r="Z48" s="285" t="s">
        <v>1</v>
      </c>
      <c r="AA48" s="285" t="s">
        <v>1</v>
      </c>
      <c r="AB48" s="285" t="s">
        <v>1</v>
      </c>
      <c r="AC48" s="286" t="s">
        <v>1</v>
      </c>
      <c r="AD48" s="285" t="s">
        <v>1</v>
      </c>
      <c r="AE48" s="285" t="s">
        <v>1</v>
      </c>
      <c r="AF48" s="285" t="s">
        <v>1</v>
      </c>
      <c r="AG48" s="285" t="s">
        <v>1</v>
      </c>
      <c r="AH48" s="286" t="s">
        <v>1</v>
      </c>
      <c r="AI48" s="295" t="s">
        <v>1</v>
      </c>
      <c r="AJ48" s="295" t="s">
        <v>1</v>
      </c>
      <c r="AK48" s="295" t="s">
        <v>1</v>
      </c>
      <c r="AL48" s="286">
        <v>99.4</v>
      </c>
      <c r="AM48" s="288" t="s">
        <v>1</v>
      </c>
      <c r="AN48" s="287" t="s">
        <v>1</v>
      </c>
      <c r="AO48" s="287" t="s">
        <v>1</v>
      </c>
      <c r="AP48" s="286" t="s">
        <v>1</v>
      </c>
      <c r="AQ48" s="285" t="s">
        <v>1</v>
      </c>
      <c r="AR48" s="289" t="s">
        <v>1</v>
      </c>
      <c r="AS48" s="289" t="s">
        <v>1</v>
      </c>
      <c r="AT48" s="290" t="s">
        <v>1</v>
      </c>
      <c r="AU48" s="287" t="s">
        <v>1</v>
      </c>
      <c r="AV48" s="287" t="s">
        <v>1</v>
      </c>
      <c r="AW48" s="291" t="s">
        <v>1</v>
      </c>
    </row>
    <row r="49" spans="1:49" ht="30.15" customHeight="1" x14ac:dyDescent="0.25">
      <c r="A49" s="188" t="s">
        <v>18</v>
      </c>
      <c r="B49" s="188" t="s">
        <v>1</v>
      </c>
      <c r="C49" s="188" t="s">
        <v>35</v>
      </c>
      <c r="D49" s="190" t="s">
        <v>3</v>
      </c>
      <c r="E49" s="190" t="s">
        <v>959</v>
      </c>
      <c r="F49" s="203"/>
      <c r="G49" s="190" t="s">
        <v>991</v>
      </c>
      <c r="H49" s="192" t="s">
        <v>414</v>
      </c>
      <c r="I49" s="194">
        <v>469</v>
      </c>
      <c r="J49" s="194">
        <v>475</v>
      </c>
      <c r="K49" s="194">
        <v>475</v>
      </c>
      <c r="L49" s="193">
        <v>497</v>
      </c>
      <c r="M49" s="193">
        <v>497</v>
      </c>
      <c r="N49" s="284" t="s">
        <v>1</v>
      </c>
      <c r="O49" s="285" t="s">
        <v>1</v>
      </c>
      <c r="P49" s="285" t="s">
        <v>1</v>
      </c>
      <c r="Q49" s="285" t="s">
        <v>1</v>
      </c>
      <c r="R49" s="285" t="s">
        <v>1</v>
      </c>
      <c r="S49" s="286" t="s">
        <v>1</v>
      </c>
      <c r="T49" s="285" t="s">
        <v>1</v>
      </c>
      <c r="U49" s="285" t="s">
        <v>1</v>
      </c>
      <c r="V49" s="285" t="s">
        <v>1</v>
      </c>
      <c r="W49" s="285" t="s">
        <v>1</v>
      </c>
      <c r="X49" s="286" t="s">
        <v>1</v>
      </c>
      <c r="Y49" s="285" t="s">
        <v>1</v>
      </c>
      <c r="Z49" s="285" t="s">
        <v>1</v>
      </c>
      <c r="AA49" s="285" t="s">
        <v>1</v>
      </c>
      <c r="AB49" s="285" t="s">
        <v>1</v>
      </c>
      <c r="AC49" s="286" t="s">
        <v>1</v>
      </c>
      <c r="AD49" s="285" t="s">
        <v>1</v>
      </c>
      <c r="AE49" s="285" t="s">
        <v>1</v>
      </c>
      <c r="AF49" s="285" t="s">
        <v>1</v>
      </c>
      <c r="AG49" s="285" t="s">
        <v>1</v>
      </c>
      <c r="AH49" s="286" t="s">
        <v>1</v>
      </c>
      <c r="AI49" s="295" t="s">
        <v>1</v>
      </c>
      <c r="AJ49" s="295" t="s">
        <v>1</v>
      </c>
      <c r="AK49" s="295" t="s">
        <v>1</v>
      </c>
      <c r="AL49" s="286">
        <v>99.4</v>
      </c>
      <c r="AM49" s="288" t="s">
        <v>1</v>
      </c>
      <c r="AN49" s="287" t="s">
        <v>1</v>
      </c>
      <c r="AO49" s="287" t="s">
        <v>1</v>
      </c>
      <c r="AP49" s="286" t="s">
        <v>1</v>
      </c>
      <c r="AQ49" s="285" t="s">
        <v>1</v>
      </c>
      <c r="AR49" s="289" t="s">
        <v>1</v>
      </c>
      <c r="AS49" s="289" t="s">
        <v>1</v>
      </c>
      <c r="AT49" s="290" t="s">
        <v>1</v>
      </c>
      <c r="AU49" s="287" t="s">
        <v>1</v>
      </c>
      <c r="AV49" s="287" t="s">
        <v>1</v>
      </c>
      <c r="AW49" s="291" t="s">
        <v>1</v>
      </c>
    </row>
    <row r="50" spans="1:49" ht="30.15" customHeight="1" x14ac:dyDescent="0.25">
      <c r="A50" s="188" t="s">
        <v>18</v>
      </c>
      <c r="B50" s="188" t="s">
        <v>1</v>
      </c>
      <c r="C50" s="188" t="s">
        <v>35</v>
      </c>
      <c r="D50" s="190" t="s">
        <v>3</v>
      </c>
      <c r="E50" s="190" t="s">
        <v>960</v>
      </c>
      <c r="F50" s="203"/>
      <c r="G50" s="190" t="s">
        <v>992</v>
      </c>
      <c r="H50" s="192" t="s">
        <v>414</v>
      </c>
      <c r="I50" s="194">
        <v>469</v>
      </c>
      <c r="J50" s="194">
        <v>475</v>
      </c>
      <c r="K50" s="194">
        <v>475</v>
      </c>
      <c r="L50" s="193">
        <v>497</v>
      </c>
      <c r="M50" s="193">
        <v>497</v>
      </c>
      <c r="N50" s="284" t="s">
        <v>1</v>
      </c>
      <c r="O50" s="285" t="s">
        <v>1</v>
      </c>
      <c r="P50" s="285" t="s">
        <v>1</v>
      </c>
      <c r="Q50" s="285" t="s">
        <v>1</v>
      </c>
      <c r="R50" s="285" t="s">
        <v>1</v>
      </c>
      <c r="S50" s="286" t="s">
        <v>1</v>
      </c>
      <c r="T50" s="285" t="s">
        <v>1</v>
      </c>
      <c r="U50" s="285" t="s">
        <v>1</v>
      </c>
      <c r="V50" s="285" t="s">
        <v>1</v>
      </c>
      <c r="W50" s="285" t="s">
        <v>1</v>
      </c>
      <c r="X50" s="286" t="s">
        <v>1</v>
      </c>
      <c r="Y50" s="285" t="s">
        <v>1</v>
      </c>
      <c r="Z50" s="285" t="s">
        <v>1</v>
      </c>
      <c r="AA50" s="285" t="s">
        <v>1</v>
      </c>
      <c r="AB50" s="285" t="s">
        <v>1</v>
      </c>
      <c r="AC50" s="286" t="s">
        <v>1</v>
      </c>
      <c r="AD50" s="285" t="s">
        <v>1</v>
      </c>
      <c r="AE50" s="285" t="s">
        <v>1</v>
      </c>
      <c r="AF50" s="285" t="s">
        <v>1</v>
      </c>
      <c r="AG50" s="285" t="s">
        <v>1</v>
      </c>
      <c r="AH50" s="286" t="s">
        <v>1</v>
      </c>
      <c r="AI50" s="295" t="s">
        <v>1</v>
      </c>
      <c r="AJ50" s="295" t="s">
        <v>1</v>
      </c>
      <c r="AK50" s="295" t="s">
        <v>1</v>
      </c>
      <c r="AL50" s="286">
        <v>99.4</v>
      </c>
      <c r="AM50" s="288" t="s">
        <v>1</v>
      </c>
      <c r="AN50" s="287" t="s">
        <v>1</v>
      </c>
      <c r="AO50" s="287" t="s">
        <v>1</v>
      </c>
      <c r="AP50" s="286" t="s">
        <v>1</v>
      </c>
      <c r="AQ50" s="285" t="s">
        <v>1</v>
      </c>
      <c r="AR50" s="289" t="s">
        <v>1</v>
      </c>
      <c r="AS50" s="289" t="s">
        <v>1</v>
      </c>
      <c r="AT50" s="290" t="s">
        <v>1</v>
      </c>
      <c r="AU50" s="287" t="s">
        <v>1</v>
      </c>
      <c r="AV50" s="287" t="s">
        <v>1</v>
      </c>
      <c r="AW50" s="291" t="s">
        <v>1</v>
      </c>
    </row>
    <row r="51" spans="1:49" ht="30.15" customHeight="1" x14ac:dyDescent="0.25">
      <c r="A51" s="188" t="s">
        <v>18</v>
      </c>
      <c r="B51" s="188" t="s">
        <v>1</v>
      </c>
      <c r="C51" s="188" t="s">
        <v>35</v>
      </c>
      <c r="D51" s="190" t="s">
        <v>3</v>
      </c>
      <c r="E51" s="190" t="s">
        <v>961</v>
      </c>
      <c r="F51" s="203"/>
      <c r="G51" s="190" t="s">
        <v>993</v>
      </c>
      <c r="H51" s="192" t="s">
        <v>414</v>
      </c>
      <c r="I51" s="194">
        <v>469</v>
      </c>
      <c r="J51" s="194">
        <v>475</v>
      </c>
      <c r="K51" s="194">
        <v>475</v>
      </c>
      <c r="L51" s="193">
        <v>497</v>
      </c>
      <c r="M51" s="193">
        <v>497</v>
      </c>
      <c r="N51" s="284" t="s">
        <v>1</v>
      </c>
      <c r="O51" s="285" t="s">
        <v>1</v>
      </c>
      <c r="P51" s="285" t="s">
        <v>1</v>
      </c>
      <c r="Q51" s="285" t="s">
        <v>1</v>
      </c>
      <c r="R51" s="285" t="s">
        <v>1</v>
      </c>
      <c r="S51" s="286" t="s">
        <v>1</v>
      </c>
      <c r="T51" s="285" t="s">
        <v>1</v>
      </c>
      <c r="U51" s="285" t="s">
        <v>1</v>
      </c>
      <c r="V51" s="285" t="s">
        <v>1</v>
      </c>
      <c r="W51" s="285" t="s">
        <v>1</v>
      </c>
      <c r="X51" s="286" t="s">
        <v>1</v>
      </c>
      <c r="Y51" s="285" t="s">
        <v>1</v>
      </c>
      <c r="Z51" s="285" t="s">
        <v>1</v>
      </c>
      <c r="AA51" s="285" t="s">
        <v>1</v>
      </c>
      <c r="AB51" s="285" t="s">
        <v>1</v>
      </c>
      <c r="AC51" s="286" t="s">
        <v>1</v>
      </c>
      <c r="AD51" s="285" t="s">
        <v>1</v>
      </c>
      <c r="AE51" s="285" t="s">
        <v>1</v>
      </c>
      <c r="AF51" s="285" t="s">
        <v>1</v>
      </c>
      <c r="AG51" s="285" t="s">
        <v>1</v>
      </c>
      <c r="AH51" s="286" t="s">
        <v>1</v>
      </c>
      <c r="AI51" s="295" t="s">
        <v>1</v>
      </c>
      <c r="AJ51" s="295" t="s">
        <v>1</v>
      </c>
      <c r="AK51" s="295" t="s">
        <v>1</v>
      </c>
      <c r="AL51" s="286">
        <v>99.4</v>
      </c>
      <c r="AM51" s="288" t="s">
        <v>1</v>
      </c>
      <c r="AN51" s="287" t="s">
        <v>1</v>
      </c>
      <c r="AO51" s="287" t="s">
        <v>1</v>
      </c>
      <c r="AP51" s="286" t="s">
        <v>1</v>
      </c>
      <c r="AQ51" s="285" t="s">
        <v>1</v>
      </c>
      <c r="AR51" s="289" t="s">
        <v>1</v>
      </c>
      <c r="AS51" s="289" t="s">
        <v>1</v>
      </c>
      <c r="AT51" s="290" t="s">
        <v>1</v>
      </c>
      <c r="AU51" s="287" t="s">
        <v>1</v>
      </c>
      <c r="AV51" s="287" t="s">
        <v>1</v>
      </c>
      <c r="AW51" s="291" t="s">
        <v>1</v>
      </c>
    </row>
    <row r="52" spans="1:49" ht="30.15" customHeight="1" x14ac:dyDescent="0.25">
      <c r="A52" s="188" t="s">
        <v>18</v>
      </c>
      <c r="B52" s="188" t="s">
        <v>1</v>
      </c>
      <c r="C52" s="188" t="s">
        <v>35</v>
      </c>
      <c r="D52" s="190" t="s">
        <v>3</v>
      </c>
      <c r="E52" s="190" t="s">
        <v>962</v>
      </c>
      <c r="F52" s="203"/>
      <c r="G52" s="190" t="s">
        <v>994</v>
      </c>
      <c r="H52" s="192" t="s">
        <v>414</v>
      </c>
      <c r="I52" s="194">
        <v>469</v>
      </c>
      <c r="J52" s="194">
        <v>475</v>
      </c>
      <c r="K52" s="194">
        <v>475</v>
      </c>
      <c r="L52" s="193">
        <v>497</v>
      </c>
      <c r="M52" s="193">
        <v>497</v>
      </c>
      <c r="N52" s="284" t="s">
        <v>1</v>
      </c>
      <c r="O52" s="285" t="s">
        <v>1</v>
      </c>
      <c r="P52" s="285" t="s">
        <v>1</v>
      </c>
      <c r="Q52" s="285" t="s">
        <v>1</v>
      </c>
      <c r="R52" s="285" t="s">
        <v>1</v>
      </c>
      <c r="S52" s="286" t="s">
        <v>1</v>
      </c>
      <c r="T52" s="285" t="s">
        <v>1</v>
      </c>
      <c r="U52" s="285" t="s">
        <v>1</v>
      </c>
      <c r="V52" s="285" t="s">
        <v>1</v>
      </c>
      <c r="W52" s="285" t="s">
        <v>1</v>
      </c>
      <c r="X52" s="286" t="s">
        <v>1</v>
      </c>
      <c r="Y52" s="285" t="s">
        <v>1</v>
      </c>
      <c r="Z52" s="285" t="s">
        <v>1</v>
      </c>
      <c r="AA52" s="285" t="s">
        <v>1</v>
      </c>
      <c r="AB52" s="285" t="s">
        <v>1</v>
      </c>
      <c r="AC52" s="286" t="s">
        <v>1</v>
      </c>
      <c r="AD52" s="285" t="s">
        <v>1</v>
      </c>
      <c r="AE52" s="285" t="s">
        <v>1</v>
      </c>
      <c r="AF52" s="285" t="s">
        <v>1</v>
      </c>
      <c r="AG52" s="285" t="s">
        <v>1</v>
      </c>
      <c r="AH52" s="286" t="s">
        <v>1</v>
      </c>
      <c r="AI52" s="295" t="s">
        <v>1</v>
      </c>
      <c r="AJ52" s="295" t="s">
        <v>1</v>
      </c>
      <c r="AK52" s="295" t="s">
        <v>1</v>
      </c>
      <c r="AL52" s="286">
        <v>99.4</v>
      </c>
      <c r="AM52" s="288" t="s">
        <v>1</v>
      </c>
      <c r="AN52" s="287" t="s">
        <v>1</v>
      </c>
      <c r="AO52" s="287" t="s">
        <v>1</v>
      </c>
      <c r="AP52" s="286" t="s">
        <v>1</v>
      </c>
      <c r="AQ52" s="285" t="s">
        <v>1</v>
      </c>
      <c r="AR52" s="289" t="s">
        <v>1</v>
      </c>
      <c r="AS52" s="289" t="s">
        <v>1</v>
      </c>
      <c r="AT52" s="290" t="s">
        <v>1</v>
      </c>
      <c r="AU52" s="287" t="s">
        <v>1</v>
      </c>
      <c r="AV52" s="287" t="s">
        <v>1</v>
      </c>
      <c r="AW52" s="291" t="s">
        <v>1</v>
      </c>
    </row>
    <row r="53" spans="1:49" ht="30.15" customHeight="1" x14ac:dyDescent="0.25">
      <c r="A53" s="188" t="s">
        <v>18</v>
      </c>
      <c r="B53" s="188" t="s">
        <v>1</v>
      </c>
      <c r="C53" s="188" t="s">
        <v>35</v>
      </c>
      <c r="D53" s="190" t="s">
        <v>3</v>
      </c>
      <c r="E53" s="190" t="s">
        <v>963</v>
      </c>
      <c r="F53" s="203"/>
      <c r="G53" s="190" t="s">
        <v>995</v>
      </c>
      <c r="H53" s="192" t="s">
        <v>414</v>
      </c>
      <c r="I53" s="194">
        <v>429</v>
      </c>
      <c r="J53" s="194">
        <v>432</v>
      </c>
      <c r="K53" s="194">
        <v>432</v>
      </c>
      <c r="L53" s="193">
        <v>454</v>
      </c>
      <c r="M53" s="193">
        <v>454</v>
      </c>
      <c r="N53" s="284" t="s">
        <v>1</v>
      </c>
      <c r="O53" s="285" t="s">
        <v>1</v>
      </c>
      <c r="P53" s="285" t="s">
        <v>1</v>
      </c>
      <c r="Q53" s="285" t="s">
        <v>1</v>
      </c>
      <c r="R53" s="285" t="s">
        <v>1</v>
      </c>
      <c r="S53" s="286" t="s">
        <v>1</v>
      </c>
      <c r="T53" s="285" t="s">
        <v>1</v>
      </c>
      <c r="U53" s="285" t="s">
        <v>1</v>
      </c>
      <c r="V53" s="285" t="s">
        <v>1</v>
      </c>
      <c r="W53" s="285" t="s">
        <v>1</v>
      </c>
      <c r="X53" s="286" t="s">
        <v>1</v>
      </c>
      <c r="Y53" s="285" t="s">
        <v>1</v>
      </c>
      <c r="Z53" s="285" t="s">
        <v>1</v>
      </c>
      <c r="AA53" s="285" t="s">
        <v>1</v>
      </c>
      <c r="AB53" s="285" t="s">
        <v>1</v>
      </c>
      <c r="AC53" s="286" t="s">
        <v>1</v>
      </c>
      <c r="AD53" s="285" t="s">
        <v>1</v>
      </c>
      <c r="AE53" s="285" t="s">
        <v>1</v>
      </c>
      <c r="AF53" s="285" t="s">
        <v>1</v>
      </c>
      <c r="AG53" s="285" t="s">
        <v>1</v>
      </c>
      <c r="AH53" s="286" t="s">
        <v>1</v>
      </c>
      <c r="AI53" s="295" t="s">
        <v>1</v>
      </c>
      <c r="AJ53" s="295" t="s">
        <v>1</v>
      </c>
      <c r="AK53" s="295" t="s">
        <v>1</v>
      </c>
      <c r="AL53" s="286">
        <v>90.8</v>
      </c>
      <c r="AM53" s="288" t="s">
        <v>1</v>
      </c>
      <c r="AN53" s="287" t="s">
        <v>1</v>
      </c>
      <c r="AO53" s="287" t="s">
        <v>1</v>
      </c>
      <c r="AP53" s="286" t="s">
        <v>1</v>
      </c>
      <c r="AQ53" s="285" t="s">
        <v>1</v>
      </c>
      <c r="AR53" s="289" t="s">
        <v>1</v>
      </c>
      <c r="AS53" s="289" t="s">
        <v>1</v>
      </c>
      <c r="AT53" s="290" t="s">
        <v>1</v>
      </c>
      <c r="AU53" s="287" t="s">
        <v>1</v>
      </c>
      <c r="AV53" s="287" t="s">
        <v>1</v>
      </c>
      <c r="AW53" s="291" t="s">
        <v>1</v>
      </c>
    </row>
    <row r="54" spans="1:49" ht="30.15" customHeight="1" x14ac:dyDescent="0.25">
      <c r="A54" s="188" t="s">
        <v>18</v>
      </c>
      <c r="B54" s="188" t="s">
        <v>1</v>
      </c>
      <c r="C54" s="188" t="s">
        <v>35</v>
      </c>
      <c r="D54" s="190" t="s">
        <v>3</v>
      </c>
      <c r="E54" s="190" t="s">
        <v>964</v>
      </c>
      <c r="F54" s="203"/>
      <c r="G54" s="190" t="s">
        <v>996</v>
      </c>
      <c r="H54" s="192" t="s">
        <v>414</v>
      </c>
      <c r="I54" s="194">
        <v>429</v>
      </c>
      <c r="J54" s="194">
        <v>432</v>
      </c>
      <c r="K54" s="194">
        <v>432</v>
      </c>
      <c r="L54" s="193">
        <v>454</v>
      </c>
      <c r="M54" s="193">
        <v>454</v>
      </c>
      <c r="N54" s="284" t="s">
        <v>1</v>
      </c>
      <c r="O54" s="285" t="s">
        <v>1</v>
      </c>
      <c r="P54" s="285" t="s">
        <v>1</v>
      </c>
      <c r="Q54" s="285" t="s">
        <v>1</v>
      </c>
      <c r="R54" s="285" t="s">
        <v>1</v>
      </c>
      <c r="S54" s="286" t="s">
        <v>1</v>
      </c>
      <c r="T54" s="285" t="s">
        <v>1</v>
      </c>
      <c r="U54" s="285" t="s">
        <v>1</v>
      </c>
      <c r="V54" s="285" t="s">
        <v>1</v>
      </c>
      <c r="W54" s="285" t="s">
        <v>1</v>
      </c>
      <c r="X54" s="286" t="s">
        <v>1</v>
      </c>
      <c r="Y54" s="285" t="s">
        <v>1</v>
      </c>
      <c r="Z54" s="285" t="s">
        <v>1</v>
      </c>
      <c r="AA54" s="285" t="s">
        <v>1</v>
      </c>
      <c r="AB54" s="285" t="s">
        <v>1</v>
      </c>
      <c r="AC54" s="286" t="s">
        <v>1</v>
      </c>
      <c r="AD54" s="285" t="s">
        <v>1</v>
      </c>
      <c r="AE54" s="285" t="s">
        <v>1</v>
      </c>
      <c r="AF54" s="285" t="s">
        <v>1</v>
      </c>
      <c r="AG54" s="285" t="s">
        <v>1</v>
      </c>
      <c r="AH54" s="286" t="s">
        <v>1</v>
      </c>
      <c r="AI54" s="295" t="s">
        <v>1</v>
      </c>
      <c r="AJ54" s="295" t="s">
        <v>1</v>
      </c>
      <c r="AK54" s="295" t="s">
        <v>1</v>
      </c>
      <c r="AL54" s="286">
        <v>90.8</v>
      </c>
      <c r="AM54" s="288" t="s">
        <v>1</v>
      </c>
      <c r="AN54" s="287" t="s">
        <v>1</v>
      </c>
      <c r="AO54" s="287" t="s">
        <v>1</v>
      </c>
      <c r="AP54" s="286" t="s">
        <v>1</v>
      </c>
      <c r="AQ54" s="285" t="s">
        <v>1</v>
      </c>
      <c r="AR54" s="289" t="s">
        <v>1</v>
      </c>
      <c r="AS54" s="289" t="s">
        <v>1</v>
      </c>
      <c r="AT54" s="290" t="s">
        <v>1</v>
      </c>
      <c r="AU54" s="287" t="s">
        <v>1</v>
      </c>
      <c r="AV54" s="287" t="s">
        <v>1</v>
      </c>
      <c r="AW54" s="291" t="s">
        <v>1</v>
      </c>
    </row>
    <row r="55" spans="1:49" ht="30.15" customHeight="1" x14ac:dyDescent="0.25">
      <c r="A55" s="188" t="s">
        <v>18</v>
      </c>
      <c r="B55" s="188" t="s">
        <v>1</v>
      </c>
      <c r="C55" s="188" t="s">
        <v>35</v>
      </c>
      <c r="D55" s="190" t="s">
        <v>3</v>
      </c>
      <c r="E55" s="190" t="s">
        <v>965</v>
      </c>
      <c r="F55" s="203"/>
      <c r="G55" s="190" t="s">
        <v>997</v>
      </c>
      <c r="H55" s="192" t="s">
        <v>414</v>
      </c>
      <c r="I55" s="194">
        <v>659</v>
      </c>
      <c r="J55" s="194">
        <v>665</v>
      </c>
      <c r="K55" s="194">
        <v>665</v>
      </c>
      <c r="L55" s="193">
        <v>698</v>
      </c>
      <c r="M55" s="193">
        <v>698</v>
      </c>
      <c r="N55" s="284" t="s">
        <v>1</v>
      </c>
      <c r="O55" s="285" t="s">
        <v>1</v>
      </c>
      <c r="P55" s="285" t="s">
        <v>1</v>
      </c>
      <c r="Q55" s="285" t="s">
        <v>1</v>
      </c>
      <c r="R55" s="285" t="s">
        <v>1</v>
      </c>
      <c r="S55" s="286" t="s">
        <v>1</v>
      </c>
      <c r="T55" s="285" t="s">
        <v>1</v>
      </c>
      <c r="U55" s="285" t="s">
        <v>1</v>
      </c>
      <c r="V55" s="285" t="s">
        <v>1</v>
      </c>
      <c r="W55" s="285" t="s">
        <v>1</v>
      </c>
      <c r="X55" s="286" t="s">
        <v>1</v>
      </c>
      <c r="Y55" s="285" t="s">
        <v>1</v>
      </c>
      <c r="Z55" s="285" t="s">
        <v>1</v>
      </c>
      <c r="AA55" s="285" t="s">
        <v>1</v>
      </c>
      <c r="AB55" s="285" t="s">
        <v>1</v>
      </c>
      <c r="AC55" s="286" t="s">
        <v>1</v>
      </c>
      <c r="AD55" s="285" t="s">
        <v>1</v>
      </c>
      <c r="AE55" s="285" t="s">
        <v>1</v>
      </c>
      <c r="AF55" s="285" t="s">
        <v>1</v>
      </c>
      <c r="AG55" s="285" t="s">
        <v>1</v>
      </c>
      <c r="AH55" s="286" t="s">
        <v>1</v>
      </c>
      <c r="AI55" s="295" t="s">
        <v>1</v>
      </c>
      <c r="AJ55" s="295" t="s">
        <v>1</v>
      </c>
      <c r="AK55" s="295" t="s">
        <v>1</v>
      </c>
      <c r="AL55" s="286">
        <v>139.6</v>
      </c>
      <c r="AM55" s="288" t="s">
        <v>1</v>
      </c>
      <c r="AN55" s="287" t="s">
        <v>1</v>
      </c>
      <c r="AO55" s="287" t="s">
        <v>1</v>
      </c>
      <c r="AP55" s="286" t="s">
        <v>1</v>
      </c>
      <c r="AQ55" s="285" t="s">
        <v>1</v>
      </c>
      <c r="AR55" s="289" t="s">
        <v>1</v>
      </c>
      <c r="AS55" s="289" t="s">
        <v>1</v>
      </c>
      <c r="AT55" s="290" t="s">
        <v>1</v>
      </c>
      <c r="AU55" s="287" t="s">
        <v>1</v>
      </c>
      <c r="AV55" s="287" t="s">
        <v>1</v>
      </c>
      <c r="AW55" s="291" t="s">
        <v>1</v>
      </c>
    </row>
    <row r="56" spans="1:49" ht="30.15" customHeight="1" x14ac:dyDescent="0.25">
      <c r="A56" s="188" t="s">
        <v>18</v>
      </c>
      <c r="B56" s="188" t="s">
        <v>1</v>
      </c>
      <c r="C56" s="188" t="s">
        <v>35</v>
      </c>
      <c r="D56" s="190" t="s">
        <v>3</v>
      </c>
      <c r="E56" s="190" t="s">
        <v>966</v>
      </c>
      <c r="F56" s="203"/>
      <c r="G56" s="190" t="s">
        <v>998</v>
      </c>
      <c r="H56" s="192" t="s">
        <v>414</v>
      </c>
      <c r="I56" s="194">
        <v>699</v>
      </c>
      <c r="J56" s="194">
        <v>703</v>
      </c>
      <c r="K56" s="194">
        <v>703</v>
      </c>
      <c r="L56" s="193">
        <v>740</v>
      </c>
      <c r="M56" s="194">
        <v>740</v>
      </c>
      <c r="N56" s="284" t="s">
        <v>1</v>
      </c>
      <c r="O56" s="285" t="s">
        <v>1</v>
      </c>
      <c r="P56" s="285" t="s">
        <v>1</v>
      </c>
      <c r="Q56" s="285" t="s">
        <v>1</v>
      </c>
      <c r="R56" s="285" t="s">
        <v>1</v>
      </c>
      <c r="S56" s="286" t="s">
        <v>1</v>
      </c>
      <c r="T56" s="285" t="s">
        <v>1</v>
      </c>
      <c r="U56" s="285" t="s">
        <v>1</v>
      </c>
      <c r="V56" s="285" t="s">
        <v>1</v>
      </c>
      <c r="W56" s="285" t="s">
        <v>1</v>
      </c>
      <c r="X56" s="286" t="s">
        <v>1</v>
      </c>
      <c r="Y56" s="285" t="s">
        <v>1</v>
      </c>
      <c r="Z56" s="285" t="s">
        <v>1</v>
      </c>
      <c r="AA56" s="285" t="s">
        <v>1</v>
      </c>
      <c r="AB56" s="285" t="s">
        <v>1</v>
      </c>
      <c r="AC56" s="286" t="s">
        <v>1</v>
      </c>
      <c r="AD56" s="285" t="s">
        <v>1</v>
      </c>
      <c r="AE56" s="285" t="s">
        <v>1</v>
      </c>
      <c r="AF56" s="285" t="s">
        <v>1</v>
      </c>
      <c r="AG56" s="285" t="s">
        <v>1</v>
      </c>
      <c r="AH56" s="286" t="s">
        <v>1</v>
      </c>
      <c r="AI56" s="295" t="s">
        <v>1</v>
      </c>
      <c r="AJ56" s="295" t="s">
        <v>1</v>
      </c>
      <c r="AK56" s="295" t="s">
        <v>1</v>
      </c>
      <c r="AL56" s="286">
        <v>148</v>
      </c>
      <c r="AM56" s="288" t="s">
        <v>1</v>
      </c>
      <c r="AN56" s="287" t="s">
        <v>1</v>
      </c>
      <c r="AO56" s="287" t="s">
        <v>1</v>
      </c>
      <c r="AP56" s="286" t="s">
        <v>1</v>
      </c>
      <c r="AQ56" s="285" t="s">
        <v>1</v>
      </c>
      <c r="AR56" s="289" t="s">
        <v>1</v>
      </c>
      <c r="AS56" s="289" t="s">
        <v>1</v>
      </c>
      <c r="AT56" s="290" t="s">
        <v>1</v>
      </c>
      <c r="AU56" s="287" t="s">
        <v>1</v>
      </c>
      <c r="AV56" s="287" t="s">
        <v>1</v>
      </c>
      <c r="AW56" s="291" t="s">
        <v>1</v>
      </c>
    </row>
    <row r="57" spans="1:49" ht="30.15" customHeight="1" x14ac:dyDescent="0.25">
      <c r="A57" s="188" t="s">
        <v>18</v>
      </c>
      <c r="B57" s="188" t="s">
        <v>1</v>
      </c>
      <c r="C57" s="188" t="s">
        <v>35</v>
      </c>
      <c r="D57" s="190" t="s">
        <v>3</v>
      </c>
      <c r="E57" s="190" t="s">
        <v>967</v>
      </c>
      <c r="F57" s="203"/>
      <c r="G57" s="190" t="s">
        <v>999</v>
      </c>
      <c r="H57" s="192" t="s">
        <v>414</v>
      </c>
      <c r="I57" s="194">
        <v>659</v>
      </c>
      <c r="J57" s="194">
        <v>665</v>
      </c>
      <c r="K57" s="194">
        <v>665</v>
      </c>
      <c r="L57" s="193">
        <v>698</v>
      </c>
      <c r="M57" s="194">
        <v>698</v>
      </c>
      <c r="N57" s="284" t="s">
        <v>1</v>
      </c>
      <c r="O57" s="285" t="s">
        <v>1</v>
      </c>
      <c r="P57" s="285" t="s">
        <v>1</v>
      </c>
      <c r="Q57" s="285" t="s">
        <v>1</v>
      </c>
      <c r="R57" s="285" t="s">
        <v>1</v>
      </c>
      <c r="S57" s="286" t="s">
        <v>1</v>
      </c>
      <c r="T57" s="285" t="s">
        <v>1</v>
      </c>
      <c r="U57" s="285" t="s">
        <v>1</v>
      </c>
      <c r="V57" s="285" t="s">
        <v>1</v>
      </c>
      <c r="W57" s="285" t="s">
        <v>1</v>
      </c>
      <c r="X57" s="286" t="s">
        <v>1</v>
      </c>
      <c r="Y57" s="285" t="s">
        <v>1</v>
      </c>
      <c r="Z57" s="285" t="s">
        <v>1</v>
      </c>
      <c r="AA57" s="285" t="s">
        <v>1</v>
      </c>
      <c r="AB57" s="285" t="s">
        <v>1</v>
      </c>
      <c r="AC57" s="286" t="s">
        <v>1</v>
      </c>
      <c r="AD57" s="285" t="s">
        <v>1</v>
      </c>
      <c r="AE57" s="285" t="s">
        <v>1</v>
      </c>
      <c r="AF57" s="285" t="s">
        <v>1</v>
      </c>
      <c r="AG57" s="285" t="s">
        <v>1</v>
      </c>
      <c r="AH57" s="286" t="s">
        <v>1</v>
      </c>
      <c r="AI57" s="295" t="s">
        <v>1</v>
      </c>
      <c r="AJ57" s="295" t="s">
        <v>1</v>
      </c>
      <c r="AK57" s="295" t="s">
        <v>1</v>
      </c>
      <c r="AL57" s="286">
        <v>139.6</v>
      </c>
      <c r="AM57" s="288" t="s">
        <v>1</v>
      </c>
      <c r="AN57" s="287" t="s">
        <v>1</v>
      </c>
      <c r="AO57" s="287" t="s">
        <v>1</v>
      </c>
      <c r="AP57" s="286" t="s">
        <v>1</v>
      </c>
      <c r="AQ57" s="285" t="s">
        <v>1</v>
      </c>
      <c r="AR57" s="289" t="s">
        <v>1</v>
      </c>
      <c r="AS57" s="289" t="s">
        <v>1</v>
      </c>
      <c r="AT57" s="290" t="s">
        <v>1</v>
      </c>
      <c r="AU57" s="287" t="s">
        <v>1</v>
      </c>
      <c r="AV57" s="287" t="s">
        <v>1</v>
      </c>
      <c r="AW57" s="291" t="s">
        <v>1</v>
      </c>
    </row>
    <row r="58" spans="1:49" ht="30.15" customHeight="1" x14ac:dyDescent="0.25">
      <c r="A58" s="188" t="s">
        <v>18</v>
      </c>
      <c r="B58" s="188" t="s">
        <v>1</v>
      </c>
      <c r="C58" s="188" t="s">
        <v>35</v>
      </c>
      <c r="D58" s="190" t="s">
        <v>3</v>
      </c>
      <c r="E58" s="190" t="s">
        <v>968</v>
      </c>
      <c r="F58" s="203"/>
      <c r="G58" s="190" t="s">
        <v>1000</v>
      </c>
      <c r="H58" s="192" t="s">
        <v>414</v>
      </c>
      <c r="I58" s="194">
        <v>883</v>
      </c>
      <c r="J58" s="194">
        <v>888</v>
      </c>
      <c r="K58" s="194">
        <v>888</v>
      </c>
      <c r="L58" s="193">
        <v>935</v>
      </c>
      <c r="M58" s="194">
        <v>935</v>
      </c>
      <c r="N58" s="284" t="s">
        <v>1</v>
      </c>
      <c r="O58" s="285" t="s">
        <v>1</v>
      </c>
      <c r="P58" s="285" t="s">
        <v>1</v>
      </c>
      <c r="Q58" s="285" t="s">
        <v>1</v>
      </c>
      <c r="R58" s="285" t="s">
        <v>1</v>
      </c>
      <c r="S58" s="286" t="s">
        <v>1</v>
      </c>
      <c r="T58" s="285" t="s">
        <v>1</v>
      </c>
      <c r="U58" s="285" t="s">
        <v>1</v>
      </c>
      <c r="V58" s="285" t="s">
        <v>1</v>
      </c>
      <c r="W58" s="285" t="s">
        <v>1</v>
      </c>
      <c r="X58" s="286" t="s">
        <v>1</v>
      </c>
      <c r="Y58" s="285" t="s">
        <v>1</v>
      </c>
      <c r="Z58" s="285" t="s">
        <v>1</v>
      </c>
      <c r="AA58" s="285" t="s">
        <v>1</v>
      </c>
      <c r="AB58" s="285" t="s">
        <v>1</v>
      </c>
      <c r="AC58" s="286" t="s">
        <v>1</v>
      </c>
      <c r="AD58" s="285" t="s">
        <v>1</v>
      </c>
      <c r="AE58" s="285" t="s">
        <v>1</v>
      </c>
      <c r="AF58" s="285" t="s">
        <v>1</v>
      </c>
      <c r="AG58" s="285" t="s">
        <v>1</v>
      </c>
      <c r="AH58" s="286" t="s">
        <v>1</v>
      </c>
      <c r="AI58" s="295" t="s">
        <v>1</v>
      </c>
      <c r="AJ58" s="295" t="s">
        <v>1</v>
      </c>
      <c r="AK58" s="295" t="s">
        <v>1</v>
      </c>
      <c r="AL58" s="286">
        <v>187</v>
      </c>
      <c r="AM58" s="288" t="s">
        <v>1</v>
      </c>
      <c r="AN58" s="287" t="s">
        <v>1</v>
      </c>
      <c r="AO58" s="287" t="s">
        <v>1</v>
      </c>
      <c r="AP58" s="286" t="s">
        <v>1</v>
      </c>
      <c r="AQ58" s="285" t="s">
        <v>1</v>
      </c>
      <c r="AR58" s="289" t="s">
        <v>1</v>
      </c>
      <c r="AS58" s="289" t="s">
        <v>1</v>
      </c>
      <c r="AT58" s="290" t="s">
        <v>1</v>
      </c>
      <c r="AU58" s="287" t="s">
        <v>1</v>
      </c>
      <c r="AV58" s="287" t="s">
        <v>1</v>
      </c>
      <c r="AW58" s="291" t="s">
        <v>1</v>
      </c>
    </row>
    <row r="59" spans="1:49" ht="30.15" customHeight="1" x14ac:dyDescent="0.25">
      <c r="A59" s="188" t="s">
        <v>18</v>
      </c>
      <c r="B59" s="188" t="s">
        <v>1</v>
      </c>
      <c r="C59" s="188" t="s">
        <v>35</v>
      </c>
      <c r="D59" s="190" t="s">
        <v>3</v>
      </c>
      <c r="E59" s="190" t="s">
        <v>969</v>
      </c>
      <c r="F59" s="203"/>
      <c r="G59" s="190" t="s">
        <v>1001</v>
      </c>
      <c r="H59" s="192" t="s">
        <v>414</v>
      </c>
      <c r="I59" s="194">
        <v>940</v>
      </c>
      <c r="J59" s="194">
        <v>945</v>
      </c>
      <c r="K59" s="194">
        <v>945</v>
      </c>
      <c r="L59" s="193">
        <v>996</v>
      </c>
      <c r="M59" s="194">
        <v>996</v>
      </c>
      <c r="N59" s="284" t="s">
        <v>1</v>
      </c>
      <c r="O59" s="285" t="s">
        <v>1</v>
      </c>
      <c r="P59" s="285" t="s">
        <v>1</v>
      </c>
      <c r="Q59" s="285" t="s">
        <v>1</v>
      </c>
      <c r="R59" s="285" t="s">
        <v>1</v>
      </c>
      <c r="S59" s="286" t="s">
        <v>1</v>
      </c>
      <c r="T59" s="285" t="s">
        <v>1</v>
      </c>
      <c r="U59" s="285" t="s">
        <v>1</v>
      </c>
      <c r="V59" s="285" t="s">
        <v>1</v>
      </c>
      <c r="W59" s="285" t="s">
        <v>1</v>
      </c>
      <c r="X59" s="286" t="s">
        <v>1</v>
      </c>
      <c r="Y59" s="285" t="s">
        <v>1</v>
      </c>
      <c r="Z59" s="285" t="s">
        <v>1</v>
      </c>
      <c r="AA59" s="285" t="s">
        <v>1</v>
      </c>
      <c r="AB59" s="285" t="s">
        <v>1</v>
      </c>
      <c r="AC59" s="286" t="s">
        <v>1</v>
      </c>
      <c r="AD59" s="285" t="s">
        <v>1</v>
      </c>
      <c r="AE59" s="285" t="s">
        <v>1</v>
      </c>
      <c r="AF59" s="285" t="s">
        <v>1</v>
      </c>
      <c r="AG59" s="285" t="s">
        <v>1</v>
      </c>
      <c r="AH59" s="286" t="s">
        <v>1</v>
      </c>
      <c r="AI59" s="295" t="s">
        <v>1</v>
      </c>
      <c r="AJ59" s="295" t="s">
        <v>1</v>
      </c>
      <c r="AK59" s="295" t="s">
        <v>1</v>
      </c>
      <c r="AL59" s="286">
        <v>199.2</v>
      </c>
      <c r="AM59" s="288" t="s">
        <v>1</v>
      </c>
      <c r="AN59" s="287" t="s">
        <v>1</v>
      </c>
      <c r="AO59" s="287" t="s">
        <v>1</v>
      </c>
      <c r="AP59" s="286" t="s">
        <v>1</v>
      </c>
      <c r="AQ59" s="285" t="s">
        <v>1</v>
      </c>
      <c r="AR59" s="289" t="s">
        <v>1</v>
      </c>
      <c r="AS59" s="289" t="s">
        <v>1</v>
      </c>
      <c r="AT59" s="290" t="s">
        <v>1</v>
      </c>
      <c r="AU59" s="287" t="s">
        <v>1</v>
      </c>
      <c r="AV59" s="287" t="s">
        <v>1</v>
      </c>
      <c r="AW59" s="291" t="s">
        <v>1</v>
      </c>
    </row>
    <row r="60" spans="1:49" ht="30.15" customHeight="1" x14ac:dyDescent="0.25">
      <c r="A60" s="188" t="s">
        <v>18</v>
      </c>
      <c r="B60" s="188" t="s">
        <v>1</v>
      </c>
      <c r="C60" s="188" t="s">
        <v>35</v>
      </c>
      <c r="D60" s="190" t="s">
        <v>3</v>
      </c>
      <c r="E60" s="190" t="s">
        <v>970</v>
      </c>
      <c r="F60" s="203"/>
      <c r="G60" s="190" t="s">
        <v>1002</v>
      </c>
      <c r="H60" s="192" t="s">
        <v>414</v>
      </c>
      <c r="I60" s="194">
        <v>883</v>
      </c>
      <c r="J60" s="194">
        <v>888</v>
      </c>
      <c r="K60" s="194">
        <v>888</v>
      </c>
      <c r="L60" s="193">
        <v>935</v>
      </c>
      <c r="M60" s="194">
        <v>935</v>
      </c>
      <c r="N60" s="284" t="s">
        <v>1</v>
      </c>
      <c r="O60" s="285" t="s">
        <v>1</v>
      </c>
      <c r="P60" s="285" t="s">
        <v>1</v>
      </c>
      <c r="Q60" s="285" t="s">
        <v>1</v>
      </c>
      <c r="R60" s="285" t="s">
        <v>1</v>
      </c>
      <c r="S60" s="286" t="s">
        <v>1</v>
      </c>
      <c r="T60" s="285" t="s">
        <v>1</v>
      </c>
      <c r="U60" s="285" t="s">
        <v>1</v>
      </c>
      <c r="V60" s="285" t="s">
        <v>1</v>
      </c>
      <c r="W60" s="285" t="s">
        <v>1</v>
      </c>
      <c r="X60" s="286" t="s">
        <v>1</v>
      </c>
      <c r="Y60" s="285" t="s">
        <v>1</v>
      </c>
      <c r="Z60" s="285" t="s">
        <v>1</v>
      </c>
      <c r="AA60" s="285" t="s">
        <v>1</v>
      </c>
      <c r="AB60" s="285" t="s">
        <v>1</v>
      </c>
      <c r="AC60" s="286" t="s">
        <v>1</v>
      </c>
      <c r="AD60" s="285" t="s">
        <v>1</v>
      </c>
      <c r="AE60" s="285" t="s">
        <v>1</v>
      </c>
      <c r="AF60" s="285" t="s">
        <v>1</v>
      </c>
      <c r="AG60" s="285" t="s">
        <v>1</v>
      </c>
      <c r="AH60" s="286" t="s">
        <v>1</v>
      </c>
      <c r="AI60" s="295" t="s">
        <v>1</v>
      </c>
      <c r="AJ60" s="295" t="s">
        <v>1</v>
      </c>
      <c r="AK60" s="295" t="s">
        <v>1</v>
      </c>
      <c r="AL60" s="286">
        <v>187</v>
      </c>
      <c r="AM60" s="288" t="s">
        <v>1</v>
      </c>
      <c r="AN60" s="287" t="s">
        <v>1</v>
      </c>
      <c r="AO60" s="287" t="s">
        <v>1</v>
      </c>
      <c r="AP60" s="286" t="s">
        <v>1</v>
      </c>
      <c r="AQ60" s="285" t="s">
        <v>1</v>
      </c>
      <c r="AR60" s="289" t="s">
        <v>1</v>
      </c>
      <c r="AS60" s="289" t="s">
        <v>1</v>
      </c>
      <c r="AT60" s="290" t="s">
        <v>1</v>
      </c>
      <c r="AU60" s="287" t="s">
        <v>1</v>
      </c>
      <c r="AV60" s="287" t="s">
        <v>1</v>
      </c>
      <c r="AW60" s="291" t="s">
        <v>1</v>
      </c>
    </row>
    <row r="61" spans="1:49" ht="30.15" customHeight="1" x14ac:dyDescent="0.25">
      <c r="A61" s="188" t="s">
        <v>18</v>
      </c>
      <c r="B61" s="188" t="s">
        <v>1</v>
      </c>
      <c r="C61" s="188" t="s">
        <v>35</v>
      </c>
      <c r="D61" s="190" t="s">
        <v>3</v>
      </c>
      <c r="E61" s="190" t="s">
        <v>971</v>
      </c>
      <c r="F61" s="203"/>
      <c r="G61" s="190" t="s">
        <v>1003</v>
      </c>
      <c r="H61" s="192" t="s">
        <v>414</v>
      </c>
      <c r="I61" s="194">
        <v>940</v>
      </c>
      <c r="J61" s="194">
        <v>945</v>
      </c>
      <c r="K61" s="194">
        <v>945</v>
      </c>
      <c r="L61" s="193">
        <v>996</v>
      </c>
      <c r="M61" s="194">
        <v>996</v>
      </c>
      <c r="N61" s="284" t="s">
        <v>1</v>
      </c>
      <c r="O61" s="285" t="s">
        <v>1</v>
      </c>
      <c r="P61" s="285" t="s">
        <v>1</v>
      </c>
      <c r="Q61" s="285" t="s">
        <v>1</v>
      </c>
      <c r="R61" s="285" t="s">
        <v>1</v>
      </c>
      <c r="S61" s="286" t="s">
        <v>1</v>
      </c>
      <c r="T61" s="285" t="s">
        <v>1</v>
      </c>
      <c r="U61" s="285" t="s">
        <v>1</v>
      </c>
      <c r="V61" s="285" t="s">
        <v>1</v>
      </c>
      <c r="W61" s="285" t="s">
        <v>1</v>
      </c>
      <c r="X61" s="286" t="s">
        <v>1</v>
      </c>
      <c r="Y61" s="285" t="s">
        <v>1</v>
      </c>
      <c r="Z61" s="285" t="s">
        <v>1</v>
      </c>
      <c r="AA61" s="285" t="s">
        <v>1</v>
      </c>
      <c r="AB61" s="285" t="s">
        <v>1</v>
      </c>
      <c r="AC61" s="286" t="s">
        <v>1</v>
      </c>
      <c r="AD61" s="285" t="s">
        <v>1</v>
      </c>
      <c r="AE61" s="285" t="s">
        <v>1</v>
      </c>
      <c r="AF61" s="285" t="s">
        <v>1</v>
      </c>
      <c r="AG61" s="285" t="s">
        <v>1</v>
      </c>
      <c r="AH61" s="286" t="s">
        <v>1</v>
      </c>
      <c r="AI61" s="295" t="s">
        <v>1</v>
      </c>
      <c r="AJ61" s="295" t="s">
        <v>1</v>
      </c>
      <c r="AK61" s="295" t="s">
        <v>1</v>
      </c>
      <c r="AL61" s="286">
        <v>199.2</v>
      </c>
      <c r="AM61" s="288" t="s">
        <v>1</v>
      </c>
      <c r="AN61" s="287" t="s">
        <v>1</v>
      </c>
      <c r="AO61" s="287" t="s">
        <v>1</v>
      </c>
      <c r="AP61" s="286" t="s">
        <v>1</v>
      </c>
      <c r="AQ61" s="285" t="s">
        <v>1</v>
      </c>
      <c r="AR61" s="289" t="s">
        <v>1</v>
      </c>
      <c r="AS61" s="289" t="s">
        <v>1</v>
      </c>
      <c r="AT61" s="290" t="s">
        <v>1</v>
      </c>
      <c r="AU61" s="287" t="s">
        <v>1</v>
      </c>
      <c r="AV61" s="287" t="s">
        <v>1</v>
      </c>
      <c r="AW61" s="291" t="s">
        <v>1</v>
      </c>
    </row>
    <row r="62" spans="1:49" ht="30.15" customHeight="1" x14ac:dyDescent="0.25">
      <c r="A62" s="188" t="s">
        <v>18</v>
      </c>
      <c r="B62" s="188" t="s">
        <v>1</v>
      </c>
      <c r="C62" s="188" t="s">
        <v>35</v>
      </c>
      <c r="D62" s="190" t="s">
        <v>3</v>
      </c>
      <c r="E62" s="190" t="s">
        <v>972</v>
      </c>
      <c r="F62" s="203"/>
      <c r="G62" s="190" t="s">
        <v>1004</v>
      </c>
      <c r="H62" s="192" t="s">
        <v>414</v>
      </c>
      <c r="I62" s="194">
        <v>883</v>
      </c>
      <c r="J62" s="194">
        <v>888</v>
      </c>
      <c r="K62" s="194">
        <v>888</v>
      </c>
      <c r="L62" s="193">
        <v>935</v>
      </c>
      <c r="M62" s="194">
        <v>935</v>
      </c>
      <c r="N62" s="284" t="s">
        <v>1</v>
      </c>
      <c r="O62" s="285" t="s">
        <v>1</v>
      </c>
      <c r="P62" s="285" t="s">
        <v>1</v>
      </c>
      <c r="Q62" s="285" t="s">
        <v>1</v>
      </c>
      <c r="R62" s="285" t="s">
        <v>1</v>
      </c>
      <c r="S62" s="286" t="s">
        <v>1</v>
      </c>
      <c r="T62" s="285" t="s">
        <v>1</v>
      </c>
      <c r="U62" s="285" t="s">
        <v>1</v>
      </c>
      <c r="V62" s="285" t="s">
        <v>1</v>
      </c>
      <c r="W62" s="285" t="s">
        <v>1</v>
      </c>
      <c r="X62" s="286" t="s">
        <v>1</v>
      </c>
      <c r="Y62" s="285" t="s">
        <v>1</v>
      </c>
      <c r="Z62" s="285" t="s">
        <v>1</v>
      </c>
      <c r="AA62" s="285" t="s">
        <v>1</v>
      </c>
      <c r="AB62" s="285" t="s">
        <v>1</v>
      </c>
      <c r="AC62" s="286" t="s">
        <v>1</v>
      </c>
      <c r="AD62" s="285" t="s">
        <v>1</v>
      </c>
      <c r="AE62" s="285" t="s">
        <v>1</v>
      </c>
      <c r="AF62" s="285" t="s">
        <v>1</v>
      </c>
      <c r="AG62" s="285" t="s">
        <v>1</v>
      </c>
      <c r="AH62" s="286" t="s">
        <v>1</v>
      </c>
      <c r="AI62" s="295" t="s">
        <v>1</v>
      </c>
      <c r="AJ62" s="295" t="s">
        <v>1</v>
      </c>
      <c r="AK62" s="295" t="s">
        <v>1</v>
      </c>
      <c r="AL62" s="286">
        <v>187</v>
      </c>
      <c r="AM62" s="288" t="s">
        <v>1</v>
      </c>
      <c r="AN62" s="287" t="s">
        <v>1</v>
      </c>
      <c r="AO62" s="287" t="s">
        <v>1</v>
      </c>
      <c r="AP62" s="286" t="s">
        <v>1</v>
      </c>
      <c r="AQ62" s="285" t="s">
        <v>1</v>
      </c>
      <c r="AR62" s="289" t="s">
        <v>1</v>
      </c>
      <c r="AS62" s="289" t="s">
        <v>1</v>
      </c>
      <c r="AT62" s="290" t="s">
        <v>1</v>
      </c>
      <c r="AU62" s="287" t="s">
        <v>1</v>
      </c>
      <c r="AV62" s="287" t="s">
        <v>1</v>
      </c>
      <c r="AW62" s="291" t="s">
        <v>1</v>
      </c>
    </row>
    <row r="63" spans="1:49" ht="30.15" customHeight="1" x14ac:dyDescent="0.25">
      <c r="A63" s="188" t="s">
        <v>18</v>
      </c>
      <c r="B63" s="188" t="s">
        <v>1</v>
      </c>
      <c r="C63" s="188" t="s">
        <v>35</v>
      </c>
      <c r="D63" s="190" t="s">
        <v>3</v>
      </c>
      <c r="E63" s="190" t="s">
        <v>973</v>
      </c>
      <c r="F63" s="203"/>
      <c r="G63" s="190" t="s">
        <v>1005</v>
      </c>
      <c r="H63" s="192" t="s">
        <v>414</v>
      </c>
      <c r="I63" s="194">
        <v>699</v>
      </c>
      <c r="J63" s="194">
        <v>703</v>
      </c>
      <c r="K63" s="194">
        <v>703</v>
      </c>
      <c r="L63" s="193">
        <v>740</v>
      </c>
      <c r="M63" s="194">
        <v>740</v>
      </c>
      <c r="N63" s="284" t="s">
        <v>1</v>
      </c>
      <c r="O63" s="285" t="s">
        <v>1</v>
      </c>
      <c r="P63" s="285" t="s">
        <v>1</v>
      </c>
      <c r="Q63" s="285" t="s">
        <v>1</v>
      </c>
      <c r="R63" s="285" t="s">
        <v>1</v>
      </c>
      <c r="S63" s="286" t="s">
        <v>1</v>
      </c>
      <c r="T63" s="285" t="s">
        <v>1</v>
      </c>
      <c r="U63" s="285" t="s">
        <v>1</v>
      </c>
      <c r="V63" s="285" t="s">
        <v>1</v>
      </c>
      <c r="W63" s="285" t="s">
        <v>1</v>
      </c>
      <c r="X63" s="286" t="s">
        <v>1</v>
      </c>
      <c r="Y63" s="285" t="s">
        <v>1</v>
      </c>
      <c r="Z63" s="285" t="s">
        <v>1</v>
      </c>
      <c r="AA63" s="285" t="s">
        <v>1</v>
      </c>
      <c r="AB63" s="285" t="s">
        <v>1</v>
      </c>
      <c r="AC63" s="286" t="s">
        <v>1</v>
      </c>
      <c r="AD63" s="285" t="s">
        <v>1</v>
      </c>
      <c r="AE63" s="285" t="s">
        <v>1</v>
      </c>
      <c r="AF63" s="285" t="s">
        <v>1</v>
      </c>
      <c r="AG63" s="285" t="s">
        <v>1</v>
      </c>
      <c r="AH63" s="286" t="s">
        <v>1</v>
      </c>
      <c r="AI63" s="295" t="s">
        <v>1</v>
      </c>
      <c r="AJ63" s="295" t="s">
        <v>1</v>
      </c>
      <c r="AK63" s="295" t="s">
        <v>1</v>
      </c>
      <c r="AL63" s="286">
        <v>148</v>
      </c>
      <c r="AM63" s="288" t="s">
        <v>1</v>
      </c>
      <c r="AN63" s="287" t="s">
        <v>1</v>
      </c>
      <c r="AO63" s="287" t="s">
        <v>1</v>
      </c>
      <c r="AP63" s="286" t="s">
        <v>1</v>
      </c>
      <c r="AQ63" s="285" t="s">
        <v>1</v>
      </c>
      <c r="AR63" s="289" t="s">
        <v>1</v>
      </c>
      <c r="AS63" s="289" t="s">
        <v>1</v>
      </c>
      <c r="AT63" s="290" t="s">
        <v>1</v>
      </c>
      <c r="AU63" s="287" t="s">
        <v>1</v>
      </c>
      <c r="AV63" s="287" t="s">
        <v>1</v>
      </c>
      <c r="AW63" s="291" t="s">
        <v>1</v>
      </c>
    </row>
    <row r="64" spans="1:49" ht="30.15" customHeight="1" x14ac:dyDescent="0.25">
      <c r="A64" s="188" t="s">
        <v>18</v>
      </c>
      <c r="B64" s="188" t="s">
        <v>1</v>
      </c>
      <c r="C64" s="188" t="s">
        <v>35</v>
      </c>
      <c r="D64" s="190" t="s">
        <v>3</v>
      </c>
      <c r="E64" s="190" t="s">
        <v>974</v>
      </c>
      <c r="F64" s="203"/>
      <c r="G64" s="190" t="s">
        <v>1006</v>
      </c>
      <c r="H64" s="192" t="s">
        <v>414</v>
      </c>
      <c r="I64" s="194">
        <v>940</v>
      </c>
      <c r="J64" s="194">
        <v>945</v>
      </c>
      <c r="K64" s="194">
        <v>945</v>
      </c>
      <c r="L64" s="193">
        <v>996</v>
      </c>
      <c r="M64" s="194">
        <v>996</v>
      </c>
      <c r="N64" s="284" t="s">
        <v>1</v>
      </c>
      <c r="O64" s="285" t="s">
        <v>1</v>
      </c>
      <c r="P64" s="285" t="s">
        <v>1</v>
      </c>
      <c r="Q64" s="285" t="s">
        <v>1</v>
      </c>
      <c r="R64" s="285" t="s">
        <v>1</v>
      </c>
      <c r="S64" s="286" t="s">
        <v>1</v>
      </c>
      <c r="T64" s="285" t="s">
        <v>1</v>
      </c>
      <c r="U64" s="285" t="s">
        <v>1</v>
      </c>
      <c r="V64" s="285" t="s">
        <v>1</v>
      </c>
      <c r="W64" s="285" t="s">
        <v>1</v>
      </c>
      <c r="X64" s="286" t="s">
        <v>1</v>
      </c>
      <c r="Y64" s="285" t="s">
        <v>1</v>
      </c>
      <c r="Z64" s="285" t="s">
        <v>1</v>
      </c>
      <c r="AA64" s="285" t="s">
        <v>1</v>
      </c>
      <c r="AB64" s="285" t="s">
        <v>1</v>
      </c>
      <c r="AC64" s="286" t="s">
        <v>1</v>
      </c>
      <c r="AD64" s="285" t="s">
        <v>1</v>
      </c>
      <c r="AE64" s="285" t="s">
        <v>1</v>
      </c>
      <c r="AF64" s="285" t="s">
        <v>1</v>
      </c>
      <c r="AG64" s="285" t="s">
        <v>1</v>
      </c>
      <c r="AH64" s="286" t="s">
        <v>1</v>
      </c>
      <c r="AI64" s="295" t="s">
        <v>1</v>
      </c>
      <c r="AJ64" s="295" t="s">
        <v>1</v>
      </c>
      <c r="AK64" s="295" t="s">
        <v>1</v>
      </c>
      <c r="AL64" s="286">
        <v>199.2</v>
      </c>
      <c r="AM64" s="288" t="s">
        <v>1</v>
      </c>
      <c r="AN64" s="287" t="s">
        <v>1</v>
      </c>
      <c r="AO64" s="287" t="s">
        <v>1</v>
      </c>
      <c r="AP64" s="286" t="s">
        <v>1</v>
      </c>
      <c r="AQ64" s="285" t="s">
        <v>1</v>
      </c>
      <c r="AR64" s="289" t="s">
        <v>1</v>
      </c>
      <c r="AS64" s="289" t="s">
        <v>1</v>
      </c>
      <c r="AT64" s="290" t="s">
        <v>1</v>
      </c>
      <c r="AU64" s="287" t="s">
        <v>1</v>
      </c>
      <c r="AV64" s="287" t="s">
        <v>1</v>
      </c>
      <c r="AW64" s="291" t="s">
        <v>1</v>
      </c>
    </row>
    <row r="65" spans="1:49" ht="30.15" customHeight="1" x14ac:dyDescent="0.25">
      <c r="A65" s="188" t="s">
        <v>18</v>
      </c>
      <c r="B65" s="188" t="s">
        <v>1</v>
      </c>
      <c r="C65" s="188" t="s">
        <v>35</v>
      </c>
      <c r="D65" s="190" t="s">
        <v>3</v>
      </c>
      <c r="E65" s="190" t="s">
        <v>975</v>
      </c>
      <c r="F65" s="203"/>
      <c r="G65" s="190" t="s">
        <v>1007</v>
      </c>
      <c r="H65" s="192" t="s">
        <v>414</v>
      </c>
      <c r="I65" s="194">
        <v>997</v>
      </c>
      <c r="J65" s="194">
        <v>1002</v>
      </c>
      <c r="K65" s="194">
        <v>1002</v>
      </c>
      <c r="L65" s="193">
        <v>1056</v>
      </c>
      <c r="M65" s="194">
        <v>1056</v>
      </c>
      <c r="N65" s="284" t="s">
        <v>1</v>
      </c>
      <c r="O65" s="285" t="s">
        <v>1</v>
      </c>
      <c r="P65" s="285" t="s">
        <v>1</v>
      </c>
      <c r="Q65" s="285" t="s">
        <v>1</v>
      </c>
      <c r="R65" s="285" t="s">
        <v>1</v>
      </c>
      <c r="S65" s="286" t="s">
        <v>1</v>
      </c>
      <c r="T65" s="285" t="s">
        <v>1</v>
      </c>
      <c r="U65" s="285" t="s">
        <v>1</v>
      </c>
      <c r="V65" s="285" t="s">
        <v>1</v>
      </c>
      <c r="W65" s="285" t="s">
        <v>1</v>
      </c>
      <c r="X65" s="286" t="s">
        <v>1</v>
      </c>
      <c r="Y65" s="285" t="s">
        <v>1</v>
      </c>
      <c r="Z65" s="285" t="s">
        <v>1</v>
      </c>
      <c r="AA65" s="285" t="s">
        <v>1</v>
      </c>
      <c r="AB65" s="285" t="s">
        <v>1</v>
      </c>
      <c r="AC65" s="286" t="s">
        <v>1</v>
      </c>
      <c r="AD65" s="285" t="s">
        <v>1</v>
      </c>
      <c r="AE65" s="285" t="s">
        <v>1</v>
      </c>
      <c r="AF65" s="285" t="s">
        <v>1</v>
      </c>
      <c r="AG65" s="285" t="s">
        <v>1</v>
      </c>
      <c r="AH65" s="286" t="s">
        <v>1</v>
      </c>
      <c r="AI65" s="295" t="s">
        <v>1</v>
      </c>
      <c r="AJ65" s="295" t="s">
        <v>1</v>
      </c>
      <c r="AK65" s="295" t="s">
        <v>1</v>
      </c>
      <c r="AL65" s="286">
        <v>211.2</v>
      </c>
      <c r="AM65" s="288" t="s">
        <v>1</v>
      </c>
      <c r="AN65" s="287" t="s">
        <v>1</v>
      </c>
      <c r="AO65" s="287" t="s">
        <v>1</v>
      </c>
      <c r="AP65" s="286" t="s">
        <v>1</v>
      </c>
      <c r="AQ65" s="285" t="s">
        <v>1</v>
      </c>
      <c r="AR65" s="289" t="s">
        <v>1</v>
      </c>
      <c r="AS65" s="289" t="s">
        <v>1</v>
      </c>
      <c r="AT65" s="290" t="s">
        <v>1</v>
      </c>
      <c r="AU65" s="287" t="s">
        <v>1</v>
      </c>
      <c r="AV65" s="287" t="s">
        <v>1</v>
      </c>
      <c r="AW65" s="291" t="s">
        <v>1</v>
      </c>
    </row>
    <row r="66" spans="1:49" ht="30.15" customHeight="1" x14ac:dyDescent="0.25">
      <c r="A66" s="188" t="s">
        <v>18</v>
      </c>
      <c r="B66" s="188" t="s">
        <v>1</v>
      </c>
      <c r="C66" s="188" t="s">
        <v>35</v>
      </c>
      <c r="D66" s="190" t="s">
        <v>3</v>
      </c>
      <c r="E66" s="190" t="s">
        <v>976</v>
      </c>
      <c r="F66" s="203"/>
      <c r="G66" s="190" t="s">
        <v>1008</v>
      </c>
      <c r="H66" s="192" t="s">
        <v>414</v>
      </c>
      <c r="I66" s="194">
        <v>940</v>
      </c>
      <c r="J66" s="194">
        <v>945</v>
      </c>
      <c r="K66" s="194">
        <v>945</v>
      </c>
      <c r="L66" s="193">
        <v>996</v>
      </c>
      <c r="M66" s="194">
        <v>996</v>
      </c>
      <c r="N66" s="284" t="s">
        <v>1</v>
      </c>
      <c r="O66" s="285" t="s">
        <v>1</v>
      </c>
      <c r="P66" s="285" t="s">
        <v>1</v>
      </c>
      <c r="Q66" s="285" t="s">
        <v>1</v>
      </c>
      <c r="R66" s="285" t="s">
        <v>1</v>
      </c>
      <c r="S66" s="286" t="s">
        <v>1</v>
      </c>
      <c r="T66" s="285" t="s">
        <v>1</v>
      </c>
      <c r="U66" s="285" t="s">
        <v>1</v>
      </c>
      <c r="V66" s="285" t="s">
        <v>1</v>
      </c>
      <c r="W66" s="285" t="s">
        <v>1</v>
      </c>
      <c r="X66" s="286" t="s">
        <v>1</v>
      </c>
      <c r="Y66" s="285" t="s">
        <v>1</v>
      </c>
      <c r="Z66" s="285" t="s">
        <v>1</v>
      </c>
      <c r="AA66" s="285" t="s">
        <v>1</v>
      </c>
      <c r="AB66" s="285" t="s">
        <v>1</v>
      </c>
      <c r="AC66" s="286" t="s">
        <v>1</v>
      </c>
      <c r="AD66" s="285" t="s">
        <v>1</v>
      </c>
      <c r="AE66" s="285" t="s">
        <v>1</v>
      </c>
      <c r="AF66" s="285" t="s">
        <v>1</v>
      </c>
      <c r="AG66" s="285" t="s">
        <v>1</v>
      </c>
      <c r="AH66" s="286" t="s">
        <v>1</v>
      </c>
      <c r="AI66" s="295" t="s">
        <v>1</v>
      </c>
      <c r="AJ66" s="295" t="s">
        <v>1</v>
      </c>
      <c r="AK66" s="295" t="s">
        <v>1</v>
      </c>
      <c r="AL66" s="286">
        <v>199.2</v>
      </c>
      <c r="AM66" s="288" t="s">
        <v>1</v>
      </c>
      <c r="AN66" s="287" t="s">
        <v>1</v>
      </c>
      <c r="AO66" s="287" t="s">
        <v>1</v>
      </c>
      <c r="AP66" s="286" t="s">
        <v>1</v>
      </c>
      <c r="AQ66" s="285" t="s">
        <v>1</v>
      </c>
      <c r="AR66" s="289" t="s">
        <v>1</v>
      </c>
      <c r="AS66" s="289" t="s">
        <v>1</v>
      </c>
      <c r="AT66" s="290" t="s">
        <v>1</v>
      </c>
      <c r="AU66" s="287" t="s">
        <v>1</v>
      </c>
      <c r="AV66" s="287" t="s">
        <v>1</v>
      </c>
      <c r="AW66" s="291" t="s">
        <v>1</v>
      </c>
    </row>
    <row r="67" spans="1:49" ht="30.15" customHeight="1" x14ac:dyDescent="0.25">
      <c r="A67" s="188" t="s">
        <v>18</v>
      </c>
      <c r="B67" s="188" t="s">
        <v>1</v>
      </c>
      <c r="C67" s="188" t="s">
        <v>35</v>
      </c>
      <c r="D67" s="190" t="s">
        <v>3</v>
      </c>
      <c r="E67" s="190" t="s">
        <v>977</v>
      </c>
      <c r="F67" s="203"/>
      <c r="G67" s="190" t="s">
        <v>1009</v>
      </c>
      <c r="H67" s="192" t="s">
        <v>414</v>
      </c>
      <c r="I67" s="194">
        <v>997</v>
      </c>
      <c r="J67" s="194">
        <v>1002</v>
      </c>
      <c r="K67" s="194">
        <v>1002</v>
      </c>
      <c r="L67" s="193">
        <v>1056</v>
      </c>
      <c r="M67" s="194">
        <v>1056</v>
      </c>
      <c r="N67" s="284" t="s">
        <v>1</v>
      </c>
      <c r="O67" s="285" t="s">
        <v>1</v>
      </c>
      <c r="P67" s="285" t="s">
        <v>1</v>
      </c>
      <c r="Q67" s="285" t="s">
        <v>1</v>
      </c>
      <c r="R67" s="285" t="s">
        <v>1</v>
      </c>
      <c r="S67" s="286" t="s">
        <v>1</v>
      </c>
      <c r="T67" s="285" t="s">
        <v>1</v>
      </c>
      <c r="U67" s="285" t="s">
        <v>1</v>
      </c>
      <c r="V67" s="285" t="s">
        <v>1</v>
      </c>
      <c r="W67" s="285" t="s">
        <v>1</v>
      </c>
      <c r="X67" s="286" t="s">
        <v>1</v>
      </c>
      <c r="Y67" s="285" t="s">
        <v>1</v>
      </c>
      <c r="Z67" s="285" t="s">
        <v>1</v>
      </c>
      <c r="AA67" s="285" t="s">
        <v>1</v>
      </c>
      <c r="AB67" s="285" t="s">
        <v>1</v>
      </c>
      <c r="AC67" s="286" t="s">
        <v>1</v>
      </c>
      <c r="AD67" s="285" t="s">
        <v>1</v>
      </c>
      <c r="AE67" s="285" t="s">
        <v>1</v>
      </c>
      <c r="AF67" s="285" t="s">
        <v>1</v>
      </c>
      <c r="AG67" s="285" t="s">
        <v>1</v>
      </c>
      <c r="AH67" s="286" t="s">
        <v>1</v>
      </c>
      <c r="AI67" s="295" t="s">
        <v>1</v>
      </c>
      <c r="AJ67" s="295" t="s">
        <v>1</v>
      </c>
      <c r="AK67" s="295" t="s">
        <v>1</v>
      </c>
      <c r="AL67" s="286">
        <v>211.2</v>
      </c>
      <c r="AM67" s="288" t="s">
        <v>1</v>
      </c>
      <c r="AN67" s="287" t="s">
        <v>1</v>
      </c>
      <c r="AO67" s="287" t="s">
        <v>1</v>
      </c>
      <c r="AP67" s="286" t="s">
        <v>1</v>
      </c>
      <c r="AQ67" s="285" t="s">
        <v>1</v>
      </c>
      <c r="AR67" s="289" t="s">
        <v>1</v>
      </c>
      <c r="AS67" s="289" t="s">
        <v>1</v>
      </c>
      <c r="AT67" s="290" t="s">
        <v>1</v>
      </c>
      <c r="AU67" s="287" t="s">
        <v>1</v>
      </c>
      <c r="AV67" s="287" t="s">
        <v>1</v>
      </c>
      <c r="AW67" s="291" t="s">
        <v>1</v>
      </c>
    </row>
    <row r="68" spans="1:49" ht="30.15" customHeight="1" x14ac:dyDescent="0.25">
      <c r="A68" s="188" t="s">
        <v>18</v>
      </c>
      <c r="B68" s="188" t="s">
        <v>1</v>
      </c>
      <c r="C68" s="188" t="s">
        <v>35</v>
      </c>
      <c r="D68" s="190" t="s">
        <v>3</v>
      </c>
      <c r="E68" s="190" t="s">
        <v>978</v>
      </c>
      <c r="F68" s="203"/>
      <c r="G68" s="190" t="s">
        <v>1010</v>
      </c>
      <c r="H68" s="192" t="s">
        <v>414</v>
      </c>
      <c r="I68" s="194">
        <v>940</v>
      </c>
      <c r="J68" s="194">
        <v>945</v>
      </c>
      <c r="K68" s="194">
        <v>945</v>
      </c>
      <c r="L68" s="193">
        <v>996</v>
      </c>
      <c r="M68" s="194">
        <v>996</v>
      </c>
      <c r="N68" s="284" t="s">
        <v>1</v>
      </c>
      <c r="O68" s="285" t="s">
        <v>1</v>
      </c>
      <c r="P68" s="285" t="s">
        <v>1</v>
      </c>
      <c r="Q68" s="285" t="s">
        <v>1</v>
      </c>
      <c r="R68" s="285" t="s">
        <v>1</v>
      </c>
      <c r="S68" s="286" t="s">
        <v>1</v>
      </c>
      <c r="T68" s="285" t="s">
        <v>1</v>
      </c>
      <c r="U68" s="285" t="s">
        <v>1</v>
      </c>
      <c r="V68" s="285" t="s">
        <v>1</v>
      </c>
      <c r="W68" s="285" t="s">
        <v>1</v>
      </c>
      <c r="X68" s="286" t="s">
        <v>1</v>
      </c>
      <c r="Y68" s="285" t="s">
        <v>1</v>
      </c>
      <c r="Z68" s="285" t="s">
        <v>1</v>
      </c>
      <c r="AA68" s="285" t="s">
        <v>1</v>
      </c>
      <c r="AB68" s="285" t="s">
        <v>1</v>
      </c>
      <c r="AC68" s="286" t="s">
        <v>1</v>
      </c>
      <c r="AD68" s="285" t="s">
        <v>1</v>
      </c>
      <c r="AE68" s="285" t="s">
        <v>1</v>
      </c>
      <c r="AF68" s="285" t="s">
        <v>1</v>
      </c>
      <c r="AG68" s="285" t="s">
        <v>1</v>
      </c>
      <c r="AH68" s="286" t="s">
        <v>1</v>
      </c>
      <c r="AI68" s="295" t="s">
        <v>1</v>
      </c>
      <c r="AJ68" s="295" t="s">
        <v>1</v>
      </c>
      <c r="AK68" s="295" t="s">
        <v>1</v>
      </c>
      <c r="AL68" s="286">
        <v>199.2</v>
      </c>
      <c r="AM68" s="288" t="s">
        <v>1</v>
      </c>
      <c r="AN68" s="287" t="s">
        <v>1</v>
      </c>
      <c r="AO68" s="287" t="s">
        <v>1</v>
      </c>
      <c r="AP68" s="286" t="s">
        <v>1</v>
      </c>
      <c r="AQ68" s="285" t="s">
        <v>1</v>
      </c>
      <c r="AR68" s="289" t="s">
        <v>1</v>
      </c>
      <c r="AS68" s="289" t="s">
        <v>1</v>
      </c>
      <c r="AT68" s="290" t="s">
        <v>1</v>
      </c>
      <c r="AU68" s="287" t="s">
        <v>1</v>
      </c>
      <c r="AV68" s="287" t="s">
        <v>1</v>
      </c>
      <c r="AW68" s="291" t="s">
        <v>1</v>
      </c>
    </row>
    <row r="69" spans="1:49" ht="30.15" customHeight="1" x14ac:dyDescent="0.25">
      <c r="A69" s="188" t="s">
        <v>18</v>
      </c>
      <c r="B69" s="188" t="s">
        <v>1</v>
      </c>
      <c r="C69" s="188" t="s">
        <v>35</v>
      </c>
      <c r="D69" s="190" t="s">
        <v>3</v>
      </c>
      <c r="E69" s="190" t="s">
        <v>979</v>
      </c>
      <c r="F69" s="203"/>
      <c r="G69" s="190" t="s">
        <v>1011</v>
      </c>
      <c r="H69" s="192" t="s">
        <v>414</v>
      </c>
      <c r="I69" s="194">
        <v>997</v>
      </c>
      <c r="J69" s="194">
        <v>1002</v>
      </c>
      <c r="K69" s="194">
        <v>1002</v>
      </c>
      <c r="L69" s="193">
        <v>1056</v>
      </c>
      <c r="M69" s="194">
        <v>1056</v>
      </c>
      <c r="N69" s="284" t="s">
        <v>1</v>
      </c>
      <c r="O69" s="285" t="s">
        <v>1</v>
      </c>
      <c r="P69" s="285" t="s">
        <v>1</v>
      </c>
      <c r="Q69" s="285" t="s">
        <v>1</v>
      </c>
      <c r="R69" s="285" t="s">
        <v>1</v>
      </c>
      <c r="S69" s="286" t="s">
        <v>1</v>
      </c>
      <c r="T69" s="285" t="s">
        <v>1</v>
      </c>
      <c r="U69" s="285" t="s">
        <v>1</v>
      </c>
      <c r="V69" s="285" t="s">
        <v>1</v>
      </c>
      <c r="W69" s="285" t="s">
        <v>1</v>
      </c>
      <c r="X69" s="286" t="s">
        <v>1</v>
      </c>
      <c r="Y69" s="285" t="s">
        <v>1</v>
      </c>
      <c r="Z69" s="285" t="s">
        <v>1</v>
      </c>
      <c r="AA69" s="285" t="s">
        <v>1</v>
      </c>
      <c r="AB69" s="285" t="s">
        <v>1</v>
      </c>
      <c r="AC69" s="286" t="s">
        <v>1</v>
      </c>
      <c r="AD69" s="285" t="s">
        <v>1</v>
      </c>
      <c r="AE69" s="285" t="s">
        <v>1</v>
      </c>
      <c r="AF69" s="285" t="s">
        <v>1</v>
      </c>
      <c r="AG69" s="285" t="s">
        <v>1</v>
      </c>
      <c r="AH69" s="286" t="s">
        <v>1</v>
      </c>
      <c r="AI69" s="295" t="s">
        <v>1</v>
      </c>
      <c r="AJ69" s="295" t="s">
        <v>1</v>
      </c>
      <c r="AK69" s="295" t="s">
        <v>1</v>
      </c>
      <c r="AL69" s="286">
        <v>211.2</v>
      </c>
      <c r="AM69" s="288" t="s">
        <v>1</v>
      </c>
      <c r="AN69" s="287" t="s">
        <v>1</v>
      </c>
      <c r="AO69" s="287" t="s">
        <v>1</v>
      </c>
      <c r="AP69" s="286" t="s">
        <v>1</v>
      </c>
      <c r="AQ69" s="285" t="s">
        <v>1</v>
      </c>
      <c r="AR69" s="289" t="s">
        <v>1</v>
      </c>
      <c r="AS69" s="289" t="s">
        <v>1</v>
      </c>
      <c r="AT69" s="290" t="s">
        <v>1</v>
      </c>
      <c r="AU69" s="287" t="s">
        <v>1</v>
      </c>
      <c r="AV69" s="287" t="s">
        <v>1</v>
      </c>
      <c r="AW69" s="291" t="s">
        <v>1</v>
      </c>
    </row>
    <row r="70" spans="1:49" ht="30.15" customHeight="1" x14ac:dyDescent="0.25">
      <c r="A70" s="188" t="s">
        <v>18</v>
      </c>
      <c r="B70" s="188" t="s">
        <v>1</v>
      </c>
      <c r="C70" s="188" t="s">
        <v>35</v>
      </c>
      <c r="D70" s="190" t="s">
        <v>3</v>
      </c>
      <c r="E70" s="190" t="s">
        <v>980</v>
      </c>
      <c r="F70" s="203"/>
      <c r="G70" s="190" t="s">
        <v>1012</v>
      </c>
      <c r="H70" s="192" t="s">
        <v>414</v>
      </c>
      <c r="I70" s="194">
        <v>940</v>
      </c>
      <c r="J70" s="194">
        <v>945</v>
      </c>
      <c r="K70" s="194">
        <v>945</v>
      </c>
      <c r="L70" s="193">
        <v>996</v>
      </c>
      <c r="M70" s="194">
        <v>996</v>
      </c>
      <c r="N70" s="284" t="s">
        <v>1</v>
      </c>
      <c r="O70" s="285" t="s">
        <v>1</v>
      </c>
      <c r="P70" s="285" t="s">
        <v>1</v>
      </c>
      <c r="Q70" s="285" t="s">
        <v>1</v>
      </c>
      <c r="R70" s="285" t="s">
        <v>1</v>
      </c>
      <c r="S70" s="286" t="s">
        <v>1</v>
      </c>
      <c r="T70" s="285" t="s">
        <v>1</v>
      </c>
      <c r="U70" s="285" t="s">
        <v>1</v>
      </c>
      <c r="V70" s="285" t="s">
        <v>1</v>
      </c>
      <c r="W70" s="285" t="s">
        <v>1</v>
      </c>
      <c r="X70" s="286" t="s">
        <v>1</v>
      </c>
      <c r="Y70" s="285" t="s">
        <v>1</v>
      </c>
      <c r="Z70" s="285" t="s">
        <v>1</v>
      </c>
      <c r="AA70" s="285" t="s">
        <v>1</v>
      </c>
      <c r="AB70" s="285" t="s">
        <v>1</v>
      </c>
      <c r="AC70" s="286" t="s">
        <v>1</v>
      </c>
      <c r="AD70" s="285" t="s">
        <v>1</v>
      </c>
      <c r="AE70" s="285" t="s">
        <v>1</v>
      </c>
      <c r="AF70" s="285" t="s">
        <v>1</v>
      </c>
      <c r="AG70" s="285" t="s">
        <v>1</v>
      </c>
      <c r="AH70" s="286" t="s">
        <v>1</v>
      </c>
      <c r="AI70" s="295" t="s">
        <v>1</v>
      </c>
      <c r="AJ70" s="295" t="s">
        <v>1</v>
      </c>
      <c r="AK70" s="295" t="s">
        <v>1</v>
      </c>
      <c r="AL70" s="286">
        <v>199.2</v>
      </c>
      <c r="AM70" s="288" t="s">
        <v>1</v>
      </c>
      <c r="AN70" s="287" t="s">
        <v>1</v>
      </c>
      <c r="AO70" s="287" t="s">
        <v>1</v>
      </c>
      <c r="AP70" s="286" t="s">
        <v>1</v>
      </c>
      <c r="AQ70" s="285" t="s">
        <v>1</v>
      </c>
      <c r="AR70" s="289" t="s">
        <v>1</v>
      </c>
      <c r="AS70" s="289" t="s">
        <v>1</v>
      </c>
      <c r="AT70" s="290" t="s">
        <v>1</v>
      </c>
      <c r="AU70" s="287" t="s">
        <v>1</v>
      </c>
      <c r="AV70" s="287" t="s">
        <v>1</v>
      </c>
      <c r="AW70" s="291" t="s">
        <v>1</v>
      </c>
    </row>
    <row r="71" spans="1:49" ht="30.15" customHeight="1" x14ac:dyDescent="0.25">
      <c r="A71" s="188" t="s">
        <v>18</v>
      </c>
      <c r="B71" s="188" t="s">
        <v>1</v>
      </c>
      <c r="C71" s="188" t="s">
        <v>35</v>
      </c>
      <c r="D71" s="190" t="s">
        <v>3</v>
      </c>
      <c r="E71" s="190" t="s">
        <v>981</v>
      </c>
      <c r="F71" s="203"/>
      <c r="G71" s="190" t="s">
        <v>1013</v>
      </c>
      <c r="H71" s="192" t="s">
        <v>414</v>
      </c>
      <c r="I71" s="194">
        <v>659</v>
      </c>
      <c r="J71" s="194">
        <v>665</v>
      </c>
      <c r="K71" s="194">
        <v>665</v>
      </c>
      <c r="L71" s="193">
        <v>698</v>
      </c>
      <c r="M71" s="194">
        <v>698</v>
      </c>
      <c r="N71" s="284" t="s">
        <v>1</v>
      </c>
      <c r="O71" s="285" t="s">
        <v>1</v>
      </c>
      <c r="P71" s="285" t="s">
        <v>1</v>
      </c>
      <c r="Q71" s="285" t="s">
        <v>1</v>
      </c>
      <c r="R71" s="285" t="s">
        <v>1</v>
      </c>
      <c r="S71" s="286" t="s">
        <v>1</v>
      </c>
      <c r="T71" s="285" t="s">
        <v>1</v>
      </c>
      <c r="U71" s="285" t="s">
        <v>1</v>
      </c>
      <c r="V71" s="285" t="s">
        <v>1</v>
      </c>
      <c r="W71" s="285" t="s">
        <v>1</v>
      </c>
      <c r="X71" s="286" t="s">
        <v>1</v>
      </c>
      <c r="Y71" s="285" t="s">
        <v>1</v>
      </c>
      <c r="Z71" s="285" t="s">
        <v>1</v>
      </c>
      <c r="AA71" s="285" t="s">
        <v>1</v>
      </c>
      <c r="AB71" s="285" t="s">
        <v>1</v>
      </c>
      <c r="AC71" s="286" t="s">
        <v>1</v>
      </c>
      <c r="AD71" s="285" t="s">
        <v>1</v>
      </c>
      <c r="AE71" s="285" t="s">
        <v>1</v>
      </c>
      <c r="AF71" s="285" t="s">
        <v>1</v>
      </c>
      <c r="AG71" s="285" t="s">
        <v>1</v>
      </c>
      <c r="AH71" s="286" t="s">
        <v>1</v>
      </c>
      <c r="AI71" s="295" t="s">
        <v>1</v>
      </c>
      <c r="AJ71" s="295" t="s">
        <v>1</v>
      </c>
      <c r="AK71" s="295" t="s">
        <v>1</v>
      </c>
      <c r="AL71" s="286">
        <v>139.6</v>
      </c>
      <c r="AM71" s="288" t="s">
        <v>1</v>
      </c>
      <c r="AN71" s="287" t="s">
        <v>1</v>
      </c>
      <c r="AO71" s="287" t="s">
        <v>1</v>
      </c>
      <c r="AP71" s="286" t="s">
        <v>1</v>
      </c>
      <c r="AQ71" s="285" t="s">
        <v>1</v>
      </c>
      <c r="AR71" s="289" t="s">
        <v>1</v>
      </c>
      <c r="AS71" s="289" t="s">
        <v>1</v>
      </c>
      <c r="AT71" s="290" t="s">
        <v>1</v>
      </c>
      <c r="AU71" s="287" t="s">
        <v>1</v>
      </c>
      <c r="AV71" s="287" t="s">
        <v>1</v>
      </c>
      <c r="AW71" s="291" t="s">
        <v>1</v>
      </c>
    </row>
    <row r="72" spans="1:49" ht="30.15" customHeight="1" x14ac:dyDescent="0.25">
      <c r="A72" s="188" t="s">
        <v>18</v>
      </c>
      <c r="B72" s="188" t="s">
        <v>1</v>
      </c>
      <c r="C72" s="188" t="s">
        <v>35</v>
      </c>
      <c r="D72" s="190" t="s">
        <v>3</v>
      </c>
      <c r="E72" s="190" t="s">
        <v>982</v>
      </c>
      <c r="F72" s="203"/>
      <c r="G72" s="190" t="s">
        <v>1014</v>
      </c>
      <c r="H72" s="192" t="s">
        <v>414</v>
      </c>
      <c r="I72" s="194">
        <v>659</v>
      </c>
      <c r="J72" s="194">
        <v>665</v>
      </c>
      <c r="K72" s="194">
        <v>665</v>
      </c>
      <c r="L72" s="193">
        <v>698</v>
      </c>
      <c r="M72" s="194">
        <v>698</v>
      </c>
      <c r="N72" s="284" t="s">
        <v>1</v>
      </c>
      <c r="O72" s="285" t="s">
        <v>1</v>
      </c>
      <c r="P72" s="285" t="s">
        <v>1</v>
      </c>
      <c r="Q72" s="285" t="s">
        <v>1</v>
      </c>
      <c r="R72" s="285" t="s">
        <v>1</v>
      </c>
      <c r="S72" s="286" t="s">
        <v>1</v>
      </c>
      <c r="T72" s="285" t="s">
        <v>1</v>
      </c>
      <c r="U72" s="285" t="s">
        <v>1</v>
      </c>
      <c r="V72" s="285" t="s">
        <v>1</v>
      </c>
      <c r="W72" s="285" t="s">
        <v>1</v>
      </c>
      <c r="X72" s="286" t="s">
        <v>1</v>
      </c>
      <c r="Y72" s="285" t="s">
        <v>1</v>
      </c>
      <c r="Z72" s="285" t="s">
        <v>1</v>
      </c>
      <c r="AA72" s="285" t="s">
        <v>1</v>
      </c>
      <c r="AB72" s="285" t="s">
        <v>1</v>
      </c>
      <c r="AC72" s="286" t="s">
        <v>1</v>
      </c>
      <c r="AD72" s="285" t="s">
        <v>1</v>
      </c>
      <c r="AE72" s="285" t="s">
        <v>1</v>
      </c>
      <c r="AF72" s="285" t="s">
        <v>1</v>
      </c>
      <c r="AG72" s="285" t="s">
        <v>1</v>
      </c>
      <c r="AH72" s="286" t="s">
        <v>1</v>
      </c>
      <c r="AI72" s="295" t="s">
        <v>1</v>
      </c>
      <c r="AJ72" s="295" t="s">
        <v>1</v>
      </c>
      <c r="AK72" s="295" t="s">
        <v>1</v>
      </c>
      <c r="AL72" s="286">
        <v>139.6</v>
      </c>
      <c r="AM72" s="288" t="s">
        <v>1</v>
      </c>
      <c r="AN72" s="287" t="s">
        <v>1</v>
      </c>
      <c r="AO72" s="287" t="s">
        <v>1</v>
      </c>
      <c r="AP72" s="286" t="s">
        <v>1</v>
      </c>
      <c r="AQ72" s="285" t="s">
        <v>1</v>
      </c>
      <c r="AR72" s="289" t="s">
        <v>1</v>
      </c>
      <c r="AS72" s="289" t="s">
        <v>1</v>
      </c>
      <c r="AT72" s="290" t="s">
        <v>1</v>
      </c>
      <c r="AU72" s="287" t="s">
        <v>1</v>
      </c>
      <c r="AV72" s="287" t="s">
        <v>1</v>
      </c>
      <c r="AW72" s="291" t="s">
        <v>1</v>
      </c>
    </row>
    <row r="73" spans="1:49" ht="30.15" customHeight="1" x14ac:dyDescent="0.25">
      <c r="A73" s="188" t="s">
        <v>18</v>
      </c>
      <c r="B73" s="188" t="s">
        <v>1</v>
      </c>
      <c r="C73" s="188" t="s">
        <v>35</v>
      </c>
      <c r="D73" s="190" t="s">
        <v>3</v>
      </c>
      <c r="E73" s="190" t="s">
        <v>983</v>
      </c>
      <c r="F73" s="203"/>
      <c r="G73" s="190" t="s">
        <v>1015</v>
      </c>
      <c r="H73" s="192" t="s">
        <v>414</v>
      </c>
      <c r="I73" s="194">
        <v>699</v>
      </c>
      <c r="J73" s="194">
        <v>703</v>
      </c>
      <c r="K73" s="194">
        <v>703</v>
      </c>
      <c r="L73" s="193">
        <v>740</v>
      </c>
      <c r="M73" s="194">
        <v>740</v>
      </c>
      <c r="N73" s="284" t="s">
        <v>1</v>
      </c>
      <c r="O73" s="285" t="s">
        <v>1</v>
      </c>
      <c r="P73" s="285" t="s">
        <v>1</v>
      </c>
      <c r="Q73" s="285" t="s">
        <v>1</v>
      </c>
      <c r="R73" s="285" t="s">
        <v>1</v>
      </c>
      <c r="S73" s="286" t="s">
        <v>1</v>
      </c>
      <c r="T73" s="285" t="s">
        <v>1</v>
      </c>
      <c r="U73" s="285" t="s">
        <v>1</v>
      </c>
      <c r="V73" s="285" t="s">
        <v>1</v>
      </c>
      <c r="W73" s="285" t="s">
        <v>1</v>
      </c>
      <c r="X73" s="286" t="s">
        <v>1</v>
      </c>
      <c r="Y73" s="285" t="s">
        <v>1</v>
      </c>
      <c r="Z73" s="285" t="s">
        <v>1</v>
      </c>
      <c r="AA73" s="285" t="s">
        <v>1</v>
      </c>
      <c r="AB73" s="285" t="s">
        <v>1</v>
      </c>
      <c r="AC73" s="286" t="s">
        <v>1</v>
      </c>
      <c r="AD73" s="285" t="s">
        <v>1</v>
      </c>
      <c r="AE73" s="285" t="s">
        <v>1</v>
      </c>
      <c r="AF73" s="285" t="s">
        <v>1</v>
      </c>
      <c r="AG73" s="285" t="s">
        <v>1</v>
      </c>
      <c r="AH73" s="286" t="s">
        <v>1</v>
      </c>
      <c r="AI73" s="295" t="s">
        <v>1</v>
      </c>
      <c r="AJ73" s="295" t="s">
        <v>1</v>
      </c>
      <c r="AK73" s="295" t="s">
        <v>1</v>
      </c>
      <c r="AL73" s="286">
        <v>148</v>
      </c>
      <c r="AM73" s="288" t="s">
        <v>1</v>
      </c>
      <c r="AN73" s="287" t="s">
        <v>1</v>
      </c>
      <c r="AO73" s="287" t="s">
        <v>1</v>
      </c>
      <c r="AP73" s="286" t="s">
        <v>1</v>
      </c>
      <c r="AQ73" s="285" t="s">
        <v>1</v>
      </c>
      <c r="AR73" s="289" t="s">
        <v>1</v>
      </c>
      <c r="AS73" s="289" t="s">
        <v>1</v>
      </c>
      <c r="AT73" s="290" t="s">
        <v>1</v>
      </c>
      <c r="AU73" s="287" t="s">
        <v>1</v>
      </c>
      <c r="AV73" s="287" t="s">
        <v>1</v>
      </c>
      <c r="AW73" s="291" t="s">
        <v>1</v>
      </c>
    </row>
    <row r="74" spans="1:49" ht="30.15" customHeight="1" x14ac:dyDescent="0.25">
      <c r="A74" s="188" t="s">
        <v>18</v>
      </c>
      <c r="B74" s="188" t="s">
        <v>1</v>
      </c>
      <c r="C74" s="188" t="s">
        <v>35</v>
      </c>
      <c r="D74" s="190" t="s">
        <v>3</v>
      </c>
      <c r="E74" s="190" t="s">
        <v>984</v>
      </c>
      <c r="F74" s="203"/>
      <c r="G74" s="190" t="s">
        <v>1016</v>
      </c>
      <c r="H74" s="192" t="s">
        <v>414</v>
      </c>
      <c r="I74" s="194">
        <v>699</v>
      </c>
      <c r="J74" s="194">
        <v>703</v>
      </c>
      <c r="K74" s="194">
        <v>703</v>
      </c>
      <c r="L74" s="193">
        <v>740</v>
      </c>
      <c r="M74" s="194">
        <v>740</v>
      </c>
      <c r="N74" s="284" t="s">
        <v>1</v>
      </c>
      <c r="O74" s="285" t="s">
        <v>1</v>
      </c>
      <c r="P74" s="285" t="s">
        <v>1</v>
      </c>
      <c r="Q74" s="285" t="s">
        <v>1</v>
      </c>
      <c r="R74" s="285" t="s">
        <v>1</v>
      </c>
      <c r="S74" s="286" t="s">
        <v>1</v>
      </c>
      <c r="T74" s="285" t="s">
        <v>1</v>
      </c>
      <c r="U74" s="285" t="s">
        <v>1</v>
      </c>
      <c r="V74" s="285" t="s">
        <v>1</v>
      </c>
      <c r="W74" s="285" t="s">
        <v>1</v>
      </c>
      <c r="X74" s="286" t="s">
        <v>1</v>
      </c>
      <c r="Y74" s="285" t="s">
        <v>1</v>
      </c>
      <c r="Z74" s="285" t="s">
        <v>1</v>
      </c>
      <c r="AA74" s="285" t="s">
        <v>1</v>
      </c>
      <c r="AB74" s="285" t="s">
        <v>1</v>
      </c>
      <c r="AC74" s="286" t="s">
        <v>1</v>
      </c>
      <c r="AD74" s="285" t="s">
        <v>1</v>
      </c>
      <c r="AE74" s="285" t="s">
        <v>1</v>
      </c>
      <c r="AF74" s="285" t="s">
        <v>1</v>
      </c>
      <c r="AG74" s="285" t="s">
        <v>1</v>
      </c>
      <c r="AH74" s="286" t="s">
        <v>1</v>
      </c>
      <c r="AI74" s="295" t="s">
        <v>1</v>
      </c>
      <c r="AJ74" s="295" t="s">
        <v>1</v>
      </c>
      <c r="AK74" s="295" t="s">
        <v>1</v>
      </c>
      <c r="AL74" s="286">
        <v>148</v>
      </c>
      <c r="AM74" s="288" t="s">
        <v>1</v>
      </c>
      <c r="AN74" s="287" t="s">
        <v>1</v>
      </c>
      <c r="AO74" s="287" t="s">
        <v>1</v>
      </c>
      <c r="AP74" s="286" t="s">
        <v>1</v>
      </c>
      <c r="AQ74" s="285" t="s">
        <v>1</v>
      </c>
      <c r="AR74" s="289" t="s">
        <v>1</v>
      </c>
      <c r="AS74" s="289" t="s">
        <v>1</v>
      </c>
      <c r="AT74" s="290" t="s">
        <v>1</v>
      </c>
      <c r="AU74" s="287" t="s">
        <v>1</v>
      </c>
      <c r="AV74" s="287" t="s">
        <v>1</v>
      </c>
      <c r="AW74" s="291" t="s">
        <v>1</v>
      </c>
    </row>
    <row r="75" spans="1:49" ht="30.15" customHeight="1" x14ac:dyDescent="0.25">
      <c r="A75" s="188" t="s">
        <v>18</v>
      </c>
      <c r="B75" s="188" t="s">
        <v>1</v>
      </c>
      <c r="C75" s="188" t="s">
        <v>35</v>
      </c>
      <c r="D75" s="190" t="s">
        <v>3</v>
      </c>
      <c r="E75" s="190" t="s">
        <v>743</v>
      </c>
      <c r="F75" s="203"/>
      <c r="G75" s="190" t="s">
        <v>777</v>
      </c>
      <c r="H75" s="192" t="s">
        <v>414</v>
      </c>
      <c r="I75" s="194">
        <v>490</v>
      </c>
      <c r="J75" s="194">
        <v>532</v>
      </c>
      <c r="K75" s="193">
        <v>532</v>
      </c>
      <c r="L75" s="193">
        <v>560</v>
      </c>
      <c r="M75" s="194">
        <v>560</v>
      </c>
      <c r="N75" s="284" t="s">
        <v>1</v>
      </c>
      <c r="O75" s="285" t="s">
        <v>1</v>
      </c>
      <c r="P75" s="285" t="s">
        <v>1</v>
      </c>
      <c r="Q75" s="285" t="s">
        <v>1</v>
      </c>
      <c r="R75" s="285" t="s">
        <v>1</v>
      </c>
      <c r="S75" s="286" t="s">
        <v>1</v>
      </c>
      <c r="T75" s="285" t="s">
        <v>1</v>
      </c>
      <c r="U75" s="285" t="s">
        <v>1</v>
      </c>
      <c r="V75" s="285" t="s">
        <v>1</v>
      </c>
      <c r="W75" s="285" t="s">
        <v>1</v>
      </c>
      <c r="X75" s="286" t="s">
        <v>1</v>
      </c>
      <c r="Y75" s="285" t="s">
        <v>1</v>
      </c>
      <c r="Z75" s="285" t="s">
        <v>1</v>
      </c>
      <c r="AA75" s="285" t="s">
        <v>1</v>
      </c>
      <c r="AB75" s="285" t="s">
        <v>1</v>
      </c>
      <c r="AC75" s="286" t="s">
        <v>1</v>
      </c>
      <c r="AD75" s="285" t="s">
        <v>1</v>
      </c>
      <c r="AE75" s="285" t="s">
        <v>1</v>
      </c>
      <c r="AF75" s="285" t="s">
        <v>1</v>
      </c>
      <c r="AG75" s="285" t="s">
        <v>1</v>
      </c>
      <c r="AH75" s="286" t="s">
        <v>1</v>
      </c>
      <c r="AI75" s="295" t="s">
        <v>1</v>
      </c>
      <c r="AJ75" s="295" t="s">
        <v>1</v>
      </c>
      <c r="AK75" s="295" t="s">
        <v>1</v>
      </c>
      <c r="AL75" s="286">
        <v>112</v>
      </c>
      <c r="AM75" s="288" t="s">
        <v>1</v>
      </c>
      <c r="AN75" s="287" t="s">
        <v>1</v>
      </c>
      <c r="AO75" s="287" t="s">
        <v>1</v>
      </c>
      <c r="AP75" s="286" t="s">
        <v>1</v>
      </c>
      <c r="AQ75" s="285" t="s">
        <v>1</v>
      </c>
      <c r="AR75" s="289" t="s">
        <v>1</v>
      </c>
      <c r="AS75" s="289" t="s">
        <v>1</v>
      </c>
      <c r="AT75" s="290" t="s">
        <v>1</v>
      </c>
      <c r="AU75" s="287" t="s">
        <v>1</v>
      </c>
      <c r="AV75" s="287" t="s">
        <v>1</v>
      </c>
      <c r="AW75" s="291" t="s">
        <v>1</v>
      </c>
    </row>
    <row r="76" spans="1:49" ht="30.15" customHeight="1" x14ac:dyDescent="0.25">
      <c r="A76" s="188" t="s">
        <v>18</v>
      </c>
      <c r="B76" s="188" t="s">
        <v>1</v>
      </c>
      <c r="C76" s="188" t="s">
        <v>35</v>
      </c>
      <c r="D76" s="190" t="s">
        <v>3</v>
      </c>
      <c r="E76" s="190" t="s">
        <v>744</v>
      </c>
      <c r="F76" s="203"/>
      <c r="G76" s="190" t="s">
        <v>778</v>
      </c>
      <c r="H76" s="192" t="s">
        <v>414</v>
      </c>
      <c r="I76" s="194">
        <v>490</v>
      </c>
      <c r="J76" s="194">
        <v>532</v>
      </c>
      <c r="K76" s="193">
        <v>532</v>
      </c>
      <c r="L76" s="193">
        <v>560</v>
      </c>
      <c r="M76" s="194">
        <v>560</v>
      </c>
      <c r="N76" s="284" t="s">
        <v>1</v>
      </c>
      <c r="O76" s="285" t="s">
        <v>1</v>
      </c>
      <c r="P76" s="285" t="s">
        <v>1</v>
      </c>
      <c r="Q76" s="285" t="s">
        <v>1</v>
      </c>
      <c r="R76" s="285" t="s">
        <v>1</v>
      </c>
      <c r="S76" s="286" t="s">
        <v>1</v>
      </c>
      <c r="T76" s="285" t="s">
        <v>1</v>
      </c>
      <c r="U76" s="285" t="s">
        <v>1</v>
      </c>
      <c r="V76" s="285" t="s">
        <v>1</v>
      </c>
      <c r="W76" s="285" t="s">
        <v>1</v>
      </c>
      <c r="X76" s="286" t="s">
        <v>1</v>
      </c>
      <c r="Y76" s="285" t="s">
        <v>1</v>
      </c>
      <c r="Z76" s="285" t="s">
        <v>1</v>
      </c>
      <c r="AA76" s="285" t="s">
        <v>1</v>
      </c>
      <c r="AB76" s="285" t="s">
        <v>1</v>
      </c>
      <c r="AC76" s="286" t="s">
        <v>1</v>
      </c>
      <c r="AD76" s="285" t="s">
        <v>1</v>
      </c>
      <c r="AE76" s="285" t="s">
        <v>1</v>
      </c>
      <c r="AF76" s="285" t="s">
        <v>1</v>
      </c>
      <c r="AG76" s="285" t="s">
        <v>1</v>
      </c>
      <c r="AH76" s="286" t="s">
        <v>1</v>
      </c>
      <c r="AI76" s="295" t="s">
        <v>1</v>
      </c>
      <c r="AJ76" s="295" t="s">
        <v>1</v>
      </c>
      <c r="AK76" s="295" t="s">
        <v>1</v>
      </c>
      <c r="AL76" s="286">
        <v>112</v>
      </c>
      <c r="AM76" s="288" t="s">
        <v>1</v>
      </c>
      <c r="AN76" s="287" t="s">
        <v>1</v>
      </c>
      <c r="AO76" s="287" t="s">
        <v>1</v>
      </c>
      <c r="AP76" s="286" t="s">
        <v>1</v>
      </c>
      <c r="AQ76" s="285" t="s">
        <v>1</v>
      </c>
      <c r="AR76" s="289" t="s">
        <v>1</v>
      </c>
      <c r="AS76" s="289" t="s">
        <v>1</v>
      </c>
      <c r="AT76" s="290" t="s">
        <v>1</v>
      </c>
      <c r="AU76" s="287" t="s">
        <v>1</v>
      </c>
      <c r="AV76" s="287" t="s">
        <v>1</v>
      </c>
      <c r="AW76" s="291" t="s">
        <v>1</v>
      </c>
    </row>
    <row r="77" spans="1:49" ht="30.15" customHeight="1" x14ac:dyDescent="0.25">
      <c r="A77" s="188" t="s">
        <v>18</v>
      </c>
      <c r="B77" s="188" t="s">
        <v>1</v>
      </c>
      <c r="C77" s="188" t="s">
        <v>35</v>
      </c>
      <c r="D77" s="190" t="s">
        <v>3</v>
      </c>
      <c r="E77" s="190" t="s">
        <v>745</v>
      </c>
      <c r="F77" s="203"/>
      <c r="G77" s="190" t="s">
        <v>779</v>
      </c>
      <c r="H77" s="192" t="s">
        <v>414</v>
      </c>
      <c r="I77" s="194">
        <v>454</v>
      </c>
      <c r="J77" s="194">
        <v>494</v>
      </c>
      <c r="K77" s="193">
        <v>494</v>
      </c>
      <c r="L77" s="193">
        <v>520</v>
      </c>
      <c r="M77" s="194">
        <v>520</v>
      </c>
      <c r="N77" s="284" t="s">
        <v>1</v>
      </c>
      <c r="O77" s="285" t="s">
        <v>1</v>
      </c>
      <c r="P77" s="285" t="s">
        <v>1</v>
      </c>
      <c r="Q77" s="285" t="s">
        <v>1</v>
      </c>
      <c r="R77" s="285" t="s">
        <v>1</v>
      </c>
      <c r="S77" s="286" t="s">
        <v>1</v>
      </c>
      <c r="T77" s="285" t="s">
        <v>1</v>
      </c>
      <c r="U77" s="285" t="s">
        <v>1</v>
      </c>
      <c r="V77" s="285" t="s">
        <v>1</v>
      </c>
      <c r="W77" s="285" t="s">
        <v>1</v>
      </c>
      <c r="X77" s="286" t="s">
        <v>1</v>
      </c>
      <c r="Y77" s="285" t="s">
        <v>1</v>
      </c>
      <c r="Z77" s="285" t="s">
        <v>1</v>
      </c>
      <c r="AA77" s="285" t="s">
        <v>1</v>
      </c>
      <c r="AB77" s="285" t="s">
        <v>1</v>
      </c>
      <c r="AC77" s="286" t="s">
        <v>1</v>
      </c>
      <c r="AD77" s="285" t="s">
        <v>1</v>
      </c>
      <c r="AE77" s="285" t="s">
        <v>1</v>
      </c>
      <c r="AF77" s="285" t="s">
        <v>1</v>
      </c>
      <c r="AG77" s="285" t="s">
        <v>1</v>
      </c>
      <c r="AH77" s="286" t="s">
        <v>1</v>
      </c>
      <c r="AI77" s="295" t="s">
        <v>1</v>
      </c>
      <c r="AJ77" s="295" t="s">
        <v>1</v>
      </c>
      <c r="AK77" s="295" t="s">
        <v>1</v>
      </c>
      <c r="AL77" s="286">
        <v>104</v>
      </c>
      <c r="AM77" s="288" t="s">
        <v>1</v>
      </c>
      <c r="AN77" s="287" t="s">
        <v>1</v>
      </c>
      <c r="AO77" s="287" t="s">
        <v>1</v>
      </c>
      <c r="AP77" s="286" t="s">
        <v>1</v>
      </c>
      <c r="AQ77" s="285" t="s">
        <v>1</v>
      </c>
      <c r="AR77" s="289" t="s">
        <v>1</v>
      </c>
      <c r="AS77" s="289" t="s">
        <v>1</v>
      </c>
      <c r="AT77" s="290" t="s">
        <v>1</v>
      </c>
      <c r="AU77" s="287" t="s">
        <v>1</v>
      </c>
      <c r="AV77" s="287" t="s">
        <v>1</v>
      </c>
      <c r="AW77" s="291" t="s">
        <v>1</v>
      </c>
    </row>
    <row r="78" spans="1:49" ht="30.15" customHeight="1" x14ac:dyDescent="0.25">
      <c r="A78" s="188" t="s">
        <v>18</v>
      </c>
      <c r="B78" s="188" t="s">
        <v>1</v>
      </c>
      <c r="C78" s="188" t="s">
        <v>35</v>
      </c>
      <c r="D78" s="190" t="s">
        <v>3</v>
      </c>
      <c r="E78" s="190" t="s">
        <v>746</v>
      </c>
      <c r="F78" s="203"/>
      <c r="G78" s="190" t="s">
        <v>780</v>
      </c>
      <c r="H78" s="192" t="s">
        <v>414</v>
      </c>
      <c r="I78" s="194">
        <v>490</v>
      </c>
      <c r="J78" s="194">
        <v>532</v>
      </c>
      <c r="K78" s="193">
        <v>532</v>
      </c>
      <c r="L78" s="193">
        <v>560</v>
      </c>
      <c r="M78" s="194">
        <v>560</v>
      </c>
      <c r="N78" s="284" t="s">
        <v>1</v>
      </c>
      <c r="O78" s="285" t="s">
        <v>1</v>
      </c>
      <c r="P78" s="285" t="s">
        <v>1</v>
      </c>
      <c r="Q78" s="285" t="s">
        <v>1</v>
      </c>
      <c r="R78" s="285" t="s">
        <v>1</v>
      </c>
      <c r="S78" s="286" t="s">
        <v>1</v>
      </c>
      <c r="T78" s="285" t="s">
        <v>1</v>
      </c>
      <c r="U78" s="285" t="s">
        <v>1</v>
      </c>
      <c r="V78" s="285" t="s">
        <v>1</v>
      </c>
      <c r="W78" s="285" t="s">
        <v>1</v>
      </c>
      <c r="X78" s="286" t="s">
        <v>1</v>
      </c>
      <c r="Y78" s="285" t="s">
        <v>1</v>
      </c>
      <c r="Z78" s="285" t="s">
        <v>1</v>
      </c>
      <c r="AA78" s="285" t="s">
        <v>1</v>
      </c>
      <c r="AB78" s="285" t="s">
        <v>1</v>
      </c>
      <c r="AC78" s="286" t="s">
        <v>1</v>
      </c>
      <c r="AD78" s="285" t="s">
        <v>1</v>
      </c>
      <c r="AE78" s="285" t="s">
        <v>1</v>
      </c>
      <c r="AF78" s="285" t="s">
        <v>1</v>
      </c>
      <c r="AG78" s="285" t="s">
        <v>1</v>
      </c>
      <c r="AH78" s="286" t="s">
        <v>1</v>
      </c>
      <c r="AI78" s="295" t="s">
        <v>1</v>
      </c>
      <c r="AJ78" s="295" t="s">
        <v>1</v>
      </c>
      <c r="AK78" s="295" t="s">
        <v>1</v>
      </c>
      <c r="AL78" s="286">
        <v>112</v>
      </c>
      <c r="AM78" s="288" t="s">
        <v>1</v>
      </c>
      <c r="AN78" s="287" t="s">
        <v>1</v>
      </c>
      <c r="AO78" s="287" t="s">
        <v>1</v>
      </c>
      <c r="AP78" s="286" t="s">
        <v>1</v>
      </c>
      <c r="AQ78" s="285" t="s">
        <v>1</v>
      </c>
      <c r="AR78" s="289" t="s">
        <v>1</v>
      </c>
      <c r="AS78" s="289" t="s">
        <v>1</v>
      </c>
      <c r="AT78" s="290" t="s">
        <v>1</v>
      </c>
      <c r="AU78" s="287" t="s">
        <v>1</v>
      </c>
      <c r="AV78" s="287" t="s">
        <v>1</v>
      </c>
      <c r="AW78" s="291" t="s">
        <v>1</v>
      </c>
    </row>
    <row r="79" spans="1:49" ht="30.15" customHeight="1" x14ac:dyDescent="0.25">
      <c r="A79" s="188" t="s">
        <v>18</v>
      </c>
      <c r="B79" s="188" t="s">
        <v>1</v>
      </c>
      <c r="C79" s="188" t="s">
        <v>35</v>
      </c>
      <c r="D79" s="190" t="s">
        <v>3</v>
      </c>
      <c r="E79" s="190" t="s">
        <v>747</v>
      </c>
      <c r="F79" s="203"/>
      <c r="G79" s="190" t="s">
        <v>781</v>
      </c>
      <c r="H79" s="192" t="s">
        <v>414</v>
      </c>
      <c r="I79" s="194">
        <v>454</v>
      </c>
      <c r="J79" s="194">
        <v>494</v>
      </c>
      <c r="K79" s="193">
        <v>494</v>
      </c>
      <c r="L79" s="193">
        <v>520</v>
      </c>
      <c r="M79" s="194">
        <v>520</v>
      </c>
      <c r="N79" s="284" t="s">
        <v>1</v>
      </c>
      <c r="O79" s="285" t="s">
        <v>1</v>
      </c>
      <c r="P79" s="285" t="s">
        <v>1</v>
      </c>
      <c r="Q79" s="285" t="s">
        <v>1</v>
      </c>
      <c r="R79" s="285" t="s">
        <v>1</v>
      </c>
      <c r="S79" s="286" t="s">
        <v>1</v>
      </c>
      <c r="T79" s="285" t="s">
        <v>1</v>
      </c>
      <c r="U79" s="285" t="s">
        <v>1</v>
      </c>
      <c r="V79" s="285" t="s">
        <v>1</v>
      </c>
      <c r="W79" s="285" t="s">
        <v>1</v>
      </c>
      <c r="X79" s="286" t="s">
        <v>1</v>
      </c>
      <c r="Y79" s="285" t="s">
        <v>1</v>
      </c>
      <c r="Z79" s="285" t="s">
        <v>1</v>
      </c>
      <c r="AA79" s="285" t="s">
        <v>1</v>
      </c>
      <c r="AB79" s="285" t="s">
        <v>1</v>
      </c>
      <c r="AC79" s="286" t="s">
        <v>1</v>
      </c>
      <c r="AD79" s="285" t="s">
        <v>1</v>
      </c>
      <c r="AE79" s="285" t="s">
        <v>1</v>
      </c>
      <c r="AF79" s="285" t="s">
        <v>1</v>
      </c>
      <c r="AG79" s="285" t="s">
        <v>1</v>
      </c>
      <c r="AH79" s="286" t="s">
        <v>1</v>
      </c>
      <c r="AI79" s="295" t="s">
        <v>1</v>
      </c>
      <c r="AJ79" s="295" t="s">
        <v>1</v>
      </c>
      <c r="AK79" s="295" t="s">
        <v>1</v>
      </c>
      <c r="AL79" s="286">
        <v>104</v>
      </c>
      <c r="AM79" s="288" t="s">
        <v>1</v>
      </c>
      <c r="AN79" s="287" t="s">
        <v>1</v>
      </c>
      <c r="AO79" s="287" t="s">
        <v>1</v>
      </c>
      <c r="AP79" s="286" t="s">
        <v>1</v>
      </c>
      <c r="AQ79" s="285" t="s">
        <v>1</v>
      </c>
      <c r="AR79" s="289" t="s">
        <v>1</v>
      </c>
      <c r="AS79" s="289" t="s">
        <v>1</v>
      </c>
      <c r="AT79" s="290" t="s">
        <v>1</v>
      </c>
      <c r="AU79" s="287" t="s">
        <v>1</v>
      </c>
      <c r="AV79" s="287" t="s">
        <v>1</v>
      </c>
      <c r="AW79" s="291" t="s">
        <v>1</v>
      </c>
    </row>
    <row r="80" spans="1:49" ht="30.15" customHeight="1" x14ac:dyDescent="0.25">
      <c r="A80" s="188" t="s">
        <v>18</v>
      </c>
      <c r="B80" s="188" t="s">
        <v>1</v>
      </c>
      <c r="C80" s="188" t="s">
        <v>35</v>
      </c>
      <c r="D80" s="190" t="s">
        <v>3</v>
      </c>
      <c r="E80" s="190" t="s">
        <v>748</v>
      </c>
      <c r="F80" s="203"/>
      <c r="G80" s="190" t="s">
        <v>782</v>
      </c>
      <c r="H80" s="192" t="s">
        <v>414</v>
      </c>
      <c r="I80" s="194">
        <v>454</v>
      </c>
      <c r="J80" s="194">
        <v>494</v>
      </c>
      <c r="K80" s="193">
        <v>494</v>
      </c>
      <c r="L80" s="193">
        <v>520</v>
      </c>
      <c r="M80" s="194">
        <v>520</v>
      </c>
      <c r="N80" s="284" t="s">
        <v>1</v>
      </c>
      <c r="O80" s="285" t="s">
        <v>1</v>
      </c>
      <c r="P80" s="285" t="s">
        <v>1</v>
      </c>
      <c r="Q80" s="285" t="s">
        <v>1</v>
      </c>
      <c r="R80" s="285" t="s">
        <v>1</v>
      </c>
      <c r="S80" s="286" t="s">
        <v>1</v>
      </c>
      <c r="T80" s="285" t="s">
        <v>1</v>
      </c>
      <c r="U80" s="285" t="s">
        <v>1</v>
      </c>
      <c r="V80" s="285" t="s">
        <v>1</v>
      </c>
      <c r="W80" s="285" t="s">
        <v>1</v>
      </c>
      <c r="X80" s="286" t="s">
        <v>1</v>
      </c>
      <c r="Y80" s="285" t="s">
        <v>1</v>
      </c>
      <c r="Z80" s="285" t="s">
        <v>1</v>
      </c>
      <c r="AA80" s="285" t="s">
        <v>1</v>
      </c>
      <c r="AB80" s="285" t="s">
        <v>1</v>
      </c>
      <c r="AC80" s="286" t="s">
        <v>1</v>
      </c>
      <c r="AD80" s="285" t="s">
        <v>1</v>
      </c>
      <c r="AE80" s="285" t="s">
        <v>1</v>
      </c>
      <c r="AF80" s="285" t="s">
        <v>1</v>
      </c>
      <c r="AG80" s="285" t="s">
        <v>1</v>
      </c>
      <c r="AH80" s="286" t="s">
        <v>1</v>
      </c>
      <c r="AI80" s="295" t="s">
        <v>1</v>
      </c>
      <c r="AJ80" s="295" t="s">
        <v>1</v>
      </c>
      <c r="AK80" s="295" t="s">
        <v>1</v>
      </c>
      <c r="AL80" s="286">
        <v>104</v>
      </c>
      <c r="AM80" s="288" t="s">
        <v>1</v>
      </c>
      <c r="AN80" s="287" t="s">
        <v>1</v>
      </c>
      <c r="AO80" s="287" t="s">
        <v>1</v>
      </c>
      <c r="AP80" s="286" t="s">
        <v>1</v>
      </c>
      <c r="AQ80" s="285" t="s">
        <v>1</v>
      </c>
      <c r="AR80" s="289" t="s">
        <v>1</v>
      </c>
      <c r="AS80" s="289" t="s">
        <v>1</v>
      </c>
      <c r="AT80" s="290" t="s">
        <v>1</v>
      </c>
      <c r="AU80" s="287" t="s">
        <v>1</v>
      </c>
      <c r="AV80" s="287" t="s">
        <v>1</v>
      </c>
      <c r="AW80" s="291" t="s">
        <v>1</v>
      </c>
    </row>
    <row r="81" spans="1:49" ht="30.15" customHeight="1" x14ac:dyDescent="0.25">
      <c r="A81" s="188" t="s">
        <v>18</v>
      </c>
      <c r="B81" s="188" t="s">
        <v>1</v>
      </c>
      <c r="C81" s="188" t="s">
        <v>35</v>
      </c>
      <c r="D81" s="190" t="s">
        <v>3</v>
      </c>
      <c r="E81" s="190" t="s">
        <v>749</v>
      </c>
      <c r="F81" s="203"/>
      <c r="G81" s="190" t="s">
        <v>783</v>
      </c>
      <c r="H81" s="192" t="s">
        <v>414</v>
      </c>
      <c r="I81" s="194">
        <v>454</v>
      </c>
      <c r="J81" s="194">
        <v>494</v>
      </c>
      <c r="K81" s="193">
        <v>494</v>
      </c>
      <c r="L81" s="193">
        <v>520</v>
      </c>
      <c r="M81" s="194">
        <v>520</v>
      </c>
      <c r="N81" s="284" t="s">
        <v>1</v>
      </c>
      <c r="O81" s="285" t="s">
        <v>1</v>
      </c>
      <c r="P81" s="285" t="s">
        <v>1</v>
      </c>
      <c r="Q81" s="285" t="s">
        <v>1</v>
      </c>
      <c r="R81" s="285" t="s">
        <v>1</v>
      </c>
      <c r="S81" s="286" t="s">
        <v>1</v>
      </c>
      <c r="T81" s="285" t="s">
        <v>1</v>
      </c>
      <c r="U81" s="285" t="s">
        <v>1</v>
      </c>
      <c r="V81" s="285" t="s">
        <v>1</v>
      </c>
      <c r="W81" s="285" t="s">
        <v>1</v>
      </c>
      <c r="X81" s="286" t="s">
        <v>1</v>
      </c>
      <c r="Y81" s="285" t="s">
        <v>1</v>
      </c>
      <c r="Z81" s="285" t="s">
        <v>1</v>
      </c>
      <c r="AA81" s="285" t="s">
        <v>1</v>
      </c>
      <c r="AB81" s="285" t="s">
        <v>1</v>
      </c>
      <c r="AC81" s="286" t="s">
        <v>1</v>
      </c>
      <c r="AD81" s="285" t="s">
        <v>1</v>
      </c>
      <c r="AE81" s="285" t="s">
        <v>1</v>
      </c>
      <c r="AF81" s="285" t="s">
        <v>1</v>
      </c>
      <c r="AG81" s="285" t="s">
        <v>1</v>
      </c>
      <c r="AH81" s="286" t="s">
        <v>1</v>
      </c>
      <c r="AI81" s="295" t="s">
        <v>1</v>
      </c>
      <c r="AJ81" s="295" t="s">
        <v>1</v>
      </c>
      <c r="AK81" s="295" t="s">
        <v>1</v>
      </c>
      <c r="AL81" s="286">
        <v>104</v>
      </c>
      <c r="AM81" s="288" t="s">
        <v>1</v>
      </c>
      <c r="AN81" s="287" t="s">
        <v>1</v>
      </c>
      <c r="AO81" s="287" t="s">
        <v>1</v>
      </c>
      <c r="AP81" s="286" t="s">
        <v>1</v>
      </c>
      <c r="AQ81" s="285" t="s">
        <v>1</v>
      </c>
      <c r="AR81" s="289" t="s">
        <v>1</v>
      </c>
      <c r="AS81" s="289" t="s">
        <v>1</v>
      </c>
      <c r="AT81" s="290" t="s">
        <v>1</v>
      </c>
      <c r="AU81" s="287" t="s">
        <v>1</v>
      </c>
      <c r="AV81" s="287" t="s">
        <v>1</v>
      </c>
      <c r="AW81" s="291" t="s">
        <v>1</v>
      </c>
    </row>
    <row r="82" spans="1:49" ht="30.15" customHeight="1" x14ac:dyDescent="0.25">
      <c r="A82" s="188" t="s">
        <v>18</v>
      </c>
      <c r="B82" s="188" t="s">
        <v>1</v>
      </c>
      <c r="C82" s="188" t="s">
        <v>35</v>
      </c>
      <c r="D82" s="190" t="s">
        <v>3</v>
      </c>
      <c r="E82" s="190" t="s">
        <v>750</v>
      </c>
      <c r="F82" s="203"/>
      <c r="G82" s="190" t="s">
        <v>784</v>
      </c>
      <c r="H82" s="192" t="s">
        <v>414</v>
      </c>
      <c r="I82" s="194">
        <v>454</v>
      </c>
      <c r="J82" s="194">
        <v>494</v>
      </c>
      <c r="K82" s="193">
        <v>494</v>
      </c>
      <c r="L82" s="193">
        <v>520</v>
      </c>
      <c r="M82" s="194">
        <v>520</v>
      </c>
      <c r="N82" s="284" t="s">
        <v>1</v>
      </c>
      <c r="O82" s="285" t="s">
        <v>1</v>
      </c>
      <c r="P82" s="285" t="s">
        <v>1</v>
      </c>
      <c r="Q82" s="285" t="s">
        <v>1</v>
      </c>
      <c r="R82" s="285" t="s">
        <v>1</v>
      </c>
      <c r="S82" s="286" t="s">
        <v>1</v>
      </c>
      <c r="T82" s="285" t="s">
        <v>1</v>
      </c>
      <c r="U82" s="285" t="s">
        <v>1</v>
      </c>
      <c r="V82" s="285" t="s">
        <v>1</v>
      </c>
      <c r="W82" s="285" t="s">
        <v>1</v>
      </c>
      <c r="X82" s="286" t="s">
        <v>1</v>
      </c>
      <c r="Y82" s="285" t="s">
        <v>1</v>
      </c>
      <c r="Z82" s="285" t="s">
        <v>1</v>
      </c>
      <c r="AA82" s="285" t="s">
        <v>1</v>
      </c>
      <c r="AB82" s="285" t="s">
        <v>1</v>
      </c>
      <c r="AC82" s="286" t="s">
        <v>1</v>
      </c>
      <c r="AD82" s="285" t="s">
        <v>1</v>
      </c>
      <c r="AE82" s="285" t="s">
        <v>1</v>
      </c>
      <c r="AF82" s="285" t="s">
        <v>1</v>
      </c>
      <c r="AG82" s="285" t="s">
        <v>1</v>
      </c>
      <c r="AH82" s="286" t="s">
        <v>1</v>
      </c>
      <c r="AI82" s="295" t="s">
        <v>1</v>
      </c>
      <c r="AJ82" s="295" t="s">
        <v>1</v>
      </c>
      <c r="AK82" s="295" t="s">
        <v>1</v>
      </c>
      <c r="AL82" s="286">
        <v>104</v>
      </c>
      <c r="AM82" s="288" t="s">
        <v>1</v>
      </c>
      <c r="AN82" s="287" t="s">
        <v>1</v>
      </c>
      <c r="AO82" s="287" t="s">
        <v>1</v>
      </c>
      <c r="AP82" s="286" t="s">
        <v>1</v>
      </c>
      <c r="AQ82" s="285" t="s">
        <v>1</v>
      </c>
      <c r="AR82" s="289" t="s">
        <v>1</v>
      </c>
      <c r="AS82" s="289" t="s">
        <v>1</v>
      </c>
      <c r="AT82" s="290" t="s">
        <v>1</v>
      </c>
      <c r="AU82" s="287" t="s">
        <v>1</v>
      </c>
      <c r="AV82" s="287" t="s">
        <v>1</v>
      </c>
      <c r="AW82" s="291" t="s">
        <v>1</v>
      </c>
    </row>
    <row r="83" spans="1:49" ht="30.15" customHeight="1" x14ac:dyDescent="0.25">
      <c r="A83" s="188" t="s">
        <v>18</v>
      </c>
      <c r="B83" s="188" t="s">
        <v>1</v>
      </c>
      <c r="C83" s="188" t="s">
        <v>35</v>
      </c>
      <c r="D83" s="190" t="s">
        <v>3</v>
      </c>
      <c r="E83" s="190" t="s">
        <v>751</v>
      </c>
      <c r="F83" s="203"/>
      <c r="G83" s="190" t="s">
        <v>785</v>
      </c>
      <c r="H83" s="192" t="s">
        <v>414</v>
      </c>
      <c r="I83" s="194">
        <v>610</v>
      </c>
      <c r="J83" s="194">
        <v>665</v>
      </c>
      <c r="K83" s="193">
        <v>665</v>
      </c>
      <c r="L83" s="193">
        <v>700</v>
      </c>
      <c r="M83" s="194">
        <v>700</v>
      </c>
      <c r="N83" s="284" t="s">
        <v>1</v>
      </c>
      <c r="O83" s="285" t="s">
        <v>1</v>
      </c>
      <c r="P83" s="285" t="s">
        <v>1</v>
      </c>
      <c r="Q83" s="285" t="s">
        <v>1</v>
      </c>
      <c r="R83" s="285" t="s">
        <v>1</v>
      </c>
      <c r="S83" s="286" t="s">
        <v>1</v>
      </c>
      <c r="T83" s="285" t="s">
        <v>1</v>
      </c>
      <c r="U83" s="285" t="s">
        <v>1</v>
      </c>
      <c r="V83" s="285" t="s">
        <v>1</v>
      </c>
      <c r="W83" s="285" t="s">
        <v>1</v>
      </c>
      <c r="X83" s="286" t="s">
        <v>1</v>
      </c>
      <c r="Y83" s="285" t="s">
        <v>1</v>
      </c>
      <c r="Z83" s="285" t="s">
        <v>1</v>
      </c>
      <c r="AA83" s="285" t="s">
        <v>1</v>
      </c>
      <c r="AB83" s="285" t="s">
        <v>1</v>
      </c>
      <c r="AC83" s="286" t="s">
        <v>1</v>
      </c>
      <c r="AD83" s="285" t="s">
        <v>1</v>
      </c>
      <c r="AE83" s="285" t="s">
        <v>1</v>
      </c>
      <c r="AF83" s="285" t="s">
        <v>1</v>
      </c>
      <c r="AG83" s="285" t="s">
        <v>1</v>
      </c>
      <c r="AH83" s="286" t="s">
        <v>1</v>
      </c>
      <c r="AI83" s="295" t="s">
        <v>1</v>
      </c>
      <c r="AJ83" s="295" t="s">
        <v>1</v>
      </c>
      <c r="AK83" s="295" t="s">
        <v>1</v>
      </c>
      <c r="AL83" s="286">
        <v>140</v>
      </c>
      <c r="AM83" s="288" t="s">
        <v>1</v>
      </c>
      <c r="AN83" s="287" t="s">
        <v>1</v>
      </c>
      <c r="AO83" s="287" t="s">
        <v>1</v>
      </c>
      <c r="AP83" s="286" t="s">
        <v>1</v>
      </c>
      <c r="AQ83" s="285" t="s">
        <v>1</v>
      </c>
      <c r="AR83" s="289" t="s">
        <v>1</v>
      </c>
      <c r="AS83" s="289" t="s">
        <v>1</v>
      </c>
      <c r="AT83" s="290" t="s">
        <v>1</v>
      </c>
      <c r="AU83" s="287" t="s">
        <v>1</v>
      </c>
      <c r="AV83" s="287" t="s">
        <v>1</v>
      </c>
      <c r="AW83" s="291" t="s">
        <v>1</v>
      </c>
    </row>
    <row r="84" spans="1:49" ht="30.15" customHeight="1" x14ac:dyDescent="0.25">
      <c r="A84" s="188" t="s">
        <v>18</v>
      </c>
      <c r="B84" s="188" t="s">
        <v>1</v>
      </c>
      <c r="C84" s="188" t="s">
        <v>35</v>
      </c>
      <c r="D84" s="190" t="s">
        <v>3</v>
      </c>
      <c r="E84" s="190" t="s">
        <v>752</v>
      </c>
      <c r="F84" s="203"/>
      <c r="G84" s="190" t="s">
        <v>786</v>
      </c>
      <c r="H84" s="192" t="s">
        <v>414</v>
      </c>
      <c r="I84" s="194">
        <v>713</v>
      </c>
      <c r="J84" s="194">
        <v>779</v>
      </c>
      <c r="K84" s="193">
        <v>779</v>
      </c>
      <c r="L84" s="193">
        <v>820</v>
      </c>
      <c r="M84" s="194">
        <v>820</v>
      </c>
      <c r="N84" s="284" t="s">
        <v>1</v>
      </c>
      <c r="O84" s="285" t="s">
        <v>1</v>
      </c>
      <c r="P84" s="285" t="s">
        <v>1</v>
      </c>
      <c r="Q84" s="285" t="s">
        <v>1</v>
      </c>
      <c r="R84" s="285" t="s">
        <v>1</v>
      </c>
      <c r="S84" s="286" t="s">
        <v>1</v>
      </c>
      <c r="T84" s="285" t="s">
        <v>1</v>
      </c>
      <c r="U84" s="285" t="s">
        <v>1</v>
      </c>
      <c r="V84" s="285" t="s">
        <v>1</v>
      </c>
      <c r="W84" s="285" t="s">
        <v>1</v>
      </c>
      <c r="X84" s="286" t="s">
        <v>1</v>
      </c>
      <c r="Y84" s="285" t="s">
        <v>1</v>
      </c>
      <c r="Z84" s="285" t="s">
        <v>1</v>
      </c>
      <c r="AA84" s="285" t="s">
        <v>1</v>
      </c>
      <c r="AB84" s="285" t="s">
        <v>1</v>
      </c>
      <c r="AC84" s="286" t="s">
        <v>1</v>
      </c>
      <c r="AD84" s="285" t="s">
        <v>1</v>
      </c>
      <c r="AE84" s="285" t="s">
        <v>1</v>
      </c>
      <c r="AF84" s="285" t="s">
        <v>1</v>
      </c>
      <c r="AG84" s="285" t="s">
        <v>1</v>
      </c>
      <c r="AH84" s="286" t="s">
        <v>1</v>
      </c>
      <c r="AI84" s="295" t="s">
        <v>1</v>
      </c>
      <c r="AJ84" s="295" t="s">
        <v>1</v>
      </c>
      <c r="AK84" s="295" t="s">
        <v>1</v>
      </c>
      <c r="AL84" s="286">
        <v>164</v>
      </c>
      <c r="AM84" s="288" t="s">
        <v>1</v>
      </c>
      <c r="AN84" s="287" t="s">
        <v>1</v>
      </c>
      <c r="AO84" s="287" t="s">
        <v>1</v>
      </c>
      <c r="AP84" s="286" t="s">
        <v>1</v>
      </c>
      <c r="AQ84" s="285" t="s">
        <v>1</v>
      </c>
      <c r="AR84" s="289" t="s">
        <v>1</v>
      </c>
      <c r="AS84" s="289" t="s">
        <v>1</v>
      </c>
      <c r="AT84" s="290" t="s">
        <v>1</v>
      </c>
      <c r="AU84" s="287" t="s">
        <v>1</v>
      </c>
      <c r="AV84" s="287" t="s">
        <v>1</v>
      </c>
      <c r="AW84" s="291" t="s">
        <v>1</v>
      </c>
    </row>
    <row r="85" spans="1:49" ht="30.15" customHeight="1" x14ac:dyDescent="0.25">
      <c r="A85" s="188" t="s">
        <v>18</v>
      </c>
      <c r="B85" s="188" t="s">
        <v>1</v>
      </c>
      <c r="C85" s="188" t="s">
        <v>35</v>
      </c>
      <c r="D85" s="190" t="s">
        <v>3</v>
      </c>
      <c r="E85" s="190" t="s">
        <v>753</v>
      </c>
      <c r="F85" s="203"/>
      <c r="G85" s="190" t="s">
        <v>787</v>
      </c>
      <c r="H85" s="192" t="s">
        <v>414</v>
      </c>
      <c r="I85" s="194">
        <v>454</v>
      </c>
      <c r="J85" s="194">
        <v>494</v>
      </c>
      <c r="K85" s="193">
        <v>494</v>
      </c>
      <c r="L85" s="193">
        <v>520</v>
      </c>
      <c r="M85" s="194">
        <v>520</v>
      </c>
      <c r="N85" s="284" t="s">
        <v>1</v>
      </c>
      <c r="O85" s="285" t="s">
        <v>1</v>
      </c>
      <c r="P85" s="285" t="s">
        <v>1</v>
      </c>
      <c r="Q85" s="285" t="s">
        <v>1</v>
      </c>
      <c r="R85" s="285" t="s">
        <v>1</v>
      </c>
      <c r="S85" s="286" t="s">
        <v>1</v>
      </c>
      <c r="T85" s="285" t="s">
        <v>1</v>
      </c>
      <c r="U85" s="285" t="s">
        <v>1</v>
      </c>
      <c r="V85" s="285" t="s">
        <v>1</v>
      </c>
      <c r="W85" s="285" t="s">
        <v>1</v>
      </c>
      <c r="X85" s="286" t="s">
        <v>1</v>
      </c>
      <c r="Y85" s="285" t="s">
        <v>1</v>
      </c>
      <c r="Z85" s="285" t="s">
        <v>1</v>
      </c>
      <c r="AA85" s="285" t="s">
        <v>1</v>
      </c>
      <c r="AB85" s="285" t="s">
        <v>1</v>
      </c>
      <c r="AC85" s="286" t="s">
        <v>1</v>
      </c>
      <c r="AD85" s="285" t="s">
        <v>1</v>
      </c>
      <c r="AE85" s="285" t="s">
        <v>1</v>
      </c>
      <c r="AF85" s="285" t="s">
        <v>1</v>
      </c>
      <c r="AG85" s="285" t="s">
        <v>1</v>
      </c>
      <c r="AH85" s="286" t="s">
        <v>1</v>
      </c>
      <c r="AI85" s="295" t="s">
        <v>1</v>
      </c>
      <c r="AJ85" s="295" t="s">
        <v>1</v>
      </c>
      <c r="AK85" s="295" t="s">
        <v>1</v>
      </c>
      <c r="AL85" s="286">
        <v>104</v>
      </c>
      <c r="AM85" s="288" t="s">
        <v>1</v>
      </c>
      <c r="AN85" s="287" t="s">
        <v>1</v>
      </c>
      <c r="AO85" s="287" t="s">
        <v>1</v>
      </c>
      <c r="AP85" s="286" t="s">
        <v>1</v>
      </c>
      <c r="AQ85" s="285" t="s">
        <v>1</v>
      </c>
      <c r="AR85" s="289" t="s">
        <v>1</v>
      </c>
      <c r="AS85" s="289" t="s">
        <v>1</v>
      </c>
      <c r="AT85" s="290" t="s">
        <v>1</v>
      </c>
      <c r="AU85" s="287" t="s">
        <v>1</v>
      </c>
      <c r="AV85" s="287" t="s">
        <v>1</v>
      </c>
      <c r="AW85" s="291" t="s">
        <v>1</v>
      </c>
    </row>
    <row r="86" spans="1:49" ht="30.15" customHeight="1" x14ac:dyDescent="0.25">
      <c r="A86" s="188" t="s">
        <v>18</v>
      </c>
      <c r="B86" s="188" t="s">
        <v>1</v>
      </c>
      <c r="C86" s="188" t="s">
        <v>35</v>
      </c>
      <c r="D86" s="190" t="s">
        <v>3</v>
      </c>
      <c r="E86" s="190" t="s">
        <v>754</v>
      </c>
      <c r="F86" s="203"/>
      <c r="G86" s="190" t="s">
        <v>788</v>
      </c>
      <c r="H86" s="192" t="s">
        <v>414</v>
      </c>
      <c r="I86" s="194">
        <v>472</v>
      </c>
      <c r="J86" s="194">
        <v>513</v>
      </c>
      <c r="K86" s="193">
        <v>513</v>
      </c>
      <c r="L86" s="193">
        <v>540</v>
      </c>
      <c r="M86" s="194">
        <v>540</v>
      </c>
      <c r="N86" s="284" t="s">
        <v>1</v>
      </c>
      <c r="O86" s="285" t="s">
        <v>1</v>
      </c>
      <c r="P86" s="285" t="s">
        <v>1</v>
      </c>
      <c r="Q86" s="285" t="s">
        <v>1</v>
      </c>
      <c r="R86" s="285" t="s">
        <v>1</v>
      </c>
      <c r="S86" s="286" t="s">
        <v>1</v>
      </c>
      <c r="T86" s="285" t="s">
        <v>1</v>
      </c>
      <c r="U86" s="285" t="s">
        <v>1</v>
      </c>
      <c r="V86" s="285" t="s">
        <v>1</v>
      </c>
      <c r="W86" s="285" t="s">
        <v>1</v>
      </c>
      <c r="X86" s="286" t="s">
        <v>1</v>
      </c>
      <c r="Y86" s="285" t="s">
        <v>1</v>
      </c>
      <c r="Z86" s="285" t="s">
        <v>1</v>
      </c>
      <c r="AA86" s="285" t="s">
        <v>1</v>
      </c>
      <c r="AB86" s="285" t="s">
        <v>1</v>
      </c>
      <c r="AC86" s="286" t="s">
        <v>1</v>
      </c>
      <c r="AD86" s="285" t="s">
        <v>1</v>
      </c>
      <c r="AE86" s="285" t="s">
        <v>1</v>
      </c>
      <c r="AF86" s="285" t="s">
        <v>1</v>
      </c>
      <c r="AG86" s="285" t="s">
        <v>1</v>
      </c>
      <c r="AH86" s="286" t="s">
        <v>1</v>
      </c>
      <c r="AI86" s="295" t="s">
        <v>1</v>
      </c>
      <c r="AJ86" s="295" t="s">
        <v>1</v>
      </c>
      <c r="AK86" s="295" t="s">
        <v>1</v>
      </c>
      <c r="AL86" s="286">
        <v>108</v>
      </c>
      <c r="AM86" s="288" t="s">
        <v>1</v>
      </c>
      <c r="AN86" s="287" t="s">
        <v>1</v>
      </c>
      <c r="AO86" s="287" t="s">
        <v>1</v>
      </c>
      <c r="AP86" s="286" t="s">
        <v>1</v>
      </c>
      <c r="AQ86" s="285" t="s">
        <v>1</v>
      </c>
      <c r="AR86" s="289" t="s">
        <v>1</v>
      </c>
      <c r="AS86" s="289" t="s">
        <v>1</v>
      </c>
      <c r="AT86" s="290" t="s">
        <v>1</v>
      </c>
      <c r="AU86" s="287" t="s">
        <v>1</v>
      </c>
      <c r="AV86" s="287" t="s">
        <v>1</v>
      </c>
      <c r="AW86" s="291" t="s">
        <v>1</v>
      </c>
    </row>
    <row r="87" spans="1:49" ht="30.15" customHeight="1" x14ac:dyDescent="0.25">
      <c r="A87" s="188" t="s">
        <v>18</v>
      </c>
      <c r="B87" s="188" t="s">
        <v>1</v>
      </c>
      <c r="C87" s="188" t="s">
        <v>35</v>
      </c>
      <c r="D87" s="190" t="s">
        <v>3</v>
      </c>
      <c r="E87" s="190" t="s">
        <v>755</v>
      </c>
      <c r="F87" s="203"/>
      <c r="G87" s="190" t="s">
        <v>789</v>
      </c>
      <c r="H87" s="192" t="s">
        <v>414</v>
      </c>
      <c r="I87" s="194">
        <v>713</v>
      </c>
      <c r="J87" s="194">
        <v>779</v>
      </c>
      <c r="K87" s="193">
        <v>779</v>
      </c>
      <c r="L87" s="193">
        <v>820</v>
      </c>
      <c r="M87" s="194">
        <v>820</v>
      </c>
      <c r="N87" s="284" t="s">
        <v>1</v>
      </c>
      <c r="O87" s="285" t="s">
        <v>1</v>
      </c>
      <c r="P87" s="285" t="s">
        <v>1</v>
      </c>
      <c r="Q87" s="285" t="s">
        <v>1</v>
      </c>
      <c r="R87" s="285" t="s">
        <v>1</v>
      </c>
      <c r="S87" s="286" t="s">
        <v>1</v>
      </c>
      <c r="T87" s="285" t="s">
        <v>1</v>
      </c>
      <c r="U87" s="285" t="s">
        <v>1</v>
      </c>
      <c r="V87" s="285" t="s">
        <v>1</v>
      </c>
      <c r="W87" s="285" t="s">
        <v>1</v>
      </c>
      <c r="X87" s="286" t="s">
        <v>1</v>
      </c>
      <c r="Y87" s="285" t="s">
        <v>1</v>
      </c>
      <c r="Z87" s="285" t="s">
        <v>1</v>
      </c>
      <c r="AA87" s="285" t="s">
        <v>1</v>
      </c>
      <c r="AB87" s="285" t="s">
        <v>1</v>
      </c>
      <c r="AC87" s="286" t="s">
        <v>1</v>
      </c>
      <c r="AD87" s="285" t="s">
        <v>1</v>
      </c>
      <c r="AE87" s="285" t="s">
        <v>1</v>
      </c>
      <c r="AF87" s="285" t="s">
        <v>1</v>
      </c>
      <c r="AG87" s="285" t="s">
        <v>1</v>
      </c>
      <c r="AH87" s="286" t="s">
        <v>1</v>
      </c>
      <c r="AI87" s="295" t="s">
        <v>1</v>
      </c>
      <c r="AJ87" s="295" t="s">
        <v>1</v>
      </c>
      <c r="AK87" s="295" t="s">
        <v>1</v>
      </c>
      <c r="AL87" s="286">
        <v>164</v>
      </c>
      <c r="AM87" s="288" t="s">
        <v>1</v>
      </c>
      <c r="AN87" s="287" t="s">
        <v>1</v>
      </c>
      <c r="AO87" s="287" t="s">
        <v>1</v>
      </c>
      <c r="AP87" s="286" t="s">
        <v>1</v>
      </c>
      <c r="AQ87" s="285" t="s">
        <v>1</v>
      </c>
      <c r="AR87" s="289" t="s">
        <v>1</v>
      </c>
      <c r="AS87" s="289" t="s">
        <v>1</v>
      </c>
      <c r="AT87" s="290" t="s">
        <v>1</v>
      </c>
      <c r="AU87" s="287" t="s">
        <v>1</v>
      </c>
      <c r="AV87" s="287" t="s">
        <v>1</v>
      </c>
      <c r="AW87" s="291" t="s">
        <v>1</v>
      </c>
    </row>
    <row r="88" spans="1:49" ht="30.15" customHeight="1" x14ac:dyDescent="0.25">
      <c r="A88" s="188" t="s">
        <v>18</v>
      </c>
      <c r="B88" s="188" t="s">
        <v>1</v>
      </c>
      <c r="C88" s="188" t="s">
        <v>35</v>
      </c>
      <c r="D88" s="190" t="s">
        <v>3</v>
      </c>
      <c r="E88" s="190" t="s">
        <v>756</v>
      </c>
      <c r="F88" s="203"/>
      <c r="G88" s="190" t="s">
        <v>790</v>
      </c>
      <c r="H88" s="192" t="s">
        <v>414</v>
      </c>
      <c r="I88" s="194">
        <v>610</v>
      </c>
      <c r="J88" s="194">
        <v>665</v>
      </c>
      <c r="K88" s="193">
        <v>665</v>
      </c>
      <c r="L88" s="193">
        <v>700</v>
      </c>
      <c r="M88" s="194">
        <v>700</v>
      </c>
      <c r="N88" s="284" t="s">
        <v>1</v>
      </c>
      <c r="O88" s="285" t="s">
        <v>1</v>
      </c>
      <c r="P88" s="285" t="s">
        <v>1</v>
      </c>
      <c r="Q88" s="285" t="s">
        <v>1</v>
      </c>
      <c r="R88" s="285" t="s">
        <v>1</v>
      </c>
      <c r="S88" s="286" t="s">
        <v>1</v>
      </c>
      <c r="T88" s="285" t="s">
        <v>1</v>
      </c>
      <c r="U88" s="285" t="s">
        <v>1</v>
      </c>
      <c r="V88" s="285" t="s">
        <v>1</v>
      </c>
      <c r="W88" s="285" t="s">
        <v>1</v>
      </c>
      <c r="X88" s="286" t="s">
        <v>1</v>
      </c>
      <c r="Y88" s="285" t="s">
        <v>1</v>
      </c>
      <c r="Z88" s="285" t="s">
        <v>1</v>
      </c>
      <c r="AA88" s="285" t="s">
        <v>1</v>
      </c>
      <c r="AB88" s="285" t="s">
        <v>1</v>
      </c>
      <c r="AC88" s="286" t="s">
        <v>1</v>
      </c>
      <c r="AD88" s="285" t="s">
        <v>1</v>
      </c>
      <c r="AE88" s="285" t="s">
        <v>1</v>
      </c>
      <c r="AF88" s="285" t="s">
        <v>1</v>
      </c>
      <c r="AG88" s="285" t="s">
        <v>1</v>
      </c>
      <c r="AH88" s="286" t="s">
        <v>1</v>
      </c>
      <c r="AI88" s="295" t="s">
        <v>1</v>
      </c>
      <c r="AJ88" s="295" t="s">
        <v>1</v>
      </c>
      <c r="AK88" s="295" t="s">
        <v>1</v>
      </c>
      <c r="AL88" s="286">
        <v>140</v>
      </c>
      <c r="AM88" s="288" t="s">
        <v>1</v>
      </c>
      <c r="AN88" s="287" t="s">
        <v>1</v>
      </c>
      <c r="AO88" s="287" t="s">
        <v>1</v>
      </c>
      <c r="AP88" s="286" t="s">
        <v>1</v>
      </c>
      <c r="AQ88" s="285" t="s">
        <v>1</v>
      </c>
      <c r="AR88" s="289" t="s">
        <v>1</v>
      </c>
      <c r="AS88" s="289" t="s">
        <v>1</v>
      </c>
      <c r="AT88" s="290" t="s">
        <v>1</v>
      </c>
      <c r="AU88" s="287" t="s">
        <v>1</v>
      </c>
      <c r="AV88" s="287" t="s">
        <v>1</v>
      </c>
      <c r="AW88" s="291" t="s">
        <v>1</v>
      </c>
    </row>
    <row r="89" spans="1:49" ht="30.15" customHeight="1" x14ac:dyDescent="0.25">
      <c r="A89" s="188" t="s">
        <v>18</v>
      </c>
      <c r="B89" s="188" t="s">
        <v>1</v>
      </c>
      <c r="C89" s="188" t="s">
        <v>35</v>
      </c>
      <c r="D89" s="190" t="s">
        <v>3</v>
      </c>
      <c r="E89" s="190" t="s">
        <v>757</v>
      </c>
      <c r="F89" s="203"/>
      <c r="G89" s="190" t="s">
        <v>791</v>
      </c>
      <c r="H89" s="192" t="s">
        <v>414</v>
      </c>
      <c r="I89" s="194">
        <v>490</v>
      </c>
      <c r="J89" s="194">
        <v>532</v>
      </c>
      <c r="K89" s="193">
        <v>532</v>
      </c>
      <c r="L89" s="193">
        <v>560</v>
      </c>
      <c r="M89" s="194">
        <v>560</v>
      </c>
      <c r="N89" s="284" t="s">
        <v>1</v>
      </c>
      <c r="O89" s="285" t="s">
        <v>1</v>
      </c>
      <c r="P89" s="285" t="s">
        <v>1</v>
      </c>
      <c r="Q89" s="285" t="s">
        <v>1</v>
      </c>
      <c r="R89" s="285" t="s">
        <v>1</v>
      </c>
      <c r="S89" s="286" t="s">
        <v>1</v>
      </c>
      <c r="T89" s="285" t="s">
        <v>1</v>
      </c>
      <c r="U89" s="285" t="s">
        <v>1</v>
      </c>
      <c r="V89" s="285" t="s">
        <v>1</v>
      </c>
      <c r="W89" s="285" t="s">
        <v>1</v>
      </c>
      <c r="X89" s="286" t="s">
        <v>1</v>
      </c>
      <c r="Y89" s="285" t="s">
        <v>1</v>
      </c>
      <c r="Z89" s="285" t="s">
        <v>1</v>
      </c>
      <c r="AA89" s="285" t="s">
        <v>1</v>
      </c>
      <c r="AB89" s="285" t="s">
        <v>1</v>
      </c>
      <c r="AC89" s="286" t="s">
        <v>1</v>
      </c>
      <c r="AD89" s="285" t="s">
        <v>1</v>
      </c>
      <c r="AE89" s="285" t="s">
        <v>1</v>
      </c>
      <c r="AF89" s="285" t="s">
        <v>1</v>
      </c>
      <c r="AG89" s="285" t="s">
        <v>1</v>
      </c>
      <c r="AH89" s="286" t="s">
        <v>1</v>
      </c>
      <c r="AI89" s="295" t="s">
        <v>1</v>
      </c>
      <c r="AJ89" s="295" t="s">
        <v>1</v>
      </c>
      <c r="AK89" s="295" t="s">
        <v>1</v>
      </c>
      <c r="AL89" s="286">
        <v>112</v>
      </c>
      <c r="AM89" s="288" t="s">
        <v>1</v>
      </c>
      <c r="AN89" s="287" t="s">
        <v>1</v>
      </c>
      <c r="AO89" s="287" t="s">
        <v>1</v>
      </c>
      <c r="AP89" s="286" t="s">
        <v>1</v>
      </c>
      <c r="AQ89" s="285" t="s">
        <v>1</v>
      </c>
      <c r="AR89" s="289" t="s">
        <v>1</v>
      </c>
      <c r="AS89" s="289" t="s">
        <v>1</v>
      </c>
      <c r="AT89" s="290" t="s">
        <v>1</v>
      </c>
      <c r="AU89" s="287" t="s">
        <v>1</v>
      </c>
      <c r="AV89" s="287" t="s">
        <v>1</v>
      </c>
      <c r="AW89" s="291" t="s">
        <v>1</v>
      </c>
    </row>
    <row r="90" spans="1:49" ht="30.15" customHeight="1" x14ac:dyDescent="0.25">
      <c r="A90" s="188" t="s">
        <v>18</v>
      </c>
      <c r="B90" s="188" t="s">
        <v>1</v>
      </c>
      <c r="C90" s="188" t="s">
        <v>35</v>
      </c>
      <c r="D90" s="190" t="s">
        <v>3</v>
      </c>
      <c r="E90" s="190" t="s">
        <v>758</v>
      </c>
      <c r="F90" s="203"/>
      <c r="G90" s="190" t="s">
        <v>792</v>
      </c>
      <c r="H90" s="192" t="s">
        <v>414</v>
      </c>
      <c r="I90" s="194">
        <v>490</v>
      </c>
      <c r="J90" s="194">
        <v>532</v>
      </c>
      <c r="K90" s="193">
        <v>532</v>
      </c>
      <c r="L90" s="193">
        <v>560</v>
      </c>
      <c r="M90" s="194">
        <v>560</v>
      </c>
      <c r="N90" s="284" t="s">
        <v>1</v>
      </c>
      <c r="O90" s="285" t="s">
        <v>1</v>
      </c>
      <c r="P90" s="285" t="s">
        <v>1</v>
      </c>
      <c r="Q90" s="285" t="s">
        <v>1</v>
      </c>
      <c r="R90" s="285" t="s">
        <v>1</v>
      </c>
      <c r="S90" s="286" t="s">
        <v>1</v>
      </c>
      <c r="T90" s="285" t="s">
        <v>1</v>
      </c>
      <c r="U90" s="285" t="s">
        <v>1</v>
      </c>
      <c r="V90" s="285" t="s">
        <v>1</v>
      </c>
      <c r="W90" s="285" t="s">
        <v>1</v>
      </c>
      <c r="X90" s="286" t="s">
        <v>1</v>
      </c>
      <c r="Y90" s="285" t="s">
        <v>1</v>
      </c>
      <c r="Z90" s="285" t="s">
        <v>1</v>
      </c>
      <c r="AA90" s="285" t="s">
        <v>1</v>
      </c>
      <c r="AB90" s="285" t="s">
        <v>1</v>
      </c>
      <c r="AC90" s="286" t="s">
        <v>1</v>
      </c>
      <c r="AD90" s="285" t="s">
        <v>1</v>
      </c>
      <c r="AE90" s="285" t="s">
        <v>1</v>
      </c>
      <c r="AF90" s="285" t="s">
        <v>1</v>
      </c>
      <c r="AG90" s="285" t="s">
        <v>1</v>
      </c>
      <c r="AH90" s="286" t="s">
        <v>1</v>
      </c>
      <c r="AI90" s="295" t="s">
        <v>1</v>
      </c>
      <c r="AJ90" s="295" t="s">
        <v>1</v>
      </c>
      <c r="AK90" s="295" t="s">
        <v>1</v>
      </c>
      <c r="AL90" s="286">
        <v>112</v>
      </c>
      <c r="AM90" s="288" t="s">
        <v>1</v>
      </c>
      <c r="AN90" s="287" t="s">
        <v>1</v>
      </c>
      <c r="AO90" s="287" t="s">
        <v>1</v>
      </c>
      <c r="AP90" s="286" t="s">
        <v>1</v>
      </c>
      <c r="AQ90" s="285" t="s">
        <v>1</v>
      </c>
      <c r="AR90" s="289" t="s">
        <v>1</v>
      </c>
      <c r="AS90" s="289" t="s">
        <v>1</v>
      </c>
      <c r="AT90" s="290" t="s">
        <v>1</v>
      </c>
      <c r="AU90" s="287" t="s">
        <v>1</v>
      </c>
      <c r="AV90" s="287" t="s">
        <v>1</v>
      </c>
      <c r="AW90" s="291" t="s">
        <v>1</v>
      </c>
    </row>
    <row r="91" spans="1:49" ht="30.15" customHeight="1" x14ac:dyDescent="0.25">
      <c r="A91" s="188" t="s">
        <v>18</v>
      </c>
      <c r="B91" s="188" t="s">
        <v>1</v>
      </c>
      <c r="C91" s="188" t="s">
        <v>35</v>
      </c>
      <c r="D91" s="190" t="s">
        <v>3</v>
      </c>
      <c r="E91" s="190" t="s">
        <v>759</v>
      </c>
      <c r="F91" s="203"/>
      <c r="G91" s="190" t="s">
        <v>793</v>
      </c>
      <c r="H91" s="192" t="s">
        <v>414</v>
      </c>
      <c r="I91" s="194">
        <v>490</v>
      </c>
      <c r="J91" s="194">
        <v>532</v>
      </c>
      <c r="K91" s="193">
        <v>532</v>
      </c>
      <c r="L91" s="193">
        <v>560</v>
      </c>
      <c r="M91" s="194">
        <v>560</v>
      </c>
      <c r="N91" s="284" t="s">
        <v>1</v>
      </c>
      <c r="O91" s="285" t="s">
        <v>1</v>
      </c>
      <c r="P91" s="285" t="s">
        <v>1</v>
      </c>
      <c r="Q91" s="285" t="s">
        <v>1</v>
      </c>
      <c r="R91" s="285" t="s">
        <v>1</v>
      </c>
      <c r="S91" s="286" t="s">
        <v>1</v>
      </c>
      <c r="T91" s="285" t="s">
        <v>1</v>
      </c>
      <c r="U91" s="285" t="s">
        <v>1</v>
      </c>
      <c r="V91" s="285" t="s">
        <v>1</v>
      </c>
      <c r="W91" s="285" t="s">
        <v>1</v>
      </c>
      <c r="X91" s="286" t="s">
        <v>1</v>
      </c>
      <c r="Y91" s="285" t="s">
        <v>1</v>
      </c>
      <c r="Z91" s="285" t="s">
        <v>1</v>
      </c>
      <c r="AA91" s="285" t="s">
        <v>1</v>
      </c>
      <c r="AB91" s="285" t="s">
        <v>1</v>
      </c>
      <c r="AC91" s="286" t="s">
        <v>1</v>
      </c>
      <c r="AD91" s="285" t="s">
        <v>1</v>
      </c>
      <c r="AE91" s="285" t="s">
        <v>1</v>
      </c>
      <c r="AF91" s="285" t="s">
        <v>1</v>
      </c>
      <c r="AG91" s="285" t="s">
        <v>1</v>
      </c>
      <c r="AH91" s="286" t="s">
        <v>1</v>
      </c>
      <c r="AI91" s="295" t="s">
        <v>1</v>
      </c>
      <c r="AJ91" s="295" t="s">
        <v>1</v>
      </c>
      <c r="AK91" s="295" t="s">
        <v>1</v>
      </c>
      <c r="AL91" s="286">
        <v>112</v>
      </c>
      <c r="AM91" s="288" t="s">
        <v>1</v>
      </c>
      <c r="AN91" s="287" t="s">
        <v>1</v>
      </c>
      <c r="AO91" s="287" t="s">
        <v>1</v>
      </c>
      <c r="AP91" s="286" t="s">
        <v>1</v>
      </c>
      <c r="AQ91" s="285" t="s">
        <v>1</v>
      </c>
      <c r="AR91" s="289" t="s">
        <v>1</v>
      </c>
      <c r="AS91" s="289" t="s">
        <v>1</v>
      </c>
      <c r="AT91" s="290" t="s">
        <v>1</v>
      </c>
      <c r="AU91" s="287" t="s">
        <v>1</v>
      </c>
      <c r="AV91" s="287" t="s">
        <v>1</v>
      </c>
      <c r="AW91" s="291" t="s">
        <v>1</v>
      </c>
    </row>
    <row r="92" spans="1:49" ht="30.15" customHeight="1" x14ac:dyDescent="0.25">
      <c r="A92" s="188" t="s">
        <v>18</v>
      </c>
      <c r="B92" s="188" t="s">
        <v>1</v>
      </c>
      <c r="C92" s="188" t="s">
        <v>35</v>
      </c>
      <c r="D92" s="190" t="s">
        <v>3</v>
      </c>
      <c r="E92" s="190" t="s">
        <v>760</v>
      </c>
      <c r="F92" s="203"/>
      <c r="G92" s="190" t="s">
        <v>794</v>
      </c>
      <c r="H92" s="192" t="s">
        <v>414</v>
      </c>
      <c r="I92" s="194">
        <v>490</v>
      </c>
      <c r="J92" s="194">
        <v>532</v>
      </c>
      <c r="K92" s="193">
        <v>532</v>
      </c>
      <c r="L92" s="193">
        <v>560</v>
      </c>
      <c r="M92" s="194">
        <v>560</v>
      </c>
      <c r="N92" s="284" t="s">
        <v>1</v>
      </c>
      <c r="O92" s="285" t="s">
        <v>1</v>
      </c>
      <c r="P92" s="285" t="s">
        <v>1</v>
      </c>
      <c r="Q92" s="285" t="s">
        <v>1</v>
      </c>
      <c r="R92" s="285" t="s">
        <v>1</v>
      </c>
      <c r="S92" s="286" t="s">
        <v>1</v>
      </c>
      <c r="T92" s="285" t="s">
        <v>1</v>
      </c>
      <c r="U92" s="285" t="s">
        <v>1</v>
      </c>
      <c r="V92" s="285" t="s">
        <v>1</v>
      </c>
      <c r="W92" s="285" t="s">
        <v>1</v>
      </c>
      <c r="X92" s="286" t="s">
        <v>1</v>
      </c>
      <c r="Y92" s="285" t="s">
        <v>1</v>
      </c>
      <c r="Z92" s="285" t="s">
        <v>1</v>
      </c>
      <c r="AA92" s="285" t="s">
        <v>1</v>
      </c>
      <c r="AB92" s="285" t="s">
        <v>1</v>
      </c>
      <c r="AC92" s="286" t="s">
        <v>1</v>
      </c>
      <c r="AD92" s="285" t="s">
        <v>1</v>
      </c>
      <c r="AE92" s="285" t="s">
        <v>1</v>
      </c>
      <c r="AF92" s="285" t="s">
        <v>1</v>
      </c>
      <c r="AG92" s="285" t="s">
        <v>1</v>
      </c>
      <c r="AH92" s="286" t="s">
        <v>1</v>
      </c>
      <c r="AI92" s="295" t="s">
        <v>1</v>
      </c>
      <c r="AJ92" s="295" t="s">
        <v>1</v>
      </c>
      <c r="AK92" s="295" t="s">
        <v>1</v>
      </c>
      <c r="AL92" s="286">
        <v>112</v>
      </c>
      <c r="AM92" s="288" t="s">
        <v>1</v>
      </c>
      <c r="AN92" s="287" t="s">
        <v>1</v>
      </c>
      <c r="AO92" s="287" t="s">
        <v>1</v>
      </c>
      <c r="AP92" s="286" t="s">
        <v>1</v>
      </c>
      <c r="AQ92" s="285" t="s">
        <v>1</v>
      </c>
      <c r="AR92" s="289" t="s">
        <v>1</v>
      </c>
      <c r="AS92" s="289" t="s">
        <v>1</v>
      </c>
      <c r="AT92" s="290" t="s">
        <v>1</v>
      </c>
      <c r="AU92" s="287" t="s">
        <v>1</v>
      </c>
      <c r="AV92" s="287" t="s">
        <v>1</v>
      </c>
      <c r="AW92" s="291" t="s">
        <v>1</v>
      </c>
    </row>
    <row r="93" spans="1:49" ht="30.15" customHeight="1" x14ac:dyDescent="0.25">
      <c r="A93" s="188" t="s">
        <v>18</v>
      </c>
      <c r="B93" s="188" t="s">
        <v>1</v>
      </c>
      <c r="C93" s="188" t="s">
        <v>35</v>
      </c>
      <c r="D93" s="190" t="s">
        <v>3</v>
      </c>
      <c r="E93" s="190" t="s">
        <v>761</v>
      </c>
      <c r="F93" s="203"/>
      <c r="G93" s="190" t="s">
        <v>795</v>
      </c>
      <c r="H93" s="192" t="s">
        <v>414</v>
      </c>
      <c r="I93" s="194">
        <v>661</v>
      </c>
      <c r="J93" s="194">
        <v>722</v>
      </c>
      <c r="K93" s="193">
        <v>722</v>
      </c>
      <c r="L93" s="193">
        <v>760</v>
      </c>
      <c r="M93" s="194">
        <v>760</v>
      </c>
      <c r="N93" s="284" t="s">
        <v>1</v>
      </c>
      <c r="O93" s="285" t="s">
        <v>1</v>
      </c>
      <c r="P93" s="285" t="s">
        <v>1</v>
      </c>
      <c r="Q93" s="285" t="s">
        <v>1</v>
      </c>
      <c r="R93" s="285" t="s">
        <v>1</v>
      </c>
      <c r="S93" s="286" t="s">
        <v>1</v>
      </c>
      <c r="T93" s="285" t="s">
        <v>1</v>
      </c>
      <c r="U93" s="285" t="s">
        <v>1</v>
      </c>
      <c r="V93" s="285" t="s">
        <v>1</v>
      </c>
      <c r="W93" s="285" t="s">
        <v>1</v>
      </c>
      <c r="X93" s="286" t="s">
        <v>1</v>
      </c>
      <c r="Y93" s="285" t="s">
        <v>1</v>
      </c>
      <c r="Z93" s="285" t="s">
        <v>1</v>
      </c>
      <c r="AA93" s="285" t="s">
        <v>1</v>
      </c>
      <c r="AB93" s="285" t="s">
        <v>1</v>
      </c>
      <c r="AC93" s="286" t="s">
        <v>1</v>
      </c>
      <c r="AD93" s="285" t="s">
        <v>1</v>
      </c>
      <c r="AE93" s="285" t="s">
        <v>1</v>
      </c>
      <c r="AF93" s="285" t="s">
        <v>1</v>
      </c>
      <c r="AG93" s="285" t="s">
        <v>1</v>
      </c>
      <c r="AH93" s="286" t="s">
        <v>1</v>
      </c>
      <c r="AI93" s="295" t="s">
        <v>1</v>
      </c>
      <c r="AJ93" s="295" t="s">
        <v>1</v>
      </c>
      <c r="AK93" s="295" t="s">
        <v>1</v>
      </c>
      <c r="AL93" s="286">
        <v>152</v>
      </c>
      <c r="AM93" s="288" t="s">
        <v>1</v>
      </c>
      <c r="AN93" s="287" t="s">
        <v>1</v>
      </c>
      <c r="AO93" s="287" t="s">
        <v>1</v>
      </c>
      <c r="AP93" s="286" t="s">
        <v>1</v>
      </c>
      <c r="AQ93" s="285" t="s">
        <v>1</v>
      </c>
      <c r="AR93" s="289" t="s">
        <v>1</v>
      </c>
      <c r="AS93" s="289" t="s">
        <v>1</v>
      </c>
      <c r="AT93" s="290" t="s">
        <v>1</v>
      </c>
      <c r="AU93" s="287" t="s">
        <v>1</v>
      </c>
      <c r="AV93" s="287" t="s">
        <v>1</v>
      </c>
      <c r="AW93" s="291" t="s">
        <v>1</v>
      </c>
    </row>
    <row r="94" spans="1:49" ht="30.15" customHeight="1" x14ac:dyDescent="0.25">
      <c r="A94" s="188" t="s">
        <v>18</v>
      </c>
      <c r="B94" s="188" t="s">
        <v>1</v>
      </c>
      <c r="C94" s="188" t="s">
        <v>35</v>
      </c>
      <c r="D94" s="190" t="s">
        <v>3</v>
      </c>
      <c r="E94" s="190" t="s">
        <v>762</v>
      </c>
      <c r="F94" s="203"/>
      <c r="G94" s="190" t="s">
        <v>796</v>
      </c>
      <c r="H94" s="192" t="s">
        <v>414</v>
      </c>
      <c r="I94" s="194">
        <v>765</v>
      </c>
      <c r="J94" s="194">
        <v>836</v>
      </c>
      <c r="K94" s="193">
        <v>836</v>
      </c>
      <c r="L94" s="193">
        <v>880</v>
      </c>
      <c r="M94" s="194">
        <v>880</v>
      </c>
      <c r="N94" s="284" t="s">
        <v>1</v>
      </c>
      <c r="O94" s="285" t="s">
        <v>1</v>
      </c>
      <c r="P94" s="285" t="s">
        <v>1</v>
      </c>
      <c r="Q94" s="285" t="s">
        <v>1</v>
      </c>
      <c r="R94" s="285" t="s">
        <v>1</v>
      </c>
      <c r="S94" s="286" t="s">
        <v>1</v>
      </c>
      <c r="T94" s="285" t="s">
        <v>1</v>
      </c>
      <c r="U94" s="285" t="s">
        <v>1</v>
      </c>
      <c r="V94" s="285" t="s">
        <v>1</v>
      </c>
      <c r="W94" s="285" t="s">
        <v>1</v>
      </c>
      <c r="X94" s="286" t="s">
        <v>1</v>
      </c>
      <c r="Y94" s="285" t="s">
        <v>1</v>
      </c>
      <c r="Z94" s="285" t="s">
        <v>1</v>
      </c>
      <c r="AA94" s="285" t="s">
        <v>1</v>
      </c>
      <c r="AB94" s="285" t="s">
        <v>1</v>
      </c>
      <c r="AC94" s="286" t="s">
        <v>1</v>
      </c>
      <c r="AD94" s="285" t="s">
        <v>1</v>
      </c>
      <c r="AE94" s="285" t="s">
        <v>1</v>
      </c>
      <c r="AF94" s="285" t="s">
        <v>1</v>
      </c>
      <c r="AG94" s="285" t="s">
        <v>1</v>
      </c>
      <c r="AH94" s="286" t="s">
        <v>1</v>
      </c>
      <c r="AI94" s="295" t="s">
        <v>1</v>
      </c>
      <c r="AJ94" s="295" t="s">
        <v>1</v>
      </c>
      <c r="AK94" s="295" t="s">
        <v>1</v>
      </c>
      <c r="AL94" s="286">
        <v>176</v>
      </c>
      <c r="AM94" s="288" t="s">
        <v>1</v>
      </c>
      <c r="AN94" s="287" t="s">
        <v>1</v>
      </c>
      <c r="AO94" s="287" t="s">
        <v>1</v>
      </c>
      <c r="AP94" s="286" t="s">
        <v>1</v>
      </c>
      <c r="AQ94" s="285" t="s">
        <v>1</v>
      </c>
      <c r="AR94" s="289" t="s">
        <v>1</v>
      </c>
      <c r="AS94" s="289" t="s">
        <v>1</v>
      </c>
      <c r="AT94" s="290" t="s">
        <v>1</v>
      </c>
      <c r="AU94" s="287" t="s">
        <v>1</v>
      </c>
      <c r="AV94" s="287" t="s">
        <v>1</v>
      </c>
      <c r="AW94" s="291" t="s">
        <v>1</v>
      </c>
    </row>
    <row r="95" spans="1:49" ht="30.15" customHeight="1" x14ac:dyDescent="0.25">
      <c r="A95" s="188" t="s">
        <v>18</v>
      </c>
      <c r="B95" s="188" t="s">
        <v>1</v>
      </c>
      <c r="C95" s="188" t="s">
        <v>35</v>
      </c>
      <c r="D95" s="190" t="s">
        <v>3</v>
      </c>
      <c r="E95" s="190" t="s">
        <v>763</v>
      </c>
      <c r="F95" s="203"/>
      <c r="G95" s="190" t="s">
        <v>797</v>
      </c>
      <c r="H95" s="192" t="s">
        <v>414</v>
      </c>
      <c r="I95" s="194">
        <v>490</v>
      </c>
      <c r="J95" s="194">
        <v>532</v>
      </c>
      <c r="K95" s="193">
        <v>532</v>
      </c>
      <c r="L95" s="193">
        <v>560</v>
      </c>
      <c r="M95" s="194">
        <v>560</v>
      </c>
      <c r="N95" s="284" t="s">
        <v>1</v>
      </c>
      <c r="O95" s="285" t="s">
        <v>1</v>
      </c>
      <c r="P95" s="285" t="s">
        <v>1</v>
      </c>
      <c r="Q95" s="285" t="s">
        <v>1</v>
      </c>
      <c r="R95" s="285" t="s">
        <v>1</v>
      </c>
      <c r="S95" s="286" t="s">
        <v>1</v>
      </c>
      <c r="T95" s="285" t="s">
        <v>1</v>
      </c>
      <c r="U95" s="285" t="s">
        <v>1</v>
      </c>
      <c r="V95" s="285" t="s">
        <v>1</v>
      </c>
      <c r="W95" s="285" t="s">
        <v>1</v>
      </c>
      <c r="X95" s="286" t="s">
        <v>1</v>
      </c>
      <c r="Y95" s="285" t="s">
        <v>1</v>
      </c>
      <c r="Z95" s="285" t="s">
        <v>1</v>
      </c>
      <c r="AA95" s="285" t="s">
        <v>1</v>
      </c>
      <c r="AB95" s="285" t="s">
        <v>1</v>
      </c>
      <c r="AC95" s="286" t="s">
        <v>1</v>
      </c>
      <c r="AD95" s="285" t="s">
        <v>1</v>
      </c>
      <c r="AE95" s="285" t="s">
        <v>1</v>
      </c>
      <c r="AF95" s="285" t="s">
        <v>1</v>
      </c>
      <c r="AG95" s="285" t="s">
        <v>1</v>
      </c>
      <c r="AH95" s="286" t="s">
        <v>1</v>
      </c>
      <c r="AI95" s="295" t="s">
        <v>1</v>
      </c>
      <c r="AJ95" s="295" t="s">
        <v>1</v>
      </c>
      <c r="AK95" s="295" t="s">
        <v>1</v>
      </c>
      <c r="AL95" s="286">
        <v>112</v>
      </c>
      <c r="AM95" s="288" t="s">
        <v>1</v>
      </c>
      <c r="AN95" s="287" t="s">
        <v>1</v>
      </c>
      <c r="AO95" s="287" t="s">
        <v>1</v>
      </c>
      <c r="AP95" s="286" t="s">
        <v>1</v>
      </c>
      <c r="AQ95" s="285" t="s">
        <v>1</v>
      </c>
      <c r="AR95" s="289" t="s">
        <v>1</v>
      </c>
      <c r="AS95" s="289" t="s">
        <v>1</v>
      </c>
      <c r="AT95" s="290" t="s">
        <v>1</v>
      </c>
      <c r="AU95" s="287" t="s">
        <v>1</v>
      </c>
      <c r="AV95" s="287" t="s">
        <v>1</v>
      </c>
      <c r="AW95" s="291" t="s">
        <v>1</v>
      </c>
    </row>
    <row r="96" spans="1:49" ht="30.15" customHeight="1" x14ac:dyDescent="0.25">
      <c r="A96" s="188" t="s">
        <v>18</v>
      </c>
      <c r="B96" s="188" t="s">
        <v>1</v>
      </c>
      <c r="C96" s="188" t="s">
        <v>35</v>
      </c>
      <c r="D96" s="190" t="s">
        <v>3</v>
      </c>
      <c r="E96" s="190" t="s">
        <v>764</v>
      </c>
      <c r="F96" s="203"/>
      <c r="G96" s="190" t="s">
        <v>798</v>
      </c>
      <c r="H96" s="192" t="s">
        <v>414</v>
      </c>
      <c r="I96" s="194">
        <v>509</v>
      </c>
      <c r="J96" s="194">
        <v>561</v>
      </c>
      <c r="K96" s="193">
        <v>561</v>
      </c>
      <c r="L96" s="193">
        <v>590</v>
      </c>
      <c r="M96" s="194">
        <v>590</v>
      </c>
      <c r="N96" s="284" t="s">
        <v>1</v>
      </c>
      <c r="O96" s="285" t="s">
        <v>1</v>
      </c>
      <c r="P96" s="285" t="s">
        <v>1</v>
      </c>
      <c r="Q96" s="285" t="s">
        <v>1</v>
      </c>
      <c r="R96" s="285" t="s">
        <v>1</v>
      </c>
      <c r="S96" s="286" t="s">
        <v>1</v>
      </c>
      <c r="T96" s="285" t="s">
        <v>1</v>
      </c>
      <c r="U96" s="285" t="s">
        <v>1</v>
      </c>
      <c r="V96" s="285" t="s">
        <v>1</v>
      </c>
      <c r="W96" s="285" t="s">
        <v>1</v>
      </c>
      <c r="X96" s="286" t="s">
        <v>1</v>
      </c>
      <c r="Y96" s="285" t="s">
        <v>1</v>
      </c>
      <c r="Z96" s="285" t="s">
        <v>1</v>
      </c>
      <c r="AA96" s="285" t="s">
        <v>1</v>
      </c>
      <c r="AB96" s="285" t="s">
        <v>1</v>
      </c>
      <c r="AC96" s="286" t="s">
        <v>1</v>
      </c>
      <c r="AD96" s="285" t="s">
        <v>1</v>
      </c>
      <c r="AE96" s="285" t="s">
        <v>1</v>
      </c>
      <c r="AF96" s="285" t="s">
        <v>1</v>
      </c>
      <c r="AG96" s="285" t="s">
        <v>1</v>
      </c>
      <c r="AH96" s="286" t="s">
        <v>1</v>
      </c>
      <c r="AI96" s="295" t="s">
        <v>1</v>
      </c>
      <c r="AJ96" s="295" t="s">
        <v>1</v>
      </c>
      <c r="AK96" s="295" t="s">
        <v>1</v>
      </c>
      <c r="AL96" s="286">
        <v>118</v>
      </c>
      <c r="AM96" s="288" t="s">
        <v>1</v>
      </c>
      <c r="AN96" s="287" t="s">
        <v>1</v>
      </c>
      <c r="AO96" s="287" t="s">
        <v>1</v>
      </c>
      <c r="AP96" s="286" t="s">
        <v>1</v>
      </c>
      <c r="AQ96" s="285" t="s">
        <v>1</v>
      </c>
      <c r="AR96" s="289" t="s">
        <v>1</v>
      </c>
      <c r="AS96" s="289" t="s">
        <v>1</v>
      </c>
      <c r="AT96" s="290" t="s">
        <v>1</v>
      </c>
      <c r="AU96" s="287" t="s">
        <v>1</v>
      </c>
      <c r="AV96" s="287" t="s">
        <v>1</v>
      </c>
      <c r="AW96" s="291" t="s">
        <v>1</v>
      </c>
    </row>
    <row r="97" spans="1:49" ht="30.15" customHeight="1" x14ac:dyDescent="0.25">
      <c r="A97" s="188" t="s">
        <v>18</v>
      </c>
      <c r="B97" s="188" t="s">
        <v>1</v>
      </c>
      <c r="C97" s="188" t="s">
        <v>35</v>
      </c>
      <c r="D97" s="190" t="s">
        <v>3</v>
      </c>
      <c r="E97" s="190" t="s">
        <v>765</v>
      </c>
      <c r="F97" s="203"/>
      <c r="G97" s="190" t="s">
        <v>799</v>
      </c>
      <c r="H97" s="192" t="s">
        <v>414</v>
      </c>
      <c r="I97" s="194">
        <v>765</v>
      </c>
      <c r="J97" s="194">
        <v>836</v>
      </c>
      <c r="K97" s="193">
        <v>836</v>
      </c>
      <c r="L97" s="193">
        <v>880</v>
      </c>
      <c r="M97" s="194">
        <v>880</v>
      </c>
      <c r="N97" s="284" t="s">
        <v>1</v>
      </c>
      <c r="O97" s="285" t="s">
        <v>1</v>
      </c>
      <c r="P97" s="285" t="s">
        <v>1</v>
      </c>
      <c r="Q97" s="285" t="s">
        <v>1</v>
      </c>
      <c r="R97" s="285" t="s">
        <v>1</v>
      </c>
      <c r="S97" s="286" t="s">
        <v>1</v>
      </c>
      <c r="T97" s="285" t="s">
        <v>1</v>
      </c>
      <c r="U97" s="285" t="s">
        <v>1</v>
      </c>
      <c r="V97" s="285" t="s">
        <v>1</v>
      </c>
      <c r="W97" s="285" t="s">
        <v>1</v>
      </c>
      <c r="X97" s="286" t="s">
        <v>1</v>
      </c>
      <c r="Y97" s="285" t="s">
        <v>1</v>
      </c>
      <c r="Z97" s="285" t="s">
        <v>1</v>
      </c>
      <c r="AA97" s="285" t="s">
        <v>1</v>
      </c>
      <c r="AB97" s="285" t="s">
        <v>1</v>
      </c>
      <c r="AC97" s="286" t="s">
        <v>1</v>
      </c>
      <c r="AD97" s="285" t="s">
        <v>1</v>
      </c>
      <c r="AE97" s="285" t="s">
        <v>1</v>
      </c>
      <c r="AF97" s="285" t="s">
        <v>1</v>
      </c>
      <c r="AG97" s="285" t="s">
        <v>1</v>
      </c>
      <c r="AH97" s="286" t="s">
        <v>1</v>
      </c>
      <c r="AI97" s="295" t="s">
        <v>1</v>
      </c>
      <c r="AJ97" s="295" t="s">
        <v>1</v>
      </c>
      <c r="AK97" s="295" t="s">
        <v>1</v>
      </c>
      <c r="AL97" s="286">
        <v>176</v>
      </c>
      <c r="AM97" s="288" t="s">
        <v>1</v>
      </c>
      <c r="AN97" s="287" t="s">
        <v>1</v>
      </c>
      <c r="AO97" s="287" t="s">
        <v>1</v>
      </c>
      <c r="AP97" s="286" t="s">
        <v>1</v>
      </c>
      <c r="AQ97" s="285" t="s">
        <v>1</v>
      </c>
      <c r="AR97" s="289" t="s">
        <v>1</v>
      </c>
      <c r="AS97" s="289" t="s">
        <v>1</v>
      </c>
      <c r="AT97" s="290" t="s">
        <v>1</v>
      </c>
      <c r="AU97" s="287" t="s">
        <v>1</v>
      </c>
      <c r="AV97" s="287" t="s">
        <v>1</v>
      </c>
      <c r="AW97" s="291" t="s">
        <v>1</v>
      </c>
    </row>
    <row r="98" spans="1:49" ht="30.15" customHeight="1" x14ac:dyDescent="0.25">
      <c r="A98" s="188" t="s">
        <v>18</v>
      </c>
      <c r="B98" s="188" t="s">
        <v>1</v>
      </c>
      <c r="C98" s="188" t="s">
        <v>35</v>
      </c>
      <c r="D98" s="190" t="s">
        <v>3</v>
      </c>
      <c r="E98" s="190" t="s">
        <v>766</v>
      </c>
      <c r="F98" s="203"/>
      <c r="G98" s="190" t="s">
        <v>800</v>
      </c>
      <c r="H98" s="192" t="s">
        <v>414</v>
      </c>
      <c r="I98" s="194">
        <v>661</v>
      </c>
      <c r="J98" s="194">
        <v>722</v>
      </c>
      <c r="K98" s="193">
        <v>722</v>
      </c>
      <c r="L98" s="193">
        <v>760</v>
      </c>
      <c r="M98" s="194">
        <v>760</v>
      </c>
      <c r="N98" s="284" t="s">
        <v>1</v>
      </c>
      <c r="O98" s="285" t="s">
        <v>1</v>
      </c>
      <c r="P98" s="285" t="s">
        <v>1</v>
      </c>
      <c r="Q98" s="285" t="s">
        <v>1</v>
      </c>
      <c r="R98" s="285" t="s">
        <v>1</v>
      </c>
      <c r="S98" s="286" t="s">
        <v>1</v>
      </c>
      <c r="T98" s="285" t="s">
        <v>1</v>
      </c>
      <c r="U98" s="285" t="s">
        <v>1</v>
      </c>
      <c r="V98" s="285" t="s">
        <v>1</v>
      </c>
      <c r="W98" s="285" t="s">
        <v>1</v>
      </c>
      <c r="X98" s="286" t="s">
        <v>1</v>
      </c>
      <c r="Y98" s="285" t="s">
        <v>1</v>
      </c>
      <c r="Z98" s="285" t="s">
        <v>1</v>
      </c>
      <c r="AA98" s="285" t="s">
        <v>1</v>
      </c>
      <c r="AB98" s="285" t="s">
        <v>1</v>
      </c>
      <c r="AC98" s="286" t="s">
        <v>1</v>
      </c>
      <c r="AD98" s="285" t="s">
        <v>1</v>
      </c>
      <c r="AE98" s="285" t="s">
        <v>1</v>
      </c>
      <c r="AF98" s="285" t="s">
        <v>1</v>
      </c>
      <c r="AG98" s="285" t="s">
        <v>1</v>
      </c>
      <c r="AH98" s="286" t="s">
        <v>1</v>
      </c>
      <c r="AI98" s="295" t="s">
        <v>1</v>
      </c>
      <c r="AJ98" s="295" t="s">
        <v>1</v>
      </c>
      <c r="AK98" s="295" t="s">
        <v>1</v>
      </c>
      <c r="AL98" s="286">
        <v>152</v>
      </c>
      <c r="AM98" s="288" t="s">
        <v>1</v>
      </c>
      <c r="AN98" s="287" t="s">
        <v>1</v>
      </c>
      <c r="AO98" s="287" t="s">
        <v>1</v>
      </c>
      <c r="AP98" s="286" t="s">
        <v>1</v>
      </c>
      <c r="AQ98" s="285" t="s">
        <v>1</v>
      </c>
      <c r="AR98" s="289" t="s">
        <v>1</v>
      </c>
      <c r="AS98" s="289" t="s">
        <v>1</v>
      </c>
      <c r="AT98" s="290" t="s">
        <v>1</v>
      </c>
      <c r="AU98" s="287" t="s">
        <v>1</v>
      </c>
      <c r="AV98" s="287" t="s">
        <v>1</v>
      </c>
      <c r="AW98" s="291" t="s">
        <v>1</v>
      </c>
    </row>
    <row r="99" spans="1:49" ht="30.15" customHeight="1" x14ac:dyDescent="0.25">
      <c r="A99" s="188" t="s">
        <v>18</v>
      </c>
      <c r="B99" s="188" t="s">
        <v>1</v>
      </c>
      <c r="C99" s="188" t="s">
        <v>35</v>
      </c>
      <c r="D99" s="190" t="s">
        <v>3</v>
      </c>
      <c r="E99" s="190" t="s">
        <v>767</v>
      </c>
      <c r="F99" s="203"/>
      <c r="G99" s="190" t="s">
        <v>801</v>
      </c>
      <c r="H99" s="192" t="s">
        <v>414</v>
      </c>
      <c r="I99" s="194">
        <v>454</v>
      </c>
      <c r="J99" s="194">
        <v>494</v>
      </c>
      <c r="K99" s="193">
        <v>494</v>
      </c>
      <c r="L99" s="193">
        <v>520</v>
      </c>
      <c r="M99" s="194">
        <v>520</v>
      </c>
      <c r="N99" s="284" t="s">
        <v>1</v>
      </c>
      <c r="O99" s="285" t="s">
        <v>1</v>
      </c>
      <c r="P99" s="285" t="s">
        <v>1</v>
      </c>
      <c r="Q99" s="285" t="s">
        <v>1</v>
      </c>
      <c r="R99" s="285" t="s">
        <v>1</v>
      </c>
      <c r="S99" s="286" t="s">
        <v>1</v>
      </c>
      <c r="T99" s="285" t="s">
        <v>1</v>
      </c>
      <c r="U99" s="285" t="s">
        <v>1</v>
      </c>
      <c r="V99" s="285" t="s">
        <v>1</v>
      </c>
      <c r="W99" s="285" t="s">
        <v>1</v>
      </c>
      <c r="X99" s="286" t="s">
        <v>1</v>
      </c>
      <c r="Y99" s="285" t="s">
        <v>1</v>
      </c>
      <c r="Z99" s="285" t="s">
        <v>1</v>
      </c>
      <c r="AA99" s="285" t="s">
        <v>1</v>
      </c>
      <c r="AB99" s="285" t="s">
        <v>1</v>
      </c>
      <c r="AC99" s="286" t="s">
        <v>1</v>
      </c>
      <c r="AD99" s="285" t="s">
        <v>1</v>
      </c>
      <c r="AE99" s="285" t="s">
        <v>1</v>
      </c>
      <c r="AF99" s="285" t="s">
        <v>1</v>
      </c>
      <c r="AG99" s="285" t="s">
        <v>1</v>
      </c>
      <c r="AH99" s="286" t="s">
        <v>1</v>
      </c>
      <c r="AI99" s="295" t="s">
        <v>1</v>
      </c>
      <c r="AJ99" s="295" t="s">
        <v>1</v>
      </c>
      <c r="AK99" s="295" t="s">
        <v>1</v>
      </c>
      <c r="AL99" s="286">
        <v>104</v>
      </c>
      <c r="AM99" s="288" t="s">
        <v>1</v>
      </c>
      <c r="AN99" s="287" t="s">
        <v>1</v>
      </c>
      <c r="AO99" s="287" t="s">
        <v>1</v>
      </c>
      <c r="AP99" s="286" t="s">
        <v>1</v>
      </c>
      <c r="AQ99" s="285" t="s">
        <v>1</v>
      </c>
      <c r="AR99" s="289" t="s">
        <v>1</v>
      </c>
      <c r="AS99" s="289" t="s">
        <v>1</v>
      </c>
      <c r="AT99" s="290" t="s">
        <v>1</v>
      </c>
      <c r="AU99" s="287" t="s">
        <v>1</v>
      </c>
      <c r="AV99" s="287" t="s">
        <v>1</v>
      </c>
      <c r="AW99" s="291" t="s">
        <v>1</v>
      </c>
    </row>
    <row r="100" spans="1:49" ht="30.15" customHeight="1" x14ac:dyDescent="0.25">
      <c r="A100" s="188" t="s">
        <v>18</v>
      </c>
      <c r="B100" s="188" t="s">
        <v>1</v>
      </c>
      <c r="C100" s="188" t="s">
        <v>35</v>
      </c>
      <c r="D100" s="190" t="s">
        <v>3</v>
      </c>
      <c r="E100" s="190" t="s">
        <v>768</v>
      </c>
      <c r="F100" s="203"/>
      <c r="G100" s="190" t="s">
        <v>802</v>
      </c>
      <c r="H100" s="192" t="s">
        <v>414</v>
      </c>
      <c r="I100" s="194">
        <v>454</v>
      </c>
      <c r="J100" s="194">
        <v>494</v>
      </c>
      <c r="K100" s="193">
        <v>494</v>
      </c>
      <c r="L100" s="193">
        <v>520</v>
      </c>
      <c r="M100" s="194">
        <v>520</v>
      </c>
      <c r="N100" s="284" t="s">
        <v>1</v>
      </c>
      <c r="O100" s="285" t="s">
        <v>1</v>
      </c>
      <c r="P100" s="285" t="s">
        <v>1</v>
      </c>
      <c r="Q100" s="285" t="s">
        <v>1</v>
      </c>
      <c r="R100" s="285" t="s">
        <v>1</v>
      </c>
      <c r="S100" s="286" t="s">
        <v>1</v>
      </c>
      <c r="T100" s="285" t="s">
        <v>1</v>
      </c>
      <c r="U100" s="285" t="s">
        <v>1</v>
      </c>
      <c r="V100" s="285" t="s">
        <v>1</v>
      </c>
      <c r="W100" s="285" t="s">
        <v>1</v>
      </c>
      <c r="X100" s="286" t="s">
        <v>1</v>
      </c>
      <c r="Y100" s="285" t="s">
        <v>1</v>
      </c>
      <c r="Z100" s="285" t="s">
        <v>1</v>
      </c>
      <c r="AA100" s="285" t="s">
        <v>1</v>
      </c>
      <c r="AB100" s="285" t="s">
        <v>1</v>
      </c>
      <c r="AC100" s="286" t="s">
        <v>1</v>
      </c>
      <c r="AD100" s="285" t="s">
        <v>1</v>
      </c>
      <c r="AE100" s="285" t="s">
        <v>1</v>
      </c>
      <c r="AF100" s="285" t="s">
        <v>1</v>
      </c>
      <c r="AG100" s="285" t="s">
        <v>1</v>
      </c>
      <c r="AH100" s="286" t="s">
        <v>1</v>
      </c>
      <c r="AI100" s="295" t="s">
        <v>1</v>
      </c>
      <c r="AJ100" s="295" t="s">
        <v>1</v>
      </c>
      <c r="AK100" s="295" t="s">
        <v>1</v>
      </c>
      <c r="AL100" s="286">
        <v>104</v>
      </c>
      <c r="AM100" s="288" t="s">
        <v>1</v>
      </c>
      <c r="AN100" s="287" t="s">
        <v>1</v>
      </c>
      <c r="AO100" s="287" t="s">
        <v>1</v>
      </c>
      <c r="AP100" s="286" t="s">
        <v>1</v>
      </c>
      <c r="AQ100" s="285" t="s">
        <v>1</v>
      </c>
      <c r="AR100" s="289" t="s">
        <v>1</v>
      </c>
      <c r="AS100" s="289" t="s">
        <v>1</v>
      </c>
      <c r="AT100" s="290" t="s">
        <v>1</v>
      </c>
      <c r="AU100" s="287" t="s">
        <v>1</v>
      </c>
      <c r="AV100" s="287" t="s">
        <v>1</v>
      </c>
      <c r="AW100" s="291" t="s">
        <v>1</v>
      </c>
    </row>
    <row r="101" spans="1:49" ht="30.15" customHeight="1" x14ac:dyDescent="0.25">
      <c r="A101" s="188" t="s">
        <v>18</v>
      </c>
      <c r="B101" s="188" t="s">
        <v>1</v>
      </c>
      <c r="C101" s="188" t="s">
        <v>35</v>
      </c>
      <c r="D101" s="190" t="s">
        <v>3</v>
      </c>
      <c r="E101" s="190" t="s">
        <v>769</v>
      </c>
      <c r="F101" s="203"/>
      <c r="G101" s="190" t="s">
        <v>803</v>
      </c>
      <c r="H101" s="192" t="s">
        <v>414</v>
      </c>
      <c r="I101" s="194">
        <v>490</v>
      </c>
      <c r="J101" s="194">
        <v>532</v>
      </c>
      <c r="K101" s="193">
        <v>532</v>
      </c>
      <c r="L101" s="193">
        <v>560</v>
      </c>
      <c r="M101" s="194">
        <v>560</v>
      </c>
      <c r="N101" s="284" t="s">
        <v>1</v>
      </c>
      <c r="O101" s="285" t="s">
        <v>1</v>
      </c>
      <c r="P101" s="285" t="s">
        <v>1</v>
      </c>
      <c r="Q101" s="285" t="s">
        <v>1</v>
      </c>
      <c r="R101" s="285" t="s">
        <v>1</v>
      </c>
      <c r="S101" s="286" t="s">
        <v>1</v>
      </c>
      <c r="T101" s="285" t="s">
        <v>1</v>
      </c>
      <c r="U101" s="285" t="s">
        <v>1</v>
      </c>
      <c r="V101" s="285" t="s">
        <v>1</v>
      </c>
      <c r="W101" s="285" t="s">
        <v>1</v>
      </c>
      <c r="X101" s="286" t="s">
        <v>1</v>
      </c>
      <c r="Y101" s="285" t="s">
        <v>1</v>
      </c>
      <c r="Z101" s="285" t="s">
        <v>1</v>
      </c>
      <c r="AA101" s="285" t="s">
        <v>1</v>
      </c>
      <c r="AB101" s="285" t="s">
        <v>1</v>
      </c>
      <c r="AC101" s="286" t="s">
        <v>1</v>
      </c>
      <c r="AD101" s="285" t="s">
        <v>1</v>
      </c>
      <c r="AE101" s="285" t="s">
        <v>1</v>
      </c>
      <c r="AF101" s="285" t="s">
        <v>1</v>
      </c>
      <c r="AG101" s="285" t="s">
        <v>1</v>
      </c>
      <c r="AH101" s="286" t="s">
        <v>1</v>
      </c>
      <c r="AI101" s="295" t="s">
        <v>1</v>
      </c>
      <c r="AJ101" s="295" t="s">
        <v>1</v>
      </c>
      <c r="AK101" s="295" t="s">
        <v>1</v>
      </c>
      <c r="AL101" s="286">
        <v>112</v>
      </c>
      <c r="AM101" s="288" t="s">
        <v>1</v>
      </c>
      <c r="AN101" s="287" t="s">
        <v>1</v>
      </c>
      <c r="AO101" s="287" t="s">
        <v>1</v>
      </c>
      <c r="AP101" s="286" t="s">
        <v>1</v>
      </c>
      <c r="AQ101" s="285" t="s">
        <v>1</v>
      </c>
      <c r="AR101" s="289" t="s">
        <v>1</v>
      </c>
      <c r="AS101" s="289" t="s">
        <v>1</v>
      </c>
      <c r="AT101" s="290" t="s">
        <v>1</v>
      </c>
      <c r="AU101" s="287" t="s">
        <v>1</v>
      </c>
      <c r="AV101" s="287" t="s">
        <v>1</v>
      </c>
      <c r="AW101" s="291" t="s">
        <v>1</v>
      </c>
    </row>
    <row r="102" spans="1:49" ht="30.15" customHeight="1" x14ac:dyDescent="0.25">
      <c r="A102" s="188" t="s">
        <v>18</v>
      </c>
      <c r="B102" s="188" t="s">
        <v>1</v>
      </c>
      <c r="C102" s="188" t="s">
        <v>35</v>
      </c>
      <c r="D102" s="190" t="s">
        <v>3</v>
      </c>
      <c r="E102" s="190" t="s">
        <v>770</v>
      </c>
      <c r="F102" s="203"/>
      <c r="G102" s="190" t="s">
        <v>804</v>
      </c>
      <c r="H102" s="192" t="s">
        <v>414</v>
      </c>
      <c r="I102" s="194">
        <v>454</v>
      </c>
      <c r="J102" s="194">
        <v>494</v>
      </c>
      <c r="K102" s="193">
        <v>494</v>
      </c>
      <c r="L102" s="193">
        <v>520</v>
      </c>
      <c r="M102" s="194">
        <v>520</v>
      </c>
      <c r="N102" s="284" t="s">
        <v>1</v>
      </c>
      <c r="O102" s="285" t="s">
        <v>1</v>
      </c>
      <c r="P102" s="285" t="s">
        <v>1</v>
      </c>
      <c r="Q102" s="285" t="s">
        <v>1</v>
      </c>
      <c r="R102" s="285" t="s">
        <v>1</v>
      </c>
      <c r="S102" s="286" t="s">
        <v>1</v>
      </c>
      <c r="T102" s="285" t="s">
        <v>1</v>
      </c>
      <c r="U102" s="285" t="s">
        <v>1</v>
      </c>
      <c r="V102" s="285" t="s">
        <v>1</v>
      </c>
      <c r="W102" s="285" t="s">
        <v>1</v>
      </c>
      <c r="X102" s="286" t="s">
        <v>1</v>
      </c>
      <c r="Y102" s="285" t="s">
        <v>1</v>
      </c>
      <c r="Z102" s="285" t="s">
        <v>1</v>
      </c>
      <c r="AA102" s="285" t="s">
        <v>1</v>
      </c>
      <c r="AB102" s="285" t="s">
        <v>1</v>
      </c>
      <c r="AC102" s="286" t="s">
        <v>1</v>
      </c>
      <c r="AD102" s="285" t="s">
        <v>1</v>
      </c>
      <c r="AE102" s="285" t="s">
        <v>1</v>
      </c>
      <c r="AF102" s="285" t="s">
        <v>1</v>
      </c>
      <c r="AG102" s="285" t="s">
        <v>1</v>
      </c>
      <c r="AH102" s="286" t="s">
        <v>1</v>
      </c>
      <c r="AI102" s="295" t="s">
        <v>1</v>
      </c>
      <c r="AJ102" s="295" t="s">
        <v>1</v>
      </c>
      <c r="AK102" s="295" t="s">
        <v>1</v>
      </c>
      <c r="AL102" s="286">
        <v>104</v>
      </c>
      <c r="AM102" s="288" t="s">
        <v>1</v>
      </c>
      <c r="AN102" s="287" t="s">
        <v>1</v>
      </c>
      <c r="AO102" s="287" t="s">
        <v>1</v>
      </c>
      <c r="AP102" s="286" t="s">
        <v>1</v>
      </c>
      <c r="AQ102" s="285" t="s">
        <v>1</v>
      </c>
      <c r="AR102" s="289" t="s">
        <v>1</v>
      </c>
      <c r="AS102" s="289" t="s">
        <v>1</v>
      </c>
      <c r="AT102" s="290" t="s">
        <v>1</v>
      </c>
      <c r="AU102" s="287" t="s">
        <v>1</v>
      </c>
      <c r="AV102" s="287" t="s">
        <v>1</v>
      </c>
      <c r="AW102" s="291" t="s">
        <v>1</v>
      </c>
    </row>
    <row r="103" spans="1:49" ht="30.15" customHeight="1" x14ac:dyDescent="0.25">
      <c r="A103" s="188" t="s">
        <v>18</v>
      </c>
      <c r="B103" s="188" t="s">
        <v>1</v>
      </c>
      <c r="C103" s="188" t="s">
        <v>35</v>
      </c>
      <c r="D103" s="190" t="s">
        <v>3</v>
      </c>
      <c r="E103" s="190" t="s">
        <v>771</v>
      </c>
      <c r="F103" s="203"/>
      <c r="G103" s="190" t="s">
        <v>805</v>
      </c>
      <c r="H103" s="192" t="s">
        <v>414</v>
      </c>
      <c r="I103" s="194">
        <v>490</v>
      </c>
      <c r="J103" s="194">
        <v>532</v>
      </c>
      <c r="K103" s="193">
        <v>532</v>
      </c>
      <c r="L103" s="193">
        <v>560</v>
      </c>
      <c r="M103" s="194">
        <v>560</v>
      </c>
      <c r="N103" s="284" t="s">
        <v>1</v>
      </c>
      <c r="O103" s="285" t="s">
        <v>1</v>
      </c>
      <c r="P103" s="285" t="s">
        <v>1</v>
      </c>
      <c r="Q103" s="285" t="s">
        <v>1</v>
      </c>
      <c r="R103" s="285" t="s">
        <v>1</v>
      </c>
      <c r="S103" s="286" t="s">
        <v>1</v>
      </c>
      <c r="T103" s="285" t="s">
        <v>1</v>
      </c>
      <c r="U103" s="285" t="s">
        <v>1</v>
      </c>
      <c r="V103" s="285" t="s">
        <v>1</v>
      </c>
      <c r="W103" s="285" t="s">
        <v>1</v>
      </c>
      <c r="X103" s="286" t="s">
        <v>1</v>
      </c>
      <c r="Y103" s="285" t="s">
        <v>1</v>
      </c>
      <c r="Z103" s="285" t="s">
        <v>1</v>
      </c>
      <c r="AA103" s="285" t="s">
        <v>1</v>
      </c>
      <c r="AB103" s="285" t="s">
        <v>1</v>
      </c>
      <c r="AC103" s="286" t="s">
        <v>1</v>
      </c>
      <c r="AD103" s="285" t="s">
        <v>1</v>
      </c>
      <c r="AE103" s="285" t="s">
        <v>1</v>
      </c>
      <c r="AF103" s="285" t="s">
        <v>1</v>
      </c>
      <c r="AG103" s="285" t="s">
        <v>1</v>
      </c>
      <c r="AH103" s="286" t="s">
        <v>1</v>
      </c>
      <c r="AI103" s="295" t="s">
        <v>1</v>
      </c>
      <c r="AJ103" s="295" t="s">
        <v>1</v>
      </c>
      <c r="AK103" s="295" t="s">
        <v>1</v>
      </c>
      <c r="AL103" s="286">
        <v>112</v>
      </c>
      <c r="AM103" s="288" t="s">
        <v>1</v>
      </c>
      <c r="AN103" s="287" t="s">
        <v>1</v>
      </c>
      <c r="AO103" s="287" t="s">
        <v>1</v>
      </c>
      <c r="AP103" s="286" t="s">
        <v>1</v>
      </c>
      <c r="AQ103" s="285" t="s">
        <v>1</v>
      </c>
      <c r="AR103" s="289" t="s">
        <v>1</v>
      </c>
      <c r="AS103" s="289" t="s">
        <v>1</v>
      </c>
      <c r="AT103" s="290" t="s">
        <v>1</v>
      </c>
      <c r="AU103" s="287" t="s">
        <v>1</v>
      </c>
      <c r="AV103" s="287" t="s">
        <v>1</v>
      </c>
      <c r="AW103" s="291" t="s">
        <v>1</v>
      </c>
    </row>
    <row r="104" spans="1:49" ht="30.15" customHeight="1" x14ac:dyDescent="0.25">
      <c r="A104" s="188" t="s">
        <v>18</v>
      </c>
      <c r="B104" s="188" t="s">
        <v>1</v>
      </c>
      <c r="C104" s="188" t="s">
        <v>35</v>
      </c>
      <c r="D104" s="190" t="s">
        <v>3</v>
      </c>
      <c r="E104" s="190" t="s">
        <v>772</v>
      </c>
      <c r="F104" s="203"/>
      <c r="G104" s="190" t="s">
        <v>806</v>
      </c>
      <c r="H104" s="192" t="s">
        <v>414</v>
      </c>
      <c r="I104" s="194">
        <v>490</v>
      </c>
      <c r="J104" s="194">
        <v>532</v>
      </c>
      <c r="K104" s="193">
        <v>532</v>
      </c>
      <c r="L104" s="193">
        <v>560</v>
      </c>
      <c r="M104" s="194">
        <v>560</v>
      </c>
      <c r="N104" s="284" t="s">
        <v>1</v>
      </c>
      <c r="O104" s="285" t="s">
        <v>1</v>
      </c>
      <c r="P104" s="285" t="s">
        <v>1</v>
      </c>
      <c r="Q104" s="285" t="s">
        <v>1</v>
      </c>
      <c r="R104" s="285" t="s">
        <v>1</v>
      </c>
      <c r="S104" s="286" t="s">
        <v>1</v>
      </c>
      <c r="T104" s="285" t="s">
        <v>1</v>
      </c>
      <c r="U104" s="285" t="s">
        <v>1</v>
      </c>
      <c r="V104" s="285" t="s">
        <v>1</v>
      </c>
      <c r="W104" s="285" t="s">
        <v>1</v>
      </c>
      <c r="X104" s="286" t="s">
        <v>1</v>
      </c>
      <c r="Y104" s="285" t="s">
        <v>1</v>
      </c>
      <c r="Z104" s="285" t="s">
        <v>1</v>
      </c>
      <c r="AA104" s="285" t="s">
        <v>1</v>
      </c>
      <c r="AB104" s="285" t="s">
        <v>1</v>
      </c>
      <c r="AC104" s="286" t="s">
        <v>1</v>
      </c>
      <c r="AD104" s="285" t="s">
        <v>1</v>
      </c>
      <c r="AE104" s="285" t="s">
        <v>1</v>
      </c>
      <c r="AF104" s="285" t="s">
        <v>1</v>
      </c>
      <c r="AG104" s="285" t="s">
        <v>1</v>
      </c>
      <c r="AH104" s="286" t="s">
        <v>1</v>
      </c>
      <c r="AI104" s="295" t="s">
        <v>1</v>
      </c>
      <c r="AJ104" s="295" t="s">
        <v>1</v>
      </c>
      <c r="AK104" s="295" t="s">
        <v>1</v>
      </c>
      <c r="AL104" s="286">
        <v>112</v>
      </c>
      <c r="AM104" s="288" t="s">
        <v>1</v>
      </c>
      <c r="AN104" s="287" t="s">
        <v>1</v>
      </c>
      <c r="AO104" s="287" t="s">
        <v>1</v>
      </c>
      <c r="AP104" s="286" t="s">
        <v>1</v>
      </c>
      <c r="AQ104" s="285" t="s">
        <v>1</v>
      </c>
      <c r="AR104" s="289" t="s">
        <v>1</v>
      </c>
      <c r="AS104" s="289" t="s">
        <v>1</v>
      </c>
      <c r="AT104" s="290" t="s">
        <v>1</v>
      </c>
      <c r="AU104" s="287" t="s">
        <v>1</v>
      </c>
      <c r="AV104" s="287" t="s">
        <v>1</v>
      </c>
      <c r="AW104" s="291" t="s">
        <v>1</v>
      </c>
    </row>
    <row r="105" spans="1:49" ht="30.15" customHeight="1" x14ac:dyDescent="0.25">
      <c r="A105" s="188" t="s">
        <v>18</v>
      </c>
      <c r="B105" s="188" t="s">
        <v>1</v>
      </c>
      <c r="C105" s="188" t="s">
        <v>35</v>
      </c>
      <c r="D105" s="190" t="s">
        <v>3</v>
      </c>
      <c r="E105" s="190" t="s">
        <v>773</v>
      </c>
      <c r="F105" s="203"/>
      <c r="G105" s="190" t="s">
        <v>807</v>
      </c>
      <c r="H105" s="192" t="s">
        <v>414</v>
      </c>
      <c r="I105" s="194">
        <v>490</v>
      </c>
      <c r="J105" s="194">
        <v>532</v>
      </c>
      <c r="K105" s="193">
        <v>532</v>
      </c>
      <c r="L105" s="193">
        <v>560</v>
      </c>
      <c r="M105" s="194">
        <v>560</v>
      </c>
      <c r="N105" s="284" t="s">
        <v>1</v>
      </c>
      <c r="O105" s="285" t="s">
        <v>1</v>
      </c>
      <c r="P105" s="285" t="s">
        <v>1</v>
      </c>
      <c r="Q105" s="285" t="s">
        <v>1</v>
      </c>
      <c r="R105" s="285" t="s">
        <v>1</v>
      </c>
      <c r="S105" s="286" t="s">
        <v>1</v>
      </c>
      <c r="T105" s="285" t="s">
        <v>1</v>
      </c>
      <c r="U105" s="285" t="s">
        <v>1</v>
      </c>
      <c r="V105" s="285" t="s">
        <v>1</v>
      </c>
      <c r="W105" s="285" t="s">
        <v>1</v>
      </c>
      <c r="X105" s="286" t="s">
        <v>1</v>
      </c>
      <c r="Y105" s="285" t="s">
        <v>1</v>
      </c>
      <c r="Z105" s="285" t="s">
        <v>1</v>
      </c>
      <c r="AA105" s="285" t="s">
        <v>1</v>
      </c>
      <c r="AB105" s="285" t="s">
        <v>1</v>
      </c>
      <c r="AC105" s="286" t="s">
        <v>1</v>
      </c>
      <c r="AD105" s="285" t="s">
        <v>1</v>
      </c>
      <c r="AE105" s="285" t="s">
        <v>1</v>
      </c>
      <c r="AF105" s="285" t="s">
        <v>1</v>
      </c>
      <c r="AG105" s="285" t="s">
        <v>1</v>
      </c>
      <c r="AH105" s="286" t="s">
        <v>1</v>
      </c>
      <c r="AI105" s="295" t="s">
        <v>1</v>
      </c>
      <c r="AJ105" s="295" t="s">
        <v>1</v>
      </c>
      <c r="AK105" s="295" t="s">
        <v>1</v>
      </c>
      <c r="AL105" s="286">
        <v>112</v>
      </c>
      <c r="AM105" s="288" t="s">
        <v>1</v>
      </c>
      <c r="AN105" s="287" t="s">
        <v>1</v>
      </c>
      <c r="AO105" s="287" t="s">
        <v>1</v>
      </c>
      <c r="AP105" s="286" t="s">
        <v>1</v>
      </c>
      <c r="AQ105" s="285" t="s">
        <v>1</v>
      </c>
      <c r="AR105" s="289" t="s">
        <v>1</v>
      </c>
      <c r="AS105" s="289" t="s">
        <v>1</v>
      </c>
      <c r="AT105" s="290" t="s">
        <v>1</v>
      </c>
      <c r="AU105" s="287" t="s">
        <v>1</v>
      </c>
      <c r="AV105" s="287" t="s">
        <v>1</v>
      </c>
      <c r="AW105" s="291" t="s">
        <v>1</v>
      </c>
    </row>
    <row r="106" spans="1:49" ht="30.15" customHeight="1" x14ac:dyDescent="0.25">
      <c r="A106" s="188" t="s">
        <v>18</v>
      </c>
      <c r="B106" s="188" t="s">
        <v>1</v>
      </c>
      <c r="C106" s="188" t="s">
        <v>35</v>
      </c>
      <c r="D106" s="190" t="s">
        <v>3</v>
      </c>
      <c r="E106" s="190" t="s">
        <v>774</v>
      </c>
      <c r="F106" s="203"/>
      <c r="G106" s="190" t="s">
        <v>808</v>
      </c>
      <c r="H106" s="192" t="s">
        <v>414</v>
      </c>
      <c r="I106" s="194">
        <v>472</v>
      </c>
      <c r="J106" s="194">
        <v>513</v>
      </c>
      <c r="K106" s="193">
        <v>513</v>
      </c>
      <c r="L106" s="193">
        <v>540</v>
      </c>
      <c r="M106" s="194">
        <v>540</v>
      </c>
      <c r="N106" s="284" t="s">
        <v>1</v>
      </c>
      <c r="O106" s="285" t="s">
        <v>1</v>
      </c>
      <c r="P106" s="285" t="s">
        <v>1</v>
      </c>
      <c r="Q106" s="285" t="s">
        <v>1</v>
      </c>
      <c r="R106" s="285" t="s">
        <v>1</v>
      </c>
      <c r="S106" s="286" t="s">
        <v>1</v>
      </c>
      <c r="T106" s="285" t="s">
        <v>1</v>
      </c>
      <c r="U106" s="285" t="s">
        <v>1</v>
      </c>
      <c r="V106" s="285" t="s">
        <v>1</v>
      </c>
      <c r="W106" s="285" t="s">
        <v>1</v>
      </c>
      <c r="X106" s="286" t="s">
        <v>1</v>
      </c>
      <c r="Y106" s="285" t="s">
        <v>1</v>
      </c>
      <c r="Z106" s="285" t="s">
        <v>1</v>
      </c>
      <c r="AA106" s="285" t="s">
        <v>1</v>
      </c>
      <c r="AB106" s="285" t="s">
        <v>1</v>
      </c>
      <c r="AC106" s="286" t="s">
        <v>1</v>
      </c>
      <c r="AD106" s="285" t="s">
        <v>1</v>
      </c>
      <c r="AE106" s="285" t="s">
        <v>1</v>
      </c>
      <c r="AF106" s="285" t="s">
        <v>1</v>
      </c>
      <c r="AG106" s="285" t="s">
        <v>1</v>
      </c>
      <c r="AH106" s="286" t="s">
        <v>1</v>
      </c>
      <c r="AI106" s="295" t="s">
        <v>1</v>
      </c>
      <c r="AJ106" s="295" t="s">
        <v>1</v>
      </c>
      <c r="AK106" s="295" t="s">
        <v>1</v>
      </c>
      <c r="AL106" s="286">
        <v>108</v>
      </c>
      <c r="AM106" s="288" t="s">
        <v>1</v>
      </c>
      <c r="AN106" s="287" t="s">
        <v>1</v>
      </c>
      <c r="AO106" s="287" t="s">
        <v>1</v>
      </c>
      <c r="AP106" s="286" t="s">
        <v>1</v>
      </c>
      <c r="AQ106" s="285" t="s">
        <v>1</v>
      </c>
      <c r="AR106" s="289" t="s">
        <v>1</v>
      </c>
      <c r="AS106" s="289" t="s">
        <v>1</v>
      </c>
      <c r="AT106" s="290" t="s">
        <v>1</v>
      </c>
      <c r="AU106" s="287" t="s">
        <v>1</v>
      </c>
      <c r="AV106" s="287" t="s">
        <v>1</v>
      </c>
      <c r="AW106" s="291" t="s">
        <v>1</v>
      </c>
    </row>
    <row r="107" spans="1:49" ht="30.15" customHeight="1" x14ac:dyDescent="0.25">
      <c r="A107" s="188" t="s">
        <v>18</v>
      </c>
      <c r="B107" s="188" t="s">
        <v>1</v>
      </c>
      <c r="C107" s="188" t="s">
        <v>35</v>
      </c>
      <c r="D107" s="190" t="s">
        <v>3</v>
      </c>
      <c r="E107" s="190" t="s">
        <v>775</v>
      </c>
      <c r="F107" s="203"/>
      <c r="G107" s="190" t="s">
        <v>809</v>
      </c>
      <c r="H107" s="192" t="s">
        <v>414</v>
      </c>
      <c r="I107" s="194">
        <v>454</v>
      </c>
      <c r="J107" s="194">
        <v>494</v>
      </c>
      <c r="K107" s="193">
        <v>494</v>
      </c>
      <c r="L107" s="193">
        <v>520</v>
      </c>
      <c r="M107" s="194">
        <v>520</v>
      </c>
      <c r="N107" s="284" t="s">
        <v>1</v>
      </c>
      <c r="O107" s="285" t="s">
        <v>1</v>
      </c>
      <c r="P107" s="285" t="s">
        <v>1</v>
      </c>
      <c r="Q107" s="285" t="s">
        <v>1</v>
      </c>
      <c r="R107" s="285" t="s">
        <v>1</v>
      </c>
      <c r="S107" s="286" t="s">
        <v>1</v>
      </c>
      <c r="T107" s="285" t="s">
        <v>1</v>
      </c>
      <c r="U107" s="285" t="s">
        <v>1</v>
      </c>
      <c r="V107" s="285" t="s">
        <v>1</v>
      </c>
      <c r="W107" s="285" t="s">
        <v>1</v>
      </c>
      <c r="X107" s="286" t="s">
        <v>1</v>
      </c>
      <c r="Y107" s="285" t="s">
        <v>1</v>
      </c>
      <c r="Z107" s="285" t="s">
        <v>1</v>
      </c>
      <c r="AA107" s="285" t="s">
        <v>1</v>
      </c>
      <c r="AB107" s="285" t="s">
        <v>1</v>
      </c>
      <c r="AC107" s="286" t="s">
        <v>1</v>
      </c>
      <c r="AD107" s="285" t="s">
        <v>1</v>
      </c>
      <c r="AE107" s="285" t="s">
        <v>1</v>
      </c>
      <c r="AF107" s="285" t="s">
        <v>1</v>
      </c>
      <c r="AG107" s="285" t="s">
        <v>1</v>
      </c>
      <c r="AH107" s="286" t="s">
        <v>1</v>
      </c>
      <c r="AI107" s="295" t="s">
        <v>1</v>
      </c>
      <c r="AJ107" s="295" t="s">
        <v>1</v>
      </c>
      <c r="AK107" s="295" t="s">
        <v>1</v>
      </c>
      <c r="AL107" s="286">
        <v>104</v>
      </c>
      <c r="AM107" s="288" t="s">
        <v>1</v>
      </c>
      <c r="AN107" s="287" t="s">
        <v>1</v>
      </c>
      <c r="AO107" s="287" t="s">
        <v>1</v>
      </c>
      <c r="AP107" s="286" t="s">
        <v>1</v>
      </c>
      <c r="AQ107" s="285" t="s">
        <v>1</v>
      </c>
      <c r="AR107" s="289" t="s">
        <v>1</v>
      </c>
      <c r="AS107" s="289" t="s">
        <v>1</v>
      </c>
      <c r="AT107" s="290" t="s">
        <v>1</v>
      </c>
      <c r="AU107" s="287" t="s">
        <v>1</v>
      </c>
      <c r="AV107" s="287" t="s">
        <v>1</v>
      </c>
      <c r="AW107" s="291" t="s">
        <v>1</v>
      </c>
    </row>
    <row r="108" spans="1:49" ht="30.15" customHeight="1" x14ac:dyDescent="0.25">
      <c r="A108" s="188" t="s">
        <v>18</v>
      </c>
      <c r="B108" s="188" t="s">
        <v>1</v>
      </c>
      <c r="C108" s="188" t="s">
        <v>35</v>
      </c>
      <c r="D108" s="190" t="s">
        <v>3</v>
      </c>
      <c r="E108" s="190" t="s">
        <v>776</v>
      </c>
      <c r="F108" s="203"/>
      <c r="G108" s="190" t="s">
        <v>810</v>
      </c>
      <c r="H108" s="192" t="s">
        <v>414</v>
      </c>
      <c r="I108" s="194">
        <v>454</v>
      </c>
      <c r="J108" s="194">
        <v>494</v>
      </c>
      <c r="K108" s="193">
        <v>494</v>
      </c>
      <c r="L108" s="193">
        <v>520</v>
      </c>
      <c r="M108" s="194">
        <v>520</v>
      </c>
      <c r="N108" s="284" t="s">
        <v>1</v>
      </c>
      <c r="O108" s="285" t="s">
        <v>1</v>
      </c>
      <c r="P108" s="285" t="s">
        <v>1</v>
      </c>
      <c r="Q108" s="285" t="s">
        <v>1</v>
      </c>
      <c r="R108" s="285" t="s">
        <v>1</v>
      </c>
      <c r="S108" s="286" t="s">
        <v>1</v>
      </c>
      <c r="T108" s="285" t="s">
        <v>1</v>
      </c>
      <c r="U108" s="285" t="s">
        <v>1</v>
      </c>
      <c r="V108" s="285" t="s">
        <v>1</v>
      </c>
      <c r="W108" s="285" t="s">
        <v>1</v>
      </c>
      <c r="X108" s="286" t="s">
        <v>1</v>
      </c>
      <c r="Y108" s="285" t="s">
        <v>1</v>
      </c>
      <c r="Z108" s="285" t="s">
        <v>1</v>
      </c>
      <c r="AA108" s="285" t="s">
        <v>1</v>
      </c>
      <c r="AB108" s="285" t="s">
        <v>1</v>
      </c>
      <c r="AC108" s="286" t="s">
        <v>1</v>
      </c>
      <c r="AD108" s="285" t="s">
        <v>1</v>
      </c>
      <c r="AE108" s="285" t="s">
        <v>1</v>
      </c>
      <c r="AF108" s="285" t="s">
        <v>1</v>
      </c>
      <c r="AG108" s="285" t="s">
        <v>1</v>
      </c>
      <c r="AH108" s="286" t="s">
        <v>1</v>
      </c>
      <c r="AI108" s="295" t="s">
        <v>1</v>
      </c>
      <c r="AJ108" s="295" t="s">
        <v>1</v>
      </c>
      <c r="AK108" s="295" t="s">
        <v>1</v>
      </c>
      <c r="AL108" s="286">
        <v>104</v>
      </c>
      <c r="AM108" s="288" t="s">
        <v>1</v>
      </c>
      <c r="AN108" s="287" t="s">
        <v>1</v>
      </c>
      <c r="AO108" s="287" t="s">
        <v>1</v>
      </c>
      <c r="AP108" s="286" t="s">
        <v>1</v>
      </c>
      <c r="AQ108" s="285" t="s">
        <v>1</v>
      </c>
      <c r="AR108" s="289" t="s">
        <v>1</v>
      </c>
      <c r="AS108" s="289" t="s">
        <v>1</v>
      </c>
      <c r="AT108" s="290" t="s">
        <v>1</v>
      </c>
      <c r="AU108" s="287" t="s">
        <v>1</v>
      </c>
      <c r="AV108" s="287" t="s">
        <v>1</v>
      </c>
      <c r="AW108" s="291" t="s">
        <v>1</v>
      </c>
    </row>
    <row r="109" spans="1:49" ht="30.15" customHeight="1" x14ac:dyDescent="0.25">
      <c r="A109" s="188" t="s">
        <v>18</v>
      </c>
      <c r="B109" s="189" t="s">
        <v>1</v>
      </c>
      <c r="C109" s="188" t="s">
        <v>35</v>
      </c>
      <c r="D109" s="190" t="s">
        <v>3</v>
      </c>
      <c r="E109" s="190" t="s">
        <v>386</v>
      </c>
      <c r="F109" s="203"/>
      <c r="G109" s="190" t="s">
        <v>407</v>
      </c>
      <c r="H109" s="192" t="s">
        <v>409</v>
      </c>
      <c r="I109" s="193">
        <v>518</v>
      </c>
      <c r="J109" s="193">
        <v>531</v>
      </c>
      <c r="K109" s="193">
        <v>531</v>
      </c>
      <c r="L109" s="193">
        <v>559</v>
      </c>
      <c r="M109" s="194">
        <v>559</v>
      </c>
      <c r="N109" s="284" t="s">
        <v>1</v>
      </c>
      <c r="O109" s="285" t="s">
        <v>1</v>
      </c>
      <c r="P109" s="285" t="s">
        <v>1</v>
      </c>
      <c r="Q109" s="285" t="s">
        <v>1</v>
      </c>
      <c r="R109" s="285" t="s">
        <v>1</v>
      </c>
      <c r="S109" s="286" t="s">
        <v>1</v>
      </c>
      <c r="T109" s="285" t="s">
        <v>1</v>
      </c>
      <c r="U109" s="285" t="s">
        <v>1</v>
      </c>
      <c r="V109" s="285" t="s">
        <v>1</v>
      </c>
      <c r="W109" s="285" t="s">
        <v>1</v>
      </c>
      <c r="X109" s="286" t="s">
        <v>1</v>
      </c>
      <c r="Y109" s="285" t="s">
        <v>1</v>
      </c>
      <c r="Z109" s="285" t="s">
        <v>1</v>
      </c>
      <c r="AA109" s="285" t="s">
        <v>1</v>
      </c>
      <c r="AB109" s="285" t="s">
        <v>1</v>
      </c>
      <c r="AC109" s="286" t="s">
        <v>1</v>
      </c>
      <c r="AD109" s="285" t="s">
        <v>1</v>
      </c>
      <c r="AE109" s="285" t="s">
        <v>1</v>
      </c>
      <c r="AF109" s="285" t="s">
        <v>1</v>
      </c>
      <c r="AG109" s="285" t="s">
        <v>1</v>
      </c>
      <c r="AH109" s="286" t="s">
        <v>1</v>
      </c>
      <c r="AI109" s="295" t="s">
        <v>1</v>
      </c>
      <c r="AJ109" s="295" t="s">
        <v>1</v>
      </c>
      <c r="AK109" s="295" t="s">
        <v>1</v>
      </c>
      <c r="AL109" s="286">
        <v>111.8</v>
      </c>
      <c r="AM109" s="288" t="s">
        <v>1</v>
      </c>
      <c r="AN109" s="287" t="s">
        <v>1</v>
      </c>
      <c r="AO109" s="287" t="s">
        <v>1</v>
      </c>
      <c r="AP109" s="286" t="s">
        <v>1</v>
      </c>
      <c r="AQ109" s="285" t="s">
        <v>1</v>
      </c>
      <c r="AR109" s="289" t="s">
        <v>1</v>
      </c>
      <c r="AS109" s="289" t="s">
        <v>1</v>
      </c>
      <c r="AT109" s="290" t="s">
        <v>1</v>
      </c>
      <c r="AU109" s="287" t="s">
        <v>1</v>
      </c>
      <c r="AV109" s="287" t="s">
        <v>1</v>
      </c>
      <c r="AW109" s="291" t="s">
        <v>1</v>
      </c>
    </row>
    <row r="110" spans="1:49" ht="30.15" customHeight="1" x14ac:dyDescent="0.25">
      <c r="A110" s="188" t="s">
        <v>18</v>
      </c>
      <c r="B110" s="189" t="s">
        <v>1</v>
      </c>
      <c r="C110" s="188" t="s">
        <v>35</v>
      </c>
      <c r="D110" s="190" t="s">
        <v>3</v>
      </c>
      <c r="E110" s="190" t="s">
        <v>387</v>
      </c>
      <c r="F110" s="203"/>
      <c r="G110" s="190" t="s">
        <v>408</v>
      </c>
      <c r="H110" s="192" t="s">
        <v>409</v>
      </c>
      <c r="I110" s="193">
        <v>629</v>
      </c>
      <c r="J110" s="193">
        <v>645</v>
      </c>
      <c r="K110" s="193">
        <v>645</v>
      </c>
      <c r="L110" s="193">
        <v>679</v>
      </c>
      <c r="M110" s="194">
        <v>679</v>
      </c>
      <c r="N110" s="284" t="s">
        <v>1</v>
      </c>
      <c r="O110" s="285" t="s">
        <v>1</v>
      </c>
      <c r="P110" s="285" t="s">
        <v>1</v>
      </c>
      <c r="Q110" s="285" t="s">
        <v>1</v>
      </c>
      <c r="R110" s="285" t="s">
        <v>1</v>
      </c>
      <c r="S110" s="286" t="s">
        <v>1</v>
      </c>
      <c r="T110" s="285" t="s">
        <v>1</v>
      </c>
      <c r="U110" s="285" t="s">
        <v>1</v>
      </c>
      <c r="V110" s="285" t="s">
        <v>1</v>
      </c>
      <c r="W110" s="285" t="s">
        <v>1</v>
      </c>
      <c r="X110" s="286" t="s">
        <v>1</v>
      </c>
      <c r="Y110" s="285" t="s">
        <v>1</v>
      </c>
      <c r="Z110" s="285" t="s">
        <v>1</v>
      </c>
      <c r="AA110" s="285" t="s">
        <v>1</v>
      </c>
      <c r="AB110" s="285" t="s">
        <v>1</v>
      </c>
      <c r="AC110" s="286" t="s">
        <v>1</v>
      </c>
      <c r="AD110" s="285" t="s">
        <v>1</v>
      </c>
      <c r="AE110" s="285" t="s">
        <v>1</v>
      </c>
      <c r="AF110" s="285" t="s">
        <v>1</v>
      </c>
      <c r="AG110" s="285" t="s">
        <v>1</v>
      </c>
      <c r="AH110" s="286" t="s">
        <v>1</v>
      </c>
      <c r="AI110" s="295" t="s">
        <v>1</v>
      </c>
      <c r="AJ110" s="295" t="s">
        <v>1</v>
      </c>
      <c r="AK110" s="295" t="s">
        <v>1</v>
      </c>
      <c r="AL110" s="286">
        <v>135.80000000000001</v>
      </c>
      <c r="AM110" s="288" t="s">
        <v>1</v>
      </c>
      <c r="AN110" s="287" t="s">
        <v>1</v>
      </c>
      <c r="AO110" s="287" t="s">
        <v>1</v>
      </c>
      <c r="AP110" s="286" t="s">
        <v>1</v>
      </c>
      <c r="AQ110" s="285" t="s">
        <v>1</v>
      </c>
      <c r="AR110" s="289" t="s">
        <v>1</v>
      </c>
      <c r="AS110" s="289" t="s">
        <v>1</v>
      </c>
      <c r="AT110" s="290" t="s">
        <v>1</v>
      </c>
      <c r="AU110" s="287" t="s">
        <v>1</v>
      </c>
      <c r="AV110" s="287" t="s">
        <v>1</v>
      </c>
      <c r="AW110" s="291" t="s">
        <v>1</v>
      </c>
    </row>
    <row r="111" spans="1:49" ht="30.15" customHeight="1" x14ac:dyDescent="0.25">
      <c r="A111" s="188" t="s">
        <v>18</v>
      </c>
      <c r="B111" s="189" t="s">
        <v>1</v>
      </c>
      <c r="C111" s="188" t="s">
        <v>35</v>
      </c>
      <c r="D111" s="190" t="s">
        <v>3</v>
      </c>
      <c r="E111" s="190" t="s">
        <v>709</v>
      </c>
      <c r="F111" s="203"/>
      <c r="G111" s="190" t="s">
        <v>707</v>
      </c>
      <c r="H111" s="192" t="s">
        <v>409</v>
      </c>
      <c r="I111" s="193">
        <v>555</v>
      </c>
      <c r="J111" s="193">
        <v>569</v>
      </c>
      <c r="K111" s="193">
        <v>569</v>
      </c>
      <c r="L111" s="193">
        <v>599</v>
      </c>
      <c r="M111" s="194">
        <v>599</v>
      </c>
      <c r="N111" s="284" t="s">
        <v>1</v>
      </c>
      <c r="O111" s="285" t="s">
        <v>1</v>
      </c>
      <c r="P111" s="285" t="s">
        <v>1</v>
      </c>
      <c r="Q111" s="285" t="s">
        <v>1</v>
      </c>
      <c r="R111" s="285" t="s">
        <v>1</v>
      </c>
      <c r="S111" s="286" t="s">
        <v>1</v>
      </c>
      <c r="T111" s="285" t="s">
        <v>1</v>
      </c>
      <c r="U111" s="285" t="s">
        <v>1</v>
      </c>
      <c r="V111" s="285" t="s">
        <v>1</v>
      </c>
      <c r="W111" s="285" t="s">
        <v>1</v>
      </c>
      <c r="X111" s="286" t="s">
        <v>1</v>
      </c>
      <c r="Y111" s="285" t="s">
        <v>1</v>
      </c>
      <c r="Z111" s="285" t="s">
        <v>1</v>
      </c>
      <c r="AA111" s="285" t="s">
        <v>1</v>
      </c>
      <c r="AB111" s="285" t="s">
        <v>1</v>
      </c>
      <c r="AC111" s="286" t="s">
        <v>1</v>
      </c>
      <c r="AD111" s="285" t="s">
        <v>1</v>
      </c>
      <c r="AE111" s="285" t="s">
        <v>1</v>
      </c>
      <c r="AF111" s="285" t="s">
        <v>1</v>
      </c>
      <c r="AG111" s="285" t="s">
        <v>1</v>
      </c>
      <c r="AH111" s="286" t="s">
        <v>1</v>
      </c>
      <c r="AI111" s="295" t="s">
        <v>1</v>
      </c>
      <c r="AJ111" s="295" t="s">
        <v>1</v>
      </c>
      <c r="AK111" s="295" t="s">
        <v>1</v>
      </c>
      <c r="AL111" s="286">
        <v>119.8</v>
      </c>
      <c r="AM111" s="288" t="s">
        <v>1</v>
      </c>
      <c r="AN111" s="288" t="s">
        <v>1</v>
      </c>
      <c r="AO111" s="288" t="s">
        <v>1</v>
      </c>
      <c r="AP111" s="286" t="s">
        <v>1</v>
      </c>
      <c r="AQ111" s="285" t="s">
        <v>1</v>
      </c>
      <c r="AR111" s="289" t="s">
        <v>1</v>
      </c>
      <c r="AS111" s="289" t="s">
        <v>1</v>
      </c>
      <c r="AT111" s="290" t="s">
        <v>1</v>
      </c>
      <c r="AU111" s="287" t="s">
        <v>1</v>
      </c>
      <c r="AV111" s="287" t="s">
        <v>1</v>
      </c>
      <c r="AW111" s="291" t="s">
        <v>1</v>
      </c>
    </row>
    <row r="112" spans="1:49" ht="30.15" customHeight="1" x14ac:dyDescent="0.25">
      <c r="A112" s="188" t="s">
        <v>18</v>
      </c>
      <c r="B112" s="189" t="s">
        <v>1</v>
      </c>
      <c r="C112" s="188" t="s">
        <v>35</v>
      </c>
      <c r="D112" s="190" t="s">
        <v>3</v>
      </c>
      <c r="E112" s="190" t="s">
        <v>710</v>
      </c>
      <c r="F112" s="203"/>
      <c r="G112" s="190" t="s">
        <v>708</v>
      </c>
      <c r="H112" s="192" t="s">
        <v>409</v>
      </c>
      <c r="I112" s="193">
        <v>666</v>
      </c>
      <c r="J112" s="193">
        <v>683</v>
      </c>
      <c r="K112" s="193">
        <v>683</v>
      </c>
      <c r="L112" s="193">
        <v>719</v>
      </c>
      <c r="M112" s="194">
        <v>719</v>
      </c>
      <c r="N112" s="284" t="s">
        <v>1</v>
      </c>
      <c r="O112" s="285" t="s">
        <v>1</v>
      </c>
      <c r="P112" s="285" t="s">
        <v>1</v>
      </c>
      <c r="Q112" s="285" t="s">
        <v>1</v>
      </c>
      <c r="R112" s="285" t="s">
        <v>1</v>
      </c>
      <c r="S112" s="286" t="s">
        <v>1</v>
      </c>
      <c r="T112" s="285" t="s">
        <v>1</v>
      </c>
      <c r="U112" s="285" t="s">
        <v>1</v>
      </c>
      <c r="V112" s="285" t="s">
        <v>1</v>
      </c>
      <c r="W112" s="285" t="s">
        <v>1</v>
      </c>
      <c r="X112" s="286" t="s">
        <v>1</v>
      </c>
      <c r="Y112" s="285" t="s">
        <v>1</v>
      </c>
      <c r="Z112" s="285" t="s">
        <v>1</v>
      </c>
      <c r="AA112" s="285" t="s">
        <v>1</v>
      </c>
      <c r="AB112" s="285" t="s">
        <v>1</v>
      </c>
      <c r="AC112" s="286" t="s">
        <v>1</v>
      </c>
      <c r="AD112" s="285" t="s">
        <v>1</v>
      </c>
      <c r="AE112" s="285" t="s">
        <v>1</v>
      </c>
      <c r="AF112" s="285" t="s">
        <v>1</v>
      </c>
      <c r="AG112" s="285" t="s">
        <v>1</v>
      </c>
      <c r="AH112" s="286" t="s">
        <v>1</v>
      </c>
      <c r="AI112" s="295" t="s">
        <v>1</v>
      </c>
      <c r="AJ112" s="295" t="s">
        <v>1</v>
      </c>
      <c r="AK112" s="295" t="s">
        <v>1</v>
      </c>
      <c r="AL112" s="286">
        <v>143.80000000000001</v>
      </c>
      <c r="AM112" s="288" t="s">
        <v>1</v>
      </c>
      <c r="AN112" s="288" t="s">
        <v>1</v>
      </c>
      <c r="AO112" s="288" t="s">
        <v>1</v>
      </c>
      <c r="AP112" s="286" t="s">
        <v>1</v>
      </c>
      <c r="AQ112" s="285" t="s">
        <v>1</v>
      </c>
      <c r="AR112" s="289" t="s">
        <v>1</v>
      </c>
      <c r="AS112" s="289" t="s">
        <v>1</v>
      </c>
      <c r="AT112" s="290" t="s">
        <v>1</v>
      </c>
      <c r="AU112" s="287" t="s">
        <v>1</v>
      </c>
      <c r="AV112" s="287" t="s">
        <v>1</v>
      </c>
      <c r="AW112" s="291" t="s">
        <v>1</v>
      </c>
    </row>
    <row r="113" spans="1:49" ht="30.15" customHeight="1" x14ac:dyDescent="0.25">
      <c r="A113" s="188" t="s">
        <v>18</v>
      </c>
      <c r="B113" s="189" t="s">
        <v>1</v>
      </c>
      <c r="C113" s="188" t="s">
        <v>35</v>
      </c>
      <c r="D113" s="190" t="s">
        <v>3</v>
      </c>
      <c r="E113" s="190" t="s">
        <v>938</v>
      </c>
      <c r="F113" s="203"/>
      <c r="G113" s="190" t="s">
        <v>934</v>
      </c>
      <c r="H113" s="192" t="s">
        <v>409</v>
      </c>
      <c r="I113" s="193">
        <v>555</v>
      </c>
      <c r="J113" s="193">
        <v>570</v>
      </c>
      <c r="K113" s="193">
        <v>570</v>
      </c>
      <c r="L113" s="193">
        <v>600</v>
      </c>
      <c r="M113" s="194">
        <v>600</v>
      </c>
      <c r="N113" s="284" t="s">
        <v>1</v>
      </c>
      <c r="O113" s="285" t="s">
        <v>1</v>
      </c>
      <c r="P113" s="285" t="s">
        <v>1</v>
      </c>
      <c r="Q113" s="285" t="s">
        <v>1</v>
      </c>
      <c r="R113" s="285" t="s">
        <v>1</v>
      </c>
      <c r="S113" s="286" t="s">
        <v>1</v>
      </c>
      <c r="T113" s="285" t="s">
        <v>1</v>
      </c>
      <c r="U113" s="285" t="s">
        <v>1</v>
      </c>
      <c r="V113" s="285" t="s">
        <v>1</v>
      </c>
      <c r="W113" s="285" t="s">
        <v>1</v>
      </c>
      <c r="X113" s="286" t="s">
        <v>1</v>
      </c>
      <c r="Y113" s="285" t="s">
        <v>1</v>
      </c>
      <c r="Z113" s="285" t="s">
        <v>1</v>
      </c>
      <c r="AA113" s="285" t="s">
        <v>1</v>
      </c>
      <c r="AB113" s="285" t="s">
        <v>1</v>
      </c>
      <c r="AC113" s="286" t="s">
        <v>1</v>
      </c>
      <c r="AD113" s="285" t="s">
        <v>1</v>
      </c>
      <c r="AE113" s="285" t="s">
        <v>1</v>
      </c>
      <c r="AF113" s="285" t="s">
        <v>1</v>
      </c>
      <c r="AG113" s="285" t="s">
        <v>1</v>
      </c>
      <c r="AH113" s="286" t="s">
        <v>1</v>
      </c>
      <c r="AI113" s="295" t="s">
        <v>1</v>
      </c>
      <c r="AJ113" s="295" t="s">
        <v>1</v>
      </c>
      <c r="AK113" s="295" t="s">
        <v>1</v>
      </c>
      <c r="AL113" s="286">
        <v>120</v>
      </c>
      <c r="AM113" s="288" t="s">
        <v>1</v>
      </c>
      <c r="AN113" s="288" t="s">
        <v>1</v>
      </c>
      <c r="AO113" s="288" t="s">
        <v>1</v>
      </c>
      <c r="AP113" s="286" t="s">
        <v>1</v>
      </c>
      <c r="AQ113" s="285" t="s">
        <v>1</v>
      </c>
      <c r="AR113" s="289" t="s">
        <v>1</v>
      </c>
      <c r="AS113" s="289" t="s">
        <v>1</v>
      </c>
      <c r="AT113" s="290" t="s">
        <v>1</v>
      </c>
      <c r="AU113" s="287" t="s">
        <v>1</v>
      </c>
      <c r="AV113" s="287" t="s">
        <v>1</v>
      </c>
      <c r="AW113" s="291" t="s">
        <v>1</v>
      </c>
    </row>
    <row r="114" spans="1:49" ht="30.15" customHeight="1" x14ac:dyDescent="0.25">
      <c r="A114" s="188" t="s">
        <v>18</v>
      </c>
      <c r="B114" s="189" t="s">
        <v>1</v>
      </c>
      <c r="C114" s="188" t="s">
        <v>35</v>
      </c>
      <c r="D114" s="190" t="s">
        <v>3</v>
      </c>
      <c r="E114" s="190" t="s">
        <v>952</v>
      </c>
      <c r="F114" s="203"/>
      <c r="G114" s="190" t="s">
        <v>934</v>
      </c>
      <c r="H114" s="192" t="s">
        <v>907</v>
      </c>
      <c r="I114" s="193">
        <v>555</v>
      </c>
      <c r="J114" s="193">
        <v>570</v>
      </c>
      <c r="K114" s="193">
        <v>570</v>
      </c>
      <c r="L114" s="193">
        <v>600</v>
      </c>
      <c r="M114" s="194">
        <v>600</v>
      </c>
      <c r="N114" s="284" t="s">
        <v>1</v>
      </c>
      <c r="O114" s="285" t="s">
        <v>1</v>
      </c>
      <c r="P114" s="285" t="s">
        <v>1</v>
      </c>
      <c r="Q114" s="285" t="s">
        <v>1</v>
      </c>
      <c r="R114" s="285" t="s">
        <v>1</v>
      </c>
      <c r="S114" s="286" t="s">
        <v>1</v>
      </c>
      <c r="T114" s="285" t="s">
        <v>1</v>
      </c>
      <c r="U114" s="285" t="s">
        <v>1</v>
      </c>
      <c r="V114" s="285" t="s">
        <v>1</v>
      </c>
      <c r="W114" s="285" t="s">
        <v>1</v>
      </c>
      <c r="X114" s="286" t="s">
        <v>1</v>
      </c>
      <c r="Y114" s="285" t="s">
        <v>1</v>
      </c>
      <c r="Z114" s="285" t="s">
        <v>1</v>
      </c>
      <c r="AA114" s="285" t="s">
        <v>1</v>
      </c>
      <c r="AB114" s="285" t="s">
        <v>1</v>
      </c>
      <c r="AC114" s="286" t="s">
        <v>1</v>
      </c>
      <c r="AD114" s="285" t="s">
        <v>1</v>
      </c>
      <c r="AE114" s="285" t="s">
        <v>1</v>
      </c>
      <c r="AF114" s="285" t="s">
        <v>1</v>
      </c>
      <c r="AG114" s="285" t="s">
        <v>1</v>
      </c>
      <c r="AH114" s="286" t="s">
        <v>1</v>
      </c>
      <c r="AI114" s="295" t="s">
        <v>1</v>
      </c>
      <c r="AJ114" s="295" t="s">
        <v>1</v>
      </c>
      <c r="AK114" s="295" t="s">
        <v>1</v>
      </c>
      <c r="AL114" s="286">
        <v>120</v>
      </c>
      <c r="AM114" s="288" t="s">
        <v>1</v>
      </c>
      <c r="AN114" s="288" t="s">
        <v>1</v>
      </c>
      <c r="AO114" s="288" t="s">
        <v>1</v>
      </c>
      <c r="AP114" s="286" t="s">
        <v>1</v>
      </c>
      <c r="AQ114" s="285" t="s">
        <v>1</v>
      </c>
      <c r="AR114" s="289" t="s">
        <v>1</v>
      </c>
      <c r="AS114" s="289" t="s">
        <v>1</v>
      </c>
      <c r="AT114" s="290" t="s">
        <v>1</v>
      </c>
      <c r="AU114" s="287" t="s">
        <v>1</v>
      </c>
      <c r="AV114" s="287" t="s">
        <v>1</v>
      </c>
      <c r="AW114" s="291" t="s">
        <v>1</v>
      </c>
    </row>
    <row r="115" spans="1:49" ht="30.15" customHeight="1" x14ac:dyDescent="0.25">
      <c r="A115" s="188" t="s">
        <v>18</v>
      </c>
      <c r="B115" s="189" t="s">
        <v>1</v>
      </c>
      <c r="C115" s="188" t="s">
        <v>35</v>
      </c>
      <c r="D115" s="190" t="s">
        <v>3</v>
      </c>
      <c r="E115" s="190" t="s">
        <v>1017</v>
      </c>
      <c r="F115" s="203"/>
      <c r="G115" s="190" t="s">
        <v>934</v>
      </c>
      <c r="H115" s="192" t="s">
        <v>414</v>
      </c>
      <c r="I115" s="193">
        <v>555</v>
      </c>
      <c r="J115" s="193">
        <v>570</v>
      </c>
      <c r="K115" s="193">
        <v>570</v>
      </c>
      <c r="L115" s="193">
        <v>600</v>
      </c>
      <c r="M115" s="194">
        <v>600</v>
      </c>
      <c r="N115" s="284" t="s">
        <v>1</v>
      </c>
      <c r="O115" s="285" t="s">
        <v>1</v>
      </c>
      <c r="P115" s="285" t="s">
        <v>1</v>
      </c>
      <c r="Q115" s="285" t="s">
        <v>1</v>
      </c>
      <c r="R115" s="285" t="s">
        <v>1</v>
      </c>
      <c r="S115" s="286" t="s">
        <v>1</v>
      </c>
      <c r="T115" s="285" t="s">
        <v>1</v>
      </c>
      <c r="U115" s="285" t="s">
        <v>1</v>
      </c>
      <c r="V115" s="285" t="s">
        <v>1</v>
      </c>
      <c r="W115" s="285" t="s">
        <v>1</v>
      </c>
      <c r="X115" s="286" t="s">
        <v>1</v>
      </c>
      <c r="Y115" s="285" t="s">
        <v>1</v>
      </c>
      <c r="Z115" s="285" t="s">
        <v>1</v>
      </c>
      <c r="AA115" s="285" t="s">
        <v>1</v>
      </c>
      <c r="AB115" s="285" t="s">
        <v>1</v>
      </c>
      <c r="AC115" s="286" t="s">
        <v>1</v>
      </c>
      <c r="AD115" s="285" t="s">
        <v>1</v>
      </c>
      <c r="AE115" s="285" t="s">
        <v>1</v>
      </c>
      <c r="AF115" s="285" t="s">
        <v>1</v>
      </c>
      <c r="AG115" s="285" t="s">
        <v>1</v>
      </c>
      <c r="AH115" s="286" t="s">
        <v>1</v>
      </c>
      <c r="AI115" s="295" t="s">
        <v>1</v>
      </c>
      <c r="AJ115" s="295" t="s">
        <v>1</v>
      </c>
      <c r="AK115" s="295" t="s">
        <v>1</v>
      </c>
      <c r="AL115" s="286">
        <v>120</v>
      </c>
      <c r="AM115" s="288" t="s">
        <v>1</v>
      </c>
      <c r="AN115" s="288" t="s">
        <v>1</v>
      </c>
      <c r="AO115" s="288" t="s">
        <v>1</v>
      </c>
      <c r="AP115" s="286" t="s">
        <v>1</v>
      </c>
      <c r="AQ115" s="285" t="s">
        <v>1</v>
      </c>
      <c r="AR115" s="289" t="s">
        <v>1</v>
      </c>
      <c r="AS115" s="289" t="s">
        <v>1</v>
      </c>
      <c r="AT115" s="290" t="s">
        <v>1</v>
      </c>
      <c r="AU115" s="287" t="s">
        <v>1</v>
      </c>
      <c r="AV115" s="287" t="s">
        <v>1</v>
      </c>
      <c r="AW115" s="291" t="s">
        <v>1</v>
      </c>
    </row>
    <row r="116" spans="1:49" ht="30.15" customHeight="1" x14ac:dyDescent="0.25">
      <c r="A116" s="188" t="s">
        <v>18</v>
      </c>
      <c r="B116" s="189" t="s">
        <v>1</v>
      </c>
      <c r="C116" s="188" t="s">
        <v>35</v>
      </c>
      <c r="D116" s="190" t="s">
        <v>3</v>
      </c>
      <c r="E116" s="190" t="s">
        <v>939</v>
      </c>
      <c r="F116" s="203"/>
      <c r="G116" s="190" t="s">
        <v>935</v>
      </c>
      <c r="H116" s="192" t="s">
        <v>409</v>
      </c>
      <c r="I116" s="193">
        <v>666</v>
      </c>
      <c r="J116" s="193">
        <v>684</v>
      </c>
      <c r="K116" s="193">
        <v>684</v>
      </c>
      <c r="L116" s="193">
        <v>720</v>
      </c>
      <c r="M116" s="194">
        <v>720</v>
      </c>
      <c r="N116" s="284" t="s">
        <v>1</v>
      </c>
      <c r="O116" s="285" t="s">
        <v>1</v>
      </c>
      <c r="P116" s="285" t="s">
        <v>1</v>
      </c>
      <c r="Q116" s="285" t="s">
        <v>1</v>
      </c>
      <c r="R116" s="285" t="s">
        <v>1</v>
      </c>
      <c r="S116" s="286" t="s">
        <v>1</v>
      </c>
      <c r="T116" s="285" t="s">
        <v>1</v>
      </c>
      <c r="U116" s="285" t="s">
        <v>1</v>
      </c>
      <c r="V116" s="285" t="s">
        <v>1</v>
      </c>
      <c r="W116" s="285" t="s">
        <v>1</v>
      </c>
      <c r="X116" s="286" t="s">
        <v>1</v>
      </c>
      <c r="Y116" s="285" t="s">
        <v>1</v>
      </c>
      <c r="Z116" s="285" t="s">
        <v>1</v>
      </c>
      <c r="AA116" s="285" t="s">
        <v>1</v>
      </c>
      <c r="AB116" s="285" t="s">
        <v>1</v>
      </c>
      <c r="AC116" s="286" t="s">
        <v>1</v>
      </c>
      <c r="AD116" s="285" t="s">
        <v>1</v>
      </c>
      <c r="AE116" s="285" t="s">
        <v>1</v>
      </c>
      <c r="AF116" s="285" t="s">
        <v>1</v>
      </c>
      <c r="AG116" s="285" t="s">
        <v>1</v>
      </c>
      <c r="AH116" s="286" t="s">
        <v>1</v>
      </c>
      <c r="AI116" s="295" t="s">
        <v>1</v>
      </c>
      <c r="AJ116" s="295" t="s">
        <v>1</v>
      </c>
      <c r="AK116" s="295" t="s">
        <v>1</v>
      </c>
      <c r="AL116" s="286">
        <v>144</v>
      </c>
      <c r="AM116" s="288" t="s">
        <v>1</v>
      </c>
      <c r="AN116" s="288" t="s">
        <v>1</v>
      </c>
      <c r="AO116" s="288" t="s">
        <v>1</v>
      </c>
      <c r="AP116" s="286" t="s">
        <v>1</v>
      </c>
      <c r="AQ116" s="285" t="s">
        <v>1</v>
      </c>
      <c r="AR116" s="289" t="s">
        <v>1</v>
      </c>
      <c r="AS116" s="289" t="s">
        <v>1</v>
      </c>
      <c r="AT116" s="290" t="s">
        <v>1</v>
      </c>
      <c r="AU116" s="287" t="s">
        <v>1</v>
      </c>
      <c r="AV116" s="287" t="s">
        <v>1</v>
      </c>
      <c r="AW116" s="291" t="s">
        <v>1</v>
      </c>
    </row>
    <row r="117" spans="1:49" ht="30.15" customHeight="1" x14ac:dyDescent="0.25">
      <c r="A117" s="188" t="s">
        <v>18</v>
      </c>
      <c r="B117" s="189" t="s">
        <v>1</v>
      </c>
      <c r="C117" s="188" t="s">
        <v>35</v>
      </c>
      <c r="D117" s="190" t="s">
        <v>3</v>
      </c>
      <c r="E117" s="190" t="s">
        <v>1018</v>
      </c>
      <c r="F117" s="203"/>
      <c r="G117" s="190" t="s">
        <v>935</v>
      </c>
      <c r="H117" s="192" t="s">
        <v>414</v>
      </c>
      <c r="I117" s="193">
        <v>666</v>
      </c>
      <c r="J117" s="193">
        <v>684</v>
      </c>
      <c r="K117" s="193">
        <v>684</v>
      </c>
      <c r="L117" s="193">
        <v>720</v>
      </c>
      <c r="M117" s="194">
        <v>720</v>
      </c>
      <c r="N117" s="284" t="s">
        <v>1</v>
      </c>
      <c r="O117" s="285" t="s">
        <v>1</v>
      </c>
      <c r="P117" s="285" t="s">
        <v>1</v>
      </c>
      <c r="Q117" s="285" t="s">
        <v>1</v>
      </c>
      <c r="R117" s="285" t="s">
        <v>1</v>
      </c>
      <c r="S117" s="286" t="s">
        <v>1</v>
      </c>
      <c r="T117" s="285" t="s">
        <v>1</v>
      </c>
      <c r="U117" s="285" t="s">
        <v>1</v>
      </c>
      <c r="V117" s="285" t="s">
        <v>1</v>
      </c>
      <c r="W117" s="285" t="s">
        <v>1</v>
      </c>
      <c r="X117" s="286" t="s">
        <v>1</v>
      </c>
      <c r="Y117" s="285" t="s">
        <v>1</v>
      </c>
      <c r="Z117" s="285" t="s">
        <v>1</v>
      </c>
      <c r="AA117" s="285" t="s">
        <v>1</v>
      </c>
      <c r="AB117" s="285" t="s">
        <v>1</v>
      </c>
      <c r="AC117" s="286" t="s">
        <v>1</v>
      </c>
      <c r="AD117" s="285" t="s">
        <v>1</v>
      </c>
      <c r="AE117" s="285" t="s">
        <v>1</v>
      </c>
      <c r="AF117" s="285" t="s">
        <v>1</v>
      </c>
      <c r="AG117" s="285" t="s">
        <v>1</v>
      </c>
      <c r="AH117" s="286" t="s">
        <v>1</v>
      </c>
      <c r="AI117" s="295" t="s">
        <v>1</v>
      </c>
      <c r="AJ117" s="295" t="s">
        <v>1</v>
      </c>
      <c r="AK117" s="295" t="s">
        <v>1</v>
      </c>
      <c r="AL117" s="286">
        <v>144</v>
      </c>
      <c r="AM117" s="288" t="s">
        <v>1</v>
      </c>
      <c r="AN117" s="288" t="s">
        <v>1</v>
      </c>
      <c r="AO117" s="288" t="s">
        <v>1</v>
      </c>
      <c r="AP117" s="286" t="s">
        <v>1</v>
      </c>
      <c r="AQ117" s="285" t="s">
        <v>1</v>
      </c>
      <c r="AR117" s="289" t="s">
        <v>1</v>
      </c>
      <c r="AS117" s="289" t="s">
        <v>1</v>
      </c>
      <c r="AT117" s="290" t="s">
        <v>1</v>
      </c>
      <c r="AU117" s="287" t="s">
        <v>1</v>
      </c>
      <c r="AV117" s="287" t="s">
        <v>1</v>
      </c>
      <c r="AW117" s="291" t="s">
        <v>1</v>
      </c>
    </row>
    <row r="118" spans="1:49" ht="30.15" customHeight="1" x14ac:dyDescent="0.25">
      <c r="A118" s="188" t="s">
        <v>18</v>
      </c>
      <c r="B118" s="189" t="s">
        <v>1</v>
      </c>
      <c r="C118" s="188" t="s">
        <v>35</v>
      </c>
      <c r="D118" s="190" t="s">
        <v>3</v>
      </c>
      <c r="E118" s="190" t="s">
        <v>1019</v>
      </c>
      <c r="F118" s="203"/>
      <c r="G118" s="190" t="s">
        <v>935</v>
      </c>
      <c r="H118" s="192" t="s">
        <v>414</v>
      </c>
      <c r="I118" s="193">
        <v>666</v>
      </c>
      <c r="J118" s="193">
        <v>684</v>
      </c>
      <c r="K118" s="193">
        <v>684</v>
      </c>
      <c r="L118" s="193">
        <v>720</v>
      </c>
      <c r="M118" s="194">
        <v>720</v>
      </c>
      <c r="N118" s="284" t="s">
        <v>1</v>
      </c>
      <c r="O118" s="285" t="s">
        <v>1</v>
      </c>
      <c r="P118" s="285" t="s">
        <v>1</v>
      </c>
      <c r="Q118" s="285" t="s">
        <v>1</v>
      </c>
      <c r="R118" s="285" t="s">
        <v>1</v>
      </c>
      <c r="S118" s="286" t="s">
        <v>1</v>
      </c>
      <c r="T118" s="285" t="s">
        <v>1</v>
      </c>
      <c r="U118" s="285" t="s">
        <v>1</v>
      </c>
      <c r="V118" s="285" t="s">
        <v>1</v>
      </c>
      <c r="W118" s="285" t="s">
        <v>1</v>
      </c>
      <c r="X118" s="286" t="s">
        <v>1</v>
      </c>
      <c r="Y118" s="285" t="s">
        <v>1</v>
      </c>
      <c r="Z118" s="285" t="s">
        <v>1</v>
      </c>
      <c r="AA118" s="285" t="s">
        <v>1</v>
      </c>
      <c r="AB118" s="285" t="s">
        <v>1</v>
      </c>
      <c r="AC118" s="286" t="s">
        <v>1</v>
      </c>
      <c r="AD118" s="285" t="s">
        <v>1</v>
      </c>
      <c r="AE118" s="285" t="s">
        <v>1</v>
      </c>
      <c r="AF118" s="285" t="s">
        <v>1</v>
      </c>
      <c r="AG118" s="285" t="s">
        <v>1</v>
      </c>
      <c r="AH118" s="286" t="s">
        <v>1</v>
      </c>
      <c r="AI118" s="295" t="s">
        <v>1</v>
      </c>
      <c r="AJ118" s="295" t="s">
        <v>1</v>
      </c>
      <c r="AK118" s="295" t="s">
        <v>1</v>
      </c>
      <c r="AL118" s="286">
        <v>144</v>
      </c>
      <c r="AM118" s="288" t="s">
        <v>1</v>
      </c>
      <c r="AN118" s="288" t="s">
        <v>1</v>
      </c>
      <c r="AO118" s="288" t="s">
        <v>1</v>
      </c>
      <c r="AP118" s="286" t="s">
        <v>1</v>
      </c>
      <c r="AQ118" s="285" t="s">
        <v>1</v>
      </c>
      <c r="AR118" s="289" t="s">
        <v>1</v>
      </c>
      <c r="AS118" s="289" t="s">
        <v>1</v>
      </c>
      <c r="AT118" s="290" t="s">
        <v>1</v>
      </c>
      <c r="AU118" s="287" t="s">
        <v>1</v>
      </c>
      <c r="AV118" s="287" t="s">
        <v>1</v>
      </c>
      <c r="AW118" s="291" t="s">
        <v>1</v>
      </c>
    </row>
    <row r="119" spans="1:49" ht="30.15" customHeight="1" x14ac:dyDescent="0.25">
      <c r="A119" s="188" t="s">
        <v>18</v>
      </c>
      <c r="B119" s="189" t="s">
        <v>1</v>
      </c>
      <c r="C119" s="188" t="s">
        <v>35</v>
      </c>
      <c r="D119" s="190" t="s">
        <v>3</v>
      </c>
      <c r="E119" s="190" t="s">
        <v>578</v>
      </c>
      <c r="F119" s="203"/>
      <c r="G119" s="190" t="s">
        <v>579</v>
      </c>
      <c r="H119" s="192" t="s">
        <v>409</v>
      </c>
      <c r="I119" s="193">
        <v>758</v>
      </c>
      <c r="J119" s="193">
        <v>1129</v>
      </c>
      <c r="K119" s="193">
        <v>1129</v>
      </c>
      <c r="L119" s="193">
        <v>819</v>
      </c>
      <c r="M119" s="194">
        <v>819</v>
      </c>
      <c r="N119" s="284" t="s">
        <v>1</v>
      </c>
      <c r="O119" s="285" t="s">
        <v>1</v>
      </c>
      <c r="P119" s="285" t="s">
        <v>1</v>
      </c>
      <c r="Q119" s="285" t="s">
        <v>1</v>
      </c>
      <c r="R119" s="285" t="s">
        <v>1</v>
      </c>
      <c r="S119" s="286" t="s">
        <v>1</v>
      </c>
      <c r="T119" s="285" t="s">
        <v>1</v>
      </c>
      <c r="U119" s="285" t="s">
        <v>1</v>
      </c>
      <c r="V119" s="285" t="s">
        <v>1</v>
      </c>
      <c r="W119" s="285" t="s">
        <v>1</v>
      </c>
      <c r="X119" s="286" t="s">
        <v>1</v>
      </c>
      <c r="Y119" s="285" t="s">
        <v>1</v>
      </c>
      <c r="Z119" s="285" t="s">
        <v>1</v>
      </c>
      <c r="AA119" s="285" t="s">
        <v>1</v>
      </c>
      <c r="AB119" s="285" t="s">
        <v>1</v>
      </c>
      <c r="AC119" s="286" t="s">
        <v>1</v>
      </c>
      <c r="AD119" s="285" t="s">
        <v>1</v>
      </c>
      <c r="AE119" s="285" t="s">
        <v>1</v>
      </c>
      <c r="AF119" s="285" t="s">
        <v>1</v>
      </c>
      <c r="AG119" s="285" t="s">
        <v>1</v>
      </c>
      <c r="AH119" s="286" t="s">
        <v>1</v>
      </c>
      <c r="AI119" s="295" t="s">
        <v>1</v>
      </c>
      <c r="AJ119" s="295" t="s">
        <v>1</v>
      </c>
      <c r="AK119" s="295" t="s">
        <v>1</v>
      </c>
      <c r="AL119" s="286">
        <v>163.80000000000001</v>
      </c>
      <c r="AM119" s="288" t="s">
        <v>1</v>
      </c>
      <c r="AN119" s="287" t="s">
        <v>1</v>
      </c>
      <c r="AO119" s="287" t="s">
        <v>1</v>
      </c>
      <c r="AP119" s="286" t="s">
        <v>1</v>
      </c>
      <c r="AQ119" s="285" t="s">
        <v>1</v>
      </c>
      <c r="AR119" s="289" t="s">
        <v>1</v>
      </c>
      <c r="AS119" s="289" t="s">
        <v>1</v>
      </c>
      <c r="AT119" s="290" t="s">
        <v>1</v>
      </c>
      <c r="AU119" s="287" t="s">
        <v>1</v>
      </c>
      <c r="AV119" s="287" t="s">
        <v>1</v>
      </c>
      <c r="AW119" s="291" t="s">
        <v>1</v>
      </c>
    </row>
    <row r="120" spans="1:49" ht="30.15" customHeight="1" x14ac:dyDescent="0.25">
      <c r="A120" s="188" t="s">
        <v>18</v>
      </c>
      <c r="B120" s="189" t="s">
        <v>1</v>
      </c>
      <c r="C120" s="188" t="s">
        <v>35</v>
      </c>
      <c r="D120" s="190" t="s">
        <v>3</v>
      </c>
      <c r="E120" s="190" t="s">
        <v>1138</v>
      </c>
      <c r="F120" s="203"/>
      <c r="G120" s="190" t="s">
        <v>1148</v>
      </c>
      <c r="H120" s="192" t="s">
        <v>409</v>
      </c>
      <c r="I120" s="193">
        <v>879</v>
      </c>
      <c r="J120" s="193">
        <v>903</v>
      </c>
      <c r="K120" s="193">
        <v>903</v>
      </c>
      <c r="L120" s="193">
        <v>950</v>
      </c>
      <c r="M120" s="194">
        <v>950</v>
      </c>
      <c r="N120" s="284" t="s">
        <v>1</v>
      </c>
      <c r="O120" s="285" t="s">
        <v>1</v>
      </c>
      <c r="P120" s="285" t="s">
        <v>1</v>
      </c>
      <c r="Q120" s="285" t="s">
        <v>1</v>
      </c>
      <c r="R120" s="285" t="s">
        <v>1</v>
      </c>
      <c r="S120" s="286" t="s">
        <v>1</v>
      </c>
      <c r="T120" s="285" t="s">
        <v>1</v>
      </c>
      <c r="U120" s="285" t="s">
        <v>1</v>
      </c>
      <c r="V120" s="285" t="s">
        <v>1</v>
      </c>
      <c r="W120" s="285" t="s">
        <v>1</v>
      </c>
      <c r="X120" s="286" t="s">
        <v>1</v>
      </c>
      <c r="Y120" s="285" t="s">
        <v>1</v>
      </c>
      <c r="Z120" s="285" t="s">
        <v>1</v>
      </c>
      <c r="AA120" s="285" t="s">
        <v>1</v>
      </c>
      <c r="AB120" s="285" t="s">
        <v>1</v>
      </c>
      <c r="AC120" s="286" t="s">
        <v>1</v>
      </c>
      <c r="AD120" s="285" t="s">
        <v>1</v>
      </c>
      <c r="AE120" s="285" t="s">
        <v>1</v>
      </c>
      <c r="AF120" s="285" t="s">
        <v>1</v>
      </c>
      <c r="AG120" s="285" t="s">
        <v>1</v>
      </c>
      <c r="AH120" s="286" t="s">
        <v>1</v>
      </c>
      <c r="AI120" s="295" t="s">
        <v>1</v>
      </c>
      <c r="AJ120" s="295" t="s">
        <v>1</v>
      </c>
      <c r="AK120" s="295" t="s">
        <v>1</v>
      </c>
      <c r="AL120" s="286">
        <v>190</v>
      </c>
      <c r="AM120" s="288" t="s">
        <v>1</v>
      </c>
      <c r="AN120" s="287" t="s">
        <v>1</v>
      </c>
      <c r="AO120" s="287" t="s">
        <v>1</v>
      </c>
      <c r="AP120" s="286" t="s">
        <v>1</v>
      </c>
      <c r="AQ120" s="285" t="s">
        <v>1</v>
      </c>
      <c r="AR120" s="289" t="s">
        <v>1</v>
      </c>
      <c r="AS120" s="289" t="s">
        <v>1</v>
      </c>
      <c r="AT120" s="290" t="s">
        <v>1</v>
      </c>
      <c r="AU120" s="287" t="s">
        <v>1</v>
      </c>
      <c r="AV120" s="287" t="s">
        <v>1</v>
      </c>
      <c r="AW120" s="291" t="s">
        <v>1</v>
      </c>
    </row>
    <row r="121" spans="1:49" ht="30.15" customHeight="1" x14ac:dyDescent="0.25">
      <c r="A121" s="188" t="s">
        <v>18</v>
      </c>
      <c r="B121" s="189" t="s">
        <v>1</v>
      </c>
      <c r="C121" s="188" t="s">
        <v>35</v>
      </c>
      <c r="D121" s="190" t="s">
        <v>3</v>
      </c>
      <c r="E121" s="190" t="s">
        <v>1139</v>
      </c>
      <c r="F121" s="203"/>
      <c r="G121" s="190" t="s">
        <v>1148</v>
      </c>
      <c r="H121" s="192" t="s">
        <v>414</v>
      </c>
      <c r="I121" s="193">
        <v>879</v>
      </c>
      <c r="J121" s="193">
        <v>903</v>
      </c>
      <c r="K121" s="193">
        <v>903</v>
      </c>
      <c r="L121" s="193">
        <v>950</v>
      </c>
      <c r="M121" s="194">
        <v>950</v>
      </c>
      <c r="N121" s="284" t="s">
        <v>1</v>
      </c>
      <c r="O121" s="285" t="s">
        <v>1</v>
      </c>
      <c r="P121" s="285" t="s">
        <v>1</v>
      </c>
      <c r="Q121" s="285" t="s">
        <v>1</v>
      </c>
      <c r="R121" s="285" t="s">
        <v>1</v>
      </c>
      <c r="S121" s="286" t="s">
        <v>1</v>
      </c>
      <c r="T121" s="285" t="s">
        <v>1</v>
      </c>
      <c r="U121" s="285" t="s">
        <v>1</v>
      </c>
      <c r="V121" s="285" t="s">
        <v>1</v>
      </c>
      <c r="W121" s="285" t="s">
        <v>1</v>
      </c>
      <c r="X121" s="286" t="s">
        <v>1</v>
      </c>
      <c r="Y121" s="285" t="s">
        <v>1</v>
      </c>
      <c r="Z121" s="285" t="s">
        <v>1</v>
      </c>
      <c r="AA121" s="285" t="s">
        <v>1</v>
      </c>
      <c r="AB121" s="285" t="s">
        <v>1</v>
      </c>
      <c r="AC121" s="286" t="s">
        <v>1</v>
      </c>
      <c r="AD121" s="285" t="s">
        <v>1</v>
      </c>
      <c r="AE121" s="285" t="s">
        <v>1</v>
      </c>
      <c r="AF121" s="285" t="s">
        <v>1</v>
      </c>
      <c r="AG121" s="285" t="s">
        <v>1</v>
      </c>
      <c r="AH121" s="286" t="s">
        <v>1</v>
      </c>
      <c r="AI121" s="295" t="s">
        <v>1</v>
      </c>
      <c r="AJ121" s="295" t="s">
        <v>1</v>
      </c>
      <c r="AK121" s="295" t="s">
        <v>1</v>
      </c>
      <c r="AL121" s="286">
        <v>190</v>
      </c>
      <c r="AM121" s="288" t="s">
        <v>1</v>
      </c>
      <c r="AN121" s="287" t="s">
        <v>1</v>
      </c>
      <c r="AO121" s="287" t="s">
        <v>1</v>
      </c>
      <c r="AP121" s="286" t="s">
        <v>1</v>
      </c>
      <c r="AQ121" s="285" t="s">
        <v>1</v>
      </c>
      <c r="AR121" s="289" t="s">
        <v>1</v>
      </c>
      <c r="AS121" s="289" t="s">
        <v>1</v>
      </c>
      <c r="AT121" s="290" t="s">
        <v>1</v>
      </c>
      <c r="AU121" s="287" t="s">
        <v>1</v>
      </c>
      <c r="AV121" s="287" t="s">
        <v>1</v>
      </c>
      <c r="AW121" s="291" t="s">
        <v>1</v>
      </c>
    </row>
    <row r="122" spans="1:49" ht="30.15" customHeight="1" x14ac:dyDescent="0.25">
      <c r="A122" s="188" t="s">
        <v>18</v>
      </c>
      <c r="B122" s="189" t="s">
        <v>1</v>
      </c>
      <c r="C122" s="188" t="s">
        <v>35</v>
      </c>
      <c r="D122" s="190" t="s">
        <v>3</v>
      </c>
      <c r="E122" s="190" t="s">
        <v>1140</v>
      </c>
      <c r="F122" s="203"/>
      <c r="G122" s="190" t="s">
        <v>1148</v>
      </c>
      <c r="H122" s="192" t="s">
        <v>414</v>
      </c>
      <c r="I122" s="193">
        <v>879</v>
      </c>
      <c r="J122" s="193">
        <v>903</v>
      </c>
      <c r="K122" s="193">
        <v>903</v>
      </c>
      <c r="L122" s="193">
        <v>950</v>
      </c>
      <c r="M122" s="194">
        <v>950</v>
      </c>
      <c r="N122" s="284" t="s">
        <v>1</v>
      </c>
      <c r="O122" s="285" t="s">
        <v>1</v>
      </c>
      <c r="P122" s="285" t="s">
        <v>1</v>
      </c>
      <c r="Q122" s="285" t="s">
        <v>1</v>
      </c>
      <c r="R122" s="285" t="s">
        <v>1</v>
      </c>
      <c r="S122" s="286" t="s">
        <v>1</v>
      </c>
      <c r="T122" s="285" t="s">
        <v>1</v>
      </c>
      <c r="U122" s="285" t="s">
        <v>1</v>
      </c>
      <c r="V122" s="285" t="s">
        <v>1</v>
      </c>
      <c r="W122" s="285" t="s">
        <v>1</v>
      </c>
      <c r="X122" s="286" t="s">
        <v>1</v>
      </c>
      <c r="Y122" s="285" t="s">
        <v>1</v>
      </c>
      <c r="Z122" s="285" t="s">
        <v>1</v>
      </c>
      <c r="AA122" s="285" t="s">
        <v>1</v>
      </c>
      <c r="AB122" s="285" t="s">
        <v>1</v>
      </c>
      <c r="AC122" s="286" t="s">
        <v>1</v>
      </c>
      <c r="AD122" s="285" t="s">
        <v>1</v>
      </c>
      <c r="AE122" s="285" t="s">
        <v>1</v>
      </c>
      <c r="AF122" s="285" t="s">
        <v>1</v>
      </c>
      <c r="AG122" s="285" t="s">
        <v>1</v>
      </c>
      <c r="AH122" s="286" t="s">
        <v>1</v>
      </c>
      <c r="AI122" s="295" t="s">
        <v>1</v>
      </c>
      <c r="AJ122" s="295" t="s">
        <v>1</v>
      </c>
      <c r="AK122" s="295" t="s">
        <v>1</v>
      </c>
      <c r="AL122" s="286">
        <v>190</v>
      </c>
      <c r="AM122" s="288" t="s">
        <v>1</v>
      </c>
      <c r="AN122" s="287" t="s">
        <v>1</v>
      </c>
      <c r="AO122" s="287" t="s">
        <v>1</v>
      </c>
      <c r="AP122" s="286" t="s">
        <v>1</v>
      </c>
      <c r="AQ122" s="285" t="s">
        <v>1</v>
      </c>
      <c r="AR122" s="289" t="s">
        <v>1</v>
      </c>
      <c r="AS122" s="289" t="s">
        <v>1</v>
      </c>
      <c r="AT122" s="290" t="s">
        <v>1</v>
      </c>
      <c r="AU122" s="287" t="s">
        <v>1</v>
      </c>
      <c r="AV122" s="287" t="s">
        <v>1</v>
      </c>
      <c r="AW122" s="291" t="s">
        <v>1</v>
      </c>
    </row>
    <row r="123" spans="1:49" ht="30.15" customHeight="1" x14ac:dyDescent="0.25">
      <c r="A123" s="188" t="s">
        <v>18</v>
      </c>
      <c r="B123" s="189" t="s">
        <v>1</v>
      </c>
      <c r="C123" s="188" t="s">
        <v>35</v>
      </c>
      <c r="D123" s="190" t="s">
        <v>3</v>
      </c>
      <c r="E123" s="190" t="s">
        <v>1141</v>
      </c>
      <c r="F123" s="203"/>
      <c r="G123" s="190" t="s">
        <v>1148</v>
      </c>
      <c r="H123" s="192" t="s">
        <v>409</v>
      </c>
      <c r="I123" s="193">
        <v>879</v>
      </c>
      <c r="J123" s="193">
        <v>903</v>
      </c>
      <c r="K123" s="193">
        <v>903</v>
      </c>
      <c r="L123" s="193">
        <v>950</v>
      </c>
      <c r="M123" s="194">
        <v>950</v>
      </c>
      <c r="N123" s="284" t="s">
        <v>1</v>
      </c>
      <c r="O123" s="285" t="s">
        <v>1</v>
      </c>
      <c r="P123" s="285" t="s">
        <v>1</v>
      </c>
      <c r="Q123" s="285" t="s">
        <v>1</v>
      </c>
      <c r="R123" s="285" t="s">
        <v>1</v>
      </c>
      <c r="S123" s="286" t="s">
        <v>1</v>
      </c>
      <c r="T123" s="285" t="s">
        <v>1</v>
      </c>
      <c r="U123" s="285" t="s">
        <v>1</v>
      </c>
      <c r="V123" s="285" t="s">
        <v>1</v>
      </c>
      <c r="W123" s="285" t="s">
        <v>1</v>
      </c>
      <c r="X123" s="286" t="s">
        <v>1</v>
      </c>
      <c r="Y123" s="285" t="s">
        <v>1</v>
      </c>
      <c r="Z123" s="285" t="s">
        <v>1</v>
      </c>
      <c r="AA123" s="285" t="s">
        <v>1</v>
      </c>
      <c r="AB123" s="285" t="s">
        <v>1</v>
      </c>
      <c r="AC123" s="286" t="s">
        <v>1</v>
      </c>
      <c r="AD123" s="285" t="s">
        <v>1</v>
      </c>
      <c r="AE123" s="285" t="s">
        <v>1</v>
      </c>
      <c r="AF123" s="285" t="s">
        <v>1</v>
      </c>
      <c r="AG123" s="285" t="s">
        <v>1</v>
      </c>
      <c r="AH123" s="286" t="s">
        <v>1</v>
      </c>
      <c r="AI123" s="295" t="s">
        <v>1</v>
      </c>
      <c r="AJ123" s="295" t="s">
        <v>1</v>
      </c>
      <c r="AK123" s="295" t="s">
        <v>1</v>
      </c>
      <c r="AL123" s="286">
        <v>190</v>
      </c>
      <c r="AM123" s="288" t="s">
        <v>1</v>
      </c>
      <c r="AN123" s="287" t="s">
        <v>1</v>
      </c>
      <c r="AO123" s="287" t="s">
        <v>1</v>
      </c>
      <c r="AP123" s="286" t="s">
        <v>1</v>
      </c>
      <c r="AQ123" s="285" t="s">
        <v>1</v>
      </c>
      <c r="AR123" s="289" t="s">
        <v>1</v>
      </c>
      <c r="AS123" s="289" t="s">
        <v>1</v>
      </c>
      <c r="AT123" s="290" t="s">
        <v>1</v>
      </c>
      <c r="AU123" s="287" t="s">
        <v>1</v>
      </c>
      <c r="AV123" s="287" t="s">
        <v>1</v>
      </c>
      <c r="AW123" s="291" t="s">
        <v>1</v>
      </c>
    </row>
    <row r="124" spans="1:49" ht="30.15" customHeight="1" x14ac:dyDescent="0.25">
      <c r="A124" s="188" t="s">
        <v>18</v>
      </c>
      <c r="B124" s="189" t="s">
        <v>1</v>
      </c>
      <c r="C124" s="188" t="s">
        <v>35</v>
      </c>
      <c r="D124" s="190" t="s">
        <v>3</v>
      </c>
      <c r="E124" s="190" t="s">
        <v>1142</v>
      </c>
      <c r="F124" s="203"/>
      <c r="G124" s="190" t="s">
        <v>1148</v>
      </c>
      <c r="H124" s="192" t="s">
        <v>414</v>
      </c>
      <c r="I124" s="193">
        <v>879</v>
      </c>
      <c r="J124" s="193">
        <v>903</v>
      </c>
      <c r="K124" s="193">
        <v>903</v>
      </c>
      <c r="L124" s="193">
        <v>950</v>
      </c>
      <c r="M124" s="194">
        <v>950</v>
      </c>
      <c r="N124" s="284" t="s">
        <v>1</v>
      </c>
      <c r="O124" s="285" t="s">
        <v>1</v>
      </c>
      <c r="P124" s="285" t="s">
        <v>1</v>
      </c>
      <c r="Q124" s="285" t="s">
        <v>1</v>
      </c>
      <c r="R124" s="285" t="s">
        <v>1</v>
      </c>
      <c r="S124" s="286" t="s">
        <v>1</v>
      </c>
      <c r="T124" s="285" t="s">
        <v>1</v>
      </c>
      <c r="U124" s="285" t="s">
        <v>1</v>
      </c>
      <c r="V124" s="285" t="s">
        <v>1</v>
      </c>
      <c r="W124" s="285" t="s">
        <v>1</v>
      </c>
      <c r="X124" s="286" t="s">
        <v>1</v>
      </c>
      <c r="Y124" s="285" t="s">
        <v>1</v>
      </c>
      <c r="Z124" s="285" t="s">
        <v>1</v>
      </c>
      <c r="AA124" s="285" t="s">
        <v>1</v>
      </c>
      <c r="AB124" s="285" t="s">
        <v>1</v>
      </c>
      <c r="AC124" s="286" t="s">
        <v>1</v>
      </c>
      <c r="AD124" s="285" t="s">
        <v>1</v>
      </c>
      <c r="AE124" s="285" t="s">
        <v>1</v>
      </c>
      <c r="AF124" s="285" t="s">
        <v>1</v>
      </c>
      <c r="AG124" s="285" t="s">
        <v>1</v>
      </c>
      <c r="AH124" s="286" t="s">
        <v>1</v>
      </c>
      <c r="AI124" s="295" t="s">
        <v>1</v>
      </c>
      <c r="AJ124" s="295" t="s">
        <v>1</v>
      </c>
      <c r="AK124" s="295" t="s">
        <v>1</v>
      </c>
      <c r="AL124" s="286">
        <v>190</v>
      </c>
      <c r="AM124" s="288" t="s">
        <v>1</v>
      </c>
      <c r="AN124" s="287" t="s">
        <v>1</v>
      </c>
      <c r="AO124" s="287" t="s">
        <v>1</v>
      </c>
      <c r="AP124" s="286" t="s">
        <v>1</v>
      </c>
      <c r="AQ124" s="285" t="s">
        <v>1</v>
      </c>
      <c r="AR124" s="289" t="s">
        <v>1</v>
      </c>
      <c r="AS124" s="289" t="s">
        <v>1</v>
      </c>
      <c r="AT124" s="290" t="s">
        <v>1</v>
      </c>
      <c r="AU124" s="287" t="s">
        <v>1</v>
      </c>
      <c r="AV124" s="287" t="s">
        <v>1</v>
      </c>
      <c r="AW124" s="291" t="s">
        <v>1</v>
      </c>
    </row>
    <row r="125" spans="1:49" ht="30.15" customHeight="1" x14ac:dyDescent="0.25">
      <c r="A125" s="188" t="s">
        <v>18</v>
      </c>
      <c r="B125" s="189" t="s">
        <v>1</v>
      </c>
      <c r="C125" s="188" t="s">
        <v>35</v>
      </c>
      <c r="D125" s="190" t="s">
        <v>3</v>
      </c>
      <c r="E125" s="190" t="s">
        <v>1143</v>
      </c>
      <c r="F125" s="203"/>
      <c r="G125" s="190" t="s">
        <v>1149</v>
      </c>
      <c r="H125" s="192" t="s">
        <v>414</v>
      </c>
      <c r="I125" s="193">
        <v>1064</v>
      </c>
      <c r="J125" s="193">
        <v>1093</v>
      </c>
      <c r="K125" s="193">
        <v>1093</v>
      </c>
      <c r="L125" s="193">
        <v>1150</v>
      </c>
      <c r="M125" s="194">
        <v>1150</v>
      </c>
      <c r="N125" s="284" t="s">
        <v>1</v>
      </c>
      <c r="O125" s="285" t="s">
        <v>1</v>
      </c>
      <c r="P125" s="285" t="s">
        <v>1</v>
      </c>
      <c r="Q125" s="285" t="s">
        <v>1</v>
      </c>
      <c r="R125" s="285" t="s">
        <v>1</v>
      </c>
      <c r="S125" s="286" t="s">
        <v>1</v>
      </c>
      <c r="T125" s="285" t="s">
        <v>1</v>
      </c>
      <c r="U125" s="285" t="s">
        <v>1</v>
      </c>
      <c r="V125" s="285" t="s">
        <v>1</v>
      </c>
      <c r="W125" s="285" t="s">
        <v>1</v>
      </c>
      <c r="X125" s="286" t="s">
        <v>1</v>
      </c>
      <c r="Y125" s="285" t="s">
        <v>1</v>
      </c>
      <c r="Z125" s="285" t="s">
        <v>1</v>
      </c>
      <c r="AA125" s="285" t="s">
        <v>1</v>
      </c>
      <c r="AB125" s="285" t="s">
        <v>1</v>
      </c>
      <c r="AC125" s="286" t="s">
        <v>1</v>
      </c>
      <c r="AD125" s="285" t="s">
        <v>1</v>
      </c>
      <c r="AE125" s="285" t="s">
        <v>1</v>
      </c>
      <c r="AF125" s="285" t="s">
        <v>1</v>
      </c>
      <c r="AG125" s="285" t="s">
        <v>1</v>
      </c>
      <c r="AH125" s="286" t="s">
        <v>1</v>
      </c>
      <c r="AI125" s="295" t="s">
        <v>1</v>
      </c>
      <c r="AJ125" s="295" t="s">
        <v>1</v>
      </c>
      <c r="AK125" s="295" t="s">
        <v>1</v>
      </c>
      <c r="AL125" s="286">
        <v>230</v>
      </c>
      <c r="AM125" s="288" t="s">
        <v>1</v>
      </c>
      <c r="AN125" s="287" t="s">
        <v>1</v>
      </c>
      <c r="AO125" s="287" t="s">
        <v>1</v>
      </c>
      <c r="AP125" s="286" t="s">
        <v>1</v>
      </c>
      <c r="AQ125" s="285" t="s">
        <v>1</v>
      </c>
      <c r="AR125" s="289" t="s">
        <v>1</v>
      </c>
      <c r="AS125" s="289" t="s">
        <v>1</v>
      </c>
      <c r="AT125" s="290" t="s">
        <v>1</v>
      </c>
      <c r="AU125" s="287" t="s">
        <v>1</v>
      </c>
      <c r="AV125" s="287" t="s">
        <v>1</v>
      </c>
      <c r="AW125" s="291" t="s">
        <v>1</v>
      </c>
    </row>
    <row r="126" spans="1:49" ht="30.15" customHeight="1" x14ac:dyDescent="0.25">
      <c r="A126" s="188" t="s">
        <v>18</v>
      </c>
      <c r="B126" s="189" t="s">
        <v>1</v>
      </c>
      <c r="C126" s="188" t="s">
        <v>35</v>
      </c>
      <c r="D126" s="190" t="s">
        <v>3</v>
      </c>
      <c r="E126" s="190" t="s">
        <v>1144</v>
      </c>
      <c r="F126" s="203"/>
      <c r="G126" s="190" t="s">
        <v>1149</v>
      </c>
      <c r="H126" s="192" t="s">
        <v>414</v>
      </c>
      <c r="I126" s="193">
        <v>1064</v>
      </c>
      <c r="J126" s="193">
        <v>1093</v>
      </c>
      <c r="K126" s="193">
        <v>1093</v>
      </c>
      <c r="L126" s="193">
        <v>1150</v>
      </c>
      <c r="M126" s="194">
        <v>1150</v>
      </c>
      <c r="N126" s="284" t="s">
        <v>1</v>
      </c>
      <c r="O126" s="285" t="s">
        <v>1</v>
      </c>
      <c r="P126" s="285" t="s">
        <v>1</v>
      </c>
      <c r="Q126" s="285" t="s">
        <v>1</v>
      </c>
      <c r="R126" s="285" t="s">
        <v>1</v>
      </c>
      <c r="S126" s="286" t="s">
        <v>1</v>
      </c>
      <c r="T126" s="285" t="s">
        <v>1</v>
      </c>
      <c r="U126" s="285" t="s">
        <v>1</v>
      </c>
      <c r="V126" s="285" t="s">
        <v>1</v>
      </c>
      <c r="W126" s="285" t="s">
        <v>1</v>
      </c>
      <c r="X126" s="286" t="s">
        <v>1</v>
      </c>
      <c r="Y126" s="285" t="s">
        <v>1</v>
      </c>
      <c r="Z126" s="285" t="s">
        <v>1</v>
      </c>
      <c r="AA126" s="285" t="s">
        <v>1</v>
      </c>
      <c r="AB126" s="285" t="s">
        <v>1</v>
      </c>
      <c r="AC126" s="286" t="s">
        <v>1</v>
      </c>
      <c r="AD126" s="285" t="s">
        <v>1</v>
      </c>
      <c r="AE126" s="285" t="s">
        <v>1</v>
      </c>
      <c r="AF126" s="285" t="s">
        <v>1</v>
      </c>
      <c r="AG126" s="285" t="s">
        <v>1</v>
      </c>
      <c r="AH126" s="286" t="s">
        <v>1</v>
      </c>
      <c r="AI126" s="295" t="s">
        <v>1</v>
      </c>
      <c r="AJ126" s="295" t="s">
        <v>1</v>
      </c>
      <c r="AK126" s="295" t="s">
        <v>1</v>
      </c>
      <c r="AL126" s="286">
        <v>230</v>
      </c>
      <c r="AM126" s="288" t="s">
        <v>1</v>
      </c>
      <c r="AN126" s="287" t="s">
        <v>1</v>
      </c>
      <c r="AO126" s="287" t="s">
        <v>1</v>
      </c>
      <c r="AP126" s="286" t="s">
        <v>1</v>
      </c>
      <c r="AQ126" s="285" t="s">
        <v>1</v>
      </c>
      <c r="AR126" s="289" t="s">
        <v>1</v>
      </c>
      <c r="AS126" s="289" t="s">
        <v>1</v>
      </c>
      <c r="AT126" s="290" t="s">
        <v>1</v>
      </c>
      <c r="AU126" s="287" t="s">
        <v>1</v>
      </c>
      <c r="AV126" s="287" t="s">
        <v>1</v>
      </c>
      <c r="AW126" s="291" t="s">
        <v>1</v>
      </c>
    </row>
    <row r="127" spans="1:49" ht="30.15" customHeight="1" x14ac:dyDescent="0.25">
      <c r="A127" s="188" t="s">
        <v>18</v>
      </c>
      <c r="B127" s="189" t="s">
        <v>1</v>
      </c>
      <c r="C127" s="188" t="s">
        <v>35</v>
      </c>
      <c r="D127" s="190" t="s">
        <v>3</v>
      </c>
      <c r="E127" s="190" t="s">
        <v>1145</v>
      </c>
      <c r="F127" s="203"/>
      <c r="G127" s="190" t="s">
        <v>1149</v>
      </c>
      <c r="H127" s="192" t="s">
        <v>414</v>
      </c>
      <c r="I127" s="193">
        <v>1064</v>
      </c>
      <c r="J127" s="193">
        <v>1093</v>
      </c>
      <c r="K127" s="193">
        <v>1093</v>
      </c>
      <c r="L127" s="193">
        <v>1150</v>
      </c>
      <c r="M127" s="194">
        <v>1150</v>
      </c>
      <c r="N127" s="284" t="s">
        <v>1</v>
      </c>
      <c r="O127" s="285" t="s">
        <v>1</v>
      </c>
      <c r="P127" s="285" t="s">
        <v>1</v>
      </c>
      <c r="Q127" s="285" t="s">
        <v>1</v>
      </c>
      <c r="R127" s="285" t="s">
        <v>1</v>
      </c>
      <c r="S127" s="286" t="s">
        <v>1</v>
      </c>
      <c r="T127" s="285" t="s">
        <v>1</v>
      </c>
      <c r="U127" s="285" t="s">
        <v>1</v>
      </c>
      <c r="V127" s="285" t="s">
        <v>1</v>
      </c>
      <c r="W127" s="285" t="s">
        <v>1</v>
      </c>
      <c r="X127" s="286" t="s">
        <v>1</v>
      </c>
      <c r="Y127" s="285" t="s">
        <v>1</v>
      </c>
      <c r="Z127" s="285" t="s">
        <v>1</v>
      </c>
      <c r="AA127" s="285" t="s">
        <v>1</v>
      </c>
      <c r="AB127" s="285" t="s">
        <v>1</v>
      </c>
      <c r="AC127" s="286" t="s">
        <v>1</v>
      </c>
      <c r="AD127" s="285" t="s">
        <v>1</v>
      </c>
      <c r="AE127" s="285" t="s">
        <v>1</v>
      </c>
      <c r="AF127" s="285" t="s">
        <v>1</v>
      </c>
      <c r="AG127" s="285" t="s">
        <v>1</v>
      </c>
      <c r="AH127" s="286" t="s">
        <v>1</v>
      </c>
      <c r="AI127" s="295" t="s">
        <v>1</v>
      </c>
      <c r="AJ127" s="295" t="s">
        <v>1</v>
      </c>
      <c r="AK127" s="295" t="s">
        <v>1</v>
      </c>
      <c r="AL127" s="286">
        <v>230</v>
      </c>
      <c r="AM127" s="288" t="s">
        <v>1</v>
      </c>
      <c r="AN127" s="287" t="s">
        <v>1</v>
      </c>
      <c r="AO127" s="287" t="s">
        <v>1</v>
      </c>
      <c r="AP127" s="286" t="s">
        <v>1</v>
      </c>
      <c r="AQ127" s="285" t="s">
        <v>1</v>
      </c>
      <c r="AR127" s="289" t="s">
        <v>1</v>
      </c>
      <c r="AS127" s="289" t="s">
        <v>1</v>
      </c>
      <c r="AT127" s="290" t="s">
        <v>1</v>
      </c>
      <c r="AU127" s="287" t="s">
        <v>1</v>
      </c>
      <c r="AV127" s="287" t="s">
        <v>1</v>
      </c>
      <c r="AW127" s="291" t="s">
        <v>1</v>
      </c>
    </row>
    <row r="128" spans="1:49" ht="30.15" customHeight="1" x14ac:dyDescent="0.25">
      <c r="A128" s="188" t="s">
        <v>18</v>
      </c>
      <c r="B128" s="189" t="s">
        <v>1</v>
      </c>
      <c r="C128" s="188" t="s">
        <v>35</v>
      </c>
      <c r="D128" s="190" t="s">
        <v>3</v>
      </c>
      <c r="E128" s="190" t="s">
        <v>1146</v>
      </c>
      <c r="F128" s="203"/>
      <c r="G128" s="190" t="s">
        <v>1149</v>
      </c>
      <c r="H128" s="192" t="s">
        <v>414</v>
      </c>
      <c r="I128" s="193">
        <v>1064</v>
      </c>
      <c r="J128" s="193">
        <v>1093</v>
      </c>
      <c r="K128" s="193">
        <v>1093</v>
      </c>
      <c r="L128" s="193">
        <v>1150</v>
      </c>
      <c r="M128" s="194">
        <v>1150</v>
      </c>
      <c r="N128" s="284" t="s">
        <v>1</v>
      </c>
      <c r="O128" s="285" t="s">
        <v>1</v>
      </c>
      <c r="P128" s="285" t="s">
        <v>1</v>
      </c>
      <c r="Q128" s="285" t="s">
        <v>1</v>
      </c>
      <c r="R128" s="285" t="s">
        <v>1</v>
      </c>
      <c r="S128" s="286" t="s">
        <v>1</v>
      </c>
      <c r="T128" s="285" t="s">
        <v>1</v>
      </c>
      <c r="U128" s="285" t="s">
        <v>1</v>
      </c>
      <c r="V128" s="285" t="s">
        <v>1</v>
      </c>
      <c r="W128" s="285" t="s">
        <v>1</v>
      </c>
      <c r="X128" s="286" t="s">
        <v>1</v>
      </c>
      <c r="Y128" s="285" t="s">
        <v>1</v>
      </c>
      <c r="Z128" s="285" t="s">
        <v>1</v>
      </c>
      <c r="AA128" s="285" t="s">
        <v>1</v>
      </c>
      <c r="AB128" s="285" t="s">
        <v>1</v>
      </c>
      <c r="AC128" s="286" t="s">
        <v>1</v>
      </c>
      <c r="AD128" s="285" t="s">
        <v>1</v>
      </c>
      <c r="AE128" s="285" t="s">
        <v>1</v>
      </c>
      <c r="AF128" s="285" t="s">
        <v>1</v>
      </c>
      <c r="AG128" s="285" t="s">
        <v>1</v>
      </c>
      <c r="AH128" s="286" t="s">
        <v>1</v>
      </c>
      <c r="AI128" s="295" t="s">
        <v>1</v>
      </c>
      <c r="AJ128" s="295" t="s">
        <v>1</v>
      </c>
      <c r="AK128" s="295" t="s">
        <v>1</v>
      </c>
      <c r="AL128" s="286">
        <v>230</v>
      </c>
      <c r="AM128" s="288" t="s">
        <v>1</v>
      </c>
      <c r="AN128" s="287" t="s">
        <v>1</v>
      </c>
      <c r="AO128" s="287" t="s">
        <v>1</v>
      </c>
      <c r="AP128" s="286" t="s">
        <v>1</v>
      </c>
      <c r="AQ128" s="285" t="s">
        <v>1</v>
      </c>
      <c r="AR128" s="289" t="s">
        <v>1</v>
      </c>
      <c r="AS128" s="289" t="s">
        <v>1</v>
      </c>
      <c r="AT128" s="290" t="s">
        <v>1</v>
      </c>
      <c r="AU128" s="287" t="s">
        <v>1</v>
      </c>
      <c r="AV128" s="287" t="s">
        <v>1</v>
      </c>
      <c r="AW128" s="291" t="s">
        <v>1</v>
      </c>
    </row>
    <row r="129" spans="1:49" ht="30.15" customHeight="1" x14ac:dyDescent="0.25">
      <c r="A129" s="188" t="s">
        <v>18</v>
      </c>
      <c r="B129" s="189" t="s">
        <v>1</v>
      </c>
      <c r="C129" s="188" t="s">
        <v>35</v>
      </c>
      <c r="D129" s="190" t="s">
        <v>3</v>
      </c>
      <c r="E129" s="190" t="s">
        <v>1147</v>
      </c>
      <c r="F129" s="203"/>
      <c r="G129" s="190" t="s">
        <v>1149</v>
      </c>
      <c r="H129" s="192" t="s">
        <v>414</v>
      </c>
      <c r="I129" s="193">
        <v>1064</v>
      </c>
      <c r="J129" s="193">
        <v>1093</v>
      </c>
      <c r="K129" s="193">
        <v>1093</v>
      </c>
      <c r="L129" s="193">
        <v>1150</v>
      </c>
      <c r="M129" s="194">
        <v>1150</v>
      </c>
      <c r="N129" s="284" t="s">
        <v>1</v>
      </c>
      <c r="O129" s="285" t="s">
        <v>1</v>
      </c>
      <c r="P129" s="285" t="s">
        <v>1</v>
      </c>
      <c r="Q129" s="285" t="s">
        <v>1</v>
      </c>
      <c r="R129" s="285" t="s">
        <v>1</v>
      </c>
      <c r="S129" s="286" t="s">
        <v>1</v>
      </c>
      <c r="T129" s="285" t="s">
        <v>1</v>
      </c>
      <c r="U129" s="285" t="s">
        <v>1</v>
      </c>
      <c r="V129" s="285" t="s">
        <v>1</v>
      </c>
      <c r="W129" s="285" t="s">
        <v>1</v>
      </c>
      <c r="X129" s="286" t="s">
        <v>1</v>
      </c>
      <c r="Y129" s="285" t="s">
        <v>1</v>
      </c>
      <c r="Z129" s="285" t="s">
        <v>1</v>
      </c>
      <c r="AA129" s="285" t="s">
        <v>1</v>
      </c>
      <c r="AB129" s="285" t="s">
        <v>1</v>
      </c>
      <c r="AC129" s="286" t="s">
        <v>1</v>
      </c>
      <c r="AD129" s="285" t="s">
        <v>1</v>
      </c>
      <c r="AE129" s="285" t="s">
        <v>1</v>
      </c>
      <c r="AF129" s="285" t="s">
        <v>1</v>
      </c>
      <c r="AG129" s="285" t="s">
        <v>1</v>
      </c>
      <c r="AH129" s="286" t="s">
        <v>1</v>
      </c>
      <c r="AI129" s="295" t="s">
        <v>1</v>
      </c>
      <c r="AJ129" s="295" t="s">
        <v>1</v>
      </c>
      <c r="AK129" s="295" t="s">
        <v>1</v>
      </c>
      <c r="AL129" s="286">
        <v>230</v>
      </c>
      <c r="AM129" s="288" t="s">
        <v>1</v>
      </c>
      <c r="AN129" s="287" t="s">
        <v>1</v>
      </c>
      <c r="AO129" s="287" t="s">
        <v>1</v>
      </c>
      <c r="AP129" s="286" t="s">
        <v>1</v>
      </c>
      <c r="AQ129" s="285" t="s">
        <v>1</v>
      </c>
      <c r="AR129" s="289" t="s">
        <v>1</v>
      </c>
      <c r="AS129" s="289" t="s">
        <v>1</v>
      </c>
      <c r="AT129" s="290" t="s">
        <v>1</v>
      </c>
      <c r="AU129" s="287" t="s">
        <v>1</v>
      </c>
      <c r="AV129" s="287" t="s">
        <v>1</v>
      </c>
      <c r="AW129" s="291" t="s">
        <v>1</v>
      </c>
    </row>
    <row r="130" spans="1:49" ht="30.15" customHeight="1" x14ac:dyDescent="0.25">
      <c r="A130" s="188" t="s">
        <v>18</v>
      </c>
      <c r="B130" s="189" t="s">
        <v>1</v>
      </c>
      <c r="C130" s="188" t="s">
        <v>35</v>
      </c>
      <c r="D130" s="190" t="s">
        <v>3</v>
      </c>
      <c r="E130" s="190" t="s">
        <v>112</v>
      </c>
      <c r="F130" s="203"/>
      <c r="G130" s="190" t="s">
        <v>228</v>
      </c>
      <c r="H130" s="192" t="s">
        <v>409</v>
      </c>
      <c r="I130" s="193">
        <v>666</v>
      </c>
      <c r="J130" s="193">
        <v>712</v>
      </c>
      <c r="K130" s="193">
        <v>712</v>
      </c>
      <c r="L130" s="193">
        <v>519</v>
      </c>
      <c r="M130" s="194">
        <v>519</v>
      </c>
      <c r="N130" s="284" t="s">
        <v>1</v>
      </c>
      <c r="O130" s="285" t="s">
        <v>1</v>
      </c>
      <c r="P130" s="285" t="s">
        <v>1</v>
      </c>
      <c r="Q130" s="285" t="s">
        <v>1</v>
      </c>
      <c r="R130" s="285" t="s">
        <v>1</v>
      </c>
      <c r="S130" s="286" t="s">
        <v>1</v>
      </c>
      <c r="T130" s="285" t="s">
        <v>1</v>
      </c>
      <c r="U130" s="285" t="s">
        <v>1</v>
      </c>
      <c r="V130" s="285" t="s">
        <v>1</v>
      </c>
      <c r="W130" s="285" t="s">
        <v>1</v>
      </c>
      <c r="X130" s="286" t="s">
        <v>1</v>
      </c>
      <c r="Y130" s="285" t="s">
        <v>1</v>
      </c>
      <c r="Z130" s="285" t="s">
        <v>1</v>
      </c>
      <c r="AA130" s="285" t="s">
        <v>1</v>
      </c>
      <c r="AB130" s="285" t="s">
        <v>1</v>
      </c>
      <c r="AC130" s="286" t="s">
        <v>1</v>
      </c>
      <c r="AD130" s="285" t="s">
        <v>1</v>
      </c>
      <c r="AE130" s="285" t="s">
        <v>1</v>
      </c>
      <c r="AF130" s="285" t="s">
        <v>1</v>
      </c>
      <c r="AG130" s="285" t="s">
        <v>1</v>
      </c>
      <c r="AH130" s="286" t="s">
        <v>1</v>
      </c>
      <c r="AI130" s="295" t="s">
        <v>1</v>
      </c>
      <c r="AJ130" s="295" t="s">
        <v>1</v>
      </c>
      <c r="AK130" s="295" t="s">
        <v>1</v>
      </c>
      <c r="AL130" s="286">
        <v>103.8</v>
      </c>
      <c r="AM130" s="288" t="s">
        <v>1</v>
      </c>
      <c r="AN130" s="287" t="s">
        <v>1</v>
      </c>
      <c r="AO130" s="287" t="s">
        <v>1</v>
      </c>
      <c r="AP130" s="286" t="s">
        <v>1</v>
      </c>
      <c r="AQ130" s="285" t="s">
        <v>1</v>
      </c>
      <c r="AR130" s="289" t="s">
        <v>1</v>
      </c>
      <c r="AS130" s="289" t="s">
        <v>1</v>
      </c>
      <c r="AT130" s="290" t="s">
        <v>1</v>
      </c>
      <c r="AU130" s="287" t="s">
        <v>1</v>
      </c>
      <c r="AV130" s="287" t="s">
        <v>1</v>
      </c>
      <c r="AW130" s="291" t="s">
        <v>1</v>
      </c>
    </row>
    <row r="131" spans="1:49" ht="30.15" customHeight="1" x14ac:dyDescent="0.25">
      <c r="A131" s="188" t="s">
        <v>18</v>
      </c>
      <c r="B131" s="189" t="s">
        <v>1</v>
      </c>
      <c r="C131" s="188" t="s">
        <v>35</v>
      </c>
      <c r="D131" s="190" t="s">
        <v>3</v>
      </c>
      <c r="E131" s="190" t="s">
        <v>110</v>
      </c>
      <c r="F131" s="203"/>
      <c r="G131" s="190" t="s">
        <v>228</v>
      </c>
      <c r="H131" s="192" t="s">
        <v>409</v>
      </c>
      <c r="I131" s="193">
        <v>666</v>
      </c>
      <c r="J131" s="193">
        <v>712</v>
      </c>
      <c r="K131" s="193">
        <v>712</v>
      </c>
      <c r="L131" s="193">
        <v>519</v>
      </c>
      <c r="M131" s="194">
        <v>519</v>
      </c>
      <c r="N131" s="284" t="s">
        <v>1</v>
      </c>
      <c r="O131" s="285" t="s">
        <v>1</v>
      </c>
      <c r="P131" s="285" t="s">
        <v>1</v>
      </c>
      <c r="Q131" s="285" t="s">
        <v>1</v>
      </c>
      <c r="R131" s="285" t="s">
        <v>1</v>
      </c>
      <c r="S131" s="286" t="s">
        <v>1</v>
      </c>
      <c r="T131" s="285" t="s">
        <v>1</v>
      </c>
      <c r="U131" s="285" t="s">
        <v>1</v>
      </c>
      <c r="V131" s="285" t="s">
        <v>1</v>
      </c>
      <c r="W131" s="285" t="s">
        <v>1</v>
      </c>
      <c r="X131" s="286" t="s">
        <v>1</v>
      </c>
      <c r="Y131" s="285" t="s">
        <v>1</v>
      </c>
      <c r="Z131" s="285" t="s">
        <v>1</v>
      </c>
      <c r="AA131" s="285" t="s">
        <v>1</v>
      </c>
      <c r="AB131" s="285" t="s">
        <v>1</v>
      </c>
      <c r="AC131" s="286" t="s">
        <v>1</v>
      </c>
      <c r="AD131" s="285" t="s">
        <v>1</v>
      </c>
      <c r="AE131" s="285" t="s">
        <v>1</v>
      </c>
      <c r="AF131" s="285" t="s">
        <v>1</v>
      </c>
      <c r="AG131" s="285" t="s">
        <v>1</v>
      </c>
      <c r="AH131" s="286" t="s">
        <v>1</v>
      </c>
      <c r="AI131" s="295" t="s">
        <v>1</v>
      </c>
      <c r="AJ131" s="295" t="s">
        <v>1</v>
      </c>
      <c r="AK131" s="295" t="s">
        <v>1</v>
      </c>
      <c r="AL131" s="286">
        <v>103.8</v>
      </c>
      <c r="AM131" s="288" t="s">
        <v>1</v>
      </c>
      <c r="AN131" s="287" t="s">
        <v>1</v>
      </c>
      <c r="AO131" s="287" t="s">
        <v>1</v>
      </c>
      <c r="AP131" s="286" t="s">
        <v>1</v>
      </c>
      <c r="AQ131" s="285" t="s">
        <v>1</v>
      </c>
      <c r="AR131" s="289" t="s">
        <v>1</v>
      </c>
      <c r="AS131" s="289" t="s">
        <v>1</v>
      </c>
      <c r="AT131" s="290" t="s">
        <v>1</v>
      </c>
      <c r="AU131" s="287" t="s">
        <v>1</v>
      </c>
      <c r="AV131" s="287" t="s">
        <v>1</v>
      </c>
      <c r="AW131" s="291" t="s">
        <v>1</v>
      </c>
    </row>
    <row r="132" spans="1:49" ht="30.15" customHeight="1" x14ac:dyDescent="0.25">
      <c r="A132" s="188" t="s">
        <v>18</v>
      </c>
      <c r="B132" s="189" t="s">
        <v>1</v>
      </c>
      <c r="C132" s="188" t="s">
        <v>35</v>
      </c>
      <c r="D132" s="190" t="s">
        <v>3</v>
      </c>
      <c r="E132" s="190" t="s">
        <v>111</v>
      </c>
      <c r="F132" s="203"/>
      <c r="G132" s="190" t="s">
        <v>228</v>
      </c>
      <c r="H132" s="192" t="s">
        <v>409</v>
      </c>
      <c r="I132" s="193">
        <v>666</v>
      </c>
      <c r="J132" s="193">
        <v>712</v>
      </c>
      <c r="K132" s="193">
        <v>712</v>
      </c>
      <c r="L132" s="193">
        <v>519</v>
      </c>
      <c r="M132" s="194">
        <v>519</v>
      </c>
      <c r="N132" s="284" t="s">
        <v>1</v>
      </c>
      <c r="O132" s="285" t="s">
        <v>1</v>
      </c>
      <c r="P132" s="285" t="s">
        <v>1</v>
      </c>
      <c r="Q132" s="285" t="s">
        <v>1</v>
      </c>
      <c r="R132" s="285" t="s">
        <v>1</v>
      </c>
      <c r="S132" s="286" t="s">
        <v>1</v>
      </c>
      <c r="T132" s="285" t="s">
        <v>1</v>
      </c>
      <c r="U132" s="285" t="s">
        <v>1</v>
      </c>
      <c r="V132" s="285" t="s">
        <v>1</v>
      </c>
      <c r="W132" s="285" t="s">
        <v>1</v>
      </c>
      <c r="X132" s="286" t="s">
        <v>1</v>
      </c>
      <c r="Y132" s="285" t="s">
        <v>1</v>
      </c>
      <c r="Z132" s="285" t="s">
        <v>1</v>
      </c>
      <c r="AA132" s="285" t="s">
        <v>1</v>
      </c>
      <c r="AB132" s="285" t="s">
        <v>1</v>
      </c>
      <c r="AC132" s="286" t="s">
        <v>1</v>
      </c>
      <c r="AD132" s="285" t="s">
        <v>1</v>
      </c>
      <c r="AE132" s="285" t="s">
        <v>1</v>
      </c>
      <c r="AF132" s="285" t="s">
        <v>1</v>
      </c>
      <c r="AG132" s="285" t="s">
        <v>1</v>
      </c>
      <c r="AH132" s="286" t="s">
        <v>1</v>
      </c>
      <c r="AI132" s="295" t="s">
        <v>1</v>
      </c>
      <c r="AJ132" s="295" t="s">
        <v>1</v>
      </c>
      <c r="AK132" s="295" t="s">
        <v>1</v>
      </c>
      <c r="AL132" s="286">
        <v>103.8</v>
      </c>
      <c r="AM132" s="288" t="s">
        <v>1</v>
      </c>
      <c r="AN132" s="287" t="s">
        <v>1</v>
      </c>
      <c r="AO132" s="287" t="s">
        <v>1</v>
      </c>
      <c r="AP132" s="286" t="s">
        <v>1</v>
      </c>
      <c r="AQ132" s="285" t="s">
        <v>1</v>
      </c>
      <c r="AR132" s="289" t="s">
        <v>1</v>
      </c>
      <c r="AS132" s="289" t="s">
        <v>1</v>
      </c>
      <c r="AT132" s="290" t="s">
        <v>1</v>
      </c>
      <c r="AU132" s="287" t="s">
        <v>1</v>
      </c>
      <c r="AV132" s="287" t="s">
        <v>1</v>
      </c>
      <c r="AW132" s="291" t="s">
        <v>1</v>
      </c>
    </row>
    <row r="133" spans="1:49" ht="30.15" customHeight="1" x14ac:dyDescent="0.25">
      <c r="A133" s="188" t="s">
        <v>18</v>
      </c>
      <c r="B133" s="189" t="s">
        <v>1</v>
      </c>
      <c r="C133" s="188" t="s">
        <v>35</v>
      </c>
      <c r="D133" s="190" t="s">
        <v>3</v>
      </c>
      <c r="E133" s="190" t="s">
        <v>229</v>
      </c>
      <c r="F133" s="203"/>
      <c r="G133" s="190" t="s">
        <v>230</v>
      </c>
      <c r="H133" s="192" t="s">
        <v>409</v>
      </c>
      <c r="I133" s="193">
        <v>592</v>
      </c>
      <c r="J133" s="194">
        <v>620</v>
      </c>
      <c r="K133" s="193">
        <v>620</v>
      </c>
      <c r="L133" s="193">
        <v>389</v>
      </c>
      <c r="M133" s="194">
        <v>389</v>
      </c>
      <c r="N133" s="284" t="s">
        <v>1</v>
      </c>
      <c r="O133" s="285" t="s">
        <v>1</v>
      </c>
      <c r="P133" s="285" t="s">
        <v>1</v>
      </c>
      <c r="Q133" s="285" t="s">
        <v>1</v>
      </c>
      <c r="R133" s="285" t="s">
        <v>1</v>
      </c>
      <c r="S133" s="286" t="s">
        <v>1</v>
      </c>
      <c r="T133" s="285" t="s">
        <v>1</v>
      </c>
      <c r="U133" s="285" t="s">
        <v>1</v>
      </c>
      <c r="V133" s="285" t="s">
        <v>1</v>
      </c>
      <c r="W133" s="285" t="s">
        <v>1</v>
      </c>
      <c r="X133" s="286" t="s">
        <v>1</v>
      </c>
      <c r="Y133" s="285" t="s">
        <v>1</v>
      </c>
      <c r="Z133" s="285" t="s">
        <v>1</v>
      </c>
      <c r="AA133" s="285" t="s">
        <v>1</v>
      </c>
      <c r="AB133" s="285" t="s">
        <v>1</v>
      </c>
      <c r="AC133" s="286" t="s">
        <v>1</v>
      </c>
      <c r="AD133" s="285" t="s">
        <v>1</v>
      </c>
      <c r="AE133" s="285" t="s">
        <v>1</v>
      </c>
      <c r="AF133" s="285" t="s">
        <v>1</v>
      </c>
      <c r="AG133" s="285" t="s">
        <v>1</v>
      </c>
      <c r="AH133" s="286" t="s">
        <v>1</v>
      </c>
      <c r="AI133" s="295" t="s">
        <v>1</v>
      </c>
      <c r="AJ133" s="295" t="s">
        <v>1</v>
      </c>
      <c r="AK133" s="295" t="s">
        <v>1</v>
      </c>
      <c r="AL133" s="286">
        <v>77.8</v>
      </c>
      <c r="AM133" s="288" t="s">
        <v>1</v>
      </c>
      <c r="AN133" s="287" t="s">
        <v>1</v>
      </c>
      <c r="AO133" s="287" t="s">
        <v>1</v>
      </c>
      <c r="AP133" s="286" t="s">
        <v>1</v>
      </c>
      <c r="AQ133" s="285" t="s">
        <v>1</v>
      </c>
      <c r="AR133" s="289" t="s">
        <v>1</v>
      </c>
      <c r="AS133" s="289" t="s">
        <v>1</v>
      </c>
      <c r="AT133" s="290" t="s">
        <v>1</v>
      </c>
      <c r="AU133" s="287" t="s">
        <v>1</v>
      </c>
      <c r="AV133" s="287" t="s">
        <v>1</v>
      </c>
      <c r="AW133" s="291" t="s">
        <v>1</v>
      </c>
    </row>
    <row r="134" spans="1:49" ht="30.15" customHeight="1" x14ac:dyDescent="0.25">
      <c r="A134" s="188" t="s">
        <v>18</v>
      </c>
      <c r="B134" s="189" t="s">
        <v>1</v>
      </c>
      <c r="C134" s="188" t="s">
        <v>35</v>
      </c>
      <c r="D134" s="190" t="s">
        <v>3</v>
      </c>
      <c r="E134" s="190" t="s">
        <v>117</v>
      </c>
      <c r="F134" s="203"/>
      <c r="G134" s="190" t="s">
        <v>120</v>
      </c>
      <c r="H134" s="192" t="s">
        <v>409</v>
      </c>
      <c r="I134" s="193">
        <v>1258</v>
      </c>
      <c r="J134" s="193">
        <v>1330</v>
      </c>
      <c r="K134" s="193">
        <v>1330</v>
      </c>
      <c r="L134" s="193">
        <v>1359</v>
      </c>
      <c r="M134" s="194">
        <v>1359</v>
      </c>
      <c r="N134" s="284" t="s">
        <v>1</v>
      </c>
      <c r="O134" s="285" t="s">
        <v>1</v>
      </c>
      <c r="P134" s="285" t="s">
        <v>1</v>
      </c>
      <c r="Q134" s="285" t="s">
        <v>1</v>
      </c>
      <c r="R134" s="285" t="s">
        <v>1</v>
      </c>
      <c r="S134" s="286" t="s">
        <v>1</v>
      </c>
      <c r="T134" s="285" t="s">
        <v>1</v>
      </c>
      <c r="U134" s="285" t="s">
        <v>1</v>
      </c>
      <c r="V134" s="285" t="s">
        <v>1</v>
      </c>
      <c r="W134" s="285" t="s">
        <v>1</v>
      </c>
      <c r="X134" s="286" t="s">
        <v>1</v>
      </c>
      <c r="Y134" s="285" t="s">
        <v>1</v>
      </c>
      <c r="Z134" s="285" t="s">
        <v>1</v>
      </c>
      <c r="AA134" s="285" t="s">
        <v>1</v>
      </c>
      <c r="AB134" s="285" t="s">
        <v>1</v>
      </c>
      <c r="AC134" s="286" t="s">
        <v>1</v>
      </c>
      <c r="AD134" s="285" t="s">
        <v>1</v>
      </c>
      <c r="AE134" s="285" t="s">
        <v>1</v>
      </c>
      <c r="AF134" s="285" t="s">
        <v>1</v>
      </c>
      <c r="AG134" s="285" t="s">
        <v>1</v>
      </c>
      <c r="AH134" s="286" t="s">
        <v>1</v>
      </c>
      <c r="AI134" s="295" t="s">
        <v>1</v>
      </c>
      <c r="AJ134" s="295" t="s">
        <v>1</v>
      </c>
      <c r="AK134" s="295" t="s">
        <v>1</v>
      </c>
      <c r="AL134" s="286">
        <v>271.8</v>
      </c>
      <c r="AM134" s="288" t="s">
        <v>1</v>
      </c>
      <c r="AN134" s="287" t="s">
        <v>1</v>
      </c>
      <c r="AO134" s="287" t="s">
        <v>1</v>
      </c>
      <c r="AP134" s="286" t="s">
        <v>1</v>
      </c>
      <c r="AQ134" s="285" t="s">
        <v>1</v>
      </c>
      <c r="AR134" s="289" t="s">
        <v>1</v>
      </c>
      <c r="AS134" s="289" t="s">
        <v>1</v>
      </c>
      <c r="AT134" s="290" t="s">
        <v>1</v>
      </c>
      <c r="AU134" s="287" t="s">
        <v>1</v>
      </c>
      <c r="AV134" s="287" t="s">
        <v>1</v>
      </c>
      <c r="AW134" s="291" t="s">
        <v>1</v>
      </c>
    </row>
    <row r="135" spans="1:49" ht="30.15" customHeight="1" x14ac:dyDescent="0.25">
      <c r="A135" s="188" t="s">
        <v>18</v>
      </c>
      <c r="B135" s="189" t="s">
        <v>1</v>
      </c>
      <c r="C135" s="188" t="s">
        <v>35</v>
      </c>
      <c r="D135" s="190" t="s">
        <v>3</v>
      </c>
      <c r="E135" s="190" t="s">
        <v>119</v>
      </c>
      <c r="F135" s="203"/>
      <c r="G135" s="190" t="s">
        <v>120</v>
      </c>
      <c r="H135" s="192" t="s">
        <v>409</v>
      </c>
      <c r="I135" s="193">
        <v>1258</v>
      </c>
      <c r="J135" s="193">
        <v>1330</v>
      </c>
      <c r="K135" s="193">
        <v>1330</v>
      </c>
      <c r="L135" s="193">
        <v>1359</v>
      </c>
      <c r="M135" s="194">
        <v>1359</v>
      </c>
      <c r="N135" s="284" t="s">
        <v>1</v>
      </c>
      <c r="O135" s="285" t="s">
        <v>1</v>
      </c>
      <c r="P135" s="285" t="s">
        <v>1</v>
      </c>
      <c r="Q135" s="285" t="s">
        <v>1</v>
      </c>
      <c r="R135" s="285" t="s">
        <v>1</v>
      </c>
      <c r="S135" s="286" t="s">
        <v>1</v>
      </c>
      <c r="T135" s="285" t="s">
        <v>1</v>
      </c>
      <c r="U135" s="285" t="s">
        <v>1</v>
      </c>
      <c r="V135" s="285" t="s">
        <v>1</v>
      </c>
      <c r="W135" s="285" t="s">
        <v>1</v>
      </c>
      <c r="X135" s="286" t="s">
        <v>1</v>
      </c>
      <c r="Y135" s="285" t="s">
        <v>1</v>
      </c>
      <c r="Z135" s="285" t="s">
        <v>1</v>
      </c>
      <c r="AA135" s="285" t="s">
        <v>1</v>
      </c>
      <c r="AB135" s="285" t="s">
        <v>1</v>
      </c>
      <c r="AC135" s="286" t="s">
        <v>1</v>
      </c>
      <c r="AD135" s="285" t="s">
        <v>1</v>
      </c>
      <c r="AE135" s="285" t="s">
        <v>1</v>
      </c>
      <c r="AF135" s="285" t="s">
        <v>1</v>
      </c>
      <c r="AG135" s="285" t="s">
        <v>1</v>
      </c>
      <c r="AH135" s="286" t="s">
        <v>1</v>
      </c>
      <c r="AI135" s="295" t="s">
        <v>1</v>
      </c>
      <c r="AJ135" s="295" t="s">
        <v>1</v>
      </c>
      <c r="AK135" s="295" t="s">
        <v>1</v>
      </c>
      <c r="AL135" s="286">
        <v>271.8</v>
      </c>
      <c r="AM135" s="288" t="s">
        <v>1</v>
      </c>
      <c r="AN135" s="287" t="s">
        <v>1</v>
      </c>
      <c r="AO135" s="287" t="s">
        <v>1</v>
      </c>
      <c r="AP135" s="286" t="s">
        <v>1</v>
      </c>
      <c r="AQ135" s="285" t="s">
        <v>1</v>
      </c>
      <c r="AR135" s="289" t="s">
        <v>1</v>
      </c>
      <c r="AS135" s="289" t="s">
        <v>1</v>
      </c>
      <c r="AT135" s="290" t="s">
        <v>1</v>
      </c>
      <c r="AU135" s="287" t="s">
        <v>1</v>
      </c>
      <c r="AV135" s="287" t="s">
        <v>1</v>
      </c>
      <c r="AW135" s="291" t="s">
        <v>1</v>
      </c>
    </row>
    <row r="136" spans="1:49" ht="30.15" customHeight="1" x14ac:dyDescent="0.25">
      <c r="A136" s="188" t="s">
        <v>18</v>
      </c>
      <c r="B136" s="189" t="s">
        <v>1</v>
      </c>
      <c r="C136" s="188" t="s">
        <v>35</v>
      </c>
      <c r="D136" s="190" t="s">
        <v>3</v>
      </c>
      <c r="E136" s="190" t="s">
        <v>118</v>
      </c>
      <c r="F136" s="203"/>
      <c r="G136" s="190" t="s">
        <v>120</v>
      </c>
      <c r="H136" s="192" t="s">
        <v>409</v>
      </c>
      <c r="I136" s="193">
        <v>1258</v>
      </c>
      <c r="J136" s="193">
        <v>1330</v>
      </c>
      <c r="K136" s="193">
        <v>1330</v>
      </c>
      <c r="L136" s="193">
        <v>1359</v>
      </c>
      <c r="M136" s="194">
        <v>1359</v>
      </c>
      <c r="N136" s="284" t="s">
        <v>1</v>
      </c>
      <c r="O136" s="285" t="s">
        <v>1</v>
      </c>
      <c r="P136" s="285" t="s">
        <v>1</v>
      </c>
      <c r="Q136" s="285" t="s">
        <v>1</v>
      </c>
      <c r="R136" s="285" t="s">
        <v>1</v>
      </c>
      <c r="S136" s="286" t="s">
        <v>1</v>
      </c>
      <c r="T136" s="285" t="s">
        <v>1</v>
      </c>
      <c r="U136" s="285" t="s">
        <v>1</v>
      </c>
      <c r="V136" s="285" t="s">
        <v>1</v>
      </c>
      <c r="W136" s="285" t="s">
        <v>1</v>
      </c>
      <c r="X136" s="286" t="s">
        <v>1</v>
      </c>
      <c r="Y136" s="285" t="s">
        <v>1</v>
      </c>
      <c r="Z136" s="285" t="s">
        <v>1</v>
      </c>
      <c r="AA136" s="285" t="s">
        <v>1</v>
      </c>
      <c r="AB136" s="285" t="s">
        <v>1</v>
      </c>
      <c r="AC136" s="286" t="s">
        <v>1</v>
      </c>
      <c r="AD136" s="285" t="s">
        <v>1</v>
      </c>
      <c r="AE136" s="285" t="s">
        <v>1</v>
      </c>
      <c r="AF136" s="285" t="s">
        <v>1</v>
      </c>
      <c r="AG136" s="285" t="s">
        <v>1</v>
      </c>
      <c r="AH136" s="286" t="s">
        <v>1</v>
      </c>
      <c r="AI136" s="295" t="s">
        <v>1</v>
      </c>
      <c r="AJ136" s="295" t="s">
        <v>1</v>
      </c>
      <c r="AK136" s="295" t="s">
        <v>1</v>
      </c>
      <c r="AL136" s="286">
        <v>271.8</v>
      </c>
      <c r="AM136" s="288" t="s">
        <v>1</v>
      </c>
      <c r="AN136" s="287" t="s">
        <v>1</v>
      </c>
      <c r="AO136" s="287" t="s">
        <v>1</v>
      </c>
      <c r="AP136" s="286" t="s">
        <v>1</v>
      </c>
      <c r="AQ136" s="285" t="s">
        <v>1</v>
      </c>
      <c r="AR136" s="289" t="s">
        <v>1</v>
      </c>
      <c r="AS136" s="289" t="s">
        <v>1</v>
      </c>
      <c r="AT136" s="290" t="s">
        <v>1</v>
      </c>
      <c r="AU136" s="287" t="s">
        <v>1</v>
      </c>
      <c r="AV136" s="287" t="s">
        <v>1</v>
      </c>
      <c r="AW136" s="291" t="s">
        <v>1</v>
      </c>
    </row>
    <row r="137" spans="1:49" ht="30.15" customHeight="1" x14ac:dyDescent="0.25">
      <c r="A137" s="188" t="s">
        <v>18</v>
      </c>
      <c r="B137" s="188" t="s">
        <v>1</v>
      </c>
      <c r="C137" s="188" t="s">
        <v>35</v>
      </c>
      <c r="D137" s="190" t="s">
        <v>3</v>
      </c>
      <c r="E137" s="190" t="s">
        <v>286</v>
      </c>
      <c r="F137" s="203"/>
      <c r="G137" s="190" t="s">
        <v>287</v>
      </c>
      <c r="H137" s="192" t="s">
        <v>409</v>
      </c>
      <c r="I137" s="194">
        <v>1129</v>
      </c>
      <c r="J137" s="194">
        <v>1149</v>
      </c>
      <c r="K137" s="193">
        <v>1149</v>
      </c>
      <c r="L137" s="193">
        <v>1219</v>
      </c>
      <c r="M137" s="194">
        <v>1219</v>
      </c>
      <c r="N137" s="284" t="s">
        <v>1</v>
      </c>
      <c r="O137" s="285" t="s">
        <v>1</v>
      </c>
      <c r="P137" s="285" t="s">
        <v>1</v>
      </c>
      <c r="Q137" s="285" t="s">
        <v>1</v>
      </c>
      <c r="R137" s="285" t="s">
        <v>1</v>
      </c>
      <c r="S137" s="286" t="s">
        <v>1</v>
      </c>
      <c r="T137" s="285" t="s">
        <v>1</v>
      </c>
      <c r="U137" s="285" t="s">
        <v>1</v>
      </c>
      <c r="V137" s="285" t="s">
        <v>1</v>
      </c>
      <c r="W137" s="285" t="s">
        <v>1</v>
      </c>
      <c r="X137" s="286" t="s">
        <v>1</v>
      </c>
      <c r="Y137" s="285" t="s">
        <v>1</v>
      </c>
      <c r="Z137" s="285" t="s">
        <v>1</v>
      </c>
      <c r="AA137" s="285" t="s">
        <v>1</v>
      </c>
      <c r="AB137" s="285" t="s">
        <v>1</v>
      </c>
      <c r="AC137" s="286" t="s">
        <v>1</v>
      </c>
      <c r="AD137" s="285" t="s">
        <v>1</v>
      </c>
      <c r="AE137" s="285" t="s">
        <v>1</v>
      </c>
      <c r="AF137" s="285" t="s">
        <v>1</v>
      </c>
      <c r="AG137" s="285" t="s">
        <v>1</v>
      </c>
      <c r="AH137" s="286" t="s">
        <v>1</v>
      </c>
      <c r="AI137" s="295" t="s">
        <v>1</v>
      </c>
      <c r="AJ137" s="295" t="s">
        <v>1</v>
      </c>
      <c r="AK137" s="295" t="s">
        <v>1</v>
      </c>
      <c r="AL137" s="286">
        <v>243.8</v>
      </c>
      <c r="AM137" s="288" t="s">
        <v>1</v>
      </c>
      <c r="AN137" s="287" t="s">
        <v>1</v>
      </c>
      <c r="AO137" s="287" t="s">
        <v>1</v>
      </c>
      <c r="AP137" s="286" t="s">
        <v>1</v>
      </c>
      <c r="AQ137" s="285" t="s">
        <v>1</v>
      </c>
      <c r="AR137" s="289" t="s">
        <v>1</v>
      </c>
      <c r="AS137" s="289" t="s">
        <v>1</v>
      </c>
      <c r="AT137" s="290" t="s">
        <v>1</v>
      </c>
      <c r="AU137" s="287" t="s">
        <v>1</v>
      </c>
      <c r="AV137" s="287" t="s">
        <v>1</v>
      </c>
      <c r="AW137" s="291" t="s">
        <v>1</v>
      </c>
    </row>
    <row r="138" spans="1:49" ht="30.15" customHeight="1" x14ac:dyDescent="0.25">
      <c r="A138" s="188" t="s">
        <v>18</v>
      </c>
      <c r="B138" s="188" t="s">
        <v>1</v>
      </c>
      <c r="C138" s="188" t="s">
        <v>35</v>
      </c>
      <c r="D138" s="190" t="s">
        <v>3</v>
      </c>
      <c r="E138" s="190" t="s">
        <v>533</v>
      </c>
      <c r="F138" s="203"/>
      <c r="G138" s="190" t="s">
        <v>536</v>
      </c>
      <c r="H138" s="192" t="s">
        <v>907</v>
      </c>
      <c r="I138" s="194">
        <v>1110</v>
      </c>
      <c r="J138" s="194">
        <v>1160</v>
      </c>
      <c r="K138" s="193">
        <v>1160</v>
      </c>
      <c r="L138" s="193">
        <v>1199</v>
      </c>
      <c r="M138" s="194">
        <v>1199</v>
      </c>
      <c r="N138" s="284" t="s">
        <v>1</v>
      </c>
      <c r="O138" s="285" t="s">
        <v>1</v>
      </c>
      <c r="P138" s="285" t="s">
        <v>1</v>
      </c>
      <c r="Q138" s="285" t="s">
        <v>1</v>
      </c>
      <c r="R138" s="285" t="s">
        <v>1</v>
      </c>
      <c r="S138" s="286" t="s">
        <v>1</v>
      </c>
      <c r="T138" s="285" t="s">
        <v>1</v>
      </c>
      <c r="U138" s="285" t="s">
        <v>1</v>
      </c>
      <c r="V138" s="285" t="s">
        <v>1</v>
      </c>
      <c r="W138" s="285" t="s">
        <v>1</v>
      </c>
      <c r="X138" s="286" t="s">
        <v>1</v>
      </c>
      <c r="Y138" s="285" t="s">
        <v>1</v>
      </c>
      <c r="Z138" s="285" t="s">
        <v>1</v>
      </c>
      <c r="AA138" s="285" t="s">
        <v>1</v>
      </c>
      <c r="AB138" s="285" t="s">
        <v>1</v>
      </c>
      <c r="AC138" s="286" t="s">
        <v>1</v>
      </c>
      <c r="AD138" s="285" t="s">
        <v>1</v>
      </c>
      <c r="AE138" s="285" t="s">
        <v>1</v>
      </c>
      <c r="AF138" s="285" t="s">
        <v>1</v>
      </c>
      <c r="AG138" s="285" t="s">
        <v>1</v>
      </c>
      <c r="AH138" s="286" t="s">
        <v>1</v>
      </c>
      <c r="AI138" s="295" t="s">
        <v>1</v>
      </c>
      <c r="AJ138" s="295" t="s">
        <v>1</v>
      </c>
      <c r="AK138" s="295" t="s">
        <v>1</v>
      </c>
      <c r="AL138" s="286">
        <v>239.8</v>
      </c>
      <c r="AM138" s="288" t="s">
        <v>1</v>
      </c>
      <c r="AN138" s="287" t="s">
        <v>1</v>
      </c>
      <c r="AO138" s="287" t="s">
        <v>1</v>
      </c>
      <c r="AP138" s="286" t="s">
        <v>1</v>
      </c>
      <c r="AQ138" s="285" t="s">
        <v>1</v>
      </c>
      <c r="AR138" s="289" t="s">
        <v>1</v>
      </c>
      <c r="AS138" s="289" t="s">
        <v>1</v>
      </c>
      <c r="AT138" s="290" t="s">
        <v>1</v>
      </c>
      <c r="AU138" s="287" t="s">
        <v>1</v>
      </c>
      <c r="AV138" s="287" t="s">
        <v>1</v>
      </c>
      <c r="AW138" s="291" t="s">
        <v>1</v>
      </c>
    </row>
    <row r="139" spans="1:49" ht="30.15" customHeight="1" x14ac:dyDescent="0.25">
      <c r="A139" s="188" t="s">
        <v>18</v>
      </c>
      <c r="B139" s="188" t="s">
        <v>1</v>
      </c>
      <c r="C139" s="188" t="s">
        <v>35</v>
      </c>
      <c r="D139" s="190" t="s">
        <v>3</v>
      </c>
      <c r="E139" s="190" t="s">
        <v>857</v>
      </c>
      <c r="F139" s="203"/>
      <c r="G139" s="190" t="s">
        <v>873</v>
      </c>
      <c r="H139" s="192" t="s">
        <v>414</v>
      </c>
      <c r="I139" s="194">
        <v>1157</v>
      </c>
      <c r="J139" s="194">
        <v>1187.5</v>
      </c>
      <c r="K139" s="194">
        <v>1187.5</v>
      </c>
      <c r="L139" s="193">
        <v>1250</v>
      </c>
      <c r="M139" s="194">
        <v>1250</v>
      </c>
      <c r="N139" s="284" t="s">
        <v>1</v>
      </c>
      <c r="O139" s="285" t="s">
        <v>1</v>
      </c>
      <c r="P139" s="285" t="s">
        <v>1</v>
      </c>
      <c r="Q139" s="285" t="s">
        <v>1</v>
      </c>
      <c r="R139" s="285" t="s">
        <v>1</v>
      </c>
      <c r="S139" s="286" t="s">
        <v>1</v>
      </c>
      <c r="T139" s="285" t="s">
        <v>1</v>
      </c>
      <c r="U139" s="285" t="s">
        <v>1</v>
      </c>
      <c r="V139" s="285" t="s">
        <v>1</v>
      </c>
      <c r="W139" s="285" t="s">
        <v>1</v>
      </c>
      <c r="X139" s="286" t="s">
        <v>1</v>
      </c>
      <c r="Y139" s="285" t="s">
        <v>1</v>
      </c>
      <c r="Z139" s="285" t="s">
        <v>1</v>
      </c>
      <c r="AA139" s="285" t="s">
        <v>1</v>
      </c>
      <c r="AB139" s="285" t="s">
        <v>1</v>
      </c>
      <c r="AC139" s="286" t="s">
        <v>1</v>
      </c>
      <c r="AD139" s="285" t="s">
        <v>1</v>
      </c>
      <c r="AE139" s="285" t="s">
        <v>1</v>
      </c>
      <c r="AF139" s="285" t="s">
        <v>1</v>
      </c>
      <c r="AG139" s="285" t="s">
        <v>1</v>
      </c>
      <c r="AH139" s="286" t="s">
        <v>1</v>
      </c>
      <c r="AI139" s="295" t="s">
        <v>1</v>
      </c>
      <c r="AJ139" s="295" t="s">
        <v>1</v>
      </c>
      <c r="AK139" s="295" t="s">
        <v>1</v>
      </c>
      <c r="AL139" s="286">
        <v>250</v>
      </c>
      <c r="AM139" s="288" t="s">
        <v>1</v>
      </c>
      <c r="AN139" s="287" t="s">
        <v>1</v>
      </c>
      <c r="AO139" s="287" t="s">
        <v>1</v>
      </c>
      <c r="AP139" s="286" t="s">
        <v>1</v>
      </c>
      <c r="AQ139" s="285" t="s">
        <v>1</v>
      </c>
      <c r="AR139" s="289" t="s">
        <v>1</v>
      </c>
      <c r="AS139" s="289" t="s">
        <v>1</v>
      </c>
      <c r="AT139" s="290" t="s">
        <v>1</v>
      </c>
      <c r="AU139" s="287" t="s">
        <v>1</v>
      </c>
      <c r="AV139" s="287" t="s">
        <v>1</v>
      </c>
      <c r="AW139" s="291" t="s">
        <v>1</v>
      </c>
    </row>
    <row r="140" spans="1:49" ht="30.15" customHeight="1" x14ac:dyDescent="0.25">
      <c r="A140" s="188" t="s">
        <v>18</v>
      </c>
      <c r="B140" s="188" t="s">
        <v>1</v>
      </c>
      <c r="C140" s="188" t="s">
        <v>35</v>
      </c>
      <c r="D140" s="190" t="s">
        <v>3</v>
      </c>
      <c r="E140" s="190" t="s">
        <v>858</v>
      </c>
      <c r="F140" s="203"/>
      <c r="G140" s="190" t="s">
        <v>873</v>
      </c>
      <c r="H140" s="192" t="s">
        <v>414</v>
      </c>
      <c r="I140" s="194">
        <v>1157</v>
      </c>
      <c r="J140" s="194">
        <v>1187.5</v>
      </c>
      <c r="K140" s="194">
        <v>1187.5</v>
      </c>
      <c r="L140" s="193">
        <v>1250</v>
      </c>
      <c r="M140" s="194">
        <v>1250</v>
      </c>
      <c r="N140" s="284" t="s">
        <v>1</v>
      </c>
      <c r="O140" s="285" t="s">
        <v>1</v>
      </c>
      <c r="P140" s="285" t="s">
        <v>1</v>
      </c>
      <c r="Q140" s="285" t="s">
        <v>1</v>
      </c>
      <c r="R140" s="285" t="s">
        <v>1</v>
      </c>
      <c r="S140" s="286" t="s">
        <v>1</v>
      </c>
      <c r="T140" s="285" t="s">
        <v>1</v>
      </c>
      <c r="U140" s="285" t="s">
        <v>1</v>
      </c>
      <c r="V140" s="285" t="s">
        <v>1</v>
      </c>
      <c r="W140" s="285" t="s">
        <v>1</v>
      </c>
      <c r="X140" s="286" t="s">
        <v>1</v>
      </c>
      <c r="Y140" s="285" t="s">
        <v>1</v>
      </c>
      <c r="Z140" s="285" t="s">
        <v>1</v>
      </c>
      <c r="AA140" s="285" t="s">
        <v>1</v>
      </c>
      <c r="AB140" s="285" t="s">
        <v>1</v>
      </c>
      <c r="AC140" s="286" t="s">
        <v>1</v>
      </c>
      <c r="AD140" s="285" t="s">
        <v>1</v>
      </c>
      <c r="AE140" s="285" t="s">
        <v>1</v>
      </c>
      <c r="AF140" s="285" t="s">
        <v>1</v>
      </c>
      <c r="AG140" s="285" t="s">
        <v>1</v>
      </c>
      <c r="AH140" s="286" t="s">
        <v>1</v>
      </c>
      <c r="AI140" s="295" t="s">
        <v>1</v>
      </c>
      <c r="AJ140" s="295" t="s">
        <v>1</v>
      </c>
      <c r="AK140" s="295" t="s">
        <v>1</v>
      </c>
      <c r="AL140" s="286">
        <v>250</v>
      </c>
      <c r="AM140" s="288" t="s">
        <v>1</v>
      </c>
      <c r="AN140" s="287" t="s">
        <v>1</v>
      </c>
      <c r="AO140" s="287" t="s">
        <v>1</v>
      </c>
      <c r="AP140" s="286" t="s">
        <v>1</v>
      </c>
      <c r="AQ140" s="285" t="s">
        <v>1</v>
      </c>
      <c r="AR140" s="289" t="s">
        <v>1</v>
      </c>
      <c r="AS140" s="289" t="s">
        <v>1</v>
      </c>
      <c r="AT140" s="290" t="s">
        <v>1</v>
      </c>
      <c r="AU140" s="287" t="s">
        <v>1</v>
      </c>
      <c r="AV140" s="287" t="s">
        <v>1</v>
      </c>
      <c r="AW140" s="291" t="s">
        <v>1</v>
      </c>
    </row>
    <row r="141" spans="1:49" ht="30.15" customHeight="1" x14ac:dyDescent="0.25">
      <c r="A141" s="188" t="s">
        <v>18</v>
      </c>
      <c r="B141" s="188" t="s">
        <v>1</v>
      </c>
      <c r="C141" s="188" t="s">
        <v>35</v>
      </c>
      <c r="D141" s="190" t="s">
        <v>3</v>
      </c>
      <c r="E141" s="190" t="s">
        <v>1262</v>
      </c>
      <c r="F141" s="203"/>
      <c r="G141" s="190" t="s">
        <v>1263</v>
      </c>
      <c r="H141" s="192" t="s">
        <v>409</v>
      </c>
      <c r="I141" s="194">
        <v>1110</v>
      </c>
      <c r="J141" s="194">
        <v>1132</v>
      </c>
      <c r="K141" s="194">
        <v>1132</v>
      </c>
      <c r="L141" s="193">
        <v>1199</v>
      </c>
      <c r="M141" s="194">
        <v>1199</v>
      </c>
      <c r="N141" s="284" t="s">
        <v>1</v>
      </c>
      <c r="O141" s="285" t="s">
        <v>1</v>
      </c>
      <c r="P141" s="285" t="s">
        <v>1</v>
      </c>
      <c r="Q141" s="285" t="s">
        <v>1</v>
      </c>
      <c r="R141" s="285" t="s">
        <v>1</v>
      </c>
      <c r="S141" s="286" t="s">
        <v>1</v>
      </c>
      <c r="T141" s="285" t="s">
        <v>1</v>
      </c>
      <c r="U141" s="285" t="s">
        <v>1</v>
      </c>
      <c r="V141" s="285" t="s">
        <v>1</v>
      </c>
      <c r="W141" s="285" t="s">
        <v>1</v>
      </c>
      <c r="X141" s="286" t="s">
        <v>1</v>
      </c>
      <c r="Y141" s="285" t="s">
        <v>1</v>
      </c>
      <c r="Z141" s="285" t="s">
        <v>1</v>
      </c>
      <c r="AA141" s="285" t="s">
        <v>1</v>
      </c>
      <c r="AB141" s="285" t="s">
        <v>1</v>
      </c>
      <c r="AC141" s="286" t="s">
        <v>1</v>
      </c>
      <c r="AD141" s="285" t="s">
        <v>1</v>
      </c>
      <c r="AE141" s="285" t="s">
        <v>1</v>
      </c>
      <c r="AF141" s="285" t="s">
        <v>1</v>
      </c>
      <c r="AG141" s="285" t="s">
        <v>1</v>
      </c>
      <c r="AH141" s="286" t="s">
        <v>1</v>
      </c>
      <c r="AI141" s="295" t="s">
        <v>1</v>
      </c>
      <c r="AJ141" s="295" t="s">
        <v>1</v>
      </c>
      <c r="AK141" s="295" t="s">
        <v>1</v>
      </c>
      <c r="AL141" s="286">
        <v>239.8</v>
      </c>
      <c r="AM141" s="288" t="s">
        <v>1</v>
      </c>
      <c r="AN141" s="287" t="s">
        <v>1</v>
      </c>
      <c r="AO141" s="287" t="s">
        <v>1</v>
      </c>
      <c r="AP141" s="286" t="s">
        <v>1</v>
      </c>
      <c r="AQ141" s="285" t="s">
        <v>1</v>
      </c>
      <c r="AR141" s="289" t="s">
        <v>1</v>
      </c>
      <c r="AS141" s="289" t="s">
        <v>1</v>
      </c>
      <c r="AT141" s="290" t="s">
        <v>1</v>
      </c>
      <c r="AU141" s="287" t="s">
        <v>1</v>
      </c>
      <c r="AV141" s="287" t="s">
        <v>1</v>
      </c>
      <c r="AW141" s="291" t="s">
        <v>1</v>
      </c>
    </row>
    <row r="142" spans="1:49" ht="30.15" customHeight="1" x14ac:dyDescent="0.25">
      <c r="A142" s="260" t="s">
        <v>18</v>
      </c>
      <c r="B142" s="260" t="s">
        <v>1</v>
      </c>
      <c r="C142" s="260" t="s">
        <v>35</v>
      </c>
      <c r="D142" s="261" t="s">
        <v>3</v>
      </c>
      <c r="E142" s="261" t="s">
        <v>1271</v>
      </c>
      <c r="F142" s="262"/>
      <c r="G142" s="261" t="s">
        <v>1263</v>
      </c>
      <c r="H142" s="263" t="s">
        <v>414</v>
      </c>
      <c r="I142" s="264">
        <v>1110</v>
      </c>
      <c r="J142" s="264">
        <v>1132</v>
      </c>
      <c r="K142" s="264">
        <v>1132</v>
      </c>
      <c r="L142" s="265">
        <v>1199</v>
      </c>
      <c r="M142" s="264">
        <v>1199</v>
      </c>
      <c r="N142" s="284" t="s">
        <v>1</v>
      </c>
      <c r="O142" s="296" t="s">
        <v>1</v>
      </c>
      <c r="P142" s="296" t="s">
        <v>1</v>
      </c>
      <c r="Q142" s="296" t="s">
        <v>1</v>
      </c>
      <c r="R142" s="296" t="s">
        <v>1</v>
      </c>
      <c r="S142" s="286" t="s">
        <v>1</v>
      </c>
      <c r="T142" s="296" t="s">
        <v>1</v>
      </c>
      <c r="U142" s="296" t="s">
        <v>1</v>
      </c>
      <c r="V142" s="296" t="s">
        <v>1</v>
      </c>
      <c r="W142" s="296" t="s">
        <v>1</v>
      </c>
      <c r="X142" s="286" t="s">
        <v>1</v>
      </c>
      <c r="Y142" s="296" t="s">
        <v>1</v>
      </c>
      <c r="Z142" s="296" t="s">
        <v>1</v>
      </c>
      <c r="AA142" s="296" t="s">
        <v>1</v>
      </c>
      <c r="AB142" s="296" t="s">
        <v>1</v>
      </c>
      <c r="AC142" s="286" t="s">
        <v>1</v>
      </c>
      <c r="AD142" s="296" t="s">
        <v>1</v>
      </c>
      <c r="AE142" s="296" t="s">
        <v>1</v>
      </c>
      <c r="AF142" s="296" t="s">
        <v>1</v>
      </c>
      <c r="AG142" s="296" t="s">
        <v>1</v>
      </c>
      <c r="AH142" s="286" t="s">
        <v>1</v>
      </c>
      <c r="AI142" s="297" t="s">
        <v>1</v>
      </c>
      <c r="AJ142" s="297" t="s">
        <v>1</v>
      </c>
      <c r="AK142" s="297" t="s">
        <v>1</v>
      </c>
      <c r="AL142" s="286">
        <v>239.8</v>
      </c>
      <c r="AM142" s="298" t="s">
        <v>1</v>
      </c>
      <c r="AN142" s="299" t="s">
        <v>1</v>
      </c>
      <c r="AO142" s="299" t="s">
        <v>1</v>
      </c>
      <c r="AP142" s="286" t="s">
        <v>1</v>
      </c>
      <c r="AQ142" s="296" t="s">
        <v>1</v>
      </c>
      <c r="AR142" s="300" t="s">
        <v>1</v>
      </c>
      <c r="AS142" s="300" t="s">
        <v>1</v>
      </c>
      <c r="AT142" s="290" t="s">
        <v>1</v>
      </c>
      <c r="AU142" s="299" t="s">
        <v>1</v>
      </c>
      <c r="AV142" s="299" t="s">
        <v>1</v>
      </c>
      <c r="AW142" s="301" t="s">
        <v>1</v>
      </c>
    </row>
    <row r="143" spans="1:49" ht="30.15" customHeight="1" x14ac:dyDescent="0.25">
      <c r="A143" s="260" t="s">
        <v>18</v>
      </c>
      <c r="B143" s="260" t="s">
        <v>1</v>
      </c>
      <c r="C143" s="260" t="s">
        <v>35</v>
      </c>
      <c r="D143" s="261" t="s">
        <v>3</v>
      </c>
      <c r="E143" s="261" t="s">
        <v>1272</v>
      </c>
      <c r="F143" s="262"/>
      <c r="G143" s="261" t="s">
        <v>1279</v>
      </c>
      <c r="H143" s="263" t="s">
        <v>414</v>
      </c>
      <c r="I143" s="264">
        <v>1231</v>
      </c>
      <c r="J143" s="264">
        <v>1256</v>
      </c>
      <c r="K143" s="264">
        <v>1256</v>
      </c>
      <c r="L143" s="265">
        <v>1330</v>
      </c>
      <c r="M143" s="264">
        <v>1330</v>
      </c>
      <c r="N143" s="284" t="s">
        <v>1</v>
      </c>
      <c r="O143" s="296" t="s">
        <v>1</v>
      </c>
      <c r="P143" s="296" t="s">
        <v>1</v>
      </c>
      <c r="Q143" s="296" t="s">
        <v>1</v>
      </c>
      <c r="R143" s="296" t="s">
        <v>1</v>
      </c>
      <c r="S143" s="286" t="s">
        <v>1</v>
      </c>
      <c r="T143" s="296" t="s">
        <v>1</v>
      </c>
      <c r="U143" s="296" t="s">
        <v>1</v>
      </c>
      <c r="V143" s="296" t="s">
        <v>1</v>
      </c>
      <c r="W143" s="296" t="s">
        <v>1</v>
      </c>
      <c r="X143" s="286" t="s">
        <v>1</v>
      </c>
      <c r="Y143" s="296" t="s">
        <v>1</v>
      </c>
      <c r="Z143" s="296" t="s">
        <v>1</v>
      </c>
      <c r="AA143" s="296" t="s">
        <v>1</v>
      </c>
      <c r="AB143" s="296" t="s">
        <v>1</v>
      </c>
      <c r="AC143" s="286" t="s">
        <v>1</v>
      </c>
      <c r="AD143" s="296" t="s">
        <v>1</v>
      </c>
      <c r="AE143" s="296" t="s">
        <v>1</v>
      </c>
      <c r="AF143" s="296" t="s">
        <v>1</v>
      </c>
      <c r="AG143" s="296" t="s">
        <v>1</v>
      </c>
      <c r="AH143" s="286" t="s">
        <v>1</v>
      </c>
      <c r="AI143" s="297" t="s">
        <v>1</v>
      </c>
      <c r="AJ143" s="297" t="s">
        <v>1</v>
      </c>
      <c r="AK143" s="297" t="s">
        <v>1</v>
      </c>
      <c r="AL143" s="286">
        <v>266</v>
      </c>
      <c r="AM143" s="298" t="s">
        <v>1</v>
      </c>
      <c r="AN143" s="299" t="s">
        <v>1</v>
      </c>
      <c r="AO143" s="299" t="s">
        <v>1</v>
      </c>
      <c r="AP143" s="286" t="s">
        <v>1</v>
      </c>
      <c r="AQ143" s="296" t="s">
        <v>1</v>
      </c>
      <c r="AR143" s="300" t="s">
        <v>1</v>
      </c>
      <c r="AS143" s="300" t="s">
        <v>1</v>
      </c>
      <c r="AT143" s="290" t="s">
        <v>1</v>
      </c>
      <c r="AU143" s="299" t="s">
        <v>1</v>
      </c>
      <c r="AV143" s="299" t="s">
        <v>1</v>
      </c>
      <c r="AW143" s="301" t="s">
        <v>1</v>
      </c>
    </row>
    <row r="144" spans="1:49" ht="30.15" customHeight="1" x14ac:dyDescent="0.25">
      <c r="A144" s="260" t="s">
        <v>18</v>
      </c>
      <c r="B144" s="260" t="s">
        <v>1</v>
      </c>
      <c r="C144" s="260" t="s">
        <v>35</v>
      </c>
      <c r="D144" s="261" t="s">
        <v>3</v>
      </c>
      <c r="E144" s="261" t="s">
        <v>1273</v>
      </c>
      <c r="F144" s="262"/>
      <c r="G144" s="261" t="s">
        <v>1280</v>
      </c>
      <c r="H144" s="263" t="s">
        <v>414</v>
      </c>
      <c r="I144" s="264">
        <v>1462</v>
      </c>
      <c r="J144" s="264">
        <v>1491</v>
      </c>
      <c r="K144" s="264">
        <v>1491</v>
      </c>
      <c r="L144" s="265">
        <v>1579</v>
      </c>
      <c r="M144" s="264">
        <v>1579</v>
      </c>
      <c r="N144" s="284" t="s">
        <v>1</v>
      </c>
      <c r="O144" s="296" t="s">
        <v>1</v>
      </c>
      <c r="P144" s="296" t="s">
        <v>1</v>
      </c>
      <c r="Q144" s="296" t="s">
        <v>1</v>
      </c>
      <c r="R144" s="296" t="s">
        <v>1</v>
      </c>
      <c r="S144" s="286" t="s">
        <v>1</v>
      </c>
      <c r="T144" s="296" t="s">
        <v>1</v>
      </c>
      <c r="U144" s="296" t="s">
        <v>1</v>
      </c>
      <c r="V144" s="296" t="s">
        <v>1</v>
      </c>
      <c r="W144" s="296" t="s">
        <v>1</v>
      </c>
      <c r="X144" s="286" t="s">
        <v>1</v>
      </c>
      <c r="Y144" s="296" t="s">
        <v>1</v>
      </c>
      <c r="Z144" s="296" t="s">
        <v>1</v>
      </c>
      <c r="AA144" s="296" t="s">
        <v>1</v>
      </c>
      <c r="AB144" s="296" t="s">
        <v>1</v>
      </c>
      <c r="AC144" s="286" t="s">
        <v>1</v>
      </c>
      <c r="AD144" s="296" t="s">
        <v>1</v>
      </c>
      <c r="AE144" s="296" t="s">
        <v>1</v>
      </c>
      <c r="AF144" s="296" t="s">
        <v>1</v>
      </c>
      <c r="AG144" s="296" t="s">
        <v>1</v>
      </c>
      <c r="AH144" s="286" t="s">
        <v>1</v>
      </c>
      <c r="AI144" s="297" t="s">
        <v>1</v>
      </c>
      <c r="AJ144" s="297" t="s">
        <v>1</v>
      </c>
      <c r="AK144" s="297" t="s">
        <v>1</v>
      </c>
      <c r="AL144" s="286">
        <v>315.8</v>
      </c>
      <c r="AM144" s="298" t="s">
        <v>1</v>
      </c>
      <c r="AN144" s="299" t="s">
        <v>1</v>
      </c>
      <c r="AO144" s="299" t="s">
        <v>1</v>
      </c>
      <c r="AP144" s="286" t="s">
        <v>1</v>
      </c>
      <c r="AQ144" s="296" t="s">
        <v>1</v>
      </c>
      <c r="AR144" s="300" t="s">
        <v>1</v>
      </c>
      <c r="AS144" s="300" t="s">
        <v>1</v>
      </c>
      <c r="AT144" s="290" t="s">
        <v>1</v>
      </c>
      <c r="AU144" s="299" t="s">
        <v>1</v>
      </c>
      <c r="AV144" s="299" t="s">
        <v>1</v>
      </c>
      <c r="AW144" s="301" t="s">
        <v>1</v>
      </c>
    </row>
    <row r="145" spans="1:49" ht="30.15" customHeight="1" x14ac:dyDescent="0.25">
      <c r="A145" s="260" t="s">
        <v>18</v>
      </c>
      <c r="B145" s="260" t="s">
        <v>1</v>
      </c>
      <c r="C145" s="260" t="s">
        <v>35</v>
      </c>
      <c r="D145" s="261" t="s">
        <v>3</v>
      </c>
      <c r="E145" s="261" t="s">
        <v>1274</v>
      </c>
      <c r="F145" s="262"/>
      <c r="G145" s="261" t="s">
        <v>1280</v>
      </c>
      <c r="H145" s="263" t="s">
        <v>414</v>
      </c>
      <c r="I145" s="264">
        <v>1462</v>
      </c>
      <c r="J145" s="264">
        <v>1491</v>
      </c>
      <c r="K145" s="264">
        <v>1491</v>
      </c>
      <c r="L145" s="265">
        <v>1579</v>
      </c>
      <c r="M145" s="264">
        <v>1579</v>
      </c>
      <c r="N145" s="284" t="s">
        <v>1</v>
      </c>
      <c r="O145" s="296" t="s">
        <v>1</v>
      </c>
      <c r="P145" s="296" t="s">
        <v>1</v>
      </c>
      <c r="Q145" s="296" t="s">
        <v>1</v>
      </c>
      <c r="R145" s="296" t="s">
        <v>1</v>
      </c>
      <c r="S145" s="286" t="s">
        <v>1</v>
      </c>
      <c r="T145" s="296" t="s">
        <v>1</v>
      </c>
      <c r="U145" s="296" t="s">
        <v>1</v>
      </c>
      <c r="V145" s="296" t="s">
        <v>1</v>
      </c>
      <c r="W145" s="296" t="s">
        <v>1</v>
      </c>
      <c r="X145" s="286" t="s">
        <v>1</v>
      </c>
      <c r="Y145" s="296" t="s">
        <v>1</v>
      </c>
      <c r="Z145" s="296" t="s">
        <v>1</v>
      </c>
      <c r="AA145" s="296" t="s">
        <v>1</v>
      </c>
      <c r="AB145" s="296" t="s">
        <v>1</v>
      </c>
      <c r="AC145" s="286" t="s">
        <v>1</v>
      </c>
      <c r="AD145" s="296" t="s">
        <v>1</v>
      </c>
      <c r="AE145" s="296" t="s">
        <v>1</v>
      </c>
      <c r="AF145" s="296" t="s">
        <v>1</v>
      </c>
      <c r="AG145" s="296" t="s">
        <v>1</v>
      </c>
      <c r="AH145" s="286" t="s">
        <v>1</v>
      </c>
      <c r="AI145" s="297" t="s">
        <v>1</v>
      </c>
      <c r="AJ145" s="297" t="s">
        <v>1</v>
      </c>
      <c r="AK145" s="297" t="s">
        <v>1</v>
      </c>
      <c r="AL145" s="286">
        <v>315.8</v>
      </c>
      <c r="AM145" s="298" t="s">
        <v>1</v>
      </c>
      <c r="AN145" s="299" t="s">
        <v>1</v>
      </c>
      <c r="AO145" s="299" t="s">
        <v>1</v>
      </c>
      <c r="AP145" s="286" t="s">
        <v>1</v>
      </c>
      <c r="AQ145" s="296" t="s">
        <v>1</v>
      </c>
      <c r="AR145" s="300" t="s">
        <v>1</v>
      </c>
      <c r="AS145" s="300" t="s">
        <v>1</v>
      </c>
      <c r="AT145" s="290" t="s">
        <v>1</v>
      </c>
      <c r="AU145" s="299" t="s">
        <v>1</v>
      </c>
      <c r="AV145" s="299" t="s">
        <v>1</v>
      </c>
      <c r="AW145" s="301" t="s">
        <v>1</v>
      </c>
    </row>
    <row r="146" spans="1:49" ht="30.15" customHeight="1" x14ac:dyDescent="0.25">
      <c r="A146" s="260" t="s">
        <v>18</v>
      </c>
      <c r="B146" s="260" t="s">
        <v>1</v>
      </c>
      <c r="C146" s="260" t="s">
        <v>35</v>
      </c>
      <c r="D146" s="261" t="s">
        <v>3</v>
      </c>
      <c r="E146" s="261" t="s">
        <v>1275</v>
      </c>
      <c r="F146" s="262"/>
      <c r="G146" s="261" t="s">
        <v>1281</v>
      </c>
      <c r="H146" s="263" t="s">
        <v>414</v>
      </c>
      <c r="I146" s="264">
        <v>1925</v>
      </c>
      <c r="J146" s="264">
        <v>1964</v>
      </c>
      <c r="K146" s="264">
        <v>1964</v>
      </c>
      <c r="L146" s="265">
        <v>2079</v>
      </c>
      <c r="M146" s="264">
        <v>2079</v>
      </c>
      <c r="N146" s="284" t="s">
        <v>1</v>
      </c>
      <c r="O146" s="296" t="s">
        <v>1</v>
      </c>
      <c r="P146" s="296" t="s">
        <v>1</v>
      </c>
      <c r="Q146" s="296" t="s">
        <v>1</v>
      </c>
      <c r="R146" s="296" t="s">
        <v>1</v>
      </c>
      <c r="S146" s="286" t="s">
        <v>1</v>
      </c>
      <c r="T146" s="296" t="s">
        <v>1</v>
      </c>
      <c r="U146" s="296" t="s">
        <v>1</v>
      </c>
      <c r="V146" s="296" t="s">
        <v>1</v>
      </c>
      <c r="W146" s="296" t="s">
        <v>1</v>
      </c>
      <c r="X146" s="286" t="s">
        <v>1</v>
      </c>
      <c r="Y146" s="296" t="s">
        <v>1</v>
      </c>
      <c r="Z146" s="296" t="s">
        <v>1</v>
      </c>
      <c r="AA146" s="296" t="s">
        <v>1</v>
      </c>
      <c r="AB146" s="296" t="s">
        <v>1</v>
      </c>
      <c r="AC146" s="286" t="s">
        <v>1</v>
      </c>
      <c r="AD146" s="296" t="s">
        <v>1</v>
      </c>
      <c r="AE146" s="296" t="s">
        <v>1</v>
      </c>
      <c r="AF146" s="296" t="s">
        <v>1</v>
      </c>
      <c r="AG146" s="296" t="s">
        <v>1</v>
      </c>
      <c r="AH146" s="286" t="s">
        <v>1</v>
      </c>
      <c r="AI146" s="297" t="s">
        <v>1</v>
      </c>
      <c r="AJ146" s="297" t="s">
        <v>1</v>
      </c>
      <c r="AK146" s="297" t="s">
        <v>1</v>
      </c>
      <c r="AL146" s="286">
        <v>415.8</v>
      </c>
      <c r="AM146" s="298" t="s">
        <v>1</v>
      </c>
      <c r="AN146" s="299" t="s">
        <v>1</v>
      </c>
      <c r="AO146" s="299" t="s">
        <v>1</v>
      </c>
      <c r="AP146" s="286" t="s">
        <v>1</v>
      </c>
      <c r="AQ146" s="296" t="s">
        <v>1</v>
      </c>
      <c r="AR146" s="300" t="s">
        <v>1</v>
      </c>
      <c r="AS146" s="300" t="s">
        <v>1</v>
      </c>
      <c r="AT146" s="290" t="s">
        <v>1</v>
      </c>
      <c r="AU146" s="299" t="s">
        <v>1</v>
      </c>
      <c r="AV146" s="299" t="s">
        <v>1</v>
      </c>
      <c r="AW146" s="301" t="s">
        <v>1</v>
      </c>
    </row>
    <row r="147" spans="1:49" ht="30.15" customHeight="1" x14ac:dyDescent="0.25">
      <c r="A147" s="260" t="s">
        <v>18</v>
      </c>
      <c r="B147" s="260" t="s">
        <v>1</v>
      </c>
      <c r="C147" s="260" t="s">
        <v>35</v>
      </c>
      <c r="D147" s="261" t="s">
        <v>3</v>
      </c>
      <c r="E147" s="261" t="s">
        <v>1276</v>
      </c>
      <c r="F147" s="262"/>
      <c r="G147" s="261" t="s">
        <v>1281</v>
      </c>
      <c r="H147" s="263" t="s">
        <v>414</v>
      </c>
      <c r="I147" s="264">
        <v>1925</v>
      </c>
      <c r="J147" s="264">
        <v>1964</v>
      </c>
      <c r="K147" s="264">
        <v>1964</v>
      </c>
      <c r="L147" s="265">
        <v>2079</v>
      </c>
      <c r="M147" s="264">
        <v>2079</v>
      </c>
      <c r="N147" s="284" t="s">
        <v>1</v>
      </c>
      <c r="O147" s="296" t="s">
        <v>1</v>
      </c>
      <c r="P147" s="296" t="s">
        <v>1</v>
      </c>
      <c r="Q147" s="296" t="s">
        <v>1</v>
      </c>
      <c r="R147" s="296" t="s">
        <v>1</v>
      </c>
      <c r="S147" s="286" t="s">
        <v>1</v>
      </c>
      <c r="T147" s="296" t="s">
        <v>1</v>
      </c>
      <c r="U147" s="296" t="s">
        <v>1</v>
      </c>
      <c r="V147" s="296" t="s">
        <v>1</v>
      </c>
      <c r="W147" s="296" t="s">
        <v>1</v>
      </c>
      <c r="X147" s="286" t="s">
        <v>1</v>
      </c>
      <c r="Y147" s="296" t="s">
        <v>1</v>
      </c>
      <c r="Z147" s="296" t="s">
        <v>1</v>
      </c>
      <c r="AA147" s="296" t="s">
        <v>1</v>
      </c>
      <c r="AB147" s="296" t="s">
        <v>1</v>
      </c>
      <c r="AC147" s="286" t="s">
        <v>1</v>
      </c>
      <c r="AD147" s="296" t="s">
        <v>1</v>
      </c>
      <c r="AE147" s="296" t="s">
        <v>1</v>
      </c>
      <c r="AF147" s="296" t="s">
        <v>1</v>
      </c>
      <c r="AG147" s="296" t="s">
        <v>1</v>
      </c>
      <c r="AH147" s="286" t="s">
        <v>1</v>
      </c>
      <c r="AI147" s="297" t="s">
        <v>1</v>
      </c>
      <c r="AJ147" s="297" t="s">
        <v>1</v>
      </c>
      <c r="AK147" s="297" t="s">
        <v>1</v>
      </c>
      <c r="AL147" s="286">
        <v>415.8</v>
      </c>
      <c r="AM147" s="298" t="s">
        <v>1</v>
      </c>
      <c r="AN147" s="299" t="s">
        <v>1</v>
      </c>
      <c r="AO147" s="299" t="s">
        <v>1</v>
      </c>
      <c r="AP147" s="286" t="s">
        <v>1</v>
      </c>
      <c r="AQ147" s="296" t="s">
        <v>1</v>
      </c>
      <c r="AR147" s="300" t="s">
        <v>1</v>
      </c>
      <c r="AS147" s="300" t="s">
        <v>1</v>
      </c>
      <c r="AT147" s="290" t="s">
        <v>1</v>
      </c>
      <c r="AU147" s="299" t="s">
        <v>1</v>
      </c>
      <c r="AV147" s="299" t="s">
        <v>1</v>
      </c>
      <c r="AW147" s="301" t="s">
        <v>1</v>
      </c>
    </row>
    <row r="148" spans="1:49" ht="30.15" customHeight="1" x14ac:dyDescent="0.25">
      <c r="A148" s="260" t="s">
        <v>18</v>
      </c>
      <c r="B148" s="260" t="s">
        <v>1</v>
      </c>
      <c r="C148" s="260" t="s">
        <v>35</v>
      </c>
      <c r="D148" s="261" t="s">
        <v>3</v>
      </c>
      <c r="E148" s="261" t="s">
        <v>1277</v>
      </c>
      <c r="F148" s="262"/>
      <c r="G148" s="261" t="s">
        <v>1282</v>
      </c>
      <c r="H148" s="263" t="s">
        <v>414</v>
      </c>
      <c r="I148" s="264">
        <v>2388</v>
      </c>
      <c r="J148" s="264">
        <v>2436</v>
      </c>
      <c r="K148" s="264">
        <v>2436</v>
      </c>
      <c r="L148" s="265">
        <v>2580</v>
      </c>
      <c r="M148" s="264">
        <v>2580</v>
      </c>
      <c r="N148" s="284" t="s">
        <v>1</v>
      </c>
      <c r="O148" s="296" t="s">
        <v>1</v>
      </c>
      <c r="P148" s="296" t="s">
        <v>1</v>
      </c>
      <c r="Q148" s="296" t="s">
        <v>1</v>
      </c>
      <c r="R148" s="296" t="s">
        <v>1</v>
      </c>
      <c r="S148" s="286" t="s">
        <v>1</v>
      </c>
      <c r="T148" s="296" t="s">
        <v>1</v>
      </c>
      <c r="U148" s="296" t="s">
        <v>1</v>
      </c>
      <c r="V148" s="296" t="s">
        <v>1</v>
      </c>
      <c r="W148" s="296" t="s">
        <v>1</v>
      </c>
      <c r="X148" s="286" t="s">
        <v>1</v>
      </c>
      <c r="Y148" s="296" t="s">
        <v>1</v>
      </c>
      <c r="Z148" s="296" t="s">
        <v>1</v>
      </c>
      <c r="AA148" s="296" t="s">
        <v>1</v>
      </c>
      <c r="AB148" s="296" t="s">
        <v>1</v>
      </c>
      <c r="AC148" s="286" t="s">
        <v>1</v>
      </c>
      <c r="AD148" s="296" t="s">
        <v>1</v>
      </c>
      <c r="AE148" s="296" t="s">
        <v>1</v>
      </c>
      <c r="AF148" s="296" t="s">
        <v>1</v>
      </c>
      <c r="AG148" s="296" t="s">
        <v>1</v>
      </c>
      <c r="AH148" s="286" t="s">
        <v>1</v>
      </c>
      <c r="AI148" s="297" t="s">
        <v>1</v>
      </c>
      <c r="AJ148" s="297" t="s">
        <v>1</v>
      </c>
      <c r="AK148" s="297" t="s">
        <v>1</v>
      </c>
      <c r="AL148" s="286">
        <v>516</v>
      </c>
      <c r="AM148" s="298" t="s">
        <v>1</v>
      </c>
      <c r="AN148" s="299" t="s">
        <v>1</v>
      </c>
      <c r="AO148" s="299" t="s">
        <v>1</v>
      </c>
      <c r="AP148" s="286" t="s">
        <v>1</v>
      </c>
      <c r="AQ148" s="296" t="s">
        <v>1</v>
      </c>
      <c r="AR148" s="300" t="s">
        <v>1</v>
      </c>
      <c r="AS148" s="300" t="s">
        <v>1</v>
      </c>
      <c r="AT148" s="290" t="s">
        <v>1</v>
      </c>
      <c r="AU148" s="299" t="s">
        <v>1</v>
      </c>
      <c r="AV148" s="299" t="s">
        <v>1</v>
      </c>
      <c r="AW148" s="301" t="s">
        <v>1</v>
      </c>
    </row>
    <row r="149" spans="1:49" ht="30.15" customHeight="1" x14ac:dyDescent="0.25">
      <c r="A149" s="260" t="s">
        <v>18</v>
      </c>
      <c r="B149" s="260" t="s">
        <v>1</v>
      </c>
      <c r="C149" s="260" t="s">
        <v>35</v>
      </c>
      <c r="D149" s="261" t="s">
        <v>3</v>
      </c>
      <c r="E149" s="261" t="s">
        <v>1278</v>
      </c>
      <c r="F149" s="262"/>
      <c r="G149" s="261" t="s">
        <v>1282</v>
      </c>
      <c r="H149" s="263" t="s">
        <v>414</v>
      </c>
      <c r="I149" s="264">
        <v>2388</v>
      </c>
      <c r="J149" s="264">
        <v>2436</v>
      </c>
      <c r="K149" s="264">
        <v>2436</v>
      </c>
      <c r="L149" s="265">
        <v>2580</v>
      </c>
      <c r="M149" s="264">
        <v>2580</v>
      </c>
      <c r="N149" s="284" t="s">
        <v>1</v>
      </c>
      <c r="O149" s="296" t="s">
        <v>1</v>
      </c>
      <c r="P149" s="296" t="s">
        <v>1</v>
      </c>
      <c r="Q149" s="296" t="s">
        <v>1</v>
      </c>
      <c r="R149" s="296" t="s">
        <v>1</v>
      </c>
      <c r="S149" s="286" t="s">
        <v>1</v>
      </c>
      <c r="T149" s="296" t="s">
        <v>1</v>
      </c>
      <c r="U149" s="296" t="s">
        <v>1</v>
      </c>
      <c r="V149" s="296" t="s">
        <v>1</v>
      </c>
      <c r="W149" s="296" t="s">
        <v>1</v>
      </c>
      <c r="X149" s="286" t="s">
        <v>1</v>
      </c>
      <c r="Y149" s="296" t="s">
        <v>1</v>
      </c>
      <c r="Z149" s="296" t="s">
        <v>1</v>
      </c>
      <c r="AA149" s="296" t="s">
        <v>1</v>
      </c>
      <c r="AB149" s="296" t="s">
        <v>1</v>
      </c>
      <c r="AC149" s="286" t="s">
        <v>1</v>
      </c>
      <c r="AD149" s="296" t="s">
        <v>1</v>
      </c>
      <c r="AE149" s="296" t="s">
        <v>1</v>
      </c>
      <c r="AF149" s="296" t="s">
        <v>1</v>
      </c>
      <c r="AG149" s="296" t="s">
        <v>1</v>
      </c>
      <c r="AH149" s="286" t="s">
        <v>1</v>
      </c>
      <c r="AI149" s="297" t="s">
        <v>1</v>
      </c>
      <c r="AJ149" s="297" t="s">
        <v>1</v>
      </c>
      <c r="AK149" s="297" t="s">
        <v>1</v>
      </c>
      <c r="AL149" s="286">
        <v>516</v>
      </c>
      <c r="AM149" s="298" t="s">
        <v>1</v>
      </c>
      <c r="AN149" s="299" t="s">
        <v>1</v>
      </c>
      <c r="AO149" s="299" t="s">
        <v>1</v>
      </c>
      <c r="AP149" s="286" t="s">
        <v>1</v>
      </c>
      <c r="AQ149" s="296" t="s">
        <v>1</v>
      </c>
      <c r="AR149" s="300" t="s">
        <v>1</v>
      </c>
      <c r="AS149" s="300" t="s">
        <v>1</v>
      </c>
      <c r="AT149" s="290" t="s">
        <v>1</v>
      </c>
      <c r="AU149" s="299" t="s">
        <v>1</v>
      </c>
      <c r="AV149" s="299" t="s">
        <v>1</v>
      </c>
      <c r="AW149" s="301" t="s">
        <v>1</v>
      </c>
    </row>
    <row r="150" spans="1:49" ht="30.15" customHeight="1" x14ac:dyDescent="0.25">
      <c r="A150" s="188" t="s">
        <v>18</v>
      </c>
      <c r="B150" s="188" t="s">
        <v>1</v>
      </c>
      <c r="C150" s="188" t="s">
        <v>35</v>
      </c>
      <c r="D150" s="190" t="s">
        <v>3</v>
      </c>
      <c r="E150" s="190" t="s">
        <v>859</v>
      </c>
      <c r="F150" s="203"/>
      <c r="G150" s="190" t="s">
        <v>535</v>
      </c>
      <c r="H150" s="192" t="s">
        <v>409</v>
      </c>
      <c r="I150" s="194">
        <v>1277</v>
      </c>
      <c r="J150" s="194">
        <v>1311</v>
      </c>
      <c r="K150" s="194">
        <v>1311</v>
      </c>
      <c r="L150" s="193">
        <v>1380</v>
      </c>
      <c r="M150" s="194">
        <v>1380</v>
      </c>
      <c r="N150" s="284" t="s">
        <v>1</v>
      </c>
      <c r="O150" s="285" t="s">
        <v>1</v>
      </c>
      <c r="P150" s="285" t="s">
        <v>1</v>
      </c>
      <c r="Q150" s="285" t="s">
        <v>1</v>
      </c>
      <c r="R150" s="285" t="s">
        <v>1</v>
      </c>
      <c r="S150" s="286" t="s">
        <v>1</v>
      </c>
      <c r="T150" s="285" t="s">
        <v>1</v>
      </c>
      <c r="U150" s="285" t="s">
        <v>1</v>
      </c>
      <c r="V150" s="285" t="s">
        <v>1</v>
      </c>
      <c r="W150" s="285" t="s">
        <v>1</v>
      </c>
      <c r="X150" s="286" t="s">
        <v>1</v>
      </c>
      <c r="Y150" s="285" t="s">
        <v>1</v>
      </c>
      <c r="Z150" s="285" t="s">
        <v>1</v>
      </c>
      <c r="AA150" s="285" t="s">
        <v>1</v>
      </c>
      <c r="AB150" s="285" t="s">
        <v>1</v>
      </c>
      <c r="AC150" s="286" t="s">
        <v>1</v>
      </c>
      <c r="AD150" s="285" t="s">
        <v>1</v>
      </c>
      <c r="AE150" s="285" t="s">
        <v>1</v>
      </c>
      <c r="AF150" s="285" t="s">
        <v>1</v>
      </c>
      <c r="AG150" s="285" t="s">
        <v>1</v>
      </c>
      <c r="AH150" s="286" t="s">
        <v>1</v>
      </c>
      <c r="AI150" s="295" t="s">
        <v>1</v>
      </c>
      <c r="AJ150" s="295" t="s">
        <v>1</v>
      </c>
      <c r="AK150" s="295" t="s">
        <v>1</v>
      </c>
      <c r="AL150" s="286">
        <v>276</v>
      </c>
      <c r="AM150" s="288" t="s">
        <v>1</v>
      </c>
      <c r="AN150" s="287" t="s">
        <v>1</v>
      </c>
      <c r="AO150" s="287" t="s">
        <v>1</v>
      </c>
      <c r="AP150" s="286" t="s">
        <v>1</v>
      </c>
      <c r="AQ150" s="285" t="s">
        <v>1</v>
      </c>
      <c r="AR150" s="289" t="s">
        <v>1</v>
      </c>
      <c r="AS150" s="289" t="s">
        <v>1</v>
      </c>
      <c r="AT150" s="290" t="s">
        <v>1</v>
      </c>
      <c r="AU150" s="287" t="s">
        <v>1</v>
      </c>
      <c r="AV150" s="287" t="s">
        <v>1</v>
      </c>
      <c r="AW150" s="291" t="s">
        <v>1</v>
      </c>
    </row>
    <row r="151" spans="1:49" ht="30.15" customHeight="1" x14ac:dyDescent="0.25">
      <c r="A151" s="188" t="s">
        <v>18</v>
      </c>
      <c r="B151" s="188" t="s">
        <v>1</v>
      </c>
      <c r="C151" s="188" t="s">
        <v>35</v>
      </c>
      <c r="D151" s="190" t="s">
        <v>3</v>
      </c>
      <c r="E151" s="190" t="s">
        <v>860</v>
      </c>
      <c r="F151" s="203"/>
      <c r="G151" s="190" t="s">
        <v>535</v>
      </c>
      <c r="H151" s="192" t="s">
        <v>414</v>
      </c>
      <c r="I151" s="194">
        <v>1277</v>
      </c>
      <c r="J151" s="194">
        <v>1311</v>
      </c>
      <c r="K151" s="194">
        <v>1311</v>
      </c>
      <c r="L151" s="193">
        <v>1380</v>
      </c>
      <c r="M151" s="194">
        <v>1380</v>
      </c>
      <c r="N151" s="284" t="s">
        <v>1</v>
      </c>
      <c r="O151" s="285" t="s">
        <v>1</v>
      </c>
      <c r="P151" s="285" t="s">
        <v>1</v>
      </c>
      <c r="Q151" s="285" t="s">
        <v>1</v>
      </c>
      <c r="R151" s="285" t="s">
        <v>1</v>
      </c>
      <c r="S151" s="286" t="s">
        <v>1</v>
      </c>
      <c r="T151" s="285" t="s">
        <v>1</v>
      </c>
      <c r="U151" s="285" t="s">
        <v>1</v>
      </c>
      <c r="V151" s="285" t="s">
        <v>1</v>
      </c>
      <c r="W151" s="285" t="s">
        <v>1</v>
      </c>
      <c r="X151" s="286" t="s">
        <v>1</v>
      </c>
      <c r="Y151" s="285" t="s">
        <v>1</v>
      </c>
      <c r="Z151" s="285" t="s">
        <v>1</v>
      </c>
      <c r="AA151" s="285" t="s">
        <v>1</v>
      </c>
      <c r="AB151" s="285" t="s">
        <v>1</v>
      </c>
      <c r="AC151" s="286" t="s">
        <v>1</v>
      </c>
      <c r="AD151" s="285" t="s">
        <v>1</v>
      </c>
      <c r="AE151" s="285" t="s">
        <v>1</v>
      </c>
      <c r="AF151" s="285" t="s">
        <v>1</v>
      </c>
      <c r="AG151" s="285" t="s">
        <v>1</v>
      </c>
      <c r="AH151" s="286" t="s">
        <v>1</v>
      </c>
      <c r="AI151" s="295" t="s">
        <v>1</v>
      </c>
      <c r="AJ151" s="295" t="s">
        <v>1</v>
      </c>
      <c r="AK151" s="295" t="s">
        <v>1</v>
      </c>
      <c r="AL151" s="286">
        <v>276</v>
      </c>
      <c r="AM151" s="288" t="s">
        <v>1</v>
      </c>
      <c r="AN151" s="287" t="s">
        <v>1</v>
      </c>
      <c r="AO151" s="287" t="s">
        <v>1</v>
      </c>
      <c r="AP151" s="286" t="s">
        <v>1</v>
      </c>
      <c r="AQ151" s="285" t="s">
        <v>1</v>
      </c>
      <c r="AR151" s="289" t="s">
        <v>1</v>
      </c>
      <c r="AS151" s="289" t="s">
        <v>1</v>
      </c>
      <c r="AT151" s="290" t="s">
        <v>1</v>
      </c>
      <c r="AU151" s="287" t="s">
        <v>1</v>
      </c>
      <c r="AV151" s="287" t="s">
        <v>1</v>
      </c>
      <c r="AW151" s="291" t="s">
        <v>1</v>
      </c>
    </row>
    <row r="152" spans="1:49" ht="30.15" customHeight="1" x14ac:dyDescent="0.25">
      <c r="A152" s="188" t="s">
        <v>18</v>
      </c>
      <c r="B152" s="188" t="s">
        <v>1</v>
      </c>
      <c r="C152" s="188" t="s">
        <v>35</v>
      </c>
      <c r="D152" s="190" t="s">
        <v>3</v>
      </c>
      <c r="E152" s="190" t="s">
        <v>534</v>
      </c>
      <c r="F152" s="203"/>
      <c r="G152" s="190" t="s">
        <v>535</v>
      </c>
      <c r="H152" s="192" t="s">
        <v>907</v>
      </c>
      <c r="I152" s="194">
        <v>1295</v>
      </c>
      <c r="J152" s="194">
        <v>1295</v>
      </c>
      <c r="K152" s="194">
        <v>1295</v>
      </c>
      <c r="L152" s="193">
        <v>1399</v>
      </c>
      <c r="M152" s="194">
        <v>1399</v>
      </c>
      <c r="N152" s="284" t="s">
        <v>1</v>
      </c>
      <c r="O152" s="285" t="s">
        <v>1</v>
      </c>
      <c r="P152" s="285" t="s">
        <v>1</v>
      </c>
      <c r="Q152" s="285" t="s">
        <v>1</v>
      </c>
      <c r="R152" s="285" t="s">
        <v>1</v>
      </c>
      <c r="S152" s="286" t="s">
        <v>1</v>
      </c>
      <c r="T152" s="285" t="s">
        <v>1</v>
      </c>
      <c r="U152" s="285" t="s">
        <v>1</v>
      </c>
      <c r="V152" s="285" t="s">
        <v>1</v>
      </c>
      <c r="W152" s="285" t="s">
        <v>1</v>
      </c>
      <c r="X152" s="286" t="s">
        <v>1</v>
      </c>
      <c r="Y152" s="285" t="s">
        <v>1</v>
      </c>
      <c r="Z152" s="285" t="s">
        <v>1</v>
      </c>
      <c r="AA152" s="285" t="s">
        <v>1</v>
      </c>
      <c r="AB152" s="285" t="s">
        <v>1</v>
      </c>
      <c r="AC152" s="286" t="s">
        <v>1</v>
      </c>
      <c r="AD152" s="285" t="s">
        <v>1</v>
      </c>
      <c r="AE152" s="285" t="s">
        <v>1</v>
      </c>
      <c r="AF152" s="285" t="s">
        <v>1</v>
      </c>
      <c r="AG152" s="285" t="s">
        <v>1</v>
      </c>
      <c r="AH152" s="286" t="s">
        <v>1</v>
      </c>
      <c r="AI152" s="295" t="s">
        <v>1</v>
      </c>
      <c r="AJ152" s="295" t="s">
        <v>1</v>
      </c>
      <c r="AK152" s="295" t="s">
        <v>1</v>
      </c>
      <c r="AL152" s="286">
        <v>279.8</v>
      </c>
      <c r="AM152" s="288" t="s">
        <v>1</v>
      </c>
      <c r="AN152" s="287" t="s">
        <v>1</v>
      </c>
      <c r="AO152" s="287" t="s">
        <v>1</v>
      </c>
      <c r="AP152" s="286" t="s">
        <v>1</v>
      </c>
      <c r="AQ152" s="285" t="s">
        <v>1</v>
      </c>
      <c r="AR152" s="289" t="s">
        <v>1</v>
      </c>
      <c r="AS152" s="289" t="s">
        <v>1</v>
      </c>
      <c r="AT152" s="290" t="s">
        <v>1</v>
      </c>
      <c r="AU152" s="287" t="s">
        <v>1</v>
      </c>
      <c r="AV152" s="287" t="s">
        <v>1</v>
      </c>
      <c r="AW152" s="291" t="s">
        <v>1</v>
      </c>
    </row>
    <row r="153" spans="1:49" ht="30.15" customHeight="1" x14ac:dyDescent="0.25">
      <c r="A153" s="188" t="s">
        <v>18</v>
      </c>
      <c r="B153" s="188" t="s">
        <v>1</v>
      </c>
      <c r="C153" s="188" t="s">
        <v>35</v>
      </c>
      <c r="D153" s="190" t="s">
        <v>3</v>
      </c>
      <c r="E153" s="190" t="s">
        <v>908</v>
      </c>
      <c r="F153" s="203"/>
      <c r="G153" s="190" t="s">
        <v>535</v>
      </c>
      <c r="H153" s="192" t="s">
        <v>414</v>
      </c>
      <c r="I153" s="194">
        <v>1199</v>
      </c>
      <c r="J153" s="194">
        <v>1311</v>
      </c>
      <c r="K153" s="194">
        <v>1311</v>
      </c>
      <c r="L153" s="193">
        <v>1399.99</v>
      </c>
      <c r="M153" s="194">
        <v>1399.99</v>
      </c>
      <c r="N153" s="284" t="s">
        <v>1</v>
      </c>
      <c r="O153" s="285" t="s">
        <v>1</v>
      </c>
      <c r="P153" s="285" t="s">
        <v>1</v>
      </c>
      <c r="Q153" s="285" t="s">
        <v>1</v>
      </c>
      <c r="R153" s="285" t="s">
        <v>1</v>
      </c>
      <c r="S153" s="286" t="s">
        <v>1</v>
      </c>
      <c r="T153" s="285" t="s">
        <v>1</v>
      </c>
      <c r="U153" s="285" t="s">
        <v>1</v>
      </c>
      <c r="V153" s="285" t="s">
        <v>1</v>
      </c>
      <c r="W153" s="285" t="s">
        <v>1</v>
      </c>
      <c r="X153" s="286" t="s">
        <v>1</v>
      </c>
      <c r="Y153" s="285" t="s">
        <v>1</v>
      </c>
      <c r="Z153" s="285" t="s">
        <v>1</v>
      </c>
      <c r="AA153" s="285" t="s">
        <v>1</v>
      </c>
      <c r="AB153" s="285" t="s">
        <v>1</v>
      </c>
      <c r="AC153" s="286" t="s">
        <v>1</v>
      </c>
      <c r="AD153" s="285" t="s">
        <v>1</v>
      </c>
      <c r="AE153" s="285" t="s">
        <v>1</v>
      </c>
      <c r="AF153" s="285" t="s">
        <v>1</v>
      </c>
      <c r="AG153" s="285" t="s">
        <v>1</v>
      </c>
      <c r="AH153" s="286" t="s">
        <v>1</v>
      </c>
      <c r="AI153" s="295" t="s">
        <v>1</v>
      </c>
      <c r="AJ153" s="295" t="s">
        <v>1</v>
      </c>
      <c r="AK153" s="295" t="s">
        <v>1</v>
      </c>
      <c r="AL153" s="286">
        <v>280</v>
      </c>
      <c r="AM153" s="288" t="s">
        <v>1</v>
      </c>
      <c r="AN153" s="287" t="s">
        <v>1</v>
      </c>
      <c r="AO153" s="287" t="s">
        <v>1</v>
      </c>
      <c r="AP153" s="286" t="s">
        <v>1</v>
      </c>
      <c r="AQ153" s="285" t="s">
        <v>1</v>
      </c>
      <c r="AR153" s="289" t="s">
        <v>1</v>
      </c>
      <c r="AS153" s="289" t="s">
        <v>1</v>
      </c>
      <c r="AT153" s="290" t="s">
        <v>1</v>
      </c>
      <c r="AU153" s="287" t="s">
        <v>1</v>
      </c>
      <c r="AV153" s="287" t="s">
        <v>1</v>
      </c>
      <c r="AW153" s="291" t="s">
        <v>1</v>
      </c>
    </row>
    <row r="154" spans="1:49" ht="30.15" customHeight="1" x14ac:dyDescent="0.25">
      <c r="A154" s="188" t="s">
        <v>18</v>
      </c>
      <c r="B154" s="188" t="s">
        <v>1</v>
      </c>
      <c r="C154" s="188" t="s">
        <v>35</v>
      </c>
      <c r="D154" s="190" t="s">
        <v>3</v>
      </c>
      <c r="E154" s="190" t="s">
        <v>1264</v>
      </c>
      <c r="F154" s="203"/>
      <c r="G154" s="190" t="s">
        <v>1265</v>
      </c>
      <c r="H154" s="192" t="s">
        <v>409</v>
      </c>
      <c r="I154" s="194">
        <v>1231</v>
      </c>
      <c r="J154" s="194">
        <v>1256</v>
      </c>
      <c r="K154" s="194">
        <v>1256</v>
      </c>
      <c r="L154" s="193">
        <v>1330</v>
      </c>
      <c r="M154" s="194">
        <v>1330</v>
      </c>
      <c r="N154" s="284" t="s">
        <v>1</v>
      </c>
      <c r="O154" s="285" t="s">
        <v>1</v>
      </c>
      <c r="P154" s="285" t="s">
        <v>1</v>
      </c>
      <c r="Q154" s="285" t="s">
        <v>1</v>
      </c>
      <c r="R154" s="285" t="s">
        <v>1</v>
      </c>
      <c r="S154" s="286" t="s">
        <v>1</v>
      </c>
      <c r="T154" s="285" t="s">
        <v>1</v>
      </c>
      <c r="U154" s="285" t="s">
        <v>1</v>
      </c>
      <c r="V154" s="285" t="s">
        <v>1</v>
      </c>
      <c r="W154" s="285" t="s">
        <v>1</v>
      </c>
      <c r="X154" s="286" t="s">
        <v>1</v>
      </c>
      <c r="Y154" s="285" t="s">
        <v>1</v>
      </c>
      <c r="Z154" s="285" t="s">
        <v>1</v>
      </c>
      <c r="AA154" s="285" t="s">
        <v>1</v>
      </c>
      <c r="AB154" s="285" t="s">
        <v>1</v>
      </c>
      <c r="AC154" s="286" t="s">
        <v>1</v>
      </c>
      <c r="AD154" s="285" t="s">
        <v>1</v>
      </c>
      <c r="AE154" s="285" t="s">
        <v>1</v>
      </c>
      <c r="AF154" s="285" t="s">
        <v>1</v>
      </c>
      <c r="AG154" s="285" t="s">
        <v>1</v>
      </c>
      <c r="AH154" s="286" t="s">
        <v>1</v>
      </c>
      <c r="AI154" s="295" t="s">
        <v>1</v>
      </c>
      <c r="AJ154" s="295" t="s">
        <v>1</v>
      </c>
      <c r="AK154" s="295" t="s">
        <v>1</v>
      </c>
      <c r="AL154" s="286">
        <v>266</v>
      </c>
      <c r="AM154" s="288" t="s">
        <v>1</v>
      </c>
      <c r="AN154" s="287" t="s">
        <v>1</v>
      </c>
      <c r="AO154" s="287" t="s">
        <v>1</v>
      </c>
      <c r="AP154" s="286" t="s">
        <v>1</v>
      </c>
      <c r="AQ154" s="285" t="s">
        <v>1</v>
      </c>
      <c r="AR154" s="289" t="s">
        <v>1</v>
      </c>
      <c r="AS154" s="289" t="s">
        <v>1</v>
      </c>
      <c r="AT154" s="290" t="s">
        <v>1</v>
      </c>
      <c r="AU154" s="287" t="s">
        <v>1</v>
      </c>
      <c r="AV154" s="287" t="s">
        <v>1</v>
      </c>
      <c r="AW154" s="291" t="s">
        <v>1</v>
      </c>
    </row>
    <row r="155" spans="1:49" ht="30.15" customHeight="1" x14ac:dyDescent="0.25">
      <c r="A155" s="188" t="s">
        <v>18</v>
      </c>
      <c r="B155" s="188" t="s">
        <v>1</v>
      </c>
      <c r="C155" s="188" t="s">
        <v>35</v>
      </c>
      <c r="D155" s="190" t="s">
        <v>3</v>
      </c>
      <c r="E155" s="190" t="s">
        <v>861</v>
      </c>
      <c r="F155" s="203"/>
      <c r="G155" s="190" t="s">
        <v>874</v>
      </c>
      <c r="H155" s="192" t="s">
        <v>414</v>
      </c>
      <c r="I155" s="194">
        <v>1518</v>
      </c>
      <c r="J155" s="194">
        <v>1558</v>
      </c>
      <c r="K155" s="194">
        <v>1558</v>
      </c>
      <c r="L155" s="193">
        <v>1640</v>
      </c>
      <c r="M155" s="194">
        <v>1640</v>
      </c>
      <c r="N155" s="284" t="s">
        <v>1</v>
      </c>
      <c r="O155" s="285" t="s">
        <v>1</v>
      </c>
      <c r="P155" s="285" t="s">
        <v>1</v>
      </c>
      <c r="Q155" s="285" t="s">
        <v>1</v>
      </c>
      <c r="R155" s="285" t="s">
        <v>1</v>
      </c>
      <c r="S155" s="286" t="s">
        <v>1</v>
      </c>
      <c r="T155" s="285" t="s">
        <v>1</v>
      </c>
      <c r="U155" s="285" t="s">
        <v>1</v>
      </c>
      <c r="V155" s="285" t="s">
        <v>1</v>
      </c>
      <c r="W155" s="285" t="s">
        <v>1</v>
      </c>
      <c r="X155" s="286" t="s">
        <v>1</v>
      </c>
      <c r="Y155" s="285" t="s">
        <v>1</v>
      </c>
      <c r="Z155" s="285" t="s">
        <v>1</v>
      </c>
      <c r="AA155" s="285" t="s">
        <v>1</v>
      </c>
      <c r="AB155" s="285" t="s">
        <v>1</v>
      </c>
      <c r="AC155" s="286" t="s">
        <v>1</v>
      </c>
      <c r="AD155" s="285" t="s">
        <v>1</v>
      </c>
      <c r="AE155" s="285" t="s">
        <v>1</v>
      </c>
      <c r="AF155" s="285" t="s">
        <v>1</v>
      </c>
      <c r="AG155" s="285" t="s">
        <v>1</v>
      </c>
      <c r="AH155" s="286" t="s">
        <v>1</v>
      </c>
      <c r="AI155" s="295" t="s">
        <v>1</v>
      </c>
      <c r="AJ155" s="295" t="s">
        <v>1</v>
      </c>
      <c r="AK155" s="295" t="s">
        <v>1</v>
      </c>
      <c r="AL155" s="286">
        <v>328</v>
      </c>
      <c r="AM155" s="288" t="s">
        <v>1</v>
      </c>
      <c r="AN155" s="287" t="s">
        <v>1</v>
      </c>
      <c r="AO155" s="287" t="s">
        <v>1</v>
      </c>
      <c r="AP155" s="286" t="s">
        <v>1</v>
      </c>
      <c r="AQ155" s="285" t="s">
        <v>1</v>
      </c>
      <c r="AR155" s="289" t="s">
        <v>1</v>
      </c>
      <c r="AS155" s="289" t="s">
        <v>1</v>
      </c>
      <c r="AT155" s="290" t="s">
        <v>1</v>
      </c>
      <c r="AU155" s="287" t="s">
        <v>1</v>
      </c>
      <c r="AV155" s="287" t="s">
        <v>1</v>
      </c>
      <c r="AW155" s="291" t="s">
        <v>1</v>
      </c>
    </row>
    <row r="156" spans="1:49" ht="30.15" customHeight="1" x14ac:dyDescent="0.25">
      <c r="A156" s="188" t="s">
        <v>18</v>
      </c>
      <c r="B156" s="188" t="s">
        <v>1</v>
      </c>
      <c r="C156" s="188" t="s">
        <v>35</v>
      </c>
      <c r="D156" s="190" t="s">
        <v>3</v>
      </c>
      <c r="E156" s="190" t="s">
        <v>862</v>
      </c>
      <c r="F156" s="203"/>
      <c r="G156" s="190" t="s">
        <v>874</v>
      </c>
      <c r="H156" s="192" t="s">
        <v>414</v>
      </c>
      <c r="I156" s="194">
        <v>1518</v>
      </c>
      <c r="J156" s="194">
        <v>1558</v>
      </c>
      <c r="K156" s="194">
        <v>1558</v>
      </c>
      <c r="L156" s="193">
        <v>1640</v>
      </c>
      <c r="M156" s="194">
        <v>1640</v>
      </c>
      <c r="N156" s="284" t="s">
        <v>1</v>
      </c>
      <c r="O156" s="285" t="s">
        <v>1</v>
      </c>
      <c r="P156" s="285" t="s">
        <v>1</v>
      </c>
      <c r="Q156" s="285" t="s">
        <v>1</v>
      </c>
      <c r="R156" s="285" t="s">
        <v>1</v>
      </c>
      <c r="S156" s="286" t="s">
        <v>1</v>
      </c>
      <c r="T156" s="285" t="s">
        <v>1</v>
      </c>
      <c r="U156" s="285" t="s">
        <v>1</v>
      </c>
      <c r="V156" s="285" t="s">
        <v>1</v>
      </c>
      <c r="W156" s="285" t="s">
        <v>1</v>
      </c>
      <c r="X156" s="286" t="s">
        <v>1</v>
      </c>
      <c r="Y156" s="285" t="s">
        <v>1</v>
      </c>
      <c r="Z156" s="285" t="s">
        <v>1</v>
      </c>
      <c r="AA156" s="285" t="s">
        <v>1</v>
      </c>
      <c r="AB156" s="285" t="s">
        <v>1</v>
      </c>
      <c r="AC156" s="286" t="s">
        <v>1</v>
      </c>
      <c r="AD156" s="285" t="s">
        <v>1</v>
      </c>
      <c r="AE156" s="285" t="s">
        <v>1</v>
      </c>
      <c r="AF156" s="285" t="s">
        <v>1</v>
      </c>
      <c r="AG156" s="285" t="s">
        <v>1</v>
      </c>
      <c r="AH156" s="286" t="s">
        <v>1</v>
      </c>
      <c r="AI156" s="295" t="s">
        <v>1</v>
      </c>
      <c r="AJ156" s="295" t="s">
        <v>1</v>
      </c>
      <c r="AK156" s="295" t="s">
        <v>1</v>
      </c>
      <c r="AL156" s="286">
        <v>328</v>
      </c>
      <c r="AM156" s="288" t="s">
        <v>1</v>
      </c>
      <c r="AN156" s="287" t="s">
        <v>1</v>
      </c>
      <c r="AO156" s="287" t="s">
        <v>1</v>
      </c>
      <c r="AP156" s="286" t="s">
        <v>1</v>
      </c>
      <c r="AQ156" s="285" t="s">
        <v>1</v>
      </c>
      <c r="AR156" s="289" t="s">
        <v>1</v>
      </c>
      <c r="AS156" s="289" t="s">
        <v>1</v>
      </c>
      <c r="AT156" s="290" t="s">
        <v>1</v>
      </c>
      <c r="AU156" s="287" t="s">
        <v>1</v>
      </c>
      <c r="AV156" s="287" t="s">
        <v>1</v>
      </c>
      <c r="AW156" s="291" t="s">
        <v>1</v>
      </c>
    </row>
    <row r="157" spans="1:49" ht="30.15" customHeight="1" x14ac:dyDescent="0.25">
      <c r="A157" s="188" t="s">
        <v>18</v>
      </c>
      <c r="B157" s="188" t="s">
        <v>1</v>
      </c>
      <c r="C157" s="188" t="s">
        <v>35</v>
      </c>
      <c r="D157" s="190" t="s">
        <v>3</v>
      </c>
      <c r="E157" s="190" t="s">
        <v>906</v>
      </c>
      <c r="F157" s="203"/>
      <c r="G157" s="190" t="s">
        <v>874</v>
      </c>
      <c r="H157" s="192" t="s">
        <v>414</v>
      </c>
      <c r="I157" s="194">
        <v>1449</v>
      </c>
      <c r="J157" s="194">
        <v>1558</v>
      </c>
      <c r="K157" s="194">
        <v>1558</v>
      </c>
      <c r="L157" s="193">
        <v>1649.99</v>
      </c>
      <c r="M157" s="194">
        <v>1649.99</v>
      </c>
      <c r="N157" s="284" t="s">
        <v>1</v>
      </c>
      <c r="O157" s="285" t="s">
        <v>1</v>
      </c>
      <c r="P157" s="285" t="s">
        <v>1</v>
      </c>
      <c r="Q157" s="285" t="s">
        <v>1</v>
      </c>
      <c r="R157" s="285" t="s">
        <v>1</v>
      </c>
      <c r="S157" s="286" t="s">
        <v>1</v>
      </c>
      <c r="T157" s="285" t="s">
        <v>1</v>
      </c>
      <c r="U157" s="285" t="s">
        <v>1</v>
      </c>
      <c r="V157" s="285" t="s">
        <v>1</v>
      </c>
      <c r="W157" s="285" t="s">
        <v>1</v>
      </c>
      <c r="X157" s="286" t="s">
        <v>1</v>
      </c>
      <c r="Y157" s="285" t="s">
        <v>1</v>
      </c>
      <c r="Z157" s="285" t="s">
        <v>1</v>
      </c>
      <c r="AA157" s="285" t="s">
        <v>1</v>
      </c>
      <c r="AB157" s="285" t="s">
        <v>1</v>
      </c>
      <c r="AC157" s="286" t="s">
        <v>1</v>
      </c>
      <c r="AD157" s="285" t="s">
        <v>1</v>
      </c>
      <c r="AE157" s="285" t="s">
        <v>1</v>
      </c>
      <c r="AF157" s="285" t="s">
        <v>1</v>
      </c>
      <c r="AG157" s="285" t="s">
        <v>1</v>
      </c>
      <c r="AH157" s="286" t="s">
        <v>1</v>
      </c>
      <c r="AI157" s="295" t="s">
        <v>1</v>
      </c>
      <c r="AJ157" s="295" t="s">
        <v>1</v>
      </c>
      <c r="AK157" s="295" t="s">
        <v>1</v>
      </c>
      <c r="AL157" s="286">
        <v>330</v>
      </c>
      <c r="AM157" s="288" t="s">
        <v>1</v>
      </c>
      <c r="AN157" s="287" t="s">
        <v>1</v>
      </c>
      <c r="AO157" s="287" t="s">
        <v>1</v>
      </c>
      <c r="AP157" s="286" t="s">
        <v>1</v>
      </c>
      <c r="AQ157" s="285" t="s">
        <v>1</v>
      </c>
      <c r="AR157" s="289" t="s">
        <v>1</v>
      </c>
      <c r="AS157" s="289" t="s">
        <v>1</v>
      </c>
      <c r="AT157" s="290" t="s">
        <v>1</v>
      </c>
      <c r="AU157" s="287" t="s">
        <v>1</v>
      </c>
      <c r="AV157" s="287" t="s">
        <v>1</v>
      </c>
      <c r="AW157" s="291" t="s">
        <v>1</v>
      </c>
    </row>
    <row r="158" spans="1:49" ht="30.15" customHeight="1" x14ac:dyDescent="0.25">
      <c r="A158" s="188" t="s">
        <v>18</v>
      </c>
      <c r="B158" s="188" t="s">
        <v>1</v>
      </c>
      <c r="C158" s="188" t="s">
        <v>35</v>
      </c>
      <c r="D158" s="190" t="s">
        <v>3</v>
      </c>
      <c r="E158" s="190" t="s">
        <v>863</v>
      </c>
      <c r="F158" s="203"/>
      <c r="G158" s="190" t="s">
        <v>875</v>
      </c>
      <c r="H158" s="192" t="s">
        <v>414</v>
      </c>
      <c r="I158" s="194">
        <v>1758</v>
      </c>
      <c r="J158" s="194">
        <v>1804.05</v>
      </c>
      <c r="K158" s="194">
        <v>1804.05</v>
      </c>
      <c r="L158" s="193">
        <v>1899</v>
      </c>
      <c r="M158" s="194">
        <v>1899</v>
      </c>
      <c r="N158" s="284" t="s">
        <v>1</v>
      </c>
      <c r="O158" s="285" t="s">
        <v>1</v>
      </c>
      <c r="P158" s="285" t="s">
        <v>1</v>
      </c>
      <c r="Q158" s="285" t="s">
        <v>1</v>
      </c>
      <c r="R158" s="285" t="s">
        <v>1</v>
      </c>
      <c r="S158" s="286" t="s">
        <v>1</v>
      </c>
      <c r="T158" s="285" t="s">
        <v>1</v>
      </c>
      <c r="U158" s="285" t="s">
        <v>1</v>
      </c>
      <c r="V158" s="285" t="s">
        <v>1</v>
      </c>
      <c r="W158" s="285" t="s">
        <v>1</v>
      </c>
      <c r="X158" s="286" t="s">
        <v>1</v>
      </c>
      <c r="Y158" s="285" t="s">
        <v>1</v>
      </c>
      <c r="Z158" s="285" t="s">
        <v>1</v>
      </c>
      <c r="AA158" s="285" t="s">
        <v>1</v>
      </c>
      <c r="AB158" s="285" t="s">
        <v>1</v>
      </c>
      <c r="AC158" s="286" t="s">
        <v>1</v>
      </c>
      <c r="AD158" s="285" t="s">
        <v>1</v>
      </c>
      <c r="AE158" s="285" t="s">
        <v>1</v>
      </c>
      <c r="AF158" s="285" t="s">
        <v>1</v>
      </c>
      <c r="AG158" s="285" t="s">
        <v>1</v>
      </c>
      <c r="AH158" s="286" t="s">
        <v>1</v>
      </c>
      <c r="AI158" s="295" t="s">
        <v>1</v>
      </c>
      <c r="AJ158" s="295" t="s">
        <v>1</v>
      </c>
      <c r="AK158" s="295" t="s">
        <v>1</v>
      </c>
      <c r="AL158" s="286">
        <v>379.8</v>
      </c>
      <c r="AM158" s="288" t="s">
        <v>1</v>
      </c>
      <c r="AN158" s="287" t="s">
        <v>1</v>
      </c>
      <c r="AO158" s="287" t="s">
        <v>1</v>
      </c>
      <c r="AP158" s="286" t="s">
        <v>1</v>
      </c>
      <c r="AQ158" s="285" t="s">
        <v>1</v>
      </c>
      <c r="AR158" s="289" t="s">
        <v>1</v>
      </c>
      <c r="AS158" s="289" t="s">
        <v>1</v>
      </c>
      <c r="AT158" s="290" t="s">
        <v>1</v>
      </c>
      <c r="AU158" s="287" t="s">
        <v>1</v>
      </c>
      <c r="AV158" s="287" t="s">
        <v>1</v>
      </c>
      <c r="AW158" s="291" t="s">
        <v>1</v>
      </c>
    </row>
    <row r="159" spans="1:49" ht="30.15" customHeight="1" x14ac:dyDescent="0.25">
      <c r="A159" s="188" t="s">
        <v>18</v>
      </c>
      <c r="B159" s="188" t="s">
        <v>1</v>
      </c>
      <c r="C159" s="188" t="s">
        <v>35</v>
      </c>
      <c r="D159" s="190" t="s">
        <v>3</v>
      </c>
      <c r="E159" s="190" t="s">
        <v>864</v>
      </c>
      <c r="F159" s="203"/>
      <c r="G159" s="190" t="s">
        <v>875</v>
      </c>
      <c r="H159" s="192" t="s">
        <v>414</v>
      </c>
      <c r="I159" s="194">
        <v>1758</v>
      </c>
      <c r="J159" s="194">
        <v>1804.05</v>
      </c>
      <c r="K159" s="194">
        <v>1804.05</v>
      </c>
      <c r="L159" s="193">
        <v>1899</v>
      </c>
      <c r="M159" s="194">
        <v>1899</v>
      </c>
      <c r="N159" s="284" t="s">
        <v>1</v>
      </c>
      <c r="O159" s="285" t="s">
        <v>1</v>
      </c>
      <c r="P159" s="285" t="s">
        <v>1</v>
      </c>
      <c r="Q159" s="285" t="s">
        <v>1</v>
      </c>
      <c r="R159" s="285" t="s">
        <v>1</v>
      </c>
      <c r="S159" s="286" t="s">
        <v>1</v>
      </c>
      <c r="T159" s="285" t="s">
        <v>1</v>
      </c>
      <c r="U159" s="285" t="s">
        <v>1</v>
      </c>
      <c r="V159" s="285" t="s">
        <v>1</v>
      </c>
      <c r="W159" s="285" t="s">
        <v>1</v>
      </c>
      <c r="X159" s="286" t="s">
        <v>1</v>
      </c>
      <c r="Y159" s="285" t="s">
        <v>1</v>
      </c>
      <c r="Z159" s="285" t="s">
        <v>1</v>
      </c>
      <c r="AA159" s="285" t="s">
        <v>1</v>
      </c>
      <c r="AB159" s="285" t="s">
        <v>1</v>
      </c>
      <c r="AC159" s="286" t="s">
        <v>1</v>
      </c>
      <c r="AD159" s="285" t="s">
        <v>1</v>
      </c>
      <c r="AE159" s="285" t="s">
        <v>1</v>
      </c>
      <c r="AF159" s="285" t="s">
        <v>1</v>
      </c>
      <c r="AG159" s="285" t="s">
        <v>1</v>
      </c>
      <c r="AH159" s="286" t="s">
        <v>1</v>
      </c>
      <c r="AI159" s="295" t="s">
        <v>1</v>
      </c>
      <c r="AJ159" s="295" t="s">
        <v>1</v>
      </c>
      <c r="AK159" s="295" t="s">
        <v>1</v>
      </c>
      <c r="AL159" s="286">
        <v>379.8</v>
      </c>
      <c r="AM159" s="288" t="s">
        <v>1</v>
      </c>
      <c r="AN159" s="287" t="s">
        <v>1</v>
      </c>
      <c r="AO159" s="287" t="s">
        <v>1</v>
      </c>
      <c r="AP159" s="286" t="s">
        <v>1</v>
      </c>
      <c r="AQ159" s="285" t="s">
        <v>1</v>
      </c>
      <c r="AR159" s="289" t="s">
        <v>1</v>
      </c>
      <c r="AS159" s="289" t="s">
        <v>1</v>
      </c>
      <c r="AT159" s="290" t="s">
        <v>1</v>
      </c>
      <c r="AU159" s="287" t="s">
        <v>1</v>
      </c>
      <c r="AV159" s="287" t="s">
        <v>1</v>
      </c>
      <c r="AW159" s="291" t="s">
        <v>1</v>
      </c>
    </row>
    <row r="160" spans="1:49" ht="30.15" customHeight="1" x14ac:dyDescent="0.25">
      <c r="A160" s="188" t="s">
        <v>18</v>
      </c>
      <c r="B160" s="188" t="s">
        <v>1</v>
      </c>
      <c r="C160" s="188" t="s">
        <v>35</v>
      </c>
      <c r="D160" s="190" t="s">
        <v>3</v>
      </c>
      <c r="E160" s="190" t="s">
        <v>865</v>
      </c>
      <c r="F160" s="203"/>
      <c r="G160" s="190" t="s">
        <v>876</v>
      </c>
      <c r="H160" s="192" t="s">
        <v>414</v>
      </c>
      <c r="I160" s="194">
        <v>1388</v>
      </c>
      <c r="J160" s="194">
        <v>1425</v>
      </c>
      <c r="K160" s="194">
        <v>1425</v>
      </c>
      <c r="L160" s="193">
        <v>1500</v>
      </c>
      <c r="M160" s="194">
        <v>1500</v>
      </c>
      <c r="N160" s="284" t="s">
        <v>1</v>
      </c>
      <c r="O160" s="285" t="s">
        <v>1</v>
      </c>
      <c r="P160" s="285" t="s">
        <v>1</v>
      </c>
      <c r="Q160" s="285" t="s">
        <v>1</v>
      </c>
      <c r="R160" s="285" t="s">
        <v>1</v>
      </c>
      <c r="S160" s="286" t="s">
        <v>1</v>
      </c>
      <c r="T160" s="285" t="s">
        <v>1</v>
      </c>
      <c r="U160" s="285" t="s">
        <v>1</v>
      </c>
      <c r="V160" s="285" t="s">
        <v>1</v>
      </c>
      <c r="W160" s="285" t="s">
        <v>1</v>
      </c>
      <c r="X160" s="286" t="s">
        <v>1</v>
      </c>
      <c r="Y160" s="285" t="s">
        <v>1</v>
      </c>
      <c r="Z160" s="285" t="s">
        <v>1</v>
      </c>
      <c r="AA160" s="285" t="s">
        <v>1</v>
      </c>
      <c r="AB160" s="285" t="s">
        <v>1</v>
      </c>
      <c r="AC160" s="286" t="s">
        <v>1</v>
      </c>
      <c r="AD160" s="285" t="s">
        <v>1</v>
      </c>
      <c r="AE160" s="285" t="s">
        <v>1</v>
      </c>
      <c r="AF160" s="285" t="s">
        <v>1</v>
      </c>
      <c r="AG160" s="285" t="s">
        <v>1</v>
      </c>
      <c r="AH160" s="286" t="s">
        <v>1</v>
      </c>
      <c r="AI160" s="295" t="s">
        <v>1</v>
      </c>
      <c r="AJ160" s="295" t="s">
        <v>1</v>
      </c>
      <c r="AK160" s="295" t="s">
        <v>1</v>
      </c>
      <c r="AL160" s="286">
        <v>300</v>
      </c>
      <c r="AM160" s="288" t="s">
        <v>1</v>
      </c>
      <c r="AN160" s="287" t="s">
        <v>1</v>
      </c>
      <c r="AO160" s="287" t="s">
        <v>1</v>
      </c>
      <c r="AP160" s="286" t="s">
        <v>1</v>
      </c>
      <c r="AQ160" s="285" t="s">
        <v>1</v>
      </c>
      <c r="AR160" s="289" t="s">
        <v>1</v>
      </c>
      <c r="AS160" s="289" t="s">
        <v>1</v>
      </c>
      <c r="AT160" s="290" t="s">
        <v>1</v>
      </c>
      <c r="AU160" s="287" t="s">
        <v>1</v>
      </c>
      <c r="AV160" s="287" t="s">
        <v>1</v>
      </c>
      <c r="AW160" s="291" t="s">
        <v>1</v>
      </c>
    </row>
    <row r="161" spans="1:49" ht="30.15" customHeight="1" x14ac:dyDescent="0.25">
      <c r="A161" s="188" t="s">
        <v>18</v>
      </c>
      <c r="B161" s="188" t="s">
        <v>1</v>
      </c>
      <c r="C161" s="188" t="s">
        <v>35</v>
      </c>
      <c r="D161" s="190" t="s">
        <v>3</v>
      </c>
      <c r="E161" s="190" t="s">
        <v>866</v>
      </c>
      <c r="F161" s="203"/>
      <c r="G161" s="190" t="s">
        <v>876</v>
      </c>
      <c r="H161" s="192" t="s">
        <v>414</v>
      </c>
      <c r="I161" s="194">
        <v>1388</v>
      </c>
      <c r="J161" s="194">
        <v>1425</v>
      </c>
      <c r="K161" s="194">
        <v>1425</v>
      </c>
      <c r="L161" s="193">
        <v>1500</v>
      </c>
      <c r="M161" s="194">
        <v>1500</v>
      </c>
      <c r="N161" s="284" t="s">
        <v>1</v>
      </c>
      <c r="O161" s="285" t="s">
        <v>1</v>
      </c>
      <c r="P161" s="285" t="s">
        <v>1</v>
      </c>
      <c r="Q161" s="285" t="s">
        <v>1</v>
      </c>
      <c r="R161" s="285" t="s">
        <v>1</v>
      </c>
      <c r="S161" s="286" t="s">
        <v>1</v>
      </c>
      <c r="T161" s="285" t="s">
        <v>1</v>
      </c>
      <c r="U161" s="285" t="s">
        <v>1</v>
      </c>
      <c r="V161" s="285" t="s">
        <v>1</v>
      </c>
      <c r="W161" s="285" t="s">
        <v>1</v>
      </c>
      <c r="X161" s="286" t="s">
        <v>1</v>
      </c>
      <c r="Y161" s="285" t="s">
        <v>1</v>
      </c>
      <c r="Z161" s="285" t="s">
        <v>1</v>
      </c>
      <c r="AA161" s="285" t="s">
        <v>1</v>
      </c>
      <c r="AB161" s="285" t="s">
        <v>1</v>
      </c>
      <c r="AC161" s="286" t="s">
        <v>1</v>
      </c>
      <c r="AD161" s="285" t="s">
        <v>1</v>
      </c>
      <c r="AE161" s="285" t="s">
        <v>1</v>
      </c>
      <c r="AF161" s="285" t="s">
        <v>1</v>
      </c>
      <c r="AG161" s="285" t="s">
        <v>1</v>
      </c>
      <c r="AH161" s="286" t="s">
        <v>1</v>
      </c>
      <c r="AI161" s="295" t="s">
        <v>1</v>
      </c>
      <c r="AJ161" s="295" t="s">
        <v>1</v>
      </c>
      <c r="AK161" s="295" t="s">
        <v>1</v>
      </c>
      <c r="AL161" s="286">
        <v>300</v>
      </c>
      <c r="AM161" s="288" t="s">
        <v>1</v>
      </c>
      <c r="AN161" s="287" t="s">
        <v>1</v>
      </c>
      <c r="AO161" s="287" t="s">
        <v>1</v>
      </c>
      <c r="AP161" s="286" t="s">
        <v>1</v>
      </c>
      <c r="AQ161" s="285" t="s">
        <v>1</v>
      </c>
      <c r="AR161" s="289" t="s">
        <v>1</v>
      </c>
      <c r="AS161" s="289" t="s">
        <v>1</v>
      </c>
      <c r="AT161" s="290" t="s">
        <v>1</v>
      </c>
      <c r="AU161" s="287" t="s">
        <v>1</v>
      </c>
      <c r="AV161" s="287" t="s">
        <v>1</v>
      </c>
      <c r="AW161" s="291" t="s">
        <v>1</v>
      </c>
    </row>
    <row r="162" spans="1:49" ht="30.15" customHeight="1" x14ac:dyDescent="0.25">
      <c r="A162" s="188" t="s">
        <v>18</v>
      </c>
      <c r="B162" s="188" t="s">
        <v>1</v>
      </c>
      <c r="C162" s="188" t="s">
        <v>35</v>
      </c>
      <c r="D162" s="190" t="s">
        <v>3</v>
      </c>
      <c r="E162" s="190" t="s">
        <v>867</v>
      </c>
      <c r="F162" s="203"/>
      <c r="G162" s="190" t="s">
        <v>877</v>
      </c>
      <c r="H162" s="192" t="s">
        <v>414</v>
      </c>
      <c r="I162" s="194">
        <v>1508</v>
      </c>
      <c r="J162" s="194">
        <v>1547.55</v>
      </c>
      <c r="K162" s="194">
        <v>1547.55</v>
      </c>
      <c r="L162" s="193">
        <v>1629</v>
      </c>
      <c r="M162" s="194">
        <v>1629</v>
      </c>
      <c r="N162" s="284" t="s">
        <v>1</v>
      </c>
      <c r="O162" s="285" t="s">
        <v>1</v>
      </c>
      <c r="P162" s="285" t="s">
        <v>1</v>
      </c>
      <c r="Q162" s="285" t="s">
        <v>1</v>
      </c>
      <c r="R162" s="285" t="s">
        <v>1</v>
      </c>
      <c r="S162" s="286" t="s">
        <v>1</v>
      </c>
      <c r="T162" s="285" t="s">
        <v>1</v>
      </c>
      <c r="U162" s="285" t="s">
        <v>1</v>
      </c>
      <c r="V162" s="285" t="s">
        <v>1</v>
      </c>
      <c r="W162" s="285" t="s">
        <v>1</v>
      </c>
      <c r="X162" s="286" t="s">
        <v>1</v>
      </c>
      <c r="Y162" s="285" t="s">
        <v>1</v>
      </c>
      <c r="Z162" s="285" t="s">
        <v>1</v>
      </c>
      <c r="AA162" s="285" t="s">
        <v>1</v>
      </c>
      <c r="AB162" s="285" t="s">
        <v>1</v>
      </c>
      <c r="AC162" s="286" t="s">
        <v>1</v>
      </c>
      <c r="AD162" s="285" t="s">
        <v>1</v>
      </c>
      <c r="AE162" s="285" t="s">
        <v>1</v>
      </c>
      <c r="AF162" s="285" t="s">
        <v>1</v>
      </c>
      <c r="AG162" s="285" t="s">
        <v>1</v>
      </c>
      <c r="AH162" s="286" t="s">
        <v>1</v>
      </c>
      <c r="AI162" s="295" t="s">
        <v>1</v>
      </c>
      <c r="AJ162" s="295" t="s">
        <v>1</v>
      </c>
      <c r="AK162" s="295" t="s">
        <v>1</v>
      </c>
      <c r="AL162" s="286">
        <v>325.8</v>
      </c>
      <c r="AM162" s="288" t="s">
        <v>1</v>
      </c>
      <c r="AN162" s="287" t="s">
        <v>1</v>
      </c>
      <c r="AO162" s="287" t="s">
        <v>1</v>
      </c>
      <c r="AP162" s="286" t="s">
        <v>1</v>
      </c>
      <c r="AQ162" s="285" t="s">
        <v>1</v>
      </c>
      <c r="AR162" s="289" t="s">
        <v>1</v>
      </c>
      <c r="AS162" s="289" t="s">
        <v>1</v>
      </c>
      <c r="AT162" s="290" t="s">
        <v>1</v>
      </c>
      <c r="AU162" s="287" t="s">
        <v>1</v>
      </c>
      <c r="AV162" s="287" t="s">
        <v>1</v>
      </c>
      <c r="AW162" s="291" t="s">
        <v>1</v>
      </c>
    </row>
    <row r="163" spans="1:49" ht="30.15" customHeight="1" x14ac:dyDescent="0.25">
      <c r="A163" s="188" t="s">
        <v>18</v>
      </c>
      <c r="B163" s="188" t="s">
        <v>1</v>
      </c>
      <c r="C163" s="188" t="s">
        <v>35</v>
      </c>
      <c r="D163" s="190" t="s">
        <v>3</v>
      </c>
      <c r="E163" s="190" t="s">
        <v>868</v>
      </c>
      <c r="F163" s="203"/>
      <c r="G163" s="190" t="s">
        <v>877</v>
      </c>
      <c r="H163" s="192" t="s">
        <v>414</v>
      </c>
      <c r="I163" s="194">
        <v>1508</v>
      </c>
      <c r="J163" s="194">
        <v>1547.55</v>
      </c>
      <c r="K163" s="194">
        <v>1547.55</v>
      </c>
      <c r="L163" s="193">
        <v>1629</v>
      </c>
      <c r="M163" s="194">
        <v>1629</v>
      </c>
      <c r="N163" s="284" t="s">
        <v>1</v>
      </c>
      <c r="O163" s="285" t="s">
        <v>1</v>
      </c>
      <c r="P163" s="285" t="s">
        <v>1</v>
      </c>
      <c r="Q163" s="285" t="s">
        <v>1</v>
      </c>
      <c r="R163" s="285" t="s">
        <v>1</v>
      </c>
      <c r="S163" s="286" t="s">
        <v>1</v>
      </c>
      <c r="T163" s="285" t="s">
        <v>1</v>
      </c>
      <c r="U163" s="285" t="s">
        <v>1</v>
      </c>
      <c r="V163" s="285" t="s">
        <v>1</v>
      </c>
      <c r="W163" s="285" t="s">
        <v>1</v>
      </c>
      <c r="X163" s="286" t="s">
        <v>1</v>
      </c>
      <c r="Y163" s="285" t="s">
        <v>1</v>
      </c>
      <c r="Z163" s="285" t="s">
        <v>1</v>
      </c>
      <c r="AA163" s="285" t="s">
        <v>1</v>
      </c>
      <c r="AB163" s="285" t="s">
        <v>1</v>
      </c>
      <c r="AC163" s="286" t="s">
        <v>1</v>
      </c>
      <c r="AD163" s="285" t="s">
        <v>1</v>
      </c>
      <c r="AE163" s="285" t="s">
        <v>1</v>
      </c>
      <c r="AF163" s="285" t="s">
        <v>1</v>
      </c>
      <c r="AG163" s="285" t="s">
        <v>1</v>
      </c>
      <c r="AH163" s="286" t="s">
        <v>1</v>
      </c>
      <c r="AI163" s="295" t="s">
        <v>1</v>
      </c>
      <c r="AJ163" s="295" t="s">
        <v>1</v>
      </c>
      <c r="AK163" s="295" t="s">
        <v>1</v>
      </c>
      <c r="AL163" s="286">
        <v>325.8</v>
      </c>
      <c r="AM163" s="288" t="s">
        <v>1</v>
      </c>
      <c r="AN163" s="287" t="s">
        <v>1</v>
      </c>
      <c r="AO163" s="287" t="s">
        <v>1</v>
      </c>
      <c r="AP163" s="286" t="s">
        <v>1</v>
      </c>
      <c r="AQ163" s="285" t="s">
        <v>1</v>
      </c>
      <c r="AR163" s="289" t="s">
        <v>1</v>
      </c>
      <c r="AS163" s="289" t="s">
        <v>1</v>
      </c>
      <c r="AT163" s="290" t="s">
        <v>1</v>
      </c>
      <c r="AU163" s="287" t="s">
        <v>1</v>
      </c>
      <c r="AV163" s="287" t="s">
        <v>1</v>
      </c>
      <c r="AW163" s="291" t="s">
        <v>1</v>
      </c>
    </row>
    <row r="164" spans="1:49" ht="30.15" customHeight="1" x14ac:dyDescent="0.25">
      <c r="A164" s="188" t="s">
        <v>18</v>
      </c>
      <c r="B164" s="188" t="s">
        <v>1</v>
      </c>
      <c r="C164" s="188" t="s">
        <v>35</v>
      </c>
      <c r="D164" s="190" t="s">
        <v>3</v>
      </c>
      <c r="E164" s="190" t="s">
        <v>869</v>
      </c>
      <c r="F164" s="203"/>
      <c r="G164" s="190" t="s">
        <v>878</v>
      </c>
      <c r="H164" s="192" t="s">
        <v>414</v>
      </c>
      <c r="I164" s="194">
        <v>1749</v>
      </c>
      <c r="J164" s="194">
        <v>1794.55</v>
      </c>
      <c r="K164" s="194">
        <v>1794.55</v>
      </c>
      <c r="L164" s="193">
        <v>1889</v>
      </c>
      <c r="M164" s="194">
        <v>1889</v>
      </c>
      <c r="N164" s="284" t="s">
        <v>1</v>
      </c>
      <c r="O164" s="285" t="s">
        <v>1</v>
      </c>
      <c r="P164" s="285" t="s">
        <v>1</v>
      </c>
      <c r="Q164" s="285" t="s">
        <v>1</v>
      </c>
      <c r="R164" s="285" t="s">
        <v>1</v>
      </c>
      <c r="S164" s="286" t="s">
        <v>1</v>
      </c>
      <c r="T164" s="285" t="s">
        <v>1</v>
      </c>
      <c r="U164" s="285" t="s">
        <v>1</v>
      </c>
      <c r="V164" s="285" t="s">
        <v>1</v>
      </c>
      <c r="W164" s="285" t="s">
        <v>1</v>
      </c>
      <c r="X164" s="286" t="s">
        <v>1</v>
      </c>
      <c r="Y164" s="285" t="s">
        <v>1</v>
      </c>
      <c r="Z164" s="285" t="s">
        <v>1</v>
      </c>
      <c r="AA164" s="285" t="s">
        <v>1</v>
      </c>
      <c r="AB164" s="285" t="s">
        <v>1</v>
      </c>
      <c r="AC164" s="286" t="s">
        <v>1</v>
      </c>
      <c r="AD164" s="285" t="s">
        <v>1</v>
      </c>
      <c r="AE164" s="285" t="s">
        <v>1</v>
      </c>
      <c r="AF164" s="285" t="s">
        <v>1</v>
      </c>
      <c r="AG164" s="285" t="s">
        <v>1</v>
      </c>
      <c r="AH164" s="286" t="s">
        <v>1</v>
      </c>
      <c r="AI164" s="295" t="s">
        <v>1</v>
      </c>
      <c r="AJ164" s="295" t="s">
        <v>1</v>
      </c>
      <c r="AK164" s="295" t="s">
        <v>1</v>
      </c>
      <c r="AL164" s="286">
        <v>377.8</v>
      </c>
      <c r="AM164" s="288" t="s">
        <v>1</v>
      </c>
      <c r="AN164" s="287" t="s">
        <v>1</v>
      </c>
      <c r="AO164" s="287" t="s">
        <v>1</v>
      </c>
      <c r="AP164" s="286" t="s">
        <v>1</v>
      </c>
      <c r="AQ164" s="285" t="s">
        <v>1</v>
      </c>
      <c r="AR164" s="289" t="s">
        <v>1</v>
      </c>
      <c r="AS164" s="289" t="s">
        <v>1</v>
      </c>
      <c r="AT164" s="290" t="s">
        <v>1</v>
      </c>
      <c r="AU164" s="287" t="s">
        <v>1</v>
      </c>
      <c r="AV164" s="287" t="s">
        <v>1</v>
      </c>
      <c r="AW164" s="291" t="s">
        <v>1</v>
      </c>
    </row>
    <row r="165" spans="1:49" ht="30.15" customHeight="1" x14ac:dyDescent="0.25">
      <c r="A165" s="188" t="s">
        <v>18</v>
      </c>
      <c r="B165" s="188" t="s">
        <v>1</v>
      </c>
      <c r="C165" s="188" t="s">
        <v>35</v>
      </c>
      <c r="D165" s="190" t="s">
        <v>3</v>
      </c>
      <c r="E165" s="190" t="s">
        <v>870</v>
      </c>
      <c r="F165" s="203"/>
      <c r="G165" s="190" t="s">
        <v>878</v>
      </c>
      <c r="H165" s="192" t="s">
        <v>414</v>
      </c>
      <c r="I165" s="194">
        <v>1749</v>
      </c>
      <c r="J165" s="194">
        <v>1794.55</v>
      </c>
      <c r="K165" s="194">
        <v>1794.55</v>
      </c>
      <c r="L165" s="193">
        <v>1889</v>
      </c>
      <c r="M165" s="194">
        <v>1889</v>
      </c>
      <c r="N165" s="284" t="s">
        <v>1</v>
      </c>
      <c r="O165" s="285" t="s">
        <v>1</v>
      </c>
      <c r="P165" s="285" t="s">
        <v>1</v>
      </c>
      <c r="Q165" s="285" t="s">
        <v>1</v>
      </c>
      <c r="R165" s="285" t="s">
        <v>1</v>
      </c>
      <c r="S165" s="286" t="s">
        <v>1</v>
      </c>
      <c r="T165" s="285" t="s">
        <v>1</v>
      </c>
      <c r="U165" s="285" t="s">
        <v>1</v>
      </c>
      <c r="V165" s="285" t="s">
        <v>1</v>
      </c>
      <c r="W165" s="285" t="s">
        <v>1</v>
      </c>
      <c r="X165" s="286" t="s">
        <v>1</v>
      </c>
      <c r="Y165" s="285" t="s">
        <v>1</v>
      </c>
      <c r="Z165" s="285" t="s">
        <v>1</v>
      </c>
      <c r="AA165" s="285" t="s">
        <v>1</v>
      </c>
      <c r="AB165" s="285" t="s">
        <v>1</v>
      </c>
      <c r="AC165" s="286" t="s">
        <v>1</v>
      </c>
      <c r="AD165" s="285" t="s">
        <v>1</v>
      </c>
      <c r="AE165" s="285" t="s">
        <v>1</v>
      </c>
      <c r="AF165" s="285" t="s">
        <v>1</v>
      </c>
      <c r="AG165" s="285" t="s">
        <v>1</v>
      </c>
      <c r="AH165" s="286" t="s">
        <v>1</v>
      </c>
      <c r="AI165" s="295" t="s">
        <v>1</v>
      </c>
      <c r="AJ165" s="295" t="s">
        <v>1</v>
      </c>
      <c r="AK165" s="295" t="s">
        <v>1</v>
      </c>
      <c r="AL165" s="286">
        <v>377.8</v>
      </c>
      <c r="AM165" s="288" t="s">
        <v>1</v>
      </c>
      <c r="AN165" s="287" t="s">
        <v>1</v>
      </c>
      <c r="AO165" s="287" t="s">
        <v>1</v>
      </c>
      <c r="AP165" s="286" t="s">
        <v>1</v>
      </c>
      <c r="AQ165" s="285" t="s">
        <v>1</v>
      </c>
      <c r="AR165" s="289" t="s">
        <v>1</v>
      </c>
      <c r="AS165" s="289" t="s">
        <v>1</v>
      </c>
      <c r="AT165" s="290" t="s">
        <v>1</v>
      </c>
      <c r="AU165" s="287" t="s">
        <v>1</v>
      </c>
      <c r="AV165" s="287" t="s">
        <v>1</v>
      </c>
      <c r="AW165" s="291" t="s">
        <v>1</v>
      </c>
    </row>
    <row r="166" spans="1:49" ht="30.15" customHeight="1" x14ac:dyDescent="0.25">
      <c r="A166" s="188" t="s">
        <v>18</v>
      </c>
      <c r="B166" s="188" t="s">
        <v>1</v>
      </c>
      <c r="C166" s="188" t="s">
        <v>35</v>
      </c>
      <c r="D166" s="190" t="s">
        <v>3</v>
      </c>
      <c r="E166" s="190" t="s">
        <v>871</v>
      </c>
      <c r="F166" s="203"/>
      <c r="G166" s="190" t="s">
        <v>879</v>
      </c>
      <c r="H166" s="192" t="s">
        <v>414</v>
      </c>
      <c r="I166" s="194">
        <v>1990</v>
      </c>
      <c r="J166" s="194">
        <v>2042.5</v>
      </c>
      <c r="K166" s="194">
        <v>2042.5</v>
      </c>
      <c r="L166" s="193">
        <v>2150</v>
      </c>
      <c r="M166" s="194">
        <v>2150</v>
      </c>
      <c r="N166" s="284" t="s">
        <v>1</v>
      </c>
      <c r="O166" s="285" t="s">
        <v>1</v>
      </c>
      <c r="P166" s="285" t="s">
        <v>1</v>
      </c>
      <c r="Q166" s="285" t="s">
        <v>1</v>
      </c>
      <c r="R166" s="285" t="s">
        <v>1</v>
      </c>
      <c r="S166" s="286" t="s">
        <v>1</v>
      </c>
      <c r="T166" s="285" t="s">
        <v>1</v>
      </c>
      <c r="U166" s="285" t="s">
        <v>1</v>
      </c>
      <c r="V166" s="285" t="s">
        <v>1</v>
      </c>
      <c r="W166" s="285" t="s">
        <v>1</v>
      </c>
      <c r="X166" s="286" t="s">
        <v>1</v>
      </c>
      <c r="Y166" s="285" t="s">
        <v>1</v>
      </c>
      <c r="Z166" s="285" t="s">
        <v>1</v>
      </c>
      <c r="AA166" s="285" t="s">
        <v>1</v>
      </c>
      <c r="AB166" s="285" t="s">
        <v>1</v>
      </c>
      <c r="AC166" s="286" t="s">
        <v>1</v>
      </c>
      <c r="AD166" s="285" t="s">
        <v>1</v>
      </c>
      <c r="AE166" s="285" t="s">
        <v>1</v>
      </c>
      <c r="AF166" s="285" t="s">
        <v>1</v>
      </c>
      <c r="AG166" s="285" t="s">
        <v>1</v>
      </c>
      <c r="AH166" s="286" t="s">
        <v>1</v>
      </c>
      <c r="AI166" s="295" t="s">
        <v>1</v>
      </c>
      <c r="AJ166" s="295" t="s">
        <v>1</v>
      </c>
      <c r="AK166" s="295" t="s">
        <v>1</v>
      </c>
      <c r="AL166" s="286">
        <v>430</v>
      </c>
      <c r="AM166" s="288" t="s">
        <v>1</v>
      </c>
      <c r="AN166" s="287" t="s">
        <v>1</v>
      </c>
      <c r="AO166" s="287" t="s">
        <v>1</v>
      </c>
      <c r="AP166" s="286" t="s">
        <v>1</v>
      </c>
      <c r="AQ166" s="285" t="s">
        <v>1</v>
      </c>
      <c r="AR166" s="289" t="s">
        <v>1</v>
      </c>
      <c r="AS166" s="289" t="s">
        <v>1</v>
      </c>
      <c r="AT166" s="290" t="s">
        <v>1</v>
      </c>
      <c r="AU166" s="287" t="s">
        <v>1</v>
      </c>
      <c r="AV166" s="287" t="s">
        <v>1</v>
      </c>
      <c r="AW166" s="291" t="s">
        <v>1</v>
      </c>
    </row>
    <row r="167" spans="1:49" ht="30.15" customHeight="1" x14ac:dyDescent="0.25">
      <c r="A167" s="188" t="s">
        <v>18</v>
      </c>
      <c r="B167" s="188" t="s">
        <v>1</v>
      </c>
      <c r="C167" s="188" t="s">
        <v>35</v>
      </c>
      <c r="D167" s="190" t="s">
        <v>3</v>
      </c>
      <c r="E167" s="190" t="s">
        <v>872</v>
      </c>
      <c r="F167" s="203"/>
      <c r="G167" s="190" t="s">
        <v>879</v>
      </c>
      <c r="H167" s="192" t="s">
        <v>414</v>
      </c>
      <c r="I167" s="194">
        <v>1990</v>
      </c>
      <c r="J167" s="194">
        <v>2042.5</v>
      </c>
      <c r="K167" s="194">
        <v>2042.5</v>
      </c>
      <c r="L167" s="193">
        <v>2150</v>
      </c>
      <c r="M167" s="194">
        <v>2150</v>
      </c>
      <c r="N167" s="284" t="s">
        <v>1</v>
      </c>
      <c r="O167" s="285" t="s">
        <v>1</v>
      </c>
      <c r="P167" s="285" t="s">
        <v>1</v>
      </c>
      <c r="Q167" s="285" t="s">
        <v>1</v>
      </c>
      <c r="R167" s="285" t="s">
        <v>1</v>
      </c>
      <c r="S167" s="286" t="s">
        <v>1</v>
      </c>
      <c r="T167" s="285" t="s">
        <v>1</v>
      </c>
      <c r="U167" s="285" t="s">
        <v>1</v>
      </c>
      <c r="V167" s="285" t="s">
        <v>1</v>
      </c>
      <c r="W167" s="285" t="s">
        <v>1</v>
      </c>
      <c r="X167" s="286" t="s">
        <v>1</v>
      </c>
      <c r="Y167" s="285" t="s">
        <v>1</v>
      </c>
      <c r="Z167" s="285" t="s">
        <v>1</v>
      </c>
      <c r="AA167" s="285" t="s">
        <v>1</v>
      </c>
      <c r="AB167" s="285" t="s">
        <v>1</v>
      </c>
      <c r="AC167" s="286" t="s">
        <v>1</v>
      </c>
      <c r="AD167" s="285" t="s">
        <v>1</v>
      </c>
      <c r="AE167" s="285" t="s">
        <v>1</v>
      </c>
      <c r="AF167" s="285" t="s">
        <v>1</v>
      </c>
      <c r="AG167" s="285" t="s">
        <v>1</v>
      </c>
      <c r="AH167" s="286" t="s">
        <v>1</v>
      </c>
      <c r="AI167" s="295" t="s">
        <v>1</v>
      </c>
      <c r="AJ167" s="295" t="s">
        <v>1</v>
      </c>
      <c r="AK167" s="295" t="s">
        <v>1</v>
      </c>
      <c r="AL167" s="286">
        <v>430</v>
      </c>
      <c r="AM167" s="288" t="s">
        <v>1</v>
      </c>
      <c r="AN167" s="287" t="s">
        <v>1</v>
      </c>
      <c r="AO167" s="287" t="s">
        <v>1</v>
      </c>
      <c r="AP167" s="286" t="s">
        <v>1</v>
      </c>
      <c r="AQ167" s="285" t="s">
        <v>1</v>
      </c>
      <c r="AR167" s="289" t="s">
        <v>1</v>
      </c>
      <c r="AS167" s="289" t="s">
        <v>1</v>
      </c>
      <c r="AT167" s="290" t="s">
        <v>1</v>
      </c>
      <c r="AU167" s="287" t="s">
        <v>1</v>
      </c>
      <c r="AV167" s="287" t="s">
        <v>1</v>
      </c>
      <c r="AW167" s="291" t="s">
        <v>1</v>
      </c>
    </row>
    <row r="168" spans="1:49" ht="30.15" customHeight="1" x14ac:dyDescent="0.25">
      <c r="A168" s="260" t="s">
        <v>18</v>
      </c>
      <c r="B168" s="260" t="s">
        <v>1</v>
      </c>
      <c r="C168" s="260" t="s">
        <v>35</v>
      </c>
      <c r="D168" s="261" t="s">
        <v>3</v>
      </c>
      <c r="E168" s="261" t="s">
        <v>1283</v>
      </c>
      <c r="F168" s="262"/>
      <c r="G168" s="261" t="s">
        <v>1293</v>
      </c>
      <c r="H168" s="263" t="s">
        <v>414</v>
      </c>
      <c r="I168" s="264">
        <v>1481</v>
      </c>
      <c r="J168" s="264">
        <v>1511</v>
      </c>
      <c r="K168" s="264">
        <v>1511</v>
      </c>
      <c r="L168" s="264">
        <v>1600</v>
      </c>
      <c r="M168" s="264">
        <v>1600</v>
      </c>
      <c r="N168" s="284" t="s">
        <v>1</v>
      </c>
      <c r="O168" s="296" t="s">
        <v>1</v>
      </c>
      <c r="P168" s="296" t="s">
        <v>1</v>
      </c>
      <c r="Q168" s="296" t="s">
        <v>1</v>
      </c>
      <c r="R168" s="296" t="s">
        <v>1</v>
      </c>
      <c r="S168" s="286" t="s">
        <v>1</v>
      </c>
      <c r="T168" s="296" t="s">
        <v>1</v>
      </c>
      <c r="U168" s="296" t="s">
        <v>1</v>
      </c>
      <c r="V168" s="296" t="s">
        <v>1</v>
      </c>
      <c r="W168" s="296" t="s">
        <v>1</v>
      </c>
      <c r="X168" s="286" t="s">
        <v>1</v>
      </c>
      <c r="Y168" s="296" t="s">
        <v>1</v>
      </c>
      <c r="Z168" s="296" t="s">
        <v>1</v>
      </c>
      <c r="AA168" s="296" t="s">
        <v>1</v>
      </c>
      <c r="AB168" s="296" t="s">
        <v>1</v>
      </c>
      <c r="AC168" s="286" t="s">
        <v>1</v>
      </c>
      <c r="AD168" s="296" t="s">
        <v>1</v>
      </c>
      <c r="AE168" s="296" t="s">
        <v>1</v>
      </c>
      <c r="AF168" s="296" t="s">
        <v>1</v>
      </c>
      <c r="AG168" s="296" t="s">
        <v>1</v>
      </c>
      <c r="AH168" s="286" t="s">
        <v>1</v>
      </c>
      <c r="AI168" s="297" t="s">
        <v>1</v>
      </c>
      <c r="AJ168" s="297" t="s">
        <v>1</v>
      </c>
      <c r="AK168" s="297" t="s">
        <v>1</v>
      </c>
      <c r="AL168" s="286">
        <v>320</v>
      </c>
      <c r="AM168" s="298" t="s">
        <v>1</v>
      </c>
      <c r="AN168" s="299" t="s">
        <v>1</v>
      </c>
      <c r="AO168" s="299" t="s">
        <v>1</v>
      </c>
      <c r="AP168" s="286" t="s">
        <v>1</v>
      </c>
      <c r="AQ168" s="296" t="s">
        <v>1</v>
      </c>
      <c r="AR168" s="300" t="s">
        <v>1</v>
      </c>
      <c r="AS168" s="300" t="s">
        <v>1</v>
      </c>
      <c r="AT168" s="290" t="s">
        <v>1</v>
      </c>
      <c r="AU168" s="299" t="s">
        <v>1</v>
      </c>
      <c r="AV168" s="299" t="s">
        <v>1</v>
      </c>
      <c r="AW168" s="301" t="s">
        <v>1</v>
      </c>
    </row>
    <row r="169" spans="1:49" ht="30.15" customHeight="1" x14ac:dyDescent="0.25">
      <c r="A169" s="260" t="s">
        <v>18</v>
      </c>
      <c r="B169" s="260" t="s">
        <v>1</v>
      </c>
      <c r="C169" s="260" t="s">
        <v>35</v>
      </c>
      <c r="D169" s="261" t="s">
        <v>3</v>
      </c>
      <c r="E169" s="261" t="s">
        <v>1284</v>
      </c>
      <c r="F169" s="262"/>
      <c r="G169" s="261" t="s">
        <v>1293</v>
      </c>
      <c r="H169" s="263" t="s">
        <v>414</v>
      </c>
      <c r="I169" s="264">
        <v>1481</v>
      </c>
      <c r="J169" s="264">
        <v>1511</v>
      </c>
      <c r="K169" s="264">
        <v>1511</v>
      </c>
      <c r="L169" s="264">
        <v>1600</v>
      </c>
      <c r="M169" s="264">
        <v>1600</v>
      </c>
      <c r="N169" s="284" t="s">
        <v>1</v>
      </c>
      <c r="O169" s="296" t="s">
        <v>1</v>
      </c>
      <c r="P169" s="296" t="s">
        <v>1</v>
      </c>
      <c r="Q169" s="296" t="s">
        <v>1</v>
      </c>
      <c r="R169" s="296" t="s">
        <v>1</v>
      </c>
      <c r="S169" s="286" t="s">
        <v>1</v>
      </c>
      <c r="T169" s="296" t="s">
        <v>1</v>
      </c>
      <c r="U169" s="296" t="s">
        <v>1</v>
      </c>
      <c r="V169" s="296" t="s">
        <v>1</v>
      </c>
      <c r="W169" s="296" t="s">
        <v>1</v>
      </c>
      <c r="X169" s="286" t="s">
        <v>1</v>
      </c>
      <c r="Y169" s="296" t="s">
        <v>1</v>
      </c>
      <c r="Z169" s="296" t="s">
        <v>1</v>
      </c>
      <c r="AA169" s="296" t="s">
        <v>1</v>
      </c>
      <c r="AB169" s="296" t="s">
        <v>1</v>
      </c>
      <c r="AC169" s="286" t="s">
        <v>1</v>
      </c>
      <c r="AD169" s="296" t="s">
        <v>1</v>
      </c>
      <c r="AE169" s="296" t="s">
        <v>1</v>
      </c>
      <c r="AF169" s="296" t="s">
        <v>1</v>
      </c>
      <c r="AG169" s="296" t="s">
        <v>1</v>
      </c>
      <c r="AH169" s="286" t="s">
        <v>1</v>
      </c>
      <c r="AI169" s="297" t="s">
        <v>1</v>
      </c>
      <c r="AJ169" s="297" t="s">
        <v>1</v>
      </c>
      <c r="AK169" s="297" t="s">
        <v>1</v>
      </c>
      <c r="AL169" s="286">
        <v>320</v>
      </c>
      <c r="AM169" s="298" t="s">
        <v>1</v>
      </c>
      <c r="AN169" s="299" t="s">
        <v>1</v>
      </c>
      <c r="AO169" s="299" t="s">
        <v>1</v>
      </c>
      <c r="AP169" s="286" t="s">
        <v>1</v>
      </c>
      <c r="AQ169" s="296" t="s">
        <v>1</v>
      </c>
      <c r="AR169" s="300" t="s">
        <v>1</v>
      </c>
      <c r="AS169" s="300" t="s">
        <v>1</v>
      </c>
      <c r="AT169" s="290" t="s">
        <v>1</v>
      </c>
      <c r="AU169" s="299" t="s">
        <v>1</v>
      </c>
      <c r="AV169" s="299" t="s">
        <v>1</v>
      </c>
      <c r="AW169" s="301" t="s">
        <v>1</v>
      </c>
    </row>
    <row r="170" spans="1:49" ht="30.15" customHeight="1" x14ac:dyDescent="0.25">
      <c r="A170" s="260" t="s">
        <v>18</v>
      </c>
      <c r="B170" s="260" t="s">
        <v>1</v>
      </c>
      <c r="C170" s="260" t="s">
        <v>35</v>
      </c>
      <c r="D170" s="261" t="s">
        <v>3</v>
      </c>
      <c r="E170" s="261" t="s">
        <v>1285</v>
      </c>
      <c r="F170" s="262"/>
      <c r="G170" s="261" t="s">
        <v>1294</v>
      </c>
      <c r="H170" s="263" t="s">
        <v>414</v>
      </c>
      <c r="I170" s="264">
        <v>1601</v>
      </c>
      <c r="J170" s="264">
        <v>1633</v>
      </c>
      <c r="K170" s="264">
        <v>1633</v>
      </c>
      <c r="L170" s="264">
        <v>1730</v>
      </c>
      <c r="M170" s="264">
        <v>1730</v>
      </c>
      <c r="N170" s="284" t="s">
        <v>1</v>
      </c>
      <c r="O170" s="296" t="s">
        <v>1</v>
      </c>
      <c r="P170" s="296" t="s">
        <v>1</v>
      </c>
      <c r="Q170" s="296" t="s">
        <v>1</v>
      </c>
      <c r="R170" s="296" t="s">
        <v>1</v>
      </c>
      <c r="S170" s="286" t="s">
        <v>1</v>
      </c>
      <c r="T170" s="296" t="s">
        <v>1</v>
      </c>
      <c r="U170" s="296" t="s">
        <v>1</v>
      </c>
      <c r="V170" s="296" t="s">
        <v>1</v>
      </c>
      <c r="W170" s="296" t="s">
        <v>1</v>
      </c>
      <c r="X170" s="286" t="s">
        <v>1</v>
      </c>
      <c r="Y170" s="296" t="s">
        <v>1</v>
      </c>
      <c r="Z170" s="296" t="s">
        <v>1</v>
      </c>
      <c r="AA170" s="296" t="s">
        <v>1</v>
      </c>
      <c r="AB170" s="296" t="s">
        <v>1</v>
      </c>
      <c r="AC170" s="286" t="s">
        <v>1</v>
      </c>
      <c r="AD170" s="296" t="s">
        <v>1</v>
      </c>
      <c r="AE170" s="296" t="s">
        <v>1</v>
      </c>
      <c r="AF170" s="296" t="s">
        <v>1</v>
      </c>
      <c r="AG170" s="296" t="s">
        <v>1</v>
      </c>
      <c r="AH170" s="286" t="s">
        <v>1</v>
      </c>
      <c r="AI170" s="297" t="s">
        <v>1</v>
      </c>
      <c r="AJ170" s="297" t="s">
        <v>1</v>
      </c>
      <c r="AK170" s="297" t="s">
        <v>1</v>
      </c>
      <c r="AL170" s="286">
        <v>346</v>
      </c>
      <c r="AM170" s="298" t="s">
        <v>1</v>
      </c>
      <c r="AN170" s="299" t="s">
        <v>1</v>
      </c>
      <c r="AO170" s="299" t="s">
        <v>1</v>
      </c>
      <c r="AP170" s="286" t="s">
        <v>1</v>
      </c>
      <c r="AQ170" s="296" t="s">
        <v>1</v>
      </c>
      <c r="AR170" s="300" t="s">
        <v>1</v>
      </c>
      <c r="AS170" s="300" t="s">
        <v>1</v>
      </c>
      <c r="AT170" s="290" t="s">
        <v>1</v>
      </c>
      <c r="AU170" s="299" t="s">
        <v>1</v>
      </c>
      <c r="AV170" s="299" t="s">
        <v>1</v>
      </c>
      <c r="AW170" s="301" t="s">
        <v>1</v>
      </c>
    </row>
    <row r="171" spans="1:49" ht="30.15" customHeight="1" x14ac:dyDescent="0.25">
      <c r="A171" s="260" t="s">
        <v>18</v>
      </c>
      <c r="B171" s="260" t="s">
        <v>1</v>
      </c>
      <c r="C171" s="260" t="s">
        <v>35</v>
      </c>
      <c r="D171" s="261" t="s">
        <v>3</v>
      </c>
      <c r="E171" s="261" t="s">
        <v>1286</v>
      </c>
      <c r="F171" s="262"/>
      <c r="G171" s="261" t="s">
        <v>1294</v>
      </c>
      <c r="H171" s="263" t="s">
        <v>414</v>
      </c>
      <c r="I171" s="264">
        <v>1601</v>
      </c>
      <c r="J171" s="264">
        <v>1633</v>
      </c>
      <c r="K171" s="264">
        <v>1633</v>
      </c>
      <c r="L171" s="264">
        <v>1730</v>
      </c>
      <c r="M171" s="264">
        <v>1730</v>
      </c>
      <c r="N171" s="284" t="s">
        <v>1</v>
      </c>
      <c r="O171" s="296" t="s">
        <v>1</v>
      </c>
      <c r="P171" s="296" t="s">
        <v>1</v>
      </c>
      <c r="Q171" s="296" t="s">
        <v>1</v>
      </c>
      <c r="R171" s="296" t="s">
        <v>1</v>
      </c>
      <c r="S171" s="286" t="s">
        <v>1</v>
      </c>
      <c r="T171" s="296" t="s">
        <v>1</v>
      </c>
      <c r="U171" s="296" t="s">
        <v>1</v>
      </c>
      <c r="V171" s="296" t="s">
        <v>1</v>
      </c>
      <c r="W171" s="296" t="s">
        <v>1</v>
      </c>
      <c r="X171" s="286" t="s">
        <v>1</v>
      </c>
      <c r="Y171" s="296" t="s">
        <v>1</v>
      </c>
      <c r="Z171" s="296" t="s">
        <v>1</v>
      </c>
      <c r="AA171" s="296" t="s">
        <v>1</v>
      </c>
      <c r="AB171" s="296" t="s">
        <v>1</v>
      </c>
      <c r="AC171" s="286" t="s">
        <v>1</v>
      </c>
      <c r="AD171" s="296" t="s">
        <v>1</v>
      </c>
      <c r="AE171" s="296" t="s">
        <v>1</v>
      </c>
      <c r="AF171" s="296" t="s">
        <v>1</v>
      </c>
      <c r="AG171" s="296" t="s">
        <v>1</v>
      </c>
      <c r="AH171" s="286" t="s">
        <v>1</v>
      </c>
      <c r="AI171" s="297" t="s">
        <v>1</v>
      </c>
      <c r="AJ171" s="297" t="s">
        <v>1</v>
      </c>
      <c r="AK171" s="297" t="s">
        <v>1</v>
      </c>
      <c r="AL171" s="286">
        <v>346</v>
      </c>
      <c r="AM171" s="298" t="s">
        <v>1</v>
      </c>
      <c r="AN171" s="299" t="s">
        <v>1</v>
      </c>
      <c r="AO171" s="299" t="s">
        <v>1</v>
      </c>
      <c r="AP171" s="286" t="s">
        <v>1</v>
      </c>
      <c r="AQ171" s="296" t="s">
        <v>1</v>
      </c>
      <c r="AR171" s="300" t="s">
        <v>1</v>
      </c>
      <c r="AS171" s="300" t="s">
        <v>1</v>
      </c>
      <c r="AT171" s="290" t="s">
        <v>1</v>
      </c>
      <c r="AU171" s="299" t="s">
        <v>1</v>
      </c>
      <c r="AV171" s="299" t="s">
        <v>1</v>
      </c>
      <c r="AW171" s="301" t="s">
        <v>1</v>
      </c>
    </row>
    <row r="172" spans="1:49" ht="30.15" customHeight="1" x14ac:dyDescent="0.25">
      <c r="A172" s="260" t="s">
        <v>18</v>
      </c>
      <c r="B172" s="260" t="s">
        <v>1</v>
      </c>
      <c r="C172" s="260" t="s">
        <v>35</v>
      </c>
      <c r="D172" s="261" t="s">
        <v>3</v>
      </c>
      <c r="E172" s="261" t="s">
        <v>1287</v>
      </c>
      <c r="F172" s="262"/>
      <c r="G172" s="261" t="s">
        <v>1295</v>
      </c>
      <c r="H172" s="263" t="s">
        <v>414</v>
      </c>
      <c r="I172" s="264">
        <v>1833</v>
      </c>
      <c r="J172" s="264">
        <v>1870</v>
      </c>
      <c r="K172" s="264">
        <v>1870</v>
      </c>
      <c r="L172" s="264">
        <v>1980</v>
      </c>
      <c r="M172" s="264">
        <v>1980</v>
      </c>
      <c r="N172" s="284" t="s">
        <v>1</v>
      </c>
      <c r="O172" s="296" t="s">
        <v>1</v>
      </c>
      <c r="P172" s="296" t="s">
        <v>1</v>
      </c>
      <c r="Q172" s="296" t="s">
        <v>1</v>
      </c>
      <c r="R172" s="296" t="s">
        <v>1</v>
      </c>
      <c r="S172" s="286" t="s">
        <v>1</v>
      </c>
      <c r="T172" s="296" t="s">
        <v>1</v>
      </c>
      <c r="U172" s="296" t="s">
        <v>1</v>
      </c>
      <c r="V172" s="296" t="s">
        <v>1</v>
      </c>
      <c r="W172" s="296" t="s">
        <v>1</v>
      </c>
      <c r="X172" s="286" t="s">
        <v>1</v>
      </c>
      <c r="Y172" s="296" t="s">
        <v>1</v>
      </c>
      <c r="Z172" s="296" t="s">
        <v>1</v>
      </c>
      <c r="AA172" s="296" t="s">
        <v>1</v>
      </c>
      <c r="AB172" s="296" t="s">
        <v>1</v>
      </c>
      <c r="AC172" s="286" t="s">
        <v>1</v>
      </c>
      <c r="AD172" s="296" t="s">
        <v>1</v>
      </c>
      <c r="AE172" s="296" t="s">
        <v>1</v>
      </c>
      <c r="AF172" s="296" t="s">
        <v>1</v>
      </c>
      <c r="AG172" s="296" t="s">
        <v>1</v>
      </c>
      <c r="AH172" s="286" t="s">
        <v>1</v>
      </c>
      <c r="AI172" s="297" t="s">
        <v>1</v>
      </c>
      <c r="AJ172" s="297" t="s">
        <v>1</v>
      </c>
      <c r="AK172" s="297" t="s">
        <v>1</v>
      </c>
      <c r="AL172" s="286">
        <v>396</v>
      </c>
      <c r="AM172" s="298" t="s">
        <v>1</v>
      </c>
      <c r="AN172" s="299" t="s">
        <v>1</v>
      </c>
      <c r="AO172" s="299" t="s">
        <v>1</v>
      </c>
      <c r="AP172" s="286" t="s">
        <v>1</v>
      </c>
      <c r="AQ172" s="296" t="s">
        <v>1</v>
      </c>
      <c r="AR172" s="300" t="s">
        <v>1</v>
      </c>
      <c r="AS172" s="300" t="s">
        <v>1</v>
      </c>
      <c r="AT172" s="290" t="s">
        <v>1</v>
      </c>
      <c r="AU172" s="299" t="s">
        <v>1</v>
      </c>
      <c r="AV172" s="299" t="s">
        <v>1</v>
      </c>
      <c r="AW172" s="301" t="s">
        <v>1</v>
      </c>
    </row>
    <row r="173" spans="1:49" ht="30.15" customHeight="1" x14ac:dyDescent="0.25">
      <c r="A173" s="260" t="s">
        <v>18</v>
      </c>
      <c r="B173" s="260" t="s">
        <v>1</v>
      </c>
      <c r="C173" s="260" t="s">
        <v>35</v>
      </c>
      <c r="D173" s="261" t="s">
        <v>3</v>
      </c>
      <c r="E173" s="261" t="s">
        <v>1288</v>
      </c>
      <c r="F173" s="262"/>
      <c r="G173" s="261" t="s">
        <v>1295</v>
      </c>
      <c r="H173" s="263" t="s">
        <v>414</v>
      </c>
      <c r="I173" s="264">
        <v>1833</v>
      </c>
      <c r="J173" s="264">
        <v>1870</v>
      </c>
      <c r="K173" s="264">
        <v>1870</v>
      </c>
      <c r="L173" s="264">
        <v>1980</v>
      </c>
      <c r="M173" s="264">
        <v>1980</v>
      </c>
      <c r="N173" s="284" t="s">
        <v>1</v>
      </c>
      <c r="O173" s="296" t="s">
        <v>1</v>
      </c>
      <c r="P173" s="296" t="s">
        <v>1</v>
      </c>
      <c r="Q173" s="296" t="s">
        <v>1</v>
      </c>
      <c r="R173" s="296" t="s">
        <v>1</v>
      </c>
      <c r="S173" s="286" t="s">
        <v>1</v>
      </c>
      <c r="T173" s="296" t="s">
        <v>1</v>
      </c>
      <c r="U173" s="296" t="s">
        <v>1</v>
      </c>
      <c r="V173" s="296" t="s">
        <v>1</v>
      </c>
      <c r="W173" s="296" t="s">
        <v>1</v>
      </c>
      <c r="X173" s="286" t="s">
        <v>1</v>
      </c>
      <c r="Y173" s="296" t="s">
        <v>1</v>
      </c>
      <c r="Z173" s="296" t="s">
        <v>1</v>
      </c>
      <c r="AA173" s="296" t="s">
        <v>1</v>
      </c>
      <c r="AB173" s="296" t="s">
        <v>1</v>
      </c>
      <c r="AC173" s="286" t="s">
        <v>1</v>
      </c>
      <c r="AD173" s="296" t="s">
        <v>1</v>
      </c>
      <c r="AE173" s="296" t="s">
        <v>1</v>
      </c>
      <c r="AF173" s="296" t="s">
        <v>1</v>
      </c>
      <c r="AG173" s="296" t="s">
        <v>1</v>
      </c>
      <c r="AH173" s="286" t="s">
        <v>1</v>
      </c>
      <c r="AI173" s="297" t="s">
        <v>1</v>
      </c>
      <c r="AJ173" s="297" t="s">
        <v>1</v>
      </c>
      <c r="AK173" s="297" t="s">
        <v>1</v>
      </c>
      <c r="AL173" s="286">
        <v>396</v>
      </c>
      <c r="AM173" s="298" t="s">
        <v>1</v>
      </c>
      <c r="AN173" s="299" t="s">
        <v>1</v>
      </c>
      <c r="AO173" s="299" t="s">
        <v>1</v>
      </c>
      <c r="AP173" s="286" t="s">
        <v>1</v>
      </c>
      <c r="AQ173" s="296" t="s">
        <v>1</v>
      </c>
      <c r="AR173" s="300" t="s">
        <v>1</v>
      </c>
      <c r="AS173" s="300" t="s">
        <v>1</v>
      </c>
      <c r="AT173" s="290" t="s">
        <v>1</v>
      </c>
      <c r="AU173" s="299" t="s">
        <v>1</v>
      </c>
      <c r="AV173" s="299" t="s">
        <v>1</v>
      </c>
      <c r="AW173" s="301" t="s">
        <v>1</v>
      </c>
    </row>
    <row r="174" spans="1:49" ht="30.15" customHeight="1" x14ac:dyDescent="0.25">
      <c r="A174" s="260" t="s">
        <v>18</v>
      </c>
      <c r="B174" s="260" t="s">
        <v>1</v>
      </c>
      <c r="C174" s="260" t="s">
        <v>35</v>
      </c>
      <c r="D174" s="261" t="s">
        <v>3</v>
      </c>
      <c r="E174" s="261" t="s">
        <v>1289</v>
      </c>
      <c r="F174" s="262"/>
      <c r="G174" s="261" t="s">
        <v>1296</v>
      </c>
      <c r="H174" s="263" t="s">
        <v>414</v>
      </c>
      <c r="I174" s="264">
        <v>2296</v>
      </c>
      <c r="J174" s="264">
        <v>2342</v>
      </c>
      <c r="K174" s="264">
        <v>2342</v>
      </c>
      <c r="L174" s="264">
        <v>2480</v>
      </c>
      <c r="M174" s="264">
        <v>2480</v>
      </c>
      <c r="N174" s="284" t="s">
        <v>1</v>
      </c>
      <c r="O174" s="296" t="s">
        <v>1</v>
      </c>
      <c r="P174" s="296" t="s">
        <v>1</v>
      </c>
      <c r="Q174" s="296" t="s">
        <v>1</v>
      </c>
      <c r="R174" s="296" t="s">
        <v>1</v>
      </c>
      <c r="S174" s="286" t="s">
        <v>1</v>
      </c>
      <c r="T174" s="296" t="s">
        <v>1</v>
      </c>
      <c r="U174" s="296" t="s">
        <v>1</v>
      </c>
      <c r="V174" s="296" t="s">
        <v>1</v>
      </c>
      <c r="W174" s="296" t="s">
        <v>1</v>
      </c>
      <c r="X174" s="286" t="s">
        <v>1</v>
      </c>
      <c r="Y174" s="296" t="s">
        <v>1</v>
      </c>
      <c r="Z174" s="296" t="s">
        <v>1</v>
      </c>
      <c r="AA174" s="296" t="s">
        <v>1</v>
      </c>
      <c r="AB174" s="296" t="s">
        <v>1</v>
      </c>
      <c r="AC174" s="286" t="s">
        <v>1</v>
      </c>
      <c r="AD174" s="296" t="s">
        <v>1</v>
      </c>
      <c r="AE174" s="296" t="s">
        <v>1</v>
      </c>
      <c r="AF174" s="296" t="s">
        <v>1</v>
      </c>
      <c r="AG174" s="296" t="s">
        <v>1</v>
      </c>
      <c r="AH174" s="286" t="s">
        <v>1</v>
      </c>
      <c r="AI174" s="297" t="s">
        <v>1</v>
      </c>
      <c r="AJ174" s="297" t="s">
        <v>1</v>
      </c>
      <c r="AK174" s="297" t="s">
        <v>1</v>
      </c>
      <c r="AL174" s="286">
        <v>496</v>
      </c>
      <c r="AM174" s="298" t="s">
        <v>1</v>
      </c>
      <c r="AN174" s="299" t="s">
        <v>1</v>
      </c>
      <c r="AO174" s="299" t="s">
        <v>1</v>
      </c>
      <c r="AP174" s="286" t="s">
        <v>1</v>
      </c>
      <c r="AQ174" s="296" t="s">
        <v>1</v>
      </c>
      <c r="AR174" s="300" t="s">
        <v>1</v>
      </c>
      <c r="AS174" s="300" t="s">
        <v>1</v>
      </c>
      <c r="AT174" s="290" t="s">
        <v>1</v>
      </c>
      <c r="AU174" s="299" t="s">
        <v>1</v>
      </c>
      <c r="AV174" s="299" t="s">
        <v>1</v>
      </c>
      <c r="AW174" s="301" t="s">
        <v>1</v>
      </c>
    </row>
    <row r="175" spans="1:49" ht="30.15" customHeight="1" x14ac:dyDescent="0.25">
      <c r="A175" s="260" t="s">
        <v>18</v>
      </c>
      <c r="B175" s="260" t="s">
        <v>1</v>
      </c>
      <c r="C175" s="260" t="s">
        <v>35</v>
      </c>
      <c r="D175" s="261" t="s">
        <v>3</v>
      </c>
      <c r="E175" s="261" t="s">
        <v>1290</v>
      </c>
      <c r="F175" s="262"/>
      <c r="G175" s="261" t="s">
        <v>1296</v>
      </c>
      <c r="H175" s="263" t="s">
        <v>414</v>
      </c>
      <c r="I175" s="264">
        <v>2296</v>
      </c>
      <c r="J175" s="264">
        <v>2342</v>
      </c>
      <c r="K175" s="264">
        <v>2342</v>
      </c>
      <c r="L175" s="264">
        <v>2480</v>
      </c>
      <c r="M175" s="264">
        <v>2480</v>
      </c>
      <c r="N175" s="284" t="s">
        <v>1</v>
      </c>
      <c r="O175" s="296" t="s">
        <v>1</v>
      </c>
      <c r="P175" s="296" t="s">
        <v>1</v>
      </c>
      <c r="Q175" s="296" t="s">
        <v>1</v>
      </c>
      <c r="R175" s="296" t="s">
        <v>1</v>
      </c>
      <c r="S175" s="286" t="s">
        <v>1</v>
      </c>
      <c r="T175" s="296" t="s">
        <v>1</v>
      </c>
      <c r="U175" s="296" t="s">
        <v>1</v>
      </c>
      <c r="V175" s="296" t="s">
        <v>1</v>
      </c>
      <c r="W175" s="296" t="s">
        <v>1</v>
      </c>
      <c r="X175" s="286" t="s">
        <v>1</v>
      </c>
      <c r="Y175" s="296" t="s">
        <v>1</v>
      </c>
      <c r="Z175" s="296" t="s">
        <v>1</v>
      </c>
      <c r="AA175" s="296" t="s">
        <v>1</v>
      </c>
      <c r="AB175" s="296" t="s">
        <v>1</v>
      </c>
      <c r="AC175" s="286" t="s">
        <v>1</v>
      </c>
      <c r="AD175" s="296" t="s">
        <v>1</v>
      </c>
      <c r="AE175" s="296" t="s">
        <v>1</v>
      </c>
      <c r="AF175" s="296" t="s">
        <v>1</v>
      </c>
      <c r="AG175" s="296" t="s">
        <v>1</v>
      </c>
      <c r="AH175" s="286" t="s">
        <v>1</v>
      </c>
      <c r="AI175" s="297" t="s">
        <v>1</v>
      </c>
      <c r="AJ175" s="297" t="s">
        <v>1</v>
      </c>
      <c r="AK175" s="297" t="s">
        <v>1</v>
      </c>
      <c r="AL175" s="286">
        <v>496</v>
      </c>
      <c r="AM175" s="298" t="s">
        <v>1</v>
      </c>
      <c r="AN175" s="299" t="s">
        <v>1</v>
      </c>
      <c r="AO175" s="299" t="s">
        <v>1</v>
      </c>
      <c r="AP175" s="286" t="s">
        <v>1</v>
      </c>
      <c r="AQ175" s="296" t="s">
        <v>1</v>
      </c>
      <c r="AR175" s="300" t="s">
        <v>1</v>
      </c>
      <c r="AS175" s="300" t="s">
        <v>1</v>
      </c>
      <c r="AT175" s="290" t="s">
        <v>1</v>
      </c>
      <c r="AU175" s="299" t="s">
        <v>1</v>
      </c>
      <c r="AV175" s="299" t="s">
        <v>1</v>
      </c>
      <c r="AW175" s="301" t="s">
        <v>1</v>
      </c>
    </row>
    <row r="176" spans="1:49" ht="30.15" customHeight="1" x14ac:dyDescent="0.25">
      <c r="A176" s="260" t="s">
        <v>18</v>
      </c>
      <c r="B176" s="260" t="s">
        <v>1</v>
      </c>
      <c r="C176" s="260" t="s">
        <v>35</v>
      </c>
      <c r="D176" s="261" t="s">
        <v>3</v>
      </c>
      <c r="E176" s="261" t="s">
        <v>1291</v>
      </c>
      <c r="F176" s="262"/>
      <c r="G176" s="261" t="s">
        <v>1297</v>
      </c>
      <c r="H176" s="263" t="s">
        <v>414</v>
      </c>
      <c r="I176" s="264">
        <v>2759</v>
      </c>
      <c r="J176" s="264">
        <v>2814</v>
      </c>
      <c r="K176" s="264">
        <v>2814</v>
      </c>
      <c r="L176" s="264">
        <v>2980</v>
      </c>
      <c r="M176" s="264">
        <v>2980</v>
      </c>
      <c r="N176" s="284" t="s">
        <v>1</v>
      </c>
      <c r="O176" s="296" t="s">
        <v>1</v>
      </c>
      <c r="P176" s="296" t="s">
        <v>1</v>
      </c>
      <c r="Q176" s="296" t="s">
        <v>1</v>
      </c>
      <c r="R176" s="296" t="s">
        <v>1</v>
      </c>
      <c r="S176" s="286" t="s">
        <v>1</v>
      </c>
      <c r="T176" s="296" t="s">
        <v>1</v>
      </c>
      <c r="U176" s="296" t="s">
        <v>1</v>
      </c>
      <c r="V176" s="296" t="s">
        <v>1</v>
      </c>
      <c r="W176" s="296" t="s">
        <v>1</v>
      </c>
      <c r="X176" s="286" t="s">
        <v>1</v>
      </c>
      <c r="Y176" s="296" t="s">
        <v>1</v>
      </c>
      <c r="Z176" s="296" t="s">
        <v>1</v>
      </c>
      <c r="AA176" s="296" t="s">
        <v>1</v>
      </c>
      <c r="AB176" s="296" t="s">
        <v>1</v>
      </c>
      <c r="AC176" s="286" t="s">
        <v>1</v>
      </c>
      <c r="AD176" s="296" t="s">
        <v>1</v>
      </c>
      <c r="AE176" s="296" t="s">
        <v>1</v>
      </c>
      <c r="AF176" s="296" t="s">
        <v>1</v>
      </c>
      <c r="AG176" s="296" t="s">
        <v>1</v>
      </c>
      <c r="AH176" s="286" t="s">
        <v>1</v>
      </c>
      <c r="AI176" s="297" t="s">
        <v>1</v>
      </c>
      <c r="AJ176" s="297" t="s">
        <v>1</v>
      </c>
      <c r="AK176" s="297" t="s">
        <v>1</v>
      </c>
      <c r="AL176" s="286">
        <v>596</v>
      </c>
      <c r="AM176" s="298" t="s">
        <v>1</v>
      </c>
      <c r="AN176" s="299" t="s">
        <v>1</v>
      </c>
      <c r="AO176" s="299" t="s">
        <v>1</v>
      </c>
      <c r="AP176" s="286" t="s">
        <v>1</v>
      </c>
      <c r="AQ176" s="296" t="s">
        <v>1</v>
      </c>
      <c r="AR176" s="300" t="s">
        <v>1</v>
      </c>
      <c r="AS176" s="300" t="s">
        <v>1</v>
      </c>
      <c r="AT176" s="290" t="s">
        <v>1</v>
      </c>
      <c r="AU176" s="299" t="s">
        <v>1</v>
      </c>
      <c r="AV176" s="299" t="s">
        <v>1</v>
      </c>
      <c r="AW176" s="301" t="s">
        <v>1</v>
      </c>
    </row>
    <row r="177" spans="1:49" ht="30.15" customHeight="1" x14ac:dyDescent="0.25">
      <c r="A177" s="260" t="s">
        <v>18</v>
      </c>
      <c r="B177" s="260" t="s">
        <v>1</v>
      </c>
      <c r="C177" s="260" t="s">
        <v>35</v>
      </c>
      <c r="D177" s="261" t="s">
        <v>3</v>
      </c>
      <c r="E177" s="261" t="s">
        <v>1292</v>
      </c>
      <c r="F177" s="262"/>
      <c r="G177" s="261" t="s">
        <v>1297</v>
      </c>
      <c r="H177" s="263" t="s">
        <v>414</v>
      </c>
      <c r="I177" s="264">
        <v>2759</v>
      </c>
      <c r="J177" s="264">
        <v>2814</v>
      </c>
      <c r="K177" s="264">
        <v>2814</v>
      </c>
      <c r="L177" s="264">
        <v>2980</v>
      </c>
      <c r="M177" s="264">
        <v>2980</v>
      </c>
      <c r="N177" s="284" t="s">
        <v>1</v>
      </c>
      <c r="O177" s="296" t="s">
        <v>1</v>
      </c>
      <c r="P177" s="296" t="s">
        <v>1</v>
      </c>
      <c r="Q177" s="296" t="s">
        <v>1</v>
      </c>
      <c r="R177" s="296" t="s">
        <v>1</v>
      </c>
      <c r="S177" s="286" t="s">
        <v>1</v>
      </c>
      <c r="T177" s="296" t="s">
        <v>1</v>
      </c>
      <c r="U177" s="296" t="s">
        <v>1</v>
      </c>
      <c r="V177" s="296" t="s">
        <v>1</v>
      </c>
      <c r="W177" s="296" t="s">
        <v>1</v>
      </c>
      <c r="X177" s="286" t="s">
        <v>1</v>
      </c>
      <c r="Y177" s="296" t="s">
        <v>1</v>
      </c>
      <c r="Z177" s="296" t="s">
        <v>1</v>
      </c>
      <c r="AA177" s="296" t="s">
        <v>1</v>
      </c>
      <c r="AB177" s="296" t="s">
        <v>1</v>
      </c>
      <c r="AC177" s="286" t="s">
        <v>1</v>
      </c>
      <c r="AD177" s="296" t="s">
        <v>1</v>
      </c>
      <c r="AE177" s="296" t="s">
        <v>1</v>
      </c>
      <c r="AF177" s="296" t="s">
        <v>1</v>
      </c>
      <c r="AG177" s="296" t="s">
        <v>1</v>
      </c>
      <c r="AH177" s="286" t="s">
        <v>1</v>
      </c>
      <c r="AI177" s="297" t="s">
        <v>1</v>
      </c>
      <c r="AJ177" s="297" t="s">
        <v>1</v>
      </c>
      <c r="AK177" s="297" t="s">
        <v>1</v>
      </c>
      <c r="AL177" s="286">
        <v>596</v>
      </c>
      <c r="AM177" s="298" t="s">
        <v>1</v>
      </c>
      <c r="AN177" s="299" t="s">
        <v>1</v>
      </c>
      <c r="AO177" s="299" t="s">
        <v>1</v>
      </c>
      <c r="AP177" s="286" t="s">
        <v>1</v>
      </c>
      <c r="AQ177" s="296" t="s">
        <v>1</v>
      </c>
      <c r="AR177" s="300" t="s">
        <v>1</v>
      </c>
      <c r="AS177" s="300" t="s">
        <v>1</v>
      </c>
      <c r="AT177" s="290" t="s">
        <v>1</v>
      </c>
      <c r="AU177" s="299" t="s">
        <v>1</v>
      </c>
      <c r="AV177" s="299" t="s">
        <v>1</v>
      </c>
      <c r="AW177" s="301" t="s">
        <v>1</v>
      </c>
    </row>
    <row r="178" spans="1:49" ht="30.15" customHeight="1" x14ac:dyDescent="0.25">
      <c r="A178" s="188" t="s">
        <v>18</v>
      </c>
      <c r="B178" s="189" t="s">
        <v>1</v>
      </c>
      <c r="C178" s="212" t="s">
        <v>34</v>
      </c>
      <c r="D178" s="190" t="s">
        <v>3</v>
      </c>
      <c r="E178" s="190" t="s">
        <v>248</v>
      </c>
      <c r="F178" s="203"/>
      <c r="G178" s="190" t="s">
        <v>252</v>
      </c>
      <c r="H178" s="192" t="s">
        <v>409</v>
      </c>
      <c r="I178" s="193">
        <v>450</v>
      </c>
      <c r="J178" s="193">
        <v>469</v>
      </c>
      <c r="K178" s="193">
        <v>469</v>
      </c>
      <c r="L178" s="194">
        <v>489</v>
      </c>
      <c r="M178" s="194">
        <v>489</v>
      </c>
      <c r="N178" s="284">
        <v>97.8</v>
      </c>
      <c r="O178" s="285" t="s">
        <v>1</v>
      </c>
      <c r="P178" s="285" t="s">
        <v>1</v>
      </c>
      <c r="Q178" s="285" t="s">
        <v>1</v>
      </c>
      <c r="R178" s="285" t="s">
        <v>1</v>
      </c>
      <c r="S178" s="286">
        <v>97.8</v>
      </c>
      <c r="T178" s="285" t="s">
        <v>1</v>
      </c>
      <c r="U178" s="285" t="s">
        <v>1</v>
      </c>
      <c r="V178" s="285" t="s">
        <v>1</v>
      </c>
      <c r="W178" s="285" t="s">
        <v>1</v>
      </c>
      <c r="X178" s="286">
        <v>97.8</v>
      </c>
      <c r="Y178" s="285" t="s">
        <v>1</v>
      </c>
      <c r="Z178" s="285" t="s">
        <v>1</v>
      </c>
      <c r="AA178" s="285" t="s">
        <v>1</v>
      </c>
      <c r="AB178" s="285" t="s">
        <v>1</v>
      </c>
      <c r="AC178" s="286">
        <v>97.8</v>
      </c>
      <c r="AD178" s="285" t="s">
        <v>1</v>
      </c>
      <c r="AE178" s="285" t="s">
        <v>1</v>
      </c>
      <c r="AF178" s="285" t="s">
        <v>1</v>
      </c>
      <c r="AG178" s="285" t="s">
        <v>1</v>
      </c>
      <c r="AH178" s="286">
        <v>97.8</v>
      </c>
      <c r="AI178" s="295" t="s">
        <v>1</v>
      </c>
      <c r="AJ178" s="295" t="s">
        <v>1</v>
      </c>
      <c r="AK178" s="295" t="s">
        <v>1</v>
      </c>
      <c r="AL178" s="286" t="s">
        <v>1</v>
      </c>
      <c r="AM178" s="288" t="s">
        <v>1</v>
      </c>
      <c r="AN178" s="287" t="s">
        <v>1</v>
      </c>
      <c r="AO178" s="287" t="s">
        <v>1</v>
      </c>
      <c r="AP178" s="286" t="s">
        <v>1</v>
      </c>
      <c r="AQ178" s="285" t="s">
        <v>1</v>
      </c>
      <c r="AR178" s="289" t="s">
        <v>1</v>
      </c>
      <c r="AS178" s="289" t="s">
        <v>1</v>
      </c>
      <c r="AT178" s="290" t="s">
        <v>1</v>
      </c>
      <c r="AU178" s="287" t="s">
        <v>1</v>
      </c>
      <c r="AV178" s="287" t="s">
        <v>1</v>
      </c>
      <c r="AW178" s="291" t="s">
        <v>1</v>
      </c>
    </row>
    <row r="179" spans="1:49" ht="30.15" customHeight="1" x14ac:dyDescent="0.25">
      <c r="A179" s="188" t="s">
        <v>18</v>
      </c>
      <c r="B179" s="189" t="s">
        <v>1</v>
      </c>
      <c r="C179" s="212" t="s">
        <v>34</v>
      </c>
      <c r="D179" s="190" t="s">
        <v>3</v>
      </c>
      <c r="E179" s="190" t="s">
        <v>251</v>
      </c>
      <c r="F179" s="203"/>
      <c r="G179" s="190" t="s">
        <v>252</v>
      </c>
      <c r="H179" s="192" t="s">
        <v>409</v>
      </c>
      <c r="I179" s="193">
        <v>450</v>
      </c>
      <c r="J179" s="193">
        <v>469</v>
      </c>
      <c r="K179" s="193">
        <v>469</v>
      </c>
      <c r="L179" s="194">
        <v>489</v>
      </c>
      <c r="M179" s="194">
        <v>489</v>
      </c>
      <c r="N179" s="284">
        <v>97.8</v>
      </c>
      <c r="O179" s="285" t="s">
        <v>1</v>
      </c>
      <c r="P179" s="285" t="s">
        <v>1</v>
      </c>
      <c r="Q179" s="285" t="s">
        <v>1</v>
      </c>
      <c r="R179" s="285" t="s">
        <v>1</v>
      </c>
      <c r="S179" s="286">
        <v>97.8</v>
      </c>
      <c r="T179" s="285" t="s">
        <v>1</v>
      </c>
      <c r="U179" s="285" t="s">
        <v>1</v>
      </c>
      <c r="V179" s="285" t="s">
        <v>1</v>
      </c>
      <c r="W179" s="285" t="s">
        <v>1</v>
      </c>
      <c r="X179" s="286">
        <v>97.8</v>
      </c>
      <c r="Y179" s="285" t="s">
        <v>1</v>
      </c>
      <c r="Z179" s="285" t="s">
        <v>1</v>
      </c>
      <c r="AA179" s="285" t="s">
        <v>1</v>
      </c>
      <c r="AB179" s="285" t="s">
        <v>1</v>
      </c>
      <c r="AC179" s="286">
        <v>97.8</v>
      </c>
      <c r="AD179" s="285" t="s">
        <v>1</v>
      </c>
      <c r="AE179" s="285" t="s">
        <v>1</v>
      </c>
      <c r="AF179" s="285" t="s">
        <v>1</v>
      </c>
      <c r="AG179" s="285" t="s">
        <v>1</v>
      </c>
      <c r="AH179" s="286">
        <v>97.8</v>
      </c>
      <c r="AI179" s="295" t="s">
        <v>1</v>
      </c>
      <c r="AJ179" s="295" t="s">
        <v>1</v>
      </c>
      <c r="AK179" s="295" t="s">
        <v>1</v>
      </c>
      <c r="AL179" s="286" t="s">
        <v>1</v>
      </c>
      <c r="AM179" s="288" t="s">
        <v>1</v>
      </c>
      <c r="AN179" s="287" t="s">
        <v>1</v>
      </c>
      <c r="AO179" s="287" t="s">
        <v>1</v>
      </c>
      <c r="AP179" s="286" t="s">
        <v>1</v>
      </c>
      <c r="AQ179" s="285" t="s">
        <v>1</v>
      </c>
      <c r="AR179" s="289" t="s">
        <v>1</v>
      </c>
      <c r="AS179" s="289" t="s">
        <v>1</v>
      </c>
      <c r="AT179" s="290" t="s">
        <v>1</v>
      </c>
      <c r="AU179" s="287" t="s">
        <v>1</v>
      </c>
      <c r="AV179" s="287" t="s">
        <v>1</v>
      </c>
      <c r="AW179" s="291" t="s">
        <v>1</v>
      </c>
    </row>
    <row r="180" spans="1:49" ht="30.15" customHeight="1" x14ac:dyDescent="0.25">
      <c r="A180" s="188" t="s">
        <v>18</v>
      </c>
      <c r="B180" s="189" t="s">
        <v>1</v>
      </c>
      <c r="C180" s="212" t="s">
        <v>34</v>
      </c>
      <c r="D180" s="190" t="s">
        <v>3</v>
      </c>
      <c r="E180" s="190" t="s">
        <v>254</v>
      </c>
      <c r="F180" s="203"/>
      <c r="G180" s="190" t="s">
        <v>261</v>
      </c>
      <c r="H180" s="192" t="s">
        <v>409</v>
      </c>
      <c r="I180" s="193">
        <v>579</v>
      </c>
      <c r="J180" s="193">
        <v>599</v>
      </c>
      <c r="K180" s="193">
        <v>599</v>
      </c>
      <c r="L180" s="194">
        <v>629</v>
      </c>
      <c r="M180" s="194">
        <v>629</v>
      </c>
      <c r="N180" s="284">
        <v>125.8</v>
      </c>
      <c r="O180" s="285" t="s">
        <v>1</v>
      </c>
      <c r="P180" s="285" t="s">
        <v>1</v>
      </c>
      <c r="Q180" s="285" t="s">
        <v>1</v>
      </c>
      <c r="R180" s="285" t="s">
        <v>1</v>
      </c>
      <c r="S180" s="286">
        <v>125.8</v>
      </c>
      <c r="T180" s="285" t="s">
        <v>1</v>
      </c>
      <c r="U180" s="285" t="s">
        <v>1</v>
      </c>
      <c r="V180" s="285" t="s">
        <v>1</v>
      </c>
      <c r="W180" s="285" t="s">
        <v>1</v>
      </c>
      <c r="X180" s="286">
        <v>125.8</v>
      </c>
      <c r="Y180" s="285" t="s">
        <v>1</v>
      </c>
      <c r="Z180" s="285" t="s">
        <v>1</v>
      </c>
      <c r="AA180" s="285" t="s">
        <v>1</v>
      </c>
      <c r="AB180" s="285" t="s">
        <v>1</v>
      </c>
      <c r="AC180" s="286">
        <v>125.8</v>
      </c>
      <c r="AD180" s="285" t="s">
        <v>1</v>
      </c>
      <c r="AE180" s="285" t="s">
        <v>1</v>
      </c>
      <c r="AF180" s="285" t="s">
        <v>1</v>
      </c>
      <c r="AG180" s="285" t="s">
        <v>1</v>
      </c>
      <c r="AH180" s="286" t="s">
        <v>1</v>
      </c>
      <c r="AI180" s="295" t="s">
        <v>1</v>
      </c>
      <c r="AJ180" s="295" t="s">
        <v>1</v>
      </c>
      <c r="AK180" s="295" t="s">
        <v>1</v>
      </c>
      <c r="AL180" s="286" t="s">
        <v>1</v>
      </c>
      <c r="AM180" s="288" t="s">
        <v>1</v>
      </c>
      <c r="AN180" s="287" t="s">
        <v>1</v>
      </c>
      <c r="AO180" s="287" t="s">
        <v>1</v>
      </c>
      <c r="AP180" s="286" t="s">
        <v>1</v>
      </c>
      <c r="AQ180" s="285" t="s">
        <v>1</v>
      </c>
      <c r="AR180" s="289" t="s">
        <v>1</v>
      </c>
      <c r="AS180" s="289" t="s">
        <v>1</v>
      </c>
      <c r="AT180" s="290" t="s">
        <v>1</v>
      </c>
      <c r="AU180" s="287" t="s">
        <v>1</v>
      </c>
      <c r="AV180" s="287" t="s">
        <v>1</v>
      </c>
      <c r="AW180" s="291" t="s">
        <v>1</v>
      </c>
    </row>
    <row r="181" spans="1:49" ht="30.15" customHeight="1" x14ac:dyDescent="0.25">
      <c r="A181" s="188" t="s">
        <v>18</v>
      </c>
      <c r="B181" s="189" t="s">
        <v>1</v>
      </c>
      <c r="C181" s="212" t="s">
        <v>34</v>
      </c>
      <c r="D181" s="190" t="s">
        <v>3</v>
      </c>
      <c r="E181" s="190" t="s">
        <v>255</v>
      </c>
      <c r="F181" s="203"/>
      <c r="G181" s="190" t="s">
        <v>261</v>
      </c>
      <c r="H181" s="192" t="s">
        <v>409</v>
      </c>
      <c r="I181" s="193">
        <v>579</v>
      </c>
      <c r="J181" s="193">
        <v>599</v>
      </c>
      <c r="K181" s="193">
        <v>599</v>
      </c>
      <c r="L181" s="194">
        <v>629</v>
      </c>
      <c r="M181" s="194">
        <v>629</v>
      </c>
      <c r="N181" s="284">
        <v>125.8</v>
      </c>
      <c r="O181" s="285" t="s">
        <v>1</v>
      </c>
      <c r="P181" s="285" t="s">
        <v>1</v>
      </c>
      <c r="Q181" s="285" t="s">
        <v>1</v>
      </c>
      <c r="R181" s="285" t="s">
        <v>1</v>
      </c>
      <c r="S181" s="286">
        <v>125.8</v>
      </c>
      <c r="T181" s="285" t="s">
        <v>1</v>
      </c>
      <c r="U181" s="285" t="s">
        <v>1</v>
      </c>
      <c r="V181" s="285" t="s">
        <v>1</v>
      </c>
      <c r="W181" s="285" t="s">
        <v>1</v>
      </c>
      <c r="X181" s="286">
        <v>125.8</v>
      </c>
      <c r="Y181" s="285" t="s">
        <v>1</v>
      </c>
      <c r="Z181" s="285" t="s">
        <v>1</v>
      </c>
      <c r="AA181" s="285" t="s">
        <v>1</v>
      </c>
      <c r="AB181" s="285" t="s">
        <v>1</v>
      </c>
      <c r="AC181" s="286">
        <v>125.8</v>
      </c>
      <c r="AD181" s="285" t="s">
        <v>1</v>
      </c>
      <c r="AE181" s="285" t="s">
        <v>1</v>
      </c>
      <c r="AF181" s="285" t="s">
        <v>1</v>
      </c>
      <c r="AG181" s="285" t="s">
        <v>1</v>
      </c>
      <c r="AH181" s="286" t="s">
        <v>1</v>
      </c>
      <c r="AI181" s="295" t="s">
        <v>1</v>
      </c>
      <c r="AJ181" s="295" t="s">
        <v>1</v>
      </c>
      <c r="AK181" s="295" t="s">
        <v>1</v>
      </c>
      <c r="AL181" s="286" t="s">
        <v>1</v>
      </c>
      <c r="AM181" s="288" t="s">
        <v>1</v>
      </c>
      <c r="AN181" s="287" t="s">
        <v>1</v>
      </c>
      <c r="AO181" s="287" t="s">
        <v>1</v>
      </c>
      <c r="AP181" s="286" t="s">
        <v>1</v>
      </c>
      <c r="AQ181" s="285" t="s">
        <v>1</v>
      </c>
      <c r="AR181" s="289" t="s">
        <v>1</v>
      </c>
      <c r="AS181" s="289" t="s">
        <v>1</v>
      </c>
      <c r="AT181" s="290" t="s">
        <v>1</v>
      </c>
      <c r="AU181" s="287" t="s">
        <v>1</v>
      </c>
      <c r="AV181" s="287" t="s">
        <v>1</v>
      </c>
      <c r="AW181" s="291" t="s">
        <v>1</v>
      </c>
    </row>
    <row r="182" spans="1:49" ht="30.15" customHeight="1" x14ac:dyDescent="0.25">
      <c r="A182" s="188" t="s">
        <v>18</v>
      </c>
      <c r="B182" s="189" t="s">
        <v>1</v>
      </c>
      <c r="C182" s="212" t="s">
        <v>34</v>
      </c>
      <c r="D182" s="190" t="s">
        <v>3</v>
      </c>
      <c r="E182" s="190" t="s">
        <v>884</v>
      </c>
      <c r="F182" s="203"/>
      <c r="G182" s="190" t="s">
        <v>893</v>
      </c>
      <c r="H182" s="192" t="s">
        <v>409</v>
      </c>
      <c r="I182" s="193">
        <v>569</v>
      </c>
      <c r="J182" s="193">
        <v>569</v>
      </c>
      <c r="K182" s="193">
        <v>569</v>
      </c>
      <c r="L182" s="194">
        <v>615</v>
      </c>
      <c r="M182" s="194">
        <v>615</v>
      </c>
      <c r="N182" s="284">
        <v>123</v>
      </c>
      <c r="O182" s="285" t="s">
        <v>1</v>
      </c>
      <c r="P182" s="285" t="s">
        <v>1</v>
      </c>
      <c r="Q182" s="285" t="s">
        <v>1</v>
      </c>
      <c r="R182" s="285" t="s">
        <v>1</v>
      </c>
      <c r="S182" s="286">
        <v>123</v>
      </c>
      <c r="T182" s="285" t="s">
        <v>1</v>
      </c>
      <c r="U182" s="285" t="s">
        <v>1</v>
      </c>
      <c r="V182" s="285" t="s">
        <v>1</v>
      </c>
      <c r="W182" s="285" t="s">
        <v>1</v>
      </c>
      <c r="X182" s="286">
        <v>123</v>
      </c>
      <c r="Y182" s="285">
        <v>5.63</v>
      </c>
      <c r="Z182" s="285">
        <v>24</v>
      </c>
      <c r="AA182" s="285" t="s">
        <v>1</v>
      </c>
      <c r="AB182" s="285" t="s">
        <v>1</v>
      </c>
      <c r="AC182" s="286">
        <v>123</v>
      </c>
      <c r="AD182" s="285">
        <v>5.63</v>
      </c>
      <c r="AE182" s="285">
        <v>24</v>
      </c>
      <c r="AF182" s="285" t="s">
        <v>1</v>
      </c>
      <c r="AG182" s="285" t="s">
        <v>1</v>
      </c>
      <c r="AH182" s="286" t="s">
        <v>1</v>
      </c>
      <c r="AI182" s="295" t="s">
        <v>1</v>
      </c>
      <c r="AJ182" s="295" t="s">
        <v>1</v>
      </c>
      <c r="AK182" s="295" t="s">
        <v>1</v>
      </c>
      <c r="AL182" s="286" t="s">
        <v>1</v>
      </c>
      <c r="AM182" s="288" t="s">
        <v>1</v>
      </c>
      <c r="AN182" s="287" t="s">
        <v>1</v>
      </c>
      <c r="AO182" s="287" t="s">
        <v>1</v>
      </c>
      <c r="AP182" s="286" t="s">
        <v>1</v>
      </c>
      <c r="AQ182" s="285" t="s">
        <v>1</v>
      </c>
      <c r="AR182" s="289" t="s">
        <v>1</v>
      </c>
      <c r="AS182" s="289" t="s">
        <v>1</v>
      </c>
      <c r="AT182" s="290" t="s">
        <v>1</v>
      </c>
      <c r="AU182" s="287" t="s">
        <v>1</v>
      </c>
      <c r="AV182" s="287" t="s">
        <v>1</v>
      </c>
      <c r="AW182" s="291" t="s">
        <v>1</v>
      </c>
    </row>
    <row r="183" spans="1:49" ht="30.15" customHeight="1" x14ac:dyDescent="0.25">
      <c r="A183" s="188" t="s">
        <v>18</v>
      </c>
      <c r="B183" s="189" t="s">
        <v>1</v>
      </c>
      <c r="C183" s="212" t="s">
        <v>34</v>
      </c>
      <c r="D183" s="190" t="s">
        <v>3</v>
      </c>
      <c r="E183" s="190" t="s">
        <v>885</v>
      </c>
      <c r="F183" s="203"/>
      <c r="G183" s="190" t="s">
        <v>893</v>
      </c>
      <c r="H183" s="192" t="s">
        <v>409</v>
      </c>
      <c r="I183" s="193">
        <v>569</v>
      </c>
      <c r="J183" s="193">
        <v>569</v>
      </c>
      <c r="K183" s="193">
        <v>569</v>
      </c>
      <c r="L183" s="194">
        <v>615</v>
      </c>
      <c r="M183" s="194">
        <v>615</v>
      </c>
      <c r="N183" s="284">
        <v>123</v>
      </c>
      <c r="O183" s="285" t="s">
        <v>1</v>
      </c>
      <c r="P183" s="285" t="s">
        <v>1</v>
      </c>
      <c r="Q183" s="285" t="s">
        <v>1</v>
      </c>
      <c r="R183" s="285" t="s">
        <v>1</v>
      </c>
      <c r="S183" s="286">
        <v>123</v>
      </c>
      <c r="T183" s="285" t="s">
        <v>1</v>
      </c>
      <c r="U183" s="285" t="s">
        <v>1</v>
      </c>
      <c r="V183" s="285" t="s">
        <v>1</v>
      </c>
      <c r="W183" s="285" t="s">
        <v>1</v>
      </c>
      <c r="X183" s="286">
        <v>123</v>
      </c>
      <c r="Y183" s="285">
        <v>5.63</v>
      </c>
      <c r="Z183" s="285">
        <v>24</v>
      </c>
      <c r="AA183" s="285" t="s">
        <v>1</v>
      </c>
      <c r="AB183" s="285" t="s">
        <v>1</v>
      </c>
      <c r="AC183" s="286">
        <v>123</v>
      </c>
      <c r="AD183" s="285">
        <v>5.63</v>
      </c>
      <c r="AE183" s="285">
        <v>24</v>
      </c>
      <c r="AF183" s="285" t="s">
        <v>1</v>
      </c>
      <c r="AG183" s="285" t="s">
        <v>1</v>
      </c>
      <c r="AH183" s="286" t="s">
        <v>1</v>
      </c>
      <c r="AI183" s="295" t="s">
        <v>1</v>
      </c>
      <c r="AJ183" s="295" t="s">
        <v>1</v>
      </c>
      <c r="AK183" s="295" t="s">
        <v>1</v>
      </c>
      <c r="AL183" s="286" t="s">
        <v>1</v>
      </c>
      <c r="AM183" s="288" t="s">
        <v>1</v>
      </c>
      <c r="AN183" s="287" t="s">
        <v>1</v>
      </c>
      <c r="AO183" s="287" t="s">
        <v>1</v>
      </c>
      <c r="AP183" s="286" t="s">
        <v>1</v>
      </c>
      <c r="AQ183" s="285" t="s">
        <v>1</v>
      </c>
      <c r="AR183" s="289" t="s">
        <v>1</v>
      </c>
      <c r="AS183" s="289" t="s">
        <v>1</v>
      </c>
      <c r="AT183" s="290" t="s">
        <v>1</v>
      </c>
      <c r="AU183" s="287" t="s">
        <v>1</v>
      </c>
      <c r="AV183" s="287" t="s">
        <v>1</v>
      </c>
      <c r="AW183" s="291" t="s">
        <v>1</v>
      </c>
    </row>
    <row r="184" spans="1:49" ht="30.15" customHeight="1" x14ac:dyDescent="0.25">
      <c r="A184" s="188" t="s">
        <v>18</v>
      </c>
      <c r="B184" s="189" t="s">
        <v>1</v>
      </c>
      <c r="C184" s="212" t="s">
        <v>34</v>
      </c>
      <c r="D184" s="190" t="s">
        <v>3</v>
      </c>
      <c r="E184" s="190" t="s">
        <v>886</v>
      </c>
      <c r="F184" s="203"/>
      <c r="G184" s="190" t="s">
        <v>893</v>
      </c>
      <c r="H184" s="192" t="s">
        <v>409</v>
      </c>
      <c r="I184" s="193">
        <v>569</v>
      </c>
      <c r="J184" s="193">
        <v>569</v>
      </c>
      <c r="K184" s="193">
        <v>569</v>
      </c>
      <c r="L184" s="194">
        <v>615</v>
      </c>
      <c r="M184" s="194">
        <v>615</v>
      </c>
      <c r="N184" s="284">
        <v>123</v>
      </c>
      <c r="O184" s="285" t="s">
        <v>1</v>
      </c>
      <c r="P184" s="285" t="s">
        <v>1</v>
      </c>
      <c r="Q184" s="285" t="s">
        <v>1</v>
      </c>
      <c r="R184" s="285" t="s">
        <v>1</v>
      </c>
      <c r="S184" s="286">
        <v>123</v>
      </c>
      <c r="T184" s="285" t="s">
        <v>1</v>
      </c>
      <c r="U184" s="285" t="s">
        <v>1</v>
      </c>
      <c r="V184" s="285" t="s">
        <v>1</v>
      </c>
      <c r="W184" s="285" t="s">
        <v>1</v>
      </c>
      <c r="X184" s="286">
        <v>123</v>
      </c>
      <c r="Y184" s="285">
        <v>5.63</v>
      </c>
      <c r="Z184" s="285">
        <v>24</v>
      </c>
      <c r="AA184" s="285" t="s">
        <v>1</v>
      </c>
      <c r="AB184" s="285" t="s">
        <v>1</v>
      </c>
      <c r="AC184" s="286">
        <v>123</v>
      </c>
      <c r="AD184" s="285">
        <v>5.63</v>
      </c>
      <c r="AE184" s="285">
        <v>24</v>
      </c>
      <c r="AF184" s="285" t="s">
        <v>1</v>
      </c>
      <c r="AG184" s="285" t="s">
        <v>1</v>
      </c>
      <c r="AH184" s="286" t="s">
        <v>1</v>
      </c>
      <c r="AI184" s="295" t="s">
        <v>1</v>
      </c>
      <c r="AJ184" s="295" t="s">
        <v>1</v>
      </c>
      <c r="AK184" s="295" t="s">
        <v>1</v>
      </c>
      <c r="AL184" s="286" t="s">
        <v>1</v>
      </c>
      <c r="AM184" s="288" t="s">
        <v>1</v>
      </c>
      <c r="AN184" s="287" t="s">
        <v>1</v>
      </c>
      <c r="AO184" s="287" t="s">
        <v>1</v>
      </c>
      <c r="AP184" s="286" t="s">
        <v>1</v>
      </c>
      <c r="AQ184" s="285" t="s">
        <v>1</v>
      </c>
      <c r="AR184" s="289" t="s">
        <v>1</v>
      </c>
      <c r="AS184" s="289" t="s">
        <v>1</v>
      </c>
      <c r="AT184" s="290" t="s">
        <v>1</v>
      </c>
      <c r="AU184" s="287" t="s">
        <v>1</v>
      </c>
      <c r="AV184" s="287" t="s">
        <v>1</v>
      </c>
      <c r="AW184" s="291" t="s">
        <v>1</v>
      </c>
    </row>
    <row r="185" spans="1:49" ht="30.15" customHeight="1" x14ac:dyDescent="0.25">
      <c r="A185" s="188" t="s">
        <v>18</v>
      </c>
      <c r="B185" s="189" t="s">
        <v>1</v>
      </c>
      <c r="C185" s="212" t="s">
        <v>34</v>
      </c>
      <c r="D185" s="190" t="s">
        <v>3</v>
      </c>
      <c r="E185" s="190" t="s">
        <v>887</v>
      </c>
      <c r="F185" s="203"/>
      <c r="G185" s="190" t="s">
        <v>894</v>
      </c>
      <c r="H185" s="192" t="s">
        <v>409</v>
      </c>
      <c r="I185" s="193">
        <v>639</v>
      </c>
      <c r="J185" s="193">
        <v>639</v>
      </c>
      <c r="K185" s="193">
        <v>639</v>
      </c>
      <c r="L185" s="194">
        <v>690</v>
      </c>
      <c r="M185" s="194">
        <v>690</v>
      </c>
      <c r="N185" s="284">
        <v>138</v>
      </c>
      <c r="O185" s="285" t="s">
        <v>1</v>
      </c>
      <c r="P185" s="285" t="s">
        <v>1</v>
      </c>
      <c r="Q185" s="285" t="s">
        <v>1</v>
      </c>
      <c r="R185" s="285" t="s">
        <v>1</v>
      </c>
      <c r="S185" s="286">
        <v>138</v>
      </c>
      <c r="T185" s="285" t="s">
        <v>1</v>
      </c>
      <c r="U185" s="285" t="s">
        <v>1</v>
      </c>
      <c r="V185" s="285" t="s">
        <v>1</v>
      </c>
      <c r="W185" s="285" t="s">
        <v>1</v>
      </c>
      <c r="X185" s="286">
        <v>138</v>
      </c>
      <c r="Y185" s="285">
        <v>5.63</v>
      </c>
      <c r="Z185" s="285">
        <v>24</v>
      </c>
      <c r="AA185" s="285" t="s">
        <v>1</v>
      </c>
      <c r="AB185" s="285" t="s">
        <v>1</v>
      </c>
      <c r="AC185" s="286">
        <v>138</v>
      </c>
      <c r="AD185" s="285">
        <v>5.63</v>
      </c>
      <c r="AE185" s="285">
        <v>24</v>
      </c>
      <c r="AF185" s="285" t="s">
        <v>1</v>
      </c>
      <c r="AG185" s="285" t="s">
        <v>1</v>
      </c>
      <c r="AH185" s="286" t="s">
        <v>1</v>
      </c>
      <c r="AI185" s="295" t="s">
        <v>1</v>
      </c>
      <c r="AJ185" s="295" t="s">
        <v>1</v>
      </c>
      <c r="AK185" s="295" t="s">
        <v>1</v>
      </c>
      <c r="AL185" s="286" t="s">
        <v>1</v>
      </c>
      <c r="AM185" s="288" t="s">
        <v>1</v>
      </c>
      <c r="AN185" s="287" t="s">
        <v>1</v>
      </c>
      <c r="AO185" s="287" t="s">
        <v>1</v>
      </c>
      <c r="AP185" s="286" t="s">
        <v>1</v>
      </c>
      <c r="AQ185" s="285" t="s">
        <v>1</v>
      </c>
      <c r="AR185" s="289" t="s">
        <v>1</v>
      </c>
      <c r="AS185" s="289" t="s">
        <v>1</v>
      </c>
      <c r="AT185" s="290" t="s">
        <v>1</v>
      </c>
      <c r="AU185" s="287" t="s">
        <v>1</v>
      </c>
      <c r="AV185" s="287" t="s">
        <v>1</v>
      </c>
      <c r="AW185" s="291" t="s">
        <v>1</v>
      </c>
    </row>
    <row r="186" spans="1:49" ht="30.15" customHeight="1" x14ac:dyDescent="0.25">
      <c r="A186" s="188" t="s">
        <v>18</v>
      </c>
      <c r="B186" s="189" t="s">
        <v>1</v>
      </c>
      <c r="C186" s="212" t="s">
        <v>34</v>
      </c>
      <c r="D186" s="190" t="s">
        <v>3</v>
      </c>
      <c r="E186" s="190" t="s">
        <v>888</v>
      </c>
      <c r="F186" s="203"/>
      <c r="G186" s="190" t="s">
        <v>894</v>
      </c>
      <c r="H186" s="192" t="s">
        <v>409</v>
      </c>
      <c r="I186" s="193">
        <v>639</v>
      </c>
      <c r="J186" s="193">
        <v>639</v>
      </c>
      <c r="K186" s="193">
        <v>639</v>
      </c>
      <c r="L186" s="194">
        <v>690</v>
      </c>
      <c r="M186" s="194">
        <v>690</v>
      </c>
      <c r="N186" s="284">
        <v>138</v>
      </c>
      <c r="O186" s="285" t="s">
        <v>1</v>
      </c>
      <c r="P186" s="285" t="s">
        <v>1</v>
      </c>
      <c r="Q186" s="285" t="s">
        <v>1</v>
      </c>
      <c r="R186" s="285" t="s">
        <v>1</v>
      </c>
      <c r="S186" s="286">
        <v>138</v>
      </c>
      <c r="T186" s="285" t="s">
        <v>1</v>
      </c>
      <c r="U186" s="285" t="s">
        <v>1</v>
      </c>
      <c r="V186" s="285" t="s">
        <v>1</v>
      </c>
      <c r="W186" s="285" t="s">
        <v>1</v>
      </c>
      <c r="X186" s="286">
        <v>138</v>
      </c>
      <c r="Y186" s="285">
        <v>5.63</v>
      </c>
      <c r="Z186" s="285">
        <v>24</v>
      </c>
      <c r="AA186" s="285" t="s">
        <v>1</v>
      </c>
      <c r="AB186" s="285" t="s">
        <v>1</v>
      </c>
      <c r="AC186" s="286">
        <v>138</v>
      </c>
      <c r="AD186" s="285">
        <v>5.63</v>
      </c>
      <c r="AE186" s="285">
        <v>24</v>
      </c>
      <c r="AF186" s="285" t="s">
        <v>1</v>
      </c>
      <c r="AG186" s="285" t="s">
        <v>1</v>
      </c>
      <c r="AH186" s="286" t="s">
        <v>1</v>
      </c>
      <c r="AI186" s="295" t="s">
        <v>1</v>
      </c>
      <c r="AJ186" s="295" t="s">
        <v>1</v>
      </c>
      <c r="AK186" s="295" t="s">
        <v>1</v>
      </c>
      <c r="AL186" s="286" t="s">
        <v>1</v>
      </c>
      <c r="AM186" s="288" t="s">
        <v>1</v>
      </c>
      <c r="AN186" s="287" t="s">
        <v>1</v>
      </c>
      <c r="AO186" s="287" t="s">
        <v>1</v>
      </c>
      <c r="AP186" s="286" t="s">
        <v>1</v>
      </c>
      <c r="AQ186" s="285" t="s">
        <v>1</v>
      </c>
      <c r="AR186" s="289" t="s">
        <v>1</v>
      </c>
      <c r="AS186" s="289" t="s">
        <v>1</v>
      </c>
      <c r="AT186" s="290" t="s">
        <v>1</v>
      </c>
      <c r="AU186" s="287" t="s">
        <v>1</v>
      </c>
      <c r="AV186" s="287" t="s">
        <v>1</v>
      </c>
      <c r="AW186" s="291" t="s">
        <v>1</v>
      </c>
    </row>
    <row r="187" spans="1:49" ht="30.15" customHeight="1" x14ac:dyDescent="0.25">
      <c r="A187" s="188" t="s">
        <v>18</v>
      </c>
      <c r="B187" s="189" t="s">
        <v>1</v>
      </c>
      <c r="C187" s="212" t="s">
        <v>34</v>
      </c>
      <c r="D187" s="190" t="s">
        <v>3</v>
      </c>
      <c r="E187" s="190" t="s">
        <v>889</v>
      </c>
      <c r="F187" s="203"/>
      <c r="G187" s="190" t="s">
        <v>894</v>
      </c>
      <c r="H187" s="192" t="s">
        <v>414</v>
      </c>
      <c r="I187" s="193">
        <v>639</v>
      </c>
      <c r="J187" s="193">
        <v>639</v>
      </c>
      <c r="K187" s="193">
        <v>639</v>
      </c>
      <c r="L187" s="194">
        <v>690</v>
      </c>
      <c r="M187" s="194">
        <v>690</v>
      </c>
      <c r="N187" s="284">
        <v>138</v>
      </c>
      <c r="O187" s="285" t="s">
        <v>1</v>
      </c>
      <c r="P187" s="285" t="s">
        <v>1</v>
      </c>
      <c r="Q187" s="285" t="s">
        <v>1</v>
      </c>
      <c r="R187" s="285" t="s">
        <v>1</v>
      </c>
      <c r="S187" s="286">
        <v>138</v>
      </c>
      <c r="T187" s="285" t="s">
        <v>1</v>
      </c>
      <c r="U187" s="285" t="s">
        <v>1</v>
      </c>
      <c r="V187" s="285" t="s">
        <v>1</v>
      </c>
      <c r="W187" s="285" t="s">
        <v>1</v>
      </c>
      <c r="X187" s="286">
        <v>138</v>
      </c>
      <c r="Y187" s="285">
        <v>5.63</v>
      </c>
      <c r="Z187" s="285">
        <v>24</v>
      </c>
      <c r="AA187" s="285" t="s">
        <v>1</v>
      </c>
      <c r="AB187" s="285" t="s">
        <v>1</v>
      </c>
      <c r="AC187" s="286">
        <v>138</v>
      </c>
      <c r="AD187" s="285">
        <v>5.63</v>
      </c>
      <c r="AE187" s="285">
        <v>24</v>
      </c>
      <c r="AF187" s="285" t="s">
        <v>1</v>
      </c>
      <c r="AG187" s="285" t="s">
        <v>1</v>
      </c>
      <c r="AH187" s="286" t="s">
        <v>1</v>
      </c>
      <c r="AI187" s="295" t="s">
        <v>1</v>
      </c>
      <c r="AJ187" s="295" t="s">
        <v>1</v>
      </c>
      <c r="AK187" s="295" t="s">
        <v>1</v>
      </c>
      <c r="AL187" s="286" t="s">
        <v>1</v>
      </c>
      <c r="AM187" s="288" t="s">
        <v>1</v>
      </c>
      <c r="AN187" s="287" t="s">
        <v>1</v>
      </c>
      <c r="AO187" s="287" t="s">
        <v>1</v>
      </c>
      <c r="AP187" s="286" t="s">
        <v>1</v>
      </c>
      <c r="AQ187" s="285" t="s">
        <v>1</v>
      </c>
      <c r="AR187" s="289" t="s">
        <v>1</v>
      </c>
      <c r="AS187" s="289" t="s">
        <v>1</v>
      </c>
      <c r="AT187" s="290" t="s">
        <v>1</v>
      </c>
      <c r="AU187" s="287" t="s">
        <v>1</v>
      </c>
      <c r="AV187" s="287" t="s">
        <v>1</v>
      </c>
      <c r="AW187" s="291" t="s">
        <v>1</v>
      </c>
    </row>
    <row r="188" spans="1:49" ht="30.15" customHeight="1" x14ac:dyDescent="0.25">
      <c r="A188" s="188" t="s">
        <v>18</v>
      </c>
      <c r="B188" s="189" t="s">
        <v>1</v>
      </c>
      <c r="C188" s="212" t="s">
        <v>34</v>
      </c>
      <c r="D188" s="190" t="s">
        <v>3</v>
      </c>
      <c r="E188" s="190" t="s">
        <v>890</v>
      </c>
      <c r="F188" s="203"/>
      <c r="G188" s="190" t="s">
        <v>895</v>
      </c>
      <c r="H188" s="192" t="s">
        <v>414</v>
      </c>
      <c r="I188" s="193">
        <v>769</v>
      </c>
      <c r="J188" s="193">
        <v>769</v>
      </c>
      <c r="K188" s="193">
        <v>769</v>
      </c>
      <c r="L188" s="194">
        <v>830</v>
      </c>
      <c r="M188" s="194">
        <v>830</v>
      </c>
      <c r="N188" s="284">
        <v>166</v>
      </c>
      <c r="O188" s="285" t="s">
        <v>1</v>
      </c>
      <c r="P188" s="285" t="s">
        <v>1</v>
      </c>
      <c r="Q188" s="285" t="s">
        <v>1</v>
      </c>
      <c r="R188" s="285" t="s">
        <v>1</v>
      </c>
      <c r="S188" s="286">
        <v>166</v>
      </c>
      <c r="T188" s="285" t="s">
        <v>1</v>
      </c>
      <c r="U188" s="285" t="s">
        <v>1</v>
      </c>
      <c r="V188" s="285" t="s">
        <v>1</v>
      </c>
      <c r="W188" s="285" t="s">
        <v>1</v>
      </c>
      <c r="X188" s="286">
        <v>166</v>
      </c>
      <c r="Y188" s="285">
        <v>5.63</v>
      </c>
      <c r="Z188" s="285">
        <v>24</v>
      </c>
      <c r="AA188" s="285" t="s">
        <v>1</v>
      </c>
      <c r="AB188" s="285" t="s">
        <v>1</v>
      </c>
      <c r="AC188" s="286">
        <v>166</v>
      </c>
      <c r="AD188" s="285">
        <v>5.63</v>
      </c>
      <c r="AE188" s="285">
        <v>24</v>
      </c>
      <c r="AF188" s="285" t="s">
        <v>1</v>
      </c>
      <c r="AG188" s="285" t="s">
        <v>1</v>
      </c>
      <c r="AH188" s="286" t="s">
        <v>1</v>
      </c>
      <c r="AI188" s="295" t="s">
        <v>1</v>
      </c>
      <c r="AJ188" s="295" t="s">
        <v>1</v>
      </c>
      <c r="AK188" s="295" t="s">
        <v>1</v>
      </c>
      <c r="AL188" s="286" t="s">
        <v>1</v>
      </c>
      <c r="AM188" s="288" t="s">
        <v>1</v>
      </c>
      <c r="AN188" s="287" t="s">
        <v>1</v>
      </c>
      <c r="AO188" s="287" t="s">
        <v>1</v>
      </c>
      <c r="AP188" s="286" t="s">
        <v>1</v>
      </c>
      <c r="AQ188" s="285" t="s">
        <v>1</v>
      </c>
      <c r="AR188" s="289" t="s">
        <v>1</v>
      </c>
      <c r="AS188" s="289" t="s">
        <v>1</v>
      </c>
      <c r="AT188" s="290" t="s">
        <v>1</v>
      </c>
      <c r="AU188" s="287" t="s">
        <v>1</v>
      </c>
      <c r="AV188" s="287" t="s">
        <v>1</v>
      </c>
      <c r="AW188" s="291" t="s">
        <v>1</v>
      </c>
    </row>
    <row r="189" spans="1:49" ht="30.15" customHeight="1" x14ac:dyDescent="0.25">
      <c r="A189" s="188" t="s">
        <v>18</v>
      </c>
      <c r="B189" s="189" t="s">
        <v>1</v>
      </c>
      <c r="C189" s="212" t="s">
        <v>34</v>
      </c>
      <c r="D189" s="190" t="s">
        <v>3</v>
      </c>
      <c r="E189" s="190" t="s">
        <v>891</v>
      </c>
      <c r="F189" s="203"/>
      <c r="G189" s="190" t="s">
        <v>895</v>
      </c>
      <c r="H189" s="192" t="s">
        <v>409</v>
      </c>
      <c r="I189" s="193">
        <v>769</v>
      </c>
      <c r="J189" s="193">
        <v>769</v>
      </c>
      <c r="K189" s="193">
        <v>769</v>
      </c>
      <c r="L189" s="194">
        <v>830</v>
      </c>
      <c r="M189" s="194">
        <v>830</v>
      </c>
      <c r="N189" s="284">
        <v>166</v>
      </c>
      <c r="O189" s="285" t="s">
        <v>1</v>
      </c>
      <c r="P189" s="285" t="s">
        <v>1</v>
      </c>
      <c r="Q189" s="285" t="s">
        <v>1</v>
      </c>
      <c r="R189" s="285" t="s">
        <v>1</v>
      </c>
      <c r="S189" s="286">
        <v>166</v>
      </c>
      <c r="T189" s="285" t="s">
        <v>1</v>
      </c>
      <c r="U189" s="285" t="s">
        <v>1</v>
      </c>
      <c r="V189" s="285" t="s">
        <v>1</v>
      </c>
      <c r="W189" s="285" t="s">
        <v>1</v>
      </c>
      <c r="X189" s="286">
        <v>166</v>
      </c>
      <c r="Y189" s="285">
        <v>5.63</v>
      </c>
      <c r="Z189" s="285">
        <v>24</v>
      </c>
      <c r="AA189" s="285" t="s">
        <v>1</v>
      </c>
      <c r="AB189" s="285" t="s">
        <v>1</v>
      </c>
      <c r="AC189" s="286">
        <v>166</v>
      </c>
      <c r="AD189" s="285">
        <v>5.63</v>
      </c>
      <c r="AE189" s="285">
        <v>24</v>
      </c>
      <c r="AF189" s="285" t="s">
        <v>1</v>
      </c>
      <c r="AG189" s="285" t="s">
        <v>1</v>
      </c>
      <c r="AH189" s="286" t="s">
        <v>1</v>
      </c>
      <c r="AI189" s="295" t="s">
        <v>1</v>
      </c>
      <c r="AJ189" s="295" t="s">
        <v>1</v>
      </c>
      <c r="AK189" s="295" t="s">
        <v>1</v>
      </c>
      <c r="AL189" s="286" t="s">
        <v>1</v>
      </c>
      <c r="AM189" s="288" t="s">
        <v>1</v>
      </c>
      <c r="AN189" s="287" t="s">
        <v>1</v>
      </c>
      <c r="AO189" s="287" t="s">
        <v>1</v>
      </c>
      <c r="AP189" s="286" t="s">
        <v>1</v>
      </c>
      <c r="AQ189" s="285" t="s">
        <v>1</v>
      </c>
      <c r="AR189" s="289" t="s">
        <v>1</v>
      </c>
      <c r="AS189" s="289" t="s">
        <v>1</v>
      </c>
      <c r="AT189" s="290" t="s">
        <v>1</v>
      </c>
      <c r="AU189" s="287" t="s">
        <v>1</v>
      </c>
      <c r="AV189" s="287" t="s">
        <v>1</v>
      </c>
      <c r="AW189" s="291" t="s">
        <v>1</v>
      </c>
    </row>
    <row r="190" spans="1:49" ht="30.15" customHeight="1" x14ac:dyDescent="0.25">
      <c r="A190" s="188" t="s">
        <v>18</v>
      </c>
      <c r="B190" s="189" t="s">
        <v>1</v>
      </c>
      <c r="C190" s="212" t="s">
        <v>34</v>
      </c>
      <c r="D190" s="190" t="s">
        <v>3</v>
      </c>
      <c r="E190" s="190" t="s">
        <v>892</v>
      </c>
      <c r="F190" s="203"/>
      <c r="G190" s="190" t="s">
        <v>895</v>
      </c>
      <c r="H190" s="192" t="s">
        <v>414</v>
      </c>
      <c r="I190" s="193">
        <v>769</v>
      </c>
      <c r="J190" s="193">
        <v>769</v>
      </c>
      <c r="K190" s="193">
        <v>769</v>
      </c>
      <c r="L190" s="194">
        <v>830</v>
      </c>
      <c r="M190" s="194">
        <v>830</v>
      </c>
      <c r="N190" s="284">
        <v>166</v>
      </c>
      <c r="O190" s="285" t="s">
        <v>1</v>
      </c>
      <c r="P190" s="285" t="s">
        <v>1</v>
      </c>
      <c r="Q190" s="285" t="s">
        <v>1</v>
      </c>
      <c r="R190" s="285" t="s">
        <v>1</v>
      </c>
      <c r="S190" s="286">
        <v>166</v>
      </c>
      <c r="T190" s="285" t="s">
        <v>1</v>
      </c>
      <c r="U190" s="285" t="s">
        <v>1</v>
      </c>
      <c r="V190" s="285" t="s">
        <v>1</v>
      </c>
      <c r="W190" s="285" t="s">
        <v>1</v>
      </c>
      <c r="X190" s="286">
        <v>166</v>
      </c>
      <c r="Y190" s="285">
        <v>5.63</v>
      </c>
      <c r="Z190" s="285">
        <v>24</v>
      </c>
      <c r="AA190" s="285" t="s">
        <v>1</v>
      </c>
      <c r="AB190" s="285" t="s">
        <v>1</v>
      </c>
      <c r="AC190" s="286">
        <v>166</v>
      </c>
      <c r="AD190" s="285">
        <v>5.63</v>
      </c>
      <c r="AE190" s="285">
        <v>24</v>
      </c>
      <c r="AF190" s="285" t="s">
        <v>1</v>
      </c>
      <c r="AG190" s="285" t="s">
        <v>1</v>
      </c>
      <c r="AH190" s="286" t="s">
        <v>1</v>
      </c>
      <c r="AI190" s="295" t="s">
        <v>1</v>
      </c>
      <c r="AJ190" s="295" t="s">
        <v>1</v>
      </c>
      <c r="AK190" s="295" t="s">
        <v>1</v>
      </c>
      <c r="AL190" s="286" t="s">
        <v>1</v>
      </c>
      <c r="AM190" s="288" t="s">
        <v>1</v>
      </c>
      <c r="AN190" s="287" t="s">
        <v>1</v>
      </c>
      <c r="AO190" s="287" t="s">
        <v>1</v>
      </c>
      <c r="AP190" s="286" t="s">
        <v>1</v>
      </c>
      <c r="AQ190" s="285" t="s">
        <v>1</v>
      </c>
      <c r="AR190" s="289" t="s">
        <v>1</v>
      </c>
      <c r="AS190" s="289" t="s">
        <v>1</v>
      </c>
      <c r="AT190" s="290" t="s">
        <v>1</v>
      </c>
      <c r="AU190" s="287" t="s">
        <v>1</v>
      </c>
      <c r="AV190" s="287" t="s">
        <v>1</v>
      </c>
      <c r="AW190" s="291" t="s">
        <v>1</v>
      </c>
    </row>
    <row r="191" spans="1:49" ht="30.15" customHeight="1" x14ac:dyDescent="0.25">
      <c r="A191" s="188" t="s">
        <v>18</v>
      </c>
      <c r="B191" s="189" t="s">
        <v>1</v>
      </c>
      <c r="C191" s="212" t="s">
        <v>34</v>
      </c>
      <c r="D191" s="190" t="s">
        <v>3</v>
      </c>
      <c r="E191" s="190" t="s">
        <v>1092</v>
      </c>
      <c r="F191" s="203"/>
      <c r="G191" s="190" t="s">
        <v>1101</v>
      </c>
      <c r="H191" s="192" t="s">
        <v>409</v>
      </c>
      <c r="I191" s="193">
        <v>569</v>
      </c>
      <c r="J191" s="193">
        <v>569</v>
      </c>
      <c r="K191" s="193">
        <v>569</v>
      </c>
      <c r="L191" s="194">
        <v>615</v>
      </c>
      <c r="M191" s="194">
        <v>615</v>
      </c>
      <c r="N191" s="284">
        <v>123</v>
      </c>
      <c r="O191" s="285" t="s">
        <v>1</v>
      </c>
      <c r="P191" s="285" t="s">
        <v>1</v>
      </c>
      <c r="Q191" s="285" t="s">
        <v>1</v>
      </c>
      <c r="R191" s="285" t="s">
        <v>1</v>
      </c>
      <c r="S191" s="286">
        <v>123</v>
      </c>
      <c r="T191" s="285" t="s">
        <v>1</v>
      </c>
      <c r="U191" s="285" t="s">
        <v>1</v>
      </c>
      <c r="V191" s="285" t="s">
        <v>1</v>
      </c>
      <c r="W191" s="285" t="s">
        <v>1</v>
      </c>
      <c r="X191" s="286">
        <v>123</v>
      </c>
      <c r="Y191" s="285">
        <v>5.63</v>
      </c>
      <c r="Z191" s="285">
        <v>24</v>
      </c>
      <c r="AA191" s="285" t="s">
        <v>1</v>
      </c>
      <c r="AB191" s="285" t="s">
        <v>1</v>
      </c>
      <c r="AC191" s="286">
        <v>123</v>
      </c>
      <c r="AD191" s="285">
        <v>5.63</v>
      </c>
      <c r="AE191" s="285">
        <v>24</v>
      </c>
      <c r="AF191" s="285" t="s">
        <v>1</v>
      </c>
      <c r="AG191" s="285" t="s">
        <v>1</v>
      </c>
      <c r="AH191" s="286" t="s">
        <v>1</v>
      </c>
      <c r="AI191" s="295" t="s">
        <v>1</v>
      </c>
      <c r="AJ191" s="295" t="s">
        <v>1</v>
      </c>
      <c r="AK191" s="295" t="s">
        <v>1</v>
      </c>
      <c r="AL191" s="286" t="s">
        <v>1</v>
      </c>
      <c r="AM191" s="288" t="s">
        <v>1</v>
      </c>
      <c r="AN191" s="287" t="s">
        <v>1</v>
      </c>
      <c r="AO191" s="287" t="s">
        <v>1</v>
      </c>
      <c r="AP191" s="286" t="s">
        <v>1</v>
      </c>
      <c r="AQ191" s="285" t="s">
        <v>1</v>
      </c>
      <c r="AR191" s="289" t="s">
        <v>1</v>
      </c>
      <c r="AS191" s="289" t="s">
        <v>1</v>
      </c>
      <c r="AT191" s="290" t="s">
        <v>1</v>
      </c>
      <c r="AU191" s="287" t="s">
        <v>1</v>
      </c>
      <c r="AV191" s="287" t="s">
        <v>1</v>
      </c>
      <c r="AW191" s="291" t="s">
        <v>1</v>
      </c>
    </row>
    <row r="192" spans="1:49" ht="30.15" customHeight="1" x14ac:dyDescent="0.25">
      <c r="A192" s="188" t="s">
        <v>18</v>
      </c>
      <c r="B192" s="189" t="s">
        <v>1</v>
      </c>
      <c r="C192" s="212" t="s">
        <v>34</v>
      </c>
      <c r="D192" s="190" t="s">
        <v>3</v>
      </c>
      <c r="E192" s="190" t="s">
        <v>1093</v>
      </c>
      <c r="F192" s="203"/>
      <c r="G192" s="190" t="s">
        <v>1101</v>
      </c>
      <c r="H192" s="192" t="s">
        <v>409</v>
      </c>
      <c r="I192" s="193">
        <v>569</v>
      </c>
      <c r="J192" s="193">
        <v>569</v>
      </c>
      <c r="K192" s="193">
        <v>569</v>
      </c>
      <c r="L192" s="194">
        <v>615</v>
      </c>
      <c r="M192" s="194">
        <v>615</v>
      </c>
      <c r="N192" s="284">
        <v>123</v>
      </c>
      <c r="O192" s="285" t="s">
        <v>1</v>
      </c>
      <c r="P192" s="285" t="s">
        <v>1</v>
      </c>
      <c r="Q192" s="285" t="s">
        <v>1</v>
      </c>
      <c r="R192" s="285" t="s">
        <v>1</v>
      </c>
      <c r="S192" s="286">
        <v>123</v>
      </c>
      <c r="T192" s="285" t="s">
        <v>1</v>
      </c>
      <c r="U192" s="285" t="s">
        <v>1</v>
      </c>
      <c r="V192" s="285" t="s">
        <v>1</v>
      </c>
      <c r="W192" s="285" t="s">
        <v>1</v>
      </c>
      <c r="X192" s="286">
        <v>123</v>
      </c>
      <c r="Y192" s="285">
        <v>5.63</v>
      </c>
      <c r="Z192" s="285">
        <v>24</v>
      </c>
      <c r="AA192" s="285" t="s">
        <v>1</v>
      </c>
      <c r="AB192" s="285" t="s">
        <v>1</v>
      </c>
      <c r="AC192" s="286">
        <v>123</v>
      </c>
      <c r="AD192" s="285">
        <v>5.63</v>
      </c>
      <c r="AE192" s="285">
        <v>24</v>
      </c>
      <c r="AF192" s="285" t="s">
        <v>1</v>
      </c>
      <c r="AG192" s="285" t="s">
        <v>1</v>
      </c>
      <c r="AH192" s="286" t="s">
        <v>1</v>
      </c>
      <c r="AI192" s="295" t="s">
        <v>1</v>
      </c>
      <c r="AJ192" s="295" t="s">
        <v>1</v>
      </c>
      <c r="AK192" s="295" t="s">
        <v>1</v>
      </c>
      <c r="AL192" s="286" t="s">
        <v>1</v>
      </c>
      <c r="AM192" s="288" t="s">
        <v>1</v>
      </c>
      <c r="AN192" s="287" t="s">
        <v>1</v>
      </c>
      <c r="AO192" s="287" t="s">
        <v>1</v>
      </c>
      <c r="AP192" s="286" t="s">
        <v>1</v>
      </c>
      <c r="AQ192" s="285" t="s">
        <v>1</v>
      </c>
      <c r="AR192" s="289" t="s">
        <v>1</v>
      </c>
      <c r="AS192" s="289" t="s">
        <v>1</v>
      </c>
      <c r="AT192" s="290" t="s">
        <v>1</v>
      </c>
      <c r="AU192" s="287" t="s">
        <v>1</v>
      </c>
      <c r="AV192" s="287" t="s">
        <v>1</v>
      </c>
      <c r="AW192" s="291" t="s">
        <v>1</v>
      </c>
    </row>
    <row r="193" spans="1:49" ht="30.15" customHeight="1" x14ac:dyDescent="0.25">
      <c r="A193" s="188" t="s">
        <v>18</v>
      </c>
      <c r="B193" s="189" t="s">
        <v>1</v>
      </c>
      <c r="C193" s="212" t="s">
        <v>34</v>
      </c>
      <c r="D193" s="190" t="s">
        <v>3</v>
      </c>
      <c r="E193" s="190" t="s">
        <v>1094</v>
      </c>
      <c r="F193" s="203"/>
      <c r="G193" s="190" t="s">
        <v>1101</v>
      </c>
      <c r="H193" s="192" t="s">
        <v>414</v>
      </c>
      <c r="I193" s="193">
        <v>569</v>
      </c>
      <c r="J193" s="193">
        <v>569</v>
      </c>
      <c r="K193" s="193">
        <v>569</v>
      </c>
      <c r="L193" s="194">
        <v>615</v>
      </c>
      <c r="M193" s="194">
        <v>615</v>
      </c>
      <c r="N193" s="284">
        <v>123</v>
      </c>
      <c r="O193" s="285" t="s">
        <v>1</v>
      </c>
      <c r="P193" s="285" t="s">
        <v>1</v>
      </c>
      <c r="Q193" s="285" t="s">
        <v>1</v>
      </c>
      <c r="R193" s="285" t="s">
        <v>1</v>
      </c>
      <c r="S193" s="286">
        <v>123</v>
      </c>
      <c r="T193" s="285" t="s">
        <v>1</v>
      </c>
      <c r="U193" s="285" t="s">
        <v>1</v>
      </c>
      <c r="V193" s="285" t="s">
        <v>1</v>
      </c>
      <c r="W193" s="285" t="s">
        <v>1</v>
      </c>
      <c r="X193" s="286">
        <v>123</v>
      </c>
      <c r="Y193" s="285">
        <v>5.63</v>
      </c>
      <c r="Z193" s="285">
        <v>24</v>
      </c>
      <c r="AA193" s="285" t="s">
        <v>1</v>
      </c>
      <c r="AB193" s="285" t="s">
        <v>1</v>
      </c>
      <c r="AC193" s="286">
        <v>123</v>
      </c>
      <c r="AD193" s="285">
        <v>5.63</v>
      </c>
      <c r="AE193" s="285">
        <v>24</v>
      </c>
      <c r="AF193" s="285" t="s">
        <v>1</v>
      </c>
      <c r="AG193" s="285" t="s">
        <v>1</v>
      </c>
      <c r="AH193" s="286" t="s">
        <v>1</v>
      </c>
      <c r="AI193" s="295" t="s">
        <v>1</v>
      </c>
      <c r="AJ193" s="295" t="s">
        <v>1</v>
      </c>
      <c r="AK193" s="295" t="s">
        <v>1</v>
      </c>
      <c r="AL193" s="286" t="s">
        <v>1</v>
      </c>
      <c r="AM193" s="288" t="s">
        <v>1</v>
      </c>
      <c r="AN193" s="287" t="s">
        <v>1</v>
      </c>
      <c r="AO193" s="287" t="s">
        <v>1</v>
      </c>
      <c r="AP193" s="286" t="s">
        <v>1</v>
      </c>
      <c r="AQ193" s="285" t="s">
        <v>1</v>
      </c>
      <c r="AR193" s="289" t="s">
        <v>1</v>
      </c>
      <c r="AS193" s="289" t="s">
        <v>1</v>
      </c>
      <c r="AT193" s="290" t="s">
        <v>1</v>
      </c>
      <c r="AU193" s="287" t="s">
        <v>1</v>
      </c>
      <c r="AV193" s="287" t="s">
        <v>1</v>
      </c>
      <c r="AW193" s="291" t="s">
        <v>1</v>
      </c>
    </row>
    <row r="194" spans="1:49" ht="30.15" customHeight="1" x14ac:dyDescent="0.25">
      <c r="A194" s="188" t="s">
        <v>18</v>
      </c>
      <c r="B194" s="189" t="s">
        <v>1</v>
      </c>
      <c r="C194" s="212" t="s">
        <v>34</v>
      </c>
      <c r="D194" s="190" t="s">
        <v>3</v>
      </c>
      <c r="E194" s="190" t="s">
        <v>1095</v>
      </c>
      <c r="F194" s="203"/>
      <c r="G194" s="190" t="s">
        <v>1102</v>
      </c>
      <c r="H194" s="192" t="s">
        <v>409</v>
      </c>
      <c r="I194" s="193">
        <v>639</v>
      </c>
      <c r="J194" s="193">
        <v>639</v>
      </c>
      <c r="K194" s="193">
        <v>639</v>
      </c>
      <c r="L194" s="194">
        <v>690</v>
      </c>
      <c r="M194" s="194">
        <v>690</v>
      </c>
      <c r="N194" s="284">
        <v>138</v>
      </c>
      <c r="O194" s="285" t="s">
        <v>1</v>
      </c>
      <c r="P194" s="285" t="s">
        <v>1</v>
      </c>
      <c r="Q194" s="285" t="s">
        <v>1</v>
      </c>
      <c r="R194" s="285" t="s">
        <v>1</v>
      </c>
      <c r="S194" s="286">
        <v>138</v>
      </c>
      <c r="T194" s="285" t="s">
        <v>1</v>
      </c>
      <c r="U194" s="285" t="s">
        <v>1</v>
      </c>
      <c r="V194" s="285" t="s">
        <v>1</v>
      </c>
      <c r="W194" s="285" t="s">
        <v>1</v>
      </c>
      <c r="X194" s="286">
        <v>138</v>
      </c>
      <c r="Y194" s="285">
        <v>5.63</v>
      </c>
      <c r="Z194" s="285">
        <v>24</v>
      </c>
      <c r="AA194" s="285" t="s">
        <v>1</v>
      </c>
      <c r="AB194" s="285" t="s">
        <v>1</v>
      </c>
      <c r="AC194" s="286">
        <v>138</v>
      </c>
      <c r="AD194" s="285">
        <v>5.63</v>
      </c>
      <c r="AE194" s="285">
        <v>24</v>
      </c>
      <c r="AF194" s="285" t="s">
        <v>1</v>
      </c>
      <c r="AG194" s="285" t="s">
        <v>1</v>
      </c>
      <c r="AH194" s="286" t="s">
        <v>1</v>
      </c>
      <c r="AI194" s="295" t="s">
        <v>1</v>
      </c>
      <c r="AJ194" s="295" t="s">
        <v>1</v>
      </c>
      <c r="AK194" s="295" t="s">
        <v>1</v>
      </c>
      <c r="AL194" s="286" t="s">
        <v>1</v>
      </c>
      <c r="AM194" s="288" t="s">
        <v>1</v>
      </c>
      <c r="AN194" s="287" t="s">
        <v>1</v>
      </c>
      <c r="AO194" s="287" t="s">
        <v>1</v>
      </c>
      <c r="AP194" s="286" t="s">
        <v>1</v>
      </c>
      <c r="AQ194" s="285" t="s">
        <v>1</v>
      </c>
      <c r="AR194" s="289" t="s">
        <v>1</v>
      </c>
      <c r="AS194" s="289" t="s">
        <v>1</v>
      </c>
      <c r="AT194" s="290" t="s">
        <v>1</v>
      </c>
      <c r="AU194" s="287" t="s">
        <v>1</v>
      </c>
      <c r="AV194" s="287" t="s">
        <v>1</v>
      </c>
      <c r="AW194" s="291" t="s">
        <v>1</v>
      </c>
    </row>
    <row r="195" spans="1:49" ht="30.15" customHeight="1" x14ac:dyDescent="0.25">
      <c r="A195" s="188" t="s">
        <v>18</v>
      </c>
      <c r="B195" s="189" t="s">
        <v>1</v>
      </c>
      <c r="C195" s="212" t="s">
        <v>34</v>
      </c>
      <c r="D195" s="190" t="s">
        <v>3</v>
      </c>
      <c r="E195" s="190" t="s">
        <v>1155</v>
      </c>
      <c r="F195" s="203"/>
      <c r="G195" s="190" t="s">
        <v>1102</v>
      </c>
      <c r="H195" s="192" t="s">
        <v>409</v>
      </c>
      <c r="I195" s="193">
        <v>639</v>
      </c>
      <c r="J195" s="193">
        <v>639</v>
      </c>
      <c r="K195" s="193">
        <v>639</v>
      </c>
      <c r="L195" s="194">
        <v>690</v>
      </c>
      <c r="M195" s="194">
        <v>690</v>
      </c>
      <c r="N195" s="284">
        <v>138</v>
      </c>
      <c r="O195" s="285" t="s">
        <v>1</v>
      </c>
      <c r="P195" s="285" t="s">
        <v>1</v>
      </c>
      <c r="Q195" s="285" t="s">
        <v>1</v>
      </c>
      <c r="R195" s="285" t="s">
        <v>1</v>
      </c>
      <c r="S195" s="286">
        <v>138</v>
      </c>
      <c r="T195" s="285" t="s">
        <v>1</v>
      </c>
      <c r="U195" s="285" t="s">
        <v>1</v>
      </c>
      <c r="V195" s="285" t="s">
        <v>1</v>
      </c>
      <c r="W195" s="285" t="s">
        <v>1</v>
      </c>
      <c r="X195" s="286">
        <v>138</v>
      </c>
      <c r="Y195" s="285">
        <v>5.63</v>
      </c>
      <c r="Z195" s="285">
        <v>24</v>
      </c>
      <c r="AA195" s="285" t="s">
        <v>1</v>
      </c>
      <c r="AB195" s="285" t="s">
        <v>1</v>
      </c>
      <c r="AC195" s="286">
        <v>138</v>
      </c>
      <c r="AD195" s="285">
        <v>5.63</v>
      </c>
      <c r="AE195" s="285">
        <v>24</v>
      </c>
      <c r="AF195" s="285" t="s">
        <v>1</v>
      </c>
      <c r="AG195" s="285" t="s">
        <v>1</v>
      </c>
      <c r="AH195" s="286" t="s">
        <v>1</v>
      </c>
      <c r="AI195" s="295" t="s">
        <v>1</v>
      </c>
      <c r="AJ195" s="295" t="s">
        <v>1</v>
      </c>
      <c r="AK195" s="295" t="s">
        <v>1</v>
      </c>
      <c r="AL195" s="286" t="s">
        <v>1</v>
      </c>
      <c r="AM195" s="288" t="s">
        <v>1</v>
      </c>
      <c r="AN195" s="287" t="s">
        <v>1</v>
      </c>
      <c r="AO195" s="287" t="s">
        <v>1</v>
      </c>
      <c r="AP195" s="286" t="s">
        <v>1</v>
      </c>
      <c r="AQ195" s="285" t="s">
        <v>1</v>
      </c>
      <c r="AR195" s="289" t="s">
        <v>1</v>
      </c>
      <c r="AS195" s="289" t="s">
        <v>1</v>
      </c>
      <c r="AT195" s="290" t="s">
        <v>1</v>
      </c>
      <c r="AU195" s="287" t="s">
        <v>1</v>
      </c>
      <c r="AV195" s="287" t="s">
        <v>1</v>
      </c>
      <c r="AW195" s="291" t="s">
        <v>1</v>
      </c>
    </row>
    <row r="196" spans="1:49" ht="30.15" customHeight="1" x14ac:dyDescent="0.25">
      <c r="A196" s="188" t="s">
        <v>18</v>
      </c>
      <c r="B196" s="189" t="s">
        <v>1</v>
      </c>
      <c r="C196" s="212" t="s">
        <v>34</v>
      </c>
      <c r="D196" s="190" t="s">
        <v>3</v>
      </c>
      <c r="E196" s="190" t="s">
        <v>1096</v>
      </c>
      <c r="F196" s="203"/>
      <c r="G196" s="190" t="s">
        <v>1102</v>
      </c>
      <c r="H196" s="192" t="s">
        <v>409</v>
      </c>
      <c r="I196" s="193">
        <v>639</v>
      </c>
      <c r="J196" s="193">
        <v>639</v>
      </c>
      <c r="K196" s="193">
        <v>639</v>
      </c>
      <c r="L196" s="194">
        <v>690</v>
      </c>
      <c r="M196" s="194">
        <v>690</v>
      </c>
      <c r="N196" s="284">
        <v>138</v>
      </c>
      <c r="O196" s="285" t="s">
        <v>1</v>
      </c>
      <c r="P196" s="285" t="s">
        <v>1</v>
      </c>
      <c r="Q196" s="285" t="s">
        <v>1</v>
      </c>
      <c r="R196" s="285" t="s">
        <v>1</v>
      </c>
      <c r="S196" s="286">
        <v>138</v>
      </c>
      <c r="T196" s="285" t="s">
        <v>1</v>
      </c>
      <c r="U196" s="285" t="s">
        <v>1</v>
      </c>
      <c r="V196" s="285" t="s">
        <v>1</v>
      </c>
      <c r="W196" s="285" t="s">
        <v>1</v>
      </c>
      <c r="X196" s="286">
        <v>138</v>
      </c>
      <c r="Y196" s="285">
        <v>5.63</v>
      </c>
      <c r="Z196" s="285">
        <v>24</v>
      </c>
      <c r="AA196" s="285" t="s">
        <v>1</v>
      </c>
      <c r="AB196" s="285" t="s">
        <v>1</v>
      </c>
      <c r="AC196" s="286">
        <v>138</v>
      </c>
      <c r="AD196" s="285">
        <v>5.63</v>
      </c>
      <c r="AE196" s="285">
        <v>24</v>
      </c>
      <c r="AF196" s="285" t="s">
        <v>1</v>
      </c>
      <c r="AG196" s="285" t="s">
        <v>1</v>
      </c>
      <c r="AH196" s="286" t="s">
        <v>1</v>
      </c>
      <c r="AI196" s="295" t="s">
        <v>1</v>
      </c>
      <c r="AJ196" s="295" t="s">
        <v>1</v>
      </c>
      <c r="AK196" s="295" t="s">
        <v>1</v>
      </c>
      <c r="AL196" s="286" t="s">
        <v>1</v>
      </c>
      <c r="AM196" s="288" t="s">
        <v>1</v>
      </c>
      <c r="AN196" s="287" t="s">
        <v>1</v>
      </c>
      <c r="AO196" s="287" t="s">
        <v>1</v>
      </c>
      <c r="AP196" s="286" t="s">
        <v>1</v>
      </c>
      <c r="AQ196" s="285" t="s">
        <v>1</v>
      </c>
      <c r="AR196" s="289" t="s">
        <v>1</v>
      </c>
      <c r="AS196" s="289" t="s">
        <v>1</v>
      </c>
      <c r="AT196" s="290" t="s">
        <v>1</v>
      </c>
      <c r="AU196" s="287" t="s">
        <v>1</v>
      </c>
      <c r="AV196" s="287" t="s">
        <v>1</v>
      </c>
      <c r="AW196" s="291" t="s">
        <v>1</v>
      </c>
    </row>
    <row r="197" spans="1:49" ht="30.15" customHeight="1" x14ac:dyDescent="0.25">
      <c r="A197" s="188" t="s">
        <v>18</v>
      </c>
      <c r="B197" s="189" t="s">
        <v>1</v>
      </c>
      <c r="C197" s="212" t="s">
        <v>34</v>
      </c>
      <c r="D197" s="190" t="s">
        <v>3</v>
      </c>
      <c r="E197" s="190" t="s">
        <v>1156</v>
      </c>
      <c r="F197" s="203"/>
      <c r="G197" s="190" t="s">
        <v>1102</v>
      </c>
      <c r="H197" s="192" t="s">
        <v>409</v>
      </c>
      <c r="I197" s="193">
        <v>639</v>
      </c>
      <c r="J197" s="193">
        <v>639</v>
      </c>
      <c r="K197" s="193">
        <v>639</v>
      </c>
      <c r="L197" s="194">
        <v>690</v>
      </c>
      <c r="M197" s="194">
        <v>690</v>
      </c>
      <c r="N197" s="284">
        <v>138</v>
      </c>
      <c r="O197" s="285" t="s">
        <v>1</v>
      </c>
      <c r="P197" s="285" t="s">
        <v>1</v>
      </c>
      <c r="Q197" s="285" t="s">
        <v>1</v>
      </c>
      <c r="R197" s="285" t="s">
        <v>1</v>
      </c>
      <c r="S197" s="286">
        <v>138</v>
      </c>
      <c r="T197" s="285" t="s">
        <v>1</v>
      </c>
      <c r="U197" s="285" t="s">
        <v>1</v>
      </c>
      <c r="V197" s="285" t="s">
        <v>1</v>
      </c>
      <c r="W197" s="285" t="s">
        <v>1</v>
      </c>
      <c r="X197" s="286">
        <v>138</v>
      </c>
      <c r="Y197" s="285">
        <v>5.63</v>
      </c>
      <c r="Z197" s="285">
        <v>24</v>
      </c>
      <c r="AA197" s="285" t="s">
        <v>1</v>
      </c>
      <c r="AB197" s="285" t="s">
        <v>1</v>
      </c>
      <c r="AC197" s="286">
        <v>138</v>
      </c>
      <c r="AD197" s="285">
        <v>5.63</v>
      </c>
      <c r="AE197" s="285">
        <v>24</v>
      </c>
      <c r="AF197" s="285" t="s">
        <v>1</v>
      </c>
      <c r="AG197" s="285" t="s">
        <v>1</v>
      </c>
      <c r="AH197" s="286" t="s">
        <v>1</v>
      </c>
      <c r="AI197" s="295" t="s">
        <v>1</v>
      </c>
      <c r="AJ197" s="295" t="s">
        <v>1</v>
      </c>
      <c r="AK197" s="295" t="s">
        <v>1</v>
      </c>
      <c r="AL197" s="286" t="s">
        <v>1</v>
      </c>
      <c r="AM197" s="288" t="s">
        <v>1</v>
      </c>
      <c r="AN197" s="287" t="s">
        <v>1</v>
      </c>
      <c r="AO197" s="287" t="s">
        <v>1</v>
      </c>
      <c r="AP197" s="286" t="s">
        <v>1</v>
      </c>
      <c r="AQ197" s="285" t="s">
        <v>1</v>
      </c>
      <c r="AR197" s="289" t="s">
        <v>1</v>
      </c>
      <c r="AS197" s="289" t="s">
        <v>1</v>
      </c>
      <c r="AT197" s="290" t="s">
        <v>1</v>
      </c>
      <c r="AU197" s="287" t="s">
        <v>1</v>
      </c>
      <c r="AV197" s="287" t="s">
        <v>1</v>
      </c>
      <c r="AW197" s="291" t="s">
        <v>1</v>
      </c>
    </row>
    <row r="198" spans="1:49" ht="30.15" customHeight="1" x14ac:dyDescent="0.25">
      <c r="A198" s="188" t="s">
        <v>18</v>
      </c>
      <c r="B198" s="189" t="s">
        <v>1</v>
      </c>
      <c r="C198" s="212" t="s">
        <v>34</v>
      </c>
      <c r="D198" s="190" t="s">
        <v>3</v>
      </c>
      <c r="E198" s="190" t="s">
        <v>1097</v>
      </c>
      <c r="F198" s="203"/>
      <c r="G198" s="190" t="s">
        <v>1102</v>
      </c>
      <c r="H198" s="192" t="s">
        <v>414</v>
      </c>
      <c r="I198" s="193">
        <v>639</v>
      </c>
      <c r="J198" s="193">
        <v>639</v>
      </c>
      <c r="K198" s="193">
        <v>639</v>
      </c>
      <c r="L198" s="194">
        <v>690</v>
      </c>
      <c r="M198" s="194">
        <v>690</v>
      </c>
      <c r="N198" s="284">
        <v>138</v>
      </c>
      <c r="O198" s="285" t="s">
        <v>1</v>
      </c>
      <c r="P198" s="285" t="s">
        <v>1</v>
      </c>
      <c r="Q198" s="285" t="s">
        <v>1</v>
      </c>
      <c r="R198" s="285" t="s">
        <v>1</v>
      </c>
      <c r="S198" s="286">
        <v>138</v>
      </c>
      <c r="T198" s="285" t="s">
        <v>1</v>
      </c>
      <c r="U198" s="285" t="s">
        <v>1</v>
      </c>
      <c r="V198" s="285" t="s">
        <v>1</v>
      </c>
      <c r="W198" s="285" t="s">
        <v>1</v>
      </c>
      <c r="X198" s="286">
        <v>138</v>
      </c>
      <c r="Y198" s="285">
        <v>5.63</v>
      </c>
      <c r="Z198" s="285">
        <v>24</v>
      </c>
      <c r="AA198" s="285" t="s">
        <v>1</v>
      </c>
      <c r="AB198" s="285" t="s">
        <v>1</v>
      </c>
      <c r="AC198" s="286">
        <v>138</v>
      </c>
      <c r="AD198" s="285">
        <v>5.63</v>
      </c>
      <c r="AE198" s="285">
        <v>24</v>
      </c>
      <c r="AF198" s="285" t="s">
        <v>1</v>
      </c>
      <c r="AG198" s="285" t="s">
        <v>1</v>
      </c>
      <c r="AH198" s="286" t="s">
        <v>1</v>
      </c>
      <c r="AI198" s="295" t="s">
        <v>1</v>
      </c>
      <c r="AJ198" s="295" t="s">
        <v>1</v>
      </c>
      <c r="AK198" s="295" t="s">
        <v>1</v>
      </c>
      <c r="AL198" s="286" t="s">
        <v>1</v>
      </c>
      <c r="AM198" s="288" t="s">
        <v>1</v>
      </c>
      <c r="AN198" s="287" t="s">
        <v>1</v>
      </c>
      <c r="AO198" s="287" t="s">
        <v>1</v>
      </c>
      <c r="AP198" s="286" t="s">
        <v>1</v>
      </c>
      <c r="AQ198" s="285" t="s">
        <v>1</v>
      </c>
      <c r="AR198" s="289" t="s">
        <v>1</v>
      </c>
      <c r="AS198" s="289" t="s">
        <v>1</v>
      </c>
      <c r="AT198" s="290" t="s">
        <v>1</v>
      </c>
      <c r="AU198" s="287" t="s">
        <v>1</v>
      </c>
      <c r="AV198" s="287" t="s">
        <v>1</v>
      </c>
      <c r="AW198" s="291" t="s">
        <v>1</v>
      </c>
    </row>
    <row r="199" spans="1:49" ht="30.15" customHeight="1" x14ac:dyDescent="0.25">
      <c r="A199" s="188" t="s">
        <v>18</v>
      </c>
      <c r="B199" s="189" t="s">
        <v>1</v>
      </c>
      <c r="C199" s="212" t="s">
        <v>34</v>
      </c>
      <c r="D199" s="190" t="s">
        <v>3</v>
      </c>
      <c r="E199" s="190" t="s">
        <v>1098</v>
      </c>
      <c r="F199" s="203"/>
      <c r="G199" s="190" t="s">
        <v>1103</v>
      </c>
      <c r="H199" s="192" t="s">
        <v>414</v>
      </c>
      <c r="I199" s="193">
        <v>769</v>
      </c>
      <c r="J199" s="193">
        <v>769</v>
      </c>
      <c r="K199" s="193">
        <v>769</v>
      </c>
      <c r="L199" s="194">
        <v>830</v>
      </c>
      <c r="M199" s="194">
        <v>830</v>
      </c>
      <c r="N199" s="284">
        <v>166</v>
      </c>
      <c r="O199" s="285" t="s">
        <v>1</v>
      </c>
      <c r="P199" s="285" t="s">
        <v>1</v>
      </c>
      <c r="Q199" s="285" t="s">
        <v>1</v>
      </c>
      <c r="R199" s="285" t="s">
        <v>1</v>
      </c>
      <c r="S199" s="286">
        <v>166</v>
      </c>
      <c r="T199" s="285" t="s">
        <v>1</v>
      </c>
      <c r="U199" s="285" t="s">
        <v>1</v>
      </c>
      <c r="V199" s="285" t="s">
        <v>1</v>
      </c>
      <c r="W199" s="285" t="s">
        <v>1</v>
      </c>
      <c r="X199" s="286">
        <v>166</v>
      </c>
      <c r="Y199" s="285">
        <v>5.63</v>
      </c>
      <c r="Z199" s="285">
        <v>24</v>
      </c>
      <c r="AA199" s="285" t="s">
        <v>1</v>
      </c>
      <c r="AB199" s="285" t="s">
        <v>1</v>
      </c>
      <c r="AC199" s="286">
        <v>166</v>
      </c>
      <c r="AD199" s="285">
        <v>5.63</v>
      </c>
      <c r="AE199" s="285">
        <v>24</v>
      </c>
      <c r="AF199" s="285" t="s">
        <v>1</v>
      </c>
      <c r="AG199" s="285" t="s">
        <v>1</v>
      </c>
      <c r="AH199" s="286" t="s">
        <v>1</v>
      </c>
      <c r="AI199" s="295" t="s">
        <v>1</v>
      </c>
      <c r="AJ199" s="295" t="s">
        <v>1</v>
      </c>
      <c r="AK199" s="295" t="s">
        <v>1</v>
      </c>
      <c r="AL199" s="286" t="s">
        <v>1</v>
      </c>
      <c r="AM199" s="288" t="s">
        <v>1</v>
      </c>
      <c r="AN199" s="287" t="s">
        <v>1</v>
      </c>
      <c r="AO199" s="287" t="s">
        <v>1</v>
      </c>
      <c r="AP199" s="286" t="s">
        <v>1</v>
      </c>
      <c r="AQ199" s="285" t="s">
        <v>1</v>
      </c>
      <c r="AR199" s="289" t="s">
        <v>1</v>
      </c>
      <c r="AS199" s="289" t="s">
        <v>1</v>
      </c>
      <c r="AT199" s="290" t="s">
        <v>1</v>
      </c>
      <c r="AU199" s="287" t="s">
        <v>1</v>
      </c>
      <c r="AV199" s="287" t="s">
        <v>1</v>
      </c>
      <c r="AW199" s="291" t="s">
        <v>1</v>
      </c>
    </row>
    <row r="200" spans="1:49" ht="30.15" customHeight="1" x14ac:dyDescent="0.25">
      <c r="A200" s="188" t="s">
        <v>18</v>
      </c>
      <c r="B200" s="189" t="s">
        <v>1</v>
      </c>
      <c r="C200" s="212" t="s">
        <v>34</v>
      </c>
      <c r="D200" s="190" t="s">
        <v>3</v>
      </c>
      <c r="E200" s="190" t="s">
        <v>1099</v>
      </c>
      <c r="F200" s="203"/>
      <c r="G200" s="190" t="s">
        <v>1103</v>
      </c>
      <c r="H200" s="192" t="s">
        <v>414</v>
      </c>
      <c r="I200" s="193">
        <v>769</v>
      </c>
      <c r="J200" s="193">
        <v>769</v>
      </c>
      <c r="K200" s="193">
        <v>769</v>
      </c>
      <c r="L200" s="194">
        <v>830</v>
      </c>
      <c r="M200" s="194">
        <v>830</v>
      </c>
      <c r="N200" s="284">
        <v>166</v>
      </c>
      <c r="O200" s="285" t="s">
        <v>1</v>
      </c>
      <c r="P200" s="285" t="s">
        <v>1</v>
      </c>
      <c r="Q200" s="285" t="s">
        <v>1</v>
      </c>
      <c r="R200" s="285" t="s">
        <v>1</v>
      </c>
      <c r="S200" s="286">
        <v>166</v>
      </c>
      <c r="T200" s="285" t="s">
        <v>1</v>
      </c>
      <c r="U200" s="285" t="s">
        <v>1</v>
      </c>
      <c r="V200" s="285" t="s">
        <v>1</v>
      </c>
      <c r="W200" s="285" t="s">
        <v>1</v>
      </c>
      <c r="X200" s="286">
        <v>166</v>
      </c>
      <c r="Y200" s="285">
        <v>5.63</v>
      </c>
      <c r="Z200" s="285">
        <v>24</v>
      </c>
      <c r="AA200" s="285" t="s">
        <v>1</v>
      </c>
      <c r="AB200" s="285" t="s">
        <v>1</v>
      </c>
      <c r="AC200" s="286">
        <v>166</v>
      </c>
      <c r="AD200" s="285">
        <v>5.63</v>
      </c>
      <c r="AE200" s="285">
        <v>24</v>
      </c>
      <c r="AF200" s="285" t="s">
        <v>1</v>
      </c>
      <c r="AG200" s="285" t="s">
        <v>1</v>
      </c>
      <c r="AH200" s="286" t="s">
        <v>1</v>
      </c>
      <c r="AI200" s="295" t="s">
        <v>1</v>
      </c>
      <c r="AJ200" s="295" t="s">
        <v>1</v>
      </c>
      <c r="AK200" s="295" t="s">
        <v>1</v>
      </c>
      <c r="AL200" s="286" t="s">
        <v>1</v>
      </c>
      <c r="AM200" s="288" t="s">
        <v>1</v>
      </c>
      <c r="AN200" s="287" t="s">
        <v>1</v>
      </c>
      <c r="AO200" s="287" t="s">
        <v>1</v>
      </c>
      <c r="AP200" s="286" t="s">
        <v>1</v>
      </c>
      <c r="AQ200" s="285" t="s">
        <v>1</v>
      </c>
      <c r="AR200" s="289" t="s">
        <v>1</v>
      </c>
      <c r="AS200" s="289" t="s">
        <v>1</v>
      </c>
      <c r="AT200" s="290" t="s">
        <v>1</v>
      </c>
      <c r="AU200" s="287" t="s">
        <v>1</v>
      </c>
      <c r="AV200" s="287" t="s">
        <v>1</v>
      </c>
      <c r="AW200" s="291" t="s">
        <v>1</v>
      </c>
    </row>
    <row r="201" spans="1:49" ht="30.15" customHeight="1" x14ac:dyDescent="0.25">
      <c r="A201" s="188" t="s">
        <v>18</v>
      </c>
      <c r="B201" s="189" t="s">
        <v>1</v>
      </c>
      <c r="C201" s="212" t="s">
        <v>34</v>
      </c>
      <c r="D201" s="190" t="s">
        <v>3</v>
      </c>
      <c r="E201" s="190" t="s">
        <v>1100</v>
      </c>
      <c r="F201" s="203"/>
      <c r="G201" s="190" t="s">
        <v>1103</v>
      </c>
      <c r="H201" s="192" t="s">
        <v>414</v>
      </c>
      <c r="I201" s="193">
        <v>769</v>
      </c>
      <c r="J201" s="193">
        <v>769</v>
      </c>
      <c r="K201" s="193">
        <v>769</v>
      </c>
      <c r="L201" s="194">
        <v>830</v>
      </c>
      <c r="M201" s="194">
        <v>830</v>
      </c>
      <c r="N201" s="284">
        <v>166</v>
      </c>
      <c r="O201" s="285" t="s">
        <v>1</v>
      </c>
      <c r="P201" s="285" t="s">
        <v>1</v>
      </c>
      <c r="Q201" s="285" t="s">
        <v>1</v>
      </c>
      <c r="R201" s="285" t="s">
        <v>1</v>
      </c>
      <c r="S201" s="286">
        <v>166</v>
      </c>
      <c r="T201" s="285" t="s">
        <v>1</v>
      </c>
      <c r="U201" s="285" t="s">
        <v>1</v>
      </c>
      <c r="V201" s="285" t="s">
        <v>1</v>
      </c>
      <c r="W201" s="285" t="s">
        <v>1</v>
      </c>
      <c r="X201" s="286">
        <v>166</v>
      </c>
      <c r="Y201" s="285">
        <v>5.63</v>
      </c>
      <c r="Z201" s="285">
        <v>24</v>
      </c>
      <c r="AA201" s="285" t="s">
        <v>1</v>
      </c>
      <c r="AB201" s="285" t="s">
        <v>1</v>
      </c>
      <c r="AC201" s="286">
        <v>166</v>
      </c>
      <c r="AD201" s="285">
        <v>5.63</v>
      </c>
      <c r="AE201" s="285">
        <v>24</v>
      </c>
      <c r="AF201" s="285" t="s">
        <v>1</v>
      </c>
      <c r="AG201" s="285" t="s">
        <v>1</v>
      </c>
      <c r="AH201" s="286" t="s">
        <v>1</v>
      </c>
      <c r="AI201" s="295" t="s">
        <v>1</v>
      </c>
      <c r="AJ201" s="295" t="s">
        <v>1</v>
      </c>
      <c r="AK201" s="295" t="s">
        <v>1</v>
      </c>
      <c r="AL201" s="286" t="s">
        <v>1</v>
      </c>
      <c r="AM201" s="288" t="s">
        <v>1</v>
      </c>
      <c r="AN201" s="287" t="s">
        <v>1</v>
      </c>
      <c r="AO201" s="287" t="s">
        <v>1</v>
      </c>
      <c r="AP201" s="286" t="s">
        <v>1</v>
      </c>
      <c r="AQ201" s="285" t="s">
        <v>1</v>
      </c>
      <c r="AR201" s="289" t="s">
        <v>1</v>
      </c>
      <c r="AS201" s="289" t="s">
        <v>1</v>
      </c>
      <c r="AT201" s="290" t="s">
        <v>1</v>
      </c>
      <c r="AU201" s="287" t="s">
        <v>1</v>
      </c>
      <c r="AV201" s="287" t="s">
        <v>1</v>
      </c>
      <c r="AW201" s="291" t="s">
        <v>1</v>
      </c>
    </row>
    <row r="202" spans="1:49" ht="30.15" customHeight="1" x14ac:dyDescent="0.25">
      <c r="A202" s="213" t="s">
        <v>18</v>
      </c>
      <c r="B202" s="189" t="s">
        <v>1</v>
      </c>
      <c r="C202" s="212" t="s">
        <v>34</v>
      </c>
      <c r="D202" s="190" t="s">
        <v>3</v>
      </c>
      <c r="E202" s="190" t="s">
        <v>192</v>
      </c>
      <c r="F202" s="203"/>
      <c r="G202" s="190" t="s">
        <v>195</v>
      </c>
      <c r="H202" s="192" t="s">
        <v>409</v>
      </c>
      <c r="I202" s="193">
        <v>479</v>
      </c>
      <c r="J202" s="193">
        <v>599</v>
      </c>
      <c r="K202" s="193">
        <v>599</v>
      </c>
      <c r="L202" s="194">
        <v>625</v>
      </c>
      <c r="M202" s="194">
        <v>625</v>
      </c>
      <c r="N202" s="284">
        <v>125</v>
      </c>
      <c r="O202" s="285">
        <v>16.05</v>
      </c>
      <c r="P202" s="285">
        <v>24</v>
      </c>
      <c r="Q202" s="285" t="s">
        <v>1</v>
      </c>
      <c r="R202" s="285" t="s">
        <v>1</v>
      </c>
      <c r="S202" s="286">
        <v>125</v>
      </c>
      <c r="T202" s="285">
        <v>16.05</v>
      </c>
      <c r="U202" s="285">
        <v>24</v>
      </c>
      <c r="V202" s="285" t="s">
        <v>1</v>
      </c>
      <c r="W202" s="285" t="s">
        <v>1</v>
      </c>
      <c r="X202" s="286">
        <v>125</v>
      </c>
      <c r="Y202" s="285">
        <v>16.05</v>
      </c>
      <c r="Z202" s="285">
        <v>24</v>
      </c>
      <c r="AA202" s="285" t="s">
        <v>1</v>
      </c>
      <c r="AB202" s="285" t="s">
        <v>1</v>
      </c>
      <c r="AC202" s="286">
        <v>125</v>
      </c>
      <c r="AD202" s="285">
        <v>16.05</v>
      </c>
      <c r="AE202" s="285">
        <v>24</v>
      </c>
      <c r="AF202" s="285" t="s">
        <v>1</v>
      </c>
      <c r="AG202" s="285" t="s">
        <v>1</v>
      </c>
      <c r="AH202" s="286">
        <v>125</v>
      </c>
      <c r="AI202" s="295" t="s">
        <v>1</v>
      </c>
      <c r="AJ202" s="295" t="s">
        <v>1</v>
      </c>
      <c r="AK202" s="295" t="s">
        <v>1</v>
      </c>
      <c r="AL202" s="302" t="s">
        <v>1</v>
      </c>
      <c r="AM202" s="303" t="s">
        <v>1</v>
      </c>
      <c r="AN202" s="287" t="s">
        <v>1</v>
      </c>
      <c r="AO202" s="287" t="s">
        <v>1</v>
      </c>
      <c r="AP202" s="286" t="s">
        <v>1</v>
      </c>
      <c r="AQ202" s="285" t="s">
        <v>1</v>
      </c>
      <c r="AR202" s="289" t="s">
        <v>1</v>
      </c>
      <c r="AS202" s="289" t="s">
        <v>1</v>
      </c>
      <c r="AT202" s="290" t="s">
        <v>1</v>
      </c>
      <c r="AU202" s="287" t="s">
        <v>1</v>
      </c>
      <c r="AV202" s="287" t="s">
        <v>1</v>
      </c>
      <c r="AW202" s="291" t="s">
        <v>1</v>
      </c>
    </row>
    <row r="203" spans="1:49" ht="30.15" customHeight="1" x14ac:dyDescent="0.25">
      <c r="A203" s="213" t="s">
        <v>18</v>
      </c>
      <c r="B203" s="189" t="s">
        <v>1</v>
      </c>
      <c r="C203" s="212" t="s">
        <v>34</v>
      </c>
      <c r="D203" s="190" t="s">
        <v>3</v>
      </c>
      <c r="E203" s="190" t="s">
        <v>193</v>
      </c>
      <c r="F203" s="203"/>
      <c r="G203" s="190" t="s">
        <v>195</v>
      </c>
      <c r="H203" s="192" t="s">
        <v>409</v>
      </c>
      <c r="I203" s="193">
        <v>479</v>
      </c>
      <c r="J203" s="193">
        <v>599</v>
      </c>
      <c r="K203" s="193">
        <v>599</v>
      </c>
      <c r="L203" s="194">
        <v>625</v>
      </c>
      <c r="M203" s="194">
        <v>625</v>
      </c>
      <c r="N203" s="284">
        <v>125</v>
      </c>
      <c r="O203" s="285">
        <v>16.05</v>
      </c>
      <c r="P203" s="285">
        <v>24</v>
      </c>
      <c r="Q203" s="285" t="s">
        <v>1</v>
      </c>
      <c r="R203" s="285" t="s">
        <v>1</v>
      </c>
      <c r="S203" s="286">
        <v>125</v>
      </c>
      <c r="T203" s="285">
        <v>16.05</v>
      </c>
      <c r="U203" s="285">
        <v>24</v>
      </c>
      <c r="V203" s="285" t="s">
        <v>1</v>
      </c>
      <c r="W203" s="285" t="s">
        <v>1</v>
      </c>
      <c r="X203" s="286">
        <v>125</v>
      </c>
      <c r="Y203" s="285">
        <v>16.05</v>
      </c>
      <c r="Z203" s="285">
        <v>24</v>
      </c>
      <c r="AA203" s="285" t="s">
        <v>1</v>
      </c>
      <c r="AB203" s="285" t="s">
        <v>1</v>
      </c>
      <c r="AC203" s="286">
        <v>125</v>
      </c>
      <c r="AD203" s="285">
        <v>16.05</v>
      </c>
      <c r="AE203" s="285">
        <v>24</v>
      </c>
      <c r="AF203" s="285" t="s">
        <v>1</v>
      </c>
      <c r="AG203" s="285" t="s">
        <v>1</v>
      </c>
      <c r="AH203" s="286">
        <v>125</v>
      </c>
      <c r="AI203" s="295" t="s">
        <v>1</v>
      </c>
      <c r="AJ203" s="295" t="s">
        <v>1</v>
      </c>
      <c r="AK203" s="295" t="s">
        <v>1</v>
      </c>
      <c r="AL203" s="302" t="s">
        <v>1</v>
      </c>
      <c r="AM203" s="303" t="s">
        <v>1</v>
      </c>
      <c r="AN203" s="287" t="s">
        <v>1</v>
      </c>
      <c r="AO203" s="287" t="s">
        <v>1</v>
      </c>
      <c r="AP203" s="286" t="s">
        <v>1</v>
      </c>
      <c r="AQ203" s="285" t="s">
        <v>1</v>
      </c>
      <c r="AR203" s="289" t="s">
        <v>1</v>
      </c>
      <c r="AS203" s="289" t="s">
        <v>1</v>
      </c>
      <c r="AT203" s="290" t="s">
        <v>1</v>
      </c>
      <c r="AU203" s="287" t="s">
        <v>1</v>
      </c>
      <c r="AV203" s="287" t="s">
        <v>1</v>
      </c>
      <c r="AW203" s="291" t="s">
        <v>1</v>
      </c>
    </row>
    <row r="204" spans="1:49" ht="30.15" customHeight="1" x14ac:dyDescent="0.25">
      <c r="A204" s="213" t="s">
        <v>18</v>
      </c>
      <c r="B204" s="189">
        <v>43313</v>
      </c>
      <c r="C204" s="212" t="s">
        <v>34</v>
      </c>
      <c r="D204" s="190" t="s">
        <v>3</v>
      </c>
      <c r="E204" s="190" t="s">
        <v>96</v>
      </c>
      <c r="F204" s="191"/>
      <c r="G204" s="192" t="s">
        <v>98</v>
      </c>
      <c r="H204" s="192" t="s">
        <v>409</v>
      </c>
      <c r="I204" s="193">
        <v>599</v>
      </c>
      <c r="J204" s="193">
        <v>739</v>
      </c>
      <c r="K204" s="193">
        <v>739</v>
      </c>
      <c r="L204" s="194">
        <v>759</v>
      </c>
      <c r="M204" s="194">
        <v>759</v>
      </c>
      <c r="N204" s="284">
        <v>151.80000000000001</v>
      </c>
      <c r="O204" s="285" t="s">
        <v>1</v>
      </c>
      <c r="P204" s="285" t="s">
        <v>1</v>
      </c>
      <c r="Q204" s="285" t="s">
        <v>1</v>
      </c>
      <c r="R204" s="285" t="s">
        <v>1</v>
      </c>
      <c r="S204" s="286">
        <v>151.80000000000001</v>
      </c>
      <c r="T204" s="285" t="s">
        <v>1</v>
      </c>
      <c r="U204" s="285" t="s">
        <v>1</v>
      </c>
      <c r="V204" s="285" t="s">
        <v>1</v>
      </c>
      <c r="W204" s="285" t="s">
        <v>1</v>
      </c>
      <c r="X204" s="286">
        <v>151.80000000000001</v>
      </c>
      <c r="Y204" s="285" t="s">
        <v>1</v>
      </c>
      <c r="Z204" s="285" t="s">
        <v>1</v>
      </c>
      <c r="AA204" s="285" t="s">
        <v>1</v>
      </c>
      <c r="AB204" s="285" t="s">
        <v>1</v>
      </c>
      <c r="AC204" s="286">
        <v>151.80000000000001</v>
      </c>
      <c r="AD204" s="285" t="s">
        <v>1</v>
      </c>
      <c r="AE204" s="285" t="s">
        <v>1</v>
      </c>
      <c r="AF204" s="285" t="s">
        <v>1</v>
      </c>
      <c r="AG204" s="285" t="s">
        <v>1</v>
      </c>
      <c r="AH204" s="286" t="s">
        <v>1</v>
      </c>
      <c r="AI204" s="295" t="s">
        <v>1</v>
      </c>
      <c r="AJ204" s="295" t="s">
        <v>1</v>
      </c>
      <c r="AK204" s="295" t="s">
        <v>1</v>
      </c>
      <c r="AL204" s="302" t="s">
        <v>1</v>
      </c>
      <c r="AM204" s="303" t="s">
        <v>1</v>
      </c>
      <c r="AN204" s="287" t="s">
        <v>1</v>
      </c>
      <c r="AO204" s="287" t="s">
        <v>1</v>
      </c>
      <c r="AP204" s="286" t="s">
        <v>1</v>
      </c>
      <c r="AQ204" s="285" t="s">
        <v>1</v>
      </c>
      <c r="AR204" s="289" t="s">
        <v>1</v>
      </c>
      <c r="AS204" s="289" t="s">
        <v>1</v>
      </c>
      <c r="AT204" s="290" t="s">
        <v>1</v>
      </c>
      <c r="AU204" s="287" t="s">
        <v>1</v>
      </c>
      <c r="AV204" s="287" t="s">
        <v>1</v>
      </c>
      <c r="AW204" s="291" t="s">
        <v>1</v>
      </c>
    </row>
    <row r="205" spans="1:49" ht="30.15" customHeight="1" x14ac:dyDescent="0.25">
      <c r="A205" s="213" t="s">
        <v>18</v>
      </c>
      <c r="B205" s="189" t="s">
        <v>1</v>
      </c>
      <c r="C205" s="212" t="s">
        <v>34</v>
      </c>
      <c r="D205" s="190" t="s">
        <v>3</v>
      </c>
      <c r="E205" s="190" t="s">
        <v>94</v>
      </c>
      <c r="F205" s="191"/>
      <c r="G205" s="192" t="s">
        <v>98</v>
      </c>
      <c r="H205" s="192" t="s">
        <v>409</v>
      </c>
      <c r="I205" s="193">
        <v>599</v>
      </c>
      <c r="J205" s="193">
        <v>739</v>
      </c>
      <c r="K205" s="193">
        <v>739</v>
      </c>
      <c r="L205" s="194">
        <v>759</v>
      </c>
      <c r="M205" s="194">
        <v>759</v>
      </c>
      <c r="N205" s="284">
        <v>151.80000000000001</v>
      </c>
      <c r="O205" s="285" t="s">
        <v>1</v>
      </c>
      <c r="P205" s="285" t="s">
        <v>1</v>
      </c>
      <c r="Q205" s="285" t="s">
        <v>1</v>
      </c>
      <c r="R205" s="285" t="s">
        <v>1</v>
      </c>
      <c r="S205" s="286">
        <v>151.80000000000001</v>
      </c>
      <c r="T205" s="285" t="s">
        <v>1</v>
      </c>
      <c r="U205" s="285" t="s">
        <v>1</v>
      </c>
      <c r="V205" s="285" t="s">
        <v>1</v>
      </c>
      <c r="W205" s="285" t="s">
        <v>1</v>
      </c>
      <c r="X205" s="286">
        <v>151.80000000000001</v>
      </c>
      <c r="Y205" s="285" t="s">
        <v>1</v>
      </c>
      <c r="Z205" s="285" t="s">
        <v>1</v>
      </c>
      <c r="AA205" s="285" t="s">
        <v>1</v>
      </c>
      <c r="AB205" s="285" t="s">
        <v>1</v>
      </c>
      <c r="AC205" s="286">
        <v>151.80000000000001</v>
      </c>
      <c r="AD205" s="285" t="s">
        <v>1</v>
      </c>
      <c r="AE205" s="285" t="s">
        <v>1</v>
      </c>
      <c r="AF205" s="285" t="s">
        <v>1</v>
      </c>
      <c r="AG205" s="285" t="s">
        <v>1</v>
      </c>
      <c r="AH205" s="286" t="s">
        <v>1</v>
      </c>
      <c r="AI205" s="295" t="s">
        <v>1</v>
      </c>
      <c r="AJ205" s="295" t="s">
        <v>1</v>
      </c>
      <c r="AK205" s="295" t="s">
        <v>1</v>
      </c>
      <c r="AL205" s="302" t="s">
        <v>1</v>
      </c>
      <c r="AM205" s="303" t="s">
        <v>1</v>
      </c>
      <c r="AN205" s="287" t="s">
        <v>1</v>
      </c>
      <c r="AO205" s="287" t="s">
        <v>1</v>
      </c>
      <c r="AP205" s="286" t="s">
        <v>1</v>
      </c>
      <c r="AQ205" s="285" t="s">
        <v>1</v>
      </c>
      <c r="AR205" s="289" t="s">
        <v>1</v>
      </c>
      <c r="AS205" s="289" t="s">
        <v>1</v>
      </c>
      <c r="AT205" s="290" t="s">
        <v>1</v>
      </c>
      <c r="AU205" s="287" t="s">
        <v>1</v>
      </c>
      <c r="AV205" s="287" t="s">
        <v>1</v>
      </c>
      <c r="AW205" s="291" t="s">
        <v>1</v>
      </c>
    </row>
    <row r="206" spans="1:49" ht="30.15" customHeight="1" x14ac:dyDescent="0.25">
      <c r="A206" s="213" t="s">
        <v>18</v>
      </c>
      <c r="B206" s="189" t="s">
        <v>1</v>
      </c>
      <c r="C206" s="212" t="s">
        <v>34</v>
      </c>
      <c r="D206" s="190" t="s">
        <v>3</v>
      </c>
      <c r="E206" s="190" t="s">
        <v>97</v>
      </c>
      <c r="F206" s="191"/>
      <c r="G206" s="192" t="s">
        <v>98</v>
      </c>
      <c r="H206" s="192" t="s">
        <v>409</v>
      </c>
      <c r="I206" s="193">
        <v>599</v>
      </c>
      <c r="J206" s="193">
        <v>739</v>
      </c>
      <c r="K206" s="193">
        <v>739</v>
      </c>
      <c r="L206" s="194">
        <v>759</v>
      </c>
      <c r="M206" s="194">
        <v>759</v>
      </c>
      <c r="N206" s="284">
        <v>151.80000000000001</v>
      </c>
      <c r="O206" s="285" t="s">
        <v>1</v>
      </c>
      <c r="P206" s="285" t="s">
        <v>1</v>
      </c>
      <c r="Q206" s="285" t="s">
        <v>1</v>
      </c>
      <c r="R206" s="285" t="s">
        <v>1</v>
      </c>
      <c r="S206" s="286">
        <v>151.80000000000001</v>
      </c>
      <c r="T206" s="285" t="s">
        <v>1</v>
      </c>
      <c r="U206" s="285" t="s">
        <v>1</v>
      </c>
      <c r="V206" s="285" t="s">
        <v>1</v>
      </c>
      <c r="W206" s="285" t="s">
        <v>1</v>
      </c>
      <c r="X206" s="286">
        <v>151.80000000000001</v>
      </c>
      <c r="Y206" s="285" t="s">
        <v>1</v>
      </c>
      <c r="Z206" s="285" t="s">
        <v>1</v>
      </c>
      <c r="AA206" s="285" t="s">
        <v>1</v>
      </c>
      <c r="AB206" s="285" t="s">
        <v>1</v>
      </c>
      <c r="AC206" s="286">
        <v>151.80000000000001</v>
      </c>
      <c r="AD206" s="285" t="s">
        <v>1</v>
      </c>
      <c r="AE206" s="285" t="s">
        <v>1</v>
      </c>
      <c r="AF206" s="285" t="s">
        <v>1</v>
      </c>
      <c r="AG206" s="285" t="s">
        <v>1</v>
      </c>
      <c r="AH206" s="286" t="s">
        <v>1</v>
      </c>
      <c r="AI206" s="295" t="s">
        <v>1</v>
      </c>
      <c r="AJ206" s="295" t="s">
        <v>1</v>
      </c>
      <c r="AK206" s="295" t="s">
        <v>1</v>
      </c>
      <c r="AL206" s="302" t="s">
        <v>1</v>
      </c>
      <c r="AM206" s="303" t="s">
        <v>1</v>
      </c>
      <c r="AN206" s="287" t="s">
        <v>1</v>
      </c>
      <c r="AO206" s="287" t="s">
        <v>1</v>
      </c>
      <c r="AP206" s="286" t="s">
        <v>1</v>
      </c>
      <c r="AQ206" s="285" t="s">
        <v>1</v>
      </c>
      <c r="AR206" s="289" t="s">
        <v>1</v>
      </c>
      <c r="AS206" s="289" t="s">
        <v>1</v>
      </c>
      <c r="AT206" s="290" t="s">
        <v>1</v>
      </c>
      <c r="AU206" s="287" t="s">
        <v>1</v>
      </c>
      <c r="AV206" s="287" t="s">
        <v>1</v>
      </c>
      <c r="AW206" s="291" t="s">
        <v>1</v>
      </c>
    </row>
    <row r="207" spans="1:49" ht="30.15" customHeight="1" x14ac:dyDescent="0.25">
      <c r="A207" s="213" t="s">
        <v>18</v>
      </c>
      <c r="B207" s="189" t="s">
        <v>1</v>
      </c>
      <c r="C207" s="212" t="s">
        <v>34</v>
      </c>
      <c r="D207" s="190" t="s">
        <v>3</v>
      </c>
      <c r="E207" s="190" t="s">
        <v>197</v>
      </c>
      <c r="F207" s="203"/>
      <c r="G207" s="190" t="s">
        <v>200</v>
      </c>
      <c r="H207" s="192" t="s">
        <v>409</v>
      </c>
      <c r="I207" s="193">
        <v>699</v>
      </c>
      <c r="J207" s="193">
        <v>739</v>
      </c>
      <c r="K207" s="193">
        <v>739</v>
      </c>
      <c r="L207" s="194">
        <v>750</v>
      </c>
      <c r="M207" s="194">
        <v>750</v>
      </c>
      <c r="N207" s="284">
        <v>150</v>
      </c>
      <c r="O207" s="285" t="s">
        <v>1</v>
      </c>
      <c r="P207" s="285" t="s">
        <v>1</v>
      </c>
      <c r="Q207" s="285" t="s">
        <v>1</v>
      </c>
      <c r="R207" s="285" t="s">
        <v>1</v>
      </c>
      <c r="S207" s="286">
        <v>150</v>
      </c>
      <c r="T207" s="285" t="s">
        <v>1</v>
      </c>
      <c r="U207" s="285" t="s">
        <v>1</v>
      </c>
      <c r="V207" s="285" t="s">
        <v>1</v>
      </c>
      <c r="W207" s="285" t="s">
        <v>1</v>
      </c>
      <c r="X207" s="286">
        <v>150</v>
      </c>
      <c r="Y207" s="285" t="s">
        <v>1</v>
      </c>
      <c r="Z207" s="285" t="s">
        <v>1</v>
      </c>
      <c r="AA207" s="285" t="s">
        <v>1</v>
      </c>
      <c r="AB207" s="285" t="s">
        <v>1</v>
      </c>
      <c r="AC207" s="286">
        <v>150</v>
      </c>
      <c r="AD207" s="285" t="s">
        <v>1</v>
      </c>
      <c r="AE207" s="285" t="s">
        <v>1</v>
      </c>
      <c r="AF207" s="285" t="s">
        <v>1</v>
      </c>
      <c r="AG207" s="285" t="s">
        <v>1</v>
      </c>
      <c r="AH207" s="286" t="s">
        <v>1</v>
      </c>
      <c r="AI207" s="295" t="s">
        <v>1</v>
      </c>
      <c r="AJ207" s="295" t="s">
        <v>1</v>
      </c>
      <c r="AK207" s="295" t="s">
        <v>1</v>
      </c>
      <c r="AL207" s="302" t="s">
        <v>1</v>
      </c>
      <c r="AM207" s="303" t="s">
        <v>1</v>
      </c>
      <c r="AN207" s="287" t="s">
        <v>1</v>
      </c>
      <c r="AO207" s="287" t="s">
        <v>1</v>
      </c>
      <c r="AP207" s="286" t="s">
        <v>1</v>
      </c>
      <c r="AQ207" s="285" t="s">
        <v>1</v>
      </c>
      <c r="AR207" s="289" t="s">
        <v>1</v>
      </c>
      <c r="AS207" s="289" t="s">
        <v>1</v>
      </c>
      <c r="AT207" s="290" t="s">
        <v>1</v>
      </c>
      <c r="AU207" s="287" t="s">
        <v>1</v>
      </c>
      <c r="AV207" s="287" t="s">
        <v>1</v>
      </c>
      <c r="AW207" s="291" t="s">
        <v>1</v>
      </c>
    </row>
    <row r="208" spans="1:49" ht="30.15" customHeight="1" x14ac:dyDescent="0.25">
      <c r="A208" s="213" t="s">
        <v>18</v>
      </c>
      <c r="B208" s="189" t="s">
        <v>1</v>
      </c>
      <c r="C208" s="212" t="s">
        <v>34</v>
      </c>
      <c r="D208" s="190" t="s">
        <v>3</v>
      </c>
      <c r="E208" s="190" t="s">
        <v>172</v>
      </c>
      <c r="F208" s="203"/>
      <c r="G208" s="190" t="s">
        <v>182</v>
      </c>
      <c r="H208" s="192" t="s">
        <v>409</v>
      </c>
      <c r="I208" s="193">
        <v>399</v>
      </c>
      <c r="J208" s="193">
        <v>399</v>
      </c>
      <c r="K208" s="193">
        <v>399</v>
      </c>
      <c r="L208" s="193">
        <v>430</v>
      </c>
      <c r="M208" s="194">
        <v>430</v>
      </c>
      <c r="N208" s="284">
        <v>86</v>
      </c>
      <c r="O208" s="285">
        <v>2.92</v>
      </c>
      <c r="P208" s="285">
        <v>24</v>
      </c>
      <c r="Q208" s="285" t="s">
        <v>1</v>
      </c>
      <c r="R208" s="285" t="s">
        <v>1</v>
      </c>
      <c r="S208" s="286">
        <v>86</v>
      </c>
      <c r="T208" s="285">
        <v>2.92</v>
      </c>
      <c r="U208" s="285">
        <v>24</v>
      </c>
      <c r="V208" s="285" t="s">
        <v>1</v>
      </c>
      <c r="W208" s="285" t="s">
        <v>1</v>
      </c>
      <c r="X208" s="286">
        <v>86</v>
      </c>
      <c r="Y208" s="285">
        <v>17.920000000000002</v>
      </c>
      <c r="Z208" s="285">
        <v>24</v>
      </c>
      <c r="AA208" s="285" t="s">
        <v>1</v>
      </c>
      <c r="AB208" s="285" t="s">
        <v>1</v>
      </c>
      <c r="AC208" s="286">
        <v>86</v>
      </c>
      <c r="AD208" s="285">
        <v>17.920000000000002</v>
      </c>
      <c r="AE208" s="285">
        <v>24</v>
      </c>
      <c r="AF208" s="285" t="s">
        <v>1</v>
      </c>
      <c r="AG208" s="285" t="s">
        <v>1</v>
      </c>
      <c r="AH208" s="286" t="s">
        <v>1</v>
      </c>
      <c r="AI208" s="295" t="s">
        <v>1</v>
      </c>
      <c r="AJ208" s="295" t="s">
        <v>1</v>
      </c>
      <c r="AK208" s="295" t="s">
        <v>1</v>
      </c>
      <c r="AL208" s="302" t="s">
        <v>1</v>
      </c>
      <c r="AM208" s="303" t="s">
        <v>1</v>
      </c>
      <c r="AN208" s="287" t="s">
        <v>1</v>
      </c>
      <c r="AO208" s="287" t="s">
        <v>1</v>
      </c>
      <c r="AP208" s="286" t="s">
        <v>1</v>
      </c>
      <c r="AQ208" s="285" t="s">
        <v>1</v>
      </c>
      <c r="AR208" s="289" t="s">
        <v>1</v>
      </c>
      <c r="AS208" s="289" t="s">
        <v>1</v>
      </c>
      <c r="AT208" s="290" t="s">
        <v>1</v>
      </c>
      <c r="AU208" s="287" t="s">
        <v>1</v>
      </c>
      <c r="AV208" s="287" t="s">
        <v>1</v>
      </c>
      <c r="AW208" s="291" t="s">
        <v>1</v>
      </c>
    </row>
    <row r="209" spans="1:49" ht="30.15" customHeight="1" x14ac:dyDescent="0.25">
      <c r="A209" s="213" t="s">
        <v>18</v>
      </c>
      <c r="B209" s="189" t="s">
        <v>1</v>
      </c>
      <c r="C209" s="212" t="s">
        <v>34</v>
      </c>
      <c r="D209" s="190" t="s">
        <v>3</v>
      </c>
      <c r="E209" s="190" t="s">
        <v>169</v>
      </c>
      <c r="F209" s="203"/>
      <c r="G209" s="190" t="s">
        <v>182</v>
      </c>
      <c r="H209" s="192" t="s">
        <v>409</v>
      </c>
      <c r="I209" s="193">
        <v>399</v>
      </c>
      <c r="J209" s="193">
        <v>399</v>
      </c>
      <c r="K209" s="193">
        <v>399</v>
      </c>
      <c r="L209" s="193">
        <v>430</v>
      </c>
      <c r="M209" s="194">
        <v>430</v>
      </c>
      <c r="N209" s="284">
        <v>86</v>
      </c>
      <c r="O209" s="285">
        <v>2.92</v>
      </c>
      <c r="P209" s="285">
        <v>24</v>
      </c>
      <c r="Q209" s="285" t="s">
        <v>1</v>
      </c>
      <c r="R209" s="285" t="s">
        <v>1</v>
      </c>
      <c r="S209" s="286">
        <v>86</v>
      </c>
      <c r="T209" s="285">
        <v>2.92</v>
      </c>
      <c r="U209" s="285">
        <v>24</v>
      </c>
      <c r="V209" s="285" t="s">
        <v>1</v>
      </c>
      <c r="W209" s="285" t="s">
        <v>1</v>
      </c>
      <c r="X209" s="286">
        <v>86</v>
      </c>
      <c r="Y209" s="285">
        <v>17.920000000000002</v>
      </c>
      <c r="Z209" s="285">
        <v>24</v>
      </c>
      <c r="AA209" s="285" t="s">
        <v>1</v>
      </c>
      <c r="AB209" s="285" t="s">
        <v>1</v>
      </c>
      <c r="AC209" s="286">
        <v>86</v>
      </c>
      <c r="AD209" s="285">
        <v>17.920000000000002</v>
      </c>
      <c r="AE209" s="285">
        <v>24</v>
      </c>
      <c r="AF209" s="285" t="s">
        <v>1</v>
      </c>
      <c r="AG209" s="285" t="s">
        <v>1</v>
      </c>
      <c r="AH209" s="286" t="s">
        <v>1</v>
      </c>
      <c r="AI209" s="295" t="s">
        <v>1</v>
      </c>
      <c r="AJ209" s="295" t="s">
        <v>1</v>
      </c>
      <c r="AK209" s="295" t="s">
        <v>1</v>
      </c>
      <c r="AL209" s="302" t="s">
        <v>1</v>
      </c>
      <c r="AM209" s="303" t="s">
        <v>1</v>
      </c>
      <c r="AN209" s="287" t="s">
        <v>1</v>
      </c>
      <c r="AO209" s="287" t="s">
        <v>1</v>
      </c>
      <c r="AP209" s="286" t="s">
        <v>1</v>
      </c>
      <c r="AQ209" s="285" t="s">
        <v>1</v>
      </c>
      <c r="AR209" s="289" t="s">
        <v>1</v>
      </c>
      <c r="AS209" s="289" t="s">
        <v>1</v>
      </c>
      <c r="AT209" s="290" t="s">
        <v>1</v>
      </c>
      <c r="AU209" s="287" t="s">
        <v>1</v>
      </c>
      <c r="AV209" s="287" t="s">
        <v>1</v>
      </c>
      <c r="AW209" s="291" t="s">
        <v>1</v>
      </c>
    </row>
    <row r="210" spans="1:49" ht="30.15" customHeight="1" x14ac:dyDescent="0.25">
      <c r="A210" s="213" t="s">
        <v>18</v>
      </c>
      <c r="B210" s="189" t="s">
        <v>1</v>
      </c>
      <c r="C210" s="212" t="s">
        <v>34</v>
      </c>
      <c r="D210" s="190" t="s">
        <v>3</v>
      </c>
      <c r="E210" s="190" t="s">
        <v>319</v>
      </c>
      <c r="F210" s="203"/>
      <c r="G210" s="190" t="s">
        <v>182</v>
      </c>
      <c r="H210" s="192" t="s">
        <v>409</v>
      </c>
      <c r="I210" s="193">
        <v>399</v>
      </c>
      <c r="J210" s="193">
        <v>399</v>
      </c>
      <c r="K210" s="193">
        <v>399</v>
      </c>
      <c r="L210" s="193">
        <v>430</v>
      </c>
      <c r="M210" s="194">
        <v>430</v>
      </c>
      <c r="N210" s="284">
        <v>86</v>
      </c>
      <c r="O210" s="285">
        <v>2.92</v>
      </c>
      <c r="P210" s="285">
        <v>24</v>
      </c>
      <c r="Q210" s="285" t="s">
        <v>1</v>
      </c>
      <c r="R210" s="285" t="s">
        <v>1</v>
      </c>
      <c r="S210" s="286">
        <v>86</v>
      </c>
      <c r="T210" s="285">
        <v>2.92</v>
      </c>
      <c r="U210" s="285">
        <v>24</v>
      </c>
      <c r="V210" s="285" t="s">
        <v>1</v>
      </c>
      <c r="W210" s="285" t="s">
        <v>1</v>
      </c>
      <c r="X210" s="286">
        <v>86</v>
      </c>
      <c r="Y210" s="285">
        <v>17.920000000000002</v>
      </c>
      <c r="Z210" s="285">
        <v>24</v>
      </c>
      <c r="AA210" s="285" t="s">
        <v>1</v>
      </c>
      <c r="AB210" s="285" t="s">
        <v>1</v>
      </c>
      <c r="AC210" s="286">
        <v>86</v>
      </c>
      <c r="AD210" s="285">
        <v>17.920000000000002</v>
      </c>
      <c r="AE210" s="285">
        <v>24</v>
      </c>
      <c r="AF210" s="285" t="s">
        <v>1</v>
      </c>
      <c r="AG210" s="285" t="s">
        <v>1</v>
      </c>
      <c r="AH210" s="286" t="s">
        <v>1</v>
      </c>
      <c r="AI210" s="295" t="s">
        <v>1</v>
      </c>
      <c r="AJ210" s="295" t="s">
        <v>1</v>
      </c>
      <c r="AK210" s="295" t="s">
        <v>1</v>
      </c>
      <c r="AL210" s="302" t="s">
        <v>1</v>
      </c>
      <c r="AM210" s="303" t="s">
        <v>1</v>
      </c>
      <c r="AN210" s="287" t="s">
        <v>1</v>
      </c>
      <c r="AO210" s="287" t="s">
        <v>1</v>
      </c>
      <c r="AP210" s="286" t="s">
        <v>1</v>
      </c>
      <c r="AQ210" s="285" t="s">
        <v>1</v>
      </c>
      <c r="AR210" s="289" t="s">
        <v>1</v>
      </c>
      <c r="AS210" s="289" t="s">
        <v>1</v>
      </c>
      <c r="AT210" s="290" t="s">
        <v>1</v>
      </c>
      <c r="AU210" s="287" t="s">
        <v>1</v>
      </c>
      <c r="AV210" s="287" t="s">
        <v>1</v>
      </c>
      <c r="AW210" s="291" t="s">
        <v>1</v>
      </c>
    </row>
    <row r="211" spans="1:49" ht="30.15" customHeight="1" x14ac:dyDescent="0.25">
      <c r="A211" s="213" t="s">
        <v>18</v>
      </c>
      <c r="B211" s="189" t="s">
        <v>1</v>
      </c>
      <c r="C211" s="212" t="s">
        <v>34</v>
      </c>
      <c r="D211" s="190" t="s">
        <v>3</v>
      </c>
      <c r="E211" s="190" t="s">
        <v>170</v>
      </c>
      <c r="F211" s="203"/>
      <c r="G211" s="190" t="s">
        <v>182</v>
      </c>
      <c r="H211" s="192" t="s">
        <v>409</v>
      </c>
      <c r="I211" s="193">
        <v>399</v>
      </c>
      <c r="J211" s="193">
        <v>399</v>
      </c>
      <c r="K211" s="193">
        <v>399</v>
      </c>
      <c r="L211" s="193">
        <v>430</v>
      </c>
      <c r="M211" s="194">
        <v>430</v>
      </c>
      <c r="N211" s="284">
        <v>86</v>
      </c>
      <c r="O211" s="285">
        <v>2.92</v>
      </c>
      <c r="P211" s="285">
        <v>24</v>
      </c>
      <c r="Q211" s="285" t="s">
        <v>1</v>
      </c>
      <c r="R211" s="285" t="s">
        <v>1</v>
      </c>
      <c r="S211" s="286">
        <v>86</v>
      </c>
      <c r="T211" s="285">
        <v>2.92</v>
      </c>
      <c r="U211" s="285">
        <v>24</v>
      </c>
      <c r="V211" s="285" t="s">
        <v>1</v>
      </c>
      <c r="W211" s="285" t="s">
        <v>1</v>
      </c>
      <c r="X211" s="286">
        <v>86</v>
      </c>
      <c r="Y211" s="285">
        <v>17.920000000000002</v>
      </c>
      <c r="Z211" s="285">
        <v>24</v>
      </c>
      <c r="AA211" s="285" t="s">
        <v>1</v>
      </c>
      <c r="AB211" s="285" t="s">
        <v>1</v>
      </c>
      <c r="AC211" s="286">
        <v>86</v>
      </c>
      <c r="AD211" s="285">
        <v>17.920000000000002</v>
      </c>
      <c r="AE211" s="285">
        <v>24</v>
      </c>
      <c r="AF211" s="285" t="s">
        <v>1</v>
      </c>
      <c r="AG211" s="285" t="s">
        <v>1</v>
      </c>
      <c r="AH211" s="286" t="s">
        <v>1</v>
      </c>
      <c r="AI211" s="295" t="s">
        <v>1</v>
      </c>
      <c r="AJ211" s="295" t="s">
        <v>1</v>
      </c>
      <c r="AK211" s="295" t="s">
        <v>1</v>
      </c>
      <c r="AL211" s="302" t="s">
        <v>1</v>
      </c>
      <c r="AM211" s="303" t="s">
        <v>1</v>
      </c>
      <c r="AN211" s="287" t="s">
        <v>1</v>
      </c>
      <c r="AO211" s="287" t="s">
        <v>1</v>
      </c>
      <c r="AP211" s="286" t="s">
        <v>1</v>
      </c>
      <c r="AQ211" s="285" t="s">
        <v>1</v>
      </c>
      <c r="AR211" s="289" t="s">
        <v>1</v>
      </c>
      <c r="AS211" s="289" t="s">
        <v>1</v>
      </c>
      <c r="AT211" s="290" t="s">
        <v>1</v>
      </c>
      <c r="AU211" s="287" t="s">
        <v>1</v>
      </c>
      <c r="AV211" s="287" t="s">
        <v>1</v>
      </c>
      <c r="AW211" s="291" t="s">
        <v>1</v>
      </c>
    </row>
    <row r="212" spans="1:49" ht="30.15" customHeight="1" x14ac:dyDescent="0.25">
      <c r="A212" s="213" t="s">
        <v>18</v>
      </c>
      <c r="B212" s="189" t="s">
        <v>1</v>
      </c>
      <c r="C212" s="212" t="s">
        <v>34</v>
      </c>
      <c r="D212" s="190" t="s">
        <v>3</v>
      </c>
      <c r="E212" s="190" t="s">
        <v>171</v>
      </c>
      <c r="F212" s="203"/>
      <c r="G212" s="190" t="s">
        <v>182</v>
      </c>
      <c r="H212" s="192" t="s">
        <v>409</v>
      </c>
      <c r="I212" s="193">
        <v>399</v>
      </c>
      <c r="J212" s="193">
        <v>399</v>
      </c>
      <c r="K212" s="193">
        <v>399</v>
      </c>
      <c r="L212" s="193">
        <v>430</v>
      </c>
      <c r="M212" s="194">
        <v>430</v>
      </c>
      <c r="N212" s="284">
        <v>86</v>
      </c>
      <c r="O212" s="285">
        <v>2.92</v>
      </c>
      <c r="P212" s="285">
        <v>24</v>
      </c>
      <c r="Q212" s="285" t="s">
        <v>1</v>
      </c>
      <c r="R212" s="285" t="s">
        <v>1</v>
      </c>
      <c r="S212" s="286">
        <v>86</v>
      </c>
      <c r="T212" s="285">
        <v>2.92</v>
      </c>
      <c r="U212" s="285">
        <v>24</v>
      </c>
      <c r="V212" s="285" t="s">
        <v>1</v>
      </c>
      <c r="W212" s="285" t="s">
        <v>1</v>
      </c>
      <c r="X212" s="286">
        <v>86</v>
      </c>
      <c r="Y212" s="285">
        <v>17.920000000000002</v>
      </c>
      <c r="Z212" s="285">
        <v>24</v>
      </c>
      <c r="AA212" s="285" t="s">
        <v>1</v>
      </c>
      <c r="AB212" s="285" t="s">
        <v>1</v>
      </c>
      <c r="AC212" s="286">
        <v>86</v>
      </c>
      <c r="AD212" s="285">
        <v>17.920000000000002</v>
      </c>
      <c r="AE212" s="285">
        <v>24</v>
      </c>
      <c r="AF212" s="285" t="s">
        <v>1</v>
      </c>
      <c r="AG212" s="285" t="s">
        <v>1</v>
      </c>
      <c r="AH212" s="286" t="s">
        <v>1</v>
      </c>
      <c r="AI212" s="295" t="s">
        <v>1</v>
      </c>
      <c r="AJ212" s="295" t="s">
        <v>1</v>
      </c>
      <c r="AK212" s="295" t="s">
        <v>1</v>
      </c>
      <c r="AL212" s="302" t="s">
        <v>1</v>
      </c>
      <c r="AM212" s="303" t="s">
        <v>1</v>
      </c>
      <c r="AN212" s="287" t="s">
        <v>1</v>
      </c>
      <c r="AO212" s="287" t="s">
        <v>1</v>
      </c>
      <c r="AP212" s="286" t="s">
        <v>1</v>
      </c>
      <c r="AQ212" s="285" t="s">
        <v>1</v>
      </c>
      <c r="AR212" s="289" t="s">
        <v>1</v>
      </c>
      <c r="AS212" s="289" t="s">
        <v>1</v>
      </c>
      <c r="AT212" s="290" t="s">
        <v>1</v>
      </c>
      <c r="AU212" s="287" t="s">
        <v>1</v>
      </c>
      <c r="AV212" s="287" t="s">
        <v>1</v>
      </c>
      <c r="AW212" s="291" t="s">
        <v>1</v>
      </c>
    </row>
    <row r="213" spans="1:49" ht="30.15" customHeight="1" x14ac:dyDescent="0.25">
      <c r="A213" s="213" t="s">
        <v>18</v>
      </c>
      <c r="B213" s="189" t="s">
        <v>1</v>
      </c>
      <c r="C213" s="212" t="s">
        <v>34</v>
      </c>
      <c r="D213" s="190" t="s">
        <v>3</v>
      </c>
      <c r="E213" s="190" t="s">
        <v>186</v>
      </c>
      <c r="F213" s="203"/>
      <c r="G213" s="190" t="s">
        <v>162</v>
      </c>
      <c r="H213" s="192" t="s">
        <v>409</v>
      </c>
      <c r="I213" s="193">
        <v>525</v>
      </c>
      <c r="J213" s="193">
        <v>532</v>
      </c>
      <c r="K213" s="193">
        <v>532</v>
      </c>
      <c r="L213" s="193">
        <v>560</v>
      </c>
      <c r="M213" s="194">
        <v>560</v>
      </c>
      <c r="N213" s="284">
        <v>112</v>
      </c>
      <c r="O213" s="285">
        <v>2.92</v>
      </c>
      <c r="P213" s="285">
        <v>24</v>
      </c>
      <c r="Q213" s="285" t="s">
        <v>1</v>
      </c>
      <c r="R213" s="285" t="s">
        <v>1</v>
      </c>
      <c r="S213" s="286">
        <v>112</v>
      </c>
      <c r="T213" s="285">
        <v>2.92</v>
      </c>
      <c r="U213" s="285">
        <v>24</v>
      </c>
      <c r="V213" s="285" t="s">
        <v>1</v>
      </c>
      <c r="W213" s="285" t="s">
        <v>1</v>
      </c>
      <c r="X213" s="286">
        <v>112</v>
      </c>
      <c r="Y213" s="285">
        <v>17.920000000000002</v>
      </c>
      <c r="Z213" s="285">
        <v>24</v>
      </c>
      <c r="AA213" s="285" t="s">
        <v>1</v>
      </c>
      <c r="AB213" s="285" t="s">
        <v>1</v>
      </c>
      <c r="AC213" s="286">
        <v>112</v>
      </c>
      <c r="AD213" s="285">
        <v>17.920000000000002</v>
      </c>
      <c r="AE213" s="285">
        <v>24</v>
      </c>
      <c r="AF213" s="285" t="s">
        <v>1</v>
      </c>
      <c r="AG213" s="285" t="s">
        <v>1</v>
      </c>
      <c r="AH213" s="286" t="s">
        <v>1</v>
      </c>
      <c r="AI213" s="295" t="s">
        <v>1</v>
      </c>
      <c r="AJ213" s="295" t="s">
        <v>1</v>
      </c>
      <c r="AK213" s="295" t="s">
        <v>1</v>
      </c>
      <c r="AL213" s="302" t="s">
        <v>1</v>
      </c>
      <c r="AM213" s="303" t="s">
        <v>1</v>
      </c>
      <c r="AN213" s="287" t="s">
        <v>1</v>
      </c>
      <c r="AO213" s="287" t="s">
        <v>1</v>
      </c>
      <c r="AP213" s="286" t="s">
        <v>1</v>
      </c>
      <c r="AQ213" s="285" t="s">
        <v>1</v>
      </c>
      <c r="AR213" s="289" t="s">
        <v>1</v>
      </c>
      <c r="AS213" s="289" t="s">
        <v>1</v>
      </c>
      <c r="AT213" s="290" t="s">
        <v>1</v>
      </c>
      <c r="AU213" s="287" t="s">
        <v>1</v>
      </c>
      <c r="AV213" s="287" t="s">
        <v>1</v>
      </c>
      <c r="AW213" s="291" t="s">
        <v>1</v>
      </c>
    </row>
    <row r="214" spans="1:49" ht="30.15" customHeight="1" x14ac:dyDescent="0.25">
      <c r="A214" s="213" t="s">
        <v>18</v>
      </c>
      <c r="B214" s="189" t="s">
        <v>1</v>
      </c>
      <c r="C214" s="212" t="s">
        <v>34</v>
      </c>
      <c r="D214" s="190" t="s">
        <v>3</v>
      </c>
      <c r="E214" s="190" t="s">
        <v>201</v>
      </c>
      <c r="F214" s="203"/>
      <c r="G214" s="190" t="s">
        <v>162</v>
      </c>
      <c r="H214" s="192" t="s">
        <v>409</v>
      </c>
      <c r="I214" s="193">
        <v>525</v>
      </c>
      <c r="J214" s="193">
        <v>532</v>
      </c>
      <c r="K214" s="193">
        <v>532</v>
      </c>
      <c r="L214" s="193">
        <v>560</v>
      </c>
      <c r="M214" s="194">
        <v>560</v>
      </c>
      <c r="N214" s="284">
        <v>112</v>
      </c>
      <c r="O214" s="285">
        <v>2.92</v>
      </c>
      <c r="P214" s="285">
        <v>24</v>
      </c>
      <c r="Q214" s="285" t="s">
        <v>1</v>
      </c>
      <c r="R214" s="285" t="s">
        <v>1</v>
      </c>
      <c r="S214" s="286">
        <v>112</v>
      </c>
      <c r="T214" s="285">
        <v>2.92</v>
      </c>
      <c r="U214" s="285">
        <v>24</v>
      </c>
      <c r="V214" s="285" t="s">
        <v>1</v>
      </c>
      <c r="W214" s="285" t="s">
        <v>1</v>
      </c>
      <c r="X214" s="286">
        <v>112</v>
      </c>
      <c r="Y214" s="285">
        <v>17.920000000000002</v>
      </c>
      <c r="Z214" s="285">
        <v>24</v>
      </c>
      <c r="AA214" s="285" t="s">
        <v>1</v>
      </c>
      <c r="AB214" s="285" t="s">
        <v>1</v>
      </c>
      <c r="AC214" s="286">
        <v>112</v>
      </c>
      <c r="AD214" s="285">
        <v>17.920000000000002</v>
      </c>
      <c r="AE214" s="285">
        <v>24</v>
      </c>
      <c r="AF214" s="285" t="s">
        <v>1</v>
      </c>
      <c r="AG214" s="285" t="s">
        <v>1</v>
      </c>
      <c r="AH214" s="286" t="s">
        <v>1</v>
      </c>
      <c r="AI214" s="295" t="s">
        <v>1</v>
      </c>
      <c r="AJ214" s="295" t="s">
        <v>1</v>
      </c>
      <c r="AK214" s="295" t="s">
        <v>1</v>
      </c>
      <c r="AL214" s="302" t="s">
        <v>1</v>
      </c>
      <c r="AM214" s="303" t="s">
        <v>1</v>
      </c>
      <c r="AN214" s="287" t="s">
        <v>1</v>
      </c>
      <c r="AO214" s="287" t="s">
        <v>1</v>
      </c>
      <c r="AP214" s="286" t="s">
        <v>1</v>
      </c>
      <c r="AQ214" s="285" t="s">
        <v>1</v>
      </c>
      <c r="AR214" s="289" t="s">
        <v>1</v>
      </c>
      <c r="AS214" s="289" t="s">
        <v>1</v>
      </c>
      <c r="AT214" s="290" t="s">
        <v>1</v>
      </c>
      <c r="AU214" s="287" t="s">
        <v>1</v>
      </c>
      <c r="AV214" s="287" t="s">
        <v>1</v>
      </c>
      <c r="AW214" s="291" t="s">
        <v>1</v>
      </c>
    </row>
    <row r="215" spans="1:49" ht="30.15" customHeight="1" x14ac:dyDescent="0.25">
      <c r="A215" s="213" t="s">
        <v>18</v>
      </c>
      <c r="B215" s="189" t="s">
        <v>1</v>
      </c>
      <c r="C215" s="212" t="s">
        <v>34</v>
      </c>
      <c r="D215" s="190" t="s">
        <v>3</v>
      </c>
      <c r="E215" s="190" t="s">
        <v>163</v>
      </c>
      <c r="F215" s="203"/>
      <c r="G215" s="190" t="s">
        <v>162</v>
      </c>
      <c r="H215" s="192" t="s">
        <v>409</v>
      </c>
      <c r="I215" s="193">
        <v>525</v>
      </c>
      <c r="J215" s="193">
        <v>532</v>
      </c>
      <c r="K215" s="193">
        <v>532</v>
      </c>
      <c r="L215" s="193">
        <v>560</v>
      </c>
      <c r="M215" s="194">
        <v>560</v>
      </c>
      <c r="N215" s="284">
        <v>112</v>
      </c>
      <c r="O215" s="285">
        <v>2.92</v>
      </c>
      <c r="P215" s="285">
        <v>24</v>
      </c>
      <c r="Q215" s="285" t="s">
        <v>1</v>
      </c>
      <c r="R215" s="285" t="s">
        <v>1</v>
      </c>
      <c r="S215" s="286">
        <v>112</v>
      </c>
      <c r="T215" s="285">
        <v>2.92</v>
      </c>
      <c r="U215" s="285">
        <v>24</v>
      </c>
      <c r="V215" s="285" t="s">
        <v>1</v>
      </c>
      <c r="W215" s="285" t="s">
        <v>1</v>
      </c>
      <c r="X215" s="286">
        <v>112</v>
      </c>
      <c r="Y215" s="285">
        <v>17.920000000000002</v>
      </c>
      <c r="Z215" s="285">
        <v>24</v>
      </c>
      <c r="AA215" s="285" t="s">
        <v>1</v>
      </c>
      <c r="AB215" s="285" t="s">
        <v>1</v>
      </c>
      <c r="AC215" s="286">
        <v>112</v>
      </c>
      <c r="AD215" s="285">
        <v>17.920000000000002</v>
      </c>
      <c r="AE215" s="285">
        <v>24</v>
      </c>
      <c r="AF215" s="285" t="s">
        <v>1</v>
      </c>
      <c r="AG215" s="285" t="s">
        <v>1</v>
      </c>
      <c r="AH215" s="286" t="s">
        <v>1</v>
      </c>
      <c r="AI215" s="295" t="s">
        <v>1</v>
      </c>
      <c r="AJ215" s="295" t="s">
        <v>1</v>
      </c>
      <c r="AK215" s="295" t="s">
        <v>1</v>
      </c>
      <c r="AL215" s="302" t="s">
        <v>1</v>
      </c>
      <c r="AM215" s="303" t="s">
        <v>1</v>
      </c>
      <c r="AN215" s="287" t="s">
        <v>1</v>
      </c>
      <c r="AO215" s="287" t="s">
        <v>1</v>
      </c>
      <c r="AP215" s="286" t="s">
        <v>1</v>
      </c>
      <c r="AQ215" s="285" t="s">
        <v>1</v>
      </c>
      <c r="AR215" s="289" t="s">
        <v>1</v>
      </c>
      <c r="AS215" s="289" t="s">
        <v>1</v>
      </c>
      <c r="AT215" s="290" t="s">
        <v>1</v>
      </c>
      <c r="AU215" s="287" t="s">
        <v>1</v>
      </c>
      <c r="AV215" s="287" t="s">
        <v>1</v>
      </c>
      <c r="AW215" s="291" t="s">
        <v>1</v>
      </c>
    </row>
    <row r="216" spans="1:49" ht="30.15" customHeight="1" x14ac:dyDescent="0.25">
      <c r="A216" s="213" t="s">
        <v>18</v>
      </c>
      <c r="B216" s="189" t="s">
        <v>1</v>
      </c>
      <c r="C216" s="212" t="s">
        <v>34</v>
      </c>
      <c r="D216" s="190" t="s">
        <v>3</v>
      </c>
      <c r="E216" s="190" t="s">
        <v>164</v>
      </c>
      <c r="F216" s="203"/>
      <c r="G216" s="190" t="s">
        <v>162</v>
      </c>
      <c r="H216" s="192" t="s">
        <v>409</v>
      </c>
      <c r="I216" s="193">
        <v>525</v>
      </c>
      <c r="J216" s="193">
        <v>532</v>
      </c>
      <c r="K216" s="193">
        <v>532</v>
      </c>
      <c r="L216" s="193">
        <v>560</v>
      </c>
      <c r="M216" s="194">
        <v>560</v>
      </c>
      <c r="N216" s="284">
        <v>112</v>
      </c>
      <c r="O216" s="285">
        <v>2.92</v>
      </c>
      <c r="P216" s="285">
        <v>24</v>
      </c>
      <c r="Q216" s="285" t="s">
        <v>1</v>
      </c>
      <c r="R216" s="285" t="s">
        <v>1</v>
      </c>
      <c r="S216" s="286">
        <v>112</v>
      </c>
      <c r="T216" s="285">
        <v>2.92</v>
      </c>
      <c r="U216" s="285">
        <v>24</v>
      </c>
      <c r="V216" s="285" t="s">
        <v>1</v>
      </c>
      <c r="W216" s="285" t="s">
        <v>1</v>
      </c>
      <c r="X216" s="286">
        <v>112</v>
      </c>
      <c r="Y216" s="285">
        <v>17.920000000000002</v>
      </c>
      <c r="Z216" s="285">
        <v>24</v>
      </c>
      <c r="AA216" s="285" t="s">
        <v>1</v>
      </c>
      <c r="AB216" s="285" t="s">
        <v>1</v>
      </c>
      <c r="AC216" s="286">
        <v>112</v>
      </c>
      <c r="AD216" s="285">
        <v>17.920000000000002</v>
      </c>
      <c r="AE216" s="285">
        <v>24</v>
      </c>
      <c r="AF216" s="285" t="s">
        <v>1</v>
      </c>
      <c r="AG216" s="285" t="s">
        <v>1</v>
      </c>
      <c r="AH216" s="286" t="s">
        <v>1</v>
      </c>
      <c r="AI216" s="295" t="s">
        <v>1</v>
      </c>
      <c r="AJ216" s="295" t="s">
        <v>1</v>
      </c>
      <c r="AK216" s="295" t="s">
        <v>1</v>
      </c>
      <c r="AL216" s="302" t="s">
        <v>1</v>
      </c>
      <c r="AM216" s="303" t="s">
        <v>1</v>
      </c>
      <c r="AN216" s="287" t="s">
        <v>1</v>
      </c>
      <c r="AO216" s="287" t="s">
        <v>1</v>
      </c>
      <c r="AP216" s="286" t="s">
        <v>1</v>
      </c>
      <c r="AQ216" s="285" t="s">
        <v>1</v>
      </c>
      <c r="AR216" s="289" t="s">
        <v>1</v>
      </c>
      <c r="AS216" s="289" t="s">
        <v>1</v>
      </c>
      <c r="AT216" s="290" t="s">
        <v>1</v>
      </c>
      <c r="AU216" s="287" t="s">
        <v>1</v>
      </c>
      <c r="AV216" s="287" t="s">
        <v>1</v>
      </c>
      <c r="AW216" s="291" t="s">
        <v>1</v>
      </c>
    </row>
    <row r="217" spans="1:49" ht="30.15" customHeight="1" x14ac:dyDescent="0.25">
      <c r="A217" s="213" t="s">
        <v>18</v>
      </c>
      <c r="B217" s="189" t="s">
        <v>1</v>
      </c>
      <c r="C217" s="212" t="s">
        <v>34</v>
      </c>
      <c r="D217" s="190" t="s">
        <v>3</v>
      </c>
      <c r="E217" s="190" t="s">
        <v>188</v>
      </c>
      <c r="F217" s="203"/>
      <c r="G217" s="190" t="s">
        <v>184</v>
      </c>
      <c r="H217" s="192" t="s">
        <v>409</v>
      </c>
      <c r="I217" s="193">
        <v>749</v>
      </c>
      <c r="J217" s="193">
        <v>749</v>
      </c>
      <c r="K217" s="193">
        <v>749</v>
      </c>
      <c r="L217" s="193">
        <v>710</v>
      </c>
      <c r="M217" s="194">
        <v>710</v>
      </c>
      <c r="N217" s="284">
        <v>142</v>
      </c>
      <c r="O217" s="285">
        <v>2.92</v>
      </c>
      <c r="P217" s="285">
        <v>24</v>
      </c>
      <c r="Q217" s="285" t="s">
        <v>1</v>
      </c>
      <c r="R217" s="285" t="s">
        <v>1</v>
      </c>
      <c r="S217" s="286">
        <v>142</v>
      </c>
      <c r="T217" s="285">
        <v>2.92</v>
      </c>
      <c r="U217" s="285">
        <v>24</v>
      </c>
      <c r="V217" s="285" t="s">
        <v>1</v>
      </c>
      <c r="W217" s="285" t="s">
        <v>1</v>
      </c>
      <c r="X217" s="286">
        <v>142</v>
      </c>
      <c r="Y217" s="285">
        <v>2.92</v>
      </c>
      <c r="Z217" s="285">
        <v>24</v>
      </c>
      <c r="AA217" s="285" t="s">
        <v>1</v>
      </c>
      <c r="AB217" s="285" t="s">
        <v>1</v>
      </c>
      <c r="AC217" s="286">
        <v>142</v>
      </c>
      <c r="AD217" s="285">
        <v>2.92</v>
      </c>
      <c r="AE217" s="285">
        <v>24</v>
      </c>
      <c r="AF217" s="285" t="s">
        <v>1</v>
      </c>
      <c r="AG217" s="285" t="s">
        <v>1</v>
      </c>
      <c r="AH217" s="286" t="s">
        <v>1</v>
      </c>
      <c r="AI217" s="295" t="s">
        <v>1</v>
      </c>
      <c r="AJ217" s="295" t="s">
        <v>1</v>
      </c>
      <c r="AK217" s="295" t="s">
        <v>1</v>
      </c>
      <c r="AL217" s="302" t="s">
        <v>1</v>
      </c>
      <c r="AM217" s="303" t="s">
        <v>1</v>
      </c>
      <c r="AN217" s="287" t="s">
        <v>1</v>
      </c>
      <c r="AO217" s="287" t="s">
        <v>1</v>
      </c>
      <c r="AP217" s="286" t="s">
        <v>1</v>
      </c>
      <c r="AQ217" s="285" t="s">
        <v>1</v>
      </c>
      <c r="AR217" s="289" t="s">
        <v>1</v>
      </c>
      <c r="AS217" s="289" t="s">
        <v>1</v>
      </c>
      <c r="AT217" s="290" t="s">
        <v>1</v>
      </c>
      <c r="AU217" s="287" t="s">
        <v>1</v>
      </c>
      <c r="AV217" s="287" t="s">
        <v>1</v>
      </c>
      <c r="AW217" s="291" t="s">
        <v>1</v>
      </c>
    </row>
    <row r="218" spans="1:49" ht="30.15" customHeight="1" x14ac:dyDescent="0.25">
      <c r="A218" s="213" t="s">
        <v>18</v>
      </c>
      <c r="B218" s="189" t="s">
        <v>1</v>
      </c>
      <c r="C218" s="212" t="s">
        <v>34</v>
      </c>
      <c r="D218" s="190" t="s">
        <v>3</v>
      </c>
      <c r="E218" s="190" t="s">
        <v>176</v>
      </c>
      <c r="F218" s="203"/>
      <c r="G218" s="190" t="s">
        <v>184</v>
      </c>
      <c r="H218" s="192" t="s">
        <v>409</v>
      </c>
      <c r="I218" s="193">
        <v>749</v>
      </c>
      <c r="J218" s="193">
        <v>749</v>
      </c>
      <c r="K218" s="193">
        <v>749</v>
      </c>
      <c r="L218" s="193">
        <v>710</v>
      </c>
      <c r="M218" s="194">
        <v>710</v>
      </c>
      <c r="N218" s="284">
        <v>142</v>
      </c>
      <c r="O218" s="285">
        <v>2.92</v>
      </c>
      <c r="P218" s="285">
        <v>24</v>
      </c>
      <c r="Q218" s="285" t="s">
        <v>1</v>
      </c>
      <c r="R218" s="285" t="s">
        <v>1</v>
      </c>
      <c r="S218" s="286">
        <v>142</v>
      </c>
      <c r="T218" s="285">
        <v>2.92</v>
      </c>
      <c r="U218" s="285">
        <v>24</v>
      </c>
      <c r="V218" s="285" t="s">
        <v>1</v>
      </c>
      <c r="W218" s="285" t="s">
        <v>1</v>
      </c>
      <c r="X218" s="286">
        <v>142</v>
      </c>
      <c r="Y218" s="285">
        <v>2.92</v>
      </c>
      <c r="Z218" s="285">
        <v>24</v>
      </c>
      <c r="AA218" s="285" t="s">
        <v>1</v>
      </c>
      <c r="AB218" s="285" t="s">
        <v>1</v>
      </c>
      <c r="AC218" s="286">
        <v>142</v>
      </c>
      <c r="AD218" s="285">
        <v>2.92</v>
      </c>
      <c r="AE218" s="285">
        <v>24</v>
      </c>
      <c r="AF218" s="285" t="s">
        <v>1</v>
      </c>
      <c r="AG218" s="285" t="s">
        <v>1</v>
      </c>
      <c r="AH218" s="286" t="s">
        <v>1</v>
      </c>
      <c r="AI218" s="295" t="s">
        <v>1</v>
      </c>
      <c r="AJ218" s="295" t="s">
        <v>1</v>
      </c>
      <c r="AK218" s="295" t="s">
        <v>1</v>
      </c>
      <c r="AL218" s="302" t="s">
        <v>1</v>
      </c>
      <c r="AM218" s="303" t="s">
        <v>1</v>
      </c>
      <c r="AN218" s="287" t="s">
        <v>1</v>
      </c>
      <c r="AO218" s="287" t="s">
        <v>1</v>
      </c>
      <c r="AP218" s="286" t="s">
        <v>1</v>
      </c>
      <c r="AQ218" s="285" t="s">
        <v>1</v>
      </c>
      <c r="AR218" s="289" t="s">
        <v>1</v>
      </c>
      <c r="AS218" s="289" t="s">
        <v>1</v>
      </c>
      <c r="AT218" s="290" t="s">
        <v>1</v>
      </c>
      <c r="AU218" s="287" t="s">
        <v>1</v>
      </c>
      <c r="AV218" s="287" t="s">
        <v>1</v>
      </c>
      <c r="AW218" s="291" t="s">
        <v>1</v>
      </c>
    </row>
    <row r="219" spans="1:49" ht="30.15" customHeight="1" x14ac:dyDescent="0.25">
      <c r="A219" s="213" t="s">
        <v>18</v>
      </c>
      <c r="B219" s="189" t="s">
        <v>1</v>
      </c>
      <c r="C219" s="212" t="s">
        <v>34</v>
      </c>
      <c r="D219" s="190" t="s">
        <v>3</v>
      </c>
      <c r="E219" s="190" t="s">
        <v>320</v>
      </c>
      <c r="F219" s="203"/>
      <c r="G219" s="190" t="s">
        <v>184</v>
      </c>
      <c r="H219" s="192" t="s">
        <v>409</v>
      </c>
      <c r="I219" s="193">
        <v>749</v>
      </c>
      <c r="J219" s="193">
        <v>749</v>
      </c>
      <c r="K219" s="193">
        <v>749</v>
      </c>
      <c r="L219" s="193">
        <v>710</v>
      </c>
      <c r="M219" s="194">
        <v>710</v>
      </c>
      <c r="N219" s="284">
        <v>142</v>
      </c>
      <c r="O219" s="285">
        <v>2.92</v>
      </c>
      <c r="P219" s="285">
        <v>24</v>
      </c>
      <c r="Q219" s="285" t="s">
        <v>1</v>
      </c>
      <c r="R219" s="285" t="s">
        <v>1</v>
      </c>
      <c r="S219" s="286">
        <v>142</v>
      </c>
      <c r="T219" s="285">
        <v>2.92</v>
      </c>
      <c r="U219" s="285">
        <v>24</v>
      </c>
      <c r="V219" s="285" t="s">
        <v>1</v>
      </c>
      <c r="W219" s="285" t="s">
        <v>1</v>
      </c>
      <c r="X219" s="286">
        <v>142</v>
      </c>
      <c r="Y219" s="285">
        <v>2.92</v>
      </c>
      <c r="Z219" s="285">
        <v>24</v>
      </c>
      <c r="AA219" s="285" t="s">
        <v>1</v>
      </c>
      <c r="AB219" s="285" t="s">
        <v>1</v>
      </c>
      <c r="AC219" s="286">
        <v>142</v>
      </c>
      <c r="AD219" s="285">
        <v>2.92</v>
      </c>
      <c r="AE219" s="285">
        <v>24</v>
      </c>
      <c r="AF219" s="285" t="s">
        <v>1</v>
      </c>
      <c r="AG219" s="285" t="s">
        <v>1</v>
      </c>
      <c r="AH219" s="286" t="s">
        <v>1</v>
      </c>
      <c r="AI219" s="295" t="s">
        <v>1</v>
      </c>
      <c r="AJ219" s="295" t="s">
        <v>1</v>
      </c>
      <c r="AK219" s="295" t="s">
        <v>1</v>
      </c>
      <c r="AL219" s="302" t="s">
        <v>1</v>
      </c>
      <c r="AM219" s="303" t="s">
        <v>1</v>
      </c>
      <c r="AN219" s="287" t="s">
        <v>1</v>
      </c>
      <c r="AO219" s="287" t="s">
        <v>1</v>
      </c>
      <c r="AP219" s="286" t="s">
        <v>1</v>
      </c>
      <c r="AQ219" s="285" t="s">
        <v>1</v>
      </c>
      <c r="AR219" s="289" t="s">
        <v>1</v>
      </c>
      <c r="AS219" s="289" t="s">
        <v>1</v>
      </c>
      <c r="AT219" s="290" t="s">
        <v>1</v>
      </c>
      <c r="AU219" s="287" t="s">
        <v>1</v>
      </c>
      <c r="AV219" s="287" t="s">
        <v>1</v>
      </c>
      <c r="AW219" s="291" t="s">
        <v>1</v>
      </c>
    </row>
    <row r="220" spans="1:49" ht="30.15" customHeight="1" x14ac:dyDescent="0.25">
      <c r="A220" s="213" t="s">
        <v>18</v>
      </c>
      <c r="B220" s="189" t="s">
        <v>1</v>
      </c>
      <c r="C220" s="212" t="s">
        <v>34</v>
      </c>
      <c r="D220" s="190" t="s">
        <v>3</v>
      </c>
      <c r="E220" s="190" t="s">
        <v>177</v>
      </c>
      <c r="F220" s="203"/>
      <c r="G220" s="190" t="s">
        <v>184</v>
      </c>
      <c r="H220" s="192" t="s">
        <v>409</v>
      </c>
      <c r="I220" s="193">
        <v>749</v>
      </c>
      <c r="J220" s="193">
        <v>749</v>
      </c>
      <c r="K220" s="193">
        <v>749</v>
      </c>
      <c r="L220" s="193">
        <v>710</v>
      </c>
      <c r="M220" s="194">
        <v>710</v>
      </c>
      <c r="N220" s="284">
        <v>142</v>
      </c>
      <c r="O220" s="285">
        <v>2.92</v>
      </c>
      <c r="P220" s="285">
        <v>24</v>
      </c>
      <c r="Q220" s="285" t="s">
        <v>1</v>
      </c>
      <c r="R220" s="285" t="s">
        <v>1</v>
      </c>
      <c r="S220" s="286">
        <v>142</v>
      </c>
      <c r="T220" s="285">
        <v>2.92</v>
      </c>
      <c r="U220" s="285">
        <v>24</v>
      </c>
      <c r="V220" s="285" t="s">
        <v>1</v>
      </c>
      <c r="W220" s="285" t="s">
        <v>1</v>
      </c>
      <c r="X220" s="286">
        <v>142</v>
      </c>
      <c r="Y220" s="285">
        <v>2.92</v>
      </c>
      <c r="Z220" s="285">
        <v>24</v>
      </c>
      <c r="AA220" s="285" t="s">
        <v>1</v>
      </c>
      <c r="AB220" s="285" t="s">
        <v>1</v>
      </c>
      <c r="AC220" s="286">
        <v>142</v>
      </c>
      <c r="AD220" s="285">
        <v>2.92</v>
      </c>
      <c r="AE220" s="285">
        <v>24</v>
      </c>
      <c r="AF220" s="285" t="s">
        <v>1</v>
      </c>
      <c r="AG220" s="285" t="s">
        <v>1</v>
      </c>
      <c r="AH220" s="286" t="s">
        <v>1</v>
      </c>
      <c r="AI220" s="295" t="s">
        <v>1</v>
      </c>
      <c r="AJ220" s="295" t="s">
        <v>1</v>
      </c>
      <c r="AK220" s="295" t="s">
        <v>1</v>
      </c>
      <c r="AL220" s="302" t="s">
        <v>1</v>
      </c>
      <c r="AM220" s="303" t="s">
        <v>1</v>
      </c>
      <c r="AN220" s="287" t="s">
        <v>1</v>
      </c>
      <c r="AO220" s="287" t="s">
        <v>1</v>
      </c>
      <c r="AP220" s="286" t="s">
        <v>1</v>
      </c>
      <c r="AQ220" s="285" t="s">
        <v>1</v>
      </c>
      <c r="AR220" s="289" t="s">
        <v>1</v>
      </c>
      <c r="AS220" s="289" t="s">
        <v>1</v>
      </c>
      <c r="AT220" s="290" t="s">
        <v>1</v>
      </c>
      <c r="AU220" s="287" t="s">
        <v>1</v>
      </c>
      <c r="AV220" s="287" t="s">
        <v>1</v>
      </c>
      <c r="AW220" s="291" t="s">
        <v>1</v>
      </c>
    </row>
    <row r="221" spans="1:49" ht="30.15" customHeight="1" x14ac:dyDescent="0.25">
      <c r="A221" s="213" t="s">
        <v>18</v>
      </c>
      <c r="B221" s="189" t="s">
        <v>1</v>
      </c>
      <c r="C221" s="212" t="s">
        <v>34</v>
      </c>
      <c r="D221" s="190" t="s">
        <v>3</v>
      </c>
      <c r="E221" s="190" t="s">
        <v>178</v>
      </c>
      <c r="F221" s="203"/>
      <c r="G221" s="190" t="s">
        <v>184</v>
      </c>
      <c r="H221" s="192" t="s">
        <v>409</v>
      </c>
      <c r="I221" s="193">
        <v>749</v>
      </c>
      <c r="J221" s="193">
        <v>749</v>
      </c>
      <c r="K221" s="193">
        <v>749</v>
      </c>
      <c r="L221" s="193">
        <v>710</v>
      </c>
      <c r="M221" s="194">
        <v>710</v>
      </c>
      <c r="N221" s="284">
        <v>142</v>
      </c>
      <c r="O221" s="285">
        <v>2.92</v>
      </c>
      <c r="P221" s="285">
        <v>24</v>
      </c>
      <c r="Q221" s="285" t="s">
        <v>1</v>
      </c>
      <c r="R221" s="285" t="s">
        <v>1</v>
      </c>
      <c r="S221" s="286">
        <v>142</v>
      </c>
      <c r="T221" s="285">
        <v>2.92</v>
      </c>
      <c r="U221" s="285">
        <v>24</v>
      </c>
      <c r="V221" s="285" t="s">
        <v>1</v>
      </c>
      <c r="W221" s="285" t="s">
        <v>1</v>
      </c>
      <c r="X221" s="286">
        <v>142</v>
      </c>
      <c r="Y221" s="285">
        <v>2.92</v>
      </c>
      <c r="Z221" s="285">
        <v>24</v>
      </c>
      <c r="AA221" s="285" t="s">
        <v>1</v>
      </c>
      <c r="AB221" s="285" t="s">
        <v>1</v>
      </c>
      <c r="AC221" s="286">
        <v>142</v>
      </c>
      <c r="AD221" s="285">
        <v>2.92</v>
      </c>
      <c r="AE221" s="285">
        <v>24</v>
      </c>
      <c r="AF221" s="285" t="s">
        <v>1</v>
      </c>
      <c r="AG221" s="285" t="s">
        <v>1</v>
      </c>
      <c r="AH221" s="286" t="s">
        <v>1</v>
      </c>
      <c r="AI221" s="295" t="s">
        <v>1</v>
      </c>
      <c r="AJ221" s="295" t="s">
        <v>1</v>
      </c>
      <c r="AK221" s="295" t="s">
        <v>1</v>
      </c>
      <c r="AL221" s="302" t="s">
        <v>1</v>
      </c>
      <c r="AM221" s="303" t="s">
        <v>1</v>
      </c>
      <c r="AN221" s="287" t="s">
        <v>1</v>
      </c>
      <c r="AO221" s="287" t="s">
        <v>1</v>
      </c>
      <c r="AP221" s="286" t="s">
        <v>1</v>
      </c>
      <c r="AQ221" s="285" t="s">
        <v>1</v>
      </c>
      <c r="AR221" s="289" t="s">
        <v>1</v>
      </c>
      <c r="AS221" s="289" t="s">
        <v>1</v>
      </c>
      <c r="AT221" s="290" t="s">
        <v>1</v>
      </c>
      <c r="AU221" s="287" t="s">
        <v>1</v>
      </c>
      <c r="AV221" s="287" t="s">
        <v>1</v>
      </c>
      <c r="AW221" s="291" t="s">
        <v>1</v>
      </c>
    </row>
    <row r="222" spans="1:49" ht="30.15" customHeight="1" x14ac:dyDescent="0.25">
      <c r="A222" s="213" t="s">
        <v>18</v>
      </c>
      <c r="B222" s="189" t="s">
        <v>1</v>
      </c>
      <c r="C222" s="212" t="s">
        <v>34</v>
      </c>
      <c r="D222" s="190" t="s">
        <v>3</v>
      </c>
      <c r="E222" s="190" t="s">
        <v>189</v>
      </c>
      <c r="F222" s="203"/>
      <c r="G222" s="190" t="s">
        <v>166</v>
      </c>
      <c r="H222" s="192" t="s">
        <v>409</v>
      </c>
      <c r="I222" s="193">
        <v>659</v>
      </c>
      <c r="J222" s="193">
        <v>675</v>
      </c>
      <c r="K222" s="193">
        <v>675</v>
      </c>
      <c r="L222" s="193">
        <v>710</v>
      </c>
      <c r="M222" s="194">
        <v>710</v>
      </c>
      <c r="N222" s="284">
        <v>142</v>
      </c>
      <c r="O222" s="285">
        <v>2.92</v>
      </c>
      <c r="P222" s="285">
        <v>24</v>
      </c>
      <c r="Q222" s="285" t="s">
        <v>1</v>
      </c>
      <c r="R222" s="285" t="s">
        <v>1</v>
      </c>
      <c r="S222" s="286">
        <v>142</v>
      </c>
      <c r="T222" s="285">
        <v>2.92</v>
      </c>
      <c r="U222" s="285">
        <v>24</v>
      </c>
      <c r="V222" s="285" t="s">
        <v>1</v>
      </c>
      <c r="W222" s="285" t="s">
        <v>1</v>
      </c>
      <c r="X222" s="286">
        <v>142</v>
      </c>
      <c r="Y222" s="285">
        <v>2.92</v>
      </c>
      <c r="Z222" s="285">
        <v>24</v>
      </c>
      <c r="AA222" s="285" t="s">
        <v>1</v>
      </c>
      <c r="AB222" s="285" t="s">
        <v>1</v>
      </c>
      <c r="AC222" s="286">
        <v>142</v>
      </c>
      <c r="AD222" s="285">
        <v>2.92</v>
      </c>
      <c r="AE222" s="285">
        <v>24</v>
      </c>
      <c r="AF222" s="285" t="s">
        <v>1</v>
      </c>
      <c r="AG222" s="285" t="s">
        <v>1</v>
      </c>
      <c r="AH222" s="286" t="s">
        <v>1</v>
      </c>
      <c r="AI222" s="295" t="s">
        <v>1</v>
      </c>
      <c r="AJ222" s="295" t="s">
        <v>1</v>
      </c>
      <c r="AK222" s="295" t="s">
        <v>1</v>
      </c>
      <c r="AL222" s="302" t="s">
        <v>1</v>
      </c>
      <c r="AM222" s="303" t="s">
        <v>1</v>
      </c>
      <c r="AN222" s="287" t="s">
        <v>1</v>
      </c>
      <c r="AO222" s="287" t="s">
        <v>1</v>
      </c>
      <c r="AP222" s="286" t="s">
        <v>1</v>
      </c>
      <c r="AQ222" s="285" t="s">
        <v>1</v>
      </c>
      <c r="AR222" s="289" t="s">
        <v>1</v>
      </c>
      <c r="AS222" s="289" t="s">
        <v>1</v>
      </c>
      <c r="AT222" s="290" t="s">
        <v>1</v>
      </c>
      <c r="AU222" s="287" t="s">
        <v>1</v>
      </c>
      <c r="AV222" s="287" t="s">
        <v>1</v>
      </c>
      <c r="AW222" s="291" t="s">
        <v>1</v>
      </c>
    </row>
    <row r="223" spans="1:49" ht="30.15" customHeight="1" x14ac:dyDescent="0.25">
      <c r="A223" s="213" t="s">
        <v>18</v>
      </c>
      <c r="B223" s="189" t="s">
        <v>1</v>
      </c>
      <c r="C223" s="212" t="s">
        <v>34</v>
      </c>
      <c r="D223" s="190" t="s">
        <v>3</v>
      </c>
      <c r="E223" s="190" t="s">
        <v>203</v>
      </c>
      <c r="F223" s="203"/>
      <c r="G223" s="190" t="s">
        <v>166</v>
      </c>
      <c r="H223" s="192" t="s">
        <v>409</v>
      </c>
      <c r="I223" s="193">
        <v>659</v>
      </c>
      <c r="J223" s="193">
        <v>675</v>
      </c>
      <c r="K223" s="193">
        <v>675</v>
      </c>
      <c r="L223" s="193">
        <v>710</v>
      </c>
      <c r="M223" s="194">
        <v>710</v>
      </c>
      <c r="N223" s="284">
        <v>142</v>
      </c>
      <c r="O223" s="285">
        <v>2.92</v>
      </c>
      <c r="P223" s="285">
        <v>24</v>
      </c>
      <c r="Q223" s="285" t="s">
        <v>1</v>
      </c>
      <c r="R223" s="285" t="s">
        <v>1</v>
      </c>
      <c r="S223" s="286">
        <v>142</v>
      </c>
      <c r="T223" s="285">
        <v>2.92</v>
      </c>
      <c r="U223" s="285">
        <v>24</v>
      </c>
      <c r="V223" s="285" t="s">
        <v>1</v>
      </c>
      <c r="W223" s="285" t="s">
        <v>1</v>
      </c>
      <c r="X223" s="286">
        <v>142</v>
      </c>
      <c r="Y223" s="285">
        <v>2.92</v>
      </c>
      <c r="Z223" s="285">
        <v>24</v>
      </c>
      <c r="AA223" s="285" t="s">
        <v>1</v>
      </c>
      <c r="AB223" s="285" t="s">
        <v>1</v>
      </c>
      <c r="AC223" s="286">
        <v>142</v>
      </c>
      <c r="AD223" s="285">
        <v>2.92</v>
      </c>
      <c r="AE223" s="285">
        <v>24</v>
      </c>
      <c r="AF223" s="285" t="s">
        <v>1</v>
      </c>
      <c r="AG223" s="285" t="s">
        <v>1</v>
      </c>
      <c r="AH223" s="286" t="s">
        <v>1</v>
      </c>
      <c r="AI223" s="295" t="s">
        <v>1</v>
      </c>
      <c r="AJ223" s="295" t="s">
        <v>1</v>
      </c>
      <c r="AK223" s="295" t="s">
        <v>1</v>
      </c>
      <c r="AL223" s="302" t="s">
        <v>1</v>
      </c>
      <c r="AM223" s="303" t="s">
        <v>1</v>
      </c>
      <c r="AN223" s="287" t="s">
        <v>1</v>
      </c>
      <c r="AO223" s="287" t="s">
        <v>1</v>
      </c>
      <c r="AP223" s="286" t="s">
        <v>1</v>
      </c>
      <c r="AQ223" s="285" t="s">
        <v>1</v>
      </c>
      <c r="AR223" s="289" t="s">
        <v>1</v>
      </c>
      <c r="AS223" s="289" t="s">
        <v>1</v>
      </c>
      <c r="AT223" s="290" t="s">
        <v>1</v>
      </c>
      <c r="AU223" s="287" t="s">
        <v>1</v>
      </c>
      <c r="AV223" s="287" t="s">
        <v>1</v>
      </c>
      <c r="AW223" s="291" t="s">
        <v>1</v>
      </c>
    </row>
    <row r="224" spans="1:49" ht="30.15" customHeight="1" x14ac:dyDescent="0.25">
      <c r="A224" s="213" t="s">
        <v>18</v>
      </c>
      <c r="B224" s="189" t="s">
        <v>1</v>
      </c>
      <c r="C224" s="212" t="s">
        <v>34</v>
      </c>
      <c r="D224" s="190" t="s">
        <v>3</v>
      </c>
      <c r="E224" s="190" t="s">
        <v>167</v>
      </c>
      <c r="F224" s="203"/>
      <c r="G224" s="190" t="s">
        <v>166</v>
      </c>
      <c r="H224" s="192" t="s">
        <v>409</v>
      </c>
      <c r="I224" s="193">
        <v>659</v>
      </c>
      <c r="J224" s="193">
        <v>675</v>
      </c>
      <c r="K224" s="193">
        <v>675</v>
      </c>
      <c r="L224" s="193">
        <v>710</v>
      </c>
      <c r="M224" s="194">
        <v>710</v>
      </c>
      <c r="N224" s="284">
        <v>142</v>
      </c>
      <c r="O224" s="285">
        <v>2.92</v>
      </c>
      <c r="P224" s="285">
        <v>24</v>
      </c>
      <c r="Q224" s="285" t="s">
        <v>1</v>
      </c>
      <c r="R224" s="285" t="s">
        <v>1</v>
      </c>
      <c r="S224" s="286">
        <v>142</v>
      </c>
      <c r="T224" s="285">
        <v>2.92</v>
      </c>
      <c r="U224" s="285">
        <v>24</v>
      </c>
      <c r="V224" s="285" t="s">
        <v>1</v>
      </c>
      <c r="W224" s="285" t="s">
        <v>1</v>
      </c>
      <c r="X224" s="286">
        <v>142</v>
      </c>
      <c r="Y224" s="285">
        <v>2.92</v>
      </c>
      <c r="Z224" s="285">
        <v>24</v>
      </c>
      <c r="AA224" s="285" t="s">
        <v>1</v>
      </c>
      <c r="AB224" s="285" t="s">
        <v>1</v>
      </c>
      <c r="AC224" s="286">
        <v>142</v>
      </c>
      <c r="AD224" s="285">
        <v>2.92</v>
      </c>
      <c r="AE224" s="285">
        <v>24</v>
      </c>
      <c r="AF224" s="285" t="s">
        <v>1</v>
      </c>
      <c r="AG224" s="285" t="s">
        <v>1</v>
      </c>
      <c r="AH224" s="286" t="s">
        <v>1</v>
      </c>
      <c r="AI224" s="295" t="s">
        <v>1</v>
      </c>
      <c r="AJ224" s="295" t="s">
        <v>1</v>
      </c>
      <c r="AK224" s="295" t="s">
        <v>1</v>
      </c>
      <c r="AL224" s="302" t="s">
        <v>1</v>
      </c>
      <c r="AM224" s="303" t="s">
        <v>1</v>
      </c>
      <c r="AN224" s="287" t="s">
        <v>1</v>
      </c>
      <c r="AO224" s="287" t="s">
        <v>1</v>
      </c>
      <c r="AP224" s="286" t="s">
        <v>1</v>
      </c>
      <c r="AQ224" s="285" t="s">
        <v>1</v>
      </c>
      <c r="AR224" s="289" t="s">
        <v>1</v>
      </c>
      <c r="AS224" s="289" t="s">
        <v>1</v>
      </c>
      <c r="AT224" s="290" t="s">
        <v>1</v>
      </c>
      <c r="AU224" s="287" t="s">
        <v>1</v>
      </c>
      <c r="AV224" s="287" t="s">
        <v>1</v>
      </c>
      <c r="AW224" s="291" t="s">
        <v>1</v>
      </c>
    </row>
    <row r="225" spans="1:49" ht="30.15" customHeight="1" x14ac:dyDescent="0.25">
      <c r="A225" s="213" t="s">
        <v>18</v>
      </c>
      <c r="B225" s="189" t="s">
        <v>1</v>
      </c>
      <c r="C225" s="212" t="s">
        <v>34</v>
      </c>
      <c r="D225" s="190" t="s">
        <v>3</v>
      </c>
      <c r="E225" s="190" t="s">
        <v>168</v>
      </c>
      <c r="F225" s="203"/>
      <c r="G225" s="190" t="s">
        <v>166</v>
      </c>
      <c r="H225" s="192" t="s">
        <v>409</v>
      </c>
      <c r="I225" s="193">
        <v>659</v>
      </c>
      <c r="J225" s="193">
        <v>675</v>
      </c>
      <c r="K225" s="193">
        <v>675</v>
      </c>
      <c r="L225" s="193">
        <v>710</v>
      </c>
      <c r="M225" s="194">
        <v>710</v>
      </c>
      <c r="N225" s="284">
        <v>142</v>
      </c>
      <c r="O225" s="285">
        <v>2.92</v>
      </c>
      <c r="P225" s="285">
        <v>24</v>
      </c>
      <c r="Q225" s="285" t="s">
        <v>1</v>
      </c>
      <c r="R225" s="285" t="s">
        <v>1</v>
      </c>
      <c r="S225" s="286">
        <v>142</v>
      </c>
      <c r="T225" s="285">
        <v>2.92</v>
      </c>
      <c r="U225" s="285">
        <v>24</v>
      </c>
      <c r="V225" s="285" t="s">
        <v>1</v>
      </c>
      <c r="W225" s="285" t="s">
        <v>1</v>
      </c>
      <c r="X225" s="286">
        <v>142</v>
      </c>
      <c r="Y225" s="285">
        <v>2.92</v>
      </c>
      <c r="Z225" s="285">
        <v>24</v>
      </c>
      <c r="AA225" s="285" t="s">
        <v>1</v>
      </c>
      <c r="AB225" s="285" t="s">
        <v>1</v>
      </c>
      <c r="AC225" s="286">
        <v>142</v>
      </c>
      <c r="AD225" s="285">
        <v>2.92</v>
      </c>
      <c r="AE225" s="285">
        <v>24</v>
      </c>
      <c r="AF225" s="285" t="s">
        <v>1</v>
      </c>
      <c r="AG225" s="285" t="s">
        <v>1</v>
      </c>
      <c r="AH225" s="286" t="s">
        <v>1</v>
      </c>
      <c r="AI225" s="295" t="s">
        <v>1</v>
      </c>
      <c r="AJ225" s="295" t="s">
        <v>1</v>
      </c>
      <c r="AK225" s="295" t="s">
        <v>1</v>
      </c>
      <c r="AL225" s="302" t="s">
        <v>1</v>
      </c>
      <c r="AM225" s="303" t="s">
        <v>1</v>
      </c>
      <c r="AN225" s="287" t="s">
        <v>1</v>
      </c>
      <c r="AO225" s="287" t="s">
        <v>1</v>
      </c>
      <c r="AP225" s="286" t="s">
        <v>1</v>
      </c>
      <c r="AQ225" s="285" t="s">
        <v>1</v>
      </c>
      <c r="AR225" s="289" t="s">
        <v>1</v>
      </c>
      <c r="AS225" s="289" t="s">
        <v>1</v>
      </c>
      <c r="AT225" s="290" t="s">
        <v>1</v>
      </c>
      <c r="AU225" s="287" t="s">
        <v>1</v>
      </c>
      <c r="AV225" s="287" t="s">
        <v>1</v>
      </c>
      <c r="AW225" s="291" t="s">
        <v>1</v>
      </c>
    </row>
    <row r="226" spans="1:49" ht="30.15" customHeight="1" x14ac:dyDescent="0.25">
      <c r="A226" s="213" t="s">
        <v>18</v>
      </c>
      <c r="B226" s="188" t="s">
        <v>1</v>
      </c>
      <c r="C226" s="212" t="s">
        <v>34</v>
      </c>
      <c r="D226" s="190" t="s">
        <v>3</v>
      </c>
      <c r="E226" s="190" t="s">
        <v>315</v>
      </c>
      <c r="F226" s="203"/>
      <c r="G226" s="190" t="s">
        <v>303</v>
      </c>
      <c r="H226" s="192" t="s">
        <v>409</v>
      </c>
      <c r="I226" s="193">
        <v>569</v>
      </c>
      <c r="J226" s="193">
        <v>580</v>
      </c>
      <c r="K226" s="193">
        <v>580</v>
      </c>
      <c r="L226" s="193">
        <v>610</v>
      </c>
      <c r="M226" s="194">
        <v>610</v>
      </c>
      <c r="N226" s="284">
        <v>122</v>
      </c>
      <c r="O226" s="285">
        <v>10.42</v>
      </c>
      <c r="P226" s="285">
        <v>24</v>
      </c>
      <c r="Q226" s="285" t="s">
        <v>1</v>
      </c>
      <c r="R226" s="285" t="s">
        <v>1</v>
      </c>
      <c r="S226" s="286">
        <v>122</v>
      </c>
      <c r="T226" s="285">
        <v>10.42</v>
      </c>
      <c r="U226" s="285">
        <v>24</v>
      </c>
      <c r="V226" s="285" t="s">
        <v>1</v>
      </c>
      <c r="W226" s="285" t="s">
        <v>1</v>
      </c>
      <c r="X226" s="286">
        <v>122</v>
      </c>
      <c r="Y226" s="285">
        <v>10.42</v>
      </c>
      <c r="Z226" s="285">
        <v>24</v>
      </c>
      <c r="AA226" s="285" t="s">
        <v>1</v>
      </c>
      <c r="AB226" s="285" t="s">
        <v>1</v>
      </c>
      <c r="AC226" s="286">
        <v>122</v>
      </c>
      <c r="AD226" s="285">
        <v>10.42</v>
      </c>
      <c r="AE226" s="285">
        <v>24</v>
      </c>
      <c r="AF226" s="285" t="s">
        <v>1</v>
      </c>
      <c r="AG226" s="285" t="s">
        <v>1</v>
      </c>
      <c r="AH226" s="286">
        <v>122</v>
      </c>
      <c r="AI226" s="295">
        <v>10.42</v>
      </c>
      <c r="AJ226" s="285">
        <v>24</v>
      </c>
      <c r="AK226" s="285" t="s">
        <v>1</v>
      </c>
      <c r="AL226" s="302" t="s">
        <v>1</v>
      </c>
      <c r="AM226" s="288" t="s">
        <v>1</v>
      </c>
      <c r="AN226" s="287" t="s">
        <v>1</v>
      </c>
      <c r="AO226" s="287" t="s">
        <v>1</v>
      </c>
      <c r="AP226" s="286" t="s">
        <v>1</v>
      </c>
      <c r="AQ226" s="285" t="s">
        <v>1</v>
      </c>
      <c r="AR226" s="289" t="s">
        <v>1</v>
      </c>
      <c r="AS226" s="289" t="s">
        <v>1</v>
      </c>
      <c r="AT226" s="290" t="s">
        <v>1</v>
      </c>
      <c r="AU226" s="287" t="s">
        <v>1</v>
      </c>
      <c r="AV226" s="287" t="s">
        <v>1</v>
      </c>
      <c r="AW226" s="291" t="s">
        <v>1</v>
      </c>
    </row>
    <row r="227" spans="1:49" ht="30.15" customHeight="1" x14ac:dyDescent="0.25">
      <c r="A227" s="213" t="s">
        <v>18</v>
      </c>
      <c r="B227" s="188" t="s">
        <v>1</v>
      </c>
      <c r="C227" s="212" t="s">
        <v>34</v>
      </c>
      <c r="D227" s="190" t="s">
        <v>3</v>
      </c>
      <c r="E227" s="190" t="s">
        <v>307</v>
      </c>
      <c r="F227" s="203"/>
      <c r="G227" s="190" t="s">
        <v>303</v>
      </c>
      <c r="H227" s="192" t="s">
        <v>409</v>
      </c>
      <c r="I227" s="193">
        <v>569</v>
      </c>
      <c r="J227" s="193">
        <v>580</v>
      </c>
      <c r="K227" s="193">
        <v>580</v>
      </c>
      <c r="L227" s="193">
        <v>610</v>
      </c>
      <c r="M227" s="194">
        <v>610</v>
      </c>
      <c r="N227" s="284">
        <v>122</v>
      </c>
      <c r="O227" s="285">
        <v>10.42</v>
      </c>
      <c r="P227" s="285">
        <v>24</v>
      </c>
      <c r="Q227" s="285" t="s">
        <v>1</v>
      </c>
      <c r="R227" s="285" t="s">
        <v>1</v>
      </c>
      <c r="S227" s="286">
        <v>122</v>
      </c>
      <c r="T227" s="285">
        <v>10.42</v>
      </c>
      <c r="U227" s="285">
        <v>24</v>
      </c>
      <c r="V227" s="285" t="s">
        <v>1</v>
      </c>
      <c r="W227" s="285" t="s">
        <v>1</v>
      </c>
      <c r="X227" s="286">
        <v>122</v>
      </c>
      <c r="Y227" s="285">
        <v>10.42</v>
      </c>
      <c r="Z227" s="285">
        <v>24</v>
      </c>
      <c r="AA227" s="285" t="s">
        <v>1</v>
      </c>
      <c r="AB227" s="285" t="s">
        <v>1</v>
      </c>
      <c r="AC227" s="286">
        <v>122</v>
      </c>
      <c r="AD227" s="285">
        <v>10.42</v>
      </c>
      <c r="AE227" s="285">
        <v>24</v>
      </c>
      <c r="AF227" s="285" t="s">
        <v>1</v>
      </c>
      <c r="AG227" s="285" t="s">
        <v>1</v>
      </c>
      <c r="AH227" s="286">
        <v>122</v>
      </c>
      <c r="AI227" s="295">
        <v>10.42</v>
      </c>
      <c r="AJ227" s="285">
        <v>24</v>
      </c>
      <c r="AK227" s="285" t="s">
        <v>1</v>
      </c>
      <c r="AL227" s="302" t="s">
        <v>1</v>
      </c>
      <c r="AM227" s="288" t="s">
        <v>1</v>
      </c>
      <c r="AN227" s="287" t="s">
        <v>1</v>
      </c>
      <c r="AO227" s="287" t="s">
        <v>1</v>
      </c>
      <c r="AP227" s="286" t="s">
        <v>1</v>
      </c>
      <c r="AQ227" s="285" t="s">
        <v>1</v>
      </c>
      <c r="AR227" s="289" t="s">
        <v>1</v>
      </c>
      <c r="AS227" s="289" t="s">
        <v>1</v>
      </c>
      <c r="AT227" s="290" t="s">
        <v>1</v>
      </c>
      <c r="AU227" s="287" t="s">
        <v>1</v>
      </c>
      <c r="AV227" s="287" t="s">
        <v>1</v>
      </c>
      <c r="AW227" s="291" t="s">
        <v>1</v>
      </c>
    </row>
    <row r="228" spans="1:49" ht="30.15" customHeight="1" x14ac:dyDescent="0.25">
      <c r="A228" s="213" t="s">
        <v>18</v>
      </c>
      <c r="B228" s="188" t="s">
        <v>1</v>
      </c>
      <c r="C228" s="212" t="s">
        <v>34</v>
      </c>
      <c r="D228" s="190" t="s">
        <v>3</v>
      </c>
      <c r="E228" s="190" t="s">
        <v>382</v>
      </c>
      <c r="F228" s="203"/>
      <c r="G228" s="190" t="s">
        <v>303</v>
      </c>
      <c r="H228" s="192" t="s">
        <v>413</v>
      </c>
      <c r="I228" s="193">
        <v>569</v>
      </c>
      <c r="J228" s="193">
        <v>580</v>
      </c>
      <c r="K228" s="193">
        <v>580</v>
      </c>
      <c r="L228" s="193">
        <v>610</v>
      </c>
      <c r="M228" s="194">
        <v>610</v>
      </c>
      <c r="N228" s="284">
        <v>122</v>
      </c>
      <c r="O228" s="285">
        <v>10.42</v>
      </c>
      <c r="P228" s="285">
        <v>24</v>
      </c>
      <c r="Q228" s="285" t="s">
        <v>1</v>
      </c>
      <c r="R228" s="285" t="s">
        <v>1</v>
      </c>
      <c r="S228" s="286">
        <v>122</v>
      </c>
      <c r="T228" s="285">
        <v>10.42</v>
      </c>
      <c r="U228" s="285">
        <v>24</v>
      </c>
      <c r="V228" s="285" t="s">
        <v>1</v>
      </c>
      <c r="W228" s="285" t="s">
        <v>1</v>
      </c>
      <c r="X228" s="286">
        <v>122</v>
      </c>
      <c r="Y228" s="285">
        <v>10.42</v>
      </c>
      <c r="Z228" s="285">
        <v>24</v>
      </c>
      <c r="AA228" s="285" t="s">
        <v>1</v>
      </c>
      <c r="AB228" s="285" t="s">
        <v>1</v>
      </c>
      <c r="AC228" s="286">
        <v>122</v>
      </c>
      <c r="AD228" s="285">
        <v>10.42</v>
      </c>
      <c r="AE228" s="285">
        <v>24</v>
      </c>
      <c r="AF228" s="285" t="s">
        <v>1</v>
      </c>
      <c r="AG228" s="285" t="s">
        <v>1</v>
      </c>
      <c r="AH228" s="286">
        <v>122</v>
      </c>
      <c r="AI228" s="295">
        <v>10.42</v>
      </c>
      <c r="AJ228" s="285">
        <v>24</v>
      </c>
      <c r="AK228" s="285" t="s">
        <v>1</v>
      </c>
      <c r="AL228" s="302" t="s">
        <v>1</v>
      </c>
      <c r="AM228" s="288" t="s">
        <v>1</v>
      </c>
      <c r="AN228" s="287" t="s">
        <v>1</v>
      </c>
      <c r="AO228" s="287" t="s">
        <v>1</v>
      </c>
      <c r="AP228" s="286" t="s">
        <v>1</v>
      </c>
      <c r="AQ228" s="285" t="s">
        <v>1</v>
      </c>
      <c r="AR228" s="289" t="s">
        <v>1</v>
      </c>
      <c r="AS228" s="289" t="s">
        <v>1</v>
      </c>
      <c r="AT228" s="290" t="s">
        <v>1</v>
      </c>
      <c r="AU228" s="287" t="s">
        <v>1</v>
      </c>
      <c r="AV228" s="287" t="s">
        <v>1</v>
      </c>
      <c r="AW228" s="291" t="s">
        <v>1</v>
      </c>
    </row>
    <row r="229" spans="1:49" ht="30.15" customHeight="1" x14ac:dyDescent="0.25">
      <c r="A229" s="213" t="s">
        <v>18</v>
      </c>
      <c r="B229" s="188" t="s">
        <v>1</v>
      </c>
      <c r="C229" s="212" t="s">
        <v>34</v>
      </c>
      <c r="D229" s="190" t="s">
        <v>3</v>
      </c>
      <c r="E229" s="190" t="s">
        <v>308</v>
      </c>
      <c r="F229" s="203"/>
      <c r="G229" s="190" t="s">
        <v>303</v>
      </c>
      <c r="H229" s="192" t="s">
        <v>409</v>
      </c>
      <c r="I229" s="193">
        <v>569</v>
      </c>
      <c r="J229" s="193">
        <v>580</v>
      </c>
      <c r="K229" s="193">
        <v>580</v>
      </c>
      <c r="L229" s="193">
        <v>610</v>
      </c>
      <c r="M229" s="194">
        <v>610</v>
      </c>
      <c r="N229" s="284">
        <v>122</v>
      </c>
      <c r="O229" s="285">
        <v>10.42</v>
      </c>
      <c r="P229" s="285">
        <v>24</v>
      </c>
      <c r="Q229" s="285" t="s">
        <v>1</v>
      </c>
      <c r="R229" s="285" t="s">
        <v>1</v>
      </c>
      <c r="S229" s="286">
        <v>122</v>
      </c>
      <c r="T229" s="285">
        <v>10.42</v>
      </c>
      <c r="U229" s="285">
        <v>24</v>
      </c>
      <c r="V229" s="285" t="s">
        <v>1</v>
      </c>
      <c r="W229" s="285" t="s">
        <v>1</v>
      </c>
      <c r="X229" s="286">
        <v>122</v>
      </c>
      <c r="Y229" s="285">
        <v>10.42</v>
      </c>
      <c r="Z229" s="285">
        <v>24</v>
      </c>
      <c r="AA229" s="285" t="s">
        <v>1</v>
      </c>
      <c r="AB229" s="285" t="s">
        <v>1</v>
      </c>
      <c r="AC229" s="286">
        <v>122</v>
      </c>
      <c r="AD229" s="285">
        <v>10.42</v>
      </c>
      <c r="AE229" s="285">
        <v>24</v>
      </c>
      <c r="AF229" s="285" t="s">
        <v>1</v>
      </c>
      <c r="AG229" s="285" t="s">
        <v>1</v>
      </c>
      <c r="AH229" s="286">
        <v>122</v>
      </c>
      <c r="AI229" s="295">
        <v>10.42</v>
      </c>
      <c r="AJ229" s="285">
        <v>24</v>
      </c>
      <c r="AK229" s="285" t="s">
        <v>1</v>
      </c>
      <c r="AL229" s="302" t="s">
        <v>1</v>
      </c>
      <c r="AM229" s="288" t="s">
        <v>1</v>
      </c>
      <c r="AN229" s="287" t="s">
        <v>1</v>
      </c>
      <c r="AO229" s="287" t="s">
        <v>1</v>
      </c>
      <c r="AP229" s="286" t="s">
        <v>1</v>
      </c>
      <c r="AQ229" s="285" t="s">
        <v>1</v>
      </c>
      <c r="AR229" s="289" t="s">
        <v>1</v>
      </c>
      <c r="AS229" s="289" t="s">
        <v>1</v>
      </c>
      <c r="AT229" s="290" t="s">
        <v>1</v>
      </c>
      <c r="AU229" s="287" t="s">
        <v>1</v>
      </c>
      <c r="AV229" s="287" t="s">
        <v>1</v>
      </c>
      <c r="AW229" s="291" t="s">
        <v>1</v>
      </c>
    </row>
    <row r="230" spans="1:49" ht="30.15" customHeight="1" x14ac:dyDescent="0.25">
      <c r="A230" s="213" t="s">
        <v>18</v>
      </c>
      <c r="B230" s="188" t="s">
        <v>1</v>
      </c>
      <c r="C230" s="212" t="s">
        <v>34</v>
      </c>
      <c r="D230" s="190" t="s">
        <v>3</v>
      </c>
      <c r="E230" s="190" t="s">
        <v>316</v>
      </c>
      <c r="F230" s="203"/>
      <c r="G230" s="190" t="s">
        <v>304</v>
      </c>
      <c r="H230" s="192" t="s">
        <v>409</v>
      </c>
      <c r="I230" s="193">
        <v>979</v>
      </c>
      <c r="J230" s="193">
        <v>979</v>
      </c>
      <c r="K230" s="193">
        <v>979</v>
      </c>
      <c r="L230" s="193">
        <v>1050</v>
      </c>
      <c r="M230" s="194">
        <v>1050</v>
      </c>
      <c r="N230" s="284">
        <v>210</v>
      </c>
      <c r="O230" s="285">
        <v>10.42</v>
      </c>
      <c r="P230" s="285">
        <v>24</v>
      </c>
      <c r="Q230" s="285" t="s">
        <v>1</v>
      </c>
      <c r="R230" s="285" t="s">
        <v>1</v>
      </c>
      <c r="S230" s="286">
        <v>210</v>
      </c>
      <c r="T230" s="285">
        <v>10.42</v>
      </c>
      <c r="U230" s="285">
        <v>24</v>
      </c>
      <c r="V230" s="285" t="s">
        <v>1</v>
      </c>
      <c r="W230" s="285" t="s">
        <v>1</v>
      </c>
      <c r="X230" s="286">
        <v>210</v>
      </c>
      <c r="Y230" s="285">
        <v>10.42</v>
      </c>
      <c r="Z230" s="285">
        <v>24</v>
      </c>
      <c r="AA230" s="285" t="s">
        <v>1</v>
      </c>
      <c r="AB230" s="285" t="s">
        <v>1</v>
      </c>
      <c r="AC230" s="286">
        <v>210</v>
      </c>
      <c r="AD230" s="285">
        <v>10.42</v>
      </c>
      <c r="AE230" s="285">
        <v>24</v>
      </c>
      <c r="AF230" s="285" t="s">
        <v>1</v>
      </c>
      <c r="AG230" s="285" t="s">
        <v>1</v>
      </c>
      <c r="AH230" s="286">
        <v>210</v>
      </c>
      <c r="AI230" s="295">
        <v>10.42</v>
      </c>
      <c r="AJ230" s="285">
        <v>24</v>
      </c>
      <c r="AK230" s="285" t="s">
        <v>1</v>
      </c>
      <c r="AL230" s="302" t="s">
        <v>1</v>
      </c>
      <c r="AM230" s="288" t="s">
        <v>1</v>
      </c>
      <c r="AN230" s="287" t="s">
        <v>1</v>
      </c>
      <c r="AO230" s="287" t="s">
        <v>1</v>
      </c>
      <c r="AP230" s="286" t="s">
        <v>1</v>
      </c>
      <c r="AQ230" s="285" t="s">
        <v>1</v>
      </c>
      <c r="AR230" s="289" t="s">
        <v>1</v>
      </c>
      <c r="AS230" s="289" t="s">
        <v>1</v>
      </c>
      <c r="AT230" s="290" t="s">
        <v>1</v>
      </c>
      <c r="AU230" s="287" t="s">
        <v>1</v>
      </c>
      <c r="AV230" s="287" t="s">
        <v>1</v>
      </c>
      <c r="AW230" s="291" t="s">
        <v>1</v>
      </c>
    </row>
    <row r="231" spans="1:49" ht="30.15" customHeight="1" x14ac:dyDescent="0.25">
      <c r="A231" s="213" t="s">
        <v>18</v>
      </c>
      <c r="B231" s="188" t="s">
        <v>1</v>
      </c>
      <c r="C231" s="212" t="s">
        <v>34</v>
      </c>
      <c r="D231" s="190" t="s">
        <v>3</v>
      </c>
      <c r="E231" s="190" t="s">
        <v>309</v>
      </c>
      <c r="F231" s="203"/>
      <c r="G231" s="190" t="s">
        <v>304</v>
      </c>
      <c r="H231" s="192" t="s">
        <v>409</v>
      </c>
      <c r="I231" s="193">
        <v>979</v>
      </c>
      <c r="J231" s="193">
        <v>979</v>
      </c>
      <c r="K231" s="193">
        <v>979</v>
      </c>
      <c r="L231" s="193">
        <v>1050</v>
      </c>
      <c r="M231" s="194">
        <v>1050</v>
      </c>
      <c r="N231" s="284">
        <v>210</v>
      </c>
      <c r="O231" s="285">
        <v>10.42</v>
      </c>
      <c r="P231" s="285">
        <v>24</v>
      </c>
      <c r="Q231" s="285" t="s">
        <v>1</v>
      </c>
      <c r="R231" s="285" t="s">
        <v>1</v>
      </c>
      <c r="S231" s="286">
        <v>210</v>
      </c>
      <c r="T231" s="285">
        <v>10.42</v>
      </c>
      <c r="U231" s="285">
        <v>24</v>
      </c>
      <c r="V231" s="285" t="s">
        <v>1</v>
      </c>
      <c r="W231" s="285" t="s">
        <v>1</v>
      </c>
      <c r="X231" s="286">
        <v>210</v>
      </c>
      <c r="Y231" s="285">
        <v>10.42</v>
      </c>
      <c r="Z231" s="285">
        <v>24</v>
      </c>
      <c r="AA231" s="285" t="s">
        <v>1</v>
      </c>
      <c r="AB231" s="285" t="s">
        <v>1</v>
      </c>
      <c r="AC231" s="286">
        <v>210</v>
      </c>
      <c r="AD231" s="285">
        <v>10.42</v>
      </c>
      <c r="AE231" s="285">
        <v>24</v>
      </c>
      <c r="AF231" s="285" t="s">
        <v>1</v>
      </c>
      <c r="AG231" s="285" t="s">
        <v>1</v>
      </c>
      <c r="AH231" s="286">
        <v>210</v>
      </c>
      <c r="AI231" s="295">
        <v>10.42</v>
      </c>
      <c r="AJ231" s="285">
        <v>24</v>
      </c>
      <c r="AK231" s="285" t="s">
        <v>1</v>
      </c>
      <c r="AL231" s="302" t="s">
        <v>1</v>
      </c>
      <c r="AM231" s="288" t="s">
        <v>1</v>
      </c>
      <c r="AN231" s="287" t="s">
        <v>1</v>
      </c>
      <c r="AO231" s="287" t="s">
        <v>1</v>
      </c>
      <c r="AP231" s="286" t="s">
        <v>1</v>
      </c>
      <c r="AQ231" s="285" t="s">
        <v>1</v>
      </c>
      <c r="AR231" s="289" t="s">
        <v>1</v>
      </c>
      <c r="AS231" s="289" t="s">
        <v>1</v>
      </c>
      <c r="AT231" s="290" t="s">
        <v>1</v>
      </c>
      <c r="AU231" s="287" t="s">
        <v>1</v>
      </c>
      <c r="AV231" s="287" t="s">
        <v>1</v>
      </c>
      <c r="AW231" s="291" t="s">
        <v>1</v>
      </c>
    </row>
    <row r="232" spans="1:49" ht="30.15" customHeight="1" x14ac:dyDescent="0.25">
      <c r="A232" s="213" t="s">
        <v>18</v>
      </c>
      <c r="B232" s="188" t="s">
        <v>1</v>
      </c>
      <c r="C232" s="212" t="s">
        <v>34</v>
      </c>
      <c r="D232" s="190" t="s">
        <v>3</v>
      </c>
      <c r="E232" s="190" t="s">
        <v>384</v>
      </c>
      <c r="F232" s="203"/>
      <c r="G232" s="190" t="s">
        <v>304</v>
      </c>
      <c r="H232" s="192" t="s">
        <v>414</v>
      </c>
      <c r="I232" s="193">
        <v>979</v>
      </c>
      <c r="J232" s="193">
        <v>979</v>
      </c>
      <c r="K232" s="193">
        <v>979</v>
      </c>
      <c r="L232" s="193">
        <v>1050</v>
      </c>
      <c r="M232" s="194">
        <v>1050</v>
      </c>
      <c r="N232" s="284">
        <v>210</v>
      </c>
      <c r="O232" s="285">
        <v>10.42</v>
      </c>
      <c r="P232" s="285">
        <v>24</v>
      </c>
      <c r="Q232" s="285" t="s">
        <v>1</v>
      </c>
      <c r="R232" s="285" t="s">
        <v>1</v>
      </c>
      <c r="S232" s="286">
        <v>210</v>
      </c>
      <c r="T232" s="285">
        <v>10.42</v>
      </c>
      <c r="U232" s="285">
        <v>24</v>
      </c>
      <c r="V232" s="285" t="s">
        <v>1</v>
      </c>
      <c r="W232" s="285" t="s">
        <v>1</v>
      </c>
      <c r="X232" s="286">
        <v>210</v>
      </c>
      <c r="Y232" s="285">
        <v>10.42</v>
      </c>
      <c r="Z232" s="285">
        <v>24</v>
      </c>
      <c r="AA232" s="285" t="s">
        <v>1</v>
      </c>
      <c r="AB232" s="285" t="s">
        <v>1</v>
      </c>
      <c r="AC232" s="286">
        <v>210</v>
      </c>
      <c r="AD232" s="285">
        <v>10.42</v>
      </c>
      <c r="AE232" s="285">
        <v>24</v>
      </c>
      <c r="AF232" s="285" t="s">
        <v>1</v>
      </c>
      <c r="AG232" s="285" t="s">
        <v>1</v>
      </c>
      <c r="AH232" s="286">
        <v>210</v>
      </c>
      <c r="AI232" s="295">
        <v>10.42</v>
      </c>
      <c r="AJ232" s="285">
        <v>24</v>
      </c>
      <c r="AK232" s="285" t="s">
        <v>1</v>
      </c>
      <c r="AL232" s="302" t="s">
        <v>1</v>
      </c>
      <c r="AM232" s="288" t="s">
        <v>1</v>
      </c>
      <c r="AN232" s="287" t="s">
        <v>1</v>
      </c>
      <c r="AO232" s="287" t="s">
        <v>1</v>
      </c>
      <c r="AP232" s="286" t="s">
        <v>1</v>
      </c>
      <c r="AQ232" s="285" t="s">
        <v>1</v>
      </c>
      <c r="AR232" s="289" t="s">
        <v>1</v>
      </c>
      <c r="AS232" s="289" t="s">
        <v>1</v>
      </c>
      <c r="AT232" s="290" t="s">
        <v>1</v>
      </c>
      <c r="AU232" s="287" t="s">
        <v>1</v>
      </c>
      <c r="AV232" s="287" t="s">
        <v>1</v>
      </c>
      <c r="AW232" s="291" t="s">
        <v>1</v>
      </c>
    </row>
    <row r="233" spans="1:49" ht="30.15" customHeight="1" x14ac:dyDescent="0.25">
      <c r="A233" s="213" t="s">
        <v>18</v>
      </c>
      <c r="B233" s="188" t="s">
        <v>1</v>
      </c>
      <c r="C233" s="212" t="s">
        <v>34</v>
      </c>
      <c r="D233" s="190" t="s">
        <v>3</v>
      </c>
      <c r="E233" s="190" t="s">
        <v>310</v>
      </c>
      <c r="F233" s="203"/>
      <c r="G233" s="190" t="s">
        <v>304</v>
      </c>
      <c r="H233" s="192" t="s">
        <v>409</v>
      </c>
      <c r="I233" s="193">
        <v>979</v>
      </c>
      <c r="J233" s="193">
        <v>979</v>
      </c>
      <c r="K233" s="193">
        <v>979</v>
      </c>
      <c r="L233" s="193">
        <v>1050</v>
      </c>
      <c r="M233" s="194">
        <v>1050</v>
      </c>
      <c r="N233" s="284">
        <v>210</v>
      </c>
      <c r="O233" s="285">
        <v>10.42</v>
      </c>
      <c r="P233" s="285">
        <v>24</v>
      </c>
      <c r="Q233" s="285" t="s">
        <v>1</v>
      </c>
      <c r="R233" s="285" t="s">
        <v>1</v>
      </c>
      <c r="S233" s="286">
        <v>210</v>
      </c>
      <c r="T233" s="285">
        <v>10.42</v>
      </c>
      <c r="U233" s="285">
        <v>24</v>
      </c>
      <c r="V233" s="285" t="s">
        <v>1</v>
      </c>
      <c r="W233" s="285" t="s">
        <v>1</v>
      </c>
      <c r="X233" s="286">
        <v>210</v>
      </c>
      <c r="Y233" s="285">
        <v>10.42</v>
      </c>
      <c r="Z233" s="285">
        <v>24</v>
      </c>
      <c r="AA233" s="285" t="s">
        <v>1</v>
      </c>
      <c r="AB233" s="285" t="s">
        <v>1</v>
      </c>
      <c r="AC233" s="286">
        <v>210</v>
      </c>
      <c r="AD233" s="285">
        <v>10.42</v>
      </c>
      <c r="AE233" s="285">
        <v>24</v>
      </c>
      <c r="AF233" s="285" t="s">
        <v>1</v>
      </c>
      <c r="AG233" s="285" t="s">
        <v>1</v>
      </c>
      <c r="AH233" s="286">
        <v>210</v>
      </c>
      <c r="AI233" s="295">
        <v>10.42</v>
      </c>
      <c r="AJ233" s="285">
        <v>24</v>
      </c>
      <c r="AK233" s="285" t="s">
        <v>1</v>
      </c>
      <c r="AL233" s="302" t="s">
        <v>1</v>
      </c>
      <c r="AM233" s="288" t="s">
        <v>1</v>
      </c>
      <c r="AN233" s="287" t="s">
        <v>1</v>
      </c>
      <c r="AO233" s="287" t="s">
        <v>1</v>
      </c>
      <c r="AP233" s="286" t="s">
        <v>1</v>
      </c>
      <c r="AQ233" s="285" t="s">
        <v>1</v>
      </c>
      <c r="AR233" s="289" t="s">
        <v>1</v>
      </c>
      <c r="AS233" s="289" t="s">
        <v>1</v>
      </c>
      <c r="AT233" s="290" t="s">
        <v>1</v>
      </c>
      <c r="AU233" s="287" t="s">
        <v>1</v>
      </c>
      <c r="AV233" s="287" t="s">
        <v>1</v>
      </c>
      <c r="AW233" s="291" t="s">
        <v>1</v>
      </c>
    </row>
    <row r="234" spans="1:49" ht="30.15" customHeight="1" x14ac:dyDescent="0.25">
      <c r="A234" s="213" t="s">
        <v>18</v>
      </c>
      <c r="B234" s="188" t="s">
        <v>1</v>
      </c>
      <c r="C234" s="212" t="s">
        <v>34</v>
      </c>
      <c r="D234" s="190" t="s">
        <v>3</v>
      </c>
      <c r="E234" s="190" t="s">
        <v>317</v>
      </c>
      <c r="F234" s="203"/>
      <c r="G234" s="190" t="s">
        <v>305</v>
      </c>
      <c r="H234" s="192" t="s">
        <v>409</v>
      </c>
      <c r="I234" s="193">
        <v>709</v>
      </c>
      <c r="J234" s="193">
        <v>722</v>
      </c>
      <c r="K234" s="193">
        <v>722</v>
      </c>
      <c r="L234" s="193">
        <v>760</v>
      </c>
      <c r="M234" s="194">
        <v>760</v>
      </c>
      <c r="N234" s="284">
        <v>152</v>
      </c>
      <c r="O234" s="285">
        <v>10.42</v>
      </c>
      <c r="P234" s="285">
        <v>24</v>
      </c>
      <c r="Q234" s="285" t="s">
        <v>1</v>
      </c>
      <c r="R234" s="285" t="s">
        <v>1</v>
      </c>
      <c r="S234" s="286">
        <v>152</v>
      </c>
      <c r="T234" s="285">
        <v>10.42</v>
      </c>
      <c r="U234" s="285">
        <v>24</v>
      </c>
      <c r="V234" s="285" t="s">
        <v>1</v>
      </c>
      <c r="W234" s="285" t="s">
        <v>1</v>
      </c>
      <c r="X234" s="286">
        <v>152</v>
      </c>
      <c r="Y234" s="285">
        <v>10.42</v>
      </c>
      <c r="Z234" s="285">
        <v>24</v>
      </c>
      <c r="AA234" s="285" t="s">
        <v>1</v>
      </c>
      <c r="AB234" s="285" t="s">
        <v>1</v>
      </c>
      <c r="AC234" s="286">
        <v>152</v>
      </c>
      <c r="AD234" s="285">
        <v>10.42</v>
      </c>
      <c r="AE234" s="285">
        <v>24</v>
      </c>
      <c r="AF234" s="285" t="s">
        <v>1</v>
      </c>
      <c r="AG234" s="285" t="s">
        <v>1</v>
      </c>
      <c r="AH234" s="286" t="s">
        <v>1</v>
      </c>
      <c r="AI234" s="295" t="s">
        <v>1</v>
      </c>
      <c r="AJ234" s="295" t="s">
        <v>1</v>
      </c>
      <c r="AK234" s="295" t="s">
        <v>1</v>
      </c>
      <c r="AL234" s="302" t="s">
        <v>1</v>
      </c>
      <c r="AM234" s="288" t="s">
        <v>1</v>
      </c>
      <c r="AN234" s="287" t="s">
        <v>1</v>
      </c>
      <c r="AO234" s="287" t="s">
        <v>1</v>
      </c>
      <c r="AP234" s="286" t="s">
        <v>1</v>
      </c>
      <c r="AQ234" s="285" t="s">
        <v>1</v>
      </c>
      <c r="AR234" s="289" t="s">
        <v>1</v>
      </c>
      <c r="AS234" s="289" t="s">
        <v>1</v>
      </c>
      <c r="AT234" s="290" t="s">
        <v>1</v>
      </c>
      <c r="AU234" s="287" t="s">
        <v>1</v>
      </c>
      <c r="AV234" s="287" t="s">
        <v>1</v>
      </c>
      <c r="AW234" s="291" t="s">
        <v>1</v>
      </c>
    </row>
    <row r="235" spans="1:49" ht="30.15" customHeight="1" x14ac:dyDescent="0.25">
      <c r="A235" s="213" t="s">
        <v>18</v>
      </c>
      <c r="B235" s="188" t="s">
        <v>1</v>
      </c>
      <c r="C235" s="212" t="s">
        <v>34</v>
      </c>
      <c r="D235" s="190" t="s">
        <v>3</v>
      </c>
      <c r="E235" s="190" t="s">
        <v>311</v>
      </c>
      <c r="F235" s="203"/>
      <c r="G235" s="190" t="s">
        <v>305</v>
      </c>
      <c r="H235" s="192" t="s">
        <v>409</v>
      </c>
      <c r="I235" s="193">
        <v>709</v>
      </c>
      <c r="J235" s="193">
        <v>722</v>
      </c>
      <c r="K235" s="193">
        <v>722</v>
      </c>
      <c r="L235" s="193">
        <v>760</v>
      </c>
      <c r="M235" s="194">
        <v>760</v>
      </c>
      <c r="N235" s="284">
        <v>152</v>
      </c>
      <c r="O235" s="285">
        <v>10.42</v>
      </c>
      <c r="P235" s="285">
        <v>24</v>
      </c>
      <c r="Q235" s="285" t="s">
        <v>1</v>
      </c>
      <c r="R235" s="285" t="s">
        <v>1</v>
      </c>
      <c r="S235" s="286">
        <v>152</v>
      </c>
      <c r="T235" s="285">
        <v>10.42</v>
      </c>
      <c r="U235" s="285">
        <v>24</v>
      </c>
      <c r="V235" s="285" t="s">
        <v>1</v>
      </c>
      <c r="W235" s="285" t="s">
        <v>1</v>
      </c>
      <c r="X235" s="286">
        <v>152</v>
      </c>
      <c r="Y235" s="285">
        <v>10.42</v>
      </c>
      <c r="Z235" s="285">
        <v>24</v>
      </c>
      <c r="AA235" s="285" t="s">
        <v>1</v>
      </c>
      <c r="AB235" s="285" t="s">
        <v>1</v>
      </c>
      <c r="AC235" s="286">
        <v>152</v>
      </c>
      <c r="AD235" s="285">
        <v>10.42</v>
      </c>
      <c r="AE235" s="285">
        <v>24</v>
      </c>
      <c r="AF235" s="285" t="s">
        <v>1</v>
      </c>
      <c r="AG235" s="285" t="s">
        <v>1</v>
      </c>
      <c r="AH235" s="286" t="s">
        <v>1</v>
      </c>
      <c r="AI235" s="295" t="s">
        <v>1</v>
      </c>
      <c r="AJ235" s="295" t="s">
        <v>1</v>
      </c>
      <c r="AK235" s="295" t="s">
        <v>1</v>
      </c>
      <c r="AL235" s="302" t="s">
        <v>1</v>
      </c>
      <c r="AM235" s="288" t="s">
        <v>1</v>
      </c>
      <c r="AN235" s="287" t="s">
        <v>1</v>
      </c>
      <c r="AO235" s="287" t="s">
        <v>1</v>
      </c>
      <c r="AP235" s="286" t="s">
        <v>1</v>
      </c>
      <c r="AQ235" s="285" t="s">
        <v>1</v>
      </c>
      <c r="AR235" s="289" t="s">
        <v>1</v>
      </c>
      <c r="AS235" s="289" t="s">
        <v>1</v>
      </c>
      <c r="AT235" s="290" t="s">
        <v>1</v>
      </c>
      <c r="AU235" s="287" t="s">
        <v>1</v>
      </c>
      <c r="AV235" s="287" t="s">
        <v>1</v>
      </c>
      <c r="AW235" s="291" t="s">
        <v>1</v>
      </c>
    </row>
    <row r="236" spans="1:49" ht="30.15" customHeight="1" x14ac:dyDescent="0.25">
      <c r="A236" s="213" t="s">
        <v>18</v>
      </c>
      <c r="B236" s="188" t="s">
        <v>1</v>
      </c>
      <c r="C236" s="212" t="s">
        <v>34</v>
      </c>
      <c r="D236" s="190" t="s">
        <v>3</v>
      </c>
      <c r="E236" s="190" t="s">
        <v>383</v>
      </c>
      <c r="F236" s="203"/>
      <c r="G236" s="190" t="s">
        <v>305</v>
      </c>
      <c r="H236" s="192" t="s">
        <v>413</v>
      </c>
      <c r="I236" s="193">
        <v>709</v>
      </c>
      <c r="J236" s="193">
        <v>722</v>
      </c>
      <c r="K236" s="193">
        <v>722</v>
      </c>
      <c r="L236" s="193">
        <v>760</v>
      </c>
      <c r="M236" s="194">
        <v>760</v>
      </c>
      <c r="N236" s="284">
        <v>152</v>
      </c>
      <c r="O236" s="285">
        <v>10.42</v>
      </c>
      <c r="P236" s="285">
        <v>24</v>
      </c>
      <c r="Q236" s="285" t="s">
        <v>1</v>
      </c>
      <c r="R236" s="285" t="s">
        <v>1</v>
      </c>
      <c r="S236" s="286">
        <v>152</v>
      </c>
      <c r="T236" s="285">
        <v>10.42</v>
      </c>
      <c r="U236" s="285">
        <v>24</v>
      </c>
      <c r="V236" s="285" t="s">
        <v>1</v>
      </c>
      <c r="W236" s="285" t="s">
        <v>1</v>
      </c>
      <c r="X236" s="286">
        <v>152</v>
      </c>
      <c r="Y236" s="285">
        <v>10.42</v>
      </c>
      <c r="Z236" s="285">
        <v>24</v>
      </c>
      <c r="AA236" s="285" t="s">
        <v>1</v>
      </c>
      <c r="AB236" s="285" t="s">
        <v>1</v>
      </c>
      <c r="AC236" s="286">
        <v>152</v>
      </c>
      <c r="AD236" s="285">
        <v>10.42</v>
      </c>
      <c r="AE236" s="285">
        <v>24</v>
      </c>
      <c r="AF236" s="285" t="s">
        <v>1</v>
      </c>
      <c r="AG236" s="285" t="s">
        <v>1</v>
      </c>
      <c r="AH236" s="286" t="s">
        <v>1</v>
      </c>
      <c r="AI236" s="295" t="s">
        <v>1</v>
      </c>
      <c r="AJ236" s="295" t="s">
        <v>1</v>
      </c>
      <c r="AK236" s="295" t="s">
        <v>1</v>
      </c>
      <c r="AL236" s="302" t="s">
        <v>1</v>
      </c>
      <c r="AM236" s="288" t="s">
        <v>1</v>
      </c>
      <c r="AN236" s="287" t="s">
        <v>1</v>
      </c>
      <c r="AO236" s="287" t="s">
        <v>1</v>
      </c>
      <c r="AP236" s="286" t="s">
        <v>1</v>
      </c>
      <c r="AQ236" s="285" t="s">
        <v>1</v>
      </c>
      <c r="AR236" s="289" t="s">
        <v>1</v>
      </c>
      <c r="AS236" s="289" t="s">
        <v>1</v>
      </c>
      <c r="AT236" s="290" t="s">
        <v>1</v>
      </c>
      <c r="AU236" s="287" t="s">
        <v>1</v>
      </c>
      <c r="AV236" s="287" t="s">
        <v>1</v>
      </c>
      <c r="AW236" s="291" t="s">
        <v>1</v>
      </c>
    </row>
    <row r="237" spans="1:49" ht="30.15" customHeight="1" x14ac:dyDescent="0.25">
      <c r="A237" s="213" t="s">
        <v>18</v>
      </c>
      <c r="B237" s="188" t="s">
        <v>1</v>
      </c>
      <c r="C237" s="212" t="s">
        <v>34</v>
      </c>
      <c r="D237" s="190" t="s">
        <v>3</v>
      </c>
      <c r="E237" s="190" t="s">
        <v>312</v>
      </c>
      <c r="F237" s="203"/>
      <c r="G237" s="190" t="s">
        <v>305</v>
      </c>
      <c r="H237" s="192" t="s">
        <v>409</v>
      </c>
      <c r="I237" s="193">
        <v>709</v>
      </c>
      <c r="J237" s="193">
        <v>722</v>
      </c>
      <c r="K237" s="193">
        <v>722</v>
      </c>
      <c r="L237" s="193">
        <v>760</v>
      </c>
      <c r="M237" s="194">
        <v>760</v>
      </c>
      <c r="N237" s="284">
        <v>152</v>
      </c>
      <c r="O237" s="285">
        <v>10.42</v>
      </c>
      <c r="P237" s="285">
        <v>24</v>
      </c>
      <c r="Q237" s="285" t="s">
        <v>1</v>
      </c>
      <c r="R237" s="285" t="s">
        <v>1</v>
      </c>
      <c r="S237" s="286">
        <v>152</v>
      </c>
      <c r="T237" s="285">
        <v>10.42</v>
      </c>
      <c r="U237" s="285">
        <v>24</v>
      </c>
      <c r="V237" s="285" t="s">
        <v>1</v>
      </c>
      <c r="W237" s="285" t="s">
        <v>1</v>
      </c>
      <c r="X237" s="286">
        <v>152</v>
      </c>
      <c r="Y237" s="285">
        <v>10.42</v>
      </c>
      <c r="Z237" s="285">
        <v>24</v>
      </c>
      <c r="AA237" s="285" t="s">
        <v>1</v>
      </c>
      <c r="AB237" s="285" t="s">
        <v>1</v>
      </c>
      <c r="AC237" s="286">
        <v>152</v>
      </c>
      <c r="AD237" s="285">
        <v>10.42</v>
      </c>
      <c r="AE237" s="285">
        <v>24</v>
      </c>
      <c r="AF237" s="285" t="s">
        <v>1</v>
      </c>
      <c r="AG237" s="285" t="s">
        <v>1</v>
      </c>
      <c r="AH237" s="286" t="s">
        <v>1</v>
      </c>
      <c r="AI237" s="295" t="s">
        <v>1</v>
      </c>
      <c r="AJ237" s="295" t="s">
        <v>1</v>
      </c>
      <c r="AK237" s="295" t="s">
        <v>1</v>
      </c>
      <c r="AL237" s="302" t="s">
        <v>1</v>
      </c>
      <c r="AM237" s="288" t="s">
        <v>1</v>
      </c>
      <c r="AN237" s="287" t="s">
        <v>1</v>
      </c>
      <c r="AO237" s="287" t="s">
        <v>1</v>
      </c>
      <c r="AP237" s="286" t="s">
        <v>1</v>
      </c>
      <c r="AQ237" s="285" t="s">
        <v>1</v>
      </c>
      <c r="AR237" s="289" t="s">
        <v>1</v>
      </c>
      <c r="AS237" s="289" t="s">
        <v>1</v>
      </c>
      <c r="AT237" s="290" t="s">
        <v>1</v>
      </c>
      <c r="AU237" s="287" t="s">
        <v>1</v>
      </c>
      <c r="AV237" s="287" t="s">
        <v>1</v>
      </c>
      <c r="AW237" s="291" t="s">
        <v>1</v>
      </c>
    </row>
    <row r="238" spans="1:49" ht="30.15" customHeight="1" x14ac:dyDescent="0.25">
      <c r="A238" s="213" t="s">
        <v>18</v>
      </c>
      <c r="B238" s="188" t="s">
        <v>1</v>
      </c>
      <c r="C238" s="212" t="s">
        <v>34</v>
      </c>
      <c r="D238" s="190" t="s">
        <v>3</v>
      </c>
      <c r="E238" s="190" t="s">
        <v>719</v>
      </c>
      <c r="F238" s="203"/>
      <c r="G238" s="190" t="s">
        <v>721</v>
      </c>
      <c r="H238" s="192" t="s">
        <v>414</v>
      </c>
      <c r="I238" s="193">
        <v>779</v>
      </c>
      <c r="J238" s="193">
        <v>798</v>
      </c>
      <c r="K238" s="193">
        <v>798</v>
      </c>
      <c r="L238" s="193">
        <v>840</v>
      </c>
      <c r="M238" s="194">
        <v>840</v>
      </c>
      <c r="N238" s="284">
        <v>168</v>
      </c>
      <c r="O238" s="285">
        <v>10.42</v>
      </c>
      <c r="P238" s="285">
        <v>24</v>
      </c>
      <c r="Q238" s="285" t="s">
        <v>1</v>
      </c>
      <c r="R238" s="285" t="s">
        <v>1</v>
      </c>
      <c r="S238" s="286">
        <v>168</v>
      </c>
      <c r="T238" s="285">
        <v>10.42</v>
      </c>
      <c r="U238" s="285">
        <v>24</v>
      </c>
      <c r="V238" s="285" t="s">
        <v>1</v>
      </c>
      <c r="W238" s="285" t="s">
        <v>1</v>
      </c>
      <c r="X238" s="286">
        <v>168</v>
      </c>
      <c r="Y238" s="285">
        <v>10.42</v>
      </c>
      <c r="Z238" s="285">
        <v>24</v>
      </c>
      <c r="AA238" s="285" t="s">
        <v>1</v>
      </c>
      <c r="AB238" s="285" t="s">
        <v>1</v>
      </c>
      <c r="AC238" s="286">
        <v>168</v>
      </c>
      <c r="AD238" s="285">
        <v>10.42</v>
      </c>
      <c r="AE238" s="285">
        <v>24</v>
      </c>
      <c r="AF238" s="285" t="s">
        <v>1</v>
      </c>
      <c r="AG238" s="285" t="s">
        <v>1</v>
      </c>
      <c r="AH238" s="286" t="s">
        <v>1</v>
      </c>
      <c r="AI238" s="295" t="s">
        <v>1</v>
      </c>
      <c r="AJ238" s="295" t="s">
        <v>1</v>
      </c>
      <c r="AK238" s="295" t="s">
        <v>1</v>
      </c>
      <c r="AL238" s="302" t="s">
        <v>1</v>
      </c>
      <c r="AM238" s="288" t="s">
        <v>1</v>
      </c>
      <c r="AN238" s="287" t="s">
        <v>1</v>
      </c>
      <c r="AO238" s="287" t="s">
        <v>1</v>
      </c>
      <c r="AP238" s="286" t="s">
        <v>1</v>
      </c>
      <c r="AQ238" s="285" t="s">
        <v>1</v>
      </c>
      <c r="AR238" s="289" t="s">
        <v>1</v>
      </c>
      <c r="AS238" s="289" t="s">
        <v>1</v>
      </c>
      <c r="AT238" s="290" t="s">
        <v>1</v>
      </c>
      <c r="AU238" s="287" t="s">
        <v>1</v>
      </c>
      <c r="AV238" s="287" t="s">
        <v>1</v>
      </c>
      <c r="AW238" s="291" t="s">
        <v>1</v>
      </c>
    </row>
    <row r="239" spans="1:49" ht="30.15" customHeight="1" x14ac:dyDescent="0.25">
      <c r="A239" s="213" t="s">
        <v>18</v>
      </c>
      <c r="B239" s="188" t="s">
        <v>1</v>
      </c>
      <c r="C239" s="212" t="s">
        <v>34</v>
      </c>
      <c r="D239" s="190" t="s">
        <v>3</v>
      </c>
      <c r="E239" s="190" t="s">
        <v>720</v>
      </c>
      <c r="F239" s="203"/>
      <c r="G239" s="190" t="s">
        <v>721</v>
      </c>
      <c r="H239" s="192" t="s">
        <v>414</v>
      </c>
      <c r="I239" s="193">
        <v>779</v>
      </c>
      <c r="J239" s="193">
        <v>798</v>
      </c>
      <c r="K239" s="193">
        <v>798</v>
      </c>
      <c r="L239" s="193">
        <v>840</v>
      </c>
      <c r="M239" s="194">
        <v>840</v>
      </c>
      <c r="N239" s="284">
        <v>168</v>
      </c>
      <c r="O239" s="285">
        <v>10.42</v>
      </c>
      <c r="P239" s="285">
        <v>24</v>
      </c>
      <c r="Q239" s="285" t="s">
        <v>1</v>
      </c>
      <c r="R239" s="285" t="s">
        <v>1</v>
      </c>
      <c r="S239" s="286">
        <v>168</v>
      </c>
      <c r="T239" s="285">
        <v>10.42</v>
      </c>
      <c r="U239" s="285">
        <v>24</v>
      </c>
      <c r="V239" s="285" t="s">
        <v>1</v>
      </c>
      <c r="W239" s="285" t="s">
        <v>1</v>
      </c>
      <c r="X239" s="286">
        <v>168</v>
      </c>
      <c r="Y239" s="285">
        <v>10.42</v>
      </c>
      <c r="Z239" s="285">
        <v>24</v>
      </c>
      <c r="AA239" s="285" t="s">
        <v>1</v>
      </c>
      <c r="AB239" s="285" t="s">
        <v>1</v>
      </c>
      <c r="AC239" s="286">
        <v>168</v>
      </c>
      <c r="AD239" s="285">
        <v>10.42</v>
      </c>
      <c r="AE239" s="285">
        <v>24</v>
      </c>
      <c r="AF239" s="285" t="s">
        <v>1</v>
      </c>
      <c r="AG239" s="285" t="s">
        <v>1</v>
      </c>
      <c r="AH239" s="286" t="s">
        <v>1</v>
      </c>
      <c r="AI239" s="295" t="s">
        <v>1</v>
      </c>
      <c r="AJ239" s="295" t="s">
        <v>1</v>
      </c>
      <c r="AK239" s="295" t="s">
        <v>1</v>
      </c>
      <c r="AL239" s="302" t="s">
        <v>1</v>
      </c>
      <c r="AM239" s="288" t="s">
        <v>1</v>
      </c>
      <c r="AN239" s="287" t="s">
        <v>1</v>
      </c>
      <c r="AO239" s="287" t="s">
        <v>1</v>
      </c>
      <c r="AP239" s="286" t="s">
        <v>1</v>
      </c>
      <c r="AQ239" s="285" t="s">
        <v>1</v>
      </c>
      <c r="AR239" s="289" t="s">
        <v>1</v>
      </c>
      <c r="AS239" s="289" t="s">
        <v>1</v>
      </c>
      <c r="AT239" s="290" t="s">
        <v>1</v>
      </c>
      <c r="AU239" s="287" t="s">
        <v>1</v>
      </c>
      <c r="AV239" s="287" t="s">
        <v>1</v>
      </c>
      <c r="AW239" s="291" t="s">
        <v>1</v>
      </c>
    </row>
    <row r="240" spans="1:49" ht="30.15" customHeight="1" x14ac:dyDescent="0.25">
      <c r="A240" s="213" t="s">
        <v>18</v>
      </c>
      <c r="B240" s="188" t="s">
        <v>1</v>
      </c>
      <c r="C240" s="212" t="s">
        <v>34</v>
      </c>
      <c r="D240" s="217" t="s">
        <v>3</v>
      </c>
      <c r="E240" s="217" t="s">
        <v>334</v>
      </c>
      <c r="F240" s="218"/>
      <c r="G240" s="217" t="s">
        <v>335</v>
      </c>
      <c r="H240" s="219" t="s">
        <v>409</v>
      </c>
      <c r="I240" s="220">
        <v>1179</v>
      </c>
      <c r="J240" s="220">
        <v>1209</v>
      </c>
      <c r="K240" s="220">
        <v>1209</v>
      </c>
      <c r="L240" s="220">
        <v>1080</v>
      </c>
      <c r="M240" s="220">
        <v>1080</v>
      </c>
      <c r="N240" s="304">
        <v>216</v>
      </c>
      <c r="O240" s="285">
        <v>25</v>
      </c>
      <c r="P240" s="285">
        <v>24</v>
      </c>
      <c r="Q240" s="285" t="s">
        <v>1</v>
      </c>
      <c r="R240" s="285" t="s">
        <v>1</v>
      </c>
      <c r="S240" s="305">
        <v>216</v>
      </c>
      <c r="T240" s="285">
        <v>25</v>
      </c>
      <c r="U240" s="285">
        <v>24</v>
      </c>
      <c r="V240" s="285" t="s">
        <v>1</v>
      </c>
      <c r="W240" s="285" t="s">
        <v>1</v>
      </c>
      <c r="X240" s="305">
        <v>216</v>
      </c>
      <c r="Y240" s="285">
        <v>25</v>
      </c>
      <c r="Z240" s="285">
        <v>24</v>
      </c>
      <c r="AA240" s="285" t="s">
        <v>1</v>
      </c>
      <c r="AB240" s="285" t="s">
        <v>1</v>
      </c>
      <c r="AC240" s="305">
        <v>216</v>
      </c>
      <c r="AD240" s="285">
        <v>25</v>
      </c>
      <c r="AE240" s="285">
        <v>24</v>
      </c>
      <c r="AF240" s="285" t="s">
        <v>1</v>
      </c>
      <c r="AG240" s="285" t="s">
        <v>1</v>
      </c>
      <c r="AH240" s="286" t="s">
        <v>1</v>
      </c>
      <c r="AI240" s="295" t="s">
        <v>1</v>
      </c>
      <c r="AJ240" s="295" t="s">
        <v>1</v>
      </c>
      <c r="AK240" s="295" t="s">
        <v>1</v>
      </c>
      <c r="AL240" s="302" t="s">
        <v>1</v>
      </c>
      <c r="AM240" s="288" t="s">
        <v>1</v>
      </c>
      <c r="AN240" s="287" t="s">
        <v>1</v>
      </c>
      <c r="AO240" s="287" t="s">
        <v>1</v>
      </c>
      <c r="AP240" s="286" t="s">
        <v>1</v>
      </c>
      <c r="AQ240" s="285" t="s">
        <v>1</v>
      </c>
      <c r="AR240" s="289" t="s">
        <v>1</v>
      </c>
      <c r="AS240" s="289" t="s">
        <v>1</v>
      </c>
      <c r="AT240" s="290" t="s">
        <v>1</v>
      </c>
      <c r="AU240" s="287" t="s">
        <v>1</v>
      </c>
      <c r="AV240" s="287" t="s">
        <v>1</v>
      </c>
      <c r="AW240" s="291" t="s">
        <v>1</v>
      </c>
    </row>
    <row r="241" spans="1:49" ht="30.15" customHeight="1" x14ac:dyDescent="0.25">
      <c r="A241" s="213" t="s">
        <v>18</v>
      </c>
      <c r="B241" s="188" t="s">
        <v>1</v>
      </c>
      <c r="C241" s="212" t="s">
        <v>34</v>
      </c>
      <c r="D241" s="217" t="s">
        <v>3</v>
      </c>
      <c r="E241" s="217" t="s">
        <v>336</v>
      </c>
      <c r="F241" s="218"/>
      <c r="G241" s="217" t="s">
        <v>335</v>
      </c>
      <c r="H241" s="219" t="s">
        <v>409</v>
      </c>
      <c r="I241" s="220">
        <v>1179</v>
      </c>
      <c r="J241" s="220">
        <v>1209</v>
      </c>
      <c r="K241" s="220">
        <v>1209</v>
      </c>
      <c r="L241" s="220">
        <v>1080</v>
      </c>
      <c r="M241" s="220">
        <v>1080</v>
      </c>
      <c r="N241" s="304">
        <v>216</v>
      </c>
      <c r="O241" s="285">
        <v>25</v>
      </c>
      <c r="P241" s="285">
        <v>24</v>
      </c>
      <c r="Q241" s="285" t="s">
        <v>1</v>
      </c>
      <c r="R241" s="285" t="s">
        <v>1</v>
      </c>
      <c r="S241" s="305">
        <v>216</v>
      </c>
      <c r="T241" s="285">
        <v>25</v>
      </c>
      <c r="U241" s="285">
        <v>24</v>
      </c>
      <c r="V241" s="285" t="s">
        <v>1</v>
      </c>
      <c r="W241" s="285" t="s">
        <v>1</v>
      </c>
      <c r="X241" s="305">
        <v>216</v>
      </c>
      <c r="Y241" s="285">
        <v>25</v>
      </c>
      <c r="Z241" s="285">
        <v>24</v>
      </c>
      <c r="AA241" s="285" t="s">
        <v>1</v>
      </c>
      <c r="AB241" s="285" t="s">
        <v>1</v>
      </c>
      <c r="AC241" s="305">
        <v>216</v>
      </c>
      <c r="AD241" s="285">
        <v>25</v>
      </c>
      <c r="AE241" s="285">
        <v>24</v>
      </c>
      <c r="AF241" s="285" t="s">
        <v>1</v>
      </c>
      <c r="AG241" s="285" t="s">
        <v>1</v>
      </c>
      <c r="AH241" s="286" t="s">
        <v>1</v>
      </c>
      <c r="AI241" s="295" t="s">
        <v>1</v>
      </c>
      <c r="AJ241" s="295" t="s">
        <v>1</v>
      </c>
      <c r="AK241" s="295" t="s">
        <v>1</v>
      </c>
      <c r="AL241" s="302" t="s">
        <v>1</v>
      </c>
      <c r="AM241" s="288" t="s">
        <v>1</v>
      </c>
      <c r="AN241" s="287" t="s">
        <v>1</v>
      </c>
      <c r="AO241" s="287" t="s">
        <v>1</v>
      </c>
      <c r="AP241" s="286" t="s">
        <v>1</v>
      </c>
      <c r="AQ241" s="285" t="s">
        <v>1</v>
      </c>
      <c r="AR241" s="289" t="s">
        <v>1</v>
      </c>
      <c r="AS241" s="289" t="s">
        <v>1</v>
      </c>
      <c r="AT241" s="290" t="s">
        <v>1</v>
      </c>
      <c r="AU241" s="287" t="s">
        <v>1</v>
      </c>
      <c r="AV241" s="287" t="s">
        <v>1</v>
      </c>
      <c r="AW241" s="291" t="s">
        <v>1</v>
      </c>
    </row>
    <row r="242" spans="1:49" ht="30.15" customHeight="1" x14ac:dyDescent="0.25">
      <c r="A242" s="213" t="s">
        <v>18</v>
      </c>
      <c r="B242" s="188" t="s">
        <v>1</v>
      </c>
      <c r="C242" s="212" t="s">
        <v>34</v>
      </c>
      <c r="D242" s="217" t="s">
        <v>3</v>
      </c>
      <c r="E242" s="217" t="s">
        <v>338</v>
      </c>
      <c r="F242" s="218"/>
      <c r="G242" s="217" t="s">
        <v>337</v>
      </c>
      <c r="H242" s="219" t="s">
        <v>409</v>
      </c>
      <c r="I242" s="220">
        <v>1379</v>
      </c>
      <c r="J242" s="220">
        <v>1409</v>
      </c>
      <c r="K242" s="220">
        <v>1409</v>
      </c>
      <c r="L242" s="220">
        <v>1290</v>
      </c>
      <c r="M242" s="220">
        <v>1290</v>
      </c>
      <c r="N242" s="304">
        <v>258</v>
      </c>
      <c r="O242" s="285">
        <v>29.17</v>
      </c>
      <c r="P242" s="285">
        <v>24</v>
      </c>
      <c r="Q242" s="285" t="s">
        <v>1</v>
      </c>
      <c r="R242" s="285" t="s">
        <v>1</v>
      </c>
      <c r="S242" s="305">
        <v>258</v>
      </c>
      <c r="T242" s="285">
        <v>29.17</v>
      </c>
      <c r="U242" s="285">
        <v>24</v>
      </c>
      <c r="V242" s="285" t="s">
        <v>1</v>
      </c>
      <c r="W242" s="285" t="s">
        <v>1</v>
      </c>
      <c r="X242" s="305">
        <v>258</v>
      </c>
      <c r="Y242" s="285">
        <v>29.17</v>
      </c>
      <c r="Z242" s="285">
        <v>24</v>
      </c>
      <c r="AA242" s="285" t="s">
        <v>1</v>
      </c>
      <c r="AB242" s="285" t="s">
        <v>1</v>
      </c>
      <c r="AC242" s="305">
        <v>258</v>
      </c>
      <c r="AD242" s="285">
        <v>29.17</v>
      </c>
      <c r="AE242" s="285">
        <v>24</v>
      </c>
      <c r="AF242" s="285" t="s">
        <v>1</v>
      </c>
      <c r="AG242" s="285" t="s">
        <v>1</v>
      </c>
      <c r="AH242" s="286" t="s">
        <v>1</v>
      </c>
      <c r="AI242" s="295" t="s">
        <v>1</v>
      </c>
      <c r="AJ242" s="295" t="s">
        <v>1</v>
      </c>
      <c r="AK242" s="295" t="s">
        <v>1</v>
      </c>
      <c r="AL242" s="302" t="s">
        <v>1</v>
      </c>
      <c r="AM242" s="288" t="s">
        <v>1</v>
      </c>
      <c r="AN242" s="287" t="s">
        <v>1</v>
      </c>
      <c r="AO242" s="287" t="s">
        <v>1</v>
      </c>
      <c r="AP242" s="286" t="s">
        <v>1</v>
      </c>
      <c r="AQ242" s="285" t="s">
        <v>1</v>
      </c>
      <c r="AR242" s="289" t="s">
        <v>1</v>
      </c>
      <c r="AS242" s="289" t="s">
        <v>1</v>
      </c>
      <c r="AT242" s="290" t="s">
        <v>1</v>
      </c>
      <c r="AU242" s="287" t="s">
        <v>1</v>
      </c>
      <c r="AV242" s="287" t="s">
        <v>1</v>
      </c>
      <c r="AW242" s="291" t="s">
        <v>1</v>
      </c>
    </row>
    <row r="243" spans="1:49" ht="30.15" customHeight="1" x14ac:dyDescent="0.25">
      <c r="A243" s="213" t="s">
        <v>18</v>
      </c>
      <c r="B243" s="188" t="s">
        <v>1</v>
      </c>
      <c r="C243" s="212" t="s">
        <v>34</v>
      </c>
      <c r="D243" s="217" t="s">
        <v>3</v>
      </c>
      <c r="E243" s="217" t="s">
        <v>339</v>
      </c>
      <c r="F243" s="218"/>
      <c r="G243" s="217" t="s">
        <v>337</v>
      </c>
      <c r="H243" s="219" t="s">
        <v>409</v>
      </c>
      <c r="I243" s="220">
        <v>1379</v>
      </c>
      <c r="J243" s="220">
        <v>1409</v>
      </c>
      <c r="K243" s="220">
        <v>1409</v>
      </c>
      <c r="L243" s="220">
        <v>1290</v>
      </c>
      <c r="M243" s="220">
        <v>1290</v>
      </c>
      <c r="N243" s="304">
        <v>258</v>
      </c>
      <c r="O243" s="285">
        <v>29.17</v>
      </c>
      <c r="P243" s="285">
        <v>24</v>
      </c>
      <c r="Q243" s="285" t="s">
        <v>1</v>
      </c>
      <c r="R243" s="285" t="s">
        <v>1</v>
      </c>
      <c r="S243" s="305">
        <v>258</v>
      </c>
      <c r="T243" s="285">
        <v>29.17</v>
      </c>
      <c r="U243" s="285">
        <v>24</v>
      </c>
      <c r="V243" s="285" t="s">
        <v>1</v>
      </c>
      <c r="W243" s="285" t="s">
        <v>1</v>
      </c>
      <c r="X243" s="305">
        <v>258</v>
      </c>
      <c r="Y243" s="285">
        <v>29.17</v>
      </c>
      <c r="Z243" s="285">
        <v>24</v>
      </c>
      <c r="AA243" s="285" t="s">
        <v>1</v>
      </c>
      <c r="AB243" s="285" t="s">
        <v>1</v>
      </c>
      <c r="AC243" s="305">
        <v>258</v>
      </c>
      <c r="AD243" s="285">
        <v>29.17</v>
      </c>
      <c r="AE243" s="285">
        <v>24</v>
      </c>
      <c r="AF243" s="285" t="s">
        <v>1</v>
      </c>
      <c r="AG243" s="285" t="s">
        <v>1</v>
      </c>
      <c r="AH243" s="286" t="s">
        <v>1</v>
      </c>
      <c r="AI243" s="295" t="s">
        <v>1</v>
      </c>
      <c r="AJ243" s="295" t="s">
        <v>1</v>
      </c>
      <c r="AK243" s="295" t="s">
        <v>1</v>
      </c>
      <c r="AL243" s="302" t="s">
        <v>1</v>
      </c>
      <c r="AM243" s="288" t="s">
        <v>1</v>
      </c>
      <c r="AN243" s="287" t="s">
        <v>1</v>
      </c>
      <c r="AO243" s="287" t="s">
        <v>1</v>
      </c>
      <c r="AP243" s="286" t="s">
        <v>1</v>
      </c>
      <c r="AQ243" s="285" t="s">
        <v>1</v>
      </c>
      <c r="AR243" s="289" t="s">
        <v>1</v>
      </c>
      <c r="AS243" s="289" t="s">
        <v>1</v>
      </c>
      <c r="AT243" s="290" t="s">
        <v>1</v>
      </c>
      <c r="AU243" s="287" t="s">
        <v>1</v>
      </c>
      <c r="AV243" s="287" t="s">
        <v>1</v>
      </c>
      <c r="AW243" s="291" t="s">
        <v>1</v>
      </c>
    </row>
    <row r="244" spans="1:49" ht="30.15" customHeight="1" x14ac:dyDescent="0.25">
      <c r="A244" s="213" t="s">
        <v>18</v>
      </c>
      <c r="B244" s="188" t="s">
        <v>1</v>
      </c>
      <c r="C244" s="212" t="s">
        <v>34</v>
      </c>
      <c r="D244" s="217" t="s">
        <v>3</v>
      </c>
      <c r="E244" s="217" t="s">
        <v>507</v>
      </c>
      <c r="F244" s="218"/>
      <c r="G244" s="217" t="s">
        <v>504</v>
      </c>
      <c r="H244" s="219" t="s">
        <v>409</v>
      </c>
      <c r="I244" s="220">
        <v>666</v>
      </c>
      <c r="J244" s="220">
        <v>679</v>
      </c>
      <c r="K244" s="220">
        <v>679</v>
      </c>
      <c r="L244" s="220">
        <v>720</v>
      </c>
      <c r="M244" s="220">
        <v>720</v>
      </c>
      <c r="N244" s="304">
        <v>144</v>
      </c>
      <c r="O244" s="285" t="s">
        <v>1</v>
      </c>
      <c r="P244" s="285" t="s">
        <v>1</v>
      </c>
      <c r="Q244" s="285" t="s">
        <v>1</v>
      </c>
      <c r="R244" s="285" t="s">
        <v>1</v>
      </c>
      <c r="S244" s="305">
        <v>144</v>
      </c>
      <c r="T244" s="285" t="s">
        <v>1</v>
      </c>
      <c r="U244" s="285" t="s">
        <v>1</v>
      </c>
      <c r="V244" s="285" t="s">
        <v>1</v>
      </c>
      <c r="W244" s="285" t="s">
        <v>1</v>
      </c>
      <c r="X244" s="305">
        <v>144</v>
      </c>
      <c r="Y244" s="285">
        <v>15</v>
      </c>
      <c r="Z244" s="285">
        <v>24</v>
      </c>
      <c r="AA244" s="285" t="s">
        <v>1</v>
      </c>
      <c r="AB244" s="285" t="s">
        <v>1</v>
      </c>
      <c r="AC244" s="305">
        <v>144</v>
      </c>
      <c r="AD244" s="285">
        <v>15</v>
      </c>
      <c r="AE244" s="285">
        <v>24</v>
      </c>
      <c r="AF244" s="285" t="s">
        <v>1</v>
      </c>
      <c r="AG244" s="285" t="s">
        <v>1</v>
      </c>
      <c r="AH244" s="286" t="s">
        <v>1</v>
      </c>
      <c r="AI244" s="295" t="s">
        <v>1</v>
      </c>
      <c r="AJ244" s="295" t="s">
        <v>1</v>
      </c>
      <c r="AK244" s="295" t="s">
        <v>1</v>
      </c>
      <c r="AL244" s="302" t="s">
        <v>1</v>
      </c>
      <c r="AM244" s="288" t="s">
        <v>1</v>
      </c>
      <c r="AN244" s="287" t="s">
        <v>1</v>
      </c>
      <c r="AO244" s="287" t="s">
        <v>1</v>
      </c>
      <c r="AP244" s="286" t="s">
        <v>1</v>
      </c>
      <c r="AQ244" s="285" t="s">
        <v>1</v>
      </c>
      <c r="AR244" s="289" t="s">
        <v>1</v>
      </c>
      <c r="AS244" s="289" t="s">
        <v>1</v>
      </c>
      <c r="AT244" s="290" t="s">
        <v>1</v>
      </c>
      <c r="AU244" s="287" t="s">
        <v>1</v>
      </c>
      <c r="AV244" s="287" t="s">
        <v>1</v>
      </c>
      <c r="AW244" s="291" t="s">
        <v>1</v>
      </c>
    </row>
    <row r="245" spans="1:49" ht="30.15" customHeight="1" x14ac:dyDescent="0.25">
      <c r="A245" s="213" t="s">
        <v>18</v>
      </c>
      <c r="B245" s="188" t="s">
        <v>1</v>
      </c>
      <c r="C245" s="212" t="s">
        <v>34</v>
      </c>
      <c r="D245" s="217" t="s">
        <v>3</v>
      </c>
      <c r="E245" s="217" t="s">
        <v>509</v>
      </c>
      <c r="F245" s="203"/>
      <c r="G245" s="217" t="s">
        <v>504</v>
      </c>
      <c r="H245" s="219" t="s">
        <v>409</v>
      </c>
      <c r="I245" s="220">
        <v>666</v>
      </c>
      <c r="J245" s="220">
        <v>679</v>
      </c>
      <c r="K245" s="220">
        <v>679</v>
      </c>
      <c r="L245" s="220">
        <v>720</v>
      </c>
      <c r="M245" s="220">
        <v>720</v>
      </c>
      <c r="N245" s="304">
        <v>144</v>
      </c>
      <c r="O245" s="285" t="s">
        <v>1</v>
      </c>
      <c r="P245" s="285" t="s">
        <v>1</v>
      </c>
      <c r="Q245" s="285" t="s">
        <v>1</v>
      </c>
      <c r="R245" s="285" t="s">
        <v>1</v>
      </c>
      <c r="S245" s="305">
        <v>144</v>
      </c>
      <c r="T245" s="285" t="s">
        <v>1</v>
      </c>
      <c r="U245" s="285" t="s">
        <v>1</v>
      </c>
      <c r="V245" s="285" t="s">
        <v>1</v>
      </c>
      <c r="W245" s="285" t="s">
        <v>1</v>
      </c>
      <c r="X245" s="305">
        <v>144</v>
      </c>
      <c r="Y245" s="285">
        <v>15</v>
      </c>
      <c r="Z245" s="285">
        <v>24</v>
      </c>
      <c r="AA245" s="285" t="s">
        <v>1</v>
      </c>
      <c r="AB245" s="285" t="s">
        <v>1</v>
      </c>
      <c r="AC245" s="305">
        <v>144</v>
      </c>
      <c r="AD245" s="285">
        <v>15</v>
      </c>
      <c r="AE245" s="285">
        <v>24</v>
      </c>
      <c r="AF245" s="285" t="s">
        <v>1</v>
      </c>
      <c r="AG245" s="285" t="s">
        <v>1</v>
      </c>
      <c r="AH245" s="286" t="s">
        <v>1</v>
      </c>
      <c r="AI245" s="295" t="s">
        <v>1</v>
      </c>
      <c r="AJ245" s="295" t="s">
        <v>1</v>
      </c>
      <c r="AK245" s="295" t="s">
        <v>1</v>
      </c>
      <c r="AL245" s="302" t="s">
        <v>1</v>
      </c>
      <c r="AM245" s="288" t="s">
        <v>1</v>
      </c>
      <c r="AN245" s="287" t="s">
        <v>1</v>
      </c>
      <c r="AO245" s="287" t="s">
        <v>1</v>
      </c>
      <c r="AP245" s="286" t="s">
        <v>1</v>
      </c>
      <c r="AQ245" s="285" t="s">
        <v>1</v>
      </c>
      <c r="AR245" s="289" t="s">
        <v>1</v>
      </c>
      <c r="AS245" s="289" t="s">
        <v>1</v>
      </c>
      <c r="AT245" s="290" t="s">
        <v>1</v>
      </c>
      <c r="AU245" s="287" t="s">
        <v>1</v>
      </c>
      <c r="AV245" s="287" t="s">
        <v>1</v>
      </c>
      <c r="AW245" s="291" t="s">
        <v>1</v>
      </c>
    </row>
    <row r="246" spans="1:49" ht="30.15" customHeight="1" x14ac:dyDescent="0.25">
      <c r="A246" s="213" t="s">
        <v>18</v>
      </c>
      <c r="B246" s="188" t="s">
        <v>1</v>
      </c>
      <c r="C246" s="212" t="s">
        <v>34</v>
      </c>
      <c r="D246" s="217" t="s">
        <v>3</v>
      </c>
      <c r="E246" s="217" t="s">
        <v>508</v>
      </c>
      <c r="F246" s="203"/>
      <c r="G246" s="217" t="s">
        <v>504</v>
      </c>
      <c r="H246" s="219" t="s">
        <v>409</v>
      </c>
      <c r="I246" s="220">
        <v>666</v>
      </c>
      <c r="J246" s="220">
        <v>679</v>
      </c>
      <c r="K246" s="220">
        <v>679</v>
      </c>
      <c r="L246" s="220">
        <v>720</v>
      </c>
      <c r="M246" s="220">
        <v>720</v>
      </c>
      <c r="N246" s="304">
        <v>144</v>
      </c>
      <c r="O246" s="285" t="s">
        <v>1</v>
      </c>
      <c r="P246" s="285" t="s">
        <v>1</v>
      </c>
      <c r="Q246" s="285" t="s">
        <v>1</v>
      </c>
      <c r="R246" s="285" t="s">
        <v>1</v>
      </c>
      <c r="S246" s="305">
        <v>144</v>
      </c>
      <c r="T246" s="285" t="s">
        <v>1</v>
      </c>
      <c r="U246" s="285" t="s">
        <v>1</v>
      </c>
      <c r="V246" s="285" t="s">
        <v>1</v>
      </c>
      <c r="W246" s="285" t="s">
        <v>1</v>
      </c>
      <c r="X246" s="305">
        <v>144</v>
      </c>
      <c r="Y246" s="285">
        <v>15</v>
      </c>
      <c r="Z246" s="285">
        <v>24</v>
      </c>
      <c r="AA246" s="285" t="s">
        <v>1</v>
      </c>
      <c r="AB246" s="285" t="s">
        <v>1</v>
      </c>
      <c r="AC246" s="305">
        <v>144</v>
      </c>
      <c r="AD246" s="285">
        <v>15</v>
      </c>
      <c r="AE246" s="285">
        <v>24</v>
      </c>
      <c r="AF246" s="285" t="s">
        <v>1</v>
      </c>
      <c r="AG246" s="285" t="s">
        <v>1</v>
      </c>
      <c r="AH246" s="286" t="s">
        <v>1</v>
      </c>
      <c r="AI246" s="295" t="s">
        <v>1</v>
      </c>
      <c r="AJ246" s="295" t="s">
        <v>1</v>
      </c>
      <c r="AK246" s="295" t="s">
        <v>1</v>
      </c>
      <c r="AL246" s="302" t="s">
        <v>1</v>
      </c>
      <c r="AM246" s="288" t="s">
        <v>1</v>
      </c>
      <c r="AN246" s="287" t="s">
        <v>1</v>
      </c>
      <c r="AO246" s="287" t="s">
        <v>1</v>
      </c>
      <c r="AP246" s="286" t="s">
        <v>1</v>
      </c>
      <c r="AQ246" s="285" t="s">
        <v>1</v>
      </c>
      <c r="AR246" s="289" t="s">
        <v>1</v>
      </c>
      <c r="AS246" s="289" t="s">
        <v>1</v>
      </c>
      <c r="AT246" s="290" t="s">
        <v>1</v>
      </c>
      <c r="AU246" s="287" t="s">
        <v>1</v>
      </c>
      <c r="AV246" s="287" t="s">
        <v>1</v>
      </c>
      <c r="AW246" s="291" t="s">
        <v>1</v>
      </c>
    </row>
    <row r="247" spans="1:49" ht="30.15" customHeight="1" x14ac:dyDescent="0.25">
      <c r="A247" s="213" t="s">
        <v>18</v>
      </c>
      <c r="B247" s="188" t="s">
        <v>1</v>
      </c>
      <c r="C247" s="212" t="s">
        <v>34</v>
      </c>
      <c r="D247" s="217" t="s">
        <v>3</v>
      </c>
      <c r="E247" s="217" t="s">
        <v>510</v>
      </c>
      <c r="F247" s="203"/>
      <c r="G247" s="217" t="s">
        <v>504</v>
      </c>
      <c r="H247" s="219" t="s">
        <v>409</v>
      </c>
      <c r="I247" s="220">
        <v>666</v>
      </c>
      <c r="J247" s="220">
        <v>679</v>
      </c>
      <c r="K247" s="220">
        <v>679</v>
      </c>
      <c r="L247" s="220">
        <v>720</v>
      </c>
      <c r="M247" s="220">
        <v>720</v>
      </c>
      <c r="N247" s="304">
        <v>144</v>
      </c>
      <c r="O247" s="285" t="s">
        <v>1</v>
      </c>
      <c r="P247" s="285" t="s">
        <v>1</v>
      </c>
      <c r="Q247" s="285" t="s">
        <v>1</v>
      </c>
      <c r="R247" s="285" t="s">
        <v>1</v>
      </c>
      <c r="S247" s="305">
        <v>144</v>
      </c>
      <c r="T247" s="285" t="s">
        <v>1</v>
      </c>
      <c r="U247" s="285" t="s">
        <v>1</v>
      </c>
      <c r="V247" s="285" t="s">
        <v>1</v>
      </c>
      <c r="W247" s="285" t="s">
        <v>1</v>
      </c>
      <c r="X247" s="305">
        <v>144</v>
      </c>
      <c r="Y247" s="285">
        <v>15</v>
      </c>
      <c r="Z247" s="285">
        <v>24</v>
      </c>
      <c r="AA247" s="285" t="s">
        <v>1</v>
      </c>
      <c r="AB247" s="285" t="s">
        <v>1</v>
      </c>
      <c r="AC247" s="305">
        <v>144</v>
      </c>
      <c r="AD247" s="285">
        <v>15</v>
      </c>
      <c r="AE247" s="285">
        <v>24</v>
      </c>
      <c r="AF247" s="285" t="s">
        <v>1</v>
      </c>
      <c r="AG247" s="285" t="s">
        <v>1</v>
      </c>
      <c r="AH247" s="286" t="s">
        <v>1</v>
      </c>
      <c r="AI247" s="295" t="s">
        <v>1</v>
      </c>
      <c r="AJ247" s="295" t="s">
        <v>1</v>
      </c>
      <c r="AK247" s="295" t="s">
        <v>1</v>
      </c>
      <c r="AL247" s="302" t="s">
        <v>1</v>
      </c>
      <c r="AM247" s="288" t="s">
        <v>1</v>
      </c>
      <c r="AN247" s="287" t="s">
        <v>1</v>
      </c>
      <c r="AO247" s="287" t="s">
        <v>1</v>
      </c>
      <c r="AP247" s="286" t="s">
        <v>1</v>
      </c>
      <c r="AQ247" s="285" t="s">
        <v>1</v>
      </c>
      <c r="AR247" s="289" t="s">
        <v>1</v>
      </c>
      <c r="AS247" s="289" t="s">
        <v>1</v>
      </c>
      <c r="AT247" s="290" t="s">
        <v>1</v>
      </c>
      <c r="AU247" s="287" t="s">
        <v>1</v>
      </c>
      <c r="AV247" s="287" t="s">
        <v>1</v>
      </c>
      <c r="AW247" s="291" t="s">
        <v>1</v>
      </c>
    </row>
    <row r="248" spans="1:49" ht="30.15" customHeight="1" x14ac:dyDescent="0.25">
      <c r="A248" s="213" t="s">
        <v>18</v>
      </c>
      <c r="B248" s="188" t="s">
        <v>1</v>
      </c>
      <c r="C248" s="212" t="s">
        <v>34</v>
      </c>
      <c r="D248" s="217" t="s">
        <v>3</v>
      </c>
      <c r="E248" s="217" t="s">
        <v>511</v>
      </c>
      <c r="F248" s="218"/>
      <c r="G248" s="217" t="s">
        <v>504</v>
      </c>
      <c r="H248" s="219" t="s">
        <v>409</v>
      </c>
      <c r="I248" s="220">
        <v>666</v>
      </c>
      <c r="J248" s="220">
        <v>679</v>
      </c>
      <c r="K248" s="220">
        <v>679</v>
      </c>
      <c r="L248" s="220">
        <v>720</v>
      </c>
      <c r="M248" s="220">
        <v>720</v>
      </c>
      <c r="N248" s="304">
        <v>144</v>
      </c>
      <c r="O248" s="285" t="s">
        <v>1</v>
      </c>
      <c r="P248" s="285" t="s">
        <v>1</v>
      </c>
      <c r="Q248" s="285" t="s">
        <v>1</v>
      </c>
      <c r="R248" s="285" t="s">
        <v>1</v>
      </c>
      <c r="S248" s="305">
        <v>144</v>
      </c>
      <c r="T248" s="285" t="s">
        <v>1</v>
      </c>
      <c r="U248" s="285" t="s">
        <v>1</v>
      </c>
      <c r="V248" s="285" t="s">
        <v>1</v>
      </c>
      <c r="W248" s="285" t="s">
        <v>1</v>
      </c>
      <c r="X248" s="305">
        <v>144</v>
      </c>
      <c r="Y248" s="285">
        <v>15</v>
      </c>
      <c r="Z248" s="285">
        <v>24</v>
      </c>
      <c r="AA248" s="285" t="s">
        <v>1</v>
      </c>
      <c r="AB248" s="285" t="s">
        <v>1</v>
      </c>
      <c r="AC248" s="305">
        <v>144</v>
      </c>
      <c r="AD248" s="285">
        <v>15</v>
      </c>
      <c r="AE248" s="285">
        <v>24</v>
      </c>
      <c r="AF248" s="285" t="s">
        <v>1</v>
      </c>
      <c r="AG248" s="285" t="s">
        <v>1</v>
      </c>
      <c r="AH248" s="286" t="s">
        <v>1</v>
      </c>
      <c r="AI248" s="295" t="s">
        <v>1</v>
      </c>
      <c r="AJ248" s="295" t="s">
        <v>1</v>
      </c>
      <c r="AK248" s="295" t="s">
        <v>1</v>
      </c>
      <c r="AL248" s="302" t="s">
        <v>1</v>
      </c>
      <c r="AM248" s="288" t="s">
        <v>1</v>
      </c>
      <c r="AN248" s="287" t="s">
        <v>1</v>
      </c>
      <c r="AO248" s="287" t="s">
        <v>1</v>
      </c>
      <c r="AP248" s="286" t="s">
        <v>1</v>
      </c>
      <c r="AQ248" s="285" t="s">
        <v>1</v>
      </c>
      <c r="AR248" s="289" t="s">
        <v>1</v>
      </c>
      <c r="AS248" s="289" t="s">
        <v>1</v>
      </c>
      <c r="AT248" s="290" t="s">
        <v>1</v>
      </c>
      <c r="AU248" s="287" t="s">
        <v>1</v>
      </c>
      <c r="AV248" s="287" t="s">
        <v>1</v>
      </c>
      <c r="AW248" s="291" t="s">
        <v>1</v>
      </c>
    </row>
    <row r="249" spans="1:49" ht="30.15" customHeight="1" x14ac:dyDescent="0.25">
      <c r="A249" s="213" t="s">
        <v>18</v>
      </c>
      <c r="B249" s="188" t="s">
        <v>1</v>
      </c>
      <c r="C249" s="212" t="s">
        <v>34</v>
      </c>
      <c r="D249" s="217" t="s">
        <v>3</v>
      </c>
      <c r="E249" s="217" t="s">
        <v>512</v>
      </c>
      <c r="F249" s="203"/>
      <c r="G249" s="217" t="s">
        <v>504</v>
      </c>
      <c r="H249" s="219" t="s">
        <v>409</v>
      </c>
      <c r="I249" s="220">
        <v>666</v>
      </c>
      <c r="J249" s="220">
        <v>679</v>
      </c>
      <c r="K249" s="220">
        <v>679</v>
      </c>
      <c r="L249" s="220">
        <v>720</v>
      </c>
      <c r="M249" s="220">
        <v>720</v>
      </c>
      <c r="N249" s="304">
        <v>144</v>
      </c>
      <c r="O249" s="285" t="s">
        <v>1</v>
      </c>
      <c r="P249" s="285" t="s">
        <v>1</v>
      </c>
      <c r="Q249" s="285" t="s">
        <v>1</v>
      </c>
      <c r="R249" s="285" t="s">
        <v>1</v>
      </c>
      <c r="S249" s="305">
        <v>144</v>
      </c>
      <c r="T249" s="285" t="s">
        <v>1</v>
      </c>
      <c r="U249" s="285" t="s">
        <v>1</v>
      </c>
      <c r="V249" s="285" t="s">
        <v>1</v>
      </c>
      <c r="W249" s="285" t="s">
        <v>1</v>
      </c>
      <c r="X249" s="305">
        <v>144</v>
      </c>
      <c r="Y249" s="285">
        <v>15</v>
      </c>
      <c r="Z249" s="285">
        <v>24</v>
      </c>
      <c r="AA249" s="285" t="s">
        <v>1</v>
      </c>
      <c r="AB249" s="285" t="s">
        <v>1</v>
      </c>
      <c r="AC249" s="305">
        <v>144</v>
      </c>
      <c r="AD249" s="285">
        <v>15</v>
      </c>
      <c r="AE249" s="285">
        <v>24</v>
      </c>
      <c r="AF249" s="285" t="s">
        <v>1</v>
      </c>
      <c r="AG249" s="285" t="s">
        <v>1</v>
      </c>
      <c r="AH249" s="286" t="s">
        <v>1</v>
      </c>
      <c r="AI249" s="295" t="s">
        <v>1</v>
      </c>
      <c r="AJ249" s="295" t="s">
        <v>1</v>
      </c>
      <c r="AK249" s="295" t="s">
        <v>1</v>
      </c>
      <c r="AL249" s="302" t="s">
        <v>1</v>
      </c>
      <c r="AM249" s="288" t="s">
        <v>1</v>
      </c>
      <c r="AN249" s="287" t="s">
        <v>1</v>
      </c>
      <c r="AO249" s="287" t="s">
        <v>1</v>
      </c>
      <c r="AP249" s="286" t="s">
        <v>1</v>
      </c>
      <c r="AQ249" s="285" t="s">
        <v>1</v>
      </c>
      <c r="AR249" s="289" t="s">
        <v>1</v>
      </c>
      <c r="AS249" s="289" t="s">
        <v>1</v>
      </c>
      <c r="AT249" s="290" t="s">
        <v>1</v>
      </c>
      <c r="AU249" s="287" t="s">
        <v>1</v>
      </c>
      <c r="AV249" s="287" t="s">
        <v>1</v>
      </c>
      <c r="AW249" s="291" t="s">
        <v>1</v>
      </c>
    </row>
    <row r="250" spans="1:49" ht="30.15" customHeight="1" x14ac:dyDescent="0.25">
      <c r="A250" s="213" t="s">
        <v>18</v>
      </c>
      <c r="B250" s="188" t="s">
        <v>1</v>
      </c>
      <c r="C250" s="212" t="s">
        <v>34</v>
      </c>
      <c r="D250" s="217" t="s">
        <v>3</v>
      </c>
      <c r="E250" s="217" t="s">
        <v>513</v>
      </c>
      <c r="F250" s="218"/>
      <c r="G250" s="217" t="s">
        <v>506</v>
      </c>
      <c r="H250" s="219" t="s">
        <v>409</v>
      </c>
      <c r="I250" s="220">
        <v>732</v>
      </c>
      <c r="J250" s="220">
        <v>751</v>
      </c>
      <c r="K250" s="220">
        <v>751</v>
      </c>
      <c r="L250" s="220">
        <v>790</v>
      </c>
      <c r="M250" s="220">
        <v>790</v>
      </c>
      <c r="N250" s="304">
        <v>158</v>
      </c>
      <c r="O250" s="285" t="s">
        <v>1</v>
      </c>
      <c r="P250" s="285" t="s">
        <v>1</v>
      </c>
      <c r="Q250" s="285" t="s">
        <v>1</v>
      </c>
      <c r="R250" s="285" t="s">
        <v>1</v>
      </c>
      <c r="S250" s="305">
        <v>158</v>
      </c>
      <c r="T250" s="285" t="s">
        <v>1</v>
      </c>
      <c r="U250" s="285" t="s">
        <v>1</v>
      </c>
      <c r="V250" s="285" t="s">
        <v>1</v>
      </c>
      <c r="W250" s="285" t="s">
        <v>1</v>
      </c>
      <c r="X250" s="305">
        <v>158</v>
      </c>
      <c r="Y250" s="285">
        <v>15</v>
      </c>
      <c r="Z250" s="285">
        <v>24</v>
      </c>
      <c r="AA250" s="285" t="s">
        <v>1</v>
      </c>
      <c r="AB250" s="285" t="s">
        <v>1</v>
      </c>
      <c r="AC250" s="305">
        <v>158</v>
      </c>
      <c r="AD250" s="285">
        <v>15</v>
      </c>
      <c r="AE250" s="285">
        <v>24</v>
      </c>
      <c r="AF250" s="285" t="s">
        <v>1</v>
      </c>
      <c r="AG250" s="285" t="s">
        <v>1</v>
      </c>
      <c r="AH250" s="286" t="s">
        <v>1</v>
      </c>
      <c r="AI250" s="295" t="s">
        <v>1</v>
      </c>
      <c r="AJ250" s="295" t="s">
        <v>1</v>
      </c>
      <c r="AK250" s="295" t="s">
        <v>1</v>
      </c>
      <c r="AL250" s="302" t="s">
        <v>1</v>
      </c>
      <c r="AM250" s="288" t="s">
        <v>1</v>
      </c>
      <c r="AN250" s="287" t="s">
        <v>1</v>
      </c>
      <c r="AO250" s="287" t="s">
        <v>1</v>
      </c>
      <c r="AP250" s="286" t="s">
        <v>1</v>
      </c>
      <c r="AQ250" s="285" t="s">
        <v>1</v>
      </c>
      <c r="AR250" s="289" t="s">
        <v>1</v>
      </c>
      <c r="AS250" s="289" t="s">
        <v>1</v>
      </c>
      <c r="AT250" s="290" t="s">
        <v>1</v>
      </c>
      <c r="AU250" s="287" t="s">
        <v>1</v>
      </c>
      <c r="AV250" s="287" t="s">
        <v>1</v>
      </c>
      <c r="AW250" s="291" t="s">
        <v>1</v>
      </c>
    </row>
    <row r="251" spans="1:49" ht="30.15" customHeight="1" x14ac:dyDescent="0.25">
      <c r="A251" s="213" t="s">
        <v>18</v>
      </c>
      <c r="B251" s="188" t="s">
        <v>1</v>
      </c>
      <c r="C251" s="212" t="s">
        <v>34</v>
      </c>
      <c r="D251" s="217" t="s">
        <v>3</v>
      </c>
      <c r="E251" s="217" t="s">
        <v>514</v>
      </c>
      <c r="F251" s="203"/>
      <c r="G251" s="217" t="s">
        <v>506</v>
      </c>
      <c r="H251" s="219" t="s">
        <v>409</v>
      </c>
      <c r="I251" s="220">
        <v>732</v>
      </c>
      <c r="J251" s="220">
        <v>751</v>
      </c>
      <c r="K251" s="220">
        <v>751</v>
      </c>
      <c r="L251" s="220">
        <v>790</v>
      </c>
      <c r="M251" s="220">
        <v>790</v>
      </c>
      <c r="N251" s="304">
        <v>158</v>
      </c>
      <c r="O251" s="285" t="s">
        <v>1</v>
      </c>
      <c r="P251" s="285" t="s">
        <v>1</v>
      </c>
      <c r="Q251" s="285" t="s">
        <v>1</v>
      </c>
      <c r="R251" s="285" t="s">
        <v>1</v>
      </c>
      <c r="S251" s="305">
        <v>158</v>
      </c>
      <c r="T251" s="285" t="s">
        <v>1</v>
      </c>
      <c r="U251" s="285" t="s">
        <v>1</v>
      </c>
      <c r="V251" s="285" t="s">
        <v>1</v>
      </c>
      <c r="W251" s="285" t="s">
        <v>1</v>
      </c>
      <c r="X251" s="305">
        <v>158</v>
      </c>
      <c r="Y251" s="285">
        <v>15</v>
      </c>
      <c r="Z251" s="285">
        <v>24</v>
      </c>
      <c r="AA251" s="285" t="s">
        <v>1</v>
      </c>
      <c r="AB251" s="285" t="s">
        <v>1</v>
      </c>
      <c r="AC251" s="305">
        <v>158</v>
      </c>
      <c r="AD251" s="285">
        <v>15</v>
      </c>
      <c r="AE251" s="285">
        <v>24</v>
      </c>
      <c r="AF251" s="285" t="s">
        <v>1</v>
      </c>
      <c r="AG251" s="285" t="s">
        <v>1</v>
      </c>
      <c r="AH251" s="286" t="s">
        <v>1</v>
      </c>
      <c r="AI251" s="295" t="s">
        <v>1</v>
      </c>
      <c r="AJ251" s="295" t="s">
        <v>1</v>
      </c>
      <c r="AK251" s="295" t="s">
        <v>1</v>
      </c>
      <c r="AL251" s="302" t="s">
        <v>1</v>
      </c>
      <c r="AM251" s="288" t="s">
        <v>1</v>
      </c>
      <c r="AN251" s="287" t="s">
        <v>1</v>
      </c>
      <c r="AO251" s="287" t="s">
        <v>1</v>
      </c>
      <c r="AP251" s="286" t="s">
        <v>1</v>
      </c>
      <c r="AQ251" s="285" t="s">
        <v>1</v>
      </c>
      <c r="AR251" s="289" t="s">
        <v>1</v>
      </c>
      <c r="AS251" s="289" t="s">
        <v>1</v>
      </c>
      <c r="AT251" s="290" t="s">
        <v>1</v>
      </c>
      <c r="AU251" s="287" t="s">
        <v>1</v>
      </c>
      <c r="AV251" s="287" t="s">
        <v>1</v>
      </c>
      <c r="AW251" s="291" t="s">
        <v>1</v>
      </c>
    </row>
    <row r="252" spans="1:49" ht="30.15" customHeight="1" x14ac:dyDescent="0.25">
      <c r="A252" s="213" t="s">
        <v>18</v>
      </c>
      <c r="B252" s="188" t="s">
        <v>1</v>
      </c>
      <c r="C252" s="212" t="s">
        <v>34</v>
      </c>
      <c r="D252" s="217" t="s">
        <v>3</v>
      </c>
      <c r="E252" s="217" t="s">
        <v>515</v>
      </c>
      <c r="F252" s="203"/>
      <c r="G252" s="217" t="s">
        <v>506</v>
      </c>
      <c r="H252" s="219" t="s">
        <v>409</v>
      </c>
      <c r="I252" s="220">
        <v>732</v>
      </c>
      <c r="J252" s="220">
        <v>751</v>
      </c>
      <c r="K252" s="220">
        <v>751</v>
      </c>
      <c r="L252" s="220">
        <v>790</v>
      </c>
      <c r="M252" s="220">
        <v>790</v>
      </c>
      <c r="N252" s="304">
        <v>158</v>
      </c>
      <c r="O252" s="285" t="s">
        <v>1</v>
      </c>
      <c r="P252" s="285" t="s">
        <v>1</v>
      </c>
      <c r="Q252" s="285" t="s">
        <v>1</v>
      </c>
      <c r="R252" s="285" t="s">
        <v>1</v>
      </c>
      <c r="S252" s="305">
        <v>158</v>
      </c>
      <c r="T252" s="285" t="s">
        <v>1</v>
      </c>
      <c r="U252" s="285" t="s">
        <v>1</v>
      </c>
      <c r="V252" s="285" t="s">
        <v>1</v>
      </c>
      <c r="W252" s="285" t="s">
        <v>1</v>
      </c>
      <c r="X252" s="305">
        <v>158</v>
      </c>
      <c r="Y252" s="285">
        <v>15</v>
      </c>
      <c r="Z252" s="285">
        <v>24</v>
      </c>
      <c r="AA252" s="285" t="s">
        <v>1</v>
      </c>
      <c r="AB252" s="285" t="s">
        <v>1</v>
      </c>
      <c r="AC252" s="305">
        <v>158</v>
      </c>
      <c r="AD252" s="285">
        <v>15</v>
      </c>
      <c r="AE252" s="285">
        <v>24</v>
      </c>
      <c r="AF252" s="285" t="s">
        <v>1</v>
      </c>
      <c r="AG252" s="285" t="s">
        <v>1</v>
      </c>
      <c r="AH252" s="286" t="s">
        <v>1</v>
      </c>
      <c r="AI252" s="295" t="s">
        <v>1</v>
      </c>
      <c r="AJ252" s="295" t="s">
        <v>1</v>
      </c>
      <c r="AK252" s="295" t="s">
        <v>1</v>
      </c>
      <c r="AL252" s="302" t="s">
        <v>1</v>
      </c>
      <c r="AM252" s="288" t="s">
        <v>1</v>
      </c>
      <c r="AN252" s="287" t="s">
        <v>1</v>
      </c>
      <c r="AO252" s="287" t="s">
        <v>1</v>
      </c>
      <c r="AP252" s="286" t="s">
        <v>1</v>
      </c>
      <c r="AQ252" s="285" t="s">
        <v>1</v>
      </c>
      <c r="AR252" s="289" t="s">
        <v>1</v>
      </c>
      <c r="AS252" s="289" t="s">
        <v>1</v>
      </c>
      <c r="AT252" s="290" t="s">
        <v>1</v>
      </c>
      <c r="AU252" s="287" t="s">
        <v>1</v>
      </c>
      <c r="AV252" s="287" t="s">
        <v>1</v>
      </c>
      <c r="AW252" s="291" t="s">
        <v>1</v>
      </c>
    </row>
    <row r="253" spans="1:49" ht="30.15" customHeight="1" x14ac:dyDescent="0.25">
      <c r="A253" s="213" t="s">
        <v>18</v>
      </c>
      <c r="B253" s="188" t="s">
        <v>1</v>
      </c>
      <c r="C253" s="212" t="s">
        <v>34</v>
      </c>
      <c r="D253" s="217" t="s">
        <v>3</v>
      </c>
      <c r="E253" s="217" t="s">
        <v>516</v>
      </c>
      <c r="F253" s="203"/>
      <c r="G253" s="217" t="s">
        <v>506</v>
      </c>
      <c r="H253" s="219" t="s">
        <v>409</v>
      </c>
      <c r="I253" s="220">
        <v>732</v>
      </c>
      <c r="J253" s="220">
        <v>751</v>
      </c>
      <c r="K253" s="220">
        <v>751</v>
      </c>
      <c r="L253" s="220">
        <v>790</v>
      </c>
      <c r="M253" s="220">
        <v>790</v>
      </c>
      <c r="N253" s="304">
        <v>158</v>
      </c>
      <c r="O253" s="285" t="s">
        <v>1</v>
      </c>
      <c r="P253" s="285" t="s">
        <v>1</v>
      </c>
      <c r="Q253" s="285" t="s">
        <v>1</v>
      </c>
      <c r="R253" s="285" t="s">
        <v>1</v>
      </c>
      <c r="S253" s="305">
        <v>158</v>
      </c>
      <c r="T253" s="285" t="s">
        <v>1</v>
      </c>
      <c r="U253" s="285" t="s">
        <v>1</v>
      </c>
      <c r="V253" s="285" t="s">
        <v>1</v>
      </c>
      <c r="W253" s="285" t="s">
        <v>1</v>
      </c>
      <c r="X253" s="305">
        <v>158</v>
      </c>
      <c r="Y253" s="285">
        <v>15</v>
      </c>
      <c r="Z253" s="285">
        <v>24</v>
      </c>
      <c r="AA253" s="285" t="s">
        <v>1</v>
      </c>
      <c r="AB253" s="285" t="s">
        <v>1</v>
      </c>
      <c r="AC253" s="305">
        <v>158</v>
      </c>
      <c r="AD253" s="285">
        <v>15</v>
      </c>
      <c r="AE253" s="285">
        <v>24</v>
      </c>
      <c r="AF253" s="285" t="s">
        <v>1</v>
      </c>
      <c r="AG253" s="285" t="s">
        <v>1</v>
      </c>
      <c r="AH253" s="286" t="s">
        <v>1</v>
      </c>
      <c r="AI253" s="295" t="s">
        <v>1</v>
      </c>
      <c r="AJ253" s="295" t="s">
        <v>1</v>
      </c>
      <c r="AK253" s="295" t="s">
        <v>1</v>
      </c>
      <c r="AL253" s="302" t="s">
        <v>1</v>
      </c>
      <c r="AM253" s="288" t="s">
        <v>1</v>
      </c>
      <c r="AN253" s="287" t="s">
        <v>1</v>
      </c>
      <c r="AO253" s="287" t="s">
        <v>1</v>
      </c>
      <c r="AP253" s="286" t="s">
        <v>1</v>
      </c>
      <c r="AQ253" s="285" t="s">
        <v>1</v>
      </c>
      <c r="AR253" s="289" t="s">
        <v>1</v>
      </c>
      <c r="AS253" s="289" t="s">
        <v>1</v>
      </c>
      <c r="AT253" s="290" t="s">
        <v>1</v>
      </c>
      <c r="AU253" s="287" t="s">
        <v>1</v>
      </c>
      <c r="AV253" s="287" t="s">
        <v>1</v>
      </c>
      <c r="AW253" s="291" t="s">
        <v>1</v>
      </c>
    </row>
    <row r="254" spans="1:49" ht="30.15" customHeight="1" x14ac:dyDescent="0.25">
      <c r="A254" s="213" t="s">
        <v>18</v>
      </c>
      <c r="B254" s="188" t="s">
        <v>1</v>
      </c>
      <c r="C254" s="212" t="s">
        <v>34</v>
      </c>
      <c r="D254" s="217" t="s">
        <v>3</v>
      </c>
      <c r="E254" s="217" t="s">
        <v>517</v>
      </c>
      <c r="F254" s="203"/>
      <c r="G254" s="217" t="s">
        <v>506</v>
      </c>
      <c r="H254" s="219" t="s">
        <v>409</v>
      </c>
      <c r="I254" s="220">
        <v>732</v>
      </c>
      <c r="J254" s="220">
        <v>751</v>
      </c>
      <c r="K254" s="220">
        <v>751</v>
      </c>
      <c r="L254" s="220">
        <v>790</v>
      </c>
      <c r="M254" s="220">
        <v>790</v>
      </c>
      <c r="N254" s="304">
        <v>158</v>
      </c>
      <c r="O254" s="285" t="s">
        <v>1</v>
      </c>
      <c r="P254" s="285" t="s">
        <v>1</v>
      </c>
      <c r="Q254" s="285" t="s">
        <v>1</v>
      </c>
      <c r="R254" s="285" t="s">
        <v>1</v>
      </c>
      <c r="S254" s="305">
        <v>158</v>
      </c>
      <c r="T254" s="285" t="s">
        <v>1</v>
      </c>
      <c r="U254" s="285" t="s">
        <v>1</v>
      </c>
      <c r="V254" s="285" t="s">
        <v>1</v>
      </c>
      <c r="W254" s="285" t="s">
        <v>1</v>
      </c>
      <c r="X254" s="305">
        <v>158</v>
      </c>
      <c r="Y254" s="285">
        <v>15</v>
      </c>
      <c r="Z254" s="285">
        <v>24</v>
      </c>
      <c r="AA254" s="285" t="s">
        <v>1</v>
      </c>
      <c r="AB254" s="285" t="s">
        <v>1</v>
      </c>
      <c r="AC254" s="305">
        <v>158</v>
      </c>
      <c r="AD254" s="285">
        <v>15</v>
      </c>
      <c r="AE254" s="285">
        <v>24</v>
      </c>
      <c r="AF254" s="285" t="s">
        <v>1</v>
      </c>
      <c r="AG254" s="285" t="s">
        <v>1</v>
      </c>
      <c r="AH254" s="286" t="s">
        <v>1</v>
      </c>
      <c r="AI254" s="295" t="s">
        <v>1</v>
      </c>
      <c r="AJ254" s="295" t="s">
        <v>1</v>
      </c>
      <c r="AK254" s="295" t="s">
        <v>1</v>
      </c>
      <c r="AL254" s="302" t="s">
        <v>1</v>
      </c>
      <c r="AM254" s="288" t="s">
        <v>1</v>
      </c>
      <c r="AN254" s="287" t="s">
        <v>1</v>
      </c>
      <c r="AO254" s="287" t="s">
        <v>1</v>
      </c>
      <c r="AP254" s="286" t="s">
        <v>1</v>
      </c>
      <c r="AQ254" s="285" t="s">
        <v>1</v>
      </c>
      <c r="AR254" s="289" t="s">
        <v>1</v>
      </c>
      <c r="AS254" s="289" t="s">
        <v>1</v>
      </c>
      <c r="AT254" s="290" t="s">
        <v>1</v>
      </c>
      <c r="AU254" s="287" t="s">
        <v>1</v>
      </c>
      <c r="AV254" s="287" t="s">
        <v>1</v>
      </c>
      <c r="AW254" s="291" t="s">
        <v>1</v>
      </c>
    </row>
    <row r="255" spans="1:49" ht="30.15" customHeight="1" x14ac:dyDescent="0.25">
      <c r="A255" s="213" t="s">
        <v>18</v>
      </c>
      <c r="B255" s="188" t="s">
        <v>1</v>
      </c>
      <c r="C255" s="212" t="s">
        <v>34</v>
      </c>
      <c r="D255" s="217" t="s">
        <v>3</v>
      </c>
      <c r="E255" s="217" t="s">
        <v>518</v>
      </c>
      <c r="F255" s="203"/>
      <c r="G255" s="217" t="s">
        <v>506</v>
      </c>
      <c r="H255" s="219" t="s">
        <v>409</v>
      </c>
      <c r="I255" s="220">
        <v>732</v>
      </c>
      <c r="J255" s="220">
        <v>751</v>
      </c>
      <c r="K255" s="220">
        <v>751</v>
      </c>
      <c r="L255" s="220">
        <v>790</v>
      </c>
      <c r="M255" s="220">
        <v>790</v>
      </c>
      <c r="N255" s="304">
        <v>158</v>
      </c>
      <c r="O255" s="285" t="s">
        <v>1</v>
      </c>
      <c r="P255" s="285" t="s">
        <v>1</v>
      </c>
      <c r="Q255" s="285" t="s">
        <v>1</v>
      </c>
      <c r="R255" s="285" t="s">
        <v>1</v>
      </c>
      <c r="S255" s="305">
        <v>158</v>
      </c>
      <c r="T255" s="285" t="s">
        <v>1</v>
      </c>
      <c r="U255" s="285" t="s">
        <v>1</v>
      </c>
      <c r="V255" s="285" t="s">
        <v>1</v>
      </c>
      <c r="W255" s="285" t="s">
        <v>1</v>
      </c>
      <c r="X255" s="305">
        <v>158</v>
      </c>
      <c r="Y255" s="285">
        <v>15</v>
      </c>
      <c r="Z255" s="285">
        <v>24</v>
      </c>
      <c r="AA255" s="285" t="s">
        <v>1</v>
      </c>
      <c r="AB255" s="285" t="s">
        <v>1</v>
      </c>
      <c r="AC255" s="305">
        <v>158</v>
      </c>
      <c r="AD255" s="285">
        <v>15</v>
      </c>
      <c r="AE255" s="285">
        <v>24</v>
      </c>
      <c r="AF255" s="285" t="s">
        <v>1</v>
      </c>
      <c r="AG255" s="285" t="s">
        <v>1</v>
      </c>
      <c r="AH255" s="286" t="s">
        <v>1</v>
      </c>
      <c r="AI255" s="295" t="s">
        <v>1</v>
      </c>
      <c r="AJ255" s="295" t="s">
        <v>1</v>
      </c>
      <c r="AK255" s="295" t="s">
        <v>1</v>
      </c>
      <c r="AL255" s="302" t="s">
        <v>1</v>
      </c>
      <c r="AM255" s="288" t="s">
        <v>1</v>
      </c>
      <c r="AN255" s="287" t="s">
        <v>1</v>
      </c>
      <c r="AO255" s="287" t="s">
        <v>1</v>
      </c>
      <c r="AP255" s="286" t="s">
        <v>1</v>
      </c>
      <c r="AQ255" s="285" t="s">
        <v>1</v>
      </c>
      <c r="AR255" s="289" t="s">
        <v>1</v>
      </c>
      <c r="AS255" s="289" t="s">
        <v>1</v>
      </c>
      <c r="AT255" s="290" t="s">
        <v>1</v>
      </c>
      <c r="AU255" s="287" t="s">
        <v>1</v>
      </c>
      <c r="AV255" s="287" t="s">
        <v>1</v>
      </c>
      <c r="AW255" s="291" t="s">
        <v>1</v>
      </c>
    </row>
    <row r="256" spans="1:49" ht="30.15" customHeight="1" x14ac:dyDescent="0.25">
      <c r="A256" s="213" t="s">
        <v>18</v>
      </c>
      <c r="B256" s="188" t="s">
        <v>1</v>
      </c>
      <c r="C256" s="212" t="s">
        <v>34</v>
      </c>
      <c r="D256" s="217" t="s">
        <v>3</v>
      </c>
      <c r="E256" s="217" t="s">
        <v>519</v>
      </c>
      <c r="F256" s="218"/>
      <c r="G256" s="217" t="s">
        <v>505</v>
      </c>
      <c r="H256" s="219" t="s">
        <v>409</v>
      </c>
      <c r="I256" s="220">
        <v>1179</v>
      </c>
      <c r="J256" s="220">
        <v>1179</v>
      </c>
      <c r="K256" s="220">
        <v>1179</v>
      </c>
      <c r="L256" s="220">
        <v>1270</v>
      </c>
      <c r="M256" s="220">
        <v>1270</v>
      </c>
      <c r="N256" s="304">
        <v>254</v>
      </c>
      <c r="O256" s="285" t="s">
        <v>1</v>
      </c>
      <c r="P256" s="285" t="s">
        <v>1</v>
      </c>
      <c r="Q256" s="285" t="s">
        <v>1</v>
      </c>
      <c r="R256" s="285" t="s">
        <v>1</v>
      </c>
      <c r="S256" s="305">
        <v>254</v>
      </c>
      <c r="T256" s="285" t="s">
        <v>1</v>
      </c>
      <c r="U256" s="285" t="s">
        <v>1</v>
      </c>
      <c r="V256" s="285" t="s">
        <v>1</v>
      </c>
      <c r="W256" s="285" t="s">
        <v>1</v>
      </c>
      <c r="X256" s="305">
        <v>254</v>
      </c>
      <c r="Y256" s="285">
        <v>15</v>
      </c>
      <c r="Z256" s="285">
        <v>24</v>
      </c>
      <c r="AA256" s="285" t="s">
        <v>1</v>
      </c>
      <c r="AB256" s="285" t="s">
        <v>1</v>
      </c>
      <c r="AC256" s="305">
        <v>254</v>
      </c>
      <c r="AD256" s="285">
        <v>15</v>
      </c>
      <c r="AE256" s="285">
        <v>24</v>
      </c>
      <c r="AF256" s="285" t="s">
        <v>1</v>
      </c>
      <c r="AG256" s="285" t="s">
        <v>1</v>
      </c>
      <c r="AH256" s="286" t="s">
        <v>1</v>
      </c>
      <c r="AI256" s="295" t="s">
        <v>1</v>
      </c>
      <c r="AJ256" s="295" t="s">
        <v>1</v>
      </c>
      <c r="AK256" s="295" t="s">
        <v>1</v>
      </c>
      <c r="AL256" s="302" t="s">
        <v>1</v>
      </c>
      <c r="AM256" s="288" t="s">
        <v>1</v>
      </c>
      <c r="AN256" s="287" t="s">
        <v>1</v>
      </c>
      <c r="AO256" s="287" t="s">
        <v>1</v>
      </c>
      <c r="AP256" s="286" t="s">
        <v>1</v>
      </c>
      <c r="AQ256" s="285" t="s">
        <v>1</v>
      </c>
      <c r="AR256" s="289" t="s">
        <v>1</v>
      </c>
      <c r="AS256" s="289" t="s">
        <v>1</v>
      </c>
      <c r="AT256" s="290" t="s">
        <v>1</v>
      </c>
      <c r="AU256" s="287" t="s">
        <v>1</v>
      </c>
      <c r="AV256" s="287" t="s">
        <v>1</v>
      </c>
      <c r="AW256" s="291" t="s">
        <v>1</v>
      </c>
    </row>
    <row r="257" spans="1:49" ht="30.15" customHeight="1" x14ac:dyDescent="0.25">
      <c r="A257" s="213" t="s">
        <v>18</v>
      </c>
      <c r="B257" s="188" t="s">
        <v>1</v>
      </c>
      <c r="C257" s="212" t="s">
        <v>34</v>
      </c>
      <c r="D257" s="217" t="s">
        <v>3</v>
      </c>
      <c r="E257" s="217" t="s">
        <v>520</v>
      </c>
      <c r="F257" s="203"/>
      <c r="G257" s="217" t="s">
        <v>505</v>
      </c>
      <c r="H257" s="219" t="s">
        <v>409</v>
      </c>
      <c r="I257" s="220">
        <v>1179</v>
      </c>
      <c r="J257" s="220">
        <v>1179</v>
      </c>
      <c r="K257" s="220">
        <v>1179</v>
      </c>
      <c r="L257" s="220">
        <v>1270</v>
      </c>
      <c r="M257" s="220">
        <v>1270</v>
      </c>
      <c r="N257" s="304">
        <v>254</v>
      </c>
      <c r="O257" s="285" t="s">
        <v>1</v>
      </c>
      <c r="P257" s="285" t="s">
        <v>1</v>
      </c>
      <c r="Q257" s="285" t="s">
        <v>1</v>
      </c>
      <c r="R257" s="285" t="s">
        <v>1</v>
      </c>
      <c r="S257" s="305">
        <v>254</v>
      </c>
      <c r="T257" s="285" t="s">
        <v>1</v>
      </c>
      <c r="U257" s="285" t="s">
        <v>1</v>
      </c>
      <c r="V257" s="285" t="s">
        <v>1</v>
      </c>
      <c r="W257" s="285" t="s">
        <v>1</v>
      </c>
      <c r="X257" s="305">
        <v>254</v>
      </c>
      <c r="Y257" s="285">
        <v>15</v>
      </c>
      <c r="Z257" s="285">
        <v>24</v>
      </c>
      <c r="AA257" s="285" t="s">
        <v>1</v>
      </c>
      <c r="AB257" s="285" t="s">
        <v>1</v>
      </c>
      <c r="AC257" s="305">
        <v>254</v>
      </c>
      <c r="AD257" s="285">
        <v>15</v>
      </c>
      <c r="AE257" s="285">
        <v>24</v>
      </c>
      <c r="AF257" s="285" t="s">
        <v>1</v>
      </c>
      <c r="AG257" s="285" t="s">
        <v>1</v>
      </c>
      <c r="AH257" s="286" t="s">
        <v>1</v>
      </c>
      <c r="AI257" s="295" t="s">
        <v>1</v>
      </c>
      <c r="AJ257" s="295" t="s">
        <v>1</v>
      </c>
      <c r="AK257" s="295" t="s">
        <v>1</v>
      </c>
      <c r="AL257" s="302" t="s">
        <v>1</v>
      </c>
      <c r="AM257" s="288" t="s">
        <v>1</v>
      </c>
      <c r="AN257" s="287" t="s">
        <v>1</v>
      </c>
      <c r="AO257" s="287" t="s">
        <v>1</v>
      </c>
      <c r="AP257" s="286" t="s">
        <v>1</v>
      </c>
      <c r="AQ257" s="285" t="s">
        <v>1</v>
      </c>
      <c r="AR257" s="289" t="s">
        <v>1</v>
      </c>
      <c r="AS257" s="289" t="s">
        <v>1</v>
      </c>
      <c r="AT257" s="290" t="s">
        <v>1</v>
      </c>
      <c r="AU257" s="287" t="s">
        <v>1</v>
      </c>
      <c r="AV257" s="287" t="s">
        <v>1</v>
      </c>
      <c r="AW257" s="291" t="s">
        <v>1</v>
      </c>
    </row>
    <row r="258" spans="1:49" ht="30.15" customHeight="1" x14ac:dyDescent="0.25">
      <c r="A258" s="213" t="s">
        <v>18</v>
      </c>
      <c r="B258" s="188" t="s">
        <v>1</v>
      </c>
      <c r="C258" s="212" t="s">
        <v>34</v>
      </c>
      <c r="D258" s="217" t="s">
        <v>3</v>
      </c>
      <c r="E258" s="217" t="s">
        <v>521</v>
      </c>
      <c r="F258" s="218"/>
      <c r="G258" s="217" t="s">
        <v>505</v>
      </c>
      <c r="H258" s="219" t="s">
        <v>409</v>
      </c>
      <c r="I258" s="220">
        <v>1179</v>
      </c>
      <c r="J258" s="220">
        <v>1179</v>
      </c>
      <c r="K258" s="220">
        <v>1179</v>
      </c>
      <c r="L258" s="220">
        <v>1270</v>
      </c>
      <c r="M258" s="220">
        <v>1270</v>
      </c>
      <c r="N258" s="304">
        <v>254</v>
      </c>
      <c r="O258" s="285" t="s">
        <v>1</v>
      </c>
      <c r="P258" s="285" t="s">
        <v>1</v>
      </c>
      <c r="Q258" s="285" t="s">
        <v>1</v>
      </c>
      <c r="R258" s="285" t="s">
        <v>1</v>
      </c>
      <c r="S258" s="305">
        <v>254</v>
      </c>
      <c r="T258" s="285" t="s">
        <v>1</v>
      </c>
      <c r="U258" s="285" t="s">
        <v>1</v>
      </c>
      <c r="V258" s="285" t="s">
        <v>1</v>
      </c>
      <c r="W258" s="285" t="s">
        <v>1</v>
      </c>
      <c r="X258" s="305">
        <v>254</v>
      </c>
      <c r="Y258" s="285">
        <v>15</v>
      </c>
      <c r="Z258" s="285">
        <v>24</v>
      </c>
      <c r="AA258" s="285" t="s">
        <v>1</v>
      </c>
      <c r="AB258" s="285" t="s">
        <v>1</v>
      </c>
      <c r="AC258" s="305">
        <v>254</v>
      </c>
      <c r="AD258" s="285">
        <v>15</v>
      </c>
      <c r="AE258" s="285">
        <v>24</v>
      </c>
      <c r="AF258" s="285" t="s">
        <v>1</v>
      </c>
      <c r="AG258" s="285" t="s">
        <v>1</v>
      </c>
      <c r="AH258" s="286" t="s">
        <v>1</v>
      </c>
      <c r="AI258" s="295" t="s">
        <v>1</v>
      </c>
      <c r="AJ258" s="295" t="s">
        <v>1</v>
      </c>
      <c r="AK258" s="295" t="s">
        <v>1</v>
      </c>
      <c r="AL258" s="302" t="s">
        <v>1</v>
      </c>
      <c r="AM258" s="288" t="s">
        <v>1</v>
      </c>
      <c r="AN258" s="287" t="s">
        <v>1</v>
      </c>
      <c r="AO258" s="287" t="s">
        <v>1</v>
      </c>
      <c r="AP258" s="286" t="s">
        <v>1</v>
      </c>
      <c r="AQ258" s="285" t="s">
        <v>1</v>
      </c>
      <c r="AR258" s="289" t="s">
        <v>1</v>
      </c>
      <c r="AS258" s="289" t="s">
        <v>1</v>
      </c>
      <c r="AT258" s="290" t="s">
        <v>1</v>
      </c>
      <c r="AU258" s="287" t="s">
        <v>1</v>
      </c>
      <c r="AV258" s="287" t="s">
        <v>1</v>
      </c>
      <c r="AW258" s="291" t="s">
        <v>1</v>
      </c>
    </row>
    <row r="259" spans="1:49" ht="30.15" customHeight="1" x14ac:dyDescent="0.25">
      <c r="A259" s="213" t="s">
        <v>18</v>
      </c>
      <c r="B259" s="188" t="s">
        <v>1</v>
      </c>
      <c r="C259" s="212" t="s">
        <v>34</v>
      </c>
      <c r="D259" s="217" t="s">
        <v>3</v>
      </c>
      <c r="E259" s="217" t="s">
        <v>522</v>
      </c>
      <c r="F259" s="218"/>
      <c r="G259" s="217" t="s">
        <v>505</v>
      </c>
      <c r="H259" s="219" t="s">
        <v>409</v>
      </c>
      <c r="I259" s="220">
        <v>1179</v>
      </c>
      <c r="J259" s="220">
        <v>1179</v>
      </c>
      <c r="K259" s="220">
        <v>1179</v>
      </c>
      <c r="L259" s="220">
        <v>1270</v>
      </c>
      <c r="M259" s="220">
        <v>1270</v>
      </c>
      <c r="N259" s="304">
        <v>254</v>
      </c>
      <c r="O259" s="285" t="s">
        <v>1</v>
      </c>
      <c r="P259" s="285" t="s">
        <v>1</v>
      </c>
      <c r="Q259" s="285" t="s">
        <v>1</v>
      </c>
      <c r="R259" s="285" t="s">
        <v>1</v>
      </c>
      <c r="S259" s="305">
        <v>254</v>
      </c>
      <c r="T259" s="285" t="s">
        <v>1</v>
      </c>
      <c r="U259" s="285" t="s">
        <v>1</v>
      </c>
      <c r="V259" s="285" t="s">
        <v>1</v>
      </c>
      <c r="W259" s="285" t="s">
        <v>1</v>
      </c>
      <c r="X259" s="305">
        <v>254</v>
      </c>
      <c r="Y259" s="285">
        <v>15</v>
      </c>
      <c r="Z259" s="285">
        <v>24</v>
      </c>
      <c r="AA259" s="285" t="s">
        <v>1</v>
      </c>
      <c r="AB259" s="285" t="s">
        <v>1</v>
      </c>
      <c r="AC259" s="305">
        <v>254</v>
      </c>
      <c r="AD259" s="285">
        <v>15</v>
      </c>
      <c r="AE259" s="285">
        <v>24</v>
      </c>
      <c r="AF259" s="285" t="s">
        <v>1</v>
      </c>
      <c r="AG259" s="285" t="s">
        <v>1</v>
      </c>
      <c r="AH259" s="286" t="s">
        <v>1</v>
      </c>
      <c r="AI259" s="295" t="s">
        <v>1</v>
      </c>
      <c r="AJ259" s="295" t="s">
        <v>1</v>
      </c>
      <c r="AK259" s="295" t="s">
        <v>1</v>
      </c>
      <c r="AL259" s="302" t="s">
        <v>1</v>
      </c>
      <c r="AM259" s="288" t="s">
        <v>1</v>
      </c>
      <c r="AN259" s="287" t="s">
        <v>1</v>
      </c>
      <c r="AO259" s="287" t="s">
        <v>1</v>
      </c>
      <c r="AP259" s="286" t="s">
        <v>1</v>
      </c>
      <c r="AQ259" s="285" t="s">
        <v>1</v>
      </c>
      <c r="AR259" s="289" t="s">
        <v>1</v>
      </c>
      <c r="AS259" s="289" t="s">
        <v>1</v>
      </c>
      <c r="AT259" s="290" t="s">
        <v>1</v>
      </c>
      <c r="AU259" s="287" t="s">
        <v>1</v>
      </c>
      <c r="AV259" s="287" t="s">
        <v>1</v>
      </c>
      <c r="AW259" s="291" t="s">
        <v>1</v>
      </c>
    </row>
    <row r="260" spans="1:49" ht="30.15" customHeight="1" x14ac:dyDescent="0.25">
      <c r="A260" s="213" t="s">
        <v>18</v>
      </c>
      <c r="B260" s="188" t="s">
        <v>1</v>
      </c>
      <c r="C260" s="212" t="s">
        <v>34</v>
      </c>
      <c r="D260" s="217" t="s">
        <v>3</v>
      </c>
      <c r="E260" s="217" t="s">
        <v>523</v>
      </c>
      <c r="F260" s="218"/>
      <c r="G260" s="217" t="s">
        <v>505</v>
      </c>
      <c r="H260" s="219" t="s">
        <v>409</v>
      </c>
      <c r="I260" s="220">
        <v>1179</v>
      </c>
      <c r="J260" s="220">
        <v>1179</v>
      </c>
      <c r="K260" s="220">
        <v>1179</v>
      </c>
      <c r="L260" s="220">
        <v>1270</v>
      </c>
      <c r="M260" s="220">
        <v>1270</v>
      </c>
      <c r="N260" s="304">
        <v>254</v>
      </c>
      <c r="O260" s="285" t="s">
        <v>1</v>
      </c>
      <c r="P260" s="285" t="s">
        <v>1</v>
      </c>
      <c r="Q260" s="285" t="s">
        <v>1</v>
      </c>
      <c r="R260" s="285" t="s">
        <v>1</v>
      </c>
      <c r="S260" s="305">
        <v>254</v>
      </c>
      <c r="T260" s="285" t="s">
        <v>1</v>
      </c>
      <c r="U260" s="285" t="s">
        <v>1</v>
      </c>
      <c r="V260" s="285" t="s">
        <v>1</v>
      </c>
      <c r="W260" s="285" t="s">
        <v>1</v>
      </c>
      <c r="X260" s="305">
        <v>254</v>
      </c>
      <c r="Y260" s="285">
        <v>15</v>
      </c>
      <c r="Z260" s="285">
        <v>24</v>
      </c>
      <c r="AA260" s="285" t="s">
        <v>1</v>
      </c>
      <c r="AB260" s="285" t="s">
        <v>1</v>
      </c>
      <c r="AC260" s="305">
        <v>254</v>
      </c>
      <c r="AD260" s="285">
        <v>15</v>
      </c>
      <c r="AE260" s="285">
        <v>24</v>
      </c>
      <c r="AF260" s="285" t="s">
        <v>1</v>
      </c>
      <c r="AG260" s="285" t="s">
        <v>1</v>
      </c>
      <c r="AH260" s="286" t="s">
        <v>1</v>
      </c>
      <c r="AI260" s="295" t="s">
        <v>1</v>
      </c>
      <c r="AJ260" s="295" t="s">
        <v>1</v>
      </c>
      <c r="AK260" s="295" t="s">
        <v>1</v>
      </c>
      <c r="AL260" s="302" t="s">
        <v>1</v>
      </c>
      <c r="AM260" s="288" t="s">
        <v>1</v>
      </c>
      <c r="AN260" s="287" t="s">
        <v>1</v>
      </c>
      <c r="AO260" s="287" t="s">
        <v>1</v>
      </c>
      <c r="AP260" s="286" t="s">
        <v>1</v>
      </c>
      <c r="AQ260" s="285" t="s">
        <v>1</v>
      </c>
      <c r="AR260" s="289" t="s">
        <v>1</v>
      </c>
      <c r="AS260" s="289" t="s">
        <v>1</v>
      </c>
      <c r="AT260" s="290" t="s">
        <v>1</v>
      </c>
      <c r="AU260" s="287" t="s">
        <v>1</v>
      </c>
      <c r="AV260" s="287" t="s">
        <v>1</v>
      </c>
      <c r="AW260" s="291" t="s">
        <v>1</v>
      </c>
    </row>
    <row r="261" spans="1:49" ht="30.15" customHeight="1" x14ac:dyDescent="0.25">
      <c r="A261" s="213" t="s">
        <v>18</v>
      </c>
      <c r="B261" s="188" t="s">
        <v>1</v>
      </c>
      <c r="C261" s="212" t="s">
        <v>34</v>
      </c>
      <c r="D261" s="217" t="s">
        <v>3</v>
      </c>
      <c r="E261" s="217" t="s">
        <v>524</v>
      </c>
      <c r="F261" s="203"/>
      <c r="G261" s="217" t="s">
        <v>505</v>
      </c>
      <c r="H261" s="219" t="s">
        <v>409</v>
      </c>
      <c r="I261" s="220">
        <v>1179</v>
      </c>
      <c r="J261" s="220">
        <v>1179</v>
      </c>
      <c r="K261" s="220">
        <v>1179</v>
      </c>
      <c r="L261" s="220">
        <v>1270</v>
      </c>
      <c r="M261" s="220">
        <v>1270</v>
      </c>
      <c r="N261" s="304">
        <v>254</v>
      </c>
      <c r="O261" s="285" t="s">
        <v>1</v>
      </c>
      <c r="P261" s="285" t="s">
        <v>1</v>
      </c>
      <c r="Q261" s="285" t="s">
        <v>1</v>
      </c>
      <c r="R261" s="285" t="s">
        <v>1</v>
      </c>
      <c r="S261" s="305">
        <v>254</v>
      </c>
      <c r="T261" s="285" t="s">
        <v>1</v>
      </c>
      <c r="U261" s="285" t="s">
        <v>1</v>
      </c>
      <c r="V261" s="285" t="s">
        <v>1</v>
      </c>
      <c r="W261" s="285" t="s">
        <v>1</v>
      </c>
      <c r="X261" s="305">
        <v>254</v>
      </c>
      <c r="Y261" s="285">
        <v>15</v>
      </c>
      <c r="Z261" s="285">
        <v>24</v>
      </c>
      <c r="AA261" s="285" t="s">
        <v>1</v>
      </c>
      <c r="AB261" s="285" t="s">
        <v>1</v>
      </c>
      <c r="AC261" s="305">
        <v>254</v>
      </c>
      <c r="AD261" s="285">
        <v>15</v>
      </c>
      <c r="AE261" s="285">
        <v>24</v>
      </c>
      <c r="AF261" s="285" t="s">
        <v>1</v>
      </c>
      <c r="AG261" s="285" t="s">
        <v>1</v>
      </c>
      <c r="AH261" s="286" t="s">
        <v>1</v>
      </c>
      <c r="AI261" s="295" t="s">
        <v>1</v>
      </c>
      <c r="AJ261" s="295" t="s">
        <v>1</v>
      </c>
      <c r="AK261" s="295" t="s">
        <v>1</v>
      </c>
      <c r="AL261" s="302" t="s">
        <v>1</v>
      </c>
      <c r="AM261" s="288" t="s">
        <v>1</v>
      </c>
      <c r="AN261" s="287" t="s">
        <v>1</v>
      </c>
      <c r="AO261" s="287" t="s">
        <v>1</v>
      </c>
      <c r="AP261" s="286" t="s">
        <v>1</v>
      </c>
      <c r="AQ261" s="285" t="s">
        <v>1</v>
      </c>
      <c r="AR261" s="289" t="s">
        <v>1</v>
      </c>
      <c r="AS261" s="289" t="s">
        <v>1</v>
      </c>
      <c r="AT261" s="290" t="s">
        <v>1</v>
      </c>
      <c r="AU261" s="287" t="s">
        <v>1</v>
      </c>
      <c r="AV261" s="287" t="s">
        <v>1</v>
      </c>
      <c r="AW261" s="291" t="s">
        <v>1</v>
      </c>
    </row>
    <row r="262" spans="1:49" ht="30.15" customHeight="1" x14ac:dyDescent="0.25">
      <c r="A262" s="213" t="s">
        <v>18</v>
      </c>
      <c r="B262" s="188" t="s">
        <v>1</v>
      </c>
      <c r="C262" s="212" t="s">
        <v>34</v>
      </c>
      <c r="D262" s="217" t="s">
        <v>3</v>
      </c>
      <c r="E262" s="217" t="s">
        <v>1078</v>
      </c>
      <c r="F262" s="218"/>
      <c r="G262" s="217" t="s">
        <v>1090</v>
      </c>
      <c r="H262" s="219" t="s">
        <v>409</v>
      </c>
      <c r="I262" s="220">
        <v>666</v>
      </c>
      <c r="J262" s="220">
        <v>679</v>
      </c>
      <c r="K262" s="220">
        <v>679</v>
      </c>
      <c r="L262" s="220">
        <v>720</v>
      </c>
      <c r="M262" s="223">
        <v>720</v>
      </c>
      <c r="N262" s="304">
        <v>144</v>
      </c>
      <c r="O262" s="285" t="s">
        <v>1</v>
      </c>
      <c r="P262" s="285" t="s">
        <v>1</v>
      </c>
      <c r="Q262" s="285" t="s">
        <v>1</v>
      </c>
      <c r="R262" s="285" t="s">
        <v>1</v>
      </c>
      <c r="S262" s="305">
        <v>144</v>
      </c>
      <c r="T262" s="285" t="s">
        <v>1</v>
      </c>
      <c r="U262" s="285" t="s">
        <v>1</v>
      </c>
      <c r="V262" s="285" t="s">
        <v>1</v>
      </c>
      <c r="W262" s="285" t="s">
        <v>1</v>
      </c>
      <c r="X262" s="305">
        <v>144</v>
      </c>
      <c r="Y262" s="285">
        <v>15</v>
      </c>
      <c r="Z262" s="285">
        <v>24</v>
      </c>
      <c r="AA262" s="285" t="s">
        <v>1</v>
      </c>
      <c r="AB262" s="285" t="s">
        <v>1</v>
      </c>
      <c r="AC262" s="305">
        <v>144</v>
      </c>
      <c r="AD262" s="285">
        <v>15</v>
      </c>
      <c r="AE262" s="285">
        <v>24</v>
      </c>
      <c r="AF262" s="285" t="s">
        <v>1</v>
      </c>
      <c r="AG262" s="285" t="s">
        <v>1</v>
      </c>
      <c r="AH262" s="286" t="s">
        <v>1</v>
      </c>
      <c r="AI262" s="295" t="s">
        <v>1</v>
      </c>
      <c r="AJ262" s="295" t="s">
        <v>1</v>
      </c>
      <c r="AK262" s="295" t="s">
        <v>1</v>
      </c>
      <c r="AL262" s="302" t="s">
        <v>1</v>
      </c>
      <c r="AM262" s="288" t="s">
        <v>1</v>
      </c>
      <c r="AN262" s="287" t="s">
        <v>1</v>
      </c>
      <c r="AO262" s="287" t="s">
        <v>1</v>
      </c>
      <c r="AP262" s="286" t="s">
        <v>1</v>
      </c>
      <c r="AQ262" s="285" t="s">
        <v>1</v>
      </c>
      <c r="AR262" s="289" t="s">
        <v>1</v>
      </c>
      <c r="AS262" s="289" t="s">
        <v>1</v>
      </c>
      <c r="AT262" s="290" t="s">
        <v>1</v>
      </c>
      <c r="AU262" s="287" t="s">
        <v>1</v>
      </c>
      <c r="AV262" s="287" t="s">
        <v>1</v>
      </c>
      <c r="AW262" s="291" t="s">
        <v>1</v>
      </c>
    </row>
    <row r="263" spans="1:49" ht="30.15" customHeight="1" x14ac:dyDescent="0.25">
      <c r="A263" s="213" t="s">
        <v>18</v>
      </c>
      <c r="B263" s="188" t="s">
        <v>1</v>
      </c>
      <c r="C263" s="212" t="s">
        <v>34</v>
      </c>
      <c r="D263" s="217" t="s">
        <v>3</v>
      </c>
      <c r="E263" s="217" t="s">
        <v>1079</v>
      </c>
      <c r="F263" s="203"/>
      <c r="G263" s="217" t="s">
        <v>1090</v>
      </c>
      <c r="H263" s="219" t="s">
        <v>414</v>
      </c>
      <c r="I263" s="220">
        <v>666</v>
      </c>
      <c r="J263" s="220">
        <v>679</v>
      </c>
      <c r="K263" s="220">
        <v>679</v>
      </c>
      <c r="L263" s="220">
        <v>720</v>
      </c>
      <c r="M263" s="223">
        <v>720</v>
      </c>
      <c r="N263" s="304">
        <v>144</v>
      </c>
      <c r="O263" s="285" t="s">
        <v>1</v>
      </c>
      <c r="P263" s="285" t="s">
        <v>1</v>
      </c>
      <c r="Q263" s="285" t="s">
        <v>1</v>
      </c>
      <c r="R263" s="285" t="s">
        <v>1</v>
      </c>
      <c r="S263" s="305">
        <v>144</v>
      </c>
      <c r="T263" s="285" t="s">
        <v>1</v>
      </c>
      <c r="U263" s="285" t="s">
        <v>1</v>
      </c>
      <c r="V263" s="285" t="s">
        <v>1</v>
      </c>
      <c r="W263" s="285" t="s">
        <v>1</v>
      </c>
      <c r="X263" s="305">
        <v>144</v>
      </c>
      <c r="Y263" s="285">
        <v>15</v>
      </c>
      <c r="Z263" s="285">
        <v>24</v>
      </c>
      <c r="AA263" s="285" t="s">
        <v>1</v>
      </c>
      <c r="AB263" s="285" t="s">
        <v>1</v>
      </c>
      <c r="AC263" s="305">
        <v>144</v>
      </c>
      <c r="AD263" s="285">
        <v>15</v>
      </c>
      <c r="AE263" s="285">
        <v>24</v>
      </c>
      <c r="AF263" s="285" t="s">
        <v>1</v>
      </c>
      <c r="AG263" s="285" t="s">
        <v>1</v>
      </c>
      <c r="AH263" s="286" t="s">
        <v>1</v>
      </c>
      <c r="AI263" s="295" t="s">
        <v>1</v>
      </c>
      <c r="AJ263" s="295" t="s">
        <v>1</v>
      </c>
      <c r="AK263" s="295" t="s">
        <v>1</v>
      </c>
      <c r="AL263" s="302" t="s">
        <v>1</v>
      </c>
      <c r="AM263" s="288" t="s">
        <v>1</v>
      </c>
      <c r="AN263" s="287" t="s">
        <v>1</v>
      </c>
      <c r="AO263" s="287" t="s">
        <v>1</v>
      </c>
      <c r="AP263" s="286" t="s">
        <v>1</v>
      </c>
      <c r="AQ263" s="285" t="s">
        <v>1</v>
      </c>
      <c r="AR263" s="289" t="s">
        <v>1</v>
      </c>
      <c r="AS263" s="289" t="s">
        <v>1</v>
      </c>
      <c r="AT263" s="290" t="s">
        <v>1</v>
      </c>
      <c r="AU263" s="287" t="s">
        <v>1</v>
      </c>
      <c r="AV263" s="287" t="s">
        <v>1</v>
      </c>
      <c r="AW263" s="291" t="s">
        <v>1</v>
      </c>
    </row>
    <row r="264" spans="1:49" ht="30.15" customHeight="1" x14ac:dyDescent="0.25">
      <c r="A264" s="213" t="s">
        <v>18</v>
      </c>
      <c r="B264" s="188" t="s">
        <v>1</v>
      </c>
      <c r="C264" s="212" t="s">
        <v>34</v>
      </c>
      <c r="D264" s="217" t="s">
        <v>3</v>
      </c>
      <c r="E264" s="217" t="s">
        <v>1080</v>
      </c>
      <c r="F264" s="203"/>
      <c r="G264" s="217" t="s">
        <v>1090</v>
      </c>
      <c r="H264" s="219" t="s">
        <v>414</v>
      </c>
      <c r="I264" s="220">
        <v>666</v>
      </c>
      <c r="J264" s="220">
        <v>679</v>
      </c>
      <c r="K264" s="220">
        <v>679</v>
      </c>
      <c r="L264" s="220">
        <v>720</v>
      </c>
      <c r="M264" s="223">
        <v>720</v>
      </c>
      <c r="N264" s="304">
        <v>144</v>
      </c>
      <c r="O264" s="285" t="s">
        <v>1</v>
      </c>
      <c r="P264" s="285" t="s">
        <v>1</v>
      </c>
      <c r="Q264" s="285" t="s">
        <v>1</v>
      </c>
      <c r="R264" s="285" t="s">
        <v>1</v>
      </c>
      <c r="S264" s="305">
        <v>144</v>
      </c>
      <c r="T264" s="285" t="s">
        <v>1</v>
      </c>
      <c r="U264" s="285" t="s">
        <v>1</v>
      </c>
      <c r="V264" s="285" t="s">
        <v>1</v>
      </c>
      <c r="W264" s="285" t="s">
        <v>1</v>
      </c>
      <c r="X264" s="305">
        <v>144</v>
      </c>
      <c r="Y264" s="285">
        <v>15</v>
      </c>
      <c r="Z264" s="285">
        <v>24</v>
      </c>
      <c r="AA264" s="285" t="s">
        <v>1</v>
      </c>
      <c r="AB264" s="285" t="s">
        <v>1</v>
      </c>
      <c r="AC264" s="305">
        <v>144</v>
      </c>
      <c r="AD264" s="285">
        <v>15</v>
      </c>
      <c r="AE264" s="285">
        <v>24</v>
      </c>
      <c r="AF264" s="285" t="s">
        <v>1</v>
      </c>
      <c r="AG264" s="285" t="s">
        <v>1</v>
      </c>
      <c r="AH264" s="286" t="s">
        <v>1</v>
      </c>
      <c r="AI264" s="295" t="s">
        <v>1</v>
      </c>
      <c r="AJ264" s="295" t="s">
        <v>1</v>
      </c>
      <c r="AK264" s="295" t="s">
        <v>1</v>
      </c>
      <c r="AL264" s="302" t="s">
        <v>1</v>
      </c>
      <c r="AM264" s="288" t="s">
        <v>1</v>
      </c>
      <c r="AN264" s="287" t="s">
        <v>1</v>
      </c>
      <c r="AO264" s="287" t="s">
        <v>1</v>
      </c>
      <c r="AP264" s="286" t="s">
        <v>1</v>
      </c>
      <c r="AQ264" s="285" t="s">
        <v>1</v>
      </c>
      <c r="AR264" s="289" t="s">
        <v>1</v>
      </c>
      <c r="AS264" s="289" t="s">
        <v>1</v>
      </c>
      <c r="AT264" s="290" t="s">
        <v>1</v>
      </c>
      <c r="AU264" s="287" t="s">
        <v>1</v>
      </c>
      <c r="AV264" s="287" t="s">
        <v>1</v>
      </c>
      <c r="AW264" s="291" t="s">
        <v>1</v>
      </c>
    </row>
    <row r="265" spans="1:49" ht="30.15" customHeight="1" x14ac:dyDescent="0.25">
      <c r="A265" s="213" t="s">
        <v>18</v>
      </c>
      <c r="B265" s="188" t="s">
        <v>1</v>
      </c>
      <c r="C265" s="212" t="s">
        <v>34</v>
      </c>
      <c r="D265" s="217" t="s">
        <v>3</v>
      </c>
      <c r="E265" s="217" t="s">
        <v>1081</v>
      </c>
      <c r="F265" s="203"/>
      <c r="G265" s="217" t="s">
        <v>1090</v>
      </c>
      <c r="H265" s="219" t="s">
        <v>414</v>
      </c>
      <c r="I265" s="220">
        <v>666</v>
      </c>
      <c r="J265" s="220">
        <v>679</v>
      </c>
      <c r="K265" s="220">
        <v>679</v>
      </c>
      <c r="L265" s="220">
        <v>720</v>
      </c>
      <c r="M265" s="223">
        <v>720</v>
      </c>
      <c r="N265" s="304">
        <v>144</v>
      </c>
      <c r="O265" s="285" t="s">
        <v>1</v>
      </c>
      <c r="P265" s="285" t="s">
        <v>1</v>
      </c>
      <c r="Q265" s="285" t="s">
        <v>1</v>
      </c>
      <c r="R265" s="285" t="s">
        <v>1</v>
      </c>
      <c r="S265" s="305">
        <v>144</v>
      </c>
      <c r="T265" s="285" t="s">
        <v>1</v>
      </c>
      <c r="U265" s="285" t="s">
        <v>1</v>
      </c>
      <c r="V265" s="285" t="s">
        <v>1</v>
      </c>
      <c r="W265" s="285" t="s">
        <v>1</v>
      </c>
      <c r="X265" s="305">
        <v>144</v>
      </c>
      <c r="Y265" s="285">
        <v>15</v>
      </c>
      <c r="Z265" s="285">
        <v>24</v>
      </c>
      <c r="AA265" s="285" t="s">
        <v>1</v>
      </c>
      <c r="AB265" s="285" t="s">
        <v>1</v>
      </c>
      <c r="AC265" s="305">
        <v>144</v>
      </c>
      <c r="AD265" s="285">
        <v>15</v>
      </c>
      <c r="AE265" s="285">
        <v>24</v>
      </c>
      <c r="AF265" s="285" t="s">
        <v>1</v>
      </c>
      <c r="AG265" s="285" t="s">
        <v>1</v>
      </c>
      <c r="AH265" s="286" t="s">
        <v>1</v>
      </c>
      <c r="AI265" s="295" t="s">
        <v>1</v>
      </c>
      <c r="AJ265" s="295" t="s">
        <v>1</v>
      </c>
      <c r="AK265" s="295" t="s">
        <v>1</v>
      </c>
      <c r="AL265" s="302" t="s">
        <v>1</v>
      </c>
      <c r="AM265" s="288" t="s">
        <v>1</v>
      </c>
      <c r="AN265" s="287" t="s">
        <v>1</v>
      </c>
      <c r="AO265" s="287" t="s">
        <v>1</v>
      </c>
      <c r="AP265" s="286" t="s">
        <v>1</v>
      </c>
      <c r="AQ265" s="285" t="s">
        <v>1</v>
      </c>
      <c r="AR265" s="289" t="s">
        <v>1</v>
      </c>
      <c r="AS265" s="289" t="s">
        <v>1</v>
      </c>
      <c r="AT265" s="290" t="s">
        <v>1</v>
      </c>
      <c r="AU265" s="287" t="s">
        <v>1</v>
      </c>
      <c r="AV265" s="287" t="s">
        <v>1</v>
      </c>
      <c r="AW265" s="291" t="s">
        <v>1</v>
      </c>
    </row>
    <row r="266" spans="1:49" ht="30.15" customHeight="1" x14ac:dyDescent="0.25">
      <c r="A266" s="213" t="s">
        <v>18</v>
      </c>
      <c r="B266" s="188" t="s">
        <v>1</v>
      </c>
      <c r="C266" s="212" t="s">
        <v>34</v>
      </c>
      <c r="D266" s="217" t="s">
        <v>3</v>
      </c>
      <c r="E266" s="217" t="s">
        <v>1082</v>
      </c>
      <c r="F266" s="203"/>
      <c r="G266" s="217" t="s">
        <v>1090</v>
      </c>
      <c r="H266" s="219" t="s">
        <v>414</v>
      </c>
      <c r="I266" s="220">
        <v>666</v>
      </c>
      <c r="J266" s="220">
        <v>679</v>
      </c>
      <c r="K266" s="220">
        <v>679</v>
      </c>
      <c r="L266" s="220">
        <v>720</v>
      </c>
      <c r="M266" s="223">
        <v>720</v>
      </c>
      <c r="N266" s="304">
        <v>144</v>
      </c>
      <c r="O266" s="285" t="s">
        <v>1</v>
      </c>
      <c r="P266" s="285" t="s">
        <v>1</v>
      </c>
      <c r="Q266" s="285" t="s">
        <v>1</v>
      </c>
      <c r="R266" s="285" t="s">
        <v>1</v>
      </c>
      <c r="S266" s="305">
        <v>144</v>
      </c>
      <c r="T266" s="285" t="s">
        <v>1</v>
      </c>
      <c r="U266" s="285" t="s">
        <v>1</v>
      </c>
      <c r="V266" s="285" t="s">
        <v>1</v>
      </c>
      <c r="W266" s="285" t="s">
        <v>1</v>
      </c>
      <c r="X266" s="305">
        <v>144</v>
      </c>
      <c r="Y266" s="285">
        <v>15</v>
      </c>
      <c r="Z266" s="285">
        <v>24</v>
      </c>
      <c r="AA266" s="285" t="s">
        <v>1</v>
      </c>
      <c r="AB266" s="285" t="s">
        <v>1</v>
      </c>
      <c r="AC266" s="305">
        <v>144</v>
      </c>
      <c r="AD266" s="285">
        <v>15</v>
      </c>
      <c r="AE266" s="285">
        <v>24</v>
      </c>
      <c r="AF266" s="285" t="s">
        <v>1</v>
      </c>
      <c r="AG266" s="285" t="s">
        <v>1</v>
      </c>
      <c r="AH266" s="286" t="s">
        <v>1</v>
      </c>
      <c r="AI266" s="295" t="s">
        <v>1</v>
      </c>
      <c r="AJ266" s="295" t="s">
        <v>1</v>
      </c>
      <c r="AK266" s="295" t="s">
        <v>1</v>
      </c>
      <c r="AL266" s="302" t="s">
        <v>1</v>
      </c>
      <c r="AM266" s="288" t="s">
        <v>1</v>
      </c>
      <c r="AN266" s="287" t="s">
        <v>1</v>
      </c>
      <c r="AO266" s="287" t="s">
        <v>1</v>
      </c>
      <c r="AP266" s="286" t="s">
        <v>1</v>
      </c>
      <c r="AQ266" s="285" t="s">
        <v>1</v>
      </c>
      <c r="AR266" s="289" t="s">
        <v>1</v>
      </c>
      <c r="AS266" s="289" t="s">
        <v>1</v>
      </c>
      <c r="AT266" s="290" t="s">
        <v>1</v>
      </c>
      <c r="AU266" s="287" t="s">
        <v>1</v>
      </c>
      <c r="AV266" s="287" t="s">
        <v>1</v>
      </c>
      <c r="AW266" s="291" t="s">
        <v>1</v>
      </c>
    </row>
    <row r="267" spans="1:49" ht="30.15" customHeight="1" x14ac:dyDescent="0.25">
      <c r="A267" s="213" t="s">
        <v>18</v>
      </c>
      <c r="B267" s="188" t="s">
        <v>1</v>
      </c>
      <c r="C267" s="212" t="s">
        <v>34</v>
      </c>
      <c r="D267" s="217" t="s">
        <v>3</v>
      </c>
      <c r="E267" s="217" t="s">
        <v>1083</v>
      </c>
      <c r="F267" s="203"/>
      <c r="G267" s="217" t="s">
        <v>1090</v>
      </c>
      <c r="H267" s="219" t="s">
        <v>414</v>
      </c>
      <c r="I267" s="220">
        <v>666</v>
      </c>
      <c r="J267" s="220">
        <v>679</v>
      </c>
      <c r="K267" s="220">
        <v>679</v>
      </c>
      <c r="L267" s="220">
        <v>720</v>
      </c>
      <c r="M267" s="223">
        <v>720</v>
      </c>
      <c r="N267" s="304">
        <v>144</v>
      </c>
      <c r="O267" s="285" t="s">
        <v>1</v>
      </c>
      <c r="P267" s="285" t="s">
        <v>1</v>
      </c>
      <c r="Q267" s="285" t="s">
        <v>1</v>
      </c>
      <c r="R267" s="285" t="s">
        <v>1</v>
      </c>
      <c r="S267" s="305">
        <v>144</v>
      </c>
      <c r="T267" s="285" t="s">
        <v>1</v>
      </c>
      <c r="U267" s="285" t="s">
        <v>1</v>
      </c>
      <c r="V267" s="285" t="s">
        <v>1</v>
      </c>
      <c r="W267" s="285" t="s">
        <v>1</v>
      </c>
      <c r="X267" s="305">
        <v>144</v>
      </c>
      <c r="Y267" s="285">
        <v>15</v>
      </c>
      <c r="Z267" s="285">
        <v>24</v>
      </c>
      <c r="AA267" s="285" t="s">
        <v>1</v>
      </c>
      <c r="AB267" s="285" t="s">
        <v>1</v>
      </c>
      <c r="AC267" s="305">
        <v>144</v>
      </c>
      <c r="AD267" s="285">
        <v>15</v>
      </c>
      <c r="AE267" s="285">
        <v>24</v>
      </c>
      <c r="AF267" s="285" t="s">
        <v>1</v>
      </c>
      <c r="AG267" s="285" t="s">
        <v>1</v>
      </c>
      <c r="AH267" s="286" t="s">
        <v>1</v>
      </c>
      <c r="AI267" s="295" t="s">
        <v>1</v>
      </c>
      <c r="AJ267" s="295" t="s">
        <v>1</v>
      </c>
      <c r="AK267" s="295" t="s">
        <v>1</v>
      </c>
      <c r="AL267" s="302" t="s">
        <v>1</v>
      </c>
      <c r="AM267" s="288" t="s">
        <v>1</v>
      </c>
      <c r="AN267" s="287" t="s">
        <v>1</v>
      </c>
      <c r="AO267" s="287" t="s">
        <v>1</v>
      </c>
      <c r="AP267" s="286" t="s">
        <v>1</v>
      </c>
      <c r="AQ267" s="285" t="s">
        <v>1</v>
      </c>
      <c r="AR267" s="289" t="s">
        <v>1</v>
      </c>
      <c r="AS267" s="289" t="s">
        <v>1</v>
      </c>
      <c r="AT267" s="290" t="s">
        <v>1</v>
      </c>
      <c r="AU267" s="287" t="s">
        <v>1</v>
      </c>
      <c r="AV267" s="287" t="s">
        <v>1</v>
      </c>
      <c r="AW267" s="291" t="s">
        <v>1</v>
      </c>
    </row>
    <row r="268" spans="1:49" ht="30.15" customHeight="1" x14ac:dyDescent="0.25">
      <c r="A268" s="213" t="s">
        <v>18</v>
      </c>
      <c r="B268" s="188" t="s">
        <v>1</v>
      </c>
      <c r="C268" s="212" t="s">
        <v>34</v>
      </c>
      <c r="D268" s="217" t="s">
        <v>3</v>
      </c>
      <c r="E268" s="217" t="s">
        <v>1084</v>
      </c>
      <c r="F268" s="203"/>
      <c r="G268" s="217" t="s">
        <v>1091</v>
      </c>
      <c r="H268" s="219" t="s">
        <v>414</v>
      </c>
      <c r="I268" s="220">
        <v>732</v>
      </c>
      <c r="J268" s="220">
        <v>751</v>
      </c>
      <c r="K268" s="220">
        <v>751</v>
      </c>
      <c r="L268" s="220">
        <v>790</v>
      </c>
      <c r="M268" s="223">
        <v>790</v>
      </c>
      <c r="N268" s="304">
        <v>158</v>
      </c>
      <c r="O268" s="285" t="s">
        <v>1</v>
      </c>
      <c r="P268" s="285" t="s">
        <v>1</v>
      </c>
      <c r="Q268" s="285" t="s">
        <v>1</v>
      </c>
      <c r="R268" s="285" t="s">
        <v>1</v>
      </c>
      <c r="S268" s="305">
        <v>158</v>
      </c>
      <c r="T268" s="285" t="s">
        <v>1</v>
      </c>
      <c r="U268" s="285" t="s">
        <v>1</v>
      </c>
      <c r="V268" s="285" t="s">
        <v>1</v>
      </c>
      <c r="W268" s="285" t="s">
        <v>1</v>
      </c>
      <c r="X268" s="305">
        <v>158</v>
      </c>
      <c r="Y268" s="285">
        <v>15</v>
      </c>
      <c r="Z268" s="285">
        <v>24</v>
      </c>
      <c r="AA268" s="285" t="s">
        <v>1</v>
      </c>
      <c r="AB268" s="285" t="s">
        <v>1</v>
      </c>
      <c r="AC268" s="305">
        <v>158</v>
      </c>
      <c r="AD268" s="285">
        <v>15</v>
      </c>
      <c r="AE268" s="285">
        <v>24</v>
      </c>
      <c r="AF268" s="285" t="s">
        <v>1</v>
      </c>
      <c r="AG268" s="285" t="s">
        <v>1</v>
      </c>
      <c r="AH268" s="286" t="s">
        <v>1</v>
      </c>
      <c r="AI268" s="295" t="s">
        <v>1</v>
      </c>
      <c r="AJ268" s="295" t="s">
        <v>1</v>
      </c>
      <c r="AK268" s="295" t="s">
        <v>1</v>
      </c>
      <c r="AL268" s="302" t="s">
        <v>1</v>
      </c>
      <c r="AM268" s="288" t="s">
        <v>1</v>
      </c>
      <c r="AN268" s="287" t="s">
        <v>1</v>
      </c>
      <c r="AO268" s="287" t="s">
        <v>1</v>
      </c>
      <c r="AP268" s="286" t="s">
        <v>1</v>
      </c>
      <c r="AQ268" s="285" t="s">
        <v>1</v>
      </c>
      <c r="AR268" s="289" t="s">
        <v>1</v>
      </c>
      <c r="AS268" s="289" t="s">
        <v>1</v>
      </c>
      <c r="AT268" s="290" t="s">
        <v>1</v>
      </c>
      <c r="AU268" s="287" t="s">
        <v>1</v>
      </c>
      <c r="AV268" s="287" t="s">
        <v>1</v>
      </c>
      <c r="AW268" s="291" t="s">
        <v>1</v>
      </c>
    </row>
    <row r="269" spans="1:49" ht="30.15" customHeight="1" x14ac:dyDescent="0.25">
      <c r="A269" s="213" t="s">
        <v>18</v>
      </c>
      <c r="B269" s="188" t="s">
        <v>1</v>
      </c>
      <c r="C269" s="212" t="s">
        <v>34</v>
      </c>
      <c r="D269" s="217" t="s">
        <v>3</v>
      </c>
      <c r="E269" s="217" t="s">
        <v>1085</v>
      </c>
      <c r="F269" s="203"/>
      <c r="G269" s="217" t="s">
        <v>1091</v>
      </c>
      <c r="H269" s="219" t="s">
        <v>414</v>
      </c>
      <c r="I269" s="220">
        <v>732</v>
      </c>
      <c r="J269" s="220">
        <v>751</v>
      </c>
      <c r="K269" s="220">
        <v>751</v>
      </c>
      <c r="L269" s="220">
        <v>790</v>
      </c>
      <c r="M269" s="223">
        <v>790</v>
      </c>
      <c r="N269" s="304">
        <v>158</v>
      </c>
      <c r="O269" s="285" t="s">
        <v>1</v>
      </c>
      <c r="P269" s="285" t="s">
        <v>1</v>
      </c>
      <c r="Q269" s="285" t="s">
        <v>1</v>
      </c>
      <c r="R269" s="285" t="s">
        <v>1</v>
      </c>
      <c r="S269" s="305">
        <v>158</v>
      </c>
      <c r="T269" s="285" t="s">
        <v>1</v>
      </c>
      <c r="U269" s="285" t="s">
        <v>1</v>
      </c>
      <c r="V269" s="285" t="s">
        <v>1</v>
      </c>
      <c r="W269" s="285" t="s">
        <v>1</v>
      </c>
      <c r="X269" s="305">
        <v>158</v>
      </c>
      <c r="Y269" s="285">
        <v>15</v>
      </c>
      <c r="Z269" s="285">
        <v>24</v>
      </c>
      <c r="AA269" s="285" t="s">
        <v>1</v>
      </c>
      <c r="AB269" s="285" t="s">
        <v>1</v>
      </c>
      <c r="AC269" s="305">
        <v>158</v>
      </c>
      <c r="AD269" s="285">
        <v>15</v>
      </c>
      <c r="AE269" s="285">
        <v>24</v>
      </c>
      <c r="AF269" s="285" t="s">
        <v>1</v>
      </c>
      <c r="AG269" s="285" t="s">
        <v>1</v>
      </c>
      <c r="AH269" s="286" t="s">
        <v>1</v>
      </c>
      <c r="AI269" s="295" t="s">
        <v>1</v>
      </c>
      <c r="AJ269" s="295" t="s">
        <v>1</v>
      </c>
      <c r="AK269" s="295" t="s">
        <v>1</v>
      </c>
      <c r="AL269" s="302" t="s">
        <v>1</v>
      </c>
      <c r="AM269" s="288" t="s">
        <v>1</v>
      </c>
      <c r="AN269" s="287" t="s">
        <v>1</v>
      </c>
      <c r="AO269" s="287" t="s">
        <v>1</v>
      </c>
      <c r="AP269" s="286" t="s">
        <v>1</v>
      </c>
      <c r="AQ269" s="285" t="s">
        <v>1</v>
      </c>
      <c r="AR269" s="289" t="s">
        <v>1</v>
      </c>
      <c r="AS269" s="289" t="s">
        <v>1</v>
      </c>
      <c r="AT269" s="290" t="s">
        <v>1</v>
      </c>
      <c r="AU269" s="287" t="s">
        <v>1</v>
      </c>
      <c r="AV269" s="287" t="s">
        <v>1</v>
      </c>
      <c r="AW269" s="291" t="s">
        <v>1</v>
      </c>
    </row>
    <row r="270" spans="1:49" ht="30.15" customHeight="1" x14ac:dyDescent="0.25">
      <c r="A270" s="213" t="s">
        <v>18</v>
      </c>
      <c r="B270" s="188" t="s">
        <v>1</v>
      </c>
      <c r="C270" s="212" t="s">
        <v>34</v>
      </c>
      <c r="D270" s="217" t="s">
        <v>3</v>
      </c>
      <c r="E270" s="217" t="s">
        <v>1086</v>
      </c>
      <c r="F270" s="203"/>
      <c r="G270" s="217" t="s">
        <v>1091</v>
      </c>
      <c r="H270" s="219" t="s">
        <v>414</v>
      </c>
      <c r="I270" s="220">
        <v>732</v>
      </c>
      <c r="J270" s="220">
        <v>751</v>
      </c>
      <c r="K270" s="220">
        <v>751</v>
      </c>
      <c r="L270" s="220">
        <v>790</v>
      </c>
      <c r="M270" s="223">
        <v>790</v>
      </c>
      <c r="N270" s="304">
        <v>158</v>
      </c>
      <c r="O270" s="285" t="s">
        <v>1</v>
      </c>
      <c r="P270" s="285" t="s">
        <v>1</v>
      </c>
      <c r="Q270" s="285" t="s">
        <v>1</v>
      </c>
      <c r="R270" s="285" t="s">
        <v>1</v>
      </c>
      <c r="S270" s="305">
        <v>158</v>
      </c>
      <c r="T270" s="285" t="s">
        <v>1</v>
      </c>
      <c r="U270" s="285" t="s">
        <v>1</v>
      </c>
      <c r="V270" s="285" t="s">
        <v>1</v>
      </c>
      <c r="W270" s="285" t="s">
        <v>1</v>
      </c>
      <c r="X270" s="305">
        <v>158</v>
      </c>
      <c r="Y270" s="285">
        <v>15</v>
      </c>
      <c r="Z270" s="285">
        <v>24</v>
      </c>
      <c r="AA270" s="285" t="s">
        <v>1</v>
      </c>
      <c r="AB270" s="285" t="s">
        <v>1</v>
      </c>
      <c r="AC270" s="305">
        <v>158</v>
      </c>
      <c r="AD270" s="285">
        <v>15</v>
      </c>
      <c r="AE270" s="285">
        <v>24</v>
      </c>
      <c r="AF270" s="285" t="s">
        <v>1</v>
      </c>
      <c r="AG270" s="285" t="s">
        <v>1</v>
      </c>
      <c r="AH270" s="286" t="s">
        <v>1</v>
      </c>
      <c r="AI270" s="295" t="s">
        <v>1</v>
      </c>
      <c r="AJ270" s="295" t="s">
        <v>1</v>
      </c>
      <c r="AK270" s="295" t="s">
        <v>1</v>
      </c>
      <c r="AL270" s="302" t="s">
        <v>1</v>
      </c>
      <c r="AM270" s="288" t="s">
        <v>1</v>
      </c>
      <c r="AN270" s="287" t="s">
        <v>1</v>
      </c>
      <c r="AO270" s="287" t="s">
        <v>1</v>
      </c>
      <c r="AP270" s="286" t="s">
        <v>1</v>
      </c>
      <c r="AQ270" s="285" t="s">
        <v>1</v>
      </c>
      <c r="AR270" s="289" t="s">
        <v>1</v>
      </c>
      <c r="AS270" s="289" t="s">
        <v>1</v>
      </c>
      <c r="AT270" s="290" t="s">
        <v>1</v>
      </c>
      <c r="AU270" s="287" t="s">
        <v>1</v>
      </c>
      <c r="AV270" s="287" t="s">
        <v>1</v>
      </c>
      <c r="AW270" s="291" t="s">
        <v>1</v>
      </c>
    </row>
    <row r="271" spans="1:49" ht="30.15" customHeight="1" x14ac:dyDescent="0.25">
      <c r="A271" s="213" t="s">
        <v>18</v>
      </c>
      <c r="B271" s="188" t="s">
        <v>1</v>
      </c>
      <c r="C271" s="212" t="s">
        <v>34</v>
      </c>
      <c r="D271" s="217" t="s">
        <v>3</v>
      </c>
      <c r="E271" s="217" t="s">
        <v>1087</v>
      </c>
      <c r="F271" s="203"/>
      <c r="G271" s="217" t="s">
        <v>1091</v>
      </c>
      <c r="H271" s="219" t="s">
        <v>414</v>
      </c>
      <c r="I271" s="220">
        <v>732</v>
      </c>
      <c r="J271" s="220">
        <v>751</v>
      </c>
      <c r="K271" s="220">
        <v>751</v>
      </c>
      <c r="L271" s="220">
        <v>790</v>
      </c>
      <c r="M271" s="223">
        <v>790</v>
      </c>
      <c r="N271" s="304">
        <v>158</v>
      </c>
      <c r="O271" s="285" t="s">
        <v>1</v>
      </c>
      <c r="P271" s="285" t="s">
        <v>1</v>
      </c>
      <c r="Q271" s="285" t="s">
        <v>1</v>
      </c>
      <c r="R271" s="285" t="s">
        <v>1</v>
      </c>
      <c r="S271" s="305">
        <v>158</v>
      </c>
      <c r="T271" s="285" t="s">
        <v>1</v>
      </c>
      <c r="U271" s="285" t="s">
        <v>1</v>
      </c>
      <c r="V271" s="285" t="s">
        <v>1</v>
      </c>
      <c r="W271" s="285" t="s">
        <v>1</v>
      </c>
      <c r="X271" s="305">
        <v>158</v>
      </c>
      <c r="Y271" s="285">
        <v>15</v>
      </c>
      <c r="Z271" s="285">
        <v>24</v>
      </c>
      <c r="AA271" s="285" t="s">
        <v>1</v>
      </c>
      <c r="AB271" s="285" t="s">
        <v>1</v>
      </c>
      <c r="AC271" s="305">
        <v>158</v>
      </c>
      <c r="AD271" s="285">
        <v>15</v>
      </c>
      <c r="AE271" s="285">
        <v>24</v>
      </c>
      <c r="AF271" s="285" t="s">
        <v>1</v>
      </c>
      <c r="AG271" s="285" t="s">
        <v>1</v>
      </c>
      <c r="AH271" s="286" t="s">
        <v>1</v>
      </c>
      <c r="AI271" s="295" t="s">
        <v>1</v>
      </c>
      <c r="AJ271" s="295" t="s">
        <v>1</v>
      </c>
      <c r="AK271" s="295" t="s">
        <v>1</v>
      </c>
      <c r="AL271" s="302" t="s">
        <v>1</v>
      </c>
      <c r="AM271" s="288" t="s">
        <v>1</v>
      </c>
      <c r="AN271" s="287" t="s">
        <v>1</v>
      </c>
      <c r="AO271" s="287" t="s">
        <v>1</v>
      </c>
      <c r="AP271" s="286" t="s">
        <v>1</v>
      </c>
      <c r="AQ271" s="285" t="s">
        <v>1</v>
      </c>
      <c r="AR271" s="289" t="s">
        <v>1</v>
      </c>
      <c r="AS271" s="289" t="s">
        <v>1</v>
      </c>
      <c r="AT271" s="290" t="s">
        <v>1</v>
      </c>
      <c r="AU271" s="287" t="s">
        <v>1</v>
      </c>
      <c r="AV271" s="287" t="s">
        <v>1</v>
      </c>
      <c r="AW271" s="291" t="s">
        <v>1</v>
      </c>
    </row>
    <row r="272" spans="1:49" ht="30.15" customHeight="1" x14ac:dyDescent="0.25">
      <c r="A272" s="213" t="s">
        <v>18</v>
      </c>
      <c r="B272" s="188" t="s">
        <v>1</v>
      </c>
      <c r="C272" s="212" t="s">
        <v>34</v>
      </c>
      <c r="D272" s="217" t="s">
        <v>3</v>
      </c>
      <c r="E272" s="217" t="s">
        <v>1088</v>
      </c>
      <c r="F272" s="203"/>
      <c r="G272" s="217" t="s">
        <v>1091</v>
      </c>
      <c r="H272" s="219" t="s">
        <v>414</v>
      </c>
      <c r="I272" s="220">
        <v>732</v>
      </c>
      <c r="J272" s="220">
        <v>751</v>
      </c>
      <c r="K272" s="220">
        <v>751</v>
      </c>
      <c r="L272" s="220">
        <v>790</v>
      </c>
      <c r="M272" s="223">
        <v>790</v>
      </c>
      <c r="N272" s="304">
        <v>158</v>
      </c>
      <c r="O272" s="285" t="s">
        <v>1</v>
      </c>
      <c r="P272" s="285" t="s">
        <v>1</v>
      </c>
      <c r="Q272" s="285" t="s">
        <v>1</v>
      </c>
      <c r="R272" s="285" t="s">
        <v>1</v>
      </c>
      <c r="S272" s="305">
        <v>158</v>
      </c>
      <c r="T272" s="285" t="s">
        <v>1</v>
      </c>
      <c r="U272" s="285" t="s">
        <v>1</v>
      </c>
      <c r="V272" s="285" t="s">
        <v>1</v>
      </c>
      <c r="W272" s="285" t="s">
        <v>1</v>
      </c>
      <c r="X272" s="305">
        <v>158</v>
      </c>
      <c r="Y272" s="285">
        <v>15</v>
      </c>
      <c r="Z272" s="285">
        <v>24</v>
      </c>
      <c r="AA272" s="285" t="s">
        <v>1</v>
      </c>
      <c r="AB272" s="285" t="s">
        <v>1</v>
      </c>
      <c r="AC272" s="305">
        <v>158</v>
      </c>
      <c r="AD272" s="285">
        <v>15</v>
      </c>
      <c r="AE272" s="285">
        <v>24</v>
      </c>
      <c r="AF272" s="285" t="s">
        <v>1</v>
      </c>
      <c r="AG272" s="285" t="s">
        <v>1</v>
      </c>
      <c r="AH272" s="286" t="s">
        <v>1</v>
      </c>
      <c r="AI272" s="295" t="s">
        <v>1</v>
      </c>
      <c r="AJ272" s="295" t="s">
        <v>1</v>
      </c>
      <c r="AK272" s="295" t="s">
        <v>1</v>
      </c>
      <c r="AL272" s="302" t="s">
        <v>1</v>
      </c>
      <c r="AM272" s="288" t="s">
        <v>1</v>
      </c>
      <c r="AN272" s="287" t="s">
        <v>1</v>
      </c>
      <c r="AO272" s="287" t="s">
        <v>1</v>
      </c>
      <c r="AP272" s="286" t="s">
        <v>1</v>
      </c>
      <c r="AQ272" s="285" t="s">
        <v>1</v>
      </c>
      <c r="AR272" s="289" t="s">
        <v>1</v>
      </c>
      <c r="AS272" s="289" t="s">
        <v>1</v>
      </c>
      <c r="AT272" s="290" t="s">
        <v>1</v>
      </c>
      <c r="AU272" s="287" t="s">
        <v>1</v>
      </c>
      <c r="AV272" s="287" t="s">
        <v>1</v>
      </c>
      <c r="AW272" s="291" t="s">
        <v>1</v>
      </c>
    </row>
    <row r="273" spans="1:49" ht="30.15" customHeight="1" x14ac:dyDescent="0.25">
      <c r="A273" s="213" t="s">
        <v>18</v>
      </c>
      <c r="B273" s="188" t="s">
        <v>1</v>
      </c>
      <c r="C273" s="212" t="s">
        <v>34</v>
      </c>
      <c r="D273" s="217" t="s">
        <v>3</v>
      </c>
      <c r="E273" s="217" t="s">
        <v>1089</v>
      </c>
      <c r="F273" s="203"/>
      <c r="G273" s="217" t="s">
        <v>1091</v>
      </c>
      <c r="H273" s="219" t="s">
        <v>414</v>
      </c>
      <c r="I273" s="220">
        <v>732</v>
      </c>
      <c r="J273" s="220">
        <v>751</v>
      </c>
      <c r="K273" s="220">
        <v>751</v>
      </c>
      <c r="L273" s="220">
        <v>790</v>
      </c>
      <c r="M273" s="223">
        <v>790</v>
      </c>
      <c r="N273" s="304">
        <v>158</v>
      </c>
      <c r="O273" s="285" t="s">
        <v>1</v>
      </c>
      <c r="P273" s="285" t="s">
        <v>1</v>
      </c>
      <c r="Q273" s="285" t="s">
        <v>1</v>
      </c>
      <c r="R273" s="285" t="s">
        <v>1</v>
      </c>
      <c r="S273" s="305">
        <v>158</v>
      </c>
      <c r="T273" s="285" t="s">
        <v>1</v>
      </c>
      <c r="U273" s="285" t="s">
        <v>1</v>
      </c>
      <c r="V273" s="285" t="s">
        <v>1</v>
      </c>
      <c r="W273" s="285" t="s">
        <v>1</v>
      </c>
      <c r="X273" s="305">
        <v>158</v>
      </c>
      <c r="Y273" s="285">
        <v>15</v>
      </c>
      <c r="Z273" s="285">
        <v>24</v>
      </c>
      <c r="AA273" s="285" t="s">
        <v>1</v>
      </c>
      <c r="AB273" s="285" t="s">
        <v>1</v>
      </c>
      <c r="AC273" s="305">
        <v>158</v>
      </c>
      <c r="AD273" s="285">
        <v>15</v>
      </c>
      <c r="AE273" s="285">
        <v>24</v>
      </c>
      <c r="AF273" s="285" t="s">
        <v>1</v>
      </c>
      <c r="AG273" s="285" t="s">
        <v>1</v>
      </c>
      <c r="AH273" s="286" t="s">
        <v>1</v>
      </c>
      <c r="AI273" s="295" t="s">
        <v>1</v>
      </c>
      <c r="AJ273" s="295" t="s">
        <v>1</v>
      </c>
      <c r="AK273" s="295" t="s">
        <v>1</v>
      </c>
      <c r="AL273" s="302" t="s">
        <v>1</v>
      </c>
      <c r="AM273" s="288" t="s">
        <v>1</v>
      </c>
      <c r="AN273" s="287" t="s">
        <v>1</v>
      </c>
      <c r="AO273" s="287" t="s">
        <v>1</v>
      </c>
      <c r="AP273" s="286" t="s">
        <v>1</v>
      </c>
      <c r="AQ273" s="285" t="s">
        <v>1</v>
      </c>
      <c r="AR273" s="289" t="s">
        <v>1</v>
      </c>
      <c r="AS273" s="289" t="s">
        <v>1</v>
      </c>
      <c r="AT273" s="290" t="s">
        <v>1</v>
      </c>
      <c r="AU273" s="287" t="s">
        <v>1</v>
      </c>
      <c r="AV273" s="287" t="s">
        <v>1</v>
      </c>
      <c r="AW273" s="291" t="s">
        <v>1</v>
      </c>
    </row>
    <row r="274" spans="1:49" ht="30.15" customHeight="1" x14ac:dyDescent="0.25">
      <c r="A274" s="213" t="s">
        <v>18</v>
      </c>
      <c r="B274" s="188" t="s">
        <v>1</v>
      </c>
      <c r="C274" s="212" t="s">
        <v>34</v>
      </c>
      <c r="D274" s="190" t="s">
        <v>3</v>
      </c>
      <c r="E274" s="190" t="s">
        <v>456</v>
      </c>
      <c r="F274" s="203"/>
      <c r="G274" s="190" t="s">
        <v>449</v>
      </c>
      <c r="H274" s="192" t="s">
        <v>409</v>
      </c>
      <c r="I274" s="193">
        <v>1189</v>
      </c>
      <c r="J274" s="193">
        <v>1216</v>
      </c>
      <c r="K274" s="193">
        <v>1216</v>
      </c>
      <c r="L274" s="193">
        <v>1285</v>
      </c>
      <c r="M274" s="194">
        <v>1285</v>
      </c>
      <c r="N274" s="284">
        <v>257</v>
      </c>
      <c r="O274" s="285">
        <v>28.55</v>
      </c>
      <c r="P274" s="285">
        <v>24</v>
      </c>
      <c r="Q274" s="285" t="s">
        <v>1</v>
      </c>
      <c r="R274" s="285" t="s">
        <v>1</v>
      </c>
      <c r="S274" s="286">
        <v>257</v>
      </c>
      <c r="T274" s="285">
        <v>28.55</v>
      </c>
      <c r="U274" s="285">
        <v>24</v>
      </c>
      <c r="V274" s="285" t="s">
        <v>1</v>
      </c>
      <c r="W274" s="285" t="s">
        <v>1</v>
      </c>
      <c r="X274" s="286">
        <v>257</v>
      </c>
      <c r="Y274" s="285">
        <v>41.05</v>
      </c>
      <c r="Z274" s="285">
        <v>24</v>
      </c>
      <c r="AA274" s="285" t="s">
        <v>1</v>
      </c>
      <c r="AB274" s="285" t="s">
        <v>1</v>
      </c>
      <c r="AC274" s="286">
        <v>257</v>
      </c>
      <c r="AD274" s="285">
        <v>41.05</v>
      </c>
      <c r="AE274" s="285">
        <v>24</v>
      </c>
      <c r="AF274" s="285" t="s">
        <v>1</v>
      </c>
      <c r="AG274" s="285" t="s">
        <v>1</v>
      </c>
      <c r="AH274" s="286" t="s">
        <v>1</v>
      </c>
      <c r="AI274" s="295" t="s">
        <v>1</v>
      </c>
      <c r="AJ274" s="295" t="s">
        <v>1</v>
      </c>
      <c r="AK274" s="295" t="s">
        <v>1</v>
      </c>
      <c r="AL274" s="302" t="s">
        <v>1</v>
      </c>
      <c r="AM274" s="288" t="s">
        <v>1</v>
      </c>
      <c r="AN274" s="287" t="s">
        <v>1</v>
      </c>
      <c r="AO274" s="287" t="s">
        <v>1</v>
      </c>
      <c r="AP274" s="286" t="s">
        <v>1</v>
      </c>
      <c r="AQ274" s="285" t="s">
        <v>1</v>
      </c>
      <c r="AR274" s="289" t="s">
        <v>1</v>
      </c>
      <c r="AS274" s="289" t="s">
        <v>1</v>
      </c>
      <c r="AT274" s="290" t="s">
        <v>1</v>
      </c>
      <c r="AU274" s="287" t="s">
        <v>1</v>
      </c>
      <c r="AV274" s="287" t="s">
        <v>1</v>
      </c>
      <c r="AW274" s="291" t="s">
        <v>1</v>
      </c>
    </row>
    <row r="275" spans="1:49" ht="30.15" customHeight="1" x14ac:dyDescent="0.25">
      <c r="A275" s="213" t="s">
        <v>18</v>
      </c>
      <c r="B275" s="188" t="s">
        <v>1</v>
      </c>
      <c r="C275" s="212" t="s">
        <v>34</v>
      </c>
      <c r="D275" s="190" t="s">
        <v>3</v>
      </c>
      <c r="E275" s="190" t="s">
        <v>455</v>
      </c>
      <c r="F275" s="203"/>
      <c r="G275" s="190" t="s">
        <v>449</v>
      </c>
      <c r="H275" s="192" t="s">
        <v>409</v>
      </c>
      <c r="I275" s="193">
        <v>1189</v>
      </c>
      <c r="J275" s="193">
        <v>1216</v>
      </c>
      <c r="K275" s="193">
        <v>1216</v>
      </c>
      <c r="L275" s="193">
        <v>1285</v>
      </c>
      <c r="M275" s="194">
        <v>1285</v>
      </c>
      <c r="N275" s="284">
        <v>257</v>
      </c>
      <c r="O275" s="285">
        <v>28.55</v>
      </c>
      <c r="P275" s="285">
        <v>24</v>
      </c>
      <c r="Q275" s="285" t="s">
        <v>1</v>
      </c>
      <c r="R275" s="285" t="s">
        <v>1</v>
      </c>
      <c r="S275" s="286">
        <v>257</v>
      </c>
      <c r="T275" s="285">
        <v>28.55</v>
      </c>
      <c r="U275" s="285">
        <v>24</v>
      </c>
      <c r="V275" s="285" t="s">
        <v>1</v>
      </c>
      <c r="W275" s="285" t="s">
        <v>1</v>
      </c>
      <c r="X275" s="286">
        <v>257</v>
      </c>
      <c r="Y275" s="285">
        <v>41.05</v>
      </c>
      <c r="Z275" s="285">
        <v>24</v>
      </c>
      <c r="AA275" s="285" t="s">
        <v>1</v>
      </c>
      <c r="AB275" s="285" t="s">
        <v>1</v>
      </c>
      <c r="AC275" s="286">
        <v>257</v>
      </c>
      <c r="AD275" s="285">
        <v>41.05</v>
      </c>
      <c r="AE275" s="285">
        <v>24</v>
      </c>
      <c r="AF275" s="285" t="s">
        <v>1</v>
      </c>
      <c r="AG275" s="285" t="s">
        <v>1</v>
      </c>
      <c r="AH275" s="286" t="s">
        <v>1</v>
      </c>
      <c r="AI275" s="295" t="s">
        <v>1</v>
      </c>
      <c r="AJ275" s="295" t="s">
        <v>1</v>
      </c>
      <c r="AK275" s="295" t="s">
        <v>1</v>
      </c>
      <c r="AL275" s="302" t="s">
        <v>1</v>
      </c>
      <c r="AM275" s="288" t="s">
        <v>1</v>
      </c>
      <c r="AN275" s="287" t="s">
        <v>1</v>
      </c>
      <c r="AO275" s="287" t="s">
        <v>1</v>
      </c>
      <c r="AP275" s="286" t="s">
        <v>1</v>
      </c>
      <c r="AQ275" s="285" t="s">
        <v>1</v>
      </c>
      <c r="AR275" s="289" t="s">
        <v>1</v>
      </c>
      <c r="AS275" s="289" t="s">
        <v>1</v>
      </c>
      <c r="AT275" s="290" t="s">
        <v>1</v>
      </c>
      <c r="AU275" s="287" t="s">
        <v>1</v>
      </c>
      <c r="AV275" s="287" t="s">
        <v>1</v>
      </c>
      <c r="AW275" s="291" t="s">
        <v>1</v>
      </c>
    </row>
    <row r="276" spans="1:49" ht="30.15" customHeight="1" x14ac:dyDescent="0.25">
      <c r="A276" s="213" t="s">
        <v>18</v>
      </c>
      <c r="B276" s="188" t="s">
        <v>1</v>
      </c>
      <c r="C276" s="212" t="s">
        <v>34</v>
      </c>
      <c r="D276" s="190" t="s">
        <v>3</v>
      </c>
      <c r="E276" s="190" t="s">
        <v>457</v>
      </c>
      <c r="F276" s="203"/>
      <c r="G276" s="190" t="s">
        <v>449</v>
      </c>
      <c r="H276" s="192" t="s">
        <v>409</v>
      </c>
      <c r="I276" s="193">
        <v>1189</v>
      </c>
      <c r="J276" s="193">
        <v>1216</v>
      </c>
      <c r="K276" s="193">
        <v>1216</v>
      </c>
      <c r="L276" s="193">
        <v>1285</v>
      </c>
      <c r="M276" s="194">
        <v>1285</v>
      </c>
      <c r="N276" s="284">
        <v>257</v>
      </c>
      <c r="O276" s="285">
        <v>28.55</v>
      </c>
      <c r="P276" s="285">
        <v>24</v>
      </c>
      <c r="Q276" s="285" t="s">
        <v>1</v>
      </c>
      <c r="R276" s="285" t="s">
        <v>1</v>
      </c>
      <c r="S276" s="286">
        <v>257</v>
      </c>
      <c r="T276" s="285">
        <v>28.55</v>
      </c>
      <c r="U276" s="285">
        <v>24</v>
      </c>
      <c r="V276" s="285" t="s">
        <v>1</v>
      </c>
      <c r="W276" s="285" t="s">
        <v>1</v>
      </c>
      <c r="X276" s="286">
        <v>257</v>
      </c>
      <c r="Y276" s="285">
        <v>41.05</v>
      </c>
      <c r="Z276" s="285">
        <v>24</v>
      </c>
      <c r="AA276" s="285" t="s">
        <v>1</v>
      </c>
      <c r="AB276" s="285" t="s">
        <v>1</v>
      </c>
      <c r="AC276" s="286">
        <v>257</v>
      </c>
      <c r="AD276" s="285">
        <v>41.05</v>
      </c>
      <c r="AE276" s="285">
        <v>24</v>
      </c>
      <c r="AF276" s="285" t="s">
        <v>1</v>
      </c>
      <c r="AG276" s="285" t="s">
        <v>1</v>
      </c>
      <c r="AH276" s="286" t="s">
        <v>1</v>
      </c>
      <c r="AI276" s="295" t="s">
        <v>1</v>
      </c>
      <c r="AJ276" s="295" t="s">
        <v>1</v>
      </c>
      <c r="AK276" s="295" t="s">
        <v>1</v>
      </c>
      <c r="AL276" s="302" t="s">
        <v>1</v>
      </c>
      <c r="AM276" s="288" t="s">
        <v>1</v>
      </c>
      <c r="AN276" s="287" t="s">
        <v>1</v>
      </c>
      <c r="AO276" s="287" t="s">
        <v>1</v>
      </c>
      <c r="AP276" s="286" t="s">
        <v>1</v>
      </c>
      <c r="AQ276" s="285" t="s">
        <v>1</v>
      </c>
      <c r="AR276" s="289" t="s">
        <v>1</v>
      </c>
      <c r="AS276" s="289" t="s">
        <v>1</v>
      </c>
      <c r="AT276" s="290" t="s">
        <v>1</v>
      </c>
      <c r="AU276" s="287" t="s">
        <v>1</v>
      </c>
      <c r="AV276" s="287" t="s">
        <v>1</v>
      </c>
      <c r="AW276" s="291" t="s">
        <v>1</v>
      </c>
    </row>
    <row r="277" spans="1:49" ht="30.15" customHeight="1" x14ac:dyDescent="0.25">
      <c r="A277" s="213" t="s">
        <v>18</v>
      </c>
      <c r="B277" s="188" t="s">
        <v>1</v>
      </c>
      <c r="C277" s="212" t="s">
        <v>34</v>
      </c>
      <c r="D277" s="190" t="s">
        <v>3</v>
      </c>
      <c r="E277" s="190" t="s">
        <v>458</v>
      </c>
      <c r="F277" s="203"/>
      <c r="G277" s="190" t="s">
        <v>450</v>
      </c>
      <c r="H277" s="192" t="s">
        <v>409</v>
      </c>
      <c r="I277" s="193">
        <v>1389</v>
      </c>
      <c r="J277" s="193">
        <v>1425</v>
      </c>
      <c r="K277" s="193">
        <v>1425</v>
      </c>
      <c r="L277" s="193">
        <v>1500</v>
      </c>
      <c r="M277" s="194">
        <v>1500</v>
      </c>
      <c r="N277" s="284">
        <v>300</v>
      </c>
      <c r="O277" s="285">
        <v>28.55</v>
      </c>
      <c r="P277" s="285">
        <v>24</v>
      </c>
      <c r="Q277" s="285" t="s">
        <v>1</v>
      </c>
      <c r="R277" s="285" t="s">
        <v>1</v>
      </c>
      <c r="S277" s="286">
        <v>300</v>
      </c>
      <c r="T277" s="285">
        <v>28.55</v>
      </c>
      <c r="U277" s="285">
        <v>24</v>
      </c>
      <c r="V277" s="285" t="s">
        <v>1</v>
      </c>
      <c r="W277" s="285" t="s">
        <v>1</v>
      </c>
      <c r="X277" s="286">
        <v>300</v>
      </c>
      <c r="Y277" s="285">
        <v>41.05</v>
      </c>
      <c r="Z277" s="285">
        <v>24</v>
      </c>
      <c r="AA277" s="285" t="s">
        <v>1</v>
      </c>
      <c r="AB277" s="285" t="s">
        <v>1</v>
      </c>
      <c r="AC277" s="286">
        <v>300</v>
      </c>
      <c r="AD277" s="285">
        <v>41.05</v>
      </c>
      <c r="AE277" s="285">
        <v>24</v>
      </c>
      <c r="AF277" s="285" t="s">
        <v>1</v>
      </c>
      <c r="AG277" s="285" t="s">
        <v>1</v>
      </c>
      <c r="AH277" s="286" t="s">
        <v>1</v>
      </c>
      <c r="AI277" s="295" t="s">
        <v>1</v>
      </c>
      <c r="AJ277" s="295" t="s">
        <v>1</v>
      </c>
      <c r="AK277" s="295" t="s">
        <v>1</v>
      </c>
      <c r="AL277" s="302" t="s">
        <v>1</v>
      </c>
      <c r="AM277" s="288" t="s">
        <v>1</v>
      </c>
      <c r="AN277" s="287" t="s">
        <v>1</v>
      </c>
      <c r="AO277" s="287" t="s">
        <v>1</v>
      </c>
      <c r="AP277" s="286" t="s">
        <v>1</v>
      </c>
      <c r="AQ277" s="285" t="s">
        <v>1</v>
      </c>
      <c r="AR277" s="289" t="s">
        <v>1</v>
      </c>
      <c r="AS277" s="289" t="s">
        <v>1</v>
      </c>
      <c r="AT277" s="290" t="s">
        <v>1</v>
      </c>
      <c r="AU277" s="287" t="s">
        <v>1</v>
      </c>
      <c r="AV277" s="287" t="s">
        <v>1</v>
      </c>
      <c r="AW277" s="291" t="s">
        <v>1</v>
      </c>
    </row>
    <row r="278" spans="1:49" ht="30.15" customHeight="1" x14ac:dyDescent="0.25">
      <c r="A278" s="213" t="s">
        <v>18</v>
      </c>
      <c r="B278" s="188" t="s">
        <v>1</v>
      </c>
      <c r="C278" s="212" t="s">
        <v>34</v>
      </c>
      <c r="D278" s="190" t="s">
        <v>3</v>
      </c>
      <c r="E278" s="190" t="s">
        <v>459</v>
      </c>
      <c r="F278" s="203"/>
      <c r="G278" s="190" t="s">
        <v>450</v>
      </c>
      <c r="H278" s="192" t="s">
        <v>409</v>
      </c>
      <c r="I278" s="193">
        <v>1389</v>
      </c>
      <c r="J278" s="193">
        <v>1425</v>
      </c>
      <c r="K278" s="193">
        <v>1425</v>
      </c>
      <c r="L278" s="193">
        <v>1500</v>
      </c>
      <c r="M278" s="194">
        <v>1500</v>
      </c>
      <c r="N278" s="284">
        <v>300</v>
      </c>
      <c r="O278" s="285">
        <v>28.55</v>
      </c>
      <c r="P278" s="285">
        <v>24</v>
      </c>
      <c r="Q278" s="285" t="s">
        <v>1</v>
      </c>
      <c r="R278" s="285" t="s">
        <v>1</v>
      </c>
      <c r="S278" s="286">
        <v>300</v>
      </c>
      <c r="T278" s="285">
        <v>28.55</v>
      </c>
      <c r="U278" s="285">
        <v>24</v>
      </c>
      <c r="V278" s="285" t="s">
        <v>1</v>
      </c>
      <c r="W278" s="285" t="s">
        <v>1</v>
      </c>
      <c r="X278" s="286">
        <v>300</v>
      </c>
      <c r="Y278" s="285">
        <v>41.05</v>
      </c>
      <c r="Z278" s="285">
        <v>24</v>
      </c>
      <c r="AA278" s="285" t="s">
        <v>1</v>
      </c>
      <c r="AB278" s="285" t="s">
        <v>1</v>
      </c>
      <c r="AC278" s="286">
        <v>300</v>
      </c>
      <c r="AD278" s="285">
        <v>41.05</v>
      </c>
      <c r="AE278" s="285">
        <v>24</v>
      </c>
      <c r="AF278" s="285" t="s">
        <v>1</v>
      </c>
      <c r="AG278" s="285" t="s">
        <v>1</v>
      </c>
      <c r="AH278" s="286" t="s">
        <v>1</v>
      </c>
      <c r="AI278" s="295" t="s">
        <v>1</v>
      </c>
      <c r="AJ278" s="295" t="s">
        <v>1</v>
      </c>
      <c r="AK278" s="295" t="s">
        <v>1</v>
      </c>
      <c r="AL278" s="302" t="s">
        <v>1</v>
      </c>
      <c r="AM278" s="288" t="s">
        <v>1</v>
      </c>
      <c r="AN278" s="287" t="s">
        <v>1</v>
      </c>
      <c r="AO278" s="287" t="s">
        <v>1</v>
      </c>
      <c r="AP278" s="286" t="s">
        <v>1</v>
      </c>
      <c r="AQ278" s="285" t="s">
        <v>1</v>
      </c>
      <c r="AR278" s="289" t="s">
        <v>1</v>
      </c>
      <c r="AS278" s="289" t="s">
        <v>1</v>
      </c>
      <c r="AT278" s="290" t="s">
        <v>1</v>
      </c>
      <c r="AU278" s="287" t="s">
        <v>1</v>
      </c>
      <c r="AV278" s="287" t="s">
        <v>1</v>
      </c>
      <c r="AW278" s="291" t="s">
        <v>1</v>
      </c>
    </row>
    <row r="279" spans="1:49" ht="30.15" customHeight="1" x14ac:dyDescent="0.25">
      <c r="A279" s="213" t="s">
        <v>18</v>
      </c>
      <c r="B279" s="188" t="s">
        <v>1</v>
      </c>
      <c r="C279" s="212" t="s">
        <v>34</v>
      </c>
      <c r="D279" s="190" t="s">
        <v>3</v>
      </c>
      <c r="E279" s="190" t="s">
        <v>460</v>
      </c>
      <c r="F279" s="203"/>
      <c r="G279" s="190" t="s">
        <v>450</v>
      </c>
      <c r="H279" s="192" t="s">
        <v>409</v>
      </c>
      <c r="I279" s="193">
        <v>1389</v>
      </c>
      <c r="J279" s="193">
        <v>1425</v>
      </c>
      <c r="K279" s="193">
        <v>1425</v>
      </c>
      <c r="L279" s="193">
        <v>1500</v>
      </c>
      <c r="M279" s="194">
        <v>1500</v>
      </c>
      <c r="N279" s="284">
        <v>300</v>
      </c>
      <c r="O279" s="285">
        <v>28.55</v>
      </c>
      <c r="P279" s="285">
        <v>24</v>
      </c>
      <c r="Q279" s="285" t="s">
        <v>1</v>
      </c>
      <c r="R279" s="285" t="s">
        <v>1</v>
      </c>
      <c r="S279" s="286">
        <v>300</v>
      </c>
      <c r="T279" s="285">
        <v>28.55</v>
      </c>
      <c r="U279" s="285">
        <v>24</v>
      </c>
      <c r="V279" s="285" t="s">
        <v>1</v>
      </c>
      <c r="W279" s="285" t="s">
        <v>1</v>
      </c>
      <c r="X279" s="286">
        <v>300</v>
      </c>
      <c r="Y279" s="285">
        <v>41.05</v>
      </c>
      <c r="Z279" s="285">
        <v>24</v>
      </c>
      <c r="AA279" s="285" t="s">
        <v>1</v>
      </c>
      <c r="AB279" s="285" t="s">
        <v>1</v>
      </c>
      <c r="AC279" s="286">
        <v>300</v>
      </c>
      <c r="AD279" s="285">
        <v>41.05</v>
      </c>
      <c r="AE279" s="285">
        <v>24</v>
      </c>
      <c r="AF279" s="285" t="s">
        <v>1</v>
      </c>
      <c r="AG279" s="285" t="s">
        <v>1</v>
      </c>
      <c r="AH279" s="286" t="s">
        <v>1</v>
      </c>
      <c r="AI279" s="295" t="s">
        <v>1</v>
      </c>
      <c r="AJ279" s="295" t="s">
        <v>1</v>
      </c>
      <c r="AK279" s="295" t="s">
        <v>1</v>
      </c>
      <c r="AL279" s="302" t="s">
        <v>1</v>
      </c>
      <c r="AM279" s="288" t="s">
        <v>1</v>
      </c>
      <c r="AN279" s="287" t="s">
        <v>1</v>
      </c>
      <c r="AO279" s="287" t="s">
        <v>1</v>
      </c>
      <c r="AP279" s="286" t="s">
        <v>1</v>
      </c>
      <c r="AQ279" s="285" t="s">
        <v>1</v>
      </c>
      <c r="AR279" s="289" t="s">
        <v>1</v>
      </c>
      <c r="AS279" s="289" t="s">
        <v>1</v>
      </c>
      <c r="AT279" s="290" t="s">
        <v>1</v>
      </c>
      <c r="AU279" s="287" t="s">
        <v>1</v>
      </c>
      <c r="AV279" s="287" t="s">
        <v>1</v>
      </c>
      <c r="AW279" s="291" t="s">
        <v>1</v>
      </c>
    </row>
    <row r="280" spans="1:49" ht="30.15" customHeight="1" x14ac:dyDescent="0.25">
      <c r="A280" s="213" t="s">
        <v>18</v>
      </c>
      <c r="B280" s="188" t="s">
        <v>1</v>
      </c>
      <c r="C280" s="212" t="s">
        <v>34</v>
      </c>
      <c r="D280" s="190" t="s">
        <v>3</v>
      </c>
      <c r="E280" s="190" t="s">
        <v>461</v>
      </c>
      <c r="F280" s="203"/>
      <c r="G280" s="190" t="s">
        <v>453</v>
      </c>
      <c r="H280" s="192" t="s">
        <v>409</v>
      </c>
      <c r="I280" s="193">
        <v>1769</v>
      </c>
      <c r="J280" s="193">
        <v>1769</v>
      </c>
      <c r="K280" s="193">
        <v>1769</v>
      </c>
      <c r="L280" s="193">
        <v>1910</v>
      </c>
      <c r="M280" s="194">
        <v>1910</v>
      </c>
      <c r="N280" s="284">
        <v>382</v>
      </c>
      <c r="O280" s="285">
        <v>28.55</v>
      </c>
      <c r="P280" s="285">
        <v>24</v>
      </c>
      <c r="Q280" s="285" t="s">
        <v>1</v>
      </c>
      <c r="R280" s="285" t="s">
        <v>1</v>
      </c>
      <c r="S280" s="286">
        <v>382</v>
      </c>
      <c r="T280" s="285">
        <v>28.55</v>
      </c>
      <c r="U280" s="285">
        <v>24</v>
      </c>
      <c r="V280" s="285" t="s">
        <v>1</v>
      </c>
      <c r="W280" s="285" t="s">
        <v>1</v>
      </c>
      <c r="X280" s="286">
        <v>382</v>
      </c>
      <c r="Y280" s="285">
        <v>41.05</v>
      </c>
      <c r="Z280" s="285">
        <v>24</v>
      </c>
      <c r="AA280" s="285" t="s">
        <v>1</v>
      </c>
      <c r="AB280" s="285" t="s">
        <v>1</v>
      </c>
      <c r="AC280" s="286">
        <v>382</v>
      </c>
      <c r="AD280" s="285">
        <v>41.05</v>
      </c>
      <c r="AE280" s="285">
        <v>24</v>
      </c>
      <c r="AF280" s="285" t="s">
        <v>1</v>
      </c>
      <c r="AG280" s="285" t="s">
        <v>1</v>
      </c>
      <c r="AH280" s="286" t="s">
        <v>1</v>
      </c>
      <c r="AI280" s="295" t="s">
        <v>1</v>
      </c>
      <c r="AJ280" s="295" t="s">
        <v>1</v>
      </c>
      <c r="AK280" s="295" t="s">
        <v>1</v>
      </c>
      <c r="AL280" s="302" t="s">
        <v>1</v>
      </c>
      <c r="AM280" s="288" t="s">
        <v>1</v>
      </c>
      <c r="AN280" s="287" t="s">
        <v>1</v>
      </c>
      <c r="AO280" s="287" t="s">
        <v>1</v>
      </c>
      <c r="AP280" s="286" t="s">
        <v>1</v>
      </c>
      <c r="AQ280" s="285" t="s">
        <v>1</v>
      </c>
      <c r="AR280" s="289" t="s">
        <v>1</v>
      </c>
      <c r="AS280" s="289" t="s">
        <v>1</v>
      </c>
      <c r="AT280" s="290" t="s">
        <v>1</v>
      </c>
      <c r="AU280" s="287" t="s">
        <v>1</v>
      </c>
      <c r="AV280" s="287" t="s">
        <v>1</v>
      </c>
      <c r="AW280" s="291" t="s">
        <v>1</v>
      </c>
    </row>
    <row r="281" spans="1:49" ht="30.15" customHeight="1" x14ac:dyDescent="0.25">
      <c r="A281" s="213" t="s">
        <v>18</v>
      </c>
      <c r="B281" s="188" t="s">
        <v>1</v>
      </c>
      <c r="C281" s="212" t="s">
        <v>34</v>
      </c>
      <c r="D281" s="190" t="s">
        <v>3</v>
      </c>
      <c r="E281" s="190" t="s">
        <v>462</v>
      </c>
      <c r="F281" s="203"/>
      <c r="G281" s="190" t="s">
        <v>453</v>
      </c>
      <c r="H281" s="192" t="s">
        <v>409</v>
      </c>
      <c r="I281" s="193">
        <v>1769</v>
      </c>
      <c r="J281" s="193">
        <v>1769</v>
      </c>
      <c r="K281" s="193">
        <v>1769</v>
      </c>
      <c r="L281" s="193">
        <v>1910</v>
      </c>
      <c r="M281" s="194">
        <v>1910</v>
      </c>
      <c r="N281" s="284">
        <v>382</v>
      </c>
      <c r="O281" s="285">
        <v>28.55</v>
      </c>
      <c r="P281" s="285">
        <v>24</v>
      </c>
      <c r="Q281" s="285" t="s">
        <v>1</v>
      </c>
      <c r="R281" s="285" t="s">
        <v>1</v>
      </c>
      <c r="S281" s="286">
        <v>382</v>
      </c>
      <c r="T281" s="285">
        <v>28.55</v>
      </c>
      <c r="U281" s="285">
        <v>24</v>
      </c>
      <c r="V281" s="285" t="s">
        <v>1</v>
      </c>
      <c r="W281" s="285" t="s">
        <v>1</v>
      </c>
      <c r="X281" s="286">
        <v>382</v>
      </c>
      <c r="Y281" s="285">
        <v>41.05</v>
      </c>
      <c r="Z281" s="285">
        <v>24</v>
      </c>
      <c r="AA281" s="285" t="s">
        <v>1</v>
      </c>
      <c r="AB281" s="285" t="s">
        <v>1</v>
      </c>
      <c r="AC281" s="286">
        <v>382</v>
      </c>
      <c r="AD281" s="285">
        <v>41.05</v>
      </c>
      <c r="AE281" s="285">
        <v>24</v>
      </c>
      <c r="AF281" s="285" t="s">
        <v>1</v>
      </c>
      <c r="AG281" s="285" t="s">
        <v>1</v>
      </c>
      <c r="AH281" s="286" t="s">
        <v>1</v>
      </c>
      <c r="AI281" s="295" t="s">
        <v>1</v>
      </c>
      <c r="AJ281" s="295" t="s">
        <v>1</v>
      </c>
      <c r="AK281" s="295" t="s">
        <v>1</v>
      </c>
      <c r="AL281" s="302" t="s">
        <v>1</v>
      </c>
      <c r="AM281" s="288" t="s">
        <v>1</v>
      </c>
      <c r="AN281" s="287" t="s">
        <v>1</v>
      </c>
      <c r="AO281" s="287" t="s">
        <v>1</v>
      </c>
      <c r="AP281" s="286" t="s">
        <v>1</v>
      </c>
      <c r="AQ281" s="285" t="s">
        <v>1</v>
      </c>
      <c r="AR281" s="289" t="s">
        <v>1</v>
      </c>
      <c r="AS281" s="289" t="s">
        <v>1</v>
      </c>
      <c r="AT281" s="290" t="s">
        <v>1</v>
      </c>
      <c r="AU281" s="287" t="s">
        <v>1</v>
      </c>
      <c r="AV281" s="287" t="s">
        <v>1</v>
      </c>
      <c r="AW281" s="291" t="s">
        <v>1</v>
      </c>
    </row>
    <row r="282" spans="1:49" ht="30.15" customHeight="1" x14ac:dyDescent="0.25">
      <c r="A282" s="213" t="s">
        <v>18</v>
      </c>
      <c r="B282" s="188" t="s">
        <v>1</v>
      </c>
      <c r="C282" s="212" t="s">
        <v>34</v>
      </c>
      <c r="D282" s="190" t="s">
        <v>3</v>
      </c>
      <c r="E282" s="190" t="s">
        <v>463</v>
      </c>
      <c r="F282" s="203"/>
      <c r="G282" s="190" t="s">
        <v>453</v>
      </c>
      <c r="H282" s="192" t="s">
        <v>409</v>
      </c>
      <c r="I282" s="193">
        <v>1769</v>
      </c>
      <c r="J282" s="193">
        <v>1769</v>
      </c>
      <c r="K282" s="193">
        <v>1769</v>
      </c>
      <c r="L282" s="193">
        <v>1910</v>
      </c>
      <c r="M282" s="194">
        <v>1910</v>
      </c>
      <c r="N282" s="284">
        <v>382</v>
      </c>
      <c r="O282" s="285">
        <v>28.55</v>
      </c>
      <c r="P282" s="285">
        <v>24</v>
      </c>
      <c r="Q282" s="285" t="s">
        <v>1</v>
      </c>
      <c r="R282" s="285" t="s">
        <v>1</v>
      </c>
      <c r="S282" s="286">
        <v>382</v>
      </c>
      <c r="T282" s="285">
        <v>28.55</v>
      </c>
      <c r="U282" s="285">
        <v>24</v>
      </c>
      <c r="V282" s="285" t="s">
        <v>1</v>
      </c>
      <c r="W282" s="285" t="s">
        <v>1</v>
      </c>
      <c r="X282" s="286">
        <v>382</v>
      </c>
      <c r="Y282" s="285">
        <v>41.05</v>
      </c>
      <c r="Z282" s="285">
        <v>24</v>
      </c>
      <c r="AA282" s="285" t="s">
        <v>1</v>
      </c>
      <c r="AB282" s="285" t="s">
        <v>1</v>
      </c>
      <c r="AC282" s="286">
        <v>382</v>
      </c>
      <c r="AD282" s="285">
        <v>41.05</v>
      </c>
      <c r="AE282" s="285">
        <v>24</v>
      </c>
      <c r="AF282" s="285" t="s">
        <v>1</v>
      </c>
      <c r="AG282" s="285" t="s">
        <v>1</v>
      </c>
      <c r="AH282" s="286" t="s">
        <v>1</v>
      </c>
      <c r="AI282" s="295" t="s">
        <v>1</v>
      </c>
      <c r="AJ282" s="295" t="s">
        <v>1</v>
      </c>
      <c r="AK282" s="295" t="s">
        <v>1</v>
      </c>
      <c r="AL282" s="302" t="s">
        <v>1</v>
      </c>
      <c r="AM282" s="288" t="s">
        <v>1</v>
      </c>
      <c r="AN282" s="287" t="s">
        <v>1</v>
      </c>
      <c r="AO282" s="287" t="s">
        <v>1</v>
      </c>
      <c r="AP282" s="286" t="s">
        <v>1</v>
      </c>
      <c r="AQ282" s="285" t="s">
        <v>1</v>
      </c>
      <c r="AR282" s="289" t="s">
        <v>1</v>
      </c>
      <c r="AS282" s="289" t="s">
        <v>1</v>
      </c>
      <c r="AT282" s="290" t="s">
        <v>1</v>
      </c>
      <c r="AU282" s="287" t="s">
        <v>1</v>
      </c>
      <c r="AV282" s="287" t="s">
        <v>1</v>
      </c>
      <c r="AW282" s="291" t="s">
        <v>1</v>
      </c>
    </row>
    <row r="283" spans="1:49" ht="30.15" customHeight="1" x14ac:dyDescent="0.25">
      <c r="A283" s="213" t="s">
        <v>18</v>
      </c>
      <c r="B283" s="188" t="s">
        <v>1</v>
      </c>
      <c r="C283" s="212" t="s">
        <v>34</v>
      </c>
      <c r="D283" s="190" t="s">
        <v>3</v>
      </c>
      <c r="E283" s="190" t="s">
        <v>464</v>
      </c>
      <c r="F283" s="203"/>
      <c r="G283" s="190" t="s">
        <v>451</v>
      </c>
      <c r="H283" s="192" t="s">
        <v>409</v>
      </c>
      <c r="I283" s="193">
        <v>1319</v>
      </c>
      <c r="J283" s="193">
        <v>1349</v>
      </c>
      <c r="K283" s="193">
        <v>1349</v>
      </c>
      <c r="L283" s="193">
        <v>1425</v>
      </c>
      <c r="M283" s="194">
        <v>1425</v>
      </c>
      <c r="N283" s="284">
        <v>285</v>
      </c>
      <c r="O283" s="285">
        <v>42.379999999999995</v>
      </c>
      <c r="P283" s="285">
        <v>24</v>
      </c>
      <c r="Q283" s="285" t="s">
        <v>1</v>
      </c>
      <c r="R283" s="285" t="s">
        <v>1</v>
      </c>
      <c r="S283" s="286">
        <v>285</v>
      </c>
      <c r="T283" s="285">
        <v>42.379999999999995</v>
      </c>
      <c r="U283" s="285">
        <v>24</v>
      </c>
      <c r="V283" s="285" t="s">
        <v>1</v>
      </c>
      <c r="W283" s="285" t="s">
        <v>1</v>
      </c>
      <c r="X283" s="286">
        <v>285</v>
      </c>
      <c r="Y283" s="285">
        <v>42.379999999999995</v>
      </c>
      <c r="Z283" s="285">
        <v>24</v>
      </c>
      <c r="AA283" s="285" t="s">
        <v>1</v>
      </c>
      <c r="AB283" s="285" t="s">
        <v>1</v>
      </c>
      <c r="AC283" s="286">
        <v>285</v>
      </c>
      <c r="AD283" s="285">
        <v>42.379999999999995</v>
      </c>
      <c r="AE283" s="285">
        <v>24</v>
      </c>
      <c r="AF283" s="285" t="s">
        <v>1</v>
      </c>
      <c r="AG283" s="285" t="s">
        <v>1</v>
      </c>
      <c r="AH283" s="286" t="s">
        <v>1</v>
      </c>
      <c r="AI283" s="295" t="s">
        <v>1</v>
      </c>
      <c r="AJ283" s="295" t="s">
        <v>1</v>
      </c>
      <c r="AK283" s="295" t="s">
        <v>1</v>
      </c>
      <c r="AL283" s="302" t="s">
        <v>1</v>
      </c>
      <c r="AM283" s="288" t="s">
        <v>1</v>
      </c>
      <c r="AN283" s="287" t="s">
        <v>1</v>
      </c>
      <c r="AO283" s="287" t="s">
        <v>1</v>
      </c>
      <c r="AP283" s="286" t="s">
        <v>1</v>
      </c>
      <c r="AQ283" s="285" t="s">
        <v>1</v>
      </c>
      <c r="AR283" s="289" t="s">
        <v>1</v>
      </c>
      <c r="AS283" s="289" t="s">
        <v>1</v>
      </c>
      <c r="AT283" s="290" t="s">
        <v>1</v>
      </c>
      <c r="AU283" s="287" t="s">
        <v>1</v>
      </c>
      <c r="AV283" s="287" t="s">
        <v>1</v>
      </c>
      <c r="AW283" s="291" t="s">
        <v>1</v>
      </c>
    </row>
    <row r="284" spans="1:49" ht="30.15" customHeight="1" x14ac:dyDescent="0.25">
      <c r="A284" s="213" t="s">
        <v>18</v>
      </c>
      <c r="B284" s="188" t="s">
        <v>1</v>
      </c>
      <c r="C284" s="212" t="s">
        <v>34</v>
      </c>
      <c r="D284" s="190" t="s">
        <v>3</v>
      </c>
      <c r="E284" s="190" t="s">
        <v>465</v>
      </c>
      <c r="F284" s="203"/>
      <c r="G284" s="190" t="s">
        <v>451</v>
      </c>
      <c r="H284" s="192" t="s">
        <v>409</v>
      </c>
      <c r="I284" s="193">
        <v>1319</v>
      </c>
      <c r="J284" s="193">
        <v>1349</v>
      </c>
      <c r="K284" s="193">
        <v>1349</v>
      </c>
      <c r="L284" s="193">
        <v>1425</v>
      </c>
      <c r="M284" s="194">
        <v>1425</v>
      </c>
      <c r="N284" s="284">
        <v>285</v>
      </c>
      <c r="O284" s="285">
        <v>42.379999999999995</v>
      </c>
      <c r="P284" s="285">
        <v>24</v>
      </c>
      <c r="Q284" s="285" t="s">
        <v>1</v>
      </c>
      <c r="R284" s="285" t="s">
        <v>1</v>
      </c>
      <c r="S284" s="286">
        <v>285</v>
      </c>
      <c r="T284" s="285">
        <v>42.379999999999995</v>
      </c>
      <c r="U284" s="285">
        <v>24</v>
      </c>
      <c r="V284" s="285" t="s">
        <v>1</v>
      </c>
      <c r="W284" s="285" t="s">
        <v>1</v>
      </c>
      <c r="X284" s="286">
        <v>285</v>
      </c>
      <c r="Y284" s="285">
        <v>42.379999999999995</v>
      </c>
      <c r="Z284" s="285">
        <v>24</v>
      </c>
      <c r="AA284" s="285" t="s">
        <v>1</v>
      </c>
      <c r="AB284" s="285" t="s">
        <v>1</v>
      </c>
      <c r="AC284" s="286">
        <v>285</v>
      </c>
      <c r="AD284" s="285">
        <v>42.379999999999995</v>
      </c>
      <c r="AE284" s="285">
        <v>24</v>
      </c>
      <c r="AF284" s="285" t="s">
        <v>1</v>
      </c>
      <c r="AG284" s="285" t="s">
        <v>1</v>
      </c>
      <c r="AH284" s="286" t="s">
        <v>1</v>
      </c>
      <c r="AI284" s="295" t="s">
        <v>1</v>
      </c>
      <c r="AJ284" s="295" t="s">
        <v>1</v>
      </c>
      <c r="AK284" s="295" t="s">
        <v>1</v>
      </c>
      <c r="AL284" s="302" t="s">
        <v>1</v>
      </c>
      <c r="AM284" s="288" t="s">
        <v>1</v>
      </c>
      <c r="AN284" s="287" t="s">
        <v>1</v>
      </c>
      <c r="AO284" s="287" t="s">
        <v>1</v>
      </c>
      <c r="AP284" s="286" t="s">
        <v>1</v>
      </c>
      <c r="AQ284" s="285" t="s">
        <v>1</v>
      </c>
      <c r="AR284" s="289" t="s">
        <v>1</v>
      </c>
      <c r="AS284" s="289" t="s">
        <v>1</v>
      </c>
      <c r="AT284" s="290" t="s">
        <v>1</v>
      </c>
      <c r="AU284" s="287" t="s">
        <v>1</v>
      </c>
      <c r="AV284" s="287" t="s">
        <v>1</v>
      </c>
      <c r="AW284" s="291" t="s">
        <v>1</v>
      </c>
    </row>
    <row r="285" spans="1:49" ht="30.15" customHeight="1" x14ac:dyDescent="0.25">
      <c r="A285" s="213" t="s">
        <v>18</v>
      </c>
      <c r="B285" s="188" t="s">
        <v>1</v>
      </c>
      <c r="C285" s="212" t="s">
        <v>34</v>
      </c>
      <c r="D285" s="190" t="s">
        <v>3</v>
      </c>
      <c r="E285" s="190" t="s">
        <v>466</v>
      </c>
      <c r="F285" s="203"/>
      <c r="G285" s="190" t="s">
        <v>451</v>
      </c>
      <c r="H285" s="192" t="s">
        <v>409</v>
      </c>
      <c r="I285" s="193">
        <v>1319</v>
      </c>
      <c r="J285" s="193">
        <v>1349</v>
      </c>
      <c r="K285" s="193">
        <v>1349</v>
      </c>
      <c r="L285" s="193">
        <v>1425</v>
      </c>
      <c r="M285" s="194">
        <v>1425</v>
      </c>
      <c r="N285" s="284">
        <v>285</v>
      </c>
      <c r="O285" s="285">
        <v>42.379999999999995</v>
      </c>
      <c r="P285" s="285">
        <v>24</v>
      </c>
      <c r="Q285" s="285" t="s">
        <v>1</v>
      </c>
      <c r="R285" s="285" t="s">
        <v>1</v>
      </c>
      <c r="S285" s="286">
        <v>285</v>
      </c>
      <c r="T285" s="285">
        <v>42.379999999999995</v>
      </c>
      <c r="U285" s="285">
        <v>24</v>
      </c>
      <c r="V285" s="285" t="s">
        <v>1</v>
      </c>
      <c r="W285" s="285" t="s">
        <v>1</v>
      </c>
      <c r="X285" s="286">
        <v>285</v>
      </c>
      <c r="Y285" s="285">
        <v>42.379999999999995</v>
      </c>
      <c r="Z285" s="285">
        <v>24</v>
      </c>
      <c r="AA285" s="285" t="s">
        <v>1</v>
      </c>
      <c r="AB285" s="285" t="s">
        <v>1</v>
      </c>
      <c r="AC285" s="286">
        <v>285</v>
      </c>
      <c r="AD285" s="285">
        <v>42.379999999999995</v>
      </c>
      <c r="AE285" s="285">
        <v>24</v>
      </c>
      <c r="AF285" s="285" t="s">
        <v>1</v>
      </c>
      <c r="AG285" s="285" t="s">
        <v>1</v>
      </c>
      <c r="AH285" s="286" t="s">
        <v>1</v>
      </c>
      <c r="AI285" s="295" t="s">
        <v>1</v>
      </c>
      <c r="AJ285" s="295" t="s">
        <v>1</v>
      </c>
      <c r="AK285" s="295" t="s">
        <v>1</v>
      </c>
      <c r="AL285" s="302" t="s">
        <v>1</v>
      </c>
      <c r="AM285" s="288" t="s">
        <v>1</v>
      </c>
      <c r="AN285" s="287" t="s">
        <v>1</v>
      </c>
      <c r="AO285" s="287" t="s">
        <v>1</v>
      </c>
      <c r="AP285" s="286" t="s">
        <v>1</v>
      </c>
      <c r="AQ285" s="285" t="s">
        <v>1</v>
      </c>
      <c r="AR285" s="289" t="s">
        <v>1</v>
      </c>
      <c r="AS285" s="289" t="s">
        <v>1</v>
      </c>
      <c r="AT285" s="290" t="s">
        <v>1</v>
      </c>
      <c r="AU285" s="287" t="s">
        <v>1</v>
      </c>
      <c r="AV285" s="287" t="s">
        <v>1</v>
      </c>
      <c r="AW285" s="291" t="s">
        <v>1</v>
      </c>
    </row>
    <row r="286" spans="1:49" ht="30.15" customHeight="1" x14ac:dyDescent="0.25">
      <c r="A286" s="213" t="s">
        <v>18</v>
      </c>
      <c r="B286" s="188" t="s">
        <v>1</v>
      </c>
      <c r="C286" s="212" t="s">
        <v>34</v>
      </c>
      <c r="D286" s="190" t="s">
        <v>3</v>
      </c>
      <c r="E286" s="190" t="s">
        <v>467</v>
      </c>
      <c r="F286" s="203"/>
      <c r="G286" s="190" t="s">
        <v>452</v>
      </c>
      <c r="H286" s="192" t="s">
        <v>409</v>
      </c>
      <c r="I286" s="193">
        <v>1519</v>
      </c>
      <c r="J286" s="193">
        <v>1558</v>
      </c>
      <c r="K286" s="193">
        <v>1558</v>
      </c>
      <c r="L286" s="193">
        <v>1640</v>
      </c>
      <c r="M286" s="194">
        <v>1640</v>
      </c>
      <c r="N286" s="284">
        <v>328</v>
      </c>
      <c r="O286" s="285">
        <v>47.34</v>
      </c>
      <c r="P286" s="285">
        <v>24</v>
      </c>
      <c r="Q286" s="285" t="s">
        <v>1</v>
      </c>
      <c r="R286" s="285" t="s">
        <v>1</v>
      </c>
      <c r="S286" s="286">
        <v>328</v>
      </c>
      <c r="T286" s="285">
        <v>47.34</v>
      </c>
      <c r="U286" s="285">
        <v>24</v>
      </c>
      <c r="V286" s="285" t="s">
        <v>1</v>
      </c>
      <c r="W286" s="285" t="s">
        <v>1</v>
      </c>
      <c r="X286" s="286">
        <v>328</v>
      </c>
      <c r="Y286" s="285">
        <v>47.34</v>
      </c>
      <c r="Z286" s="285">
        <v>24</v>
      </c>
      <c r="AA286" s="285" t="s">
        <v>1</v>
      </c>
      <c r="AB286" s="285" t="s">
        <v>1</v>
      </c>
      <c r="AC286" s="286">
        <v>328</v>
      </c>
      <c r="AD286" s="285">
        <v>47.34</v>
      </c>
      <c r="AE286" s="285">
        <v>24</v>
      </c>
      <c r="AF286" s="285" t="s">
        <v>1</v>
      </c>
      <c r="AG286" s="285" t="s">
        <v>1</v>
      </c>
      <c r="AH286" s="286" t="s">
        <v>1</v>
      </c>
      <c r="AI286" s="295" t="s">
        <v>1</v>
      </c>
      <c r="AJ286" s="295" t="s">
        <v>1</v>
      </c>
      <c r="AK286" s="295" t="s">
        <v>1</v>
      </c>
      <c r="AL286" s="302" t="s">
        <v>1</v>
      </c>
      <c r="AM286" s="288" t="s">
        <v>1</v>
      </c>
      <c r="AN286" s="287" t="s">
        <v>1</v>
      </c>
      <c r="AO286" s="287" t="s">
        <v>1</v>
      </c>
      <c r="AP286" s="286" t="s">
        <v>1</v>
      </c>
      <c r="AQ286" s="285" t="s">
        <v>1</v>
      </c>
      <c r="AR286" s="289" t="s">
        <v>1</v>
      </c>
      <c r="AS286" s="289" t="s">
        <v>1</v>
      </c>
      <c r="AT286" s="290" t="s">
        <v>1</v>
      </c>
      <c r="AU286" s="287" t="s">
        <v>1</v>
      </c>
      <c r="AV286" s="287" t="s">
        <v>1</v>
      </c>
      <c r="AW286" s="291" t="s">
        <v>1</v>
      </c>
    </row>
    <row r="287" spans="1:49" ht="30.15" customHeight="1" x14ac:dyDescent="0.25">
      <c r="A287" s="213" t="s">
        <v>18</v>
      </c>
      <c r="B287" s="188" t="s">
        <v>1</v>
      </c>
      <c r="C287" s="212" t="s">
        <v>34</v>
      </c>
      <c r="D287" s="190" t="s">
        <v>3</v>
      </c>
      <c r="E287" s="190" t="s">
        <v>468</v>
      </c>
      <c r="F287" s="203"/>
      <c r="G287" s="190" t="s">
        <v>452</v>
      </c>
      <c r="H287" s="192" t="s">
        <v>409</v>
      </c>
      <c r="I287" s="193">
        <v>1519</v>
      </c>
      <c r="J287" s="193">
        <v>1558</v>
      </c>
      <c r="K287" s="193">
        <v>1558</v>
      </c>
      <c r="L287" s="193">
        <v>1640</v>
      </c>
      <c r="M287" s="194">
        <v>1640</v>
      </c>
      <c r="N287" s="284">
        <v>328</v>
      </c>
      <c r="O287" s="285">
        <v>47.34</v>
      </c>
      <c r="P287" s="285">
        <v>24</v>
      </c>
      <c r="Q287" s="285" t="s">
        <v>1</v>
      </c>
      <c r="R287" s="285" t="s">
        <v>1</v>
      </c>
      <c r="S287" s="286">
        <v>328</v>
      </c>
      <c r="T287" s="285">
        <v>47.34</v>
      </c>
      <c r="U287" s="285">
        <v>24</v>
      </c>
      <c r="V287" s="285" t="s">
        <v>1</v>
      </c>
      <c r="W287" s="285" t="s">
        <v>1</v>
      </c>
      <c r="X287" s="286">
        <v>328</v>
      </c>
      <c r="Y287" s="285">
        <v>47.34</v>
      </c>
      <c r="Z287" s="285">
        <v>24</v>
      </c>
      <c r="AA287" s="285" t="s">
        <v>1</v>
      </c>
      <c r="AB287" s="285" t="s">
        <v>1</v>
      </c>
      <c r="AC287" s="286">
        <v>328</v>
      </c>
      <c r="AD287" s="285">
        <v>47.34</v>
      </c>
      <c r="AE287" s="285">
        <v>24</v>
      </c>
      <c r="AF287" s="285" t="s">
        <v>1</v>
      </c>
      <c r="AG287" s="285" t="s">
        <v>1</v>
      </c>
      <c r="AH287" s="286" t="s">
        <v>1</v>
      </c>
      <c r="AI287" s="295" t="s">
        <v>1</v>
      </c>
      <c r="AJ287" s="295" t="s">
        <v>1</v>
      </c>
      <c r="AK287" s="295" t="s">
        <v>1</v>
      </c>
      <c r="AL287" s="302" t="s">
        <v>1</v>
      </c>
      <c r="AM287" s="288" t="s">
        <v>1</v>
      </c>
      <c r="AN287" s="287" t="s">
        <v>1</v>
      </c>
      <c r="AO287" s="287" t="s">
        <v>1</v>
      </c>
      <c r="AP287" s="286" t="s">
        <v>1</v>
      </c>
      <c r="AQ287" s="285" t="s">
        <v>1</v>
      </c>
      <c r="AR287" s="289" t="s">
        <v>1</v>
      </c>
      <c r="AS287" s="289" t="s">
        <v>1</v>
      </c>
      <c r="AT287" s="290" t="s">
        <v>1</v>
      </c>
      <c r="AU287" s="287" t="s">
        <v>1</v>
      </c>
      <c r="AV287" s="287" t="s">
        <v>1</v>
      </c>
      <c r="AW287" s="291" t="s">
        <v>1</v>
      </c>
    </row>
    <row r="288" spans="1:49" ht="30.15" customHeight="1" x14ac:dyDescent="0.25">
      <c r="A288" s="213" t="s">
        <v>18</v>
      </c>
      <c r="B288" s="188" t="s">
        <v>1</v>
      </c>
      <c r="C288" s="212" t="s">
        <v>34</v>
      </c>
      <c r="D288" s="190" t="s">
        <v>3</v>
      </c>
      <c r="E288" s="190" t="s">
        <v>469</v>
      </c>
      <c r="F288" s="203"/>
      <c r="G288" s="190" t="s">
        <v>452</v>
      </c>
      <c r="H288" s="192" t="s">
        <v>409</v>
      </c>
      <c r="I288" s="193">
        <v>1519</v>
      </c>
      <c r="J288" s="193">
        <v>1558</v>
      </c>
      <c r="K288" s="193">
        <v>1558</v>
      </c>
      <c r="L288" s="193">
        <v>1640</v>
      </c>
      <c r="M288" s="194">
        <v>1640</v>
      </c>
      <c r="N288" s="284">
        <v>328</v>
      </c>
      <c r="O288" s="285">
        <v>47.34</v>
      </c>
      <c r="P288" s="285">
        <v>24</v>
      </c>
      <c r="Q288" s="285" t="s">
        <v>1</v>
      </c>
      <c r="R288" s="285" t="s">
        <v>1</v>
      </c>
      <c r="S288" s="286">
        <v>328</v>
      </c>
      <c r="T288" s="285">
        <v>47.34</v>
      </c>
      <c r="U288" s="285">
        <v>24</v>
      </c>
      <c r="V288" s="285" t="s">
        <v>1</v>
      </c>
      <c r="W288" s="285" t="s">
        <v>1</v>
      </c>
      <c r="X288" s="286">
        <v>328</v>
      </c>
      <c r="Y288" s="285">
        <v>47.34</v>
      </c>
      <c r="Z288" s="285">
        <v>24</v>
      </c>
      <c r="AA288" s="285" t="s">
        <v>1</v>
      </c>
      <c r="AB288" s="285" t="s">
        <v>1</v>
      </c>
      <c r="AC288" s="286">
        <v>328</v>
      </c>
      <c r="AD288" s="285">
        <v>47.34</v>
      </c>
      <c r="AE288" s="285">
        <v>24</v>
      </c>
      <c r="AF288" s="285" t="s">
        <v>1</v>
      </c>
      <c r="AG288" s="285" t="s">
        <v>1</v>
      </c>
      <c r="AH288" s="286" t="s">
        <v>1</v>
      </c>
      <c r="AI288" s="295" t="s">
        <v>1</v>
      </c>
      <c r="AJ288" s="295" t="s">
        <v>1</v>
      </c>
      <c r="AK288" s="295" t="s">
        <v>1</v>
      </c>
      <c r="AL288" s="302" t="s">
        <v>1</v>
      </c>
      <c r="AM288" s="288" t="s">
        <v>1</v>
      </c>
      <c r="AN288" s="287" t="s">
        <v>1</v>
      </c>
      <c r="AO288" s="287" t="s">
        <v>1</v>
      </c>
      <c r="AP288" s="286" t="s">
        <v>1</v>
      </c>
      <c r="AQ288" s="285" t="s">
        <v>1</v>
      </c>
      <c r="AR288" s="289" t="s">
        <v>1</v>
      </c>
      <c r="AS288" s="289" t="s">
        <v>1</v>
      </c>
      <c r="AT288" s="290" t="s">
        <v>1</v>
      </c>
      <c r="AU288" s="287" t="s">
        <v>1</v>
      </c>
      <c r="AV288" s="287" t="s">
        <v>1</v>
      </c>
      <c r="AW288" s="291" t="s">
        <v>1</v>
      </c>
    </row>
    <row r="289" spans="1:49" ht="30.15" customHeight="1" x14ac:dyDescent="0.25">
      <c r="A289" s="213" t="s">
        <v>18</v>
      </c>
      <c r="B289" s="188" t="s">
        <v>1</v>
      </c>
      <c r="C289" s="212" t="s">
        <v>34</v>
      </c>
      <c r="D289" s="190" t="s">
        <v>3</v>
      </c>
      <c r="E289" s="190" t="s">
        <v>470</v>
      </c>
      <c r="F289" s="203"/>
      <c r="G289" s="190" t="s">
        <v>454</v>
      </c>
      <c r="H289" s="192" t="s">
        <v>409</v>
      </c>
      <c r="I289" s="193">
        <v>1789</v>
      </c>
      <c r="J289" s="193">
        <v>1834</v>
      </c>
      <c r="K289" s="193">
        <v>1834</v>
      </c>
      <c r="L289" s="193">
        <v>1930</v>
      </c>
      <c r="M289" s="194">
        <v>1930</v>
      </c>
      <c r="N289" s="284">
        <v>386</v>
      </c>
      <c r="O289" s="285">
        <v>53.42</v>
      </c>
      <c r="P289" s="285">
        <v>24</v>
      </c>
      <c r="Q289" s="285" t="s">
        <v>1</v>
      </c>
      <c r="R289" s="285" t="s">
        <v>1</v>
      </c>
      <c r="S289" s="286">
        <v>386</v>
      </c>
      <c r="T289" s="285">
        <v>53.42</v>
      </c>
      <c r="U289" s="285">
        <v>24</v>
      </c>
      <c r="V289" s="285" t="s">
        <v>1</v>
      </c>
      <c r="W289" s="285" t="s">
        <v>1</v>
      </c>
      <c r="X289" s="286">
        <v>386</v>
      </c>
      <c r="Y289" s="285">
        <v>53.42</v>
      </c>
      <c r="Z289" s="285">
        <v>24</v>
      </c>
      <c r="AA289" s="285" t="s">
        <v>1</v>
      </c>
      <c r="AB289" s="285" t="s">
        <v>1</v>
      </c>
      <c r="AC289" s="286">
        <v>386</v>
      </c>
      <c r="AD289" s="285">
        <v>53.42</v>
      </c>
      <c r="AE289" s="285">
        <v>24</v>
      </c>
      <c r="AF289" s="285" t="s">
        <v>1</v>
      </c>
      <c r="AG289" s="285" t="s">
        <v>1</v>
      </c>
      <c r="AH289" s="286" t="s">
        <v>1</v>
      </c>
      <c r="AI289" s="295" t="s">
        <v>1</v>
      </c>
      <c r="AJ289" s="295" t="s">
        <v>1</v>
      </c>
      <c r="AK289" s="295" t="s">
        <v>1</v>
      </c>
      <c r="AL289" s="302" t="s">
        <v>1</v>
      </c>
      <c r="AM289" s="288" t="s">
        <v>1</v>
      </c>
      <c r="AN289" s="287" t="s">
        <v>1</v>
      </c>
      <c r="AO289" s="287" t="s">
        <v>1</v>
      </c>
      <c r="AP289" s="286" t="s">
        <v>1</v>
      </c>
      <c r="AQ289" s="285" t="s">
        <v>1</v>
      </c>
      <c r="AR289" s="289" t="s">
        <v>1</v>
      </c>
      <c r="AS289" s="289" t="s">
        <v>1</v>
      </c>
      <c r="AT289" s="290" t="s">
        <v>1</v>
      </c>
      <c r="AU289" s="287" t="s">
        <v>1</v>
      </c>
      <c r="AV289" s="287" t="s">
        <v>1</v>
      </c>
      <c r="AW289" s="291" t="s">
        <v>1</v>
      </c>
    </row>
    <row r="290" spans="1:49" ht="30.15" customHeight="1" x14ac:dyDescent="0.25">
      <c r="A290" s="213" t="s">
        <v>18</v>
      </c>
      <c r="B290" s="188" t="s">
        <v>1</v>
      </c>
      <c r="C290" s="212" t="s">
        <v>34</v>
      </c>
      <c r="D290" s="190" t="s">
        <v>3</v>
      </c>
      <c r="E290" s="190" t="s">
        <v>471</v>
      </c>
      <c r="F290" s="203"/>
      <c r="G290" s="190" t="s">
        <v>454</v>
      </c>
      <c r="H290" s="192" t="s">
        <v>409</v>
      </c>
      <c r="I290" s="193">
        <v>1789</v>
      </c>
      <c r="J290" s="193">
        <v>1834</v>
      </c>
      <c r="K290" s="193">
        <v>1834</v>
      </c>
      <c r="L290" s="193">
        <v>1930</v>
      </c>
      <c r="M290" s="194">
        <v>1930</v>
      </c>
      <c r="N290" s="284">
        <v>386</v>
      </c>
      <c r="O290" s="285">
        <v>53.42</v>
      </c>
      <c r="P290" s="285">
        <v>24</v>
      </c>
      <c r="Q290" s="285" t="s">
        <v>1</v>
      </c>
      <c r="R290" s="285" t="s">
        <v>1</v>
      </c>
      <c r="S290" s="286">
        <v>386</v>
      </c>
      <c r="T290" s="285">
        <v>53.42</v>
      </c>
      <c r="U290" s="285">
        <v>24</v>
      </c>
      <c r="V290" s="285" t="s">
        <v>1</v>
      </c>
      <c r="W290" s="285" t="s">
        <v>1</v>
      </c>
      <c r="X290" s="286">
        <v>386</v>
      </c>
      <c r="Y290" s="285">
        <v>53.42</v>
      </c>
      <c r="Z290" s="285">
        <v>24</v>
      </c>
      <c r="AA290" s="285" t="s">
        <v>1</v>
      </c>
      <c r="AB290" s="285" t="s">
        <v>1</v>
      </c>
      <c r="AC290" s="286">
        <v>386</v>
      </c>
      <c r="AD290" s="285">
        <v>53.42</v>
      </c>
      <c r="AE290" s="285">
        <v>24</v>
      </c>
      <c r="AF290" s="285" t="s">
        <v>1</v>
      </c>
      <c r="AG290" s="285" t="s">
        <v>1</v>
      </c>
      <c r="AH290" s="286" t="s">
        <v>1</v>
      </c>
      <c r="AI290" s="295" t="s">
        <v>1</v>
      </c>
      <c r="AJ290" s="295" t="s">
        <v>1</v>
      </c>
      <c r="AK290" s="295" t="s">
        <v>1</v>
      </c>
      <c r="AL290" s="302" t="s">
        <v>1</v>
      </c>
      <c r="AM290" s="288" t="s">
        <v>1</v>
      </c>
      <c r="AN290" s="287" t="s">
        <v>1</v>
      </c>
      <c r="AO290" s="287" t="s">
        <v>1</v>
      </c>
      <c r="AP290" s="286" t="s">
        <v>1</v>
      </c>
      <c r="AQ290" s="285" t="s">
        <v>1</v>
      </c>
      <c r="AR290" s="289" t="s">
        <v>1</v>
      </c>
      <c r="AS290" s="289" t="s">
        <v>1</v>
      </c>
      <c r="AT290" s="290" t="s">
        <v>1</v>
      </c>
      <c r="AU290" s="287" t="s">
        <v>1</v>
      </c>
      <c r="AV290" s="287" t="s">
        <v>1</v>
      </c>
      <c r="AW290" s="291" t="s">
        <v>1</v>
      </c>
    </row>
    <row r="291" spans="1:49" ht="30.15" customHeight="1" x14ac:dyDescent="0.25">
      <c r="A291" s="213" t="s">
        <v>18</v>
      </c>
      <c r="B291" s="188" t="s">
        <v>1</v>
      </c>
      <c r="C291" s="212" t="s">
        <v>34</v>
      </c>
      <c r="D291" s="190" t="s">
        <v>3</v>
      </c>
      <c r="E291" s="190" t="s">
        <v>472</v>
      </c>
      <c r="F291" s="203"/>
      <c r="G291" s="190" t="s">
        <v>454</v>
      </c>
      <c r="H291" s="192" t="s">
        <v>409</v>
      </c>
      <c r="I291" s="193">
        <v>1789</v>
      </c>
      <c r="J291" s="193">
        <v>1834</v>
      </c>
      <c r="K291" s="193">
        <v>1834</v>
      </c>
      <c r="L291" s="193">
        <v>1930</v>
      </c>
      <c r="M291" s="194">
        <v>1930</v>
      </c>
      <c r="N291" s="284">
        <v>386</v>
      </c>
      <c r="O291" s="285">
        <v>53.42</v>
      </c>
      <c r="P291" s="285">
        <v>24</v>
      </c>
      <c r="Q291" s="285" t="s">
        <v>1</v>
      </c>
      <c r="R291" s="285" t="s">
        <v>1</v>
      </c>
      <c r="S291" s="286">
        <v>386</v>
      </c>
      <c r="T291" s="285">
        <v>53.42</v>
      </c>
      <c r="U291" s="285">
        <v>24</v>
      </c>
      <c r="V291" s="285" t="s">
        <v>1</v>
      </c>
      <c r="W291" s="285" t="s">
        <v>1</v>
      </c>
      <c r="X291" s="286">
        <v>386</v>
      </c>
      <c r="Y291" s="285">
        <v>53.42</v>
      </c>
      <c r="Z291" s="285">
        <v>24</v>
      </c>
      <c r="AA291" s="285" t="s">
        <v>1</v>
      </c>
      <c r="AB291" s="285" t="s">
        <v>1</v>
      </c>
      <c r="AC291" s="286">
        <v>386</v>
      </c>
      <c r="AD291" s="285">
        <v>53.42</v>
      </c>
      <c r="AE291" s="285">
        <v>24</v>
      </c>
      <c r="AF291" s="285" t="s">
        <v>1</v>
      </c>
      <c r="AG291" s="285" t="s">
        <v>1</v>
      </c>
      <c r="AH291" s="286" t="s">
        <v>1</v>
      </c>
      <c r="AI291" s="295" t="s">
        <v>1</v>
      </c>
      <c r="AJ291" s="295" t="s">
        <v>1</v>
      </c>
      <c r="AK291" s="295" t="s">
        <v>1</v>
      </c>
      <c r="AL291" s="302" t="s">
        <v>1</v>
      </c>
      <c r="AM291" s="288" t="s">
        <v>1</v>
      </c>
      <c r="AN291" s="287" t="s">
        <v>1</v>
      </c>
      <c r="AO291" s="287" t="s">
        <v>1</v>
      </c>
      <c r="AP291" s="286" t="s">
        <v>1</v>
      </c>
      <c r="AQ291" s="285" t="s">
        <v>1</v>
      </c>
      <c r="AR291" s="289" t="s">
        <v>1</v>
      </c>
      <c r="AS291" s="289" t="s">
        <v>1</v>
      </c>
      <c r="AT291" s="290" t="s">
        <v>1</v>
      </c>
      <c r="AU291" s="287" t="s">
        <v>1</v>
      </c>
      <c r="AV291" s="287" t="s">
        <v>1</v>
      </c>
      <c r="AW291" s="291" t="s">
        <v>1</v>
      </c>
    </row>
    <row r="292" spans="1:49" ht="30.15" customHeight="1" x14ac:dyDescent="0.25">
      <c r="A292" s="213" t="s">
        <v>18</v>
      </c>
      <c r="B292" s="188" t="s">
        <v>1</v>
      </c>
      <c r="C292" s="212" t="s">
        <v>34</v>
      </c>
      <c r="D292" s="190" t="s">
        <v>3</v>
      </c>
      <c r="E292" s="190" t="s">
        <v>701</v>
      </c>
      <c r="F292" s="203"/>
      <c r="G292" s="190" t="s">
        <v>659</v>
      </c>
      <c r="H292" s="192" t="s">
        <v>409</v>
      </c>
      <c r="I292" s="193">
        <v>1439</v>
      </c>
      <c r="J292" s="193">
        <v>1473</v>
      </c>
      <c r="K292" s="193">
        <v>1473</v>
      </c>
      <c r="L292" s="193">
        <v>1555</v>
      </c>
      <c r="M292" s="194">
        <v>1555</v>
      </c>
      <c r="N292" s="284">
        <v>311</v>
      </c>
      <c r="O292" s="285">
        <v>12.709999999999999</v>
      </c>
      <c r="P292" s="285">
        <v>24</v>
      </c>
      <c r="Q292" s="306">
        <v>290</v>
      </c>
      <c r="R292" s="306" t="s">
        <v>1</v>
      </c>
      <c r="S292" s="286">
        <v>311</v>
      </c>
      <c r="T292" s="285">
        <v>12.709999999999999</v>
      </c>
      <c r="U292" s="285">
        <v>24</v>
      </c>
      <c r="V292" s="306">
        <v>290</v>
      </c>
      <c r="W292" s="306" t="s">
        <v>1</v>
      </c>
      <c r="X292" s="286">
        <v>311</v>
      </c>
      <c r="Y292" s="285">
        <v>14.709999999999999</v>
      </c>
      <c r="Z292" s="285">
        <v>24</v>
      </c>
      <c r="AA292" s="285">
        <v>290</v>
      </c>
      <c r="AB292" s="285" t="s">
        <v>1</v>
      </c>
      <c r="AC292" s="286">
        <v>311</v>
      </c>
      <c r="AD292" s="285">
        <v>14.709999999999999</v>
      </c>
      <c r="AE292" s="285">
        <v>24</v>
      </c>
      <c r="AF292" s="285">
        <v>290</v>
      </c>
      <c r="AG292" s="285" t="s">
        <v>1</v>
      </c>
      <c r="AH292" s="286" t="s">
        <v>1</v>
      </c>
      <c r="AI292" s="295" t="s">
        <v>1</v>
      </c>
      <c r="AJ292" s="295" t="s">
        <v>1</v>
      </c>
      <c r="AK292" s="295" t="s">
        <v>1</v>
      </c>
      <c r="AL292" s="302" t="s">
        <v>1</v>
      </c>
      <c r="AM292" s="288" t="s">
        <v>1</v>
      </c>
      <c r="AN292" s="287" t="s">
        <v>1</v>
      </c>
      <c r="AO292" s="287" t="s">
        <v>1</v>
      </c>
      <c r="AP292" s="286" t="s">
        <v>1</v>
      </c>
      <c r="AQ292" s="285" t="s">
        <v>1</v>
      </c>
      <c r="AR292" s="289" t="s">
        <v>1</v>
      </c>
      <c r="AS292" s="289" t="s">
        <v>1</v>
      </c>
      <c r="AT292" s="290" t="s">
        <v>1</v>
      </c>
      <c r="AU292" s="287" t="s">
        <v>1</v>
      </c>
      <c r="AV292" s="287" t="s">
        <v>1</v>
      </c>
      <c r="AW292" s="291" t="s">
        <v>1</v>
      </c>
    </row>
    <row r="293" spans="1:49" ht="30.15" customHeight="1" x14ac:dyDescent="0.25">
      <c r="A293" s="213" t="s">
        <v>18</v>
      </c>
      <c r="B293" s="188" t="s">
        <v>1</v>
      </c>
      <c r="C293" s="212" t="s">
        <v>34</v>
      </c>
      <c r="D293" s="190" t="s">
        <v>3</v>
      </c>
      <c r="E293" s="190" t="s">
        <v>702</v>
      </c>
      <c r="F293" s="203"/>
      <c r="G293" s="190" t="s">
        <v>659</v>
      </c>
      <c r="H293" s="192" t="s">
        <v>409</v>
      </c>
      <c r="I293" s="193">
        <v>1439</v>
      </c>
      <c r="J293" s="193">
        <v>1473</v>
      </c>
      <c r="K293" s="193">
        <v>1473</v>
      </c>
      <c r="L293" s="193">
        <v>1555</v>
      </c>
      <c r="M293" s="194">
        <v>1555</v>
      </c>
      <c r="N293" s="284">
        <v>311</v>
      </c>
      <c r="O293" s="285">
        <v>12.709999999999999</v>
      </c>
      <c r="P293" s="285">
        <v>24</v>
      </c>
      <c r="Q293" s="306">
        <v>290</v>
      </c>
      <c r="R293" s="306" t="s">
        <v>1</v>
      </c>
      <c r="S293" s="286">
        <v>311</v>
      </c>
      <c r="T293" s="285">
        <v>12.709999999999999</v>
      </c>
      <c r="U293" s="285">
        <v>24</v>
      </c>
      <c r="V293" s="306">
        <v>290</v>
      </c>
      <c r="W293" s="306" t="s">
        <v>1</v>
      </c>
      <c r="X293" s="286">
        <v>311</v>
      </c>
      <c r="Y293" s="285">
        <v>14.709999999999999</v>
      </c>
      <c r="Z293" s="285">
        <v>24</v>
      </c>
      <c r="AA293" s="285">
        <v>290</v>
      </c>
      <c r="AB293" s="285" t="s">
        <v>1</v>
      </c>
      <c r="AC293" s="286">
        <v>311</v>
      </c>
      <c r="AD293" s="285">
        <v>14.709999999999999</v>
      </c>
      <c r="AE293" s="285">
        <v>24</v>
      </c>
      <c r="AF293" s="285">
        <v>290</v>
      </c>
      <c r="AG293" s="285" t="s">
        <v>1</v>
      </c>
      <c r="AH293" s="286" t="s">
        <v>1</v>
      </c>
      <c r="AI293" s="295" t="s">
        <v>1</v>
      </c>
      <c r="AJ293" s="295" t="s">
        <v>1</v>
      </c>
      <c r="AK293" s="295" t="s">
        <v>1</v>
      </c>
      <c r="AL293" s="302" t="s">
        <v>1</v>
      </c>
      <c r="AM293" s="288" t="s">
        <v>1</v>
      </c>
      <c r="AN293" s="287" t="s">
        <v>1</v>
      </c>
      <c r="AO293" s="287" t="s">
        <v>1</v>
      </c>
      <c r="AP293" s="286" t="s">
        <v>1</v>
      </c>
      <c r="AQ293" s="285" t="s">
        <v>1</v>
      </c>
      <c r="AR293" s="289" t="s">
        <v>1</v>
      </c>
      <c r="AS293" s="289" t="s">
        <v>1</v>
      </c>
      <c r="AT293" s="290" t="s">
        <v>1</v>
      </c>
      <c r="AU293" s="287" t="s">
        <v>1</v>
      </c>
      <c r="AV293" s="287" t="s">
        <v>1</v>
      </c>
      <c r="AW293" s="291" t="s">
        <v>1</v>
      </c>
    </row>
    <row r="294" spans="1:49" ht="30.15" customHeight="1" x14ac:dyDescent="0.25">
      <c r="A294" s="213" t="s">
        <v>18</v>
      </c>
      <c r="B294" s="188" t="s">
        <v>1</v>
      </c>
      <c r="C294" s="212" t="s">
        <v>34</v>
      </c>
      <c r="D294" s="190" t="s">
        <v>3</v>
      </c>
      <c r="E294" s="190" t="s">
        <v>703</v>
      </c>
      <c r="F294" s="203"/>
      <c r="G294" s="190" t="s">
        <v>659</v>
      </c>
      <c r="H294" s="192" t="s">
        <v>409</v>
      </c>
      <c r="I294" s="193">
        <v>1439</v>
      </c>
      <c r="J294" s="193">
        <v>1473</v>
      </c>
      <c r="K294" s="193">
        <v>1473</v>
      </c>
      <c r="L294" s="193">
        <v>1555</v>
      </c>
      <c r="M294" s="194">
        <v>1555</v>
      </c>
      <c r="N294" s="284">
        <v>311</v>
      </c>
      <c r="O294" s="285">
        <v>12.709999999999999</v>
      </c>
      <c r="P294" s="285">
        <v>24</v>
      </c>
      <c r="Q294" s="306">
        <v>290</v>
      </c>
      <c r="R294" s="306" t="s">
        <v>1</v>
      </c>
      <c r="S294" s="286">
        <v>311</v>
      </c>
      <c r="T294" s="285">
        <v>12.709999999999999</v>
      </c>
      <c r="U294" s="285">
        <v>24</v>
      </c>
      <c r="V294" s="306">
        <v>290</v>
      </c>
      <c r="W294" s="306" t="s">
        <v>1</v>
      </c>
      <c r="X294" s="286">
        <v>311</v>
      </c>
      <c r="Y294" s="285">
        <v>14.709999999999999</v>
      </c>
      <c r="Z294" s="285">
        <v>24</v>
      </c>
      <c r="AA294" s="285">
        <v>290</v>
      </c>
      <c r="AB294" s="285" t="s">
        <v>1</v>
      </c>
      <c r="AC294" s="286">
        <v>311</v>
      </c>
      <c r="AD294" s="285">
        <v>14.709999999999999</v>
      </c>
      <c r="AE294" s="285">
        <v>24</v>
      </c>
      <c r="AF294" s="285">
        <v>290</v>
      </c>
      <c r="AG294" s="285" t="s">
        <v>1</v>
      </c>
      <c r="AH294" s="286" t="s">
        <v>1</v>
      </c>
      <c r="AI294" s="295" t="s">
        <v>1</v>
      </c>
      <c r="AJ294" s="295" t="s">
        <v>1</v>
      </c>
      <c r="AK294" s="295" t="s">
        <v>1</v>
      </c>
      <c r="AL294" s="302" t="s">
        <v>1</v>
      </c>
      <c r="AM294" s="288" t="s">
        <v>1</v>
      </c>
      <c r="AN294" s="287" t="s">
        <v>1</v>
      </c>
      <c r="AO294" s="287" t="s">
        <v>1</v>
      </c>
      <c r="AP294" s="286" t="s">
        <v>1</v>
      </c>
      <c r="AQ294" s="285" t="s">
        <v>1</v>
      </c>
      <c r="AR294" s="289" t="s">
        <v>1</v>
      </c>
      <c r="AS294" s="289" t="s">
        <v>1</v>
      </c>
      <c r="AT294" s="290" t="s">
        <v>1</v>
      </c>
      <c r="AU294" s="287" t="s">
        <v>1</v>
      </c>
      <c r="AV294" s="287" t="s">
        <v>1</v>
      </c>
      <c r="AW294" s="291" t="s">
        <v>1</v>
      </c>
    </row>
    <row r="295" spans="1:49" ht="30.15" customHeight="1" x14ac:dyDescent="0.25">
      <c r="A295" s="213" t="s">
        <v>18</v>
      </c>
      <c r="B295" s="188" t="s">
        <v>1</v>
      </c>
      <c r="C295" s="212" t="s">
        <v>34</v>
      </c>
      <c r="D295" s="190" t="s">
        <v>3</v>
      </c>
      <c r="E295" s="190" t="s">
        <v>704</v>
      </c>
      <c r="F295" s="203"/>
      <c r="G295" s="190" t="s">
        <v>659</v>
      </c>
      <c r="H295" s="192" t="s">
        <v>409</v>
      </c>
      <c r="I295" s="193">
        <v>1439</v>
      </c>
      <c r="J295" s="193">
        <v>1473</v>
      </c>
      <c r="K295" s="193">
        <v>1473</v>
      </c>
      <c r="L295" s="193">
        <v>1555</v>
      </c>
      <c r="M295" s="194">
        <v>1555</v>
      </c>
      <c r="N295" s="284">
        <v>311</v>
      </c>
      <c r="O295" s="285">
        <v>12.709999999999999</v>
      </c>
      <c r="P295" s="285">
        <v>24</v>
      </c>
      <c r="Q295" s="306">
        <v>290</v>
      </c>
      <c r="R295" s="306" t="s">
        <v>1</v>
      </c>
      <c r="S295" s="286">
        <v>311</v>
      </c>
      <c r="T295" s="285">
        <v>12.709999999999999</v>
      </c>
      <c r="U295" s="285">
        <v>24</v>
      </c>
      <c r="V295" s="306">
        <v>290</v>
      </c>
      <c r="W295" s="306" t="s">
        <v>1</v>
      </c>
      <c r="X295" s="286">
        <v>311</v>
      </c>
      <c r="Y295" s="285">
        <v>14.709999999999999</v>
      </c>
      <c r="Z295" s="285">
        <v>24</v>
      </c>
      <c r="AA295" s="285">
        <v>290</v>
      </c>
      <c r="AB295" s="285" t="s">
        <v>1</v>
      </c>
      <c r="AC295" s="286">
        <v>311</v>
      </c>
      <c r="AD295" s="285">
        <v>14.709999999999999</v>
      </c>
      <c r="AE295" s="285">
        <v>24</v>
      </c>
      <c r="AF295" s="285">
        <v>290</v>
      </c>
      <c r="AG295" s="285" t="s">
        <v>1</v>
      </c>
      <c r="AH295" s="286" t="s">
        <v>1</v>
      </c>
      <c r="AI295" s="295" t="s">
        <v>1</v>
      </c>
      <c r="AJ295" s="295" t="s">
        <v>1</v>
      </c>
      <c r="AK295" s="295" t="s">
        <v>1</v>
      </c>
      <c r="AL295" s="302" t="s">
        <v>1</v>
      </c>
      <c r="AM295" s="288" t="s">
        <v>1</v>
      </c>
      <c r="AN295" s="287" t="s">
        <v>1</v>
      </c>
      <c r="AO295" s="287" t="s">
        <v>1</v>
      </c>
      <c r="AP295" s="286" t="s">
        <v>1</v>
      </c>
      <c r="AQ295" s="285" t="s">
        <v>1</v>
      </c>
      <c r="AR295" s="289" t="s">
        <v>1</v>
      </c>
      <c r="AS295" s="289" t="s">
        <v>1</v>
      </c>
      <c r="AT295" s="290" t="s">
        <v>1</v>
      </c>
      <c r="AU295" s="287" t="s">
        <v>1</v>
      </c>
      <c r="AV295" s="287" t="s">
        <v>1</v>
      </c>
      <c r="AW295" s="291" t="s">
        <v>1</v>
      </c>
    </row>
    <row r="296" spans="1:49" ht="30.15" customHeight="1" x14ac:dyDescent="0.25">
      <c r="A296" s="213" t="s">
        <v>18</v>
      </c>
      <c r="B296" s="188" t="s">
        <v>1</v>
      </c>
      <c r="C296" s="212" t="s">
        <v>34</v>
      </c>
      <c r="D296" s="190" t="s">
        <v>3</v>
      </c>
      <c r="E296" s="190" t="s">
        <v>697</v>
      </c>
      <c r="F296" s="203"/>
      <c r="G296" s="190" t="s">
        <v>660</v>
      </c>
      <c r="H296" s="192" t="s">
        <v>409</v>
      </c>
      <c r="I296" s="193">
        <v>1639</v>
      </c>
      <c r="J296" s="193">
        <v>1682</v>
      </c>
      <c r="K296" s="193">
        <v>1682</v>
      </c>
      <c r="L296" s="193">
        <v>1775</v>
      </c>
      <c r="M296" s="194">
        <v>1775</v>
      </c>
      <c r="N296" s="284">
        <v>355</v>
      </c>
      <c r="O296" s="285">
        <v>12.709999999999999</v>
      </c>
      <c r="P296" s="285">
        <v>24</v>
      </c>
      <c r="Q296" s="306">
        <v>330</v>
      </c>
      <c r="R296" s="306" t="s">
        <v>1</v>
      </c>
      <c r="S296" s="286">
        <v>355</v>
      </c>
      <c r="T296" s="285">
        <v>12.709999999999999</v>
      </c>
      <c r="U296" s="285">
        <v>24</v>
      </c>
      <c r="V296" s="306">
        <v>330</v>
      </c>
      <c r="W296" s="306" t="s">
        <v>1</v>
      </c>
      <c r="X296" s="286">
        <v>355</v>
      </c>
      <c r="Y296" s="285">
        <v>14.709999999999999</v>
      </c>
      <c r="Z296" s="285">
        <v>24</v>
      </c>
      <c r="AA296" s="285">
        <v>330</v>
      </c>
      <c r="AB296" s="285" t="s">
        <v>1</v>
      </c>
      <c r="AC296" s="286">
        <v>355</v>
      </c>
      <c r="AD296" s="285">
        <v>14.709999999999999</v>
      </c>
      <c r="AE296" s="285">
        <v>24</v>
      </c>
      <c r="AF296" s="285">
        <v>330</v>
      </c>
      <c r="AG296" s="285" t="s">
        <v>1</v>
      </c>
      <c r="AH296" s="286" t="s">
        <v>1</v>
      </c>
      <c r="AI296" s="295" t="s">
        <v>1</v>
      </c>
      <c r="AJ296" s="295" t="s">
        <v>1</v>
      </c>
      <c r="AK296" s="295" t="s">
        <v>1</v>
      </c>
      <c r="AL296" s="302" t="s">
        <v>1</v>
      </c>
      <c r="AM296" s="288" t="s">
        <v>1</v>
      </c>
      <c r="AN296" s="287" t="s">
        <v>1</v>
      </c>
      <c r="AO296" s="287" t="s">
        <v>1</v>
      </c>
      <c r="AP296" s="286" t="s">
        <v>1</v>
      </c>
      <c r="AQ296" s="285" t="s">
        <v>1</v>
      </c>
      <c r="AR296" s="289" t="s">
        <v>1</v>
      </c>
      <c r="AS296" s="289" t="s">
        <v>1</v>
      </c>
      <c r="AT296" s="290" t="s">
        <v>1</v>
      </c>
      <c r="AU296" s="287" t="s">
        <v>1</v>
      </c>
      <c r="AV296" s="287" t="s">
        <v>1</v>
      </c>
      <c r="AW296" s="291" t="s">
        <v>1</v>
      </c>
    </row>
    <row r="297" spans="1:49" ht="30.15" customHeight="1" x14ac:dyDescent="0.25">
      <c r="A297" s="213" t="s">
        <v>18</v>
      </c>
      <c r="B297" s="188" t="s">
        <v>1</v>
      </c>
      <c r="C297" s="212" t="s">
        <v>34</v>
      </c>
      <c r="D297" s="190" t="s">
        <v>3</v>
      </c>
      <c r="E297" s="190" t="s">
        <v>698</v>
      </c>
      <c r="F297" s="203"/>
      <c r="G297" s="190" t="s">
        <v>660</v>
      </c>
      <c r="H297" s="192" t="s">
        <v>409</v>
      </c>
      <c r="I297" s="193">
        <v>1639</v>
      </c>
      <c r="J297" s="193">
        <v>1682</v>
      </c>
      <c r="K297" s="193">
        <v>1682</v>
      </c>
      <c r="L297" s="193">
        <v>1775</v>
      </c>
      <c r="M297" s="194">
        <v>1775</v>
      </c>
      <c r="N297" s="284">
        <v>355</v>
      </c>
      <c r="O297" s="285">
        <v>12.709999999999999</v>
      </c>
      <c r="P297" s="285">
        <v>24</v>
      </c>
      <c r="Q297" s="306">
        <v>330</v>
      </c>
      <c r="R297" s="306" t="s">
        <v>1</v>
      </c>
      <c r="S297" s="286">
        <v>355</v>
      </c>
      <c r="T297" s="285">
        <v>12.709999999999999</v>
      </c>
      <c r="U297" s="285">
        <v>24</v>
      </c>
      <c r="V297" s="306">
        <v>330</v>
      </c>
      <c r="W297" s="306" t="s">
        <v>1</v>
      </c>
      <c r="X297" s="286">
        <v>355</v>
      </c>
      <c r="Y297" s="285">
        <v>14.709999999999999</v>
      </c>
      <c r="Z297" s="285">
        <v>24</v>
      </c>
      <c r="AA297" s="285">
        <v>330</v>
      </c>
      <c r="AB297" s="285" t="s">
        <v>1</v>
      </c>
      <c r="AC297" s="286">
        <v>355</v>
      </c>
      <c r="AD297" s="285">
        <v>14.709999999999999</v>
      </c>
      <c r="AE297" s="285">
        <v>24</v>
      </c>
      <c r="AF297" s="285">
        <v>330</v>
      </c>
      <c r="AG297" s="285" t="s">
        <v>1</v>
      </c>
      <c r="AH297" s="286" t="s">
        <v>1</v>
      </c>
      <c r="AI297" s="295" t="s">
        <v>1</v>
      </c>
      <c r="AJ297" s="295" t="s">
        <v>1</v>
      </c>
      <c r="AK297" s="295" t="s">
        <v>1</v>
      </c>
      <c r="AL297" s="302" t="s">
        <v>1</v>
      </c>
      <c r="AM297" s="288" t="s">
        <v>1</v>
      </c>
      <c r="AN297" s="287" t="s">
        <v>1</v>
      </c>
      <c r="AO297" s="287" t="s">
        <v>1</v>
      </c>
      <c r="AP297" s="286" t="s">
        <v>1</v>
      </c>
      <c r="AQ297" s="285" t="s">
        <v>1</v>
      </c>
      <c r="AR297" s="289" t="s">
        <v>1</v>
      </c>
      <c r="AS297" s="289" t="s">
        <v>1</v>
      </c>
      <c r="AT297" s="290" t="s">
        <v>1</v>
      </c>
      <c r="AU297" s="287" t="s">
        <v>1</v>
      </c>
      <c r="AV297" s="287" t="s">
        <v>1</v>
      </c>
      <c r="AW297" s="291" t="s">
        <v>1</v>
      </c>
    </row>
    <row r="298" spans="1:49" ht="30.15" customHeight="1" x14ac:dyDescent="0.25">
      <c r="A298" s="213" t="s">
        <v>18</v>
      </c>
      <c r="B298" s="188" t="s">
        <v>1</v>
      </c>
      <c r="C298" s="212" t="s">
        <v>34</v>
      </c>
      <c r="D298" s="190" t="s">
        <v>3</v>
      </c>
      <c r="E298" s="190" t="s">
        <v>699</v>
      </c>
      <c r="F298" s="203"/>
      <c r="G298" s="190" t="s">
        <v>660</v>
      </c>
      <c r="H298" s="192" t="s">
        <v>409</v>
      </c>
      <c r="I298" s="193">
        <v>1639</v>
      </c>
      <c r="J298" s="193">
        <v>1682</v>
      </c>
      <c r="K298" s="193">
        <v>1682</v>
      </c>
      <c r="L298" s="193">
        <v>1775</v>
      </c>
      <c r="M298" s="194">
        <v>1775</v>
      </c>
      <c r="N298" s="284">
        <v>355</v>
      </c>
      <c r="O298" s="285">
        <v>12.709999999999999</v>
      </c>
      <c r="P298" s="285">
        <v>24</v>
      </c>
      <c r="Q298" s="306">
        <v>330</v>
      </c>
      <c r="R298" s="306" t="s">
        <v>1</v>
      </c>
      <c r="S298" s="286">
        <v>355</v>
      </c>
      <c r="T298" s="285">
        <v>12.709999999999999</v>
      </c>
      <c r="U298" s="285">
        <v>24</v>
      </c>
      <c r="V298" s="306">
        <v>330</v>
      </c>
      <c r="W298" s="306" t="s">
        <v>1</v>
      </c>
      <c r="X298" s="286">
        <v>355</v>
      </c>
      <c r="Y298" s="285">
        <v>14.709999999999999</v>
      </c>
      <c r="Z298" s="285">
        <v>24</v>
      </c>
      <c r="AA298" s="285">
        <v>330</v>
      </c>
      <c r="AB298" s="285" t="s">
        <v>1</v>
      </c>
      <c r="AC298" s="286">
        <v>355</v>
      </c>
      <c r="AD298" s="285">
        <v>14.709999999999999</v>
      </c>
      <c r="AE298" s="285">
        <v>24</v>
      </c>
      <c r="AF298" s="285">
        <v>330</v>
      </c>
      <c r="AG298" s="285" t="s">
        <v>1</v>
      </c>
      <c r="AH298" s="286" t="s">
        <v>1</v>
      </c>
      <c r="AI298" s="295" t="s">
        <v>1</v>
      </c>
      <c r="AJ298" s="295" t="s">
        <v>1</v>
      </c>
      <c r="AK298" s="295" t="s">
        <v>1</v>
      </c>
      <c r="AL298" s="302" t="s">
        <v>1</v>
      </c>
      <c r="AM298" s="288" t="s">
        <v>1</v>
      </c>
      <c r="AN298" s="287" t="s">
        <v>1</v>
      </c>
      <c r="AO298" s="287" t="s">
        <v>1</v>
      </c>
      <c r="AP298" s="286" t="s">
        <v>1</v>
      </c>
      <c r="AQ298" s="285" t="s">
        <v>1</v>
      </c>
      <c r="AR298" s="289" t="s">
        <v>1</v>
      </c>
      <c r="AS298" s="289" t="s">
        <v>1</v>
      </c>
      <c r="AT298" s="290" t="s">
        <v>1</v>
      </c>
      <c r="AU298" s="287" t="s">
        <v>1</v>
      </c>
      <c r="AV298" s="287" t="s">
        <v>1</v>
      </c>
      <c r="AW298" s="291" t="s">
        <v>1</v>
      </c>
    </row>
    <row r="299" spans="1:49" ht="30.15" customHeight="1" x14ac:dyDescent="0.25">
      <c r="A299" s="213" t="s">
        <v>18</v>
      </c>
      <c r="B299" s="188" t="s">
        <v>1</v>
      </c>
      <c r="C299" s="212" t="s">
        <v>34</v>
      </c>
      <c r="D299" s="190" t="s">
        <v>3</v>
      </c>
      <c r="E299" s="190" t="s">
        <v>700</v>
      </c>
      <c r="F299" s="203"/>
      <c r="G299" s="190" t="s">
        <v>660</v>
      </c>
      <c r="H299" s="192" t="s">
        <v>409</v>
      </c>
      <c r="I299" s="193">
        <v>1639</v>
      </c>
      <c r="J299" s="193">
        <v>1682</v>
      </c>
      <c r="K299" s="193">
        <v>1682</v>
      </c>
      <c r="L299" s="193">
        <v>1775</v>
      </c>
      <c r="M299" s="194">
        <v>1775</v>
      </c>
      <c r="N299" s="284">
        <v>355</v>
      </c>
      <c r="O299" s="285">
        <v>12.709999999999999</v>
      </c>
      <c r="P299" s="285">
        <v>24</v>
      </c>
      <c r="Q299" s="306">
        <v>330</v>
      </c>
      <c r="R299" s="306" t="s">
        <v>1</v>
      </c>
      <c r="S299" s="286">
        <v>355</v>
      </c>
      <c r="T299" s="285">
        <v>12.709999999999999</v>
      </c>
      <c r="U299" s="285">
        <v>24</v>
      </c>
      <c r="V299" s="306">
        <v>330</v>
      </c>
      <c r="W299" s="306" t="s">
        <v>1</v>
      </c>
      <c r="X299" s="286">
        <v>355</v>
      </c>
      <c r="Y299" s="285">
        <v>14.709999999999999</v>
      </c>
      <c r="Z299" s="285">
        <v>24</v>
      </c>
      <c r="AA299" s="285">
        <v>330</v>
      </c>
      <c r="AB299" s="285" t="s">
        <v>1</v>
      </c>
      <c r="AC299" s="286">
        <v>355</v>
      </c>
      <c r="AD299" s="285">
        <v>14.709999999999999</v>
      </c>
      <c r="AE299" s="285">
        <v>24</v>
      </c>
      <c r="AF299" s="285">
        <v>330</v>
      </c>
      <c r="AG299" s="285" t="s">
        <v>1</v>
      </c>
      <c r="AH299" s="286" t="s">
        <v>1</v>
      </c>
      <c r="AI299" s="295" t="s">
        <v>1</v>
      </c>
      <c r="AJ299" s="295" t="s">
        <v>1</v>
      </c>
      <c r="AK299" s="295" t="s">
        <v>1</v>
      </c>
      <c r="AL299" s="302" t="s">
        <v>1</v>
      </c>
      <c r="AM299" s="288" t="s">
        <v>1</v>
      </c>
      <c r="AN299" s="287" t="s">
        <v>1</v>
      </c>
      <c r="AO299" s="287" t="s">
        <v>1</v>
      </c>
      <c r="AP299" s="286" t="s">
        <v>1</v>
      </c>
      <c r="AQ299" s="285" t="s">
        <v>1</v>
      </c>
      <c r="AR299" s="289" t="s">
        <v>1</v>
      </c>
      <c r="AS299" s="289" t="s">
        <v>1</v>
      </c>
      <c r="AT299" s="290" t="s">
        <v>1</v>
      </c>
      <c r="AU299" s="287" t="s">
        <v>1</v>
      </c>
      <c r="AV299" s="287" t="s">
        <v>1</v>
      </c>
      <c r="AW299" s="291" t="s">
        <v>1</v>
      </c>
    </row>
    <row r="300" spans="1:49" ht="30.15" customHeight="1" x14ac:dyDescent="0.25">
      <c r="A300" s="213" t="s">
        <v>18</v>
      </c>
      <c r="B300" s="188" t="s">
        <v>1</v>
      </c>
      <c r="C300" s="212" t="s">
        <v>34</v>
      </c>
      <c r="D300" s="190" t="s">
        <v>3</v>
      </c>
      <c r="E300" s="190" t="s">
        <v>693</v>
      </c>
      <c r="F300" s="203"/>
      <c r="G300" s="190" t="s">
        <v>661</v>
      </c>
      <c r="H300" s="192" t="s">
        <v>409</v>
      </c>
      <c r="I300" s="193">
        <v>1909</v>
      </c>
      <c r="J300" s="193">
        <v>1957</v>
      </c>
      <c r="K300" s="193">
        <v>1957</v>
      </c>
      <c r="L300" s="193">
        <v>2065</v>
      </c>
      <c r="M300" s="194">
        <v>2065</v>
      </c>
      <c r="N300" s="284">
        <v>413</v>
      </c>
      <c r="O300" s="285">
        <v>12.709999999999999</v>
      </c>
      <c r="P300" s="285">
        <v>24</v>
      </c>
      <c r="Q300" s="306">
        <v>390</v>
      </c>
      <c r="R300" s="306" t="s">
        <v>1</v>
      </c>
      <c r="S300" s="286">
        <v>413</v>
      </c>
      <c r="T300" s="285">
        <v>12.709999999999999</v>
      </c>
      <c r="U300" s="285">
        <v>24</v>
      </c>
      <c r="V300" s="306">
        <v>390</v>
      </c>
      <c r="W300" s="306" t="s">
        <v>1</v>
      </c>
      <c r="X300" s="286">
        <v>413</v>
      </c>
      <c r="Y300" s="285">
        <v>14.709999999999999</v>
      </c>
      <c r="Z300" s="285">
        <v>24</v>
      </c>
      <c r="AA300" s="285">
        <v>390</v>
      </c>
      <c r="AB300" s="285" t="s">
        <v>1</v>
      </c>
      <c r="AC300" s="286">
        <v>413</v>
      </c>
      <c r="AD300" s="285">
        <v>14.709999999999999</v>
      </c>
      <c r="AE300" s="285">
        <v>24</v>
      </c>
      <c r="AF300" s="285">
        <v>390</v>
      </c>
      <c r="AG300" s="285" t="s">
        <v>1</v>
      </c>
      <c r="AH300" s="286" t="s">
        <v>1</v>
      </c>
      <c r="AI300" s="295" t="s">
        <v>1</v>
      </c>
      <c r="AJ300" s="295" t="s">
        <v>1</v>
      </c>
      <c r="AK300" s="295" t="s">
        <v>1</v>
      </c>
      <c r="AL300" s="302" t="s">
        <v>1</v>
      </c>
      <c r="AM300" s="288" t="s">
        <v>1</v>
      </c>
      <c r="AN300" s="287" t="s">
        <v>1</v>
      </c>
      <c r="AO300" s="287" t="s">
        <v>1</v>
      </c>
      <c r="AP300" s="286" t="s">
        <v>1</v>
      </c>
      <c r="AQ300" s="285" t="s">
        <v>1</v>
      </c>
      <c r="AR300" s="289" t="s">
        <v>1</v>
      </c>
      <c r="AS300" s="289" t="s">
        <v>1</v>
      </c>
      <c r="AT300" s="290" t="s">
        <v>1</v>
      </c>
      <c r="AU300" s="287" t="s">
        <v>1</v>
      </c>
      <c r="AV300" s="287" t="s">
        <v>1</v>
      </c>
      <c r="AW300" s="291" t="s">
        <v>1</v>
      </c>
    </row>
    <row r="301" spans="1:49" ht="30.15" customHeight="1" x14ac:dyDescent="0.25">
      <c r="A301" s="213" t="s">
        <v>18</v>
      </c>
      <c r="B301" s="188" t="s">
        <v>1</v>
      </c>
      <c r="C301" s="212" t="s">
        <v>34</v>
      </c>
      <c r="D301" s="190" t="s">
        <v>3</v>
      </c>
      <c r="E301" s="190" t="s">
        <v>694</v>
      </c>
      <c r="F301" s="203"/>
      <c r="G301" s="190" t="s">
        <v>661</v>
      </c>
      <c r="H301" s="192" t="s">
        <v>409</v>
      </c>
      <c r="I301" s="193">
        <v>1909</v>
      </c>
      <c r="J301" s="193">
        <v>1957</v>
      </c>
      <c r="K301" s="193">
        <v>1957</v>
      </c>
      <c r="L301" s="193">
        <v>2065</v>
      </c>
      <c r="M301" s="194">
        <v>2065</v>
      </c>
      <c r="N301" s="284">
        <v>413</v>
      </c>
      <c r="O301" s="285">
        <v>12.709999999999999</v>
      </c>
      <c r="P301" s="285">
        <v>24</v>
      </c>
      <c r="Q301" s="306">
        <v>390</v>
      </c>
      <c r="R301" s="306" t="s">
        <v>1</v>
      </c>
      <c r="S301" s="286">
        <v>413</v>
      </c>
      <c r="T301" s="285">
        <v>12.709999999999999</v>
      </c>
      <c r="U301" s="285">
        <v>24</v>
      </c>
      <c r="V301" s="306">
        <v>390</v>
      </c>
      <c r="W301" s="306" t="s">
        <v>1</v>
      </c>
      <c r="X301" s="286">
        <v>413</v>
      </c>
      <c r="Y301" s="285">
        <v>14.709999999999999</v>
      </c>
      <c r="Z301" s="285">
        <v>24</v>
      </c>
      <c r="AA301" s="285">
        <v>390</v>
      </c>
      <c r="AB301" s="285" t="s">
        <v>1</v>
      </c>
      <c r="AC301" s="286">
        <v>413</v>
      </c>
      <c r="AD301" s="285">
        <v>14.709999999999999</v>
      </c>
      <c r="AE301" s="285">
        <v>24</v>
      </c>
      <c r="AF301" s="285">
        <v>390</v>
      </c>
      <c r="AG301" s="285" t="s">
        <v>1</v>
      </c>
      <c r="AH301" s="286" t="s">
        <v>1</v>
      </c>
      <c r="AI301" s="295" t="s">
        <v>1</v>
      </c>
      <c r="AJ301" s="295" t="s">
        <v>1</v>
      </c>
      <c r="AK301" s="295" t="s">
        <v>1</v>
      </c>
      <c r="AL301" s="302" t="s">
        <v>1</v>
      </c>
      <c r="AM301" s="288" t="s">
        <v>1</v>
      </c>
      <c r="AN301" s="287" t="s">
        <v>1</v>
      </c>
      <c r="AO301" s="287" t="s">
        <v>1</v>
      </c>
      <c r="AP301" s="286" t="s">
        <v>1</v>
      </c>
      <c r="AQ301" s="285" t="s">
        <v>1</v>
      </c>
      <c r="AR301" s="289" t="s">
        <v>1</v>
      </c>
      <c r="AS301" s="289" t="s">
        <v>1</v>
      </c>
      <c r="AT301" s="290" t="s">
        <v>1</v>
      </c>
      <c r="AU301" s="287" t="s">
        <v>1</v>
      </c>
      <c r="AV301" s="287" t="s">
        <v>1</v>
      </c>
      <c r="AW301" s="291" t="s">
        <v>1</v>
      </c>
    </row>
    <row r="302" spans="1:49" ht="30.15" customHeight="1" x14ac:dyDescent="0.25">
      <c r="A302" s="213" t="s">
        <v>18</v>
      </c>
      <c r="B302" s="188" t="s">
        <v>1</v>
      </c>
      <c r="C302" s="212" t="s">
        <v>34</v>
      </c>
      <c r="D302" s="190" t="s">
        <v>3</v>
      </c>
      <c r="E302" s="190" t="s">
        <v>695</v>
      </c>
      <c r="F302" s="203"/>
      <c r="G302" s="190" t="s">
        <v>661</v>
      </c>
      <c r="H302" s="192" t="s">
        <v>409</v>
      </c>
      <c r="I302" s="193">
        <v>1909</v>
      </c>
      <c r="J302" s="193">
        <v>1957</v>
      </c>
      <c r="K302" s="193">
        <v>1957</v>
      </c>
      <c r="L302" s="193">
        <v>2065</v>
      </c>
      <c r="M302" s="194">
        <v>2065</v>
      </c>
      <c r="N302" s="284">
        <v>413</v>
      </c>
      <c r="O302" s="285">
        <v>12.709999999999999</v>
      </c>
      <c r="P302" s="285">
        <v>24</v>
      </c>
      <c r="Q302" s="306">
        <v>390</v>
      </c>
      <c r="R302" s="306" t="s">
        <v>1</v>
      </c>
      <c r="S302" s="286">
        <v>413</v>
      </c>
      <c r="T302" s="285">
        <v>12.709999999999999</v>
      </c>
      <c r="U302" s="285">
        <v>24</v>
      </c>
      <c r="V302" s="306">
        <v>390</v>
      </c>
      <c r="W302" s="306" t="s">
        <v>1</v>
      </c>
      <c r="X302" s="286">
        <v>413</v>
      </c>
      <c r="Y302" s="285">
        <v>14.709999999999999</v>
      </c>
      <c r="Z302" s="285">
        <v>24</v>
      </c>
      <c r="AA302" s="285">
        <v>390</v>
      </c>
      <c r="AB302" s="285" t="s">
        <v>1</v>
      </c>
      <c r="AC302" s="286">
        <v>413</v>
      </c>
      <c r="AD302" s="285">
        <v>14.709999999999999</v>
      </c>
      <c r="AE302" s="285">
        <v>24</v>
      </c>
      <c r="AF302" s="285">
        <v>390</v>
      </c>
      <c r="AG302" s="285" t="s">
        <v>1</v>
      </c>
      <c r="AH302" s="286" t="s">
        <v>1</v>
      </c>
      <c r="AI302" s="295" t="s">
        <v>1</v>
      </c>
      <c r="AJ302" s="295" t="s">
        <v>1</v>
      </c>
      <c r="AK302" s="295" t="s">
        <v>1</v>
      </c>
      <c r="AL302" s="302" t="s">
        <v>1</v>
      </c>
      <c r="AM302" s="288" t="s">
        <v>1</v>
      </c>
      <c r="AN302" s="287" t="s">
        <v>1</v>
      </c>
      <c r="AO302" s="287" t="s">
        <v>1</v>
      </c>
      <c r="AP302" s="286" t="s">
        <v>1</v>
      </c>
      <c r="AQ302" s="285" t="s">
        <v>1</v>
      </c>
      <c r="AR302" s="289" t="s">
        <v>1</v>
      </c>
      <c r="AS302" s="289" t="s">
        <v>1</v>
      </c>
      <c r="AT302" s="290" t="s">
        <v>1</v>
      </c>
      <c r="AU302" s="287" t="s">
        <v>1</v>
      </c>
      <c r="AV302" s="287" t="s">
        <v>1</v>
      </c>
      <c r="AW302" s="291" t="s">
        <v>1</v>
      </c>
    </row>
    <row r="303" spans="1:49" ht="30.15" customHeight="1" x14ac:dyDescent="0.25">
      <c r="A303" s="213" t="s">
        <v>18</v>
      </c>
      <c r="B303" s="188" t="s">
        <v>1</v>
      </c>
      <c r="C303" s="212" t="s">
        <v>34</v>
      </c>
      <c r="D303" s="190" t="s">
        <v>3</v>
      </c>
      <c r="E303" s="190" t="s">
        <v>696</v>
      </c>
      <c r="F303" s="203"/>
      <c r="G303" s="190" t="s">
        <v>661</v>
      </c>
      <c r="H303" s="192" t="s">
        <v>409</v>
      </c>
      <c r="I303" s="193">
        <v>1909</v>
      </c>
      <c r="J303" s="193">
        <v>1957</v>
      </c>
      <c r="K303" s="193">
        <v>1957</v>
      </c>
      <c r="L303" s="193">
        <v>2065</v>
      </c>
      <c r="M303" s="194">
        <v>2065</v>
      </c>
      <c r="N303" s="284">
        <v>413</v>
      </c>
      <c r="O303" s="285">
        <v>12.709999999999999</v>
      </c>
      <c r="P303" s="285">
        <v>24</v>
      </c>
      <c r="Q303" s="306">
        <v>390</v>
      </c>
      <c r="R303" s="306" t="s">
        <v>1</v>
      </c>
      <c r="S303" s="286">
        <v>413</v>
      </c>
      <c r="T303" s="285">
        <v>12.709999999999999</v>
      </c>
      <c r="U303" s="285">
        <v>24</v>
      </c>
      <c r="V303" s="306">
        <v>390</v>
      </c>
      <c r="W303" s="306" t="s">
        <v>1</v>
      </c>
      <c r="X303" s="286">
        <v>413</v>
      </c>
      <c r="Y303" s="285">
        <v>14.709999999999999</v>
      </c>
      <c r="Z303" s="285">
        <v>24</v>
      </c>
      <c r="AA303" s="285">
        <v>390</v>
      </c>
      <c r="AB303" s="285" t="s">
        <v>1</v>
      </c>
      <c r="AC303" s="286">
        <v>413</v>
      </c>
      <c r="AD303" s="285">
        <v>14.709999999999999</v>
      </c>
      <c r="AE303" s="285">
        <v>24</v>
      </c>
      <c r="AF303" s="285">
        <v>390</v>
      </c>
      <c r="AG303" s="285" t="s">
        <v>1</v>
      </c>
      <c r="AH303" s="286" t="s">
        <v>1</v>
      </c>
      <c r="AI303" s="295" t="s">
        <v>1</v>
      </c>
      <c r="AJ303" s="295" t="s">
        <v>1</v>
      </c>
      <c r="AK303" s="295" t="s">
        <v>1</v>
      </c>
      <c r="AL303" s="302" t="s">
        <v>1</v>
      </c>
      <c r="AM303" s="288" t="s">
        <v>1</v>
      </c>
      <c r="AN303" s="287" t="s">
        <v>1</v>
      </c>
      <c r="AO303" s="287" t="s">
        <v>1</v>
      </c>
      <c r="AP303" s="286" t="s">
        <v>1</v>
      </c>
      <c r="AQ303" s="285" t="s">
        <v>1</v>
      </c>
      <c r="AR303" s="289" t="s">
        <v>1</v>
      </c>
      <c r="AS303" s="289" t="s">
        <v>1</v>
      </c>
      <c r="AT303" s="290" t="s">
        <v>1</v>
      </c>
      <c r="AU303" s="287" t="s">
        <v>1</v>
      </c>
      <c r="AV303" s="287" t="s">
        <v>1</v>
      </c>
      <c r="AW303" s="291" t="s">
        <v>1</v>
      </c>
    </row>
    <row r="304" spans="1:49" ht="30.15" customHeight="1" x14ac:dyDescent="0.25">
      <c r="A304" s="213" t="s">
        <v>18</v>
      </c>
      <c r="B304" s="188" t="s">
        <v>1</v>
      </c>
      <c r="C304" s="212" t="s">
        <v>34</v>
      </c>
      <c r="D304" s="190" t="s">
        <v>3</v>
      </c>
      <c r="E304" s="190" t="s">
        <v>689</v>
      </c>
      <c r="F304" s="203"/>
      <c r="G304" s="190" t="s">
        <v>657</v>
      </c>
      <c r="H304" s="192" t="s">
        <v>409</v>
      </c>
      <c r="I304" s="193">
        <v>1309</v>
      </c>
      <c r="J304" s="193">
        <v>1340</v>
      </c>
      <c r="K304" s="193">
        <v>1340</v>
      </c>
      <c r="L304" s="193">
        <v>1415</v>
      </c>
      <c r="M304" s="194">
        <v>1415</v>
      </c>
      <c r="N304" s="284">
        <v>283</v>
      </c>
      <c r="O304" s="285">
        <v>12.709999999999999</v>
      </c>
      <c r="P304" s="285">
        <v>24</v>
      </c>
      <c r="Q304" s="306">
        <v>270</v>
      </c>
      <c r="R304" s="306" t="s">
        <v>1</v>
      </c>
      <c r="S304" s="286">
        <v>283</v>
      </c>
      <c r="T304" s="285">
        <v>12.709999999999999</v>
      </c>
      <c r="U304" s="285">
        <v>24</v>
      </c>
      <c r="V304" s="306">
        <v>270</v>
      </c>
      <c r="W304" s="306" t="s">
        <v>1</v>
      </c>
      <c r="X304" s="286">
        <v>283</v>
      </c>
      <c r="Y304" s="285">
        <v>13.129999999999999</v>
      </c>
      <c r="Z304" s="285">
        <v>24</v>
      </c>
      <c r="AA304" s="285">
        <v>270</v>
      </c>
      <c r="AB304" s="285" t="s">
        <v>1</v>
      </c>
      <c r="AC304" s="286">
        <v>283</v>
      </c>
      <c r="AD304" s="285">
        <v>13.129999999999999</v>
      </c>
      <c r="AE304" s="285">
        <v>24</v>
      </c>
      <c r="AF304" s="285">
        <v>270</v>
      </c>
      <c r="AG304" s="285" t="s">
        <v>1</v>
      </c>
      <c r="AH304" s="286" t="s">
        <v>1</v>
      </c>
      <c r="AI304" s="295" t="s">
        <v>1</v>
      </c>
      <c r="AJ304" s="295" t="s">
        <v>1</v>
      </c>
      <c r="AK304" s="295" t="s">
        <v>1</v>
      </c>
      <c r="AL304" s="302" t="s">
        <v>1</v>
      </c>
      <c r="AM304" s="288" t="s">
        <v>1</v>
      </c>
      <c r="AN304" s="287" t="s">
        <v>1</v>
      </c>
      <c r="AO304" s="287" t="s">
        <v>1</v>
      </c>
      <c r="AP304" s="286" t="s">
        <v>1</v>
      </c>
      <c r="AQ304" s="285" t="s">
        <v>1</v>
      </c>
      <c r="AR304" s="289" t="s">
        <v>1</v>
      </c>
      <c r="AS304" s="289" t="s">
        <v>1</v>
      </c>
      <c r="AT304" s="290" t="s">
        <v>1</v>
      </c>
      <c r="AU304" s="287" t="s">
        <v>1</v>
      </c>
      <c r="AV304" s="287" t="s">
        <v>1</v>
      </c>
      <c r="AW304" s="291" t="s">
        <v>1</v>
      </c>
    </row>
    <row r="305" spans="1:49" ht="30.15" customHeight="1" x14ac:dyDescent="0.25">
      <c r="A305" s="213" t="s">
        <v>18</v>
      </c>
      <c r="B305" s="188" t="s">
        <v>1</v>
      </c>
      <c r="C305" s="212" t="s">
        <v>34</v>
      </c>
      <c r="D305" s="190" t="s">
        <v>3</v>
      </c>
      <c r="E305" s="190" t="s">
        <v>690</v>
      </c>
      <c r="F305" s="203"/>
      <c r="G305" s="190" t="s">
        <v>657</v>
      </c>
      <c r="H305" s="192" t="s">
        <v>409</v>
      </c>
      <c r="I305" s="193">
        <v>1309</v>
      </c>
      <c r="J305" s="193">
        <v>1340</v>
      </c>
      <c r="K305" s="193">
        <v>1340</v>
      </c>
      <c r="L305" s="193">
        <v>1415</v>
      </c>
      <c r="M305" s="194">
        <v>1415</v>
      </c>
      <c r="N305" s="284">
        <v>283</v>
      </c>
      <c r="O305" s="285">
        <v>12.709999999999999</v>
      </c>
      <c r="P305" s="285">
        <v>24</v>
      </c>
      <c r="Q305" s="306">
        <v>270</v>
      </c>
      <c r="R305" s="306" t="s">
        <v>1</v>
      </c>
      <c r="S305" s="286">
        <v>283</v>
      </c>
      <c r="T305" s="285">
        <v>12.709999999999999</v>
      </c>
      <c r="U305" s="285">
        <v>24</v>
      </c>
      <c r="V305" s="306">
        <v>270</v>
      </c>
      <c r="W305" s="306" t="s">
        <v>1</v>
      </c>
      <c r="X305" s="286">
        <v>283</v>
      </c>
      <c r="Y305" s="285">
        <v>13.129999999999999</v>
      </c>
      <c r="Z305" s="285">
        <v>24</v>
      </c>
      <c r="AA305" s="285">
        <v>270</v>
      </c>
      <c r="AB305" s="285" t="s">
        <v>1</v>
      </c>
      <c r="AC305" s="286">
        <v>283</v>
      </c>
      <c r="AD305" s="285">
        <v>13.129999999999999</v>
      </c>
      <c r="AE305" s="285">
        <v>24</v>
      </c>
      <c r="AF305" s="285">
        <v>270</v>
      </c>
      <c r="AG305" s="285" t="s">
        <v>1</v>
      </c>
      <c r="AH305" s="286" t="s">
        <v>1</v>
      </c>
      <c r="AI305" s="295" t="s">
        <v>1</v>
      </c>
      <c r="AJ305" s="295" t="s">
        <v>1</v>
      </c>
      <c r="AK305" s="295" t="s">
        <v>1</v>
      </c>
      <c r="AL305" s="302" t="s">
        <v>1</v>
      </c>
      <c r="AM305" s="288" t="s">
        <v>1</v>
      </c>
      <c r="AN305" s="287" t="s">
        <v>1</v>
      </c>
      <c r="AO305" s="287" t="s">
        <v>1</v>
      </c>
      <c r="AP305" s="286" t="s">
        <v>1</v>
      </c>
      <c r="AQ305" s="285" t="s">
        <v>1</v>
      </c>
      <c r="AR305" s="289" t="s">
        <v>1</v>
      </c>
      <c r="AS305" s="289" t="s">
        <v>1</v>
      </c>
      <c r="AT305" s="290" t="s">
        <v>1</v>
      </c>
      <c r="AU305" s="287" t="s">
        <v>1</v>
      </c>
      <c r="AV305" s="287" t="s">
        <v>1</v>
      </c>
      <c r="AW305" s="291" t="s">
        <v>1</v>
      </c>
    </row>
    <row r="306" spans="1:49" ht="30.15" customHeight="1" x14ac:dyDescent="0.25">
      <c r="A306" s="213" t="s">
        <v>18</v>
      </c>
      <c r="B306" s="188" t="s">
        <v>1</v>
      </c>
      <c r="C306" s="212" t="s">
        <v>34</v>
      </c>
      <c r="D306" s="190" t="s">
        <v>3</v>
      </c>
      <c r="E306" s="190" t="s">
        <v>691</v>
      </c>
      <c r="F306" s="203"/>
      <c r="G306" s="190" t="s">
        <v>657</v>
      </c>
      <c r="H306" s="192" t="s">
        <v>409</v>
      </c>
      <c r="I306" s="193">
        <v>1309</v>
      </c>
      <c r="J306" s="193">
        <v>1340</v>
      </c>
      <c r="K306" s="193">
        <v>1340</v>
      </c>
      <c r="L306" s="193">
        <v>1415</v>
      </c>
      <c r="M306" s="194">
        <v>1415</v>
      </c>
      <c r="N306" s="284">
        <v>283</v>
      </c>
      <c r="O306" s="285">
        <v>12.709999999999999</v>
      </c>
      <c r="P306" s="285">
        <v>24</v>
      </c>
      <c r="Q306" s="306">
        <v>270</v>
      </c>
      <c r="R306" s="306" t="s">
        <v>1</v>
      </c>
      <c r="S306" s="286">
        <v>283</v>
      </c>
      <c r="T306" s="285">
        <v>12.709999999999999</v>
      </c>
      <c r="U306" s="285">
        <v>24</v>
      </c>
      <c r="V306" s="306">
        <v>270</v>
      </c>
      <c r="W306" s="306" t="s">
        <v>1</v>
      </c>
      <c r="X306" s="286">
        <v>283</v>
      </c>
      <c r="Y306" s="285">
        <v>13.129999999999999</v>
      </c>
      <c r="Z306" s="285">
        <v>24</v>
      </c>
      <c r="AA306" s="285">
        <v>270</v>
      </c>
      <c r="AB306" s="285" t="s">
        <v>1</v>
      </c>
      <c r="AC306" s="286">
        <v>283</v>
      </c>
      <c r="AD306" s="285">
        <v>13.129999999999999</v>
      </c>
      <c r="AE306" s="285">
        <v>24</v>
      </c>
      <c r="AF306" s="285">
        <v>270</v>
      </c>
      <c r="AG306" s="285" t="s">
        <v>1</v>
      </c>
      <c r="AH306" s="286" t="s">
        <v>1</v>
      </c>
      <c r="AI306" s="295" t="s">
        <v>1</v>
      </c>
      <c r="AJ306" s="295" t="s">
        <v>1</v>
      </c>
      <c r="AK306" s="295" t="s">
        <v>1</v>
      </c>
      <c r="AL306" s="302" t="s">
        <v>1</v>
      </c>
      <c r="AM306" s="288" t="s">
        <v>1</v>
      </c>
      <c r="AN306" s="287" t="s">
        <v>1</v>
      </c>
      <c r="AO306" s="287" t="s">
        <v>1</v>
      </c>
      <c r="AP306" s="286" t="s">
        <v>1</v>
      </c>
      <c r="AQ306" s="285" t="s">
        <v>1</v>
      </c>
      <c r="AR306" s="289" t="s">
        <v>1</v>
      </c>
      <c r="AS306" s="289" t="s">
        <v>1</v>
      </c>
      <c r="AT306" s="290" t="s">
        <v>1</v>
      </c>
      <c r="AU306" s="287" t="s">
        <v>1</v>
      </c>
      <c r="AV306" s="287" t="s">
        <v>1</v>
      </c>
      <c r="AW306" s="291" t="s">
        <v>1</v>
      </c>
    </row>
    <row r="307" spans="1:49" ht="30.15" customHeight="1" x14ac:dyDescent="0.25">
      <c r="A307" s="213" t="s">
        <v>18</v>
      </c>
      <c r="B307" s="188" t="s">
        <v>1</v>
      </c>
      <c r="C307" s="212" t="s">
        <v>34</v>
      </c>
      <c r="D307" s="190" t="s">
        <v>3</v>
      </c>
      <c r="E307" s="190" t="s">
        <v>692</v>
      </c>
      <c r="F307" s="203"/>
      <c r="G307" s="190" t="s">
        <v>657</v>
      </c>
      <c r="H307" s="192" t="s">
        <v>409</v>
      </c>
      <c r="I307" s="193">
        <v>1309</v>
      </c>
      <c r="J307" s="193">
        <v>1340</v>
      </c>
      <c r="K307" s="193">
        <v>1340</v>
      </c>
      <c r="L307" s="193">
        <v>1415</v>
      </c>
      <c r="M307" s="194">
        <v>1415</v>
      </c>
      <c r="N307" s="284">
        <v>283</v>
      </c>
      <c r="O307" s="285">
        <v>12.709999999999999</v>
      </c>
      <c r="P307" s="285">
        <v>24</v>
      </c>
      <c r="Q307" s="306">
        <v>270</v>
      </c>
      <c r="R307" s="306" t="s">
        <v>1</v>
      </c>
      <c r="S307" s="286">
        <v>283</v>
      </c>
      <c r="T307" s="285">
        <v>12.709999999999999</v>
      </c>
      <c r="U307" s="285">
        <v>24</v>
      </c>
      <c r="V307" s="306">
        <v>270</v>
      </c>
      <c r="W307" s="306" t="s">
        <v>1</v>
      </c>
      <c r="X307" s="286">
        <v>283</v>
      </c>
      <c r="Y307" s="285">
        <v>13.129999999999999</v>
      </c>
      <c r="Z307" s="285">
        <v>24</v>
      </c>
      <c r="AA307" s="285">
        <v>270</v>
      </c>
      <c r="AB307" s="285" t="s">
        <v>1</v>
      </c>
      <c r="AC307" s="286">
        <v>283</v>
      </c>
      <c r="AD307" s="285">
        <v>13.129999999999999</v>
      </c>
      <c r="AE307" s="285">
        <v>24</v>
      </c>
      <c r="AF307" s="285">
        <v>270</v>
      </c>
      <c r="AG307" s="285" t="s">
        <v>1</v>
      </c>
      <c r="AH307" s="286" t="s">
        <v>1</v>
      </c>
      <c r="AI307" s="295" t="s">
        <v>1</v>
      </c>
      <c r="AJ307" s="295" t="s">
        <v>1</v>
      </c>
      <c r="AK307" s="295" t="s">
        <v>1</v>
      </c>
      <c r="AL307" s="302" t="s">
        <v>1</v>
      </c>
      <c r="AM307" s="288" t="s">
        <v>1</v>
      </c>
      <c r="AN307" s="287" t="s">
        <v>1</v>
      </c>
      <c r="AO307" s="287" t="s">
        <v>1</v>
      </c>
      <c r="AP307" s="286" t="s">
        <v>1</v>
      </c>
      <c r="AQ307" s="285" t="s">
        <v>1</v>
      </c>
      <c r="AR307" s="289" t="s">
        <v>1</v>
      </c>
      <c r="AS307" s="289" t="s">
        <v>1</v>
      </c>
      <c r="AT307" s="290" t="s">
        <v>1</v>
      </c>
      <c r="AU307" s="287" t="s">
        <v>1</v>
      </c>
      <c r="AV307" s="287" t="s">
        <v>1</v>
      </c>
      <c r="AW307" s="291" t="s">
        <v>1</v>
      </c>
    </row>
    <row r="308" spans="1:49" ht="30.15" customHeight="1" x14ac:dyDescent="0.25">
      <c r="A308" s="213" t="s">
        <v>18</v>
      </c>
      <c r="B308" s="188" t="s">
        <v>1</v>
      </c>
      <c r="C308" s="212" t="s">
        <v>34</v>
      </c>
      <c r="D308" s="190" t="s">
        <v>3</v>
      </c>
      <c r="E308" s="190" t="s">
        <v>685</v>
      </c>
      <c r="F308" s="203"/>
      <c r="G308" s="190" t="s">
        <v>658</v>
      </c>
      <c r="H308" s="192" t="s">
        <v>409</v>
      </c>
      <c r="I308" s="193">
        <v>1509</v>
      </c>
      <c r="J308" s="193">
        <v>1539</v>
      </c>
      <c r="K308" s="193">
        <v>1539</v>
      </c>
      <c r="L308" s="193">
        <v>1625</v>
      </c>
      <c r="M308" s="194">
        <v>1625</v>
      </c>
      <c r="N308" s="284">
        <v>325</v>
      </c>
      <c r="O308" s="285">
        <v>12.709999999999999</v>
      </c>
      <c r="P308" s="285">
        <v>24</v>
      </c>
      <c r="Q308" s="306">
        <v>310</v>
      </c>
      <c r="R308" s="306" t="s">
        <v>1</v>
      </c>
      <c r="S308" s="286">
        <v>325</v>
      </c>
      <c r="T308" s="285">
        <v>12.709999999999999</v>
      </c>
      <c r="U308" s="285">
        <v>24</v>
      </c>
      <c r="V308" s="306">
        <v>310</v>
      </c>
      <c r="W308" s="306" t="s">
        <v>1</v>
      </c>
      <c r="X308" s="286">
        <v>325</v>
      </c>
      <c r="Y308" s="285">
        <v>13.129999999999999</v>
      </c>
      <c r="Z308" s="285">
        <v>24</v>
      </c>
      <c r="AA308" s="285">
        <v>310</v>
      </c>
      <c r="AB308" s="285" t="s">
        <v>1</v>
      </c>
      <c r="AC308" s="286">
        <v>325</v>
      </c>
      <c r="AD308" s="285">
        <v>13.129999999999999</v>
      </c>
      <c r="AE308" s="285">
        <v>24</v>
      </c>
      <c r="AF308" s="285">
        <v>310</v>
      </c>
      <c r="AG308" s="285" t="s">
        <v>1</v>
      </c>
      <c r="AH308" s="286" t="s">
        <v>1</v>
      </c>
      <c r="AI308" s="295" t="s">
        <v>1</v>
      </c>
      <c r="AJ308" s="295" t="s">
        <v>1</v>
      </c>
      <c r="AK308" s="295" t="s">
        <v>1</v>
      </c>
      <c r="AL308" s="302" t="s">
        <v>1</v>
      </c>
      <c r="AM308" s="288" t="s">
        <v>1</v>
      </c>
      <c r="AN308" s="287" t="s">
        <v>1</v>
      </c>
      <c r="AO308" s="287" t="s">
        <v>1</v>
      </c>
      <c r="AP308" s="286" t="s">
        <v>1</v>
      </c>
      <c r="AQ308" s="285" t="s">
        <v>1</v>
      </c>
      <c r="AR308" s="289" t="s">
        <v>1</v>
      </c>
      <c r="AS308" s="289" t="s">
        <v>1</v>
      </c>
      <c r="AT308" s="290" t="s">
        <v>1</v>
      </c>
      <c r="AU308" s="287" t="s">
        <v>1</v>
      </c>
      <c r="AV308" s="287" t="s">
        <v>1</v>
      </c>
      <c r="AW308" s="291" t="s">
        <v>1</v>
      </c>
    </row>
    <row r="309" spans="1:49" ht="30.15" customHeight="1" x14ac:dyDescent="0.25">
      <c r="A309" s="213" t="s">
        <v>18</v>
      </c>
      <c r="B309" s="188" t="s">
        <v>1</v>
      </c>
      <c r="C309" s="212" t="s">
        <v>34</v>
      </c>
      <c r="D309" s="190" t="s">
        <v>3</v>
      </c>
      <c r="E309" s="190" t="s">
        <v>686</v>
      </c>
      <c r="F309" s="203"/>
      <c r="G309" s="190" t="s">
        <v>658</v>
      </c>
      <c r="H309" s="192" t="s">
        <v>409</v>
      </c>
      <c r="I309" s="193">
        <v>1509</v>
      </c>
      <c r="J309" s="193">
        <v>1539</v>
      </c>
      <c r="K309" s="193">
        <v>1539</v>
      </c>
      <c r="L309" s="193">
        <v>1625</v>
      </c>
      <c r="M309" s="194">
        <v>1625</v>
      </c>
      <c r="N309" s="284">
        <v>325</v>
      </c>
      <c r="O309" s="285">
        <v>12.709999999999999</v>
      </c>
      <c r="P309" s="285">
        <v>24</v>
      </c>
      <c r="Q309" s="306">
        <v>310</v>
      </c>
      <c r="R309" s="306" t="s">
        <v>1</v>
      </c>
      <c r="S309" s="286">
        <v>325</v>
      </c>
      <c r="T309" s="285">
        <v>12.709999999999999</v>
      </c>
      <c r="U309" s="285">
        <v>24</v>
      </c>
      <c r="V309" s="306">
        <v>310</v>
      </c>
      <c r="W309" s="306" t="s">
        <v>1</v>
      </c>
      <c r="X309" s="286">
        <v>325</v>
      </c>
      <c r="Y309" s="285">
        <v>13.129999999999999</v>
      </c>
      <c r="Z309" s="285">
        <v>24</v>
      </c>
      <c r="AA309" s="285">
        <v>310</v>
      </c>
      <c r="AB309" s="285" t="s">
        <v>1</v>
      </c>
      <c r="AC309" s="286">
        <v>325</v>
      </c>
      <c r="AD309" s="285">
        <v>13.129999999999999</v>
      </c>
      <c r="AE309" s="285">
        <v>24</v>
      </c>
      <c r="AF309" s="285">
        <v>310</v>
      </c>
      <c r="AG309" s="285" t="s">
        <v>1</v>
      </c>
      <c r="AH309" s="286" t="s">
        <v>1</v>
      </c>
      <c r="AI309" s="295" t="s">
        <v>1</v>
      </c>
      <c r="AJ309" s="295" t="s">
        <v>1</v>
      </c>
      <c r="AK309" s="295" t="s">
        <v>1</v>
      </c>
      <c r="AL309" s="302" t="s">
        <v>1</v>
      </c>
      <c r="AM309" s="288" t="s">
        <v>1</v>
      </c>
      <c r="AN309" s="287" t="s">
        <v>1</v>
      </c>
      <c r="AO309" s="287" t="s">
        <v>1</v>
      </c>
      <c r="AP309" s="286" t="s">
        <v>1</v>
      </c>
      <c r="AQ309" s="285" t="s">
        <v>1</v>
      </c>
      <c r="AR309" s="289" t="s">
        <v>1</v>
      </c>
      <c r="AS309" s="289" t="s">
        <v>1</v>
      </c>
      <c r="AT309" s="290" t="s">
        <v>1</v>
      </c>
      <c r="AU309" s="287" t="s">
        <v>1</v>
      </c>
      <c r="AV309" s="287" t="s">
        <v>1</v>
      </c>
      <c r="AW309" s="291" t="s">
        <v>1</v>
      </c>
    </row>
    <row r="310" spans="1:49" ht="30.15" customHeight="1" x14ac:dyDescent="0.25">
      <c r="A310" s="213" t="s">
        <v>18</v>
      </c>
      <c r="B310" s="188" t="s">
        <v>1</v>
      </c>
      <c r="C310" s="212" t="s">
        <v>34</v>
      </c>
      <c r="D310" s="190" t="s">
        <v>3</v>
      </c>
      <c r="E310" s="190" t="s">
        <v>687</v>
      </c>
      <c r="F310" s="203"/>
      <c r="G310" s="190" t="s">
        <v>658</v>
      </c>
      <c r="H310" s="192" t="s">
        <v>409</v>
      </c>
      <c r="I310" s="193">
        <v>1509</v>
      </c>
      <c r="J310" s="193">
        <v>1539</v>
      </c>
      <c r="K310" s="193">
        <v>1539</v>
      </c>
      <c r="L310" s="193">
        <v>1625</v>
      </c>
      <c r="M310" s="194">
        <v>1625</v>
      </c>
      <c r="N310" s="284">
        <v>325</v>
      </c>
      <c r="O310" s="285">
        <v>12.709999999999999</v>
      </c>
      <c r="P310" s="285">
        <v>24</v>
      </c>
      <c r="Q310" s="306">
        <v>310</v>
      </c>
      <c r="R310" s="306" t="s">
        <v>1</v>
      </c>
      <c r="S310" s="286">
        <v>325</v>
      </c>
      <c r="T310" s="285">
        <v>12.709999999999999</v>
      </c>
      <c r="U310" s="285">
        <v>24</v>
      </c>
      <c r="V310" s="306">
        <v>310</v>
      </c>
      <c r="W310" s="306" t="s">
        <v>1</v>
      </c>
      <c r="X310" s="286">
        <v>325</v>
      </c>
      <c r="Y310" s="285">
        <v>13.129999999999999</v>
      </c>
      <c r="Z310" s="285">
        <v>24</v>
      </c>
      <c r="AA310" s="285">
        <v>310</v>
      </c>
      <c r="AB310" s="285" t="s">
        <v>1</v>
      </c>
      <c r="AC310" s="286">
        <v>325</v>
      </c>
      <c r="AD310" s="285">
        <v>13.129999999999999</v>
      </c>
      <c r="AE310" s="285">
        <v>24</v>
      </c>
      <c r="AF310" s="285">
        <v>310</v>
      </c>
      <c r="AG310" s="285" t="s">
        <v>1</v>
      </c>
      <c r="AH310" s="286" t="s">
        <v>1</v>
      </c>
      <c r="AI310" s="295" t="s">
        <v>1</v>
      </c>
      <c r="AJ310" s="295" t="s">
        <v>1</v>
      </c>
      <c r="AK310" s="295" t="s">
        <v>1</v>
      </c>
      <c r="AL310" s="302" t="s">
        <v>1</v>
      </c>
      <c r="AM310" s="288" t="s">
        <v>1</v>
      </c>
      <c r="AN310" s="287" t="s">
        <v>1</v>
      </c>
      <c r="AO310" s="287" t="s">
        <v>1</v>
      </c>
      <c r="AP310" s="286" t="s">
        <v>1</v>
      </c>
      <c r="AQ310" s="285" t="s">
        <v>1</v>
      </c>
      <c r="AR310" s="289" t="s">
        <v>1</v>
      </c>
      <c r="AS310" s="289" t="s">
        <v>1</v>
      </c>
      <c r="AT310" s="290" t="s">
        <v>1</v>
      </c>
      <c r="AU310" s="287" t="s">
        <v>1</v>
      </c>
      <c r="AV310" s="287" t="s">
        <v>1</v>
      </c>
      <c r="AW310" s="291" t="s">
        <v>1</v>
      </c>
    </row>
    <row r="311" spans="1:49" ht="30.15" customHeight="1" x14ac:dyDescent="0.25">
      <c r="A311" s="213" t="s">
        <v>18</v>
      </c>
      <c r="B311" s="188" t="s">
        <v>1</v>
      </c>
      <c r="C311" s="212" t="s">
        <v>34</v>
      </c>
      <c r="D311" s="190" t="s">
        <v>3</v>
      </c>
      <c r="E311" s="190" t="s">
        <v>688</v>
      </c>
      <c r="F311" s="203"/>
      <c r="G311" s="190" t="s">
        <v>658</v>
      </c>
      <c r="H311" s="192" t="s">
        <v>409</v>
      </c>
      <c r="I311" s="193">
        <v>1509</v>
      </c>
      <c r="J311" s="193">
        <v>1539</v>
      </c>
      <c r="K311" s="193">
        <v>1539</v>
      </c>
      <c r="L311" s="193">
        <v>1625</v>
      </c>
      <c r="M311" s="194">
        <v>1625</v>
      </c>
      <c r="N311" s="284">
        <v>325</v>
      </c>
      <c r="O311" s="285">
        <v>12.709999999999999</v>
      </c>
      <c r="P311" s="285">
        <v>24</v>
      </c>
      <c r="Q311" s="306">
        <v>310</v>
      </c>
      <c r="R311" s="306" t="s">
        <v>1</v>
      </c>
      <c r="S311" s="286">
        <v>325</v>
      </c>
      <c r="T311" s="285">
        <v>12.709999999999999</v>
      </c>
      <c r="U311" s="285">
        <v>24</v>
      </c>
      <c r="V311" s="306">
        <v>310</v>
      </c>
      <c r="W311" s="306" t="s">
        <v>1</v>
      </c>
      <c r="X311" s="286">
        <v>325</v>
      </c>
      <c r="Y311" s="285">
        <v>13.129999999999999</v>
      </c>
      <c r="Z311" s="285">
        <v>24</v>
      </c>
      <c r="AA311" s="285">
        <v>310</v>
      </c>
      <c r="AB311" s="285" t="s">
        <v>1</v>
      </c>
      <c r="AC311" s="286">
        <v>325</v>
      </c>
      <c r="AD311" s="285">
        <v>13.129999999999999</v>
      </c>
      <c r="AE311" s="285">
        <v>24</v>
      </c>
      <c r="AF311" s="285">
        <v>310</v>
      </c>
      <c r="AG311" s="285" t="s">
        <v>1</v>
      </c>
      <c r="AH311" s="286" t="s">
        <v>1</v>
      </c>
      <c r="AI311" s="295" t="s">
        <v>1</v>
      </c>
      <c r="AJ311" s="295" t="s">
        <v>1</v>
      </c>
      <c r="AK311" s="295" t="s">
        <v>1</v>
      </c>
      <c r="AL311" s="302" t="s">
        <v>1</v>
      </c>
      <c r="AM311" s="288" t="s">
        <v>1</v>
      </c>
      <c r="AN311" s="287" t="s">
        <v>1</v>
      </c>
      <c r="AO311" s="287" t="s">
        <v>1</v>
      </c>
      <c r="AP311" s="286" t="s">
        <v>1</v>
      </c>
      <c r="AQ311" s="285" t="s">
        <v>1</v>
      </c>
      <c r="AR311" s="289" t="s">
        <v>1</v>
      </c>
      <c r="AS311" s="289" t="s">
        <v>1</v>
      </c>
      <c r="AT311" s="290" t="s">
        <v>1</v>
      </c>
      <c r="AU311" s="287" t="s">
        <v>1</v>
      </c>
      <c r="AV311" s="287" t="s">
        <v>1</v>
      </c>
      <c r="AW311" s="291" t="s">
        <v>1</v>
      </c>
    </row>
    <row r="312" spans="1:49" ht="30.15" customHeight="1" x14ac:dyDescent="0.25">
      <c r="A312" s="213" t="s">
        <v>18</v>
      </c>
      <c r="B312" s="188" t="s">
        <v>1</v>
      </c>
      <c r="C312" s="212" t="s">
        <v>34</v>
      </c>
      <c r="D312" s="190" t="s">
        <v>3</v>
      </c>
      <c r="E312" s="190" t="s">
        <v>681</v>
      </c>
      <c r="F312" s="203"/>
      <c r="G312" s="190" t="s">
        <v>662</v>
      </c>
      <c r="H312" s="192" t="s">
        <v>409</v>
      </c>
      <c r="I312" s="193">
        <v>1769</v>
      </c>
      <c r="J312" s="193">
        <v>1815</v>
      </c>
      <c r="K312" s="193">
        <v>1815</v>
      </c>
      <c r="L312" s="193">
        <v>1910</v>
      </c>
      <c r="M312" s="194">
        <v>1910</v>
      </c>
      <c r="N312" s="284">
        <v>382</v>
      </c>
      <c r="O312" s="285">
        <v>12.709999999999999</v>
      </c>
      <c r="P312" s="285">
        <v>24</v>
      </c>
      <c r="Q312" s="306">
        <v>360</v>
      </c>
      <c r="R312" s="306" t="s">
        <v>1</v>
      </c>
      <c r="S312" s="286">
        <v>382</v>
      </c>
      <c r="T312" s="285">
        <v>12.709999999999999</v>
      </c>
      <c r="U312" s="285">
        <v>24</v>
      </c>
      <c r="V312" s="306">
        <v>360</v>
      </c>
      <c r="W312" s="306" t="s">
        <v>1</v>
      </c>
      <c r="X312" s="286">
        <v>382</v>
      </c>
      <c r="Y312" s="285">
        <v>13.129999999999999</v>
      </c>
      <c r="Z312" s="285">
        <v>24</v>
      </c>
      <c r="AA312" s="285">
        <v>360</v>
      </c>
      <c r="AB312" s="285" t="s">
        <v>1</v>
      </c>
      <c r="AC312" s="286">
        <v>382</v>
      </c>
      <c r="AD312" s="285">
        <v>13.129999999999999</v>
      </c>
      <c r="AE312" s="285">
        <v>24</v>
      </c>
      <c r="AF312" s="285">
        <v>360</v>
      </c>
      <c r="AG312" s="285" t="s">
        <v>1</v>
      </c>
      <c r="AH312" s="286" t="s">
        <v>1</v>
      </c>
      <c r="AI312" s="295" t="s">
        <v>1</v>
      </c>
      <c r="AJ312" s="295" t="s">
        <v>1</v>
      </c>
      <c r="AK312" s="295" t="s">
        <v>1</v>
      </c>
      <c r="AL312" s="302" t="s">
        <v>1</v>
      </c>
      <c r="AM312" s="288" t="s">
        <v>1</v>
      </c>
      <c r="AN312" s="287" t="s">
        <v>1</v>
      </c>
      <c r="AO312" s="287" t="s">
        <v>1</v>
      </c>
      <c r="AP312" s="286" t="s">
        <v>1</v>
      </c>
      <c r="AQ312" s="285" t="s">
        <v>1</v>
      </c>
      <c r="AR312" s="289" t="s">
        <v>1</v>
      </c>
      <c r="AS312" s="289" t="s">
        <v>1</v>
      </c>
      <c r="AT312" s="290" t="s">
        <v>1</v>
      </c>
      <c r="AU312" s="287" t="s">
        <v>1</v>
      </c>
      <c r="AV312" s="287" t="s">
        <v>1</v>
      </c>
      <c r="AW312" s="291" t="s">
        <v>1</v>
      </c>
    </row>
    <row r="313" spans="1:49" ht="30.15" customHeight="1" x14ac:dyDescent="0.25">
      <c r="A313" s="213" t="s">
        <v>18</v>
      </c>
      <c r="B313" s="188" t="s">
        <v>1</v>
      </c>
      <c r="C313" s="212" t="s">
        <v>34</v>
      </c>
      <c r="D313" s="190" t="s">
        <v>3</v>
      </c>
      <c r="E313" s="190" t="s">
        <v>682</v>
      </c>
      <c r="F313" s="203"/>
      <c r="G313" s="190" t="s">
        <v>662</v>
      </c>
      <c r="H313" s="192" t="s">
        <v>409</v>
      </c>
      <c r="I313" s="193">
        <v>1769</v>
      </c>
      <c r="J313" s="193">
        <v>1815</v>
      </c>
      <c r="K313" s="193">
        <v>1815</v>
      </c>
      <c r="L313" s="193">
        <v>1910</v>
      </c>
      <c r="M313" s="194">
        <v>1910</v>
      </c>
      <c r="N313" s="284">
        <v>382</v>
      </c>
      <c r="O313" s="285">
        <v>12.709999999999999</v>
      </c>
      <c r="P313" s="285">
        <v>24</v>
      </c>
      <c r="Q313" s="306">
        <v>360</v>
      </c>
      <c r="R313" s="306" t="s">
        <v>1</v>
      </c>
      <c r="S313" s="286">
        <v>382</v>
      </c>
      <c r="T313" s="285">
        <v>12.709999999999999</v>
      </c>
      <c r="U313" s="285">
        <v>24</v>
      </c>
      <c r="V313" s="306">
        <v>360</v>
      </c>
      <c r="W313" s="306" t="s">
        <v>1</v>
      </c>
      <c r="X313" s="286">
        <v>382</v>
      </c>
      <c r="Y313" s="285">
        <v>13.129999999999999</v>
      </c>
      <c r="Z313" s="285">
        <v>24</v>
      </c>
      <c r="AA313" s="285">
        <v>360</v>
      </c>
      <c r="AB313" s="285" t="s">
        <v>1</v>
      </c>
      <c r="AC313" s="286">
        <v>382</v>
      </c>
      <c r="AD313" s="285">
        <v>13.129999999999999</v>
      </c>
      <c r="AE313" s="285">
        <v>24</v>
      </c>
      <c r="AF313" s="285">
        <v>360</v>
      </c>
      <c r="AG313" s="285" t="s">
        <v>1</v>
      </c>
      <c r="AH313" s="286" t="s">
        <v>1</v>
      </c>
      <c r="AI313" s="295" t="s">
        <v>1</v>
      </c>
      <c r="AJ313" s="295" t="s">
        <v>1</v>
      </c>
      <c r="AK313" s="295" t="s">
        <v>1</v>
      </c>
      <c r="AL313" s="302" t="s">
        <v>1</v>
      </c>
      <c r="AM313" s="288" t="s">
        <v>1</v>
      </c>
      <c r="AN313" s="287" t="s">
        <v>1</v>
      </c>
      <c r="AO313" s="287" t="s">
        <v>1</v>
      </c>
      <c r="AP313" s="286" t="s">
        <v>1</v>
      </c>
      <c r="AQ313" s="285" t="s">
        <v>1</v>
      </c>
      <c r="AR313" s="289" t="s">
        <v>1</v>
      </c>
      <c r="AS313" s="289" t="s">
        <v>1</v>
      </c>
      <c r="AT313" s="290" t="s">
        <v>1</v>
      </c>
      <c r="AU313" s="287" t="s">
        <v>1</v>
      </c>
      <c r="AV313" s="287" t="s">
        <v>1</v>
      </c>
      <c r="AW313" s="291" t="s">
        <v>1</v>
      </c>
    </row>
    <row r="314" spans="1:49" ht="30.15" customHeight="1" x14ac:dyDescent="0.25">
      <c r="A314" s="213" t="s">
        <v>18</v>
      </c>
      <c r="B314" s="188" t="s">
        <v>1</v>
      </c>
      <c r="C314" s="212" t="s">
        <v>34</v>
      </c>
      <c r="D314" s="190" t="s">
        <v>3</v>
      </c>
      <c r="E314" s="190" t="s">
        <v>683</v>
      </c>
      <c r="F314" s="203"/>
      <c r="G314" s="190" t="s">
        <v>662</v>
      </c>
      <c r="H314" s="192" t="s">
        <v>409</v>
      </c>
      <c r="I314" s="193">
        <v>1769</v>
      </c>
      <c r="J314" s="193">
        <v>1815</v>
      </c>
      <c r="K314" s="193">
        <v>1815</v>
      </c>
      <c r="L314" s="193">
        <v>1910</v>
      </c>
      <c r="M314" s="194">
        <v>1910</v>
      </c>
      <c r="N314" s="284">
        <v>382</v>
      </c>
      <c r="O314" s="285">
        <v>12.709999999999999</v>
      </c>
      <c r="P314" s="285">
        <v>24</v>
      </c>
      <c r="Q314" s="306">
        <v>360</v>
      </c>
      <c r="R314" s="306" t="s">
        <v>1</v>
      </c>
      <c r="S314" s="286">
        <v>382</v>
      </c>
      <c r="T314" s="285">
        <v>12.709999999999999</v>
      </c>
      <c r="U314" s="285">
        <v>24</v>
      </c>
      <c r="V314" s="306">
        <v>360</v>
      </c>
      <c r="W314" s="306" t="s">
        <v>1</v>
      </c>
      <c r="X314" s="286">
        <v>382</v>
      </c>
      <c r="Y314" s="285">
        <v>13.129999999999999</v>
      </c>
      <c r="Z314" s="285">
        <v>24</v>
      </c>
      <c r="AA314" s="285">
        <v>360</v>
      </c>
      <c r="AB314" s="285" t="s">
        <v>1</v>
      </c>
      <c r="AC314" s="286">
        <v>382</v>
      </c>
      <c r="AD314" s="285">
        <v>13.129999999999999</v>
      </c>
      <c r="AE314" s="285">
        <v>24</v>
      </c>
      <c r="AF314" s="285">
        <v>360</v>
      </c>
      <c r="AG314" s="285" t="s">
        <v>1</v>
      </c>
      <c r="AH314" s="286" t="s">
        <v>1</v>
      </c>
      <c r="AI314" s="295" t="s">
        <v>1</v>
      </c>
      <c r="AJ314" s="295" t="s">
        <v>1</v>
      </c>
      <c r="AK314" s="295" t="s">
        <v>1</v>
      </c>
      <c r="AL314" s="302" t="s">
        <v>1</v>
      </c>
      <c r="AM314" s="288" t="s">
        <v>1</v>
      </c>
      <c r="AN314" s="287" t="s">
        <v>1</v>
      </c>
      <c r="AO314" s="287" t="s">
        <v>1</v>
      </c>
      <c r="AP314" s="286" t="s">
        <v>1</v>
      </c>
      <c r="AQ314" s="285" t="s">
        <v>1</v>
      </c>
      <c r="AR314" s="289" t="s">
        <v>1</v>
      </c>
      <c r="AS314" s="289" t="s">
        <v>1</v>
      </c>
      <c r="AT314" s="290" t="s">
        <v>1</v>
      </c>
      <c r="AU314" s="287" t="s">
        <v>1</v>
      </c>
      <c r="AV314" s="287" t="s">
        <v>1</v>
      </c>
      <c r="AW314" s="291" t="s">
        <v>1</v>
      </c>
    </row>
    <row r="315" spans="1:49" ht="30.15" customHeight="1" x14ac:dyDescent="0.25">
      <c r="A315" s="213" t="s">
        <v>18</v>
      </c>
      <c r="B315" s="188" t="s">
        <v>1</v>
      </c>
      <c r="C315" s="212" t="s">
        <v>34</v>
      </c>
      <c r="D315" s="190" t="s">
        <v>3</v>
      </c>
      <c r="E315" s="190" t="s">
        <v>684</v>
      </c>
      <c r="F315" s="203"/>
      <c r="G315" s="190" t="s">
        <v>662</v>
      </c>
      <c r="H315" s="192" t="s">
        <v>409</v>
      </c>
      <c r="I315" s="193">
        <v>1769</v>
      </c>
      <c r="J315" s="193">
        <v>1815</v>
      </c>
      <c r="K315" s="193">
        <v>1815</v>
      </c>
      <c r="L315" s="193">
        <v>1910</v>
      </c>
      <c r="M315" s="194">
        <v>1910</v>
      </c>
      <c r="N315" s="284">
        <v>382</v>
      </c>
      <c r="O315" s="285">
        <v>12.709999999999999</v>
      </c>
      <c r="P315" s="285">
        <v>24</v>
      </c>
      <c r="Q315" s="306">
        <v>360</v>
      </c>
      <c r="R315" s="306" t="s">
        <v>1</v>
      </c>
      <c r="S315" s="286">
        <v>382</v>
      </c>
      <c r="T315" s="285">
        <v>12.709999999999999</v>
      </c>
      <c r="U315" s="285">
        <v>24</v>
      </c>
      <c r="V315" s="306">
        <v>360</v>
      </c>
      <c r="W315" s="306" t="s">
        <v>1</v>
      </c>
      <c r="X315" s="286">
        <v>382</v>
      </c>
      <c r="Y315" s="285">
        <v>13.129999999999999</v>
      </c>
      <c r="Z315" s="285">
        <v>24</v>
      </c>
      <c r="AA315" s="285">
        <v>360</v>
      </c>
      <c r="AB315" s="285" t="s">
        <v>1</v>
      </c>
      <c r="AC315" s="286">
        <v>382</v>
      </c>
      <c r="AD315" s="285">
        <v>13.129999999999999</v>
      </c>
      <c r="AE315" s="285">
        <v>24</v>
      </c>
      <c r="AF315" s="285">
        <v>360</v>
      </c>
      <c r="AG315" s="285" t="s">
        <v>1</v>
      </c>
      <c r="AH315" s="286" t="s">
        <v>1</v>
      </c>
      <c r="AI315" s="295" t="s">
        <v>1</v>
      </c>
      <c r="AJ315" s="295" t="s">
        <v>1</v>
      </c>
      <c r="AK315" s="295" t="s">
        <v>1</v>
      </c>
      <c r="AL315" s="302" t="s">
        <v>1</v>
      </c>
      <c r="AM315" s="288" t="s">
        <v>1</v>
      </c>
      <c r="AN315" s="287" t="s">
        <v>1</v>
      </c>
      <c r="AO315" s="287" t="s">
        <v>1</v>
      </c>
      <c r="AP315" s="286" t="s">
        <v>1</v>
      </c>
      <c r="AQ315" s="285" t="s">
        <v>1</v>
      </c>
      <c r="AR315" s="289" t="s">
        <v>1</v>
      </c>
      <c r="AS315" s="289" t="s">
        <v>1</v>
      </c>
      <c r="AT315" s="290" t="s">
        <v>1</v>
      </c>
      <c r="AU315" s="287" t="s">
        <v>1</v>
      </c>
      <c r="AV315" s="287" t="s">
        <v>1</v>
      </c>
      <c r="AW315" s="291" t="s">
        <v>1</v>
      </c>
    </row>
    <row r="316" spans="1:49" ht="30.15" customHeight="1" x14ac:dyDescent="0.25">
      <c r="A316" s="213" t="s">
        <v>18</v>
      </c>
      <c r="B316" s="188" t="s">
        <v>1</v>
      </c>
      <c r="C316" s="212" t="s">
        <v>34</v>
      </c>
      <c r="D316" s="190" t="s">
        <v>3</v>
      </c>
      <c r="E316" s="190" t="s">
        <v>675</v>
      </c>
      <c r="F316" s="203"/>
      <c r="G316" s="190" t="s">
        <v>654</v>
      </c>
      <c r="H316" s="192" t="s">
        <v>409</v>
      </c>
      <c r="I316" s="193">
        <v>809</v>
      </c>
      <c r="J316" s="193">
        <v>827</v>
      </c>
      <c r="K316" s="193">
        <v>827</v>
      </c>
      <c r="L316" s="193">
        <v>875</v>
      </c>
      <c r="M316" s="194">
        <v>875</v>
      </c>
      <c r="N316" s="284">
        <v>175</v>
      </c>
      <c r="O316" s="285" t="s">
        <v>1</v>
      </c>
      <c r="P316" s="285" t="s">
        <v>1</v>
      </c>
      <c r="Q316" s="306">
        <v>299</v>
      </c>
      <c r="R316" s="306" t="s">
        <v>1</v>
      </c>
      <c r="S316" s="286">
        <v>175</v>
      </c>
      <c r="T316" s="285" t="s">
        <v>1</v>
      </c>
      <c r="U316" s="285" t="s">
        <v>1</v>
      </c>
      <c r="V316" s="306">
        <v>299</v>
      </c>
      <c r="W316" s="306" t="s">
        <v>1</v>
      </c>
      <c r="X316" s="286">
        <v>175</v>
      </c>
      <c r="Y316" s="285">
        <v>10</v>
      </c>
      <c r="Z316" s="285">
        <v>24</v>
      </c>
      <c r="AA316" s="306">
        <v>299</v>
      </c>
      <c r="AB316" s="306" t="s">
        <v>1</v>
      </c>
      <c r="AC316" s="286">
        <v>175</v>
      </c>
      <c r="AD316" s="285">
        <v>10</v>
      </c>
      <c r="AE316" s="285">
        <v>24</v>
      </c>
      <c r="AF316" s="306">
        <v>299</v>
      </c>
      <c r="AG316" s="306" t="s">
        <v>1</v>
      </c>
      <c r="AH316" s="286" t="s">
        <v>1</v>
      </c>
      <c r="AI316" s="295" t="s">
        <v>1</v>
      </c>
      <c r="AJ316" s="295" t="s">
        <v>1</v>
      </c>
      <c r="AK316" s="295" t="s">
        <v>1</v>
      </c>
      <c r="AL316" s="302" t="s">
        <v>1</v>
      </c>
      <c r="AM316" s="288" t="s">
        <v>1</v>
      </c>
      <c r="AN316" s="287" t="s">
        <v>1</v>
      </c>
      <c r="AO316" s="287" t="s">
        <v>1</v>
      </c>
      <c r="AP316" s="286" t="s">
        <v>1</v>
      </c>
      <c r="AQ316" s="285" t="s">
        <v>1</v>
      </c>
      <c r="AR316" s="289" t="s">
        <v>1</v>
      </c>
      <c r="AS316" s="289" t="s">
        <v>1</v>
      </c>
      <c r="AT316" s="290" t="s">
        <v>1</v>
      </c>
      <c r="AU316" s="287" t="s">
        <v>1</v>
      </c>
      <c r="AV316" s="287" t="s">
        <v>1</v>
      </c>
      <c r="AW316" s="291" t="s">
        <v>1</v>
      </c>
    </row>
    <row r="317" spans="1:49" ht="30.15" customHeight="1" x14ac:dyDescent="0.25">
      <c r="A317" s="213" t="s">
        <v>18</v>
      </c>
      <c r="B317" s="188" t="s">
        <v>1</v>
      </c>
      <c r="C317" s="212" t="s">
        <v>34</v>
      </c>
      <c r="D317" s="190" t="s">
        <v>3</v>
      </c>
      <c r="E317" s="190" t="s">
        <v>676</v>
      </c>
      <c r="F317" s="203"/>
      <c r="G317" s="190" t="s">
        <v>654</v>
      </c>
      <c r="H317" s="192" t="s">
        <v>409</v>
      </c>
      <c r="I317" s="193">
        <v>809</v>
      </c>
      <c r="J317" s="193">
        <v>827</v>
      </c>
      <c r="K317" s="193">
        <v>827</v>
      </c>
      <c r="L317" s="193">
        <v>875</v>
      </c>
      <c r="M317" s="194">
        <v>875</v>
      </c>
      <c r="N317" s="284">
        <v>175</v>
      </c>
      <c r="O317" s="285" t="s">
        <v>1</v>
      </c>
      <c r="P317" s="285" t="s">
        <v>1</v>
      </c>
      <c r="Q317" s="306">
        <v>299</v>
      </c>
      <c r="R317" s="306" t="s">
        <v>1</v>
      </c>
      <c r="S317" s="286">
        <v>175</v>
      </c>
      <c r="T317" s="285" t="s">
        <v>1</v>
      </c>
      <c r="U317" s="285" t="s">
        <v>1</v>
      </c>
      <c r="V317" s="306">
        <v>299</v>
      </c>
      <c r="W317" s="306" t="s">
        <v>1</v>
      </c>
      <c r="X317" s="286">
        <v>175</v>
      </c>
      <c r="Y317" s="285">
        <v>10</v>
      </c>
      <c r="Z317" s="285">
        <v>24</v>
      </c>
      <c r="AA317" s="306">
        <v>299</v>
      </c>
      <c r="AB317" s="306" t="s">
        <v>1</v>
      </c>
      <c r="AC317" s="286">
        <v>175</v>
      </c>
      <c r="AD317" s="285">
        <v>10</v>
      </c>
      <c r="AE317" s="285">
        <v>24</v>
      </c>
      <c r="AF317" s="306">
        <v>299</v>
      </c>
      <c r="AG317" s="306" t="s">
        <v>1</v>
      </c>
      <c r="AH317" s="286" t="s">
        <v>1</v>
      </c>
      <c r="AI317" s="295" t="s">
        <v>1</v>
      </c>
      <c r="AJ317" s="295" t="s">
        <v>1</v>
      </c>
      <c r="AK317" s="295" t="s">
        <v>1</v>
      </c>
      <c r="AL317" s="302" t="s">
        <v>1</v>
      </c>
      <c r="AM317" s="288" t="s">
        <v>1</v>
      </c>
      <c r="AN317" s="287" t="s">
        <v>1</v>
      </c>
      <c r="AO317" s="287" t="s">
        <v>1</v>
      </c>
      <c r="AP317" s="286" t="s">
        <v>1</v>
      </c>
      <c r="AQ317" s="285" t="s">
        <v>1</v>
      </c>
      <c r="AR317" s="289" t="s">
        <v>1</v>
      </c>
      <c r="AS317" s="289" t="s">
        <v>1</v>
      </c>
      <c r="AT317" s="290" t="s">
        <v>1</v>
      </c>
      <c r="AU317" s="287" t="s">
        <v>1</v>
      </c>
      <c r="AV317" s="287" t="s">
        <v>1</v>
      </c>
      <c r="AW317" s="291" t="s">
        <v>1</v>
      </c>
    </row>
    <row r="318" spans="1:49" ht="30.15" customHeight="1" x14ac:dyDescent="0.25">
      <c r="A318" s="213" t="s">
        <v>18</v>
      </c>
      <c r="B318" s="188" t="s">
        <v>1</v>
      </c>
      <c r="C318" s="212" t="s">
        <v>34</v>
      </c>
      <c r="D318" s="190" t="s">
        <v>3</v>
      </c>
      <c r="E318" s="190" t="s">
        <v>677</v>
      </c>
      <c r="F318" s="203"/>
      <c r="G318" s="190" t="s">
        <v>654</v>
      </c>
      <c r="H318" s="192" t="s">
        <v>409</v>
      </c>
      <c r="I318" s="193">
        <v>809</v>
      </c>
      <c r="J318" s="193">
        <v>827</v>
      </c>
      <c r="K318" s="193">
        <v>827</v>
      </c>
      <c r="L318" s="193">
        <v>875</v>
      </c>
      <c r="M318" s="194">
        <v>875</v>
      </c>
      <c r="N318" s="284">
        <v>175</v>
      </c>
      <c r="O318" s="285" t="s">
        <v>1</v>
      </c>
      <c r="P318" s="285" t="s">
        <v>1</v>
      </c>
      <c r="Q318" s="306">
        <v>299</v>
      </c>
      <c r="R318" s="306" t="s">
        <v>1</v>
      </c>
      <c r="S318" s="286">
        <v>175</v>
      </c>
      <c r="T318" s="285" t="s">
        <v>1</v>
      </c>
      <c r="U318" s="285" t="s">
        <v>1</v>
      </c>
      <c r="V318" s="306">
        <v>299</v>
      </c>
      <c r="W318" s="306" t="s">
        <v>1</v>
      </c>
      <c r="X318" s="286">
        <v>175</v>
      </c>
      <c r="Y318" s="285">
        <v>10</v>
      </c>
      <c r="Z318" s="285">
        <v>24</v>
      </c>
      <c r="AA318" s="306">
        <v>299</v>
      </c>
      <c r="AB318" s="306" t="s">
        <v>1</v>
      </c>
      <c r="AC318" s="286">
        <v>175</v>
      </c>
      <c r="AD318" s="285">
        <v>10</v>
      </c>
      <c r="AE318" s="285">
        <v>24</v>
      </c>
      <c r="AF318" s="306">
        <v>299</v>
      </c>
      <c r="AG318" s="306" t="s">
        <v>1</v>
      </c>
      <c r="AH318" s="286" t="s">
        <v>1</v>
      </c>
      <c r="AI318" s="295" t="s">
        <v>1</v>
      </c>
      <c r="AJ318" s="295" t="s">
        <v>1</v>
      </c>
      <c r="AK318" s="295" t="s">
        <v>1</v>
      </c>
      <c r="AL318" s="302" t="s">
        <v>1</v>
      </c>
      <c r="AM318" s="288" t="s">
        <v>1</v>
      </c>
      <c r="AN318" s="287" t="s">
        <v>1</v>
      </c>
      <c r="AO318" s="287" t="s">
        <v>1</v>
      </c>
      <c r="AP318" s="286" t="s">
        <v>1</v>
      </c>
      <c r="AQ318" s="285" t="s">
        <v>1</v>
      </c>
      <c r="AR318" s="289" t="s">
        <v>1</v>
      </c>
      <c r="AS318" s="289" t="s">
        <v>1</v>
      </c>
      <c r="AT318" s="290" t="s">
        <v>1</v>
      </c>
      <c r="AU318" s="287" t="s">
        <v>1</v>
      </c>
      <c r="AV318" s="287" t="s">
        <v>1</v>
      </c>
      <c r="AW318" s="291" t="s">
        <v>1</v>
      </c>
    </row>
    <row r="319" spans="1:49" ht="30.15" customHeight="1" x14ac:dyDescent="0.25">
      <c r="A319" s="213" t="s">
        <v>18</v>
      </c>
      <c r="B319" s="188" t="s">
        <v>1</v>
      </c>
      <c r="C319" s="212" t="s">
        <v>34</v>
      </c>
      <c r="D319" s="190" t="s">
        <v>3</v>
      </c>
      <c r="E319" s="190" t="s">
        <v>678</v>
      </c>
      <c r="F319" s="203"/>
      <c r="G319" s="190" t="s">
        <v>654</v>
      </c>
      <c r="H319" s="192" t="s">
        <v>409</v>
      </c>
      <c r="I319" s="193">
        <v>809</v>
      </c>
      <c r="J319" s="193">
        <v>827</v>
      </c>
      <c r="K319" s="193">
        <v>827</v>
      </c>
      <c r="L319" s="193">
        <v>875</v>
      </c>
      <c r="M319" s="194">
        <v>875</v>
      </c>
      <c r="N319" s="284">
        <v>175</v>
      </c>
      <c r="O319" s="285" t="s">
        <v>1</v>
      </c>
      <c r="P319" s="285" t="s">
        <v>1</v>
      </c>
      <c r="Q319" s="306">
        <v>299</v>
      </c>
      <c r="R319" s="306" t="s">
        <v>1</v>
      </c>
      <c r="S319" s="286">
        <v>175</v>
      </c>
      <c r="T319" s="285" t="s">
        <v>1</v>
      </c>
      <c r="U319" s="285" t="s">
        <v>1</v>
      </c>
      <c r="V319" s="306">
        <v>299</v>
      </c>
      <c r="W319" s="306" t="s">
        <v>1</v>
      </c>
      <c r="X319" s="286">
        <v>175</v>
      </c>
      <c r="Y319" s="285">
        <v>10</v>
      </c>
      <c r="Z319" s="285">
        <v>24</v>
      </c>
      <c r="AA319" s="306">
        <v>299</v>
      </c>
      <c r="AB319" s="306" t="s">
        <v>1</v>
      </c>
      <c r="AC319" s="286">
        <v>175</v>
      </c>
      <c r="AD319" s="285">
        <v>10</v>
      </c>
      <c r="AE319" s="285">
        <v>24</v>
      </c>
      <c r="AF319" s="306">
        <v>299</v>
      </c>
      <c r="AG319" s="306" t="s">
        <v>1</v>
      </c>
      <c r="AH319" s="286" t="s">
        <v>1</v>
      </c>
      <c r="AI319" s="295" t="s">
        <v>1</v>
      </c>
      <c r="AJ319" s="295" t="s">
        <v>1</v>
      </c>
      <c r="AK319" s="295" t="s">
        <v>1</v>
      </c>
      <c r="AL319" s="302" t="s">
        <v>1</v>
      </c>
      <c r="AM319" s="288" t="s">
        <v>1</v>
      </c>
      <c r="AN319" s="287" t="s">
        <v>1</v>
      </c>
      <c r="AO319" s="287" t="s">
        <v>1</v>
      </c>
      <c r="AP319" s="286" t="s">
        <v>1</v>
      </c>
      <c r="AQ319" s="285" t="s">
        <v>1</v>
      </c>
      <c r="AR319" s="289" t="s">
        <v>1</v>
      </c>
      <c r="AS319" s="289" t="s">
        <v>1</v>
      </c>
      <c r="AT319" s="290" t="s">
        <v>1</v>
      </c>
      <c r="AU319" s="287" t="s">
        <v>1</v>
      </c>
      <c r="AV319" s="287" t="s">
        <v>1</v>
      </c>
      <c r="AW319" s="291" t="s">
        <v>1</v>
      </c>
    </row>
    <row r="320" spans="1:49" ht="30.15" customHeight="1" x14ac:dyDescent="0.25">
      <c r="A320" s="213" t="s">
        <v>18</v>
      </c>
      <c r="B320" s="188" t="s">
        <v>1</v>
      </c>
      <c r="C320" s="212" t="s">
        <v>34</v>
      </c>
      <c r="D320" s="190" t="s">
        <v>3</v>
      </c>
      <c r="E320" s="190" t="s">
        <v>679</v>
      </c>
      <c r="F320" s="203"/>
      <c r="G320" s="190" t="s">
        <v>654</v>
      </c>
      <c r="H320" s="192" t="s">
        <v>409</v>
      </c>
      <c r="I320" s="193">
        <v>809</v>
      </c>
      <c r="J320" s="193">
        <v>827</v>
      </c>
      <c r="K320" s="193">
        <v>827</v>
      </c>
      <c r="L320" s="193">
        <v>875</v>
      </c>
      <c r="M320" s="194">
        <v>875</v>
      </c>
      <c r="N320" s="284">
        <v>175</v>
      </c>
      <c r="O320" s="285" t="s">
        <v>1</v>
      </c>
      <c r="P320" s="285" t="s">
        <v>1</v>
      </c>
      <c r="Q320" s="306">
        <v>299</v>
      </c>
      <c r="R320" s="306" t="s">
        <v>1</v>
      </c>
      <c r="S320" s="286">
        <v>175</v>
      </c>
      <c r="T320" s="285" t="s">
        <v>1</v>
      </c>
      <c r="U320" s="285" t="s">
        <v>1</v>
      </c>
      <c r="V320" s="306">
        <v>299</v>
      </c>
      <c r="W320" s="306" t="s">
        <v>1</v>
      </c>
      <c r="X320" s="286">
        <v>175</v>
      </c>
      <c r="Y320" s="285">
        <v>10</v>
      </c>
      <c r="Z320" s="285">
        <v>24</v>
      </c>
      <c r="AA320" s="306">
        <v>299</v>
      </c>
      <c r="AB320" s="306" t="s">
        <v>1</v>
      </c>
      <c r="AC320" s="286">
        <v>175</v>
      </c>
      <c r="AD320" s="285">
        <v>10</v>
      </c>
      <c r="AE320" s="285">
        <v>24</v>
      </c>
      <c r="AF320" s="306">
        <v>299</v>
      </c>
      <c r="AG320" s="306" t="s">
        <v>1</v>
      </c>
      <c r="AH320" s="286" t="s">
        <v>1</v>
      </c>
      <c r="AI320" s="295" t="s">
        <v>1</v>
      </c>
      <c r="AJ320" s="295" t="s">
        <v>1</v>
      </c>
      <c r="AK320" s="295" t="s">
        <v>1</v>
      </c>
      <c r="AL320" s="302" t="s">
        <v>1</v>
      </c>
      <c r="AM320" s="288" t="s">
        <v>1</v>
      </c>
      <c r="AN320" s="287" t="s">
        <v>1</v>
      </c>
      <c r="AO320" s="287" t="s">
        <v>1</v>
      </c>
      <c r="AP320" s="286" t="s">
        <v>1</v>
      </c>
      <c r="AQ320" s="285" t="s">
        <v>1</v>
      </c>
      <c r="AR320" s="289" t="s">
        <v>1</v>
      </c>
      <c r="AS320" s="289" t="s">
        <v>1</v>
      </c>
      <c r="AT320" s="290" t="s">
        <v>1</v>
      </c>
      <c r="AU320" s="287" t="s">
        <v>1</v>
      </c>
      <c r="AV320" s="287" t="s">
        <v>1</v>
      </c>
      <c r="AW320" s="291" t="s">
        <v>1</v>
      </c>
    </row>
    <row r="321" spans="1:49" ht="30.15" customHeight="1" x14ac:dyDescent="0.25">
      <c r="A321" s="213" t="s">
        <v>18</v>
      </c>
      <c r="B321" s="188" t="s">
        <v>1</v>
      </c>
      <c r="C321" s="212" t="s">
        <v>34</v>
      </c>
      <c r="D321" s="190" t="s">
        <v>3</v>
      </c>
      <c r="E321" s="190" t="s">
        <v>680</v>
      </c>
      <c r="F321" s="203"/>
      <c r="G321" s="190" t="s">
        <v>654</v>
      </c>
      <c r="H321" s="192" t="s">
        <v>409</v>
      </c>
      <c r="I321" s="193">
        <v>809</v>
      </c>
      <c r="J321" s="193">
        <v>827</v>
      </c>
      <c r="K321" s="193">
        <v>827</v>
      </c>
      <c r="L321" s="193">
        <v>875</v>
      </c>
      <c r="M321" s="194">
        <v>875</v>
      </c>
      <c r="N321" s="284">
        <v>175</v>
      </c>
      <c r="O321" s="285" t="s">
        <v>1</v>
      </c>
      <c r="P321" s="285" t="s">
        <v>1</v>
      </c>
      <c r="Q321" s="306">
        <v>299</v>
      </c>
      <c r="R321" s="306" t="s">
        <v>1</v>
      </c>
      <c r="S321" s="286">
        <v>175</v>
      </c>
      <c r="T321" s="285" t="s">
        <v>1</v>
      </c>
      <c r="U321" s="285" t="s">
        <v>1</v>
      </c>
      <c r="V321" s="306">
        <v>299</v>
      </c>
      <c r="W321" s="306" t="s">
        <v>1</v>
      </c>
      <c r="X321" s="286">
        <v>175</v>
      </c>
      <c r="Y321" s="285">
        <v>10</v>
      </c>
      <c r="Z321" s="285">
        <v>24</v>
      </c>
      <c r="AA321" s="306">
        <v>299</v>
      </c>
      <c r="AB321" s="306" t="s">
        <v>1</v>
      </c>
      <c r="AC321" s="286">
        <v>175</v>
      </c>
      <c r="AD321" s="285">
        <v>10</v>
      </c>
      <c r="AE321" s="285">
        <v>24</v>
      </c>
      <c r="AF321" s="306">
        <v>299</v>
      </c>
      <c r="AG321" s="306" t="s">
        <v>1</v>
      </c>
      <c r="AH321" s="286" t="s">
        <v>1</v>
      </c>
      <c r="AI321" s="295" t="s">
        <v>1</v>
      </c>
      <c r="AJ321" s="295" t="s">
        <v>1</v>
      </c>
      <c r="AK321" s="295" t="s">
        <v>1</v>
      </c>
      <c r="AL321" s="302" t="s">
        <v>1</v>
      </c>
      <c r="AM321" s="288" t="s">
        <v>1</v>
      </c>
      <c r="AN321" s="287" t="s">
        <v>1</v>
      </c>
      <c r="AO321" s="287" t="s">
        <v>1</v>
      </c>
      <c r="AP321" s="286" t="s">
        <v>1</v>
      </c>
      <c r="AQ321" s="285" t="s">
        <v>1</v>
      </c>
      <c r="AR321" s="289" t="s">
        <v>1</v>
      </c>
      <c r="AS321" s="289" t="s">
        <v>1</v>
      </c>
      <c r="AT321" s="290" t="s">
        <v>1</v>
      </c>
      <c r="AU321" s="287" t="s">
        <v>1</v>
      </c>
      <c r="AV321" s="287" t="s">
        <v>1</v>
      </c>
      <c r="AW321" s="291" t="s">
        <v>1</v>
      </c>
    </row>
    <row r="322" spans="1:49" ht="30.15" customHeight="1" x14ac:dyDescent="0.25">
      <c r="A322" s="213" t="s">
        <v>18</v>
      </c>
      <c r="B322" s="188" t="s">
        <v>1</v>
      </c>
      <c r="C322" s="212" t="s">
        <v>34</v>
      </c>
      <c r="D322" s="190" t="s">
        <v>3</v>
      </c>
      <c r="E322" s="190" t="s">
        <v>669</v>
      </c>
      <c r="F322" s="203"/>
      <c r="G322" s="190" t="s">
        <v>655</v>
      </c>
      <c r="H322" s="192" t="s">
        <v>409</v>
      </c>
      <c r="I322" s="193">
        <v>875</v>
      </c>
      <c r="J322" s="193">
        <v>898</v>
      </c>
      <c r="K322" s="193">
        <v>898</v>
      </c>
      <c r="L322" s="193">
        <v>945</v>
      </c>
      <c r="M322" s="194">
        <v>945</v>
      </c>
      <c r="N322" s="284">
        <v>189</v>
      </c>
      <c r="O322" s="285" t="s">
        <v>1</v>
      </c>
      <c r="P322" s="285" t="s">
        <v>1</v>
      </c>
      <c r="Q322" s="306">
        <v>309</v>
      </c>
      <c r="R322" s="306" t="s">
        <v>1</v>
      </c>
      <c r="S322" s="286">
        <v>189</v>
      </c>
      <c r="T322" s="285" t="s">
        <v>1</v>
      </c>
      <c r="U322" s="285" t="s">
        <v>1</v>
      </c>
      <c r="V322" s="306">
        <v>309</v>
      </c>
      <c r="W322" s="306" t="s">
        <v>1</v>
      </c>
      <c r="X322" s="286">
        <v>189</v>
      </c>
      <c r="Y322" s="285">
        <v>10</v>
      </c>
      <c r="Z322" s="285">
        <v>24</v>
      </c>
      <c r="AA322" s="306">
        <v>309</v>
      </c>
      <c r="AB322" s="306" t="s">
        <v>1</v>
      </c>
      <c r="AC322" s="286">
        <v>189</v>
      </c>
      <c r="AD322" s="285">
        <v>10</v>
      </c>
      <c r="AE322" s="285">
        <v>24</v>
      </c>
      <c r="AF322" s="306">
        <v>309</v>
      </c>
      <c r="AG322" s="306" t="s">
        <v>1</v>
      </c>
      <c r="AH322" s="286" t="s">
        <v>1</v>
      </c>
      <c r="AI322" s="295" t="s">
        <v>1</v>
      </c>
      <c r="AJ322" s="295" t="s">
        <v>1</v>
      </c>
      <c r="AK322" s="295" t="s">
        <v>1</v>
      </c>
      <c r="AL322" s="302" t="s">
        <v>1</v>
      </c>
      <c r="AM322" s="288" t="s">
        <v>1</v>
      </c>
      <c r="AN322" s="287" t="s">
        <v>1</v>
      </c>
      <c r="AO322" s="287" t="s">
        <v>1</v>
      </c>
      <c r="AP322" s="286" t="s">
        <v>1</v>
      </c>
      <c r="AQ322" s="285" t="s">
        <v>1</v>
      </c>
      <c r="AR322" s="289" t="s">
        <v>1</v>
      </c>
      <c r="AS322" s="289" t="s">
        <v>1</v>
      </c>
      <c r="AT322" s="290" t="s">
        <v>1</v>
      </c>
      <c r="AU322" s="287" t="s">
        <v>1</v>
      </c>
      <c r="AV322" s="287" t="s">
        <v>1</v>
      </c>
      <c r="AW322" s="291" t="s">
        <v>1</v>
      </c>
    </row>
    <row r="323" spans="1:49" ht="30.15" customHeight="1" x14ac:dyDescent="0.25">
      <c r="A323" s="213" t="s">
        <v>18</v>
      </c>
      <c r="B323" s="188" t="s">
        <v>1</v>
      </c>
      <c r="C323" s="212" t="s">
        <v>34</v>
      </c>
      <c r="D323" s="190" t="s">
        <v>3</v>
      </c>
      <c r="E323" s="190" t="s">
        <v>670</v>
      </c>
      <c r="F323" s="203"/>
      <c r="G323" s="190" t="s">
        <v>655</v>
      </c>
      <c r="H323" s="192" t="s">
        <v>409</v>
      </c>
      <c r="I323" s="193">
        <v>875</v>
      </c>
      <c r="J323" s="193">
        <v>898</v>
      </c>
      <c r="K323" s="193">
        <v>898</v>
      </c>
      <c r="L323" s="193">
        <v>945</v>
      </c>
      <c r="M323" s="194">
        <v>945</v>
      </c>
      <c r="N323" s="284">
        <v>189</v>
      </c>
      <c r="O323" s="285" t="s">
        <v>1</v>
      </c>
      <c r="P323" s="285" t="s">
        <v>1</v>
      </c>
      <c r="Q323" s="306">
        <v>309</v>
      </c>
      <c r="R323" s="306" t="s">
        <v>1</v>
      </c>
      <c r="S323" s="286">
        <v>189</v>
      </c>
      <c r="T323" s="285" t="s">
        <v>1</v>
      </c>
      <c r="U323" s="285" t="s">
        <v>1</v>
      </c>
      <c r="V323" s="306">
        <v>309</v>
      </c>
      <c r="W323" s="306" t="s">
        <v>1</v>
      </c>
      <c r="X323" s="286">
        <v>189</v>
      </c>
      <c r="Y323" s="285">
        <v>10</v>
      </c>
      <c r="Z323" s="285">
        <v>24</v>
      </c>
      <c r="AA323" s="306">
        <v>309</v>
      </c>
      <c r="AB323" s="306" t="s">
        <v>1</v>
      </c>
      <c r="AC323" s="286">
        <v>189</v>
      </c>
      <c r="AD323" s="285">
        <v>10</v>
      </c>
      <c r="AE323" s="285">
        <v>24</v>
      </c>
      <c r="AF323" s="306">
        <v>309</v>
      </c>
      <c r="AG323" s="306" t="s">
        <v>1</v>
      </c>
      <c r="AH323" s="286" t="s">
        <v>1</v>
      </c>
      <c r="AI323" s="295" t="s">
        <v>1</v>
      </c>
      <c r="AJ323" s="295" t="s">
        <v>1</v>
      </c>
      <c r="AK323" s="295" t="s">
        <v>1</v>
      </c>
      <c r="AL323" s="302" t="s">
        <v>1</v>
      </c>
      <c r="AM323" s="288" t="s">
        <v>1</v>
      </c>
      <c r="AN323" s="287" t="s">
        <v>1</v>
      </c>
      <c r="AO323" s="287" t="s">
        <v>1</v>
      </c>
      <c r="AP323" s="286" t="s">
        <v>1</v>
      </c>
      <c r="AQ323" s="285" t="s">
        <v>1</v>
      </c>
      <c r="AR323" s="289" t="s">
        <v>1</v>
      </c>
      <c r="AS323" s="289" t="s">
        <v>1</v>
      </c>
      <c r="AT323" s="290" t="s">
        <v>1</v>
      </c>
      <c r="AU323" s="287" t="s">
        <v>1</v>
      </c>
      <c r="AV323" s="287" t="s">
        <v>1</v>
      </c>
      <c r="AW323" s="291" t="s">
        <v>1</v>
      </c>
    </row>
    <row r="324" spans="1:49" ht="30.15" customHeight="1" x14ac:dyDescent="0.25">
      <c r="A324" s="213" t="s">
        <v>18</v>
      </c>
      <c r="B324" s="188" t="s">
        <v>1</v>
      </c>
      <c r="C324" s="212" t="s">
        <v>34</v>
      </c>
      <c r="D324" s="190" t="s">
        <v>3</v>
      </c>
      <c r="E324" s="190" t="s">
        <v>671</v>
      </c>
      <c r="F324" s="203"/>
      <c r="G324" s="190" t="s">
        <v>655</v>
      </c>
      <c r="H324" s="192" t="s">
        <v>409</v>
      </c>
      <c r="I324" s="193">
        <v>875</v>
      </c>
      <c r="J324" s="193">
        <v>898</v>
      </c>
      <c r="K324" s="193">
        <v>898</v>
      </c>
      <c r="L324" s="193">
        <v>945</v>
      </c>
      <c r="M324" s="194">
        <v>945</v>
      </c>
      <c r="N324" s="284">
        <v>189</v>
      </c>
      <c r="O324" s="285" t="s">
        <v>1</v>
      </c>
      <c r="P324" s="285" t="s">
        <v>1</v>
      </c>
      <c r="Q324" s="306">
        <v>309</v>
      </c>
      <c r="R324" s="306" t="s">
        <v>1</v>
      </c>
      <c r="S324" s="286">
        <v>189</v>
      </c>
      <c r="T324" s="285" t="s">
        <v>1</v>
      </c>
      <c r="U324" s="285" t="s">
        <v>1</v>
      </c>
      <c r="V324" s="306">
        <v>309</v>
      </c>
      <c r="W324" s="306" t="s">
        <v>1</v>
      </c>
      <c r="X324" s="286">
        <v>189</v>
      </c>
      <c r="Y324" s="285">
        <v>10</v>
      </c>
      <c r="Z324" s="285">
        <v>24</v>
      </c>
      <c r="AA324" s="306">
        <v>309</v>
      </c>
      <c r="AB324" s="306" t="s">
        <v>1</v>
      </c>
      <c r="AC324" s="286">
        <v>189</v>
      </c>
      <c r="AD324" s="285">
        <v>10</v>
      </c>
      <c r="AE324" s="285">
        <v>24</v>
      </c>
      <c r="AF324" s="306">
        <v>309</v>
      </c>
      <c r="AG324" s="306" t="s">
        <v>1</v>
      </c>
      <c r="AH324" s="286" t="s">
        <v>1</v>
      </c>
      <c r="AI324" s="295" t="s">
        <v>1</v>
      </c>
      <c r="AJ324" s="295" t="s">
        <v>1</v>
      </c>
      <c r="AK324" s="295" t="s">
        <v>1</v>
      </c>
      <c r="AL324" s="302" t="s">
        <v>1</v>
      </c>
      <c r="AM324" s="288" t="s">
        <v>1</v>
      </c>
      <c r="AN324" s="287" t="s">
        <v>1</v>
      </c>
      <c r="AO324" s="287" t="s">
        <v>1</v>
      </c>
      <c r="AP324" s="286" t="s">
        <v>1</v>
      </c>
      <c r="AQ324" s="285" t="s">
        <v>1</v>
      </c>
      <c r="AR324" s="289" t="s">
        <v>1</v>
      </c>
      <c r="AS324" s="289" t="s">
        <v>1</v>
      </c>
      <c r="AT324" s="290" t="s">
        <v>1</v>
      </c>
      <c r="AU324" s="287" t="s">
        <v>1</v>
      </c>
      <c r="AV324" s="287" t="s">
        <v>1</v>
      </c>
      <c r="AW324" s="291" t="s">
        <v>1</v>
      </c>
    </row>
    <row r="325" spans="1:49" ht="30.15" customHeight="1" x14ac:dyDescent="0.25">
      <c r="A325" s="213" t="s">
        <v>18</v>
      </c>
      <c r="B325" s="188" t="s">
        <v>1</v>
      </c>
      <c r="C325" s="212" t="s">
        <v>34</v>
      </c>
      <c r="D325" s="190" t="s">
        <v>3</v>
      </c>
      <c r="E325" s="190" t="s">
        <v>672</v>
      </c>
      <c r="F325" s="203"/>
      <c r="G325" s="190" t="s">
        <v>655</v>
      </c>
      <c r="H325" s="192" t="s">
        <v>409</v>
      </c>
      <c r="I325" s="193">
        <v>875</v>
      </c>
      <c r="J325" s="193">
        <v>898</v>
      </c>
      <c r="K325" s="193">
        <v>898</v>
      </c>
      <c r="L325" s="193">
        <v>945</v>
      </c>
      <c r="M325" s="194">
        <v>945</v>
      </c>
      <c r="N325" s="284">
        <v>189</v>
      </c>
      <c r="O325" s="285" t="s">
        <v>1</v>
      </c>
      <c r="P325" s="285" t="s">
        <v>1</v>
      </c>
      <c r="Q325" s="306">
        <v>309</v>
      </c>
      <c r="R325" s="306" t="s">
        <v>1</v>
      </c>
      <c r="S325" s="286">
        <v>189</v>
      </c>
      <c r="T325" s="285" t="s">
        <v>1</v>
      </c>
      <c r="U325" s="285" t="s">
        <v>1</v>
      </c>
      <c r="V325" s="306">
        <v>309</v>
      </c>
      <c r="W325" s="306" t="s">
        <v>1</v>
      </c>
      <c r="X325" s="286">
        <v>189</v>
      </c>
      <c r="Y325" s="285">
        <v>10</v>
      </c>
      <c r="Z325" s="285">
        <v>24</v>
      </c>
      <c r="AA325" s="306">
        <v>309</v>
      </c>
      <c r="AB325" s="306" t="s">
        <v>1</v>
      </c>
      <c r="AC325" s="286">
        <v>189</v>
      </c>
      <c r="AD325" s="285">
        <v>10</v>
      </c>
      <c r="AE325" s="285">
        <v>24</v>
      </c>
      <c r="AF325" s="306">
        <v>309</v>
      </c>
      <c r="AG325" s="306" t="s">
        <v>1</v>
      </c>
      <c r="AH325" s="286" t="s">
        <v>1</v>
      </c>
      <c r="AI325" s="295" t="s">
        <v>1</v>
      </c>
      <c r="AJ325" s="295" t="s">
        <v>1</v>
      </c>
      <c r="AK325" s="295" t="s">
        <v>1</v>
      </c>
      <c r="AL325" s="302" t="s">
        <v>1</v>
      </c>
      <c r="AM325" s="288" t="s">
        <v>1</v>
      </c>
      <c r="AN325" s="287" t="s">
        <v>1</v>
      </c>
      <c r="AO325" s="287" t="s">
        <v>1</v>
      </c>
      <c r="AP325" s="286" t="s">
        <v>1</v>
      </c>
      <c r="AQ325" s="285" t="s">
        <v>1</v>
      </c>
      <c r="AR325" s="289" t="s">
        <v>1</v>
      </c>
      <c r="AS325" s="289" t="s">
        <v>1</v>
      </c>
      <c r="AT325" s="290" t="s">
        <v>1</v>
      </c>
      <c r="AU325" s="287" t="s">
        <v>1</v>
      </c>
      <c r="AV325" s="287" t="s">
        <v>1</v>
      </c>
      <c r="AW325" s="291" t="s">
        <v>1</v>
      </c>
    </row>
    <row r="326" spans="1:49" ht="30.15" customHeight="1" x14ac:dyDescent="0.25">
      <c r="A326" s="213" t="s">
        <v>18</v>
      </c>
      <c r="B326" s="188" t="s">
        <v>1</v>
      </c>
      <c r="C326" s="212" t="s">
        <v>34</v>
      </c>
      <c r="D326" s="190" t="s">
        <v>3</v>
      </c>
      <c r="E326" s="190" t="s">
        <v>673</v>
      </c>
      <c r="F326" s="203"/>
      <c r="G326" s="190" t="s">
        <v>655</v>
      </c>
      <c r="H326" s="192" t="s">
        <v>409</v>
      </c>
      <c r="I326" s="193">
        <v>875</v>
      </c>
      <c r="J326" s="193">
        <v>898</v>
      </c>
      <c r="K326" s="193">
        <v>898</v>
      </c>
      <c r="L326" s="193">
        <v>945</v>
      </c>
      <c r="M326" s="194">
        <v>945</v>
      </c>
      <c r="N326" s="284">
        <v>189</v>
      </c>
      <c r="O326" s="285" t="s">
        <v>1</v>
      </c>
      <c r="P326" s="285" t="s">
        <v>1</v>
      </c>
      <c r="Q326" s="306">
        <v>309</v>
      </c>
      <c r="R326" s="306" t="s">
        <v>1</v>
      </c>
      <c r="S326" s="286">
        <v>189</v>
      </c>
      <c r="T326" s="285" t="s">
        <v>1</v>
      </c>
      <c r="U326" s="285" t="s">
        <v>1</v>
      </c>
      <c r="V326" s="306">
        <v>309</v>
      </c>
      <c r="W326" s="306" t="s">
        <v>1</v>
      </c>
      <c r="X326" s="286">
        <v>189</v>
      </c>
      <c r="Y326" s="285">
        <v>10</v>
      </c>
      <c r="Z326" s="285">
        <v>24</v>
      </c>
      <c r="AA326" s="306">
        <v>309</v>
      </c>
      <c r="AB326" s="306" t="s">
        <v>1</v>
      </c>
      <c r="AC326" s="286">
        <v>189</v>
      </c>
      <c r="AD326" s="285">
        <v>10</v>
      </c>
      <c r="AE326" s="285">
        <v>24</v>
      </c>
      <c r="AF326" s="306">
        <v>309</v>
      </c>
      <c r="AG326" s="306" t="s">
        <v>1</v>
      </c>
      <c r="AH326" s="286" t="s">
        <v>1</v>
      </c>
      <c r="AI326" s="295" t="s">
        <v>1</v>
      </c>
      <c r="AJ326" s="295" t="s">
        <v>1</v>
      </c>
      <c r="AK326" s="295" t="s">
        <v>1</v>
      </c>
      <c r="AL326" s="302" t="s">
        <v>1</v>
      </c>
      <c r="AM326" s="288" t="s">
        <v>1</v>
      </c>
      <c r="AN326" s="287" t="s">
        <v>1</v>
      </c>
      <c r="AO326" s="287" t="s">
        <v>1</v>
      </c>
      <c r="AP326" s="286" t="s">
        <v>1</v>
      </c>
      <c r="AQ326" s="285" t="s">
        <v>1</v>
      </c>
      <c r="AR326" s="289" t="s">
        <v>1</v>
      </c>
      <c r="AS326" s="289" t="s">
        <v>1</v>
      </c>
      <c r="AT326" s="290" t="s">
        <v>1</v>
      </c>
      <c r="AU326" s="287" t="s">
        <v>1</v>
      </c>
      <c r="AV326" s="287" t="s">
        <v>1</v>
      </c>
      <c r="AW326" s="291" t="s">
        <v>1</v>
      </c>
    </row>
    <row r="327" spans="1:49" ht="30.15" customHeight="1" x14ac:dyDescent="0.25">
      <c r="A327" s="213" t="s">
        <v>18</v>
      </c>
      <c r="B327" s="188" t="s">
        <v>1</v>
      </c>
      <c r="C327" s="212" t="s">
        <v>34</v>
      </c>
      <c r="D327" s="190" t="s">
        <v>3</v>
      </c>
      <c r="E327" s="190" t="s">
        <v>674</v>
      </c>
      <c r="F327" s="203"/>
      <c r="G327" s="190" t="s">
        <v>655</v>
      </c>
      <c r="H327" s="192" t="s">
        <v>409</v>
      </c>
      <c r="I327" s="193">
        <v>875</v>
      </c>
      <c r="J327" s="193">
        <v>898</v>
      </c>
      <c r="K327" s="193">
        <v>898</v>
      </c>
      <c r="L327" s="193">
        <v>945</v>
      </c>
      <c r="M327" s="194">
        <v>945</v>
      </c>
      <c r="N327" s="284">
        <v>189</v>
      </c>
      <c r="O327" s="285" t="s">
        <v>1</v>
      </c>
      <c r="P327" s="285" t="s">
        <v>1</v>
      </c>
      <c r="Q327" s="306">
        <v>309</v>
      </c>
      <c r="R327" s="306" t="s">
        <v>1</v>
      </c>
      <c r="S327" s="286">
        <v>189</v>
      </c>
      <c r="T327" s="285" t="s">
        <v>1</v>
      </c>
      <c r="U327" s="285" t="s">
        <v>1</v>
      </c>
      <c r="V327" s="306">
        <v>309</v>
      </c>
      <c r="W327" s="306" t="s">
        <v>1</v>
      </c>
      <c r="X327" s="286">
        <v>189</v>
      </c>
      <c r="Y327" s="285">
        <v>10</v>
      </c>
      <c r="Z327" s="285">
        <v>24</v>
      </c>
      <c r="AA327" s="306">
        <v>309</v>
      </c>
      <c r="AB327" s="306" t="s">
        <v>1</v>
      </c>
      <c r="AC327" s="286">
        <v>189</v>
      </c>
      <c r="AD327" s="285">
        <v>10</v>
      </c>
      <c r="AE327" s="285">
        <v>24</v>
      </c>
      <c r="AF327" s="306">
        <v>309</v>
      </c>
      <c r="AG327" s="306" t="s">
        <v>1</v>
      </c>
      <c r="AH327" s="286" t="s">
        <v>1</v>
      </c>
      <c r="AI327" s="295" t="s">
        <v>1</v>
      </c>
      <c r="AJ327" s="295" t="s">
        <v>1</v>
      </c>
      <c r="AK327" s="295" t="s">
        <v>1</v>
      </c>
      <c r="AL327" s="302" t="s">
        <v>1</v>
      </c>
      <c r="AM327" s="288" t="s">
        <v>1</v>
      </c>
      <c r="AN327" s="287" t="s">
        <v>1</v>
      </c>
      <c r="AO327" s="287" t="s">
        <v>1</v>
      </c>
      <c r="AP327" s="286" t="s">
        <v>1</v>
      </c>
      <c r="AQ327" s="285" t="s">
        <v>1</v>
      </c>
      <c r="AR327" s="289" t="s">
        <v>1</v>
      </c>
      <c r="AS327" s="289" t="s">
        <v>1</v>
      </c>
      <c r="AT327" s="290" t="s">
        <v>1</v>
      </c>
      <c r="AU327" s="287" t="s">
        <v>1</v>
      </c>
      <c r="AV327" s="287" t="s">
        <v>1</v>
      </c>
      <c r="AW327" s="291" t="s">
        <v>1</v>
      </c>
    </row>
    <row r="328" spans="1:49" ht="30.15" customHeight="1" x14ac:dyDescent="0.25">
      <c r="A328" s="213" t="s">
        <v>18</v>
      </c>
      <c r="B328" s="188" t="s">
        <v>1</v>
      </c>
      <c r="C328" s="212" t="s">
        <v>34</v>
      </c>
      <c r="D328" s="190" t="s">
        <v>3</v>
      </c>
      <c r="E328" s="190" t="s">
        <v>663</v>
      </c>
      <c r="F328" s="203"/>
      <c r="G328" s="190" t="s">
        <v>656</v>
      </c>
      <c r="H328" s="192" t="s">
        <v>409</v>
      </c>
      <c r="I328" s="193">
        <v>1009</v>
      </c>
      <c r="J328" s="193">
        <v>1031</v>
      </c>
      <c r="K328" s="193">
        <v>1031</v>
      </c>
      <c r="L328" s="193">
        <v>1089</v>
      </c>
      <c r="M328" s="194">
        <v>1089</v>
      </c>
      <c r="N328" s="284">
        <v>217.8</v>
      </c>
      <c r="O328" s="285" t="s">
        <v>1</v>
      </c>
      <c r="P328" s="285" t="s">
        <v>1</v>
      </c>
      <c r="Q328" s="306">
        <v>321</v>
      </c>
      <c r="R328" s="306" t="s">
        <v>1</v>
      </c>
      <c r="S328" s="286">
        <v>217.8</v>
      </c>
      <c r="T328" s="285" t="s">
        <v>1</v>
      </c>
      <c r="U328" s="285" t="s">
        <v>1</v>
      </c>
      <c r="V328" s="306">
        <v>321</v>
      </c>
      <c r="W328" s="306" t="s">
        <v>1</v>
      </c>
      <c r="X328" s="286">
        <v>217.8</v>
      </c>
      <c r="Y328" s="285">
        <v>10</v>
      </c>
      <c r="Z328" s="285">
        <v>24</v>
      </c>
      <c r="AA328" s="306">
        <v>321</v>
      </c>
      <c r="AB328" s="306" t="s">
        <v>1</v>
      </c>
      <c r="AC328" s="286">
        <v>217.8</v>
      </c>
      <c r="AD328" s="285">
        <v>10</v>
      </c>
      <c r="AE328" s="285">
        <v>24</v>
      </c>
      <c r="AF328" s="306">
        <v>321</v>
      </c>
      <c r="AG328" s="306" t="s">
        <v>1</v>
      </c>
      <c r="AH328" s="286" t="s">
        <v>1</v>
      </c>
      <c r="AI328" s="295" t="s">
        <v>1</v>
      </c>
      <c r="AJ328" s="295" t="s">
        <v>1</v>
      </c>
      <c r="AK328" s="295" t="s">
        <v>1</v>
      </c>
      <c r="AL328" s="302" t="s">
        <v>1</v>
      </c>
      <c r="AM328" s="288" t="s">
        <v>1</v>
      </c>
      <c r="AN328" s="287" t="s">
        <v>1</v>
      </c>
      <c r="AO328" s="287" t="s">
        <v>1</v>
      </c>
      <c r="AP328" s="286" t="s">
        <v>1</v>
      </c>
      <c r="AQ328" s="285" t="s">
        <v>1</v>
      </c>
      <c r="AR328" s="289" t="s">
        <v>1</v>
      </c>
      <c r="AS328" s="289" t="s">
        <v>1</v>
      </c>
      <c r="AT328" s="290" t="s">
        <v>1</v>
      </c>
      <c r="AU328" s="287" t="s">
        <v>1</v>
      </c>
      <c r="AV328" s="287" t="s">
        <v>1</v>
      </c>
      <c r="AW328" s="291" t="s">
        <v>1</v>
      </c>
    </row>
    <row r="329" spans="1:49" ht="30.15" customHeight="1" x14ac:dyDescent="0.25">
      <c r="A329" s="213" t="s">
        <v>18</v>
      </c>
      <c r="B329" s="188" t="s">
        <v>1</v>
      </c>
      <c r="C329" s="212" t="s">
        <v>34</v>
      </c>
      <c r="D329" s="190" t="s">
        <v>3</v>
      </c>
      <c r="E329" s="190" t="s">
        <v>664</v>
      </c>
      <c r="F329" s="203"/>
      <c r="G329" s="190" t="s">
        <v>656</v>
      </c>
      <c r="H329" s="192" t="s">
        <v>409</v>
      </c>
      <c r="I329" s="193">
        <v>1009</v>
      </c>
      <c r="J329" s="193">
        <v>1031</v>
      </c>
      <c r="K329" s="193">
        <v>1031</v>
      </c>
      <c r="L329" s="193">
        <v>1089</v>
      </c>
      <c r="M329" s="194">
        <v>1089</v>
      </c>
      <c r="N329" s="284">
        <v>217.8</v>
      </c>
      <c r="O329" s="285" t="s">
        <v>1</v>
      </c>
      <c r="P329" s="285" t="s">
        <v>1</v>
      </c>
      <c r="Q329" s="306">
        <v>321</v>
      </c>
      <c r="R329" s="306" t="s">
        <v>1</v>
      </c>
      <c r="S329" s="286">
        <v>217.8</v>
      </c>
      <c r="T329" s="285" t="s">
        <v>1</v>
      </c>
      <c r="U329" s="285" t="s">
        <v>1</v>
      </c>
      <c r="V329" s="306">
        <v>321</v>
      </c>
      <c r="W329" s="306" t="s">
        <v>1</v>
      </c>
      <c r="X329" s="286">
        <v>217.8</v>
      </c>
      <c r="Y329" s="285">
        <v>10</v>
      </c>
      <c r="Z329" s="285">
        <v>24</v>
      </c>
      <c r="AA329" s="306">
        <v>321</v>
      </c>
      <c r="AB329" s="306" t="s">
        <v>1</v>
      </c>
      <c r="AC329" s="286">
        <v>217.8</v>
      </c>
      <c r="AD329" s="285">
        <v>10</v>
      </c>
      <c r="AE329" s="285">
        <v>24</v>
      </c>
      <c r="AF329" s="306">
        <v>321</v>
      </c>
      <c r="AG329" s="306" t="s">
        <v>1</v>
      </c>
      <c r="AH329" s="286" t="s">
        <v>1</v>
      </c>
      <c r="AI329" s="295" t="s">
        <v>1</v>
      </c>
      <c r="AJ329" s="295" t="s">
        <v>1</v>
      </c>
      <c r="AK329" s="295" t="s">
        <v>1</v>
      </c>
      <c r="AL329" s="302" t="s">
        <v>1</v>
      </c>
      <c r="AM329" s="288" t="s">
        <v>1</v>
      </c>
      <c r="AN329" s="287" t="s">
        <v>1</v>
      </c>
      <c r="AO329" s="287" t="s">
        <v>1</v>
      </c>
      <c r="AP329" s="286" t="s">
        <v>1</v>
      </c>
      <c r="AQ329" s="285" t="s">
        <v>1</v>
      </c>
      <c r="AR329" s="289" t="s">
        <v>1</v>
      </c>
      <c r="AS329" s="289" t="s">
        <v>1</v>
      </c>
      <c r="AT329" s="290" t="s">
        <v>1</v>
      </c>
      <c r="AU329" s="287" t="s">
        <v>1</v>
      </c>
      <c r="AV329" s="287" t="s">
        <v>1</v>
      </c>
      <c r="AW329" s="291" t="s">
        <v>1</v>
      </c>
    </row>
    <row r="330" spans="1:49" ht="30.15" customHeight="1" x14ac:dyDescent="0.25">
      <c r="A330" s="213" t="s">
        <v>18</v>
      </c>
      <c r="B330" s="188" t="s">
        <v>1</v>
      </c>
      <c r="C330" s="212" t="s">
        <v>34</v>
      </c>
      <c r="D330" s="190" t="s">
        <v>3</v>
      </c>
      <c r="E330" s="190" t="s">
        <v>665</v>
      </c>
      <c r="F330" s="203"/>
      <c r="G330" s="190" t="s">
        <v>656</v>
      </c>
      <c r="H330" s="192" t="s">
        <v>409</v>
      </c>
      <c r="I330" s="193">
        <v>1009</v>
      </c>
      <c r="J330" s="193">
        <v>1031</v>
      </c>
      <c r="K330" s="193">
        <v>1031</v>
      </c>
      <c r="L330" s="193">
        <v>1089</v>
      </c>
      <c r="M330" s="194">
        <v>1089</v>
      </c>
      <c r="N330" s="284">
        <v>217.8</v>
      </c>
      <c r="O330" s="285" t="s">
        <v>1</v>
      </c>
      <c r="P330" s="285" t="s">
        <v>1</v>
      </c>
      <c r="Q330" s="306">
        <v>321</v>
      </c>
      <c r="R330" s="306" t="s">
        <v>1</v>
      </c>
      <c r="S330" s="286">
        <v>217.8</v>
      </c>
      <c r="T330" s="285" t="s">
        <v>1</v>
      </c>
      <c r="U330" s="285" t="s">
        <v>1</v>
      </c>
      <c r="V330" s="306">
        <v>321</v>
      </c>
      <c r="W330" s="306" t="s">
        <v>1</v>
      </c>
      <c r="X330" s="286">
        <v>217.8</v>
      </c>
      <c r="Y330" s="285">
        <v>10</v>
      </c>
      <c r="Z330" s="285">
        <v>24</v>
      </c>
      <c r="AA330" s="306">
        <v>321</v>
      </c>
      <c r="AB330" s="306" t="s">
        <v>1</v>
      </c>
      <c r="AC330" s="286">
        <v>217.8</v>
      </c>
      <c r="AD330" s="285">
        <v>10</v>
      </c>
      <c r="AE330" s="285">
        <v>24</v>
      </c>
      <c r="AF330" s="306">
        <v>321</v>
      </c>
      <c r="AG330" s="306" t="s">
        <v>1</v>
      </c>
      <c r="AH330" s="286" t="s">
        <v>1</v>
      </c>
      <c r="AI330" s="295" t="s">
        <v>1</v>
      </c>
      <c r="AJ330" s="295" t="s">
        <v>1</v>
      </c>
      <c r="AK330" s="295" t="s">
        <v>1</v>
      </c>
      <c r="AL330" s="302" t="s">
        <v>1</v>
      </c>
      <c r="AM330" s="288" t="s">
        <v>1</v>
      </c>
      <c r="AN330" s="287" t="s">
        <v>1</v>
      </c>
      <c r="AO330" s="287" t="s">
        <v>1</v>
      </c>
      <c r="AP330" s="286" t="s">
        <v>1</v>
      </c>
      <c r="AQ330" s="285" t="s">
        <v>1</v>
      </c>
      <c r="AR330" s="289" t="s">
        <v>1</v>
      </c>
      <c r="AS330" s="289" t="s">
        <v>1</v>
      </c>
      <c r="AT330" s="290" t="s">
        <v>1</v>
      </c>
      <c r="AU330" s="287" t="s">
        <v>1</v>
      </c>
      <c r="AV330" s="287" t="s">
        <v>1</v>
      </c>
      <c r="AW330" s="291" t="s">
        <v>1</v>
      </c>
    </row>
    <row r="331" spans="1:49" ht="30.15" customHeight="1" x14ac:dyDescent="0.25">
      <c r="A331" s="213" t="s">
        <v>18</v>
      </c>
      <c r="B331" s="188" t="s">
        <v>1</v>
      </c>
      <c r="C331" s="212" t="s">
        <v>34</v>
      </c>
      <c r="D331" s="190" t="s">
        <v>3</v>
      </c>
      <c r="E331" s="190" t="s">
        <v>666</v>
      </c>
      <c r="F331" s="203"/>
      <c r="G331" s="190" t="s">
        <v>656</v>
      </c>
      <c r="H331" s="192" t="s">
        <v>409</v>
      </c>
      <c r="I331" s="193">
        <v>1009</v>
      </c>
      <c r="J331" s="193">
        <v>1031</v>
      </c>
      <c r="K331" s="193">
        <v>1031</v>
      </c>
      <c r="L331" s="193">
        <v>1089</v>
      </c>
      <c r="M331" s="194">
        <v>1089</v>
      </c>
      <c r="N331" s="284">
        <v>217.8</v>
      </c>
      <c r="O331" s="285" t="s">
        <v>1</v>
      </c>
      <c r="P331" s="285" t="s">
        <v>1</v>
      </c>
      <c r="Q331" s="306">
        <v>321</v>
      </c>
      <c r="R331" s="306" t="s">
        <v>1</v>
      </c>
      <c r="S331" s="286">
        <v>217.8</v>
      </c>
      <c r="T331" s="285" t="s">
        <v>1</v>
      </c>
      <c r="U331" s="285" t="s">
        <v>1</v>
      </c>
      <c r="V331" s="306">
        <v>321</v>
      </c>
      <c r="W331" s="306" t="s">
        <v>1</v>
      </c>
      <c r="X331" s="286">
        <v>217.8</v>
      </c>
      <c r="Y331" s="285">
        <v>10</v>
      </c>
      <c r="Z331" s="285">
        <v>24</v>
      </c>
      <c r="AA331" s="306">
        <v>321</v>
      </c>
      <c r="AB331" s="306" t="s">
        <v>1</v>
      </c>
      <c r="AC331" s="286">
        <v>217.8</v>
      </c>
      <c r="AD331" s="285">
        <v>10</v>
      </c>
      <c r="AE331" s="285">
        <v>24</v>
      </c>
      <c r="AF331" s="306">
        <v>321</v>
      </c>
      <c r="AG331" s="306" t="s">
        <v>1</v>
      </c>
      <c r="AH331" s="286" t="s">
        <v>1</v>
      </c>
      <c r="AI331" s="295" t="s">
        <v>1</v>
      </c>
      <c r="AJ331" s="295" t="s">
        <v>1</v>
      </c>
      <c r="AK331" s="295" t="s">
        <v>1</v>
      </c>
      <c r="AL331" s="302" t="s">
        <v>1</v>
      </c>
      <c r="AM331" s="288" t="s">
        <v>1</v>
      </c>
      <c r="AN331" s="287" t="s">
        <v>1</v>
      </c>
      <c r="AO331" s="287" t="s">
        <v>1</v>
      </c>
      <c r="AP331" s="286" t="s">
        <v>1</v>
      </c>
      <c r="AQ331" s="285" t="s">
        <v>1</v>
      </c>
      <c r="AR331" s="289" t="s">
        <v>1</v>
      </c>
      <c r="AS331" s="289" t="s">
        <v>1</v>
      </c>
      <c r="AT331" s="290" t="s">
        <v>1</v>
      </c>
      <c r="AU331" s="287" t="s">
        <v>1</v>
      </c>
      <c r="AV331" s="287" t="s">
        <v>1</v>
      </c>
      <c r="AW331" s="291" t="s">
        <v>1</v>
      </c>
    </row>
    <row r="332" spans="1:49" ht="30.15" customHeight="1" x14ac:dyDescent="0.25">
      <c r="A332" s="213" t="s">
        <v>18</v>
      </c>
      <c r="B332" s="188" t="s">
        <v>1</v>
      </c>
      <c r="C332" s="212" t="s">
        <v>34</v>
      </c>
      <c r="D332" s="190" t="s">
        <v>3</v>
      </c>
      <c r="E332" s="190" t="s">
        <v>667</v>
      </c>
      <c r="F332" s="203"/>
      <c r="G332" s="190" t="s">
        <v>656</v>
      </c>
      <c r="H332" s="192" t="s">
        <v>409</v>
      </c>
      <c r="I332" s="193">
        <v>1009</v>
      </c>
      <c r="J332" s="193">
        <v>1031</v>
      </c>
      <c r="K332" s="193">
        <v>1031</v>
      </c>
      <c r="L332" s="193">
        <v>1089</v>
      </c>
      <c r="M332" s="194">
        <v>1089</v>
      </c>
      <c r="N332" s="284">
        <v>217.8</v>
      </c>
      <c r="O332" s="285" t="s">
        <v>1</v>
      </c>
      <c r="P332" s="285" t="s">
        <v>1</v>
      </c>
      <c r="Q332" s="306">
        <v>321</v>
      </c>
      <c r="R332" s="306" t="s">
        <v>1</v>
      </c>
      <c r="S332" s="286">
        <v>217.8</v>
      </c>
      <c r="T332" s="285" t="s">
        <v>1</v>
      </c>
      <c r="U332" s="285" t="s">
        <v>1</v>
      </c>
      <c r="V332" s="306">
        <v>321</v>
      </c>
      <c r="W332" s="306" t="s">
        <v>1</v>
      </c>
      <c r="X332" s="286">
        <v>217.8</v>
      </c>
      <c r="Y332" s="285">
        <v>10</v>
      </c>
      <c r="Z332" s="285">
        <v>24</v>
      </c>
      <c r="AA332" s="306">
        <v>321</v>
      </c>
      <c r="AB332" s="306" t="s">
        <v>1</v>
      </c>
      <c r="AC332" s="286">
        <v>217.8</v>
      </c>
      <c r="AD332" s="285">
        <v>10</v>
      </c>
      <c r="AE332" s="285">
        <v>24</v>
      </c>
      <c r="AF332" s="306">
        <v>321</v>
      </c>
      <c r="AG332" s="306" t="s">
        <v>1</v>
      </c>
      <c r="AH332" s="286" t="s">
        <v>1</v>
      </c>
      <c r="AI332" s="295" t="s">
        <v>1</v>
      </c>
      <c r="AJ332" s="295" t="s">
        <v>1</v>
      </c>
      <c r="AK332" s="295" t="s">
        <v>1</v>
      </c>
      <c r="AL332" s="302" t="s">
        <v>1</v>
      </c>
      <c r="AM332" s="288" t="s">
        <v>1</v>
      </c>
      <c r="AN332" s="287" t="s">
        <v>1</v>
      </c>
      <c r="AO332" s="287" t="s">
        <v>1</v>
      </c>
      <c r="AP332" s="286" t="s">
        <v>1</v>
      </c>
      <c r="AQ332" s="285" t="s">
        <v>1</v>
      </c>
      <c r="AR332" s="289" t="s">
        <v>1</v>
      </c>
      <c r="AS332" s="289" t="s">
        <v>1</v>
      </c>
      <c r="AT332" s="290" t="s">
        <v>1</v>
      </c>
      <c r="AU332" s="287" t="s">
        <v>1</v>
      </c>
      <c r="AV332" s="287" t="s">
        <v>1</v>
      </c>
      <c r="AW332" s="291" t="s">
        <v>1</v>
      </c>
    </row>
    <row r="333" spans="1:49" ht="30.15" customHeight="1" x14ac:dyDescent="0.25">
      <c r="A333" s="213" t="s">
        <v>18</v>
      </c>
      <c r="B333" s="188" t="s">
        <v>1</v>
      </c>
      <c r="C333" s="212" t="s">
        <v>34</v>
      </c>
      <c r="D333" s="190" t="s">
        <v>3</v>
      </c>
      <c r="E333" s="190" t="s">
        <v>668</v>
      </c>
      <c r="F333" s="203"/>
      <c r="G333" s="190" t="s">
        <v>656</v>
      </c>
      <c r="H333" s="192" t="s">
        <v>409</v>
      </c>
      <c r="I333" s="193">
        <v>1009</v>
      </c>
      <c r="J333" s="193">
        <v>1031</v>
      </c>
      <c r="K333" s="193">
        <v>1031</v>
      </c>
      <c r="L333" s="193">
        <v>1089</v>
      </c>
      <c r="M333" s="194">
        <v>1089</v>
      </c>
      <c r="N333" s="284">
        <v>217.8</v>
      </c>
      <c r="O333" s="285" t="s">
        <v>1</v>
      </c>
      <c r="P333" s="285" t="s">
        <v>1</v>
      </c>
      <c r="Q333" s="306">
        <v>321</v>
      </c>
      <c r="R333" s="306" t="s">
        <v>1</v>
      </c>
      <c r="S333" s="286">
        <v>217.8</v>
      </c>
      <c r="T333" s="285" t="s">
        <v>1</v>
      </c>
      <c r="U333" s="285" t="s">
        <v>1</v>
      </c>
      <c r="V333" s="306">
        <v>321</v>
      </c>
      <c r="W333" s="306" t="s">
        <v>1</v>
      </c>
      <c r="X333" s="286">
        <v>217.8</v>
      </c>
      <c r="Y333" s="285">
        <v>10</v>
      </c>
      <c r="Z333" s="285">
        <v>24</v>
      </c>
      <c r="AA333" s="306">
        <v>321</v>
      </c>
      <c r="AB333" s="306" t="s">
        <v>1</v>
      </c>
      <c r="AC333" s="286">
        <v>217.8</v>
      </c>
      <c r="AD333" s="285">
        <v>10</v>
      </c>
      <c r="AE333" s="285">
        <v>24</v>
      </c>
      <c r="AF333" s="306">
        <v>321</v>
      </c>
      <c r="AG333" s="306" t="s">
        <v>1</v>
      </c>
      <c r="AH333" s="286" t="s">
        <v>1</v>
      </c>
      <c r="AI333" s="295" t="s">
        <v>1</v>
      </c>
      <c r="AJ333" s="295" t="s">
        <v>1</v>
      </c>
      <c r="AK333" s="295" t="s">
        <v>1</v>
      </c>
      <c r="AL333" s="302" t="s">
        <v>1</v>
      </c>
      <c r="AM333" s="288" t="s">
        <v>1</v>
      </c>
      <c r="AN333" s="287" t="s">
        <v>1</v>
      </c>
      <c r="AO333" s="287" t="s">
        <v>1</v>
      </c>
      <c r="AP333" s="286" t="s">
        <v>1</v>
      </c>
      <c r="AQ333" s="285" t="s">
        <v>1</v>
      </c>
      <c r="AR333" s="289" t="s">
        <v>1</v>
      </c>
      <c r="AS333" s="289" t="s">
        <v>1</v>
      </c>
      <c r="AT333" s="290" t="s">
        <v>1</v>
      </c>
      <c r="AU333" s="287" t="s">
        <v>1</v>
      </c>
      <c r="AV333" s="287" t="s">
        <v>1</v>
      </c>
      <c r="AW333" s="291" t="s">
        <v>1</v>
      </c>
    </row>
    <row r="334" spans="1:49" ht="30.15" customHeight="1" x14ac:dyDescent="0.25">
      <c r="A334" s="213" t="s">
        <v>18</v>
      </c>
      <c r="B334" s="188" t="s">
        <v>1</v>
      </c>
      <c r="C334" s="212" t="s">
        <v>34</v>
      </c>
      <c r="D334" s="190" t="s">
        <v>3</v>
      </c>
      <c r="E334" s="190" t="s">
        <v>1057</v>
      </c>
      <c r="F334" s="203"/>
      <c r="G334" s="190" t="s">
        <v>1075</v>
      </c>
      <c r="H334" s="192" t="s">
        <v>409</v>
      </c>
      <c r="I334" s="193">
        <v>809</v>
      </c>
      <c r="J334" s="193">
        <v>827</v>
      </c>
      <c r="K334" s="193">
        <v>827</v>
      </c>
      <c r="L334" s="193">
        <v>875</v>
      </c>
      <c r="M334" s="194">
        <v>875</v>
      </c>
      <c r="N334" s="284">
        <v>175</v>
      </c>
      <c r="O334" s="285" t="s">
        <v>1</v>
      </c>
      <c r="P334" s="285" t="s">
        <v>1</v>
      </c>
      <c r="Q334" s="306">
        <v>299</v>
      </c>
      <c r="R334" s="306" t="s">
        <v>1</v>
      </c>
      <c r="S334" s="286">
        <v>175</v>
      </c>
      <c r="T334" s="285" t="s">
        <v>1</v>
      </c>
      <c r="U334" s="285" t="s">
        <v>1</v>
      </c>
      <c r="V334" s="306">
        <v>299</v>
      </c>
      <c r="W334" s="306" t="s">
        <v>1</v>
      </c>
      <c r="X334" s="286">
        <v>175</v>
      </c>
      <c r="Y334" s="285">
        <v>10</v>
      </c>
      <c r="Z334" s="285">
        <v>24</v>
      </c>
      <c r="AA334" s="306">
        <v>299</v>
      </c>
      <c r="AB334" s="306" t="s">
        <v>1</v>
      </c>
      <c r="AC334" s="286">
        <v>175</v>
      </c>
      <c r="AD334" s="285">
        <v>10</v>
      </c>
      <c r="AE334" s="285">
        <v>24</v>
      </c>
      <c r="AF334" s="306">
        <v>299</v>
      </c>
      <c r="AG334" s="306" t="s">
        <v>1</v>
      </c>
      <c r="AH334" s="286" t="s">
        <v>1</v>
      </c>
      <c r="AI334" s="295" t="s">
        <v>1</v>
      </c>
      <c r="AJ334" s="295" t="s">
        <v>1</v>
      </c>
      <c r="AK334" s="295" t="s">
        <v>1</v>
      </c>
      <c r="AL334" s="302" t="s">
        <v>1</v>
      </c>
      <c r="AM334" s="288" t="s">
        <v>1</v>
      </c>
      <c r="AN334" s="287" t="s">
        <v>1</v>
      </c>
      <c r="AO334" s="287" t="s">
        <v>1</v>
      </c>
      <c r="AP334" s="286" t="s">
        <v>1</v>
      </c>
      <c r="AQ334" s="285" t="s">
        <v>1</v>
      </c>
      <c r="AR334" s="289" t="s">
        <v>1</v>
      </c>
      <c r="AS334" s="289" t="s">
        <v>1</v>
      </c>
      <c r="AT334" s="290" t="s">
        <v>1</v>
      </c>
      <c r="AU334" s="287" t="s">
        <v>1</v>
      </c>
      <c r="AV334" s="287" t="s">
        <v>1</v>
      </c>
      <c r="AW334" s="291" t="s">
        <v>1</v>
      </c>
    </row>
    <row r="335" spans="1:49" ht="30.15" customHeight="1" x14ac:dyDescent="0.25">
      <c r="A335" s="213" t="s">
        <v>18</v>
      </c>
      <c r="B335" s="188" t="s">
        <v>1</v>
      </c>
      <c r="C335" s="212" t="s">
        <v>34</v>
      </c>
      <c r="D335" s="190" t="s">
        <v>3</v>
      </c>
      <c r="E335" s="190" t="s">
        <v>1058</v>
      </c>
      <c r="F335" s="203"/>
      <c r="G335" s="190" t="s">
        <v>1075</v>
      </c>
      <c r="H335" s="192" t="s">
        <v>1237</v>
      </c>
      <c r="I335" s="193">
        <v>809</v>
      </c>
      <c r="J335" s="193">
        <v>827</v>
      </c>
      <c r="K335" s="193">
        <v>827</v>
      </c>
      <c r="L335" s="193">
        <v>875</v>
      </c>
      <c r="M335" s="194">
        <v>875</v>
      </c>
      <c r="N335" s="284">
        <v>175</v>
      </c>
      <c r="O335" s="285" t="s">
        <v>1</v>
      </c>
      <c r="P335" s="285" t="s">
        <v>1</v>
      </c>
      <c r="Q335" s="306">
        <v>299</v>
      </c>
      <c r="R335" s="306" t="s">
        <v>1</v>
      </c>
      <c r="S335" s="286">
        <v>175</v>
      </c>
      <c r="T335" s="285" t="s">
        <v>1</v>
      </c>
      <c r="U335" s="285" t="s">
        <v>1</v>
      </c>
      <c r="V335" s="306">
        <v>299</v>
      </c>
      <c r="W335" s="306" t="s">
        <v>1</v>
      </c>
      <c r="X335" s="286">
        <v>175</v>
      </c>
      <c r="Y335" s="285">
        <v>10</v>
      </c>
      <c r="Z335" s="285">
        <v>24</v>
      </c>
      <c r="AA335" s="306">
        <v>299</v>
      </c>
      <c r="AB335" s="306" t="s">
        <v>1</v>
      </c>
      <c r="AC335" s="286">
        <v>175</v>
      </c>
      <c r="AD335" s="285">
        <v>10</v>
      </c>
      <c r="AE335" s="285">
        <v>24</v>
      </c>
      <c r="AF335" s="306">
        <v>299</v>
      </c>
      <c r="AG335" s="306" t="s">
        <v>1</v>
      </c>
      <c r="AH335" s="286" t="s">
        <v>1</v>
      </c>
      <c r="AI335" s="295" t="s">
        <v>1</v>
      </c>
      <c r="AJ335" s="295" t="s">
        <v>1</v>
      </c>
      <c r="AK335" s="295" t="s">
        <v>1</v>
      </c>
      <c r="AL335" s="302" t="s">
        <v>1</v>
      </c>
      <c r="AM335" s="288" t="s">
        <v>1</v>
      </c>
      <c r="AN335" s="287" t="s">
        <v>1</v>
      </c>
      <c r="AO335" s="287" t="s">
        <v>1</v>
      </c>
      <c r="AP335" s="286" t="s">
        <v>1</v>
      </c>
      <c r="AQ335" s="285" t="s">
        <v>1</v>
      </c>
      <c r="AR335" s="289" t="s">
        <v>1</v>
      </c>
      <c r="AS335" s="289" t="s">
        <v>1</v>
      </c>
      <c r="AT335" s="290" t="s">
        <v>1</v>
      </c>
      <c r="AU335" s="287" t="s">
        <v>1</v>
      </c>
      <c r="AV335" s="287" t="s">
        <v>1</v>
      </c>
      <c r="AW335" s="291" t="s">
        <v>1</v>
      </c>
    </row>
    <row r="336" spans="1:49" ht="30.15" customHeight="1" x14ac:dyDescent="0.25">
      <c r="A336" s="213" t="s">
        <v>18</v>
      </c>
      <c r="B336" s="188" t="s">
        <v>1</v>
      </c>
      <c r="C336" s="212" t="s">
        <v>34</v>
      </c>
      <c r="D336" s="190" t="s">
        <v>3</v>
      </c>
      <c r="E336" s="190" t="s">
        <v>1059</v>
      </c>
      <c r="F336" s="203"/>
      <c r="G336" s="190" t="s">
        <v>1075</v>
      </c>
      <c r="H336" s="192" t="s">
        <v>414</v>
      </c>
      <c r="I336" s="193">
        <v>809</v>
      </c>
      <c r="J336" s="193">
        <v>827</v>
      </c>
      <c r="K336" s="193">
        <v>827</v>
      </c>
      <c r="L336" s="193">
        <v>875</v>
      </c>
      <c r="M336" s="194">
        <v>875</v>
      </c>
      <c r="N336" s="284">
        <v>175</v>
      </c>
      <c r="O336" s="285" t="s">
        <v>1</v>
      </c>
      <c r="P336" s="285" t="s">
        <v>1</v>
      </c>
      <c r="Q336" s="306">
        <v>299</v>
      </c>
      <c r="R336" s="306" t="s">
        <v>1</v>
      </c>
      <c r="S336" s="286">
        <v>175</v>
      </c>
      <c r="T336" s="285" t="s">
        <v>1</v>
      </c>
      <c r="U336" s="285" t="s">
        <v>1</v>
      </c>
      <c r="V336" s="306">
        <v>299</v>
      </c>
      <c r="W336" s="306" t="s">
        <v>1</v>
      </c>
      <c r="X336" s="286">
        <v>175</v>
      </c>
      <c r="Y336" s="285">
        <v>10</v>
      </c>
      <c r="Z336" s="285">
        <v>24</v>
      </c>
      <c r="AA336" s="306">
        <v>299</v>
      </c>
      <c r="AB336" s="306" t="s">
        <v>1</v>
      </c>
      <c r="AC336" s="286">
        <v>175</v>
      </c>
      <c r="AD336" s="285">
        <v>10</v>
      </c>
      <c r="AE336" s="285">
        <v>24</v>
      </c>
      <c r="AF336" s="306">
        <v>299</v>
      </c>
      <c r="AG336" s="306" t="s">
        <v>1</v>
      </c>
      <c r="AH336" s="286" t="s">
        <v>1</v>
      </c>
      <c r="AI336" s="295" t="s">
        <v>1</v>
      </c>
      <c r="AJ336" s="295" t="s">
        <v>1</v>
      </c>
      <c r="AK336" s="295" t="s">
        <v>1</v>
      </c>
      <c r="AL336" s="302" t="s">
        <v>1</v>
      </c>
      <c r="AM336" s="288" t="s">
        <v>1</v>
      </c>
      <c r="AN336" s="287" t="s">
        <v>1</v>
      </c>
      <c r="AO336" s="287" t="s">
        <v>1</v>
      </c>
      <c r="AP336" s="286" t="s">
        <v>1</v>
      </c>
      <c r="AQ336" s="285" t="s">
        <v>1</v>
      </c>
      <c r="AR336" s="289" t="s">
        <v>1</v>
      </c>
      <c r="AS336" s="289" t="s">
        <v>1</v>
      </c>
      <c r="AT336" s="290" t="s">
        <v>1</v>
      </c>
      <c r="AU336" s="287" t="s">
        <v>1</v>
      </c>
      <c r="AV336" s="287" t="s">
        <v>1</v>
      </c>
      <c r="AW336" s="291" t="s">
        <v>1</v>
      </c>
    </row>
    <row r="337" spans="1:49" ht="30.15" customHeight="1" x14ac:dyDescent="0.25">
      <c r="A337" s="213" t="s">
        <v>18</v>
      </c>
      <c r="B337" s="188" t="s">
        <v>1</v>
      </c>
      <c r="C337" s="212" t="s">
        <v>34</v>
      </c>
      <c r="D337" s="190" t="s">
        <v>3</v>
      </c>
      <c r="E337" s="190" t="s">
        <v>1060</v>
      </c>
      <c r="F337" s="203"/>
      <c r="G337" s="190" t="s">
        <v>1075</v>
      </c>
      <c r="H337" s="192" t="s">
        <v>414</v>
      </c>
      <c r="I337" s="193">
        <v>809</v>
      </c>
      <c r="J337" s="193">
        <v>827</v>
      </c>
      <c r="K337" s="193">
        <v>827</v>
      </c>
      <c r="L337" s="193">
        <v>875</v>
      </c>
      <c r="M337" s="194">
        <v>875</v>
      </c>
      <c r="N337" s="284">
        <v>175</v>
      </c>
      <c r="O337" s="285" t="s">
        <v>1</v>
      </c>
      <c r="P337" s="285" t="s">
        <v>1</v>
      </c>
      <c r="Q337" s="306">
        <v>299</v>
      </c>
      <c r="R337" s="306" t="s">
        <v>1</v>
      </c>
      <c r="S337" s="286">
        <v>175</v>
      </c>
      <c r="T337" s="285" t="s">
        <v>1</v>
      </c>
      <c r="U337" s="285" t="s">
        <v>1</v>
      </c>
      <c r="V337" s="306">
        <v>299</v>
      </c>
      <c r="W337" s="306" t="s">
        <v>1</v>
      </c>
      <c r="X337" s="286">
        <v>175</v>
      </c>
      <c r="Y337" s="285">
        <v>10</v>
      </c>
      <c r="Z337" s="285">
        <v>24</v>
      </c>
      <c r="AA337" s="306">
        <v>299</v>
      </c>
      <c r="AB337" s="306" t="s">
        <v>1</v>
      </c>
      <c r="AC337" s="286">
        <v>175</v>
      </c>
      <c r="AD337" s="285">
        <v>10</v>
      </c>
      <c r="AE337" s="285">
        <v>24</v>
      </c>
      <c r="AF337" s="306">
        <v>299</v>
      </c>
      <c r="AG337" s="306" t="s">
        <v>1</v>
      </c>
      <c r="AH337" s="286" t="s">
        <v>1</v>
      </c>
      <c r="AI337" s="295" t="s">
        <v>1</v>
      </c>
      <c r="AJ337" s="295" t="s">
        <v>1</v>
      </c>
      <c r="AK337" s="295" t="s">
        <v>1</v>
      </c>
      <c r="AL337" s="302" t="s">
        <v>1</v>
      </c>
      <c r="AM337" s="288" t="s">
        <v>1</v>
      </c>
      <c r="AN337" s="287" t="s">
        <v>1</v>
      </c>
      <c r="AO337" s="287" t="s">
        <v>1</v>
      </c>
      <c r="AP337" s="286" t="s">
        <v>1</v>
      </c>
      <c r="AQ337" s="285" t="s">
        <v>1</v>
      </c>
      <c r="AR337" s="289" t="s">
        <v>1</v>
      </c>
      <c r="AS337" s="289" t="s">
        <v>1</v>
      </c>
      <c r="AT337" s="290" t="s">
        <v>1</v>
      </c>
      <c r="AU337" s="287" t="s">
        <v>1</v>
      </c>
      <c r="AV337" s="287" t="s">
        <v>1</v>
      </c>
      <c r="AW337" s="291" t="s">
        <v>1</v>
      </c>
    </row>
    <row r="338" spans="1:49" ht="30.15" customHeight="1" x14ac:dyDescent="0.25">
      <c r="A338" s="213" t="s">
        <v>18</v>
      </c>
      <c r="B338" s="188" t="s">
        <v>1</v>
      </c>
      <c r="C338" s="212" t="s">
        <v>34</v>
      </c>
      <c r="D338" s="190" t="s">
        <v>3</v>
      </c>
      <c r="E338" s="190" t="s">
        <v>1061</v>
      </c>
      <c r="F338" s="203"/>
      <c r="G338" s="190" t="s">
        <v>1075</v>
      </c>
      <c r="H338" s="192" t="s">
        <v>414</v>
      </c>
      <c r="I338" s="193">
        <v>809</v>
      </c>
      <c r="J338" s="193">
        <v>827</v>
      </c>
      <c r="K338" s="193">
        <v>827</v>
      </c>
      <c r="L338" s="193">
        <v>875</v>
      </c>
      <c r="M338" s="194">
        <v>875</v>
      </c>
      <c r="N338" s="284">
        <v>175</v>
      </c>
      <c r="O338" s="285" t="s">
        <v>1</v>
      </c>
      <c r="P338" s="285" t="s">
        <v>1</v>
      </c>
      <c r="Q338" s="306">
        <v>299</v>
      </c>
      <c r="R338" s="306" t="s">
        <v>1</v>
      </c>
      <c r="S338" s="286">
        <v>175</v>
      </c>
      <c r="T338" s="285" t="s">
        <v>1</v>
      </c>
      <c r="U338" s="285" t="s">
        <v>1</v>
      </c>
      <c r="V338" s="306">
        <v>299</v>
      </c>
      <c r="W338" s="306" t="s">
        <v>1</v>
      </c>
      <c r="X338" s="286">
        <v>175</v>
      </c>
      <c r="Y338" s="285">
        <v>10</v>
      </c>
      <c r="Z338" s="285">
        <v>24</v>
      </c>
      <c r="AA338" s="306">
        <v>299</v>
      </c>
      <c r="AB338" s="306" t="s">
        <v>1</v>
      </c>
      <c r="AC338" s="286">
        <v>175</v>
      </c>
      <c r="AD338" s="285">
        <v>10</v>
      </c>
      <c r="AE338" s="285">
        <v>24</v>
      </c>
      <c r="AF338" s="306">
        <v>299</v>
      </c>
      <c r="AG338" s="306" t="s">
        <v>1</v>
      </c>
      <c r="AH338" s="286" t="s">
        <v>1</v>
      </c>
      <c r="AI338" s="295" t="s">
        <v>1</v>
      </c>
      <c r="AJ338" s="295" t="s">
        <v>1</v>
      </c>
      <c r="AK338" s="295" t="s">
        <v>1</v>
      </c>
      <c r="AL338" s="302" t="s">
        <v>1</v>
      </c>
      <c r="AM338" s="288" t="s">
        <v>1</v>
      </c>
      <c r="AN338" s="287" t="s">
        <v>1</v>
      </c>
      <c r="AO338" s="287" t="s">
        <v>1</v>
      </c>
      <c r="AP338" s="286" t="s">
        <v>1</v>
      </c>
      <c r="AQ338" s="285" t="s">
        <v>1</v>
      </c>
      <c r="AR338" s="289" t="s">
        <v>1</v>
      </c>
      <c r="AS338" s="289" t="s">
        <v>1</v>
      </c>
      <c r="AT338" s="290" t="s">
        <v>1</v>
      </c>
      <c r="AU338" s="287" t="s">
        <v>1</v>
      </c>
      <c r="AV338" s="287" t="s">
        <v>1</v>
      </c>
      <c r="AW338" s="291" t="s">
        <v>1</v>
      </c>
    </row>
    <row r="339" spans="1:49" ht="30.15" customHeight="1" x14ac:dyDescent="0.25">
      <c r="A339" s="213" t="s">
        <v>18</v>
      </c>
      <c r="B339" s="188" t="s">
        <v>1</v>
      </c>
      <c r="C339" s="212" t="s">
        <v>34</v>
      </c>
      <c r="D339" s="190" t="s">
        <v>3</v>
      </c>
      <c r="E339" s="190" t="s">
        <v>1062</v>
      </c>
      <c r="F339" s="203"/>
      <c r="G339" s="190" t="s">
        <v>1075</v>
      </c>
      <c r="H339" s="192" t="s">
        <v>414</v>
      </c>
      <c r="I339" s="193">
        <v>809</v>
      </c>
      <c r="J339" s="193">
        <v>827</v>
      </c>
      <c r="K339" s="193">
        <v>827</v>
      </c>
      <c r="L339" s="193">
        <v>875</v>
      </c>
      <c r="M339" s="194">
        <v>875</v>
      </c>
      <c r="N339" s="284">
        <v>175</v>
      </c>
      <c r="O339" s="285" t="s">
        <v>1</v>
      </c>
      <c r="P339" s="285" t="s">
        <v>1</v>
      </c>
      <c r="Q339" s="306">
        <v>299</v>
      </c>
      <c r="R339" s="306" t="s">
        <v>1</v>
      </c>
      <c r="S339" s="286">
        <v>175</v>
      </c>
      <c r="T339" s="285" t="s">
        <v>1</v>
      </c>
      <c r="U339" s="285" t="s">
        <v>1</v>
      </c>
      <c r="V339" s="306">
        <v>299</v>
      </c>
      <c r="W339" s="306" t="s">
        <v>1</v>
      </c>
      <c r="X339" s="286">
        <v>175</v>
      </c>
      <c r="Y339" s="285">
        <v>10</v>
      </c>
      <c r="Z339" s="285">
        <v>24</v>
      </c>
      <c r="AA339" s="306">
        <v>299</v>
      </c>
      <c r="AB339" s="306" t="s">
        <v>1</v>
      </c>
      <c r="AC339" s="286">
        <v>175</v>
      </c>
      <c r="AD339" s="285">
        <v>10</v>
      </c>
      <c r="AE339" s="285">
        <v>24</v>
      </c>
      <c r="AF339" s="306">
        <v>299</v>
      </c>
      <c r="AG339" s="306" t="s">
        <v>1</v>
      </c>
      <c r="AH339" s="286" t="s">
        <v>1</v>
      </c>
      <c r="AI339" s="295" t="s">
        <v>1</v>
      </c>
      <c r="AJ339" s="295" t="s">
        <v>1</v>
      </c>
      <c r="AK339" s="295" t="s">
        <v>1</v>
      </c>
      <c r="AL339" s="302" t="s">
        <v>1</v>
      </c>
      <c r="AM339" s="288" t="s">
        <v>1</v>
      </c>
      <c r="AN339" s="287" t="s">
        <v>1</v>
      </c>
      <c r="AO339" s="287" t="s">
        <v>1</v>
      </c>
      <c r="AP339" s="286" t="s">
        <v>1</v>
      </c>
      <c r="AQ339" s="285" t="s">
        <v>1</v>
      </c>
      <c r="AR339" s="289" t="s">
        <v>1</v>
      </c>
      <c r="AS339" s="289" t="s">
        <v>1</v>
      </c>
      <c r="AT339" s="290" t="s">
        <v>1</v>
      </c>
      <c r="AU339" s="287" t="s">
        <v>1</v>
      </c>
      <c r="AV339" s="287" t="s">
        <v>1</v>
      </c>
      <c r="AW339" s="291" t="s">
        <v>1</v>
      </c>
    </row>
    <row r="340" spans="1:49" ht="30.15" customHeight="1" x14ac:dyDescent="0.25">
      <c r="A340" s="213" t="s">
        <v>18</v>
      </c>
      <c r="B340" s="188" t="s">
        <v>1</v>
      </c>
      <c r="C340" s="212" t="s">
        <v>34</v>
      </c>
      <c r="D340" s="190" t="s">
        <v>3</v>
      </c>
      <c r="E340" s="190" t="s">
        <v>1063</v>
      </c>
      <c r="F340" s="203"/>
      <c r="G340" s="190" t="s">
        <v>1076</v>
      </c>
      <c r="H340" s="192" t="s">
        <v>409</v>
      </c>
      <c r="I340" s="193">
        <v>875</v>
      </c>
      <c r="J340" s="193">
        <v>898</v>
      </c>
      <c r="K340" s="193">
        <v>898</v>
      </c>
      <c r="L340" s="193">
        <v>945</v>
      </c>
      <c r="M340" s="194">
        <v>945</v>
      </c>
      <c r="N340" s="284">
        <v>189</v>
      </c>
      <c r="O340" s="285" t="s">
        <v>1</v>
      </c>
      <c r="P340" s="285" t="s">
        <v>1</v>
      </c>
      <c r="Q340" s="306">
        <v>309</v>
      </c>
      <c r="R340" s="306" t="s">
        <v>1</v>
      </c>
      <c r="S340" s="286">
        <v>189</v>
      </c>
      <c r="T340" s="285" t="s">
        <v>1</v>
      </c>
      <c r="U340" s="285" t="s">
        <v>1</v>
      </c>
      <c r="V340" s="306">
        <v>309</v>
      </c>
      <c r="W340" s="306" t="s">
        <v>1</v>
      </c>
      <c r="X340" s="286">
        <v>189</v>
      </c>
      <c r="Y340" s="285">
        <v>10</v>
      </c>
      <c r="Z340" s="285">
        <v>24</v>
      </c>
      <c r="AA340" s="306">
        <v>309</v>
      </c>
      <c r="AB340" s="306" t="s">
        <v>1</v>
      </c>
      <c r="AC340" s="286">
        <v>189</v>
      </c>
      <c r="AD340" s="285">
        <v>10</v>
      </c>
      <c r="AE340" s="285">
        <v>24</v>
      </c>
      <c r="AF340" s="306">
        <v>309</v>
      </c>
      <c r="AG340" s="306" t="s">
        <v>1</v>
      </c>
      <c r="AH340" s="286" t="s">
        <v>1</v>
      </c>
      <c r="AI340" s="295" t="s">
        <v>1</v>
      </c>
      <c r="AJ340" s="295" t="s">
        <v>1</v>
      </c>
      <c r="AK340" s="295" t="s">
        <v>1</v>
      </c>
      <c r="AL340" s="302" t="s">
        <v>1</v>
      </c>
      <c r="AM340" s="288" t="s">
        <v>1</v>
      </c>
      <c r="AN340" s="287" t="s">
        <v>1</v>
      </c>
      <c r="AO340" s="287" t="s">
        <v>1</v>
      </c>
      <c r="AP340" s="286" t="s">
        <v>1</v>
      </c>
      <c r="AQ340" s="285" t="s">
        <v>1</v>
      </c>
      <c r="AR340" s="289" t="s">
        <v>1</v>
      </c>
      <c r="AS340" s="289" t="s">
        <v>1</v>
      </c>
      <c r="AT340" s="290" t="s">
        <v>1</v>
      </c>
      <c r="AU340" s="287" t="s">
        <v>1</v>
      </c>
      <c r="AV340" s="287" t="s">
        <v>1</v>
      </c>
      <c r="AW340" s="291" t="s">
        <v>1</v>
      </c>
    </row>
    <row r="341" spans="1:49" ht="30.15" customHeight="1" x14ac:dyDescent="0.25">
      <c r="A341" s="213" t="s">
        <v>18</v>
      </c>
      <c r="B341" s="188" t="s">
        <v>1</v>
      </c>
      <c r="C341" s="212" t="s">
        <v>34</v>
      </c>
      <c r="D341" s="190" t="s">
        <v>3</v>
      </c>
      <c r="E341" s="190" t="s">
        <v>1064</v>
      </c>
      <c r="F341" s="203"/>
      <c r="G341" s="190" t="s">
        <v>1076</v>
      </c>
      <c r="H341" s="192" t="s">
        <v>414</v>
      </c>
      <c r="I341" s="193">
        <v>875</v>
      </c>
      <c r="J341" s="193">
        <v>898</v>
      </c>
      <c r="K341" s="193">
        <v>898</v>
      </c>
      <c r="L341" s="193">
        <v>945</v>
      </c>
      <c r="M341" s="194">
        <v>945</v>
      </c>
      <c r="N341" s="284">
        <v>189</v>
      </c>
      <c r="O341" s="285" t="s">
        <v>1</v>
      </c>
      <c r="P341" s="285" t="s">
        <v>1</v>
      </c>
      <c r="Q341" s="306">
        <v>309</v>
      </c>
      <c r="R341" s="306" t="s">
        <v>1</v>
      </c>
      <c r="S341" s="286">
        <v>189</v>
      </c>
      <c r="T341" s="285" t="s">
        <v>1</v>
      </c>
      <c r="U341" s="285" t="s">
        <v>1</v>
      </c>
      <c r="V341" s="306">
        <v>309</v>
      </c>
      <c r="W341" s="306" t="s">
        <v>1</v>
      </c>
      <c r="X341" s="286">
        <v>189</v>
      </c>
      <c r="Y341" s="285">
        <v>10</v>
      </c>
      <c r="Z341" s="285">
        <v>24</v>
      </c>
      <c r="AA341" s="306">
        <v>309</v>
      </c>
      <c r="AB341" s="306" t="s">
        <v>1</v>
      </c>
      <c r="AC341" s="286">
        <v>189</v>
      </c>
      <c r="AD341" s="285">
        <v>10</v>
      </c>
      <c r="AE341" s="285">
        <v>24</v>
      </c>
      <c r="AF341" s="306">
        <v>309</v>
      </c>
      <c r="AG341" s="306" t="s">
        <v>1</v>
      </c>
      <c r="AH341" s="286" t="s">
        <v>1</v>
      </c>
      <c r="AI341" s="295" t="s">
        <v>1</v>
      </c>
      <c r="AJ341" s="295" t="s">
        <v>1</v>
      </c>
      <c r="AK341" s="295" t="s">
        <v>1</v>
      </c>
      <c r="AL341" s="302" t="s">
        <v>1</v>
      </c>
      <c r="AM341" s="288" t="s">
        <v>1</v>
      </c>
      <c r="AN341" s="287" t="s">
        <v>1</v>
      </c>
      <c r="AO341" s="287" t="s">
        <v>1</v>
      </c>
      <c r="AP341" s="286" t="s">
        <v>1</v>
      </c>
      <c r="AQ341" s="285" t="s">
        <v>1</v>
      </c>
      <c r="AR341" s="289" t="s">
        <v>1</v>
      </c>
      <c r="AS341" s="289" t="s">
        <v>1</v>
      </c>
      <c r="AT341" s="290" t="s">
        <v>1</v>
      </c>
      <c r="AU341" s="287" t="s">
        <v>1</v>
      </c>
      <c r="AV341" s="287" t="s">
        <v>1</v>
      </c>
      <c r="AW341" s="291" t="s">
        <v>1</v>
      </c>
    </row>
    <row r="342" spans="1:49" ht="30.15" customHeight="1" x14ac:dyDescent="0.25">
      <c r="A342" s="213" t="s">
        <v>18</v>
      </c>
      <c r="B342" s="188" t="s">
        <v>1</v>
      </c>
      <c r="C342" s="212" t="s">
        <v>34</v>
      </c>
      <c r="D342" s="190" t="s">
        <v>3</v>
      </c>
      <c r="E342" s="190" t="s">
        <v>1065</v>
      </c>
      <c r="F342" s="203"/>
      <c r="G342" s="190" t="s">
        <v>1076</v>
      </c>
      <c r="H342" s="192" t="s">
        <v>414</v>
      </c>
      <c r="I342" s="193">
        <v>875</v>
      </c>
      <c r="J342" s="193">
        <v>898</v>
      </c>
      <c r="K342" s="193">
        <v>898</v>
      </c>
      <c r="L342" s="193">
        <v>945</v>
      </c>
      <c r="M342" s="194">
        <v>945</v>
      </c>
      <c r="N342" s="284">
        <v>189</v>
      </c>
      <c r="O342" s="285" t="s">
        <v>1</v>
      </c>
      <c r="P342" s="285" t="s">
        <v>1</v>
      </c>
      <c r="Q342" s="306">
        <v>309</v>
      </c>
      <c r="R342" s="306" t="s">
        <v>1</v>
      </c>
      <c r="S342" s="286">
        <v>189</v>
      </c>
      <c r="T342" s="285" t="s">
        <v>1</v>
      </c>
      <c r="U342" s="285" t="s">
        <v>1</v>
      </c>
      <c r="V342" s="306">
        <v>309</v>
      </c>
      <c r="W342" s="306" t="s">
        <v>1</v>
      </c>
      <c r="X342" s="286">
        <v>189</v>
      </c>
      <c r="Y342" s="285">
        <v>10</v>
      </c>
      <c r="Z342" s="285">
        <v>24</v>
      </c>
      <c r="AA342" s="306">
        <v>309</v>
      </c>
      <c r="AB342" s="306" t="s">
        <v>1</v>
      </c>
      <c r="AC342" s="286">
        <v>189</v>
      </c>
      <c r="AD342" s="285">
        <v>10</v>
      </c>
      <c r="AE342" s="285">
        <v>24</v>
      </c>
      <c r="AF342" s="306">
        <v>309</v>
      </c>
      <c r="AG342" s="306" t="s">
        <v>1</v>
      </c>
      <c r="AH342" s="286" t="s">
        <v>1</v>
      </c>
      <c r="AI342" s="295" t="s">
        <v>1</v>
      </c>
      <c r="AJ342" s="295" t="s">
        <v>1</v>
      </c>
      <c r="AK342" s="295" t="s">
        <v>1</v>
      </c>
      <c r="AL342" s="302" t="s">
        <v>1</v>
      </c>
      <c r="AM342" s="288" t="s">
        <v>1</v>
      </c>
      <c r="AN342" s="287" t="s">
        <v>1</v>
      </c>
      <c r="AO342" s="287" t="s">
        <v>1</v>
      </c>
      <c r="AP342" s="286" t="s">
        <v>1</v>
      </c>
      <c r="AQ342" s="285" t="s">
        <v>1</v>
      </c>
      <c r="AR342" s="289" t="s">
        <v>1</v>
      </c>
      <c r="AS342" s="289" t="s">
        <v>1</v>
      </c>
      <c r="AT342" s="290" t="s">
        <v>1</v>
      </c>
      <c r="AU342" s="287" t="s">
        <v>1</v>
      </c>
      <c r="AV342" s="287" t="s">
        <v>1</v>
      </c>
      <c r="AW342" s="291" t="s">
        <v>1</v>
      </c>
    </row>
    <row r="343" spans="1:49" ht="30.15" customHeight="1" x14ac:dyDescent="0.25">
      <c r="A343" s="213" t="s">
        <v>18</v>
      </c>
      <c r="B343" s="188" t="s">
        <v>1</v>
      </c>
      <c r="C343" s="212" t="s">
        <v>34</v>
      </c>
      <c r="D343" s="190" t="s">
        <v>3</v>
      </c>
      <c r="E343" s="190" t="s">
        <v>1066</v>
      </c>
      <c r="F343" s="203"/>
      <c r="G343" s="190" t="s">
        <v>1076</v>
      </c>
      <c r="H343" s="192" t="s">
        <v>414</v>
      </c>
      <c r="I343" s="193">
        <v>875</v>
      </c>
      <c r="J343" s="193">
        <v>898</v>
      </c>
      <c r="K343" s="193">
        <v>898</v>
      </c>
      <c r="L343" s="193">
        <v>945</v>
      </c>
      <c r="M343" s="194">
        <v>945</v>
      </c>
      <c r="N343" s="284">
        <v>189</v>
      </c>
      <c r="O343" s="285" t="s">
        <v>1</v>
      </c>
      <c r="P343" s="285" t="s">
        <v>1</v>
      </c>
      <c r="Q343" s="306">
        <v>309</v>
      </c>
      <c r="R343" s="306" t="s">
        <v>1</v>
      </c>
      <c r="S343" s="286">
        <v>189</v>
      </c>
      <c r="T343" s="285" t="s">
        <v>1</v>
      </c>
      <c r="U343" s="285" t="s">
        <v>1</v>
      </c>
      <c r="V343" s="306">
        <v>309</v>
      </c>
      <c r="W343" s="306" t="s">
        <v>1</v>
      </c>
      <c r="X343" s="286">
        <v>189</v>
      </c>
      <c r="Y343" s="285">
        <v>10</v>
      </c>
      <c r="Z343" s="285">
        <v>24</v>
      </c>
      <c r="AA343" s="306">
        <v>309</v>
      </c>
      <c r="AB343" s="306" t="s">
        <v>1</v>
      </c>
      <c r="AC343" s="286">
        <v>189</v>
      </c>
      <c r="AD343" s="285">
        <v>10</v>
      </c>
      <c r="AE343" s="285">
        <v>24</v>
      </c>
      <c r="AF343" s="306">
        <v>309</v>
      </c>
      <c r="AG343" s="306" t="s">
        <v>1</v>
      </c>
      <c r="AH343" s="286" t="s">
        <v>1</v>
      </c>
      <c r="AI343" s="295" t="s">
        <v>1</v>
      </c>
      <c r="AJ343" s="295" t="s">
        <v>1</v>
      </c>
      <c r="AK343" s="295" t="s">
        <v>1</v>
      </c>
      <c r="AL343" s="302" t="s">
        <v>1</v>
      </c>
      <c r="AM343" s="288" t="s">
        <v>1</v>
      </c>
      <c r="AN343" s="287" t="s">
        <v>1</v>
      </c>
      <c r="AO343" s="287" t="s">
        <v>1</v>
      </c>
      <c r="AP343" s="286" t="s">
        <v>1</v>
      </c>
      <c r="AQ343" s="285" t="s">
        <v>1</v>
      </c>
      <c r="AR343" s="289" t="s">
        <v>1</v>
      </c>
      <c r="AS343" s="289" t="s">
        <v>1</v>
      </c>
      <c r="AT343" s="290" t="s">
        <v>1</v>
      </c>
      <c r="AU343" s="287" t="s">
        <v>1</v>
      </c>
      <c r="AV343" s="287" t="s">
        <v>1</v>
      </c>
      <c r="AW343" s="291" t="s">
        <v>1</v>
      </c>
    </row>
    <row r="344" spans="1:49" ht="30.15" customHeight="1" x14ac:dyDescent="0.25">
      <c r="A344" s="213" t="s">
        <v>18</v>
      </c>
      <c r="B344" s="188" t="s">
        <v>1</v>
      </c>
      <c r="C344" s="212" t="s">
        <v>34</v>
      </c>
      <c r="D344" s="190" t="s">
        <v>3</v>
      </c>
      <c r="E344" s="190" t="s">
        <v>1067</v>
      </c>
      <c r="F344" s="203"/>
      <c r="G344" s="190" t="s">
        <v>1076</v>
      </c>
      <c r="H344" s="192" t="s">
        <v>414</v>
      </c>
      <c r="I344" s="193">
        <v>875</v>
      </c>
      <c r="J344" s="193">
        <v>898</v>
      </c>
      <c r="K344" s="193">
        <v>898</v>
      </c>
      <c r="L344" s="193">
        <v>945</v>
      </c>
      <c r="M344" s="194">
        <v>945</v>
      </c>
      <c r="N344" s="284">
        <v>189</v>
      </c>
      <c r="O344" s="285" t="s">
        <v>1</v>
      </c>
      <c r="P344" s="285" t="s">
        <v>1</v>
      </c>
      <c r="Q344" s="306">
        <v>309</v>
      </c>
      <c r="R344" s="306" t="s">
        <v>1</v>
      </c>
      <c r="S344" s="286">
        <v>189</v>
      </c>
      <c r="T344" s="285" t="s">
        <v>1</v>
      </c>
      <c r="U344" s="285" t="s">
        <v>1</v>
      </c>
      <c r="V344" s="306">
        <v>309</v>
      </c>
      <c r="W344" s="306" t="s">
        <v>1</v>
      </c>
      <c r="X344" s="286">
        <v>189</v>
      </c>
      <c r="Y344" s="285">
        <v>10</v>
      </c>
      <c r="Z344" s="285">
        <v>24</v>
      </c>
      <c r="AA344" s="306">
        <v>309</v>
      </c>
      <c r="AB344" s="306" t="s">
        <v>1</v>
      </c>
      <c r="AC344" s="286">
        <v>189</v>
      </c>
      <c r="AD344" s="285">
        <v>10</v>
      </c>
      <c r="AE344" s="285">
        <v>24</v>
      </c>
      <c r="AF344" s="306">
        <v>309</v>
      </c>
      <c r="AG344" s="306" t="s">
        <v>1</v>
      </c>
      <c r="AH344" s="286" t="s">
        <v>1</v>
      </c>
      <c r="AI344" s="295" t="s">
        <v>1</v>
      </c>
      <c r="AJ344" s="295" t="s">
        <v>1</v>
      </c>
      <c r="AK344" s="295" t="s">
        <v>1</v>
      </c>
      <c r="AL344" s="302" t="s">
        <v>1</v>
      </c>
      <c r="AM344" s="288" t="s">
        <v>1</v>
      </c>
      <c r="AN344" s="287" t="s">
        <v>1</v>
      </c>
      <c r="AO344" s="287" t="s">
        <v>1</v>
      </c>
      <c r="AP344" s="286" t="s">
        <v>1</v>
      </c>
      <c r="AQ344" s="285" t="s">
        <v>1</v>
      </c>
      <c r="AR344" s="289" t="s">
        <v>1</v>
      </c>
      <c r="AS344" s="289" t="s">
        <v>1</v>
      </c>
      <c r="AT344" s="290" t="s">
        <v>1</v>
      </c>
      <c r="AU344" s="287" t="s">
        <v>1</v>
      </c>
      <c r="AV344" s="287" t="s">
        <v>1</v>
      </c>
      <c r="AW344" s="291" t="s">
        <v>1</v>
      </c>
    </row>
    <row r="345" spans="1:49" ht="30.15" customHeight="1" x14ac:dyDescent="0.25">
      <c r="A345" s="213" t="s">
        <v>18</v>
      </c>
      <c r="B345" s="188" t="s">
        <v>1</v>
      </c>
      <c r="C345" s="212" t="s">
        <v>34</v>
      </c>
      <c r="D345" s="190" t="s">
        <v>3</v>
      </c>
      <c r="E345" s="190" t="s">
        <v>1068</v>
      </c>
      <c r="F345" s="203"/>
      <c r="G345" s="190" t="s">
        <v>1076</v>
      </c>
      <c r="H345" s="192" t="s">
        <v>414</v>
      </c>
      <c r="I345" s="193">
        <v>875</v>
      </c>
      <c r="J345" s="193">
        <v>898</v>
      </c>
      <c r="K345" s="193">
        <v>898</v>
      </c>
      <c r="L345" s="193">
        <v>945</v>
      </c>
      <c r="M345" s="194">
        <v>945</v>
      </c>
      <c r="N345" s="284">
        <v>189</v>
      </c>
      <c r="O345" s="285" t="s">
        <v>1</v>
      </c>
      <c r="P345" s="285" t="s">
        <v>1</v>
      </c>
      <c r="Q345" s="306">
        <v>309</v>
      </c>
      <c r="R345" s="306" t="s">
        <v>1</v>
      </c>
      <c r="S345" s="286">
        <v>189</v>
      </c>
      <c r="T345" s="285" t="s">
        <v>1</v>
      </c>
      <c r="U345" s="285" t="s">
        <v>1</v>
      </c>
      <c r="V345" s="306">
        <v>309</v>
      </c>
      <c r="W345" s="306" t="s">
        <v>1</v>
      </c>
      <c r="X345" s="286">
        <v>189</v>
      </c>
      <c r="Y345" s="285">
        <v>10</v>
      </c>
      <c r="Z345" s="285">
        <v>24</v>
      </c>
      <c r="AA345" s="306">
        <v>309</v>
      </c>
      <c r="AB345" s="306" t="s">
        <v>1</v>
      </c>
      <c r="AC345" s="286">
        <v>189</v>
      </c>
      <c r="AD345" s="285">
        <v>10</v>
      </c>
      <c r="AE345" s="285">
        <v>24</v>
      </c>
      <c r="AF345" s="306">
        <v>309</v>
      </c>
      <c r="AG345" s="306" t="s">
        <v>1</v>
      </c>
      <c r="AH345" s="286" t="s">
        <v>1</v>
      </c>
      <c r="AI345" s="295" t="s">
        <v>1</v>
      </c>
      <c r="AJ345" s="295" t="s">
        <v>1</v>
      </c>
      <c r="AK345" s="295" t="s">
        <v>1</v>
      </c>
      <c r="AL345" s="302" t="s">
        <v>1</v>
      </c>
      <c r="AM345" s="288" t="s">
        <v>1</v>
      </c>
      <c r="AN345" s="287" t="s">
        <v>1</v>
      </c>
      <c r="AO345" s="287" t="s">
        <v>1</v>
      </c>
      <c r="AP345" s="286" t="s">
        <v>1</v>
      </c>
      <c r="AQ345" s="285" t="s">
        <v>1</v>
      </c>
      <c r="AR345" s="289" t="s">
        <v>1</v>
      </c>
      <c r="AS345" s="289" t="s">
        <v>1</v>
      </c>
      <c r="AT345" s="290" t="s">
        <v>1</v>
      </c>
      <c r="AU345" s="287" t="s">
        <v>1</v>
      </c>
      <c r="AV345" s="287" t="s">
        <v>1</v>
      </c>
      <c r="AW345" s="291" t="s">
        <v>1</v>
      </c>
    </row>
    <row r="346" spans="1:49" ht="30.15" customHeight="1" x14ac:dyDescent="0.25">
      <c r="A346" s="213" t="s">
        <v>18</v>
      </c>
      <c r="B346" s="188" t="s">
        <v>1</v>
      </c>
      <c r="C346" s="212" t="s">
        <v>34</v>
      </c>
      <c r="D346" s="190" t="s">
        <v>3</v>
      </c>
      <c r="E346" s="190" t="s">
        <v>1069</v>
      </c>
      <c r="F346" s="203"/>
      <c r="G346" s="190" t="s">
        <v>1077</v>
      </c>
      <c r="H346" s="192" t="s">
        <v>414</v>
      </c>
      <c r="I346" s="193">
        <v>1009</v>
      </c>
      <c r="J346" s="193">
        <v>1031</v>
      </c>
      <c r="K346" s="193">
        <v>1031</v>
      </c>
      <c r="L346" s="193">
        <v>1089</v>
      </c>
      <c r="M346" s="194">
        <v>1089</v>
      </c>
      <c r="N346" s="284">
        <v>217.8</v>
      </c>
      <c r="O346" s="285" t="s">
        <v>1</v>
      </c>
      <c r="P346" s="285" t="s">
        <v>1</v>
      </c>
      <c r="Q346" s="306">
        <v>321</v>
      </c>
      <c r="R346" s="306" t="s">
        <v>1</v>
      </c>
      <c r="S346" s="286">
        <v>217.8</v>
      </c>
      <c r="T346" s="285" t="s">
        <v>1</v>
      </c>
      <c r="U346" s="285" t="s">
        <v>1</v>
      </c>
      <c r="V346" s="306">
        <v>321</v>
      </c>
      <c r="W346" s="306" t="s">
        <v>1</v>
      </c>
      <c r="X346" s="286">
        <v>217.8</v>
      </c>
      <c r="Y346" s="285">
        <v>10</v>
      </c>
      <c r="Z346" s="285">
        <v>24</v>
      </c>
      <c r="AA346" s="306">
        <v>321</v>
      </c>
      <c r="AB346" s="306" t="s">
        <v>1</v>
      </c>
      <c r="AC346" s="286">
        <v>217.8</v>
      </c>
      <c r="AD346" s="285">
        <v>10</v>
      </c>
      <c r="AE346" s="285">
        <v>24</v>
      </c>
      <c r="AF346" s="306">
        <v>321</v>
      </c>
      <c r="AG346" s="306" t="s">
        <v>1</v>
      </c>
      <c r="AH346" s="286" t="s">
        <v>1</v>
      </c>
      <c r="AI346" s="295" t="s">
        <v>1</v>
      </c>
      <c r="AJ346" s="295" t="s">
        <v>1</v>
      </c>
      <c r="AK346" s="295" t="s">
        <v>1</v>
      </c>
      <c r="AL346" s="302" t="s">
        <v>1</v>
      </c>
      <c r="AM346" s="288" t="s">
        <v>1</v>
      </c>
      <c r="AN346" s="287" t="s">
        <v>1</v>
      </c>
      <c r="AO346" s="287" t="s">
        <v>1</v>
      </c>
      <c r="AP346" s="286" t="s">
        <v>1</v>
      </c>
      <c r="AQ346" s="285" t="s">
        <v>1</v>
      </c>
      <c r="AR346" s="289" t="s">
        <v>1</v>
      </c>
      <c r="AS346" s="289" t="s">
        <v>1</v>
      </c>
      <c r="AT346" s="290" t="s">
        <v>1</v>
      </c>
      <c r="AU346" s="287" t="s">
        <v>1</v>
      </c>
      <c r="AV346" s="287" t="s">
        <v>1</v>
      </c>
      <c r="AW346" s="291" t="s">
        <v>1</v>
      </c>
    </row>
    <row r="347" spans="1:49" ht="30.15" customHeight="1" x14ac:dyDescent="0.25">
      <c r="A347" s="213" t="s">
        <v>18</v>
      </c>
      <c r="B347" s="188" t="s">
        <v>1</v>
      </c>
      <c r="C347" s="212" t="s">
        <v>34</v>
      </c>
      <c r="D347" s="190" t="s">
        <v>3</v>
      </c>
      <c r="E347" s="190" t="s">
        <v>1070</v>
      </c>
      <c r="F347" s="203"/>
      <c r="G347" s="190" t="s">
        <v>1077</v>
      </c>
      <c r="H347" s="192" t="s">
        <v>414</v>
      </c>
      <c r="I347" s="193">
        <v>1009</v>
      </c>
      <c r="J347" s="193">
        <v>1031</v>
      </c>
      <c r="K347" s="193">
        <v>1031</v>
      </c>
      <c r="L347" s="193">
        <v>1089</v>
      </c>
      <c r="M347" s="194">
        <v>1089</v>
      </c>
      <c r="N347" s="284">
        <v>217.8</v>
      </c>
      <c r="O347" s="285" t="s">
        <v>1</v>
      </c>
      <c r="P347" s="285" t="s">
        <v>1</v>
      </c>
      <c r="Q347" s="306">
        <v>321</v>
      </c>
      <c r="R347" s="306" t="s">
        <v>1</v>
      </c>
      <c r="S347" s="286">
        <v>217.8</v>
      </c>
      <c r="T347" s="285" t="s">
        <v>1</v>
      </c>
      <c r="U347" s="285" t="s">
        <v>1</v>
      </c>
      <c r="V347" s="306">
        <v>321</v>
      </c>
      <c r="W347" s="306" t="s">
        <v>1</v>
      </c>
      <c r="X347" s="286">
        <v>217.8</v>
      </c>
      <c r="Y347" s="285">
        <v>10</v>
      </c>
      <c r="Z347" s="285">
        <v>24</v>
      </c>
      <c r="AA347" s="306">
        <v>321</v>
      </c>
      <c r="AB347" s="306" t="s">
        <v>1</v>
      </c>
      <c r="AC347" s="286">
        <v>217.8</v>
      </c>
      <c r="AD347" s="285">
        <v>10</v>
      </c>
      <c r="AE347" s="285">
        <v>24</v>
      </c>
      <c r="AF347" s="306">
        <v>321</v>
      </c>
      <c r="AG347" s="306" t="s">
        <v>1</v>
      </c>
      <c r="AH347" s="286" t="s">
        <v>1</v>
      </c>
      <c r="AI347" s="295" t="s">
        <v>1</v>
      </c>
      <c r="AJ347" s="295" t="s">
        <v>1</v>
      </c>
      <c r="AK347" s="295" t="s">
        <v>1</v>
      </c>
      <c r="AL347" s="302" t="s">
        <v>1</v>
      </c>
      <c r="AM347" s="288" t="s">
        <v>1</v>
      </c>
      <c r="AN347" s="287" t="s">
        <v>1</v>
      </c>
      <c r="AO347" s="287" t="s">
        <v>1</v>
      </c>
      <c r="AP347" s="286" t="s">
        <v>1</v>
      </c>
      <c r="AQ347" s="285" t="s">
        <v>1</v>
      </c>
      <c r="AR347" s="289" t="s">
        <v>1</v>
      </c>
      <c r="AS347" s="289" t="s">
        <v>1</v>
      </c>
      <c r="AT347" s="290" t="s">
        <v>1</v>
      </c>
      <c r="AU347" s="287" t="s">
        <v>1</v>
      </c>
      <c r="AV347" s="287" t="s">
        <v>1</v>
      </c>
      <c r="AW347" s="291" t="s">
        <v>1</v>
      </c>
    </row>
    <row r="348" spans="1:49" ht="30.15" customHeight="1" x14ac:dyDescent="0.25">
      <c r="A348" s="213" t="s">
        <v>18</v>
      </c>
      <c r="B348" s="188" t="s">
        <v>1</v>
      </c>
      <c r="C348" s="212" t="s">
        <v>34</v>
      </c>
      <c r="D348" s="190" t="s">
        <v>3</v>
      </c>
      <c r="E348" s="190" t="s">
        <v>1071</v>
      </c>
      <c r="F348" s="203"/>
      <c r="G348" s="190" t="s">
        <v>1077</v>
      </c>
      <c r="H348" s="192" t="s">
        <v>414</v>
      </c>
      <c r="I348" s="193">
        <v>1009</v>
      </c>
      <c r="J348" s="193">
        <v>1031</v>
      </c>
      <c r="K348" s="193">
        <v>1031</v>
      </c>
      <c r="L348" s="193">
        <v>1089</v>
      </c>
      <c r="M348" s="194">
        <v>1089</v>
      </c>
      <c r="N348" s="284">
        <v>217.8</v>
      </c>
      <c r="O348" s="285" t="s">
        <v>1</v>
      </c>
      <c r="P348" s="285" t="s">
        <v>1</v>
      </c>
      <c r="Q348" s="306">
        <v>321</v>
      </c>
      <c r="R348" s="306" t="s">
        <v>1</v>
      </c>
      <c r="S348" s="286">
        <v>217.8</v>
      </c>
      <c r="T348" s="285" t="s">
        <v>1</v>
      </c>
      <c r="U348" s="285" t="s">
        <v>1</v>
      </c>
      <c r="V348" s="306">
        <v>321</v>
      </c>
      <c r="W348" s="306" t="s">
        <v>1</v>
      </c>
      <c r="X348" s="286">
        <v>217.8</v>
      </c>
      <c r="Y348" s="285">
        <v>10</v>
      </c>
      <c r="Z348" s="285">
        <v>24</v>
      </c>
      <c r="AA348" s="306">
        <v>321</v>
      </c>
      <c r="AB348" s="306" t="s">
        <v>1</v>
      </c>
      <c r="AC348" s="286">
        <v>217.8</v>
      </c>
      <c r="AD348" s="285">
        <v>10</v>
      </c>
      <c r="AE348" s="285">
        <v>24</v>
      </c>
      <c r="AF348" s="306">
        <v>321</v>
      </c>
      <c r="AG348" s="306" t="s">
        <v>1</v>
      </c>
      <c r="AH348" s="286" t="s">
        <v>1</v>
      </c>
      <c r="AI348" s="295" t="s">
        <v>1</v>
      </c>
      <c r="AJ348" s="295" t="s">
        <v>1</v>
      </c>
      <c r="AK348" s="295" t="s">
        <v>1</v>
      </c>
      <c r="AL348" s="302" t="s">
        <v>1</v>
      </c>
      <c r="AM348" s="288" t="s">
        <v>1</v>
      </c>
      <c r="AN348" s="287" t="s">
        <v>1</v>
      </c>
      <c r="AO348" s="287" t="s">
        <v>1</v>
      </c>
      <c r="AP348" s="286" t="s">
        <v>1</v>
      </c>
      <c r="AQ348" s="285" t="s">
        <v>1</v>
      </c>
      <c r="AR348" s="289" t="s">
        <v>1</v>
      </c>
      <c r="AS348" s="289" t="s">
        <v>1</v>
      </c>
      <c r="AT348" s="290" t="s">
        <v>1</v>
      </c>
      <c r="AU348" s="287" t="s">
        <v>1</v>
      </c>
      <c r="AV348" s="287" t="s">
        <v>1</v>
      </c>
      <c r="AW348" s="291" t="s">
        <v>1</v>
      </c>
    </row>
    <row r="349" spans="1:49" ht="30.15" customHeight="1" x14ac:dyDescent="0.25">
      <c r="A349" s="213" t="s">
        <v>18</v>
      </c>
      <c r="B349" s="188" t="s">
        <v>1</v>
      </c>
      <c r="C349" s="212" t="s">
        <v>34</v>
      </c>
      <c r="D349" s="190" t="s">
        <v>3</v>
      </c>
      <c r="E349" s="190" t="s">
        <v>1072</v>
      </c>
      <c r="F349" s="203"/>
      <c r="G349" s="190" t="s">
        <v>1077</v>
      </c>
      <c r="H349" s="192" t="s">
        <v>414</v>
      </c>
      <c r="I349" s="193">
        <v>1009</v>
      </c>
      <c r="J349" s="193">
        <v>1031</v>
      </c>
      <c r="K349" s="193">
        <v>1031</v>
      </c>
      <c r="L349" s="193">
        <v>1089</v>
      </c>
      <c r="M349" s="194">
        <v>1089</v>
      </c>
      <c r="N349" s="284">
        <v>217.8</v>
      </c>
      <c r="O349" s="285" t="s">
        <v>1</v>
      </c>
      <c r="P349" s="285" t="s">
        <v>1</v>
      </c>
      <c r="Q349" s="306">
        <v>321</v>
      </c>
      <c r="R349" s="306" t="s">
        <v>1</v>
      </c>
      <c r="S349" s="286">
        <v>217.8</v>
      </c>
      <c r="T349" s="285" t="s">
        <v>1</v>
      </c>
      <c r="U349" s="285" t="s">
        <v>1</v>
      </c>
      <c r="V349" s="306">
        <v>321</v>
      </c>
      <c r="W349" s="306" t="s">
        <v>1</v>
      </c>
      <c r="X349" s="286">
        <v>217.8</v>
      </c>
      <c r="Y349" s="285">
        <v>10</v>
      </c>
      <c r="Z349" s="285">
        <v>24</v>
      </c>
      <c r="AA349" s="306">
        <v>321</v>
      </c>
      <c r="AB349" s="306" t="s">
        <v>1</v>
      </c>
      <c r="AC349" s="286">
        <v>217.8</v>
      </c>
      <c r="AD349" s="285">
        <v>10</v>
      </c>
      <c r="AE349" s="285">
        <v>24</v>
      </c>
      <c r="AF349" s="306">
        <v>321</v>
      </c>
      <c r="AG349" s="306" t="s">
        <v>1</v>
      </c>
      <c r="AH349" s="286" t="s">
        <v>1</v>
      </c>
      <c r="AI349" s="295" t="s">
        <v>1</v>
      </c>
      <c r="AJ349" s="295" t="s">
        <v>1</v>
      </c>
      <c r="AK349" s="295" t="s">
        <v>1</v>
      </c>
      <c r="AL349" s="302" t="s">
        <v>1</v>
      </c>
      <c r="AM349" s="288" t="s">
        <v>1</v>
      </c>
      <c r="AN349" s="287" t="s">
        <v>1</v>
      </c>
      <c r="AO349" s="287" t="s">
        <v>1</v>
      </c>
      <c r="AP349" s="286" t="s">
        <v>1</v>
      </c>
      <c r="AQ349" s="285" t="s">
        <v>1</v>
      </c>
      <c r="AR349" s="289" t="s">
        <v>1</v>
      </c>
      <c r="AS349" s="289" t="s">
        <v>1</v>
      </c>
      <c r="AT349" s="290" t="s">
        <v>1</v>
      </c>
      <c r="AU349" s="287" t="s">
        <v>1</v>
      </c>
      <c r="AV349" s="287" t="s">
        <v>1</v>
      </c>
      <c r="AW349" s="291" t="s">
        <v>1</v>
      </c>
    </row>
    <row r="350" spans="1:49" ht="30.15" customHeight="1" x14ac:dyDescent="0.25">
      <c r="A350" s="213" t="s">
        <v>18</v>
      </c>
      <c r="B350" s="188" t="s">
        <v>1</v>
      </c>
      <c r="C350" s="212" t="s">
        <v>34</v>
      </c>
      <c r="D350" s="190" t="s">
        <v>3</v>
      </c>
      <c r="E350" s="190" t="s">
        <v>1073</v>
      </c>
      <c r="F350" s="203"/>
      <c r="G350" s="190" t="s">
        <v>1077</v>
      </c>
      <c r="H350" s="192" t="s">
        <v>414</v>
      </c>
      <c r="I350" s="193">
        <v>1009</v>
      </c>
      <c r="J350" s="193">
        <v>1031</v>
      </c>
      <c r="K350" s="193">
        <v>1031</v>
      </c>
      <c r="L350" s="193">
        <v>1089</v>
      </c>
      <c r="M350" s="194">
        <v>1089</v>
      </c>
      <c r="N350" s="284">
        <v>217.8</v>
      </c>
      <c r="O350" s="285" t="s">
        <v>1</v>
      </c>
      <c r="P350" s="285" t="s">
        <v>1</v>
      </c>
      <c r="Q350" s="306">
        <v>321</v>
      </c>
      <c r="R350" s="306" t="s">
        <v>1</v>
      </c>
      <c r="S350" s="286">
        <v>217.8</v>
      </c>
      <c r="T350" s="285" t="s">
        <v>1</v>
      </c>
      <c r="U350" s="285" t="s">
        <v>1</v>
      </c>
      <c r="V350" s="306">
        <v>321</v>
      </c>
      <c r="W350" s="306" t="s">
        <v>1</v>
      </c>
      <c r="X350" s="286">
        <v>217.8</v>
      </c>
      <c r="Y350" s="285">
        <v>10</v>
      </c>
      <c r="Z350" s="285">
        <v>24</v>
      </c>
      <c r="AA350" s="306">
        <v>321</v>
      </c>
      <c r="AB350" s="306" t="s">
        <v>1</v>
      </c>
      <c r="AC350" s="286">
        <v>217.8</v>
      </c>
      <c r="AD350" s="285">
        <v>10</v>
      </c>
      <c r="AE350" s="285">
        <v>24</v>
      </c>
      <c r="AF350" s="306">
        <v>321</v>
      </c>
      <c r="AG350" s="306" t="s">
        <v>1</v>
      </c>
      <c r="AH350" s="286" t="s">
        <v>1</v>
      </c>
      <c r="AI350" s="295" t="s">
        <v>1</v>
      </c>
      <c r="AJ350" s="295" t="s">
        <v>1</v>
      </c>
      <c r="AK350" s="295" t="s">
        <v>1</v>
      </c>
      <c r="AL350" s="302" t="s">
        <v>1</v>
      </c>
      <c r="AM350" s="288" t="s">
        <v>1</v>
      </c>
      <c r="AN350" s="287" t="s">
        <v>1</v>
      </c>
      <c r="AO350" s="287" t="s">
        <v>1</v>
      </c>
      <c r="AP350" s="286" t="s">
        <v>1</v>
      </c>
      <c r="AQ350" s="285" t="s">
        <v>1</v>
      </c>
      <c r="AR350" s="289" t="s">
        <v>1</v>
      </c>
      <c r="AS350" s="289" t="s">
        <v>1</v>
      </c>
      <c r="AT350" s="290" t="s">
        <v>1</v>
      </c>
      <c r="AU350" s="287" t="s">
        <v>1</v>
      </c>
      <c r="AV350" s="287" t="s">
        <v>1</v>
      </c>
      <c r="AW350" s="291" t="s">
        <v>1</v>
      </c>
    </row>
    <row r="351" spans="1:49" ht="30.15" customHeight="1" x14ac:dyDescent="0.25">
      <c r="A351" s="213" t="s">
        <v>18</v>
      </c>
      <c r="B351" s="188" t="s">
        <v>1</v>
      </c>
      <c r="C351" s="212" t="s">
        <v>34</v>
      </c>
      <c r="D351" s="190" t="s">
        <v>3</v>
      </c>
      <c r="E351" s="190" t="s">
        <v>1074</v>
      </c>
      <c r="F351" s="203"/>
      <c r="G351" s="190" t="s">
        <v>1077</v>
      </c>
      <c r="H351" s="192" t="s">
        <v>414</v>
      </c>
      <c r="I351" s="193">
        <v>1009</v>
      </c>
      <c r="J351" s="193">
        <v>1031</v>
      </c>
      <c r="K351" s="193">
        <v>1031</v>
      </c>
      <c r="L351" s="193">
        <v>1089</v>
      </c>
      <c r="M351" s="194">
        <v>1089</v>
      </c>
      <c r="N351" s="284">
        <v>217.8</v>
      </c>
      <c r="O351" s="285" t="s">
        <v>1</v>
      </c>
      <c r="P351" s="285" t="s">
        <v>1</v>
      </c>
      <c r="Q351" s="306">
        <v>321</v>
      </c>
      <c r="R351" s="306" t="s">
        <v>1</v>
      </c>
      <c r="S351" s="286">
        <v>217.8</v>
      </c>
      <c r="T351" s="285" t="s">
        <v>1</v>
      </c>
      <c r="U351" s="285" t="s">
        <v>1</v>
      </c>
      <c r="V351" s="306">
        <v>321</v>
      </c>
      <c r="W351" s="306" t="s">
        <v>1</v>
      </c>
      <c r="X351" s="286">
        <v>217.8</v>
      </c>
      <c r="Y351" s="285">
        <v>10</v>
      </c>
      <c r="Z351" s="285">
        <v>24</v>
      </c>
      <c r="AA351" s="306">
        <v>321</v>
      </c>
      <c r="AB351" s="306" t="s">
        <v>1</v>
      </c>
      <c r="AC351" s="286">
        <v>217.8</v>
      </c>
      <c r="AD351" s="285">
        <v>10</v>
      </c>
      <c r="AE351" s="285">
        <v>24</v>
      </c>
      <c r="AF351" s="306">
        <v>321</v>
      </c>
      <c r="AG351" s="306" t="s">
        <v>1</v>
      </c>
      <c r="AH351" s="286" t="s">
        <v>1</v>
      </c>
      <c r="AI351" s="295" t="s">
        <v>1</v>
      </c>
      <c r="AJ351" s="295" t="s">
        <v>1</v>
      </c>
      <c r="AK351" s="295" t="s">
        <v>1</v>
      </c>
      <c r="AL351" s="302" t="s">
        <v>1</v>
      </c>
      <c r="AM351" s="288" t="s">
        <v>1</v>
      </c>
      <c r="AN351" s="287" t="s">
        <v>1</v>
      </c>
      <c r="AO351" s="287" t="s">
        <v>1</v>
      </c>
      <c r="AP351" s="286" t="s">
        <v>1</v>
      </c>
      <c r="AQ351" s="285" t="s">
        <v>1</v>
      </c>
      <c r="AR351" s="289" t="s">
        <v>1</v>
      </c>
      <c r="AS351" s="289" t="s">
        <v>1</v>
      </c>
      <c r="AT351" s="290" t="s">
        <v>1</v>
      </c>
      <c r="AU351" s="287" t="s">
        <v>1</v>
      </c>
      <c r="AV351" s="287" t="s">
        <v>1</v>
      </c>
      <c r="AW351" s="291" t="s">
        <v>1</v>
      </c>
    </row>
    <row r="352" spans="1:49" ht="30.15" customHeight="1" x14ac:dyDescent="0.25">
      <c r="A352" s="213" t="s">
        <v>18</v>
      </c>
      <c r="B352" s="188" t="s">
        <v>1</v>
      </c>
      <c r="C352" s="212" t="s">
        <v>34</v>
      </c>
      <c r="D352" s="190" t="s">
        <v>3</v>
      </c>
      <c r="E352" s="190" t="s">
        <v>1157</v>
      </c>
      <c r="F352" s="203"/>
      <c r="G352" s="190" t="s">
        <v>1184</v>
      </c>
      <c r="H352" s="192" t="s">
        <v>409</v>
      </c>
      <c r="I352" s="193">
        <v>1475</v>
      </c>
      <c r="J352" s="193">
        <v>1511</v>
      </c>
      <c r="K352" s="193">
        <v>1511</v>
      </c>
      <c r="L352" s="193">
        <v>1596</v>
      </c>
      <c r="M352" s="194">
        <v>1596</v>
      </c>
      <c r="N352" s="284">
        <v>319.2</v>
      </c>
      <c r="O352" s="285" t="s">
        <v>1</v>
      </c>
      <c r="P352" s="285" t="s">
        <v>1</v>
      </c>
      <c r="Q352" s="306">
        <v>636</v>
      </c>
      <c r="R352" s="306" t="s">
        <v>1</v>
      </c>
      <c r="S352" s="286">
        <v>319.2</v>
      </c>
      <c r="T352" s="285" t="s">
        <v>1</v>
      </c>
      <c r="U352" s="285" t="s">
        <v>1</v>
      </c>
      <c r="V352" s="306">
        <v>636</v>
      </c>
      <c r="W352" s="306" t="s">
        <v>1</v>
      </c>
      <c r="X352" s="286">
        <v>319.2</v>
      </c>
      <c r="Y352" s="285">
        <v>2</v>
      </c>
      <c r="Z352" s="285">
        <v>24</v>
      </c>
      <c r="AA352" s="306">
        <v>636</v>
      </c>
      <c r="AB352" s="306" t="s">
        <v>1</v>
      </c>
      <c r="AC352" s="286">
        <v>319.2</v>
      </c>
      <c r="AD352" s="285">
        <v>2</v>
      </c>
      <c r="AE352" s="285">
        <v>24</v>
      </c>
      <c r="AF352" s="306">
        <v>636</v>
      </c>
      <c r="AG352" s="306" t="s">
        <v>1</v>
      </c>
      <c r="AH352" s="286" t="s">
        <v>1</v>
      </c>
      <c r="AI352" s="295" t="s">
        <v>1</v>
      </c>
      <c r="AJ352" s="295" t="s">
        <v>1</v>
      </c>
      <c r="AK352" s="295" t="s">
        <v>1</v>
      </c>
      <c r="AL352" s="302" t="s">
        <v>1</v>
      </c>
      <c r="AM352" s="288" t="s">
        <v>1</v>
      </c>
      <c r="AN352" s="287" t="s">
        <v>1</v>
      </c>
      <c r="AO352" s="287" t="s">
        <v>1</v>
      </c>
      <c r="AP352" s="286" t="s">
        <v>1</v>
      </c>
      <c r="AQ352" s="285" t="s">
        <v>1</v>
      </c>
      <c r="AR352" s="289" t="s">
        <v>1</v>
      </c>
      <c r="AS352" s="289" t="s">
        <v>1</v>
      </c>
      <c r="AT352" s="290" t="s">
        <v>1</v>
      </c>
      <c r="AU352" s="287" t="s">
        <v>1</v>
      </c>
      <c r="AV352" s="287" t="s">
        <v>1</v>
      </c>
      <c r="AW352" s="291" t="s">
        <v>1</v>
      </c>
    </row>
    <row r="353" spans="1:49" ht="30.15" customHeight="1" x14ac:dyDescent="0.25">
      <c r="A353" s="213" t="s">
        <v>18</v>
      </c>
      <c r="B353" s="188" t="s">
        <v>1</v>
      </c>
      <c r="C353" s="212" t="s">
        <v>34</v>
      </c>
      <c r="D353" s="190" t="s">
        <v>3</v>
      </c>
      <c r="E353" s="190" t="s">
        <v>1158</v>
      </c>
      <c r="F353" s="203"/>
      <c r="G353" s="190" t="s">
        <v>1184</v>
      </c>
      <c r="H353" s="192" t="s">
        <v>409</v>
      </c>
      <c r="I353" s="193">
        <v>1475</v>
      </c>
      <c r="J353" s="193">
        <v>1511</v>
      </c>
      <c r="K353" s="193">
        <v>1511</v>
      </c>
      <c r="L353" s="193">
        <v>1596</v>
      </c>
      <c r="M353" s="194">
        <v>1596</v>
      </c>
      <c r="N353" s="284">
        <v>319.2</v>
      </c>
      <c r="O353" s="285" t="s">
        <v>1</v>
      </c>
      <c r="P353" s="285" t="s">
        <v>1</v>
      </c>
      <c r="Q353" s="306">
        <v>636</v>
      </c>
      <c r="R353" s="306" t="s">
        <v>1</v>
      </c>
      <c r="S353" s="286">
        <v>319.2</v>
      </c>
      <c r="T353" s="285" t="s">
        <v>1</v>
      </c>
      <c r="U353" s="285" t="s">
        <v>1</v>
      </c>
      <c r="V353" s="306">
        <v>636</v>
      </c>
      <c r="W353" s="306" t="s">
        <v>1</v>
      </c>
      <c r="X353" s="286">
        <v>319.2</v>
      </c>
      <c r="Y353" s="285">
        <v>2</v>
      </c>
      <c r="Z353" s="285">
        <v>24</v>
      </c>
      <c r="AA353" s="306">
        <v>636</v>
      </c>
      <c r="AB353" s="306" t="s">
        <v>1</v>
      </c>
      <c r="AC353" s="286">
        <v>319.2</v>
      </c>
      <c r="AD353" s="285">
        <v>2</v>
      </c>
      <c r="AE353" s="285">
        <v>24</v>
      </c>
      <c r="AF353" s="306">
        <v>636</v>
      </c>
      <c r="AG353" s="306" t="s">
        <v>1</v>
      </c>
      <c r="AH353" s="286" t="s">
        <v>1</v>
      </c>
      <c r="AI353" s="295" t="s">
        <v>1</v>
      </c>
      <c r="AJ353" s="295" t="s">
        <v>1</v>
      </c>
      <c r="AK353" s="295" t="s">
        <v>1</v>
      </c>
      <c r="AL353" s="302" t="s">
        <v>1</v>
      </c>
      <c r="AM353" s="288" t="s">
        <v>1</v>
      </c>
      <c r="AN353" s="287" t="s">
        <v>1</v>
      </c>
      <c r="AO353" s="287" t="s">
        <v>1</v>
      </c>
      <c r="AP353" s="286" t="s">
        <v>1</v>
      </c>
      <c r="AQ353" s="285" t="s">
        <v>1</v>
      </c>
      <c r="AR353" s="289" t="s">
        <v>1</v>
      </c>
      <c r="AS353" s="289" t="s">
        <v>1</v>
      </c>
      <c r="AT353" s="290" t="s">
        <v>1</v>
      </c>
      <c r="AU353" s="287" t="s">
        <v>1</v>
      </c>
      <c r="AV353" s="287" t="s">
        <v>1</v>
      </c>
      <c r="AW353" s="291" t="s">
        <v>1</v>
      </c>
    </row>
    <row r="354" spans="1:49" ht="30.15" customHeight="1" x14ac:dyDescent="0.25">
      <c r="A354" s="213" t="s">
        <v>18</v>
      </c>
      <c r="B354" s="188" t="s">
        <v>1</v>
      </c>
      <c r="C354" s="212" t="s">
        <v>34</v>
      </c>
      <c r="D354" s="190" t="s">
        <v>3</v>
      </c>
      <c r="E354" s="190" t="s">
        <v>1159</v>
      </c>
      <c r="F354" s="203"/>
      <c r="G354" s="190" t="s">
        <v>1184</v>
      </c>
      <c r="H354" s="192" t="s">
        <v>409</v>
      </c>
      <c r="I354" s="193">
        <v>1475</v>
      </c>
      <c r="J354" s="193">
        <v>1511</v>
      </c>
      <c r="K354" s="193">
        <v>1511</v>
      </c>
      <c r="L354" s="193">
        <v>1596</v>
      </c>
      <c r="M354" s="194">
        <v>1596</v>
      </c>
      <c r="N354" s="284">
        <v>319.2</v>
      </c>
      <c r="O354" s="285" t="s">
        <v>1</v>
      </c>
      <c r="P354" s="285" t="s">
        <v>1</v>
      </c>
      <c r="Q354" s="306">
        <v>636</v>
      </c>
      <c r="R354" s="306" t="s">
        <v>1</v>
      </c>
      <c r="S354" s="286">
        <v>319.2</v>
      </c>
      <c r="T354" s="285" t="s">
        <v>1</v>
      </c>
      <c r="U354" s="285" t="s">
        <v>1</v>
      </c>
      <c r="V354" s="306">
        <v>636</v>
      </c>
      <c r="W354" s="306" t="s">
        <v>1</v>
      </c>
      <c r="X354" s="286">
        <v>319.2</v>
      </c>
      <c r="Y354" s="285">
        <v>2</v>
      </c>
      <c r="Z354" s="285">
        <v>24</v>
      </c>
      <c r="AA354" s="306">
        <v>636</v>
      </c>
      <c r="AB354" s="306" t="s">
        <v>1</v>
      </c>
      <c r="AC354" s="286">
        <v>319.2</v>
      </c>
      <c r="AD354" s="285">
        <v>2</v>
      </c>
      <c r="AE354" s="285">
        <v>24</v>
      </c>
      <c r="AF354" s="306">
        <v>636</v>
      </c>
      <c r="AG354" s="306" t="s">
        <v>1</v>
      </c>
      <c r="AH354" s="286" t="s">
        <v>1</v>
      </c>
      <c r="AI354" s="295" t="s">
        <v>1</v>
      </c>
      <c r="AJ354" s="295" t="s">
        <v>1</v>
      </c>
      <c r="AK354" s="295" t="s">
        <v>1</v>
      </c>
      <c r="AL354" s="302" t="s">
        <v>1</v>
      </c>
      <c r="AM354" s="288" t="s">
        <v>1</v>
      </c>
      <c r="AN354" s="287" t="s">
        <v>1</v>
      </c>
      <c r="AO354" s="287" t="s">
        <v>1</v>
      </c>
      <c r="AP354" s="286" t="s">
        <v>1</v>
      </c>
      <c r="AQ354" s="285" t="s">
        <v>1</v>
      </c>
      <c r="AR354" s="289" t="s">
        <v>1</v>
      </c>
      <c r="AS354" s="289" t="s">
        <v>1</v>
      </c>
      <c r="AT354" s="290" t="s">
        <v>1</v>
      </c>
      <c r="AU354" s="287" t="s">
        <v>1</v>
      </c>
      <c r="AV354" s="287" t="s">
        <v>1</v>
      </c>
      <c r="AW354" s="291" t="s">
        <v>1</v>
      </c>
    </row>
    <row r="355" spans="1:49" ht="30.15" customHeight="1" x14ac:dyDescent="0.25">
      <c r="A355" s="213" t="s">
        <v>18</v>
      </c>
      <c r="B355" s="188" t="s">
        <v>1</v>
      </c>
      <c r="C355" s="212" t="s">
        <v>34</v>
      </c>
      <c r="D355" s="190" t="s">
        <v>3</v>
      </c>
      <c r="E355" s="190" t="s">
        <v>1160</v>
      </c>
      <c r="F355" s="203"/>
      <c r="G355" s="190" t="s">
        <v>1184</v>
      </c>
      <c r="H355" s="192" t="s">
        <v>409</v>
      </c>
      <c r="I355" s="193">
        <v>1475</v>
      </c>
      <c r="J355" s="193">
        <v>1511</v>
      </c>
      <c r="K355" s="193">
        <v>1511</v>
      </c>
      <c r="L355" s="193">
        <v>1596</v>
      </c>
      <c r="M355" s="194">
        <v>1596</v>
      </c>
      <c r="N355" s="284">
        <v>319.2</v>
      </c>
      <c r="O355" s="285" t="s">
        <v>1</v>
      </c>
      <c r="P355" s="285" t="s">
        <v>1</v>
      </c>
      <c r="Q355" s="306">
        <v>636</v>
      </c>
      <c r="R355" s="306" t="s">
        <v>1</v>
      </c>
      <c r="S355" s="286">
        <v>319.2</v>
      </c>
      <c r="T355" s="285" t="s">
        <v>1</v>
      </c>
      <c r="U355" s="285" t="s">
        <v>1</v>
      </c>
      <c r="V355" s="306">
        <v>636</v>
      </c>
      <c r="W355" s="306" t="s">
        <v>1</v>
      </c>
      <c r="X355" s="286">
        <v>319.2</v>
      </c>
      <c r="Y355" s="285">
        <v>2</v>
      </c>
      <c r="Z355" s="285">
        <v>24</v>
      </c>
      <c r="AA355" s="306">
        <v>636</v>
      </c>
      <c r="AB355" s="306" t="s">
        <v>1</v>
      </c>
      <c r="AC355" s="286">
        <v>319.2</v>
      </c>
      <c r="AD355" s="285">
        <v>2</v>
      </c>
      <c r="AE355" s="285">
        <v>24</v>
      </c>
      <c r="AF355" s="306">
        <v>636</v>
      </c>
      <c r="AG355" s="306" t="s">
        <v>1</v>
      </c>
      <c r="AH355" s="286" t="s">
        <v>1</v>
      </c>
      <c r="AI355" s="295" t="s">
        <v>1</v>
      </c>
      <c r="AJ355" s="295" t="s">
        <v>1</v>
      </c>
      <c r="AK355" s="295" t="s">
        <v>1</v>
      </c>
      <c r="AL355" s="302" t="s">
        <v>1</v>
      </c>
      <c r="AM355" s="288" t="s">
        <v>1</v>
      </c>
      <c r="AN355" s="287" t="s">
        <v>1</v>
      </c>
      <c r="AO355" s="287" t="s">
        <v>1</v>
      </c>
      <c r="AP355" s="286" t="s">
        <v>1</v>
      </c>
      <c r="AQ355" s="285" t="s">
        <v>1</v>
      </c>
      <c r="AR355" s="289" t="s">
        <v>1</v>
      </c>
      <c r="AS355" s="289" t="s">
        <v>1</v>
      </c>
      <c r="AT355" s="290" t="s">
        <v>1</v>
      </c>
      <c r="AU355" s="287" t="s">
        <v>1</v>
      </c>
      <c r="AV355" s="287" t="s">
        <v>1</v>
      </c>
      <c r="AW355" s="291" t="s">
        <v>1</v>
      </c>
    </row>
    <row r="356" spans="1:49" ht="30.15" customHeight="1" x14ac:dyDescent="0.25">
      <c r="A356" s="213" t="s">
        <v>18</v>
      </c>
      <c r="B356" s="188" t="s">
        <v>1</v>
      </c>
      <c r="C356" s="212" t="s">
        <v>34</v>
      </c>
      <c r="D356" s="190" t="s">
        <v>3</v>
      </c>
      <c r="E356" s="190" t="s">
        <v>1161</v>
      </c>
      <c r="F356" s="203"/>
      <c r="G356" s="190" t="s">
        <v>1185</v>
      </c>
      <c r="H356" s="192" t="s">
        <v>409</v>
      </c>
      <c r="I356" s="193">
        <v>1609</v>
      </c>
      <c r="J356" s="193">
        <v>1648</v>
      </c>
      <c r="K356" s="193">
        <v>1648</v>
      </c>
      <c r="L356" s="193">
        <v>1740</v>
      </c>
      <c r="M356" s="194">
        <v>1740</v>
      </c>
      <c r="N356" s="284">
        <v>348</v>
      </c>
      <c r="O356" s="285" t="s">
        <v>1</v>
      </c>
      <c r="P356" s="285" t="s">
        <v>1</v>
      </c>
      <c r="Q356" s="306">
        <v>660</v>
      </c>
      <c r="R356" s="306" t="s">
        <v>1</v>
      </c>
      <c r="S356" s="286">
        <v>348</v>
      </c>
      <c r="T356" s="285" t="s">
        <v>1</v>
      </c>
      <c r="U356" s="285" t="s">
        <v>1</v>
      </c>
      <c r="V356" s="306">
        <v>660</v>
      </c>
      <c r="W356" s="306" t="s">
        <v>1</v>
      </c>
      <c r="X356" s="286">
        <v>348</v>
      </c>
      <c r="Y356" s="285">
        <v>2</v>
      </c>
      <c r="Z356" s="285">
        <v>24</v>
      </c>
      <c r="AA356" s="306">
        <v>660</v>
      </c>
      <c r="AB356" s="306" t="s">
        <v>1</v>
      </c>
      <c r="AC356" s="286">
        <v>348</v>
      </c>
      <c r="AD356" s="285">
        <v>2</v>
      </c>
      <c r="AE356" s="285">
        <v>24</v>
      </c>
      <c r="AF356" s="306">
        <v>660</v>
      </c>
      <c r="AG356" s="306" t="s">
        <v>1</v>
      </c>
      <c r="AH356" s="286" t="s">
        <v>1</v>
      </c>
      <c r="AI356" s="295" t="s">
        <v>1</v>
      </c>
      <c r="AJ356" s="295" t="s">
        <v>1</v>
      </c>
      <c r="AK356" s="295" t="s">
        <v>1</v>
      </c>
      <c r="AL356" s="302" t="s">
        <v>1</v>
      </c>
      <c r="AM356" s="288" t="s">
        <v>1</v>
      </c>
      <c r="AN356" s="287" t="s">
        <v>1</v>
      </c>
      <c r="AO356" s="287" t="s">
        <v>1</v>
      </c>
      <c r="AP356" s="286" t="s">
        <v>1</v>
      </c>
      <c r="AQ356" s="285" t="s">
        <v>1</v>
      </c>
      <c r="AR356" s="289" t="s">
        <v>1</v>
      </c>
      <c r="AS356" s="289" t="s">
        <v>1</v>
      </c>
      <c r="AT356" s="290" t="s">
        <v>1</v>
      </c>
      <c r="AU356" s="287" t="s">
        <v>1</v>
      </c>
      <c r="AV356" s="287" t="s">
        <v>1</v>
      </c>
      <c r="AW356" s="291" t="s">
        <v>1</v>
      </c>
    </row>
    <row r="357" spans="1:49" ht="30.15" customHeight="1" x14ac:dyDescent="0.25">
      <c r="A357" s="213" t="s">
        <v>18</v>
      </c>
      <c r="B357" s="188" t="s">
        <v>1</v>
      </c>
      <c r="C357" s="212" t="s">
        <v>34</v>
      </c>
      <c r="D357" s="190" t="s">
        <v>3</v>
      </c>
      <c r="E357" s="190" t="s">
        <v>1162</v>
      </c>
      <c r="F357" s="203"/>
      <c r="G357" s="190" t="s">
        <v>1185</v>
      </c>
      <c r="H357" s="192" t="s">
        <v>409</v>
      </c>
      <c r="I357" s="193">
        <v>1609</v>
      </c>
      <c r="J357" s="193">
        <v>1648</v>
      </c>
      <c r="K357" s="193">
        <v>1648</v>
      </c>
      <c r="L357" s="193">
        <v>1740</v>
      </c>
      <c r="M357" s="194">
        <v>1740</v>
      </c>
      <c r="N357" s="284">
        <v>348</v>
      </c>
      <c r="O357" s="285" t="s">
        <v>1</v>
      </c>
      <c r="P357" s="285" t="s">
        <v>1</v>
      </c>
      <c r="Q357" s="306">
        <v>660</v>
      </c>
      <c r="R357" s="306" t="s">
        <v>1</v>
      </c>
      <c r="S357" s="286">
        <v>348</v>
      </c>
      <c r="T357" s="285" t="s">
        <v>1</v>
      </c>
      <c r="U357" s="285" t="s">
        <v>1</v>
      </c>
      <c r="V357" s="306">
        <v>660</v>
      </c>
      <c r="W357" s="306" t="s">
        <v>1</v>
      </c>
      <c r="X357" s="286">
        <v>348</v>
      </c>
      <c r="Y357" s="285">
        <v>2</v>
      </c>
      <c r="Z357" s="285">
        <v>24</v>
      </c>
      <c r="AA357" s="306">
        <v>660</v>
      </c>
      <c r="AB357" s="306" t="s">
        <v>1</v>
      </c>
      <c r="AC357" s="286">
        <v>348</v>
      </c>
      <c r="AD357" s="285">
        <v>2</v>
      </c>
      <c r="AE357" s="285">
        <v>24</v>
      </c>
      <c r="AF357" s="306">
        <v>660</v>
      </c>
      <c r="AG357" s="306" t="s">
        <v>1</v>
      </c>
      <c r="AH357" s="286" t="s">
        <v>1</v>
      </c>
      <c r="AI357" s="295" t="s">
        <v>1</v>
      </c>
      <c r="AJ357" s="295" t="s">
        <v>1</v>
      </c>
      <c r="AK357" s="295" t="s">
        <v>1</v>
      </c>
      <c r="AL357" s="302" t="s">
        <v>1</v>
      </c>
      <c r="AM357" s="288" t="s">
        <v>1</v>
      </c>
      <c r="AN357" s="287" t="s">
        <v>1</v>
      </c>
      <c r="AO357" s="287" t="s">
        <v>1</v>
      </c>
      <c r="AP357" s="286" t="s">
        <v>1</v>
      </c>
      <c r="AQ357" s="285" t="s">
        <v>1</v>
      </c>
      <c r="AR357" s="289" t="s">
        <v>1</v>
      </c>
      <c r="AS357" s="289" t="s">
        <v>1</v>
      </c>
      <c r="AT357" s="290" t="s">
        <v>1</v>
      </c>
      <c r="AU357" s="287" t="s">
        <v>1</v>
      </c>
      <c r="AV357" s="287" t="s">
        <v>1</v>
      </c>
      <c r="AW357" s="291" t="s">
        <v>1</v>
      </c>
    </row>
    <row r="358" spans="1:49" ht="30.15" customHeight="1" x14ac:dyDescent="0.25">
      <c r="A358" s="213" t="s">
        <v>18</v>
      </c>
      <c r="B358" s="188" t="s">
        <v>1</v>
      </c>
      <c r="C358" s="212" t="s">
        <v>34</v>
      </c>
      <c r="D358" s="190" t="s">
        <v>3</v>
      </c>
      <c r="E358" s="190" t="s">
        <v>1163</v>
      </c>
      <c r="F358" s="203"/>
      <c r="G358" s="190" t="s">
        <v>1185</v>
      </c>
      <c r="H358" s="192" t="s">
        <v>409</v>
      </c>
      <c r="I358" s="193">
        <v>1609</v>
      </c>
      <c r="J358" s="193">
        <v>1648</v>
      </c>
      <c r="K358" s="193">
        <v>1648</v>
      </c>
      <c r="L358" s="193">
        <v>1740</v>
      </c>
      <c r="M358" s="194">
        <v>1740</v>
      </c>
      <c r="N358" s="284">
        <v>348</v>
      </c>
      <c r="O358" s="285" t="s">
        <v>1</v>
      </c>
      <c r="P358" s="285" t="s">
        <v>1</v>
      </c>
      <c r="Q358" s="306">
        <v>660</v>
      </c>
      <c r="R358" s="306" t="s">
        <v>1</v>
      </c>
      <c r="S358" s="286">
        <v>348</v>
      </c>
      <c r="T358" s="285" t="s">
        <v>1</v>
      </c>
      <c r="U358" s="285" t="s">
        <v>1</v>
      </c>
      <c r="V358" s="306">
        <v>660</v>
      </c>
      <c r="W358" s="306" t="s">
        <v>1</v>
      </c>
      <c r="X358" s="286">
        <v>348</v>
      </c>
      <c r="Y358" s="285">
        <v>2</v>
      </c>
      <c r="Z358" s="285">
        <v>24</v>
      </c>
      <c r="AA358" s="306">
        <v>660</v>
      </c>
      <c r="AB358" s="306" t="s">
        <v>1</v>
      </c>
      <c r="AC358" s="286">
        <v>348</v>
      </c>
      <c r="AD358" s="285">
        <v>2</v>
      </c>
      <c r="AE358" s="285">
        <v>24</v>
      </c>
      <c r="AF358" s="306">
        <v>660</v>
      </c>
      <c r="AG358" s="306" t="s">
        <v>1</v>
      </c>
      <c r="AH358" s="286" t="s">
        <v>1</v>
      </c>
      <c r="AI358" s="295" t="s">
        <v>1</v>
      </c>
      <c r="AJ358" s="295" t="s">
        <v>1</v>
      </c>
      <c r="AK358" s="295" t="s">
        <v>1</v>
      </c>
      <c r="AL358" s="302" t="s">
        <v>1</v>
      </c>
      <c r="AM358" s="288" t="s">
        <v>1</v>
      </c>
      <c r="AN358" s="287" t="s">
        <v>1</v>
      </c>
      <c r="AO358" s="287" t="s">
        <v>1</v>
      </c>
      <c r="AP358" s="286" t="s">
        <v>1</v>
      </c>
      <c r="AQ358" s="285" t="s">
        <v>1</v>
      </c>
      <c r="AR358" s="289" t="s">
        <v>1</v>
      </c>
      <c r="AS358" s="289" t="s">
        <v>1</v>
      </c>
      <c r="AT358" s="290" t="s">
        <v>1</v>
      </c>
      <c r="AU358" s="287" t="s">
        <v>1</v>
      </c>
      <c r="AV358" s="287" t="s">
        <v>1</v>
      </c>
      <c r="AW358" s="291" t="s">
        <v>1</v>
      </c>
    </row>
    <row r="359" spans="1:49" ht="30.15" customHeight="1" x14ac:dyDescent="0.25">
      <c r="A359" s="213" t="s">
        <v>18</v>
      </c>
      <c r="B359" s="188" t="s">
        <v>1</v>
      </c>
      <c r="C359" s="212" t="s">
        <v>34</v>
      </c>
      <c r="D359" s="190" t="s">
        <v>3</v>
      </c>
      <c r="E359" s="190" t="s">
        <v>1164</v>
      </c>
      <c r="F359" s="203"/>
      <c r="G359" s="190" t="s">
        <v>1185</v>
      </c>
      <c r="H359" s="192" t="s">
        <v>409</v>
      </c>
      <c r="I359" s="193">
        <v>1609</v>
      </c>
      <c r="J359" s="193">
        <v>1648</v>
      </c>
      <c r="K359" s="193">
        <v>1648</v>
      </c>
      <c r="L359" s="193">
        <v>1740</v>
      </c>
      <c r="M359" s="194">
        <v>1740</v>
      </c>
      <c r="N359" s="284">
        <v>348</v>
      </c>
      <c r="O359" s="285" t="s">
        <v>1</v>
      </c>
      <c r="P359" s="285" t="s">
        <v>1</v>
      </c>
      <c r="Q359" s="306">
        <v>660</v>
      </c>
      <c r="R359" s="306" t="s">
        <v>1</v>
      </c>
      <c r="S359" s="286">
        <v>348</v>
      </c>
      <c r="T359" s="285" t="s">
        <v>1</v>
      </c>
      <c r="U359" s="285" t="s">
        <v>1</v>
      </c>
      <c r="V359" s="306">
        <v>660</v>
      </c>
      <c r="W359" s="306" t="s">
        <v>1</v>
      </c>
      <c r="X359" s="286">
        <v>348</v>
      </c>
      <c r="Y359" s="285">
        <v>2</v>
      </c>
      <c r="Z359" s="285">
        <v>24</v>
      </c>
      <c r="AA359" s="306">
        <v>660</v>
      </c>
      <c r="AB359" s="306" t="s">
        <v>1</v>
      </c>
      <c r="AC359" s="286">
        <v>348</v>
      </c>
      <c r="AD359" s="285">
        <v>2</v>
      </c>
      <c r="AE359" s="285">
        <v>24</v>
      </c>
      <c r="AF359" s="306">
        <v>660</v>
      </c>
      <c r="AG359" s="306" t="s">
        <v>1</v>
      </c>
      <c r="AH359" s="286" t="s">
        <v>1</v>
      </c>
      <c r="AI359" s="295" t="s">
        <v>1</v>
      </c>
      <c r="AJ359" s="295" t="s">
        <v>1</v>
      </c>
      <c r="AK359" s="295" t="s">
        <v>1</v>
      </c>
      <c r="AL359" s="302" t="s">
        <v>1</v>
      </c>
      <c r="AM359" s="288" t="s">
        <v>1</v>
      </c>
      <c r="AN359" s="287" t="s">
        <v>1</v>
      </c>
      <c r="AO359" s="287" t="s">
        <v>1</v>
      </c>
      <c r="AP359" s="286" t="s">
        <v>1</v>
      </c>
      <c r="AQ359" s="285" t="s">
        <v>1</v>
      </c>
      <c r="AR359" s="289" t="s">
        <v>1</v>
      </c>
      <c r="AS359" s="289" t="s">
        <v>1</v>
      </c>
      <c r="AT359" s="290" t="s">
        <v>1</v>
      </c>
      <c r="AU359" s="287" t="s">
        <v>1</v>
      </c>
      <c r="AV359" s="287" t="s">
        <v>1</v>
      </c>
      <c r="AW359" s="291" t="s">
        <v>1</v>
      </c>
    </row>
    <row r="360" spans="1:49" ht="30.15" customHeight="1" x14ac:dyDescent="0.25">
      <c r="A360" s="213" t="s">
        <v>18</v>
      </c>
      <c r="B360" s="188" t="s">
        <v>1</v>
      </c>
      <c r="C360" s="212" t="s">
        <v>34</v>
      </c>
      <c r="D360" s="190" t="s">
        <v>3</v>
      </c>
      <c r="E360" s="190" t="s">
        <v>1165</v>
      </c>
      <c r="F360" s="203"/>
      <c r="G360" s="190" t="s">
        <v>1186</v>
      </c>
      <c r="H360" s="192" t="s">
        <v>409</v>
      </c>
      <c r="I360" s="193">
        <v>1866</v>
      </c>
      <c r="J360" s="193">
        <v>1914</v>
      </c>
      <c r="K360" s="193">
        <v>1914</v>
      </c>
      <c r="L360" s="193">
        <v>2016</v>
      </c>
      <c r="M360" s="194">
        <v>2016</v>
      </c>
      <c r="N360" s="284">
        <v>403.2</v>
      </c>
      <c r="O360" s="285" t="s">
        <v>1</v>
      </c>
      <c r="P360" s="285" t="s">
        <v>1</v>
      </c>
      <c r="Q360" s="306">
        <v>696</v>
      </c>
      <c r="R360" s="306" t="s">
        <v>1</v>
      </c>
      <c r="S360" s="286">
        <v>403.2</v>
      </c>
      <c r="T360" s="285" t="s">
        <v>1</v>
      </c>
      <c r="U360" s="285" t="s">
        <v>1</v>
      </c>
      <c r="V360" s="306">
        <v>696</v>
      </c>
      <c r="W360" s="306" t="s">
        <v>1</v>
      </c>
      <c r="X360" s="286">
        <v>403.2</v>
      </c>
      <c r="Y360" s="285">
        <v>2</v>
      </c>
      <c r="Z360" s="285">
        <v>24</v>
      </c>
      <c r="AA360" s="306">
        <v>696</v>
      </c>
      <c r="AB360" s="306" t="s">
        <v>1</v>
      </c>
      <c r="AC360" s="286">
        <v>403.2</v>
      </c>
      <c r="AD360" s="285">
        <v>2</v>
      </c>
      <c r="AE360" s="285">
        <v>24</v>
      </c>
      <c r="AF360" s="306">
        <v>696</v>
      </c>
      <c r="AG360" s="306" t="s">
        <v>1</v>
      </c>
      <c r="AH360" s="286" t="s">
        <v>1</v>
      </c>
      <c r="AI360" s="295" t="s">
        <v>1</v>
      </c>
      <c r="AJ360" s="295" t="s">
        <v>1</v>
      </c>
      <c r="AK360" s="295" t="s">
        <v>1</v>
      </c>
      <c r="AL360" s="302" t="s">
        <v>1</v>
      </c>
      <c r="AM360" s="288" t="s">
        <v>1</v>
      </c>
      <c r="AN360" s="287" t="s">
        <v>1</v>
      </c>
      <c r="AO360" s="287" t="s">
        <v>1</v>
      </c>
      <c r="AP360" s="286" t="s">
        <v>1</v>
      </c>
      <c r="AQ360" s="285" t="s">
        <v>1</v>
      </c>
      <c r="AR360" s="289" t="s">
        <v>1</v>
      </c>
      <c r="AS360" s="289" t="s">
        <v>1</v>
      </c>
      <c r="AT360" s="290" t="s">
        <v>1</v>
      </c>
      <c r="AU360" s="287" t="s">
        <v>1</v>
      </c>
      <c r="AV360" s="287" t="s">
        <v>1</v>
      </c>
      <c r="AW360" s="291" t="s">
        <v>1</v>
      </c>
    </row>
    <row r="361" spans="1:49" ht="30.15" customHeight="1" x14ac:dyDescent="0.25">
      <c r="A361" s="213" t="s">
        <v>18</v>
      </c>
      <c r="B361" s="188" t="s">
        <v>1</v>
      </c>
      <c r="C361" s="212" t="s">
        <v>34</v>
      </c>
      <c r="D361" s="190" t="s">
        <v>3</v>
      </c>
      <c r="E361" s="190" t="s">
        <v>1166</v>
      </c>
      <c r="F361" s="203"/>
      <c r="G361" s="190" t="s">
        <v>1186</v>
      </c>
      <c r="H361" s="192" t="s">
        <v>409</v>
      </c>
      <c r="I361" s="193">
        <v>1866</v>
      </c>
      <c r="J361" s="193">
        <v>1914</v>
      </c>
      <c r="K361" s="193">
        <v>1914</v>
      </c>
      <c r="L361" s="193">
        <v>2016</v>
      </c>
      <c r="M361" s="194">
        <v>2016</v>
      </c>
      <c r="N361" s="284">
        <v>403.2</v>
      </c>
      <c r="O361" s="285" t="s">
        <v>1</v>
      </c>
      <c r="P361" s="285" t="s">
        <v>1</v>
      </c>
      <c r="Q361" s="306">
        <v>696</v>
      </c>
      <c r="R361" s="306" t="s">
        <v>1</v>
      </c>
      <c r="S361" s="286">
        <v>403.2</v>
      </c>
      <c r="T361" s="285" t="s">
        <v>1</v>
      </c>
      <c r="U361" s="285" t="s">
        <v>1</v>
      </c>
      <c r="V361" s="306">
        <v>696</v>
      </c>
      <c r="W361" s="306" t="s">
        <v>1</v>
      </c>
      <c r="X361" s="286">
        <v>403.2</v>
      </c>
      <c r="Y361" s="285">
        <v>2</v>
      </c>
      <c r="Z361" s="285">
        <v>24</v>
      </c>
      <c r="AA361" s="306">
        <v>696</v>
      </c>
      <c r="AB361" s="306" t="s">
        <v>1</v>
      </c>
      <c r="AC361" s="286">
        <v>403.2</v>
      </c>
      <c r="AD361" s="285">
        <v>2</v>
      </c>
      <c r="AE361" s="285">
        <v>24</v>
      </c>
      <c r="AF361" s="306">
        <v>696</v>
      </c>
      <c r="AG361" s="306" t="s">
        <v>1</v>
      </c>
      <c r="AH361" s="286" t="s">
        <v>1</v>
      </c>
      <c r="AI361" s="295" t="s">
        <v>1</v>
      </c>
      <c r="AJ361" s="295" t="s">
        <v>1</v>
      </c>
      <c r="AK361" s="295" t="s">
        <v>1</v>
      </c>
      <c r="AL361" s="302" t="s">
        <v>1</v>
      </c>
      <c r="AM361" s="288" t="s">
        <v>1</v>
      </c>
      <c r="AN361" s="287" t="s">
        <v>1</v>
      </c>
      <c r="AO361" s="287" t="s">
        <v>1</v>
      </c>
      <c r="AP361" s="286" t="s">
        <v>1</v>
      </c>
      <c r="AQ361" s="285" t="s">
        <v>1</v>
      </c>
      <c r="AR361" s="289" t="s">
        <v>1</v>
      </c>
      <c r="AS361" s="289" t="s">
        <v>1</v>
      </c>
      <c r="AT361" s="290" t="s">
        <v>1</v>
      </c>
      <c r="AU361" s="287" t="s">
        <v>1</v>
      </c>
      <c r="AV361" s="287" t="s">
        <v>1</v>
      </c>
      <c r="AW361" s="291" t="s">
        <v>1</v>
      </c>
    </row>
    <row r="362" spans="1:49" ht="30.15" customHeight="1" x14ac:dyDescent="0.25">
      <c r="A362" s="213" t="s">
        <v>18</v>
      </c>
      <c r="B362" s="188" t="s">
        <v>1</v>
      </c>
      <c r="C362" s="212" t="s">
        <v>34</v>
      </c>
      <c r="D362" s="190" t="s">
        <v>3</v>
      </c>
      <c r="E362" s="190" t="s">
        <v>1167</v>
      </c>
      <c r="F362" s="203"/>
      <c r="G362" s="190" t="s">
        <v>1186</v>
      </c>
      <c r="H362" s="192" t="s">
        <v>409</v>
      </c>
      <c r="I362" s="193">
        <v>1866</v>
      </c>
      <c r="J362" s="193">
        <v>1914</v>
      </c>
      <c r="K362" s="193">
        <v>1914</v>
      </c>
      <c r="L362" s="193">
        <v>2016</v>
      </c>
      <c r="M362" s="194">
        <v>2016</v>
      </c>
      <c r="N362" s="284">
        <v>403.2</v>
      </c>
      <c r="O362" s="285" t="s">
        <v>1</v>
      </c>
      <c r="P362" s="285" t="s">
        <v>1</v>
      </c>
      <c r="Q362" s="306">
        <v>696</v>
      </c>
      <c r="R362" s="306" t="s">
        <v>1</v>
      </c>
      <c r="S362" s="286">
        <v>403.2</v>
      </c>
      <c r="T362" s="285" t="s">
        <v>1</v>
      </c>
      <c r="U362" s="285" t="s">
        <v>1</v>
      </c>
      <c r="V362" s="306">
        <v>696</v>
      </c>
      <c r="W362" s="306" t="s">
        <v>1</v>
      </c>
      <c r="X362" s="286">
        <v>403.2</v>
      </c>
      <c r="Y362" s="285">
        <v>2</v>
      </c>
      <c r="Z362" s="285">
        <v>24</v>
      </c>
      <c r="AA362" s="306">
        <v>696</v>
      </c>
      <c r="AB362" s="306" t="s">
        <v>1</v>
      </c>
      <c r="AC362" s="286">
        <v>403.2</v>
      </c>
      <c r="AD362" s="285">
        <v>2</v>
      </c>
      <c r="AE362" s="285">
        <v>24</v>
      </c>
      <c r="AF362" s="306">
        <v>696</v>
      </c>
      <c r="AG362" s="306" t="s">
        <v>1</v>
      </c>
      <c r="AH362" s="286" t="s">
        <v>1</v>
      </c>
      <c r="AI362" s="295" t="s">
        <v>1</v>
      </c>
      <c r="AJ362" s="295" t="s">
        <v>1</v>
      </c>
      <c r="AK362" s="295" t="s">
        <v>1</v>
      </c>
      <c r="AL362" s="302" t="s">
        <v>1</v>
      </c>
      <c r="AM362" s="288" t="s">
        <v>1</v>
      </c>
      <c r="AN362" s="287" t="s">
        <v>1</v>
      </c>
      <c r="AO362" s="287" t="s">
        <v>1</v>
      </c>
      <c r="AP362" s="286" t="s">
        <v>1</v>
      </c>
      <c r="AQ362" s="285" t="s">
        <v>1</v>
      </c>
      <c r="AR362" s="289" t="s">
        <v>1</v>
      </c>
      <c r="AS362" s="289" t="s">
        <v>1</v>
      </c>
      <c r="AT362" s="290" t="s">
        <v>1</v>
      </c>
      <c r="AU362" s="287" t="s">
        <v>1</v>
      </c>
      <c r="AV362" s="287" t="s">
        <v>1</v>
      </c>
      <c r="AW362" s="291" t="s">
        <v>1</v>
      </c>
    </row>
    <row r="363" spans="1:49" ht="30.15" customHeight="1" x14ac:dyDescent="0.25">
      <c r="A363" s="213" t="s">
        <v>18</v>
      </c>
      <c r="B363" s="188" t="s">
        <v>1</v>
      </c>
      <c r="C363" s="212" t="s">
        <v>34</v>
      </c>
      <c r="D363" s="190" t="s">
        <v>3</v>
      </c>
      <c r="E363" s="190" t="s">
        <v>1168</v>
      </c>
      <c r="F363" s="203"/>
      <c r="G363" s="190" t="s">
        <v>1186</v>
      </c>
      <c r="H363" s="192" t="s">
        <v>409</v>
      </c>
      <c r="I363" s="193">
        <v>1866</v>
      </c>
      <c r="J363" s="193">
        <v>1914</v>
      </c>
      <c r="K363" s="193">
        <v>1914</v>
      </c>
      <c r="L363" s="193">
        <v>2016</v>
      </c>
      <c r="M363" s="194">
        <v>2016</v>
      </c>
      <c r="N363" s="284">
        <v>403.2</v>
      </c>
      <c r="O363" s="285" t="s">
        <v>1</v>
      </c>
      <c r="P363" s="285" t="s">
        <v>1</v>
      </c>
      <c r="Q363" s="306">
        <v>696</v>
      </c>
      <c r="R363" s="306" t="s">
        <v>1</v>
      </c>
      <c r="S363" s="286">
        <v>403.2</v>
      </c>
      <c r="T363" s="285" t="s">
        <v>1</v>
      </c>
      <c r="U363" s="285" t="s">
        <v>1</v>
      </c>
      <c r="V363" s="306">
        <v>696</v>
      </c>
      <c r="W363" s="306" t="s">
        <v>1</v>
      </c>
      <c r="X363" s="286">
        <v>403.2</v>
      </c>
      <c r="Y363" s="285">
        <v>2</v>
      </c>
      <c r="Z363" s="285">
        <v>24</v>
      </c>
      <c r="AA363" s="306">
        <v>696</v>
      </c>
      <c r="AB363" s="306" t="s">
        <v>1</v>
      </c>
      <c r="AC363" s="286">
        <v>403.2</v>
      </c>
      <c r="AD363" s="285">
        <v>2</v>
      </c>
      <c r="AE363" s="285">
        <v>24</v>
      </c>
      <c r="AF363" s="306">
        <v>696</v>
      </c>
      <c r="AG363" s="306" t="s">
        <v>1</v>
      </c>
      <c r="AH363" s="286" t="s">
        <v>1</v>
      </c>
      <c r="AI363" s="295" t="s">
        <v>1</v>
      </c>
      <c r="AJ363" s="295" t="s">
        <v>1</v>
      </c>
      <c r="AK363" s="295" t="s">
        <v>1</v>
      </c>
      <c r="AL363" s="302" t="s">
        <v>1</v>
      </c>
      <c r="AM363" s="288" t="s">
        <v>1</v>
      </c>
      <c r="AN363" s="287" t="s">
        <v>1</v>
      </c>
      <c r="AO363" s="287" t="s">
        <v>1</v>
      </c>
      <c r="AP363" s="286" t="s">
        <v>1</v>
      </c>
      <c r="AQ363" s="285" t="s">
        <v>1</v>
      </c>
      <c r="AR363" s="289" t="s">
        <v>1</v>
      </c>
      <c r="AS363" s="289" t="s">
        <v>1</v>
      </c>
      <c r="AT363" s="290" t="s">
        <v>1</v>
      </c>
      <c r="AU363" s="287" t="s">
        <v>1</v>
      </c>
      <c r="AV363" s="287" t="s">
        <v>1</v>
      </c>
      <c r="AW363" s="291" t="s">
        <v>1</v>
      </c>
    </row>
    <row r="364" spans="1:49" ht="30.15" customHeight="1" x14ac:dyDescent="0.25">
      <c r="A364" s="213" t="s">
        <v>18</v>
      </c>
      <c r="B364" s="188" t="s">
        <v>1</v>
      </c>
      <c r="C364" s="212" t="s">
        <v>34</v>
      </c>
      <c r="D364" s="190" t="s">
        <v>3</v>
      </c>
      <c r="E364" s="190" t="s">
        <v>1169</v>
      </c>
      <c r="F364" s="203"/>
      <c r="G364" s="190" t="s">
        <v>1187</v>
      </c>
      <c r="H364" s="192" t="s">
        <v>409</v>
      </c>
      <c r="I364" s="193">
        <v>932</v>
      </c>
      <c r="J364" s="193">
        <v>955</v>
      </c>
      <c r="K364" s="193">
        <v>955</v>
      </c>
      <c r="L364" s="193">
        <v>1008</v>
      </c>
      <c r="M364" s="194">
        <v>1008</v>
      </c>
      <c r="N364" s="284">
        <v>201.6</v>
      </c>
      <c r="O364" s="285" t="s">
        <v>1</v>
      </c>
      <c r="P364" s="285" t="s">
        <v>1</v>
      </c>
      <c r="Q364" s="306">
        <v>432</v>
      </c>
      <c r="R364" s="306" t="s">
        <v>1</v>
      </c>
      <c r="S364" s="286">
        <v>201.6</v>
      </c>
      <c r="T364" s="285" t="s">
        <v>1</v>
      </c>
      <c r="U364" s="285" t="s">
        <v>1</v>
      </c>
      <c r="V364" s="306">
        <v>432</v>
      </c>
      <c r="W364" s="306" t="s">
        <v>1</v>
      </c>
      <c r="X364" s="286">
        <v>201.6</v>
      </c>
      <c r="Y364" s="285">
        <v>2</v>
      </c>
      <c r="Z364" s="285">
        <v>24</v>
      </c>
      <c r="AA364" s="306">
        <v>432</v>
      </c>
      <c r="AB364" s="306" t="s">
        <v>1</v>
      </c>
      <c r="AC364" s="286">
        <v>201.6</v>
      </c>
      <c r="AD364" s="285">
        <v>2</v>
      </c>
      <c r="AE364" s="285">
        <v>24</v>
      </c>
      <c r="AF364" s="306">
        <v>432</v>
      </c>
      <c r="AG364" s="306" t="s">
        <v>1</v>
      </c>
      <c r="AH364" s="286" t="s">
        <v>1</v>
      </c>
      <c r="AI364" s="295" t="s">
        <v>1</v>
      </c>
      <c r="AJ364" s="295" t="s">
        <v>1</v>
      </c>
      <c r="AK364" s="295" t="s">
        <v>1</v>
      </c>
      <c r="AL364" s="302" t="s">
        <v>1</v>
      </c>
      <c r="AM364" s="288" t="s">
        <v>1</v>
      </c>
      <c r="AN364" s="287" t="s">
        <v>1</v>
      </c>
      <c r="AO364" s="287" t="s">
        <v>1</v>
      </c>
      <c r="AP364" s="286" t="s">
        <v>1</v>
      </c>
      <c r="AQ364" s="285" t="s">
        <v>1</v>
      </c>
      <c r="AR364" s="289" t="s">
        <v>1</v>
      </c>
      <c r="AS364" s="289" t="s">
        <v>1</v>
      </c>
      <c r="AT364" s="290" t="s">
        <v>1</v>
      </c>
      <c r="AU364" s="287" t="s">
        <v>1</v>
      </c>
      <c r="AV364" s="287" t="s">
        <v>1</v>
      </c>
      <c r="AW364" s="291" t="s">
        <v>1</v>
      </c>
    </row>
    <row r="365" spans="1:49" ht="30.15" customHeight="1" x14ac:dyDescent="0.25">
      <c r="A365" s="213" t="s">
        <v>18</v>
      </c>
      <c r="B365" s="188" t="s">
        <v>1</v>
      </c>
      <c r="C365" s="212" t="s">
        <v>34</v>
      </c>
      <c r="D365" s="190" t="s">
        <v>3</v>
      </c>
      <c r="E365" s="190" t="s">
        <v>1170</v>
      </c>
      <c r="F365" s="203"/>
      <c r="G365" s="190" t="s">
        <v>1187</v>
      </c>
      <c r="H365" s="192" t="s">
        <v>409</v>
      </c>
      <c r="I365" s="193">
        <v>932</v>
      </c>
      <c r="J365" s="193">
        <v>955</v>
      </c>
      <c r="K365" s="193">
        <v>955</v>
      </c>
      <c r="L365" s="193">
        <v>1008</v>
      </c>
      <c r="M365" s="194">
        <v>1008</v>
      </c>
      <c r="N365" s="284">
        <v>201.6</v>
      </c>
      <c r="O365" s="285" t="s">
        <v>1</v>
      </c>
      <c r="P365" s="285" t="s">
        <v>1</v>
      </c>
      <c r="Q365" s="306">
        <v>432</v>
      </c>
      <c r="R365" s="306" t="s">
        <v>1</v>
      </c>
      <c r="S365" s="286">
        <v>201.6</v>
      </c>
      <c r="T365" s="285" t="s">
        <v>1</v>
      </c>
      <c r="U365" s="285" t="s">
        <v>1</v>
      </c>
      <c r="V365" s="306">
        <v>432</v>
      </c>
      <c r="W365" s="306" t="s">
        <v>1</v>
      </c>
      <c r="X365" s="286">
        <v>201.6</v>
      </c>
      <c r="Y365" s="285">
        <v>2</v>
      </c>
      <c r="Z365" s="285">
        <v>24</v>
      </c>
      <c r="AA365" s="306">
        <v>432</v>
      </c>
      <c r="AB365" s="306" t="s">
        <v>1</v>
      </c>
      <c r="AC365" s="286">
        <v>201.6</v>
      </c>
      <c r="AD365" s="285">
        <v>2</v>
      </c>
      <c r="AE365" s="285">
        <v>24</v>
      </c>
      <c r="AF365" s="306">
        <v>432</v>
      </c>
      <c r="AG365" s="306" t="s">
        <v>1</v>
      </c>
      <c r="AH365" s="286" t="s">
        <v>1</v>
      </c>
      <c r="AI365" s="295" t="s">
        <v>1</v>
      </c>
      <c r="AJ365" s="295" t="s">
        <v>1</v>
      </c>
      <c r="AK365" s="295" t="s">
        <v>1</v>
      </c>
      <c r="AL365" s="302" t="s">
        <v>1</v>
      </c>
      <c r="AM365" s="288" t="s">
        <v>1</v>
      </c>
      <c r="AN365" s="287" t="s">
        <v>1</v>
      </c>
      <c r="AO365" s="287" t="s">
        <v>1</v>
      </c>
      <c r="AP365" s="286" t="s">
        <v>1</v>
      </c>
      <c r="AQ365" s="285" t="s">
        <v>1</v>
      </c>
      <c r="AR365" s="289" t="s">
        <v>1</v>
      </c>
      <c r="AS365" s="289" t="s">
        <v>1</v>
      </c>
      <c r="AT365" s="290" t="s">
        <v>1</v>
      </c>
      <c r="AU365" s="287" t="s">
        <v>1</v>
      </c>
      <c r="AV365" s="287" t="s">
        <v>1</v>
      </c>
      <c r="AW365" s="291" t="s">
        <v>1</v>
      </c>
    </row>
    <row r="366" spans="1:49" ht="30.15" customHeight="1" x14ac:dyDescent="0.25">
      <c r="A366" s="213" t="s">
        <v>18</v>
      </c>
      <c r="B366" s="188" t="s">
        <v>1</v>
      </c>
      <c r="C366" s="212" t="s">
        <v>34</v>
      </c>
      <c r="D366" s="190" t="s">
        <v>3</v>
      </c>
      <c r="E366" s="190" t="s">
        <v>1171</v>
      </c>
      <c r="F366" s="203"/>
      <c r="G366" s="190" t="s">
        <v>1187</v>
      </c>
      <c r="H366" s="192" t="s">
        <v>409</v>
      </c>
      <c r="I366" s="193">
        <v>932</v>
      </c>
      <c r="J366" s="193">
        <v>955</v>
      </c>
      <c r="K366" s="193">
        <v>955</v>
      </c>
      <c r="L366" s="193">
        <v>1008</v>
      </c>
      <c r="M366" s="194">
        <v>1008</v>
      </c>
      <c r="N366" s="284">
        <v>201.6</v>
      </c>
      <c r="O366" s="285" t="s">
        <v>1</v>
      </c>
      <c r="P366" s="285" t="s">
        <v>1</v>
      </c>
      <c r="Q366" s="306">
        <v>432</v>
      </c>
      <c r="R366" s="306" t="s">
        <v>1</v>
      </c>
      <c r="S366" s="286">
        <v>201.6</v>
      </c>
      <c r="T366" s="285" t="s">
        <v>1</v>
      </c>
      <c r="U366" s="285" t="s">
        <v>1</v>
      </c>
      <c r="V366" s="306">
        <v>432</v>
      </c>
      <c r="W366" s="306" t="s">
        <v>1</v>
      </c>
      <c r="X366" s="286">
        <v>201.6</v>
      </c>
      <c r="Y366" s="285">
        <v>2</v>
      </c>
      <c r="Z366" s="285">
        <v>24</v>
      </c>
      <c r="AA366" s="306">
        <v>432</v>
      </c>
      <c r="AB366" s="306" t="s">
        <v>1</v>
      </c>
      <c r="AC366" s="286">
        <v>201.6</v>
      </c>
      <c r="AD366" s="285">
        <v>2</v>
      </c>
      <c r="AE366" s="285">
        <v>24</v>
      </c>
      <c r="AF366" s="306">
        <v>432</v>
      </c>
      <c r="AG366" s="306" t="s">
        <v>1</v>
      </c>
      <c r="AH366" s="286" t="s">
        <v>1</v>
      </c>
      <c r="AI366" s="295" t="s">
        <v>1</v>
      </c>
      <c r="AJ366" s="295" t="s">
        <v>1</v>
      </c>
      <c r="AK366" s="295" t="s">
        <v>1</v>
      </c>
      <c r="AL366" s="302" t="s">
        <v>1</v>
      </c>
      <c r="AM366" s="288" t="s">
        <v>1</v>
      </c>
      <c r="AN366" s="287" t="s">
        <v>1</v>
      </c>
      <c r="AO366" s="287" t="s">
        <v>1</v>
      </c>
      <c r="AP366" s="286" t="s">
        <v>1</v>
      </c>
      <c r="AQ366" s="285" t="s">
        <v>1</v>
      </c>
      <c r="AR366" s="289" t="s">
        <v>1</v>
      </c>
      <c r="AS366" s="289" t="s">
        <v>1</v>
      </c>
      <c r="AT366" s="290" t="s">
        <v>1</v>
      </c>
      <c r="AU366" s="287" t="s">
        <v>1</v>
      </c>
      <c r="AV366" s="287" t="s">
        <v>1</v>
      </c>
      <c r="AW366" s="291" t="s">
        <v>1</v>
      </c>
    </row>
    <row r="367" spans="1:49" ht="30.15" customHeight="1" x14ac:dyDescent="0.25">
      <c r="A367" s="213" t="s">
        <v>18</v>
      </c>
      <c r="B367" s="188" t="s">
        <v>1</v>
      </c>
      <c r="C367" s="212" t="s">
        <v>34</v>
      </c>
      <c r="D367" s="190" t="s">
        <v>3</v>
      </c>
      <c r="E367" s="190" t="s">
        <v>1172</v>
      </c>
      <c r="F367" s="203"/>
      <c r="G367" s="190" t="s">
        <v>1187</v>
      </c>
      <c r="H367" s="192" t="s">
        <v>409</v>
      </c>
      <c r="I367" s="193">
        <v>932</v>
      </c>
      <c r="J367" s="193">
        <v>955</v>
      </c>
      <c r="K367" s="193">
        <v>955</v>
      </c>
      <c r="L367" s="193">
        <v>1008</v>
      </c>
      <c r="M367" s="194">
        <v>1008</v>
      </c>
      <c r="N367" s="284">
        <v>201.6</v>
      </c>
      <c r="O367" s="285" t="s">
        <v>1</v>
      </c>
      <c r="P367" s="285" t="s">
        <v>1</v>
      </c>
      <c r="Q367" s="306">
        <v>432</v>
      </c>
      <c r="R367" s="306" t="s">
        <v>1</v>
      </c>
      <c r="S367" s="286">
        <v>201.6</v>
      </c>
      <c r="T367" s="285" t="s">
        <v>1</v>
      </c>
      <c r="U367" s="285" t="s">
        <v>1</v>
      </c>
      <c r="V367" s="306">
        <v>432</v>
      </c>
      <c r="W367" s="306" t="s">
        <v>1</v>
      </c>
      <c r="X367" s="286">
        <v>201.6</v>
      </c>
      <c r="Y367" s="285">
        <v>2</v>
      </c>
      <c r="Z367" s="285">
        <v>24</v>
      </c>
      <c r="AA367" s="306">
        <v>432</v>
      </c>
      <c r="AB367" s="306" t="s">
        <v>1</v>
      </c>
      <c r="AC367" s="286">
        <v>201.6</v>
      </c>
      <c r="AD367" s="285">
        <v>2</v>
      </c>
      <c r="AE367" s="285">
        <v>24</v>
      </c>
      <c r="AF367" s="306">
        <v>432</v>
      </c>
      <c r="AG367" s="306" t="s">
        <v>1</v>
      </c>
      <c r="AH367" s="286" t="s">
        <v>1</v>
      </c>
      <c r="AI367" s="295" t="s">
        <v>1</v>
      </c>
      <c r="AJ367" s="295" t="s">
        <v>1</v>
      </c>
      <c r="AK367" s="295" t="s">
        <v>1</v>
      </c>
      <c r="AL367" s="302" t="s">
        <v>1</v>
      </c>
      <c r="AM367" s="288" t="s">
        <v>1</v>
      </c>
      <c r="AN367" s="287" t="s">
        <v>1</v>
      </c>
      <c r="AO367" s="287" t="s">
        <v>1</v>
      </c>
      <c r="AP367" s="286" t="s">
        <v>1</v>
      </c>
      <c r="AQ367" s="285" t="s">
        <v>1</v>
      </c>
      <c r="AR367" s="289" t="s">
        <v>1</v>
      </c>
      <c r="AS367" s="289" t="s">
        <v>1</v>
      </c>
      <c r="AT367" s="290" t="s">
        <v>1</v>
      </c>
      <c r="AU367" s="287" t="s">
        <v>1</v>
      </c>
      <c r="AV367" s="287" t="s">
        <v>1</v>
      </c>
      <c r="AW367" s="291" t="s">
        <v>1</v>
      </c>
    </row>
    <row r="368" spans="1:49" ht="30.15" customHeight="1" x14ac:dyDescent="0.25">
      <c r="A368" s="213" t="s">
        <v>18</v>
      </c>
      <c r="B368" s="188" t="s">
        <v>1</v>
      </c>
      <c r="C368" s="212" t="s">
        <v>34</v>
      </c>
      <c r="D368" s="190" t="s">
        <v>3</v>
      </c>
      <c r="E368" s="190" t="s">
        <v>1173</v>
      </c>
      <c r="F368" s="203"/>
      <c r="G368" s="190" t="s">
        <v>1187</v>
      </c>
      <c r="H368" s="192" t="s">
        <v>409</v>
      </c>
      <c r="I368" s="193">
        <v>932</v>
      </c>
      <c r="J368" s="193">
        <v>955</v>
      </c>
      <c r="K368" s="193">
        <v>955</v>
      </c>
      <c r="L368" s="193">
        <v>1008</v>
      </c>
      <c r="M368" s="194">
        <v>1008</v>
      </c>
      <c r="N368" s="284">
        <v>201.6</v>
      </c>
      <c r="O368" s="285" t="s">
        <v>1</v>
      </c>
      <c r="P368" s="285" t="s">
        <v>1</v>
      </c>
      <c r="Q368" s="306">
        <v>432</v>
      </c>
      <c r="R368" s="306" t="s">
        <v>1</v>
      </c>
      <c r="S368" s="286">
        <v>201.6</v>
      </c>
      <c r="T368" s="285" t="s">
        <v>1</v>
      </c>
      <c r="U368" s="285" t="s">
        <v>1</v>
      </c>
      <c r="V368" s="306">
        <v>432</v>
      </c>
      <c r="W368" s="306" t="s">
        <v>1</v>
      </c>
      <c r="X368" s="286">
        <v>201.6</v>
      </c>
      <c r="Y368" s="285">
        <v>2</v>
      </c>
      <c r="Z368" s="285">
        <v>24</v>
      </c>
      <c r="AA368" s="306">
        <v>432</v>
      </c>
      <c r="AB368" s="306" t="s">
        <v>1</v>
      </c>
      <c r="AC368" s="286">
        <v>201.6</v>
      </c>
      <c r="AD368" s="285">
        <v>2</v>
      </c>
      <c r="AE368" s="285">
        <v>24</v>
      </c>
      <c r="AF368" s="306">
        <v>432</v>
      </c>
      <c r="AG368" s="306" t="s">
        <v>1</v>
      </c>
      <c r="AH368" s="286" t="s">
        <v>1</v>
      </c>
      <c r="AI368" s="295" t="s">
        <v>1</v>
      </c>
      <c r="AJ368" s="295" t="s">
        <v>1</v>
      </c>
      <c r="AK368" s="295" t="s">
        <v>1</v>
      </c>
      <c r="AL368" s="302" t="s">
        <v>1</v>
      </c>
      <c r="AM368" s="288" t="s">
        <v>1</v>
      </c>
      <c r="AN368" s="287" t="s">
        <v>1</v>
      </c>
      <c r="AO368" s="287" t="s">
        <v>1</v>
      </c>
      <c r="AP368" s="286" t="s">
        <v>1</v>
      </c>
      <c r="AQ368" s="285" t="s">
        <v>1</v>
      </c>
      <c r="AR368" s="289" t="s">
        <v>1</v>
      </c>
      <c r="AS368" s="289" t="s">
        <v>1</v>
      </c>
      <c r="AT368" s="290" t="s">
        <v>1</v>
      </c>
      <c r="AU368" s="287" t="s">
        <v>1</v>
      </c>
      <c r="AV368" s="287" t="s">
        <v>1</v>
      </c>
      <c r="AW368" s="291" t="s">
        <v>1</v>
      </c>
    </row>
    <row r="369" spans="1:49" ht="30.15" customHeight="1" x14ac:dyDescent="0.25">
      <c r="A369" s="213" t="s">
        <v>18</v>
      </c>
      <c r="B369" s="188" t="s">
        <v>1</v>
      </c>
      <c r="C369" s="212" t="s">
        <v>34</v>
      </c>
      <c r="D369" s="190" t="s">
        <v>3</v>
      </c>
      <c r="E369" s="190" t="s">
        <v>1247</v>
      </c>
      <c r="F369" s="203"/>
      <c r="G369" s="190" t="s">
        <v>1187</v>
      </c>
      <c r="H369" s="192" t="s">
        <v>409</v>
      </c>
      <c r="I369" s="193">
        <v>932</v>
      </c>
      <c r="J369" s="193">
        <v>955</v>
      </c>
      <c r="K369" s="193">
        <v>955</v>
      </c>
      <c r="L369" s="193">
        <v>1008</v>
      </c>
      <c r="M369" s="194">
        <v>1008</v>
      </c>
      <c r="N369" s="284">
        <v>201.6</v>
      </c>
      <c r="O369" s="285" t="s">
        <v>1</v>
      </c>
      <c r="P369" s="285" t="s">
        <v>1</v>
      </c>
      <c r="Q369" s="306">
        <v>432</v>
      </c>
      <c r="R369" s="306" t="s">
        <v>1</v>
      </c>
      <c r="S369" s="286">
        <v>201.6</v>
      </c>
      <c r="T369" s="285" t="s">
        <v>1</v>
      </c>
      <c r="U369" s="285" t="s">
        <v>1</v>
      </c>
      <c r="V369" s="306">
        <v>432</v>
      </c>
      <c r="W369" s="306" t="s">
        <v>1</v>
      </c>
      <c r="X369" s="286">
        <v>201.6</v>
      </c>
      <c r="Y369" s="285">
        <v>2</v>
      </c>
      <c r="Z369" s="285">
        <v>24</v>
      </c>
      <c r="AA369" s="306">
        <v>432</v>
      </c>
      <c r="AB369" s="306" t="s">
        <v>1</v>
      </c>
      <c r="AC369" s="286">
        <v>201.6</v>
      </c>
      <c r="AD369" s="285">
        <v>2</v>
      </c>
      <c r="AE369" s="285">
        <v>24</v>
      </c>
      <c r="AF369" s="306">
        <v>432</v>
      </c>
      <c r="AG369" s="306" t="s">
        <v>1</v>
      </c>
      <c r="AH369" s="286" t="s">
        <v>1</v>
      </c>
      <c r="AI369" s="295" t="s">
        <v>1</v>
      </c>
      <c r="AJ369" s="295" t="s">
        <v>1</v>
      </c>
      <c r="AK369" s="295" t="s">
        <v>1</v>
      </c>
      <c r="AL369" s="302" t="s">
        <v>1</v>
      </c>
      <c r="AM369" s="288" t="s">
        <v>1</v>
      </c>
      <c r="AN369" s="287" t="s">
        <v>1</v>
      </c>
      <c r="AO369" s="287" t="s">
        <v>1</v>
      </c>
      <c r="AP369" s="286" t="s">
        <v>1</v>
      </c>
      <c r="AQ369" s="285" t="s">
        <v>1</v>
      </c>
      <c r="AR369" s="289" t="s">
        <v>1</v>
      </c>
      <c r="AS369" s="289" t="s">
        <v>1</v>
      </c>
      <c r="AT369" s="290" t="s">
        <v>1</v>
      </c>
      <c r="AU369" s="287" t="s">
        <v>1</v>
      </c>
      <c r="AV369" s="287" t="s">
        <v>1</v>
      </c>
      <c r="AW369" s="291" t="s">
        <v>1</v>
      </c>
    </row>
    <row r="370" spans="1:49" ht="30.15" customHeight="1" x14ac:dyDescent="0.25">
      <c r="A370" s="213" t="s">
        <v>18</v>
      </c>
      <c r="B370" s="188" t="s">
        <v>1</v>
      </c>
      <c r="C370" s="212" t="s">
        <v>34</v>
      </c>
      <c r="D370" s="190" t="s">
        <v>3</v>
      </c>
      <c r="E370" s="190" t="s">
        <v>1174</v>
      </c>
      <c r="F370" s="203"/>
      <c r="G370" s="190" t="s">
        <v>1188</v>
      </c>
      <c r="H370" s="192" t="s">
        <v>409</v>
      </c>
      <c r="I370" s="193">
        <v>999</v>
      </c>
      <c r="J370" s="193">
        <v>1021</v>
      </c>
      <c r="K370" s="193">
        <v>1021</v>
      </c>
      <c r="L370" s="193">
        <v>1080</v>
      </c>
      <c r="M370" s="194">
        <v>1080</v>
      </c>
      <c r="N370" s="284">
        <v>216</v>
      </c>
      <c r="O370" s="285" t="s">
        <v>1</v>
      </c>
      <c r="P370" s="285" t="s">
        <v>1</v>
      </c>
      <c r="Q370" s="306">
        <v>444</v>
      </c>
      <c r="R370" s="306" t="s">
        <v>1</v>
      </c>
      <c r="S370" s="286">
        <v>216</v>
      </c>
      <c r="T370" s="285" t="s">
        <v>1</v>
      </c>
      <c r="U370" s="285" t="s">
        <v>1</v>
      </c>
      <c r="V370" s="306">
        <v>444</v>
      </c>
      <c r="W370" s="306" t="s">
        <v>1</v>
      </c>
      <c r="X370" s="286">
        <v>216</v>
      </c>
      <c r="Y370" s="285">
        <v>1.5</v>
      </c>
      <c r="Z370" s="285">
        <v>24</v>
      </c>
      <c r="AA370" s="306">
        <v>444</v>
      </c>
      <c r="AB370" s="306" t="s">
        <v>1</v>
      </c>
      <c r="AC370" s="286">
        <v>216</v>
      </c>
      <c r="AD370" s="285">
        <v>1.5</v>
      </c>
      <c r="AE370" s="285">
        <v>24</v>
      </c>
      <c r="AF370" s="306">
        <v>444</v>
      </c>
      <c r="AG370" s="306" t="s">
        <v>1</v>
      </c>
      <c r="AH370" s="286" t="s">
        <v>1</v>
      </c>
      <c r="AI370" s="295" t="s">
        <v>1</v>
      </c>
      <c r="AJ370" s="295" t="s">
        <v>1</v>
      </c>
      <c r="AK370" s="295" t="s">
        <v>1</v>
      </c>
      <c r="AL370" s="302" t="s">
        <v>1</v>
      </c>
      <c r="AM370" s="288" t="s">
        <v>1</v>
      </c>
      <c r="AN370" s="287" t="s">
        <v>1</v>
      </c>
      <c r="AO370" s="287" t="s">
        <v>1</v>
      </c>
      <c r="AP370" s="286" t="s">
        <v>1</v>
      </c>
      <c r="AQ370" s="285" t="s">
        <v>1</v>
      </c>
      <c r="AR370" s="289" t="s">
        <v>1</v>
      </c>
      <c r="AS370" s="289" t="s">
        <v>1</v>
      </c>
      <c r="AT370" s="290" t="s">
        <v>1</v>
      </c>
      <c r="AU370" s="287" t="s">
        <v>1</v>
      </c>
      <c r="AV370" s="287" t="s">
        <v>1</v>
      </c>
      <c r="AW370" s="291" t="s">
        <v>1</v>
      </c>
    </row>
    <row r="371" spans="1:49" ht="30.15" customHeight="1" x14ac:dyDescent="0.25">
      <c r="A371" s="213" t="s">
        <v>18</v>
      </c>
      <c r="B371" s="188" t="s">
        <v>1</v>
      </c>
      <c r="C371" s="212" t="s">
        <v>34</v>
      </c>
      <c r="D371" s="190" t="s">
        <v>3</v>
      </c>
      <c r="E371" s="190" t="s">
        <v>1175</v>
      </c>
      <c r="F371" s="203"/>
      <c r="G371" s="190" t="s">
        <v>1188</v>
      </c>
      <c r="H371" s="192" t="s">
        <v>409</v>
      </c>
      <c r="I371" s="193">
        <v>999</v>
      </c>
      <c r="J371" s="193">
        <v>1021</v>
      </c>
      <c r="K371" s="193">
        <v>1021</v>
      </c>
      <c r="L371" s="193">
        <v>1080</v>
      </c>
      <c r="M371" s="194">
        <v>1080</v>
      </c>
      <c r="N371" s="284">
        <v>216</v>
      </c>
      <c r="O371" s="285" t="s">
        <v>1</v>
      </c>
      <c r="P371" s="285" t="s">
        <v>1</v>
      </c>
      <c r="Q371" s="306">
        <v>444</v>
      </c>
      <c r="R371" s="306" t="s">
        <v>1</v>
      </c>
      <c r="S371" s="286">
        <v>216</v>
      </c>
      <c r="T371" s="285" t="s">
        <v>1</v>
      </c>
      <c r="U371" s="285" t="s">
        <v>1</v>
      </c>
      <c r="V371" s="306">
        <v>444</v>
      </c>
      <c r="W371" s="306" t="s">
        <v>1</v>
      </c>
      <c r="X371" s="286">
        <v>216</v>
      </c>
      <c r="Y371" s="285">
        <v>1.5</v>
      </c>
      <c r="Z371" s="285">
        <v>24</v>
      </c>
      <c r="AA371" s="306">
        <v>444</v>
      </c>
      <c r="AB371" s="306" t="s">
        <v>1</v>
      </c>
      <c r="AC371" s="286">
        <v>216</v>
      </c>
      <c r="AD371" s="285">
        <v>1.5</v>
      </c>
      <c r="AE371" s="285">
        <v>24</v>
      </c>
      <c r="AF371" s="306">
        <v>444</v>
      </c>
      <c r="AG371" s="306" t="s">
        <v>1</v>
      </c>
      <c r="AH371" s="286" t="s">
        <v>1</v>
      </c>
      <c r="AI371" s="295" t="s">
        <v>1</v>
      </c>
      <c r="AJ371" s="295" t="s">
        <v>1</v>
      </c>
      <c r="AK371" s="295" t="s">
        <v>1</v>
      </c>
      <c r="AL371" s="302" t="s">
        <v>1</v>
      </c>
      <c r="AM371" s="288" t="s">
        <v>1</v>
      </c>
      <c r="AN371" s="287" t="s">
        <v>1</v>
      </c>
      <c r="AO371" s="287" t="s">
        <v>1</v>
      </c>
      <c r="AP371" s="286" t="s">
        <v>1</v>
      </c>
      <c r="AQ371" s="285" t="s">
        <v>1</v>
      </c>
      <c r="AR371" s="289" t="s">
        <v>1</v>
      </c>
      <c r="AS371" s="289" t="s">
        <v>1</v>
      </c>
      <c r="AT371" s="290" t="s">
        <v>1</v>
      </c>
      <c r="AU371" s="287" t="s">
        <v>1</v>
      </c>
      <c r="AV371" s="287" t="s">
        <v>1</v>
      </c>
      <c r="AW371" s="291" t="s">
        <v>1</v>
      </c>
    </row>
    <row r="372" spans="1:49" ht="30.15" customHeight="1" x14ac:dyDescent="0.25">
      <c r="A372" s="213" t="s">
        <v>18</v>
      </c>
      <c r="B372" s="188" t="s">
        <v>1</v>
      </c>
      <c r="C372" s="212" t="s">
        <v>34</v>
      </c>
      <c r="D372" s="190" t="s">
        <v>3</v>
      </c>
      <c r="E372" s="190" t="s">
        <v>1176</v>
      </c>
      <c r="F372" s="203"/>
      <c r="G372" s="190" t="s">
        <v>1188</v>
      </c>
      <c r="H372" s="192" t="s">
        <v>409</v>
      </c>
      <c r="I372" s="193">
        <v>999</v>
      </c>
      <c r="J372" s="193">
        <v>1021</v>
      </c>
      <c r="K372" s="193">
        <v>1021</v>
      </c>
      <c r="L372" s="193">
        <v>1080</v>
      </c>
      <c r="M372" s="194">
        <v>1080</v>
      </c>
      <c r="N372" s="284">
        <v>216</v>
      </c>
      <c r="O372" s="285" t="s">
        <v>1</v>
      </c>
      <c r="P372" s="285" t="s">
        <v>1</v>
      </c>
      <c r="Q372" s="306">
        <v>444</v>
      </c>
      <c r="R372" s="306" t="s">
        <v>1</v>
      </c>
      <c r="S372" s="286">
        <v>216</v>
      </c>
      <c r="T372" s="285" t="s">
        <v>1</v>
      </c>
      <c r="U372" s="285" t="s">
        <v>1</v>
      </c>
      <c r="V372" s="306">
        <v>444</v>
      </c>
      <c r="W372" s="306" t="s">
        <v>1</v>
      </c>
      <c r="X372" s="286">
        <v>216</v>
      </c>
      <c r="Y372" s="285">
        <v>1.5</v>
      </c>
      <c r="Z372" s="285">
        <v>24</v>
      </c>
      <c r="AA372" s="306">
        <v>444</v>
      </c>
      <c r="AB372" s="306" t="s">
        <v>1</v>
      </c>
      <c r="AC372" s="286">
        <v>216</v>
      </c>
      <c r="AD372" s="285">
        <v>1.5</v>
      </c>
      <c r="AE372" s="285">
        <v>24</v>
      </c>
      <c r="AF372" s="306">
        <v>444</v>
      </c>
      <c r="AG372" s="306" t="s">
        <v>1</v>
      </c>
      <c r="AH372" s="286" t="s">
        <v>1</v>
      </c>
      <c r="AI372" s="295" t="s">
        <v>1</v>
      </c>
      <c r="AJ372" s="295" t="s">
        <v>1</v>
      </c>
      <c r="AK372" s="295" t="s">
        <v>1</v>
      </c>
      <c r="AL372" s="302" t="s">
        <v>1</v>
      </c>
      <c r="AM372" s="288" t="s">
        <v>1</v>
      </c>
      <c r="AN372" s="287" t="s">
        <v>1</v>
      </c>
      <c r="AO372" s="287" t="s">
        <v>1</v>
      </c>
      <c r="AP372" s="286" t="s">
        <v>1</v>
      </c>
      <c r="AQ372" s="285" t="s">
        <v>1</v>
      </c>
      <c r="AR372" s="289" t="s">
        <v>1</v>
      </c>
      <c r="AS372" s="289" t="s">
        <v>1</v>
      </c>
      <c r="AT372" s="290" t="s">
        <v>1</v>
      </c>
      <c r="AU372" s="287" t="s">
        <v>1</v>
      </c>
      <c r="AV372" s="287" t="s">
        <v>1</v>
      </c>
      <c r="AW372" s="291" t="s">
        <v>1</v>
      </c>
    </row>
    <row r="373" spans="1:49" ht="30.15" customHeight="1" x14ac:dyDescent="0.25">
      <c r="A373" s="213" t="s">
        <v>18</v>
      </c>
      <c r="B373" s="188" t="s">
        <v>1</v>
      </c>
      <c r="C373" s="212" t="s">
        <v>34</v>
      </c>
      <c r="D373" s="190" t="s">
        <v>3</v>
      </c>
      <c r="E373" s="190" t="s">
        <v>1177</v>
      </c>
      <c r="F373" s="203"/>
      <c r="G373" s="190" t="s">
        <v>1188</v>
      </c>
      <c r="H373" s="192" t="s">
        <v>409</v>
      </c>
      <c r="I373" s="193">
        <v>999</v>
      </c>
      <c r="J373" s="193">
        <v>1021</v>
      </c>
      <c r="K373" s="193">
        <v>1021</v>
      </c>
      <c r="L373" s="193">
        <v>1080</v>
      </c>
      <c r="M373" s="194">
        <v>1080</v>
      </c>
      <c r="N373" s="284">
        <v>216</v>
      </c>
      <c r="O373" s="285" t="s">
        <v>1</v>
      </c>
      <c r="P373" s="285" t="s">
        <v>1</v>
      </c>
      <c r="Q373" s="306">
        <v>444</v>
      </c>
      <c r="R373" s="306" t="s">
        <v>1</v>
      </c>
      <c r="S373" s="286">
        <v>216</v>
      </c>
      <c r="T373" s="285" t="s">
        <v>1</v>
      </c>
      <c r="U373" s="285" t="s">
        <v>1</v>
      </c>
      <c r="V373" s="306">
        <v>444</v>
      </c>
      <c r="W373" s="306" t="s">
        <v>1</v>
      </c>
      <c r="X373" s="286">
        <v>216</v>
      </c>
      <c r="Y373" s="285">
        <v>1.5</v>
      </c>
      <c r="Z373" s="285">
        <v>24</v>
      </c>
      <c r="AA373" s="306">
        <v>444</v>
      </c>
      <c r="AB373" s="306" t="s">
        <v>1</v>
      </c>
      <c r="AC373" s="286">
        <v>216</v>
      </c>
      <c r="AD373" s="285">
        <v>1.5</v>
      </c>
      <c r="AE373" s="285">
        <v>24</v>
      </c>
      <c r="AF373" s="306">
        <v>444</v>
      </c>
      <c r="AG373" s="306" t="s">
        <v>1</v>
      </c>
      <c r="AH373" s="286" t="s">
        <v>1</v>
      </c>
      <c r="AI373" s="295" t="s">
        <v>1</v>
      </c>
      <c r="AJ373" s="295" t="s">
        <v>1</v>
      </c>
      <c r="AK373" s="295" t="s">
        <v>1</v>
      </c>
      <c r="AL373" s="302" t="s">
        <v>1</v>
      </c>
      <c r="AM373" s="288" t="s">
        <v>1</v>
      </c>
      <c r="AN373" s="287" t="s">
        <v>1</v>
      </c>
      <c r="AO373" s="287" t="s">
        <v>1</v>
      </c>
      <c r="AP373" s="286" t="s">
        <v>1</v>
      </c>
      <c r="AQ373" s="285" t="s">
        <v>1</v>
      </c>
      <c r="AR373" s="289" t="s">
        <v>1</v>
      </c>
      <c r="AS373" s="289" t="s">
        <v>1</v>
      </c>
      <c r="AT373" s="290" t="s">
        <v>1</v>
      </c>
      <c r="AU373" s="287" t="s">
        <v>1</v>
      </c>
      <c r="AV373" s="287" t="s">
        <v>1</v>
      </c>
      <c r="AW373" s="291" t="s">
        <v>1</v>
      </c>
    </row>
    <row r="374" spans="1:49" ht="30.15" customHeight="1" x14ac:dyDescent="0.25">
      <c r="A374" s="213" t="s">
        <v>18</v>
      </c>
      <c r="B374" s="188" t="s">
        <v>1</v>
      </c>
      <c r="C374" s="212" t="s">
        <v>34</v>
      </c>
      <c r="D374" s="190" t="s">
        <v>3</v>
      </c>
      <c r="E374" s="190" t="s">
        <v>1178</v>
      </c>
      <c r="F374" s="203"/>
      <c r="G374" s="190" t="s">
        <v>1188</v>
      </c>
      <c r="H374" s="192" t="s">
        <v>409</v>
      </c>
      <c r="I374" s="193">
        <v>999</v>
      </c>
      <c r="J374" s="193">
        <v>1021</v>
      </c>
      <c r="K374" s="193">
        <v>1021</v>
      </c>
      <c r="L374" s="193">
        <v>1080</v>
      </c>
      <c r="M374" s="194">
        <v>1080</v>
      </c>
      <c r="N374" s="284">
        <v>216</v>
      </c>
      <c r="O374" s="285" t="s">
        <v>1</v>
      </c>
      <c r="P374" s="285" t="s">
        <v>1</v>
      </c>
      <c r="Q374" s="306">
        <v>444</v>
      </c>
      <c r="R374" s="306" t="s">
        <v>1</v>
      </c>
      <c r="S374" s="286">
        <v>216</v>
      </c>
      <c r="T374" s="285" t="s">
        <v>1</v>
      </c>
      <c r="U374" s="285" t="s">
        <v>1</v>
      </c>
      <c r="V374" s="306">
        <v>444</v>
      </c>
      <c r="W374" s="306" t="s">
        <v>1</v>
      </c>
      <c r="X374" s="286">
        <v>216</v>
      </c>
      <c r="Y374" s="285">
        <v>1.5</v>
      </c>
      <c r="Z374" s="285">
        <v>24</v>
      </c>
      <c r="AA374" s="306">
        <v>444</v>
      </c>
      <c r="AB374" s="306" t="s">
        <v>1</v>
      </c>
      <c r="AC374" s="286">
        <v>216</v>
      </c>
      <c r="AD374" s="285">
        <v>1.5</v>
      </c>
      <c r="AE374" s="285">
        <v>24</v>
      </c>
      <c r="AF374" s="306">
        <v>444</v>
      </c>
      <c r="AG374" s="306" t="s">
        <v>1</v>
      </c>
      <c r="AH374" s="286" t="s">
        <v>1</v>
      </c>
      <c r="AI374" s="295" t="s">
        <v>1</v>
      </c>
      <c r="AJ374" s="295" t="s">
        <v>1</v>
      </c>
      <c r="AK374" s="295" t="s">
        <v>1</v>
      </c>
      <c r="AL374" s="302" t="s">
        <v>1</v>
      </c>
      <c r="AM374" s="288" t="s">
        <v>1</v>
      </c>
      <c r="AN374" s="287" t="s">
        <v>1</v>
      </c>
      <c r="AO374" s="287" t="s">
        <v>1</v>
      </c>
      <c r="AP374" s="286" t="s">
        <v>1</v>
      </c>
      <c r="AQ374" s="285" t="s">
        <v>1</v>
      </c>
      <c r="AR374" s="289" t="s">
        <v>1</v>
      </c>
      <c r="AS374" s="289" t="s">
        <v>1</v>
      </c>
      <c r="AT374" s="290" t="s">
        <v>1</v>
      </c>
      <c r="AU374" s="287" t="s">
        <v>1</v>
      </c>
      <c r="AV374" s="287" t="s">
        <v>1</v>
      </c>
      <c r="AW374" s="291" t="s">
        <v>1</v>
      </c>
    </row>
    <row r="375" spans="1:49" ht="30.15" customHeight="1" x14ac:dyDescent="0.25">
      <c r="A375" s="213" t="s">
        <v>18</v>
      </c>
      <c r="B375" s="188" t="s">
        <v>1</v>
      </c>
      <c r="C375" s="212" t="s">
        <v>34</v>
      </c>
      <c r="D375" s="190" t="s">
        <v>3</v>
      </c>
      <c r="E375" s="190" t="s">
        <v>1266</v>
      </c>
      <c r="F375" s="203"/>
      <c r="G375" s="190" t="s">
        <v>1188</v>
      </c>
      <c r="H375" s="192" t="s">
        <v>414</v>
      </c>
      <c r="I375" s="193">
        <v>999</v>
      </c>
      <c r="J375" s="193">
        <v>1021</v>
      </c>
      <c r="K375" s="193">
        <v>1021</v>
      </c>
      <c r="L375" s="193">
        <v>1080</v>
      </c>
      <c r="M375" s="194">
        <v>1080</v>
      </c>
      <c r="N375" s="284">
        <v>216</v>
      </c>
      <c r="O375" s="285" t="s">
        <v>1</v>
      </c>
      <c r="P375" s="285" t="s">
        <v>1</v>
      </c>
      <c r="Q375" s="306">
        <v>444</v>
      </c>
      <c r="R375" s="306" t="s">
        <v>1</v>
      </c>
      <c r="S375" s="286">
        <v>216</v>
      </c>
      <c r="T375" s="285" t="s">
        <v>1</v>
      </c>
      <c r="U375" s="285" t="s">
        <v>1</v>
      </c>
      <c r="V375" s="306">
        <v>444</v>
      </c>
      <c r="W375" s="306" t="s">
        <v>1</v>
      </c>
      <c r="X375" s="286">
        <v>216</v>
      </c>
      <c r="Y375" s="285">
        <v>1.5</v>
      </c>
      <c r="Z375" s="285">
        <v>24</v>
      </c>
      <c r="AA375" s="306">
        <v>444</v>
      </c>
      <c r="AB375" s="306" t="s">
        <v>1</v>
      </c>
      <c r="AC375" s="286">
        <v>216</v>
      </c>
      <c r="AD375" s="285">
        <v>1.5</v>
      </c>
      <c r="AE375" s="285">
        <v>24</v>
      </c>
      <c r="AF375" s="306">
        <v>444</v>
      </c>
      <c r="AG375" s="306" t="s">
        <v>1</v>
      </c>
      <c r="AH375" s="286" t="s">
        <v>1</v>
      </c>
      <c r="AI375" s="295" t="s">
        <v>1</v>
      </c>
      <c r="AJ375" s="295" t="s">
        <v>1</v>
      </c>
      <c r="AK375" s="295" t="s">
        <v>1</v>
      </c>
      <c r="AL375" s="302" t="s">
        <v>1</v>
      </c>
      <c r="AM375" s="288" t="s">
        <v>1</v>
      </c>
      <c r="AN375" s="287" t="s">
        <v>1</v>
      </c>
      <c r="AO375" s="287" t="s">
        <v>1</v>
      </c>
      <c r="AP375" s="286" t="s">
        <v>1</v>
      </c>
      <c r="AQ375" s="285" t="s">
        <v>1</v>
      </c>
      <c r="AR375" s="289" t="s">
        <v>1</v>
      </c>
      <c r="AS375" s="289" t="s">
        <v>1</v>
      </c>
      <c r="AT375" s="290" t="s">
        <v>1</v>
      </c>
      <c r="AU375" s="287" t="s">
        <v>1</v>
      </c>
      <c r="AV375" s="287" t="s">
        <v>1</v>
      </c>
      <c r="AW375" s="291" t="s">
        <v>1</v>
      </c>
    </row>
    <row r="376" spans="1:49" ht="30.15" customHeight="1" x14ac:dyDescent="0.25">
      <c r="A376" s="213" t="s">
        <v>18</v>
      </c>
      <c r="B376" s="188" t="s">
        <v>1</v>
      </c>
      <c r="C376" s="212" t="s">
        <v>34</v>
      </c>
      <c r="D376" s="190" t="s">
        <v>3</v>
      </c>
      <c r="E376" s="190" t="s">
        <v>1179</v>
      </c>
      <c r="F376" s="203"/>
      <c r="G376" s="190" t="s">
        <v>1189</v>
      </c>
      <c r="H376" s="192" t="s">
        <v>409</v>
      </c>
      <c r="I376" s="193">
        <v>1132</v>
      </c>
      <c r="J376" s="193">
        <v>1159</v>
      </c>
      <c r="K376" s="193">
        <v>1159</v>
      </c>
      <c r="L376" s="193">
        <v>1225</v>
      </c>
      <c r="M376" s="194">
        <v>1225</v>
      </c>
      <c r="N376" s="284">
        <v>245</v>
      </c>
      <c r="O376" s="285" t="s">
        <v>1</v>
      </c>
      <c r="P376" s="285" t="s">
        <v>1</v>
      </c>
      <c r="Q376" s="306">
        <v>457</v>
      </c>
      <c r="R376" s="306" t="s">
        <v>1</v>
      </c>
      <c r="S376" s="286">
        <v>245</v>
      </c>
      <c r="T376" s="285" t="s">
        <v>1</v>
      </c>
      <c r="U376" s="285" t="s">
        <v>1</v>
      </c>
      <c r="V376" s="306">
        <v>457</v>
      </c>
      <c r="W376" s="306" t="s">
        <v>1</v>
      </c>
      <c r="X376" s="286">
        <v>245</v>
      </c>
      <c r="Y376" s="285">
        <v>2</v>
      </c>
      <c r="Z376" s="285">
        <v>24</v>
      </c>
      <c r="AA376" s="306">
        <v>457</v>
      </c>
      <c r="AB376" s="306" t="s">
        <v>1</v>
      </c>
      <c r="AC376" s="286">
        <v>245</v>
      </c>
      <c r="AD376" s="285">
        <v>2</v>
      </c>
      <c r="AE376" s="285">
        <v>24</v>
      </c>
      <c r="AF376" s="306">
        <v>457</v>
      </c>
      <c r="AG376" s="306" t="s">
        <v>1</v>
      </c>
      <c r="AH376" s="286" t="s">
        <v>1</v>
      </c>
      <c r="AI376" s="295" t="s">
        <v>1</v>
      </c>
      <c r="AJ376" s="295" t="s">
        <v>1</v>
      </c>
      <c r="AK376" s="295" t="s">
        <v>1</v>
      </c>
      <c r="AL376" s="302" t="s">
        <v>1</v>
      </c>
      <c r="AM376" s="288" t="s">
        <v>1</v>
      </c>
      <c r="AN376" s="287" t="s">
        <v>1</v>
      </c>
      <c r="AO376" s="287" t="s">
        <v>1</v>
      </c>
      <c r="AP376" s="286" t="s">
        <v>1</v>
      </c>
      <c r="AQ376" s="285" t="s">
        <v>1</v>
      </c>
      <c r="AR376" s="289" t="s">
        <v>1</v>
      </c>
      <c r="AS376" s="289" t="s">
        <v>1</v>
      </c>
      <c r="AT376" s="290" t="s">
        <v>1</v>
      </c>
      <c r="AU376" s="287" t="s">
        <v>1</v>
      </c>
      <c r="AV376" s="287" t="s">
        <v>1</v>
      </c>
      <c r="AW376" s="291" t="s">
        <v>1</v>
      </c>
    </row>
    <row r="377" spans="1:49" ht="30.15" customHeight="1" x14ac:dyDescent="0.25">
      <c r="A377" s="213" t="s">
        <v>18</v>
      </c>
      <c r="B377" s="188" t="s">
        <v>1</v>
      </c>
      <c r="C377" s="212" t="s">
        <v>34</v>
      </c>
      <c r="D377" s="190" t="s">
        <v>3</v>
      </c>
      <c r="E377" s="190" t="s">
        <v>1180</v>
      </c>
      <c r="F377" s="203"/>
      <c r="G377" s="190" t="s">
        <v>1189</v>
      </c>
      <c r="H377" s="192" t="s">
        <v>409</v>
      </c>
      <c r="I377" s="193">
        <v>1132</v>
      </c>
      <c r="J377" s="193">
        <v>1159</v>
      </c>
      <c r="K377" s="193">
        <v>1159</v>
      </c>
      <c r="L377" s="193">
        <v>1225</v>
      </c>
      <c r="M377" s="194">
        <v>1225</v>
      </c>
      <c r="N377" s="284">
        <v>245</v>
      </c>
      <c r="O377" s="285" t="s">
        <v>1</v>
      </c>
      <c r="P377" s="285" t="s">
        <v>1</v>
      </c>
      <c r="Q377" s="306">
        <v>457</v>
      </c>
      <c r="R377" s="306" t="s">
        <v>1</v>
      </c>
      <c r="S377" s="286">
        <v>245</v>
      </c>
      <c r="T377" s="285" t="s">
        <v>1</v>
      </c>
      <c r="U377" s="285" t="s">
        <v>1</v>
      </c>
      <c r="V377" s="306">
        <v>457</v>
      </c>
      <c r="W377" s="306" t="s">
        <v>1</v>
      </c>
      <c r="X377" s="286">
        <v>245</v>
      </c>
      <c r="Y377" s="285">
        <v>2</v>
      </c>
      <c r="Z377" s="285">
        <v>24</v>
      </c>
      <c r="AA377" s="306">
        <v>457</v>
      </c>
      <c r="AB377" s="306" t="s">
        <v>1</v>
      </c>
      <c r="AC377" s="286">
        <v>245</v>
      </c>
      <c r="AD377" s="285">
        <v>2</v>
      </c>
      <c r="AE377" s="285">
        <v>24</v>
      </c>
      <c r="AF377" s="306">
        <v>457</v>
      </c>
      <c r="AG377" s="306" t="s">
        <v>1</v>
      </c>
      <c r="AH377" s="286" t="s">
        <v>1</v>
      </c>
      <c r="AI377" s="295" t="s">
        <v>1</v>
      </c>
      <c r="AJ377" s="295" t="s">
        <v>1</v>
      </c>
      <c r="AK377" s="295" t="s">
        <v>1</v>
      </c>
      <c r="AL377" s="302" t="s">
        <v>1</v>
      </c>
      <c r="AM377" s="288" t="s">
        <v>1</v>
      </c>
      <c r="AN377" s="287" t="s">
        <v>1</v>
      </c>
      <c r="AO377" s="287" t="s">
        <v>1</v>
      </c>
      <c r="AP377" s="286" t="s">
        <v>1</v>
      </c>
      <c r="AQ377" s="285" t="s">
        <v>1</v>
      </c>
      <c r="AR377" s="289" t="s">
        <v>1</v>
      </c>
      <c r="AS377" s="289" t="s">
        <v>1</v>
      </c>
      <c r="AT377" s="290" t="s">
        <v>1</v>
      </c>
      <c r="AU377" s="287" t="s">
        <v>1</v>
      </c>
      <c r="AV377" s="287" t="s">
        <v>1</v>
      </c>
      <c r="AW377" s="291" t="s">
        <v>1</v>
      </c>
    </row>
    <row r="378" spans="1:49" ht="30.15" customHeight="1" x14ac:dyDescent="0.25">
      <c r="A378" s="213" t="s">
        <v>18</v>
      </c>
      <c r="B378" s="188" t="s">
        <v>1</v>
      </c>
      <c r="C378" s="212" t="s">
        <v>34</v>
      </c>
      <c r="D378" s="190" t="s">
        <v>3</v>
      </c>
      <c r="E378" s="190" t="s">
        <v>1181</v>
      </c>
      <c r="F378" s="203"/>
      <c r="G378" s="190" t="s">
        <v>1189</v>
      </c>
      <c r="H378" s="192" t="s">
        <v>409</v>
      </c>
      <c r="I378" s="193">
        <v>1132</v>
      </c>
      <c r="J378" s="193">
        <v>1159</v>
      </c>
      <c r="K378" s="193">
        <v>1159</v>
      </c>
      <c r="L378" s="193">
        <v>1225</v>
      </c>
      <c r="M378" s="194">
        <v>1225</v>
      </c>
      <c r="N378" s="284">
        <v>245</v>
      </c>
      <c r="O378" s="285" t="s">
        <v>1</v>
      </c>
      <c r="P378" s="285" t="s">
        <v>1</v>
      </c>
      <c r="Q378" s="306">
        <v>457</v>
      </c>
      <c r="R378" s="306" t="s">
        <v>1</v>
      </c>
      <c r="S378" s="286">
        <v>245</v>
      </c>
      <c r="T378" s="285" t="s">
        <v>1</v>
      </c>
      <c r="U378" s="285" t="s">
        <v>1</v>
      </c>
      <c r="V378" s="306">
        <v>457</v>
      </c>
      <c r="W378" s="306" t="s">
        <v>1</v>
      </c>
      <c r="X378" s="286">
        <v>245</v>
      </c>
      <c r="Y378" s="285">
        <v>2</v>
      </c>
      <c r="Z378" s="285">
        <v>24</v>
      </c>
      <c r="AA378" s="306">
        <v>457</v>
      </c>
      <c r="AB378" s="306" t="s">
        <v>1</v>
      </c>
      <c r="AC378" s="286">
        <v>245</v>
      </c>
      <c r="AD378" s="285">
        <v>2</v>
      </c>
      <c r="AE378" s="285">
        <v>24</v>
      </c>
      <c r="AF378" s="306">
        <v>457</v>
      </c>
      <c r="AG378" s="306" t="s">
        <v>1</v>
      </c>
      <c r="AH378" s="286" t="s">
        <v>1</v>
      </c>
      <c r="AI378" s="295" t="s">
        <v>1</v>
      </c>
      <c r="AJ378" s="295" t="s">
        <v>1</v>
      </c>
      <c r="AK378" s="295" t="s">
        <v>1</v>
      </c>
      <c r="AL378" s="302" t="s">
        <v>1</v>
      </c>
      <c r="AM378" s="288" t="s">
        <v>1</v>
      </c>
      <c r="AN378" s="287" t="s">
        <v>1</v>
      </c>
      <c r="AO378" s="287" t="s">
        <v>1</v>
      </c>
      <c r="AP378" s="286" t="s">
        <v>1</v>
      </c>
      <c r="AQ378" s="285" t="s">
        <v>1</v>
      </c>
      <c r="AR378" s="289" t="s">
        <v>1</v>
      </c>
      <c r="AS378" s="289" t="s">
        <v>1</v>
      </c>
      <c r="AT378" s="290" t="s">
        <v>1</v>
      </c>
      <c r="AU378" s="287" t="s">
        <v>1</v>
      </c>
      <c r="AV378" s="287" t="s">
        <v>1</v>
      </c>
      <c r="AW378" s="291" t="s">
        <v>1</v>
      </c>
    </row>
    <row r="379" spans="1:49" ht="30.15" customHeight="1" x14ac:dyDescent="0.25">
      <c r="A379" s="213" t="s">
        <v>18</v>
      </c>
      <c r="B379" s="188" t="s">
        <v>1</v>
      </c>
      <c r="C379" s="212" t="s">
        <v>34</v>
      </c>
      <c r="D379" s="190" t="s">
        <v>3</v>
      </c>
      <c r="E379" s="190" t="s">
        <v>1182</v>
      </c>
      <c r="F379" s="203"/>
      <c r="G379" s="190" t="s">
        <v>1189</v>
      </c>
      <c r="H379" s="192" t="s">
        <v>409</v>
      </c>
      <c r="I379" s="193">
        <v>1132</v>
      </c>
      <c r="J379" s="193">
        <v>1159</v>
      </c>
      <c r="K379" s="193">
        <v>1159</v>
      </c>
      <c r="L379" s="193">
        <v>1225</v>
      </c>
      <c r="M379" s="194">
        <v>1225</v>
      </c>
      <c r="N379" s="284">
        <v>245</v>
      </c>
      <c r="O379" s="285" t="s">
        <v>1</v>
      </c>
      <c r="P379" s="285" t="s">
        <v>1</v>
      </c>
      <c r="Q379" s="306">
        <v>457</v>
      </c>
      <c r="R379" s="306" t="s">
        <v>1</v>
      </c>
      <c r="S379" s="286">
        <v>245</v>
      </c>
      <c r="T379" s="285" t="s">
        <v>1</v>
      </c>
      <c r="U379" s="285" t="s">
        <v>1</v>
      </c>
      <c r="V379" s="306">
        <v>457</v>
      </c>
      <c r="W379" s="306" t="s">
        <v>1</v>
      </c>
      <c r="X379" s="286">
        <v>245</v>
      </c>
      <c r="Y379" s="285">
        <v>2</v>
      </c>
      <c r="Z379" s="285">
        <v>24</v>
      </c>
      <c r="AA379" s="306">
        <v>457</v>
      </c>
      <c r="AB379" s="306" t="s">
        <v>1</v>
      </c>
      <c r="AC379" s="286">
        <v>245</v>
      </c>
      <c r="AD379" s="285">
        <v>2</v>
      </c>
      <c r="AE379" s="285">
        <v>24</v>
      </c>
      <c r="AF379" s="306">
        <v>457</v>
      </c>
      <c r="AG379" s="306" t="s">
        <v>1</v>
      </c>
      <c r="AH379" s="286" t="s">
        <v>1</v>
      </c>
      <c r="AI379" s="295" t="s">
        <v>1</v>
      </c>
      <c r="AJ379" s="295" t="s">
        <v>1</v>
      </c>
      <c r="AK379" s="295" t="s">
        <v>1</v>
      </c>
      <c r="AL379" s="302" t="s">
        <v>1</v>
      </c>
      <c r="AM379" s="288" t="s">
        <v>1</v>
      </c>
      <c r="AN379" s="287" t="s">
        <v>1</v>
      </c>
      <c r="AO379" s="287" t="s">
        <v>1</v>
      </c>
      <c r="AP379" s="286" t="s">
        <v>1</v>
      </c>
      <c r="AQ379" s="285" t="s">
        <v>1</v>
      </c>
      <c r="AR379" s="289" t="s">
        <v>1</v>
      </c>
      <c r="AS379" s="289" t="s">
        <v>1</v>
      </c>
      <c r="AT379" s="290" t="s">
        <v>1</v>
      </c>
      <c r="AU379" s="287" t="s">
        <v>1</v>
      </c>
      <c r="AV379" s="287" t="s">
        <v>1</v>
      </c>
      <c r="AW379" s="291" t="s">
        <v>1</v>
      </c>
    </row>
    <row r="380" spans="1:49" ht="30.15" customHeight="1" x14ac:dyDescent="0.25">
      <c r="A380" s="213" t="s">
        <v>18</v>
      </c>
      <c r="B380" s="188" t="s">
        <v>1</v>
      </c>
      <c r="C380" s="212" t="s">
        <v>34</v>
      </c>
      <c r="D380" s="190" t="s">
        <v>3</v>
      </c>
      <c r="E380" s="190" t="s">
        <v>1183</v>
      </c>
      <c r="F380" s="203"/>
      <c r="G380" s="190" t="s">
        <v>1189</v>
      </c>
      <c r="H380" s="192" t="s">
        <v>409</v>
      </c>
      <c r="I380" s="193">
        <v>1132</v>
      </c>
      <c r="J380" s="193">
        <v>1159</v>
      </c>
      <c r="K380" s="193">
        <v>1159</v>
      </c>
      <c r="L380" s="193">
        <v>1225</v>
      </c>
      <c r="M380" s="194">
        <v>1225</v>
      </c>
      <c r="N380" s="284">
        <v>245</v>
      </c>
      <c r="O380" s="285" t="s">
        <v>1</v>
      </c>
      <c r="P380" s="285" t="s">
        <v>1</v>
      </c>
      <c r="Q380" s="306">
        <v>457</v>
      </c>
      <c r="R380" s="306" t="s">
        <v>1</v>
      </c>
      <c r="S380" s="286">
        <v>245</v>
      </c>
      <c r="T380" s="285" t="s">
        <v>1</v>
      </c>
      <c r="U380" s="285" t="s">
        <v>1</v>
      </c>
      <c r="V380" s="306">
        <v>457</v>
      </c>
      <c r="W380" s="306" t="s">
        <v>1</v>
      </c>
      <c r="X380" s="286">
        <v>245</v>
      </c>
      <c r="Y380" s="285">
        <v>2</v>
      </c>
      <c r="Z380" s="285">
        <v>24</v>
      </c>
      <c r="AA380" s="306">
        <v>457</v>
      </c>
      <c r="AB380" s="306" t="s">
        <v>1</v>
      </c>
      <c r="AC380" s="286">
        <v>245</v>
      </c>
      <c r="AD380" s="285">
        <v>2</v>
      </c>
      <c r="AE380" s="285">
        <v>24</v>
      </c>
      <c r="AF380" s="306">
        <v>457</v>
      </c>
      <c r="AG380" s="306" t="s">
        <v>1</v>
      </c>
      <c r="AH380" s="286" t="s">
        <v>1</v>
      </c>
      <c r="AI380" s="295" t="s">
        <v>1</v>
      </c>
      <c r="AJ380" s="295" t="s">
        <v>1</v>
      </c>
      <c r="AK380" s="295" t="s">
        <v>1</v>
      </c>
      <c r="AL380" s="302" t="s">
        <v>1</v>
      </c>
      <c r="AM380" s="288" t="s">
        <v>1</v>
      </c>
      <c r="AN380" s="287" t="s">
        <v>1</v>
      </c>
      <c r="AO380" s="287" t="s">
        <v>1</v>
      </c>
      <c r="AP380" s="286" t="s">
        <v>1</v>
      </c>
      <c r="AQ380" s="285" t="s">
        <v>1</v>
      </c>
      <c r="AR380" s="289" t="s">
        <v>1</v>
      </c>
      <c r="AS380" s="289" t="s">
        <v>1</v>
      </c>
      <c r="AT380" s="290" t="s">
        <v>1</v>
      </c>
      <c r="AU380" s="287" t="s">
        <v>1</v>
      </c>
      <c r="AV380" s="287" t="s">
        <v>1</v>
      </c>
      <c r="AW380" s="291" t="s">
        <v>1</v>
      </c>
    </row>
    <row r="381" spans="1:49" ht="30.15" customHeight="1" x14ac:dyDescent="0.25">
      <c r="A381" s="213" t="s">
        <v>18</v>
      </c>
      <c r="B381" s="188" t="s">
        <v>1</v>
      </c>
      <c r="C381" s="212" t="s">
        <v>34</v>
      </c>
      <c r="D381" s="190" t="s">
        <v>3</v>
      </c>
      <c r="E381" s="190" t="s">
        <v>1267</v>
      </c>
      <c r="F381" s="203"/>
      <c r="G381" s="190" t="s">
        <v>1189</v>
      </c>
      <c r="H381" s="192" t="s">
        <v>414</v>
      </c>
      <c r="I381" s="193">
        <v>1132</v>
      </c>
      <c r="J381" s="193">
        <v>1159</v>
      </c>
      <c r="K381" s="193">
        <v>1159</v>
      </c>
      <c r="L381" s="193">
        <v>1225</v>
      </c>
      <c r="M381" s="194">
        <v>1225</v>
      </c>
      <c r="N381" s="284">
        <v>245</v>
      </c>
      <c r="O381" s="285" t="s">
        <v>1</v>
      </c>
      <c r="P381" s="285" t="s">
        <v>1</v>
      </c>
      <c r="Q381" s="306">
        <v>457</v>
      </c>
      <c r="R381" s="306" t="s">
        <v>1</v>
      </c>
      <c r="S381" s="286">
        <v>245</v>
      </c>
      <c r="T381" s="285" t="s">
        <v>1</v>
      </c>
      <c r="U381" s="285" t="s">
        <v>1</v>
      </c>
      <c r="V381" s="306">
        <v>457</v>
      </c>
      <c r="W381" s="306" t="s">
        <v>1</v>
      </c>
      <c r="X381" s="286">
        <v>245</v>
      </c>
      <c r="Y381" s="285">
        <v>2</v>
      </c>
      <c r="Z381" s="285">
        <v>24</v>
      </c>
      <c r="AA381" s="306">
        <v>457</v>
      </c>
      <c r="AB381" s="306" t="s">
        <v>1</v>
      </c>
      <c r="AC381" s="286">
        <v>245</v>
      </c>
      <c r="AD381" s="285">
        <v>2</v>
      </c>
      <c r="AE381" s="285">
        <v>24</v>
      </c>
      <c r="AF381" s="306">
        <v>457</v>
      </c>
      <c r="AG381" s="306" t="s">
        <v>1</v>
      </c>
      <c r="AH381" s="286" t="s">
        <v>1</v>
      </c>
      <c r="AI381" s="295" t="s">
        <v>1</v>
      </c>
      <c r="AJ381" s="295" t="s">
        <v>1</v>
      </c>
      <c r="AK381" s="295" t="s">
        <v>1</v>
      </c>
      <c r="AL381" s="302" t="s">
        <v>1</v>
      </c>
      <c r="AM381" s="288" t="s">
        <v>1</v>
      </c>
      <c r="AN381" s="287" t="s">
        <v>1</v>
      </c>
      <c r="AO381" s="287" t="s">
        <v>1</v>
      </c>
      <c r="AP381" s="286" t="s">
        <v>1</v>
      </c>
      <c r="AQ381" s="285" t="s">
        <v>1</v>
      </c>
      <c r="AR381" s="289" t="s">
        <v>1</v>
      </c>
      <c r="AS381" s="289" t="s">
        <v>1</v>
      </c>
      <c r="AT381" s="290" t="s">
        <v>1</v>
      </c>
      <c r="AU381" s="287" t="s">
        <v>1</v>
      </c>
      <c r="AV381" s="287" t="s">
        <v>1</v>
      </c>
      <c r="AW381" s="291" t="s">
        <v>1</v>
      </c>
    </row>
    <row r="382" spans="1:49" ht="30.15" customHeight="1" x14ac:dyDescent="0.25">
      <c r="A382" s="213" t="s">
        <v>18</v>
      </c>
      <c r="B382" s="188" t="s">
        <v>1</v>
      </c>
      <c r="C382" s="212" t="s">
        <v>34</v>
      </c>
      <c r="D382" s="190" t="s">
        <v>3</v>
      </c>
      <c r="E382" s="190" t="s">
        <v>1122</v>
      </c>
      <c r="F382" s="203"/>
      <c r="G382" s="190" t="s">
        <v>1134</v>
      </c>
      <c r="H382" s="192" t="s">
        <v>409</v>
      </c>
      <c r="I382" s="193">
        <v>1332</v>
      </c>
      <c r="J382" s="193">
        <v>1363</v>
      </c>
      <c r="K382" s="193">
        <v>1363</v>
      </c>
      <c r="L382" s="193">
        <v>1440</v>
      </c>
      <c r="M382" s="194">
        <v>1440</v>
      </c>
      <c r="N382" s="284">
        <v>288</v>
      </c>
      <c r="O382" s="285" t="s">
        <v>1</v>
      </c>
      <c r="P382" s="285" t="s">
        <v>1</v>
      </c>
      <c r="Q382" s="306">
        <v>552</v>
      </c>
      <c r="R382" s="306" t="s">
        <v>1</v>
      </c>
      <c r="S382" s="286">
        <v>288</v>
      </c>
      <c r="T382" s="285" t="s">
        <v>1</v>
      </c>
      <c r="U382" s="285" t="s">
        <v>1</v>
      </c>
      <c r="V382" s="306">
        <v>552</v>
      </c>
      <c r="W382" s="306" t="s">
        <v>1</v>
      </c>
      <c r="X382" s="286">
        <v>288</v>
      </c>
      <c r="Y382" s="285">
        <v>2</v>
      </c>
      <c r="Z382" s="285">
        <v>24</v>
      </c>
      <c r="AA382" s="306">
        <v>552</v>
      </c>
      <c r="AB382" s="306" t="s">
        <v>1</v>
      </c>
      <c r="AC382" s="286">
        <v>288</v>
      </c>
      <c r="AD382" s="285">
        <v>2</v>
      </c>
      <c r="AE382" s="285">
        <v>24</v>
      </c>
      <c r="AF382" s="306">
        <v>552</v>
      </c>
      <c r="AG382" s="306" t="s">
        <v>1</v>
      </c>
      <c r="AH382" s="286" t="s">
        <v>1</v>
      </c>
      <c r="AI382" s="295" t="s">
        <v>1</v>
      </c>
      <c r="AJ382" s="295" t="s">
        <v>1</v>
      </c>
      <c r="AK382" s="295" t="s">
        <v>1</v>
      </c>
      <c r="AL382" s="302" t="s">
        <v>1</v>
      </c>
      <c r="AM382" s="288" t="s">
        <v>1</v>
      </c>
      <c r="AN382" s="287" t="s">
        <v>1</v>
      </c>
      <c r="AO382" s="287" t="s">
        <v>1</v>
      </c>
      <c r="AP382" s="286" t="s">
        <v>1</v>
      </c>
      <c r="AQ382" s="285" t="s">
        <v>1</v>
      </c>
      <c r="AR382" s="289" t="s">
        <v>1</v>
      </c>
      <c r="AS382" s="289" t="s">
        <v>1</v>
      </c>
      <c r="AT382" s="290" t="s">
        <v>1</v>
      </c>
      <c r="AU382" s="287" t="s">
        <v>1</v>
      </c>
      <c r="AV382" s="287" t="s">
        <v>1</v>
      </c>
      <c r="AW382" s="291" t="s">
        <v>1</v>
      </c>
    </row>
    <row r="383" spans="1:49" ht="30.15" customHeight="1" x14ac:dyDescent="0.25">
      <c r="A383" s="213" t="s">
        <v>18</v>
      </c>
      <c r="B383" s="188" t="s">
        <v>1</v>
      </c>
      <c r="C383" s="212" t="s">
        <v>34</v>
      </c>
      <c r="D383" s="190" t="s">
        <v>3</v>
      </c>
      <c r="E383" s="190" t="s">
        <v>1123</v>
      </c>
      <c r="F383" s="203"/>
      <c r="G383" s="190" t="s">
        <v>1134</v>
      </c>
      <c r="H383" s="192" t="s">
        <v>409</v>
      </c>
      <c r="I383" s="193">
        <v>1332</v>
      </c>
      <c r="J383" s="193">
        <v>1363</v>
      </c>
      <c r="K383" s="193">
        <v>1363</v>
      </c>
      <c r="L383" s="193">
        <v>1440</v>
      </c>
      <c r="M383" s="194">
        <v>1440</v>
      </c>
      <c r="N383" s="284">
        <v>288</v>
      </c>
      <c r="O383" s="285" t="s">
        <v>1</v>
      </c>
      <c r="P383" s="285" t="s">
        <v>1</v>
      </c>
      <c r="Q383" s="306">
        <v>552</v>
      </c>
      <c r="R383" s="306" t="s">
        <v>1</v>
      </c>
      <c r="S383" s="286">
        <v>288</v>
      </c>
      <c r="T383" s="285" t="s">
        <v>1</v>
      </c>
      <c r="U383" s="285" t="s">
        <v>1</v>
      </c>
      <c r="V383" s="306">
        <v>552</v>
      </c>
      <c r="W383" s="306" t="s">
        <v>1</v>
      </c>
      <c r="X383" s="286">
        <v>288</v>
      </c>
      <c r="Y383" s="285">
        <v>2</v>
      </c>
      <c r="Z383" s="285">
        <v>24</v>
      </c>
      <c r="AA383" s="306">
        <v>552</v>
      </c>
      <c r="AB383" s="306" t="s">
        <v>1</v>
      </c>
      <c r="AC383" s="286">
        <v>288</v>
      </c>
      <c r="AD383" s="285">
        <v>2</v>
      </c>
      <c r="AE383" s="285">
        <v>24</v>
      </c>
      <c r="AF383" s="306">
        <v>552</v>
      </c>
      <c r="AG383" s="306" t="s">
        <v>1</v>
      </c>
      <c r="AH383" s="286" t="s">
        <v>1</v>
      </c>
      <c r="AI383" s="295" t="s">
        <v>1</v>
      </c>
      <c r="AJ383" s="295" t="s">
        <v>1</v>
      </c>
      <c r="AK383" s="295" t="s">
        <v>1</v>
      </c>
      <c r="AL383" s="302" t="s">
        <v>1</v>
      </c>
      <c r="AM383" s="288" t="s">
        <v>1</v>
      </c>
      <c r="AN383" s="287" t="s">
        <v>1</v>
      </c>
      <c r="AO383" s="287" t="s">
        <v>1</v>
      </c>
      <c r="AP383" s="286" t="s">
        <v>1</v>
      </c>
      <c r="AQ383" s="285" t="s">
        <v>1</v>
      </c>
      <c r="AR383" s="289" t="s">
        <v>1</v>
      </c>
      <c r="AS383" s="289" t="s">
        <v>1</v>
      </c>
      <c r="AT383" s="290" t="s">
        <v>1</v>
      </c>
      <c r="AU383" s="287" t="s">
        <v>1</v>
      </c>
      <c r="AV383" s="287" t="s">
        <v>1</v>
      </c>
      <c r="AW383" s="291" t="s">
        <v>1</v>
      </c>
    </row>
    <row r="384" spans="1:49" ht="30.15" customHeight="1" x14ac:dyDescent="0.25">
      <c r="A384" s="213" t="s">
        <v>18</v>
      </c>
      <c r="B384" s="188" t="s">
        <v>1</v>
      </c>
      <c r="C384" s="212" t="s">
        <v>34</v>
      </c>
      <c r="D384" s="190" t="s">
        <v>3</v>
      </c>
      <c r="E384" s="190" t="s">
        <v>1124</v>
      </c>
      <c r="F384" s="203"/>
      <c r="G384" s="190" t="s">
        <v>1134</v>
      </c>
      <c r="H384" s="192" t="s">
        <v>409</v>
      </c>
      <c r="I384" s="193">
        <v>1332</v>
      </c>
      <c r="J384" s="193">
        <v>1363</v>
      </c>
      <c r="K384" s="193">
        <v>1363</v>
      </c>
      <c r="L384" s="193">
        <v>1440</v>
      </c>
      <c r="M384" s="194">
        <v>1440</v>
      </c>
      <c r="N384" s="284">
        <v>288</v>
      </c>
      <c r="O384" s="285" t="s">
        <v>1</v>
      </c>
      <c r="P384" s="285" t="s">
        <v>1</v>
      </c>
      <c r="Q384" s="306">
        <v>552</v>
      </c>
      <c r="R384" s="306" t="s">
        <v>1</v>
      </c>
      <c r="S384" s="286">
        <v>288</v>
      </c>
      <c r="T384" s="285" t="s">
        <v>1</v>
      </c>
      <c r="U384" s="285" t="s">
        <v>1</v>
      </c>
      <c r="V384" s="306">
        <v>552</v>
      </c>
      <c r="W384" s="306" t="s">
        <v>1</v>
      </c>
      <c r="X384" s="286">
        <v>288</v>
      </c>
      <c r="Y384" s="285">
        <v>2</v>
      </c>
      <c r="Z384" s="285">
        <v>24</v>
      </c>
      <c r="AA384" s="306">
        <v>552</v>
      </c>
      <c r="AB384" s="306" t="s">
        <v>1</v>
      </c>
      <c r="AC384" s="286">
        <v>288</v>
      </c>
      <c r="AD384" s="285">
        <v>2</v>
      </c>
      <c r="AE384" s="285">
        <v>24</v>
      </c>
      <c r="AF384" s="306">
        <v>552</v>
      </c>
      <c r="AG384" s="306" t="s">
        <v>1</v>
      </c>
      <c r="AH384" s="286" t="s">
        <v>1</v>
      </c>
      <c r="AI384" s="295" t="s">
        <v>1</v>
      </c>
      <c r="AJ384" s="295" t="s">
        <v>1</v>
      </c>
      <c r="AK384" s="295" t="s">
        <v>1</v>
      </c>
      <c r="AL384" s="302" t="s">
        <v>1</v>
      </c>
      <c r="AM384" s="288" t="s">
        <v>1</v>
      </c>
      <c r="AN384" s="287" t="s">
        <v>1</v>
      </c>
      <c r="AO384" s="287" t="s">
        <v>1</v>
      </c>
      <c r="AP384" s="286" t="s">
        <v>1</v>
      </c>
      <c r="AQ384" s="285" t="s">
        <v>1</v>
      </c>
      <c r="AR384" s="289" t="s">
        <v>1</v>
      </c>
      <c r="AS384" s="289" t="s">
        <v>1</v>
      </c>
      <c r="AT384" s="290" t="s">
        <v>1</v>
      </c>
      <c r="AU384" s="287" t="s">
        <v>1</v>
      </c>
      <c r="AV384" s="287" t="s">
        <v>1</v>
      </c>
      <c r="AW384" s="291" t="s">
        <v>1</v>
      </c>
    </row>
    <row r="385" spans="1:49" ht="30.15" customHeight="1" x14ac:dyDescent="0.25">
      <c r="A385" s="213" t="s">
        <v>18</v>
      </c>
      <c r="B385" s="188" t="s">
        <v>1</v>
      </c>
      <c r="C385" s="212" t="s">
        <v>34</v>
      </c>
      <c r="D385" s="190" t="s">
        <v>3</v>
      </c>
      <c r="E385" s="190" t="s">
        <v>1125</v>
      </c>
      <c r="F385" s="203"/>
      <c r="G385" s="190" t="s">
        <v>1134</v>
      </c>
      <c r="H385" s="192" t="s">
        <v>409</v>
      </c>
      <c r="I385" s="193">
        <v>1332</v>
      </c>
      <c r="J385" s="193">
        <v>1363</v>
      </c>
      <c r="K385" s="193">
        <v>1363</v>
      </c>
      <c r="L385" s="193">
        <v>1440</v>
      </c>
      <c r="M385" s="194">
        <v>1440</v>
      </c>
      <c r="N385" s="284">
        <v>288</v>
      </c>
      <c r="O385" s="285" t="s">
        <v>1</v>
      </c>
      <c r="P385" s="285" t="s">
        <v>1</v>
      </c>
      <c r="Q385" s="306">
        <v>552</v>
      </c>
      <c r="R385" s="306" t="s">
        <v>1</v>
      </c>
      <c r="S385" s="286">
        <v>288</v>
      </c>
      <c r="T385" s="285" t="s">
        <v>1</v>
      </c>
      <c r="U385" s="285" t="s">
        <v>1</v>
      </c>
      <c r="V385" s="306">
        <v>552</v>
      </c>
      <c r="W385" s="306" t="s">
        <v>1</v>
      </c>
      <c r="X385" s="286">
        <v>288</v>
      </c>
      <c r="Y385" s="285">
        <v>2</v>
      </c>
      <c r="Z385" s="285">
        <v>24</v>
      </c>
      <c r="AA385" s="306">
        <v>552</v>
      </c>
      <c r="AB385" s="306" t="s">
        <v>1</v>
      </c>
      <c r="AC385" s="286">
        <v>288</v>
      </c>
      <c r="AD385" s="285">
        <v>2</v>
      </c>
      <c r="AE385" s="285">
        <v>24</v>
      </c>
      <c r="AF385" s="306">
        <v>552</v>
      </c>
      <c r="AG385" s="306" t="s">
        <v>1</v>
      </c>
      <c r="AH385" s="286" t="s">
        <v>1</v>
      </c>
      <c r="AI385" s="295" t="s">
        <v>1</v>
      </c>
      <c r="AJ385" s="295" t="s">
        <v>1</v>
      </c>
      <c r="AK385" s="295" t="s">
        <v>1</v>
      </c>
      <c r="AL385" s="302" t="s">
        <v>1</v>
      </c>
      <c r="AM385" s="288" t="s">
        <v>1</v>
      </c>
      <c r="AN385" s="287" t="s">
        <v>1</v>
      </c>
      <c r="AO385" s="287" t="s">
        <v>1</v>
      </c>
      <c r="AP385" s="286" t="s">
        <v>1</v>
      </c>
      <c r="AQ385" s="285" t="s">
        <v>1</v>
      </c>
      <c r="AR385" s="289" t="s">
        <v>1</v>
      </c>
      <c r="AS385" s="289" t="s">
        <v>1</v>
      </c>
      <c r="AT385" s="290" t="s">
        <v>1</v>
      </c>
      <c r="AU385" s="287" t="s">
        <v>1</v>
      </c>
      <c r="AV385" s="287" t="s">
        <v>1</v>
      </c>
      <c r="AW385" s="291" t="s">
        <v>1</v>
      </c>
    </row>
    <row r="386" spans="1:49" ht="30.15" customHeight="1" x14ac:dyDescent="0.25">
      <c r="A386" s="213" t="s">
        <v>18</v>
      </c>
      <c r="B386" s="188" t="s">
        <v>1</v>
      </c>
      <c r="C386" s="212" t="s">
        <v>34</v>
      </c>
      <c r="D386" s="190" t="s">
        <v>3</v>
      </c>
      <c r="E386" s="190" t="s">
        <v>1126</v>
      </c>
      <c r="F386" s="203"/>
      <c r="G386" s="190" t="s">
        <v>1135</v>
      </c>
      <c r="H386" s="192" t="s">
        <v>409</v>
      </c>
      <c r="I386" s="193">
        <v>1466</v>
      </c>
      <c r="J386" s="193">
        <v>1501</v>
      </c>
      <c r="K386" s="193">
        <v>1501</v>
      </c>
      <c r="L386" s="193">
        <v>1584</v>
      </c>
      <c r="M386" s="194">
        <v>1584</v>
      </c>
      <c r="N386" s="284">
        <v>316.8</v>
      </c>
      <c r="O386" s="285" t="s">
        <v>1</v>
      </c>
      <c r="P386" s="285" t="s">
        <v>1</v>
      </c>
      <c r="Q386" s="306">
        <v>576</v>
      </c>
      <c r="R386" s="306" t="s">
        <v>1</v>
      </c>
      <c r="S386" s="286">
        <v>316.8</v>
      </c>
      <c r="T386" s="285" t="s">
        <v>1</v>
      </c>
      <c r="U386" s="285" t="s">
        <v>1</v>
      </c>
      <c r="V386" s="306">
        <v>576</v>
      </c>
      <c r="W386" s="306" t="s">
        <v>1</v>
      </c>
      <c r="X386" s="286">
        <v>316.8</v>
      </c>
      <c r="Y386" s="285">
        <v>2</v>
      </c>
      <c r="Z386" s="285">
        <v>24</v>
      </c>
      <c r="AA386" s="306">
        <v>576</v>
      </c>
      <c r="AB386" s="306" t="s">
        <v>1</v>
      </c>
      <c r="AC386" s="286">
        <v>316.8</v>
      </c>
      <c r="AD386" s="285">
        <v>2</v>
      </c>
      <c r="AE386" s="285">
        <v>24</v>
      </c>
      <c r="AF386" s="306">
        <v>576</v>
      </c>
      <c r="AG386" s="306" t="s">
        <v>1</v>
      </c>
      <c r="AH386" s="286" t="s">
        <v>1</v>
      </c>
      <c r="AI386" s="295" t="s">
        <v>1</v>
      </c>
      <c r="AJ386" s="295" t="s">
        <v>1</v>
      </c>
      <c r="AK386" s="295" t="s">
        <v>1</v>
      </c>
      <c r="AL386" s="302" t="s">
        <v>1</v>
      </c>
      <c r="AM386" s="288" t="s">
        <v>1</v>
      </c>
      <c r="AN386" s="287" t="s">
        <v>1</v>
      </c>
      <c r="AO386" s="287" t="s">
        <v>1</v>
      </c>
      <c r="AP386" s="286" t="s">
        <v>1</v>
      </c>
      <c r="AQ386" s="285" t="s">
        <v>1</v>
      </c>
      <c r="AR386" s="289" t="s">
        <v>1</v>
      </c>
      <c r="AS386" s="289" t="s">
        <v>1</v>
      </c>
      <c r="AT386" s="290" t="s">
        <v>1</v>
      </c>
      <c r="AU386" s="287" t="s">
        <v>1</v>
      </c>
      <c r="AV386" s="287" t="s">
        <v>1</v>
      </c>
      <c r="AW386" s="291" t="s">
        <v>1</v>
      </c>
    </row>
    <row r="387" spans="1:49" ht="30.15" customHeight="1" x14ac:dyDescent="0.25">
      <c r="A387" s="213" t="s">
        <v>18</v>
      </c>
      <c r="B387" s="188" t="s">
        <v>1</v>
      </c>
      <c r="C387" s="212" t="s">
        <v>34</v>
      </c>
      <c r="D387" s="190" t="s">
        <v>3</v>
      </c>
      <c r="E387" s="190" t="s">
        <v>1127</v>
      </c>
      <c r="F387" s="203"/>
      <c r="G387" s="190" t="s">
        <v>1135</v>
      </c>
      <c r="H387" s="192" t="s">
        <v>409</v>
      </c>
      <c r="I387" s="193">
        <v>1466</v>
      </c>
      <c r="J387" s="193">
        <v>1501</v>
      </c>
      <c r="K387" s="193">
        <v>1501</v>
      </c>
      <c r="L387" s="193">
        <v>1584</v>
      </c>
      <c r="M387" s="194">
        <v>1584</v>
      </c>
      <c r="N387" s="284">
        <v>316.8</v>
      </c>
      <c r="O387" s="285" t="s">
        <v>1</v>
      </c>
      <c r="P387" s="285" t="s">
        <v>1</v>
      </c>
      <c r="Q387" s="306">
        <v>576</v>
      </c>
      <c r="R387" s="306" t="s">
        <v>1</v>
      </c>
      <c r="S387" s="286">
        <v>316.8</v>
      </c>
      <c r="T387" s="285" t="s">
        <v>1</v>
      </c>
      <c r="U387" s="285" t="s">
        <v>1</v>
      </c>
      <c r="V387" s="306">
        <v>576</v>
      </c>
      <c r="W387" s="306" t="s">
        <v>1</v>
      </c>
      <c r="X387" s="286">
        <v>316.8</v>
      </c>
      <c r="Y387" s="285">
        <v>2</v>
      </c>
      <c r="Z387" s="285">
        <v>24</v>
      </c>
      <c r="AA387" s="306">
        <v>576</v>
      </c>
      <c r="AB387" s="306" t="s">
        <v>1</v>
      </c>
      <c r="AC387" s="286">
        <v>316.8</v>
      </c>
      <c r="AD387" s="285">
        <v>2</v>
      </c>
      <c r="AE387" s="285">
        <v>24</v>
      </c>
      <c r="AF387" s="306">
        <v>576</v>
      </c>
      <c r="AG387" s="306" t="s">
        <v>1</v>
      </c>
      <c r="AH387" s="286" t="s">
        <v>1</v>
      </c>
      <c r="AI387" s="295" t="s">
        <v>1</v>
      </c>
      <c r="AJ387" s="295" t="s">
        <v>1</v>
      </c>
      <c r="AK387" s="295" t="s">
        <v>1</v>
      </c>
      <c r="AL387" s="302" t="s">
        <v>1</v>
      </c>
      <c r="AM387" s="288" t="s">
        <v>1</v>
      </c>
      <c r="AN387" s="287" t="s">
        <v>1</v>
      </c>
      <c r="AO387" s="287" t="s">
        <v>1</v>
      </c>
      <c r="AP387" s="286" t="s">
        <v>1</v>
      </c>
      <c r="AQ387" s="285" t="s">
        <v>1</v>
      </c>
      <c r="AR387" s="289" t="s">
        <v>1</v>
      </c>
      <c r="AS387" s="289" t="s">
        <v>1</v>
      </c>
      <c r="AT387" s="290" t="s">
        <v>1</v>
      </c>
      <c r="AU387" s="287" t="s">
        <v>1</v>
      </c>
      <c r="AV387" s="287" t="s">
        <v>1</v>
      </c>
      <c r="AW387" s="291" t="s">
        <v>1</v>
      </c>
    </row>
    <row r="388" spans="1:49" ht="30.15" customHeight="1" x14ac:dyDescent="0.25">
      <c r="A388" s="213" t="s">
        <v>18</v>
      </c>
      <c r="B388" s="188" t="s">
        <v>1</v>
      </c>
      <c r="C388" s="212" t="s">
        <v>34</v>
      </c>
      <c r="D388" s="190" t="s">
        <v>3</v>
      </c>
      <c r="E388" s="190" t="s">
        <v>1128</v>
      </c>
      <c r="F388" s="203"/>
      <c r="G388" s="190" t="s">
        <v>1135</v>
      </c>
      <c r="H388" s="192" t="s">
        <v>409</v>
      </c>
      <c r="I388" s="193">
        <v>1466</v>
      </c>
      <c r="J388" s="193">
        <v>1501</v>
      </c>
      <c r="K388" s="193">
        <v>1501</v>
      </c>
      <c r="L388" s="193">
        <v>1584</v>
      </c>
      <c r="M388" s="194">
        <v>1584</v>
      </c>
      <c r="N388" s="284">
        <v>316.8</v>
      </c>
      <c r="O388" s="285" t="s">
        <v>1</v>
      </c>
      <c r="P388" s="285" t="s">
        <v>1</v>
      </c>
      <c r="Q388" s="306">
        <v>576</v>
      </c>
      <c r="R388" s="306" t="s">
        <v>1</v>
      </c>
      <c r="S388" s="286">
        <v>316.8</v>
      </c>
      <c r="T388" s="285" t="s">
        <v>1</v>
      </c>
      <c r="U388" s="285" t="s">
        <v>1</v>
      </c>
      <c r="V388" s="306">
        <v>576</v>
      </c>
      <c r="W388" s="306" t="s">
        <v>1</v>
      </c>
      <c r="X388" s="286">
        <v>316.8</v>
      </c>
      <c r="Y388" s="285">
        <v>2</v>
      </c>
      <c r="Z388" s="285">
        <v>24</v>
      </c>
      <c r="AA388" s="306">
        <v>576</v>
      </c>
      <c r="AB388" s="306" t="s">
        <v>1</v>
      </c>
      <c r="AC388" s="286">
        <v>316.8</v>
      </c>
      <c r="AD388" s="285">
        <v>2</v>
      </c>
      <c r="AE388" s="285">
        <v>24</v>
      </c>
      <c r="AF388" s="306">
        <v>576</v>
      </c>
      <c r="AG388" s="306" t="s">
        <v>1</v>
      </c>
      <c r="AH388" s="286" t="s">
        <v>1</v>
      </c>
      <c r="AI388" s="295" t="s">
        <v>1</v>
      </c>
      <c r="AJ388" s="295" t="s">
        <v>1</v>
      </c>
      <c r="AK388" s="295" t="s">
        <v>1</v>
      </c>
      <c r="AL388" s="302" t="s">
        <v>1</v>
      </c>
      <c r="AM388" s="288" t="s">
        <v>1</v>
      </c>
      <c r="AN388" s="287" t="s">
        <v>1</v>
      </c>
      <c r="AO388" s="287" t="s">
        <v>1</v>
      </c>
      <c r="AP388" s="286" t="s">
        <v>1</v>
      </c>
      <c r="AQ388" s="285" t="s">
        <v>1</v>
      </c>
      <c r="AR388" s="289" t="s">
        <v>1</v>
      </c>
      <c r="AS388" s="289" t="s">
        <v>1</v>
      </c>
      <c r="AT388" s="290" t="s">
        <v>1</v>
      </c>
      <c r="AU388" s="287" t="s">
        <v>1</v>
      </c>
      <c r="AV388" s="287" t="s">
        <v>1</v>
      </c>
      <c r="AW388" s="291" t="s">
        <v>1</v>
      </c>
    </row>
    <row r="389" spans="1:49" ht="30.15" customHeight="1" x14ac:dyDescent="0.25">
      <c r="A389" s="213" t="s">
        <v>18</v>
      </c>
      <c r="B389" s="188" t="s">
        <v>1</v>
      </c>
      <c r="C389" s="212" t="s">
        <v>34</v>
      </c>
      <c r="D389" s="190" t="s">
        <v>3</v>
      </c>
      <c r="E389" s="190" t="s">
        <v>1129</v>
      </c>
      <c r="F389" s="203"/>
      <c r="G389" s="190" t="s">
        <v>1135</v>
      </c>
      <c r="H389" s="192" t="s">
        <v>409</v>
      </c>
      <c r="I389" s="193">
        <v>1466</v>
      </c>
      <c r="J389" s="193">
        <v>1501</v>
      </c>
      <c r="K389" s="193">
        <v>1501</v>
      </c>
      <c r="L389" s="193">
        <v>1584</v>
      </c>
      <c r="M389" s="194">
        <v>1584</v>
      </c>
      <c r="N389" s="284">
        <v>316.8</v>
      </c>
      <c r="O389" s="285" t="s">
        <v>1</v>
      </c>
      <c r="P389" s="285" t="s">
        <v>1</v>
      </c>
      <c r="Q389" s="306">
        <v>576</v>
      </c>
      <c r="R389" s="306" t="s">
        <v>1</v>
      </c>
      <c r="S389" s="286">
        <v>316.8</v>
      </c>
      <c r="T389" s="285" t="s">
        <v>1</v>
      </c>
      <c r="U389" s="285" t="s">
        <v>1</v>
      </c>
      <c r="V389" s="306">
        <v>576</v>
      </c>
      <c r="W389" s="306" t="s">
        <v>1</v>
      </c>
      <c r="X389" s="286">
        <v>316.8</v>
      </c>
      <c r="Y389" s="285">
        <v>2</v>
      </c>
      <c r="Z389" s="285">
        <v>24</v>
      </c>
      <c r="AA389" s="306">
        <v>576</v>
      </c>
      <c r="AB389" s="306" t="s">
        <v>1</v>
      </c>
      <c r="AC389" s="286">
        <v>316.8</v>
      </c>
      <c r="AD389" s="285">
        <v>2</v>
      </c>
      <c r="AE389" s="285">
        <v>24</v>
      </c>
      <c r="AF389" s="306">
        <v>576</v>
      </c>
      <c r="AG389" s="306" t="s">
        <v>1</v>
      </c>
      <c r="AH389" s="286" t="s">
        <v>1</v>
      </c>
      <c r="AI389" s="295" t="s">
        <v>1</v>
      </c>
      <c r="AJ389" s="295" t="s">
        <v>1</v>
      </c>
      <c r="AK389" s="295" t="s">
        <v>1</v>
      </c>
      <c r="AL389" s="302" t="s">
        <v>1</v>
      </c>
      <c r="AM389" s="288" t="s">
        <v>1</v>
      </c>
      <c r="AN389" s="287" t="s">
        <v>1</v>
      </c>
      <c r="AO389" s="287" t="s">
        <v>1</v>
      </c>
      <c r="AP389" s="286" t="s">
        <v>1</v>
      </c>
      <c r="AQ389" s="285" t="s">
        <v>1</v>
      </c>
      <c r="AR389" s="289" t="s">
        <v>1</v>
      </c>
      <c r="AS389" s="289" t="s">
        <v>1</v>
      </c>
      <c r="AT389" s="290" t="s">
        <v>1</v>
      </c>
      <c r="AU389" s="287" t="s">
        <v>1</v>
      </c>
      <c r="AV389" s="287" t="s">
        <v>1</v>
      </c>
      <c r="AW389" s="291" t="s">
        <v>1</v>
      </c>
    </row>
    <row r="390" spans="1:49" ht="30.15" customHeight="1" x14ac:dyDescent="0.25">
      <c r="A390" s="213" t="s">
        <v>18</v>
      </c>
      <c r="B390" s="188" t="s">
        <v>1</v>
      </c>
      <c r="C390" s="212" t="s">
        <v>34</v>
      </c>
      <c r="D390" s="190" t="s">
        <v>3</v>
      </c>
      <c r="E390" s="190" t="s">
        <v>1130</v>
      </c>
      <c r="F390" s="203"/>
      <c r="G390" s="190" t="s">
        <v>1136</v>
      </c>
      <c r="H390" s="192" t="s">
        <v>409</v>
      </c>
      <c r="I390" s="193">
        <v>1723</v>
      </c>
      <c r="J390" s="193">
        <v>1767</v>
      </c>
      <c r="K390" s="193">
        <v>1767</v>
      </c>
      <c r="L390" s="193">
        <v>1860</v>
      </c>
      <c r="M390" s="194">
        <v>1860</v>
      </c>
      <c r="N390" s="284">
        <v>372</v>
      </c>
      <c r="O390" s="285" t="s">
        <v>1</v>
      </c>
      <c r="P390" s="285" t="s">
        <v>1</v>
      </c>
      <c r="Q390" s="306">
        <v>612</v>
      </c>
      <c r="R390" s="306" t="s">
        <v>1</v>
      </c>
      <c r="S390" s="286">
        <v>372</v>
      </c>
      <c r="T390" s="285" t="s">
        <v>1</v>
      </c>
      <c r="U390" s="285" t="s">
        <v>1</v>
      </c>
      <c r="V390" s="306">
        <v>612</v>
      </c>
      <c r="W390" s="306" t="s">
        <v>1</v>
      </c>
      <c r="X390" s="286">
        <v>372</v>
      </c>
      <c r="Y390" s="285">
        <v>2</v>
      </c>
      <c r="Z390" s="285">
        <v>24</v>
      </c>
      <c r="AA390" s="306">
        <v>612</v>
      </c>
      <c r="AB390" s="306" t="s">
        <v>1</v>
      </c>
      <c r="AC390" s="286">
        <v>372</v>
      </c>
      <c r="AD390" s="285">
        <v>2</v>
      </c>
      <c r="AE390" s="285">
        <v>24</v>
      </c>
      <c r="AF390" s="306">
        <v>612</v>
      </c>
      <c r="AG390" s="306" t="s">
        <v>1</v>
      </c>
      <c r="AH390" s="286" t="s">
        <v>1</v>
      </c>
      <c r="AI390" s="295" t="s">
        <v>1</v>
      </c>
      <c r="AJ390" s="295" t="s">
        <v>1</v>
      </c>
      <c r="AK390" s="295" t="s">
        <v>1</v>
      </c>
      <c r="AL390" s="302" t="s">
        <v>1</v>
      </c>
      <c r="AM390" s="288" t="s">
        <v>1</v>
      </c>
      <c r="AN390" s="287" t="s">
        <v>1</v>
      </c>
      <c r="AO390" s="287" t="s">
        <v>1</v>
      </c>
      <c r="AP390" s="286" t="s">
        <v>1</v>
      </c>
      <c r="AQ390" s="285" t="s">
        <v>1</v>
      </c>
      <c r="AR390" s="289" t="s">
        <v>1</v>
      </c>
      <c r="AS390" s="289" t="s">
        <v>1</v>
      </c>
      <c r="AT390" s="290" t="s">
        <v>1</v>
      </c>
      <c r="AU390" s="287" t="s">
        <v>1</v>
      </c>
      <c r="AV390" s="287" t="s">
        <v>1</v>
      </c>
      <c r="AW390" s="291" t="s">
        <v>1</v>
      </c>
    </row>
    <row r="391" spans="1:49" ht="30.15" customHeight="1" x14ac:dyDescent="0.25">
      <c r="A391" s="213" t="s">
        <v>18</v>
      </c>
      <c r="B391" s="188" t="s">
        <v>1</v>
      </c>
      <c r="C391" s="212" t="s">
        <v>34</v>
      </c>
      <c r="D391" s="190" t="s">
        <v>3</v>
      </c>
      <c r="E391" s="190" t="s">
        <v>1131</v>
      </c>
      <c r="F391" s="203"/>
      <c r="G391" s="190" t="s">
        <v>1136</v>
      </c>
      <c r="H391" s="192" t="s">
        <v>409</v>
      </c>
      <c r="I391" s="193">
        <v>1723</v>
      </c>
      <c r="J391" s="193">
        <v>1767</v>
      </c>
      <c r="K391" s="193">
        <v>1767</v>
      </c>
      <c r="L391" s="193">
        <v>1860</v>
      </c>
      <c r="M391" s="194">
        <v>1860</v>
      </c>
      <c r="N391" s="284">
        <v>372</v>
      </c>
      <c r="O391" s="285" t="s">
        <v>1</v>
      </c>
      <c r="P391" s="285" t="s">
        <v>1</v>
      </c>
      <c r="Q391" s="306">
        <v>612</v>
      </c>
      <c r="R391" s="306" t="s">
        <v>1</v>
      </c>
      <c r="S391" s="286">
        <v>372</v>
      </c>
      <c r="T391" s="285" t="s">
        <v>1</v>
      </c>
      <c r="U391" s="285" t="s">
        <v>1</v>
      </c>
      <c r="V391" s="306">
        <v>612</v>
      </c>
      <c r="W391" s="306" t="s">
        <v>1</v>
      </c>
      <c r="X391" s="286">
        <v>372</v>
      </c>
      <c r="Y391" s="285">
        <v>2</v>
      </c>
      <c r="Z391" s="285">
        <v>24</v>
      </c>
      <c r="AA391" s="306">
        <v>612</v>
      </c>
      <c r="AB391" s="306" t="s">
        <v>1</v>
      </c>
      <c r="AC391" s="286">
        <v>372</v>
      </c>
      <c r="AD391" s="285">
        <v>2</v>
      </c>
      <c r="AE391" s="285">
        <v>24</v>
      </c>
      <c r="AF391" s="306">
        <v>612</v>
      </c>
      <c r="AG391" s="306" t="s">
        <v>1</v>
      </c>
      <c r="AH391" s="286" t="s">
        <v>1</v>
      </c>
      <c r="AI391" s="295" t="s">
        <v>1</v>
      </c>
      <c r="AJ391" s="295" t="s">
        <v>1</v>
      </c>
      <c r="AK391" s="295" t="s">
        <v>1</v>
      </c>
      <c r="AL391" s="302" t="s">
        <v>1</v>
      </c>
      <c r="AM391" s="288" t="s">
        <v>1</v>
      </c>
      <c r="AN391" s="287" t="s">
        <v>1</v>
      </c>
      <c r="AO391" s="287" t="s">
        <v>1</v>
      </c>
      <c r="AP391" s="286" t="s">
        <v>1</v>
      </c>
      <c r="AQ391" s="285" t="s">
        <v>1</v>
      </c>
      <c r="AR391" s="289" t="s">
        <v>1</v>
      </c>
      <c r="AS391" s="289" t="s">
        <v>1</v>
      </c>
      <c r="AT391" s="290" t="s">
        <v>1</v>
      </c>
      <c r="AU391" s="287" t="s">
        <v>1</v>
      </c>
      <c r="AV391" s="287" t="s">
        <v>1</v>
      </c>
      <c r="AW391" s="291" t="s">
        <v>1</v>
      </c>
    </row>
    <row r="392" spans="1:49" ht="30.15" customHeight="1" x14ac:dyDescent="0.25">
      <c r="A392" s="213" t="s">
        <v>18</v>
      </c>
      <c r="B392" s="188" t="s">
        <v>1</v>
      </c>
      <c r="C392" s="212" t="s">
        <v>34</v>
      </c>
      <c r="D392" s="190" t="s">
        <v>3</v>
      </c>
      <c r="E392" s="190" t="s">
        <v>1132</v>
      </c>
      <c r="F392" s="203"/>
      <c r="G392" s="190" t="s">
        <v>1136</v>
      </c>
      <c r="H392" s="192" t="s">
        <v>409</v>
      </c>
      <c r="I392" s="193">
        <v>1723</v>
      </c>
      <c r="J392" s="193">
        <v>1767</v>
      </c>
      <c r="K392" s="193">
        <v>1767</v>
      </c>
      <c r="L392" s="193">
        <v>1860</v>
      </c>
      <c r="M392" s="194">
        <v>1860</v>
      </c>
      <c r="N392" s="284">
        <v>372</v>
      </c>
      <c r="O392" s="285" t="s">
        <v>1</v>
      </c>
      <c r="P392" s="285" t="s">
        <v>1</v>
      </c>
      <c r="Q392" s="306">
        <v>612</v>
      </c>
      <c r="R392" s="306" t="s">
        <v>1</v>
      </c>
      <c r="S392" s="286">
        <v>372</v>
      </c>
      <c r="T392" s="285" t="s">
        <v>1</v>
      </c>
      <c r="U392" s="285" t="s">
        <v>1</v>
      </c>
      <c r="V392" s="306">
        <v>612</v>
      </c>
      <c r="W392" s="306" t="s">
        <v>1</v>
      </c>
      <c r="X392" s="286">
        <v>372</v>
      </c>
      <c r="Y392" s="285">
        <v>2</v>
      </c>
      <c r="Z392" s="285">
        <v>24</v>
      </c>
      <c r="AA392" s="306">
        <v>612</v>
      </c>
      <c r="AB392" s="306" t="s">
        <v>1</v>
      </c>
      <c r="AC392" s="286">
        <v>372</v>
      </c>
      <c r="AD392" s="285">
        <v>2</v>
      </c>
      <c r="AE392" s="285">
        <v>24</v>
      </c>
      <c r="AF392" s="306">
        <v>612</v>
      </c>
      <c r="AG392" s="306" t="s">
        <v>1</v>
      </c>
      <c r="AH392" s="286" t="s">
        <v>1</v>
      </c>
      <c r="AI392" s="295" t="s">
        <v>1</v>
      </c>
      <c r="AJ392" s="295" t="s">
        <v>1</v>
      </c>
      <c r="AK392" s="295" t="s">
        <v>1</v>
      </c>
      <c r="AL392" s="302" t="s">
        <v>1</v>
      </c>
      <c r="AM392" s="288" t="s">
        <v>1</v>
      </c>
      <c r="AN392" s="287" t="s">
        <v>1</v>
      </c>
      <c r="AO392" s="287" t="s">
        <v>1</v>
      </c>
      <c r="AP392" s="286" t="s">
        <v>1</v>
      </c>
      <c r="AQ392" s="285" t="s">
        <v>1</v>
      </c>
      <c r="AR392" s="289" t="s">
        <v>1</v>
      </c>
      <c r="AS392" s="289" t="s">
        <v>1</v>
      </c>
      <c r="AT392" s="290" t="s">
        <v>1</v>
      </c>
      <c r="AU392" s="287" t="s">
        <v>1</v>
      </c>
      <c r="AV392" s="287" t="s">
        <v>1</v>
      </c>
      <c r="AW392" s="291" t="s">
        <v>1</v>
      </c>
    </row>
    <row r="393" spans="1:49" ht="30.15" customHeight="1" x14ac:dyDescent="0.25">
      <c r="A393" s="213" t="s">
        <v>18</v>
      </c>
      <c r="B393" s="188" t="s">
        <v>1</v>
      </c>
      <c r="C393" s="212" t="s">
        <v>34</v>
      </c>
      <c r="D393" s="190" t="s">
        <v>3</v>
      </c>
      <c r="E393" s="190" t="s">
        <v>1133</v>
      </c>
      <c r="F393" s="203"/>
      <c r="G393" s="190" t="s">
        <v>1136</v>
      </c>
      <c r="H393" s="192" t="s">
        <v>409</v>
      </c>
      <c r="I393" s="193">
        <v>1723</v>
      </c>
      <c r="J393" s="193">
        <v>1767</v>
      </c>
      <c r="K393" s="193">
        <v>1767</v>
      </c>
      <c r="L393" s="193">
        <v>1860</v>
      </c>
      <c r="M393" s="194">
        <v>1860</v>
      </c>
      <c r="N393" s="284">
        <v>372</v>
      </c>
      <c r="O393" s="285" t="s">
        <v>1</v>
      </c>
      <c r="P393" s="285" t="s">
        <v>1</v>
      </c>
      <c r="Q393" s="306">
        <v>612</v>
      </c>
      <c r="R393" s="306" t="s">
        <v>1</v>
      </c>
      <c r="S393" s="286">
        <v>372</v>
      </c>
      <c r="T393" s="285" t="s">
        <v>1</v>
      </c>
      <c r="U393" s="285" t="s">
        <v>1</v>
      </c>
      <c r="V393" s="306">
        <v>612</v>
      </c>
      <c r="W393" s="306" t="s">
        <v>1</v>
      </c>
      <c r="X393" s="286">
        <v>372</v>
      </c>
      <c r="Y393" s="285">
        <v>2</v>
      </c>
      <c r="Z393" s="285">
        <v>24</v>
      </c>
      <c r="AA393" s="306">
        <v>612</v>
      </c>
      <c r="AB393" s="306" t="s">
        <v>1</v>
      </c>
      <c r="AC393" s="286">
        <v>372</v>
      </c>
      <c r="AD393" s="285">
        <v>2</v>
      </c>
      <c r="AE393" s="285">
        <v>24</v>
      </c>
      <c r="AF393" s="306">
        <v>612</v>
      </c>
      <c r="AG393" s="306" t="s">
        <v>1</v>
      </c>
      <c r="AH393" s="286" t="s">
        <v>1</v>
      </c>
      <c r="AI393" s="295" t="s">
        <v>1</v>
      </c>
      <c r="AJ393" s="295" t="s">
        <v>1</v>
      </c>
      <c r="AK393" s="295" t="s">
        <v>1</v>
      </c>
      <c r="AL393" s="302" t="s">
        <v>1</v>
      </c>
      <c r="AM393" s="288" t="s">
        <v>1</v>
      </c>
      <c r="AN393" s="287" t="s">
        <v>1</v>
      </c>
      <c r="AO393" s="287" t="s">
        <v>1</v>
      </c>
      <c r="AP393" s="286" t="s">
        <v>1</v>
      </c>
      <c r="AQ393" s="285" t="s">
        <v>1</v>
      </c>
      <c r="AR393" s="289" t="s">
        <v>1</v>
      </c>
      <c r="AS393" s="289" t="s">
        <v>1</v>
      </c>
      <c r="AT393" s="290" t="s">
        <v>1</v>
      </c>
      <c r="AU393" s="287" t="s">
        <v>1</v>
      </c>
      <c r="AV393" s="287" t="s">
        <v>1</v>
      </c>
      <c r="AW393" s="291" t="s">
        <v>1</v>
      </c>
    </row>
    <row r="394" spans="1:49" ht="30.15" customHeight="1" x14ac:dyDescent="0.25">
      <c r="A394" s="213" t="s">
        <v>18</v>
      </c>
      <c r="B394" s="188" t="s">
        <v>1</v>
      </c>
      <c r="C394" s="212" t="s">
        <v>34</v>
      </c>
      <c r="D394" s="254" t="s">
        <v>3</v>
      </c>
      <c r="E394" s="254" t="s">
        <v>1104</v>
      </c>
      <c r="F394" s="255"/>
      <c r="G394" s="254" t="s">
        <v>1119</v>
      </c>
      <c r="H394" s="192" t="s">
        <v>409</v>
      </c>
      <c r="I394" s="193">
        <v>1075</v>
      </c>
      <c r="J394" s="193">
        <v>1102</v>
      </c>
      <c r="K394" s="193">
        <v>1102</v>
      </c>
      <c r="L394" s="193">
        <v>1164</v>
      </c>
      <c r="M394" s="194">
        <v>1164</v>
      </c>
      <c r="N394" s="284">
        <v>232.8</v>
      </c>
      <c r="O394" s="285" t="s">
        <v>1</v>
      </c>
      <c r="P394" s="285" t="s">
        <v>1</v>
      </c>
      <c r="Q394" s="306">
        <v>540</v>
      </c>
      <c r="R394" s="306" t="s">
        <v>1</v>
      </c>
      <c r="S394" s="286">
        <v>232.8</v>
      </c>
      <c r="T394" s="285" t="s">
        <v>1</v>
      </c>
      <c r="U394" s="285" t="s">
        <v>1</v>
      </c>
      <c r="V394" s="306">
        <v>540</v>
      </c>
      <c r="W394" s="306" t="s">
        <v>1</v>
      </c>
      <c r="X394" s="286">
        <v>232.8</v>
      </c>
      <c r="Y394" s="308">
        <v>2</v>
      </c>
      <c r="Z394" s="285">
        <v>24</v>
      </c>
      <c r="AA394" s="306">
        <v>540</v>
      </c>
      <c r="AB394" s="306" t="s">
        <v>1</v>
      </c>
      <c r="AC394" s="286">
        <v>232.8</v>
      </c>
      <c r="AD394" s="308">
        <v>2</v>
      </c>
      <c r="AE394" s="285">
        <v>24</v>
      </c>
      <c r="AF394" s="306">
        <v>540</v>
      </c>
      <c r="AG394" s="306" t="s">
        <v>1</v>
      </c>
      <c r="AH394" s="286" t="s">
        <v>1</v>
      </c>
      <c r="AI394" s="295" t="s">
        <v>1</v>
      </c>
      <c r="AJ394" s="295" t="s">
        <v>1</v>
      </c>
      <c r="AK394" s="295" t="s">
        <v>1</v>
      </c>
      <c r="AL394" s="302" t="s">
        <v>1</v>
      </c>
      <c r="AM394" s="288" t="s">
        <v>1</v>
      </c>
      <c r="AN394" s="287" t="s">
        <v>1</v>
      </c>
      <c r="AO394" s="287" t="s">
        <v>1</v>
      </c>
      <c r="AP394" s="286" t="s">
        <v>1</v>
      </c>
      <c r="AQ394" s="285" t="s">
        <v>1</v>
      </c>
      <c r="AR394" s="289" t="s">
        <v>1</v>
      </c>
      <c r="AS394" s="289" t="s">
        <v>1</v>
      </c>
      <c r="AT394" s="290" t="s">
        <v>1</v>
      </c>
      <c r="AU394" s="287" t="s">
        <v>1</v>
      </c>
      <c r="AV394" s="287" t="s">
        <v>1</v>
      </c>
      <c r="AW394" s="291" t="s">
        <v>1</v>
      </c>
    </row>
    <row r="395" spans="1:49" ht="30.15" customHeight="1" x14ac:dyDescent="0.25">
      <c r="A395" s="213" t="s">
        <v>18</v>
      </c>
      <c r="B395" s="188" t="s">
        <v>1</v>
      </c>
      <c r="C395" s="212" t="s">
        <v>34</v>
      </c>
      <c r="D395" s="254" t="s">
        <v>3</v>
      </c>
      <c r="E395" s="254" t="s">
        <v>1105</v>
      </c>
      <c r="F395" s="255"/>
      <c r="G395" s="254" t="s">
        <v>1119</v>
      </c>
      <c r="H395" s="192" t="s">
        <v>409</v>
      </c>
      <c r="I395" s="193">
        <v>1075</v>
      </c>
      <c r="J395" s="193">
        <v>1102</v>
      </c>
      <c r="K395" s="193">
        <v>1102</v>
      </c>
      <c r="L395" s="193">
        <v>1164</v>
      </c>
      <c r="M395" s="194">
        <v>1164</v>
      </c>
      <c r="N395" s="284">
        <v>232.8</v>
      </c>
      <c r="O395" s="285" t="s">
        <v>1</v>
      </c>
      <c r="P395" s="285" t="s">
        <v>1</v>
      </c>
      <c r="Q395" s="306">
        <v>540</v>
      </c>
      <c r="R395" s="306" t="s">
        <v>1</v>
      </c>
      <c r="S395" s="286">
        <v>232.8</v>
      </c>
      <c r="T395" s="285" t="s">
        <v>1</v>
      </c>
      <c r="U395" s="285" t="s">
        <v>1</v>
      </c>
      <c r="V395" s="306">
        <v>540</v>
      </c>
      <c r="W395" s="306" t="s">
        <v>1</v>
      </c>
      <c r="X395" s="286">
        <v>232.8</v>
      </c>
      <c r="Y395" s="308">
        <v>2</v>
      </c>
      <c r="Z395" s="285">
        <v>24</v>
      </c>
      <c r="AA395" s="306">
        <v>540</v>
      </c>
      <c r="AB395" s="306" t="s">
        <v>1</v>
      </c>
      <c r="AC395" s="286">
        <v>232.8</v>
      </c>
      <c r="AD395" s="308">
        <v>2</v>
      </c>
      <c r="AE395" s="285">
        <v>24</v>
      </c>
      <c r="AF395" s="306">
        <v>540</v>
      </c>
      <c r="AG395" s="306" t="s">
        <v>1</v>
      </c>
      <c r="AH395" s="286" t="s">
        <v>1</v>
      </c>
      <c r="AI395" s="295" t="s">
        <v>1</v>
      </c>
      <c r="AJ395" s="295" t="s">
        <v>1</v>
      </c>
      <c r="AK395" s="295" t="s">
        <v>1</v>
      </c>
      <c r="AL395" s="302" t="s">
        <v>1</v>
      </c>
      <c r="AM395" s="288" t="s">
        <v>1</v>
      </c>
      <c r="AN395" s="287" t="s">
        <v>1</v>
      </c>
      <c r="AO395" s="287" t="s">
        <v>1</v>
      </c>
      <c r="AP395" s="286" t="s">
        <v>1</v>
      </c>
      <c r="AQ395" s="285" t="s">
        <v>1</v>
      </c>
      <c r="AR395" s="289" t="s">
        <v>1</v>
      </c>
      <c r="AS395" s="289" t="s">
        <v>1</v>
      </c>
      <c r="AT395" s="290" t="s">
        <v>1</v>
      </c>
      <c r="AU395" s="287" t="s">
        <v>1</v>
      </c>
      <c r="AV395" s="287" t="s">
        <v>1</v>
      </c>
      <c r="AW395" s="291" t="s">
        <v>1</v>
      </c>
    </row>
    <row r="396" spans="1:49" ht="30.15" customHeight="1" x14ac:dyDescent="0.25">
      <c r="A396" s="213" t="s">
        <v>18</v>
      </c>
      <c r="B396" s="188" t="s">
        <v>1</v>
      </c>
      <c r="C396" s="212" t="s">
        <v>34</v>
      </c>
      <c r="D396" s="254" t="s">
        <v>3</v>
      </c>
      <c r="E396" s="254" t="s">
        <v>1106</v>
      </c>
      <c r="F396" s="255"/>
      <c r="G396" s="254" t="s">
        <v>1119</v>
      </c>
      <c r="H396" s="192" t="s">
        <v>409</v>
      </c>
      <c r="I396" s="193">
        <v>1075</v>
      </c>
      <c r="J396" s="193">
        <v>1102</v>
      </c>
      <c r="K396" s="193">
        <v>1102</v>
      </c>
      <c r="L396" s="193">
        <v>1164</v>
      </c>
      <c r="M396" s="194">
        <v>1164</v>
      </c>
      <c r="N396" s="284">
        <v>232.8</v>
      </c>
      <c r="O396" s="285" t="s">
        <v>1</v>
      </c>
      <c r="P396" s="285" t="s">
        <v>1</v>
      </c>
      <c r="Q396" s="306">
        <v>540</v>
      </c>
      <c r="R396" s="306" t="s">
        <v>1</v>
      </c>
      <c r="S396" s="286">
        <v>232.8</v>
      </c>
      <c r="T396" s="285" t="s">
        <v>1</v>
      </c>
      <c r="U396" s="285" t="s">
        <v>1</v>
      </c>
      <c r="V396" s="306">
        <v>540</v>
      </c>
      <c r="W396" s="306" t="s">
        <v>1</v>
      </c>
      <c r="X396" s="286">
        <v>232.8</v>
      </c>
      <c r="Y396" s="308">
        <v>2</v>
      </c>
      <c r="Z396" s="285">
        <v>24</v>
      </c>
      <c r="AA396" s="306">
        <v>540</v>
      </c>
      <c r="AB396" s="306" t="s">
        <v>1</v>
      </c>
      <c r="AC396" s="286">
        <v>232.8</v>
      </c>
      <c r="AD396" s="308">
        <v>2</v>
      </c>
      <c r="AE396" s="285">
        <v>24</v>
      </c>
      <c r="AF396" s="306">
        <v>540</v>
      </c>
      <c r="AG396" s="306" t="s">
        <v>1</v>
      </c>
      <c r="AH396" s="286" t="s">
        <v>1</v>
      </c>
      <c r="AI396" s="295" t="s">
        <v>1</v>
      </c>
      <c r="AJ396" s="295" t="s">
        <v>1</v>
      </c>
      <c r="AK396" s="295" t="s">
        <v>1</v>
      </c>
      <c r="AL396" s="302" t="s">
        <v>1</v>
      </c>
      <c r="AM396" s="288" t="s">
        <v>1</v>
      </c>
      <c r="AN396" s="287" t="s">
        <v>1</v>
      </c>
      <c r="AO396" s="287" t="s">
        <v>1</v>
      </c>
      <c r="AP396" s="286" t="s">
        <v>1</v>
      </c>
      <c r="AQ396" s="285" t="s">
        <v>1</v>
      </c>
      <c r="AR396" s="289" t="s">
        <v>1</v>
      </c>
      <c r="AS396" s="289" t="s">
        <v>1</v>
      </c>
      <c r="AT396" s="290" t="s">
        <v>1</v>
      </c>
      <c r="AU396" s="287" t="s">
        <v>1</v>
      </c>
      <c r="AV396" s="287" t="s">
        <v>1</v>
      </c>
      <c r="AW396" s="291" t="s">
        <v>1</v>
      </c>
    </row>
    <row r="397" spans="1:49" ht="30.15" customHeight="1" x14ac:dyDescent="0.25">
      <c r="A397" s="213" t="s">
        <v>18</v>
      </c>
      <c r="B397" s="188" t="s">
        <v>1</v>
      </c>
      <c r="C397" s="212" t="s">
        <v>34</v>
      </c>
      <c r="D397" s="254" t="s">
        <v>3</v>
      </c>
      <c r="E397" s="254" t="s">
        <v>1107</v>
      </c>
      <c r="F397" s="255"/>
      <c r="G397" s="254" t="s">
        <v>1119</v>
      </c>
      <c r="H397" s="192" t="s">
        <v>409</v>
      </c>
      <c r="I397" s="193">
        <v>1075</v>
      </c>
      <c r="J397" s="193">
        <v>1102</v>
      </c>
      <c r="K397" s="193">
        <v>1102</v>
      </c>
      <c r="L397" s="193">
        <v>1164</v>
      </c>
      <c r="M397" s="194">
        <v>1164</v>
      </c>
      <c r="N397" s="284">
        <v>232.8</v>
      </c>
      <c r="O397" s="285" t="s">
        <v>1</v>
      </c>
      <c r="P397" s="285" t="s">
        <v>1</v>
      </c>
      <c r="Q397" s="306">
        <v>540</v>
      </c>
      <c r="R397" s="306" t="s">
        <v>1</v>
      </c>
      <c r="S397" s="286">
        <v>232.8</v>
      </c>
      <c r="T397" s="285" t="s">
        <v>1</v>
      </c>
      <c r="U397" s="285" t="s">
        <v>1</v>
      </c>
      <c r="V397" s="306">
        <v>540</v>
      </c>
      <c r="W397" s="306" t="s">
        <v>1</v>
      </c>
      <c r="X397" s="286">
        <v>232.8</v>
      </c>
      <c r="Y397" s="308">
        <v>2</v>
      </c>
      <c r="Z397" s="285">
        <v>24</v>
      </c>
      <c r="AA397" s="306">
        <v>540</v>
      </c>
      <c r="AB397" s="306" t="s">
        <v>1</v>
      </c>
      <c r="AC397" s="286">
        <v>232.8</v>
      </c>
      <c r="AD397" s="308">
        <v>2</v>
      </c>
      <c r="AE397" s="285">
        <v>24</v>
      </c>
      <c r="AF397" s="306">
        <v>540</v>
      </c>
      <c r="AG397" s="306" t="s">
        <v>1</v>
      </c>
      <c r="AH397" s="286" t="s">
        <v>1</v>
      </c>
      <c r="AI397" s="295" t="s">
        <v>1</v>
      </c>
      <c r="AJ397" s="295" t="s">
        <v>1</v>
      </c>
      <c r="AK397" s="295" t="s">
        <v>1</v>
      </c>
      <c r="AL397" s="302" t="s">
        <v>1</v>
      </c>
      <c r="AM397" s="288" t="s">
        <v>1</v>
      </c>
      <c r="AN397" s="287" t="s">
        <v>1</v>
      </c>
      <c r="AO397" s="287" t="s">
        <v>1</v>
      </c>
      <c r="AP397" s="286" t="s">
        <v>1</v>
      </c>
      <c r="AQ397" s="285" t="s">
        <v>1</v>
      </c>
      <c r="AR397" s="289" t="s">
        <v>1</v>
      </c>
      <c r="AS397" s="289" t="s">
        <v>1</v>
      </c>
      <c r="AT397" s="290" t="s">
        <v>1</v>
      </c>
      <c r="AU397" s="287" t="s">
        <v>1</v>
      </c>
      <c r="AV397" s="287" t="s">
        <v>1</v>
      </c>
      <c r="AW397" s="291" t="s">
        <v>1</v>
      </c>
    </row>
    <row r="398" spans="1:49" ht="30.15" customHeight="1" x14ac:dyDescent="0.25">
      <c r="A398" s="213" t="s">
        <v>18</v>
      </c>
      <c r="B398" s="188" t="s">
        <v>1</v>
      </c>
      <c r="C398" s="212" t="s">
        <v>34</v>
      </c>
      <c r="D398" s="254" t="s">
        <v>3</v>
      </c>
      <c r="E398" s="254" t="s">
        <v>1108</v>
      </c>
      <c r="F398" s="255"/>
      <c r="G398" s="254" t="s">
        <v>1119</v>
      </c>
      <c r="H398" s="192" t="s">
        <v>409</v>
      </c>
      <c r="I398" s="193">
        <v>1075</v>
      </c>
      <c r="J398" s="193">
        <v>1102</v>
      </c>
      <c r="K398" s="193">
        <v>1102</v>
      </c>
      <c r="L398" s="193">
        <v>1164</v>
      </c>
      <c r="M398" s="194">
        <v>1164</v>
      </c>
      <c r="N398" s="284">
        <v>232.8</v>
      </c>
      <c r="O398" s="285" t="s">
        <v>1</v>
      </c>
      <c r="P398" s="285" t="s">
        <v>1</v>
      </c>
      <c r="Q398" s="306">
        <v>540</v>
      </c>
      <c r="R398" s="306" t="s">
        <v>1</v>
      </c>
      <c r="S398" s="286">
        <v>232.8</v>
      </c>
      <c r="T398" s="285" t="s">
        <v>1</v>
      </c>
      <c r="U398" s="285" t="s">
        <v>1</v>
      </c>
      <c r="V398" s="306">
        <v>540</v>
      </c>
      <c r="W398" s="306" t="s">
        <v>1</v>
      </c>
      <c r="X398" s="286">
        <v>232.8</v>
      </c>
      <c r="Y398" s="308">
        <v>2</v>
      </c>
      <c r="Z398" s="285">
        <v>24</v>
      </c>
      <c r="AA398" s="306">
        <v>540</v>
      </c>
      <c r="AB398" s="306" t="s">
        <v>1</v>
      </c>
      <c r="AC398" s="286">
        <v>232.8</v>
      </c>
      <c r="AD398" s="308">
        <v>2</v>
      </c>
      <c r="AE398" s="285">
        <v>24</v>
      </c>
      <c r="AF398" s="306">
        <v>540</v>
      </c>
      <c r="AG398" s="306" t="s">
        <v>1</v>
      </c>
      <c r="AH398" s="286" t="s">
        <v>1</v>
      </c>
      <c r="AI398" s="295" t="s">
        <v>1</v>
      </c>
      <c r="AJ398" s="295" t="s">
        <v>1</v>
      </c>
      <c r="AK398" s="295" t="s">
        <v>1</v>
      </c>
      <c r="AL398" s="302" t="s">
        <v>1</v>
      </c>
      <c r="AM398" s="288" t="s">
        <v>1</v>
      </c>
      <c r="AN398" s="287" t="s">
        <v>1</v>
      </c>
      <c r="AO398" s="287" t="s">
        <v>1</v>
      </c>
      <c r="AP398" s="286" t="s">
        <v>1</v>
      </c>
      <c r="AQ398" s="285" t="s">
        <v>1</v>
      </c>
      <c r="AR398" s="289" t="s">
        <v>1</v>
      </c>
      <c r="AS398" s="289" t="s">
        <v>1</v>
      </c>
      <c r="AT398" s="290" t="s">
        <v>1</v>
      </c>
      <c r="AU398" s="287" t="s">
        <v>1</v>
      </c>
      <c r="AV398" s="287" t="s">
        <v>1</v>
      </c>
      <c r="AW398" s="291" t="s">
        <v>1</v>
      </c>
    </row>
    <row r="399" spans="1:49" ht="30.15" customHeight="1" x14ac:dyDescent="0.25">
      <c r="A399" s="213" t="s">
        <v>18</v>
      </c>
      <c r="B399" s="188" t="s">
        <v>1</v>
      </c>
      <c r="C399" s="212" t="s">
        <v>34</v>
      </c>
      <c r="D399" s="254" t="s">
        <v>3</v>
      </c>
      <c r="E399" s="254" t="s">
        <v>1248</v>
      </c>
      <c r="F399" s="255"/>
      <c r="G399" s="254" t="s">
        <v>1119</v>
      </c>
      <c r="H399" s="192" t="s">
        <v>409</v>
      </c>
      <c r="I399" s="193">
        <v>1075</v>
      </c>
      <c r="J399" s="193">
        <v>1102</v>
      </c>
      <c r="K399" s="193">
        <v>1102</v>
      </c>
      <c r="L399" s="193">
        <v>1164</v>
      </c>
      <c r="M399" s="194">
        <v>1164</v>
      </c>
      <c r="N399" s="284">
        <v>232.8</v>
      </c>
      <c r="O399" s="285" t="s">
        <v>1</v>
      </c>
      <c r="P399" s="285" t="s">
        <v>1</v>
      </c>
      <c r="Q399" s="306">
        <v>540</v>
      </c>
      <c r="R399" s="306" t="s">
        <v>1</v>
      </c>
      <c r="S399" s="286">
        <v>232.8</v>
      </c>
      <c r="T399" s="285" t="s">
        <v>1</v>
      </c>
      <c r="U399" s="285" t="s">
        <v>1</v>
      </c>
      <c r="V399" s="306">
        <v>540</v>
      </c>
      <c r="W399" s="306" t="s">
        <v>1</v>
      </c>
      <c r="X399" s="286">
        <v>232.8</v>
      </c>
      <c r="Y399" s="308">
        <v>2</v>
      </c>
      <c r="Z399" s="285">
        <v>24</v>
      </c>
      <c r="AA399" s="306">
        <v>540</v>
      </c>
      <c r="AB399" s="306" t="s">
        <v>1</v>
      </c>
      <c r="AC399" s="286">
        <v>232.8</v>
      </c>
      <c r="AD399" s="308">
        <v>2</v>
      </c>
      <c r="AE399" s="285">
        <v>24</v>
      </c>
      <c r="AF399" s="306">
        <v>540</v>
      </c>
      <c r="AG399" s="306" t="s">
        <v>1</v>
      </c>
      <c r="AH399" s="286" t="s">
        <v>1</v>
      </c>
      <c r="AI399" s="295" t="s">
        <v>1</v>
      </c>
      <c r="AJ399" s="295" t="s">
        <v>1</v>
      </c>
      <c r="AK399" s="295" t="s">
        <v>1</v>
      </c>
      <c r="AL399" s="302" t="s">
        <v>1</v>
      </c>
      <c r="AM399" s="288" t="s">
        <v>1</v>
      </c>
      <c r="AN399" s="287" t="s">
        <v>1</v>
      </c>
      <c r="AO399" s="287" t="s">
        <v>1</v>
      </c>
      <c r="AP399" s="286" t="s">
        <v>1</v>
      </c>
      <c r="AQ399" s="285" t="s">
        <v>1</v>
      </c>
      <c r="AR399" s="289" t="s">
        <v>1</v>
      </c>
      <c r="AS399" s="289" t="s">
        <v>1</v>
      </c>
      <c r="AT399" s="290" t="s">
        <v>1</v>
      </c>
      <c r="AU399" s="287" t="s">
        <v>1</v>
      </c>
      <c r="AV399" s="287" t="s">
        <v>1</v>
      </c>
      <c r="AW399" s="291" t="s">
        <v>1</v>
      </c>
    </row>
    <row r="400" spans="1:49" ht="30.15" customHeight="1" x14ac:dyDescent="0.25">
      <c r="A400" s="213" t="s">
        <v>18</v>
      </c>
      <c r="B400" s="188" t="s">
        <v>1</v>
      </c>
      <c r="C400" s="212" t="s">
        <v>34</v>
      </c>
      <c r="D400" s="254" t="s">
        <v>3</v>
      </c>
      <c r="E400" s="254" t="s">
        <v>1109</v>
      </c>
      <c r="F400" s="255"/>
      <c r="G400" s="254" t="s">
        <v>1120</v>
      </c>
      <c r="H400" s="192" t="s">
        <v>409</v>
      </c>
      <c r="I400" s="193">
        <v>1142</v>
      </c>
      <c r="J400" s="193">
        <v>1169</v>
      </c>
      <c r="K400" s="193">
        <v>1169</v>
      </c>
      <c r="L400" s="193">
        <v>1236</v>
      </c>
      <c r="M400" s="194">
        <v>1236</v>
      </c>
      <c r="N400" s="284">
        <v>247.2</v>
      </c>
      <c r="O400" s="285" t="s">
        <v>1</v>
      </c>
      <c r="P400" s="285" t="s">
        <v>1</v>
      </c>
      <c r="Q400" s="306">
        <v>552</v>
      </c>
      <c r="R400" s="306" t="s">
        <v>1</v>
      </c>
      <c r="S400" s="286">
        <v>247.2</v>
      </c>
      <c r="T400" s="285" t="s">
        <v>1</v>
      </c>
      <c r="U400" s="285" t="s">
        <v>1</v>
      </c>
      <c r="V400" s="306">
        <v>552</v>
      </c>
      <c r="W400" s="306" t="s">
        <v>1</v>
      </c>
      <c r="X400" s="286">
        <v>247.2</v>
      </c>
      <c r="Y400" s="308">
        <v>1.5</v>
      </c>
      <c r="Z400" s="285">
        <v>24</v>
      </c>
      <c r="AA400" s="306">
        <v>552</v>
      </c>
      <c r="AB400" s="306" t="s">
        <v>1</v>
      </c>
      <c r="AC400" s="286">
        <v>247.2</v>
      </c>
      <c r="AD400" s="308">
        <v>1.5</v>
      </c>
      <c r="AE400" s="285">
        <v>24</v>
      </c>
      <c r="AF400" s="306">
        <v>552</v>
      </c>
      <c r="AG400" s="306" t="s">
        <v>1</v>
      </c>
      <c r="AH400" s="286" t="s">
        <v>1</v>
      </c>
      <c r="AI400" s="295" t="s">
        <v>1</v>
      </c>
      <c r="AJ400" s="295" t="s">
        <v>1</v>
      </c>
      <c r="AK400" s="295" t="s">
        <v>1</v>
      </c>
      <c r="AL400" s="302" t="s">
        <v>1</v>
      </c>
      <c r="AM400" s="288" t="s">
        <v>1</v>
      </c>
      <c r="AN400" s="287" t="s">
        <v>1</v>
      </c>
      <c r="AO400" s="287" t="s">
        <v>1</v>
      </c>
      <c r="AP400" s="286" t="s">
        <v>1</v>
      </c>
      <c r="AQ400" s="285" t="s">
        <v>1</v>
      </c>
      <c r="AR400" s="289" t="s">
        <v>1</v>
      </c>
      <c r="AS400" s="289" t="s">
        <v>1</v>
      </c>
      <c r="AT400" s="290" t="s">
        <v>1</v>
      </c>
      <c r="AU400" s="287" t="s">
        <v>1</v>
      </c>
      <c r="AV400" s="287" t="s">
        <v>1</v>
      </c>
      <c r="AW400" s="291" t="s">
        <v>1</v>
      </c>
    </row>
    <row r="401" spans="1:49" ht="30.15" customHeight="1" x14ac:dyDescent="0.25">
      <c r="A401" s="213" t="s">
        <v>18</v>
      </c>
      <c r="B401" s="188" t="s">
        <v>1</v>
      </c>
      <c r="C401" s="212" t="s">
        <v>34</v>
      </c>
      <c r="D401" s="254" t="s">
        <v>3</v>
      </c>
      <c r="E401" s="254" t="s">
        <v>1110</v>
      </c>
      <c r="F401" s="255"/>
      <c r="G401" s="254" t="s">
        <v>1120</v>
      </c>
      <c r="H401" s="192" t="s">
        <v>409</v>
      </c>
      <c r="I401" s="193">
        <v>1142</v>
      </c>
      <c r="J401" s="193">
        <v>1169</v>
      </c>
      <c r="K401" s="193">
        <v>1169</v>
      </c>
      <c r="L401" s="193">
        <v>1236</v>
      </c>
      <c r="M401" s="194">
        <v>1236</v>
      </c>
      <c r="N401" s="284">
        <v>247.2</v>
      </c>
      <c r="O401" s="285" t="s">
        <v>1</v>
      </c>
      <c r="P401" s="285" t="s">
        <v>1</v>
      </c>
      <c r="Q401" s="306">
        <v>552</v>
      </c>
      <c r="R401" s="306" t="s">
        <v>1</v>
      </c>
      <c r="S401" s="286">
        <v>247.2</v>
      </c>
      <c r="T401" s="285" t="s">
        <v>1</v>
      </c>
      <c r="U401" s="285" t="s">
        <v>1</v>
      </c>
      <c r="V401" s="306">
        <v>552</v>
      </c>
      <c r="W401" s="306" t="s">
        <v>1</v>
      </c>
      <c r="X401" s="286">
        <v>247.2</v>
      </c>
      <c r="Y401" s="308">
        <v>1.5</v>
      </c>
      <c r="Z401" s="285">
        <v>24</v>
      </c>
      <c r="AA401" s="306">
        <v>552</v>
      </c>
      <c r="AB401" s="306" t="s">
        <v>1</v>
      </c>
      <c r="AC401" s="286">
        <v>247.2</v>
      </c>
      <c r="AD401" s="308">
        <v>1.5</v>
      </c>
      <c r="AE401" s="285">
        <v>24</v>
      </c>
      <c r="AF401" s="306">
        <v>552</v>
      </c>
      <c r="AG401" s="306" t="s">
        <v>1</v>
      </c>
      <c r="AH401" s="286" t="s">
        <v>1</v>
      </c>
      <c r="AI401" s="295" t="s">
        <v>1</v>
      </c>
      <c r="AJ401" s="295" t="s">
        <v>1</v>
      </c>
      <c r="AK401" s="295" t="s">
        <v>1</v>
      </c>
      <c r="AL401" s="302" t="s">
        <v>1</v>
      </c>
      <c r="AM401" s="288" t="s">
        <v>1</v>
      </c>
      <c r="AN401" s="287" t="s">
        <v>1</v>
      </c>
      <c r="AO401" s="287" t="s">
        <v>1</v>
      </c>
      <c r="AP401" s="286" t="s">
        <v>1</v>
      </c>
      <c r="AQ401" s="285" t="s">
        <v>1</v>
      </c>
      <c r="AR401" s="289" t="s">
        <v>1</v>
      </c>
      <c r="AS401" s="289" t="s">
        <v>1</v>
      </c>
      <c r="AT401" s="290" t="s">
        <v>1</v>
      </c>
      <c r="AU401" s="287" t="s">
        <v>1</v>
      </c>
      <c r="AV401" s="287" t="s">
        <v>1</v>
      </c>
      <c r="AW401" s="291" t="s">
        <v>1</v>
      </c>
    </row>
    <row r="402" spans="1:49" ht="30.15" customHeight="1" x14ac:dyDescent="0.25">
      <c r="A402" s="213" t="s">
        <v>18</v>
      </c>
      <c r="B402" s="188" t="s">
        <v>1</v>
      </c>
      <c r="C402" s="212" t="s">
        <v>34</v>
      </c>
      <c r="D402" s="254" t="s">
        <v>3</v>
      </c>
      <c r="E402" s="254" t="s">
        <v>1111</v>
      </c>
      <c r="F402" s="255"/>
      <c r="G402" s="254" t="s">
        <v>1120</v>
      </c>
      <c r="H402" s="192" t="s">
        <v>409</v>
      </c>
      <c r="I402" s="193">
        <v>1142</v>
      </c>
      <c r="J402" s="193">
        <v>1169</v>
      </c>
      <c r="K402" s="193">
        <v>1169</v>
      </c>
      <c r="L402" s="193">
        <v>1236</v>
      </c>
      <c r="M402" s="194">
        <v>1236</v>
      </c>
      <c r="N402" s="284">
        <v>247.2</v>
      </c>
      <c r="O402" s="285" t="s">
        <v>1</v>
      </c>
      <c r="P402" s="285" t="s">
        <v>1</v>
      </c>
      <c r="Q402" s="306">
        <v>552</v>
      </c>
      <c r="R402" s="306" t="s">
        <v>1</v>
      </c>
      <c r="S402" s="286">
        <v>247.2</v>
      </c>
      <c r="T402" s="285" t="s">
        <v>1</v>
      </c>
      <c r="U402" s="285" t="s">
        <v>1</v>
      </c>
      <c r="V402" s="306">
        <v>552</v>
      </c>
      <c r="W402" s="306" t="s">
        <v>1</v>
      </c>
      <c r="X402" s="286">
        <v>247.2</v>
      </c>
      <c r="Y402" s="308">
        <v>1.5</v>
      </c>
      <c r="Z402" s="285">
        <v>24</v>
      </c>
      <c r="AA402" s="306">
        <v>552</v>
      </c>
      <c r="AB402" s="306" t="s">
        <v>1</v>
      </c>
      <c r="AC402" s="286">
        <v>247.2</v>
      </c>
      <c r="AD402" s="308">
        <v>1.5</v>
      </c>
      <c r="AE402" s="285">
        <v>24</v>
      </c>
      <c r="AF402" s="306">
        <v>552</v>
      </c>
      <c r="AG402" s="306" t="s">
        <v>1</v>
      </c>
      <c r="AH402" s="286" t="s">
        <v>1</v>
      </c>
      <c r="AI402" s="295" t="s">
        <v>1</v>
      </c>
      <c r="AJ402" s="295" t="s">
        <v>1</v>
      </c>
      <c r="AK402" s="295" t="s">
        <v>1</v>
      </c>
      <c r="AL402" s="302" t="s">
        <v>1</v>
      </c>
      <c r="AM402" s="288" t="s">
        <v>1</v>
      </c>
      <c r="AN402" s="287" t="s">
        <v>1</v>
      </c>
      <c r="AO402" s="287" t="s">
        <v>1</v>
      </c>
      <c r="AP402" s="286" t="s">
        <v>1</v>
      </c>
      <c r="AQ402" s="285" t="s">
        <v>1</v>
      </c>
      <c r="AR402" s="289" t="s">
        <v>1</v>
      </c>
      <c r="AS402" s="289" t="s">
        <v>1</v>
      </c>
      <c r="AT402" s="290" t="s">
        <v>1</v>
      </c>
      <c r="AU402" s="287" t="s">
        <v>1</v>
      </c>
      <c r="AV402" s="287" t="s">
        <v>1</v>
      </c>
      <c r="AW402" s="291" t="s">
        <v>1</v>
      </c>
    </row>
    <row r="403" spans="1:49" ht="30.15" customHeight="1" x14ac:dyDescent="0.25">
      <c r="A403" s="213" t="s">
        <v>18</v>
      </c>
      <c r="B403" s="188" t="s">
        <v>1</v>
      </c>
      <c r="C403" s="212" t="s">
        <v>34</v>
      </c>
      <c r="D403" s="254" t="s">
        <v>3</v>
      </c>
      <c r="E403" s="254" t="s">
        <v>1112</v>
      </c>
      <c r="F403" s="255"/>
      <c r="G403" s="254" t="s">
        <v>1120</v>
      </c>
      <c r="H403" s="192" t="s">
        <v>409</v>
      </c>
      <c r="I403" s="193">
        <v>1142</v>
      </c>
      <c r="J403" s="193">
        <v>1169</v>
      </c>
      <c r="K403" s="193">
        <v>1169</v>
      </c>
      <c r="L403" s="193">
        <v>1236</v>
      </c>
      <c r="M403" s="194">
        <v>1236</v>
      </c>
      <c r="N403" s="284">
        <v>247.2</v>
      </c>
      <c r="O403" s="285" t="s">
        <v>1</v>
      </c>
      <c r="P403" s="285" t="s">
        <v>1</v>
      </c>
      <c r="Q403" s="306">
        <v>552</v>
      </c>
      <c r="R403" s="306" t="s">
        <v>1</v>
      </c>
      <c r="S403" s="286">
        <v>247.2</v>
      </c>
      <c r="T403" s="285" t="s">
        <v>1</v>
      </c>
      <c r="U403" s="285" t="s">
        <v>1</v>
      </c>
      <c r="V403" s="306">
        <v>552</v>
      </c>
      <c r="W403" s="306" t="s">
        <v>1</v>
      </c>
      <c r="X403" s="286">
        <v>247.2</v>
      </c>
      <c r="Y403" s="308">
        <v>1.5</v>
      </c>
      <c r="Z403" s="285">
        <v>24</v>
      </c>
      <c r="AA403" s="306">
        <v>552</v>
      </c>
      <c r="AB403" s="306" t="s">
        <v>1</v>
      </c>
      <c r="AC403" s="286">
        <v>247.2</v>
      </c>
      <c r="AD403" s="308">
        <v>1.5</v>
      </c>
      <c r="AE403" s="285">
        <v>24</v>
      </c>
      <c r="AF403" s="306">
        <v>552</v>
      </c>
      <c r="AG403" s="306" t="s">
        <v>1</v>
      </c>
      <c r="AH403" s="286" t="s">
        <v>1</v>
      </c>
      <c r="AI403" s="295" t="s">
        <v>1</v>
      </c>
      <c r="AJ403" s="295" t="s">
        <v>1</v>
      </c>
      <c r="AK403" s="295" t="s">
        <v>1</v>
      </c>
      <c r="AL403" s="302" t="s">
        <v>1</v>
      </c>
      <c r="AM403" s="288" t="s">
        <v>1</v>
      </c>
      <c r="AN403" s="287" t="s">
        <v>1</v>
      </c>
      <c r="AO403" s="287" t="s">
        <v>1</v>
      </c>
      <c r="AP403" s="286" t="s">
        <v>1</v>
      </c>
      <c r="AQ403" s="285" t="s">
        <v>1</v>
      </c>
      <c r="AR403" s="289" t="s">
        <v>1</v>
      </c>
      <c r="AS403" s="289" t="s">
        <v>1</v>
      </c>
      <c r="AT403" s="290" t="s">
        <v>1</v>
      </c>
      <c r="AU403" s="287" t="s">
        <v>1</v>
      </c>
      <c r="AV403" s="287" t="s">
        <v>1</v>
      </c>
      <c r="AW403" s="291" t="s">
        <v>1</v>
      </c>
    </row>
    <row r="404" spans="1:49" ht="30.15" customHeight="1" x14ac:dyDescent="0.25">
      <c r="A404" s="213" t="s">
        <v>18</v>
      </c>
      <c r="B404" s="188" t="s">
        <v>1</v>
      </c>
      <c r="C404" s="212" t="s">
        <v>34</v>
      </c>
      <c r="D404" s="254" t="s">
        <v>3</v>
      </c>
      <c r="E404" s="254" t="s">
        <v>1113</v>
      </c>
      <c r="F404" s="255"/>
      <c r="G404" s="254" t="s">
        <v>1120</v>
      </c>
      <c r="H404" s="192" t="s">
        <v>409</v>
      </c>
      <c r="I404" s="193">
        <v>1142</v>
      </c>
      <c r="J404" s="193">
        <v>1169</v>
      </c>
      <c r="K404" s="193">
        <v>1169</v>
      </c>
      <c r="L404" s="193">
        <v>1236</v>
      </c>
      <c r="M404" s="194">
        <v>1236</v>
      </c>
      <c r="N404" s="284">
        <v>247.2</v>
      </c>
      <c r="O404" s="285" t="s">
        <v>1</v>
      </c>
      <c r="P404" s="285" t="s">
        <v>1</v>
      </c>
      <c r="Q404" s="306">
        <v>552</v>
      </c>
      <c r="R404" s="306" t="s">
        <v>1</v>
      </c>
      <c r="S404" s="286">
        <v>247.2</v>
      </c>
      <c r="T404" s="285" t="s">
        <v>1</v>
      </c>
      <c r="U404" s="285" t="s">
        <v>1</v>
      </c>
      <c r="V404" s="306">
        <v>552</v>
      </c>
      <c r="W404" s="306" t="s">
        <v>1</v>
      </c>
      <c r="X404" s="286">
        <v>247.2</v>
      </c>
      <c r="Y404" s="308">
        <v>1.5</v>
      </c>
      <c r="Z404" s="285">
        <v>24</v>
      </c>
      <c r="AA404" s="306">
        <v>552</v>
      </c>
      <c r="AB404" s="306" t="s">
        <v>1</v>
      </c>
      <c r="AC404" s="286">
        <v>247.2</v>
      </c>
      <c r="AD404" s="308">
        <v>1.5</v>
      </c>
      <c r="AE404" s="285">
        <v>24</v>
      </c>
      <c r="AF404" s="306">
        <v>552</v>
      </c>
      <c r="AG404" s="306" t="s">
        <v>1</v>
      </c>
      <c r="AH404" s="286" t="s">
        <v>1</v>
      </c>
      <c r="AI404" s="295" t="s">
        <v>1</v>
      </c>
      <c r="AJ404" s="295" t="s">
        <v>1</v>
      </c>
      <c r="AK404" s="295" t="s">
        <v>1</v>
      </c>
      <c r="AL404" s="302" t="s">
        <v>1</v>
      </c>
      <c r="AM404" s="288" t="s">
        <v>1</v>
      </c>
      <c r="AN404" s="287" t="s">
        <v>1</v>
      </c>
      <c r="AO404" s="287" t="s">
        <v>1</v>
      </c>
      <c r="AP404" s="286" t="s">
        <v>1</v>
      </c>
      <c r="AQ404" s="285" t="s">
        <v>1</v>
      </c>
      <c r="AR404" s="289" t="s">
        <v>1</v>
      </c>
      <c r="AS404" s="289" t="s">
        <v>1</v>
      </c>
      <c r="AT404" s="290" t="s">
        <v>1</v>
      </c>
      <c r="AU404" s="287" t="s">
        <v>1</v>
      </c>
      <c r="AV404" s="287" t="s">
        <v>1</v>
      </c>
      <c r="AW404" s="291" t="s">
        <v>1</v>
      </c>
    </row>
    <row r="405" spans="1:49" ht="30.15" customHeight="1" x14ac:dyDescent="0.25">
      <c r="A405" s="213" t="s">
        <v>18</v>
      </c>
      <c r="B405" s="188" t="s">
        <v>1</v>
      </c>
      <c r="C405" s="212" t="s">
        <v>34</v>
      </c>
      <c r="D405" s="254" t="s">
        <v>3</v>
      </c>
      <c r="E405" s="254" t="s">
        <v>1268</v>
      </c>
      <c r="F405" s="255"/>
      <c r="G405" s="254" t="s">
        <v>1120</v>
      </c>
      <c r="H405" s="192" t="s">
        <v>414</v>
      </c>
      <c r="I405" s="193">
        <v>1142</v>
      </c>
      <c r="J405" s="193">
        <v>1169</v>
      </c>
      <c r="K405" s="193">
        <v>1169</v>
      </c>
      <c r="L405" s="193">
        <v>1236</v>
      </c>
      <c r="M405" s="194">
        <v>1236</v>
      </c>
      <c r="N405" s="284">
        <v>247.2</v>
      </c>
      <c r="O405" s="285" t="s">
        <v>1</v>
      </c>
      <c r="P405" s="285" t="s">
        <v>1</v>
      </c>
      <c r="Q405" s="306">
        <v>552</v>
      </c>
      <c r="R405" s="306" t="s">
        <v>1</v>
      </c>
      <c r="S405" s="286">
        <v>247.2</v>
      </c>
      <c r="T405" s="285" t="s">
        <v>1</v>
      </c>
      <c r="U405" s="285" t="s">
        <v>1</v>
      </c>
      <c r="V405" s="306">
        <v>552</v>
      </c>
      <c r="W405" s="306" t="s">
        <v>1</v>
      </c>
      <c r="X405" s="286">
        <v>247.2</v>
      </c>
      <c r="Y405" s="308">
        <v>1.5</v>
      </c>
      <c r="Z405" s="285">
        <v>24</v>
      </c>
      <c r="AA405" s="306">
        <v>552</v>
      </c>
      <c r="AB405" s="306" t="s">
        <v>1</v>
      </c>
      <c r="AC405" s="286">
        <v>247.2</v>
      </c>
      <c r="AD405" s="308">
        <v>1.5</v>
      </c>
      <c r="AE405" s="285">
        <v>24</v>
      </c>
      <c r="AF405" s="306">
        <v>552</v>
      </c>
      <c r="AG405" s="306" t="s">
        <v>1</v>
      </c>
      <c r="AH405" s="286" t="s">
        <v>1</v>
      </c>
      <c r="AI405" s="295" t="s">
        <v>1</v>
      </c>
      <c r="AJ405" s="295" t="s">
        <v>1</v>
      </c>
      <c r="AK405" s="295" t="s">
        <v>1</v>
      </c>
      <c r="AL405" s="302" t="s">
        <v>1</v>
      </c>
      <c r="AM405" s="288" t="s">
        <v>1</v>
      </c>
      <c r="AN405" s="287" t="s">
        <v>1</v>
      </c>
      <c r="AO405" s="287" t="s">
        <v>1</v>
      </c>
      <c r="AP405" s="286" t="s">
        <v>1</v>
      </c>
      <c r="AQ405" s="285" t="s">
        <v>1</v>
      </c>
      <c r="AR405" s="289" t="s">
        <v>1</v>
      </c>
      <c r="AS405" s="289" t="s">
        <v>1</v>
      </c>
      <c r="AT405" s="290" t="s">
        <v>1</v>
      </c>
      <c r="AU405" s="287" t="s">
        <v>1</v>
      </c>
      <c r="AV405" s="287" t="s">
        <v>1</v>
      </c>
      <c r="AW405" s="291" t="s">
        <v>1</v>
      </c>
    </row>
    <row r="406" spans="1:49" ht="30.15" customHeight="1" x14ac:dyDescent="0.25">
      <c r="A406" s="213" t="s">
        <v>18</v>
      </c>
      <c r="B406" s="188" t="s">
        <v>1</v>
      </c>
      <c r="C406" s="212" t="s">
        <v>34</v>
      </c>
      <c r="D406" s="254" t="s">
        <v>3</v>
      </c>
      <c r="E406" s="254" t="s">
        <v>1114</v>
      </c>
      <c r="F406" s="255"/>
      <c r="G406" s="254" t="s">
        <v>1121</v>
      </c>
      <c r="H406" s="192" t="s">
        <v>409</v>
      </c>
      <c r="I406" s="193">
        <v>1275</v>
      </c>
      <c r="J406" s="193">
        <v>1306</v>
      </c>
      <c r="K406" s="193">
        <v>1306</v>
      </c>
      <c r="L406" s="193">
        <v>1380</v>
      </c>
      <c r="M406" s="194">
        <v>1380</v>
      </c>
      <c r="N406" s="284">
        <v>276</v>
      </c>
      <c r="O406" s="285" t="s">
        <v>1</v>
      </c>
      <c r="P406" s="285" t="s">
        <v>1</v>
      </c>
      <c r="Q406" s="306">
        <v>588</v>
      </c>
      <c r="R406" s="306" t="s">
        <v>1</v>
      </c>
      <c r="S406" s="286">
        <v>276</v>
      </c>
      <c r="T406" s="285" t="s">
        <v>1</v>
      </c>
      <c r="U406" s="285" t="s">
        <v>1</v>
      </c>
      <c r="V406" s="306">
        <v>588</v>
      </c>
      <c r="W406" s="306" t="s">
        <v>1</v>
      </c>
      <c r="X406" s="286">
        <v>276</v>
      </c>
      <c r="Y406" s="308">
        <v>2</v>
      </c>
      <c r="Z406" s="285">
        <v>24</v>
      </c>
      <c r="AA406" s="306">
        <v>588</v>
      </c>
      <c r="AB406" s="306" t="s">
        <v>1</v>
      </c>
      <c r="AC406" s="286">
        <v>276</v>
      </c>
      <c r="AD406" s="308">
        <v>2</v>
      </c>
      <c r="AE406" s="285">
        <v>24</v>
      </c>
      <c r="AF406" s="306">
        <v>588</v>
      </c>
      <c r="AG406" s="306" t="s">
        <v>1</v>
      </c>
      <c r="AH406" s="286" t="s">
        <v>1</v>
      </c>
      <c r="AI406" s="295" t="s">
        <v>1</v>
      </c>
      <c r="AJ406" s="295" t="s">
        <v>1</v>
      </c>
      <c r="AK406" s="295" t="s">
        <v>1</v>
      </c>
      <c r="AL406" s="302" t="s">
        <v>1</v>
      </c>
      <c r="AM406" s="288" t="s">
        <v>1</v>
      </c>
      <c r="AN406" s="287" t="s">
        <v>1</v>
      </c>
      <c r="AO406" s="287" t="s">
        <v>1</v>
      </c>
      <c r="AP406" s="286" t="s">
        <v>1</v>
      </c>
      <c r="AQ406" s="285" t="s">
        <v>1</v>
      </c>
      <c r="AR406" s="289" t="s">
        <v>1</v>
      </c>
      <c r="AS406" s="289" t="s">
        <v>1</v>
      </c>
      <c r="AT406" s="290" t="s">
        <v>1</v>
      </c>
      <c r="AU406" s="287" t="s">
        <v>1</v>
      </c>
      <c r="AV406" s="287" t="s">
        <v>1</v>
      </c>
      <c r="AW406" s="291" t="s">
        <v>1</v>
      </c>
    </row>
    <row r="407" spans="1:49" ht="30.15" customHeight="1" x14ac:dyDescent="0.25">
      <c r="A407" s="213" t="s">
        <v>18</v>
      </c>
      <c r="B407" s="188" t="s">
        <v>1</v>
      </c>
      <c r="C407" s="212" t="s">
        <v>34</v>
      </c>
      <c r="D407" s="254" t="s">
        <v>3</v>
      </c>
      <c r="E407" s="254" t="s">
        <v>1115</v>
      </c>
      <c r="F407" s="255"/>
      <c r="G407" s="254" t="s">
        <v>1121</v>
      </c>
      <c r="H407" s="192" t="s">
        <v>409</v>
      </c>
      <c r="I407" s="193">
        <v>1275</v>
      </c>
      <c r="J407" s="193">
        <v>1306</v>
      </c>
      <c r="K407" s="193">
        <v>1306</v>
      </c>
      <c r="L407" s="193">
        <v>1380</v>
      </c>
      <c r="M407" s="194">
        <v>1380</v>
      </c>
      <c r="N407" s="284">
        <v>276</v>
      </c>
      <c r="O407" s="285" t="s">
        <v>1</v>
      </c>
      <c r="P407" s="285" t="s">
        <v>1</v>
      </c>
      <c r="Q407" s="306">
        <v>588</v>
      </c>
      <c r="R407" s="306" t="s">
        <v>1</v>
      </c>
      <c r="S407" s="286">
        <v>276</v>
      </c>
      <c r="T407" s="285" t="s">
        <v>1</v>
      </c>
      <c r="U407" s="285" t="s">
        <v>1</v>
      </c>
      <c r="V407" s="306">
        <v>588</v>
      </c>
      <c r="W407" s="306" t="s">
        <v>1</v>
      </c>
      <c r="X407" s="286">
        <v>276</v>
      </c>
      <c r="Y407" s="308">
        <v>2</v>
      </c>
      <c r="Z407" s="285">
        <v>24</v>
      </c>
      <c r="AA407" s="306">
        <v>588</v>
      </c>
      <c r="AB407" s="306" t="s">
        <v>1</v>
      </c>
      <c r="AC407" s="286">
        <v>276</v>
      </c>
      <c r="AD407" s="308">
        <v>2</v>
      </c>
      <c r="AE407" s="285">
        <v>24</v>
      </c>
      <c r="AF407" s="306">
        <v>588</v>
      </c>
      <c r="AG407" s="306" t="s">
        <v>1</v>
      </c>
      <c r="AH407" s="286" t="s">
        <v>1</v>
      </c>
      <c r="AI407" s="295" t="s">
        <v>1</v>
      </c>
      <c r="AJ407" s="295" t="s">
        <v>1</v>
      </c>
      <c r="AK407" s="295" t="s">
        <v>1</v>
      </c>
      <c r="AL407" s="302" t="s">
        <v>1</v>
      </c>
      <c r="AM407" s="288" t="s">
        <v>1</v>
      </c>
      <c r="AN407" s="287" t="s">
        <v>1</v>
      </c>
      <c r="AO407" s="287" t="s">
        <v>1</v>
      </c>
      <c r="AP407" s="286" t="s">
        <v>1</v>
      </c>
      <c r="AQ407" s="285" t="s">
        <v>1</v>
      </c>
      <c r="AR407" s="289" t="s">
        <v>1</v>
      </c>
      <c r="AS407" s="289" t="s">
        <v>1</v>
      </c>
      <c r="AT407" s="290" t="s">
        <v>1</v>
      </c>
      <c r="AU407" s="287" t="s">
        <v>1</v>
      </c>
      <c r="AV407" s="287" t="s">
        <v>1</v>
      </c>
      <c r="AW407" s="291" t="s">
        <v>1</v>
      </c>
    </row>
    <row r="408" spans="1:49" ht="30.15" customHeight="1" x14ac:dyDescent="0.25">
      <c r="A408" s="213" t="s">
        <v>18</v>
      </c>
      <c r="B408" s="188" t="s">
        <v>1</v>
      </c>
      <c r="C408" s="212" t="s">
        <v>34</v>
      </c>
      <c r="D408" s="254" t="s">
        <v>3</v>
      </c>
      <c r="E408" s="254" t="s">
        <v>1116</v>
      </c>
      <c r="F408" s="255"/>
      <c r="G408" s="254" t="s">
        <v>1121</v>
      </c>
      <c r="H408" s="192" t="s">
        <v>409</v>
      </c>
      <c r="I408" s="193">
        <v>1275</v>
      </c>
      <c r="J408" s="193">
        <v>1306</v>
      </c>
      <c r="K408" s="193">
        <v>1306</v>
      </c>
      <c r="L408" s="193">
        <v>1380</v>
      </c>
      <c r="M408" s="194">
        <v>1380</v>
      </c>
      <c r="N408" s="284">
        <v>276</v>
      </c>
      <c r="O408" s="285" t="s">
        <v>1</v>
      </c>
      <c r="P408" s="285" t="s">
        <v>1</v>
      </c>
      <c r="Q408" s="306">
        <v>588</v>
      </c>
      <c r="R408" s="306" t="s">
        <v>1</v>
      </c>
      <c r="S408" s="286">
        <v>276</v>
      </c>
      <c r="T408" s="285" t="s">
        <v>1</v>
      </c>
      <c r="U408" s="285" t="s">
        <v>1</v>
      </c>
      <c r="V408" s="306">
        <v>588</v>
      </c>
      <c r="W408" s="306" t="s">
        <v>1</v>
      </c>
      <c r="X408" s="286">
        <v>276</v>
      </c>
      <c r="Y408" s="308">
        <v>2</v>
      </c>
      <c r="Z408" s="285">
        <v>24</v>
      </c>
      <c r="AA408" s="306">
        <v>588</v>
      </c>
      <c r="AB408" s="306" t="s">
        <v>1</v>
      </c>
      <c r="AC408" s="286">
        <v>276</v>
      </c>
      <c r="AD408" s="308">
        <v>2</v>
      </c>
      <c r="AE408" s="285">
        <v>24</v>
      </c>
      <c r="AF408" s="306">
        <v>588</v>
      </c>
      <c r="AG408" s="306" t="s">
        <v>1</v>
      </c>
      <c r="AH408" s="286" t="s">
        <v>1</v>
      </c>
      <c r="AI408" s="295" t="s">
        <v>1</v>
      </c>
      <c r="AJ408" s="295" t="s">
        <v>1</v>
      </c>
      <c r="AK408" s="295" t="s">
        <v>1</v>
      </c>
      <c r="AL408" s="302" t="s">
        <v>1</v>
      </c>
      <c r="AM408" s="288" t="s">
        <v>1</v>
      </c>
      <c r="AN408" s="287" t="s">
        <v>1</v>
      </c>
      <c r="AO408" s="287" t="s">
        <v>1</v>
      </c>
      <c r="AP408" s="286" t="s">
        <v>1</v>
      </c>
      <c r="AQ408" s="285" t="s">
        <v>1</v>
      </c>
      <c r="AR408" s="289" t="s">
        <v>1</v>
      </c>
      <c r="AS408" s="289" t="s">
        <v>1</v>
      </c>
      <c r="AT408" s="290" t="s">
        <v>1</v>
      </c>
      <c r="AU408" s="287" t="s">
        <v>1</v>
      </c>
      <c r="AV408" s="287" t="s">
        <v>1</v>
      </c>
      <c r="AW408" s="291" t="s">
        <v>1</v>
      </c>
    </row>
    <row r="409" spans="1:49" ht="30.15" customHeight="1" x14ac:dyDescent="0.25">
      <c r="A409" s="213" t="s">
        <v>18</v>
      </c>
      <c r="B409" s="188" t="s">
        <v>1</v>
      </c>
      <c r="C409" s="212" t="s">
        <v>34</v>
      </c>
      <c r="D409" s="254" t="s">
        <v>3</v>
      </c>
      <c r="E409" s="254" t="s">
        <v>1117</v>
      </c>
      <c r="F409" s="255"/>
      <c r="G409" s="254" t="s">
        <v>1121</v>
      </c>
      <c r="H409" s="192" t="s">
        <v>409</v>
      </c>
      <c r="I409" s="193">
        <v>1275</v>
      </c>
      <c r="J409" s="193">
        <v>1306</v>
      </c>
      <c r="K409" s="193">
        <v>1306</v>
      </c>
      <c r="L409" s="193">
        <v>1380</v>
      </c>
      <c r="M409" s="194">
        <v>1380</v>
      </c>
      <c r="N409" s="284">
        <v>276</v>
      </c>
      <c r="O409" s="285" t="s">
        <v>1</v>
      </c>
      <c r="P409" s="285" t="s">
        <v>1</v>
      </c>
      <c r="Q409" s="306">
        <v>588</v>
      </c>
      <c r="R409" s="306" t="s">
        <v>1</v>
      </c>
      <c r="S409" s="286">
        <v>276</v>
      </c>
      <c r="T409" s="285" t="s">
        <v>1</v>
      </c>
      <c r="U409" s="285" t="s">
        <v>1</v>
      </c>
      <c r="V409" s="306">
        <v>588</v>
      </c>
      <c r="W409" s="306" t="s">
        <v>1</v>
      </c>
      <c r="X409" s="286">
        <v>276</v>
      </c>
      <c r="Y409" s="308">
        <v>2</v>
      </c>
      <c r="Z409" s="285">
        <v>24</v>
      </c>
      <c r="AA409" s="306">
        <v>588</v>
      </c>
      <c r="AB409" s="306" t="s">
        <v>1</v>
      </c>
      <c r="AC409" s="286">
        <v>276</v>
      </c>
      <c r="AD409" s="308">
        <v>2</v>
      </c>
      <c r="AE409" s="285">
        <v>24</v>
      </c>
      <c r="AF409" s="306">
        <v>588</v>
      </c>
      <c r="AG409" s="306" t="s">
        <v>1</v>
      </c>
      <c r="AH409" s="286" t="s">
        <v>1</v>
      </c>
      <c r="AI409" s="295" t="s">
        <v>1</v>
      </c>
      <c r="AJ409" s="295" t="s">
        <v>1</v>
      </c>
      <c r="AK409" s="295" t="s">
        <v>1</v>
      </c>
      <c r="AL409" s="302" t="s">
        <v>1</v>
      </c>
      <c r="AM409" s="288" t="s">
        <v>1</v>
      </c>
      <c r="AN409" s="287" t="s">
        <v>1</v>
      </c>
      <c r="AO409" s="287" t="s">
        <v>1</v>
      </c>
      <c r="AP409" s="286" t="s">
        <v>1</v>
      </c>
      <c r="AQ409" s="285" t="s">
        <v>1</v>
      </c>
      <c r="AR409" s="289" t="s">
        <v>1</v>
      </c>
      <c r="AS409" s="289" t="s">
        <v>1</v>
      </c>
      <c r="AT409" s="290" t="s">
        <v>1</v>
      </c>
      <c r="AU409" s="287" t="s">
        <v>1</v>
      </c>
      <c r="AV409" s="287" t="s">
        <v>1</v>
      </c>
      <c r="AW409" s="291" t="s">
        <v>1</v>
      </c>
    </row>
    <row r="410" spans="1:49" ht="30.15" customHeight="1" x14ac:dyDescent="0.25">
      <c r="A410" s="213" t="s">
        <v>18</v>
      </c>
      <c r="B410" s="188" t="s">
        <v>1</v>
      </c>
      <c r="C410" s="212" t="s">
        <v>34</v>
      </c>
      <c r="D410" s="254" t="s">
        <v>3</v>
      </c>
      <c r="E410" s="254" t="s">
        <v>1118</v>
      </c>
      <c r="F410" s="255"/>
      <c r="G410" s="254" t="s">
        <v>1121</v>
      </c>
      <c r="H410" s="192" t="s">
        <v>409</v>
      </c>
      <c r="I410" s="193">
        <v>1275</v>
      </c>
      <c r="J410" s="193">
        <v>1306</v>
      </c>
      <c r="K410" s="193">
        <v>1306</v>
      </c>
      <c r="L410" s="193">
        <v>1380</v>
      </c>
      <c r="M410" s="194">
        <v>1380</v>
      </c>
      <c r="N410" s="284">
        <v>276</v>
      </c>
      <c r="O410" s="285" t="s">
        <v>1</v>
      </c>
      <c r="P410" s="285" t="s">
        <v>1</v>
      </c>
      <c r="Q410" s="306">
        <v>588</v>
      </c>
      <c r="R410" s="306" t="s">
        <v>1</v>
      </c>
      <c r="S410" s="286">
        <v>276</v>
      </c>
      <c r="T410" s="285" t="s">
        <v>1</v>
      </c>
      <c r="U410" s="285" t="s">
        <v>1</v>
      </c>
      <c r="V410" s="306">
        <v>588</v>
      </c>
      <c r="W410" s="306" t="s">
        <v>1</v>
      </c>
      <c r="X410" s="286">
        <v>276</v>
      </c>
      <c r="Y410" s="308">
        <v>2</v>
      </c>
      <c r="Z410" s="285">
        <v>24</v>
      </c>
      <c r="AA410" s="306">
        <v>588</v>
      </c>
      <c r="AB410" s="306" t="s">
        <v>1</v>
      </c>
      <c r="AC410" s="286">
        <v>276</v>
      </c>
      <c r="AD410" s="308">
        <v>2</v>
      </c>
      <c r="AE410" s="285">
        <v>24</v>
      </c>
      <c r="AF410" s="306">
        <v>588</v>
      </c>
      <c r="AG410" s="306" t="s">
        <v>1</v>
      </c>
      <c r="AH410" s="286" t="s">
        <v>1</v>
      </c>
      <c r="AI410" s="295" t="s">
        <v>1</v>
      </c>
      <c r="AJ410" s="295" t="s">
        <v>1</v>
      </c>
      <c r="AK410" s="295" t="s">
        <v>1</v>
      </c>
      <c r="AL410" s="302" t="s">
        <v>1</v>
      </c>
      <c r="AM410" s="288" t="s">
        <v>1</v>
      </c>
      <c r="AN410" s="287" t="s">
        <v>1</v>
      </c>
      <c r="AO410" s="287" t="s">
        <v>1</v>
      </c>
      <c r="AP410" s="286" t="s">
        <v>1</v>
      </c>
      <c r="AQ410" s="285" t="s">
        <v>1</v>
      </c>
      <c r="AR410" s="289" t="s">
        <v>1</v>
      </c>
      <c r="AS410" s="289" t="s">
        <v>1</v>
      </c>
      <c r="AT410" s="290" t="s">
        <v>1</v>
      </c>
      <c r="AU410" s="287" t="s">
        <v>1</v>
      </c>
      <c r="AV410" s="287" t="s">
        <v>1</v>
      </c>
      <c r="AW410" s="291" t="s">
        <v>1</v>
      </c>
    </row>
    <row r="411" spans="1:49" ht="30.15" customHeight="1" x14ac:dyDescent="0.25">
      <c r="A411" s="213" t="s">
        <v>18</v>
      </c>
      <c r="B411" s="188" t="s">
        <v>1</v>
      </c>
      <c r="C411" s="212" t="s">
        <v>34</v>
      </c>
      <c r="D411" s="254" t="s">
        <v>3</v>
      </c>
      <c r="E411" s="254" t="s">
        <v>1269</v>
      </c>
      <c r="F411" s="255"/>
      <c r="G411" s="254" t="s">
        <v>1121</v>
      </c>
      <c r="H411" s="192" t="s">
        <v>414</v>
      </c>
      <c r="I411" s="193">
        <v>1275</v>
      </c>
      <c r="J411" s="193">
        <v>1306</v>
      </c>
      <c r="K411" s="193">
        <v>1306</v>
      </c>
      <c r="L411" s="193">
        <v>1380</v>
      </c>
      <c r="M411" s="194">
        <v>1380</v>
      </c>
      <c r="N411" s="284">
        <v>276</v>
      </c>
      <c r="O411" s="285" t="s">
        <v>1</v>
      </c>
      <c r="P411" s="285" t="s">
        <v>1</v>
      </c>
      <c r="Q411" s="306">
        <v>588</v>
      </c>
      <c r="R411" s="306" t="s">
        <v>1</v>
      </c>
      <c r="S411" s="286">
        <v>276</v>
      </c>
      <c r="T411" s="285" t="s">
        <v>1</v>
      </c>
      <c r="U411" s="285" t="s">
        <v>1</v>
      </c>
      <c r="V411" s="306">
        <v>588</v>
      </c>
      <c r="W411" s="306" t="s">
        <v>1</v>
      </c>
      <c r="X411" s="286">
        <v>276</v>
      </c>
      <c r="Y411" s="308">
        <v>2</v>
      </c>
      <c r="Z411" s="285">
        <v>24</v>
      </c>
      <c r="AA411" s="306">
        <v>588</v>
      </c>
      <c r="AB411" s="306" t="s">
        <v>1</v>
      </c>
      <c r="AC411" s="286">
        <v>276</v>
      </c>
      <c r="AD411" s="308">
        <v>2</v>
      </c>
      <c r="AE411" s="285">
        <v>24</v>
      </c>
      <c r="AF411" s="306">
        <v>588</v>
      </c>
      <c r="AG411" s="306" t="s">
        <v>1</v>
      </c>
      <c r="AH411" s="286" t="s">
        <v>1</v>
      </c>
      <c r="AI411" s="295" t="s">
        <v>1</v>
      </c>
      <c r="AJ411" s="295" t="s">
        <v>1</v>
      </c>
      <c r="AK411" s="295" t="s">
        <v>1</v>
      </c>
      <c r="AL411" s="302" t="s">
        <v>1</v>
      </c>
      <c r="AM411" s="288" t="s">
        <v>1</v>
      </c>
      <c r="AN411" s="287" t="s">
        <v>1</v>
      </c>
      <c r="AO411" s="287" t="s">
        <v>1</v>
      </c>
      <c r="AP411" s="286" t="s">
        <v>1</v>
      </c>
      <c r="AQ411" s="285" t="s">
        <v>1</v>
      </c>
      <c r="AR411" s="289" t="s">
        <v>1</v>
      </c>
      <c r="AS411" s="289" t="s">
        <v>1</v>
      </c>
      <c r="AT411" s="290" t="s">
        <v>1</v>
      </c>
      <c r="AU411" s="287" t="s">
        <v>1</v>
      </c>
      <c r="AV411" s="287" t="s">
        <v>1</v>
      </c>
      <c r="AW411" s="291" t="s">
        <v>1</v>
      </c>
    </row>
    <row r="412" spans="1:49" ht="30.15" customHeight="1" x14ac:dyDescent="0.25">
      <c r="A412" s="213" t="s">
        <v>18</v>
      </c>
      <c r="B412" s="189" t="s">
        <v>1</v>
      </c>
      <c r="C412" s="212" t="s">
        <v>34</v>
      </c>
      <c r="D412" s="190" t="s">
        <v>209</v>
      </c>
      <c r="E412" s="190" t="s">
        <v>496</v>
      </c>
      <c r="F412" s="203"/>
      <c r="G412" s="190" t="s">
        <v>492</v>
      </c>
      <c r="H412" s="192" t="s">
        <v>409</v>
      </c>
      <c r="I412" s="193">
        <v>970</v>
      </c>
      <c r="J412" s="193">
        <v>970</v>
      </c>
      <c r="K412" s="193">
        <v>970</v>
      </c>
      <c r="L412" s="193">
        <v>1125</v>
      </c>
      <c r="M412" s="194">
        <v>1125</v>
      </c>
      <c r="N412" s="284">
        <v>225</v>
      </c>
      <c r="O412" s="285">
        <v>36.880000000000003</v>
      </c>
      <c r="P412" s="285">
        <v>24</v>
      </c>
      <c r="Q412" s="285" t="s">
        <v>1</v>
      </c>
      <c r="R412" s="285" t="s">
        <v>1</v>
      </c>
      <c r="S412" s="286">
        <v>225</v>
      </c>
      <c r="T412" s="285">
        <v>36.880000000000003</v>
      </c>
      <c r="U412" s="285">
        <v>24</v>
      </c>
      <c r="V412" s="285" t="s">
        <v>1</v>
      </c>
      <c r="W412" s="285" t="s">
        <v>1</v>
      </c>
      <c r="X412" s="286">
        <v>225</v>
      </c>
      <c r="Y412" s="285">
        <v>36.880000000000003</v>
      </c>
      <c r="Z412" s="285">
        <v>24</v>
      </c>
      <c r="AA412" s="285" t="s">
        <v>1</v>
      </c>
      <c r="AB412" s="285" t="s">
        <v>1</v>
      </c>
      <c r="AC412" s="286">
        <v>225</v>
      </c>
      <c r="AD412" s="285">
        <v>36.880000000000003</v>
      </c>
      <c r="AE412" s="285">
        <v>24</v>
      </c>
      <c r="AF412" s="285" t="s">
        <v>1</v>
      </c>
      <c r="AG412" s="285" t="s">
        <v>1</v>
      </c>
      <c r="AH412" s="286" t="s">
        <v>1</v>
      </c>
      <c r="AI412" s="295" t="s">
        <v>1</v>
      </c>
      <c r="AJ412" s="295" t="s">
        <v>1</v>
      </c>
      <c r="AK412" s="295" t="s">
        <v>1</v>
      </c>
      <c r="AL412" s="302" t="s">
        <v>1</v>
      </c>
      <c r="AM412" s="288" t="s">
        <v>1</v>
      </c>
      <c r="AN412" s="287" t="s">
        <v>1</v>
      </c>
      <c r="AO412" s="287" t="s">
        <v>1</v>
      </c>
      <c r="AP412" s="286" t="s">
        <v>1</v>
      </c>
      <c r="AQ412" s="285" t="s">
        <v>1</v>
      </c>
      <c r="AR412" s="289" t="s">
        <v>1</v>
      </c>
      <c r="AS412" s="289" t="s">
        <v>1</v>
      </c>
      <c r="AT412" s="290" t="s">
        <v>1</v>
      </c>
      <c r="AU412" s="287" t="s">
        <v>1</v>
      </c>
      <c r="AV412" s="287" t="s">
        <v>1</v>
      </c>
      <c r="AW412" s="291" t="s">
        <v>1</v>
      </c>
    </row>
    <row r="413" spans="1:49" ht="30.15" customHeight="1" x14ac:dyDescent="0.25">
      <c r="A413" s="213" t="s">
        <v>18</v>
      </c>
      <c r="B413" s="189" t="s">
        <v>1</v>
      </c>
      <c r="C413" s="212" t="s">
        <v>34</v>
      </c>
      <c r="D413" s="190" t="s">
        <v>209</v>
      </c>
      <c r="E413" s="190" t="s">
        <v>497</v>
      </c>
      <c r="F413" s="203"/>
      <c r="G413" s="190" t="s">
        <v>492</v>
      </c>
      <c r="H413" s="192" t="s">
        <v>409</v>
      </c>
      <c r="I413" s="193">
        <v>970</v>
      </c>
      <c r="J413" s="193">
        <v>970</v>
      </c>
      <c r="K413" s="193">
        <v>970</v>
      </c>
      <c r="L413" s="193">
        <v>1125</v>
      </c>
      <c r="M413" s="194">
        <v>1125</v>
      </c>
      <c r="N413" s="284">
        <v>225</v>
      </c>
      <c r="O413" s="285">
        <v>36.880000000000003</v>
      </c>
      <c r="P413" s="285">
        <v>24</v>
      </c>
      <c r="Q413" s="285" t="s">
        <v>1</v>
      </c>
      <c r="R413" s="285" t="s">
        <v>1</v>
      </c>
      <c r="S413" s="286">
        <v>225</v>
      </c>
      <c r="T413" s="285">
        <v>36.880000000000003</v>
      </c>
      <c r="U413" s="285">
        <v>24</v>
      </c>
      <c r="V413" s="285" t="s">
        <v>1</v>
      </c>
      <c r="W413" s="285" t="s">
        <v>1</v>
      </c>
      <c r="X413" s="286">
        <v>225</v>
      </c>
      <c r="Y413" s="285">
        <v>36.880000000000003</v>
      </c>
      <c r="Z413" s="285">
        <v>24</v>
      </c>
      <c r="AA413" s="285" t="s">
        <v>1</v>
      </c>
      <c r="AB413" s="285" t="s">
        <v>1</v>
      </c>
      <c r="AC413" s="286">
        <v>225</v>
      </c>
      <c r="AD413" s="285">
        <v>36.880000000000003</v>
      </c>
      <c r="AE413" s="285">
        <v>24</v>
      </c>
      <c r="AF413" s="285" t="s">
        <v>1</v>
      </c>
      <c r="AG413" s="285" t="s">
        <v>1</v>
      </c>
      <c r="AH413" s="286" t="s">
        <v>1</v>
      </c>
      <c r="AI413" s="295" t="s">
        <v>1</v>
      </c>
      <c r="AJ413" s="295" t="s">
        <v>1</v>
      </c>
      <c r="AK413" s="295" t="s">
        <v>1</v>
      </c>
      <c r="AL413" s="302" t="s">
        <v>1</v>
      </c>
      <c r="AM413" s="288" t="s">
        <v>1</v>
      </c>
      <c r="AN413" s="287" t="s">
        <v>1</v>
      </c>
      <c r="AO413" s="287" t="s">
        <v>1</v>
      </c>
      <c r="AP413" s="286" t="s">
        <v>1</v>
      </c>
      <c r="AQ413" s="285" t="s">
        <v>1</v>
      </c>
      <c r="AR413" s="289" t="s">
        <v>1</v>
      </c>
      <c r="AS413" s="289" t="s">
        <v>1</v>
      </c>
      <c r="AT413" s="290" t="s">
        <v>1</v>
      </c>
      <c r="AU413" s="287" t="s">
        <v>1</v>
      </c>
      <c r="AV413" s="287" t="s">
        <v>1</v>
      </c>
      <c r="AW413" s="291" t="s">
        <v>1</v>
      </c>
    </row>
    <row r="414" spans="1:49" ht="30.15" customHeight="1" x14ac:dyDescent="0.25">
      <c r="A414" s="213" t="s">
        <v>18</v>
      </c>
      <c r="B414" s="189" t="s">
        <v>1</v>
      </c>
      <c r="C414" s="212" t="s">
        <v>34</v>
      </c>
      <c r="D414" s="190" t="s">
        <v>209</v>
      </c>
      <c r="E414" s="190" t="s">
        <v>498</v>
      </c>
      <c r="F414" s="203"/>
      <c r="G414" s="190" t="s">
        <v>493</v>
      </c>
      <c r="H414" s="192" t="s">
        <v>409</v>
      </c>
      <c r="I414" s="193">
        <v>1073</v>
      </c>
      <c r="J414" s="193">
        <v>1073</v>
      </c>
      <c r="K414" s="193">
        <v>1073</v>
      </c>
      <c r="L414" s="193">
        <v>1269</v>
      </c>
      <c r="M414" s="194">
        <v>1269</v>
      </c>
      <c r="N414" s="284">
        <v>253.8</v>
      </c>
      <c r="O414" s="285">
        <v>38.71</v>
      </c>
      <c r="P414" s="285">
        <v>24</v>
      </c>
      <c r="Q414" s="285" t="s">
        <v>1</v>
      </c>
      <c r="R414" s="285" t="s">
        <v>1</v>
      </c>
      <c r="S414" s="286">
        <v>253.8</v>
      </c>
      <c r="T414" s="285">
        <v>38.71</v>
      </c>
      <c r="U414" s="285">
        <v>24</v>
      </c>
      <c r="V414" s="285" t="s">
        <v>1</v>
      </c>
      <c r="W414" s="285" t="s">
        <v>1</v>
      </c>
      <c r="X414" s="286">
        <v>253.8</v>
      </c>
      <c r="Y414" s="285">
        <v>38.71</v>
      </c>
      <c r="Z414" s="285">
        <v>24</v>
      </c>
      <c r="AA414" s="285" t="s">
        <v>1</v>
      </c>
      <c r="AB414" s="285" t="s">
        <v>1</v>
      </c>
      <c r="AC414" s="286">
        <v>253.8</v>
      </c>
      <c r="AD414" s="285">
        <v>38.71</v>
      </c>
      <c r="AE414" s="285">
        <v>24</v>
      </c>
      <c r="AF414" s="285" t="s">
        <v>1</v>
      </c>
      <c r="AG414" s="285" t="s">
        <v>1</v>
      </c>
      <c r="AH414" s="286" t="s">
        <v>1</v>
      </c>
      <c r="AI414" s="295" t="s">
        <v>1</v>
      </c>
      <c r="AJ414" s="295" t="s">
        <v>1</v>
      </c>
      <c r="AK414" s="295" t="s">
        <v>1</v>
      </c>
      <c r="AL414" s="302" t="s">
        <v>1</v>
      </c>
      <c r="AM414" s="288" t="s">
        <v>1</v>
      </c>
      <c r="AN414" s="287" t="s">
        <v>1</v>
      </c>
      <c r="AO414" s="287" t="s">
        <v>1</v>
      </c>
      <c r="AP414" s="286" t="s">
        <v>1</v>
      </c>
      <c r="AQ414" s="285" t="s">
        <v>1</v>
      </c>
      <c r="AR414" s="289" t="s">
        <v>1</v>
      </c>
      <c r="AS414" s="289" t="s">
        <v>1</v>
      </c>
      <c r="AT414" s="290" t="s">
        <v>1</v>
      </c>
      <c r="AU414" s="287" t="s">
        <v>1</v>
      </c>
      <c r="AV414" s="287" t="s">
        <v>1</v>
      </c>
      <c r="AW414" s="291" t="s">
        <v>1</v>
      </c>
    </row>
    <row r="415" spans="1:49" ht="30.15" customHeight="1" x14ac:dyDescent="0.25">
      <c r="A415" s="213" t="s">
        <v>18</v>
      </c>
      <c r="B415" s="189" t="s">
        <v>1</v>
      </c>
      <c r="C415" s="212" t="s">
        <v>34</v>
      </c>
      <c r="D415" s="190" t="s">
        <v>209</v>
      </c>
      <c r="E415" s="190" t="s">
        <v>499</v>
      </c>
      <c r="F415" s="203"/>
      <c r="G415" s="190" t="s">
        <v>493</v>
      </c>
      <c r="H415" s="192" t="s">
        <v>409</v>
      </c>
      <c r="I415" s="193">
        <v>1073</v>
      </c>
      <c r="J415" s="193">
        <v>1073</v>
      </c>
      <c r="K415" s="193">
        <v>1073</v>
      </c>
      <c r="L415" s="193">
        <v>1269</v>
      </c>
      <c r="M415" s="194">
        <v>1269</v>
      </c>
      <c r="N415" s="284">
        <v>253.8</v>
      </c>
      <c r="O415" s="285">
        <v>38.71</v>
      </c>
      <c r="P415" s="285">
        <v>24</v>
      </c>
      <c r="Q415" s="285" t="s">
        <v>1</v>
      </c>
      <c r="R415" s="285" t="s">
        <v>1</v>
      </c>
      <c r="S415" s="286">
        <v>253.8</v>
      </c>
      <c r="T415" s="285">
        <v>38.71</v>
      </c>
      <c r="U415" s="285">
        <v>24</v>
      </c>
      <c r="V415" s="285" t="s">
        <v>1</v>
      </c>
      <c r="W415" s="285" t="s">
        <v>1</v>
      </c>
      <c r="X415" s="286">
        <v>253.8</v>
      </c>
      <c r="Y415" s="285">
        <v>38.71</v>
      </c>
      <c r="Z415" s="285">
        <v>24</v>
      </c>
      <c r="AA415" s="285" t="s">
        <v>1</v>
      </c>
      <c r="AB415" s="285" t="s">
        <v>1</v>
      </c>
      <c r="AC415" s="286">
        <v>253.8</v>
      </c>
      <c r="AD415" s="285">
        <v>38.71</v>
      </c>
      <c r="AE415" s="285">
        <v>24</v>
      </c>
      <c r="AF415" s="285" t="s">
        <v>1</v>
      </c>
      <c r="AG415" s="285" t="s">
        <v>1</v>
      </c>
      <c r="AH415" s="286" t="s">
        <v>1</v>
      </c>
      <c r="AI415" s="295" t="s">
        <v>1</v>
      </c>
      <c r="AJ415" s="295" t="s">
        <v>1</v>
      </c>
      <c r="AK415" s="295" t="s">
        <v>1</v>
      </c>
      <c r="AL415" s="302" t="s">
        <v>1</v>
      </c>
      <c r="AM415" s="288" t="s">
        <v>1</v>
      </c>
      <c r="AN415" s="287" t="s">
        <v>1</v>
      </c>
      <c r="AO415" s="287" t="s">
        <v>1</v>
      </c>
      <c r="AP415" s="286" t="s">
        <v>1</v>
      </c>
      <c r="AQ415" s="285" t="s">
        <v>1</v>
      </c>
      <c r="AR415" s="289" t="s">
        <v>1</v>
      </c>
      <c r="AS415" s="289" t="s">
        <v>1</v>
      </c>
      <c r="AT415" s="290" t="s">
        <v>1</v>
      </c>
      <c r="AU415" s="287" t="s">
        <v>1</v>
      </c>
      <c r="AV415" s="287" t="s">
        <v>1</v>
      </c>
      <c r="AW415" s="291" t="s">
        <v>1</v>
      </c>
    </row>
    <row r="416" spans="1:49" ht="30.15" customHeight="1" x14ac:dyDescent="0.25">
      <c r="A416" s="213" t="s">
        <v>18</v>
      </c>
      <c r="B416" s="189" t="s">
        <v>1</v>
      </c>
      <c r="C416" s="212" t="s">
        <v>34</v>
      </c>
      <c r="D416" s="190" t="s">
        <v>209</v>
      </c>
      <c r="E416" s="190" t="s">
        <v>500</v>
      </c>
      <c r="F416" s="203"/>
      <c r="G416" s="190" t="s">
        <v>494</v>
      </c>
      <c r="H416" s="192" t="s">
        <v>409</v>
      </c>
      <c r="I416" s="193">
        <v>1073</v>
      </c>
      <c r="J416" s="193">
        <v>1073</v>
      </c>
      <c r="K416" s="193">
        <v>1073</v>
      </c>
      <c r="L416" s="193">
        <v>1270</v>
      </c>
      <c r="M416" s="194">
        <v>1270</v>
      </c>
      <c r="N416" s="284">
        <v>254</v>
      </c>
      <c r="O416" s="285">
        <v>38.75</v>
      </c>
      <c r="P416" s="285">
        <v>24</v>
      </c>
      <c r="Q416" s="285" t="s">
        <v>1</v>
      </c>
      <c r="R416" s="285" t="s">
        <v>1</v>
      </c>
      <c r="S416" s="286">
        <v>254</v>
      </c>
      <c r="T416" s="285">
        <v>38.75</v>
      </c>
      <c r="U416" s="285">
        <v>24</v>
      </c>
      <c r="V416" s="285" t="s">
        <v>1</v>
      </c>
      <c r="W416" s="285" t="s">
        <v>1</v>
      </c>
      <c r="X416" s="286">
        <v>254</v>
      </c>
      <c r="Y416" s="285">
        <v>38.75</v>
      </c>
      <c r="Z416" s="285">
        <v>24</v>
      </c>
      <c r="AA416" s="285" t="s">
        <v>1</v>
      </c>
      <c r="AB416" s="285" t="s">
        <v>1</v>
      </c>
      <c r="AC416" s="286">
        <v>254</v>
      </c>
      <c r="AD416" s="285">
        <v>38.75</v>
      </c>
      <c r="AE416" s="285">
        <v>24</v>
      </c>
      <c r="AF416" s="285" t="s">
        <v>1</v>
      </c>
      <c r="AG416" s="285" t="s">
        <v>1</v>
      </c>
      <c r="AH416" s="286" t="s">
        <v>1</v>
      </c>
      <c r="AI416" s="295" t="s">
        <v>1</v>
      </c>
      <c r="AJ416" s="295" t="s">
        <v>1</v>
      </c>
      <c r="AK416" s="295" t="s">
        <v>1</v>
      </c>
      <c r="AL416" s="302" t="s">
        <v>1</v>
      </c>
      <c r="AM416" s="288" t="s">
        <v>1</v>
      </c>
      <c r="AN416" s="287" t="s">
        <v>1</v>
      </c>
      <c r="AO416" s="287" t="s">
        <v>1</v>
      </c>
      <c r="AP416" s="286" t="s">
        <v>1</v>
      </c>
      <c r="AQ416" s="285" t="s">
        <v>1</v>
      </c>
      <c r="AR416" s="289" t="s">
        <v>1</v>
      </c>
      <c r="AS416" s="289" t="s">
        <v>1</v>
      </c>
      <c r="AT416" s="290" t="s">
        <v>1</v>
      </c>
      <c r="AU416" s="287" t="s">
        <v>1</v>
      </c>
      <c r="AV416" s="287" t="s">
        <v>1</v>
      </c>
      <c r="AW416" s="291" t="s">
        <v>1</v>
      </c>
    </row>
    <row r="417" spans="1:49" ht="30.15" customHeight="1" x14ac:dyDescent="0.25">
      <c r="A417" s="213" t="s">
        <v>18</v>
      </c>
      <c r="B417" s="189" t="s">
        <v>1</v>
      </c>
      <c r="C417" s="212" t="s">
        <v>34</v>
      </c>
      <c r="D417" s="190" t="s">
        <v>209</v>
      </c>
      <c r="E417" s="190" t="s">
        <v>501</v>
      </c>
      <c r="F417" s="203"/>
      <c r="G417" s="190" t="s">
        <v>494</v>
      </c>
      <c r="H417" s="192" t="s">
        <v>409</v>
      </c>
      <c r="I417" s="193">
        <v>1073</v>
      </c>
      <c r="J417" s="193">
        <v>1073</v>
      </c>
      <c r="K417" s="193">
        <v>1073</v>
      </c>
      <c r="L417" s="193">
        <v>1270</v>
      </c>
      <c r="M417" s="194">
        <v>1270</v>
      </c>
      <c r="N417" s="284">
        <v>254</v>
      </c>
      <c r="O417" s="285">
        <v>38.75</v>
      </c>
      <c r="P417" s="285">
        <v>24</v>
      </c>
      <c r="Q417" s="285" t="s">
        <v>1</v>
      </c>
      <c r="R417" s="285" t="s">
        <v>1</v>
      </c>
      <c r="S417" s="286">
        <v>254</v>
      </c>
      <c r="T417" s="285">
        <v>38.75</v>
      </c>
      <c r="U417" s="285">
        <v>24</v>
      </c>
      <c r="V417" s="285" t="s">
        <v>1</v>
      </c>
      <c r="W417" s="285" t="s">
        <v>1</v>
      </c>
      <c r="X417" s="286">
        <v>254</v>
      </c>
      <c r="Y417" s="285">
        <v>38.75</v>
      </c>
      <c r="Z417" s="285">
        <v>24</v>
      </c>
      <c r="AA417" s="285" t="s">
        <v>1</v>
      </c>
      <c r="AB417" s="285" t="s">
        <v>1</v>
      </c>
      <c r="AC417" s="286">
        <v>254</v>
      </c>
      <c r="AD417" s="285">
        <v>38.75</v>
      </c>
      <c r="AE417" s="285">
        <v>24</v>
      </c>
      <c r="AF417" s="285" t="s">
        <v>1</v>
      </c>
      <c r="AG417" s="285" t="s">
        <v>1</v>
      </c>
      <c r="AH417" s="286" t="s">
        <v>1</v>
      </c>
      <c r="AI417" s="295" t="s">
        <v>1</v>
      </c>
      <c r="AJ417" s="295" t="s">
        <v>1</v>
      </c>
      <c r="AK417" s="295" t="s">
        <v>1</v>
      </c>
      <c r="AL417" s="302" t="s">
        <v>1</v>
      </c>
      <c r="AM417" s="288" t="s">
        <v>1</v>
      </c>
      <c r="AN417" s="287" t="s">
        <v>1</v>
      </c>
      <c r="AO417" s="287" t="s">
        <v>1</v>
      </c>
      <c r="AP417" s="286" t="s">
        <v>1</v>
      </c>
      <c r="AQ417" s="285" t="s">
        <v>1</v>
      </c>
      <c r="AR417" s="289" t="s">
        <v>1</v>
      </c>
      <c r="AS417" s="289" t="s">
        <v>1</v>
      </c>
      <c r="AT417" s="290" t="s">
        <v>1</v>
      </c>
      <c r="AU417" s="287" t="s">
        <v>1</v>
      </c>
      <c r="AV417" s="287" t="s">
        <v>1</v>
      </c>
      <c r="AW417" s="291" t="s">
        <v>1</v>
      </c>
    </row>
    <row r="418" spans="1:49" ht="30.15" customHeight="1" x14ac:dyDescent="0.25">
      <c r="A418" s="213" t="s">
        <v>18</v>
      </c>
      <c r="B418" s="189" t="s">
        <v>1</v>
      </c>
      <c r="C418" s="212" t="s">
        <v>34</v>
      </c>
      <c r="D418" s="190" t="s">
        <v>209</v>
      </c>
      <c r="E418" s="190" t="s">
        <v>502</v>
      </c>
      <c r="F418" s="203"/>
      <c r="G418" s="190" t="s">
        <v>495</v>
      </c>
      <c r="H418" s="192" t="s">
        <v>409</v>
      </c>
      <c r="I418" s="193">
        <v>1197</v>
      </c>
      <c r="J418" s="193">
        <v>1197</v>
      </c>
      <c r="K418" s="193">
        <v>1197</v>
      </c>
      <c r="L418" s="193">
        <v>1399</v>
      </c>
      <c r="M418" s="194">
        <v>1399</v>
      </c>
      <c r="N418" s="284">
        <v>279.8</v>
      </c>
      <c r="O418" s="285">
        <v>39.130000000000003</v>
      </c>
      <c r="P418" s="285">
        <v>24</v>
      </c>
      <c r="Q418" s="285" t="s">
        <v>1</v>
      </c>
      <c r="R418" s="285" t="s">
        <v>1</v>
      </c>
      <c r="S418" s="286">
        <v>279.8</v>
      </c>
      <c r="T418" s="285">
        <v>39.130000000000003</v>
      </c>
      <c r="U418" s="285">
        <v>24</v>
      </c>
      <c r="V418" s="285" t="s">
        <v>1</v>
      </c>
      <c r="W418" s="285" t="s">
        <v>1</v>
      </c>
      <c r="X418" s="286">
        <v>279.8</v>
      </c>
      <c r="Y418" s="285">
        <v>39.130000000000003</v>
      </c>
      <c r="Z418" s="285">
        <v>24</v>
      </c>
      <c r="AA418" s="285" t="s">
        <v>1</v>
      </c>
      <c r="AB418" s="285" t="s">
        <v>1</v>
      </c>
      <c r="AC418" s="286">
        <v>279.8</v>
      </c>
      <c r="AD418" s="285">
        <v>39.130000000000003</v>
      </c>
      <c r="AE418" s="285">
        <v>24</v>
      </c>
      <c r="AF418" s="285" t="s">
        <v>1</v>
      </c>
      <c r="AG418" s="285" t="s">
        <v>1</v>
      </c>
      <c r="AH418" s="286" t="s">
        <v>1</v>
      </c>
      <c r="AI418" s="295" t="s">
        <v>1</v>
      </c>
      <c r="AJ418" s="295" t="s">
        <v>1</v>
      </c>
      <c r="AK418" s="295" t="s">
        <v>1</v>
      </c>
      <c r="AL418" s="302" t="s">
        <v>1</v>
      </c>
      <c r="AM418" s="288" t="s">
        <v>1</v>
      </c>
      <c r="AN418" s="287" t="s">
        <v>1</v>
      </c>
      <c r="AO418" s="287" t="s">
        <v>1</v>
      </c>
      <c r="AP418" s="286" t="s">
        <v>1</v>
      </c>
      <c r="AQ418" s="285" t="s">
        <v>1</v>
      </c>
      <c r="AR418" s="289" t="s">
        <v>1</v>
      </c>
      <c r="AS418" s="289" t="s">
        <v>1</v>
      </c>
      <c r="AT418" s="290" t="s">
        <v>1</v>
      </c>
      <c r="AU418" s="287" t="s">
        <v>1</v>
      </c>
      <c r="AV418" s="287" t="s">
        <v>1</v>
      </c>
      <c r="AW418" s="291" t="s">
        <v>1</v>
      </c>
    </row>
    <row r="419" spans="1:49" ht="30.15" customHeight="1" x14ac:dyDescent="0.25">
      <c r="A419" s="213" t="s">
        <v>18</v>
      </c>
      <c r="B419" s="189" t="s">
        <v>1</v>
      </c>
      <c r="C419" s="212" t="s">
        <v>34</v>
      </c>
      <c r="D419" s="190" t="s">
        <v>209</v>
      </c>
      <c r="E419" s="190" t="s">
        <v>503</v>
      </c>
      <c r="F419" s="203"/>
      <c r="G419" s="190" t="s">
        <v>495</v>
      </c>
      <c r="H419" s="192" t="s">
        <v>409</v>
      </c>
      <c r="I419" s="193">
        <v>1197</v>
      </c>
      <c r="J419" s="193">
        <v>1197</v>
      </c>
      <c r="K419" s="193">
        <v>1197</v>
      </c>
      <c r="L419" s="193">
        <v>1399</v>
      </c>
      <c r="M419" s="194">
        <v>1399</v>
      </c>
      <c r="N419" s="284">
        <v>279.8</v>
      </c>
      <c r="O419" s="285">
        <v>39.130000000000003</v>
      </c>
      <c r="P419" s="285">
        <v>24</v>
      </c>
      <c r="Q419" s="285" t="s">
        <v>1</v>
      </c>
      <c r="R419" s="285" t="s">
        <v>1</v>
      </c>
      <c r="S419" s="286">
        <v>279.8</v>
      </c>
      <c r="T419" s="285">
        <v>39.130000000000003</v>
      </c>
      <c r="U419" s="285">
        <v>24</v>
      </c>
      <c r="V419" s="285" t="s">
        <v>1</v>
      </c>
      <c r="W419" s="285" t="s">
        <v>1</v>
      </c>
      <c r="X419" s="286">
        <v>279.8</v>
      </c>
      <c r="Y419" s="285">
        <v>39.130000000000003</v>
      </c>
      <c r="Z419" s="285">
        <v>24</v>
      </c>
      <c r="AA419" s="285" t="s">
        <v>1</v>
      </c>
      <c r="AB419" s="285" t="s">
        <v>1</v>
      </c>
      <c r="AC419" s="286">
        <v>279.8</v>
      </c>
      <c r="AD419" s="285">
        <v>39.130000000000003</v>
      </c>
      <c r="AE419" s="285">
        <v>24</v>
      </c>
      <c r="AF419" s="285" t="s">
        <v>1</v>
      </c>
      <c r="AG419" s="285" t="s">
        <v>1</v>
      </c>
      <c r="AH419" s="286" t="s">
        <v>1</v>
      </c>
      <c r="AI419" s="295" t="s">
        <v>1</v>
      </c>
      <c r="AJ419" s="295" t="s">
        <v>1</v>
      </c>
      <c r="AK419" s="295" t="s">
        <v>1</v>
      </c>
      <c r="AL419" s="302" t="s">
        <v>1</v>
      </c>
      <c r="AM419" s="288" t="s">
        <v>1</v>
      </c>
      <c r="AN419" s="287" t="s">
        <v>1</v>
      </c>
      <c r="AO419" s="287" t="s">
        <v>1</v>
      </c>
      <c r="AP419" s="286" t="s">
        <v>1</v>
      </c>
      <c r="AQ419" s="285" t="s">
        <v>1</v>
      </c>
      <c r="AR419" s="289" t="s">
        <v>1</v>
      </c>
      <c r="AS419" s="289" t="s">
        <v>1</v>
      </c>
      <c r="AT419" s="290" t="s">
        <v>1</v>
      </c>
      <c r="AU419" s="287" t="s">
        <v>1</v>
      </c>
      <c r="AV419" s="287" t="s">
        <v>1</v>
      </c>
      <c r="AW419" s="291" t="s">
        <v>1</v>
      </c>
    </row>
    <row r="420" spans="1:49" ht="30.15" customHeight="1" x14ac:dyDescent="0.25">
      <c r="A420" s="213" t="s">
        <v>18</v>
      </c>
      <c r="B420" s="189" t="s">
        <v>1</v>
      </c>
      <c r="C420" s="212" t="s">
        <v>34</v>
      </c>
      <c r="D420" s="190" t="s">
        <v>209</v>
      </c>
      <c r="E420" s="190" t="s">
        <v>590</v>
      </c>
      <c r="F420" s="203"/>
      <c r="G420" s="190" t="s">
        <v>594</v>
      </c>
      <c r="H420" s="192" t="s">
        <v>409</v>
      </c>
      <c r="I420" s="193">
        <v>600</v>
      </c>
      <c r="J420" s="193">
        <v>600</v>
      </c>
      <c r="K420" s="193">
        <v>600</v>
      </c>
      <c r="L420" s="193">
        <v>650</v>
      </c>
      <c r="M420" s="194">
        <v>650</v>
      </c>
      <c r="N420" s="284">
        <v>130</v>
      </c>
      <c r="O420" s="285">
        <v>22.09</v>
      </c>
      <c r="P420" s="285">
        <v>24</v>
      </c>
      <c r="Q420" s="285" t="s">
        <v>1</v>
      </c>
      <c r="R420" s="285" t="s">
        <v>1</v>
      </c>
      <c r="S420" s="286">
        <v>130</v>
      </c>
      <c r="T420" s="285">
        <v>22.09</v>
      </c>
      <c r="U420" s="285">
        <v>24</v>
      </c>
      <c r="V420" s="285" t="s">
        <v>1</v>
      </c>
      <c r="W420" s="285" t="s">
        <v>1</v>
      </c>
      <c r="X420" s="286">
        <v>130</v>
      </c>
      <c r="Y420" s="285">
        <v>17.09</v>
      </c>
      <c r="Z420" s="285">
        <v>24</v>
      </c>
      <c r="AA420" s="285" t="s">
        <v>1</v>
      </c>
      <c r="AB420" s="285" t="s">
        <v>1</v>
      </c>
      <c r="AC420" s="286">
        <v>130</v>
      </c>
      <c r="AD420" s="285">
        <v>17.09</v>
      </c>
      <c r="AE420" s="285">
        <v>24</v>
      </c>
      <c r="AF420" s="285" t="s">
        <v>1</v>
      </c>
      <c r="AG420" s="285" t="s">
        <v>1</v>
      </c>
      <c r="AH420" s="286" t="s">
        <v>1</v>
      </c>
      <c r="AI420" s="295" t="s">
        <v>1</v>
      </c>
      <c r="AJ420" s="295" t="s">
        <v>1</v>
      </c>
      <c r="AK420" s="295" t="s">
        <v>1</v>
      </c>
      <c r="AL420" s="302" t="s">
        <v>1</v>
      </c>
      <c r="AM420" s="288" t="s">
        <v>1</v>
      </c>
      <c r="AN420" s="287" t="s">
        <v>1</v>
      </c>
      <c r="AO420" s="287" t="s">
        <v>1</v>
      </c>
      <c r="AP420" s="286" t="s">
        <v>1</v>
      </c>
      <c r="AQ420" s="285" t="s">
        <v>1</v>
      </c>
      <c r="AR420" s="289" t="s">
        <v>1</v>
      </c>
      <c r="AS420" s="289" t="s">
        <v>1</v>
      </c>
      <c r="AT420" s="290" t="s">
        <v>1</v>
      </c>
      <c r="AU420" s="287" t="s">
        <v>1</v>
      </c>
      <c r="AV420" s="287" t="s">
        <v>1</v>
      </c>
      <c r="AW420" s="291" t="s">
        <v>1</v>
      </c>
    </row>
    <row r="421" spans="1:49" ht="30.15" customHeight="1" x14ac:dyDescent="0.25">
      <c r="A421" s="213" t="s">
        <v>18</v>
      </c>
      <c r="B421" s="189" t="s">
        <v>1</v>
      </c>
      <c r="C421" s="212" t="s">
        <v>34</v>
      </c>
      <c r="D421" s="190" t="s">
        <v>209</v>
      </c>
      <c r="E421" s="190" t="s">
        <v>591</v>
      </c>
      <c r="F421" s="203"/>
      <c r="G421" s="190" t="s">
        <v>594</v>
      </c>
      <c r="H421" s="192" t="s">
        <v>409</v>
      </c>
      <c r="I421" s="193">
        <v>600</v>
      </c>
      <c r="J421" s="193">
        <v>600</v>
      </c>
      <c r="K421" s="193">
        <v>600</v>
      </c>
      <c r="L421" s="193">
        <v>650</v>
      </c>
      <c r="M421" s="194">
        <v>650</v>
      </c>
      <c r="N421" s="284">
        <v>130</v>
      </c>
      <c r="O421" s="285">
        <v>22.09</v>
      </c>
      <c r="P421" s="285">
        <v>24</v>
      </c>
      <c r="Q421" s="285" t="s">
        <v>1</v>
      </c>
      <c r="R421" s="285" t="s">
        <v>1</v>
      </c>
      <c r="S421" s="286">
        <v>130</v>
      </c>
      <c r="T421" s="285">
        <v>22.09</v>
      </c>
      <c r="U421" s="285">
        <v>24</v>
      </c>
      <c r="V421" s="285" t="s">
        <v>1</v>
      </c>
      <c r="W421" s="285" t="s">
        <v>1</v>
      </c>
      <c r="X421" s="286">
        <v>130</v>
      </c>
      <c r="Y421" s="285">
        <v>17.09</v>
      </c>
      <c r="Z421" s="285">
        <v>24</v>
      </c>
      <c r="AA421" s="285" t="s">
        <v>1</v>
      </c>
      <c r="AB421" s="285" t="s">
        <v>1</v>
      </c>
      <c r="AC421" s="286">
        <v>130</v>
      </c>
      <c r="AD421" s="285">
        <v>17.09</v>
      </c>
      <c r="AE421" s="285">
        <v>24</v>
      </c>
      <c r="AF421" s="285" t="s">
        <v>1</v>
      </c>
      <c r="AG421" s="285" t="s">
        <v>1</v>
      </c>
      <c r="AH421" s="286" t="s">
        <v>1</v>
      </c>
      <c r="AI421" s="295" t="s">
        <v>1</v>
      </c>
      <c r="AJ421" s="295" t="s">
        <v>1</v>
      </c>
      <c r="AK421" s="295" t="s">
        <v>1</v>
      </c>
      <c r="AL421" s="302" t="s">
        <v>1</v>
      </c>
      <c r="AM421" s="288" t="s">
        <v>1</v>
      </c>
      <c r="AN421" s="287" t="s">
        <v>1</v>
      </c>
      <c r="AO421" s="287" t="s">
        <v>1</v>
      </c>
      <c r="AP421" s="286" t="s">
        <v>1</v>
      </c>
      <c r="AQ421" s="285" t="s">
        <v>1</v>
      </c>
      <c r="AR421" s="289" t="s">
        <v>1</v>
      </c>
      <c r="AS421" s="289" t="s">
        <v>1</v>
      </c>
      <c r="AT421" s="290" t="s">
        <v>1</v>
      </c>
      <c r="AU421" s="287" t="s">
        <v>1</v>
      </c>
      <c r="AV421" s="287" t="s">
        <v>1</v>
      </c>
      <c r="AW421" s="291" t="s">
        <v>1</v>
      </c>
    </row>
    <row r="422" spans="1:49" ht="30.15" customHeight="1" x14ac:dyDescent="0.25">
      <c r="A422" s="213" t="s">
        <v>18</v>
      </c>
      <c r="B422" s="189" t="s">
        <v>1</v>
      </c>
      <c r="C422" s="212" t="s">
        <v>34</v>
      </c>
      <c r="D422" s="190" t="s">
        <v>209</v>
      </c>
      <c r="E422" s="190" t="s">
        <v>592</v>
      </c>
      <c r="F422" s="203"/>
      <c r="G422" s="190" t="s">
        <v>595</v>
      </c>
      <c r="H422" s="192" t="s">
        <v>409</v>
      </c>
      <c r="I422" s="193">
        <v>617</v>
      </c>
      <c r="J422" s="193">
        <v>617</v>
      </c>
      <c r="K422" s="193">
        <v>617</v>
      </c>
      <c r="L422" s="193">
        <v>800</v>
      </c>
      <c r="M422" s="194">
        <v>800</v>
      </c>
      <c r="N422" s="284">
        <v>160</v>
      </c>
      <c r="O422" s="285">
        <v>23.34</v>
      </c>
      <c r="P422" s="285">
        <v>24</v>
      </c>
      <c r="Q422" s="285" t="s">
        <v>1</v>
      </c>
      <c r="R422" s="285" t="s">
        <v>1</v>
      </c>
      <c r="S422" s="286">
        <v>160</v>
      </c>
      <c r="T422" s="285">
        <v>23.34</v>
      </c>
      <c r="U422" s="285">
        <v>24</v>
      </c>
      <c r="V422" s="285" t="s">
        <v>1</v>
      </c>
      <c r="W422" s="285" t="s">
        <v>1</v>
      </c>
      <c r="X422" s="286">
        <v>160</v>
      </c>
      <c r="Y422" s="285">
        <v>18.34</v>
      </c>
      <c r="Z422" s="285">
        <v>24</v>
      </c>
      <c r="AA422" s="285" t="s">
        <v>1</v>
      </c>
      <c r="AB422" s="285" t="s">
        <v>1</v>
      </c>
      <c r="AC422" s="286">
        <v>160</v>
      </c>
      <c r="AD422" s="285">
        <v>18.34</v>
      </c>
      <c r="AE422" s="285">
        <v>24</v>
      </c>
      <c r="AF422" s="285" t="s">
        <v>1</v>
      </c>
      <c r="AG422" s="285" t="s">
        <v>1</v>
      </c>
      <c r="AH422" s="286" t="s">
        <v>1</v>
      </c>
      <c r="AI422" s="295" t="s">
        <v>1</v>
      </c>
      <c r="AJ422" s="295" t="s">
        <v>1</v>
      </c>
      <c r="AK422" s="295" t="s">
        <v>1</v>
      </c>
      <c r="AL422" s="302" t="s">
        <v>1</v>
      </c>
      <c r="AM422" s="288" t="s">
        <v>1</v>
      </c>
      <c r="AN422" s="287" t="s">
        <v>1</v>
      </c>
      <c r="AO422" s="287" t="s">
        <v>1</v>
      </c>
      <c r="AP422" s="286" t="s">
        <v>1</v>
      </c>
      <c r="AQ422" s="285" t="s">
        <v>1</v>
      </c>
      <c r="AR422" s="289" t="s">
        <v>1</v>
      </c>
      <c r="AS422" s="289" t="s">
        <v>1</v>
      </c>
      <c r="AT422" s="290" t="s">
        <v>1</v>
      </c>
      <c r="AU422" s="287" t="s">
        <v>1</v>
      </c>
      <c r="AV422" s="287" t="s">
        <v>1</v>
      </c>
      <c r="AW422" s="291" t="s">
        <v>1</v>
      </c>
    </row>
    <row r="423" spans="1:49" ht="30.15" customHeight="1" x14ac:dyDescent="0.25">
      <c r="A423" s="213" t="s">
        <v>18</v>
      </c>
      <c r="B423" s="189" t="s">
        <v>1</v>
      </c>
      <c r="C423" s="212" t="s">
        <v>34</v>
      </c>
      <c r="D423" s="190" t="s">
        <v>209</v>
      </c>
      <c r="E423" s="190" t="s">
        <v>593</v>
      </c>
      <c r="F423" s="203"/>
      <c r="G423" s="190" t="s">
        <v>595</v>
      </c>
      <c r="H423" s="192" t="s">
        <v>409</v>
      </c>
      <c r="I423" s="193">
        <v>617</v>
      </c>
      <c r="J423" s="193">
        <v>617</v>
      </c>
      <c r="K423" s="193">
        <v>617</v>
      </c>
      <c r="L423" s="193">
        <v>800</v>
      </c>
      <c r="M423" s="194">
        <v>800</v>
      </c>
      <c r="N423" s="284">
        <v>160</v>
      </c>
      <c r="O423" s="285">
        <v>23.34</v>
      </c>
      <c r="P423" s="285">
        <v>24</v>
      </c>
      <c r="Q423" s="285" t="s">
        <v>1</v>
      </c>
      <c r="R423" s="285" t="s">
        <v>1</v>
      </c>
      <c r="S423" s="286">
        <v>160</v>
      </c>
      <c r="T423" s="285">
        <v>23.34</v>
      </c>
      <c r="U423" s="285">
        <v>24</v>
      </c>
      <c r="V423" s="285" t="s">
        <v>1</v>
      </c>
      <c r="W423" s="285" t="s">
        <v>1</v>
      </c>
      <c r="X423" s="286">
        <v>160</v>
      </c>
      <c r="Y423" s="285">
        <v>18.34</v>
      </c>
      <c r="Z423" s="285">
        <v>24</v>
      </c>
      <c r="AA423" s="285" t="s">
        <v>1</v>
      </c>
      <c r="AB423" s="285" t="s">
        <v>1</v>
      </c>
      <c r="AC423" s="286">
        <v>160</v>
      </c>
      <c r="AD423" s="285">
        <v>18.34</v>
      </c>
      <c r="AE423" s="285">
        <v>24</v>
      </c>
      <c r="AF423" s="285" t="s">
        <v>1</v>
      </c>
      <c r="AG423" s="285" t="s">
        <v>1</v>
      </c>
      <c r="AH423" s="286" t="s">
        <v>1</v>
      </c>
      <c r="AI423" s="295" t="s">
        <v>1</v>
      </c>
      <c r="AJ423" s="295" t="s">
        <v>1</v>
      </c>
      <c r="AK423" s="295" t="s">
        <v>1</v>
      </c>
      <c r="AL423" s="302" t="s">
        <v>1</v>
      </c>
      <c r="AM423" s="288" t="s">
        <v>1</v>
      </c>
      <c r="AN423" s="287" t="s">
        <v>1</v>
      </c>
      <c r="AO423" s="287" t="s">
        <v>1</v>
      </c>
      <c r="AP423" s="286" t="s">
        <v>1</v>
      </c>
      <c r="AQ423" s="285" t="s">
        <v>1</v>
      </c>
      <c r="AR423" s="289" t="s">
        <v>1</v>
      </c>
      <c r="AS423" s="289" t="s">
        <v>1</v>
      </c>
      <c r="AT423" s="290" t="s">
        <v>1</v>
      </c>
      <c r="AU423" s="287" t="s">
        <v>1</v>
      </c>
      <c r="AV423" s="287" t="s">
        <v>1</v>
      </c>
      <c r="AW423" s="291" t="s">
        <v>1</v>
      </c>
    </row>
    <row r="424" spans="1:49" ht="30.15" customHeight="1" x14ac:dyDescent="0.25">
      <c r="A424" s="213" t="s">
        <v>18</v>
      </c>
      <c r="B424" s="189" t="s">
        <v>1</v>
      </c>
      <c r="C424" s="212" t="s">
        <v>34</v>
      </c>
      <c r="D424" s="190" t="s">
        <v>209</v>
      </c>
      <c r="E424" s="204" t="s">
        <v>726</v>
      </c>
      <c r="F424" s="232"/>
      <c r="G424" s="204" t="s">
        <v>727</v>
      </c>
      <c r="H424" s="192" t="s">
        <v>409</v>
      </c>
      <c r="I424" s="205">
        <v>988</v>
      </c>
      <c r="J424" s="205">
        <v>988</v>
      </c>
      <c r="K424" s="205">
        <v>988</v>
      </c>
      <c r="L424" s="206">
        <v>1169</v>
      </c>
      <c r="M424" s="206">
        <v>1169</v>
      </c>
      <c r="N424" s="284">
        <v>233.8</v>
      </c>
      <c r="O424" s="285">
        <v>43.71</v>
      </c>
      <c r="P424" s="285">
        <v>24</v>
      </c>
      <c r="Q424" s="285" t="s">
        <v>1</v>
      </c>
      <c r="R424" s="285" t="s">
        <v>1</v>
      </c>
      <c r="S424" s="286">
        <v>233.8</v>
      </c>
      <c r="T424" s="285">
        <v>43.71</v>
      </c>
      <c r="U424" s="285">
        <v>24</v>
      </c>
      <c r="V424" s="285" t="s">
        <v>1</v>
      </c>
      <c r="W424" s="285" t="s">
        <v>1</v>
      </c>
      <c r="X424" s="286">
        <v>233.8</v>
      </c>
      <c r="Y424" s="285">
        <v>43.71</v>
      </c>
      <c r="Z424" s="285">
        <v>24</v>
      </c>
      <c r="AA424" s="285" t="s">
        <v>1</v>
      </c>
      <c r="AB424" s="285" t="s">
        <v>1</v>
      </c>
      <c r="AC424" s="286">
        <v>233.8</v>
      </c>
      <c r="AD424" s="285">
        <v>43.71</v>
      </c>
      <c r="AE424" s="285">
        <v>24</v>
      </c>
      <c r="AF424" s="285" t="s">
        <v>1</v>
      </c>
      <c r="AG424" s="285" t="s">
        <v>1</v>
      </c>
      <c r="AH424" s="307" t="s">
        <v>1</v>
      </c>
      <c r="AI424" s="295" t="s">
        <v>1</v>
      </c>
      <c r="AJ424" s="295" t="s">
        <v>1</v>
      </c>
      <c r="AK424" s="295" t="s">
        <v>1</v>
      </c>
      <c r="AL424" s="302" t="s">
        <v>1</v>
      </c>
      <c r="AM424" s="288" t="s">
        <v>1</v>
      </c>
      <c r="AN424" s="287" t="s">
        <v>1</v>
      </c>
      <c r="AO424" s="287" t="s">
        <v>1</v>
      </c>
      <c r="AP424" s="307" t="s">
        <v>1</v>
      </c>
      <c r="AQ424" s="292" t="s">
        <v>1</v>
      </c>
      <c r="AR424" s="289" t="s">
        <v>1</v>
      </c>
      <c r="AS424" s="289" t="s">
        <v>1</v>
      </c>
      <c r="AT424" s="290" t="s">
        <v>1</v>
      </c>
      <c r="AU424" s="287" t="s">
        <v>1</v>
      </c>
      <c r="AV424" s="287" t="s">
        <v>1</v>
      </c>
      <c r="AW424" s="291" t="s">
        <v>1</v>
      </c>
    </row>
    <row r="425" spans="1:49" ht="30.15" customHeight="1" x14ac:dyDescent="0.25">
      <c r="A425" s="213" t="s">
        <v>18</v>
      </c>
      <c r="B425" s="189" t="s">
        <v>1</v>
      </c>
      <c r="C425" s="212" t="s">
        <v>34</v>
      </c>
      <c r="D425" s="190" t="s">
        <v>209</v>
      </c>
      <c r="E425" s="204" t="s">
        <v>728</v>
      </c>
      <c r="F425" s="232"/>
      <c r="G425" s="204" t="s">
        <v>727</v>
      </c>
      <c r="H425" s="192" t="s">
        <v>409</v>
      </c>
      <c r="I425" s="205">
        <v>988</v>
      </c>
      <c r="J425" s="205">
        <v>988</v>
      </c>
      <c r="K425" s="205">
        <v>988</v>
      </c>
      <c r="L425" s="206">
        <v>1169</v>
      </c>
      <c r="M425" s="206">
        <v>1169</v>
      </c>
      <c r="N425" s="284">
        <v>233.8</v>
      </c>
      <c r="O425" s="285">
        <v>43.71</v>
      </c>
      <c r="P425" s="285">
        <v>24</v>
      </c>
      <c r="Q425" s="285" t="s">
        <v>1</v>
      </c>
      <c r="R425" s="285" t="s">
        <v>1</v>
      </c>
      <c r="S425" s="286">
        <v>233.8</v>
      </c>
      <c r="T425" s="285">
        <v>43.71</v>
      </c>
      <c r="U425" s="285">
        <v>24</v>
      </c>
      <c r="V425" s="285" t="s">
        <v>1</v>
      </c>
      <c r="W425" s="285" t="s">
        <v>1</v>
      </c>
      <c r="X425" s="286">
        <v>233.8</v>
      </c>
      <c r="Y425" s="285">
        <v>43.71</v>
      </c>
      <c r="Z425" s="285">
        <v>24</v>
      </c>
      <c r="AA425" s="285" t="s">
        <v>1</v>
      </c>
      <c r="AB425" s="285" t="s">
        <v>1</v>
      </c>
      <c r="AC425" s="286">
        <v>233.8</v>
      </c>
      <c r="AD425" s="285">
        <v>43.71</v>
      </c>
      <c r="AE425" s="285">
        <v>24</v>
      </c>
      <c r="AF425" s="285" t="s">
        <v>1</v>
      </c>
      <c r="AG425" s="285" t="s">
        <v>1</v>
      </c>
      <c r="AH425" s="307" t="s">
        <v>1</v>
      </c>
      <c r="AI425" s="295" t="s">
        <v>1</v>
      </c>
      <c r="AJ425" s="295" t="s">
        <v>1</v>
      </c>
      <c r="AK425" s="295" t="s">
        <v>1</v>
      </c>
      <c r="AL425" s="302" t="s">
        <v>1</v>
      </c>
      <c r="AM425" s="288" t="s">
        <v>1</v>
      </c>
      <c r="AN425" s="287" t="s">
        <v>1</v>
      </c>
      <c r="AO425" s="287" t="s">
        <v>1</v>
      </c>
      <c r="AP425" s="307" t="s">
        <v>1</v>
      </c>
      <c r="AQ425" s="292" t="s">
        <v>1</v>
      </c>
      <c r="AR425" s="289" t="s">
        <v>1</v>
      </c>
      <c r="AS425" s="289" t="s">
        <v>1</v>
      </c>
      <c r="AT425" s="290" t="s">
        <v>1</v>
      </c>
      <c r="AU425" s="287" t="s">
        <v>1</v>
      </c>
      <c r="AV425" s="287" t="s">
        <v>1</v>
      </c>
      <c r="AW425" s="291" t="s">
        <v>1</v>
      </c>
    </row>
    <row r="426" spans="1:49" ht="30.15" customHeight="1" x14ac:dyDescent="0.25">
      <c r="A426" s="213" t="s">
        <v>18</v>
      </c>
      <c r="B426" s="189" t="s">
        <v>1</v>
      </c>
      <c r="C426" s="212" t="s">
        <v>34</v>
      </c>
      <c r="D426" s="190" t="s">
        <v>209</v>
      </c>
      <c r="E426" s="204" t="s">
        <v>729</v>
      </c>
      <c r="F426" s="232"/>
      <c r="G426" s="204" t="s">
        <v>730</v>
      </c>
      <c r="H426" s="192" t="s">
        <v>409</v>
      </c>
      <c r="I426" s="205">
        <v>1121</v>
      </c>
      <c r="J426" s="205">
        <v>1121</v>
      </c>
      <c r="K426" s="205">
        <v>1121</v>
      </c>
      <c r="L426" s="206">
        <v>1329</v>
      </c>
      <c r="M426" s="206">
        <v>1329</v>
      </c>
      <c r="N426" s="284">
        <v>265.8</v>
      </c>
      <c r="O426" s="285">
        <v>40.379999999999995</v>
      </c>
      <c r="P426" s="285">
        <v>24</v>
      </c>
      <c r="Q426" s="285" t="s">
        <v>1</v>
      </c>
      <c r="R426" s="285" t="s">
        <v>1</v>
      </c>
      <c r="S426" s="286">
        <v>265.8</v>
      </c>
      <c r="T426" s="285">
        <v>40.379999999999995</v>
      </c>
      <c r="U426" s="285">
        <v>24</v>
      </c>
      <c r="V426" s="285" t="s">
        <v>1</v>
      </c>
      <c r="W426" s="285" t="s">
        <v>1</v>
      </c>
      <c r="X426" s="286">
        <v>265.8</v>
      </c>
      <c r="Y426" s="285">
        <v>29.55</v>
      </c>
      <c r="Z426" s="285">
        <v>24</v>
      </c>
      <c r="AA426" s="285" t="s">
        <v>1</v>
      </c>
      <c r="AB426" s="285" t="s">
        <v>1</v>
      </c>
      <c r="AC426" s="286">
        <v>265.8</v>
      </c>
      <c r="AD426" s="285">
        <v>29.55</v>
      </c>
      <c r="AE426" s="285">
        <v>24</v>
      </c>
      <c r="AF426" s="285" t="s">
        <v>1</v>
      </c>
      <c r="AG426" s="285" t="s">
        <v>1</v>
      </c>
      <c r="AH426" s="307" t="s">
        <v>1</v>
      </c>
      <c r="AI426" s="295" t="s">
        <v>1</v>
      </c>
      <c r="AJ426" s="295" t="s">
        <v>1</v>
      </c>
      <c r="AK426" s="295" t="s">
        <v>1</v>
      </c>
      <c r="AL426" s="302" t="s">
        <v>1</v>
      </c>
      <c r="AM426" s="288" t="s">
        <v>1</v>
      </c>
      <c r="AN426" s="287" t="s">
        <v>1</v>
      </c>
      <c r="AO426" s="287" t="s">
        <v>1</v>
      </c>
      <c r="AP426" s="307" t="s">
        <v>1</v>
      </c>
      <c r="AQ426" s="292" t="s">
        <v>1</v>
      </c>
      <c r="AR426" s="289" t="s">
        <v>1</v>
      </c>
      <c r="AS426" s="289" t="s">
        <v>1</v>
      </c>
      <c r="AT426" s="290" t="s">
        <v>1</v>
      </c>
      <c r="AU426" s="287" t="s">
        <v>1</v>
      </c>
      <c r="AV426" s="287" t="s">
        <v>1</v>
      </c>
      <c r="AW426" s="291" t="s">
        <v>1</v>
      </c>
    </row>
    <row r="427" spans="1:49" ht="30.15" customHeight="1" x14ac:dyDescent="0.25">
      <c r="A427" s="213" t="s">
        <v>18</v>
      </c>
      <c r="B427" s="189" t="s">
        <v>1</v>
      </c>
      <c r="C427" s="212" t="s">
        <v>34</v>
      </c>
      <c r="D427" s="190" t="s">
        <v>209</v>
      </c>
      <c r="E427" s="204" t="s">
        <v>731</v>
      </c>
      <c r="F427" s="232"/>
      <c r="G427" s="204" t="s">
        <v>730</v>
      </c>
      <c r="H427" s="192" t="s">
        <v>409</v>
      </c>
      <c r="I427" s="205">
        <v>1121</v>
      </c>
      <c r="J427" s="205">
        <v>1121</v>
      </c>
      <c r="K427" s="205">
        <v>1121</v>
      </c>
      <c r="L427" s="206">
        <v>1329</v>
      </c>
      <c r="M427" s="206">
        <v>1329</v>
      </c>
      <c r="N427" s="284">
        <v>265.8</v>
      </c>
      <c r="O427" s="285">
        <v>40.379999999999995</v>
      </c>
      <c r="P427" s="285">
        <v>24</v>
      </c>
      <c r="Q427" s="285" t="s">
        <v>1</v>
      </c>
      <c r="R427" s="285" t="s">
        <v>1</v>
      </c>
      <c r="S427" s="286">
        <v>265.8</v>
      </c>
      <c r="T427" s="285">
        <v>40.379999999999995</v>
      </c>
      <c r="U427" s="285">
        <v>24</v>
      </c>
      <c r="V427" s="285" t="s">
        <v>1</v>
      </c>
      <c r="W427" s="285" t="s">
        <v>1</v>
      </c>
      <c r="X427" s="286">
        <v>265.8</v>
      </c>
      <c r="Y427" s="285">
        <v>29.55</v>
      </c>
      <c r="Z427" s="285">
        <v>24</v>
      </c>
      <c r="AA427" s="285" t="s">
        <v>1</v>
      </c>
      <c r="AB427" s="285" t="s">
        <v>1</v>
      </c>
      <c r="AC427" s="286">
        <v>265.8</v>
      </c>
      <c r="AD427" s="285">
        <v>29.55</v>
      </c>
      <c r="AE427" s="285">
        <v>24</v>
      </c>
      <c r="AF427" s="285" t="s">
        <v>1</v>
      </c>
      <c r="AG427" s="285" t="s">
        <v>1</v>
      </c>
      <c r="AH427" s="307" t="s">
        <v>1</v>
      </c>
      <c r="AI427" s="295" t="s">
        <v>1</v>
      </c>
      <c r="AJ427" s="295" t="s">
        <v>1</v>
      </c>
      <c r="AK427" s="295" t="s">
        <v>1</v>
      </c>
      <c r="AL427" s="302" t="s">
        <v>1</v>
      </c>
      <c r="AM427" s="288" t="s">
        <v>1</v>
      </c>
      <c r="AN427" s="287" t="s">
        <v>1</v>
      </c>
      <c r="AO427" s="287" t="s">
        <v>1</v>
      </c>
      <c r="AP427" s="307" t="s">
        <v>1</v>
      </c>
      <c r="AQ427" s="292" t="s">
        <v>1</v>
      </c>
      <c r="AR427" s="289" t="s">
        <v>1</v>
      </c>
      <c r="AS427" s="289" t="s">
        <v>1</v>
      </c>
      <c r="AT427" s="290" t="s">
        <v>1</v>
      </c>
      <c r="AU427" s="287" t="s">
        <v>1</v>
      </c>
      <c r="AV427" s="287" t="s">
        <v>1</v>
      </c>
      <c r="AW427" s="291" t="s">
        <v>1</v>
      </c>
    </row>
    <row r="428" spans="1:49" ht="30.15" customHeight="1" x14ac:dyDescent="0.25">
      <c r="A428" s="213" t="s">
        <v>18</v>
      </c>
      <c r="B428" s="189" t="s">
        <v>1</v>
      </c>
      <c r="C428" s="212" t="s">
        <v>34</v>
      </c>
      <c r="D428" s="190" t="s">
        <v>209</v>
      </c>
      <c r="E428" s="204" t="s">
        <v>732</v>
      </c>
      <c r="F428" s="232"/>
      <c r="G428" s="204" t="s">
        <v>733</v>
      </c>
      <c r="H428" s="192" t="s">
        <v>409</v>
      </c>
      <c r="I428" s="205">
        <v>1121</v>
      </c>
      <c r="J428" s="205">
        <v>1121</v>
      </c>
      <c r="K428" s="205">
        <v>1121</v>
      </c>
      <c r="L428" s="206">
        <v>1329</v>
      </c>
      <c r="M428" s="206">
        <v>1329</v>
      </c>
      <c r="N428" s="284">
        <v>265.8</v>
      </c>
      <c r="O428" s="285">
        <v>47.379999999999995</v>
      </c>
      <c r="P428" s="285">
        <v>24</v>
      </c>
      <c r="Q428" s="285" t="s">
        <v>1</v>
      </c>
      <c r="R428" s="285" t="s">
        <v>1</v>
      </c>
      <c r="S428" s="286">
        <v>265.8</v>
      </c>
      <c r="T428" s="285">
        <v>47.379999999999995</v>
      </c>
      <c r="U428" s="285">
        <v>24</v>
      </c>
      <c r="V428" s="285" t="s">
        <v>1</v>
      </c>
      <c r="W428" s="285" t="s">
        <v>1</v>
      </c>
      <c r="X428" s="286">
        <v>265.8</v>
      </c>
      <c r="Y428" s="285">
        <v>47.379999999999995</v>
      </c>
      <c r="Z428" s="285">
        <v>24</v>
      </c>
      <c r="AA428" s="285" t="s">
        <v>1</v>
      </c>
      <c r="AB428" s="285" t="s">
        <v>1</v>
      </c>
      <c r="AC428" s="286">
        <v>265.8</v>
      </c>
      <c r="AD428" s="285">
        <v>47.379999999999995</v>
      </c>
      <c r="AE428" s="285">
        <v>24</v>
      </c>
      <c r="AF428" s="285" t="s">
        <v>1</v>
      </c>
      <c r="AG428" s="285" t="s">
        <v>1</v>
      </c>
      <c r="AH428" s="307" t="s">
        <v>1</v>
      </c>
      <c r="AI428" s="295" t="s">
        <v>1</v>
      </c>
      <c r="AJ428" s="295" t="s">
        <v>1</v>
      </c>
      <c r="AK428" s="295" t="s">
        <v>1</v>
      </c>
      <c r="AL428" s="302" t="s">
        <v>1</v>
      </c>
      <c r="AM428" s="288" t="s">
        <v>1</v>
      </c>
      <c r="AN428" s="287" t="s">
        <v>1</v>
      </c>
      <c r="AO428" s="287" t="s">
        <v>1</v>
      </c>
      <c r="AP428" s="307" t="s">
        <v>1</v>
      </c>
      <c r="AQ428" s="292" t="s">
        <v>1</v>
      </c>
      <c r="AR428" s="289" t="s">
        <v>1</v>
      </c>
      <c r="AS428" s="289" t="s">
        <v>1</v>
      </c>
      <c r="AT428" s="290" t="s">
        <v>1</v>
      </c>
      <c r="AU428" s="287" t="s">
        <v>1</v>
      </c>
      <c r="AV428" s="287" t="s">
        <v>1</v>
      </c>
      <c r="AW428" s="291" t="s">
        <v>1</v>
      </c>
    </row>
    <row r="429" spans="1:49" ht="30.15" customHeight="1" x14ac:dyDescent="0.25">
      <c r="A429" s="213" t="s">
        <v>18</v>
      </c>
      <c r="B429" s="189" t="s">
        <v>1</v>
      </c>
      <c r="C429" s="212" t="s">
        <v>34</v>
      </c>
      <c r="D429" s="190" t="s">
        <v>209</v>
      </c>
      <c r="E429" s="204" t="s">
        <v>734</v>
      </c>
      <c r="F429" s="232"/>
      <c r="G429" s="204" t="s">
        <v>733</v>
      </c>
      <c r="H429" s="192" t="s">
        <v>409</v>
      </c>
      <c r="I429" s="205">
        <v>1121</v>
      </c>
      <c r="J429" s="205">
        <v>1121</v>
      </c>
      <c r="K429" s="205">
        <v>1121</v>
      </c>
      <c r="L429" s="206">
        <v>1329</v>
      </c>
      <c r="M429" s="206">
        <v>1329</v>
      </c>
      <c r="N429" s="284">
        <v>265.8</v>
      </c>
      <c r="O429" s="285">
        <v>47.379999999999995</v>
      </c>
      <c r="P429" s="285">
        <v>24</v>
      </c>
      <c r="Q429" s="285" t="s">
        <v>1</v>
      </c>
      <c r="R429" s="285" t="s">
        <v>1</v>
      </c>
      <c r="S429" s="286">
        <v>265.8</v>
      </c>
      <c r="T429" s="285">
        <v>47.379999999999995</v>
      </c>
      <c r="U429" s="285">
        <v>24</v>
      </c>
      <c r="V429" s="285" t="s">
        <v>1</v>
      </c>
      <c r="W429" s="285" t="s">
        <v>1</v>
      </c>
      <c r="X429" s="286">
        <v>265.8</v>
      </c>
      <c r="Y429" s="285">
        <v>47.379999999999995</v>
      </c>
      <c r="Z429" s="285">
        <v>24</v>
      </c>
      <c r="AA429" s="285" t="s">
        <v>1</v>
      </c>
      <c r="AB429" s="285" t="s">
        <v>1</v>
      </c>
      <c r="AC429" s="286">
        <v>265.8</v>
      </c>
      <c r="AD429" s="285">
        <v>47.379999999999995</v>
      </c>
      <c r="AE429" s="285">
        <v>24</v>
      </c>
      <c r="AF429" s="285" t="s">
        <v>1</v>
      </c>
      <c r="AG429" s="285" t="s">
        <v>1</v>
      </c>
      <c r="AH429" s="307" t="s">
        <v>1</v>
      </c>
      <c r="AI429" s="295" t="s">
        <v>1</v>
      </c>
      <c r="AJ429" s="295" t="s">
        <v>1</v>
      </c>
      <c r="AK429" s="295" t="s">
        <v>1</v>
      </c>
      <c r="AL429" s="302" t="s">
        <v>1</v>
      </c>
      <c r="AM429" s="288" t="s">
        <v>1</v>
      </c>
      <c r="AN429" s="287" t="s">
        <v>1</v>
      </c>
      <c r="AO429" s="287" t="s">
        <v>1</v>
      </c>
      <c r="AP429" s="307" t="s">
        <v>1</v>
      </c>
      <c r="AQ429" s="292" t="s">
        <v>1</v>
      </c>
      <c r="AR429" s="289" t="s">
        <v>1</v>
      </c>
      <c r="AS429" s="289" t="s">
        <v>1</v>
      </c>
      <c r="AT429" s="290" t="s">
        <v>1</v>
      </c>
      <c r="AU429" s="287" t="s">
        <v>1</v>
      </c>
      <c r="AV429" s="287" t="s">
        <v>1</v>
      </c>
      <c r="AW429" s="291" t="s">
        <v>1</v>
      </c>
    </row>
    <row r="430" spans="1:49" ht="30.15" customHeight="1" x14ac:dyDescent="0.25">
      <c r="A430" s="213" t="s">
        <v>18</v>
      </c>
      <c r="B430" s="189" t="s">
        <v>1</v>
      </c>
      <c r="C430" s="212" t="s">
        <v>34</v>
      </c>
      <c r="D430" s="190" t="s">
        <v>209</v>
      </c>
      <c r="E430" s="204" t="s">
        <v>735</v>
      </c>
      <c r="F430" s="232"/>
      <c r="G430" s="204" t="s">
        <v>736</v>
      </c>
      <c r="H430" s="192" t="s">
        <v>409</v>
      </c>
      <c r="I430" s="205">
        <v>1264</v>
      </c>
      <c r="J430" s="205">
        <v>1264</v>
      </c>
      <c r="K430" s="205">
        <v>1264</v>
      </c>
      <c r="L430" s="206">
        <v>1499</v>
      </c>
      <c r="M430" s="206">
        <v>1499</v>
      </c>
      <c r="N430" s="284">
        <v>299.8</v>
      </c>
      <c r="O430" s="285">
        <v>52.46</v>
      </c>
      <c r="P430" s="285">
        <v>24</v>
      </c>
      <c r="Q430" s="285" t="s">
        <v>1</v>
      </c>
      <c r="R430" s="285" t="s">
        <v>1</v>
      </c>
      <c r="S430" s="286">
        <v>299.8</v>
      </c>
      <c r="T430" s="285">
        <v>52.46</v>
      </c>
      <c r="U430" s="285">
        <v>24</v>
      </c>
      <c r="V430" s="285" t="s">
        <v>1</v>
      </c>
      <c r="W430" s="285" t="s">
        <v>1</v>
      </c>
      <c r="X430" s="286">
        <v>299.8</v>
      </c>
      <c r="Y430" s="285">
        <v>52.46</v>
      </c>
      <c r="Z430" s="285">
        <v>24</v>
      </c>
      <c r="AA430" s="285" t="s">
        <v>1</v>
      </c>
      <c r="AB430" s="285" t="s">
        <v>1</v>
      </c>
      <c r="AC430" s="286">
        <v>299.8</v>
      </c>
      <c r="AD430" s="285">
        <v>52.46</v>
      </c>
      <c r="AE430" s="285">
        <v>24</v>
      </c>
      <c r="AF430" s="285" t="s">
        <v>1</v>
      </c>
      <c r="AG430" s="285" t="s">
        <v>1</v>
      </c>
      <c r="AH430" s="307" t="s">
        <v>1</v>
      </c>
      <c r="AI430" s="295" t="s">
        <v>1</v>
      </c>
      <c r="AJ430" s="295" t="s">
        <v>1</v>
      </c>
      <c r="AK430" s="295" t="s">
        <v>1</v>
      </c>
      <c r="AL430" s="302" t="s">
        <v>1</v>
      </c>
      <c r="AM430" s="288" t="s">
        <v>1</v>
      </c>
      <c r="AN430" s="287" t="s">
        <v>1</v>
      </c>
      <c r="AO430" s="287" t="s">
        <v>1</v>
      </c>
      <c r="AP430" s="307" t="s">
        <v>1</v>
      </c>
      <c r="AQ430" s="292" t="s">
        <v>1</v>
      </c>
      <c r="AR430" s="289" t="s">
        <v>1</v>
      </c>
      <c r="AS430" s="289" t="s">
        <v>1</v>
      </c>
      <c r="AT430" s="290" t="s">
        <v>1</v>
      </c>
      <c r="AU430" s="287" t="s">
        <v>1</v>
      </c>
      <c r="AV430" s="287" t="s">
        <v>1</v>
      </c>
      <c r="AW430" s="291" t="s">
        <v>1</v>
      </c>
    </row>
    <row r="431" spans="1:49" ht="30.15" customHeight="1" x14ac:dyDescent="0.25">
      <c r="A431" s="213" t="s">
        <v>18</v>
      </c>
      <c r="B431" s="189" t="s">
        <v>1</v>
      </c>
      <c r="C431" s="212" t="s">
        <v>34</v>
      </c>
      <c r="D431" s="190" t="s">
        <v>209</v>
      </c>
      <c r="E431" s="204" t="s">
        <v>737</v>
      </c>
      <c r="F431" s="232"/>
      <c r="G431" s="204" t="s">
        <v>736</v>
      </c>
      <c r="H431" s="192" t="s">
        <v>409</v>
      </c>
      <c r="I431" s="205">
        <v>1264</v>
      </c>
      <c r="J431" s="205">
        <v>1264</v>
      </c>
      <c r="K431" s="205">
        <v>1264</v>
      </c>
      <c r="L431" s="206">
        <v>1499</v>
      </c>
      <c r="M431" s="206">
        <v>1499</v>
      </c>
      <c r="N431" s="284">
        <v>299.8</v>
      </c>
      <c r="O431" s="285">
        <v>52.46</v>
      </c>
      <c r="P431" s="285">
        <v>24</v>
      </c>
      <c r="Q431" s="285" t="s">
        <v>1</v>
      </c>
      <c r="R431" s="285" t="s">
        <v>1</v>
      </c>
      <c r="S431" s="286">
        <v>299.8</v>
      </c>
      <c r="T431" s="285">
        <v>52.46</v>
      </c>
      <c r="U431" s="285">
        <v>24</v>
      </c>
      <c r="V431" s="285" t="s">
        <v>1</v>
      </c>
      <c r="W431" s="285" t="s">
        <v>1</v>
      </c>
      <c r="X431" s="286">
        <v>299.8</v>
      </c>
      <c r="Y431" s="285">
        <v>52.46</v>
      </c>
      <c r="Z431" s="285">
        <v>24</v>
      </c>
      <c r="AA431" s="285" t="s">
        <v>1</v>
      </c>
      <c r="AB431" s="285" t="s">
        <v>1</v>
      </c>
      <c r="AC431" s="286">
        <v>299.8</v>
      </c>
      <c r="AD431" s="285">
        <v>52.46</v>
      </c>
      <c r="AE431" s="285">
        <v>24</v>
      </c>
      <c r="AF431" s="285" t="s">
        <v>1</v>
      </c>
      <c r="AG431" s="285" t="s">
        <v>1</v>
      </c>
      <c r="AH431" s="307" t="s">
        <v>1</v>
      </c>
      <c r="AI431" s="295" t="s">
        <v>1</v>
      </c>
      <c r="AJ431" s="295" t="s">
        <v>1</v>
      </c>
      <c r="AK431" s="295" t="s">
        <v>1</v>
      </c>
      <c r="AL431" s="302" t="s">
        <v>1</v>
      </c>
      <c r="AM431" s="288" t="s">
        <v>1</v>
      </c>
      <c r="AN431" s="287" t="s">
        <v>1</v>
      </c>
      <c r="AO431" s="287" t="s">
        <v>1</v>
      </c>
      <c r="AP431" s="307" t="s">
        <v>1</v>
      </c>
      <c r="AQ431" s="292" t="s">
        <v>1</v>
      </c>
      <c r="AR431" s="289" t="s">
        <v>1</v>
      </c>
      <c r="AS431" s="289" t="s">
        <v>1</v>
      </c>
      <c r="AT431" s="290" t="s">
        <v>1</v>
      </c>
      <c r="AU431" s="287" t="s">
        <v>1</v>
      </c>
      <c r="AV431" s="287" t="s">
        <v>1</v>
      </c>
      <c r="AW431" s="291" t="s">
        <v>1</v>
      </c>
    </row>
    <row r="432" spans="1:49" ht="30.15" customHeight="1" x14ac:dyDescent="0.25">
      <c r="A432" s="213" t="s">
        <v>18</v>
      </c>
      <c r="B432" s="189" t="s">
        <v>1</v>
      </c>
      <c r="C432" s="212" t="s">
        <v>34</v>
      </c>
      <c r="D432" s="217" t="s">
        <v>209</v>
      </c>
      <c r="E432" s="217" t="s">
        <v>932</v>
      </c>
      <c r="F432" s="218"/>
      <c r="G432" s="217" t="s">
        <v>933</v>
      </c>
      <c r="H432" s="192" t="s">
        <v>409</v>
      </c>
      <c r="I432" s="205">
        <v>432</v>
      </c>
      <c r="J432" s="205">
        <v>432</v>
      </c>
      <c r="K432" s="205">
        <v>432</v>
      </c>
      <c r="L432" s="206">
        <v>560</v>
      </c>
      <c r="M432" s="206">
        <v>560</v>
      </c>
      <c r="N432" s="284">
        <v>112</v>
      </c>
      <c r="O432" s="285">
        <v>3.38</v>
      </c>
      <c r="P432" s="285">
        <v>24</v>
      </c>
      <c r="Q432" s="285" t="s">
        <v>1</v>
      </c>
      <c r="R432" s="285" t="s">
        <v>1</v>
      </c>
      <c r="S432" s="286">
        <v>112</v>
      </c>
      <c r="T432" s="285">
        <v>3.38</v>
      </c>
      <c r="U432" s="285">
        <v>24</v>
      </c>
      <c r="V432" s="285" t="s">
        <v>1</v>
      </c>
      <c r="W432" s="285" t="s">
        <v>1</v>
      </c>
      <c r="X432" s="286">
        <v>112</v>
      </c>
      <c r="Y432" s="285">
        <v>3.38</v>
      </c>
      <c r="Z432" s="285">
        <v>24</v>
      </c>
      <c r="AA432" s="285" t="s">
        <v>1</v>
      </c>
      <c r="AB432" s="285" t="s">
        <v>1</v>
      </c>
      <c r="AC432" s="286">
        <v>112</v>
      </c>
      <c r="AD432" s="285">
        <v>3.38</v>
      </c>
      <c r="AE432" s="285">
        <v>24</v>
      </c>
      <c r="AF432" s="285" t="s">
        <v>1</v>
      </c>
      <c r="AG432" s="285" t="s">
        <v>1</v>
      </c>
      <c r="AH432" s="307" t="s">
        <v>1</v>
      </c>
      <c r="AI432" s="295" t="s">
        <v>1</v>
      </c>
      <c r="AJ432" s="295" t="s">
        <v>1</v>
      </c>
      <c r="AK432" s="295" t="s">
        <v>1</v>
      </c>
      <c r="AL432" s="302" t="s">
        <v>1</v>
      </c>
      <c r="AM432" s="288" t="s">
        <v>1</v>
      </c>
      <c r="AN432" s="287" t="s">
        <v>1</v>
      </c>
      <c r="AO432" s="287" t="s">
        <v>1</v>
      </c>
      <c r="AP432" s="307" t="s">
        <v>1</v>
      </c>
      <c r="AQ432" s="292" t="s">
        <v>1</v>
      </c>
      <c r="AR432" s="289" t="s">
        <v>1</v>
      </c>
      <c r="AS432" s="289" t="s">
        <v>1</v>
      </c>
      <c r="AT432" s="290" t="s">
        <v>1</v>
      </c>
      <c r="AU432" s="287" t="s">
        <v>1</v>
      </c>
      <c r="AV432" s="287" t="s">
        <v>1</v>
      </c>
      <c r="AW432" s="291" t="s">
        <v>1</v>
      </c>
    </row>
    <row r="433" spans="1:49" ht="30.15" customHeight="1" x14ac:dyDescent="0.25">
      <c r="A433" s="213" t="s">
        <v>18</v>
      </c>
      <c r="B433" s="189" t="s">
        <v>1</v>
      </c>
      <c r="C433" s="212" t="s">
        <v>34</v>
      </c>
      <c r="D433" s="217" t="s">
        <v>209</v>
      </c>
      <c r="E433" s="217" t="s">
        <v>1151</v>
      </c>
      <c r="F433" s="218"/>
      <c r="G433" s="217" t="s">
        <v>1152</v>
      </c>
      <c r="H433" s="192" t="s">
        <v>409</v>
      </c>
      <c r="I433" s="205">
        <v>612</v>
      </c>
      <c r="J433" s="205">
        <v>612</v>
      </c>
      <c r="K433" s="205">
        <v>612</v>
      </c>
      <c r="L433" s="206">
        <v>800</v>
      </c>
      <c r="M433" s="206">
        <v>800</v>
      </c>
      <c r="N433" s="284">
        <v>160</v>
      </c>
      <c r="O433" s="285">
        <v>5.05</v>
      </c>
      <c r="P433" s="285">
        <v>24</v>
      </c>
      <c r="Q433" s="285" t="s">
        <v>1</v>
      </c>
      <c r="R433" s="285" t="s">
        <v>1</v>
      </c>
      <c r="S433" s="286">
        <v>160</v>
      </c>
      <c r="T433" s="285">
        <v>5.05</v>
      </c>
      <c r="U433" s="285">
        <v>24</v>
      </c>
      <c r="V433" s="285" t="s">
        <v>1</v>
      </c>
      <c r="W433" s="285" t="s">
        <v>1</v>
      </c>
      <c r="X433" s="286">
        <v>160</v>
      </c>
      <c r="Y433" s="285">
        <v>5.05</v>
      </c>
      <c r="Z433" s="285">
        <v>24</v>
      </c>
      <c r="AA433" s="285" t="s">
        <v>1</v>
      </c>
      <c r="AB433" s="285" t="s">
        <v>1</v>
      </c>
      <c r="AC433" s="286">
        <v>160</v>
      </c>
      <c r="AD433" s="285">
        <v>5.05</v>
      </c>
      <c r="AE433" s="285">
        <v>24</v>
      </c>
      <c r="AF433" s="285" t="s">
        <v>1</v>
      </c>
      <c r="AG433" s="285" t="s">
        <v>1</v>
      </c>
      <c r="AH433" s="307" t="s">
        <v>1</v>
      </c>
      <c r="AI433" s="295" t="s">
        <v>1</v>
      </c>
      <c r="AJ433" s="295" t="s">
        <v>1</v>
      </c>
      <c r="AK433" s="295" t="s">
        <v>1</v>
      </c>
      <c r="AL433" s="302" t="s">
        <v>1</v>
      </c>
      <c r="AM433" s="288" t="s">
        <v>1</v>
      </c>
      <c r="AN433" s="287" t="s">
        <v>1</v>
      </c>
      <c r="AO433" s="287" t="s">
        <v>1</v>
      </c>
      <c r="AP433" s="307" t="s">
        <v>1</v>
      </c>
      <c r="AQ433" s="292" t="s">
        <v>1</v>
      </c>
      <c r="AR433" s="289" t="s">
        <v>1</v>
      </c>
      <c r="AS433" s="289" t="s">
        <v>1</v>
      </c>
      <c r="AT433" s="290" t="s">
        <v>1</v>
      </c>
      <c r="AU433" s="287" t="s">
        <v>1</v>
      </c>
      <c r="AV433" s="287" t="s">
        <v>1</v>
      </c>
      <c r="AW433" s="291" t="s">
        <v>1</v>
      </c>
    </row>
    <row r="434" spans="1:49" ht="30.15" customHeight="1" x14ac:dyDescent="0.25">
      <c r="A434" s="213" t="s">
        <v>18</v>
      </c>
      <c r="B434" s="189" t="s">
        <v>1</v>
      </c>
      <c r="C434" s="212" t="s">
        <v>34</v>
      </c>
      <c r="D434" s="217" t="s">
        <v>209</v>
      </c>
      <c r="E434" s="217" t="s">
        <v>1153</v>
      </c>
      <c r="F434" s="218"/>
      <c r="G434" s="217" t="s">
        <v>1154</v>
      </c>
      <c r="H434" s="192" t="s">
        <v>1024</v>
      </c>
      <c r="I434" s="205">
        <v>612</v>
      </c>
      <c r="J434" s="205">
        <v>612</v>
      </c>
      <c r="K434" s="205">
        <v>612</v>
      </c>
      <c r="L434" s="206">
        <v>800</v>
      </c>
      <c r="M434" s="206">
        <v>800</v>
      </c>
      <c r="N434" s="284">
        <v>160</v>
      </c>
      <c r="O434" s="285">
        <v>5.05</v>
      </c>
      <c r="P434" s="285">
        <v>24</v>
      </c>
      <c r="Q434" s="285" t="s">
        <v>1</v>
      </c>
      <c r="R434" s="285" t="s">
        <v>1</v>
      </c>
      <c r="S434" s="286">
        <v>160</v>
      </c>
      <c r="T434" s="285">
        <v>5.05</v>
      </c>
      <c r="U434" s="285">
        <v>24</v>
      </c>
      <c r="V434" s="285" t="s">
        <v>1</v>
      </c>
      <c r="W434" s="285" t="s">
        <v>1</v>
      </c>
      <c r="X434" s="286">
        <v>160</v>
      </c>
      <c r="Y434" s="285">
        <v>5.05</v>
      </c>
      <c r="Z434" s="285">
        <v>24</v>
      </c>
      <c r="AA434" s="285" t="s">
        <v>1</v>
      </c>
      <c r="AB434" s="285" t="s">
        <v>1</v>
      </c>
      <c r="AC434" s="286">
        <v>160</v>
      </c>
      <c r="AD434" s="285">
        <v>5.05</v>
      </c>
      <c r="AE434" s="285">
        <v>24</v>
      </c>
      <c r="AF434" s="285" t="s">
        <v>1</v>
      </c>
      <c r="AG434" s="285" t="s">
        <v>1</v>
      </c>
      <c r="AH434" s="307" t="s">
        <v>1</v>
      </c>
      <c r="AI434" s="295" t="s">
        <v>1</v>
      </c>
      <c r="AJ434" s="295" t="s">
        <v>1</v>
      </c>
      <c r="AK434" s="295" t="s">
        <v>1</v>
      </c>
      <c r="AL434" s="302" t="s">
        <v>1</v>
      </c>
      <c r="AM434" s="288" t="s">
        <v>1</v>
      </c>
      <c r="AN434" s="287" t="s">
        <v>1</v>
      </c>
      <c r="AO434" s="287" t="s">
        <v>1</v>
      </c>
      <c r="AP434" s="307" t="s">
        <v>1</v>
      </c>
      <c r="AQ434" s="292" t="s">
        <v>1</v>
      </c>
      <c r="AR434" s="289" t="s">
        <v>1</v>
      </c>
      <c r="AS434" s="289" t="s">
        <v>1</v>
      </c>
      <c r="AT434" s="290" t="s">
        <v>1</v>
      </c>
      <c r="AU434" s="287" t="s">
        <v>1</v>
      </c>
      <c r="AV434" s="287" t="s">
        <v>1</v>
      </c>
      <c r="AW434" s="291" t="s">
        <v>1</v>
      </c>
    </row>
    <row r="435" spans="1:49" ht="30.15" customHeight="1" x14ac:dyDescent="0.25">
      <c r="A435" s="213" t="s">
        <v>18</v>
      </c>
      <c r="B435" s="189" t="s">
        <v>1</v>
      </c>
      <c r="C435" s="212" t="s">
        <v>34</v>
      </c>
      <c r="D435" s="217" t="s">
        <v>209</v>
      </c>
      <c r="E435" s="217" t="s">
        <v>1022</v>
      </c>
      <c r="F435" s="218"/>
      <c r="G435" s="217" t="s">
        <v>1023</v>
      </c>
      <c r="H435" s="192" t="s">
        <v>1024</v>
      </c>
      <c r="I435" s="205">
        <v>432</v>
      </c>
      <c r="J435" s="205">
        <v>432</v>
      </c>
      <c r="K435" s="205">
        <v>432</v>
      </c>
      <c r="L435" s="206">
        <v>560</v>
      </c>
      <c r="M435" s="206">
        <v>560</v>
      </c>
      <c r="N435" s="284">
        <v>112</v>
      </c>
      <c r="O435" s="285">
        <v>3.38</v>
      </c>
      <c r="P435" s="285">
        <v>24</v>
      </c>
      <c r="Q435" s="285" t="s">
        <v>1</v>
      </c>
      <c r="R435" s="285" t="s">
        <v>1</v>
      </c>
      <c r="S435" s="286">
        <v>112</v>
      </c>
      <c r="T435" s="285">
        <v>3.38</v>
      </c>
      <c r="U435" s="285">
        <v>24</v>
      </c>
      <c r="V435" s="285" t="s">
        <v>1</v>
      </c>
      <c r="W435" s="285" t="s">
        <v>1</v>
      </c>
      <c r="X435" s="286">
        <v>112</v>
      </c>
      <c r="Y435" s="285">
        <v>3.38</v>
      </c>
      <c r="Z435" s="285">
        <v>24</v>
      </c>
      <c r="AA435" s="285" t="s">
        <v>1</v>
      </c>
      <c r="AB435" s="285" t="s">
        <v>1</v>
      </c>
      <c r="AC435" s="286">
        <v>112</v>
      </c>
      <c r="AD435" s="285">
        <v>3.38</v>
      </c>
      <c r="AE435" s="285">
        <v>24</v>
      </c>
      <c r="AF435" s="285" t="s">
        <v>1</v>
      </c>
      <c r="AG435" s="285" t="s">
        <v>1</v>
      </c>
      <c r="AH435" s="307" t="s">
        <v>1</v>
      </c>
      <c r="AI435" s="295" t="s">
        <v>1</v>
      </c>
      <c r="AJ435" s="295" t="s">
        <v>1</v>
      </c>
      <c r="AK435" s="295" t="s">
        <v>1</v>
      </c>
      <c r="AL435" s="302" t="s">
        <v>1</v>
      </c>
      <c r="AM435" s="288" t="s">
        <v>1</v>
      </c>
      <c r="AN435" s="287" t="s">
        <v>1</v>
      </c>
      <c r="AO435" s="287" t="s">
        <v>1</v>
      </c>
      <c r="AP435" s="307" t="s">
        <v>1</v>
      </c>
      <c r="AQ435" s="292" t="s">
        <v>1</v>
      </c>
      <c r="AR435" s="289" t="s">
        <v>1</v>
      </c>
      <c r="AS435" s="289" t="s">
        <v>1</v>
      </c>
      <c r="AT435" s="290" t="s">
        <v>1</v>
      </c>
      <c r="AU435" s="287" t="s">
        <v>1</v>
      </c>
      <c r="AV435" s="287" t="s">
        <v>1</v>
      </c>
      <c r="AW435" s="291" t="s">
        <v>1</v>
      </c>
    </row>
    <row r="436" spans="1:49" ht="30.15" customHeight="1" x14ac:dyDescent="0.25">
      <c r="A436" s="213" t="s">
        <v>18</v>
      </c>
      <c r="B436" s="189" t="s">
        <v>1</v>
      </c>
      <c r="C436" s="212" t="s">
        <v>34</v>
      </c>
      <c r="D436" s="118" t="s">
        <v>209</v>
      </c>
      <c r="E436" s="118" t="s">
        <v>1029</v>
      </c>
      <c r="F436" s="259"/>
      <c r="G436" s="118" t="s">
        <v>1030</v>
      </c>
      <c r="H436" s="192" t="s">
        <v>409</v>
      </c>
      <c r="I436" s="205">
        <v>720</v>
      </c>
      <c r="J436" s="205">
        <v>720</v>
      </c>
      <c r="K436" s="205">
        <v>720</v>
      </c>
      <c r="L436" s="206">
        <v>950</v>
      </c>
      <c r="M436" s="206">
        <v>950</v>
      </c>
      <c r="N436" s="284">
        <v>190</v>
      </c>
      <c r="O436" s="285">
        <v>6.3</v>
      </c>
      <c r="P436" s="285">
        <v>24</v>
      </c>
      <c r="Q436" s="285" t="s">
        <v>1</v>
      </c>
      <c r="R436" s="285" t="s">
        <v>1</v>
      </c>
      <c r="S436" s="286">
        <v>190</v>
      </c>
      <c r="T436" s="285">
        <v>6.3</v>
      </c>
      <c r="U436" s="285">
        <v>24</v>
      </c>
      <c r="V436" s="285" t="s">
        <v>1</v>
      </c>
      <c r="W436" s="285" t="s">
        <v>1</v>
      </c>
      <c r="X436" s="286">
        <v>190</v>
      </c>
      <c r="Y436" s="308">
        <v>14.59</v>
      </c>
      <c r="Z436" s="285">
        <v>24</v>
      </c>
      <c r="AA436" s="285" t="s">
        <v>1</v>
      </c>
      <c r="AB436" s="285" t="s">
        <v>1</v>
      </c>
      <c r="AC436" s="286">
        <v>190</v>
      </c>
      <c r="AD436" s="308">
        <v>14.59</v>
      </c>
      <c r="AE436" s="285">
        <v>24</v>
      </c>
      <c r="AF436" s="285" t="s">
        <v>1</v>
      </c>
      <c r="AG436" s="285" t="s">
        <v>1</v>
      </c>
      <c r="AH436" s="307" t="s">
        <v>1</v>
      </c>
      <c r="AI436" s="295" t="s">
        <v>1</v>
      </c>
      <c r="AJ436" s="295" t="s">
        <v>1</v>
      </c>
      <c r="AK436" s="295" t="s">
        <v>1</v>
      </c>
      <c r="AL436" s="302" t="s">
        <v>1</v>
      </c>
      <c r="AM436" s="288" t="s">
        <v>1</v>
      </c>
      <c r="AN436" s="287" t="s">
        <v>1</v>
      </c>
      <c r="AO436" s="287" t="s">
        <v>1</v>
      </c>
      <c r="AP436" s="307" t="s">
        <v>1</v>
      </c>
      <c r="AQ436" s="292" t="s">
        <v>1</v>
      </c>
      <c r="AR436" s="289" t="s">
        <v>1</v>
      </c>
      <c r="AS436" s="289" t="s">
        <v>1</v>
      </c>
      <c r="AT436" s="290" t="s">
        <v>1</v>
      </c>
      <c r="AU436" s="287" t="s">
        <v>1</v>
      </c>
      <c r="AV436" s="287" t="s">
        <v>1</v>
      </c>
      <c r="AW436" s="291" t="s">
        <v>1</v>
      </c>
    </row>
    <row r="437" spans="1:49" ht="30.15" customHeight="1" x14ac:dyDescent="0.25">
      <c r="A437" s="213" t="s">
        <v>18</v>
      </c>
      <c r="B437" s="189" t="s">
        <v>1</v>
      </c>
      <c r="C437" s="212" t="s">
        <v>34</v>
      </c>
      <c r="D437" s="118" t="s">
        <v>209</v>
      </c>
      <c r="E437" s="118" t="s">
        <v>1150</v>
      </c>
      <c r="F437" s="259"/>
      <c r="G437" s="118" t="s">
        <v>1030</v>
      </c>
      <c r="H437" s="192" t="s">
        <v>421</v>
      </c>
      <c r="I437" s="205">
        <v>720</v>
      </c>
      <c r="J437" s="205">
        <v>720</v>
      </c>
      <c r="K437" s="205">
        <v>720</v>
      </c>
      <c r="L437" s="206">
        <v>950</v>
      </c>
      <c r="M437" s="206">
        <v>950</v>
      </c>
      <c r="N437" s="284">
        <v>190</v>
      </c>
      <c r="O437" s="285">
        <v>6.3</v>
      </c>
      <c r="P437" s="285">
        <v>24</v>
      </c>
      <c r="Q437" s="285" t="s">
        <v>1</v>
      </c>
      <c r="R437" s="285" t="s">
        <v>1</v>
      </c>
      <c r="S437" s="286">
        <v>190</v>
      </c>
      <c r="T437" s="285">
        <v>6.3</v>
      </c>
      <c r="U437" s="285">
        <v>24</v>
      </c>
      <c r="V437" s="285" t="s">
        <v>1</v>
      </c>
      <c r="W437" s="285" t="s">
        <v>1</v>
      </c>
      <c r="X437" s="286">
        <v>190</v>
      </c>
      <c r="Y437" s="308">
        <v>14.59</v>
      </c>
      <c r="Z437" s="285">
        <v>24</v>
      </c>
      <c r="AA437" s="285" t="s">
        <v>1</v>
      </c>
      <c r="AB437" s="285" t="s">
        <v>1</v>
      </c>
      <c r="AC437" s="286">
        <v>190</v>
      </c>
      <c r="AD437" s="308">
        <v>14.59</v>
      </c>
      <c r="AE437" s="285">
        <v>24</v>
      </c>
      <c r="AF437" s="285" t="s">
        <v>1</v>
      </c>
      <c r="AG437" s="285" t="s">
        <v>1</v>
      </c>
      <c r="AH437" s="307" t="s">
        <v>1</v>
      </c>
      <c r="AI437" s="295" t="s">
        <v>1</v>
      </c>
      <c r="AJ437" s="295" t="s">
        <v>1</v>
      </c>
      <c r="AK437" s="295" t="s">
        <v>1</v>
      </c>
      <c r="AL437" s="302" t="s">
        <v>1</v>
      </c>
      <c r="AM437" s="288" t="s">
        <v>1</v>
      </c>
      <c r="AN437" s="287" t="s">
        <v>1</v>
      </c>
      <c r="AO437" s="287" t="s">
        <v>1</v>
      </c>
      <c r="AP437" s="307" t="s">
        <v>1</v>
      </c>
      <c r="AQ437" s="292" t="s">
        <v>1</v>
      </c>
      <c r="AR437" s="289" t="s">
        <v>1</v>
      </c>
      <c r="AS437" s="289" t="s">
        <v>1</v>
      </c>
      <c r="AT437" s="290" t="s">
        <v>1</v>
      </c>
      <c r="AU437" s="287" t="s">
        <v>1</v>
      </c>
      <c r="AV437" s="287" t="s">
        <v>1</v>
      </c>
      <c r="AW437" s="291" t="s">
        <v>1</v>
      </c>
    </row>
    <row r="438" spans="1:49" ht="30.15" customHeight="1" x14ac:dyDescent="0.25">
      <c r="A438" s="213" t="s">
        <v>18</v>
      </c>
      <c r="B438" s="189" t="s">
        <v>1</v>
      </c>
      <c r="C438" s="212" t="s">
        <v>34</v>
      </c>
      <c r="D438" s="118" t="s">
        <v>209</v>
      </c>
      <c r="E438" s="118" t="s">
        <v>1027</v>
      </c>
      <c r="F438" s="259"/>
      <c r="G438" s="118" t="s">
        <v>1028</v>
      </c>
      <c r="H438" s="192" t="s">
        <v>1024</v>
      </c>
      <c r="I438" s="205">
        <v>720</v>
      </c>
      <c r="J438" s="205">
        <v>720</v>
      </c>
      <c r="K438" s="205">
        <v>720</v>
      </c>
      <c r="L438" s="206">
        <v>950</v>
      </c>
      <c r="M438" s="206">
        <v>950</v>
      </c>
      <c r="N438" s="284">
        <v>190</v>
      </c>
      <c r="O438" s="285">
        <v>6.3</v>
      </c>
      <c r="P438" s="285">
        <v>24</v>
      </c>
      <c r="Q438" s="285" t="s">
        <v>1</v>
      </c>
      <c r="R438" s="285" t="s">
        <v>1</v>
      </c>
      <c r="S438" s="286">
        <v>190</v>
      </c>
      <c r="T438" s="285">
        <v>6.3</v>
      </c>
      <c r="U438" s="285">
        <v>24</v>
      </c>
      <c r="V438" s="285" t="s">
        <v>1</v>
      </c>
      <c r="W438" s="285" t="s">
        <v>1</v>
      </c>
      <c r="X438" s="286">
        <v>190</v>
      </c>
      <c r="Y438" s="308">
        <v>14.59</v>
      </c>
      <c r="Z438" s="285">
        <v>24</v>
      </c>
      <c r="AA438" s="285" t="s">
        <v>1</v>
      </c>
      <c r="AB438" s="285" t="s">
        <v>1</v>
      </c>
      <c r="AC438" s="286">
        <v>190</v>
      </c>
      <c r="AD438" s="308">
        <v>14.59</v>
      </c>
      <c r="AE438" s="285">
        <v>24</v>
      </c>
      <c r="AF438" s="285" t="s">
        <v>1</v>
      </c>
      <c r="AG438" s="285" t="s">
        <v>1</v>
      </c>
      <c r="AH438" s="307" t="s">
        <v>1</v>
      </c>
      <c r="AI438" s="295" t="s">
        <v>1</v>
      </c>
      <c r="AJ438" s="295" t="s">
        <v>1</v>
      </c>
      <c r="AK438" s="295" t="s">
        <v>1</v>
      </c>
      <c r="AL438" s="302" t="s">
        <v>1</v>
      </c>
      <c r="AM438" s="288" t="s">
        <v>1</v>
      </c>
      <c r="AN438" s="287" t="s">
        <v>1</v>
      </c>
      <c r="AO438" s="287" t="s">
        <v>1</v>
      </c>
      <c r="AP438" s="307" t="s">
        <v>1</v>
      </c>
      <c r="AQ438" s="292" t="s">
        <v>1</v>
      </c>
      <c r="AR438" s="289" t="s">
        <v>1</v>
      </c>
      <c r="AS438" s="289" t="s">
        <v>1</v>
      </c>
      <c r="AT438" s="290" t="s">
        <v>1</v>
      </c>
      <c r="AU438" s="287" t="s">
        <v>1</v>
      </c>
      <c r="AV438" s="287" t="s">
        <v>1</v>
      </c>
      <c r="AW438" s="291" t="s">
        <v>1</v>
      </c>
    </row>
    <row r="439" spans="1:49" ht="30.15" customHeight="1" x14ac:dyDescent="0.25">
      <c r="A439" s="188" t="s">
        <v>18</v>
      </c>
      <c r="B439" s="189" t="s">
        <v>1</v>
      </c>
      <c r="C439" s="188" t="s">
        <v>35</v>
      </c>
      <c r="D439" s="190" t="s">
        <v>90</v>
      </c>
      <c r="E439" s="190" t="s">
        <v>91</v>
      </c>
      <c r="F439" s="203"/>
      <c r="G439" s="190" t="s">
        <v>92</v>
      </c>
      <c r="H439" s="192" t="s">
        <v>409</v>
      </c>
      <c r="I439" s="193">
        <v>130</v>
      </c>
      <c r="J439" s="193">
        <v>130</v>
      </c>
      <c r="K439" s="193">
        <v>130</v>
      </c>
      <c r="L439" s="193">
        <v>179.99</v>
      </c>
      <c r="M439" s="194">
        <v>179.99</v>
      </c>
      <c r="N439" s="284" t="s">
        <v>1</v>
      </c>
      <c r="O439" s="285" t="s">
        <v>1</v>
      </c>
      <c r="P439" s="285" t="s">
        <v>1</v>
      </c>
      <c r="Q439" s="285" t="s">
        <v>1</v>
      </c>
      <c r="R439" s="285" t="s">
        <v>1</v>
      </c>
      <c r="S439" s="286" t="s">
        <v>1</v>
      </c>
      <c r="T439" s="285" t="s">
        <v>1</v>
      </c>
      <c r="U439" s="285" t="s">
        <v>1</v>
      </c>
      <c r="V439" s="285" t="s">
        <v>1</v>
      </c>
      <c r="W439" s="285" t="s">
        <v>1</v>
      </c>
      <c r="X439" s="286" t="s">
        <v>1</v>
      </c>
      <c r="Y439" s="285" t="s">
        <v>1</v>
      </c>
      <c r="Z439" s="285" t="s">
        <v>1</v>
      </c>
      <c r="AA439" s="285" t="s">
        <v>1</v>
      </c>
      <c r="AB439" s="285" t="s">
        <v>1</v>
      </c>
      <c r="AC439" s="286" t="s">
        <v>1</v>
      </c>
      <c r="AD439" s="285" t="s">
        <v>1</v>
      </c>
      <c r="AE439" s="285" t="s">
        <v>1</v>
      </c>
      <c r="AF439" s="285" t="s">
        <v>1</v>
      </c>
      <c r="AG439" s="285" t="s">
        <v>1</v>
      </c>
      <c r="AH439" s="286" t="s">
        <v>1</v>
      </c>
      <c r="AI439" s="295" t="s">
        <v>1</v>
      </c>
      <c r="AJ439" s="295" t="s">
        <v>1</v>
      </c>
      <c r="AK439" s="295" t="s">
        <v>1</v>
      </c>
      <c r="AL439" s="286">
        <v>36</v>
      </c>
      <c r="AM439" s="288" t="s">
        <v>1</v>
      </c>
      <c r="AN439" s="287" t="s">
        <v>1</v>
      </c>
      <c r="AO439" s="287" t="s">
        <v>1</v>
      </c>
      <c r="AP439" s="286" t="s">
        <v>1</v>
      </c>
      <c r="AQ439" s="285" t="s">
        <v>1</v>
      </c>
      <c r="AR439" s="289" t="s">
        <v>1</v>
      </c>
      <c r="AS439" s="289" t="s">
        <v>1</v>
      </c>
      <c r="AT439" s="290" t="s">
        <v>1</v>
      </c>
      <c r="AU439" s="287" t="s">
        <v>1</v>
      </c>
      <c r="AV439" s="287" t="s">
        <v>1</v>
      </c>
      <c r="AW439" s="291" t="s">
        <v>1</v>
      </c>
    </row>
    <row r="440" spans="1:49" ht="30.15" customHeight="1" x14ac:dyDescent="0.25">
      <c r="A440" s="213" t="s">
        <v>18</v>
      </c>
      <c r="B440" s="189" t="s">
        <v>1</v>
      </c>
      <c r="C440" s="212" t="s">
        <v>34</v>
      </c>
      <c r="D440" s="190" t="s">
        <v>90</v>
      </c>
      <c r="E440" s="190" t="s">
        <v>390</v>
      </c>
      <c r="F440" s="203"/>
      <c r="G440" s="190" t="s">
        <v>393</v>
      </c>
      <c r="H440" s="192" t="s">
        <v>409</v>
      </c>
      <c r="I440" s="193">
        <v>310</v>
      </c>
      <c r="J440" s="193">
        <v>310</v>
      </c>
      <c r="K440" s="193">
        <v>310</v>
      </c>
      <c r="L440" s="193">
        <v>260</v>
      </c>
      <c r="M440" s="194">
        <v>260</v>
      </c>
      <c r="N440" s="284">
        <v>52</v>
      </c>
      <c r="O440" s="285" t="s">
        <v>1</v>
      </c>
      <c r="P440" s="285" t="s">
        <v>1</v>
      </c>
      <c r="Q440" s="285" t="s">
        <v>1</v>
      </c>
      <c r="R440" s="285" t="s">
        <v>1</v>
      </c>
      <c r="S440" s="286">
        <v>52</v>
      </c>
      <c r="T440" s="285" t="s">
        <v>1</v>
      </c>
      <c r="U440" s="285" t="s">
        <v>1</v>
      </c>
      <c r="V440" s="285" t="s">
        <v>1</v>
      </c>
      <c r="W440" s="285" t="s">
        <v>1</v>
      </c>
      <c r="X440" s="286">
        <v>52</v>
      </c>
      <c r="Y440" s="285" t="s">
        <v>1</v>
      </c>
      <c r="Z440" s="285" t="s">
        <v>1</v>
      </c>
      <c r="AA440" s="285" t="s">
        <v>1</v>
      </c>
      <c r="AB440" s="285" t="s">
        <v>1</v>
      </c>
      <c r="AC440" s="286">
        <v>52</v>
      </c>
      <c r="AD440" s="285" t="s">
        <v>1</v>
      </c>
      <c r="AE440" s="285" t="s">
        <v>1</v>
      </c>
      <c r="AF440" s="285" t="s">
        <v>1</v>
      </c>
      <c r="AG440" s="285" t="s">
        <v>1</v>
      </c>
      <c r="AH440" s="286">
        <v>52</v>
      </c>
      <c r="AI440" s="295" t="s">
        <v>1</v>
      </c>
      <c r="AJ440" s="295" t="s">
        <v>1</v>
      </c>
      <c r="AK440" s="295" t="s">
        <v>1</v>
      </c>
      <c r="AL440" s="286" t="s">
        <v>1</v>
      </c>
      <c r="AM440" s="288" t="s">
        <v>1</v>
      </c>
      <c r="AN440" s="287" t="s">
        <v>1</v>
      </c>
      <c r="AO440" s="287" t="s">
        <v>1</v>
      </c>
      <c r="AP440" s="286" t="s">
        <v>1</v>
      </c>
      <c r="AQ440" s="285" t="s">
        <v>1</v>
      </c>
      <c r="AR440" s="289" t="s">
        <v>1</v>
      </c>
      <c r="AS440" s="289" t="s">
        <v>1</v>
      </c>
      <c r="AT440" s="290" t="s">
        <v>1</v>
      </c>
      <c r="AU440" s="287" t="s">
        <v>1</v>
      </c>
      <c r="AV440" s="287" t="s">
        <v>1</v>
      </c>
      <c r="AW440" s="291" t="s">
        <v>1</v>
      </c>
    </row>
    <row r="441" spans="1:49" ht="30.15" customHeight="1" x14ac:dyDescent="0.25">
      <c r="A441" s="213" t="s">
        <v>18</v>
      </c>
      <c r="B441" s="189" t="s">
        <v>1</v>
      </c>
      <c r="C441" s="212" t="s">
        <v>34</v>
      </c>
      <c r="D441" s="190" t="s">
        <v>90</v>
      </c>
      <c r="E441" s="190" t="s">
        <v>391</v>
      </c>
      <c r="F441" s="203"/>
      <c r="G441" s="190" t="s">
        <v>394</v>
      </c>
      <c r="H441" s="192" t="s">
        <v>409</v>
      </c>
      <c r="I441" s="193">
        <v>649</v>
      </c>
      <c r="J441" s="193">
        <v>649</v>
      </c>
      <c r="K441" s="193">
        <v>649</v>
      </c>
      <c r="L441" s="193">
        <v>670</v>
      </c>
      <c r="M441" s="194">
        <v>670</v>
      </c>
      <c r="N441" s="284">
        <v>134</v>
      </c>
      <c r="O441" s="285" t="s">
        <v>1</v>
      </c>
      <c r="P441" s="285" t="s">
        <v>1</v>
      </c>
      <c r="Q441" s="285" t="s">
        <v>1</v>
      </c>
      <c r="R441" s="285" t="s">
        <v>1</v>
      </c>
      <c r="S441" s="286">
        <v>134</v>
      </c>
      <c r="T441" s="285" t="s">
        <v>1</v>
      </c>
      <c r="U441" s="285" t="s">
        <v>1</v>
      </c>
      <c r="V441" s="285" t="s">
        <v>1</v>
      </c>
      <c r="W441" s="285" t="s">
        <v>1</v>
      </c>
      <c r="X441" s="286">
        <v>134</v>
      </c>
      <c r="Y441" s="285" t="s">
        <v>1</v>
      </c>
      <c r="Z441" s="285" t="s">
        <v>1</v>
      </c>
      <c r="AA441" s="285" t="s">
        <v>1</v>
      </c>
      <c r="AB441" s="285" t="s">
        <v>1</v>
      </c>
      <c r="AC441" s="286">
        <v>134</v>
      </c>
      <c r="AD441" s="285" t="s">
        <v>1</v>
      </c>
      <c r="AE441" s="285" t="s">
        <v>1</v>
      </c>
      <c r="AF441" s="285" t="s">
        <v>1</v>
      </c>
      <c r="AG441" s="285" t="s">
        <v>1</v>
      </c>
      <c r="AH441" s="286" t="s">
        <v>1</v>
      </c>
      <c r="AI441" s="295" t="s">
        <v>1</v>
      </c>
      <c r="AJ441" s="295" t="s">
        <v>1</v>
      </c>
      <c r="AK441" s="295" t="s">
        <v>1</v>
      </c>
      <c r="AL441" s="286" t="s">
        <v>1</v>
      </c>
      <c r="AM441" s="288" t="s">
        <v>1</v>
      </c>
      <c r="AN441" s="287" t="s">
        <v>1</v>
      </c>
      <c r="AO441" s="287" t="s">
        <v>1</v>
      </c>
      <c r="AP441" s="286" t="s">
        <v>1</v>
      </c>
      <c r="AQ441" s="285" t="s">
        <v>1</v>
      </c>
      <c r="AR441" s="289" t="s">
        <v>1</v>
      </c>
      <c r="AS441" s="289" t="s">
        <v>1</v>
      </c>
      <c r="AT441" s="290" t="s">
        <v>1</v>
      </c>
      <c r="AU441" s="287" t="s">
        <v>1</v>
      </c>
      <c r="AV441" s="287" t="s">
        <v>1</v>
      </c>
      <c r="AW441" s="291" t="s">
        <v>1</v>
      </c>
    </row>
    <row r="442" spans="1:49" ht="30.15" customHeight="1" x14ac:dyDescent="0.25">
      <c r="A442" s="213" t="s">
        <v>18</v>
      </c>
      <c r="B442" s="189" t="s">
        <v>1</v>
      </c>
      <c r="C442" s="212" t="s">
        <v>34</v>
      </c>
      <c r="D442" s="190" t="s">
        <v>90</v>
      </c>
      <c r="E442" s="190" t="s">
        <v>392</v>
      </c>
      <c r="F442" s="203"/>
      <c r="G442" s="190" t="s">
        <v>395</v>
      </c>
      <c r="H442" s="192" t="s">
        <v>409</v>
      </c>
      <c r="I442" s="193">
        <v>899</v>
      </c>
      <c r="J442" s="193">
        <v>899</v>
      </c>
      <c r="K442" s="193">
        <v>899</v>
      </c>
      <c r="L442" s="193">
        <v>950</v>
      </c>
      <c r="M442" s="194">
        <v>950</v>
      </c>
      <c r="N442" s="284">
        <v>190</v>
      </c>
      <c r="O442" s="285" t="s">
        <v>1</v>
      </c>
      <c r="P442" s="285" t="s">
        <v>1</v>
      </c>
      <c r="Q442" s="285" t="s">
        <v>1</v>
      </c>
      <c r="R442" s="285" t="s">
        <v>1</v>
      </c>
      <c r="S442" s="286">
        <v>190</v>
      </c>
      <c r="T442" s="285" t="s">
        <v>1</v>
      </c>
      <c r="U442" s="285" t="s">
        <v>1</v>
      </c>
      <c r="V442" s="285" t="s">
        <v>1</v>
      </c>
      <c r="W442" s="285" t="s">
        <v>1</v>
      </c>
      <c r="X442" s="286">
        <v>190</v>
      </c>
      <c r="Y442" s="285" t="s">
        <v>1</v>
      </c>
      <c r="Z442" s="285" t="s">
        <v>1</v>
      </c>
      <c r="AA442" s="285" t="s">
        <v>1</v>
      </c>
      <c r="AB442" s="285" t="s">
        <v>1</v>
      </c>
      <c r="AC442" s="286">
        <v>190</v>
      </c>
      <c r="AD442" s="285" t="s">
        <v>1</v>
      </c>
      <c r="AE442" s="285" t="s">
        <v>1</v>
      </c>
      <c r="AF442" s="285" t="s">
        <v>1</v>
      </c>
      <c r="AG442" s="285" t="s">
        <v>1</v>
      </c>
      <c r="AH442" s="286" t="s">
        <v>1</v>
      </c>
      <c r="AI442" s="295" t="s">
        <v>1</v>
      </c>
      <c r="AJ442" s="295" t="s">
        <v>1</v>
      </c>
      <c r="AK442" s="295" t="s">
        <v>1</v>
      </c>
      <c r="AL442" s="286" t="s">
        <v>1</v>
      </c>
      <c r="AM442" s="288" t="s">
        <v>1</v>
      </c>
      <c r="AN442" s="287" t="s">
        <v>1</v>
      </c>
      <c r="AO442" s="287" t="s">
        <v>1</v>
      </c>
      <c r="AP442" s="286" t="s">
        <v>1</v>
      </c>
      <c r="AQ442" s="285" t="s">
        <v>1</v>
      </c>
      <c r="AR442" s="289" t="s">
        <v>1</v>
      </c>
      <c r="AS442" s="289" t="s">
        <v>1</v>
      </c>
      <c r="AT442" s="290" t="s">
        <v>1</v>
      </c>
      <c r="AU442" s="287" t="s">
        <v>1</v>
      </c>
      <c r="AV442" s="287" t="s">
        <v>1</v>
      </c>
      <c r="AW442" s="291" t="s">
        <v>1</v>
      </c>
    </row>
    <row r="443" spans="1:49" ht="30.15" customHeight="1" x14ac:dyDescent="0.25">
      <c r="A443" s="213" t="s">
        <v>18</v>
      </c>
      <c r="B443" s="189" t="s">
        <v>1</v>
      </c>
      <c r="C443" s="212" t="s">
        <v>34</v>
      </c>
      <c r="D443" s="190" t="s">
        <v>90</v>
      </c>
      <c r="E443" s="190" t="s">
        <v>446</v>
      </c>
      <c r="F443" s="203"/>
      <c r="G443" s="190" t="s">
        <v>395</v>
      </c>
      <c r="H443" s="192" t="s">
        <v>409</v>
      </c>
      <c r="I443" s="193">
        <v>899</v>
      </c>
      <c r="J443" s="193">
        <v>899</v>
      </c>
      <c r="K443" s="193">
        <v>899</v>
      </c>
      <c r="L443" s="193">
        <v>950</v>
      </c>
      <c r="M443" s="194">
        <v>950</v>
      </c>
      <c r="N443" s="284">
        <v>190</v>
      </c>
      <c r="O443" s="285" t="s">
        <v>1</v>
      </c>
      <c r="P443" s="285" t="s">
        <v>1</v>
      </c>
      <c r="Q443" s="285" t="s">
        <v>1</v>
      </c>
      <c r="R443" s="285" t="s">
        <v>1</v>
      </c>
      <c r="S443" s="286">
        <v>190</v>
      </c>
      <c r="T443" s="285" t="s">
        <v>1</v>
      </c>
      <c r="U443" s="285" t="s">
        <v>1</v>
      </c>
      <c r="V443" s="285" t="s">
        <v>1</v>
      </c>
      <c r="W443" s="285" t="s">
        <v>1</v>
      </c>
      <c r="X443" s="286">
        <v>190</v>
      </c>
      <c r="Y443" s="285" t="s">
        <v>1</v>
      </c>
      <c r="Z443" s="285" t="s">
        <v>1</v>
      </c>
      <c r="AA443" s="285" t="s">
        <v>1</v>
      </c>
      <c r="AB443" s="285" t="s">
        <v>1</v>
      </c>
      <c r="AC443" s="286">
        <v>190</v>
      </c>
      <c r="AD443" s="285" t="s">
        <v>1</v>
      </c>
      <c r="AE443" s="285" t="s">
        <v>1</v>
      </c>
      <c r="AF443" s="285" t="s">
        <v>1</v>
      </c>
      <c r="AG443" s="285" t="s">
        <v>1</v>
      </c>
      <c r="AH443" s="286" t="s">
        <v>1</v>
      </c>
      <c r="AI443" s="295" t="s">
        <v>1</v>
      </c>
      <c r="AJ443" s="295" t="s">
        <v>1</v>
      </c>
      <c r="AK443" s="295" t="s">
        <v>1</v>
      </c>
      <c r="AL443" s="286" t="s">
        <v>1</v>
      </c>
      <c r="AM443" s="288" t="s">
        <v>1</v>
      </c>
      <c r="AN443" s="287" t="s">
        <v>1</v>
      </c>
      <c r="AO443" s="287" t="s">
        <v>1</v>
      </c>
      <c r="AP443" s="286" t="s">
        <v>1</v>
      </c>
      <c r="AQ443" s="285" t="s">
        <v>1</v>
      </c>
      <c r="AR443" s="289" t="s">
        <v>1</v>
      </c>
      <c r="AS443" s="289" t="s">
        <v>1</v>
      </c>
      <c r="AT443" s="290" t="s">
        <v>1</v>
      </c>
      <c r="AU443" s="287" t="s">
        <v>1</v>
      </c>
      <c r="AV443" s="287" t="s">
        <v>1</v>
      </c>
      <c r="AW443" s="291" t="s">
        <v>1</v>
      </c>
    </row>
    <row r="444" spans="1:49" ht="30.15" customHeight="1" x14ac:dyDescent="0.25">
      <c r="A444" s="213" t="s">
        <v>18</v>
      </c>
      <c r="B444" s="189" t="s">
        <v>1</v>
      </c>
      <c r="C444" s="212" t="s">
        <v>34</v>
      </c>
      <c r="D444" s="190" t="s">
        <v>90</v>
      </c>
      <c r="E444" s="190" t="s">
        <v>573</v>
      </c>
      <c r="F444" s="203"/>
      <c r="G444" s="190" t="s">
        <v>581</v>
      </c>
      <c r="H444" s="192" t="s">
        <v>409</v>
      </c>
      <c r="I444" s="193">
        <v>1049</v>
      </c>
      <c r="J444" s="193">
        <v>1049</v>
      </c>
      <c r="K444" s="193">
        <v>1049</v>
      </c>
      <c r="L444" s="193">
        <v>1200</v>
      </c>
      <c r="M444" s="194">
        <v>1200</v>
      </c>
      <c r="N444" s="284">
        <v>240</v>
      </c>
      <c r="O444" s="285">
        <v>30</v>
      </c>
      <c r="P444" s="285">
        <v>24</v>
      </c>
      <c r="Q444" s="285" t="s">
        <v>1</v>
      </c>
      <c r="R444" s="285" t="s">
        <v>1</v>
      </c>
      <c r="S444" s="286">
        <v>240</v>
      </c>
      <c r="T444" s="285">
        <v>30</v>
      </c>
      <c r="U444" s="285">
        <v>24</v>
      </c>
      <c r="V444" s="285" t="s">
        <v>1</v>
      </c>
      <c r="W444" s="285" t="s">
        <v>1</v>
      </c>
      <c r="X444" s="286">
        <v>240</v>
      </c>
      <c r="Y444" s="285">
        <v>30</v>
      </c>
      <c r="Z444" s="285">
        <v>24</v>
      </c>
      <c r="AA444" s="285" t="s">
        <v>1</v>
      </c>
      <c r="AB444" s="285" t="s">
        <v>1</v>
      </c>
      <c r="AC444" s="286">
        <v>240</v>
      </c>
      <c r="AD444" s="285">
        <v>30</v>
      </c>
      <c r="AE444" s="285">
        <v>24</v>
      </c>
      <c r="AF444" s="285" t="s">
        <v>1</v>
      </c>
      <c r="AG444" s="285" t="s">
        <v>1</v>
      </c>
      <c r="AH444" s="286" t="s">
        <v>1</v>
      </c>
      <c r="AI444" s="295" t="s">
        <v>1</v>
      </c>
      <c r="AJ444" s="295" t="s">
        <v>1</v>
      </c>
      <c r="AK444" s="295" t="s">
        <v>1</v>
      </c>
      <c r="AL444" s="286" t="s">
        <v>1</v>
      </c>
      <c r="AM444" s="288" t="s">
        <v>1</v>
      </c>
      <c r="AN444" s="287" t="s">
        <v>1</v>
      </c>
      <c r="AO444" s="287" t="s">
        <v>1</v>
      </c>
      <c r="AP444" s="286" t="s">
        <v>1</v>
      </c>
      <c r="AQ444" s="285" t="s">
        <v>1</v>
      </c>
      <c r="AR444" s="289" t="s">
        <v>1</v>
      </c>
      <c r="AS444" s="289" t="s">
        <v>1</v>
      </c>
      <c r="AT444" s="290" t="s">
        <v>1</v>
      </c>
      <c r="AU444" s="287" t="s">
        <v>1</v>
      </c>
      <c r="AV444" s="287" t="s">
        <v>1</v>
      </c>
      <c r="AW444" s="291" t="s">
        <v>1</v>
      </c>
    </row>
    <row r="445" spans="1:49" ht="30.15" customHeight="1" x14ac:dyDescent="0.25">
      <c r="A445" s="213" t="s">
        <v>18</v>
      </c>
      <c r="B445" s="189" t="s">
        <v>1</v>
      </c>
      <c r="C445" s="212" t="s">
        <v>34</v>
      </c>
      <c r="D445" s="190" t="s">
        <v>90</v>
      </c>
      <c r="E445" s="190" t="s">
        <v>574</v>
      </c>
      <c r="F445" s="203"/>
      <c r="G445" s="190" t="s">
        <v>581</v>
      </c>
      <c r="H445" s="192" t="s">
        <v>409</v>
      </c>
      <c r="I445" s="193">
        <v>1049</v>
      </c>
      <c r="J445" s="193">
        <v>1049</v>
      </c>
      <c r="K445" s="193">
        <v>1049</v>
      </c>
      <c r="L445" s="193">
        <v>1200</v>
      </c>
      <c r="M445" s="194">
        <v>1200</v>
      </c>
      <c r="N445" s="284">
        <v>240</v>
      </c>
      <c r="O445" s="285">
        <v>30</v>
      </c>
      <c r="P445" s="285">
        <v>24</v>
      </c>
      <c r="Q445" s="285" t="s">
        <v>1</v>
      </c>
      <c r="R445" s="285" t="s">
        <v>1</v>
      </c>
      <c r="S445" s="286">
        <v>240</v>
      </c>
      <c r="T445" s="285">
        <v>30</v>
      </c>
      <c r="U445" s="285">
        <v>24</v>
      </c>
      <c r="V445" s="285" t="s">
        <v>1</v>
      </c>
      <c r="W445" s="285" t="s">
        <v>1</v>
      </c>
      <c r="X445" s="286">
        <v>240</v>
      </c>
      <c r="Y445" s="285">
        <v>30</v>
      </c>
      <c r="Z445" s="285">
        <v>24</v>
      </c>
      <c r="AA445" s="285" t="s">
        <v>1</v>
      </c>
      <c r="AB445" s="285" t="s">
        <v>1</v>
      </c>
      <c r="AC445" s="286">
        <v>240</v>
      </c>
      <c r="AD445" s="285">
        <v>30</v>
      </c>
      <c r="AE445" s="285">
        <v>24</v>
      </c>
      <c r="AF445" s="285" t="s">
        <v>1</v>
      </c>
      <c r="AG445" s="285" t="s">
        <v>1</v>
      </c>
      <c r="AH445" s="286" t="s">
        <v>1</v>
      </c>
      <c r="AI445" s="295" t="s">
        <v>1</v>
      </c>
      <c r="AJ445" s="295" t="s">
        <v>1</v>
      </c>
      <c r="AK445" s="295" t="s">
        <v>1</v>
      </c>
      <c r="AL445" s="286" t="s">
        <v>1</v>
      </c>
      <c r="AM445" s="288" t="s">
        <v>1</v>
      </c>
      <c r="AN445" s="287" t="s">
        <v>1</v>
      </c>
      <c r="AO445" s="287" t="s">
        <v>1</v>
      </c>
      <c r="AP445" s="286" t="s">
        <v>1</v>
      </c>
      <c r="AQ445" s="285" t="s">
        <v>1</v>
      </c>
      <c r="AR445" s="289" t="s">
        <v>1</v>
      </c>
      <c r="AS445" s="289" t="s">
        <v>1</v>
      </c>
      <c r="AT445" s="290" t="s">
        <v>1</v>
      </c>
      <c r="AU445" s="287" t="s">
        <v>1</v>
      </c>
      <c r="AV445" s="287" t="s">
        <v>1</v>
      </c>
      <c r="AW445" s="291" t="s">
        <v>1</v>
      </c>
    </row>
    <row r="446" spans="1:49" ht="30.15" customHeight="1" x14ac:dyDescent="0.25">
      <c r="A446" s="213" t="s">
        <v>18</v>
      </c>
      <c r="B446" s="189" t="s">
        <v>1</v>
      </c>
      <c r="C446" s="212" t="s">
        <v>34</v>
      </c>
      <c r="D446" s="190" t="s">
        <v>90</v>
      </c>
      <c r="E446" s="190" t="s">
        <v>575</v>
      </c>
      <c r="F446" s="203"/>
      <c r="G446" s="190" t="s">
        <v>583</v>
      </c>
      <c r="H446" s="192" t="s">
        <v>409</v>
      </c>
      <c r="I446" s="193">
        <v>798</v>
      </c>
      <c r="J446" s="193">
        <v>798</v>
      </c>
      <c r="K446" s="193">
        <v>798</v>
      </c>
      <c r="L446" s="193">
        <v>950</v>
      </c>
      <c r="M446" s="194">
        <v>950</v>
      </c>
      <c r="N446" s="284">
        <v>190</v>
      </c>
      <c r="O446" s="285">
        <v>13.34</v>
      </c>
      <c r="P446" s="285">
        <v>24</v>
      </c>
      <c r="Q446" s="285" t="s">
        <v>1</v>
      </c>
      <c r="R446" s="285" t="s">
        <v>1</v>
      </c>
      <c r="S446" s="286">
        <v>190</v>
      </c>
      <c r="T446" s="285">
        <v>13.34</v>
      </c>
      <c r="U446" s="285">
        <v>24</v>
      </c>
      <c r="V446" s="285" t="s">
        <v>1</v>
      </c>
      <c r="W446" s="285" t="s">
        <v>1</v>
      </c>
      <c r="X446" s="286">
        <v>190</v>
      </c>
      <c r="Y446" s="285">
        <v>16.170000000000002</v>
      </c>
      <c r="Z446" s="285">
        <v>24</v>
      </c>
      <c r="AA446" s="285" t="s">
        <v>1</v>
      </c>
      <c r="AB446" s="285" t="s">
        <v>1</v>
      </c>
      <c r="AC446" s="286">
        <v>190</v>
      </c>
      <c r="AD446" s="285">
        <v>16.170000000000002</v>
      </c>
      <c r="AE446" s="285">
        <v>24</v>
      </c>
      <c r="AF446" s="285" t="s">
        <v>1</v>
      </c>
      <c r="AG446" s="285" t="s">
        <v>1</v>
      </c>
      <c r="AH446" s="286" t="s">
        <v>1</v>
      </c>
      <c r="AI446" s="295" t="s">
        <v>1</v>
      </c>
      <c r="AJ446" s="295" t="s">
        <v>1</v>
      </c>
      <c r="AK446" s="295" t="s">
        <v>1</v>
      </c>
      <c r="AL446" s="286" t="s">
        <v>1</v>
      </c>
      <c r="AM446" s="288" t="s">
        <v>1</v>
      </c>
      <c r="AN446" s="287" t="s">
        <v>1</v>
      </c>
      <c r="AO446" s="287" t="s">
        <v>1</v>
      </c>
      <c r="AP446" s="286" t="s">
        <v>1</v>
      </c>
      <c r="AQ446" s="285" t="s">
        <v>1</v>
      </c>
      <c r="AR446" s="289" t="s">
        <v>1</v>
      </c>
      <c r="AS446" s="289" t="s">
        <v>1</v>
      </c>
      <c r="AT446" s="290" t="s">
        <v>1</v>
      </c>
      <c r="AU446" s="287" t="s">
        <v>1</v>
      </c>
      <c r="AV446" s="287" t="s">
        <v>1</v>
      </c>
      <c r="AW446" s="291" t="s">
        <v>1</v>
      </c>
    </row>
    <row r="447" spans="1:49" ht="30.15" customHeight="1" x14ac:dyDescent="0.25">
      <c r="A447" s="213" t="s">
        <v>18</v>
      </c>
      <c r="B447" s="189" t="s">
        <v>1</v>
      </c>
      <c r="C447" s="212" t="s">
        <v>34</v>
      </c>
      <c r="D447" s="190" t="s">
        <v>90</v>
      </c>
      <c r="E447" s="190" t="s">
        <v>576</v>
      </c>
      <c r="F447" s="203"/>
      <c r="G447" s="190" t="s">
        <v>580</v>
      </c>
      <c r="H447" s="192" t="s">
        <v>409</v>
      </c>
      <c r="I447" s="193">
        <v>798</v>
      </c>
      <c r="J447" s="193">
        <v>798</v>
      </c>
      <c r="K447" s="193">
        <v>798</v>
      </c>
      <c r="L447" s="193">
        <v>950</v>
      </c>
      <c r="M447" s="194">
        <v>950</v>
      </c>
      <c r="N447" s="284">
        <v>190</v>
      </c>
      <c r="O447" s="285">
        <v>13.34</v>
      </c>
      <c r="P447" s="285">
        <v>24</v>
      </c>
      <c r="Q447" s="285" t="s">
        <v>1</v>
      </c>
      <c r="R447" s="285" t="s">
        <v>1</v>
      </c>
      <c r="S447" s="286">
        <v>190</v>
      </c>
      <c r="T447" s="285">
        <v>13.34</v>
      </c>
      <c r="U447" s="285">
        <v>24</v>
      </c>
      <c r="V447" s="285" t="s">
        <v>1</v>
      </c>
      <c r="W447" s="285" t="s">
        <v>1</v>
      </c>
      <c r="X447" s="286">
        <v>190</v>
      </c>
      <c r="Y447" s="285">
        <v>16.170000000000002</v>
      </c>
      <c r="Z447" s="285">
        <v>24</v>
      </c>
      <c r="AA447" s="285" t="s">
        <v>1</v>
      </c>
      <c r="AB447" s="285" t="s">
        <v>1</v>
      </c>
      <c r="AC447" s="286">
        <v>190</v>
      </c>
      <c r="AD447" s="285">
        <v>16.170000000000002</v>
      </c>
      <c r="AE447" s="285">
        <v>24</v>
      </c>
      <c r="AF447" s="285" t="s">
        <v>1</v>
      </c>
      <c r="AG447" s="285" t="s">
        <v>1</v>
      </c>
      <c r="AH447" s="286" t="s">
        <v>1</v>
      </c>
      <c r="AI447" s="295" t="s">
        <v>1</v>
      </c>
      <c r="AJ447" s="295" t="s">
        <v>1</v>
      </c>
      <c r="AK447" s="295" t="s">
        <v>1</v>
      </c>
      <c r="AL447" s="286" t="s">
        <v>1</v>
      </c>
      <c r="AM447" s="288" t="s">
        <v>1</v>
      </c>
      <c r="AN447" s="287" t="s">
        <v>1</v>
      </c>
      <c r="AO447" s="287" t="s">
        <v>1</v>
      </c>
      <c r="AP447" s="286" t="s">
        <v>1</v>
      </c>
      <c r="AQ447" s="285" t="s">
        <v>1</v>
      </c>
      <c r="AR447" s="289" t="s">
        <v>1</v>
      </c>
      <c r="AS447" s="289" t="s">
        <v>1</v>
      </c>
      <c r="AT447" s="290" t="s">
        <v>1</v>
      </c>
      <c r="AU447" s="287" t="s">
        <v>1</v>
      </c>
      <c r="AV447" s="287" t="s">
        <v>1</v>
      </c>
      <c r="AW447" s="291" t="s">
        <v>1</v>
      </c>
    </row>
    <row r="448" spans="1:49" ht="30.15" customHeight="1" x14ac:dyDescent="0.25">
      <c r="A448" s="213" t="s">
        <v>18</v>
      </c>
      <c r="B448" s="189" t="s">
        <v>1</v>
      </c>
      <c r="C448" s="212" t="s">
        <v>34</v>
      </c>
      <c r="D448" s="190" t="s">
        <v>90</v>
      </c>
      <c r="E448" s="190" t="s">
        <v>577</v>
      </c>
      <c r="F448" s="203"/>
      <c r="G448" s="190" t="s">
        <v>584</v>
      </c>
      <c r="H448" s="192" t="s">
        <v>409</v>
      </c>
      <c r="I448" s="193">
        <v>419</v>
      </c>
      <c r="J448" s="193">
        <v>419</v>
      </c>
      <c r="K448" s="193">
        <v>419</v>
      </c>
      <c r="L448" s="193">
        <v>480</v>
      </c>
      <c r="M448" s="194">
        <v>480</v>
      </c>
      <c r="N448" s="284">
        <v>96</v>
      </c>
      <c r="O448" s="285">
        <v>6</v>
      </c>
      <c r="P448" s="285">
        <v>24</v>
      </c>
      <c r="Q448" s="285" t="s">
        <v>1</v>
      </c>
      <c r="R448" s="285" t="s">
        <v>1</v>
      </c>
      <c r="S448" s="286">
        <v>96</v>
      </c>
      <c r="T448" s="285">
        <v>6</v>
      </c>
      <c r="U448" s="285">
        <v>24</v>
      </c>
      <c r="V448" s="285" t="s">
        <v>1</v>
      </c>
      <c r="W448" s="285" t="s">
        <v>1</v>
      </c>
      <c r="X448" s="286">
        <v>96</v>
      </c>
      <c r="Y448" s="285">
        <v>8.2999999999999989</v>
      </c>
      <c r="Z448" s="285">
        <v>24</v>
      </c>
      <c r="AA448" s="285" t="s">
        <v>1</v>
      </c>
      <c r="AB448" s="285" t="s">
        <v>1</v>
      </c>
      <c r="AC448" s="286">
        <v>96</v>
      </c>
      <c r="AD448" s="285">
        <v>8.2999999999999989</v>
      </c>
      <c r="AE448" s="285">
        <v>24</v>
      </c>
      <c r="AF448" s="285" t="s">
        <v>1</v>
      </c>
      <c r="AG448" s="285" t="s">
        <v>1</v>
      </c>
      <c r="AH448" s="286">
        <v>96</v>
      </c>
      <c r="AI448" s="295">
        <v>6</v>
      </c>
      <c r="AJ448" s="295">
        <v>24</v>
      </c>
      <c r="AK448" s="295" t="s">
        <v>1</v>
      </c>
      <c r="AL448" s="286" t="s">
        <v>1</v>
      </c>
      <c r="AM448" s="288" t="s">
        <v>1</v>
      </c>
      <c r="AN448" s="287" t="s">
        <v>1</v>
      </c>
      <c r="AO448" s="287" t="s">
        <v>1</v>
      </c>
      <c r="AP448" s="286" t="s">
        <v>1</v>
      </c>
      <c r="AQ448" s="285" t="s">
        <v>1</v>
      </c>
      <c r="AR448" s="289" t="s">
        <v>1</v>
      </c>
      <c r="AS448" s="289" t="s">
        <v>1</v>
      </c>
      <c r="AT448" s="290" t="s">
        <v>1</v>
      </c>
      <c r="AU448" s="287" t="s">
        <v>1</v>
      </c>
      <c r="AV448" s="287" t="s">
        <v>1</v>
      </c>
      <c r="AW448" s="291" t="s">
        <v>1</v>
      </c>
    </row>
    <row r="449" spans="1:49" ht="30.15" customHeight="1" x14ac:dyDescent="0.25">
      <c r="A449" s="213" t="s">
        <v>18</v>
      </c>
      <c r="B449" s="189" t="s">
        <v>1</v>
      </c>
      <c r="C449" s="212" t="s">
        <v>35</v>
      </c>
      <c r="D449" s="190" t="s">
        <v>90</v>
      </c>
      <c r="E449" s="190" t="s">
        <v>397</v>
      </c>
      <c r="F449" s="203"/>
      <c r="G449" s="190" t="s">
        <v>398</v>
      </c>
      <c r="H449" s="192" t="s">
        <v>409</v>
      </c>
      <c r="I449" s="193">
        <v>299</v>
      </c>
      <c r="J449" s="193">
        <v>299</v>
      </c>
      <c r="K449" s="193">
        <v>299</v>
      </c>
      <c r="L449" s="193">
        <v>329</v>
      </c>
      <c r="M449" s="194">
        <v>329</v>
      </c>
      <c r="N449" s="284" t="s">
        <v>1</v>
      </c>
      <c r="O449" s="285" t="s">
        <v>1</v>
      </c>
      <c r="P449" s="285" t="s">
        <v>1</v>
      </c>
      <c r="Q449" s="285" t="s">
        <v>1</v>
      </c>
      <c r="R449" s="285" t="s">
        <v>1</v>
      </c>
      <c r="S449" s="286" t="s">
        <v>1</v>
      </c>
      <c r="T449" s="285" t="s">
        <v>1</v>
      </c>
      <c r="U449" s="285" t="s">
        <v>1</v>
      </c>
      <c r="V449" s="285" t="s">
        <v>1</v>
      </c>
      <c r="W449" s="285" t="s">
        <v>1</v>
      </c>
      <c r="X449" s="286" t="s">
        <v>1</v>
      </c>
      <c r="Y449" s="285" t="s">
        <v>1</v>
      </c>
      <c r="Z449" s="285" t="s">
        <v>1</v>
      </c>
      <c r="AA449" s="285" t="s">
        <v>1</v>
      </c>
      <c r="AB449" s="285" t="s">
        <v>1</v>
      </c>
      <c r="AC449" s="286" t="s">
        <v>1</v>
      </c>
      <c r="AD449" s="285" t="s">
        <v>1</v>
      </c>
      <c r="AE449" s="285" t="s">
        <v>1</v>
      </c>
      <c r="AF449" s="285" t="s">
        <v>1</v>
      </c>
      <c r="AG449" s="285" t="s">
        <v>1</v>
      </c>
      <c r="AH449" s="286" t="s">
        <v>1</v>
      </c>
      <c r="AI449" s="295" t="s">
        <v>1</v>
      </c>
      <c r="AJ449" s="295" t="s">
        <v>1</v>
      </c>
      <c r="AK449" s="295" t="s">
        <v>1</v>
      </c>
      <c r="AL449" s="286">
        <v>65.8</v>
      </c>
      <c r="AM449" s="288" t="s">
        <v>1</v>
      </c>
      <c r="AN449" s="287" t="s">
        <v>1</v>
      </c>
      <c r="AO449" s="287" t="s">
        <v>1</v>
      </c>
      <c r="AP449" s="286" t="s">
        <v>1</v>
      </c>
      <c r="AQ449" s="285" t="s">
        <v>1</v>
      </c>
      <c r="AR449" s="289" t="s">
        <v>1</v>
      </c>
      <c r="AS449" s="289" t="s">
        <v>1</v>
      </c>
      <c r="AT449" s="290" t="s">
        <v>1</v>
      </c>
      <c r="AU449" s="287" t="s">
        <v>1</v>
      </c>
      <c r="AV449" s="287" t="s">
        <v>1</v>
      </c>
      <c r="AW449" s="291" t="s">
        <v>1</v>
      </c>
    </row>
    <row r="450" spans="1:49" ht="30.15" customHeight="1" x14ac:dyDescent="0.25">
      <c r="A450" s="213" t="s">
        <v>18</v>
      </c>
      <c r="B450" s="189" t="s">
        <v>1</v>
      </c>
      <c r="C450" s="212" t="s">
        <v>35</v>
      </c>
      <c r="D450" s="190" t="s">
        <v>90</v>
      </c>
      <c r="E450" s="190" t="s">
        <v>396</v>
      </c>
      <c r="F450" s="203"/>
      <c r="G450" s="190" t="s">
        <v>417</v>
      </c>
      <c r="H450" s="192" t="s">
        <v>415</v>
      </c>
      <c r="I450" s="193">
        <v>0</v>
      </c>
      <c r="J450" s="193">
        <v>0</v>
      </c>
      <c r="K450" s="193">
        <v>0</v>
      </c>
      <c r="L450" s="193">
        <v>0</v>
      </c>
      <c r="M450" s="194">
        <v>0</v>
      </c>
      <c r="N450" s="284" t="s">
        <v>1</v>
      </c>
      <c r="O450" s="285" t="s">
        <v>1</v>
      </c>
      <c r="P450" s="285" t="s">
        <v>1</v>
      </c>
      <c r="Q450" s="285" t="s">
        <v>1</v>
      </c>
      <c r="R450" s="285" t="s">
        <v>1</v>
      </c>
      <c r="S450" s="286" t="s">
        <v>1</v>
      </c>
      <c r="T450" s="285" t="s">
        <v>1</v>
      </c>
      <c r="U450" s="285" t="s">
        <v>1</v>
      </c>
      <c r="V450" s="285" t="s">
        <v>1</v>
      </c>
      <c r="W450" s="285" t="s">
        <v>1</v>
      </c>
      <c r="X450" s="286" t="s">
        <v>1</v>
      </c>
      <c r="Y450" s="285" t="s">
        <v>1</v>
      </c>
      <c r="Z450" s="285" t="s">
        <v>1</v>
      </c>
      <c r="AA450" s="285" t="s">
        <v>1</v>
      </c>
      <c r="AB450" s="285" t="s">
        <v>1</v>
      </c>
      <c r="AC450" s="286" t="s">
        <v>1</v>
      </c>
      <c r="AD450" s="285" t="s">
        <v>1</v>
      </c>
      <c r="AE450" s="285" t="s">
        <v>1</v>
      </c>
      <c r="AF450" s="285" t="s">
        <v>1</v>
      </c>
      <c r="AG450" s="285" t="s">
        <v>1</v>
      </c>
      <c r="AH450" s="286" t="s">
        <v>1</v>
      </c>
      <c r="AI450" s="295" t="s">
        <v>1</v>
      </c>
      <c r="AJ450" s="295" t="s">
        <v>1</v>
      </c>
      <c r="AK450" s="295" t="s">
        <v>1</v>
      </c>
      <c r="AL450" s="286" t="s">
        <v>1</v>
      </c>
      <c r="AM450" s="288" t="s">
        <v>1</v>
      </c>
      <c r="AN450" s="287" t="s">
        <v>1</v>
      </c>
      <c r="AO450" s="287" t="s">
        <v>1</v>
      </c>
      <c r="AP450" s="286" t="s">
        <v>1</v>
      </c>
      <c r="AQ450" s="285" t="s">
        <v>1</v>
      </c>
      <c r="AR450" s="289" t="s">
        <v>1</v>
      </c>
      <c r="AS450" s="289" t="s">
        <v>1</v>
      </c>
      <c r="AT450" s="290" t="s">
        <v>1</v>
      </c>
      <c r="AU450" s="287" t="s">
        <v>1</v>
      </c>
      <c r="AV450" s="287" t="s">
        <v>1</v>
      </c>
      <c r="AW450" s="291" t="s">
        <v>1</v>
      </c>
    </row>
    <row r="451" spans="1:49" ht="30.15" customHeight="1" x14ac:dyDescent="0.25">
      <c r="A451" s="213" t="s">
        <v>18</v>
      </c>
      <c r="B451" s="189" t="s">
        <v>1</v>
      </c>
      <c r="C451" s="212" t="s">
        <v>35</v>
      </c>
      <c r="D451" s="190" t="s">
        <v>90</v>
      </c>
      <c r="E451" s="190" t="s">
        <v>402</v>
      </c>
      <c r="F451" s="203"/>
      <c r="G451" s="190" t="s">
        <v>417</v>
      </c>
      <c r="H451" s="192" t="s">
        <v>416</v>
      </c>
      <c r="I451" s="193">
        <v>0</v>
      </c>
      <c r="J451" s="193">
        <v>0</v>
      </c>
      <c r="K451" s="193">
        <v>0</v>
      </c>
      <c r="L451" s="193">
        <v>0</v>
      </c>
      <c r="M451" s="194">
        <v>0</v>
      </c>
      <c r="N451" s="284" t="s">
        <v>1</v>
      </c>
      <c r="O451" s="285" t="s">
        <v>1</v>
      </c>
      <c r="P451" s="285" t="s">
        <v>1</v>
      </c>
      <c r="Q451" s="285" t="s">
        <v>1</v>
      </c>
      <c r="R451" s="285" t="s">
        <v>1</v>
      </c>
      <c r="S451" s="286" t="s">
        <v>1</v>
      </c>
      <c r="T451" s="285" t="s">
        <v>1</v>
      </c>
      <c r="U451" s="285" t="s">
        <v>1</v>
      </c>
      <c r="V451" s="285" t="s">
        <v>1</v>
      </c>
      <c r="W451" s="285" t="s">
        <v>1</v>
      </c>
      <c r="X451" s="286" t="s">
        <v>1</v>
      </c>
      <c r="Y451" s="285" t="s">
        <v>1</v>
      </c>
      <c r="Z451" s="285" t="s">
        <v>1</v>
      </c>
      <c r="AA451" s="285" t="s">
        <v>1</v>
      </c>
      <c r="AB451" s="285" t="s">
        <v>1</v>
      </c>
      <c r="AC451" s="286" t="s">
        <v>1</v>
      </c>
      <c r="AD451" s="285" t="s">
        <v>1</v>
      </c>
      <c r="AE451" s="285" t="s">
        <v>1</v>
      </c>
      <c r="AF451" s="285" t="s">
        <v>1</v>
      </c>
      <c r="AG451" s="285" t="s">
        <v>1</v>
      </c>
      <c r="AH451" s="286" t="s">
        <v>1</v>
      </c>
      <c r="AI451" s="295" t="s">
        <v>1</v>
      </c>
      <c r="AJ451" s="295" t="s">
        <v>1</v>
      </c>
      <c r="AK451" s="295" t="s">
        <v>1</v>
      </c>
      <c r="AL451" s="286" t="s">
        <v>1</v>
      </c>
      <c r="AM451" s="288" t="s">
        <v>1</v>
      </c>
      <c r="AN451" s="287" t="s">
        <v>1</v>
      </c>
      <c r="AO451" s="287" t="s">
        <v>1</v>
      </c>
      <c r="AP451" s="286" t="s">
        <v>1</v>
      </c>
      <c r="AQ451" s="285" t="s">
        <v>1</v>
      </c>
      <c r="AR451" s="289" t="s">
        <v>1</v>
      </c>
      <c r="AS451" s="289" t="s">
        <v>1</v>
      </c>
      <c r="AT451" s="290" t="s">
        <v>1</v>
      </c>
      <c r="AU451" s="287" t="s">
        <v>1</v>
      </c>
      <c r="AV451" s="287" t="s">
        <v>1</v>
      </c>
      <c r="AW451" s="291" t="s">
        <v>1</v>
      </c>
    </row>
    <row r="452" spans="1:49" ht="30.15" customHeight="1" x14ac:dyDescent="0.25">
      <c r="A452" s="213" t="s">
        <v>18</v>
      </c>
      <c r="B452" s="189" t="s">
        <v>1</v>
      </c>
      <c r="C452" s="212" t="s">
        <v>35</v>
      </c>
      <c r="D452" s="190" t="s">
        <v>90</v>
      </c>
      <c r="E452" s="190" t="s">
        <v>589</v>
      </c>
      <c r="F452" s="203"/>
      <c r="G452" s="190" t="s">
        <v>588</v>
      </c>
      <c r="H452" s="192" t="s">
        <v>409</v>
      </c>
      <c r="I452" s="193">
        <v>330</v>
      </c>
      <c r="J452" s="193">
        <v>330</v>
      </c>
      <c r="K452" s="193">
        <v>330</v>
      </c>
      <c r="L452" s="193">
        <v>360</v>
      </c>
      <c r="M452" s="194">
        <v>360</v>
      </c>
      <c r="N452" s="284" t="s">
        <v>1</v>
      </c>
      <c r="O452" s="285" t="s">
        <v>1</v>
      </c>
      <c r="P452" s="285" t="s">
        <v>1</v>
      </c>
      <c r="Q452" s="285" t="s">
        <v>1</v>
      </c>
      <c r="R452" s="285" t="s">
        <v>1</v>
      </c>
      <c r="S452" s="286" t="s">
        <v>1</v>
      </c>
      <c r="T452" s="285" t="s">
        <v>1</v>
      </c>
      <c r="U452" s="285" t="s">
        <v>1</v>
      </c>
      <c r="V452" s="285" t="s">
        <v>1</v>
      </c>
      <c r="W452" s="285" t="s">
        <v>1</v>
      </c>
      <c r="X452" s="286" t="s">
        <v>1</v>
      </c>
      <c r="Y452" s="285" t="s">
        <v>1</v>
      </c>
      <c r="Z452" s="285" t="s">
        <v>1</v>
      </c>
      <c r="AA452" s="285" t="s">
        <v>1</v>
      </c>
      <c r="AB452" s="285" t="s">
        <v>1</v>
      </c>
      <c r="AC452" s="286" t="s">
        <v>1</v>
      </c>
      <c r="AD452" s="285" t="s">
        <v>1</v>
      </c>
      <c r="AE452" s="285" t="s">
        <v>1</v>
      </c>
      <c r="AF452" s="285" t="s">
        <v>1</v>
      </c>
      <c r="AG452" s="285" t="s">
        <v>1</v>
      </c>
      <c r="AH452" s="286" t="s">
        <v>1</v>
      </c>
      <c r="AI452" s="295" t="s">
        <v>1</v>
      </c>
      <c r="AJ452" s="295" t="s">
        <v>1</v>
      </c>
      <c r="AK452" s="295" t="s">
        <v>1</v>
      </c>
      <c r="AL452" s="286">
        <v>72</v>
      </c>
      <c r="AM452" s="285">
        <v>15</v>
      </c>
      <c r="AN452" s="285">
        <v>24</v>
      </c>
      <c r="AO452" s="285" t="s">
        <v>1</v>
      </c>
      <c r="AP452" s="286" t="s">
        <v>1</v>
      </c>
      <c r="AQ452" s="285" t="s">
        <v>1</v>
      </c>
      <c r="AR452" s="289" t="s">
        <v>1</v>
      </c>
      <c r="AS452" s="289" t="s">
        <v>1</v>
      </c>
      <c r="AT452" s="290" t="s">
        <v>1</v>
      </c>
      <c r="AU452" s="287" t="s">
        <v>1</v>
      </c>
      <c r="AV452" s="287" t="s">
        <v>1</v>
      </c>
      <c r="AW452" s="291" t="s">
        <v>1</v>
      </c>
    </row>
    <row r="453" spans="1:49" ht="30.15" customHeight="1" x14ac:dyDescent="0.25">
      <c r="A453" s="213" t="s">
        <v>18</v>
      </c>
      <c r="B453" s="189" t="s">
        <v>1</v>
      </c>
      <c r="C453" s="212" t="s">
        <v>35</v>
      </c>
      <c r="D453" s="190" t="s">
        <v>90</v>
      </c>
      <c r="E453" s="190" t="s">
        <v>902</v>
      </c>
      <c r="F453" s="203"/>
      <c r="G453" s="190" t="s">
        <v>903</v>
      </c>
      <c r="H453" s="192" t="s">
        <v>409</v>
      </c>
      <c r="I453" s="193">
        <v>330</v>
      </c>
      <c r="J453" s="193">
        <v>330</v>
      </c>
      <c r="K453" s="193">
        <v>330</v>
      </c>
      <c r="L453" s="193">
        <v>360</v>
      </c>
      <c r="M453" s="194">
        <v>360</v>
      </c>
      <c r="N453" s="284" t="s">
        <v>1</v>
      </c>
      <c r="O453" s="285" t="s">
        <v>1</v>
      </c>
      <c r="P453" s="285" t="s">
        <v>1</v>
      </c>
      <c r="Q453" s="285" t="s">
        <v>1</v>
      </c>
      <c r="R453" s="285" t="s">
        <v>1</v>
      </c>
      <c r="S453" s="286" t="s">
        <v>1</v>
      </c>
      <c r="T453" s="285" t="s">
        <v>1</v>
      </c>
      <c r="U453" s="285" t="s">
        <v>1</v>
      </c>
      <c r="V453" s="285" t="s">
        <v>1</v>
      </c>
      <c r="W453" s="285" t="s">
        <v>1</v>
      </c>
      <c r="X453" s="286" t="s">
        <v>1</v>
      </c>
      <c r="Y453" s="285" t="s">
        <v>1</v>
      </c>
      <c r="Z453" s="285" t="s">
        <v>1</v>
      </c>
      <c r="AA453" s="285" t="s">
        <v>1</v>
      </c>
      <c r="AB453" s="285" t="s">
        <v>1</v>
      </c>
      <c r="AC453" s="286" t="s">
        <v>1</v>
      </c>
      <c r="AD453" s="285" t="s">
        <v>1</v>
      </c>
      <c r="AE453" s="285" t="s">
        <v>1</v>
      </c>
      <c r="AF453" s="285" t="s">
        <v>1</v>
      </c>
      <c r="AG453" s="285" t="s">
        <v>1</v>
      </c>
      <c r="AH453" s="286" t="s">
        <v>1</v>
      </c>
      <c r="AI453" s="295" t="s">
        <v>1</v>
      </c>
      <c r="AJ453" s="295" t="s">
        <v>1</v>
      </c>
      <c r="AK453" s="295" t="s">
        <v>1</v>
      </c>
      <c r="AL453" s="286">
        <v>72</v>
      </c>
      <c r="AM453" s="285">
        <v>15</v>
      </c>
      <c r="AN453" s="285">
        <v>24</v>
      </c>
      <c r="AO453" s="285" t="s">
        <v>1</v>
      </c>
      <c r="AP453" s="286" t="s">
        <v>1</v>
      </c>
      <c r="AQ453" s="285" t="s">
        <v>1</v>
      </c>
      <c r="AR453" s="289" t="s">
        <v>1</v>
      </c>
      <c r="AS453" s="289" t="s">
        <v>1</v>
      </c>
      <c r="AT453" s="290" t="s">
        <v>1</v>
      </c>
      <c r="AU453" s="287" t="s">
        <v>1</v>
      </c>
      <c r="AV453" s="287" t="s">
        <v>1</v>
      </c>
      <c r="AW453" s="291" t="s">
        <v>1</v>
      </c>
    </row>
    <row r="454" spans="1:49" ht="30.15" customHeight="1" x14ac:dyDescent="0.25">
      <c r="A454" s="188" t="s">
        <v>18</v>
      </c>
      <c r="B454" s="189" t="s">
        <v>1</v>
      </c>
      <c r="C454" s="212" t="s">
        <v>34</v>
      </c>
      <c r="D454" s="190" t="s">
        <v>5</v>
      </c>
      <c r="E454" s="190" t="s">
        <v>403</v>
      </c>
      <c r="F454" s="203"/>
      <c r="G454" s="190" t="s">
        <v>405</v>
      </c>
      <c r="H454" s="192" t="s">
        <v>409</v>
      </c>
      <c r="I454" s="193">
        <v>723</v>
      </c>
      <c r="J454" s="193">
        <v>723</v>
      </c>
      <c r="K454" s="193">
        <v>723</v>
      </c>
      <c r="L454" s="193">
        <v>1050</v>
      </c>
      <c r="M454" s="194">
        <v>1050</v>
      </c>
      <c r="N454" s="284">
        <v>210</v>
      </c>
      <c r="O454" s="285">
        <v>25</v>
      </c>
      <c r="P454" s="285">
        <v>24</v>
      </c>
      <c r="Q454" s="285" t="s">
        <v>1</v>
      </c>
      <c r="R454" s="285" t="s">
        <v>1</v>
      </c>
      <c r="S454" s="286">
        <v>210</v>
      </c>
      <c r="T454" s="285">
        <v>25</v>
      </c>
      <c r="U454" s="285">
        <v>24</v>
      </c>
      <c r="V454" s="285" t="s">
        <v>1</v>
      </c>
      <c r="W454" s="285" t="s">
        <v>1</v>
      </c>
      <c r="X454" s="286">
        <v>210</v>
      </c>
      <c r="Y454" s="285">
        <v>25</v>
      </c>
      <c r="Z454" s="285">
        <v>24</v>
      </c>
      <c r="AA454" s="285" t="s">
        <v>1</v>
      </c>
      <c r="AB454" s="285" t="s">
        <v>1</v>
      </c>
      <c r="AC454" s="286">
        <v>210</v>
      </c>
      <c r="AD454" s="285">
        <v>25</v>
      </c>
      <c r="AE454" s="285">
        <v>24</v>
      </c>
      <c r="AF454" s="285" t="s">
        <v>1</v>
      </c>
      <c r="AG454" s="285" t="s">
        <v>1</v>
      </c>
      <c r="AH454" s="286" t="s">
        <v>1</v>
      </c>
      <c r="AI454" s="295" t="s">
        <v>1</v>
      </c>
      <c r="AJ454" s="295" t="s">
        <v>1</v>
      </c>
      <c r="AK454" s="295" t="s">
        <v>1</v>
      </c>
      <c r="AL454" s="286" t="s">
        <v>1</v>
      </c>
      <c r="AM454" s="309" t="s">
        <v>1</v>
      </c>
      <c r="AN454" s="287" t="s">
        <v>1</v>
      </c>
      <c r="AO454" s="287" t="s">
        <v>1</v>
      </c>
      <c r="AP454" s="286" t="s">
        <v>1</v>
      </c>
      <c r="AQ454" s="285" t="s">
        <v>1</v>
      </c>
      <c r="AR454" s="289" t="s">
        <v>1</v>
      </c>
      <c r="AS454" s="289" t="s">
        <v>1</v>
      </c>
      <c r="AT454" s="290" t="s">
        <v>1</v>
      </c>
      <c r="AU454" s="287" t="s">
        <v>1</v>
      </c>
      <c r="AV454" s="287" t="s">
        <v>1</v>
      </c>
      <c r="AW454" s="291" t="s">
        <v>1</v>
      </c>
    </row>
    <row r="455" spans="1:49" ht="30.15" customHeight="1" x14ac:dyDescent="0.25">
      <c r="A455" s="188" t="s">
        <v>18</v>
      </c>
      <c r="B455" s="189" t="s">
        <v>1</v>
      </c>
      <c r="C455" s="212" t="s">
        <v>34</v>
      </c>
      <c r="D455" s="190" t="s">
        <v>5</v>
      </c>
      <c r="E455" s="190" t="s">
        <v>404</v>
      </c>
      <c r="F455" s="203"/>
      <c r="G455" s="190" t="s">
        <v>405</v>
      </c>
      <c r="H455" s="192" t="s">
        <v>409</v>
      </c>
      <c r="I455" s="193">
        <v>723</v>
      </c>
      <c r="J455" s="193">
        <v>723</v>
      </c>
      <c r="K455" s="193">
        <v>723</v>
      </c>
      <c r="L455" s="193">
        <v>1050</v>
      </c>
      <c r="M455" s="194">
        <v>1050</v>
      </c>
      <c r="N455" s="284">
        <v>210</v>
      </c>
      <c r="O455" s="285">
        <v>25</v>
      </c>
      <c r="P455" s="285">
        <v>24</v>
      </c>
      <c r="Q455" s="285" t="s">
        <v>1</v>
      </c>
      <c r="R455" s="285" t="s">
        <v>1</v>
      </c>
      <c r="S455" s="286">
        <v>210</v>
      </c>
      <c r="T455" s="285">
        <v>25</v>
      </c>
      <c r="U455" s="285">
        <v>24</v>
      </c>
      <c r="V455" s="285" t="s">
        <v>1</v>
      </c>
      <c r="W455" s="285" t="s">
        <v>1</v>
      </c>
      <c r="X455" s="286">
        <v>210</v>
      </c>
      <c r="Y455" s="285">
        <v>25</v>
      </c>
      <c r="Z455" s="285">
        <v>24</v>
      </c>
      <c r="AA455" s="285" t="s">
        <v>1</v>
      </c>
      <c r="AB455" s="285" t="s">
        <v>1</v>
      </c>
      <c r="AC455" s="286">
        <v>210</v>
      </c>
      <c r="AD455" s="285">
        <v>25</v>
      </c>
      <c r="AE455" s="285">
        <v>24</v>
      </c>
      <c r="AF455" s="285" t="s">
        <v>1</v>
      </c>
      <c r="AG455" s="285" t="s">
        <v>1</v>
      </c>
      <c r="AH455" s="286" t="s">
        <v>1</v>
      </c>
      <c r="AI455" s="295" t="s">
        <v>1</v>
      </c>
      <c r="AJ455" s="295" t="s">
        <v>1</v>
      </c>
      <c r="AK455" s="295" t="s">
        <v>1</v>
      </c>
      <c r="AL455" s="286" t="s">
        <v>1</v>
      </c>
      <c r="AM455" s="309" t="s">
        <v>1</v>
      </c>
      <c r="AN455" s="287" t="s">
        <v>1</v>
      </c>
      <c r="AO455" s="287" t="s">
        <v>1</v>
      </c>
      <c r="AP455" s="286" t="s">
        <v>1</v>
      </c>
      <c r="AQ455" s="285" t="s">
        <v>1</v>
      </c>
      <c r="AR455" s="289" t="s">
        <v>1</v>
      </c>
      <c r="AS455" s="289" t="s">
        <v>1</v>
      </c>
      <c r="AT455" s="290" t="s">
        <v>1</v>
      </c>
      <c r="AU455" s="287" t="s">
        <v>1</v>
      </c>
      <c r="AV455" s="287" t="s">
        <v>1</v>
      </c>
      <c r="AW455" s="291" t="s">
        <v>1</v>
      </c>
    </row>
    <row r="456" spans="1:49" ht="30.15" customHeight="1" x14ac:dyDescent="0.25">
      <c r="A456" s="188" t="s">
        <v>18</v>
      </c>
      <c r="B456" s="189" t="s">
        <v>1</v>
      </c>
      <c r="C456" s="212" t="s">
        <v>34</v>
      </c>
      <c r="D456" s="190" t="s">
        <v>5</v>
      </c>
      <c r="E456" s="190" t="s">
        <v>587</v>
      </c>
      <c r="F456" s="203"/>
      <c r="G456" s="190" t="s">
        <v>582</v>
      </c>
      <c r="H456" s="192" t="s">
        <v>409</v>
      </c>
      <c r="I456" s="193">
        <v>950</v>
      </c>
      <c r="J456" s="193">
        <v>950</v>
      </c>
      <c r="K456" s="193">
        <v>950</v>
      </c>
      <c r="L456" s="193">
        <v>1250</v>
      </c>
      <c r="M456" s="194">
        <v>1250</v>
      </c>
      <c r="N456" s="284">
        <v>250</v>
      </c>
      <c r="O456" s="285">
        <v>17.5</v>
      </c>
      <c r="P456" s="285">
        <v>24</v>
      </c>
      <c r="Q456" s="285" t="s">
        <v>1</v>
      </c>
      <c r="R456" s="285" t="s">
        <v>1</v>
      </c>
      <c r="S456" s="286">
        <v>250</v>
      </c>
      <c r="T456" s="285">
        <v>17.5</v>
      </c>
      <c r="U456" s="285">
        <v>24</v>
      </c>
      <c r="V456" s="285" t="s">
        <v>1</v>
      </c>
      <c r="W456" s="285" t="s">
        <v>1</v>
      </c>
      <c r="X456" s="286">
        <v>250</v>
      </c>
      <c r="Y456" s="285">
        <v>17.5</v>
      </c>
      <c r="Z456" s="285">
        <v>24</v>
      </c>
      <c r="AA456" s="285" t="s">
        <v>1</v>
      </c>
      <c r="AB456" s="285" t="s">
        <v>1</v>
      </c>
      <c r="AC456" s="286">
        <v>250</v>
      </c>
      <c r="AD456" s="285">
        <v>17.5</v>
      </c>
      <c r="AE456" s="285">
        <v>24</v>
      </c>
      <c r="AF456" s="285" t="s">
        <v>1</v>
      </c>
      <c r="AG456" s="285" t="s">
        <v>1</v>
      </c>
      <c r="AH456" s="286" t="s">
        <v>1</v>
      </c>
      <c r="AI456" s="295" t="s">
        <v>1</v>
      </c>
      <c r="AJ456" s="295" t="s">
        <v>1</v>
      </c>
      <c r="AK456" s="295" t="s">
        <v>1</v>
      </c>
      <c r="AL456" s="286" t="s">
        <v>1</v>
      </c>
      <c r="AM456" s="309" t="s">
        <v>1</v>
      </c>
      <c r="AN456" s="287" t="s">
        <v>1</v>
      </c>
      <c r="AO456" s="287" t="s">
        <v>1</v>
      </c>
      <c r="AP456" s="286" t="s">
        <v>1</v>
      </c>
      <c r="AQ456" s="285" t="s">
        <v>1</v>
      </c>
      <c r="AR456" s="289" t="s">
        <v>1</v>
      </c>
      <c r="AS456" s="289" t="s">
        <v>1</v>
      </c>
      <c r="AT456" s="290" t="s">
        <v>1</v>
      </c>
      <c r="AU456" s="287" t="s">
        <v>1</v>
      </c>
      <c r="AV456" s="287" t="s">
        <v>1</v>
      </c>
      <c r="AW456" s="291" t="s">
        <v>1</v>
      </c>
    </row>
    <row r="457" spans="1:49" ht="30.15" customHeight="1" x14ac:dyDescent="0.25">
      <c r="A457" s="188" t="s">
        <v>18</v>
      </c>
      <c r="B457" s="189" t="s">
        <v>1</v>
      </c>
      <c r="C457" s="212" t="s">
        <v>34</v>
      </c>
      <c r="D457" s="217" t="s">
        <v>5</v>
      </c>
      <c r="E457" s="217" t="s">
        <v>911</v>
      </c>
      <c r="F457" s="218"/>
      <c r="G457" s="217" t="s">
        <v>912</v>
      </c>
      <c r="H457" s="192" t="s">
        <v>409</v>
      </c>
      <c r="I457" s="193">
        <v>750</v>
      </c>
      <c r="J457" s="193">
        <v>750</v>
      </c>
      <c r="K457" s="193">
        <v>750</v>
      </c>
      <c r="L457" s="193">
        <v>750</v>
      </c>
      <c r="M457" s="194">
        <v>750</v>
      </c>
      <c r="N457" s="284">
        <v>150</v>
      </c>
      <c r="O457" s="285">
        <v>16.25</v>
      </c>
      <c r="P457" s="285">
        <v>24</v>
      </c>
      <c r="Q457" s="285" t="s">
        <v>1</v>
      </c>
      <c r="R457" s="285" t="s">
        <v>1</v>
      </c>
      <c r="S457" s="286">
        <v>150</v>
      </c>
      <c r="T457" s="285">
        <v>16.25</v>
      </c>
      <c r="U457" s="285">
        <v>24</v>
      </c>
      <c r="V457" s="285" t="s">
        <v>1</v>
      </c>
      <c r="W457" s="285" t="s">
        <v>1</v>
      </c>
      <c r="X457" s="286">
        <v>150</v>
      </c>
      <c r="Y457" s="285">
        <v>16.25</v>
      </c>
      <c r="Z457" s="285">
        <v>24</v>
      </c>
      <c r="AA457" s="285" t="s">
        <v>1</v>
      </c>
      <c r="AB457" s="285" t="s">
        <v>1</v>
      </c>
      <c r="AC457" s="286">
        <v>150</v>
      </c>
      <c r="AD457" s="285">
        <v>16.25</v>
      </c>
      <c r="AE457" s="285">
        <v>24</v>
      </c>
      <c r="AF457" s="285" t="s">
        <v>1</v>
      </c>
      <c r="AG457" s="285" t="s">
        <v>1</v>
      </c>
      <c r="AH457" s="286" t="s">
        <v>1</v>
      </c>
      <c r="AI457" s="295" t="s">
        <v>1</v>
      </c>
      <c r="AJ457" s="295" t="s">
        <v>1</v>
      </c>
      <c r="AK457" s="295" t="s">
        <v>1</v>
      </c>
      <c r="AL457" s="286" t="s">
        <v>1</v>
      </c>
      <c r="AM457" s="309" t="s">
        <v>1</v>
      </c>
      <c r="AN457" s="287" t="s">
        <v>1</v>
      </c>
      <c r="AO457" s="287" t="s">
        <v>1</v>
      </c>
      <c r="AP457" s="286" t="s">
        <v>1</v>
      </c>
      <c r="AQ457" s="285" t="s">
        <v>1</v>
      </c>
      <c r="AR457" s="289" t="s">
        <v>1</v>
      </c>
      <c r="AS457" s="289" t="s">
        <v>1</v>
      </c>
      <c r="AT457" s="290" t="s">
        <v>1</v>
      </c>
      <c r="AU457" s="287" t="s">
        <v>1</v>
      </c>
      <c r="AV457" s="287" t="s">
        <v>1</v>
      </c>
      <c r="AW457" s="291" t="s">
        <v>1</v>
      </c>
    </row>
    <row r="458" spans="1:49" ht="30.15" customHeight="1" x14ac:dyDescent="0.25">
      <c r="A458" s="188" t="s">
        <v>18</v>
      </c>
      <c r="B458" s="189" t="s">
        <v>1</v>
      </c>
      <c r="C458" s="212" t="s">
        <v>34</v>
      </c>
      <c r="D458" s="217" t="s">
        <v>5</v>
      </c>
      <c r="E458" s="217" t="s">
        <v>1025</v>
      </c>
      <c r="F458" s="218"/>
      <c r="G458" s="217" t="s">
        <v>912</v>
      </c>
      <c r="H458" s="192" t="s">
        <v>1026</v>
      </c>
      <c r="I458" s="193">
        <v>750</v>
      </c>
      <c r="J458" s="193">
        <v>750</v>
      </c>
      <c r="K458" s="193">
        <v>750</v>
      </c>
      <c r="L458" s="193">
        <v>750</v>
      </c>
      <c r="M458" s="194">
        <v>750</v>
      </c>
      <c r="N458" s="284">
        <v>150</v>
      </c>
      <c r="O458" s="285">
        <v>16.25</v>
      </c>
      <c r="P458" s="285">
        <v>24</v>
      </c>
      <c r="Q458" s="285" t="s">
        <v>1</v>
      </c>
      <c r="R458" s="285" t="s">
        <v>1</v>
      </c>
      <c r="S458" s="286">
        <v>150</v>
      </c>
      <c r="T458" s="285">
        <v>16.25</v>
      </c>
      <c r="U458" s="285">
        <v>24</v>
      </c>
      <c r="V458" s="285" t="s">
        <v>1</v>
      </c>
      <c r="W458" s="285" t="s">
        <v>1</v>
      </c>
      <c r="X458" s="286">
        <v>150</v>
      </c>
      <c r="Y458" s="285">
        <v>16.25</v>
      </c>
      <c r="Z458" s="285">
        <v>24</v>
      </c>
      <c r="AA458" s="285" t="s">
        <v>1</v>
      </c>
      <c r="AB458" s="285" t="s">
        <v>1</v>
      </c>
      <c r="AC458" s="286">
        <v>150</v>
      </c>
      <c r="AD458" s="285">
        <v>16.25</v>
      </c>
      <c r="AE458" s="285">
        <v>24</v>
      </c>
      <c r="AF458" s="285" t="s">
        <v>1</v>
      </c>
      <c r="AG458" s="285" t="s">
        <v>1</v>
      </c>
      <c r="AH458" s="286" t="s">
        <v>1</v>
      </c>
      <c r="AI458" s="295" t="s">
        <v>1</v>
      </c>
      <c r="AJ458" s="295" t="s">
        <v>1</v>
      </c>
      <c r="AK458" s="295" t="s">
        <v>1</v>
      </c>
      <c r="AL458" s="286" t="s">
        <v>1</v>
      </c>
      <c r="AM458" s="309" t="s">
        <v>1</v>
      </c>
      <c r="AN458" s="287" t="s">
        <v>1</v>
      </c>
      <c r="AO458" s="287" t="s">
        <v>1</v>
      </c>
      <c r="AP458" s="286" t="s">
        <v>1</v>
      </c>
      <c r="AQ458" s="285" t="s">
        <v>1</v>
      </c>
      <c r="AR458" s="289" t="s">
        <v>1</v>
      </c>
      <c r="AS458" s="289" t="s">
        <v>1</v>
      </c>
      <c r="AT458" s="290" t="s">
        <v>1</v>
      </c>
      <c r="AU458" s="287" t="s">
        <v>1</v>
      </c>
      <c r="AV458" s="287" t="s">
        <v>1</v>
      </c>
      <c r="AW458" s="291" t="s">
        <v>1</v>
      </c>
    </row>
    <row r="459" spans="1:49" ht="30.15" customHeight="1" x14ac:dyDescent="0.25">
      <c r="A459" s="188" t="s">
        <v>18</v>
      </c>
      <c r="B459" s="189" t="s">
        <v>1</v>
      </c>
      <c r="C459" s="212" t="s">
        <v>34</v>
      </c>
      <c r="D459" s="190" t="s">
        <v>145</v>
      </c>
      <c r="E459" s="190" t="s">
        <v>344</v>
      </c>
      <c r="F459" s="203"/>
      <c r="G459" s="190" t="s">
        <v>343</v>
      </c>
      <c r="H459" s="192" t="s">
        <v>409</v>
      </c>
      <c r="I459" s="193">
        <v>333</v>
      </c>
      <c r="J459" s="193">
        <v>333</v>
      </c>
      <c r="K459" s="193">
        <v>333</v>
      </c>
      <c r="L459" s="193">
        <v>240</v>
      </c>
      <c r="M459" s="194">
        <v>240</v>
      </c>
      <c r="N459" s="284">
        <v>48</v>
      </c>
      <c r="O459" s="285" t="s">
        <v>1</v>
      </c>
      <c r="P459" s="285" t="s">
        <v>1</v>
      </c>
      <c r="Q459" s="285" t="s">
        <v>1</v>
      </c>
      <c r="R459" s="285" t="s">
        <v>1</v>
      </c>
      <c r="S459" s="286">
        <v>48</v>
      </c>
      <c r="T459" s="285" t="s">
        <v>1</v>
      </c>
      <c r="U459" s="285" t="s">
        <v>1</v>
      </c>
      <c r="V459" s="285" t="s">
        <v>1</v>
      </c>
      <c r="W459" s="285" t="s">
        <v>1</v>
      </c>
      <c r="X459" s="286">
        <v>48</v>
      </c>
      <c r="Y459" s="285" t="s">
        <v>1</v>
      </c>
      <c r="Z459" s="285" t="s">
        <v>1</v>
      </c>
      <c r="AA459" s="285" t="s">
        <v>1</v>
      </c>
      <c r="AB459" s="285" t="s">
        <v>1</v>
      </c>
      <c r="AC459" s="286">
        <v>48</v>
      </c>
      <c r="AD459" s="285" t="s">
        <v>1</v>
      </c>
      <c r="AE459" s="285" t="s">
        <v>1</v>
      </c>
      <c r="AF459" s="285" t="s">
        <v>1</v>
      </c>
      <c r="AG459" s="285" t="s">
        <v>1</v>
      </c>
      <c r="AH459" s="286">
        <v>48</v>
      </c>
      <c r="AI459" s="295" t="s">
        <v>1</v>
      </c>
      <c r="AJ459" s="295" t="s">
        <v>1</v>
      </c>
      <c r="AK459" s="295" t="s">
        <v>1</v>
      </c>
      <c r="AL459" s="286" t="s">
        <v>1</v>
      </c>
      <c r="AM459" s="309" t="s">
        <v>1</v>
      </c>
      <c r="AN459" s="287" t="s">
        <v>1</v>
      </c>
      <c r="AO459" s="287" t="s">
        <v>1</v>
      </c>
      <c r="AP459" s="286" t="s">
        <v>1</v>
      </c>
      <c r="AQ459" s="285" t="s">
        <v>1</v>
      </c>
      <c r="AR459" s="289" t="s">
        <v>1</v>
      </c>
      <c r="AS459" s="289" t="s">
        <v>1</v>
      </c>
      <c r="AT459" s="290" t="s">
        <v>1</v>
      </c>
      <c r="AU459" s="287" t="s">
        <v>1</v>
      </c>
      <c r="AV459" s="287" t="s">
        <v>1</v>
      </c>
      <c r="AW459" s="291" t="s">
        <v>1</v>
      </c>
    </row>
    <row r="460" spans="1:49" ht="30.15" customHeight="1" x14ac:dyDescent="0.25">
      <c r="A460" s="190" t="s">
        <v>18</v>
      </c>
      <c r="B460" s="189" t="s">
        <v>1</v>
      </c>
      <c r="C460" s="212" t="s">
        <v>34</v>
      </c>
      <c r="D460" s="190" t="s">
        <v>6</v>
      </c>
      <c r="E460" s="190" t="s">
        <v>530</v>
      </c>
      <c r="F460" s="203"/>
      <c r="G460" s="190" t="s">
        <v>529</v>
      </c>
      <c r="H460" s="192" t="s">
        <v>409</v>
      </c>
      <c r="I460" s="193">
        <v>279</v>
      </c>
      <c r="J460" s="193">
        <v>279</v>
      </c>
      <c r="K460" s="193">
        <v>279</v>
      </c>
      <c r="L460" s="193">
        <v>230</v>
      </c>
      <c r="M460" s="194">
        <v>230</v>
      </c>
      <c r="N460" s="284">
        <v>46</v>
      </c>
      <c r="O460" s="285" t="s">
        <v>1</v>
      </c>
      <c r="P460" s="285" t="s">
        <v>1</v>
      </c>
      <c r="Q460" s="285" t="s">
        <v>1</v>
      </c>
      <c r="R460" s="285" t="s">
        <v>1</v>
      </c>
      <c r="S460" s="286">
        <v>46</v>
      </c>
      <c r="T460" s="285" t="s">
        <v>1</v>
      </c>
      <c r="U460" s="285" t="s">
        <v>1</v>
      </c>
      <c r="V460" s="285" t="s">
        <v>1</v>
      </c>
      <c r="W460" s="285" t="s">
        <v>1</v>
      </c>
      <c r="X460" s="286">
        <v>46</v>
      </c>
      <c r="Y460" s="285" t="s">
        <v>1</v>
      </c>
      <c r="Z460" s="285" t="s">
        <v>1</v>
      </c>
      <c r="AA460" s="285" t="s">
        <v>1</v>
      </c>
      <c r="AB460" s="285" t="s">
        <v>1</v>
      </c>
      <c r="AC460" s="286">
        <v>46</v>
      </c>
      <c r="AD460" s="285" t="s">
        <v>1</v>
      </c>
      <c r="AE460" s="285" t="s">
        <v>1</v>
      </c>
      <c r="AF460" s="285" t="s">
        <v>1</v>
      </c>
      <c r="AG460" s="285" t="s">
        <v>1</v>
      </c>
      <c r="AH460" s="286">
        <v>46</v>
      </c>
      <c r="AI460" s="295" t="s">
        <v>1</v>
      </c>
      <c r="AJ460" s="295" t="s">
        <v>1</v>
      </c>
      <c r="AK460" s="295" t="s">
        <v>1</v>
      </c>
      <c r="AL460" s="286" t="s">
        <v>1</v>
      </c>
      <c r="AM460" s="309" t="s">
        <v>1</v>
      </c>
      <c r="AN460" s="287" t="s">
        <v>1</v>
      </c>
      <c r="AO460" s="287" t="s">
        <v>1</v>
      </c>
      <c r="AP460" s="286" t="s">
        <v>1</v>
      </c>
      <c r="AQ460" s="285" t="s">
        <v>1</v>
      </c>
      <c r="AR460" s="289" t="s">
        <v>1</v>
      </c>
      <c r="AS460" s="289" t="s">
        <v>1</v>
      </c>
      <c r="AT460" s="290" t="s">
        <v>1</v>
      </c>
      <c r="AU460" s="287" t="s">
        <v>1</v>
      </c>
      <c r="AV460" s="287" t="s">
        <v>1</v>
      </c>
      <c r="AW460" s="291" t="s">
        <v>1</v>
      </c>
    </row>
    <row r="461" spans="1:49" ht="30.15" customHeight="1" x14ac:dyDescent="0.25">
      <c r="A461" s="190" t="s">
        <v>18</v>
      </c>
      <c r="B461" s="189" t="s">
        <v>1</v>
      </c>
      <c r="C461" s="212" t="s">
        <v>34</v>
      </c>
      <c r="D461" s="190" t="s">
        <v>6</v>
      </c>
      <c r="E461" s="190" t="s">
        <v>585</v>
      </c>
      <c r="F461" s="203"/>
      <c r="G461" s="190" t="s">
        <v>586</v>
      </c>
      <c r="H461" s="192" t="s">
        <v>409</v>
      </c>
      <c r="I461" s="193">
        <v>280</v>
      </c>
      <c r="J461" s="193">
        <v>280</v>
      </c>
      <c r="K461" s="193">
        <v>280</v>
      </c>
      <c r="L461" s="193">
        <v>250</v>
      </c>
      <c r="M461" s="194">
        <v>250</v>
      </c>
      <c r="N461" s="284">
        <v>50</v>
      </c>
      <c r="O461" s="285">
        <v>5.42</v>
      </c>
      <c r="P461" s="285">
        <v>24</v>
      </c>
      <c r="Q461" s="285" t="s">
        <v>1</v>
      </c>
      <c r="R461" s="285" t="s">
        <v>1</v>
      </c>
      <c r="S461" s="286">
        <v>50</v>
      </c>
      <c r="T461" s="285">
        <v>5.42</v>
      </c>
      <c r="U461" s="285">
        <v>24</v>
      </c>
      <c r="V461" s="285" t="s">
        <v>1</v>
      </c>
      <c r="W461" s="285" t="s">
        <v>1</v>
      </c>
      <c r="X461" s="286">
        <v>50</v>
      </c>
      <c r="Y461" s="285">
        <v>5.42</v>
      </c>
      <c r="Z461" s="285">
        <v>24</v>
      </c>
      <c r="AA461" s="285" t="s">
        <v>1</v>
      </c>
      <c r="AB461" s="285" t="s">
        <v>1</v>
      </c>
      <c r="AC461" s="286">
        <v>50</v>
      </c>
      <c r="AD461" s="285">
        <v>5.42</v>
      </c>
      <c r="AE461" s="285">
        <v>24</v>
      </c>
      <c r="AF461" s="285" t="s">
        <v>1</v>
      </c>
      <c r="AG461" s="285" t="s">
        <v>1</v>
      </c>
      <c r="AH461" s="286">
        <v>50</v>
      </c>
      <c r="AI461" s="295" t="s">
        <v>1</v>
      </c>
      <c r="AJ461" s="295" t="s">
        <v>1</v>
      </c>
      <c r="AK461" s="295" t="s">
        <v>1</v>
      </c>
      <c r="AL461" s="286" t="s">
        <v>1</v>
      </c>
      <c r="AM461" s="309" t="s">
        <v>1</v>
      </c>
      <c r="AN461" s="287" t="s">
        <v>1</v>
      </c>
      <c r="AO461" s="287" t="s">
        <v>1</v>
      </c>
      <c r="AP461" s="286" t="s">
        <v>1</v>
      </c>
      <c r="AQ461" s="285" t="s">
        <v>1</v>
      </c>
      <c r="AR461" s="289" t="s">
        <v>1</v>
      </c>
      <c r="AS461" s="289" t="s">
        <v>1</v>
      </c>
      <c r="AT461" s="290" t="s">
        <v>1</v>
      </c>
      <c r="AU461" s="287" t="s">
        <v>1</v>
      </c>
      <c r="AV461" s="287" t="s">
        <v>1</v>
      </c>
      <c r="AW461" s="291" t="s">
        <v>1</v>
      </c>
    </row>
    <row r="462" spans="1:49" ht="30.15" customHeight="1" x14ac:dyDescent="0.25">
      <c r="A462" s="190" t="s">
        <v>18</v>
      </c>
      <c r="B462" s="189" t="s">
        <v>1</v>
      </c>
      <c r="C462" s="212" t="s">
        <v>34</v>
      </c>
      <c r="D462" s="190" t="s">
        <v>6</v>
      </c>
      <c r="E462" s="190" t="s">
        <v>928</v>
      </c>
      <c r="F462" s="203"/>
      <c r="G462" s="190" t="s">
        <v>929</v>
      </c>
      <c r="H462" s="192" t="s">
        <v>409</v>
      </c>
      <c r="I462" s="193">
        <v>200</v>
      </c>
      <c r="J462" s="193">
        <v>200</v>
      </c>
      <c r="K462" s="193">
        <v>200</v>
      </c>
      <c r="L462" s="193">
        <v>240</v>
      </c>
      <c r="M462" s="194">
        <v>240</v>
      </c>
      <c r="N462" s="284">
        <v>48</v>
      </c>
      <c r="O462" s="285">
        <v>0</v>
      </c>
      <c r="P462" s="285">
        <v>24</v>
      </c>
      <c r="Q462" s="285" t="s">
        <v>1</v>
      </c>
      <c r="R462" s="285" t="s">
        <v>1</v>
      </c>
      <c r="S462" s="286">
        <v>48</v>
      </c>
      <c r="T462" s="285">
        <v>0</v>
      </c>
      <c r="U462" s="285">
        <v>24</v>
      </c>
      <c r="V462" s="285" t="s">
        <v>1</v>
      </c>
      <c r="W462" s="285" t="s">
        <v>1</v>
      </c>
      <c r="X462" s="286">
        <v>48</v>
      </c>
      <c r="Y462" s="285">
        <v>9</v>
      </c>
      <c r="Z462" s="285">
        <v>24</v>
      </c>
      <c r="AA462" s="285" t="s">
        <v>1</v>
      </c>
      <c r="AB462" s="285" t="s">
        <v>1</v>
      </c>
      <c r="AC462" s="286">
        <v>48</v>
      </c>
      <c r="AD462" s="285">
        <v>9</v>
      </c>
      <c r="AE462" s="285">
        <v>24</v>
      </c>
      <c r="AF462" s="285" t="s">
        <v>1</v>
      </c>
      <c r="AG462" s="285" t="s">
        <v>1</v>
      </c>
      <c r="AH462" s="286">
        <v>48</v>
      </c>
      <c r="AI462" s="295" t="s">
        <v>1</v>
      </c>
      <c r="AJ462" s="295" t="s">
        <v>1</v>
      </c>
      <c r="AK462" s="295" t="s">
        <v>1</v>
      </c>
      <c r="AL462" s="286" t="s">
        <v>1</v>
      </c>
      <c r="AM462" s="309" t="s">
        <v>1</v>
      </c>
      <c r="AN462" s="287" t="s">
        <v>1</v>
      </c>
      <c r="AO462" s="287" t="s">
        <v>1</v>
      </c>
      <c r="AP462" s="286" t="s">
        <v>1</v>
      </c>
      <c r="AQ462" s="285" t="s">
        <v>1</v>
      </c>
      <c r="AR462" s="289" t="s">
        <v>1</v>
      </c>
      <c r="AS462" s="289" t="s">
        <v>1</v>
      </c>
      <c r="AT462" s="290" t="s">
        <v>1</v>
      </c>
      <c r="AU462" s="287" t="s">
        <v>1</v>
      </c>
      <c r="AV462" s="287" t="s">
        <v>1</v>
      </c>
      <c r="AW462" s="291" t="s">
        <v>1</v>
      </c>
    </row>
    <row r="463" spans="1:49" ht="30.15" customHeight="1" x14ac:dyDescent="0.25">
      <c r="A463" s="190" t="s">
        <v>18</v>
      </c>
      <c r="B463" s="189" t="s">
        <v>1</v>
      </c>
      <c r="C463" s="212" t="s">
        <v>34</v>
      </c>
      <c r="D463" s="190" t="s">
        <v>6</v>
      </c>
      <c r="E463" s="190" t="s">
        <v>1020</v>
      </c>
      <c r="F463" s="203"/>
      <c r="G463" s="190" t="s">
        <v>1021</v>
      </c>
      <c r="H463" s="192" t="s">
        <v>409</v>
      </c>
      <c r="I463" s="193">
        <v>300</v>
      </c>
      <c r="J463" s="193">
        <v>300</v>
      </c>
      <c r="K463" s="193">
        <v>300</v>
      </c>
      <c r="L463" s="193">
        <v>360</v>
      </c>
      <c r="M463" s="194">
        <v>360</v>
      </c>
      <c r="N463" s="284">
        <v>72</v>
      </c>
      <c r="O463" s="285">
        <v>1.46</v>
      </c>
      <c r="P463" s="285">
        <v>24</v>
      </c>
      <c r="Q463" s="285" t="s">
        <v>1</v>
      </c>
      <c r="R463" s="285" t="s">
        <v>1</v>
      </c>
      <c r="S463" s="286">
        <v>72</v>
      </c>
      <c r="T463" s="285">
        <v>1.46</v>
      </c>
      <c r="U463" s="285">
        <v>24</v>
      </c>
      <c r="V463" s="285" t="s">
        <v>1</v>
      </c>
      <c r="W463" s="285" t="s">
        <v>1</v>
      </c>
      <c r="X463" s="286">
        <v>72</v>
      </c>
      <c r="Y463" s="285">
        <v>14</v>
      </c>
      <c r="Z463" s="285">
        <v>24</v>
      </c>
      <c r="AA463" s="285" t="s">
        <v>1</v>
      </c>
      <c r="AB463" s="285" t="s">
        <v>1</v>
      </c>
      <c r="AC463" s="286">
        <v>72</v>
      </c>
      <c r="AD463" s="285">
        <v>14</v>
      </c>
      <c r="AE463" s="285">
        <v>24</v>
      </c>
      <c r="AF463" s="285" t="s">
        <v>1</v>
      </c>
      <c r="AG463" s="285" t="s">
        <v>1</v>
      </c>
      <c r="AH463" s="286">
        <v>72</v>
      </c>
      <c r="AI463" s="295" t="s">
        <v>1</v>
      </c>
      <c r="AJ463" s="295" t="s">
        <v>1</v>
      </c>
      <c r="AK463" s="295" t="s">
        <v>1</v>
      </c>
      <c r="AL463" s="286" t="s">
        <v>1</v>
      </c>
      <c r="AM463" s="309" t="s">
        <v>1</v>
      </c>
      <c r="AN463" s="287" t="s">
        <v>1</v>
      </c>
      <c r="AO463" s="287" t="s">
        <v>1</v>
      </c>
      <c r="AP463" s="286" t="s">
        <v>1</v>
      </c>
      <c r="AQ463" s="285" t="s">
        <v>1</v>
      </c>
      <c r="AR463" s="289" t="s">
        <v>1</v>
      </c>
      <c r="AS463" s="289" t="s">
        <v>1</v>
      </c>
      <c r="AT463" s="290" t="s">
        <v>1</v>
      </c>
      <c r="AU463" s="287" t="s">
        <v>1</v>
      </c>
      <c r="AV463" s="287" t="s">
        <v>1</v>
      </c>
      <c r="AW463" s="291" t="s">
        <v>1</v>
      </c>
    </row>
    <row r="464" spans="1:49" ht="30.15" customHeight="1" x14ac:dyDescent="0.25">
      <c r="A464" s="188" t="s">
        <v>18</v>
      </c>
      <c r="B464" s="188" t="s">
        <v>1</v>
      </c>
      <c r="C464" s="212" t="s">
        <v>34</v>
      </c>
      <c r="D464" s="190" t="s">
        <v>6</v>
      </c>
      <c r="E464" s="190" t="s">
        <v>723</v>
      </c>
      <c r="F464" s="203"/>
      <c r="G464" s="190" t="s">
        <v>722</v>
      </c>
      <c r="H464" s="192" t="s">
        <v>409</v>
      </c>
      <c r="I464" s="193">
        <v>150</v>
      </c>
      <c r="J464" s="193">
        <v>150</v>
      </c>
      <c r="K464" s="193">
        <v>150</v>
      </c>
      <c r="L464" s="193">
        <v>150</v>
      </c>
      <c r="M464" s="194">
        <v>150</v>
      </c>
      <c r="N464" s="284">
        <v>30</v>
      </c>
      <c r="O464" s="285" t="s">
        <v>1</v>
      </c>
      <c r="P464" s="285" t="s">
        <v>1</v>
      </c>
      <c r="Q464" s="285" t="s">
        <v>1</v>
      </c>
      <c r="R464" s="285" t="s">
        <v>1</v>
      </c>
      <c r="S464" s="286">
        <v>30</v>
      </c>
      <c r="T464" s="285" t="s">
        <v>1</v>
      </c>
      <c r="U464" s="285" t="s">
        <v>1</v>
      </c>
      <c r="V464" s="285" t="s">
        <v>1</v>
      </c>
      <c r="W464" s="285" t="s">
        <v>1</v>
      </c>
      <c r="X464" s="286">
        <v>30</v>
      </c>
      <c r="Y464" s="285" t="s">
        <v>1</v>
      </c>
      <c r="Z464" s="285" t="s">
        <v>1</v>
      </c>
      <c r="AA464" s="285" t="s">
        <v>1</v>
      </c>
      <c r="AB464" s="285" t="s">
        <v>1</v>
      </c>
      <c r="AC464" s="286">
        <v>30</v>
      </c>
      <c r="AD464" s="285" t="s">
        <v>1</v>
      </c>
      <c r="AE464" s="285" t="s">
        <v>1</v>
      </c>
      <c r="AF464" s="285" t="s">
        <v>1</v>
      </c>
      <c r="AG464" s="285" t="s">
        <v>1</v>
      </c>
      <c r="AH464" s="286">
        <v>30</v>
      </c>
      <c r="AI464" s="295" t="s">
        <v>1</v>
      </c>
      <c r="AJ464" s="295" t="s">
        <v>1</v>
      </c>
      <c r="AK464" s="295" t="s">
        <v>1</v>
      </c>
      <c r="AL464" s="286" t="s">
        <v>1</v>
      </c>
      <c r="AM464" s="309" t="s">
        <v>1</v>
      </c>
      <c r="AN464" s="287" t="s">
        <v>1</v>
      </c>
      <c r="AO464" s="287" t="s">
        <v>1</v>
      </c>
      <c r="AP464" s="286" t="s">
        <v>1</v>
      </c>
      <c r="AQ464" s="285" t="s">
        <v>1</v>
      </c>
      <c r="AR464" s="289" t="s">
        <v>1</v>
      </c>
      <c r="AS464" s="289" t="s">
        <v>1</v>
      </c>
      <c r="AT464" s="290" t="s">
        <v>1</v>
      </c>
      <c r="AU464" s="287" t="s">
        <v>1</v>
      </c>
      <c r="AV464" s="287" t="s">
        <v>1</v>
      </c>
      <c r="AW464" s="291" t="s">
        <v>1</v>
      </c>
    </row>
    <row r="465" spans="1:49" ht="30.15" customHeight="1" x14ac:dyDescent="0.25">
      <c r="A465" s="188" t="s">
        <v>18</v>
      </c>
      <c r="B465" s="188" t="s">
        <v>1</v>
      </c>
      <c r="C465" s="212" t="s">
        <v>34</v>
      </c>
      <c r="D465" s="190" t="s">
        <v>6</v>
      </c>
      <c r="E465" s="190" t="s">
        <v>904</v>
      </c>
      <c r="F465" s="203"/>
      <c r="G465" s="190" t="s">
        <v>905</v>
      </c>
      <c r="H465" s="192" t="s">
        <v>409</v>
      </c>
      <c r="I465" s="193">
        <v>150</v>
      </c>
      <c r="J465" s="193">
        <v>150</v>
      </c>
      <c r="K465" s="193">
        <v>150</v>
      </c>
      <c r="L465" s="193">
        <v>150</v>
      </c>
      <c r="M465" s="194">
        <v>150</v>
      </c>
      <c r="N465" s="284">
        <v>30</v>
      </c>
      <c r="O465" s="285" t="s">
        <v>1</v>
      </c>
      <c r="P465" s="285" t="s">
        <v>1</v>
      </c>
      <c r="Q465" s="285" t="s">
        <v>1</v>
      </c>
      <c r="R465" s="285" t="s">
        <v>1</v>
      </c>
      <c r="S465" s="286">
        <v>30</v>
      </c>
      <c r="T465" s="285" t="s">
        <v>1</v>
      </c>
      <c r="U465" s="285" t="s">
        <v>1</v>
      </c>
      <c r="V465" s="285" t="s">
        <v>1</v>
      </c>
      <c r="W465" s="285" t="s">
        <v>1</v>
      </c>
      <c r="X465" s="286">
        <v>30</v>
      </c>
      <c r="Y465" s="285" t="s">
        <v>1</v>
      </c>
      <c r="Z465" s="285" t="s">
        <v>1</v>
      </c>
      <c r="AA465" s="285" t="s">
        <v>1</v>
      </c>
      <c r="AB465" s="285" t="s">
        <v>1</v>
      </c>
      <c r="AC465" s="286">
        <v>30</v>
      </c>
      <c r="AD465" s="285" t="s">
        <v>1</v>
      </c>
      <c r="AE465" s="285" t="s">
        <v>1</v>
      </c>
      <c r="AF465" s="285" t="s">
        <v>1</v>
      </c>
      <c r="AG465" s="285" t="s">
        <v>1</v>
      </c>
      <c r="AH465" s="286">
        <v>30</v>
      </c>
      <c r="AI465" s="295" t="s">
        <v>1</v>
      </c>
      <c r="AJ465" s="295" t="s">
        <v>1</v>
      </c>
      <c r="AK465" s="295" t="s">
        <v>1</v>
      </c>
      <c r="AL465" s="286" t="s">
        <v>1</v>
      </c>
      <c r="AM465" s="309" t="s">
        <v>1</v>
      </c>
      <c r="AN465" s="287" t="s">
        <v>1</v>
      </c>
      <c r="AO465" s="287" t="s">
        <v>1</v>
      </c>
      <c r="AP465" s="286" t="s">
        <v>1</v>
      </c>
      <c r="AQ465" s="285" t="s">
        <v>1</v>
      </c>
      <c r="AR465" s="289" t="s">
        <v>1</v>
      </c>
      <c r="AS465" s="289" t="s">
        <v>1</v>
      </c>
      <c r="AT465" s="290" t="s">
        <v>1</v>
      </c>
      <c r="AU465" s="287" t="s">
        <v>1</v>
      </c>
      <c r="AV465" s="287" t="s">
        <v>1</v>
      </c>
      <c r="AW465" s="291" t="s">
        <v>1</v>
      </c>
    </row>
    <row r="466" spans="1:49" ht="30.15" customHeight="1" x14ac:dyDescent="0.25">
      <c r="A466" s="188" t="s">
        <v>18</v>
      </c>
      <c r="B466" s="188" t="s">
        <v>1</v>
      </c>
      <c r="C466" s="212" t="s">
        <v>34</v>
      </c>
      <c r="D466" s="190" t="s">
        <v>6</v>
      </c>
      <c r="E466" s="190" t="s">
        <v>1229</v>
      </c>
      <c r="F466" s="203"/>
      <c r="G466" s="190" t="s">
        <v>1231</v>
      </c>
      <c r="H466" s="192" t="s">
        <v>409</v>
      </c>
      <c r="I466" s="193">
        <v>0</v>
      </c>
      <c r="J466" s="193">
        <v>0</v>
      </c>
      <c r="K466" s="193">
        <v>0</v>
      </c>
      <c r="L466" s="193">
        <v>0</v>
      </c>
      <c r="M466" s="194">
        <v>0</v>
      </c>
      <c r="N466" s="284" t="s">
        <v>1</v>
      </c>
      <c r="O466" s="285" t="s">
        <v>1</v>
      </c>
      <c r="P466" s="285" t="s">
        <v>1</v>
      </c>
      <c r="Q466" s="285" t="s">
        <v>1</v>
      </c>
      <c r="R466" s="285" t="s">
        <v>1</v>
      </c>
      <c r="S466" s="286" t="s">
        <v>1</v>
      </c>
      <c r="T466" s="285" t="s">
        <v>1</v>
      </c>
      <c r="U466" s="285" t="s">
        <v>1</v>
      </c>
      <c r="V466" s="285" t="s">
        <v>1</v>
      </c>
      <c r="W466" s="285" t="s">
        <v>1</v>
      </c>
      <c r="X466" s="286" t="s">
        <v>1</v>
      </c>
      <c r="Y466" s="285" t="s">
        <v>1</v>
      </c>
      <c r="Z466" s="285" t="s">
        <v>1</v>
      </c>
      <c r="AA466" s="285" t="s">
        <v>1</v>
      </c>
      <c r="AB466" s="285" t="s">
        <v>1</v>
      </c>
      <c r="AC466" s="286" t="s">
        <v>1</v>
      </c>
      <c r="AD466" s="285" t="s">
        <v>1</v>
      </c>
      <c r="AE466" s="285" t="s">
        <v>1</v>
      </c>
      <c r="AF466" s="285" t="s">
        <v>1</v>
      </c>
      <c r="AG466" s="285" t="s">
        <v>1</v>
      </c>
      <c r="AH466" s="286" t="s">
        <v>1</v>
      </c>
      <c r="AI466" s="295" t="s">
        <v>1</v>
      </c>
      <c r="AJ466" s="295" t="s">
        <v>1</v>
      </c>
      <c r="AK466" s="295" t="s">
        <v>1</v>
      </c>
      <c r="AL466" s="286" t="s">
        <v>1</v>
      </c>
      <c r="AM466" s="309" t="s">
        <v>1</v>
      </c>
      <c r="AN466" s="287" t="s">
        <v>1</v>
      </c>
      <c r="AO466" s="287" t="s">
        <v>1</v>
      </c>
      <c r="AP466" s="286" t="s">
        <v>1</v>
      </c>
      <c r="AQ466" s="285" t="s">
        <v>1</v>
      </c>
      <c r="AR466" s="289" t="s">
        <v>1</v>
      </c>
      <c r="AS466" s="289" t="s">
        <v>1</v>
      </c>
      <c r="AT466" s="290" t="s">
        <v>1</v>
      </c>
      <c r="AU466" s="287" t="s">
        <v>1</v>
      </c>
      <c r="AV466" s="287" t="s">
        <v>1</v>
      </c>
      <c r="AW466" s="291" t="s">
        <v>1</v>
      </c>
    </row>
    <row r="467" spans="1:49" ht="30.15" customHeight="1" x14ac:dyDescent="0.25">
      <c r="A467" s="188" t="s">
        <v>18</v>
      </c>
      <c r="B467" s="188" t="s">
        <v>1</v>
      </c>
      <c r="C467" s="212" t="s">
        <v>34</v>
      </c>
      <c r="D467" s="190" t="s">
        <v>6</v>
      </c>
      <c r="E467" s="190" t="s">
        <v>1230</v>
      </c>
      <c r="F467" s="203"/>
      <c r="G467" s="190" t="s">
        <v>1232</v>
      </c>
      <c r="H467" s="192" t="s">
        <v>409</v>
      </c>
      <c r="I467" s="193">
        <v>0</v>
      </c>
      <c r="J467" s="193">
        <v>0</v>
      </c>
      <c r="K467" s="193">
        <v>0</v>
      </c>
      <c r="L467" s="193">
        <v>0</v>
      </c>
      <c r="M467" s="194">
        <v>0</v>
      </c>
      <c r="N467" s="284" t="s">
        <v>1</v>
      </c>
      <c r="O467" s="285" t="s">
        <v>1</v>
      </c>
      <c r="P467" s="285" t="s">
        <v>1</v>
      </c>
      <c r="Q467" s="285" t="s">
        <v>1</v>
      </c>
      <c r="R467" s="285" t="s">
        <v>1</v>
      </c>
      <c r="S467" s="286" t="s">
        <v>1</v>
      </c>
      <c r="T467" s="285" t="s">
        <v>1</v>
      </c>
      <c r="U467" s="285" t="s">
        <v>1</v>
      </c>
      <c r="V467" s="285" t="s">
        <v>1</v>
      </c>
      <c r="W467" s="285" t="s">
        <v>1</v>
      </c>
      <c r="X467" s="286" t="s">
        <v>1</v>
      </c>
      <c r="Y467" s="285" t="s">
        <v>1</v>
      </c>
      <c r="Z467" s="285" t="s">
        <v>1</v>
      </c>
      <c r="AA467" s="285" t="s">
        <v>1</v>
      </c>
      <c r="AB467" s="285" t="s">
        <v>1</v>
      </c>
      <c r="AC467" s="286" t="s">
        <v>1</v>
      </c>
      <c r="AD467" s="285" t="s">
        <v>1</v>
      </c>
      <c r="AE467" s="285" t="s">
        <v>1</v>
      </c>
      <c r="AF467" s="285" t="s">
        <v>1</v>
      </c>
      <c r="AG467" s="285" t="s">
        <v>1</v>
      </c>
      <c r="AH467" s="286" t="s">
        <v>1</v>
      </c>
      <c r="AI467" s="295" t="s">
        <v>1</v>
      </c>
      <c r="AJ467" s="295" t="s">
        <v>1</v>
      </c>
      <c r="AK467" s="295" t="s">
        <v>1</v>
      </c>
      <c r="AL467" s="286" t="s">
        <v>1</v>
      </c>
      <c r="AM467" s="309" t="s">
        <v>1</v>
      </c>
      <c r="AN467" s="287" t="s">
        <v>1</v>
      </c>
      <c r="AO467" s="287" t="s">
        <v>1</v>
      </c>
      <c r="AP467" s="286" t="s">
        <v>1</v>
      </c>
      <c r="AQ467" s="285" t="s">
        <v>1</v>
      </c>
      <c r="AR467" s="289" t="s">
        <v>1</v>
      </c>
      <c r="AS467" s="289" t="s">
        <v>1</v>
      </c>
      <c r="AT467" s="290" t="s">
        <v>1</v>
      </c>
      <c r="AU467" s="287" t="s">
        <v>1</v>
      </c>
      <c r="AV467" s="287" t="s">
        <v>1</v>
      </c>
      <c r="AW467" s="291" t="s">
        <v>1</v>
      </c>
    </row>
    <row r="468" spans="1:49" ht="30.15" customHeight="1" x14ac:dyDescent="0.25">
      <c r="A468" s="190" t="s">
        <v>18</v>
      </c>
      <c r="B468" s="189" t="s">
        <v>1</v>
      </c>
      <c r="C468" s="212" t="s">
        <v>34</v>
      </c>
      <c r="D468" s="190" t="s">
        <v>6</v>
      </c>
      <c r="E468" s="190" t="s">
        <v>900</v>
      </c>
      <c r="F468" s="203"/>
      <c r="G468" s="190" t="s">
        <v>901</v>
      </c>
      <c r="H468" s="192" t="s">
        <v>409</v>
      </c>
      <c r="I468" s="193">
        <v>1500</v>
      </c>
      <c r="J468" s="193">
        <v>1500</v>
      </c>
      <c r="K468" s="193">
        <v>1500</v>
      </c>
      <c r="L468" s="193">
        <v>2000</v>
      </c>
      <c r="M468" s="194">
        <v>2000</v>
      </c>
      <c r="N468" s="284">
        <v>400</v>
      </c>
      <c r="O468" s="285">
        <v>68.34</v>
      </c>
      <c r="P468" s="285">
        <v>24</v>
      </c>
      <c r="Q468" s="285" t="s">
        <v>1</v>
      </c>
      <c r="R468" s="285" t="s">
        <v>1</v>
      </c>
      <c r="S468" s="286">
        <v>400</v>
      </c>
      <c r="T468" s="285">
        <v>68.34</v>
      </c>
      <c r="U468" s="285">
        <v>24</v>
      </c>
      <c r="V468" s="285" t="s">
        <v>1</v>
      </c>
      <c r="W468" s="285" t="s">
        <v>1</v>
      </c>
      <c r="X468" s="286">
        <v>400</v>
      </c>
      <c r="Y468" s="285">
        <v>68.34</v>
      </c>
      <c r="Z468" s="285">
        <v>24</v>
      </c>
      <c r="AA468" s="285" t="s">
        <v>1</v>
      </c>
      <c r="AB468" s="285" t="s">
        <v>1</v>
      </c>
      <c r="AC468" s="286">
        <v>400</v>
      </c>
      <c r="AD468" s="285">
        <v>68.34</v>
      </c>
      <c r="AE468" s="285">
        <v>24</v>
      </c>
      <c r="AF468" s="285" t="s">
        <v>1</v>
      </c>
      <c r="AG468" s="285" t="s">
        <v>1</v>
      </c>
      <c r="AH468" s="286" t="s">
        <v>1</v>
      </c>
      <c r="AI468" s="295" t="s">
        <v>1</v>
      </c>
      <c r="AJ468" s="295" t="s">
        <v>1</v>
      </c>
      <c r="AK468" s="295" t="s">
        <v>1</v>
      </c>
      <c r="AL468" s="286" t="s">
        <v>1</v>
      </c>
      <c r="AM468" s="309" t="s">
        <v>1</v>
      </c>
      <c r="AN468" s="287" t="s">
        <v>1</v>
      </c>
      <c r="AO468" s="287" t="s">
        <v>1</v>
      </c>
      <c r="AP468" s="286" t="s">
        <v>1</v>
      </c>
      <c r="AQ468" s="285" t="s">
        <v>1</v>
      </c>
      <c r="AR468" s="289" t="s">
        <v>1</v>
      </c>
      <c r="AS468" s="289" t="s">
        <v>1</v>
      </c>
      <c r="AT468" s="290" t="s">
        <v>1</v>
      </c>
      <c r="AU468" s="287" t="s">
        <v>1</v>
      </c>
      <c r="AV468" s="287" t="s">
        <v>1</v>
      </c>
      <c r="AW468" s="291" t="s">
        <v>1</v>
      </c>
    </row>
    <row r="469" spans="1:49" ht="30.15" customHeight="1" x14ac:dyDescent="0.25">
      <c r="A469" s="190" t="s">
        <v>18</v>
      </c>
      <c r="B469" s="189" t="s">
        <v>1</v>
      </c>
      <c r="C469" s="188" t="s">
        <v>35</v>
      </c>
      <c r="D469" s="190" t="s">
        <v>440</v>
      </c>
      <c r="E469" s="190" t="s">
        <v>441</v>
      </c>
      <c r="F469" s="203"/>
      <c r="G469" s="190" t="s">
        <v>442</v>
      </c>
      <c r="H469" s="192" t="s">
        <v>409</v>
      </c>
      <c r="I469" s="193">
        <v>190</v>
      </c>
      <c r="J469" s="193">
        <v>190</v>
      </c>
      <c r="K469" s="193">
        <v>190</v>
      </c>
      <c r="L469" s="193">
        <v>199.99</v>
      </c>
      <c r="M469" s="194">
        <v>199.99</v>
      </c>
      <c r="N469" s="284" t="s">
        <v>1</v>
      </c>
      <c r="O469" s="285" t="s">
        <v>1</v>
      </c>
      <c r="P469" s="285" t="s">
        <v>1</v>
      </c>
      <c r="Q469" s="285" t="s">
        <v>1</v>
      </c>
      <c r="R469" s="285" t="s">
        <v>1</v>
      </c>
      <c r="S469" s="286" t="s">
        <v>1</v>
      </c>
      <c r="T469" s="285" t="s">
        <v>1</v>
      </c>
      <c r="U469" s="285" t="s">
        <v>1</v>
      </c>
      <c r="V469" s="285" t="s">
        <v>1</v>
      </c>
      <c r="W469" s="285" t="s">
        <v>1</v>
      </c>
      <c r="X469" s="286" t="s">
        <v>1</v>
      </c>
      <c r="Y469" s="285" t="s">
        <v>1</v>
      </c>
      <c r="Z469" s="285" t="s">
        <v>1</v>
      </c>
      <c r="AA469" s="285" t="s">
        <v>1</v>
      </c>
      <c r="AB469" s="285" t="s">
        <v>1</v>
      </c>
      <c r="AC469" s="286" t="s">
        <v>1</v>
      </c>
      <c r="AD469" s="285" t="s">
        <v>1</v>
      </c>
      <c r="AE469" s="285" t="s">
        <v>1</v>
      </c>
      <c r="AF469" s="285" t="s">
        <v>1</v>
      </c>
      <c r="AG469" s="285" t="s">
        <v>1</v>
      </c>
      <c r="AH469" s="286" t="s">
        <v>1</v>
      </c>
      <c r="AI469" s="295" t="s">
        <v>1</v>
      </c>
      <c r="AJ469" s="295" t="s">
        <v>1</v>
      </c>
      <c r="AK469" s="295" t="s">
        <v>1</v>
      </c>
      <c r="AL469" s="286">
        <v>40</v>
      </c>
      <c r="AM469" s="309" t="s">
        <v>1</v>
      </c>
      <c r="AN469" s="287" t="s">
        <v>1</v>
      </c>
      <c r="AO469" s="287" t="s">
        <v>1</v>
      </c>
      <c r="AP469" s="286" t="s">
        <v>1</v>
      </c>
      <c r="AQ469" s="285" t="s">
        <v>1</v>
      </c>
      <c r="AR469" s="289" t="s">
        <v>1</v>
      </c>
      <c r="AS469" s="289" t="s">
        <v>1</v>
      </c>
      <c r="AT469" s="290" t="s">
        <v>1</v>
      </c>
      <c r="AU469" s="287" t="s">
        <v>1</v>
      </c>
      <c r="AV469" s="287" t="s">
        <v>1</v>
      </c>
      <c r="AW469" s="291" t="s">
        <v>1</v>
      </c>
    </row>
    <row r="470" spans="1:49" ht="30.15" customHeight="1" x14ac:dyDescent="0.25">
      <c r="A470" s="190" t="s">
        <v>18</v>
      </c>
      <c r="B470" s="189" t="s">
        <v>1</v>
      </c>
      <c r="C470" s="188" t="s">
        <v>35</v>
      </c>
      <c r="D470" s="190" t="s">
        <v>1234</v>
      </c>
      <c r="E470" s="190" t="s">
        <v>1235</v>
      </c>
      <c r="F470" s="203"/>
      <c r="G470" s="190" t="s">
        <v>1236</v>
      </c>
      <c r="H470" s="192" t="s">
        <v>409</v>
      </c>
      <c r="I470" s="193">
        <v>215</v>
      </c>
      <c r="J470" s="193">
        <v>215</v>
      </c>
      <c r="K470" s="193">
        <v>215</v>
      </c>
      <c r="L470" s="193">
        <v>225</v>
      </c>
      <c r="M470" s="194">
        <v>225</v>
      </c>
      <c r="N470" s="284" t="s">
        <v>1</v>
      </c>
      <c r="O470" s="285" t="s">
        <v>1</v>
      </c>
      <c r="P470" s="285" t="s">
        <v>1</v>
      </c>
      <c r="Q470" s="285" t="s">
        <v>1</v>
      </c>
      <c r="R470" s="285" t="s">
        <v>1</v>
      </c>
      <c r="S470" s="286" t="s">
        <v>1</v>
      </c>
      <c r="T470" s="285" t="s">
        <v>1</v>
      </c>
      <c r="U470" s="285" t="s">
        <v>1</v>
      </c>
      <c r="V470" s="285" t="s">
        <v>1</v>
      </c>
      <c r="W470" s="285" t="s">
        <v>1</v>
      </c>
      <c r="X470" s="286" t="s">
        <v>1</v>
      </c>
      <c r="Y470" s="285" t="s">
        <v>1</v>
      </c>
      <c r="Z470" s="285" t="s">
        <v>1</v>
      </c>
      <c r="AA470" s="285" t="s">
        <v>1</v>
      </c>
      <c r="AB470" s="285" t="s">
        <v>1</v>
      </c>
      <c r="AC470" s="286" t="s">
        <v>1</v>
      </c>
      <c r="AD470" s="285" t="s">
        <v>1</v>
      </c>
      <c r="AE470" s="285" t="s">
        <v>1</v>
      </c>
      <c r="AF470" s="285" t="s">
        <v>1</v>
      </c>
      <c r="AG470" s="285" t="s">
        <v>1</v>
      </c>
      <c r="AH470" s="286" t="s">
        <v>1</v>
      </c>
      <c r="AI470" s="295" t="s">
        <v>1</v>
      </c>
      <c r="AJ470" s="295" t="s">
        <v>1</v>
      </c>
      <c r="AK470" s="295" t="s">
        <v>1</v>
      </c>
      <c r="AL470" s="286">
        <v>45</v>
      </c>
      <c r="AM470" s="309" t="s">
        <v>1</v>
      </c>
      <c r="AN470" s="287" t="s">
        <v>1</v>
      </c>
      <c r="AO470" s="287" t="s">
        <v>1</v>
      </c>
      <c r="AP470" s="286" t="s">
        <v>1</v>
      </c>
      <c r="AQ470" s="285" t="s">
        <v>1</v>
      </c>
      <c r="AR470" s="289" t="s">
        <v>1</v>
      </c>
      <c r="AS470" s="289" t="s">
        <v>1</v>
      </c>
      <c r="AT470" s="290" t="s">
        <v>1</v>
      </c>
      <c r="AU470" s="287" t="s">
        <v>1</v>
      </c>
      <c r="AV470" s="287" t="s">
        <v>1</v>
      </c>
      <c r="AW470" s="291" t="s">
        <v>1</v>
      </c>
    </row>
    <row r="471" spans="1:49" ht="30.15" customHeight="1" x14ac:dyDescent="0.25">
      <c r="A471" s="190" t="s">
        <v>18</v>
      </c>
      <c r="B471" s="189" t="s">
        <v>1</v>
      </c>
      <c r="C471" s="212" t="s">
        <v>34</v>
      </c>
      <c r="D471" s="190" t="s">
        <v>7</v>
      </c>
      <c r="E471" s="190" t="s">
        <v>242</v>
      </c>
      <c r="F471" s="203"/>
      <c r="G471" s="190" t="s">
        <v>243</v>
      </c>
      <c r="H471" s="192" t="s">
        <v>409</v>
      </c>
      <c r="I471" s="193">
        <v>379</v>
      </c>
      <c r="J471" s="193">
        <v>430</v>
      </c>
      <c r="K471" s="193">
        <v>379</v>
      </c>
      <c r="L471" s="193">
        <v>260</v>
      </c>
      <c r="M471" s="194">
        <v>260</v>
      </c>
      <c r="N471" s="284">
        <v>52</v>
      </c>
      <c r="O471" s="285" t="s">
        <v>1</v>
      </c>
      <c r="P471" s="285" t="s">
        <v>1</v>
      </c>
      <c r="Q471" s="285" t="s">
        <v>1</v>
      </c>
      <c r="R471" s="285" t="s">
        <v>1</v>
      </c>
      <c r="S471" s="286">
        <v>52</v>
      </c>
      <c r="T471" s="285" t="s">
        <v>1</v>
      </c>
      <c r="U471" s="285" t="s">
        <v>1</v>
      </c>
      <c r="V471" s="285" t="s">
        <v>1</v>
      </c>
      <c r="W471" s="285" t="s">
        <v>1</v>
      </c>
      <c r="X471" s="286">
        <v>52</v>
      </c>
      <c r="Y471" s="285" t="s">
        <v>1</v>
      </c>
      <c r="Z471" s="285" t="s">
        <v>1</v>
      </c>
      <c r="AA471" s="285" t="s">
        <v>1</v>
      </c>
      <c r="AB471" s="285" t="s">
        <v>1</v>
      </c>
      <c r="AC471" s="286">
        <v>52</v>
      </c>
      <c r="AD471" s="285" t="s">
        <v>1</v>
      </c>
      <c r="AE471" s="285" t="s">
        <v>1</v>
      </c>
      <c r="AF471" s="285" t="s">
        <v>1</v>
      </c>
      <c r="AG471" s="285" t="s">
        <v>1</v>
      </c>
      <c r="AH471" s="286">
        <v>52</v>
      </c>
      <c r="AI471" s="295" t="s">
        <v>1</v>
      </c>
      <c r="AJ471" s="295" t="s">
        <v>1</v>
      </c>
      <c r="AK471" s="295" t="s">
        <v>1</v>
      </c>
      <c r="AL471" s="286" t="s">
        <v>1</v>
      </c>
      <c r="AM471" s="309" t="s">
        <v>1</v>
      </c>
      <c r="AN471" s="287" t="s">
        <v>1</v>
      </c>
      <c r="AO471" s="287" t="s">
        <v>1</v>
      </c>
      <c r="AP471" s="286" t="s">
        <v>1</v>
      </c>
      <c r="AQ471" s="285" t="s">
        <v>1</v>
      </c>
      <c r="AR471" s="289" t="s">
        <v>1</v>
      </c>
      <c r="AS471" s="289" t="s">
        <v>1</v>
      </c>
      <c r="AT471" s="290" t="s">
        <v>1</v>
      </c>
      <c r="AU471" s="287" t="s">
        <v>1</v>
      </c>
      <c r="AV471" s="287" t="s">
        <v>1</v>
      </c>
      <c r="AW471" s="291" t="s">
        <v>1</v>
      </c>
    </row>
    <row r="472" spans="1:49" ht="30.15" customHeight="1" x14ac:dyDescent="0.25">
      <c r="A472" s="190" t="s">
        <v>18</v>
      </c>
      <c r="B472" s="189" t="s">
        <v>1</v>
      </c>
      <c r="C472" s="212" t="s">
        <v>34</v>
      </c>
      <c r="D472" s="190" t="s">
        <v>7</v>
      </c>
      <c r="E472" s="190" t="s">
        <v>725</v>
      </c>
      <c r="F472" s="203"/>
      <c r="G472" s="190" t="s">
        <v>724</v>
      </c>
      <c r="H472" s="192" t="s">
        <v>409</v>
      </c>
      <c r="I472" s="193">
        <v>199</v>
      </c>
      <c r="J472" s="193">
        <v>180</v>
      </c>
      <c r="K472" s="193">
        <v>199</v>
      </c>
      <c r="L472" s="194">
        <v>210</v>
      </c>
      <c r="M472" s="194">
        <v>210</v>
      </c>
      <c r="N472" s="284">
        <v>42</v>
      </c>
      <c r="O472" s="285" t="s">
        <v>1</v>
      </c>
      <c r="P472" s="285" t="s">
        <v>1</v>
      </c>
      <c r="Q472" s="285" t="s">
        <v>1</v>
      </c>
      <c r="R472" s="285" t="s">
        <v>1</v>
      </c>
      <c r="S472" s="286">
        <v>42</v>
      </c>
      <c r="T472" s="285" t="s">
        <v>1</v>
      </c>
      <c r="U472" s="285" t="s">
        <v>1</v>
      </c>
      <c r="V472" s="285" t="s">
        <v>1</v>
      </c>
      <c r="W472" s="285" t="s">
        <v>1</v>
      </c>
      <c r="X472" s="286">
        <v>42</v>
      </c>
      <c r="Y472" s="285" t="s">
        <v>1</v>
      </c>
      <c r="Z472" s="285" t="s">
        <v>1</v>
      </c>
      <c r="AA472" s="285" t="s">
        <v>1</v>
      </c>
      <c r="AB472" s="285" t="s">
        <v>1</v>
      </c>
      <c r="AC472" s="286">
        <v>42</v>
      </c>
      <c r="AD472" s="285" t="s">
        <v>1</v>
      </c>
      <c r="AE472" s="285" t="s">
        <v>1</v>
      </c>
      <c r="AF472" s="285" t="s">
        <v>1</v>
      </c>
      <c r="AG472" s="285" t="s">
        <v>1</v>
      </c>
      <c r="AH472" s="286">
        <v>42</v>
      </c>
      <c r="AI472" s="295" t="s">
        <v>1</v>
      </c>
      <c r="AJ472" s="295" t="s">
        <v>1</v>
      </c>
      <c r="AK472" s="295" t="s">
        <v>1</v>
      </c>
      <c r="AL472" s="286" t="s">
        <v>1</v>
      </c>
      <c r="AM472" s="309" t="s">
        <v>1</v>
      </c>
      <c r="AN472" s="287" t="s">
        <v>1</v>
      </c>
      <c r="AO472" s="287" t="s">
        <v>1</v>
      </c>
      <c r="AP472" s="286" t="s">
        <v>1</v>
      </c>
      <c r="AQ472" s="285" t="s">
        <v>1</v>
      </c>
      <c r="AR472" s="289" t="s">
        <v>1</v>
      </c>
      <c r="AS472" s="289" t="s">
        <v>1</v>
      </c>
      <c r="AT472" s="290" t="s">
        <v>1</v>
      </c>
      <c r="AU472" s="287" t="s">
        <v>1</v>
      </c>
      <c r="AV472" s="287" t="s">
        <v>1</v>
      </c>
      <c r="AW472" s="291" t="s">
        <v>1</v>
      </c>
    </row>
    <row r="473" spans="1:49" ht="30.15" customHeight="1" x14ac:dyDescent="0.25">
      <c r="A473" s="190" t="s">
        <v>18</v>
      </c>
      <c r="B473" s="189" t="s">
        <v>1</v>
      </c>
      <c r="C473" s="212" t="s">
        <v>34</v>
      </c>
      <c r="D473" s="190" t="s">
        <v>7</v>
      </c>
      <c r="E473" s="190" t="s">
        <v>913</v>
      </c>
      <c r="F473" s="203"/>
      <c r="G473" s="190" t="s">
        <v>914</v>
      </c>
      <c r="H473" s="192" t="s">
        <v>409</v>
      </c>
      <c r="I473" s="193">
        <v>188.99</v>
      </c>
      <c r="J473" s="193">
        <v>188.99</v>
      </c>
      <c r="K473" s="193">
        <v>188.99</v>
      </c>
      <c r="L473" s="194">
        <v>250</v>
      </c>
      <c r="M473" s="194">
        <v>250</v>
      </c>
      <c r="N473" s="284">
        <v>50</v>
      </c>
      <c r="O473" s="285">
        <v>1.42</v>
      </c>
      <c r="P473" s="285">
        <v>24</v>
      </c>
      <c r="Q473" s="285" t="s">
        <v>1</v>
      </c>
      <c r="R473" s="285" t="s">
        <v>1</v>
      </c>
      <c r="S473" s="286">
        <v>50</v>
      </c>
      <c r="T473" s="285">
        <v>1.42</v>
      </c>
      <c r="U473" s="285">
        <v>24</v>
      </c>
      <c r="V473" s="285" t="s">
        <v>1</v>
      </c>
      <c r="W473" s="285" t="s">
        <v>1</v>
      </c>
      <c r="X473" s="286">
        <v>50</v>
      </c>
      <c r="Y473" s="285">
        <v>1.42</v>
      </c>
      <c r="Z473" s="285">
        <v>24</v>
      </c>
      <c r="AA473" s="285" t="s">
        <v>1</v>
      </c>
      <c r="AB473" s="285" t="s">
        <v>1</v>
      </c>
      <c r="AC473" s="286">
        <v>50</v>
      </c>
      <c r="AD473" s="285">
        <v>1.42</v>
      </c>
      <c r="AE473" s="285">
        <v>24</v>
      </c>
      <c r="AF473" s="285" t="s">
        <v>1</v>
      </c>
      <c r="AG473" s="285" t="s">
        <v>1</v>
      </c>
      <c r="AH473" s="286">
        <v>50</v>
      </c>
      <c r="AI473" s="295" t="s">
        <v>1</v>
      </c>
      <c r="AJ473" s="295" t="s">
        <v>1</v>
      </c>
      <c r="AK473" s="295" t="s">
        <v>1</v>
      </c>
      <c r="AL473" s="286" t="s">
        <v>1</v>
      </c>
      <c r="AM473" s="309" t="s">
        <v>1</v>
      </c>
      <c r="AN473" s="287" t="s">
        <v>1</v>
      </c>
      <c r="AO473" s="287" t="s">
        <v>1</v>
      </c>
      <c r="AP473" s="286" t="s">
        <v>1</v>
      </c>
      <c r="AQ473" s="285" t="s">
        <v>1</v>
      </c>
      <c r="AR473" s="289" t="s">
        <v>1</v>
      </c>
      <c r="AS473" s="289" t="s">
        <v>1</v>
      </c>
      <c r="AT473" s="290" t="s">
        <v>1</v>
      </c>
      <c r="AU473" s="287" t="s">
        <v>1</v>
      </c>
      <c r="AV473" s="287" t="s">
        <v>1</v>
      </c>
      <c r="AW473" s="291" t="s">
        <v>1</v>
      </c>
    </row>
    <row r="474" spans="1:49" ht="30.15" customHeight="1" x14ac:dyDescent="0.25">
      <c r="A474" s="190" t="s">
        <v>18</v>
      </c>
      <c r="B474" s="189" t="s">
        <v>1</v>
      </c>
      <c r="C474" s="212" t="s">
        <v>34</v>
      </c>
      <c r="D474" s="190" t="s">
        <v>7</v>
      </c>
      <c r="E474" s="190" t="s">
        <v>597</v>
      </c>
      <c r="F474" s="203"/>
      <c r="G474" s="190" t="s">
        <v>600</v>
      </c>
      <c r="H474" s="192" t="s">
        <v>409</v>
      </c>
      <c r="I474" s="193">
        <v>350</v>
      </c>
      <c r="J474" s="193">
        <v>290</v>
      </c>
      <c r="K474" s="193">
        <v>350</v>
      </c>
      <c r="L474" s="194">
        <v>400</v>
      </c>
      <c r="M474" s="194">
        <v>400</v>
      </c>
      <c r="N474" s="284">
        <v>80</v>
      </c>
      <c r="O474" s="285">
        <v>3.34</v>
      </c>
      <c r="P474" s="285">
        <v>24</v>
      </c>
      <c r="Q474" s="285" t="s">
        <v>1</v>
      </c>
      <c r="R474" s="285" t="s">
        <v>1</v>
      </c>
      <c r="S474" s="286">
        <v>80</v>
      </c>
      <c r="T474" s="285">
        <v>3.34</v>
      </c>
      <c r="U474" s="285">
        <v>24</v>
      </c>
      <c r="V474" s="285" t="s">
        <v>1</v>
      </c>
      <c r="W474" s="285" t="s">
        <v>1</v>
      </c>
      <c r="X474" s="286">
        <v>80</v>
      </c>
      <c r="Y474" s="285">
        <v>3.34</v>
      </c>
      <c r="Z474" s="285">
        <v>24</v>
      </c>
      <c r="AA474" s="285" t="s">
        <v>1</v>
      </c>
      <c r="AB474" s="285" t="s">
        <v>1</v>
      </c>
      <c r="AC474" s="286">
        <v>80</v>
      </c>
      <c r="AD474" s="285">
        <v>3.34</v>
      </c>
      <c r="AE474" s="285">
        <v>24</v>
      </c>
      <c r="AF474" s="285" t="s">
        <v>1</v>
      </c>
      <c r="AG474" s="285" t="s">
        <v>1</v>
      </c>
      <c r="AH474" s="286">
        <v>80</v>
      </c>
      <c r="AI474" s="295" t="s">
        <v>1</v>
      </c>
      <c r="AJ474" s="295" t="s">
        <v>1</v>
      </c>
      <c r="AK474" s="295" t="s">
        <v>1</v>
      </c>
      <c r="AL474" s="286" t="s">
        <v>1</v>
      </c>
      <c r="AM474" s="309" t="s">
        <v>1</v>
      </c>
      <c r="AN474" s="287" t="s">
        <v>1</v>
      </c>
      <c r="AO474" s="287" t="s">
        <v>1</v>
      </c>
      <c r="AP474" s="286" t="s">
        <v>1</v>
      </c>
      <c r="AQ474" s="285" t="s">
        <v>1</v>
      </c>
      <c r="AR474" s="289" t="s">
        <v>1</v>
      </c>
      <c r="AS474" s="289" t="s">
        <v>1</v>
      </c>
      <c r="AT474" s="290" t="s">
        <v>1</v>
      </c>
      <c r="AU474" s="287" t="s">
        <v>1</v>
      </c>
      <c r="AV474" s="287" t="s">
        <v>1</v>
      </c>
      <c r="AW474" s="291" t="s">
        <v>1</v>
      </c>
    </row>
    <row r="475" spans="1:49" ht="30.15" customHeight="1" x14ac:dyDescent="0.25">
      <c r="A475" s="190" t="s">
        <v>18</v>
      </c>
      <c r="B475" s="189" t="s">
        <v>1</v>
      </c>
      <c r="C475" s="212" t="s">
        <v>34</v>
      </c>
      <c r="D475" s="190" t="s">
        <v>7</v>
      </c>
      <c r="E475" s="190" t="s">
        <v>598</v>
      </c>
      <c r="F475" s="203"/>
      <c r="G475" s="190" t="s">
        <v>601</v>
      </c>
      <c r="H475" s="192" t="s">
        <v>409</v>
      </c>
      <c r="I475" s="193">
        <v>399</v>
      </c>
      <c r="J475" s="193">
        <v>380</v>
      </c>
      <c r="K475" s="193">
        <v>399</v>
      </c>
      <c r="L475" s="194">
        <v>500</v>
      </c>
      <c r="M475" s="194">
        <v>500</v>
      </c>
      <c r="N475" s="284">
        <v>100</v>
      </c>
      <c r="O475" s="285">
        <v>10.84</v>
      </c>
      <c r="P475" s="285">
        <v>24</v>
      </c>
      <c r="Q475" s="285" t="s">
        <v>1</v>
      </c>
      <c r="R475" s="285" t="s">
        <v>1</v>
      </c>
      <c r="S475" s="286">
        <v>100</v>
      </c>
      <c r="T475" s="285">
        <v>10.84</v>
      </c>
      <c r="U475" s="285">
        <v>24</v>
      </c>
      <c r="V475" s="285" t="s">
        <v>1</v>
      </c>
      <c r="W475" s="285" t="s">
        <v>1</v>
      </c>
      <c r="X475" s="286">
        <v>100</v>
      </c>
      <c r="Y475" s="285">
        <v>10.84</v>
      </c>
      <c r="Z475" s="285">
        <v>24</v>
      </c>
      <c r="AA475" s="285" t="s">
        <v>1</v>
      </c>
      <c r="AB475" s="285" t="s">
        <v>1</v>
      </c>
      <c r="AC475" s="286">
        <v>100</v>
      </c>
      <c r="AD475" s="285">
        <v>10.84</v>
      </c>
      <c r="AE475" s="285">
        <v>24</v>
      </c>
      <c r="AF475" s="285" t="s">
        <v>1</v>
      </c>
      <c r="AG475" s="285" t="s">
        <v>1</v>
      </c>
      <c r="AH475" s="286">
        <v>100</v>
      </c>
      <c r="AI475" s="295">
        <v>10.84</v>
      </c>
      <c r="AJ475" s="295">
        <v>24</v>
      </c>
      <c r="AK475" s="295" t="s">
        <v>1</v>
      </c>
      <c r="AL475" s="286" t="s">
        <v>1</v>
      </c>
      <c r="AM475" s="309" t="s">
        <v>1</v>
      </c>
      <c r="AN475" s="287" t="s">
        <v>1</v>
      </c>
      <c r="AO475" s="287" t="s">
        <v>1</v>
      </c>
      <c r="AP475" s="286" t="s">
        <v>1</v>
      </c>
      <c r="AQ475" s="285" t="s">
        <v>1</v>
      </c>
      <c r="AR475" s="289" t="s">
        <v>1</v>
      </c>
      <c r="AS475" s="289" t="s">
        <v>1</v>
      </c>
      <c r="AT475" s="290" t="s">
        <v>1</v>
      </c>
      <c r="AU475" s="287" t="s">
        <v>1</v>
      </c>
      <c r="AV475" s="287" t="s">
        <v>1</v>
      </c>
      <c r="AW475" s="291" t="s">
        <v>1</v>
      </c>
    </row>
    <row r="476" spans="1:49" ht="30.15" customHeight="1" x14ac:dyDescent="0.25">
      <c r="A476" s="190" t="s">
        <v>18</v>
      </c>
      <c r="B476" s="189" t="s">
        <v>1</v>
      </c>
      <c r="C476" s="212" t="s">
        <v>34</v>
      </c>
      <c r="D476" s="190" t="s">
        <v>7</v>
      </c>
      <c r="E476" s="190" t="s">
        <v>741</v>
      </c>
      <c r="F476" s="203"/>
      <c r="G476" s="190" t="s">
        <v>601</v>
      </c>
      <c r="H476" s="192" t="s">
        <v>7</v>
      </c>
      <c r="I476" s="193">
        <v>399</v>
      </c>
      <c r="J476" s="193">
        <v>380</v>
      </c>
      <c r="K476" s="193">
        <v>399</v>
      </c>
      <c r="L476" s="194">
        <v>500</v>
      </c>
      <c r="M476" s="194">
        <v>500</v>
      </c>
      <c r="N476" s="284">
        <v>100</v>
      </c>
      <c r="O476" s="285">
        <v>10.84</v>
      </c>
      <c r="P476" s="285">
        <v>24</v>
      </c>
      <c r="Q476" s="285" t="s">
        <v>1</v>
      </c>
      <c r="R476" s="285" t="s">
        <v>1</v>
      </c>
      <c r="S476" s="286">
        <v>100</v>
      </c>
      <c r="T476" s="285">
        <v>10.84</v>
      </c>
      <c r="U476" s="285">
        <v>24</v>
      </c>
      <c r="V476" s="285" t="s">
        <v>1</v>
      </c>
      <c r="W476" s="285" t="s">
        <v>1</v>
      </c>
      <c r="X476" s="286">
        <v>100</v>
      </c>
      <c r="Y476" s="285">
        <v>10.84</v>
      </c>
      <c r="Z476" s="285">
        <v>24</v>
      </c>
      <c r="AA476" s="285" t="s">
        <v>1</v>
      </c>
      <c r="AB476" s="285" t="s">
        <v>1</v>
      </c>
      <c r="AC476" s="286">
        <v>100</v>
      </c>
      <c r="AD476" s="285">
        <v>10.84</v>
      </c>
      <c r="AE476" s="285">
        <v>24</v>
      </c>
      <c r="AF476" s="285" t="s">
        <v>1</v>
      </c>
      <c r="AG476" s="285" t="s">
        <v>1</v>
      </c>
      <c r="AH476" s="286">
        <v>100</v>
      </c>
      <c r="AI476" s="295">
        <v>10.84</v>
      </c>
      <c r="AJ476" s="295">
        <v>24</v>
      </c>
      <c r="AK476" s="295" t="s">
        <v>1</v>
      </c>
      <c r="AL476" s="286" t="s">
        <v>1</v>
      </c>
      <c r="AM476" s="309" t="s">
        <v>1</v>
      </c>
      <c r="AN476" s="287" t="s">
        <v>1</v>
      </c>
      <c r="AO476" s="287" t="s">
        <v>1</v>
      </c>
      <c r="AP476" s="286" t="s">
        <v>1</v>
      </c>
      <c r="AQ476" s="285" t="s">
        <v>1</v>
      </c>
      <c r="AR476" s="289" t="s">
        <v>1</v>
      </c>
      <c r="AS476" s="289" t="s">
        <v>1</v>
      </c>
      <c r="AT476" s="290" t="s">
        <v>1</v>
      </c>
      <c r="AU476" s="287" t="s">
        <v>1</v>
      </c>
      <c r="AV476" s="287" t="s">
        <v>1</v>
      </c>
      <c r="AW476" s="291" t="s">
        <v>1</v>
      </c>
    </row>
    <row r="477" spans="1:49" ht="30.15" customHeight="1" x14ac:dyDescent="0.25">
      <c r="A477" s="190" t="s">
        <v>18</v>
      </c>
      <c r="B477" s="189" t="s">
        <v>1</v>
      </c>
      <c r="C477" s="212" t="s">
        <v>34</v>
      </c>
      <c r="D477" s="190" t="s">
        <v>7</v>
      </c>
      <c r="E477" s="190" t="s">
        <v>880</v>
      </c>
      <c r="F477" s="203"/>
      <c r="G477" s="190" t="s">
        <v>881</v>
      </c>
      <c r="H477" s="192" t="s">
        <v>409</v>
      </c>
      <c r="I477" s="193">
        <v>431.99</v>
      </c>
      <c r="J477" s="193">
        <v>431.99</v>
      </c>
      <c r="K477" s="193">
        <v>431.99</v>
      </c>
      <c r="L477" s="194">
        <v>560</v>
      </c>
      <c r="M477" s="194">
        <v>560</v>
      </c>
      <c r="N477" s="284">
        <v>112</v>
      </c>
      <c r="O477" s="285">
        <v>3.34</v>
      </c>
      <c r="P477" s="285">
        <v>24</v>
      </c>
      <c r="Q477" s="285" t="s">
        <v>1</v>
      </c>
      <c r="R477" s="285" t="s">
        <v>1</v>
      </c>
      <c r="S477" s="286">
        <v>112</v>
      </c>
      <c r="T477" s="285">
        <v>3.34</v>
      </c>
      <c r="U477" s="285">
        <v>24</v>
      </c>
      <c r="V477" s="285" t="s">
        <v>1</v>
      </c>
      <c r="W477" s="285" t="s">
        <v>1</v>
      </c>
      <c r="X477" s="286">
        <v>112</v>
      </c>
      <c r="Y477" s="285">
        <v>23.34</v>
      </c>
      <c r="Z477" s="285">
        <v>24</v>
      </c>
      <c r="AA477" s="285" t="s">
        <v>1</v>
      </c>
      <c r="AB477" s="285" t="s">
        <v>1</v>
      </c>
      <c r="AC477" s="286">
        <v>112</v>
      </c>
      <c r="AD477" s="285">
        <v>23.34</v>
      </c>
      <c r="AE477" s="285">
        <v>24</v>
      </c>
      <c r="AF477" s="285" t="s">
        <v>1</v>
      </c>
      <c r="AG477" s="285" t="s">
        <v>1</v>
      </c>
      <c r="AH477" s="286" t="s">
        <v>1</v>
      </c>
      <c r="AI477" s="295" t="s">
        <v>1</v>
      </c>
      <c r="AJ477" s="295" t="s">
        <v>1</v>
      </c>
      <c r="AK477" s="295" t="s">
        <v>1</v>
      </c>
      <c r="AL477" s="286" t="s">
        <v>1</v>
      </c>
      <c r="AM477" s="309" t="s">
        <v>1</v>
      </c>
      <c r="AN477" s="287" t="s">
        <v>1</v>
      </c>
      <c r="AO477" s="287" t="s">
        <v>1</v>
      </c>
      <c r="AP477" s="286" t="s">
        <v>1</v>
      </c>
      <c r="AQ477" s="285" t="s">
        <v>1</v>
      </c>
      <c r="AR477" s="289" t="s">
        <v>1</v>
      </c>
      <c r="AS477" s="289" t="s">
        <v>1</v>
      </c>
      <c r="AT477" s="290" t="s">
        <v>1</v>
      </c>
      <c r="AU477" s="287" t="s">
        <v>1</v>
      </c>
      <c r="AV477" s="287" t="s">
        <v>1</v>
      </c>
      <c r="AW477" s="291" t="s">
        <v>1</v>
      </c>
    </row>
    <row r="478" spans="1:49" ht="30.15" customHeight="1" x14ac:dyDescent="0.25">
      <c r="A478" s="190" t="s">
        <v>18</v>
      </c>
      <c r="B478" s="189" t="s">
        <v>1</v>
      </c>
      <c r="C478" s="212" t="s">
        <v>34</v>
      </c>
      <c r="D478" s="190" t="s">
        <v>7</v>
      </c>
      <c r="E478" s="190" t="s">
        <v>599</v>
      </c>
      <c r="F478" s="203"/>
      <c r="G478" s="190" t="s">
        <v>602</v>
      </c>
      <c r="H478" s="192" t="s">
        <v>409</v>
      </c>
      <c r="I478" s="193">
        <v>551</v>
      </c>
      <c r="J478" s="193">
        <v>530</v>
      </c>
      <c r="K478" s="193">
        <v>551</v>
      </c>
      <c r="L478" s="194">
        <v>700</v>
      </c>
      <c r="M478" s="194">
        <v>700</v>
      </c>
      <c r="N478" s="284">
        <v>140</v>
      </c>
      <c r="O478" s="285">
        <v>14.17</v>
      </c>
      <c r="P478" s="285">
        <v>24</v>
      </c>
      <c r="Q478" s="285" t="s">
        <v>1</v>
      </c>
      <c r="R478" s="285" t="s">
        <v>1</v>
      </c>
      <c r="S478" s="286">
        <v>140</v>
      </c>
      <c r="T478" s="285">
        <v>14.17</v>
      </c>
      <c r="U478" s="285">
        <v>24</v>
      </c>
      <c r="V478" s="285" t="s">
        <v>1</v>
      </c>
      <c r="W478" s="285" t="s">
        <v>1</v>
      </c>
      <c r="X478" s="286">
        <v>140</v>
      </c>
      <c r="Y478" s="285">
        <v>14.17</v>
      </c>
      <c r="Z478" s="285">
        <v>24</v>
      </c>
      <c r="AA478" s="285" t="s">
        <v>1</v>
      </c>
      <c r="AB478" s="285" t="s">
        <v>1</v>
      </c>
      <c r="AC478" s="286">
        <v>140</v>
      </c>
      <c r="AD478" s="285">
        <v>14.17</v>
      </c>
      <c r="AE478" s="285">
        <v>24</v>
      </c>
      <c r="AF478" s="285" t="s">
        <v>1</v>
      </c>
      <c r="AG478" s="285" t="s">
        <v>1</v>
      </c>
      <c r="AH478" s="286">
        <v>140</v>
      </c>
      <c r="AI478" s="295">
        <v>14.17</v>
      </c>
      <c r="AJ478" s="295">
        <v>24</v>
      </c>
      <c r="AK478" s="295" t="s">
        <v>1</v>
      </c>
      <c r="AL478" s="286" t="s">
        <v>1</v>
      </c>
      <c r="AM478" s="309" t="s">
        <v>1</v>
      </c>
      <c r="AN478" s="287" t="s">
        <v>1</v>
      </c>
      <c r="AO478" s="287" t="s">
        <v>1</v>
      </c>
      <c r="AP478" s="286" t="s">
        <v>1</v>
      </c>
      <c r="AQ478" s="285" t="s">
        <v>1</v>
      </c>
      <c r="AR478" s="289" t="s">
        <v>1</v>
      </c>
      <c r="AS478" s="289" t="s">
        <v>1</v>
      </c>
      <c r="AT478" s="290" t="s">
        <v>1</v>
      </c>
      <c r="AU478" s="287" t="s">
        <v>1</v>
      </c>
      <c r="AV478" s="287" t="s">
        <v>1</v>
      </c>
      <c r="AW478" s="291" t="s">
        <v>1</v>
      </c>
    </row>
    <row r="479" spans="1:49" ht="30.15" customHeight="1" x14ac:dyDescent="0.25">
      <c r="A479" s="190" t="s">
        <v>18</v>
      </c>
      <c r="B479" s="189" t="s">
        <v>1</v>
      </c>
      <c r="C479" s="212" t="s">
        <v>34</v>
      </c>
      <c r="D479" s="190" t="s">
        <v>7</v>
      </c>
      <c r="E479" s="190" t="s">
        <v>882</v>
      </c>
      <c r="F479" s="203"/>
      <c r="G479" s="190" t="s">
        <v>883</v>
      </c>
      <c r="H479" s="192" t="s">
        <v>409</v>
      </c>
      <c r="I479" s="193">
        <v>539.99</v>
      </c>
      <c r="J479" s="193">
        <v>539.99</v>
      </c>
      <c r="K479" s="193">
        <v>539.99</v>
      </c>
      <c r="L479" s="194">
        <v>710</v>
      </c>
      <c r="M479" s="194">
        <v>710</v>
      </c>
      <c r="N479" s="284">
        <v>142</v>
      </c>
      <c r="O479" s="285">
        <v>14.59</v>
      </c>
      <c r="P479" s="285">
        <v>24</v>
      </c>
      <c r="Q479" s="285" t="s">
        <v>1</v>
      </c>
      <c r="R479" s="285" t="s">
        <v>1</v>
      </c>
      <c r="S479" s="286">
        <v>142</v>
      </c>
      <c r="T479" s="285">
        <v>14.59</v>
      </c>
      <c r="U479" s="285">
        <v>24</v>
      </c>
      <c r="V479" s="285" t="s">
        <v>1</v>
      </c>
      <c r="W479" s="285" t="s">
        <v>1</v>
      </c>
      <c r="X479" s="286">
        <v>142</v>
      </c>
      <c r="Y479" s="285">
        <v>19.59</v>
      </c>
      <c r="Z479" s="285">
        <v>24</v>
      </c>
      <c r="AA479" s="285" t="s">
        <v>1</v>
      </c>
      <c r="AB479" s="285" t="s">
        <v>1</v>
      </c>
      <c r="AC479" s="286">
        <v>142</v>
      </c>
      <c r="AD479" s="285">
        <v>19.59</v>
      </c>
      <c r="AE479" s="285">
        <v>24</v>
      </c>
      <c r="AF479" s="285" t="s">
        <v>1</v>
      </c>
      <c r="AG479" s="285" t="s">
        <v>1</v>
      </c>
      <c r="AH479" s="286" t="s">
        <v>1</v>
      </c>
      <c r="AI479" s="295" t="s">
        <v>1</v>
      </c>
      <c r="AJ479" s="295" t="s">
        <v>1</v>
      </c>
      <c r="AK479" s="295" t="s">
        <v>1</v>
      </c>
      <c r="AL479" s="286" t="s">
        <v>1</v>
      </c>
      <c r="AM479" s="309" t="s">
        <v>1</v>
      </c>
      <c r="AN479" s="287" t="s">
        <v>1</v>
      </c>
      <c r="AO479" s="287" t="s">
        <v>1</v>
      </c>
      <c r="AP479" s="286" t="s">
        <v>1</v>
      </c>
      <c r="AQ479" s="285" t="s">
        <v>1</v>
      </c>
      <c r="AR479" s="289" t="s">
        <v>1</v>
      </c>
      <c r="AS479" s="289" t="s">
        <v>1</v>
      </c>
      <c r="AT479" s="290" t="s">
        <v>1</v>
      </c>
      <c r="AU479" s="287" t="s">
        <v>1</v>
      </c>
      <c r="AV479" s="287" t="s">
        <v>1</v>
      </c>
      <c r="AW479" s="291" t="s">
        <v>1</v>
      </c>
    </row>
    <row r="480" spans="1:49" ht="30.15" customHeight="1" x14ac:dyDescent="0.25">
      <c r="A480" s="190" t="s">
        <v>18</v>
      </c>
      <c r="B480" s="189" t="s">
        <v>1</v>
      </c>
      <c r="C480" s="212" t="s">
        <v>34</v>
      </c>
      <c r="D480" s="190" t="s">
        <v>7</v>
      </c>
      <c r="E480" s="190" t="s">
        <v>1238</v>
      </c>
      <c r="F480" s="203"/>
      <c r="G480" s="190" t="s">
        <v>1240</v>
      </c>
      <c r="H480" s="192" t="s">
        <v>409</v>
      </c>
      <c r="I480" s="193">
        <v>340</v>
      </c>
      <c r="J480" s="193">
        <v>340</v>
      </c>
      <c r="K480" s="193">
        <v>340</v>
      </c>
      <c r="L480" s="194">
        <v>435</v>
      </c>
      <c r="M480" s="194">
        <v>435</v>
      </c>
      <c r="N480" s="284">
        <v>87</v>
      </c>
      <c r="O480" s="285">
        <v>2.71</v>
      </c>
      <c r="P480" s="285">
        <v>24</v>
      </c>
      <c r="Q480" s="285" t="s">
        <v>1</v>
      </c>
      <c r="R480" s="285" t="s">
        <v>1</v>
      </c>
      <c r="S480" s="286">
        <v>87</v>
      </c>
      <c r="T480" s="285">
        <v>2.71</v>
      </c>
      <c r="U480" s="285">
        <v>24</v>
      </c>
      <c r="V480" s="285" t="s">
        <v>1</v>
      </c>
      <c r="W480" s="285" t="s">
        <v>1</v>
      </c>
      <c r="X480" s="286">
        <v>87</v>
      </c>
      <c r="Y480" s="285">
        <v>2.71</v>
      </c>
      <c r="Z480" s="285">
        <v>24</v>
      </c>
      <c r="AA480" s="285" t="s">
        <v>1</v>
      </c>
      <c r="AB480" s="285" t="s">
        <v>1</v>
      </c>
      <c r="AC480" s="286">
        <v>87</v>
      </c>
      <c r="AD480" s="285">
        <v>2.71</v>
      </c>
      <c r="AE480" s="285">
        <v>24</v>
      </c>
      <c r="AF480" s="285" t="s">
        <v>1</v>
      </c>
      <c r="AG480" s="285" t="s">
        <v>1</v>
      </c>
      <c r="AH480" s="286" t="s">
        <v>1</v>
      </c>
      <c r="AI480" s="295" t="s">
        <v>1</v>
      </c>
      <c r="AJ480" s="295" t="s">
        <v>1</v>
      </c>
      <c r="AK480" s="295" t="s">
        <v>1</v>
      </c>
      <c r="AL480" s="286" t="s">
        <v>1</v>
      </c>
      <c r="AM480" s="309" t="s">
        <v>1</v>
      </c>
      <c r="AN480" s="287" t="s">
        <v>1</v>
      </c>
      <c r="AO480" s="287" t="s">
        <v>1</v>
      </c>
      <c r="AP480" s="286" t="s">
        <v>1</v>
      </c>
      <c r="AQ480" s="285" t="s">
        <v>1</v>
      </c>
      <c r="AR480" s="289" t="s">
        <v>1</v>
      </c>
      <c r="AS480" s="289" t="s">
        <v>1</v>
      </c>
      <c r="AT480" s="290" t="s">
        <v>1</v>
      </c>
      <c r="AU480" s="287" t="s">
        <v>1</v>
      </c>
      <c r="AV480" s="287" t="s">
        <v>1</v>
      </c>
      <c r="AW480" s="291" t="s">
        <v>1</v>
      </c>
    </row>
    <row r="481" spans="1:49" ht="30.15" customHeight="1" x14ac:dyDescent="0.25">
      <c r="A481" s="190" t="s">
        <v>18</v>
      </c>
      <c r="B481" s="189" t="s">
        <v>1</v>
      </c>
      <c r="C481" s="212" t="s">
        <v>34</v>
      </c>
      <c r="D481" s="190" t="s">
        <v>7</v>
      </c>
      <c r="E481" s="190" t="s">
        <v>1239</v>
      </c>
      <c r="F481" s="203"/>
      <c r="G481" s="190" t="s">
        <v>1241</v>
      </c>
      <c r="H481" s="192" t="s">
        <v>409</v>
      </c>
      <c r="I481" s="193">
        <v>606</v>
      </c>
      <c r="J481" s="193">
        <v>606</v>
      </c>
      <c r="K481" s="193">
        <v>606</v>
      </c>
      <c r="L481" s="194">
        <v>770</v>
      </c>
      <c r="M481" s="194">
        <v>770</v>
      </c>
      <c r="N481" s="284">
        <v>154</v>
      </c>
      <c r="O481" s="285">
        <v>4.59</v>
      </c>
      <c r="P481" s="285">
        <v>24</v>
      </c>
      <c r="Q481" s="285" t="s">
        <v>1</v>
      </c>
      <c r="R481" s="285" t="s">
        <v>1</v>
      </c>
      <c r="S481" s="286">
        <v>154</v>
      </c>
      <c r="T481" s="285">
        <v>4.59</v>
      </c>
      <c r="U481" s="285">
        <v>24</v>
      </c>
      <c r="V481" s="285" t="s">
        <v>1</v>
      </c>
      <c r="W481" s="285" t="s">
        <v>1</v>
      </c>
      <c r="X481" s="286">
        <v>154</v>
      </c>
      <c r="Y481" s="285">
        <v>4.59</v>
      </c>
      <c r="Z481" s="285">
        <v>24</v>
      </c>
      <c r="AA481" s="285" t="s">
        <v>1</v>
      </c>
      <c r="AB481" s="285" t="s">
        <v>1</v>
      </c>
      <c r="AC481" s="286">
        <v>154</v>
      </c>
      <c r="AD481" s="285">
        <v>4.59</v>
      </c>
      <c r="AE481" s="285">
        <v>24</v>
      </c>
      <c r="AF481" s="285" t="s">
        <v>1</v>
      </c>
      <c r="AG481" s="285" t="s">
        <v>1</v>
      </c>
      <c r="AH481" s="286" t="s">
        <v>1</v>
      </c>
      <c r="AI481" s="295" t="s">
        <v>1</v>
      </c>
      <c r="AJ481" s="295" t="s">
        <v>1</v>
      </c>
      <c r="AK481" s="295" t="s">
        <v>1</v>
      </c>
      <c r="AL481" s="286" t="s">
        <v>1</v>
      </c>
      <c r="AM481" s="309" t="s">
        <v>1</v>
      </c>
      <c r="AN481" s="287" t="s">
        <v>1</v>
      </c>
      <c r="AO481" s="287" t="s">
        <v>1</v>
      </c>
      <c r="AP481" s="286" t="s">
        <v>1</v>
      </c>
      <c r="AQ481" s="285" t="s">
        <v>1</v>
      </c>
      <c r="AR481" s="289" t="s">
        <v>1</v>
      </c>
      <c r="AS481" s="289" t="s">
        <v>1</v>
      </c>
      <c r="AT481" s="290" t="s">
        <v>1</v>
      </c>
      <c r="AU481" s="287" t="s">
        <v>1</v>
      </c>
      <c r="AV481" s="287" t="s">
        <v>1</v>
      </c>
      <c r="AW481" s="291" t="s">
        <v>1</v>
      </c>
    </row>
    <row r="482" spans="1:49" ht="30.15" customHeight="1" x14ac:dyDescent="0.25">
      <c r="A482" s="188" t="s">
        <v>18</v>
      </c>
      <c r="B482" s="189" t="s">
        <v>1</v>
      </c>
      <c r="C482" s="212" t="s">
        <v>34</v>
      </c>
      <c r="D482" s="190" t="s">
        <v>7</v>
      </c>
      <c r="E482" s="190" t="s">
        <v>486</v>
      </c>
      <c r="F482" s="203"/>
      <c r="G482" s="190" t="s">
        <v>487</v>
      </c>
      <c r="H482" s="192" t="s">
        <v>409</v>
      </c>
      <c r="I482" s="193">
        <v>229</v>
      </c>
      <c r="J482" s="193">
        <v>175</v>
      </c>
      <c r="K482" s="193">
        <v>229</v>
      </c>
      <c r="L482" s="194">
        <v>185</v>
      </c>
      <c r="M482" s="194">
        <v>185</v>
      </c>
      <c r="N482" s="284">
        <v>37</v>
      </c>
      <c r="O482" s="285" t="s">
        <v>1</v>
      </c>
      <c r="P482" s="285" t="s">
        <v>1</v>
      </c>
      <c r="Q482" s="285" t="s">
        <v>1</v>
      </c>
      <c r="R482" s="285" t="s">
        <v>1</v>
      </c>
      <c r="S482" s="286">
        <v>37</v>
      </c>
      <c r="T482" s="285" t="s">
        <v>1</v>
      </c>
      <c r="U482" s="285" t="s">
        <v>1</v>
      </c>
      <c r="V482" s="285" t="s">
        <v>1</v>
      </c>
      <c r="W482" s="285" t="s">
        <v>1</v>
      </c>
      <c r="X482" s="286">
        <v>37</v>
      </c>
      <c r="Y482" s="285" t="s">
        <v>1</v>
      </c>
      <c r="Z482" s="285" t="s">
        <v>1</v>
      </c>
      <c r="AA482" s="285" t="s">
        <v>1</v>
      </c>
      <c r="AB482" s="285" t="s">
        <v>1</v>
      </c>
      <c r="AC482" s="286">
        <v>37</v>
      </c>
      <c r="AD482" s="285" t="s">
        <v>1</v>
      </c>
      <c r="AE482" s="285" t="s">
        <v>1</v>
      </c>
      <c r="AF482" s="285" t="s">
        <v>1</v>
      </c>
      <c r="AG482" s="285" t="s">
        <v>1</v>
      </c>
      <c r="AH482" s="286">
        <v>37</v>
      </c>
      <c r="AI482" s="295" t="s">
        <v>1</v>
      </c>
      <c r="AJ482" s="295" t="s">
        <v>1</v>
      </c>
      <c r="AK482" s="295" t="s">
        <v>1</v>
      </c>
      <c r="AL482" s="286" t="s">
        <v>1</v>
      </c>
      <c r="AM482" s="309" t="s">
        <v>1</v>
      </c>
      <c r="AN482" s="287" t="s">
        <v>1</v>
      </c>
      <c r="AO482" s="287" t="s">
        <v>1</v>
      </c>
      <c r="AP482" s="286" t="s">
        <v>1</v>
      </c>
      <c r="AQ482" s="285" t="s">
        <v>1</v>
      </c>
      <c r="AR482" s="289" t="s">
        <v>1</v>
      </c>
      <c r="AS482" s="289" t="s">
        <v>1</v>
      </c>
      <c r="AT482" s="290" t="s">
        <v>1</v>
      </c>
      <c r="AU482" s="287" t="s">
        <v>1</v>
      </c>
      <c r="AV482" s="287" t="s">
        <v>1</v>
      </c>
      <c r="AW482" s="291" t="s">
        <v>1</v>
      </c>
    </row>
    <row r="483" spans="1:49" ht="30.15" customHeight="1" x14ac:dyDescent="0.25">
      <c r="A483" s="188" t="s">
        <v>18</v>
      </c>
      <c r="B483" s="189" t="s">
        <v>1</v>
      </c>
      <c r="C483" s="212" t="s">
        <v>34</v>
      </c>
      <c r="D483" s="190" t="s">
        <v>7</v>
      </c>
      <c r="E483" s="190" t="s">
        <v>544</v>
      </c>
      <c r="F483" s="203"/>
      <c r="G483" s="190" t="s">
        <v>539</v>
      </c>
      <c r="H483" s="192" t="s">
        <v>409</v>
      </c>
      <c r="I483" s="193">
        <v>1150</v>
      </c>
      <c r="J483" s="193">
        <v>1150</v>
      </c>
      <c r="K483" s="193">
        <v>1150</v>
      </c>
      <c r="L483" s="193">
        <v>1440</v>
      </c>
      <c r="M483" s="194">
        <v>1440</v>
      </c>
      <c r="N483" s="284">
        <v>288</v>
      </c>
      <c r="O483" s="285">
        <v>21.67</v>
      </c>
      <c r="P483" s="285">
        <v>24</v>
      </c>
      <c r="Q483" s="285" t="s">
        <v>1</v>
      </c>
      <c r="R483" s="285" t="s">
        <v>1</v>
      </c>
      <c r="S483" s="286">
        <v>288</v>
      </c>
      <c r="T483" s="285">
        <v>21.67</v>
      </c>
      <c r="U483" s="285">
        <v>24</v>
      </c>
      <c r="V483" s="285" t="s">
        <v>1</v>
      </c>
      <c r="W483" s="285" t="s">
        <v>1</v>
      </c>
      <c r="X483" s="286">
        <v>288</v>
      </c>
      <c r="Y483" s="285">
        <v>21.67</v>
      </c>
      <c r="Z483" s="285">
        <v>24</v>
      </c>
      <c r="AA483" s="285" t="s">
        <v>1</v>
      </c>
      <c r="AB483" s="285" t="s">
        <v>1</v>
      </c>
      <c r="AC483" s="286">
        <v>288</v>
      </c>
      <c r="AD483" s="285">
        <v>21.67</v>
      </c>
      <c r="AE483" s="285">
        <v>24</v>
      </c>
      <c r="AF483" s="285" t="s">
        <v>1</v>
      </c>
      <c r="AG483" s="285" t="s">
        <v>1</v>
      </c>
      <c r="AH483" s="286" t="s">
        <v>1</v>
      </c>
      <c r="AI483" s="295" t="s">
        <v>1</v>
      </c>
      <c r="AJ483" s="295" t="s">
        <v>1</v>
      </c>
      <c r="AK483" s="295" t="s">
        <v>1</v>
      </c>
      <c r="AL483" s="286" t="s">
        <v>1</v>
      </c>
      <c r="AM483" s="288" t="s">
        <v>1</v>
      </c>
      <c r="AN483" s="287" t="s">
        <v>1</v>
      </c>
      <c r="AO483" s="287" t="s">
        <v>1</v>
      </c>
      <c r="AP483" s="286" t="s">
        <v>1</v>
      </c>
      <c r="AQ483" s="285" t="s">
        <v>1</v>
      </c>
      <c r="AR483" s="289" t="s">
        <v>1</v>
      </c>
      <c r="AS483" s="289" t="s">
        <v>1</v>
      </c>
      <c r="AT483" s="290" t="s">
        <v>1</v>
      </c>
      <c r="AU483" s="287" t="s">
        <v>1</v>
      </c>
      <c r="AV483" s="287" t="s">
        <v>1</v>
      </c>
      <c r="AW483" s="291" t="s">
        <v>1</v>
      </c>
    </row>
    <row r="484" spans="1:49" ht="30.15" customHeight="1" x14ac:dyDescent="0.25">
      <c r="A484" s="188" t="s">
        <v>18</v>
      </c>
      <c r="B484" s="189" t="s">
        <v>1</v>
      </c>
      <c r="C484" s="212" t="s">
        <v>34</v>
      </c>
      <c r="D484" s="190" t="s">
        <v>7</v>
      </c>
      <c r="E484" s="190" t="s">
        <v>445</v>
      </c>
      <c r="F484" s="203"/>
      <c r="G484" s="190" t="s">
        <v>539</v>
      </c>
      <c r="H484" s="192" t="s">
        <v>409</v>
      </c>
      <c r="I484" s="193">
        <v>1150</v>
      </c>
      <c r="J484" s="193">
        <v>1150</v>
      </c>
      <c r="K484" s="193">
        <v>1150</v>
      </c>
      <c r="L484" s="193">
        <v>1440</v>
      </c>
      <c r="M484" s="194">
        <v>1440</v>
      </c>
      <c r="N484" s="284">
        <v>288</v>
      </c>
      <c r="O484" s="285">
        <v>21.67</v>
      </c>
      <c r="P484" s="285">
        <v>24</v>
      </c>
      <c r="Q484" s="285" t="s">
        <v>1</v>
      </c>
      <c r="R484" s="285" t="s">
        <v>1</v>
      </c>
      <c r="S484" s="286">
        <v>288</v>
      </c>
      <c r="T484" s="285">
        <v>21.67</v>
      </c>
      <c r="U484" s="285">
        <v>24</v>
      </c>
      <c r="V484" s="285" t="s">
        <v>1</v>
      </c>
      <c r="W484" s="285" t="s">
        <v>1</v>
      </c>
      <c r="X484" s="286">
        <v>288</v>
      </c>
      <c r="Y484" s="285">
        <v>21.67</v>
      </c>
      <c r="Z484" s="285">
        <v>24</v>
      </c>
      <c r="AA484" s="285" t="s">
        <v>1</v>
      </c>
      <c r="AB484" s="285" t="s">
        <v>1</v>
      </c>
      <c r="AC484" s="286">
        <v>288</v>
      </c>
      <c r="AD484" s="285">
        <v>21.67</v>
      </c>
      <c r="AE484" s="285">
        <v>24</v>
      </c>
      <c r="AF484" s="285" t="s">
        <v>1</v>
      </c>
      <c r="AG484" s="285" t="s">
        <v>1</v>
      </c>
      <c r="AH484" s="286" t="s">
        <v>1</v>
      </c>
      <c r="AI484" s="295" t="s">
        <v>1</v>
      </c>
      <c r="AJ484" s="295" t="s">
        <v>1</v>
      </c>
      <c r="AK484" s="295" t="s">
        <v>1</v>
      </c>
      <c r="AL484" s="286" t="s">
        <v>1</v>
      </c>
      <c r="AM484" s="288" t="s">
        <v>1</v>
      </c>
      <c r="AN484" s="287" t="s">
        <v>1</v>
      </c>
      <c r="AO484" s="287" t="s">
        <v>1</v>
      </c>
      <c r="AP484" s="286" t="s">
        <v>1</v>
      </c>
      <c r="AQ484" s="285" t="s">
        <v>1</v>
      </c>
      <c r="AR484" s="289" t="s">
        <v>1</v>
      </c>
      <c r="AS484" s="289" t="s">
        <v>1</v>
      </c>
      <c r="AT484" s="290" t="s">
        <v>1</v>
      </c>
      <c r="AU484" s="287" t="s">
        <v>1</v>
      </c>
      <c r="AV484" s="287" t="s">
        <v>1</v>
      </c>
      <c r="AW484" s="291" t="s">
        <v>1</v>
      </c>
    </row>
    <row r="485" spans="1:49" ht="30.15" customHeight="1" x14ac:dyDescent="0.25">
      <c r="A485" s="188" t="s">
        <v>18</v>
      </c>
      <c r="B485" s="189" t="s">
        <v>1</v>
      </c>
      <c r="C485" s="212" t="s">
        <v>34</v>
      </c>
      <c r="D485" s="190" t="s">
        <v>7</v>
      </c>
      <c r="E485" s="190" t="s">
        <v>538</v>
      </c>
      <c r="F485" s="203"/>
      <c r="G485" s="190" t="s">
        <v>540</v>
      </c>
      <c r="H485" s="192" t="s">
        <v>541</v>
      </c>
      <c r="I485" s="193">
        <v>1550</v>
      </c>
      <c r="J485" s="193">
        <v>1440</v>
      </c>
      <c r="K485" s="193">
        <v>1550</v>
      </c>
      <c r="L485" s="193">
        <v>1510</v>
      </c>
      <c r="M485" s="194">
        <v>1510</v>
      </c>
      <c r="N485" s="284">
        <v>302</v>
      </c>
      <c r="O485" s="285" t="s">
        <v>1</v>
      </c>
      <c r="P485" s="285" t="s">
        <v>1</v>
      </c>
      <c r="Q485" s="285" t="s">
        <v>1</v>
      </c>
      <c r="R485" s="285" t="s">
        <v>1</v>
      </c>
      <c r="S485" s="286">
        <v>302</v>
      </c>
      <c r="T485" s="285" t="s">
        <v>1</v>
      </c>
      <c r="U485" s="285" t="s">
        <v>1</v>
      </c>
      <c r="V485" s="285" t="s">
        <v>1</v>
      </c>
      <c r="W485" s="285" t="s">
        <v>1</v>
      </c>
      <c r="X485" s="286">
        <v>302</v>
      </c>
      <c r="Y485" s="285" t="s">
        <v>1</v>
      </c>
      <c r="Z485" s="285" t="s">
        <v>1</v>
      </c>
      <c r="AA485" s="285" t="s">
        <v>1</v>
      </c>
      <c r="AB485" s="285" t="s">
        <v>1</v>
      </c>
      <c r="AC485" s="286">
        <v>302</v>
      </c>
      <c r="AD485" s="285" t="s">
        <v>1</v>
      </c>
      <c r="AE485" s="285" t="s">
        <v>1</v>
      </c>
      <c r="AF485" s="285" t="s">
        <v>1</v>
      </c>
      <c r="AG485" s="285" t="s">
        <v>1</v>
      </c>
      <c r="AH485" s="286" t="s">
        <v>1</v>
      </c>
      <c r="AI485" s="295" t="s">
        <v>1</v>
      </c>
      <c r="AJ485" s="295" t="s">
        <v>1</v>
      </c>
      <c r="AK485" s="295" t="s">
        <v>1</v>
      </c>
      <c r="AL485" s="286" t="s">
        <v>1</v>
      </c>
      <c r="AM485" s="288" t="s">
        <v>1</v>
      </c>
      <c r="AN485" s="287" t="s">
        <v>1</v>
      </c>
      <c r="AO485" s="287" t="s">
        <v>1</v>
      </c>
      <c r="AP485" s="286" t="s">
        <v>1</v>
      </c>
      <c r="AQ485" s="285" t="s">
        <v>1</v>
      </c>
      <c r="AR485" s="289" t="s">
        <v>1</v>
      </c>
      <c r="AS485" s="289" t="s">
        <v>1</v>
      </c>
      <c r="AT485" s="290" t="s">
        <v>1</v>
      </c>
      <c r="AU485" s="287" t="s">
        <v>1</v>
      </c>
      <c r="AV485" s="287" t="s">
        <v>1</v>
      </c>
      <c r="AW485" s="291" t="s">
        <v>1</v>
      </c>
    </row>
    <row r="486" spans="1:49" ht="30.15" customHeight="1" x14ac:dyDescent="0.25">
      <c r="A486" s="188" t="s">
        <v>18</v>
      </c>
      <c r="B486" s="189" t="s">
        <v>1</v>
      </c>
      <c r="C486" s="212" t="s">
        <v>34</v>
      </c>
      <c r="D486" s="190" t="s">
        <v>7</v>
      </c>
      <c r="E486" s="190" t="s">
        <v>642</v>
      </c>
      <c r="F486" s="203"/>
      <c r="G486" s="190" t="s">
        <v>649</v>
      </c>
      <c r="H486" s="192" t="s">
        <v>409</v>
      </c>
      <c r="I486" s="193">
        <v>1380</v>
      </c>
      <c r="J486" s="193">
        <v>1380</v>
      </c>
      <c r="K486" s="193">
        <v>1380</v>
      </c>
      <c r="L486" s="193">
        <v>1518</v>
      </c>
      <c r="M486" s="194">
        <v>1518</v>
      </c>
      <c r="N486" s="284">
        <v>303.60000000000002</v>
      </c>
      <c r="O486" s="285">
        <v>2.42</v>
      </c>
      <c r="P486" s="285">
        <v>24</v>
      </c>
      <c r="Q486" s="306">
        <v>290</v>
      </c>
      <c r="R486" s="306" t="s">
        <v>1</v>
      </c>
      <c r="S486" s="286">
        <v>303.60000000000002</v>
      </c>
      <c r="T486" s="285">
        <v>2.42</v>
      </c>
      <c r="U486" s="285">
        <v>24</v>
      </c>
      <c r="V486" s="306">
        <v>290</v>
      </c>
      <c r="W486" s="306" t="s">
        <v>1</v>
      </c>
      <c r="X486" s="286">
        <v>303.60000000000002</v>
      </c>
      <c r="Y486" s="285">
        <v>13.25</v>
      </c>
      <c r="Z486" s="285">
        <v>24</v>
      </c>
      <c r="AA486" s="285">
        <v>290</v>
      </c>
      <c r="AB486" s="285" t="s">
        <v>1</v>
      </c>
      <c r="AC486" s="286">
        <v>303.60000000000002</v>
      </c>
      <c r="AD486" s="285">
        <v>13.25</v>
      </c>
      <c r="AE486" s="285">
        <v>24</v>
      </c>
      <c r="AF486" s="285">
        <v>290</v>
      </c>
      <c r="AG486" s="285" t="s">
        <v>1</v>
      </c>
      <c r="AH486" s="286" t="s">
        <v>1</v>
      </c>
      <c r="AI486" s="295" t="s">
        <v>1</v>
      </c>
      <c r="AJ486" s="295" t="s">
        <v>1</v>
      </c>
      <c r="AK486" s="295" t="s">
        <v>1</v>
      </c>
      <c r="AL486" s="286" t="s">
        <v>1</v>
      </c>
      <c r="AM486" s="288" t="s">
        <v>1</v>
      </c>
      <c r="AN486" s="287" t="s">
        <v>1</v>
      </c>
      <c r="AO486" s="287" t="s">
        <v>1</v>
      </c>
      <c r="AP486" s="286" t="s">
        <v>1</v>
      </c>
      <c r="AQ486" s="285" t="s">
        <v>1</v>
      </c>
      <c r="AR486" s="289" t="s">
        <v>1</v>
      </c>
      <c r="AS486" s="289" t="s">
        <v>1</v>
      </c>
      <c r="AT486" s="290" t="s">
        <v>1</v>
      </c>
      <c r="AU486" s="287" t="s">
        <v>1</v>
      </c>
      <c r="AV486" s="287" t="s">
        <v>1</v>
      </c>
      <c r="AW486" s="291" t="s">
        <v>1</v>
      </c>
    </row>
    <row r="487" spans="1:49" ht="30.15" customHeight="1" x14ac:dyDescent="0.25">
      <c r="A487" s="188" t="s">
        <v>18</v>
      </c>
      <c r="B487" s="189" t="s">
        <v>1</v>
      </c>
      <c r="C487" s="212" t="s">
        <v>34</v>
      </c>
      <c r="D487" s="190" t="s">
        <v>7</v>
      </c>
      <c r="E487" s="190" t="s">
        <v>643</v>
      </c>
      <c r="F487" s="203"/>
      <c r="G487" s="190" t="s">
        <v>649</v>
      </c>
      <c r="H487" s="192" t="s">
        <v>409</v>
      </c>
      <c r="I487" s="193">
        <v>1380</v>
      </c>
      <c r="J487" s="193">
        <v>1380</v>
      </c>
      <c r="K487" s="193">
        <v>1380</v>
      </c>
      <c r="L487" s="193">
        <v>1518</v>
      </c>
      <c r="M487" s="194">
        <v>1518</v>
      </c>
      <c r="N487" s="284">
        <v>303.60000000000002</v>
      </c>
      <c r="O487" s="285">
        <v>2.42</v>
      </c>
      <c r="P487" s="285">
        <v>24</v>
      </c>
      <c r="Q487" s="306">
        <v>290</v>
      </c>
      <c r="R487" s="306" t="s">
        <v>1</v>
      </c>
      <c r="S487" s="286">
        <v>303.60000000000002</v>
      </c>
      <c r="T487" s="285">
        <v>2.42</v>
      </c>
      <c r="U487" s="285">
        <v>24</v>
      </c>
      <c r="V487" s="306">
        <v>290</v>
      </c>
      <c r="W487" s="306" t="s">
        <v>1</v>
      </c>
      <c r="X487" s="286">
        <v>303.60000000000002</v>
      </c>
      <c r="Y487" s="285">
        <v>13.25</v>
      </c>
      <c r="Z487" s="285">
        <v>24</v>
      </c>
      <c r="AA487" s="285">
        <v>290</v>
      </c>
      <c r="AB487" s="285" t="s">
        <v>1</v>
      </c>
      <c r="AC487" s="286">
        <v>303.60000000000002</v>
      </c>
      <c r="AD487" s="285">
        <v>13.25</v>
      </c>
      <c r="AE487" s="285">
        <v>24</v>
      </c>
      <c r="AF487" s="285">
        <v>290</v>
      </c>
      <c r="AG487" s="285" t="s">
        <v>1</v>
      </c>
      <c r="AH487" s="286" t="s">
        <v>1</v>
      </c>
      <c r="AI487" s="295" t="s">
        <v>1</v>
      </c>
      <c r="AJ487" s="295" t="s">
        <v>1</v>
      </c>
      <c r="AK487" s="295" t="s">
        <v>1</v>
      </c>
      <c r="AL487" s="286" t="s">
        <v>1</v>
      </c>
      <c r="AM487" s="288" t="s">
        <v>1</v>
      </c>
      <c r="AN487" s="287" t="s">
        <v>1</v>
      </c>
      <c r="AO487" s="287" t="s">
        <v>1</v>
      </c>
      <c r="AP487" s="286" t="s">
        <v>1</v>
      </c>
      <c r="AQ487" s="285" t="s">
        <v>1</v>
      </c>
      <c r="AR487" s="289" t="s">
        <v>1</v>
      </c>
      <c r="AS487" s="289" t="s">
        <v>1</v>
      </c>
      <c r="AT487" s="290" t="s">
        <v>1</v>
      </c>
      <c r="AU487" s="287" t="s">
        <v>1</v>
      </c>
      <c r="AV487" s="287" t="s">
        <v>1</v>
      </c>
      <c r="AW487" s="291" t="s">
        <v>1</v>
      </c>
    </row>
    <row r="488" spans="1:49" ht="30.15" customHeight="1" x14ac:dyDescent="0.25">
      <c r="A488" s="236" t="s">
        <v>18</v>
      </c>
      <c r="B488" s="237" t="s">
        <v>1</v>
      </c>
      <c r="C488" s="238" t="s">
        <v>34</v>
      </c>
      <c r="D488" s="190" t="s">
        <v>7</v>
      </c>
      <c r="E488" s="190" t="s">
        <v>648</v>
      </c>
      <c r="F488" s="203"/>
      <c r="G488" s="190" t="s">
        <v>649</v>
      </c>
      <c r="H488" s="219" t="s">
        <v>7</v>
      </c>
      <c r="I488" s="220">
        <v>1380</v>
      </c>
      <c r="J488" s="220">
        <v>1380</v>
      </c>
      <c r="K488" s="220">
        <v>1380</v>
      </c>
      <c r="L488" s="220">
        <v>1518</v>
      </c>
      <c r="M488" s="220">
        <v>1518</v>
      </c>
      <c r="N488" s="304">
        <v>303.60000000000002</v>
      </c>
      <c r="O488" s="285">
        <v>2.42</v>
      </c>
      <c r="P488" s="285">
        <v>24</v>
      </c>
      <c r="Q488" s="306">
        <v>290</v>
      </c>
      <c r="R488" s="306" t="s">
        <v>1</v>
      </c>
      <c r="S488" s="305">
        <v>303.60000000000002</v>
      </c>
      <c r="T488" s="285">
        <v>2.42</v>
      </c>
      <c r="U488" s="285">
        <v>24</v>
      </c>
      <c r="V488" s="306">
        <v>290</v>
      </c>
      <c r="W488" s="306" t="s">
        <v>1</v>
      </c>
      <c r="X488" s="305">
        <v>303.60000000000002</v>
      </c>
      <c r="Y488" s="285">
        <v>13.25</v>
      </c>
      <c r="Z488" s="285">
        <v>24</v>
      </c>
      <c r="AA488" s="285">
        <v>290</v>
      </c>
      <c r="AB488" s="285" t="s">
        <v>1</v>
      </c>
      <c r="AC488" s="305">
        <v>303.60000000000002</v>
      </c>
      <c r="AD488" s="285">
        <v>13.25</v>
      </c>
      <c r="AE488" s="285">
        <v>24</v>
      </c>
      <c r="AF488" s="285">
        <v>290</v>
      </c>
      <c r="AG488" s="285" t="s">
        <v>1</v>
      </c>
      <c r="AH488" s="305" t="s">
        <v>1</v>
      </c>
      <c r="AI488" s="295" t="s">
        <v>1</v>
      </c>
      <c r="AJ488" s="295" t="s">
        <v>1</v>
      </c>
      <c r="AK488" s="295" t="s">
        <v>1</v>
      </c>
      <c r="AL488" s="305" t="s">
        <v>1</v>
      </c>
      <c r="AM488" s="310" t="s">
        <v>1</v>
      </c>
      <c r="AN488" s="287" t="s">
        <v>1</v>
      </c>
      <c r="AO488" s="287" t="s">
        <v>1</v>
      </c>
      <c r="AP488" s="305" t="s">
        <v>1</v>
      </c>
      <c r="AQ488" s="311" t="s">
        <v>1</v>
      </c>
      <c r="AR488" s="289" t="s">
        <v>1</v>
      </c>
      <c r="AS488" s="289" t="s">
        <v>1</v>
      </c>
      <c r="AT488" s="290" t="s">
        <v>1</v>
      </c>
      <c r="AU488" s="287" t="s">
        <v>1</v>
      </c>
      <c r="AV488" s="287" t="s">
        <v>1</v>
      </c>
      <c r="AW488" s="291" t="s">
        <v>1</v>
      </c>
    </row>
    <row r="489" spans="1:49" ht="30.15" customHeight="1" x14ac:dyDescent="0.25">
      <c r="A489" s="236" t="s">
        <v>18</v>
      </c>
      <c r="B489" s="237" t="s">
        <v>1</v>
      </c>
      <c r="C489" s="238" t="s">
        <v>34</v>
      </c>
      <c r="D489" s="190" t="s">
        <v>7</v>
      </c>
      <c r="E489" s="190" t="s">
        <v>650</v>
      </c>
      <c r="F489" s="203"/>
      <c r="G489" s="190" t="s">
        <v>651</v>
      </c>
      <c r="H489" s="219" t="s">
        <v>7</v>
      </c>
      <c r="I489" s="220">
        <v>1510</v>
      </c>
      <c r="J489" s="220">
        <v>1510</v>
      </c>
      <c r="K489" s="220">
        <v>1510</v>
      </c>
      <c r="L489" s="220">
        <v>1600</v>
      </c>
      <c r="M489" s="220">
        <v>1600</v>
      </c>
      <c r="N489" s="304">
        <v>320</v>
      </c>
      <c r="O489" s="285" t="s">
        <v>1</v>
      </c>
      <c r="P489" s="285" t="s">
        <v>1</v>
      </c>
      <c r="Q489" s="285" t="s">
        <v>1</v>
      </c>
      <c r="R489" s="285" t="s">
        <v>1</v>
      </c>
      <c r="S489" s="305">
        <v>320</v>
      </c>
      <c r="T489" s="285" t="s">
        <v>1</v>
      </c>
      <c r="U489" s="285" t="s">
        <v>1</v>
      </c>
      <c r="V489" s="285" t="s">
        <v>1</v>
      </c>
      <c r="W489" s="285" t="s">
        <v>1</v>
      </c>
      <c r="X489" s="305">
        <v>320</v>
      </c>
      <c r="Y489" s="285" t="s">
        <v>1</v>
      </c>
      <c r="Z489" s="285" t="s">
        <v>1</v>
      </c>
      <c r="AA489" s="285" t="s">
        <v>1</v>
      </c>
      <c r="AB489" s="285" t="s">
        <v>1</v>
      </c>
      <c r="AC489" s="305">
        <v>320</v>
      </c>
      <c r="AD489" s="285" t="s">
        <v>1</v>
      </c>
      <c r="AE489" s="285" t="s">
        <v>1</v>
      </c>
      <c r="AF489" s="285" t="s">
        <v>1</v>
      </c>
      <c r="AG489" s="285" t="s">
        <v>1</v>
      </c>
      <c r="AH489" s="305" t="s">
        <v>1</v>
      </c>
      <c r="AI489" s="295" t="s">
        <v>1</v>
      </c>
      <c r="AJ489" s="295" t="s">
        <v>1</v>
      </c>
      <c r="AK489" s="295" t="s">
        <v>1</v>
      </c>
      <c r="AL489" s="305" t="s">
        <v>1</v>
      </c>
      <c r="AM489" s="310" t="s">
        <v>1</v>
      </c>
      <c r="AN489" s="287" t="s">
        <v>1</v>
      </c>
      <c r="AO489" s="287" t="s">
        <v>1</v>
      </c>
      <c r="AP489" s="305" t="s">
        <v>1</v>
      </c>
      <c r="AQ489" s="311" t="s">
        <v>1</v>
      </c>
      <c r="AR489" s="289" t="s">
        <v>1</v>
      </c>
      <c r="AS489" s="289" t="s">
        <v>1</v>
      </c>
      <c r="AT489" s="290" t="s">
        <v>1</v>
      </c>
      <c r="AU489" s="287" t="s">
        <v>1</v>
      </c>
      <c r="AV489" s="287" t="s">
        <v>1</v>
      </c>
      <c r="AW489" s="291" t="s">
        <v>1</v>
      </c>
    </row>
    <row r="490" spans="1:49" ht="30.15" customHeight="1" x14ac:dyDescent="0.25">
      <c r="A490" s="236" t="s">
        <v>18</v>
      </c>
      <c r="B490" s="237" t="s">
        <v>1</v>
      </c>
      <c r="C490" s="238" t="s">
        <v>34</v>
      </c>
      <c r="D490" s="241" t="s">
        <v>7</v>
      </c>
      <c r="E490" s="241" t="s">
        <v>652</v>
      </c>
      <c r="F490" s="242"/>
      <c r="G490" s="241" t="s">
        <v>646</v>
      </c>
      <c r="H490" s="219" t="s">
        <v>7</v>
      </c>
      <c r="I490" s="220">
        <v>1190</v>
      </c>
      <c r="J490" s="220">
        <v>1190</v>
      </c>
      <c r="K490" s="220">
        <v>1190</v>
      </c>
      <c r="L490" s="220">
        <v>1260</v>
      </c>
      <c r="M490" s="220">
        <v>1260</v>
      </c>
      <c r="N490" s="304">
        <v>252</v>
      </c>
      <c r="O490" s="285" t="s">
        <v>1</v>
      </c>
      <c r="P490" s="285" t="s">
        <v>1</v>
      </c>
      <c r="Q490" s="285" t="s">
        <v>1</v>
      </c>
      <c r="R490" s="285" t="s">
        <v>1</v>
      </c>
      <c r="S490" s="305">
        <v>252</v>
      </c>
      <c r="T490" s="285" t="s">
        <v>1</v>
      </c>
      <c r="U490" s="285" t="s">
        <v>1</v>
      </c>
      <c r="V490" s="285" t="s">
        <v>1</v>
      </c>
      <c r="W490" s="285" t="s">
        <v>1</v>
      </c>
      <c r="X490" s="305">
        <v>252</v>
      </c>
      <c r="Y490" s="285">
        <v>10.84</v>
      </c>
      <c r="Z490" s="285">
        <v>24</v>
      </c>
      <c r="AA490" s="285" t="s">
        <v>1</v>
      </c>
      <c r="AB490" s="285" t="s">
        <v>1</v>
      </c>
      <c r="AC490" s="305">
        <v>252</v>
      </c>
      <c r="AD490" s="285">
        <v>10.84</v>
      </c>
      <c r="AE490" s="285">
        <v>24</v>
      </c>
      <c r="AF490" s="285" t="s">
        <v>1</v>
      </c>
      <c r="AG490" s="285" t="s">
        <v>1</v>
      </c>
      <c r="AH490" s="305" t="s">
        <v>1</v>
      </c>
      <c r="AI490" s="295" t="s">
        <v>1</v>
      </c>
      <c r="AJ490" s="295" t="s">
        <v>1</v>
      </c>
      <c r="AK490" s="295" t="s">
        <v>1</v>
      </c>
      <c r="AL490" s="305" t="s">
        <v>1</v>
      </c>
      <c r="AM490" s="310" t="s">
        <v>1</v>
      </c>
      <c r="AN490" s="287" t="s">
        <v>1</v>
      </c>
      <c r="AO490" s="287" t="s">
        <v>1</v>
      </c>
      <c r="AP490" s="305" t="s">
        <v>1</v>
      </c>
      <c r="AQ490" s="311" t="s">
        <v>1</v>
      </c>
      <c r="AR490" s="289" t="s">
        <v>1</v>
      </c>
      <c r="AS490" s="289" t="s">
        <v>1</v>
      </c>
      <c r="AT490" s="290" t="s">
        <v>1</v>
      </c>
      <c r="AU490" s="287" t="s">
        <v>1</v>
      </c>
      <c r="AV490" s="287" t="s">
        <v>1</v>
      </c>
      <c r="AW490" s="291" t="s">
        <v>1</v>
      </c>
    </row>
    <row r="491" spans="1:49" ht="30.15" customHeight="1" x14ac:dyDescent="0.25">
      <c r="A491" s="188" t="s">
        <v>18</v>
      </c>
      <c r="B491" s="189" t="s">
        <v>1</v>
      </c>
      <c r="C491" s="212" t="s">
        <v>34</v>
      </c>
      <c r="D491" s="241" t="s">
        <v>7</v>
      </c>
      <c r="E491" s="241" t="s">
        <v>644</v>
      </c>
      <c r="F491" s="242"/>
      <c r="G491" s="241" t="s">
        <v>646</v>
      </c>
      <c r="H491" s="192" t="s">
        <v>647</v>
      </c>
      <c r="I491" s="193">
        <v>1190</v>
      </c>
      <c r="J491" s="193">
        <v>1190</v>
      </c>
      <c r="K491" s="193">
        <v>1190</v>
      </c>
      <c r="L491" s="193">
        <v>1260</v>
      </c>
      <c r="M491" s="194">
        <v>1260</v>
      </c>
      <c r="N491" s="284">
        <v>252</v>
      </c>
      <c r="O491" s="285" t="s">
        <v>1</v>
      </c>
      <c r="P491" s="285" t="s">
        <v>1</v>
      </c>
      <c r="Q491" s="285" t="s">
        <v>1</v>
      </c>
      <c r="R491" s="285" t="s">
        <v>1</v>
      </c>
      <c r="S491" s="286">
        <v>252</v>
      </c>
      <c r="T491" s="285" t="s">
        <v>1</v>
      </c>
      <c r="U491" s="285" t="s">
        <v>1</v>
      </c>
      <c r="V491" s="285" t="s">
        <v>1</v>
      </c>
      <c r="W491" s="285" t="s">
        <v>1</v>
      </c>
      <c r="X491" s="286">
        <v>252</v>
      </c>
      <c r="Y491" s="285">
        <v>10.84</v>
      </c>
      <c r="Z491" s="285">
        <v>24</v>
      </c>
      <c r="AA491" s="285" t="s">
        <v>1</v>
      </c>
      <c r="AB491" s="285" t="s">
        <v>1</v>
      </c>
      <c r="AC491" s="286">
        <v>252</v>
      </c>
      <c r="AD491" s="285">
        <v>10.84</v>
      </c>
      <c r="AE491" s="285">
        <v>24</v>
      </c>
      <c r="AF491" s="285" t="s">
        <v>1</v>
      </c>
      <c r="AG491" s="285" t="s">
        <v>1</v>
      </c>
      <c r="AH491" s="286" t="s">
        <v>1</v>
      </c>
      <c r="AI491" s="295" t="s">
        <v>1</v>
      </c>
      <c r="AJ491" s="295" t="s">
        <v>1</v>
      </c>
      <c r="AK491" s="295" t="s">
        <v>1</v>
      </c>
      <c r="AL491" s="286" t="s">
        <v>1</v>
      </c>
      <c r="AM491" s="288" t="s">
        <v>1</v>
      </c>
      <c r="AN491" s="287" t="s">
        <v>1</v>
      </c>
      <c r="AO491" s="287" t="s">
        <v>1</v>
      </c>
      <c r="AP491" s="286" t="s">
        <v>1</v>
      </c>
      <c r="AQ491" s="285" t="s">
        <v>1</v>
      </c>
      <c r="AR491" s="289" t="s">
        <v>1</v>
      </c>
      <c r="AS491" s="289" t="s">
        <v>1</v>
      </c>
      <c r="AT491" s="290" t="s">
        <v>1</v>
      </c>
      <c r="AU491" s="287" t="s">
        <v>1</v>
      </c>
      <c r="AV491" s="287" t="s">
        <v>1</v>
      </c>
      <c r="AW491" s="291" t="s">
        <v>1</v>
      </c>
    </row>
    <row r="492" spans="1:49" ht="30.15" customHeight="1" x14ac:dyDescent="0.25">
      <c r="A492" s="188" t="s">
        <v>18</v>
      </c>
      <c r="B492" s="189" t="s">
        <v>1</v>
      </c>
      <c r="C492" s="212" t="s">
        <v>34</v>
      </c>
      <c r="D492" s="241" t="s">
        <v>7</v>
      </c>
      <c r="E492" s="241" t="s">
        <v>645</v>
      </c>
      <c r="F492" s="242"/>
      <c r="G492" s="241" t="s">
        <v>646</v>
      </c>
      <c r="H492" s="192" t="s">
        <v>647</v>
      </c>
      <c r="I492" s="193">
        <v>1190</v>
      </c>
      <c r="J492" s="193">
        <v>1190</v>
      </c>
      <c r="K492" s="193">
        <v>1190</v>
      </c>
      <c r="L492" s="193">
        <v>1260</v>
      </c>
      <c r="M492" s="194">
        <v>1260</v>
      </c>
      <c r="N492" s="284">
        <v>252</v>
      </c>
      <c r="O492" s="285" t="s">
        <v>1</v>
      </c>
      <c r="P492" s="285" t="s">
        <v>1</v>
      </c>
      <c r="Q492" s="285" t="s">
        <v>1</v>
      </c>
      <c r="R492" s="285" t="s">
        <v>1</v>
      </c>
      <c r="S492" s="286">
        <v>252</v>
      </c>
      <c r="T492" s="285" t="s">
        <v>1</v>
      </c>
      <c r="U492" s="285" t="s">
        <v>1</v>
      </c>
      <c r="V492" s="285" t="s">
        <v>1</v>
      </c>
      <c r="W492" s="285" t="s">
        <v>1</v>
      </c>
      <c r="X492" s="286">
        <v>252</v>
      </c>
      <c r="Y492" s="285">
        <v>10.84</v>
      </c>
      <c r="Z492" s="285">
        <v>24</v>
      </c>
      <c r="AA492" s="285" t="s">
        <v>1</v>
      </c>
      <c r="AB492" s="285" t="s">
        <v>1</v>
      </c>
      <c r="AC492" s="286">
        <v>252</v>
      </c>
      <c r="AD492" s="285">
        <v>10.84</v>
      </c>
      <c r="AE492" s="285">
        <v>24</v>
      </c>
      <c r="AF492" s="285" t="s">
        <v>1</v>
      </c>
      <c r="AG492" s="285" t="s">
        <v>1</v>
      </c>
      <c r="AH492" s="286" t="s">
        <v>1</v>
      </c>
      <c r="AI492" s="295" t="s">
        <v>1</v>
      </c>
      <c r="AJ492" s="295" t="s">
        <v>1</v>
      </c>
      <c r="AK492" s="295" t="s">
        <v>1</v>
      </c>
      <c r="AL492" s="286" t="s">
        <v>1</v>
      </c>
      <c r="AM492" s="288" t="s">
        <v>1</v>
      </c>
      <c r="AN492" s="287" t="s">
        <v>1</v>
      </c>
      <c r="AO492" s="287" t="s">
        <v>1</v>
      </c>
      <c r="AP492" s="286" t="s">
        <v>1</v>
      </c>
      <c r="AQ492" s="285" t="s">
        <v>1</v>
      </c>
      <c r="AR492" s="289" t="s">
        <v>1</v>
      </c>
      <c r="AS492" s="289" t="s">
        <v>1</v>
      </c>
      <c r="AT492" s="290" t="s">
        <v>1</v>
      </c>
      <c r="AU492" s="287" t="s">
        <v>1</v>
      </c>
      <c r="AV492" s="287" t="s">
        <v>1</v>
      </c>
      <c r="AW492" s="291" t="s">
        <v>1</v>
      </c>
    </row>
    <row r="493" spans="1:49" ht="30.15" customHeight="1" x14ac:dyDescent="0.25">
      <c r="A493" s="188" t="s">
        <v>18</v>
      </c>
      <c r="B493" s="189" t="s">
        <v>1</v>
      </c>
      <c r="C493" s="212" t="s">
        <v>34</v>
      </c>
      <c r="D493" s="190" t="s">
        <v>7</v>
      </c>
      <c r="E493" s="190" t="s">
        <v>918</v>
      </c>
      <c r="F493" s="203"/>
      <c r="G493" s="190" t="s">
        <v>919</v>
      </c>
      <c r="H493" s="192" t="s">
        <v>409</v>
      </c>
      <c r="I493" s="193">
        <v>1729</v>
      </c>
      <c r="J493" s="193">
        <v>1729</v>
      </c>
      <c r="K493" s="193">
        <v>1729</v>
      </c>
      <c r="L493" s="193">
        <v>2250</v>
      </c>
      <c r="M493" s="194">
        <v>2250</v>
      </c>
      <c r="N493" s="284">
        <v>450</v>
      </c>
      <c r="O493" s="285">
        <v>17.920000000000002</v>
      </c>
      <c r="P493" s="285">
        <v>24</v>
      </c>
      <c r="Q493" s="285">
        <v>380</v>
      </c>
      <c r="R493" s="285" t="s">
        <v>1</v>
      </c>
      <c r="S493" s="286">
        <v>450</v>
      </c>
      <c r="T493" s="285">
        <v>17.920000000000002</v>
      </c>
      <c r="U493" s="285">
        <v>24</v>
      </c>
      <c r="V493" s="285">
        <v>380</v>
      </c>
      <c r="W493" s="285" t="s">
        <v>1</v>
      </c>
      <c r="X493" s="286">
        <v>450</v>
      </c>
      <c r="Y493" s="285">
        <v>39.42</v>
      </c>
      <c r="Z493" s="285">
        <v>24</v>
      </c>
      <c r="AA493" s="285">
        <v>380</v>
      </c>
      <c r="AB493" s="285" t="s">
        <v>1</v>
      </c>
      <c r="AC493" s="286">
        <v>450</v>
      </c>
      <c r="AD493" s="285">
        <v>39.42</v>
      </c>
      <c r="AE493" s="285">
        <v>24</v>
      </c>
      <c r="AF493" s="285">
        <v>380</v>
      </c>
      <c r="AG493" s="285" t="s">
        <v>1</v>
      </c>
      <c r="AH493" s="286" t="s">
        <v>1</v>
      </c>
      <c r="AI493" s="295" t="s">
        <v>1</v>
      </c>
      <c r="AJ493" s="295" t="s">
        <v>1</v>
      </c>
      <c r="AK493" s="295" t="s">
        <v>1</v>
      </c>
      <c r="AL493" s="286" t="s">
        <v>1</v>
      </c>
      <c r="AM493" s="288" t="s">
        <v>1</v>
      </c>
      <c r="AN493" s="287" t="s">
        <v>1</v>
      </c>
      <c r="AO493" s="287" t="s">
        <v>1</v>
      </c>
      <c r="AP493" s="286" t="s">
        <v>1</v>
      </c>
      <c r="AQ493" s="285" t="s">
        <v>1</v>
      </c>
      <c r="AR493" s="289" t="s">
        <v>1</v>
      </c>
      <c r="AS493" s="289" t="s">
        <v>1</v>
      </c>
      <c r="AT493" s="290" t="s">
        <v>1</v>
      </c>
      <c r="AU493" s="287" t="s">
        <v>1</v>
      </c>
      <c r="AV493" s="287" t="s">
        <v>1</v>
      </c>
      <c r="AW493" s="291" t="s">
        <v>1</v>
      </c>
    </row>
    <row r="494" spans="1:49" ht="30.15" customHeight="1" x14ac:dyDescent="0.25">
      <c r="A494" s="188" t="s">
        <v>18</v>
      </c>
      <c r="B494" s="189" t="s">
        <v>1</v>
      </c>
      <c r="C494" s="212" t="s">
        <v>34</v>
      </c>
      <c r="D494" s="190" t="s">
        <v>7</v>
      </c>
      <c r="E494" s="190" t="s">
        <v>920</v>
      </c>
      <c r="F494" s="203"/>
      <c r="G494" s="190" t="s">
        <v>919</v>
      </c>
      <c r="H494" s="192" t="s">
        <v>409</v>
      </c>
      <c r="I494" s="193">
        <v>1729</v>
      </c>
      <c r="J494" s="193">
        <v>1729</v>
      </c>
      <c r="K494" s="193">
        <v>1729</v>
      </c>
      <c r="L494" s="193">
        <v>2250</v>
      </c>
      <c r="M494" s="194">
        <v>2250</v>
      </c>
      <c r="N494" s="284">
        <v>450</v>
      </c>
      <c r="O494" s="285">
        <v>17.920000000000002</v>
      </c>
      <c r="P494" s="285">
        <v>24</v>
      </c>
      <c r="Q494" s="285">
        <v>380</v>
      </c>
      <c r="R494" s="285" t="s">
        <v>1</v>
      </c>
      <c r="S494" s="286">
        <v>450</v>
      </c>
      <c r="T494" s="285">
        <v>17.920000000000002</v>
      </c>
      <c r="U494" s="285">
        <v>24</v>
      </c>
      <c r="V494" s="285">
        <v>380</v>
      </c>
      <c r="W494" s="285" t="s">
        <v>1</v>
      </c>
      <c r="X494" s="286">
        <v>450</v>
      </c>
      <c r="Y494" s="285">
        <v>39.42</v>
      </c>
      <c r="Z494" s="285">
        <v>24</v>
      </c>
      <c r="AA494" s="285">
        <v>380</v>
      </c>
      <c r="AB494" s="285" t="s">
        <v>1</v>
      </c>
      <c r="AC494" s="286">
        <v>450</v>
      </c>
      <c r="AD494" s="285">
        <v>39.42</v>
      </c>
      <c r="AE494" s="285">
        <v>24</v>
      </c>
      <c r="AF494" s="285">
        <v>380</v>
      </c>
      <c r="AG494" s="285" t="s">
        <v>1</v>
      </c>
      <c r="AH494" s="286" t="s">
        <v>1</v>
      </c>
      <c r="AI494" s="295" t="s">
        <v>1</v>
      </c>
      <c r="AJ494" s="295" t="s">
        <v>1</v>
      </c>
      <c r="AK494" s="295" t="s">
        <v>1</v>
      </c>
      <c r="AL494" s="286" t="s">
        <v>1</v>
      </c>
      <c r="AM494" s="288" t="s">
        <v>1</v>
      </c>
      <c r="AN494" s="287" t="s">
        <v>1</v>
      </c>
      <c r="AO494" s="287" t="s">
        <v>1</v>
      </c>
      <c r="AP494" s="286" t="s">
        <v>1</v>
      </c>
      <c r="AQ494" s="285" t="s">
        <v>1</v>
      </c>
      <c r="AR494" s="289" t="s">
        <v>1</v>
      </c>
      <c r="AS494" s="289" t="s">
        <v>1</v>
      </c>
      <c r="AT494" s="290" t="s">
        <v>1</v>
      </c>
      <c r="AU494" s="287" t="s">
        <v>1</v>
      </c>
      <c r="AV494" s="287" t="s">
        <v>1</v>
      </c>
      <c r="AW494" s="291" t="s">
        <v>1</v>
      </c>
    </row>
    <row r="495" spans="1:49" ht="30.15" customHeight="1" x14ac:dyDescent="0.25">
      <c r="A495" s="188" t="s">
        <v>18</v>
      </c>
      <c r="B495" s="189" t="s">
        <v>1</v>
      </c>
      <c r="C495" s="212" t="s">
        <v>34</v>
      </c>
      <c r="D495" s="190" t="s">
        <v>7</v>
      </c>
      <c r="E495" s="190" t="s">
        <v>921</v>
      </c>
      <c r="F495" s="203"/>
      <c r="G495" s="190" t="s">
        <v>922</v>
      </c>
      <c r="H495" s="192" t="s">
        <v>647</v>
      </c>
      <c r="I495" s="193">
        <v>1928</v>
      </c>
      <c r="J495" s="193">
        <v>1928</v>
      </c>
      <c r="K495" s="193">
        <v>1928</v>
      </c>
      <c r="L495" s="193">
        <v>2510</v>
      </c>
      <c r="M495" s="194">
        <v>2510</v>
      </c>
      <c r="N495" s="284">
        <v>502</v>
      </c>
      <c r="O495" s="285">
        <v>20</v>
      </c>
      <c r="P495" s="285">
        <v>24</v>
      </c>
      <c r="Q495" s="285">
        <v>410</v>
      </c>
      <c r="R495" s="285" t="s">
        <v>1</v>
      </c>
      <c r="S495" s="286">
        <v>502</v>
      </c>
      <c r="T495" s="285">
        <v>20</v>
      </c>
      <c r="U495" s="285">
        <v>24</v>
      </c>
      <c r="V495" s="285">
        <v>410</v>
      </c>
      <c r="W495" s="285" t="s">
        <v>1</v>
      </c>
      <c r="X495" s="286">
        <v>502</v>
      </c>
      <c r="Y495" s="285">
        <v>39.42</v>
      </c>
      <c r="Z495" s="285">
        <v>24</v>
      </c>
      <c r="AA495" s="285">
        <v>410</v>
      </c>
      <c r="AB495" s="285" t="s">
        <v>1</v>
      </c>
      <c r="AC495" s="286">
        <v>502</v>
      </c>
      <c r="AD495" s="285">
        <v>39.42</v>
      </c>
      <c r="AE495" s="285">
        <v>24</v>
      </c>
      <c r="AF495" s="285">
        <v>410</v>
      </c>
      <c r="AG495" s="285" t="s">
        <v>1</v>
      </c>
      <c r="AH495" s="286" t="s">
        <v>1</v>
      </c>
      <c r="AI495" s="295" t="s">
        <v>1</v>
      </c>
      <c r="AJ495" s="295" t="s">
        <v>1</v>
      </c>
      <c r="AK495" s="295" t="s">
        <v>1</v>
      </c>
      <c r="AL495" s="286" t="s">
        <v>1</v>
      </c>
      <c r="AM495" s="288" t="s">
        <v>1</v>
      </c>
      <c r="AN495" s="287" t="s">
        <v>1</v>
      </c>
      <c r="AO495" s="287" t="s">
        <v>1</v>
      </c>
      <c r="AP495" s="286" t="s">
        <v>1</v>
      </c>
      <c r="AQ495" s="285" t="s">
        <v>1</v>
      </c>
      <c r="AR495" s="289" t="s">
        <v>1</v>
      </c>
      <c r="AS495" s="289" t="s">
        <v>1</v>
      </c>
      <c r="AT495" s="290" t="s">
        <v>1</v>
      </c>
      <c r="AU495" s="287" t="s">
        <v>1</v>
      </c>
      <c r="AV495" s="287" t="s">
        <v>1</v>
      </c>
      <c r="AW495" s="291" t="s">
        <v>1</v>
      </c>
    </row>
    <row r="496" spans="1:49" ht="30.15" customHeight="1" x14ac:dyDescent="0.25">
      <c r="A496" s="188" t="s">
        <v>18</v>
      </c>
      <c r="B496" s="189" t="s">
        <v>1</v>
      </c>
      <c r="C496" s="212" t="s">
        <v>34</v>
      </c>
      <c r="D496" s="190" t="s">
        <v>7</v>
      </c>
      <c r="E496" s="190" t="s">
        <v>923</v>
      </c>
      <c r="F496" s="203"/>
      <c r="G496" s="190" t="s">
        <v>924</v>
      </c>
      <c r="H496" s="192" t="s">
        <v>409</v>
      </c>
      <c r="I496" s="193">
        <v>1330</v>
      </c>
      <c r="J496" s="193">
        <v>1330</v>
      </c>
      <c r="K496" s="193">
        <v>1330</v>
      </c>
      <c r="L496" s="193">
        <v>1730</v>
      </c>
      <c r="M496" s="194">
        <v>1730</v>
      </c>
      <c r="N496" s="284">
        <v>346</v>
      </c>
      <c r="O496" s="285">
        <v>13.75</v>
      </c>
      <c r="P496" s="285">
        <v>24</v>
      </c>
      <c r="Q496" s="285">
        <v>260</v>
      </c>
      <c r="R496" s="285" t="s">
        <v>1</v>
      </c>
      <c r="S496" s="286">
        <v>346</v>
      </c>
      <c r="T496" s="285">
        <v>13.75</v>
      </c>
      <c r="U496" s="285">
        <v>24</v>
      </c>
      <c r="V496" s="285">
        <v>260</v>
      </c>
      <c r="W496" s="285" t="s">
        <v>1</v>
      </c>
      <c r="X496" s="286">
        <v>346</v>
      </c>
      <c r="Y496" s="285">
        <v>34.75</v>
      </c>
      <c r="Z496" s="285">
        <v>24</v>
      </c>
      <c r="AA496" s="285">
        <v>260</v>
      </c>
      <c r="AB496" s="285" t="s">
        <v>1</v>
      </c>
      <c r="AC496" s="286">
        <v>346</v>
      </c>
      <c r="AD496" s="285">
        <v>34.75</v>
      </c>
      <c r="AE496" s="285">
        <v>24</v>
      </c>
      <c r="AF496" s="285">
        <v>260</v>
      </c>
      <c r="AG496" s="285" t="s">
        <v>1</v>
      </c>
      <c r="AH496" s="286" t="s">
        <v>1</v>
      </c>
      <c r="AI496" s="295" t="s">
        <v>1</v>
      </c>
      <c r="AJ496" s="295" t="s">
        <v>1</v>
      </c>
      <c r="AK496" s="295" t="s">
        <v>1</v>
      </c>
      <c r="AL496" s="286" t="s">
        <v>1</v>
      </c>
      <c r="AM496" s="288" t="s">
        <v>1</v>
      </c>
      <c r="AN496" s="287" t="s">
        <v>1</v>
      </c>
      <c r="AO496" s="287" t="s">
        <v>1</v>
      </c>
      <c r="AP496" s="286" t="s">
        <v>1</v>
      </c>
      <c r="AQ496" s="285" t="s">
        <v>1</v>
      </c>
      <c r="AR496" s="289" t="s">
        <v>1</v>
      </c>
      <c r="AS496" s="289" t="s">
        <v>1</v>
      </c>
      <c r="AT496" s="290" t="s">
        <v>1</v>
      </c>
      <c r="AU496" s="287" t="s">
        <v>1</v>
      </c>
      <c r="AV496" s="287" t="s">
        <v>1</v>
      </c>
      <c r="AW496" s="291" t="s">
        <v>1</v>
      </c>
    </row>
    <row r="497" spans="1:49" ht="30.15" customHeight="1" x14ac:dyDescent="0.25">
      <c r="A497" s="188" t="s">
        <v>18</v>
      </c>
      <c r="B497" s="189" t="s">
        <v>1</v>
      </c>
      <c r="C497" s="212" t="s">
        <v>34</v>
      </c>
      <c r="D497" s="190" t="s">
        <v>7</v>
      </c>
      <c r="E497" s="190" t="s">
        <v>925</v>
      </c>
      <c r="F497" s="203"/>
      <c r="G497" s="190" t="s">
        <v>924</v>
      </c>
      <c r="H497" s="192" t="s">
        <v>409</v>
      </c>
      <c r="I497" s="193">
        <v>1330</v>
      </c>
      <c r="J497" s="193">
        <v>1330</v>
      </c>
      <c r="K497" s="193">
        <v>1330</v>
      </c>
      <c r="L497" s="193">
        <v>1730</v>
      </c>
      <c r="M497" s="194">
        <v>1730</v>
      </c>
      <c r="N497" s="284">
        <v>346</v>
      </c>
      <c r="O497" s="285">
        <v>13.75</v>
      </c>
      <c r="P497" s="285">
        <v>24</v>
      </c>
      <c r="Q497" s="285">
        <v>260</v>
      </c>
      <c r="R497" s="285" t="s">
        <v>1</v>
      </c>
      <c r="S497" s="286">
        <v>346</v>
      </c>
      <c r="T497" s="285">
        <v>13.75</v>
      </c>
      <c r="U497" s="285">
        <v>24</v>
      </c>
      <c r="V497" s="285">
        <v>260</v>
      </c>
      <c r="W497" s="285" t="s">
        <v>1</v>
      </c>
      <c r="X497" s="286">
        <v>346</v>
      </c>
      <c r="Y497" s="285">
        <v>34.75</v>
      </c>
      <c r="Z497" s="285">
        <v>24</v>
      </c>
      <c r="AA497" s="285">
        <v>260</v>
      </c>
      <c r="AB497" s="285" t="s">
        <v>1</v>
      </c>
      <c r="AC497" s="286">
        <v>346</v>
      </c>
      <c r="AD497" s="285">
        <v>34.75</v>
      </c>
      <c r="AE497" s="285">
        <v>24</v>
      </c>
      <c r="AF497" s="285">
        <v>260</v>
      </c>
      <c r="AG497" s="285" t="s">
        <v>1</v>
      </c>
      <c r="AH497" s="286" t="s">
        <v>1</v>
      </c>
      <c r="AI497" s="295" t="s">
        <v>1</v>
      </c>
      <c r="AJ497" s="295" t="s">
        <v>1</v>
      </c>
      <c r="AK497" s="295" t="s">
        <v>1</v>
      </c>
      <c r="AL497" s="286" t="s">
        <v>1</v>
      </c>
      <c r="AM497" s="288" t="s">
        <v>1</v>
      </c>
      <c r="AN497" s="287" t="s">
        <v>1</v>
      </c>
      <c r="AO497" s="287" t="s">
        <v>1</v>
      </c>
      <c r="AP497" s="286" t="s">
        <v>1</v>
      </c>
      <c r="AQ497" s="285" t="s">
        <v>1</v>
      </c>
      <c r="AR497" s="289" t="s">
        <v>1</v>
      </c>
      <c r="AS497" s="289" t="s">
        <v>1</v>
      </c>
      <c r="AT497" s="290" t="s">
        <v>1</v>
      </c>
      <c r="AU497" s="287" t="s">
        <v>1</v>
      </c>
      <c r="AV497" s="287" t="s">
        <v>1</v>
      </c>
      <c r="AW497" s="291" t="s">
        <v>1</v>
      </c>
    </row>
    <row r="498" spans="1:49" ht="30.15" customHeight="1" x14ac:dyDescent="0.25">
      <c r="A498" s="188" t="s">
        <v>18</v>
      </c>
      <c r="B498" s="189" t="s">
        <v>1</v>
      </c>
      <c r="C498" s="212" t="s">
        <v>34</v>
      </c>
      <c r="D498" s="190" t="s">
        <v>7</v>
      </c>
      <c r="E498" s="190" t="s">
        <v>926</v>
      </c>
      <c r="F498" s="203"/>
      <c r="G498" s="190" t="s">
        <v>924</v>
      </c>
      <c r="H498" s="192" t="s">
        <v>647</v>
      </c>
      <c r="I498" s="193">
        <v>1330</v>
      </c>
      <c r="J498" s="193">
        <v>1330</v>
      </c>
      <c r="K498" s="193">
        <v>1330</v>
      </c>
      <c r="L498" s="193">
        <v>1730</v>
      </c>
      <c r="M498" s="194">
        <v>1730</v>
      </c>
      <c r="N498" s="284">
        <v>346</v>
      </c>
      <c r="O498" s="285">
        <v>13.75</v>
      </c>
      <c r="P498" s="285">
        <v>24</v>
      </c>
      <c r="Q498" s="285">
        <v>260</v>
      </c>
      <c r="R498" s="285" t="s">
        <v>1</v>
      </c>
      <c r="S498" s="286">
        <v>346</v>
      </c>
      <c r="T498" s="285">
        <v>13.75</v>
      </c>
      <c r="U498" s="285">
        <v>24</v>
      </c>
      <c r="V498" s="285">
        <v>260</v>
      </c>
      <c r="W498" s="285" t="s">
        <v>1</v>
      </c>
      <c r="X498" s="286">
        <v>346</v>
      </c>
      <c r="Y498" s="285">
        <v>34.75</v>
      </c>
      <c r="Z498" s="285">
        <v>24</v>
      </c>
      <c r="AA498" s="285">
        <v>260</v>
      </c>
      <c r="AB498" s="285" t="s">
        <v>1</v>
      </c>
      <c r="AC498" s="286">
        <v>346</v>
      </c>
      <c r="AD498" s="285">
        <v>34.75</v>
      </c>
      <c r="AE498" s="285">
        <v>24</v>
      </c>
      <c r="AF498" s="285">
        <v>260</v>
      </c>
      <c r="AG498" s="285" t="s">
        <v>1</v>
      </c>
      <c r="AH498" s="286" t="s">
        <v>1</v>
      </c>
      <c r="AI498" s="295" t="s">
        <v>1</v>
      </c>
      <c r="AJ498" s="295" t="s">
        <v>1</v>
      </c>
      <c r="AK498" s="295" t="s">
        <v>1</v>
      </c>
      <c r="AL498" s="286" t="s">
        <v>1</v>
      </c>
      <c r="AM498" s="288" t="s">
        <v>1</v>
      </c>
      <c r="AN498" s="287" t="s">
        <v>1</v>
      </c>
      <c r="AO498" s="287" t="s">
        <v>1</v>
      </c>
      <c r="AP498" s="286" t="s">
        <v>1</v>
      </c>
      <c r="AQ498" s="285" t="s">
        <v>1</v>
      </c>
      <c r="AR498" s="289" t="s">
        <v>1</v>
      </c>
      <c r="AS498" s="289" t="s">
        <v>1</v>
      </c>
      <c r="AT498" s="290" t="s">
        <v>1</v>
      </c>
      <c r="AU498" s="287" t="s">
        <v>1</v>
      </c>
      <c r="AV498" s="287" t="s">
        <v>1</v>
      </c>
      <c r="AW498" s="291" t="s">
        <v>1</v>
      </c>
    </row>
    <row r="499" spans="1:49" ht="30.15" customHeight="1" x14ac:dyDescent="0.25">
      <c r="A499" s="213" t="s">
        <v>18</v>
      </c>
      <c r="B499" s="189" t="s">
        <v>1</v>
      </c>
      <c r="C499" s="212" t="s">
        <v>34</v>
      </c>
      <c r="D499" s="190" t="s">
        <v>7</v>
      </c>
      <c r="E499" s="190" t="s">
        <v>265</v>
      </c>
      <c r="F499" s="203"/>
      <c r="G499" s="190" t="s">
        <v>269</v>
      </c>
      <c r="H499" s="192" t="s">
        <v>409</v>
      </c>
      <c r="I499" s="193">
        <v>660</v>
      </c>
      <c r="J499" s="193">
        <v>610</v>
      </c>
      <c r="K499" s="193">
        <v>660</v>
      </c>
      <c r="L499" s="193">
        <v>670</v>
      </c>
      <c r="M499" s="194">
        <v>670</v>
      </c>
      <c r="N499" s="284">
        <v>134</v>
      </c>
      <c r="O499" s="285" t="s">
        <v>1</v>
      </c>
      <c r="P499" s="285" t="s">
        <v>1</v>
      </c>
      <c r="Q499" s="285" t="s">
        <v>1</v>
      </c>
      <c r="R499" s="285" t="s">
        <v>1</v>
      </c>
      <c r="S499" s="286">
        <v>134</v>
      </c>
      <c r="T499" s="285" t="s">
        <v>1</v>
      </c>
      <c r="U499" s="285" t="s">
        <v>1</v>
      </c>
      <c r="V499" s="285" t="s">
        <v>1</v>
      </c>
      <c r="W499" s="285" t="s">
        <v>1</v>
      </c>
      <c r="X499" s="286">
        <v>134</v>
      </c>
      <c r="Y499" s="285" t="s">
        <v>1</v>
      </c>
      <c r="Z499" s="285" t="s">
        <v>1</v>
      </c>
      <c r="AA499" s="285" t="s">
        <v>1</v>
      </c>
      <c r="AB499" s="285" t="s">
        <v>1</v>
      </c>
      <c r="AC499" s="286">
        <v>134</v>
      </c>
      <c r="AD499" s="285" t="s">
        <v>1</v>
      </c>
      <c r="AE499" s="285" t="s">
        <v>1</v>
      </c>
      <c r="AF499" s="285" t="s">
        <v>1</v>
      </c>
      <c r="AG499" s="285" t="s">
        <v>1</v>
      </c>
      <c r="AH499" s="286" t="s">
        <v>1</v>
      </c>
      <c r="AI499" s="295" t="s">
        <v>1</v>
      </c>
      <c r="AJ499" s="295" t="s">
        <v>1</v>
      </c>
      <c r="AK499" s="295" t="s">
        <v>1</v>
      </c>
      <c r="AL499" s="286" t="s">
        <v>1</v>
      </c>
      <c r="AM499" s="288" t="s">
        <v>1</v>
      </c>
      <c r="AN499" s="287" t="s">
        <v>1</v>
      </c>
      <c r="AO499" s="287" t="s">
        <v>1</v>
      </c>
      <c r="AP499" s="286" t="s">
        <v>1</v>
      </c>
      <c r="AQ499" s="285" t="s">
        <v>1</v>
      </c>
      <c r="AR499" s="289" t="s">
        <v>1</v>
      </c>
      <c r="AS499" s="289" t="s">
        <v>1</v>
      </c>
      <c r="AT499" s="290" t="s">
        <v>1</v>
      </c>
      <c r="AU499" s="287" t="s">
        <v>1</v>
      </c>
      <c r="AV499" s="287" t="s">
        <v>1</v>
      </c>
      <c r="AW499" s="291" t="s">
        <v>1</v>
      </c>
    </row>
    <row r="500" spans="1:49" ht="30.15" customHeight="1" x14ac:dyDescent="0.25">
      <c r="A500" s="213" t="s">
        <v>18</v>
      </c>
      <c r="B500" s="189" t="s">
        <v>1</v>
      </c>
      <c r="C500" s="212" t="s">
        <v>34</v>
      </c>
      <c r="D500" s="190" t="s">
        <v>7</v>
      </c>
      <c r="E500" s="190" t="s">
        <v>375</v>
      </c>
      <c r="F500" s="203"/>
      <c r="G500" s="190" t="s">
        <v>373</v>
      </c>
      <c r="H500" s="192" t="s">
        <v>409</v>
      </c>
      <c r="I500" s="193">
        <v>850</v>
      </c>
      <c r="J500" s="193">
        <v>750</v>
      </c>
      <c r="K500" s="193">
        <v>850</v>
      </c>
      <c r="L500" s="193">
        <v>1055</v>
      </c>
      <c r="M500" s="194">
        <v>1055</v>
      </c>
      <c r="N500" s="284">
        <v>211</v>
      </c>
      <c r="O500" s="285">
        <v>23.96</v>
      </c>
      <c r="P500" s="285">
        <v>24</v>
      </c>
      <c r="Q500" s="285" t="s">
        <v>1</v>
      </c>
      <c r="R500" s="285" t="s">
        <v>1</v>
      </c>
      <c r="S500" s="286">
        <v>211</v>
      </c>
      <c r="T500" s="285">
        <v>23.96</v>
      </c>
      <c r="U500" s="285">
        <v>24</v>
      </c>
      <c r="V500" s="285" t="s">
        <v>1</v>
      </c>
      <c r="W500" s="285" t="s">
        <v>1</v>
      </c>
      <c r="X500" s="286">
        <v>211</v>
      </c>
      <c r="Y500" s="285">
        <v>23.96</v>
      </c>
      <c r="Z500" s="285">
        <v>24</v>
      </c>
      <c r="AA500" s="285" t="s">
        <v>1</v>
      </c>
      <c r="AB500" s="285" t="s">
        <v>1</v>
      </c>
      <c r="AC500" s="286">
        <v>211</v>
      </c>
      <c r="AD500" s="285">
        <v>23.96</v>
      </c>
      <c r="AE500" s="285">
        <v>24</v>
      </c>
      <c r="AF500" s="285" t="s">
        <v>1</v>
      </c>
      <c r="AG500" s="285" t="s">
        <v>1</v>
      </c>
      <c r="AH500" s="286" t="s">
        <v>1</v>
      </c>
      <c r="AI500" s="295" t="s">
        <v>1</v>
      </c>
      <c r="AJ500" s="295" t="s">
        <v>1</v>
      </c>
      <c r="AK500" s="295" t="s">
        <v>1</v>
      </c>
      <c r="AL500" s="286" t="s">
        <v>1</v>
      </c>
      <c r="AM500" s="288" t="s">
        <v>1</v>
      </c>
      <c r="AN500" s="287" t="s">
        <v>1</v>
      </c>
      <c r="AO500" s="287" t="s">
        <v>1</v>
      </c>
      <c r="AP500" s="286" t="s">
        <v>1</v>
      </c>
      <c r="AQ500" s="285" t="s">
        <v>1</v>
      </c>
      <c r="AR500" s="289" t="s">
        <v>1</v>
      </c>
      <c r="AS500" s="289" t="s">
        <v>1</v>
      </c>
      <c r="AT500" s="290" t="s">
        <v>1</v>
      </c>
      <c r="AU500" s="287" t="s">
        <v>1</v>
      </c>
      <c r="AV500" s="287" t="s">
        <v>1</v>
      </c>
      <c r="AW500" s="291" t="s">
        <v>1</v>
      </c>
    </row>
    <row r="501" spans="1:49" ht="30.15" customHeight="1" x14ac:dyDescent="0.25">
      <c r="A501" s="213" t="s">
        <v>18</v>
      </c>
      <c r="B501" s="189" t="s">
        <v>1</v>
      </c>
      <c r="C501" s="212" t="s">
        <v>34</v>
      </c>
      <c r="D501" s="190" t="s">
        <v>7</v>
      </c>
      <c r="E501" s="190" t="s">
        <v>376</v>
      </c>
      <c r="F501" s="203"/>
      <c r="G501" s="190" t="s">
        <v>373</v>
      </c>
      <c r="H501" s="192" t="s">
        <v>409</v>
      </c>
      <c r="I501" s="193">
        <v>850</v>
      </c>
      <c r="J501" s="193">
        <v>750</v>
      </c>
      <c r="K501" s="193">
        <v>850</v>
      </c>
      <c r="L501" s="193">
        <v>1055</v>
      </c>
      <c r="M501" s="194">
        <v>1055</v>
      </c>
      <c r="N501" s="284">
        <v>211</v>
      </c>
      <c r="O501" s="285">
        <v>23.96</v>
      </c>
      <c r="P501" s="285">
        <v>24</v>
      </c>
      <c r="Q501" s="285" t="s">
        <v>1</v>
      </c>
      <c r="R501" s="285" t="s">
        <v>1</v>
      </c>
      <c r="S501" s="286">
        <v>211</v>
      </c>
      <c r="T501" s="285">
        <v>23.96</v>
      </c>
      <c r="U501" s="285">
        <v>24</v>
      </c>
      <c r="V501" s="285" t="s">
        <v>1</v>
      </c>
      <c r="W501" s="285" t="s">
        <v>1</v>
      </c>
      <c r="X501" s="286">
        <v>211</v>
      </c>
      <c r="Y501" s="285">
        <v>23.96</v>
      </c>
      <c r="Z501" s="285">
        <v>24</v>
      </c>
      <c r="AA501" s="285" t="s">
        <v>1</v>
      </c>
      <c r="AB501" s="285" t="s">
        <v>1</v>
      </c>
      <c r="AC501" s="286">
        <v>211</v>
      </c>
      <c r="AD501" s="285">
        <v>23.96</v>
      </c>
      <c r="AE501" s="285">
        <v>24</v>
      </c>
      <c r="AF501" s="285" t="s">
        <v>1</v>
      </c>
      <c r="AG501" s="285" t="s">
        <v>1</v>
      </c>
      <c r="AH501" s="286" t="s">
        <v>1</v>
      </c>
      <c r="AI501" s="295" t="s">
        <v>1</v>
      </c>
      <c r="AJ501" s="295" t="s">
        <v>1</v>
      </c>
      <c r="AK501" s="295" t="s">
        <v>1</v>
      </c>
      <c r="AL501" s="286" t="s">
        <v>1</v>
      </c>
      <c r="AM501" s="288" t="s">
        <v>1</v>
      </c>
      <c r="AN501" s="287" t="s">
        <v>1</v>
      </c>
      <c r="AO501" s="287" t="s">
        <v>1</v>
      </c>
      <c r="AP501" s="286" t="s">
        <v>1</v>
      </c>
      <c r="AQ501" s="285" t="s">
        <v>1</v>
      </c>
      <c r="AR501" s="289" t="s">
        <v>1</v>
      </c>
      <c r="AS501" s="289" t="s">
        <v>1</v>
      </c>
      <c r="AT501" s="290" t="s">
        <v>1</v>
      </c>
      <c r="AU501" s="287" t="s">
        <v>1</v>
      </c>
      <c r="AV501" s="287" t="s">
        <v>1</v>
      </c>
      <c r="AW501" s="291" t="s">
        <v>1</v>
      </c>
    </row>
    <row r="502" spans="1:49" ht="30.15" customHeight="1" x14ac:dyDescent="0.25">
      <c r="A502" s="213" t="s">
        <v>18</v>
      </c>
      <c r="B502" s="189" t="s">
        <v>1</v>
      </c>
      <c r="C502" s="212" t="s">
        <v>34</v>
      </c>
      <c r="D502" s="190" t="s">
        <v>7</v>
      </c>
      <c r="E502" s="190" t="s">
        <v>377</v>
      </c>
      <c r="F502" s="203"/>
      <c r="G502" s="190" t="s">
        <v>374</v>
      </c>
      <c r="H502" s="192" t="s">
        <v>409</v>
      </c>
      <c r="I502" s="193">
        <v>950</v>
      </c>
      <c r="J502" s="193">
        <v>880</v>
      </c>
      <c r="K502" s="193">
        <v>950</v>
      </c>
      <c r="L502" s="193">
        <v>1000</v>
      </c>
      <c r="M502" s="194">
        <v>1000</v>
      </c>
      <c r="N502" s="284">
        <v>200</v>
      </c>
      <c r="O502" s="285">
        <v>21.67</v>
      </c>
      <c r="P502" s="285">
        <v>24</v>
      </c>
      <c r="Q502" s="285" t="s">
        <v>1</v>
      </c>
      <c r="R502" s="285" t="s">
        <v>1</v>
      </c>
      <c r="S502" s="286">
        <v>200</v>
      </c>
      <c r="T502" s="285">
        <v>21.67</v>
      </c>
      <c r="U502" s="285">
        <v>24</v>
      </c>
      <c r="V502" s="285" t="s">
        <v>1</v>
      </c>
      <c r="W502" s="285" t="s">
        <v>1</v>
      </c>
      <c r="X502" s="286">
        <v>200</v>
      </c>
      <c r="Y502" s="285">
        <v>21.67</v>
      </c>
      <c r="Z502" s="285">
        <v>24</v>
      </c>
      <c r="AA502" s="285" t="s">
        <v>1</v>
      </c>
      <c r="AB502" s="285" t="s">
        <v>1</v>
      </c>
      <c r="AC502" s="286">
        <v>200</v>
      </c>
      <c r="AD502" s="285">
        <v>21.67</v>
      </c>
      <c r="AE502" s="285">
        <v>24</v>
      </c>
      <c r="AF502" s="285" t="s">
        <v>1</v>
      </c>
      <c r="AG502" s="285" t="s">
        <v>1</v>
      </c>
      <c r="AH502" s="286" t="s">
        <v>1</v>
      </c>
      <c r="AI502" s="295" t="s">
        <v>1</v>
      </c>
      <c r="AJ502" s="295" t="s">
        <v>1</v>
      </c>
      <c r="AK502" s="295" t="s">
        <v>1</v>
      </c>
      <c r="AL502" s="286" t="s">
        <v>1</v>
      </c>
      <c r="AM502" s="288" t="s">
        <v>1</v>
      </c>
      <c r="AN502" s="287" t="s">
        <v>1</v>
      </c>
      <c r="AO502" s="287" t="s">
        <v>1</v>
      </c>
      <c r="AP502" s="286" t="s">
        <v>1</v>
      </c>
      <c r="AQ502" s="285" t="s">
        <v>1</v>
      </c>
      <c r="AR502" s="289" t="s">
        <v>1</v>
      </c>
      <c r="AS502" s="289" t="s">
        <v>1</v>
      </c>
      <c r="AT502" s="290" t="s">
        <v>1</v>
      </c>
      <c r="AU502" s="287" t="s">
        <v>1</v>
      </c>
      <c r="AV502" s="287" t="s">
        <v>1</v>
      </c>
      <c r="AW502" s="291" t="s">
        <v>1</v>
      </c>
    </row>
    <row r="503" spans="1:49" ht="30.15" customHeight="1" x14ac:dyDescent="0.25">
      <c r="A503" s="213" t="s">
        <v>18</v>
      </c>
      <c r="B503" s="189" t="s">
        <v>1</v>
      </c>
      <c r="C503" s="212" t="s">
        <v>34</v>
      </c>
      <c r="D503" s="190" t="s">
        <v>7</v>
      </c>
      <c r="E503" s="190" t="s">
        <v>378</v>
      </c>
      <c r="F503" s="203"/>
      <c r="G503" s="190" t="s">
        <v>374</v>
      </c>
      <c r="H503" s="192" t="s">
        <v>409</v>
      </c>
      <c r="I503" s="193">
        <v>950</v>
      </c>
      <c r="J503" s="193">
        <v>880</v>
      </c>
      <c r="K503" s="193">
        <v>950</v>
      </c>
      <c r="L503" s="193">
        <v>1000</v>
      </c>
      <c r="M503" s="194">
        <v>1000</v>
      </c>
      <c r="N503" s="284">
        <v>200</v>
      </c>
      <c r="O503" s="285">
        <v>21.67</v>
      </c>
      <c r="P503" s="285">
        <v>24</v>
      </c>
      <c r="Q503" s="285" t="s">
        <v>1</v>
      </c>
      <c r="R503" s="285" t="s">
        <v>1</v>
      </c>
      <c r="S503" s="286">
        <v>200</v>
      </c>
      <c r="T503" s="285">
        <v>21.67</v>
      </c>
      <c r="U503" s="285">
        <v>24</v>
      </c>
      <c r="V503" s="285" t="s">
        <v>1</v>
      </c>
      <c r="W503" s="285" t="s">
        <v>1</v>
      </c>
      <c r="X503" s="286">
        <v>200</v>
      </c>
      <c r="Y503" s="285">
        <v>21.67</v>
      </c>
      <c r="Z503" s="285">
        <v>24</v>
      </c>
      <c r="AA503" s="285" t="s">
        <v>1</v>
      </c>
      <c r="AB503" s="285" t="s">
        <v>1</v>
      </c>
      <c r="AC503" s="286">
        <v>200</v>
      </c>
      <c r="AD503" s="285">
        <v>21.67</v>
      </c>
      <c r="AE503" s="285">
        <v>24</v>
      </c>
      <c r="AF503" s="285" t="s">
        <v>1</v>
      </c>
      <c r="AG503" s="285" t="s">
        <v>1</v>
      </c>
      <c r="AH503" s="286" t="s">
        <v>1</v>
      </c>
      <c r="AI503" s="295" t="s">
        <v>1</v>
      </c>
      <c r="AJ503" s="295" t="s">
        <v>1</v>
      </c>
      <c r="AK503" s="295" t="s">
        <v>1</v>
      </c>
      <c r="AL503" s="286" t="s">
        <v>1</v>
      </c>
      <c r="AM503" s="288" t="s">
        <v>1</v>
      </c>
      <c r="AN503" s="287" t="s">
        <v>1</v>
      </c>
      <c r="AO503" s="287" t="s">
        <v>1</v>
      </c>
      <c r="AP503" s="286" t="s">
        <v>1</v>
      </c>
      <c r="AQ503" s="285" t="s">
        <v>1</v>
      </c>
      <c r="AR503" s="289" t="s">
        <v>1</v>
      </c>
      <c r="AS503" s="289" t="s">
        <v>1</v>
      </c>
      <c r="AT503" s="290" t="s">
        <v>1</v>
      </c>
      <c r="AU503" s="287" t="s">
        <v>1</v>
      </c>
      <c r="AV503" s="287" t="s">
        <v>1</v>
      </c>
      <c r="AW503" s="291" t="s">
        <v>1</v>
      </c>
    </row>
    <row r="504" spans="1:49" ht="30.15" customHeight="1" x14ac:dyDescent="0.25">
      <c r="A504" s="213" t="s">
        <v>18</v>
      </c>
      <c r="B504" s="189" t="s">
        <v>1</v>
      </c>
      <c r="C504" s="212" t="s">
        <v>34</v>
      </c>
      <c r="D504" s="190" t="s">
        <v>7</v>
      </c>
      <c r="E504" s="190" t="s">
        <v>545</v>
      </c>
      <c r="F504" s="203"/>
      <c r="G504" s="190" t="s">
        <v>546</v>
      </c>
      <c r="H504" s="192" t="s">
        <v>409</v>
      </c>
      <c r="I504" s="193">
        <v>931</v>
      </c>
      <c r="J504" s="193">
        <v>931</v>
      </c>
      <c r="K504" s="193">
        <v>931</v>
      </c>
      <c r="L504" s="193">
        <v>1400</v>
      </c>
      <c r="M504" s="194">
        <v>1400</v>
      </c>
      <c r="N504" s="284">
        <v>280</v>
      </c>
      <c r="O504" s="285">
        <v>43.339999999999996</v>
      </c>
      <c r="P504" s="285">
        <v>24</v>
      </c>
      <c r="Q504" s="285" t="s">
        <v>1</v>
      </c>
      <c r="R504" s="285" t="s">
        <v>1</v>
      </c>
      <c r="S504" s="286">
        <v>280</v>
      </c>
      <c r="T504" s="285">
        <v>43.339999999999996</v>
      </c>
      <c r="U504" s="285">
        <v>24</v>
      </c>
      <c r="V504" s="285" t="s">
        <v>1</v>
      </c>
      <c r="W504" s="285" t="s">
        <v>1</v>
      </c>
      <c r="X504" s="286">
        <v>280</v>
      </c>
      <c r="Y504" s="285">
        <v>33.339999999999996</v>
      </c>
      <c r="Z504" s="285">
        <v>24</v>
      </c>
      <c r="AA504" s="285" t="s">
        <v>1</v>
      </c>
      <c r="AB504" s="285" t="s">
        <v>1</v>
      </c>
      <c r="AC504" s="286">
        <v>280</v>
      </c>
      <c r="AD504" s="285">
        <v>33.339999999999996</v>
      </c>
      <c r="AE504" s="285">
        <v>24</v>
      </c>
      <c r="AF504" s="285" t="s">
        <v>1</v>
      </c>
      <c r="AG504" s="285" t="s">
        <v>1</v>
      </c>
      <c r="AH504" s="286" t="s">
        <v>1</v>
      </c>
      <c r="AI504" s="295" t="s">
        <v>1</v>
      </c>
      <c r="AJ504" s="295" t="s">
        <v>1</v>
      </c>
      <c r="AK504" s="295" t="s">
        <v>1</v>
      </c>
      <c r="AL504" s="286" t="s">
        <v>1</v>
      </c>
      <c r="AM504" s="288" t="s">
        <v>1</v>
      </c>
      <c r="AN504" s="287" t="s">
        <v>1</v>
      </c>
      <c r="AO504" s="287" t="s">
        <v>1</v>
      </c>
      <c r="AP504" s="286" t="s">
        <v>1</v>
      </c>
      <c r="AQ504" s="285" t="s">
        <v>1</v>
      </c>
      <c r="AR504" s="289" t="s">
        <v>1</v>
      </c>
      <c r="AS504" s="289" t="s">
        <v>1</v>
      </c>
      <c r="AT504" s="290" t="s">
        <v>1</v>
      </c>
      <c r="AU504" s="287" t="s">
        <v>1</v>
      </c>
      <c r="AV504" s="287" t="s">
        <v>1</v>
      </c>
      <c r="AW504" s="291" t="s">
        <v>1</v>
      </c>
    </row>
    <row r="505" spans="1:49" ht="30.15" customHeight="1" x14ac:dyDescent="0.25">
      <c r="A505" s="213" t="s">
        <v>18</v>
      </c>
      <c r="B505" s="189" t="s">
        <v>1</v>
      </c>
      <c r="C505" s="212" t="s">
        <v>34</v>
      </c>
      <c r="D505" s="190" t="s">
        <v>7</v>
      </c>
      <c r="E505" s="190" t="s">
        <v>547</v>
      </c>
      <c r="F505" s="203"/>
      <c r="G505" s="190" t="s">
        <v>546</v>
      </c>
      <c r="H505" s="192" t="s">
        <v>409</v>
      </c>
      <c r="I505" s="193">
        <v>931</v>
      </c>
      <c r="J505" s="193">
        <v>931</v>
      </c>
      <c r="K505" s="193">
        <v>931</v>
      </c>
      <c r="L505" s="193">
        <v>1400</v>
      </c>
      <c r="M505" s="194">
        <v>1400</v>
      </c>
      <c r="N505" s="284">
        <v>280</v>
      </c>
      <c r="O505" s="285">
        <v>43.339999999999996</v>
      </c>
      <c r="P505" s="285">
        <v>24</v>
      </c>
      <c r="Q505" s="285" t="s">
        <v>1</v>
      </c>
      <c r="R505" s="285" t="s">
        <v>1</v>
      </c>
      <c r="S505" s="286">
        <v>280</v>
      </c>
      <c r="T505" s="285">
        <v>43.339999999999996</v>
      </c>
      <c r="U505" s="285">
        <v>24</v>
      </c>
      <c r="V505" s="285" t="s">
        <v>1</v>
      </c>
      <c r="W505" s="285" t="s">
        <v>1</v>
      </c>
      <c r="X505" s="286">
        <v>280</v>
      </c>
      <c r="Y505" s="285">
        <v>33.339999999999996</v>
      </c>
      <c r="Z505" s="285">
        <v>24</v>
      </c>
      <c r="AA505" s="285" t="s">
        <v>1</v>
      </c>
      <c r="AB505" s="285" t="s">
        <v>1</v>
      </c>
      <c r="AC505" s="286">
        <v>280</v>
      </c>
      <c r="AD505" s="285">
        <v>33.339999999999996</v>
      </c>
      <c r="AE505" s="285">
        <v>24</v>
      </c>
      <c r="AF505" s="285" t="s">
        <v>1</v>
      </c>
      <c r="AG505" s="285" t="s">
        <v>1</v>
      </c>
      <c r="AH505" s="286" t="s">
        <v>1</v>
      </c>
      <c r="AI505" s="295" t="s">
        <v>1</v>
      </c>
      <c r="AJ505" s="295" t="s">
        <v>1</v>
      </c>
      <c r="AK505" s="295" t="s">
        <v>1</v>
      </c>
      <c r="AL505" s="286" t="s">
        <v>1</v>
      </c>
      <c r="AM505" s="288" t="s">
        <v>1</v>
      </c>
      <c r="AN505" s="287" t="s">
        <v>1</v>
      </c>
      <c r="AO505" s="287" t="s">
        <v>1</v>
      </c>
      <c r="AP505" s="286" t="s">
        <v>1</v>
      </c>
      <c r="AQ505" s="285" t="s">
        <v>1</v>
      </c>
      <c r="AR505" s="289" t="s">
        <v>1</v>
      </c>
      <c r="AS505" s="289" t="s">
        <v>1</v>
      </c>
      <c r="AT505" s="290" t="s">
        <v>1</v>
      </c>
      <c r="AU505" s="287" t="s">
        <v>1</v>
      </c>
      <c r="AV505" s="287" t="s">
        <v>1</v>
      </c>
      <c r="AW505" s="291" t="s">
        <v>1</v>
      </c>
    </row>
    <row r="506" spans="1:49" ht="30.15" customHeight="1" x14ac:dyDescent="0.25">
      <c r="A506" s="213" t="s">
        <v>18</v>
      </c>
      <c r="B506" s="189" t="s">
        <v>1</v>
      </c>
      <c r="C506" s="212" t="s">
        <v>34</v>
      </c>
      <c r="D506" s="190" t="s">
        <v>7</v>
      </c>
      <c r="E506" s="190" t="s">
        <v>548</v>
      </c>
      <c r="F506" s="203"/>
      <c r="G506" s="190" t="s">
        <v>546</v>
      </c>
      <c r="H506" s="192" t="s">
        <v>409</v>
      </c>
      <c r="I506" s="193">
        <v>931</v>
      </c>
      <c r="J506" s="193">
        <v>931</v>
      </c>
      <c r="K506" s="193">
        <v>931</v>
      </c>
      <c r="L506" s="193">
        <v>1400</v>
      </c>
      <c r="M506" s="194">
        <v>1400</v>
      </c>
      <c r="N506" s="284">
        <v>280</v>
      </c>
      <c r="O506" s="285">
        <v>43.339999999999996</v>
      </c>
      <c r="P506" s="285">
        <v>24</v>
      </c>
      <c r="Q506" s="285" t="s">
        <v>1</v>
      </c>
      <c r="R506" s="285" t="s">
        <v>1</v>
      </c>
      <c r="S506" s="286">
        <v>280</v>
      </c>
      <c r="T506" s="285">
        <v>43.339999999999996</v>
      </c>
      <c r="U506" s="285">
        <v>24</v>
      </c>
      <c r="V506" s="285" t="s">
        <v>1</v>
      </c>
      <c r="W506" s="285" t="s">
        <v>1</v>
      </c>
      <c r="X506" s="286">
        <v>280</v>
      </c>
      <c r="Y506" s="285">
        <v>33.339999999999996</v>
      </c>
      <c r="Z506" s="285">
        <v>24</v>
      </c>
      <c r="AA506" s="285" t="s">
        <v>1</v>
      </c>
      <c r="AB506" s="285" t="s">
        <v>1</v>
      </c>
      <c r="AC506" s="286">
        <v>280</v>
      </c>
      <c r="AD506" s="285">
        <v>33.339999999999996</v>
      </c>
      <c r="AE506" s="285">
        <v>24</v>
      </c>
      <c r="AF506" s="285" t="s">
        <v>1</v>
      </c>
      <c r="AG506" s="285" t="s">
        <v>1</v>
      </c>
      <c r="AH506" s="286" t="s">
        <v>1</v>
      </c>
      <c r="AI506" s="295" t="s">
        <v>1</v>
      </c>
      <c r="AJ506" s="295" t="s">
        <v>1</v>
      </c>
      <c r="AK506" s="295" t="s">
        <v>1</v>
      </c>
      <c r="AL506" s="286" t="s">
        <v>1</v>
      </c>
      <c r="AM506" s="288" t="s">
        <v>1</v>
      </c>
      <c r="AN506" s="287" t="s">
        <v>1</v>
      </c>
      <c r="AO506" s="287" t="s">
        <v>1</v>
      </c>
      <c r="AP506" s="286" t="s">
        <v>1</v>
      </c>
      <c r="AQ506" s="285" t="s">
        <v>1</v>
      </c>
      <c r="AR506" s="289" t="s">
        <v>1</v>
      </c>
      <c r="AS506" s="289" t="s">
        <v>1</v>
      </c>
      <c r="AT506" s="290" t="s">
        <v>1</v>
      </c>
      <c r="AU506" s="287" t="s">
        <v>1</v>
      </c>
      <c r="AV506" s="287" t="s">
        <v>1</v>
      </c>
      <c r="AW506" s="291" t="s">
        <v>1</v>
      </c>
    </row>
    <row r="507" spans="1:49" ht="30.15" customHeight="1" x14ac:dyDescent="0.25">
      <c r="A507" s="213" t="s">
        <v>18</v>
      </c>
      <c r="B507" s="189" t="s">
        <v>1</v>
      </c>
      <c r="C507" s="212" t="s">
        <v>34</v>
      </c>
      <c r="D507" s="190" t="s">
        <v>7</v>
      </c>
      <c r="E507" s="190" t="s">
        <v>549</v>
      </c>
      <c r="F507" s="203"/>
      <c r="G507" s="190" t="s">
        <v>550</v>
      </c>
      <c r="H507" s="192" t="s">
        <v>409</v>
      </c>
      <c r="I507" s="193">
        <v>1550</v>
      </c>
      <c r="J507" s="193">
        <v>1410</v>
      </c>
      <c r="K507" s="193">
        <v>1550</v>
      </c>
      <c r="L507" s="193">
        <v>1770</v>
      </c>
      <c r="M507" s="194">
        <v>1770</v>
      </c>
      <c r="N507" s="284">
        <v>354</v>
      </c>
      <c r="O507" s="285">
        <v>46.25</v>
      </c>
      <c r="P507" s="285">
        <v>24</v>
      </c>
      <c r="Q507" s="285" t="s">
        <v>1</v>
      </c>
      <c r="R507" s="285" t="s">
        <v>1</v>
      </c>
      <c r="S507" s="286">
        <v>354</v>
      </c>
      <c r="T507" s="285">
        <v>46.25</v>
      </c>
      <c r="U507" s="285">
        <v>24</v>
      </c>
      <c r="V507" s="285" t="s">
        <v>1</v>
      </c>
      <c r="W507" s="285" t="s">
        <v>1</v>
      </c>
      <c r="X507" s="286">
        <v>354</v>
      </c>
      <c r="Y507" s="285">
        <v>36.25</v>
      </c>
      <c r="Z507" s="285">
        <v>24</v>
      </c>
      <c r="AA507" s="285" t="s">
        <v>1</v>
      </c>
      <c r="AB507" s="285" t="s">
        <v>1</v>
      </c>
      <c r="AC507" s="286">
        <v>354</v>
      </c>
      <c r="AD507" s="285">
        <v>36.25</v>
      </c>
      <c r="AE507" s="285">
        <v>24</v>
      </c>
      <c r="AF507" s="285" t="s">
        <v>1</v>
      </c>
      <c r="AG507" s="285" t="s">
        <v>1</v>
      </c>
      <c r="AH507" s="286" t="s">
        <v>1</v>
      </c>
      <c r="AI507" s="295" t="s">
        <v>1</v>
      </c>
      <c r="AJ507" s="295" t="s">
        <v>1</v>
      </c>
      <c r="AK507" s="295" t="s">
        <v>1</v>
      </c>
      <c r="AL507" s="286" t="s">
        <v>1</v>
      </c>
      <c r="AM507" s="288" t="s">
        <v>1</v>
      </c>
      <c r="AN507" s="287" t="s">
        <v>1</v>
      </c>
      <c r="AO507" s="287" t="s">
        <v>1</v>
      </c>
      <c r="AP507" s="286" t="s">
        <v>1</v>
      </c>
      <c r="AQ507" s="285" t="s">
        <v>1</v>
      </c>
      <c r="AR507" s="289" t="s">
        <v>1</v>
      </c>
      <c r="AS507" s="289" t="s">
        <v>1</v>
      </c>
      <c r="AT507" s="290" t="s">
        <v>1</v>
      </c>
      <c r="AU507" s="287" t="s">
        <v>1</v>
      </c>
      <c r="AV507" s="287" t="s">
        <v>1</v>
      </c>
      <c r="AW507" s="291" t="s">
        <v>1</v>
      </c>
    </row>
    <row r="508" spans="1:49" ht="30.15" customHeight="1" x14ac:dyDescent="0.25">
      <c r="A508" s="213" t="s">
        <v>18</v>
      </c>
      <c r="B508" s="189" t="s">
        <v>1</v>
      </c>
      <c r="C508" s="212" t="s">
        <v>34</v>
      </c>
      <c r="D508" s="190" t="s">
        <v>7</v>
      </c>
      <c r="E508" s="190" t="s">
        <v>553</v>
      </c>
      <c r="F508" s="203"/>
      <c r="G508" s="190" t="s">
        <v>554</v>
      </c>
      <c r="H508" s="192" t="s">
        <v>409</v>
      </c>
      <c r="I508" s="193">
        <v>750</v>
      </c>
      <c r="J508" s="193">
        <v>750</v>
      </c>
      <c r="K508" s="193">
        <v>750</v>
      </c>
      <c r="L508" s="193">
        <v>1125</v>
      </c>
      <c r="M508" s="194">
        <v>1125</v>
      </c>
      <c r="N508" s="284">
        <v>225</v>
      </c>
      <c r="O508" s="285">
        <v>26.88</v>
      </c>
      <c r="P508" s="285">
        <v>24</v>
      </c>
      <c r="Q508" s="285" t="s">
        <v>1</v>
      </c>
      <c r="R508" s="285" t="s">
        <v>1</v>
      </c>
      <c r="S508" s="286">
        <v>225</v>
      </c>
      <c r="T508" s="285">
        <v>26.88</v>
      </c>
      <c r="U508" s="285">
        <v>24</v>
      </c>
      <c r="V508" s="285" t="s">
        <v>1</v>
      </c>
      <c r="W508" s="285" t="s">
        <v>1</v>
      </c>
      <c r="X508" s="286">
        <v>225</v>
      </c>
      <c r="Y508" s="285">
        <v>26.88</v>
      </c>
      <c r="Z508" s="285">
        <v>24</v>
      </c>
      <c r="AA508" s="285" t="s">
        <v>1</v>
      </c>
      <c r="AB508" s="285" t="s">
        <v>1</v>
      </c>
      <c r="AC508" s="286">
        <v>225</v>
      </c>
      <c r="AD508" s="285">
        <v>26.88</v>
      </c>
      <c r="AE508" s="285">
        <v>24</v>
      </c>
      <c r="AF508" s="285" t="s">
        <v>1</v>
      </c>
      <c r="AG508" s="285" t="s">
        <v>1</v>
      </c>
      <c r="AH508" s="286" t="s">
        <v>1</v>
      </c>
      <c r="AI508" s="295" t="s">
        <v>1</v>
      </c>
      <c r="AJ508" s="295" t="s">
        <v>1</v>
      </c>
      <c r="AK508" s="295" t="s">
        <v>1</v>
      </c>
      <c r="AL508" s="286" t="s">
        <v>1</v>
      </c>
      <c r="AM508" s="288" t="s">
        <v>1</v>
      </c>
      <c r="AN508" s="287" t="s">
        <v>1</v>
      </c>
      <c r="AO508" s="287" t="s">
        <v>1</v>
      </c>
      <c r="AP508" s="286" t="s">
        <v>1</v>
      </c>
      <c r="AQ508" s="285" t="s">
        <v>1</v>
      </c>
      <c r="AR508" s="289" t="s">
        <v>1</v>
      </c>
      <c r="AS508" s="289" t="s">
        <v>1</v>
      </c>
      <c r="AT508" s="290" t="s">
        <v>1</v>
      </c>
      <c r="AU508" s="287" t="s">
        <v>1</v>
      </c>
      <c r="AV508" s="287" t="s">
        <v>1</v>
      </c>
      <c r="AW508" s="291" t="s">
        <v>1</v>
      </c>
    </row>
    <row r="509" spans="1:49" ht="30.15" customHeight="1" x14ac:dyDescent="0.25">
      <c r="A509" s="213" t="s">
        <v>18</v>
      </c>
      <c r="B509" s="189" t="s">
        <v>1</v>
      </c>
      <c r="C509" s="212" t="s">
        <v>34</v>
      </c>
      <c r="D509" s="190" t="s">
        <v>7</v>
      </c>
      <c r="E509" s="190" t="s">
        <v>555</v>
      </c>
      <c r="F509" s="203"/>
      <c r="G509" s="190" t="s">
        <v>554</v>
      </c>
      <c r="H509" s="192" t="s">
        <v>409</v>
      </c>
      <c r="I509" s="193">
        <v>750</v>
      </c>
      <c r="J509" s="193">
        <v>750</v>
      </c>
      <c r="K509" s="193">
        <v>750</v>
      </c>
      <c r="L509" s="193">
        <v>1125</v>
      </c>
      <c r="M509" s="194">
        <v>1125</v>
      </c>
      <c r="N509" s="284">
        <v>225</v>
      </c>
      <c r="O509" s="285">
        <v>26.88</v>
      </c>
      <c r="P509" s="285">
        <v>24</v>
      </c>
      <c r="Q509" s="285" t="s">
        <v>1</v>
      </c>
      <c r="R509" s="285" t="s">
        <v>1</v>
      </c>
      <c r="S509" s="286">
        <v>225</v>
      </c>
      <c r="T509" s="285">
        <v>26.88</v>
      </c>
      <c r="U509" s="285">
        <v>24</v>
      </c>
      <c r="V509" s="285" t="s">
        <v>1</v>
      </c>
      <c r="W509" s="285" t="s">
        <v>1</v>
      </c>
      <c r="X509" s="286">
        <v>225</v>
      </c>
      <c r="Y509" s="285">
        <v>26.88</v>
      </c>
      <c r="Z509" s="285">
        <v>24</v>
      </c>
      <c r="AA509" s="285" t="s">
        <v>1</v>
      </c>
      <c r="AB509" s="285" t="s">
        <v>1</v>
      </c>
      <c r="AC509" s="286">
        <v>225</v>
      </c>
      <c r="AD509" s="285">
        <v>26.88</v>
      </c>
      <c r="AE509" s="285">
        <v>24</v>
      </c>
      <c r="AF509" s="285" t="s">
        <v>1</v>
      </c>
      <c r="AG509" s="285" t="s">
        <v>1</v>
      </c>
      <c r="AH509" s="286" t="s">
        <v>1</v>
      </c>
      <c r="AI509" s="295" t="s">
        <v>1</v>
      </c>
      <c r="AJ509" s="295" t="s">
        <v>1</v>
      </c>
      <c r="AK509" s="295" t="s">
        <v>1</v>
      </c>
      <c r="AL509" s="286" t="s">
        <v>1</v>
      </c>
      <c r="AM509" s="288" t="s">
        <v>1</v>
      </c>
      <c r="AN509" s="287" t="s">
        <v>1</v>
      </c>
      <c r="AO509" s="287" t="s">
        <v>1</v>
      </c>
      <c r="AP509" s="286" t="s">
        <v>1</v>
      </c>
      <c r="AQ509" s="285" t="s">
        <v>1</v>
      </c>
      <c r="AR509" s="289" t="s">
        <v>1</v>
      </c>
      <c r="AS509" s="289" t="s">
        <v>1</v>
      </c>
      <c r="AT509" s="290" t="s">
        <v>1</v>
      </c>
      <c r="AU509" s="287" t="s">
        <v>1</v>
      </c>
      <c r="AV509" s="287" t="s">
        <v>1</v>
      </c>
      <c r="AW509" s="291" t="s">
        <v>1</v>
      </c>
    </row>
    <row r="510" spans="1:49" ht="30.15" customHeight="1" x14ac:dyDescent="0.25">
      <c r="A510" s="213" t="s">
        <v>18</v>
      </c>
      <c r="B510" s="189" t="s">
        <v>1</v>
      </c>
      <c r="C510" s="212" t="s">
        <v>34</v>
      </c>
      <c r="D510" s="190" t="s">
        <v>7</v>
      </c>
      <c r="E510" s="190" t="s">
        <v>556</v>
      </c>
      <c r="F510" s="203"/>
      <c r="G510" s="190" t="s">
        <v>554</v>
      </c>
      <c r="H510" s="192" t="s">
        <v>409</v>
      </c>
      <c r="I510" s="193">
        <v>750</v>
      </c>
      <c r="J510" s="193">
        <v>750</v>
      </c>
      <c r="K510" s="193">
        <v>750</v>
      </c>
      <c r="L510" s="193">
        <v>1125</v>
      </c>
      <c r="M510" s="194">
        <v>1125</v>
      </c>
      <c r="N510" s="284">
        <v>225</v>
      </c>
      <c r="O510" s="285">
        <v>26.88</v>
      </c>
      <c r="P510" s="285">
        <v>24</v>
      </c>
      <c r="Q510" s="285" t="s">
        <v>1</v>
      </c>
      <c r="R510" s="285" t="s">
        <v>1</v>
      </c>
      <c r="S510" s="286">
        <v>225</v>
      </c>
      <c r="T510" s="285">
        <v>26.88</v>
      </c>
      <c r="U510" s="285">
        <v>24</v>
      </c>
      <c r="V510" s="285" t="s">
        <v>1</v>
      </c>
      <c r="W510" s="285" t="s">
        <v>1</v>
      </c>
      <c r="X510" s="286">
        <v>225</v>
      </c>
      <c r="Y510" s="285">
        <v>26.88</v>
      </c>
      <c r="Z510" s="285">
        <v>24</v>
      </c>
      <c r="AA510" s="285" t="s">
        <v>1</v>
      </c>
      <c r="AB510" s="285" t="s">
        <v>1</v>
      </c>
      <c r="AC510" s="286">
        <v>225</v>
      </c>
      <c r="AD510" s="285">
        <v>26.88</v>
      </c>
      <c r="AE510" s="285">
        <v>24</v>
      </c>
      <c r="AF510" s="285" t="s">
        <v>1</v>
      </c>
      <c r="AG510" s="285" t="s">
        <v>1</v>
      </c>
      <c r="AH510" s="286" t="s">
        <v>1</v>
      </c>
      <c r="AI510" s="295" t="s">
        <v>1</v>
      </c>
      <c r="AJ510" s="295" t="s">
        <v>1</v>
      </c>
      <c r="AK510" s="295" t="s">
        <v>1</v>
      </c>
      <c r="AL510" s="286" t="s">
        <v>1</v>
      </c>
      <c r="AM510" s="288" t="s">
        <v>1</v>
      </c>
      <c r="AN510" s="287" t="s">
        <v>1</v>
      </c>
      <c r="AO510" s="287" t="s">
        <v>1</v>
      </c>
      <c r="AP510" s="286" t="s">
        <v>1</v>
      </c>
      <c r="AQ510" s="285" t="s">
        <v>1</v>
      </c>
      <c r="AR510" s="289" t="s">
        <v>1</v>
      </c>
      <c r="AS510" s="289" t="s">
        <v>1</v>
      </c>
      <c r="AT510" s="290" t="s">
        <v>1</v>
      </c>
      <c r="AU510" s="287" t="s">
        <v>1</v>
      </c>
      <c r="AV510" s="287" t="s">
        <v>1</v>
      </c>
      <c r="AW510" s="291" t="s">
        <v>1</v>
      </c>
    </row>
    <row r="511" spans="1:49" ht="30.15" customHeight="1" x14ac:dyDescent="0.25">
      <c r="A511" s="213" t="s">
        <v>18</v>
      </c>
      <c r="B511" s="189" t="s">
        <v>1</v>
      </c>
      <c r="C511" s="212" t="s">
        <v>34</v>
      </c>
      <c r="D511" s="190" t="s">
        <v>7</v>
      </c>
      <c r="E511" s="190" t="s">
        <v>561</v>
      </c>
      <c r="F511" s="203"/>
      <c r="G511" s="190" t="s">
        <v>562</v>
      </c>
      <c r="H511" s="192" t="s">
        <v>7</v>
      </c>
      <c r="I511" s="193">
        <v>1073</v>
      </c>
      <c r="J511" s="193">
        <v>1073</v>
      </c>
      <c r="K511" s="193">
        <v>1073</v>
      </c>
      <c r="L511" s="193">
        <v>1575</v>
      </c>
      <c r="M511" s="194">
        <v>1575</v>
      </c>
      <c r="N511" s="284">
        <v>315</v>
      </c>
      <c r="O511" s="285">
        <v>18.55</v>
      </c>
      <c r="P511" s="285">
        <v>24</v>
      </c>
      <c r="Q511" s="285" t="s">
        <v>1</v>
      </c>
      <c r="R511" s="285" t="s">
        <v>1</v>
      </c>
      <c r="S511" s="286">
        <v>315</v>
      </c>
      <c r="T511" s="285">
        <v>18.55</v>
      </c>
      <c r="U511" s="285">
        <v>24</v>
      </c>
      <c r="V511" s="285" t="s">
        <v>1</v>
      </c>
      <c r="W511" s="285" t="s">
        <v>1</v>
      </c>
      <c r="X511" s="286">
        <v>315</v>
      </c>
      <c r="Y511" s="285">
        <v>35.629999999999995</v>
      </c>
      <c r="Z511" s="285">
        <v>24</v>
      </c>
      <c r="AA511" s="285" t="s">
        <v>1</v>
      </c>
      <c r="AB511" s="285" t="s">
        <v>1</v>
      </c>
      <c r="AC511" s="286">
        <v>315</v>
      </c>
      <c r="AD511" s="285">
        <v>35.629999999999995</v>
      </c>
      <c r="AE511" s="285">
        <v>24</v>
      </c>
      <c r="AF511" s="285" t="s">
        <v>1</v>
      </c>
      <c r="AG511" s="285" t="s">
        <v>1</v>
      </c>
      <c r="AH511" s="286" t="s">
        <v>1</v>
      </c>
      <c r="AI511" s="295" t="s">
        <v>1</v>
      </c>
      <c r="AJ511" s="295" t="s">
        <v>1</v>
      </c>
      <c r="AK511" s="295" t="s">
        <v>1</v>
      </c>
      <c r="AL511" s="286" t="s">
        <v>1</v>
      </c>
      <c r="AM511" s="288" t="s">
        <v>1</v>
      </c>
      <c r="AN511" s="287" t="s">
        <v>1</v>
      </c>
      <c r="AO511" s="287" t="s">
        <v>1</v>
      </c>
      <c r="AP511" s="286" t="s">
        <v>1</v>
      </c>
      <c r="AQ511" s="285" t="s">
        <v>1</v>
      </c>
      <c r="AR511" s="289" t="s">
        <v>1</v>
      </c>
      <c r="AS511" s="289" t="s">
        <v>1</v>
      </c>
      <c r="AT511" s="290" t="s">
        <v>1</v>
      </c>
      <c r="AU511" s="287" t="s">
        <v>1</v>
      </c>
      <c r="AV511" s="287" t="s">
        <v>1</v>
      </c>
      <c r="AW511" s="291" t="s">
        <v>1</v>
      </c>
    </row>
    <row r="512" spans="1:49" ht="30.15" customHeight="1" x14ac:dyDescent="0.25">
      <c r="A512" s="213" t="s">
        <v>18</v>
      </c>
      <c r="B512" s="189" t="s">
        <v>1</v>
      </c>
      <c r="C512" s="212" t="s">
        <v>34</v>
      </c>
      <c r="D512" s="190" t="s">
        <v>7</v>
      </c>
      <c r="E512" s="190" t="s">
        <v>563</v>
      </c>
      <c r="F512" s="203"/>
      <c r="G512" s="190" t="s">
        <v>562</v>
      </c>
      <c r="H512" s="192" t="s">
        <v>409</v>
      </c>
      <c r="I512" s="193">
        <v>1073</v>
      </c>
      <c r="J512" s="193">
        <v>1073</v>
      </c>
      <c r="K512" s="193">
        <v>1073</v>
      </c>
      <c r="L512" s="193">
        <v>1575</v>
      </c>
      <c r="M512" s="194">
        <v>1575</v>
      </c>
      <c r="N512" s="284">
        <v>315</v>
      </c>
      <c r="O512" s="285">
        <v>18.55</v>
      </c>
      <c r="P512" s="285">
        <v>24</v>
      </c>
      <c r="Q512" s="285" t="s">
        <v>1</v>
      </c>
      <c r="R512" s="285" t="s">
        <v>1</v>
      </c>
      <c r="S512" s="286">
        <v>315</v>
      </c>
      <c r="T512" s="285">
        <v>18.55</v>
      </c>
      <c r="U512" s="285">
        <v>24</v>
      </c>
      <c r="V512" s="285" t="s">
        <v>1</v>
      </c>
      <c r="W512" s="285" t="s">
        <v>1</v>
      </c>
      <c r="X512" s="286">
        <v>315</v>
      </c>
      <c r="Y512" s="285">
        <v>35.629999999999995</v>
      </c>
      <c r="Z512" s="285">
        <v>24</v>
      </c>
      <c r="AA512" s="285" t="s">
        <v>1</v>
      </c>
      <c r="AB512" s="285" t="s">
        <v>1</v>
      </c>
      <c r="AC512" s="286">
        <v>315</v>
      </c>
      <c r="AD512" s="285">
        <v>35.629999999999995</v>
      </c>
      <c r="AE512" s="285">
        <v>24</v>
      </c>
      <c r="AF512" s="285" t="s">
        <v>1</v>
      </c>
      <c r="AG512" s="285" t="s">
        <v>1</v>
      </c>
      <c r="AH512" s="286" t="s">
        <v>1</v>
      </c>
      <c r="AI512" s="295" t="s">
        <v>1</v>
      </c>
      <c r="AJ512" s="295" t="s">
        <v>1</v>
      </c>
      <c r="AK512" s="295" t="s">
        <v>1</v>
      </c>
      <c r="AL512" s="286" t="s">
        <v>1</v>
      </c>
      <c r="AM512" s="288" t="s">
        <v>1</v>
      </c>
      <c r="AN512" s="287" t="s">
        <v>1</v>
      </c>
      <c r="AO512" s="287" t="s">
        <v>1</v>
      </c>
      <c r="AP512" s="286" t="s">
        <v>1</v>
      </c>
      <c r="AQ512" s="285" t="s">
        <v>1</v>
      </c>
      <c r="AR512" s="289" t="s">
        <v>1</v>
      </c>
      <c r="AS512" s="289" t="s">
        <v>1</v>
      </c>
      <c r="AT512" s="290" t="s">
        <v>1</v>
      </c>
      <c r="AU512" s="287" t="s">
        <v>1</v>
      </c>
      <c r="AV512" s="287" t="s">
        <v>1</v>
      </c>
      <c r="AW512" s="291" t="s">
        <v>1</v>
      </c>
    </row>
    <row r="513" spans="1:49" ht="30.15" customHeight="1" x14ac:dyDescent="0.25">
      <c r="A513" s="213" t="s">
        <v>18</v>
      </c>
      <c r="B513" s="189" t="s">
        <v>1</v>
      </c>
      <c r="C513" s="212" t="s">
        <v>34</v>
      </c>
      <c r="D513" s="190" t="s">
        <v>7</v>
      </c>
      <c r="E513" s="190" t="s">
        <v>564</v>
      </c>
      <c r="F513" s="203"/>
      <c r="G513" s="190" t="s">
        <v>562</v>
      </c>
      <c r="H513" s="192" t="s">
        <v>409</v>
      </c>
      <c r="I513" s="193">
        <v>1073</v>
      </c>
      <c r="J513" s="193">
        <v>1073</v>
      </c>
      <c r="K513" s="193">
        <v>1073</v>
      </c>
      <c r="L513" s="193">
        <v>1575</v>
      </c>
      <c r="M513" s="194">
        <v>1575</v>
      </c>
      <c r="N513" s="284">
        <v>315</v>
      </c>
      <c r="O513" s="285">
        <v>18.55</v>
      </c>
      <c r="P513" s="285">
        <v>24</v>
      </c>
      <c r="Q513" s="285" t="s">
        <v>1</v>
      </c>
      <c r="R513" s="285" t="s">
        <v>1</v>
      </c>
      <c r="S513" s="286">
        <v>315</v>
      </c>
      <c r="T513" s="285">
        <v>18.55</v>
      </c>
      <c r="U513" s="285">
        <v>24</v>
      </c>
      <c r="V513" s="285" t="s">
        <v>1</v>
      </c>
      <c r="W513" s="285" t="s">
        <v>1</v>
      </c>
      <c r="X513" s="286">
        <v>315</v>
      </c>
      <c r="Y513" s="285">
        <v>35.629999999999995</v>
      </c>
      <c r="Z513" s="285">
        <v>24</v>
      </c>
      <c r="AA513" s="285" t="s">
        <v>1</v>
      </c>
      <c r="AB513" s="285" t="s">
        <v>1</v>
      </c>
      <c r="AC513" s="286">
        <v>315</v>
      </c>
      <c r="AD513" s="285">
        <v>35.629999999999995</v>
      </c>
      <c r="AE513" s="285">
        <v>24</v>
      </c>
      <c r="AF513" s="285" t="s">
        <v>1</v>
      </c>
      <c r="AG513" s="285" t="s">
        <v>1</v>
      </c>
      <c r="AH513" s="286" t="s">
        <v>1</v>
      </c>
      <c r="AI513" s="295" t="s">
        <v>1</v>
      </c>
      <c r="AJ513" s="295" t="s">
        <v>1</v>
      </c>
      <c r="AK513" s="295" t="s">
        <v>1</v>
      </c>
      <c r="AL513" s="286" t="s">
        <v>1</v>
      </c>
      <c r="AM513" s="288" t="s">
        <v>1</v>
      </c>
      <c r="AN513" s="287" t="s">
        <v>1</v>
      </c>
      <c r="AO513" s="287" t="s">
        <v>1</v>
      </c>
      <c r="AP513" s="286" t="s">
        <v>1</v>
      </c>
      <c r="AQ513" s="285" t="s">
        <v>1</v>
      </c>
      <c r="AR513" s="289" t="s">
        <v>1</v>
      </c>
      <c r="AS513" s="289" t="s">
        <v>1</v>
      </c>
      <c r="AT513" s="290" t="s">
        <v>1</v>
      </c>
      <c r="AU513" s="287" t="s">
        <v>1</v>
      </c>
      <c r="AV513" s="287" t="s">
        <v>1</v>
      </c>
      <c r="AW513" s="291" t="s">
        <v>1</v>
      </c>
    </row>
    <row r="514" spans="1:49" ht="30.15" customHeight="1" x14ac:dyDescent="0.25">
      <c r="A514" s="213" t="s">
        <v>18</v>
      </c>
      <c r="B514" s="189" t="s">
        <v>1</v>
      </c>
      <c r="C514" s="212" t="s">
        <v>34</v>
      </c>
      <c r="D514" s="190" t="s">
        <v>7</v>
      </c>
      <c r="E514" s="190" t="s">
        <v>565</v>
      </c>
      <c r="F514" s="203"/>
      <c r="G514" s="190" t="s">
        <v>566</v>
      </c>
      <c r="H514" s="192" t="s">
        <v>409</v>
      </c>
      <c r="I514" s="193">
        <v>1730</v>
      </c>
      <c r="J514" s="193">
        <v>1550</v>
      </c>
      <c r="K514" s="193">
        <v>1730</v>
      </c>
      <c r="L514" s="193">
        <v>1949</v>
      </c>
      <c r="M514" s="194">
        <v>1949</v>
      </c>
      <c r="N514" s="284">
        <v>389.8</v>
      </c>
      <c r="O514" s="285">
        <v>21.630000000000003</v>
      </c>
      <c r="P514" s="285">
        <v>24</v>
      </c>
      <c r="Q514" s="285" t="s">
        <v>1</v>
      </c>
      <c r="R514" s="285" t="s">
        <v>1</v>
      </c>
      <c r="S514" s="286">
        <v>389.8</v>
      </c>
      <c r="T514" s="285">
        <v>21.630000000000003</v>
      </c>
      <c r="U514" s="285">
        <v>24</v>
      </c>
      <c r="V514" s="285" t="s">
        <v>1</v>
      </c>
      <c r="W514" s="285" t="s">
        <v>1</v>
      </c>
      <c r="X514" s="286">
        <v>389.8</v>
      </c>
      <c r="Y514" s="285">
        <v>38.71</v>
      </c>
      <c r="Z514" s="285">
        <v>24</v>
      </c>
      <c r="AA514" s="285" t="s">
        <v>1</v>
      </c>
      <c r="AB514" s="285" t="s">
        <v>1</v>
      </c>
      <c r="AC514" s="286">
        <v>389.8</v>
      </c>
      <c r="AD514" s="285">
        <v>38.71</v>
      </c>
      <c r="AE514" s="285">
        <v>24</v>
      </c>
      <c r="AF514" s="285" t="s">
        <v>1</v>
      </c>
      <c r="AG514" s="285" t="s">
        <v>1</v>
      </c>
      <c r="AH514" s="286" t="s">
        <v>1</v>
      </c>
      <c r="AI514" s="295" t="s">
        <v>1</v>
      </c>
      <c r="AJ514" s="295" t="s">
        <v>1</v>
      </c>
      <c r="AK514" s="295" t="s">
        <v>1</v>
      </c>
      <c r="AL514" s="286" t="s">
        <v>1</v>
      </c>
      <c r="AM514" s="288" t="s">
        <v>1</v>
      </c>
      <c r="AN514" s="287" t="s">
        <v>1</v>
      </c>
      <c r="AO514" s="287" t="s">
        <v>1</v>
      </c>
      <c r="AP514" s="286" t="s">
        <v>1</v>
      </c>
      <c r="AQ514" s="285" t="s">
        <v>1</v>
      </c>
      <c r="AR514" s="289" t="s">
        <v>1</v>
      </c>
      <c r="AS514" s="289" t="s">
        <v>1</v>
      </c>
      <c r="AT514" s="290" t="s">
        <v>1</v>
      </c>
      <c r="AU514" s="287" t="s">
        <v>1</v>
      </c>
      <c r="AV514" s="287" t="s">
        <v>1</v>
      </c>
      <c r="AW514" s="291" t="s">
        <v>1</v>
      </c>
    </row>
    <row r="515" spans="1:49" ht="30.15" customHeight="1" x14ac:dyDescent="0.25">
      <c r="A515" s="213" t="s">
        <v>18</v>
      </c>
      <c r="B515" s="189" t="s">
        <v>1</v>
      </c>
      <c r="C515" s="212" t="s">
        <v>34</v>
      </c>
      <c r="D515" s="190" t="s">
        <v>7</v>
      </c>
      <c r="E515" s="190" t="s">
        <v>811</v>
      </c>
      <c r="F515" s="203"/>
      <c r="G515" s="190" t="s">
        <v>812</v>
      </c>
      <c r="H515" s="192" t="s">
        <v>7</v>
      </c>
      <c r="I515" s="193">
        <v>2400</v>
      </c>
      <c r="J515" s="193">
        <v>2400</v>
      </c>
      <c r="K515" s="193">
        <v>2400</v>
      </c>
      <c r="L515" s="193">
        <v>2600</v>
      </c>
      <c r="M515" s="194">
        <v>2600</v>
      </c>
      <c r="N515" s="284">
        <v>520</v>
      </c>
      <c r="O515" s="285" t="s">
        <v>1</v>
      </c>
      <c r="P515" s="285" t="s">
        <v>1</v>
      </c>
      <c r="Q515" s="285" t="s">
        <v>1</v>
      </c>
      <c r="R515" s="285" t="s">
        <v>1</v>
      </c>
      <c r="S515" s="286">
        <v>520</v>
      </c>
      <c r="T515" s="285" t="s">
        <v>1</v>
      </c>
      <c r="U515" s="285" t="s">
        <v>1</v>
      </c>
      <c r="V515" s="285" t="s">
        <v>1</v>
      </c>
      <c r="W515" s="285" t="s">
        <v>1</v>
      </c>
      <c r="X515" s="286">
        <v>520</v>
      </c>
      <c r="Y515" s="285" t="s">
        <v>1</v>
      </c>
      <c r="Z515" s="285" t="s">
        <v>1</v>
      </c>
      <c r="AA515" s="285" t="s">
        <v>1</v>
      </c>
      <c r="AB515" s="285" t="s">
        <v>1</v>
      </c>
      <c r="AC515" s="286">
        <v>520</v>
      </c>
      <c r="AD515" s="285" t="s">
        <v>1</v>
      </c>
      <c r="AE515" s="285" t="s">
        <v>1</v>
      </c>
      <c r="AF515" s="285" t="s">
        <v>1</v>
      </c>
      <c r="AG515" s="285" t="s">
        <v>1</v>
      </c>
      <c r="AH515" s="286" t="s">
        <v>1</v>
      </c>
      <c r="AI515" s="295" t="s">
        <v>1</v>
      </c>
      <c r="AJ515" s="295" t="s">
        <v>1</v>
      </c>
      <c r="AK515" s="295" t="s">
        <v>1</v>
      </c>
      <c r="AL515" s="286" t="s">
        <v>1</v>
      </c>
      <c r="AM515" s="288" t="s">
        <v>1</v>
      </c>
      <c r="AN515" s="287" t="s">
        <v>1</v>
      </c>
      <c r="AO515" s="287" t="s">
        <v>1</v>
      </c>
      <c r="AP515" s="286" t="s">
        <v>1</v>
      </c>
      <c r="AQ515" s="285" t="s">
        <v>1</v>
      </c>
      <c r="AR515" s="289" t="s">
        <v>1</v>
      </c>
      <c r="AS515" s="289" t="s">
        <v>1</v>
      </c>
      <c r="AT515" s="290" t="s">
        <v>1</v>
      </c>
      <c r="AU515" s="287" t="s">
        <v>1</v>
      </c>
      <c r="AV515" s="287" t="s">
        <v>1</v>
      </c>
      <c r="AW515" s="291" t="s">
        <v>1</v>
      </c>
    </row>
    <row r="516" spans="1:49" ht="30.15" customHeight="1" x14ac:dyDescent="0.25">
      <c r="A516" s="213" t="s">
        <v>18</v>
      </c>
      <c r="B516" s="189" t="s">
        <v>1</v>
      </c>
      <c r="C516" s="212" t="s">
        <v>34</v>
      </c>
      <c r="D516" s="190" t="s">
        <v>7</v>
      </c>
      <c r="E516" s="190" t="s">
        <v>1047</v>
      </c>
      <c r="F516" s="203"/>
      <c r="G516" s="190" t="s">
        <v>1046</v>
      </c>
      <c r="H516" s="192" t="s">
        <v>7</v>
      </c>
      <c r="I516" s="193">
        <v>2248</v>
      </c>
      <c r="J516" s="193">
        <v>2248</v>
      </c>
      <c r="K516" s="193">
        <v>2248</v>
      </c>
      <c r="L516" s="193">
        <v>2865</v>
      </c>
      <c r="M516" s="194">
        <v>2865</v>
      </c>
      <c r="N516" s="284">
        <v>573</v>
      </c>
      <c r="O516" s="285">
        <v>22.71</v>
      </c>
      <c r="P516" s="285">
        <v>24</v>
      </c>
      <c r="Q516" s="285" t="s">
        <v>1</v>
      </c>
      <c r="R516" s="285" t="s">
        <v>1</v>
      </c>
      <c r="S516" s="286">
        <v>573</v>
      </c>
      <c r="T516" s="285">
        <v>22.71</v>
      </c>
      <c r="U516" s="285">
        <v>24</v>
      </c>
      <c r="V516" s="285" t="s">
        <v>1</v>
      </c>
      <c r="W516" s="285" t="s">
        <v>1</v>
      </c>
      <c r="X516" s="286">
        <v>573</v>
      </c>
      <c r="Y516" s="285">
        <v>31.05</v>
      </c>
      <c r="Z516" s="285">
        <v>24</v>
      </c>
      <c r="AA516" s="285" t="s">
        <v>1</v>
      </c>
      <c r="AB516" s="285" t="s">
        <v>1</v>
      </c>
      <c r="AC516" s="286">
        <v>573</v>
      </c>
      <c r="AD516" s="285">
        <v>31.05</v>
      </c>
      <c r="AE516" s="285">
        <v>24</v>
      </c>
      <c r="AF516" s="285" t="s">
        <v>1</v>
      </c>
      <c r="AG516" s="285" t="s">
        <v>1</v>
      </c>
      <c r="AH516" s="286" t="s">
        <v>1</v>
      </c>
      <c r="AI516" s="295" t="s">
        <v>1</v>
      </c>
      <c r="AJ516" s="295" t="s">
        <v>1</v>
      </c>
      <c r="AK516" s="295" t="s">
        <v>1</v>
      </c>
      <c r="AL516" s="286" t="s">
        <v>1</v>
      </c>
      <c r="AM516" s="288" t="s">
        <v>1</v>
      </c>
      <c r="AN516" s="287" t="s">
        <v>1</v>
      </c>
      <c r="AO516" s="287" t="s">
        <v>1</v>
      </c>
      <c r="AP516" s="286" t="s">
        <v>1</v>
      </c>
      <c r="AQ516" s="285" t="s">
        <v>1</v>
      </c>
      <c r="AR516" s="289" t="s">
        <v>1</v>
      </c>
      <c r="AS516" s="289" t="s">
        <v>1</v>
      </c>
      <c r="AT516" s="290" t="s">
        <v>1</v>
      </c>
      <c r="AU516" s="287" t="s">
        <v>1</v>
      </c>
      <c r="AV516" s="287" t="s">
        <v>1</v>
      </c>
      <c r="AW516" s="291" t="s">
        <v>1</v>
      </c>
    </row>
    <row r="517" spans="1:49" ht="30.15" customHeight="1" x14ac:dyDescent="0.25">
      <c r="A517" s="213" t="s">
        <v>18</v>
      </c>
      <c r="B517" s="189" t="s">
        <v>1</v>
      </c>
      <c r="C517" s="212" t="s">
        <v>34</v>
      </c>
      <c r="D517" s="190" t="s">
        <v>7</v>
      </c>
      <c r="E517" s="190" t="s">
        <v>1048</v>
      </c>
      <c r="F517" s="203"/>
      <c r="G517" s="190" t="s">
        <v>1046</v>
      </c>
      <c r="H517" s="192" t="s">
        <v>7</v>
      </c>
      <c r="I517" s="193">
        <v>2248</v>
      </c>
      <c r="J517" s="193">
        <v>2248</v>
      </c>
      <c r="K517" s="193">
        <v>2248</v>
      </c>
      <c r="L517" s="193">
        <v>2865</v>
      </c>
      <c r="M517" s="194">
        <v>2865</v>
      </c>
      <c r="N517" s="284">
        <v>573</v>
      </c>
      <c r="O517" s="285">
        <v>22.71</v>
      </c>
      <c r="P517" s="285">
        <v>24</v>
      </c>
      <c r="Q517" s="285" t="s">
        <v>1</v>
      </c>
      <c r="R517" s="285" t="s">
        <v>1</v>
      </c>
      <c r="S517" s="286">
        <v>573</v>
      </c>
      <c r="T517" s="285">
        <v>22.71</v>
      </c>
      <c r="U517" s="285">
        <v>24</v>
      </c>
      <c r="V517" s="285" t="s">
        <v>1</v>
      </c>
      <c r="W517" s="285" t="s">
        <v>1</v>
      </c>
      <c r="X517" s="286">
        <v>573</v>
      </c>
      <c r="Y517" s="285">
        <v>31.05</v>
      </c>
      <c r="Z517" s="285">
        <v>24</v>
      </c>
      <c r="AA517" s="285" t="s">
        <v>1</v>
      </c>
      <c r="AB517" s="285" t="s">
        <v>1</v>
      </c>
      <c r="AC517" s="286">
        <v>573</v>
      </c>
      <c r="AD517" s="285">
        <v>31.05</v>
      </c>
      <c r="AE517" s="285">
        <v>24</v>
      </c>
      <c r="AF517" s="285" t="s">
        <v>1</v>
      </c>
      <c r="AG517" s="285" t="s">
        <v>1</v>
      </c>
      <c r="AH517" s="286" t="s">
        <v>1</v>
      </c>
      <c r="AI517" s="295" t="s">
        <v>1</v>
      </c>
      <c r="AJ517" s="295" t="s">
        <v>1</v>
      </c>
      <c r="AK517" s="295" t="s">
        <v>1</v>
      </c>
      <c r="AL517" s="286" t="s">
        <v>1</v>
      </c>
      <c r="AM517" s="288" t="s">
        <v>1</v>
      </c>
      <c r="AN517" s="287" t="s">
        <v>1</v>
      </c>
      <c r="AO517" s="287" t="s">
        <v>1</v>
      </c>
      <c r="AP517" s="286" t="s">
        <v>1</v>
      </c>
      <c r="AQ517" s="285" t="s">
        <v>1</v>
      </c>
      <c r="AR517" s="289" t="s">
        <v>1</v>
      </c>
      <c r="AS517" s="289" t="s">
        <v>1</v>
      </c>
      <c r="AT517" s="290" t="s">
        <v>1</v>
      </c>
      <c r="AU517" s="287" t="s">
        <v>1</v>
      </c>
      <c r="AV517" s="287" t="s">
        <v>1</v>
      </c>
      <c r="AW517" s="291" t="s">
        <v>1</v>
      </c>
    </row>
    <row r="518" spans="1:49" ht="30.15" customHeight="1" x14ac:dyDescent="0.25">
      <c r="A518" s="213" t="s">
        <v>18</v>
      </c>
      <c r="B518" s="189" t="s">
        <v>1</v>
      </c>
      <c r="C518" s="212" t="s">
        <v>34</v>
      </c>
      <c r="D518" s="190" t="s">
        <v>7</v>
      </c>
      <c r="E518" s="190" t="s">
        <v>1049</v>
      </c>
      <c r="F518" s="203"/>
      <c r="G518" s="190" t="s">
        <v>1046</v>
      </c>
      <c r="H518" s="192" t="s">
        <v>7</v>
      </c>
      <c r="I518" s="193">
        <v>2248</v>
      </c>
      <c r="J518" s="193">
        <v>2248</v>
      </c>
      <c r="K518" s="193">
        <v>2248</v>
      </c>
      <c r="L518" s="193">
        <v>2865</v>
      </c>
      <c r="M518" s="194">
        <v>2865</v>
      </c>
      <c r="N518" s="284">
        <v>573</v>
      </c>
      <c r="O518" s="285">
        <v>22.71</v>
      </c>
      <c r="P518" s="285">
        <v>24</v>
      </c>
      <c r="Q518" s="285" t="s">
        <v>1</v>
      </c>
      <c r="R518" s="285" t="s">
        <v>1</v>
      </c>
      <c r="S518" s="286">
        <v>573</v>
      </c>
      <c r="T518" s="285">
        <v>22.71</v>
      </c>
      <c r="U518" s="285">
        <v>24</v>
      </c>
      <c r="V518" s="285" t="s">
        <v>1</v>
      </c>
      <c r="W518" s="285" t="s">
        <v>1</v>
      </c>
      <c r="X518" s="286">
        <v>573</v>
      </c>
      <c r="Y518" s="285">
        <v>31.05</v>
      </c>
      <c r="Z518" s="285">
        <v>24</v>
      </c>
      <c r="AA518" s="285" t="s">
        <v>1</v>
      </c>
      <c r="AB518" s="285" t="s">
        <v>1</v>
      </c>
      <c r="AC518" s="286">
        <v>573</v>
      </c>
      <c r="AD518" s="285">
        <v>31.05</v>
      </c>
      <c r="AE518" s="285">
        <v>24</v>
      </c>
      <c r="AF518" s="285" t="s">
        <v>1</v>
      </c>
      <c r="AG518" s="285" t="s">
        <v>1</v>
      </c>
      <c r="AH518" s="286" t="s">
        <v>1</v>
      </c>
      <c r="AI518" s="295" t="s">
        <v>1</v>
      </c>
      <c r="AJ518" s="295" t="s">
        <v>1</v>
      </c>
      <c r="AK518" s="295" t="s">
        <v>1</v>
      </c>
      <c r="AL518" s="286" t="s">
        <v>1</v>
      </c>
      <c r="AM518" s="288" t="s">
        <v>1</v>
      </c>
      <c r="AN518" s="287" t="s">
        <v>1</v>
      </c>
      <c r="AO518" s="287" t="s">
        <v>1</v>
      </c>
      <c r="AP518" s="286" t="s">
        <v>1</v>
      </c>
      <c r="AQ518" s="285" t="s">
        <v>1</v>
      </c>
      <c r="AR518" s="289" t="s">
        <v>1</v>
      </c>
      <c r="AS518" s="289" t="s">
        <v>1</v>
      </c>
      <c r="AT518" s="290" t="s">
        <v>1</v>
      </c>
      <c r="AU518" s="287" t="s">
        <v>1</v>
      </c>
      <c r="AV518" s="287" t="s">
        <v>1</v>
      </c>
      <c r="AW518" s="291" t="s">
        <v>1</v>
      </c>
    </row>
    <row r="519" spans="1:49" ht="30.15" customHeight="1" x14ac:dyDescent="0.25">
      <c r="A519" s="213" t="s">
        <v>18</v>
      </c>
      <c r="B519" s="189" t="s">
        <v>1</v>
      </c>
      <c r="C519" s="212" t="s">
        <v>34</v>
      </c>
      <c r="D519" s="190" t="s">
        <v>7</v>
      </c>
      <c r="E519" s="190" t="s">
        <v>1050</v>
      </c>
      <c r="F519" s="203"/>
      <c r="G519" s="190" t="s">
        <v>1046</v>
      </c>
      <c r="H519" s="192" t="s">
        <v>7</v>
      </c>
      <c r="I519" s="193">
        <v>2248</v>
      </c>
      <c r="J519" s="193">
        <v>2248</v>
      </c>
      <c r="K519" s="193">
        <v>2248</v>
      </c>
      <c r="L519" s="193">
        <v>2865</v>
      </c>
      <c r="M519" s="194">
        <v>2865</v>
      </c>
      <c r="N519" s="284">
        <v>573</v>
      </c>
      <c r="O519" s="285">
        <v>22.71</v>
      </c>
      <c r="P519" s="285">
        <v>24</v>
      </c>
      <c r="Q519" s="285" t="s">
        <v>1</v>
      </c>
      <c r="R519" s="285" t="s">
        <v>1</v>
      </c>
      <c r="S519" s="286">
        <v>573</v>
      </c>
      <c r="T519" s="285">
        <v>22.71</v>
      </c>
      <c r="U519" s="285">
        <v>24</v>
      </c>
      <c r="V519" s="285" t="s">
        <v>1</v>
      </c>
      <c r="W519" s="285" t="s">
        <v>1</v>
      </c>
      <c r="X519" s="286">
        <v>573</v>
      </c>
      <c r="Y519" s="285">
        <v>31.05</v>
      </c>
      <c r="Z519" s="285">
        <v>24</v>
      </c>
      <c r="AA519" s="285" t="s">
        <v>1</v>
      </c>
      <c r="AB519" s="285" t="s">
        <v>1</v>
      </c>
      <c r="AC519" s="286">
        <v>573</v>
      </c>
      <c r="AD519" s="285">
        <v>31.05</v>
      </c>
      <c r="AE519" s="285">
        <v>24</v>
      </c>
      <c r="AF519" s="285" t="s">
        <v>1</v>
      </c>
      <c r="AG519" s="285" t="s">
        <v>1</v>
      </c>
      <c r="AH519" s="286" t="s">
        <v>1</v>
      </c>
      <c r="AI519" s="295" t="s">
        <v>1</v>
      </c>
      <c r="AJ519" s="295" t="s">
        <v>1</v>
      </c>
      <c r="AK519" s="295" t="s">
        <v>1</v>
      </c>
      <c r="AL519" s="286" t="s">
        <v>1</v>
      </c>
      <c r="AM519" s="288" t="s">
        <v>1</v>
      </c>
      <c r="AN519" s="287" t="s">
        <v>1</v>
      </c>
      <c r="AO519" s="287" t="s">
        <v>1</v>
      </c>
      <c r="AP519" s="286" t="s">
        <v>1</v>
      </c>
      <c r="AQ519" s="285" t="s">
        <v>1</v>
      </c>
      <c r="AR519" s="289" t="s">
        <v>1</v>
      </c>
      <c r="AS519" s="289" t="s">
        <v>1</v>
      </c>
      <c r="AT519" s="290" t="s">
        <v>1</v>
      </c>
      <c r="AU519" s="287" t="s">
        <v>1</v>
      </c>
      <c r="AV519" s="287" t="s">
        <v>1</v>
      </c>
      <c r="AW519" s="291" t="s">
        <v>1</v>
      </c>
    </row>
    <row r="520" spans="1:49" ht="30.15" customHeight="1" x14ac:dyDescent="0.25">
      <c r="A520" s="213" t="s">
        <v>18</v>
      </c>
      <c r="B520" s="189" t="s">
        <v>1</v>
      </c>
      <c r="C520" s="212" t="s">
        <v>34</v>
      </c>
      <c r="D520" s="190" t="s">
        <v>7</v>
      </c>
      <c r="E520" s="190" t="s">
        <v>1051</v>
      </c>
      <c r="F520" s="203"/>
      <c r="G520" s="190" t="s">
        <v>1046</v>
      </c>
      <c r="H520" s="192" t="s">
        <v>7</v>
      </c>
      <c r="I520" s="193">
        <v>2248</v>
      </c>
      <c r="J520" s="193">
        <v>2248</v>
      </c>
      <c r="K520" s="193">
        <v>2248</v>
      </c>
      <c r="L520" s="193">
        <v>2865</v>
      </c>
      <c r="M520" s="194">
        <v>2865</v>
      </c>
      <c r="N520" s="284">
        <v>573</v>
      </c>
      <c r="O520" s="285">
        <v>22.71</v>
      </c>
      <c r="P520" s="285">
        <v>24</v>
      </c>
      <c r="Q520" s="285" t="s">
        <v>1</v>
      </c>
      <c r="R520" s="285" t="s">
        <v>1</v>
      </c>
      <c r="S520" s="286">
        <v>573</v>
      </c>
      <c r="T520" s="285">
        <v>22.71</v>
      </c>
      <c r="U520" s="285">
        <v>24</v>
      </c>
      <c r="V520" s="285" t="s">
        <v>1</v>
      </c>
      <c r="W520" s="285" t="s">
        <v>1</v>
      </c>
      <c r="X520" s="286">
        <v>573</v>
      </c>
      <c r="Y520" s="285">
        <v>31.05</v>
      </c>
      <c r="Z520" s="285">
        <v>24</v>
      </c>
      <c r="AA520" s="285" t="s">
        <v>1</v>
      </c>
      <c r="AB520" s="285" t="s">
        <v>1</v>
      </c>
      <c r="AC520" s="286">
        <v>573</v>
      </c>
      <c r="AD520" s="285">
        <v>31.05</v>
      </c>
      <c r="AE520" s="285">
        <v>24</v>
      </c>
      <c r="AF520" s="285" t="s">
        <v>1</v>
      </c>
      <c r="AG520" s="285" t="s">
        <v>1</v>
      </c>
      <c r="AH520" s="286" t="s">
        <v>1</v>
      </c>
      <c r="AI520" s="295" t="s">
        <v>1</v>
      </c>
      <c r="AJ520" s="295" t="s">
        <v>1</v>
      </c>
      <c r="AK520" s="295" t="s">
        <v>1</v>
      </c>
      <c r="AL520" s="286" t="s">
        <v>1</v>
      </c>
      <c r="AM520" s="288" t="s">
        <v>1</v>
      </c>
      <c r="AN520" s="287" t="s">
        <v>1</v>
      </c>
      <c r="AO520" s="287" t="s">
        <v>1</v>
      </c>
      <c r="AP520" s="286" t="s">
        <v>1</v>
      </c>
      <c r="AQ520" s="285" t="s">
        <v>1</v>
      </c>
      <c r="AR520" s="289" t="s">
        <v>1</v>
      </c>
      <c r="AS520" s="289" t="s">
        <v>1</v>
      </c>
      <c r="AT520" s="290" t="s">
        <v>1</v>
      </c>
      <c r="AU520" s="287" t="s">
        <v>1</v>
      </c>
      <c r="AV520" s="287" t="s">
        <v>1</v>
      </c>
      <c r="AW520" s="291" t="s">
        <v>1</v>
      </c>
    </row>
    <row r="521" spans="1:49" ht="30.15" customHeight="1" x14ac:dyDescent="0.25">
      <c r="A521" s="213" t="s">
        <v>18</v>
      </c>
      <c r="B521" s="189" t="s">
        <v>1</v>
      </c>
      <c r="C521" s="212" t="s">
        <v>34</v>
      </c>
      <c r="D521" s="190" t="s">
        <v>7</v>
      </c>
      <c r="E521" s="190" t="s">
        <v>1052</v>
      </c>
      <c r="F521" s="203"/>
      <c r="G521" s="190" t="s">
        <v>1046</v>
      </c>
      <c r="H521" s="192" t="s">
        <v>1233</v>
      </c>
      <c r="I521" s="193">
        <v>2248</v>
      </c>
      <c r="J521" s="193">
        <v>2248</v>
      </c>
      <c r="K521" s="193">
        <v>2248</v>
      </c>
      <c r="L521" s="193">
        <v>2865</v>
      </c>
      <c r="M521" s="194">
        <v>2865</v>
      </c>
      <c r="N521" s="284">
        <v>573</v>
      </c>
      <c r="O521" s="285">
        <v>22.71</v>
      </c>
      <c r="P521" s="285">
        <v>24</v>
      </c>
      <c r="Q521" s="285" t="s">
        <v>1</v>
      </c>
      <c r="R521" s="285" t="s">
        <v>1</v>
      </c>
      <c r="S521" s="286">
        <v>573</v>
      </c>
      <c r="T521" s="285">
        <v>22.71</v>
      </c>
      <c r="U521" s="285">
        <v>24</v>
      </c>
      <c r="V521" s="285" t="s">
        <v>1</v>
      </c>
      <c r="W521" s="285" t="s">
        <v>1</v>
      </c>
      <c r="X521" s="286">
        <v>573</v>
      </c>
      <c r="Y521" s="285">
        <v>31.05</v>
      </c>
      <c r="Z521" s="285">
        <v>24</v>
      </c>
      <c r="AA521" s="285" t="s">
        <v>1</v>
      </c>
      <c r="AB521" s="285" t="s">
        <v>1</v>
      </c>
      <c r="AC521" s="286">
        <v>573</v>
      </c>
      <c r="AD521" s="285">
        <v>31.05</v>
      </c>
      <c r="AE521" s="285">
        <v>24</v>
      </c>
      <c r="AF521" s="285" t="s">
        <v>1</v>
      </c>
      <c r="AG521" s="285" t="s">
        <v>1</v>
      </c>
      <c r="AH521" s="286" t="s">
        <v>1</v>
      </c>
      <c r="AI521" s="295" t="s">
        <v>1</v>
      </c>
      <c r="AJ521" s="295" t="s">
        <v>1</v>
      </c>
      <c r="AK521" s="295" t="s">
        <v>1</v>
      </c>
      <c r="AL521" s="286" t="s">
        <v>1</v>
      </c>
      <c r="AM521" s="288" t="s">
        <v>1</v>
      </c>
      <c r="AN521" s="287" t="s">
        <v>1</v>
      </c>
      <c r="AO521" s="287" t="s">
        <v>1</v>
      </c>
      <c r="AP521" s="286" t="s">
        <v>1</v>
      </c>
      <c r="AQ521" s="285" t="s">
        <v>1</v>
      </c>
      <c r="AR521" s="289" t="s">
        <v>1</v>
      </c>
      <c r="AS521" s="289" t="s">
        <v>1</v>
      </c>
      <c r="AT521" s="290" t="s">
        <v>1</v>
      </c>
      <c r="AU521" s="287" t="s">
        <v>1</v>
      </c>
      <c r="AV521" s="287" t="s">
        <v>1</v>
      </c>
      <c r="AW521" s="291" t="s">
        <v>1</v>
      </c>
    </row>
    <row r="522" spans="1:49" ht="30.15" customHeight="1" x14ac:dyDescent="0.25">
      <c r="A522" s="213" t="s">
        <v>18</v>
      </c>
      <c r="B522" s="189" t="s">
        <v>1</v>
      </c>
      <c r="C522" s="212" t="s">
        <v>34</v>
      </c>
      <c r="D522" s="190" t="s">
        <v>7</v>
      </c>
      <c r="E522" s="190" t="s">
        <v>1053</v>
      </c>
      <c r="F522" s="203"/>
      <c r="G522" s="190" t="s">
        <v>1046</v>
      </c>
      <c r="H522" s="192" t="s">
        <v>7</v>
      </c>
      <c r="I522" s="193">
        <v>2248</v>
      </c>
      <c r="J522" s="193">
        <v>2248</v>
      </c>
      <c r="K522" s="193">
        <v>2248</v>
      </c>
      <c r="L522" s="193">
        <v>2865</v>
      </c>
      <c r="M522" s="194">
        <v>2865</v>
      </c>
      <c r="N522" s="284">
        <v>573</v>
      </c>
      <c r="O522" s="285">
        <v>22.71</v>
      </c>
      <c r="P522" s="285">
        <v>24</v>
      </c>
      <c r="Q522" s="285" t="s">
        <v>1</v>
      </c>
      <c r="R522" s="285" t="s">
        <v>1</v>
      </c>
      <c r="S522" s="286">
        <v>573</v>
      </c>
      <c r="T522" s="285">
        <v>22.71</v>
      </c>
      <c r="U522" s="285">
        <v>24</v>
      </c>
      <c r="V522" s="285" t="s">
        <v>1</v>
      </c>
      <c r="W522" s="285" t="s">
        <v>1</v>
      </c>
      <c r="X522" s="286">
        <v>573</v>
      </c>
      <c r="Y522" s="285">
        <v>31.05</v>
      </c>
      <c r="Z522" s="285">
        <v>24</v>
      </c>
      <c r="AA522" s="285" t="s">
        <v>1</v>
      </c>
      <c r="AB522" s="285" t="s">
        <v>1</v>
      </c>
      <c r="AC522" s="286">
        <v>573</v>
      </c>
      <c r="AD522" s="285">
        <v>31.05</v>
      </c>
      <c r="AE522" s="285">
        <v>24</v>
      </c>
      <c r="AF522" s="285" t="s">
        <v>1</v>
      </c>
      <c r="AG522" s="285" t="s">
        <v>1</v>
      </c>
      <c r="AH522" s="286" t="s">
        <v>1</v>
      </c>
      <c r="AI522" s="295" t="s">
        <v>1</v>
      </c>
      <c r="AJ522" s="295" t="s">
        <v>1</v>
      </c>
      <c r="AK522" s="295" t="s">
        <v>1</v>
      </c>
      <c r="AL522" s="286" t="s">
        <v>1</v>
      </c>
      <c r="AM522" s="288" t="s">
        <v>1</v>
      </c>
      <c r="AN522" s="287" t="s">
        <v>1</v>
      </c>
      <c r="AO522" s="287" t="s">
        <v>1</v>
      </c>
      <c r="AP522" s="286" t="s">
        <v>1</v>
      </c>
      <c r="AQ522" s="285" t="s">
        <v>1</v>
      </c>
      <c r="AR522" s="289" t="s">
        <v>1</v>
      </c>
      <c r="AS522" s="289" t="s">
        <v>1</v>
      </c>
      <c r="AT522" s="290" t="s">
        <v>1</v>
      </c>
      <c r="AU522" s="287" t="s">
        <v>1</v>
      </c>
      <c r="AV522" s="287" t="s">
        <v>1</v>
      </c>
      <c r="AW522" s="291" t="s">
        <v>1</v>
      </c>
    </row>
    <row r="523" spans="1:49" ht="30.15" customHeight="1" x14ac:dyDescent="0.25">
      <c r="A523" s="213" t="s">
        <v>18</v>
      </c>
      <c r="B523" s="189" t="s">
        <v>1</v>
      </c>
      <c r="C523" s="212" t="s">
        <v>34</v>
      </c>
      <c r="D523" s="190" t="s">
        <v>7</v>
      </c>
      <c r="E523" s="190" t="s">
        <v>1054</v>
      </c>
      <c r="F523" s="203"/>
      <c r="G523" s="190" t="s">
        <v>1046</v>
      </c>
      <c r="H523" s="192" t="s">
        <v>7</v>
      </c>
      <c r="I523" s="193">
        <v>2248</v>
      </c>
      <c r="J523" s="193">
        <v>2248</v>
      </c>
      <c r="K523" s="193">
        <v>2248</v>
      </c>
      <c r="L523" s="193">
        <v>2865</v>
      </c>
      <c r="M523" s="194">
        <v>2865</v>
      </c>
      <c r="N523" s="284">
        <v>573</v>
      </c>
      <c r="O523" s="285">
        <v>22.71</v>
      </c>
      <c r="P523" s="285">
        <v>24</v>
      </c>
      <c r="Q523" s="285" t="s">
        <v>1</v>
      </c>
      <c r="R523" s="285" t="s">
        <v>1</v>
      </c>
      <c r="S523" s="286">
        <v>573</v>
      </c>
      <c r="T523" s="285">
        <v>22.71</v>
      </c>
      <c r="U523" s="285">
        <v>24</v>
      </c>
      <c r="V523" s="285" t="s">
        <v>1</v>
      </c>
      <c r="W523" s="285" t="s">
        <v>1</v>
      </c>
      <c r="X523" s="286">
        <v>573</v>
      </c>
      <c r="Y523" s="285">
        <v>31.05</v>
      </c>
      <c r="Z523" s="285">
        <v>24</v>
      </c>
      <c r="AA523" s="285" t="s">
        <v>1</v>
      </c>
      <c r="AB523" s="285" t="s">
        <v>1</v>
      </c>
      <c r="AC523" s="286">
        <v>573</v>
      </c>
      <c r="AD523" s="285">
        <v>31.05</v>
      </c>
      <c r="AE523" s="285">
        <v>24</v>
      </c>
      <c r="AF523" s="285" t="s">
        <v>1</v>
      </c>
      <c r="AG523" s="285" t="s">
        <v>1</v>
      </c>
      <c r="AH523" s="286" t="s">
        <v>1</v>
      </c>
      <c r="AI523" s="295" t="s">
        <v>1</v>
      </c>
      <c r="AJ523" s="295" t="s">
        <v>1</v>
      </c>
      <c r="AK523" s="295" t="s">
        <v>1</v>
      </c>
      <c r="AL523" s="286" t="s">
        <v>1</v>
      </c>
      <c r="AM523" s="288" t="s">
        <v>1</v>
      </c>
      <c r="AN523" s="287" t="s">
        <v>1</v>
      </c>
      <c r="AO523" s="287" t="s">
        <v>1</v>
      </c>
      <c r="AP523" s="286" t="s">
        <v>1</v>
      </c>
      <c r="AQ523" s="285" t="s">
        <v>1</v>
      </c>
      <c r="AR523" s="289" t="s">
        <v>1</v>
      </c>
      <c r="AS523" s="289" t="s">
        <v>1</v>
      </c>
      <c r="AT523" s="290" t="s">
        <v>1</v>
      </c>
      <c r="AU523" s="287" t="s">
        <v>1</v>
      </c>
      <c r="AV523" s="287" t="s">
        <v>1</v>
      </c>
      <c r="AW523" s="291" t="s">
        <v>1</v>
      </c>
    </row>
    <row r="524" spans="1:49" ht="30.15" customHeight="1" x14ac:dyDescent="0.25">
      <c r="A524" s="213" t="s">
        <v>18</v>
      </c>
      <c r="B524" s="189" t="s">
        <v>1</v>
      </c>
      <c r="C524" s="212" t="s">
        <v>34</v>
      </c>
      <c r="D524" s="190" t="s">
        <v>7</v>
      </c>
      <c r="E524" s="190" t="s">
        <v>1055</v>
      </c>
      <c r="F524" s="203"/>
      <c r="G524" s="190" t="s">
        <v>1046</v>
      </c>
      <c r="H524" s="192" t="s">
        <v>7</v>
      </c>
      <c r="I524" s="193">
        <v>2248</v>
      </c>
      <c r="J524" s="193">
        <v>2248</v>
      </c>
      <c r="K524" s="193">
        <v>2248</v>
      </c>
      <c r="L524" s="193">
        <v>2865</v>
      </c>
      <c r="M524" s="194">
        <v>2865</v>
      </c>
      <c r="N524" s="284">
        <v>573</v>
      </c>
      <c r="O524" s="285">
        <v>22.71</v>
      </c>
      <c r="P524" s="285">
        <v>24</v>
      </c>
      <c r="Q524" s="285" t="s">
        <v>1</v>
      </c>
      <c r="R524" s="285" t="s">
        <v>1</v>
      </c>
      <c r="S524" s="286">
        <v>573</v>
      </c>
      <c r="T524" s="285">
        <v>22.71</v>
      </c>
      <c r="U524" s="285">
        <v>24</v>
      </c>
      <c r="V524" s="285" t="s">
        <v>1</v>
      </c>
      <c r="W524" s="285" t="s">
        <v>1</v>
      </c>
      <c r="X524" s="286">
        <v>573</v>
      </c>
      <c r="Y524" s="285">
        <v>31.05</v>
      </c>
      <c r="Z524" s="285">
        <v>24</v>
      </c>
      <c r="AA524" s="285" t="s">
        <v>1</v>
      </c>
      <c r="AB524" s="285" t="s">
        <v>1</v>
      </c>
      <c r="AC524" s="286">
        <v>573</v>
      </c>
      <c r="AD524" s="285">
        <v>31.05</v>
      </c>
      <c r="AE524" s="285">
        <v>24</v>
      </c>
      <c r="AF524" s="285" t="s">
        <v>1</v>
      </c>
      <c r="AG524" s="285" t="s">
        <v>1</v>
      </c>
      <c r="AH524" s="286" t="s">
        <v>1</v>
      </c>
      <c r="AI524" s="295" t="s">
        <v>1</v>
      </c>
      <c r="AJ524" s="295" t="s">
        <v>1</v>
      </c>
      <c r="AK524" s="295" t="s">
        <v>1</v>
      </c>
      <c r="AL524" s="286" t="s">
        <v>1</v>
      </c>
      <c r="AM524" s="288" t="s">
        <v>1</v>
      </c>
      <c r="AN524" s="287" t="s">
        <v>1</v>
      </c>
      <c r="AO524" s="287" t="s">
        <v>1</v>
      </c>
      <c r="AP524" s="286" t="s">
        <v>1</v>
      </c>
      <c r="AQ524" s="285" t="s">
        <v>1</v>
      </c>
      <c r="AR524" s="289" t="s">
        <v>1</v>
      </c>
      <c r="AS524" s="289" t="s">
        <v>1</v>
      </c>
      <c r="AT524" s="290" t="s">
        <v>1</v>
      </c>
      <c r="AU524" s="287" t="s">
        <v>1</v>
      </c>
      <c r="AV524" s="287" t="s">
        <v>1</v>
      </c>
      <c r="AW524" s="291" t="s">
        <v>1</v>
      </c>
    </row>
    <row r="525" spans="1:49" ht="30.15" customHeight="1" x14ac:dyDescent="0.25">
      <c r="A525" s="213" t="s">
        <v>18</v>
      </c>
      <c r="B525" s="189" t="s">
        <v>1</v>
      </c>
      <c r="C525" s="212" t="s">
        <v>34</v>
      </c>
      <c r="D525" s="190" t="s">
        <v>7</v>
      </c>
      <c r="E525" s="190" t="s">
        <v>1056</v>
      </c>
      <c r="F525" s="203"/>
      <c r="G525" s="190" t="s">
        <v>1046</v>
      </c>
      <c r="H525" s="192" t="s">
        <v>7</v>
      </c>
      <c r="I525" s="193">
        <v>2248</v>
      </c>
      <c r="J525" s="193">
        <v>2248</v>
      </c>
      <c r="K525" s="193">
        <v>2248</v>
      </c>
      <c r="L525" s="193">
        <v>2865</v>
      </c>
      <c r="M525" s="194">
        <v>2865</v>
      </c>
      <c r="N525" s="284">
        <v>573</v>
      </c>
      <c r="O525" s="285">
        <v>22.71</v>
      </c>
      <c r="P525" s="285">
        <v>24</v>
      </c>
      <c r="Q525" s="285" t="s">
        <v>1</v>
      </c>
      <c r="R525" s="285" t="s">
        <v>1</v>
      </c>
      <c r="S525" s="286">
        <v>573</v>
      </c>
      <c r="T525" s="285">
        <v>22.71</v>
      </c>
      <c r="U525" s="285">
        <v>24</v>
      </c>
      <c r="V525" s="285" t="s">
        <v>1</v>
      </c>
      <c r="W525" s="285" t="s">
        <v>1</v>
      </c>
      <c r="X525" s="286">
        <v>573</v>
      </c>
      <c r="Y525" s="285">
        <v>31.05</v>
      </c>
      <c r="Z525" s="285">
        <v>24</v>
      </c>
      <c r="AA525" s="285" t="s">
        <v>1</v>
      </c>
      <c r="AB525" s="285" t="s">
        <v>1</v>
      </c>
      <c r="AC525" s="286">
        <v>573</v>
      </c>
      <c r="AD525" s="285">
        <v>31.05</v>
      </c>
      <c r="AE525" s="285">
        <v>24</v>
      </c>
      <c r="AF525" s="285" t="s">
        <v>1</v>
      </c>
      <c r="AG525" s="285" t="s">
        <v>1</v>
      </c>
      <c r="AH525" s="286" t="s">
        <v>1</v>
      </c>
      <c r="AI525" s="295" t="s">
        <v>1</v>
      </c>
      <c r="AJ525" s="295" t="s">
        <v>1</v>
      </c>
      <c r="AK525" s="295" t="s">
        <v>1</v>
      </c>
      <c r="AL525" s="286" t="s">
        <v>1</v>
      </c>
      <c r="AM525" s="288" t="s">
        <v>1</v>
      </c>
      <c r="AN525" s="287" t="s">
        <v>1</v>
      </c>
      <c r="AO525" s="287" t="s">
        <v>1</v>
      </c>
      <c r="AP525" s="286" t="s">
        <v>1</v>
      </c>
      <c r="AQ525" s="285" t="s">
        <v>1</v>
      </c>
      <c r="AR525" s="289" t="s">
        <v>1</v>
      </c>
      <c r="AS525" s="289" t="s">
        <v>1</v>
      </c>
      <c r="AT525" s="290" t="s">
        <v>1</v>
      </c>
      <c r="AU525" s="287" t="s">
        <v>1</v>
      </c>
      <c r="AV525" s="287" t="s">
        <v>1</v>
      </c>
      <c r="AW525" s="291" t="s">
        <v>1</v>
      </c>
    </row>
    <row r="526" spans="1:49" ht="30.15" customHeight="1" x14ac:dyDescent="0.25">
      <c r="A526" s="213" t="s">
        <v>18</v>
      </c>
      <c r="B526" s="189" t="s">
        <v>1</v>
      </c>
      <c r="C526" s="212" t="s">
        <v>34</v>
      </c>
      <c r="D526" s="190" t="s">
        <v>7</v>
      </c>
      <c r="E526" s="190" t="s">
        <v>1039</v>
      </c>
      <c r="F526" s="203"/>
      <c r="G526" s="190" t="s">
        <v>1045</v>
      </c>
      <c r="H526" s="192" t="s">
        <v>409</v>
      </c>
      <c r="I526" s="193">
        <v>903</v>
      </c>
      <c r="J526" s="193">
        <v>903</v>
      </c>
      <c r="K526" s="193">
        <v>903</v>
      </c>
      <c r="L526" s="193">
        <v>1200</v>
      </c>
      <c r="M526" s="194">
        <v>1200</v>
      </c>
      <c r="N526" s="284">
        <v>240</v>
      </c>
      <c r="O526" s="285">
        <v>10.42</v>
      </c>
      <c r="P526" s="285">
        <v>24</v>
      </c>
      <c r="Q526" s="285">
        <v>340</v>
      </c>
      <c r="R526" s="285" t="s">
        <v>1</v>
      </c>
      <c r="S526" s="286">
        <v>240</v>
      </c>
      <c r="T526" s="285">
        <v>10.42</v>
      </c>
      <c r="U526" s="285">
        <v>24</v>
      </c>
      <c r="V526" s="285">
        <v>340</v>
      </c>
      <c r="W526" s="285" t="s">
        <v>1</v>
      </c>
      <c r="X526" s="286">
        <v>240</v>
      </c>
      <c r="Y526" s="285">
        <v>21.84</v>
      </c>
      <c r="Z526" s="285">
        <v>24</v>
      </c>
      <c r="AA526" s="285">
        <v>340</v>
      </c>
      <c r="AB526" s="285" t="s">
        <v>1</v>
      </c>
      <c r="AC526" s="286">
        <v>240</v>
      </c>
      <c r="AD526" s="285">
        <v>21.84</v>
      </c>
      <c r="AE526" s="285">
        <v>24</v>
      </c>
      <c r="AF526" s="285">
        <v>340</v>
      </c>
      <c r="AG526" s="285" t="s">
        <v>1</v>
      </c>
      <c r="AH526" s="286" t="s">
        <v>1</v>
      </c>
      <c r="AI526" s="295" t="s">
        <v>1</v>
      </c>
      <c r="AJ526" s="295" t="s">
        <v>1</v>
      </c>
      <c r="AK526" s="295" t="s">
        <v>1</v>
      </c>
      <c r="AL526" s="286" t="s">
        <v>1</v>
      </c>
      <c r="AM526" s="288" t="s">
        <v>1</v>
      </c>
      <c r="AN526" s="287" t="s">
        <v>1</v>
      </c>
      <c r="AO526" s="287" t="s">
        <v>1</v>
      </c>
      <c r="AP526" s="286" t="s">
        <v>1</v>
      </c>
      <c r="AQ526" s="285" t="s">
        <v>1</v>
      </c>
      <c r="AR526" s="289" t="s">
        <v>1</v>
      </c>
      <c r="AS526" s="289" t="s">
        <v>1</v>
      </c>
      <c r="AT526" s="290" t="s">
        <v>1</v>
      </c>
      <c r="AU526" s="287" t="s">
        <v>1</v>
      </c>
      <c r="AV526" s="287" t="s">
        <v>1</v>
      </c>
      <c r="AW526" s="291" t="s">
        <v>1</v>
      </c>
    </row>
    <row r="527" spans="1:49" ht="30.15" customHeight="1" x14ac:dyDescent="0.25">
      <c r="A527" s="213" t="s">
        <v>18</v>
      </c>
      <c r="B527" s="189" t="s">
        <v>1</v>
      </c>
      <c r="C527" s="212" t="s">
        <v>34</v>
      </c>
      <c r="D527" s="190" t="s">
        <v>7</v>
      </c>
      <c r="E527" s="190" t="s">
        <v>1040</v>
      </c>
      <c r="F527" s="203"/>
      <c r="G527" s="190" t="s">
        <v>1045</v>
      </c>
      <c r="H527" s="192" t="s">
        <v>409</v>
      </c>
      <c r="I527" s="193">
        <v>903</v>
      </c>
      <c r="J527" s="193">
        <v>903</v>
      </c>
      <c r="K527" s="193">
        <v>903</v>
      </c>
      <c r="L527" s="193">
        <v>1200</v>
      </c>
      <c r="M527" s="194">
        <v>1200</v>
      </c>
      <c r="N527" s="284">
        <v>240</v>
      </c>
      <c r="O527" s="285">
        <v>10.42</v>
      </c>
      <c r="P527" s="285">
        <v>24</v>
      </c>
      <c r="Q527" s="285">
        <v>340</v>
      </c>
      <c r="R527" s="285" t="s">
        <v>1</v>
      </c>
      <c r="S527" s="286">
        <v>240</v>
      </c>
      <c r="T527" s="285">
        <v>10.42</v>
      </c>
      <c r="U527" s="285">
        <v>24</v>
      </c>
      <c r="V527" s="285">
        <v>340</v>
      </c>
      <c r="W527" s="285" t="s">
        <v>1</v>
      </c>
      <c r="X527" s="286">
        <v>240</v>
      </c>
      <c r="Y527" s="285">
        <v>21.84</v>
      </c>
      <c r="Z527" s="285">
        <v>24</v>
      </c>
      <c r="AA527" s="285">
        <v>340</v>
      </c>
      <c r="AB527" s="285" t="s">
        <v>1</v>
      </c>
      <c r="AC527" s="286">
        <v>240</v>
      </c>
      <c r="AD527" s="285">
        <v>21.84</v>
      </c>
      <c r="AE527" s="285">
        <v>24</v>
      </c>
      <c r="AF527" s="285">
        <v>340</v>
      </c>
      <c r="AG527" s="285" t="s">
        <v>1</v>
      </c>
      <c r="AH527" s="286" t="s">
        <v>1</v>
      </c>
      <c r="AI527" s="295" t="s">
        <v>1</v>
      </c>
      <c r="AJ527" s="295" t="s">
        <v>1</v>
      </c>
      <c r="AK527" s="295" t="s">
        <v>1</v>
      </c>
      <c r="AL527" s="286" t="s">
        <v>1</v>
      </c>
      <c r="AM527" s="288" t="s">
        <v>1</v>
      </c>
      <c r="AN527" s="287" t="s">
        <v>1</v>
      </c>
      <c r="AO527" s="287" t="s">
        <v>1</v>
      </c>
      <c r="AP527" s="286" t="s">
        <v>1</v>
      </c>
      <c r="AQ527" s="285" t="s">
        <v>1</v>
      </c>
      <c r="AR527" s="289" t="s">
        <v>1</v>
      </c>
      <c r="AS527" s="289" t="s">
        <v>1</v>
      </c>
      <c r="AT527" s="290" t="s">
        <v>1</v>
      </c>
      <c r="AU527" s="287" t="s">
        <v>1</v>
      </c>
      <c r="AV527" s="287" t="s">
        <v>1</v>
      </c>
      <c r="AW527" s="291" t="s">
        <v>1</v>
      </c>
    </row>
    <row r="528" spans="1:49" ht="30.15" customHeight="1" x14ac:dyDescent="0.25">
      <c r="A528" s="213" t="s">
        <v>18</v>
      </c>
      <c r="B528" s="189" t="s">
        <v>1</v>
      </c>
      <c r="C528" s="212" t="s">
        <v>34</v>
      </c>
      <c r="D528" s="190" t="s">
        <v>7</v>
      </c>
      <c r="E528" s="190" t="s">
        <v>1041</v>
      </c>
      <c r="F528" s="203"/>
      <c r="G528" s="190" t="s">
        <v>1045</v>
      </c>
      <c r="H528" s="192" t="s">
        <v>1026</v>
      </c>
      <c r="I528" s="193">
        <v>903</v>
      </c>
      <c r="J528" s="193">
        <v>903</v>
      </c>
      <c r="K528" s="193">
        <v>903</v>
      </c>
      <c r="L528" s="193">
        <v>1200</v>
      </c>
      <c r="M528" s="194">
        <v>1200</v>
      </c>
      <c r="N528" s="284">
        <v>240</v>
      </c>
      <c r="O528" s="285">
        <v>10.42</v>
      </c>
      <c r="P528" s="285">
        <v>24</v>
      </c>
      <c r="Q528" s="285">
        <v>340</v>
      </c>
      <c r="R528" s="285" t="s">
        <v>1</v>
      </c>
      <c r="S528" s="286">
        <v>240</v>
      </c>
      <c r="T528" s="285">
        <v>10.42</v>
      </c>
      <c r="U528" s="285">
        <v>24</v>
      </c>
      <c r="V528" s="285">
        <v>340</v>
      </c>
      <c r="W528" s="285" t="s">
        <v>1</v>
      </c>
      <c r="X528" s="286">
        <v>240</v>
      </c>
      <c r="Y528" s="285">
        <v>21.84</v>
      </c>
      <c r="Z528" s="285">
        <v>24</v>
      </c>
      <c r="AA528" s="285">
        <v>340</v>
      </c>
      <c r="AB528" s="285" t="s">
        <v>1</v>
      </c>
      <c r="AC528" s="286">
        <v>240</v>
      </c>
      <c r="AD528" s="285">
        <v>21.84</v>
      </c>
      <c r="AE528" s="285">
        <v>24</v>
      </c>
      <c r="AF528" s="285">
        <v>340</v>
      </c>
      <c r="AG528" s="285" t="s">
        <v>1</v>
      </c>
      <c r="AH528" s="286" t="s">
        <v>1</v>
      </c>
      <c r="AI528" s="295" t="s">
        <v>1</v>
      </c>
      <c r="AJ528" s="295" t="s">
        <v>1</v>
      </c>
      <c r="AK528" s="295" t="s">
        <v>1</v>
      </c>
      <c r="AL528" s="286" t="s">
        <v>1</v>
      </c>
      <c r="AM528" s="288" t="s">
        <v>1</v>
      </c>
      <c r="AN528" s="287" t="s">
        <v>1</v>
      </c>
      <c r="AO528" s="287" t="s">
        <v>1</v>
      </c>
      <c r="AP528" s="286" t="s">
        <v>1</v>
      </c>
      <c r="AQ528" s="285" t="s">
        <v>1</v>
      </c>
      <c r="AR528" s="289" t="s">
        <v>1</v>
      </c>
      <c r="AS528" s="289" t="s">
        <v>1</v>
      </c>
      <c r="AT528" s="290" t="s">
        <v>1</v>
      </c>
      <c r="AU528" s="287" t="s">
        <v>1</v>
      </c>
      <c r="AV528" s="287" t="s">
        <v>1</v>
      </c>
      <c r="AW528" s="291" t="s">
        <v>1</v>
      </c>
    </row>
    <row r="529" spans="1:49" ht="30.15" customHeight="1" x14ac:dyDescent="0.25">
      <c r="A529" s="213" t="s">
        <v>18</v>
      </c>
      <c r="B529" s="189" t="s">
        <v>1</v>
      </c>
      <c r="C529" s="212" t="s">
        <v>34</v>
      </c>
      <c r="D529" s="190" t="s">
        <v>7</v>
      </c>
      <c r="E529" s="190" t="s">
        <v>1042</v>
      </c>
      <c r="F529" s="203"/>
      <c r="G529" s="190" t="s">
        <v>1045</v>
      </c>
      <c r="H529" s="192" t="s">
        <v>7</v>
      </c>
      <c r="I529" s="193">
        <v>903</v>
      </c>
      <c r="J529" s="193">
        <v>903</v>
      </c>
      <c r="K529" s="193">
        <v>903</v>
      </c>
      <c r="L529" s="193">
        <v>1200</v>
      </c>
      <c r="M529" s="194">
        <v>1200</v>
      </c>
      <c r="N529" s="284">
        <v>240</v>
      </c>
      <c r="O529" s="285">
        <v>10.42</v>
      </c>
      <c r="P529" s="285">
        <v>24</v>
      </c>
      <c r="Q529" s="285">
        <v>340</v>
      </c>
      <c r="R529" s="285" t="s">
        <v>1</v>
      </c>
      <c r="S529" s="286">
        <v>240</v>
      </c>
      <c r="T529" s="285">
        <v>10.42</v>
      </c>
      <c r="U529" s="285">
        <v>24</v>
      </c>
      <c r="V529" s="285">
        <v>340</v>
      </c>
      <c r="W529" s="285" t="s">
        <v>1</v>
      </c>
      <c r="X529" s="286">
        <v>240</v>
      </c>
      <c r="Y529" s="285">
        <v>21.84</v>
      </c>
      <c r="Z529" s="285">
        <v>24</v>
      </c>
      <c r="AA529" s="285">
        <v>340</v>
      </c>
      <c r="AB529" s="285" t="s">
        <v>1</v>
      </c>
      <c r="AC529" s="286">
        <v>240</v>
      </c>
      <c r="AD529" s="285">
        <v>21.84</v>
      </c>
      <c r="AE529" s="285">
        <v>24</v>
      </c>
      <c r="AF529" s="285">
        <v>340</v>
      </c>
      <c r="AG529" s="285" t="s">
        <v>1</v>
      </c>
      <c r="AH529" s="286" t="s">
        <v>1</v>
      </c>
      <c r="AI529" s="295" t="s">
        <v>1</v>
      </c>
      <c r="AJ529" s="295" t="s">
        <v>1</v>
      </c>
      <c r="AK529" s="295" t="s">
        <v>1</v>
      </c>
      <c r="AL529" s="286" t="s">
        <v>1</v>
      </c>
      <c r="AM529" s="288" t="s">
        <v>1</v>
      </c>
      <c r="AN529" s="287" t="s">
        <v>1</v>
      </c>
      <c r="AO529" s="287" t="s">
        <v>1</v>
      </c>
      <c r="AP529" s="286" t="s">
        <v>1</v>
      </c>
      <c r="AQ529" s="285" t="s">
        <v>1</v>
      </c>
      <c r="AR529" s="289" t="s">
        <v>1</v>
      </c>
      <c r="AS529" s="289" t="s">
        <v>1</v>
      </c>
      <c r="AT529" s="290" t="s">
        <v>1</v>
      </c>
      <c r="AU529" s="287" t="s">
        <v>1</v>
      </c>
      <c r="AV529" s="287" t="s">
        <v>1</v>
      </c>
      <c r="AW529" s="291" t="s">
        <v>1</v>
      </c>
    </row>
    <row r="530" spans="1:49" ht="30.15" customHeight="1" x14ac:dyDescent="0.25">
      <c r="A530" s="213" t="s">
        <v>18</v>
      </c>
      <c r="B530" s="189" t="s">
        <v>1</v>
      </c>
      <c r="C530" s="212" t="s">
        <v>34</v>
      </c>
      <c r="D530" s="190" t="s">
        <v>7</v>
      </c>
      <c r="E530" s="190" t="s">
        <v>1043</v>
      </c>
      <c r="F530" s="203"/>
      <c r="G530" s="190" t="s">
        <v>1045</v>
      </c>
      <c r="H530" s="192" t="s">
        <v>409</v>
      </c>
      <c r="I530" s="193">
        <v>903</v>
      </c>
      <c r="J530" s="193">
        <v>903</v>
      </c>
      <c r="K530" s="193">
        <v>903</v>
      </c>
      <c r="L530" s="193">
        <v>1200</v>
      </c>
      <c r="M530" s="194">
        <v>1200</v>
      </c>
      <c r="N530" s="284">
        <v>240</v>
      </c>
      <c r="O530" s="285">
        <v>10.42</v>
      </c>
      <c r="P530" s="285">
        <v>24</v>
      </c>
      <c r="Q530" s="285">
        <v>340</v>
      </c>
      <c r="R530" s="285" t="s">
        <v>1</v>
      </c>
      <c r="S530" s="286">
        <v>240</v>
      </c>
      <c r="T530" s="285">
        <v>10.42</v>
      </c>
      <c r="U530" s="285">
        <v>24</v>
      </c>
      <c r="V530" s="285">
        <v>340</v>
      </c>
      <c r="W530" s="285" t="s">
        <v>1</v>
      </c>
      <c r="X530" s="286">
        <v>240</v>
      </c>
      <c r="Y530" s="285">
        <v>21.84</v>
      </c>
      <c r="Z530" s="285">
        <v>24</v>
      </c>
      <c r="AA530" s="285">
        <v>340</v>
      </c>
      <c r="AB530" s="285" t="s">
        <v>1</v>
      </c>
      <c r="AC530" s="286">
        <v>240</v>
      </c>
      <c r="AD530" s="285">
        <v>21.84</v>
      </c>
      <c r="AE530" s="285">
        <v>24</v>
      </c>
      <c r="AF530" s="285">
        <v>340</v>
      </c>
      <c r="AG530" s="285" t="s">
        <v>1</v>
      </c>
      <c r="AH530" s="286" t="s">
        <v>1</v>
      </c>
      <c r="AI530" s="295" t="s">
        <v>1</v>
      </c>
      <c r="AJ530" s="295" t="s">
        <v>1</v>
      </c>
      <c r="AK530" s="295" t="s">
        <v>1</v>
      </c>
      <c r="AL530" s="286" t="s">
        <v>1</v>
      </c>
      <c r="AM530" s="288" t="s">
        <v>1</v>
      </c>
      <c r="AN530" s="287" t="s">
        <v>1</v>
      </c>
      <c r="AO530" s="287" t="s">
        <v>1</v>
      </c>
      <c r="AP530" s="286" t="s">
        <v>1</v>
      </c>
      <c r="AQ530" s="285" t="s">
        <v>1</v>
      </c>
      <c r="AR530" s="289" t="s">
        <v>1</v>
      </c>
      <c r="AS530" s="289" t="s">
        <v>1</v>
      </c>
      <c r="AT530" s="290" t="s">
        <v>1</v>
      </c>
      <c r="AU530" s="287" t="s">
        <v>1</v>
      </c>
      <c r="AV530" s="287" t="s">
        <v>1</v>
      </c>
      <c r="AW530" s="291" t="s">
        <v>1</v>
      </c>
    </row>
    <row r="531" spans="1:49" ht="30.15" customHeight="1" x14ac:dyDescent="0.25">
      <c r="A531" s="213" t="s">
        <v>18</v>
      </c>
      <c r="B531" s="189" t="s">
        <v>1</v>
      </c>
      <c r="C531" s="212" t="s">
        <v>34</v>
      </c>
      <c r="D531" s="190" t="s">
        <v>7</v>
      </c>
      <c r="E531" s="190" t="s">
        <v>1044</v>
      </c>
      <c r="F531" s="203"/>
      <c r="G531" s="190" t="s">
        <v>1045</v>
      </c>
      <c r="H531" s="192" t="s">
        <v>7</v>
      </c>
      <c r="I531" s="193">
        <v>903</v>
      </c>
      <c r="J531" s="193">
        <v>903</v>
      </c>
      <c r="K531" s="193">
        <v>903</v>
      </c>
      <c r="L531" s="193">
        <v>1200</v>
      </c>
      <c r="M531" s="194">
        <v>1200</v>
      </c>
      <c r="N531" s="284">
        <v>240</v>
      </c>
      <c r="O531" s="285">
        <v>10.42</v>
      </c>
      <c r="P531" s="285">
        <v>24</v>
      </c>
      <c r="Q531" s="285">
        <v>340</v>
      </c>
      <c r="R531" s="285" t="s">
        <v>1</v>
      </c>
      <c r="S531" s="286">
        <v>240</v>
      </c>
      <c r="T531" s="285">
        <v>10.42</v>
      </c>
      <c r="U531" s="285">
        <v>24</v>
      </c>
      <c r="V531" s="285">
        <v>340</v>
      </c>
      <c r="W531" s="285" t="s">
        <v>1</v>
      </c>
      <c r="X531" s="286">
        <v>240</v>
      </c>
      <c r="Y531" s="285">
        <v>21.84</v>
      </c>
      <c r="Z531" s="285">
        <v>24</v>
      </c>
      <c r="AA531" s="285">
        <v>340</v>
      </c>
      <c r="AB531" s="285" t="s">
        <v>1</v>
      </c>
      <c r="AC531" s="286">
        <v>240</v>
      </c>
      <c r="AD531" s="285">
        <v>21.84</v>
      </c>
      <c r="AE531" s="285">
        <v>24</v>
      </c>
      <c r="AF531" s="285">
        <v>340</v>
      </c>
      <c r="AG531" s="285" t="s">
        <v>1</v>
      </c>
      <c r="AH531" s="286" t="s">
        <v>1</v>
      </c>
      <c r="AI531" s="295" t="s">
        <v>1</v>
      </c>
      <c r="AJ531" s="295" t="s">
        <v>1</v>
      </c>
      <c r="AK531" s="295" t="s">
        <v>1</v>
      </c>
      <c r="AL531" s="286" t="s">
        <v>1</v>
      </c>
      <c r="AM531" s="288" t="s">
        <v>1</v>
      </c>
      <c r="AN531" s="287" t="s">
        <v>1</v>
      </c>
      <c r="AO531" s="287" t="s">
        <v>1</v>
      </c>
      <c r="AP531" s="286" t="s">
        <v>1</v>
      </c>
      <c r="AQ531" s="285" t="s">
        <v>1</v>
      </c>
      <c r="AR531" s="289" t="s">
        <v>1</v>
      </c>
      <c r="AS531" s="289" t="s">
        <v>1</v>
      </c>
      <c r="AT531" s="290" t="s">
        <v>1</v>
      </c>
      <c r="AU531" s="287" t="s">
        <v>1</v>
      </c>
      <c r="AV531" s="287" t="s">
        <v>1</v>
      </c>
      <c r="AW531" s="291" t="s">
        <v>1</v>
      </c>
    </row>
    <row r="532" spans="1:49" ht="30.15" customHeight="1" x14ac:dyDescent="0.25">
      <c r="A532" s="213" t="s">
        <v>18</v>
      </c>
      <c r="B532" s="189" t="s">
        <v>1</v>
      </c>
      <c r="C532" s="212" t="s">
        <v>34</v>
      </c>
      <c r="D532" s="190" t="s">
        <v>7</v>
      </c>
      <c r="E532" s="190" t="s">
        <v>838</v>
      </c>
      <c r="F532" s="203"/>
      <c r="G532" s="190" t="s">
        <v>839</v>
      </c>
      <c r="H532" s="192" t="s">
        <v>409</v>
      </c>
      <c r="I532" s="193">
        <v>1254</v>
      </c>
      <c r="J532" s="193">
        <v>1254</v>
      </c>
      <c r="K532" s="193">
        <v>1254</v>
      </c>
      <c r="L532" s="193">
        <v>1650</v>
      </c>
      <c r="M532" s="194">
        <v>1650</v>
      </c>
      <c r="N532" s="284">
        <v>330</v>
      </c>
      <c r="O532" s="285">
        <v>13.75</v>
      </c>
      <c r="P532" s="285">
        <v>24</v>
      </c>
      <c r="Q532" s="285" t="s">
        <v>1</v>
      </c>
      <c r="R532" s="285" t="s">
        <v>1</v>
      </c>
      <c r="S532" s="286">
        <v>330</v>
      </c>
      <c r="T532" s="285">
        <v>13.75</v>
      </c>
      <c r="U532" s="285">
        <v>24</v>
      </c>
      <c r="V532" s="285" t="s">
        <v>1</v>
      </c>
      <c r="W532" s="285" t="s">
        <v>1</v>
      </c>
      <c r="X532" s="286">
        <v>330</v>
      </c>
      <c r="Y532" s="285">
        <v>33.75</v>
      </c>
      <c r="Z532" s="285">
        <v>24</v>
      </c>
      <c r="AA532" s="285" t="s">
        <v>1</v>
      </c>
      <c r="AB532" s="285" t="s">
        <v>1</v>
      </c>
      <c r="AC532" s="286">
        <v>330</v>
      </c>
      <c r="AD532" s="285">
        <v>33.75</v>
      </c>
      <c r="AE532" s="285">
        <v>24</v>
      </c>
      <c r="AF532" s="285" t="s">
        <v>1</v>
      </c>
      <c r="AG532" s="285" t="s">
        <v>1</v>
      </c>
      <c r="AH532" s="286" t="s">
        <v>1</v>
      </c>
      <c r="AI532" s="312" t="s">
        <v>1</v>
      </c>
      <c r="AJ532" s="312" t="s">
        <v>1</v>
      </c>
      <c r="AK532" s="312" t="s">
        <v>1</v>
      </c>
      <c r="AL532" s="286" t="s">
        <v>1</v>
      </c>
      <c r="AM532" s="288" t="s">
        <v>1</v>
      </c>
      <c r="AN532" s="289" t="s">
        <v>1</v>
      </c>
      <c r="AO532" s="289" t="s">
        <v>1</v>
      </c>
      <c r="AP532" s="286" t="s">
        <v>1</v>
      </c>
      <c r="AQ532" s="285" t="s">
        <v>1</v>
      </c>
      <c r="AR532" s="289" t="s">
        <v>1</v>
      </c>
      <c r="AS532" s="289" t="s">
        <v>1</v>
      </c>
      <c r="AT532" s="293" t="s">
        <v>1</v>
      </c>
      <c r="AU532" s="289" t="s">
        <v>1</v>
      </c>
      <c r="AV532" s="289" t="s">
        <v>1</v>
      </c>
      <c r="AW532" s="294" t="s">
        <v>1</v>
      </c>
    </row>
    <row r="533" spans="1:49" ht="30.15" customHeight="1" x14ac:dyDescent="0.25">
      <c r="A533" s="213" t="s">
        <v>18</v>
      </c>
      <c r="B533" s="189" t="s">
        <v>1</v>
      </c>
      <c r="C533" s="212" t="s">
        <v>34</v>
      </c>
      <c r="D533" s="190" t="s">
        <v>7</v>
      </c>
      <c r="E533" s="190" t="s">
        <v>840</v>
      </c>
      <c r="F533" s="203"/>
      <c r="G533" s="190" t="s">
        <v>839</v>
      </c>
      <c r="H533" s="192" t="s">
        <v>409</v>
      </c>
      <c r="I533" s="193">
        <v>1254</v>
      </c>
      <c r="J533" s="193">
        <v>1254</v>
      </c>
      <c r="K533" s="193">
        <v>1254</v>
      </c>
      <c r="L533" s="193">
        <v>1650</v>
      </c>
      <c r="M533" s="194">
        <v>1650</v>
      </c>
      <c r="N533" s="284">
        <v>330</v>
      </c>
      <c r="O533" s="285">
        <v>13.75</v>
      </c>
      <c r="P533" s="285">
        <v>24</v>
      </c>
      <c r="Q533" s="285" t="s">
        <v>1</v>
      </c>
      <c r="R533" s="285" t="s">
        <v>1</v>
      </c>
      <c r="S533" s="286">
        <v>330</v>
      </c>
      <c r="T533" s="285">
        <v>13.75</v>
      </c>
      <c r="U533" s="285">
        <v>24</v>
      </c>
      <c r="V533" s="285" t="s">
        <v>1</v>
      </c>
      <c r="W533" s="285" t="s">
        <v>1</v>
      </c>
      <c r="X533" s="286">
        <v>330</v>
      </c>
      <c r="Y533" s="285">
        <v>33.75</v>
      </c>
      <c r="Z533" s="285">
        <v>24</v>
      </c>
      <c r="AA533" s="285" t="s">
        <v>1</v>
      </c>
      <c r="AB533" s="285" t="s">
        <v>1</v>
      </c>
      <c r="AC533" s="286">
        <v>330</v>
      </c>
      <c r="AD533" s="285">
        <v>33.75</v>
      </c>
      <c r="AE533" s="285">
        <v>24</v>
      </c>
      <c r="AF533" s="285" t="s">
        <v>1</v>
      </c>
      <c r="AG533" s="285" t="s">
        <v>1</v>
      </c>
      <c r="AH533" s="286" t="s">
        <v>1</v>
      </c>
      <c r="AI533" s="312" t="s">
        <v>1</v>
      </c>
      <c r="AJ533" s="312" t="s">
        <v>1</v>
      </c>
      <c r="AK533" s="312" t="s">
        <v>1</v>
      </c>
      <c r="AL533" s="286" t="s">
        <v>1</v>
      </c>
      <c r="AM533" s="288" t="s">
        <v>1</v>
      </c>
      <c r="AN533" s="289" t="s">
        <v>1</v>
      </c>
      <c r="AO533" s="289" t="s">
        <v>1</v>
      </c>
      <c r="AP533" s="286" t="s">
        <v>1</v>
      </c>
      <c r="AQ533" s="285" t="s">
        <v>1</v>
      </c>
      <c r="AR533" s="289" t="s">
        <v>1</v>
      </c>
      <c r="AS533" s="289" t="s">
        <v>1</v>
      </c>
      <c r="AT533" s="293" t="s">
        <v>1</v>
      </c>
      <c r="AU533" s="289" t="s">
        <v>1</v>
      </c>
      <c r="AV533" s="289" t="s">
        <v>1</v>
      </c>
      <c r="AW533" s="294" t="s">
        <v>1</v>
      </c>
    </row>
    <row r="534" spans="1:49" ht="30.15" customHeight="1" x14ac:dyDescent="0.25">
      <c r="A534" s="213" t="s">
        <v>18</v>
      </c>
      <c r="B534" s="189" t="s">
        <v>1</v>
      </c>
      <c r="C534" s="212" t="s">
        <v>34</v>
      </c>
      <c r="D534" s="190" t="s">
        <v>7</v>
      </c>
      <c r="E534" s="190" t="s">
        <v>841</v>
      </c>
      <c r="F534" s="203"/>
      <c r="G534" s="190" t="s">
        <v>842</v>
      </c>
      <c r="H534" s="192" t="s">
        <v>409</v>
      </c>
      <c r="I534" s="193">
        <v>1500</v>
      </c>
      <c r="J534" s="193">
        <v>1500</v>
      </c>
      <c r="K534" s="193">
        <v>1500</v>
      </c>
      <c r="L534" s="193">
        <v>2000</v>
      </c>
      <c r="M534" s="194">
        <v>2000</v>
      </c>
      <c r="N534" s="284">
        <v>400</v>
      </c>
      <c r="O534" s="285">
        <v>17.5</v>
      </c>
      <c r="P534" s="285">
        <v>24</v>
      </c>
      <c r="Q534" s="285" t="s">
        <v>1</v>
      </c>
      <c r="R534" s="285" t="s">
        <v>1</v>
      </c>
      <c r="S534" s="286">
        <v>400</v>
      </c>
      <c r="T534" s="285">
        <v>17.5</v>
      </c>
      <c r="U534" s="285">
        <v>24</v>
      </c>
      <c r="V534" s="285" t="s">
        <v>1</v>
      </c>
      <c r="W534" s="285" t="s">
        <v>1</v>
      </c>
      <c r="X534" s="286">
        <v>400</v>
      </c>
      <c r="Y534" s="285">
        <v>38.339999999999996</v>
      </c>
      <c r="Z534" s="285">
        <v>24</v>
      </c>
      <c r="AA534" s="285" t="s">
        <v>1</v>
      </c>
      <c r="AB534" s="285" t="s">
        <v>1</v>
      </c>
      <c r="AC534" s="286">
        <v>400</v>
      </c>
      <c r="AD534" s="285">
        <v>38.339999999999996</v>
      </c>
      <c r="AE534" s="285">
        <v>24</v>
      </c>
      <c r="AF534" s="285" t="s">
        <v>1</v>
      </c>
      <c r="AG534" s="285" t="s">
        <v>1</v>
      </c>
      <c r="AH534" s="286" t="s">
        <v>1</v>
      </c>
      <c r="AI534" s="312" t="s">
        <v>1</v>
      </c>
      <c r="AJ534" s="312" t="s">
        <v>1</v>
      </c>
      <c r="AK534" s="312" t="s">
        <v>1</v>
      </c>
      <c r="AL534" s="286" t="s">
        <v>1</v>
      </c>
      <c r="AM534" s="288" t="s">
        <v>1</v>
      </c>
      <c r="AN534" s="289" t="s">
        <v>1</v>
      </c>
      <c r="AO534" s="289" t="s">
        <v>1</v>
      </c>
      <c r="AP534" s="286" t="s">
        <v>1</v>
      </c>
      <c r="AQ534" s="285" t="s">
        <v>1</v>
      </c>
      <c r="AR534" s="289" t="s">
        <v>1</v>
      </c>
      <c r="AS534" s="289" t="s">
        <v>1</v>
      </c>
      <c r="AT534" s="293" t="s">
        <v>1</v>
      </c>
      <c r="AU534" s="289" t="s">
        <v>1</v>
      </c>
      <c r="AV534" s="289" t="s">
        <v>1</v>
      </c>
      <c r="AW534" s="294" t="s">
        <v>1</v>
      </c>
    </row>
    <row r="535" spans="1:49" ht="30.15" customHeight="1" x14ac:dyDescent="0.25">
      <c r="A535" s="213" t="s">
        <v>18</v>
      </c>
      <c r="B535" s="189" t="s">
        <v>1</v>
      </c>
      <c r="C535" s="212" t="s">
        <v>34</v>
      </c>
      <c r="D535" s="190" t="s">
        <v>7</v>
      </c>
      <c r="E535" s="190" t="s">
        <v>843</v>
      </c>
      <c r="F535" s="203"/>
      <c r="G535" s="190" t="s">
        <v>842</v>
      </c>
      <c r="H535" s="192" t="s">
        <v>409</v>
      </c>
      <c r="I535" s="193">
        <v>1500</v>
      </c>
      <c r="J535" s="193">
        <v>1500</v>
      </c>
      <c r="K535" s="193">
        <v>1500</v>
      </c>
      <c r="L535" s="193">
        <v>2000</v>
      </c>
      <c r="M535" s="194">
        <v>2000</v>
      </c>
      <c r="N535" s="284">
        <v>400</v>
      </c>
      <c r="O535" s="285">
        <v>17.5</v>
      </c>
      <c r="P535" s="285">
        <v>24</v>
      </c>
      <c r="Q535" s="285" t="s">
        <v>1</v>
      </c>
      <c r="R535" s="285" t="s">
        <v>1</v>
      </c>
      <c r="S535" s="286">
        <v>400</v>
      </c>
      <c r="T535" s="285">
        <v>17.5</v>
      </c>
      <c r="U535" s="285">
        <v>24</v>
      </c>
      <c r="V535" s="285" t="s">
        <v>1</v>
      </c>
      <c r="W535" s="285" t="s">
        <v>1</v>
      </c>
      <c r="X535" s="286">
        <v>400</v>
      </c>
      <c r="Y535" s="285">
        <v>38.339999999999996</v>
      </c>
      <c r="Z535" s="285">
        <v>24</v>
      </c>
      <c r="AA535" s="285" t="s">
        <v>1</v>
      </c>
      <c r="AB535" s="285" t="s">
        <v>1</v>
      </c>
      <c r="AC535" s="286">
        <v>400</v>
      </c>
      <c r="AD535" s="285">
        <v>38.339999999999996</v>
      </c>
      <c r="AE535" s="285">
        <v>24</v>
      </c>
      <c r="AF535" s="285" t="s">
        <v>1</v>
      </c>
      <c r="AG535" s="285" t="s">
        <v>1</v>
      </c>
      <c r="AH535" s="286" t="s">
        <v>1</v>
      </c>
      <c r="AI535" s="312" t="s">
        <v>1</v>
      </c>
      <c r="AJ535" s="312" t="s">
        <v>1</v>
      </c>
      <c r="AK535" s="312" t="s">
        <v>1</v>
      </c>
      <c r="AL535" s="286" t="s">
        <v>1</v>
      </c>
      <c r="AM535" s="288" t="s">
        <v>1</v>
      </c>
      <c r="AN535" s="289" t="s">
        <v>1</v>
      </c>
      <c r="AO535" s="289" t="s">
        <v>1</v>
      </c>
      <c r="AP535" s="286" t="s">
        <v>1</v>
      </c>
      <c r="AQ535" s="285" t="s">
        <v>1</v>
      </c>
      <c r="AR535" s="289" t="s">
        <v>1</v>
      </c>
      <c r="AS535" s="289" t="s">
        <v>1</v>
      </c>
      <c r="AT535" s="293" t="s">
        <v>1</v>
      </c>
      <c r="AU535" s="289" t="s">
        <v>1</v>
      </c>
      <c r="AV535" s="289" t="s">
        <v>1</v>
      </c>
      <c r="AW535" s="294" t="s">
        <v>1</v>
      </c>
    </row>
    <row r="536" spans="1:49" ht="30.15" customHeight="1" x14ac:dyDescent="0.25">
      <c r="A536" s="213" t="s">
        <v>18</v>
      </c>
      <c r="B536" s="189" t="s">
        <v>1</v>
      </c>
      <c r="C536" s="212" t="s">
        <v>34</v>
      </c>
      <c r="D536" s="190" t="s">
        <v>7</v>
      </c>
      <c r="E536" s="190" t="s">
        <v>844</v>
      </c>
      <c r="F536" s="203"/>
      <c r="G536" s="190" t="s">
        <v>845</v>
      </c>
      <c r="H536" s="192" t="s">
        <v>647</v>
      </c>
      <c r="I536" s="193">
        <v>1690</v>
      </c>
      <c r="J536" s="193">
        <v>1690</v>
      </c>
      <c r="K536" s="193">
        <v>1690</v>
      </c>
      <c r="L536" s="193">
        <v>2200</v>
      </c>
      <c r="M536" s="194">
        <v>2200</v>
      </c>
      <c r="N536" s="284">
        <v>440</v>
      </c>
      <c r="O536" s="285">
        <v>17.5</v>
      </c>
      <c r="P536" s="285">
        <v>24</v>
      </c>
      <c r="Q536" s="285" t="s">
        <v>1</v>
      </c>
      <c r="R536" s="285" t="s">
        <v>1</v>
      </c>
      <c r="S536" s="286">
        <v>440</v>
      </c>
      <c r="T536" s="285">
        <v>17.5</v>
      </c>
      <c r="U536" s="285">
        <v>24</v>
      </c>
      <c r="V536" s="285" t="s">
        <v>1</v>
      </c>
      <c r="W536" s="285" t="s">
        <v>1</v>
      </c>
      <c r="X536" s="286">
        <v>440</v>
      </c>
      <c r="Y536" s="285">
        <v>38.339999999999996</v>
      </c>
      <c r="Z536" s="285">
        <v>24</v>
      </c>
      <c r="AA536" s="285" t="s">
        <v>1</v>
      </c>
      <c r="AB536" s="285" t="s">
        <v>1</v>
      </c>
      <c r="AC536" s="286">
        <v>440</v>
      </c>
      <c r="AD536" s="285">
        <v>38.339999999999996</v>
      </c>
      <c r="AE536" s="285">
        <v>24</v>
      </c>
      <c r="AF536" s="285" t="s">
        <v>1</v>
      </c>
      <c r="AG536" s="285" t="s">
        <v>1</v>
      </c>
      <c r="AH536" s="286" t="s">
        <v>1</v>
      </c>
      <c r="AI536" s="312" t="s">
        <v>1</v>
      </c>
      <c r="AJ536" s="312" t="s">
        <v>1</v>
      </c>
      <c r="AK536" s="312" t="s">
        <v>1</v>
      </c>
      <c r="AL536" s="286" t="s">
        <v>1</v>
      </c>
      <c r="AM536" s="288" t="s">
        <v>1</v>
      </c>
      <c r="AN536" s="289" t="s">
        <v>1</v>
      </c>
      <c r="AO536" s="289" t="s">
        <v>1</v>
      </c>
      <c r="AP536" s="286" t="s">
        <v>1</v>
      </c>
      <c r="AQ536" s="285" t="s">
        <v>1</v>
      </c>
      <c r="AR536" s="289" t="s">
        <v>1</v>
      </c>
      <c r="AS536" s="289" t="s">
        <v>1</v>
      </c>
      <c r="AT536" s="293" t="s">
        <v>1</v>
      </c>
      <c r="AU536" s="289" t="s">
        <v>1</v>
      </c>
      <c r="AV536" s="289" t="s">
        <v>1</v>
      </c>
      <c r="AW536" s="294" t="s">
        <v>1</v>
      </c>
    </row>
    <row r="537" spans="1:49" ht="30.15" customHeight="1" x14ac:dyDescent="0.25">
      <c r="A537" s="213" t="s">
        <v>18</v>
      </c>
      <c r="B537" s="189" t="s">
        <v>1</v>
      </c>
      <c r="C537" s="212" t="s">
        <v>34</v>
      </c>
      <c r="D537" s="190" t="s">
        <v>7</v>
      </c>
      <c r="E537" s="190" t="s">
        <v>846</v>
      </c>
      <c r="F537" s="203"/>
      <c r="G537" s="190" t="s">
        <v>847</v>
      </c>
      <c r="H537" s="192" t="s">
        <v>409</v>
      </c>
      <c r="I537" s="193">
        <v>1757</v>
      </c>
      <c r="J537" s="193">
        <v>1757</v>
      </c>
      <c r="K537" s="193">
        <v>1757</v>
      </c>
      <c r="L537" s="193">
        <v>2300</v>
      </c>
      <c r="M537" s="194">
        <v>2300</v>
      </c>
      <c r="N537" s="284">
        <v>460</v>
      </c>
      <c r="O537" s="285">
        <v>18.75</v>
      </c>
      <c r="P537" s="285">
        <v>24</v>
      </c>
      <c r="Q537" s="285" t="s">
        <v>1</v>
      </c>
      <c r="R537" s="285" t="s">
        <v>1</v>
      </c>
      <c r="S537" s="286">
        <v>460</v>
      </c>
      <c r="T537" s="285">
        <v>18.75</v>
      </c>
      <c r="U537" s="285">
        <v>24</v>
      </c>
      <c r="V537" s="285" t="s">
        <v>1</v>
      </c>
      <c r="W537" s="285" t="s">
        <v>1</v>
      </c>
      <c r="X537" s="286">
        <v>460</v>
      </c>
      <c r="Y537" s="285">
        <v>45.839999999999996</v>
      </c>
      <c r="Z537" s="285">
        <v>24</v>
      </c>
      <c r="AA537" s="285" t="s">
        <v>1</v>
      </c>
      <c r="AB537" s="285" t="s">
        <v>1</v>
      </c>
      <c r="AC537" s="286">
        <v>460</v>
      </c>
      <c r="AD537" s="285">
        <v>45.839999999999996</v>
      </c>
      <c r="AE537" s="285">
        <v>24</v>
      </c>
      <c r="AF537" s="285" t="s">
        <v>1</v>
      </c>
      <c r="AG537" s="285" t="s">
        <v>1</v>
      </c>
      <c r="AH537" s="286" t="s">
        <v>1</v>
      </c>
      <c r="AI537" s="312" t="s">
        <v>1</v>
      </c>
      <c r="AJ537" s="312" t="s">
        <v>1</v>
      </c>
      <c r="AK537" s="312" t="s">
        <v>1</v>
      </c>
      <c r="AL537" s="286" t="s">
        <v>1</v>
      </c>
      <c r="AM537" s="288" t="s">
        <v>1</v>
      </c>
      <c r="AN537" s="289" t="s">
        <v>1</v>
      </c>
      <c r="AO537" s="289" t="s">
        <v>1</v>
      </c>
      <c r="AP537" s="286" t="s">
        <v>1</v>
      </c>
      <c r="AQ537" s="285" t="s">
        <v>1</v>
      </c>
      <c r="AR537" s="289" t="s">
        <v>1</v>
      </c>
      <c r="AS537" s="289" t="s">
        <v>1</v>
      </c>
      <c r="AT537" s="293" t="s">
        <v>1</v>
      </c>
      <c r="AU537" s="289" t="s">
        <v>1</v>
      </c>
      <c r="AV537" s="289" t="s">
        <v>1</v>
      </c>
      <c r="AW537" s="294" t="s">
        <v>1</v>
      </c>
    </row>
    <row r="538" spans="1:49" ht="30.15" customHeight="1" x14ac:dyDescent="0.25">
      <c r="A538" s="213" t="s">
        <v>18</v>
      </c>
      <c r="B538" s="189" t="s">
        <v>1</v>
      </c>
      <c r="C538" s="212" t="s">
        <v>34</v>
      </c>
      <c r="D538" s="190" t="s">
        <v>7</v>
      </c>
      <c r="E538" s="190" t="s">
        <v>848</v>
      </c>
      <c r="F538" s="203"/>
      <c r="G538" s="190" t="s">
        <v>847</v>
      </c>
      <c r="H538" s="192" t="s">
        <v>7</v>
      </c>
      <c r="I538" s="193">
        <v>1757</v>
      </c>
      <c r="J538" s="193">
        <v>1757</v>
      </c>
      <c r="K538" s="193">
        <v>1757</v>
      </c>
      <c r="L538" s="193">
        <v>2300</v>
      </c>
      <c r="M538" s="194">
        <v>2300</v>
      </c>
      <c r="N538" s="284">
        <v>460</v>
      </c>
      <c r="O538" s="285">
        <v>18.75</v>
      </c>
      <c r="P538" s="285">
        <v>24</v>
      </c>
      <c r="Q538" s="285" t="s">
        <v>1</v>
      </c>
      <c r="R538" s="285" t="s">
        <v>1</v>
      </c>
      <c r="S538" s="286">
        <v>460</v>
      </c>
      <c r="T538" s="285">
        <v>18.75</v>
      </c>
      <c r="U538" s="285">
        <v>24</v>
      </c>
      <c r="V538" s="285" t="s">
        <v>1</v>
      </c>
      <c r="W538" s="285" t="s">
        <v>1</v>
      </c>
      <c r="X538" s="286">
        <v>460</v>
      </c>
      <c r="Y538" s="285">
        <v>45.839999999999996</v>
      </c>
      <c r="Z538" s="285">
        <v>24</v>
      </c>
      <c r="AA538" s="285" t="s">
        <v>1</v>
      </c>
      <c r="AB538" s="285" t="s">
        <v>1</v>
      </c>
      <c r="AC538" s="286">
        <v>460</v>
      </c>
      <c r="AD538" s="285">
        <v>45.839999999999996</v>
      </c>
      <c r="AE538" s="285">
        <v>24</v>
      </c>
      <c r="AF538" s="285" t="s">
        <v>1</v>
      </c>
      <c r="AG538" s="285" t="s">
        <v>1</v>
      </c>
      <c r="AH538" s="286" t="s">
        <v>1</v>
      </c>
      <c r="AI538" s="312" t="s">
        <v>1</v>
      </c>
      <c r="AJ538" s="312" t="s">
        <v>1</v>
      </c>
      <c r="AK538" s="312" t="s">
        <v>1</v>
      </c>
      <c r="AL538" s="286" t="s">
        <v>1</v>
      </c>
      <c r="AM538" s="288" t="s">
        <v>1</v>
      </c>
      <c r="AN538" s="289" t="s">
        <v>1</v>
      </c>
      <c r="AO538" s="289" t="s">
        <v>1</v>
      </c>
      <c r="AP538" s="286" t="s">
        <v>1</v>
      </c>
      <c r="AQ538" s="285" t="s">
        <v>1</v>
      </c>
      <c r="AR538" s="289" t="s">
        <v>1</v>
      </c>
      <c r="AS538" s="289" t="s">
        <v>1</v>
      </c>
      <c r="AT538" s="293" t="s">
        <v>1</v>
      </c>
      <c r="AU538" s="289" t="s">
        <v>1</v>
      </c>
      <c r="AV538" s="289" t="s">
        <v>1</v>
      </c>
      <c r="AW538" s="294" t="s">
        <v>1</v>
      </c>
    </row>
    <row r="539" spans="1:49" ht="30.15" customHeight="1" x14ac:dyDescent="0.25">
      <c r="A539" s="213" t="s">
        <v>18</v>
      </c>
      <c r="B539" s="189" t="s">
        <v>1</v>
      </c>
      <c r="C539" s="212" t="s">
        <v>34</v>
      </c>
      <c r="D539" s="190" t="s">
        <v>7</v>
      </c>
      <c r="E539" s="190" t="s">
        <v>849</v>
      </c>
      <c r="F539" s="203"/>
      <c r="G539" s="190" t="s">
        <v>850</v>
      </c>
      <c r="H539" s="192" t="s">
        <v>647</v>
      </c>
      <c r="I539" s="193">
        <v>2004</v>
      </c>
      <c r="J539" s="193">
        <v>2004</v>
      </c>
      <c r="K539" s="193">
        <v>2004</v>
      </c>
      <c r="L539" s="193">
        <v>2610</v>
      </c>
      <c r="M539" s="194">
        <v>2610</v>
      </c>
      <c r="N539" s="284">
        <v>522</v>
      </c>
      <c r="O539" s="285">
        <v>20.84</v>
      </c>
      <c r="P539" s="285">
        <v>24</v>
      </c>
      <c r="Q539" s="285" t="s">
        <v>1</v>
      </c>
      <c r="R539" s="285" t="s">
        <v>1</v>
      </c>
      <c r="S539" s="286">
        <v>522</v>
      </c>
      <c r="T539" s="285">
        <v>20.84</v>
      </c>
      <c r="U539" s="285">
        <v>24</v>
      </c>
      <c r="V539" s="285" t="s">
        <v>1</v>
      </c>
      <c r="W539" s="285" t="s">
        <v>1</v>
      </c>
      <c r="X539" s="286">
        <v>522</v>
      </c>
      <c r="Y539" s="285">
        <v>47.919999999999995</v>
      </c>
      <c r="Z539" s="285">
        <v>24</v>
      </c>
      <c r="AA539" s="285" t="s">
        <v>1</v>
      </c>
      <c r="AB539" s="285" t="s">
        <v>1</v>
      </c>
      <c r="AC539" s="286">
        <v>522</v>
      </c>
      <c r="AD539" s="285">
        <v>47.919999999999995</v>
      </c>
      <c r="AE539" s="285">
        <v>24</v>
      </c>
      <c r="AF539" s="285" t="s">
        <v>1</v>
      </c>
      <c r="AG539" s="285" t="s">
        <v>1</v>
      </c>
      <c r="AH539" s="286" t="s">
        <v>1</v>
      </c>
      <c r="AI539" s="312" t="s">
        <v>1</v>
      </c>
      <c r="AJ539" s="312" t="s">
        <v>1</v>
      </c>
      <c r="AK539" s="312" t="s">
        <v>1</v>
      </c>
      <c r="AL539" s="286" t="s">
        <v>1</v>
      </c>
      <c r="AM539" s="288" t="s">
        <v>1</v>
      </c>
      <c r="AN539" s="289" t="s">
        <v>1</v>
      </c>
      <c r="AO539" s="289" t="s">
        <v>1</v>
      </c>
      <c r="AP539" s="286" t="s">
        <v>1</v>
      </c>
      <c r="AQ539" s="285" t="s">
        <v>1</v>
      </c>
      <c r="AR539" s="289" t="s">
        <v>1</v>
      </c>
      <c r="AS539" s="289" t="s">
        <v>1</v>
      </c>
      <c r="AT539" s="293" t="s">
        <v>1</v>
      </c>
      <c r="AU539" s="289" t="s">
        <v>1</v>
      </c>
      <c r="AV539" s="289" t="s">
        <v>1</v>
      </c>
      <c r="AW539" s="294" t="s">
        <v>1</v>
      </c>
    </row>
    <row r="540" spans="1:49" ht="30.15" customHeight="1" x14ac:dyDescent="0.25">
      <c r="A540" s="213" t="s">
        <v>18</v>
      </c>
      <c r="B540" s="189" t="s">
        <v>1</v>
      </c>
      <c r="C540" s="212" t="s">
        <v>34</v>
      </c>
      <c r="D540" s="190" t="s">
        <v>7</v>
      </c>
      <c r="E540" s="190" t="s">
        <v>1190</v>
      </c>
      <c r="F540" s="203"/>
      <c r="G540" s="190" t="s">
        <v>1203</v>
      </c>
      <c r="H540" s="192" t="s">
        <v>409</v>
      </c>
      <c r="I540" s="193">
        <v>1073.49</v>
      </c>
      <c r="J540" s="193">
        <v>1073.49</v>
      </c>
      <c r="K540" s="193">
        <v>1073.49</v>
      </c>
      <c r="L540" s="193">
        <v>1400</v>
      </c>
      <c r="M540" s="194">
        <v>1400</v>
      </c>
      <c r="N540" s="284">
        <v>280</v>
      </c>
      <c r="O540" s="285">
        <v>11.25</v>
      </c>
      <c r="P540" s="285">
        <v>24</v>
      </c>
      <c r="Q540" s="285">
        <v>614</v>
      </c>
      <c r="R540" s="285" t="s">
        <v>1</v>
      </c>
      <c r="S540" s="286">
        <v>280</v>
      </c>
      <c r="T540" s="285">
        <v>11.25</v>
      </c>
      <c r="U540" s="285">
        <v>24</v>
      </c>
      <c r="V540" s="285">
        <v>614</v>
      </c>
      <c r="W540" s="285" t="s">
        <v>1</v>
      </c>
      <c r="X540" s="286">
        <v>280</v>
      </c>
      <c r="Y540" s="285">
        <v>28.75</v>
      </c>
      <c r="Z540" s="285">
        <v>24</v>
      </c>
      <c r="AA540" s="285">
        <v>614</v>
      </c>
      <c r="AB540" s="285" t="s">
        <v>1</v>
      </c>
      <c r="AC540" s="286">
        <v>280</v>
      </c>
      <c r="AD540" s="285">
        <v>28.75</v>
      </c>
      <c r="AE540" s="285">
        <v>24</v>
      </c>
      <c r="AF540" s="285">
        <v>614</v>
      </c>
      <c r="AG540" s="285" t="s">
        <v>1</v>
      </c>
      <c r="AH540" s="286" t="s">
        <v>1</v>
      </c>
      <c r="AI540" s="312" t="s">
        <v>1</v>
      </c>
      <c r="AJ540" s="312" t="s">
        <v>1</v>
      </c>
      <c r="AK540" s="312" t="s">
        <v>1</v>
      </c>
      <c r="AL540" s="286" t="s">
        <v>1</v>
      </c>
      <c r="AM540" s="288" t="s">
        <v>1</v>
      </c>
      <c r="AN540" s="289" t="s">
        <v>1</v>
      </c>
      <c r="AO540" s="289" t="s">
        <v>1</v>
      </c>
      <c r="AP540" s="286" t="s">
        <v>1</v>
      </c>
      <c r="AQ540" s="285" t="s">
        <v>1</v>
      </c>
      <c r="AR540" s="289" t="s">
        <v>1</v>
      </c>
      <c r="AS540" s="289" t="s">
        <v>1</v>
      </c>
      <c r="AT540" s="293" t="s">
        <v>1</v>
      </c>
      <c r="AU540" s="289" t="s">
        <v>1</v>
      </c>
      <c r="AV540" s="289" t="s">
        <v>1</v>
      </c>
      <c r="AW540" s="294" t="s">
        <v>1</v>
      </c>
    </row>
    <row r="541" spans="1:49" ht="30.15" customHeight="1" x14ac:dyDescent="0.25">
      <c r="A541" s="213" t="s">
        <v>18</v>
      </c>
      <c r="B541" s="189" t="s">
        <v>1</v>
      </c>
      <c r="C541" s="212" t="s">
        <v>34</v>
      </c>
      <c r="D541" s="190" t="s">
        <v>7</v>
      </c>
      <c r="E541" s="190" t="s">
        <v>1191</v>
      </c>
      <c r="F541" s="203"/>
      <c r="G541" s="190" t="s">
        <v>1203</v>
      </c>
      <c r="H541" s="192" t="s">
        <v>409</v>
      </c>
      <c r="I541" s="193">
        <v>1073.49</v>
      </c>
      <c r="J541" s="193">
        <v>1073.49</v>
      </c>
      <c r="K541" s="193">
        <v>1073.49</v>
      </c>
      <c r="L541" s="193">
        <v>1400</v>
      </c>
      <c r="M541" s="194">
        <v>1400</v>
      </c>
      <c r="N541" s="284">
        <v>280</v>
      </c>
      <c r="O541" s="285">
        <v>11.25</v>
      </c>
      <c r="P541" s="285">
        <v>24</v>
      </c>
      <c r="Q541" s="285">
        <v>614</v>
      </c>
      <c r="R541" s="285" t="s">
        <v>1</v>
      </c>
      <c r="S541" s="286">
        <v>280</v>
      </c>
      <c r="T541" s="285">
        <v>11.25</v>
      </c>
      <c r="U541" s="285">
        <v>24</v>
      </c>
      <c r="V541" s="285">
        <v>614</v>
      </c>
      <c r="W541" s="285" t="s">
        <v>1</v>
      </c>
      <c r="X541" s="286">
        <v>280</v>
      </c>
      <c r="Y541" s="285">
        <v>28.75</v>
      </c>
      <c r="Z541" s="285">
        <v>24</v>
      </c>
      <c r="AA541" s="285">
        <v>614</v>
      </c>
      <c r="AB541" s="285" t="s">
        <v>1</v>
      </c>
      <c r="AC541" s="286">
        <v>280</v>
      </c>
      <c r="AD541" s="285">
        <v>28.75</v>
      </c>
      <c r="AE541" s="285">
        <v>24</v>
      </c>
      <c r="AF541" s="285">
        <v>614</v>
      </c>
      <c r="AG541" s="285" t="s">
        <v>1</v>
      </c>
      <c r="AH541" s="286" t="s">
        <v>1</v>
      </c>
      <c r="AI541" s="312" t="s">
        <v>1</v>
      </c>
      <c r="AJ541" s="312" t="s">
        <v>1</v>
      </c>
      <c r="AK541" s="312" t="s">
        <v>1</v>
      </c>
      <c r="AL541" s="286" t="s">
        <v>1</v>
      </c>
      <c r="AM541" s="288" t="s">
        <v>1</v>
      </c>
      <c r="AN541" s="289" t="s">
        <v>1</v>
      </c>
      <c r="AO541" s="289" t="s">
        <v>1</v>
      </c>
      <c r="AP541" s="286" t="s">
        <v>1</v>
      </c>
      <c r="AQ541" s="285" t="s">
        <v>1</v>
      </c>
      <c r="AR541" s="289" t="s">
        <v>1</v>
      </c>
      <c r="AS541" s="289" t="s">
        <v>1</v>
      </c>
      <c r="AT541" s="293" t="s">
        <v>1</v>
      </c>
      <c r="AU541" s="289" t="s">
        <v>1</v>
      </c>
      <c r="AV541" s="289" t="s">
        <v>1</v>
      </c>
      <c r="AW541" s="294" t="s">
        <v>1</v>
      </c>
    </row>
    <row r="542" spans="1:49" ht="30.15" customHeight="1" x14ac:dyDescent="0.25">
      <c r="A542" s="213" t="s">
        <v>18</v>
      </c>
      <c r="B542" s="189" t="s">
        <v>1</v>
      </c>
      <c r="C542" s="212" t="s">
        <v>34</v>
      </c>
      <c r="D542" s="190" t="s">
        <v>7</v>
      </c>
      <c r="E542" s="190" t="s">
        <v>1192</v>
      </c>
      <c r="F542" s="203"/>
      <c r="G542" s="190" t="s">
        <v>1203</v>
      </c>
      <c r="H542" s="192" t="s">
        <v>409</v>
      </c>
      <c r="I542" s="193">
        <v>1073.49</v>
      </c>
      <c r="J542" s="193">
        <v>1073.49</v>
      </c>
      <c r="K542" s="193">
        <v>1073.49</v>
      </c>
      <c r="L542" s="193">
        <v>1400</v>
      </c>
      <c r="M542" s="194">
        <v>1400</v>
      </c>
      <c r="N542" s="284">
        <v>280</v>
      </c>
      <c r="O542" s="285">
        <v>11.25</v>
      </c>
      <c r="P542" s="285">
        <v>24</v>
      </c>
      <c r="Q542" s="285">
        <v>614</v>
      </c>
      <c r="R542" s="285" t="s">
        <v>1</v>
      </c>
      <c r="S542" s="286">
        <v>280</v>
      </c>
      <c r="T542" s="285">
        <v>11.25</v>
      </c>
      <c r="U542" s="285">
        <v>24</v>
      </c>
      <c r="V542" s="285">
        <v>614</v>
      </c>
      <c r="W542" s="285" t="s">
        <v>1</v>
      </c>
      <c r="X542" s="286">
        <v>280</v>
      </c>
      <c r="Y542" s="285">
        <v>28.75</v>
      </c>
      <c r="Z542" s="285">
        <v>24</v>
      </c>
      <c r="AA542" s="285">
        <v>614</v>
      </c>
      <c r="AB542" s="285" t="s">
        <v>1</v>
      </c>
      <c r="AC542" s="286">
        <v>280</v>
      </c>
      <c r="AD542" s="285">
        <v>28.75</v>
      </c>
      <c r="AE542" s="285">
        <v>24</v>
      </c>
      <c r="AF542" s="285">
        <v>614</v>
      </c>
      <c r="AG542" s="285" t="s">
        <v>1</v>
      </c>
      <c r="AH542" s="286" t="s">
        <v>1</v>
      </c>
      <c r="AI542" s="312" t="s">
        <v>1</v>
      </c>
      <c r="AJ542" s="312" t="s">
        <v>1</v>
      </c>
      <c r="AK542" s="312" t="s">
        <v>1</v>
      </c>
      <c r="AL542" s="286" t="s">
        <v>1</v>
      </c>
      <c r="AM542" s="288" t="s">
        <v>1</v>
      </c>
      <c r="AN542" s="289" t="s">
        <v>1</v>
      </c>
      <c r="AO542" s="289" t="s">
        <v>1</v>
      </c>
      <c r="AP542" s="286" t="s">
        <v>1</v>
      </c>
      <c r="AQ542" s="285" t="s">
        <v>1</v>
      </c>
      <c r="AR542" s="289" t="s">
        <v>1</v>
      </c>
      <c r="AS542" s="289" t="s">
        <v>1</v>
      </c>
      <c r="AT542" s="293" t="s">
        <v>1</v>
      </c>
      <c r="AU542" s="289" t="s">
        <v>1</v>
      </c>
      <c r="AV542" s="289" t="s">
        <v>1</v>
      </c>
      <c r="AW542" s="294" t="s">
        <v>1</v>
      </c>
    </row>
    <row r="543" spans="1:49" ht="30.15" customHeight="1" x14ac:dyDescent="0.25">
      <c r="A543" s="213" t="s">
        <v>18</v>
      </c>
      <c r="B543" s="189" t="s">
        <v>1</v>
      </c>
      <c r="C543" s="212" t="s">
        <v>34</v>
      </c>
      <c r="D543" s="190" t="s">
        <v>7</v>
      </c>
      <c r="E543" s="190" t="s">
        <v>1193</v>
      </c>
      <c r="F543" s="203"/>
      <c r="G543" s="190" t="s">
        <v>1203</v>
      </c>
      <c r="H543" s="192" t="s">
        <v>409</v>
      </c>
      <c r="I543" s="193">
        <v>1073.49</v>
      </c>
      <c r="J543" s="193">
        <v>1073.49</v>
      </c>
      <c r="K543" s="193">
        <v>1073.49</v>
      </c>
      <c r="L543" s="193">
        <v>1400</v>
      </c>
      <c r="M543" s="194">
        <v>1400</v>
      </c>
      <c r="N543" s="284">
        <v>280</v>
      </c>
      <c r="O543" s="285">
        <v>11.25</v>
      </c>
      <c r="P543" s="285">
        <v>24</v>
      </c>
      <c r="Q543" s="285">
        <v>614</v>
      </c>
      <c r="R543" s="285" t="s">
        <v>1</v>
      </c>
      <c r="S543" s="286">
        <v>280</v>
      </c>
      <c r="T543" s="285">
        <v>11.25</v>
      </c>
      <c r="U543" s="285">
        <v>24</v>
      </c>
      <c r="V543" s="285">
        <v>614</v>
      </c>
      <c r="W543" s="285" t="s">
        <v>1</v>
      </c>
      <c r="X543" s="286">
        <v>280</v>
      </c>
      <c r="Y543" s="285">
        <v>28.75</v>
      </c>
      <c r="Z543" s="285">
        <v>24</v>
      </c>
      <c r="AA543" s="285">
        <v>614</v>
      </c>
      <c r="AB543" s="285" t="s">
        <v>1</v>
      </c>
      <c r="AC543" s="286">
        <v>280</v>
      </c>
      <c r="AD543" s="285">
        <v>28.75</v>
      </c>
      <c r="AE543" s="285">
        <v>24</v>
      </c>
      <c r="AF543" s="285">
        <v>614</v>
      </c>
      <c r="AG543" s="285" t="s">
        <v>1</v>
      </c>
      <c r="AH543" s="286" t="s">
        <v>1</v>
      </c>
      <c r="AI543" s="312" t="s">
        <v>1</v>
      </c>
      <c r="AJ543" s="312" t="s">
        <v>1</v>
      </c>
      <c r="AK543" s="312" t="s">
        <v>1</v>
      </c>
      <c r="AL543" s="286" t="s">
        <v>1</v>
      </c>
      <c r="AM543" s="288" t="s">
        <v>1</v>
      </c>
      <c r="AN543" s="289" t="s">
        <v>1</v>
      </c>
      <c r="AO543" s="289" t="s">
        <v>1</v>
      </c>
      <c r="AP543" s="286" t="s">
        <v>1</v>
      </c>
      <c r="AQ543" s="285" t="s">
        <v>1</v>
      </c>
      <c r="AR543" s="289" t="s">
        <v>1</v>
      </c>
      <c r="AS543" s="289" t="s">
        <v>1</v>
      </c>
      <c r="AT543" s="293" t="s">
        <v>1</v>
      </c>
      <c r="AU543" s="289" t="s">
        <v>1</v>
      </c>
      <c r="AV543" s="289" t="s">
        <v>1</v>
      </c>
      <c r="AW543" s="294" t="s">
        <v>1</v>
      </c>
    </row>
    <row r="544" spans="1:49" ht="30.15" customHeight="1" x14ac:dyDescent="0.25">
      <c r="A544" s="213" t="s">
        <v>18</v>
      </c>
      <c r="B544" s="189" t="s">
        <v>1</v>
      </c>
      <c r="C544" s="212" t="s">
        <v>34</v>
      </c>
      <c r="D544" s="190" t="s">
        <v>7</v>
      </c>
      <c r="E544" s="190" t="s">
        <v>1194</v>
      </c>
      <c r="F544" s="203"/>
      <c r="G544" s="190" t="s">
        <v>1204</v>
      </c>
      <c r="H544" s="192" t="s">
        <v>409</v>
      </c>
      <c r="I544" s="193">
        <v>1139.99</v>
      </c>
      <c r="J544" s="193">
        <v>1139.99</v>
      </c>
      <c r="K544" s="193">
        <v>1139.99</v>
      </c>
      <c r="L544" s="193">
        <v>1485</v>
      </c>
      <c r="M544" s="194">
        <v>1485</v>
      </c>
      <c r="N544" s="284">
        <v>297</v>
      </c>
      <c r="O544" s="285">
        <v>11.879999999999999</v>
      </c>
      <c r="P544" s="285">
        <v>24</v>
      </c>
      <c r="Q544" s="285">
        <v>628</v>
      </c>
      <c r="R544" s="285" t="s">
        <v>1</v>
      </c>
      <c r="S544" s="286">
        <v>297</v>
      </c>
      <c r="T544" s="285">
        <v>11.879999999999999</v>
      </c>
      <c r="U544" s="285">
        <v>24</v>
      </c>
      <c r="V544" s="285">
        <v>628</v>
      </c>
      <c r="W544" s="285" t="s">
        <v>1</v>
      </c>
      <c r="X544" s="286">
        <v>297</v>
      </c>
      <c r="Y544" s="285">
        <v>28.75</v>
      </c>
      <c r="Z544" s="285">
        <v>24</v>
      </c>
      <c r="AA544" s="285">
        <v>628</v>
      </c>
      <c r="AB544" s="285" t="s">
        <v>1</v>
      </c>
      <c r="AC544" s="286">
        <v>297</v>
      </c>
      <c r="AD544" s="285">
        <v>28.75</v>
      </c>
      <c r="AE544" s="285">
        <v>24</v>
      </c>
      <c r="AF544" s="285">
        <v>628</v>
      </c>
      <c r="AG544" s="285" t="s">
        <v>1</v>
      </c>
      <c r="AH544" s="286" t="s">
        <v>1</v>
      </c>
      <c r="AI544" s="312" t="s">
        <v>1</v>
      </c>
      <c r="AJ544" s="312" t="s">
        <v>1</v>
      </c>
      <c r="AK544" s="312" t="s">
        <v>1</v>
      </c>
      <c r="AL544" s="286" t="s">
        <v>1</v>
      </c>
      <c r="AM544" s="288" t="s">
        <v>1</v>
      </c>
      <c r="AN544" s="289" t="s">
        <v>1</v>
      </c>
      <c r="AO544" s="289" t="s">
        <v>1</v>
      </c>
      <c r="AP544" s="286" t="s">
        <v>1</v>
      </c>
      <c r="AQ544" s="285" t="s">
        <v>1</v>
      </c>
      <c r="AR544" s="289" t="s">
        <v>1</v>
      </c>
      <c r="AS544" s="289" t="s">
        <v>1</v>
      </c>
      <c r="AT544" s="293" t="s">
        <v>1</v>
      </c>
      <c r="AU544" s="289" t="s">
        <v>1</v>
      </c>
      <c r="AV544" s="289" t="s">
        <v>1</v>
      </c>
      <c r="AW544" s="294" t="s">
        <v>1</v>
      </c>
    </row>
    <row r="545" spans="1:49" ht="30.15" customHeight="1" x14ac:dyDescent="0.25">
      <c r="A545" s="213" t="s">
        <v>18</v>
      </c>
      <c r="B545" s="189" t="s">
        <v>1</v>
      </c>
      <c r="C545" s="212" t="s">
        <v>34</v>
      </c>
      <c r="D545" s="190" t="s">
        <v>7</v>
      </c>
      <c r="E545" s="190" t="s">
        <v>1195</v>
      </c>
      <c r="F545" s="203"/>
      <c r="G545" s="190" t="s">
        <v>1205</v>
      </c>
      <c r="H545" s="192" t="s">
        <v>409</v>
      </c>
      <c r="I545" s="193">
        <v>1329.99</v>
      </c>
      <c r="J545" s="193">
        <v>1329.99</v>
      </c>
      <c r="K545" s="193">
        <v>1329.99</v>
      </c>
      <c r="L545" s="193">
        <v>1730</v>
      </c>
      <c r="M545" s="194">
        <v>1730</v>
      </c>
      <c r="N545" s="284">
        <v>346</v>
      </c>
      <c r="O545" s="285">
        <v>13.75</v>
      </c>
      <c r="P545" s="285">
        <v>24</v>
      </c>
      <c r="Q545" s="285">
        <v>640</v>
      </c>
      <c r="R545" s="285" t="s">
        <v>1</v>
      </c>
      <c r="S545" s="286">
        <v>346</v>
      </c>
      <c r="T545" s="285">
        <v>13.75</v>
      </c>
      <c r="U545" s="285">
        <v>24</v>
      </c>
      <c r="V545" s="285">
        <v>640</v>
      </c>
      <c r="W545" s="285" t="s">
        <v>1</v>
      </c>
      <c r="X545" s="286">
        <v>346</v>
      </c>
      <c r="Y545" s="285">
        <v>32.42</v>
      </c>
      <c r="Z545" s="285">
        <v>24</v>
      </c>
      <c r="AA545" s="285">
        <v>640</v>
      </c>
      <c r="AB545" s="285" t="s">
        <v>1</v>
      </c>
      <c r="AC545" s="286">
        <v>346</v>
      </c>
      <c r="AD545" s="285">
        <v>32.42</v>
      </c>
      <c r="AE545" s="285">
        <v>24</v>
      </c>
      <c r="AF545" s="285">
        <v>640</v>
      </c>
      <c r="AG545" s="285" t="s">
        <v>1</v>
      </c>
      <c r="AH545" s="286" t="s">
        <v>1</v>
      </c>
      <c r="AI545" s="312" t="s">
        <v>1</v>
      </c>
      <c r="AJ545" s="312" t="s">
        <v>1</v>
      </c>
      <c r="AK545" s="312" t="s">
        <v>1</v>
      </c>
      <c r="AL545" s="286" t="s">
        <v>1</v>
      </c>
      <c r="AM545" s="288" t="s">
        <v>1</v>
      </c>
      <c r="AN545" s="289" t="s">
        <v>1</v>
      </c>
      <c r="AO545" s="289" t="s">
        <v>1</v>
      </c>
      <c r="AP545" s="286" t="s">
        <v>1</v>
      </c>
      <c r="AQ545" s="285" t="s">
        <v>1</v>
      </c>
      <c r="AR545" s="289" t="s">
        <v>1</v>
      </c>
      <c r="AS545" s="289" t="s">
        <v>1</v>
      </c>
      <c r="AT545" s="293" t="s">
        <v>1</v>
      </c>
      <c r="AU545" s="289" t="s">
        <v>1</v>
      </c>
      <c r="AV545" s="289" t="s">
        <v>1</v>
      </c>
      <c r="AW545" s="294" t="s">
        <v>1</v>
      </c>
    </row>
    <row r="546" spans="1:49" ht="30.15" customHeight="1" x14ac:dyDescent="0.25">
      <c r="A546" s="213" t="s">
        <v>18</v>
      </c>
      <c r="B546" s="189" t="s">
        <v>1</v>
      </c>
      <c r="C546" s="212" t="s">
        <v>34</v>
      </c>
      <c r="D546" s="190" t="s">
        <v>7</v>
      </c>
      <c r="E546" s="190" t="s">
        <v>1196</v>
      </c>
      <c r="F546" s="203"/>
      <c r="G546" s="190" t="s">
        <v>1205</v>
      </c>
      <c r="H546" s="192" t="s">
        <v>409</v>
      </c>
      <c r="I546" s="193">
        <v>1329.99</v>
      </c>
      <c r="J546" s="193">
        <v>1329.99</v>
      </c>
      <c r="K546" s="193">
        <v>1329.99</v>
      </c>
      <c r="L546" s="193">
        <v>1730</v>
      </c>
      <c r="M546" s="194">
        <v>1730</v>
      </c>
      <c r="N546" s="284">
        <v>346</v>
      </c>
      <c r="O546" s="285">
        <v>13.75</v>
      </c>
      <c r="P546" s="285">
        <v>24</v>
      </c>
      <c r="Q546" s="285">
        <v>640</v>
      </c>
      <c r="R546" s="285" t="s">
        <v>1</v>
      </c>
      <c r="S546" s="286">
        <v>346</v>
      </c>
      <c r="T546" s="285">
        <v>13.75</v>
      </c>
      <c r="U546" s="285">
        <v>24</v>
      </c>
      <c r="V546" s="285">
        <v>640</v>
      </c>
      <c r="W546" s="285" t="s">
        <v>1</v>
      </c>
      <c r="X546" s="286">
        <v>346</v>
      </c>
      <c r="Y546" s="285">
        <v>32.42</v>
      </c>
      <c r="Z546" s="285">
        <v>24</v>
      </c>
      <c r="AA546" s="285">
        <v>640</v>
      </c>
      <c r="AB546" s="285" t="s">
        <v>1</v>
      </c>
      <c r="AC546" s="286">
        <v>346</v>
      </c>
      <c r="AD546" s="285">
        <v>32.42</v>
      </c>
      <c r="AE546" s="285">
        <v>24</v>
      </c>
      <c r="AF546" s="285">
        <v>640</v>
      </c>
      <c r="AG546" s="285" t="s">
        <v>1</v>
      </c>
      <c r="AH546" s="286" t="s">
        <v>1</v>
      </c>
      <c r="AI546" s="312" t="s">
        <v>1</v>
      </c>
      <c r="AJ546" s="312" t="s">
        <v>1</v>
      </c>
      <c r="AK546" s="312" t="s">
        <v>1</v>
      </c>
      <c r="AL546" s="286" t="s">
        <v>1</v>
      </c>
      <c r="AM546" s="288" t="s">
        <v>1</v>
      </c>
      <c r="AN546" s="289" t="s">
        <v>1</v>
      </c>
      <c r="AO546" s="289" t="s">
        <v>1</v>
      </c>
      <c r="AP546" s="286" t="s">
        <v>1</v>
      </c>
      <c r="AQ546" s="285" t="s">
        <v>1</v>
      </c>
      <c r="AR546" s="289" t="s">
        <v>1</v>
      </c>
      <c r="AS546" s="289" t="s">
        <v>1</v>
      </c>
      <c r="AT546" s="293" t="s">
        <v>1</v>
      </c>
      <c r="AU546" s="289" t="s">
        <v>1</v>
      </c>
      <c r="AV546" s="289" t="s">
        <v>1</v>
      </c>
      <c r="AW546" s="294" t="s">
        <v>1</v>
      </c>
    </row>
    <row r="547" spans="1:49" ht="30.15" customHeight="1" x14ac:dyDescent="0.25">
      <c r="A547" s="213" t="s">
        <v>18</v>
      </c>
      <c r="B547" s="189" t="s">
        <v>1</v>
      </c>
      <c r="C547" s="212" t="s">
        <v>34</v>
      </c>
      <c r="D547" s="190" t="s">
        <v>7</v>
      </c>
      <c r="E547" s="190" t="s">
        <v>1197</v>
      </c>
      <c r="F547" s="203"/>
      <c r="G547" s="190" t="s">
        <v>1205</v>
      </c>
      <c r="H547" s="192" t="s">
        <v>409</v>
      </c>
      <c r="I547" s="193">
        <v>1329.99</v>
      </c>
      <c r="J547" s="193">
        <v>1329.99</v>
      </c>
      <c r="K547" s="193">
        <v>1329.99</v>
      </c>
      <c r="L547" s="193">
        <v>1730</v>
      </c>
      <c r="M547" s="194">
        <v>1730</v>
      </c>
      <c r="N547" s="284">
        <v>346</v>
      </c>
      <c r="O547" s="285">
        <v>13.75</v>
      </c>
      <c r="P547" s="285">
        <v>24</v>
      </c>
      <c r="Q547" s="285">
        <v>640</v>
      </c>
      <c r="R547" s="285" t="s">
        <v>1</v>
      </c>
      <c r="S547" s="286">
        <v>346</v>
      </c>
      <c r="T547" s="285">
        <v>13.75</v>
      </c>
      <c r="U547" s="285">
        <v>24</v>
      </c>
      <c r="V547" s="285">
        <v>640</v>
      </c>
      <c r="W547" s="285" t="s">
        <v>1</v>
      </c>
      <c r="X547" s="286">
        <v>346</v>
      </c>
      <c r="Y547" s="285">
        <v>32.42</v>
      </c>
      <c r="Z547" s="285">
        <v>24</v>
      </c>
      <c r="AA547" s="285">
        <v>640</v>
      </c>
      <c r="AB547" s="285" t="s">
        <v>1</v>
      </c>
      <c r="AC547" s="286">
        <v>346</v>
      </c>
      <c r="AD547" s="285">
        <v>32.42</v>
      </c>
      <c r="AE547" s="285">
        <v>24</v>
      </c>
      <c r="AF547" s="285">
        <v>640</v>
      </c>
      <c r="AG547" s="285" t="s">
        <v>1</v>
      </c>
      <c r="AH547" s="286" t="s">
        <v>1</v>
      </c>
      <c r="AI547" s="312" t="s">
        <v>1</v>
      </c>
      <c r="AJ547" s="312" t="s">
        <v>1</v>
      </c>
      <c r="AK547" s="312" t="s">
        <v>1</v>
      </c>
      <c r="AL547" s="286" t="s">
        <v>1</v>
      </c>
      <c r="AM547" s="288" t="s">
        <v>1</v>
      </c>
      <c r="AN547" s="289" t="s">
        <v>1</v>
      </c>
      <c r="AO547" s="289" t="s">
        <v>1</v>
      </c>
      <c r="AP547" s="286" t="s">
        <v>1</v>
      </c>
      <c r="AQ547" s="285" t="s">
        <v>1</v>
      </c>
      <c r="AR547" s="289" t="s">
        <v>1</v>
      </c>
      <c r="AS547" s="289" t="s">
        <v>1</v>
      </c>
      <c r="AT547" s="293" t="s">
        <v>1</v>
      </c>
      <c r="AU547" s="289" t="s">
        <v>1</v>
      </c>
      <c r="AV547" s="289" t="s">
        <v>1</v>
      </c>
      <c r="AW547" s="294" t="s">
        <v>1</v>
      </c>
    </row>
    <row r="548" spans="1:49" ht="30.15" customHeight="1" x14ac:dyDescent="0.25">
      <c r="A548" s="213" t="s">
        <v>18</v>
      </c>
      <c r="B548" s="189" t="s">
        <v>1</v>
      </c>
      <c r="C548" s="212" t="s">
        <v>34</v>
      </c>
      <c r="D548" s="190" t="s">
        <v>7</v>
      </c>
      <c r="E548" s="190" t="s">
        <v>1210</v>
      </c>
      <c r="F548" s="203"/>
      <c r="G548" s="190" t="s">
        <v>1205</v>
      </c>
      <c r="H548" s="192" t="s">
        <v>7</v>
      </c>
      <c r="I548" s="193">
        <v>1329.99</v>
      </c>
      <c r="J548" s="193">
        <v>1329.99</v>
      </c>
      <c r="K548" s="193">
        <v>1329.99</v>
      </c>
      <c r="L548" s="193">
        <v>1730</v>
      </c>
      <c r="M548" s="194">
        <v>1730</v>
      </c>
      <c r="N548" s="284">
        <v>346</v>
      </c>
      <c r="O548" s="285">
        <v>13.75</v>
      </c>
      <c r="P548" s="285">
        <v>24</v>
      </c>
      <c r="Q548" s="285">
        <v>640</v>
      </c>
      <c r="R548" s="285" t="s">
        <v>1</v>
      </c>
      <c r="S548" s="286">
        <v>346</v>
      </c>
      <c r="T548" s="285">
        <v>13.75</v>
      </c>
      <c r="U548" s="285">
        <v>24</v>
      </c>
      <c r="V548" s="285">
        <v>640</v>
      </c>
      <c r="W548" s="285" t="s">
        <v>1</v>
      </c>
      <c r="X548" s="286">
        <v>346</v>
      </c>
      <c r="Y548" s="285">
        <v>32.42</v>
      </c>
      <c r="Z548" s="285">
        <v>24</v>
      </c>
      <c r="AA548" s="285">
        <v>640</v>
      </c>
      <c r="AB548" s="285" t="s">
        <v>1</v>
      </c>
      <c r="AC548" s="286">
        <v>346</v>
      </c>
      <c r="AD548" s="285">
        <v>32.42</v>
      </c>
      <c r="AE548" s="285">
        <v>24</v>
      </c>
      <c r="AF548" s="285">
        <v>640</v>
      </c>
      <c r="AG548" s="285" t="s">
        <v>1</v>
      </c>
      <c r="AH548" s="286" t="s">
        <v>1</v>
      </c>
      <c r="AI548" s="312" t="s">
        <v>1</v>
      </c>
      <c r="AJ548" s="312" t="s">
        <v>1</v>
      </c>
      <c r="AK548" s="312" t="s">
        <v>1</v>
      </c>
      <c r="AL548" s="286" t="s">
        <v>1</v>
      </c>
      <c r="AM548" s="288" t="s">
        <v>1</v>
      </c>
      <c r="AN548" s="289" t="s">
        <v>1</v>
      </c>
      <c r="AO548" s="289" t="s">
        <v>1</v>
      </c>
      <c r="AP548" s="286" t="s">
        <v>1</v>
      </c>
      <c r="AQ548" s="285" t="s">
        <v>1</v>
      </c>
      <c r="AR548" s="289" t="s">
        <v>1</v>
      </c>
      <c r="AS548" s="289" t="s">
        <v>1</v>
      </c>
      <c r="AT548" s="293" t="s">
        <v>1</v>
      </c>
      <c r="AU548" s="289" t="s">
        <v>1</v>
      </c>
      <c r="AV548" s="289" t="s">
        <v>1</v>
      </c>
      <c r="AW548" s="294" t="s">
        <v>1</v>
      </c>
    </row>
    <row r="549" spans="1:49" ht="30.15" customHeight="1" x14ac:dyDescent="0.25">
      <c r="A549" s="213" t="s">
        <v>18</v>
      </c>
      <c r="B549" s="189" t="s">
        <v>1</v>
      </c>
      <c r="C549" s="212" t="s">
        <v>34</v>
      </c>
      <c r="D549" s="190" t="s">
        <v>7</v>
      </c>
      <c r="E549" s="190" t="s">
        <v>1211</v>
      </c>
      <c r="F549" s="203"/>
      <c r="G549" s="190" t="s">
        <v>1205</v>
      </c>
      <c r="H549" s="192" t="s">
        <v>7</v>
      </c>
      <c r="I549" s="193">
        <v>1329.99</v>
      </c>
      <c r="J549" s="193">
        <v>1329.99</v>
      </c>
      <c r="K549" s="193">
        <v>1329.99</v>
      </c>
      <c r="L549" s="193">
        <v>1730</v>
      </c>
      <c r="M549" s="194">
        <v>1730</v>
      </c>
      <c r="N549" s="284">
        <v>346</v>
      </c>
      <c r="O549" s="285">
        <v>13.75</v>
      </c>
      <c r="P549" s="285">
        <v>24</v>
      </c>
      <c r="Q549" s="285">
        <v>640</v>
      </c>
      <c r="R549" s="285" t="s">
        <v>1</v>
      </c>
      <c r="S549" s="286">
        <v>346</v>
      </c>
      <c r="T549" s="285">
        <v>13.75</v>
      </c>
      <c r="U549" s="285">
        <v>24</v>
      </c>
      <c r="V549" s="285">
        <v>640</v>
      </c>
      <c r="W549" s="285" t="s">
        <v>1</v>
      </c>
      <c r="X549" s="286">
        <v>346</v>
      </c>
      <c r="Y549" s="285">
        <v>32.42</v>
      </c>
      <c r="Z549" s="285">
        <v>24</v>
      </c>
      <c r="AA549" s="285">
        <v>640</v>
      </c>
      <c r="AB549" s="285" t="s">
        <v>1</v>
      </c>
      <c r="AC549" s="286">
        <v>346</v>
      </c>
      <c r="AD549" s="285">
        <v>32.42</v>
      </c>
      <c r="AE549" s="285">
        <v>24</v>
      </c>
      <c r="AF549" s="285">
        <v>640</v>
      </c>
      <c r="AG549" s="285" t="s">
        <v>1</v>
      </c>
      <c r="AH549" s="286" t="s">
        <v>1</v>
      </c>
      <c r="AI549" s="312" t="s">
        <v>1</v>
      </c>
      <c r="AJ549" s="312" t="s">
        <v>1</v>
      </c>
      <c r="AK549" s="312" t="s">
        <v>1</v>
      </c>
      <c r="AL549" s="286" t="s">
        <v>1</v>
      </c>
      <c r="AM549" s="288" t="s">
        <v>1</v>
      </c>
      <c r="AN549" s="289" t="s">
        <v>1</v>
      </c>
      <c r="AO549" s="289" t="s">
        <v>1</v>
      </c>
      <c r="AP549" s="286" t="s">
        <v>1</v>
      </c>
      <c r="AQ549" s="285" t="s">
        <v>1</v>
      </c>
      <c r="AR549" s="289" t="s">
        <v>1</v>
      </c>
      <c r="AS549" s="289" t="s">
        <v>1</v>
      </c>
      <c r="AT549" s="293" t="s">
        <v>1</v>
      </c>
      <c r="AU549" s="289" t="s">
        <v>1</v>
      </c>
      <c r="AV549" s="289" t="s">
        <v>1</v>
      </c>
      <c r="AW549" s="294" t="s">
        <v>1</v>
      </c>
    </row>
    <row r="550" spans="1:49" ht="30.15" customHeight="1" x14ac:dyDescent="0.25">
      <c r="A550" s="213" t="s">
        <v>18</v>
      </c>
      <c r="B550" s="189" t="s">
        <v>1</v>
      </c>
      <c r="C550" s="212" t="s">
        <v>34</v>
      </c>
      <c r="D550" s="190" t="s">
        <v>7</v>
      </c>
      <c r="E550" s="190" t="s">
        <v>1212</v>
      </c>
      <c r="F550" s="203"/>
      <c r="G550" s="190" t="s">
        <v>1205</v>
      </c>
      <c r="H550" s="192" t="s">
        <v>7</v>
      </c>
      <c r="I550" s="193">
        <v>1329.99</v>
      </c>
      <c r="J550" s="193">
        <v>1329.99</v>
      </c>
      <c r="K550" s="193">
        <v>1329.99</v>
      </c>
      <c r="L550" s="193">
        <v>1730</v>
      </c>
      <c r="M550" s="194">
        <v>1730</v>
      </c>
      <c r="N550" s="284">
        <v>346</v>
      </c>
      <c r="O550" s="285">
        <v>13.75</v>
      </c>
      <c r="P550" s="285">
        <v>24</v>
      </c>
      <c r="Q550" s="285">
        <v>640</v>
      </c>
      <c r="R550" s="285" t="s">
        <v>1</v>
      </c>
      <c r="S550" s="286">
        <v>346</v>
      </c>
      <c r="T550" s="285">
        <v>13.75</v>
      </c>
      <c r="U550" s="285">
        <v>24</v>
      </c>
      <c r="V550" s="285">
        <v>640</v>
      </c>
      <c r="W550" s="285" t="s">
        <v>1</v>
      </c>
      <c r="X550" s="286">
        <v>346</v>
      </c>
      <c r="Y550" s="285">
        <v>32.42</v>
      </c>
      <c r="Z550" s="285">
        <v>24</v>
      </c>
      <c r="AA550" s="285">
        <v>640</v>
      </c>
      <c r="AB550" s="285" t="s">
        <v>1</v>
      </c>
      <c r="AC550" s="286">
        <v>346</v>
      </c>
      <c r="AD550" s="285">
        <v>32.42</v>
      </c>
      <c r="AE550" s="285">
        <v>24</v>
      </c>
      <c r="AF550" s="285">
        <v>640</v>
      </c>
      <c r="AG550" s="285" t="s">
        <v>1</v>
      </c>
      <c r="AH550" s="286" t="s">
        <v>1</v>
      </c>
      <c r="AI550" s="312" t="s">
        <v>1</v>
      </c>
      <c r="AJ550" s="312" t="s">
        <v>1</v>
      </c>
      <c r="AK550" s="312" t="s">
        <v>1</v>
      </c>
      <c r="AL550" s="286" t="s">
        <v>1</v>
      </c>
      <c r="AM550" s="288" t="s">
        <v>1</v>
      </c>
      <c r="AN550" s="289" t="s">
        <v>1</v>
      </c>
      <c r="AO550" s="289" t="s">
        <v>1</v>
      </c>
      <c r="AP550" s="286" t="s">
        <v>1</v>
      </c>
      <c r="AQ550" s="285" t="s">
        <v>1</v>
      </c>
      <c r="AR550" s="289" t="s">
        <v>1</v>
      </c>
      <c r="AS550" s="289" t="s">
        <v>1</v>
      </c>
      <c r="AT550" s="293" t="s">
        <v>1</v>
      </c>
      <c r="AU550" s="289" t="s">
        <v>1</v>
      </c>
      <c r="AV550" s="289" t="s">
        <v>1</v>
      </c>
      <c r="AW550" s="294" t="s">
        <v>1</v>
      </c>
    </row>
    <row r="551" spans="1:49" ht="30.15" customHeight="1" x14ac:dyDescent="0.25">
      <c r="A551" s="213" t="s">
        <v>18</v>
      </c>
      <c r="B551" s="189" t="s">
        <v>1</v>
      </c>
      <c r="C551" s="212" t="s">
        <v>34</v>
      </c>
      <c r="D551" s="190" t="s">
        <v>7</v>
      </c>
      <c r="E551" s="190" t="s">
        <v>1198</v>
      </c>
      <c r="F551" s="203"/>
      <c r="G551" s="190" t="s">
        <v>1206</v>
      </c>
      <c r="H551" s="192" t="s">
        <v>409</v>
      </c>
      <c r="I551" s="193">
        <v>1396.49</v>
      </c>
      <c r="J551" s="193">
        <v>1396.49</v>
      </c>
      <c r="K551" s="193">
        <v>1396.49</v>
      </c>
      <c r="L551" s="193">
        <v>1820</v>
      </c>
      <c r="M551" s="194">
        <v>1820</v>
      </c>
      <c r="N551" s="284">
        <v>364</v>
      </c>
      <c r="O551" s="285">
        <v>14.59</v>
      </c>
      <c r="P551" s="285">
        <v>24</v>
      </c>
      <c r="Q551" s="285">
        <v>650</v>
      </c>
      <c r="R551" s="285" t="s">
        <v>1</v>
      </c>
      <c r="S551" s="286">
        <v>364</v>
      </c>
      <c r="T551" s="285">
        <v>14.59</v>
      </c>
      <c r="U551" s="285">
        <v>24</v>
      </c>
      <c r="V551" s="285">
        <v>650</v>
      </c>
      <c r="W551" s="285" t="s">
        <v>1</v>
      </c>
      <c r="X551" s="286">
        <v>364</v>
      </c>
      <c r="Y551" s="285">
        <v>32.42</v>
      </c>
      <c r="Z551" s="285">
        <v>24</v>
      </c>
      <c r="AA551" s="285">
        <v>650</v>
      </c>
      <c r="AB551" s="285" t="s">
        <v>1</v>
      </c>
      <c r="AC551" s="286">
        <v>364</v>
      </c>
      <c r="AD551" s="285">
        <v>32.42</v>
      </c>
      <c r="AE551" s="285">
        <v>24</v>
      </c>
      <c r="AF551" s="285">
        <v>650</v>
      </c>
      <c r="AG551" s="285" t="s">
        <v>1</v>
      </c>
      <c r="AH551" s="286" t="s">
        <v>1</v>
      </c>
      <c r="AI551" s="312" t="s">
        <v>1</v>
      </c>
      <c r="AJ551" s="312" t="s">
        <v>1</v>
      </c>
      <c r="AK551" s="312" t="s">
        <v>1</v>
      </c>
      <c r="AL551" s="286" t="s">
        <v>1</v>
      </c>
      <c r="AM551" s="288" t="s">
        <v>1</v>
      </c>
      <c r="AN551" s="289" t="s">
        <v>1</v>
      </c>
      <c r="AO551" s="289" t="s">
        <v>1</v>
      </c>
      <c r="AP551" s="286" t="s">
        <v>1</v>
      </c>
      <c r="AQ551" s="285" t="s">
        <v>1</v>
      </c>
      <c r="AR551" s="289" t="s">
        <v>1</v>
      </c>
      <c r="AS551" s="289" t="s">
        <v>1</v>
      </c>
      <c r="AT551" s="293" t="s">
        <v>1</v>
      </c>
      <c r="AU551" s="289" t="s">
        <v>1</v>
      </c>
      <c r="AV551" s="289" t="s">
        <v>1</v>
      </c>
      <c r="AW551" s="294" t="s">
        <v>1</v>
      </c>
    </row>
    <row r="552" spans="1:49" ht="30.15" customHeight="1" x14ac:dyDescent="0.25">
      <c r="A552" s="213" t="s">
        <v>18</v>
      </c>
      <c r="B552" s="189" t="s">
        <v>1</v>
      </c>
      <c r="C552" s="212" t="s">
        <v>34</v>
      </c>
      <c r="D552" s="190" t="s">
        <v>7</v>
      </c>
      <c r="E552" s="190" t="s">
        <v>1213</v>
      </c>
      <c r="F552" s="203"/>
      <c r="G552" s="190" t="s">
        <v>1206</v>
      </c>
      <c r="H552" s="192" t="s">
        <v>7</v>
      </c>
      <c r="I552" s="193">
        <v>1396.49</v>
      </c>
      <c r="J552" s="193">
        <v>1396.49</v>
      </c>
      <c r="K552" s="193">
        <v>1396.49</v>
      </c>
      <c r="L552" s="193">
        <v>1820</v>
      </c>
      <c r="M552" s="194">
        <v>1820</v>
      </c>
      <c r="N552" s="284">
        <v>364</v>
      </c>
      <c r="O552" s="285">
        <v>14.59</v>
      </c>
      <c r="P552" s="285">
        <v>24</v>
      </c>
      <c r="Q552" s="285">
        <v>650</v>
      </c>
      <c r="R552" s="285" t="s">
        <v>1</v>
      </c>
      <c r="S552" s="286">
        <v>364</v>
      </c>
      <c r="T552" s="285">
        <v>14.59</v>
      </c>
      <c r="U552" s="285">
        <v>24</v>
      </c>
      <c r="V552" s="285">
        <v>650</v>
      </c>
      <c r="W552" s="285" t="s">
        <v>1</v>
      </c>
      <c r="X552" s="286">
        <v>364</v>
      </c>
      <c r="Y552" s="285">
        <v>32.42</v>
      </c>
      <c r="Z552" s="285">
        <v>24</v>
      </c>
      <c r="AA552" s="285">
        <v>650</v>
      </c>
      <c r="AB552" s="285" t="s">
        <v>1</v>
      </c>
      <c r="AC552" s="286">
        <v>364</v>
      </c>
      <c r="AD552" s="285">
        <v>32.42</v>
      </c>
      <c r="AE552" s="285">
        <v>24</v>
      </c>
      <c r="AF552" s="285">
        <v>650</v>
      </c>
      <c r="AG552" s="285" t="s">
        <v>1</v>
      </c>
      <c r="AH552" s="286" t="s">
        <v>1</v>
      </c>
      <c r="AI552" s="312" t="s">
        <v>1</v>
      </c>
      <c r="AJ552" s="312" t="s">
        <v>1</v>
      </c>
      <c r="AK552" s="312" t="s">
        <v>1</v>
      </c>
      <c r="AL552" s="286" t="s">
        <v>1</v>
      </c>
      <c r="AM552" s="288" t="s">
        <v>1</v>
      </c>
      <c r="AN552" s="289" t="s">
        <v>1</v>
      </c>
      <c r="AO552" s="289" t="s">
        <v>1</v>
      </c>
      <c r="AP552" s="286" t="s">
        <v>1</v>
      </c>
      <c r="AQ552" s="285" t="s">
        <v>1</v>
      </c>
      <c r="AR552" s="289" t="s">
        <v>1</v>
      </c>
      <c r="AS552" s="289" t="s">
        <v>1</v>
      </c>
      <c r="AT552" s="293" t="s">
        <v>1</v>
      </c>
      <c r="AU552" s="289" t="s">
        <v>1</v>
      </c>
      <c r="AV552" s="289" t="s">
        <v>1</v>
      </c>
      <c r="AW552" s="294" t="s">
        <v>1</v>
      </c>
    </row>
    <row r="553" spans="1:49" ht="30.15" customHeight="1" x14ac:dyDescent="0.25">
      <c r="A553" s="213" t="s">
        <v>18</v>
      </c>
      <c r="B553" s="189" t="s">
        <v>1</v>
      </c>
      <c r="C553" s="212" t="s">
        <v>34</v>
      </c>
      <c r="D553" s="190" t="s">
        <v>7</v>
      </c>
      <c r="E553" s="190" t="s">
        <v>1214</v>
      </c>
      <c r="F553" s="203"/>
      <c r="G553" s="190" t="s">
        <v>1206</v>
      </c>
      <c r="H553" s="192" t="s">
        <v>7</v>
      </c>
      <c r="I553" s="193">
        <v>1396.49</v>
      </c>
      <c r="J553" s="193">
        <v>1396.49</v>
      </c>
      <c r="K553" s="193">
        <v>1396.49</v>
      </c>
      <c r="L553" s="193">
        <v>1820</v>
      </c>
      <c r="M553" s="194">
        <v>1820</v>
      </c>
      <c r="N553" s="284">
        <v>364</v>
      </c>
      <c r="O553" s="285">
        <v>14.59</v>
      </c>
      <c r="P553" s="285">
        <v>24</v>
      </c>
      <c r="Q553" s="285">
        <v>650</v>
      </c>
      <c r="R553" s="285" t="s">
        <v>1</v>
      </c>
      <c r="S553" s="286">
        <v>364</v>
      </c>
      <c r="T553" s="285">
        <v>14.59</v>
      </c>
      <c r="U553" s="285">
        <v>24</v>
      </c>
      <c r="V553" s="285">
        <v>650</v>
      </c>
      <c r="W553" s="285" t="s">
        <v>1</v>
      </c>
      <c r="X553" s="286">
        <v>364</v>
      </c>
      <c r="Y553" s="285">
        <v>32.42</v>
      </c>
      <c r="Z553" s="285">
        <v>24</v>
      </c>
      <c r="AA553" s="285">
        <v>650</v>
      </c>
      <c r="AB553" s="285" t="s">
        <v>1</v>
      </c>
      <c r="AC553" s="286">
        <v>364</v>
      </c>
      <c r="AD553" s="285">
        <v>32.42</v>
      </c>
      <c r="AE553" s="285">
        <v>24</v>
      </c>
      <c r="AF553" s="285">
        <v>650</v>
      </c>
      <c r="AG553" s="285" t="s">
        <v>1</v>
      </c>
      <c r="AH553" s="286" t="s">
        <v>1</v>
      </c>
      <c r="AI553" s="312" t="s">
        <v>1</v>
      </c>
      <c r="AJ553" s="312" t="s">
        <v>1</v>
      </c>
      <c r="AK553" s="312" t="s">
        <v>1</v>
      </c>
      <c r="AL553" s="286" t="s">
        <v>1</v>
      </c>
      <c r="AM553" s="288" t="s">
        <v>1</v>
      </c>
      <c r="AN553" s="289" t="s">
        <v>1</v>
      </c>
      <c r="AO553" s="289" t="s">
        <v>1</v>
      </c>
      <c r="AP553" s="286" t="s">
        <v>1</v>
      </c>
      <c r="AQ553" s="285" t="s">
        <v>1</v>
      </c>
      <c r="AR553" s="289" t="s">
        <v>1</v>
      </c>
      <c r="AS553" s="289" t="s">
        <v>1</v>
      </c>
      <c r="AT553" s="293" t="s">
        <v>1</v>
      </c>
      <c r="AU553" s="289" t="s">
        <v>1</v>
      </c>
      <c r="AV553" s="289" t="s">
        <v>1</v>
      </c>
      <c r="AW553" s="294" t="s">
        <v>1</v>
      </c>
    </row>
    <row r="554" spans="1:49" ht="30.15" customHeight="1" x14ac:dyDescent="0.25">
      <c r="A554" s="213" t="s">
        <v>18</v>
      </c>
      <c r="B554" s="189" t="s">
        <v>1</v>
      </c>
      <c r="C554" s="212" t="s">
        <v>34</v>
      </c>
      <c r="D554" s="190" t="s">
        <v>7</v>
      </c>
      <c r="E554" s="190" t="s">
        <v>1215</v>
      </c>
      <c r="F554" s="203"/>
      <c r="G554" s="190" t="s">
        <v>1206</v>
      </c>
      <c r="H554" s="192" t="s">
        <v>7</v>
      </c>
      <c r="I554" s="193">
        <v>1396.49</v>
      </c>
      <c r="J554" s="193">
        <v>1396.49</v>
      </c>
      <c r="K554" s="193">
        <v>1396.49</v>
      </c>
      <c r="L554" s="193">
        <v>1820</v>
      </c>
      <c r="M554" s="194">
        <v>1820</v>
      </c>
      <c r="N554" s="284">
        <v>364</v>
      </c>
      <c r="O554" s="285">
        <v>14.59</v>
      </c>
      <c r="P554" s="285">
        <v>24</v>
      </c>
      <c r="Q554" s="285">
        <v>650</v>
      </c>
      <c r="R554" s="285" t="s">
        <v>1</v>
      </c>
      <c r="S554" s="286">
        <v>364</v>
      </c>
      <c r="T554" s="285">
        <v>14.59</v>
      </c>
      <c r="U554" s="285">
        <v>24</v>
      </c>
      <c r="V554" s="285">
        <v>650</v>
      </c>
      <c r="W554" s="285" t="s">
        <v>1</v>
      </c>
      <c r="X554" s="286">
        <v>364</v>
      </c>
      <c r="Y554" s="285">
        <v>32.42</v>
      </c>
      <c r="Z554" s="285">
        <v>24</v>
      </c>
      <c r="AA554" s="285">
        <v>650</v>
      </c>
      <c r="AB554" s="285" t="s">
        <v>1</v>
      </c>
      <c r="AC554" s="286">
        <v>364</v>
      </c>
      <c r="AD554" s="285">
        <v>32.42</v>
      </c>
      <c r="AE554" s="285">
        <v>24</v>
      </c>
      <c r="AF554" s="285">
        <v>650</v>
      </c>
      <c r="AG554" s="285" t="s">
        <v>1</v>
      </c>
      <c r="AH554" s="286" t="s">
        <v>1</v>
      </c>
      <c r="AI554" s="312" t="s">
        <v>1</v>
      </c>
      <c r="AJ554" s="312" t="s">
        <v>1</v>
      </c>
      <c r="AK554" s="312" t="s">
        <v>1</v>
      </c>
      <c r="AL554" s="286" t="s">
        <v>1</v>
      </c>
      <c r="AM554" s="288" t="s">
        <v>1</v>
      </c>
      <c r="AN554" s="289" t="s">
        <v>1</v>
      </c>
      <c r="AO554" s="289" t="s">
        <v>1</v>
      </c>
      <c r="AP554" s="286" t="s">
        <v>1</v>
      </c>
      <c r="AQ554" s="285" t="s">
        <v>1</v>
      </c>
      <c r="AR554" s="289" t="s">
        <v>1</v>
      </c>
      <c r="AS554" s="289" t="s">
        <v>1</v>
      </c>
      <c r="AT554" s="293" t="s">
        <v>1</v>
      </c>
      <c r="AU554" s="289" t="s">
        <v>1</v>
      </c>
      <c r="AV554" s="289" t="s">
        <v>1</v>
      </c>
      <c r="AW554" s="294" t="s">
        <v>1</v>
      </c>
    </row>
    <row r="555" spans="1:49" ht="30.15" customHeight="1" x14ac:dyDescent="0.25">
      <c r="A555" s="213" t="s">
        <v>18</v>
      </c>
      <c r="B555" s="189" t="s">
        <v>1</v>
      </c>
      <c r="C555" s="212" t="s">
        <v>34</v>
      </c>
      <c r="D555" s="190" t="s">
        <v>7</v>
      </c>
      <c r="E555" s="190" t="s">
        <v>1199</v>
      </c>
      <c r="F555" s="203"/>
      <c r="G555" s="190" t="s">
        <v>1207</v>
      </c>
      <c r="H555" s="192" t="s">
        <v>409</v>
      </c>
      <c r="I555" s="193">
        <v>1567.49</v>
      </c>
      <c r="J555" s="193">
        <v>1567.49</v>
      </c>
      <c r="K555" s="193">
        <v>1567.49</v>
      </c>
      <c r="L555" s="193">
        <v>2040</v>
      </c>
      <c r="M555" s="194">
        <v>2040</v>
      </c>
      <c r="N555" s="284">
        <v>408</v>
      </c>
      <c r="O555" s="285">
        <v>16.25</v>
      </c>
      <c r="P555" s="285">
        <v>24</v>
      </c>
      <c r="Q555" s="285">
        <v>770</v>
      </c>
      <c r="R555" s="285" t="s">
        <v>1</v>
      </c>
      <c r="S555" s="286">
        <v>408</v>
      </c>
      <c r="T555" s="285">
        <v>16.25</v>
      </c>
      <c r="U555" s="285">
        <v>24</v>
      </c>
      <c r="V555" s="285">
        <v>770</v>
      </c>
      <c r="W555" s="285" t="s">
        <v>1</v>
      </c>
      <c r="X555" s="286">
        <v>408</v>
      </c>
      <c r="Y555" s="285">
        <v>26.42</v>
      </c>
      <c r="Z555" s="285">
        <v>24</v>
      </c>
      <c r="AA555" s="285">
        <v>770</v>
      </c>
      <c r="AB555" s="285" t="s">
        <v>1</v>
      </c>
      <c r="AC555" s="286">
        <v>408</v>
      </c>
      <c r="AD555" s="285">
        <v>26.42</v>
      </c>
      <c r="AE555" s="285">
        <v>24</v>
      </c>
      <c r="AF555" s="285">
        <v>770</v>
      </c>
      <c r="AG555" s="285" t="s">
        <v>1</v>
      </c>
      <c r="AH555" s="286" t="s">
        <v>1</v>
      </c>
      <c r="AI555" s="312" t="s">
        <v>1</v>
      </c>
      <c r="AJ555" s="312" t="s">
        <v>1</v>
      </c>
      <c r="AK555" s="312" t="s">
        <v>1</v>
      </c>
      <c r="AL555" s="286" t="s">
        <v>1</v>
      </c>
      <c r="AM555" s="288" t="s">
        <v>1</v>
      </c>
      <c r="AN555" s="289" t="s">
        <v>1</v>
      </c>
      <c r="AO555" s="289" t="s">
        <v>1</v>
      </c>
      <c r="AP555" s="286" t="s">
        <v>1</v>
      </c>
      <c r="AQ555" s="285" t="s">
        <v>1</v>
      </c>
      <c r="AR555" s="289" t="s">
        <v>1</v>
      </c>
      <c r="AS555" s="289" t="s">
        <v>1</v>
      </c>
      <c r="AT555" s="293" t="s">
        <v>1</v>
      </c>
      <c r="AU555" s="289" t="s">
        <v>1</v>
      </c>
      <c r="AV555" s="289" t="s">
        <v>1</v>
      </c>
      <c r="AW555" s="294" t="s">
        <v>1</v>
      </c>
    </row>
    <row r="556" spans="1:49" ht="30.15" customHeight="1" x14ac:dyDescent="0.25">
      <c r="A556" s="213" t="s">
        <v>18</v>
      </c>
      <c r="B556" s="189" t="s">
        <v>1</v>
      </c>
      <c r="C556" s="212" t="s">
        <v>34</v>
      </c>
      <c r="D556" s="190" t="s">
        <v>7</v>
      </c>
      <c r="E556" s="190" t="s">
        <v>1200</v>
      </c>
      <c r="F556" s="203"/>
      <c r="G556" s="190" t="s">
        <v>1207</v>
      </c>
      <c r="H556" s="192" t="s">
        <v>409</v>
      </c>
      <c r="I556" s="193">
        <v>1567.49</v>
      </c>
      <c r="J556" s="193">
        <v>1567.49</v>
      </c>
      <c r="K556" s="193">
        <v>1567.49</v>
      </c>
      <c r="L556" s="193">
        <v>2040</v>
      </c>
      <c r="M556" s="194">
        <v>2040</v>
      </c>
      <c r="N556" s="284">
        <v>408</v>
      </c>
      <c r="O556" s="285">
        <v>16.25</v>
      </c>
      <c r="P556" s="285">
        <v>24</v>
      </c>
      <c r="Q556" s="285">
        <v>770</v>
      </c>
      <c r="R556" s="285" t="s">
        <v>1</v>
      </c>
      <c r="S556" s="286">
        <v>408</v>
      </c>
      <c r="T556" s="285">
        <v>16.25</v>
      </c>
      <c r="U556" s="285">
        <v>24</v>
      </c>
      <c r="V556" s="285">
        <v>770</v>
      </c>
      <c r="W556" s="285" t="s">
        <v>1</v>
      </c>
      <c r="X556" s="286">
        <v>408</v>
      </c>
      <c r="Y556" s="285">
        <v>26.42</v>
      </c>
      <c r="Z556" s="285">
        <v>24</v>
      </c>
      <c r="AA556" s="285">
        <v>770</v>
      </c>
      <c r="AB556" s="285" t="s">
        <v>1</v>
      </c>
      <c r="AC556" s="286">
        <v>408</v>
      </c>
      <c r="AD556" s="285">
        <v>26.42</v>
      </c>
      <c r="AE556" s="285">
        <v>24</v>
      </c>
      <c r="AF556" s="285">
        <v>770</v>
      </c>
      <c r="AG556" s="285" t="s">
        <v>1</v>
      </c>
      <c r="AH556" s="286" t="s">
        <v>1</v>
      </c>
      <c r="AI556" s="312" t="s">
        <v>1</v>
      </c>
      <c r="AJ556" s="312" t="s">
        <v>1</v>
      </c>
      <c r="AK556" s="312" t="s">
        <v>1</v>
      </c>
      <c r="AL556" s="286" t="s">
        <v>1</v>
      </c>
      <c r="AM556" s="288" t="s">
        <v>1</v>
      </c>
      <c r="AN556" s="289" t="s">
        <v>1</v>
      </c>
      <c r="AO556" s="289" t="s">
        <v>1</v>
      </c>
      <c r="AP556" s="286" t="s">
        <v>1</v>
      </c>
      <c r="AQ556" s="285" t="s">
        <v>1</v>
      </c>
      <c r="AR556" s="289" t="s">
        <v>1</v>
      </c>
      <c r="AS556" s="289" t="s">
        <v>1</v>
      </c>
      <c r="AT556" s="293" t="s">
        <v>1</v>
      </c>
      <c r="AU556" s="289" t="s">
        <v>1</v>
      </c>
      <c r="AV556" s="289" t="s">
        <v>1</v>
      </c>
      <c r="AW556" s="294" t="s">
        <v>1</v>
      </c>
    </row>
    <row r="557" spans="1:49" ht="30.15" customHeight="1" x14ac:dyDescent="0.25">
      <c r="A557" s="213" t="s">
        <v>18</v>
      </c>
      <c r="B557" s="189" t="s">
        <v>1</v>
      </c>
      <c r="C557" s="212" t="s">
        <v>34</v>
      </c>
      <c r="D557" s="190" t="s">
        <v>7</v>
      </c>
      <c r="E557" s="190" t="s">
        <v>1216</v>
      </c>
      <c r="F557" s="203"/>
      <c r="G557" s="190" t="s">
        <v>1207</v>
      </c>
      <c r="H557" s="192" t="s">
        <v>7</v>
      </c>
      <c r="I557" s="193">
        <v>1567.49</v>
      </c>
      <c r="J557" s="193">
        <v>1567.49</v>
      </c>
      <c r="K557" s="193">
        <v>1567.49</v>
      </c>
      <c r="L557" s="193">
        <v>2040</v>
      </c>
      <c r="M557" s="194">
        <v>2040</v>
      </c>
      <c r="N557" s="284">
        <v>408</v>
      </c>
      <c r="O557" s="285">
        <v>16.25</v>
      </c>
      <c r="P557" s="285">
        <v>24</v>
      </c>
      <c r="Q557" s="285">
        <v>770</v>
      </c>
      <c r="R557" s="285" t="s">
        <v>1</v>
      </c>
      <c r="S557" s="286">
        <v>408</v>
      </c>
      <c r="T557" s="285">
        <v>16.25</v>
      </c>
      <c r="U557" s="285">
        <v>24</v>
      </c>
      <c r="V557" s="285">
        <v>770</v>
      </c>
      <c r="W557" s="285" t="s">
        <v>1</v>
      </c>
      <c r="X557" s="286">
        <v>408</v>
      </c>
      <c r="Y557" s="285">
        <v>26.42</v>
      </c>
      <c r="Z557" s="285">
        <v>24</v>
      </c>
      <c r="AA557" s="285">
        <v>770</v>
      </c>
      <c r="AB557" s="285" t="s">
        <v>1</v>
      </c>
      <c r="AC557" s="286">
        <v>408</v>
      </c>
      <c r="AD557" s="285">
        <v>26.42</v>
      </c>
      <c r="AE557" s="285">
        <v>24</v>
      </c>
      <c r="AF557" s="285">
        <v>770</v>
      </c>
      <c r="AG557" s="285" t="s">
        <v>1</v>
      </c>
      <c r="AH557" s="286" t="s">
        <v>1</v>
      </c>
      <c r="AI557" s="312" t="s">
        <v>1</v>
      </c>
      <c r="AJ557" s="312" t="s">
        <v>1</v>
      </c>
      <c r="AK557" s="312" t="s">
        <v>1</v>
      </c>
      <c r="AL557" s="286" t="s">
        <v>1</v>
      </c>
      <c r="AM557" s="288" t="s">
        <v>1</v>
      </c>
      <c r="AN557" s="289" t="s">
        <v>1</v>
      </c>
      <c r="AO557" s="289" t="s">
        <v>1</v>
      </c>
      <c r="AP557" s="286" t="s">
        <v>1</v>
      </c>
      <c r="AQ557" s="285" t="s">
        <v>1</v>
      </c>
      <c r="AR557" s="289" t="s">
        <v>1</v>
      </c>
      <c r="AS557" s="289" t="s">
        <v>1</v>
      </c>
      <c r="AT557" s="293" t="s">
        <v>1</v>
      </c>
      <c r="AU557" s="289" t="s">
        <v>1</v>
      </c>
      <c r="AV557" s="289" t="s">
        <v>1</v>
      </c>
      <c r="AW557" s="294" t="s">
        <v>1</v>
      </c>
    </row>
    <row r="558" spans="1:49" ht="30.15" customHeight="1" x14ac:dyDescent="0.25">
      <c r="A558" s="213" t="s">
        <v>18</v>
      </c>
      <c r="B558" s="189" t="s">
        <v>1</v>
      </c>
      <c r="C558" s="212" t="s">
        <v>34</v>
      </c>
      <c r="D558" s="190" t="s">
        <v>7</v>
      </c>
      <c r="E558" s="190" t="s">
        <v>1217</v>
      </c>
      <c r="F558" s="203"/>
      <c r="G558" s="190" t="s">
        <v>1207</v>
      </c>
      <c r="H558" s="192" t="s">
        <v>7</v>
      </c>
      <c r="I558" s="193">
        <v>1567.49</v>
      </c>
      <c r="J558" s="193">
        <v>1567.49</v>
      </c>
      <c r="K558" s="193">
        <v>1567.49</v>
      </c>
      <c r="L558" s="193">
        <v>2040</v>
      </c>
      <c r="M558" s="194">
        <v>2040</v>
      </c>
      <c r="N558" s="284">
        <v>408</v>
      </c>
      <c r="O558" s="285">
        <v>16.25</v>
      </c>
      <c r="P558" s="285">
        <v>24</v>
      </c>
      <c r="Q558" s="285">
        <v>770</v>
      </c>
      <c r="R558" s="285" t="s">
        <v>1</v>
      </c>
      <c r="S558" s="286">
        <v>408</v>
      </c>
      <c r="T558" s="285">
        <v>16.25</v>
      </c>
      <c r="U558" s="285">
        <v>24</v>
      </c>
      <c r="V558" s="285">
        <v>770</v>
      </c>
      <c r="W558" s="285" t="s">
        <v>1</v>
      </c>
      <c r="X558" s="286">
        <v>408</v>
      </c>
      <c r="Y558" s="285">
        <v>26.42</v>
      </c>
      <c r="Z558" s="285">
        <v>24</v>
      </c>
      <c r="AA558" s="285">
        <v>770</v>
      </c>
      <c r="AB558" s="285" t="s">
        <v>1</v>
      </c>
      <c r="AC558" s="286">
        <v>408</v>
      </c>
      <c r="AD558" s="285">
        <v>26.42</v>
      </c>
      <c r="AE558" s="285">
        <v>24</v>
      </c>
      <c r="AF558" s="285">
        <v>770</v>
      </c>
      <c r="AG558" s="285" t="s">
        <v>1</v>
      </c>
      <c r="AH558" s="286" t="s">
        <v>1</v>
      </c>
      <c r="AI558" s="312" t="s">
        <v>1</v>
      </c>
      <c r="AJ558" s="312" t="s">
        <v>1</v>
      </c>
      <c r="AK558" s="312" t="s">
        <v>1</v>
      </c>
      <c r="AL558" s="286" t="s">
        <v>1</v>
      </c>
      <c r="AM558" s="288" t="s">
        <v>1</v>
      </c>
      <c r="AN558" s="289" t="s">
        <v>1</v>
      </c>
      <c r="AO558" s="289" t="s">
        <v>1</v>
      </c>
      <c r="AP558" s="286" t="s">
        <v>1</v>
      </c>
      <c r="AQ558" s="285" t="s">
        <v>1</v>
      </c>
      <c r="AR558" s="289" t="s">
        <v>1</v>
      </c>
      <c r="AS558" s="289" t="s">
        <v>1</v>
      </c>
      <c r="AT558" s="293" t="s">
        <v>1</v>
      </c>
      <c r="AU558" s="289" t="s">
        <v>1</v>
      </c>
      <c r="AV558" s="289" t="s">
        <v>1</v>
      </c>
      <c r="AW558" s="294" t="s">
        <v>1</v>
      </c>
    </row>
    <row r="559" spans="1:49" ht="30.15" customHeight="1" x14ac:dyDescent="0.25">
      <c r="A559" s="213" t="s">
        <v>18</v>
      </c>
      <c r="B559" s="189" t="s">
        <v>1</v>
      </c>
      <c r="C559" s="212" t="s">
        <v>34</v>
      </c>
      <c r="D559" s="190" t="s">
        <v>7</v>
      </c>
      <c r="E559" s="190" t="s">
        <v>1218</v>
      </c>
      <c r="F559" s="203"/>
      <c r="G559" s="190" t="s">
        <v>1207</v>
      </c>
      <c r="H559" s="192" t="s">
        <v>7</v>
      </c>
      <c r="I559" s="193">
        <v>1567.49</v>
      </c>
      <c r="J559" s="193">
        <v>1567.49</v>
      </c>
      <c r="K559" s="193">
        <v>1567.49</v>
      </c>
      <c r="L559" s="193">
        <v>2040</v>
      </c>
      <c r="M559" s="194">
        <v>2040</v>
      </c>
      <c r="N559" s="284">
        <v>408</v>
      </c>
      <c r="O559" s="285">
        <v>16.25</v>
      </c>
      <c r="P559" s="285">
        <v>24</v>
      </c>
      <c r="Q559" s="285">
        <v>770</v>
      </c>
      <c r="R559" s="285" t="s">
        <v>1</v>
      </c>
      <c r="S559" s="286">
        <v>408</v>
      </c>
      <c r="T559" s="285">
        <v>16.25</v>
      </c>
      <c r="U559" s="285">
        <v>24</v>
      </c>
      <c r="V559" s="285">
        <v>770</v>
      </c>
      <c r="W559" s="285" t="s">
        <v>1</v>
      </c>
      <c r="X559" s="286">
        <v>408</v>
      </c>
      <c r="Y559" s="285">
        <v>26.42</v>
      </c>
      <c r="Z559" s="285">
        <v>24</v>
      </c>
      <c r="AA559" s="285">
        <v>770</v>
      </c>
      <c r="AB559" s="285" t="s">
        <v>1</v>
      </c>
      <c r="AC559" s="286">
        <v>408</v>
      </c>
      <c r="AD559" s="285">
        <v>26.42</v>
      </c>
      <c r="AE559" s="285">
        <v>24</v>
      </c>
      <c r="AF559" s="285">
        <v>770</v>
      </c>
      <c r="AG559" s="285" t="s">
        <v>1</v>
      </c>
      <c r="AH559" s="286" t="s">
        <v>1</v>
      </c>
      <c r="AI559" s="312" t="s">
        <v>1</v>
      </c>
      <c r="AJ559" s="312" t="s">
        <v>1</v>
      </c>
      <c r="AK559" s="312" t="s">
        <v>1</v>
      </c>
      <c r="AL559" s="286" t="s">
        <v>1</v>
      </c>
      <c r="AM559" s="288" t="s">
        <v>1</v>
      </c>
      <c r="AN559" s="289" t="s">
        <v>1</v>
      </c>
      <c r="AO559" s="289" t="s">
        <v>1</v>
      </c>
      <c r="AP559" s="286" t="s">
        <v>1</v>
      </c>
      <c r="AQ559" s="285" t="s">
        <v>1</v>
      </c>
      <c r="AR559" s="289" t="s">
        <v>1</v>
      </c>
      <c r="AS559" s="289" t="s">
        <v>1</v>
      </c>
      <c r="AT559" s="293" t="s">
        <v>1</v>
      </c>
      <c r="AU559" s="289" t="s">
        <v>1</v>
      </c>
      <c r="AV559" s="289" t="s">
        <v>1</v>
      </c>
      <c r="AW559" s="294" t="s">
        <v>1</v>
      </c>
    </row>
    <row r="560" spans="1:49" ht="30.15" customHeight="1" x14ac:dyDescent="0.25">
      <c r="A560" s="213" t="s">
        <v>18</v>
      </c>
      <c r="B560" s="189" t="s">
        <v>1</v>
      </c>
      <c r="C560" s="212" t="s">
        <v>34</v>
      </c>
      <c r="D560" s="190" t="s">
        <v>7</v>
      </c>
      <c r="E560" s="190" t="s">
        <v>1201</v>
      </c>
      <c r="F560" s="203"/>
      <c r="G560" s="190" t="s">
        <v>1208</v>
      </c>
      <c r="H560" s="192" t="s">
        <v>409</v>
      </c>
      <c r="I560" s="193">
        <v>1633.99</v>
      </c>
      <c r="J560" s="193">
        <v>1633.99</v>
      </c>
      <c r="K560" s="193">
        <v>1633.99</v>
      </c>
      <c r="L560" s="193">
        <v>2125</v>
      </c>
      <c r="M560" s="194">
        <v>2125</v>
      </c>
      <c r="N560" s="284">
        <v>425</v>
      </c>
      <c r="O560" s="285">
        <v>16.880000000000003</v>
      </c>
      <c r="P560" s="285">
        <v>24</v>
      </c>
      <c r="Q560" s="285">
        <v>780</v>
      </c>
      <c r="R560" s="285" t="s">
        <v>1</v>
      </c>
      <c r="S560" s="286">
        <v>425</v>
      </c>
      <c r="T560" s="285">
        <v>16.880000000000003</v>
      </c>
      <c r="U560" s="285">
        <v>24</v>
      </c>
      <c r="V560" s="285">
        <v>780</v>
      </c>
      <c r="W560" s="285" t="s">
        <v>1</v>
      </c>
      <c r="X560" s="286">
        <v>425</v>
      </c>
      <c r="Y560" s="285">
        <v>26.88</v>
      </c>
      <c r="Z560" s="285">
        <v>24</v>
      </c>
      <c r="AA560" s="285">
        <v>780</v>
      </c>
      <c r="AB560" s="285" t="s">
        <v>1</v>
      </c>
      <c r="AC560" s="286">
        <v>425</v>
      </c>
      <c r="AD560" s="285">
        <v>26.88</v>
      </c>
      <c r="AE560" s="285">
        <v>24</v>
      </c>
      <c r="AF560" s="285">
        <v>780</v>
      </c>
      <c r="AG560" s="285" t="s">
        <v>1</v>
      </c>
      <c r="AH560" s="286" t="s">
        <v>1</v>
      </c>
      <c r="AI560" s="312" t="s">
        <v>1</v>
      </c>
      <c r="AJ560" s="312" t="s">
        <v>1</v>
      </c>
      <c r="AK560" s="312" t="s">
        <v>1</v>
      </c>
      <c r="AL560" s="286" t="s">
        <v>1</v>
      </c>
      <c r="AM560" s="288" t="s">
        <v>1</v>
      </c>
      <c r="AN560" s="289" t="s">
        <v>1</v>
      </c>
      <c r="AO560" s="289" t="s">
        <v>1</v>
      </c>
      <c r="AP560" s="286" t="s">
        <v>1</v>
      </c>
      <c r="AQ560" s="285" t="s">
        <v>1</v>
      </c>
      <c r="AR560" s="289" t="s">
        <v>1</v>
      </c>
      <c r="AS560" s="289" t="s">
        <v>1</v>
      </c>
      <c r="AT560" s="293" t="s">
        <v>1</v>
      </c>
      <c r="AU560" s="289" t="s">
        <v>1</v>
      </c>
      <c r="AV560" s="289" t="s">
        <v>1</v>
      </c>
      <c r="AW560" s="294" t="s">
        <v>1</v>
      </c>
    </row>
    <row r="561" spans="1:49" ht="30.15" customHeight="1" x14ac:dyDescent="0.25">
      <c r="A561" s="213" t="s">
        <v>18</v>
      </c>
      <c r="B561" s="189" t="s">
        <v>1</v>
      </c>
      <c r="C561" s="212" t="s">
        <v>34</v>
      </c>
      <c r="D561" s="190" t="s">
        <v>7</v>
      </c>
      <c r="E561" s="190" t="s">
        <v>1219</v>
      </c>
      <c r="F561" s="203"/>
      <c r="G561" s="190" t="s">
        <v>1208</v>
      </c>
      <c r="H561" s="192" t="s">
        <v>7</v>
      </c>
      <c r="I561" s="193">
        <v>1633.99</v>
      </c>
      <c r="J561" s="193">
        <v>1633.99</v>
      </c>
      <c r="K561" s="193">
        <v>1633.99</v>
      </c>
      <c r="L561" s="193">
        <v>2125</v>
      </c>
      <c r="M561" s="194">
        <v>2125</v>
      </c>
      <c r="N561" s="284">
        <v>425</v>
      </c>
      <c r="O561" s="285">
        <v>16.880000000000003</v>
      </c>
      <c r="P561" s="285">
        <v>24</v>
      </c>
      <c r="Q561" s="285">
        <v>780</v>
      </c>
      <c r="R561" s="285" t="s">
        <v>1</v>
      </c>
      <c r="S561" s="286">
        <v>425</v>
      </c>
      <c r="T561" s="285">
        <v>16.880000000000003</v>
      </c>
      <c r="U561" s="285">
        <v>24</v>
      </c>
      <c r="V561" s="285">
        <v>780</v>
      </c>
      <c r="W561" s="285" t="s">
        <v>1</v>
      </c>
      <c r="X561" s="286">
        <v>425</v>
      </c>
      <c r="Y561" s="285">
        <v>26.88</v>
      </c>
      <c r="Z561" s="285">
        <v>24</v>
      </c>
      <c r="AA561" s="285">
        <v>780</v>
      </c>
      <c r="AB561" s="285" t="s">
        <v>1</v>
      </c>
      <c r="AC561" s="286">
        <v>425</v>
      </c>
      <c r="AD561" s="285">
        <v>26.88</v>
      </c>
      <c r="AE561" s="285">
        <v>24</v>
      </c>
      <c r="AF561" s="285">
        <v>780</v>
      </c>
      <c r="AG561" s="285" t="s">
        <v>1</v>
      </c>
      <c r="AH561" s="286" t="s">
        <v>1</v>
      </c>
      <c r="AI561" s="312" t="s">
        <v>1</v>
      </c>
      <c r="AJ561" s="312" t="s">
        <v>1</v>
      </c>
      <c r="AK561" s="312" t="s">
        <v>1</v>
      </c>
      <c r="AL561" s="286" t="s">
        <v>1</v>
      </c>
      <c r="AM561" s="288" t="s">
        <v>1</v>
      </c>
      <c r="AN561" s="289" t="s">
        <v>1</v>
      </c>
      <c r="AO561" s="289" t="s">
        <v>1</v>
      </c>
      <c r="AP561" s="286" t="s">
        <v>1</v>
      </c>
      <c r="AQ561" s="285" t="s">
        <v>1</v>
      </c>
      <c r="AR561" s="289" t="s">
        <v>1</v>
      </c>
      <c r="AS561" s="289" t="s">
        <v>1</v>
      </c>
      <c r="AT561" s="293" t="s">
        <v>1</v>
      </c>
      <c r="AU561" s="289" t="s">
        <v>1</v>
      </c>
      <c r="AV561" s="289" t="s">
        <v>1</v>
      </c>
      <c r="AW561" s="294" t="s">
        <v>1</v>
      </c>
    </row>
    <row r="562" spans="1:49" ht="30.15" customHeight="1" x14ac:dyDescent="0.25">
      <c r="A562" s="213" t="s">
        <v>18</v>
      </c>
      <c r="B562" s="189" t="s">
        <v>1</v>
      </c>
      <c r="C562" s="212" t="s">
        <v>34</v>
      </c>
      <c r="D562" s="190" t="s">
        <v>7</v>
      </c>
      <c r="E562" s="190" t="s">
        <v>1220</v>
      </c>
      <c r="F562" s="203"/>
      <c r="G562" s="190" t="s">
        <v>1208</v>
      </c>
      <c r="H562" s="192" t="s">
        <v>7</v>
      </c>
      <c r="I562" s="193">
        <v>1633.99</v>
      </c>
      <c r="J562" s="193">
        <v>1633.99</v>
      </c>
      <c r="K562" s="193">
        <v>1633.99</v>
      </c>
      <c r="L562" s="193">
        <v>2125</v>
      </c>
      <c r="M562" s="194">
        <v>2125</v>
      </c>
      <c r="N562" s="284">
        <v>425</v>
      </c>
      <c r="O562" s="285">
        <v>16.880000000000003</v>
      </c>
      <c r="P562" s="285">
        <v>24</v>
      </c>
      <c r="Q562" s="285">
        <v>780</v>
      </c>
      <c r="R562" s="285" t="s">
        <v>1</v>
      </c>
      <c r="S562" s="286">
        <v>425</v>
      </c>
      <c r="T562" s="285">
        <v>16.880000000000003</v>
      </c>
      <c r="U562" s="285">
        <v>24</v>
      </c>
      <c r="V562" s="285">
        <v>780</v>
      </c>
      <c r="W562" s="285" t="s">
        <v>1</v>
      </c>
      <c r="X562" s="286">
        <v>425</v>
      </c>
      <c r="Y562" s="285">
        <v>26.88</v>
      </c>
      <c r="Z562" s="285">
        <v>24</v>
      </c>
      <c r="AA562" s="285">
        <v>780</v>
      </c>
      <c r="AB562" s="285" t="s">
        <v>1</v>
      </c>
      <c r="AC562" s="286">
        <v>425</v>
      </c>
      <c r="AD562" s="285">
        <v>26.88</v>
      </c>
      <c r="AE562" s="285">
        <v>24</v>
      </c>
      <c r="AF562" s="285">
        <v>780</v>
      </c>
      <c r="AG562" s="285" t="s">
        <v>1</v>
      </c>
      <c r="AH562" s="286" t="s">
        <v>1</v>
      </c>
      <c r="AI562" s="312" t="s">
        <v>1</v>
      </c>
      <c r="AJ562" s="312" t="s">
        <v>1</v>
      </c>
      <c r="AK562" s="312" t="s">
        <v>1</v>
      </c>
      <c r="AL562" s="286" t="s">
        <v>1</v>
      </c>
      <c r="AM562" s="288" t="s">
        <v>1</v>
      </c>
      <c r="AN562" s="289" t="s">
        <v>1</v>
      </c>
      <c r="AO562" s="289" t="s">
        <v>1</v>
      </c>
      <c r="AP562" s="286" t="s">
        <v>1</v>
      </c>
      <c r="AQ562" s="285" t="s">
        <v>1</v>
      </c>
      <c r="AR562" s="289" t="s">
        <v>1</v>
      </c>
      <c r="AS562" s="289" t="s">
        <v>1</v>
      </c>
      <c r="AT562" s="293" t="s">
        <v>1</v>
      </c>
      <c r="AU562" s="289" t="s">
        <v>1</v>
      </c>
      <c r="AV562" s="289" t="s">
        <v>1</v>
      </c>
      <c r="AW562" s="294" t="s">
        <v>1</v>
      </c>
    </row>
    <row r="563" spans="1:49" ht="30.15" customHeight="1" x14ac:dyDescent="0.25">
      <c r="A563" s="213" t="s">
        <v>18</v>
      </c>
      <c r="B563" s="189" t="s">
        <v>1</v>
      </c>
      <c r="C563" s="212" t="s">
        <v>34</v>
      </c>
      <c r="D563" s="190" t="s">
        <v>7</v>
      </c>
      <c r="E563" s="190" t="s">
        <v>1221</v>
      </c>
      <c r="F563" s="203"/>
      <c r="G563" s="190" t="s">
        <v>1208</v>
      </c>
      <c r="H563" s="192" t="s">
        <v>7</v>
      </c>
      <c r="I563" s="193">
        <v>1633.99</v>
      </c>
      <c r="J563" s="193">
        <v>1633.99</v>
      </c>
      <c r="K563" s="193">
        <v>1633.99</v>
      </c>
      <c r="L563" s="193">
        <v>2125</v>
      </c>
      <c r="M563" s="194">
        <v>2125</v>
      </c>
      <c r="N563" s="284">
        <v>425</v>
      </c>
      <c r="O563" s="285">
        <v>16.880000000000003</v>
      </c>
      <c r="P563" s="285">
        <v>24</v>
      </c>
      <c r="Q563" s="285">
        <v>780</v>
      </c>
      <c r="R563" s="285" t="s">
        <v>1</v>
      </c>
      <c r="S563" s="286">
        <v>425</v>
      </c>
      <c r="T563" s="285">
        <v>16.880000000000003</v>
      </c>
      <c r="U563" s="285">
        <v>24</v>
      </c>
      <c r="V563" s="285">
        <v>780</v>
      </c>
      <c r="W563" s="285" t="s">
        <v>1</v>
      </c>
      <c r="X563" s="286">
        <v>425</v>
      </c>
      <c r="Y563" s="285">
        <v>26.88</v>
      </c>
      <c r="Z563" s="285">
        <v>24</v>
      </c>
      <c r="AA563" s="285">
        <v>780</v>
      </c>
      <c r="AB563" s="285" t="s">
        <v>1</v>
      </c>
      <c r="AC563" s="286">
        <v>425</v>
      </c>
      <c r="AD563" s="285">
        <v>26.88</v>
      </c>
      <c r="AE563" s="285">
        <v>24</v>
      </c>
      <c r="AF563" s="285">
        <v>780</v>
      </c>
      <c r="AG563" s="285" t="s">
        <v>1</v>
      </c>
      <c r="AH563" s="286" t="s">
        <v>1</v>
      </c>
      <c r="AI563" s="312" t="s">
        <v>1</v>
      </c>
      <c r="AJ563" s="312" t="s">
        <v>1</v>
      </c>
      <c r="AK563" s="312" t="s">
        <v>1</v>
      </c>
      <c r="AL563" s="286" t="s">
        <v>1</v>
      </c>
      <c r="AM563" s="288" t="s">
        <v>1</v>
      </c>
      <c r="AN563" s="289" t="s">
        <v>1</v>
      </c>
      <c r="AO563" s="289" t="s">
        <v>1</v>
      </c>
      <c r="AP563" s="286" t="s">
        <v>1</v>
      </c>
      <c r="AQ563" s="285" t="s">
        <v>1</v>
      </c>
      <c r="AR563" s="289" t="s">
        <v>1</v>
      </c>
      <c r="AS563" s="289" t="s">
        <v>1</v>
      </c>
      <c r="AT563" s="293" t="s">
        <v>1</v>
      </c>
      <c r="AU563" s="289" t="s">
        <v>1</v>
      </c>
      <c r="AV563" s="289" t="s">
        <v>1</v>
      </c>
      <c r="AW563" s="294" t="s">
        <v>1</v>
      </c>
    </row>
    <row r="564" spans="1:49" ht="30.15" customHeight="1" x14ac:dyDescent="0.25">
      <c r="A564" s="213" t="s">
        <v>18</v>
      </c>
      <c r="B564" s="189" t="s">
        <v>1</v>
      </c>
      <c r="C564" s="212" t="s">
        <v>34</v>
      </c>
      <c r="D564" s="190" t="s">
        <v>7</v>
      </c>
      <c r="E564" s="190" t="s">
        <v>1202</v>
      </c>
      <c r="F564" s="203"/>
      <c r="G564" s="190" t="s">
        <v>1209</v>
      </c>
      <c r="H564" s="192" t="s">
        <v>409</v>
      </c>
      <c r="I564" s="193">
        <v>1795.49</v>
      </c>
      <c r="J564" s="193">
        <v>1795.49</v>
      </c>
      <c r="K564" s="193">
        <v>1795.49</v>
      </c>
      <c r="L564" s="193">
        <v>2335</v>
      </c>
      <c r="M564" s="194">
        <v>2335</v>
      </c>
      <c r="N564" s="284">
        <v>467</v>
      </c>
      <c r="O564" s="285">
        <v>18.55</v>
      </c>
      <c r="P564" s="285">
        <v>24</v>
      </c>
      <c r="Q564" s="285">
        <v>820</v>
      </c>
      <c r="R564" s="285" t="s">
        <v>1</v>
      </c>
      <c r="S564" s="286">
        <v>467</v>
      </c>
      <c r="T564" s="285">
        <v>18.55</v>
      </c>
      <c r="U564" s="285">
        <v>24</v>
      </c>
      <c r="V564" s="285">
        <v>820</v>
      </c>
      <c r="W564" s="285" t="s">
        <v>1</v>
      </c>
      <c r="X564" s="286">
        <v>467</v>
      </c>
      <c r="Y564" s="285">
        <v>28.55</v>
      </c>
      <c r="Z564" s="285">
        <v>24</v>
      </c>
      <c r="AA564" s="285">
        <v>820</v>
      </c>
      <c r="AB564" s="285" t="s">
        <v>1</v>
      </c>
      <c r="AC564" s="286">
        <v>467</v>
      </c>
      <c r="AD564" s="285">
        <v>28.55</v>
      </c>
      <c r="AE564" s="285">
        <v>24</v>
      </c>
      <c r="AF564" s="285">
        <v>820</v>
      </c>
      <c r="AG564" s="285" t="s">
        <v>1</v>
      </c>
      <c r="AH564" s="286" t="s">
        <v>1</v>
      </c>
      <c r="AI564" s="312" t="s">
        <v>1</v>
      </c>
      <c r="AJ564" s="312" t="s">
        <v>1</v>
      </c>
      <c r="AK564" s="312" t="s">
        <v>1</v>
      </c>
      <c r="AL564" s="286" t="s">
        <v>1</v>
      </c>
      <c r="AM564" s="288" t="s">
        <v>1</v>
      </c>
      <c r="AN564" s="289" t="s">
        <v>1</v>
      </c>
      <c r="AO564" s="289" t="s">
        <v>1</v>
      </c>
      <c r="AP564" s="286" t="s">
        <v>1</v>
      </c>
      <c r="AQ564" s="285" t="s">
        <v>1</v>
      </c>
      <c r="AR564" s="289" t="s">
        <v>1</v>
      </c>
      <c r="AS564" s="289" t="s">
        <v>1</v>
      </c>
      <c r="AT564" s="293" t="s">
        <v>1</v>
      </c>
      <c r="AU564" s="289" t="s">
        <v>1</v>
      </c>
      <c r="AV564" s="289" t="s">
        <v>1</v>
      </c>
      <c r="AW564" s="294" t="s">
        <v>1</v>
      </c>
    </row>
    <row r="565" spans="1:49" ht="30.15" customHeight="1" x14ac:dyDescent="0.25">
      <c r="A565" s="213" t="s">
        <v>18</v>
      </c>
      <c r="B565" s="189" t="s">
        <v>1</v>
      </c>
      <c r="C565" s="212" t="s">
        <v>34</v>
      </c>
      <c r="D565" s="190" t="s">
        <v>7</v>
      </c>
      <c r="E565" s="190" t="s">
        <v>1222</v>
      </c>
      <c r="F565" s="203"/>
      <c r="G565" s="190" t="s">
        <v>1209</v>
      </c>
      <c r="H565" s="192" t="s">
        <v>7</v>
      </c>
      <c r="I565" s="193">
        <v>1795.49</v>
      </c>
      <c r="J565" s="193">
        <v>1795.49</v>
      </c>
      <c r="K565" s="193">
        <v>1795.49</v>
      </c>
      <c r="L565" s="193">
        <v>2335</v>
      </c>
      <c r="M565" s="194">
        <v>2335</v>
      </c>
      <c r="N565" s="284">
        <v>467</v>
      </c>
      <c r="O565" s="285">
        <v>18.55</v>
      </c>
      <c r="P565" s="285">
        <v>24</v>
      </c>
      <c r="Q565" s="285">
        <v>820</v>
      </c>
      <c r="R565" s="285" t="s">
        <v>1</v>
      </c>
      <c r="S565" s="286">
        <v>467</v>
      </c>
      <c r="T565" s="285">
        <v>18.55</v>
      </c>
      <c r="U565" s="285">
        <v>24</v>
      </c>
      <c r="V565" s="285">
        <v>820</v>
      </c>
      <c r="W565" s="285" t="s">
        <v>1</v>
      </c>
      <c r="X565" s="286">
        <v>467</v>
      </c>
      <c r="Y565" s="285">
        <v>28.55</v>
      </c>
      <c r="Z565" s="285">
        <v>24</v>
      </c>
      <c r="AA565" s="285">
        <v>820</v>
      </c>
      <c r="AB565" s="285" t="s">
        <v>1</v>
      </c>
      <c r="AC565" s="286">
        <v>467</v>
      </c>
      <c r="AD565" s="285">
        <v>28.55</v>
      </c>
      <c r="AE565" s="285">
        <v>24</v>
      </c>
      <c r="AF565" s="285">
        <v>820</v>
      </c>
      <c r="AG565" s="285" t="s">
        <v>1</v>
      </c>
      <c r="AH565" s="286" t="s">
        <v>1</v>
      </c>
      <c r="AI565" s="312" t="s">
        <v>1</v>
      </c>
      <c r="AJ565" s="312" t="s">
        <v>1</v>
      </c>
      <c r="AK565" s="312" t="s">
        <v>1</v>
      </c>
      <c r="AL565" s="286" t="s">
        <v>1</v>
      </c>
      <c r="AM565" s="288" t="s">
        <v>1</v>
      </c>
      <c r="AN565" s="289" t="s">
        <v>1</v>
      </c>
      <c r="AO565" s="289" t="s">
        <v>1</v>
      </c>
      <c r="AP565" s="286" t="s">
        <v>1</v>
      </c>
      <c r="AQ565" s="285" t="s">
        <v>1</v>
      </c>
      <c r="AR565" s="289" t="s">
        <v>1</v>
      </c>
      <c r="AS565" s="289" t="s">
        <v>1</v>
      </c>
      <c r="AT565" s="293" t="s">
        <v>1</v>
      </c>
      <c r="AU565" s="289" t="s">
        <v>1</v>
      </c>
      <c r="AV565" s="289" t="s">
        <v>1</v>
      </c>
      <c r="AW565" s="294" t="s">
        <v>1</v>
      </c>
    </row>
    <row r="566" spans="1:49" ht="30.15" customHeight="1" x14ac:dyDescent="0.25">
      <c r="A566" s="213" t="s">
        <v>18</v>
      </c>
      <c r="B566" s="189" t="s">
        <v>1</v>
      </c>
      <c r="C566" s="212" t="s">
        <v>34</v>
      </c>
      <c r="D566" s="190" t="s">
        <v>7</v>
      </c>
      <c r="E566" s="190" t="s">
        <v>1223</v>
      </c>
      <c r="F566" s="203"/>
      <c r="G566" s="190" t="s">
        <v>1209</v>
      </c>
      <c r="H566" s="192" t="s">
        <v>7</v>
      </c>
      <c r="I566" s="193">
        <v>1795.49</v>
      </c>
      <c r="J566" s="193">
        <v>1795.49</v>
      </c>
      <c r="K566" s="193">
        <v>1795.49</v>
      </c>
      <c r="L566" s="193">
        <v>2335</v>
      </c>
      <c r="M566" s="194">
        <v>2335</v>
      </c>
      <c r="N566" s="284">
        <v>467</v>
      </c>
      <c r="O566" s="285">
        <v>18.55</v>
      </c>
      <c r="P566" s="285">
        <v>24</v>
      </c>
      <c r="Q566" s="285">
        <v>820</v>
      </c>
      <c r="R566" s="285" t="s">
        <v>1</v>
      </c>
      <c r="S566" s="286">
        <v>467</v>
      </c>
      <c r="T566" s="285">
        <v>18.55</v>
      </c>
      <c r="U566" s="285">
        <v>24</v>
      </c>
      <c r="V566" s="285">
        <v>820</v>
      </c>
      <c r="W566" s="285" t="s">
        <v>1</v>
      </c>
      <c r="X566" s="286">
        <v>467</v>
      </c>
      <c r="Y566" s="285">
        <v>28.55</v>
      </c>
      <c r="Z566" s="285">
        <v>24</v>
      </c>
      <c r="AA566" s="285">
        <v>820</v>
      </c>
      <c r="AB566" s="285" t="s">
        <v>1</v>
      </c>
      <c r="AC566" s="286">
        <v>467</v>
      </c>
      <c r="AD566" s="285">
        <v>28.55</v>
      </c>
      <c r="AE566" s="285">
        <v>24</v>
      </c>
      <c r="AF566" s="285">
        <v>820</v>
      </c>
      <c r="AG566" s="285" t="s">
        <v>1</v>
      </c>
      <c r="AH566" s="286" t="s">
        <v>1</v>
      </c>
      <c r="AI566" s="312" t="s">
        <v>1</v>
      </c>
      <c r="AJ566" s="312" t="s">
        <v>1</v>
      </c>
      <c r="AK566" s="312" t="s">
        <v>1</v>
      </c>
      <c r="AL566" s="286" t="s">
        <v>1</v>
      </c>
      <c r="AM566" s="288" t="s">
        <v>1</v>
      </c>
      <c r="AN566" s="289" t="s">
        <v>1</v>
      </c>
      <c r="AO566" s="289" t="s">
        <v>1</v>
      </c>
      <c r="AP566" s="286" t="s">
        <v>1</v>
      </c>
      <c r="AQ566" s="285" t="s">
        <v>1</v>
      </c>
      <c r="AR566" s="289" t="s">
        <v>1</v>
      </c>
      <c r="AS566" s="289" t="s">
        <v>1</v>
      </c>
      <c r="AT566" s="293" t="s">
        <v>1</v>
      </c>
      <c r="AU566" s="289" t="s">
        <v>1</v>
      </c>
      <c r="AV566" s="289" t="s">
        <v>1</v>
      </c>
      <c r="AW566" s="294" t="s">
        <v>1</v>
      </c>
    </row>
    <row r="567" spans="1:49" ht="30.15" customHeight="1" x14ac:dyDescent="0.25">
      <c r="A567" s="213" t="s">
        <v>18</v>
      </c>
      <c r="B567" s="189" t="s">
        <v>1</v>
      </c>
      <c r="C567" s="212" t="s">
        <v>34</v>
      </c>
      <c r="D567" s="190" t="s">
        <v>7</v>
      </c>
      <c r="E567" s="190" t="s">
        <v>1224</v>
      </c>
      <c r="F567" s="203"/>
      <c r="G567" s="190" t="s">
        <v>1209</v>
      </c>
      <c r="H567" s="192" t="s">
        <v>7</v>
      </c>
      <c r="I567" s="193">
        <v>1795.49</v>
      </c>
      <c r="J567" s="193">
        <v>1795.49</v>
      </c>
      <c r="K567" s="193">
        <v>1795.49</v>
      </c>
      <c r="L567" s="193">
        <v>2335</v>
      </c>
      <c r="M567" s="194">
        <v>2335</v>
      </c>
      <c r="N567" s="284">
        <v>467</v>
      </c>
      <c r="O567" s="285">
        <v>18.55</v>
      </c>
      <c r="P567" s="285">
        <v>24</v>
      </c>
      <c r="Q567" s="285">
        <v>820</v>
      </c>
      <c r="R567" s="285" t="s">
        <v>1</v>
      </c>
      <c r="S567" s="286">
        <v>467</v>
      </c>
      <c r="T567" s="285">
        <v>18.55</v>
      </c>
      <c r="U567" s="285">
        <v>24</v>
      </c>
      <c r="V567" s="285">
        <v>820</v>
      </c>
      <c r="W567" s="285" t="s">
        <v>1</v>
      </c>
      <c r="X567" s="286">
        <v>467</v>
      </c>
      <c r="Y567" s="285">
        <v>28.55</v>
      </c>
      <c r="Z567" s="285">
        <v>24</v>
      </c>
      <c r="AA567" s="285">
        <v>820</v>
      </c>
      <c r="AB567" s="285" t="s">
        <v>1</v>
      </c>
      <c r="AC567" s="286">
        <v>467</v>
      </c>
      <c r="AD567" s="285">
        <v>28.55</v>
      </c>
      <c r="AE567" s="285">
        <v>24</v>
      </c>
      <c r="AF567" s="285">
        <v>820</v>
      </c>
      <c r="AG567" s="285" t="s">
        <v>1</v>
      </c>
      <c r="AH567" s="286" t="s">
        <v>1</v>
      </c>
      <c r="AI567" s="312" t="s">
        <v>1</v>
      </c>
      <c r="AJ567" s="312" t="s">
        <v>1</v>
      </c>
      <c r="AK567" s="312" t="s">
        <v>1</v>
      </c>
      <c r="AL567" s="286" t="s">
        <v>1</v>
      </c>
      <c r="AM567" s="288" t="s">
        <v>1</v>
      </c>
      <c r="AN567" s="289" t="s">
        <v>1</v>
      </c>
      <c r="AO567" s="289" t="s">
        <v>1</v>
      </c>
      <c r="AP567" s="286" t="s">
        <v>1</v>
      </c>
      <c r="AQ567" s="285" t="s">
        <v>1</v>
      </c>
      <c r="AR567" s="289" t="s">
        <v>1</v>
      </c>
      <c r="AS567" s="289" t="s">
        <v>1</v>
      </c>
      <c r="AT567" s="293" t="s">
        <v>1</v>
      </c>
      <c r="AU567" s="289" t="s">
        <v>1</v>
      </c>
      <c r="AV567" s="289" t="s">
        <v>1</v>
      </c>
      <c r="AW567" s="294" t="s">
        <v>1</v>
      </c>
    </row>
    <row r="568" spans="1:49" ht="30.15" customHeight="1" x14ac:dyDescent="0.25">
      <c r="A568" s="213" t="s">
        <v>18</v>
      </c>
      <c r="B568" s="189" t="s">
        <v>1</v>
      </c>
      <c r="C568" s="212" t="s">
        <v>34</v>
      </c>
      <c r="D568" s="190" t="s">
        <v>7</v>
      </c>
      <c r="E568" s="190" t="s">
        <v>851</v>
      </c>
      <c r="F568" s="203"/>
      <c r="G568" s="190" t="s">
        <v>853</v>
      </c>
      <c r="H568" s="192" t="s">
        <v>854</v>
      </c>
      <c r="I568" s="193">
        <v>1820</v>
      </c>
      <c r="J568" s="193">
        <v>1820</v>
      </c>
      <c r="K568" s="193">
        <v>1820</v>
      </c>
      <c r="L568" s="193">
        <v>2275</v>
      </c>
      <c r="M568" s="194">
        <v>2275</v>
      </c>
      <c r="N568" s="284">
        <v>455</v>
      </c>
      <c r="O568" s="285">
        <v>62.800000000000011</v>
      </c>
      <c r="P568" s="285">
        <v>24</v>
      </c>
      <c r="Q568" s="285" t="s">
        <v>1</v>
      </c>
      <c r="R568" s="285" t="s">
        <v>1</v>
      </c>
      <c r="S568" s="286">
        <v>455</v>
      </c>
      <c r="T568" s="285">
        <v>62.800000000000011</v>
      </c>
      <c r="U568" s="285">
        <v>24</v>
      </c>
      <c r="V568" s="285" t="s">
        <v>1</v>
      </c>
      <c r="W568" s="285" t="s">
        <v>1</v>
      </c>
      <c r="X568" s="286">
        <v>455</v>
      </c>
      <c r="Y568" s="285">
        <v>62.800000000000011</v>
      </c>
      <c r="Z568" s="285">
        <v>24</v>
      </c>
      <c r="AA568" s="285" t="s">
        <v>1</v>
      </c>
      <c r="AB568" s="285" t="s">
        <v>1</v>
      </c>
      <c r="AC568" s="286">
        <v>455</v>
      </c>
      <c r="AD568" s="285">
        <v>62.800000000000011</v>
      </c>
      <c r="AE568" s="285">
        <v>24</v>
      </c>
      <c r="AF568" s="285" t="s">
        <v>1</v>
      </c>
      <c r="AG568" s="285" t="s">
        <v>1</v>
      </c>
      <c r="AH568" s="286" t="s">
        <v>1</v>
      </c>
      <c r="AI568" s="312" t="s">
        <v>1</v>
      </c>
      <c r="AJ568" s="312" t="s">
        <v>1</v>
      </c>
      <c r="AK568" s="312" t="s">
        <v>1</v>
      </c>
      <c r="AL568" s="286" t="s">
        <v>1</v>
      </c>
      <c r="AM568" s="288" t="s">
        <v>1</v>
      </c>
      <c r="AN568" s="289" t="s">
        <v>1</v>
      </c>
      <c r="AO568" s="289" t="s">
        <v>1</v>
      </c>
      <c r="AP568" s="286" t="s">
        <v>1</v>
      </c>
      <c r="AQ568" s="285" t="s">
        <v>1</v>
      </c>
      <c r="AR568" s="289" t="s">
        <v>1</v>
      </c>
      <c r="AS568" s="289" t="s">
        <v>1</v>
      </c>
      <c r="AT568" s="293" t="s">
        <v>1</v>
      </c>
      <c r="AU568" s="289" t="s">
        <v>1</v>
      </c>
      <c r="AV568" s="289" t="s">
        <v>1</v>
      </c>
      <c r="AW568" s="294" t="s">
        <v>1</v>
      </c>
    </row>
    <row r="569" spans="1:49" ht="30.15" customHeight="1" x14ac:dyDescent="0.25">
      <c r="A569" s="213" t="s">
        <v>18</v>
      </c>
      <c r="B569" s="189" t="s">
        <v>1</v>
      </c>
      <c r="C569" s="212" t="s">
        <v>34</v>
      </c>
      <c r="D569" s="190" t="s">
        <v>7</v>
      </c>
      <c r="E569" s="190" t="s">
        <v>852</v>
      </c>
      <c r="F569" s="203"/>
      <c r="G569" s="190" t="s">
        <v>853</v>
      </c>
      <c r="H569" s="192" t="s">
        <v>854</v>
      </c>
      <c r="I569" s="193">
        <v>1820</v>
      </c>
      <c r="J569" s="193">
        <v>1820</v>
      </c>
      <c r="K569" s="193">
        <v>1820</v>
      </c>
      <c r="L569" s="193">
        <v>2275</v>
      </c>
      <c r="M569" s="194">
        <v>2275</v>
      </c>
      <c r="N569" s="284">
        <v>455</v>
      </c>
      <c r="O569" s="285">
        <v>62.800000000000011</v>
      </c>
      <c r="P569" s="285">
        <v>24</v>
      </c>
      <c r="Q569" s="285" t="s">
        <v>1</v>
      </c>
      <c r="R569" s="285" t="s">
        <v>1</v>
      </c>
      <c r="S569" s="286">
        <v>455</v>
      </c>
      <c r="T569" s="285">
        <v>62.800000000000011</v>
      </c>
      <c r="U569" s="285">
        <v>24</v>
      </c>
      <c r="V569" s="285" t="s">
        <v>1</v>
      </c>
      <c r="W569" s="285" t="s">
        <v>1</v>
      </c>
      <c r="X569" s="286">
        <v>455</v>
      </c>
      <c r="Y569" s="285">
        <v>62.800000000000011</v>
      </c>
      <c r="Z569" s="285">
        <v>24</v>
      </c>
      <c r="AA569" s="285" t="s">
        <v>1</v>
      </c>
      <c r="AB569" s="285" t="s">
        <v>1</v>
      </c>
      <c r="AC569" s="286">
        <v>455</v>
      </c>
      <c r="AD569" s="285">
        <v>62.800000000000011</v>
      </c>
      <c r="AE569" s="285">
        <v>24</v>
      </c>
      <c r="AF569" s="285" t="s">
        <v>1</v>
      </c>
      <c r="AG569" s="285" t="s">
        <v>1</v>
      </c>
      <c r="AH569" s="286" t="s">
        <v>1</v>
      </c>
      <c r="AI569" s="312" t="s">
        <v>1</v>
      </c>
      <c r="AJ569" s="312" t="s">
        <v>1</v>
      </c>
      <c r="AK569" s="312" t="s">
        <v>1</v>
      </c>
      <c r="AL569" s="286" t="s">
        <v>1</v>
      </c>
      <c r="AM569" s="288" t="s">
        <v>1</v>
      </c>
      <c r="AN569" s="289" t="s">
        <v>1</v>
      </c>
      <c r="AO569" s="289" t="s">
        <v>1</v>
      </c>
      <c r="AP569" s="286" t="s">
        <v>1</v>
      </c>
      <c r="AQ569" s="285" t="s">
        <v>1</v>
      </c>
      <c r="AR569" s="289" t="s">
        <v>1</v>
      </c>
      <c r="AS569" s="289" t="s">
        <v>1</v>
      </c>
      <c r="AT569" s="293" t="s">
        <v>1</v>
      </c>
      <c r="AU569" s="289" t="s">
        <v>1</v>
      </c>
      <c r="AV569" s="289" t="s">
        <v>1</v>
      </c>
      <c r="AW569" s="294" t="s">
        <v>1</v>
      </c>
    </row>
    <row r="570" spans="1:49" ht="30.15" customHeight="1" x14ac:dyDescent="0.25">
      <c r="A570" s="213" t="s">
        <v>18</v>
      </c>
      <c r="B570" s="189" t="s">
        <v>1</v>
      </c>
      <c r="C570" s="212" t="s">
        <v>34</v>
      </c>
      <c r="D570" s="190" t="s">
        <v>7</v>
      </c>
      <c r="E570" s="190" t="s">
        <v>915</v>
      </c>
      <c r="F570" s="203"/>
      <c r="G570" s="190" t="s">
        <v>917</v>
      </c>
      <c r="H570" s="192" t="s">
        <v>927</v>
      </c>
      <c r="I570" s="193">
        <v>1919</v>
      </c>
      <c r="J570" s="193">
        <v>1919</v>
      </c>
      <c r="K570" s="193">
        <v>1919</v>
      </c>
      <c r="L570" s="193">
        <v>1950</v>
      </c>
      <c r="M570" s="194">
        <v>1950</v>
      </c>
      <c r="N570" s="284">
        <v>390</v>
      </c>
      <c r="O570" s="285">
        <v>15.42</v>
      </c>
      <c r="P570" s="285">
        <v>24</v>
      </c>
      <c r="Q570" s="285">
        <v>290</v>
      </c>
      <c r="R570" s="285" t="s">
        <v>1</v>
      </c>
      <c r="S570" s="286">
        <v>390</v>
      </c>
      <c r="T570" s="285">
        <v>15.42</v>
      </c>
      <c r="U570" s="285">
        <v>24</v>
      </c>
      <c r="V570" s="285">
        <v>290</v>
      </c>
      <c r="W570" s="285" t="s">
        <v>1</v>
      </c>
      <c r="X570" s="286">
        <v>390</v>
      </c>
      <c r="Y570" s="285">
        <v>23.75</v>
      </c>
      <c r="Z570" s="285">
        <v>24</v>
      </c>
      <c r="AA570" s="285">
        <v>290</v>
      </c>
      <c r="AB570" s="285" t="s">
        <v>1</v>
      </c>
      <c r="AC570" s="286">
        <v>390</v>
      </c>
      <c r="AD570" s="285">
        <v>23.75</v>
      </c>
      <c r="AE570" s="285">
        <v>24</v>
      </c>
      <c r="AF570" s="285">
        <v>290</v>
      </c>
      <c r="AG570" s="285" t="s">
        <v>1</v>
      </c>
      <c r="AH570" s="286" t="s">
        <v>1</v>
      </c>
      <c r="AI570" s="312" t="s">
        <v>1</v>
      </c>
      <c r="AJ570" s="312" t="s">
        <v>1</v>
      </c>
      <c r="AK570" s="312" t="s">
        <v>1</v>
      </c>
      <c r="AL570" s="286" t="s">
        <v>1</v>
      </c>
      <c r="AM570" s="288" t="s">
        <v>1</v>
      </c>
      <c r="AN570" s="289" t="s">
        <v>1</v>
      </c>
      <c r="AO570" s="289" t="s">
        <v>1</v>
      </c>
      <c r="AP570" s="286" t="s">
        <v>1</v>
      </c>
      <c r="AQ570" s="285" t="s">
        <v>1</v>
      </c>
      <c r="AR570" s="289" t="s">
        <v>1</v>
      </c>
      <c r="AS570" s="289" t="s">
        <v>1</v>
      </c>
      <c r="AT570" s="293" t="s">
        <v>1</v>
      </c>
      <c r="AU570" s="289" t="s">
        <v>1</v>
      </c>
      <c r="AV570" s="289" t="s">
        <v>1</v>
      </c>
      <c r="AW570" s="294" t="s">
        <v>1</v>
      </c>
    </row>
    <row r="571" spans="1:49" ht="30.15" customHeight="1" x14ac:dyDescent="0.25">
      <c r="A571" s="213" t="s">
        <v>18</v>
      </c>
      <c r="B571" s="189" t="s">
        <v>1</v>
      </c>
      <c r="C571" s="212" t="s">
        <v>34</v>
      </c>
      <c r="D571" s="190" t="s">
        <v>7</v>
      </c>
      <c r="E571" s="190" t="s">
        <v>916</v>
      </c>
      <c r="F571" s="203"/>
      <c r="G571" s="190" t="s">
        <v>917</v>
      </c>
      <c r="H571" s="192" t="s">
        <v>927</v>
      </c>
      <c r="I571" s="193">
        <v>1919</v>
      </c>
      <c r="J571" s="193">
        <v>1919</v>
      </c>
      <c r="K571" s="193">
        <v>1919</v>
      </c>
      <c r="L571" s="193">
        <v>1950</v>
      </c>
      <c r="M571" s="194">
        <v>1950</v>
      </c>
      <c r="N571" s="284">
        <v>390</v>
      </c>
      <c r="O571" s="285">
        <v>15.42</v>
      </c>
      <c r="P571" s="285">
        <v>24</v>
      </c>
      <c r="Q571" s="285">
        <v>290</v>
      </c>
      <c r="R571" s="285" t="s">
        <v>1</v>
      </c>
      <c r="S571" s="286">
        <v>390</v>
      </c>
      <c r="T571" s="285">
        <v>15.42</v>
      </c>
      <c r="U571" s="285">
        <v>24</v>
      </c>
      <c r="V571" s="285">
        <v>290</v>
      </c>
      <c r="W571" s="285" t="s">
        <v>1</v>
      </c>
      <c r="X571" s="286">
        <v>390</v>
      </c>
      <c r="Y571" s="285">
        <v>23.75</v>
      </c>
      <c r="Z571" s="285">
        <v>24</v>
      </c>
      <c r="AA571" s="285">
        <v>290</v>
      </c>
      <c r="AB571" s="285" t="s">
        <v>1</v>
      </c>
      <c r="AC571" s="286">
        <v>390</v>
      </c>
      <c r="AD571" s="285">
        <v>23.75</v>
      </c>
      <c r="AE571" s="285">
        <v>24</v>
      </c>
      <c r="AF571" s="285">
        <v>290</v>
      </c>
      <c r="AG571" s="285" t="s">
        <v>1</v>
      </c>
      <c r="AH571" s="286" t="s">
        <v>1</v>
      </c>
      <c r="AI571" s="312" t="s">
        <v>1</v>
      </c>
      <c r="AJ571" s="312" t="s">
        <v>1</v>
      </c>
      <c r="AK571" s="312" t="s">
        <v>1</v>
      </c>
      <c r="AL571" s="286" t="s">
        <v>1</v>
      </c>
      <c r="AM571" s="288" t="s">
        <v>1</v>
      </c>
      <c r="AN571" s="289" t="s">
        <v>1</v>
      </c>
      <c r="AO571" s="289" t="s">
        <v>1</v>
      </c>
      <c r="AP571" s="286" t="s">
        <v>1</v>
      </c>
      <c r="AQ571" s="285" t="s">
        <v>1</v>
      </c>
      <c r="AR571" s="289" t="s">
        <v>1</v>
      </c>
      <c r="AS571" s="289" t="s">
        <v>1</v>
      </c>
      <c r="AT571" s="293" t="s">
        <v>1</v>
      </c>
      <c r="AU571" s="289" t="s">
        <v>1</v>
      </c>
      <c r="AV571" s="289" t="s">
        <v>1</v>
      </c>
      <c r="AW571" s="294" t="s">
        <v>1</v>
      </c>
    </row>
    <row r="572" spans="1:49" ht="30.15" customHeight="1" x14ac:dyDescent="0.25">
      <c r="A572" s="213" t="s">
        <v>18</v>
      </c>
      <c r="B572" s="189" t="s">
        <v>1</v>
      </c>
      <c r="C572" s="212" t="s">
        <v>35</v>
      </c>
      <c r="D572" s="190" t="s">
        <v>7</v>
      </c>
      <c r="E572" s="190" t="s">
        <v>571</v>
      </c>
      <c r="F572" s="203"/>
      <c r="G572" s="190" t="s">
        <v>572</v>
      </c>
      <c r="H572" s="192" t="s">
        <v>409</v>
      </c>
      <c r="I572" s="193">
        <v>299</v>
      </c>
      <c r="J572" s="193">
        <v>262</v>
      </c>
      <c r="K572" s="193">
        <v>299</v>
      </c>
      <c r="L572" s="193">
        <v>359</v>
      </c>
      <c r="M572" s="194">
        <v>359</v>
      </c>
      <c r="N572" s="284" t="s">
        <v>1</v>
      </c>
      <c r="O572" s="285" t="s">
        <v>1</v>
      </c>
      <c r="P572" s="285" t="s">
        <v>1</v>
      </c>
      <c r="Q572" s="285" t="s">
        <v>1</v>
      </c>
      <c r="R572" s="285" t="s">
        <v>1</v>
      </c>
      <c r="S572" s="286" t="s">
        <v>1</v>
      </c>
      <c r="T572" s="285" t="s">
        <v>1</v>
      </c>
      <c r="U572" s="285" t="s">
        <v>1</v>
      </c>
      <c r="V572" s="285" t="s">
        <v>1</v>
      </c>
      <c r="W572" s="285" t="s">
        <v>1</v>
      </c>
      <c r="X572" s="286" t="s">
        <v>1</v>
      </c>
      <c r="Y572" s="285" t="s">
        <v>1</v>
      </c>
      <c r="Z572" s="285" t="s">
        <v>1</v>
      </c>
      <c r="AA572" s="285" t="s">
        <v>1</v>
      </c>
      <c r="AB572" s="285" t="s">
        <v>1</v>
      </c>
      <c r="AC572" s="286" t="s">
        <v>1</v>
      </c>
      <c r="AD572" s="285" t="s">
        <v>1</v>
      </c>
      <c r="AE572" s="285" t="s">
        <v>1</v>
      </c>
      <c r="AF572" s="285" t="s">
        <v>1</v>
      </c>
      <c r="AG572" s="285" t="s">
        <v>1</v>
      </c>
      <c r="AH572" s="286" t="s">
        <v>1</v>
      </c>
      <c r="AI572" s="295" t="s">
        <v>1</v>
      </c>
      <c r="AJ572" s="295" t="s">
        <v>1</v>
      </c>
      <c r="AK572" s="295" t="s">
        <v>1</v>
      </c>
      <c r="AL572" s="286">
        <v>71.8</v>
      </c>
      <c r="AM572" s="285">
        <v>14.95</v>
      </c>
      <c r="AN572" s="285">
        <v>24</v>
      </c>
      <c r="AO572" s="285" t="s">
        <v>1</v>
      </c>
      <c r="AP572" s="286" t="s">
        <v>1</v>
      </c>
      <c r="AQ572" s="285" t="s">
        <v>1</v>
      </c>
      <c r="AR572" s="285" t="s">
        <v>1</v>
      </c>
      <c r="AS572" s="285" t="s">
        <v>1</v>
      </c>
      <c r="AT572" s="290" t="s">
        <v>1</v>
      </c>
      <c r="AU572" s="287" t="s">
        <v>1</v>
      </c>
      <c r="AV572" s="287" t="s">
        <v>1</v>
      </c>
      <c r="AW572" s="291" t="s">
        <v>1</v>
      </c>
    </row>
    <row r="573" spans="1:49" ht="30.15" customHeight="1" x14ac:dyDescent="0.25">
      <c r="A573" s="213" t="s">
        <v>18</v>
      </c>
      <c r="B573" s="189" t="s">
        <v>1</v>
      </c>
      <c r="C573" s="212" t="s">
        <v>35</v>
      </c>
      <c r="D573" s="190" t="s">
        <v>7</v>
      </c>
      <c r="E573" s="190" t="s">
        <v>896</v>
      </c>
      <c r="F573" s="203"/>
      <c r="G573" s="190" t="s">
        <v>897</v>
      </c>
      <c r="H573" s="192" t="s">
        <v>409</v>
      </c>
      <c r="I573" s="193">
        <v>287.99</v>
      </c>
      <c r="J573" s="193">
        <v>287.99</v>
      </c>
      <c r="K573" s="193">
        <v>287.99</v>
      </c>
      <c r="L573" s="193">
        <v>360</v>
      </c>
      <c r="M573" s="194">
        <v>360</v>
      </c>
      <c r="N573" s="284" t="s">
        <v>1</v>
      </c>
      <c r="O573" s="285" t="s">
        <v>1</v>
      </c>
      <c r="P573" s="285" t="s">
        <v>1</v>
      </c>
      <c r="Q573" s="285" t="s">
        <v>1</v>
      </c>
      <c r="R573" s="285" t="s">
        <v>1</v>
      </c>
      <c r="S573" s="286" t="s">
        <v>1</v>
      </c>
      <c r="T573" s="285" t="s">
        <v>1</v>
      </c>
      <c r="U573" s="285" t="s">
        <v>1</v>
      </c>
      <c r="V573" s="285" t="s">
        <v>1</v>
      </c>
      <c r="W573" s="285" t="s">
        <v>1</v>
      </c>
      <c r="X573" s="286" t="s">
        <v>1</v>
      </c>
      <c r="Y573" s="285" t="s">
        <v>1</v>
      </c>
      <c r="Z573" s="285" t="s">
        <v>1</v>
      </c>
      <c r="AA573" s="285" t="s">
        <v>1</v>
      </c>
      <c r="AB573" s="285" t="s">
        <v>1</v>
      </c>
      <c r="AC573" s="286" t="s">
        <v>1</v>
      </c>
      <c r="AD573" s="285" t="s">
        <v>1</v>
      </c>
      <c r="AE573" s="285" t="s">
        <v>1</v>
      </c>
      <c r="AF573" s="285" t="s">
        <v>1</v>
      </c>
      <c r="AG573" s="285" t="s">
        <v>1</v>
      </c>
      <c r="AH573" s="286" t="s">
        <v>1</v>
      </c>
      <c r="AI573" s="295" t="s">
        <v>1</v>
      </c>
      <c r="AJ573" s="295" t="s">
        <v>1</v>
      </c>
      <c r="AK573" s="295" t="s">
        <v>1</v>
      </c>
      <c r="AL573" s="286">
        <v>72</v>
      </c>
      <c r="AM573" s="288">
        <v>10</v>
      </c>
      <c r="AN573" s="285">
        <v>24</v>
      </c>
      <c r="AO573" s="285" t="s">
        <v>1</v>
      </c>
      <c r="AP573" s="286" t="s">
        <v>1</v>
      </c>
      <c r="AQ573" s="285" t="s">
        <v>1</v>
      </c>
      <c r="AR573" s="285" t="s">
        <v>1</v>
      </c>
      <c r="AS573" s="285" t="s">
        <v>1</v>
      </c>
      <c r="AT573" s="290" t="s">
        <v>1</v>
      </c>
      <c r="AU573" s="287" t="s">
        <v>1</v>
      </c>
      <c r="AV573" s="287" t="s">
        <v>1</v>
      </c>
      <c r="AW573" s="291" t="s">
        <v>1</v>
      </c>
    </row>
    <row r="574" spans="1:49" ht="30.15" customHeight="1" x14ac:dyDescent="0.25">
      <c r="A574" s="188" t="s">
        <v>18</v>
      </c>
      <c r="B574" s="189" t="s">
        <v>1</v>
      </c>
      <c r="C574" s="212" t="s">
        <v>35</v>
      </c>
      <c r="D574" s="190" t="s">
        <v>7</v>
      </c>
      <c r="E574" s="190" t="s">
        <v>531</v>
      </c>
      <c r="F574" s="203"/>
      <c r="G574" s="190" t="s">
        <v>532</v>
      </c>
      <c r="H574" s="192" t="s">
        <v>409</v>
      </c>
      <c r="I574" s="193">
        <v>530</v>
      </c>
      <c r="J574" s="193">
        <v>495</v>
      </c>
      <c r="K574" s="193">
        <v>530</v>
      </c>
      <c r="L574" s="193">
        <v>550</v>
      </c>
      <c r="M574" s="194">
        <v>550</v>
      </c>
      <c r="N574" s="284" t="s">
        <v>1</v>
      </c>
      <c r="O574" s="285" t="s">
        <v>1</v>
      </c>
      <c r="P574" s="285" t="s">
        <v>1</v>
      </c>
      <c r="Q574" s="285" t="s">
        <v>1</v>
      </c>
      <c r="R574" s="285" t="s">
        <v>1</v>
      </c>
      <c r="S574" s="286" t="s">
        <v>1</v>
      </c>
      <c r="T574" s="285" t="s">
        <v>1</v>
      </c>
      <c r="U574" s="285" t="s">
        <v>1</v>
      </c>
      <c r="V574" s="285" t="s">
        <v>1</v>
      </c>
      <c r="W574" s="285" t="s">
        <v>1</v>
      </c>
      <c r="X574" s="286" t="s">
        <v>1</v>
      </c>
      <c r="Y574" s="285" t="s">
        <v>1</v>
      </c>
      <c r="Z574" s="285" t="s">
        <v>1</v>
      </c>
      <c r="AA574" s="285" t="s">
        <v>1</v>
      </c>
      <c r="AB574" s="285" t="s">
        <v>1</v>
      </c>
      <c r="AC574" s="286" t="s">
        <v>1</v>
      </c>
      <c r="AD574" s="285" t="s">
        <v>1</v>
      </c>
      <c r="AE574" s="285" t="s">
        <v>1</v>
      </c>
      <c r="AF574" s="285" t="s">
        <v>1</v>
      </c>
      <c r="AG574" s="285" t="s">
        <v>1</v>
      </c>
      <c r="AH574" s="286" t="s">
        <v>1</v>
      </c>
      <c r="AI574" s="295" t="s">
        <v>1</v>
      </c>
      <c r="AJ574" s="295" t="s">
        <v>1</v>
      </c>
      <c r="AK574" s="295" t="s">
        <v>1</v>
      </c>
      <c r="AL574" s="286">
        <v>110</v>
      </c>
      <c r="AM574" s="288" t="s">
        <v>1</v>
      </c>
      <c r="AN574" s="287" t="s">
        <v>1</v>
      </c>
      <c r="AO574" s="287" t="s">
        <v>1</v>
      </c>
      <c r="AP574" s="286" t="s">
        <v>1</v>
      </c>
      <c r="AQ574" s="285" t="s">
        <v>1</v>
      </c>
      <c r="AR574" s="289" t="s">
        <v>1</v>
      </c>
      <c r="AS574" s="289" t="s">
        <v>1</v>
      </c>
      <c r="AT574" s="290" t="s">
        <v>1</v>
      </c>
      <c r="AU574" s="287" t="s">
        <v>1</v>
      </c>
      <c r="AV574" s="287" t="s">
        <v>1</v>
      </c>
      <c r="AW574" s="291" t="s">
        <v>1</v>
      </c>
    </row>
    <row r="575" spans="1:49" ht="30.15" customHeight="1" x14ac:dyDescent="0.25">
      <c r="A575" s="188" t="s">
        <v>18</v>
      </c>
      <c r="B575" s="189" t="s">
        <v>1</v>
      </c>
      <c r="C575" s="212" t="s">
        <v>35</v>
      </c>
      <c r="D575" s="190" t="s">
        <v>7</v>
      </c>
      <c r="E575" s="190" t="s">
        <v>1225</v>
      </c>
      <c r="F575" s="191"/>
      <c r="G575" s="192" t="s">
        <v>1226</v>
      </c>
      <c r="H575" s="192" t="s">
        <v>7</v>
      </c>
      <c r="I575" s="193">
        <v>709.99</v>
      </c>
      <c r="J575" s="193">
        <v>709.99</v>
      </c>
      <c r="K575" s="193">
        <v>709.99</v>
      </c>
      <c r="L575" s="193">
        <v>779.99</v>
      </c>
      <c r="M575" s="194">
        <v>779.99</v>
      </c>
      <c r="N575" s="284" t="s">
        <v>1</v>
      </c>
      <c r="O575" s="285" t="s">
        <v>1</v>
      </c>
      <c r="P575" s="285" t="s">
        <v>1</v>
      </c>
      <c r="Q575" s="285" t="s">
        <v>1</v>
      </c>
      <c r="R575" s="285" t="s">
        <v>1</v>
      </c>
      <c r="S575" s="286" t="s">
        <v>1</v>
      </c>
      <c r="T575" s="285" t="s">
        <v>1</v>
      </c>
      <c r="U575" s="285" t="s">
        <v>1</v>
      </c>
      <c r="V575" s="285" t="s">
        <v>1</v>
      </c>
      <c r="W575" s="285" t="s">
        <v>1</v>
      </c>
      <c r="X575" s="286" t="s">
        <v>1</v>
      </c>
      <c r="Y575" s="285" t="s">
        <v>1</v>
      </c>
      <c r="Z575" s="285" t="s">
        <v>1</v>
      </c>
      <c r="AA575" s="285" t="s">
        <v>1</v>
      </c>
      <c r="AB575" s="285" t="s">
        <v>1</v>
      </c>
      <c r="AC575" s="286" t="s">
        <v>1</v>
      </c>
      <c r="AD575" s="285" t="s">
        <v>1</v>
      </c>
      <c r="AE575" s="285" t="s">
        <v>1</v>
      </c>
      <c r="AF575" s="285" t="s">
        <v>1</v>
      </c>
      <c r="AG575" s="285" t="s">
        <v>1</v>
      </c>
      <c r="AH575" s="286" t="s">
        <v>1</v>
      </c>
      <c r="AI575" s="295" t="s">
        <v>1</v>
      </c>
      <c r="AJ575" s="295" t="s">
        <v>1</v>
      </c>
      <c r="AK575" s="295" t="s">
        <v>1</v>
      </c>
      <c r="AL575" s="286">
        <v>156</v>
      </c>
      <c r="AM575" s="288" t="s">
        <v>1</v>
      </c>
      <c r="AN575" s="287" t="s">
        <v>1</v>
      </c>
      <c r="AO575" s="287" t="s">
        <v>1</v>
      </c>
      <c r="AP575" s="286" t="s">
        <v>1</v>
      </c>
      <c r="AQ575" s="285" t="s">
        <v>1</v>
      </c>
      <c r="AR575" s="289" t="s">
        <v>1</v>
      </c>
      <c r="AS575" s="289" t="s">
        <v>1</v>
      </c>
      <c r="AT575" s="290" t="s">
        <v>1</v>
      </c>
      <c r="AU575" s="287" t="s">
        <v>1</v>
      </c>
      <c r="AV575" s="287" t="s">
        <v>1</v>
      </c>
      <c r="AW575" s="291" t="s">
        <v>1</v>
      </c>
    </row>
    <row r="576" spans="1:49" ht="30.15" customHeight="1" x14ac:dyDescent="0.25">
      <c r="A576" s="188" t="s">
        <v>18</v>
      </c>
      <c r="B576" s="189" t="s">
        <v>1</v>
      </c>
      <c r="C576" s="212" t="s">
        <v>35</v>
      </c>
      <c r="D576" s="190" t="s">
        <v>7</v>
      </c>
      <c r="E576" s="190" t="s">
        <v>1227</v>
      </c>
      <c r="F576" s="191"/>
      <c r="G576" s="192" t="s">
        <v>1228</v>
      </c>
      <c r="H576" s="192" t="s">
        <v>7</v>
      </c>
      <c r="I576" s="193">
        <v>855</v>
      </c>
      <c r="J576" s="193">
        <v>855</v>
      </c>
      <c r="K576" s="193">
        <v>855</v>
      </c>
      <c r="L576" s="193">
        <v>900</v>
      </c>
      <c r="M576" s="194">
        <v>900</v>
      </c>
      <c r="N576" s="284" t="s">
        <v>1</v>
      </c>
      <c r="O576" s="285" t="s">
        <v>1</v>
      </c>
      <c r="P576" s="285" t="s">
        <v>1</v>
      </c>
      <c r="Q576" s="285" t="s">
        <v>1</v>
      </c>
      <c r="R576" s="285" t="s">
        <v>1</v>
      </c>
      <c r="S576" s="286" t="s">
        <v>1</v>
      </c>
      <c r="T576" s="285" t="s">
        <v>1</v>
      </c>
      <c r="U576" s="285" t="s">
        <v>1</v>
      </c>
      <c r="V576" s="285" t="s">
        <v>1</v>
      </c>
      <c r="W576" s="285" t="s">
        <v>1</v>
      </c>
      <c r="X576" s="286" t="s">
        <v>1</v>
      </c>
      <c r="Y576" s="285" t="s">
        <v>1</v>
      </c>
      <c r="Z576" s="285" t="s">
        <v>1</v>
      </c>
      <c r="AA576" s="285" t="s">
        <v>1</v>
      </c>
      <c r="AB576" s="285" t="s">
        <v>1</v>
      </c>
      <c r="AC576" s="286" t="s">
        <v>1</v>
      </c>
      <c r="AD576" s="285" t="s">
        <v>1</v>
      </c>
      <c r="AE576" s="285" t="s">
        <v>1</v>
      </c>
      <c r="AF576" s="285" t="s">
        <v>1</v>
      </c>
      <c r="AG576" s="285" t="s">
        <v>1</v>
      </c>
      <c r="AH576" s="286" t="s">
        <v>1</v>
      </c>
      <c r="AI576" s="295" t="s">
        <v>1</v>
      </c>
      <c r="AJ576" s="295" t="s">
        <v>1</v>
      </c>
      <c r="AK576" s="295" t="s">
        <v>1</v>
      </c>
      <c r="AL576" s="286">
        <v>180</v>
      </c>
      <c r="AM576" s="288" t="s">
        <v>1</v>
      </c>
      <c r="AN576" s="287" t="s">
        <v>1</v>
      </c>
      <c r="AO576" s="287" t="s">
        <v>1</v>
      </c>
      <c r="AP576" s="286" t="s">
        <v>1</v>
      </c>
      <c r="AQ576" s="285" t="s">
        <v>1</v>
      </c>
      <c r="AR576" s="289" t="s">
        <v>1</v>
      </c>
      <c r="AS576" s="289" t="s">
        <v>1</v>
      </c>
      <c r="AT576" s="290" t="s">
        <v>1</v>
      </c>
      <c r="AU576" s="287" t="s">
        <v>1</v>
      </c>
      <c r="AV576" s="287" t="s">
        <v>1</v>
      </c>
      <c r="AW576" s="291" t="s">
        <v>1</v>
      </c>
    </row>
    <row r="577" spans="1:49" ht="30.15" customHeight="1" x14ac:dyDescent="0.25">
      <c r="A577" s="188" t="s">
        <v>18</v>
      </c>
      <c r="B577" s="188" t="s">
        <v>1</v>
      </c>
      <c r="C577" s="212" t="s">
        <v>34</v>
      </c>
      <c r="D577" s="190" t="s">
        <v>7</v>
      </c>
      <c r="E577" s="190" t="s">
        <v>288</v>
      </c>
      <c r="F577" s="191"/>
      <c r="G577" s="192" t="s">
        <v>289</v>
      </c>
      <c r="H577" s="192" t="s">
        <v>409</v>
      </c>
      <c r="I577" s="193">
        <v>330</v>
      </c>
      <c r="J577" s="193">
        <v>330</v>
      </c>
      <c r="K577" s="193">
        <v>330</v>
      </c>
      <c r="L577" s="193">
        <v>350</v>
      </c>
      <c r="M577" s="194">
        <v>350</v>
      </c>
      <c r="N577" s="284">
        <v>70</v>
      </c>
      <c r="O577" s="285" t="s">
        <v>1</v>
      </c>
      <c r="P577" s="285" t="s">
        <v>1</v>
      </c>
      <c r="Q577" s="285" t="s">
        <v>1</v>
      </c>
      <c r="R577" s="285" t="s">
        <v>1</v>
      </c>
      <c r="S577" s="286">
        <v>70</v>
      </c>
      <c r="T577" s="285" t="s">
        <v>1</v>
      </c>
      <c r="U577" s="285" t="s">
        <v>1</v>
      </c>
      <c r="V577" s="285" t="s">
        <v>1</v>
      </c>
      <c r="W577" s="285" t="s">
        <v>1</v>
      </c>
      <c r="X577" s="286">
        <v>70</v>
      </c>
      <c r="Y577" s="285" t="s">
        <v>1</v>
      </c>
      <c r="Z577" s="285" t="s">
        <v>1</v>
      </c>
      <c r="AA577" s="285" t="s">
        <v>1</v>
      </c>
      <c r="AB577" s="285" t="s">
        <v>1</v>
      </c>
      <c r="AC577" s="286">
        <v>70</v>
      </c>
      <c r="AD577" s="285" t="s">
        <v>1</v>
      </c>
      <c r="AE577" s="285" t="s">
        <v>1</v>
      </c>
      <c r="AF577" s="285" t="s">
        <v>1</v>
      </c>
      <c r="AG577" s="285" t="s">
        <v>1</v>
      </c>
      <c r="AH577" s="286">
        <v>70</v>
      </c>
      <c r="AI577" s="295" t="s">
        <v>1</v>
      </c>
      <c r="AJ577" s="295" t="s">
        <v>1</v>
      </c>
      <c r="AK577" s="295" t="s">
        <v>1</v>
      </c>
      <c r="AL577" s="286" t="s">
        <v>1</v>
      </c>
      <c r="AM577" s="288" t="s">
        <v>1</v>
      </c>
      <c r="AN577" s="287" t="s">
        <v>1</v>
      </c>
      <c r="AO577" s="287" t="s">
        <v>1</v>
      </c>
      <c r="AP577" s="286" t="s">
        <v>1</v>
      </c>
      <c r="AQ577" s="285" t="s">
        <v>1</v>
      </c>
      <c r="AR577" s="289" t="s">
        <v>1</v>
      </c>
      <c r="AS577" s="289" t="s">
        <v>1</v>
      </c>
      <c r="AT577" s="290" t="s">
        <v>1</v>
      </c>
      <c r="AU577" s="287" t="s">
        <v>1</v>
      </c>
      <c r="AV577" s="287" t="s">
        <v>1</v>
      </c>
      <c r="AW577" s="291" t="s">
        <v>1</v>
      </c>
    </row>
    <row r="578" spans="1:49" ht="30.15" customHeight="1" x14ac:dyDescent="0.25">
      <c r="A578" s="188" t="s">
        <v>18</v>
      </c>
      <c r="B578" s="188" t="s">
        <v>1</v>
      </c>
      <c r="C578" s="212" t="s">
        <v>34</v>
      </c>
      <c r="D578" s="190" t="s">
        <v>7</v>
      </c>
      <c r="E578" s="190" t="s">
        <v>898</v>
      </c>
      <c r="F578" s="191"/>
      <c r="G578" s="192" t="s">
        <v>899</v>
      </c>
      <c r="H578" s="192" t="s">
        <v>7</v>
      </c>
      <c r="I578" s="193">
        <v>629.99</v>
      </c>
      <c r="J578" s="193">
        <v>629.99</v>
      </c>
      <c r="K578" s="193">
        <v>629.99</v>
      </c>
      <c r="L578" s="193">
        <v>699.99</v>
      </c>
      <c r="M578" s="194">
        <v>699.99</v>
      </c>
      <c r="N578" s="284">
        <v>140</v>
      </c>
      <c r="O578" s="285" t="s">
        <v>1</v>
      </c>
      <c r="P578" s="285" t="s">
        <v>1</v>
      </c>
      <c r="Q578" s="285" t="s">
        <v>1</v>
      </c>
      <c r="R578" s="285" t="s">
        <v>1</v>
      </c>
      <c r="S578" s="286">
        <v>140</v>
      </c>
      <c r="T578" s="285" t="s">
        <v>1</v>
      </c>
      <c r="U578" s="285" t="s">
        <v>1</v>
      </c>
      <c r="V578" s="285" t="s">
        <v>1</v>
      </c>
      <c r="W578" s="285" t="s">
        <v>1</v>
      </c>
      <c r="X578" s="286">
        <v>140</v>
      </c>
      <c r="Y578" s="285" t="s">
        <v>1</v>
      </c>
      <c r="Z578" s="285" t="s">
        <v>1</v>
      </c>
      <c r="AA578" s="285" t="s">
        <v>1</v>
      </c>
      <c r="AB578" s="285" t="s">
        <v>1</v>
      </c>
      <c r="AC578" s="286">
        <v>140</v>
      </c>
      <c r="AD578" s="285" t="s">
        <v>1</v>
      </c>
      <c r="AE578" s="285" t="s">
        <v>1</v>
      </c>
      <c r="AF578" s="285" t="s">
        <v>1</v>
      </c>
      <c r="AG578" s="285" t="s">
        <v>1</v>
      </c>
      <c r="AH578" s="286" t="s">
        <v>1</v>
      </c>
      <c r="AI578" s="295" t="s">
        <v>1</v>
      </c>
      <c r="AJ578" s="295" t="s">
        <v>1</v>
      </c>
      <c r="AK578" s="295" t="s">
        <v>1</v>
      </c>
      <c r="AL578" s="286" t="s">
        <v>1</v>
      </c>
      <c r="AM578" s="288" t="s">
        <v>1</v>
      </c>
      <c r="AN578" s="287" t="s">
        <v>1</v>
      </c>
      <c r="AO578" s="287" t="s">
        <v>1</v>
      </c>
      <c r="AP578" s="286" t="s">
        <v>1</v>
      </c>
      <c r="AQ578" s="285" t="s">
        <v>1</v>
      </c>
      <c r="AR578" s="289" t="s">
        <v>1</v>
      </c>
      <c r="AS578" s="289" t="s">
        <v>1</v>
      </c>
      <c r="AT578" s="290" t="s">
        <v>1</v>
      </c>
      <c r="AU578" s="287" t="s">
        <v>1</v>
      </c>
      <c r="AV578" s="287" t="s">
        <v>1</v>
      </c>
      <c r="AW578" s="291" t="s">
        <v>1</v>
      </c>
    </row>
    <row r="579" spans="1:49" ht="30.15" customHeight="1" x14ac:dyDescent="0.25">
      <c r="A579" s="188" t="s">
        <v>18</v>
      </c>
      <c r="B579" s="189" t="s">
        <v>1</v>
      </c>
      <c r="C579" s="188" t="s">
        <v>35</v>
      </c>
      <c r="D579" s="190" t="s">
        <v>8</v>
      </c>
      <c r="E579" s="190" t="s">
        <v>12</v>
      </c>
      <c r="F579" s="203"/>
      <c r="G579" s="190" t="s">
        <v>32</v>
      </c>
      <c r="H579" s="192" t="s">
        <v>409</v>
      </c>
      <c r="I579" s="193">
        <v>175</v>
      </c>
      <c r="J579" s="193">
        <v>175</v>
      </c>
      <c r="K579" s="193">
        <v>175</v>
      </c>
      <c r="L579" s="193">
        <v>199.99</v>
      </c>
      <c r="M579" s="194">
        <v>199.99</v>
      </c>
      <c r="N579" s="284" t="s">
        <v>1</v>
      </c>
      <c r="O579" s="285" t="s">
        <v>1</v>
      </c>
      <c r="P579" s="285" t="s">
        <v>1</v>
      </c>
      <c r="Q579" s="285" t="s">
        <v>1</v>
      </c>
      <c r="R579" s="285" t="s">
        <v>1</v>
      </c>
      <c r="S579" s="286" t="s">
        <v>1</v>
      </c>
      <c r="T579" s="285" t="s">
        <v>1</v>
      </c>
      <c r="U579" s="285" t="s">
        <v>1</v>
      </c>
      <c r="V579" s="285" t="s">
        <v>1</v>
      </c>
      <c r="W579" s="285" t="s">
        <v>1</v>
      </c>
      <c r="X579" s="286" t="s">
        <v>1</v>
      </c>
      <c r="Y579" s="285" t="s">
        <v>1</v>
      </c>
      <c r="Z579" s="285" t="s">
        <v>1</v>
      </c>
      <c r="AA579" s="285" t="s">
        <v>1</v>
      </c>
      <c r="AB579" s="285" t="s">
        <v>1</v>
      </c>
      <c r="AC579" s="286" t="s">
        <v>1</v>
      </c>
      <c r="AD579" s="285" t="s">
        <v>1</v>
      </c>
      <c r="AE579" s="285" t="s">
        <v>1</v>
      </c>
      <c r="AF579" s="285" t="s">
        <v>1</v>
      </c>
      <c r="AG579" s="285" t="s">
        <v>1</v>
      </c>
      <c r="AH579" s="286" t="s">
        <v>1</v>
      </c>
      <c r="AI579" s="295" t="s">
        <v>1</v>
      </c>
      <c r="AJ579" s="295" t="s">
        <v>1</v>
      </c>
      <c r="AK579" s="295" t="s">
        <v>1</v>
      </c>
      <c r="AL579" s="286">
        <v>40</v>
      </c>
      <c r="AM579" s="288" t="s">
        <v>1</v>
      </c>
      <c r="AN579" s="287" t="s">
        <v>1</v>
      </c>
      <c r="AO579" s="287" t="s">
        <v>1</v>
      </c>
      <c r="AP579" s="286" t="s">
        <v>1</v>
      </c>
      <c r="AQ579" s="285" t="s">
        <v>1</v>
      </c>
      <c r="AR579" s="289" t="s">
        <v>1</v>
      </c>
      <c r="AS579" s="289" t="s">
        <v>1</v>
      </c>
      <c r="AT579" s="290" t="s">
        <v>1</v>
      </c>
      <c r="AU579" s="287" t="s">
        <v>1</v>
      </c>
      <c r="AV579" s="287" t="s">
        <v>1</v>
      </c>
      <c r="AW579" s="291" t="s">
        <v>1</v>
      </c>
    </row>
    <row r="580" spans="1:49" ht="30.15" customHeight="1" x14ac:dyDescent="0.25">
      <c r="A580" s="188" t="s">
        <v>18</v>
      </c>
      <c r="B580" s="189" t="s">
        <v>1</v>
      </c>
      <c r="C580" s="188" t="s">
        <v>35</v>
      </c>
      <c r="D580" s="190" t="s">
        <v>8</v>
      </c>
      <c r="E580" s="190" t="s">
        <v>42</v>
      </c>
      <c r="F580" s="203"/>
      <c r="G580" s="190" t="s">
        <v>32</v>
      </c>
      <c r="H580" s="192" t="s">
        <v>409</v>
      </c>
      <c r="I580" s="193">
        <v>175</v>
      </c>
      <c r="J580" s="193">
        <v>175</v>
      </c>
      <c r="K580" s="193">
        <v>175</v>
      </c>
      <c r="L580" s="193">
        <v>199.99</v>
      </c>
      <c r="M580" s="194">
        <v>199.99</v>
      </c>
      <c r="N580" s="284" t="s">
        <v>1</v>
      </c>
      <c r="O580" s="285" t="s">
        <v>1</v>
      </c>
      <c r="P580" s="285" t="s">
        <v>1</v>
      </c>
      <c r="Q580" s="285" t="s">
        <v>1</v>
      </c>
      <c r="R580" s="285" t="s">
        <v>1</v>
      </c>
      <c r="S580" s="286" t="s">
        <v>1</v>
      </c>
      <c r="T580" s="285" t="s">
        <v>1</v>
      </c>
      <c r="U580" s="285" t="s">
        <v>1</v>
      </c>
      <c r="V580" s="285" t="s">
        <v>1</v>
      </c>
      <c r="W580" s="285" t="s">
        <v>1</v>
      </c>
      <c r="X580" s="286" t="s">
        <v>1</v>
      </c>
      <c r="Y580" s="285" t="s">
        <v>1</v>
      </c>
      <c r="Z580" s="285" t="s">
        <v>1</v>
      </c>
      <c r="AA580" s="285" t="s">
        <v>1</v>
      </c>
      <c r="AB580" s="285" t="s">
        <v>1</v>
      </c>
      <c r="AC580" s="286" t="s">
        <v>1</v>
      </c>
      <c r="AD580" s="285" t="s">
        <v>1</v>
      </c>
      <c r="AE580" s="285" t="s">
        <v>1</v>
      </c>
      <c r="AF580" s="285" t="s">
        <v>1</v>
      </c>
      <c r="AG580" s="285" t="s">
        <v>1</v>
      </c>
      <c r="AH580" s="286" t="s">
        <v>1</v>
      </c>
      <c r="AI580" s="295" t="s">
        <v>1</v>
      </c>
      <c r="AJ580" s="295" t="s">
        <v>1</v>
      </c>
      <c r="AK580" s="295" t="s">
        <v>1</v>
      </c>
      <c r="AL580" s="286">
        <v>40</v>
      </c>
      <c r="AM580" s="288" t="s">
        <v>1</v>
      </c>
      <c r="AN580" s="287" t="s">
        <v>1</v>
      </c>
      <c r="AO580" s="287" t="s">
        <v>1</v>
      </c>
      <c r="AP580" s="286" t="s">
        <v>1</v>
      </c>
      <c r="AQ580" s="285" t="s">
        <v>1</v>
      </c>
      <c r="AR580" s="289" t="s">
        <v>1</v>
      </c>
      <c r="AS580" s="289" t="s">
        <v>1</v>
      </c>
      <c r="AT580" s="290" t="s">
        <v>1</v>
      </c>
      <c r="AU580" s="287" t="s">
        <v>1</v>
      </c>
      <c r="AV580" s="287" t="s">
        <v>1</v>
      </c>
      <c r="AW580" s="291" t="s">
        <v>1</v>
      </c>
    </row>
    <row r="581" spans="1:49" ht="30.15" customHeight="1" x14ac:dyDescent="0.25">
      <c r="A581" s="188" t="s">
        <v>18</v>
      </c>
      <c r="B581" s="189" t="s">
        <v>1</v>
      </c>
      <c r="C581" s="212" t="s">
        <v>34</v>
      </c>
      <c r="D581" s="190" t="s">
        <v>73</v>
      </c>
      <c r="E581" s="190" t="s">
        <v>489</v>
      </c>
      <c r="F581" s="203"/>
      <c r="G581" s="190" t="s">
        <v>488</v>
      </c>
      <c r="H581" s="192" t="s">
        <v>409</v>
      </c>
      <c r="I581" s="193">
        <v>449</v>
      </c>
      <c r="J581" s="193">
        <v>449</v>
      </c>
      <c r="K581" s="193">
        <v>449</v>
      </c>
      <c r="L581" s="193">
        <v>499</v>
      </c>
      <c r="M581" s="194">
        <v>499</v>
      </c>
      <c r="N581" s="284">
        <v>99.8</v>
      </c>
      <c r="O581" s="285" t="s">
        <v>1</v>
      </c>
      <c r="P581" s="285" t="s">
        <v>1</v>
      </c>
      <c r="Q581" s="285" t="s">
        <v>1</v>
      </c>
      <c r="R581" s="285" t="s">
        <v>1</v>
      </c>
      <c r="S581" s="286">
        <v>99.8</v>
      </c>
      <c r="T581" s="285" t="s">
        <v>1</v>
      </c>
      <c r="U581" s="285" t="s">
        <v>1</v>
      </c>
      <c r="V581" s="285" t="s">
        <v>1</v>
      </c>
      <c r="W581" s="285" t="s">
        <v>1</v>
      </c>
      <c r="X581" s="286">
        <v>99.8</v>
      </c>
      <c r="Y581" s="285" t="s">
        <v>1</v>
      </c>
      <c r="Z581" s="285" t="s">
        <v>1</v>
      </c>
      <c r="AA581" s="285" t="s">
        <v>1</v>
      </c>
      <c r="AB581" s="285" t="s">
        <v>1</v>
      </c>
      <c r="AC581" s="286">
        <v>99.8</v>
      </c>
      <c r="AD581" s="285" t="s">
        <v>1</v>
      </c>
      <c r="AE581" s="285" t="s">
        <v>1</v>
      </c>
      <c r="AF581" s="285" t="s">
        <v>1</v>
      </c>
      <c r="AG581" s="285" t="s">
        <v>1</v>
      </c>
      <c r="AH581" s="286">
        <v>99.8</v>
      </c>
      <c r="AI581" s="295" t="s">
        <v>1</v>
      </c>
      <c r="AJ581" s="295" t="s">
        <v>1</v>
      </c>
      <c r="AK581" s="295" t="s">
        <v>1</v>
      </c>
      <c r="AL581" s="286" t="s">
        <v>1</v>
      </c>
      <c r="AM581" s="288" t="s">
        <v>1</v>
      </c>
      <c r="AN581" s="287" t="s">
        <v>1</v>
      </c>
      <c r="AO581" s="287" t="s">
        <v>1</v>
      </c>
      <c r="AP581" s="286" t="s">
        <v>1</v>
      </c>
      <c r="AQ581" s="285" t="s">
        <v>1</v>
      </c>
      <c r="AR581" s="289" t="s">
        <v>1</v>
      </c>
      <c r="AS581" s="289" t="s">
        <v>1</v>
      </c>
      <c r="AT581" s="290" t="s">
        <v>1</v>
      </c>
      <c r="AU581" s="287" t="s">
        <v>1</v>
      </c>
      <c r="AV581" s="287" t="s">
        <v>1</v>
      </c>
      <c r="AW581" s="291" t="s">
        <v>1</v>
      </c>
    </row>
    <row r="582" spans="1:49" ht="30.15" customHeight="1" x14ac:dyDescent="0.25">
      <c r="A582" s="188" t="s">
        <v>18</v>
      </c>
      <c r="B582" s="189" t="s">
        <v>1</v>
      </c>
      <c r="C582" s="212" t="s">
        <v>34</v>
      </c>
      <c r="D582" s="190" t="s">
        <v>73</v>
      </c>
      <c r="E582" s="190" t="s">
        <v>447</v>
      </c>
      <c r="F582" s="203"/>
      <c r="G582" s="190" t="s">
        <v>448</v>
      </c>
      <c r="H582" s="192" t="s">
        <v>409</v>
      </c>
      <c r="I582" s="193">
        <v>849</v>
      </c>
      <c r="J582" s="193">
        <v>849</v>
      </c>
      <c r="K582" s="193">
        <v>849</v>
      </c>
      <c r="L582" s="193">
        <v>899</v>
      </c>
      <c r="M582" s="194">
        <v>899</v>
      </c>
      <c r="N582" s="284">
        <v>179.8</v>
      </c>
      <c r="O582" s="285" t="s">
        <v>1</v>
      </c>
      <c r="P582" s="285" t="s">
        <v>1</v>
      </c>
      <c r="Q582" s="285" t="s">
        <v>1</v>
      </c>
      <c r="R582" s="285" t="s">
        <v>1</v>
      </c>
      <c r="S582" s="286">
        <v>179.8</v>
      </c>
      <c r="T582" s="285" t="s">
        <v>1</v>
      </c>
      <c r="U582" s="285" t="s">
        <v>1</v>
      </c>
      <c r="V582" s="285" t="s">
        <v>1</v>
      </c>
      <c r="W582" s="285" t="s">
        <v>1</v>
      </c>
      <c r="X582" s="286">
        <v>179.8</v>
      </c>
      <c r="Y582" s="285" t="s">
        <v>1</v>
      </c>
      <c r="Z582" s="285" t="s">
        <v>1</v>
      </c>
      <c r="AA582" s="285" t="s">
        <v>1</v>
      </c>
      <c r="AB582" s="285" t="s">
        <v>1</v>
      </c>
      <c r="AC582" s="286">
        <v>179.8</v>
      </c>
      <c r="AD582" s="285" t="s">
        <v>1</v>
      </c>
      <c r="AE582" s="285" t="s">
        <v>1</v>
      </c>
      <c r="AF582" s="285" t="s">
        <v>1</v>
      </c>
      <c r="AG582" s="285" t="s">
        <v>1</v>
      </c>
      <c r="AH582" s="286" t="s">
        <v>1</v>
      </c>
      <c r="AI582" s="295" t="s">
        <v>1</v>
      </c>
      <c r="AJ582" s="295" t="s">
        <v>1</v>
      </c>
      <c r="AK582" s="295" t="s">
        <v>1</v>
      </c>
      <c r="AL582" s="286" t="s">
        <v>1</v>
      </c>
      <c r="AM582" s="288" t="s">
        <v>1</v>
      </c>
      <c r="AN582" s="287" t="s">
        <v>1</v>
      </c>
      <c r="AO582" s="287" t="s">
        <v>1</v>
      </c>
      <c r="AP582" s="286" t="s">
        <v>1</v>
      </c>
      <c r="AQ582" s="285" t="s">
        <v>1</v>
      </c>
      <c r="AR582" s="289" t="s">
        <v>1</v>
      </c>
      <c r="AS582" s="289" t="s">
        <v>1</v>
      </c>
      <c r="AT582" s="290" t="s">
        <v>1</v>
      </c>
      <c r="AU582" s="287" t="s">
        <v>1</v>
      </c>
      <c r="AV582" s="287" t="s">
        <v>1</v>
      </c>
      <c r="AW582" s="291" t="s">
        <v>1</v>
      </c>
    </row>
    <row r="583" spans="1:49" ht="30.15" customHeight="1" x14ac:dyDescent="0.25">
      <c r="A583" s="188" t="s">
        <v>18</v>
      </c>
      <c r="B583" s="189" t="s">
        <v>1</v>
      </c>
      <c r="C583" s="212" t="s">
        <v>35</v>
      </c>
      <c r="D583" s="190" t="s">
        <v>11</v>
      </c>
      <c r="E583" s="190" t="s">
        <v>65</v>
      </c>
      <c r="F583" s="203"/>
      <c r="G583" s="190" t="s">
        <v>66</v>
      </c>
      <c r="H583" s="192" t="s">
        <v>409</v>
      </c>
      <c r="I583" s="193">
        <v>360</v>
      </c>
      <c r="J583" s="193">
        <v>360</v>
      </c>
      <c r="K583" s="193">
        <v>360</v>
      </c>
      <c r="L583" s="193">
        <v>359.99</v>
      </c>
      <c r="M583" s="194">
        <v>359.99</v>
      </c>
      <c r="N583" s="284" t="s">
        <v>1</v>
      </c>
      <c r="O583" s="285" t="s">
        <v>1</v>
      </c>
      <c r="P583" s="285" t="s">
        <v>1</v>
      </c>
      <c r="Q583" s="285" t="s">
        <v>1</v>
      </c>
      <c r="R583" s="285" t="s">
        <v>1</v>
      </c>
      <c r="S583" s="286" t="s">
        <v>1</v>
      </c>
      <c r="T583" s="285" t="s">
        <v>1</v>
      </c>
      <c r="U583" s="285" t="s">
        <v>1</v>
      </c>
      <c r="V583" s="285" t="s">
        <v>1</v>
      </c>
      <c r="W583" s="285" t="s">
        <v>1</v>
      </c>
      <c r="X583" s="286" t="s">
        <v>1</v>
      </c>
      <c r="Y583" s="285" t="s">
        <v>1</v>
      </c>
      <c r="Z583" s="285" t="s">
        <v>1</v>
      </c>
      <c r="AA583" s="285" t="s">
        <v>1</v>
      </c>
      <c r="AB583" s="285" t="s">
        <v>1</v>
      </c>
      <c r="AC583" s="286" t="s">
        <v>1</v>
      </c>
      <c r="AD583" s="285" t="s">
        <v>1</v>
      </c>
      <c r="AE583" s="285" t="s">
        <v>1</v>
      </c>
      <c r="AF583" s="285" t="s">
        <v>1</v>
      </c>
      <c r="AG583" s="285" t="s">
        <v>1</v>
      </c>
      <c r="AH583" s="286" t="s">
        <v>1</v>
      </c>
      <c r="AI583" s="295" t="s">
        <v>1</v>
      </c>
      <c r="AJ583" s="295" t="s">
        <v>1</v>
      </c>
      <c r="AK583" s="295" t="s">
        <v>1</v>
      </c>
      <c r="AL583" s="286">
        <v>72</v>
      </c>
      <c r="AM583" s="288" t="s">
        <v>1</v>
      </c>
      <c r="AN583" s="287" t="s">
        <v>1</v>
      </c>
      <c r="AO583" s="287" t="s">
        <v>1</v>
      </c>
      <c r="AP583" s="286" t="s">
        <v>1</v>
      </c>
      <c r="AQ583" s="285" t="s">
        <v>1</v>
      </c>
      <c r="AR583" s="289" t="s">
        <v>1</v>
      </c>
      <c r="AS583" s="289" t="s">
        <v>1</v>
      </c>
      <c r="AT583" s="290" t="s">
        <v>1</v>
      </c>
      <c r="AU583" s="287" t="s">
        <v>1</v>
      </c>
      <c r="AV583" s="287" t="s">
        <v>1</v>
      </c>
      <c r="AW583" s="291" t="s">
        <v>1</v>
      </c>
    </row>
    <row r="584" spans="1:49" ht="30.15" customHeight="1" x14ac:dyDescent="0.25">
      <c r="A584" s="188" t="s">
        <v>18</v>
      </c>
      <c r="B584" s="189" t="s">
        <v>1</v>
      </c>
      <c r="C584" s="212" t="s">
        <v>34</v>
      </c>
      <c r="D584" s="254" t="s">
        <v>1242</v>
      </c>
      <c r="E584" s="254" t="s">
        <v>1243</v>
      </c>
      <c r="F584" s="255"/>
      <c r="G584" s="254" t="s">
        <v>1245</v>
      </c>
      <c r="H584" s="192" t="s">
        <v>409</v>
      </c>
      <c r="I584" s="193">
        <v>673</v>
      </c>
      <c r="J584" s="193">
        <v>673</v>
      </c>
      <c r="K584" s="193">
        <v>673</v>
      </c>
      <c r="L584" s="256">
        <v>844</v>
      </c>
      <c r="M584" s="257">
        <v>844</v>
      </c>
      <c r="N584" s="284">
        <v>168.8</v>
      </c>
      <c r="O584" s="308">
        <v>5.17</v>
      </c>
      <c r="P584" s="285">
        <v>24</v>
      </c>
      <c r="Q584" s="285" t="s">
        <v>1</v>
      </c>
      <c r="R584" s="285" t="s">
        <v>1</v>
      </c>
      <c r="S584" s="286">
        <v>168.8</v>
      </c>
      <c r="T584" s="308">
        <v>5.17</v>
      </c>
      <c r="U584" s="285">
        <v>24</v>
      </c>
      <c r="V584" s="285" t="s">
        <v>1</v>
      </c>
      <c r="W584" s="285" t="s">
        <v>1</v>
      </c>
      <c r="X584" s="286">
        <v>168.8</v>
      </c>
      <c r="Y584" s="308">
        <v>5.17</v>
      </c>
      <c r="Z584" s="285">
        <v>24</v>
      </c>
      <c r="AA584" s="285" t="s">
        <v>1</v>
      </c>
      <c r="AB584" s="285" t="s">
        <v>1</v>
      </c>
      <c r="AC584" s="286">
        <v>168.8</v>
      </c>
      <c r="AD584" s="308">
        <v>5.17</v>
      </c>
      <c r="AE584" s="285">
        <v>24</v>
      </c>
      <c r="AF584" s="285" t="s">
        <v>1</v>
      </c>
      <c r="AG584" s="285" t="s">
        <v>1</v>
      </c>
      <c r="AH584" s="286" t="s">
        <v>1</v>
      </c>
      <c r="AI584" s="295" t="s">
        <v>1</v>
      </c>
      <c r="AJ584" s="295" t="s">
        <v>1</v>
      </c>
      <c r="AK584" s="295" t="s">
        <v>1</v>
      </c>
      <c r="AL584" s="286" t="s">
        <v>1</v>
      </c>
      <c r="AM584" s="288" t="s">
        <v>1</v>
      </c>
      <c r="AN584" s="287" t="s">
        <v>1</v>
      </c>
      <c r="AO584" s="287" t="s">
        <v>1</v>
      </c>
      <c r="AP584" s="286" t="s">
        <v>1</v>
      </c>
      <c r="AQ584" s="285" t="s">
        <v>1</v>
      </c>
      <c r="AR584" s="289" t="s">
        <v>1</v>
      </c>
      <c r="AS584" s="289" t="s">
        <v>1</v>
      </c>
      <c r="AT584" s="290" t="s">
        <v>1</v>
      </c>
      <c r="AU584" s="287" t="s">
        <v>1</v>
      </c>
      <c r="AV584" s="287" t="s">
        <v>1</v>
      </c>
      <c r="AW584" s="291" t="s">
        <v>1</v>
      </c>
    </row>
    <row r="585" spans="1:49" ht="30.15" customHeight="1" x14ac:dyDescent="0.25">
      <c r="A585" s="188" t="s">
        <v>18</v>
      </c>
      <c r="B585" s="189" t="s">
        <v>1</v>
      </c>
      <c r="C585" s="212" t="s">
        <v>34</v>
      </c>
      <c r="D585" s="254" t="s">
        <v>1242</v>
      </c>
      <c r="E585" s="254" t="s">
        <v>1244</v>
      </c>
      <c r="F585" s="255"/>
      <c r="G585" s="254" t="s">
        <v>1246</v>
      </c>
      <c r="H585" s="192" t="s">
        <v>409</v>
      </c>
      <c r="I585" s="193">
        <v>383</v>
      </c>
      <c r="J585" s="193">
        <v>383</v>
      </c>
      <c r="K585" s="193">
        <v>383</v>
      </c>
      <c r="L585" s="256">
        <v>460</v>
      </c>
      <c r="M585" s="257">
        <v>460</v>
      </c>
      <c r="N585" s="284">
        <v>92</v>
      </c>
      <c r="O585" s="308">
        <v>3.17</v>
      </c>
      <c r="P585" s="285">
        <v>24</v>
      </c>
      <c r="Q585" s="285" t="s">
        <v>1</v>
      </c>
      <c r="R585" s="285" t="s">
        <v>1</v>
      </c>
      <c r="S585" s="286">
        <v>92</v>
      </c>
      <c r="T585" s="308">
        <v>3.17</v>
      </c>
      <c r="U585" s="285">
        <v>24</v>
      </c>
      <c r="V585" s="285" t="s">
        <v>1</v>
      </c>
      <c r="W585" s="285" t="s">
        <v>1</v>
      </c>
      <c r="X585" s="286">
        <v>92</v>
      </c>
      <c r="Y585" s="308">
        <v>3.17</v>
      </c>
      <c r="Z585" s="285">
        <v>24</v>
      </c>
      <c r="AA585" s="285" t="s">
        <v>1</v>
      </c>
      <c r="AB585" s="285" t="s">
        <v>1</v>
      </c>
      <c r="AC585" s="286">
        <v>92</v>
      </c>
      <c r="AD585" s="308">
        <v>3.17</v>
      </c>
      <c r="AE585" s="285">
        <v>24</v>
      </c>
      <c r="AF585" s="285" t="s">
        <v>1</v>
      </c>
      <c r="AG585" s="285" t="s">
        <v>1</v>
      </c>
      <c r="AH585" s="286" t="s">
        <v>1</v>
      </c>
      <c r="AI585" s="295" t="s">
        <v>1</v>
      </c>
      <c r="AJ585" s="295" t="s">
        <v>1</v>
      </c>
      <c r="AK585" s="295" t="s">
        <v>1</v>
      </c>
      <c r="AL585" s="286" t="s">
        <v>1</v>
      </c>
      <c r="AM585" s="288" t="s">
        <v>1</v>
      </c>
      <c r="AN585" s="287" t="s">
        <v>1</v>
      </c>
      <c r="AO585" s="287" t="s">
        <v>1</v>
      </c>
      <c r="AP585" s="286" t="s">
        <v>1</v>
      </c>
      <c r="AQ585" s="285" t="s">
        <v>1</v>
      </c>
      <c r="AR585" s="289" t="s">
        <v>1</v>
      </c>
      <c r="AS585" s="289" t="s">
        <v>1</v>
      </c>
      <c r="AT585" s="290" t="s">
        <v>1</v>
      </c>
      <c r="AU585" s="287" t="s">
        <v>1</v>
      </c>
      <c r="AV585" s="287" t="s">
        <v>1</v>
      </c>
      <c r="AW585" s="291" t="s">
        <v>1</v>
      </c>
    </row>
    <row r="586" spans="1:49" ht="30.15" customHeight="1" x14ac:dyDescent="0.25">
      <c r="A586" s="188" t="s">
        <v>18</v>
      </c>
      <c r="B586" s="189" t="s">
        <v>1</v>
      </c>
      <c r="C586" s="212" t="s">
        <v>34</v>
      </c>
      <c r="D586" s="190" t="s">
        <v>9</v>
      </c>
      <c r="E586" s="190" t="s">
        <v>89</v>
      </c>
      <c r="F586" s="203"/>
      <c r="G586" s="190" t="s">
        <v>25</v>
      </c>
      <c r="H586" s="192" t="s">
        <v>409</v>
      </c>
      <c r="I586" s="193">
        <v>100</v>
      </c>
      <c r="J586" s="193">
        <v>100</v>
      </c>
      <c r="K586" s="193">
        <v>100</v>
      </c>
      <c r="L586" s="193">
        <v>39.99</v>
      </c>
      <c r="M586" s="194">
        <v>39.99</v>
      </c>
      <c r="N586" s="284" t="s">
        <v>1</v>
      </c>
      <c r="O586" s="285" t="s">
        <v>1</v>
      </c>
      <c r="P586" s="285" t="s">
        <v>1</v>
      </c>
      <c r="Q586" s="285" t="s">
        <v>1</v>
      </c>
      <c r="R586" s="285" t="s">
        <v>1</v>
      </c>
      <c r="S586" s="286" t="s">
        <v>1</v>
      </c>
      <c r="T586" s="285" t="s">
        <v>1</v>
      </c>
      <c r="U586" s="285" t="s">
        <v>1</v>
      </c>
      <c r="V586" s="285" t="s">
        <v>1</v>
      </c>
      <c r="W586" s="285" t="s">
        <v>1</v>
      </c>
      <c r="X586" s="286" t="s">
        <v>1</v>
      </c>
      <c r="Y586" s="285" t="s">
        <v>1</v>
      </c>
      <c r="Z586" s="285" t="s">
        <v>1</v>
      </c>
      <c r="AA586" s="285" t="s">
        <v>1</v>
      </c>
      <c r="AB586" s="285" t="s">
        <v>1</v>
      </c>
      <c r="AC586" s="286" t="s">
        <v>1</v>
      </c>
      <c r="AD586" s="285" t="s">
        <v>1</v>
      </c>
      <c r="AE586" s="285" t="s">
        <v>1</v>
      </c>
      <c r="AF586" s="285" t="s">
        <v>1</v>
      </c>
      <c r="AG586" s="285" t="s">
        <v>1</v>
      </c>
      <c r="AH586" s="286" t="s">
        <v>1</v>
      </c>
      <c r="AI586" s="295" t="s">
        <v>1</v>
      </c>
      <c r="AJ586" s="295" t="s">
        <v>1</v>
      </c>
      <c r="AK586" s="295" t="s">
        <v>1</v>
      </c>
      <c r="AL586" s="286" t="s">
        <v>1</v>
      </c>
      <c r="AM586" s="288" t="s">
        <v>1</v>
      </c>
      <c r="AN586" s="287" t="s">
        <v>1</v>
      </c>
      <c r="AO586" s="287" t="s">
        <v>1</v>
      </c>
      <c r="AP586" s="286" t="s">
        <v>1</v>
      </c>
      <c r="AQ586" s="285" t="s">
        <v>1</v>
      </c>
      <c r="AR586" s="289" t="s">
        <v>1</v>
      </c>
      <c r="AS586" s="289" t="s">
        <v>1</v>
      </c>
      <c r="AT586" s="286">
        <v>39.99</v>
      </c>
      <c r="AU586" s="287" t="s">
        <v>1</v>
      </c>
      <c r="AV586" s="287" t="s">
        <v>1</v>
      </c>
      <c r="AW586" s="291" t="s">
        <v>1</v>
      </c>
    </row>
    <row r="587" spans="1:49" ht="30.15" customHeight="1" x14ac:dyDescent="0.25">
      <c r="A587" s="188" t="s">
        <v>18</v>
      </c>
      <c r="B587" s="189" t="s">
        <v>1</v>
      </c>
      <c r="C587" s="212" t="s">
        <v>34</v>
      </c>
      <c r="D587" s="190" t="s">
        <v>9</v>
      </c>
      <c r="E587" s="190" t="s">
        <v>345</v>
      </c>
      <c r="F587" s="203"/>
      <c r="G587" s="190" t="s">
        <v>25</v>
      </c>
      <c r="H587" s="192" t="s">
        <v>409</v>
      </c>
      <c r="I587" s="193">
        <v>140</v>
      </c>
      <c r="J587" s="193">
        <v>140</v>
      </c>
      <c r="K587" s="193">
        <v>140</v>
      </c>
      <c r="L587" s="193">
        <v>120</v>
      </c>
      <c r="M587" s="194">
        <v>120</v>
      </c>
      <c r="N587" s="284" t="s">
        <v>1</v>
      </c>
      <c r="O587" s="285" t="s">
        <v>1</v>
      </c>
      <c r="P587" s="285" t="s">
        <v>1</v>
      </c>
      <c r="Q587" s="285" t="s">
        <v>1</v>
      </c>
      <c r="R587" s="285" t="s">
        <v>1</v>
      </c>
      <c r="S587" s="286" t="s">
        <v>1</v>
      </c>
      <c r="T587" s="285" t="s">
        <v>1</v>
      </c>
      <c r="U587" s="285" t="s">
        <v>1</v>
      </c>
      <c r="V587" s="285" t="s">
        <v>1</v>
      </c>
      <c r="W587" s="285" t="s">
        <v>1</v>
      </c>
      <c r="X587" s="286" t="s">
        <v>1</v>
      </c>
      <c r="Y587" s="285" t="s">
        <v>1</v>
      </c>
      <c r="Z587" s="285" t="s">
        <v>1</v>
      </c>
      <c r="AA587" s="285" t="s">
        <v>1</v>
      </c>
      <c r="AB587" s="285" t="s">
        <v>1</v>
      </c>
      <c r="AC587" s="286" t="s">
        <v>1</v>
      </c>
      <c r="AD587" s="285" t="s">
        <v>1</v>
      </c>
      <c r="AE587" s="285" t="s">
        <v>1</v>
      </c>
      <c r="AF587" s="285" t="s">
        <v>1</v>
      </c>
      <c r="AG587" s="285" t="s">
        <v>1</v>
      </c>
      <c r="AH587" s="286" t="s">
        <v>1</v>
      </c>
      <c r="AI587" s="295" t="s">
        <v>1</v>
      </c>
      <c r="AJ587" s="295" t="s">
        <v>1</v>
      </c>
      <c r="AK587" s="295" t="s">
        <v>1</v>
      </c>
      <c r="AL587" s="286" t="s">
        <v>1</v>
      </c>
      <c r="AM587" s="288" t="s">
        <v>1</v>
      </c>
      <c r="AN587" s="287" t="s">
        <v>1</v>
      </c>
      <c r="AO587" s="287" t="s">
        <v>1</v>
      </c>
      <c r="AP587" s="286" t="s">
        <v>1</v>
      </c>
      <c r="AQ587" s="285" t="s">
        <v>1</v>
      </c>
      <c r="AR587" s="289" t="s">
        <v>1</v>
      </c>
      <c r="AS587" s="289" t="s">
        <v>1</v>
      </c>
      <c r="AT587" s="286">
        <v>24</v>
      </c>
      <c r="AU587" s="288">
        <v>5</v>
      </c>
      <c r="AV587" s="285">
        <v>24</v>
      </c>
      <c r="AW587" s="313" t="s">
        <v>1</v>
      </c>
    </row>
    <row r="588" spans="1:49" ht="30.15" customHeight="1" x14ac:dyDescent="0.25">
      <c r="A588" s="249" t="s">
        <v>18</v>
      </c>
      <c r="B588" s="250" t="s">
        <v>1</v>
      </c>
      <c r="C588" s="251" t="s">
        <v>34</v>
      </c>
      <c r="D588" s="252" t="s">
        <v>9</v>
      </c>
      <c r="E588" s="252" t="s">
        <v>738</v>
      </c>
      <c r="F588" s="253"/>
      <c r="G588" s="252" t="s">
        <v>25</v>
      </c>
      <c r="H588" s="192" t="s">
        <v>409</v>
      </c>
      <c r="I588" s="193">
        <v>140</v>
      </c>
      <c r="J588" s="193">
        <v>140</v>
      </c>
      <c r="K588" s="193">
        <v>140</v>
      </c>
      <c r="L588" s="193">
        <v>120</v>
      </c>
      <c r="M588" s="194">
        <v>120</v>
      </c>
      <c r="N588" s="284" t="s">
        <v>1</v>
      </c>
      <c r="O588" s="285" t="s">
        <v>1</v>
      </c>
      <c r="P588" s="285" t="s">
        <v>1</v>
      </c>
      <c r="Q588" s="285" t="s">
        <v>1</v>
      </c>
      <c r="R588" s="285" t="s">
        <v>1</v>
      </c>
      <c r="S588" s="286" t="s">
        <v>1</v>
      </c>
      <c r="T588" s="285" t="s">
        <v>1</v>
      </c>
      <c r="U588" s="285" t="s">
        <v>1</v>
      </c>
      <c r="V588" s="285" t="s">
        <v>1</v>
      </c>
      <c r="W588" s="285" t="s">
        <v>1</v>
      </c>
      <c r="X588" s="286" t="s">
        <v>1</v>
      </c>
      <c r="Y588" s="285" t="s">
        <v>1</v>
      </c>
      <c r="Z588" s="285" t="s">
        <v>1</v>
      </c>
      <c r="AA588" s="285" t="s">
        <v>1</v>
      </c>
      <c r="AB588" s="285" t="s">
        <v>1</v>
      </c>
      <c r="AC588" s="286" t="s">
        <v>1</v>
      </c>
      <c r="AD588" s="285" t="s">
        <v>1</v>
      </c>
      <c r="AE588" s="285" t="s">
        <v>1</v>
      </c>
      <c r="AF588" s="285" t="s">
        <v>1</v>
      </c>
      <c r="AG588" s="285" t="s">
        <v>1</v>
      </c>
      <c r="AH588" s="286" t="s">
        <v>1</v>
      </c>
      <c r="AI588" s="295" t="s">
        <v>1</v>
      </c>
      <c r="AJ588" s="295" t="s">
        <v>1</v>
      </c>
      <c r="AK588" s="295" t="s">
        <v>1</v>
      </c>
      <c r="AL588" s="286" t="s">
        <v>1</v>
      </c>
      <c r="AM588" s="288" t="s">
        <v>1</v>
      </c>
      <c r="AN588" s="287" t="s">
        <v>1</v>
      </c>
      <c r="AO588" s="287" t="s">
        <v>1</v>
      </c>
      <c r="AP588" s="286" t="s">
        <v>1</v>
      </c>
      <c r="AQ588" s="285" t="s">
        <v>1</v>
      </c>
      <c r="AR588" s="289" t="s">
        <v>1</v>
      </c>
      <c r="AS588" s="289" t="s">
        <v>1</v>
      </c>
      <c r="AT588" s="286">
        <v>24</v>
      </c>
      <c r="AU588" s="288">
        <v>5</v>
      </c>
      <c r="AV588" s="285">
        <v>24</v>
      </c>
      <c r="AW588" s="313" t="s">
        <v>1</v>
      </c>
    </row>
    <row r="589" spans="1:49" ht="30.15" customHeight="1" x14ac:dyDescent="0.25">
      <c r="A589" s="249" t="s">
        <v>18</v>
      </c>
      <c r="B589" s="250" t="s">
        <v>1</v>
      </c>
      <c r="C589" s="249" t="s">
        <v>35</v>
      </c>
      <c r="D589" s="252" t="s">
        <v>9</v>
      </c>
      <c r="E589" s="252" t="s">
        <v>297</v>
      </c>
      <c r="F589" s="253"/>
      <c r="G589" s="252" t="s">
        <v>425</v>
      </c>
      <c r="H589" s="192" t="s">
        <v>424</v>
      </c>
      <c r="I589" s="193">
        <v>169</v>
      </c>
      <c r="J589" s="193">
        <v>169</v>
      </c>
      <c r="K589" s="193">
        <v>169</v>
      </c>
      <c r="L589" s="193">
        <v>199</v>
      </c>
      <c r="M589" s="194">
        <v>199</v>
      </c>
      <c r="N589" s="284" t="s">
        <v>1</v>
      </c>
      <c r="O589" s="285" t="s">
        <v>1</v>
      </c>
      <c r="P589" s="285" t="s">
        <v>1</v>
      </c>
      <c r="Q589" s="285" t="s">
        <v>1</v>
      </c>
      <c r="R589" s="285" t="s">
        <v>1</v>
      </c>
      <c r="S589" s="286" t="s">
        <v>1</v>
      </c>
      <c r="T589" s="285" t="s">
        <v>1</v>
      </c>
      <c r="U589" s="285" t="s">
        <v>1</v>
      </c>
      <c r="V589" s="285" t="s">
        <v>1</v>
      </c>
      <c r="W589" s="285" t="s">
        <v>1</v>
      </c>
      <c r="X589" s="286" t="s">
        <v>1</v>
      </c>
      <c r="Y589" s="285" t="s">
        <v>1</v>
      </c>
      <c r="Z589" s="285" t="s">
        <v>1</v>
      </c>
      <c r="AA589" s="285" t="s">
        <v>1</v>
      </c>
      <c r="AB589" s="285" t="s">
        <v>1</v>
      </c>
      <c r="AC589" s="286" t="s">
        <v>1</v>
      </c>
      <c r="AD589" s="285" t="s">
        <v>1</v>
      </c>
      <c r="AE589" s="285" t="s">
        <v>1</v>
      </c>
      <c r="AF589" s="285" t="s">
        <v>1</v>
      </c>
      <c r="AG589" s="285" t="s">
        <v>1</v>
      </c>
      <c r="AH589" s="286" t="s">
        <v>1</v>
      </c>
      <c r="AI589" s="295" t="s">
        <v>1</v>
      </c>
      <c r="AJ589" s="295" t="s">
        <v>1</v>
      </c>
      <c r="AK589" s="295" t="s">
        <v>1</v>
      </c>
      <c r="AL589" s="286">
        <v>39.799999999999997</v>
      </c>
      <c r="AM589" s="288" t="s">
        <v>1</v>
      </c>
      <c r="AN589" s="287" t="s">
        <v>1</v>
      </c>
      <c r="AO589" s="287" t="s">
        <v>1</v>
      </c>
      <c r="AP589" s="286" t="s">
        <v>1</v>
      </c>
      <c r="AQ589" s="285" t="s">
        <v>1</v>
      </c>
      <c r="AR589" s="289" t="s">
        <v>1</v>
      </c>
      <c r="AS589" s="289" t="s">
        <v>1</v>
      </c>
      <c r="AT589" s="290" t="s">
        <v>1</v>
      </c>
      <c r="AU589" s="287" t="s">
        <v>1</v>
      </c>
      <c r="AV589" s="287" t="s">
        <v>1</v>
      </c>
      <c r="AW589" s="291" t="s">
        <v>1</v>
      </c>
    </row>
    <row r="590" spans="1:49" ht="30.15" customHeight="1" x14ac:dyDescent="0.25">
      <c r="A590" s="249" t="s">
        <v>18</v>
      </c>
      <c r="B590" s="250" t="s">
        <v>1</v>
      </c>
      <c r="C590" s="249" t="s">
        <v>35</v>
      </c>
      <c r="D590" s="252" t="s">
        <v>9</v>
      </c>
      <c r="E590" s="252" t="s">
        <v>910</v>
      </c>
      <c r="F590" s="253"/>
      <c r="G590" s="252" t="s">
        <v>909</v>
      </c>
      <c r="H590" s="192" t="s">
        <v>421</v>
      </c>
      <c r="I590" s="193">
        <v>135</v>
      </c>
      <c r="J590" s="193">
        <v>135</v>
      </c>
      <c r="K590" s="193">
        <v>135</v>
      </c>
      <c r="L590" s="193">
        <v>180</v>
      </c>
      <c r="M590" s="194">
        <v>180</v>
      </c>
      <c r="N590" s="284" t="s">
        <v>1</v>
      </c>
      <c r="O590" s="285" t="s">
        <v>1</v>
      </c>
      <c r="P590" s="285" t="s">
        <v>1</v>
      </c>
      <c r="Q590" s="285" t="s">
        <v>1</v>
      </c>
      <c r="R590" s="285" t="s">
        <v>1</v>
      </c>
      <c r="S590" s="286" t="s">
        <v>1</v>
      </c>
      <c r="T590" s="285" t="s">
        <v>1</v>
      </c>
      <c r="U590" s="285" t="s">
        <v>1</v>
      </c>
      <c r="V590" s="285" t="s">
        <v>1</v>
      </c>
      <c r="W590" s="285" t="s">
        <v>1</v>
      </c>
      <c r="X590" s="286" t="s">
        <v>1</v>
      </c>
      <c r="Y590" s="285" t="s">
        <v>1</v>
      </c>
      <c r="Z590" s="285" t="s">
        <v>1</v>
      </c>
      <c r="AA590" s="285" t="s">
        <v>1</v>
      </c>
      <c r="AB590" s="285" t="s">
        <v>1</v>
      </c>
      <c r="AC590" s="286" t="s">
        <v>1</v>
      </c>
      <c r="AD590" s="285" t="s">
        <v>1</v>
      </c>
      <c r="AE590" s="285" t="s">
        <v>1</v>
      </c>
      <c r="AF590" s="285" t="s">
        <v>1</v>
      </c>
      <c r="AG590" s="285" t="s">
        <v>1</v>
      </c>
      <c r="AH590" s="286" t="s">
        <v>1</v>
      </c>
      <c r="AI590" s="295" t="s">
        <v>1</v>
      </c>
      <c r="AJ590" s="295" t="s">
        <v>1</v>
      </c>
      <c r="AK590" s="295" t="s">
        <v>1</v>
      </c>
      <c r="AL590" s="286">
        <v>36</v>
      </c>
      <c r="AM590" s="288">
        <v>7.5</v>
      </c>
      <c r="AN590" s="285">
        <v>24</v>
      </c>
      <c r="AO590" s="285" t="s">
        <v>1</v>
      </c>
      <c r="AP590" s="286" t="s">
        <v>1</v>
      </c>
      <c r="AQ590" s="285" t="s">
        <v>1</v>
      </c>
      <c r="AR590" s="289" t="s">
        <v>1</v>
      </c>
      <c r="AS590" s="289" t="s">
        <v>1</v>
      </c>
      <c r="AT590" s="290" t="s">
        <v>1</v>
      </c>
      <c r="AU590" s="287" t="s">
        <v>1</v>
      </c>
      <c r="AV590" s="287" t="s">
        <v>1</v>
      </c>
      <c r="AW590" s="291" t="s">
        <v>1</v>
      </c>
    </row>
    <row r="591" spans="1:49" ht="30.15" customHeight="1" x14ac:dyDescent="0.25">
      <c r="A591" s="249" t="s">
        <v>18</v>
      </c>
      <c r="B591" s="250" t="s">
        <v>1</v>
      </c>
      <c r="C591" s="249" t="s">
        <v>35</v>
      </c>
      <c r="D591" s="252" t="s">
        <v>9</v>
      </c>
      <c r="E591" s="252" t="s">
        <v>930</v>
      </c>
      <c r="F591" s="253"/>
      <c r="G591" s="252" t="s">
        <v>931</v>
      </c>
      <c r="H591" s="192" t="s">
        <v>409</v>
      </c>
      <c r="I591" s="193">
        <v>120</v>
      </c>
      <c r="J591" s="193">
        <v>120</v>
      </c>
      <c r="K591" s="193">
        <v>120</v>
      </c>
      <c r="L591" s="193">
        <v>180</v>
      </c>
      <c r="M591" s="194">
        <v>180</v>
      </c>
      <c r="N591" s="284" t="s">
        <v>1</v>
      </c>
      <c r="O591" s="285" t="s">
        <v>1</v>
      </c>
      <c r="P591" s="285" t="s">
        <v>1</v>
      </c>
      <c r="Q591" s="285" t="s">
        <v>1</v>
      </c>
      <c r="R591" s="285" t="s">
        <v>1</v>
      </c>
      <c r="S591" s="286" t="s">
        <v>1</v>
      </c>
      <c r="T591" s="285" t="s">
        <v>1</v>
      </c>
      <c r="U591" s="285" t="s">
        <v>1</v>
      </c>
      <c r="V591" s="285" t="s">
        <v>1</v>
      </c>
      <c r="W591" s="285" t="s">
        <v>1</v>
      </c>
      <c r="X591" s="286" t="s">
        <v>1</v>
      </c>
      <c r="Y591" s="285" t="s">
        <v>1</v>
      </c>
      <c r="Z591" s="285" t="s">
        <v>1</v>
      </c>
      <c r="AA591" s="285" t="s">
        <v>1</v>
      </c>
      <c r="AB591" s="285" t="s">
        <v>1</v>
      </c>
      <c r="AC591" s="286" t="s">
        <v>1</v>
      </c>
      <c r="AD591" s="285" t="s">
        <v>1</v>
      </c>
      <c r="AE591" s="285" t="s">
        <v>1</v>
      </c>
      <c r="AF591" s="285" t="s">
        <v>1</v>
      </c>
      <c r="AG591" s="285" t="s">
        <v>1</v>
      </c>
      <c r="AH591" s="286" t="s">
        <v>1</v>
      </c>
      <c r="AI591" s="295" t="s">
        <v>1</v>
      </c>
      <c r="AJ591" s="295" t="s">
        <v>1</v>
      </c>
      <c r="AK591" s="295" t="s">
        <v>1</v>
      </c>
      <c r="AL591" s="286">
        <v>36</v>
      </c>
      <c r="AM591" s="288">
        <v>7.5</v>
      </c>
      <c r="AN591" s="285">
        <v>24</v>
      </c>
      <c r="AO591" s="285" t="s">
        <v>1</v>
      </c>
      <c r="AP591" s="286" t="s">
        <v>1</v>
      </c>
      <c r="AQ591" s="285" t="s">
        <v>1</v>
      </c>
      <c r="AR591" s="289" t="s">
        <v>1</v>
      </c>
      <c r="AS591" s="289" t="s">
        <v>1</v>
      </c>
      <c r="AT591" s="290" t="s">
        <v>1</v>
      </c>
      <c r="AU591" s="287" t="s">
        <v>1</v>
      </c>
      <c r="AV591" s="287" t="s">
        <v>1</v>
      </c>
      <c r="AW591" s="291" t="s">
        <v>1</v>
      </c>
    </row>
    <row r="592" spans="1:49" ht="30.15" customHeight="1" x14ac:dyDescent="0.25">
      <c r="A592" s="188" t="s">
        <v>18</v>
      </c>
      <c r="B592" s="189" t="s">
        <v>1</v>
      </c>
      <c r="C592" s="188" t="s">
        <v>35</v>
      </c>
      <c r="D592" s="190" t="s">
        <v>9</v>
      </c>
      <c r="E592" s="190" t="s">
        <v>106</v>
      </c>
      <c r="F592" s="203"/>
      <c r="G592" s="190" t="s">
        <v>107</v>
      </c>
      <c r="H592" s="192" t="s">
        <v>409</v>
      </c>
      <c r="I592" s="193">
        <v>235</v>
      </c>
      <c r="J592" s="193">
        <v>235</v>
      </c>
      <c r="K592" s="193">
        <v>235</v>
      </c>
      <c r="L592" s="193">
        <v>239.99</v>
      </c>
      <c r="M592" s="194">
        <v>239.99</v>
      </c>
      <c r="N592" s="284" t="s">
        <v>1</v>
      </c>
      <c r="O592" s="285" t="s">
        <v>1</v>
      </c>
      <c r="P592" s="285" t="s">
        <v>1</v>
      </c>
      <c r="Q592" s="285" t="s">
        <v>1</v>
      </c>
      <c r="R592" s="285" t="s">
        <v>1</v>
      </c>
      <c r="S592" s="286" t="s">
        <v>1</v>
      </c>
      <c r="T592" s="285" t="s">
        <v>1</v>
      </c>
      <c r="U592" s="285" t="s">
        <v>1</v>
      </c>
      <c r="V592" s="285" t="s">
        <v>1</v>
      </c>
      <c r="W592" s="285" t="s">
        <v>1</v>
      </c>
      <c r="X592" s="286" t="s">
        <v>1</v>
      </c>
      <c r="Y592" s="285" t="s">
        <v>1</v>
      </c>
      <c r="Z592" s="285" t="s">
        <v>1</v>
      </c>
      <c r="AA592" s="285" t="s">
        <v>1</v>
      </c>
      <c r="AB592" s="285" t="s">
        <v>1</v>
      </c>
      <c r="AC592" s="286" t="s">
        <v>1</v>
      </c>
      <c r="AD592" s="285" t="s">
        <v>1</v>
      </c>
      <c r="AE592" s="285" t="s">
        <v>1</v>
      </c>
      <c r="AF592" s="285" t="s">
        <v>1</v>
      </c>
      <c r="AG592" s="285" t="s">
        <v>1</v>
      </c>
      <c r="AH592" s="286" t="s">
        <v>1</v>
      </c>
      <c r="AI592" s="295" t="s">
        <v>1</v>
      </c>
      <c r="AJ592" s="295" t="s">
        <v>1</v>
      </c>
      <c r="AK592" s="295" t="s">
        <v>1</v>
      </c>
      <c r="AL592" s="286">
        <v>48</v>
      </c>
      <c r="AM592" s="288" t="s">
        <v>1</v>
      </c>
      <c r="AN592" s="287" t="s">
        <v>1</v>
      </c>
      <c r="AO592" s="287" t="s">
        <v>1</v>
      </c>
      <c r="AP592" s="286" t="s">
        <v>1</v>
      </c>
      <c r="AQ592" s="285" t="s">
        <v>1</v>
      </c>
      <c r="AR592" s="289" t="s">
        <v>1</v>
      </c>
      <c r="AS592" s="289" t="s">
        <v>1</v>
      </c>
      <c r="AT592" s="290" t="s">
        <v>1</v>
      </c>
      <c r="AU592" s="287" t="s">
        <v>1</v>
      </c>
      <c r="AV592" s="287" t="s">
        <v>1</v>
      </c>
      <c r="AW592" s="291" t="s">
        <v>1</v>
      </c>
    </row>
    <row r="593" spans="1:49" ht="30.15" customHeight="1" x14ac:dyDescent="0.25">
      <c r="A593" s="188" t="s">
        <v>18</v>
      </c>
      <c r="B593" s="189" t="s">
        <v>1</v>
      </c>
      <c r="C593" s="188" t="s">
        <v>35</v>
      </c>
      <c r="D593" s="190" t="s">
        <v>9</v>
      </c>
      <c r="E593" s="190" t="s">
        <v>542</v>
      </c>
      <c r="F593" s="203"/>
      <c r="G593" s="190" t="s">
        <v>543</v>
      </c>
      <c r="H593" s="192" t="s">
        <v>409</v>
      </c>
      <c r="I593" s="193">
        <v>250</v>
      </c>
      <c r="J593" s="193">
        <v>250</v>
      </c>
      <c r="K593" s="193">
        <v>250</v>
      </c>
      <c r="L593" s="193">
        <v>259</v>
      </c>
      <c r="M593" s="194">
        <v>259</v>
      </c>
      <c r="N593" s="284" t="s">
        <v>1</v>
      </c>
      <c r="O593" s="285" t="s">
        <v>1</v>
      </c>
      <c r="P593" s="285" t="s">
        <v>1</v>
      </c>
      <c r="Q593" s="285" t="s">
        <v>1</v>
      </c>
      <c r="R593" s="285" t="s">
        <v>1</v>
      </c>
      <c r="S593" s="286" t="s">
        <v>1</v>
      </c>
      <c r="T593" s="285" t="s">
        <v>1</v>
      </c>
      <c r="U593" s="285" t="s">
        <v>1</v>
      </c>
      <c r="V593" s="285" t="s">
        <v>1</v>
      </c>
      <c r="W593" s="285" t="s">
        <v>1</v>
      </c>
      <c r="X593" s="286" t="s">
        <v>1</v>
      </c>
      <c r="Y593" s="285" t="s">
        <v>1</v>
      </c>
      <c r="Z593" s="285" t="s">
        <v>1</v>
      </c>
      <c r="AA593" s="285" t="s">
        <v>1</v>
      </c>
      <c r="AB593" s="285" t="s">
        <v>1</v>
      </c>
      <c r="AC593" s="286" t="s">
        <v>1</v>
      </c>
      <c r="AD593" s="285" t="s">
        <v>1</v>
      </c>
      <c r="AE593" s="285" t="s">
        <v>1</v>
      </c>
      <c r="AF593" s="285" t="s">
        <v>1</v>
      </c>
      <c r="AG593" s="285" t="s">
        <v>1</v>
      </c>
      <c r="AH593" s="286" t="s">
        <v>1</v>
      </c>
      <c r="AI593" s="295" t="s">
        <v>1</v>
      </c>
      <c r="AJ593" s="295" t="s">
        <v>1</v>
      </c>
      <c r="AK593" s="295" t="s">
        <v>1</v>
      </c>
      <c r="AL593" s="286">
        <v>51.8</v>
      </c>
      <c r="AM593" s="288" t="s">
        <v>1</v>
      </c>
      <c r="AN593" s="287" t="s">
        <v>1</v>
      </c>
      <c r="AO593" s="287" t="s">
        <v>1</v>
      </c>
      <c r="AP593" s="286" t="s">
        <v>1</v>
      </c>
      <c r="AQ593" s="285" t="s">
        <v>1</v>
      </c>
      <c r="AR593" s="289" t="s">
        <v>1</v>
      </c>
      <c r="AS593" s="289" t="s">
        <v>1</v>
      </c>
      <c r="AT593" s="290" t="s">
        <v>1</v>
      </c>
      <c r="AU593" s="287" t="s">
        <v>1</v>
      </c>
      <c r="AV593" s="287" t="s">
        <v>1</v>
      </c>
      <c r="AW593" s="291" t="s">
        <v>1</v>
      </c>
    </row>
    <row r="594" spans="1:49" ht="30.15" customHeight="1" x14ac:dyDescent="0.25">
      <c r="A594" s="188" t="s">
        <v>18</v>
      </c>
      <c r="B594" s="189" t="s">
        <v>1</v>
      </c>
      <c r="C594" s="188" t="s">
        <v>35</v>
      </c>
      <c r="D594" s="190" t="s">
        <v>9</v>
      </c>
      <c r="E594" s="252" t="s">
        <v>108</v>
      </c>
      <c r="F594" s="253"/>
      <c r="G594" s="190" t="s">
        <v>109</v>
      </c>
      <c r="H594" s="192" t="s">
        <v>409</v>
      </c>
      <c r="I594" s="193">
        <v>175</v>
      </c>
      <c r="J594" s="193">
        <v>175</v>
      </c>
      <c r="K594" s="193">
        <v>175</v>
      </c>
      <c r="L594" s="193">
        <v>199.99</v>
      </c>
      <c r="M594" s="194">
        <v>199.99</v>
      </c>
      <c r="N594" s="284" t="s">
        <v>1</v>
      </c>
      <c r="O594" s="285" t="s">
        <v>1</v>
      </c>
      <c r="P594" s="285" t="s">
        <v>1</v>
      </c>
      <c r="Q594" s="285" t="s">
        <v>1</v>
      </c>
      <c r="R594" s="285" t="s">
        <v>1</v>
      </c>
      <c r="S594" s="286" t="s">
        <v>1</v>
      </c>
      <c r="T594" s="285" t="s">
        <v>1</v>
      </c>
      <c r="U594" s="285" t="s">
        <v>1</v>
      </c>
      <c r="V594" s="285" t="s">
        <v>1</v>
      </c>
      <c r="W594" s="285" t="s">
        <v>1</v>
      </c>
      <c r="X594" s="286" t="s">
        <v>1</v>
      </c>
      <c r="Y594" s="285" t="s">
        <v>1</v>
      </c>
      <c r="Z594" s="285" t="s">
        <v>1</v>
      </c>
      <c r="AA594" s="285" t="s">
        <v>1</v>
      </c>
      <c r="AB594" s="285" t="s">
        <v>1</v>
      </c>
      <c r="AC594" s="286" t="s">
        <v>1</v>
      </c>
      <c r="AD594" s="285" t="s">
        <v>1</v>
      </c>
      <c r="AE594" s="285" t="s">
        <v>1</v>
      </c>
      <c r="AF594" s="285" t="s">
        <v>1</v>
      </c>
      <c r="AG594" s="285" t="s">
        <v>1</v>
      </c>
      <c r="AH594" s="286" t="s">
        <v>1</v>
      </c>
      <c r="AI594" s="295" t="s">
        <v>1</v>
      </c>
      <c r="AJ594" s="295" t="s">
        <v>1</v>
      </c>
      <c r="AK594" s="295" t="s">
        <v>1</v>
      </c>
      <c r="AL594" s="286">
        <v>40</v>
      </c>
      <c r="AM594" s="288" t="s">
        <v>1</v>
      </c>
      <c r="AN594" s="287" t="s">
        <v>1</v>
      </c>
      <c r="AO594" s="287" t="s">
        <v>1</v>
      </c>
      <c r="AP594" s="286" t="s">
        <v>1</v>
      </c>
      <c r="AQ594" s="285" t="s">
        <v>1</v>
      </c>
      <c r="AR594" s="289" t="s">
        <v>1</v>
      </c>
      <c r="AS594" s="289" t="s">
        <v>1</v>
      </c>
      <c r="AT594" s="290" t="s">
        <v>1</v>
      </c>
      <c r="AU594" s="287" t="s">
        <v>1</v>
      </c>
      <c r="AV594" s="287" t="s">
        <v>1</v>
      </c>
      <c r="AW594" s="291" t="s">
        <v>1</v>
      </c>
    </row>
    <row r="595" spans="1:49" ht="30.15" customHeight="1" x14ac:dyDescent="0.25">
      <c r="A595" s="188" t="s">
        <v>18</v>
      </c>
      <c r="B595" s="189" t="s">
        <v>1</v>
      </c>
      <c r="C595" s="188" t="s">
        <v>35</v>
      </c>
      <c r="D595" s="190" t="s">
        <v>9</v>
      </c>
      <c r="E595" s="190" t="s">
        <v>141</v>
      </c>
      <c r="F595" s="203"/>
      <c r="G595" s="190" t="s">
        <v>142</v>
      </c>
      <c r="H595" s="192" t="s">
        <v>409</v>
      </c>
      <c r="I595" s="193">
        <v>640</v>
      </c>
      <c r="J595" s="193">
        <v>640</v>
      </c>
      <c r="K595" s="193">
        <v>640</v>
      </c>
      <c r="L595" s="193">
        <v>650</v>
      </c>
      <c r="M595" s="194">
        <v>650</v>
      </c>
      <c r="N595" s="314" t="s">
        <v>1</v>
      </c>
      <c r="O595" s="315" t="s">
        <v>1</v>
      </c>
      <c r="P595" s="315" t="s">
        <v>1</v>
      </c>
      <c r="Q595" s="315" t="s">
        <v>1</v>
      </c>
      <c r="R595" s="315" t="s">
        <v>1</v>
      </c>
      <c r="S595" s="316" t="s">
        <v>1</v>
      </c>
      <c r="T595" s="315" t="s">
        <v>1</v>
      </c>
      <c r="U595" s="315" t="s">
        <v>1</v>
      </c>
      <c r="V595" s="315" t="s">
        <v>1</v>
      </c>
      <c r="W595" s="315" t="s">
        <v>1</v>
      </c>
      <c r="X595" s="316" t="s">
        <v>1</v>
      </c>
      <c r="Y595" s="315" t="s">
        <v>1</v>
      </c>
      <c r="Z595" s="315" t="s">
        <v>1</v>
      </c>
      <c r="AA595" s="315" t="s">
        <v>1</v>
      </c>
      <c r="AB595" s="315" t="s">
        <v>1</v>
      </c>
      <c r="AC595" s="316" t="s">
        <v>1</v>
      </c>
      <c r="AD595" s="315" t="s">
        <v>1</v>
      </c>
      <c r="AE595" s="315" t="s">
        <v>1</v>
      </c>
      <c r="AF595" s="315" t="s">
        <v>1</v>
      </c>
      <c r="AG595" s="315" t="s">
        <v>1</v>
      </c>
      <c r="AH595" s="316" t="s">
        <v>1</v>
      </c>
      <c r="AI595" s="317" t="s">
        <v>1</v>
      </c>
      <c r="AJ595" s="317" t="s">
        <v>1</v>
      </c>
      <c r="AK595" s="317" t="s">
        <v>1</v>
      </c>
      <c r="AL595" s="316">
        <v>130</v>
      </c>
      <c r="AM595" s="318" t="s">
        <v>1</v>
      </c>
      <c r="AN595" s="319" t="s">
        <v>1</v>
      </c>
      <c r="AO595" s="319" t="s">
        <v>1</v>
      </c>
      <c r="AP595" s="316" t="s">
        <v>1</v>
      </c>
      <c r="AQ595" s="315" t="s">
        <v>1</v>
      </c>
      <c r="AR595" s="320" t="s">
        <v>1</v>
      </c>
      <c r="AS595" s="320" t="s">
        <v>1</v>
      </c>
      <c r="AT595" s="321" t="s">
        <v>1</v>
      </c>
      <c r="AU595" s="319" t="s">
        <v>1</v>
      </c>
      <c r="AV595" s="319" t="s">
        <v>1</v>
      </c>
      <c r="AW595" s="322" t="s">
        <v>1</v>
      </c>
    </row>
  </sheetData>
  <sheetProtection autoFilter="0"/>
  <mergeCells count="21">
    <mergeCell ref="AT13:AW13"/>
    <mergeCell ref="AP12:AS12"/>
    <mergeCell ref="N13:R13"/>
    <mergeCell ref="S13:W13"/>
    <mergeCell ref="X13:AB13"/>
    <mergeCell ref="AC13:AG13"/>
    <mergeCell ref="AH13:AK13"/>
    <mergeCell ref="AL13:AO13"/>
    <mergeCell ref="AP13:AS13"/>
    <mergeCell ref="N12:R12"/>
    <mergeCell ref="S12:W12"/>
    <mergeCell ref="X12:AB12"/>
    <mergeCell ref="AC12:AG12"/>
    <mergeCell ref="AH12:AK12"/>
    <mergeCell ref="AL12:AO12"/>
    <mergeCell ref="AT11:AW11"/>
    <mergeCell ref="N11:W11"/>
    <mergeCell ref="X11:AG11"/>
    <mergeCell ref="AH11:AK11"/>
    <mergeCell ref="AL11:AO11"/>
    <mergeCell ref="AP11:AS11"/>
  </mergeCells>
  <conditionalFormatting sqref="E15:F39 E572:F595 E493:F495 E439:F456 E459:F485 E42:F113 E116:F138 E499:F531 E178:F431">
    <cfRule type="duplicateValues" dxfId="162" priority="75"/>
  </conditionalFormatting>
  <conditionalFormatting sqref="E150:F150 E155:E156 E139:E149 E151">
    <cfRule type="duplicateValues" dxfId="161" priority="74"/>
  </conditionalFormatting>
  <conditionalFormatting sqref="E150:F150 E139:E149 E151">
    <cfRule type="duplicateValues" dxfId="160" priority="73"/>
  </conditionalFormatting>
  <conditionalFormatting sqref="E150:F150">
    <cfRule type="duplicateValues" dxfId="159" priority="72"/>
  </conditionalFormatting>
  <conditionalFormatting sqref="E152:F154">
    <cfRule type="duplicateValues" dxfId="158" priority="71"/>
  </conditionalFormatting>
  <conditionalFormatting sqref="E152:F154">
    <cfRule type="duplicateValues" dxfId="157" priority="70"/>
  </conditionalFormatting>
  <conditionalFormatting sqref="E152:F154">
    <cfRule type="duplicateValues" dxfId="156" priority="69"/>
  </conditionalFormatting>
  <conditionalFormatting sqref="E490:F492">
    <cfRule type="duplicateValues" dxfId="155" priority="66"/>
  </conditionalFormatting>
  <conditionalFormatting sqref="E490:F492">
    <cfRule type="duplicateValues" dxfId="154" priority="67"/>
  </conditionalFormatting>
  <conditionalFormatting sqref="E490:F492">
    <cfRule type="duplicateValues" dxfId="153" priority="68"/>
  </conditionalFormatting>
  <conditionalFormatting sqref="E486:F489">
    <cfRule type="duplicateValues" dxfId="152" priority="63"/>
  </conditionalFormatting>
  <conditionalFormatting sqref="E486:F489">
    <cfRule type="duplicateValues" dxfId="151" priority="64"/>
  </conditionalFormatting>
  <conditionalFormatting sqref="E486:F489">
    <cfRule type="duplicateValues" dxfId="150" priority="65"/>
  </conditionalFormatting>
  <conditionalFormatting sqref="E114:F115">
    <cfRule type="duplicateValues" dxfId="149" priority="60"/>
  </conditionalFormatting>
  <conditionalFormatting sqref="E114:F115">
    <cfRule type="duplicateValues" dxfId="148" priority="61"/>
  </conditionalFormatting>
  <conditionalFormatting sqref="E114:F115">
    <cfRule type="duplicateValues" dxfId="147" priority="62"/>
  </conditionalFormatting>
  <conditionalFormatting sqref="E40:F41">
    <cfRule type="duplicateValues" dxfId="146" priority="76"/>
  </conditionalFormatting>
  <conditionalFormatting sqref="E436:F437">
    <cfRule type="duplicateValues" dxfId="145" priority="57"/>
  </conditionalFormatting>
  <conditionalFormatting sqref="E436:F437">
    <cfRule type="duplicateValues" dxfId="144" priority="58"/>
  </conditionalFormatting>
  <conditionalFormatting sqref="E436:F437">
    <cfRule type="duplicateValues" dxfId="143" priority="59"/>
  </conditionalFormatting>
  <conditionalFormatting sqref="E432:F434">
    <cfRule type="duplicateValues" dxfId="142" priority="54"/>
  </conditionalFormatting>
  <conditionalFormatting sqref="E432:F434">
    <cfRule type="duplicateValues" dxfId="141" priority="55"/>
  </conditionalFormatting>
  <conditionalFormatting sqref="E432:F434">
    <cfRule type="duplicateValues" dxfId="140" priority="56"/>
  </conditionalFormatting>
  <conditionalFormatting sqref="E457:F457">
    <cfRule type="duplicateValues" dxfId="139" priority="51"/>
  </conditionalFormatting>
  <conditionalFormatting sqref="E457:F457">
    <cfRule type="duplicateValues" dxfId="138" priority="52"/>
  </conditionalFormatting>
  <conditionalFormatting sqref="E457:F457">
    <cfRule type="duplicateValues" dxfId="137" priority="53"/>
  </conditionalFormatting>
  <conditionalFormatting sqref="E458:F458">
    <cfRule type="duplicateValues" dxfId="136" priority="48"/>
  </conditionalFormatting>
  <conditionalFormatting sqref="E458:F458">
    <cfRule type="duplicateValues" dxfId="135" priority="49"/>
  </conditionalFormatting>
  <conditionalFormatting sqref="E458:F458">
    <cfRule type="duplicateValues" dxfId="134" priority="50"/>
  </conditionalFormatting>
  <conditionalFormatting sqref="E438:F438">
    <cfRule type="duplicateValues" dxfId="133" priority="45"/>
  </conditionalFormatting>
  <conditionalFormatting sqref="E438:F438">
    <cfRule type="duplicateValues" dxfId="132" priority="46"/>
  </conditionalFormatting>
  <conditionalFormatting sqref="E438:F438">
    <cfRule type="duplicateValues" dxfId="131" priority="47"/>
  </conditionalFormatting>
  <conditionalFormatting sqref="E435:F435">
    <cfRule type="duplicateValues" dxfId="130" priority="42"/>
  </conditionalFormatting>
  <conditionalFormatting sqref="E435:F435">
    <cfRule type="duplicateValues" dxfId="129" priority="43"/>
  </conditionalFormatting>
  <conditionalFormatting sqref="E435:F435">
    <cfRule type="duplicateValues" dxfId="128" priority="44"/>
  </conditionalFormatting>
  <conditionalFormatting sqref="F117:F118">
    <cfRule type="duplicateValues" dxfId="127" priority="41"/>
  </conditionalFormatting>
  <conditionalFormatting sqref="F121:F122">
    <cfRule type="duplicateValues" dxfId="126" priority="40"/>
  </conditionalFormatting>
  <conditionalFormatting sqref="F124:F132">
    <cfRule type="duplicateValues" dxfId="125" priority="39"/>
  </conditionalFormatting>
  <conditionalFormatting sqref="F135:F136">
    <cfRule type="duplicateValues" dxfId="124" priority="38"/>
  </conditionalFormatting>
  <conditionalFormatting sqref="F139:F149">
    <cfRule type="duplicateValues" dxfId="123" priority="34"/>
  </conditionalFormatting>
  <conditionalFormatting sqref="F139:F149">
    <cfRule type="duplicateValues" dxfId="122" priority="35"/>
  </conditionalFormatting>
  <conditionalFormatting sqref="F139:F149">
    <cfRule type="duplicateValues" dxfId="121" priority="36"/>
  </conditionalFormatting>
  <conditionalFormatting sqref="F139:F149">
    <cfRule type="duplicateValues" dxfId="120" priority="37"/>
  </conditionalFormatting>
  <conditionalFormatting sqref="F151">
    <cfRule type="duplicateValues" dxfId="119" priority="30"/>
  </conditionalFormatting>
  <conditionalFormatting sqref="F151">
    <cfRule type="duplicateValues" dxfId="118" priority="31"/>
  </conditionalFormatting>
  <conditionalFormatting sqref="F151">
    <cfRule type="duplicateValues" dxfId="117" priority="32"/>
  </conditionalFormatting>
  <conditionalFormatting sqref="F151">
    <cfRule type="duplicateValues" dxfId="116" priority="33"/>
  </conditionalFormatting>
  <conditionalFormatting sqref="F155:F156">
    <cfRule type="duplicateValues" dxfId="115" priority="26"/>
  </conditionalFormatting>
  <conditionalFormatting sqref="F155:F156">
    <cfRule type="duplicateValues" dxfId="114" priority="27"/>
  </conditionalFormatting>
  <conditionalFormatting sqref="F155:F156">
    <cfRule type="duplicateValues" dxfId="113" priority="28"/>
  </conditionalFormatting>
  <conditionalFormatting sqref="F155:F156">
    <cfRule type="duplicateValues" dxfId="112" priority="29"/>
  </conditionalFormatting>
  <conditionalFormatting sqref="F180:F181">
    <cfRule type="duplicateValues" dxfId="111" priority="25"/>
  </conditionalFormatting>
  <conditionalFormatting sqref="F187:F188">
    <cfRule type="duplicateValues" dxfId="110" priority="24"/>
  </conditionalFormatting>
  <conditionalFormatting sqref="F190">
    <cfRule type="duplicateValues" dxfId="109" priority="23"/>
  </conditionalFormatting>
  <conditionalFormatting sqref="F199:F201">
    <cfRule type="duplicateValues" dxfId="108" priority="22"/>
  </conditionalFormatting>
  <conditionalFormatting sqref="F214">
    <cfRule type="duplicateValues" dxfId="107" priority="21"/>
  </conditionalFormatting>
  <conditionalFormatting sqref="F228">
    <cfRule type="duplicateValues" dxfId="106" priority="20"/>
  </conditionalFormatting>
  <conditionalFormatting sqref="F232">
    <cfRule type="duplicateValues" dxfId="105" priority="19"/>
  </conditionalFormatting>
  <conditionalFormatting sqref="F245:F247">
    <cfRule type="duplicateValues" dxfId="104" priority="18"/>
  </conditionalFormatting>
  <conditionalFormatting sqref="F249">
    <cfRule type="duplicateValues" dxfId="103" priority="17"/>
  </conditionalFormatting>
  <conditionalFormatting sqref="F251:F255">
    <cfRule type="duplicateValues" dxfId="102" priority="16"/>
  </conditionalFormatting>
  <conditionalFormatting sqref="F257">
    <cfRule type="duplicateValues" dxfId="101" priority="15"/>
  </conditionalFormatting>
  <conditionalFormatting sqref="F261">
    <cfRule type="duplicateValues" dxfId="100" priority="14"/>
  </conditionalFormatting>
  <conditionalFormatting sqref="F263:F273">
    <cfRule type="duplicateValues" dxfId="99" priority="13"/>
  </conditionalFormatting>
  <conditionalFormatting sqref="F292">
    <cfRule type="duplicateValues" dxfId="98" priority="12"/>
  </conditionalFormatting>
  <conditionalFormatting sqref="F294">
    <cfRule type="duplicateValues" dxfId="97" priority="11"/>
  </conditionalFormatting>
  <conditionalFormatting sqref="F297:F298">
    <cfRule type="duplicateValues" dxfId="96" priority="10"/>
  </conditionalFormatting>
  <conditionalFormatting sqref="F300:F304">
    <cfRule type="duplicateValues" dxfId="95" priority="9"/>
  </conditionalFormatting>
  <conditionalFormatting sqref="F306">
    <cfRule type="duplicateValues" dxfId="94" priority="8"/>
  </conditionalFormatting>
  <conditionalFormatting sqref="F310:F313">
    <cfRule type="duplicateValues" dxfId="93" priority="7"/>
  </conditionalFormatting>
  <conditionalFormatting sqref="F315">
    <cfRule type="duplicateValues" dxfId="92" priority="6"/>
  </conditionalFormatting>
  <conditionalFormatting sqref="F317:F326">
    <cfRule type="duplicateValues" dxfId="91" priority="5"/>
  </conditionalFormatting>
  <conditionalFormatting sqref="F238:F239">
    <cfRule type="duplicateValues" dxfId="90" priority="77"/>
  </conditionalFormatting>
  <conditionalFormatting sqref="E572:F595 E15:F39 E493:F495 E439:F456 E459:F485 E42:F113 E116:F138 E499:F531 E178:F431">
    <cfRule type="duplicateValues" dxfId="89" priority="78"/>
  </conditionalFormatting>
  <conditionalFormatting sqref="E572:F595 E15:F39 E493:F495 E439:F456 E459:F485 E42:F113 E116:F138 E499:F531 E178:F431">
    <cfRule type="duplicateValues" dxfId="88" priority="79"/>
  </conditionalFormatting>
  <conditionalFormatting sqref="E496:F498">
    <cfRule type="duplicateValues" dxfId="87" priority="2"/>
  </conditionalFormatting>
  <conditionalFormatting sqref="E496:F498">
    <cfRule type="duplicateValues" dxfId="86" priority="3"/>
  </conditionalFormatting>
  <conditionalFormatting sqref="E496:F498">
    <cfRule type="duplicateValues" dxfId="85" priority="4"/>
  </conditionalFormatting>
  <conditionalFormatting sqref="E560:F571 E532:F556">
    <cfRule type="duplicateValues" dxfId="84" priority="80"/>
  </conditionalFormatting>
  <conditionalFormatting sqref="E557:F559">
    <cfRule type="duplicateValues" dxfId="83" priority="1"/>
  </conditionalFormatting>
  <conditionalFormatting sqref="E42:F108 E18:F39">
    <cfRule type="duplicateValues" dxfId="82" priority="81"/>
  </conditionalFormatting>
  <printOptions horizontalCentered="1"/>
  <pageMargins left="0.23622047244094491" right="0.23622047244094491" top="0.31496062992125984" bottom="0" header="0" footer="0"/>
  <pageSetup scale="22" fitToHeight="0" orientation="landscape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1378-9917-44DF-840C-B95D21A43468}">
  <sheetPr codeName="Sheet5">
    <pageSetUpPr fitToPage="1"/>
  </sheetPr>
  <dimension ref="A1:AW595"/>
  <sheetViews>
    <sheetView showGridLines="0" zoomScale="50" zoomScaleNormal="50" workbookViewId="0">
      <pane xSplit="7" ySplit="14" topLeftCell="H15" activePane="bottomRight" state="frozen"/>
      <selection pane="topRight" activeCell="H1" sqref="H1"/>
      <selection pane="bottomLeft" activeCell="A14" sqref="A14"/>
      <selection pane="bottomRight" activeCell="A11" sqref="A11:AW595"/>
    </sheetView>
  </sheetViews>
  <sheetFormatPr defaultColWidth="19.6640625" defaultRowHeight="13.2" x14ac:dyDescent="0.25"/>
  <cols>
    <col min="1" max="3" width="19.6640625" style="64"/>
    <col min="4" max="11" width="19.6640625" style="90"/>
    <col min="12" max="16384" width="19.6640625" style="79"/>
  </cols>
  <sheetData>
    <row r="1" spans="1:49" ht="38.25" customHeight="1" x14ac:dyDescent="0.25">
      <c r="A1" s="110" t="s">
        <v>1137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49" ht="15.6" x14ac:dyDescent="0.25">
      <c r="A2" s="76"/>
      <c r="B2" s="76"/>
      <c r="C2" s="76"/>
      <c r="D2" s="68"/>
      <c r="E2" s="68"/>
      <c r="F2" s="68"/>
      <c r="G2" s="68"/>
      <c r="H2" s="68"/>
      <c r="I2" s="68"/>
      <c r="J2" s="68"/>
      <c r="K2" s="68"/>
    </row>
    <row r="3" spans="1:49" ht="15.6" x14ac:dyDescent="0.25">
      <c r="A3" s="69" t="s">
        <v>38</v>
      </c>
      <c r="B3" s="172"/>
      <c r="C3" s="70"/>
      <c r="D3" s="70"/>
      <c r="E3" s="70"/>
      <c r="F3" s="70"/>
      <c r="G3" s="70"/>
      <c r="H3" s="70"/>
      <c r="I3" s="70"/>
      <c r="J3" s="70"/>
      <c r="K3" s="70"/>
    </row>
    <row r="4" spans="1:49" ht="31.2" customHeight="1" x14ac:dyDescent="0.25">
      <c r="A4" s="73" t="s">
        <v>23</v>
      </c>
      <c r="B4" s="180"/>
      <c r="C4" s="74"/>
      <c r="D4" s="74"/>
      <c r="E4" s="74"/>
      <c r="F4" s="74"/>
      <c r="G4" s="74"/>
      <c r="H4" s="70"/>
      <c r="I4" s="70"/>
      <c r="J4" s="70"/>
      <c r="K4" s="70"/>
    </row>
    <row r="5" spans="1:49" ht="15.6" x14ac:dyDescent="0.25">
      <c r="A5" s="73"/>
      <c r="B5" s="75"/>
      <c r="C5" s="74"/>
      <c r="D5" s="74"/>
      <c r="E5" s="74"/>
      <c r="F5" s="74"/>
      <c r="G5" s="74"/>
      <c r="H5" s="70"/>
      <c r="I5" s="70"/>
      <c r="J5" s="74"/>
      <c r="K5" s="74"/>
    </row>
    <row r="6" spans="1:49" ht="15.6" x14ac:dyDescent="0.25">
      <c r="A6" s="77"/>
      <c r="B6" s="78" t="s">
        <v>43</v>
      </c>
      <c r="C6" s="74"/>
      <c r="D6" s="74"/>
      <c r="E6" s="74"/>
      <c r="F6" s="74"/>
      <c r="G6" s="74"/>
      <c r="H6" s="74"/>
      <c r="I6" s="74"/>
      <c r="J6" s="74"/>
      <c r="K6" s="74"/>
    </row>
    <row r="7" spans="1:49" ht="15.6" x14ac:dyDescent="0.25">
      <c r="A7" s="123"/>
      <c r="B7" s="78" t="s">
        <v>44</v>
      </c>
      <c r="C7" s="72"/>
      <c r="D7" s="72"/>
      <c r="E7" s="72"/>
      <c r="F7" s="72"/>
      <c r="G7" s="72"/>
      <c r="H7" s="72"/>
      <c r="I7" s="72"/>
      <c r="J7" s="72"/>
      <c r="K7" s="72"/>
    </row>
    <row r="8" spans="1:49" ht="15.6" x14ac:dyDescent="0.25">
      <c r="A8" s="124"/>
      <c r="B8" s="78" t="s">
        <v>40</v>
      </c>
      <c r="C8" s="72"/>
      <c r="D8" s="72"/>
      <c r="E8" s="72"/>
      <c r="F8" s="72"/>
      <c r="G8" s="72"/>
      <c r="H8" s="72"/>
      <c r="I8" s="72"/>
      <c r="J8" s="72"/>
      <c r="K8" s="72"/>
    </row>
    <row r="9" spans="1:49" ht="15.6" x14ac:dyDescent="0.25">
      <c r="A9" s="125"/>
      <c r="B9" s="78" t="s">
        <v>47</v>
      </c>
      <c r="C9" s="72"/>
      <c r="D9" s="72"/>
      <c r="E9" s="72"/>
      <c r="F9" s="72"/>
      <c r="G9" s="72"/>
      <c r="H9" s="72"/>
      <c r="I9" s="72"/>
      <c r="J9" s="72"/>
      <c r="K9" s="72"/>
    </row>
    <row r="10" spans="1:49" ht="15.6" x14ac:dyDescent="0.25">
      <c r="A10" s="181">
        <v>0.4</v>
      </c>
      <c r="B10" s="182" t="s">
        <v>1250</v>
      </c>
      <c r="C10" s="72"/>
      <c r="D10" s="72"/>
      <c r="E10" s="72"/>
      <c r="F10" s="72"/>
      <c r="G10" s="72"/>
      <c r="H10" s="72"/>
      <c r="I10" s="72"/>
      <c r="J10" s="72"/>
      <c r="K10" s="72"/>
    </row>
    <row r="11" spans="1:49" ht="30.15" customHeight="1" x14ac:dyDescent="0.25">
      <c r="A11" s="80"/>
      <c r="B11" s="80"/>
      <c r="C11" s="72"/>
      <c r="D11" s="72"/>
      <c r="E11" s="68"/>
      <c r="F11" s="68"/>
      <c r="G11" s="176"/>
      <c r="H11" s="68"/>
      <c r="I11" s="68"/>
      <c r="J11" s="68"/>
      <c r="K11" s="68"/>
      <c r="L11" s="68"/>
      <c r="M11" s="68"/>
      <c r="N11" s="328" t="s">
        <v>813</v>
      </c>
      <c r="O11" s="329"/>
      <c r="P11" s="329"/>
      <c r="Q11" s="329"/>
      <c r="R11" s="329"/>
      <c r="S11" s="329"/>
      <c r="T11" s="329"/>
      <c r="U11" s="329"/>
      <c r="V11" s="329"/>
      <c r="W11" s="330"/>
      <c r="X11" s="328" t="s">
        <v>1032</v>
      </c>
      <c r="Y11" s="329"/>
      <c r="Z11" s="329"/>
      <c r="AA11" s="329"/>
      <c r="AB11" s="329"/>
      <c r="AC11" s="329"/>
      <c r="AD11" s="329"/>
      <c r="AE11" s="329"/>
      <c r="AF11" s="329"/>
      <c r="AG11" s="330"/>
      <c r="AH11" s="328" t="s">
        <v>814</v>
      </c>
      <c r="AI11" s="329"/>
      <c r="AJ11" s="329"/>
      <c r="AK11" s="330"/>
      <c r="AL11" s="328" t="s">
        <v>815</v>
      </c>
      <c r="AM11" s="331"/>
      <c r="AN11" s="331"/>
      <c r="AO11" s="330"/>
      <c r="AP11" s="328" t="s">
        <v>816</v>
      </c>
      <c r="AQ11" s="329"/>
      <c r="AR11" s="329"/>
      <c r="AS11" s="330"/>
      <c r="AT11" s="332" t="s">
        <v>817</v>
      </c>
      <c r="AU11" s="333"/>
      <c r="AV11" s="333"/>
      <c r="AW11" s="334"/>
    </row>
    <row r="12" spans="1:49" ht="30.15" customHeight="1" x14ac:dyDescent="0.25">
      <c r="A12" s="80"/>
      <c r="B12" s="80"/>
      <c r="C12" s="80"/>
      <c r="D12" s="81"/>
      <c r="E12" s="68"/>
      <c r="F12" s="68"/>
      <c r="G12" s="176"/>
      <c r="H12" s="68"/>
      <c r="I12" s="68"/>
      <c r="J12" s="68"/>
      <c r="K12" s="68"/>
      <c r="L12" s="66"/>
      <c r="M12" s="66"/>
      <c r="N12" s="324" t="s">
        <v>59</v>
      </c>
      <c r="O12" s="324"/>
      <c r="P12" s="324"/>
      <c r="Q12" s="324"/>
      <c r="R12" s="325"/>
      <c r="S12" s="336" t="s">
        <v>93</v>
      </c>
      <c r="T12" s="336"/>
      <c r="U12" s="336"/>
      <c r="V12" s="336"/>
      <c r="W12" s="325"/>
      <c r="X12" s="324" t="s">
        <v>1033</v>
      </c>
      <c r="Y12" s="324"/>
      <c r="Z12" s="324"/>
      <c r="AA12" s="324"/>
      <c r="AB12" s="325"/>
      <c r="AC12" s="336" t="s">
        <v>1034</v>
      </c>
      <c r="AD12" s="325"/>
      <c r="AE12" s="325"/>
      <c r="AF12" s="325"/>
      <c r="AG12" s="325"/>
      <c r="AH12" s="324" t="s">
        <v>59</v>
      </c>
      <c r="AI12" s="324"/>
      <c r="AJ12" s="324"/>
      <c r="AK12" s="325"/>
      <c r="AL12" s="324" t="s">
        <v>59</v>
      </c>
      <c r="AM12" s="335"/>
      <c r="AN12" s="335"/>
      <c r="AO12" s="335"/>
      <c r="AP12" s="324" t="s">
        <v>59</v>
      </c>
      <c r="AQ12" s="324"/>
      <c r="AR12" s="324"/>
      <c r="AS12" s="325"/>
      <c r="AT12" s="126" t="s">
        <v>59</v>
      </c>
      <c r="AU12" s="126"/>
      <c r="AV12" s="126"/>
      <c r="AW12" s="126"/>
    </row>
    <row r="13" spans="1:49" ht="30.15" customHeight="1" x14ac:dyDescent="0.25">
      <c r="A13" s="82"/>
      <c r="B13" s="82"/>
      <c r="C13" s="82"/>
      <c r="D13" s="82"/>
      <c r="E13" s="82"/>
      <c r="F13" s="82"/>
      <c r="G13" s="82"/>
      <c r="H13" s="82"/>
      <c r="I13" s="127"/>
      <c r="J13" s="127"/>
      <c r="K13" s="127"/>
      <c r="L13" s="186" t="s">
        <v>64</v>
      </c>
      <c r="M13" s="187" t="s">
        <v>20</v>
      </c>
      <c r="N13" s="326" t="s">
        <v>640</v>
      </c>
      <c r="O13" s="326"/>
      <c r="P13" s="326"/>
      <c r="Q13" s="326"/>
      <c r="R13" s="327"/>
      <c r="S13" s="326" t="s">
        <v>641</v>
      </c>
      <c r="T13" s="326"/>
      <c r="U13" s="326"/>
      <c r="V13" s="326"/>
      <c r="W13" s="327"/>
      <c r="X13" s="326" t="s">
        <v>1035</v>
      </c>
      <c r="Y13" s="326"/>
      <c r="Z13" s="326"/>
      <c r="AA13" s="326"/>
      <c r="AB13" s="327"/>
      <c r="AC13" s="326" t="s">
        <v>1036</v>
      </c>
      <c r="AD13" s="327"/>
      <c r="AE13" s="327"/>
      <c r="AF13" s="327"/>
      <c r="AG13" s="327"/>
      <c r="AH13" s="326" t="s">
        <v>818</v>
      </c>
      <c r="AI13" s="326"/>
      <c r="AJ13" s="326"/>
      <c r="AK13" s="327"/>
      <c r="AL13" s="326" t="s">
        <v>819</v>
      </c>
      <c r="AM13" s="327"/>
      <c r="AN13" s="327"/>
      <c r="AO13" s="327"/>
      <c r="AP13" s="326" t="s">
        <v>820</v>
      </c>
      <c r="AQ13" s="327"/>
      <c r="AR13" s="327"/>
      <c r="AS13" s="327"/>
      <c r="AT13" s="326" t="s">
        <v>826</v>
      </c>
      <c r="AU13" s="327"/>
      <c r="AV13" s="327"/>
      <c r="AW13" s="327"/>
    </row>
    <row r="14" spans="1:49" ht="30.15" customHeight="1" x14ac:dyDescent="0.25">
      <c r="A14" s="83" t="s">
        <v>30</v>
      </c>
      <c r="B14" s="83" t="s">
        <v>39</v>
      </c>
      <c r="C14" s="83" t="s">
        <v>33</v>
      </c>
      <c r="D14" s="84" t="s">
        <v>29</v>
      </c>
      <c r="E14" s="84" t="s">
        <v>0</v>
      </c>
      <c r="F14" s="84" t="s">
        <v>1031</v>
      </c>
      <c r="G14" s="84" t="s">
        <v>31</v>
      </c>
      <c r="H14" s="84" t="s">
        <v>410</v>
      </c>
      <c r="I14" s="84" t="s">
        <v>443</v>
      </c>
      <c r="J14" s="84" t="s">
        <v>444</v>
      </c>
      <c r="K14" s="84" t="s">
        <v>36</v>
      </c>
      <c r="L14" s="84" t="s">
        <v>20</v>
      </c>
      <c r="M14" s="168" t="s">
        <v>20</v>
      </c>
      <c r="N14" s="137" t="s">
        <v>614</v>
      </c>
      <c r="O14" s="146" t="s">
        <v>739</v>
      </c>
      <c r="P14" s="138" t="s">
        <v>740</v>
      </c>
      <c r="Q14" s="139" t="s">
        <v>653</v>
      </c>
      <c r="R14" s="50" t="s">
        <v>1249</v>
      </c>
      <c r="S14" s="128" t="s">
        <v>636</v>
      </c>
      <c r="T14" s="146" t="s">
        <v>739</v>
      </c>
      <c r="U14" s="138" t="s">
        <v>740</v>
      </c>
      <c r="V14" s="12" t="s">
        <v>653</v>
      </c>
      <c r="W14" s="12" t="s">
        <v>1249</v>
      </c>
      <c r="X14" s="128" t="s">
        <v>1037</v>
      </c>
      <c r="Y14" s="146" t="s">
        <v>739</v>
      </c>
      <c r="Z14" s="146" t="s">
        <v>740</v>
      </c>
      <c r="AA14" s="138" t="s">
        <v>653</v>
      </c>
      <c r="AB14" s="128" t="s">
        <v>1249</v>
      </c>
      <c r="AC14" s="128" t="s">
        <v>1038</v>
      </c>
      <c r="AD14" s="146" t="s">
        <v>739</v>
      </c>
      <c r="AE14" s="146" t="s">
        <v>740</v>
      </c>
      <c r="AF14" s="138" t="s">
        <v>653</v>
      </c>
      <c r="AG14" s="138" t="s">
        <v>1249</v>
      </c>
      <c r="AH14" s="138" t="s">
        <v>821</v>
      </c>
      <c r="AI14" s="138" t="s">
        <v>739</v>
      </c>
      <c r="AJ14" s="138" t="s">
        <v>822</v>
      </c>
      <c r="AK14" s="138" t="s">
        <v>1249</v>
      </c>
      <c r="AL14" s="138" t="s">
        <v>823</v>
      </c>
      <c r="AM14" s="138" t="s">
        <v>739</v>
      </c>
      <c r="AN14" s="138" t="s">
        <v>822</v>
      </c>
      <c r="AO14" s="128" t="s">
        <v>1249</v>
      </c>
      <c r="AP14" s="128" t="s">
        <v>824</v>
      </c>
      <c r="AQ14" s="138" t="s">
        <v>739</v>
      </c>
      <c r="AR14" s="138" t="s">
        <v>822</v>
      </c>
      <c r="AS14" s="138" t="s">
        <v>1249</v>
      </c>
      <c r="AT14" s="138" t="s">
        <v>825</v>
      </c>
      <c r="AU14" s="138" t="s">
        <v>739</v>
      </c>
      <c r="AV14" s="178" t="s">
        <v>822</v>
      </c>
      <c r="AW14" s="84" t="s">
        <v>1249</v>
      </c>
    </row>
    <row r="15" spans="1:49" ht="30.15" customHeight="1" x14ac:dyDescent="0.25">
      <c r="A15" s="188" t="s">
        <v>18</v>
      </c>
      <c r="B15" s="189" t="s">
        <v>1</v>
      </c>
      <c r="C15" s="188" t="s">
        <v>35</v>
      </c>
      <c r="D15" s="190" t="s">
        <v>245</v>
      </c>
      <c r="E15" s="190" t="s">
        <v>433</v>
      </c>
      <c r="F15" s="191"/>
      <c r="G15" s="192" t="s">
        <v>434</v>
      </c>
      <c r="H15" s="192" t="s">
        <v>409</v>
      </c>
      <c r="I15" s="193">
        <v>150</v>
      </c>
      <c r="J15" s="193">
        <v>150</v>
      </c>
      <c r="K15" s="193">
        <v>150</v>
      </c>
      <c r="L15" s="193">
        <v>190</v>
      </c>
      <c r="M15" s="194">
        <v>190</v>
      </c>
      <c r="N15" s="276" t="s">
        <v>1</v>
      </c>
      <c r="O15" s="277" t="s">
        <v>1</v>
      </c>
      <c r="P15" s="277" t="s">
        <v>1</v>
      </c>
      <c r="Q15" s="277" t="s">
        <v>1</v>
      </c>
      <c r="R15" s="277" t="s">
        <v>1</v>
      </c>
      <c r="S15" s="278" t="s">
        <v>1</v>
      </c>
      <c r="T15" s="277" t="s">
        <v>1</v>
      </c>
      <c r="U15" s="277" t="s">
        <v>1</v>
      </c>
      <c r="V15" s="277" t="s">
        <v>1</v>
      </c>
      <c r="W15" s="277" t="s">
        <v>1</v>
      </c>
      <c r="X15" s="278" t="s">
        <v>1</v>
      </c>
      <c r="Y15" s="277" t="s">
        <v>1</v>
      </c>
      <c r="Z15" s="277" t="s">
        <v>1</v>
      </c>
      <c r="AA15" s="277" t="s">
        <v>1</v>
      </c>
      <c r="AB15" s="277" t="s">
        <v>1</v>
      </c>
      <c r="AC15" s="278" t="s">
        <v>1</v>
      </c>
      <c r="AD15" s="277" t="s">
        <v>1</v>
      </c>
      <c r="AE15" s="277" t="s">
        <v>1</v>
      </c>
      <c r="AF15" s="277" t="s">
        <v>1</v>
      </c>
      <c r="AG15" s="277" t="s">
        <v>1</v>
      </c>
      <c r="AH15" s="278" t="s">
        <v>1</v>
      </c>
      <c r="AI15" s="279" t="s">
        <v>1</v>
      </c>
      <c r="AJ15" s="279" t="s">
        <v>1</v>
      </c>
      <c r="AK15" s="279" t="s">
        <v>1</v>
      </c>
      <c r="AL15" s="278">
        <v>76</v>
      </c>
      <c r="AM15" s="280" t="s">
        <v>1</v>
      </c>
      <c r="AN15" s="279" t="s">
        <v>1</v>
      </c>
      <c r="AO15" s="279" t="s">
        <v>1</v>
      </c>
      <c r="AP15" s="278" t="s">
        <v>1</v>
      </c>
      <c r="AQ15" s="277" t="s">
        <v>1</v>
      </c>
      <c r="AR15" s="281" t="s">
        <v>1</v>
      </c>
      <c r="AS15" s="281" t="s">
        <v>1</v>
      </c>
      <c r="AT15" s="282" t="s">
        <v>1</v>
      </c>
      <c r="AU15" s="279" t="s">
        <v>1</v>
      </c>
      <c r="AV15" s="279" t="s">
        <v>1</v>
      </c>
      <c r="AW15" s="283" t="s">
        <v>1</v>
      </c>
    </row>
    <row r="16" spans="1:49" ht="30.15" customHeight="1" x14ac:dyDescent="0.25">
      <c r="A16" s="188" t="s">
        <v>18</v>
      </c>
      <c r="B16" s="189" t="s">
        <v>1</v>
      </c>
      <c r="C16" s="188" t="s">
        <v>34</v>
      </c>
      <c r="D16" s="190" t="s">
        <v>245</v>
      </c>
      <c r="E16" s="190" t="s">
        <v>438</v>
      </c>
      <c r="F16" s="191"/>
      <c r="G16" s="192" t="s">
        <v>439</v>
      </c>
      <c r="H16" s="192" t="s">
        <v>409</v>
      </c>
      <c r="I16" s="193">
        <v>81</v>
      </c>
      <c r="J16" s="193">
        <v>81</v>
      </c>
      <c r="K16" s="193">
        <v>81</v>
      </c>
      <c r="L16" s="193">
        <v>85</v>
      </c>
      <c r="M16" s="194">
        <v>85</v>
      </c>
      <c r="N16" s="284">
        <v>34</v>
      </c>
      <c r="O16" s="285" t="s">
        <v>1</v>
      </c>
      <c r="P16" s="285" t="s">
        <v>1</v>
      </c>
      <c r="Q16" s="285" t="s">
        <v>1</v>
      </c>
      <c r="R16" s="285" t="s">
        <v>1</v>
      </c>
      <c r="S16" s="286">
        <v>34</v>
      </c>
      <c r="T16" s="285" t="s">
        <v>1</v>
      </c>
      <c r="U16" s="285" t="s">
        <v>1</v>
      </c>
      <c r="V16" s="285" t="s">
        <v>1</v>
      </c>
      <c r="W16" s="285" t="s">
        <v>1</v>
      </c>
      <c r="X16" s="286">
        <v>34</v>
      </c>
      <c r="Y16" s="285" t="s">
        <v>1</v>
      </c>
      <c r="Z16" s="285" t="s">
        <v>1</v>
      </c>
      <c r="AA16" s="285" t="s">
        <v>1</v>
      </c>
      <c r="AB16" s="285" t="s">
        <v>1</v>
      </c>
      <c r="AC16" s="286">
        <v>34</v>
      </c>
      <c r="AD16" s="285" t="s">
        <v>1</v>
      </c>
      <c r="AE16" s="285" t="s">
        <v>1</v>
      </c>
      <c r="AF16" s="285" t="s">
        <v>1</v>
      </c>
      <c r="AG16" s="285" t="s">
        <v>1</v>
      </c>
      <c r="AH16" s="286">
        <v>34</v>
      </c>
      <c r="AI16" s="287" t="s">
        <v>1</v>
      </c>
      <c r="AJ16" s="287" t="s">
        <v>1</v>
      </c>
      <c r="AK16" s="287" t="s">
        <v>1</v>
      </c>
      <c r="AL16" s="286" t="s">
        <v>1</v>
      </c>
      <c r="AM16" s="288" t="s">
        <v>1</v>
      </c>
      <c r="AN16" s="287" t="s">
        <v>1</v>
      </c>
      <c r="AO16" s="287" t="s">
        <v>1</v>
      </c>
      <c r="AP16" s="286" t="s">
        <v>1</v>
      </c>
      <c r="AQ16" s="285" t="s">
        <v>1</v>
      </c>
      <c r="AR16" s="289" t="s">
        <v>1</v>
      </c>
      <c r="AS16" s="289" t="s">
        <v>1</v>
      </c>
      <c r="AT16" s="290" t="s">
        <v>1</v>
      </c>
      <c r="AU16" s="287" t="s">
        <v>1</v>
      </c>
      <c r="AV16" s="287" t="s">
        <v>1</v>
      </c>
      <c r="AW16" s="291" t="s">
        <v>1</v>
      </c>
    </row>
    <row r="17" spans="1:49" ht="30.15" customHeight="1" x14ac:dyDescent="0.25">
      <c r="A17" s="188" t="s">
        <v>18</v>
      </c>
      <c r="B17" s="189" t="s">
        <v>1</v>
      </c>
      <c r="C17" s="188" t="s">
        <v>34</v>
      </c>
      <c r="D17" s="190" t="s">
        <v>245</v>
      </c>
      <c r="E17" s="190" t="s">
        <v>856</v>
      </c>
      <c r="F17" s="203"/>
      <c r="G17" s="204" t="s">
        <v>855</v>
      </c>
      <c r="H17" s="192" t="s">
        <v>409</v>
      </c>
      <c r="I17" s="205">
        <v>58</v>
      </c>
      <c r="J17" s="205">
        <v>58</v>
      </c>
      <c r="K17" s="205">
        <v>58</v>
      </c>
      <c r="L17" s="205">
        <v>75</v>
      </c>
      <c r="M17" s="206">
        <v>75</v>
      </c>
      <c r="N17" s="284">
        <v>30</v>
      </c>
      <c r="O17" s="292" t="s">
        <v>1</v>
      </c>
      <c r="P17" s="292" t="s">
        <v>1</v>
      </c>
      <c r="Q17" s="285" t="s">
        <v>1</v>
      </c>
      <c r="R17" s="285" t="s">
        <v>1</v>
      </c>
      <c r="S17" s="286">
        <v>30</v>
      </c>
      <c r="T17" s="292" t="s">
        <v>1</v>
      </c>
      <c r="U17" s="292" t="s">
        <v>1</v>
      </c>
      <c r="V17" s="285" t="s">
        <v>1</v>
      </c>
      <c r="W17" s="285" t="s">
        <v>1</v>
      </c>
      <c r="X17" s="286">
        <v>30</v>
      </c>
      <c r="Y17" s="285" t="s">
        <v>1</v>
      </c>
      <c r="Z17" s="285" t="s">
        <v>1</v>
      </c>
      <c r="AA17" s="285" t="s">
        <v>1</v>
      </c>
      <c r="AB17" s="285" t="s">
        <v>1</v>
      </c>
      <c r="AC17" s="286">
        <v>30</v>
      </c>
      <c r="AD17" s="285" t="s">
        <v>1</v>
      </c>
      <c r="AE17" s="285" t="s">
        <v>1</v>
      </c>
      <c r="AF17" s="285" t="s">
        <v>1</v>
      </c>
      <c r="AG17" s="285" t="s">
        <v>1</v>
      </c>
      <c r="AH17" s="286">
        <v>30</v>
      </c>
      <c r="AI17" s="289" t="s">
        <v>1</v>
      </c>
      <c r="AJ17" s="289" t="s">
        <v>1</v>
      </c>
      <c r="AK17" s="289" t="s">
        <v>1</v>
      </c>
      <c r="AL17" s="286" t="s">
        <v>1</v>
      </c>
      <c r="AM17" s="288" t="s">
        <v>1</v>
      </c>
      <c r="AN17" s="289" t="s">
        <v>1</v>
      </c>
      <c r="AO17" s="289" t="s">
        <v>1</v>
      </c>
      <c r="AP17" s="286" t="s">
        <v>1</v>
      </c>
      <c r="AQ17" s="285" t="s">
        <v>1</v>
      </c>
      <c r="AR17" s="289" t="s">
        <v>1</v>
      </c>
      <c r="AS17" s="289" t="s">
        <v>1</v>
      </c>
      <c r="AT17" s="293" t="s">
        <v>1</v>
      </c>
      <c r="AU17" s="289" t="s">
        <v>1</v>
      </c>
      <c r="AV17" s="289" t="s">
        <v>1</v>
      </c>
      <c r="AW17" s="294" t="s">
        <v>1</v>
      </c>
    </row>
    <row r="18" spans="1:49" ht="30.15" customHeight="1" x14ac:dyDescent="0.25">
      <c r="A18" s="188" t="s">
        <v>18</v>
      </c>
      <c r="B18" s="188" t="s">
        <v>1</v>
      </c>
      <c r="C18" s="188" t="s">
        <v>35</v>
      </c>
      <c r="D18" s="190" t="s">
        <v>3</v>
      </c>
      <c r="E18" s="190" t="s">
        <v>482</v>
      </c>
      <c r="F18" s="203"/>
      <c r="G18" s="190" t="s">
        <v>484</v>
      </c>
      <c r="H18" s="192" t="s">
        <v>481</v>
      </c>
      <c r="I18" s="194">
        <v>354</v>
      </c>
      <c r="J18" s="194">
        <v>380</v>
      </c>
      <c r="K18" s="193">
        <v>380</v>
      </c>
      <c r="L18" s="193">
        <v>120</v>
      </c>
      <c r="M18" s="194">
        <v>120</v>
      </c>
      <c r="N18" s="284" t="s">
        <v>1</v>
      </c>
      <c r="O18" s="285" t="s">
        <v>1</v>
      </c>
      <c r="P18" s="285" t="s">
        <v>1</v>
      </c>
      <c r="Q18" s="285" t="s">
        <v>1</v>
      </c>
      <c r="R18" s="285" t="s">
        <v>1</v>
      </c>
      <c r="S18" s="286" t="s">
        <v>1</v>
      </c>
      <c r="T18" s="285" t="s">
        <v>1</v>
      </c>
      <c r="U18" s="285" t="s">
        <v>1</v>
      </c>
      <c r="V18" s="285" t="s">
        <v>1</v>
      </c>
      <c r="W18" s="285" t="s">
        <v>1</v>
      </c>
      <c r="X18" s="286" t="s">
        <v>1</v>
      </c>
      <c r="Y18" s="285" t="s">
        <v>1</v>
      </c>
      <c r="Z18" s="285" t="s">
        <v>1</v>
      </c>
      <c r="AA18" s="285" t="s">
        <v>1</v>
      </c>
      <c r="AB18" s="285" t="s">
        <v>1</v>
      </c>
      <c r="AC18" s="286" t="s">
        <v>1</v>
      </c>
      <c r="AD18" s="285" t="s">
        <v>1</v>
      </c>
      <c r="AE18" s="285" t="s">
        <v>1</v>
      </c>
      <c r="AF18" s="285" t="s">
        <v>1</v>
      </c>
      <c r="AG18" s="285" t="s">
        <v>1</v>
      </c>
      <c r="AH18" s="286" t="s">
        <v>1</v>
      </c>
      <c r="AI18" s="287" t="s">
        <v>1</v>
      </c>
      <c r="AJ18" s="287" t="s">
        <v>1</v>
      </c>
      <c r="AK18" s="287" t="s">
        <v>1</v>
      </c>
      <c r="AL18" s="286">
        <v>48</v>
      </c>
      <c r="AM18" s="288" t="s">
        <v>1</v>
      </c>
      <c r="AN18" s="287" t="s">
        <v>1</v>
      </c>
      <c r="AO18" s="287" t="s">
        <v>1</v>
      </c>
      <c r="AP18" s="286" t="s">
        <v>1</v>
      </c>
      <c r="AQ18" s="285" t="s">
        <v>1</v>
      </c>
      <c r="AR18" s="289" t="s">
        <v>1</v>
      </c>
      <c r="AS18" s="289" t="s">
        <v>1</v>
      </c>
      <c r="AT18" s="290" t="s">
        <v>1</v>
      </c>
      <c r="AU18" s="287" t="s">
        <v>1</v>
      </c>
      <c r="AV18" s="287" t="s">
        <v>1</v>
      </c>
      <c r="AW18" s="291" t="s">
        <v>1</v>
      </c>
    </row>
    <row r="19" spans="1:49" ht="30.15" customHeight="1" x14ac:dyDescent="0.25">
      <c r="A19" s="188" t="s">
        <v>18</v>
      </c>
      <c r="B19" s="188" t="s">
        <v>1</v>
      </c>
      <c r="C19" s="188" t="s">
        <v>35</v>
      </c>
      <c r="D19" s="190" t="s">
        <v>3</v>
      </c>
      <c r="E19" s="190" t="s">
        <v>483</v>
      </c>
      <c r="F19" s="203"/>
      <c r="G19" s="190" t="s">
        <v>485</v>
      </c>
      <c r="H19" s="192" t="s">
        <v>481</v>
      </c>
      <c r="I19" s="194">
        <v>390</v>
      </c>
      <c r="J19" s="194">
        <v>420</v>
      </c>
      <c r="K19" s="193">
        <v>420</v>
      </c>
      <c r="L19" s="193">
        <v>160</v>
      </c>
      <c r="M19" s="194">
        <v>160</v>
      </c>
      <c r="N19" s="284" t="s">
        <v>1</v>
      </c>
      <c r="O19" s="285" t="s">
        <v>1</v>
      </c>
      <c r="P19" s="285" t="s">
        <v>1</v>
      </c>
      <c r="Q19" s="285" t="s">
        <v>1</v>
      </c>
      <c r="R19" s="285" t="s">
        <v>1</v>
      </c>
      <c r="S19" s="286" t="s">
        <v>1</v>
      </c>
      <c r="T19" s="285" t="s">
        <v>1</v>
      </c>
      <c r="U19" s="285" t="s">
        <v>1</v>
      </c>
      <c r="V19" s="285" t="s">
        <v>1</v>
      </c>
      <c r="W19" s="285" t="s">
        <v>1</v>
      </c>
      <c r="X19" s="286" t="s">
        <v>1</v>
      </c>
      <c r="Y19" s="285" t="s">
        <v>1</v>
      </c>
      <c r="Z19" s="285" t="s">
        <v>1</v>
      </c>
      <c r="AA19" s="285" t="s">
        <v>1</v>
      </c>
      <c r="AB19" s="285" t="s">
        <v>1</v>
      </c>
      <c r="AC19" s="286" t="s">
        <v>1</v>
      </c>
      <c r="AD19" s="285" t="s">
        <v>1</v>
      </c>
      <c r="AE19" s="285" t="s">
        <v>1</v>
      </c>
      <c r="AF19" s="285" t="s">
        <v>1</v>
      </c>
      <c r="AG19" s="285" t="s">
        <v>1</v>
      </c>
      <c r="AH19" s="286" t="s">
        <v>1</v>
      </c>
      <c r="AI19" s="287" t="s">
        <v>1</v>
      </c>
      <c r="AJ19" s="287" t="s">
        <v>1</v>
      </c>
      <c r="AK19" s="287" t="s">
        <v>1</v>
      </c>
      <c r="AL19" s="286">
        <v>64</v>
      </c>
      <c r="AM19" s="288" t="s">
        <v>1</v>
      </c>
      <c r="AN19" s="287" t="s">
        <v>1</v>
      </c>
      <c r="AO19" s="287" t="s">
        <v>1</v>
      </c>
      <c r="AP19" s="286" t="s">
        <v>1</v>
      </c>
      <c r="AQ19" s="285" t="s">
        <v>1</v>
      </c>
      <c r="AR19" s="289" t="s">
        <v>1</v>
      </c>
      <c r="AS19" s="289" t="s">
        <v>1</v>
      </c>
      <c r="AT19" s="290" t="s">
        <v>1</v>
      </c>
      <c r="AU19" s="287" t="s">
        <v>1</v>
      </c>
      <c r="AV19" s="287" t="s">
        <v>1</v>
      </c>
      <c r="AW19" s="291" t="s">
        <v>1</v>
      </c>
    </row>
    <row r="20" spans="1:49" ht="30.15" customHeight="1" x14ac:dyDescent="0.25">
      <c r="A20" s="188" t="s">
        <v>18</v>
      </c>
      <c r="B20" s="188" t="s">
        <v>1</v>
      </c>
      <c r="C20" s="188" t="s">
        <v>35</v>
      </c>
      <c r="D20" s="190" t="s">
        <v>3</v>
      </c>
      <c r="E20" s="190" t="s">
        <v>474</v>
      </c>
      <c r="F20" s="203"/>
      <c r="G20" s="190" t="s">
        <v>479</v>
      </c>
      <c r="H20" s="192" t="s">
        <v>742</v>
      </c>
      <c r="I20" s="194">
        <v>591</v>
      </c>
      <c r="J20" s="194">
        <v>649</v>
      </c>
      <c r="K20" s="193">
        <v>649</v>
      </c>
      <c r="L20" s="193">
        <v>240</v>
      </c>
      <c r="M20" s="194">
        <v>240</v>
      </c>
      <c r="N20" s="284" t="s">
        <v>1</v>
      </c>
      <c r="O20" s="285" t="s">
        <v>1</v>
      </c>
      <c r="P20" s="285" t="s">
        <v>1</v>
      </c>
      <c r="Q20" s="285" t="s">
        <v>1</v>
      </c>
      <c r="R20" s="285" t="s">
        <v>1</v>
      </c>
      <c r="S20" s="286" t="s">
        <v>1</v>
      </c>
      <c r="T20" s="285" t="s">
        <v>1</v>
      </c>
      <c r="U20" s="285" t="s">
        <v>1</v>
      </c>
      <c r="V20" s="285" t="s">
        <v>1</v>
      </c>
      <c r="W20" s="285" t="s">
        <v>1</v>
      </c>
      <c r="X20" s="286" t="s">
        <v>1</v>
      </c>
      <c r="Y20" s="285" t="s">
        <v>1</v>
      </c>
      <c r="Z20" s="285" t="s">
        <v>1</v>
      </c>
      <c r="AA20" s="285" t="s">
        <v>1</v>
      </c>
      <c r="AB20" s="285" t="s">
        <v>1</v>
      </c>
      <c r="AC20" s="286" t="s">
        <v>1</v>
      </c>
      <c r="AD20" s="285" t="s">
        <v>1</v>
      </c>
      <c r="AE20" s="285" t="s">
        <v>1</v>
      </c>
      <c r="AF20" s="285" t="s">
        <v>1</v>
      </c>
      <c r="AG20" s="285" t="s">
        <v>1</v>
      </c>
      <c r="AH20" s="286" t="s">
        <v>1</v>
      </c>
      <c r="AI20" s="287" t="s">
        <v>1</v>
      </c>
      <c r="AJ20" s="287" t="s">
        <v>1</v>
      </c>
      <c r="AK20" s="287" t="s">
        <v>1</v>
      </c>
      <c r="AL20" s="286">
        <v>96</v>
      </c>
      <c r="AM20" s="288" t="s">
        <v>1</v>
      </c>
      <c r="AN20" s="287" t="s">
        <v>1</v>
      </c>
      <c r="AO20" s="287" t="s">
        <v>1</v>
      </c>
      <c r="AP20" s="286" t="s">
        <v>1</v>
      </c>
      <c r="AQ20" s="285" t="s">
        <v>1</v>
      </c>
      <c r="AR20" s="289" t="s">
        <v>1</v>
      </c>
      <c r="AS20" s="289" t="s">
        <v>1</v>
      </c>
      <c r="AT20" s="290" t="s">
        <v>1</v>
      </c>
      <c r="AU20" s="287" t="s">
        <v>1</v>
      </c>
      <c r="AV20" s="287" t="s">
        <v>1</v>
      </c>
      <c r="AW20" s="291" t="s">
        <v>1</v>
      </c>
    </row>
    <row r="21" spans="1:49" ht="30.15" customHeight="1" x14ac:dyDescent="0.25">
      <c r="A21" s="188" t="s">
        <v>18</v>
      </c>
      <c r="B21" s="188" t="s">
        <v>1</v>
      </c>
      <c r="C21" s="188" t="s">
        <v>35</v>
      </c>
      <c r="D21" s="190" t="s">
        <v>3</v>
      </c>
      <c r="E21" s="190" t="s">
        <v>475</v>
      </c>
      <c r="F21" s="203"/>
      <c r="G21" s="190" t="s">
        <v>479</v>
      </c>
      <c r="H21" s="192" t="s">
        <v>742</v>
      </c>
      <c r="I21" s="194">
        <v>591</v>
      </c>
      <c r="J21" s="194">
        <v>649</v>
      </c>
      <c r="K21" s="193">
        <v>649</v>
      </c>
      <c r="L21" s="193">
        <v>240</v>
      </c>
      <c r="M21" s="194">
        <v>240</v>
      </c>
      <c r="N21" s="284" t="s">
        <v>1</v>
      </c>
      <c r="O21" s="285" t="s">
        <v>1</v>
      </c>
      <c r="P21" s="285" t="s">
        <v>1</v>
      </c>
      <c r="Q21" s="285" t="s">
        <v>1</v>
      </c>
      <c r="R21" s="285" t="s">
        <v>1</v>
      </c>
      <c r="S21" s="286" t="s">
        <v>1</v>
      </c>
      <c r="T21" s="285" t="s">
        <v>1</v>
      </c>
      <c r="U21" s="285" t="s">
        <v>1</v>
      </c>
      <c r="V21" s="285" t="s">
        <v>1</v>
      </c>
      <c r="W21" s="285" t="s">
        <v>1</v>
      </c>
      <c r="X21" s="286" t="s">
        <v>1</v>
      </c>
      <c r="Y21" s="285" t="s">
        <v>1</v>
      </c>
      <c r="Z21" s="285" t="s">
        <v>1</v>
      </c>
      <c r="AA21" s="285" t="s">
        <v>1</v>
      </c>
      <c r="AB21" s="285" t="s">
        <v>1</v>
      </c>
      <c r="AC21" s="286" t="s">
        <v>1</v>
      </c>
      <c r="AD21" s="285" t="s">
        <v>1</v>
      </c>
      <c r="AE21" s="285" t="s">
        <v>1</v>
      </c>
      <c r="AF21" s="285" t="s">
        <v>1</v>
      </c>
      <c r="AG21" s="285" t="s">
        <v>1</v>
      </c>
      <c r="AH21" s="286" t="s">
        <v>1</v>
      </c>
      <c r="AI21" s="287" t="s">
        <v>1</v>
      </c>
      <c r="AJ21" s="287" t="s">
        <v>1</v>
      </c>
      <c r="AK21" s="287" t="s">
        <v>1</v>
      </c>
      <c r="AL21" s="286">
        <v>96</v>
      </c>
      <c r="AM21" s="288" t="s">
        <v>1</v>
      </c>
      <c r="AN21" s="287" t="s">
        <v>1</v>
      </c>
      <c r="AO21" s="287" t="s">
        <v>1</v>
      </c>
      <c r="AP21" s="286" t="s">
        <v>1</v>
      </c>
      <c r="AQ21" s="285" t="s">
        <v>1</v>
      </c>
      <c r="AR21" s="289" t="s">
        <v>1</v>
      </c>
      <c r="AS21" s="289" t="s">
        <v>1</v>
      </c>
      <c r="AT21" s="290" t="s">
        <v>1</v>
      </c>
      <c r="AU21" s="287" t="s">
        <v>1</v>
      </c>
      <c r="AV21" s="287" t="s">
        <v>1</v>
      </c>
      <c r="AW21" s="291" t="s">
        <v>1</v>
      </c>
    </row>
    <row r="22" spans="1:49" ht="30.15" customHeight="1" x14ac:dyDescent="0.25">
      <c r="A22" s="188" t="s">
        <v>18</v>
      </c>
      <c r="B22" s="188" t="s">
        <v>1</v>
      </c>
      <c r="C22" s="188" t="s">
        <v>35</v>
      </c>
      <c r="D22" s="190" t="s">
        <v>3</v>
      </c>
      <c r="E22" s="190" t="s">
        <v>473</v>
      </c>
      <c r="F22" s="203"/>
      <c r="G22" s="190" t="s">
        <v>479</v>
      </c>
      <c r="H22" s="192" t="s">
        <v>742</v>
      </c>
      <c r="I22" s="194">
        <v>591</v>
      </c>
      <c r="J22" s="194">
        <v>649</v>
      </c>
      <c r="K22" s="193">
        <v>649</v>
      </c>
      <c r="L22" s="193">
        <v>240</v>
      </c>
      <c r="M22" s="194">
        <v>240</v>
      </c>
      <c r="N22" s="284" t="s">
        <v>1</v>
      </c>
      <c r="O22" s="285" t="s">
        <v>1</v>
      </c>
      <c r="P22" s="285" t="s">
        <v>1</v>
      </c>
      <c r="Q22" s="285" t="s">
        <v>1</v>
      </c>
      <c r="R22" s="285" t="s">
        <v>1</v>
      </c>
      <c r="S22" s="286" t="s">
        <v>1</v>
      </c>
      <c r="T22" s="285" t="s">
        <v>1</v>
      </c>
      <c r="U22" s="285" t="s">
        <v>1</v>
      </c>
      <c r="V22" s="285" t="s">
        <v>1</v>
      </c>
      <c r="W22" s="285" t="s">
        <v>1</v>
      </c>
      <c r="X22" s="286" t="s">
        <v>1</v>
      </c>
      <c r="Y22" s="285" t="s">
        <v>1</v>
      </c>
      <c r="Z22" s="285" t="s">
        <v>1</v>
      </c>
      <c r="AA22" s="285" t="s">
        <v>1</v>
      </c>
      <c r="AB22" s="285" t="s">
        <v>1</v>
      </c>
      <c r="AC22" s="286" t="s">
        <v>1</v>
      </c>
      <c r="AD22" s="285" t="s">
        <v>1</v>
      </c>
      <c r="AE22" s="285" t="s">
        <v>1</v>
      </c>
      <c r="AF22" s="285" t="s">
        <v>1</v>
      </c>
      <c r="AG22" s="285" t="s">
        <v>1</v>
      </c>
      <c r="AH22" s="286" t="s">
        <v>1</v>
      </c>
      <c r="AI22" s="287" t="s">
        <v>1</v>
      </c>
      <c r="AJ22" s="287" t="s">
        <v>1</v>
      </c>
      <c r="AK22" s="287" t="s">
        <v>1</v>
      </c>
      <c r="AL22" s="286">
        <v>96</v>
      </c>
      <c r="AM22" s="288" t="s">
        <v>1</v>
      </c>
      <c r="AN22" s="287" t="s">
        <v>1</v>
      </c>
      <c r="AO22" s="287" t="s">
        <v>1</v>
      </c>
      <c r="AP22" s="286" t="s">
        <v>1</v>
      </c>
      <c r="AQ22" s="285" t="s">
        <v>1</v>
      </c>
      <c r="AR22" s="289" t="s">
        <v>1</v>
      </c>
      <c r="AS22" s="289" t="s">
        <v>1</v>
      </c>
      <c r="AT22" s="290" t="s">
        <v>1</v>
      </c>
      <c r="AU22" s="287" t="s">
        <v>1</v>
      </c>
      <c r="AV22" s="287" t="s">
        <v>1</v>
      </c>
      <c r="AW22" s="291" t="s">
        <v>1</v>
      </c>
    </row>
    <row r="23" spans="1:49" ht="30.15" customHeight="1" x14ac:dyDescent="0.25">
      <c r="A23" s="188" t="s">
        <v>18</v>
      </c>
      <c r="B23" s="188" t="s">
        <v>1</v>
      </c>
      <c r="C23" s="188" t="s">
        <v>35</v>
      </c>
      <c r="D23" s="190" t="s">
        <v>3</v>
      </c>
      <c r="E23" s="190" t="s">
        <v>476</v>
      </c>
      <c r="F23" s="203"/>
      <c r="G23" s="190" t="s">
        <v>480</v>
      </c>
      <c r="H23" s="192" t="s">
        <v>742</v>
      </c>
      <c r="I23" s="194">
        <v>627</v>
      </c>
      <c r="J23" s="194">
        <v>689</v>
      </c>
      <c r="K23" s="193">
        <v>689</v>
      </c>
      <c r="L23" s="193">
        <v>290</v>
      </c>
      <c r="M23" s="194">
        <v>290</v>
      </c>
      <c r="N23" s="284" t="s">
        <v>1</v>
      </c>
      <c r="O23" s="285" t="s">
        <v>1</v>
      </c>
      <c r="P23" s="285" t="s">
        <v>1</v>
      </c>
      <c r="Q23" s="285" t="s">
        <v>1</v>
      </c>
      <c r="R23" s="285" t="s">
        <v>1</v>
      </c>
      <c r="S23" s="286" t="s">
        <v>1</v>
      </c>
      <c r="T23" s="285" t="s">
        <v>1</v>
      </c>
      <c r="U23" s="285" t="s">
        <v>1</v>
      </c>
      <c r="V23" s="285" t="s">
        <v>1</v>
      </c>
      <c r="W23" s="285" t="s">
        <v>1</v>
      </c>
      <c r="X23" s="286" t="s">
        <v>1</v>
      </c>
      <c r="Y23" s="285" t="s">
        <v>1</v>
      </c>
      <c r="Z23" s="285" t="s">
        <v>1</v>
      </c>
      <c r="AA23" s="285" t="s">
        <v>1</v>
      </c>
      <c r="AB23" s="285" t="s">
        <v>1</v>
      </c>
      <c r="AC23" s="286" t="s">
        <v>1</v>
      </c>
      <c r="AD23" s="285" t="s">
        <v>1</v>
      </c>
      <c r="AE23" s="285" t="s">
        <v>1</v>
      </c>
      <c r="AF23" s="285" t="s">
        <v>1</v>
      </c>
      <c r="AG23" s="285" t="s">
        <v>1</v>
      </c>
      <c r="AH23" s="286" t="s">
        <v>1</v>
      </c>
      <c r="AI23" s="287" t="s">
        <v>1</v>
      </c>
      <c r="AJ23" s="287" t="s">
        <v>1</v>
      </c>
      <c r="AK23" s="287" t="s">
        <v>1</v>
      </c>
      <c r="AL23" s="286">
        <v>116</v>
      </c>
      <c r="AM23" s="288" t="s">
        <v>1</v>
      </c>
      <c r="AN23" s="287" t="s">
        <v>1</v>
      </c>
      <c r="AO23" s="287" t="s">
        <v>1</v>
      </c>
      <c r="AP23" s="286" t="s">
        <v>1</v>
      </c>
      <c r="AQ23" s="285" t="s">
        <v>1</v>
      </c>
      <c r="AR23" s="289" t="s">
        <v>1</v>
      </c>
      <c r="AS23" s="289" t="s">
        <v>1</v>
      </c>
      <c r="AT23" s="290" t="s">
        <v>1</v>
      </c>
      <c r="AU23" s="287" t="s">
        <v>1</v>
      </c>
      <c r="AV23" s="287" t="s">
        <v>1</v>
      </c>
      <c r="AW23" s="291" t="s">
        <v>1</v>
      </c>
    </row>
    <row r="24" spans="1:49" ht="30.15" customHeight="1" x14ac:dyDescent="0.25">
      <c r="A24" s="188" t="s">
        <v>18</v>
      </c>
      <c r="B24" s="188" t="s">
        <v>1</v>
      </c>
      <c r="C24" s="188" t="s">
        <v>35</v>
      </c>
      <c r="D24" s="190" t="s">
        <v>3</v>
      </c>
      <c r="E24" s="190" t="s">
        <v>477</v>
      </c>
      <c r="F24" s="203"/>
      <c r="G24" s="190" t="s">
        <v>480</v>
      </c>
      <c r="H24" s="192" t="s">
        <v>742</v>
      </c>
      <c r="I24" s="194">
        <v>627</v>
      </c>
      <c r="J24" s="194">
        <v>689</v>
      </c>
      <c r="K24" s="193">
        <v>689</v>
      </c>
      <c r="L24" s="193">
        <v>290</v>
      </c>
      <c r="M24" s="194">
        <v>290</v>
      </c>
      <c r="N24" s="284" t="s">
        <v>1</v>
      </c>
      <c r="O24" s="285" t="s">
        <v>1</v>
      </c>
      <c r="P24" s="285" t="s">
        <v>1</v>
      </c>
      <c r="Q24" s="285" t="s">
        <v>1</v>
      </c>
      <c r="R24" s="285" t="s">
        <v>1</v>
      </c>
      <c r="S24" s="286" t="s">
        <v>1</v>
      </c>
      <c r="T24" s="285" t="s">
        <v>1</v>
      </c>
      <c r="U24" s="285" t="s">
        <v>1</v>
      </c>
      <c r="V24" s="285" t="s">
        <v>1</v>
      </c>
      <c r="W24" s="285" t="s">
        <v>1</v>
      </c>
      <c r="X24" s="286" t="s">
        <v>1</v>
      </c>
      <c r="Y24" s="285" t="s">
        <v>1</v>
      </c>
      <c r="Z24" s="285" t="s">
        <v>1</v>
      </c>
      <c r="AA24" s="285" t="s">
        <v>1</v>
      </c>
      <c r="AB24" s="285" t="s">
        <v>1</v>
      </c>
      <c r="AC24" s="286" t="s">
        <v>1</v>
      </c>
      <c r="AD24" s="285" t="s">
        <v>1</v>
      </c>
      <c r="AE24" s="285" t="s">
        <v>1</v>
      </c>
      <c r="AF24" s="285" t="s">
        <v>1</v>
      </c>
      <c r="AG24" s="285" t="s">
        <v>1</v>
      </c>
      <c r="AH24" s="286" t="s">
        <v>1</v>
      </c>
      <c r="AI24" s="287" t="s">
        <v>1</v>
      </c>
      <c r="AJ24" s="287" t="s">
        <v>1</v>
      </c>
      <c r="AK24" s="287" t="s">
        <v>1</v>
      </c>
      <c r="AL24" s="286">
        <v>116</v>
      </c>
      <c r="AM24" s="288" t="s">
        <v>1</v>
      </c>
      <c r="AN24" s="287" t="s">
        <v>1</v>
      </c>
      <c r="AO24" s="287" t="s">
        <v>1</v>
      </c>
      <c r="AP24" s="286" t="s">
        <v>1</v>
      </c>
      <c r="AQ24" s="285" t="s">
        <v>1</v>
      </c>
      <c r="AR24" s="289" t="s">
        <v>1</v>
      </c>
      <c r="AS24" s="289" t="s">
        <v>1</v>
      </c>
      <c r="AT24" s="290" t="s">
        <v>1</v>
      </c>
      <c r="AU24" s="287" t="s">
        <v>1</v>
      </c>
      <c r="AV24" s="287" t="s">
        <v>1</v>
      </c>
      <c r="AW24" s="291" t="s">
        <v>1</v>
      </c>
    </row>
    <row r="25" spans="1:49" ht="30.15" customHeight="1" x14ac:dyDescent="0.25">
      <c r="A25" s="188" t="s">
        <v>18</v>
      </c>
      <c r="B25" s="188" t="s">
        <v>1</v>
      </c>
      <c r="C25" s="188" t="s">
        <v>35</v>
      </c>
      <c r="D25" s="190" t="s">
        <v>3</v>
      </c>
      <c r="E25" s="190" t="s">
        <v>478</v>
      </c>
      <c r="F25" s="203"/>
      <c r="G25" s="190" t="s">
        <v>480</v>
      </c>
      <c r="H25" s="192" t="s">
        <v>742</v>
      </c>
      <c r="I25" s="194">
        <v>627</v>
      </c>
      <c r="J25" s="194">
        <v>689</v>
      </c>
      <c r="K25" s="193">
        <v>689</v>
      </c>
      <c r="L25" s="193">
        <v>290</v>
      </c>
      <c r="M25" s="194">
        <v>290</v>
      </c>
      <c r="N25" s="284" t="s">
        <v>1</v>
      </c>
      <c r="O25" s="285" t="s">
        <v>1</v>
      </c>
      <c r="P25" s="285" t="s">
        <v>1</v>
      </c>
      <c r="Q25" s="285" t="s">
        <v>1</v>
      </c>
      <c r="R25" s="285" t="s">
        <v>1</v>
      </c>
      <c r="S25" s="286" t="s">
        <v>1</v>
      </c>
      <c r="T25" s="285" t="s">
        <v>1</v>
      </c>
      <c r="U25" s="285" t="s">
        <v>1</v>
      </c>
      <c r="V25" s="285" t="s">
        <v>1</v>
      </c>
      <c r="W25" s="285" t="s">
        <v>1</v>
      </c>
      <c r="X25" s="286" t="s">
        <v>1</v>
      </c>
      <c r="Y25" s="285" t="s">
        <v>1</v>
      </c>
      <c r="Z25" s="285" t="s">
        <v>1</v>
      </c>
      <c r="AA25" s="285" t="s">
        <v>1</v>
      </c>
      <c r="AB25" s="285" t="s">
        <v>1</v>
      </c>
      <c r="AC25" s="286" t="s">
        <v>1</v>
      </c>
      <c r="AD25" s="285" t="s">
        <v>1</v>
      </c>
      <c r="AE25" s="285" t="s">
        <v>1</v>
      </c>
      <c r="AF25" s="285" t="s">
        <v>1</v>
      </c>
      <c r="AG25" s="285" t="s">
        <v>1</v>
      </c>
      <c r="AH25" s="286" t="s">
        <v>1</v>
      </c>
      <c r="AI25" s="287" t="s">
        <v>1</v>
      </c>
      <c r="AJ25" s="287" t="s">
        <v>1</v>
      </c>
      <c r="AK25" s="287" t="s">
        <v>1</v>
      </c>
      <c r="AL25" s="286">
        <v>116</v>
      </c>
      <c r="AM25" s="288" t="s">
        <v>1</v>
      </c>
      <c r="AN25" s="287" t="s">
        <v>1</v>
      </c>
      <c r="AO25" s="287" t="s">
        <v>1</v>
      </c>
      <c r="AP25" s="286" t="s">
        <v>1</v>
      </c>
      <c r="AQ25" s="285" t="s">
        <v>1</v>
      </c>
      <c r="AR25" s="289" t="s">
        <v>1</v>
      </c>
      <c r="AS25" s="289" t="s">
        <v>1</v>
      </c>
      <c r="AT25" s="290" t="s">
        <v>1</v>
      </c>
      <c r="AU25" s="287" t="s">
        <v>1</v>
      </c>
      <c r="AV25" s="287" t="s">
        <v>1</v>
      </c>
      <c r="AW25" s="291" t="s">
        <v>1</v>
      </c>
    </row>
    <row r="26" spans="1:49" ht="30.15" customHeight="1" x14ac:dyDescent="0.25">
      <c r="A26" s="188" t="s">
        <v>18</v>
      </c>
      <c r="B26" s="188" t="s">
        <v>1</v>
      </c>
      <c r="C26" s="188" t="s">
        <v>35</v>
      </c>
      <c r="D26" s="190" t="s">
        <v>3</v>
      </c>
      <c r="E26" s="190" t="s">
        <v>711</v>
      </c>
      <c r="F26" s="203"/>
      <c r="G26" s="190" t="s">
        <v>705</v>
      </c>
      <c r="H26" s="192" t="s">
        <v>409</v>
      </c>
      <c r="I26" s="194">
        <v>600</v>
      </c>
      <c r="J26" s="194">
        <v>660</v>
      </c>
      <c r="K26" s="193">
        <v>660</v>
      </c>
      <c r="L26" s="193">
        <v>690</v>
      </c>
      <c r="M26" s="194">
        <v>690</v>
      </c>
      <c r="N26" s="284" t="s">
        <v>1</v>
      </c>
      <c r="O26" s="285" t="s">
        <v>1</v>
      </c>
      <c r="P26" s="285" t="s">
        <v>1</v>
      </c>
      <c r="Q26" s="285" t="s">
        <v>1</v>
      </c>
      <c r="R26" s="285" t="s">
        <v>1</v>
      </c>
      <c r="S26" s="286" t="s">
        <v>1</v>
      </c>
      <c r="T26" s="285" t="s">
        <v>1</v>
      </c>
      <c r="U26" s="285" t="s">
        <v>1</v>
      </c>
      <c r="V26" s="285" t="s">
        <v>1</v>
      </c>
      <c r="W26" s="285" t="s">
        <v>1</v>
      </c>
      <c r="X26" s="286" t="s">
        <v>1</v>
      </c>
      <c r="Y26" s="285" t="s">
        <v>1</v>
      </c>
      <c r="Z26" s="285" t="s">
        <v>1</v>
      </c>
      <c r="AA26" s="285" t="s">
        <v>1</v>
      </c>
      <c r="AB26" s="285" t="s">
        <v>1</v>
      </c>
      <c r="AC26" s="286" t="s">
        <v>1</v>
      </c>
      <c r="AD26" s="285" t="s">
        <v>1</v>
      </c>
      <c r="AE26" s="285" t="s">
        <v>1</v>
      </c>
      <c r="AF26" s="285" t="s">
        <v>1</v>
      </c>
      <c r="AG26" s="285" t="s">
        <v>1</v>
      </c>
      <c r="AH26" s="286" t="s">
        <v>1</v>
      </c>
      <c r="AI26" s="287" t="s">
        <v>1</v>
      </c>
      <c r="AJ26" s="287" t="s">
        <v>1</v>
      </c>
      <c r="AK26" s="287" t="s">
        <v>1</v>
      </c>
      <c r="AL26" s="286">
        <v>276</v>
      </c>
      <c r="AM26" s="288">
        <v>8.75</v>
      </c>
      <c r="AN26" s="285">
        <v>24</v>
      </c>
      <c r="AO26" s="287" t="s">
        <v>1</v>
      </c>
      <c r="AP26" s="286" t="s">
        <v>1</v>
      </c>
      <c r="AQ26" s="285" t="s">
        <v>1</v>
      </c>
      <c r="AR26" s="289" t="s">
        <v>1</v>
      </c>
      <c r="AS26" s="289" t="s">
        <v>1</v>
      </c>
      <c r="AT26" s="290" t="s">
        <v>1</v>
      </c>
      <c r="AU26" s="287" t="s">
        <v>1</v>
      </c>
      <c r="AV26" s="287" t="s">
        <v>1</v>
      </c>
      <c r="AW26" s="291" t="s">
        <v>1</v>
      </c>
    </row>
    <row r="27" spans="1:49" ht="30.15" customHeight="1" x14ac:dyDescent="0.25">
      <c r="A27" s="188" t="s">
        <v>18</v>
      </c>
      <c r="B27" s="188" t="s">
        <v>1</v>
      </c>
      <c r="C27" s="188" t="s">
        <v>35</v>
      </c>
      <c r="D27" s="190" t="s">
        <v>3</v>
      </c>
      <c r="E27" s="190" t="s">
        <v>712</v>
      </c>
      <c r="F27" s="203"/>
      <c r="G27" s="190" t="s">
        <v>705</v>
      </c>
      <c r="H27" s="192" t="s">
        <v>409</v>
      </c>
      <c r="I27" s="194">
        <v>600</v>
      </c>
      <c r="J27" s="194">
        <v>660</v>
      </c>
      <c r="K27" s="193">
        <v>660</v>
      </c>
      <c r="L27" s="193">
        <v>690</v>
      </c>
      <c r="M27" s="194">
        <v>690</v>
      </c>
      <c r="N27" s="284" t="s">
        <v>1</v>
      </c>
      <c r="O27" s="285" t="s">
        <v>1</v>
      </c>
      <c r="P27" s="285" t="s">
        <v>1</v>
      </c>
      <c r="Q27" s="285" t="s">
        <v>1</v>
      </c>
      <c r="R27" s="285" t="s">
        <v>1</v>
      </c>
      <c r="S27" s="286" t="s">
        <v>1</v>
      </c>
      <c r="T27" s="285" t="s">
        <v>1</v>
      </c>
      <c r="U27" s="285" t="s">
        <v>1</v>
      </c>
      <c r="V27" s="285" t="s">
        <v>1</v>
      </c>
      <c r="W27" s="285" t="s">
        <v>1</v>
      </c>
      <c r="X27" s="286" t="s">
        <v>1</v>
      </c>
      <c r="Y27" s="285" t="s">
        <v>1</v>
      </c>
      <c r="Z27" s="285" t="s">
        <v>1</v>
      </c>
      <c r="AA27" s="285" t="s">
        <v>1</v>
      </c>
      <c r="AB27" s="285" t="s">
        <v>1</v>
      </c>
      <c r="AC27" s="286" t="s">
        <v>1</v>
      </c>
      <c r="AD27" s="285" t="s">
        <v>1</v>
      </c>
      <c r="AE27" s="285" t="s">
        <v>1</v>
      </c>
      <c r="AF27" s="285" t="s">
        <v>1</v>
      </c>
      <c r="AG27" s="285" t="s">
        <v>1</v>
      </c>
      <c r="AH27" s="286" t="s">
        <v>1</v>
      </c>
      <c r="AI27" s="287" t="s">
        <v>1</v>
      </c>
      <c r="AJ27" s="287" t="s">
        <v>1</v>
      </c>
      <c r="AK27" s="287" t="s">
        <v>1</v>
      </c>
      <c r="AL27" s="286">
        <v>276</v>
      </c>
      <c r="AM27" s="288">
        <v>8.75</v>
      </c>
      <c r="AN27" s="285">
        <v>24</v>
      </c>
      <c r="AO27" s="287" t="s">
        <v>1</v>
      </c>
      <c r="AP27" s="286" t="s">
        <v>1</v>
      </c>
      <c r="AQ27" s="285" t="s">
        <v>1</v>
      </c>
      <c r="AR27" s="289" t="s">
        <v>1</v>
      </c>
      <c r="AS27" s="289" t="s">
        <v>1</v>
      </c>
      <c r="AT27" s="290" t="s">
        <v>1</v>
      </c>
      <c r="AU27" s="287" t="s">
        <v>1</v>
      </c>
      <c r="AV27" s="287" t="s">
        <v>1</v>
      </c>
      <c r="AW27" s="291" t="s">
        <v>1</v>
      </c>
    </row>
    <row r="28" spans="1:49" ht="30.15" customHeight="1" x14ac:dyDescent="0.25">
      <c r="A28" s="188" t="s">
        <v>18</v>
      </c>
      <c r="B28" s="188" t="s">
        <v>1</v>
      </c>
      <c r="C28" s="188" t="s">
        <v>35</v>
      </c>
      <c r="D28" s="190" t="s">
        <v>3</v>
      </c>
      <c r="E28" s="190" t="s">
        <v>713</v>
      </c>
      <c r="F28" s="203"/>
      <c r="G28" s="190" t="s">
        <v>705</v>
      </c>
      <c r="H28" s="192" t="s">
        <v>409</v>
      </c>
      <c r="I28" s="194">
        <v>600</v>
      </c>
      <c r="J28" s="194">
        <v>660</v>
      </c>
      <c r="K28" s="193">
        <v>660</v>
      </c>
      <c r="L28" s="193">
        <v>690</v>
      </c>
      <c r="M28" s="194">
        <v>690</v>
      </c>
      <c r="N28" s="284" t="s">
        <v>1</v>
      </c>
      <c r="O28" s="285" t="s">
        <v>1</v>
      </c>
      <c r="P28" s="285" t="s">
        <v>1</v>
      </c>
      <c r="Q28" s="285" t="s">
        <v>1</v>
      </c>
      <c r="R28" s="285" t="s">
        <v>1</v>
      </c>
      <c r="S28" s="286" t="s">
        <v>1</v>
      </c>
      <c r="T28" s="285" t="s">
        <v>1</v>
      </c>
      <c r="U28" s="285" t="s">
        <v>1</v>
      </c>
      <c r="V28" s="285" t="s">
        <v>1</v>
      </c>
      <c r="W28" s="285" t="s">
        <v>1</v>
      </c>
      <c r="X28" s="286" t="s">
        <v>1</v>
      </c>
      <c r="Y28" s="285" t="s">
        <v>1</v>
      </c>
      <c r="Z28" s="285" t="s">
        <v>1</v>
      </c>
      <c r="AA28" s="285" t="s">
        <v>1</v>
      </c>
      <c r="AB28" s="285" t="s">
        <v>1</v>
      </c>
      <c r="AC28" s="286" t="s">
        <v>1</v>
      </c>
      <c r="AD28" s="285" t="s">
        <v>1</v>
      </c>
      <c r="AE28" s="285" t="s">
        <v>1</v>
      </c>
      <c r="AF28" s="285" t="s">
        <v>1</v>
      </c>
      <c r="AG28" s="285" t="s">
        <v>1</v>
      </c>
      <c r="AH28" s="286" t="s">
        <v>1</v>
      </c>
      <c r="AI28" s="287" t="s">
        <v>1</v>
      </c>
      <c r="AJ28" s="287" t="s">
        <v>1</v>
      </c>
      <c r="AK28" s="287" t="s">
        <v>1</v>
      </c>
      <c r="AL28" s="286">
        <v>276</v>
      </c>
      <c r="AM28" s="288">
        <v>8.75</v>
      </c>
      <c r="AN28" s="285">
        <v>24</v>
      </c>
      <c r="AO28" s="287" t="s">
        <v>1</v>
      </c>
      <c r="AP28" s="286" t="s">
        <v>1</v>
      </c>
      <c r="AQ28" s="285" t="s">
        <v>1</v>
      </c>
      <c r="AR28" s="289" t="s">
        <v>1</v>
      </c>
      <c r="AS28" s="289" t="s">
        <v>1</v>
      </c>
      <c r="AT28" s="290" t="s">
        <v>1</v>
      </c>
      <c r="AU28" s="287" t="s">
        <v>1</v>
      </c>
      <c r="AV28" s="287" t="s">
        <v>1</v>
      </c>
      <c r="AW28" s="291" t="s">
        <v>1</v>
      </c>
    </row>
    <row r="29" spans="1:49" ht="30.15" customHeight="1" x14ac:dyDescent="0.25">
      <c r="A29" s="188" t="s">
        <v>18</v>
      </c>
      <c r="B29" s="188" t="s">
        <v>1</v>
      </c>
      <c r="C29" s="188" t="s">
        <v>35</v>
      </c>
      <c r="D29" s="190" t="s">
        <v>3</v>
      </c>
      <c r="E29" s="190" t="s">
        <v>714</v>
      </c>
      <c r="F29" s="203"/>
      <c r="G29" s="190" t="s">
        <v>706</v>
      </c>
      <c r="H29" s="192" t="s">
        <v>409</v>
      </c>
      <c r="I29" s="194">
        <v>636</v>
      </c>
      <c r="J29" s="194">
        <v>700</v>
      </c>
      <c r="K29" s="193">
        <v>700</v>
      </c>
      <c r="L29" s="193">
        <v>730</v>
      </c>
      <c r="M29" s="194">
        <v>730</v>
      </c>
      <c r="N29" s="284" t="s">
        <v>1</v>
      </c>
      <c r="O29" s="285" t="s">
        <v>1</v>
      </c>
      <c r="P29" s="285" t="s">
        <v>1</v>
      </c>
      <c r="Q29" s="285" t="s">
        <v>1</v>
      </c>
      <c r="R29" s="285" t="s">
        <v>1</v>
      </c>
      <c r="S29" s="286" t="s">
        <v>1</v>
      </c>
      <c r="T29" s="285" t="s">
        <v>1</v>
      </c>
      <c r="U29" s="285" t="s">
        <v>1</v>
      </c>
      <c r="V29" s="285" t="s">
        <v>1</v>
      </c>
      <c r="W29" s="285" t="s">
        <v>1</v>
      </c>
      <c r="X29" s="286" t="s">
        <v>1</v>
      </c>
      <c r="Y29" s="285" t="s">
        <v>1</v>
      </c>
      <c r="Z29" s="285" t="s">
        <v>1</v>
      </c>
      <c r="AA29" s="285" t="s">
        <v>1</v>
      </c>
      <c r="AB29" s="285" t="s">
        <v>1</v>
      </c>
      <c r="AC29" s="286" t="s">
        <v>1</v>
      </c>
      <c r="AD29" s="285" t="s">
        <v>1</v>
      </c>
      <c r="AE29" s="285" t="s">
        <v>1</v>
      </c>
      <c r="AF29" s="285" t="s">
        <v>1</v>
      </c>
      <c r="AG29" s="285" t="s">
        <v>1</v>
      </c>
      <c r="AH29" s="286" t="s">
        <v>1</v>
      </c>
      <c r="AI29" s="287" t="s">
        <v>1</v>
      </c>
      <c r="AJ29" s="287" t="s">
        <v>1</v>
      </c>
      <c r="AK29" s="287" t="s">
        <v>1</v>
      </c>
      <c r="AL29" s="286">
        <v>292</v>
      </c>
      <c r="AM29" s="288">
        <v>9.4200000000000017</v>
      </c>
      <c r="AN29" s="285">
        <v>24</v>
      </c>
      <c r="AO29" s="287" t="s">
        <v>1</v>
      </c>
      <c r="AP29" s="286" t="s">
        <v>1</v>
      </c>
      <c r="AQ29" s="285" t="s">
        <v>1</v>
      </c>
      <c r="AR29" s="289" t="s">
        <v>1</v>
      </c>
      <c r="AS29" s="289" t="s">
        <v>1</v>
      </c>
      <c r="AT29" s="290" t="s">
        <v>1</v>
      </c>
      <c r="AU29" s="287" t="s">
        <v>1</v>
      </c>
      <c r="AV29" s="287" t="s">
        <v>1</v>
      </c>
      <c r="AW29" s="291" t="s">
        <v>1</v>
      </c>
    </row>
    <row r="30" spans="1:49" ht="30.15" customHeight="1" x14ac:dyDescent="0.25">
      <c r="A30" s="188" t="s">
        <v>18</v>
      </c>
      <c r="B30" s="188" t="s">
        <v>1</v>
      </c>
      <c r="C30" s="188" t="s">
        <v>35</v>
      </c>
      <c r="D30" s="190" t="s">
        <v>3</v>
      </c>
      <c r="E30" s="190" t="s">
        <v>715</v>
      </c>
      <c r="F30" s="203"/>
      <c r="G30" s="190" t="s">
        <v>706</v>
      </c>
      <c r="H30" s="192" t="s">
        <v>409</v>
      </c>
      <c r="I30" s="194">
        <v>636</v>
      </c>
      <c r="J30" s="194">
        <v>700</v>
      </c>
      <c r="K30" s="193">
        <v>700</v>
      </c>
      <c r="L30" s="193">
        <v>730</v>
      </c>
      <c r="M30" s="194">
        <v>730</v>
      </c>
      <c r="N30" s="284" t="s">
        <v>1</v>
      </c>
      <c r="O30" s="285" t="s">
        <v>1</v>
      </c>
      <c r="P30" s="285" t="s">
        <v>1</v>
      </c>
      <c r="Q30" s="285" t="s">
        <v>1</v>
      </c>
      <c r="R30" s="285" t="s">
        <v>1</v>
      </c>
      <c r="S30" s="286" t="s">
        <v>1</v>
      </c>
      <c r="T30" s="285" t="s">
        <v>1</v>
      </c>
      <c r="U30" s="285" t="s">
        <v>1</v>
      </c>
      <c r="V30" s="285" t="s">
        <v>1</v>
      </c>
      <c r="W30" s="285" t="s">
        <v>1</v>
      </c>
      <c r="X30" s="286" t="s">
        <v>1</v>
      </c>
      <c r="Y30" s="285" t="s">
        <v>1</v>
      </c>
      <c r="Z30" s="285" t="s">
        <v>1</v>
      </c>
      <c r="AA30" s="285" t="s">
        <v>1</v>
      </c>
      <c r="AB30" s="285" t="s">
        <v>1</v>
      </c>
      <c r="AC30" s="286" t="s">
        <v>1</v>
      </c>
      <c r="AD30" s="285" t="s">
        <v>1</v>
      </c>
      <c r="AE30" s="285" t="s">
        <v>1</v>
      </c>
      <c r="AF30" s="285" t="s">
        <v>1</v>
      </c>
      <c r="AG30" s="285" t="s">
        <v>1</v>
      </c>
      <c r="AH30" s="286" t="s">
        <v>1</v>
      </c>
      <c r="AI30" s="287" t="s">
        <v>1</v>
      </c>
      <c r="AJ30" s="287" t="s">
        <v>1</v>
      </c>
      <c r="AK30" s="287" t="s">
        <v>1</v>
      </c>
      <c r="AL30" s="286">
        <v>292</v>
      </c>
      <c r="AM30" s="288">
        <v>9.4200000000000017</v>
      </c>
      <c r="AN30" s="285">
        <v>24</v>
      </c>
      <c r="AO30" s="287" t="s">
        <v>1</v>
      </c>
      <c r="AP30" s="286" t="s">
        <v>1</v>
      </c>
      <c r="AQ30" s="285" t="s">
        <v>1</v>
      </c>
      <c r="AR30" s="289" t="s">
        <v>1</v>
      </c>
      <c r="AS30" s="289" t="s">
        <v>1</v>
      </c>
      <c r="AT30" s="290" t="s">
        <v>1</v>
      </c>
      <c r="AU30" s="287" t="s">
        <v>1</v>
      </c>
      <c r="AV30" s="287" t="s">
        <v>1</v>
      </c>
      <c r="AW30" s="291" t="s">
        <v>1</v>
      </c>
    </row>
    <row r="31" spans="1:49" ht="30.15" customHeight="1" x14ac:dyDescent="0.25">
      <c r="A31" s="188" t="s">
        <v>18</v>
      </c>
      <c r="B31" s="188" t="s">
        <v>1</v>
      </c>
      <c r="C31" s="188" t="s">
        <v>35</v>
      </c>
      <c r="D31" s="190" t="s">
        <v>3</v>
      </c>
      <c r="E31" s="190" t="s">
        <v>716</v>
      </c>
      <c r="F31" s="203"/>
      <c r="G31" s="190" t="s">
        <v>706</v>
      </c>
      <c r="H31" s="192" t="s">
        <v>409</v>
      </c>
      <c r="I31" s="194">
        <v>636</v>
      </c>
      <c r="J31" s="194">
        <v>700</v>
      </c>
      <c r="K31" s="193">
        <v>700</v>
      </c>
      <c r="L31" s="193">
        <v>730</v>
      </c>
      <c r="M31" s="194">
        <v>730</v>
      </c>
      <c r="N31" s="284" t="s">
        <v>1</v>
      </c>
      <c r="O31" s="285" t="s">
        <v>1</v>
      </c>
      <c r="P31" s="285" t="s">
        <v>1</v>
      </c>
      <c r="Q31" s="285" t="s">
        <v>1</v>
      </c>
      <c r="R31" s="285" t="s">
        <v>1</v>
      </c>
      <c r="S31" s="286" t="s">
        <v>1</v>
      </c>
      <c r="T31" s="285" t="s">
        <v>1</v>
      </c>
      <c r="U31" s="285" t="s">
        <v>1</v>
      </c>
      <c r="V31" s="285" t="s">
        <v>1</v>
      </c>
      <c r="W31" s="285" t="s">
        <v>1</v>
      </c>
      <c r="X31" s="286" t="s">
        <v>1</v>
      </c>
      <c r="Y31" s="285" t="s">
        <v>1</v>
      </c>
      <c r="Z31" s="285" t="s">
        <v>1</v>
      </c>
      <c r="AA31" s="285" t="s">
        <v>1</v>
      </c>
      <c r="AB31" s="285" t="s">
        <v>1</v>
      </c>
      <c r="AC31" s="286" t="s">
        <v>1</v>
      </c>
      <c r="AD31" s="285" t="s">
        <v>1</v>
      </c>
      <c r="AE31" s="285" t="s">
        <v>1</v>
      </c>
      <c r="AF31" s="285" t="s">
        <v>1</v>
      </c>
      <c r="AG31" s="285" t="s">
        <v>1</v>
      </c>
      <c r="AH31" s="286" t="s">
        <v>1</v>
      </c>
      <c r="AI31" s="287" t="s">
        <v>1</v>
      </c>
      <c r="AJ31" s="287" t="s">
        <v>1</v>
      </c>
      <c r="AK31" s="287" t="s">
        <v>1</v>
      </c>
      <c r="AL31" s="286">
        <v>292</v>
      </c>
      <c r="AM31" s="288">
        <v>9.4200000000000017</v>
      </c>
      <c r="AN31" s="285">
        <v>24</v>
      </c>
      <c r="AO31" s="287" t="s">
        <v>1</v>
      </c>
      <c r="AP31" s="286" t="s">
        <v>1</v>
      </c>
      <c r="AQ31" s="285" t="s">
        <v>1</v>
      </c>
      <c r="AR31" s="289" t="s">
        <v>1</v>
      </c>
      <c r="AS31" s="289" t="s">
        <v>1</v>
      </c>
      <c r="AT31" s="290" t="s">
        <v>1</v>
      </c>
      <c r="AU31" s="287" t="s">
        <v>1</v>
      </c>
      <c r="AV31" s="287" t="s">
        <v>1</v>
      </c>
      <c r="AW31" s="291" t="s">
        <v>1</v>
      </c>
    </row>
    <row r="32" spans="1:49" ht="30.15" customHeight="1" x14ac:dyDescent="0.25">
      <c r="A32" s="188" t="s">
        <v>18</v>
      </c>
      <c r="B32" s="188" t="s">
        <v>1</v>
      </c>
      <c r="C32" s="188" t="s">
        <v>35</v>
      </c>
      <c r="D32" s="190" t="s">
        <v>3</v>
      </c>
      <c r="E32" s="190" t="s">
        <v>718</v>
      </c>
      <c r="F32" s="203"/>
      <c r="G32" s="190" t="s">
        <v>717</v>
      </c>
      <c r="H32" s="192" t="s">
        <v>409</v>
      </c>
      <c r="I32" s="194">
        <v>902</v>
      </c>
      <c r="J32" s="194">
        <v>990</v>
      </c>
      <c r="K32" s="193">
        <v>990</v>
      </c>
      <c r="L32" s="193">
        <v>1040</v>
      </c>
      <c r="M32" s="194">
        <v>1040</v>
      </c>
      <c r="N32" s="284" t="s">
        <v>1</v>
      </c>
      <c r="O32" s="285" t="s">
        <v>1</v>
      </c>
      <c r="P32" s="285" t="s">
        <v>1</v>
      </c>
      <c r="Q32" s="285" t="s">
        <v>1</v>
      </c>
      <c r="R32" s="285" t="s">
        <v>1</v>
      </c>
      <c r="S32" s="286" t="s">
        <v>1</v>
      </c>
      <c r="T32" s="285" t="s">
        <v>1</v>
      </c>
      <c r="U32" s="285" t="s">
        <v>1</v>
      </c>
      <c r="V32" s="285" t="s">
        <v>1</v>
      </c>
      <c r="W32" s="285" t="s">
        <v>1</v>
      </c>
      <c r="X32" s="286" t="s">
        <v>1</v>
      </c>
      <c r="Y32" s="285" t="s">
        <v>1</v>
      </c>
      <c r="Z32" s="285" t="s">
        <v>1</v>
      </c>
      <c r="AA32" s="285" t="s">
        <v>1</v>
      </c>
      <c r="AB32" s="285" t="s">
        <v>1</v>
      </c>
      <c r="AC32" s="286" t="s">
        <v>1</v>
      </c>
      <c r="AD32" s="285" t="s">
        <v>1</v>
      </c>
      <c r="AE32" s="285" t="s">
        <v>1</v>
      </c>
      <c r="AF32" s="285" t="s">
        <v>1</v>
      </c>
      <c r="AG32" s="285" t="s">
        <v>1</v>
      </c>
      <c r="AH32" s="286" t="s">
        <v>1</v>
      </c>
      <c r="AI32" s="287" t="s">
        <v>1</v>
      </c>
      <c r="AJ32" s="287" t="s">
        <v>1</v>
      </c>
      <c r="AK32" s="287" t="s">
        <v>1</v>
      </c>
      <c r="AL32" s="286">
        <v>416</v>
      </c>
      <c r="AM32" s="288" t="s">
        <v>1</v>
      </c>
      <c r="AN32" s="287" t="s">
        <v>1</v>
      </c>
      <c r="AO32" s="287" t="s">
        <v>1</v>
      </c>
      <c r="AP32" s="286" t="s">
        <v>1</v>
      </c>
      <c r="AQ32" s="285" t="s">
        <v>1</v>
      </c>
      <c r="AR32" s="289" t="s">
        <v>1</v>
      </c>
      <c r="AS32" s="289" t="s">
        <v>1</v>
      </c>
      <c r="AT32" s="290" t="s">
        <v>1</v>
      </c>
      <c r="AU32" s="287" t="s">
        <v>1</v>
      </c>
      <c r="AV32" s="287" t="s">
        <v>1</v>
      </c>
      <c r="AW32" s="291" t="s">
        <v>1</v>
      </c>
    </row>
    <row r="33" spans="1:49" ht="30.15" customHeight="1" x14ac:dyDescent="0.25">
      <c r="A33" s="188" t="s">
        <v>18</v>
      </c>
      <c r="B33" s="188" t="s">
        <v>1</v>
      </c>
      <c r="C33" s="188" t="s">
        <v>35</v>
      </c>
      <c r="D33" s="190" t="s">
        <v>3</v>
      </c>
      <c r="E33" s="190" t="s">
        <v>940</v>
      </c>
      <c r="F33" s="203"/>
      <c r="G33" s="190" t="s">
        <v>936</v>
      </c>
      <c r="H33" s="192" t="s">
        <v>409</v>
      </c>
      <c r="I33" s="194">
        <v>659</v>
      </c>
      <c r="J33" s="194">
        <v>665</v>
      </c>
      <c r="K33" s="194">
        <v>665</v>
      </c>
      <c r="L33" s="193">
        <v>698</v>
      </c>
      <c r="M33" s="194">
        <v>698</v>
      </c>
      <c r="N33" s="284" t="s">
        <v>1</v>
      </c>
      <c r="O33" s="285" t="s">
        <v>1</v>
      </c>
      <c r="P33" s="285" t="s">
        <v>1</v>
      </c>
      <c r="Q33" s="285" t="s">
        <v>1</v>
      </c>
      <c r="R33" s="285" t="s">
        <v>1</v>
      </c>
      <c r="S33" s="286" t="s">
        <v>1</v>
      </c>
      <c r="T33" s="285" t="s">
        <v>1</v>
      </c>
      <c r="U33" s="285" t="s">
        <v>1</v>
      </c>
      <c r="V33" s="285" t="s">
        <v>1</v>
      </c>
      <c r="W33" s="285" t="s">
        <v>1</v>
      </c>
      <c r="X33" s="286" t="s">
        <v>1</v>
      </c>
      <c r="Y33" s="285" t="s">
        <v>1</v>
      </c>
      <c r="Z33" s="285" t="s">
        <v>1</v>
      </c>
      <c r="AA33" s="285" t="s">
        <v>1</v>
      </c>
      <c r="AB33" s="285" t="s">
        <v>1</v>
      </c>
      <c r="AC33" s="286" t="s">
        <v>1</v>
      </c>
      <c r="AD33" s="285" t="s">
        <v>1</v>
      </c>
      <c r="AE33" s="285" t="s">
        <v>1</v>
      </c>
      <c r="AF33" s="285" t="s">
        <v>1</v>
      </c>
      <c r="AG33" s="285" t="s">
        <v>1</v>
      </c>
      <c r="AH33" s="286" t="s">
        <v>1</v>
      </c>
      <c r="AI33" s="287" t="s">
        <v>1</v>
      </c>
      <c r="AJ33" s="287" t="s">
        <v>1</v>
      </c>
      <c r="AK33" s="287" t="s">
        <v>1</v>
      </c>
      <c r="AL33" s="286">
        <v>279.2</v>
      </c>
      <c r="AM33" s="288" t="s">
        <v>1</v>
      </c>
      <c r="AN33" s="287" t="s">
        <v>1</v>
      </c>
      <c r="AO33" s="287" t="s">
        <v>1</v>
      </c>
      <c r="AP33" s="286" t="s">
        <v>1</v>
      </c>
      <c r="AQ33" s="285" t="s">
        <v>1</v>
      </c>
      <c r="AR33" s="289" t="s">
        <v>1</v>
      </c>
      <c r="AS33" s="289" t="s">
        <v>1</v>
      </c>
      <c r="AT33" s="290" t="s">
        <v>1</v>
      </c>
      <c r="AU33" s="287" t="s">
        <v>1</v>
      </c>
      <c r="AV33" s="287" t="s">
        <v>1</v>
      </c>
      <c r="AW33" s="291" t="s">
        <v>1</v>
      </c>
    </row>
    <row r="34" spans="1:49" ht="30.15" customHeight="1" x14ac:dyDescent="0.25">
      <c r="A34" s="188" t="s">
        <v>18</v>
      </c>
      <c r="B34" s="188" t="s">
        <v>1</v>
      </c>
      <c r="C34" s="188" t="s">
        <v>35</v>
      </c>
      <c r="D34" s="190" t="s">
        <v>3</v>
      </c>
      <c r="E34" s="190" t="s">
        <v>941</v>
      </c>
      <c r="F34" s="203"/>
      <c r="G34" s="190" t="s">
        <v>936</v>
      </c>
      <c r="H34" s="192" t="s">
        <v>409</v>
      </c>
      <c r="I34" s="194">
        <v>659</v>
      </c>
      <c r="J34" s="194">
        <v>665</v>
      </c>
      <c r="K34" s="194">
        <v>665</v>
      </c>
      <c r="L34" s="193">
        <v>698</v>
      </c>
      <c r="M34" s="194">
        <v>698</v>
      </c>
      <c r="N34" s="284" t="s">
        <v>1</v>
      </c>
      <c r="O34" s="285" t="s">
        <v>1</v>
      </c>
      <c r="P34" s="285" t="s">
        <v>1</v>
      </c>
      <c r="Q34" s="285" t="s">
        <v>1</v>
      </c>
      <c r="R34" s="285" t="s">
        <v>1</v>
      </c>
      <c r="S34" s="286" t="s">
        <v>1</v>
      </c>
      <c r="T34" s="285" t="s">
        <v>1</v>
      </c>
      <c r="U34" s="285" t="s">
        <v>1</v>
      </c>
      <c r="V34" s="285" t="s">
        <v>1</v>
      </c>
      <c r="W34" s="285" t="s">
        <v>1</v>
      </c>
      <c r="X34" s="286" t="s">
        <v>1</v>
      </c>
      <c r="Y34" s="285" t="s">
        <v>1</v>
      </c>
      <c r="Z34" s="285" t="s">
        <v>1</v>
      </c>
      <c r="AA34" s="285" t="s">
        <v>1</v>
      </c>
      <c r="AB34" s="285" t="s">
        <v>1</v>
      </c>
      <c r="AC34" s="286" t="s">
        <v>1</v>
      </c>
      <c r="AD34" s="285" t="s">
        <v>1</v>
      </c>
      <c r="AE34" s="285" t="s">
        <v>1</v>
      </c>
      <c r="AF34" s="285" t="s">
        <v>1</v>
      </c>
      <c r="AG34" s="285" t="s">
        <v>1</v>
      </c>
      <c r="AH34" s="286" t="s">
        <v>1</v>
      </c>
      <c r="AI34" s="287" t="s">
        <v>1</v>
      </c>
      <c r="AJ34" s="287" t="s">
        <v>1</v>
      </c>
      <c r="AK34" s="287" t="s">
        <v>1</v>
      </c>
      <c r="AL34" s="286">
        <v>279.2</v>
      </c>
      <c r="AM34" s="288" t="s">
        <v>1</v>
      </c>
      <c r="AN34" s="287" t="s">
        <v>1</v>
      </c>
      <c r="AO34" s="287" t="s">
        <v>1</v>
      </c>
      <c r="AP34" s="286" t="s">
        <v>1</v>
      </c>
      <c r="AQ34" s="285" t="s">
        <v>1</v>
      </c>
      <c r="AR34" s="289" t="s">
        <v>1</v>
      </c>
      <c r="AS34" s="289" t="s">
        <v>1</v>
      </c>
      <c r="AT34" s="290" t="s">
        <v>1</v>
      </c>
      <c r="AU34" s="287" t="s">
        <v>1</v>
      </c>
      <c r="AV34" s="287" t="s">
        <v>1</v>
      </c>
      <c r="AW34" s="291" t="s">
        <v>1</v>
      </c>
    </row>
    <row r="35" spans="1:49" ht="30.15" customHeight="1" x14ac:dyDescent="0.25">
      <c r="A35" s="188" t="s">
        <v>18</v>
      </c>
      <c r="B35" s="188" t="s">
        <v>1</v>
      </c>
      <c r="C35" s="188" t="s">
        <v>35</v>
      </c>
      <c r="D35" s="190" t="s">
        <v>3</v>
      </c>
      <c r="E35" s="190" t="s">
        <v>942</v>
      </c>
      <c r="F35" s="203"/>
      <c r="G35" s="190" t="s">
        <v>936</v>
      </c>
      <c r="H35" s="192" t="s">
        <v>409</v>
      </c>
      <c r="I35" s="194">
        <v>659</v>
      </c>
      <c r="J35" s="194">
        <v>665</v>
      </c>
      <c r="K35" s="194">
        <v>665</v>
      </c>
      <c r="L35" s="193">
        <v>698</v>
      </c>
      <c r="M35" s="194">
        <v>698</v>
      </c>
      <c r="N35" s="284" t="s">
        <v>1</v>
      </c>
      <c r="O35" s="285" t="s">
        <v>1</v>
      </c>
      <c r="P35" s="285" t="s">
        <v>1</v>
      </c>
      <c r="Q35" s="285" t="s">
        <v>1</v>
      </c>
      <c r="R35" s="285" t="s">
        <v>1</v>
      </c>
      <c r="S35" s="286" t="s">
        <v>1</v>
      </c>
      <c r="T35" s="285" t="s">
        <v>1</v>
      </c>
      <c r="U35" s="285" t="s">
        <v>1</v>
      </c>
      <c r="V35" s="285" t="s">
        <v>1</v>
      </c>
      <c r="W35" s="285" t="s">
        <v>1</v>
      </c>
      <c r="X35" s="286" t="s">
        <v>1</v>
      </c>
      <c r="Y35" s="285" t="s">
        <v>1</v>
      </c>
      <c r="Z35" s="285" t="s">
        <v>1</v>
      </c>
      <c r="AA35" s="285" t="s">
        <v>1</v>
      </c>
      <c r="AB35" s="285" t="s">
        <v>1</v>
      </c>
      <c r="AC35" s="286" t="s">
        <v>1</v>
      </c>
      <c r="AD35" s="285" t="s">
        <v>1</v>
      </c>
      <c r="AE35" s="285" t="s">
        <v>1</v>
      </c>
      <c r="AF35" s="285" t="s">
        <v>1</v>
      </c>
      <c r="AG35" s="285" t="s">
        <v>1</v>
      </c>
      <c r="AH35" s="286" t="s">
        <v>1</v>
      </c>
      <c r="AI35" s="287" t="s">
        <v>1</v>
      </c>
      <c r="AJ35" s="287" t="s">
        <v>1</v>
      </c>
      <c r="AK35" s="287" t="s">
        <v>1</v>
      </c>
      <c r="AL35" s="286">
        <v>279.2</v>
      </c>
      <c r="AM35" s="288" t="s">
        <v>1</v>
      </c>
      <c r="AN35" s="287" t="s">
        <v>1</v>
      </c>
      <c r="AO35" s="287" t="s">
        <v>1</v>
      </c>
      <c r="AP35" s="286" t="s">
        <v>1</v>
      </c>
      <c r="AQ35" s="285" t="s">
        <v>1</v>
      </c>
      <c r="AR35" s="289" t="s">
        <v>1</v>
      </c>
      <c r="AS35" s="289" t="s">
        <v>1</v>
      </c>
      <c r="AT35" s="290" t="s">
        <v>1</v>
      </c>
      <c r="AU35" s="287" t="s">
        <v>1</v>
      </c>
      <c r="AV35" s="287" t="s">
        <v>1</v>
      </c>
      <c r="AW35" s="291" t="s">
        <v>1</v>
      </c>
    </row>
    <row r="36" spans="1:49" ht="30.15" customHeight="1" x14ac:dyDescent="0.25">
      <c r="A36" s="188" t="s">
        <v>18</v>
      </c>
      <c r="B36" s="188" t="s">
        <v>1</v>
      </c>
      <c r="C36" s="188" t="s">
        <v>35</v>
      </c>
      <c r="D36" s="190" t="s">
        <v>3</v>
      </c>
      <c r="E36" s="190" t="s">
        <v>943</v>
      </c>
      <c r="F36" s="203"/>
      <c r="G36" s="190" t="s">
        <v>937</v>
      </c>
      <c r="H36" s="192" t="s">
        <v>409</v>
      </c>
      <c r="I36" s="194">
        <v>699</v>
      </c>
      <c r="J36" s="194">
        <v>703</v>
      </c>
      <c r="K36" s="194">
        <v>703</v>
      </c>
      <c r="L36" s="193">
        <v>740</v>
      </c>
      <c r="M36" s="194">
        <v>740</v>
      </c>
      <c r="N36" s="284" t="s">
        <v>1</v>
      </c>
      <c r="O36" s="285" t="s">
        <v>1</v>
      </c>
      <c r="P36" s="285" t="s">
        <v>1</v>
      </c>
      <c r="Q36" s="285" t="s">
        <v>1</v>
      </c>
      <c r="R36" s="285" t="s">
        <v>1</v>
      </c>
      <c r="S36" s="286" t="s">
        <v>1</v>
      </c>
      <c r="T36" s="285" t="s">
        <v>1</v>
      </c>
      <c r="U36" s="285" t="s">
        <v>1</v>
      </c>
      <c r="V36" s="285" t="s">
        <v>1</v>
      </c>
      <c r="W36" s="285" t="s">
        <v>1</v>
      </c>
      <c r="X36" s="286" t="s">
        <v>1</v>
      </c>
      <c r="Y36" s="285" t="s">
        <v>1</v>
      </c>
      <c r="Z36" s="285" t="s">
        <v>1</v>
      </c>
      <c r="AA36" s="285" t="s">
        <v>1</v>
      </c>
      <c r="AB36" s="285" t="s">
        <v>1</v>
      </c>
      <c r="AC36" s="286" t="s">
        <v>1</v>
      </c>
      <c r="AD36" s="285" t="s">
        <v>1</v>
      </c>
      <c r="AE36" s="285" t="s">
        <v>1</v>
      </c>
      <c r="AF36" s="285" t="s">
        <v>1</v>
      </c>
      <c r="AG36" s="285" t="s">
        <v>1</v>
      </c>
      <c r="AH36" s="286" t="s">
        <v>1</v>
      </c>
      <c r="AI36" s="295" t="s">
        <v>1</v>
      </c>
      <c r="AJ36" s="295" t="s">
        <v>1</v>
      </c>
      <c r="AK36" s="295" t="s">
        <v>1</v>
      </c>
      <c r="AL36" s="286">
        <v>296</v>
      </c>
      <c r="AM36" s="288" t="s">
        <v>1</v>
      </c>
      <c r="AN36" s="287" t="s">
        <v>1</v>
      </c>
      <c r="AO36" s="287" t="s">
        <v>1</v>
      </c>
      <c r="AP36" s="286" t="s">
        <v>1</v>
      </c>
      <c r="AQ36" s="285" t="s">
        <v>1</v>
      </c>
      <c r="AR36" s="289" t="s">
        <v>1</v>
      </c>
      <c r="AS36" s="289" t="s">
        <v>1</v>
      </c>
      <c r="AT36" s="290" t="s">
        <v>1</v>
      </c>
      <c r="AU36" s="287" t="s">
        <v>1</v>
      </c>
      <c r="AV36" s="287" t="s">
        <v>1</v>
      </c>
      <c r="AW36" s="291" t="s">
        <v>1</v>
      </c>
    </row>
    <row r="37" spans="1:49" ht="30.15" customHeight="1" x14ac:dyDescent="0.25">
      <c r="A37" s="188" t="s">
        <v>18</v>
      </c>
      <c r="B37" s="188" t="s">
        <v>1</v>
      </c>
      <c r="C37" s="188" t="s">
        <v>35</v>
      </c>
      <c r="D37" s="190" t="s">
        <v>3</v>
      </c>
      <c r="E37" s="190" t="s">
        <v>944</v>
      </c>
      <c r="F37" s="203"/>
      <c r="G37" s="190" t="s">
        <v>937</v>
      </c>
      <c r="H37" s="192" t="s">
        <v>409</v>
      </c>
      <c r="I37" s="194">
        <v>699</v>
      </c>
      <c r="J37" s="194">
        <v>703</v>
      </c>
      <c r="K37" s="194">
        <v>703</v>
      </c>
      <c r="L37" s="193">
        <v>740</v>
      </c>
      <c r="M37" s="194">
        <v>740</v>
      </c>
      <c r="N37" s="284" t="s">
        <v>1</v>
      </c>
      <c r="O37" s="285" t="s">
        <v>1</v>
      </c>
      <c r="P37" s="285" t="s">
        <v>1</v>
      </c>
      <c r="Q37" s="285" t="s">
        <v>1</v>
      </c>
      <c r="R37" s="285" t="s">
        <v>1</v>
      </c>
      <c r="S37" s="286" t="s">
        <v>1</v>
      </c>
      <c r="T37" s="285" t="s">
        <v>1</v>
      </c>
      <c r="U37" s="285" t="s">
        <v>1</v>
      </c>
      <c r="V37" s="285" t="s">
        <v>1</v>
      </c>
      <c r="W37" s="285" t="s">
        <v>1</v>
      </c>
      <c r="X37" s="286" t="s">
        <v>1</v>
      </c>
      <c r="Y37" s="285" t="s">
        <v>1</v>
      </c>
      <c r="Z37" s="285" t="s">
        <v>1</v>
      </c>
      <c r="AA37" s="285" t="s">
        <v>1</v>
      </c>
      <c r="AB37" s="285" t="s">
        <v>1</v>
      </c>
      <c r="AC37" s="286" t="s">
        <v>1</v>
      </c>
      <c r="AD37" s="285" t="s">
        <v>1</v>
      </c>
      <c r="AE37" s="285" t="s">
        <v>1</v>
      </c>
      <c r="AF37" s="285" t="s">
        <v>1</v>
      </c>
      <c r="AG37" s="285" t="s">
        <v>1</v>
      </c>
      <c r="AH37" s="286" t="s">
        <v>1</v>
      </c>
      <c r="AI37" s="295" t="s">
        <v>1</v>
      </c>
      <c r="AJ37" s="295" t="s">
        <v>1</v>
      </c>
      <c r="AK37" s="295" t="s">
        <v>1</v>
      </c>
      <c r="AL37" s="286">
        <v>296</v>
      </c>
      <c r="AM37" s="288" t="s">
        <v>1</v>
      </c>
      <c r="AN37" s="287" t="s">
        <v>1</v>
      </c>
      <c r="AO37" s="287" t="s">
        <v>1</v>
      </c>
      <c r="AP37" s="286" t="s">
        <v>1</v>
      </c>
      <c r="AQ37" s="285" t="s">
        <v>1</v>
      </c>
      <c r="AR37" s="289" t="s">
        <v>1</v>
      </c>
      <c r="AS37" s="289" t="s">
        <v>1</v>
      </c>
      <c r="AT37" s="290" t="s">
        <v>1</v>
      </c>
      <c r="AU37" s="287" t="s">
        <v>1</v>
      </c>
      <c r="AV37" s="287" t="s">
        <v>1</v>
      </c>
      <c r="AW37" s="291" t="s">
        <v>1</v>
      </c>
    </row>
    <row r="38" spans="1:49" ht="30.15" customHeight="1" x14ac:dyDescent="0.25">
      <c r="A38" s="188" t="s">
        <v>18</v>
      </c>
      <c r="B38" s="188" t="s">
        <v>1</v>
      </c>
      <c r="C38" s="188" t="s">
        <v>35</v>
      </c>
      <c r="D38" s="190" t="s">
        <v>3</v>
      </c>
      <c r="E38" s="190" t="s">
        <v>945</v>
      </c>
      <c r="F38" s="203"/>
      <c r="G38" s="190" t="s">
        <v>937</v>
      </c>
      <c r="H38" s="192" t="s">
        <v>409</v>
      </c>
      <c r="I38" s="194">
        <v>699</v>
      </c>
      <c r="J38" s="194">
        <v>703</v>
      </c>
      <c r="K38" s="194">
        <v>703</v>
      </c>
      <c r="L38" s="193">
        <v>740</v>
      </c>
      <c r="M38" s="194">
        <v>740</v>
      </c>
      <c r="N38" s="284" t="s">
        <v>1</v>
      </c>
      <c r="O38" s="285" t="s">
        <v>1</v>
      </c>
      <c r="P38" s="285" t="s">
        <v>1</v>
      </c>
      <c r="Q38" s="285" t="s">
        <v>1</v>
      </c>
      <c r="R38" s="285" t="s">
        <v>1</v>
      </c>
      <c r="S38" s="286" t="s">
        <v>1</v>
      </c>
      <c r="T38" s="285" t="s">
        <v>1</v>
      </c>
      <c r="U38" s="285" t="s">
        <v>1</v>
      </c>
      <c r="V38" s="285" t="s">
        <v>1</v>
      </c>
      <c r="W38" s="285" t="s">
        <v>1</v>
      </c>
      <c r="X38" s="286" t="s">
        <v>1</v>
      </c>
      <c r="Y38" s="285" t="s">
        <v>1</v>
      </c>
      <c r="Z38" s="285" t="s">
        <v>1</v>
      </c>
      <c r="AA38" s="285" t="s">
        <v>1</v>
      </c>
      <c r="AB38" s="285" t="s">
        <v>1</v>
      </c>
      <c r="AC38" s="286" t="s">
        <v>1</v>
      </c>
      <c r="AD38" s="285" t="s">
        <v>1</v>
      </c>
      <c r="AE38" s="285" t="s">
        <v>1</v>
      </c>
      <c r="AF38" s="285" t="s">
        <v>1</v>
      </c>
      <c r="AG38" s="285" t="s">
        <v>1</v>
      </c>
      <c r="AH38" s="286" t="s">
        <v>1</v>
      </c>
      <c r="AI38" s="295" t="s">
        <v>1</v>
      </c>
      <c r="AJ38" s="295" t="s">
        <v>1</v>
      </c>
      <c r="AK38" s="295" t="s">
        <v>1</v>
      </c>
      <c r="AL38" s="286">
        <v>296</v>
      </c>
      <c r="AM38" s="288" t="s">
        <v>1</v>
      </c>
      <c r="AN38" s="287" t="s">
        <v>1</v>
      </c>
      <c r="AO38" s="287" t="s">
        <v>1</v>
      </c>
      <c r="AP38" s="286" t="s">
        <v>1</v>
      </c>
      <c r="AQ38" s="285" t="s">
        <v>1</v>
      </c>
      <c r="AR38" s="289" t="s">
        <v>1</v>
      </c>
      <c r="AS38" s="289" t="s">
        <v>1</v>
      </c>
      <c r="AT38" s="290" t="s">
        <v>1</v>
      </c>
      <c r="AU38" s="287" t="s">
        <v>1</v>
      </c>
      <c r="AV38" s="287" t="s">
        <v>1</v>
      </c>
      <c r="AW38" s="291" t="s">
        <v>1</v>
      </c>
    </row>
    <row r="39" spans="1:49" ht="30.15" customHeight="1" x14ac:dyDescent="0.25">
      <c r="A39" s="188" t="s">
        <v>18</v>
      </c>
      <c r="B39" s="188" t="s">
        <v>1</v>
      </c>
      <c r="C39" s="188" t="s">
        <v>35</v>
      </c>
      <c r="D39" s="190" t="s">
        <v>3</v>
      </c>
      <c r="E39" s="190" t="s">
        <v>948</v>
      </c>
      <c r="F39" s="203"/>
      <c r="G39" s="190" t="s">
        <v>946</v>
      </c>
      <c r="H39" s="192" t="s">
        <v>409</v>
      </c>
      <c r="I39" s="194">
        <v>429</v>
      </c>
      <c r="J39" s="194">
        <v>432</v>
      </c>
      <c r="K39" s="194">
        <v>432</v>
      </c>
      <c r="L39" s="193">
        <v>454</v>
      </c>
      <c r="M39" s="194">
        <v>454</v>
      </c>
      <c r="N39" s="284" t="s">
        <v>1</v>
      </c>
      <c r="O39" s="285" t="s">
        <v>1</v>
      </c>
      <c r="P39" s="285" t="s">
        <v>1</v>
      </c>
      <c r="Q39" s="285" t="s">
        <v>1</v>
      </c>
      <c r="R39" s="285" t="s">
        <v>1</v>
      </c>
      <c r="S39" s="286" t="s">
        <v>1</v>
      </c>
      <c r="T39" s="285" t="s">
        <v>1</v>
      </c>
      <c r="U39" s="285" t="s">
        <v>1</v>
      </c>
      <c r="V39" s="285" t="s">
        <v>1</v>
      </c>
      <c r="W39" s="285" t="s">
        <v>1</v>
      </c>
      <c r="X39" s="286" t="s">
        <v>1</v>
      </c>
      <c r="Y39" s="285" t="s">
        <v>1</v>
      </c>
      <c r="Z39" s="285" t="s">
        <v>1</v>
      </c>
      <c r="AA39" s="285" t="s">
        <v>1</v>
      </c>
      <c r="AB39" s="285" t="s">
        <v>1</v>
      </c>
      <c r="AC39" s="286" t="s">
        <v>1</v>
      </c>
      <c r="AD39" s="285" t="s">
        <v>1</v>
      </c>
      <c r="AE39" s="285" t="s">
        <v>1</v>
      </c>
      <c r="AF39" s="285" t="s">
        <v>1</v>
      </c>
      <c r="AG39" s="285" t="s">
        <v>1</v>
      </c>
      <c r="AH39" s="286" t="s">
        <v>1</v>
      </c>
      <c r="AI39" s="295" t="s">
        <v>1</v>
      </c>
      <c r="AJ39" s="295" t="s">
        <v>1</v>
      </c>
      <c r="AK39" s="295" t="s">
        <v>1</v>
      </c>
      <c r="AL39" s="286">
        <v>181.6</v>
      </c>
      <c r="AM39" s="288" t="s">
        <v>1</v>
      </c>
      <c r="AN39" s="287" t="s">
        <v>1</v>
      </c>
      <c r="AO39" s="287" t="s">
        <v>1</v>
      </c>
      <c r="AP39" s="286" t="s">
        <v>1</v>
      </c>
      <c r="AQ39" s="285" t="s">
        <v>1</v>
      </c>
      <c r="AR39" s="289" t="s">
        <v>1</v>
      </c>
      <c r="AS39" s="289" t="s">
        <v>1</v>
      </c>
      <c r="AT39" s="290" t="s">
        <v>1</v>
      </c>
      <c r="AU39" s="287" t="s">
        <v>1</v>
      </c>
      <c r="AV39" s="287" t="s">
        <v>1</v>
      </c>
      <c r="AW39" s="291" t="s">
        <v>1</v>
      </c>
    </row>
    <row r="40" spans="1:49" ht="30.15" customHeight="1" x14ac:dyDescent="0.25">
      <c r="A40" s="188" t="s">
        <v>18</v>
      </c>
      <c r="B40" s="188" t="s">
        <v>1</v>
      </c>
      <c r="C40" s="188" t="s">
        <v>35</v>
      </c>
      <c r="D40" s="190" t="s">
        <v>3</v>
      </c>
      <c r="E40" s="190" t="s">
        <v>949</v>
      </c>
      <c r="F40" s="203"/>
      <c r="G40" s="190" t="s">
        <v>946</v>
      </c>
      <c r="H40" s="192" t="s">
        <v>409</v>
      </c>
      <c r="I40" s="194">
        <v>429</v>
      </c>
      <c r="J40" s="194">
        <v>432</v>
      </c>
      <c r="K40" s="194">
        <v>432</v>
      </c>
      <c r="L40" s="193">
        <v>454</v>
      </c>
      <c r="M40" s="194">
        <v>454</v>
      </c>
      <c r="N40" s="284" t="s">
        <v>1</v>
      </c>
      <c r="O40" s="285" t="s">
        <v>1</v>
      </c>
      <c r="P40" s="285" t="s">
        <v>1</v>
      </c>
      <c r="Q40" s="285" t="s">
        <v>1</v>
      </c>
      <c r="R40" s="285" t="s">
        <v>1</v>
      </c>
      <c r="S40" s="286" t="s">
        <v>1</v>
      </c>
      <c r="T40" s="285" t="s">
        <v>1</v>
      </c>
      <c r="U40" s="285" t="s">
        <v>1</v>
      </c>
      <c r="V40" s="285" t="s">
        <v>1</v>
      </c>
      <c r="W40" s="285" t="s">
        <v>1</v>
      </c>
      <c r="X40" s="286" t="s">
        <v>1</v>
      </c>
      <c r="Y40" s="285" t="s">
        <v>1</v>
      </c>
      <c r="Z40" s="285" t="s">
        <v>1</v>
      </c>
      <c r="AA40" s="285" t="s">
        <v>1</v>
      </c>
      <c r="AB40" s="285" t="s">
        <v>1</v>
      </c>
      <c r="AC40" s="286" t="s">
        <v>1</v>
      </c>
      <c r="AD40" s="285" t="s">
        <v>1</v>
      </c>
      <c r="AE40" s="285" t="s">
        <v>1</v>
      </c>
      <c r="AF40" s="285" t="s">
        <v>1</v>
      </c>
      <c r="AG40" s="285" t="s">
        <v>1</v>
      </c>
      <c r="AH40" s="286" t="s">
        <v>1</v>
      </c>
      <c r="AI40" s="295" t="s">
        <v>1</v>
      </c>
      <c r="AJ40" s="295" t="s">
        <v>1</v>
      </c>
      <c r="AK40" s="295" t="s">
        <v>1</v>
      </c>
      <c r="AL40" s="286">
        <v>181.6</v>
      </c>
      <c r="AM40" s="288" t="s">
        <v>1</v>
      </c>
      <c r="AN40" s="287" t="s">
        <v>1</v>
      </c>
      <c r="AO40" s="287" t="s">
        <v>1</v>
      </c>
      <c r="AP40" s="286" t="s">
        <v>1</v>
      </c>
      <c r="AQ40" s="285" t="s">
        <v>1</v>
      </c>
      <c r="AR40" s="289" t="s">
        <v>1</v>
      </c>
      <c r="AS40" s="289" t="s">
        <v>1</v>
      </c>
      <c r="AT40" s="290" t="s">
        <v>1</v>
      </c>
      <c r="AU40" s="287" t="s">
        <v>1</v>
      </c>
      <c r="AV40" s="287" t="s">
        <v>1</v>
      </c>
      <c r="AW40" s="291" t="s">
        <v>1</v>
      </c>
    </row>
    <row r="41" spans="1:49" ht="30.15" customHeight="1" x14ac:dyDescent="0.25">
      <c r="A41" s="188" t="s">
        <v>18</v>
      </c>
      <c r="B41" s="188" t="s">
        <v>1</v>
      </c>
      <c r="C41" s="188" t="s">
        <v>35</v>
      </c>
      <c r="D41" s="190" t="s">
        <v>3</v>
      </c>
      <c r="E41" s="190" t="s">
        <v>950</v>
      </c>
      <c r="F41" s="203"/>
      <c r="G41" s="190" t="s">
        <v>947</v>
      </c>
      <c r="H41" s="192" t="s">
        <v>409</v>
      </c>
      <c r="I41" s="194">
        <v>469</v>
      </c>
      <c r="J41" s="194">
        <v>475</v>
      </c>
      <c r="K41" s="194">
        <v>475</v>
      </c>
      <c r="L41" s="193">
        <v>497</v>
      </c>
      <c r="M41" s="194">
        <v>497</v>
      </c>
      <c r="N41" s="284" t="s">
        <v>1</v>
      </c>
      <c r="O41" s="285" t="s">
        <v>1</v>
      </c>
      <c r="P41" s="285" t="s">
        <v>1</v>
      </c>
      <c r="Q41" s="285" t="s">
        <v>1</v>
      </c>
      <c r="R41" s="285" t="s">
        <v>1</v>
      </c>
      <c r="S41" s="286" t="s">
        <v>1</v>
      </c>
      <c r="T41" s="285" t="s">
        <v>1</v>
      </c>
      <c r="U41" s="285" t="s">
        <v>1</v>
      </c>
      <c r="V41" s="285" t="s">
        <v>1</v>
      </c>
      <c r="W41" s="285" t="s">
        <v>1</v>
      </c>
      <c r="X41" s="286" t="s">
        <v>1</v>
      </c>
      <c r="Y41" s="285" t="s">
        <v>1</v>
      </c>
      <c r="Z41" s="285" t="s">
        <v>1</v>
      </c>
      <c r="AA41" s="285" t="s">
        <v>1</v>
      </c>
      <c r="AB41" s="285" t="s">
        <v>1</v>
      </c>
      <c r="AC41" s="286" t="s">
        <v>1</v>
      </c>
      <c r="AD41" s="285" t="s">
        <v>1</v>
      </c>
      <c r="AE41" s="285" t="s">
        <v>1</v>
      </c>
      <c r="AF41" s="285" t="s">
        <v>1</v>
      </c>
      <c r="AG41" s="285" t="s">
        <v>1</v>
      </c>
      <c r="AH41" s="286" t="s">
        <v>1</v>
      </c>
      <c r="AI41" s="295" t="s">
        <v>1</v>
      </c>
      <c r="AJ41" s="295" t="s">
        <v>1</v>
      </c>
      <c r="AK41" s="295" t="s">
        <v>1</v>
      </c>
      <c r="AL41" s="286">
        <v>198.8</v>
      </c>
      <c r="AM41" s="288" t="s">
        <v>1</v>
      </c>
      <c r="AN41" s="287" t="s">
        <v>1</v>
      </c>
      <c r="AO41" s="287" t="s">
        <v>1</v>
      </c>
      <c r="AP41" s="286" t="s">
        <v>1</v>
      </c>
      <c r="AQ41" s="285" t="s">
        <v>1</v>
      </c>
      <c r="AR41" s="289" t="s">
        <v>1</v>
      </c>
      <c r="AS41" s="289" t="s">
        <v>1</v>
      </c>
      <c r="AT41" s="290" t="s">
        <v>1</v>
      </c>
      <c r="AU41" s="287" t="s">
        <v>1</v>
      </c>
      <c r="AV41" s="287" t="s">
        <v>1</v>
      </c>
      <c r="AW41" s="291" t="s">
        <v>1</v>
      </c>
    </row>
    <row r="42" spans="1:49" ht="30.15" customHeight="1" x14ac:dyDescent="0.25">
      <c r="A42" s="188" t="s">
        <v>18</v>
      </c>
      <c r="B42" s="188" t="s">
        <v>1</v>
      </c>
      <c r="C42" s="188" t="s">
        <v>35</v>
      </c>
      <c r="D42" s="190" t="s">
        <v>3</v>
      </c>
      <c r="E42" s="190" t="s">
        <v>951</v>
      </c>
      <c r="F42" s="203"/>
      <c r="G42" s="190" t="s">
        <v>947</v>
      </c>
      <c r="H42" s="192" t="s">
        <v>409</v>
      </c>
      <c r="I42" s="194">
        <v>469</v>
      </c>
      <c r="J42" s="194">
        <v>475</v>
      </c>
      <c r="K42" s="194">
        <v>475</v>
      </c>
      <c r="L42" s="193">
        <v>497</v>
      </c>
      <c r="M42" s="194">
        <v>497</v>
      </c>
      <c r="N42" s="284" t="s">
        <v>1</v>
      </c>
      <c r="O42" s="285" t="s">
        <v>1</v>
      </c>
      <c r="P42" s="285" t="s">
        <v>1</v>
      </c>
      <c r="Q42" s="285" t="s">
        <v>1</v>
      </c>
      <c r="R42" s="285" t="s">
        <v>1</v>
      </c>
      <c r="S42" s="286" t="s">
        <v>1</v>
      </c>
      <c r="T42" s="285" t="s">
        <v>1</v>
      </c>
      <c r="U42" s="285" t="s">
        <v>1</v>
      </c>
      <c r="V42" s="285" t="s">
        <v>1</v>
      </c>
      <c r="W42" s="285" t="s">
        <v>1</v>
      </c>
      <c r="X42" s="286" t="s">
        <v>1</v>
      </c>
      <c r="Y42" s="285" t="s">
        <v>1</v>
      </c>
      <c r="Z42" s="285" t="s">
        <v>1</v>
      </c>
      <c r="AA42" s="285" t="s">
        <v>1</v>
      </c>
      <c r="AB42" s="285" t="s">
        <v>1</v>
      </c>
      <c r="AC42" s="286" t="s">
        <v>1</v>
      </c>
      <c r="AD42" s="285" t="s">
        <v>1</v>
      </c>
      <c r="AE42" s="285" t="s">
        <v>1</v>
      </c>
      <c r="AF42" s="285" t="s">
        <v>1</v>
      </c>
      <c r="AG42" s="285" t="s">
        <v>1</v>
      </c>
      <c r="AH42" s="286" t="s">
        <v>1</v>
      </c>
      <c r="AI42" s="295" t="s">
        <v>1</v>
      </c>
      <c r="AJ42" s="295" t="s">
        <v>1</v>
      </c>
      <c r="AK42" s="295" t="s">
        <v>1</v>
      </c>
      <c r="AL42" s="286">
        <v>198.8</v>
      </c>
      <c r="AM42" s="288" t="s">
        <v>1</v>
      </c>
      <c r="AN42" s="287" t="s">
        <v>1</v>
      </c>
      <c r="AO42" s="287" t="s">
        <v>1</v>
      </c>
      <c r="AP42" s="286" t="s">
        <v>1</v>
      </c>
      <c r="AQ42" s="285" t="s">
        <v>1</v>
      </c>
      <c r="AR42" s="289" t="s">
        <v>1</v>
      </c>
      <c r="AS42" s="289" t="s">
        <v>1</v>
      </c>
      <c r="AT42" s="290" t="s">
        <v>1</v>
      </c>
      <c r="AU42" s="287" t="s">
        <v>1</v>
      </c>
      <c r="AV42" s="287" t="s">
        <v>1</v>
      </c>
      <c r="AW42" s="291" t="s">
        <v>1</v>
      </c>
    </row>
    <row r="43" spans="1:49" ht="30.15" customHeight="1" x14ac:dyDescent="0.25">
      <c r="A43" s="188" t="s">
        <v>18</v>
      </c>
      <c r="B43" s="188" t="s">
        <v>1</v>
      </c>
      <c r="C43" s="188" t="s">
        <v>35</v>
      </c>
      <c r="D43" s="190" t="s">
        <v>3</v>
      </c>
      <c r="E43" s="190" t="s">
        <v>953</v>
      </c>
      <c r="F43" s="203"/>
      <c r="G43" s="190" t="s">
        <v>985</v>
      </c>
      <c r="H43" s="192" t="s">
        <v>414</v>
      </c>
      <c r="I43" s="194">
        <v>429</v>
      </c>
      <c r="J43" s="194">
        <v>432</v>
      </c>
      <c r="K43" s="194">
        <v>432</v>
      </c>
      <c r="L43" s="193">
        <v>454</v>
      </c>
      <c r="M43" s="193">
        <v>454</v>
      </c>
      <c r="N43" s="284" t="s">
        <v>1</v>
      </c>
      <c r="O43" s="285" t="s">
        <v>1</v>
      </c>
      <c r="P43" s="285" t="s">
        <v>1</v>
      </c>
      <c r="Q43" s="285" t="s">
        <v>1</v>
      </c>
      <c r="R43" s="285" t="s">
        <v>1</v>
      </c>
      <c r="S43" s="286" t="s">
        <v>1</v>
      </c>
      <c r="T43" s="285" t="s">
        <v>1</v>
      </c>
      <c r="U43" s="285" t="s">
        <v>1</v>
      </c>
      <c r="V43" s="285" t="s">
        <v>1</v>
      </c>
      <c r="W43" s="285" t="s">
        <v>1</v>
      </c>
      <c r="X43" s="286" t="s">
        <v>1</v>
      </c>
      <c r="Y43" s="285" t="s">
        <v>1</v>
      </c>
      <c r="Z43" s="285" t="s">
        <v>1</v>
      </c>
      <c r="AA43" s="285" t="s">
        <v>1</v>
      </c>
      <c r="AB43" s="285" t="s">
        <v>1</v>
      </c>
      <c r="AC43" s="286" t="s">
        <v>1</v>
      </c>
      <c r="AD43" s="285" t="s">
        <v>1</v>
      </c>
      <c r="AE43" s="285" t="s">
        <v>1</v>
      </c>
      <c r="AF43" s="285" t="s">
        <v>1</v>
      </c>
      <c r="AG43" s="285" t="s">
        <v>1</v>
      </c>
      <c r="AH43" s="286" t="s">
        <v>1</v>
      </c>
      <c r="AI43" s="295" t="s">
        <v>1</v>
      </c>
      <c r="AJ43" s="295" t="s">
        <v>1</v>
      </c>
      <c r="AK43" s="295" t="s">
        <v>1</v>
      </c>
      <c r="AL43" s="286">
        <v>181.6</v>
      </c>
      <c r="AM43" s="288" t="s">
        <v>1</v>
      </c>
      <c r="AN43" s="287" t="s">
        <v>1</v>
      </c>
      <c r="AO43" s="287" t="s">
        <v>1</v>
      </c>
      <c r="AP43" s="286" t="s">
        <v>1</v>
      </c>
      <c r="AQ43" s="285" t="s">
        <v>1</v>
      </c>
      <c r="AR43" s="289" t="s">
        <v>1</v>
      </c>
      <c r="AS43" s="289" t="s">
        <v>1</v>
      </c>
      <c r="AT43" s="290" t="s">
        <v>1</v>
      </c>
      <c r="AU43" s="287" t="s">
        <v>1</v>
      </c>
      <c r="AV43" s="287" t="s">
        <v>1</v>
      </c>
      <c r="AW43" s="291" t="s">
        <v>1</v>
      </c>
    </row>
    <row r="44" spans="1:49" ht="30.15" customHeight="1" x14ac:dyDescent="0.25">
      <c r="A44" s="188" t="s">
        <v>18</v>
      </c>
      <c r="B44" s="188" t="s">
        <v>1</v>
      </c>
      <c r="C44" s="188" t="s">
        <v>35</v>
      </c>
      <c r="D44" s="190" t="s">
        <v>3</v>
      </c>
      <c r="E44" s="190" t="s">
        <v>955</v>
      </c>
      <c r="F44" s="203"/>
      <c r="G44" s="190" t="s">
        <v>986</v>
      </c>
      <c r="H44" s="192" t="s">
        <v>414</v>
      </c>
      <c r="I44" s="194">
        <v>429</v>
      </c>
      <c r="J44" s="194">
        <v>432</v>
      </c>
      <c r="K44" s="194">
        <v>432</v>
      </c>
      <c r="L44" s="193">
        <v>454</v>
      </c>
      <c r="M44" s="193">
        <v>454</v>
      </c>
      <c r="N44" s="284" t="s">
        <v>1</v>
      </c>
      <c r="O44" s="285" t="s">
        <v>1</v>
      </c>
      <c r="P44" s="285" t="s">
        <v>1</v>
      </c>
      <c r="Q44" s="285" t="s">
        <v>1</v>
      </c>
      <c r="R44" s="285" t="s">
        <v>1</v>
      </c>
      <c r="S44" s="286" t="s">
        <v>1</v>
      </c>
      <c r="T44" s="285" t="s">
        <v>1</v>
      </c>
      <c r="U44" s="285" t="s">
        <v>1</v>
      </c>
      <c r="V44" s="285" t="s">
        <v>1</v>
      </c>
      <c r="W44" s="285" t="s">
        <v>1</v>
      </c>
      <c r="X44" s="286" t="s">
        <v>1</v>
      </c>
      <c r="Y44" s="285" t="s">
        <v>1</v>
      </c>
      <c r="Z44" s="285" t="s">
        <v>1</v>
      </c>
      <c r="AA44" s="285" t="s">
        <v>1</v>
      </c>
      <c r="AB44" s="285" t="s">
        <v>1</v>
      </c>
      <c r="AC44" s="286" t="s">
        <v>1</v>
      </c>
      <c r="AD44" s="285" t="s">
        <v>1</v>
      </c>
      <c r="AE44" s="285" t="s">
        <v>1</v>
      </c>
      <c r="AF44" s="285" t="s">
        <v>1</v>
      </c>
      <c r="AG44" s="285" t="s">
        <v>1</v>
      </c>
      <c r="AH44" s="286" t="s">
        <v>1</v>
      </c>
      <c r="AI44" s="295" t="s">
        <v>1</v>
      </c>
      <c r="AJ44" s="295" t="s">
        <v>1</v>
      </c>
      <c r="AK44" s="295" t="s">
        <v>1</v>
      </c>
      <c r="AL44" s="286">
        <v>181.6</v>
      </c>
      <c r="AM44" s="288" t="s">
        <v>1</v>
      </c>
      <c r="AN44" s="287" t="s">
        <v>1</v>
      </c>
      <c r="AO44" s="287" t="s">
        <v>1</v>
      </c>
      <c r="AP44" s="286" t="s">
        <v>1</v>
      </c>
      <c r="AQ44" s="285" t="s">
        <v>1</v>
      </c>
      <c r="AR44" s="289" t="s">
        <v>1</v>
      </c>
      <c r="AS44" s="289" t="s">
        <v>1</v>
      </c>
      <c r="AT44" s="290" t="s">
        <v>1</v>
      </c>
      <c r="AU44" s="287" t="s">
        <v>1</v>
      </c>
      <c r="AV44" s="287" t="s">
        <v>1</v>
      </c>
      <c r="AW44" s="291" t="s">
        <v>1</v>
      </c>
    </row>
    <row r="45" spans="1:49" ht="30.15" customHeight="1" x14ac:dyDescent="0.25">
      <c r="A45" s="188" t="s">
        <v>18</v>
      </c>
      <c r="B45" s="188" t="s">
        <v>1</v>
      </c>
      <c r="C45" s="188" t="s">
        <v>35</v>
      </c>
      <c r="D45" s="190" t="s">
        <v>3</v>
      </c>
      <c r="E45" s="190" t="s">
        <v>956</v>
      </c>
      <c r="F45" s="203"/>
      <c r="G45" s="190" t="s">
        <v>987</v>
      </c>
      <c r="H45" s="192" t="s">
        <v>414</v>
      </c>
      <c r="I45" s="194">
        <v>429</v>
      </c>
      <c r="J45" s="194">
        <v>432</v>
      </c>
      <c r="K45" s="194">
        <v>432</v>
      </c>
      <c r="L45" s="193">
        <v>454</v>
      </c>
      <c r="M45" s="193">
        <v>454</v>
      </c>
      <c r="N45" s="284" t="s">
        <v>1</v>
      </c>
      <c r="O45" s="285" t="s">
        <v>1</v>
      </c>
      <c r="P45" s="285" t="s">
        <v>1</v>
      </c>
      <c r="Q45" s="285" t="s">
        <v>1</v>
      </c>
      <c r="R45" s="285" t="s">
        <v>1</v>
      </c>
      <c r="S45" s="286" t="s">
        <v>1</v>
      </c>
      <c r="T45" s="285" t="s">
        <v>1</v>
      </c>
      <c r="U45" s="285" t="s">
        <v>1</v>
      </c>
      <c r="V45" s="285" t="s">
        <v>1</v>
      </c>
      <c r="W45" s="285" t="s">
        <v>1</v>
      </c>
      <c r="X45" s="286" t="s">
        <v>1</v>
      </c>
      <c r="Y45" s="285" t="s">
        <v>1</v>
      </c>
      <c r="Z45" s="285" t="s">
        <v>1</v>
      </c>
      <c r="AA45" s="285" t="s">
        <v>1</v>
      </c>
      <c r="AB45" s="285" t="s">
        <v>1</v>
      </c>
      <c r="AC45" s="286" t="s">
        <v>1</v>
      </c>
      <c r="AD45" s="285" t="s">
        <v>1</v>
      </c>
      <c r="AE45" s="285" t="s">
        <v>1</v>
      </c>
      <c r="AF45" s="285" t="s">
        <v>1</v>
      </c>
      <c r="AG45" s="285" t="s">
        <v>1</v>
      </c>
      <c r="AH45" s="286" t="s">
        <v>1</v>
      </c>
      <c r="AI45" s="295" t="s">
        <v>1</v>
      </c>
      <c r="AJ45" s="295" t="s">
        <v>1</v>
      </c>
      <c r="AK45" s="295" t="s">
        <v>1</v>
      </c>
      <c r="AL45" s="286">
        <v>181.6</v>
      </c>
      <c r="AM45" s="288" t="s">
        <v>1</v>
      </c>
      <c r="AN45" s="287" t="s">
        <v>1</v>
      </c>
      <c r="AO45" s="287" t="s">
        <v>1</v>
      </c>
      <c r="AP45" s="286" t="s">
        <v>1</v>
      </c>
      <c r="AQ45" s="285" t="s">
        <v>1</v>
      </c>
      <c r="AR45" s="289" t="s">
        <v>1</v>
      </c>
      <c r="AS45" s="289" t="s">
        <v>1</v>
      </c>
      <c r="AT45" s="290" t="s">
        <v>1</v>
      </c>
      <c r="AU45" s="287" t="s">
        <v>1</v>
      </c>
      <c r="AV45" s="287" t="s">
        <v>1</v>
      </c>
      <c r="AW45" s="291" t="s">
        <v>1</v>
      </c>
    </row>
    <row r="46" spans="1:49" ht="30.15" customHeight="1" x14ac:dyDescent="0.25">
      <c r="A46" s="188" t="s">
        <v>18</v>
      </c>
      <c r="B46" s="188" t="s">
        <v>1</v>
      </c>
      <c r="C46" s="188" t="s">
        <v>35</v>
      </c>
      <c r="D46" s="190" t="s">
        <v>3</v>
      </c>
      <c r="E46" s="190" t="s">
        <v>957</v>
      </c>
      <c r="F46" s="203"/>
      <c r="G46" s="190" t="s">
        <v>988</v>
      </c>
      <c r="H46" s="192" t="s">
        <v>414</v>
      </c>
      <c r="I46" s="194">
        <v>429</v>
      </c>
      <c r="J46" s="194">
        <v>432</v>
      </c>
      <c r="K46" s="194">
        <v>432</v>
      </c>
      <c r="L46" s="193">
        <v>454</v>
      </c>
      <c r="M46" s="193">
        <v>454</v>
      </c>
      <c r="N46" s="284" t="s">
        <v>1</v>
      </c>
      <c r="O46" s="285" t="s">
        <v>1</v>
      </c>
      <c r="P46" s="285" t="s">
        <v>1</v>
      </c>
      <c r="Q46" s="285" t="s">
        <v>1</v>
      </c>
      <c r="R46" s="285" t="s">
        <v>1</v>
      </c>
      <c r="S46" s="286" t="s">
        <v>1</v>
      </c>
      <c r="T46" s="285" t="s">
        <v>1</v>
      </c>
      <c r="U46" s="285" t="s">
        <v>1</v>
      </c>
      <c r="V46" s="285" t="s">
        <v>1</v>
      </c>
      <c r="W46" s="285" t="s">
        <v>1</v>
      </c>
      <c r="X46" s="286" t="s">
        <v>1</v>
      </c>
      <c r="Y46" s="285" t="s">
        <v>1</v>
      </c>
      <c r="Z46" s="285" t="s">
        <v>1</v>
      </c>
      <c r="AA46" s="285" t="s">
        <v>1</v>
      </c>
      <c r="AB46" s="285" t="s">
        <v>1</v>
      </c>
      <c r="AC46" s="286" t="s">
        <v>1</v>
      </c>
      <c r="AD46" s="285" t="s">
        <v>1</v>
      </c>
      <c r="AE46" s="285" t="s">
        <v>1</v>
      </c>
      <c r="AF46" s="285" t="s">
        <v>1</v>
      </c>
      <c r="AG46" s="285" t="s">
        <v>1</v>
      </c>
      <c r="AH46" s="286" t="s">
        <v>1</v>
      </c>
      <c r="AI46" s="295" t="s">
        <v>1</v>
      </c>
      <c r="AJ46" s="295" t="s">
        <v>1</v>
      </c>
      <c r="AK46" s="295" t="s">
        <v>1</v>
      </c>
      <c r="AL46" s="286">
        <v>181.6</v>
      </c>
      <c r="AM46" s="288" t="s">
        <v>1</v>
      </c>
      <c r="AN46" s="287" t="s">
        <v>1</v>
      </c>
      <c r="AO46" s="287" t="s">
        <v>1</v>
      </c>
      <c r="AP46" s="286" t="s">
        <v>1</v>
      </c>
      <c r="AQ46" s="285" t="s">
        <v>1</v>
      </c>
      <c r="AR46" s="289" t="s">
        <v>1</v>
      </c>
      <c r="AS46" s="289" t="s">
        <v>1</v>
      </c>
      <c r="AT46" s="290" t="s">
        <v>1</v>
      </c>
      <c r="AU46" s="287" t="s">
        <v>1</v>
      </c>
      <c r="AV46" s="287" t="s">
        <v>1</v>
      </c>
      <c r="AW46" s="291" t="s">
        <v>1</v>
      </c>
    </row>
    <row r="47" spans="1:49" ht="30.15" customHeight="1" x14ac:dyDescent="0.25">
      <c r="A47" s="188" t="s">
        <v>18</v>
      </c>
      <c r="B47" s="188" t="s">
        <v>1</v>
      </c>
      <c r="C47" s="188" t="s">
        <v>35</v>
      </c>
      <c r="D47" s="190" t="s">
        <v>3</v>
      </c>
      <c r="E47" s="190" t="s">
        <v>954</v>
      </c>
      <c r="F47" s="203"/>
      <c r="G47" s="190" t="s">
        <v>989</v>
      </c>
      <c r="H47" s="192" t="s">
        <v>414</v>
      </c>
      <c r="I47" s="194">
        <v>469</v>
      </c>
      <c r="J47" s="194">
        <v>475</v>
      </c>
      <c r="K47" s="194">
        <v>475</v>
      </c>
      <c r="L47" s="193">
        <v>497</v>
      </c>
      <c r="M47" s="193">
        <v>497</v>
      </c>
      <c r="N47" s="284" t="s">
        <v>1</v>
      </c>
      <c r="O47" s="285" t="s">
        <v>1</v>
      </c>
      <c r="P47" s="285" t="s">
        <v>1</v>
      </c>
      <c r="Q47" s="285" t="s">
        <v>1</v>
      </c>
      <c r="R47" s="285" t="s">
        <v>1</v>
      </c>
      <c r="S47" s="286" t="s">
        <v>1</v>
      </c>
      <c r="T47" s="285" t="s">
        <v>1</v>
      </c>
      <c r="U47" s="285" t="s">
        <v>1</v>
      </c>
      <c r="V47" s="285" t="s">
        <v>1</v>
      </c>
      <c r="W47" s="285" t="s">
        <v>1</v>
      </c>
      <c r="X47" s="286" t="s">
        <v>1</v>
      </c>
      <c r="Y47" s="285" t="s">
        <v>1</v>
      </c>
      <c r="Z47" s="285" t="s">
        <v>1</v>
      </c>
      <c r="AA47" s="285" t="s">
        <v>1</v>
      </c>
      <c r="AB47" s="285" t="s">
        <v>1</v>
      </c>
      <c r="AC47" s="286" t="s">
        <v>1</v>
      </c>
      <c r="AD47" s="285" t="s">
        <v>1</v>
      </c>
      <c r="AE47" s="285" t="s">
        <v>1</v>
      </c>
      <c r="AF47" s="285" t="s">
        <v>1</v>
      </c>
      <c r="AG47" s="285" t="s">
        <v>1</v>
      </c>
      <c r="AH47" s="286" t="s">
        <v>1</v>
      </c>
      <c r="AI47" s="295" t="s">
        <v>1</v>
      </c>
      <c r="AJ47" s="295" t="s">
        <v>1</v>
      </c>
      <c r="AK47" s="295" t="s">
        <v>1</v>
      </c>
      <c r="AL47" s="286">
        <v>198.8</v>
      </c>
      <c r="AM47" s="288" t="s">
        <v>1</v>
      </c>
      <c r="AN47" s="287" t="s">
        <v>1</v>
      </c>
      <c r="AO47" s="287" t="s">
        <v>1</v>
      </c>
      <c r="AP47" s="286" t="s">
        <v>1</v>
      </c>
      <c r="AQ47" s="285" t="s">
        <v>1</v>
      </c>
      <c r="AR47" s="289" t="s">
        <v>1</v>
      </c>
      <c r="AS47" s="289" t="s">
        <v>1</v>
      </c>
      <c r="AT47" s="290" t="s">
        <v>1</v>
      </c>
      <c r="AU47" s="287" t="s">
        <v>1</v>
      </c>
      <c r="AV47" s="287" t="s">
        <v>1</v>
      </c>
      <c r="AW47" s="291" t="s">
        <v>1</v>
      </c>
    </row>
    <row r="48" spans="1:49" ht="30.15" customHeight="1" x14ac:dyDescent="0.25">
      <c r="A48" s="188" t="s">
        <v>18</v>
      </c>
      <c r="B48" s="188" t="s">
        <v>1</v>
      </c>
      <c r="C48" s="188" t="s">
        <v>35</v>
      </c>
      <c r="D48" s="190" t="s">
        <v>3</v>
      </c>
      <c r="E48" s="190" t="s">
        <v>958</v>
      </c>
      <c r="F48" s="203"/>
      <c r="G48" s="190" t="s">
        <v>990</v>
      </c>
      <c r="H48" s="192" t="s">
        <v>414</v>
      </c>
      <c r="I48" s="194">
        <v>469</v>
      </c>
      <c r="J48" s="194">
        <v>475</v>
      </c>
      <c r="K48" s="194">
        <v>475</v>
      </c>
      <c r="L48" s="193">
        <v>497</v>
      </c>
      <c r="M48" s="193">
        <v>497</v>
      </c>
      <c r="N48" s="284" t="s">
        <v>1</v>
      </c>
      <c r="O48" s="285" t="s">
        <v>1</v>
      </c>
      <c r="P48" s="285" t="s">
        <v>1</v>
      </c>
      <c r="Q48" s="285" t="s">
        <v>1</v>
      </c>
      <c r="R48" s="285" t="s">
        <v>1</v>
      </c>
      <c r="S48" s="286" t="s">
        <v>1</v>
      </c>
      <c r="T48" s="285" t="s">
        <v>1</v>
      </c>
      <c r="U48" s="285" t="s">
        <v>1</v>
      </c>
      <c r="V48" s="285" t="s">
        <v>1</v>
      </c>
      <c r="W48" s="285" t="s">
        <v>1</v>
      </c>
      <c r="X48" s="286" t="s">
        <v>1</v>
      </c>
      <c r="Y48" s="285" t="s">
        <v>1</v>
      </c>
      <c r="Z48" s="285" t="s">
        <v>1</v>
      </c>
      <c r="AA48" s="285" t="s">
        <v>1</v>
      </c>
      <c r="AB48" s="285" t="s">
        <v>1</v>
      </c>
      <c r="AC48" s="286" t="s">
        <v>1</v>
      </c>
      <c r="AD48" s="285" t="s">
        <v>1</v>
      </c>
      <c r="AE48" s="285" t="s">
        <v>1</v>
      </c>
      <c r="AF48" s="285" t="s">
        <v>1</v>
      </c>
      <c r="AG48" s="285" t="s">
        <v>1</v>
      </c>
      <c r="AH48" s="286" t="s">
        <v>1</v>
      </c>
      <c r="AI48" s="295" t="s">
        <v>1</v>
      </c>
      <c r="AJ48" s="295" t="s">
        <v>1</v>
      </c>
      <c r="AK48" s="295" t="s">
        <v>1</v>
      </c>
      <c r="AL48" s="286">
        <v>198.8</v>
      </c>
      <c r="AM48" s="288" t="s">
        <v>1</v>
      </c>
      <c r="AN48" s="287" t="s">
        <v>1</v>
      </c>
      <c r="AO48" s="287" t="s">
        <v>1</v>
      </c>
      <c r="AP48" s="286" t="s">
        <v>1</v>
      </c>
      <c r="AQ48" s="285" t="s">
        <v>1</v>
      </c>
      <c r="AR48" s="289" t="s">
        <v>1</v>
      </c>
      <c r="AS48" s="289" t="s">
        <v>1</v>
      </c>
      <c r="AT48" s="290" t="s">
        <v>1</v>
      </c>
      <c r="AU48" s="287" t="s">
        <v>1</v>
      </c>
      <c r="AV48" s="287" t="s">
        <v>1</v>
      </c>
      <c r="AW48" s="291" t="s">
        <v>1</v>
      </c>
    </row>
    <row r="49" spans="1:49" ht="30.15" customHeight="1" x14ac:dyDescent="0.25">
      <c r="A49" s="188" t="s">
        <v>18</v>
      </c>
      <c r="B49" s="188" t="s">
        <v>1</v>
      </c>
      <c r="C49" s="188" t="s">
        <v>35</v>
      </c>
      <c r="D49" s="190" t="s">
        <v>3</v>
      </c>
      <c r="E49" s="190" t="s">
        <v>959</v>
      </c>
      <c r="F49" s="203"/>
      <c r="G49" s="190" t="s">
        <v>991</v>
      </c>
      <c r="H49" s="192" t="s">
        <v>414</v>
      </c>
      <c r="I49" s="194">
        <v>469</v>
      </c>
      <c r="J49" s="194">
        <v>475</v>
      </c>
      <c r="K49" s="194">
        <v>475</v>
      </c>
      <c r="L49" s="193">
        <v>497</v>
      </c>
      <c r="M49" s="193">
        <v>497</v>
      </c>
      <c r="N49" s="284" t="s">
        <v>1</v>
      </c>
      <c r="O49" s="285" t="s">
        <v>1</v>
      </c>
      <c r="P49" s="285" t="s">
        <v>1</v>
      </c>
      <c r="Q49" s="285" t="s">
        <v>1</v>
      </c>
      <c r="R49" s="285" t="s">
        <v>1</v>
      </c>
      <c r="S49" s="286" t="s">
        <v>1</v>
      </c>
      <c r="T49" s="285" t="s">
        <v>1</v>
      </c>
      <c r="U49" s="285" t="s">
        <v>1</v>
      </c>
      <c r="V49" s="285" t="s">
        <v>1</v>
      </c>
      <c r="W49" s="285" t="s">
        <v>1</v>
      </c>
      <c r="X49" s="286" t="s">
        <v>1</v>
      </c>
      <c r="Y49" s="285" t="s">
        <v>1</v>
      </c>
      <c r="Z49" s="285" t="s">
        <v>1</v>
      </c>
      <c r="AA49" s="285" t="s">
        <v>1</v>
      </c>
      <c r="AB49" s="285" t="s">
        <v>1</v>
      </c>
      <c r="AC49" s="286" t="s">
        <v>1</v>
      </c>
      <c r="AD49" s="285" t="s">
        <v>1</v>
      </c>
      <c r="AE49" s="285" t="s">
        <v>1</v>
      </c>
      <c r="AF49" s="285" t="s">
        <v>1</v>
      </c>
      <c r="AG49" s="285" t="s">
        <v>1</v>
      </c>
      <c r="AH49" s="286" t="s">
        <v>1</v>
      </c>
      <c r="AI49" s="295" t="s">
        <v>1</v>
      </c>
      <c r="AJ49" s="295" t="s">
        <v>1</v>
      </c>
      <c r="AK49" s="295" t="s">
        <v>1</v>
      </c>
      <c r="AL49" s="286">
        <v>198.8</v>
      </c>
      <c r="AM49" s="288" t="s">
        <v>1</v>
      </c>
      <c r="AN49" s="287" t="s">
        <v>1</v>
      </c>
      <c r="AO49" s="287" t="s">
        <v>1</v>
      </c>
      <c r="AP49" s="286" t="s">
        <v>1</v>
      </c>
      <c r="AQ49" s="285" t="s">
        <v>1</v>
      </c>
      <c r="AR49" s="289" t="s">
        <v>1</v>
      </c>
      <c r="AS49" s="289" t="s">
        <v>1</v>
      </c>
      <c r="AT49" s="290" t="s">
        <v>1</v>
      </c>
      <c r="AU49" s="287" t="s">
        <v>1</v>
      </c>
      <c r="AV49" s="287" t="s">
        <v>1</v>
      </c>
      <c r="AW49" s="291" t="s">
        <v>1</v>
      </c>
    </row>
    <row r="50" spans="1:49" ht="30.15" customHeight="1" x14ac:dyDescent="0.25">
      <c r="A50" s="188" t="s">
        <v>18</v>
      </c>
      <c r="B50" s="188" t="s">
        <v>1</v>
      </c>
      <c r="C50" s="188" t="s">
        <v>35</v>
      </c>
      <c r="D50" s="190" t="s">
        <v>3</v>
      </c>
      <c r="E50" s="190" t="s">
        <v>960</v>
      </c>
      <c r="F50" s="203"/>
      <c r="G50" s="190" t="s">
        <v>992</v>
      </c>
      <c r="H50" s="192" t="s">
        <v>414</v>
      </c>
      <c r="I50" s="194">
        <v>469</v>
      </c>
      <c r="J50" s="194">
        <v>475</v>
      </c>
      <c r="K50" s="194">
        <v>475</v>
      </c>
      <c r="L50" s="193">
        <v>497</v>
      </c>
      <c r="M50" s="193">
        <v>497</v>
      </c>
      <c r="N50" s="284" t="s">
        <v>1</v>
      </c>
      <c r="O50" s="285" t="s">
        <v>1</v>
      </c>
      <c r="P50" s="285" t="s">
        <v>1</v>
      </c>
      <c r="Q50" s="285" t="s">
        <v>1</v>
      </c>
      <c r="R50" s="285" t="s">
        <v>1</v>
      </c>
      <c r="S50" s="286" t="s">
        <v>1</v>
      </c>
      <c r="T50" s="285" t="s">
        <v>1</v>
      </c>
      <c r="U50" s="285" t="s">
        <v>1</v>
      </c>
      <c r="V50" s="285" t="s">
        <v>1</v>
      </c>
      <c r="W50" s="285" t="s">
        <v>1</v>
      </c>
      <c r="X50" s="286" t="s">
        <v>1</v>
      </c>
      <c r="Y50" s="285" t="s">
        <v>1</v>
      </c>
      <c r="Z50" s="285" t="s">
        <v>1</v>
      </c>
      <c r="AA50" s="285" t="s">
        <v>1</v>
      </c>
      <c r="AB50" s="285" t="s">
        <v>1</v>
      </c>
      <c r="AC50" s="286" t="s">
        <v>1</v>
      </c>
      <c r="AD50" s="285" t="s">
        <v>1</v>
      </c>
      <c r="AE50" s="285" t="s">
        <v>1</v>
      </c>
      <c r="AF50" s="285" t="s">
        <v>1</v>
      </c>
      <c r="AG50" s="285" t="s">
        <v>1</v>
      </c>
      <c r="AH50" s="286" t="s">
        <v>1</v>
      </c>
      <c r="AI50" s="295" t="s">
        <v>1</v>
      </c>
      <c r="AJ50" s="295" t="s">
        <v>1</v>
      </c>
      <c r="AK50" s="295" t="s">
        <v>1</v>
      </c>
      <c r="AL50" s="286">
        <v>198.8</v>
      </c>
      <c r="AM50" s="288" t="s">
        <v>1</v>
      </c>
      <c r="AN50" s="287" t="s">
        <v>1</v>
      </c>
      <c r="AO50" s="287" t="s">
        <v>1</v>
      </c>
      <c r="AP50" s="286" t="s">
        <v>1</v>
      </c>
      <c r="AQ50" s="285" t="s">
        <v>1</v>
      </c>
      <c r="AR50" s="289" t="s">
        <v>1</v>
      </c>
      <c r="AS50" s="289" t="s">
        <v>1</v>
      </c>
      <c r="AT50" s="290" t="s">
        <v>1</v>
      </c>
      <c r="AU50" s="287" t="s">
        <v>1</v>
      </c>
      <c r="AV50" s="287" t="s">
        <v>1</v>
      </c>
      <c r="AW50" s="291" t="s">
        <v>1</v>
      </c>
    </row>
    <row r="51" spans="1:49" ht="30.15" customHeight="1" x14ac:dyDescent="0.25">
      <c r="A51" s="188" t="s">
        <v>18</v>
      </c>
      <c r="B51" s="188" t="s">
        <v>1</v>
      </c>
      <c r="C51" s="188" t="s">
        <v>35</v>
      </c>
      <c r="D51" s="190" t="s">
        <v>3</v>
      </c>
      <c r="E51" s="190" t="s">
        <v>961</v>
      </c>
      <c r="F51" s="203"/>
      <c r="G51" s="190" t="s">
        <v>993</v>
      </c>
      <c r="H51" s="192" t="s">
        <v>414</v>
      </c>
      <c r="I51" s="194">
        <v>469</v>
      </c>
      <c r="J51" s="194">
        <v>475</v>
      </c>
      <c r="K51" s="194">
        <v>475</v>
      </c>
      <c r="L51" s="193">
        <v>497</v>
      </c>
      <c r="M51" s="193">
        <v>497</v>
      </c>
      <c r="N51" s="284" t="s">
        <v>1</v>
      </c>
      <c r="O51" s="285" t="s">
        <v>1</v>
      </c>
      <c r="P51" s="285" t="s">
        <v>1</v>
      </c>
      <c r="Q51" s="285" t="s">
        <v>1</v>
      </c>
      <c r="R51" s="285" t="s">
        <v>1</v>
      </c>
      <c r="S51" s="286" t="s">
        <v>1</v>
      </c>
      <c r="T51" s="285" t="s">
        <v>1</v>
      </c>
      <c r="U51" s="285" t="s">
        <v>1</v>
      </c>
      <c r="V51" s="285" t="s">
        <v>1</v>
      </c>
      <c r="W51" s="285" t="s">
        <v>1</v>
      </c>
      <c r="X51" s="286" t="s">
        <v>1</v>
      </c>
      <c r="Y51" s="285" t="s">
        <v>1</v>
      </c>
      <c r="Z51" s="285" t="s">
        <v>1</v>
      </c>
      <c r="AA51" s="285" t="s">
        <v>1</v>
      </c>
      <c r="AB51" s="285" t="s">
        <v>1</v>
      </c>
      <c r="AC51" s="286" t="s">
        <v>1</v>
      </c>
      <c r="AD51" s="285" t="s">
        <v>1</v>
      </c>
      <c r="AE51" s="285" t="s">
        <v>1</v>
      </c>
      <c r="AF51" s="285" t="s">
        <v>1</v>
      </c>
      <c r="AG51" s="285" t="s">
        <v>1</v>
      </c>
      <c r="AH51" s="286" t="s">
        <v>1</v>
      </c>
      <c r="AI51" s="295" t="s">
        <v>1</v>
      </c>
      <c r="AJ51" s="295" t="s">
        <v>1</v>
      </c>
      <c r="AK51" s="295" t="s">
        <v>1</v>
      </c>
      <c r="AL51" s="286">
        <v>198.8</v>
      </c>
      <c r="AM51" s="288" t="s">
        <v>1</v>
      </c>
      <c r="AN51" s="287" t="s">
        <v>1</v>
      </c>
      <c r="AO51" s="287" t="s">
        <v>1</v>
      </c>
      <c r="AP51" s="286" t="s">
        <v>1</v>
      </c>
      <c r="AQ51" s="285" t="s">
        <v>1</v>
      </c>
      <c r="AR51" s="289" t="s">
        <v>1</v>
      </c>
      <c r="AS51" s="289" t="s">
        <v>1</v>
      </c>
      <c r="AT51" s="290" t="s">
        <v>1</v>
      </c>
      <c r="AU51" s="287" t="s">
        <v>1</v>
      </c>
      <c r="AV51" s="287" t="s">
        <v>1</v>
      </c>
      <c r="AW51" s="291" t="s">
        <v>1</v>
      </c>
    </row>
    <row r="52" spans="1:49" ht="30.15" customHeight="1" x14ac:dyDescent="0.25">
      <c r="A52" s="188" t="s">
        <v>18</v>
      </c>
      <c r="B52" s="188" t="s">
        <v>1</v>
      </c>
      <c r="C52" s="188" t="s">
        <v>35</v>
      </c>
      <c r="D52" s="190" t="s">
        <v>3</v>
      </c>
      <c r="E52" s="190" t="s">
        <v>962</v>
      </c>
      <c r="F52" s="203"/>
      <c r="G52" s="190" t="s">
        <v>994</v>
      </c>
      <c r="H52" s="192" t="s">
        <v>414</v>
      </c>
      <c r="I52" s="194">
        <v>469</v>
      </c>
      <c r="J52" s="194">
        <v>475</v>
      </c>
      <c r="K52" s="194">
        <v>475</v>
      </c>
      <c r="L52" s="193">
        <v>497</v>
      </c>
      <c r="M52" s="193">
        <v>497</v>
      </c>
      <c r="N52" s="284" t="s">
        <v>1</v>
      </c>
      <c r="O52" s="285" t="s">
        <v>1</v>
      </c>
      <c r="P52" s="285" t="s">
        <v>1</v>
      </c>
      <c r="Q52" s="285" t="s">
        <v>1</v>
      </c>
      <c r="R52" s="285" t="s">
        <v>1</v>
      </c>
      <c r="S52" s="286" t="s">
        <v>1</v>
      </c>
      <c r="T52" s="285" t="s">
        <v>1</v>
      </c>
      <c r="U52" s="285" t="s">
        <v>1</v>
      </c>
      <c r="V52" s="285" t="s">
        <v>1</v>
      </c>
      <c r="W52" s="285" t="s">
        <v>1</v>
      </c>
      <c r="X52" s="286" t="s">
        <v>1</v>
      </c>
      <c r="Y52" s="285" t="s">
        <v>1</v>
      </c>
      <c r="Z52" s="285" t="s">
        <v>1</v>
      </c>
      <c r="AA52" s="285" t="s">
        <v>1</v>
      </c>
      <c r="AB52" s="285" t="s">
        <v>1</v>
      </c>
      <c r="AC52" s="286" t="s">
        <v>1</v>
      </c>
      <c r="AD52" s="285" t="s">
        <v>1</v>
      </c>
      <c r="AE52" s="285" t="s">
        <v>1</v>
      </c>
      <c r="AF52" s="285" t="s">
        <v>1</v>
      </c>
      <c r="AG52" s="285" t="s">
        <v>1</v>
      </c>
      <c r="AH52" s="286" t="s">
        <v>1</v>
      </c>
      <c r="AI52" s="295" t="s">
        <v>1</v>
      </c>
      <c r="AJ52" s="295" t="s">
        <v>1</v>
      </c>
      <c r="AK52" s="295" t="s">
        <v>1</v>
      </c>
      <c r="AL52" s="286">
        <v>198.8</v>
      </c>
      <c r="AM52" s="288" t="s">
        <v>1</v>
      </c>
      <c r="AN52" s="287" t="s">
        <v>1</v>
      </c>
      <c r="AO52" s="287" t="s">
        <v>1</v>
      </c>
      <c r="AP52" s="286" t="s">
        <v>1</v>
      </c>
      <c r="AQ52" s="285" t="s">
        <v>1</v>
      </c>
      <c r="AR52" s="289" t="s">
        <v>1</v>
      </c>
      <c r="AS52" s="289" t="s">
        <v>1</v>
      </c>
      <c r="AT52" s="290" t="s">
        <v>1</v>
      </c>
      <c r="AU52" s="287" t="s">
        <v>1</v>
      </c>
      <c r="AV52" s="287" t="s">
        <v>1</v>
      </c>
      <c r="AW52" s="291" t="s">
        <v>1</v>
      </c>
    </row>
    <row r="53" spans="1:49" ht="30.15" customHeight="1" x14ac:dyDescent="0.25">
      <c r="A53" s="188" t="s">
        <v>18</v>
      </c>
      <c r="B53" s="188" t="s">
        <v>1</v>
      </c>
      <c r="C53" s="188" t="s">
        <v>35</v>
      </c>
      <c r="D53" s="190" t="s">
        <v>3</v>
      </c>
      <c r="E53" s="190" t="s">
        <v>963</v>
      </c>
      <c r="F53" s="203"/>
      <c r="G53" s="190" t="s">
        <v>995</v>
      </c>
      <c r="H53" s="192" t="s">
        <v>414</v>
      </c>
      <c r="I53" s="194">
        <v>429</v>
      </c>
      <c r="J53" s="194">
        <v>432</v>
      </c>
      <c r="K53" s="194">
        <v>432</v>
      </c>
      <c r="L53" s="193">
        <v>454</v>
      </c>
      <c r="M53" s="193">
        <v>454</v>
      </c>
      <c r="N53" s="284" t="s">
        <v>1</v>
      </c>
      <c r="O53" s="285" t="s">
        <v>1</v>
      </c>
      <c r="P53" s="285" t="s">
        <v>1</v>
      </c>
      <c r="Q53" s="285" t="s">
        <v>1</v>
      </c>
      <c r="R53" s="285" t="s">
        <v>1</v>
      </c>
      <c r="S53" s="286" t="s">
        <v>1</v>
      </c>
      <c r="T53" s="285" t="s">
        <v>1</v>
      </c>
      <c r="U53" s="285" t="s">
        <v>1</v>
      </c>
      <c r="V53" s="285" t="s">
        <v>1</v>
      </c>
      <c r="W53" s="285" t="s">
        <v>1</v>
      </c>
      <c r="X53" s="286" t="s">
        <v>1</v>
      </c>
      <c r="Y53" s="285" t="s">
        <v>1</v>
      </c>
      <c r="Z53" s="285" t="s">
        <v>1</v>
      </c>
      <c r="AA53" s="285" t="s">
        <v>1</v>
      </c>
      <c r="AB53" s="285" t="s">
        <v>1</v>
      </c>
      <c r="AC53" s="286" t="s">
        <v>1</v>
      </c>
      <c r="AD53" s="285" t="s">
        <v>1</v>
      </c>
      <c r="AE53" s="285" t="s">
        <v>1</v>
      </c>
      <c r="AF53" s="285" t="s">
        <v>1</v>
      </c>
      <c r="AG53" s="285" t="s">
        <v>1</v>
      </c>
      <c r="AH53" s="286" t="s">
        <v>1</v>
      </c>
      <c r="AI53" s="295" t="s">
        <v>1</v>
      </c>
      <c r="AJ53" s="295" t="s">
        <v>1</v>
      </c>
      <c r="AK53" s="295" t="s">
        <v>1</v>
      </c>
      <c r="AL53" s="286">
        <v>181.6</v>
      </c>
      <c r="AM53" s="288" t="s">
        <v>1</v>
      </c>
      <c r="AN53" s="287" t="s">
        <v>1</v>
      </c>
      <c r="AO53" s="287" t="s">
        <v>1</v>
      </c>
      <c r="AP53" s="286" t="s">
        <v>1</v>
      </c>
      <c r="AQ53" s="285" t="s">
        <v>1</v>
      </c>
      <c r="AR53" s="289" t="s">
        <v>1</v>
      </c>
      <c r="AS53" s="289" t="s">
        <v>1</v>
      </c>
      <c r="AT53" s="290" t="s">
        <v>1</v>
      </c>
      <c r="AU53" s="287" t="s">
        <v>1</v>
      </c>
      <c r="AV53" s="287" t="s">
        <v>1</v>
      </c>
      <c r="AW53" s="291" t="s">
        <v>1</v>
      </c>
    </row>
    <row r="54" spans="1:49" ht="30.15" customHeight="1" x14ac:dyDescent="0.25">
      <c r="A54" s="188" t="s">
        <v>18</v>
      </c>
      <c r="B54" s="188" t="s">
        <v>1</v>
      </c>
      <c r="C54" s="188" t="s">
        <v>35</v>
      </c>
      <c r="D54" s="190" t="s">
        <v>3</v>
      </c>
      <c r="E54" s="190" t="s">
        <v>964</v>
      </c>
      <c r="F54" s="203"/>
      <c r="G54" s="190" t="s">
        <v>996</v>
      </c>
      <c r="H54" s="192" t="s">
        <v>414</v>
      </c>
      <c r="I54" s="194">
        <v>429</v>
      </c>
      <c r="J54" s="194">
        <v>432</v>
      </c>
      <c r="K54" s="194">
        <v>432</v>
      </c>
      <c r="L54" s="193">
        <v>454</v>
      </c>
      <c r="M54" s="193">
        <v>454</v>
      </c>
      <c r="N54" s="284" t="s">
        <v>1</v>
      </c>
      <c r="O54" s="285" t="s">
        <v>1</v>
      </c>
      <c r="P54" s="285" t="s">
        <v>1</v>
      </c>
      <c r="Q54" s="285" t="s">
        <v>1</v>
      </c>
      <c r="R54" s="285" t="s">
        <v>1</v>
      </c>
      <c r="S54" s="286" t="s">
        <v>1</v>
      </c>
      <c r="T54" s="285" t="s">
        <v>1</v>
      </c>
      <c r="U54" s="285" t="s">
        <v>1</v>
      </c>
      <c r="V54" s="285" t="s">
        <v>1</v>
      </c>
      <c r="W54" s="285" t="s">
        <v>1</v>
      </c>
      <c r="X54" s="286" t="s">
        <v>1</v>
      </c>
      <c r="Y54" s="285" t="s">
        <v>1</v>
      </c>
      <c r="Z54" s="285" t="s">
        <v>1</v>
      </c>
      <c r="AA54" s="285" t="s">
        <v>1</v>
      </c>
      <c r="AB54" s="285" t="s">
        <v>1</v>
      </c>
      <c r="AC54" s="286" t="s">
        <v>1</v>
      </c>
      <c r="AD54" s="285" t="s">
        <v>1</v>
      </c>
      <c r="AE54" s="285" t="s">
        <v>1</v>
      </c>
      <c r="AF54" s="285" t="s">
        <v>1</v>
      </c>
      <c r="AG54" s="285" t="s">
        <v>1</v>
      </c>
      <c r="AH54" s="286" t="s">
        <v>1</v>
      </c>
      <c r="AI54" s="295" t="s">
        <v>1</v>
      </c>
      <c r="AJ54" s="295" t="s">
        <v>1</v>
      </c>
      <c r="AK54" s="295" t="s">
        <v>1</v>
      </c>
      <c r="AL54" s="286">
        <v>181.6</v>
      </c>
      <c r="AM54" s="288" t="s">
        <v>1</v>
      </c>
      <c r="AN54" s="287" t="s">
        <v>1</v>
      </c>
      <c r="AO54" s="287" t="s">
        <v>1</v>
      </c>
      <c r="AP54" s="286" t="s">
        <v>1</v>
      </c>
      <c r="AQ54" s="285" t="s">
        <v>1</v>
      </c>
      <c r="AR54" s="289" t="s">
        <v>1</v>
      </c>
      <c r="AS54" s="289" t="s">
        <v>1</v>
      </c>
      <c r="AT54" s="290" t="s">
        <v>1</v>
      </c>
      <c r="AU54" s="287" t="s">
        <v>1</v>
      </c>
      <c r="AV54" s="287" t="s">
        <v>1</v>
      </c>
      <c r="AW54" s="291" t="s">
        <v>1</v>
      </c>
    </row>
    <row r="55" spans="1:49" ht="30.15" customHeight="1" x14ac:dyDescent="0.25">
      <c r="A55" s="188" t="s">
        <v>18</v>
      </c>
      <c r="B55" s="188" t="s">
        <v>1</v>
      </c>
      <c r="C55" s="188" t="s">
        <v>35</v>
      </c>
      <c r="D55" s="190" t="s">
        <v>3</v>
      </c>
      <c r="E55" s="190" t="s">
        <v>965</v>
      </c>
      <c r="F55" s="203"/>
      <c r="G55" s="190" t="s">
        <v>997</v>
      </c>
      <c r="H55" s="192" t="s">
        <v>414</v>
      </c>
      <c r="I55" s="194">
        <v>659</v>
      </c>
      <c r="J55" s="194">
        <v>665</v>
      </c>
      <c r="K55" s="194">
        <v>665</v>
      </c>
      <c r="L55" s="193">
        <v>698</v>
      </c>
      <c r="M55" s="193">
        <v>698</v>
      </c>
      <c r="N55" s="284" t="s">
        <v>1</v>
      </c>
      <c r="O55" s="285" t="s">
        <v>1</v>
      </c>
      <c r="P55" s="285" t="s">
        <v>1</v>
      </c>
      <c r="Q55" s="285" t="s">
        <v>1</v>
      </c>
      <c r="R55" s="285" t="s">
        <v>1</v>
      </c>
      <c r="S55" s="286" t="s">
        <v>1</v>
      </c>
      <c r="T55" s="285" t="s">
        <v>1</v>
      </c>
      <c r="U55" s="285" t="s">
        <v>1</v>
      </c>
      <c r="V55" s="285" t="s">
        <v>1</v>
      </c>
      <c r="W55" s="285" t="s">
        <v>1</v>
      </c>
      <c r="X55" s="286" t="s">
        <v>1</v>
      </c>
      <c r="Y55" s="285" t="s">
        <v>1</v>
      </c>
      <c r="Z55" s="285" t="s">
        <v>1</v>
      </c>
      <c r="AA55" s="285" t="s">
        <v>1</v>
      </c>
      <c r="AB55" s="285" t="s">
        <v>1</v>
      </c>
      <c r="AC55" s="286" t="s">
        <v>1</v>
      </c>
      <c r="AD55" s="285" t="s">
        <v>1</v>
      </c>
      <c r="AE55" s="285" t="s">
        <v>1</v>
      </c>
      <c r="AF55" s="285" t="s">
        <v>1</v>
      </c>
      <c r="AG55" s="285" t="s">
        <v>1</v>
      </c>
      <c r="AH55" s="286" t="s">
        <v>1</v>
      </c>
      <c r="AI55" s="295" t="s">
        <v>1</v>
      </c>
      <c r="AJ55" s="295" t="s">
        <v>1</v>
      </c>
      <c r="AK55" s="295" t="s">
        <v>1</v>
      </c>
      <c r="AL55" s="286">
        <v>279.2</v>
      </c>
      <c r="AM55" s="288" t="s">
        <v>1</v>
      </c>
      <c r="AN55" s="287" t="s">
        <v>1</v>
      </c>
      <c r="AO55" s="287" t="s">
        <v>1</v>
      </c>
      <c r="AP55" s="286" t="s">
        <v>1</v>
      </c>
      <c r="AQ55" s="285" t="s">
        <v>1</v>
      </c>
      <c r="AR55" s="289" t="s">
        <v>1</v>
      </c>
      <c r="AS55" s="289" t="s">
        <v>1</v>
      </c>
      <c r="AT55" s="290" t="s">
        <v>1</v>
      </c>
      <c r="AU55" s="287" t="s">
        <v>1</v>
      </c>
      <c r="AV55" s="287" t="s">
        <v>1</v>
      </c>
      <c r="AW55" s="291" t="s">
        <v>1</v>
      </c>
    </row>
    <row r="56" spans="1:49" ht="30.15" customHeight="1" x14ac:dyDescent="0.25">
      <c r="A56" s="188" t="s">
        <v>18</v>
      </c>
      <c r="B56" s="188" t="s">
        <v>1</v>
      </c>
      <c r="C56" s="188" t="s">
        <v>35</v>
      </c>
      <c r="D56" s="190" t="s">
        <v>3</v>
      </c>
      <c r="E56" s="190" t="s">
        <v>966</v>
      </c>
      <c r="F56" s="203"/>
      <c r="G56" s="190" t="s">
        <v>998</v>
      </c>
      <c r="H56" s="192" t="s">
        <v>414</v>
      </c>
      <c r="I56" s="194">
        <v>699</v>
      </c>
      <c r="J56" s="194">
        <v>703</v>
      </c>
      <c r="K56" s="194">
        <v>703</v>
      </c>
      <c r="L56" s="193">
        <v>740</v>
      </c>
      <c r="M56" s="194">
        <v>740</v>
      </c>
      <c r="N56" s="284" t="s">
        <v>1</v>
      </c>
      <c r="O56" s="285" t="s">
        <v>1</v>
      </c>
      <c r="P56" s="285" t="s">
        <v>1</v>
      </c>
      <c r="Q56" s="285" t="s">
        <v>1</v>
      </c>
      <c r="R56" s="285" t="s">
        <v>1</v>
      </c>
      <c r="S56" s="286" t="s">
        <v>1</v>
      </c>
      <c r="T56" s="285" t="s">
        <v>1</v>
      </c>
      <c r="U56" s="285" t="s">
        <v>1</v>
      </c>
      <c r="V56" s="285" t="s">
        <v>1</v>
      </c>
      <c r="W56" s="285" t="s">
        <v>1</v>
      </c>
      <c r="X56" s="286" t="s">
        <v>1</v>
      </c>
      <c r="Y56" s="285" t="s">
        <v>1</v>
      </c>
      <c r="Z56" s="285" t="s">
        <v>1</v>
      </c>
      <c r="AA56" s="285" t="s">
        <v>1</v>
      </c>
      <c r="AB56" s="285" t="s">
        <v>1</v>
      </c>
      <c r="AC56" s="286" t="s">
        <v>1</v>
      </c>
      <c r="AD56" s="285" t="s">
        <v>1</v>
      </c>
      <c r="AE56" s="285" t="s">
        <v>1</v>
      </c>
      <c r="AF56" s="285" t="s">
        <v>1</v>
      </c>
      <c r="AG56" s="285" t="s">
        <v>1</v>
      </c>
      <c r="AH56" s="286" t="s">
        <v>1</v>
      </c>
      <c r="AI56" s="295" t="s">
        <v>1</v>
      </c>
      <c r="AJ56" s="295" t="s">
        <v>1</v>
      </c>
      <c r="AK56" s="295" t="s">
        <v>1</v>
      </c>
      <c r="AL56" s="286">
        <v>296</v>
      </c>
      <c r="AM56" s="288" t="s">
        <v>1</v>
      </c>
      <c r="AN56" s="287" t="s">
        <v>1</v>
      </c>
      <c r="AO56" s="287" t="s">
        <v>1</v>
      </c>
      <c r="AP56" s="286" t="s">
        <v>1</v>
      </c>
      <c r="AQ56" s="285" t="s">
        <v>1</v>
      </c>
      <c r="AR56" s="289" t="s">
        <v>1</v>
      </c>
      <c r="AS56" s="289" t="s">
        <v>1</v>
      </c>
      <c r="AT56" s="290" t="s">
        <v>1</v>
      </c>
      <c r="AU56" s="287" t="s">
        <v>1</v>
      </c>
      <c r="AV56" s="287" t="s">
        <v>1</v>
      </c>
      <c r="AW56" s="291" t="s">
        <v>1</v>
      </c>
    </row>
    <row r="57" spans="1:49" ht="30.15" customHeight="1" x14ac:dyDescent="0.25">
      <c r="A57" s="188" t="s">
        <v>18</v>
      </c>
      <c r="B57" s="188" t="s">
        <v>1</v>
      </c>
      <c r="C57" s="188" t="s">
        <v>35</v>
      </c>
      <c r="D57" s="190" t="s">
        <v>3</v>
      </c>
      <c r="E57" s="190" t="s">
        <v>967</v>
      </c>
      <c r="F57" s="203"/>
      <c r="G57" s="190" t="s">
        <v>999</v>
      </c>
      <c r="H57" s="192" t="s">
        <v>414</v>
      </c>
      <c r="I57" s="194">
        <v>659</v>
      </c>
      <c r="J57" s="194">
        <v>665</v>
      </c>
      <c r="K57" s="194">
        <v>665</v>
      </c>
      <c r="L57" s="193">
        <v>698</v>
      </c>
      <c r="M57" s="194">
        <v>698</v>
      </c>
      <c r="N57" s="284" t="s">
        <v>1</v>
      </c>
      <c r="O57" s="285" t="s">
        <v>1</v>
      </c>
      <c r="P57" s="285" t="s">
        <v>1</v>
      </c>
      <c r="Q57" s="285" t="s">
        <v>1</v>
      </c>
      <c r="R57" s="285" t="s">
        <v>1</v>
      </c>
      <c r="S57" s="286" t="s">
        <v>1</v>
      </c>
      <c r="T57" s="285" t="s">
        <v>1</v>
      </c>
      <c r="U57" s="285" t="s">
        <v>1</v>
      </c>
      <c r="V57" s="285" t="s">
        <v>1</v>
      </c>
      <c r="W57" s="285" t="s">
        <v>1</v>
      </c>
      <c r="X57" s="286" t="s">
        <v>1</v>
      </c>
      <c r="Y57" s="285" t="s">
        <v>1</v>
      </c>
      <c r="Z57" s="285" t="s">
        <v>1</v>
      </c>
      <c r="AA57" s="285" t="s">
        <v>1</v>
      </c>
      <c r="AB57" s="285" t="s">
        <v>1</v>
      </c>
      <c r="AC57" s="286" t="s">
        <v>1</v>
      </c>
      <c r="AD57" s="285" t="s">
        <v>1</v>
      </c>
      <c r="AE57" s="285" t="s">
        <v>1</v>
      </c>
      <c r="AF57" s="285" t="s">
        <v>1</v>
      </c>
      <c r="AG57" s="285" t="s">
        <v>1</v>
      </c>
      <c r="AH57" s="286" t="s">
        <v>1</v>
      </c>
      <c r="AI57" s="295" t="s">
        <v>1</v>
      </c>
      <c r="AJ57" s="295" t="s">
        <v>1</v>
      </c>
      <c r="AK57" s="295" t="s">
        <v>1</v>
      </c>
      <c r="AL57" s="286">
        <v>279.2</v>
      </c>
      <c r="AM57" s="288" t="s">
        <v>1</v>
      </c>
      <c r="AN57" s="287" t="s">
        <v>1</v>
      </c>
      <c r="AO57" s="287" t="s">
        <v>1</v>
      </c>
      <c r="AP57" s="286" t="s">
        <v>1</v>
      </c>
      <c r="AQ57" s="285" t="s">
        <v>1</v>
      </c>
      <c r="AR57" s="289" t="s">
        <v>1</v>
      </c>
      <c r="AS57" s="289" t="s">
        <v>1</v>
      </c>
      <c r="AT57" s="290" t="s">
        <v>1</v>
      </c>
      <c r="AU57" s="287" t="s">
        <v>1</v>
      </c>
      <c r="AV57" s="287" t="s">
        <v>1</v>
      </c>
      <c r="AW57" s="291" t="s">
        <v>1</v>
      </c>
    </row>
    <row r="58" spans="1:49" ht="30.15" customHeight="1" x14ac:dyDescent="0.25">
      <c r="A58" s="188" t="s">
        <v>18</v>
      </c>
      <c r="B58" s="188" t="s">
        <v>1</v>
      </c>
      <c r="C58" s="188" t="s">
        <v>35</v>
      </c>
      <c r="D58" s="190" t="s">
        <v>3</v>
      </c>
      <c r="E58" s="190" t="s">
        <v>968</v>
      </c>
      <c r="F58" s="203"/>
      <c r="G58" s="190" t="s">
        <v>1000</v>
      </c>
      <c r="H58" s="192" t="s">
        <v>414</v>
      </c>
      <c r="I58" s="194">
        <v>883</v>
      </c>
      <c r="J58" s="194">
        <v>888</v>
      </c>
      <c r="K58" s="194">
        <v>888</v>
      </c>
      <c r="L58" s="193">
        <v>935</v>
      </c>
      <c r="M58" s="194">
        <v>935</v>
      </c>
      <c r="N58" s="284" t="s">
        <v>1</v>
      </c>
      <c r="O58" s="285" t="s">
        <v>1</v>
      </c>
      <c r="P58" s="285" t="s">
        <v>1</v>
      </c>
      <c r="Q58" s="285" t="s">
        <v>1</v>
      </c>
      <c r="R58" s="285" t="s">
        <v>1</v>
      </c>
      <c r="S58" s="286" t="s">
        <v>1</v>
      </c>
      <c r="T58" s="285" t="s">
        <v>1</v>
      </c>
      <c r="U58" s="285" t="s">
        <v>1</v>
      </c>
      <c r="V58" s="285" t="s">
        <v>1</v>
      </c>
      <c r="W58" s="285" t="s">
        <v>1</v>
      </c>
      <c r="X58" s="286" t="s">
        <v>1</v>
      </c>
      <c r="Y58" s="285" t="s">
        <v>1</v>
      </c>
      <c r="Z58" s="285" t="s">
        <v>1</v>
      </c>
      <c r="AA58" s="285" t="s">
        <v>1</v>
      </c>
      <c r="AB58" s="285" t="s">
        <v>1</v>
      </c>
      <c r="AC58" s="286" t="s">
        <v>1</v>
      </c>
      <c r="AD58" s="285" t="s">
        <v>1</v>
      </c>
      <c r="AE58" s="285" t="s">
        <v>1</v>
      </c>
      <c r="AF58" s="285" t="s">
        <v>1</v>
      </c>
      <c r="AG58" s="285" t="s">
        <v>1</v>
      </c>
      <c r="AH58" s="286" t="s">
        <v>1</v>
      </c>
      <c r="AI58" s="295" t="s">
        <v>1</v>
      </c>
      <c r="AJ58" s="295" t="s">
        <v>1</v>
      </c>
      <c r="AK58" s="295" t="s">
        <v>1</v>
      </c>
      <c r="AL58" s="286">
        <v>374</v>
      </c>
      <c r="AM58" s="288" t="s">
        <v>1</v>
      </c>
      <c r="AN58" s="287" t="s">
        <v>1</v>
      </c>
      <c r="AO58" s="287" t="s">
        <v>1</v>
      </c>
      <c r="AP58" s="286" t="s">
        <v>1</v>
      </c>
      <c r="AQ58" s="285" t="s">
        <v>1</v>
      </c>
      <c r="AR58" s="289" t="s">
        <v>1</v>
      </c>
      <c r="AS58" s="289" t="s">
        <v>1</v>
      </c>
      <c r="AT58" s="290" t="s">
        <v>1</v>
      </c>
      <c r="AU58" s="287" t="s">
        <v>1</v>
      </c>
      <c r="AV58" s="287" t="s">
        <v>1</v>
      </c>
      <c r="AW58" s="291" t="s">
        <v>1</v>
      </c>
    </row>
    <row r="59" spans="1:49" ht="30.15" customHeight="1" x14ac:dyDescent="0.25">
      <c r="A59" s="188" t="s">
        <v>18</v>
      </c>
      <c r="B59" s="188" t="s">
        <v>1</v>
      </c>
      <c r="C59" s="188" t="s">
        <v>35</v>
      </c>
      <c r="D59" s="190" t="s">
        <v>3</v>
      </c>
      <c r="E59" s="190" t="s">
        <v>969</v>
      </c>
      <c r="F59" s="203"/>
      <c r="G59" s="190" t="s">
        <v>1001</v>
      </c>
      <c r="H59" s="192" t="s">
        <v>414</v>
      </c>
      <c r="I59" s="194">
        <v>940</v>
      </c>
      <c r="J59" s="194">
        <v>945</v>
      </c>
      <c r="K59" s="194">
        <v>945</v>
      </c>
      <c r="L59" s="193">
        <v>996</v>
      </c>
      <c r="M59" s="194">
        <v>996</v>
      </c>
      <c r="N59" s="284" t="s">
        <v>1</v>
      </c>
      <c r="O59" s="285" t="s">
        <v>1</v>
      </c>
      <c r="P59" s="285" t="s">
        <v>1</v>
      </c>
      <c r="Q59" s="285" t="s">
        <v>1</v>
      </c>
      <c r="R59" s="285" t="s">
        <v>1</v>
      </c>
      <c r="S59" s="286" t="s">
        <v>1</v>
      </c>
      <c r="T59" s="285" t="s">
        <v>1</v>
      </c>
      <c r="U59" s="285" t="s">
        <v>1</v>
      </c>
      <c r="V59" s="285" t="s">
        <v>1</v>
      </c>
      <c r="W59" s="285" t="s">
        <v>1</v>
      </c>
      <c r="X59" s="286" t="s">
        <v>1</v>
      </c>
      <c r="Y59" s="285" t="s">
        <v>1</v>
      </c>
      <c r="Z59" s="285" t="s">
        <v>1</v>
      </c>
      <c r="AA59" s="285" t="s">
        <v>1</v>
      </c>
      <c r="AB59" s="285" t="s">
        <v>1</v>
      </c>
      <c r="AC59" s="286" t="s">
        <v>1</v>
      </c>
      <c r="AD59" s="285" t="s">
        <v>1</v>
      </c>
      <c r="AE59" s="285" t="s">
        <v>1</v>
      </c>
      <c r="AF59" s="285" t="s">
        <v>1</v>
      </c>
      <c r="AG59" s="285" t="s">
        <v>1</v>
      </c>
      <c r="AH59" s="286" t="s">
        <v>1</v>
      </c>
      <c r="AI59" s="295" t="s">
        <v>1</v>
      </c>
      <c r="AJ59" s="295" t="s">
        <v>1</v>
      </c>
      <c r="AK59" s="295" t="s">
        <v>1</v>
      </c>
      <c r="AL59" s="286">
        <v>398.4</v>
      </c>
      <c r="AM59" s="288" t="s">
        <v>1</v>
      </c>
      <c r="AN59" s="287" t="s">
        <v>1</v>
      </c>
      <c r="AO59" s="287" t="s">
        <v>1</v>
      </c>
      <c r="AP59" s="286" t="s">
        <v>1</v>
      </c>
      <c r="AQ59" s="285" t="s">
        <v>1</v>
      </c>
      <c r="AR59" s="289" t="s">
        <v>1</v>
      </c>
      <c r="AS59" s="289" t="s">
        <v>1</v>
      </c>
      <c r="AT59" s="290" t="s">
        <v>1</v>
      </c>
      <c r="AU59" s="287" t="s">
        <v>1</v>
      </c>
      <c r="AV59" s="287" t="s">
        <v>1</v>
      </c>
      <c r="AW59" s="291" t="s">
        <v>1</v>
      </c>
    </row>
    <row r="60" spans="1:49" ht="30.15" customHeight="1" x14ac:dyDescent="0.25">
      <c r="A60" s="188" t="s">
        <v>18</v>
      </c>
      <c r="B60" s="188" t="s">
        <v>1</v>
      </c>
      <c r="C60" s="188" t="s">
        <v>35</v>
      </c>
      <c r="D60" s="190" t="s">
        <v>3</v>
      </c>
      <c r="E60" s="190" t="s">
        <v>970</v>
      </c>
      <c r="F60" s="203"/>
      <c r="G60" s="190" t="s">
        <v>1002</v>
      </c>
      <c r="H60" s="192" t="s">
        <v>414</v>
      </c>
      <c r="I60" s="194">
        <v>883</v>
      </c>
      <c r="J60" s="194">
        <v>888</v>
      </c>
      <c r="K60" s="194">
        <v>888</v>
      </c>
      <c r="L60" s="193">
        <v>935</v>
      </c>
      <c r="M60" s="194">
        <v>935</v>
      </c>
      <c r="N60" s="284" t="s">
        <v>1</v>
      </c>
      <c r="O60" s="285" t="s">
        <v>1</v>
      </c>
      <c r="P60" s="285" t="s">
        <v>1</v>
      </c>
      <c r="Q60" s="285" t="s">
        <v>1</v>
      </c>
      <c r="R60" s="285" t="s">
        <v>1</v>
      </c>
      <c r="S60" s="286" t="s">
        <v>1</v>
      </c>
      <c r="T60" s="285" t="s">
        <v>1</v>
      </c>
      <c r="U60" s="285" t="s">
        <v>1</v>
      </c>
      <c r="V60" s="285" t="s">
        <v>1</v>
      </c>
      <c r="W60" s="285" t="s">
        <v>1</v>
      </c>
      <c r="X60" s="286" t="s">
        <v>1</v>
      </c>
      <c r="Y60" s="285" t="s">
        <v>1</v>
      </c>
      <c r="Z60" s="285" t="s">
        <v>1</v>
      </c>
      <c r="AA60" s="285" t="s">
        <v>1</v>
      </c>
      <c r="AB60" s="285" t="s">
        <v>1</v>
      </c>
      <c r="AC60" s="286" t="s">
        <v>1</v>
      </c>
      <c r="AD60" s="285" t="s">
        <v>1</v>
      </c>
      <c r="AE60" s="285" t="s">
        <v>1</v>
      </c>
      <c r="AF60" s="285" t="s">
        <v>1</v>
      </c>
      <c r="AG60" s="285" t="s">
        <v>1</v>
      </c>
      <c r="AH60" s="286" t="s">
        <v>1</v>
      </c>
      <c r="AI60" s="295" t="s">
        <v>1</v>
      </c>
      <c r="AJ60" s="295" t="s">
        <v>1</v>
      </c>
      <c r="AK60" s="295" t="s">
        <v>1</v>
      </c>
      <c r="AL60" s="286">
        <v>374</v>
      </c>
      <c r="AM60" s="288" t="s">
        <v>1</v>
      </c>
      <c r="AN60" s="287" t="s">
        <v>1</v>
      </c>
      <c r="AO60" s="287" t="s">
        <v>1</v>
      </c>
      <c r="AP60" s="286" t="s">
        <v>1</v>
      </c>
      <c r="AQ60" s="285" t="s">
        <v>1</v>
      </c>
      <c r="AR60" s="289" t="s">
        <v>1</v>
      </c>
      <c r="AS60" s="289" t="s">
        <v>1</v>
      </c>
      <c r="AT60" s="290" t="s">
        <v>1</v>
      </c>
      <c r="AU60" s="287" t="s">
        <v>1</v>
      </c>
      <c r="AV60" s="287" t="s">
        <v>1</v>
      </c>
      <c r="AW60" s="291" t="s">
        <v>1</v>
      </c>
    </row>
    <row r="61" spans="1:49" ht="30.15" customHeight="1" x14ac:dyDescent="0.25">
      <c r="A61" s="188" t="s">
        <v>18</v>
      </c>
      <c r="B61" s="188" t="s">
        <v>1</v>
      </c>
      <c r="C61" s="188" t="s">
        <v>35</v>
      </c>
      <c r="D61" s="190" t="s">
        <v>3</v>
      </c>
      <c r="E61" s="190" t="s">
        <v>971</v>
      </c>
      <c r="F61" s="203"/>
      <c r="G61" s="190" t="s">
        <v>1003</v>
      </c>
      <c r="H61" s="192" t="s">
        <v>414</v>
      </c>
      <c r="I61" s="194">
        <v>940</v>
      </c>
      <c r="J61" s="194">
        <v>945</v>
      </c>
      <c r="K61" s="194">
        <v>945</v>
      </c>
      <c r="L61" s="193">
        <v>996</v>
      </c>
      <c r="M61" s="194">
        <v>996</v>
      </c>
      <c r="N61" s="284" t="s">
        <v>1</v>
      </c>
      <c r="O61" s="285" t="s">
        <v>1</v>
      </c>
      <c r="P61" s="285" t="s">
        <v>1</v>
      </c>
      <c r="Q61" s="285" t="s">
        <v>1</v>
      </c>
      <c r="R61" s="285" t="s">
        <v>1</v>
      </c>
      <c r="S61" s="286" t="s">
        <v>1</v>
      </c>
      <c r="T61" s="285" t="s">
        <v>1</v>
      </c>
      <c r="U61" s="285" t="s">
        <v>1</v>
      </c>
      <c r="V61" s="285" t="s">
        <v>1</v>
      </c>
      <c r="W61" s="285" t="s">
        <v>1</v>
      </c>
      <c r="X61" s="286" t="s">
        <v>1</v>
      </c>
      <c r="Y61" s="285" t="s">
        <v>1</v>
      </c>
      <c r="Z61" s="285" t="s">
        <v>1</v>
      </c>
      <c r="AA61" s="285" t="s">
        <v>1</v>
      </c>
      <c r="AB61" s="285" t="s">
        <v>1</v>
      </c>
      <c r="AC61" s="286" t="s">
        <v>1</v>
      </c>
      <c r="AD61" s="285" t="s">
        <v>1</v>
      </c>
      <c r="AE61" s="285" t="s">
        <v>1</v>
      </c>
      <c r="AF61" s="285" t="s">
        <v>1</v>
      </c>
      <c r="AG61" s="285" t="s">
        <v>1</v>
      </c>
      <c r="AH61" s="286" t="s">
        <v>1</v>
      </c>
      <c r="AI61" s="295" t="s">
        <v>1</v>
      </c>
      <c r="AJ61" s="295" t="s">
        <v>1</v>
      </c>
      <c r="AK61" s="295" t="s">
        <v>1</v>
      </c>
      <c r="AL61" s="286">
        <v>398.4</v>
      </c>
      <c r="AM61" s="288" t="s">
        <v>1</v>
      </c>
      <c r="AN61" s="287" t="s">
        <v>1</v>
      </c>
      <c r="AO61" s="287" t="s">
        <v>1</v>
      </c>
      <c r="AP61" s="286" t="s">
        <v>1</v>
      </c>
      <c r="AQ61" s="285" t="s">
        <v>1</v>
      </c>
      <c r="AR61" s="289" t="s">
        <v>1</v>
      </c>
      <c r="AS61" s="289" t="s">
        <v>1</v>
      </c>
      <c r="AT61" s="290" t="s">
        <v>1</v>
      </c>
      <c r="AU61" s="287" t="s">
        <v>1</v>
      </c>
      <c r="AV61" s="287" t="s">
        <v>1</v>
      </c>
      <c r="AW61" s="291" t="s">
        <v>1</v>
      </c>
    </row>
    <row r="62" spans="1:49" ht="30.15" customHeight="1" x14ac:dyDescent="0.25">
      <c r="A62" s="188" t="s">
        <v>18</v>
      </c>
      <c r="B62" s="188" t="s">
        <v>1</v>
      </c>
      <c r="C62" s="188" t="s">
        <v>35</v>
      </c>
      <c r="D62" s="190" t="s">
        <v>3</v>
      </c>
      <c r="E62" s="190" t="s">
        <v>972</v>
      </c>
      <c r="F62" s="203"/>
      <c r="G62" s="190" t="s">
        <v>1004</v>
      </c>
      <c r="H62" s="192" t="s">
        <v>414</v>
      </c>
      <c r="I62" s="194">
        <v>883</v>
      </c>
      <c r="J62" s="194">
        <v>888</v>
      </c>
      <c r="K62" s="194">
        <v>888</v>
      </c>
      <c r="L62" s="193">
        <v>935</v>
      </c>
      <c r="M62" s="194">
        <v>935</v>
      </c>
      <c r="N62" s="284" t="s">
        <v>1</v>
      </c>
      <c r="O62" s="285" t="s">
        <v>1</v>
      </c>
      <c r="P62" s="285" t="s">
        <v>1</v>
      </c>
      <c r="Q62" s="285" t="s">
        <v>1</v>
      </c>
      <c r="R62" s="285" t="s">
        <v>1</v>
      </c>
      <c r="S62" s="286" t="s">
        <v>1</v>
      </c>
      <c r="T62" s="285" t="s">
        <v>1</v>
      </c>
      <c r="U62" s="285" t="s">
        <v>1</v>
      </c>
      <c r="V62" s="285" t="s">
        <v>1</v>
      </c>
      <c r="W62" s="285" t="s">
        <v>1</v>
      </c>
      <c r="X62" s="286" t="s">
        <v>1</v>
      </c>
      <c r="Y62" s="285" t="s">
        <v>1</v>
      </c>
      <c r="Z62" s="285" t="s">
        <v>1</v>
      </c>
      <c r="AA62" s="285" t="s">
        <v>1</v>
      </c>
      <c r="AB62" s="285" t="s">
        <v>1</v>
      </c>
      <c r="AC62" s="286" t="s">
        <v>1</v>
      </c>
      <c r="AD62" s="285" t="s">
        <v>1</v>
      </c>
      <c r="AE62" s="285" t="s">
        <v>1</v>
      </c>
      <c r="AF62" s="285" t="s">
        <v>1</v>
      </c>
      <c r="AG62" s="285" t="s">
        <v>1</v>
      </c>
      <c r="AH62" s="286" t="s">
        <v>1</v>
      </c>
      <c r="AI62" s="295" t="s">
        <v>1</v>
      </c>
      <c r="AJ62" s="295" t="s">
        <v>1</v>
      </c>
      <c r="AK62" s="295" t="s">
        <v>1</v>
      </c>
      <c r="AL62" s="286">
        <v>374</v>
      </c>
      <c r="AM62" s="288" t="s">
        <v>1</v>
      </c>
      <c r="AN62" s="287" t="s">
        <v>1</v>
      </c>
      <c r="AO62" s="287" t="s">
        <v>1</v>
      </c>
      <c r="AP62" s="286" t="s">
        <v>1</v>
      </c>
      <c r="AQ62" s="285" t="s">
        <v>1</v>
      </c>
      <c r="AR62" s="289" t="s">
        <v>1</v>
      </c>
      <c r="AS62" s="289" t="s">
        <v>1</v>
      </c>
      <c r="AT62" s="290" t="s">
        <v>1</v>
      </c>
      <c r="AU62" s="287" t="s">
        <v>1</v>
      </c>
      <c r="AV62" s="287" t="s">
        <v>1</v>
      </c>
      <c r="AW62" s="291" t="s">
        <v>1</v>
      </c>
    </row>
    <row r="63" spans="1:49" ht="30.15" customHeight="1" x14ac:dyDescent="0.25">
      <c r="A63" s="188" t="s">
        <v>18</v>
      </c>
      <c r="B63" s="188" t="s">
        <v>1</v>
      </c>
      <c r="C63" s="188" t="s">
        <v>35</v>
      </c>
      <c r="D63" s="190" t="s">
        <v>3</v>
      </c>
      <c r="E63" s="190" t="s">
        <v>973</v>
      </c>
      <c r="F63" s="203"/>
      <c r="G63" s="190" t="s">
        <v>1005</v>
      </c>
      <c r="H63" s="192" t="s">
        <v>414</v>
      </c>
      <c r="I63" s="194">
        <v>699</v>
      </c>
      <c r="J63" s="194">
        <v>703</v>
      </c>
      <c r="K63" s="194">
        <v>703</v>
      </c>
      <c r="L63" s="193">
        <v>740</v>
      </c>
      <c r="M63" s="194">
        <v>740</v>
      </c>
      <c r="N63" s="284" t="s">
        <v>1</v>
      </c>
      <c r="O63" s="285" t="s">
        <v>1</v>
      </c>
      <c r="P63" s="285" t="s">
        <v>1</v>
      </c>
      <c r="Q63" s="285" t="s">
        <v>1</v>
      </c>
      <c r="R63" s="285" t="s">
        <v>1</v>
      </c>
      <c r="S63" s="286" t="s">
        <v>1</v>
      </c>
      <c r="T63" s="285" t="s">
        <v>1</v>
      </c>
      <c r="U63" s="285" t="s">
        <v>1</v>
      </c>
      <c r="V63" s="285" t="s">
        <v>1</v>
      </c>
      <c r="W63" s="285" t="s">
        <v>1</v>
      </c>
      <c r="X63" s="286" t="s">
        <v>1</v>
      </c>
      <c r="Y63" s="285" t="s">
        <v>1</v>
      </c>
      <c r="Z63" s="285" t="s">
        <v>1</v>
      </c>
      <c r="AA63" s="285" t="s">
        <v>1</v>
      </c>
      <c r="AB63" s="285" t="s">
        <v>1</v>
      </c>
      <c r="AC63" s="286" t="s">
        <v>1</v>
      </c>
      <c r="AD63" s="285" t="s">
        <v>1</v>
      </c>
      <c r="AE63" s="285" t="s">
        <v>1</v>
      </c>
      <c r="AF63" s="285" t="s">
        <v>1</v>
      </c>
      <c r="AG63" s="285" t="s">
        <v>1</v>
      </c>
      <c r="AH63" s="286" t="s">
        <v>1</v>
      </c>
      <c r="AI63" s="295" t="s">
        <v>1</v>
      </c>
      <c r="AJ63" s="295" t="s">
        <v>1</v>
      </c>
      <c r="AK63" s="295" t="s">
        <v>1</v>
      </c>
      <c r="AL63" s="286">
        <v>296</v>
      </c>
      <c r="AM63" s="288" t="s">
        <v>1</v>
      </c>
      <c r="AN63" s="287" t="s">
        <v>1</v>
      </c>
      <c r="AO63" s="287" t="s">
        <v>1</v>
      </c>
      <c r="AP63" s="286" t="s">
        <v>1</v>
      </c>
      <c r="AQ63" s="285" t="s">
        <v>1</v>
      </c>
      <c r="AR63" s="289" t="s">
        <v>1</v>
      </c>
      <c r="AS63" s="289" t="s">
        <v>1</v>
      </c>
      <c r="AT63" s="290" t="s">
        <v>1</v>
      </c>
      <c r="AU63" s="287" t="s">
        <v>1</v>
      </c>
      <c r="AV63" s="287" t="s">
        <v>1</v>
      </c>
      <c r="AW63" s="291" t="s">
        <v>1</v>
      </c>
    </row>
    <row r="64" spans="1:49" ht="30.15" customHeight="1" x14ac:dyDescent="0.25">
      <c r="A64" s="188" t="s">
        <v>18</v>
      </c>
      <c r="B64" s="188" t="s">
        <v>1</v>
      </c>
      <c r="C64" s="188" t="s">
        <v>35</v>
      </c>
      <c r="D64" s="190" t="s">
        <v>3</v>
      </c>
      <c r="E64" s="190" t="s">
        <v>974</v>
      </c>
      <c r="F64" s="203"/>
      <c r="G64" s="190" t="s">
        <v>1006</v>
      </c>
      <c r="H64" s="192" t="s">
        <v>414</v>
      </c>
      <c r="I64" s="194">
        <v>940</v>
      </c>
      <c r="J64" s="194">
        <v>945</v>
      </c>
      <c r="K64" s="194">
        <v>945</v>
      </c>
      <c r="L64" s="193">
        <v>996</v>
      </c>
      <c r="M64" s="194">
        <v>996</v>
      </c>
      <c r="N64" s="284" t="s">
        <v>1</v>
      </c>
      <c r="O64" s="285" t="s">
        <v>1</v>
      </c>
      <c r="P64" s="285" t="s">
        <v>1</v>
      </c>
      <c r="Q64" s="285" t="s">
        <v>1</v>
      </c>
      <c r="R64" s="285" t="s">
        <v>1</v>
      </c>
      <c r="S64" s="286" t="s">
        <v>1</v>
      </c>
      <c r="T64" s="285" t="s">
        <v>1</v>
      </c>
      <c r="U64" s="285" t="s">
        <v>1</v>
      </c>
      <c r="V64" s="285" t="s">
        <v>1</v>
      </c>
      <c r="W64" s="285" t="s">
        <v>1</v>
      </c>
      <c r="X64" s="286" t="s">
        <v>1</v>
      </c>
      <c r="Y64" s="285" t="s">
        <v>1</v>
      </c>
      <c r="Z64" s="285" t="s">
        <v>1</v>
      </c>
      <c r="AA64" s="285" t="s">
        <v>1</v>
      </c>
      <c r="AB64" s="285" t="s">
        <v>1</v>
      </c>
      <c r="AC64" s="286" t="s">
        <v>1</v>
      </c>
      <c r="AD64" s="285" t="s">
        <v>1</v>
      </c>
      <c r="AE64" s="285" t="s">
        <v>1</v>
      </c>
      <c r="AF64" s="285" t="s">
        <v>1</v>
      </c>
      <c r="AG64" s="285" t="s">
        <v>1</v>
      </c>
      <c r="AH64" s="286" t="s">
        <v>1</v>
      </c>
      <c r="AI64" s="295" t="s">
        <v>1</v>
      </c>
      <c r="AJ64" s="295" t="s">
        <v>1</v>
      </c>
      <c r="AK64" s="295" t="s">
        <v>1</v>
      </c>
      <c r="AL64" s="286">
        <v>398.4</v>
      </c>
      <c r="AM64" s="288" t="s">
        <v>1</v>
      </c>
      <c r="AN64" s="287" t="s">
        <v>1</v>
      </c>
      <c r="AO64" s="287" t="s">
        <v>1</v>
      </c>
      <c r="AP64" s="286" t="s">
        <v>1</v>
      </c>
      <c r="AQ64" s="285" t="s">
        <v>1</v>
      </c>
      <c r="AR64" s="289" t="s">
        <v>1</v>
      </c>
      <c r="AS64" s="289" t="s">
        <v>1</v>
      </c>
      <c r="AT64" s="290" t="s">
        <v>1</v>
      </c>
      <c r="AU64" s="287" t="s">
        <v>1</v>
      </c>
      <c r="AV64" s="287" t="s">
        <v>1</v>
      </c>
      <c r="AW64" s="291" t="s">
        <v>1</v>
      </c>
    </row>
    <row r="65" spans="1:49" ht="30.15" customHeight="1" x14ac:dyDescent="0.25">
      <c r="A65" s="188" t="s">
        <v>18</v>
      </c>
      <c r="B65" s="188" t="s">
        <v>1</v>
      </c>
      <c r="C65" s="188" t="s">
        <v>35</v>
      </c>
      <c r="D65" s="190" t="s">
        <v>3</v>
      </c>
      <c r="E65" s="190" t="s">
        <v>975</v>
      </c>
      <c r="F65" s="203"/>
      <c r="G65" s="190" t="s">
        <v>1007</v>
      </c>
      <c r="H65" s="192" t="s">
        <v>414</v>
      </c>
      <c r="I65" s="194">
        <v>997</v>
      </c>
      <c r="J65" s="194">
        <v>1002</v>
      </c>
      <c r="K65" s="194">
        <v>1002</v>
      </c>
      <c r="L65" s="193">
        <v>1056</v>
      </c>
      <c r="M65" s="194">
        <v>1056</v>
      </c>
      <c r="N65" s="284" t="s">
        <v>1</v>
      </c>
      <c r="O65" s="285" t="s">
        <v>1</v>
      </c>
      <c r="P65" s="285" t="s">
        <v>1</v>
      </c>
      <c r="Q65" s="285" t="s">
        <v>1</v>
      </c>
      <c r="R65" s="285" t="s">
        <v>1</v>
      </c>
      <c r="S65" s="286" t="s">
        <v>1</v>
      </c>
      <c r="T65" s="285" t="s">
        <v>1</v>
      </c>
      <c r="U65" s="285" t="s">
        <v>1</v>
      </c>
      <c r="V65" s="285" t="s">
        <v>1</v>
      </c>
      <c r="W65" s="285" t="s">
        <v>1</v>
      </c>
      <c r="X65" s="286" t="s">
        <v>1</v>
      </c>
      <c r="Y65" s="285" t="s">
        <v>1</v>
      </c>
      <c r="Z65" s="285" t="s">
        <v>1</v>
      </c>
      <c r="AA65" s="285" t="s">
        <v>1</v>
      </c>
      <c r="AB65" s="285" t="s">
        <v>1</v>
      </c>
      <c r="AC65" s="286" t="s">
        <v>1</v>
      </c>
      <c r="AD65" s="285" t="s">
        <v>1</v>
      </c>
      <c r="AE65" s="285" t="s">
        <v>1</v>
      </c>
      <c r="AF65" s="285" t="s">
        <v>1</v>
      </c>
      <c r="AG65" s="285" t="s">
        <v>1</v>
      </c>
      <c r="AH65" s="286" t="s">
        <v>1</v>
      </c>
      <c r="AI65" s="295" t="s">
        <v>1</v>
      </c>
      <c r="AJ65" s="295" t="s">
        <v>1</v>
      </c>
      <c r="AK65" s="295" t="s">
        <v>1</v>
      </c>
      <c r="AL65" s="286">
        <v>422.4</v>
      </c>
      <c r="AM65" s="288" t="s">
        <v>1</v>
      </c>
      <c r="AN65" s="287" t="s">
        <v>1</v>
      </c>
      <c r="AO65" s="287" t="s">
        <v>1</v>
      </c>
      <c r="AP65" s="286" t="s">
        <v>1</v>
      </c>
      <c r="AQ65" s="285" t="s">
        <v>1</v>
      </c>
      <c r="AR65" s="289" t="s">
        <v>1</v>
      </c>
      <c r="AS65" s="289" t="s">
        <v>1</v>
      </c>
      <c r="AT65" s="290" t="s">
        <v>1</v>
      </c>
      <c r="AU65" s="287" t="s">
        <v>1</v>
      </c>
      <c r="AV65" s="287" t="s">
        <v>1</v>
      </c>
      <c r="AW65" s="291" t="s">
        <v>1</v>
      </c>
    </row>
    <row r="66" spans="1:49" ht="30.15" customHeight="1" x14ac:dyDescent="0.25">
      <c r="A66" s="188" t="s">
        <v>18</v>
      </c>
      <c r="B66" s="188" t="s">
        <v>1</v>
      </c>
      <c r="C66" s="188" t="s">
        <v>35</v>
      </c>
      <c r="D66" s="190" t="s">
        <v>3</v>
      </c>
      <c r="E66" s="190" t="s">
        <v>976</v>
      </c>
      <c r="F66" s="203"/>
      <c r="G66" s="190" t="s">
        <v>1008</v>
      </c>
      <c r="H66" s="192" t="s">
        <v>414</v>
      </c>
      <c r="I66" s="194">
        <v>940</v>
      </c>
      <c r="J66" s="194">
        <v>945</v>
      </c>
      <c r="K66" s="194">
        <v>945</v>
      </c>
      <c r="L66" s="193">
        <v>996</v>
      </c>
      <c r="M66" s="194">
        <v>996</v>
      </c>
      <c r="N66" s="284" t="s">
        <v>1</v>
      </c>
      <c r="O66" s="285" t="s">
        <v>1</v>
      </c>
      <c r="P66" s="285" t="s">
        <v>1</v>
      </c>
      <c r="Q66" s="285" t="s">
        <v>1</v>
      </c>
      <c r="R66" s="285" t="s">
        <v>1</v>
      </c>
      <c r="S66" s="286" t="s">
        <v>1</v>
      </c>
      <c r="T66" s="285" t="s">
        <v>1</v>
      </c>
      <c r="U66" s="285" t="s">
        <v>1</v>
      </c>
      <c r="V66" s="285" t="s">
        <v>1</v>
      </c>
      <c r="W66" s="285" t="s">
        <v>1</v>
      </c>
      <c r="X66" s="286" t="s">
        <v>1</v>
      </c>
      <c r="Y66" s="285" t="s">
        <v>1</v>
      </c>
      <c r="Z66" s="285" t="s">
        <v>1</v>
      </c>
      <c r="AA66" s="285" t="s">
        <v>1</v>
      </c>
      <c r="AB66" s="285" t="s">
        <v>1</v>
      </c>
      <c r="AC66" s="286" t="s">
        <v>1</v>
      </c>
      <c r="AD66" s="285" t="s">
        <v>1</v>
      </c>
      <c r="AE66" s="285" t="s">
        <v>1</v>
      </c>
      <c r="AF66" s="285" t="s">
        <v>1</v>
      </c>
      <c r="AG66" s="285" t="s">
        <v>1</v>
      </c>
      <c r="AH66" s="286" t="s">
        <v>1</v>
      </c>
      <c r="AI66" s="295" t="s">
        <v>1</v>
      </c>
      <c r="AJ66" s="295" t="s">
        <v>1</v>
      </c>
      <c r="AK66" s="295" t="s">
        <v>1</v>
      </c>
      <c r="AL66" s="286">
        <v>398.4</v>
      </c>
      <c r="AM66" s="288" t="s">
        <v>1</v>
      </c>
      <c r="AN66" s="287" t="s">
        <v>1</v>
      </c>
      <c r="AO66" s="287" t="s">
        <v>1</v>
      </c>
      <c r="AP66" s="286" t="s">
        <v>1</v>
      </c>
      <c r="AQ66" s="285" t="s">
        <v>1</v>
      </c>
      <c r="AR66" s="289" t="s">
        <v>1</v>
      </c>
      <c r="AS66" s="289" t="s">
        <v>1</v>
      </c>
      <c r="AT66" s="290" t="s">
        <v>1</v>
      </c>
      <c r="AU66" s="287" t="s">
        <v>1</v>
      </c>
      <c r="AV66" s="287" t="s">
        <v>1</v>
      </c>
      <c r="AW66" s="291" t="s">
        <v>1</v>
      </c>
    </row>
    <row r="67" spans="1:49" ht="30.15" customHeight="1" x14ac:dyDescent="0.25">
      <c r="A67" s="188" t="s">
        <v>18</v>
      </c>
      <c r="B67" s="188" t="s">
        <v>1</v>
      </c>
      <c r="C67" s="188" t="s">
        <v>35</v>
      </c>
      <c r="D67" s="190" t="s">
        <v>3</v>
      </c>
      <c r="E67" s="190" t="s">
        <v>977</v>
      </c>
      <c r="F67" s="203"/>
      <c r="G67" s="190" t="s">
        <v>1009</v>
      </c>
      <c r="H67" s="192" t="s">
        <v>414</v>
      </c>
      <c r="I67" s="194">
        <v>997</v>
      </c>
      <c r="J67" s="194">
        <v>1002</v>
      </c>
      <c r="K67" s="194">
        <v>1002</v>
      </c>
      <c r="L67" s="193">
        <v>1056</v>
      </c>
      <c r="M67" s="194">
        <v>1056</v>
      </c>
      <c r="N67" s="284" t="s">
        <v>1</v>
      </c>
      <c r="O67" s="285" t="s">
        <v>1</v>
      </c>
      <c r="P67" s="285" t="s">
        <v>1</v>
      </c>
      <c r="Q67" s="285" t="s">
        <v>1</v>
      </c>
      <c r="R67" s="285" t="s">
        <v>1</v>
      </c>
      <c r="S67" s="286" t="s">
        <v>1</v>
      </c>
      <c r="T67" s="285" t="s">
        <v>1</v>
      </c>
      <c r="U67" s="285" t="s">
        <v>1</v>
      </c>
      <c r="V67" s="285" t="s">
        <v>1</v>
      </c>
      <c r="W67" s="285" t="s">
        <v>1</v>
      </c>
      <c r="X67" s="286" t="s">
        <v>1</v>
      </c>
      <c r="Y67" s="285" t="s">
        <v>1</v>
      </c>
      <c r="Z67" s="285" t="s">
        <v>1</v>
      </c>
      <c r="AA67" s="285" t="s">
        <v>1</v>
      </c>
      <c r="AB67" s="285" t="s">
        <v>1</v>
      </c>
      <c r="AC67" s="286" t="s">
        <v>1</v>
      </c>
      <c r="AD67" s="285" t="s">
        <v>1</v>
      </c>
      <c r="AE67" s="285" t="s">
        <v>1</v>
      </c>
      <c r="AF67" s="285" t="s">
        <v>1</v>
      </c>
      <c r="AG67" s="285" t="s">
        <v>1</v>
      </c>
      <c r="AH67" s="286" t="s">
        <v>1</v>
      </c>
      <c r="AI67" s="295" t="s">
        <v>1</v>
      </c>
      <c r="AJ67" s="295" t="s">
        <v>1</v>
      </c>
      <c r="AK67" s="295" t="s">
        <v>1</v>
      </c>
      <c r="AL67" s="286">
        <v>422.4</v>
      </c>
      <c r="AM67" s="288" t="s">
        <v>1</v>
      </c>
      <c r="AN67" s="287" t="s">
        <v>1</v>
      </c>
      <c r="AO67" s="287" t="s">
        <v>1</v>
      </c>
      <c r="AP67" s="286" t="s">
        <v>1</v>
      </c>
      <c r="AQ67" s="285" t="s">
        <v>1</v>
      </c>
      <c r="AR67" s="289" t="s">
        <v>1</v>
      </c>
      <c r="AS67" s="289" t="s">
        <v>1</v>
      </c>
      <c r="AT67" s="290" t="s">
        <v>1</v>
      </c>
      <c r="AU67" s="287" t="s">
        <v>1</v>
      </c>
      <c r="AV67" s="287" t="s">
        <v>1</v>
      </c>
      <c r="AW67" s="291" t="s">
        <v>1</v>
      </c>
    </row>
    <row r="68" spans="1:49" ht="30.15" customHeight="1" x14ac:dyDescent="0.25">
      <c r="A68" s="188" t="s">
        <v>18</v>
      </c>
      <c r="B68" s="188" t="s">
        <v>1</v>
      </c>
      <c r="C68" s="188" t="s">
        <v>35</v>
      </c>
      <c r="D68" s="190" t="s">
        <v>3</v>
      </c>
      <c r="E68" s="190" t="s">
        <v>978</v>
      </c>
      <c r="F68" s="203"/>
      <c r="G68" s="190" t="s">
        <v>1010</v>
      </c>
      <c r="H68" s="192" t="s">
        <v>414</v>
      </c>
      <c r="I68" s="194">
        <v>940</v>
      </c>
      <c r="J68" s="194">
        <v>945</v>
      </c>
      <c r="K68" s="194">
        <v>945</v>
      </c>
      <c r="L68" s="193">
        <v>996</v>
      </c>
      <c r="M68" s="194">
        <v>996</v>
      </c>
      <c r="N68" s="284" t="s">
        <v>1</v>
      </c>
      <c r="O68" s="285" t="s">
        <v>1</v>
      </c>
      <c r="P68" s="285" t="s">
        <v>1</v>
      </c>
      <c r="Q68" s="285" t="s">
        <v>1</v>
      </c>
      <c r="R68" s="285" t="s">
        <v>1</v>
      </c>
      <c r="S68" s="286" t="s">
        <v>1</v>
      </c>
      <c r="T68" s="285" t="s">
        <v>1</v>
      </c>
      <c r="U68" s="285" t="s">
        <v>1</v>
      </c>
      <c r="V68" s="285" t="s">
        <v>1</v>
      </c>
      <c r="W68" s="285" t="s">
        <v>1</v>
      </c>
      <c r="X68" s="286" t="s">
        <v>1</v>
      </c>
      <c r="Y68" s="285" t="s">
        <v>1</v>
      </c>
      <c r="Z68" s="285" t="s">
        <v>1</v>
      </c>
      <c r="AA68" s="285" t="s">
        <v>1</v>
      </c>
      <c r="AB68" s="285" t="s">
        <v>1</v>
      </c>
      <c r="AC68" s="286" t="s">
        <v>1</v>
      </c>
      <c r="AD68" s="285" t="s">
        <v>1</v>
      </c>
      <c r="AE68" s="285" t="s">
        <v>1</v>
      </c>
      <c r="AF68" s="285" t="s">
        <v>1</v>
      </c>
      <c r="AG68" s="285" t="s">
        <v>1</v>
      </c>
      <c r="AH68" s="286" t="s">
        <v>1</v>
      </c>
      <c r="AI68" s="295" t="s">
        <v>1</v>
      </c>
      <c r="AJ68" s="295" t="s">
        <v>1</v>
      </c>
      <c r="AK68" s="295" t="s">
        <v>1</v>
      </c>
      <c r="AL68" s="286">
        <v>398.4</v>
      </c>
      <c r="AM68" s="288" t="s">
        <v>1</v>
      </c>
      <c r="AN68" s="287" t="s">
        <v>1</v>
      </c>
      <c r="AO68" s="287" t="s">
        <v>1</v>
      </c>
      <c r="AP68" s="286" t="s">
        <v>1</v>
      </c>
      <c r="AQ68" s="285" t="s">
        <v>1</v>
      </c>
      <c r="AR68" s="289" t="s">
        <v>1</v>
      </c>
      <c r="AS68" s="289" t="s">
        <v>1</v>
      </c>
      <c r="AT68" s="290" t="s">
        <v>1</v>
      </c>
      <c r="AU68" s="287" t="s">
        <v>1</v>
      </c>
      <c r="AV68" s="287" t="s">
        <v>1</v>
      </c>
      <c r="AW68" s="291" t="s">
        <v>1</v>
      </c>
    </row>
    <row r="69" spans="1:49" ht="30.15" customHeight="1" x14ac:dyDescent="0.25">
      <c r="A69" s="188" t="s">
        <v>18</v>
      </c>
      <c r="B69" s="188" t="s">
        <v>1</v>
      </c>
      <c r="C69" s="188" t="s">
        <v>35</v>
      </c>
      <c r="D69" s="190" t="s">
        <v>3</v>
      </c>
      <c r="E69" s="190" t="s">
        <v>979</v>
      </c>
      <c r="F69" s="203"/>
      <c r="G69" s="190" t="s">
        <v>1011</v>
      </c>
      <c r="H69" s="192" t="s">
        <v>414</v>
      </c>
      <c r="I69" s="194">
        <v>997</v>
      </c>
      <c r="J69" s="194">
        <v>1002</v>
      </c>
      <c r="K69" s="194">
        <v>1002</v>
      </c>
      <c r="L69" s="193">
        <v>1056</v>
      </c>
      <c r="M69" s="194">
        <v>1056</v>
      </c>
      <c r="N69" s="284" t="s">
        <v>1</v>
      </c>
      <c r="O69" s="285" t="s">
        <v>1</v>
      </c>
      <c r="P69" s="285" t="s">
        <v>1</v>
      </c>
      <c r="Q69" s="285" t="s">
        <v>1</v>
      </c>
      <c r="R69" s="285" t="s">
        <v>1</v>
      </c>
      <c r="S69" s="286" t="s">
        <v>1</v>
      </c>
      <c r="T69" s="285" t="s">
        <v>1</v>
      </c>
      <c r="U69" s="285" t="s">
        <v>1</v>
      </c>
      <c r="V69" s="285" t="s">
        <v>1</v>
      </c>
      <c r="W69" s="285" t="s">
        <v>1</v>
      </c>
      <c r="X69" s="286" t="s">
        <v>1</v>
      </c>
      <c r="Y69" s="285" t="s">
        <v>1</v>
      </c>
      <c r="Z69" s="285" t="s">
        <v>1</v>
      </c>
      <c r="AA69" s="285" t="s">
        <v>1</v>
      </c>
      <c r="AB69" s="285" t="s">
        <v>1</v>
      </c>
      <c r="AC69" s="286" t="s">
        <v>1</v>
      </c>
      <c r="AD69" s="285" t="s">
        <v>1</v>
      </c>
      <c r="AE69" s="285" t="s">
        <v>1</v>
      </c>
      <c r="AF69" s="285" t="s">
        <v>1</v>
      </c>
      <c r="AG69" s="285" t="s">
        <v>1</v>
      </c>
      <c r="AH69" s="286" t="s">
        <v>1</v>
      </c>
      <c r="AI69" s="295" t="s">
        <v>1</v>
      </c>
      <c r="AJ69" s="295" t="s">
        <v>1</v>
      </c>
      <c r="AK69" s="295" t="s">
        <v>1</v>
      </c>
      <c r="AL69" s="286">
        <v>422.4</v>
      </c>
      <c r="AM69" s="288" t="s">
        <v>1</v>
      </c>
      <c r="AN69" s="287" t="s">
        <v>1</v>
      </c>
      <c r="AO69" s="287" t="s">
        <v>1</v>
      </c>
      <c r="AP69" s="286" t="s">
        <v>1</v>
      </c>
      <c r="AQ69" s="285" t="s">
        <v>1</v>
      </c>
      <c r="AR69" s="289" t="s">
        <v>1</v>
      </c>
      <c r="AS69" s="289" t="s">
        <v>1</v>
      </c>
      <c r="AT69" s="290" t="s">
        <v>1</v>
      </c>
      <c r="AU69" s="287" t="s">
        <v>1</v>
      </c>
      <c r="AV69" s="287" t="s">
        <v>1</v>
      </c>
      <c r="AW69" s="291" t="s">
        <v>1</v>
      </c>
    </row>
    <row r="70" spans="1:49" ht="30.15" customHeight="1" x14ac:dyDescent="0.25">
      <c r="A70" s="188" t="s">
        <v>18</v>
      </c>
      <c r="B70" s="188" t="s">
        <v>1</v>
      </c>
      <c r="C70" s="188" t="s">
        <v>35</v>
      </c>
      <c r="D70" s="190" t="s">
        <v>3</v>
      </c>
      <c r="E70" s="190" t="s">
        <v>980</v>
      </c>
      <c r="F70" s="203"/>
      <c r="G70" s="190" t="s">
        <v>1012</v>
      </c>
      <c r="H70" s="192" t="s">
        <v>414</v>
      </c>
      <c r="I70" s="194">
        <v>940</v>
      </c>
      <c r="J70" s="194">
        <v>945</v>
      </c>
      <c r="K70" s="194">
        <v>945</v>
      </c>
      <c r="L70" s="193">
        <v>996</v>
      </c>
      <c r="M70" s="194">
        <v>996</v>
      </c>
      <c r="N70" s="284" t="s">
        <v>1</v>
      </c>
      <c r="O70" s="285" t="s">
        <v>1</v>
      </c>
      <c r="P70" s="285" t="s">
        <v>1</v>
      </c>
      <c r="Q70" s="285" t="s">
        <v>1</v>
      </c>
      <c r="R70" s="285" t="s">
        <v>1</v>
      </c>
      <c r="S70" s="286" t="s">
        <v>1</v>
      </c>
      <c r="T70" s="285" t="s">
        <v>1</v>
      </c>
      <c r="U70" s="285" t="s">
        <v>1</v>
      </c>
      <c r="V70" s="285" t="s">
        <v>1</v>
      </c>
      <c r="W70" s="285" t="s">
        <v>1</v>
      </c>
      <c r="X70" s="286" t="s">
        <v>1</v>
      </c>
      <c r="Y70" s="285" t="s">
        <v>1</v>
      </c>
      <c r="Z70" s="285" t="s">
        <v>1</v>
      </c>
      <c r="AA70" s="285" t="s">
        <v>1</v>
      </c>
      <c r="AB70" s="285" t="s">
        <v>1</v>
      </c>
      <c r="AC70" s="286" t="s">
        <v>1</v>
      </c>
      <c r="AD70" s="285" t="s">
        <v>1</v>
      </c>
      <c r="AE70" s="285" t="s">
        <v>1</v>
      </c>
      <c r="AF70" s="285" t="s">
        <v>1</v>
      </c>
      <c r="AG70" s="285" t="s">
        <v>1</v>
      </c>
      <c r="AH70" s="286" t="s">
        <v>1</v>
      </c>
      <c r="AI70" s="295" t="s">
        <v>1</v>
      </c>
      <c r="AJ70" s="295" t="s">
        <v>1</v>
      </c>
      <c r="AK70" s="295" t="s">
        <v>1</v>
      </c>
      <c r="AL70" s="286">
        <v>398.4</v>
      </c>
      <c r="AM70" s="288" t="s">
        <v>1</v>
      </c>
      <c r="AN70" s="287" t="s">
        <v>1</v>
      </c>
      <c r="AO70" s="287" t="s">
        <v>1</v>
      </c>
      <c r="AP70" s="286" t="s">
        <v>1</v>
      </c>
      <c r="AQ70" s="285" t="s">
        <v>1</v>
      </c>
      <c r="AR70" s="289" t="s">
        <v>1</v>
      </c>
      <c r="AS70" s="289" t="s">
        <v>1</v>
      </c>
      <c r="AT70" s="290" t="s">
        <v>1</v>
      </c>
      <c r="AU70" s="287" t="s">
        <v>1</v>
      </c>
      <c r="AV70" s="287" t="s">
        <v>1</v>
      </c>
      <c r="AW70" s="291" t="s">
        <v>1</v>
      </c>
    </row>
    <row r="71" spans="1:49" ht="30.15" customHeight="1" x14ac:dyDescent="0.25">
      <c r="A71" s="188" t="s">
        <v>18</v>
      </c>
      <c r="B71" s="188" t="s">
        <v>1</v>
      </c>
      <c r="C71" s="188" t="s">
        <v>35</v>
      </c>
      <c r="D71" s="190" t="s">
        <v>3</v>
      </c>
      <c r="E71" s="190" t="s">
        <v>981</v>
      </c>
      <c r="F71" s="203"/>
      <c r="G71" s="190" t="s">
        <v>1013</v>
      </c>
      <c r="H71" s="192" t="s">
        <v>414</v>
      </c>
      <c r="I71" s="194">
        <v>659</v>
      </c>
      <c r="J71" s="194">
        <v>665</v>
      </c>
      <c r="K71" s="194">
        <v>665</v>
      </c>
      <c r="L71" s="193">
        <v>698</v>
      </c>
      <c r="M71" s="194">
        <v>698</v>
      </c>
      <c r="N71" s="284" t="s">
        <v>1</v>
      </c>
      <c r="O71" s="285" t="s">
        <v>1</v>
      </c>
      <c r="P71" s="285" t="s">
        <v>1</v>
      </c>
      <c r="Q71" s="285" t="s">
        <v>1</v>
      </c>
      <c r="R71" s="285" t="s">
        <v>1</v>
      </c>
      <c r="S71" s="286" t="s">
        <v>1</v>
      </c>
      <c r="T71" s="285" t="s">
        <v>1</v>
      </c>
      <c r="U71" s="285" t="s">
        <v>1</v>
      </c>
      <c r="V71" s="285" t="s">
        <v>1</v>
      </c>
      <c r="W71" s="285" t="s">
        <v>1</v>
      </c>
      <c r="X71" s="286" t="s">
        <v>1</v>
      </c>
      <c r="Y71" s="285" t="s">
        <v>1</v>
      </c>
      <c r="Z71" s="285" t="s">
        <v>1</v>
      </c>
      <c r="AA71" s="285" t="s">
        <v>1</v>
      </c>
      <c r="AB71" s="285" t="s">
        <v>1</v>
      </c>
      <c r="AC71" s="286" t="s">
        <v>1</v>
      </c>
      <c r="AD71" s="285" t="s">
        <v>1</v>
      </c>
      <c r="AE71" s="285" t="s">
        <v>1</v>
      </c>
      <c r="AF71" s="285" t="s">
        <v>1</v>
      </c>
      <c r="AG71" s="285" t="s">
        <v>1</v>
      </c>
      <c r="AH71" s="286" t="s">
        <v>1</v>
      </c>
      <c r="AI71" s="295" t="s">
        <v>1</v>
      </c>
      <c r="AJ71" s="295" t="s">
        <v>1</v>
      </c>
      <c r="AK71" s="295" t="s">
        <v>1</v>
      </c>
      <c r="AL71" s="286">
        <v>279.2</v>
      </c>
      <c r="AM71" s="288" t="s">
        <v>1</v>
      </c>
      <c r="AN71" s="287" t="s">
        <v>1</v>
      </c>
      <c r="AO71" s="287" t="s">
        <v>1</v>
      </c>
      <c r="AP71" s="286" t="s">
        <v>1</v>
      </c>
      <c r="AQ71" s="285" t="s">
        <v>1</v>
      </c>
      <c r="AR71" s="289" t="s">
        <v>1</v>
      </c>
      <c r="AS71" s="289" t="s">
        <v>1</v>
      </c>
      <c r="AT71" s="290" t="s">
        <v>1</v>
      </c>
      <c r="AU71" s="287" t="s">
        <v>1</v>
      </c>
      <c r="AV71" s="287" t="s">
        <v>1</v>
      </c>
      <c r="AW71" s="291" t="s">
        <v>1</v>
      </c>
    </row>
    <row r="72" spans="1:49" ht="30.15" customHeight="1" x14ac:dyDescent="0.25">
      <c r="A72" s="188" t="s">
        <v>18</v>
      </c>
      <c r="B72" s="188" t="s">
        <v>1</v>
      </c>
      <c r="C72" s="188" t="s">
        <v>35</v>
      </c>
      <c r="D72" s="190" t="s">
        <v>3</v>
      </c>
      <c r="E72" s="190" t="s">
        <v>982</v>
      </c>
      <c r="F72" s="203"/>
      <c r="G72" s="190" t="s">
        <v>1014</v>
      </c>
      <c r="H72" s="192" t="s">
        <v>414</v>
      </c>
      <c r="I72" s="194">
        <v>659</v>
      </c>
      <c r="J72" s="194">
        <v>665</v>
      </c>
      <c r="K72" s="194">
        <v>665</v>
      </c>
      <c r="L72" s="193">
        <v>698</v>
      </c>
      <c r="M72" s="194">
        <v>698</v>
      </c>
      <c r="N72" s="284" t="s">
        <v>1</v>
      </c>
      <c r="O72" s="285" t="s">
        <v>1</v>
      </c>
      <c r="P72" s="285" t="s">
        <v>1</v>
      </c>
      <c r="Q72" s="285" t="s">
        <v>1</v>
      </c>
      <c r="R72" s="285" t="s">
        <v>1</v>
      </c>
      <c r="S72" s="286" t="s">
        <v>1</v>
      </c>
      <c r="T72" s="285" t="s">
        <v>1</v>
      </c>
      <c r="U72" s="285" t="s">
        <v>1</v>
      </c>
      <c r="V72" s="285" t="s">
        <v>1</v>
      </c>
      <c r="W72" s="285" t="s">
        <v>1</v>
      </c>
      <c r="X72" s="286" t="s">
        <v>1</v>
      </c>
      <c r="Y72" s="285" t="s">
        <v>1</v>
      </c>
      <c r="Z72" s="285" t="s">
        <v>1</v>
      </c>
      <c r="AA72" s="285" t="s">
        <v>1</v>
      </c>
      <c r="AB72" s="285" t="s">
        <v>1</v>
      </c>
      <c r="AC72" s="286" t="s">
        <v>1</v>
      </c>
      <c r="AD72" s="285" t="s">
        <v>1</v>
      </c>
      <c r="AE72" s="285" t="s">
        <v>1</v>
      </c>
      <c r="AF72" s="285" t="s">
        <v>1</v>
      </c>
      <c r="AG72" s="285" t="s">
        <v>1</v>
      </c>
      <c r="AH72" s="286" t="s">
        <v>1</v>
      </c>
      <c r="AI72" s="295" t="s">
        <v>1</v>
      </c>
      <c r="AJ72" s="295" t="s">
        <v>1</v>
      </c>
      <c r="AK72" s="295" t="s">
        <v>1</v>
      </c>
      <c r="AL72" s="286">
        <v>279.2</v>
      </c>
      <c r="AM72" s="288" t="s">
        <v>1</v>
      </c>
      <c r="AN72" s="287" t="s">
        <v>1</v>
      </c>
      <c r="AO72" s="287" t="s">
        <v>1</v>
      </c>
      <c r="AP72" s="286" t="s">
        <v>1</v>
      </c>
      <c r="AQ72" s="285" t="s">
        <v>1</v>
      </c>
      <c r="AR72" s="289" t="s">
        <v>1</v>
      </c>
      <c r="AS72" s="289" t="s">
        <v>1</v>
      </c>
      <c r="AT72" s="290" t="s">
        <v>1</v>
      </c>
      <c r="AU72" s="287" t="s">
        <v>1</v>
      </c>
      <c r="AV72" s="287" t="s">
        <v>1</v>
      </c>
      <c r="AW72" s="291" t="s">
        <v>1</v>
      </c>
    </row>
    <row r="73" spans="1:49" ht="30.15" customHeight="1" x14ac:dyDescent="0.25">
      <c r="A73" s="188" t="s">
        <v>18</v>
      </c>
      <c r="B73" s="188" t="s">
        <v>1</v>
      </c>
      <c r="C73" s="188" t="s">
        <v>35</v>
      </c>
      <c r="D73" s="190" t="s">
        <v>3</v>
      </c>
      <c r="E73" s="190" t="s">
        <v>983</v>
      </c>
      <c r="F73" s="203"/>
      <c r="G73" s="190" t="s">
        <v>1015</v>
      </c>
      <c r="H73" s="192" t="s">
        <v>414</v>
      </c>
      <c r="I73" s="194">
        <v>699</v>
      </c>
      <c r="J73" s="194">
        <v>703</v>
      </c>
      <c r="K73" s="194">
        <v>703</v>
      </c>
      <c r="L73" s="193">
        <v>740</v>
      </c>
      <c r="M73" s="194">
        <v>740</v>
      </c>
      <c r="N73" s="284" t="s">
        <v>1</v>
      </c>
      <c r="O73" s="285" t="s">
        <v>1</v>
      </c>
      <c r="P73" s="285" t="s">
        <v>1</v>
      </c>
      <c r="Q73" s="285" t="s">
        <v>1</v>
      </c>
      <c r="R73" s="285" t="s">
        <v>1</v>
      </c>
      <c r="S73" s="286" t="s">
        <v>1</v>
      </c>
      <c r="T73" s="285" t="s">
        <v>1</v>
      </c>
      <c r="U73" s="285" t="s">
        <v>1</v>
      </c>
      <c r="V73" s="285" t="s">
        <v>1</v>
      </c>
      <c r="W73" s="285" t="s">
        <v>1</v>
      </c>
      <c r="X73" s="286" t="s">
        <v>1</v>
      </c>
      <c r="Y73" s="285" t="s">
        <v>1</v>
      </c>
      <c r="Z73" s="285" t="s">
        <v>1</v>
      </c>
      <c r="AA73" s="285" t="s">
        <v>1</v>
      </c>
      <c r="AB73" s="285" t="s">
        <v>1</v>
      </c>
      <c r="AC73" s="286" t="s">
        <v>1</v>
      </c>
      <c r="AD73" s="285" t="s">
        <v>1</v>
      </c>
      <c r="AE73" s="285" t="s">
        <v>1</v>
      </c>
      <c r="AF73" s="285" t="s">
        <v>1</v>
      </c>
      <c r="AG73" s="285" t="s">
        <v>1</v>
      </c>
      <c r="AH73" s="286" t="s">
        <v>1</v>
      </c>
      <c r="AI73" s="295" t="s">
        <v>1</v>
      </c>
      <c r="AJ73" s="295" t="s">
        <v>1</v>
      </c>
      <c r="AK73" s="295" t="s">
        <v>1</v>
      </c>
      <c r="AL73" s="286">
        <v>296</v>
      </c>
      <c r="AM73" s="288" t="s">
        <v>1</v>
      </c>
      <c r="AN73" s="287" t="s">
        <v>1</v>
      </c>
      <c r="AO73" s="287" t="s">
        <v>1</v>
      </c>
      <c r="AP73" s="286" t="s">
        <v>1</v>
      </c>
      <c r="AQ73" s="285" t="s">
        <v>1</v>
      </c>
      <c r="AR73" s="289" t="s">
        <v>1</v>
      </c>
      <c r="AS73" s="289" t="s">
        <v>1</v>
      </c>
      <c r="AT73" s="290" t="s">
        <v>1</v>
      </c>
      <c r="AU73" s="287" t="s">
        <v>1</v>
      </c>
      <c r="AV73" s="287" t="s">
        <v>1</v>
      </c>
      <c r="AW73" s="291" t="s">
        <v>1</v>
      </c>
    </row>
    <row r="74" spans="1:49" ht="30.15" customHeight="1" x14ac:dyDescent="0.25">
      <c r="A74" s="188" t="s">
        <v>18</v>
      </c>
      <c r="B74" s="188" t="s">
        <v>1</v>
      </c>
      <c r="C74" s="188" t="s">
        <v>35</v>
      </c>
      <c r="D74" s="190" t="s">
        <v>3</v>
      </c>
      <c r="E74" s="190" t="s">
        <v>984</v>
      </c>
      <c r="F74" s="203"/>
      <c r="G74" s="190" t="s">
        <v>1016</v>
      </c>
      <c r="H74" s="192" t="s">
        <v>414</v>
      </c>
      <c r="I74" s="194">
        <v>699</v>
      </c>
      <c r="J74" s="194">
        <v>703</v>
      </c>
      <c r="K74" s="194">
        <v>703</v>
      </c>
      <c r="L74" s="193">
        <v>740</v>
      </c>
      <c r="M74" s="194">
        <v>740</v>
      </c>
      <c r="N74" s="284" t="s">
        <v>1</v>
      </c>
      <c r="O74" s="285" t="s">
        <v>1</v>
      </c>
      <c r="P74" s="285" t="s">
        <v>1</v>
      </c>
      <c r="Q74" s="285" t="s">
        <v>1</v>
      </c>
      <c r="R74" s="285" t="s">
        <v>1</v>
      </c>
      <c r="S74" s="286" t="s">
        <v>1</v>
      </c>
      <c r="T74" s="285" t="s">
        <v>1</v>
      </c>
      <c r="U74" s="285" t="s">
        <v>1</v>
      </c>
      <c r="V74" s="285" t="s">
        <v>1</v>
      </c>
      <c r="W74" s="285" t="s">
        <v>1</v>
      </c>
      <c r="X74" s="286" t="s">
        <v>1</v>
      </c>
      <c r="Y74" s="285" t="s">
        <v>1</v>
      </c>
      <c r="Z74" s="285" t="s">
        <v>1</v>
      </c>
      <c r="AA74" s="285" t="s">
        <v>1</v>
      </c>
      <c r="AB74" s="285" t="s">
        <v>1</v>
      </c>
      <c r="AC74" s="286" t="s">
        <v>1</v>
      </c>
      <c r="AD74" s="285" t="s">
        <v>1</v>
      </c>
      <c r="AE74" s="285" t="s">
        <v>1</v>
      </c>
      <c r="AF74" s="285" t="s">
        <v>1</v>
      </c>
      <c r="AG74" s="285" t="s">
        <v>1</v>
      </c>
      <c r="AH74" s="286" t="s">
        <v>1</v>
      </c>
      <c r="AI74" s="295" t="s">
        <v>1</v>
      </c>
      <c r="AJ74" s="295" t="s">
        <v>1</v>
      </c>
      <c r="AK74" s="295" t="s">
        <v>1</v>
      </c>
      <c r="AL74" s="286">
        <v>296</v>
      </c>
      <c r="AM74" s="288" t="s">
        <v>1</v>
      </c>
      <c r="AN74" s="287" t="s">
        <v>1</v>
      </c>
      <c r="AO74" s="287" t="s">
        <v>1</v>
      </c>
      <c r="AP74" s="286" t="s">
        <v>1</v>
      </c>
      <c r="AQ74" s="285" t="s">
        <v>1</v>
      </c>
      <c r="AR74" s="289" t="s">
        <v>1</v>
      </c>
      <c r="AS74" s="289" t="s">
        <v>1</v>
      </c>
      <c r="AT74" s="290" t="s">
        <v>1</v>
      </c>
      <c r="AU74" s="287" t="s">
        <v>1</v>
      </c>
      <c r="AV74" s="287" t="s">
        <v>1</v>
      </c>
      <c r="AW74" s="291" t="s">
        <v>1</v>
      </c>
    </row>
    <row r="75" spans="1:49" ht="30.15" customHeight="1" x14ac:dyDescent="0.25">
      <c r="A75" s="188" t="s">
        <v>18</v>
      </c>
      <c r="B75" s="188" t="s">
        <v>1</v>
      </c>
      <c r="C75" s="188" t="s">
        <v>35</v>
      </c>
      <c r="D75" s="190" t="s">
        <v>3</v>
      </c>
      <c r="E75" s="190" t="s">
        <v>743</v>
      </c>
      <c r="F75" s="203"/>
      <c r="G75" s="190" t="s">
        <v>777</v>
      </c>
      <c r="H75" s="192" t="s">
        <v>414</v>
      </c>
      <c r="I75" s="194">
        <v>490</v>
      </c>
      <c r="J75" s="194">
        <v>532</v>
      </c>
      <c r="K75" s="193">
        <v>532</v>
      </c>
      <c r="L75" s="193">
        <v>560</v>
      </c>
      <c r="M75" s="194">
        <v>560</v>
      </c>
      <c r="N75" s="284" t="s">
        <v>1</v>
      </c>
      <c r="O75" s="285" t="s">
        <v>1</v>
      </c>
      <c r="P75" s="285" t="s">
        <v>1</v>
      </c>
      <c r="Q75" s="285" t="s">
        <v>1</v>
      </c>
      <c r="R75" s="285" t="s">
        <v>1</v>
      </c>
      <c r="S75" s="286" t="s">
        <v>1</v>
      </c>
      <c r="T75" s="285" t="s">
        <v>1</v>
      </c>
      <c r="U75" s="285" t="s">
        <v>1</v>
      </c>
      <c r="V75" s="285" t="s">
        <v>1</v>
      </c>
      <c r="W75" s="285" t="s">
        <v>1</v>
      </c>
      <c r="X75" s="286" t="s">
        <v>1</v>
      </c>
      <c r="Y75" s="285" t="s">
        <v>1</v>
      </c>
      <c r="Z75" s="285" t="s">
        <v>1</v>
      </c>
      <c r="AA75" s="285" t="s">
        <v>1</v>
      </c>
      <c r="AB75" s="285" t="s">
        <v>1</v>
      </c>
      <c r="AC75" s="286" t="s">
        <v>1</v>
      </c>
      <c r="AD75" s="285" t="s">
        <v>1</v>
      </c>
      <c r="AE75" s="285" t="s">
        <v>1</v>
      </c>
      <c r="AF75" s="285" t="s">
        <v>1</v>
      </c>
      <c r="AG75" s="285" t="s">
        <v>1</v>
      </c>
      <c r="AH75" s="286" t="s">
        <v>1</v>
      </c>
      <c r="AI75" s="295" t="s">
        <v>1</v>
      </c>
      <c r="AJ75" s="295" t="s">
        <v>1</v>
      </c>
      <c r="AK75" s="295" t="s">
        <v>1</v>
      </c>
      <c r="AL75" s="286">
        <v>224</v>
      </c>
      <c r="AM75" s="288" t="s">
        <v>1</v>
      </c>
      <c r="AN75" s="287" t="s">
        <v>1</v>
      </c>
      <c r="AO75" s="287" t="s">
        <v>1</v>
      </c>
      <c r="AP75" s="286" t="s">
        <v>1</v>
      </c>
      <c r="AQ75" s="285" t="s">
        <v>1</v>
      </c>
      <c r="AR75" s="289" t="s">
        <v>1</v>
      </c>
      <c r="AS75" s="289" t="s">
        <v>1</v>
      </c>
      <c r="AT75" s="290" t="s">
        <v>1</v>
      </c>
      <c r="AU75" s="287" t="s">
        <v>1</v>
      </c>
      <c r="AV75" s="287" t="s">
        <v>1</v>
      </c>
      <c r="AW75" s="291" t="s">
        <v>1</v>
      </c>
    </row>
    <row r="76" spans="1:49" ht="30.15" customHeight="1" x14ac:dyDescent="0.25">
      <c r="A76" s="188" t="s">
        <v>18</v>
      </c>
      <c r="B76" s="188" t="s">
        <v>1</v>
      </c>
      <c r="C76" s="188" t="s">
        <v>35</v>
      </c>
      <c r="D76" s="190" t="s">
        <v>3</v>
      </c>
      <c r="E76" s="190" t="s">
        <v>744</v>
      </c>
      <c r="F76" s="203"/>
      <c r="G76" s="190" t="s">
        <v>778</v>
      </c>
      <c r="H76" s="192" t="s">
        <v>414</v>
      </c>
      <c r="I76" s="194">
        <v>490</v>
      </c>
      <c r="J76" s="194">
        <v>532</v>
      </c>
      <c r="K76" s="193">
        <v>532</v>
      </c>
      <c r="L76" s="193">
        <v>560</v>
      </c>
      <c r="M76" s="194">
        <v>560</v>
      </c>
      <c r="N76" s="284" t="s">
        <v>1</v>
      </c>
      <c r="O76" s="285" t="s">
        <v>1</v>
      </c>
      <c r="P76" s="285" t="s">
        <v>1</v>
      </c>
      <c r="Q76" s="285" t="s">
        <v>1</v>
      </c>
      <c r="R76" s="285" t="s">
        <v>1</v>
      </c>
      <c r="S76" s="286" t="s">
        <v>1</v>
      </c>
      <c r="T76" s="285" t="s">
        <v>1</v>
      </c>
      <c r="U76" s="285" t="s">
        <v>1</v>
      </c>
      <c r="V76" s="285" t="s">
        <v>1</v>
      </c>
      <c r="W76" s="285" t="s">
        <v>1</v>
      </c>
      <c r="X76" s="286" t="s">
        <v>1</v>
      </c>
      <c r="Y76" s="285" t="s">
        <v>1</v>
      </c>
      <c r="Z76" s="285" t="s">
        <v>1</v>
      </c>
      <c r="AA76" s="285" t="s">
        <v>1</v>
      </c>
      <c r="AB76" s="285" t="s">
        <v>1</v>
      </c>
      <c r="AC76" s="286" t="s">
        <v>1</v>
      </c>
      <c r="AD76" s="285" t="s">
        <v>1</v>
      </c>
      <c r="AE76" s="285" t="s">
        <v>1</v>
      </c>
      <c r="AF76" s="285" t="s">
        <v>1</v>
      </c>
      <c r="AG76" s="285" t="s">
        <v>1</v>
      </c>
      <c r="AH76" s="286" t="s">
        <v>1</v>
      </c>
      <c r="AI76" s="295" t="s">
        <v>1</v>
      </c>
      <c r="AJ76" s="295" t="s">
        <v>1</v>
      </c>
      <c r="AK76" s="295" t="s">
        <v>1</v>
      </c>
      <c r="AL76" s="286">
        <v>224</v>
      </c>
      <c r="AM76" s="288" t="s">
        <v>1</v>
      </c>
      <c r="AN76" s="287" t="s">
        <v>1</v>
      </c>
      <c r="AO76" s="287" t="s">
        <v>1</v>
      </c>
      <c r="AP76" s="286" t="s">
        <v>1</v>
      </c>
      <c r="AQ76" s="285" t="s">
        <v>1</v>
      </c>
      <c r="AR76" s="289" t="s">
        <v>1</v>
      </c>
      <c r="AS76" s="289" t="s">
        <v>1</v>
      </c>
      <c r="AT76" s="290" t="s">
        <v>1</v>
      </c>
      <c r="AU76" s="287" t="s">
        <v>1</v>
      </c>
      <c r="AV76" s="287" t="s">
        <v>1</v>
      </c>
      <c r="AW76" s="291" t="s">
        <v>1</v>
      </c>
    </row>
    <row r="77" spans="1:49" ht="30.15" customHeight="1" x14ac:dyDescent="0.25">
      <c r="A77" s="188" t="s">
        <v>18</v>
      </c>
      <c r="B77" s="188" t="s">
        <v>1</v>
      </c>
      <c r="C77" s="188" t="s">
        <v>35</v>
      </c>
      <c r="D77" s="190" t="s">
        <v>3</v>
      </c>
      <c r="E77" s="190" t="s">
        <v>745</v>
      </c>
      <c r="F77" s="203"/>
      <c r="G77" s="190" t="s">
        <v>779</v>
      </c>
      <c r="H77" s="192" t="s">
        <v>414</v>
      </c>
      <c r="I77" s="194">
        <v>454</v>
      </c>
      <c r="J77" s="194">
        <v>494</v>
      </c>
      <c r="K77" s="193">
        <v>494</v>
      </c>
      <c r="L77" s="193">
        <v>520</v>
      </c>
      <c r="M77" s="194">
        <v>520</v>
      </c>
      <c r="N77" s="284" t="s">
        <v>1</v>
      </c>
      <c r="O77" s="285" t="s">
        <v>1</v>
      </c>
      <c r="P77" s="285" t="s">
        <v>1</v>
      </c>
      <c r="Q77" s="285" t="s">
        <v>1</v>
      </c>
      <c r="R77" s="285" t="s">
        <v>1</v>
      </c>
      <c r="S77" s="286" t="s">
        <v>1</v>
      </c>
      <c r="T77" s="285" t="s">
        <v>1</v>
      </c>
      <c r="U77" s="285" t="s">
        <v>1</v>
      </c>
      <c r="V77" s="285" t="s">
        <v>1</v>
      </c>
      <c r="W77" s="285" t="s">
        <v>1</v>
      </c>
      <c r="X77" s="286" t="s">
        <v>1</v>
      </c>
      <c r="Y77" s="285" t="s">
        <v>1</v>
      </c>
      <c r="Z77" s="285" t="s">
        <v>1</v>
      </c>
      <c r="AA77" s="285" t="s">
        <v>1</v>
      </c>
      <c r="AB77" s="285" t="s">
        <v>1</v>
      </c>
      <c r="AC77" s="286" t="s">
        <v>1</v>
      </c>
      <c r="AD77" s="285" t="s">
        <v>1</v>
      </c>
      <c r="AE77" s="285" t="s">
        <v>1</v>
      </c>
      <c r="AF77" s="285" t="s">
        <v>1</v>
      </c>
      <c r="AG77" s="285" t="s">
        <v>1</v>
      </c>
      <c r="AH77" s="286" t="s">
        <v>1</v>
      </c>
      <c r="AI77" s="295" t="s">
        <v>1</v>
      </c>
      <c r="AJ77" s="295" t="s">
        <v>1</v>
      </c>
      <c r="AK77" s="295" t="s">
        <v>1</v>
      </c>
      <c r="AL77" s="286">
        <v>208</v>
      </c>
      <c r="AM77" s="288" t="s">
        <v>1</v>
      </c>
      <c r="AN77" s="287" t="s">
        <v>1</v>
      </c>
      <c r="AO77" s="287" t="s">
        <v>1</v>
      </c>
      <c r="AP77" s="286" t="s">
        <v>1</v>
      </c>
      <c r="AQ77" s="285" t="s">
        <v>1</v>
      </c>
      <c r="AR77" s="289" t="s">
        <v>1</v>
      </c>
      <c r="AS77" s="289" t="s">
        <v>1</v>
      </c>
      <c r="AT77" s="290" t="s">
        <v>1</v>
      </c>
      <c r="AU77" s="287" t="s">
        <v>1</v>
      </c>
      <c r="AV77" s="287" t="s">
        <v>1</v>
      </c>
      <c r="AW77" s="291" t="s">
        <v>1</v>
      </c>
    </row>
    <row r="78" spans="1:49" ht="30.15" customHeight="1" x14ac:dyDescent="0.25">
      <c r="A78" s="188" t="s">
        <v>18</v>
      </c>
      <c r="B78" s="188" t="s">
        <v>1</v>
      </c>
      <c r="C78" s="188" t="s">
        <v>35</v>
      </c>
      <c r="D78" s="190" t="s">
        <v>3</v>
      </c>
      <c r="E78" s="190" t="s">
        <v>746</v>
      </c>
      <c r="F78" s="203"/>
      <c r="G78" s="190" t="s">
        <v>780</v>
      </c>
      <c r="H78" s="192" t="s">
        <v>414</v>
      </c>
      <c r="I78" s="194">
        <v>490</v>
      </c>
      <c r="J78" s="194">
        <v>532</v>
      </c>
      <c r="K78" s="193">
        <v>532</v>
      </c>
      <c r="L78" s="193">
        <v>560</v>
      </c>
      <c r="M78" s="194">
        <v>560</v>
      </c>
      <c r="N78" s="284" t="s">
        <v>1</v>
      </c>
      <c r="O78" s="285" t="s">
        <v>1</v>
      </c>
      <c r="P78" s="285" t="s">
        <v>1</v>
      </c>
      <c r="Q78" s="285" t="s">
        <v>1</v>
      </c>
      <c r="R78" s="285" t="s">
        <v>1</v>
      </c>
      <c r="S78" s="286" t="s">
        <v>1</v>
      </c>
      <c r="T78" s="285" t="s">
        <v>1</v>
      </c>
      <c r="U78" s="285" t="s">
        <v>1</v>
      </c>
      <c r="V78" s="285" t="s">
        <v>1</v>
      </c>
      <c r="W78" s="285" t="s">
        <v>1</v>
      </c>
      <c r="X78" s="286" t="s">
        <v>1</v>
      </c>
      <c r="Y78" s="285" t="s">
        <v>1</v>
      </c>
      <c r="Z78" s="285" t="s">
        <v>1</v>
      </c>
      <c r="AA78" s="285" t="s">
        <v>1</v>
      </c>
      <c r="AB78" s="285" t="s">
        <v>1</v>
      </c>
      <c r="AC78" s="286" t="s">
        <v>1</v>
      </c>
      <c r="AD78" s="285" t="s">
        <v>1</v>
      </c>
      <c r="AE78" s="285" t="s">
        <v>1</v>
      </c>
      <c r="AF78" s="285" t="s">
        <v>1</v>
      </c>
      <c r="AG78" s="285" t="s">
        <v>1</v>
      </c>
      <c r="AH78" s="286" t="s">
        <v>1</v>
      </c>
      <c r="AI78" s="295" t="s">
        <v>1</v>
      </c>
      <c r="AJ78" s="295" t="s">
        <v>1</v>
      </c>
      <c r="AK78" s="295" t="s">
        <v>1</v>
      </c>
      <c r="AL78" s="286">
        <v>224</v>
      </c>
      <c r="AM78" s="288" t="s">
        <v>1</v>
      </c>
      <c r="AN78" s="287" t="s">
        <v>1</v>
      </c>
      <c r="AO78" s="287" t="s">
        <v>1</v>
      </c>
      <c r="AP78" s="286" t="s">
        <v>1</v>
      </c>
      <c r="AQ78" s="285" t="s">
        <v>1</v>
      </c>
      <c r="AR78" s="289" t="s">
        <v>1</v>
      </c>
      <c r="AS78" s="289" t="s">
        <v>1</v>
      </c>
      <c r="AT78" s="290" t="s">
        <v>1</v>
      </c>
      <c r="AU78" s="287" t="s">
        <v>1</v>
      </c>
      <c r="AV78" s="287" t="s">
        <v>1</v>
      </c>
      <c r="AW78" s="291" t="s">
        <v>1</v>
      </c>
    </row>
    <row r="79" spans="1:49" ht="30.15" customHeight="1" x14ac:dyDescent="0.25">
      <c r="A79" s="188" t="s">
        <v>18</v>
      </c>
      <c r="B79" s="188" t="s">
        <v>1</v>
      </c>
      <c r="C79" s="188" t="s">
        <v>35</v>
      </c>
      <c r="D79" s="190" t="s">
        <v>3</v>
      </c>
      <c r="E79" s="190" t="s">
        <v>747</v>
      </c>
      <c r="F79" s="203"/>
      <c r="G79" s="190" t="s">
        <v>781</v>
      </c>
      <c r="H79" s="192" t="s">
        <v>414</v>
      </c>
      <c r="I79" s="194">
        <v>454</v>
      </c>
      <c r="J79" s="194">
        <v>494</v>
      </c>
      <c r="K79" s="193">
        <v>494</v>
      </c>
      <c r="L79" s="193">
        <v>520</v>
      </c>
      <c r="M79" s="194">
        <v>520</v>
      </c>
      <c r="N79" s="284" t="s">
        <v>1</v>
      </c>
      <c r="O79" s="285" t="s">
        <v>1</v>
      </c>
      <c r="P79" s="285" t="s">
        <v>1</v>
      </c>
      <c r="Q79" s="285" t="s">
        <v>1</v>
      </c>
      <c r="R79" s="285" t="s">
        <v>1</v>
      </c>
      <c r="S79" s="286" t="s">
        <v>1</v>
      </c>
      <c r="T79" s="285" t="s">
        <v>1</v>
      </c>
      <c r="U79" s="285" t="s">
        <v>1</v>
      </c>
      <c r="V79" s="285" t="s">
        <v>1</v>
      </c>
      <c r="W79" s="285" t="s">
        <v>1</v>
      </c>
      <c r="X79" s="286" t="s">
        <v>1</v>
      </c>
      <c r="Y79" s="285" t="s">
        <v>1</v>
      </c>
      <c r="Z79" s="285" t="s">
        <v>1</v>
      </c>
      <c r="AA79" s="285" t="s">
        <v>1</v>
      </c>
      <c r="AB79" s="285" t="s">
        <v>1</v>
      </c>
      <c r="AC79" s="286" t="s">
        <v>1</v>
      </c>
      <c r="AD79" s="285" t="s">
        <v>1</v>
      </c>
      <c r="AE79" s="285" t="s">
        <v>1</v>
      </c>
      <c r="AF79" s="285" t="s">
        <v>1</v>
      </c>
      <c r="AG79" s="285" t="s">
        <v>1</v>
      </c>
      <c r="AH79" s="286" t="s">
        <v>1</v>
      </c>
      <c r="AI79" s="295" t="s">
        <v>1</v>
      </c>
      <c r="AJ79" s="295" t="s">
        <v>1</v>
      </c>
      <c r="AK79" s="295" t="s">
        <v>1</v>
      </c>
      <c r="AL79" s="286">
        <v>208</v>
      </c>
      <c r="AM79" s="288" t="s">
        <v>1</v>
      </c>
      <c r="AN79" s="287" t="s">
        <v>1</v>
      </c>
      <c r="AO79" s="287" t="s">
        <v>1</v>
      </c>
      <c r="AP79" s="286" t="s">
        <v>1</v>
      </c>
      <c r="AQ79" s="285" t="s">
        <v>1</v>
      </c>
      <c r="AR79" s="289" t="s">
        <v>1</v>
      </c>
      <c r="AS79" s="289" t="s">
        <v>1</v>
      </c>
      <c r="AT79" s="290" t="s">
        <v>1</v>
      </c>
      <c r="AU79" s="287" t="s">
        <v>1</v>
      </c>
      <c r="AV79" s="287" t="s">
        <v>1</v>
      </c>
      <c r="AW79" s="291" t="s">
        <v>1</v>
      </c>
    </row>
    <row r="80" spans="1:49" ht="30.15" customHeight="1" x14ac:dyDescent="0.25">
      <c r="A80" s="188" t="s">
        <v>18</v>
      </c>
      <c r="B80" s="188" t="s">
        <v>1</v>
      </c>
      <c r="C80" s="188" t="s">
        <v>35</v>
      </c>
      <c r="D80" s="190" t="s">
        <v>3</v>
      </c>
      <c r="E80" s="190" t="s">
        <v>748</v>
      </c>
      <c r="F80" s="203"/>
      <c r="G80" s="190" t="s">
        <v>782</v>
      </c>
      <c r="H80" s="192" t="s">
        <v>414</v>
      </c>
      <c r="I80" s="194">
        <v>454</v>
      </c>
      <c r="J80" s="194">
        <v>494</v>
      </c>
      <c r="K80" s="193">
        <v>494</v>
      </c>
      <c r="L80" s="193">
        <v>520</v>
      </c>
      <c r="M80" s="194">
        <v>520</v>
      </c>
      <c r="N80" s="284" t="s">
        <v>1</v>
      </c>
      <c r="O80" s="285" t="s">
        <v>1</v>
      </c>
      <c r="P80" s="285" t="s">
        <v>1</v>
      </c>
      <c r="Q80" s="285" t="s">
        <v>1</v>
      </c>
      <c r="R80" s="285" t="s">
        <v>1</v>
      </c>
      <c r="S80" s="286" t="s">
        <v>1</v>
      </c>
      <c r="T80" s="285" t="s">
        <v>1</v>
      </c>
      <c r="U80" s="285" t="s">
        <v>1</v>
      </c>
      <c r="V80" s="285" t="s">
        <v>1</v>
      </c>
      <c r="W80" s="285" t="s">
        <v>1</v>
      </c>
      <c r="X80" s="286" t="s">
        <v>1</v>
      </c>
      <c r="Y80" s="285" t="s">
        <v>1</v>
      </c>
      <c r="Z80" s="285" t="s">
        <v>1</v>
      </c>
      <c r="AA80" s="285" t="s">
        <v>1</v>
      </c>
      <c r="AB80" s="285" t="s">
        <v>1</v>
      </c>
      <c r="AC80" s="286" t="s">
        <v>1</v>
      </c>
      <c r="AD80" s="285" t="s">
        <v>1</v>
      </c>
      <c r="AE80" s="285" t="s">
        <v>1</v>
      </c>
      <c r="AF80" s="285" t="s">
        <v>1</v>
      </c>
      <c r="AG80" s="285" t="s">
        <v>1</v>
      </c>
      <c r="AH80" s="286" t="s">
        <v>1</v>
      </c>
      <c r="AI80" s="295" t="s">
        <v>1</v>
      </c>
      <c r="AJ80" s="295" t="s">
        <v>1</v>
      </c>
      <c r="AK80" s="295" t="s">
        <v>1</v>
      </c>
      <c r="AL80" s="286">
        <v>208</v>
      </c>
      <c r="AM80" s="288" t="s">
        <v>1</v>
      </c>
      <c r="AN80" s="287" t="s">
        <v>1</v>
      </c>
      <c r="AO80" s="287" t="s">
        <v>1</v>
      </c>
      <c r="AP80" s="286" t="s">
        <v>1</v>
      </c>
      <c r="AQ80" s="285" t="s">
        <v>1</v>
      </c>
      <c r="AR80" s="289" t="s">
        <v>1</v>
      </c>
      <c r="AS80" s="289" t="s">
        <v>1</v>
      </c>
      <c r="AT80" s="290" t="s">
        <v>1</v>
      </c>
      <c r="AU80" s="287" t="s">
        <v>1</v>
      </c>
      <c r="AV80" s="287" t="s">
        <v>1</v>
      </c>
      <c r="AW80" s="291" t="s">
        <v>1</v>
      </c>
    </row>
    <row r="81" spans="1:49" ht="30.15" customHeight="1" x14ac:dyDescent="0.25">
      <c r="A81" s="188" t="s">
        <v>18</v>
      </c>
      <c r="B81" s="188" t="s">
        <v>1</v>
      </c>
      <c r="C81" s="188" t="s">
        <v>35</v>
      </c>
      <c r="D81" s="190" t="s">
        <v>3</v>
      </c>
      <c r="E81" s="190" t="s">
        <v>749</v>
      </c>
      <c r="F81" s="203"/>
      <c r="G81" s="190" t="s">
        <v>783</v>
      </c>
      <c r="H81" s="192" t="s">
        <v>414</v>
      </c>
      <c r="I81" s="194">
        <v>454</v>
      </c>
      <c r="J81" s="194">
        <v>494</v>
      </c>
      <c r="K81" s="193">
        <v>494</v>
      </c>
      <c r="L81" s="193">
        <v>520</v>
      </c>
      <c r="M81" s="194">
        <v>520</v>
      </c>
      <c r="N81" s="284" t="s">
        <v>1</v>
      </c>
      <c r="O81" s="285" t="s">
        <v>1</v>
      </c>
      <c r="P81" s="285" t="s">
        <v>1</v>
      </c>
      <c r="Q81" s="285" t="s">
        <v>1</v>
      </c>
      <c r="R81" s="285" t="s">
        <v>1</v>
      </c>
      <c r="S81" s="286" t="s">
        <v>1</v>
      </c>
      <c r="T81" s="285" t="s">
        <v>1</v>
      </c>
      <c r="U81" s="285" t="s">
        <v>1</v>
      </c>
      <c r="V81" s="285" t="s">
        <v>1</v>
      </c>
      <c r="W81" s="285" t="s">
        <v>1</v>
      </c>
      <c r="X81" s="286" t="s">
        <v>1</v>
      </c>
      <c r="Y81" s="285" t="s">
        <v>1</v>
      </c>
      <c r="Z81" s="285" t="s">
        <v>1</v>
      </c>
      <c r="AA81" s="285" t="s">
        <v>1</v>
      </c>
      <c r="AB81" s="285" t="s">
        <v>1</v>
      </c>
      <c r="AC81" s="286" t="s">
        <v>1</v>
      </c>
      <c r="AD81" s="285" t="s">
        <v>1</v>
      </c>
      <c r="AE81" s="285" t="s">
        <v>1</v>
      </c>
      <c r="AF81" s="285" t="s">
        <v>1</v>
      </c>
      <c r="AG81" s="285" t="s">
        <v>1</v>
      </c>
      <c r="AH81" s="286" t="s">
        <v>1</v>
      </c>
      <c r="AI81" s="295" t="s">
        <v>1</v>
      </c>
      <c r="AJ81" s="295" t="s">
        <v>1</v>
      </c>
      <c r="AK81" s="295" t="s">
        <v>1</v>
      </c>
      <c r="AL81" s="286">
        <v>208</v>
      </c>
      <c r="AM81" s="288" t="s">
        <v>1</v>
      </c>
      <c r="AN81" s="287" t="s">
        <v>1</v>
      </c>
      <c r="AO81" s="287" t="s">
        <v>1</v>
      </c>
      <c r="AP81" s="286" t="s">
        <v>1</v>
      </c>
      <c r="AQ81" s="285" t="s">
        <v>1</v>
      </c>
      <c r="AR81" s="289" t="s">
        <v>1</v>
      </c>
      <c r="AS81" s="289" t="s">
        <v>1</v>
      </c>
      <c r="AT81" s="290" t="s">
        <v>1</v>
      </c>
      <c r="AU81" s="287" t="s">
        <v>1</v>
      </c>
      <c r="AV81" s="287" t="s">
        <v>1</v>
      </c>
      <c r="AW81" s="291" t="s">
        <v>1</v>
      </c>
    </row>
    <row r="82" spans="1:49" ht="30.15" customHeight="1" x14ac:dyDescent="0.25">
      <c r="A82" s="188" t="s">
        <v>18</v>
      </c>
      <c r="B82" s="188" t="s">
        <v>1</v>
      </c>
      <c r="C82" s="188" t="s">
        <v>35</v>
      </c>
      <c r="D82" s="190" t="s">
        <v>3</v>
      </c>
      <c r="E82" s="190" t="s">
        <v>750</v>
      </c>
      <c r="F82" s="203"/>
      <c r="G82" s="190" t="s">
        <v>784</v>
      </c>
      <c r="H82" s="192" t="s">
        <v>414</v>
      </c>
      <c r="I82" s="194">
        <v>454</v>
      </c>
      <c r="J82" s="194">
        <v>494</v>
      </c>
      <c r="K82" s="193">
        <v>494</v>
      </c>
      <c r="L82" s="193">
        <v>520</v>
      </c>
      <c r="M82" s="194">
        <v>520</v>
      </c>
      <c r="N82" s="284" t="s">
        <v>1</v>
      </c>
      <c r="O82" s="285" t="s">
        <v>1</v>
      </c>
      <c r="P82" s="285" t="s">
        <v>1</v>
      </c>
      <c r="Q82" s="285" t="s">
        <v>1</v>
      </c>
      <c r="R82" s="285" t="s">
        <v>1</v>
      </c>
      <c r="S82" s="286" t="s">
        <v>1</v>
      </c>
      <c r="T82" s="285" t="s">
        <v>1</v>
      </c>
      <c r="U82" s="285" t="s">
        <v>1</v>
      </c>
      <c r="V82" s="285" t="s">
        <v>1</v>
      </c>
      <c r="W82" s="285" t="s">
        <v>1</v>
      </c>
      <c r="X82" s="286" t="s">
        <v>1</v>
      </c>
      <c r="Y82" s="285" t="s">
        <v>1</v>
      </c>
      <c r="Z82" s="285" t="s">
        <v>1</v>
      </c>
      <c r="AA82" s="285" t="s">
        <v>1</v>
      </c>
      <c r="AB82" s="285" t="s">
        <v>1</v>
      </c>
      <c r="AC82" s="286" t="s">
        <v>1</v>
      </c>
      <c r="AD82" s="285" t="s">
        <v>1</v>
      </c>
      <c r="AE82" s="285" t="s">
        <v>1</v>
      </c>
      <c r="AF82" s="285" t="s">
        <v>1</v>
      </c>
      <c r="AG82" s="285" t="s">
        <v>1</v>
      </c>
      <c r="AH82" s="286" t="s">
        <v>1</v>
      </c>
      <c r="AI82" s="295" t="s">
        <v>1</v>
      </c>
      <c r="AJ82" s="295" t="s">
        <v>1</v>
      </c>
      <c r="AK82" s="295" t="s">
        <v>1</v>
      </c>
      <c r="AL82" s="286">
        <v>208</v>
      </c>
      <c r="AM82" s="288" t="s">
        <v>1</v>
      </c>
      <c r="AN82" s="287" t="s">
        <v>1</v>
      </c>
      <c r="AO82" s="287" t="s">
        <v>1</v>
      </c>
      <c r="AP82" s="286" t="s">
        <v>1</v>
      </c>
      <c r="AQ82" s="285" t="s">
        <v>1</v>
      </c>
      <c r="AR82" s="289" t="s">
        <v>1</v>
      </c>
      <c r="AS82" s="289" t="s">
        <v>1</v>
      </c>
      <c r="AT82" s="290" t="s">
        <v>1</v>
      </c>
      <c r="AU82" s="287" t="s">
        <v>1</v>
      </c>
      <c r="AV82" s="287" t="s">
        <v>1</v>
      </c>
      <c r="AW82" s="291" t="s">
        <v>1</v>
      </c>
    </row>
    <row r="83" spans="1:49" ht="30.15" customHeight="1" x14ac:dyDescent="0.25">
      <c r="A83" s="188" t="s">
        <v>18</v>
      </c>
      <c r="B83" s="188" t="s">
        <v>1</v>
      </c>
      <c r="C83" s="188" t="s">
        <v>35</v>
      </c>
      <c r="D83" s="190" t="s">
        <v>3</v>
      </c>
      <c r="E83" s="190" t="s">
        <v>751</v>
      </c>
      <c r="F83" s="203"/>
      <c r="G83" s="190" t="s">
        <v>785</v>
      </c>
      <c r="H83" s="192" t="s">
        <v>414</v>
      </c>
      <c r="I83" s="194">
        <v>610</v>
      </c>
      <c r="J83" s="194">
        <v>665</v>
      </c>
      <c r="K83" s="193">
        <v>665</v>
      </c>
      <c r="L83" s="193">
        <v>700</v>
      </c>
      <c r="M83" s="194">
        <v>700</v>
      </c>
      <c r="N83" s="284" t="s">
        <v>1</v>
      </c>
      <c r="O83" s="285" t="s">
        <v>1</v>
      </c>
      <c r="P83" s="285" t="s">
        <v>1</v>
      </c>
      <c r="Q83" s="285" t="s">
        <v>1</v>
      </c>
      <c r="R83" s="285" t="s">
        <v>1</v>
      </c>
      <c r="S83" s="286" t="s">
        <v>1</v>
      </c>
      <c r="T83" s="285" t="s">
        <v>1</v>
      </c>
      <c r="U83" s="285" t="s">
        <v>1</v>
      </c>
      <c r="V83" s="285" t="s">
        <v>1</v>
      </c>
      <c r="W83" s="285" t="s">
        <v>1</v>
      </c>
      <c r="X83" s="286" t="s">
        <v>1</v>
      </c>
      <c r="Y83" s="285" t="s">
        <v>1</v>
      </c>
      <c r="Z83" s="285" t="s">
        <v>1</v>
      </c>
      <c r="AA83" s="285" t="s">
        <v>1</v>
      </c>
      <c r="AB83" s="285" t="s">
        <v>1</v>
      </c>
      <c r="AC83" s="286" t="s">
        <v>1</v>
      </c>
      <c r="AD83" s="285" t="s">
        <v>1</v>
      </c>
      <c r="AE83" s="285" t="s">
        <v>1</v>
      </c>
      <c r="AF83" s="285" t="s">
        <v>1</v>
      </c>
      <c r="AG83" s="285" t="s">
        <v>1</v>
      </c>
      <c r="AH83" s="286" t="s">
        <v>1</v>
      </c>
      <c r="AI83" s="295" t="s">
        <v>1</v>
      </c>
      <c r="AJ83" s="295" t="s">
        <v>1</v>
      </c>
      <c r="AK83" s="295" t="s">
        <v>1</v>
      </c>
      <c r="AL83" s="286">
        <v>280</v>
      </c>
      <c r="AM83" s="288" t="s">
        <v>1</v>
      </c>
      <c r="AN83" s="287" t="s">
        <v>1</v>
      </c>
      <c r="AO83" s="287" t="s">
        <v>1</v>
      </c>
      <c r="AP83" s="286" t="s">
        <v>1</v>
      </c>
      <c r="AQ83" s="285" t="s">
        <v>1</v>
      </c>
      <c r="AR83" s="289" t="s">
        <v>1</v>
      </c>
      <c r="AS83" s="289" t="s">
        <v>1</v>
      </c>
      <c r="AT83" s="290" t="s">
        <v>1</v>
      </c>
      <c r="AU83" s="287" t="s">
        <v>1</v>
      </c>
      <c r="AV83" s="287" t="s">
        <v>1</v>
      </c>
      <c r="AW83" s="291" t="s">
        <v>1</v>
      </c>
    </row>
    <row r="84" spans="1:49" ht="30.15" customHeight="1" x14ac:dyDescent="0.25">
      <c r="A84" s="188" t="s">
        <v>18</v>
      </c>
      <c r="B84" s="188" t="s">
        <v>1</v>
      </c>
      <c r="C84" s="188" t="s">
        <v>35</v>
      </c>
      <c r="D84" s="190" t="s">
        <v>3</v>
      </c>
      <c r="E84" s="190" t="s">
        <v>752</v>
      </c>
      <c r="F84" s="203"/>
      <c r="G84" s="190" t="s">
        <v>786</v>
      </c>
      <c r="H84" s="192" t="s">
        <v>414</v>
      </c>
      <c r="I84" s="194">
        <v>713</v>
      </c>
      <c r="J84" s="194">
        <v>779</v>
      </c>
      <c r="K84" s="193">
        <v>779</v>
      </c>
      <c r="L84" s="193">
        <v>820</v>
      </c>
      <c r="M84" s="194">
        <v>820</v>
      </c>
      <c r="N84" s="284" t="s">
        <v>1</v>
      </c>
      <c r="O84" s="285" t="s">
        <v>1</v>
      </c>
      <c r="P84" s="285" t="s">
        <v>1</v>
      </c>
      <c r="Q84" s="285" t="s">
        <v>1</v>
      </c>
      <c r="R84" s="285" t="s">
        <v>1</v>
      </c>
      <c r="S84" s="286" t="s">
        <v>1</v>
      </c>
      <c r="T84" s="285" t="s">
        <v>1</v>
      </c>
      <c r="U84" s="285" t="s">
        <v>1</v>
      </c>
      <c r="V84" s="285" t="s">
        <v>1</v>
      </c>
      <c r="W84" s="285" t="s">
        <v>1</v>
      </c>
      <c r="X84" s="286" t="s">
        <v>1</v>
      </c>
      <c r="Y84" s="285" t="s">
        <v>1</v>
      </c>
      <c r="Z84" s="285" t="s">
        <v>1</v>
      </c>
      <c r="AA84" s="285" t="s">
        <v>1</v>
      </c>
      <c r="AB84" s="285" t="s">
        <v>1</v>
      </c>
      <c r="AC84" s="286" t="s">
        <v>1</v>
      </c>
      <c r="AD84" s="285" t="s">
        <v>1</v>
      </c>
      <c r="AE84" s="285" t="s">
        <v>1</v>
      </c>
      <c r="AF84" s="285" t="s">
        <v>1</v>
      </c>
      <c r="AG84" s="285" t="s">
        <v>1</v>
      </c>
      <c r="AH84" s="286" t="s">
        <v>1</v>
      </c>
      <c r="AI84" s="295" t="s">
        <v>1</v>
      </c>
      <c r="AJ84" s="295" t="s">
        <v>1</v>
      </c>
      <c r="AK84" s="295" t="s">
        <v>1</v>
      </c>
      <c r="AL84" s="286">
        <v>328</v>
      </c>
      <c r="AM84" s="288" t="s">
        <v>1</v>
      </c>
      <c r="AN84" s="287" t="s">
        <v>1</v>
      </c>
      <c r="AO84" s="287" t="s">
        <v>1</v>
      </c>
      <c r="AP84" s="286" t="s">
        <v>1</v>
      </c>
      <c r="AQ84" s="285" t="s">
        <v>1</v>
      </c>
      <c r="AR84" s="289" t="s">
        <v>1</v>
      </c>
      <c r="AS84" s="289" t="s">
        <v>1</v>
      </c>
      <c r="AT84" s="290" t="s">
        <v>1</v>
      </c>
      <c r="AU84" s="287" t="s">
        <v>1</v>
      </c>
      <c r="AV84" s="287" t="s">
        <v>1</v>
      </c>
      <c r="AW84" s="291" t="s">
        <v>1</v>
      </c>
    </row>
    <row r="85" spans="1:49" ht="30.15" customHeight="1" x14ac:dyDescent="0.25">
      <c r="A85" s="188" t="s">
        <v>18</v>
      </c>
      <c r="B85" s="188" t="s">
        <v>1</v>
      </c>
      <c r="C85" s="188" t="s">
        <v>35</v>
      </c>
      <c r="D85" s="190" t="s">
        <v>3</v>
      </c>
      <c r="E85" s="190" t="s">
        <v>753</v>
      </c>
      <c r="F85" s="203"/>
      <c r="G85" s="190" t="s">
        <v>787</v>
      </c>
      <c r="H85" s="192" t="s">
        <v>414</v>
      </c>
      <c r="I85" s="194">
        <v>454</v>
      </c>
      <c r="J85" s="194">
        <v>494</v>
      </c>
      <c r="K85" s="193">
        <v>494</v>
      </c>
      <c r="L85" s="193">
        <v>520</v>
      </c>
      <c r="M85" s="194">
        <v>520</v>
      </c>
      <c r="N85" s="284" t="s">
        <v>1</v>
      </c>
      <c r="O85" s="285" t="s">
        <v>1</v>
      </c>
      <c r="P85" s="285" t="s">
        <v>1</v>
      </c>
      <c r="Q85" s="285" t="s">
        <v>1</v>
      </c>
      <c r="R85" s="285" t="s">
        <v>1</v>
      </c>
      <c r="S85" s="286" t="s">
        <v>1</v>
      </c>
      <c r="T85" s="285" t="s">
        <v>1</v>
      </c>
      <c r="U85" s="285" t="s">
        <v>1</v>
      </c>
      <c r="V85" s="285" t="s">
        <v>1</v>
      </c>
      <c r="W85" s="285" t="s">
        <v>1</v>
      </c>
      <c r="X85" s="286" t="s">
        <v>1</v>
      </c>
      <c r="Y85" s="285" t="s">
        <v>1</v>
      </c>
      <c r="Z85" s="285" t="s">
        <v>1</v>
      </c>
      <c r="AA85" s="285" t="s">
        <v>1</v>
      </c>
      <c r="AB85" s="285" t="s">
        <v>1</v>
      </c>
      <c r="AC85" s="286" t="s">
        <v>1</v>
      </c>
      <c r="AD85" s="285" t="s">
        <v>1</v>
      </c>
      <c r="AE85" s="285" t="s">
        <v>1</v>
      </c>
      <c r="AF85" s="285" t="s">
        <v>1</v>
      </c>
      <c r="AG85" s="285" t="s">
        <v>1</v>
      </c>
      <c r="AH85" s="286" t="s">
        <v>1</v>
      </c>
      <c r="AI85" s="295" t="s">
        <v>1</v>
      </c>
      <c r="AJ85" s="295" t="s">
        <v>1</v>
      </c>
      <c r="AK85" s="295" t="s">
        <v>1</v>
      </c>
      <c r="AL85" s="286">
        <v>208</v>
      </c>
      <c r="AM85" s="288" t="s">
        <v>1</v>
      </c>
      <c r="AN85" s="287" t="s">
        <v>1</v>
      </c>
      <c r="AO85" s="287" t="s">
        <v>1</v>
      </c>
      <c r="AP85" s="286" t="s">
        <v>1</v>
      </c>
      <c r="AQ85" s="285" t="s">
        <v>1</v>
      </c>
      <c r="AR85" s="289" t="s">
        <v>1</v>
      </c>
      <c r="AS85" s="289" t="s">
        <v>1</v>
      </c>
      <c r="AT85" s="290" t="s">
        <v>1</v>
      </c>
      <c r="AU85" s="287" t="s">
        <v>1</v>
      </c>
      <c r="AV85" s="287" t="s">
        <v>1</v>
      </c>
      <c r="AW85" s="291" t="s">
        <v>1</v>
      </c>
    </row>
    <row r="86" spans="1:49" ht="30.15" customHeight="1" x14ac:dyDescent="0.25">
      <c r="A86" s="188" t="s">
        <v>18</v>
      </c>
      <c r="B86" s="188" t="s">
        <v>1</v>
      </c>
      <c r="C86" s="188" t="s">
        <v>35</v>
      </c>
      <c r="D86" s="190" t="s">
        <v>3</v>
      </c>
      <c r="E86" s="190" t="s">
        <v>754</v>
      </c>
      <c r="F86" s="203"/>
      <c r="G86" s="190" t="s">
        <v>788</v>
      </c>
      <c r="H86" s="192" t="s">
        <v>414</v>
      </c>
      <c r="I86" s="194">
        <v>472</v>
      </c>
      <c r="J86" s="194">
        <v>513</v>
      </c>
      <c r="K86" s="193">
        <v>513</v>
      </c>
      <c r="L86" s="193">
        <v>540</v>
      </c>
      <c r="M86" s="194">
        <v>540</v>
      </c>
      <c r="N86" s="284" t="s">
        <v>1</v>
      </c>
      <c r="O86" s="285" t="s">
        <v>1</v>
      </c>
      <c r="P86" s="285" t="s">
        <v>1</v>
      </c>
      <c r="Q86" s="285" t="s">
        <v>1</v>
      </c>
      <c r="R86" s="285" t="s">
        <v>1</v>
      </c>
      <c r="S86" s="286" t="s">
        <v>1</v>
      </c>
      <c r="T86" s="285" t="s">
        <v>1</v>
      </c>
      <c r="U86" s="285" t="s">
        <v>1</v>
      </c>
      <c r="V86" s="285" t="s">
        <v>1</v>
      </c>
      <c r="W86" s="285" t="s">
        <v>1</v>
      </c>
      <c r="X86" s="286" t="s">
        <v>1</v>
      </c>
      <c r="Y86" s="285" t="s">
        <v>1</v>
      </c>
      <c r="Z86" s="285" t="s">
        <v>1</v>
      </c>
      <c r="AA86" s="285" t="s">
        <v>1</v>
      </c>
      <c r="AB86" s="285" t="s">
        <v>1</v>
      </c>
      <c r="AC86" s="286" t="s">
        <v>1</v>
      </c>
      <c r="AD86" s="285" t="s">
        <v>1</v>
      </c>
      <c r="AE86" s="285" t="s">
        <v>1</v>
      </c>
      <c r="AF86" s="285" t="s">
        <v>1</v>
      </c>
      <c r="AG86" s="285" t="s">
        <v>1</v>
      </c>
      <c r="AH86" s="286" t="s">
        <v>1</v>
      </c>
      <c r="AI86" s="295" t="s">
        <v>1</v>
      </c>
      <c r="AJ86" s="295" t="s">
        <v>1</v>
      </c>
      <c r="AK86" s="295" t="s">
        <v>1</v>
      </c>
      <c r="AL86" s="286">
        <v>216</v>
      </c>
      <c r="AM86" s="288" t="s">
        <v>1</v>
      </c>
      <c r="AN86" s="287" t="s">
        <v>1</v>
      </c>
      <c r="AO86" s="287" t="s">
        <v>1</v>
      </c>
      <c r="AP86" s="286" t="s">
        <v>1</v>
      </c>
      <c r="AQ86" s="285" t="s">
        <v>1</v>
      </c>
      <c r="AR86" s="289" t="s">
        <v>1</v>
      </c>
      <c r="AS86" s="289" t="s">
        <v>1</v>
      </c>
      <c r="AT86" s="290" t="s">
        <v>1</v>
      </c>
      <c r="AU86" s="287" t="s">
        <v>1</v>
      </c>
      <c r="AV86" s="287" t="s">
        <v>1</v>
      </c>
      <c r="AW86" s="291" t="s">
        <v>1</v>
      </c>
    </row>
    <row r="87" spans="1:49" ht="30.15" customHeight="1" x14ac:dyDescent="0.25">
      <c r="A87" s="188" t="s">
        <v>18</v>
      </c>
      <c r="B87" s="188" t="s">
        <v>1</v>
      </c>
      <c r="C87" s="188" t="s">
        <v>35</v>
      </c>
      <c r="D87" s="190" t="s">
        <v>3</v>
      </c>
      <c r="E87" s="190" t="s">
        <v>755</v>
      </c>
      <c r="F87" s="203"/>
      <c r="G87" s="190" t="s">
        <v>789</v>
      </c>
      <c r="H87" s="192" t="s">
        <v>414</v>
      </c>
      <c r="I87" s="194">
        <v>713</v>
      </c>
      <c r="J87" s="194">
        <v>779</v>
      </c>
      <c r="K87" s="193">
        <v>779</v>
      </c>
      <c r="L87" s="193">
        <v>820</v>
      </c>
      <c r="M87" s="194">
        <v>820</v>
      </c>
      <c r="N87" s="284" t="s">
        <v>1</v>
      </c>
      <c r="O87" s="285" t="s">
        <v>1</v>
      </c>
      <c r="P87" s="285" t="s">
        <v>1</v>
      </c>
      <c r="Q87" s="285" t="s">
        <v>1</v>
      </c>
      <c r="R87" s="285" t="s">
        <v>1</v>
      </c>
      <c r="S87" s="286" t="s">
        <v>1</v>
      </c>
      <c r="T87" s="285" t="s">
        <v>1</v>
      </c>
      <c r="U87" s="285" t="s">
        <v>1</v>
      </c>
      <c r="V87" s="285" t="s">
        <v>1</v>
      </c>
      <c r="W87" s="285" t="s">
        <v>1</v>
      </c>
      <c r="X87" s="286" t="s">
        <v>1</v>
      </c>
      <c r="Y87" s="285" t="s">
        <v>1</v>
      </c>
      <c r="Z87" s="285" t="s">
        <v>1</v>
      </c>
      <c r="AA87" s="285" t="s">
        <v>1</v>
      </c>
      <c r="AB87" s="285" t="s">
        <v>1</v>
      </c>
      <c r="AC87" s="286" t="s">
        <v>1</v>
      </c>
      <c r="AD87" s="285" t="s">
        <v>1</v>
      </c>
      <c r="AE87" s="285" t="s">
        <v>1</v>
      </c>
      <c r="AF87" s="285" t="s">
        <v>1</v>
      </c>
      <c r="AG87" s="285" t="s">
        <v>1</v>
      </c>
      <c r="AH87" s="286" t="s">
        <v>1</v>
      </c>
      <c r="AI87" s="295" t="s">
        <v>1</v>
      </c>
      <c r="AJ87" s="295" t="s">
        <v>1</v>
      </c>
      <c r="AK87" s="295" t="s">
        <v>1</v>
      </c>
      <c r="AL87" s="286">
        <v>328</v>
      </c>
      <c r="AM87" s="288" t="s">
        <v>1</v>
      </c>
      <c r="AN87" s="287" t="s">
        <v>1</v>
      </c>
      <c r="AO87" s="287" t="s">
        <v>1</v>
      </c>
      <c r="AP87" s="286" t="s">
        <v>1</v>
      </c>
      <c r="AQ87" s="285" t="s">
        <v>1</v>
      </c>
      <c r="AR87" s="289" t="s">
        <v>1</v>
      </c>
      <c r="AS87" s="289" t="s">
        <v>1</v>
      </c>
      <c r="AT87" s="290" t="s">
        <v>1</v>
      </c>
      <c r="AU87" s="287" t="s">
        <v>1</v>
      </c>
      <c r="AV87" s="287" t="s">
        <v>1</v>
      </c>
      <c r="AW87" s="291" t="s">
        <v>1</v>
      </c>
    </row>
    <row r="88" spans="1:49" ht="30.15" customHeight="1" x14ac:dyDescent="0.25">
      <c r="A88" s="188" t="s">
        <v>18</v>
      </c>
      <c r="B88" s="188" t="s">
        <v>1</v>
      </c>
      <c r="C88" s="188" t="s">
        <v>35</v>
      </c>
      <c r="D88" s="190" t="s">
        <v>3</v>
      </c>
      <c r="E88" s="190" t="s">
        <v>756</v>
      </c>
      <c r="F88" s="203"/>
      <c r="G88" s="190" t="s">
        <v>790</v>
      </c>
      <c r="H88" s="192" t="s">
        <v>414</v>
      </c>
      <c r="I88" s="194">
        <v>610</v>
      </c>
      <c r="J88" s="194">
        <v>665</v>
      </c>
      <c r="K88" s="193">
        <v>665</v>
      </c>
      <c r="L88" s="193">
        <v>700</v>
      </c>
      <c r="M88" s="194">
        <v>700</v>
      </c>
      <c r="N88" s="284" t="s">
        <v>1</v>
      </c>
      <c r="O88" s="285" t="s">
        <v>1</v>
      </c>
      <c r="P88" s="285" t="s">
        <v>1</v>
      </c>
      <c r="Q88" s="285" t="s">
        <v>1</v>
      </c>
      <c r="R88" s="285" t="s">
        <v>1</v>
      </c>
      <c r="S88" s="286" t="s">
        <v>1</v>
      </c>
      <c r="T88" s="285" t="s">
        <v>1</v>
      </c>
      <c r="U88" s="285" t="s">
        <v>1</v>
      </c>
      <c r="V88" s="285" t="s">
        <v>1</v>
      </c>
      <c r="W88" s="285" t="s">
        <v>1</v>
      </c>
      <c r="X88" s="286" t="s">
        <v>1</v>
      </c>
      <c r="Y88" s="285" t="s">
        <v>1</v>
      </c>
      <c r="Z88" s="285" t="s">
        <v>1</v>
      </c>
      <c r="AA88" s="285" t="s">
        <v>1</v>
      </c>
      <c r="AB88" s="285" t="s">
        <v>1</v>
      </c>
      <c r="AC88" s="286" t="s">
        <v>1</v>
      </c>
      <c r="AD88" s="285" t="s">
        <v>1</v>
      </c>
      <c r="AE88" s="285" t="s">
        <v>1</v>
      </c>
      <c r="AF88" s="285" t="s">
        <v>1</v>
      </c>
      <c r="AG88" s="285" t="s">
        <v>1</v>
      </c>
      <c r="AH88" s="286" t="s">
        <v>1</v>
      </c>
      <c r="AI88" s="295" t="s">
        <v>1</v>
      </c>
      <c r="AJ88" s="295" t="s">
        <v>1</v>
      </c>
      <c r="AK88" s="295" t="s">
        <v>1</v>
      </c>
      <c r="AL88" s="286">
        <v>280</v>
      </c>
      <c r="AM88" s="288" t="s">
        <v>1</v>
      </c>
      <c r="AN88" s="287" t="s">
        <v>1</v>
      </c>
      <c r="AO88" s="287" t="s">
        <v>1</v>
      </c>
      <c r="AP88" s="286" t="s">
        <v>1</v>
      </c>
      <c r="AQ88" s="285" t="s">
        <v>1</v>
      </c>
      <c r="AR88" s="289" t="s">
        <v>1</v>
      </c>
      <c r="AS88" s="289" t="s">
        <v>1</v>
      </c>
      <c r="AT88" s="290" t="s">
        <v>1</v>
      </c>
      <c r="AU88" s="287" t="s">
        <v>1</v>
      </c>
      <c r="AV88" s="287" t="s">
        <v>1</v>
      </c>
      <c r="AW88" s="291" t="s">
        <v>1</v>
      </c>
    </row>
    <row r="89" spans="1:49" ht="30.15" customHeight="1" x14ac:dyDescent="0.25">
      <c r="A89" s="188" t="s">
        <v>18</v>
      </c>
      <c r="B89" s="188" t="s">
        <v>1</v>
      </c>
      <c r="C89" s="188" t="s">
        <v>35</v>
      </c>
      <c r="D89" s="190" t="s">
        <v>3</v>
      </c>
      <c r="E89" s="190" t="s">
        <v>757</v>
      </c>
      <c r="F89" s="203"/>
      <c r="G89" s="190" t="s">
        <v>791</v>
      </c>
      <c r="H89" s="192" t="s">
        <v>414</v>
      </c>
      <c r="I89" s="194">
        <v>490</v>
      </c>
      <c r="J89" s="194">
        <v>532</v>
      </c>
      <c r="K89" s="193">
        <v>532</v>
      </c>
      <c r="L89" s="193">
        <v>560</v>
      </c>
      <c r="M89" s="194">
        <v>560</v>
      </c>
      <c r="N89" s="284" t="s">
        <v>1</v>
      </c>
      <c r="O89" s="285" t="s">
        <v>1</v>
      </c>
      <c r="P89" s="285" t="s">
        <v>1</v>
      </c>
      <c r="Q89" s="285" t="s">
        <v>1</v>
      </c>
      <c r="R89" s="285" t="s">
        <v>1</v>
      </c>
      <c r="S89" s="286" t="s">
        <v>1</v>
      </c>
      <c r="T89" s="285" t="s">
        <v>1</v>
      </c>
      <c r="U89" s="285" t="s">
        <v>1</v>
      </c>
      <c r="V89" s="285" t="s">
        <v>1</v>
      </c>
      <c r="W89" s="285" t="s">
        <v>1</v>
      </c>
      <c r="X89" s="286" t="s">
        <v>1</v>
      </c>
      <c r="Y89" s="285" t="s">
        <v>1</v>
      </c>
      <c r="Z89" s="285" t="s">
        <v>1</v>
      </c>
      <c r="AA89" s="285" t="s">
        <v>1</v>
      </c>
      <c r="AB89" s="285" t="s">
        <v>1</v>
      </c>
      <c r="AC89" s="286" t="s">
        <v>1</v>
      </c>
      <c r="AD89" s="285" t="s">
        <v>1</v>
      </c>
      <c r="AE89" s="285" t="s">
        <v>1</v>
      </c>
      <c r="AF89" s="285" t="s">
        <v>1</v>
      </c>
      <c r="AG89" s="285" t="s">
        <v>1</v>
      </c>
      <c r="AH89" s="286" t="s">
        <v>1</v>
      </c>
      <c r="AI89" s="295" t="s">
        <v>1</v>
      </c>
      <c r="AJ89" s="295" t="s">
        <v>1</v>
      </c>
      <c r="AK89" s="295" t="s">
        <v>1</v>
      </c>
      <c r="AL89" s="286">
        <v>224</v>
      </c>
      <c r="AM89" s="288" t="s">
        <v>1</v>
      </c>
      <c r="AN89" s="287" t="s">
        <v>1</v>
      </c>
      <c r="AO89" s="287" t="s">
        <v>1</v>
      </c>
      <c r="AP89" s="286" t="s">
        <v>1</v>
      </c>
      <c r="AQ89" s="285" t="s">
        <v>1</v>
      </c>
      <c r="AR89" s="289" t="s">
        <v>1</v>
      </c>
      <c r="AS89" s="289" t="s">
        <v>1</v>
      </c>
      <c r="AT89" s="290" t="s">
        <v>1</v>
      </c>
      <c r="AU89" s="287" t="s">
        <v>1</v>
      </c>
      <c r="AV89" s="287" t="s">
        <v>1</v>
      </c>
      <c r="AW89" s="291" t="s">
        <v>1</v>
      </c>
    </row>
    <row r="90" spans="1:49" ht="30.15" customHeight="1" x14ac:dyDescent="0.25">
      <c r="A90" s="188" t="s">
        <v>18</v>
      </c>
      <c r="B90" s="188" t="s">
        <v>1</v>
      </c>
      <c r="C90" s="188" t="s">
        <v>35</v>
      </c>
      <c r="D90" s="190" t="s">
        <v>3</v>
      </c>
      <c r="E90" s="190" t="s">
        <v>758</v>
      </c>
      <c r="F90" s="203"/>
      <c r="G90" s="190" t="s">
        <v>792</v>
      </c>
      <c r="H90" s="192" t="s">
        <v>414</v>
      </c>
      <c r="I90" s="194">
        <v>490</v>
      </c>
      <c r="J90" s="194">
        <v>532</v>
      </c>
      <c r="K90" s="193">
        <v>532</v>
      </c>
      <c r="L90" s="193">
        <v>560</v>
      </c>
      <c r="M90" s="194">
        <v>560</v>
      </c>
      <c r="N90" s="284" t="s">
        <v>1</v>
      </c>
      <c r="O90" s="285" t="s">
        <v>1</v>
      </c>
      <c r="P90" s="285" t="s">
        <v>1</v>
      </c>
      <c r="Q90" s="285" t="s">
        <v>1</v>
      </c>
      <c r="R90" s="285" t="s">
        <v>1</v>
      </c>
      <c r="S90" s="286" t="s">
        <v>1</v>
      </c>
      <c r="T90" s="285" t="s">
        <v>1</v>
      </c>
      <c r="U90" s="285" t="s">
        <v>1</v>
      </c>
      <c r="V90" s="285" t="s">
        <v>1</v>
      </c>
      <c r="W90" s="285" t="s">
        <v>1</v>
      </c>
      <c r="X90" s="286" t="s">
        <v>1</v>
      </c>
      <c r="Y90" s="285" t="s">
        <v>1</v>
      </c>
      <c r="Z90" s="285" t="s">
        <v>1</v>
      </c>
      <c r="AA90" s="285" t="s">
        <v>1</v>
      </c>
      <c r="AB90" s="285" t="s">
        <v>1</v>
      </c>
      <c r="AC90" s="286" t="s">
        <v>1</v>
      </c>
      <c r="AD90" s="285" t="s">
        <v>1</v>
      </c>
      <c r="AE90" s="285" t="s">
        <v>1</v>
      </c>
      <c r="AF90" s="285" t="s">
        <v>1</v>
      </c>
      <c r="AG90" s="285" t="s">
        <v>1</v>
      </c>
      <c r="AH90" s="286" t="s">
        <v>1</v>
      </c>
      <c r="AI90" s="295" t="s">
        <v>1</v>
      </c>
      <c r="AJ90" s="295" t="s">
        <v>1</v>
      </c>
      <c r="AK90" s="295" t="s">
        <v>1</v>
      </c>
      <c r="AL90" s="286">
        <v>224</v>
      </c>
      <c r="AM90" s="288" t="s">
        <v>1</v>
      </c>
      <c r="AN90" s="287" t="s">
        <v>1</v>
      </c>
      <c r="AO90" s="287" t="s">
        <v>1</v>
      </c>
      <c r="AP90" s="286" t="s">
        <v>1</v>
      </c>
      <c r="AQ90" s="285" t="s">
        <v>1</v>
      </c>
      <c r="AR90" s="289" t="s">
        <v>1</v>
      </c>
      <c r="AS90" s="289" t="s">
        <v>1</v>
      </c>
      <c r="AT90" s="290" t="s">
        <v>1</v>
      </c>
      <c r="AU90" s="287" t="s">
        <v>1</v>
      </c>
      <c r="AV90" s="287" t="s">
        <v>1</v>
      </c>
      <c r="AW90" s="291" t="s">
        <v>1</v>
      </c>
    </row>
    <row r="91" spans="1:49" ht="30.15" customHeight="1" x14ac:dyDescent="0.25">
      <c r="A91" s="188" t="s">
        <v>18</v>
      </c>
      <c r="B91" s="188" t="s">
        <v>1</v>
      </c>
      <c r="C91" s="188" t="s">
        <v>35</v>
      </c>
      <c r="D91" s="190" t="s">
        <v>3</v>
      </c>
      <c r="E91" s="190" t="s">
        <v>759</v>
      </c>
      <c r="F91" s="203"/>
      <c r="G91" s="190" t="s">
        <v>793</v>
      </c>
      <c r="H91" s="192" t="s">
        <v>414</v>
      </c>
      <c r="I91" s="194">
        <v>490</v>
      </c>
      <c r="J91" s="194">
        <v>532</v>
      </c>
      <c r="K91" s="193">
        <v>532</v>
      </c>
      <c r="L91" s="193">
        <v>560</v>
      </c>
      <c r="M91" s="194">
        <v>560</v>
      </c>
      <c r="N91" s="284" t="s">
        <v>1</v>
      </c>
      <c r="O91" s="285" t="s">
        <v>1</v>
      </c>
      <c r="P91" s="285" t="s">
        <v>1</v>
      </c>
      <c r="Q91" s="285" t="s">
        <v>1</v>
      </c>
      <c r="R91" s="285" t="s">
        <v>1</v>
      </c>
      <c r="S91" s="286" t="s">
        <v>1</v>
      </c>
      <c r="T91" s="285" t="s">
        <v>1</v>
      </c>
      <c r="U91" s="285" t="s">
        <v>1</v>
      </c>
      <c r="V91" s="285" t="s">
        <v>1</v>
      </c>
      <c r="W91" s="285" t="s">
        <v>1</v>
      </c>
      <c r="X91" s="286" t="s">
        <v>1</v>
      </c>
      <c r="Y91" s="285" t="s">
        <v>1</v>
      </c>
      <c r="Z91" s="285" t="s">
        <v>1</v>
      </c>
      <c r="AA91" s="285" t="s">
        <v>1</v>
      </c>
      <c r="AB91" s="285" t="s">
        <v>1</v>
      </c>
      <c r="AC91" s="286" t="s">
        <v>1</v>
      </c>
      <c r="AD91" s="285" t="s">
        <v>1</v>
      </c>
      <c r="AE91" s="285" t="s">
        <v>1</v>
      </c>
      <c r="AF91" s="285" t="s">
        <v>1</v>
      </c>
      <c r="AG91" s="285" t="s">
        <v>1</v>
      </c>
      <c r="AH91" s="286" t="s">
        <v>1</v>
      </c>
      <c r="AI91" s="295" t="s">
        <v>1</v>
      </c>
      <c r="AJ91" s="295" t="s">
        <v>1</v>
      </c>
      <c r="AK91" s="295" t="s">
        <v>1</v>
      </c>
      <c r="AL91" s="286">
        <v>224</v>
      </c>
      <c r="AM91" s="288" t="s">
        <v>1</v>
      </c>
      <c r="AN91" s="287" t="s">
        <v>1</v>
      </c>
      <c r="AO91" s="287" t="s">
        <v>1</v>
      </c>
      <c r="AP91" s="286" t="s">
        <v>1</v>
      </c>
      <c r="AQ91" s="285" t="s">
        <v>1</v>
      </c>
      <c r="AR91" s="289" t="s">
        <v>1</v>
      </c>
      <c r="AS91" s="289" t="s">
        <v>1</v>
      </c>
      <c r="AT91" s="290" t="s">
        <v>1</v>
      </c>
      <c r="AU91" s="287" t="s">
        <v>1</v>
      </c>
      <c r="AV91" s="287" t="s">
        <v>1</v>
      </c>
      <c r="AW91" s="291" t="s">
        <v>1</v>
      </c>
    </row>
    <row r="92" spans="1:49" ht="30.15" customHeight="1" x14ac:dyDescent="0.25">
      <c r="A92" s="188" t="s">
        <v>18</v>
      </c>
      <c r="B92" s="188" t="s">
        <v>1</v>
      </c>
      <c r="C92" s="188" t="s">
        <v>35</v>
      </c>
      <c r="D92" s="190" t="s">
        <v>3</v>
      </c>
      <c r="E92" s="190" t="s">
        <v>760</v>
      </c>
      <c r="F92" s="203"/>
      <c r="G92" s="190" t="s">
        <v>794</v>
      </c>
      <c r="H92" s="192" t="s">
        <v>414</v>
      </c>
      <c r="I92" s="194">
        <v>490</v>
      </c>
      <c r="J92" s="194">
        <v>532</v>
      </c>
      <c r="K92" s="193">
        <v>532</v>
      </c>
      <c r="L92" s="193">
        <v>560</v>
      </c>
      <c r="M92" s="194">
        <v>560</v>
      </c>
      <c r="N92" s="284" t="s">
        <v>1</v>
      </c>
      <c r="O92" s="285" t="s">
        <v>1</v>
      </c>
      <c r="P92" s="285" t="s">
        <v>1</v>
      </c>
      <c r="Q92" s="285" t="s">
        <v>1</v>
      </c>
      <c r="R92" s="285" t="s">
        <v>1</v>
      </c>
      <c r="S92" s="286" t="s">
        <v>1</v>
      </c>
      <c r="T92" s="285" t="s">
        <v>1</v>
      </c>
      <c r="U92" s="285" t="s">
        <v>1</v>
      </c>
      <c r="V92" s="285" t="s">
        <v>1</v>
      </c>
      <c r="W92" s="285" t="s">
        <v>1</v>
      </c>
      <c r="X92" s="286" t="s">
        <v>1</v>
      </c>
      <c r="Y92" s="285" t="s">
        <v>1</v>
      </c>
      <c r="Z92" s="285" t="s">
        <v>1</v>
      </c>
      <c r="AA92" s="285" t="s">
        <v>1</v>
      </c>
      <c r="AB92" s="285" t="s">
        <v>1</v>
      </c>
      <c r="AC92" s="286" t="s">
        <v>1</v>
      </c>
      <c r="AD92" s="285" t="s">
        <v>1</v>
      </c>
      <c r="AE92" s="285" t="s">
        <v>1</v>
      </c>
      <c r="AF92" s="285" t="s">
        <v>1</v>
      </c>
      <c r="AG92" s="285" t="s">
        <v>1</v>
      </c>
      <c r="AH92" s="286" t="s">
        <v>1</v>
      </c>
      <c r="AI92" s="295" t="s">
        <v>1</v>
      </c>
      <c r="AJ92" s="295" t="s">
        <v>1</v>
      </c>
      <c r="AK92" s="295" t="s">
        <v>1</v>
      </c>
      <c r="AL92" s="286">
        <v>224</v>
      </c>
      <c r="AM92" s="288" t="s">
        <v>1</v>
      </c>
      <c r="AN92" s="287" t="s">
        <v>1</v>
      </c>
      <c r="AO92" s="287" t="s">
        <v>1</v>
      </c>
      <c r="AP92" s="286" t="s">
        <v>1</v>
      </c>
      <c r="AQ92" s="285" t="s">
        <v>1</v>
      </c>
      <c r="AR92" s="289" t="s">
        <v>1</v>
      </c>
      <c r="AS92" s="289" t="s">
        <v>1</v>
      </c>
      <c r="AT92" s="290" t="s">
        <v>1</v>
      </c>
      <c r="AU92" s="287" t="s">
        <v>1</v>
      </c>
      <c r="AV92" s="287" t="s">
        <v>1</v>
      </c>
      <c r="AW92" s="291" t="s">
        <v>1</v>
      </c>
    </row>
    <row r="93" spans="1:49" ht="30.15" customHeight="1" x14ac:dyDescent="0.25">
      <c r="A93" s="188" t="s">
        <v>18</v>
      </c>
      <c r="B93" s="188" t="s">
        <v>1</v>
      </c>
      <c r="C93" s="188" t="s">
        <v>35</v>
      </c>
      <c r="D93" s="190" t="s">
        <v>3</v>
      </c>
      <c r="E93" s="190" t="s">
        <v>761</v>
      </c>
      <c r="F93" s="203"/>
      <c r="G93" s="190" t="s">
        <v>795</v>
      </c>
      <c r="H93" s="192" t="s">
        <v>414</v>
      </c>
      <c r="I93" s="194">
        <v>661</v>
      </c>
      <c r="J93" s="194">
        <v>722</v>
      </c>
      <c r="K93" s="193">
        <v>722</v>
      </c>
      <c r="L93" s="193">
        <v>760</v>
      </c>
      <c r="M93" s="194">
        <v>760</v>
      </c>
      <c r="N93" s="284" t="s">
        <v>1</v>
      </c>
      <c r="O93" s="285" t="s">
        <v>1</v>
      </c>
      <c r="P93" s="285" t="s">
        <v>1</v>
      </c>
      <c r="Q93" s="285" t="s">
        <v>1</v>
      </c>
      <c r="R93" s="285" t="s">
        <v>1</v>
      </c>
      <c r="S93" s="286" t="s">
        <v>1</v>
      </c>
      <c r="T93" s="285" t="s">
        <v>1</v>
      </c>
      <c r="U93" s="285" t="s">
        <v>1</v>
      </c>
      <c r="V93" s="285" t="s">
        <v>1</v>
      </c>
      <c r="W93" s="285" t="s">
        <v>1</v>
      </c>
      <c r="X93" s="286" t="s">
        <v>1</v>
      </c>
      <c r="Y93" s="285" t="s">
        <v>1</v>
      </c>
      <c r="Z93" s="285" t="s">
        <v>1</v>
      </c>
      <c r="AA93" s="285" t="s">
        <v>1</v>
      </c>
      <c r="AB93" s="285" t="s">
        <v>1</v>
      </c>
      <c r="AC93" s="286" t="s">
        <v>1</v>
      </c>
      <c r="AD93" s="285" t="s">
        <v>1</v>
      </c>
      <c r="AE93" s="285" t="s">
        <v>1</v>
      </c>
      <c r="AF93" s="285" t="s">
        <v>1</v>
      </c>
      <c r="AG93" s="285" t="s">
        <v>1</v>
      </c>
      <c r="AH93" s="286" t="s">
        <v>1</v>
      </c>
      <c r="AI93" s="295" t="s">
        <v>1</v>
      </c>
      <c r="AJ93" s="295" t="s">
        <v>1</v>
      </c>
      <c r="AK93" s="295" t="s">
        <v>1</v>
      </c>
      <c r="AL93" s="286">
        <v>304</v>
      </c>
      <c r="AM93" s="288" t="s">
        <v>1</v>
      </c>
      <c r="AN93" s="287" t="s">
        <v>1</v>
      </c>
      <c r="AO93" s="287" t="s">
        <v>1</v>
      </c>
      <c r="AP93" s="286" t="s">
        <v>1</v>
      </c>
      <c r="AQ93" s="285" t="s">
        <v>1</v>
      </c>
      <c r="AR93" s="289" t="s">
        <v>1</v>
      </c>
      <c r="AS93" s="289" t="s">
        <v>1</v>
      </c>
      <c r="AT93" s="290" t="s">
        <v>1</v>
      </c>
      <c r="AU93" s="287" t="s">
        <v>1</v>
      </c>
      <c r="AV93" s="287" t="s">
        <v>1</v>
      </c>
      <c r="AW93" s="291" t="s">
        <v>1</v>
      </c>
    </row>
    <row r="94" spans="1:49" ht="30.15" customHeight="1" x14ac:dyDescent="0.25">
      <c r="A94" s="188" t="s">
        <v>18</v>
      </c>
      <c r="B94" s="188" t="s">
        <v>1</v>
      </c>
      <c r="C94" s="188" t="s">
        <v>35</v>
      </c>
      <c r="D94" s="190" t="s">
        <v>3</v>
      </c>
      <c r="E94" s="190" t="s">
        <v>762</v>
      </c>
      <c r="F94" s="203"/>
      <c r="G94" s="190" t="s">
        <v>796</v>
      </c>
      <c r="H94" s="192" t="s">
        <v>414</v>
      </c>
      <c r="I94" s="194">
        <v>765</v>
      </c>
      <c r="J94" s="194">
        <v>836</v>
      </c>
      <c r="K94" s="193">
        <v>836</v>
      </c>
      <c r="L94" s="193">
        <v>880</v>
      </c>
      <c r="M94" s="194">
        <v>880</v>
      </c>
      <c r="N94" s="284" t="s">
        <v>1</v>
      </c>
      <c r="O94" s="285" t="s">
        <v>1</v>
      </c>
      <c r="P94" s="285" t="s">
        <v>1</v>
      </c>
      <c r="Q94" s="285" t="s">
        <v>1</v>
      </c>
      <c r="R94" s="285" t="s">
        <v>1</v>
      </c>
      <c r="S94" s="286" t="s">
        <v>1</v>
      </c>
      <c r="T94" s="285" t="s">
        <v>1</v>
      </c>
      <c r="U94" s="285" t="s">
        <v>1</v>
      </c>
      <c r="V94" s="285" t="s">
        <v>1</v>
      </c>
      <c r="W94" s="285" t="s">
        <v>1</v>
      </c>
      <c r="X94" s="286" t="s">
        <v>1</v>
      </c>
      <c r="Y94" s="285" t="s">
        <v>1</v>
      </c>
      <c r="Z94" s="285" t="s">
        <v>1</v>
      </c>
      <c r="AA94" s="285" t="s">
        <v>1</v>
      </c>
      <c r="AB94" s="285" t="s">
        <v>1</v>
      </c>
      <c r="AC94" s="286" t="s">
        <v>1</v>
      </c>
      <c r="AD94" s="285" t="s">
        <v>1</v>
      </c>
      <c r="AE94" s="285" t="s">
        <v>1</v>
      </c>
      <c r="AF94" s="285" t="s">
        <v>1</v>
      </c>
      <c r="AG94" s="285" t="s">
        <v>1</v>
      </c>
      <c r="AH94" s="286" t="s">
        <v>1</v>
      </c>
      <c r="AI94" s="295" t="s">
        <v>1</v>
      </c>
      <c r="AJ94" s="295" t="s">
        <v>1</v>
      </c>
      <c r="AK94" s="295" t="s">
        <v>1</v>
      </c>
      <c r="AL94" s="286">
        <v>352</v>
      </c>
      <c r="AM94" s="288" t="s">
        <v>1</v>
      </c>
      <c r="AN94" s="287" t="s">
        <v>1</v>
      </c>
      <c r="AO94" s="287" t="s">
        <v>1</v>
      </c>
      <c r="AP94" s="286" t="s">
        <v>1</v>
      </c>
      <c r="AQ94" s="285" t="s">
        <v>1</v>
      </c>
      <c r="AR94" s="289" t="s">
        <v>1</v>
      </c>
      <c r="AS94" s="289" t="s">
        <v>1</v>
      </c>
      <c r="AT94" s="290" t="s">
        <v>1</v>
      </c>
      <c r="AU94" s="287" t="s">
        <v>1</v>
      </c>
      <c r="AV94" s="287" t="s">
        <v>1</v>
      </c>
      <c r="AW94" s="291" t="s">
        <v>1</v>
      </c>
    </row>
    <row r="95" spans="1:49" ht="30.15" customHeight="1" x14ac:dyDescent="0.25">
      <c r="A95" s="188" t="s">
        <v>18</v>
      </c>
      <c r="B95" s="188" t="s">
        <v>1</v>
      </c>
      <c r="C95" s="188" t="s">
        <v>35</v>
      </c>
      <c r="D95" s="190" t="s">
        <v>3</v>
      </c>
      <c r="E95" s="190" t="s">
        <v>763</v>
      </c>
      <c r="F95" s="203"/>
      <c r="G95" s="190" t="s">
        <v>797</v>
      </c>
      <c r="H95" s="192" t="s">
        <v>414</v>
      </c>
      <c r="I95" s="194">
        <v>490</v>
      </c>
      <c r="J95" s="194">
        <v>532</v>
      </c>
      <c r="K95" s="193">
        <v>532</v>
      </c>
      <c r="L95" s="193">
        <v>560</v>
      </c>
      <c r="M95" s="194">
        <v>560</v>
      </c>
      <c r="N95" s="284" t="s">
        <v>1</v>
      </c>
      <c r="O95" s="285" t="s">
        <v>1</v>
      </c>
      <c r="P95" s="285" t="s">
        <v>1</v>
      </c>
      <c r="Q95" s="285" t="s">
        <v>1</v>
      </c>
      <c r="R95" s="285" t="s">
        <v>1</v>
      </c>
      <c r="S95" s="286" t="s">
        <v>1</v>
      </c>
      <c r="T95" s="285" t="s">
        <v>1</v>
      </c>
      <c r="U95" s="285" t="s">
        <v>1</v>
      </c>
      <c r="V95" s="285" t="s">
        <v>1</v>
      </c>
      <c r="W95" s="285" t="s">
        <v>1</v>
      </c>
      <c r="X95" s="286" t="s">
        <v>1</v>
      </c>
      <c r="Y95" s="285" t="s">
        <v>1</v>
      </c>
      <c r="Z95" s="285" t="s">
        <v>1</v>
      </c>
      <c r="AA95" s="285" t="s">
        <v>1</v>
      </c>
      <c r="AB95" s="285" t="s">
        <v>1</v>
      </c>
      <c r="AC95" s="286" t="s">
        <v>1</v>
      </c>
      <c r="AD95" s="285" t="s">
        <v>1</v>
      </c>
      <c r="AE95" s="285" t="s">
        <v>1</v>
      </c>
      <c r="AF95" s="285" t="s">
        <v>1</v>
      </c>
      <c r="AG95" s="285" t="s">
        <v>1</v>
      </c>
      <c r="AH95" s="286" t="s">
        <v>1</v>
      </c>
      <c r="AI95" s="295" t="s">
        <v>1</v>
      </c>
      <c r="AJ95" s="295" t="s">
        <v>1</v>
      </c>
      <c r="AK95" s="295" t="s">
        <v>1</v>
      </c>
      <c r="AL95" s="286">
        <v>224</v>
      </c>
      <c r="AM95" s="288" t="s">
        <v>1</v>
      </c>
      <c r="AN95" s="287" t="s">
        <v>1</v>
      </c>
      <c r="AO95" s="287" t="s">
        <v>1</v>
      </c>
      <c r="AP95" s="286" t="s">
        <v>1</v>
      </c>
      <c r="AQ95" s="285" t="s">
        <v>1</v>
      </c>
      <c r="AR95" s="289" t="s">
        <v>1</v>
      </c>
      <c r="AS95" s="289" t="s">
        <v>1</v>
      </c>
      <c r="AT95" s="290" t="s">
        <v>1</v>
      </c>
      <c r="AU95" s="287" t="s">
        <v>1</v>
      </c>
      <c r="AV95" s="287" t="s">
        <v>1</v>
      </c>
      <c r="AW95" s="291" t="s">
        <v>1</v>
      </c>
    </row>
    <row r="96" spans="1:49" ht="30.15" customHeight="1" x14ac:dyDescent="0.25">
      <c r="A96" s="188" t="s">
        <v>18</v>
      </c>
      <c r="B96" s="188" t="s">
        <v>1</v>
      </c>
      <c r="C96" s="188" t="s">
        <v>35</v>
      </c>
      <c r="D96" s="190" t="s">
        <v>3</v>
      </c>
      <c r="E96" s="190" t="s">
        <v>764</v>
      </c>
      <c r="F96" s="203"/>
      <c r="G96" s="190" t="s">
        <v>798</v>
      </c>
      <c r="H96" s="192" t="s">
        <v>414</v>
      </c>
      <c r="I96" s="194">
        <v>509</v>
      </c>
      <c r="J96" s="194">
        <v>561</v>
      </c>
      <c r="K96" s="193">
        <v>561</v>
      </c>
      <c r="L96" s="193">
        <v>590</v>
      </c>
      <c r="M96" s="194">
        <v>590</v>
      </c>
      <c r="N96" s="284" t="s">
        <v>1</v>
      </c>
      <c r="O96" s="285" t="s">
        <v>1</v>
      </c>
      <c r="P96" s="285" t="s">
        <v>1</v>
      </c>
      <c r="Q96" s="285" t="s">
        <v>1</v>
      </c>
      <c r="R96" s="285" t="s">
        <v>1</v>
      </c>
      <c r="S96" s="286" t="s">
        <v>1</v>
      </c>
      <c r="T96" s="285" t="s">
        <v>1</v>
      </c>
      <c r="U96" s="285" t="s">
        <v>1</v>
      </c>
      <c r="V96" s="285" t="s">
        <v>1</v>
      </c>
      <c r="W96" s="285" t="s">
        <v>1</v>
      </c>
      <c r="X96" s="286" t="s">
        <v>1</v>
      </c>
      <c r="Y96" s="285" t="s">
        <v>1</v>
      </c>
      <c r="Z96" s="285" t="s">
        <v>1</v>
      </c>
      <c r="AA96" s="285" t="s">
        <v>1</v>
      </c>
      <c r="AB96" s="285" t="s">
        <v>1</v>
      </c>
      <c r="AC96" s="286" t="s">
        <v>1</v>
      </c>
      <c r="AD96" s="285" t="s">
        <v>1</v>
      </c>
      <c r="AE96" s="285" t="s">
        <v>1</v>
      </c>
      <c r="AF96" s="285" t="s">
        <v>1</v>
      </c>
      <c r="AG96" s="285" t="s">
        <v>1</v>
      </c>
      <c r="AH96" s="286" t="s">
        <v>1</v>
      </c>
      <c r="AI96" s="295" t="s">
        <v>1</v>
      </c>
      <c r="AJ96" s="295" t="s">
        <v>1</v>
      </c>
      <c r="AK96" s="295" t="s">
        <v>1</v>
      </c>
      <c r="AL96" s="286">
        <v>236</v>
      </c>
      <c r="AM96" s="288" t="s">
        <v>1</v>
      </c>
      <c r="AN96" s="287" t="s">
        <v>1</v>
      </c>
      <c r="AO96" s="287" t="s">
        <v>1</v>
      </c>
      <c r="AP96" s="286" t="s">
        <v>1</v>
      </c>
      <c r="AQ96" s="285" t="s">
        <v>1</v>
      </c>
      <c r="AR96" s="289" t="s">
        <v>1</v>
      </c>
      <c r="AS96" s="289" t="s">
        <v>1</v>
      </c>
      <c r="AT96" s="290" t="s">
        <v>1</v>
      </c>
      <c r="AU96" s="287" t="s">
        <v>1</v>
      </c>
      <c r="AV96" s="287" t="s">
        <v>1</v>
      </c>
      <c r="AW96" s="291" t="s">
        <v>1</v>
      </c>
    </row>
    <row r="97" spans="1:49" ht="30.15" customHeight="1" x14ac:dyDescent="0.25">
      <c r="A97" s="188" t="s">
        <v>18</v>
      </c>
      <c r="B97" s="188" t="s">
        <v>1</v>
      </c>
      <c r="C97" s="188" t="s">
        <v>35</v>
      </c>
      <c r="D97" s="190" t="s">
        <v>3</v>
      </c>
      <c r="E97" s="190" t="s">
        <v>765</v>
      </c>
      <c r="F97" s="203"/>
      <c r="G97" s="190" t="s">
        <v>799</v>
      </c>
      <c r="H97" s="192" t="s">
        <v>414</v>
      </c>
      <c r="I97" s="194">
        <v>765</v>
      </c>
      <c r="J97" s="194">
        <v>836</v>
      </c>
      <c r="K97" s="193">
        <v>836</v>
      </c>
      <c r="L97" s="193">
        <v>880</v>
      </c>
      <c r="M97" s="194">
        <v>880</v>
      </c>
      <c r="N97" s="284" t="s">
        <v>1</v>
      </c>
      <c r="O97" s="285" t="s">
        <v>1</v>
      </c>
      <c r="P97" s="285" t="s">
        <v>1</v>
      </c>
      <c r="Q97" s="285" t="s">
        <v>1</v>
      </c>
      <c r="R97" s="285" t="s">
        <v>1</v>
      </c>
      <c r="S97" s="286" t="s">
        <v>1</v>
      </c>
      <c r="T97" s="285" t="s">
        <v>1</v>
      </c>
      <c r="U97" s="285" t="s">
        <v>1</v>
      </c>
      <c r="V97" s="285" t="s">
        <v>1</v>
      </c>
      <c r="W97" s="285" t="s">
        <v>1</v>
      </c>
      <c r="X97" s="286" t="s">
        <v>1</v>
      </c>
      <c r="Y97" s="285" t="s">
        <v>1</v>
      </c>
      <c r="Z97" s="285" t="s">
        <v>1</v>
      </c>
      <c r="AA97" s="285" t="s">
        <v>1</v>
      </c>
      <c r="AB97" s="285" t="s">
        <v>1</v>
      </c>
      <c r="AC97" s="286" t="s">
        <v>1</v>
      </c>
      <c r="AD97" s="285" t="s">
        <v>1</v>
      </c>
      <c r="AE97" s="285" t="s">
        <v>1</v>
      </c>
      <c r="AF97" s="285" t="s">
        <v>1</v>
      </c>
      <c r="AG97" s="285" t="s">
        <v>1</v>
      </c>
      <c r="AH97" s="286" t="s">
        <v>1</v>
      </c>
      <c r="AI97" s="295" t="s">
        <v>1</v>
      </c>
      <c r="AJ97" s="295" t="s">
        <v>1</v>
      </c>
      <c r="AK97" s="295" t="s">
        <v>1</v>
      </c>
      <c r="AL97" s="286">
        <v>352</v>
      </c>
      <c r="AM97" s="288" t="s">
        <v>1</v>
      </c>
      <c r="AN97" s="287" t="s">
        <v>1</v>
      </c>
      <c r="AO97" s="287" t="s">
        <v>1</v>
      </c>
      <c r="AP97" s="286" t="s">
        <v>1</v>
      </c>
      <c r="AQ97" s="285" t="s">
        <v>1</v>
      </c>
      <c r="AR97" s="289" t="s">
        <v>1</v>
      </c>
      <c r="AS97" s="289" t="s">
        <v>1</v>
      </c>
      <c r="AT97" s="290" t="s">
        <v>1</v>
      </c>
      <c r="AU97" s="287" t="s">
        <v>1</v>
      </c>
      <c r="AV97" s="287" t="s">
        <v>1</v>
      </c>
      <c r="AW97" s="291" t="s">
        <v>1</v>
      </c>
    </row>
    <row r="98" spans="1:49" ht="30.15" customHeight="1" x14ac:dyDescent="0.25">
      <c r="A98" s="188" t="s">
        <v>18</v>
      </c>
      <c r="B98" s="188" t="s">
        <v>1</v>
      </c>
      <c r="C98" s="188" t="s">
        <v>35</v>
      </c>
      <c r="D98" s="190" t="s">
        <v>3</v>
      </c>
      <c r="E98" s="190" t="s">
        <v>766</v>
      </c>
      <c r="F98" s="203"/>
      <c r="G98" s="190" t="s">
        <v>800</v>
      </c>
      <c r="H98" s="192" t="s">
        <v>414</v>
      </c>
      <c r="I98" s="194">
        <v>661</v>
      </c>
      <c r="J98" s="194">
        <v>722</v>
      </c>
      <c r="K98" s="193">
        <v>722</v>
      </c>
      <c r="L98" s="193">
        <v>760</v>
      </c>
      <c r="M98" s="194">
        <v>760</v>
      </c>
      <c r="N98" s="284" t="s">
        <v>1</v>
      </c>
      <c r="O98" s="285" t="s">
        <v>1</v>
      </c>
      <c r="P98" s="285" t="s">
        <v>1</v>
      </c>
      <c r="Q98" s="285" t="s">
        <v>1</v>
      </c>
      <c r="R98" s="285" t="s">
        <v>1</v>
      </c>
      <c r="S98" s="286" t="s">
        <v>1</v>
      </c>
      <c r="T98" s="285" t="s">
        <v>1</v>
      </c>
      <c r="U98" s="285" t="s">
        <v>1</v>
      </c>
      <c r="V98" s="285" t="s">
        <v>1</v>
      </c>
      <c r="W98" s="285" t="s">
        <v>1</v>
      </c>
      <c r="X98" s="286" t="s">
        <v>1</v>
      </c>
      <c r="Y98" s="285" t="s">
        <v>1</v>
      </c>
      <c r="Z98" s="285" t="s">
        <v>1</v>
      </c>
      <c r="AA98" s="285" t="s">
        <v>1</v>
      </c>
      <c r="AB98" s="285" t="s">
        <v>1</v>
      </c>
      <c r="AC98" s="286" t="s">
        <v>1</v>
      </c>
      <c r="AD98" s="285" t="s">
        <v>1</v>
      </c>
      <c r="AE98" s="285" t="s">
        <v>1</v>
      </c>
      <c r="AF98" s="285" t="s">
        <v>1</v>
      </c>
      <c r="AG98" s="285" t="s">
        <v>1</v>
      </c>
      <c r="AH98" s="286" t="s">
        <v>1</v>
      </c>
      <c r="AI98" s="295" t="s">
        <v>1</v>
      </c>
      <c r="AJ98" s="295" t="s">
        <v>1</v>
      </c>
      <c r="AK98" s="295" t="s">
        <v>1</v>
      </c>
      <c r="AL98" s="286">
        <v>304</v>
      </c>
      <c r="AM98" s="288" t="s">
        <v>1</v>
      </c>
      <c r="AN98" s="287" t="s">
        <v>1</v>
      </c>
      <c r="AO98" s="287" t="s">
        <v>1</v>
      </c>
      <c r="AP98" s="286" t="s">
        <v>1</v>
      </c>
      <c r="AQ98" s="285" t="s">
        <v>1</v>
      </c>
      <c r="AR98" s="289" t="s">
        <v>1</v>
      </c>
      <c r="AS98" s="289" t="s">
        <v>1</v>
      </c>
      <c r="AT98" s="290" t="s">
        <v>1</v>
      </c>
      <c r="AU98" s="287" t="s">
        <v>1</v>
      </c>
      <c r="AV98" s="287" t="s">
        <v>1</v>
      </c>
      <c r="AW98" s="291" t="s">
        <v>1</v>
      </c>
    </row>
    <row r="99" spans="1:49" ht="30.15" customHeight="1" x14ac:dyDescent="0.25">
      <c r="A99" s="188" t="s">
        <v>18</v>
      </c>
      <c r="B99" s="188" t="s">
        <v>1</v>
      </c>
      <c r="C99" s="188" t="s">
        <v>35</v>
      </c>
      <c r="D99" s="190" t="s">
        <v>3</v>
      </c>
      <c r="E99" s="190" t="s">
        <v>767</v>
      </c>
      <c r="F99" s="203"/>
      <c r="G99" s="190" t="s">
        <v>801</v>
      </c>
      <c r="H99" s="192" t="s">
        <v>414</v>
      </c>
      <c r="I99" s="194">
        <v>454</v>
      </c>
      <c r="J99" s="194">
        <v>494</v>
      </c>
      <c r="K99" s="193">
        <v>494</v>
      </c>
      <c r="L99" s="193">
        <v>520</v>
      </c>
      <c r="M99" s="194">
        <v>520</v>
      </c>
      <c r="N99" s="284" t="s">
        <v>1</v>
      </c>
      <c r="O99" s="285" t="s">
        <v>1</v>
      </c>
      <c r="P99" s="285" t="s">
        <v>1</v>
      </c>
      <c r="Q99" s="285" t="s">
        <v>1</v>
      </c>
      <c r="R99" s="285" t="s">
        <v>1</v>
      </c>
      <c r="S99" s="286" t="s">
        <v>1</v>
      </c>
      <c r="T99" s="285" t="s">
        <v>1</v>
      </c>
      <c r="U99" s="285" t="s">
        <v>1</v>
      </c>
      <c r="V99" s="285" t="s">
        <v>1</v>
      </c>
      <c r="W99" s="285" t="s">
        <v>1</v>
      </c>
      <c r="X99" s="286" t="s">
        <v>1</v>
      </c>
      <c r="Y99" s="285" t="s">
        <v>1</v>
      </c>
      <c r="Z99" s="285" t="s">
        <v>1</v>
      </c>
      <c r="AA99" s="285" t="s">
        <v>1</v>
      </c>
      <c r="AB99" s="285" t="s">
        <v>1</v>
      </c>
      <c r="AC99" s="286" t="s">
        <v>1</v>
      </c>
      <c r="AD99" s="285" t="s">
        <v>1</v>
      </c>
      <c r="AE99" s="285" t="s">
        <v>1</v>
      </c>
      <c r="AF99" s="285" t="s">
        <v>1</v>
      </c>
      <c r="AG99" s="285" t="s">
        <v>1</v>
      </c>
      <c r="AH99" s="286" t="s">
        <v>1</v>
      </c>
      <c r="AI99" s="295" t="s">
        <v>1</v>
      </c>
      <c r="AJ99" s="295" t="s">
        <v>1</v>
      </c>
      <c r="AK99" s="295" t="s">
        <v>1</v>
      </c>
      <c r="AL99" s="286">
        <v>208</v>
      </c>
      <c r="AM99" s="288" t="s">
        <v>1</v>
      </c>
      <c r="AN99" s="287" t="s">
        <v>1</v>
      </c>
      <c r="AO99" s="287" t="s">
        <v>1</v>
      </c>
      <c r="AP99" s="286" t="s">
        <v>1</v>
      </c>
      <c r="AQ99" s="285" t="s">
        <v>1</v>
      </c>
      <c r="AR99" s="289" t="s">
        <v>1</v>
      </c>
      <c r="AS99" s="289" t="s">
        <v>1</v>
      </c>
      <c r="AT99" s="290" t="s">
        <v>1</v>
      </c>
      <c r="AU99" s="287" t="s">
        <v>1</v>
      </c>
      <c r="AV99" s="287" t="s">
        <v>1</v>
      </c>
      <c r="AW99" s="291" t="s">
        <v>1</v>
      </c>
    </row>
    <row r="100" spans="1:49" ht="30.15" customHeight="1" x14ac:dyDescent="0.25">
      <c r="A100" s="188" t="s">
        <v>18</v>
      </c>
      <c r="B100" s="188" t="s">
        <v>1</v>
      </c>
      <c r="C100" s="188" t="s">
        <v>35</v>
      </c>
      <c r="D100" s="190" t="s">
        <v>3</v>
      </c>
      <c r="E100" s="190" t="s">
        <v>768</v>
      </c>
      <c r="F100" s="203"/>
      <c r="G100" s="190" t="s">
        <v>802</v>
      </c>
      <c r="H100" s="192" t="s">
        <v>414</v>
      </c>
      <c r="I100" s="194">
        <v>454</v>
      </c>
      <c r="J100" s="194">
        <v>494</v>
      </c>
      <c r="K100" s="193">
        <v>494</v>
      </c>
      <c r="L100" s="193">
        <v>520</v>
      </c>
      <c r="M100" s="194">
        <v>520</v>
      </c>
      <c r="N100" s="284" t="s">
        <v>1</v>
      </c>
      <c r="O100" s="285" t="s">
        <v>1</v>
      </c>
      <c r="P100" s="285" t="s">
        <v>1</v>
      </c>
      <c r="Q100" s="285" t="s">
        <v>1</v>
      </c>
      <c r="R100" s="285" t="s">
        <v>1</v>
      </c>
      <c r="S100" s="286" t="s">
        <v>1</v>
      </c>
      <c r="T100" s="285" t="s">
        <v>1</v>
      </c>
      <c r="U100" s="285" t="s">
        <v>1</v>
      </c>
      <c r="V100" s="285" t="s">
        <v>1</v>
      </c>
      <c r="W100" s="285" t="s">
        <v>1</v>
      </c>
      <c r="X100" s="286" t="s">
        <v>1</v>
      </c>
      <c r="Y100" s="285" t="s">
        <v>1</v>
      </c>
      <c r="Z100" s="285" t="s">
        <v>1</v>
      </c>
      <c r="AA100" s="285" t="s">
        <v>1</v>
      </c>
      <c r="AB100" s="285" t="s">
        <v>1</v>
      </c>
      <c r="AC100" s="286" t="s">
        <v>1</v>
      </c>
      <c r="AD100" s="285" t="s">
        <v>1</v>
      </c>
      <c r="AE100" s="285" t="s">
        <v>1</v>
      </c>
      <c r="AF100" s="285" t="s">
        <v>1</v>
      </c>
      <c r="AG100" s="285" t="s">
        <v>1</v>
      </c>
      <c r="AH100" s="286" t="s">
        <v>1</v>
      </c>
      <c r="AI100" s="295" t="s">
        <v>1</v>
      </c>
      <c r="AJ100" s="295" t="s">
        <v>1</v>
      </c>
      <c r="AK100" s="295" t="s">
        <v>1</v>
      </c>
      <c r="AL100" s="286">
        <v>208</v>
      </c>
      <c r="AM100" s="288" t="s">
        <v>1</v>
      </c>
      <c r="AN100" s="287" t="s">
        <v>1</v>
      </c>
      <c r="AO100" s="287" t="s">
        <v>1</v>
      </c>
      <c r="AP100" s="286" t="s">
        <v>1</v>
      </c>
      <c r="AQ100" s="285" t="s">
        <v>1</v>
      </c>
      <c r="AR100" s="289" t="s">
        <v>1</v>
      </c>
      <c r="AS100" s="289" t="s">
        <v>1</v>
      </c>
      <c r="AT100" s="290" t="s">
        <v>1</v>
      </c>
      <c r="AU100" s="287" t="s">
        <v>1</v>
      </c>
      <c r="AV100" s="287" t="s">
        <v>1</v>
      </c>
      <c r="AW100" s="291" t="s">
        <v>1</v>
      </c>
    </row>
    <row r="101" spans="1:49" ht="30.15" customHeight="1" x14ac:dyDescent="0.25">
      <c r="A101" s="188" t="s">
        <v>18</v>
      </c>
      <c r="B101" s="188" t="s">
        <v>1</v>
      </c>
      <c r="C101" s="188" t="s">
        <v>35</v>
      </c>
      <c r="D101" s="190" t="s">
        <v>3</v>
      </c>
      <c r="E101" s="190" t="s">
        <v>769</v>
      </c>
      <c r="F101" s="203"/>
      <c r="G101" s="190" t="s">
        <v>803</v>
      </c>
      <c r="H101" s="192" t="s">
        <v>414</v>
      </c>
      <c r="I101" s="194">
        <v>490</v>
      </c>
      <c r="J101" s="194">
        <v>532</v>
      </c>
      <c r="K101" s="193">
        <v>532</v>
      </c>
      <c r="L101" s="193">
        <v>560</v>
      </c>
      <c r="M101" s="194">
        <v>560</v>
      </c>
      <c r="N101" s="284" t="s">
        <v>1</v>
      </c>
      <c r="O101" s="285" t="s">
        <v>1</v>
      </c>
      <c r="P101" s="285" t="s">
        <v>1</v>
      </c>
      <c r="Q101" s="285" t="s">
        <v>1</v>
      </c>
      <c r="R101" s="285" t="s">
        <v>1</v>
      </c>
      <c r="S101" s="286" t="s">
        <v>1</v>
      </c>
      <c r="T101" s="285" t="s">
        <v>1</v>
      </c>
      <c r="U101" s="285" t="s">
        <v>1</v>
      </c>
      <c r="V101" s="285" t="s">
        <v>1</v>
      </c>
      <c r="W101" s="285" t="s">
        <v>1</v>
      </c>
      <c r="X101" s="286" t="s">
        <v>1</v>
      </c>
      <c r="Y101" s="285" t="s">
        <v>1</v>
      </c>
      <c r="Z101" s="285" t="s">
        <v>1</v>
      </c>
      <c r="AA101" s="285" t="s">
        <v>1</v>
      </c>
      <c r="AB101" s="285" t="s">
        <v>1</v>
      </c>
      <c r="AC101" s="286" t="s">
        <v>1</v>
      </c>
      <c r="AD101" s="285" t="s">
        <v>1</v>
      </c>
      <c r="AE101" s="285" t="s">
        <v>1</v>
      </c>
      <c r="AF101" s="285" t="s">
        <v>1</v>
      </c>
      <c r="AG101" s="285" t="s">
        <v>1</v>
      </c>
      <c r="AH101" s="286" t="s">
        <v>1</v>
      </c>
      <c r="AI101" s="295" t="s">
        <v>1</v>
      </c>
      <c r="AJ101" s="295" t="s">
        <v>1</v>
      </c>
      <c r="AK101" s="295" t="s">
        <v>1</v>
      </c>
      <c r="AL101" s="286">
        <v>224</v>
      </c>
      <c r="AM101" s="288" t="s">
        <v>1</v>
      </c>
      <c r="AN101" s="287" t="s">
        <v>1</v>
      </c>
      <c r="AO101" s="287" t="s">
        <v>1</v>
      </c>
      <c r="AP101" s="286" t="s">
        <v>1</v>
      </c>
      <c r="AQ101" s="285" t="s">
        <v>1</v>
      </c>
      <c r="AR101" s="289" t="s">
        <v>1</v>
      </c>
      <c r="AS101" s="289" t="s">
        <v>1</v>
      </c>
      <c r="AT101" s="290" t="s">
        <v>1</v>
      </c>
      <c r="AU101" s="287" t="s">
        <v>1</v>
      </c>
      <c r="AV101" s="287" t="s">
        <v>1</v>
      </c>
      <c r="AW101" s="291" t="s">
        <v>1</v>
      </c>
    </row>
    <row r="102" spans="1:49" ht="30.15" customHeight="1" x14ac:dyDescent="0.25">
      <c r="A102" s="188" t="s">
        <v>18</v>
      </c>
      <c r="B102" s="188" t="s">
        <v>1</v>
      </c>
      <c r="C102" s="188" t="s">
        <v>35</v>
      </c>
      <c r="D102" s="190" t="s">
        <v>3</v>
      </c>
      <c r="E102" s="190" t="s">
        <v>770</v>
      </c>
      <c r="F102" s="203"/>
      <c r="G102" s="190" t="s">
        <v>804</v>
      </c>
      <c r="H102" s="192" t="s">
        <v>414</v>
      </c>
      <c r="I102" s="194">
        <v>454</v>
      </c>
      <c r="J102" s="194">
        <v>494</v>
      </c>
      <c r="K102" s="193">
        <v>494</v>
      </c>
      <c r="L102" s="193">
        <v>520</v>
      </c>
      <c r="M102" s="194">
        <v>520</v>
      </c>
      <c r="N102" s="284" t="s">
        <v>1</v>
      </c>
      <c r="O102" s="285" t="s">
        <v>1</v>
      </c>
      <c r="P102" s="285" t="s">
        <v>1</v>
      </c>
      <c r="Q102" s="285" t="s">
        <v>1</v>
      </c>
      <c r="R102" s="285" t="s">
        <v>1</v>
      </c>
      <c r="S102" s="286" t="s">
        <v>1</v>
      </c>
      <c r="T102" s="285" t="s">
        <v>1</v>
      </c>
      <c r="U102" s="285" t="s">
        <v>1</v>
      </c>
      <c r="V102" s="285" t="s">
        <v>1</v>
      </c>
      <c r="W102" s="285" t="s">
        <v>1</v>
      </c>
      <c r="X102" s="286" t="s">
        <v>1</v>
      </c>
      <c r="Y102" s="285" t="s">
        <v>1</v>
      </c>
      <c r="Z102" s="285" t="s">
        <v>1</v>
      </c>
      <c r="AA102" s="285" t="s">
        <v>1</v>
      </c>
      <c r="AB102" s="285" t="s">
        <v>1</v>
      </c>
      <c r="AC102" s="286" t="s">
        <v>1</v>
      </c>
      <c r="AD102" s="285" t="s">
        <v>1</v>
      </c>
      <c r="AE102" s="285" t="s">
        <v>1</v>
      </c>
      <c r="AF102" s="285" t="s">
        <v>1</v>
      </c>
      <c r="AG102" s="285" t="s">
        <v>1</v>
      </c>
      <c r="AH102" s="286" t="s">
        <v>1</v>
      </c>
      <c r="AI102" s="295" t="s">
        <v>1</v>
      </c>
      <c r="AJ102" s="295" t="s">
        <v>1</v>
      </c>
      <c r="AK102" s="295" t="s">
        <v>1</v>
      </c>
      <c r="AL102" s="286">
        <v>208</v>
      </c>
      <c r="AM102" s="288" t="s">
        <v>1</v>
      </c>
      <c r="AN102" s="287" t="s">
        <v>1</v>
      </c>
      <c r="AO102" s="287" t="s">
        <v>1</v>
      </c>
      <c r="AP102" s="286" t="s">
        <v>1</v>
      </c>
      <c r="AQ102" s="285" t="s">
        <v>1</v>
      </c>
      <c r="AR102" s="289" t="s">
        <v>1</v>
      </c>
      <c r="AS102" s="289" t="s">
        <v>1</v>
      </c>
      <c r="AT102" s="290" t="s">
        <v>1</v>
      </c>
      <c r="AU102" s="287" t="s">
        <v>1</v>
      </c>
      <c r="AV102" s="287" t="s">
        <v>1</v>
      </c>
      <c r="AW102" s="291" t="s">
        <v>1</v>
      </c>
    </row>
    <row r="103" spans="1:49" ht="30.15" customHeight="1" x14ac:dyDescent="0.25">
      <c r="A103" s="188" t="s">
        <v>18</v>
      </c>
      <c r="B103" s="188" t="s">
        <v>1</v>
      </c>
      <c r="C103" s="188" t="s">
        <v>35</v>
      </c>
      <c r="D103" s="190" t="s">
        <v>3</v>
      </c>
      <c r="E103" s="190" t="s">
        <v>771</v>
      </c>
      <c r="F103" s="203"/>
      <c r="G103" s="190" t="s">
        <v>805</v>
      </c>
      <c r="H103" s="192" t="s">
        <v>414</v>
      </c>
      <c r="I103" s="194">
        <v>490</v>
      </c>
      <c r="J103" s="194">
        <v>532</v>
      </c>
      <c r="K103" s="193">
        <v>532</v>
      </c>
      <c r="L103" s="193">
        <v>560</v>
      </c>
      <c r="M103" s="194">
        <v>560</v>
      </c>
      <c r="N103" s="284" t="s">
        <v>1</v>
      </c>
      <c r="O103" s="285" t="s">
        <v>1</v>
      </c>
      <c r="P103" s="285" t="s">
        <v>1</v>
      </c>
      <c r="Q103" s="285" t="s">
        <v>1</v>
      </c>
      <c r="R103" s="285" t="s">
        <v>1</v>
      </c>
      <c r="S103" s="286" t="s">
        <v>1</v>
      </c>
      <c r="T103" s="285" t="s">
        <v>1</v>
      </c>
      <c r="U103" s="285" t="s">
        <v>1</v>
      </c>
      <c r="V103" s="285" t="s">
        <v>1</v>
      </c>
      <c r="W103" s="285" t="s">
        <v>1</v>
      </c>
      <c r="X103" s="286" t="s">
        <v>1</v>
      </c>
      <c r="Y103" s="285" t="s">
        <v>1</v>
      </c>
      <c r="Z103" s="285" t="s">
        <v>1</v>
      </c>
      <c r="AA103" s="285" t="s">
        <v>1</v>
      </c>
      <c r="AB103" s="285" t="s">
        <v>1</v>
      </c>
      <c r="AC103" s="286" t="s">
        <v>1</v>
      </c>
      <c r="AD103" s="285" t="s">
        <v>1</v>
      </c>
      <c r="AE103" s="285" t="s">
        <v>1</v>
      </c>
      <c r="AF103" s="285" t="s">
        <v>1</v>
      </c>
      <c r="AG103" s="285" t="s">
        <v>1</v>
      </c>
      <c r="AH103" s="286" t="s">
        <v>1</v>
      </c>
      <c r="AI103" s="295" t="s">
        <v>1</v>
      </c>
      <c r="AJ103" s="295" t="s">
        <v>1</v>
      </c>
      <c r="AK103" s="295" t="s">
        <v>1</v>
      </c>
      <c r="AL103" s="286">
        <v>224</v>
      </c>
      <c r="AM103" s="288" t="s">
        <v>1</v>
      </c>
      <c r="AN103" s="287" t="s">
        <v>1</v>
      </c>
      <c r="AO103" s="287" t="s">
        <v>1</v>
      </c>
      <c r="AP103" s="286" t="s">
        <v>1</v>
      </c>
      <c r="AQ103" s="285" t="s">
        <v>1</v>
      </c>
      <c r="AR103" s="289" t="s">
        <v>1</v>
      </c>
      <c r="AS103" s="289" t="s">
        <v>1</v>
      </c>
      <c r="AT103" s="290" t="s">
        <v>1</v>
      </c>
      <c r="AU103" s="287" t="s">
        <v>1</v>
      </c>
      <c r="AV103" s="287" t="s">
        <v>1</v>
      </c>
      <c r="AW103" s="291" t="s">
        <v>1</v>
      </c>
    </row>
    <row r="104" spans="1:49" ht="30.15" customHeight="1" x14ac:dyDescent="0.25">
      <c r="A104" s="188" t="s">
        <v>18</v>
      </c>
      <c r="B104" s="188" t="s">
        <v>1</v>
      </c>
      <c r="C104" s="188" t="s">
        <v>35</v>
      </c>
      <c r="D104" s="190" t="s">
        <v>3</v>
      </c>
      <c r="E104" s="190" t="s">
        <v>772</v>
      </c>
      <c r="F104" s="203"/>
      <c r="G104" s="190" t="s">
        <v>806</v>
      </c>
      <c r="H104" s="192" t="s">
        <v>414</v>
      </c>
      <c r="I104" s="194">
        <v>490</v>
      </c>
      <c r="J104" s="194">
        <v>532</v>
      </c>
      <c r="K104" s="193">
        <v>532</v>
      </c>
      <c r="L104" s="193">
        <v>560</v>
      </c>
      <c r="M104" s="194">
        <v>560</v>
      </c>
      <c r="N104" s="284" t="s">
        <v>1</v>
      </c>
      <c r="O104" s="285" t="s">
        <v>1</v>
      </c>
      <c r="P104" s="285" t="s">
        <v>1</v>
      </c>
      <c r="Q104" s="285" t="s">
        <v>1</v>
      </c>
      <c r="R104" s="285" t="s">
        <v>1</v>
      </c>
      <c r="S104" s="286" t="s">
        <v>1</v>
      </c>
      <c r="T104" s="285" t="s">
        <v>1</v>
      </c>
      <c r="U104" s="285" t="s">
        <v>1</v>
      </c>
      <c r="V104" s="285" t="s">
        <v>1</v>
      </c>
      <c r="W104" s="285" t="s">
        <v>1</v>
      </c>
      <c r="X104" s="286" t="s">
        <v>1</v>
      </c>
      <c r="Y104" s="285" t="s">
        <v>1</v>
      </c>
      <c r="Z104" s="285" t="s">
        <v>1</v>
      </c>
      <c r="AA104" s="285" t="s">
        <v>1</v>
      </c>
      <c r="AB104" s="285" t="s">
        <v>1</v>
      </c>
      <c r="AC104" s="286" t="s">
        <v>1</v>
      </c>
      <c r="AD104" s="285" t="s">
        <v>1</v>
      </c>
      <c r="AE104" s="285" t="s">
        <v>1</v>
      </c>
      <c r="AF104" s="285" t="s">
        <v>1</v>
      </c>
      <c r="AG104" s="285" t="s">
        <v>1</v>
      </c>
      <c r="AH104" s="286" t="s">
        <v>1</v>
      </c>
      <c r="AI104" s="295" t="s">
        <v>1</v>
      </c>
      <c r="AJ104" s="295" t="s">
        <v>1</v>
      </c>
      <c r="AK104" s="295" t="s">
        <v>1</v>
      </c>
      <c r="AL104" s="286">
        <v>224</v>
      </c>
      <c r="AM104" s="288" t="s">
        <v>1</v>
      </c>
      <c r="AN104" s="287" t="s">
        <v>1</v>
      </c>
      <c r="AO104" s="287" t="s">
        <v>1</v>
      </c>
      <c r="AP104" s="286" t="s">
        <v>1</v>
      </c>
      <c r="AQ104" s="285" t="s">
        <v>1</v>
      </c>
      <c r="AR104" s="289" t="s">
        <v>1</v>
      </c>
      <c r="AS104" s="289" t="s">
        <v>1</v>
      </c>
      <c r="AT104" s="290" t="s">
        <v>1</v>
      </c>
      <c r="AU104" s="287" t="s">
        <v>1</v>
      </c>
      <c r="AV104" s="287" t="s">
        <v>1</v>
      </c>
      <c r="AW104" s="291" t="s">
        <v>1</v>
      </c>
    </row>
    <row r="105" spans="1:49" ht="30.15" customHeight="1" x14ac:dyDescent="0.25">
      <c r="A105" s="188" t="s">
        <v>18</v>
      </c>
      <c r="B105" s="188" t="s">
        <v>1</v>
      </c>
      <c r="C105" s="188" t="s">
        <v>35</v>
      </c>
      <c r="D105" s="190" t="s">
        <v>3</v>
      </c>
      <c r="E105" s="190" t="s">
        <v>773</v>
      </c>
      <c r="F105" s="203"/>
      <c r="G105" s="190" t="s">
        <v>807</v>
      </c>
      <c r="H105" s="192" t="s">
        <v>414</v>
      </c>
      <c r="I105" s="194">
        <v>490</v>
      </c>
      <c r="J105" s="194">
        <v>532</v>
      </c>
      <c r="K105" s="193">
        <v>532</v>
      </c>
      <c r="L105" s="193">
        <v>560</v>
      </c>
      <c r="M105" s="194">
        <v>560</v>
      </c>
      <c r="N105" s="284" t="s">
        <v>1</v>
      </c>
      <c r="O105" s="285" t="s">
        <v>1</v>
      </c>
      <c r="P105" s="285" t="s">
        <v>1</v>
      </c>
      <c r="Q105" s="285" t="s">
        <v>1</v>
      </c>
      <c r="R105" s="285" t="s">
        <v>1</v>
      </c>
      <c r="S105" s="286" t="s">
        <v>1</v>
      </c>
      <c r="T105" s="285" t="s">
        <v>1</v>
      </c>
      <c r="U105" s="285" t="s">
        <v>1</v>
      </c>
      <c r="V105" s="285" t="s">
        <v>1</v>
      </c>
      <c r="W105" s="285" t="s">
        <v>1</v>
      </c>
      <c r="X105" s="286" t="s">
        <v>1</v>
      </c>
      <c r="Y105" s="285" t="s">
        <v>1</v>
      </c>
      <c r="Z105" s="285" t="s">
        <v>1</v>
      </c>
      <c r="AA105" s="285" t="s">
        <v>1</v>
      </c>
      <c r="AB105" s="285" t="s">
        <v>1</v>
      </c>
      <c r="AC105" s="286" t="s">
        <v>1</v>
      </c>
      <c r="AD105" s="285" t="s">
        <v>1</v>
      </c>
      <c r="AE105" s="285" t="s">
        <v>1</v>
      </c>
      <c r="AF105" s="285" t="s">
        <v>1</v>
      </c>
      <c r="AG105" s="285" t="s">
        <v>1</v>
      </c>
      <c r="AH105" s="286" t="s">
        <v>1</v>
      </c>
      <c r="AI105" s="295" t="s">
        <v>1</v>
      </c>
      <c r="AJ105" s="295" t="s">
        <v>1</v>
      </c>
      <c r="AK105" s="295" t="s">
        <v>1</v>
      </c>
      <c r="AL105" s="286">
        <v>224</v>
      </c>
      <c r="AM105" s="288" t="s">
        <v>1</v>
      </c>
      <c r="AN105" s="287" t="s">
        <v>1</v>
      </c>
      <c r="AO105" s="287" t="s">
        <v>1</v>
      </c>
      <c r="AP105" s="286" t="s">
        <v>1</v>
      </c>
      <c r="AQ105" s="285" t="s">
        <v>1</v>
      </c>
      <c r="AR105" s="289" t="s">
        <v>1</v>
      </c>
      <c r="AS105" s="289" t="s">
        <v>1</v>
      </c>
      <c r="AT105" s="290" t="s">
        <v>1</v>
      </c>
      <c r="AU105" s="287" t="s">
        <v>1</v>
      </c>
      <c r="AV105" s="287" t="s">
        <v>1</v>
      </c>
      <c r="AW105" s="291" t="s">
        <v>1</v>
      </c>
    </row>
    <row r="106" spans="1:49" ht="30.15" customHeight="1" x14ac:dyDescent="0.25">
      <c r="A106" s="188" t="s">
        <v>18</v>
      </c>
      <c r="B106" s="188" t="s">
        <v>1</v>
      </c>
      <c r="C106" s="188" t="s">
        <v>35</v>
      </c>
      <c r="D106" s="190" t="s">
        <v>3</v>
      </c>
      <c r="E106" s="190" t="s">
        <v>774</v>
      </c>
      <c r="F106" s="203"/>
      <c r="G106" s="190" t="s">
        <v>808</v>
      </c>
      <c r="H106" s="192" t="s">
        <v>414</v>
      </c>
      <c r="I106" s="194">
        <v>472</v>
      </c>
      <c r="J106" s="194">
        <v>513</v>
      </c>
      <c r="K106" s="193">
        <v>513</v>
      </c>
      <c r="L106" s="193">
        <v>540</v>
      </c>
      <c r="M106" s="194">
        <v>540</v>
      </c>
      <c r="N106" s="284" t="s">
        <v>1</v>
      </c>
      <c r="O106" s="285" t="s">
        <v>1</v>
      </c>
      <c r="P106" s="285" t="s">
        <v>1</v>
      </c>
      <c r="Q106" s="285" t="s">
        <v>1</v>
      </c>
      <c r="R106" s="285" t="s">
        <v>1</v>
      </c>
      <c r="S106" s="286" t="s">
        <v>1</v>
      </c>
      <c r="T106" s="285" t="s">
        <v>1</v>
      </c>
      <c r="U106" s="285" t="s">
        <v>1</v>
      </c>
      <c r="V106" s="285" t="s">
        <v>1</v>
      </c>
      <c r="W106" s="285" t="s">
        <v>1</v>
      </c>
      <c r="X106" s="286" t="s">
        <v>1</v>
      </c>
      <c r="Y106" s="285" t="s">
        <v>1</v>
      </c>
      <c r="Z106" s="285" t="s">
        <v>1</v>
      </c>
      <c r="AA106" s="285" t="s">
        <v>1</v>
      </c>
      <c r="AB106" s="285" t="s">
        <v>1</v>
      </c>
      <c r="AC106" s="286" t="s">
        <v>1</v>
      </c>
      <c r="AD106" s="285" t="s">
        <v>1</v>
      </c>
      <c r="AE106" s="285" t="s">
        <v>1</v>
      </c>
      <c r="AF106" s="285" t="s">
        <v>1</v>
      </c>
      <c r="AG106" s="285" t="s">
        <v>1</v>
      </c>
      <c r="AH106" s="286" t="s">
        <v>1</v>
      </c>
      <c r="AI106" s="295" t="s">
        <v>1</v>
      </c>
      <c r="AJ106" s="295" t="s">
        <v>1</v>
      </c>
      <c r="AK106" s="295" t="s">
        <v>1</v>
      </c>
      <c r="AL106" s="286">
        <v>216</v>
      </c>
      <c r="AM106" s="288" t="s">
        <v>1</v>
      </c>
      <c r="AN106" s="287" t="s">
        <v>1</v>
      </c>
      <c r="AO106" s="287" t="s">
        <v>1</v>
      </c>
      <c r="AP106" s="286" t="s">
        <v>1</v>
      </c>
      <c r="AQ106" s="285" t="s">
        <v>1</v>
      </c>
      <c r="AR106" s="289" t="s">
        <v>1</v>
      </c>
      <c r="AS106" s="289" t="s">
        <v>1</v>
      </c>
      <c r="AT106" s="290" t="s">
        <v>1</v>
      </c>
      <c r="AU106" s="287" t="s">
        <v>1</v>
      </c>
      <c r="AV106" s="287" t="s">
        <v>1</v>
      </c>
      <c r="AW106" s="291" t="s">
        <v>1</v>
      </c>
    </row>
    <row r="107" spans="1:49" ht="30.15" customHeight="1" x14ac:dyDescent="0.25">
      <c r="A107" s="188" t="s">
        <v>18</v>
      </c>
      <c r="B107" s="188" t="s">
        <v>1</v>
      </c>
      <c r="C107" s="188" t="s">
        <v>35</v>
      </c>
      <c r="D107" s="190" t="s">
        <v>3</v>
      </c>
      <c r="E107" s="190" t="s">
        <v>775</v>
      </c>
      <c r="F107" s="203"/>
      <c r="G107" s="190" t="s">
        <v>809</v>
      </c>
      <c r="H107" s="192" t="s">
        <v>414</v>
      </c>
      <c r="I107" s="194">
        <v>454</v>
      </c>
      <c r="J107" s="194">
        <v>494</v>
      </c>
      <c r="K107" s="193">
        <v>494</v>
      </c>
      <c r="L107" s="193">
        <v>520</v>
      </c>
      <c r="M107" s="194">
        <v>520</v>
      </c>
      <c r="N107" s="284" t="s">
        <v>1</v>
      </c>
      <c r="O107" s="285" t="s">
        <v>1</v>
      </c>
      <c r="P107" s="285" t="s">
        <v>1</v>
      </c>
      <c r="Q107" s="285" t="s">
        <v>1</v>
      </c>
      <c r="R107" s="285" t="s">
        <v>1</v>
      </c>
      <c r="S107" s="286" t="s">
        <v>1</v>
      </c>
      <c r="T107" s="285" t="s">
        <v>1</v>
      </c>
      <c r="U107" s="285" t="s">
        <v>1</v>
      </c>
      <c r="V107" s="285" t="s">
        <v>1</v>
      </c>
      <c r="W107" s="285" t="s">
        <v>1</v>
      </c>
      <c r="X107" s="286" t="s">
        <v>1</v>
      </c>
      <c r="Y107" s="285" t="s">
        <v>1</v>
      </c>
      <c r="Z107" s="285" t="s">
        <v>1</v>
      </c>
      <c r="AA107" s="285" t="s">
        <v>1</v>
      </c>
      <c r="AB107" s="285" t="s">
        <v>1</v>
      </c>
      <c r="AC107" s="286" t="s">
        <v>1</v>
      </c>
      <c r="AD107" s="285" t="s">
        <v>1</v>
      </c>
      <c r="AE107" s="285" t="s">
        <v>1</v>
      </c>
      <c r="AF107" s="285" t="s">
        <v>1</v>
      </c>
      <c r="AG107" s="285" t="s">
        <v>1</v>
      </c>
      <c r="AH107" s="286" t="s">
        <v>1</v>
      </c>
      <c r="AI107" s="295" t="s">
        <v>1</v>
      </c>
      <c r="AJ107" s="295" t="s">
        <v>1</v>
      </c>
      <c r="AK107" s="295" t="s">
        <v>1</v>
      </c>
      <c r="AL107" s="286">
        <v>208</v>
      </c>
      <c r="AM107" s="288" t="s">
        <v>1</v>
      </c>
      <c r="AN107" s="287" t="s">
        <v>1</v>
      </c>
      <c r="AO107" s="287" t="s">
        <v>1</v>
      </c>
      <c r="AP107" s="286" t="s">
        <v>1</v>
      </c>
      <c r="AQ107" s="285" t="s">
        <v>1</v>
      </c>
      <c r="AR107" s="289" t="s">
        <v>1</v>
      </c>
      <c r="AS107" s="289" t="s">
        <v>1</v>
      </c>
      <c r="AT107" s="290" t="s">
        <v>1</v>
      </c>
      <c r="AU107" s="287" t="s">
        <v>1</v>
      </c>
      <c r="AV107" s="287" t="s">
        <v>1</v>
      </c>
      <c r="AW107" s="291" t="s">
        <v>1</v>
      </c>
    </row>
    <row r="108" spans="1:49" ht="30.15" customHeight="1" x14ac:dyDescent="0.25">
      <c r="A108" s="188" t="s">
        <v>18</v>
      </c>
      <c r="B108" s="188" t="s">
        <v>1</v>
      </c>
      <c r="C108" s="188" t="s">
        <v>35</v>
      </c>
      <c r="D108" s="190" t="s">
        <v>3</v>
      </c>
      <c r="E108" s="190" t="s">
        <v>776</v>
      </c>
      <c r="F108" s="203"/>
      <c r="G108" s="190" t="s">
        <v>810</v>
      </c>
      <c r="H108" s="192" t="s">
        <v>414</v>
      </c>
      <c r="I108" s="194">
        <v>454</v>
      </c>
      <c r="J108" s="194">
        <v>494</v>
      </c>
      <c r="K108" s="193">
        <v>494</v>
      </c>
      <c r="L108" s="193">
        <v>520</v>
      </c>
      <c r="M108" s="194">
        <v>520</v>
      </c>
      <c r="N108" s="284" t="s">
        <v>1</v>
      </c>
      <c r="O108" s="285" t="s">
        <v>1</v>
      </c>
      <c r="P108" s="285" t="s">
        <v>1</v>
      </c>
      <c r="Q108" s="285" t="s">
        <v>1</v>
      </c>
      <c r="R108" s="285" t="s">
        <v>1</v>
      </c>
      <c r="S108" s="286" t="s">
        <v>1</v>
      </c>
      <c r="T108" s="285" t="s">
        <v>1</v>
      </c>
      <c r="U108" s="285" t="s">
        <v>1</v>
      </c>
      <c r="V108" s="285" t="s">
        <v>1</v>
      </c>
      <c r="W108" s="285" t="s">
        <v>1</v>
      </c>
      <c r="X108" s="286" t="s">
        <v>1</v>
      </c>
      <c r="Y108" s="285" t="s">
        <v>1</v>
      </c>
      <c r="Z108" s="285" t="s">
        <v>1</v>
      </c>
      <c r="AA108" s="285" t="s">
        <v>1</v>
      </c>
      <c r="AB108" s="285" t="s">
        <v>1</v>
      </c>
      <c r="AC108" s="286" t="s">
        <v>1</v>
      </c>
      <c r="AD108" s="285" t="s">
        <v>1</v>
      </c>
      <c r="AE108" s="285" t="s">
        <v>1</v>
      </c>
      <c r="AF108" s="285" t="s">
        <v>1</v>
      </c>
      <c r="AG108" s="285" t="s">
        <v>1</v>
      </c>
      <c r="AH108" s="286" t="s">
        <v>1</v>
      </c>
      <c r="AI108" s="295" t="s">
        <v>1</v>
      </c>
      <c r="AJ108" s="295" t="s">
        <v>1</v>
      </c>
      <c r="AK108" s="295" t="s">
        <v>1</v>
      </c>
      <c r="AL108" s="286">
        <v>208</v>
      </c>
      <c r="AM108" s="288" t="s">
        <v>1</v>
      </c>
      <c r="AN108" s="287" t="s">
        <v>1</v>
      </c>
      <c r="AO108" s="287" t="s">
        <v>1</v>
      </c>
      <c r="AP108" s="286" t="s">
        <v>1</v>
      </c>
      <c r="AQ108" s="285" t="s">
        <v>1</v>
      </c>
      <c r="AR108" s="289" t="s">
        <v>1</v>
      </c>
      <c r="AS108" s="289" t="s">
        <v>1</v>
      </c>
      <c r="AT108" s="290" t="s">
        <v>1</v>
      </c>
      <c r="AU108" s="287" t="s">
        <v>1</v>
      </c>
      <c r="AV108" s="287" t="s">
        <v>1</v>
      </c>
      <c r="AW108" s="291" t="s">
        <v>1</v>
      </c>
    </row>
    <row r="109" spans="1:49" ht="30.15" customHeight="1" x14ac:dyDescent="0.25">
      <c r="A109" s="188" t="s">
        <v>18</v>
      </c>
      <c r="B109" s="189" t="s">
        <v>1</v>
      </c>
      <c r="C109" s="188" t="s">
        <v>35</v>
      </c>
      <c r="D109" s="190" t="s">
        <v>3</v>
      </c>
      <c r="E109" s="190" t="s">
        <v>386</v>
      </c>
      <c r="F109" s="203"/>
      <c r="G109" s="190" t="s">
        <v>407</v>
      </c>
      <c r="H109" s="192" t="s">
        <v>409</v>
      </c>
      <c r="I109" s="193">
        <v>518</v>
      </c>
      <c r="J109" s="193">
        <v>531</v>
      </c>
      <c r="K109" s="193">
        <v>531</v>
      </c>
      <c r="L109" s="193">
        <v>559</v>
      </c>
      <c r="M109" s="194">
        <v>559</v>
      </c>
      <c r="N109" s="284" t="s">
        <v>1</v>
      </c>
      <c r="O109" s="285" t="s">
        <v>1</v>
      </c>
      <c r="P109" s="285" t="s">
        <v>1</v>
      </c>
      <c r="Q109" s="285" t="s">
        <v>1</v>
      </c>
      <c r="R109" s="285" t="s">
        <v>1</v>
      </c>
      <c r="S109" s="286" t="s">
        <v>1</v>
      </c>
      <c r="T109" s="285" t="s">
        <v>1</v>
      </c>
      <c r="U109" s="285" t="s">
        <v>1</v>
      </c>
      <c r="V109" s="285" t="s">
        <v>1</v>
      </c>
      <c r="W109" s="285" t="s">
        <v>1</v>
      </c>
      <c r="X109" s="286" t="s">
        <v>1</v>
      </c>
      <c r="Y109" s="285" t="s">
        <v>1</v>
      </c>
      <c r="Z109" s="285" t="s">
        <v>1</v>
      </c>
      <c r="AA109" s="285" t="s">
        <v>1</v>
      </c>
      <c r="AB109" s="285" t="s">
        <v>1</v>
      </c>
      <c r="AC109" s="286" t="s">
        <v>1</v>
      </c>
      <c r="AD109" s="285" t="s">
        <v>1</v>
      </c>
      <c r="AE109" s="285" t="s">
        <v>1</v>
      </c>
      <c r="AF109" s="285" t="s">
        <v>1</v>
      </c>
      <c r="AG109" s="285" t="s">
        <v>1</v>
      </c>
      <c r="AH109" s="286" t="s">
        <v>1</v>
      </c>
      <c r="AI109" s="295" t="s">
        <v>1</v>
      </c>
      <c r="AJ109" s="295" t="s">
        <v>1</v>
      </c>
      <c r="AK109" s="295" t="s">
        <v>1</v>
      </c>
      <c r="AL109" s="286">
        <v>223.6</v>
      </c>
      <c r="AM109" s="288" t="s">
        <v>1</v>
      </c>
      <c r="AN109" s="287" t="s">
        <v>1</v>
      </c>
      <c r="AO109" s="287" t="s">
        <v>1</v>
      </c>
      <c r="AP109" s="286" t="s">
        <v>1</v>
      </c>
      <c r="AQ109" s="285" t="s">
        <v>1</v>
      </c>
      <c r="AR109" s="289" t="s">
        <v>1</v>
      </c>
      <c r="AS109" s="289" t="s">
        <v>1</v>
      </c>
      <c r="AT109" s="290" t="s">
        <v>1</v>
      </c>
      <c r="AU109" s="287" t="s">
        <v>1</v>
      </c>
      <c r="AV109" s="287" t="s">
        <v>1</v>
      </c>
      <c r="AW109" s="291" t="s">
        <v>1</v>
      </c>
    </row>
    <row r="110" spans="1:49" ht="30.15" customHeight="1" x14ac:dyDescent="0.25">
      <c r="A110" s="188" t="s">
        <v>18</v>
      </c>
      <c r="B110" s="189" t="s">
        <v>1</v>
      </c>
      <c r="C110" s="188" t="s">
        <v>35</v>
      </c>
      <c r="D110" s="190" t="s">
        <v>3</v>
      </c>
      <c r="E110" s="190" t="s">
        <v>387</v>
      </c>
      <c r="F110" s="203"/>
      <c r="G110" s="190" t="s">
        <v>408</v>
      </c>
      <c r="H110" s="192" t="s">
        <v>409</v>
      </c>
      <c r="I110" s="193">
        <v>629</v>
      </c>
      <c r="J110" s="193">
        <v>645</v>
      </c>
      <c r="K110" s="193">
        <v>645</v>
      </c>
      <c r="L110" s="193">
        <v>679</v>
      </c>
      <c r="M110" s="194">
        <v>679</v>
      </c>
      <c r="N110" s="284" t="s">
        <v>1</v>
      </c>
      <c r="O110" s="285" t="s">
        <v>1</v>
      </c>
      <c r="P110" s="285" t="s">
        <v>1</v>
      </c>
      <c r="Q110" s="285" t="s">
        <v>1</v>
      </c>
      <c r="R110" s="285" t="s">
        <v>1</v>
      </c>
      <c r="S110" s="286" t="s">
        <v>1</v>
      </c>
      <c r="T110" s="285" t="s">
        <v>1</v>
      </c>
      <c r="U110" s="285" t="s">
        <v>1</v>
      </c>
      <c r="V110" s="285" t="s">
        <v>1</v>
      </c>
      <c r="W110" s="285" t="s">
        <v>1</v>
      </c>
      <c r="X110" s="286" t="s">
        <v>1</v>
      </c>
      <c r="Y110" s="285" t="s">
        <v>1</v>
      </c>
      <c r="Z110" s="285" t="s">
        <v>1</v>
      </c>
      <c r="AA110" s="285" t="s">
        <v>1</v>
      </c>
      <c r="AB110" s="285" t="s">
        <v>1</v>
      </c>
      <c r="AC110" s="286" t="s">
        <v>1</v>
      </c>
      <c r="AD110" s="285" t="s">
        <v>1</v>
      </c>
      <c r="AE110" s="285" t="s">
        <v>1</v>
      </c>
      <c r="AF110" s="285" t="s">
        <v>1</v>
      </c>
      <c r="AG110" s="285" t="s">
        <v>1</v>
      </c>
      <c r="AH110" s="286" t="s">
        <v>1</v>
      </c>
      <c r="AI110" s="295" t="s">
        <v>1</v>
      </c>
      <c r="AJ110" s="295" t="s">
        <v>1</v>
      </c>
      <c r="AK110" s="295" t="s">
        <v>1</v>
      </c>
      <c r="AL110" s="286">
        <v>271.60000000000002</v>
      </c>
      <c r="AM110" s="288" t="s">
        <v>1</v>
      </c>
      <c r="AN110" s="287" t="s">
        <v>1</v>
      </c>
      <c r="AO110" s="287" t="s">
        <v>1</v>
      </c>
      <c r="AP110" s="286" t="s">
        <v>1</v>
      </c>
      <c r="AQ110" s="285" t="s">
        <v>1</v>
      </c>
      <c r="AR110" s="289" t="s">
        <v>1</v>
      </c>
      <c r="AS110" s="289" t="s">
        <v>1</v>
      </c>
      <c r="AT110" s="290" t="s">
        <v>1</v>
      </c>
      <c r="AU110" s="287" t="s">
        <v>1</v>
      </c>
      <c r="AV110" s="287" t="s">
        <v>1</v>
      </c>
      <c r="AW110" s="291" t="s">
        <v>1</v>
      </c>
    </row>
    <row r="111" spans="1:49" ht="30.15" customHeight="1" x14ac:dyDescent="0.25">
      <c r="A111" s="188" t="s">
        <v>18</v>
      </c>
      <c r="B111" s="189" t="s">
        <v>1</v>
      </c>
      <c r="C111" s="188" t="s">
        <v>35</v>
      </c>
      <c r="D111" s="190" t="s">
        <v>3</v>
      </c>
      <c r="E111" s="190" t="s">
        <v>709</v>
      </c>
      <c r="F111" s="203"/>
      <c r="G111" s="190" t="s">
        <v>707</v>
      </c>
      <c r="H111" s="192" t="s">
        <v>409</v>
      </c>
      <c r="I111" s="193">
        <v>555</v>
      </c>
      <c r="J111" s="193">
        <v>569</v>
      </c>
      <c r="K111" s="193">
        <v>569</v>
      </c>
      <c r="L111" s="193">
        <v>599</v>
      </c>
      <c r="M111" s="194">
        <v>599</v>
      </c>
      <c r="N111" s="284" t="s">
        <v>1</v>
      </c>
      <c r="O111" s="285" t="s">
        <v>1</v>
      </c>
      <c r="P111" s="285" t="s">
        <v>1</v>
      </c>
      <c r="Q111" s="285" t="s">
        <v>1</v>
      </c>
      <c r="R111" s="285" t="s">
        <v>1</v>
      </c>
      <c r="S111" s="286" t="s">
        <v>1</v>
      </c>
      <c r="T111" s="285" t="s">
        <v>1</v>
      </c>
      <c r="U111" s="285" t="s">
        <v>1</v>
      </c>
      <c r="V111" s="285" t="s">
        <v>1</v>
      </c>
      <c r="W111" s="285" t="s">
        <v>1</v>
      </c>
      <c r="X111" s="286" t="s">
        <v>1</v>
      </c>
      <c r="Y111" s="285" t="s">
        <v>1</v>
      </c>
      <c r="Z111" s="285" t="s">
        <v>1</v>
      </c>
      <c r="AA111" s="285" t="s">
        <v>1</v>
      </c>
      <c r="AB111" s="285" t="s">
        <v>1</v>
      </c>
      <c r="AC111" s="286" t="s">
        <v>1</v>
      </c>
      <c r="AD111" s="285" t="s">
        <v>1</v>
      </c>
      <c r="AE111" s="285" t="s">
        <v>1</v>
      </c>
      <c r="AF111" s="285" t="s">
        <v>1</v>
      </c>
      <c r="AG111" s="285" t="s">
        <v>1</v>
      </c>
      <c r="AH111" s="286" t="s">
        <v>1</v>
      </c>
      <c r="AI111" s="295" t="s">
        <v>1</v>
      </c>
      <c r="AJ111" s="295" t="s">
        <v>1</v>
      </c>
      <c r="AK111" s="295" t="s">
        <v>1</v>
      </c>
      <c r="AL111" s="286">
        <v>239.6</v>
      </c>
      <c r="AM111" s="288" t="s">
        <v>1</v>
      </c>
      <c r="AN111" s="288" t="s">
        <v>1</v>
      </c>
      <c r="AO111" s="288" t="s">
        <v>1</v>
      </c>
      <c r="AP111" s="286" t="s">
        <v>1</v>
      </c>
      <c r="AQ111" s="285" t="s">
        <v>1</v>
      </c>
      <c r="AR111" s="289" t="s">
        <v>1</v>
      </c>
      <c r="AS111" s="289" t="s">
        <v>1</v>
      </c>
      <c r="AT111" s="290" t="s">
        <v>1</v>
      </c>
      <c r="AU111" s="287" t="s">
        <v>1</v>
      </c>
      <c r="AV111" s="287" t="s">
        <v>1</v>
      </c>
      <c r="AW111" s="291" t="s">
        <v>1</v>
      </c>
    </row>
    <row r="112" spans="1:49" ht="30.15" customHeight="1" x14ac:dyDescent="0.25">
      <c r="A112" s="188" t="s">
        <v>18</v>
      </c>
      <c r="B112" s="189" t="s">
        <v>1</v>
      </c>
      <c r="C112" s="188" t="s">
        <v>35</v>
      </c>
      <c r="D112" s="190" t="s">
        <v>3</v>
      </c>
      <c r="E112" s="190" t="s">
        <v>710</v>
      </c>
      <c r="F112" s="203"/>
      <c r="G112" s="190" t="s">
        <v>708</v>
      </c>
      <c r="H112" s="192" t="s">
        <v>409</v>
      </c>
      <c r="I112" s="193">
        <v>666</v>
      </c>
      <c r="J112" s="193">
        <v>683</v>
      </c>
      <c r="K112" s="193">
        <v>683</v>
      </c>
      <c r="L112" s="193">
        <v>719</v>
      </c>
      <c r="M112" s="194">
        <v>719</v>
      </c>
      <c r="N112" s="284" t="s">
        <v>1</v>
      </c>
      <c r="O112" s="285" t="s">
        <v>1</v>
      </c>
      <c r="P112" s="285" t="s">
        <v>1</v>
      </c>
      <c r="Q112" s="285" t="s">
        <v>1</v>
      </c>
      <c r="R112" s="285" t="s">
        <v>1</v>
      </c>
      <c r="S112" s="286" t="s">
        <v>1</v>
      </c>
      <c r="T112" s="285" t="s">
        <v>1</v>
      </c>
      <c r="U112" s="285" t="s">
        <v>1</v>
      </c>
      <c r="V112" s="285" t="s">
        <v>1</v>
      </c>
      <c r="W112" s="285" t="s">
        <v>1</v>
      </c>
      <c r="X112" s="286" t="s">
        <v>1</v>
      </c>
      <c r="Y112" s="285" t="s">
        <v>1</v>
      </c>
      <c r="Z112" s="285" t="s">
        <v>1</v>
      </c>
      <c r="AA112" s="285" t="s">
        <v>1</v>
      </c>
      <c r="AB112" s="285" t="s">
        <v>1</v>
      </c>
      <c r="AC112" s="286" t="s">
        <v>1</v>
      </c>
      <c r="AD112" s="285" t="s">
        <v>1</v>
      </c>
      <c r="AE112" s="285" t="s">
        <v>1</v>
      </c>
      <c r="AF112" s="285" t="s">
        <v>1</v>
      </c>
      <c r="AG112" s="285" t="s">
        <v>1</v>
      </c>
      <c r="AH112" s="286" t="s">
        <v>1</v>
      </c>
      <c r="AI112" s="295" t="s">
        <v>1</v>
      </c>
      <c r="AJ112" s="295" t="s">
        <v>1</v>
      </c>
      <c r="AK112" s="295" t="s">
        <v>1</v>
      </c>
      <c r="AL112" s="286">
        <v>287.60000000000002</v>
      </c>
      <c r="AM112" s="288" t="s">
        <v>1</v>
      </c>
      <c r="AN112" s="288" t="s">
        <v>1</v>
      </c>
      <c r="AO112" s="288" t="s">
        <v>1</v>
      </c>
      <c r="AP112" s="286" t="s">
        <v>1</v>
      </c>
      <c r="AQ112" s="285" t="s">
        <v>1</v>
      </c>
      <c r="AR112" s="289" t="s">
        <v>1</v>
      </c>
      <c r="AS112" s="289" t="s">
        <v>1</v>
      </c>
      <c r="AT112" s="290" t="s">
        <v>1</v>
      </c>
      <c r="AU112" s="287" t="s">
        <v>1</v>
      </c>
      <c r="AV112" s="287" t="s">
        <v>1</v>
      </c>
      <c r="AW112" s="291" t="s">
        <v>1</v>
      </c>
    </row>
    <row r="113" spans="1:49" ht="30.15" customHeight="1" x14ac:dyDescent="0.25">
      <c r="A113" s="188" t="s">
        <v>18</v>
      </c>
      <c r="B113" s="189" t="s">
        <v>1</v>
      </c>
      <c r="C113" s="188" t="s">
        <v>35</v>
      </c>
      <c r="D113" s="190" t="s">
        <v>3</v>
      </c>
      <c r="E113" s="190" t="s">
        <v>938</v>
      </c>
      <c r="F113" s="203"/>
      <c r="G113" s="190" t="s">
        <v>934</v>
      </c>
      <c r="H113" s="192" t="s">
        <v>409</v>
      </c>
      <c r="I113" s="193">
        <v>555</v>
      </c>
      <c r="J113" s="193">
        <v>570</v>
      </c>
      <c r="K113" s="193">
        <v>570</v>
      </c>
      <c r="L113" s="193">
        <v>600</v>
      </c>
      <c r="M113" s="194">
        <v>600</v>
      </c>
      <c r="N113" s="284" t="s">
        <v>1</v>
      </c>
      <c r="O113" s="285" t="s">
        <v>1</v>
      </c>
      <c r="P113" s="285" t="s">
        <v>1</v>
      </c>
      <c r="Q113" s="285" t="s">
        <v>1</v>
      </c>
      <c r="R113" s="285" t="s">
        <v>1</v>
      </c>
      <c r="S113" s="286" t="s">
        <v>1</v>
      </c>
      <c r="T113" s="285" t="s">
        <v>1</v>
      </c>
      <c r="U113" s="285" t="s">
        <v>1</v>
      </c>
      <c r="V113" s="285" t="s">
        <v>1</v>
      </c>
      <c r="W113" s="285" t="s">
        <v>1</v>
      </c>
      <c r="X113" s="286" t="s">
        <v>1</v>
      </c>
      <c r="Y113" s="285" t="s">
        <v>1</v>
      </c>
      <c r="Z113" s="285" t="s">
        <v>1</v>
      </c>
      <c r="AA113" s="285" t="s">
        <v>1</v>
      </c>
      <c r="AB113" s="285" t="s">
        <v>1</v>
      </c>
      <c r="AC113" s="286" t="s">
        <v>1</v>
      </c>
      <c r="AD113" s="285" t="s">
        <v>1</v>
      </c>
      <c r="AE113" s="285" t="s">
        <v>1</v>
      </c>
      <c r="AF113" s="285" t="s">
        <v>1</v>
      </c>
      <c r="AG113" s="285" t="s">
        <v>1</v>
      </c>
      <c r="AH113" s="286" t="s">
        <v>1</v>
      </c>
      <c r="AI113" s="295" t="s">
        <v>1</v>
      </c>
      <c r="AJ113" s="295" t="s">
        <v>1</v>
      </c>
      <c r="AK113" s="295" t="s">
        <v>1</v>
      </c>
      <c r="AL113" s="286">
        <v>240</v>
      </c>
      <c r="AM113" s="288" t="s">
        <v>1</v>
      </c>
      <c r="AN113" s="288" t="s">
        <v>1</v>
      </c>
      <c r="AO113" s="288" t="s">
        <v>1</v>
      </c>
      <c r="AP113" s="286" t="s">
        <v>1</v>
      </c>
      <c r="AQ113" s="285" t="s">
        <v>1</v>
      </c>
      <c r="AR113" s="289" t="s">
        <v>1</v>
      </c>
      <c r="AS113" s="289" t="s">
        <v>1</v>
      </c>
      <c r="AT113" s="290" t="s">
        <v>1</v>
      </c>
      <c r="AU113" s="287" t="s">
        <v>1</v>
      </c>
      <c r="AV113" s="287" t="s">
        <v>1</v>
      </c>
      <c r="AW113" s="291" t="s">
        <v>1</v>
      </c>
    </row>
    <row r="114" spans="1:49" ht="30.15" customHeight="1" x14ac:dyDescent="0.25">
      <c r="A114" s="188" t="s">
        <v>18</v>
      </c>
      <c r="B114" s="189" t="s">
        <v>1</v>
      </c>
      <c r="C114" s="188" t="s">
        <v>35</v>
      </c>
      <c r="D114" s="190" t="s">
        <v>3</v>
      </c>
      <c r="E114" s="190" t="s">
        <v>952</v>
      </c>
      <c r="F114" s="203"/>
      <c r="G114" s="190" t="s">
        <v>934</v>
      </c>
      <c r="H114" s="192" t="s">
        <v>907</v>
      </c>
      <c r="I114" s="193">
        <v>555</v>
      </c>
      <c r="J114" s="193">
        <v>570</v>
      </c>
      <c r="K114" s="193">
        <v>570</v>
      </c>
      <c r="L114" s="193">
        <v>600</v>
      </c>
      <c r="M114" s="194">
        <v>600</v>
      </c>
      <c r="N114" s="284" t="s">
        <v>1</v>
      </c>
      <c r="O114" s="285" t="s">
        <v>1</v>
      </c>
      <c r="P114" s="285" t="s">
        <v>1</v>
      </c>
      <c r="Q114" s="285" t="s">
        <v>1</v>
      </c>
      <c r="R114" s="285" t="s">
        <v>1</v>
      </c>
      <c r="S114" s="286" t="s">
        <v>1</v>
      </c>
      <c r="T114" s="285" t="s">
        <v>1</v>
      </c>
      <c r="U114" s="285" t="s">
        <v>1</v>
      </c>
      <c r="V114" s="285" t="s">
        <v>1</v>
      </c>
      <c r="W114" s="285" t="s">
        <v>1</v>
      </c>
      <c r="X114" s="286" t="s">
        <v>1</v>
      </c>
      <c r="Y114" s="285" t="s">
        <v>1</v>
      </c>
      <c r="Z114" s="285" t="s">
        <v>1</v>
      </c>
      <c r="AA114" s="285" t="s">
        <v>1</v>
      </c>
      <c r="AB114" s="285" t="s">
        <v>1</v>
      </c>
      <c r="AC114" s="286" t="s">
        <v>1</v>
      </c>
      <c r="AD114" s="285" t="s">
        <v>1</v>
      </c>
      <c r="AE114" s="285" t="s">
        <v>1</v>
      </c>
      <c r="AF114" s="285" t="s">
        <v>1</v>
      </c>
      <c r="AG114" s="285" t="s">
        <v>1</v>
      </c>
      <c r="AH114" s="286" t="s">
        <v>1</v>
      </c>
      <c r="AI114" s="295" t="s">
        <v>1</v>
      </c>
      <c r="AJ114" s="295" t="s">
        <v>1</v>
      </c>
      <c r="AK114" s="295" t="s">
        <v>1</v>
      </c>
      <c r="AL114" s="286">
        <v>240</v>
      </c>
      <c r="AM114" s="288" t="s">
        <v>1</v>
      </c>
      <c r="AN114" s="288" t="s">
        <v>1</v>
      </c>
      <c r="AO114" s="288" t="s">
        <v>1</v>
      </c>
      <c r="AP114" s="286" t="s">
        <v>1</v>
      </c>
      <c r="AQ114" s="285" t="s">
        <v>1</v>
      </c>
      <c r="AR114" s="289" t="s">
        <v>1</v>
      </c>
      <c r="AS114" s="289" t="s">
        <v>1</v>
      </c>
      <c r="AT114" s="290" t="s">
        <v>1</v>
      </c>
      <c r="AU114" s="287" t="s">
        <v>1</v>
      </c>
      <c r="AV114" s="287" t="s">
        <v>1</v>
      </c>
      <c r="AW114" s="291" t="s">
        <v>1</v>
      </c>
    </row>
    <row r="115" spans="1:49" ht="30.15" customHeight="1" x14ac:dyDescent="0.25">
      <c r="A115" s="188" t="s">
        <v>18</v>
      </c>
      <c r="B115" s="189" t="s">
        <v>1</v>
      </c>
      <c r="C115" s="188" t="s">
        <v>35</v>
      </c>
      <c r="D115" s="190" t="s">
        <v>3</v>
      </c>
      <c r="E115" s="190" t="s">
        <v>1017</v>
      </c>
      <c r="F115" s="203"/>
      <c r="G115" s="190" t="s">
        <v>934</v>
      </c>
      <c r="H115" s="192" t="s">
        <v>414</v>
      </c>
      <c r="I115" s="193">
        <v>555</v>
      </c>
      <c r="J115" s="193">
        <v>570</v>
      </c>
      <c r="K115" s="193">
        <v>570</v>
      </c>
      <c r="L115" s="193">
        <v>600</v>
      </c>
      <c r="M115" s="194">
        <v>600</v>
      </c>
      <c r="N115" s="284" t="s">
        <v>1</v>
      </c>
      <c r="O115" s="285" t="s">
        <v>1</v>
      </c>
      <c r="P115" s="285" t="s">
        <v>1</v>
      </c>
      <c r="Q115" s="285" t="s">
        <v>1</v>
      </c>
      <c r="R115" s="285" t="s">
        <v>1</v>
      </c>
      <c r="S115" s="286" t="s">
        <v>1</v>
      </c>
      <c r="T115" s="285" t="s">
        <v>1</v>
      </c>
      <c r="U115" s="285" t="s">
        <v>1</v>
      </c>
      <c r="V115" s="285" t="s">
        <v>1</v>
      </c>
      <c r="W115" s="285" t="s">
        <v>1</v>
      </c>
      <c r="X115" s="286" t="s">
        <v>1</v>
      </c>
      <c r="Y115" s="285" t="s">
        <v>1</v>
      </c>
      <c r="Z115" s="285" t="s">
        <v>1</v>
      </c>
      <c r="AA115" s="285" t="s">
        <v>1</v>
      </c>
      <c r="AB115" s="285" t="s">
        <v>1</v>
      </c>
      <c r="AC115" s="286" t="s">
        <v>1</v>
      </c>
      <c r="AD115" s="285" t="s">
        <v>1</v>
      </c>
      <c r="AE115" s="285" t="s">
        <v>1</v>
      </c>
      <c r="AF115" s="285" t="s">
        <v>1</v>
      </c>
      <c r="AG115" s="285" t="s">
        <v>1</v>
      </c>
      <c r="AH115" s="286" t="s">
        <v>1</v>
      </c>
      <c r="AI115" s="295" t="s">
        <v>1</v>
      </c>
      <c r="AJ115" s="295" t="s">
        <v>1</v>
      </c>
      <c r="AK115" s="295" t="s">
        <v>1</v>
      </c>
      <c r="AL115" s="286">
        <v>240</v>
      </c>
      <c r="AM115" s="288" t="s">
        <v>1</v>
      </c>
      <c r="AN115" s="288" t="s">
        <v>1</v>
      </c>
      <c r="AO115" s="288" t="s">
        <v>1</v>
      </c>
      <c r="AP115" s="286" t="s">
        <v>1</v>
      </c>
      <c r="AQ115" s="285" t="s">
        <v>1</v>
      </c>
      <c r="AR115" s="289" t="s">
        <v>1</v>
      </c>
      <c r="AS115" s="289" t="s">
        <v>1</v>
      </c>
      <c r="AT115" s="290" t="s">
        <v>1</v>
      </c>
      <c r="AU115" s="287" t="s">
        <v>1</v>
      </c>
      <c r="AV115" s="287" t="s">
        <v>1</v>
      </c>
      <c r="AW115" s="291" t="s">
        <v>1</v>
      </c>
    </row>
    <row r="116" spans="1:49" ht="30.15" customHeight="1" x14ac:dyDescent="0.25">
      <c r="A116" s="188" t="s">
        <v>18</v>
      </c>
      <c r="B116" s="189" t="s">
        <v>1</v>
      </c>
      <c r="C116" s="188" t="s">
        <v>35</v>
      </c>
      <c r="D116" s="190" t="s">
        <v>3</v>
      </c>
      <c r="E116" s="190" t="s">
        <v>939</v>
      </c>
      <c r="F116" s="203"/>
      <c r="G116" s="190" t="s">
        <v>935</v>
      </c>
      <c r="H116" s="192" t="s">
        <v>409</v>
      </c>
      <c r="I116" s="193">
        <v>666</v>
      </c>
      <c r="J116" s="193">
        <v>684</v>
      </c>
      <c r="K116" s="193">
        <v>684</v>
      </c>
      <c r="L116" s="193">
        <v>720</v>
      </c>
      <c r="M116" s="194">
        <v>720</v>
      </c>
      <c r="N116" s="284" t="s">
        <v>1</v>
      </c>
      <c r="O116" s="285" t="s">
        <v>1</v>
      </c>
      <c r="P116" s="285" t="s">
        <v>1</v>
      </c>
      <c r="Q116" s="285" t="s">
        <v>1</v>
      </c>
      <c r="R116" s="285" t="s">
        <v>1</v>
      </c>
      <c r="S116" s="286" t="s">
        <v>1</v>
      </c>
      <c r="T116" s="285" t="s">
        <v>1</v>
      </c>
      <c r="U116" s="285" t="s">
        <v>1</v>
      </c>
      <c r="V116" s="285" t="s">
        <v>1</v>
      </c>
      <c r="W116" s="285" t="s">
        <v>1</v>
      </c>
      <c r="X116" s="286" t="s">
        <v>1</v>
      </c>
      <c r="Y116" s="285" t="s">
        <v>1</v>
      </c>
      <c r="Z116" s="285" t="s">
        <v>1</v>
      </c>
      <c r="AA116" s="285" t="s">
        <v>1</v>
      </c>
      <c r="AB116" s="285" t="s">
        <v>1</v>
      </c>
      <c r="AC116" s="286" t="s">
        <v>1</v>
      </c>
      <c r="AD116" s="285" t="s">
        <v>1</v>
      </c>
      <c r="AE116" s="285" t="s">
        <v>1</v>
      </c>
      <c r="AF116" s="285" t="s">
        <v>1</v>
      </c>
      <c r="AG116" s="285" t="s">
        <v>1</v>
      </c>
      <c r="AH116" s="286" t="s">
        <v>1</v>
      </c>
      <c r="AI116" s="295" t="s">
        <v>1</v>
      </c>
      <c r="AJ116" s="295" t="s">
        <v>1</v>
      </c>
      <c r="AK116" s="295" t="s">
        <v>1</v>
      </c>
      <c r="AL116" s="286">
        <v>288</v>
      </c>
      <c r="AM116" s="288" t="s">
        <v>1</v>
      </c>
      <c r="AN116" s="288" t="s">
        <v>1</v>
      </c>
      <c r="AO116" s="288" t="s">
        <v>1</v>
      </c>
      <c r="AP116" s="286" t="s">
        <v>1</v>
      </c>
      <c r="AQ116" s="285" t="s">
        <v>1</v>
      </c>
      <c r="AR116" s="289" t="s">
        <v>1</v>
      </c>
      <c r="AS116" s="289" t="s">
        <v>1</v>
      </c>
      <c r="AT116" s="290" t="s">
        <v>1</v>
      </c>
      <c r="AU116" s="287" t="s">
        <v>1</v>
      </c>
      <c r="AV116" s="287" t="s">
        <v>1</v>
      </c>
      <c r="AW116" s="291" t="s">
        <v>1</v>
      </c>
    </row>
    <row r="117" spans="1:49" ht="30.15" customHeight="1" x14ac:dyDescent="0.25">
      <c r="A117" s="188" t="s">
        <v>18</v>
      </c>
      <c r="B117" s="189" t="s">
        <v>1</v>
      </c>
      <c r="C117" s="188" t="s">
        <v>35</v>
      </c>
      <c r="D117" s="190" t="s">
        <v>3</v>
      </c>
      <c r="E117" s="190" t="s">
        <v>1018</v>
      </c>
      <c r="F117" s="203"/>
      <c r="G117" s="190" t="s">
        <v>935</v>
      </c>
      <c r="H117" s="192" t="s">
        <v>414</v>
      </c>
      <c r="I117" s="193">
        <v>666</v>
      </c>
      <c r="J117" s="193">
        <v>684</v>
      </c>
      <c r="K117" s="193">
        <v>684</v>
      </c>
      <c r="L117" s="193">
        <v>720</v>
      </c>
      <c r="M117" s="194">
        <v>720</v>
      </c>
      <c r="N117" s="284" t="s">
        <v>1</v>
      </c>
      <c r="O117" s="285" t="s">
        <v>1</v>
      </c>
      <c r="P117" s="285" t="s">
        <v>1</v>
      </c>
      <c r="Q117" s="285" t="s">
        <v>1</v>
      </c>
      <c r="R117" s="285" t="s">
        <v>1</v>
      </c>
      <c r="S117" s="286" t="s">
        <v>1</v>
      </c>
      <c r="T117" s="285" t="s">
        <v>1</v>
      </c>
      <c r="U117" s="285" t="s">
        <v>1</v>
      </c>
      <c r="V117" s="285" t="s">
        <v>1</v>
      </c>
      <c r="W117" s="285" t="s">
        <v>1</v>
      </c>
      <c r="X117" s="286" t="s">
        <v>1</v>
      </c>
      <c r="Y117" s="285" t="s">
        <v>1</v>
      </c>
      <c r="Z117" s="285" t="s">
        <v>1</v>
      </c>
      <c r="AA117" s="285" t="s">
        <v>1</v>
      </c>
      <c r="AB117" s="285" t="s">
        <v>1</v>
      </c>
      <c r="AC117" s="286" t="s">
        <v>1</v>
      </c>
      <c r="AD117" s="285" t="s">
        <v>1</v>
      </c>
      <c r="AE117" s="285" t="s">
        <v>1</v>
      </c>
      <c r="AF117" s="285" t="s">
        <v>1</v>
      </c>
      <c r="AG117" s="285" t="s">
        <v>1</v>
      </c>
      <c r="AH117" s="286" t="s">
        <v>1</v>
      </c>
      <c r="AI117" s="295" t="s">
        <v>1</v>
      </c>
      <c r="AJ117" s="295" t="s">
        <v>1</v>
      </c>
      <c r="AK117" s="295" t="s">
        <v>1</v>
      </c>
      <c r="AL117" s="286">
        <v>288</v>
      </c>
      <c r="AM117" s="288" t="s">
        <v>1</v>
      </c>
      <c r="AN117" s="288" t="s">
        <v>1</v>
      </c>
      <c r="AO117" s="288" t="s">
        <v>1</v>
      </c>
      <c r="AP117" s="286" t="s">
        <v>1</v>
      </c>
      <c r="AQ117" s="285" t="s">
        <v>1</v>
      </c>
      <c r="AR117" s="289" t="s">
        <v>1</v>
      </c>
      <c r="AS117" s="289" t="s">
        <v>1</v>
      </c>
      <c r="AT117" s="290" t="s">
        <v>1</v>
      </c>
      <c r="AU117" s="287" t="s">
        <v>1</v>
      </c>
      <c r="AV117" s="287" t="s">
        <v>1</v>
      </c>
      <c r="AW117" s="291" t="s">
        <v>1</v>
      </c>
    </row>
    <row r="118" spans="1:49" ht="30.15" customHeight="1" x14ac:dyDescent="0.25">
      <c r="A118" s="188" t="s">
        <v>18</v>
      </c>
      <c r="B118" s="189" t="s">
        <v>1</v>
      </c>
      <c r="C118" s="188" t="s">
        <v>35</v>
      </c>
      <c r="D118" s="190" t="s">
        <v>3</v>
      </c>
      <c r="E118" s="190" t="s">
        <v>1019</v>
      </c>
      <c r="F118" s="203"/>
      <c r="G118" s="190" t="s">
        <v>935</v>
      </c>
      <c r="H118" s="192" t="s">
        <v>414</v>
      </c>
      <c r="I118" s="193">
        <v>666</v>
      </c>
      <c r="J118" s="193">
        <v>684</v>
      </c>
      <c r="K118" s="193">
        <v>684</v>
      </c>
      <c r="L118" s="193">
        <v>720</v>
      </c>
      <c r="M118" s="194">
        <v>720</v>
      </c>
      <c r="N118" s="284" t="s">
        <v>1</v>
      </c>
      <c r="O118" s="285" t="s">
        <v>1</v>
      </c>
      <c r="P118" s="285" t="s">
        <v>1</v>
      </c>
      <c r="Q118" s="285" t="s">
        <v>1</v>
      </c>
      <c r="R118" s="285" t="s">
        <v>1</v>
      </c>
      <c r="S118" s="286" t="s">
        <v>1</v>
      </c>
      <c r="T118" s="285" t="s">
        <v>1</v>
      </c>
      <c r="U118" s="285" t="s">
        <v>1</v>
      </c>
      <c r="V118" s="285" t="s">
        <v>1</v>
      </c>
      <c r="W118" s="285" t="s">
        <v>1</v>
      </c>
      <c r="X118" s="286" t="s">
        <v>1</v>
      </c>
      <c r="Y118" s="285" t="s">
        <v>1</v>
      </c>
      <c r="Z118" s="285" t="s">
        <v>1</v>
      </c>
      <c r="AA118" s="285" t="s">
        <v>1</v>
      </c>
      <c r="AB118" s="285" t="s">
        <v>1</v>
      </c>
      <c r="AC118" s="286" t="s">
        <v>1</v>
      </c>
      <c r="AD118" s="285" t="s">
        <v>1</v>
      </c>
      <c r="AE118" s="285" t="s">
        <v>1</v>
      </c>
      <c r="AF118" s="285" t="s">
        <v>1</v>
      </c>
      <c r="AG118" s="285" t="s">
        <v>1</v>
      </c>
      <c r="AH118" s="286" t="s">
        <v>1</v>
      </c>
      <c r="AI118" s="295" t="s">
        <v>1</v>
      </c>
      <c r="AJ118" s="295" t="s">
        <v>1</v>
      </c>
      <c r="AK118" s="295" t="s">
        <v>1</v>
      </c>
      <c r="AL118" s="286">
        <v>288</v>
      </c>
      <c r="AM118" s="288" t="s">
        <v>1</v>
      </c>
      <c r="AN118" s="288" t="s">
        <v>1</v>
      </c>
      <c r="AO118" s="288" t="s">
        <v>1</v>
      </c>
      <c r="AP118" s="286" t="s">
        <v>1</v>
      </c>
      <c r="AQ118" s="285" t="s">
        <v>1</v>
      </c>
      <c r="AR118" s="289" t="s">
        <v>1</v>
      </c>
      <c r="AS118" s="289" t="s">
        <v>1</v>
      </c>
      <c r="AT118" s="290" t="s">
        <v>1</v>
      </c>
      <c r="AU118" s="287" t="s">
        <v>1</v>
      </c>
      <c r="AV118" s="287" t="s">
        <v>1</v>
      </c>
      <c r="AW118" s="291" t="s">
        <v>1</v>
      </c>
    </row>
    <row r="119" spans="1:49" ht="30.15" customHeight="1" x14ac:dyDescent="0.25">
      <c r="A119" s="188" t="s">
        <v>18</v>
      </c>
      <c r="B119" s="189" t="s">
        <v>1</v>
      </c>
      <c r="C119" s="188" t="s">
        <v>35</v>
      </c>
      <c r="D119" s="190" t="s">
        <v>3</v>
      </c>
      <c r="E119" s="190" t="s">
        <v>578</v>
      </c>
      <c r="F119" s="203"/>
      <c r="G119" s="190" t="s">
        <v>579</v>
      </c>
      <c r="H119" s="192" t="s">
        <v>409</v>
      </c>
      <c r="I119" s="193">
        <v>758</v>
      </c>
      <c r="J119" s="193">
        <v>1129</v>
      </c>
      <c r="K119" s="193">
        <v>1129</v>
      </c>
      <c r="L119" s="193">
        <v>819</v>
      </c>
      <c r="M119" s="194">
        <v>819</v>
      </c>
      <c r="N119" s="284" t="s">
        <v>1</v>
      </c>
      <c r="O119" s="285" t="s">
        <v>1</v>
      </c>
      <c r="P119" s="285" t="s">
        <v>1</v>
      </c>
      <c r="Q119" s="285" t="s">
        <v>1</v>
      </c>
      <c r="R119" s="285" t="s">
        <v>1</v>
      </c>
      <c r="S119" s="286" t="s">
        <v>1</v>
      </c>
      <c r="T119" s="285" t="s">
        <v>1</v>
      </c>
      <c r="U119" s="285" t="s">
        <v>1</v>
      </c>
      <c r="V119" s="285" t="s">
        <v>1</v>
      </c>
      <c r="W119" s="285" t="s">
        <v>1</v>
      </c>
      <c r="X119" s="286" t="s">
        <v>1</v>
      </c>
      <c r="Y119" s="285" t="s">
        <v>1</v>
      </c>
      <c r="Z119" s="285" t="s">
        <v>1</v>
      </c>
      <c r="AA119" s="285" t="s">
        <v>1</v>
      </c>
      <c r="AB119" s="285" t="s">
        <v>1</v>
      </c>
      <c r="AC119" s="286" t="s">
        <v>1</v>
      </c>
      <c r="AD119" s="285" t="s">
        <v>1</v>
      </c>
      <c r="AE119" s="285" t="s">
        <v>1</v>
      </c>
      <c r="AF119" s="285" t="s">
        <v>1</v>
      </c>
      <c r="AG119" s="285" t="s">
        <v>1</v>
      </c>
      <c r="AH119" s="286" t="s">
        <v>1</v>
      </c>
      <c r="AI119" s="295" t="s">
        <v>1</v>
      </c>
      <c r="AJ119" s="295" t="s">
        <v>1</v>
      </c>
      <c r="AK119" s="295" t="s">
        <v>1</v>
      </c>
      <c r="AL119" s="286">
        <v>327.60000000000002</v>
      </c>
      <c r="AM119" s="288" t="s">
        <v>1</v>
      </c>
      <c r="AN119" s="287" t="s">
        <v>1</v>
      </c>
      <c r="AO119" s="287" t="s">
        <v>1</v>
      </c>
      <c r="AP119" s="286" t="s">
        <v>1</v>
      </c>
      <c r="AQ119" s="285" t="s">
        <v>1</v>
      </c>
      <c r="AR119" s="289" t="s">
        <v>1</v>
      </c>
      <c r="AS119" s="289" t="s">
        <v>1</v>
      </c>
      <c r="AT119" s="290" t="s">
        <v>1</v>
      </c>
      <c r="AU119" s="287" t="s">
        <v>1</v>
      </c>
      <c r="AV119" s="287" t="s">
        <v>1</v>
      </c>
      <c r="AW119" s="291" t="s">
        <v>1</v>
      </c>
    </row>
    <row r="120" spans="1:49" ht="30.15" customHeight="1" x14ac:dyDescent="0.25">
      <c r="A120" s="188" t="s">
        <v>18</v>
      </c>
      <c r="B120" s="189" t="s">
        <v>1</v>
      </c>
      <c r="C120" s="188" t="s">
        <v>35</v>
      </c>
      <c r="D120" s="190" t="s">
        <v>3</v>
      </c>
      <c r="E120" s="190" t="s">
        <v>1138</v>
      </c>
      <c r="F120" s="203"/>
      <c r="G120" s="190" t="s">
        <v>1148</v>
      </c>
      <c r="H120" s="192" t="s">
        <v>409</v>
      </c>
      <c r="I120" s="193">
        <v>879</v>
      </c>
      <c r="J120" s="193">
        <v>903</v>
      </c>
      <c r="K120" s="193">
        <v>903</v>
      </c>
      <c r="L120" s="193">
        <v>950</v>
      </c>
      <c r="M120" s="194">
        <v>950</v>
      </c>
      <c r="N120" s="284" t="s">
        <v>1</v>
      </c>
      <c r="O120" s="285" t="s">
        <v>1</v>
      </c>
      <c r="P120" s="285" t="s">
        <v>1</v>
      </c>
      <c r="Q120" s="285" t="s">
        <v>1</v>
      </c>
      <c r="R120" s="285" t="s">
        <v>1</v>
      </c>
      <c r="S120" s="286" t="s">
        <v>1</v>
      </c>
      <c r="T120" s="285" t="s">
        <v>1</v>
      </c>
      <c r="U120" s="285" t="s">
        <v>1</v>
      </c>
      <c r="V120" s="285" t="s">
        <v>1</v>
      </c>
      <c r="W120" s="285" t="s">
        <v>1</v>
      </c>
      <c r="X120" s="286" t="s">
        <v>1</v>
      </c>
      <c r="Y120" s="285" t="s">
        <v>1</v>
      </c>
      <c r="Z120" s="285" t="s">
        <v>1</v>
      </c>
      <c r="AA120" s="285" t="s">
        <v>1</v>
      </c>
      <c r="AB120" s="285" t="s">
        <v>1</v>
      </c>
      <c r="AC120" s="286" t="s">
        <v>1</v>
      </c>
      <c r="AD120" s="285" t="s">
        <v>1</v>
      </c>
      <c r="AE120" s="285" t="s">
        <v>1</v>
      </c>
      <c r="AF120" s="285" t="s">
        <v>1</v>
      </c>
      <c r="AG120" s="285" t="s">
        <v>1</v>
      </c>
      <c r="AH120" s="286" t="s">
        <v>1</v>
      </c>
      <c r="AI120" s="295" t="s">
        <v>1</v>
      </c>
      <c r="AJ120" s="295" t="s">
        <v>1</v>
      </c>
      <c r="AK120" s="295" t="s">
        <v>1</v>
      </c>
      <c r="AL120" s="286">
        <v>380</v>
      </c>
      <c r="AM120" s="288" t="s">
        <v>1</v>
      </c>
      <c r="AN120" s="287" t="s">
        <v>1</v>
      </c>
      <c r="AO120" s="287" t="s">
        <v>1</v>
      </c>
      <c r="AP120" s="286" t="s">
        <v>1</v>
      </c>
      <c r="AQ120" s="285" t="s">
        <v>1</v>
      </c>
      <c r="AR120" s="289" t="s">
        <v>1</v>
      </c>
      <c r="AS120" s="289" t="s">
        <v>1</v>
      </c>
      <c r="AT120" s="290" t="s">
        <v>1</v>
      </c>
      <c r="AU120" s="287" t="s">
        <v>1</v>
      </c>
      <c r="AV120" s="287" t="s">
        <v>1</v>
      </c>
      <c r="AW120" s="291" t="s">
        <v>1</v>
      </c>
    </row>
    <row r="121" spans="1:49" ht="30.15" customHeight="1" x14ac:dyDescent="0.25">
      <c r="A121" s="188" t="s">
        <v>18</v>
      </c>
      <c r="B121" s="189" t="s">
        <v>1</v>
      </c>
      <c r="C121" s="188" t="s">
        <v>35</v>
      </c>
      <c r="D121" s="190" t="s">
        <v>3</v>
      </c>
      <c r="E121" s="190" t="s">
        <v>1139</v>
      </c>
      <c r="F121" s="203"/>
      <c r="G121" s="190" t="s">
        <v>1148</v>
      </c>
      <c r="H121" s="192" t="s">
        <v>414</v>
      </c>
      <c r="I121" s="193">
        <v>879</v>
      </c>
      <c r="J121" s="193">
        <v>903</v>
      </c>
      <c r="K121" s="193">
        <v>903</v>
      </c>
      <c r="L121" s="193">
        <v>950</v>
      </c>
      <c r="M121" s="194">
        <v>950</v>
      </c>
      <c r="N121" s="284" t="s">
        <v>1</v>
      </c>
      <c r="O121" s="285" t="s">
        <v>1</v>
      </c>
      <c r="P121" s="285" t="s">
        <v>1</v>
      </c>
      <c r="Q121" s="285" t="s">
        <v>1</v>
      </c>
      <c r="R121" s="285" t="s">
        <v>1</v>
      </c>
      <c r="S121" s="286" t="s">
        <v>1</v>
      </c>
      <c r="T121" s="285" t="s">
        <v>1</v>
      </c>
      <c r="U121" s="285" t="s">
        <v>1</v>
      </c>
      <c r="V121" s="285" t="s">
        <v>1</v>
      </c>
      <c r="W121" s="285" t="s">
        <v>1</v>
      </c>
      <c r="X121" s="286" t="s">
        <v>1</v>
      </c>
      <c r="Y121" s="285" t="s">
        <v>1</v>
      </c>
      <c r="Z121" s="285" t="s">
        <v>1</v>
      </c>
      <c r="AA121" s="285" t="s">
        <v>1</v>
      </c>
      <c r="AB121" s="285" t="s">
        <v>1</v>
      </c>
      <c r="AC121" s="286" t="s">
        <v>1</v>
      </c>
      <c r="AD121" s="285" t="s">
        <v>1</v>
      </c>
      <c r="AE121" s="285" t="s">
        <v>1</v>
      </c>
      <c r="AF121" s="285" t="s">
        <v>1</v>
      </c>
      <c r="AG121" s="285" t="s">
        <v>1</v>
      </c>
      <c r="AH121" s="286" t="s">
        <v>1</v>
      </c>
      <c r="AI121" s="295" t="s">
        <v>1</v>
      </c>
      <c r="AJ121" s="295" t="s">
        <v>1</v>
      </c>
      <c r="AK121" s="295" t="s">
        <v>1</v>
      </c>
      <c r="AL121" s="286">
        <v>380</v>
      </c>
      <c r="AM121" s="288" t="s">
        <v>1</v>
      </c>
      <c r="AN121" s="287" t="s">
        <v>1</v>
      </c>
      <c r="AO121" s="287" t="s">
        <v>1</v>
      </c>
      <c r="AP121" s="286" t="s">
        <v>1</v>
      </c>
      <c r="AQ121" s="285" t="s">
        <v>1</v>
      </c>
      <c r="AR121" s="289" t="s">
        <v>1</v>
      </c>
      <c r="AS121" s="289" t="s">
        <v>1</v>
      </c>
      <c r="AT121" s="290" t="s">
        <v>1</v>
      </c>
      <c r="AU121" s="287" t="s">
        <v>1</v>
      </c>
      <c r="AV121" s="287" t="s">
        <v>1</v>
      </c>
      <c r="AW121" s="291" t="s">
        <v>1</v>
      </c>
    </row>
    <row r="122" spans="1:49" ht="30.15" customHeight="1" x14ac:dyDescent="0.25">
      <c r="A122" s="188" t="s">
        <v>18</v>
      </c>
      <c r="B122" s="189" t="s">
        <v>1</v>
      </c>
      <c r="C122" s="188" t="s">
        <v>35</v>
      </c>
      <c r="D122" s="190" t="s">
        <v>3</v>
      </c>
      <c r="E122" s="190" t="s">
        <v>1140</v>
      </c>
      <c r="F122" s="203"/>
      <c r="G122" s="190" t="s">
        <v>1148</v>
      </c>
      <c r="H122" s="192" t="s">
        <v>414</v>
      </c>
      <c r="I122" s="193">
        <v>879</v>
      </c>
      <c r="J122" s="193">
        <v>903</v>
      </c>
      <c r="K122" s="193">
        <v>903</v>
      </c>
      <c r="L122" s="193">
        <v>950</v>
      </c>
      <c r="M122" s="194">
        <v>950</v>
      </c>
      <c r="N122" s="284" t="s">
        <v>1</v>
      </c>
      <c r="O122" s="285" t="s">
        <v>1</v>
      </c>
      <c r="P122" s="285" t="s">
        <v>1</v>
      </c>
      <c r="Q122" s="285" t="s">
        <v>1</v>
      </c>
      <c r="R122" s="285" t="s">
        <v>1</v>
      </c>
      <c r="S122" s="286" t="s">
        <v>1</v>
      </c>
      <c r="T122" s="285" t="s">
        <v>1</v>
      </c>
      <c r="U122" s="285" t="s">
        <v>1</v>
      </c>
      <c r="V122" s="285" t="s">
        <v>1</v>
      </c>
      <c r="W122" s="285" t="s">
        <v>1</v>
      </c>
      <c r="X122" s="286" t="s">
        <v>1</v>
      </c>
      <c r="Y122" s="285" t="s">
        <v>1</v>
      </c>
      <c r="Z122" s="285" t="s">
        <v>1</v>
      </c>
      <c r="AA122" s="285" t="s">
        <v>1</v>
      </c>
      <c r="AB122" s="285" t="s">
        <v>1</v>
      </c>
      <c r="AC122" s="286" t="s">
        <v>1</v>
      </c>
      <c r="AD122" s="285" t="s">
        <v>1</v>
      </c>
      <c r="AE122" s="285" t="s">
        <v>1</v>
      </c>
      <c r="AF122" s="285" t="s">
        <v>1</v>
      </c>
      <c r="AG122" s="285" t="s">
        <v>1</v>
      </c>
      <c r="AH122" s="286" t="s">
        <v>1</v>
      </c>
      <c r="AI122" s="295" t="s">
        <v>1</v>
      </c>
      <c r="AJ122" s="295" t="s">
        <v>1</v>
      </c>
      <c r="AK122" s="295" t="s">
        <v>1</v>
      </c>
      <c r="AL122" s="286">
        <v>380</v>
      </c>
      <c r="AM122" s="288" t="s">
        <v>1</v>
      </c>
      <c r="AN122" s="287" t="s">
        <v>1</v>
      </c>
      <c r="AO122" s="287" t="s">
        <v>1</v>
      </c>
      <c r="AP122" s="286" t="s">
        <v>1</v>
      </c>
      <c r="AQ122" s="285" t="s">
        <v>1</v>
      </c>
      <c r="AR122" s="289" t="s">
        <v>1</v>
      </c>
      <c r="AS122" s="289" t="s">
        <v>1</v>
      </c>
      <c r="AT122" s="290" t="s">
        <v>1</v>
      </c>
      <c r="AU122" s="287" t="s">
        <v>1</v>
      </c>
      <c r="AV122" s="287" t="s">
        <v>1</v>
      </c>
      <c r="AW122" s="291" t="s">
        <v>1</v>
      </c>
    </row>
    <row r="123" spans="1:49" ht="30.15" customHeight="1" x14ac:dyDescent="0.25">
      <c r="A123" s="188" t="s">
        <v>18</v>
      </c>
      <c r="B123" s="189" t="s">
        <v>1</v>
      </c>
      <c r="C123" s="188" t="s">
        <v>35</v>
      </c>
      <c r="D123" s="190" t="s">
        <v>3</v>
      </c>
      <c r="E123" s="190" t="s">
        <v>1141</v>
      </c>
      <c r="F123" s="203"/>
      <c r="G123" s="190" t="s">
        <v>1148</v>
      </c>
      <c r="H123" s="192" t="s">
        <v>409</v>
      </c>
      <c r="I123" s="193">
        <v>879</v>
      </c>
      <c r="J123" s="193">
        <v>903</v>
      </c>
      <c r="K123" s="193">
        <v>903</v>
      </c>
      <c r="L123" s="193">
        <v>950</v>
      </c>
      <c r="M123" s="194">
        <v>950</v>
      </c>
      <c r="N123" s="284" t="s">
        <v>1</v>
      </c>
      <c r="O123" s="285" t="s">
        <v>1</v>
      </c>
      <c r="P123" s="285" t="s">
        <v>1</v>
      </c>
      <c r="Q123" s="285" t="s">
        <v>1</v>
      </c>
      <c r="R123" s="285" t="s">
        <v>1</v>
      </c>
      <c r="S123" s="286" t="s">
        <v>1</v>
      </c>
      <c r="T123" s="285" t="s">
        <v>1</v>
      </c>
      <c r="U123" s="285" t="s">
        <v>1</v>
      </c>
      <c r="V123" s="285" t="s">
        <v>1</v>
      </c>
      <c r="W123" s="285" t="s">
        <v>1</v>
      </c>
      <c r="X123" s="286" t="s">
        <v>1</v>
      </c>
      <c r="Y123" s="285" t="s">
        <v>1</v>
      </c>
      <c r="Z123" s="285" t="s">
        <v>1</v>
      </c>
      <c r="AA123" s="285" t="s">
        <v>1</v>
      </c>
      <c r="AB123" s="285" t="s">
        <v>1</v>
      </c>
      <c r="AC123" s="286" t="s">
        <v>1</v>
      </c>
      <c r="AD123" s="285" t="s">
        <v>1</v>
      </c>
      <c r="AE123" s="285" t="s">
        <v>1</v>
      </c>
      <c r="AF123" s="285" t="s">
        <v>1</v>
      </c>
      <c r="AG123" s="285" t="s">
        <v>1</v>
      </c>
      <c r="AH123" s="286" t="s">
        <v>1</v>
      </c>
      <c r="AI123" s="295" t="s">
        <v>1</v>
      </c>
      <c r="AJ123" s="295" t="s">
        <v>1</v>
      </c>
      <c r="AK123" s="295" t="s">
        <v>1</v>
      </c>
      <c r="AL123" s="286">
        <v>380</v>
      </c>
      <c r="AM123" s="288" t="s">
        <v>1</v>
      </c>
      <c r="AN123" s="287" t="s">
        <v>1</v>
      </c>
      <c r="AO123" s="287" t="s">
        <v>1</v>
      </c>
      <c r="AP123" s="286" t="s">
        <v>1</v>
      </c>
      <c r="AQ123" s="285" t="s">
        <v>1</v>
      </c>
      <c r="AR123" s="289" t="s">
        <v>1</v>
      </c>
      <c r="AS123" s="289" t="s">
        <v>1</v>
      </c>
      <c r="AT123" s="290" t="s">
        <v>1</v>
      </c>
      <c r="AU123" s="287" t="s">
        <v>1</v>
      </c>
      <c r="AV123" s="287" t="s">
        <v>1</v>
      </c>
      <c r="AW123" s="291" t="s">
        <v>1</v>
      </c>
    </row>
    <row r="124" spans="1:49" ht="30.15" customHeight="1" x14ac:dyDescent="0.25">
      <c r="A124" s="188" t="s">
        <v>18</v>
      </c>
      <c r="B124" s="189" t="s">
        <v>1</v>
      </c>
      <c r="C124" s="188" t="s">
        <v>35</v>
      </c>
      <c r="D124" s="190" t="s">
        <v>3</v>
      </c>
      <c r="E124" s="190" t="s">
        <v>1142</v>
      </c>
      <c r="F124" s="203"/>
      <c r="G124" s="190" t="s">
        <v>1148</v>
      </c>
      <c r="H124" s="192" t="s">
        <v>414</v>
      </c>
      <c r="I124" s="193">
        <v>879</v>
      </c>
      <c r="J124" s="193">
        <v>903</v>
      </c>
      <c r="K124" s="193">
        <v>903</v>
      </c>
      <c r="L124" s="193">
        <v>950</v>
      </c>
      <c r="M124" s="194">
        <v>950</v>
      </c>
      <c r="N124" s="284" t="s">
        <v>1</v>
      </c>
      <c r="O124" s="285" t="s">
        <v>1</v>
      </c>
      <c r="P124" s="285" t="s">
        <v>1</v>
      </c>
      <c r="Q124" s="285" t="s">
        <v>1</v>
      </c>
      <c r="R124" s="285" t="s">
        <v>1</v>
      </c>
      <c r="S124" s="286" t="s">
        <v>1</v>
      </c>
      <c r="T124" s="285" t="s">
        <v>1</v>
      </c>
      <c r="U124" s="285" t="s">
        <v>1</v>
      </c>
      <c r="V124" s="285" t="s">
        <v>1</v>
      </c>
      <c r="W124" s="285" t="s">
        <v>1</v>
      </c>
      <c r="X124" s="286" t="s">
        <v>1</v>
      </c>
      <c r="Y124" s="285" t="s">
        <v>1</v>
      </c>
      <c r="Z124" s="285" t="s">
        <v>1</v>
      </c>
      <c r="AA124" s="285" t="s">
        <v>1</v>
      </c>
      <c r="AB124" s="285" t="s">
        <v>1</v>
      </c>
      <c r="AC124" s="286" t="s">
        <v>1</v>
      </c>
      <c r="AD124" s="285" t="s">
        <v>1</v>
      </c>
      <c r="AE124" s="285" t="s">
        <v>1</v>
      </c>
      <c r="AF124" s="285" t="s">
        <v>1</v>
      </c>
      <c r="AG124" s="285" t="s">
        <v>1</v>
      </c>
      <c r="AH124" s="286" t="s">
        <v>1</v>
      </c>
      <c r="AI124" s="295" t="s">
        <v>1</v>
      </c>
      <c r="AJ124" s="295" t="s">
        <v>1</v>
      </c>
      <c r="AK124" s="295" t="s">
        <v>1</v>
      </c>
      <c r="AL124" s="286">
        <v>380</v>
      </c>
      <c r="AM124" s="288" t="s">
        <v>1</v>
      </c>
      <c r="AN124" s="287" t="s">
        <v>1</v>
      </c>
      <c r="AO124" s="287" t="s">
        <v>1</v>
      </c>
      <c r="AP124" s="286" t="s">
        <v>1</v>
      </c>
      <c r="AQ124" s="285" t="s">
        <v>1</v>
      </c>
      <c r="AR124" s="289" t="s">
        <v>1</v>
      </c>
      <c r="AS124" s="289" t="s">
        <v>1</v>
      </c>
      <c r="AT124" s="290" t="s">
        <v>1</v>
      </c>
      <c r="AU124" s="287" t="s">
        <v>1</v>
      </c>
      <c r="AV124" s="287" t="s">
        <v>1</v>
      </c>
      <c r="AW124" s="291" t="s">
        <v>1</v>
      </c>
    </row>
    <row r="125" spans="1:49" ht="30.15" customHeight="1" x14ac:dyDescent="0.25">
      <c r="A125" s="188" t="s">
        <v>18</v>
      </c>
      <c r="B125" s="189" t="s">
        <v>1</v>
      </c>
      <c r="C125" s="188" t="s">
        <v>35</v>
      </c>
      <c r="D125" s="190" t="s">
        <v>3</v>
      </c>
      <c r="E125" s="190" t="s">
        <v>1143</v>
      </c>
      <c r="F125" s="203"/>
      <c r="G125" s="190" t="s">
        <v>1149</v>
      </c>
      <c r="H125" s="192" t="s">
        <v>414</v>
      </c>
      <c r="I125" s="193">
        <v>1064</v>
      </c>
      <c r="J125" s="193">
        <v>1093</v>
      </c>
      <c r="K125" s="193">
        <v>1093</v>
      </c>
      <c r="L125" s="193">
        <v>1150</v>
      </c>
      <c r="M125" s="194">
        <v>1150</v>
      </c>
      <c r="N125" s="284" t="s">
        <v>1</v>
      </c>
      <c r="O125" s="285" t="s">
        <v>1</v>
      </c>
      <c r="P125" s="285" t="s">
        <v>1</v>
      </c>
      <c r="Q125" s="285" t="s">
        <v>1</v>
      </c>
      <c r="R125" s="285" t="s">
        <v>1</v>
      </c>
      <c r="S125" s="286" t="s">
        <v>1</v>
      </c>
      <c r="T125" s="285" t="s">
        <v>1</v>
      </c>
      <c r="U125" s="285" t="s">
        <v>1</v>
      </c>
      <c r="V125" s="285" t="s">
        <v>1</v>
      </c>
      <c r="W125" s="285" t="s">
        <v>1</v>
      </c>
      <c r="X125" s="286" t="s">
        <v>1</v>
      </c>
      <c r="Y125" s="285" t="s">
        <v>1</v>
      </c>
      <c r="Z125" s="285" t="s">
        <v>1</v>
      </c>
      <c r="AA125" s="285" t="s">
        <v>1</v>
      </c>
      <c r="AB125" s="285" t="s">
        <v>1</v>
      </c>
      <c r="AC125" s="286" t="s">
        <v>1</v>
      </c>
      <c r="AD125" s="285" t="s">
        <v>1</v>
      </c>
      <c r="AE125" s="285" t="s">
        <v>1</v>
      </c>
      <c r="AF125" s="285" t="s">
        <v>1</v>
      </c>
      <c r="AG125" s="285" t="s">
        <v>1</v>
      </c>
      <c r="AH125" s="286" t="s">
        <v>1</v>
      </c>
      <c r="AI125" s="295" t="s">
        <v>1</v>
      </c>
      <c r="AJ125" s="295" t="s">
        <v>1</v>
      </c>
      <c r="AK125" s="295" t="s">
        <v>1</v>
      </c>
      <c r="AL125" s="286">
        <v>460</v>
      </c>
      <c r="AM125" s="288" t="s">
        <v>1</v>
      </c>
      <c r="AN125" s="287" t="s">
        <v>1</v>
      </c>
      <c r="AO125" s="287" t="s">
        <v>1</v>
      </c>
      <c r="AP125" s="286" t="s">
        <v>1</v>
      </c>
      <c r="AQ125" s="285" t="s">
        <v>1</v>
      </c>
      <c r="AR125" s="289" t="s">
        <v>1</v>
      </c>
      <c r="AS125" s="289" t="s">
        <v>1</v>
      </c>
      <c r="AT125" s="290" t="s">
        <v>1</v>
      </c>
      <c r="AU125" s="287" t="s">
        <v>1</v>
      </c>
      <c r="AV125" s="287" t="s">
        <v>1</v>
      </c>
      <c r="AW125" s="291" t="s">
        <v>1</v>
      </c>
    </row>
    <row r="126" spans="1:49" ht="30.15" customHeight="1" x14ac:dyDescent="0.25">
      <c r="A126" s="188" t="s">
        <v>18</v>
      </c>
      <c r="B126" s="189" t="s">
        <v>1</v>
      </c>
      <c r="C126" s="188" t="s">
        <v>35</v>
      </c>
      <c r="D126" s="190" t="s">
        <v>3</v>
      </c>
      <c r="E126" s="190" t="s">
        <v>1144</v>
      </c>
      <c r="F126" s="203"/>
      <c r="G126" s="190" t="s">
        <v>1149</v>
      </c>
      <c r="H126" s="192" t="s">
        <v>414</v>
      </c>
      <c r="I126" s="193">
        <v>1064</v>
      </c>
      <c r="J126" s="193">
        <v>1093</v>
      </c>
      <c r="K126" s="193">
        <v>1093</v>
      </c>
      <c r="L126" s="193">
        <v>1150</v>
      </c>
      <c r="M126" s="194">
        <v>1150</v>
      </c>
      <c r="N126" s="284" t="s">
        <v>1</v>
      </c>
      <c r="O126" s="285" t="s">
        <v>1</v>
      </c>
      <c r="P126" s="285" t="s">
        <v>1</v>
      </c>
      <c r="Q126" s="285" t="s">
        <v>1</v>
      </c>
      <c r="R126" s="285" t="s">
        <v>1</v>
      </c>
      <c r="S126" s="286" t="s">
        <v>1</v>
      </c>
      <c r="T126" s="285" t="s">
        <v>1</v>
      </c>
      <c r="U126" s="285" t="s">
        <v>1</v>
      </c>
      <c r="V126" s="285" t="s">
        <v>1</v>
      </c>
      <c r="W126" s="285" t="s">
        <v>1</v>
      </c>
      <c r="X126" s="286" t="s">
        <v>1</v>
      </c>
      <c r="Y126" s="285" t="s">
        <v>1</v>
      </c>
      <c r="Z126" s="285" t="s">
        <v>1</v>
      </c>
      <c r="AA126" s="285" t="s">
        <v>1</v>
      </c>
      <c r="AB126" s="285" t="s">
        <v>1</v>
      </c>
      <c r="AC126" s="286" t="s">
        <v>1</v>
      </c>
      <c r="AD126" s="285" t="s">
        <v>1</v>
      </c>
      <c r="AE126" s="285" t="s">
        <v>1</v>
      </c>
      <c r="AF126" s="285" t="s">
        <v>1</v>
      </c>
      <c r="AG126" s="285" t="s">
        <v>1</v>
      </c>
      <c r="AH126" s="286" t="s">
        <v>1</v>
      </c>
      <c r="AI126" s="295" t="s">
        <v>1</v>
      </c>
      <c r="AJ126" s="295" t="s">
        <v>1</v>
      </c>
      <c r="AK126" s="295" t="s">
        <v>1</v>
      </c>
      <c r="AL126" s="286">
        <v>460</v>
      </c>
      <c r="AM126" s="288" t="s">
        <v>1</v>
      </c>
      <c r="AN126" s="287" t="s">
        <v>1</v>
      </c>
      <c r="AO126" s="287" t="s">
        <v>1</v>
      </c>
      <c r="AP126" s="286" t="s">
        <v>1</v>
      </c>
      <c r="AQ126" s="285" t="s">
        <v>1</v>
      </c>
      <c r="AR126" s="289" t="s">
        <v>1</v>
      </c>
      <c r="AS126" s="289" t="s">
        <v>1</v>
      </c>
      <c r="AT126" s="290" t="s">
        <v>1</v>
      </c>
      <c r="AU126" s="287" t="s">
        <v>1</v>
      </c>
      <c r="AV126" s="287" t="s">
        <v>1</v>
      </c>
      <c r="AW126" s="291" t="s">
        <v>1</v>
      </c>
    </row>
    <row r="127" spans="1:49" ht="30.15" customHeight="1" x14ac:dyDescent="0.25">
      <c r="A127" s="188" t="s">
        <v>18</v>
      </c>
      <c r="B127" s="189" t="s">
        <v>1</v>
      </c>
      <c r="C127" s="188" t="s">
        <v>35</v>
      </c>
      <c r="D127" s="190" t="s">
        <v>3</v>
      </c>
      <c r="E127" s="190" t="s">
        <v>1145</v>
      </c>
      <c r="F127" s="203"/>
      <c r="G127" s="190" t="s">
        <v>1149</v>
      </c>
      <c r="H127" s="192" t="s">
        <v>414</v>
      </c>
      <c r="I127" s="193">
        <v>1064</v>
      </c>
      <c r="J127" s="193">
        <v>1093</v>
      </c>
      <c r="K127" s="193">
        <v>1093</v>
      </c>
      <c r="L127" s="193">
        <v>1150</v>
      </c>
      <c r="M127" s="194">
        <v>1150</v>
      </c>
      <c r="N127" s="284" t="s">
        <v>1</v>
      </c>
      <c r="O127" s="285" t="s">
        <v>1</v>
      </c>
      <c r="P127" s="285" t="s">
        <v>1</v>
      </c>
      <c r="Q127" s="285" t="s">
        <v>1</v>
      </c>
      <c r="R127" s="285" t="s">
        <v>1</v>
      </c>
      <c r="S127" s="286" t="s">
        <v>1</v>
      </c>
      <c r="T127" s="285" t="s">
        <v>1</v>
      </c>
      <c r="U127" s="285" t="s">
        <v>1</v>
      </c>
      <c r="V127" s="285" t="s">
        <v>1</v>
      </c>
      <c r="W127" s="285" t="s">
        <v>1</v>
      </c>
      <c r="X127" s="286" t="s">
        <v>1</v>
      </c>
      <c r="Y127" s="285" t="s">
        <v>1</v>
      </c>
      <c r="Z127" s="285" t="s">
        <v>1</v>
      </c>
      <c r="AA127" s="285" t="s">
        <v>1</v>
      </c>
      <c r="AB127" s="285" t="s">
        <v>1</v>
      </c>
      <c r="AC127" s="286" t="s">
        <v>1</v>
      </c>
      <c r="AD127" s="285" t="s">
        <v>1</v>
      </c>
      <c r="AE127" s="285" t="s">
        <v>1</v>
      </c>
      <c r="AF127" s="285" t="s">
        <v>1</v>
      </c>
      <c r="AG127" s="285" t="s">
        <v>1</v>
      </c>
      <c r="AH127" s="286" t="s">
        <v>1</v>
      </c>
      <c r="AI127" s="295" t="s">
        <v>1</v>
      </c>
      <c r="AJ127" s="295" t="s">
        <v>1</v>
      </c>
      <c r="AK127" s="295" t="s">
        <v>1</v>
      </c>
      <c r="AL127" s="286">
        <v>460</v>
      </c>
      <c r="AM127" s="288" t="s">
        <v>1</v>
      </c>
      <c r="AN127" s="287" t="s">
        <v>1</v>
      </c>
      <c r="AO127" s="287" t="s">
        <v>1</v>
      </c>
      <c r="AP127" s="286" t="s">
        <v>1</v>
      </c>
      <c r="AQ127" s="285" t="s">
        <v>1</v>
      </c>
      <c r="AR127" s="289" t="s">
        <v>1</v>
      </c>
      <c r="AS127" s="289" t="s">
        <v>1</v>
      </c>
      <c r="AT127" s="290" t="s">
        <v>1</v>
      </c>
      <c r="AU127" s="287" t="s">
        <v>1</v>
      </c>
      <c r="AV127" s="287" t="s">
        <v>1</v>
      </c>
      <c r="AW127" s="291" t="s">
        <v>1</v>
      </c>
    </row>
    <row r="128" spans="1:49" ht="30.15" customHeight="1" x14ac:dyDescent="0.25">
      <c r="A128" s="188" t="s">
        <v>18</v>
      </c>
      <c r="B128" s="189" t="s">
        <v>1</v>
      </c>
      <c r="C128" s="188" t="s">
        <v>35</v>
      </c>
      <c r="D128" s="190" t="s">
        <v>3</v>
      </c>
      <c r="E128" s="190" t="s">
        <v>1146</v>
      </c>
      <c r="F128" s="203"/>
      <c r="G128" s="190" t="s">
        <v>1149</v>
      </c>
      <c r="H128" s="192" t="s">
        <v>414</v>
      </c>
      <c r="I128" s="193">
        <v>1064</v>
      </c>
      <c r="J128" s="193">
        <v>1093</v>
      </c>
      <c r="K128" s="193">
        <v>1093</v>
      </c>
      <c r="L128" s="193">
        <v>1150</v>
      </c>
      <c r="M128" s="194">
        <v>1150</v>
      </c>
      <c r="N128" s="284" t="s">
        <v>1</v>
      </c>
      <c r="O128" s="285" t="s">
        <v>1</v>
      </c>
      <c r="P128" s="285" t="s">
        <v>1</v>
      </c>
      <c r="Q128" s="285" t="s">
        <v>1</v>
      </c>
      <c r="R128" s="285" t="s">
        <v>1</v>
      </c>
      <c r="S128" s="286" t="s">
        <v>1</v>
      </c>
      <c r="T128" s="285" t="s">
        <v>1</v>
      </c>
      <c r="U128" s="285" t="s">
        <v>1</v>
      </c>
      <c r="V128" s="285" t="s">
        <v>1</v>
      </c>
      <c r="W128" s="285" t="s">
        <v>1</v>
      </c>
      <c r="X128" s="286" t="s">
        <v>1</v>
      </c>
      <c r="Y128" s="285" t="s">
        <v>1</v>
      </c>
      <c r="Z128" s="285" t="s">
        <v>1</v>
      </c>
      <c r="AA128" s="285" t="s">
        <v>1</v>
      </c>
      <c r="AB128" s="285" t="s">
        <v>1</v>
      </c>
      <c r="AC128" s="286" t="s">
        <v>1</v>
      </c>
      <c r="AD128" s="285" t="s">
        <v>1</v>
      </c>
      <c r="AE128" s="285" t="s">
        <v>1</v>
      </c>
      <c r="AF128" s="285" t="s">
        <v>1</v>
      </c>
      <c r="AG128" s="285" t="s">
        <v>1</v>
      </c>
      <c r="AH128" s="286" t="s">
        <v>1</v>
      </c>
      <c r="AI128" s="295" t="s">
        <v>1</v>
      </c>
      <c r="AJ128" s="295" t="s">
        <v>1</v>
      </c>
      <c r="AK128" s="295" t="s">
        <v>1</v>
      </c>
      <c r="AL128" s="286">
        <v>460</v>
      </c>
      <c r="AM128" s="288" t="s">
        <v>1</v>
      </c>
      <c r="AN128" s="287" t="s">
        <v>1</v>
      </c>
      <c r="AO128" s="287" t="s">
        <v>1</v>
      </c>
      <c r="AP128" s="286" t="s">
        <v>1</v>
      </c>
      <c r="AQ128" s="285" t="s">
        <v>1</v>
      </c>
      <c r="AR128" s="289" t="s">
        <v>1</v>
      </c>
      <c r="AS128" s="289" t="s">
        <v>1</v>
      </c>
      <c r="AT128" s="290" t="s">
        <v>1</v>
      </c>
      <c r="AU128" s="287" t="s">
        <v>1</v>
      </c>
      <c r="AV128" s="287" t="s">
        <v>1</v>
      </c>
      <c r="AW128" s="291" t="s">
        <v>1</v>
      </c>
    </row>
    <row r="129" spans="1:49" ht="30.15" customHeight="1" x14ac:dyDescent="0.25">
      <c r="A129" s="188" t="s">
        <v>18</v>
      </c>
      <c r="B129" s="189" t="s">
        <v>1</v>
      </c>
      <c r="C129" s="188" t="s">
        <v>35</v>
      </c>
      <c r="D129" s="190" t="s">
        <v>3</v>
      </c>
      <c r="E129" s="190" t="s">
        <v>1147</v>
      </c>
      <c r="F129" s="203"/>
      <c r="G129" s="190" t="s">
        <v>1149</v>
      </c>
      <c r="H129" s="192" t="s">
        <v>414</v>
      </c>
      <c r="I129" s="193">
        <v>1064</v>
      </c>
      <c r="J129" s="193">
        <v>1093</v>
      </c>
      <c r="K129" s="193">
        <v>1093</v>
      </c>
      <c r="L129" s="193">
        <v>1150</v>
      </c>
      <c r="M129" s="194">
        <v>1150</v>
      </c>
      <c r="N129" s="284" t="s">
        <v>1</v>
      </c>
      <c r="O129" s="285" t="s">
        <v>1</v>
      </c>
      <c r="P129" s="285" t="s">
        <v>1</v>
      </c>
      <c r="Q129" s="285" t="s">
        <v>1</v>
      </c>
      <c r="R129" s="285" t="s">
        <v>1</v>
      </c>
      <c r="S129" s="286" t="s">
        <v>1</v>
      </c>
      <c r="T129" s="285" t="s">
        <v>1</v>
      </c>
      <c r="U129" s="285" t="s">
        <v>1</v>
      </c>
      <c r="V129" s="285" t="s">
        <v>1</v>
      </c>
      <c r="W129" s="285" t="s">
        <v>1</v>
      </c>
      <c r="X129" s="286" t="s">
        <v>1</v>
      </c>
      <c r="Y129" s="285" t="s">
        <v>1</v>
      </c>
      <c r="Z129" s="285" t="s">
        <v>1</v>
      </c>
      <c r="AA129" s="285" t="s">
        <v>1</v>
      </c>
      <c r="AB129" s="285" t="s">
        <v>1</v>
      </c>
      <c r="AC129" s="286" t="s">
        <v>1</v>
      </c>
      <c r="AD129" s="285" t="s">
        <v>1</v>
      </c>
      <c r="AE129" s="285" t="s">
        <v>1</v>
      </c>
      <c r="AF129" s="285" t="s">
        <v>1</v>
      </c>
      <c r="AG129" s="285" t="s">
        <v>1</v>
      </c>
      <c r="AH129" s="286" t="s">
        <v>1</v>
      </c>
      <c r="AI129" s="295" t="s">
        <v>1</v>
      </c>
      <c r="AJ129" s="295" t="s">
        <v>1</v>
      </c>
      <c r="AK129" s="295" t="s">
        <v>1</v>
      </c>
      <c r="AL129" s="286">
        <v>460</v>
      </c>
      <c r="AM129" s="288" t="s">
        <v>1</v>
      </c>
      <c r="AN129" s="287" t="s">
        <v>1</v>
      </c>
      <c r="AO129" s="287" t="s">
        <v>1</v>
      </c>
      <c r="AP129" s="286" t="s">
        <v>1</v>
      </c>
      <c r="AQ129" s="285" t="s">
        <v>1</v>
      </c>
      <c r="AR129" s="289" t="s">
        <v>1</v>
      </c>
      <c r="AS129" s="289" t="s">
        <v>1</v>
      </c>
      <c r="AT129" s="290" t="s">
        <v>1</v>
      </c>
      <c r="AU129" s="287" t="s">
        <v>1</v>
      </c>
      <c r="AV129" s="287" t="s">
        <v>1</v>
      </c>
      <c r="AW129" s="291" t="s">
        <v>1</v>
      </c>
    </row>
    <row r="130" spans="1:49" ht="30.15" customHeight="1" x14ac:dyDescent="0.25">
      <c r="A130" s="188" t="s">
        <v>18</v>
      </c>
      <c r="B130" s="189" t="s">
        <v>1</v>
      </c>
      <c r="C130" s="188" t="s">
        <v>35</v>
      </c>
      <c r="D130" s="190" t="s">
        <v>3</v>
      </c>
      <c r="E130" s="190" t="s">
        <v>112</v>
      </c>
      <c r="F130" s="203"/>
      <c r="G130" s="190" t="s">
        <v>228</v>
      </c>
      <c r="H130" s="192" t="s">
        <v>409</v>
      </c>
      <c r="I130" s="193">
        <v>666</v>
      </c>
      <c r="J130" s="193">
        <v>712</v>
      </c>
      <c r="K130" s="193">
        <v>712</v>
      </c>
      <c r="L130" s="193">
        <v>519</v>
      </c>
      <c r="M130" s="194">
        <v>519</v>
      </c>
      <c r="N130" s="284" t="s">
        <v>1</v>
      </c>
      <c r="O130" s="285" t="s">
        <v>1</v>
      </c>
      <c r="P130" s="285" t="s">
        <v>1</v>
      </c>
      <c r="Q130" s="285" t="s">
        <v>1</v>
      </c>
      <c r="R130" s="285" t="s">
        <v>1</v>
      </c>
      <c r="S130" s="286" t="s">
        <v>1</v>
      </c>
      <c r="T130" s="285" t="s">
        <v>1</v>
      </c>
      <c r="U130" s="285" t="s">
        <v>1</v>
      </c>
      <c r="V130" s="285" t="s">
        <v>1</v>
      </c>
      <c r="W130" s="285" t="s">
        <v>1</v>
      </c>
      <c r="X130" s="286" t="s">
        <v>1</v>
      </c>
      <c r="Y130" s="285" t="s">
        <v>1</v>
      </c>
      <c r="Z130" s="285" t="s">
        <v>1</v>
      </c>
      <c r="AA130" s="285" t="s">
        <v>1</v>
      </c>
      <c r="AB130" s="285" t="s">
        <v>1</v>
      </c>
      <c r="AC130" s="286" t="s">
        <v>1</v>
      </c>
      <c r="AD130" s="285" t="s">
        <v>1</v>
      </c>
      <c r="AE130" s="285" t="s">
        <v>1</v>
      </c>
      <c r="AF130" s="285" t="s">
        <v>1</v>
      </c>
      <c r="AG130" s="285" t="s">
        <v>1</v>
      </c>
      <c r="AH130" s="286" t="s">
        <v>1</v>
      </c>
      <c r="AI130" s="295" t="s">
        <v>1</v>
      </c>
      <c r="AJ130" s="295" t="s">
        <v>1</v>
      </c>
      <c r="AK130" s="295" t="s">
        <v>1</v>
      </c>
      <c r="AL130" s="286">
        <v>207.6</v>
      </c>
      <c r="AM130" s="288" t="s">
        <v>1</v>
      </c>
      <c r="AN130" s="287" t="s">
        <v>1</v>
      </c>
      <c r="AO130" s="287" t="s">
        <v>1</v>
      </c>
      <c r="AP130" s="286" t="s">
        <v>1</v>
      </c>
      <c r="AQ130" s="285" t="s">
        <v>1</v>
      </c>
      <c r="AR130" s="289" t="s">
        <v>1</v>
      </c>
      <c r="AS130" s="289" t="s">
        <v>1</v>
      </c>
      <c r="AT130" s="290" t="s">
        <v>1</v>
      </c>
      <c r="AU130" s="287" t="s">
        <v>1</v>
      </c>
      <c r="AV130" s="287" t="s">
        <v>1</v>
      </c>
      <c r="AW130" s="291" t="s">
        <v>1</v>
      </c>
    </row>
    <row r="131" spans="1:49" ht="30.15" customHeight="1" x14ac:dyDescent="0.25">
      <c r="A131" s="188" t="s">
        <v>18</v>
      </c>
      <c r="B131" s="189" t="s">
        <v>1</v>
      </c>
      <c r="C131" s="188" t="s">
        <v>35</v>
      </c>
      <c r="D131" s="190" t="s">
        <v>3</v>
      </c>
      <c r="E131" s="190" t="s">
        <v>110</v>
      </c>
      <c r="F131" s="203"/>
      <c r="G131" s="190" t="s">
        <v>228</v>
      </c>
      <c r="H131" s="192" t="s">
        <v>409</v>
      </c>
      <c r="I131" s="193">
        <v>666</v>
      </c>
      <c r="J131" s="193">
        <v>712</v>
      </c>
      <c r="K131" s="193">
        <v>712</v>
      </c>
      <c r="L131" s="193">
        <v>519</v>
      </c>
      <c r="M131" s="194">
        <v>519</v>
      </c>
      <c r="N131" s="284" t="s">
        <v>1</v>
      </c>
      <c r="O131" s="285" t="s">
        <v>1</v>
      </c>
      <c r="P131" s="285" t="s">
        <v>1</v>
      </c>
      <c r="Q131" s="285" t="s">
        <v>1</v>
      </c>
      <c r="R131" s="285" t="s">
        <v>1</v>
      </c>
      <c r="S131" s="286" t="s">
        <v>1</v>
      </c>
      <c r="T131" s="285" t="s">
        <v>1</v>
      </c>
      <c r="U131" s="285" t="s">
        <v>1</v>
      </c>
      <c r="V131" s="285" t="s">
        <v>1</v>
      </c>
      <c r="W131" s="285" t="s">
        <v>1</v>
      </c>
      <c r="X131" s="286" t="s">
        <v>1</v>
      </c>
      <c r="Y131" s="285" t="s">
        <v>1</v>
      </c>
      <c r="Z131" s="285" t="s">
        <v>1</v>
      </c>
      <c r="AA131" s="285" t="s">
        <v>1</v>
      </c>
      <c r="AB131" s="285" t="s">
        <v>1</v>
      </c>
      <c r="AC131" s="286" t="s">
        <v>1</v>
      </c>
      <c r="AD131" s="285" t="s">
        <v>1</v>
      </c>
      <c r="AE131" s="285" t="s">
        <v>1</v>
      </c>
      <c r="AF131" s="285" t="s">
        <v>1</v>
      </c>
      <c r="AG131" s="285" t="s">
        <v>1</v>
      </c>
      <c r="AH131" s="286" t="s">
        <v>1</v>
      </c>
      <c r="AI131" s="295" t="s">
        <v>1</v>
      </c>
      <c r="AJ131" s="295" t="s">
        <v>1</v>
      </c>
      <c r="AK131" s="295" t="s">
        <v>1</v>
      </c>
      <c r="AL131" s="286">
        <v>207.6</v>
      </c>
      <c r="AM131" s="288" t="s">
        <v>1</v>
      </c>
      <c r="AN131" s="287" t="s">
        <v>1</v>
      </c>
      <c r="AO131" s="287" t="s">
        <v>1</v>
      </c>
      <c r="AP131" s="286" t="s">
        <v>1</v>
      </c>
      <c r="AQ131" s="285" t="s">
        <v>1</v>
      </c>
      <c r="AR131" s="289" t="s">
        <v>1</v>
      </c>
      <c r="AS131" s="289" t="s">
        <v>1</v>
      </c>
      <c r="AT131" s="290" t="s">
        <v>1</v>
      </c>
      <c r="AU131" s="287" t="s">
        <v>1</v>
      </c>
      <c r="AV131" s="287" t="s">
        <v>1</v>
      </c>
      <c r="AW131" s="291" t="s">
        <v>1</v>
      </c>
    </row>
    <row r="132" spans="1:49" ht="30.15" customHeight="1" x14ac:dyDescent="0.25">
      <c r="A132" s="188" t="s">
        <v>18</v>
      </c>
      <c r="B132" s="189" t="s">
        <v>1</v>
      </c>
      <c r="C132" s="188" t="s">
        <v>35</v>
      </c>
      <c r="D132" s="190" t="s">
        <v>3</v>
      </c>
      <c r="E132" s="190" t="s">
        <v>111</v>
      </c>
      <c r="F132" s="203"/>
      <c r="G132" s="190" t="s">
        <v>228</v>
      </c>
      <c r="H132" s="192" t="s">
        <v>409</v>
      </c>
      <c r="I132" s="193">
        <v>666</v>
      </c>
      <c r="J132" s="193">
        <v>712</v>
      </c>
      <c r="K132" s="193">
        <v>712</v>
      </c>
      <c r="L132" s="193">
        <v>519</v>
      </c>
      <c r="M132" s="194">
        <v>519</v>
      </c>
      <c r="N132" s="284" t="s">
        <v>1</v>
      </c>
      <c r="O132" s="285" t="s">
        <v>1</v>
      </c>
      <c r="P132" s="285" t="s">
        <v>1</v>
      </c>
      <c r="Q132" s="285" t="s">
        <v>1</v>
      </c>
      <c r="R132" s="285" t="s">
        <v>1</v>
      </c>
      <c r="S132" s="286" t="s">
        <v>1</v>
      </c>
      <c r="T132" s="285" t="s">
        <v>1</v>
      </c>
      <c r="U132" s="285" t="s">
        <v>1</v>
      </c>
      <c r="V132" s="285" t="s">
        <v>1</v>
      </c>
      <c r="W132" s="285" t="s">
        <v>1</v>
      </c>
      <c r="X132" s="286" t="s">
        <v>1</v>
      </c>
      <c r="Y132" s="285" t="s">
        <v>1</v>
      </c>
      <c r="Z132" s="285" t="s">
        <v>1</v>
      </c>
      <c r="AA132" s="285" t="s">
        <v>1</v>
      </c>
      <c r="AB132" s="285" t="s">
        <v>1</v>
      </c>
      <c r="AC132" s="286" t="s">
        <v>1</v>
      </c>
      <c r="AD132" s="285" t="s">
        <v>1</v>
      </c>
      <c r="AE132" s="285" t="s">
        <v>1</v>
      </c>
      <c r="AF132" s="285" t="s">
        <v>1</v>
      </c>
      <c r="AG132" s="285" t="s">
        <v>1</v>
      </c>
      <c r="AH132" s="286" t="s">
        <v>1</v>
      </c>
      <c r="AI132" s="295" t="s">
        <v>1</v>
      </c>
      <c r="AJ132" s="295" t="s">
        <v>1</v>
      </c>
      <c r="AK132" s="295" t="s">
        <v>1</v>
      </c>
      <c r="AL132" s="286">
        <v>207.6</v>
      </c>
      <c r="AM132" s="288" t="s">
        <v>1</v>
      </c>
      <c r="AN132" s="287" t="s">
        <v>1</v>
      </c>
      <c r="AO132" s="287" t="s">
        <v>1</v>
      </c>
      <c r="AP132" s="286" t="s">
        <v>1</v>
      </c>
      <c r="AQ132" s="285" t="s">
        <v>1</v>
      </c>
      <c r="AR132" s="289" t="s">
        <v>1</v>
      </c>
      <c r="AS132" s="289" t="s">
        <v>1</v>
      </c>
      <c r="AT132" s="290" t="s">
        <v>1</v>
      </c>
      <c r="AU132" s="287" t="s">
        <v>1</v>
      </c>
      <c r="AV132" s="287" t="s">
        <v>1</v>
      </c>
      <c r="AW132" s="291" t="s">
        <v>1</v>
      </c>
    </row>
    <row r="133" spans="1:49" ht="30.15" customHeight="1" x14ac:dyDescent="0.25">
      <c r="A133" s="188" t="s">
        <v>18</v>
      </c>
      <c r="B133" s="189" t="s">
        <v>1</v>
      </c>
      <c r="C133" s="188" t="s">
        <v>35</v>
      </c>
      <c r="D133" s="190" t="s">
        <v>3</v>
      </c>
      <c r="E133" s="190" t="s">
        <v>229</v>
      </c>
      <c r="F133" s="203"/>
      <c r="G133" s="190" t="s">
        <v>230</v>
      </c>
      <c r="H133" s="192" t="s">
        <v>409</v>
      </c>
      <c r="I133" s="193">
        <v>592</v>
      </c>
      <c r="J133" s="194">
        <v>620</v>
      </c>
      <c r="K133" s="193">
        <v>620</v>
      </c>
      <c r="L133" s="193">
        <v>389</v>
      </c>
      <c r="M133" s="194">
        <v>389</v>
      </c>
      <c r="N133" s="284" t="s">
        <v>1</v>
      </c>
      <c r="O133" s="285" t="s">
        <v>1</v>
      </c>
      <c r="P133" s="285" t="s">
        <v>1</v>
      </c>
      <c r="Q133" s="285" t="s">
        <v>1</v>
      </c>
      <c r="R133" s="285" t="s">
        <v>1</v>
      </c>
      <c r="S133" s="286" t="s">
        <v>1</v>
      </c>
      <c r="T133" s="285" t="s">
        <v>1</v>
      </c>
      <c r="U133" s="285" t="s">
        <v>1</v>
      </c>
      <c r="V133" s="285" t="s">
        <v>1</v>
      </c>
      <c r="W133" s="285" t="s">
        <v>1</v>
      </c>
      <c r="X133" s="286" t="s">
        <v>1</v>
      </c>
      <c r="Y133" s="285" t="s">
        <v>1</v>
      </c>
      <c r="Z133" s="285" t="s">
        <v>1</v>
      </c>
      <c r="AA133" s="285" t="s">
        <v>1</v>
      </c>
      <c r="AB133" s="285" t="s">
        <v>1</v>
      </c>
      <c r="AC133" s="286" t="s">
        <v>1</v>
      </c>
      <c r="AD133" s="285" t="s">
        <v>1</v>
      </c>
      <c r="AE133" s="285" t="s">
        <v>1</v>
      </c>
      <c r="AF133" s="285" t="s">
        <v>1</v>
      </c>
      <c r="AG133" s="285" t="s">
        <v>1</v>
      </c>
      <c r="AH133" s="286" t="s">
        <v>1</v>
      </c>
      <c r="AI133" s="295" t="s">
        <v>1</v>
      </c>
      <c r="AJ133" s="295" t="s">
        <v>1</v>
      </c>
      <c r="AK133" s="295" t="s">
        <v>1</v>
      </c>
      <c r="AL133" s="286">
        <v>155.6</v>
      </c>
      <c r="AM133" s="288" t="s">
        <v>1</v>
      </c>
      <c r="AN133" s="287" t="s">
        <v>1</v>
      </c>
      <c r="AO133" s="287" t="s">
        <v>1</v>
      </c>
      <c r="AP133" s="286" t="s">
        <v>1</v>
      </c>
      <c r="AQ133" s="285" t="s">
        <v>1</v>
      </c>
      <c r="AR133" s="289" t="s">
        <v>1</v>
      </c>
      <c r="AS133" s="289" t="s">
        <v>1</v>
      </c>
      <c r="AT133" s="290" t="s">
        <v>1</v>
      </c>
      <c r="AU133" s="287" t="s">
        <v>1</v>
      </c>
      <c r="AV133" s="287" t="s">
        <v>1</v>
      </c>
      <c r="AW133" s="291" t="s">
        <v>1</v>
      </c>
    </row>
    <row r="134" spans="1:49" ht="30.15" customHeight="1" x14ac:dyDescent="0.25">
      <c r="A134" s="188" t="s">
        <v>18</v>
      </c>
      <c r="B134" s="189" t="s">
        <v>1</v>
      </c>
      <c r="C134" s="188" t="s">
        <v>35</v>
      </c>
      <c r="D134" s="190" t="s">
        <v>3</v>
      </c>
      <c r="E134" s="190" t="s">
        <v>117</v>
      </c>
      <c r="F134" s="203"/>
      <c r="G134" s="190" t="s">
        <v>120</v>
      </c>
      <c r="H134" s="192" t="s">
        <v>409</v>
      </c>
      <c r="I134" s="193">
        <v>1258</v>
      </c>
      <c r="J134" s="193">
        <v>1330</v>
      </c>
      <c r="K134" s="193">
        <v>1330</v>
      </c>
      <c r="L134" s="193">
        <v>1359</v>
      </c>
      <c r="M134" s="194">
        <v>1359</v>
      </c>
      <c r="N134" s="284" t="s">
        <v>1</v>
      </c>
      <c r="O134" s="285" t="s">
        <v>1</v>
      </c>
      <c r="P134" s="285" t="s">
        <v>1</v>
      </c>
      <c r="Q134" s="285" t="s">
        <v>1</v>
      </c>
      <c r="R134" s="285" t="s">
        <v>1</v>
      </c>
      <c r="S134" s="286" t="s">
        <v>1</v>
      </c>
      <c r="T134" s="285" t="s">
        <v>1</v>
      </c>
      <c r="U134" s="285" t="s">
        <v>1</v>
      </c>
      <c r="V134" s="285" t="s">
        <v>1</v>
      </c>
      <c r="W134" s="285" t="s">
        <v>1</v>
      </c>
      <c r="X134" s="286" t="s">
        <v>1</v>
      </c>
      <c r="Y134" s="285" t="s">
        <v>1</v>
      </c>
      <c r="Z134" s="285" t="s">
        <v>1</v>
      </c>
      <c r="AA134" s="285" t="s">
        <v>1</v>
      </c>
      <c r="AB134" s="285" t="s">
        <v>1</v>
      </c>
      <c r="AC134" s="286" t="s">
        <v>1</v>
      </c>
      <c r="AD134" s="285" t="s">
        <v>1</v>
      </c>
      <c r="AE134" s="285" t="s">
        <v>1</v>
      </c>
      <c r="AF134" s="285" t="s">
        <v>1</v>
      </c>
      <c r="AG134" s="285" t="s">
        <v>1</v>
      </c>
      <c r="AH134" s="286" t="s">
        <v>1</v>
      </c>
      <c r="AI134" s="295" t="s">
        <v>1</v>
      </c>
      <c r="AJ134" s="295" t="s">
        <v>1</v>
      </c>
      <c r="AK134" s="295" t="s">
        <v>1</v>
      </c>
      <c r="AL134" s="286">
        <v>543.6</v>
      </c>
      <c r="AM134" s="288" t="s">
        <v>1</v>
      </c>
      <c r="AN134" s="287" t="s">
        <v>1</v>
      </c>
      <c r="AO134" s="287" t="s">
        <v>1</v>
      </c>
      <c r="AP134" s="286" t="s">
        <v>1</v>
      </c>
      <c r="AQ134" s="285" t="s">
        <v>1</v>
      </c>
      <c r="AR134" s="289" t="s">
        <v>1</v>
      </c>
      <c r="AS134" s="289" t="s">
        <v>1</v>
      </c>
      <c r="AT134" s="290" t="s">
        <v>1</v>
      </c>
      <c r="AU134" s="287" t="s">
        <v>1</v>
      </c>
      <c r="AV134" s="287" t="s">
        <v>1</v>
      </c>
      <c r="AW134" s="291" t="s">
        <v>1</v>
      </c>
    </row>
    <row r="135" spans="1:49" ht="30.15" customHeight="1" x14ac:dyDescent="0.25">
      <c r="A135" s="188" t="s">
        <v>18</v>
      </c>
      <c r="B135" s="189" t="s">
        <v>1</v>
      </c>
      <c r="C135" s="188" t="s">
        <v>35</v>
      </c>
      <c r="D135" s="190" t="s">
        <v>3</v>
      </c>
      <c r="E135" s="190" t="s">
        <v>119</v>
      </c>
      <c r="F135" s="203"/>
      <c r="G135" s="190" t="s">
        <v>120</v>
      </c>
      <c r="H135" s="192" t="s">
        <v>409</v>
      </c>
      <c r="I135" s="193">
        <v>1258</v>
      </c>
      <c r="J135" s="193">
        <v>1330</v>
      </c>
      <c r="K135" s="193">
        <v>1330</v>
      </c>
      <c r="L135" s="193">
        <v>1359</v>
      </c>
      <c r="M135" s="194">
        <v>1359</v>
      </c>
      <c r="N135" s="284" t="s">
        <v>1</v>
      </c>
      <c r="O135" s="285" t="s">
        <v>1</v>
      </c>
      <c r="P135" s="285" t="s">
        <v>1</v>
      </c>
      <c r="Q135" s="285" t="s">
        <v>1</v>
      </c>
      <c r="R135" s="285" t="s">
        <v>1</v>
      </c>
      <c r="S135" s="286" t="s">
        <v>1</v>
      </c>
      <c r="T135" s="285" t="s">
        <v>1</v>
      </c>
      <c r="U135" s="285" t="s">
        <v>1</v>
      </c>
      <c r="V135" s="285" t="s">
        <v>1</v>
      </c>
      <c r="W135" s="285" t="s">
        <v>1</v>
      </c>
      <c r="X135" s="286" t="s">
        <v>1</v>
      </c>
      <c r="Y135" s="285" t="s">
        <v>1</v>
      </c>
      <c r="Z135" s="285" t="s">
        <v>1</v>
      </c>
      <c r="AA135" s="285" t="s">
        <v>1</v>
      </c>
      <c r="AB135" s="285" t="s">
        <v>1</v>
      </c>
      <c r="AC135" s="286" t="s">
        <v>1</v>
      </c>
      <c r="AD135" s="285" t="s">
        <v>1</v>
      </c>
      <c r="AE135" s="285" t="s">
        <v>1</v>
      </c>
      <c r="AF135" s="285" t="s">
        <v>1</v>
      </c>
      <c r="AG135" s="285" t="s">
        <v>1</v>
      </c>
      <c r="AH135" s="286" t="s">
        <v>1</v>
      </c>
      <c r="AI135" s="295" t="s">
        <v>1</v>
      </c>
      <c r="AJ135" s="295" t="s">
        <v>1</v>
      </c>
      <c r="AK135" s="295" t="s">
        <v>1</v>
      </c>
      <c r="AL135" s="286">
        <v>543.6</v>
      </c>
      <c r="AM135" s="288" t="s">
        <v>1</v>
      </c>
      <c r="AN135" s="287" t="s">
        <v>1</v>
      </c>
      <c r="AO135" s="287" t="s">
        <v>1</v>
      </c>
      <c r="AP135" s="286" t="s">
        <v>1</v>
      </c>
      <c r="AQ135" s="285" t="s">
        <v>1</v>
      </c>
      <c r="AR135" s="289" t="s">
        <v>1</v>
      </c>
      <c r="AS135" s="289" t="s">
        <v>1</v>
      </c>
      <c r="AT135" s="290" t="s">
        <v>1</v>
      </c>
      <c r="AU135" s="287" t="s">
        <v>1</v>
      </c>
      <c r="AV135" s="287" t="s">
        <v>1</v>
      </c>
      <c r="AW135" s="291" t="s">
        <v>1</v>
      </c>
    </row>
    <row r="136" spans="1:49" ht="30.15" customHeight="1" x14ac:dyDescent="0.25">
      <c r="A136" s="188" t="s">
        <v>18</v>
      </c>
      <c r="B136" s="189" t="s">
        <v>1</v>
      </c>
      <c r="C136" s="188" t="s">
        <v>35</v>
      </c>
      <c r="D136" s="190" t="s">
        <v>3</v>
      </c>
      <c r="E136" s="190" t="s">
        <v>118</v>
      </c>
      <c r="F136" s="203"/>
      <c r="G136" s="190" t="s">
        <v>120</v>
      </c>
      <c r="H136" s="192" t="s">
        <v>409</v>
      </c>
      <c r="I136" s="193">
        <v>1258</v>
      </c>
      <c r="J136" s="193">
        <v>1330</v>
      </c>
      <c r="K136" s="193">
        <v>1330</v>
      </c>
      <c r="L136" s="193">
        <v>1359</v>
      </c>
      <c r="M136" s="194">
        <v>1359</v>
      </c>
      <c r="N136" s="284" t="s">
        <v>1</v>
      </c>
      <c r="O136" s="285" t="s">
        <v>1</v>
      </c>
      <c r="P136" s="285" t="s">
        <v>1</v>
      </c>
      <c r="Q136" s="285" t="s">
        <v>1</v>
      </c>
      <c r="R136" s="285" t="s">
        <v>1</v>
      </c>
      <c r="S136" s="286" t="s">
        <v>1</v>
      </c>
      <c r="T136" s="285" t="s">
        <v>1</v>
      </c>
      <c r="U136" s="285" t="s">
        <v>1</v>
      </c>
      <c r="V136" s="285" t="s">
        <v>1</v>
      </c>
      <c r="W136" s="285" t="s">
        <v>1</v>
      </c>
      <c r="X136" s="286" t="s">
        <v>1</v>
      </c>
      <c r="Y136" s="285" t="s">
        <v>1</v>
      </c>
      <c r="Z136" s="285" t="s">
        <v>1</v>
      </c>
      <c r="AA136" s="285" t="s">
        <v>1</v>
      </c>
      <c r="AB136" s="285" t="s">
        <v>1</v>
      </c>
      <c r="AC136" s="286" t="s">
        <v>1</v>
      </c>
      <c r="AD136" s="285" t="s">
        <v>1</v>
      </c>
      <c r="AE136" s="285" t="s">
        <v>1</v>
      </c>
      <c r="AF136" s="285" t="s">
        <v>1</v>
      </c>
      <c r="AG136" s="285" t="s">
        <v>1</v>
      </c>
      <c r="AH136" s="286" t="s">
        <v>1</v>
      </c>
      <c r="AI136" s="295" t="s">
        <v>1</v>
      </c>
      <c r="AJ136" s="295" t="s">
        <v>1</v>
      </c>
      <c r="AK136" s="295" t="s">
        <v>1</v>
      </c>
      <c r="AL136" s="286">
        <v>543.6</v>
      </c>
      <c r="AM136" s="288" t="s">
        <v>1</v>
      </c>
      <c r="AN136" s="287" t="s">
        <v>1</v>
      </c>
      <c r="AO136" s="287" t="s">
        <v>1</v>
      </c>
      <c r="AP136" s="286" t="s">
        <v>1</v>
      </c>
      <c r="AQ136" s="285" t="s">
        <v>1</v>
      </c>
      <c r="AR136" s="289" t="s">
        <v>1</v>
      </c>
      <c r="AS136" s="289" t="s">
        <v>1</v>
      </c>
      <c r="AT136" s="290" t="s">
        <v>1</v>
      </c>
      <c r="AU136" s="287" t="s">
        <v>1</v>
      </c>
      <c r="AV136" s="287" t="s">
        <v>1</v>
      </c>
      <c r="AW136" s="291" t="s">
        <v>1</v>
      </c>
    </row>
    <row r="137" spans="1:49" ht="30.15" customHeight="1" x14ac:dyDescent="0.25">
      <c r="A137" s="188" t="s">
        <v>18</v>
      </c>
      <c r="B137" s="188" t="s">
        <v>1</v>
      </c>
      <c r="C137" s="188" t="s">
        <v>35</v>
      </c>
      <c r="D137" s="190" t="s">
        <v>3</v>
      </c>
      <c r="E137" s="190" t="s">
        <v>286</v>
      </c>
      <c r="F137" s="203"/>
      <c r="G137" s="190" t="s">
        <v>287</v>
      </c>
      <c r="H137" s="192" t="s">
        <v>409</v>
      </c>
      <c r="I137" s="194">
        <v>1129</v>
      </c>
      <c r="J137" s="194">
        <v>1149</v>
      </c>
      <c r="K137" s="193">
        <v>1149</v>
      </c>
      <c r="L137" s="193">
        <v>1219</v>
      </c>
      <c r="M137" s="194">
        <v>1219</v>
      </c>
      <c r="N137" s="284" t="s">
        <v>1</v>
      </c>
      <c r="O137" s="285" t="s">
        <v>1</v>
      </c>
      <c r="P137" s="285" t="s">
        <v>1</v>
      </c>
      <c r="Q137" s="285" t="s">
        <v>1</v>
      </c>
      <c r="R137" s="285" t="s">
        <v>1</v>
      </c>
      <c r="S137" s="286" t="s">
        <v>1</v>
      </c>
      <c r="T137" s="285" t="s">
        <v>1</v>
      </c>
      <c r="U137" s="285" t="s">
        <v>1</v>
      </c>
      <c r="V137" s="285" t="s">
        <v>1</v>
      </c>
      <c r="W137" s="285" t="s">
        <v>1</v>
      </c>
      <c r="X137" s="286" t="s">
        <v>1</v>
      </c>
      <c r="Y137" s="285" t="s">
        <v>1</v>
      </c>
      <c r="Z137" s="285" t="s">
        <v>1</v>
      </c>
      <c r="AA137" s="285" t="s">
        <v>1</v>
      </c>
      <c r="AB137" s="285" t="s">
        <v>1</v>
      </c>
      <c r="AC137" s="286" t="s">
        <v>1</v>
      </c>
      <c r="AD137" s="285" t="s">
        <v>1</v>
      </c>
      <c r="AE137" s="285" t="s">
        <v>1</v>
      </c>
      <c r="AF137" s="285" t="s">
        <v>1</v>
      </c>
      <c r="AG137" s="285" t="s">
        <v>1</v>
      </c>
      <c r="AH137" s="286" t="s">
        <v>1</v>
      </c>
      <c r="AI137" s="295" t="s">
        <v>1</v>
      </c>
      <c r="AJ137" s="295" t="s">
        <v>1</v>
      </c>
      <c r="AK137" s="295" t="s">
        <v>1</v>
      </c>
      <c r="AL137" s="286">
        <v>487.6</v>
      </c>
      <c r="AM137" s="288" t="s">
        <v>1</v>
      </c>
      <c r="AN137" s="287" t="s">
        <v>1</v>
      </c>
      <c r="AO137" s="287" t="s">
        <v>1</v>
      </c>
      <c r="AP137" s="286" t="s">
        <v>1</v>
      </c>
      <c r="AQ137" s="285" t="s">
        <v>1</v>
      </c>
      <c r="AR137" s="289" t="s">
        <v>1</v>
      </c>
      <c r="AS137" s="289" t="s">
        <v>1</v>
      </c>
      <c r="AT137" s="290" t="s">
        <v>1</v>
      </c>
      <c r="AU137" s="287" t="s">
        <v>1</v>
      </c>
      <c r="AV137" s="287" t="s">
        <v>1</v>
      </c>
      <c r="AW137" s="291" t="s">
        <v>1</v>
      </c>
    </row>
    <row r="138" spans="1:49" ht="30.15" customHeight="1" x14ac:dyDescent="0.25">
      <c r="A138" s="188" t="s">
        <v>18</v>
      </c>
      <c r="B138" s="188" t="s">
        <v>1</v>
      </c>
      <c r="C138" s="188" t="s">
        <v>35</v>
      </c>
      <c r="D138" s="190" t="s">
        <v>3</v>
      </c>
      <c r="E138" s="190" t="s">
        <v>533</v>
      </c>
      <c r="F138" s="203"/>
      <c r="G138" s="190" t="s">
        <v>536</v>
      </c>
      <c r="H138" s="192" t="s">
        <v>907</v>
      </c>
      <c r="I138" s="194">
        <v>1110</v>
      </c>
      <c r="J138" s="194">
        <v>1160</v>
      </c>
      <c r="K138" s="193">
        <v>1160</v>
      </c>
      <c r="L138" s="193">
        <v>1199</v>
      </c>
      <c r="M138" s="194">
        <v>1199</v>
      </c>
      <c r="N138" s="284" t="s">
        <v>1</v>
      </c>
      <c r="O138" s="285" t="s">
        <v>1</v>
      </c>
      <c r="P138" s="285" t="s">
        <v>1</v>
      </c>
      <c r="Q138" s="285" t="s">
        <v>1</v>
      </c>
      <c r="R138" s="285" t="s">
        <v>1</v>
      </c>
      <c r="S138" s="286" t="s">
        <v>1</v>
      </c>
      <c r="T138" s="285" t="s">
        <v>1</v>
      </c>
      <c r="U138" s="285" t="s">
        <v>1</v>
      </c>
      <c r="V138" s="285" t="s">
        <v>1</v>
      </c>
      <c r="W138" s="285" t="s">
        <v>1</v>
      </c>
      <c r="X138" s="286" t="s">
        <v>1</v>
      </c>
      <c r="Y138" s="285" t="s">
        <v>1</v>
      </c>
      <c r="Z138" s="285" t="s">
        <v>1</v>
      </c>
      <c r="AA138" s="285" t="s">
        <v>1</v>
      </c>
      <c r="AB138" s="285" t="s">
        <v>1</v>
      </c>
      <c r="AC138" s="286" t="s">
        <v>1</v>
      </c>
      <c r="AD138" s="285" t="s">
        <v>1</v>
      </c>
      <c r="AE138" s="285" t="s">
        <v>1</v>
      </c>
      <c r="AF138" s="285" t="s">
        <v>1</v>
      </c>
      <c r="AG138" s="285" t="s">
        <v>1</v>
      </c>
      <c r="AH138" s="286" t="s">
        <v>1</v>
      </c>
      <c r="AI138" s="295" t="s">
        <v>1</v>
      </c>
      <c r="AJ138" s="295" t="s">
        <v>1</v>
      </c>
      <c r="AK138" s="295" t="s">
        <v>1</v>
      </c>
      <c r="AL138" s="286">
        <v>479.6</v>
      </c>
      <c r="AM138" s="288" t="s">
        <v>1</v>
      </c>
      <c r="AN138" s="287" t="s">
        <v>1</v>
      </c>
      <c r="AO138" s="287" t="s">
        <v>1</v>
      </c>
      <c r="AP138" s="286" t="s">
        <v>1</v>
      </c>
      <c r="AQ138" s="285" t="s">
        <v>1</v>
      </c>
      <c r="AR138" s="289" t="s">
        <v>1</v>
      </c>
      <c r="AS138" s="289" t="s">
        <v>1</v>
      </c>
      <c r="AT138" s="290" t="s">
        <v>1</v>
      </c>
      <c r="AU138" s="287" t="s">
        <v>1</v>
      </c>
      <c r="AV138" s="287" t="s">
        <v>1</v>
      </c>
      <c r="AW138" s="291" t="s">
        <v>1</v>
      </c>
    </row>
    <row r="139" spans="1:49" ht="30.15" customHeight="1" x14ac:dyDescent="0.25">
      <c r="A139" s="188" t="s">
        <v>18</v>
      </c>
      <c r="B139" s="188" t="s">
        <v>1</v>
      </c>
      <c r="C139" s="188" t="s">
        <v>35</v>
      </c>
      <c r="D139" s="190" t="s">
        <v>3</v>
      </c>
      <c r="E139" s="190" t="s">
        <v>857</v>
      </c>
      <c r="F139" s="203"/>
      <c r="G139" s="190" t="s">
        <v>873</v>
      </c>
      <c r="H139" s="192" t="s">
        <v>414</v>
      </c>
      <c r="I139" s="194">
        <v>1157</v>
      </c>
      <c r="J139" s="194">
        <v>1187.5</v>
      </c>
      <c r="K139" s="194">
        <v>1187.5</v>
      </c>
      <c r="L139" s="193">
        <v>1250</v>
      </c>
      <c r="M139" s="194">
        <v>1250</v>
      </c>
      <c r="N139" s="284" t="s">
        <v>1</v>
      </c>
      <c r="O139" s="285" t="s">
        <v>1</v>
      </c>
      <c r="P139" s="285" t="s">
        <v>1</v>
      </c>
      <c r="Q139" s="285" t="s">
        <v>1</v>
      </c>
      <c r="R139" s="285" t="s">
        <v>1</v>
      </c>
      <c r="S139" s="286" t="s">
        <v>1</v>
      </c>
      <c r="T139" s="285" t="s">
        <v>1</v>
      </c>
      <c r="U139" s="285" t="s">
        <v>1</v>
      </c>
      <c r="V139" s="285" t="s">
        <v>1</v>
      </c>
      <c r="W139" s="285" t="s">
        <v>1</v>
      </c>
      <c r="X139" s="286" t="s">
        <v>1</v>
      </c>
      <c r="Y139" s="285" t="s">
        <v>1</v>
      </c>
      <c r="Z139" s="285" t="s">
        <v>1</v>
      </c>
      <c r="AA139" s="285" t="s">
        <v>1</v>
      </c>
      <c r="AB139" s="285" t="s">
        <v>1</v>
      </c>
      <c r="AC139" s="286" t="s">
        <v>1</v>
      </c>
      <c r="AD139" s="285" t="s">
        <v>1</v>
      </c>
      <c r="AE139" s="285" t="s">
        <v>1</v>
      </c>
      <c r="AF139" s="285" t="s">
        <v>1</v>
      </c>
      <c r="AG139" s="285" t="s">
        <v>1</v>
      </c>
      <c r="AH139" s="286" t="s">
        <v>1</v>
      </c>
      <c r="AI139" s="295" t="s">
        <v>1</v>
      </c>
      <c r="AJ139" s="295" t="s">
        <v>1</v>
      </c>
      <c r="AK139" s="295" t="s">
        <v>1</v>
      </c>
      <c r="AL139" s="286">
        <v>500</v>
      </c>
      <c r="AM139" s="288" t="s">
        <v>1</v>
      </c>
      <c r="AN139" s="287" t="s">
        <v>1</v>
      </c>
      <c r="AO139" s="287" t="s">
        <v>1</v>
      </c>
      <c r="AP139" s="286" t="s">
        <v>1</v>
      </c>
      <c r="AQ139" s="285" t="s">
        <v>1</v>
      </c>
      <c r="AR139" s="289" t="s">
        <v>1</v>
      </c>
      <c r="AS139" s="289" t="s">
        <v>1</v>
      </c>
      <c r="AT139" s="290" t="s">
        <v>1</v>
      </c>
      <c r="AU139" s="287" t="s">
        <v>1</v>
      </c>
      <c r="AV139" s="287" t="s">
        <v>1</v>
      </c>
      <c r="AW139" s="291" t="s">
        <v>1</v>
      </c>
    </row>
    <row r="140" spans="1:49" ht="30.15" customHeight="1" x14ac:dyDescent="0.25">
      <c r="A140" s="188" t="s">
        <v>18</v>
      </c>
      <c r="B140" s="188" t="s">
        <v>1</v>
      </c>
      <c r="C140" s="188" t="s">
        <v>35</v>
      </c>
      <c r="D140" s="190" t="s">
        <v>3</v>
      </c>
      <c r="E140" s="190" t="s">
        <v>858</v>
      </c>
      <c r="F140" s="203"/>
      <c r="G140" s="190" t="s">
        <v>873</v>
      </c>
      <c r="H140" s="192" t="s">
        <v>414</v>
      </c>
      <c r="I140" s="194">
        <v>1157</v>
      </c>
      <c r="J140" s="194">
        <v>1187.5</v>
      </c>
      <c r="K140" s="194">
        <v>1187.5</v>
      </c>
      <c r="L140" s="193">
        <v>1250</v>
      </c>
      <c r="M140" s="194">
        <v>1250</v>
      </c>
      <c r="N140" s="284" t="s">
        <v>1</v>
      </c>
      <c r="O140" s="285" t="s">
        <v>1</v>
      </c>
      <c r="P140" s="285" t="s">
        <v>1</v>
      </c>
      <c r="Q140" s="285" t="s">
        <v>1</v>
      </c>
      <c r="R140" s="285" t="s">
        <v>1</v>
      </c>
      <c r="S140" s="286" t="s">
        <v>1</v>
      </c>
      <c r="T140" s="285" t="s">
        <v>1</v>
      </c>
      <c r="U140" s="285" t="s">
        <v>1</v>
      </c>
      <c r="V140" s="285" t="s">
        <v>1</v>
      </c>
      <c r="W140" s="285" t="s">
        <v>1</v>
      </c>
      <c r="X140" s="286" t="s">
        <v>1</v>
      </c>
      <c r="Y140" s="285" t="s">
        <v>1</v>
      </c>
      <c r="Z140" s="285" t="s">
        <v>1</v>
      </c>
      <c r="AA140" s="285" t="s">
        <v>1</v>
      </c>
      <c r="AB140" s="285" t="s">
        <v>1</v>
      </c>
      <c r="AC140" s="286" t="s">
        <v>1</v>
      </c>
      <c r="AD140" s="285" t="s">
        <v>1</v>
      </c>
      <c r="AE140" s="285" t="s">
        <v>1</v>
      </c>
      <c r="AF140" s="285" t="s">
        <v>1</v>
      </c>
      <c r="AG140" s="285" t="s">
        <v>1</v>
      </c>
      <c r="AH140" s="286" t="s">
        <v>1</v>
      </c>
      <c r="AI140" s="295" t="s">
        <v>1</v>
      </c>
      <c r="AJ140" s="295" t="s">
        <v>1</v>
      </c>
      <c r="AK140" s="295" t="s">
        <v>1</v>
      </c>
      <c r="AL140" s="286">
        <v>500</v>
      </c>
      <c r="AM140" s="288" t="s">
        <v>1</v>
      </c>
      <c r="AN140" s="287" t="s">
        <v>1</v>
      </c>
      <c r="AO140" s="287" t="s">
        <v>1</v>
      </c>
      <c r="AP140" s="286" t="s">
        <v>1</v>
      </c>
      <c r="AQ140" s="285" t="s">
        <v>1</v>
      </c>
      <c r="AR140" s="289" t="s">
        <v>1</v>
      </c>
      <c r="AS140" s="289" t="s">
        <v>1</v>
      </c>
      <c r="AT140" s="290" t="s">
        <v>1</v>
      </c>
      <c r="AU140" s="287" t="s">
        <v>1</v>
      </c>
      <c r="AV140" s="287" t="s">
        <v>1</v>
      </c>
      <c r="AW140" s="291" t="s">
        <v>1</v>
      </c>
    </row>
    <row r="141" spans="1:49" ht="30.15" customHeight="1" x14ac:dyDescent="0.25">
      <c r="A141" s="188" t="s">
        <v>18</v>
      </c>
      <c r="B141" s="188" t="s">
        <v>1</v>
      </c>
      <c r="C141" s="188" t="s">
        <v>35</v>
      </c>
      <c r="D141" s="190" t="s">
        <v>3</v>
      </c>
      <c r="E141" s="190" t="s">
        <v>1262</v>
      </c>
      <c r="F141" s="203"/>
      <c r="G141" s="190" t="s">
        <v>1263</v>
      </c>
      <c r="H141" s="192" t="s">
        <v>409</v>
      </c>
      <c r="I141" s="194">
        <v>1110</v>
      </c>
      <c r="J141" s="194">
        <v>1132</v>
      </c>
      <c r="K141" s="194">
        <v>1132</v>
      </c>
      <c r="L141" s="193">
        <v>1199</v>
      </c>
      <c r="M141" s="194">
        <v>1199</v>
      </c>
      <c r="N141" s="284" t="s">
        <v>1</v>
      </c>
      <c r="O141" s="285" t="s">
        <v>1</v>
      </c>
      <c r="P141" s="285" t="s">
        <v>1</v>
      </c>
      <c r="Q141" s="285" t="s">
        <v>1</v>
      </c>
      <c r="R141" s="285" t="s">
        <v>1</v>
      </c>
      <c r="S141" s="286" t="s">
        <v>1</v>
      </c>
      <c r="T141" s="285" t="s">
        <v>1</v>
      </c>
      <c r="U141" s="285" t="s">
        <v>1</v>
      </c>
      <c r="V141" s="285" t="s">
        <v>1</v>
      </c>
      <c r="W141" s="285" t="s">
        <v>1</v>
      </c>
      <c r="X141" s="286" t="s">
        <v>1</v>
      </c>
      <c r="Y141" s="285" t="s">
        <v>1</v>
      </c>
      <c r="Z141" s="285" t="s">
        <v>1</v>
      </c>
      <c r="AA141" s="285" t="s">
        <v>1</v>
      </c>
      <c r="AB141" s="285" t="s">
        <v>1</v>
      </c>
      <c r="AC141" s="286" t="s">
        <v>1</v>
      </c>
      <c r="AD141" s="285" t="s">
        <v>1</v>
      </c>
      <c r="AE141" s="285" t="s">
        <v>1</v>
      </c>
      <c r="AF141" s="285" t="s">
        <v>1</v>
      </c>
      <c r="AG141" s="285" t="s">
        <v>1</v>
      </c>
      <c r="AH141" s="286" t="s">
        <v>1</v>
      </c>
      <c r="AI141" s="295" t="s">
        <v>1</v>
      </c>
      <c r="AJ141" s="295" t="s">
        <v>1</v>
      </c>
      <c r="AK141" s="295" t="s">
        <v>1</v>
      </c>
      <c r="AL141" s="286">
        <v>479.6</v>
      </c>
      <c r="AM141" s="288" t="s">
        <v>1</v>
      </c>
      <c r="AN141" s="287" t="s">
        <v>1</v>
      </c>
      <c r="AO141" s="287" t="s">
        <v>1</v>
      </c>
      <c r="AP141" s="286" t="s">
        <v>1</v>
      </c>
      <c r="AQ141" s="285" t="s">
        <v>1</v>
      </c>
      <c r="AR141" s="289" t="s">
        <v>1</v>
      </c>
      <c r="AS141" s="289" t="s">
        <v>1</v>
      </c>
      <c r="AT141" s="290" t="s">
        <v>1</v>
      </c>
      <c r="AU141" s="287" t="s">
        <v>1</v>
      </c>
      <c r="AV141" s="287" t="s">
        <v>1</v>
      </c>
      <c r="AW141" s="291" t="s">
        <v>1</v>
      </c>
    </row>
    <row r="142" spans="1:49" ht="30.15" customHeight="1" x14ac:dyDescent="0.25">
      <c r="A142" s="260" t="s">
        <v>18</v>
      </c>
      <c r="B142" s="260" t="s">
        <v>1</v>
      </c>
      <c r="C142" s="260" t="s">
        <v>35</v>
      </c>
      <c r="D142" s="261" t="s">
        <v>3</v>
      </c>
      <c r="E142" s="261" t="s">
        <v>1271</v>
      </c>
      <c r="F142" s="262"/>
      <c r="G142" s="261" t="s">
        <v>1263</v>
      </c>
      <c r="H142" s="263" t="s">
        <v>414</v>
      </c>
      <c r="I142" s="264">
        <v>1110</v>
      </c>
      <c r="J142" s="264">
        <v>1132</v>
      </c>
      <c r="K142" s="264">
        <v>1132</v>
      </c>
      <c r="L142" s="265">
        <v>1199</v>
      </c>
      <c r="M142" s="264">
        <v>1199</v>
      </c>
      <c r="N142" s="284" t="s">
        <v>1</v>
      </c>
      <c r="O142" s="296" t="s">
        <v>1</v>
      </c>
      <c r="P142" s="296" t="s">
        <v>1</v>
      </c>
      <c r="Q142" s="296" t="s">
        <v>1</v>
      </c>
      <c r="R142" s="296" t="s">
        <v>1</v>
      </c>
      <c r="S142" s="286" t="s">
        <v>1</v>
      </c>
      <c r="T142" s="296" t="s">
        <v>1</v>
      </c>
      <c r="U142" s="296" t="s">
        <v>1</v>
      </c>
      <c r="V142" s="296" t="s">
        <v>1</v>
      </c>
      <c r="W142" s="296" t="s">
        <v>1</v>
      </c>
      <c r="X142" s="286" t="s">
        <v>1</v>
      </c>
      <c r="Y142" s="296" t="s">
        <v>1</v>
      </c>
      <c r="Z142" s="296" t="s">
        <v>1</v>
      </c>
      <c r="AA142" s="296" t="s">
        <v>1</v>
      </c>
      <c r="AB142" s="296" t="s">
        <v>1</v>
      </c>
      <c r="AC142" s="286" t="s">
        <v>1</v>
      </c>
      <c r="AD142" s="296" t="s">
        <v>1</v>
      </c>
      <c r="AE142" s="296" t="s">
        <v>1</v>
      </c>
      <c r="AF142" s="296" t="s">
        <v>1</v>
      </c>
      <c r="AG142" s="296" t="s">
        <v>1</v>
      </c>
      <c r="AH142" s="286" t="s">
        <v>1</v>
      </c>
      <c r="AI142" s="297" t="s">
        <v>1</v>
      </c>
      <c r="AJ142" s="297" t="s">
        <v>1</v>
      </c>
      <c r="AK142" s="297" t="s">
        <v>1</v>
      </c>
      <c r="AL142" s="286">
        <v>479.6</v>
      </c>
      <c r="AM142" s="298" t="s">
        <v>1</v>
      </c>
      <c r="AN142" s="299" t="s">
        <v>1</v>
      </c>
      <c r="AO142" s="299" t="s">
        <v>1</v>
      </c>
      <c r="AP142" s="286" t="s">
        <v>1</v>
      </c>
      <c r="AQ142" s="296" t="s">
        <v>1</v>
      </c>
      <c r="AR142" s="300" t="s">
        <v>1</v>
      </c>
      <c r="AS142" s="300" t="s">
        <v>1</v>
      </c>
      <c r="AT142" s="290" t="s">
        <v>1</v>
      </c>
      <c r="AU142" s="299" t="s">
        <v>1</v>
      </c>
      <c r="AV142" s="299" t="s">
        <v>1</v>
      </c>
      <c r="AW142" s="301" t="s">
        <v>1</v>
      </c>
    </row>
    <row r="143" spans="1:49" ht="30.15" customHeight="1" x14ac:dyDescent="0.25">
      <c r="A143" s="260" t="s">
        <v>18</v>
      </c>
      <c r="B143" s="260" t="s">
        <v>1</v>
      </c>
      <c r="C143" s="260" t="s">
        <v>35</v>
      </c>
      <c r="D143" s="261" t="s">
        <v>3</v>
      </c>
      <c r="E143" s="261" t="s">
        <v>1272</v>
      </c>
      <c r="F143" s="262"/>
      <c r="G143" s="261" t="s">
        <v>1279</v>
      </c>
      <c r="H143" s="263" t="s">
        <v>414</v>
      </c>
      <c r="I143" s="264">
        <v>1231</v>
      </c>
      <c r="J143" s="264">
        <v>1256</v>
      </c>
      <c r="K143" s="264">
        <v>1256</v>
      </c>
      <c r="L143" s="265">
        <v>1330</v>
      </c>
      <c r="M143" s="264">
        <v>1330</v>
      </c>
      <c r="N143" s="284" t="s">
        <v>1</v>
      </c>
      <c r="O143" s="296" t="s">
        <v>1</v>
      </c>
      <c r="P143" s="296" t="s">
        <v>1</v>
      </c>
      <c r="Q143" s="296" t="s">
        <v>1</v>
      </c>
      <c r="R143" s="296" t="s">
        <v>1</v>
      </c>
      <c r="S143" s="286" t="s">
        <v>1</v>
      </c>
      <c r="T143" s="296" t="s">
        <v>1</v>
      </c>
      <c r="U143" s="296" t="s">
        <v>1</v>
      </c>
      <c r="V143" s="296" t="s">
        <v>1</v>
      </c>
      <c r="W143" s="296" t="s">
        <v>1</v>
      </c>
      <c r="X143" s="286" t="s">
        <v>1</v>
      </c>
      <c r="Y143" s="296" t="s">
        <v>1</v>
      </c>
      <c r="Z143" s="296" t="s">
        <v>1</v>
      </c>
      <c r="AA143" s="296" t="s">
        <v>1</v>
      </c>
      <c r="AB143" s="296" t="s">
        <v>1</v>
      </c>
      <c r="AC143" s="286" t="s">
        <v>1</v>
      </c>
      <c r="AD143" s="296" t="s">
        <v>1</v>
      </c>
      <c r="AE143" s="296" t="s">
        <v>1</v>
      </c>
      <c r="AF143" s="296" t="s">
        <v>1</v>
      </c>
      <c r="AG143" s="296" t="s">
        <v>1</v>
      </c>
      <c r="AH143" s="286" t="s">
        <v>1</v>
      </c>
      <c r="AI143" s="297" t="s">
        <v>1</v>
      </c>
      <c r="AJ143" s="297" t="s">
        <v>1</v>
      </c>
      <c r="AK143" s="297" t="s">
        <v>1</v>
      </c>
      <c r="AL143" s="286">
        <v>532</v>
      </c>
      <c r="AM143" s="298" t="s">
        <v>1</v>
      </c>
      <c r="AN143" s="299" t="s">
        <v>1</v>
      </c>
      <c r="AO143" s="299" t="s">
        <v>1</v>
      </c>
      <c r="AP143" s="286" t="s">
        <v>1</v>
      </c>
      <c r="AQ143" s="296" t="s">
        <v>1</v>
      </c>
      <c r="AR143" s="300" t="s">
        <v>1</v>
      </c>
      <c r="AS143" s="300" t="s">
        <v>1</v>
      </c>
      <c r="AT143" s="290" t="s">
        <v>1</v>
      </c>
      <c r="AU143" s="299" t="s">
        <v>1</v>
      </c>
      <c r="AV143" s="299" t="s">
        <v>1</v>
      </c>
      <c r="AW143" s="301" t="s">
        <v>1</v>
      </c>
    </row>
    <row r="144" spans="1:49" ht="30.15" customHeight="1" x14ac:dyDescent="0.25">
      <c r="A144" s="260" t="s">
        <v>18</v>
      </c>
      <c r="B144" s="260" t="s">
        <v>1</v>
      </c>
      <c r="C144" s="260" t="s">
        <v>35</v>
      </c>
      <c r="D144" s="261" t="s">
        <v>3</v>
      </c>
      <c r="E144" s="261" t="s">
        <v>1273</v>
      </c>
      <c r="F144" s="262"/>
      <c r="G144" s="261" t="s">
        <v>1280</v>
      </c>
      <c r="H144" s="263" t="s">
        <v>414</v>
      </c>
      <c r="I144" s="264">
        <v>1462</v>
      </c>
      <c r="J144" s="264">
        <v>1491</v>
      </c>
      <c r="K144" s="264">
        <v>1491</v>
      </c>
      <c r="L144" s="265">
        <v>1579</v>
      </c>
      <c r="M144" s="264">
        <v>1579</v>
      </c>
      <c r="N144" s="284" t="s">
        <v>1</v>
      </c>
      <c r="O144" s="296" t="s">
        <v>1</v>
      </c>
      <c r="P144" s="296" t="s">
        <v>1</v>
      </c>
      <c r="Q144" s="296" t="s">
        <v>1</v>
      </c>
      <c r="R144" s="296" t="s">
        <v>1</v>
      </c>
      <c r="S144" s="286" t="s">
        <v>1</v>
      </c>
      <c r="T144" s="296" t="s">
        <v>1</v>
      </c>
      <c r="U144" s="296" t="s">
        <v>1</v>
      </c>
      <c r="V144" s="296" t="s">
        <v>1</v>
      </c>
      <c r="W144" s="296" t="s">
        <v>1</v>
      </c>
      <c r="X144" s="286" t="s">
        <v>1</v>
      </c>
      <c r="Y144" s="296" t="s">
        <v>1</v>
      </c>
      <c r="Z144" s="296" t="s">
        <v>1</v>
      </c>
      <c r="AA144" s="296" t="s">
        <v>1</v>
      </c>
      <c r="AB144" s="296" t="s">
        <v>1</v>
      </c>
      <c r="AC144" s="286" t="s">
        <v>1</v>
      </c>
      <c r="AD144" s="296" t="s">
        <v>1</v>
      </c>
      <c r="AE144" s="296" t="s">
        <v>1</v>
      </c>
      <c r="AF144" s="296" t="s">
        <v>1</v>
      </c>
      <c r="AG144" s="296" t="s">
        <v>1</v>
      </c>
      <c r="AH144" s="286" t="s">
        <v>1</v>
      </c>
      <c r="AI144" s="297" t="s">
        <v>1</v>
      </c>
      <c r="AJ144" s="297" t="s">
        <v>1</v>
      </c>
      <c r="AK144" s="297" t="s">
        <v>1</v>
      </c>
      <c r="AL144" s="286">
        <v>631.6</v>
      </c>
      <c r="AM144" s="298" t="s">
        <v>1</v>
      </c>
      <c r="AN144" s="299" t="s">
        <v>1</v>
      </c>
      <c r="AO144" s="299" t="s">
        <v>1</v>
      </c>
      <c r="AP144" s="286" t="s">
        <v>1</v>
      </c>
      <c r="AQ144" s="296" t="s">
        <v>1</v>
      </c>
      <c r="AR144" s="300" t="s">
        <v>1</v>
      </c>
      <c r="AS144" s="300" t="s">
        <v>1</v>
      </c>
      <c r="AT144" s="290" t="s">
        <v>1</v>
      </c>
      <c r="AU144" s="299" t="s">
        <v>1</v>
      </c>
      <c r="AV144" s="299" t="s">
        <v>1</v>
      </c>
      <c r="AW144" s="301" t="s">
        <v>1</v>
      </c>
    </row>
    <row r="145" spans="1:49" ht="30.15" customHeight="1" x14ac:dyDescent="0.25">
      <c r="A145" s="260" t="s">
        <v>18</v>
      </c>
      <c r="B145" s="260" t="s">
        <v>1</v>
      </c>
      <c r="C145" s="260" t="s">
        <v>35</v>
      </c>
      <c r="D145" s="261" t="s">
        <v>3</v>
      </c>
      <c r="E145" s="261" t="s">
        <v>1274</v>
      </c>
      <c r="F145" s="262"/>
      <c r="G145" s="261" t="s">
        <v>1280</v>
      </c>
      <c r="H145" s="263" t="s">
        <v>414</v>
      </c>
      <c r="I145" s="264">
        <v>1462</v>
      </c>
      <c r="J145" s="264">
        <v>1491</v>
      </c>
      <c r="K145" s="264">
        <v>1491</v>
      </c>
      <c r="L145" s="265">
        <v>1579</v>
      </c>
      <c r="M145" s="264">
        <v>1579</v>
      </c>
      <c r="N145" s="284" t="s">
        <v>1</v>
      </c>
      <c r="O145" s="296" t="s">
        <v>1</v>
      </c>
      <c r="P145" s="296" t="s">
        <v>1</v>
      </c>
      <c r="Q145" s="296" t="s">
        <v>1</v>
      </c>
      <c r="R145" s="296" t="s">
        <v>1</v>
      </c>
      <c r="S145" s="286" t="s">
        <v>1</v>
      </c>
      <c r="T145" s="296" t="s">
        <v>1</v>
      </c>
      <c r="U145" s="296" t="s">
        <v>1</v>
      </c>
      <c r="V145" s="296" t="s">
        <v>1</v>
      </c>
      <c r="W145" s="296" t="s">
        <v>1</v>
      </c>
      <c r="X145" s="286" t="s">
        <v>1</v>
      </c>
      <c r="Y145" s="296" t="s">
        <v>1</v>
      </c>
      <c r="Z145" s="296" t="s">
        <v>1</v>
      </c>
      <c r="AA145" s="296" t="s">
        <v>1</v>
      </c>
      <c r="AB145" s="296" t="s">
        <v>1</v>
      </c>
      <c r="AC145" s="286" t="s">
        <v>1</v>
      </c>
      <c r="AD145" s="296" t="s">
        <v>1</v>
      </c>
      <c r="AE145" s="296" t="s">
        <v>1</v>
      </c>
      <c r="AF145" s="296" t="s">
        <v>1</v>
      </c>
      <c r="AG145" s="296" t="s">
        <v>1</v>
      </c>
      <c r="AH145" s="286" t="s">
        <v>1</v>
      </c>
      <c r="AI145" s="297" t="s">
        <v>1</v>
      </c>
      <c r="AJ145" s="297" t="s">
        <v>1</v>
      </c>
      <c r="AK145" s="297" t="s">
        <v>1</v>
      </c>
      <c r="AL145" s="286">
        <v>631.6</v>
      </c>
      <c r="AM145" s="298" t="s">
        <v>1</v>
      </c>
      <c r="AN145" s="299" t="s">
        <v>1</v>
      </c>
      <c r="AO145" s="299" t="s">
        <v>1</v>
      </c>
      <c r="AP145" s="286" t="s">
        <v>1</v>
      </c>
      <c r="AQ145" s="296" t="s">
        <v>1</v>
      </c>
      <c r="AR145" s="300" t="s">
        <v>1</v>
      </c>
      <c r="AS145" s="300" t="s">
        <v>1</v>
      </c>
      <c r="AT145" s="290" t="s">
        <v>1</v>
      </c>
      <c r="AU145" s="299" t="s">
        <v>1</v>
      </c>
      <c r="AV145" s="299" t="s">
        <v>1</v>
      </c>
      <c r="AW145" s="301" t="s">
        <v>1</v>
      </c>
    </row>
    <row r="146" spans="1:49" ht="30.15" customHeight="1" x14ac:dyDescent="0.25">
      <c r="A146" s="260" t="s">
        <v>18</v>
      </c>
      <c r="B146" s="260" t="s">
        <v>1</v>
      </c>
      <c r="C146" s="260" t="s">
        <v>35</v>
      </c>
      <c r="D146" s="261" t="s">
        <v>3</v>
      </c>
      <c r="E146" s="261" t="s">
        <v>1275</v>
      </c>
      <c r="F146" s="262"/>
      <c r="G146" s="261" t="s">
        <v>1281</v>
      </c>
      <c r="H146" s="263" t="s">
        <v>414</v>
      </c>
      <c r="I146" s="264">
        <v>1925</v>
      </c>
      <c r="J146" s="264">
        <v>1964</v>
      </c>
      <c r="K146" s="264">
        <v>1964</v>
      </c>
      <c r="L146" s="265">
        <v>2079</v>
      </c>
      <c r="M146" s="264">
        <v>2079</v>
      </c>
      <c r="N146" s="284" t="s">
        <v>1</v>
      </c>
      <c r="O146" s="296" t="s">
        <v>1</v>
      </c>
      <c r="P146" s="296" t="s">
        <v>1</v>
      </c>
      <c r="Q146" s="296" t="s">
        <v>1</v>
      </c>
      <c r="R146" s="296" t="s">
        <v>1</v>
      </c>
      <c r="S146" s="286" t="s">
        <v>1</v>
      </c>
      <c r="T146" s="296" t="s">
        <v>1</v>
      </c>
      <c r="U146" s="296" t="s">
        <v>1</v>
      </c>
      <c r="V146" s="296" t="s">
        <v>1</v>
      </c>
      <c r="W146" s="296" t="s">
        <v>1</v>
      </c>
      <c r="X146" s="286" t="s">
        <v>1</v>
      </c>
      <c r="Y146" s="296" t="s">
        <v>1</v>
      </c>
      <c r="Z146" s="296" t="s">
        <v>1</v>
      </c>
      <c r="AA146" s="296" t="s">
        <v>1</v>
      </c>
      <c r="AB146" s="296" t="s">
        <v>1</v>
      </c>
      <c r="AC146" s="286" t="s">
        <v>1</v>
      </c>
      <c r="AD146" s="296" t="s">
        <v>1</v>
      </c>
      <c r="AE146" s="296" t="s">
        <v>1</v>
      </c>
      <c r="AF146" s="296" t="s">
        <v>1</v>
      </c>
      <c r="AG146" s="296" t="s">
        <v>1</v>
      </c>
      <c r="AH146" s="286" t="s">
        <v>1</v>
      </c>
      <c r="AI146" s="297" t="s">
        <v>1</v>
      </c>
      <c r="AJ146" s="297" t="s">
        <v>1</v>
      </c>
      <c r="AK146" s="297" t="s">
        <v>1</v>
      </c>
      <c r="AL146" s="286">
        <v>831.6</v>
      </c>
      <c r="AM146" s="298" t="s">
        <v>1</v>
      </c>
      <c r="AN146" s="299" t="s">
        <v>1</v>
      </c>
      <c r="AO146" s="299" t="s">
        <v>1</v>
      </c>
      <c r="AP146" s="286" t="s">
        <v>1</v>
      </c>
      <c r="AQ146" s="296" t="s">
        <v>1</v>
      </c>
      <c r="AR146" s="300" t="s">
        <v>1</v>
      </c>
      <c r="AS146" s="300" t="s">
        <v>1</v>
      </c>
      <c r="AT146" s="290" t="s">
        <v>1</v>
      </c>
      <c r="AU146" s="299" t="s">
        <v>1</v>
      </c>
      <c r="AV146" s="299" t="s">
        <v>1</v>
      </c>
      <c r="AW146" s="301" t="s">
        <v>1</v>
      </c>
    </row>
    <row r="147" spans="1:49" ht="30.15" customHeight="1" x14ac:dyDescent="0.25">
      <c r="A147" s="260" t="s">
        <v>18</v>
      </c>
      <c r="B147" s="260" t="s">
        <v>1</v>
      </c>
      <c r="C147" s="260" t="s">
        <v>35</v>
      </c>
      <c r="D147" s="261" t="s">
        <v>3</v>
      </c>
      <c r="E147" s="261" t="s">
        <v>1276</v>
      </c>
      <c r="F147" s="262"/>
      <c r="G147" s="261" t="s">
        <v>1281</v>
      </c>
      <c r="H147" s="263" t="s">
        <v>414</v>
      </c>
      <c r="I147" s="264">
        <v>1925</v>
      </c>
      <c r="J147" s="264">
        <v>1964</v>
      </c>
      <c r="K147" s="264">
        <v>1964</v>
      </c>
      <c r="L147" s="265">
        <v>2079</v>
      </c>
      <c r="M147" s="264">
        <v>2079</v>
      </c>
      <c r="N147" s="284" t="s">
        <v>1</v>
      </c>
      <c r="O147" s="296" t="s">
        <v>1</v>
      </c>
      <c r="P147" s="296" t="s">
        <v>1</v>
      </c>
      <c r="Q147" s="296" t="s">
        <v>1</v>
      </c>
      <c r="R147" s="296" t="s">
        <v>1</v>
      </c>
      <c r="S147" s="286" t="s">
        <v>1</v>
      </c>
      <c r="T147" s="296" t="s">
        <v>1</v>
      </c>
      <c r="U147" s="296" t="s">
        <v>1</v>
      </c>
      <c r="V147" s="296" t="s">
        <v>1</v>
      </c>
      <c r="W147" s="296" t="s">
        <v>1</v>
      </c>
      <c r="X147" s="286" t="s">
        <v>1</v>
      </c>
      <c r="Y147" s="296" t="s">
        <v>1</v>
      </c>
      <c r="Z147" s="296" t="s">
        <v>1</v>
      </c>
      <c r="AA147" s="296" t="s">
        <v>1</v>
      </c>
      <c r="AB147" s="296" t="s">
        <v>1</v>
      </c>
      <c r="AC147" s="286" t="s">
        <v>1</v>
      </c>
      <c r="AD147" s="296" t="s">
        <v>1</v>
      </c>
      <c r="AE147" s="296" t="s">
        <v>1</v>
      </c>
      <c r="AF147" s="296" t="s">
        <v>1</v>
      </c>
      <c r="AG147" s="296" t="s">
        <v>1</v>
      </c>
      <c r="AH147" s="286" t="s">
        <v>1</v>
      </c>
      <c r="AI147" s="297" t="s">
        <v>1</v>
      </c>
      <c r="AJ147" s="297" t="s">
        <v>1</v>
      </c>
      <c r="AK147" s="297" t="s">
        <v>1</v>
      </c>
      <c r="AL147" s="286">
        <v>831.6</v>
      </c>
      <c r="AM147" s="298" t="s">
        <v>1</v>
      </c>
      <c r="AN147" s="299" t="s">
        <v>1</v>
      </c>
      <c r="AO147" s="299" t="s">
        <v>1</v>
      </c>
      <c r="AP147" s="286" t="s">
        <v>1</v>
      </c>
      <c r="AQ147" s="296" t="s">
        <v>1</v>
      </c>
      <c r="AR147" s="300" t="s">
        <v>1</v>
      </c>
      <c r="AS147" s="300" t="s">
        <v>1</v>
      </c>
      <c r="AT147" s="290" t="s">
        <v>1</v>
      </c>
      <c r="AU147" s="299" t="s">
        <v>1</v>
      </c>
      <c r="AV147" s="299" t="s">
        <v>1</v>
      </c>
      <c r="AW147" s="301" t="s">
        <v>1</v>
      </c>
    </row>
    <row r="148" spans="1:49" ht="30.15" customHeight="1" x14ac:dyDescent="0.25">
      <c r="A148" s="260" t="s">
        <v>18</v>
      </c>
      <c r="B148" s="260" t="s">
        <v>1</v>
      </c>
      <c r="C148" s="260" t="s">
        <v>35</v>
      </c>
      <c r="D148" s="261" t="s">
        <v>3</v>
      </c>
      <c r="E148" s="261" t="s">
        <v>1277</v>
      </c>
      <c r="F148" s="262"/>
      <c r="G148" s="261" t="s">
        <v>1282</v>
      </c>
      <c r="H148" s="263" t="s">
        <v>414</v>
      </c>
      <c r="I148" s="264">
        <v>2388</v>
      </c>
      <c r="J148" s="264">
        <v>2436</v>
      </c>
      <c r="K148" s="264">
        <v>2436</v>
      </c>
      <c r="L148" s="265">
        <v>2580</v>
      </c>
      <c r="M148" s="264">
        <v>2580</v>
      </c>
      <c r="N148" s="284" t="s">
        <v>1</v>
      </c>
      <c r="O148" s="296" t="s">
        <v>1</v>
      </c>
      <c r="P148" s="296" t="s">
        <v>1</v>
      </c>
      <c r="Q148" s="296" t="s">
        <v>1</v>
      </c>
      <c r="R148" s="296" t="s">
        <v>1</v>
      </c>
      <c r="S148" s="286" t="s">
        <v>1</v>
      </c>
      <c r="T148" s="296" t="s">
        <v>1</v>
      </c>
      <c r="U148" s="296" t="s">
        <v>1</v>
      </c>
      <c r="V148" s="296" t="s">
        <v>1</v>
      </c>
      <c r="W148" s="296" t="s">
        <v>1</v>
      </c>
      <c r="X148" s="286" t="s">
        <v>1</v>
      </c>
      <c r="Y148" s="296" t="s">
        <v>1</v>
      </c>
      <c r="Z148" s="296" t="s">
        <v>1</v>
      </c>
      <c r="AA148" s="296" t="s">
        <v>1</v>
      </c>
      <c r="AB148" s="296" t="s">
        <v>1</v>
      </c>
      <c r="AC148" s="286" t="s">
        <v>1</v>
      </c>
      <c r="AD148" s="296" t="s">
        <v>1</v>
      </c>
      <c r="AE148" s="296" t="s">
        <v>1</v>
      </c>
      <c r="AF148" s="296" t="s">
        <v>1</v>
      </c>
      <c r="AG148" s="296" t="s">
        <v>1</v>
      </c>
      <c r="AH148" s="286" t="s">
        <v>1</v>
      </c>
      <c r="AI148" s="297" t="s">
        <v>1</v>
      </c>
      <c r="AJ148" s="297" t="s">
        <v>1</v>
      </c>
      <c r="AK148" s="297" t="s">
        <v>1</v>
      </c>
      <c r="AL148" s="286">
        <v>1032</v>
      </c>
      <c r="AM148" s="298" t="s">
        <v>1</v>
      </c>
      <c r="AN148" s="299" t="s">
        <v>1</v>
      </c>
      <c r="AO148" s="299" t="s">
        <v>1</v>
      </c>
      <c r="AP148" s="286" t="s">
        <v>1</v>
      </c>
      <c r="AQ148" s="296" t="s">
        <v>1</v>
      </c>
      <c r="AR148" s="300" t="s">
        <v>1</v>
      </c>
      <c r="AS148" s="300" t="s">
        <v>1</v>
      </c>
      <c r="AT148" s="290" t="s">
        <v>1</v>
      </c>
      <c r="AU148" s="299" t="s">
        <v>1</v>
      </c>
      <c r="AV148" s="299" t="s">
        <v>1</v>
      </c>
      <c r="AW148" s="301" t="s">
        <v>1</v>
      </c>
    </row>
    <row r="149" spans="1:49" ht="30.15" customHeight="1" x14ac:dyDescent="0.25">
      <c r="A149" s="260" t="s">
        <v>18</v>
      </c>
      <c r="B149" s="260" t="s">
        <v>1</v>
      </c>
      <c r="C149" s="260" t="s">
        <v>35</v>
      </c>
      <c r="D149" s="261" t="s">
        <v>3</v>
      </c>
      <c r="E149" s="261" t="s">
        <v>1278</v>
      </c>
      <c r="F149" s="262"/>
      <c r="G149" s="261" t="s">
        <v>1282</v>
      </c>
      <c r="H149" s="263" t="s">
        <v>414</v>
      </c>
      <c r="I149" s="264">
        <v>2388</v>
      </c>
      <c r="J149" s="264">
        <v>2436</v>
      </c>
      <c r="K149" s="264">
        <v>2436</v>
      </c>
      <c r="L149" s="265">
        <v>2580</v>
      </c>
      <c r="M149" s="264">
        <v>2580</v>
      </c>
      <c r="N149" s="284" t="s">
        <v>1</v>
      </c>
      <c r="O149" s="296" t="s">
        <v>1</v>
      </c>
      <c r="P149" s="296" t="s">
        <v>1</v>
      </c>
      <c r="Q149" s="296" t="s">
        <v>1</v>
      </c>
      <c r="R149" s="296" t="s">
        <v>1</v>
      </c>
      <c r="S149" s="286" t="s">
        <v>1</v>
      </c>
      <c r="T149" s="296" t="s">
        <v>1</v>
      </c>
      <c r="U149" s="296" t="s">
        <v>1</v>
      </c>
      <c r="V149" s="296" t="s">
        <v>1</v>
      </c>
      <c r="W149" s="296" t="s">
        <v>1</v>
      </c>
      <c r="X149" s="286" t="s">
        <v>1</v>
      </c>
      <c r="Y149" s="296" t="s">
        <v>1</v>
      </c>
      <c r="Z149" s="296" t="s">
        <v>1</v>
      </c>
      <c r="AA149" s="296" t="s">
        <v>1</v>
      </c>
      <c r="AB149" s="296" t="s">
        <v>1</v>
      </c>
      <c r="AC149" s="286" t="s">
        <v>1</v>
      </c>
      <c r="AD149" s="296" t="s">
        <v>1</v>
      </c>
      <c r="AE149" s="296" t="s">
        <v>1</v>
      </c>
      <c r="AF149" s="296" t="s">
        <v>1</v>
      </c>
      <c r="AG149" s="296" t="s">
        <v>1</v>
      </c>
      <c r="AH149" s="286" t="s">
        <v>1</v>
      </c>
      <c r="AI149" s="297" t="s">
        <v>1</v>
      </c>
      <c r="AJ149" s="297" t="s">
        <v>1</v>
      </c>
      <c r="AK149" s="297" t="s">
        <v>1</v>
      </c>
      <c r="AL149" s="286">
        <v>1032</v>
      </c>
      <c r="AM149" s="298" t="s">
        <v>1</v>
      </c>
      <c r="AN149" s="299" t="s">
        <v>1</v>
      </c>
      <c r="AO149" s="299" t="s">
        <v>1</v>
      </c>
      <c r="AP149" s="286" t="s">
        <v>1</v>
      </c>
      <c r="AQ149" s="296" t="s">
        <v>1</v>
      </c>
      <c r="AR149" s="300" t="s">
        <v>1</v>
      </c>
      <c r="AS149" s="300" t="s">
        <v>1</v>
      </c>
      <c r="AT149" s="290" t="s">
        <v>1</v>
      </c>
      <c r="AU149" s="299" t="s">
        <v>1</v>
      </c>
      <c r="AV149" s="299" t="s">
        <v>1</v>
      </c>
      <c r="AW149" s="301" t="s">
        <v>1</v>
      </c>
    </row>
    <row r="150" spans="1:49" ht="30.15" customHeight="1" x14ac:dyDescent="0.25">
      <c r="A150" s="188" t="s">
        <v>18</v>
      </c>
      <c r="B150" s="188" t="s">
        <v>1</v>
      </c>
      <c r="C150" s="188" t="s">
        <v>35</v>
      </c>
      <c r="D150" s="190" t="s">
        <v>3</v>
      </c>
      <c r="E150" s="190" t="s">
        <v>859</v>
      </c>
      <c r="F150" s="203"/>
      <c r="G150" s="190" t="s">
        <v>535</v>
      </c>
      <c r="H150" s="192" t="s">
        <v>409</v>
      </c>
      <c r="I150" s="194">
        <v>1277</v>
      </c>
      <c r="J150" s="194">
        <v>1311</v>
      </c>
      <c r="K150" s="194">
        <v>1311</v>
      </c>
      <c r="L150" s="193">
        <v>1380</v>
      </c>
      <c r="M150" s="194">
        <v>1380</v>
      </c>
      <c r="N150" s="284" t="s">
        <v>1</v>
      </c>
      <c r="O150" s="285" t="s">
        <v>1</v>
      </c>
      <c r="P150" s="285" t="s">
        <v>1</v>
      </c>
      <c r="Q150" s="285" t="s">
        <v>1</v>
      </c>
      <c r="R150" s="285" t="s">
        <v>1</v>
      </c>
      <c r="S150" s="286" t="s">
        <v>1</v>
      </c>
      <c r="T150" s="285" t="s">
        <v>1</v>
      </c>
      <c r="U150" s="285" t="s">
        <v>1</v>
      </c>
      <c r="V150" s="285" t="s">
        <v>1</v>
      </c>
      <c r="W150" s="285" t="s">
        <v>1</v>
      </c>
      <c r="X150" s="286" t="s">
        <v>1</v>
      </c>
      <c r="Y150" s="285" t="s">
        <v>1</v>
      </c>
      <c r="Z150" s="285" t="s">
        <v>1</v>
      </c>
      <c r="AA150" s="285" t="s">
        <v>1</v>
      </c>
      <c r="AB150" s="285" t="s">
        <v>1</v>
      </c>
      <c r="AC150" s="286" t="s">
        <v>1</v>
      </c>
      <c r="AD150" s="285" t="s">
        <v>1</v>
      </c>
      <c r="AE150" s="285" t="s">
        <v>1</v>
      </c>
      <c r="AF150" s="285" t="s">
        <v>1</v>
      </c>
      <c r="AG150" s="285" t="s">
        <v>1</v>
      </c>
      <c r="AH150" s="286" t="s">
        <v>1</v>
      </c>
      <c r="AI150" s="295" t="s">
        <v>1</v>
      </c>
      <c r="AJ150" s="295" t="s">
        <v>1</v>
      </c>
      <c r="AK150" s="295" t="s">
        <v>1</v>
      </c>
      <c r="AL150" s="286">
        <v>552</v>
      </c>
      <c r="AM150" s="288" t="s">
        <v>1</v>
      </c>
      <c r="AN150" s="287" t="s">
        <v>1</v>
      </c>
      <c r="AO150" s="287" t="s">
        <v>1</v>
      </c>
      <c r="AP150" s="286" t="s">
        <v>1</v>
      </c>
      <c r="AQ150" s="285" t="s">
        <v>1</v>
      </c>
      <c r="AR150" s="289" t="s">
        <v>1</v>
      </c>
      <c r="AS150" s="289" t="s">
        <v>1</v>
      </c>
      <c r="AT150" s="290" t="s">
        <v>1</v>
      </c>
      <c r="AU150" s="287" t="s">
        <v>1</v>
      </c>
      <c r="AV150" s="287" t="s">
        <v>1</v>
      </c>
      <c r="AW150" s="291" t="s">
        <v>1</v>
      </c>
    </row>
    <row r="151" spans="1:49" ht="30.15" customHeight="1" x14ac:dyDescent="0.25">
      <c r="A151" s="188" t="s">
        <v>18</v>
      </c>
      <c r="B151" s="188" t="s">
        <v>1</v>
      </c>
      <c r="C151" s="188" t="s">
        <v>35</v>
      </c>
      <c r="D151" s="190" t="s">
        <v>3</v>
      </c>
      <c r="E151" s="190" t="s">
        <v>860</v>
      </c>
      <c r="F151" s="203"/>
      <c r="G151" s="190" t="s">
        <v>535</v>
      </c>
      <c r="H151" s="192" t="s">
        <v>414</v>
      </c>
      <c r="I151" s="194">
        <v>1277</v>
      </c>
      <c r="J151" s="194">
        <v>1311</v>
      </c>
      <c r="K151" s="194">
        <v>1311</v>
      </c>
      <c r="L151" s="193">
        <v>1380</v>
      </c>
      <c r="M151" s="194">
        <v>1380</v>
      </c>
      <c r="N151" s="284" t="s">
        <v>1</v>
      </c>
      <c r="O151" s="285" t="s">
        <v>1</v>
      </c>
      <c r="P151" s="285" t="s">
        <v>1</v>
      </c>
      <c r="Q151" s="285" t="s">
        <v>1</v>
      </c>
      <c r="R151" s="285" t="s">
        <v>1</v>
      </c>
      <c r="S151" s="286" t="s">
        <v>1</v>
      </c>
      <c r="T151" s="285" t="s">
        <v>1</v>
      </c>
      <c r="U151" s="285" t="s">
        <v>1</v>
      </c>
      <c r="V151" s="285" t="s">
        <v>1</v>
      </c>
      <c r="W151" s="285" t="s">
        <v>1</v>
      </c>
      <c r="X151" s="286" t="s">
        <v>1</v>
      </c>
      <c r="Y151" s="285" t="s">
        <v>1</v>
      </c>
      <c r="Z151" s="285" t="s">
        <v>1</v>
      </c>
      <c r="AA151" s="285" t="s">
        <v>1</v>
      </c>
      <c r="AB151" s="285" t="s">
        <v>1</v>
      </c>
      <c r="AC151" s="286" t="s">
        <v>1</v>
      </c>
      <c r="AD151" s="285" t="s">
        <v>1</v>
      </c>
      <c r="AE151" s="285" t="s">
        <v>1</v>
      </c>
      <c r="AF151" s="285" t="s">
        <v>1</v>
      </c>
      <c r="AG151" s="285" t="s">
        <v>1</v>
      </c>
      <c r="AH151" s="286" t="s">
        <v>1</v>
      </c>
      <c r="AI151" s="295" t="s">
        <v>1</v>
      </c>
      <c r="AJ151" s="295" t="s">
        <v>1</v>
      </c>
      <c r="AK151" s="295" t="s">
        <v>1</v>
      </c>
      <c r="AL151" s="286">
        <v>552</v>
      </c>
      <c r="AM151" s="288" t="s">
        <v>1</v>
      </c>
      <c r="AN151" s="287" t="s">
        <v>1</v>
      </c>
      <c r="AO151" s="287" t="s">
        <v>1</v>
      </c>
      <c r="AP151" s="286" t="s">
        <v>1</v>
      </c>
      <c r="AQ151" s="285" t="s">
        <v>1</v>
      </c>
      <c r="AR151" s="289" t="s">
        <v>1</v>
      </c>
      <c r="AS151" s="289" t="s">
        <v>1</v>
      </c>
      <c r="AT151" s="290" t="s">
        <v>1</v>
      </c>
      <c r="AU151" s="287" t="s">
        <v>1</v>
      </c>
      <c r="AV151" s="287" t="s">
        <v>1</v>
      </c>
      <c r="AW151" s="291" t="s">
        <v>1</v>
      </c>
    </row>
    <row r="152" spans="1:49" ht="30.15" customHeight="1" x14ac:dyDescent="0.25">
      <c r="A152" s="188" t="s">
        <v>18</v>
      </c>
      <c r="B152" s="188" t="s">
        <v>1</v>
      </c>
      <c r="C152" s="188" t="s">
        <v>35</v>
      </c>
      <c r="D152" s="190" t="s">
        <v>3</v>
      </c>
      <c r="E152" s="190" t="s">
        <v>534</v>
      </c>
      <c r="F152" s="203"/>
      <c r="G152" s="190" t="s">
        <v>535</v>
      </c>
      <c r="H152" s="192" t="s">
        <v>907</v>
      </c>
      <c r="I152" s="194">
        <v>1295</v>
      </c>
      <c r="J152" s="194">
        <v>1295</v>
      </c>
      <c r="K152" s="194">
        <v>1295</v>
      </c>
      <c r="L152" s="193">
        <v>1399</v>
      </c>
      <c r="M152" s="194">
        <v>1399</v>
      </c>
      <c r="N152" s="284" t="s">
        <v>1</v>
      </c>
      <c r="O152" s="285" t="s">
        <v>1</v>
      </c>
      <c r="P152" s="285" t="s">
        <v>1</v>
      </c>
      <c r="Q152" s="285" t="s">
        <v>1</v>
      </c>
      <c r="R152" s="285" t="s">
        <v>1</v>
      </c>
      <c r="S152" s="286" t="s">
        <v>1</v>
      </c>
      <c r="T152" s="285" t="s">
        <v>1</v>
      </c>
      <c r="U152" s="285" t="s">
        <v>1</v>
      </c>
      <c r="V152" s="285" t="s">
        <v>1</v>
      </c>
      <c r="W152" s="285" t="s">
        <v>1</v>
      </c>
      <c r="X152" s="286" t="s">
        <v>1</v>
      </c>
      <c r="Y152" s="285" t="s">
        <v>1</v>
      </c>
      <c r="Z152" s="285" t="s">
        <v>1</v>
      </c>
      <c r="AA152" s="285" t="s">
        <v>1</v>
      </c>
      <c r="AB152" s="285" t="s">
        <v>1</v>
      </c>
      <c r="AC152" s="286" t="s">
        <v>1</v>
      </c>
      <c r="AD152" s="285" t="s">
        <v>1</v>
      </c>
      <c r="AE152" s="285" t="s">
        <v>1</v>
      </c>
      <c r="AF152" s="285" t="s">
        <v>1</v>
      </c>
      <c r="AG152" s="285" t="s">
        <v>1</v>
      </c>
      <c r="AH152" s="286" t="s">
        <v>1</v>
      </c>
      <c r="AI152" s="295" t="s">
        <v>1</v>
      </c>
      <c r="AJ152" s="295" t="s">
        <v>1</v>
      </c>
      <c r="AK152" s="295" t="s">
        <v>1</v>
      </c>
      <c r="AL152" s="286">
        <v>559.6</v>
      </c>
      <c r="AM152" s="288" t="s">
        <v>1</v>
      </c>
      <c r="AN152" s="287" t="s">
        <v>1</v>
      </c>
      <c r="AO152" s="287" t="s">
        <v>1</v>
      </c>
      <c r="AP152" s="286" t="s">
        <v>1</v>
      </c>
      <c r="AQ152" s="285" t="s">
        <v>1</v>
      </c>
      <c r="AR152" s="289" t="s">
        <v>1</v>
      </c>
      <c r="AS152" s="289" t="s">
        <v>1</v>
      </c>
      <c r="AT152" s="290" t="s">
        <v>1</v>
      </c>
      <c r="AU152" s="287" t="s">
        <v>1</v>
      </c>
      <c r="AV152" s="287" t="s">
        <v>1</v>
      </c>
      <c r="AW152" s="291" t="s">
        <v>1</v>
      </c>
    </row>
    <row r="153" spans="1:49" ht="30.15" customHeight="1" x14ac:dyDescent="0.25">
      <c r="A153" s="188" t="s">
        <v>18</v>
      </c>
      <c r="B153" s="188" t="s">
        <v>1</v>
      </c>
      <c r="C153" s="188" t="s">
        <v>35</v>
      </c>
      <c r="D153" s="190" t="s">
        <v>3</v>
      </c>
      <c r="E153" s="190" t="s">
        <v>908</v>
      </c>
      <c r="F153" s="203"/>
      <c r="G153" s="190" t="s">
        <v>535</v>
      </c>
      <c r="H153" s="192" t="s">
        <v>414</v>
      </c>
      <c r="I153" s="194">
        <v>1199</v>
      </c>
      <c r="J153" s="194">
        <v>1311</v>
      </c>
      <c r="K153" s="194">
        <v>1311</v>
      </c>
      <c r="L153" s="193">
        <v>1399.99</v>
      </c>
      <c r="M153" s="194">
        <v>1399.99</v>
      </c>
      <c r="N153" s="284" t="s">
        <v>1</v>
      </c>
      <c r="O153" s="285" t="s">
        <v>1</v>
      </c>
      <c r="P153" s="285" t="s">
        <v>1</v>
      </c>
      <c r="Q153" s="285" t="s">
        <v>1</v>
      </c>
      <c r="R153" s="285" t="s">
        <v>1</v>
      </c>
      <c r="S153" s="286" t="s">
        <v>1</v>
      </c>
      <c r="T153" s="285" t="s">
        <v>1</v>
      </c>
      <c r="U153" s="285" t="s">
        <v>1</v>
      </c>
      <c r="V153" s="285" t="s">
        <v>1</v>
      </c>
      <c r="W153" s="285" t="s">
        <v>1</v>
      </c>
      <c r="X153" s="286" t="s">
        <v>1</v>
      </c>
      <c r="Y153" s="285" t="s">
        <v>1</v>
      </c>
      <c r="Z153" s="285" t="s">
        <v>1</v>
      </c>
      <c r="AA153" s="285" t="s">
        <v>1</v>
      </c>
      <c r="AB153" s="285" t="s">
        <v>1</v>
      </c>
      <c r="AC153" s="286" t="s">
        <v>1</v>
      </c>
      <c r="AD153" s="285" t="s">
        <v>1</v>
      </c>
      <c r="AE153" s="285" t="s">
        <v>1</v>
      </c>
      <c r="AF153" s="285" t="s">
        <v>1</v>
      </c>
      <c r="AG153" s="285" t="s">
        <v>1</v>
      </c>
      <c r="AH153" s="286" t="s">
        <v>1</v>
      </c>
      <c r="AI153" s="295" t="s">
        <v>1</v>
      </c>
      <c r="AJ153" s="295" t="s">
        <v>1</v>
      </c>
      <c r="AK153" s="295" t="s">
        <v>1</v>
      </c>
      <c r="AL153" s="286">
        <v>560</v>
      </c>
      <c r="AM153" s="288" t="s">
        <v>1</v>
      </c>
      <c r="AN153" s="287" t="s">
        <v>1</v>
      </c>
      <c r="AO153" s="287" t="s">
        <v>1</v>
      </c>
      <c r="AP153" s="286" t="s">
        <v>1</v>
      </c>
      <c r="AQ153" s="285" t="s">
        <v>1</v>
      </c>
      <c r="AR153" s="289" t="s">
        <v>1</v>
      </c>
      <c r="AS153" s="289" t="s">
        <v>1</v>
      </c>
      <c r="AT153" s="290" t="s">
        <v>1</v>
      </c>
      <c r="AU153" s="287" t="s">
        <v>1</v>
      </c>
      <c r="AV153" s="287" t="s">
        <v>1</v>
      </c>
      <c r="AW153" s="291" t="s">
        <v>1</v>
      </c>
    </row>
    <row r="154" spans="1:49" ht="30.15" customHeight="1" x14ac:dyDescent="0.25">
      <c r="A154" s="188" t="s">
        <v>18</v>
      </c>
      <c r="B154" s="188" t="s">
        <v>1</v>
      </c>
      <c r="C154" s="188" t="s">
        <v>35</v>
      </c>
      <c r="D154" s="190" t="s">
        <v>3</v>
      </c>
      <c r="E154" s="190" t="s">
        <v>1264</v>
      </c>
      <c r="F154" s="203"/>
      <c r="G154" s="190" t="s">
        <v>1265</v>
      </c>
      <c r="H154" s="192" t="s">
        <v>409</v>
      </c>
      <c r="I154" s="194">
        <v>1231</v>
      </c>
      <c r="J154" s="194">
        <v>1256</v>
      </c>
      <c r="K154" s="194">
        <v>1256</v>
      </c>
      <c r="L154" s="193">
        <v>1330</v>
      </c>
      <c r="M154" s="194">
        <v>1330</v>
      </c>
      <c r="N154" s="284" t="s">
        <v>1</v>
      </c>
      <c r="O154" s="285" t="s">
        <v>1</v>
      </c>
      <c r="P154" s="285" t="s">
        <v>1</v>
      </c>
      <c r="Q154" s="285" t="s">
        <v>1</v>
      </c>
      <c r="R154" s="285" t="s">
        <v>1</v>
      </c>
      <c r="S154" s="286" t="s">
        <v>1</v>
      </c>
      <c r="T154" s="285" t="s">
        <v>1</v>
      </c>
      <c r="U154" s="285" t="s">
        <v>1</v>
      </c>
      <c r="V154" s="285" t="s">
        <v>1</v>
      </c>
      <c r="W154" s="285" t="s">
        <v>1</v>
      </c>
      <c r="X154" s="286" t="s">
        <v>1</v>
      </c>
      <c r="Y154" s="285" t="s">
        <v>1</v>
      </c>
      <c r="Z154" s="285" t="s">
        <v>1</v>
      </c>
      <c r="AA154" s="285" t="s">
        <v>1</v>
      </c>
      <c r="AB154" s="285" t="s">
        <v>1</v>
      </c>
      <c r="AC154" s="286" t="s">
        <v>1</v>
      </c>
      <c r="AD154" s="285" t="s">
        <v>1</v>
      </c>
      <c r="AE154" s="285" t="s">
        <v>1</v>
      </c>
      <c r="AF154" s="285" t="s">
        <v>1</v>
      </c>
      <c r="AG154" s="285" t="s">
        <v>1</v>
      </c>
      <c r="AH154" s="286" t="s">
        <v>1</v>
      </c>
      <c r="AI154" s="295" t="s">
        <v>1</v>
      </c>
      <c r="AJ154" s="295" t="s">
        <v>1</v>
      </c>
      <c r="AK154" s="295" t="s">
        <v>1</v>
      </c>
      <c r="AL154" s="286">
        <v>532</v>
      </c>
      <c r="AM154" s="288" t="s">
        <v>1</v>
      </c>
      <c r="AN154" s="287" t="s">
        <v>1</v>
      </c>
      <c r="AO154" s="287" t="s">
        <v>1</v>
      </c>
      <c r="AP154" s="286" t="s">
        <v>1</v>
      </c>
      <c r="AQ154" s="285" t="s">
        <v>1</v>
      </c>
      <c r="AR154" s="289" t="s">
        <v>1</v>
      </c>
      <c r="AS154" s="289" t="s">
        <v>1</v>
      </c>
      <c r="AT154" s="290" t="s">
        <v>1</v>
      </c>
      <c r="AU154" s="287" t="s">
        <v>1</v>
      </c>
      <c r="AV154" s="287" t="s">
        <v>1</v>
      </c>
      <c r="AW154" s="291" t="s">
        <v>1</v>
      </c>
    </row>
    <row r="155" spans="1:49" ht="30.15" customHeight="1" x14ac:dyDescent="0.25">
      <c r="A155" s="188" t="s">
        <v>18</v>
      </c>
      <c r="B155" s="188" t="s">
        <v>1</v>
      </c>
      <c r="C155" s="188" t="s">
        <v>35</v>
      </c>
      <c r="D155" s="190" t="s">
        <v>3</v>
      </c>
      <c r="E155" s="190" t="s">
        <v>861</v>
      </c>
      <c r="F155" s="203"/>
      <c r="G155" s="190" t="s">
        <v>874</v>
      </c>
      <c r="H155" s="192" t="s">
        <v>414</v>
      </c>
      <c r="I155" s="194">
        <v>1518</v>
      </c>
      <c r="J155" s="194">
        <v>1558</v>
      </c>
      <c r="K155" s="194">
        <v>1558</v>
      </c>
      <c r="L155" s="193">
        <v>1640</v>
      </c>
      <c r="M155" s="194">
        <v>1640</v>
      </c>
      <c r="N155" s="284" t="s">
        <v>1</v>
      </c>
      <c r="O155" s="285" t="s">
        <v>1</v>
      </c>
      <c r="P155" s="285" t="s">
        <v>1</v>
      </c>
      <c r="Q155" s="285" t="s">
        <v>1</v>
      </c>
      <c r="R155" s="285" t="s">
        <v>1</v>
      </c>
      <c r="S155" s="286" t="s">
        <v>1</v>
      </c>
      <c r="T155" s="285" t="s">
        <v>1</v>
      </c>
      <c r="U155" s="285" t="s">
        <v>1</v>
      </c>
      <c r="V155" s="285" t="s">
        <v>1</v>
      </c>
      <c r="W155" s="285" t="s">
        <v>1</v>
      </c>
      <c r="X155" s="286" t="s">
        <v>1</v>
      </c>
      <c r="Y155" s="285" t="s">
        <v>1</v>
      </c>
      <c r="Z155" s="285" t="s">
        <v>1</v>
      </c>
      <c r="AA155" s="285" t="s">
        <v>1</v>
      </c>
      <c r="AB155" s="285" t="s">
        <v>1</v>
      </c>
      <c r="AC155" s="286" t="s">
        <v>1</v>
      </c>
      <c r="AD155" s="285" t="s">
        <v>1</v>
      </c>
      <c r="AE155" s="285" t="s">
        <v>1</v>
      </c>
      <c r="AF155" s="285" t="s">
        <v>1</v>
      </c>
      <c r="AG155" s="285" t="s">
        <v>1</v>
      </c>
      <c r="AH155" s="286" t="s">
        <v>1</v>
      </c>
      <c r="AI155" s="295" t="s">
        <v>1</v>
      </c>
      <c r="AJ155" s="295" t="s">
        <v>1</v>
      </c>
      <c r="AK155" s="295" t="s">
        <v>1</v>
      </c>
      <c r="AL155" s="286">
        <v>656</v>
      </c>
      <c r="AM155" s="288" t="s">
        <v>1</v>
      </c>
      <c r="AN155" s="287" t="s">
        <v>1</v>
      </c>
      <c r="AO155" s="287" t="s">
        <v>1</v>
      </c>
      <c r="AP155" s="286" t="s">
        <v>1</v>
      </c>
      <c r="AQ155" s="285" t="s">
        <v>1</v>
      </c>
      <c r="AR155" s="289" t="s">
        <v>1</v>
      </c>
      <c r="AS155" s="289" t="s">
        <v>1</v>
      </c>
      <c r="AT155" s="290" t="s">
        <v>1</v>
      </c>
      <c r="AU155" s="287" t="s">
        <v>1</v>
      </c>
      <c r="AV155" s="287" t="s">
        <v>1</v>
      </c>
      <c r="AW155" s="291" t="s">
        <v>1</v>
      </c>
    </row>
    <row r="156" spans="1:49" ht="30.15" customHeight="1" x14ac:dyDescent="0.25">
      <c r="A156" s="188" t="s">
        <v>18</v>
      </c>
      <c r="B156" s="188" t="s">
        <v>1</v>
      </c>
      <c r="C156" s="188" t="s">
        <v>35</v>
      </c>
      <c r="D156" s="190" t="s">
        <v>3</v>
      </c>
      <c r="E156" s="190" t="s">
        <v>862</v>
      </c>
      <c r="F156" s="203"/>
      <c r="G156" s="190" t="s">
        <v>874</v>
      </c>
      <c r="H156" s="192" t="s">
        <v>414</v>
      </c>
      <c r="I156" s="194">
        <v>1518</v>
      </c>
      <c r="J156" s="194">
        <v>1558</v>
      </c>
      <c r="K156" s="194">
        <v>1558</v>
      </c>
      <c r="L156" s="193">
        <v>1640</v>
      </c>
      <c r="M156" s="194">
        <v>1640</v>
      </c>
      <c r="N156" s="284" t="s">
        <v>1</v>
      </c>
      <c r="O156" s="285" t="s">
        <v>1</v>
      </c>
      <c r="P156" s="285" t="s">
        <v>1</v>
      </c>
      <c r="Q156" s="285" t="s">
        <v>1</v>
      </c>
      <c r="R156" s="285" t="s">
        <v>1</v>
      </c>
      <c r="S156" s="286" t="s">
        <v>1</v>
      </c>
      <c r="T156" s="285" t="s">
        <v>1</v>
      </c>
      <c r="U156" s="285" t="s">
        <v>1</v>
      </c>
      <c r="V156" s="285" t="s">
        <v>1</v>
      </c>
      <c r="W156" s="285" t="s">
        <v>1</v>
      </c>
      <c r="X156" s="286" t="s">
        <v>1</v>
      </c>
      <c r="Y156" s="285" t="s">
        <v>1</v>
      </c>
      <c r="Z156" s="285" t="s">
        <v>1</v>
      </c>
      <c r="AA156" s="285" t="s">
        <v>1</v>
      </c>
      <c r="AB156" s="285" t="s">
        <v>1</v>
      </c>
      <c r="AC156" s="286" t="s">
        <v>1</v>
      </c>
      <c r="AD156" s="285" t="s">
        <v>1</v>
      </c>
      <c r="AE156" s="285" t="s">
        <v>1</v>
      </c>
      <c r="AF156" s="285" t="s">
        <v>1</v>
      </c>
      <c r="AG156" s="285" t="s">
        <v>1</v>
      </c>
      <c r="AH156" s="286" t="s">
        <v>1</v>
      </c>
      <c r="AI156" s="295" t="s">
        <v>1</v>
      </c>
      <c r="AJ156" s="295" t="s">
        <v>1</v>
      </c>
      <c r="AK156" s="295" t="s">
        <v>1</v>
      </c>
      <c r="AL156" s="286">
        <v>656</v>
      </c>
      <c r="AM156" s="288" t="s">
        <v>1</v>
      </c>
      <c r="AN156" s="287" t="s">
        <v>1</v>
      </c>
      <c r="AO156" s="287" t="s">
        <v>1</v>
      </c>
      <c r="AP156" s="286" t="s">
        <v>1</v>
      </c>
      <c r="AQ156" s="285" t="s">
        <v>1</v>
      </c>
      <c r="AR156" s="289" t="s">
        <v>1</v>
      </c>
      <c r="AS156" s="289" t="s">
        <v>1</v>
      </c>
      <c r="AT156" s="290" t="s">
        <v>1</v>
      </c>
      <c r="AU156" s="287" t="s">
        <v>1</v>
      </c>
      <c r="AV156" s="287" t="s">
        <v>1</v>
      </c>
      <c r="AW156" s="291" t="s">
        <v>1</v>
      </c>
    </row>
    <row r="157" spans="1:49" ht="30.15" customHeight="1" x14ac:dyDescent="0.25">
      <c r="A157" s="188" t="s">
        <v>18</v>
      </c>
      <c r="B157" s="188" t="s">
        <v>1</v>
      </c>
      <c r="C157" s="188" t="s">
        <v>35</v>
      </c>
      <c r="D157" s="190" t="s">
        <v>3</v>
      </c>
      <c r="E157" s="190" t="s">
        <v>906</v>
      </c>
      <c r="F157" s="203"/>
      <c r="G157" s="190" t="s">
        <v>874</v>
      </c>
      <c r="H157" s="192" t="s">
        <v>414</v>
      </c>
      <c r="I157" s="194">
        <v>1449</v>
      </c>
      <c r="J157" s="194">
        <v>1558</v>
      </c>
      <c r="K157" s="194">
        <v>1558</v>
      </c>
      <c r="L157" s="193">
        <v>1649.99</v>
      </c>
      <c r="M157" s="194">
        <v>1649.99</v>
      </c>
      <c r="N157" s="284" t="s">
        <v>1</v>
      </c>
      <c r="O157" s="285" t="s">
        <v>1</v>
      </c>
      <c r="P157" s="285" t="s">
        <v>1</v>
      </c>
      <c r="Q157" s="285" t="s">
        <v>1</v>
      </c>
      <c r="R157" s="285" t="s">
        <v>1</v>
      </c>
      <c r="S157" s="286" t="s">
        <v>1</v>
      </c>
      <c r="T157" s="285" t="s">
        <v>1</v>
      </c>
      <c r="U157" s="285" t="s">
        <v>1</v>
      </c>
      <c r="V157" s="285" t="s">
        <v>1</v>
      </c>
      <c r="W157" s="285" t="s">
        <v>1</v>
      </c>
      <c r="X157" s="286" t="s">
        <v>1</v>
      </c>
      <c r="Y157" s="285" t="s">
        <v>1</v>
      </c>
      <c r="Z157" s="285" t="s">
        <v>1</v>
      </c>
      <c r="AA157" s="285" t="s">
        <v>1</v>
      </c>
      <c r="AB157" s="285" t="s">
        <v>1</v>
      </c>
      <c r="AC157" s="286" t="s">
        <v>1</v>
      </c>
      <c r="AD157" s="285" t="s">
        <v>1</v>
      </c>
      <c r="AE157" s="285" t="s">
        <v>1</v>
      </c>
      <c r="AF157" s="285" t="s">
        <v>1</v>
      </c>
      <c r="AG157" s="285" t="s">
        <v>1</v>
      </c>
      <c r="AH157" s="286" t="s">
        <v>1</v>
      </c>
      <c r="AI157" s="295" t="s">
        <v>1</v>
      </c>
      <c r="AJ157" s="295" t="s">
        <v>1</v>
      </c>
      <c r="AK157" s="295" t="s">
        <v>1</v>
      </c>
      <c r="AL157" s="286">
        <v>660</v>
      </c>
      <c r="AM157" s="288" t="s">
        <v>1</v>
      </c>
      <c r="AN157" s="287" t="s">
        <v>1</v>
      </c>
      <c r="AO157" s="287" t="s">
        <v>1</v>
      </c>
      <c r="AP157" s="286" t="s">
        <v>1</v>
      </c>
      <c r="AQ157" s="285" t="s">
        <v>1</v>
      </c>
      <c r="AR157" s="289" t="s">
        <v>1</v>
      </c>
      <c r="AS157" s="289" t="s">
        <v>1</v>
      </c>
      <c r="AT157" s="290" t="s">
        <v>1</v>
      </c>
      <c r="AU157" s="287" t="s">
        <v>1</v>
      </c>
      <c r="AV157" s="287" t="s">
        <v>1</v>
      </c>
      <c r="AW157" s="291" t="s">
        <v>1</v>
      </c>
    </row>
    <row r="158" spans="1:49" ht="30.15" customHeight="1" x14ac:dyDescent="0.25">
      <c r="A158" s="188" t="s">
        <v>18</v>
      </c>
      <c r="B158" s="188" t="s">
        <v>1</v>
      </c>
      <c r="C158" s="188" t="s">
        <v>35</v>
      </c>
      <c r="D158" s="190" t="s">
        <v>3</v>
      </c>
      <c r="E158" s="190" t="s">
        <v>863</v>
      </c>
      <c r="F158" s="203"/>
      <c r="G158" s="190" t="s">
        <v>875</v>
      </c>
      <c r="H158" s="192" t="s">
        <v>414</v>
      </c>
      <c r="I158" s="194">
        <v>1758</v>
      </c>
      <c r="J158" s="194">
        <v>1804.05</v>
      </c>
      <c r="K158" s="194">
        <v>1804.05</v>
      </c>
      <c r="L158" s="193">
        <v>1899</v>
      </c>
      <c r="M158" s="194">
        <v>1899</v>
      </c>
      <c r="N158" s="284" t="s">
        <v>1</v>
      </c>
      <c r="O158" s="285" t="s">
        <v>1</v>
      </c>
      <c r="P158" s="285" t="s">
        <v>1</v>
      </c>
      <c r="Q158" s="285" t="s">
        <v>1</v>
      </c>
      <c r="R158" s="285" t="s">
        <v>1</v>
      </c>
      <c r="S158" s="286" t="s">
        <v>1</v>
      </c>
      <c r="T158" s="285" t="s">
        <v>1</v>
      </c>
      <c r="U158" s="285" t="s">
        <v>1</v>
      </c>
      <c r="V158" s="285" t="s">
        <v>1</v>
      </c>
      <c r="W158" s="285" t="s">
        <v>1</v>
      </c>
      <c r="X158" s="286" t="s">
        <v>1</v>
      </c>
      <c r="Y158" s="285" t="s">
        <v>1</v>
      </c>
      <c r="Z158" s="285" t="s">
        <v>1</v>
      </c>
      <c r="AA158" s="285" t="s">
        <v>1</v>
      </c>
      <c r="AB158" s="285" t="s">
        <v>1</v>
      </c>
      <c r="AC158" s="286" t="s">
        <v>1</v>
      </c>
      <c r="AD158" s="285" t="s">
        <v>1</v>
      </c>
      <c r="AE158" s="285" t="s">
        <v>1</v>
      </c>
      <c r="AF158" s="285" t="s">
        <v>1</v>
      </c>
      <c r="AG158" s="285" t="s">
        <v>1</v>
      </c>
      <c r="AH158" s="286" t="s">
        <v>1</v>
      </c>
      <c r="AI158" s="295" t="s">
        <v>1</v>
      </c>
      <c r="AJ158" s="295" t="s">
        <v>1</v>
      </c>
      <c r="AK158" s="295" t="s">
        <v>1</v>
      </c>
      <c r="AL158" s="286">
        <v>759.6</v>
      </c>
      <c r="AM158" s="288" t="s">
        <v>1</v>
      </c>
      <c r="AN158" s="287" t="s">
        <v>1</v>
      </c>
      <c r="AO158" s="287" t="s">
        <v>1</v>
      </c>
      <c r="AP158" s="286" t="s">
        <v>1</v>
      </c>
      <c r="AQ158" s="285" t="s">
        <v>1</v>
      </c>
      <c r="AR158" s="289" t="s">
        <v>1</v>
      </c>
      <c r="AS158" s="289" t="s">
        <v>1</v>
      </c>
      <c r="AT158" s="290" t="s">
        <v>1</v>
      </c>
      <c r="AU158" s="287" t="s">
        <v>1</v>
      </c>
      <c r="AV158" s="287" t="s">
        <v>1</v>
      </c>
      <c r="AW158" s="291" t="s">
        <v>1</v>
      </c>
    </row>
    <row r="159" spans="1:49" ht="30.15" customHeight="1" x14ac:dyDescent="0.25">
      <c r="A159" s="188" t="s">
        <v>18</v>
      </c>
      <c r="B159" s="188" t="s">
        <v>1</v>
      </c>
      <c r="C159" s="188" t="s">
        <v>35</v>
      </c>
      <c r="D159" s="190" t="s">
        <v>3</v>
      </c>
      <c r="E159" s="190" t="s">
        <v>864</v>
      </c>
      <c r="F159" s="203"/>
      <c r="G159" s="190" t="s">
        <v>875</v>
      </c>
      <c r="H159" s="192" t="s">
        <v>414</v>
      </c>
      <c r="I159" s="194">
        <v>1758</v>
      </c>
      <c r="J159" s="194">
        <v>1804.05</v>
      </c>
      <c r="K159" s="194">
        <v>1804.05</v>
      </c>
      <c r="L159" s="193">
        <v>1899</v>
      </c>
      <c r="M159" s="194">
        <v>1899</v>
      </c>
      <c r="N159" s="284" t="s">
        <v>1</v>
      </c>
      <c r="O159" s="285" t="s">
        <v>1</v>
      </c>
      <c r="P159" s="285" t="s">
        <v>1</v>
      </c>
      <c r="Q159" s="285" t="s">
        <v>1</v>
      </c>
      <c r="R159" s="285" t="s">
        <v>1</v>
      </c>
      <c r="S159" s="286" t="s">
        <v>1</v>
      </c>
      <c r="T159" s="285" t="s">
        <v>1</v>
      </c>
      <c r="U159" s="285" t="s">
        <v>1</v>
      </c>
      <c r="V159" s="285" t="s">
        <v>1</v>
      </c>
      <c r="W159" s="285" t="s">
        <v>1</v>
      </c>
      <c r="X159" s="286" t="s">
        <v>1</v>
      </c>
      <c r="Y159" s="285" t="s">
        <v>1</v>
      </c>
      <c r="Z159" s="285" t="s">
        <v>1</v>
      </c>
      <c r="AA159" s="285" t="s">
        <v>1</v>
      </c>
      <c r="AB159" s="285" t="s">
        <v>1</v>
      </c>
      <c r="AC159" s="286" t="s">
        <v>1</v>
      </c>
      <c r="AD159" s="285" t="s">
        <v>1</v>
      </c>
      <c r="AE159" s="285" t="s">
        <v>1</v>
      </c>
      <c r="AF159" s="285" t="s">
        <v>1</v>
      </c>
      <c r="AG159" s="285" t="s">
        <v>1</v>
      </c>
      <c r="AH159" s="286" t="s">
        <v>1</v>
      </c>
      <c r="AI159" s="295" t="s">
        <v>1</v>
      </c>
      <c r="AJ159" s="295" t="s">
        <v>1</v>
      </c>
      <c r="AK159" s="295" t="s">
        <v>1</v>
      </c>
      <c r="AL159" s="286">
        <v>759.6</v>
      </c>
      <c r="AM159" s="288" t="s">
        <v>1</v>
      </c>
      <c r="AN159" s="287" t="s">
        <v>1</v>
      </c>
      <c r="AO159" s="287" t="s">
        <v>1</v>
      </c>
      <c r="AP159" s="286" t="s">
        <v>1</v>
      </c>
      <c r="AQ159" s="285" t="s">
        <v>1</v>
      </c>
      <c r="AR159" s="289" t="s">
        <v>1</v>
      </c>
      <c r="AS159" s="289" t="s">
        <v>1</v>
      </c>
      <c r="AT159" s="290" t="s">
        <v>1</v>
      </c>
      <c r="AU159" s="287" t="s">
        <v>1</v>
      </c>
      <c r="AV159" s="287" t="s">
        <v>1</v>
      </c>
      <c r="AW159" s="291" t="s">
        <v>1</v>
      </c>
    </row>
    <row r="160" spans="1:49" ht="30.15" customHeight="1" x14ac:dyDescent="0.25">
      <c r="A160" s="188" t="s">
        <v>18</v>
      </c>
      <c r="B160" s="188" t="s">
        <v>1</v>
      </c>
      <c r="C160" s="188" t="s">
        <v>35</v>
      </c>
      <c r="D160" s="190" t="s">
        <v>3</v>
      </c>
      <c r="E160" s="190" t="s">
        <v>865</v>
      </c>
      <c r="F160" s="203"/>
      <c r="G160" s="190" t="s">
        <v>876</v>
      </c>
      <c r="H160" s="192" t="s">
        <v>414</v>
      </c>
      <c r="I160" s="194">
        <v>1388</v>
      </c>
      <c r="J160" s="194">
        <v>1425</v>
      </c>
      <c r="K160" s="194">
        <v>1425</v>
      </c>
      <c r="L160" s="193">
        <v>1500</v>
      </c>
      <c r="M160" s="194">
        <v>1500</v>
      </c>
      <c r="N160" s="284" t="s">
        <v>1</v>
      </c>
      <c r="O160" s="285" t="s">
        <v>1</v>
      </c>
      <c r="P160" s="285" t="s">
        <v>1</v>
      </c>
      <c r="Q160" s="285" t="s">
        <v>1</v>
      </c>
      <c r="R160" s="285" t="s">
        <v>1</v>
      </c>
      <c r="S160" s="286" t="s">
        <v>1</v>
      </c>
      <c r="T160" s="285" t="s">
        <v>1</v>
      </c>
      <c r="U160" s="285" t="s">
        <v>1</v>
      </c>
      <c r="V160" s="285" t="s">
        <v>1</v>
      </c>
      <c r="W160" s="285" t="s">
        <v>1</v>
      </c>
      <c r="X160" s="286" t="s">
        <v>1</v>
      </c>
      <c r="Y160" s="285" t="s">
        <v>1</v>
      </c>
      <c r="Z160" s="285" t="s">
        <v>1</v>
      </c>
      <c r="AA160" s="285" t="s">
        <v>1</v>
      </c>
      <c r="AB160" s="285" t="s">
        <v>1</v>
      </c>
      <c r="AC160" s="286" t="s">
        <v>1</v>
      </c>
      <c r="AD160" s="285" t="s">
        <v>1</v>
      </c>
      <c r="AE160" s="285" t="s">
        <v>1</v>
      </c>
      <c r="AF160" s="285" t="s">
        <v>1</v>
      </c>
      <c r="AG160" s="285" t="s">
        <v>1</v>
      </c>
      <c r="AH160" s="286" t="s">
        <v>1</v>
      </c>
      <c r="AI160" s="295" t="s">
        <v>1</v>
      </c>
      <c r="AJ160" s="295" t="s">
        <v>1</v>
      </c>
      <c r="AK160" s="295" t="s">
        <v>1</v>
      </c>
      <c r="AL160" s="286">
        <v>600</v>
      </c>
      <c r="AM160" s="288" t="s">
        <v>1</v>
      </c>
      <c r="AN160" s="287" t="s">
        <v>1</v>
      </c>
      <c r="AO160" s="287" t="s">
        <v>1</v>
      </c>
      <c r="AP160" s="286" t="s">
        <v>1</v>
      </c>
      <c r="AQ160" s="285" t="s">
        <v>1</v>
      </c>
      <c r="AR160" s="289" t="s">
        <v>1</v>
      </c>
      <c r="AS160" s="289" t="s">
        <v>1</v>
      </c>
      <c r="AT160" s="290" t="s">
        <v>1</v>
      </c>
      <c r="AU160" s="287" t="s">
        <v>1</v>
      </c>
      <c r="AV160" s="287" t="s">
        <v>1</v>
      </c>
      <c r="AW160" s="291" t="s">
        <v>1</v>
      </c>
    </row>
    <row r="161" spans="1:49" ht="30.15" customHeight="1" x14ac:dyDescent="0.25">
      <c r="A161" s="188" t="s">
        <v>18</v>
      </c>
      <c r="B161" s="188" t="s">
        <v>1</v>
      </c>
      <c r="C161" s="188" t="s">
        <v>35</v>
      </c>
      <c r="D161" s="190" t="s">
        <v>3</v>
      </c>
      <c r="E161" s="190" t="s">
        <v>866</v>
      </c>
      <c r="F161" s="203"/>
      <c r="G161" s="190" t="s">
        <v>876</v>
      </c>
      <c r="H161" s="192" t="s">
        <v>414</v>
      </c>
      <c r="I161" s="194">
        <v>1388</v>
      </c>
      <c r="J161" s="194">
        <v>1425</v>
      </c>
      <c r="K161" s="194">
        <v>1425</v>
      </c>
      <c r="L161" s="193">
        <v>1500</v>
      </c>
      <c r="M161" s="194">
        <v>1500</v>
      </c>
      <c r="N161" s="284" t="s">
        <v>1</v>
      </c>
      <c r="O161" s="285" t="s">
        <v>1</v>
      </c>
      <c r="P161" s="285" t="s">
        <v>1</v>
      </c>
      <c r="Q161" s="285" t="s">
        <v>1</v>
      </c>
      <c r="R161" s="285" t="s">
        <v>1</v>
      </c>
      <c r="S161" s="286" t="s">
        <v>1</v>
      </c>
      <c r="T161" s="285" t="s">
        <v>1</v>
      </c>
      <c r="U161" s="285" t="s">
        <v>1</v>
      </c>
      <c r="V161" s="285" t="s">
        <v>1</v>
      </c>
      <c r="W161" s="285" t="s">
        <v>1</v>
      </c>
      <c r="X161" s="286" t="s">
        <v>1</v>
      </c>
      <c r="Y161" s="285" t="s">
        <v>1</v>
      </c>
      <c r="Z161" s="285" t="s">
        <v>1</v>
      </c>
      <c r="AA161" s="285" t="s">
        <v>1</v>
      </c>
      <c r="AB161" s="285" t="s">
        <v>1</v>
      </c>
      <c r="AC161" s="286" t="s">
        <v>1</v>
      </c>
      <c r="AD161" s="285" t="s">
        <v>1</v>
      </c>
      <c r="AE161" s="285" t="s">
        <v>1</v>
      </c>
      <c r="AF161" s="285" t="s">
        <v>1</v>
      </c>
      <c r="AG161" s="285" t="s">
        <v>1</v>
      </c>
      <c r="AH161" s="286" t="s">
        <v>1</v>
      </c>
      <c r="AI161" s="295" t="s">
        <v>1</v>
      </c>
      <c r="AJ161" s="295" t="s">
        <v>1</v>
      </c>
      <c r="AK161" s="295" t="s">
        <v>1</v>
      </c>
      <c r="AL161" s="286">
        <v>600</v>
      </c>
      <c r="AM161" s="288" t="s">
        <v>1</v>
      </c>
      <c r="AN161" s="287" t="s">
        <v>1</v>
      </c>
      <c r="AO161" s="287" t="s">
        <v>1</v>
      </c>
      <c r="AP161" s="286" t="s">
        <v>1</v>
      </c>
      <c r="AQ161" s="285" t="s">
        <v>1</v>
      </c>
      <c r="AR161" s="289" t="s">
        <v>1</v>
      </c>
      <c r="AS161" s="289" t="s">
        <v>1</v>
      </c>
      <c r="AT161" s="290" t="s">
        <v>1</v>
      </c>
      <c r="AU161" s="287" t="s">
        <v>1</v>
      </c>
      <c r="AV161" s="287" t="s">
        <v>1</v>
      </c>
      <c r="AW161" s="291" t="s">
        <v>1</v>
      </c>
    </row>
    <row r="162" spans="1:49" ht="30.15" customHeight="1" x14ac:dyDescent="0.25">
      <c r="A162" s="188" t="s">
        <v>18</v>
      </c>
      <c r="B162" s="188" t="s">
        <v>1</v>
      </c>
      <c r="C162" s="188" t="s">
        <v>35</v>
      </c>
      <c r="D162" s="190" t="s">
        <v>3</v>
      </c>
      <c r="E162" s="190" t="s">
        <v>867</v>
      </c>
      <c r="F162" s="203"/>
      <c r="G162" s="190" t="s">
        <v>877</v>
      </c>
      <c r="H162" s="192" t="s">
        <v>414</v>
      </c>
      <c r="I162" s="194">
        <v>1508</v>
      </c>
      <c r="J162" s="194">
        <v>1547.55</v>
      </c>
      <c r="K162" s="194">
        <v>1547.55</v>
      </c>
      <c r="L162" s="193">
        <v>1629</v>
      </c>
      <c r="M162" s="194">
        <v>1629</v>
      </c>
      <c r="N162" s="284" t="s">
        <v>1</v>
      </c>
      <c r="O162" s="285" t="s">
        <v>1</v>
      </c>
      <c r="P162" s="285" t="s">
        <v>1</v>
      </c>
      <c r="Q162" s="285" t="s">
        <v>1</v>
      </c>
      <c r="R162" s="285" t="s">
        <v>1</v>
      </c>
      <c r="S162" s="286" t="s">
        <v>1</v>
      </c>
      <c r="T162" s="285" t="s">
        <v>1</v>
      </c>
      <c r="U162" s="285" t="s">
        <v>1</v>
      </c>
      <c r="V162" s="285" t="s">
        <v>1</v>
      </c>
      <c r="W162" s="285" t="s">
        <v>1</v>
      </c>
      <c r="X162" s="286" t="s">
        <v>1</v>
      </c>
      <c r="Y162" s="285" t="s">
        <v>1</v>
      </c>
      <c r="Z162" s="285" t="s">
        <v>1</v>
      </c>
      <c r="AA162" s="285" t="s">
        <v>1</v>
      </c>
      <c r="AB162" s="285" t="s">
        <v>1</v>
      </c>
      <c r="AC162" s="286" t="s">
        <v>1</v>
      </c>
      <c r="AD162" s="285" t="s">
        <v>1</v>
      </c>
      <c r="AE162" s="285" t="s">
        <v>1</v>
      </c>
      <c r="AF162" s="285" t="s">
        <v>1</v>
      </c>
      <c r="AG162" s="285" t="s">
        <v>1</v>
      </c>
      <c r="AH162" s="286" t="s">
        <v>1</v>
      </c>
      <c r="AI162" s="295" t="s">
        <v>1</v>
      </c>
      <c r="AJ162" s="295" t="s">
        <v>1</v>
      </c>
      <c r="AK162" s="295" t="s">
        <v>1</v>
      </c>
      <c r="AL162" s="286">
        <v>651.6</v>
      </c>
      <c r="AM162" s="288" t="s">
        <v>1</v>
      </c>
      <c r="AN162" s="287" t="s">
        <v>1</v>
      </c>
      <c r="AO162" s="287" t="s">
        <v>1</v>
      </c>
      <c r="AP162" s="286" t="s">
        <v>1</v>
      </c>
      <c r="AQ162" s="285" t="s">
        <v>1</v>
      </c>
      <c r="AR162" s="289" t="s">
        <v>1</v>
      </c>
      <c r="AS162" s="289" t="s">
        <v>1</v>
      </c>
      <c r="AT162" s="290" t="s">
        <v>1</v>
      </c>
      <c r="AU162" s="287" t="s">
        <v>1</v>
      </c>
      <c r="AV162" s="287" t="s">
        <v>1</v>
      </c>
      <c r="AW162" s="291" t="s">
        <v>1</v>
      </c>
    </row>
    <row r="163" spans="1:49" ht="30.15" customHeight="1" x14ac:dyDescent="0.25">
      <c r="A163" s="188" t="s">
        <v>18</v>
      </c>
      <c r="B163" s="188" t="s">
        <v>1</v>
      </c>
      <c r="C163" s="188" t="s">
        <v>35</v>
      </c>
      <c r="D163" s="190" t="s">
        <v>3</v>
      </c>
      <c r="E163" s="190" t="s">
        <v>868</v>
      </c>
      <c r="F163" s="203"/>
      <c r="G163" s="190" t="s">
        <v>877</v>
      </c>
      <c r="H163" s="192" t="s">
        <v>414</v>
      </c>
      <c r="I163" s="194">
        <v>1508</v>
      </c>
      <c r="J163" s="194">
        <v>1547.55</v>
      </c>
      <c r="K163" s="194">
        <v>1547.55</v>
      </c>
      <c r="L163" s="193">
        <v>1629</v>
      </c>
      <c r="M163" s="194">
        <v>1629</v>
      </c>
      <c r="N163" s="284" t="s">
        <v>1</v>
      </c>
      <c r="O163" s="285" t="s">
        <v>1</v>
      </c>
      <c r="P163" s="285" t="s">
        <v>1</v>
      </c>
      <c r="Q163" s="285" t="s">
        <v>1</v>
      </c>
      <c r="R163" s="285" t="s">
        <v>1</v>
      </c>
      <c r="S163" s="286" t="s">
        <v>1</v>
      </c>
      <c r="T163" s="285" t="s">
        <v>1</v>
      </c>
      <c r="U163" s="285" t="s">
        <v>1</v>
      </c>
      <c r="V163" s="285" t="s">
        <v>1</v>
      </c>
      <c r="W163" s="285" t="s">
        <v>1</v>
      </c>
      <c r="X163" s="286" t="s">
        <v>1</v>
      </c>
      <c r="Y163" s="285" t="s">
        <v>1</v>
      </c>
      <c r="Z163" s="285" t="s">
        <v>1</v>
      </c>
      <c r="AA163" s="285" t="s">
        <v>1</v>
      </c>
      <c r="AB163" s="285" t="s">
        <v>1</v>
      </c>
      <c r="AC163" s="286" t="s">
        <v>1</v>
      </c>
      <c r="AD163" s="285" t="s">
        <v>1</v>
      </c>
      <c r="AE163" s="285" t="s">
        <v>1</v>
      </c>
      <c r="AF163" s="285" t="s">
        <v>1</v>
      </c>
      <c r="AG163" s="285" t="s">
        <v>1</v>
      </c>
      <c r="AH163" s="286" t="s">
        <v>1</v>
      </c>
      <c r="AI163" s="295" t="s">
        <v>1</v>
      </c>
      <c r="AJ163" s="295" t="s">
        <v>1</v>
      </c>
      <c r="AK163" s="295" t="s">
        <v>1</v>
      </c>
      <c r="AL163" s="286">
        <v>651.6</v>
      </c>
      <c r="AM163" s="288" t="s">
        <v>1</v>
      </c>
      <c r="AN163" s="287" t="s">
        <v>1</v>
      </c>
      <c r="AO163" s="287" t="s">
        <v>1</v>
      </c>
      <c r="AP163" s="286" t="s">
        <v>1</v>
      </c>
      <c r="AQ163" s="285" t="s">
        <v>1</v>
      </c>
      <c r="AR163" s="289" t="s">
        <v>1</v>
      </c>
      <c r="AS163" s="289" t="s">
        <v>1</v>
      </c>
      <c r="AT163" s="290" t="s">
        <v>1</v>
      </c>
      <c r="AU163" s="287" t="s">
        <v>1</v>
      </c>
      <c r="AV163" s="287" t="s">
        <v>1</v>
      </c>
      <c r="AW163" s="291" t="s">
        <v>1</v>
      </c>
    </row>
    <row r="164" spans="1:49" ht="30.15" customHeight="1" x14ac:dyDescent="0.25">
      <c r="A164" s="188" t="s">
        <v>18</v>
      </c>
      <c r="B164" s="188" t="s">
        <v>1</v>
      </c>
      <c r="C164" s="188" t="s">
        <v>35</v>
      </c>
      <c r="D164" s="190" t="s">
        <v>3</v>
      </c>
      <c r="E164" s="190" t="s">
        <v>869</v>
      </c>
      <c r="F164" s="203"/>
      <c r="G164" s="190" t="s">
        <v>878</v>
      </c>
      <c r="H164" s="192" t="s">
        <v>414</v>
      </c>
      <c r="I164" s="194">
        <v>1749</v>
      </c>
      <c r="J164" s="194">
        <v>1794.55</v>
      </c>
      <c r="K164" s="194">
        <v>1794.55</v>
      </c>
      <c r="L164" s="193">
        <v>1889</v>
      </c>
      <c r="M164" s="194">
        <v>1889</v>
      </c>
      <c r="N164" s="284" t="s">
        <v>1</v>
      </c>
      <c r="O164" s="285" t="s">
        <v>1</v>
      </c>
      <c r="P164" s="285" t="s">
        <v>1</v>
      </c>
      <c r="Q164" s="285" t="s">
        <v>1</v>
      </c>
      <c r="R164" s="285" t="s">
        <v>1</v>
      </c>
      <c r="S164" s="286" t="s">
        <v>1</v>
      </c>
      <c r="T164" s="285" t="s">
        <v>1</v>
      </c>
      <c r="U164" s="285" t="s">
        <v>1</v>
      </c>
      <c r="V164" s="285" t="s">
        <v>1</v>
      </c>
      <c r="W164" s="285" t="s">
        <v>1</v>
      </c>
      <c r="X164" s="286" t="s">
        <v>1</v>
      </c>
      <c r="Y164" s="285" t="s">
        <v>1</v>
      </c>
      <c r="Z164" s="285" t="s">
        <v>1</v>
      </c>
      <c r="AA164" s="285" t="s">
        <v>1</v>
      </c>
      <c r="AB164" s="285" t="s">
        <v>1</v>
      </c>
      <c r="AC164" s="286" t="s">
        <v>1</v>
      </c>
      <c r="AD164" s="285" t="s">
        <v>1</v>
      </c>
      <c r="AE164" s="285" t="s">
        <v>1</v>
      </c>
      <c r="AF164" s="285" t="s">
        <v>1</v>
      </c>
      <c r="AG164" s="285" t="s">
        <v>1</v>
      </c>
      <c r="AH164" s="286" t="s">
        <v>1</v>
      </c>
      <c r="AI164" s="295" t="s">
        <v>1</v>
      </c>
      <c r="AJ164" s="295" t="s">
        <v>1</v>
      </c>
      <c r="AK164" s="295" t="s">
        <v>1</v>
      </c>
      <c r="AL164" s="286">
        <v>755.6</v>
      </c>
      <c r="AM164" s="288" t="s">
        <v>1</v>
      </c>
      <c r="AN164" s="287" t="s">
        <v>1</v>
      </c>
      <c r="AO164" s="287" t="s">
        <v>1</v>
      </c>
      <c r="AP164" s="286" t="s">
        <v>1</v>
      </c>
      <c r="AQ164" s="285" t="s">
        <v>1</v>
      </c>
      <c r="AR164" s="289" t="s">
        <v>1</v>
      </c>
      <c r="AS164" s="289" t="s">
        <v>1</v>
      </c>
      <c r="AT164" s="290" t="s">
        <v>1</v>
      </c>
      <c r="AU164" s="287" t="s">
        <v>1</v>
      </c>
      <c r="AV164" s="287" t="s">
        <v>1</v>
      </c>
      <c r="AW164" s="291" t="s">
        <v>1</v>
      </c>
    </row>
    <row r="165" spans="1:49" ht="30.15" customHeight="1" x14ac:dyDescent="0.25">
      <c r="A165" s="188" t="s">
        <v>18</v>
      </c>
      <c r="B165" s="188" t="s">
        <v>1</v>
      </c>
      <c r="C165" s="188" t="s">
        <v>35</v>
      </c>
      <c r="D165" s="190" t="s">
        <v>3</v>
      </c>
      <c r="E165" s="190" t="s">
        <v>870</v>
      </c>
      <c r="F165" s="203"/>
      <c r="G165" s="190" t="s">
        <v>878</v>
      </c>
      <c r="H165" s="192" t="s">
        <v>414</v>
      </c>
      <c r="I165" s="194">
        <v>1749</v>
      </c>
      <c r="J165" s="194">
        <v>1794.55</v>
      </c>
      <c r="K165" s="194">
        <v>1794.55</v>
      </c>
      <c r="L165" s="193">
        <v>1889</v>
      </c>
      <c r="M165" s="194">
        <v>1889</v>
      </c>
      <c r="N165" s="284" t="s">
        <v>1</v>
      </c>
      <c r="O165" s="285" t="s">
        <v>1</v>
      </c>
      <c r="P165" s="285" t="s">
        <v>1</v>
      </c>
      <c r="Q165" s="285" t="s">
        <v>1</v>
      </c>
      <c r="R165" s="285" t="s">
        <v>1</v>
      </c>
      <c r="S165" s="286" t="s">
        <v>1</v>
      </c>
      <c r="T165" s="285" t="s">
        <v>1</v>
      </c>
      <c r="U165" s="285" t="s">
        <v>1</v>
      </c>
      <c r="V165" s="285" t="s">
        <v>1</v>
      </c>
      <c r="W165" s="285" t="s">
        <v>1</v>
      </c>
      <c r="X165" s="286" t="s">
        <v>1</v>
      </c>
      <c r="Y165" s="285" t="s">
        <v>1</v>
      </c>
      <c r="Z165" s="285" t="s">
        <v>1</v>
      </c>
      <c r="AA165" s="285" t="s">
        <v>1</v>
      </c>
      <c r="AB165" s="285" t="s">
        <v>1</v>
      </c>
      <c r="AC165" s="286" t="s">
        <v>1</v>
      </c>
      <c r="AD165" s="285" t="s">
        <v>1</v>
      </c>
      <c r="AE165" s="285" t="s">
        <v>1</v>
      </c>
      <c r="AF165" s="285" t="s">
        <v>1</v>
      </c>
      <c r="AG165" s="285" t="s">
        <v>1</v>
      </c>
      <c r="AH165" s="286" t="s">
        <v>1</v>
      </c>
      <c r="AI165" s="295" t="s">
        <v>1</v>
      </c>
      <c r="AJ165" s="295" t="s">
        <v>1</v>
      </c>
      <c r="AK165" s="295" t="s">
        <v>1</v>
      </c>
      <c r="AL165" s="286">
        <v>755.6</v>
      </c>
      <c r="AM165" s="288" t="s">
        <v>1</v>
      </c>
      <c r="AN165" s="287" t="s">
        <v>1</v>
      </c>
      <c r="AO165" s="287" t="s">
        <v>1</v>
      </c>
      <c r="AP165" s="286" t="s">
        <v>1</v>
      </c>
      <c r="AQ165" s="285" t="s">
        <v>1</v>
      </c>
      <c r="AR165" s="289" t="s">
        <v>1</v>
      </c>
      <c r="AS165" s="289" t="s">
        <v>1</v>
      </c>
      <c r="AT165" s="290" t="s">
        <v>1</v>
      </c>
      <c r="AU165" s="287" t="s">
        <v>1</v>
      </c>
      <c r="AV165" s="287" t="s">
        <v>1</v>
      </c>
      <c r="AW165" s="291" t="s">
        <v>1</v>
      </c>
    </row>
    <row r="166" spans="1:49" ht="30.15" customHeight="1" x14ac:dyDescent="0.25">
      <c r="A166" s="188" t="s">
        <v>18</v>
      </c>
      <c r="B166" s="188" t="s">
        <v>1</v>
      </c>
      <c r="C166" s="188" t="s">
        <v>35</v>
      </c>
      <c r="D166" s="190" t="s">
        <v>3</v>
      </c>
      <c r="E166" s="190" t="s">
        <v>871</v>
      </c>
      <c r="F166" s="203"/>
      <c r="G166" s="190" t="s">
        <v>879</v>
      </c>
      <c r="H166" s="192" t="s">
        <v>414</v>
      </c>
      <c r="I166" s="194">
        <v>1990</v>
      </c>
      <c r="J166" s="194">
        <v>2042.5</v>
      </c>
      <c r="K166" s="194">
        <v>2042.5</v>
      </c>
      <c r="L166" s="193">
        <v>2150</v>
      </c>
      <c r="M166" s="194">
        <v>2150</v>
      </c>
      <c r="N166" s="284" t="s">
        <v>1</v>
      </c>
      <c r="O166" s="285" t="s">
        <v>1</v>
      </c>
      <c r="P166" s="285" t="s">
        <v>1</v>
      </c>
      <c r="Q166" s="285" t="s">
        <v>1</v>
      </c>
      <c r="R166" s="285" t="s">
        <v>1</v>
      </c>
      <c r="S166" s="286" t="s">
        <v>1</v>
      </c>
      <c r="T166" s="285" t="s">
        <v>1</v>
      </c>
      <c r="U166" s="285" t="s">
        <v>1</v>
      </c>
      <c r="V166" s="285" t="s">
        <v>1</v>
      </c>
      <c r="W166" s="285" t="s">
        <v>1</v>
      </c>
      <c r="X166" s="286" t="s">
        <v>1</v>
      </c>
      <c r="Y166" s="285" t="s">
        <v>1</v>
      </c>
      <c r="Z166" s="285" t="s">
        <v>1</v>
      </c>
      <c r="AA166" s="285" t="s">
        <v>1</v>
      </c>
      <c r="AB166" s="285" t="s">
        <v>1</v>
      </c>
      <c r="AC166" s="286" t="s">
        <v>1</v>
      </c>
      <c r="AD166" s="285" t="s">
        <v>1</v>
      </c>
      <c r="AE166" s="285" t="s">
        <v>1</v>
      </c>
      <c r="AF166" s="285" t="s">
        <v>1</v>
      </c>
      <c r="AG166" s="285" t="s">
        <v>1</v>
      </c>
      <c r="AH166" s="286" t="s">
        <v>1</v>
      </c>
      <c r="AI166" s="295" t="s">
        <v>1</v>
      </c>
      <c r="AJ166" s="295" t="s">
        <v>1</v>
      </c>
      <c r="AK166" s="295" t="s">
        <v>1</v>
      </c>
      <c r="AL166" s="286">
        <v>860</v>
      </c>
      <c r="AM166" s="288" t="s">
        <v>1</v>
      </c>
      <c r="AN166" s="287" t="s">
        <v>1</v>
      </c>
      <c r="AO166" s="287" t="s">
        <v>1</v>
      </c>
      <c r="AP166" s="286" t="s">
        <v>1</v>
      </c>
      <c r="AQ166" s="285" t="s">
        <v>1</v>
      </c>
      <c r="AR166" s="289" t="s">
        <v>1</v>
      </c>
      <c r="AS166" s="289" t="s">
        <v>1</v>
      </c>
      <c r="AT166" s="290" t="s">
        <v>1</v>
      </c>
      <c r="AU166" s="287" t="s">
        <v>1</v>
      </c>
      <c r="AV166" s="287" t="s">
        <v>1</v>
      </c>
      <c r="AW166" s="291" t="s">
        <v>1</v>
      </c>
    </row>
    <row r="167" spans="1:49" ht="30.15" customHeight="1" x14ac:dyDescent="0.25">
      <c r="A167" s="188" t="s">
        <v>18</v>
      </c>
      <c r="B167" s="188" t="s">
        <v>1</v>
      </c>
      <c r="C167" s="188" t="s">
        <v>35</v>
      </c>
      <c r="D167" s="190" t="s">
        <v>3</v>
      </c>
      <c r="E167" s="190" t="s">
        <v>872</v>
      </c>
      <c r="F167" s="203"/>
      <c r="G167" s="190" t="s">
        <v>879</v>
      </c>
      <c r="H167" s="192" t="s">
        <v>414</v>
      </c>
      <c r="I167" s="194">
        <v>1990</v>
      </c>
      <c r="J167" s="194">
        <v>2042.5</v>
      </c>
      <c r="K167" s="194">
        <v>2042.5</v>
      </c>
      <c r="L167" s="193">
        <v>2150</v>
      </c>
      <c r="M167" s="194">
        <v>2150</v>
      </c>
      <c r="N167" s="284" t="s">
        <v>1</v>
      </c>
      <c r="O167" s="285" t="s">
        <v>1</v>
      </c>
      <c r="P167" s="285" t="s">
        <v>1</v>
      </c>
      <c r="Q167" s="285" t="s">
        <v>1</v>
      </c>
      <c r="R167" s="285" t="s">
        <v>1</v>
      </c>
      <c r="S167" s="286" t="s">
        <v>1</v>
      </c>
      <c r="T167" s="285" t="s">
        <v>1</v>
      </c>
      <c r="U167" s="285" t="s">
        <v>1</v>
      </c>
      <c r="V167" s="285" t="s">
        <v>1</v>
      </c>
      <c r="W167" s="285" t="s">
        <v>1</v>
      </c>
      <c r="X167" s="286" t="s">
        <v>1</v>
      </c>
      <c r="Y167" s="285" t="s">
        <v>1</v>
      </c>
      <c r="Z167" s="285" t="s">
        <v>1</v>
      </c>
      <c r="AA167" s="285" t="s">
        <v>1</v>
      </c>
      <c r="AB167" s="285" t="s">
        <v>1</v>
      </c>
      <c r="AC167" s="286" t="s">
        <v>1</v>
      </c>
      <c r="AD167" s="285" t="s">
        <v>1</v>
      </c>
      <c r="AE167" s="285" t="s">
        <v>1</v>
      </c>
      <c r="AF167" s="285" t="s">
        <v>1</v>
      </c>
      <c r="AG167" s="285" t="s">
        <v>1</v>
      </c>
      <c r="AH167" s="286" t="s">
        <v>1</v>
      </c>
      <c r="AI167" s="295" t="s">
        <v>1</v>
      </c>
      <c r="AJ167" s="295" t="s">
        <v>1</v>
      </c>
      <c r="AK167" s="295" t="s">
        <v>1</v>
      </c>
      <c r="AL167" s="286">
        <v>860</v>
      </c>
      <c r="AM167" s="288" t="s">
        <v>1</v>
      </c>
      <c r="AN167" s="287" t="s">
        <v>1</v>
      </c>
      <c r="AO167" s="287" t="s">
        <v>1</v>
      </c>
      <c r="AP167" s="286" t="s">
        <v>1</v>
      </c>
      <c r="AQ167" s="285" t="s">
        <v>1</v>
      </c>
      <c r="AR167" s="289" t="s">
        <v>1</v>
      </c>
      <c r="AS167" s="289" t="s">
        <v>1</v>
      </c>
      <c r="AT167" s="290" t="s">
        <v>1</v>
      </c>
      <c r="AU167" s="287" t="s">
        <v>1</v>
      </c>
      <c r="AV167" s="287" t="s">
        <v>1</v>
      </c>
      <c r="AW167" s="291" t="s">
        <v>1</v>
      </c>
    </row>
    <row r="168" spans="1:49" ht="30.15" customHeight="1" x14ac:dyDescent="0.25">
      <c r="A168" s="260" t="s">
        <v>18</v>
      </c>
      <c r="B168" s="260" t="s">
        <v>1</v>
      </c>
      <c r="C168" s="260" t="s">
        <v>35</v>
      </c>
      <c r="D168" s="261" t="s">
        <v>3</v>
      </c>
      <c r="E168" s="261" t="s">
        <v>1283</v>
      </c>
      <c r="F168" s="262"/>
      <c r="G168" s="261" t="s">
        <v>1293</v>
      </c>
      <c r="H168" s="263" t="s">
        <v>414</v>
      </c>
      <c r="I168" s="264">
        <v>1481</v>
      </c>
      <c r="J168" s="264">
        <v>1511</v>
      </c>
      <c r="K168" s="264">
        <v>1511</v>
      </c>
      <c r="L168" s="264">
        <v>1600</v>
      </c>
      <c r="M168" s="264">
        <v>1600</v>
      </c>
      <c r="N168" s="284" t="s">
        <v>1</v>
      </c>
      <c r="O168" s="296" t="s">
        <v>1</v>
      </c>
      <c r="P168" s="296" t="s">
        <v>1</v>
      </c>
      <c r="Q168" s="296" t="s">
        <v>1</v>
      </c>
      <c r="R168" s="296" t="s">
        <v>1</v>
      </c>
      <c r="S168" s="286" t="s">
        <v>1</v>
      </c>
      <c r="T168" s="296" t="s">
        <v>1</v>
      </c>
      <c r="U168" s="296" t="s">
        <v>1</v>
      </c>
      <c r="V168" s="296" t="s">
        <v>1</v>
      </c>
      <c r="W168" s="296" t="s">
        <v>1</v>
      </c>
      <c r="X168" s="286" t="s">
        <v>1</v>
      </c>
      <c r="Y168" s="296" t="s">
        <v>1</v>
      </c>
      <c r="Z168" s="296" t="s">
        <v>1</v>
      </c>
      <c r="AA168" s="296" t="s">
        <v>1</v>
      </c>
      <c r="AB168" s="296" t="s">
        <v>1</v>
      </c>
      <c r="AC168" s="286" t="s">
        <v>1</v>
      </c>
      <c r="AD168" s="296" t="s">
        <v>1</v>
      </c>
      <c r="AE168" s="296" t="s">
        <v>1</v>
      </c>
      <c r="AF168" s="296" t="s">
        <v>1</v>
      </c>
      <c r="AG168" s="296" t="s">
        <v>1</v>
      </c>
      <c r="AH168" s="286" t="s">
        <v>1</v>
      </c>
      <c r="AI168" s="297" t="s">
        <v>1</v>
      </c>
      <c r="AJ168" s="297" t="s">
        <v>1</v>
      </c>
      <c r="AK168" s="297" t="s">
        <v>1</v>
      </c>
      <c r="AL168" s="286">
        <v>640</v>
      </c>
      <c r="AM168" s="298" t="s">
        <v>1</v>
      </c>
      <c r="AN168" s="299" t="s">
        <v>1</v>
      </c>
      <c r="AO168" s="299" t="s">
        <v>1</v>
      </c>
      <c r="AP168" s="286" t="s">
        <v>1</v>
      </c>
      <c r="AQ168" s="296" t="s">
        <v>1</v>
      </c>
      <c r="AR168" s="300" t="s">
        <v>1</v>
      </c>
      <c r="AS168" s="300" t="s">
        <v>1</v>
      </c>
      <c r="AT168" s="290" t="s">
        <v>1</v>
      </c>
      <c r="AU168" s="299" t="s">
        <v>1</v>
      </c>
      <c r="AV168" s="299" t="s">
        <v>1</v>
      </c>
      <c r="AW168" s="301" t="s">
        <v>1</v>
      </c>
    </row>
    <row r="169" spans="1:49" ht="30.15" customHeight="1" x14ac:dyDescent="0.25">
      <c r="A169" s="260" t="s">
        <v>18</v>
      </c>
      <c r="B169" s="260" t="s">
        <v>1</v>
      </c>
      <c r="C169" s="260" t="s">
        <v>35</v>
      </c>
      <c r="D169" s="261" t="s">
        <v>3</v>
      </c>
      <c r="E169" s="261" t="s">
        <v>1284</v>
      </c>
      <c r="F169" s="262"/>
      <c r="G169" s="261" t="s">
        <v>1293</v>
      </c>
      <c r="H169" s="263" t="s">
        <v>414</v>
      </c>
      <c r="I169" s="264">
        <v>1481</v>
      </c>
      <c r="J169" s="264">
        <v>1511</v>
      </c>
      <c r="K169" s="264">
        <v>1511</v>
      </c>
      <c r="L169" s="264">
        <v>1600</v>
      </c>
      <c r="M169" s="264">
        <v>1600</v>
      </c>
      <c r="N169" s="284" t="s">
        <v>1</v>
      </c>
      <c r="O169" s="296" t="s">
        <v>1</v>
      </c>
      <c r="P169" s="296" t="s">
        <v>1</v>
      </c>
      <c r="Q169" s="296" t="s">
        <v>1</v>
      </c>
      <c r="R169" s="296" t="s">
        <v>1</v>
      </c>
      <c r="S169" s="286" t="s">
        <v>1</v>
      </c>
      <c r="T169" s="296" t="s">
        <v>1</v>
      </c>
      <c r="U169" s="296" t="s">
        <v>1</v>
      </c>
      <c r="V169" s="296" t="s">
        <v>1</v>
      </c>
      <c r="W169" s="296" t="s">
        <v>1</v>
      </c>
      <c r="X169" s="286" t="s">
        <v>1</v>
      </c>
      <c r="Y169" s="296" t="s">
        <v>1</v>
      </c>
      <c r="Z169" s="296" t="s">
        <v>1</v>
      </c>
      <c r="AA169" s="296" t="s">
        <v>1</v>
      </c>
      <c r="AB169" s="296" t="s">
        <v>1</v>
      </c>
      <c r="AC169" s="286" t="s">
        <v>1</v>
      </c>
      <c r="AD169" s="296" t="s">
        <v>1</v>
      </c>
      <c r="AE169" s="296" t="s">
        <v>1</v>
      </c>
      <c r="AF169" s="296" t="s">
        <v>1</v>
      </c>
      <c r="AG169" s="296" t="s">
        <v>1</v>
      </c>
      <c r="AH169" s="286" t="s">
        <v>1</v>
      </c>
      <c r="AI169" s="297" t="s">
        <v>1</v>
      </c>
      <c r="AJ169" s="297" t="s">
        <v>1</v>
      </c>
      <c r="AK169" s="297" t="s">
        <v>1</v>
      </c>
      <c r="AL169" s="286">
        <v>640</v>
      </c>
      <c r="AM169" s="298" t="s">
        <v>1</v>
      </c>
      <c r="AN169" s="299" t="s">
        <v>1</v>
      </c>
      <c r="AO169" s="299" t="s">
        <v>1</v>
      </c>
      <c r="AP169" s="286" t="s">
        <v>1</v>
      </c>
      <c r="AQ169" s="296" t="s">
        <v>1</v>
      </c>
      <c r="AR169" s="300" t="s">
        <v>1</v>
      </c>
      <c r="AS169" s="300" t="s">
        <v>1</v>
      </c>
      <c r="AT169" s="290" t="s">
        <v>1</v>
      </c>
      <c r="AU169" s="299" t="s">
        <v>1</v>
      </c>
      <c r="AV169" s="299" t="s">
        <v>1</v>
      </c>
      <c r="AW169" s="301" t="s">
        <v>1</v>
      </c>
    </row>
    <row r="170" spans="1:49" ht="30.15" customHeight="1" x14ac:dyDescent="0.25">
      <c r="A170" s="260" t="s">
        <v>18</v>
      </c>
      <c r="B170" s="260" t="s">
        <v>1</v>
      </c>
      <c r="C170" s="260" t="s">
        <v>35</v>
      </c>
      <c r="D170" s="261" t="s">
        <v>3</v>
      </c>
      <c r="E170" s="261" t="s">
        <v>1285</v>
      </c>
      <c r="F170" s="262"/>
      <c r="G170" s="261" t="s">
        <v>1294</v>
      </c>
      <c r="H170" s="263" t="s">
        <v>414</v>
      </c>
      <c r="I170" s="264">
        <v>1601</v>
      </c>
      <c r="J170" s="264">
        <v>1633</v>
      </c>
      <c r="K170" s="264">
        <v>1633</v>
      </c>
      <c r="L170" s="264">
        <v>1730</v>
      </c>
      <c r="M170" s="264">
        <v>1730</v>
      </c>
      <c r="N170" s="284" t="s">
        <v>1</v>
      </c>
      <c r="O170" s="296" t="s">
        <v>1</v>
      </c>
      <c r="P170" s="296" t="s">
        <v>1</v>
      </c>
      <c r="Q170" s="296" t="s">
        <v>1</v>
      </c>
      <c r="R170" s="296" t="s">
        <v>1</v>
      </c>
      <c r="S170" s="286" t="s">
        <v>1</v>
      </c>
      <c r="T170" s="296" t="s">
        <v>1</v>
      </c>
      <c r="U170" s="296" t="s">
        <v>1</v>
      </c>
      <c r="V170" s="296" t="s">
        <v>1</v>
      </c>
      <c r="W170" s="296" t="s">
        <v>1</v>
      </c>
      <c r="X170" s="286" t="s">
        <v>1</v>
      </c>
      <c r="Y170" s="296" t="s">
        <v>1</v>
      </c>
      <c r="Z170" s="296" t="s">
        <v>1</v>
      </c>
      <c r="AA170" s="296" t="s">
        <v>1</v>
      </c>
      <c r="AB170" s="296" t="s">
        <v>1</v>
      </c>
      <c r="AC170" s="286" t="s">
        <v>1</v>
      </c>
      <c r="AD170" s="296" t="s">
        <v>1</v>
      </c>
      <c r="AE170" s="296" t="s">
        <v>1</v>
      </c>
      <c r="AF170" s="296" t="s">
        <v>1</v>
      </c>
      <c r="AG170" s="296" t="s">
        <v>1</v>
      </c>
      <c r="AH170" s="286" t="s">
        <v>1</v>
      </c>
      <c r="AI170" s="297" t="s">
        <v>1</v>
      </c>
      <c r="AJ170" s="297" t="s">
        <v>1</v>
      </c>
      <c r="AK170" s="297" t="s">
        <v>1</v>
      </c>
      <c r="AL170" s="286">
        <v>692</v>
      </c>
      <c r="AM170" s="298" t="s">
        <v>1</v>
      </c>
      <c r="AN170" s="299" t="s">
        <v>1</v>
      </c>
      <c r="AO170" s="299" t="s">
        <v>1</v>
      </c>
      <c r="AP170" s="286" t="s">
        <v>1</v>
      </c>
      <c r="AQ170" s="296" t="s">
        <v>1</v>
      </c>
      <c r="AR170" s="300" t="s">
        <v>1</v>
      </c>
      <c r="AS170" s="300" t="s">
        <v>1</v>
      </c>
      <c r="AT170" s="290" t="s">
        <v>1</v>
      </c>
      <c r="AU170" s="299" t="s">
        <v>1</v>
      </c>
      <c r="AV170" s="299" t="s">
        <v>1</v>
      </c>
      <c r="AW170" s="301" t="s">
        <v>1</v>
      </c>
    </row>
    <row r="171" spans="1:49" ht="30.15" customHeight="1" x14ac:dyDescent="0.25">
      <c r="A171" s="260" t="s">
        <v>18</v>
      </c>
      <c r="B171" s="260" t="s">
        <v>1</v>
      </c>
      <c r="C171" s="260" t="s">
        <v>35</v>
      </c>
      <c r="D171" s="261" t="s">
        <v>3</v>
      </c>
      <c r="E171" s="261" t="s">
        <v>1286</v>
      </c>
      <c r="F171" s="262"/>
      <c r="G171" s="261" t="s">
        <v>1294</v>
      </c>
      <c r="H171" s="263" t="s">
        <v>414</v>
      </c>
      <c r="I171" s="264">
        <v>1601</v>
      </c>
      <c r="J171" s="264">
        <v>1633</v>
      </c>
      <c r="K171" s="264">
        <v>1633</v>
      </c>
      <c r="L171" s="264">
        <v>1730</v>
      </c>
      <c r="M171" s="264">
        <v>1730</v>
      </c>
      <c r="N171" s="284" t="s">
        <v>1</v>
      </c>
      <c r="O171" s="296" t="s">
        <v>1</v>
      </c>
      <c r="P171" s="296" t="s">
        <v>1</v>
      </c>
      <c r="Q171" s="296" t="s">
        <v>1</v>
      </c>
      <c r="R171" s="296" t="s">
        <v>1</v>
      </c>
      <c r="S171" s="286" t="s">
        <v>1</v>
      </c>
      <c r="T171" s="296" t="s">
        <v>1</v>
      </c>
      <c r="U171" s="296" t="s">
        <v>1</v>
      </c>
      <c r="V171" s="296" t="s">
        <v>1</v>
      </c>
      <c r="W171" s="296" t="s">
        <v>1</v>
      </c>
      <c r="X171" s="286" t="s">
        <v>1</v>
      </c>
      <c r="Y171" s="296" t="s">
        <v>1</v>
      </c>
      <c r="Z171" s="296" t="s">
        <v>1</v>
      </c>
      <c r="AA171" s="296" t="s">
        <v>1</v>
      </c>
      <c r="AB171" s="296" t="s">
        <v>1</v>
      </c>
      <c r="AC171" s="286" t="s">
        <v>1</v>
      </c>
      <c r="AD171" s="296" t="s">
        <v>1</v>
      </c>
      <c r="AE171" s="296" t="s">
        <v>1</v>
      </c>
      <c r="AF171" s="296" t="s">
        <v>1</v>
      </c>
      <c r="AG171" s="296" t="s">
        <v>1</v>
      </c>
      <c r="AH171" s="286" t="s">
        <v>1</v>
      </c>
      <c r="AI171" s="297" t="s">
        <v>1</v>
      </c>
      <c r="AJ171" s="297" t="s">
        <v>1</v>
      </c>
      <c r="AK171" s="297" t="s">
        <v>1</v>
      </c>
      <c r="AL171" s="286">
        <v>692</v>
      </c>
      <c r="AM171" s="298" t="s">
        <v>1</v>
      </c>
      <c r="AN171" s="299" t="s">
        <v>1</v>
      </c>
      <c r="AO171" s="299" t="s">
        <v>1</v>
      </c>
      <c r="AP171" s="286" t="s">
        <v>1</v>
      </c>
      <c r="AQ171" s="296" t="s">
        <v>1</v>
      </c>
      <c r="AR171" s="300" t="s">
        <v>1</v>
      </c>
      <c r="AS171" s="300" t="s">
        <v>1</v>
      </c>
      <c r="AT171" s="290" t="s">
        <v>1</v>
      </c>
      <c r="AU171" s="299" t="s">
        <v>1</v>
      </c>
      <c r="AV171" s="299" t="s">
        <v>1</v>
      </c>
      <c r="AW171" s="301" t="s">
        <v>1</v>
      </c>
    </row>
    <row r="172" spans="1:49" ht="30.15" customHeight="1" x14ac:dyDescent="0.25">
      <c r="A172" s="260" t="s">
        <v>18</v>
      </c>
      <c r="B172" s="260" t="s">
        <v>1</v>
      </c>
      <c r="C172" s="260" t="s">
        <v>35</v>
      </c>
      <c r="D172" s="261" t="s">
        <v>3</v>
      </c>
      <c r="E172" s="261" t="s">
        <v>1287</v>
      </c>
      <c r="F172" s="262"/>
      <c r="G172" s="261" t="s">
        <v>1295</v>
      </c>
      <c r="H172" s="263" t="s">
        <v>414</v>
      </c>
      <c r="I172" s="264">
        <v>1833</v>
      </c>
      <c r="J172" s="264">
        <v>1870</v>
      </c>
      <c r="K172" s="264">
        <v>1870</v>
      </c>
      <c r="L172" s="264">
        <v>1980</v>
      </c>
      <c r="M172" s="264">
        <v>1980</v>
      </c>
      <c r="N172" s="284" t="s">
        <v>1</v>
      </c>
      <c r="O172" s="296" t="s">
        <v>1</v>
      </c>
      <c r="P172" s="296" t="s">
        <v>1</v>
      </c>
      <c r="Q172" s="296" t="s">
        <v>1</v>
      </c>
      <c r="R172" s="296" t="s">
        <v>1</v>
      </c>
      <c r="S172" s="286" t="s">
        <v>1</v>
      </c>
      <c r="T172" s="296" t="s">
        <v>1</v>
      </c>
      <c r="U172" s="296" t="s">
        <v>1</v>
      </c>
      <c r="V172" s="296" t="s">
        <v>1</v>
      </c>
      <c r="W172" s="296" t="s">
        <v>1</v>
      </c>
      <c r="X172" s="286" t="s">
        <v>1</v>
      </c>
      <c r="Y172" s="296" t="s">
        <v>1</v>
      </c>
      <c r="Z172" s="296" t="s">
        <v>1</v>
      </c>
      <c r="AA172" s="296" t="s">
        <v>1</v>
      </c>
      <c r="AB172" s="296" t="s">
        <v>1</v>
      </c>
      <c r="AC172" s="286" t="s">
        <v>1</v>
      </c>
      <c r="AD172" s="296" t="s">
        <v>1</v>
      </c>
      <c r="AE172" s="296" t="s">
        <v>1</v>
      </c>
      <c r="AF172" s="296" t="s">
        <v>1</v>
      </c>
      <c r="AG172" s="296" t="s">
        <v>1</v>
      </c>
      <c r="AH172" s="286" t="s">
        <v>1</v>
      </c>
      <c r="AI172" s="297" t="s">
        <v>1</v>
      </c>
      <c r="AJ172" s="297" t="s">
        <v>1</v>
      </c>
      <c r="AK172" s="297" t="s">
        <v>1</v>
      </c>
      <c r="AL172" s="286">
        <v>792</v>
      </c>
      <c r="AM172" s="298" t="s">
        <v>1</v>
      </c>
      <c r="AN172" s="299" t="s">
        <v>1</v>
      </c>
      <c r="AO172" s="299" t="s">
        <v>1</v>
      </c>
      <c r="AP172" s="286" t="s">
        <v>1</v>
      </c>
      <c r="AQ172" s="296" t="s">
        <v>1</v>
      </c>
      <c r="AR172" s="300" t="s">
        <v>1</v>
      </c>
      <c r="AS172" s="300" t="s">
        <v>1</v>
      </c>
      <c r="AT172" s="290" t="s">
        <v>1</v>
      </c>
      <c r="AU172" s="299" t="s">
        <v>1</v>
      </c>
      <c r="AV172" s="299" t="s">
        <v>1</v>
      </c>
      <c r="AW172" s="301" t="s">
        <v>1</v>
      </c>
    </row>
    <row r="173" spans="1:49" ht="30.15" customHeight="1" x14ac:dyDescent="0.25">
      <c r="A173" s="260" t="s">
        <v>18</v>
      </c>
      <c r="B173" s="260" t="s">
        <v>1</v>
      </c>
      <c r="C173" s="260" t="s">
        <v>35</v>
      </c>
      <c r="D173" s="261" t="s">
        <v>3</v>
      </c>
      <c r="E173" s="261" t="s">
        <v>1288</v>
      </c>
      <c r="F173" s="262"/>
      <c r="G173" s="261" t="s">
        <v>1295</v>
      </c>
      <c r="H173" s="263" t="s">
        <v>414</v>
      </c>
      <c r="I173" s="264">
        <v>1833</v>
      </c>
      <c r="J173" s="264">
        <v>1870</v>
      </c>
      <c r="K173" s="264">
        <v>1870</v>
      </c>
      <c r="L173" s="264">
        <v>1980</v>
      </c>
      <c r="M173" s="264">
        <v>1980</v>
      </c>
      <c r="N173" s="284" t="s">
        <v>1</v>
      </c>
      <c r="O173" s="296" t="s">
        <v>1</v>
      </c>
      <c r="P173" s="296" t="s">
        <v>1</v>
      </c>
      <c r="Q173" s="296" t="s">
        <v>1</v>
      </c>
      <c r="R173" s="296" t="s">
        <v>1</v>
      </c>
      <c r="S173" s="286" t="s">
        <v>1</v>
      </c>
      <c r="T173" s="296" t="s">
        <v>1</v>
      </c>
      <c r="U173" s="296" t="s">
        <v>1</v>
      </c>
      <c r="V173" s="296" t="s">
        <v>1</v>
      </c>
      <c r="W173" s="296" t="s">
        <v>1</v>
      </c>
      <c r="X173" s="286" t="s">
        <v>1</v>
      </c>
      <c r="Y173" s="296" t="s">
        <v>1</v>
      </c>
      <c r="Z173" s="296" t="s">
        <v>1</v>
      </c>
      <c r="AA173" s="296" t="s">
        <v>1</v>
      </c>
      <c r="AB173" s="296" t="s">
        <v>1</v>
      </c>
      <c r="AC173" s="286" t="s">
        <v>1</v>
      </c>
      <c r="AD173" s="296" t="s">
        <v>1</v>
      </c>
      <c r="AE173" s="296" t="s">
        <v>1</v>
      </c>
      <c r="AF173" s="296" t="s">
        <v>1</v>
      </c>
      <c r="AG173" s="296" t="s">
        <v>1</v>
      </c>
      <c r="AH173" s="286" t="s">
        <v>1</v>
      </c>
      <c r="AI173" s="297" t="s">
        <v>1</v>
      </c>
      <c r="AJ173" s="297" t="s">
        <v>1</v>
      </c>
      <c r="AK173" s="297" t="s">
        <v>1</v>
      </c>
      <c r="AL173" s="286">
        <v>792</v>
      </c>
      <c r="AM173" s="298" t="s">
        <v>1</v>
      </c>
      <c r="AN173" s="299" t="s">
        <v>1</v>
      </c>
      <c r="AO173" s="299" t="s">
        <v>1</v>
      </c>
      <c r="AP173" s="286" t="s">
        <v>1</v>
      </c>
      <c r="AQ173" s="296" t="s">
        <v>1</v>
      </c>
      <c r="AR173" s="300" t="s">
        <v>1</v>
      </c>
      <c r="AS173" s="300" t="s">
        <v>1</v>
      </c>
      <c r="AT173" s="290" t="s">
        <v>1</v>
      </c>
      <c r="AU173" s="299" t="s">
        <v>1</v>
      </c>
      <c r="AV173" s="299" t="s">
        <v>1</v>
      </c>
      <c r="AW173" s="301" t="s">
        <v>1</v>
      </c>
    </row>
    <row r="174" spans="1:49" ht="30.15" customHeight="1" x14ac:dyDescent="0.25">
      <c r="A174" s="260" t="s">
        <v>18</v>
      </c>
      <c r="B174" s="260" t="s">
        <v>1</v>
      </c>
      <c r="C174" s="260" t="s">
        <v>35</v>
      </c>
      <c r="D174" s="261" t="s">
        <v>3</v>
      </c>
      <c r="E174" s="261" t="s">
        <v>1289</v>
      </c>
      <c r="F174" s="262"/>
      <c r="G174" s="261" t="s">
        <v>1296</v>
      </c>
      <c r="H174" s="263" t="s">
        <v>414</v>
      </c>
      <c r="I174" s="264">
        <v>2296</v>
      </c>
      <c r="J174" s="264">
        <v>2342</v>
      </c>
      <c r="K174" s="264">
        <v>2342</v>
      </c>
      <c r="L174" s="264">
        <v>2480</v>
      </c>
      <c r="M174" s="264">
        <v>2480</v>
      </c>
      <c r="N174" s="284" t="s">
        <v>1</v>
      </c>
      <c r="O174" s="296" t="s">
        <v>1</v>
      </c>
      <c r="P174" s="296" t="s">
        <v>1</v>
      </c>
      <c r="Q174" s="296" t="s">
        <v>1</v>
      </c>
      <c r="R174" s="296" t="s">
        <v>1</v>
      </c>
      <c r="S174" s="286" t="s">
        <v>1</v>
      </c>
      <c r="T174" s="296" t="s">
        <v>1</v>
      </c>
      <c r="U174" s="296" t="s">
        <v>1</v>
      </c>
      <c r="V174" s="296" t="s">
        <v>1</v>
      </c>
      <c r="W174" s="296" t="s">
        <v>1</v>
      </c>
      <c r="X174" s="286" t="s">
        <v>1</v>
      </c>
      <c r="Y174" s="296" t="s">
        <v>1</v>
      </c>
      <c r="Z174" s="296" t="s">
        <v>1</v>
      </c>
      <c r="AA174" s="296" t="s">
        <v>1</v>
      </c>
      <c r="AB174" s="296" t="s">
        <v>1</v>
      </c>
      <c r="AC174" s="286" t="s">
        <v>1</v>
      </c>
      <c r="AD174" s="296" t="s">
        <v>1</v>
      </c>
      <c r="AE174" s="296" t="s">
        <v>1</v>
      </c>
      <c r="AF174" s="296" t="s">
        <v>1</v>
      </c>
      <c r="AG174" s="296" t="s">
        <v>1</v>
      </c>
      <c r="AH174" s="286" t="s">
        <v>1</v>
      </c>
      <c r="AI174" s="297" t="s">
        <v>1</v>
      </c>
      <c r="AJ174" s="297" t="s">
        <v>1</v>
      </c>
      <c r="AK174" s="297" t="s">
        <v>1</v>
      </c>
      <c r="AL174" s="286">
        <v>992</v>
      </c>
      <c r="AM174" s="298" t="s">
        <v>1</v>
      </c>
      <c r="AN174" s="299" t="s">
        <v>1</v>
      </c>
      <c r="AO174" s="299" t="s">
        <v>1</v>
      </c>
      <c r="AP174" s="286" t="s">
        <v>1</v>
      </c>
      <c r="AQ174" s="296" t="s">
        <v>1</v>
      </c>
      <c r="AR174" s="300" t="s">
        <v>1</v>
      </c>
      <c r="AS174" s="300" t="s">
        <v>1</v>
      </c>
      <c r="AT174" s="290" t="s">
        <v>1</v>
      </c>
      <c r="AU174" s="299" t="s">
        <v>1</v>
      </c>
      <c r="AV174" s="299" t="s">
        <v>1</v>
      </c>
      <c r="AW174" s="301" t="s">
        <v>1</v>
      </c>
    </row>
    <row r="175" spans="1:49" ht="30.15" customHeight="1" x14ac:dyDescent="0.25">
      <c r="A175" s="260" t="s">
        <v>18</v>
      </c>
      <c r="B175" s="260" t="s">
        <v>1</v>
      </c>
      <c r="C175" s="260" t="s">
        <v>35</v>
      </c>
      <c r="D175" s="261" t="s">
        <v>3</v>
      </c>
      <c r="E175" s="261" t="s">
        <v>1290</v>
      </c>
      <c r="F175" s="262"/>
      <c r="G175" s="261" t="s">
        <v>1296</v>
      </c>
      <c r="H175" s="263" t="s">
        <v>414</v>
      </c>
      <c r="I175" s="264">
        <v>2296</v>
      </c>
      <c r="J175" s="264">
        <v>2342</v>
      </c>
      <c r="K175" s="264">
        <v>2342</v>
      </c>
      <c r="L175" s="264">
        <v>2480</v>
      </c>
      <c r="M175" s="264">
        <v>2480</v>
      </c>
      <c r="N175" s="284" t="s">
        <v>1</v>
      </c>
      <c r="O175" s="296" t="s">
        <v>1</v>
      </c>
      <c r="P175" s="296" t="s">
        <v>1</v>
      </c>
      <c r="Q175" s="296" t="s">
        <v>1</v>
      </c>
      <c r="R175" s="296" t="s">
        <v>1</v>
      </c>
      <c r="S175" s="286" t="s">
        <v>1</v>
      </c>
      <c r="T175" s="296" t="s">
        <v>1</v>
      </c>
      <c r="U175" s="296" t="s">
        <v>1</v>
      </c>
      <c r="V175" s="296" t="s">
        <v>1</v>
      </c>
      <c r="W175" s="296" t="s">
        <v>1</v>
      </c>
      <c r="X175" s="286" t="s">
        <v>1</v>
      </c>
      <c r="Y175" s="296" t="s">
        <v>1</v>
      </c>
      <c r="Z175" s="296" t="s">
        <v>1</v>
      </c>
      <c r="AA175" s="296" t="s">
        <v>1</v>
      </c>
      <c r="AB175" s="296" t="s">
        <v>1</v>
      </c>
      <c r="AC175" s="286" t="s">
        <v>1</v>
      </c>
      <c r="AD175" s="296" t="s">
        <v>1</v>
      </c>
      <c r="AE175" s="296" t="s">
        <v>1</v>
      </c>
      <c r="AF175" s="296" t="s">
        <v>1</v>
      </c>
      <c r="AG175" s="296" t="s">
        <v>1</v>
      </c>
      <c r="AH175" s="286" t="s">
        <v>1</v>
      </c>
      <c r="AI175" s="297" t="s">
        <v>1</v>
      </c>
      <c r="AJ175" s="297" t="s">
        <v>1</v>
      </c>
      <c r="AK175" s="297" t="s">
        <v>1</v>
      </c>
      <c r="AL175" s="286">
        <v>992</v>
      </c>
      <c r="AM175" s="298" t="s">
        <v>1</v>
      </c>
      <c r="AN175" s="299" t="s">
        <v>1</v>
      </c>
      <c r="AO175" s="299" t="s">
        <v>1</v>
      </c>
      <c r="AP175" s="286" t="s">
        <v>1</v>
      </c>
      <c r="AQ175" s="296" t="s">
        <v>1</v>
      </c>
      <c r="AR175" s="300" t="s">
        <v>1</v>
      </c>
      <c r="AS175" s="300" t="s">
        <v>1</v>
      </c>
      <c r="AT175" s="290" t="s">
        <v>1</v>
      </c>
      <c r="AU175" s="299" t="s">
        <v>1</v>
      </c>
      <c r="AV175" s="299" t="s">
        <v>1</v>
      </c>
      <c r="AW175" s="301" t="s">
        <v>1</v>
      </c>
    </row>
    <row r="176" spans="1:49" ht="30.15" customHeight="1" x14ac:dyDescent="0.25">
      <c r="A176" s="260" t="s">
        <v>18</v>
      </c>
      <c r="B176" s="260" t="s">
        <v>1</v>
      </c>
      <c r="C176" s="260" t="s">
        <v>35</v>
      </c>
      <c r="D176" s="261" t="s">
        <v>3</v>
      </c>
      <c r="E176" s="261" t="s">
        <v>1291</v>
      </c>
      <c r="F176" s="262"/>
      <c r="G176" s="261" t="s">
        <v>1297</v>
      </c>
      <c r="H176" s="263" t="s">
        <v>414</v>
      </c>
      <c r="I176" s="264">
        <v>2759</v>
      </c>
      <c r="J176" s="264">
        <v>2814</v>
      </c>
      <c r="K176" s="264">
        <v>2814</v>
      </c>
      <c r="L176" s="264">
        <v>2980</v>
      </c>
      <c r="M176" s="264">
        <v>2980</v>
      </c>
      <c r="N176" s="284" t="s">
        <v>1</v>
      </c>
      <c r="O176" s="296" t="s">
        <v>1</v>
      </c>
      <c r="P176" s="296" t="s">
        <v>1</v>
      </c>
      <c r="Q176" s="296" t="s">
        <v>1</v>
      </c>
      <c r="R176" s="296" t="s">
        <v>1</v>
      </c>
      <c r="S176" s="286" t="s">
        <v>1</v>
      </c>
      <c r="T176" s="296" t="s">
        <v>1</v>
      </c>
      <c r="U176" s="296" t="s">
        <v>1</v>
      </c>
      <c r="V176" s="296" t="s">
        <v>1</v>
      </c>
      <c r="W176" s="296" t="s">
        <v>1</v>
      </c>
      <c r="X176" s="286" t="s">
        <v>1</v>
      </c>
      <c r="Y176" s="296" t="s">
        <v>1</v>
      </c>
      <c r="Z176" s="296" t="s">
        <v>1</v>
      </c>
      <c r="AA176" s="296" t="s">
        <v>1</v>
      </c>
      <c r="AB176" s="296" t="s">
        <v>1</v>
      </c>
      <c r="AC176" s="286" t="s">
        <v>1</v>
      </c>
      <c r="AD176" s="296" t="s">
        <v>1</v>
      </c>
      <c r="AE176" s="296" t="s">
        <v>1</v>
      </c>
      <c r="AF176" s="296" t="s">
        <v>1</v>
      </c>
      <c r="AG176" s="296" t="s">
        <v>1</v>
      </c>
      <c r="AH176" s="286" t="s">
        <v>1</v>
      </c>
      <c r="AI176" s="297" t="s">
        <v>1</v>
      </c>
      <c r="AJ176" s="297" t="s">
        <v>1</v>
      </c>
      <c r="AK176" s="297" t="s">
        <v>1</v>
      </c>
      <c r="AL176" s="286">
        <v>1192</v>
      </c>
      <c r="AM176" s="298" t="s">
        <v>1</v>
      </c>
      <c r="AN176" s="299" t="s">
        <v>1</v>
      </c>
      <c r="AO176" s="299" t="s">
        <v>1</v>
      </c>
      <c r="AP176" s="286" t="s">
        <v>1</v>
      </c>
      <c r="AQ176" s="296" t="s">
        <v>1</v>
      </c>
      <c r="AR176" s="300" t="s">
        <v>1</v>
      </c>
      <c r="AS176" s="300" t="s">
        <v>1</v>
      </c>
      <c r="AT176" s="290" t="s">
        <v>1</v>
      </c>
      <c r="AU176" s="299" t="s">
        <v>1</v>
      </c>
      <c r="AV176" s="299" t="s">
        <v>1</v>
      </c>
      <c r="AW176" s="301" t="s">
        <v>1</v>
      </c>
    </row>
    <row r="177" spans="1:49" ht="30.15" customHeight="1" x14ac:dyDescent="0.25">
      <c r="A177" s="260" t="s">
        <v>18</v>
      </c>
      <c r="B177" s="260" t="s">
        <v>1</v>
      </c>
      <c r="C177" s="260" t="s">
        <v>35</v>
      </c>
      <c r="D177" s="261" t="s">
        <v>3</v>
      </c>
      <c r="E177" s="261" t="s">
        <v>1292</v>
      </c>
      <c r="F177" s="262"/>
      <c r="G177" s="261" t="s">
        <v>1297</v>
      </c>
      <c r="H177" s="263" t="s">
        <v>414</v>
      </c>
      <c r="I177" s="264">
        <v>2759</v>
      </c>
      <c r="J177" s="264">
        <v>2814</v>
      </c>
      <c r="K177" s="264">
        <v>2814</v>
      </c>
      <c r="L177" s="264">
        <v>2980</v>
      </c>
      <c r="M177" s="264">
        <v>2980</v>
      </c>
      <c r="N177" s="284" t="s">
        <v>1</v>
      </c>
      <c r="O177" s="296" t="s">
        <v>1</v>
      </c>
      <c r="P177" s="296" t="s">
        <v>1</v>
      </c>
      <c r="Q177" s="296" t="s">
        <v>1</v>
      </c>
      <c r="R177" s="296" t="s">
        <v>1</v>
      </c>
      <c r="S177" s="286" t="s">
        <v>1</v>
      </c>
      <c r="T177" s="296" t="s">
        <v>1</v>
      </c>
      <c r="U177" s="296" t="s">
        <v>1</v>
      </c>
      <c r="V177" s="296" t="s">
        <v>1</v>
      </c>
      <c r="W177" s="296" t="s">
        <v>1</v>
      </c>
      <c r="X177" s="286" t="s">
        <v>1</v>
      </c>
      <c r="Y177" s="296" t="s">
        <v>1</v>
      </c>
      <c r="Z177" s="296" t="s">
        <v>1</v>
      </c>
      <c r="AA177" s="296" t="s">
        <v>1</v>
      </c>
      <c r="AB177" s="296" t="s">
        <v>1</v>
      </c>
      <c r="AC177" s="286" t="s">
        <v>1</v>
      </c>
      <c r="AD177" s="296" t="s">
        <v>1</v>
      </c>
      <c r="AE177" s="296" t="s">
        <v>1</v>
      </c>
      <c r="AF177" s="296" t="s">
        <v>1</v>
      </c>
      <c r="AG177" s="296" t="s">
        <v>1</v>
      </c>
      <c r="AH177" s="286" t="s">
        <v>1</v>
      </c>
      <c r="AI177" s="297" t="s">
        <v>1</v>
      </c>
      <c r="AJ177" s="297" t="s">
        <v>1</v>
      </c>
      <c r="AK177" s="297" t="s">
        <v>1</v>
      </c>
      <c r="AL177" s="286">
        <v>1192</v>
      </c>
      <c r="AM177" s="298" t="s">
        <v>1</v>
      </c>
      <c r="AN177" s="299" t="s">
        <v>1</v>
      </c>
      <c r="AO177" s="299" t="s">
        <v>1</v>
      </c>
      <c r="AP177" s="286" t="s">
        <v>1</v>
      </c>
      <c r="AQ177" s="296" t="s">
        <v>1</v>
      </c>
      <c r="AR177" s="300" t="s">
        <v>1</v>
      </c>
      <c r="AS177" s="300" t="s">
        <v>1</v>
      </c>
      <c r="AT177" s="290" t="s">
        <v>1</v>
      </c>
      <c r="AU177" s="299" t="s">
        <v>1</v>
      </c>
      <c r="AV177" s="299" t="s">
        <v>1</v>
      </c>
      <c r="AW177" s="301" t="s">
        <v>1</v>
      </c>
    </row>
    <row r="178" spans="1:49" ht="30.15" customHeight="1" x14ac:dyDescent="0.25">
      <c r="A178" s="188" t="s">
        <v>18</v>
      </c>
      <c r="B178" s="189" t="s">
        <v>1</v>
      </c>
      <c r="C178" s="212" t="s">
        <v>34</v>
      </c>
      <c r="D178" s="190" t="s">
        <v>3</v>
      </c>
      <c r="E178" s="190" t="s">
        <v>248</v>
      </c>
      <c r="F178" s="203"/>
      <c r="G178" s="190" t="s">
        <v>252</v>
      </c>
      <c r="H178" s="192" t="s">
        <v>409</v>
      </c>
      <c r="I178" s="193">
        <v>450</v>
      </c>
      <c r="J178" s="193">
        <v>469</v>
      </c>
      <c r="K178" s="193">
        <v>469</v>
      </c>
      <c r="L178" s="194">
        <v>489</v>
      </c>
      <c r="M178" s="194">
        <v>489</v>
      </c>
      <c r="N178" s="284">
        <v>195.6</v>
      </c>
      <c r="O178" s="285" t="s">
        <v>1</v>
      </c>
      <c r="P178" s="285" t="s">
        <v>1</v>
      </c>
      <c r="Q178" s="285" t="s">
        <v>1</v>
      </c>
      <c r="R178" s="285" t="s">
        <v>1</v>
      </c>
      <c r="S178" s="286">
        <v>195.6</v>
      </c>
      <c r="T178" s="285" t="s">
        <v>1</v>
      </c>
      <c r="U178" s="285" t="s">
        <v>1</v>
      </c>
      <c r="V178" s="285" t="s">
        <v>1</v>
      </c>
      <c r="W178" s="285" t="s">
        <v>1</v>
      </c>
      <c r="X178" s="286">
        <v>195.6</v>
      </c>
      <c r="Y178" s="285" t="s">
        <v>1</v>
      </c>
      <c r="Z178" s="285" t="s">
        <v>1</v>
      </c>
      <c r="AA178" s="285" t="s">
        <v>1</v>
      </c>
      <c r="AB178" s="285" t="s">
        <v>1</v>
      </c>
      <c r="AC178" s="286">
        <v>195.6</v>
      </c>
      <c r="AD178" s="285" t="s">
        <v>1</v>
      </c>
      <c r="AE178" s="285" t="s">
        <v>1</v>
      </c>
      <c r="AF178" s="285" t="s">
        <v>1</v>
      </c>
      <c r="AG178" s="285" t="s">
        <v>1</v>
      </c>
      <c r="AH178" s="286">
        <v>195.6</v>
      </c>
      <c r="AI178" s="295" t="s">
        <v>1</v>
      </c>
      <c r="AJ178" s="295" t="s">
        <v>1</v>
      </c>
      <c r="AK178" s="295" t="s">
        <v>1</v>
      </c>
      <c r="AL178" s="286" t="s">
        <v>1</v>
      </c>
      <c r="AM178" s="288" t="s">
        <v>1</v>
      </c>
      <c r="AN178" s="287" t="s">
        <v>1</v>
      </c>
      <c r="AO178" s="287" t="s">
        <v>1</v>
      </c>
      <c r="AP178" s="286" t="s">
        <v>1</v>
      </c>
      <c r="AQ178" s="285" t="s">
        <v>1</v>
      </c>
      <c r="AR178" s="289" t="s">
        <v>1</v>
      </c>
      <c r="AS178" s="289" t="s">
        <v>1</v>
      </c>
      <c r="AT178" s="290" t="s">
        <v>1</v>
      </c>
      <c r="AU178" s="287" t="s">
        <v>1</v>
      </c>
      <c r="AV178" s="287" t="s">
        <v>1</v>
      </c>
      <c r="AW178" s="291" t="s">
        <v>1</v>
      </c>
    </row>
    <row r="179" spans="1:49" ht="30.15" customHeight="1" x14ac:dyDescent="0.25">
      <c r="A179" s="188" t="s">
        <v>18</v>
      </c>
      <c r="B179" s="189" t="s">
        <v>1</v>
      </c>
      <c r="C179" s="212" t="s">
        <v>34</v>
      </c>
      <c r="D179" s="190" t="s">
        <v>3</v>
      </c>
      <c r="E179" s="190" t="s">
        <v>251</v>
      </c>
      <c r="F179" s="203"/>
      <c r="G179" s="190" t="s">
        <v>252</v>
      </c>
      <c r="H179" s="192" t="s">
        <v>409</v>
      </c>
      <c r="I179" s="193">
        <v>450</v>
      </c>
      <c r="J179" s="193">
        <v>469</v>
      </c>
      <c r="K179" s="193">
        <v>469</v>
      </c>
      <c r="L179" s="194">
        <v>489</v>
      </c>
      <c r="M179" s="194">
        <v>489</v>
      </c>
      <c r="N179" s="284">
        <v>195.6</v>
      </c>
      <c r="O179" s="285" t="s">
        <v>1</v>
      </c>
      <c r="P179" s="285" t="s">
        <v>1</v>
      </c>
      <c r="Q179" s="285" t="s">
        <v>1</v>
      </c>
      <c r="R179" s="285" t="s">
        <v>1</v>
      </c>
      <c r="S179" s="286">
        <v>195.6</v>
      </c>
      <c r="T179" s="285" t="s">
        <v>1</v>
      </c>
      <c r="U179" s="285" t="s">
        <v>1</v>
      </c>
      <c r="V179" s="285" t="s">
        <v>1</v>
      </c>
      <c r="W179" s="285" t="s">
        <v>1</v>
      </c>
      <c r="X179" s="286">
        <v>195.6</v>
      </c>
      <c r="Y179" s="285" t="s">
        <v>1</v>
      </c>
      <c r="Z179" s="285" t="s">
        <v>1</v>
      </c>
      <c r="AA179" s="285" t="s">
        <v>1</v>
      </c>
      <c r="AB179" s="285" t="s">
        <v>1</v>
      </c>
      <c r="AC179" s="286">
        <v>195.6</v>
      </c>
      <c r="AD179" s="285" t="s">
        <v>1</v>
      </c>
      <c r="AE179" s="285" t="s">
        <v>1</v>
      </c>
      <c r="AF179" s="285" t="s">
        <v>1</v>
      </c>
      <c r="AG179" s="285" t="s">
        <v>1</v>
      </c>
      <c r="AH179" s="286">
        <v>195.6</v>
      </c>
      <c r="AI179" s="295" t="s">
        <v>1</v>
      </c>
      <c r="AJ179" s="295" t="s">
        <v>1</v>
      </c>
      <c r="AK179" s="295" t="s">
        <v>1</v>
      </c>
      <c r="AL179" s="286" t="s">
        <v>1</v>
      </c>
      <c r="AM179" s="288" t="s">
        <v>1</v>
      </c>
      <c r="AN179" s="287" t="s">
        <v>1</v>
      </c>
      <c r="AO179" s="287" t="s">
        <v>1</v>
      </c>
      <c r="AP179" s="286" t="s">
        <v>1</v>
      </c>
      <c r="AQ179" s="285" t="s">
        <v>1</v>
      </c>
      <c r="AR179" s="289" t="s">
        <v>1</v>
      </c>
      <c r="AS179" s="289" t="s">
        <v>1</v>
      </c>
      <c r="AT179" s="290" t="s">
        <v>1</v>
      </c>
      <c r="AU179" s="287" t="s">
        <v>1</v>
      </c>
      <c r="AV179" s="287" t="s">
        <v>1</v>
      </c>
      <c r="AW179" s="291" t="s">
        <v>1</v>
      </c>
    </row>
    <row r="180" spans="1:49" ht="30.15" customHeight="1" x14ac:dyDescent="0.25">
      <c r="A180" s="188" t="s">
        <v>18</v>
      </c>
      <c r="B180" s="189" t="s">
        <v>1</v>
      </c>
      <c r="C180" s="212" t="s">
        <v>34</v>
      </c>
      <c r="D180" s="190" t="s">
        <v>3</v>
      </c>
      <c r="E180" s="190" t="s">
        <v>254</v>
      </c>
      <c r="F180" s="203"/>
      <c r="G180" s="190" t="s">
        <v>261</v>
      </c>
      <c r="H180" s="192" t="s">
        <v>409</v>
      </c>
      <c r="I180" s="193">
        <v>579</v>
      </c>
      <c r="J180" s="193">
        <v>599</v>
      </c>
      <c r="K180" s="193">
        <v>599</v>
      </c>
      <c r="L180" s="194">
        <v>629</v>
      </c>
      <c r="M180" s="194">
        <v>629</v>
      </c>
      <c r="N180" s="284">
        <v>251.6</v>
      </c>
      <c r="O180" s="285" t="s">
        <v>1</v>
      </c>
      <c r="P180" s="285" t="s">
        <v>1</v>
      </c>
      <c r="Q180" s="285" t="s">
        <v>1</v>
      </c>
      <c r="R180" s="285" t="s">
        <v>1</v>
      </c>
      <c r="S180" s="286">
        <v>251.6</v>
      </c>
      <c r="T180" s="285" t="s">
        <v>1</v>
      </c>
      <c r="U180" s="285" t="s">
        <v>1</v>
      </c>
      <c r="V180" s="285" t="s">
        <v>1</v>
      </c>
      <c r="W180" s="285" t="s">
        <v>1</v>
      </c>
      <c r="X180" s="286">
        <v>251.6</v>
      </c>
      <c r="Y180" s="285" t="s">
        <v>1</v>
      </c>
      <c r="Z180" s="285" t="s">
        <v>1</v>
      </c>
      <c r="AA180" s="285" t="s">
        <v>1</v>
      </c>
      <c r="AB180" s="285" t="s">
        <v>1</v>
      </c>
      <c r="AC180" s="286">
        <v>251.6</v>
      </c>
      <c r="AD180" s="285" t="s">
        <v>1</v>
      </c>
      <c r="AE180" s="285" t="s">
        <v>1</v>
      </c>
      <c r="AF180" s="285" t="s">
        <v>1</v>
      </c>
      <c r="AG180" s="285" t="s">
        <v>1</v>
      </c>
      <c r="AH180" s="286" t="s">
        <v>1</v>
      </c>
      <c r="AI180" s="295" t="s">
        <v>1</v>
      </c>
      <c r="AJ180" s="295" t="s">
        <v>1</v>
      </c>
      <c r="AK180" s="295" t="s">
        <v>1</v>
      </c>
      <c r="AL180" s="286" t="s">
        <v>1</v>
      </c>
      <c r="AM180" s="288" t="s">
        <v>1</v>
      </c>
      <c r="AN180" s="287" t="s">
        <v>1</v>
      </c>
      <c r="AO180" s="287" t="s">
        <v>1</v>
      </c>
      <c r="AP180" s="286" t="s">
        <v>1</v>
      </c>
      <c r="AQ180" s="285" t="s">
        <v>1</v>
      </c>
      <c r="AR180" s="289" t="s">
        <v>1</v>
      </c>
      <c r="AS180" s="289" t="s">
        <v>1</v>
      </c>
      <c r="AT180" s="290" t="s">
        <v>1</v>
      </c>
      <c r="AU180" s="287" t="s">
        <v>1</v>
      </c>
      <c r="AV180" s="287" t="s">
        <v>1</v>
      </c>
      <c r="AW180" s="291" t="s">
        <v>1</v>
      </c>
    </row>
    <row r="181" spans="1:49" ht="30.15" customHeight="1" x14ac:dyDescent="0.25">
      <c r="A181" s="188" t="s">
        <v>18</v>
      </c>
      <c r="B181" s="189" t="s">
        <v>1</v>
      </c>
      <c r="C181" s="212" t="s">
        <v>34</v>
      </c>
      <c r="D181" s="190" t="s">
        <v>3</v>
      </c>
      <c r="E181" s="190" t="s">
        <v>255</v>
      </c>
      <c r="F181" s="203"/>
      <c r="G181" s="190" t="s">
        <v>261</v>
      </c>
      <c r="H181" s="192" t="s">
        <v>409</v>
      </c>
      <c r="I181" s="193">
        <v>579</v>
      </c>
      <c r="J181" s="193">
        <v>599</v>
      </c>
      <c r="K181" s="193">
        <v>599</v>
      </c>
      <c r="L181" s="194">
        <v>629</v>
      </c>
      <c r="M181" s="194">
        <v>629</v>
      </c>
      <c r="N181" s="284">
        <v>251.6</v>
      </c>
      <c r="O181" s="285" t="s">
        <v>1</v>
      </c>
      <c r="P181" s="285" t="s">
        <v>1</v>
      </c>
      <c r="Q181" s="285" t="s">
        <v>1</v>
      </c>
      <c r="R181" s="285" t="s">
        <v>1</v>
      </c>
      <c r="S181" s="286">
        <v>251.6</v>
      </c>
      <c r="T181" s="285" t="s">
        <v>1</v>
      </c>
      <c r="U181" s="285" t="s">
        <v>1</v>
      </c>
      <c r="V181" s="285" t="s">
        <v>1</v>
      </c>
      <c r="W181" s="285" t="s">
        <v>1</v>
      </c>
      <c r="X181" s="286">
        <v>251.6</v>
      </c>
      <c r="Y181" s="285" t="s">
        <v>1</v>
      </c>
      <c r="Z181" s="285" t="s">
        <v>1</v>
      </c>
      <c r="AA181" s="285" t="s">
        <v>1</v>
      </c>
      <c r="AB181" s="285" t="s">
        <v>1</v>
      </c>
      <c r="AC181" s="286">
        <v>251.6</v>
      </c>
      <c r="AD181" s="285" t="s">
        <v>1</v>
      </c>
      <c r="AE181" s="285" t="s">
        <v>1</v>
      </c>
      <c r="AF181" s="285" t="s">
        <v>1</v>
      </c>
      <c r="AG181" s="285" t="s">
        <v>1</v>
      </c>
      <c r="AH181" s="286" t="s">
        <v>1</v>
      </c>
      <c r="AI181" s="295" t="s">
        <v>1</v>
      </c>
      <c r="AJ181" s="295" t="s">
        <v>1</v>
      </c>
      <c r="AK181" s="295" t="s">
        <v>1</v>
      </c>
      <c r="AL181" s="286" t="s">
        <v>1</v>
      </c>
      <c r="AM181" s="288" t="s">
        <v>1</v>
      </c>
      <c r="AN181" s="287" t="s">
        <v>1</v>
      </c>
      <c r="AO181" s="287" t="s">
        <v>1</v>
      </c>
      <c r="AP181" s="286" t="s">
        <v>1</v>
      </c>
      <c r="AQ181" s="285" t="s">
        <v>1</v>
      </c>
      <c r="AR181" s="289" t="s">
        <v>1</v>
      </c>
      <c r="AS181" s="289" t="s">
        <v>1</v>
      </c>
      <c r="AT181" s="290" t="s">
        <v>1</v>
      </c>
      <c r="AU181" s="287" t="s">
        <v>1</v>
      </c>
      <c r="AV181" s="287" t="s">
        <v>1</v>
      </c>
      <c r="AW181" s="291" t="s">
        <v>1</v>
      </c>
    </row>
    <row r="182" spans="1:49" ht="30.15" customHeight="1" x14ac:dyDescent="0.25">
      <c r="A182" s="188" t="s">
        <v>18</v>
      </c>
      <c r="B182" s="189" t="s">
        <v>1</v>
      </c>
      <c r="C182" s="212" t="s">
        <v>34</v>
      </c>
      <c r="D182" s="190" t="s">
        <v>3</v>
      </c>
      <c r="E182" s="190" t="s">
        <v>884</v>
      </c>
      <c r="F182" s="203"/>
      <c r="G182" s="190" t="s">
        <v>893</v>
      </c>
      <c r="H182" s="192" t="s">
        <v>409</v>
      </c>
      <c r="I182" s="193">
        <v>569</v>
      </c>
      <c r="J182" s="193">
        <v>569</v>
      </c>
      <c r="K182" s="193">
        <v>569</v>
      </c>
      <c r="L182" s="194">
        <v>615</v>
      </c>
      <c r="M182" s="194">
        <v>615</v>
      </c>
      <c r="N182" s="284">
        <v>246</v>
      </c>
      <c r="O182" s="285" t="s">
        <v>1</v>
      </c>
      <c r="P182" s="285" t="s">
        <v>1</v>
      </c>
      <c r="Q182" s="285" t="s">
        <v>1</v>
      </c>
      <c r="R182" s="285" t="s">
        <v>1</v>
      </c>
      <c r="S182" s="286">
        <v>246</v>
      </c>
      <c r="T182" s="285" t="s">
        <v>1</v>
      </c>
      <c r="U182" s="285" t="s">
        <v>1</v>
      </c>
      <c r="V182" s="285" t="s">
        <v>1</v>
      </c>
      <c r="W182" s="285" t="s">
        <v>1</v>
      </c>
      <c r="X182" s="286">
        <v>246</v>
      </c>
      <c r="Y182" s="285">
        <v>5.63</v>
      </c>
      <c r="Z182" s="285">
        <v>24</v>
      </c>
      <c r="AA182" s="285" t="s">
        <v>1</v>
      </c>
      <c r="AB182" s="285" t="s">
        <v>1</v>
      </c>
      <c r="AC182" s="286">
        <v>246</v>
      </c>
      <c r="AD182" s="285">
        <v>5.63</v>
      </c>
      <c r="AE182" s="285">
        <v>24</v>
      </c>
      <c r="AF182" s="285" t="s">
        <v>1</v>
      </c>
      <c r="AG182" s="285" t="s">
        <v>1</v>
      </c>
      <c r="AH182" s="286" t="s">
        <v>1</v>
      </c>
      <c r="AI182" s="295" t="s">
        <v>1</v>
      </c>
      <c r="AJ182" s="295" t="s">
        <v>1</v>
      </c>
      <c r="AK182" s="295" t="s">
        <v>1</v>
      </c>
      <c r="AL182" s="286" t="s">
        <v>1</v>
      </c>
      <c r="AM182" s="288" t="s">
        <v>1</v>
      </c>
      <c r="AN182" s="287" t="s">
        <v>1</v>
      </c>
      <c r="AO182" s="287" t="s">
        <v>1</v>
      </c>
      <c r="AP182" s="286" t="s">
        <v>1</v>
      </c>
      <c r="AQ182" s="285" t="s">
        <v>1</v>
      </c>
      <c r="AR182" s="289" t="s">
        <v>1</v>
      </c>
      <c r="AS182" s="289" t="s">
        <v>1</v>
      </c>
      <c r="AT182" s="290" t="s">
        <v>1</v>
      </c>
      <c r="AU182" s="287" t="s">
        <v>1</v>
      </c>
      <c r="AV182" s="287" t="s">
        <v>1</v>
      </c>
      <c r="AW182" s="291" t="s">
        <v>1</v>
      </c>
    </row>
    <row r="183" spans="1:49" ht="30.15" customHeight="1" x14ac:dyDescent="0.25">
      <c r="A183" s="188" t="s">
        <v>18</v>
      </c>
      <c r="B183" s="189" t="s">
        <v>1</v>
      </c>
      <c r="C183" s="212" t="s">
        <v>34</v>
      </c>
      <c r="D183" s="190" t="s">
        <v>3</v>
      </c>
      <c r="E183" s="190" t="s">
        <v>885</v>
      </c>
      <c r="F183" s="203"/>
      <c r="G183" s="190" t="s">
        <v>893</v>
      </c>
      <c r="H183" s="192" t="s">
        <v>409</v>
      </c>
      <c r="I183" s="193">
        <v>569</v>
      </c>
      <c r="J183" s="193">
        <v>569</v>
      </c>
      <c r="K183" s="193">
        <v>569</v>
      </c>
      <c r="L183" s="194">
        <v>615</v>
      </c>
      <c r="M183" s="194">
        <v>615</v>
      </c>
      <c r="N183" s="284">
        <v>246</v>
      </c>
      <c r="O183" s="285" t="s">
        <v>1</v>
      </c>
      <c r="P183" s="285" t="s">
        <v>1</v>
      </c>
      <c r="Q183" s="285" t="s">
        <v>1</v>
      </c>
      <c r="R183" s="285" t="s">
        <v>1</v>
      </c>
      <c r="S183" s="286">
        <v>246</v>
      </c>
      <c r="T183" s="285" t="s">
        <v>1</v>
      </c>
      <c r="U183" s="285" t="s">
        <v>1</v>
      </c>
      <c r="V183" s="285" t="s">
        <v>1</v>
      </c>
      <c r="W183" s="285" t="s">
        <v>1</v>
      </c>
      <c r="X183" s="286">
        <v>246</v>
      </c>
      <c r="Y183" s="285">
        <v>5.63</v>
      </c>
      <c r="Z183" s="285">
        <v>24</v>
      </c>
      <c r="AA183" s="285" t="s">
        <v>1</v>
      </c>
      <c r="AB183" s="285" t="s">
        <v>1</v>
      </c>
      <c r="AC183" s="286">
        <v>246</v>
      </c>
      <c r="AD183" s="285">
        <v>5.63</v>
      </c>
      <c r="AE183" s="285">
        <v>24</v>
      </c>
      <c r="AF183" s="285" t="s">
        <v>1</v>
      </c>
      <c r="AG183" s="285" t="s">
        <v>1</v>
      </c>
      <c r="AH183" s="286" t="s">
        <v>1</v>
      </c>
      <c r="AI183" s="295" t="s">
        <v>1</v>
      </c>
      <c r="AJ183" s="295" t="s">
        <v>1</v>
      </c>
      <c r="AK183" s="295" t="s">
        <v>1</v>
      </c>
      <c r="AL183" s="286" t="s">
        <v>1</v>
      </c>
      <c r="AM183" s="288" t="s">
        <v>1</v>
      </c>
      <c r="AN183" s="287" t="s">
        <v>1</v>
      </c>
      <c r="AO183" s="287" t="s">
        <v>1</v>
      </c>
      <c r="AP183" s="286" t="s">
        <v>1</v>
      </c>
      <c r="AQ183" s="285" t="s">
        <v>1</v>
      </c>
      <c r="AR183" s="289" t="s">
        <v>1</v>
      </c>
      <c r="AS183" s="289" t="s">
        <v>1</v>
      </c>
      <c r="AT183" s="290" t="s">
        <v>1</v>
      </c>
      <c r="AU183" s="287" t="s">
        <v>1</v>
      </c>
      <c r="AV183" s="287" t="s">
        <v>1</v>
      </c>
      <c r="AW183" s="291" t="s">
        <v>1</v>
      </c>
    </row>
    <row r="184" spans="1:49" ht="30.15" customHeight="1" x14ac:dyDescent="0.25">
      <c r="A184" s="188" t="s">
        <v>18</v>
      </c>
      <c r="B184" s="189" t="s">
        <v>1</v>
      </c>
      <c r="C184" s="212" t="s">
        <v>34</v>
      </c>
      <c r="D184" s="190" t="s">
        <v>3</v>
      </c>
      <c r="E184" s="190" t="s">
        <v>886</v>
      </c>
      <c r="F184" s="203"/>
      <c r="G184" s="190" t="s">
        <v>893</v>
      </c>
      <c r="H184" s="192" t="s">
        <v>409</v>
      </c>
      <c r="I184" s="193">
        <v>569</v>
      </c>
      <c r="J184" s="193">
        <v>569</v>
      </c>
      <c r="K184" s="193">
        <v>569</v>
      </c>
      <c r="L184" s="194">
        <v>615</v>
      </c>
      <c r="M184" s="194">
        <v>615</v>
      </c>
      <c r="N184" s="284">
        <v>246</v>
      </c>
      <c r="O184" s="285" t="s">
        <v>1</v>
      </c>
      <c r="P184" s="285" t="s">
        <v>1</v>
      </c>
      <c r="Q184" s="285" t="s">
        <v>1</v>
      </c>
      <c r="R184" s="285" t="s">
        <v>1</v>
      </c>
      <c r="S184" s="286">
        <v>246</v>
      </c>
      <c r="T184" s="285" t="s">
        <v>1</v>
      </c>
      <c r="U184" s="285" t="s">
        <v>1</v>
      </c>
      <c r="V184" s="285" t="s">
        <v>1</v>
      </c>
      <c r="W184" s="285" t="s">
        <v>1</v>
      </c>
      <c r="X184" s="286">
        <v>246</v>
      </c>
      <c r="Y184" s="285">
        <v>5.63</v>
      </c>
      <c r="Z184" s="285">
        <v>24</v>
      </c>
      <c r="AA184" s="285" t="s">
        <v>1</v>
      </c>
      <c r="AB184" s="285" t="s">
        <v>1</v>
      </c>
      <c r="AC184" s="286">
        <v>246</v>
      </c>
      <c r="AD184" s="285">
        <v>5.63</v>
      </c>
      <c r="AE184" s="285">
        <v>24</v>
      </c>
      <c r="AF184" s="285" t="s">
        <v>1</v>
      </c>
      <c r="AG184" s="285" t="s">
        <v>1</v>
      </c>
      <c r="AH184" s="286" t="s">
        <v>1</v>
      </c>
      <c r="AI184" s="295" t="s">
        <v>1</v>
      </c>
      <c r="AJ184" s="295" t="s">
        <v>1</v>
      </c>
      <c r="AK184" s="295" t="s">
        <v>1</v>
      </c>
      <c r="AL184" s="286" t="s">
        <v>1</v>
      </c>
      <c r="AM184" s="288" t="s">
        <v>1</v>
      </c>
      <c r="AN184" s="287" t="s">
        <v>1</v>
      </c>
      <c r="AO184" s="287" t="s">
        <v>1</v>
      </c>
      <c r="AP184" s="286" t="s">
        <v>1</v>
      </c>
      <c r="AQ184" s="285" t="s">
        <v>1</v>
      </c>
      <c r="AR184" s="289" t="s">
        <v>1</v>
      </c>
      <c r="AS184" s="289" t="s">
        <v>1</v>
      </c>
      <c r="AT184" s="290" t="s">
        <v>1</v>
      </c>
      <c r="AU184" s="287" t="s">
        <v>1</v>
      </c>
      <c r="AV184" s="287" t="s">
        <v>1</v>
      </c>
      <c r="AW184" s="291" t="s">
        <v>1</v>
      </c>
    </row>
    <row r="185" spans="1:49" ht="30.15" customHeight="1" x14ac:dyDescent="0.25">
      <c r="A185" s="188" t="s">
        <v>18</v>
      </c>
      <c r="B185" s="189" t="s">
        <v>1</v>
      </c>
      <c r="C185" s="212" t="s">
        <v>34</v>
      </c>
      <c r="D185" s="190" t="s">
        <v>3</v>
      </c>
      <c r="E185" s="190" t="s">
        <v>887</v>
      </c>
      <c r="F185" s="203"/>
      <c r="G185" s="190" t="s">
        <v>894</v>
      </c>
      <c r="H185" s="192" t="s">
        <v>409</v>
      </c>
      <c r="I185" s="193">
        <v>639</v>
      </c>
      <c r="J185" s="193">
        <v>639</v>
      </c>
      <c r="K185" s="193">
        <v>639</v>
      </c>
      <c r="L185" s="194">
        <v>690</v>
      </c>
      <c r="M185" s="194">
        <v>690</v>
      </c>
      <c r="N185" s="284">
        <v>276</v>
      </c>
      <c r="O185" s="285" t="s">
        <v>1</v>
      </c>
      <c r="P185" s="285" t="s">
        <v>1</v>
      </c>
      <c r="Q185" s="285" t="s">
        <v>1</v>
      </c>
      <c r="R185" s="285" t="s">
        <v>1</v>
      </c>
      <c r="S185" s="286">
        <v>276</v>
      </c>
      <c r="T185" s="285" t="s">
        <v>1</v>
      </c>
      <c r="U185" s="285" t="s">
        <v>1</v>
      </c>
      <c r="V185" s="285" t="s">
        <v>1</v>
      </c>
      <c r="W185" s="285" t="s">
        <v>1</v>
      </c>
      <c r="X185" s="286">
        <v>276</v>
      </c>
      <c r="Y185" s="285">
        <v>5.63</v>
      </c>
      <c r="Z185" s="285">
        <v>24</v>
      </c>
      <c r="AA185" s="285" t="s">
        <v>1</v>
      </c>
      <c r="AB185" s="285" t="s">
        <v>1</v>
      </c>
      <c r="AC185" s="286">
        <v>276</v>
      </c>
      <c r="AD185" s="285">
        <v>5.63</v>
      </c>
      <c r="AE185" s="285">
        <v>24</v>
      </c>
      <c r="AF185" s="285" t="s">
        <v>1</v>
      </c>
      <c r="AG185" s="285" t="s">
        <v>1</v>
      </c>
      <c r="AH185" s="286" t="s">
        <v>1</v>
      </c>
      <c r="AI185" s="295" t="s">
        <v>1</v>
      </c>
      <c r="AJ185" s="295" t="s">
        <v>1</v>
      </c>
      <c r="AK185" s="295" t="s">
        <v>1</v>
      </c>
      <c r="AL185" s="286" t="s">
        <v>1</v>
      </c>
      <c r="AM185" s="288" t="s">
        <v>1</v>
      </c>
      <c r="AN185" s="287" t="s">
        <v>1</v>
      </c>
      <c r="AO185" s="287" t="s">
        <v>1</v>
      </c>
      <c r="AP185" s="286" t="s">
        <v>1</v>
      </c>
      <c r="AQ185" s="285" t="s">
        <v>1</v>
      </c>
      <c r="AR185" s="289" t="s">
        <v>1</v>
      </c>
      <c r="AS185" s="289" t="s">
        <v>1</v>
      </c>
      <c r="AT185" s="290" t="s">
        <v>1</v>
      </c>
      <c r="AU185" s="287" t="s">
        <v>1</v>
      </c>
      <c r="AV185" s="287" t="s">
        <v>1</v>
      </c>
      <c r="AW185" s="291" t="s">
        <v>1</v>
      </c>
    </row>
    <row r="186" spans="1:49" ht="30.15" customHeight="1" x14ac:dyDescent="0.25">
      <c r="A186" s="188" t="s">
        <v>18</v>
      </c>
      <c r="B186" s="189" t="s">
        <v>1</v>
      </c>
      <c r="C186" s="212" t="s">
        <v>34</v>
      </c>
      <c r="D186" s="190" t="s">
        <v>3</v>
      </c>
      <c r="E186" s="190" t="s">
        <v>888</v>
      </c>
      <c r="F186" s="203"/>
      <c r="G186" s="190" t="s">
        <v>894</v>
      </c>
      <c r="H186" s="192" t="s">
        <v>409</v>
      </c>
      <c r="I186" s="193">
        <v>639</v>
      </c>
      <c r="J186" s="193">
        <v>639</v>
      </c>
      <c r="K186" s="193">
        <v>639</v>
      </c>
      <c r="L186" s="194">
        <v>690</v>
      </c>
      <c r="M186" s="194">
        <v>690</v>
      </c>
      <c r="N186" s="284">
        <v>276</v>
      </c>
      <c r="O186" s="285" t="s">
        <v>1</v>
      </c>
      <c r="P186" s="285" t="s">
        <v>1</v>
      </c>
      <c r="Q186" s="285" t="s">
        <v>1</v>
      </c>
      <c r="R186" s="285" t="s">
        <v>1</v>
      </c>
      <c r="S186" s="286">
        <v>276</v>
      </c>
      <c r="T186" s="285" t="s">
        <v>1</v>
      </c>
      <c r="U186" s="285" t="s">
        <v>1</v>
      </c>
      <c r="V186" s="285" t="s">
        <v>1</v>
      </c>
      <c r="W186" s="285" t="s">
        <v>1</v>
      </c>
      <c r="X186" s="286">
        <v>276</v>
      </c>
      <c r="Y186" s="285">
        <v>5.63</v>
      </c>
      <c r="Z186" s="285">
        <v>24</v>
      </c>
      <c r="AA186" s="285" t="s">
        <v>1</v>
      </c>
      <c r="AB186" s="285" t="s">
        <v>1</v>
      </c>
      <c r="AC186" s="286">
        <v>276</v>
      </c>
      <c r="AD186" s="285">
        <v>5.63</v>
      </c>
      <c r="AE186" s="285">
        <v>24</v>
      </c>
      <c r="AF186" s="285" t="s">
        <v>1</v>
      </c>
      <c r="AG186" s="285" t="s">
        <v>1</v>
      </c>
      <c r="AH186" s="286" t="s">
        <v>1</v>
      </c>
      <c r="AI186" s="295" t="s">
        <v>1</v>
      </c>
      <c r="AJ186" s="295" t="s">
        <v>1</v>
      </c>
      <c r="AK186" s="295" t="s">
        <v>1</v>
      </c>
      <c r="AL186" s="286" t="s">
        <v>1</v>
      </c>
      <c r="AM186" s="288" t="s">
        <v>1</v>
      </c>
      <c r="AN186" s="287" t="s">
        <v>1</v>
      </c>
      <c r="AO186" s="287" t="s">
        <v>1</v>
      </c>
      <c r="AP186" s="286" t="s">
        <v>1</v>
      </c>
      <c r="AQ186" s="285" t="s">
        <v>1</v>
      </c>
      <c r="AR186" s="289" t="s">
        <v>1</v>
      </c>
      <c r="AS186" s="289" t="s">
        <v>1</v>
      </c>
      <c r="AT186" s="290" t="s">
        <v>1</v>
      </c>
      <c r="AU186" s="287" t="s">
        <v>1</v>
      </c>
      <c r="AV186" s="287" t="s">
        <v>1</v>
      </c>
      <c r="AW186" s="291" t="s">
        <v>1</v>
      </c>
    </row>
    <row r="187" spans="1:49" ht="30.15" customHeight="1" x14ac:dyDescent="0.25">
      <c r="A187" s="188" t="s">
        <v>18</v>
      </c>
      <c r="B187" s="189" t="s">
        <v>1</v>
      </c>
      <c r="C187" s="212" t="s">
        <v>34</v>
      </c>
      <c r="D187" s="190" t="s">
        <v>3</v>
      </c>
      <c r="E187" s="190" t="s">
        <v>889</v>
      </c>
      <c r="F187" s="203"/>
      <c r="G187" s="190" t="s">
        <v>894</v>
      </c>
      <c r="H187" s="192" t="s">
        <v>414</v>
      </c>
      <c r="I187" s="193">
        <v>639</v>
      </c>
      <c r="J187" s="193">
        <v>639</v>
      </c>
      <c r="K187" s="193">
        <v>639</v>
      </c>
      <c r="L187" s="194">
        <v>690</v>
      </c>
      <c r="M187" s="194">
        <v>690</v>
      </c>
      <c r="N187" s="284">
        <v>276</v>
      </c>
      <c r="O187" s="285" t="s">
        <v>1</v>
      </c>
      <c r="P187" s="285" t="s">
        <v>1</v>
      </c>
      <c r="Q187" s="285" t="s">
        <v>1</v>
      </c>
      <c r="R187" s="285" t="s">
        <v>1</v>
      </c>
      <c r="S187" s="286">
        <v>276</v>
      </c>
      <c r="T187" s="285" t="s">
        <v>1</v>
      </c>
      <c r="U187" s="285" t="s">
        <v>1</v>
      </c>
      <c r="V187" s="285" t="s">
        <v>1</v>
      </c>
      <c r="W187" s="285" t="s">
        <v>1</v>
      </c>
      <c r="X187" s="286">
        <v>276</v>
      </c>
      <c r="Y187" s="285">
        <v>5.63</v>
      </c>
      <c r="Z187" s="285">
        <v>24</v>
      </c>
      <c r="AA187" s="285" t="s">
        <v>1</v>
      </c>
      <c r="AB187" s="285" t="s">
        <v>1</v>
      </c>
      <c r="AC187" s="286">
        <v>276</v>
      </c>
      <c r="AD187" s="285">
        <v>5.63</v>
      </c>
      <c r="AE187" s="285">
        <v>24</v>
      </c>
      <c r="AF187" s="285" t="s">
        <v>1</v>
      </c>
      <c r="AG187" s="285" t="s">
        <v>1</v>
      </c>
      <c r="AH187" s="286" t="s">
        <v>1</v>
      </c>
      <c r="AI187" s="295" t="s">
        <v>1</v>
      </c>
      <c r="AJ187" s="295" t="s">
        <v>1</v>
      </c>
      <c r="AK187" s="295" t="s">
        <v>1</v>
      </c>
      <c r="AL187" s="286" t="s">
        <v>1</v>
      </c>
      <c r="AM187" s="288" t="s">
        <v>1</v>
      </c>
      <c r="AN187" s="287" t="s">
        <v>1</v>
      </c>
      <c r="AO187" s="287" t="s">
        <v>1</v>
      </c>
      <c r="AP187" s="286" t="s">
        <v>1</v>
      </c>
      <c r="AQ187" s="285" t="s">
        <v>1</v>
      </c>
      <c r="AR187" s="289" t="s">
        <v>1</v>
      </c>
      <c r="AS187" s="289" t="s">
        <v>1</v>
      </c>
      <c r="AT187" s="290" t="s">
        <v>1</v>
      </c>
      <c r="AU187" s="287" t="s">
        <v>1</v>
      </c>
      <c r="AV187" s="287" t="s">
        <v>1</v>
      </c>
      <c r="AW187" s="291" t="s">
        <v>1</v>
      </c>
    </row>
    <row r="188" spans="1:49" ht="30.15" customHeight="1" x14ac:dyDescent="0.25">
      <c r="A188" s="188" t="s">
        <v>18</v>
      </c>
      <c r="B188" s="189" t="s">
        <v>1</v>
      </c>
      <c r="C188" s="212" t="s">
        <v>34</v>
      </c>
      <c r="D188" s="190" t="s">
        <v>3</v>
      </c>
      <c r="E188" s="190" t="s">
        <v>890</v>
      </c>
      <c r="F188" s="203"/>
      <c r="G188" s="190" t="s">
        <v>895</v>
      </c>
      <c r="H188" s="192" t="s">
        <v>414</v>
      </c>
      <c r="I188" s="193">
        <v>769</v>
      </c>
      <c r="J188" s="193">
        <v>769</v>
      </c>
      <c r="K188" s="193">
        <v>769</v>
      </c>
      <c r="L188" s="194">
        <v>830</v>
      </c>
      <c r="M188" s="194">
        <v>830</v>
      </c>
      <c r="N188" s="284">
        <v>332</v>
      </c>
      <c r="O188" s="285" t="s">
        <v>1</v>
      </c>
      <c r="P188" s="285" t="s">
        <v>1</v>
      </c>
      <c r="Q188" s="285" t="s">
        <v>1</v>
      </c>
      <c r="R188" s="285" t="s">
        <v>1</v>
      </c>
      <c r="S188" s="286">
        <v>332</v>
      </c>
      <c r="T188" s="285" t="s">
        <v>1</v>
      </c>
      <c r="U188" s="285" t="s">
        <v>1</v>
      </c>
      <c r="V188" s="285" t="s">
        <v>1</v>
      </c>
      <c r="W188" s="285" t="s">
        <v>1</v>
      </c>
      <c r="X188" s="286">
        <v>332</v>
      </c>
      <c r="Y188" s="285">
        <v>5.63</v>
      </c>
      <c r="Z188" s="285">
        <v>24</v>
      </c>
      <c r="AA188" s="285" t="s">
        <v>1</v>
      </c>
      <c r="AB188" s="285" t="s">
        <v>1</v>
      </c>
      <c r="AC188" s="286">
        <v>332</v>
      </c>
      <c r="AD188" s="285">
        <v>5.63</v>
      </c>
      <c r="AE188" s="285">
        <v>24</v>
      </c>
      <c r="AF188" s="285" t="s">
        <v>1</v>
      </c>
      <c r="AG188" s="285" t="s">
        <v>1</v>
      </c>
      <c r="AH188" s="286" t="s">
        <v>1</v>
      </c>
      <c r="AI188" s="295" t="s">
        <v>1</v>
      </c>
      <c r="AJ188" s="295" t="s">
        <v>1</v>
      </c>
      <c r="AK188" s="295" t="s">
        <v>1</v>
      </c>
      <c r="AL188" s="286" t="s">
        <v>1</v>
      </c>
      <c r="AM188" s="288" t="s">
        <v>1</v>
      </c>
      <c r="AN188" s="287" t="s">
        <v>1</v>
      </c>
      <c r="AO188" s="287" t="s">
        <v>1</v>
      </c>
      <c r="AP188" s="286" t="s">
        <v>1</v>
      </c>
      <c r="AQ188" s="285" t="s">
        <v>1</v>
      </c>
      <c r="AR188" s="289" t="s">
        <v>1</v>
      </c>
      <c r="AS188" s="289" t="s">
        <v>1</v>
      </c>
      <c r="AT188" s="290" t="s">
        <v>1</v>
      </c>
      <c r="AU188" s="287" t="s">
        <v>1</v>
      </c>
      <c r="AV188" s="287" t="s">
        <v>1</v>
      </c>
      <c r="AW188" s="291" t="s">
        <v>1</v>
      </c>
    </row>
    <row r="189" spans="1:49" ht="30.15" customHeight="1" x14ac:dyDescent="0.25">
      <c r="A189" s="188" t="s">
        <v>18</v>
      </c>
      <c r="B189" s="189" t="s">
        <v>1</v>
      </c>
      <c r="C189" s="212" t="s">
        <v>34</v>
      </c>
      <c r="D189" s="190" t="s">
        <v>3</v>
      </c>
      <c r="E189" s="190" t="s">
        <v>891</v>
      </c>
      <c r="F189" s="203"/>
      <c r="G189" s="190" t="s">
        <v>895</v>
      </c>
      <c r="H189" s="192" t="s">
        <v>409</v>
      </c>
      <c r="I189" s="193">
        <v>769</v>
      </c>
      <c r="J189" s="193">
        <v>769</v>
      </c>
      <c r="K189" s="193">
        <v>769</v>
      </c>
      <c r="L189" s="194">
        <v>830</v>
      </c>
      <c r="M189" s="194">
        <v>830</v>
      </c>
      <c r="N189" s="284">
        <v>332</v>
      </c>
      <c r="O189" s="285" t="s">
        <v>1</v>
      </c>
      <c r="P189" s="285" t="s">
        <v>1</v>
      </c>
      <c r="Q189" s="285" t="s">
        <v>1</v>
      </c>
      <c r="R189" s="285" t="s">
        <v>1</v>
      </c>
      <c r="S189" s="286">
        <v>332</v>
      </c>
      <c r="T189" s="285" t="s">
        <v>1</v>
      </c>
      <c r="U189" s="285" t="s">
        <v>1</v>
      </c>
      <c r="V189" s="285" t="s">
        <v>1</v>
      </c>
      <c r="W189" s="285" t="s">
        <v>1</v>
      </c>
      <c r="X189" s="286">
        <v>332</v>
      </c>
      <c r="Y189" s="285">
        <v>5.63</v>
      </c>
      <c r="Z189" s="285">
        <v>24</v>
      </c>
      <c r="AA189" s="285" t="s">
        <v>1</v>
      </c>
      <c r="AB189" s="285" t="s">
        <v>1</v>
      </c>
      <c r="AC189" s="286">
        <v>332</v>
      </c>
      <c r="AD189" s="285">
        <v>5.63</v>
      </c>
      <c r="AE189" s="285">
        <v>24</v>
      </c>
      <c r="AF189" s="285" t="s">
        <v>1</v>
      </c>
      <c r="AG189" s="285" t="s">
        <v>1</v>
      </c>
      <c r="AH189" s="286" t="s">
        <v>1</v>
      </c>
      <c r="AI189" s="295" t="s">
        <v>1</v>
      </c>
      <c r="AJ189" s="295" t="s">
        <v>1</v>
      </c>
      <c r="AK189" s="295" t="s">
        <v>1</v>
      </c>
      <c r="AL189" s="286" t="s">
        <v>1</v>
      </c>
      <c r="AM189" s="288" t="s">
        <v>1</v>
      </c>
      <c r="AN189" s="287" t="s">
        <v>1</v>
      </c>
      <c r="AO189" s="287" t="s">
        <v>1</v>
      </c>
      <c r="AP189" s="286" t="s">
        <v>1</v>
      </c>
      <c r="AQ189" s="285" t="s">
        <v>1</v>
      </c>
      <c r="AR189" s="289" t="s">
        <v>1</v>
      </c>
      <c r="AS189" s="289" t="s">
        <v>1</v>
      </c>
      <c r="AT189" s="290" t="s">
        <v>1</v>
      </c>
      <c r="AU189" s="287" t="s">
        <v>1</v>
      </c>
      <c r="AV189" s="287" t="s">
        <v>1</v>
      </c>
      <c r="AW189" s="291" t="s">
        <v>1</v>
      </c>
    </row>
    <row r="190" spans="1:49" ht="30.15" customHeight="1" x14ac:dyDescent="0.25">
      <c r="A190" s="188" t="s">
        <v>18</v>
      </c>
      <c r="B190" s="189" t="s">
        <v>1</v>
      </c>
      <c r="C190" s="212" t="s">
        <v>34</v>
      </c>
      <c r="D190" s="190" t="s">
        <v>3</v>
      </c>
      <c r="E190" s="190" t="s">
        <v>892</v>
      </c>
      <c r="F190" s="203"/>
      <c r="G190" s="190" t="s">
        <v>895</v>
      </c>
      <c r="H190" s="192" t="s">
        <v>414</v>
      </c>
      <c r="I190" s="193">
        <v>769</v>
      </c>
      <c r="J190" s="193">
        <v>769</v>
      </c>
      <c r="K190" s="193">
        <v>769</v>
      </c>
      <c r="L190" s="194">
        <v>830</v>
      </c>
      <c r="M190" s="194">
        <v>830</v>
      </c>
      <c r="N190" s="284">
        <v>332</v>
      </c>
      <c r="O190" s="285" t="s">
        <v>1</v>
      </c>
      <c r="P190" s="285" t="s">
        <v>1</v>
      </c>
      <c r="Q190" s="285" t="s">
        <v>1</v>
      </c>
      <c r="R190" s="285" t="s">
        <v>1</v>
      </c>
      <c r="S190" s="286">
        <v>332</v>
      </c>
      <c r="T190" s="285" t="s">
        <v>1</v>
      </c>
      <c r="U190" s="285" t="s">
        <v>1</v>
      </c>
      <c r="V190" s="285" t="s">
        <v>1</v>
      </c>
      <c r="W190" s="285" t="s">
        <v>1</v>
      </c>
      <c r="X190" s="286">
        <v>332</v>
      </c>
      <c r="Y190" s="285">
        <v>5.63</v>
      </c>
      <c r="Z190" s="285">
        <v>24</v>
      </c>
      <c r="AA190" s="285" t="s">
        <v>1</v>
      </c>
      <c r="AB190" s="285" t="s">
        <v>1</v>
      </c>
      <c r="AC190" s="286">
        <v>332</v>
      </c>
      <c r="AD190" s="285">
        <v>5.63</v>
      </c>
      <c r="AE190" s="285">
        <v>24</v>
      </c>
      <c r="AF190" s="285" t="s">
        <v>1</v>
      </c>
      <c r="AG190" s="285" t="s">
        <v>1</v>
      </c>
      <c r="AH190" s="286" t="s">
        <v>1</v>
      </c>
      <c r="AI190" s="295" t="s">
        <v>1</v>
      </c>
      <c r="AJ190" s="295" t="s">
        <v>1</v>
      </c>
      <c r="AK190" s="295" t="s">
        <v>1</v>
      </c>
      <c r="AL190" s="286" t="s">
        <v>1</v>
      </c>
      <c r="AM190" s="288" t="s">
        <v>1</v>
      </c>
      <c r="AN190" s="287" t="s">
        <v>1</v>
      </c>
      <c r="AO190" s="287" t="s">
        <v>1</v>
      </c>
      <c r="AP190" s="286" t="s">
        <v>1</v>
      </c>
      <c r="AQ190" s="285" t="s">
        <v>1</v>
      </c>
      <c r="AR190" s="289" t="s">
        <v>1</v>
      </c>
      <c r="AS190" s="289" t="s">
        <v>1</v>
      </c>
      <c r="AT190" s="290" t="s">
        <v>1</v>
      </c>
      <c r="AU190" s="287" t="s">
        <v>1</v>
      </c>
      <c r="AV190" s="287" t="s">
        <v>1</v>
      </c>
      <c r="AW190" s="291" t="s">
        <v>1</v>
      </c>
    </row>
    <row r="191" spans="1:49" ht="30.15" customHeight="1" x14ac:dyDescent="0.25">
      <c r="A191" s="188" t="s">
        <v>18</v>
      </c>
      <c r="B191" s="189" t="s">
        <v>1</v>
      </c>
      <c r="C191" s="212" t="s">
        <v>34</v>
      </c>
      <c r="D191" s="190" t="s">
        <v>3</v>
      </c>
      <c r="E191" s="190" t="s">
        <v>1092</v>
      </c>
      <c r="F191" s="203"/>
      <c r="G191" s="190" t="s">
        <v>1101</v>
      </c>
      <c r="H191" s="192" t="s">
        <v>409</v>
      </c>
      <c r="I191" s="193">
        <v>569</v>
      </c>
      <c r="J191" s="193">
        <v>569</v>
      </c>
      <c r="K191" s="193">
        <v>569</v>
      </c>
      <c r="L191" s="194">
        <v>615</v>
      </c>
      <c r="M191" s="194">
        <v>615</v>
      </c>
      <c r="N191" s="284">
        <v>246</v>
      </c>
      <c r="O191" s="285" t="s">
        <v>1</v>
      </c>
      <c r="P191" s="285" t="s">
        <v>1</v>
      </c>
      <c r="Q191" s="285" t="s">
        <v>1</v>
      </c>
      <c r="R191" s="285" t="s">
        <v>1</v>
      </c>
      <c r="S191" s="286">
        <v>246</v>
      </c>
      <c r="T191" s="285" t="s">
        <v>1</v>
      </c>
      <c r="U191" s="285" t="s">
        <v>1</v>
      </c>
      <c r="V191" s="285" t="s">
        <v>1</v>
      </c>
      <c r="W191" s="285" t="s">
        <v>1</v>
      </c>
      <c r="X191" s="286">
        <v>246</v>
      </c>
      <c r="Y191" s="285">
        <v>5.63</v>
      </c>
      <c r="Z191" s="285">
        <v>24</v>
      </c>
      <c r="AA191" s="285" t="s">
        <v>1</v>
      </c>
      <c r="AB191" s="285" t="s">
        <v>1</v>
      </c>
      <c r="AC191" s="286">
        <v>246</v>
      </c>
      <c r="AD191" s="285">
        <v>5.63</v>
      </c>
      <c r="AE191" s="285">
        <v>24</v>
      </c>
      <c r="AF191" s="285" t="s">
        <v>1</v>
      </c>
      <c r="AG191" s="285" t="s">
        <v>1</v>
      </c>
      <c r="AH191" s="286" t="s">
        <v>1</v>
      </c>
      <c r="AI191" s="295" t="s">
        <v>1</v>
      </c>
      <c r="AJ191" s="295" t="s">
        <v>1</v>
      </c>
      <c r="AK191" s="295" t="s">
        <v>1</v>
      </c>
      <c r="AL191" s="286" t="s">
        <v>1</v>
      </c>
      <c r="AM191" s="288" t="s">
        <v>1</v>
      </c>
      <c r="AN191" s="287" t="s">
        <v>1</v>
      </c>
      <c r="AO191" s="287" t="s">
        <v>1</v>
      </c>
      <c r="AP191" s="286" t="s">
        <v>1</v>
      </c>
      <c r="AQ191" s="285" t="s">
        <v>1</v>
      </c>
      <c r="AR191" s="289" t="s">
        <v>1</v>
      </c>
      <c r="AS191" s="289" t="s">
        <v>1</v>
      </c>
      <c r="AT191" s="290" t="s">
        <v>1</v>
      </c>
      <c r="AU191" s="287" t="s">
        <v>1</v>
      </c>
      <c r="AV191" s="287" t="s">
        <v>1</v>
      </c>
      <c r="AW191" s="291" t="s">
        <v>1</v>
      </c>
    </row>
    <row r="192" spans="1:49" ht="30.15" customHeight="1" x14ac:dyDescent="0.25">
      <c r="A192" s="188" t="s">
        <v>18</v>
      </c>
      <c r="B192" s="189" t="s">
        <v>1</v>
      </c>
      <c r="C192" s="212" t="s">
        <v>34</v>
      </c>
      <c r="D192" s="190" t="s">
        <v>3</v>
      </c>
      <c r="E192" s="190" t="s">
        <v>1093</v>
      </c>
      <c r="F192" s="203"/>
      <c r="G192" s="190" t="s">
        <v>1101</v>
      </c>
      <c r="H192" s="192" t="s">
        <v>409</v>
      </c>
      <c r="I192" s="193">
        <v>569</v>
      </c>
      <c r="J192" s="193">
        <v>569</v>
      </c>
      <c r="K192" s="193">
        <v>569</v>
      </c>
      <c r="L192" s="194">
        <v>615</v>
      </c>
      <c r="M192" s="194">
        <v>615</v>
      </c>
      <c r="N192" s="284">
        <v>246</v>
      </c>
      <c r="O192" s="285" t="s">
        <v>1</v>
      </c>
      <c r="P192" s="285" t="s">
        <v>1</v>
      </c>
      <c r="Q192" s="285" t="s">
        <v>1</v>
      </c>
      <c r="R192" s="285" t="s">
        <v>1</v>
      </c>
      <c r="S192" s="286">
        <v>246</v>
      </c>
      <c r="T192" s="285" t="s">
        <v>1</v>
      </c>
      <c r="U192" s="285" t="s">
        <v>1</v>
      </c>
      <c r="V192" s="285" t="s">
        <v>1</v>
      </c>
      <c r="W192" s="285" t="s">
        <v>1</v>
      </c>
      <c r="X192" s="286">
        <v>246</v>
      </c>
      <c r="Y192" s="285">
        <v>5.63</v>
      </c>
      <c r="Z192" s="285">
        <v>24</v>
      </c>
      <c r="AA192" s="285" t="s">
        <v>1</v>
      </c>
      <c r="AB192" s="285" t="s">
        <v>1</v>
      </c>
      <c r="AC192" s="286">
        <v>246</v>
      </c>
      <c r="AD192" s="285">
        <v>5.63</v>
      </c>
      <c r="AE192" s="285">
        <v>24</v>
      </c>
      <c r="AF192" s="285" t="s">
        <v>1</v>
      </c>
      <c r="AG192" s="285" t="s">
        <v>1</v>
      </c>
      <c r="AH192" s="286" t="s">
        <v>1</v>
      </c>
      <c r="AI192" s="295" t="s">
        <v>1</v>
      </c>
      <c r="AJ192" s="295" t="s">
        <v>1</v>
      </c>
      <c r="AK192" s="295" t="s">
        <v>1</v>
      </c>
      <c r="AL192" s="286" t="s">
        <v>1</v>
      </c>
      <c r="AM192" s="288" t="s">
        <v>1</v>
      </c>
      <c r="AN192" s="287" t="s">
        <v>1</v>
      </c>
      <c r="AO192" s="287" t="s">
        <v>1</v>
      </c>
      <c r="AP192" s="286" t="s">
        <v>1</v>
      </c>
      <c r="AQ192" s="285" t="s">
        <v>1</v>
      </c>
      <c r="AR192" s="289" t="s">
        <v>1</v>
      </c>
      <c r="AS192" s="289" t="s">
        <v>1</v>
      </c>
      <c r="AT192" s="290" t="s">
        <v>1</v>
      </c>
      <c r="AU192" s="287" t="s">
        <v>1</v>
      </c>
      <c r="AV192" s="287" t="s">
        <v>1</v>
      </c>
      <c r="AW192" s="291" t="s">
        <v>1</v>
      </c>
    </row>
    <row r="193" spans="1:49" ht="30.15" customHeight="1" x14ac:dyDescent="0.25">
      <c r="A193" s="188" t="s">
        <v>18</v>
      </c>
      <c r="B193" s="189" t="s">
        <v>1</v>
      </c>
      <c r="C193" s="212" t="s">
        <v>34</v>
      </c>
      <c r="D193" s="190" t="s">
        <v>3</v>
      </c>
      <c r="E193" s="190" t="s">
        <v>1094</v>
      </c>
      <c r="F193" s="203"/>
      <c r="G193" s="190" t="s">
        <v>1101</v>
      </c>
      <c r="H193" s="192" t="s">
        <v>414</v>
      </c>
      <c r="I193" s="193">
        <v>569</v>
      </c>
      <c r="J193" s="193">
        <v>569</v>
      </c>
      <c r="K193" s="193">
        <v>569</v>
      </c>
      <c r="L193" s="194">
        <v>615</v>
      </c>
      <c r="M193" s="194">
        <v>615</v>
      </c>
      <c r="N193" s="284">
        <v>246</v>
      </c>
      <c r="O193" s="285" t="s">
        <v>1</v>
      </c>
      <c r="P193" s="285" t="s">
        <v>1</v>
      </c>
      <c r="Q193" s="285" t="s">
        <v>1</v>
      </c>
      <c r="R193" s="285" t="s">
        <v>1</v>
      </c>
      <c r="S193" s="286">
        <v>246</v>
      </c>
      <c r="T193" s="285" t="s">
        <v>1</v>
      </c>
      <c r="U193" s="285" t="s">
        <v>1</v>
      </c>
      <c r="V193" s="285" t="s">
        <v>1</v>
      </c>
      <c r="W193" s="285" t="s">
        <v>1</v>
      </c>
      <c r="X193" s="286">
        <v>246</v>
      </c>
      <c r="Y193" s="285">
        <v>5.63</v>
      </c>
      <c r="Z193" s="285">
        <v>24</v>
      </c>
      <c r="AA193" s="285" t="s">
        <v>1</v>
      </c>
      <c r="AB193" s="285" t="s">
        <v>1</v>
      </c>
      <c r="AC193" s="286">
        <v>246</v>
      </c>
      <c r="AD193" s="285">
        <v>5.63</v>
      </c>
      <c r="AE193" s="285">
        <v>24</v>
      </c>
      <c r="AF193" s="285" t="s">
        <v>1</v>
      </c>
      <c r="AG193" s="285" t="s">
        <v>1</v>
      </c>
      <c r="AH193" s="286" t="s">
        <v>1</v>
      </c>
      <c r="AI193" s="295" t="s">
        <v>1</v>
      </c>
      <c r="AJ193" s="295" t="s">
        <v>1</v>
      </c>
      <c r="AK193" s="295" t="s">
        <v>1</v>
      </c>
      <c r="AL193" s="286" t="s">
        <v>1</v>
      </c>
      <c r="AM193" s="288" t="s">
        <v>1</v>
      </c>
      <c r="AN193" s="287" t="s">
        <v>1</v>
      </c>
      <c r="AO193" s="287" t="s">
        <v>1</v>
      </c>
      <c r="AP193" s="286" t="s">
        <v>1</v>
      </c>
      <c r="AQ193" s="285" t="s">
        <v>1</v>
      </c>
      <c r="AR193" s="289" t="s">
        <v>1</v>
      </c>
      <c r="AS193" s="289" t="s">
        <v>1</v>
      </c>
      <c r="AT193" s="290" t="s">
        <v>1</v>
      </c>
      <c r="AU193" s="287" t="s">
        <v>1</v>
      </c>
      <c r="AV193" s="287" t="s">
        <v>1</v>
      </c>
      <c r="AW193" s="291" t="s">
        <v>1</v>
      </c>
    </row>
    <row r="194" spans="1:49" ht="30.15" customHeight="1" x14ac:dyDescent="0.25">
      <c r="A194" s="188" t="s">
        <v>18</v>
      </c>
      <c r="B194" s="189" t="s">
        <v>1</v>
      </c>
      <c r="C194" s="212" t="s">
        <v>34</v>
      </c>
      <c r="D194" s="190" t="s">
        <v>3</v>
      </c>
      <c r="E194" s="190" t="s">
        <v>1095</v>
      </c>
      <c r="F194" s="203"/>
      <c r="G194" s="190" t="s">
        <v>1102</v>
      </c>
      <c r="H194" s="192" t="s">
        <v>409</v>
      </c>
      <c r="I194" s="193">
        <v>639</v>
      </c>
      <c r="J194" s="193">
        <v>639</v>
      </c>
      <c r="K194" s="193">
        <v>639</v>
      </c>
      <c r="L194" s="194">
        <v>690</v>
      </c>
      <c r="M194" s="194">
        <v>690</v>
      </c>
      <c r="N194" s="284">
        <v>276</v>
      </c>
      <c r="O194" s="285" t="s">
        <v>1</v>
      </c>
      <c r="P194" s="285" t="s">
        <v>1</v>
      </c>
      <c r="Q194" s="285" t="s">
        <v>1</v>
      </c>
      <c r="R194" s="285" t="s">
        <v>1</v>
      </c>
      <c r="S194" s="286">
        <v>276</v>
      </c>
      <c r="T194" s="285" t="s">
        <v>1</v>
      </c>
      <c r="U194" s="285" t="s">
        <v>1</v>
      </c>
      <c r="V194" s="285" t="s">
        <v>1</v>
      </c>
      <c r="W194" s="285" t="s">
        <v>1</v>
      </c>
      <c r="X194" s="286">
        <v>276</v>
      </c>
      <c r="Y194" s="285">
        <v>5.63</v>
      </c>
      <c r="Z194" s="285">
        <v>24</v>
      </c>
      <c r="AA194" s="285" t="s">
        <v>1</v>
      </c>
      <c r="AB194" s="285" t="s">
        <v>1</v>
      </c>
      <c r="AC194" s="286">
        <v>276</v>
      </c>
      <c r="AD194" s="285">
        <v>5.63</v>
      </c>
      <c r="AE194" s="285">
        <v>24</v>
      </c>
      <c r="AF194" s="285" t="s">
        <v>1</v>
      </c>
      <c r="AG194" s="285" t="s">
        <v>1</v>
      </c>
      <c r="AH194" s="286" t="s">
        <v>1</v>
      </c>
      <c r="AI194" s="295" t="s">
        <v>1</v>
      </c>
      <c r="AJ194" s="295" t="s">
        <v>1</v>
      </c>
      <c r="AK194" s="295" t="s">
        <v>1</v>
      </c>
      <c r="AL194" s="286" t="s">
        <v>1</v>
      </c>
      <c r="AM194" s="288" t="s">
        <v>1</v>
      </c>
      <c r="AN194" s="287" t="s">
        <v>1</v>
      </c>
      <c r="AO194" s="287" t="s">
        <v>1</v>
      </c>
      <c r="AP194" s="286" t="s">
        <v>1</v>
      </c>
      <c r="AQ194" s="285" t="s">
        <v>1</v>
      </c>
      <c r="AR194" s="289" t="s">
        <v>1</v>
      </c>
      <c r="AS194" s="289" t="s">
        <v>1</v>
      </c>
      <c r="AT194" s="290" t="s">
        <v>1</v>
      </c>
      <c r="AU194" s="287" t="s">
        <v>1</v>
      </c>
      <c r="AV194" s="287" t="s">
        <v>1</v>
      </c>
      <c r="AW194" s="291" t="s">
        <v>1</v>
      </c>
    </row>
    <row r="195" spans="1:49" ht="30.15" customHeight="1" x14ac:dyDescent="0.25">
      <c r="A195" s="188" t="s">
        <v>18</v>
      </c>
      <c r="B195" s="189" t="s">
        <v>1</v>
      </c>
      <c r="C195" s="212" t="s">
        <v>34</v>
      </c>
      <c r="D195" s="190" t="s">
        <v>3</v>
      </c>
      <c r="E195" s="190" t="s">
        <v>1155</v>
      </c>
      <c r="F195" s="203"/>
      <c r="G195" s="190" t="s">
        <v>1102</v>
      </c>
      <c r="H195" s="192" t="s">
        <v>409</v>
      </c>
      <c r="I195" s="193">
        <v>639</v>
      </c>
      <c r="J195" s="193">
        <v>639</v>
      </c>
      <c r="K195" s="193">
        <v>639</v>
      </c>
      <c r="L195" s="194">
        <v>690</v>
      </c>
      <c r="M195" s="194">
        <v>690</v>
      </c>
      <c r="N195" s="284">
        <v>276</v>
      </c>
      <c r="O195" s="285" t="s">
        <v>1</v>
      </c>
      <c r="P195" s="285" t="s">
        <v>1</v>
      </c>
      <c r="Q195" s="285" t="s">
        <v>1</v>
      </c>
      <c r="R195" s="285" t="s">
        <v>1</v>
      </c>
      <c r="S195" s="286">
        <v>276</v>
      </c>
      <c r="T195" s="285" t="s">
        <v>1</v>
      </c>
      <c r="U195" s="285" t="s">
        <v>1</v>
      </c>
      <c r="V195" s="285" t="s">
        <v>1</v>
      </c>
      <c r="W195" s="285" t="s">
        <v>1</v>
      </c>
      <c r="X195" s="286">
        <v>276</v>
      </c>
      <c r="Y195" s="285">
        <v>5.63</v>
      </c>
      <c r="Z195" s="285">
        <v>24</v>
      </c>
      <c r="AA195" s="285" t="s">
        <v>1</v>
      </c>
      <c r="AB195" s="285" t="s">
        <v>1</v>
      </c>
      <c r="AC195" s="286">
        <v>276</v>
      </c>
      <c r="AD195" s="285">
        <v>5.63</v>
      </c>
      <c r="AE195" s="285">
        <v>24</v>
      </c>
      <c r="AF195" s="285" t="s">
        <v>1</v>
      </c>
      <c r="AG195" s="285" t="s">
        <v>1</v>
      </c>
      <c r="AH195" s="286" t="s">
        <v>1</v>
      </c>
      <c r="AI195" s="295" t="s">
        <v>1</v>
      </c>
      <c r="AJ195" s="295" t="s">
        <v>1</v>
      </c>
      <c r="AK195" s="295" t="s">
        <v>1</v>
      </c>
      <c r="AL195" s="286" t="s">
        <v>1</v>
      </c>
      <c r="AM195" s="288" t="s">
        <v>1</v>
      </c>
      <c r="AN195" s="287" t="s">
        <v>1</v>
      </c>
      <c r="AO195" s="287" t="s">
        <v>1</v>
      </c>
      <c r="AP195" s="286" t="s">
        <v>1</v>
      </c>
      <c r="AQ195" s="285" t="s">
        <v>1</v>
      </c>
      <c r="AR195" s="289" t="s">
        <v>1</v>
      </c>
      <c r="AS195" s="289" t="s">
        <v>1</v>
      </c>
      <c r="AT195" s="290" t="s">
        <v>1</v>
      </c>
      <c r="AU195" s="287" t="s">
        <v>1</v>
      </c>
      <c r="AV195" s="287" t="s">
        <v>1</v>
      </c>
      <c r="AW195" s="291" t="s">
        <v>1</v>
      </c>
    </row>
    <row r="196" spans="1:49" ht="30.15" customHeight="1" x14ac:dyDescent="0.25">
      <c r="A196" s="188" t="s">
        <v>18</v>
      </c>
      <c r="B196" s="189" t="s">
        <v>1</v>
      </c>
      <c r="C196" s="212" t="s">
        <v>34</v>
      </c>
      <c r="D196" s="190" t="s">
        <v>3</v>
      </c>
      <c r="E196" s="190" t="s">
        <v>1096</v>
      </c>
      <c r="F196" s="203"/>
      <c r="G196" s="190" t="s">
        <v>1102</v>
      </c>
      <c r="H196" s="192" t="s">
        <v>409</v>
      </c>
      <c r="I196" s="193">
        <v>639</v>
      </c>
      <c r="J196" s="193">
        <v>639</v>
      </c>
      <c r="K196" s="193">
        <v>639</v>
      </c>
      <c r="L196" s="194">
        <v>690</v>
      </c>
      <c r="M196" s="194">
        <v>690</v>
      </c>
      <c r="N196" s="284">
        <v>276</v>
      </c>
      <c r="O196" s="285" t="s">
        <v>1</v>
      </c>
      <c r="P196" s="285" t="s">
        <v>1</v>
      </c>
      <c r="Q196" s="285" t="s">
        <v>1</v>
      </c>
      <c r="R196" s="285" t="s">
        <v>1</v>
      </c>
      <c r="S196" s="286">
        <v>276</v>
      </c>
      <c r="T196" s="285" t="s">
        <v>1</v>
      </c>
      <c r="U196" s="285" t="s">
        <v>1</v>
      </c>
      <c r="V196" s="285" t="s">
        <v>1</v>
      </c>
      <c r="W196" s="285" t="s">
        <v>1</v>
      </c>
      <c r="X196" s="286">
        <v>276</v>
      </c>
      <c r="Y196" s="285">
        <v>5.63</v>
      </c>
      <c r="Z196" s="285">
        <v>24</v>
      </c>
      <c r="AA196" s="285" t="s">
        <v>1</v>
      </c>
      <c r="AB196" s="285" t="s">
        <v>1</v>
      </c>
      <c r="AC196" s="286">
        <v>276</v>
      </c>
      <c r="AD196" s="285">
        <v>5.63</v>
      </c>
      <c r="AE196" s="285">
        <v>24</v>
      </c>
      <c r="AF196" s="285" t="s">
        <v>1</v>
      </c>
      <c r="AG196" s="285" t="s">
        <v>1</v>
      </c>
      <c r="AH196" s="286" t="s">
        <v>1</v>
      </c>
      <c r="AI196" s="295" t="s">
        <v>1</v>
      </c>
      <c r="AJ196" s="295" t="s">
        <v>1</v>
      </c>
      <c r="AK196" s="295" t="s">
        <v>1</v>
      </c>
      <c r="AL196" s="286" t="s">
        <v>1</v>
      </c>
      <c r="AM196" s="288" t="s">
        <v>1</v>
      </c>
      <c r="AN196" s="287" t="s">
        <v>1</v>
      </c>
      <c r="AO196" s="287" t="s">
        <v>1</v>
      </c>
      <c r="AP196" s="286" t="s">
        <v>1</v>
      </c>
      <c r="AQ196" s="285" t="s">
        <v>1</v>
      </c>
      <c r="AR196" s="289" t="s">
        <v>1</v>
      </c>
      <c r="AS196" s="289" t="s">
        <v>1</v>
      </c>
      <c r="AT196" s="290" t="s">
        <v>1</v>
      </c>
      <c r="AU196" s="287" t="s">
        <v>1</v>
      </c>
      <c r="AV196" s="287" t="s">
        <v>1</v>
      </c>
      <c r="AW196" s="291" t="s">
        <v>1</v>
      </c>
    </row>
    <row r="197" spans="1:49" ht="30.15" customHeight="1" x14ac:dyDescent="0.25">
      <c r="A197" s="188" t="s">
        <v>18</v>
      </c>
      <c r="B197" s="189" t="s">
        <v>1</v>
      </c>
      <c r="C197" s="212" t="s">
        <v>34</v>
      </c>
      <c r="D197" s="190" t="s">
        <v>3</v>
      </c>
      <c r="E197" s="190" t="s">
        <v>1156</v>
      </c>
      <c r="F197" s="203"/>
      <c r="G197" s="190" t="s">
        <v>1102</v>
      </c>
      <c r="H197" s="192" t="s">
        <v>409</v>
      </c>
      <c r="I197" s="193">
        <v>639</v>
      </c>
      <c r="J197" s="193">
        <v>639</v>
      </c>
      <c r="K197" s="193">
        <v>639</v>
      </c>
      <c r="L197" s="194">
        <v>690</v>
      </c>
      <c r="M197" s="194">
        <v>690</v>
      </c>
      <c r="N197" s="284">
        <v>276</v>
      </c>
      <c r="O197" s="285" t="s">
        <v>1</v>
      </c>
      <c r="P197" s="285" t="s">
        <v>1</v>
      </c>
      <c r="Q197" s="285" t="s">
        <v>1</v>
      </c>
      <c r="R197" s="285" t="s">
        <v>1</v>
      </c>
      <c r="S197" s="286">
        <v>276</v>
      </c>
      <c r="T197" s="285" t="s">
        <v>1</v>
      </c>
      <c r="U197" s="285" t="s">
        <v>1</v>
      </c>
      <c r="V197" s="285" t="s">
        <v>1</v>
      </c>
      <c r="W197" s="285" t="s">
        <v>1</v>
      </c>
      <c r="X197" s="286">
        <v>276</v>
      </c>
      <c r="Y197" s="285">
        <v>5.63</v>
      </c>
      <c r="Z197" s="285">
        <v>24</v>
      </c>
      <c r="AA197" s="285" t="s">
        <v>1</v>
      </c>
      <c r="AB197" s="285" t="s">
        <v>1</v>
      </c>
      <c r="AC197" s="286">
        <v>276</v>
      </c>
      <c r="AD197" s="285">
        <v>5.63</v>
      </c>
      <c r="AE197" s="285">
        <v>24</v>
      </c>
      <c r="AF197" s="285" t="s">
        <v>1</v>
      </c>
      <c r="AG197" s="285" t="s">
        <v>1</v>
      </c>
      <c r="AH197" s="286" t="s">
        <v>1</v>
      </c>
      <c r="AI197" s="295" t="s">
        <v>1</v>
      </c>
      <c r="AJ197" s="295" t="s">
        <v>1</v>
      </c>
      <c r="AK197" s="295" t="s">
        <v>1</v>
      </c>
      <c r="AL197" s="286" t="s">
        <v>1</v>
      </c>
      <c r="AM197" s="288" t="s">
        <v>1</v>
      </c>
      <c r="AN197" s="287" t="s">
        <v>1</v>
      </c>
      <c r="AO197" s="287" t="s">
        <v>1</v>
      </c>
      <c r="AP197" s="286" t="s">
        <v>1</v>
      </c>
      <c r="AQ197" s="285" t="s">
        <v>1</v>
      </c>
      <c r="AR197" s="289" t="s">
        <v>1</v>
      </c>
      <c r="AS197" s="289" t="s">
        <v>1</v>
      </c>
      <c r="AT197" s="290" t="s">
        <v>1</v>
      </c>
      <c r="AU197" s="287" t="s">
        <v>1</v>
      </c>
      <c r="AV197" s="287" t="s">
        <v>1</v>
      </c>
      <c r="AW197" s="291" t="s">
        <v>1</v>
      </c>
    </row>
    <row r="198" spans="1:49" ht="30.15" customHeight="1" x14ac:dyDescent="0.25">
      <c r="A198" s="188" t="s">
        <v>18</v>
      </c>
      <c r="B198" s="189" t="s">
        <v>1</v>
      </c>
      <c r="C198" s="212" t="s">
        <v>34</v>
      </c>
      <c r="D198" s="190" t="s">
        <v>3</v>
      </c>
      <c r="E198" s="190" t="s">
        <v>1097</v>
      </c>
      <c r="F198" s="203"/>
      <c r="G198" s="190" t="s">
        <v>1102</v>
      </c>
      <c r="H198" s="192" t="s">
        <v>414</v>
      </c>
      <c r="I198" s="193">
        <v>639</v>
      </c>
      <c r="J198" s="193">
        <v>639</v>
      </c>
      <c r="K198" s="193">
        <v>639</v>
      </c>
      <c r="L198" s="194">
        <v>690</v>
      </c>
      <c r="M198" s="194">
        <v>690</v>
      </c>
      <c r="N198" s="284">
        <v>276</v>
      </c>
      <c r="O198" s="285" t="s">
        <v>1</v>
      </c>
      <c r="P198" s="285" t="s">
        <v>1</v>
      </c>
      <c r="Q198" s="285" t="s">
        <v>1</v>
      </c>
      <c r="R198" s="285" t="s">
        <v>1</v>
      </c>
      <c r="S198" s="286">
        <v>276</v>
      </c>
      <c r="T198" s="285" t="s">
        <v>1</v>
      </c>
      <c r="U198" s="285" t="s">
        <v>1</v>
      </c>
      <c r="V198" s="285" t="s">
        <v>1</v>
      </c>
      <c r="W198" s="285" t="s">
        <v>1</v>
      </c>
      <c r="X198" s="286">
        <v>276</v>
      </c>
      <c r="Y198" s="285">
        <v>5.63</v>
      </c>
      <c r="Z198" s="285">
        <v>24</v>
      </c>
      <c r="AA198" s="285" t="s">
        <v>1</v>
      </c>
      <c r="AB198" s="285" t="s">
        <v>1</v>
      </c>
      <c r="AC198" s="286">
        <v>276</v>
      </c>
      <c r="AD198" s="285">
        <v>5.63</v>
      </c>
      <c r="AE198" s="285">
        <v>24</v>
      </c>
      <c r="AF198" s="285" t="s">
        <v>1</v>
      </c>
      <c r="AG198" s="285" t="s">
        <v>1</v>
      </c>
      <c r="AH198" s="286" t="s">
        <v>1</v>
      </c>
      <c r="AI198" s="295" t="s">
        <v>1</v>
      </c>
      <c r="AJ198" s="295" t="s">
        <v>1</v>
      </c>
      <c r="AK198" s="295" t="s">
        <v>1</v>
      </c>
      <c r="AL198" s="286" t="s">
        <v>1</v>
      </c>
      <c r="AM198" s="288" t="s">
        <v>1</v>
      </c>
      <c r="AN198" s="287" t="s">
        <v>1</v>
      </c>
      <c r="AO198" s="287" t="s">
        <v>1</v>
      </c>
      <c r="AP198" s="286" t="s">
        <v>1</v>
      </c>
      <c r="AQ198" s="285" t="s">
        <v>1</v>
      </c>
      <c r="AR198" s="289" t="s">
        <v>1</v>
      </c>
      <c r="AS198" s="289" t="s">
        <v>1</v>
      </c>
      <c r="AT198" s="290" t="s">
        <v>1</v>
      </c>
      <c r="AU198" s="287" t="s">
        <v>1</v>
      </c>
      <c r="AV198" s="287" t="s">
        <v>1</v>
      </c>
      <c r="AW198" s="291" t="s">
        <v>1</v>
      </c>
    </row>
    <row r="199" spans="1:49" ht="30.15" customHeight="1" x14ac:dyDescent="0.25">
      <c r="A199" s="188" t="s">
        <v>18</v>
      </c>
      <c r="B199" s="189" t="s">
        <v>1</v>
      </c>
      <c r="C199" s="212" t="s">
        <v>34</v>
      </c>
      <c r="D199" s="190" t="s">
        <v>3</v>
      </c>
      <c r="E199" s="190" t="s">
        <v>1098</v>
      </c>
      <c r="F199" s="203"/>
      <c r="G199" s="190" t="s">
        <v>1103</v>
      </c>
      <c r="H199" s="192" t="s">
        <v>414</v>
      </c>
      <c r="I199" s="193">
        <v>769</v>
      </c>
      <c r="J199" s="193">
        <v>769</v>
      </c>
      <c r="K199" s="193">
        <v>769</v>
      </c>
      <c r="L199" s="194">
        <v>830</v>
      </c>
      <c r="M199" s="194">
        <v>830</v>
      </c>
      <c r="N199" s="284">
        <v>332</v>
      </c>
      <c r="O199" s="285" t="s">
        <v>1</v>
      </c>
      <c r="P199" s="285" t="s">
        <v>1</v>
      </c>
      <c r="Q199" s="285" t="s">
        <v>1</v>
      </c>
      <c r="R199" s="285" t="s">
        <v>1</v>
      </c>
      <c r="S199" s="286">
        <v>332</v>
      </c>
      <c r="T199" s="285" t="s">
        <v>1</v>
      </c>
      <c r="U199" s="285" t="s">
        <v>1</v>
      </c>
      <c r="V199" s="285" t="s">
        <v>1</v>
      </c>
      <c r="W199" s="285" t="s">
        <v>1</v>
      </c>
      <c r="X199" s="286">
        <v>332</v>
      </c>
      <c r="Y199" s="285">
        <v>5.63</v>
      </c>
      <c r="Z199" s="285">
        <v>24</v>
      </c>
      <c r="AA199" s="285" t="s">
        <v>1</v>
      </c>
      <c r="AB199" s="285" t="s">
        <v>1</v>
      </c>
      <c r="AC199" s="286">
        <v>332</v>
      </c>
      <c r="AD199" s="285">
        <v>5.63</v>
      </c>
      <c r="AE199" s="285">
        <v>24</v>
      </c>
      <c r="AF199" s="285" t="s">
        <v>1</v>
      </c>
      <c r="AG199" s="285" t="s">
        <v>1</v>
      </c>
      <c r="AH199" s="286" t="s">
        <v>1</v>
      </c>
      <c r="AI199" s="295" t="s">
        <v>1</v>
      </c>
      <c r="AJ199" s="295" t="s">
        <v>1</v>
      </c>
      <c r="AK199" s="295" t="s">
        <v>1</v>
      </c>
      <c r="AL199" s="286" t="s">
        <v>1</v>
      </c>
      <c r="AM199" s="288" t="s">
        <v>1</v>
      </c>
      <c r="AN199" s="287" t="s">
        <v>1</v>
      </c>
      <c r="AO199" s="287" t="s">
        <v>1</v>
      </c>
      <c r="AP199" s="286" t="s">
        <v>1</v>
      </c>
      <c r="AQ199" s="285" t="s">
        <v>1</v>
      </c>
      <c r="AR199" s="289" t="s">
        <v>1</v>
      </c>
      <c r="AS199" s="289" t="s">
        <v>1</v>
      </c>
      <c r="AT199" s="290" t="s">
        <v>1</v>
      </c>
      <c r="AU199" s="287" t="s">
        <v>1</v>
      </c>
      <c r="AV199" s="287" t="s">
        <v>1</v>
      </c>
      <c r="AW199" s="291" t="s">
        <v>1</v>
      </c>
    </row>
    <row r="200" spans="1:49" ht="30.15" customHeight="1" x14ac:dyDescent="0.25">
      <c r="A200" s="188" t="s">
        <v>18</v>
      </c>
      <c r="B200" s="189" t="s">
        <v>1</v>
      </c>
      <c r="C200" s="212" t="s">
        <v>34</v>
      </c>
      <c r="D200" s="190" t="s">
        <v>3</v>
      </c>
      <c r="E200" s="190" t="s">
        <v>1099</v>
      </c>
      <c r="F200" s="203"/>
      <c r="G200" s="190" t="s">
        <v>1103</v>
      </c>
      <c r="H200" s="192" t="s">
        <v>414</v>
      </c>
      <c r="I200" s="193">
        <v>769</v>
      </c>
      <c r="J200" s="193">
        <v>769</v>
      </c>
      <c r="K200" s="193">
        <v>769</v>
      </c>
      <c r="L200" s="194">
        <v>830</v>
      </c>
      <c r="M200" s="194">
        <v>830</v>
      </c>
      <c r="N200" s="284">
        <v>332</v>
      </c>
      <c r="O200" s="285" t="s">
        <v>1</v>
      </c>
      <c r="P200" s="285" t="s">
        <v>1</v>
      </c>
      <c r="Q200" s="285" t="s">
        <v>1</v>
      </c>
      <c r="R200" s="285" t="s">
        <v>1</v>
      </c>
      <c r="S200" s="286">
        <v>332</v>
      </c>
      <c r="T200" s="285" t="s">
        <v>1</v>
      </c>
      <c r="U200" s="285" t="s">
        <v>1</v>
      </c>
      <c r="V200" s="285" t="s">
        <v>1</v>
      </c>
      <c r="W200" s="285" t="s">
        <v>1</v>
      </c>
      <c r="X200" s="286">
        <v>332</v>
      </c>
      <c r="Y200" s="285">
        <v>5.63</v>
      </c>
      <c r="Z200" s="285">
        <v>24</v>
      </c>
      <c r="AA200" s="285" t="s">
        <v>1</v>
      </c>
      <c r="AB200" s="285" t="s">
        <v>1</v>
      </c>
      <c r="AC200" s="286">
        <v>332</v>
      </c>
      <c r="AD200" s="285">
        <v>5.63</v>
      </c>
      <c r="AE200" s="285">
        <v>24</v>
      </c>
      <c r="AF200" s="285" t="s">
        <v>1</v>
      </c>
      <c r="AG200" s="285" t="s">
        <v>1</v>
      </c>
      <c r="AH200" s="286" t="s">
        <v>1</v>
      </c>
      <c r="AI200" s="295" t="s">
        <v>1</v>
      </c>
      <c r="AJ200" s="295" t="s">
        <v>1</v>
      </c>
      <c r="AK200" s="295" t="s">
        <v>1</v>
      </c>
      <c r="AL200" s="286" t="s">
        <v>1</v>
      </c>
      <c r="AM200" s="288" t="s">
        <v>1</v>
      </c>
      <c r="AN200" s="287" t="s">
        <v>1</v>
      </c>
      <c r="AO200" s="287" t="s">
        <v>1</v>
      </c>
      <c r="AP200" s="286" t="s">
        <v>1</v>
      </c>
      <c r="AQ200" s="285" t="s">
        <v>1</v>
      </c>
      <c r="AR200" s="289" t="s">
        <v>1</v>
      </c>
      <c r="AS200" s="289" t="s">
        <v>1</v>
      </c>
      <c r="AT200" s="290" t="s">
        <v>1</v>
      </c>
      <c r="AU200" s="287" t="s">
        <v>1</v>
      </c>
      <c r="AV200" s="287" t="s">
        <v>1</v>
      </c>
      <c r="AW200" s="291" t="s">
        <v>1</v>
      </c>
    </row>
    <row r="201" spans="1:49" ht="30.15" customHeight="1" x14ac:dyDescent="0.25">
      <c r="A201" s="188" t="s">
        <v>18</v>
      </c>
      <c r="B201" s="189" t="s">
        <v>1</v>
      </c>
      <c r="C201" s="212" t="s">
        <v>34</v>
      </c>
      <c r="D201" s="190" t="s">
        <v>3</v>
      </c>
      <c r="E201" s="190" t="s">
        <v>1100</v>
      </c>
      <c r="F201" s="203"/>
      <c r="G201" s="190" t="s">
        <v>1103</v>
      </c>
      <c r="H201" s="192" t="s">
        <v>414</v>
      </c>
      <c r="I201" s="193">
        <v>769</v>
      </c>
      <c r="J201" s="193">
        <v>769</v>
      </c>
      <c r="K201" s="193">
        <v>769</v>
      </c>
      <c r="L201" s="194">
        <v>830</v>
      </c>
      <c r="M201" s="194">
        <v>830</v>
      </c>
      <c r="N201" s="284">
        <v>332</v>
      </c>
      <c r="O201" s="285" t="s">
        <v>1</v>
      </c>
      <c r="P201" s="285" t="s">
        <v>1</v>
      </c>
      <c r="Q201" s="285" t="s">
        <v>1</v>
      </c>
      <c r="R201" s="285" t="s">
        <v>1</v>
      </c>
      <c r="S201" s="286">
        <v>332</v>
      </c>
      <c r="T201" s="285" t="s">
        <v>1</v>
      </c>
      <c r="U201" s="285" t="s">
        <v>1</v>
      </c>
      <c r="V201" s="285" t="s">
        <v>1</v>
      </c>
      <c r="W201" s="285" t="s">
        <v>1</v>
      </c>
      <c r="X201" s="286">
        <v>332</v>
      </c>
      <c r="Y201" s="285">
        <v>5.63</v>
      </c>
      <c r="Z201" s="285">
        <v>24</v>
      </c>
      <c r="AA201" s="285" t="s">
        <v>1</v>
      </c>
      <c r="AB201" s="285" t="s">
        <v>1</v>
      </c>
      <c r="AC201" s="286">
        <v>332</v>
      </c>
      <c r="AD201" s="285">
        <v>5.63</v>
      </c>
      <c r="AE201" s="285">
        <v>24</v>
      </c>
      <c r="AF201" s="285" t="s">
        <v>1</v>
      </c>
      <c r="AG201" s="285" t="s">
        <v>1</v>
      </c>
      <c r="AH201" s="286" t="s">
        <v>1</v>
      </c>
      <c r="AI201" s="295" t="s">
        <v>1</v>
      </c>
      <c r="AJ201" s="295" t="s">
        <v>1</v>
      </c>
      <c r="AK201" s="295" t="s">
        <v>1</v>
      </c>
      <c r="AL201" s="286" t="s">
        <v>1</v>
      </c>
      <c r="AM201" s="288" t="s">
        <v>1</v>
      </c>
      <c r="AN201" s="287" t="s">
        <v>1</v>
      </c>
      <c r="AO201" s="287" t="s">
        <v>1</v>
      </c>
      <c r="AP201" s="286" t="s">
        <v>1</v>
      </c>
      <c r="AQ201" s="285" t="s">
        <v>1</v>
      </c>
      <c r="AR201" s="289" t="s">
        <v>1</v>
      </c>
      <c r="AS201" s="289" t="s">
        <v>1</v>
      </c>
      <c r="AT201" s="290" t="s">
        <v>1</v>
      </c>
      <c r="AU201" s="287" t="s">
        <v>1</v>
      </c>
      <c r="AV201" s="287" t="s">
        <v>1</v>
      </c>
      <c r="AW201" s="291" t="s">
        <v>1</v>
      </c>
    </row>
    <row r="202" spans="1:49" ht="30.15" customHeight="1" x14ac:dyDescent="0.25">
      <c r="A202" s="213" t="s">
        <v>18</v>
      </c>
      <c r="B202" s="189" t="s">
        <v>1</v>
      </c>
      <c r="C202" s="212" t="s">
        <v>34</v>
      </c>
      <c r="D202" s="190" t="s">
        <v>3</v>
      </c>
      <c r="E202" s="190" t="s">
        <v>192</v>
      </c>
      <c r="F202" s="203"/>
      <c r="G202" s="190" t="s">
        <v>195</v>
      </c>
      <c r="H202" s="192" t="s">
        <v>409</v>
      </c>
      <c r="I202" s="193">
        <v>479</v>
      </c>
      <c r="J202" s="193">
        <v>599</v>
      </c>
      <c r="K202" s="193">
        <v>599</v>
      </c>
      <c r="L202" s="194">
        <v>625</v>
      </c>
      <c r="M202" s="194">
        <v>625</v>
      </c>
      <c r="N202" s="284">
        <v>250</v>
      </c>
      <c r="O202" s="285">
        <v>16.05</v>
      </c>
      <c r="P202" s="285">
        <v>24</v>
      </c>
      <c r="Q202" s="285" t="s">
        <v>1</v>
      </c>
      <c r="R202" s="285" t="s">
        <v>1</v>
      </c>
      <c r="S202" s="286">
        <v>250</v>
      </c>
      <c r="T202" s="285">
        <v>16.05</v>
      </c>
      <c r="U202" s="285">
        <v>24</v>
      </c>
      <c r="V202" s="285" t="s">
        <v>1</v>
      </c>
      <c r="W202" s="285" t="s">
        <v>1</v>
      </c>
      <c r="X202" s="286">
        <v>250</v>
      </c>
      <c r="Y202" s="285">
        <v>16.05</v>
      </c>
      <c r="Z202" s="285">
        <v>24</v>
      </c>
      <c r="AA202" s="285" t="s">
        <v>1</v>
      </c>
      <c r="AB202" s="285" t="s">
        <v>1</v>
      </c>
      <c r="AC202" s="286">
        <v>250</v>
      </c>
      <c r="AD202" s="285">
        <v>16.05</v>
      </c>
      <c r="AE202" s="285">
        <v>24</v>
      </c>
      <c r="AF202" s="285" t="s">
        <v>1</v>
      </c>
      <c r="AG202" s="285" t="s">
        <v>1</v>
      </c>
      <c r="AH202" s="286">
        <v>250</v>
      </c>
      <c r="AI202" s="295" t="s">
        <v>1</v>
      </c>
      <c r="AJ202" s="295" t="s">
        <v>1</v>
      </c>
      <c r="AK202" s="295" t="s">
        <v>1</v>
      </c>
      <c r="AL202" s="302" t="s">
        <v>1</v>
      </c>
      <c r="AM202" s="303" t="s">
        <v>1</v>
      </c>
      <c r="AN202" s="287" t="s">
        <v>1</v>
      </c>
      <c r="AO202" s="287" t="s">
        <v>1</v>
      </c>
      <c r="AP202" s="286" t="s">
        <v>1</v>
      </c>
      <c r="AQ202" s="285" t="s">
        <v>1</v>
      </c>
      <c r="AR202" s="289" t="s">
        <v>1</v>
      </c>
      <c r="AS202" s="289" t="s">
        <v>1</v>
      </c>
      <c r="AT202" s="290" t="s">
        <v>1</v>
      </c>
      <c r="AU202" s="287" t="s">
        <v>1</v>
      </c>
      <c r="AV202" s="287" t="s">
        <v>1</v>
      </c>
      <c r="AW202" s="291" t="s">
        <v>1</v>
      </c>
    </row>
    <row r="203" spans="1:49" ht="30.15" customHeight="1" x14ac:dyDescent="0.25">
      <c r="A203" s="213" t="s">
        <v>18</v>
      </c>
      <c r="B203" s="189" t="s">
        <v>1</v>
      </c>
      <c r="C203" s="212" t="s">
        <v>34</v>
      </c>
      <c r="D203" s="190" t="s">
        <v>3</v>
      </c>
      <c r="E203" s="190" t="s">
        <v>193</v>
      </c>
      <c r="F203" s="203"/>
      <c r="G203" s="190" t="s">
        <v>195</v>
      </c>
      <c r="H203" s="192" t="s">
        <v>409</v>
      </c>
      <c r="I203" s="193">
        <v>479</v>
      </c>
      <c r="J203" s="193">
        <v>599</v>
      </c>
      <c r="K203" s="193">
        <v>599</v>
      </c>
      <c r="L203" s="194">
        <v>625</v>
      </c>
      <c r="M203" s="194">
        <v>625</v>
      </c>
      <c r="N203" s="284">
        <v>250</v>
      </c>
      <c r="O203" s="285">
        <v>16.05</v>
      </c>
      <c r="P203" s="285">
        <v>24</v>
      </c>
      <c r="Q203" s="285" t="s">
        <v>1</v>
      </c>
      <c r="R203" s="285" t="s">
        <v>1</v>
      </c>
      <c r="S203" s="286">
        <v>250</v>
      </c>
      <c r="T203" s="285">
        <v>16.05</v>
      </c>
      <c r="U203" s="285">
        <v>24</v>
      </c>
      <c r="V203" s="285" t="s">
        <v>1</v>
      </c>
      <c r="W203" s="285" t="s">
        <v>1</v>
      </c>
      <c r="X203" s="286">
        <v>250</v>
      </c>
      <c r="Y203" s="285">
        <v>16.05</v>
      </c>
      <c r="Z203" s="285">
        <v>24</v>
      </c>
      <c r="AA203" s="285" t="s">
        <v>1</v>
      </c>
      <c r="AB203" s="285" t="s">
        <v>1</v>
      </c>
      <c r="AC203" s="286">
        <v>250</v>
      </c>
      <c r="AD203" s="285">
        <v>16.05</v>
      </c>
      <c r="AE203" s="285">
        <v>24</v>
      </c>
      <c r="AF203" s="285" t="s">
        <v>1</v>
      </c>
      <c r="AG203" s="285" t="s">
        <v>1</v>
      </c>
      <c r="AH203" s="286">
        <v>250</v>
      </c>
      <c r="AI203" s="295" t="s">
        <v>1</v>
      </c>
      <c r="AJ203" s="295" t="s">
        <v>1</v>
      </c>
      <c r="AK203" s="295" t="s">
        <v>1</v>
      </c>
      <c r="AL203" s="302" t="s">
        <v>1</v>
      </c>
      <c r="AM203" s="303" t="s">
        <v>1</v>
      </c>
      <c r="AN203" s="287" t="s">
        <v>1</v>
      </c>
      <c r="AO203" s="287" t="s">
        <v>1</v>
      </c>
      <c r="AP203" s="286" t="s">
        <v>1</v>
      </c>
      <c r="AQ203" s="285" t="s">
        <v>1</v>
      </c>
      <c r="AR203" s="289" t="s">
        <v>1</v>
      </c>
      <c r="AS203" s="289" t="s">
        <v>1</v>
      </c>
      <c r="AT203" s="290" t="s">
        <v>1</v>
      </c>
      <c r="AU203" s="287" t="s">
        <v>1</v>
      </c>
      <c r="AV203" s="287" t="s">
        <v>1</v>
      </c>
      <c r="AW203" s="291" t="s">
        <v>1</v>
      </c>
    </row>
    <row r="204" spans="1:49" ht="30.15" customHeight="1" x14ac:dyDescent="0.25">
      <c r="A204" s="213" t="s">
        <v>18</v>
      </c>
      <c r="B204" s="189">
        <v>43313</v>
      </c>
      <c r="C204" s="212" t="s">
        <v>34</v>
      </c>
      <c r="D204" s="190" t="s">
        <v>3</v>
      </c>
      <c r="E204" s="190" t="s">
        <v>96</v>
      </c>
      <c r="F204" s="191"/>
      <c r="G204" s="192" t="s">
        <v>98</v>
      </c>
      <c r="H204" s="192" t="s">
        <v>409</v>
      </c>
      <c r="I204" s="193">
        <v>599</v>
      </c>
      <c r="J204" s="193">
        <v>739</v>
      </c>
      <c r="K204" s="193">
        <v>739</v>
      </c>
      <c r="L204" s="194">
        <v>759</v>
      </c>
      <c r="M204" s="194">
        <v>759</v>
      </c>
      <c r="N204" s="284">
        <v>303.60000000000002</v>
      </c>
      <c r="O204" s="285" t="s">
        <v>1</v>
      </c>
      <c r="P204" s="285" t="s">
        <v>1</v>
      </c>
      <c r="Q204" s="285" t="s">
        <v>1</v>
      </c>
      <c r="R204" s="285" t="s">
        <v>1</v>
      </c>
      <c r="S204" s="286">
        <v>303.60000000000002</v>
      </c>
      <c r="T204" s="285" t="s">
        <v>1</v>
      </c>
      <c r="U204" s="285" t="s">
        <v>1</v>
      </c>
      <c r="V204" s="285" t="s">
        <v>1</v>
      </c>
      <c r="W204" s="285" t="s">
        <v>1</v>
      </c>
      <c r="X204" s="286">
        <v>303.60000000000002</v>
      </c>
      <c r="Y204" s="285" t="s">
        <v>1</v>
      </c>
      <c r="Z204" s="285" t="s">
        <v>1</v>
      </c>
      <c r="AA204" s="285" t="s">
        <v>1</v>
      </c>
      <c r="AB204" s="285" t="s">
        <v>1</v>
      </c>
      <c r="AC204" s="286">
        <v>303.60000000000002</v>
      </c>
      <c r="AD204" s="285" t="s">
        <v>1</v>
      </c>
      <c r="AE204" s="285" t="s">
        <v>1</v>
      </c>
      <c r="AF204" s="285" t="s">
        <v>1</v>
      </c>
      <c r="AG204" s="285" t="s">
        <v>1</v>
      </c>
      <c r="AH204" s="286" t="s">
        <v>1</v>
      </c>
      <c r="AI204" s="295" t="s">
        <v>1</v>
      </c>
      <c r="AJ204" s="295" t="s">
        <v>1</v>
      </c>
      <c r="AK204" s="295" t="s">
        <v>1</v>
      </c>
      <c r="AL204" s="302" t="s">
        <v>1</v>
      </c>
      <c r="AM204" s="303" t="s">
        <v>1</v>
      </c>
      <c r="AN204" s="287" t="s">
        <v>1</v>
      </c>
      <c r="AO204" s="287" t="s">
        <v>1</v>
      </c>
      <c r="AP204" s="286" t="s">
        <v>1</v>
      </c>
      <c r="AQ204" s="285" t="s">
        <v>1</v>
      </c>
      <c r="AR204" s="289" t="s">
        <v>1</v>
      </c>
      <c r="AS204" s="289" t="s">
        <v>1</v>
      </c>
      <c r="AT204" s="290" t="s">
        <v>1</v>
      </c>
      <c r="AU204" s="287" t="s">
        <v>1</v>
      </c>
      <c r="AV204" s="287" t="s">
        <v>1</v>
      </c>
      <c r="AW204" s="291" t="s">
        <v>1</v>
      </c>
    </row>
    <row r="205" spans="1:49" ht="30.15" customHeight="1" x14ac:dyDescent="0.25">
      <c r="A205" s="213" t="s">
        <v>18</v>
      </c>
      <c r="B205" s="189" t="s">
        <v>1</v>
      </c>
      <c r="C205" s="212" t="s">
        <v>34</v>
      </c>
      <c r="D205" s="190" t="s">
        <v>3</v>
      </c>
      <c r="E205" s="190" t="s">
        <v>94</v>
      </c>
      <c r="F205" s="191"/>
      <c r="G205" s="192" t="s">
        <v>98</v>
      </c>
      <c r="H205" s="192" t="s">
        <v>409</v>
      </c>
      <c r="I205" s="193">
        <v>599</v>
      </c>
      <c r="J205" s="193">
        <v>739</v>
      </c>
      <c r="K205" s="193">
        <v>739</v>
      </c>
      <c r="L205" s="194">
        <v>759</v>
      </c>
      <c r="M205" s="194">
        <v>759</v>
      </c>
      <c r="N205" s="284">
        <v>303.60000000000002</v>
      </c>
      <c r="O205" s="285" t="s">
        <v>1</v>
      </c>
      <c r="P205" s="285" t="s">
        <v>1</v>
      </c>
      <c r="Q205" s="285" t="s">
        <v>1</v>
      </c>
      <c r="R205" s="285" t="s">
        <v>1</v>
      </c>
      <c r="S205" s="286">
        <v>303.60000000000002</v>
      </c>
      <c r="T205" s="285" t="s">
        <v>1</v>
      </c>
      <c r="U205" s="285" t="s">
        <v>1</v>
      </c>
      <c r="V205" s="285" t="s">
        <v>1</v>
      </c>
      <c r="W205" s="285" t="s">
        <v>1</v>
      </c>
      <c r="X205" s="286">
        <v>303.60000000000002</v>
      </c>
      <c r="Y205" s="285" t="s">
        <v>1</v>
      </c>
      <c r="Z205" s="285" t="s">
        <v>1</v>
      </c>
      <c r="AA205" s="285" t="s">
        <v>1</v>
      </c>
      <c r="AB205" s="285" t="s">
        <v>1</v>
      </c>
      <c r="AC205" s="286">
        <v>303.60000000000002</v>
      </c>
      <c r="AD205" s="285" t="s">
        <v>1</v>
      </c>
      <c r="AE205" s="285" t="s">
        <v>1</v>
      </c>
      <c r="AF205" s="285" t="s">
        <v>1</v>
      </c>
      <c r="AG205" s="285" t="s">
        <v>1</v>
      </c>
      <c r="AH205" s="286" t="s">
        <v>1</v>
      </c>
      <c r="AI205" s="295" t="s">
        <v>1</v>
      </c>
      <c r="AJ205" s="295" t="s">
        <v>1</v>
      </c>
      <c r="AK205" s="295" t="s">
        <v>1</v>
      </c>
      <c r="AL205" s="302" t="s">
        <v>1</v>
      </c>
      <c r="AM205" s="303" t="s">
        <v>1</v>
      </c>
      <c r="AN205" s="287" t="s">
        <v>1</v>
      </c>
      <c r="AO205" s="287" t="s">
        <v>1</v>
      </c>
      <c r="AP205" s="286" t="s">
        <v>1</v>
      </c>
      <c r="AQ205" s="285" t="s">
        <v>1</v>
      </c>
      <c r="AR205" s="289" t="s">
        <v>1</v>
      </c>
      <c r="AS205" s="289" t="s">
        <v>1</v>
      </c>
      <c r="AT205" s="290" t="s">
        <v>1</v>
      </c>
      <c r="AU205" s="287" t="s">
        <v>1</v>
      </c>
      <c r="AV205" s="287" t="s">
        <v>1</v>
      </c>
      <c r="AW205" s="291" t="s">
        <v>1</v>
      </c>
    </row>
    <row r="206" spans="1:49" ht="30.15" customHeight="1" x14ac:dyDescent="0.25">
      <c r="A206" s="213" t="s">
        <v>18</v>
      </c>
      <c r="B206" s="189" t="s">
        <v>1</v>
      </c>
      <c r="C206" s="212" t="s">
        <v>34</v>
      </c>
      <c r="D206" s="190" t="s">
        <v>3</v>
      </c>
      <c r="E206" s="190" t="s">
        <v>97</v>
      </c>
      <c r="F206" s="191"/>
      <c r="G206" s="192" t="s">
        <v>98</v>
      </c>
      <c r="H206" s="192" t="s">
        <v>409</v>
      </c>
      <c r="I206" s="193">
        <v>599</v>
      </c>
      <c r="J206" s="193">
        <v>739</v>
      </c>
      <c r="K206" s="193">
        <v>739</v>
      </c>
      <c r="L206" s="194">
        <v>759</v>
      </c>
      <c r="M206" s="194">
        <v>759</v>
      </c>
      <c r="N206" s="284">
        <v>303.60000000000002</v>
      </c>
      <c r="O206" s="285" t="s">
        <v>1</v>
      </c>
      <c r="P206" s="285" t="s">
        <v>1</v>
      </c>
      <c r="Q206" s="285" t="s">
        <v>1</v>
      </c>
      <c r="R206" s="285" t="s">
        <v>1</v>
      </c>
      <c r="S206" s="286">
        <v>303.60000000000002</v>
      </c>
      <c r="T206" s="285" t="s">
        <v>1</v>
      </c>
      <c r="U206" s="285" t="s">
        <v>1</v>
      </c>
      <c r="V206" s="285" t="s">
        <v>1</v>
      </c>
      <c r="W206" s="285" t="s">
        <v>1</v>
      </c>
      <c r="X206" s="286">
        <v>303.60000000000002</v>
      </c>
      <c r="Y206" s="285" t="s">
        <v>1</v>
      </c>
      <c r="Z206" s="285" t="s">
        <v>1</v>
      </c>
      <c r="AA206" s="285" t="s">
        <v>1</v>
      </c>
      <c r="AB206" s="285" t="s">
        <v>1</v>
      </c>
      <c r="AC206" s="286">
        <v>303.60000000000002</v>
      </c>
      <c r="AD206" s="285" t="s">
        <v>1</v>
      </c>
      <c r="AE206" s="285" t="s">
        <v>1</v>
      </c>
      <c r="AF206" s="285" t="s">
        <v>1</v>
      </c>
      <c r="AG206" s="285" t="s">
        <v>1</v>
      </c>
      <c r="AH206" s="286" t="s">
        <v>1</v>
      </c>
      <c r="AI206" s="295" t="s">
        <v>1</v>
      </c>
      <c r="AJ206" s="295" t="s">
        <v>1</v>
      </c>
      <c r="AK206" s="295" t="s">
        <v>1</v>
      </c>
      <c r="AL206" s="302" t="s">
        <v>1</v>
      </c>
      <c r="AM206" s="303" t="s">
        <v>1</v>
      </c>
      <c r="AN206" s="287" t="s">
        <v>1</v>
      </c>
      <c r="AO206" s="287" t="s">
        <v>1</v>
      </c>
      <c r="AP206" s="286" t="s">
        <v>1</v>
      </c>
      <c r="AQ206" s="285" t="s">
        <v>1</v>
      </c>
      <c r="AR206" s="289" t="s">
        <v>1</v>
      </c>
      <c r="AS206" s="289" t="s">
        <v>1</v>
      </c>
      <c r="AT206" s="290" t="s">
        <v>1</v>
      </c>
      <c r="AU206" s="287" t="s">
        <v>1</v>
      </c>
      <c r="AV206" s="287" t="s">
        <v>1</v>
      </c>
      <c r="AW206" s="291" t="s">
        <v>1</v>
      </c>
    </row>
    <row r="207" spans="1:49" ht="30.15" customHeight="1" x14ac:dyDescent="0.25">
      <c r="A207" s="213" t="s">
        <v>18</v>
      </c>
      <c r="B207" s="189" t="s">
        <v>1</v>
      </c>
      <c r="C207" s="212" t="s">
        <v>34</v>
      </c>
      <c r="D207" s="190" t="s">
        <v>3</v>
      </c>
      <c r="E207" s="190" t="s">
        <v>197</v>
      </c>
      <c r="F207" s="203"/>
      <c r="G207" s="190" t="s">
        <v>200</v>
      </c>
      <c r="H207" s="192" t="s">
        <v>409</v>
      </c>
      <c r="I207" s="193">
        <v>699</v>
      </c>
      <c r="J207" s="193">
        <v>739</v>
      </c>
      <c r="K207" s="193">
        <v>739</v>
      </c>
      <c r="L207" s="194">
        <v>750</v>
      </c>
      <c r="M207" s="194">
        <v>750</v>
      </c>
      <c r="N207" s="284">
        <v>300</v>
      </c>
      <c r="O207" s="285" t="s">
        <v>1</v>
      </c>
      <c r="P207" s="285" t="s">
        <v>1</v>
      </c>
      <c r="Q207" s="285" t="s">
        <v>1</v>
      </c>
      <c r="R207" s="285" t="s">
        <v>1</v>
      </c>
      <c r="S207" s="286">
        <v>300</v>
      </c>
      <c r="T207" s="285" t="s">
        <v>1</v>
      </c>
      <c r="U207" s="285" t="s">
        <v>1</v>
      </c>
      <c r="V207" s="285" t="s">
        <v>1</v>
      </c>
      <c r="W207" s="285" t="s">
        <v>1</v>
      </c>
      <c r="X207" s="286">
        <v>300</v>
      </c>
      <c r="Y207" s="285" t="s">
        <v>1</v>
      </c>
      <c r="Z207" s="285" t="s">
        <v>1</v>
      </c>
      <c r="AA207" s="285" t="s">
        <v>1</v>
      </c>
      <c r="AB207" s="285" t="s">
        <v>1</v>
      </c>
      <c r="AC207" s="286">
        <v>300</v>
      </c>
      <c r="AD207" s="285" t="s">
        <v>1</v>
      </c>
      <c r="AE207" s="285" t="s">
        <v>1</v>
      </c>
      <c r="AF207" s="285" t="s">
        <v>1</v>
      </c>
      <c r="AG207" s="285" t="s">
        <v>1</v>
      </c>
      <c r="AH207" s="286" t="s">
        <v>1</v>
      </c>
      <c r="AI207" s="295" t="s">
        <v>1</v>
      </c>
      <c r="AJ207" s="295" t="s">
        <v>1</v>
      </c>
      <c r="AK207" s="295" t="s">
        <v>1</v>
      </c>
      <c r="AL207" s="302" t="s">
        <v>1</v>
      </c>
      <c r="AM207" s="303" t="s">
        <v>1</v>
      </c>
      <c r="AN207" s="287" t="s">
        <v>1</v>
      </c>
      <c r="AO207" s="287" t="s">
        <v>1</v>
      </c>
      <c r="AP207" s="286" t="s">
        <v>1</v>
      </c>
      <c r="AQ207" s="285" t="s">
        <v>1</v>
      </c>
      <c r="AR207" s="289" t="s">
        <v>1</v>
      </c>
      <c r="AS207" s="289" t="s">
        <v>1</v>
      </c>
      <c r="AT207" s="290" t="s">
        <v>1</v>
      </c>
      <c r="AU207" s="287" t="s">
        <v>1</v>
      </c>
      <c r="AV207" s="287" t="s">
        <v>1</v>
      </c>
      <c r="AW207" s="291" t="s">
        <v>1</v>
      </c>
    </row>
    <row r="208" spans="1:49" ht="30.15" customHeight="1" x14ac:dyDescent="0.25">
      <c r="A208" s="213" t="s">
        <v>18</v>
      </c>
      <c r="B208" s="189" t="s">
        <v>1</v>
      </c>
      <c r="C208" s="212" t="s">
        <v>34</v>
      </c>
      <c r="D208" s="190" t="s">
        <v>3</v>
      </c>
      <c r="E208" s="190" t="s">
        <v>172</v>
      </c>
      <c r="F208" s="203"/>
      <c r="G208" s="190" t="s">
        <v>182</v>
      </c>
      <c r="H208" s="192" t="s">
        <v>409</v>
      </c>
      <c r="I208" s="193">
        <v>399</v>
      </c>
      <c r="J208" s="193">
        <v>399</v>
      </c>
      <c r="K208" s="193">
        <v>399</v>
      </c>
      <c r="L208" s="193">
        <v>430</v>
      </c>
      <c r="M208" s="194">
        <v>430</v>
      </c>
      <c r="N208" s="284">
        <v>172</v>
      </c>
      <c r="O208" s="285">
        <v>2.92</v>
      </c>
      <c r="P208" s="285">
        <v>24</v>
      </c>
      <c r="Q208" s="285" t="s">
        <v>1</v>
      </c>
      <c r="R208" s="285" t="s">
        <v>1</v>
      </c>
      <c r="S208" s="286">
        <v>172</v>
      </c>
      <c r="T208" s="285">
        <v>2.92</v>
      </c>
      <c r="U208" s="285">
        <v>24</v>
      </c>
      <c r="V208" s="285" t="s">
        <v>1</v>
      </c>
      <c r="W208" s="285" t="s">
        <v>1</v>
      </c>
      <c r="X208" s="286">
        <v>172</v>
      </c>
      <c r="Y208" s="285">
        <v>17.920000000000002</v>
      </c>
      <c r="Z208" s="285">
        <v>24</v>
      </c>
      <c r="AA208" s="285" t="s">
        <v>1</v>
      </c>
      <c r="AB208" s="285" t="s">
        <v>1</v>
      </c>
      <c r="AC208" s="286">
        <v>172</v>
      </c>
      <c r="AD208" s="285">
        <v>17.920000000000002</v>
      </c>
      <c r="AE208" s="285">
        <v>24</v>
      </c>
      <c r="AF208" s="285" t="s">
        <v>1</v>
      </c>
      <c r="AG208" s="285" t="s">
        <v>1</v>
      </c>
      <c r="AH208" s="286" t="s">
        <v>1</v>
      </c>
      <c r="AI208" s="295" t="s">
        <v>1</v>
      </c>
      <c r="AJ208" s="295" t="s">
        <v>1</v>
      </c>
      <c r="AK208" s="295" t="s">
        <v>1</v>
      </c>
      <c r="AL208" s="302" t="s">
        <v>1</v>
      </c>
      <c r="AM208" s="303" t="s">
        <v>1</v>
      </c>
      <c r="AN208" s="287" t="s">
        <v>1</v>
      </c>
      <c r="AO208" s="287" t="s">
        <v>1</v>
      </c>
      <c r="AP208" s="286" t="s">
        <v>1</v>
      </c>
      <c r="AQ208" s="285" t="s">
        <v>1</v>
      </c>
      <c r="AR208" s="289" t="s">
        <v>1</v>
      </c>
      <c r="AS208" s="289" t="s">
        <v>1</v>
      </c>
      <c r="AT208" s="290" t="s">
        <v>1</v>
      </c>
      <c r="AU208" s="287" t="s">
        <v>1</v>
      </c>
      <c r="AV208" s="287" t="s">
        <v>1</v>
      </c>
      <c r="AW208" s="291" t="s">
        <v>1</v>
      </c>
    </row>
    <row r="209" spans="1:49" ht="30.15" customHeight="1" x14ac:dyDescent="0.25">
      <c r="A209" s="213" t="s">
        <v>18</v>
      </c>
      <c r="B209" s="189" t="s">
        <v>1</v>
      </c>
      <c r="C209" s="212" t="s">
        <v>34</v>
      </c>
      <c r="D209" s="190" t="s">
        <v>3</v>
      </c>
      <c r="E209" s="190" t="s">
        <v>169</v>
      </c>
      <c r="F209" s="203"/>
      <c r="G209" s="190" t="s">
        <v>182</v>
      </c>
      <c r="H209" s="192" t="s">
        <v>409</v>
      </c>
      <c r="I209" s="193">
        <v>399</v>
      </c>
      <c r="J209" s="193">
        <v>399</v>
      </c>
      <c r="K209" s="193">
        <v>399</v>
      </c>
      <c r="L209" s="193">
        <v>430</v>
      </c>
      <c r="M209" s="194">
        <v>430</v>
      </c>
      <c r="N209" s="284">
        <v>172</v>
      </c>
      <c r="O209" s="285">
        <v>2.92</v>
      </c>
      <c r="P209" s="285">
        <v>24</v>
      </c>
      <c r="Q209" s="285" t="s">
        <v>1</v>
      </c>
      <c r="R209" s="285" t="s">
        <v>1</v>
      </c>
      <c r="S209" s="286">
        <v>172</v>
      </c>
      <c r="T209" s="285">
        <v>2.92</v>
      </c>
      <c r="U209" s="285">
        <v>24</v>
      </c>
      <c r="V209" s="285" t="s">
        <v>1</v>
      </c>
      <c r="W209" s="285" t="s">
        <v>1</v>
      </c>
      <c r="X209" s="286">
        <v>172</v>
      </c>
      <c r="Y209" s="285">
        <v>17.920000000000002</v>
      </c>
      <c r="Z209" s="285">
        <v>24</v>
      </c>
      <c r="AA209" s="285" t="s">
        <v>1</v>
      </c>
      <c r="AB209" s="285" t="s">
        <v>1</v>
      </c>
      <c r="AC209" s="286">
        <v>172</v>
      </c>
      <c r="AD209" s="285">
        <v>17.920000000000002</v>
      </c>
      <c r="AE209" s="285">
        <v>24</v>
      </c>
      <c r="AF209" s="285" t="s">
        <v>1</v>
      </c>
      <c r="AG209" s="285" t="s">
        <v>1</v>
      </c>
      <c r="AH209" s="286" t="s">
        <v>1</v>
      </c>
      <c r="AI209" s="295" t="s">
        <v>1</v>
      </c>
      <c r="AJ209" s="295" t="s">
        <v>1</v>
      </c>
      <c r="AK209" s="295" t="s">
        <v>1</v>
      </c>
      <c r="AL209" s="302" t="s">
        <v>1</v>
      </c>
      <c r="AM209" s="303" t="s">
        <v>1</v>
      </c>
      <c r="AN209" s="287" t="s">
        <v>1</v>
      </c>
      <c r="AO209" s="287" t="s">
        <v>1</v>
      </c>
      <c r="AP209" s="286" t="s">
        <v>1</v>
      </c>
      <c r="AQ209" s="285" t="s">
        <v>1</v>
      </c>
      <c r="AR209" s="289" t="s">
        <v>1</v>
      </c>
      <c r="AS209" s="289" t="s">
        <v>1</v>
      </c>
      <c r="AT209" s="290" t="s">
        <v>1</v>
      </c>
      <c r="AU209" s="287" t="s">
        <v>1</v>
      </c>
      <c r="AV209" s="287" t="s">
        <v>1</v>
      </c>
      <c r="AW209" s="291" t="s">
        <v>1</v>
      </c>
    </row>
    <row r="210" spans="1:49" ht="30.15" customHeight="1" x14ac:dyDescent="0.25">
      <c r="A210" s="213" t="s">
        <v>18</v>
      </c>
      <c r="B210" s="189" t="s">
        <v>1</v>
      </c>
      <c r="C210" s="212" t="s">
        <v>34</v>
      </c>
      <c r="D210" s="190" t="s">
        <v>3</v>
      </c>
      <c r="E210" s="190" t="s">
        <v>319</v>
      </c>
      <c r="F210" s="203"/>
      <c r="G210" s="190" t="s">
        <v>182</v>
      </c>
      <c r="H210" s="192" t="s">
        <v>409</v>
      </c>
      <c r="I210" s="193">
        <v>399</v>
      </c>
      <c r="J210" s="193">
        <v>399</v>
      </c>
      <c r="K210" s="193">
        <v>399</v>
      </c>
      <c r="L210" s="193">
        <v>430</v>
      </c>
      <c r="M210" s="194">
        <v>430</v>
      </c>
      <c r="N210" s="284">
        <v>172</v>
      </c>
      <c r="O210" s="285">
        <v>2.92</v>
      </c>
      <c r="P210" s="285">
        <v>24</v>
      </c>
      <c r="Q210" s="285" t="s">
        <v>1</v>
      </c>
      <c r="R210" s="285" t="s">
        <v>1</v>
      </c>
      <c r="S210" s="286">
        <v>172</v>
      </c>
      <c r="T210" s="285">
        <v>2.92</v>
      </c>
      <c r="U210" s="285">
        <v>24</v>
      </c>
      <c r="V210" s="285" t="s">
        <v>1</v>
      </c>
      <c r="W210" s="285" t="s">
        <v>1</v>
      </c>
      <c r="X210" s="286">
        <v>172</v>
      </c>
      <c r="Y210" s="285">
        <v>17.920000000000002</v>
      </c>
      <c r="Z210" s="285">
        <v>24</v>
      </c>
      <c r="AA210" s="285" t="s">
        <v>1</v>
      </c>
      <c r="AB210" s="285" t="s">
        <v>1</v>
      </c>
      <c r="AC210" s="286">
        <v>172</v>
      </c>
      <c r="AD210" s="285">
        <v>17.920000000000002</v>
      </c>
      <c r="AE210" s="285">
        <v>24</v>
      </c>
      <c r="AF210" s="285" t="s">
        <v>1</v>
      </c>
      <c r="AG210" s="285" t="s">
        <v>1</v>
      </c>
      <c r="AH210" s="286" t="s">
        <v>1</v>
      </c>
      <c r="AI210" s="295" t="s">
        <v>1</v>
      </c>
      <c r="AJ210" s="295" t="s">
        <v>1</v>
      </c>
      <c r="AK210" s="295" t="s">
        <v>1</v>
      </c>
      <c r="AL210" s="302" t="s">
        <v>1</v>
      </c>
      <c r="AM210" s="303" t="s">
        <v>1</v>
      </c>
      <c r="AN210" s="287" t="s">
        <v>1</v>
      </c>
      <c r="AO210" s="287" t="s">
        <v>1</v>
      </c>
      <c r="AP210" s="286" t="s">
        <v>1</v>
      </c>
      <c r="AQ210" s="285" t="s">
        <v>1</v>
      </c>
      <c r="AR210" s="289" t="s">
        <v>1</v>
      </c>
      <c r="AS210" s="289" t="s">
        <v>1</v>
      </c>
      <c r="AT210" s="290" t="s">
        <v>1</v>
      </c>
      <c r="AU210" s="287" t="s">
        <v>1</v>
      </c>
      <c r="AV210" s="287" t="s">
        <v>1</v>
      </c>
      <c r="AW210" s="291" t="s">
        <v>1</v>
      </c>
    </row>
    <row r="211" spans="1:49" ht="30.15" customHeight="1" x14ac:dyDescent="0.25">
      <c r="A211" s="213" t="s">
        <v>18</v>
      </c>
      <c r="B211" s="189" t="s">
        <v>1</v>
      </c>
      <c r="C211" s="212" t="s">
        <v>34</v>
      </c>
      <c r="D211" s="190" t="s">
        <v>3</v>
      </c>
      <c r="E211" s="190" t="s">
        <v>170</v>
      </c>
      <c r="F211" s="203"/>
      <c r="G211" s="190" t="s">
        <v>182</v>
      </c>
      <c r="H211" s="192" t="s">
        <v>409</v>
      </c>
      <c r="I211" s="193">
        <v>399</v>
      </c>
      <c r="J211" s="193">
        <v>399</v>
      </c>
      <c r="K211" s="193">
        <v>399</v>
      </c>
      <c r="L211" s="193">
        <v>430</v>
      </c>
      <c r="M211" s="194">
        <v>430</v>
      </c>
      <c r="N211" s="284">
        <v>172</v>
      </c>
      <c r="O211" s="285">
        <v>2.92</v>
      </c>
      <c r="P211" s="285">
        <v>24</v>
      </c>
      <c r="Q211" s="285" t="s">
        <v>1</v>
      </c>
      <c r="R211" s="285" t="s">
        <v>1</v>
      </c>
      <c r="S211" s="286">
        <v>172</v>
      </c>
      <c r="T211" s="285">
        <v>2.92</v>
      </c>
      <c r="U211" s="285">
        <v>24</v>
      </c>
      <c r="V211" s="285" t="s">
        <v>1</v>
      </c>
      <c r="W211" s="285" t="s">
        <v>1</v>
      </c>
      <c r="X211" s="286">
        <v>172</v>
      </c>
      <c r="Y211" s="285">
        <v>17.920000000000002</v>
      </c>
      <c r="Z211" s="285">
        <v>24</v>
      </c>
      <c r="AA211" s="285" t="s">
        <v>1</v>
      </c>
      <c r="AB211" s="285" t="s">
        <v>1</v>
      </c>
      <c r="AC211" s="286">
        <v>172</v>
      </c>
      <c r="AD211" s="285">
        <v>17.920000000000002</v>
      </c>
      <c r="AE211" s="285">
        <v>24</v>
      </c>
      <c r="AF211" s="285" t="s">
        <v>1</v>
      </c>
      <c r="AG211" s="285" t="s">
        <v>1</v>
      </c>
      <c r="AH211" s="286" t="s">
        <v>1</v>
      </c>
      <c r="AI211" s="295" t="s">
        <v>1</v>
      </c>
      <c r="AJ211" s="295" t="s">
        <v>1</v>
      </c>
      <c r="AK211" s="295" t="s">
        <v>1</v>
      </c>
      <c r="AL211" s="302" t="s">
        <v>1</v>
      </c>
      <c r="AM211" s="303" t="s">
        <v>1</v>
      </c>
      <c r="AN211" s="287" t="s">
        <v>1</v>
      </c>
      <c r="AO211" s="287" t="s">
        <v>1</v>
      </c>
      <c r="AP211" s="286" t="s">
        <v>1</v>
      </c>
      <c r="AQ211" s="285" t="s">
        <v>1</v>
      </c>
      <c r="AR211" s="289" t="s">
        <v>1</v>
      </c>
      <c r="AS211" s="289" t="s">
        <v>1</v>
      </c>
      <c r="AT211" s="290" t="s">
        <v>1</v>
      </c>
      <c r="AU211" s="287" t="s">
        <v>1</v>
      </c>
      <c r="AV211" s="287" t="s">
        <v>1</v>
      </c>
      <c r="AW211" s="291" t="s">
        <v>1</v>
      </c>
    </row>
    <row r="212" spans="1:49" ht="30.15" customHeight="1" x14ac:dyDescent="0.25">
      <c r="A212" s="213" t="s">
        <v>18</v>
      </c>
      <c r="B212" s="189" t="s">
        <v>1</v>
      </c>
      <c r="C212" s="212" t="s">
        <v>34</v>
      </c>
      <c r="D212" s="190" t="s">
        <v>3</v>
      </c>
      <c r="E212" s="190" t="s">
        <v>171</v>
      </c>
      <c r="F212" s="203"/>
      <c r="G212" s="190" t="s">
        <v>182</v>
      </c>
      <c r="H212" s="192" t="s">
        <v>409</v>
      </c>
      <c r="I212" s="193">
        <v>399</v>
      </c>
      <c r="J212" s="193">
        <v>399</v>
      </c>
      <c r="K212" s="193">
        <v>399</v>
      </c>
      <c r="L212" s="193">
        <v>430</v>
      </c>
      <c r="M212" s="194">
        <v>430</v>
      </c>
      <c r="N212" s="284">
        <v>172</v>
      </c>
      <c r="O212" s="285">
        <v>2.92</v>
      </c>
      <c r="P212" s="285">
        <v>24</v>
      </c>
      <c r="Q212" s="285" t="s">
        <v>1</v>
      </c>
      <c r="R212" s="285" t="s">
        <v>1</v>
      </c>
      <c r="S212" s="286">
        <v>172</v>
      </c>
      <c r="T212" s="285">
        <v>2.92</v>
      </c>
      <c r="U212" s="285">
        <v>24</v>
      </c>
      <c r="V212" s="285" t="s">
        <v>1</v>
      </c>
      <c r="W212" s="285" t="s">
        <v>1</v>
      </c>
      <c r="X212" s="286">
        <v>172</v>
      </c>
      <c r="Y212" s="285">
        <v>17.920000000000002</v>
      </c>
      <c r="Z212" s="285">
        <v>24</v>
      </c>
      <c r="AA212" s="285" t="s">
        <v>1</v>
      </c>
      <c r="AB212" s="285" t="s">
        <v>1</v>
      </c>
      <c r="AC212" s="286">
        <v>172</v>
      </c>
      <c r="AD212" s="285">
        <v>17.920000000000002</v>
      </c>
      <c r="AE212" s="285">
        <v>24</v>
      </c>
      <c r="AF212" s="285" t="s">
        <v>1</v>
      </c>
      <c r="AG212" s="285" t="s">
        <v>1</v>
      </c>
      <c r="AH212" s="286" t="s">
        <v>1</v>
      </c>
      <c r="AI212" s="295" t="s">
        <v>1</v>
      </c>
      <c r="AJ212" s="295" t="s">
        <v>1</v>
      </c>
      <c r="AK212" s="295" t="s">
        <v>1</v>
      </c>
      <c r="AL212" s="302" t="s">
        <v>1</v>
      </c>
      <c r="AM212" s="303" t="s">
        <v>1</v>
      </c>
      <c r="AN212" s="287" t="s">
        <v>1</v>
      </c>
      <c r="AO212" s="287" t="s">
        <v>1</v>
      </c>
      <c r="AP212" s="286" t="s">
        <v>1</v>
      </c>
      <c r="AQ212" s="285" t="s">
        <v>1</v>
      </c>
      <c r="AR212" s="289" t="s">
        <v>1</v>
      </c>
      <c r="AS212" s="289" t="s">
        <v>1</v>
      </c>
      <c r="AT212" s="290" t="s">
        <v>1</v>
      </c>
      <c r="AU212" s="287" t="s">
        <v>1</v>
      </c>
      <c r="AV212" s="287" t="s">
        <v>1</v>
      </c>
      <c r="AW212" s="291" t="s">
        <v>1</v>
      </c>
    </row>
    <row r="213" spans="1:49" ht="30.15" customHeight="1" x14ac:dyDescent="0.25">
      <c r="A213" s="213" t="s">
        <v>18</v>
      </c>
      <c r="B213" s="189" t="s">
        <v>1</v>
      </c>
      <c r="C213" s="212" t="s">
        <v>34</v>
      </c>
      <c r="D213" s="190" t="s">
        <v>3</v>
      </c>
      <c r="E213" s="190" t="s">
        <v>186</v>
      </c>
      <c r="F213" s="203"/>
      <c r="G213" s="190" t="s">
        <v>162</v>
      </c>
      <c r="H213" s="192" t="s">
        <v>409</v>
      </c>
      <c r="I213" s="193">
        <v>525</v>
      </c>
      <c r="J213" s="193">
        <v>532</v>
      </c>
      <c r="K213" s="193">
        <v>532</v>
      </c>
      <c r="L213" s="193">
        <v>560</v>
      </c>
      <c r="M213" s="194">
        <v>560</v>
      </c>
      <c r="N213" s="284">
        <v>224</v>
      </c>
      <c r="O213" s="285">
        <v>2.92</v>
      </c>
      <c r="P213" s="285">
        <v>24</v>
      </c>
      <c r="Q213" s="285" t="s">
        <v>1</v>
      </c>
      <c r="R213" s="285" t="s">
        <v>1</v>
      </c>
      <c r="S213" s="286">
        <v>224</v>
      </c>
      <c r="T213" s="285">
        <v>2.92</v>
      </c>
      <c r="U213" s="285">
        <v>24</v>
      </c>
      <c r="V213" s="285" t="s">
        <v>1</v>
      </c>
      <c r="W213" s="285" t="s">
        <v>1</v>
      </c>
      <c r="X213" s="286">
        <v>224</v>
      </c>
      <c r="Y213" s="285">
        <v>17.920000000000002</v>
      </c>
      <c r="Z213" s="285">
        <v>24</v>
      </c>
      <c r="AA213" s="285" t="s">
        <v>1</v>
      </c>
      <c r="AB213" s="285" t="s">
        <v>1</v>
      </c>
      <c r="AC213" s="286">
        <v>224</v>
      </c>
      <c r="AD213" s="285">
        <v>17.920000000000002</v>
      </c>
      <c r="AE213" s="285">
        <v>24</v>
      </c>
      <c r="AF213" s="285" t="s">
        <v>1</v>
      </c>
      <c r="AG213" s="285" t="s">
        <v>1</v>
      </c>
      <c r="AH213" s="286" t="s">
        <v>1</v>
      </c>
      <c r="AI213" s="295" t="s">
        <v>1</v>
      </c>
      <c r="AJ213" s="295" t="s">
        <v>1</v>
      </c>
      <c r="AK213" s="295" t="s">
        <v>1</v>
      </c>
      <c r="AL213" s="302" t="s">
        <v>1</v>
      </c>
      <c r="AM213" s="303" t="s">
        <v>1</v>
      </c>
      <c r="AN213" s="287" t="s">
        <v>1</v>
      </c>
      <c r="AO213" s="287" t="s">
        <v>1</v>
      </c>
      <c r="AP213" s="286" t="s">
        <v>1</v>
      </c>
      <c r="AQ213" s="285" t="s">
        <v>1</v>
      </c>
      <c r="AR213" s="289" t="s">
        <v>1</v>
      </c>
      <c r="AS213" s="289" t="s">
        <v>1</v>
      </c>
      <c r="AT213" s="290" t="s">
        <v>1</v>
      </c>
      <c r="AU213" s="287" t="s">
        <v>1</v>
      </c>
      <c r="AV213" s="287" t="s">
        <v>1</v>
      </c>
      <c r="AW213" s="291" t="s">
        <v>1</v>
      </c>
    </row>
    <row r="214" spans="1:49" ht="30.15" customHeight="1" x14ac:dyDescent="0.25">
      <c r="A214" s="213" t="s">
        <v>18</v>
      </c>
      <c r="B214" s="189" t="s">
        <v>1</v>
      </c>
      <c r="C214" s="212" t="s">
        <v>34</v>
      </c>
      <c r="D214" s="190" t="s">
        <v>3</v>
      </c>
      <c r="E214" s="190" t="s">
        <v>201</v>
      </c>
      <c r="F214" s="203"/>
      <c r="G214" s="190" t="s">
        <v>162</v>
      </c>
      <c r="H214" s="192" t="s">
        <v>409</v>
      </c>
      <c r="I214" s="193">
        <v>525</v>
      </c>
      <c r="J214" s="193">
        <v>532</v>
      </c>
      <c r="K214" s="193">
        <v>532</v>
      </c>
      <c r="L214" s="193">
        <v>560</v>
      </c>
      <c r="M214" s="194">
        <v>560</v>
      </c>
      <c r="N214" s="284">
        <v>224</v>
      </c>
      <c r="O214" s="285">
        <v>2.92</v>
      </c>
      <c r="P214" s="285">
        <v>24</v>
      </c>
      <c r="Q214" s="285" t="s">
        <v>1</v>
      </c>
      <c r="R214" s="285" t="s">
        <v>1</v>
      </c>
      <c r="S214" s="286">
        <v>224</v>
      </c>
      <c r="T214" s="285">
        <v>2.92</v>
      </c>
      <c r="U214" s="285">
        <v>24</v>
      </c>
      <c r="V214" s="285" t="s">
        <v>1</v>
      </c>
      <c r="W214" s="285" t="s">
        <v>1</v>
      </c>
      <c r="X214" s="286">
        <v>224</v>
      </c>
      <c r="Y214" s="285">
        <v>17.920000000000002</v>
      </c>
      <c r="Z214" s="285">
        <v>24</v>
      </c>
      <c r="AA214" s="285" t="s">
        <v>1</v>
      </c>
      <c r="AB214" s="285" t="s">
        <v>1</v>
      </c>
      <c r="AC214" s="286">
        <v>224</v>
      </c>
      <c r="AD214" s="285">
        <v>17.920000000000002</v>
      </c>
      <c r="AE214" s="285">
        <v>24</v>
      </c>
      <c r="AF214" s="285" t="s">
        <v>1</v>
      </c>
      <c r="AG214" s="285" t="s">
        <v>1</v>
      </c>
      <c r="AH214" s="286" t="s">
        <v>1</v>
      </c>
      <c r="AI214" s="295" t="s">
        <v>1</v>
      </c>
      <c r="AJ214" s="295" t="s">
        <v>1</v>
      </c>
      <c r="AK214" s="295" t="s">
        <v>1</v>
      </c>
      <c r="AL214" s="302" t="s">
        <v>1</v>
      </c>
      <c r="AM214" s="303" t="s">
        <v>1</v>
      </c>
      <c r="AN214" s="287" t="s">
        <v>1</v>
      </c>
      <c r="AO214" s="287" t="s">
        <v>1</v>
      </c>
      <c r="AP214" s="286" t="s">
        <v>1</v>
      </c>
      <c r="AQ214" s="285" t="s">
        <v>1</v>
      </c>
      <c r="AR214" s="289" t="s">
        <v>1</v>
      </c>
      <c r="AS214" s="289" t="s">
        <v>1</v>
      </c>
      <c r="AT214" s="290" t="s">
        <v>1</v>
      </c>
      <c r="AU214" s="287" t="s">
        <v>1</v>
      </c>
      <c r="AV214" s="287" t="s">
        <v>1</v>
      </c>
      <c r="AW214" s="291" t="s">
        <v>1</v>
      </c>
    </row>
    <row r="215" spans="1:49" ht="30.15" customHeight="1" x14ac:dyDescent="0.25">
      <c r="A215" s="213" t="s">
        <v>18</v>
      </c>
      <c r="B215" s="189" t="s">
        <v>1</v>
      </c>
      <c r="C215" s="212" t="s">
        <v>34</v>
      </c>
      <c r="D215" s="190" t="s">
        <v>3</v>
      </c>
      <c r="E215" s="190" t="s">
        <v>163</v>
      </c>
      <c r="F215" s="203"/>
      <c r="G215" s="190" t="s">
        <v>162</v>
      </c>
      <c r="H215" s="192" t="s">
        <v>409</v>
      </c>
      <c r="I215" s="193">
        <v>525</v>
      </c>
      <c r="J215" s="193">
        <v>532</v>
      </c>
      <c r="K215" s="193">
        <v>532</v>
      </c>
      <c r="L215" s="193">
        <v>560</v>
      </c>
      <c r="M215" s="194">
        <v>560</v>
      </c>
      <c r="N215" s="284">
        <v>224</v>
      </c>
      <c r="O215" s="285">
        <v>2.92</v>
      </c>
      <c r="P215" s="285">
        <v>24</v>
      </c>
      <c r="Q215" s="285" t="s">
        <v>1</v>
      </c>
      <c r="R215" s="285" t="s">
        <v>1</v>
      </c>
      <c r="S215" s="286">
        <v>224</v>
      </c>
      <c r="T215" s="285">
        <v>2.92</v>
      </c>
      <c r="U215" s="285">
        <v>24</v>
      </c>
      <c r="V215" s="285" t="s">
        <v>1</v>
      </c>
      <c r="W215" s="285" t="s">
        <v>1</v>
      </c>
      <c r="X215" s="286">
        <v>224</v>
      </c>
      <c r="Y215" s="285">
        <v>17.920000000000002</v>
      </c>
      <c r="Z215" s="285">
        <v>24</v>
      </c>
      <c r="AA215" s="285" t="s">
        <v>1</v>
      </c>
      <c r="AB215" s="285" t="s">
        <v>1</v>
      </c>
      <c r="AC215" s="286">
        <v>224</v>
      </c>
      <c r="AD215" s="285">
        <v>17.920000000000002</v>
      </c>
      <c r="AE215" s="285">
        <v>24</v>
      </c>
      <c r="AF215" s="285" t="s">
        <v>1</v>
      </c>
      <c r="AG215" s="285" t="s">
        <v>1</v>
      </c>
      <c r="AH215" s="286" t="s">
        <v>1</v>
      </c>
      <c r="AI215" s="295" t="s">
        <v>1</v>
      </c>
      <c r="AJ215" s="295" t="s">
        <v>1</v>
      </c>
      <c r="AK215" s="295" t="s">
        <v>1</v>
      </c>
      <c r="AL215" s="302" t="s">
        <v>1</v>
      </c>
      <c r="AM215" s="303" t="s">
        <v>1</v>
      </c>
      <c r="AN215" s="287" t="s">
        <v>1</v>
      </c>
      <c r="AO215" s="287" t="s">
        <v>1</v>
      </c>
      <c r="AP215" s="286" t="s">
        <v>1</v>
      </c>
      <c r="AQ215" s="285" t="s">
        <v>1</v>
      </c>
      <c r="AR215" s="289" t="s">
        <v>1</v>
      </c>
      <c r="AS215" s="289" t="s">
        <v>1</v>
      </c>
      <c r="AT215" s="290" t="s">
        <v>1</v>
      </c>
      <c r="AU215" s="287" t="s">
        <v>1</v>
      </c>
      <c r="AV215" s="287" t="s">
        <v>1</v>
      </c>
      <c r="AW215" s="291" t="s">
        <v>1</v>
      </c>
    </row>
    <row r="216" spans="1:49" ht="30.15" customHeight="1" x14ac:dyDescent="0.25">
      <c r="A216" s="213" t="s">
        <v>18</v>
      </c>
      <c r="B216" s="189" t="s">
        <v>1</v>
      </c>
      <c r="C216" s="212" t="s">
        <v>34</v>
      </c>
      <c r="D216" s="190" t="s">
        <v>3</v>
      </c>
      <c r="E216" s="190" t="s">
        <v>164</v>
      </c>
      <c r="F216" s="203"/>
      <c r="G216" s="190" t="s">
        <v>162</v>
      </c>
      <c r="H216" s="192" t="s">
        <v>409</v>
      </c>
      <c r="I216" s="193">
        <v>525</v>
      </c>
      <c r="J216" s="193">
        <v>532</v>
      </c>
      <c r="K216" s="193">
        <v>532</v>
      </c>
      <c r="L216" s="193">
        <v>560</v>
      </c>
      <c r="M216" s="194">
        <v>560</v>
      </c>
      <c r="N216" s="284">
        <v>224</v>
      </c>
      <c r="O216" s="285">
        <v>2.92</v>
      </c>
      <c r="P216" s="285">
        <v>24</v>
      </c>
      <c r="Q216" s="285" t="s">
        <v>1</v>
      </c>
      <c r="R216" s="285" t="s">
        <v>1</v>
      </c>
      <c r="S216" s="286">
        <v>224</v>
      </c>
      <c r="T216" s="285">
        <v>2.92</v>
      </c>
      <c r="U216" s="285">
        <v>24</v>
      </c>
      <c r="V216" s="285" t="s">
        <v>1</v>
      </c>
      <c r="W216" s="285" t="s">
        <v>1</v>
      </c>
      <c r="X216" s="286">
        <v>224</v>
      </c>
      <c r="Y216" s="285">
        <v>17.920000000000002</v>
      </c>
      <c r="Z216" s="285">
        <v>24</v>
      </c>
      <c r="AA216" s="285" t="s">
        <v>1</v>
      </c>
      <c r="AB216" s="285" t="s">
        <v>1</v>
      </c>
      <c r="AC216" s="286">
        <v>224</v>
      </c>
      <c r="AD216" s="285">
        <v>17.920000000000002</v>
      </c>
      <c r="AE216" s="285">
        <v>24</v>
      </c>
      <c r="AF216" s="285" t="s">
        <v>1</v>
      </c>
      <c r="AG216" s="285" t="s">
        <v>1</v>
      </c>
      <c r="AH216" s="286" t="s">
        <v>1</v>
      </c>
      <c r="AI216" s="295" t="s">
        <v>1</v>
      </c>
      <c r="AJ216" s="295" t="s">
        <v>1</v>
      </c>
      <c r="AK216" s="295" t="s">
        <v>1</v>
      </c>
      <c r="AL216" s="302" t="s">
        <v>1</v>
      </c>
      <c r="AM216" s="303" t="s">
        <v>1</v>
      </c>
      <c r="AN216" s="287" t="s">
        <v>1</v>
      </c>
      <c r="AO216" s="287" t="s">
        <v>1</v>
      </c>
      <c r="AP216" s="286" t="s">
        <v>1</v>
      </c>
      <c r="AQ216" s="285" t="s">
        <v>1</v>
      </c>
      <c r="AR216" s="289" t="s">
        <v>1</v>
      </c>
      <c r="AS216" s="289" t="s">
        <v>1</v>
      </c>
      <c r="AT216" s="290" t="s">
        <v>1</v>
      </c>
      <c r="AU216" s="287" t="s">
        <v>1</v>
      </c>
      <c r="AV216" s="287" t="s">
        <v>1</v>
      </c>
      <c r="AW216" s="291" t="s">
        <v>1</v>
      </c>
    </row>
    <row r="217" spans="1:49" ht="30.15" customHeight="1" x14ac:dyDescent="0.25">
      <c r="A217" s="213" t="s">
        <v>18</v>
      </c>
      <c r="B217" s="189" t="s">
        <v>1</v>
      </c>
      <c r="C217" s="212" t="s">
        <v>34</v>
      </c>
      <c r="D217" s="190" t="s">
        <v>3</v>
      </c>
      <c r="E217" s="190" t="s">
        <v>188</v>
      </c>
      <c r="F217" s="203"/>
      <c r="G217" s="190" t="s">
        <v>184</v>
      </c>
      <c r="H217" s="192" t="s">
        <v>409</v>
      </c>
      <c r="I217" s="193">
        <v>749</v>
      </c>
      <c r="J217" s="193">
        <v>749</v>
      </c>
      <c r="K217" s="193">
        <v>749</v>
      </c>
      <c r="L217" s="193">
        <v>710</v>
      </c>
      <c r="M217" s="194">
        <v>710</v>
      </c>
      <c r="N217" s="284">
        <v>284</v>
      </c>
      <c r="O217" s="285">
        <v>2.92</v>
      </c>
      <c r="P217" s="285">
        <v>24</v>
      </c>
      <c r="Q217" s="285" t="s">
        <v>1</v>
      </c>
      <c r="R217" s="285" t="s">
        <v>1</v>
      </c>
      <c r="S217" s="286">
        <v>284</v>
      </c>
      <c r="T217" s="285">
        <v>2.92</v>
      </c>
      <c r="U217" s="285">
        <v>24</v>
      </c>
      <c r="V217" s="285" t="s">
        <v>1</v>
      </c>
      <c r="W217" s="285" t="s">
        <v>1</v>
      </c>
      <c r="X217" s="286">
        <v>284</v>
      </c>
      <c r="Y217" s="285">
        <v>2.92</v>
      </c>
      <c r="Z217" s="285">
        <v>24</v>
      </c>
      <c r="AA217" s="285" t="s">
        <v>1</v>
      </c>
      <c r="AB217" s="285" t="s">
        <v>1</v>
      </c>
      <c r="AC217" s="286">
        <v>284</v>
      </c>
      <c r="AD217" s="285">
        <v>2.92</v>
      </c>
      <c r="AE217" s="285">
        <v>24</v>
      </c>
      <c r="AF217" s="285" t="s">
        <v>1</v>
      </c>
      <c r="AG217" s="285" t="s">
        <v>1</v>
      </c>
      <c r="AH217" s="286" t="s">
        <v>1</v>
      </c>
      <c r="AI217" s="295" t="s">
        <v>1</v>
      </c>
      <c r="AJ217" s="295" t="s">
        <v>1</v>
      </c>
      <c r="AK217" s="295" t="s">
        <v>1</v>
      </c>
      <c r="AL217" s="302" t="s">
        <v>1</v>
      </c>
      <c r="AM217" s="303" t="s">
        <v>1</v>
      </c>
      <c r="AN217" s="287" t="s">
        <v>1</v>
      </c>
      <c r="AO217" s="287" t="s">
        <v>1</v>
      </c>
      <c r="AP217" s="286" t="s">
        <v>1</v>
      </c>
      <c r="AQ217" s="285" t="s">
        <v>1</v>
      </c>
      <c r="AR217" s="289" t="s">
        <v>1</v>
      </c>
      <c r="AS217" s="289" t="s">
        <v>1</v>
      </c>
      <c r="AT217" s="290" t="s">
        <v>1</v>
      </c>
      <c r="AU217" s="287" t="s">
        <v>1</v>
      </c>
      <c r="AV217" s="287" t="s">
        <v>1</v>
      </c>
      <c r="AW217" s="291" t="s">
        <v>1</v>
      </c>
    </row>
    <row r="218" spans="1:49" ht="30.15" customHeight="1" x14ac:dyDescent="0.25">
      <c r="A218" s="213" t="s">
        <v>18</v>
      </c>
      <c r="B218" s="189" t="s">
        <v>1</v>
      </c>
      <c r="C218" s="212" t="s">
        <v>34</v>
      </c>
      <c r="D218" s="190" t="s">
        <v>3</v>
      </c>
      <c r="E218" s="190" t="s">
        <v>176</v>
      </c>
      <c r="F218" s="203"/>
      <c r="G218" s="190" t="s">
        <v>184</v>
      </c>
      <c r="H218" s="192" t="s">
        <v>409</v>
      </c>
      <c r="I218" s="193">
        <v>749</v>
      </c>
      <c r="J218" s="193">
        <v>749</v>
      </c>
      <c r="K218" s="193">
        <v>749</v>
      </c>
      <c r="L218" s="193">
        <v>710</v>
      </c>
      <c r="M218" s="194">
        <v>710</v>
      </c>
      <c r="N218" s="284">
        <v>284</v>
      </c>
      <c r="O218" s="285">
        <v>2.92</v>
      </c>
      <c r="P218" s="285">
        <v>24</v>
      </c>
      <c r="Q218" s="285" t="s">
        <v>1</v>
      </c>
      <c r="R218" s="285" t="s">
        <v>1</v>
      </c>
      <c r="S218" s="286">
        <v>284</v>
      </c>
      <c r="T218" s="285">
        <v>2.92</v>
      </c>
      <c r="U218" s="285">
        <v>24</v>
      </c>
      <c r="V218" s="285" t="s">
        <v>1</v>
      </c>
      <c r="W218" s="285" t="s">
        <v>1</v>
      </c>
      <c r="X218" s="286">
        <v>284</v>
      </c>
      <c r="Y218" s="285">
        <v>2.92</v>
      </c>
      <c r="Z218" s="285">
        <v>24</v>
      </c>
      <c r="AA218" s="285" t="s">
        <v>1</v>
      </c>
      <c r="AB218" s="285" t="s">
        <v>1</v>
      </c>
      <c r="AC218" s="286">
        <v>284</v>
      </c>
      <c r="AD218" s="285">
        <v>2.92</v>
      </c>
      <c r="AE218" s="285">
        <v>24</v>
      </c>
      <c r="AF218" s="285" t="s">
        <v>1</v>
      </c>
      <c r="AG218" s="285" t="s">
        <v>1</v>
      </c>
      <c r="AH218" s="286" t="s">
        <v>1</v>
      </c>
      <c r="AI218" s="295" t="s">
        <v>1</v>
      </c>
      <c r="AJ218" s="295" t="s">
        <v>1</v>
      </c>
      <c r="AK218" s="295" t="s">
        <v>1</v>
      </c>
      <c r="AL218" s="302" t="s">
        <v>1</v>
      </c>
      <c r="AM218" s="303" t="s">
        <v>1</v>
      </c>
      <c r="AN218" s="287" t="s">
        <v>1</v>
      </c>
      <c r="AO218" s="287" t="s">
        <v>1</v>
      </c>
      <c r="AP218" s="286" t="s">
        <v>1</v>
      </c>
      <c r="AQ218" s="285" t="s">
        <v>1</v>
      </c>
      <c r="AR218" s="289" t="s">
        <v>1</v>
      </c>
      <c r="AS218" s="289" t="s">
        <v>1</v>
      </c>
      <c r="AT218" s="290" t="s">
        <v>1</v>
      </c>
      <c r="AU218" s="287" t="s">
        <v>1</v>
      </c>
      <c r="AV218" s="287" t="s">
        <v>1</v>
      </c>
      <c r="AW218" s="291" t="s">
        <v>1</v>
      </c>
    </row>
    <row r="219" spans="1:49" ht="30.15" customHeight="1" x14ac:dyDescent="0.25">
      <c r="A219" s="213" t="s">
        <v>18</v>
      </c>
      <c r="B219" s="189" t="s">
        <v>1</v>
      </c>
      <c r="C219" s="212" t="s">
        <v>34</v>
      </c>
      <c r="D219" s="190" t="s">
        <v>3</v>
      </c>
      <c r="E219" s="190" t="s">
        <v>320</v>
      </c>
      <c r="F219" s="203"/>
      <c r="G219" s="190" t="s">
        <v>184</v>
      </c>
      <c r="H219" s="192" t="s">
        <v>409</v>
      </c>
      <c r="I219" s="193">
        <v>749</v>
      </c>
      <c r="J219" s="193">
        <v>749</v>
      </c>
      <c r="K219" s="193">
        <v>749</v>
      </c>
      <c r="L219" s="193">
        <v>710</v>
      </c>
      <c r="M219" s="194">
        <v>710</v>
      </c>
      <c r="N219" s="284">
        <v>284</v>
      </c>
      <c r="O219" s="285">
        <v>2.92</v>
      </c>
      <c r="P219" s="285">
        <v>24</v>
      </c>
      <c r="Q219" s="285" t="s">
        <v>1</v>
      </c>
      <c r="R219" s="285" t="s">
        <v>1</v>
      </c>
      <c r="S219" s="286">
        <v>284</v>
      </c>
      <c r="T219" s="285">
        <v>2.92</v>
      </c>
      <c r="U219" s="285">
        <v>24</v>
      </c>
      <c r="V219" s="285" t="s">
        <v>1</v>
      </c>
      <c r="W219" s="285" t="s">
        <v>1</v>
      </c>
      <c r="X219" s="286">
        <v>284</v>
      </c>
      <c r="Y219" s="285">
        <v>2.92</v>
      </c>
      <c r="Z219" s="285">
        <v>24</v>
      </c>
      <c r="AA219" s="285" t="s">
        <v>1</v>
      </c>
      <c r="AB219" s="285" t="s">
        <v>1</v>
      </c>
      <c r="AC219" s="286">
        <v>284</v>
      </c>
      <c r="AD219" s="285">
        <v>2.92</v>
      </c>
      <c r="AE219" s="285">
        <v>24</v>
      </c>
      <c r="AF219" s="285" t="s">
        <v>1</v>
      </c>
      <c r="AG219" s="285" t="s">
        <v>1</v>
      </c>
      <c r="AH219" s="286" t="s">
        <v>1</v>
      </c>
      <c r="AI219" s="295" t="s">
        <v>1</v>
      </c>
      <c r="AJ219" s="295" t="s">
        <v>1</v>
      </c>
      <c r="AK219" s="295" t="s">
        <v>1</v>
      </c>
      <c r="AL219" s="302" t="s">
        <v>1</v>
      </c>
      <c r="AM219" s="303" t="s">
        <v>1</v>
      </c>
      <c r="AN219" s="287" t="s">
        <v>1</v>
      </c>
      <c r="AO219" s="287" t="s">
        <v>1</v>
      </c>
      <c r="AP219" s="286" t="s">
        <v>1</v>
      </c>
      <c r="AQ219" s="285" t="s">
        <v>1</v>
      </c>
      <c r="AR219" s="289" t="s">
        <v>1</v>
      </c>
      <c r="AS219" s="289" t="s">
        <v>1</v>
      </c>
      <c r="AT219" s="290" t="s">
        <v>1</v>
      </c>
      <c r="AU219" s="287" t="s">
        <v>1</v>
      </c>
      <c r="AV219" s="287" t="s">
        <v>1</v>
      </c>
      <c r="AW219" s="291" t="s">
        <v>1</v>
      </c>
    </row>
    <row r="220" spans="1:49" ht="30.15" customHeight="1" x14ac:dyDescent="0.25">
      <c r="A220" s="213" t="s">
        <v>18</v>
      </c>
      <c r="B220" s="189" t="s">
        <v>1</v>
      </c>
      <c r="C220" s="212" t="s">
        <v>34</v>
      </c>
      <c r="D220" s="190" t="s">
        <v>3</v>
      </c>
      <c r="E220" s="190" t="s">
        <v>177</v>
      </c>
      <c r="F220" s="203"/>
      <c r="G220" s="190" t="s">
        <v>184</v>
      </c>
      <c r="H220" s="192" t="s">
        <v>409</v>
      </c>
      <c r="I220" s="193">
        <v>749</v>
      </c>
      <c r="J220" s="193">
        <v>749</v>
      </c>
      <c r="K220" s="193">
        <v>749</v>
      </c>
      <c r="L220" s="193">
        <v>710</v>
      </c>
      <c r="M220" s="194">
        <v>710</v>
      </c>
      <c r="N220" s="284">
        <v>284</v>
      </c>
      <c r="O220" s="285">
        <v>2.92</v>
      </c>
      <c r="P220" s="285">
        <v>24</v>
      </c>
      <c r="Q220" s="285" t="s">
        <v>1</v>
      </c>
      <c r="R220" s="285" t="s">
        <v>1</v>
      </c>
      <c r="S220" s="286">
        <v>284</v>
      </c>
      <c r="T220" s="285">
        <v>2.92</v>
      </c>
      <c r="U220" s="285">
        <v>24</v>
      </c>
      <c r="V220" s="285" t="s">
        <v>1</v>
      </c>
      <c r="W220" s="285" t="s">
        <v>1</v>
      </c>
      <c r="X220" s="286">
        <v>284</v>
      </c>
      <c r="Y220" s="285">
        <v>2.92</v>
      </c>
      <c r="Z220" s="285">
        <v>24</v>
      </c>
      <c r="AA220" s="285" t="s">
        <v>1</v>
      </c>
      <c r="AB220" s="285" t="s">
        <v>1</v>
      </c>
      <c r="AC220" s="286">
        <v>284</v>
      </c>
      <c r="AD220" s="285">
        <v>2.92</v>
      </c>
      <c r="AE220" s="285">
        <v>24</v>
      </c>
      <c r="AF220" s="285" t="s">
        <v>1</v>
      </c>
      <c r="AG220" s="285" t="s">
        <v>1</v>
      </c>
      <c r="AH220" s="286" t="s">
        <v>1</v>
      </c>
      <c r="AI220" s="295" t="s">
        <v>1</v>
      </c>
      <c r="AJ220" s="295" t="s">
        <v>1</v>
      </c>
      <c r="AK220" s="295" t="s">
        <v>1</v>
      </c>
      <c r="AL220" s="302" t="s">
        <v>1</v>
      </c>
      <c r="AM220" s="303" t="s">
        <v>1</v>
      </c>
      <c r="AN220" s="287" t="s">
        <v>1</v>
      </c>
      <c r="AO220" s="287" t="s">
        <v>1</v>
      </c>
      <c r="AP220" s="286" t="s">
        <v>1</v>
      </c>
      <c r="AQ220" s="285" t="s">
        <v>1</v>
      </c>
      <c r="AR220" s="289" t="s">
        <v>1</v>
      </c>
      <c r="AS220" s="289" t="s">
        <v>1</v>
      </c>
      <c r="AT220" s="290" t="s">
        <v>1</v>
      </c>
      <c r="AU220" s="287" t="s">
        <v>1</v>
      </c>
      <c r="AV220" s="287" t="s">
        <v>1</v>
      </c>
      <c r="AW220" s="291" t="s">
        <v>1</v>
      </c>
    </row>
    <row r="221" spans="1:49" ht="30.15" customHeight="1" x14ac:dyDescent="0.25">
      <c r="A221" s="213" t="s">
        <v>18</v>
      </c>
      <c r="B221" s="189" t="s">
        <v>1</v>
      </c>
      <c r="C221" s="212" t="s">
        <v>34</v>
      </c>
      <c r="D221" s="190" t="s">
        <v>3</v>
      </c>
      <c r="E221" s="190" t="s">
        <v>178</v>
      </c>
      <c r="F221" s="203"/>
      <c r="G221" s="190" t="s">
        <v>184</v>
      </c>
      <c r="H221" s="192" t="s">
        <v>409</v>
      </c>
      <c r="I221" s="193">
        <v>749</v>
      </c>
      <c r="J221" s="193">
        <v>749</v>
      </c>
      <c r="K221" s="193">
        <v>749</v>
      </c>
      <c r="L221" s="193">
        <v>710</v>
      </c>
      <c r="M221" s="194">
        <v>710</v>
      </c>
      <c r="N221" s="284">
        <v>284</v>
      </c>
      <c r="O221" s="285">
        <v>2.92</v>
      </c>
      <c r="P221" s="285">
        <v>24</v>
      </c>
      <c r="Q221" s="285" t="s">
        <v>1</v>
      </c>
      <c r="R221" s="285" t="s">
        <v>1</v>
      </c>
      <c r="S221" s="286">
        <v>284</v>
      </c>
      <c r="T221" s="285">
        <v>2.92</v>
      </c>
      <c r="U221" s="285">
        <v>24</v>
      </c>
      <c r="V221" s="285" t="s">
        <v>1</v>
      </c>
      <c r="W221" s="285" t="s">
        <v>1</v>
      </c>
      <c r="X221" s="286">
        <v>284</v>
      </c>
      <c r="Y221" s="285">
        <v>2.92</v>
      </c>
      <c r="Z221" s="285">
        <v>24</v>
      </c>
      <c r="AA221" s="285" t="s">
        <v>1</v>
      </c>
      <c r="AB221" s="285" t="s">
        <v>1</v>
      </c>
      <c r="AC221" s="286">
        <v>284</v>
      </c>
      <c r="AD221" s="285">
        <v>2.92</v>
      </c>
      <c r="AE221" s="285">
        <v>24</v>
      </c>
      <c r="AF221" s="285" t="s">
        <v>1</v>
      </c>
      <c r="AG221" s="285" t="s">
        <v>1</v>
      </c>
      <c r="AH221" s="286" t="s">
        <v>1</v>
      </c>
      <c r="AI221" s="295" t="s">
        <v>1</v>
      </c>
      <c r="AJ221" s="295" t="s">
        <v>1</v>
      </c>
      <c r="AK221" s="295" t="s">
        <v>1</v>
      </c>
      <c r="AL221" s="302" t="s">
        <v>1</v>
      </c>
      <c r="AM221" s="303" t="s">
        <v>1</v>
      </c>
      <c r="AN221" s="287" t="s">
        <v>1</v>
      </c>
      <c r="AO221" s="287" t="s">
        <v>1</v>
      </c>
      <c r="AP221" s="286" t="s">
        <v>1</v>
      </c>
      <c r="AQ221" s="285" t="s">
        <v>1</v>
      </c>
      <c r="AR221" s="289" t="s">
        <v>1</v>
      </c>
      <c r="AS221" s="289" t="s">
        <v>1</v>
      </c>
      <c r="AT221" s="290" t="s">
        <v>1</v>
      </c>
      <c r="AU221" s="287" t="s">
        <v>1</v>
      </c>
      <c r="AV221" s="287" t="s">
        <v>1</v>
      </c>
      <c r="AW221" s="291" t="s">
        <v>1</v>
      </c>
    </row>
    <row r="222" spans="1:49" ht="30.15" customHeight="1" x14ac:dyDescent="0.25">
      <c r="A222" s="213" t="s">
        <v>18</v>
      </c>
      <c r="B222" s="189" t="s">
        <v>1</v>
      </c>
      <c r="C222" s="212" t="s">
        <v>34</v>
      </c>
      <c r="D222" s="190" t="s">
        <v>3</v>
      </c>
      <c r="E222" s="190" t="s">
        <v>189</v>
      </c>
      <c r="F222" s="203"/>
      <c r="G222" s="190" t="s">
        <v>166</v>
      </c>
      <c r="H222" s="192" t="s">
        <v>409</v>
      </c>
      <c r="I222" s="193">
        <v>659</v>
      </c>
      <c r="J222" s="193">
        <v>675</v>
      </c>
      <c r="K222" s="193">
        <v>675</v>
      </c>
      <c r="L222" s="193">
        <v>710</v>
      </c>
      <c r="M222" s="194">
        <v>710</v>
      </c>
      <c r="N222" s="284">
        <v>284</v>
      </c>
      <c r="O222" s="285">
        <v>2.92</v>
      </c>
      <c r="P222" s="285">
        <v>24</v>
      </c>
      <c r="Q222" s="285" t="s">
        <v>1</v>
      </c>
      <c r="R222" s="285" t="s">
        <v>1</v>
      </c>
      <c r="S222" s="286">
        <v>284</v>
      </c>
      <c r="T222" s="285">
        <v>2.92</v>
      </c>
      <c r="U222" s="285">
        <v>24</v>
      </c>
      <c r="V222" s="285" t="s">
        <v>1</v>
      </c>
      <c r="W222" s="285" t="s">
        <v>1</v>
      </c>
      <c r="X222" s="286">
        <v>284</v>
      </c>
      <c r="Y222" s="285">
        <v>2.92</v>
      </c>
      <c r="Z222" s="285">
        <v>24</v>
      </c>
      <c r="AA222" s="285" t="s">
        <v>1</v>
      </c>
      <c r="AB222" s="285" t="s">
        <v>1</v>
      </c>
      <c r="AC222" s="286">
        <v>284</v>
      </c>
      <c r="AD222" s="285">
        <v>2.92</v>
      </c>
      <c r="AE222" s="285">
        <v>24</v>
      </c>
      <c r="AF222" s="285" t="s">
        <v>1</v>
      </c>
      <c r="AG222" s="285" t="s">
        <v>1</v>
      </c>
      <c r="AH222" s="286" t="s">
        <v>1</v>
      </c>
      <c r="AI222" s="295" t="s">
        <v>1</v>
      </c>
      <c r="AJ222" s="295" t="s">
        <v>1</v>
      </c>
      <c r="AK222" s="295" t="s">
        <v>1</v>
      </c>
      <c r="AL222" s="302" t="s">
        <v>1</v>
      </c>
      <c r="AM222" s="303" t="s">
        <v>1</v>
      </c>
      <c r="AN222" s="287" t="s">
        <v>1</v>
      </c>
      <c r="AO222" s="287" t="s">
        <v>1</v>
      </c>
      <c r="AP222" s="286" t="s">
        <v>1</v>
      </c>
      <c r="AQ222" s="285" t="s">
        <v>1</v>
      </c>
      <c r="AR222" s="289" t="s">
        <v>1</v>
      </c>
      <c r="AS222" s="289" t="s">
        <v>1</v>
      </c>
      <c r="AT222" s="290" t="s">
        <v>1</v>
      </c>
      <c r="AU222" s="287" t="s">
        <v>1</v>
      </c>
      <c r="AV222" s="287" t="s">
        <v>1</v>
      </c>
      <c r="AW222" s="291" t="s">
        <v>1</v>
      </c>
    </row>
    <row r="223" spans="1:49" ht="30.15" customHeight="1" x14ac:dyDescent="0.25">
      <c r="A223" s="213" t="s">
        <v>18</v>
      </c>
      <c r="B223" s="189" t="s">
        <v>1</v>
      </c>
      <c r="C223" s="212" t="s">
        <v>34</v>
      </c>
      <c r="D223" s="190" t="s">
        <v>3</v>
      </c>
      <c r="E223" s="190" t="s">
        <v>203</v>
      </c>
      <c r="F223" s="203"/>
      <c r="G223" s="190" t="s">
        <v>166</v>
      </c>
      <c r="H223" s="192" t="s">
        <v>409</v>
      </c>
      <c r="I223" s="193">
        <v>659</v>
      </c>
      <c r="J223" s="193">
        <v>675</v>
      </c>
      <c r="K223" s="193">
        <v>675</v>
      </c>
      <c r="L223" s="193">
        <v>710</v>
      </c>
      <c r="M223" s="194">
        <v>710</v>
      </c>
      <c r="N223" s="284">
        <v>284</v>
      </c>
      <c r="O223" s="285">
        <v>2.92</v>
      </c>
      <c r="P223" s="285">
        <v>24</v>
      </c>
      <c r="Q223" s="285" t="s">
        <v>1</v>
      </c>
      <c r="R223" s="285" t="s">
        <v>1</v>
      </c>
      <c r="S223" s="286">
        <v>284</v>
      </c>
      <c r="T223" s="285">
        <v>2.92</v>
      </c>
      <c r="U223" s="285">
        <v>24</v>
      </c>
      <c r="V223" s="285" t="s">
        <v>1</v>
      </c>
      <c r="W223" s="285" t="s">
        <v>1</v>
      </c>
      <c r="X223" s="286">
        <v>284</v>
      </c>
      <c r="Y223" s="285">
        <v>2.92</v>
      </c>
      <c r="Z223" s="285">
        <v>24</v>
      </c>
      <c r="AA223" s="285" t="s">
        <v>1</v>
      </c>
      <c r="AB223" s="285" t="s">
        <v>1</v>
      </c>
      <c r="AC223" s="286">
        <v>284</v>
      </c>
      <c r="AD223" s="285">
        <v>2.92</v>
      </c>
      <c r="AE223" s="285">
        <v>24</v>
      </c>
      <c r="AF223" s="285" t="s">
        <v>1</v>
      </c>
      <c r="AG223" s="285" t="s">
        <v>1</v>
      </c>
      <c r="AH223" s="286" t="s">
        <v>1</v>
      </c>
      <c r="AI223" s="295" t="s">
        <v>1</v>
      </c>
      <c r="AJ223" s="295" t="s">
        <v>1</v>
      </c>
      <c r="AK223" s="295" t="s">
        <v>1</v>
      </c>
      <c r="AL223" s="302" t="s">
        <v>1</v>
      </c>
      <c r="AM223" s="303" t="s">
        <v>1</v>
      </c>
      <c r="AN223" s="287" t="s">
        <v>1</v>
      </c>
      <c r="AO223" s="287" t="s">
        <v>1</v>
      </c>
      <c r="AP223" s="286" t="s">
        <v>1</v>
      </c>
      <c r="AQ223" s="285" t="s">
        <v>1</v>
      </c>
      <c r="AR223" s="289" t="s">
        <v>1</v>
      </c>
      <c r="AS223" s="289" t="s">
        <v>1</v>
      </c>
      <c r="AT223" s="290" t="s">
        <v>1</v>
      </c>
      <c r="AU223" s="287" t="s">
        <v>1</v>
      </c>
      <c r="AV223" s="287" t="s">
        <v>1</v>
      </c>
      <c r="AW223" s="291" t="s">
        <v>1</v>
      </c>
    </row>
    <row r="224" spans="1:49" ht="30.15" customHeight="1" x14ac:dyDescent="0.25">
      <c r="A224" s="213" t="s">
        <v>18</v>
      </c>
      <c r="B224" s="189" t="s">
        <v>1</v>
      </c>
      <c r="C224" s="212" t="s">
        <v>34</v>
      </c>
      <c r="D224" s="190" t="s">
        <v>3</v>
      </c>
      <c r="E224" s="190" t="s">
        <v>167</v>
      </c>
      <c r="F224" s="203"/>
      <c r="G224" s="190" t="s">
        <v>166</v>
      </c>
      <c r="H224" s="192" t="s">
        <v>409</v>
      </c>
      <c r="I224" s="193">
        <v>659</v>
      </c>
      <c r="J224" s="193">
        <v>675</v>
      </c>
      <c r="K224" s="193">
        <v>675</v>
      </c>
      <c r="L224" s="193">
        <v>710</v>
      </c>
      <c r="M224" s="194">
        <v>710</v>
      </c>
      <c r="N224" s="284">
        <v>284</v>
      </c>
      <c r="O224" s="285">
        <v>2.92</v>
      </c>
      <c r="P224" s="285">
        <v>24</v>
      </c>
      <c r="Q224" s="285" t="s">
        <v>1</v>
      </c>
      <c r="R224" s="285" t="s">
        <v>1</v>
      </c>
      <c r="S224" s="286">
        <v>284</v>
      </c>
      <c r="T224" s="285">
        <v>2.92</v>
      </c>
      <c r="U224" s="285">
        <v>24</v>
      </c>
      <c r="V224" s="285" t="s">
        <v>1</v>
      </c>
      <c r="W224" s="285" t="s">
        <v>1</v>
      </c>
      <c r="X224" s="286">
        <v>284</v>
      </c>
      <c r="Y224" s="285">
        <v>2.92</v>
      </c>
      <c r="Z224" s="285">
        <v>24</v>
      </c>
      <c r="AA224" s="285" t="s">
        <v>1</v>
      </c>
      <c r="AB224" s="285" t="s">
        <v>1</v>
      </c>
      <c r="AC224" s="286">
        <v>284</v>
      </c>
      <c r="AD224" s="285">
        <v>2.92</v>
      </c>
      <c r="AE224" s="285">
        <v>24</v>
      </c>
      <c r="AF224" s="285" t="s">
        <v>1</v>
      </c>
      <c r="AG224" s="285" t="s">
        <v>1</v>
      </c>
      <c r="AH224" s="286" t="s">
        <v>1</v>
      </c>
      <c r="AI224" s="295" t="s">
        <v>1</v>
      </c>
      <c r="AJ224" s="295" t="s">
        <v>1</v>
      </c>
      <c r="AK224" s="295" t="s">
        <v>1</v>
      </c>
      <c r="AL224" s="302" t="s">
        <v>1</v>
      </c>
      <c r="AM224" s="303" t="s">
        <v>1</v>
      </c>
      <c r="AN224" s="287" t="s">
        <v>1</v>
      </c>
      <c r="AO224" s="287" t="s">
        <v>1</v>
      </c>
      <c r="AP224" s="286" t="s">
        <v>1</v>
      </c>
      <c r="AQ224" s="285" t="s">
        <v>1</v>
      </c>
      <c r="AR224" s="289" t="s">
        <v>1</v>
      </c>
      <c r="AS224" s="289" t="s">
        <v>1</v>
      </c>
      <c r="AT224" s="290" t="s">
        <v>1</v>
      </c>
      <c r="AU224" s="287" t="s">
        <v>1</v>
      </c>
      <c r="AV224" s="287" t="s">
        <v>1</v>
      </c>
      <c r="AW224" s="291" t="s">
        <v>1</v>
      </c>
    </row>
    <row r="225" spans="1:49" ht="30.15" customHeight="1" x14ac:dyDescent="0.25">
      <c r="A225" s="213" t="s">
        <v>18</v>
      </c>
      <c r="B225" s="189" t="s">
        <v>1</v>
      </c>
      <c r="C225" s="212" t="s">
        <v>34</v>
      </c>
      <c r="D225" s="190" t="s">
        <v>3</v>
      </c>
      <c r="E225" s="190" t="s">
        <v>168</v>
      </c>
      <c r="F225" s="203"/>
      <c r="G225" s="190" t="s">
        <v>166</v>
      </c>
      <c r="H225" s="192" t="s">
        <v>409</v>
      </c>
      <c r="I225" s="193">
        <v>659</v>
      </c>
      <c r="J225" s="193">
        <v>675</v>
      </c>
      <c r="K225" s="193">
        <v>675</v>
      </c>
      <c r="L225" s="193">
        <v>710</v>
      </c>
      <c r="M225" s="194">
        <v>710</v>
      </c>
      <c r="N225" s="284">
        <v>284</v>
      </c>
      <c r="O225" s="285">
        <v>2.92</v>
      </c>
      <c r="P225" s="285">
        <v>24</v>
      </c>
      <c r="Q225" s="285" t="s">
        <v>1</v>
      </c>
      <c r="R225" s="285" t="s">
        <v>1</v>
      </c>
      <c r="S225" s="286">
        <v>284</v>
      </c>
      <c r="T225" s="285">
        <v>2.92</v>
      </c>
      <c r="U225" s="285">
        <v>24</v>
      </c>
      <c r="V225" s="285" t="s">
        <v>1</v>
      </c>
      <c r="W225" s="285" t="s">
        <v>1</v>
      </c>
      <c r="X225" s="286">
        <v>284</v>
      </c>
      <c r="Y225" s="285">
        <v>2.92</v>
      </c>
      <c r="Z225" s="285">
        <v>24</v>
      </c>
      <c r="AA225" s="285" t="s">
        <v>1</v>
      </c>
      <c r="AB225" s="285" t="s">
        <v>1</v>
      </c>
      <c r="AC225" s="286">
        <v>284</v>
      </c>
      <c r="AD225" s="285">
        <v>2.92</v>
      </c>
      <c r="AE225" s="285">
        <v>24</v>
      </c>
      <c r="AF225" s="285" t="s">
        <v>1</v>
      </c>
      <c r="AG225" s="285" t="s">
        <v>1</v>
      </c>
      <c r="AH225" s="286" t="s">
        <v>1</v>
      </c>
      <c r="AI225" s="295" t="s">
        <v>1</v>
      </c>
      <c r="AJ225" s="295" t="s">
        <v>1</v>
      </c>
      <c r="AK225" s="295" t="s">
        <v>1</v>
      </c>
      <c r="AL225" s="302" t="s">
        <v>1</v>
      </c>
      <c r="AM225" s="303" t="s">
        <v>1</v>
      </c>
      <c r="AN225" s="287" t="s">
        <v>1</v>
      </c>
      <c r="AO225" s="287" t="s">
        <v>1</v>
      </c>
      <c r="AP225" s="286" t="s">
        <v>1</v>
      </c>
      <c r="AQ225" s="285" t="s">
        <v>1</v>
      </c>
      <c r="AR225" s="289" t="s">
        <v>1</v>
      </c>
      <c r="AS225" s="289" t="s">
        <v>1</v>
      </c>
      <c r="AT225" s="290" t="s">
        <v>1</v>
      </c>
      <c r="AU225" s="287" t="s">
        <v>1</v>
      </c>
      <c r="AV225" s="287" t="s">
        <v>1</v>
      </c>
      <c r="AW225" s="291" t="s">
        <v>1</v>
      </c>
    </row>
    <row r="226" spans="1:49" ht="30.15" customHeight="1" x14ac:dyDescent="0.25">
      <c r="A226" s="213" t="s">
        <v>18</v>
      </c>
      <c r="B226" s="188" t="s">
        <v>1</v>
      </c>
      <c r="C226" s="212" t="s">
        <v>34</v>
      </c>
      <c r="D226" s="190" t="s">
        <v>3</v>
      </c>
      <c r="E226" s="190" t="s">
        <v>315</v>
      </c>
      <c r="F226" s="203"/>
      <c r="G226" s="190" t="s">
        <v>303</v>
      </c>
      <c r="H226" s="192" t="s">
        <v>409</v>
      </c>
      <c r="I226" s="193">
        <v>569</v>
      </c>
      <c r="J226" s="193">
        <v>580</v>
      </c>
      <c r="K226" s="193">
        <v>580</v>
      </c>
      <c r="L226" s="193">
        <v>610</v>
      </c>
      <c r="M226" s="194">
        <v>610</v>
      </c>
      <c r="N226" s="284">
        <v>244</v>
      </c>
      <c r="O226" s="285">
        <v>10.42</v>
      </c>
      <c r="P226" s="285">
        <v>24</v>
      </c>
      <c r="Q226" s="285" t="s">
        <v>1</v>
      </c>
      <c r="R226" s="285" t="s">
        <v>1</v>
      </c>
      <c r="S226" s="286">
        <v>244</v>
      </c>
      <c r="T226" s="285">
        <v>10.42</v>
      </c>
      <c r="U226" s="285">
        <v>24</v>
      </c>
      <c r="V226" s="285" t="s">
        <v>1</v>
      </c>
      <c r="W226" s="285" t="s">
        <v>1</v>
      </c>
      <c r="X226" s="286">
        <v>244</v>
      </c>
      <c r="Y226" s="285">
        <v>10.42</v>
      </c>
      <c r="Z226" s="285">
        <v>24</v>
      </c>
      <c r="AA226" s="285" t="s">
        <v>1</v>
      </c>
      <c r="AB226" s="285" t="s">
        <v>1</v>
      </c>
      <c r="AC226" s="286">
        <v>244</v>
      </c>
      <c r="AD226" s="285">
        <v>10.42</v>
      </c>
      <c r="AE226" s="285">
        <v>24</v>
      </c>
      <c r="AF226" s="285" t="s">
        <v>1</v>
      </c>
      <c r="AG226" s="285" t="s">
        <v>1</v>
      </c>
      <c r="AH226" s="286">
        <v>244</v>
      </c>
      <c r="AI226" s="295">
        <v>10.42</v>
      </c>
      <c r="AJ226" s="285">
        <v>24</v>
      </c>
      <c r="AK226" s="285" t="s">
        <v>1</v>
      </c>
      <c r="AL226" s="302" t="s">
        <v>1</v>
      </c>
      <c r="AM226" s="288" t="s">
        <v>1</v>
      </c>
      <c r="AN226" s="287" t="s">
        <v>1</v>
      </c>
      <c r="AO226" s="287" t="s">
        <v>1</v>
      </c>
      <c r="AP226" s="286" t="s">
        <v>1</v>
      </c>
      <c r="AQ226" s="285" t="s">
        <v>1</v>
      </c>
      <c r="AR226" s="289" t="s">
        <v>1</v>
      </c>
      <c r="AS226" s="289" t="s">
        <v>1</v>
      </c>
      <c r="AT226" s="290" t="s">
        <v>1</v>
      </c>
      <c r="AU226" s="287" t="s">
        <v>1</v>
      </c>
      <c r="AV226" s="287" t="s">
        <v>1</v>
      </c>
      <c r="AW226" s="291" t="s">
        <v>1</v>
      </c>
    </row>
    <row r="227" spans="1:49" ht="30.15" customHeight="1" x14ac:dyDescent="0.25">
      <c r="A227" s="213" t="s">
        <v>18</v>
      </c>
      <c r="B227" s="188" t="s">
        <v>1</v>
      </c>
      <c r="C227" s="212" t="s">
        <v>34</v>
      </c>
      <c r="D227" s="190" t="s">
        <v>3</v>
      </c>
      <c r="E227" s="190" t="s">
        <v>307</v>
      </c>
      <c r="F227" s="203"/>
      <c r="G227" s="190" t="s">
        <v>303</v>
      </c>
      <c r="H227" s="192" t="s">
        <v>409</v>
      </c>
      <c r="I227" s="193">
        <v>569</v>
      </c>
      <c r="J227" s="193">
        <v>580</v>
      </c>
      <c r="K227" s="193">
        <v>580</v>
      </c>
      <c r="L227" s="193">
        <v>610</v>
      </c>
      <c r="M227" s="194">
        <v>610</v>
      </c>
      <c r="N227" s="284">
        <v>244</v>
      </c>
      <c r="O227" s="285">
        <v>10.42</v>
      </c>
      <c r="P227" s="285">
        <v>24</v>
      </c>
      <c r="Q227" s="285" t="s">
        <v>1</v>
      </c>
      <c r="R227" s="285" t="s">
        <v>1</v>
      </c>
      <c r="S227" s="286">
        <v>244</v>
      </c>
      <c r="T227" s="285">
        <v>10.42</v>
      </c>
      <c r="U227" s="285">
        <v>24</v>
      </c>
      <c r="V227" s="285" t="s">
        <v>1</v>
      </c>
      <c r="W227" s="285" t="s">
        <v>1</v>
      </c>
      <c r="X227" s="286">
        <v>244</v>
      </c>
      <c r="Y227" s="285">
        <v>10.42</v>
      </c>
      <c r="Z227" s="285">
        <v>24</v>
      </c>
      <c r="AA227" s="285" t="s">
        <v>1</v>
      </c>
      <c r="AB227" s="285" t="s">
        <v>1</v>
      </c>
      <c r="AC227" s="286">
        <v>244</v>
      </c>
      <c r="AD227" s="285">
        <v>10.42</v>
      </c>
      <c r="AE227" s="285">
        <v>24</v>
      </c>
      <c r="AF227" s="285" t="s">
        <v>1</v>
      </c>
      <c r="AG227" s="285" t="s">
        <v>1</v>
      </c>
      <c r="AH227" s="286">
        <v>244</v>
      </c>
      <c r="AI227" s="295">
        <v>10.42</v>
      </c>
      <c r="AJ227" s="285">
        <v>24</v>
      </c>
      <c r="AK227" s="285" t="s">
        <v>1</v>
      </c>
      <c r="AL227" s="302" t="s">
        <v>1</v>
      </c>
      <c r="AM227" s="288" t="s">
        <v>1</v>
      </c>
      <c r="AN227" s="287" t="s">
        <v>1</v>
      </c>
      <c r="AO227" s="287" t="s">
        <v>1</v>
      </c>
      <c r="AP227" s="286" t="s">
        <v>1</v>
      </c>
      <c r="AQ227" s="285" t="s">
        <v>1</v>
      </c>
      <c r="AR227" s="289" t="s">
        <v>1</v>
      </c>
      <c r="AS227" s="289" t="s">
        <v>1</v>
      </c>
      <c r="AT227" s="290" t="s">
        <v>1</v>
      </c>
      <c r="AU227" s="287" t="s">
        <v>1</v>
      </c>
      <c r="AV227" s="287" t="s">
        <v>1</v>
      </c>
      <c r="AW227" s="291" t="s">
        <v>1</v>
      </c>
    </row>
    <row r="228" spans="1:49" ht="30.15" customHeight="1" x14ac:dyDescent="0.25">
      <c r="A228" s="213" t="s">
        <v>18</v>
      </c>
      <c r="B228" s="188" t="s">
        <v>1</v>
      </c>
      <c r="C228" s="212" t="s">
        <v>34</v>
      </c>
      <c r="D228" s="190" t="s">
        <v>3</v>
      </c>
      <c r="E228" s="190" t="s">
        <v>382</v>
      </c>
      <c r="F228" s="203"/>
      <c r="G228" s="190" t="s">
        <v>303</v>
      </c>
      <c r="H228" s="192" t="s">
        <v>413</v>
      </c>
      <c r="I228" s="193">
        <v>569</v>
      </c>
      <c r="J228" s="193">
        <v>580</v>
      </c>
      <c r="K228" s="193">
        <v>580</v>
      </c>
      <c r="L228" s="193">
        <v>610</v>
      </c>
      <c r="M228" s="194">
        <v>610</v>
      </c>
      <c r="N228" s="284">
        <v>244</v>
      </c>
      <c r="O228" s="285">
        <v>10.42</v>
      </c>
      <c r="P228" s="285">
        <v>24</v>
      </c>
      <c r="Q228" s="285" t="s">
        <v>1</v>
      </c>
      <c r="R228" s="285" t="s">
        <v>1</v>
      </c>
      <c r="S228" s="286">
        <v>244</v>
      </c>
      <c r="T228" s="285">
        <v>10.42</v>
      </c>
      <c r="U228" s="285">
        <v>24</v>
      </c>
      <c r="V228" s="285" t="s">
        <v>1</v>
      </c>
      <c r="W228" s="285" t="s">
        <v>1</v>
      </c>
      <c r="X228" s="286">
        <v>244</v>
      </c>
      <c r="Y228" s="285">
        <v>10.42</v>
      </c>
      <c r="Z228" s="285">
        <v>24</v>
      </c>
      <c r="AA228" s="285" t="s">
        <v>1</v>
      </c>
      <c r="AB228" s="285" t="s">
        <v>1</v>
      </c>
      <c r="AC228" s="286">
        <v>244</v>
      </c>
      <c r="AD228" s="285">
        <v>10.42</v>
      </c>
      <c r="AE228" s="285">
        <v>24</v>
      </c>
      <c r="AF228" s="285" t="s">
        <v>1</v>
      </c>
      <c r="AG228" s="285" t="s">
        <v>1</v>
      </c>
      <c r="AH228" s="286">
        <v>244</v>
      </c>
      <c r="AI228" s="295">
        <v>10.42</v>
      </c>
      <c r="AJ228" s="285">
        <v>24</v>
      </c>
      <c r="AK228" s="285" t="s">
        <v>1</v>
      </c>
      <c r="AL228" s="302" t="s">
        <v>1</v>
      </c>
      <c r="AM228" s="288" t="s">
        <v>1</v>
      </c>
      <c r="AN228" s="287" t="s">
        <v>1</v>
      </c>
      <c r="AO228" s="287" t="s">
        <v>1</v>
      </c>
      <c r="AP228" s="286" t="s">
        <v>1</v>
      </c>
      <c r="AQ228" s="285" t="s">
        <v>1</v>
      </c>
      <c r="AR228" s="289" t="s">
        <v>1</v>
      </c>
      <c r="AS228" s="289" t="s">
        <v>1</v>
      </c>
      <c r="AT228" s="290" t="s">
        <v>1</v>
      </c>
      <c r="AU228" s="287" t="s">
        <v>1</v>
      </c>
      <c r="AV228" s="287" t="s">
        <v>1</v>
      </c>
      <c r="AW228" s="291" t="s">
        <v>1</v>
      </c>
    </row>
    <row r="229" spans="1:49" ht="30.15" customHeight="1" x14ac:dyDescent="0.25">
      <c r="A229" s="213" t="s">
        <v>18</v>
      </c>
      <c r="B229" s="188" t="s">
        <v>1</v>
      </c>
      <c r="C229" s="212" t="s">
        <v>34</v>
      </c>
      <c r="D229" s="190" t="s">
        <v>3</v>
      </c>
      <c r="E229" s="190" t="s">
        <v>308</v>
      </c>
      <c r="F229" s="203"/>
      <c r="G229" s="190" t="s">
        <v>303</v>
      </c>
      <c r="H229" s="192" t="s">
        <v>409</v>
      </c>
      <c r="I229" s="193">
        <v>569</v>
      </c>
      <c r="J229" s="193">
        <v>580</v>
      </c>
      <c r="K229" s="193">
        <v>580</v>
      </c>
      <c r="L229" s="193">
        <v>610</v>
      </c>
      <c r="M229" s="194">
        <v>610</v>
      </c>
      <c r="N229" s="284">
        <v>244</v>
      </c>
      <c r="O229" s="285">
        <v>10.42</v>
      </c>
      <c r="P229" s="285">
        <v>24</v>
      </c>
      <c r="Q229" s="285" t="s">
        <v>1</v>
      </c>
      <c r="R229" s="285" t="s">
        <v>1</v>
      </c>
      <c r="S229" s="286">
        <v>244</v>
      </c>
      <c r="T229" s="285">
        <v>10.42</v>
      </c>
      <c r="U229" s="285">
        <v>24</v>
      </c>
      <c r="V229" s="285" t="s">
        <v>1</v>
      </c>
      <c r="W229" s="285" t="s">
        <v>1</v>
      </c>
      <c r="X229" s="286">
        <v>244</v>
      </c>
      <c r="Y229" s="285">
        <v>10.42</v>
      </c>
      <c r="Z229" s="285">
        <v>24</v>
      </c>
      <c r="AA229" s="285" t="s">
        <v>1</v>
      </c>
      <c r="AB229" s="285" t="s">
        <v>1</v>
      </c>
      <c r="AC229" s="286">
        <v>244</v>
      </c>
      <c r="AD229" s="285">
        <v>10.42</v>
      </c>
      <c r="AE229" s="285">
        <v>24</v>
      </c>
      <c r="AF229" s="285" t="s">
        <v>1</v>
      </c>
      <c r="AG229" s="285" t="s">
        <v>1</v>
      </c>
      <c r="AH229" s="286">
        <v>244</v>
      </c>
      <c r="AI229" s="295">
        <v>10.42</v>
      </c>
      <c r="AJ229" s="285">
        <v>24</v>
      </c>
      <c r="AK229" s="285" t="s">
        <v>1</v>
      </c>
      <c r="AL229" s="302" t="s">
        <v>1</v>
      </c>
      <c r="AM229" s="288" t="s">
        <v>1</v>
      </c>
      <c r="AN229" s="287" t="s">
        <v>1</v>
      </c>
      <c r="AO229" s="287" t="s">
        <v>1</v>
      </c>
      <c r="AP229" s="286" t="s">
        <v>1</v>
      </c>
      <c r="AQ229" s="285" t="s">
        <v>1</v>
      </c>
      <c r="AR229" s="289" t="s">
        <v>1</v>
      </c>
      <c r="AS229" s="289" t="s">
        <v>1</v>
      </c>
      <c r="AT229" s="290" t="s">
        <v>1</v>
      </c>
      <c r="AU229" s="287" t="s">
        <v>1</v>
      </c>
      <c r="AV229" s="287" t="s">
        <v>1</v>
      </c>
      <c r="AW229" s="291" t="s">
        <v>1</v>
      </c>
    </row>
    <row r="230" spans="1:49" ht="30.15" customHeight="1" x14ac:dyDescent="0.25">
      <c r="A230" s="213" t="s">
        <v>18</v>
      </c>
      <c r="B230" s="188" t="s">
        <v>1</v>
      </c>
      <c r="C230" s="212" t="s">
        <v>34</v>
      </c>
      <c r="D230" s="190" t="s">
        <v>3</v>
      </c>
      <c r="E230" s="190" t="s">
        <v>316</v>
      </c>
      <c r="F230" s="203"/>
      <c r="G230" s="190" t="s">
        <v>304</v>
      </c>
      <c r="H230" s="192" t="s">
        <v>409</v>
      </c>
      <c r="I230" s="193">
        <v>979</v>
      </c>
      <c r="J230" s="193">
        <v>979</v>
      </c>
      <c r="K230" s="193">
        <v>979</v>
      </c>
      <c r="L230" s="193">
        <v>1050</v>
      </c>
      <c r="M230" s="194">
        <v>1050</v>
      </c>
      <c r="N230" s="284">
        <v>420</v>
      </c>
      <c r="O230" s="285">
        <v>10.42</v>
      </c>
      <c r="P230" s="285">
        <v>24</v>
      </c>
      <c r="Q230" s="285" t="s">
        <v>1</v>
      </c>
      <c r="R230" s="285" t="s">
        <v>1</v>
      </c>
      <c r="S230" s="286">
        <v>420</v>
      </c>
      <c r="T230" s="285">
        <v>10.42</v>
      </c>
      <c r="U230" s="285">
        <v>24</v>
      </c>
      <c r="V230" s="285" t="s">
        <v>1</v>
      </c>
      <c r="W230" s="285" t="s">
        <v>1</v>
      </c>
      <c r="X230" s="286">
        <v>420</v>
      </c>
      <c r="Y230" s="285">
        <v>10.42</v>
      </c>
      <c r="Z230" s="285">
        <v>24</v>
      </c>
      <c r="AA230" s="285" t="s">
        <v>1</v>
      </c>
      <c r="AB230" s="285" t="s">
        <v>1</v>
      </c>
      <c r="AC230" s="286">
        <v>420</v>
      </c>
      <c r="AD230" s="285">
        <v>10.42</v>
      </c>
      <c r="AE230" s="285">
        <v>24</v>
      </c>
      <c r="AF230" s="285" t="s">
        <v>1</v>
      </c>
      <c r="AG230" s="285" t="s">
        <v>1</v>
      </c>
      <c r="AH230" s="286">
        <v>420</v>
      </c>
      <c r="AI230" s="295">
        <v>10.42</v>
      </c>
      <c r="AJ230" s="285">
        <v>24</v>
      </c>
      <c r="AK230" s="285" t="s">
        <v>1</v>
      </c>
      <c r="AL230" s="302" t="s">
        <v>1</v>
      </c>
      <c r="AM230" s="288" t="s">
        <v>1</v>
      </c>
      <c r="AN230" s="287" t="s">
        <v>1</v>
      </c>
      <c r="AO230" s="287" t="s">
        <v>1</v>
      </c>
      <c r="AP230" s="286" t="s">
        <v>1</v>
      </c>
      <c r="AQ230" s="285" t="s">
        <v>1</v>
      </c>
      <c r="AR230" s="289" t="s">
        <v>1</v>
      </c>
      <c r="AS230" s="289" t="s">
        <v>1</v>
      </c>
      <c r="AT230" s="290" t="s">
        <v>1</v>
      </c>
      <c r="AU230" s="287" t="s">
        <v>1</v>
      </c>
      <c r="AV230" s="287" t="s">
        <v>1</v>
      </c>
      <c r="AW230" s="291" t="s">
        <v>1</v>
      </c>
    </row>
    <row r="231" spans="1:49" ht="30.15" customHeight="1" x14ac:dyDescent="0.25">
      <c r="A231" s="213" t="s">
        <v>18</v>
      </c>
      <c r="B231" s="188" t="s">
        <v>1</v>
      </c>
      <c r="C231" s="212" t="s">
        <v>34</v>
      </c>
      <c r="D231" s="190" t="s">
        <v>3</v>
      </c>
      <c r="E231" s="190" t="s">
        <v>309</v>
      </c>
      <c r="F231" s="203"/>
      <c r="G231" s="190" t="s">
        <v>304</v>
      </c>
      <c r="H231" s="192" t="s">
        <v>409</v>
      </c>
      <c r="I231" s="193">
        <v>979</v>
      </c>
      <c r="J231" s="193">
        <v>979</v>
      </c>
      <c r="K231" s="193">
        <v>979</v>
      </c>
      <c r="L231" s="193">
        <v>1050</v>
      </c>
      <c r="M231" s="194">
        <v>1050</v>
      </c>
      <c r="N231" s="284">
        <v>420</v>
      </c>
      <c r="O231" s="285">
        <v>10.42</v>
      </c>
      <c r="P231" s="285">
        <v>24</v>
      </c>
      <c r="Q231" s="285" t="s">
        <v>1</v>
      </c>
      <c r="R231" s="285" t="s">
        <v>1</v>
      </c>
      <c r="S231" s="286">
        <v>420</v>
      </c>
      <c r="T231" s="285">
        <v>10.42</v>
      </c>
      <c r="U231" s="285">
        <v>24</v>
      </c>
      <c r="V231" s="285" t="s">
        <v>1</v>
      </c>
      <c r="W231" s="285" t="s">
        <v>1</v>
      </c>
      <c r="X231" s="286">
        <v>420</v>
      </c>
      <c r="Y231" s="285">
        <v>10.42</v>
      </c>
      <c r="Z231" s="285">
        <v>24</v>
      </c>
      <c r="AA231" s="285" t="s">
        <v>1</v>
      </c>
      <c r="AB231" s="285" t="s">
        <v>1</v>
      </c>
      <c r="AC231" s="286">
        <v>420</v>
      </c>
      <c r="AD231" s="285">
        <v>10.42</v>
      </c>
      <c r="AE231" s="285">
        <v>24</v>
      </c>
      <c r="AF231" s="285" t="s">
        <v>1</v>
      </c>
      <c r="AG231" s="285" t="s">
        <v>1</v>
      </c>
      <c r="AH231" s="286">
        <v>420</v>
      </c>
      <c r="AI231" s="295">
        <v>10.42</v>
      </c>
      <c r="AJ231" s="285">
        <v>24</v>
      </c>
      <c r="AK231" s="285" t="s">
        <v>1</v>
      </c>
      <c r="AL231" s="302" t="s">
        <v>1</v>
      </c>
      <c r="AM231" s="288" t="s">
        <v>1</v>
      </c>
      <c r="AN231" s="287" t="s">
        <v>1</v>
      </c>
      <c r="AO231" s="287" t="s">
        <v>1</v>
      </c>
      <c r="AP231" s="286" t="s">
        <v>1</v>
      </c>
      <c r="AQ231" s="285" t="s">
        <v>1</v>
      </c>
      <c r="AR231" s="289" t="s">
        <v>1</v>
      </c>
      <c r="AS231" s="289" t="s">
        <v>1</v>
      </c>
      <c r="AT231" s="290" t="s">
        <v>1</v>
      </c>
      <c r="AU231" s="287" t="s">
        <v>1</v>
      </c>
      <c r="AV231" s="287" t="s">
        <v>1</v>
      </c>
      <c r="AW231" s="291" t="s">
        <v>1</v>
      </c>
    </row>
    <row r="232" spans="1:49" ht="30.15" customHeight="1" x14ac:dyDescent="0.25">
      <c r="A232" s="213" t="s">
        <v>18</v>
      </c>
      <c r="B232" s="188" t="s">
        <v>1</v>
      </c>
      <c r="C232" s="212" t="s">
        <v>34</v>
      </c>
      <c r="D232" s="190" t="s">
        <v>3</v>
      </c>
      <c r="E232" s="190" t="s">
        <v>384</v>
      </c>
      <c r="F232" s="203"/>
      <c r="G232" s="190" t="s">
        <v>304</v>
      </c>
      <c r="H232" s="192" t="s">
        <v>414</v>
      </c>
      <c r="I232" s="193">
        <v>979</v>
      </c>
      <c r="J232" s="193">
        <v>979</v>
      </c>
      <c r="K232" s="193">
        <v>979</v>
      </c>
      <c r="L232" s="193">
        <v>1050</v>
      </c>
      <c r="M232" s="194">
        <v>1050</v>
      </c>
      <c r="N232" s="284">
        <v>420</v>
      </c>
      <c r="O232" s="285">
        <v>10.42</v>
      </c>
      <c r="P232" s="285">
        <v>24</v>
      </c>
      <c r="Q232" s="285" t="s">
        <v>1</v>
      </c>
      <c r="R232" s="285" t="s">
        <v>1</v>
      </c>
      <c r="S232" s="286">
        <v>420</v>
      </c>
      <c r="T232" s="285">
        <v>10.42</v>
      </c>
      <c r="U232" s="285">
        <v>24</v>
      </c>
      <c r="V232" s="285" t="s">
        <v>1</v>
      </c>
      <c r="W232" s="285" t="s">
        <v>1</v>
      </c>
      <c r="X232" s="286">
        <v>420</v>
      </c>
      <c r="Y232" s="285">
        <v>10.42</v>
      </c>
      <c r="Z232" s="285">
        <v>24</v>
      </c>
      <c r="AA232" s="285" t="s">
        <v>1</v>
      </c>
      <c r="AB232" s="285" t="s">
        <v>1</v>
      </c>
      <c r="AC232" s="286">
        <v>420</v>
      </c>
      <c r="AD232" s="285">
        <v>10.42</v>
      </c>
      <c r="AE232" s="285">
        <v>24</v>
      </c>
      <c r="AF232" s="285" t="s">
        <v>1</v>
      </c>
      <c r="AG232" s="285" t="s">
        <v>1</v>
      </c>
      <c r="AH232" s="286">
        <v>420</v>
      </c>
      <c r="AI232" s="295">
        <v>10.42</v>
      </c>
      <c r="AJ232" s="285">
        <v>24</v>
      </c>
      <c r="AK232" s="285" t="s">
        <v>1</v>
      </c>
      <c r="AL232" s="302" t="s">
        <v>1</v>
      </c>
      <c r="AM232" s="288" t="s">
        <v>1</v>
      </c>
      <c r="AN232" s="287" t="s">
        <v>1</v>
      </c>
      <c r="AO232" s="287" t="s">
        <v>1</v>
      </c>
      <c r="AP232" s="286" t="s">
        <v>1</v>
      </c>
      <c r="AQ232" s="285" t="s">
        <v>1</v>
      </c>
      <c r="AR232" s="289" t="s">
        <v>1</v>
      </c>
      <c r="AS232" s="289" t="s">
        <v>1</v>
      </c>
      <c r="AT232" s="290" t="s">
        <v>1</v>
      </c>
      <c r="AU232" s="287" t="s">
        <v>1</v>
      </c>
      <c r="AV232" s="287" t="s">
        <v>1</v>
      </c>
      <c r="AW232" s="291" t="s">
        <v>1</v>
      </c>
    </row>
    <row r="233" spans="1:49" ht="30.15" customHeight="1" x14ac:dyDescent="0.25">
      <c r="A233" s="213" t="s">
        <v>18</v>
      </c>
      <c r="B233" s="188" t="s">
        <v>1</v>
      </c>
      <c r="C233" s="212" t="s">
        <v>34</v>
      </c>
      <c r="D233" s="190" t="s">
        <v>3</v>
      </c>
      <c r="E233" s="190" t="s">
        <v>310</v>
      </c>
      <c r="F233" s="203"/>
      <c r="G233" s="190" t="s">
        <v>304</v>
      </c>
      <c r="H233" s="192" t="s">
        <v>409</v>
      </c>
      <c r="I233" s="193">
        <v>979</v>
      </c>
      <c r="J233" s="193">
        <v>979</v>
      </c>
      <c r="K233" s="193">
        <v>979</v>
      </c>
      <c r="L233" s="193">
        <v>1050</v>
      </c>
      <c r="M233" s="194">
        <v>1050</v>
      </c>
      <c r="N233" s="284">
        <v>420</v>
      </c>
      <c r="O233" s="285">
        <v>10.42</v>
      </c>
      <c r="P233" s="285">
        <v>24</v>
      </c>
      <c r="Q233" s="285" t="s">
        <v>1</v>
      </c>
      <c r="R233" s="285" t="s">
        <v>1</v>
      </c>
      <c r="S233" s="286">
        <v>420</v>
      </c>
      <c r="T233" s="285">
        <v>10.42</v>
      </c>
      <c r="U233" s="285">
        <v>24</v>
      </c>
      <c r="V233" s="285" t="s">
        <v>1</v>
      </c>
      <c r="W233" s="285" t="s">
        <v>1</v>
      </c>
      <c r="X233" s="286">
        <v>420</v>
      </c>
      <c r="Y233" s="285">
        <v>10.42</v>
      </c>
      <c r="Z233" s="285">
        <v>24</v>
      </c>
      <c r="AA233" s="285" t="s">
        <v>1</v>
      </c>
      <c r="AB233" s="285" t="s">
        <v>1</v>
      </c>
      <c r="AC233" s="286">
        <v>420</v>
      </c>
      <c r="AD233" s="285">
        <v>10.42</v>
      </c>
      <c r="AE233" s="285">
        <v>24</v>
      </c>
      <c r="AF233" s="285" t="s">
        <v>1</v>
      </c>
      <c r="AG233" s="285" t="s">
        <v>1</v>
      </c>
      <c r="AH233" s="286">
        <v>420</v>
      </c>
      <c r="AI233" s="295">
        <v>10.42</v>
      </c>
      <c r="AJ233" s="285">
        <v>24</v>
      </c>
      <c r="AK233" s="285" t="s">
        <v>1</v>
      </c>
      <c r="AL233" s="302" t="s">
        <v>1</v>
      </c>
      <c r="AM233" s="288" t="s">
        <v>1</v>
      </c>
      <c r="AN233" s="287" t="s">
        <v>1</v>
      </c>
      <c r="AO233" s="287" t="s">
        <v>1</v>
      </c>
      <c r="AP233" s="286" t="s">
        <v>1</v>
      </c>
      <c r="AQ233" s="285" t="s">
        <v>1</v>
      </c>
      <c r="AR233" s="289" t="s">
        <v>1</v>
      </c>
      <c r="AS233" s="289" t="s">
        <v>1</v>
      </c>
      <c r="AT233" s="290" t="s">
        <v>1</v>
      </c>
      <c r="AU233" s="287" t="s">
        <v>1</v>
      </c>
      <c r="AV233" s="287" t="s">
        <v>1</v>
      </c>
      <c r="AW233" s="291" t="s">
        <v>1</v>
      </c>
    </row>
    <row r="234" spans="1:49" ht="30.15" customHeight="1" x14ac:dyDescent="0.25">
      <c r="A234" s="213" t="s">
        <v>18</v>
      </c>
      <c r="B234" s="188" t="s">
        <v>1</v>
      </c>
      <c r="C234" s="212" t="s">
        <v>34</v>
      </c>
      <c r="D234" s="190" t="s">
        <v>3</v>
      </c>
      <c r="E234" s="190" t="s">
        <v>317</v>
      </c>
      <c r="F234" s="203"/>
      <c r="G234" s="190" t="s">
        <v>305</v>
      </c>
      <c r="H234" s="192" t="s">
        <v>409</v>
      </c>
      <c r="I234" s="193">
        <v>709</v>
      </c>
      <c r="J234" s="193">
        <v>722</v>
      </c>
      <c r="K234" s="193">
        <v>722</v>
      </c>
      <c r="L234" s="193">
        <v>760</v>
      </c>
      <c r="M234" s="194">
        <v>760</v>
      </c>
      <c r="N234" s="284">
        <v>304</v>
      </c>
      <c r="O234" s="285">
        <v>10.42</v>
      </c>
      <c r="P234" s="285">
        <v>24</v>
      </c>
      <c r="Q234" s="285" t="s">
        <v>1</v>
      </c>
      <c r="R234" s="285" t="s">
        <v>1</v>
      </c>
      <c r="S234" s="286">
        <v>304</v>
      </c>
      <c r="T234" s="285">
        <v>10.42</v>
      </c>
      <c r="U234" s="285">
        <v>24</v>
      </c>
      <c r="V234" s="285" t="s">
        <v>1</v>
      </c>
      <c r="W234" s="285" t="s">
        <v>1</v>
      </c>
      <c r="X234" s="286">
        <v>304</v>
      </c>
      <c r="Y234" s="285">
        <v>10.42</v>
      </c>
      <c r="Z234" s="285">
        <v>24</v>
      </c>
      <c r="AA234" s="285" t="s">
        <v>1</v>
      </c>
      <c r="AB234" s="285" t="s">
        <v>1</v>
      </c>
      <c r="AC234" s="286">
        <v>304</v>
      </c>
      <c r="AD234" s="285">
        <v>10.42</v>
      </c>
      <c r="AE234" s="285">
        <v>24</v>
      </c>
      <c r="AF234" s="285" t="s">
        <v>1</v>
      </c>
      <c r="AG234" s="285" t="s">
        <v>1</v>
      </c>
      <c r="AH234" s="286" t="s">
        <v>1</v>
      </c>
      <c r="AI234" s="295" t="s">
        <v>1</v>
      </c>
      <c r="AJ234" s="295" t="s">
        <v>1</v>
      </c>
      <c r="AK234" s="295" t="s">
        <v>1</v>
      </c>
      <c r="AL234" s="302" t="s">
        <v>1</v>
      </c>
      <c r="AM234" s="288" t="s">
        <v>1</v>
      </c>
      <c r="AN234" s="287" t="s">
        <v>1</v>
      </c>
      <c r="AO234" s="287" t="s">
        <v>1</v>
      </c>
      <c r="AP234" s="286" t="s">
        <v>1</v>
      </c>
      <c r="AQ234" s="285" t="s">
        <v>1</v>
      </c>
      <c r="AR234" s="289" t="s">
        <v>1</v>
      </c>
      <c r="AS234" s="289" t="s">
        <v>1</v>
      </c>
      <c r="AT234" s="290" t="s">
        <v>1</v>
      </c>
      <c r="AU234" s="287" t="s">
        <v>1</v>
      </c>
      <c r="AV234" s="287" t="s">
        <v>1</v>
      </c>
      <c r="AW234" s="291" t="s">
        <v>1</v>
      </c>
    </row>
    <row r="235" spans="1:49" ht="30.15" customHeight="1" x14ac:dyDescent="0.25">
      <c r="A235" s="213" t="s">
        <v>18</v>
      </c>
      <c r="B235" s="188" t="s">
        <v>1</v>
      </c>
      <c r="C235" s="212" t="s">
        <v>34</v>
      </c>
      <c r="D235" s="190" t="s">
        <v>3</v>
      </c>
      <c r="E235" s="190" t="s">
        <v>311</v>
      </c>
      <c r="F235" s="203"/>
      <c r="G235" s="190" t="s">
        <v>305</v>
      </c>
      <c r="H235" s="192" t="s">
        <v>409</v>
      </c>
      <c r="I235" s="193">
        <v>709</v>
      </c>
      <c r="J235" s="193">
        <v>722</v>
      </c>
      <c r="K235" s="193">
        <v>722</v>
      </c>
      <c r="L235" s="193">
        <v>760</v>
      </c>
      <c r="M235" s="194">
        <v>760</v>
      </c>
      <c r="N235" s="284">
        <v>304</v>
      </c>
      <c r="O235" s="285">
        <v>10.42</v>
      </c>
      <c r="P235" s="285">
        <v>24</v>
      </c>
      <c r="Q235" s="285" t="s">
        <v>1</v>
      </c>
      <c r="R235" s="285" t="s">
        <v>1</v>
      </c>
      <c r="S235" s="286">
        <v>304</v>
      </c>
      <c r="T235" s="285">
        <v>10.42</v>
      </c>
      <c r="U235" s="285">
        <v>24</v>
      </c>
      <c r="V235" s="285" t="s">
        <v>1</v>
      </c>
      <c r="W235" s="285" t="s">
        <v>1</v>
      </c>
      <c r="X235" s="286">
        <v>304</v>
      </c>
      <c r="Y235" s="285">
        <v>10.42</v>
      </c>
      <c r="Z235" s="285">
        <v>24</v>
      </c>
      <c r="AA235" s="285" t="s">
        <v>1</v>
      </c>
      <c r="AB235" s="285" t="s">
        <v>1</v>
      </c>
      <c r="AC235" s="286">
        <v>304</v>
      </c>
      <c r="AD235" s="285">
        <v>10.42</v>
      </c>
      <c r="AE235" s="285">
        <v>24</v>
      </c>
      <c r="AF235" s="285" t="s">
        <v>1</v>
      </c>
      <c r="AG235" s="285" t="s">
        <v>1</v>
      </c>
      <c r="AH235" s="286" t="s">
        <v>1</v>
      </c>
      <c r="AI235" s="295" t="s">
        <v>1</v>
      </c>
      <c r="AJ235" s="295" t="s">
        <v>1</v>
      </c>
      <c r="AK235" s="295" t="s">
        <v>1</v>
      </c>
      <c r="AL235" s="302" t="s">
        <v>1</v>
      </c>
      <c r="AM235" s="288" t="s">
        <v>1</v>
      </c>
      <c r="AN235" s="287" t="s">
        <v>1</v>
      </c>
      <c r="AO235" s="287" t="s">
        <v>1</v>
      </c>
      <c r="AP235" s="286" t="s">
        <v>1</v>
      </c>
      <c r="AQ235" s="285" t="s">
        <v>1</v>
      </c>
      <c r="AR235" s="289" t="s">
        <v>1</v>
      </c>
      <c r="AS235" s="289" t="s">
        <v>1</v>
      </c>
      <c r="AT235" s="290" t="s">
        <v>1</v>
      </c>
      <c r="AU235" s="287" t="s">
        <v>1</v>
      </c>
      <c r="AV235" s="287" t="s">
        <v>1</v>
      </c>
      <c r="AW235" s="291" t="s">
        <v>1</v>
      </c>
    </row>
    <row r="236" spans="1:49" ht="30.15" customHeight="1" x14ac:dyDescent="0.25">
      <c r="A236" s="213" t="s">
        <v>18</v>
      </c>
      <c r="B236" s="188" t="s">
        <v>1</v>
      </c>
      <c r="C236" s="212" t="s">
        <v>34</v>
      </c>
      <c r="D236" s="190" t="s">
        <v>3</v>
      </c>
      <c r="E236" s="190" t="s">
        <v>383</v>
      </c>
      <c r="F236" s="203"/>
      <c r="G236" s="190" t="s">
        <v>305</v>
      </c>
      <c r="H236" s="192" t="s">
        <v>413</v>
      </c>
      <c r="I236" s="193">
        <v>709</v>
      </c>
      <c r="J236" s="193">
        <v>722</v>
      </c>
      <c r="K236" s="193">
        <v>722</v>
      </c>
      <c r="L236" s="193">
        <v>760</v>
      </c>
      <c r="M236" s="194">
        <v>760</v>
      </c>
      <c r="N236" s="284">
        <v>304</v>
      </c>
      <c r="O236" s="285">
        <v>10.42</v>
      </c>
      <c r="P236" s="285">
        <v>24</v>
      </c>
      <c r="Q236" s="285" t="s">
        <v>1</v>
      </c>
      <c r="R236" s="285" t="s">
        <v>1</v>
      </c>
      <c r="S236" s="286">
        <v>304</v>
      </c>
      <c r="T236" s="285">
        <v>10.42</v>
      </c>
      <c r="U236" s="285">
        <v>24</v>
      </c>
      <c r="V236" s="285" t="s">
        <v>1</v>
      </c>
      <c r="W236" s="285" t="s">
        <v>1</v>
      </c>
      <c r="X236" s="286">
        <v>304</v>
      </c>
      <c r="Y236" s="285">
        <v>10.42</v>
      </c>
      <c r="Z236" s="285">
        <v>24</v>
      </c>
      <c r="AA236" s="285" t="s">
        <v>1</v>
      </c>
      <c r="AB236" s="285" t="s">
        <v>1</v>
      </c>
      <c r="AC236" s="286">
        <v>304</v>
      </c>
      <c r="AD236" s="285">
        <v>10.42</v>
      </c>
      <c r="AE236" s="285">
        <v>24</v>
      </c>
      <c r="AF236" s="285" t="s">
        <v>1</v>
      </c>
      <c r="AG236" s="285" t="s">
        <v>1</v>
      </c>
      <c r="AH236" s="286" t="s">
        <v>1</v>
      </c>
      <c r="AI236" s="295" t="s">
        <v>1</v>
      </c>
      <c r="AJ236" s="295" t="s">
        <v>1</v>
      </c>
      <c r="AK236" s="295" t="s">
        <v>1</v>
      </c>
      <c r="AL236" s="302" t="s">
        <v>1</v>
      </c>
      <c r="AM236" s="288" t="s">
        <v>1</v>
      </c>
      <c r="AN236" s="287" t="s">
        <v>1</v>
      </c>
      <c r="AO236" s="287" t="s">
        <v>1</v>
      </c>
      <c r="AP236" s="286" t="s">
        <v>1</v>
      </c>
      <c r="AQ236" s="285" t="s">
        <v>1</v>
      </c>
      <c r="AR236" s="289" t="s">
        <v>1</v>
      </c>
      <c r="AS236" s="289" t="s">
        <v>1</v>
      </c>
      <c r="AT236" s="290" t="s">
        <v>1</v>
      </c>
      <c r="AU236" s="287" t="s">
        <v>1</v>
      </c>
      <c r="AV236" s="287" t="s">
        <v>1</v>
      </c>
      <c r="AW236" s="291" t="s">
        <v>1</v>
      </c>
    </row>
    <row r="237" spans="1:49" ht="30.15" customHeight="1" x14ac:dyDescent="0.25">
      <c r="A237" s="213" t="s">
        <v>18</v>
      </c>
      <c r="B237" s="188" t="s">
        <v>1</v>
      </c>
      <c r="C237" s="212" t="s">
        <v>34</v>
      </c>
      <c r="D237" s="190" t="s">
        <v>3</v>
      </c>
      <c r="E237" s="190" t="s">
        <v>312</v>
      </c>
      <c r="F237" s="203"/>
      <c r="G237" s="190" t="s">
        <v>305</v>
      </c>
      <c r="H237" s="192" t="s">
        <v>409</v>
      </c>
      <c r="I237" s="193">
        <v>709</v>
      </c>
      <c r="J237" s="193">
        <v>722</v>
      </c>
      <c r="K237" s="193">
        <v>722</v>
      </c>
      <c r="L237" s="193">
        <v>760</v>
      </c>
      <c r="M237" s="194">
        <v>760</v>
      </c>
      <c r="N237" s="284">
        <v>304</v>
      </c>
      <c r="O237" s="285">
        <v>10.42</v>
      </c>
      <c r="P237" s="285">
        <v>24</v>
      </c>
      <c r="Q237" s="285" t="s">
        <v>1</v>
      </c>
      <c r="R237" s="285" t="s">
        <v>1</v>
      </c>
      <c r="S237" s="286">
        <v>304</v>
      </c>
      <c r="T237" s="285">
        <v>10.42</v>
      </c>
      <c r="U237" s="285">
        <v>24</v>
      </c>
      <c r="V237" s="285" t="s">
        <v>1</v>
      </c>
      <c r="W237" s="285" t="s">
        <v>1</v>
      </c>
      <c r="X237" s="286">
        <v>304</v>
      </c>
      <c r="Y237" s="285">
        <v>10.42</v>
      </c>
      <c r="Z237" s="285">
        <v>24</v>
      </c>
      <c r="AA237" s="285" t="s">
        <v>1</v>
      </c>
      <c r="AB237" s="285" t="s">
        <v>1</v>
      </c>
      <c r="AC237" s="286">
        <v>304</v>
      </c>
      <c r="AD237" s="285">
        <v>10.42</v>
      </c>
      <c r="AE237" s="285">
        <v>24</v>
      </c>
      <c r="AF237" s="285" t="s">
        <v>1</v>
      </c>
      <c r="AG237" s="285" t="s">
        <v>1</v>
      </c>
      <c r="AH237" s="286" t="s">
        <v>1</v>
      </c>
      <c r="AI237" s="295" t="s">
        <v>1</v>
      </c>
      <c r="AJ237" s="295" t="s">
        <v>1</v>
      </c>
      <c r="AK237" s="295" t="s">
        <v>1</v>
      </c>
      <c r="AL237" s="302" t="s">
        <v>1</v>
      </c>
      <c r="AM237" s="288" t="s">
        <v>1</v>
      </c>
      <c r="AN237" s="287" t="s">
        <v>1</v>
      </c>
      <c r="AO237" s="287" t="s">
        <v>1</v>
      </c>
      <c r="AP237" s="286" t="s">
        <v>1</v>
      </c>
      <c r="AQ237" s="285" t="s">
        <v>1</v>
      </c>
      <c r="AR237" s="289" t="s">
        <v>1</v>
      </c>
      <c r="AS237" s="289" t="s">
        <v>1</v>
      </c>
      <c r="AT237" s="290" t="s">
        <v>1</v>
      </c>
      <c r="AU237" s="287" t="s">
        <v>1</v>
      </c>
      <c r="AV237" s="287" t="s">
        <v>1</v>
      </c>
      <c r="AW237" s="291" t="s">
        <v>1</v>
      </c>
    </row>
    <row r="238" spans="1:49" ht="30.15" customHeight="1" x14ac:dyDescent="0.25">
      <c r="A238" s="213" t="s">
        <v>18</v>
      </c>
      <c r="B238" s="188" t="s">
        <v>1</v>
      </c>
      <c r="C238" s="212" t="s">
        <v>34</v>
      </c>
      <c r="D238" s="190" t="s">
        <v>3</v>
      </c>
      <c r="E238" s="190" t="s">
        <v>719</v>
      </c>
      <c r="F238" s="203"/>
      <c r="G238" s="190" t="s">
        <v>721</v>
      </c>
      <c r="H238" s="192" t="s">
        <v>414</v>
      </c>
      <c r="I238" s="193">
        <v>779</v>
      </c>
      <c r="J238" s="193">
        <v>798</v>
      </c>
      <c r="K238" s="193">
        <v>798</v>
      </c>
      <c r="L238" s="193">
        <v>840</v>
      </c>
      <c r="M238" s="194">
        <v>840</v>
      </c>
      <c r="N238" s="284">
        <v>336</v>
      </c>
      <c r="O238" s="285">
        <v>10.42</v>
      </c>
      <c r="P238" s="285">
        <v>24</v>
      </c>
      <c r="Q238" s="285" t="s">
        <v>1</v>
      </c>
      <c r="R238" s="285" t="s">
        <v>1</v>
      </c>
      <c r="S238" s="286">
        <v>336</v>
      </c>
      <c r="T238" s="285">
        <v>10.42</v>
      </c>
      <c r="U238" s="285">
        <v>24</v>
      </c>
      <c r="V238" s="285" t="s">
        <v>1</v>
      </c>
      <c r="W238" s="285" t="s">
        <v>1</v>
      </c>
      <c r="X238" s="286">
        <v>336</v>
      </c>
      <c r="Y238" s="285">
        <v>10.42</v>
      </c>
      <c r="Z238" s="285">
        <v>24</v>
      </c>
      <c r="AA238" s="285" t="s">
        <v>1</v>
      </c>
      <c r="AB238" s="285" t="s">
        <v>1</v>
      </c>
      <c r="AC238" s="286">
        <v>336</v>
      </c>
      <c r="AD238" s="285">
        <v>10.42</v>
      </c>
      <c r="AE238" s="285">
        <v>24</v>
      </c>
      <c r="AF238" s="285" t="s">
        <v>1</v>
      </c>
      <c r="AG238" s="285" t="s">
        <v>1</v>
      </c>
      <c r="AH238" s="286" t="s">
        <v>1</v>
      </c>
      <c r="AI238" s="295" t="s">
        <v>1</v>
      </c>
      <c r="AJ238" s="295" t="s">
        <v>1</v>
      </c>
      <c r="AK238" s="295" t="s">
        <v>1</v>
      </c>
      <c r="AL238" s="302" t="s">
        <v>1</v>
      </c>
      <c r="AM238" s="288" t="s">
        <v>1</v>
      </c>
      <c r="AN238" s="287" t="s">
        <v>1</v>
      </c>
      <c r="AO238" s="287" t="s">
        <v>1</v>
      </c>
      <c r="AP238" s="286" t="s">
        <v>1</v>
      </c>
      <c r="AQ238" s="285" t="s">
        <v>1</v>
      </c>
      <c r="AR238" s="289" t="s">
        <v>1</v>
      </c>
      <c r="AS238" s="289" t="s">
        <v>1</v>
      </c>
      <c r="AT238" s="290" t="s">
        <v>1</v>
      </c>
      <c r="AU238" s="287" t="s">
        <v>1</v>
      </c>
      <c r="AV238" s="287" t="s">
        <v>1</v>
      </c>
      <c r="AW238" s="291" t="s">
        <v>1</v>
      </c>
    </row>
    <row r="239" spans="1:49" ht="30.15" customHeight="1" x14ac:dyDescent="0.25">
      <c r="A239" s="213" t="s">
        <v>18</v>
      </c>
      <c r="B239" s="188" t="s">
        <v>1</v>
      </c>
      <c r="C239" s="212" t="s">
        <v>34</v>
      </c>
      <c r="D239" s="190" t="s">
        <v>3</v>
      </c>
      <c r="E239" s="190" t="s">
        <v>720</v>
      </c>
      <c r="F239" s="203"/>
      <c r="G239" s="190" t="s">
        <v>721</v>
      </c>
      <c r="H239" s="192" t="s">
        <v>414</v>
      </c>
      <c r="I239" s="193">
        <v>779</v>
      </c>
      <c r="J239" s="193">
        <v>798</v>
      </c>
      <c r="K239" s="193">
        <v>798</v>
      </c>
      <c r="L239" s="193">
        <v>840</v>
      </c>
      <c r="M239" s="194">
        <v>840</v>
      </c>
      <c r="N239" s="284">
        <v>336</v>
      </c>
      <c r="O239" s="285">
        <v>10.42</v>
      </c>
      <c r="P239" s="285">
        <v>24</v>
      </c>
      <c r="Q239" s="285" t="s">
        <v>1</v>
      </c>
      <c r="R239" s="285" t="s">
        <v>1</v>
      </c>
      <c r="S239" s="286">
        <v>336</v>
      </c>
      <c r="T239" s="285">
        <v>10.42</v>
      </c>
      <c r="U239" s="285">
        <v>24</v>
      </c>
      <c r="V239" s="285" t="s">
        <v>1</v>
      </c>
      <c r="W239" s="285" t="s">
        <v>1</v>
      </c>
      <c r="X239" s="286">
        <v>336</v>
      </c>
      <c r="Y239" s="285">
        <v>10.42</v>
      </c>
      <c r="Z239" s="285">
        <v>24</v>
      </c>
      <c r="AA239" s="285" t="s">
        <v>1</v>
      </c>
      <c r="AB239" s="285" t="s">
        <v>1</v>
      </c>
      <c r="AC239" s="286">
        <v>336</v>
      </c>
      <c r="AD239" s="285">
        <v>10.42</v>
      </c>
      <c r="AE239" s="285">
        <v>24</v>
      </c>
      <c r="AF239" s="285" t="s">
        <v>1</v>
      </c>
      <c r="AG239" s="285" t="s">
        <v>1</v>
      </c>
      <c r="AH239" s="286" t="s">
        <v>1</v>
      </c>
      <c r="AI239" s="295" t="s">
        <v>1</v>
      </c>
      <c r="AJ239" s="295" t="s">
        <v>1</v>
      </c>
      <c r="AK239" s="295" t="s">
        <v>1</v>
      </c>
      <c r="AL239" s="302" t="s">
        <v>1</v>
      </c>
      <c r="AM239" s="288" t="s">
        <v>1</v>
      </c>
      <c r="AN239" s="287" t="s">
        <v>1</v>
      </c>
      <c r="AO239" s="287" t="s">
        <v>1</v>
      </c>
      <c r="AP239" s="286" t="s">
        <v>1</v>
      </c>
      <c r="AQ239" s="285" t="s">
        <v>1</v>
      </c>
      <c r="AR239" s="289" t="s">
        <v>1</v>
      </c>
      <c r="AS239" s="289" t="s">
        <v>1</v>
      </c>
      <c r="AT239" s="290" t="s">
        <v>1</v>
      </c>
      <c r="AU239" s="287" t="s">
        <v>1</v>
      </c>
      <c r="AV239" s="287" t="s">
        <v>1</v>
      </c>
      <c r="AW239" s="291" t="s">
        <v>1</v>
      </c>
    </row>
    <row r="240" spans="1:49" ht="30.15" customHeight="1" x14ac:dyDescent="0.25">
      <c r="A240" s="213" t="s">
        <v>18</v>
      </c>
      <c r="B240" s="188" t="s">
        <v>1</v>
      </c>
      <c r="C240" s="212" t="s">
        <v>34</v>
      </c>
      <c r="D240" s="217" t="s">
        <v>3</v>
      </c>
      <c r="E240" s="217" t="s">
        <v>334</v>
      </c>
      <c r="F240" s="218"/>
      <c r="G240" s="217" t="s">
        <v>335</v>
      </c>
      <c r="H240" s="219" t="s">
        <v>409</v>
      </c>
      <c r="I240" s="220">
        <v>1179</v>
      </c>
      <c r="J240" s="220">
        <v>1209</v>
      </c>
      <c r="K240" s="220">
        <v>1209</v>
      </c>
      <c r="L240" s="220">
        <v>1080</v>
      </c>
      <c r="M240" s="220">
        <v>1080</v>
      </c>
      <c r="N240" s="304">
        <v>432</v>
      </c>
      <c r="O240" s="285">
        <v>25</v>
      </c>
      <c r="P240" s="285">
        <v>24</v>
      </c>
      <c r="Q240" s="285" t="s">
        <v>1</v>
      </c>
      <c r="R240" s="285" t="s">
        <v>1</v>
      </c>
      <c r="S240" s="305">
        <v>432</v>
      </c>
      <c r="T240" s="285">
        <v>25</v>
      </c>
      <c r="U240" s="285">
        <v>24</v>
      </c>
      <c r="V240" s="285" t="s">
        <v>1</v>
      </c>
      <c r="W240" s="285" t="s">
        <v>1</v>
      </c>
      <c r="X240" s="305">
        <v>432</v>
      </c>
      <c r="Y240" s="285">
        <v>25</v>
      </c>
      <c r="Z240" s="285">
        <v>24</v>
      </c>
      <c r="AA240" s="285" t="s">
        <v>1</v>
      </c>
      <c r="AB240" s="285" t="s">
        <v>1</v>
      </c>
      <c r="AC240" s="305">
        <v>432</v>
      </c>
      <c r="AD240" s="285">
        <v>25</v>
      </c>
      <c r="AE240" s="285">
        <v>24</v>
      </c>
      <c r="AF240" s="285" t="s">
        <v>1</v>
      </c>
      <c r="AG240" s="285" t="s">
        <v>1</v>
      </c>
      <c r="AH240" s="286" t="s">
        <v>1</v>
      </c>
      <c r="AI240" s="295" t="s">
        <v>1</v>
      </c>
      <c r="AJ240" s="295" t="s">
        <v>1</v>
      </c>
      <c r="AK240" s="295" t="s">
        <v>1</v>
      </c>
      <c r="AL240" s="302" t="s">
        <v>1</v>
      </c>
      <c r="AM240" s="288" t="s">
        <v>1</v>
      </c>
      <c r="AN240" s="287" t="s">
        <v>1</v>
      </c>
      <c r="AO240" s="287" t="s">
        <v>1</v>
      </c>
      <c r="AP240" s="286" t="s">
        <v>1</v>
      </c>
      <c r="AQ240" s="285" t="s">
        <v>1</v>
      </c>
      <c r="AR240" s="289" t="s">
        <v>1</v>
      </c>
      <c r="AS240" s="289" t="s">
        <v>1</v>
      </c>
      <c r="AT240" s="290" t="s">
        <v>1</v>
      </c>
      <c r="AU240" s="287" t="s">
        <v>1</v>
      </c>
      <c r="AV240" s="287" t="s">
        <v>1</v>
      </c>
      <c r="AW240" s="291" t="s">
        <v>1</v>
      </c>
    </row>
    <row r="241" spans="1:49" ht="30.15" customHeight="1" x14ac:dyDescent="0.25">
      <c r="A241" s="213" t="s">
        <v>18</v>
      </c>
      <c r="B241" s="188" t="s">
        <v>1</v>
      </c>
      <c r="C241" s="212" t="s">
        <v>34</v>
      </c>
      <c r="D241" s="217" t="s">
        <v>3</v>
      </c>
      <c r="E241" s="217" t="s">
        <v>336</v>
      </c>
      <c r="F241" s="218"/>
      <c r="G241" s="217" t="s">
        <v>335</v>
      </c>
      <c r="H241" s="219" t="s">
        <v>409</v>
      </c>
      <c r="I241" s="220">
        <v>1179</v>
      </c>
      <c r="J241" s="220">
        <v>1209</v>
      </c>
      <c r="K241" s="220">
        <v>1209</v>
      </c>
      <c r="L241" s="220">
        <v>1080</v>
      </c>
      <c r="M241" s="220">
        <v>1080</v>
      </c>
      <c r="N241" s="304">
        <v>432</v>
      </c>
      <c r="O241" s="285">
        <v>25</v>
      </c>
      <c r="P241" s="285">
        <v>24</v>
      </c>
      <c r="Q241" s="285" t="s">
        <v>1</v>
      </c>
      <c r="R241" s="285" t="s">
        <v>1</v>
      </c>
      <c r="S241" s="305">
        <v>432</v>
      </c>
      <c r="T241" s="285">
        <v>25</v>
      </c>
      <c r="U241" s="285">
        <v>24</v>
      </c>
      <c r="V241" s="285" t="s">
        <v>1</v>
      </c>
      <c r="W241" s="285" t="s">
        <v>1</v>
      </c>
      <c r="X241" s="305">
        <v>432</v>
      </c>
      <c r="Y241" s="285">
        <v>25</v>
      </c>
      <c r="Z241" s="285">
        <v>24</v>
      </c>
      <c r="AA241" s="285" t="s">
        <v>1</v>
      </c>
      <c r="AB241" s="285" t="s">
        <v>1</v>
      </c>
      <c r="AC241" s="305">
        <v>432</v>
      </c>
      <c r="AD241" s="285">
        <v>25</v>
      </c>
      <c r="AE241" s="285">
        <v>24</v>
      </c>
      <c r="AF241" s="285" t="s">
        <v>1</v>
      </c>
      <c r="AG241" s="285" t="s">
        <v>1</v>
      </c>
      <c r="AH241" s="286" t="s">
        <v>1</v>
      </c>
      <c r="AI241" s="295" t="s">
        <v>1</v>
      </c>
      <c r="AJ241" s="295" t="s">
        <v>1</v>
      </c>
      <c r="AK241" s="295" t="s">
        <v>1</v>
      </c>
      <c r="AL241" s="302" t="s">
        <v>1</v>
      </c>
      <c r="AM241" s="288" t="s">
        <v>1</v>
      </c>
      <c r="AN241" s="287" t="s">
        <v>1</v>
      </c>
      <c r="AO241" s="287" t="s">
        <v>1</v>
      </c>
      <c r="AP241" s="286" t="s">
        <v>1</v>
      </c>
      <c r="AQ241" s="285" t="s">
        <v>1</v>
      </c>
      <c r="AR241" s="289" t="s">
        <v>1</v>
      </c>
      <c r="AS241" s="289" t="s">
        <v>1</v>
      </c>
      <c r="AT241" s="290" t="s">
        <v>1</v>
      </c>
      <c r="AU241" s="287" t="s">
        <v>1</v>
      </c>
      <c r="AV241" s="287" t="s">
        <v>1</v>
      </c>
      <c r="AW241" s="291" t="s">
        <v>1</v>
      </c>
    </row>
    <row r="242" spans="1:49" ht="30.15" customHeight="1" x14ac:dyDescent="0.25">
      <c r="A242" s="213" t="s">
        <v>18</v>
      </c>
      <c r="B242" s="188" t="s">
        <v>1</v>
      </c>
      <c r="C242" s="212" t="s">
        <v>34</v>
      </c>
      <c r="D242" s="217" t="s">
        <v>3</v>
      </c>
      <c r="E242" s="217" t="s">
        <v>338</v>
      </c>
      <c r="F242" s="218"/>
      <c r="G242" s="217" t="s">
        <v>337</v>
      </c>
      <c r="H242" s="219" t="s">
        <v>409</v>
      </c>
      <c r="I242" s="220">
        <v>1379</v>
      </c>
      <c r="J242" s="220">
        <v>1409</v>
      </c>
      <c r="K242" s="220">
        <v>1409</v>
      </c>
      <c r="L242" s="220">
        <v>1290</v>
      </c>
      <c r="M242" s="220">
        <v>1290</v>
      </c>
      <c r="N242" s="304">
        <v>516</v>
      </c>
      <c r="O242" s="285">
        <v>29.17</v>
      </c>
      <c r="P242" s="285">
        <v>24</v>
      </c>
      <c r="Q242" s="285" t="s">
        <v>1</v>
      </c>
      <c r="R242" s="285" t="s">
        <v>1</v>
      </c>
      <c r="S242" s="305">
        <v>516</v>
      </c>
      <c r="T242" s="285">
        <v>29.17</v>
      </c>
      <c r="U242" s="285">
        <v>24</v>
      </c>
      <c r="V242" s="285" t="s">
        <v>1</v>
      </c>
      <c r="W242" s="285" t="s">
        <v>1</v>
      </c>
      <c r="X242" s="305">
        <v>516</v>
      </c>
      <c r="Y242" s="285">
        <v>29.17</v>
      </c>
      <c r="Z242" s="285">
        <v>24</v>
      </c>
      <c r="AA242" s="285" t="s">
        <v>1</v>
      </c>
      <c r="AB242" s="285" t="s">
        <v>1</v>
      </c>
      <c r="AC242" s="305">
        <v>516</v>
      </c>
      <c r="AD242" s="285">
        <v>29.17</v>
      </c>
      <c r="AE242" s="285">
        <v>24</v>
      </c>
      <c r="AF242" s="285" t="s">
        <v>1</v>
      </c>
      <c r="AG242" s="285" t="s">
        <v>1</v>
      </c>
      <c r="AH242" s="286" t="s">
        <v>1</v>
      </c>
      <c r="AI242" s="295" t="s">
        <v>1</v>
      </c>
      <c r="AJ242" s="295" t="s">
        <v>1</v>
      </c>
      <c r="AK242" s="295" t="s">
        <v>1</v>
      </c>
      <c r="AL242" s="302" t="s">
        <v>1</v>
      </c>
      <c r="AM242" s="288" t="s">
        <v>1</v>
      </c>
      <c r="AN242" s="287" t="s">
        <v>1</v>
      </c>
      <c r="AO242" s="287" t="s">
        <v>1</v>
      </c>
      <c r="AP242" s="286" t="s">
        <v>1</v>
      </c>
      <c r="AQ242" s="285" t="s">
        <v>1</v>
      </c>
      <c r="AR242" s="289" t="s">
        <v>1</v>
      </c>
      <c r="AS242" s="289" t="s">
        <v>1</v>
      </c>
      <c r="AT242" s="290" t="s">
        <v>1</v>
      </c>
      <c r="AU242" s="287" t="s">
        <v>1</v>
      </c>
      <c r="AV242" s="287" t="s">
        <v>1</v>
      </c>
      <c r="AW242" s="291" t="s">
        <v>1</v>
      </c>
    </row>
    <row r="243" spans="1:49" ht="30.15" customHeight="1" x14ac:dyDescent="0.25">
      <c r="A243" s="213" t="s">
        <v>18</v>
      </c>
      <c r="B243" s="188" t="s">
        <v>1</v>
      </c>
      <c r="C243" s="212" t="s">
        <v>34</v>
      </c>
      <c r="D243" s="217" t="s">
        <v>3</v>
      </c>
      <c r="E243" s="217" t="s">
        <v>339</v>
      </c>
      <c r="F243" s="218"/>
      <c r="G243" s="217" t="s">
        <v>337</v>
      </c>
      <c r="H243" s="219" t="s">
        <v>409</v>
      </c>
      <c r="I243" s="220">
        <v>1379</v>
      </c>
      <c r="J243" s="220">
        <v>1409</v>
      </c>
      <c r="K243" s="220">
        <v>1409</v>
      </c>
      <c r="L243" s="220">
        <v>1290</v>
      </c>
      <c r="M243" s="220">
        <v>1290</v>
      </c>
      <c r="N243" s="304">
        <v>516</v>
      </c>
      <c r="O243" s="285">
        <v>29.17</v>
      </c>
      <c r="P243" s="285">
        <v>24</v>
      </c>
      <c r="Q243" s="285" t="s">
        <v>1</v>
      </c>
      <c r="R243" s="285" t="s">
        <v>1</v>
      </c>
      <c r="S243" s="305">
        <v>516</v>
      </c>
      <c r="T243" s="285">
        <v>29.17</v>
      </c>
      <c r="U243" s="285">
        <v>24</v>
      </c>
      <c r="V243" s="285" t="s">
        <v>1</v>
      </c>
      <c r="W243" s="285" t="s">
        <v>1</v>
      </c>
      <c r="X243" s="305">
        <v>516</v>
      </c>
      <c r="Y243" s="285">
        <v>29.17</v>
      </c>
      <c r="Z243" s="285">
        <v>24</v>
      </c>
      <c r="AA243" s="285" t="s">
        <v>1</v>
      </c>
      <c r="AB243" s="285" t="s">
        <v>1</v>
      </c>
      <c r="AC243" s="305">
        <v>516</v>
      </c>
      <c r="AD243" s="285">
        <v>29.17</v>
      </c>
      <c r="AE243" s="285">
        <v>24</v>
      </c>
      <c r="AF243" s="285" t="s">
        <v>1</v>
      </c>
      <c r="AG243" s="285" t="s">
        <v>1</v>
      </c>
      <c r="AH243" s="286" t="s">
        <v>1</v>
      </c>
      <c r="AI243" s="295" t="s">
        <v>1</v>
      </c>
      <c r="AJ243" s="295" t="s">
        <v>1</v>
      </c>
      <c r="AK243" s="295" t="s">
        <v>1</v>
      </c>
      <c r="AL243" s="302" t="s">
        <v>1</v>
      </c>
      <c r="AM243" s="288" t="s">
        <v>1</v>
      </c>
      <c r="AN243" s="287" t="s">
        <v>1</v>
      </c>
      <c r="AO243" s="287" t="s">
        <v>1</v>
      </c>
      <c r="AP243" s="286" t="s">
        <v>1</v>
      </c>
      <c r="AQ243" s="285" t="s">
        <v>1</v>
      </c>
      <c r="AR243" s="289" t="s">
        <v>1</v>
      </c>
      <c r="AS243" s="289" t="s">
        <v>1</v>
      </c>
      <c r="AT243" s="290" t="s">
        <v>1</v>
      </c>
      <c r="AU243" s="287" t="s">
        <v>1</v>
      </c>
      <c r="AV243" s="287" t="s">
        <v>1</v>
      </c>
      <c r="AW243" s="291" t="s">
        <v>1</v>
      </c>
    </row>
    <row r="244" spans="1:49" ht="30.15" customHeight="1" x14ac:dyDescent="0.25">
      <c r="A244" s="213" t="s">
        <v>18</v>
      </c>
      <c r="B244" s="188" t="s">
        <v>1</v>
      </c>
      <c r="C244" s="212" t="s">
        <v>34</v>
      </c>
      <c r="D244" s="217" t="s">
        <v>3</v>
      </c>
      <c r="E244" s="217" t="s">
        <v>507</v>
      </c>
      <c r="F244" s="218"/>
      <c r="G244" s="217" t="s">
        <v>504</v>
      </c>
      <c r="H244" s="219" t="s">
        <v>409</v>
      </c>
      <c r="I244" s="220">
        <v>666</v>
      </c>
      <c r="J244" s="220">
        <v>679</v>
      </c>
      <c r="K244" s="220">
        <v>679</v>
      </c>
      <c r="L244" s="220">
        <v>720</v>
      </c>
      <c r="M244" s="220">
        <v>720</v>
      </c>
      <c r="N244" s="304">
        <v>288</v>
      </c>
      <c r="O244" s="285" t="s">
        <v>1</v>
      </c>
      <c r="P244" s="285" t="s">
        <v>1</v>
      </c>
      <c r="Q244" s="285" t="s">
        <v>1</v>
      </c>
      <c r="R244" s="285" t="s">
        <v>1</v>
      </c>
      <c r="S244" s="305">
        <v>288</v>
      </c>
      <c r="T244" s="285" t="s">
        <v>1</v>
      </c>
      <c r="U244" s="285" t="s">
        <v>1</v>
      </c>
      <c r="V244" s="285" t="s">
        <v>1</v>
      </c>
      <c r="W244" s="285" t="s">
        <v>1</v>
      </c>
      <c r="X244" s="305">
        <v>288</v>
      </c>
      <c r="Y244" s="285">
        <v>15</v>
      </c>
      <c r="Z244" s="285">
        <v>24</v>
      </c>
      <c r="AA244" s="285" t="s">
        <v>1</v>
      </c>
      <c r="AB244" s="285" t="s">
        <v>1</v>
      </c>
      <c r="AC244" s="305">
        <v>288</v>
      </c>
      <c r="AD244" s="285">
        <v>15</v>
      </c>
      <c r="AE244" s="285">
        <v>24</v>
      </c>
      <c r="AF244" s="285" t="s">
        <v>1</v>
      </c>
      <c r="AG244" s="285" t="s">
        <v>1</v>
      </c>
      <c r="AH244" s="286" t="s">
        <v>1</v>
      </c>
      <c r="AI244" s="295" t="s">
        <v>1</v>
      </c>
      <c r="AJ244" s="295" t="s">
        <v>1</v>
      </c>
      <c r="AK244" s="295" t="s">
        <v>1</v>
      </c>
      <c r="AL244" s="302" t="s">
        <v>1</v>
      </c>
      <c r="AM244" s="288" t="s">
        <v>1</v>
      </c>
      <c r="AN244" s="287" t="s">
        <v>1</v>
      </c>
      <c r="AO244" s="287" t="s">
        <v>1</v>
      </c>
      <c r="AP244" s="286" t="s">
        <v>1</v>
      </c>
      <c r="AQ244" s="285" t="s">
        <v>1</v>
      </c>
      <c r="AR244" s="289" t="s">
        <v>1</v>
      </c>
      <c r="AS244" s="289" t="s">
        <v>1</v>
      </c>
      <c r="AT244" s="290" t="s">
        <v>1</v>
      </c>
      <c r="AU244" s="287" t="s">
        <v>1</v>
      </c>
      <c r="AV244" s="287" t="s">
        <v>1</v>
      </c>
      <c r="AW244" s="291" t="s">
        <v>1</v>
      </c>
    </row>
    <row r="245" spans="1:49" ht="30.15" customHeight="1" x14ac:dyDescent="0.25">
      <c r="A245" s="213" t="s">
        <v>18</v>
      </c>
      <c r="B245" s="188" t="s">
        <v>1</v>
      </c>
      <c r="C245" s="212" t="s">
        <v>34</v>
      </c>
      <c r="D245" s="217" t="s">
        <v>3</v>
      </c>
      <c r="E245" s="217" t="s">
        <v>509</v>
      </c>
      <c r="F245" s="203"/>
      <c r="G245" s="217" t="s">
        <v>504</v>
      </c>
      <c r="H245" s="219" t="s">
        <v>409</v>
      </c>
      <c r="I245" s="220">
        <v>666</v>
      </c>
      <c r="J245" s="220">
        <v>679</v>
      </c>
      <c r="K245" s="220">
        <v>679</v>
      </c>
      <c r="L245" s="220">
        <v>720</v>
      </c>
      <c r="M245" s="220">
        <v>720</v>
      </c>
      <c r="N245" s="304">
        <v>288</v>
      </c>
      <c r="O245" s="285" t="s">
        <v>1</v>
      </c>
      <c r="P245" s="285" t="s">
        <v>1</v>
      </c>
      <c r="Q245" s="285" t="s">
        <v>1</v>
      </c>
      <c r="R245" s="285" t="s">
        <v>1</v>
      </c>
      <c r="S245" s="305">
        <v>288</v>
      </c>
      <c r="T245" s="285" t="s">
        <v>1</v>
      </c>
      <c r="U245" s="285" t="s">
        <v>1</v>
      </c>
      <c r="V245" s="285" t="s">
        <v>1</v>
      </c>
      <c r="W245" s="285" t="s">
        <v>1</v>
      </c>
      <c r="X245" s="305">
        <v>288</v>
      </c>
      <c r="Y245" s="285">
        <v>15</v>
      </c>
      <c r="Z245" s="285">
        <v>24</v>
      </c>
      <c r="AA245" s="285" t="s">
        <v>1</v>
      </c>
      <c r="AB245" s="285" t="s">
        <v>1</v>
      </c>
      <c r="AC245" s="305">
        <v>288</v>
      </c>
      <c r="AD245" s="285">
        <v>15</v>
      </c>
      <c r="AE245" s="285">
        <v>24</v>
      </c>
      <c r="AF245" s="285" t="s">
        <v>1</v>
      </c>
      <c r="AG245" s="285" t="s">
        <v>1</v>
      </c>
      <c r="AH245" s="286" t="s">
        <v>1</v>
      </c>
      <c r="AI245" s="295" t="s">
        <v>1</v>
      </c>
      <c r="AJ245" s="295" t="s">
        <v>1</v>
      </c>
      <c r="AK245" s="295" t="s">
        <v>1</v>
      </c>
      <c r="AL245" s="302" t="s">
        <v>1</v>
      </c>
      <c r="AM245" s="288" t="s">
        <v>1</v>
      </c>
      <c r="AN245" s="287" t="s">
        <v>1</v>
      </c>
      <c r="AO245" s="287" t="s">
        <v>1</v>
      </c>
      <c r="AP245" s="286" t="s">
        <v>1</v>
      </c>
      <c r="AQ245" s="285" t="s">
        <v>1</v>
      </c>
      <c r="AR245" s="289" t="s">
        <v>1</v>
      </c>
      <c r="AS245" s="289" t="s">
        <v>1</v>
      </c>
      <c r="AT245" s="290" t="s">
        <v>1</v>
      </c>
      <c r="AU245" s="287" t="s">
        <v>1</v>
      </c>
      <c r="AV245" s="287" t="s">
        <v>1</v>
      </c>
      <c r="AW245" s="291" t="s">
        <v>1</v>
      </c>
    </row>
    <row r="246" spans="1:49" ht="30.15" customHeight="1" x14ac:dyDescent="0.25">
      <c r="A246" s="213" t="s">
        <v>18</v>
      </c>
      <c r="B246" s="188" t="s">
        <v>1</v>
      </c>
      <c r="C246" s="212" t="s">
        <v>34</v>
      </c>
      <c r="D246" s="217" t="s">
        <v>3</v>
      </c>
      <c r="E246" s="217" t="s">
        <v>508</v>
      </c>
      <c r="F246" s="203"/>
      <c r="G246" s="217" t="s">
        <v>504</v>
      </c>
      <c r="H246" s="219" t="s">
        <v>409</v>
      </c>
      <c r="I246" s="220">
        <v>666</v>
      </c>
      <c r="J246" s="220">
        <v>679</v>
      </c>
      <c r="K246" s="220">
        <v>679</v>
      </c>
      <c r="L246" s="220">
        <v>720</v>
      </c>
      <c r="M246" s="220">
        <v>720</v>
      </c>
      <c r="N246" s="304">
        <v>288</v>
      </c>
      <c r="O246" s="285" t="s">
        <v>1</v>
      </c>
      <c r="P246" s="285" t="s">
        <v>1</v>
      </c>
      <c r="Q246" s="285" t="s">
        <v>1</v>
      </c>
      <c r="R246" s="285" t="s">
        <v>1</v>
      </c>
      <c r="S246" s="305">
        <v>288</v>
      </c>
      <c r="T246" s="285" t="s">
        <v>1</v>
      </c>
      <c r="U246" s="285" t="s">
        <v>1</v>
      </c>
      <c r="V246" s="285" t="s">
        <v>1</v>
      </c>
      <c r="W246" s="285" t="s">
        <v>1</v>
      </c>
      <c r="X246" s="305">
        <v>288</v>
      </c>
      <c r="Y246" s="285">
        <v>15</v>
      </c>
      <c r="Z246" s="285">
        <v>24</v>
      </c>
      <c r="AA246" s="285" t="s">
        <v>1</v>
      </c>
      <c r="AB246" s="285" t="s">
        <v>1</v>
      </c>
      <c r="AC246" s="305">
        <v>288</v>
      </c>
      <c r="AD246" s="285">
        <v>15</v>
      </c>
      <c r="AE246" s="285">
        <v>24</v>
      </c>
      <c r="AF246" s="285" t="s">
        <v>1</v>
      </c>
      <c r="AG246" s="285" t="s">
        <v>1</v>
      </c>
      <c r="AH246" s="286" t="s">
        <v>1</v>
      </c>
      <c r="AI246" s="295" t="s">
        <v>1</v>
      </c>
      <c r="AJ246" s="295" t="s">
        <v>1</v>
      </c>
      <c r="AK246" s="295" t="s">
        <v>1</v>
      </c>
      <c r="AL246" s="302" t="s">
        <v>1</v>
      </c>
      <c r="AM246" s="288" t="s">
        <v>1</v>
      </c>
      <c r="AN246" s="287" t="s">
        <v>1</v>
      </c>
      <c r="AO246" s="287" t="s">
        <v>1</v>
      </c>
      <c r="AP246" s="286" t="s">
        <v>1</v>
      </c>
      <c r="AQ246" s="285" t="s">
        <v>1</v>
      </c>
      <c r="AR246" s="289" t="s">
        <v>1</v>
      </c>
      <c r="AS246" s="289" t="s">
        <v>1</v>
      </c>
      <c r="AT246" s="290" t="s">
        <v>1</v>
      </c>
      <c r="AU246" s="287" t="s">
        <v>1</v>
      </c>
      <c r="AV246" s="287" t="s">
        <v>1</v>
      </c>
      <c r="AW246" s="291" t="s">
        <v>1</v>
      </c>
    </row>
    <row r="247" spans="1:49" ht="30.15" customHeight="1" x14ac:dyDescent="0.25">
      <c r="A247" s="213" t="s">
        <v>18</v>
      </c>
      <c r="B247" s="188" t="s">
        <v>1</v>
      </c>
      <c r="C247" s="212" t="s">
        <v>34</v>
      </c>
      <c r="D247" s="217" t="s">
        <v>3</v>
      </c>
      <c r="E247" s="217" t="s">
        <v>510</v>
      </c>
      <c r="F247" s="203"/>
      <c r="G247" s="217" t="s">
        <v>504</v>
      </c>
      <c r="H247" s="219" t="s">
        <v>409</v>
      </c>
      <c r="I247" s="220">
        <v>666</v>
      </c>
      <c r="J247" s="220">
        <v>679</v>
      </c>
      <c r="K247" s="220">
        <v>679</v>
      </c>
      <c r="L247" s="220">
        <v>720</v>
      </c>
      <c r="M247" s="220">
        <v>720</v>
      </c>
      <c r="N247" s="304">
        <v>288</v>
      </c>
      <c r="O247" s="285" t="s">
        <v>1</v>
      </c>
      <c r="P247" s="285" t="s">
        <v>1</v>
      </c>
      <c r="Q247" s="285" t="s">
        <v>1</v>
      </c>
      <c r="R247" s="285" t="s">
        <v>1</v>
      </c>
      <c r="S247" s="305">
        <v>288</v>
      </c>
      <c r="T247" s="285" t="s">
        <v>1</v>
      </c>
      <c r="U247" s="285" t="s">
        <v>1</v>
      </c>
      <c r="V247" s="285" t="s">
        <v>1</v>
      </c>
      <c r="W247" s="285" t="s">
        <v>1</v>
      </c>
      <c r="X247" s="305">
        <v>288</v>
      </c>
      <c r="Y247" s="285">
        <v>15</v>
      </c>
      <c r="Z247" s="285">
        <v>24</v>
      </c>
      <c r="AA247" s="285" t="s">
        <v>1</v>
      </c>
      <c r="AB247" s="285" t="s">
        <v>1</v>
      </c>
      <c r="AC247" s="305">
        <v>288</v>
      </c>
      <c r="AD247" s="285">
        <v>15</v>
      </c>
      <c r="AE247" s="285">
        <v>24</v>
      </c>
      <c r="AF247" s="285" t="s">
        <v>1</v>
      </c>
      <c r="AG247" s="285" t="s">
        <v>1</v>
      </c>
      <c r="AH247" s="286" t="s">
        <v>1</v>
      </c>
      <c r="AI247" s="295" t="s">
        <v>1</v>
      </c>
      <c r="AJ247" s="295" t="s">
        <v>1</v>
      </c>
      <c r="AK247" s="295" t="s">
        <v>1</v>
      </c>
      <c r="AL247" s="302" t="s">
        <v>1</v>
      </c>
      <c r="AM247" s="288" t="s">
        <v>1</v>
      </c>
      <c r="AN247" s="287" t="s">
        <v>1</v>
      </c>
      <c r="AO247" s="287" t="s">
        <v>1</v>
      </c>
      <c r="AP247" s="286" t="s">
        <v>1</v>
      </c>
      <c r="AQ247" s="285" t="s">
        <v>1</v>
      </c>
      <c r="AR247" s="289" t="s">
        <v>1</v>
      </c>
      <c r="AS247" s="289" t="s">
        <v>1</v>
      </c>
      <c r="AT247" s="290" t="s">
        <v>1</v>
      </c>
      <c r="AU247" s="287" t="s">
        <v>1</v>
      </c>
      <c r="AV247" s="287" t="s">
        <v>1</v>
      </c>
      <c r="AW247" s="291" t="s">
        <v>1</v>
      </c>
    </row>
    <row r="248" spans="1:49" ht="30.15" customHeight="1" x14ac:dyDescent="0.25">
      <c r="A248" s="213" t="s">
        <v>18</v>
      </c>
      <c r="B248" s="188" t="s">
        <v>1</v>
      </c>
      <c r="C248" s="212" t="s">
        <v>34</v>
      </c>
      <c r="D248" s="217" t="s">
        <v>3</v>
      </c>
      <c r="E248" s="217" t="s">
        <v>511</v>
      </c>
      <c r="F248" s="218"/>
      <c r="G248" s="217" t="s">
        <v>504</v>
      </c>
      <c r="H248" s="219" t="s">
        <v>409</v>
      </c>
      <c r="I248" s="220">
        <v>666</v>
      </c>
      <c r="J248" s="220">
        <v>679</v>
      </c>
      <c r="K248" s="220">
        <v>679</v>
      </c>
      <c r="L248" s="220">
        <v>720</v>
      </c>
      <c r="M248" s="220">
        <v>720</v>
      </c>
      <c r="N248" s="304">
        <v>288</v>
      </c>
      <c r="O248" s="285" t="s">
        <v>1</v>
      </c>
      <c r="P248" s="285" t="s">
        <v>1</v>
      </c>
      <c r="Q248" s="285" t="s">
        <v>1</v>
      </c>
      <c r="R248" s="285" t="s">
        <v>1</v>
      </c>
      <c r="S248" s="305">
        <v>288</v>
      </c>
      <c r="T248" s="285" t="s">
        <v>1</v>
      </c>
      <c r="U248" s="285" t="s">
        <v>1</v>
      </c>
      <c r="V248" s="285" t="s">
        <v>1</v>
      </c>
      <c r="W248" s="285" t="s">
        <v>1</v>
      </c>
      <c r="X248" s="305">
        <v>288</v>
      </c>
      <c r="Y248" s="285">
        <v>15</v>
      </c>
      <c r="Z248" s="285">
        <v>24</v>
      </c>
      <c r="AA248" s="285" t="s">
        <v>1</v>
      </c>
      <c r="AB248" s="285" t="s">
        <v>1</v>
      </c>
      <c r="AC248" s="305">
        <v>288</v>
      </c>
      <c r="AD248" s="285">
        <v>15</v>
      </c>
      <c r="AE248" s="285">
        <v>24</v>
      </c>
      <c r="AF248" s="285" t="s">
        <v>1</v>
      </c>
      <c r="AG248" s="285" t="s">
        <v>1</v>
      </c>
      <c r="AH248" s="286" t="s">
        <v>1</v>
      </c>
      <c r="AI248" s="295" t="s">
        <v>1</v>
      </c>
      <c r="AJ248" s="295" t="s">
        <v>1</v>
      </c>
      <c r="AK248" s="295" t="s">
        <v>1</v>
      </c>
      <c r="AL248" s="302" t="s">
        <v>1</v>
      </c>
      <c r="AM248" s="288" t="s">
        <v>1</v>
      </c>
      <c r="AN248" s="287" t="s">
        <v>1</v>
      </c>
      <c r="AO248" s="287" t="s">
        <v>1</v>
      </c>
      <c r="AP248" s="286" t="s">
        <v>1</v>
      </c>
      <c r="AQ248" s="285" t="s">
        <v>1</v>
      </c>
      <c r="AR248" s="289" t="s">
        <v>1</v>
      </c>
      <c r="AS248" s="289" t="s">
        <v>1</v>
      </c>
      <c r="AT248" s="290" t="s">
        <v>1</v>
      </c>
      <c r="AU248" s="287" t="s">
        <v>1</v>
      </c>
      <c r="AV248" s="287" t="s">
        <v>1</v>
      </c>
      <c r="AW248" s="291" t="s">
        <v>1</v>
      </c>
    </row>
    <row r="249" spans="1:49" ht="30.15" customHeight="1" x14ac:dyDescent="0.25">
      <c r="A249" s="213" t="s">
        <v>18</v>
      </c>
      <c r="B249" s="188" t="s">
        <v>1</v>
      </c>
      <c r="C249" s="212" t="s">
        <v>34</v>
      </c>
      <c r="D249" s="217" t="s">
        <v>3</v>
      </c>
      <c r="E249" s="217" t="s">
        <v>512</v>
      </c>
      <c r="F249" s="203"/>
      <c r="G249" s="217" t="s">
        <v>504</v>
      </c>
      <c r="H249" s="219" t="s">
        <v>409</v>
      </c>
      <c r="I249" s="220">
        <v>666</v>
      </c>
      <c r="J249" s="220">
        <v>679</v>
      </c>
      <c r="K249" s="220">
        <v>679</v>
      </c>
      <c r="L249" s="220">
        <v>720</v>
      </c>
      <c r="M249" s="220">
        <v>720</v>
      </c>
      <c r="N249" s="304">
        <v>288</v>
      </c>
      <c r="O249" s="285" t="s">
        <v>1</v>
      </c>
      <c r="P249" s="285" t="s">
        <v>1</v>
      </c>
      <c r="Q249" s="285" t="s">
        <v>1</v>
      </c>
      <c r="R249" s="285" t="s">
        <v>1</v>
      </c>
      <c r="S249" s="305">
        <v>288</v>
      </c>
      <c r="T249" s="285" t="s">
        <v>1</v>
      </c>
      <c r="U249" s="285" t="s">
        <v>1</v>
      </c>
      <c r="V249" s="285" t="s">
        <v>1</v>
      </c>
      <c r="W249" s="285" t="s">
        <v>1</v>
      </c>
      <c r="X249" s="305">
        <v>288</v>
      </c>
      <c r="Y249" s="285">
        <v>15</v>
      </c>
      <c r="Z249" s="285">
        <v>24</v>
      </c>
      <c r="AA249" s="285" t="s">
        <v>1</v>
      </c>
      <c r="AB249" s="285" t="s">
        <v>1</v>
      </c>
      <c r="AC249" s="305">
        <v>288</v>
      </c>
      <c r="AD249" s="285">
        <v>15</v>
      </c>
      <c r="AE249" s="285">
        <v>24</v>
      </c>
      <c r="AF249" s="285" t="s">
        <v>1</v>
      </c>
      <c r="AG249" s="285" t="s">
        <v>1</v>
      </c>
      <c r="AH249" s="286" t="s">
        <v>1</v>
      </c>
      <c r="AI249" s="295" t="s">
        <v>1</v>
      </c>
      <c r="AJ249" s="295" t="s">
        <v>1</v>
      </c>
      <c r="AK249" s="295" t="s">
        <v>1</v>
      </c>
      <c r="AL249" s="302" t="s">
        <v>1</v>
      </c>
      <c r="AM249" s="288" t="s">
        <v>1</v>
      </c>
      <c r="AN249" s="287" t="s">
        <v>1</v>
      </c>
      <c r="AO249" s="287" t="s">
        <v>1</v>
      </c>
      <c r="AP249" s="286" t="s">
        <v>1</v>
      </c>
      <c r="AQ249" s="285" t="s">
        <v>1</v>
      </c>
      <c r="AR249" s="289" t="s">
        <v>1</v>
      </c>
      <c r="AS249" s="289" t="s">
        <v>1</v>
      </c>
      <c r="AT249" s="290" t="s">
        <v>1</v>
      </c>
      <c r="AU249" s="287" t="s">
        <v>1</v>
      </c>
      <c r="AV249" s="287" t="s">
        <v>1</v>
      </c>
      <c r="AW249" s="291" t="s">
        <v>1</v>
      </c>
    </row>
    <row r="250" spans="1:49" ht="30.15" customHeight="1" x14ac:dyDescent="0.25">
      <c r="A250" s="213" t="s">
        <v>18</v>
      </c>
      <c r="B250" s="188" t="s">
        <v>1</v>
      </c>
      <c r="C250" s="212" t="s">
        <v>34</v>
      </c>
      <c r="D250" s="217" t="s">
        <v>3</v>
      </c>
      <c r="E250" s="217" t="s">
        <v>513</v>
      </c>
      <c r="F250" s="218"/>
      <c r="G250" s="217" t="s">
        <v>506</v>
      </c>
      <c r="H250" s="219" t="s">
        <v>409</v>
      </c>
      <c r="I250" s="220">
        <v>732</v>
      </c>
      <c r="J250" s="220">
        <v>751</v>
      </c>
      <c r="K250" s="220">
        <v>751</v>
      </c>
      <c r="L250" s="220">
        <v>790</v>
      </c>
      <c r="M250" s="220">
        <v>790</v>
      </c>
      <c r="N250" s="304">
        <v>316</v>
      </c>
      <c r="O250" s="285" t="s">
        <v>1</v>
      </c>
      <c r="P250" s="285" t="s">
        <v>1</v>
      </c>
      <c r="Q250" s="285" t="s">
        <v>1</v>
      </c>
      <c r="R250" s="285" t="s">
        <v>1</v>
      </c>
      <c r="S250" s="305">
        <v>316</v>
      </c>
      <c r="T250" s="285" t="s">
        <v>1</v>
      </c>
      <c r="U250" s="285" t="s">
        <v>1</v>
      </c>
      <c r="V250" s="285" t="s">
        <v>1</v>
      </c>
      <c r="W250" s="285" t="s">
        <v>1</v>
      </c>
      <c r="X250" s="305">
        <v>316</v>
      </c>
      <c r="Y250" s="285">
        <v>15</v>
      </c>
      <c r="Z250" s="285">
        <v>24</v>
      </c>
      <c r="AA250" s="285" t="s">
        <v>1</v>
      </c>
      <c r="AB250" s="285" t="s">
        <v>1</v>
      </c>
      <c r="AC250" s="305">
        <v>316</v>
      </c>
      <c r="AD250" s="285">
        <v>15</v>
      </c>
      <c r="AE250" s="285">
        <v>24</v>
      </c>
      <c r="AF250" s="285" t="s">
        <v>1</v>
      </c>
      <c r="AG250" s="285" t="s">
        <v>1</v>
      </c>
      <c r="AH250" s="286" t="s">
        <v>1</v>
      </c>
      <c r="AI250" s="295" t="s">
        <v>1</v>
      </c>
      <c r="AJ250" s="295" t="s">
        <v>1</v>
      </c>
      <c r="AK250" s="295" t="s">
        <v>1</v>
      </c>
      <c r="AL250" s="302" t="s">
        <v>1</v>
      </c>
      <c r="AM250" s="288" t="s">
        <v>1</v>
      </c>
      <c r="AN250" s="287" t="s">
        <v>1</v>
      </c>
      <c r="AO250" s="287" t="s">
        <v>1</v>
      </c>
      <c r="AP250" s="286" t="s">
        <v>1</v>
      </c>
      <c r="AQ250" s="285" t="s">
        <v>1</v>
      </c>
      <c r="AR250" s="289" t="s">
        <v>1</v>
      </c>
      <c r="AS250" s="289" t="s">
        <v>1</v>
      </c>
      <c r="AT250" s="290" t="s">
        <v>1</v>
      </c>
      <c r="AU250" s="287" t="s">
        <v>1</v>
      </c>
      <c r="AV250" s="287" t="s">
        <v>1</v>
      </c>
      <c r="AW250" s="291" t="s">
        <v>1</v>
      </c>
    </row>
    <row r="251" spans="1:49" ht="30.15" customHeight="1" x14ac:dyDescent="0.25">
      <c r="A251" s="213" t="s">
        <v>18</v>
      </c>
      <c r="B251" s="188" t="s">
        <v>1</v>
      </c>
      <c r="C251" s="212" t="s">
        <v>34</v>
      </c>
      <c r="D251" s="217" t="s">
        <v>3</v>
      </c>
      <c r="E251" s="217" t="s">
        <v>514</v>
      </c>
      <c r="F251" s="203"/>
      <c r="G251" s="217" t="s">
        <v>506</v>
      </c>
      <c r="H251" s="219" t="s">
        <v>409</v>
      </c>
      <c r="I251" s="220">
        <v>732</v>
      </c>
      <c r="J251" s="220">
        <v>751</v>
      </c>
      <c r="K251" s="220">
        <v>751</v>
      </c>
      <c r="L251" s="220">
        <v>790</v>
      </c>
      <c r="M251" s="220">
        <v>790</v>
      </c>
      <c r="N251" s="304">
        <v>316</v>
      </c>
      <c r="O251" s="285" t="s">
        <v>1</v>
      </c>
      <c r="P251" s="285" t="s">
        <v>1</v>
      </c>
      <c r="Q251" s="285" t="s">
        <v>1</v>
      </c>
      <c r="R251" s="285" t="s">
        <v>1</v>
      </c>
      <c r="S251" s="305">
        <v>316</v>
      </c>
      <c r="T251" s="285" t="s">
        <v>1</v>
      </c>
      <c r="U251" s="285" t="s">
        <v>1</v>
      </c>
      <c r="V251" s="285" t="s">
        <v>1</v>
      </c>
      <c r="W251" s="285" t="s">
        <v>1</v>
      </c>
      <c r="X251" s="305">
        <v>316</v>
      </c>
      <c r="Y251" s="285">
        <v>15</v>
      </c>
      <c r="Z251" s="285">
        <v>24</v>
      </c>
      <c r="AA251" s="285" t="s">
        <v>1</v>
      </c>
      <c r="AB251" s="285" t="s">
        <v>1</v>
      </c>
      <c r="AC251" s="305">
        <v>316</v>
      </c>
      <c r="AD251" s="285">
        <v>15</v>
      </c>
      <c r="AE251" s="285">
        <v>24</v>
      </c>
      <c r="AF251" s="285" t="s">
        <v>1</v>
      </c>
      <c r="AG251" s="285" t="s">
        <v>1</v>
      </c>
      <c r="AH251" s="286" t="s">
        <v>1</v>
      </c>
      <c r="AI251" s="295" t="s">
        <v>1</v>
      </c>
      <c r="AJ251" s="295" t="s">
        <v>1</v>
      </c>
      <c r="AK251" s="295" t="s">
        <v>1</v>
      </c>
      <c r="AL251" s="302" t="s">
        <v>1</v>
      </c>
      <c r="AM251" s="288" t="s">
        <v>1</v>
      </c>
      <c r="AN251" s="287" t="s">
        <v>1</v>
      </c>
      <c r="AO251" s="287" t="s">
        <v>1</v>
      </c>
      <c r="AP251" s="286" t="s">
        <v>1</v>
      </c>
      <c r="AQ251" s="285" t="s">
        <v>1</v>
      </c>
      <c r="AR251" s="289" t="s">
        <v>1</v>
      </c>
      <c r="AS251" s="289" t="s">
        <v>1</v>
      </c>
      <c r="AT251" s="290" t="s">
        <v>1</v>
      </c>
      <c r="AU251" s="287" t="s">
        <v>1</v>
      </c>
      <c r="AV251" s="287" t="s">
        <v>1</v>
      </c>
      <c r="AW251" s="291" t="s">
        <v>1</v>
      </c>
    </row>
    <row r="252" spans="1:49" ht="30.15" customHeight="1" x14ac:dyDescent="0.25">
      <c r="A252" s="213" t="s">
        <v>18</v>
      </c>
      <c r="B252" s="188" t="s">
        <v>1</v>
      </c>
      <c r="C252" s="212" t="s">
        <v>34</v>
      </c>
      <c r="D252" s="217" t="s">
        <v>3</v>
      </c>
      <c r="E252" s="217" t="s">
        <v>515</v>
      </c>
      <c r="F252" s="203"/>
      <c r="G252" s="217" t="s">
        <v>506</v>
      </c>
      <c r="H252" s="219" t="s">
        <v>409</v>
      </c>
      <c r="I252" s="220">
        <v>732</v>
      </c>
      <c r="J252" s="220">
        <v>751</v>
      </c>
      <c r="K252" s="220">
        <v>751</v>
      </c>
      <c r="L252" s="220">
        <v>790</v>
      </c>
      <c r="M252" s="220">
        <v>790</v>
      </c>
      <c r="N252" s="304">
        <v>316</v>
      </c>
      <c r="O252" s="285" t="s">
        <v>1</v>
      </c>
      <c r="P252" s="285" t="s">
        <v>1</v>
      </c>
      <c r="Q252" s="285" t="s">
        <v>1</v>
      </c>
      <c r="R252" s="285" t="s">
        <v>1</v>
      </c>
      <c r="S252" s="305">
        <v>316</v>
      </c>
      <c r="T252" s="285" t="s">
        <v>1</v>
      </c>
      <c r="U252" s="285" t="s">
        <v>1</v>
      </c>
      <c r="V252" s="285" t="s">
        <v>1</v>
      </c>
      <c r="W252" s="285" t="s">
        <v>1</v>
      </c>
      <c r="X252" s="305">
        <v>316</v>
      </c>
      <c r="Y252" s="285">
        <v>15</v>
      </c>
      <c r="Z252" s="285">
        <v>24</v>
      </c>
      <c r="AA252" s="285" t="s">
        <v>1</v>
      </c>
      <c r="AB252" s="285" t="s">
        <v>1</v>
      </c>
      <c r="AC252" s="305">
        <v>316</v>
      </c>
      <c r="AD252" s="285">
        <v>15</v>
      </c>
      <c r="AE252" s="285">
        <v>24</v>
      </c>
      <c r="AF252" s="285" t="s">
        <v>1</v>
      </c>
      <c r="AG252" s="285" t="s">
        <v>1</v>
      </c>
      <c r="AH252" s="286" t="s">
        <v>1</v>
      </c>
      <c r="AI252" s="295" t="s">
        <v>1</v>
      </c>
      <c r="AJ252" s="295" t="s">
        <v>1</v>
      </c>
      <c r="AK252" s="295" t="s">
        <v>1</v>
      </c>
      <c r="AL252" s="302" t="s">
        <v>1</v>
      </c>
      <c r="AM252" s="288" t="s">
        <v>1</v>
      </c>
      <c r="AN252" s="287" t="s">
        <v>1</v>
      </c>
      <c r="AO252" s="287" t="s">
        <v>1</v>
      </c>
      <c r="AP252" s="286" t="s">
        <v>1</v>
      </c>
      <c r="AQ252" s="285" t="s">
        <v>1</v>
      </c>
      <c r="AR252" s="289" t="s">
        <v>1</v>
      </c>
      <c r="AS252" s="289" t="s">
        <v>1</v>
      </c>
      <c r="AT252" s="290" t="s">
        <v>1</v>
      </c>
      <c r="AU252" s="287" t="s">
        <v>1</v>
      </c>
      <c r="AV252" s="287" t="s">
        <v>1</v>
      </c>
      <c r="AW252" s="291" t="s">
        <v>1</v>
      </c>
    </row>
    <row r="253" spans="1:49" ht="30.15" customHeight="1" x14ac:dyDescent="0.25">
      <c r="A253" s="213" t="s">
        <v>18</v>
      </c>
      <c r="B253" s="188" t="s">
        <v>1</v>
      </c>
      <c r="C253" s="212" t="s">
        <v>34</v>
      </c>
      <c r="D253" s="217" t="s">
        <v>3</v>
      </c>
      <c r="E253" s="217" t="s">
        <v>516</v>
      </c>
      <c r="F253" s="203"/>
      <c r="G253" s="217" t="s">
        <v>506</v>
      </c>
      <c r="H253" s="219" t="s">
        <v>409</v>
      </c>
      <c r="I253" s="220">
        <v>732</v>
      </c>
      <c r="J253" s="220">
        <v>751</v>
      </c>
      <c r="K253" s="220">
        <v>751</v>
      </c>
      <c r="L253" s="220">
        <v>790</v>
      </c>
      <c r="M253" s="220">
        <v>790</v>
      </c>
      <c r="N253" s="304">
        <v>316</v>
      </c>
      <c r="O253" s="285" t="s">
        <v>1</v>
      </c>
      <c r="P253" s="285" t="s">
        <v>1</v>
      </c>
      <c r="Q253" s="285" t="s">
        <v>1</v>
      </c>
      <c r="R253" s="285" t="s">
        <v>1</v>
      </c>
      <c r="S253" s="305">
        <v>316</v>
      </c>
      <c r="T253" s="285" t="s">
        <v>1</v>
      </c>
      <c r="U253" s="285" t="s">
        <v>1</v>
      </c>
      <c r="V253" s="285" t="s">
        <v>1</v>
      </c>
      <c r="W253" s="285" t="s">
        <v>1</v>
      </c>
      <c r="X253" s="305">
        <v>316</v>
      </c>
      <c r="Y253" s="285">
        <v>15</v>
      </c>
      <c r="Z253" s="285">
        <v>24</v>
      </c>
      <c r="AA253" s="285" t="s">
        <v>1</v>
      </c>
      <c r="AB253" s="285" t="s">
        <v>1</v>
      </c>
      <c r="AC253" s="305">
        <v>316</v>
      </c>
      <c r="AD253" s="285">
        <v>15</v>
      </c>
      <c r="AE253" s="285">
        <v>24</v>
      </c>
      <c r="AF253" s="285" t="s">
        <v>1</v>
      </c>
      <c r="AG253" s="285" t="s">
        <v>1</v>
      </c>
      <c r="AH253" s="286" t="s">
        <v>1</v>
      </c>
      <c r="AI253" s="295" t="s">
        <v>1</v>
      </c>
      <c r="AJ253" s="295" t="s">
        <v>1</v>
      </c>
      <c r="AK253" s="295" t="s">
        <v>1</v>
      </c>
      <c r="AL253" s="302" t="s">
        <v>1</v>
      </c>
      <c r="AM253" s="288" t="s">
        <v>1</v>
      </c>
      <c r="AN253" s="287" t="s">
        <v>1</v>
      </c>
      <c r="AO253" s="287" t="s">
        <v>1</v>
      </c>
      <c r="AP253" s="286" t="s">
        <v>1</v>
      </c>
      <c r="AQ253" s="285" t="s">
        <v>1</v>
      </c>
      <c r="AR253" s="289" t="s">
        <v>1</v>
      </c>
      <c r="AS253" s="289" t="s">
        <v>1</v>
      </c>
      <c r="AT253" s="290" t="s">
        <v>1</v>
      </c>
      <c r="AU253" s="287" t="s">
        <v>1</v>
      </c>
      <c r="AV253" s="287" t="s">
        <v>1</v>
      </c>
      <c r="AW253" s="291" t="s">
        <v>1</v>
      </c>
    </row>
    <row r="254" spans="1:49" ht="30.15" customHeight="1" x14ac:dyDescent="0.25">
      <c r="A254" s="213" t="s">
        <v>18</v>
      </c>
      <c r="B254" s="188" t="s">
        <v>1</v>
      </c>
      <c r="C254" s="212" t="s">
        <v>34</v>
      </c>
      <c r="D254" s="217" t="s">
        <v>3</v>
      </c>
      <c r="E254" s="217" t="s">
        <v>517</v>
      </c>
      <c r="F254" s="203"/>
      <c r="G254" s="217" t="s">
        <v>506</v>
      </c>
      <c r="H254" s="219" t="s">
        <v>409</v>
      </c>
      <c r="I254" s="220">
        <v>732</v>
      </c>
      <c r="J254" s="220">
        <v>751</v>
      </c>
      <c r="K254" s="220">
        <v>751</v>
      </c>
      <c r="L254" s="220">
        <v>790</v>
      </c>
      <c r="M254" s="220">
        <v>790</v>
      </c>
      <c r="N254" s="304">
        <v>316</v>
      </c>
      <c r="O254" s="285" t="s">
        <v>1</v>
      </c>
      <c r="P254" s="285" t="s">
        <v>1</v>
      </c>
      <c r="Q254" s="285" t="s">
        <v>1</v>
      </c>
      <c r="R254" s="285" t="s">
        <v>1</v>
      </c>
      <c r="S254" s="305">
        <v>316</v>
      </c>
      <c r="T254" s="285" t="s">
        <v>1</v>
      </c>
      <c r="U254" s="285" t="s">
        <v>1</v>
      </c>
      <c r="V254" s="285" t="s">
        <v>1</v>
      </c>
      <c r="W254" s="285" t="s">
        <v>1</v>
      </c>
      <c r="X254" s="305">
        <v>316</v>
      </c>
      <c r="Y254" s="285">
        <v>15</v>
      </c>
      <c r="Z254" s="285">
        <v>24</v>
      </c>
      <c r="AA254" s="285" t="s">
        <v>1</v>
      </c>
      <c r="AB254" s="285" t="s">
        <v>1</v>
      </c>
      <c r="AC254" s="305">
        <v>316</v>
      </c>
      <c r="AD254" s="285">
        <v>15</v>
      </c>
      <c r="AE254" s="285">
        <v>24</v>
      </c>
      <c r="AF254" s="285" t="s">
        <v>1</v>
      </c>
      <c r="AG254" s="285" t="s">
        <v>1</v>
      </c>
      <c r="AH254" s="286" t="s">
        <v>1</v>
      </c>
      <c r="AI254" s="295" t="s">
        <v>1</v>
      </c>
      <c r="AJ254" s="295" t="s">
        <v>1</v>
      </c>
      <c r="AK254" s="295" t="s">
        <v>1</v>
      </c>
      <c r="AL254" s="302" t="s">
        <v>1</v>
      </c>
      <c r="AM254" s="288" t="s">
        <v>1</v>
      </c>
      <c r="AN254" s="287" t="s">
        <v>1</v>
      </c>
      <c r="AO254" s="287" t="s">
        <v>1</v>
      </c>
      <c r="AP254" s="286" t="s">
        <v>1</v>
      </c>
      <c r="AQ254" s="285" t="s">
        <v>1</v>
      </c>
      <c r="AR254" s="289" t="s">
        <v>1</v>
      </c>
      <c r="AS254" s="289" t="s">
        <v>1</v>
      </c>
      <c r="AT254" s="290" t="s">
        <v>1</v>
      </c>
      <c r="AU254" s="287" t="s">
        <v>1</v>
      </c>
      <c r="AV254" s="287" t="s">
        <v>1</v>
      </c>
      <c r="AW254" s="291" t="s">
        <v>1</v>
      </c>
    </row>
    <row r="255" spans="1:49" ht="30.15" customHeight="1" x14ac:dyDescent="0.25">
      <c r="A255" s="213" t="s">
        <v>18</v>
      </c>
      <c r="B255" s="188" t="s">
        <v>1</v>
      </c>
      <c r="C255" s="212" t="s">
        <v>34</v>
      </c>
      <c r="D255" s="217" t="s">
        <v>3</v>
      </c>
      <c r="E255" s="217" t="s">
        <v>518</v>
      </c>
      <c r="F255" s="203"/>
      <c r="G255" s="217" t="s">
        <v>506</v>
      </c>
      <c r="H255" s="219" t="s">
        <v>409</v>
      </c>
      <c r="I255" s="220">
        <v>732</v>
      </c>
      <c r="J255" s="220">
        <v>751</v>
      </c>
      <c r="K255" s="220">
        <v>751</v>
      </c>
      <c r="L255" s="220">
        <v>790</v>
      </c>
      <c r="M255" s="220">
        <v>790</v>
      </c>
      <c r="N255" s="304">
        <v>316</v>
      </c>
      <c r="O255" s="285" t="s">
        <v>1</v>
      </c>
      <c r="P255" s="285" t="s">
        <v>1</v>
      </c>
      <c r="Q255" s="285" t="s">
        <v>1</v>
      </c>
      <c r="R255" s="285" t="s">
        <v>1</v>
      </c>
      <c r="S255" s="305">
        <v>316</v>
      </c>
      <c r="T255" s="285" t="s">
        <v>1</v>
      </c>
      <c r="U255" s="285" t="s">
        <v>1</v>
      </c>
      <c r="V255" s="285" t="s">
        <v>1</v>
      </c>
      <c r="W255" s="285" t="s">
        <v>1</v>
      </c>
      <c r="X255" s="305">
        <v>316</v>
      </c>
      <c r="Y255" s="285">
        <v>15</v>
      </c>
      <c r="Z255" s="285">
        <v>24</v>
      </c>
      <c r="AA255" s="285" t="s">
        <v>1</v>
      </c>
      <c r="AB255" s="285" t="s">
        <v>1</v>
      </c>
      <c r="AC255" s="305">
        <v>316</v>
      </c>
      <c r="AD255" s="285">
        <v>15</v>
      </c>
      <c r="AE255" s="285">
        <v>24</v>
      </c>
      <c r="AF255" s="285" t="s">
        <v>1</v>
      </c>
      <c r="AG255" s="285" t="s">
        <v>1</v>
      </c>
      <c r="AH255" s="286" t="s">
        <v>1</v>
      </c>
      <c r="AI255" s="295" t="s">
        <v>1</v>
      </c>
      <c r="AJ255" s="295" t="s">
        <v>1</v>
      </c>
      <c r="AK255" s="295" t="s">
        <v>1</v>
      </c>
      <c r="AL255" s="302" t="s">
        <v>1</v>
      </c>
      <c r="AM255" s="288" t="s">
        <v>1</v>
      </c>
      <c r="AN255" s="287" t="s">
        <v>1</v>
      </c>
      <c r="AO255" s="287" t="s">
        <v>1</v>
      </c>
      <c r="AP255" s="286" t="s">
        <v>1</v>
      </c>
      <c r="AQ255" s="285" t="s">
        <v>1</v>
      </c>
      <c r="AR255" s="289" t="s">
        <v>1</v>
      </c>
      <c r="AS255" s="289" t="s">
        <v>1</v>
      </c>
      <c r="AT255" s="290" t="s">
        <v>1</v>
      </c>
      <c r="AU255" s="287" t="s">
        <v>1</v>
      </c>
      <c r="AV255" s="287" t="s">
        <v>1</v>
      </c>
      <c r="AW255" s="291" t="s">
        <v>1</v>
      </c>
    </row>
    <row r="256" spans="1:49" ht="30.15" customHeight="1" x14ac:dyDescent="0.25">
      <c r="A256" s="213" t="s">
        <v>18</v>
      </c>
      <c r="B256" s="188" t="s">
        <v>1</v>
      </c>
      <c r="C256" s="212" t="s">
        <v>34</v>
      </c>
      <c r="D256" s="217" t="s">
        <v>3</v>
      </c>
      <c r="E256" s="217" t="s">
        <v>519</v>
      </c>
      <c r="F256" s="218"/>
      <c r="G256" s="217" t="s">
        <v>505</v>
      </c>
      <c r="H256" s="219" t="s">
        <v>409</v>
      </c>
      <c r="I256" s="220">
        <v>1179</v>
      </c>
      <c r="J256" s="220">
        <v>1179</v>
      </c>
      <c r="K256" s="220">
        <v>1179</v>
      </c>
      <c r="L256" s="220">
        <v>1270</v>
      </c>
      <c r="M256" s="220">
        <v>1270</v>
      </c>
      <c r="N256" s="304">
        <v>508</v>
      </c>
      <c r="O256" s="285" t="s">
        <v>1</v>
      </c>
      <c r="P256" s="285" t="s">
        <v>1</v>
      </c>
      <c r="Q256" s="285" t="s">
        <v>1</v>
      </c>
      <c r="R256" s="285" t="s">
        <v>1</v>
      </c>
      <c r="S256" s="305">
        <v>508</v>
      </c>
      <c r="T256" s="285" t="s">
        <v>1</v>
      </c>
      <c r="U256" s="285" t="s">
        <v>1</v>
      </c>
      <c r="V256" s="285" t="s">
        <v>1</v>
      </c>
      <c r="W256" s="285" t="s">
        <v>1</v>
      </c>
      <c r="X256" s="305">
        <v>508</v>
      </c>
      <c r="Y256" s="285">
        <v>15</v>
      </c>
      <c r="Z256" s="285">
        <v>24</v>
      </c>
      <c r="AA256" s="285" t="s">
        <v>1</v>
      </c>
      <c r="AB256" s="285" t="s">
        <v>1</v>
      </c>
      <c r="AC256" s="305">
        <v>508</v>
      </c>
      <c r="AD256" s="285">
        <v>15</v>
      </c>
      <c r="AE256" s="285">
        <v>24</v>
      </c>
      <c r="AF256" s="285" t="s">
        <v>1</v>
      </c>
      <c r="AG256" s="285" t="s">
        <v>1</v>
      </c>
      <c r="AH256" s="286" t="s">
        <v>1</v>
      </c>
      <c r="AI256" s="295" t="s">
        <v>1</v>
      </c>
      <c r="AJ256" s="295" t="s">
        <v>1</v>
      </c>
      <c r="AK256" s="295" t="s">
        <v>1</v>
      </c>
      <c r="AL256" s="302" t="s">
        <v>1</v>
      </c>
      <c r="AM256" s="288" t="s">
        <v>1</v>
      </c>
      <c r="AN256" s="287" t="s">
        <v>1</v>
      </c>
      <c r="AO256" s="287" t="s">
        <v>1</v>
      </c>
      <c r="AP256" s="286" t="s">
        <v>1</v>
      </c>
      <c r="AQ256" s="285" t="s">
        <v>1</v>
      </c>
      <c r="AR256" s="289" t="s">
        <v>1</v>
      </c>
      <c r="AS256" s="289" t="s">
        <v>1</v>
      </c>
      <c r="AT256" s="290" t="s">
        <v>1</v>
      </c>
      <c r="AU256" s="287" t="s">
        <v>1</v>
      </c>
      <c r="AV256" s="287" t="s">
        <v>1</v>
      </c>
      <c r="AW256" s="291" t="s">
        <v>1</v>
      </c>
    </row>
    <row r="257" spans="1:49" ht="30.15" customHeight="1" x14ac:dyDescent="0.25">
      <c r="A257" s="213" t="s">
        <v>18</v>
      </c>
      <c r="B257" s="188" t="s">
        <v>1</v>
      </c>
      <c r="C257" s="212" t="s">
        <v>34</v>
      </c>
      <c r="D257" s="217" t="s">
        <v>3</v>
      </c>
      <c r="E257" s="217" t="s">
        <v>520</v>
      </c>
      <c r="F257" s="203"/>
      <c r="G257" s="217" t="s">
        <v>505</v>
      </c>
      <c r="H257" s="219" t="s">
        <v>409</v>
      </c>
      <c r="I257" s="220">
        <v>1179</v>
      </c>
      <c r="J257" s="220">
        <v>1179</v>
      </c>
      <c r="K257" s="220">
        <v>1179</v>
      </c>
      <c r="L257" s="220">
        <v>1270</v>
      </c>
      <c r="M257" s="220">
        <v>1270</v>
      </c>
      <c r="N257" s="304">
        <v>508</v>
      </c>
      <c r="O257" s="285" t="s">
        <v>1</v>
      </c>
      <c r="P257" s="285" t="s">
        <v>1</v>
      </c>
      <c r="Q257" s="285" t="s">
        <v>1</v>
      </c>
      <c r="R257" s="285" t="s">
        <v>1</v>
      </c>
      <c r="S257" s="305">
        <v>508</v>
      </c>
      <c r="T257" s="285" t="s">
        <v>1</v>
      </c>
      <c r="U257" s="285" t="s">
        <v>1</v>
      </c>
      <c r="V257" s="285" t="s">
        <v>1</v>
      </c>
      <c r="W257" s="285" t="s">
        <v>1</v>
      </c>
      <c r="X257" s="305">
        <v>508</v>
      </c>
      <c r="Y257" s="285">
        <v>15</v>
      </c>
      <c r="Z257" s="285">
        <v>24</v>
      </c>
      <c r="AA257" s="285" t="s">
        <v>1</v>
      </c>
      <c r="AB257" s="285" t="s">
        <v>1</v>
      </c>
      <c r="AC257" s="305">
        <v>508</v>
      </c>
      <c r="AD257" s="285">
        <v>15</v>
      </c>
      <c r="AE257" s="285">
        <v>24</v>
      </c>
      <c r="AF257" s="285" t="s">
        <v>1</v>
      </c>
      <c r="AG257" s="285" t="s">
        <v>1</v>
      </c>
      <c r="AH257" s="286" t="s">
        <v>1</v>
      </c>
      <c r="AI257" s="295" t="s">
        <v>1</v>
      </c>
      <c r="AJ257" s="295" t="s">
        <v>1</v>
      </c>
      <c r="AK257" s="295" t="s">
        <v>1</v>
      </c>
      <c r="AL257" s="302" t="s">
        <v>1</v>
      </c>
      <c r="AM257" s="288" t="s">
        <v>1</v>
      </c>
      <c r="AN257" s="287" t="s">
        <v>1</v>
      </c>
      <c r="AO257" s="287" t="s">
        <v>1</v>
      </c>
      <c r="AP257" s="286" t="s">
        <v>1</v>
      </c>
      <c r="AQ257" s="285" t="s">
        <v>1</v>
      </c>
      <c r="AR257" s="289" t="s">
        <v>1</v>
      </c>
      <c r="AS257" s="289" t="s">
        <v>1</v>
      </c>
      <c r="AT257" s="290" t="s">
        <v>1</v>
      </c>
      <c r="AU257" s="287" t="s">
        <v>1</v>
      </c>
      <c r="AV257" s="287" t="s">
        <v>1</v>
      </c>
      <c r="AW257" s="291" t="s">
        <v>1</v>
      </c>
    </row>
    <row r="258" spans="1:49" ht="30.15" customHeight="1" x14ac:dyDescent="0.25">
      <c r="A258" s="213" t="s">
        <v>18</v>
      </c>
      <c r="B258" s="188" t="s">
        <v>1</v>
      </c>
      <c r="C258" s="212" t="s">
        <v>34</v>
      </c>
      <c r="D258" s="217" t="s">
        <v>3</v>
      </c>
      <c r="E258" s="217" t="s">
        <v>521</v>
      </c>
      <c r="F258" s="218"/>
      <c r="G258" s="217" t="s">
        <v>505</v>
      </c>
      <c r="H258" s="219" t="s">
        <v>409</v>
      </c>
      <c r="I258" s="220">
        <v>1179</v>
      </c>
      <c r="J258" s="220">
        <v>1179</v>
      </c>
      <c r="K258" s="220">
        <v>1179</v>
      </c>
      <c r="L258" s="220">
        <v>1270</v>
      </c>
      <c r="M258" s="220">
        <v>1270</v>
      </c>
      <c r="N258" s="304">
        <v>508</v>
      </c>
      <c r="O258" s="285" t="s">
        <v>1</v>
      </c>
      <c r="P258" s="285" t="s">
        <v>1</v>
      </c>
      <c r="Q258" s="285" t="s">
        <v>1</v>
      </c>
      <c r="R258" s="285" t="s">
        <v>1</v>
      </c>
      <c r="S258" s="305">
        <v>508</v>
      </c>
      <c r="T258" s="285" t="s">
        <v>1</v>
      </c>
      <c r="U258" s="285" t="s">
        <v>1</v>
      </c>
      <c r="V258" s="285" t="s">
        <v>1</v>
      </c>
      <c r="W258" s="285" t="s">
        <v>1</v>
      </c>
      <c r="X258" s="305">
        <v>508</v>
      </c>
      <c r="Y258" s="285">
        <v>15</v>
      </c>
      <c r="Z258" s="285">
        <v>24</v>
      </c>
      <c r="AA258" s="285" t="s">
        <v>1</v>
      </c>
      <c r="AB258" s="285" t="s">
        <v>1</v>
      </c>
      <c r="AC258" s="305">
        <v>508</v>
      </c>
      <c r="AD258" s="285">
        <v>15</v>
      </c>
      <c r="AE258" s="285">
        <v>24</v>
      </c>
      <c r="AF258" s="285" t="s">
        <v>1</v>
      </c>
      <c r="AG258" s="285" t="s">
        <v>1</v>
      </c>
      <c r="AH258" s="286" t="s">
        <v>1</v>
      </c>
      <c r="AI258" s="295" t="s">
        <v>1</v>
      </c>
      <c r="AJ258" s="295" t="s">
        <v>1</v>
      </c>
      <c r="AK258" s="295" t="s">
        <v>1</v>
      </c>
      <c r="AL258" s="302" t="s">
        <v>1</v>
      </c>
      <c r="AM258" s="288" t="s">
        <v>1</v>
      </c>
      <c r="AN258" s="287" t="s">
        <v>1</v>
      </c>
      <c r="AO258" s="287" t="s">
        <v>1</v>
      </c>
      <c r="AP258" s="286" t="s">
        <v>1</v>
      </c>
      <c r="AQ258" s="285" t="s">
        <v>1</v>
      </c>
      <c r="AR258" s="289" t="s">
        <v>1</v>
      </c>
      <c r="AS258" s="289" t="s">
        <v>1</v>
      </c>
      <c r="AT258" s="290" t="s">
        <v>1</v>
      </c>
      <c r="AU258" s="287" t="s">
        <v>1</v>
      </c>
      <c r="AV258" s="287" t="s">
        <v>1</v>
      </c>
      <c r="AW258" s="291" t="s">
        <v>1</v>
      </c>
    </row>
    <row r="259" spans="1:49" ht="30.15" customHeight="1" x14ac:dyDescent="0.25">
      <c r="A259" s="213" t="s">
        <v>18</v>
      </c>
      <c r="B259" s="188" t="s">
        <v>1</v>
      </c>
      <c r="C259" s="212" t="s">
        <v>34</v>
      </c>
      <c r="D259" s="217" t="s">
        <v>3</v>
      </c>
      <c r="E259" s="217" t="s">
        <v>522</v>
      </c>
      <c r="F259" s="218"/>
      <c r="G259" s="217" t="s">
        <v>505</v>
      </c>
      <c r="H259" s="219" t="s">
        <v>409</v>
      </c>
      <c r="I259" s="220">
        <v>1179</v>
      </c>
      <c r="J259" s="220">
        <v>1179</v>
      </c>
      <c r="K259" s="220">
        <v>1179</v>
      </c>
      <c r="L259" s="220">
        <v>1270</v>
      </c>
      <c r="M259" s="220">
        <v>1270</v>
      </c>
      <c r="N259" s="304">
        <v>508</v>
      </c>
      <c r="O259" s="285" t="s">
        <v>1</v>
      </c>
      <c r="P259" s="285" t="s">
        <v>1</v>
      </c>
      <c r="Q259" s="285" t="s">
        <v>1</v>
      </c>
      <c r="R259" s="285" t="s">
        <v>1</v>
      </c>
      <c r="S259" s="305">
        <v>508</v>
      </c>
      <c r="T259" s="285" t="s">
        <v>1</v>
      </c>
      <c r="U259" s="285" t="s">
        <v>1</v>
      </c>
      <c r="V259" s="285" t="s">
        <v>1</v>
      </c>
      <c r="W259" s="285" t="s">
        <v>1</v>
      </c>
      <c r="X259" s="305">
        <v>508</v>
      </c>
      <c r="Y259" s="285">
        <v>15</v>
      </c>
      <c r="Z259" s="285">
        <v>24</v>
      </c>
      <c r="AA259" s="285" t="s">
        <v>1</v>
      </c>
      <c r="AB259" s="285" t="s">
        <v>1</v>
      </c>
      <c r="AC259" s="305">
        <v>508</v>
      </c>
      <c r="AD259" s="285">
        <v>15</v>
      </c>
      <c r="AE259" s="285">
        <v>24</v>
      </c>
      <c r="AF259" s="285" t="s">
        <v>1</v>
      </c>
      <c r="AG259" s="285" t="s">
        <v>1</v>
      </c>
      <c r="AH259" s="286" t="s">
        <v>1</v>
      </c>
      <c r="AI259" s="295" t="s">
        <v>1</v>
      </c>
      <c r="AJ259" s="295" t="s">
        <v>1</v>
      </c>
      <c r="AK259" s="295" t="s">
        <v>1</v>
      </c>
      <c r="AL259" s="302" t="s">
        <v>1</v>
      </c>
      <c r="AM259" s="288" t="s">
        <v>1</v>
      </c>
      <c r="AN259" s="287" t="s">
        <v>1</v>
      </c>
      <c r="AO259" s="287" t="s">
        <v>1</v>
      </c>
      <c r="AP259" s="286" t="s">
        <v>1</v>
      </c>
      <c r="AQ259" s="285" t="s">
        <v>1</v>
      </c>
      <c r="AR259" s="289" t="s">
        <v>1</v>
      </c>
      <c r="AS259" s="289" t="s">
        <v>1</v>
      </c>
      <c r="AT259" s="290" t="s">
        <v>1</v>
      </c>
      <c r="AU259" s="287" t="s">
        <v>1</v>
      </c>
      <c r="AV259" s="287" t="s">
        <v>1</v>
      </c>
      <c r="AW259" s="291" t="s">
        <v>1</v>
      </c>
    </row>
    <row r="260" spans="1:49" ht="30.15" customHeight="1" x14ac:dyDescent="0.25">
      <c r="A260" s="213" t="s">
        <v>18</v>
      </c>
      <c r="B260" s="188" t="s">
        <v>1</v>
      </c>
      <c r="C260" s="212" t="s">
        <v>34</v>
      </c>
      <c r="D260" s="217" t="s">
        <v>3</v>
      </c>
      <c r="E260" s="217" t="s">
        <v>523</v>
      </c>
      <c r="F260" s="218"/>
      <c r="G260" s="217" t="s">
        <v>505</v>
      </c>
      <c r="H260" s="219" t="s">
        <v>409</v>
      </c>
      <c r="I260" s="220">
        <v>1179</v>
      </c>
      <c r="J260" s="220">
        <v>1179</v>
      </c>
      <c r="K260" s="220">
        <v>1179</v>
      </c>
      <c r="L260" s="220">
        <v>1270</v>
      </c>
      <c r="M260" s="220">
        <v>1270</v>
      </c>
      <c r="N260" s="304">
        <v>508</v>
      </c>
      <c r="O260" s="285" t="s">
        <v>1</v>
      </c>
      <c r="P260" s="285" t="s">
        <v>1</v>
      </c>
      <c r="Q260" s="285" t="s">
        <v>1</v>
      </c>
      <c r="R260" s="285" t="s">
        <v>1</v>
      </c>
      <c r="S260" s="305">
        <v>508</v>
      </c>
      <c r="T260" s="285" t="s">
        <v>1</v>
      </c>
      <c r="U260" s="285" t="s">
        <v>1</v>
      </c>
      <c r="V260" s="285" t="s">
        <v>1</v>
      </c>
      <c r="W260" s="285" t="s">
        <v>1</v>
      </c>
      <c r="X260" s="305">
        <v>508</v>
      </c>
      <c r="Y260" s="285">
        <v>15</v>
      </c>
      <c r="Z260" s="285">
        <v>24</v>
      </c>
      <c r="AA260" s="285" t="s">
        <v>1</v>
      </c>
      <c r="AB260" s="285" t="s">
        <v>1</v>
      </c>
      <c r="AC260" s="305">
        <v>508</v>
      </c>
      <c r="AD260" s="285">
        <v>15</v>
      </c>
      <c r="AE260" s="285">
        <v>24</v>
      </c>
      <c r="AF260" s="285" t="s">
        <v>1</v>
      </c>
      <c r="AG260" s="285" t="s">
        <v>1</v>
      </c>
      <c r="AH260" s="286" t="s">
        <v>1</v>
      </c>
      <c r="AI260" s="295" t="s">
        <v>1</v>
      </c>
      <c r="AJ260" s="295" t="s">
        <v>1</v>
      </c>
      <c r="AK260" s="295" t="s">
        <v>1</v>
      </c>
      <c r="AL260" s="302" t="s">
        <v>1</v>
      </c>
      <c r="AM260" s="288" t="s">
        <v>1</v>
      </c>
      <c r="AN260" s="287" t="s">
        <v>1</v>
      </c>
      <c r="AO260" s="287" t="s">
        <v>1</v>
      </c>
      <c r="AP260" s="286" t="s">
        <v>1</v>
      </c>
      <c r="AQ260" s="285" t="s">
        <v>1</v>
      </c>
      <c r="AR260" s="289" t="s">
        <v>1</v>
      </c>
      <c r="AS260" s="289" t="s">
        <v>1</v>
      </c>
      <c r="AT260" s="290" t="s">
        <v>1</v>
      </c>
      <c r="AU260" s="287" t="s">
        <v>1</v>
      </c>
      <c r="AV260" s="287" t="s">
        <v>1</v>
      </c>
      <c r="AW260" s="291" t="s">
        <v>1</v>
      </c>
    </row>
    <row r="261" spans="1:49" ht="30.15" customHeight="1" x14ac:dyDescent="0.25">
      <c r="A261" s="213" t="s">
        <v>18</v>
      </c>
      <c r="B261" s="188" t="s">
        <v>1</v>
      </c>
      <c r="C261" s="212" t="s">
        <v>34</v>
      </c>
      <c r="D261" s="217" t="s">
        <v>3</v>
      </c>
      <c r="E261" s="217" t="s">
        <v>524</v>
      </c>
      <c r="F261" s="203"/>
      <c r="G261" s="217" t="s">
        <v>505</v>
      </c>
      <c r="H261" s="219" t="s">
        <v>409</v>
      </c>
      <c r="I261" s="220">
        <v>1179</v>
      </c>
      <c r="J261" s="220">
        <v>1179</v>
      </c>
      <c r="K261" s="220">
        <v>1179</v>
      </c>
      <c r="L261" s="220">
        <v>1270</v>
      </c>
      <c r="M261" s="220">
        <v>1270</v>
      </c>
      <c r="N261" s="304">
        <v>508</v>
      </c>
      <c r="O261" s="285" t="s">
        <v>1</v>
      </c>
      <c r="P261" s="285" t="s">
        <v>1</v>
      </c>
      <c r="Q261" s="285" t="s">
        <v>1</v>
      </c>
      <c r="R261" s="285" t="s">
        <v>1</v>
      </c>
      <c r="S261" s="305">
        <v>508</v>
      </c>
      <c r="T261" s="285" t="s">
        <v>1</v>
      </c>
      <c r="U261" s="285" t="s">
        <v>1</v>
      </c>
      <c r="V261" s="285" t="s">
        <v>1</v>
      </c>
      <c r="W261" s="285" t="s">
        <v>1</v>
      </c>
      <c r="X261" s="305">
        <v>508</v>
      </c>
      <c r="Y261" s="285">
        <v>15</v>
      </c>
      <c r="Z261" s="285">
        <v>24</v>
      </c>
      <c r="AA261" s="285" t="s">
        <v>1</v>
      </c>
      <c r="AB261" s="285" t="s">
        <v>1</v>
      </c>
      <c r="AC261" s="305">
        <v>508</v>
      </c>
      <c r="AD261" s="285">
        <v>15</v>
      </c>
      <c r="AE261" s="285">
        <v>24</v>
      </c>
      <c r="AF261" s="285" t="s">
        <v>1</v>
      </c>
      <c r="AG261" s="285" t="s">
        <v>1</v>
      </c>
      <c r="AH261" s="286" t="s">
        <v>1</v>
      </c>
      <c r="AI261" s="295" t="s">
        <v>1</v>
      </c>
      <c r="AJ261" s="295" t="s">
        <v>1</v>
      </c>
      <c r="AK261" s="295" t="s">
        <v>1</v>
      </c>
      <c r="AL261" s="302" t="s">
        <v>1</v>
      </c>
      <c r="AM261" s="288" t="s">
        <v>1</v>
      </c>
      <c r="AN261" s="287" t="s">
        <v>1</v>
      </c>
      <c r="AO261" s="287" t="s">
        <v>1</v>
      </c>
      <c r="AP261" s="286" t="s">
        <v>1</v>
      </c>
      <c r="AQ261" s="285" t="s">
        <v>1</v>
      </c>
      <c r="AR261" s="289" t="s">
        <v>1</v>
      </c>
      <c r="AS261" s="289" t="s">
        <v>1</v>
      </c>
      <c r="AT261" s="290" t="s">
        <v>1</v>
      </c>
      <c r="AU261" s="287" t="s">
        <v>1</v>
      </c>
      <c r="AV261" s="287" t="s">
        <v>1</v>
      </c>
      <c r="AW261" s="291" t="s">
        <v>1</v>
      </c>
    </row>
    <row r="262" spans="1:49" ht="30.15" customHeight="1" x14ac:dyDescent="0.25">
      <c r="A262" s="213" t="s">
        <v>18</v>
      </c>
      <c r="B262" s="188" t="s">
        <v>1</v>
      </c>
      <c r="C262" s="212" t="s">
        <v>34</v>
      </c>
      <c r="D262" s="217" t="s">
        <v>3</v>
      </c>
      <c r="E262" s="217" t="s">
        <v>1078</v>
      </c>
      <c r="F262" s="218"/>
      <c r="G262" s="217" t="s">
        <v>1090</v>
      </c>
      <c r="H262" s="219" t="s">
        <v>409</v>
      </c>
      <c r="I262" s="220">
        <v>666</v>
      </c>
      <c r="J262" s="220">
        <v>679</v>
      </c>
      <c r="K262" s="220">
        <v>679</v>
      </c>
      <c r="L262" s="220">
        <v>720</v>
      </c>
      <c r="M262" s="223">
        <v>720</v>
      </c>
      <c r="N262" s="304">
        <v>288</v>
      </c>
      <c r="O262" s="285" t="s">
        <v>1</v>
      </c>
      <c r="P262" s="285" t="s">
        <v>1</v>
      </c>
      <c r="Q262" s="285" t="s">
        <v>1</v>
      </c>
      <c r="R262" s="285" t="s">
        <v>1</v>
      </c>
      <c r="S262" s="305">
        <v>288</v>
      </c>
      <c r="T262" s="285" t="s">
        <v>1</v>
      </c>
      <c r="U262" s="285" t="s">
        <v>1</v>
      </c>
      <c r="V262" s="285" t="s">
        <v>1</v>
      </c>
      <c r="W262" s="285" t="s">
        <v>1</v>
      </c>
      <c r="X262" s="305">
        <v>288</v>
      </c>
      <c r="Y262" s="285">
        <v>15</v>
      </c>
      <c r="Z262" s="285">
        <v>24</v>
      </c>
      <c r="AA262" s="285" t="s">
        <v>1</v>
      </c>
      <c r="AB262" s="285" t="s">
        <v>1</v>
      </c>
      <c r="AC262" s="305">
        <v>288</v>
      </c>
      <c r="AD262" s="285">
        <v>15</v>
      </c>
      <c r="AE262" s="285">
        <v>24</v>
      </c>
      <c r="AF262" s="285" t="s">
        <v>1</v>
      </c>
      <c r="AG262" s="285" t="s">
        <v>1</v>
      </c>
      <c r="AH262" s="286" t="s">
        <v>1</v>
      </c>
      <c r="AI262" s="295" t="s">
        <v>1</v>
      </c>
      <c r="AJ262" s="295" t="s">
        <v>1</v>
      </c>
      <c r="AK262" s="295" t="s">
        <v>1</v>
      </c>
      <c r="AL262" s="302" t="s">
        <v>1</v>
      </c>
      <c r="AM262" s="288" t="s">
        <v>1</v>
      </c>
      <c r="AN262" s="287" t="s">
        <v>1</v>
      </c>
      <c r="AO262" s="287" t="s">
        <v>1</v>
      </c>
      <c r="AP262" s="286" t="s">
        <v>1</v>
      </c>
      <c r="AQ262" s="285" t="s">
        <v>1</v>
      </c>
      <c r="AR262" s="289" t="s">
        <v>1</v>
      </c>
      <c r="AS262" s="289" t="s">
        <v>1</v>
      </c>
      <c r="AT262" s="290" t="s">
        <v>1</v>
      </c>
      <c r="AU262" s="287" t="s">
        <v>1</v>
      </c>
      <c r="AV262" s="287" t="s">
        <v>1</v>
      </c>
      <c r="AW262" s="291" t="s">
        <v>1</v>
      </c>
    </row>
    <row r="263" spans="1:49" ht="30.15" customHeight="1" x14ac:dyDescent="0.25">
      <c r="A263" s="213" t="s">
        <v>18</v>
      </c>
      <c r="B263" s="188" t="s">
        <v>1</v>
      </c>
      <c r="C263" s="212" t="s">
        <v>34</v>
      </c>
      <c r="D263" s="217" t="s">
        <v>3</v>
      </c>
      <c r="E263" s="217" t="s">
        <v>1079</v>
      </c>
      <c r="F263" s="203"/>
      <c r="G263" s="217" t="s">
        <v>1090</v>
      </c>
      <c r="H263" s="219" t="s">
        <v>414</v>
      </c>
      <c r="I263" s="220">
        <v>666</v>
      </c>
      <c r="J263" s="220">
        <v>679</v>
      </c>
      <c r="K263" s="220">
        <v>679</v>
      </c>
      <c r="L263" s="220">
        <v>720</v>
      </c>
      <c r="M263" s="223">
        <v>720</v>
      </c>
      <c r="N263" s="304">
        <v>288</v>
      </c>
      <c r="O263" s="285" t="s">
        <v>1</v>
      </c>
      <c r="P263" s="285" t="s">
        <v>1</v>
      </c>
      <c r="Q263" s="285" t="s">
        <v>1</v>
      </c>
      <c r="R263" s="285" t="s">
        <v>1</v>
      </c>
      <c r="S263" s="305">
        <v>288</v>
      </c>
      <c r="T263" s="285" t="s">
        <v>1</v>
      </c>
      <c r="U263" s="285" t="s">
        <v>1</v>
      </c>
      <c r="V263" s="285" t="s">
        <v>1</v>
      </c>
      <c r="W263" s="285" t="s">
        <v>1</v>
      </c>
      <c r="X263" s="305">
        <v>288</v>
      </c>
      <c r="Y263" s="285">
        <v>15</v>
      </c>
      <c r="Z263" s="285">
        <v>24</v>
      </c>
      <c r="AA263" s="285" t="s">
        <v>1</v>
      </c>
      <c r="AB263" s="285" t="s">
        <v>1</v>
      </c>
      <c r="AC263" s="305">
        <v>288</v>
      </c>
      <c r="AD263" s="285">
        <v>15</v>
      </c>
      <c r="AE263" s="285">
        <v>24</v>
      </c>
      <c r="AF263" s="285" t="s">
        <v>1</v>
      </c>
      <c r="AG263" s="285" t="s">
        <v>1</v>
      </c>
      <c r="AH263" s="286" t="s">
        <v>1</v>
      </c>
      <c r="AI263" s="295" t="s">
        <v>1</v>
      </c>
      <c r="AJ263" s="295" t="s">
        <v>1</v>
      </c>
      <c r="AK263" s="295" t="s">
        <v>1</v>
      </c>
      <c r="AL263" s="302" t="s">
        <v>1</v>
      </c>
      <c r="AM263" s="288" t="s">
        <v>1</v>
      </c>
      <c r="AN263" s="287" t="s">
        <v>1</v>
      </c>
      <c r="AO263" s="287" t="s">
        <v>1</v>
      </c>
      <c r="AP263" s="286" t="s">
        <v>1</v>
      </c>
      <c r="AQ263" s="285" t="s">
        <v>1</v>
      </c>
      <c r="AR263" s="289" t="s">
        <v>1</v>
      </c>
      <c r="AS263" s="289" t="s">
        <v>1</v>
      </c>
      <c r="AT263" s="290" t="s">
        <v>1</v>
      </c>
      <c r="AU263" s="287" t="s">
        <v>1</v>
      </c>
      <c r="AV263" s="287" t="s">
        <v>1</v>
      </c>
      <c r="AW263" s="291" t="s">
        <v>1</v>
      </c>
    </row>
    <row r="264" spans="1:49" ht="30.15" customHeight="1" x14ac:dyDescent="0.25">
      <c r="A264" s="213" t="s">
        <v>18</v>
      </c>
      <c r="B264" s="188" t="s">
        <v>1</v>
      </c>
      <c r="C264" s="212" t="s">
        <v>34</v>
      </c>
      <c r="D264" s="217" t="s">
        <v>3</v>
      </c>
      <c r="E264" s="217" t="s">
        <v>1080</v>
      </c>
      <c r="F264" s="203"/>
      <c r="G264" s="217" t="s">
        <v>1090</v>
      </c>
      <c r="H264" s="219" t="s">
        <v>414</v>
      </c>
      <c r="I264" s="220">
        <v>666</v>
      </c>
      <c r="J264" s="220">
        <v>679</v>
      </c>
      <c r="K264" s="220">
        <v>679</v>
      </c>
      <c r="L264" s="220">
        <v>720</v>
      </c>
      <c r="M264" s="223">
        <v>720</v>
      </c>
      <c r="N264" s="304">
        <v>288</v>
      </c>
      <c r="O264" s="285" t="s">
        <v>1</v>
      </c>
      <c r="P264" s="285" t="s">
        <v>1</v>
      </c>
      <c r="Q264" s="285" t="s">
        <v>1</v>
      </c>
      <c r="R264" s="285" t="s">
        <v>1</v>
      </c>
      <c r="S264" s="305">
        <v>288</v>
      </c>
      <c r="T264" s="285" t="s">
        <v>1</v>
      </c>
      <c r="U264" s="285" t="s">
        <v>1</v>
      </c>
      <c r="V264" s="285" t="s">
        <v>1</v>
      </c>
      <c r="W264" s="285" t="s">
        <v>1</v>
      </c>
      <c r="X264" s="305">
        <v>288</v>
      </c>
      <c r="Y264" s="285">
        <v>15</v>
      </c>
      <c r="Z264" s="285">
        <v>24</v>
      </c>
      <c r="AA264" s="285" t="s">
        <v>1</v>
      </c>
      <c r="AB264" s="285" t="s">
        <v>1</v>
      </c>
      <c r="AC264" s="305">
        <v>288</v>
      </c>
      <c r="AD264" s="285">
        <v>15</v>
      </c>
      <c r="AE264" s="285">
        <v>24</v>
      </c>
      <c r="AF264" s="285" t="s">
        <v>1</v>
      </c>
      <c r="AG264" s="285" t="s">
        <v>1</v>
      </c>
      <c r="AH264" s="286" t="s">
        <v>1</v>
      </c>
      <c r="AI264" s="295" t="s">
        <v>1</v>
      </c>
      <c r="AJ264" s="295" t="s">
        <v>1</v>
      </c>
      <c r="AK264" s="295" t="s">
        <v>1</v>
      </c>
      <c r="AL264" s="302" t="s">
        <v>1</v>
      </c>
      <c r="AM264" s="288" t="s">
        <v>1</v>
      </c>
      <c r="AN264" s="287" t="s">
        <v>1</v>
      </c>
      <c r="AO264" s="287" t="s">
        <v>1</v>
      </c>
      <c r="AP264" s="286" t="s">
        <v>1</v>
      </c>
      <c r="AQ264" s="285" t="s">
        <v>1</v>
      </c>
      <c r="AR264" s="289" t="s">
        <v>1</v>
      </c>
      <c r="AS264" s="289" t="s">
        <v>1</v>
      </c>
      <c r="AT264" s="290" t="s">
        <v>1</v>
      </c>
      <c r="AU264" s="287" t="s">
        <v>1</v>
      </c>
      <c r="AV264" s="287" t="s">
        <v>1</v>
      </c>
      <c r="AW264" s="291" t="s">
        <v>1</v>
      </c>
    </row>
    <row r="265" spans="1:49" ht="30.15" customHeight="1" x14ac:dyDescent="0.25">
      <c r="A265" s="213" t="s">
        <v>18</v>
      </c>
      <c r="B265" s="188" t="s">
        <v>1</v>
      </c>
      <c r="C265" s="212" t="s">
        <v>34</v>
      </c>
      <c r="D265" s="217" t="s">
        <v>3</v>
      </c>
      <c r="E265" s="217" t="s">
        <v>1081</v>
      </c>
      <c r="F265" s="203"/>
      <c r="G265" s="217" t="s">
        <v>1090</v>
      </c>
      <c r="H265" s="219" t="s">
        <v>414</v>
      </c>
      <c r="I265" s="220">
        <v>666</v>
      </c>
      <c r="J265" s="220">
        <v>679</v>
      </c>
      <c r="K265" s="220">
        <v>679</v>
      </c>
      <c r="L265" s="220">
        <v>720</v>
      </c>
      <c r="M265" s="223">
        <v>720</v>
      </c>
      <c r="N265" s="304">
        <v>288</v>
      </c>
      <c r="O265" s="285" t="s">
        <v>1</v>
      </c>
      <c r="P265" s="285" t="s">
        <v>1</v>
      </c>
      <c r="Q265" s="285" t="s">
        <v>1</v>
      </c>
      <c r="R265" s="285" t="s">
        <v>1</v>
      </c>
      <c r="S265" s="305">
        <v>288</v>
      </c>
      <c r="T265" s="285" t="s">
        <v>1</v>
      </c>
      <c r="U265" s="285" t="s">
        <v>1</v>
      </c>
      <c r="V265" s="285" t="s">
        <v>1</v>
      </c>
      <c r="W265" s="285" t="s">
        <v>1</v>
      </c>
      <c r="X265" s="305">
        <v>288</v>
      </c>
      <c r="Y265" s="285">
        <v>15</v>
      </c>
      <c r="Z265" s="285">
        <v>24</v>
      </c>
      <c r="AA265" s="285" t="s">
        <v>1</v>
      </c>
      <c r="AB265" s="285" t="s">
        <v>1</v>
      </c>
      <c r="AC265" s="305">
        <v>288</v>
      </c>
      <c r="AD265" s="285">
        <v>15</v>
      </c>
      <c r="AE265" s="285">
        <v>24</v>
      </c>
      <c r="AF265" s="285" t="s">
        <v>1</v>
      </c>
      <c r="AG265" s="285" t="s">
        <v>1</v>
      </c>
      <c r="AH265" s="286" t="s">
        <v>1</v>
      </c>
      <c r="AI265" s="295" t="s">
        <v>1</v>
      </c>
      <c r="AJ265" s="295" t="s">
        <v>1</v>
      </c>
      <c r="AK265" s="295" t="s">
        <v>1</v>
      </c>
      <c r="AL265" s="302" t="s">
        <v>1</v>
      </c>
      <c r="AM265" s="288" t="s">
        <v>1</v>
      </c>
      <c r="AN265" s="287" t="s">
        <v>1</v>
      </c>
      <c r="AO265" s="287" t="s">
        <v>1</v>
      </c>
      <c r="AP265" s="286" t="s">
        <v>1</v>
      </c>
      <c r="AQ265" s="285" t="s">
        <v>1</v>
      </c>
      <c r="AR265" s="289" t="s">
        <v>1</v>
      </c>
      <c r="AS265" s="289" t="s">
        <v>1</v>
      </c>
      <c r="AT265" s="290" t="s">
        <v>1</v>
      </c>
      <c r="AU265" s="287" t="s">
        <v>1</v>
      </c>
      <c r="AV265" s="287" t="s">
        <v>1</v>
      </c>
      <c r="AW265" s="291" t="s">
        <v>1</v>
      </c>
    </row>
    <row r="266" spans="1:49" ht="30.15" customHeight="1" x14ac:dyDescent="0.25">
      <c r="A266" s="213" t="s">
        <v>18</v>
      </c>
      <c r="B266" s="188" t="s">
        <v>1</v>
      </c>
      <c r="C266" s="212" t="s">
        <v>34</v>
      </c>
      <c r="D266" s="217" t="s">
        <v>3</v>
      </c>
      <c r="E266" s="217" t="s">
        <v>1082</v>
      </c>
      <c r="F266" s="203"/>
      <c r="G266" s="217" t="s">
        <v>1090</v>
      </c>
      <c r="H266" s="219" t="s">
        <v>414</v>
      </c>
      <c r="I266" s="220">
        <v>666</v>
      </c>
      <c r="J266" s="220">
        <v>679</v>
      </c>
      <c r="K266" s="220">
        <v>679</v>
      </c>
      <c r="L266" s="220">
        <v>720</v>
      </c>
      <c r="M266" s="223">
        <v>720</v>
      </c>
      <c r="N266" s="304">
        <v>288</v>
      </c>
      <c r="O266" s="285" t="s">
        <v>1</v>
      </c>
      <c r="P266" s="285" t="s">
        <v>1</v>
      </c>
      <c r="Q266" s="285" t="s">
        <v>1</v>
      </c>
      <c r="R266" s="285" t="s">
        <v>1</v>
      </c>
      <c r="S266" s="305">
        <v>288</v>
      </c>
      <c r="T266" s="285" t="s">
        <v>1</v>
      </c>
      <c r="U266" s="285" t="s">
        <v>1</v>
      </c>
      <c r="V266" s="285" t="s">
        <v>1</v>
      </c>
      <c r="W266" s="285" t="s">
        <v>1</v>
      </c>
      <c r="X266" s="305">
        <v>288</v>
      </c>
      <c r="Y266" s="285">
        <v>15</v>
      </c>
      <c r="Z266" s="285">
        <v>24</v>
      </c>
      <c r="AA266" s="285" t="s">
        <v>1</v>
      </c>
      <c r="AB266" s="285" t="s">
        <v>1</v>
      </c>
      <c r="AC266" s="305">
        <v>288</v>
      </c>
      <c r="AD266" s="285">
        <v>15</v>
      </c>
      <c r="AE266" s="285">
        <v>24</v>
      </c>
      <c r="AF266" s="285" t="s">
        <v>1</v>
      </c>
      <c r="AG266" s="285" t="s">
        <v>1</v>
      </c>
      <c r="AH266" s="286" t="s">
        <v>1</v>
      </c>
      <c r="AI266" s="295" t="s">
        <v>1</v>
      </c>
      <c r="AJ266" s="295" t="s">
        <v>1</v>
      </c>
      <c r="AK266" s="295" t="s">
        <v>1</v>
      </c>
      <c r="AL266" s="302" t="s">
        <v>1</v>
      </c>
      <c r="AM266" s="288" t="s">
        <v>1</v>
      </c>
      <c r="AN266" s="287" t="s">
        <v>1</v>
      </c>
      <c r="AO266" s="287" t="s">
        <v>1</v>
      </c>
      <c r="AP266" s="286" t="s">
        <v>1</v>
      </c>
      <c r="AQ266" s="285" t="s">
        <v>1</v>
      </c>
      <c r="AR266" s="289" t="s">
        <v>1</v>
      </c>
      <c r="AS266" s="289" t="s">
        <v>1</v>
      </c>
      <c r="AT266" s="290" t="s">
        <v>1</v>
      </c>
      <c r="AU266" s="287" t="s">
        <v>1</v>
      </c>
      <c r="AV266" s="287" t="s">
        <v>1</v>
      </c>
      <c r="AW266" s="291" t="s">
        <v>1</v>
      </c>
    </row>
    <row r="267" spans="1:49" ht="30.15" customHeight="1" x14ac:dyDescent="0.25">
      <c r="A267" s="213" t="s">
        <v>18</v>
      </c>
      <c r="B267" s="188" t="s">
        <v>1</v>
      </c>
      <c r="C267" s="212" t="s">
        <v>34</v>
      </c>
      <c r="D267" s="217" t="s">
        <v>3</v>
      </c>
      <c r="E267" s="217" t="s">
        <v>1083</v>
      </c>
      <c r="F267" s="203"/>
      <c r="G267" s="217" t="s">
        <v>1090</v>
      </c>
      <c r="H267" s="219" t="s">
        <v>414</v>
      </c>
      <c r="I267" s="220">
        <v>666</v>
      </c>
      <c r="J267" s="220">
        <v>679</v>
      </c>
      <c r="K267" s="220">
        <v>679</v>
      </c>
      <c r="L267" s="220">
        <v>720</v>
      </c>
      <c r="M267" s="223">
        <v>720</v>
      </c>
      <c r="N267" s="304">
        <v>288</v>
      </c>
      <c r="O267" s="285" t="s">
        <v>1</v>
      </c>
      <c r="P267" s="285" t="s">
        <v>1</v>
      </c>
      <c r="Q267" s="285" t="s">
        <v>1</v>
      </c>
      <c r="R267" s="285" t="s">
        <v>1</v>
      </c>
      <c r="S267" s="305">
        <v>288</v>
      </c>
      <c r="T267" s="285" t="s">
        <v>1</v>
      </c>
      <c r="U267" s="285" t="s">
        <v>1</v>
      </c>
      <c r="V267" s="285" t="s">
        <v>1</v>
      </c>
      <c r="W267" s="285" t="s">
        <v>1</v>
      </c>
      <c r="X267" s="305">
        <v>288</v>
      </c>
      <c r="Y267" s="285">
        <v>15</v>
      </c>
      <c r="Z267" s="285">
        <v>24</v>
      </c>
      <c r="AA267" s="285" t="s">
        <v>1</v>
      </c>
      <c r="AB267" s="285" t="s">
        <v>1</v>
      </c>
      <c r="AC267" s="305">
        <v>288</v>
      </c>
      <c r="AD267" s="285">
        <v>15</v>
      </c>
      <c r="AE267" s="285">
        <v>24</v>
      </c>
      <c r="AF267" s="285" t="s">
        <v>1</v>
      </c>
      <c r="AG267" s="285" t="s">
        <v>1</v>
      </c>
      <c r="AH267" s="286" t="s">
        <v>1</v>
      </c>
      <c r="AI267" s="295" t="s">
        <v>1</v>
      </c>
      <c r="AJ267" s="295" t="s">
        <v>1</v>
      </c>
      <c r="AK267" s="295" t="s">
        <v>1</v>
      </c>
      <c r="AL267" s="302" t="s">
        <v>1</v>
      </c>
      <c r="AM267" s="288" t="s">
        <v>1</v>
      </c>
      <c r="AN267" s="287" t="s">
        <v>1</v>
      </c>
      <c r="AO267" s="287" t="s">
        <v>1</v>
      </c>
      <c r="AP267" s="286" t="s">
        <v>1</v>
      </c>
      <c r="AQ267" s="285" t="s">
        <v>1</v>
      </c>
      <c r="AR267" s="289" t="s">
        <v>1</v>
      </c>
      <c r="AS267" s="289" t="s">
        <v>1</v>
      </c>
      <c r="AT267" s="290" t="s">
        <v>1</v>
      </c>
      <c r="AU267" s="287" t="s">
        <v>1</v>
      </c>
      <c r="AV267" s="287" t="s">
        <v>1</v>
      </c>
      <c r="AW267" s="291" t="s">
        <v>1</v>
      </c>
    </row>
    <row r="268" spans="1:49" ht="30.15" customHeight="1" x14ac:dyDescent="0.25">
      <c r="A268" s="213" t="s">
        <v>18</v>
      </c>
      <c r="B268" s="188" t="s">
        <v>1</v>
      </c>
      <c r="C268" s="212" t="s">
        <v>34</v>
      </c>
      <c r="D268" s="217" t="s">
        <v>3</v>
      </c>
      <c r="E268" s="217" t="s">
        <v>1084</v>
      </c>
      <c r="F268" s="203"/>
      <c r="G268" s="217" t="s">
        <v>1091</v>
      </c>
      <c r="H268" s="219" t="s">
        <v>414</v>
      </c>
      <c r="I268" s="220">
        <v>732</v>
      </c>
      <c r="J268" s="220">
        <v>751</v>
      </c>
      <c r="K268" s="220">
        <v>751</v>
      </c>
      <c r="L268" s="220">
        <v>790</v>
      </c>
      <c r="M268" s="223">
        <v>790</v>
      </c>
      <c r="N268" s="304">
        <v>316</v>
      </c>
      <c r="O268" s="285" t="s">
        <v>1</v>
      </c>
      <c r="P268" s="285" t="s">
        <v>1</v>
      </c>
      <c r="Q268" s="285" t="s">
        <v>1</v>
      </c>
      <c r="R268" s="285" t="s">
        <v>1</v>
      </c>
      <c r="S268" s="305">
        <v>316</v>
      </c>
      <c r="T268" s="285" t="s">
        <v>1</v>
      </c>
      <c r="U268" s="285" t="s">
        <v>1</v>
      </c>
      <c r="V268" s="285" t="s">
        <v>1</v>
      </c>
      <c r="W268" s="285" t="s">
        <v>1</v>
      </c>
      <c r="X268" s="305">
        <v>316</v>
      </c>
      <c r="Y268" s="285">
        <v>15</v>
      </c>
      <c r="Z268" s="285">
        <v>24</v>
      </c>
      <c r="AA268" s="285" t="s">
        <v>1</v>
      </c>
      <c r="AB268" s="285" t="s">
        <v>1</v>
      </c>
      <c r="AC268" s="305">
        <v>316</v>
      </c>
      <c r="AD268" s="285">
        <v>15</v>
      </c>
      <c r="AE268" s="285">
        <v>24</v>
      </c>
      <c r="AF268" s="285" t="s">
        <v>1</v>
      </c>
      <c r="AG268" s="285" t="s">
        <v>1</v>
      </c>
      <c r="AH268" s="286" t="s">
        <v>1</v>
      </c>
      <c r="AI268" s="295" t="s">
        <v>1</v>
      </c>
      <c r="AJ268" s="295" t="s">
        <v>1</v>
      </c>
      <c r="AK268" s="295" t="s">
        <v>1</v>
      </c>
      <c r="AL268" s="302" t="s">
        <v>1</v>
      </c>
      <c r="AM268" s="288" t="s">
        <v>1</v>
      </c>
      <c r="AN268" s="287" t="s">
        <v>1</v>
      </c>
      <c r="AO268" s="287" t="s">
        <v>1</v>
      </c>
      <c r="AP268" s="286" t="s">
        <v>1</v>
      </c>
      <c r="AQ268" s="285" t="s">
        <v>1</v>
      </c>
      <c r="AR268" s="289" t="s">
        <v>1</v>
      </c>
      <c r="AS268" s="289" t="s">
        <v>1</v>
      </c>
      <c r="AT268" s="290" t="s">
        <v>1</v>
      </c>
      <c r="AU268" s="287" t="s">
        <v>1</v>
      </c>
      <c r="AV268" s="287" t="s">
        <v>1</v>
      </c>
      <c r="AW268" s="291" t="s">
        <v>1</v>
      </c>
    </row>
    <row r="269" spans="1:49" ht="30.15" customHeight="1" x14ac:dyDescent="0.25">
      <c r="A269" s="213" t="s">
        <v>18</v>
      </c>
      <c r="B269" s="188" t="s">
        <v>1</v>
      </c>
      <c r="C269" s="212" t="s">
        <v>34</v>
      </c>
      <c r="D269" s="217" t="s">
        <v>3</v>
      </c>
      <c r="E269" s="217" t="s">
        <v>1085</v>
      </c>
      <c r="F269" s="203"/>
      <c r="G269" s="217" t="s">
        <v>1091</v>
      </c>
      <c r="H269" s="219" t="s">
        <v>414</v>
      </c>
      <c r="I269" s="220">
        <v>732</v>
      </c>
      <c r="J269" s="220">
        <v>751</v>
      </c>
      <c r="K269" s="220">
        <v>751</v>
      </c>
      <c r="L269" s="220">
        <v>790</v>
      </c>
      <c r="M269" s="223">
        <v>790</v>
      </c>
      <c r="N269" s="304">
        <v>316</v>
      </c>
      <c r="O269" s="285" t="s">
        <v>1</v>
      </c>
      <c r="P269" s="285" t="s">
        <v>1</v>
      </c>
      <c r="Q269" s="285" t="s">
        <v>1</v>
      </c>
      <c r="R269" s="285" t="s">
        <v>1</v>
      </c>
      <c r="S269" s="305">
        <v>316</v>
      </c>
      <c r="T269" s="285" t="s">
        <v>1</v>
      </c>
      <c r="U269" s="285" t="s">
        <v>1</v>
      </c>
      <c r="V269" s="285" t="s">
        <v>1</v>
      </c>
      <c r="W269" s="285" t="s">
        <v>1</v>
      </c>
      <c r="X269" s="305">
        <v>316</v>
      </c>
      <c r="Y269" s="285">
        <v>15</v>
      </c>
      <c r="Z269" s="285">
        <v>24</v>
      </c>
      <c r="AA269" s="285" t="s">
        <v>1</v>
      </c>
      <c r="AB269" s="285" t="s">
        <v>1</v>
      </c>
      <c r="AC269" s="305">
        <v>316</v>
      </c>
      <c r="AD269" s="285">
        <v>15</v>
      </c>
      <c r="AE269" s="285">
        <v>24</v>
      </c>
      <c r="AF269" s="285" t="s">
        <v>1</v>
      </c>
      <c r="AG269" s="285" t="s">
        <v>1</v>
      </c>
      <c r="AH269" s="286" t="s">
        <v>1</v>
      </c>
      <c r="AI269" s="295" t="s">
        <v>1</v>
      </c>
      <c r="AJ269" s="295" t="s">
        <v>1</v>
      </c>
      <c r="AK269" s="295" t="s">
        <v>1</v>
      </c>
      <c r="AL269" s="302" t="s">
        <v>1</v>
      </c>
      <c r="AM269" s="288" t="s">
        <v>1</v>
      </c>
      <c r="AN269" s="287" t="s">
        <v>1</v>
      </c>
      <c r="AO269" s="287" t="s">
        <v>1</v>
      </c>
      <c r="AP269" s="286" t="s">
        <v>1</v>
      </c>
      <c r="AQ269" s="285" t="s">
        <v>1</v>
      </c>
      <c r="AR269" s="289" t="s">
        <v>1</v>
      </c>
      <c r="AS269" s="289" t="s">
        <v>1</v>
      </c>
      <c r="AT269" s="290" t="s">
        <v>1</v>
      </c>
      <c r="AU269" s="287" t="s">
        <v>1</v>
      </c>
      <c r="AV269" s="287" t="s">
        <v>1</v>
      </c>
      <c r="AW269" s="291" t="s">
        <v>1</v>
      </c>
    </row>
    <row r="270" spans="1:49" ht="30.15" customHeight="1" x14ac:dyDescent="0.25">
      <c r="A270" s="213" t="s">
        <v>18</v>
      </c>
      <c r="B270" s="188" t="s">
        <v>1</v>
      </c>
      <c r="C270" s="212" t="s">
        <v>34</v>
      </c>
      <c r="D270" s="217" t="s">
        <v>3</v>
      </c>
      <c r="E270" s="217" t="s">
        <v>1086</v>
      </c>
      <c r="F270" s="203"/>
      <c r="G270" s="217" t="s">
        <v>1091</v>
      </c>
      <c r="H270" s="219" t="s">
        <v>414</v>
      </c>
      <c r="I270" s="220">
        <v>732</v>
      </c>
      <c r="J270" s="220">
        <v>751</v>
      </c>
      <c r="K270" s="220">
        <v>751</v>
      </c>
      <c r="L270" s="220">
        <v>790</v>
      </c>
      <c r="M270" s="223">
        <v>790</v>
      </c>
      <c r="N270" s="304">
        <v>316</v>
      </c>
      <c r="O270" s="285" t="s">
        <v>1</v>
      </c>
      <c r="P270" s="285" t="s">
        <v>1</v>
      </c>
      <c r="Q270" s="285" t="s">
        <v>1</v>
      </c>
      <c r="R270" s="285" t="s">
        <v>1</v>
      </c>
      <c r="S270" s="305">
        <v>316</v>
      </c>
      <c r="T270" s="285" t="s">
        <v>1</v>
      </c>
      <c r="U270" s="285" t="s">
        <v>1</v>
      </c>
      <c r="V270" s="285" t="s">
        <v>1</v>
      </c>
      <c r="W270" s="285" t="s">
        <v>1</v>
      </c>
      <c r="X270" s="305">
        <v>316</v>
      </c>
      <c r="Y270" s="285">
        <v>15</v>
      </c>
      <c r="Z270" s="285">
        <v>24</v>
      </c>
      <c r="AA270" s="285" t="s">
        <v>1</v>
      </c>
      <c r="AB270" s="285" t="s">
        <v>1</v>
      </c>
      <c r="AC270" s="305">
        <v>316</v>
      </c>
      <c r="AD270" s="285">
        <v>15</v>
      </c>
      <c r="AE270" s="285">
        <v>24</v>
      </c>
      <c r="AF270" s="285" t="s">
        <v>1</v>
      </c>
      <c r="AG270" s="285" t="s">
        <v>1</v>
      </c>
      <c r="AH270" s="286" t="s">
        <v>1</v>
      </c>
      <c r="AI270" s="295" t="s">
        <v>1</v>
      </c>
      <c r="AJ270" s="295" t="s">
        <v>1</v>
      </c>
      <c r="AK270" s="295" t="s">
        <v>1</v>
      </c>
      <c r="AL270" s="302" t="s">
        <v>1</v>
      </c>
      <c r="AM270" s="288" t="s">
        <v>1</v>
      </c>
      <c r="AN270" s="287" t="s">
        <v>1</v>
      </c>
      <c r="AO270" s="287" t="s">
        <v>1</v>
      </c>
      <c r="AP270" s="286" t="s">
        <v>1</v>
      </c>
      <c r="AQ270" s="285" t="s">
        <v>1</v>
      </c>
      <c r="AR270" s="289" t="s">
        <v>1</v>
      </c>
      <c r="AS270" s="289" t="s">
        <v>1</v>
      </c>
      <c r="AT270" s="290" t="s">
        <v>1</v>
      </c>
      <c r="AU270" s="287" t="s">
        <v>1</v>
      </c>
      <c r="AV270" s="287" t="s">
        <v>1</v>
      </c>
      <c r="AW270" s="291" t="s">
        <v>1</v>
      </c>
    </row>
    <row r="271" spans="1:49" ht="30.15" customHeight="1" x14ac:dyDescent="0.25">
      <c r="A271" s="213" t="s">
        <v>18</v>
      </c>
      <c r="B271" s="188" t="s">
        <v>1</v>
      </c>
      <c r="C271" s="212" t="s">
        <v>34</v>
      </c>
      <c r="D271" s="217" t="s">
        <v>3</v>
      </c>
      <c r="E271" s="217" t="s">
        <v>1087</v>
      </c>
      <c r="F271" s="203"/>
      <c r="G271" s="217" t="s">
        <v>1091</v>
      </c>
      <c r="H271" s="219" t="s">
        <v>414</v>
      </c>
      <c r="I271" s="220">
        <v>732</v>
      </c>
      <c r="J271" s="220">
        <v>751</v>
      </c>
      <c r="K271" s="220">
        <v>751</v>
      </c>
      <c r="L271" s="220">
        <v>790</v>
      </c>
      <c r="M271" s="223">
        <v>790</v>
      </c>
      <c r="N271" s="304">
        <v>316</v>
      </c>
      <c r="O271" s="285" t="s">
        <v>1</v>
      </c>
      <c r="P271" s="285" t="s">
        <v>1</v>
      </c>
      <c r="Q271" s="285" t="s">
        <v>1</v>
      </c>
      <c r="R271" s="285" t="s">
        <v>1</v>
      </c>
      <c r="S271" s="305">
        <v>316</v>
      </c>
      <c r="T271" s="285" t="s">
        <v>1</v>
      </c>
      <c r="U271" s="285" t="s">
        <v>1</v>
      </c>
      <c r="V271" s="285" t="s">
        <v>1</v>
      </c>
      <c r="W271" s="285" t="s">
        <v>1</v>
      </c>
      <c r="X271" s="305">
        <v>316</v>
      </c>
      <c r="Y271" s="285">
        <v>15</v>
      </c>
      <c r="Z271" s="285">
        <v>24</v>
      </c>
      <c r="AA271" s="285" t="s">
        <v>1</v>
      </c>
      <c r="AB271" s="285" t="s">
        <v>1</v>
      </c>
      <c r="AC271" s="305">
        <v>316</v>
      </c>
      <c r="AD271" s="285">
        <v>15</v>
      </c>
      <c r="AE271" s="285">
        <v>24</v>
      </c>
      <c r="AF271" s="285" t="s">
        <v>1</v>
      </c>
      <c r="AG271" s="285" t="s">
        <v>1</v>
      </c>
      <c r="AH271" s="286" t="s">
        <v>1</v>
      </c>
      <c r="AI271" s="295" t="s">
        <v>1</v>
      </c>
      <c r="AJ271" s="295" t="s">
        <v>1</v>
      </c>
      <c r="AK271" s="295" t="s">
        <v>1</v>
      </c>
      <c r="AL271" s="302" t="s">
        <v>1</v>
      </c>
      <c r="AM271" s="288" t="s">
        <v>1</v>
      </c>
      <c r="AN271" s="287" t="s">
        <v>1</v>
      </c>
      <c r="AO271" s="287" t="s">
        <v>1</v>
      </c>
      <c r="AP271" s="286" t="s">
        <v>1</v>
      </c>
      <c r="AQ271" s="285" t="s">
        <v>1</v>
      </c>
      <c r="AR271" s="289" t="s">
        <v>1</v>
      </c>
      <c r="AS271" s="289" t="s">
        <v>1</v>
      </c>
      <c r="AT271" s="290" t="s">
        <v>1</v>
      </c>
      <c r="AU271" s="287" t="s">
        <v>1</v>
      </c>
      <c r="AV271" s="287" t="s">
        <v>1</v>
      </c>
      <c r="AW271" s="291" t="s">
        <v>1</v>
      </c>
    </row>
    <row r="272" spans="1:49" ht="30.15" customHeight="1" x14ac:dyDescent="0.25">
      <c r="A272" s="213" t="s">
        <v>18</v>
      </c>
      <c r="B272" s="188" t="s">
        <v>1</v>
      </c>
      <c r="C272" s="212" t="s">
        <v>34</v>
      </c>
      <c r="D272" s="217" t="s">
        <v>3</v>
      </c>
      <c r="E272" s="217" t="s">
        <v>1088</v>
      </c>
      <c r="F272" s="203"/>
      <c r="G272" s="217" t="s">
        <v>1091</v>
      </c>
      <c r="H272" s="219" t="s">
        <v>414</v>
      </c>
      <c r="I272" s="220">
        <v>732</v>
      </c>
      <c r="J272" s="220">
        <v>751</v>
      </c>
      <c r="K272" s="220">
        <v>751</v>
      </c>
      <c r="L272" s="220">
        <v>790</v>
      </c>
      <c r="M272" s="223">
        <v>790</v>
      </c>
      <c r="N272" s="304">
        <v>316</v>
      </c>
      <c r="O272" s="285" t="s">
        <v>1</v>
      </c>
      <c r="P272" s="285" t="s">
        <v>1</v>
      </c>
      <c r="Q272" s="285" t="s">
        <v>1</v>
      </c>
      <c r="R272" s="285" t="s">
        <v>1</v>
      </c>
      <c r="S272" s="305">
        <v>316</v>
      </c>
      <c r="T272" s="285" t="s">
        <v>1</v>
      </c>
      <c r="U272" s="285" t="s">
        <v>1</v>
      </c>
      <c r="V272" s="285" t="s">
        <v>1</v>
      </c>
      <c r="W272" s="285" t="s">
        <v>1</v>
      </c>
      <c r="X272" s="305">
        <v>316</v>
      </c>
      <c r="Y272" s="285">
        <v>15</v>
      </c>
      <c r="Z272" s="285">
        <v>24</v>
      </c>
      <c r="AA272" s="285" t="s">
        <v>1</v>
      </c>
      <c r="AB272" s="285" t="s">
        <v>1</v>
      </c>
      <c r="AC272" s="305">
        <v>316</v>
      </c>
      <c r="AD272" s="285">
        <v>15</v>
      </c>
      <c r="AE272" s="285">
        <v>24</v>
      </c>
      <c r="AF272" s="285" t="s">
        <v>1</v>
      </c>
      <c r="AG272" s="285" t="s">
        <v>1</v>
      </c>
      <c r="AH272" s="286" t="s">
        <v>1</v>
      </c>
      <c r="AI272" s="295" t="s">
        <v>1</v>
      </c>
      <c r="AJ272" s="295" t="s">
        <v>1</v>
      </c>
      <c r="AK272" s="295" t="s">
        <v>1</v>
      </c>
      <c r="AL272" s="302" t="s">
        <v>1</v>
      </c>
      <c r="AM272" s="288" t="s">
        <v>1</v>
      </c>
      <c r="AN272" s="287" t="s">
        <v>1</v>
      </c>
      <c r="AO272" s="287" t="s">
        <v>1</v>
      </c>
      <c r="AP272" s="286" t="s">
        <v>1</v>
      </c>
      <c r="AQ272" s="285" t="s">
        <v>1</v>
      </c>
      <c r="AR272" s="289" t="s">
        <v>1</v>
      </c>
      <c r="AS272" s="289" t="s">
        <v>1</v>
      </c>
      <c r="AT272" s="290" t="s">
        <v>1</v>
      </c>
      <c r="AU272" s="287" t="s">
        <v>1</v>
      </c>
      <c r="AV272" s="287" t="s">
        <v>1</v>
      </c>
      <c r="AW272" s="291" t="s">
        <v>1</v>
      </c>
    </row>
    <row r="273" spans="1:49" ht="30.15" customHeight="1" x14ac:dyDescent="0.25">
      <c r="A273" s="213" t="s">
        <v>18</v>
      </c>
      <c r="B273" s="188" t="s">
        <v>1</v>
      </c>
      <c r="C273" s="212" t="s">
        <v>34</v>
      </c>
      <c r="D273" s="217" t="s">
        <v>3</v>
      </c>
      <c r="E273" s="217" t="s">
        <v>1089</v>
      </c>
      <c r="F273" s="203"/>
      <c r="G273" s="217" t="s">
        <v>1091</v>
      </c>
      <c r="H273" s="219" t="s">
        <v>414</v>
      </c>
      <c r="I273" s="220">
        <v>732</v>
      </c>
      <c r="J273" s="220">
        <v>751</v>
      </c>
      <c r="K273" s="220">
        <v>751</v>
      </c>
      <c r="L273" s="220">
        <v>790</v>
      </c>
      <c r="M273" s="223">
        <v>790</v>
      </c>
      <c r="N273" s="304">
        <v>316</v>
      </c>
      <c r="O273" s="285" t="s">
        <v>1</v>
      </c>
      <c r="P273" s="285" t="s">
        <v>1</v>
      </c>
      <c r="Q273" s="285" t="s">
        <v>1</v>
      </c>
      <c r="R273" s="285" t="s">
        <v>1</v>
      </c>
      <c r="S273" s="305">
        <v>316</v>
      </c>
      <c r="T273" s="285" t="s">
        <v>1</v>
      </c>
      <c r="U273" s="285" t="s">
        <v>1</v>
      </c>
      <c r="V273" s="285" t="s">
        <v>1</v>
      </c>
      <c r="W273" s="285" t="s">
        <v>1</v>
      </c>
      <c r="X273" s="305">
        <v>316</v>
      </c>
      <c r="Y273" s="285">
        <v>15</v>
      </c>
      <c r="Z273" s="285">
        <v>24</v>
      </c>
      <c r="AA273" s="285" t="s">
        <v>1</v>
      </c>
      <c r="AB273" s="285" t="s">
        <v>1</v>
      </c>
      <c r="AC273" s="305">
        <v>316</v>
      </c>
      <c r="AD273" s="285">
        <v>15</v>
      </c>
      <c r="AE273" s="285">
        <v>24</v>
      </c>
      <c r="AF273" s="285" t="s">
        <v>1</v>
      </c>
      <c r="AG273" s="285" t="s">
        <v>1</v>
      </c>
      <c r="AH273" s="286" t="s">
        <v>1</v>
      </c>
      <c r="AI273" s="295" t="s">
        <v>1</v>
      </c>
      <c r="AJ273" s="295" t="s">
        <v>1</v>
      </c>
      <c r="AK273" s="295" t="s">
        <v>1</v>
      </c>
      <c r="AL273" s="302" t="s">
        <v>1</v>
      </c>
      <c r="AM273" s="288" t="s">
        <v>1</v>
      </c>
      <c r="AN273" s="287" t="s">
        <v>1</v>
      </c>
      <c r="AO273" s="287" t="s">
        <v>1</v>
      </c>
      <c r="AP273" s="286" t="s">
        <v>1</v>
      </c>
      <c r="AQ273" s="285" t="s">
        <v>1</v>
      </c>
      <c r="AR273" s="289" t="s">
        <v>1</v>
      </c>
      <c r="AS273" s="289" t="s">
        <v>1</v>
      </c>
      <c r="AT273" s="290" t="s">
        <v>1</v>
      </c>
      <c r="AU273" s="287" t="s">
        <v>1</v>
      </c>
      <c r="AV273" s="287" t="s">
        <v>1</v>
      </c>
      <c r="AW273" s="291" t="s">
        <v>1</v>
      </c>
    </row>
    <row r="274" spans="1:49" ht="30.15" customHeight="1" x14ac:dyDescent="0.25">
      <c r="A274" s="213" t="s">
        <v>18</v>
      </c>
      <c r="B274" s="188" t="s">
        <v>1</v>
      </c>
      <c r="C274" s="212" t="s">
        <v>34</v>
      </c>
      <c r="D274" s="190" t="s">
        <v>3</v>
      </c>
      <c r="E274" s="190" t="s">
        <v>456</v>
      </c>
      <c r="F274" s="203"/>
      <c r="G274" s="190" t="s">
        <v>449</v>
      </c>
      <c r="H274" s="192" t="s">
        <v>409</v>
      </c>
      <c r="I274" s="193">
        <v>1189</v>
      </c>
      <c r="J274" s="193">
        <v>1216</v>
      </c>
      <c r="K274" s="193">
        <v>1216</v>
      </c>
      <c r="L274" s="193">
        <v>1285</v>
      </c>
      <c r="M274" s="194">
        <v>1285</v>
      </c>
      <c r="N274" s="284">
        <v>514</v>
      </c>
      <c r="O274" s="285">
        <v>28.55</v>
      </c>
      <c r="P274" s="285">
        <v>24</v>
      </c>
      <c r="Q274" s="285" t="s">
        <v>1</v>
      </c>
      <c r="R274" s="285" t="s">
        <v>1</v>
      </c>
      <c r="S274" s="286">
        <v>514</v>
      </c>
      <c r="T274" s="285">
        <v>28.55</v>
      </c>
      <c r="U274" s="285">
        <v>24</v>
      </c>
      <c r="V274" s="285" t="s">
        <v>1</v>
      </c>
      <c r="W274" s="285" t="s">
        <v>1</v>
      </c>
      <c r="X274" s="286">
        <v>514</v>
      </c>
      <c r="Y274" s="285">
        <v>41.05</v>
      </c>
      <c r="Z274" s="285">
        <v>24</v>
      </c>
      <c r="AA274" s="285" t="s">
        <v>1</v>
      </c>
      <c r="AB274" s="285" t="s">
        <v>1</v>
      </c>
      <c r="AC274" s="286">
        <v>514</v>
      </c>
      <c r="AD274" s="285">
        <v>41.05</v>
      </c>
      <c r="AE274" s="285">
        <v>24</v>
      </c>
      <c r="AF274" s="285" t="s">
        <v>1</v>
      </c>
      <c r="AG274" s="285" t="s">
        <v>1</v>
      </c>
      <c r="AH274" s="286" t="s">
        <v>1</v>
      </c>
      <c r="AI274" s="295" t="s">
        <v>1</v>
      </c>
      <c r="AJ274" s="295" t="s">
        <v>1</v>
      </c>
      <c r="AK274" s="295" t="s">
        <v>1</v>
      </c>
      <c r="AL274" s="302" t="s">
        <v>1</v>
      </c>
      <c r="AM274" s="288" t="s">
        <v>1</v>
      </c>
      <c r="AN274" s="287" t="s">
        <v>1</v>
      </c>
      <c r="AO274" s="287" t="s">
        <v>1</v>
      </c>
      <c r="AP274" s="286" t="s">
        <v>1</v>
      </c>
      <c r="AQ274" s="285" t="s">
        <v>1</v>
      </c>
      <c r="AR274" s="289" t="s">
        <v>1</v>
      </c>
      <c r="AS274" s="289" t="s">
        <v>1</v>
      </c>
      <c r="AT274" s="290" t="s">
        <v>1</v>
      </c>
      <c r="AU274" s="287" t="s">
        <v>1</v>
      </c>
      <c r="AV274" s="287" t="s">
        <v>1</v>
      </c>
      <c r="AW274" s="291" t="s">
        <v>1</v>
      </c>
    </row>
    <row r="275" spans="1:49" ht="30.15" customHeight="1" x14ac:dyDescent="0.25">
      <c r="A275" s="213" t="s">
        <v>18</v>
      </c>
      <c r="B275" s="188" t="s">
        <v>1</v>
      </c>
      <c r="C275" s="212" t="s">
        <v>34</v>
      </c>
      <c r="D275" s="190" t="s">
        <v>3</v>
      </c>
      <c r="E275" s="190" t="s">
        <v>455</v>
      </c>
      <c r="F275" s="203"/>
      <c r="G275" s="190" t="s">
        <v>449</v>
      </c>
      <c r="H275" s="192" t="s">
        <v>409</v>
      </c>
      <c r="I275" s="193">
        <v>1189</v>
      </c>
      <c r="J275" s="193">
        <v>1216</v>
      </c>
      <c r="K275" s="193">
        <v>1216</v>
      </c>
      <c r="L275" s="193">
        <v>1285</v>
      </c>
      <c r="M275" s="194">
        <v>1285</v>
      </c>
      <c r="N275" s="284">
        <v>514</v>
      </c>
      <c r="O275" s="285">
        <v>28.55</v>
      </c>
      <c r="P275" s="285">
        <v>24</v>
      </c>
      <c r="Q275" s="285" t="s">
        <v>1</v>
      </c>
      <c r="R275" s="285" t="s">
        <v>1</v>
      </c>
      <c r="S275" s="286">
        <v>514</v>
      </c>
      <c r="T275" s="285">
        <v>28.55</v>
      </c>
      <c r="U275" s="285">
        <v>24</v>
      </c>
      <c r="V275" s="285" t="s">
        <v>1</v>
      </c>
      <c r="W275" s="285" t="s">
        <v>1</v>
      </c>
      <c r="X275" s="286">
        <v>514</v>
      </c>
      <c r="Y275" s="285">
        <v>41.05</v>
      </c>
      <c r="Z275" s="285">
        <v>24</v>
      </c>
      <c r="AA275" s="285" t="s">
        <v>1</v>
      </c>
      <c r="AB275" s="285" t="s">
        <v>1</v>
      </c>
      <c r="AC275" s="286">
        <v>514</v>
      </c>
      <c r="AD275" s="285">
        <v>41.05</v>
      </c>
      <c r="AE275" s="285">
        <v>24</v>
      </c>
      <c r="AF275" s="285" t="s">
        <v>1</v>
      </c>
      <c r="AG275" s="285" t="s">
        <v>1</v>
      </c>
      <c r="AH275" s="286" t="s">
        <v>1</v>
      </c>
      <c r="AI275" s="295" t="s">
        <v>1</v>
      </c>
      <c r="AJ275" s="295" t="s">
        <v>1</v>
      </c>
      <c r="AK275" s="295" t="s">
        <v>1</v>
      </c>
      <c r="AL275" s="302" t="s">
        <v>1</v>
      </c>
      <c r="AM275" s="288" t="s">
        <v>1</v>
      </c>
      <c r="AN275" s="287" t="s">
        <v>1</v>
      </c>
      <c r="AO275" s="287" t="s">
        <v>1</v>
      </c>
      <c r="AP275" s="286" t="s">
        <v>1</v>
      </c>
      <c r="AQ275" s="285" t="s">
        <v>1</v>
      </c>
      <c r="AR275" s="289" t="s">
        <v>1</v>
      </c>
      <c r="AS275" s="289" t="s">
        <v>1</v>
      </c>
      <c r="AT275" s="290" t="s">
        <v>1</v>
      </c>
      <c r="AU275" s="287" t="s">
        <v>1</v>
      </c>
      <c r="AV275" s="287" t="s">
        <v>1</v>
      </c>
      <c r="AW275" s="291" t="s">
        <v>1</v>
      </c>
    </row>
    <row r="276" spans="1:49" ht="30.15" customHeight="1" x14ac:dyDescent="0.25">
      <c r="A276" s="213" t="s">
        <v>18</v>
      </c>
      <c r="B276" s="188" t="s">
        <v>1</v>
      </c>
      <c r="C276" s="212" t="s">
        <v>34</v>
      </c>
      <c r="D276" s="190" t="s">
        <v>3</v>
      </c>
      <c r="E276" s="190" t="s">
        <v>457</v>
      </c>
      <c r="F276" s="203"/>
      <c r="G276" s="190" t="s">
        <v>449</v>
      </c>
      <c r="H276" s="192" t="s">
        <v>409</v>
      </c>
      <c r="I276" s="193">
        <v>1189</v>
      </c>
      <c r="J276" s="193">
        <v>1216</v>
      </c>
      <c r="K276" s="193">
        <v>1216</v>
      </c>
      <c r="L276" s="193">
        <v>1285</v>
      </c>
      <c r="M276" s="194">
        <v>1285</v>
      </c>
      <c r="N276" s="284">
        <v>514</v>
      </c>
      <c r="O276" s="285">
        <v>28.55</v>
      </c>
      <c r="P276" s="285">
        <v>24</v>
      </c>
      <c r="Q276" s="285" t="s">
        <v>1</v>
      </c>
      <c r="R276" s="285" t="s">
        <v>1</v>
      </c>
      <c r="S276" s="286">
        <v>514</v>
      </c>
      <c r="T276" s="285">
        <v>28.55</v>
      </c>
      <c r="U276" s="285">
        <v>24</v>
      </c>
      <c r="V276" s="285" t="s">
        <v>1</v>
      </c>
      <c r="W276" s="285" t="s">
        <v>1</v>
      </c>
      <c r="X276" s="286">
        <v>514</v>
      </c>
      <c r="Y276" s="285">
        <v>41.05</v>
      </c>
      <c r="Z276" s="285">
        <v>24</v>
      </c>
      <c r="AA276" s="285" t="s">
        <v>1</v>
      </c>
      <c r="AB276" s="285" t="s">
        <v>1</v>
      </c>
      <c r="AC276" s="286">
        <v>514</v>
      </c>
      <c r="AD276" s="285">
        <v>41.05</v>
      </c>
      <c r="AE276" s="285">
        <v>24</v>
      </c>
      <c r="AF276" s="285" t="s">
        <v>1</v>
      </c>
      <c r="AG276" s="285" t="s">
        <v>1</v>
      </c>
      <c r="AH276" s="286" t="s">
        <v>1</v>
      </c>
      <c r="AI276" s="295" t="s">
        <v>1</v>
      </c>
      <c r="AJ276" s="295" t="s">
        <v>1</v>
      </c>
      <c r="AK276" s="295" t="s">
        <v>1</v>
      </c>
      <c r="AL276" s="302" t="s">
        <v>1</v>
      </c>
      <c r="AM276" s="288" t="s">
        <v>1</v>
      </c>
      <c r="AN276" s="287" t="s">
        <v>1</v>
      </c>
      <c r="AO276" s="287" t="s">
        <v>1</v>
      </c>
      <c r="AP276" s="286" t="s">
        <v>1</v>
      </c>
      <c r="AQ276" s="285" t="s">
        <v>1</v>
      </c>
      <c r="AR276" s="289" t="s">
        <v>1</v>
      </c>
      <c r="AS276" s="289" t="s">
        <v>1</v>
      </c>
      <c r="AT276" s="290" t="s">
        <v>1</v>
      </c>
      <c r="AU276" s="287" t="s">
        <v>1</v>
      </c>
      <c r="AV276" s="287" t="s">
        <v>1</v>
      </c>
      <c r="AW276" s="291" t="s">
        <v>1</v>
      </c>
    </row>
    <row r="277" spans="1:49" ht="30.15" customHeight="1" x14ac:dyDescent="0.25">
      <c r="A277" s="213" t="s">
        <v>18</v>
      </c>
      <c r="B277" s="188" t="s">
        <v>1</v>
      </c>
      <c r="C277" s="212" t="s">
        <v>34</v>
      </c>
      <c r="D277" s="190" t="s">
        <v>3</v>
      </c>
      <c r="E277" s="190" t="s">
        <v>458</v>
      </c>
      <c r="F277" s="203"/>
      <c r="G277" s="190" t="s">
        <v>450</v>
      </c>
      <c r="H277" s="192" t="s">
        <v>409</v>
      </c>
      <c r="I277" s="193">
        <v>1389</v>
      </c>
      <c r="J277" s="193">
        <v>1425</v>
      </c>
      <c r="K277" s="193">
        <v>1425</v>
      </c>
      <c r="L277" s="193">
        <v>1500</v>
      </c>
      <c r="M277" s="194">
        <v>1500</v>
      </c>
      <c r="N277" s="284">
        <v>600</v>
      </c>
      <c r="O277" s="285">
        <v>28.55</v>
      </c>
      <c r="P277" s="285">
        <v>24</v>
      </c>
      <c r="Q277" s="285" t="s">
        <v>1</v>
      </c>
      <c r="R277" s="285" t="s">
        <v>1</v>
      </c>
      <c r="S277" s="286">
        <v>600</v>
      </c>
      <c r="T277" s="285">
        <v>28.55</v>
      </c>
      <c r="U277" s="285">
        <v>24</v>
      </c>
      <c r="V277" s="285" t="s">
        <v>1</v>
      </c>
      <c r="W277" s="285" t="s">
        <v>1</v>
      </c>
      <c r="X277" s="286">
        <v>600</v>
      </c>
      <c r="Y277" s="285">
        <v>41.05</v>
      </c>
      <c r="Z277" s="285">
        <v>24</v>
      </c>
      <c r="AA277" s="285" t="s">
        <v>1</v>
      </c>
      <c r="AB277" s="285" t="s">
        <v>1</v>
      </c>
      <c r="AC277" s="286">
        <v>600</v>
      </c>
      <c r="AD277" s="285">
        <v>41.05</v>
      </c>
      <c r="AE277" s="285">
        <v>24</v>
      </c>
      <c r="AF277" s="285" t="s">
        <v>1</v>
      </c>
      <c r="AG277" s="285" t="s">
        <v>1</v>
      </c>
      <c r="AH277" s="286" t="s">
        <v>1</v>
      </c>
      <c r="AI277" s="295" t="s">
        <v>1</v>
      </c>
      <c r="AJ277" s="295" t="s">
        <v>1</v>
      </c>
      <c r="AK277" s="295" t="s">
        <v>1</v>
      </c>
      <c r="AL277" s="302" t="s">
        <v>1</v>
      </c>
      <c r="AM277" s="288" t="s">
        <v>1</v>
      </c>
      <c r="AN277" s="287" t="s">
        <v>1</v>
      </c>
      <c r="AO277" s="287" t="s">
        <v>1</v>
      </c>
      <c r="AP277" s="286" t="s">
        <v>1</v>
      </c>
      <c r="AQ277" s="285" t="s">
        <v>1</v>
      </c>
      <c r="AR277" s="289" t="s">
        <v>1</v>
      </c>
      <c r="AS277" s="289" t="s">
        <v>1</v>
      </c>
      <c r="AT277" s="290" t="s">
        <v>1</v>
      </c>
      <c r="AU277" s="287" t="s">
        <v>1</v>
      </c>
      <c r="AV277" s="287" t="s">
        <v>1</v>
      </c>
      <c r="AW277" s="291" t="s">
        <v>1</v>
      </c>
    </row>
    <row r="278" spans="1:49" ht="30.15" customHeight="1" x14ac:dyDescent="0.25">
      <c r="A278" s="213" t="s">
        <v>18</v>
      </c>
      <c r="B278" s="188" t="s">
        <v>1</v>
      </c>
      <c r="C278" s="212" t="s">
        <v>34</v>
      </c>
      <c r="D278" s="190" t="s">
        <v>3</v>
      </c>
      <c r="E278" s="190" t="s">
        <v>459</v>
      </c>
      <c r="F278" s="203"/>
      <c r="G278" s="190" t="s">
        <v>450</v>
      </c>
      <c r="H278" s="192" t="s">
        <v>409</v>
      </c>
      <c r="I278" s="193">
        <v>1389</v>
      </c>
      <c r="J278" s="193">
        <v>1425</v>
      </c>
      <c r="K278" s="193">
        <v>1425</v>
      </c>
      <c r="L278" s="193">
        <v>1500</v>
      </c>
      <c r="M278" s="194">
        <v>1500</v>
      </c>
      <c r="N278" s="284">
        <v>600</v>
      </c>
      <c r="O278" s="285">
        <v>28.55</v>
      </c>
      <c r="P278" s="285">
        <v>24</v>
      </c>
      <c r="Q278" s="285" t="s">
        <v>1</v>
      </c>
      <c r="R278" s="285" t="s">
        <v>1</v>
      </c>
      <c r="S278" s="286">
        <v>600</v>
      </c>
      <c r="T278" s="285">
        <v>28.55</v>
      </c>
      <c r="U278" s="285">
        <v>24</v>
      </c>
      <c r="V278" s="285" t="s">
        <v>1</v>
      </c>
      <c r="W278" s="285" t="s">
        <v>1</v>
      </c>
      <c r="X278" s="286">
        <v>600</v>
      </c>
      <c r="Y278" s="285">
        <v>41.05</v>
      </c>
      <c r="Z278" s="285">
        <v>24</v>
      </c>
      <c r="AA278" s="285" t="s">
        <v>1</v>
      </c>
      <c r="AB278" s="285" t="s">
        <v>1</v>
      </c>
      <c r="AC278" s="286">
        <v>600</v>
      </c>
      <c r="AD278" s="285">
        <v>41.05</v>
      </c>
      <c r="AE278" s="285">
        <v>24</v>
      </c>
      <c r="AF278" s="285" t="s">
        <v>1</v>
      </c>
      <c r="AG278" s="285" t="s">
        <v>1</v>
      </c>
      <c r="AH278" s="286" t="s">
        <v>1</v>
      </c>
      <c r="AI278" s="295" t="s">
        <v>1</v>
      </c>
      <c r="AJ278" s="295" t="s">
        <v>1</v>
      </c>
      <c r="AK278" s="295" t="s">
        <v>1</v>
      </c>
      <c r="AL278" s="302" t="s">
        <v>1</v>
      </c>
      <c r="AM278" s="288" t="s">
        <v>1</v>
      </c>
      <c r="AN278" s="287" t="s">
        <v>1</v>
      </c>
      <c r="AO278" s="287" t="s">
        <v>1</v>
      </c>
      <c r="AP278" s="286" t="s">
        <v>1</v>
      </c>
      <c r="AQ278" s="285" t="s">
        <v>1</v>
      </c>
      <c r="AR278" s="289" t="s">
        <v>1</v>
      </c>
      <c r="AS278" s="289" t="s">
        <v>1</v>
      </c>
      <c r="AT278" s="290" t="s">
        <v>1</v>
      </c>
      <c r="AU278" s="287" t="s">
        <v>1</v>
      </c>
      <c r="AV278" s="287" t="s">
        <v>1</v>
      </c>
      <c r="AW278" s="291" t="s">
        <v>1</v>
      </c>
    </row>
    <row r="279" spans="1:49" ht="30.15" customHeight="1" x14ac:dyDescent="0.25">
      <c r="A279" s="213" t="s">
        <v>18</v>
      </c>
      <c r="B279" s="188" t="s">
        <v>1</v>
      </c>
      <c r="C279" s="212" t="s">
        <v>34</v>
      </c>
      <c r="D279" s="190" t="s">
        <v>3</v>
      </c>
      <c r="E279" s="190" t="s">
        <v>460</v>
      </c>
      <c r="F279" s="203"/>
      <c r="G279" s="190" t="s">
        <v>450</v>
      </c>
      <c r="H279" s="192" t="s">
        <v>409</v>
      </c>
      <c r="I279" s="193">
        <v>1389</v>
      </c>
      <c r="J279" s="193">
        <v>1425</v>
      </c>
      <c r="K279" s="193">
        <v>1425</v>
      </c>
      <c r="L279" s="193">
        <v>1500</v>
      </c>
      <c r="M279" s="194">
        <v>1500</v>
      </c>
      <c r="N279" s="284">
        <v>600</v>
      </c>
      <c r="O279" s="285">
        <v>28.55</v>
      </c>
      <c r="P279" s="285">
        <v>24</v>
      </c>
      <c r="Q279" s="285" t="s">
        <v>1</v>
      </c>
      <c r="R279" s="285" t="s">
        <v>1</v>
      </c>
      <c r="S279" s="286">
        <v>600</v>
      </c>
      <c r="T279" s="285">
        <v>28.55</v>
      </c>
      <c r="U279" s="285">
        <v>24</v>
      </c>
      <c r="V279" s="285" t="s">
        <v>1</v>
      </c>
      <c r="W279" s="285" t="s">
        <v>1</v>
      </c>
      <c r="X279" s="286">
        <v>600</v>
      </c>
      <c r="Y279" s="285">
        <v>41.05</v>
      </c>
      <c r="Z279" s="285">
        <v>24</v>
      </c>
      <c r="AA279" s="285" t="s">
        <v>1</v>
      </c>
      <c r="AB279" s="285" t="s">
        <v>1</v>
      </c>
      <c r="AC279" s="286">
        <v>600</v>
      </c>
      <c r="AD279" s="285">
        <v>41.05</v>
      </c>
      <c r="AE279" s="285">
        <v>24</v>
      </c>
      <c r="AF279" s="285" t="s">
        <v>1</v>
      </c>
      <c r="AG279" s="285" t="s">
        <v>1</v>
      </c>
      <c r="AH279" s="286" t="s">
        <v>1</v>
      </c>
      <c r="AI279" s="295" t="s">
        <v>1</v>
      </c>
      <c r="AJ279" s="295" t="s">
        <v>1</v>
      </c>
      <c r="AK279" s="295" t="s">
        <v>1</v>
      </c>
      <c r="AL279" s="302" t="s">
        <v>1</v>
      </c>
      <c r="AM279" s="288" t="s">
        <v>1</v>
      </c>
      <c r="AN279" s="287" t="s">
        <v>1</v>
      </c>
      <c r="AO279" s="287" t="s">
        <v>1</v>
      </c>
      <c r="AP279" s="286" t="s">
        <v>1</v>
      </c>
      <c r="AQ279" s="285" t="s">
        <v>1</v>
      </c>
      <c r="AR279" s="289" t="s">
        <v>1</v>
      </c>
      <c r="AS279" s="289" t="s">
        <v>1</v>
      </c>
      <c r="AT279" s="290" t="s">
        <v>1</v>
      </c>
      <c r="AU279" s="287" t="s">
        <v>1</v>
      </c>
      <c r="AV279" s="287" t="s">
        <v>1</v>
      </c>
      <c r="AW279" s="291" t="s">
        <v>1</v>
      </c>
    </row>
    <row r="280" spans="1:49" ht="30.15" customHeight="1" x14ac:dyDescent="0.25">
      <c r="A280" s="213" t="s">
        <v>18</v>
      </c>
      <c r="B280" s="188" t="s">
        <v>1</v>
      </c>
      <c r="C280" s="212" t="s">
        <v>34</v>
      </c>
      <c r="D280" s="190" t="s">
        <v>3</v>
      </c>
      <c r="E280" s="190" t="s">
        <v>461</v>
      </c>
      <c r="F280" s="203"/>
      <c r="G280" s="190" t="s">
        <v>453</v>
      </c>
      <c r="H280" s="192" t="s">
        <v>409</v>
      </c>
      <c r="I280" s="193">
        <v>1769</v>
      </c>
      <c r="J280" s="193">
        <v>1769</v>
      </c>
      <c r="K280" s="193">
        <v>1769</v>
      </c>
      <c r="L280" s="193">
        <v>1910</v>
      </c>
      <c r="M280" s="194">
        <v>1910</v>
      </c>
      <c r="N280" s="284">
        <v>764</v>
      </c>
      <c r="O280" s="285">
        <v>28.55</v>
      </c>
      <c r="P280" s="285">
        <v>24</v>
      </c>
      <c r="Q280" s="285" t="s">
        <v>1</v>
      </c>
      <c r="R280" s="285" t="s">
        <v>1</v>
      </c>
      <c r="S280" s="286">
        <v>764</v>
      </c>
      <c r="T280" s="285">
        <v>28.55</v>
      </c>
      <c r="U280" s="285">
        <v>24</v>
      </c>
      <c r="V280" s="285" t="s">
        <v>1</v>
      </c>
      <c r="W280" s="285" t="s">
        <v>1</v>
      </c>
      <c r="X280" s="286">
        <v>764</v>
      </c>
      <c r="Y280" s="285">
        <v>41.05</v>
      </c>
      <c r="Z280" s="285">
        <v>24</v>
      </c>
      <c r="AA280" s="285" t="s">
        <v>1</v>
      </c>
      <c r="AB280" s="285" t="s">
        <v>1</v>
      </c>
      <c r="AC280" s="286">
        <v>764</v>
      </c>
      <c r="AD280" s="285">
        <v>41.05</v>
      </c>
      <c r="AE280" s="285">
        <v>24</v>
      </c>
      <c r="AF280" s="285" t="s">
        <v>1</v>
      </c>
      <c r="AG280" s="285" t="s">
        <v>1</v>
      </c>
      <c r="AH280" s="286" t="s">
        <v>1</v>
      </c>
      <c r="AI280" s="295" t="s">
        <v>1</v>
      </c>
      <c r="AJ280" s="295" t="s">
        <v>1</v>
      </c>
      <c r="AK280" s="295" t="s">
        <v>1</v>
      </c>
      <c r="AL280" s="302" t="s">
        <v>1</v>
      </c>
      <c r="AM280" s="288" t="s">
        <v>1</v>
      </c>
      <c r="AN280" s="287" t="s">
        <v>1</v>
      </c>
      <c r="AO280" s="287" t="s">
        <v>1</v>
      </c>
      <c r="AP280" s="286" t="s">
        <v>1</v>
      </c>
      <c r="AQ280" s="285" t="s">
        <v>1</v>
      </c>
      <c r="AR280" s="289" t="s">
        <v>1</v>
      </c>
      <c r="AS280" s="289" t="s">
        <v>1</v>
      </c>
      <c r="AT280" s="290" t="s">
        <v>1</v>
      </c>
      <c r="AU280" s="287" t="s">
        <v>1</v>
      </c>
      <c r="AV280" s="287" t="s">
        <v>1</v>
      </c>
      <c r="AW280" s="291" t="s">
        <v>1</v>
      </c>
    </row>
    <row r="281" spans="1:49" ht="30.15" customHeight="1" x14ac:dyDescent="0.25">
      <c r="A281" s="213" t="s">
        <v>18</v>
      </c>
      <c r="B281" s="188" t="s">
        <v>1</v>
      </c>
      <c r="C281" s="212" t="s">
        <v>34</v>
      </c>
      <c r="D281" s="190" t="s">
        <v>3</v>
      </c>
      <c r="E281" s="190" t="s">
        <v>462</v>
      </c>
      <c r="F281" s="203"/>
      <c r="G281" s="190" t="s">
        <v>453</v>
      </c>
      <c r="H281" s="192" t="s">
        <v>409</v>
      </c>
      <c r="I281" s="193">
        <v>1769</v>
      </c>
      <c r="J281" s="193">
        <v>1769</v>
      </c>
      <c r="K281" s="193">
        <v>1769</v>
      </c>
      <c r="L281" s="193">
        <v>1910</v>
      </c>
      <c r="M281" s="194">
        <v>1910</v>
      </c>
      <c r="N281" s="284">
        <v>764</v>
      </c>
      <c r="O281" s="285">
        <v>28.55</v>
      </c>
      <c r="P281" s="285">
        <v>24</v>
      </c>
      <c r="Q281" s="285" t="s">
        <v>1</v>
      </c>
      <c r="R281" s="285" t="s">
        <v>1</v>
      </c>
      <c r="S281" s="286">
        <v>764</v>
      </c>
      <c r="T281" s="285">
        <v>28.55</v>
      </c>
      <c r="U281" s="285">
        <v>24</v>
      </c>
      <c r="V281" s="285" t="s">
        <v>1</v>
      </c>
      <c r="W281" s="285" t="s">
        <v>1</v>
      </c>
      <c r="X281" s="286">
        <v>764</v>
      </c>
      <c r="Y281" s="285">
        <v>41.05</v>
      </c>
      <c r="Z281" s="285">
        <v>24</v>
      </c>
      <c r="AA281" s="285" t="s">
        <v>1</v>
      </c>
      <c r="AB281" s="285" t="s">
        <v>1</v>
      </c>
      <c r="AC281" s="286">
        <v>764</v>
      </c>
      <c r="AD281" s="285">
        <v>41.05</v>
      </c>
      <c r="AE281" s="285">
        <v>24</v>
      </c>
      <c r="AF281" s="285" t="s">
        <v>1</v>
      </c>
      <c r="AG281" s="285" t="s">
        <v>1</v>
      </c>
      <c r="AH281" s="286" t="s">
        <v>1</v>
      </c>
      <c r="AI281" s="295" t="s">
        <v>1</v>
      </c>
      <c r="AJ281" s="295" t="s">
        <v>1</v>
      </c>
      <c r="AK281" s="295" t="s">
        <v>1</v>
      </c>
      <c r="AL281" s="302" t="s">
        <v>1</v>
      </c>
      <c r="AM281" s="288" t="s">
        <v>1</v>
      </c>
      <c r="AN281" s="287" t="s">
        <v>1</v>
      </c>
      <c r="AO281" s="287" t="s">
        <v>1</v>
      </c>
      <c r="AP281" s="286" t="s">
        <v>1</v>
      </c>
      <c r="AQ281" s="285" t="s">
        <v>1</v>
      </c>
      <c r="AR281" s="289" t="s">
        <v>1</v>
      </c>
      <c r="AS281" s="289" t="s">
        <v>1</v>
      </c>
      <c r="AT281" s="290" t="s">
        <v>1</v>
      </c>
      <c r="AU281" s="287" t="s">
        <v>1</v>
      </c>
      <c r="AV281" s="287" t="s">
        <v>1</v>
      </c>
      <c r="AW281" s="291" t="s">
        <v>1</v>
      </c>
    </row>
    <row r="282" spans="1:49" ht="30.15" customHeight="1" x14ac:dyDescent="0.25">
      <c r="A282" s="213" t="s">
        <v>18</v>
      </c>
      <c r="B282" s="188" t="s">
        <v>1</v>
      </c>
      <c r="C282" s="212" t="s">
        <v>34</v>
      </c>
      <c r="D282" s="190" t="s">
        <v>3</v>
      </c>
      <c r="E282" s="190" t="s">
        <v>463</v>
      </c>
      <c r="F282" s="203"/>
      <c r="G282" s="190" t="s">
        <v>453</v>
      </c>
      <c r="H282" s="192" t="s">
        <v>409</v>
      </c>
      <c r="I282" s="193">
        <v>1769</v>
      </c>
      <c r="J282" s="193">
        <v>1769</v>
      </c>
      <c r="K282" s="193">
        <v>1769</v>
      </c>
      <c r="L282" s="193">
        <v>1910</v>
      </c>
      <c r="M282" s="194">
        <v>1910</v>
      </c>
      <c r="N282" s="284">
        <v>764</v>
      </c>
      <c r="O282" s="285">
        <v>28.55</v>
      </c>
      <c r="P282" s="285">
        <v>24</v>
      </c>
      <c r="Q282" s="285" t="s">
        <v>1</v>
      </c>
      <c r="R282" s="285" t="s">
        <v>1</v>
      </c>
      <c r="S282" s="286">
        <v>764</v>
      </c>
      <c r="T282" s="285">
        <v>28.55</v>
      </c>
      <c r="U282" s="285">
        <v>24</v>
      </c>
      <c r="V282" s="285" t="s">
        <v>1</v>
      </c>
      <c r="W282" s="285" t="s">
        <v>1</v>
      </c>
      <c r="X282" s="286">
        <v>764</v>
      </c>
      <c r="Y282" s="285">
        <v>41.05</v>
      </c>
      <c r="Z282" s="285">
        <v>24</v>
      </c>
      <c r="AA282" s="285" t="s">
        <v>1</v>
      </c>
      <c r="AB282" s="285" t="s">
        <v>1</v>
      </c>
      <c r="AC282" s="286">
        <v>764</v>
      </c>
      <c r="AD282" s="285">
        <v>41.05</v>
      </c>
      <c r="AE282" s="285">
        <v>24</v>
      </c>
      <c r="AF282" s="285" t="s">
        <v>1</v>
      </c>
      <c r="AG282" s="285" t="s">
        <v>1</v>
      </c>
      <c r="AH282" s="286" t="s">
        <v>1</v>
      </c>
      <c r="AI282" s="295" t="s">
        <v>1</v>
      </c>
      <c r="AJ282" s="295" t="s">
        <v>1</v>
      </c>
      <c r="AK282" s="295" t="s">
        <v>1</v>
      </c>
      <c r="AL282" s="302" t="s">
        <v>1</v>
      </c>
      <c r="AM282" s="288" t="s">
        <v>1</v>
      </c>
      <c r="AN282" s="287" t="s">
        <v>1</v>
      </c>
      <c r="AO282" s="287" t="s">
        <v>1</v>
      </c>
      <c r="AP282" s="286" t="s">
        <v>1</v>
      </c>
      <c r="AQ282" s="285" t="s">
        <v>1</v>
      </c>
      <c r="AR282" s="289" t="s">
        <v>1</v>
      </c>
      <c r="AS282" s="289" t="s">
        <v>1</v>
      </c>
      <c r="AT282" s="290" t="s">
        <v>1</v>
      </c>
      <c r="AU282" s="287" t="s">
        <v>1</v>
      </c>
      <c r="AV282" s="287" t="s">
        <v>1</v>
      </c>
      <c r="AW282" s="291" t="s">
        <v>1</v>
      </c>
    </row>
    <row r="283" spans="1:49" ht="30.15" customHeight="1" x14ac:dyDescent="0.25">
      <c r="A283" s="213" t="s">
        <v>18</v>
      </c>
      <c r="B283" s="188" t="s">
        <v>1</v>
      </c>
      <c r="C283" s="212" t="s">
        <v>34</v>
      </c>
      <c r="D283" s="190" t="s">
        <v>3</v>
      </c>
      <c r="E283" s="190" t="s">
        <v>464</v>
      </c>
      <c r="F283" s="203"/>
      <c r="G283" s="190" t="s">
        <v>451</v>
      </c>
      <c r="H283" s="192" t="s">
        <v>409</v>
      </c>
      <c r="I283" s="193">
        <v>1319</v>
      </c>
      <c r="J283" s="193">
        <v>1349</v>
      </c>
      <c r="K283" s="193">
        <v>1349</v>
      </c>
      <c r="L283" s="193">
        <v>1425</v>
      </c>
      <c r="M283" s="194">
        <v>1425</v>
      </c>
      <c r="N283" s="284">
        <v>570</v>
      </c>
      <c r="O283" s="285">
        <v>42.379999999999995</v>
      </c>
      <c r="P283" s="285">
        <v>24</v>
      </c>
      <c r="Q283" s="285" t="s">
        <v>1</v>
      </c>
      <c r="R283" s="285" t="s">
        <v>1</v>
      </c>
      <c r="S283" s="286">
        <v>570</v>
      </c>
      <c r="T283" s="285">
        <v>42.379999999999995</v>
      </c>
      <c r="U283" s="285">
        <v>24</v>
      </c>
      <c r="V283" s="285" t="s">
        <v>1</v>
      </c>
      <c r="W283" s="285" t="s">
        <v>1</v>
      </c>
      <c r="X283" s="286">
        <v>570</v>
      </c>
      <c r="Y283" s="285">
        <v>42.379999999999995</v>
      </c>
      <c r="Z283" s="285">
        <v>24</v>
      </c>
      <c r="AA283" s="285" t="s">
        <v>1</v>
      </c>
      <c r="AB283" s="285" t="s">
        <v>1</v>
      </c>
      <c r="AC283" s="286">
        <v>570</v>
      </c>
      <c r="AD283" s="285">
        <v>42.379999999999995</v>
      </c>
      <c r="AE283" s="285">
        <v>24</v>
      </c>
      <c r="AF283" s="285" t="s">
        <v>1</v>
      </c>
      <c r="AG283" s="285" t="s">
        <v>1</v>
      </c>
      <c r="AH283" s="286" t="s">
        <v>1</v>
      </c>
      <c r="AI283" s="295" t="s">
        <v>1</v>
      </c>
      <c r="AJ283" s="295" t="s">
        <v>1</v>
      </c>
      <c r="AK283" s="295" t="s">
        <v>1</v>
      </c>
      <c r="AL283" s="302" t="s">
        <v>1</v>
      </c>
      <c r="AM283" s="288" t="s">
        <v>1</v>
      </c>
      <c r="AN283" s="287" t="s">
        <v>1</v>
      </c>
      <c r="AO283" s="287" t="s">
        <v>1</v>
      </c>
      <c r="AP283" s="286" t="s">
        <v>1</v>
      </c>
      <c r="AQ283" s="285" t="s">
        <v>1</v>
      </c>
      <c r="AR283" s="289" t="s">
        <v>1</v>
      </c>
      <c r="AS283" s="289" t="s">
        <v>1</v>
      </c>
      <c r="AT283" s="290" t="s">
        <v>1</v>
      </c>
      <c r="AU283" s="287" t="s">
        <v>1</v>
      </c>
      <c r="AV283" s="287" t="s">
        <v>1</v>
      </c>
      <c r="AW283" s="291" t="s">
        <v>1</v>
      </c>
    </row>
    <row r="284" spans="1:49" ht="30.15" customHeight="1" x14ac:dyDescent="0.25">
      <c r="A284" s="213" t="s">
        <v>18</v>
      </c>
      <c r="B284" s="188" t="s">
        <v>1</v>
      </c>
      <c r="C284" s="212" t="s">
        <v>34</v>
      </c>
      <c r="D284" s="190" t="s">
        <v>3</v>
      </c>
      <c r="E284" s="190" t="s">
        <v>465</v>
      </c>
      <c r="F284" s="203"/>
      <c r="G284" s="190" t="s">
        <v>451</v>
      </c>
      <c r="H284" s="192" t="s">
        <v>409</v>
      </c>
      <c r="I284" s="193">
        <v>1319</v>
      </c>
      <c r="J284" s="193">
        <v>1349</v>
      </c>
      <c r="K284" s="193">
        <v>1349</v>
      </c>
      <c r="L284" s="193">
        <v>1425</v>
      </c>
      <c r="M284" s="194">
        <v>1425</v>
      </c>
      <c r="N284" s="284">
        <v>570</v>
      </c>
      <c r="O284" s="285">
        <v>42.379999999999995</v>
      </c>
      <c r="P284" s="285">
        <v>24</v>
      </c>
      <c r="Q284" s="285" t="s">
        <v>1</v>
      </c>
      <c r="R284" s="285" t="s">
        <v>1</v>
      </c>
      <c r="S284" s="286">
        <v>570</v>
      </c>
      <c r="T284" s="285">
        <v>42.379999999999995</v>
      </c>
      <c r="U284" s="285">
        <v>24</v>
      </c>
      <c r="V284" s="285" t="s">
        <v>1</v>
      </c>
      <c r="W284" s="285" t="s">
        <v>1</v>
      </c>
      <c r="X284" s="286">
        <v>570</v>
      </c>
      <c r="Y284" s="285">
        <v>42.379999999999995</v>
      </c>
      <c r="Z284" s="285">
        <v>24</v>
      </c>
      <c r="AA284" s="285" t="s">
        <v>1</v>
      </c>
      <c r="AB284" s="285" t="s">
        <v>1</v>
      </c>
      <c r="AC284" s="286">
        <v>570</v>
      </c>
      <c r="AD284" s="285">
        <v>42.379999999999995</v>
      </c>
      <c r="AE284" s="285">
        <v>24</v>
      </c>
      <c r="AF284" s="285" t="s">
        <v>1</v>
      </c>
      <c r="AG284" s="285" t="s">
        <v>1</v>
      </c>
      <c r="AH284" s="286" t="s">
        <v>1</v>
      </c>
      <c r="AI284" s="295" t="s">
        <v>1</v>
      </c>
      <c r="AJ284" s="295" t="s">
        <v>1</v>
      </c>
      <c r="AK284" s="295" t="s">
        <v>1</v>
      </c>
      <c r="AL284" s="302" t="s">
        <v>1</v>
      </c>
      <c r="AM284" s="288" t="s">
        <v>1</v>
      </c>
      <c r="AN284" s="287" t="s">
        <v>1</v>
      </c>
      <c r="AO284" s="287" t="s">
        <v>1</v>
      </c>
      <c r="AP284" s="286" t="s">
        <v>1</v>
      </c>
      <c r="AQ284" s="285" t="s">
        <v>1</v>
      </c>
      <c r="AR284" s="289" t="s">
        <v>1</v>
      </c>
      <c r="AS284" s="289" t="s">
        <v>1</v>
      </c>
      <c r="AT284" s="290" t="s">
        <v>1</v>
      </c>
      <c r="AU284" s="287" t="s">
        <v>1</v>
      </c>
      <c r="AV284" s="287" t="s">
        <v>1</v>
      </c>
      <c r="AW284" s="291" t="s">
        <v>1</v>
      </c>
    </row>
    <row r="285" spans="1:49" ht="30.15" customHeight="1" x14ac:dyDescent="0.25">
      <c r="A285" s="213" t="s">
        <v>18</v>
      </c>
      <c r="B285" s="188" t="s">
        <v>1</v>
      </c>
      <c r="C285" s="212" t="s">
        <v>34</v>
      </c>
      <c r="D285" s="190" t="s">
        <v>3</v>
      </c>
      <c r="E285" s="190" t="s">
        <v>466</v>
      </c>
      <c r="F285" s="203"/>
      <c r="G285" s="190" t="s">
        <v>451</v>
      </c>
      <c r="H285" s="192" t="s">
        <v>409</v>
      </c>
      <c r="I285" s="193">
        <v>1319</v>
      </c>
      <c r="J285" s="193">
        <v>1349</v>
      </c>
      <c r="K285" s="193">
        <v>1349</v>
      </c>
      <c r="L285" s="193">
        <v>1425</v>
      </c>
      <c r="M285" s="194">
        <v>1425</v>
      </c>
      <c r="N285" s="284">
        <v>570</v>
      </c>
      <c r="O285" s="285">
        <v>42.379999999999995</v>
      </c>
      <c r="P285" s="285">
        <v>24</v>
      </c>
      <c r="Q285" s="285" t="s">
        <v>1</v>
      </c>
      <c r="R285" s="285" t="s">
        <v>1</v>
      </c>
      <c r="S285" s="286">
        <v>570</v>
      </c>
      <c r="T285" s="285">
        <v>42.379999999999995</v>
      </c>
      <c r="U285" s="285">
        <v>24</v>
      </c>
      <c r="V285" s="285" t="s">
        <v>1</v>
      </c>
      <c r="W285" s="285" t="s">
        <v>1</v>
      </c>
      <c r="X285" s="286">
        <v>570</v>
      </c>
      <c r="Y285" s="285">
        <v>42.379999999999995</v>
      </c>
      <c r="Z285" s="285">
        <v>24</v>
      </c>
      <c r="AA285" s="285" t="s">
        <v>1</v>
      </c>
      <c r="AB285" s="285" t="s">
        <v>1</v>
      </c>
      <c r="AC285" s="286">
        <v>570</v>
      </c>
      <c r="AD285" s="285">
        <v>42.379999999999995</v>
      </c>
      <c r="AE285" s="285">
        <v>24</v>
      </c>
      <c r="AF285" s="285" t="s">
        <v>1</v>
      </c>
      <c r="AG285" s="285" t="s">
        <v>1</v>
      </c>
      <c r="AH285" s="286" t="s">
        <v>1</v>
      </c>
      <c r="AI285" s="295" t="s">
        <v>1</v>
      </c>
      <c r="AJ285" s="295" t="s">
        <v>1</v>
      </c>
      <c r="AK285" s="295" t="s">
        <v>1</v>
      </c>
      <c r="AL285" s="302" t="s">
        <v>1</v>
      </c>
      <c r="AM285" s="288" t="s">
        <v>1</v>
      </c>
      <c r="AN285" s="287" t="s">
        <v>1</v>
      </c>
      <c r="AO285" s="287" t="s">
        <v>1</v>
      </c>
      <c r="AP285" s="286" t="s">
        <v>1</v>
      </c>
      <c r="AQ285" s="285" t="s">
        <v>1</v>
      </c>
      <c r="AR285" s="289" t="s">
        <v>1</v>
      </c>
      <c r="AS285" s="289" t="s">
        <v>1</v>
      </c>
      <c r="AT285" s="290" t="s">
        <v>1</v>
      </c>
      <c r="AU285" s="287" t="s">
        <v>1</v>
      </c>
      <c r="AV285" s="287" t="s">
        <v>1</v>
      </c>
      <c r="AW285" s="291" t="s">
        <v>1</v>
      </c>
    </row>
    <row r="286" spans="1:49" ht="30.15" customHeight="1" x14ac:dyDescent="0.25">
      <c r="A286" s="213" t="s">
        <v>18</v>
      </c>
      <c r="B286" s="188" t="s">
        <v>1</v>
      </c>
      <c r="C286" s="212" t="s">
        <v>34</v>
      </c>
      <c r="D286" s="190" t="s">
        <v>3</v>
      </c>
      <c r="E286" s="190" t="s">
        <v>467</v>
      </c>
      <c r="F286" s="203"/>
      <c r="G286" s="190" t="s">
        <v>452</v>
      </c>
      <c r="H286" s="192" t="s">
        <v>409</v>
      </c>
      <c r="I286" s="193">
        <v>1519</v>
      </c>
      <c r="J286" s="193">
        <v>1558</v>
      </c>
      <c r="K286" s="193">
        <v>1558</v>
      </c>
      <c r="L286" s="193">
        <v>1640</v>
      </c>
      <c r="M286" s="194">
        <v>1640</v>
      </c>
      <c r="N286" s="284">
        <v>656</v>
      </c>
      <c r="O286" s="285">
        <v>47.34</v>
      </c>
      <c r="P286" s="285">
        <v>24</v>
      </c>
      <c r="Q286" s="285" t="s">
        <v>1</v>
      </c>
      <c r="R286" s="285" t="s">
        <v>1</v>
      </c>
      <c r="S286" s="286">
        <v>656</v>
      </c>
      <c r="T286" s="285">
        <v>47.34</v>
      </c>
      <c r="U286" s="285">
        <v>24</v>
      </c>
      <c r="V286" s="285" t="s">
        <v>1</v>
      </c>
      <c r="W286" s="285" t="s">
        <v>1</v>
      </c>
      <c r="X286" s="286">
        <v>656</v>
      </c>
      <c r="Y286" s="285">
        <v>47.34</v>
      </c>
      <c r="Z286" s="285">
        <v>24</v>
      </c>
      <c r="AA286" s="285" t="s">
        <v>1</v>
      </c>
      <c r="AB286" s="285" t="s">
        <v>1</v>
      </c>
      <c r="AC286" s="286">
        <v>656</v>
      </c>
      <c r="AD286" s="285">
        <v>47.34</v>
      </c>
      <c r="AE286" s="285">
        <v>24</v>
      </c>
      <c r="AF286" s="285" t="s">
        <v>1</v>
      </c>
      <c r="AG286" s="285" t="s">
        <v>1</v>
      </c>
      <c r="AH286" s="286" t="s">
        <v>1</v>
      </c>
      <c r="AI286" s="295" t="s">
        <v>1</v>
      </c>
      <c r="AJ286" s="295" t="s">
        <v>1</v>
      </c>
      <c r="AK286" s="295" t="s">
        <v>1</v>
      </c>
      <c r="AL286" s="302" t="s">
        <v>1</v>
      </c>
      <c r="AM286" s="288" t="s">
        <v>1</v>
      </c>
      <c r="AN286" s="287" t="s">
        <v>1</v>
      </c>
      <c r="AO286" s="287" t="s">
        <v>1</v>
      </c>
      <c r="AP286" s="286" t="s">
        <v>1</v>
      </c>
      <c r="AQ286" s="285" t="s">
        <v>1</v>
      </c>
      <c r="AR286" s="289" t="s">
        <v>1</v>
      </c>
      <c r="AS286" s="289" t="s">
        <v>1</v>
      </c>
      <c r="AT286" s="290" t="s">
        <v>1</v>
      </c>
      <c r="AU286" s="287" t="s">
        <v>1</v>
      </c>
      <c r="AV286" s="287" t="s">
        <v>1</v>
      </c>
      <c r="AW286" s="291" t="s">
        <v>1</v>
      </c>
    </row>
    <row r="287" spans="1:49" ht="30.15" customHeight="1" x14ac:dyDescent="0.25">
      <c r="A287" s="213" t="s">
        <v>18</v>
      </c>
      <c r="B287" s="188" t="s">
        <v>1</v>
      </c>
      <c r="C287" s="212" t="s">
        <v>34</v>
      </c>
      <c r="D287" s="190" t="s">
        <v>3</v>
      </c>
      <c r="E287" s="190" t="s">
        <v>468</v>
      </c>
      <c r="F287" s="203"/>
      <c r="G287" s="190" t="s">
        <v>452</v>
      </c>
      <c r="H287" s="192" t="s">
        <v>409</v>
      </c>
      <c r="I287" s="193">
        <v>1519</v>
      </c>
      <c r="J287" s="193">
        <v>1558</v>
      </c>
      <c r="K287" s="193">
        <v>1558</v>
      </c>
      <c r="L287" s="193">
        <v>1640</v>
      </c>
      <c r="M287" s="194">
        <v>1640</v>
      </c>
      <c r="N287" s="284">
        <v>656</v>
      </c>
      <c r="O287" s="285">
        <v>47.34</v>
      </c>
      <c r="P287" s="285">
        <v>24</v>
      </c>
      <c r="Q287" s="285" t="s">
        <v>1</v>
      </c>
      <c r="R287" s="285" t="s">
        <v>1</v>
      </c>
      <c r="S287" s="286">
        <v>656</v>
      </c>
      <c r="T287" s="285">
        <v>47.34</v>
      </c>
      <c r="U287" s="285">
        <v>24</v>
      </c>
      <c r="V287" s="285" t="s">
        <v>1</v>
      </c>
      <c r="W287" s="285" t="s">
        <v>1</v>
      </c>
      <c r="X287" s="286">
        <v>656</v>
      </c>
      <c r="Y287" s="285">
        <v>47.34</v>
      </c>
      <c r="Z287" s="285">
        <v>24</v>
      </c>
      <c r="AA287" s="285" t="s">
        <v>1</v>
      </c>
      <c r="AB287" s="285" t="s">
        <v>1</v>
      </c>
      <c r="AC287" s="286">
        <v>656</v>
      </c>
      <c r="AD287" s="285">
        <v>47.34</v>
      </c>
      <c r="AE287" s="285">
        <v>24</v>
      </c>
      <c r="AF287" s="285" t="s">
        <v>1</v>
      </c>
      <c r="AG287" s="285" t="s">
        <v>1</v>
      </c>
      <c r="AH287" s="286" t="s">
        <v>1</v>
      </c>
      <c r="AI287" s="295" t="s">
        <v>1</v>
      </c>
      <c r="AJ287" s="295" t="s">
        <v>1</v>
      </c>
      <c r="AK287" s="295" t="s">
        <v>1</v>
      </c>
      <c r="AL287" s="302" t="s">
        <v>1</v>
      </c>
      <c r="AM287" s="288" t="s">
        <v>1</v>
      </c>
      <c r="AN287" s="287" t="s">
        <v>1</v>
      </c>
      <c r="AO287" s="287" t="s">
        <v>1</v>
      </c>
      <c r="AP287" s="286" t="s">
        <v>1</v>
      </c>
      <c r="AQ287" s="285" t="s">
        <v>1</v>
      </c>
      <c r="AR287" s="289" t="s">
        <v>1</v>
      </c>
      <c r="AS287" s="289" t="s">
        <v>1</v>
      </c>
      <c r="AT287" s="290" t="s">
        <v>1</v>
      </c>
      <c r="AU287" s="287" t="s">
        <v>1</v>
      </c>
      <c r="AV287" s="287" t="s">
        <v>1</v>
      </c>
      <c r="AW287" s="291" t="s">
        <v>1</v>
      </c>
    </row>
    <row r="288" spans="1:49" ht="30.15" customHeight="1" x14ac:dyDescent="0.25">
      <c r="A288" s="213" t="s">
        <v>18</v>
      </c>
      <c r="B288" s="188" t="s">
        <v>1</v>
      </c>
      <c r="C288" s="212" t="s">
        <v>34</v>
      </c>
      <c r="D288" s="190" t="s">
        <v>3</v>
      </c>
      <c r="E288" s="190" t="s">
        <v>469</v>
      </c>
      <c r="F288" s="203"/>
      <c r="G288" s="190" t="s">
        <v>452</v>
      </c>
      <c r="H288" s="192" t="s">
        <v>409</v>
      </c>
      <c r="I288" s="193">
        <v>1519</v>
      </c>
      <c r="J288" s="193">
        <v>1558</v>
      </c>
      <c r="K288" s="193">
        <v>1558</v>
      </c>
      <c r="L288" s="193">
        <v>1640</v>
      </c>
      <c r="M288" s="194">
        <v>1640</v>
      </c>
      <c r="N288" s="284">
        <v>656</v>
      </c>
      <c r="O288" s="285">
        <v>47.34</v>
      </c>
      <c r="P288" s="285">
        <v>24</v>
      </c>
      <c r="Q288" s="285" t="s">
        <v>1</v>
      </c>
      <c r="R288" s="285" t="s">
        <v>1</v>
      </c>
      <c r="S288" s="286">
        <v>656</v>
      </c>
      <c r="T288" s="285">
        <v>47.34</v>
      </c>
      <c r="U288" s="285">
        <v>24</v>
      </c>
      <c r="V288" s="285" t="s">
        <v>1</v>
      </c>
      <c r="W288" s="285" t="s">
        <v>1</v>
      </c>
      <c r="X288" s="286">
        <v>656</v>
      </c>
      <c r="Y288" s="285">
        <v>47.34</v>
      </c>
      <c r="Z288" s="285">
        <v>24</v>
      </c>
      <c r="AA288" s="285" t="s">
        <v>1</v>
      </c>
      <c r="AB288" s="285" t="s">
        <v>1</v>
      </c>
      <c r="AC288" s="286">
        <v>656</v>
      </c>
      <c r="AD288" s="285">
        <v>47.34</v>
      </c>
      <c r="AE288" s="285">
        <v>24</v>
      </c>
      <c r="AF288" s="285" t="s">
        <v>1</v>
      </c>
      <c r="AG288" s="285" t="s">
        <v>1</v>
      </c>
      <c r="AH288" s="286" t="s">
        <v>1</v>
      </c>
      <c r="AI288" s="295" t="s">
        <v>1</v>
      </c>
      <c r="AJ288" s="295" t="s">
        <v>1</v>
      </c>
      <c r="AK288" s="295" t="s">
        <v>1</v>
      </c>
      <c r="AL288" s="302" t="s">
        <v>1</v>
      </c>
      <c r="AM288" s="288" t="s">
        <v>1</v>
      </c>
      <c r="AN288" s="287" t="s">
        <v>1</v>
      </c>
      <c r="AO288" s="287" t="s">
        <v>1</v>
      </c>
      <c r="AP288" s="286" t="s">
        <v>1</v>
      </c>
      <c r="AQ288" s="285" t="s">
        <v>1</v>
      </c>
      <c r="AR288" s="289" t="s">
        <v>1</v>
      </c>
      <c r="AS288" s="289" t="s">
        <v>1</v>
      </c>
      <c r="AT288" s="290" t="s">
        <v>1</v>
      </c>
      <c r="AU288" s="287" t="s">
        <v>1</v>
      </c>
      <c r="AV288" s="287" t="s">
        <v>1</v>
      </c>
      <c r="AW288" s="291" t="s">
        <v>1</v>
      </c>
    </row>
    <row r="289" spans="1:49" ht="30.15" customHeight="1" x14ac:dyDescent="0.25">
      <c r="A289" s="213" t="s">
        <v>18</v>
      </c>
      <c r="B289" s="188" t="s">
        <v>1</v>
      </c>
      <c r="C289" s="212" t="s">
        <v>34</v>
      </c>
      <c r="D289" s="190" t="s">
        <v>3</v>
      </c>
      <c r="E289" s="190" t="s">
        <v>470</v>
      </c>
      <c r="F289" s="203"/>
      <c r="G289" s="190" t="s">
        <v>454</v>
      </c>
      <c r="H289" s="192" t="s">
        <v>409</v>
      </c>
      <c r="I289" s="193">
        <v>1789</v>
      </c>
      <c r="J289" s="193">
        <v>1834</v>
      </c>
      <c r="K289" s="193">
        <v>1834</v>
      </c>
      <c r="L289" s="193">
        <v>1930</v>
      </c>
      <c r="M289" s="194">
        <v>1930</v>
      </c>
      <c r="N289" s="284">
        <v>772</v>
      </c>
      <c r="O289" s="285">
        <v>53.42</v>
      </c>
      <c r="P289" s="285">
        <v>24</v>
      </c>
      <c r="Q289" s="285" t="s">
        <v>1</v>
      </c>
      <c r="R289" s="285" t="s">
        <v>1</v>
      </c>
      <c r="S289" s="286">
        <v>772</v>
      </c>
      <c r="T289" s="285">
        <v>53.42</v>
      </c>
      <c r="U289" s="285">
        <v>24</v>
      </c>
      <c r="V289" s="285" t="s">
        <v>1</v>
      </c>
      <c r="W289" s="285" t="s">
        <v>1</v>
      </c>
      <c r="X289" s="286">
        <v>772</v>
      </c>
      <c r="Y289" s="285">
        <v>53.42</v>
      </c>
      <c r="Z289" s="285">
        <v>24</v>
      </c>
      <c r="AA289" s="285" t="s">
        <v>1</v>
      </c>
      <c r="AB289" s="285" t="s">
        <v>1</v>
      </c>
      <c r="AC289" s="286">
        <v>772</v>
      </c>
      <c r="AD289" s="285">
        <v>53.42</v>
      </c>
      <c r="AE289" s="285">
        <v>24</v>
      </c>
      <c r="AF289" s="285" t="s">
        <v>1</v>
      </c>
      <c r="AG289" s="285" t="s">
        <v>1</v>
      </c>
      <c r="AH289" s="286" t="s">
        <v>1</v>
      </c>
      <c r="AI289" s="295" t="s">
        <v>1</v>
      </c>
      <c r="AJ289" s="295" t="s">
        <v>1</v>
      </c>
      <c r="AK289" s="295" t="s">
        <v>1</v>
      </c>
      <c r="AL289" s="302" t="s">
        <v>1</v>
      </c>
      <c r="AM289" s="288" t="s">
        <v>1</v>
      </c>
      <c r="AN289" s="287" t="s">
        <v>1</v>
      </c>
      <c r="AO289" s="287" t="s">
        <v>1</v>
      </c>
      <c r="AP289" s="286" t="s">
        <v>1</v>
      </c>
      <c r="AQ289" s="285" t="s">
        <v>1</v>
      </c>
      <c r="AR289" s="289" t="s">
        <v>1</v>
      </c>
      <c r="AS289" s="289" t="s">
        <v>1</v>
      </c>
      <c r="AT289" s="290" t="s">
        <v>1</v>
      </c>
      <c r="AU289" s="287" t="s">
        <v>1</v>
      </c>
      <c r="AV289" s="287" t="s">
        <v>1</v>
      </c>
      <c r="AW289" s="291" t="s">
        <v>1</v>
      </c>
    </row>
    <row r="290" spans="1:49" ht="30.15" customHeight="1" x14ac:dyDescent="0.25">
      <c r="A290" s="213" t="s">
        <v>18</v>
      </c>
      <c r="B290" s="188" t="s">
        <v>1</v>
      </c>
      <c r="C290" s="212" t="s">
        <v>34</v>
      </c>
      <c r="D290" s="190" t="s">
        <v>3</v>
      </c>
      <c r="E290" s="190" t="s">
        <v>471</v>
      </c>
      <c r="F290" s="203"/>
      <c r="G290" s="190" t="s">
        <v>454</v>
      </c>
      <c r="H290" s="192" t="s">
        <v>409</v>
      </c>
      <c r="I290" s="193">
        <v>1789</v>
      </c>
      <c r="J290" s="193">
        <v>1834</v>
      </c>
      <c r="K290" s="193">
        <v>1834</v>
      </c>
      <c r="L290" s="193">
        <v>1930</v>
      </c>
      <c r="M290" s="194">
        <v>1930</v>
      </c>
      <c r="N290" s="284">
        <v>772</v>
      </c>
      <c r="O290" s="285">
        <v>53.42</v>
      </c>
      <c r="P290" s="285">
        <v>24</v>
      </c>
      <c r="Q290" s="285" t="s">
        <v>1</v>
      </c>
      <c r="R290" s="285" t="s">
        <v>1</v>
      </c>
      <c r="S290" s="286">
        <v>772</v>
      </c>
      <c r="T290" s="285">
        <v>53.42</v>
      </c>
      <c r="U290" s="285">
        <v>24</v>
      </c>
      <c r="V290" s="285" t="s">
        <v>1</v>
      </c>
      <c r="W290" s="285" t="s">
        <v>1</v>
      </c>
      <c r="X290" s="286">
        <v>772</v>
      </c>
      <c r="Y290" s="285">
        <v>53.42</v>
      </c>
      <c r="Z290" s="285">
        <v>24</v>
      </c>
      <c r="AA290" s="285" t="s">
        <v>1</v>
      </c>
      <c r="AB290" s="285" t="s">
        <v>1</v>
      </c>
      <c r="AC290" s="286">
        <v>772</v>
      </c>
      <c r="AD290" s="285">
        <v>53.42</v>
      </c>
      <c r="AE290" s="285">
        <v>24</v>
      </c>
      <c r="AF290" s="285" t="s">
        <v>1</v>
      </c>
      <c r="AG290" s="285" t="s">
        <v>1</v>
      </c>
      <c r="AH290" s="286" t="s">
        <v>1</v>
      </c>
      <c r="AI290" s="295" t="s">
        <v>1</v>
      </c>
      <c r="AJ290" s="295" t="s">
        <v>1</v>
      </c>
      <c r="AK290" s="295" t="s">
        <v>1</v>
      </c>
      <c r="AL290" s="302" t="s">
        <v>1</v>
      </c>
      <c r="AM290" s="288" t="s">
        <v>1</v>
      </c>
      <c r="AN290" s="287" t="s">
        <v>1</v>
      </c>
      <c r="AO290" s="287" t="s">
        <v>1</v>
      </c>
      <c r="AP290" s="286" t="s">
        <v>1</v>
      </c>
      <c r="AQ290" s="285" t="s">
        <v>1</v>
      </c>
      <c r="AR290" s="289" t="s">
        <v>1</v>
      </c>
      <c r="AS290" s="289" t="s">
        <v>1</v>
      </c>
      <c r="AT290" s="290" t="s">
        <v>1</v>
      </c>
      <c r="AU290" s="287" t="s">
        <v>1</v>
      </c>
      <c r="AV290" s="287" t="s">
        <v>1</v>
      </c>
      <c r="AW290" s="291" t="s">
        <v>1</v>
      </c>
    </row>
    <row r="291" spans="1:49" ht="30.15" customHeight="1" x14ac:dyDescent="0.25">
      <c r="A291" s="213" t="s">
        <v>18</v>
      </c>
      <c r="B291" s="188" t="s">
        <v>1</v>
      </c>
      <c r="C291" s="212" t="s">
        <v>34</v>
      </c>
      <c r="D291" s="190" t="s">
        <v>3</v>
      </c>
      <c r="E291" s="190" t="s">
        <v>472</v>
      </c>
      <c r="F291" s="203"/>
      <c r="G291" s="190" t="s">
        <v>454</v>
      </c>
      <c r="H291" s="192" t="s">
        <v>409</v>
      </c>
      <c r="I291" s="193">
        <v>1789</v>
      </c>
      <c r="J291" s="193">
        <v>1834</v>
      </c>
      <c r="K291" s="193">
        <v>1834</v>
      </c>
      <c r="L291" s="193">
        <v>1930</v>
      </c>
      <c r="M291" s="194">
        <v>1930</v>
      </c>
      <c r="N291" s="284">
        <v>772</v>
      </c>
      <c r="O291" s="285">
        <v>53.42</v>
      </c>
      <c r="P291" s="285">
        <v>24</v>
      </c>
      <c r="Q291" s="285" t="s">
        <v>1</v>
      </c>
      <c r="R291" s="285" t="s">
        <v>1</v>
      </c>
      <c r="S291" s="286">
        <v>772</v>
      </c>
      <c r="T291" s="285">
        <v>53.42</v>
      </c>
      <c r="U291" s="285">
        <v>24</v>
      </c>
      <c r="V291" s="285" t="s">
        <v>1</v>
      </c>
      <c r="W291" s="285" t="s">
        <v>1</v>
      </c>
      <c r="X291" s="286">
        <v>772</v>
      </c>
      <c r="Y291" s="285">
        <v>53.42</v>
      </c>
      <c r="Z291" s="285">
        <v>24</v>
      </c>
      <c r="AA291" s="285" t="s">
        <v>1</v>
      </c>
      <c r="AB291" s="285" t="s">
        <v>1</v>
      </c>
      <c r="AC291" s="286">
        <v>772</v>
      </c>
      <c r="AD291" s="285">
        <v>53.42</v>
      </c>
      <c r="AE291" s="285">
        <v>24</v>
      </c>
      <c r="AF291" s="285" t="s">
        <v>1</v>
      </c>
      <c r="AG291" s="285" t="s">
        <v>1</v>
      </c>
      <c r="AH291" s="286" t="s">
        <v>1</v>
      </c>
      <c r="AI291" s="295" t="s">
        <v>1</v>
      </c>
      <c r="AJ291" s="295" t="s">
        <v>1</v>
      </c>
      <c r="AK291" s="295" t="s">
        <v>1</v>
      </c>
      <c r="AL291" s="302" t="s">
        <v>1</v>
      </c>
      <c r="AM291" s="288" t="s">
        <v>1</v>
      </c>
      <c r="AN291" s="287" t="s">
        <v>1</v>
      </c>
      <c r="AO291" s="287" t="s">
        <v>1</v>
      </c>
      <c r="AP291" s="286" t="s">
        <v>1</v>
      </c>
      <c r="AQ291" s="285" t="s">
        <v>1</v>
      </c>
      <c r="AR291" s="289" t="s">
        <v>1</v>
      </c>
      <c r="AS291" s="289" t="s">
        <v>1</v>
      </c>
      <c r="AT291" s="290" t="s">
        <v>1</v>
      </c>
      <c r="AU291" s="287" t="s">
        <v>1</v>
      </c>
      <c r="AV291" s="287" t="s">
        <v>1</v>
      </c>
      <c r="AW291" s="291" t="s">
        <v>1</v>
      </c>
    </row>
    <row r="292" spans="1:49" ht="30.15" customHeight="1" x14ac:dyDescent="0.25">
      <c r="A292" s="213" t="s">
        <v>18</v>
      </c>
      <c r="B292" s="188" t="s">
        <v>1</v>
      </c>
      <c r="C292" s="212" t="s">
        <v>34</v>
      </c>
      <c r="D292" s="190" t="s">
        <v>3</v>
      </c>
      <c r="E292" s="190" t="s">
        <v>701</v>
      </c>
      <c r="F292" s="203"/>
      <c r="G292" s="190" t="s">
        <v>659</v>
      </c>
      <c r="H292" s="192" t="s">
        <v>409</v>
      </c>
      <c r="I292" s="193">
        <v>1439</v>
      </c>
      <c r="J292" s="193">
        <v>1473</v>
      </c>
      <c r="K292" s="193">
        <v>1473</v>
      </c>
      <c r="L292" s="193">
        <v>1555</v>
      </c>
      <c r="M292" s="194">
        <v>1555</v>
      </c>
      <c r="N292" s="284">
        <v>622</v>
      </c>
      <c r="O292" s="285">
        <v>12.709999999999999</v>
      </c>
      <c r="P292" s="285">
        <v>24</v>
      </c>
      <c r="Q292" s="306">
        <v>290</v>
      </c>
      <c r="R292" s="306" t="s">
        <v>1</v>
      </c>
      <c r="S292" s="286">
        <v>622</v>
      </c>
      <c r="T292" s="285">
        <v>12.709999999999999</v>
      </c>
      <c r="U292" s="285">
        <v>24</v>
      </c>
      <c r="V292" s="306">
        <v>290</v>
      </c>
      <c r="W292" s="306" t="s">
        <v>1</v>
      </c>
      <c r="X292" s="286">
        <v>622</v>
      </c>
      <c r="Y292" s="285">
        <v>14.709999999999999</v>
      </c>
      <c r="Z292" s="285">
        <v>24</v>
      </c>
      <c r="AA292" s="285">
        <v>290</v>
      </c>
      <c r="AB292" s="285" t="s">
        <v>1</v>
      </c>
      <c r="AC292" s="286">
        <v>622</v>
      </c>
      <c r="AD292" s="285">
        <v>14.709999999999999</v>
      </c>
      <c r="AE292" s="285">
        <v>24</v>
      </c>
      <c r="AF292" s="285">
        <v>290</v>
      </c>
      <c r="AG292" s="285" t="s">
        <v>1</v>
      </c>
      <c r="AH292" s="286" t="s">
        <v>1</v>
      </c>
      <c r="AI292" s="295" t="s">
        <v>1</v>
      </c>
      <c r="AJ292" s="295" t="s">
        <v>1</v>
      </c>
      <c r="AK292" s="295" t="s">
        <v>1</v>
      </c>
      <c r="AL292" s="302" t="s">
        <v>1</v>
      </c>
      <c r="AM292" s="288" t="s">
        <v>1</v>
      </c>
      <c r="AN292" s="287" t="s">
        <v>1</v>
      </c>
      <c r="AO292" s="287" t="s">
        <v>1</v>
      </c>
      <c r="AP292" s="286" t="s">
        <v>1</v>
      </c>
      <c r="AQ292" s="285" t="s">
        <v>1</v>
      </c>
      <c r="AR292" s="289" t="s">
        <v>1</v>
      </c>
      <c r="AS292" s="289" t="s">
        <v>1</v>
      </c>
      <c r="AT292" s="290" t="s">
        <v>1</v>
      </c>
      <c r="AU292" s="287" t="s">
        <v>1</v>
      </c>
      <c r="AV292" s="287" t="s">
        <v>1</v>
      </c>
      <c r="AW292" s="291" t="s">
        <v>1</v>
      </c>
    </row>
    <row r="293" spans="1:49" ht="30.15" customHeight="1" x14ac:dyDescent="0.25">
      <c r="A293" s="213" t="s">
        <v>18</v>
      </c>
      <c r="B293" s="188" t="s">
        <v>1</v>
      </c>
      <c r="C293" s="212" t="s">
        <v>34</v>
      </c>
      <c r="D293" s="190" t="s">
        <v>3</v>
      </c>
      <c r="E293" s="190" t="s">
        <v>702</v>
      </c>
      <c r="F293" s="203"/>
      <c r="G293" s="190" t="s">
        <v>659</v>
      </c>
      <c r="H293" s="192" t="s">
        <v>409</v>
      </c>
      <c r="I293" s="193">
        <v>1439</v>
      </c>
      <c r="J293" s="193">
        <v>1473</v>
      </c>
      <c r="K293" s="193">
        <v>1473</v>
      </c>
      <c r="L293" s="193">
        <v>1555</v>
      </c>
      <c r="M293" s="194">
        <v>1555</v>
      </c>
      <c r="N293" s="284">
        <v>622</v>
      </c>
      <c r="O293" s="285">
        <v>12.709999999999999</v>
      </c>
      <c r="P293" s="285">
        <v>24</v>
      </c>
      <c r="Q293" s="306">
        <v>290</v>
      </c>
      <c r="R293" s="306" t="s">
        <v>1</v>
      </c>
      <c r="S293" s="286">
        <v>622</v>
      </c>
      <c r="T293" s="285">
        <v>12.709999999999999</v>
      </c>
      <c r="U293" s="285">
        <v>24</v>
      </c>
      <c r="V293" s="306">
        <v>290</v>
      </c>
      <c r="W293" s="306" t="s">
        <v>1</v>
      </c>
      <c r="X293" s="286">
        <v>622</v>
      </c>
      <c r="Y293" s="285">
        <v>14.709999999999999</v>
      </c>
      <c r="Z293" s="285">
        <v>24</v>
      </c>
      <c r="AA293" s="285">
        <v>290</v>
      </c>
      <c r="AB293" s="285" t="s">
        <v>1</v>
      </c>
      <c r="AC293" s="286">
        <v>622</v>
      </c>
      <c r="AD293" s="285">
        <v>14.709999999999999</v>
      </c>
      <c r="AE293" s="285">
        <v>24</v>
      </c>
      <c r="AF293" s="285">
        <v>290</v>
      </c>
      <c r="AG293" s="285" t="s">
        <v>1</v>
      </c>
      <c r="AH293" s="286" t="s">
        <v>1</v>
      </c>
      <c r="AI293" s="295" t="s">
        <v>1</v>
      </c>
      <c r="AJ293" s="295" t="s">
        <v>1</v>
      </c>
      <c r="AK293" s="295" t="s">
        <v>1</v>
      </c>
      <c r="AL293" s="302" t="s">
        <v>1</v>
      </c>
      <c r="AM293" s="288" t="s">
        <v>1</v>
      </c>
      <c r="AN293" s="287" t="s">
        <v>1</v>
      </c>
      <c r="AO293" s="287" t="s">
        <v>1</v>
      </c>
      <c r="AP293" s="286" t="s">
        <v>1</v>
      </c>
      <c r="AQ293" s="285" t="s">
        <v>1</v>
      </c>
      <c r="AR293" s="289" t="s">
        <v>1</v>
      </c>
      <c r="AS293" s="289" t="s">
        <v>1</v>
      </c>
      <c r="AT293" s="290" t="s">
        <v>1</v>
      </c>
      <c r="AU293" s="287" t="s">
        <v>1</v>
      </c>
      <c r="AV293" s="287" t="s">
        <v>1</v>
      </c>
      <c r="AW293" s="291" t="s">
        <v>1</v>
      </c>
    </row>
    <row r="294" spans="1:49" ht="30.15" customHeight="1" x14ac:dyDescent="0.25">
      <c r="A294" s="213" t="s">
        <v>18</v>
      </c>
      <c r="B294" s="188" t="s">
        <v>1</v>
      </c>
      <c r="C294" s="212" t="s">
        <v>34</v>
      </c>
      <c r="D294" s="190" t="s">
        <v>3</v>
      </c>
      <c r="E294" s="190" t="s">
        <v>703</v>
      </c>
      <c r="F294" s="203"/>
      <c r="G294" s="190" t="s">
        <v>659</v>
      </c>
      <c r="H294" s="192" t="s">
        <v>409</v>
      </c>
      <c r="I294" s="193">
        <v>1439</v>
      </c>
      <c r="J294" s="193">
        <v>1473</v>
      </c>
      <c r="K294" s="193">
        <v>1473</v>
      </c>
      <c r="L294" s="193">
        <v>1555</v>
      </c>
      <c r="M294" s="194">
        <v>1555</v>
      </c>
      <c r="N294" s="284">
        <v>622</v>
      </c>
      <c r="O294" s="285">
        <v>12.709999999999999</v>
      </c>
      <c r="P294" s="285">
        <v>24</v>
      </c>
      <c r="Q294" s="306">
        <v>290</v>
      </c>
      <c r="R294" s="306" t="s">
        <v>1</v>
      </c>
      <c r="S294" s="286">
        <v>622</v>
      </c>
      <c r="T294" s="285">
        <v>12.709999999999999</v>
      </c>
      <c r="U294" s="285">
        <v>24</v>
      </c>
      <c r="V294" s="306">
        <v>290</v>
      </c>
      <c r="W294" s="306" t="s">
        <v>1</v>
      </c>
      <c r="X294" s="286">
        <v>622</v>
      </c>
      <c r="Y294" s="285">
        <v>14.709999999999999</v>
      </c>
      <c r="Z294" s="285">
        <v>24</v>
      </c>
      <c r="AA294" s="285">
        <v>290</v>
      </c>
      <c r="AB294" s="285" t="s">
        <v>1</v>
      </c>
      <c r="AC294" s="286">
        <v>622</v>
      </c>
      <c r="AD294" s="285">
        <v>14.709999999999999</v>
      </c>
      <c r="AE294" s="285">
        <v>24</v>
      </c>
      <c r="AF294" s="285">
        <v>290</v>
      </c>
      <c r="AG294" s="285" t="s">
        <v>1</v>
      </c>
      <c r="AH294" s="286" t="s">
        <v>1</v>
      </c>
      <c r="AI294" s="295" t="s">
        <v>1</v>
      </c>
      <c r="AJ294" s="295" t="s">
        <v>1</v>
      </c>
      <c r="AK294" s="295" t="s">
        <v>1</v>
      </c>
      <c r="AL294" s="302" t="s">
        <v>1</v>
      </c>
      <c r="AM294" s="288" t="s">
        <v>1</v>
      </c>
      <c r="AN294" s="287" t="s">
        <v>1</v>
      </c>
      <c r="AO294" s="287" t="s">
        <v>1</v>
      </c>
      <c r="AP294" s="286" t="s">
        <v>1</v>
      </c>
      <c r="AQ294" s="285" t="s">
        <v>1</v>
      </c>
      <c r="AR294" s="289" t="s">
        <v>1</v>
      </c>
      <c r="AS294" s="289" t="s">
        <v>1</v>
      </c>
      <c r="AT294" s="290" t="s">
        <v>1</v>
      </c>
      <c r="AU294" s="287" t="s">
        <v>1</v>
      </c>
      <c r="AV294" s="287" t="s">
        <v>1</v>
      </c>
      <c r="AW294" s="291" t="s">
        <v>1</v>
      </c>
    </row>
    <row r="295" spans="1:49" ht="30.15" customHeight="1" x14ac:dyDescent="0.25">
      <c r="A295" s="213" t="s">
        <v>18</v>
      </c>
      <c r="B295" s="188" t="s">
        <v>1</v>
      </c>
      <c r="C295" s="212" t="s">
        <v>34</v>
      </c>
      <c r="D295" s="190" t="s">
        <v>3</v>
      </c>
      <c r="E295" s="190" t="s">
        <v>704</v>
      </c>
      <c r="F295" s="203"/>
      <c r="G295" s="190" t="s">
        <v>659</v>
      </c>
      <c r="H295" s="192" t="s">
        <v>409</v>
      </c>
      <c r="I295" s="193">
        <v>1439</v>
      </c>
      <c r="J295" s="193">
        <v>1473</v>
      </c>
      <c r="K295" s="193">
        <v>1473</v>
      </c>
      <c r="L295" s="193">
        <v>1555</v>
      </c>
      <c r="M295" s="194">
        <v>1555</v>
      </c>
      <c r="N295" s="284">
        <v>622</v>
      </c>
      <c r="O295" s="285">
        <v>12.709999999999999</v>
      </c>
      <c r="P295" s="285">
        <v>24</v>
      </c>
      <c r="Q295" s="306">
        <v>290</v>
      </c>
      <c r="R295" s="306" t="s">
        <v>1</v>
      </c>
      <c r="S295" s="286">
        <v>622</v>
      </c>
      <c r="T295" s="285">
        <v>12.709999999999999</v>
      </c>
      <c r="U295" s="285">
        <v>24</v>
      </c>
      <c r="V295" s="306">
        <v>290</v>
      </c>
      <c r="W295" s="306" t="s">
        <v>1</v>
      </c>
      <c r="X295" s="286">
        <v>622</v>
      </c>
      <c r="Y295" s="285">
        <v>14.709999999999999</v>
      </c>
      <c r="Z295" s="285">
        <v>24</v>
      </c>
      <c r="AA295" s="285">
        <v>290</v>
      </c>
      <c r="AB295" s="285" t="s">
        <v>1</v>
      </c>
      <c r="AC295" s="286">
        <v>622</v>
      </c>
      <c r="AD295" s="285">
        <v>14.709999999999999</v>
      </c>
      <c r="AE295" s="285">
        <v>24</v>
      </c>
      <c r="AF295" s="285">
        <v>290</v>
      </c>
      <c r="AG295" s="285" t="s">
        <v>1</v>
      </c>
      <c r="AH295" s="286" t="s">
        <v>1</v>
      </c>
      <c r="AI295" s="295" t="s">
        <v>1</v>
      </c>
      <c r="AJ295" s="295" t="s">
        <v>1</v>
      </c>
      <c r="AK295" s="295" t="s">
        <v>1</v>
      </c>
      <c r="AL295" s="302" t="s">
        <v>1</v>
      </c>
      <c r="AM295" s="288" t="s">
        <v>1</v>
      </c>
      <c r="AN295" s="287" t="s">
        <v>1</v>
      </c>
      <c r="AO295" s="287" t="s">
        <v>1</v>
      </c>
      <c r="AP295" s="286" t="s">
        <v>1</v>
      </c>
      <c r="AQ295" s="285" t="s">
        <v>1</v>
      </c>
      <c r="AR295" s="289" t="s">
        <v>1</v>
      </c>
      <c r="AS295" s="289" t="s">
        <v>1</v>
      </c>
      <c r="AT295" s="290" t="s">
        <v>1</v>
      </c>
      <c r="AU295" s="287" t="s">
        <v>1</v>
      </c>
      <c r="AV295" s="287" t="s">
        <v>1</v>
      </c>
      <c r="AW295" s="291" t="s">
        <v>1</v>
      </c>
    </row>
    <row r="296" spans="1:49" ht="30.15" customHeight="1" x14ac:dyDescent="0.25">
      <c r="A296" s="213" t="s">
        <v>18</v>
      </c>
      <c r="B296" s="188" t="s">
        <v>1</v>
      </c>
      <c r="C296" s="212" t="s">
        <v>34</v>
      </c>
      <c r="D296" s="190" t="s">
        <v>3</v>
      </c>
      <c r="E296" s="190" t="s">
        <v>697</v>
      </c>
      <c r="F296" s="203"/>
      <c r="G296" s="190" t="s">
        <v>660</v>
      </c>
      <c r="H296" s="192" t="s">
        <v>409</v>
      </c>
      <c r="I296" s="193">
        <v>1639</v>
      </c>
      <c r="J296" s="193">
        <v>1682</v>
      </c>
      <c r="K296" s="193">
        <v>1682</v>
      </c>
      <c r="L296" s="193">
        <v>1775</v>
      </c>
      <c r="M296" s="194">
        <v>1775</v>
      </c>
      <c r="N296" s="284">
        <v>710</v>
      </c>
      <c r="O296" s="285">
        <v>12.709999999999999</v>
      </c>
      <c r="P296" s="285">
        <v>24</v>
      </c>
      <c r="Q296" s="306">
        <v>330</v>
      </c>
      <c r="R296" s="306" t="s">
        <v>1</v>
      </c>
      <c r="S296" s="286">
        <v>710</v>
      </c>
      <c r="T296" s="285">
        <v>12.709999999999999</v>
      </c>
      <c r="U296" s="285">
        <v>24</v>
      </c>
      <c r="V296" s="306">
        <v>330</v>
      </c>
      <c r="W296" s="306" t="s">
        <v>1</v>
      </c>
      <c r="X296" s="286">
        <v>710</v>
      </c>
      <c r="Y296" s="285">
        <v>14.709999999999999</v>
      </c>
      <c r="Z296" s="285">
        <v>24</v>
      </c>
      <c r="AA296" s="285">
        <v>330</v>
      </c>
      <c r="AB296" s="285" t="s">
        <v>1</v>
      </c>
      <c r="AC296" s="286">
        <v>710</v>
      </c>
      <c r="AD296" s="285">
        <v>14.709999999999999</v>
      </c>
      <c r="AE296" s="285">
        <v>24</v>
      </c>
      <c r="AF296" s="285">
        <v>330</v>
      </c>
      <c r="AG296" s="285" t="s">
        <v>1</v>
      </c>
      <c r="AH296" s="286" t="s">
        <v>1</v>
      </c>
      <c r="AI296" s="295" t="s">
        <v>1</v>
      </c>
      <c r="AJ296" s="295" t="s">
        <v>1</v>
      </c>
      <c r="AK296" s="295" t="s">
        <v>1</v>
      </c>
      <c r="AL296" s="302" t="s">
        <v>1</v>
      </c>
      <c r="AM296" s="288" t="s">
        <v>1</v>
      </c>
      <c r="AN296" s="287" t="s">
        <v>1</v>
      </c>
      <c r="AO296" s="287" t="s">
        <v>1</v>
      </c>
      <c r="AP296" s="286" t="s">
        <v>1</v>
      </c>
      <c r="AQ296" s="285" t="s">
        <v>1</v>
      </c>
      <c r="AR296" s="289" t="s">
        <v>1</v>
      </c>
      <c r="AS296" s="289" t="s">
        <v>1</v>
      </c>
      <c r="AT296" s="290" t="s">
        <v>1</v>
      </c>
      <c r="AU296" s="287" t="s">
        <v>1</v>
      </c>
      <c r="AV296" s="287" t="s">
        <v>1</v>
      </c>
      <c r="AW296" s="291" t="s">
        <v>1</v>
      </c>
    </row>
    <row r="297" spans="1:49" ht="30.15" customHeight="1" x14ac:dyDescent="0.25">
      <c r="A297" s="213" t="s">
        <v>18</v>
      </c>
      <c r="B297" s="188" t="s">
        <v>1</v>
      </c>
      <c r="C297" s="212" t="s">
        <v>34</v>
      </c>
      <c r="D297" s="190" t="s">
        <v>3</v>
      </c>
      <c r="E297" s="190" t="s">
        <v>698</v>
      </c>
      <c r="F297" s="203"/>
      <c r="G297" s="190" t="s">
        <v>660</v>
      </c>
      <c r="H297" s="192" t="s">
        <v>409</v>
      </c>
      <c r="I297" s="193">
        <v>1639</v>
      </c>
      <c r="J297" s="193">
        <v>1682</v>
      </c>
      <c r="K297" s="193">
        <v>1682</v>
      </c>
      <c r="L297" s="193">
        <v>1775</v>
      </c>
      <c r="M297" s="194">
        <v>1775</v>
      </c>
      <c r="N297" s="284">
        <v>710</v>
      </c>
      <c r="O297" s="285">
        <v>12.709999999999999</v>
      </c>
      <c r="P297" s="285">
        <v>24</v>
      </c>
      <c r="Q297" s="306">
        <v>330</v>
      </c>
      <c r="R297" s="306" t="s">
        <v>1</v>
      </c>
      <c r="S297" s="286">
        <v>710</v>
      </c>
      <c r="T297" s="285">
        <v>12.709999999999999</v>
      </c>
      <c r="U297" s="285">
        <v>24</v>
      </c>
      <c r="V297" s="306">
        <v>330</v>
      </c>
      <c r="W297" s="306" t="s">
        <v>1</v>
      </c>
      <c r="X297" s="286">
        <v>710</v>
      </c>
      <c r="Y297" s="285">
        <v>14.709999999999999</v>
      </c>
      <c r="Z297" s="285">
        <v>24</v>
      </c>
      <c r="AA297" s="285">
        <v>330</v>
      </c>
      <c r="AB297" s="285" t="s">
        <v>1</v>
      </c>
      <c r="AC297" s="286">
        <v>710</v>
      </c>
      <c r="AD297" s="285">
        <v>14.709999999999999</v>
      </c>
      <c r="AE297" s="285">
        <v>24</v>
      </c>
      <c r="AF297" s="285">
        <v>330</v>
      </c>
      <c r="AG297" s="285" t="s">
        <v>1</v>
      </c>
      <c r="AH297" s="286" t="s">
        <v>1</v>
      </c>
      <c r="AI297" s="295" t="s">
        <v>1</v>
      </c>
      <c r="AJ297" s="295" t="s">
        <v>1</v>
      </c>
      <c r="AK297" s="295" t="s">
        <v>1</v>
      </c>
      <c r="AL297" s="302" t="s">
        <v>1</v>
      </c>
      <c r="AM297" s="288" t="s">
        <v>1</v>
      </c>
      <c r="AN297" s="287" t="s">
        <v>1</v>
      </c>
      <c r="AO297" s="287" t="s">
        <v>1</v>
      </c>
      <c r="AP297" s="286" t="s">
        <v>1</v>
      </c>
      <c r="AQ297" s="285" t="s">
        <v>1</v>
      </c>
      <c r="AR297" s="289" t="s">
        <v>1</v>
      </c>
      <c r="AS297" s="289" t="s">
        <v>1</v>
      </c>
      <c r="AT297" s="290" t="s">
        <v>1</v>
      </c>
      <c r="AU297" s="287" t="s">
        <v>1</v>
      </c>
      <c r="AV297" s="287" t="s">
        <v>1</v>
      </c>
      <c r="AW297" s="291" t="s">
        <v>1</v>
      </c>
    </row>
    <row r="298" spans="1:49" ht="30.15" customHeight="1" x14ac:dyDescent="0.25">
      <c r="A298" s="213" t="s">
        <v>18</v>
      </c>
      <c r="B298" s="188" t="s">
        <v>1</v>
      </c>
      <c r="C298" s="212" t="s">
        <v>34</v>
      </c>
      <c r="D298" s="190" t="s">
        <v>3</v>
      </c>
      <c r="E298" s="190" t="s">
        <v>699</v>
      </c>
      <c r="F298" s="203"/>
      <c r="G298" s="190" t="s">
        <v>660</v>
      </c>
      <c r="H298" s="192" t="s">
        <v>409</v>
      </c>
      <c r="I298" s="193">
        <v>1639</v>
      </c>
      <c r="J298" s="193">
        <v>1682</v>
      </c>
      <c r="K298" s="193">
        <v>1682</v>
      </c>
      <c r="L298" s="193">
        <v>1775</v>
      </c>
      <c r="M298" s="194">
        <v>1775</v>
      </c>
      <c r="N298" s="284">
        <v>710</v>
      </c>
      <c r="O298" s="285">
        <v>12.709999999999999</v>
      </c>
      <c r="P298" s="285">
        <v>24</v>
      </c>
      <c r="Q298" s="306">
        <v>330</v>
      </c>
      <c r="R298" s="306" t="s">
        <v>1</v>
      </c>
      <c r="S298" s="286">
        <v>710</v>
      </c>
      <c r="T298" s="285">
        <v>12.709999999999999</v>
      </c>
      <c r="U298" s="285">
        <v>24</v>
      </c>
      <c r="V298" s="306">
        <v>330</v>
      </c>
      <c r="W298" s="306" t="s">
        <v>1</v>
      </c>
      <c r="X298" s="286">
        <v>710</v>
      </c>
      <c r="Y298" s="285">
        <v>14.709999999999999</v>
      </c>
      <c r="Z298" s="285">
        <v>24</v>
      </c>
      <c r="AA298" s="285">
        <v>330</v>
      </c>
      <c r="AB298" s="285" t="s">
        <v>1</v>
      </c>
      <c r="AC298" s="286">
        <v>710</v>
      </c>
      <c r="AD298" s="285">
        <v>14.709999999999999</v>
      </c>
      <c r="AE298" s="285">
        <v>24</v>
      </c>
      <c r="AF298" s="285">
        <v>330</v>
      </c>
      <c r="AG298" s="285" t="s">
        <v>1</v>
      </c>
      <c r="AH298" s="286" t="s">
        <v>1</v>
      </c>
      <c r="AI298" s="295" t="s">
        <v>1</v>
      </c>
      <c r="AJ298" s="295" t="s">
        <v>1</v>
      </c>
      <c r="AK298" s="295" t="s">
        <v>1</v>
      </c>
      <c r="AL298" s="302" t="s">
        <v>1</v>
      </c>
      <c r="AM298" s="288" t="s">
        <v>1</v>
      </c>
      <c r="AN298" s="287" t="s">
        <v>1</v>
      </c>
      <c r="AO298" s="287" t="s">
        <v>1</v>
      </c>
      <c r="AP298" s="286" t="s">
        <v>1</v>
      </c>
      <c r="AQ298" s="285" t="s">
        <v>1</v>
      </c>
      <c r="AR298" s="289" t="s">
        <v>1</v>
      </c>
      <c r="AS298" s="289" t="s">
        <v>1</v>
      </c>
      <c r="AT298" s="290" t="s">
        <v>1</v>
      </c>
      <c r="AU298" s="287" t="s">
        <v>1</v>
      </c>
      <c r="AV298" s="287" t="s">
        <v>1</v>
      </c>
      <c r="AW298" s="291" t="s">
        <v>1</v>
      </c>
    </row>
    <row r="299" spans="1:49" ht="30.15" customHeight="1" x14ac:dyDescent="0.25">
      <c r="A299" s="213" t="s">
        <v>18</v>
      </c>
      <c r="B299" s="188" t="s">
        <v>1</v>
      </c>
      <c r="C299" s="212" t="s">
        <v>34</v>
      </c>
      <c r="D299" s="190" t="s">
        <v>3</v>
      </c>
      <c r="E299" s="190" t="s">
        <v>700</v>
      </c>
      <c r="F299" s="203"/>
      <c r="G299" s="190" t="s">
        <v>660</v>
      </c>
      <c r="H299" s="192" t="s">
        <v>409</v>
      </c>
      <c r="I299" s="193">
        <v>1639</v>
      </c>
      <c r="J299" s="193">
        <v>1682</v>
      </c>
      <c r="K299" s="193">
        <v>1682</v>
      </c>
      <c r="L299" s="193">
        <v>1775</v>
      </c>
      <c r="M299" s="194">
        <v>1775</v>
      </c>
      <c r="N299" s="284">
        <v>710</v>
      </c>
      <c r="O299" s="285">
        <v>12.709999999999999</v>
      </c>
      <c r="P299" s="285">
        <v>24</v>
      </c>
      <c r="Q299" s="306">
        <v>330</v>
      </c>
      <c r="R299" s="306" t="s">
        <v>1</v>
      </c>
      <c r="S299" s="286">
        <v>710</v>
      </c>
      <c r="T299" s="285">
        <v>12.709999999999999</v>
      </c>
      <c r="U299" s="285">
        <v>24</v>
      </c>
      <c r="V299" s="306">
        <v>330</v>
      </c>
      <c r="W299" s="306" t="s">
        <v>1</v>
      </c>
      <c r="X299" s="286">
        <v>710</v>
      </c>
      <c r="Y299" s="285">
        <v>14.709999999999999</v>
      </c>
      <c r="Z299" s="285">
        <v>24</v>
      </c>
      <c r="AA299" s="285">
        <v>330</v>
      </c>
      <c r="AB299" s="285" t="s">
        <v>1</v>
      </c>
      <c r="AC299" s="286">
        <v>710</v>
      </c>
      <c r="AD299" s="285">
        <v>14.709999999999999</v>
      </c>
      <c r="AE299" s="285">
        <v>24</v>
      </c>
      <c r="AF299" s="285">
        <v>330</v>
      </c>
      <c r="AG299" s="285" t="s">
        <v>1</v>
      </c>
      <c r="AH299" s="286" t="s">
        <v>1</v>
      </c>
      <c r="AI299" s="295" t="s">
        <v>1</v>
      </c>
      <c r="AJ299" s="295" t="s">
        <v>1</v>
      </c>
      <c r="AK299" s="295" t="s">
        <v>1</v>
      </c>
      <c r="AL299" s="302" t="s">
        <v>1</v>
      </c>
      <c r="AM299" s="288" t="s">
        <v>1</v>
      </c>
      <c r="AN299" s="287" t="s">
        <v>1</v>
      </c>
      <c r="AO299" s="287" t="s">
        <v>1</v>
      </c>
      <c r="AP299" s="286" t="s">
        <v>1</v>
      </c>
      <c r="AQ299" s="285" t="s">
        <v>1</v>
      </c>
      <c r="AR299" s="289" t="s">
        <v>1</v>
      </c>
      <c r="AS299" s="289" t="s">
        <v>1</v>
      </c>
      <c r="AT299" s="290" t="s">
        <v>1</v>
      </c>
      <c r="AU299" s="287" t="s">
        <v>1</v>
      </c>
      <c r="AV299" s="287" t="s">
        <v>1</v>
      </c>
      <c r="AW299" s="291" t="s">
        <v>1</v>
      </c>
    </row>
    <row r="300" spans="1:49" ht="30.15" customHeight="1" x14ac:dyDescent="0.25">
      <c r="A300" s="213" t="s">
        <v>18</v>
      </c>
      <c r="B300" s="188" t="s">
        <v>1</v>
      </c>
      <c r="C300" s="212" t="s">
        <v>34</v>
      </c>
      <c r="D300" s="190" t="s">
        <v>3</v>
      </c>
      <c r="E300" s="190" t="s">
        <v>693</v>
      </c>
      <c r="F300" s="203"/>
      <c r="G300" s="190" t="s">
        <v>661</v>
      </c>
      <c r="H300" s="192" t="s">
        <v>409</v>
      </c>
      <c r="I300" s="193">
        <v>1909</v>
      </c>
      <c r="J300" s="193">
        <v>1957</v>
      </c>
      <c r="K300" s="193">
        <v>1957</v>
      </c>
      <c r="L300" s="193">
        <v>2065</v>
      </c>
      <c r="M300" s="194">
        <v>2065</v>
      </c>
      <c r="N300" s="284">
        <v>826</v>
      </c>
      <c r="O300" s="285">
        <v>12.709999999999999</v>
      </c>
      <c r="P300" s="285">
        <v>24</v>
      </c>
      <c r="Q300" s="306">
        <v>390</v>
      </c>
      <c r="R300" s="306" t="s">
        <v>1</v>
      </c>
      <c r="S300" s="286">
        <v>826</v>
      </c>
      <c r="T300" s="285">
        <v>12.709999999999999</v>
      </c>
      <c r="U300" s="285">
        <v>24</v>
      </c>
      <c r="V300" s="306">
        <v>390</v>
      </c>
      <c r="W300" s="306" t="s">
        <v>1</v>
      </c>
      <c r="X300" s="286">
        <v>826</v>
      </c>
      <c r="Y300" s="285">
        <v>14.709999999999999</v>
      </c>
      <c r="Z300" s="285">
        <v>24</v>
      </c>
      <c r="AA300" s="285">
        <v>390</v>
      </c>
      <c r="AB300" s="285" t="s">
        <v>1</v>
      </c>
      <c r="AC300" s="286">
        <v>826</v>
      </c>
      <c r="AD300" s="285">
        <v>14.709999999999999</v>
      </c>
      <c r="AE300" s="285">
        <v>24</v>
      </c>
      <c r="AF300" s="285">
        <v>390</v>
      </c>
      <c r="AG300" s="285" t="s">
        <v>1</v>
      </c>
      <c r="AH300" s="286" t="s">
        <v>1</v>
      </c>
      <c r="AI300" s="295" t="s">
        <v>1</v>
      </c>
      <c r="AJ300" s="295" t="s">
        <v>1</v>
      </c>
      <c r="AK300" s="295" t="s">
        <v>1</v>
      </c>
      <c r="AL300" s="302" t="s">
        <v>1</v>
      </c>
      <c r="AM300" s="288" t="s">
        <v>1</v>
      </c>
      <c r="AN300" s="287" t="s">
        <v>1</v>
      </c>
      <c r="AO300" s="287" t="s">
        <v>1</v>
      </c>
      <c r="AP300" s="286" t="s">
        <v>1</v>
      </c>
      <c r="AQ300" s="285" t="s">
        <v>1</v>
      </c>
      <c r="AR300" s="289" t="s">
        <v>1</v>
      </c>
      <c r="AS300" s="289" t="s">
        <v>1</v>
      </c>
      <c r="AT300" s="290" t="s">
        <v>1</v>
      </c>
      <c r="AU300" s="287" t="s">
        <v>1</v>
      </c>
      <c r="AV300" s="287" t="s">
        <v>1</v>
      </c>
      <c r="AW300" s="291" t="s">
        <v>1</v>
      </c>
    </row>
    <row r="301" spans="1:49" ht="30.15" customHeight="1" x14ac:dyDescent="0.25">
      <c r="A301" s="213" t="s">
        <v>18</v>
      </c>
      <c r="B301" s="188" t="s">
        <v>1</v>
      </c>
      <c r="C301" s="212" t="s">
        <v>34</v>
      </c>
      <c r="D301" s="190" t="s">
        <v>3</v>
      </c>
      <c r="E301" s="190" t="s">
        <v>694</v>
      </c>
      <c r="F301" s="203"/>
      <c r="G301" s="190" t="s">
        <v>661</v>
      </c>
      <c r="H301" s="192" t="s">
        <v>409</v>
      </c>
      <c r="I301" s="193">
        <v>1909</v>
      </c>
      <c r="J301" s="193">
        <v>1957</v>
      </c>
      <c r="K301" s="193">
        <v>1957</v>
      </c>
      <c r="L301" s="193">
        <v>2065</v>
      </c>
      <c r="M301" s="194">
        <v>2065</v>
      </c>
      <c r="N301" s="284">
        <v>826</v>
      </c>
      <c r="O301" s="285">
        <v>12.709999999999999</v>
      </c>
      <c r="P301" s="285">
        <v>24</v>
      </c>
      <c r="Q301" s="306">
        <v>390</v>
      </c>
      <c r="R301" s="306" t="s">
        <v>1</v>
      </c>
      <c r="S301" s="286">
        <v>826</v>
      </c>
      <c r="T301" s="285">
        <v>12.709999999999999</v>
      </c>
      <c r="U301" s="285">
        <v>24</v>
      </c>
      <c r="V301" s="306">
        <v>390</v>
      </c>
      <c r="W301" s="306" t="s">
        <v>1</v>
      </c>
      <c r="X301" s="286">
        <v>826</v>
      </c>
      <c r="Y301" s="285">
        <v>14.709999999999999</v>
      </c>
      <c r="Z301" s="285">
        <v>24</v>
      </c>
      <c r="AA301" s="285">
        <v>390</v>
      </c>
      <c r="AB301" s="285" t="s">
        <v>1</v>
      </c>
      <c r="AC301" s="286">
        <v>826</v>
      </c>
      <c r="AD301" s="285">
        <v>14.709999999999999</v>
      </c>
      <c r="AE301" s="285">
        <v>24</v>
      </c>
      <c r="AF301" s="285">
        <v>390</v>
      </c>
      <c r="AG301" s="285" t="s">
        <v>1</v>
      </c>
      <c r="AH301" s="286" t="s">
        <v>1</v>
      </c>
      <c r="AI301" s="295" t="s">
        <v>1</v>
      </c>
      <c r="AJ301" s="295" t="s">
        <v>1</v>
      </c>
      <c r="AK301" s="295" t="s">
        <v>1</v>
      </c>
      <c r="AL301" s="302" t="s">
        <v>1</v>
      </c>
      <c r="AM301" s="288" t="s">
        <v>1</v>
      </c>
      <c r="AN301" s="287" t="s">
        <v>1</v>
      </c>
      <c r="AO301" s="287" t="s">
        <v>1</v>
      </c>
      <c r="AP301" s="286" t="s">
        <v>1</v>
      </c>
      <c r="AQ301" s="285" t="s">
        <v>1</v>
      </c>
      <c r="AR301" s="289" t="s">
        <v>1</v>
      </c>
      <c r="AS301" s="289" t="s">
        <v>1</v>
      </c>
      <c r="AT301" s="290" t="s">
        <v>1</v>
      </c>
      <c r="AU301" s="287" t="s">
        <v>1</v>
      </c>
      <c r="AV301" s="287" t="s">
        <v>1</v>
      </c>
      <c r="AW301" s="291" t="s">
        <v>1</v>
      </c>
    </row>
    <row r="302" spans="1:49" ht="30.15" customHeight="1" x14ac:dyDescent="0.25">
      <c r="A302" s="213" t="s">
        <v>18</v>
      </c>
      <c r="B302" s="188" t="s">
        <v>1</v>
      </c>
      <c r="C302" s="212" t="s">
        <v>34</v>
      </c>
      <c r="D302" s="190" t="s">
        <v>3</v>
      </c>
      <c r="E302" s="190" t="s">
        <v>695</v>
      </c>
      <c r="F302" s="203"/>
      <c r="G302" s="190" t="s">
        <v>661</v>
      </c>
      <c r="H302" s="192" t="s">
        <v>409</v>
      </c>
      <c r="I302" s="193">
        <v>1909</v>
      </c>
      <c r="J302" s="193">
        <v>1957</v>
      </c>
      <c r="K302" s="193">
        <v>1957</v>
      </c>
      <c r="L302" s="193">
        <v>2065</v>
      </c>
      <c r="M302" s="194">
        <v>2065</v>
      </c>
      <c r="N302" s="284">
        <v>826</v>
      </c>
      <c r="O302" s="285">
        <v>12.709999999999999</v>
      </c>
      <c r="P302" s="285">
        <v>24</v>
      </c>
      <c r="Q302" s="306">
        <v>390</v>
      </c>
      <c r="R302" s="306" t="s">
        <v>1</v>
      </c>
      <c r="S302" s="286">
        <v>826</v>
      </c>
      <c r="T302" s="285">
        <v>12.709999999999999</v>
      </c>
      <c r="U302" s="285">
        <v>24</v>
      </c>
      <c r="V302" s="306">
        <v>390</v>
      </c>
      <c r="W302" s="306" t="s">
        <v>1</v>
      </c>
      <c r="X302" s="286">
        <v>826</v>
      </c>
      <c r="Y302" s="285">
        <v>14.709999999999999</v>
      </c>
      <c r="Z302" s="285">
        <v>24</v>
      </c>
      <c r="AA302" s="285">
        <v>390</v>
      </c>
      <c r="AB302" s="285" t="s">
        <v>1</v>
      </c>
      <c r="AC302" s="286">
        <v>826</v>
      </c>
      <c r="AD302" s="285">
        <v>14.709999999999999</v>
      </c>
      <c r="AE302" s="285">
        <v>24</v>
      </c>
      <c r="AF302" s="285">
        <v>390</v>
      </c>
      <c r="AG302" s="285" t="s">
        <v>1</v>
      </c>
      <c r="AH302" s="286" t="s">
        <v>1</v>
      </c>
      <c r="AI302" s="295" t="s">
        <v>1</v>
      </c>
      <c r="AJ302" s="295" t="s">
        <v>1</v>
      </c>
      <c r="AK302" s="295" t="s">
        <v>1</v>
      </c>
      <c r="AL302" s="302" t="s">
        <v>1</v>
      </c>
      <c r="AM302" s="288" t="s">
        <v>1</v>
      </c>
      <c r="AN302" s="287" t="s">
        <v>1</v>
      </c>
      <c r="AO302" s="287" t="s">
        <v>1</v>
      </c>
      <c r="AP302" s="286" t="s">
        <v>1</v>
      </c>
      <c r="AQ302" s="285" t="s">
        <v>1</v>
      </c>
      <c r="AR302" s="289" t="s">
        <v>1</v>
      </c>
      <c r="AS302" s="289" t="s">
        <v>1</v>
      </c>
      <c r="AT302" s="290" t="s">
        <v>1</v>
      </c>
      <c r="AU302" s="287" t="s">
        <v>1</v>
      </c>
      <c r="AV302" s="287" t="s">
        <v>1</v>
      </c>
      <c r="AW302" s="291" t="s">
        <v>1</v>
      </c>
    </row>
    <row r="303" spans="1:49" ht="30.15" customHeight="1" x14ac:dyDescent="0.25">
      <c r="A303" s="213" t="s">
        <v>18</v>
      </c>
      <c r="B303" s="188" t="s">
        <v>1</v>
      </c>
      <c r="C303" s="212" t="s">
        <v>34</v>
      </c>
      <c r="D303" s="190" t="s">
        <v>3</v>
      </c>
      <c r="E303" s="190" t="s">
        <v>696</v>
      </c>
      <c r="F303" s="203"/>
      <c r="G303" s="190" t="s">
        <v>661</v>
      </c>
      <c r="H303" s="192" t="s">
        <v>409</v>
      </c>
      <c r="I303" s="193">
        <v>1909</v>
      </c>
      <c r="J303" s="193">
        <v>1957</v>
      </c>
      <c r="K303" s="193">
        <v>1957</v>
      </c>
      <c r="L303" s="193">
        <v>2065</v>
      </c>
      <c r="M303" s="194">
        <v>2065</v>
      </c>
      <c r="N303" s="284">
        <v>826</v>
      </c>
      <c r="O303" s="285">
        <v>12.709999999999999</v>
      </c>
      <c r="P303" s="285">
        <v>24</v>
      </c>
      <c r="Q303" s="306">
        <v>390</v>
      </c>
      <c r="R303" s="306" t="s">
        <v>1</v>
      </c>
      <c r="S303" s="286">
        <v>826</v>
      </c>
      <c r="T303" s="285">
        <v>12.709999999999999</v>
      </c>
      <c r="U303" s="285">
        <v>24</v>
      </c>
      <c r="V303" s="306">
        <v>390</v>
      </c>
      <c r="W303" s="306" t="s">
        <v>1</v>
      </c>
      <c r="X303" s="286">
        <v>826</v>
      </c>
      <c r="Y303" s="285">
        <v>14.709999999999999</v>
      </c>
      <c r="Z303" s="285">
        <v>24</v>
      </c>
      <c r="AA303" s="285">
        <v>390</v>
      </c>
      <c r="AB303" s="285" t="s">
        <v>1</v>
      </c>
      <c r="AC303" s="286">
        <v>826</v>
      </c>
      <c r="AD303" s="285">
        <v>14.709999999999999</v>
      </c>
      <c r="AE303" s="285">
        <v>24</v>
      </c>
      <c r="AF303" s="285">
        <v>390</v>
      </c>
      <c r="AG303" s="285" t="s">
        <v>1</v>
      </c>
      <c r="AH303" s="286" t="s">
        <v>1</v>
      </c>
      <c r="AI303" s="295" t="s">
        <v>1</v>
      </c>
      <c r="AJ303" s="295" t="s">
        <v>1</v>
      </c>
      <c r="AK303" s="295" t="s">
        <v>1</v>
      </c>
      <c r="AL303" s="302" t="s">
        <v>1</v>
      </c>
      <c r="AM303" s="288" t="s">
        <v>1</v>
      </c>
      <c r="AN303" s="287" t="s">
        <v>1</v>
      </c>
      <c r="AO303" s="287" t="s">
        <v>1</v>
      </c>
      <c r="AP303" s="286" t="s">
        <v>1</v>
      </c>
      <c r="AQ303" s="285" t="s">
        <v>1</v>
      </c>
      <c r="AR303" s="289" t="s">
        <v>1</v>
      </c>
      <c r="AS303" s="289" t="s">
        <v>1</v>
      </c>
      <c r="AT303" s="290" t="s">
        <v>1</v>
      </c>
      <c r="AU303" s="287" t="s">
        <v>1</v>
      </c>
      <c r="AV303" s="287" t="s">
        <v>1</v>
      </c>
      <c r="AW303" s="291" t="s">
        <v>1</v>
      </c>
    </row>
    <row r="304" spans="1:49" ht="30.15" customHeight="1" x14ac:dyDescent="0.25">
      <c r="A304" s="213" t="s">
        <v>18</v>
      </c>
      <c r="B304" s="188" t="s">
        <v>1</v>
      </c>
      <c r="C304" s="212" t="s">
        <v>34</v>
      </c>
      <c r="D304" s="190" t="s">
        <v>3</v>
      </c>
      <c r="E304" s="190" t="s">
        <v>689</v>
      </c>
      <c r="F304" s="203"/>
      <c r="G304" s="190" t="s">
        <v>657</v>
      </c>
      <c r="H304" s="192" t="s">
        <v>409</v>
      </c>
      <c r="I304" s="193">
        <v>1309</v>
      </c>
      <c r="J304" s="193">
        <v>1340</v>
      </c>
      <c r="K304" s="193">
        <v>1340</v>
      </c>
      <c r="L304" s="193">
        <v>1415</v>
      </c>
      <c r="M304" s="194">
        <v>1415</v>
      </c>
      <c r="N304" s="284">
        <v>566</v>
      </c>
      <c r="O304" s="285">
        <v>12.709999999999999</v>
      </c>
      <c r="P304" s="285">
        <v>24</v>
      </c>
      <c r="Q304" s="306">
        <v>270</v>
      </c>
      <c r="R304" s="306" t="s">
        <v>1</v>
      </c>
      <c r="S304" s="286">
        <v>566</v>
      </c>
      <c r="T304" s="285">
        <v>12.709999999999999</v>
      </c>
      <c r="U304" s="285">
        <v>24</v>
      </c>
      <c r="V304" s="306">
        <v>270</v>
      </c>
      <c r="W304" s="306" t="s">
        <v>1</v>
      </c>
      <c r="X304" s="286">
        <v>566</v>
      </c>
      <c r="Y304" s="285">
        <v>13.129999999999999</v>
      </c>
      <c r="Z304" s="285">
        <v>24</v>
      </c>
      <c r="AA304" s="285">
        <v>270</v>
      </c>
      <c r="AB304" s="285" t="s">
        <v>1</v>
      </c>
      <c r="AC304" s="286">
        <v>566</v>
      </c>
      <c r="AD304" s="285">
        <v>13.129999999999999</v>
      </c>
      <c r="AE304" s="285">
        <v>24</v>
      </c>
      <c r="AF304" s="285">
        <v>270</v>
      </c>
      <c r="AG304" s="285" t="s">
        <v>1</v>
      </c>
      <c r="AH304" s="286" t="s">
        <v>1</v>
      </c>
      <c r="AI304" s="295" t="s">
        <v>1</v>
      </c>
      <c r="AJ304" s="295" t="s">
        <v>1</v>
      </c>
      <c r="AK304" s="295" t="s">
        <v>1</v>
      </c>
      <c r="AL304" s="302" t="s">
        <v>1</v>
      </c>
      <c r="AM304" s="288" t="s">
        <v>1</v>
      </c>
      <c r="AN304" s="287" t="s">
        <v>1</v>
      </c>
      <c r="AO304" s="287" t="s">
        <v>1</v>
      </c>
      <c r="AP304" s="286" t="s">
        <v>1</v>
      </c>
      <c r="AQ304" s="285" t="s">
        <v>1</v>
      </c>
      <c r="AR304" s="289" t="s">
        <v>1</v>
      </c>
      <c r="AS304" s="289" t="s">
        <v>1</v>
      </c>
      <c r="AT304" s="290" t="s">
        <v>1</v>
      </c>
      <c r="AU304" s="287" t="s">
        <v>1</v>
      </c>
      <c r="AV304" s="287" t="s">
        <v>1</v>
      </c>
      <c r="AW304" s="291" t="s">
        <v>1</v>
      </c>
    </row>
    <row r="305" spans="1:49" ht="30.15" customHeight="1" x14ac:dyDescent="0.25">
      <c r="A305" s="213" t="s">
        <v>18</v>
      </c>
      <c r="B305" s="188" t="s">
        <v>1</v>
      </c>
      <c r="C305" s="212" t="s">
        <v>34</v>
      </c>
      <c r="D305" s="190" t="s">
        <v>3</v>
      </c>
      <c r="E305" s="190" t="s">
        <v>690</v>
      </c>
      <c r="F305" s="203"/>
      <c r="G305" s="190" t="s">
        <v>657</v>
      </c>
      <c r="H305" s="192" t="s">
        <v>409</v>
      </c>
      <c r="I305" s="193">
        <v>1309</v>
      </c>
      <c r="J305" s="193">
        <v>1340</v>
      </c>
      <c r="K305" s="193">
        <v>1340</v>
      </c>
      <c r="L305" s="193">
        <v>1415</v>
      </c>
      <c r="M305" s="194">
        <v>1415</v>
      </c>
      <c r="N305" s="284">
        <v>566</v>
      </c>
      <c r="O305" s="285">
        <v>12.709999999999999</v>
      </c>
      <c r="P305" s="285">
        <v>24</v>
      </c>
      <c r="Q305" s="306">
        <v>270</v>
      </c>
      <c r="R305" s="306" t="s">
        <v>1</v>
      </c>
      <c r="S305" s="286">
        <v>566</v>
      </c>
      <c r="T305" s="285">
        <v>12.709999999999999</v>
      </c>
      <c r="U305" s="285">
        <v>24</v>
      </c>
      <c r="V305" s="306">
        <v>270</v>
      </c>
      <c r="W305" s="306" t="s">
        <v>1</v>
      </c>
      <c r="X305" s="286">
        <v>566</v>
      </c>
      <c r="Y305" s="285">
        <v>13.129999999999999</v>
      </c>
      <c r="Z305" s="285">
        <v>24</v>
      </c>
      <c r="AA305" s="285">
        <v>270</v>
      </c>
      <c r="AB305" s="285" t="s">
        <v>1</v>
      </c>
      <c r="AC305" s="286">
        <v>566</v>
      </c>
      <c r="AD305" s="285">
        <v>13.129999999999999</v>
      </c>
      <c r="AE305" s="285">
        <v>24</v>
      </c>
      <c r="AF305" s="285">
        <v>270</v>
      </c>
      <c r="AG305" s="285" t="s">
        <v>1</v>
      </c>
      <c r="AH305" s="286" t="s">
        <v>1</v>
      </c>
      <c r="AI305" s="295" t="s">
        <v>1</v>
      </c>
      <c r="AJ305" s="295" t="s">
        <v>1</v>
      </c>
      <c r="AK305" s="295" t="s">
        <v>1</v>
      </c>
      <c r="AL305" s="302" t="s">
        <v>1</v>
      </c>
      <c r="AM305" s="288" t="s">
        <v>1</v>
      </c>
      <c r="AN305" s="287" t="s">
        <v>1</v>
      </c>
      <c r="AO305" s="287" t="s">
        <v>1</v>
      </c>
      <c r="AP305" s="286" t="s">
        <v>1</v>
      </c>
      <c r="AQ305" s="285" t="s">
        <v>1</v>
      </c>
      <c r="AR305" s="289" t="s">
        <v>1</v>
      </c>
      <c r="AS305" s="289" t="s">
        <v>1</v>
      </c>
      <c r="AT305" s="290" t="s">
        <v>1</v>
      </c>
      <c r="AU305" s="287" t="s">
        <v>1</v>
      </c>
      <c r="AV305" s="287" t="s">
        <v>1</v>
      </c>
      <c r="AW305" s="291" t="s">
        <v>1</v>
      </c>
    </row>
    <row r="306" spans="1:49" ht="30.15" customHeight="1" x14ac:dyDescent="0.25">
      <c r="A306" s="213" t="s">
        <v>18</v>
      </c>
      <c r="B306" s="188" t="s">
        <v>1</v>
      </c>
      <c r="C306" s="212" t="s">
        <v>34</v>
      </c>
      <c r="D306" s="190" t="s">
        <v>3</v>
      </c>
      <c r="E306" s="190" t="s">
        <v>691</v>
      </c>
      <c r="F306" s="203"/>
      <c r="G306" s="190" t="s">
        <v>657</v>
      </c>
      <c r="H306" s="192" t="s">
        <v>409</v>
      </c>
      <c r="I306" s="193">
        <v>1309</v>
      </c>
      <c r="J306" s="193">
        <v>1340</v>
      </c>
      <c r="K306" s="193">
        <v>1340</v>
      </c>
      <c r="L306" s="193">
        <v>1415</v>
      </c>
      <c r="M306" s="194">
        <v>1415</v>
      </c>
      <c r="N306" s="284">
        <v>566</v>
      </c>
      <c r="O306" s="285">
        <v>12.709999999999999</v>
      </c>
      <c r="P306" s="285">
        <v>24</v>
      </c>
      <c r="Q306" s="306">
        <v>270</v>
      </c>
      <c r="R306" s="306" t="s">
        <v>1</v>
      </c>
      <c r="S306" s="286">
        <v>566</v>
      </c>
      <c r="T306" s="285">
        <v>12.709999999999999</v>
      </c>
      <c r="U306" s="285">
        <v>24</v>
      </c>
      <c r="V306" s="306">
        <v>270</v>
      </c>
      <c r="W306" s="306" t="s">
        <v>1</v>
      </c>
      <c r="X306" s="286">
        <v>566</v>
      </c>
      <c r="Y306" s="285">
        <v>13.129999999999999</v>
      </c>
      <c r="Z306" s="285">
        <v>24</v>
      </c>
      <c r="AA306" s="285">
        <v>270</v>
      </c>
      <c r="AB306" s="285" t="s">
        <v>1</v>
      </c>
      <c r="AC306" s="286">
        <v>566</v>
      </c>
      <c r="AD306" s="285">
        <v>13.129999999999999</v>
      </c>
      <c r="AE306" s="285">
        <v>24</v>
      </c>
      <c r="AF306" s="285">
        <v>270</v>
      </c>
      <c r="AG306" s="285" t="s">
        <v>1</v>
      </c>
      <c r="AH306" s="286" t="s">
        <v>1</v>
      </c>
      <c r="AI306" s="295" t="s">
        <v>1</v>
      </c>
      <c r="AJ306" s="295" t="s">
        <v>1</v>
      </c>
      <c r="AK306" s="295" t="s">
        <v>1</v>
      </c>
      <c r="AL306" s="302" t="s">
        <v>1</v>
      </c>
      <c r="AM306" s="288" t="s">
        <v>1</v>
      </c>
      <c r="AN306" s="287" t="s">
        <v>1</v>
      </c>
      <c r="AO306" s="287" t="s">
        <v>1</v>
      </c>
      <c r="AP306" s="286" t="s">
        <v>1</v>
      </c>
      <c r="AQ306" s="285" t="s">
        <v>1</v>
      </c>
      <c r="AR306" s="289" t="s">
        <v>1</v>
      </c>
      <c r="AS306" s="289" t="s">
        <v>1</v>
      </c>
      <c r="AT306" s="290" t="s">
        <v>1</v>
      </c>
      <c r="AU306" s="287" t="s">
        <v>1</v>
      </c>
      <c r="AV306" s="287" t="s">
        <v>1</v>
      </c>
      <c r="AW306" s="291" t="s">
        <v>1</v>
      </c>
    </row>
    <row r="307" spans="1:49" ht="30.15" customHeight="1" x14ac:dyDescent="0.25">
      <c r="A307" s="213" t="s">
        <v>18</v>
      </c>
      <c r="B307" s="188" t="s">
        <v>1</v>
      </c>
      <c r="C307" s="212" t="s">
        <v>34</v>
      </c>
      <c r="D307" s="190" t="s">
        <v>3</v>
      </c>
      <c r="E307" s="190" t="s">
        <v>692</v>
      </c>
      <c r="F307" s="203"/>
      <c r="G307" s="190" t="s">
        <v>657</v>
      </c>
      <c r="H307" s="192" t="s">
        <v>409</v>
      </c>
      <c r="I307" s="193">
        <v>1309</v>
      </c>
      <c r="J307" s="193">
        <v>1340</v>
      </c>
      <c r="K307" s="193">
        <v>1340</v>
      </c>
      <c r="L307" s="193">
        <v>1415</v>
      </c>
      <c r="M307" s="194">
        <v>1415</v>
      </c>
      <c r="N307" s="284">
        <v>566</v>
      </c>
      <c r="O307" s="285">
        <v>12.709999999999999</v>
      </c>
      <c r="P307" s="285">
        <v>24</v>
      </c>
      <c r="Q307" s="306">
        <v>270</v>
      </c>
      <c r="R307" s="306" t="s">
        <v>1</v>
      </c>
      <c r="S307" s="286">
        <v>566</v>
      </c>
      <c r="T307" s="285">
        <v>12.709999999999999</v>
      </c>
      <c r="U307" s="285">
        <v>24</v>
      </c>
      <c r="V307" s="306">
        <v>270</v>
      </c>
      <c r="W307" s="306" t="s">
        <v>1</v>
      </c>
      <c r="X307" s="286">
        <v>566</v>
      </c>
      <c r="Y307" s="285">
        <v>13.129999999999999</v>
      </c>
      <c r="Z307" s="285">
        <v>24</v>
      </c>
      <c r="AA307" s="285">
        <v>270</v>
      </c>
      <c r="AB307" s="285" t="s">
        <v>1</v>
      </c>
      <c r="AC307" s="286">
        <v>566</v>
      </c>
      <c r="AD307" s="285">
        <v>13.129999999999999</v>
      </c>
      <c r="AE307" s="285">
        <v>24</v>
      </c>
      <c r="AF307" s="285">
        <v>270</v>
      </c>
      <c r="AG307" s="285" t="s">
        <v>1</v>
      </c>
      <c r="AH307" s="286" t="s">
        <v>1</v>
      </c>
      <c r="AI307" s="295" t="s">
        <v>1</v>
      </c>
      <c r="AJ307" s="295" t="s">
        <v>1</v>
      </c>
      <c r="AK307" s="295" t="s">
        <v>1</v>
      </c>
      <c r="AL307" s="302" t="s">
        <v>1</v>
      </c>
      <c r="AM307" s="288" t="s">
        <v>1</v>
      </c>
      <c r="AN307" s="287" t="s">
        <v>1</v>
      </c>
      <c r="AO307" s="287" t="s">
        <v>1</v>
      </c>
      <c r="AP307" s="286" t="s">
        <v>1</v>
      </c>
      <c r="AQ307" s="285" t="s">
        <v>1</v>
      </c>
      <c r="AR307" s="289" t="s">
        <v>1</v>
      </c>
      <c r="AS307" s="289" t="s">
        <v>1</v>
      </c>
      <c r="AT307" s="290" t="s">
        <v>1</v>
      </c>
      <c r="AU307" s="287" t="s">
        <v>1</v>
      </c>
      <c r="AV307" s="287" t="s">
        <v>1</v>
      </c>
      <c r="AW307" s="291" t="s">
        <v>1</v>
      </c>
    </row>
    <row r="308" spans="1:49" ht="30.15" customHeight="1" x14ac:dyDescent="0.25">
      <c r="A308" s="213" t="s">
        <v>18</v>
      </c>
      <c r="B308" s="188" t="s">
        <v>1</v>
      </c>
      <c r="C308" s="212" t="s">
        <v>34</v>
      </c>
      <c r="D308" s="190" t="s">
        <v>3</v>
      </c>
      <c r="E308" s="190" t="s">
        <v>685</v>
      </c>
      <c r="F308" s="203"/>
      <c r="G308" s="190" t="s">
        <v>658</v>
      </c>
      <c r="H308" s="192" t="s">
        <v>409</v>
      </c>
      <c r="I308" s="193">
        <v>1509</v>
      </c>
      <c r="J308" s="193">
        <v>1539</v>
      </c>
      <c r="K308" s="193">
        <v>1539</v>
      </c>
      <c r="L308" s="193">
        <v>1625</v>
      </c>
      <c r="M308" s="194">
        <v>1625</v>
      </c>
      <c r="N308" s="284">
        <v>650</v>
      </c>
      <c r="O308" s="285">
        <v>12.709999999999999</v>
      </c>
      <c r="P308" s="285">
        <v>24</v>
      </c>
      <c r="Q308" s="306">
        <v>310</v>
      </c>
      <c r="R308" s="306" t="s">
        <v>1</v>
      </c>
      <c r="S308" s="286">
        <v>650</v>
      </c>
      <c r="T308" s="285">
        <v>12.709999999999999</v>
      </c>
      <c r="U308" s="285">
        <v>24</v>
      </c>
      <c r="V308" s="306">
        <v>310</v>
      </c>
      <c r="W308" s="306" t="s">
        <v>1</v>
      </c>
      <c r="X308" s="286">
        <v>650</v>
      </c>
      <c r="Y308" s="285">
        <v>13.129999999999999</v>
      </c>
      <c r="Z308" s="285">
        <v>24</v>
      </c>
      <c r="AA308" s="285">
        <v>310</v>
      </c>
      <c r="AB308" s="285" t="s">
        <v>1</v>
      </c>
      <c r="AC308" s="286">
        <v>650</v>
      </c>
      <c r="AD308" s="285">
        <v>13.129999999999999</v>
      </c>
      <c r="AE308" s="285">
        <v>24</v>
      </c>
      <c r="AF308" s="285">
        <v>310</v>
      </c>
      <c r="AG308" s="285" t="s">
        <v>1</v>
      </c>
      <c r="AH308" s="286" t="s">
        <v>1</v>
      </c>
      <c r="AI308" s="295" t="s">
        <v>1</v>
      </c>
      <c r="AJ308" s="295" t="s">
        <v>1</v>
      </c>
      <c r="AK308" s="295" t="s">
        <v>1</v>
      </c>
      <c r="AL308" s="302" t="s">
        <v>1</v>
      </c>
      <c r="AM308" s="288" t="s">
        <v>1</v>
      </c>
      <c r="AN308" s="287" t="s">
        <v>1</v>
      </c>
      <c r="AO308" s="287" t="s">
        <v>1</v>
      </c>
      <c r="AP308" s="286" t="s">
        <v>1</v>
      </c>
      <c r="AQ308" s="285" t="s">
        <v>1</v>
      </c>
      <c r="AR308" s="289" t="s">
        <v>1</v>
      </c>
      <c r="AS308" s="289" t="s">
        <v>1</v>
      </c>
      <c r="AT308" s="290" t="s">
        <v>1</v>
      </c>
      <c r="AU308" s="287" t="s">
        <v>1</v>
      </c>
      <c r="AV308" s="287" t="s">
        <v>1</v>
      </c>
      <c r="AW308" s="291" t="s">
        <v>1</v>
      </c>
    </row>
    <row r="309" spans="1:49" ht="30.15" customHeight="1" x14ac:dyDescent="0.25">
      <c r="A309" s="213" t="s">
        <v>18</v>
      </c>
      <c r="B309" s="188" t="s">
        <v>1</v>
      </c>
      <c r="C309" s="212" t="s">
        <v>34</v>
      </c>
      <c r="D309" s="190" t="s">
        <v>3</v>
      </c>
      <c r="E309" s="190" t="s">
        <v>686</v>
      </c>
      <c r="F309" s="203"/>
      <c r="G309" s="190" t="s">
        <v>658</v>
      </c>
      <c r="H309" s="192" t="s">
        <v>409</v>
      </c>
      <c r="I309" s="193">
        <v>1509</v>
      </c>
      <c r="J309" s="193">
        <v>1539</v>
      </c>
      <c r="K309" s="193">
        <v>1539</v>
      </c>
      <c r="L309" s="193">
        <v>1625</v>
      </c>
      <c r="M309" s="194">
        <v>1625</v>
      </c>
      <c r="N309" s="284">
        <v>650</v>
      </c>
      <c r="O309" s="285">
        <v>12.709999999999999</v>
      </c>
      <c r="P309" s="285">
        <v>24</v>
      </c>
      <c r="Q309" s="306">
        <v>310</v>
      </c>
      <c r="R309" s="306" t="s">
        <v>1</v>
      </c>
      <c r="S309" s="286">
        <v>650</v>
      </c>
      <c r="T309" s="285">
        <v>12.709999999999999</v>
      </c>
      <c r="U309" s="285">
        <v>24</v>
      </c>
      <c r="V309" s="306">
        <v>310</v>
      </c>
      <c r="W309" s="306" t="s">
        <v>1</v>
      </c>
      <c r="X309" s="286">
        <v>650</v>
      </c>
      <c r="Y309" s="285">
        <v>13.129999999999999</v>
      </c>
      <c r="Z309" s="285">
        <v>24</v>
      </c>
      <c r="AA309" s="285">
        <v>310</v>
      </c>
      <c r="AB309" s="285" t="s">
        <v>1</v>
      </c>
      <c r="AC309" s="286">
        <v>650</v>
      </c>
      <c r="AD309" s="285">
        <v>13.129999999999999</v>
      </c>
      <c r="AE309" s="285">
        <v>24</v>
      </c>
      <c r="AF309" s="285">
        <v>310</v>
      </c>
      <c r="AG309" s="285" t="s">
        <v>1</v>
      </c>
      <c r="AH309" s="286" t="s">
        <v>1</v>
      </c>
      <c r="AI309" s="295" t="s">
        <v>1</v>
      </c>
      <c r="AJ309" s="295" t="s">
        <v>1</v>
      </c>
      <c r="AK309" s="295" t="s">
        <v>1</v>
      </c>
      <c r="AL309" s="302" t="s">
        <v>1</v>
      </c>
      <c r="AM309" s="288" t="s">
        <v>1</v>
      </c>
      <c r="AN309" s="287" t="s">
        <v>1</v>
      </c>
      <c r="AO309" s="287" t="s">
        <v>1</v>
      </c>
      <c r="AP309" s="286" t="s">
        <v>1</v>
      </c>
      <c r="AQ309" s="285" t="s">
        <v>1</v>
      </c>
      <c r="AR309" s="289" t="s">
        <v>1</v>
      </c>
      <c r="AS309" s="289" t="s">
        <v>1</v>
      </c>
      <c r="AT309" s="290" t="s">
        <v>1</v>
      </c>
      <c r="AU309" s="287" t="s">
        <v>1</v>
      </c>
      <c r="AV309" s="287" t="s">
        <v>1</v>
      </c>
      <c r="AW309" s="291" t="s">
        <v>1</v>
      </c>
    </row>
    <row r="310" spans="1:49" ht="30.15" customHeight="1" x14ac:dyDescent="0.25">
      <c r="A310" s="213" t="s">
        <v>18</v>
      </c>
      <c r="B310" s="188" t="s">
        <v>1</v>
      </c>
      <c r="C310" s="212" t="s">
        <v>34</v>
      </c>
      <c r="D310" s="190" t="s">
        <v>3</v>
      </c>
      <c r="E310" s="190" t="s">
        <v>687</v>
      </c>
      <c r="F310" s="203"/>
      <c r="G310" s="190" t="s">
        <v>658</v>
      </c>
      <c r="H310" s="192" t="s">
        <v>409</v>
      </c>
      <c r="I310" s="193">
        <v>1509</v>
      </c>
      <c r="J310" s="193">
        <v>1539</v>
      </c>
      <c r="K310" s="193">
        <v>1539</v>
      </c>
      <c r="L310" s="193">
        <v>1625</v>
      </c>
      <c r="M310" s="194">
        <v>1625</v>
      </c>
      <c r="N310" s="284">
        <v>650</v>
      </c>
      <c r="O310" s="285">
        <v>12.709999999999999</v>
      </c>
      <c r="P310" s="285">
        <v>24</v>
      </c>
      <c r="Q310" s="306">
        <v>310</v>
      </c>
      <c r="R310" s="306" t="s">
        <v>1</v>
      </c>
      <c r="S310" s="286">
        <v>650</v>
      </c>
      <c r="T310" s="285">
        <v>12.709999999999999</v>
      </c>
      <c r="U310" s="285">
        <v>24</v>
      </c>
      <c r="V310" s="306">
        <v>310</v>
      </c>
      <c r="W310" s="306" t="s">
        <v>1</v>
      </c>
      <c r="X310" s="286">
        <v>650</v>
      </c>
      <c r="Y310" s="285">
        <v>13.129999999999999</v>
      </c>
      <c r="Z310" s="285">
        <v>24</v>
      </c>
      <c r="AA310" s="285">
        <v>310</v>
      </c>
      <c r="AB310" s="285" t="s">
        <v>1</v>
      </c>
      <c r="AC310" s="286">
        <v>650</v>
      </c>
      <c r="AD310" s="285">
        <v>13.129999999999999</v>
      </c>
      <c r="AE310" s="285">
        <v>24</v>
      </c>
      <c r="AF310" s="285">
        <v>310</v>
      </c>
      <c r="AG310" s="285" t="s">
        <v>1</v>
      </c>
      <c r="AH310" s="286" t="s">
        <v>1</v>
      </c>
      <c r="AI310" s="295" t="s">
        <v>1</v>
      </c>
      <c r="AJ310" s="295" t="s">
        <v>1</v>
      </c>
      <c r="AK310" s="295" t="s">
        <v>1</v>
      </c>
      <c r="AL310" s="302" t="s">
        <v>1</v>
      </c>
      <c r="AM310" s="288" t="s">
        <v>1</v>
      </c>
      <c r="AN310" s="287" t="s">
        <v>1</v>
      </c>
      <c r="AO310" s="287" t="s">
        <v>1</v>
      </c>
      <c r="AP310" s="286" t="s">
        <v>1</v>
      </c>
      <c r="AQ310" s="285" t="s">
        <v>1</v>
      </c>
      <c r="AR310" s="289" t="s">
        <v>1</v>
      </c>
      <c r="AS310" s="289" t="s">
        <v>1</v>
      </c>
      <c r="AT310" s="290" t="s">
        <v>1</v>
      </c>
      <c r="AU310" s="287" t="s">
        <v>1</v>
      </c>
      <c r="AV310" s="287" t="s">
        <v>1</v>
      </c>
      <c r="AW310" s="291" t="s">
        <v>1</v>
      </c>
    </row>
    <row r="311" spans="1:49" ht="30.15" customHeight="1" x14ac:dyDescent="0.25">
      <c r="A311" s="213" t="s">
        <v>18</v>
      </c>
      <c r="B311" s="188" t="s">
        <v>1</v>
      </c>
      <c r="C311" s="212" t="s">
        <v>34</v>
      </c>
      <c r="D311" s="190" t="s">
        <v>3</v>
      </c>
      <c r="E311" s="190" t="s">
        <v>688</v>
      </c>
      <c r="F311" s="203"/>
      <c r="G311" s="190" t="s">
        <v>658</v>
      </c>
      <c r="H311" s="192" t="s">
        <v>409</v>
      </c>
      <c r="I311" s="193">
        <v>1509</v>
      </c>
      <c r="J311" s="193">
        <v>1539</v>
      </c>
      <c r="K311" s="193">
        <v>1539</v>
      </c>
      <c r="L311" s="193">
        <v>1625</v>
      </c>
      <c r="M311" s="194">
        <v>1625</v>
      </c>
      <c r="N311" s="284">
        <v>650</v>
      </c>
      <c r="O311" s="285">
        <v>12.709999999999999</v>
      </c>
      <c r="P311" s="285">
        <v>24</v>
      </c>
      <c r="Q311" s="306">
        <v>310</v>
      </c>
      <c r="R311" s="306" t="s">
        <v>1</v>
      </c>
      <c r="S311" s="286">
        <v>650</v>
      </c>
      <c r="T311" s="285">
        <v>12.709999999999999</v>
      </c>
      <c r="U311" s="285">
        <v>24</v>
      </c>
      <c r="V311" s="306">
        <v>310</v>
      </c>
      <c r="W311" s="306" t="s">
        <v>1</v>
      </c>
      <c r="X311" s="286">
        <v>650</v>
      </c>
      <c r="Y311" s="285">
        <v>13.129999999999999</v>
      </c>
      <c r="Z311" s="285">
        <v>24</v>
      </c>
      <c r="AA311" s="285">
        <v>310</v>
      </c>
      <c r="AB311" s="285" t="s">
        <v>1</v>
      </c>
      <c r="AC311" s="286">
        <v>650</v>
      </c>
      <c r="AD311" s="285">
        <v>13.129999999999999</v>
      </c>
      <c r="AE311" s="285">
        <v>24</v>
      </c>
      <c r="AF311" s="285">
        <v>310</v>
      </c>
      <c r="AG311" s="285" t="s">
        <v>1</v>
      </c>
      <c r="AH311" s="286" t="s">
        <v>1</v>
      </c>
      <c r="AI311" s="295" t="s">
        <v>1</v>
      </c>
      <c r="AJ311" s="295" t="s">
        <v>1</v>
      </c>
      <c r="AK311" s="295" t="s">
        <v>1</v>
      </c>
      <c r="AL311" s="302" t="s">
        <v>1</v>
      </c>
      <c r="AM311" s="288" t="s">
        <v>1</v>
      </c>
      <c r="AN311" s="287" t="s">
        <v>1</v>
      </c>
      <c r="AO311" s="287" t="s">
        <v>1</v>
      </c>
      <c r="AP311" s="286" t="s">
        <v>1</v>
      </c>
      <c r="AQ311" s="285" t="s">
        <v>1</v>
      </c>
      <c r="AR311" s="289" t="s">
        <v>1</v>
      </c>
      <c r="AS311" s="289" t="s">
        <v>1</v>
      </c>
      <c r="AT311" s="290" t="s">
        <v>1</v>
      </c>
      <c r="AU311" s="287" t="s">
        <v>1</v>
      </c>
      <c r="AV311" s="287" t="s">
        <v>1</v>
      </c>
      <c r="AW311" s="291" t="s">
        <v>1</v>
      </c>
    </row>
    <row r="312" spans="1:49" ht="30.15" customHeight="1" x14ac:dyDescent="0.25">
      <c r="A312" s="213" t="s">
        <v>18</v>
      </c>
      <c r="B312" s="188" t="s">
        <v>1</v>
      </c>
      <c r="C312" s="212" t="s">
        <v>34</v>
      </c>
      <c r="D312" s="190" t="s">
        <v>3</v>
      </c>
      <c r="E312" s="190" t="s">
        <v>681</v>
      </c>
      <c r="F312" s="203"/>
      <c r="G312" s="190" t="s">
        <v>662</v>
      </c>
      <c r="H312" s="192" t="s">
        <v>409</v>
      </c>
      <c r="I312" s="193">
        <v>1769</v>
      </c>
      <c r="J312" s="193">
        <v>1815</v>
      </c>
      <c r="K312" s="193">
        <v>1815</v>
      </c>
      <c r="L312" s="193">
        <v>1910</v>
      </c>
      <c r="M312" s="194">
        <v>1910</v>
      </c>
      <c r="N312" s="284">
        <v>764</v>
      </c>
      <c r="O312" s="285">
        <v>12.709999999999999</v>
      </c>
      <c r="P312" s="285">
        <v>24</v>
      </c>
      <c r="Q312" s="306">
        <v>360</v>
      </c>
      <c r="R312" s="306" t="s">
        <v>1</v>
      </c>
      <c r="S312" s="286">
        <v>764</v>
      </c>
      <c r="T312" s="285">
        <v>12.709999999999999</v>
      </c>
      <c r="U312" s="285">
        <v>24</v>
      </c>
      <c r="V312" s="306">
        <v>360</v>
      </c>
      <c r="W312" s="306" t="s">
        <v>1</v>
      </c>
      <c r="X312" s="286">
        <v>764</v>
      </c>
      <c r="Y312" s="285">
        <v>13.129999999999999</v>
      </c>
      <c r="Z312" s="285">
        <v>24</v>
      </c>
      <c r="AA312" s="285">
        <v>360</v>
      </c>
      <c r="AB312" s="285" t="s">
        <v>1</v>
      </c>
      <c r="AC312" s="286">
        <v>764</v>
      </c>
      <c r="AD312" s="285">
        <v>13.129999999999999</v>
      </c>
      <c r="AE312" s="285">
        <v>24</v>
      </c>
      <c r="AF312" s="285">
        <v>360</v>
      </c>
      <c r="AG312" s="285" t="s">
        <v>1</v>
      </c>
      <c r="AH312" s="286" t="s">
        <v>1</v>
      </c>
      <c r="AI312" s="295" t="s">
        <v>1</v>
      </c>
      <c r="AJ312" s="295" t="s">
        <v>1</v>
      </c>
      <c r="AK312" s="295" t="s">
        <v>1</v>
      </c>
      <c r="AL312" s="302" t="s">
        <v>1</v>
      </c>
      <c r="AM312" s="288" t="s">
        <v>1</v>
      </c>
      <c r="AN312" s="287" t="s">
        <v>1</v>
      </c>
      <c r="AO312" s="287" t="s">
        <v>1</v>
      </c>
      <c r="AP312" s="286" t="s">
        <v>1</v>
      </c>
      <c r="AQ312" s="285" t="s">
        <v>1</v>
      </c>
      <c r="AR312" s="289" t="s">
        <v>1</v>
      </c>
      <c r="AS312" s="289" t="s">
        <v>1</v>
      </c>
      <c r="AT312" s="290" t="s">
        <v>1</v>
      </c>
      <c r="AU312" s="287" t="s">
        <v>1</v>
      </c>
      <c r="AV312" s="287" t="s">
        <v>1</v>
      </c>
      <c r="AW312" s="291" t="s">
        <v>1</v>
      </c>
    </row>
    <row r="313" spans="1:49" ht="30.15" customHeight="1" x14ac:dyDescent="0.25">
      <c r="A313" s="213" t="s">
        <v>18</v>
      </c>
      <c r="B313" s="188" t="s">
        <v>1</v>
      </c>
      <c r="C313" s="212" t="s">
        <v>34</v>
      </c>
      <c r="D313" s="190" t="s">
        <v>3</v>
      </c>
      <c r="E313" s="190" t="s">
        <v>682</v>
      </c>
      <c r="F313" s="203"/>
      <c r="G313" s="190" t="s">
        <v>662</v>
      </c>
      <c r="H313" s="192" t="s">
        <v>409</v>
      </c>
      <c r="I313" s="193">
        <v>1769</v>
      </c>
      <c r="J313" s="193">
        <v>1815</v>
      </c>
      <c r="K313" s="193">
        <v>1815</v>
      </c>
      <c r="L313" s="193">
        <v>1910</v>
      </c>
      <c r="M313" s="194">
        <v>1910</v>
      </c>
      <c r="N313" s="284">
        <v>764</v>
      </c>
      <c r="O313" s="285">
        <v>12.709999999999999</v>
      </c>
      <c r="P313" s="285">
        <v>24</v>
      </c>
      <c r="Q313" s="306">
        <v>360</v>
      </c>
      <c r="R313" s="306" t="s">
        <v>1</v>
      </c>
      <c r="S313" s="286">
        <v>764</v>
      </c>
      <c r="T313" s="285">
        <v>12.709999999999999</v>
      </c>
      <c r="U313" s="285">
        <v>24</v>
      </c>
      <c r="V313" s="306">
        <v>360</v>
      </c>
      <c r="W313" s="306" t="s">
        <v>1</v>
      </c>
      <c r="X313" s="286">
        <v>764</v>
      </c>
      <c r="Y313" s="285">
        <v>13.129999999999999</v>
      </c>
      <c r="Z313" s="285">
        <v>24</v>
      </c>
      <c r="AA313" s="285">
        <v>360</v>
      </c>
      <c r="AB313" s="285" t="s">
        <v>1</v>
      </c>
      <c r="AC313" s="286">
        <v>764</v>
      </c>
      <c r="AD313" s="285">
        <v>13.129999999999999</v>
      </c>
      <c r="AE313" s="285">
        <v>24</v>
      </c>
      <c r="AF313" s="285">
        <v>360</v>
      </c>
      <c r="AG313" s="285" t="s">
        <v>1</v>
      </c>
      <c r="AH313" s="286" t="s">
        <v>1</v>
      </c>
      <c r="AI313" s="295" t="s">
        <v>1</v>
      </c>
      <c r="AJ313" s="295" t="s">
        <v>1</v>
      </c>
      <c r="AK313" s="295" t="s">
        <v>1</v>
      </c>
      <c r="AL313" s="302" t="s">
        <v>1</v>
      </c>
      <c r="AM313" s="288" t="s">
        <v>1</v>
      </c>
      <c r="AN313" s="287" t="s">
        <v>1</v>
      </c>
      <c r="AO313" s="287" t="s">
        <v>1</v>
      </c>
      <c r="AP313" s="286" t="s">
        <v>1</v>
      </c>
      <c r="AQ313" s="285" t="s">
        <v>1</v>
      </c>
      <c r="AR313" s="289" t="s">
        <v>1</v>
      </c>
      <c r="AS313" s="289" t="s">
        <v>1</v>
      </c>
      <c r="AT313" s="290" t="s">
        <v>1</v>
      </c>
      <c r="AU313" s="287" t="s">
        <v>1</v>
      </c>
      <c r="AV313" s="287" t="s">
        <v>1</v>
      </c>
      <c r="AW313" s="291" t="s">
        <v>1</v>
      </c>
    </row>
    <row r="314" spans="1:49" ht="30.15" customHeight="1" x14ac:dyDescent="0.25">
      <c r="A314" s="213" t="s">
        <v>18</v>
      </c>
      <c r="B314" s="188" t="s">
        <v>1</v>
      </c>
      <c r="C314" s="212" t="s">
        <v>34</v>
      </c>
      <c r="D314" s="190" t="s">
        <v>3</v>
      </c>
      <c r="E314" s="190" t="s">
        <v>683</v>
      </c>
      <c r="F314" s="203"/>
      <c r="G314" s="190" t="s">
        <v>662</v>
      </c>
      <c r="H314" s="192" t="s">
        <v>409</v>
      </c>
      <c r="I314" s="193">
        <v>1769</v>
      </c>
      <c r="J314" s="193">
        <v>1815</v>
      </c>
      <c r="K314" s="193">
        <v>1815</v>
      </c>
      <c r="L314" s="193">
        <v>1910</v>
      </c>
      <c r="M314" s="194">
        <v>1910</v>
      </c>
      <c r="N314" s="284">
        <v>764</v>
      </c>
      <c r="O314" s="285">
        <v>12.709999999999999</v>
      </c>
      <c r="P314" s="285">
        <v>24</v>
      </c>
      <c r="Q314" s="306">
        <v>360</v>
      </c>
      <c r="R314" s="306" t="s">
        <v>1</v>
      </c>
      <c r="S314" s="286">
        <v>764</v>
      </c>
      <c r="T314" s="285">
        <v>12.709999999999999</v>
      </c>
      <c r="U314" s="285">
        <v>24</v>
      </c>
      <c r="V314" s="306">
        <v>360</v>
      </c>
      <c r="W314" s="306" t="s">
        <v>1</v>
      </c>
      <c r="X314" s="286">
        <v>764</v>
      </c>
      <c r="Y314" s="285">
        <v>13.129999999999999</v>
      </c>
      <c r="Z314" s="285">
        <v>24</v>
      </c>
      <c r="AA314" s="285">
        <v>360</v>
      </c>
      <c r="AB314" s="285" t="s">
        <v>1</v>
      </c>
      <c r="AC314" s="286">
        <v>764</v>
      </c>
      <c r="AD314" s="285">
        <v>13.129999999999999</v>
      </c>
      <c r="AE314" s="285">
        <v>24</v>
      </c>
      <c r="AF314" s="285">
        <v>360</v>
      </c>
      <c r="AG314" s="285" t="s">
        <v>1</v>
      </c>
      <c r="AH314" s="286" t="s">
        <v>1</v>
      </c>
      <c r="AI314" s="295" t="s">
        <v>1</v>
      </c>
      <c r="AJ314" s="295" t="s">
        <v>1</v>
      </c>
      <c r="AK314" s="295" t="s">
        <v>1</v>
      </c>
      <c r="AL314" s="302" t="s">
        <v>1</v>
      </c>
      <c r="AM314" s="288" t="s">
        <v>1</v>
      </c>
      <c r="AN314" s="287" t="s">
        <v>1</v>
      </c>
      <c r="AO314" s="287" t="s">
        <v>1</v>
      </c>
      <c r="AP314" s="286" t="s">
        <v>1</v>
      </c>
      <c r="AQ314" s="285" t="s">
        <v>1</v>
      </c>
      <c r="AR314" s="289" t="s">
        <v>1</v>
      </c>
      <c r="AS314" s="289" t="s">
        <v>1</v>
      </c>
      <c r="AT314" s="290" t="s">
        <v>1</v>
      </c>
      <c r="AU314" s="287" t="s">
        <v>1</v>
      </c>
      <c r="AV314" s="287" t="s">
        <v>1</v>
      </c>
      <c r="AW314" s="291" t="s">
        <v>1</v>
      </c>
    </row>
    <row r="315" spans="1:49" ht="30.15" customHeight="1" x14ac:dyDescent="0.25">
      <c r="A315" s="213" t="s">
        <v>18</v>
      </c>
      <c r="B315" s="188" t="s">
        <v>1</v>
      </c>
      <c r="C315" s="212" t="s">
        <v>34</v>
      </c>
      <c r="D315" s="190" t="s">
        <v>3</v>
      </c>
      <c r="E315" s="190" t="s">
        <v>684</v>
      </c>
      <c r="F315" s="203"/>
      <c r="G315" s="190" t="s">
        <v>662</v>
      </c>
      <c r="H315" s="192" t="s">
        <v>409</v>
      </c>
      <c r="I315" s="193">
        <v>1769</v>
      </c>
      <c r="J315" s="193">
        <v>1815</v>
      </c>
      <c r="K315" s="193">
        <v>1815</v>
      </c>
      <c r="L315" s="193">
        <v>1910</v>
      </c>
      <c r="M315" s="194">
        <v>1910</v>
      </c>
      <c r="N315" s="284">
        <v>764</v>
      </c>
      <c r="O315" s="285">
        <v>12.709999999999999</v>
      </c>
      <c r="P315" s="285">
        <v>24</v>
      </c>
      <c r="Q315" s="306">
        <v>360</v>
      </c>
      <c r="R315" s="306" t="s">
        <v>1</v>
      </c>
      <c r="S315" s="286">
        <v>764</v>
      </c>
      <c r="T315" s="285">
        <v>12.709999999999999</v>
      </c>
      <c r="U315" s="285">
        <v>24</v>
      </c>
      <c r="V315" s="306">
        <v>360</v>
      </c>
      <c r="W315" s="306" t="s">
        <v>1</v>
      </c>
      <c r="X315" s="286">
        <v>764</v>
      </c>
      <c r="Y315" s="285">
        <v>13.129999999999999</v>
      </c>
      <c r="Z315" s="285">
        <v>24</v>
      </c>
      <c r="AA315" s="285">
        <v>360</v>
      </c>
      <c r="AB315" s="285" t="s">
        <v>1</v>
      </c>
      <c r="AC315" s="286">
        <v>764</v>
      </c>
      <c r="AD315" s="285">
        <v>13.129999999999999</v>
      </c>
      <c r="AE315" s="285">
        <v>24</v>
      </c>
      <c r="AF315" s="285">
        <v>360</v>
      </c>
      <c r="AG315" s="285" t="s">
        <v>1</v>
      </c>
      <c r="AH315" s="286" t="s">
        <v>1</v>
      </c>
      <c r="AI315" s="295" t="s">
        <v>1</v>
      </c>
      <c r="AJ315" s="295" t="s">
        <v>1</v>
      </c>
      <c r="AK315" s="295" t="s">
        <v>1</v>
      </c>
      <c r="AL315" s="302" t="s">
        <v>1</v>
      </c>
      <c r="AM315" s="288" t="s">
        <v>1</v>
      </c>
      <c r="AN315" s="287" t="s">
        <v>1</v>
      </c>
      <c r="AO315" s="287" t="s">
        <v>1</v>
      </c>
      <c r="AP315" s="286" t="s">
        <v>1</v>
      </c>
      <c r="AQ315" s="285" t="s">
        <v>1</v>
      </c>
      <c r="AR315" s="289" t="s">
        <v>1</v>
      </c>
      <c r="AS315" s="289" t="s">
        <v>1</v>
      </c>
      <c r="AT315" s="290" t="s">
        <v>1</v>
      </c>
      <c r="AU315" s="287" t="s">
        <v>1</v>
      </c>
      <c r="AV315" s="287" t="s">
        <v>1</v>
      </c>
      <c r="AW315" s="291" t="s">
        <v>1</v>
      </c>
    </row>
    <row r="316" spans="1:49" ht="30.15" customHeight="1" x14ac:dyDescent="0.25">
      <c r="A316" s="213" t="s">
        <v>18</v>
      </c>
      <c r="B316" s="188" t="s">
        <v>1</v>
      </c>
      <c r="C316" s="212" t="s">
        <v>34</v>
      </c>
      <c r="D316" s="190" t="s">
        <v>3</v>
      </c>
      <c r="E316" s="190" t="s">
        <v>675</v>
      </c>
      <c r="F316" s="203"/>
      <c r="G316" s="190" t="s">
        <v>654</v>
      </c>
      <c r="H316" s="192" t="s">
        <v>409</v>
      </c>
      <c r="I316" s="193">
        <v>809</v>
      </c>
      <c r="J316" s="193">
        <v>827</v>
      </c>
      <c r="K316" s="193">
        <v>827</v>
      </c>
      <c r="L316" s="193">
        <v>875</v>
      </c>
      <c r="M316" s="194">
        <v>875</v>
      </c>
      <c r="N316" s="284">
        <v>350</v>
      </c>
      <c r="O316" s="285" t="s">
        <v>1</v>
      </c>
      <c r="P316" s="285" t="s">
        <v>1</v>
      </c>
      <c r="Q316" s="306">
        <v>299</v>
      </c>
      <c r="R316" s="306" t="s">
        <v>1</v>
      </c>
      <c r="S316" s="286">
        <v>350</v>
      </c>
      <c r="T316" s="285" t="s">
        <v>1</v>
      </c>
      <c r="U316" s="285" t="s">
        <v>1</v>
      </c>
      <c r="V316" s="306">
        <v>299</v>
      </c>
      <c r="W316" s="306" t="s">
        <v>1</v>
      </c>
      <c r="X316" s="286">
        <v>350</v>
      </c>
      <c r="Y316" s="285">
        <v>10</v>
      </c>
      <c r="Z316" s="285">
        <v>24</v>
      </c>
      <c r="AA316" s="306">
        <v>299</v>
      </c>
      <c r="AB316" s="306" t="s">
        <v>1</v>
      </c>
      <c r="AC316" s="286">
        <v>350</v>
      </c>
      <c r="AD316" s="285">
        <v>10</v>
      </c>
      <c r="AE316" s="285">
        <v>24</v>
      </c>
      <c r="AF316" s="306">
        <v>299</v>
      </c>
      <c r="AG316" s="306" t="s">
        <v>1</v>
      </c>
      <c r="AH316" s="286" t="s">
        <v>1</v>
      </c>
      <c r="AI316" s="295" t="s">
        <v>1</v>
      </c>
      <c r="AJ316" s="295" t="s">
        <v>1</v>
      </c>
      <c r="AK316" s="295" t="s">
        <v>1</v>
      </c>
      <c r="AL316" s="302" t="s">
        <v>1</v>
      </c>
      <c r="AM316" s="288" t="s">
        <v>1</v>
      </c>
      <c r="AN316" s="287" t="s">
        <v>1</v>
      </c>
      <c r="AO316" s="287" t="s">
        <v>1</v>
      </c>
      <c r="AP316" s="286" t="s">
        <v>1</v>
      </c>
      <c r="AQ316" s="285" t="s">
        <v>1</v>
      </c>
      <c r="AR316" s="289" t="s">
        <v>1</v>
      </c>
      <c r="AS316" s="289" t="s">
        <v>1</v>
      </c>
      <c r="AT316" s="290" t="s">
        <v>1</v>
      </c>
      <c r="AU316" s="287" t="s">
        <v>1</v>
      </c>
      <c r="AV316" s="287" t="s">
        <v>1</v>
      </c>
      <c r="AW316" s="291" t="s">
        <v>1</v>
      </c>
    </row>
    <row r="317" spans="1:49" ht="30.15" customHeight="1" x14ac:dyDescent="0.25">
      <c r="A317" s="213" t="s">
        <v>18</v>
      </c>
      <c r="B317" s="188" t="s">
        <v>1</v>
      </c>
      <c r="C317" s="212" t="s">
        <v>34</v>
      </c>
      <c r="D317" s="190" t="s">
        <v>3</v>
      </c>
      <c r="E317" s="190" t="s">
        <v>676</v>
      </c>
      <c r="F317" s="203"/>
      <c r="G317" s="190" t="s">
        <v>654</v>
      </c>
      <c r="H317" s="192" t="s">
        <v>409</v>
      </c>
      <c r="I317" s="193">
        <v>809</v>
      </c>
      <c r="J317" s="193">
        <v>827</v>
      </c>
      <c r="K317" s="193">
        <v>827</v>
      </c>
      <c r="L317" s="193">
        <v>875</v>
      </c>
      <c r="M317" s="194">
        <v>875</v>
      </c>
      <c r="N317" s="284">
        <v>350</v>
      </c>
      <c r="O317" s="285" t="s">
        <v>1</v>
      </c>
      <c r="P317" s="285" t="s">
        <v>1</v>
      </c>
      <c r="Q317" s="306">
        <v>299</v>
      </c>
      <c r="R317" s="306" t="s">
        <v>1</v>
      </c>
      <c r="S317" s="286">
        <v>350</v>
      </c>
      <c r="T317" s="285" t="s">
        <v>1</v>
      </c>
      <c r="U317" s="285" t="s">
        <v>1</v>
      </c>
      <c r="V317" s="306">
        <v>299</v>
      </c>
      <c r="W317" s="306" t="s">
        <v>1</v>
      </c>
      <c r="X317" s="286">
        <v>350</v>
      </c>
      <c r="Y317" s="285">
        <v>10</v>
      </c>
      <c r="Z317" s="285">
        <v>24</v>
      </c>
      <c r="AA317" s="306">
        <v>299</v>
      </c>
      <c r="AB317" s="306" t="s">
        <v>1</v>
      </c>
      <c r="AC317" s="286">
        <v>350</v>
      </c>
      <c r="AD317" s="285">
        <v>10</v>
      </c>
      <c r="AE317" s="285">
        <v>24</v>
      </c>
      <c r="AF317" s="306">
        <v>299</v>
      </c>
      <c r="AG317" s="306" t="s">
        <v>1</v>
      </c>
      <c r="AH317" s="286" t="s">
        <v>1</v>
      </c>
      <c r="AI317" s="295" t="s">
        <v>1</v>
      </c>
      <c r="AJ317" s="295" t="s">
        <v>1</v>
      </c>
      <c r="AK317" s="295" t="s">
        <v>1</v>
      </c>
      <c r="AL317" s="302" t="s">
        <v>1</v>
      </c>
      <c r="AM317" s="288" t="s">
        <v>1</v>
      </c>
      <c r="AN317" s="287" t="s">
        <v>1</v>
      </c>
      <c r="AO317" s="287" t="s">
        <v>1</v>
      </c>
      <c r="AP317" s="286" t="s">
        <v>1</v>
      </c>
      <c r="AQ317" s="285" t="s">
        <v>1</v>
      </c>
      <c r="AR317" s="289" t="s">
        <v>1</v>
      </c>
      <c r="AS317" s="289" t="s">
        <v>1</v>
      </c>
      <c r="AT317" s="290" t="s">
        <v>1</v>
      </c>
      <c r="AU317" s="287" t="s">
        <v>1</v>
      </c>
      <c r="AV317" s="287" t="s">
        <v>1</v>
      </c>
      <c r="AW317" s="291" t="s">
        <v>1</v>
      </c>
    </row>
    <row r="318" spans="1:49" ht="30.15" customHeight="1" x14ac:dyDescent="0.25">
      <c r="A318" s="213" t="s">
        <v>18</v>
      </c>
      <c r="B318" s="188" t="s">
        <v>1</v>
      </c>
      <c r="C318" s="212" t="s">
        <v>34</v>
      </c>
      <c r="D318" s="190" t="s">
        <v>3</v>
      </c>
      <c r="E318" s="190" t="s">
        <v>677</v>
      </c>
      <c r="F318" s="203"/>
      <c r="G318" s="190" t="s">
        <v>654</v>
      </c>
      <c r="H318" s="192" t="s">
        <v>409</v>
      </c>
      <c r="I318" s="193">
        <v>809</v>
      </c>
      <c r="J318" s="193">
        <v>827</v>
      </c>
      <c r="K318" s="193">
        <v>827</v>
      </c>
      <c r="L318" s="193">
        <v>875</v>
      </c>
      <c r="M318" s="194">
        <v>875</v>
      </c>
      <c r="N318" s="284">
        <v>350</v>
      </c>
      <c r="O318" s="285" t="s">
        <v>1</v>
      </c>
      <c r="P318" s="285" t="s">
        <v>1</v>
      </c>
      <c r="Q318" s="306">
        <v>299</v>
      </c>
      <c r="R318" s="306" t="s">
        <v>1</v>
      </c>
      <c r="S318" s="286">
        <v>350</v>
      </c>
      <c r="T318" s="285" t="s">
        <v>1</v>
      </c>
      <c r="U318" s="285" t="s">
        <v>1</v>
      </c>
      <c r="V318" s="306">
        <v>299</v>
      </c>
      <c r="W318" s="306" t="s">
        <v>1</v>
      </c>
      <c r="X318" s="286">
        <v>350</v>
      </c>
      <c r="Y318" s="285">
        <v>10</v>
      </c>
      <c r="Z318" s="285">
        <v>24</v>
      </c>
      <c r="AA318" s="306">
        <v>299</v>
      </c>
      <c r="AB318" s="306" t="s">
        <v>1</v>
      </c>
      <c r="AC318" s="286">
        <v>350</v>
      </c>
      <c r="AD318" s="285">
        <v>10</v>
      </c>
      <c r="AE318" s="285">
        <v>24</v>
      </c>
      <c r="AF318" s="306">
        <v>299</v>
      </c>
      <c r="AG318" s="306" t="s">
        <v>1</v>
      </c>
      <c r="AH318" s="286" t="s">
        <v>1</v>
      </c>
      <c r="AI318" s="295" t="s">
        <v>1</v>
      </c>
      <c r="AJ318" s="295" t="s">
        <v>1</v>
      </c>
      <c r="AK318" s="295" t="s">
        <v>1</v>
      </c>
      <c r="AL318" s="302" t="s">
        <v>1</v>
      </c>
      <c r="AM318" s="288" t="s">
        <v>1</v>
      </c>
      <c r="AN318" s="287" t="s">
        <v>1</v>
      </c>
      <c r="AO318" s="287" t="s">
        <v>1</v>
      </c>
      <c r="AP318" s="286" t="s">
        <v>1</v>
      </c>
      <c r="AQ318" s="285" t="s">
        <v>1</v>
      </c>
      <c r="AR318" s="289" t="s">
        <v>1</v>
      </c>
      <c r="AS318" s="289" t="s">
        <v>1</v>
      </c>
      <c r="AT318" s="290" t="s">
        <v>1</v>
      </c>
      <c r="AU318" s="287" t="s">
        <v>1</v>
      </c>
      <c r="AV318" s="287" t="s">
        <v>1</v>
      </c>
      <c r="AW318" s="291" t="s">
        <v>1</v>
      </c>
    </row>
    <row r="319" spans="1:49" ht="30.15" customHeight="1" x14ac:dyDescent="0.25">
      <c r="A319" s="213" t="s">
        <v>18</v>
      </c>
      <c r="B319" s="188" t="s">
        <v>1</v>
      </c>
      <c r="C319" s="212" t="s">
        <v>34</v>
      </c>
      <c r="D319" s="190" t="s">
        <v>3</v>
      </c>
      <c r="E319" s="190" t="s">
        <v>678</v>
      </c>
      <c r="F319" s="203"/>
      <c r="G319" s="190" t="s">
        <v>654</v>
      </c>
      <c r="H319" s="192" t="s">
        <v>409</v>
      </c>
      <c r="I319" s="193">
        <v>809</v>
      </c>
      <c r="J319" s="193">
        <v>827</v>
      </c>
      <c r="K319" s="193">
        <v>827</v>
      </c>
      <c r="L319" s="193">
        <v>875</v>
      </c>
      <c r="M319" s="194">
        <v>875</v>
      </c>
      <c r="N319" s="284">
        <v>350</v>
      </c>
      <c r="O319" s="285" t="s">
        <v>1</v>
      </c>
      <c r="P319" s="285" t="s">
        <v>1</v>
      </c>
      <c r="Q319" s="306">
        <v>299</v>
      </c>
      <c r="R319" s="306" t="s">
        <v>1</v>
      </c>
      <c r="S319" s="286">
        <v>350</v>
      </c>
      <c r="T319" s="285" t="s">
        <v>1</v>
      </c>
      <c r="U319" s="285" t="s">
        <v>1</v>
      </c>
      <c r="V319" s="306">
        <v>299</v>
      </c>
      <c r="W319" s="306" t="s">
        <v>1</v>
      </c>
      <c r="X319" s="286">
        <v>350</v>
      </c>
      <c r="Y319" s="285">
        <v>10</v>
      </c>
      <c r="Z319" s="285">
        <v>24</v>
      </c>
      <c r="AA319" s="306">
        <v>299</v>
      </c>
      <c r="AB319" s="306" t="s">
        <v>1</v>
      </c>
      <c r="AC319" s="286">
        <v>350</v>
      </c>
      <c r="AD319" s="285">
        <v>10</v>
      </c>
      <c r="AE319" s="285">
        <v>24</v>
      </c>
      <c r="AF319" s="306">
        <v>299</v>
      </c>
      <c r="AG319" s="306" t="s">
        <v>1</v>
      </c>
      <c r="AH319" s="286" t="s">
        <v>1</v>
      </c>
      <c r="AI319" s="295" t="s">
        <v>1</v>
      </c>
      <c r="AJ319" s="295" t="s">
        <v>1</v>
      </c>
      <c r="AK319" s="295" t="s">
        <v>1</v>
      </c>
      <c r="AL319" s="302" t="s">
        <v>1</v>
      </c>
      <c r="AM319" s="288" t="s">
        <v>1</v>
      </c>
      <c r="AN319" s="287" t="s">
        <v>1</v>
      </c>
      <c r="AO319" s="287" t="s">
        <v>1</v>
      </c>
      <c r="AP319" s="286" t="s">
        <v>1</v>
      </c>
      <c r="AQ319" s="285" t="s">
        <v>1</v>
      </c>
      <c r="AR319" s="289" t="s">
        <v>1</v>
      </c>
      <c r="AS319" s="289" t="s">
        <v>1</v>
      </c>
      <c r="AT319" s="290" t="s">
        <v>1</v>
      </c>
      <c r="AU319" s="287" t="s">
        <v>1</v>
      </c>
      <c r="AV319" s="287" t="s">
        <v>1</v>
      </c>
      <c r="AW319" s="291" t="s">
        <v>1</v>
      </c>
    </row>
    <row r="320" spans="1:49" ht="30.15" customHeight="1" x14ac:dyDescent="0.25">
      <c r="A320" s="213" t="s">
        <v>18</v>
      </c>
      <c r="B320" s="188" t="s">
        <v>1</v>
      </c>
      <c r="C320" s="212" t="s">
        <v>34</v>
      </c>
      <c r="D320" s="190" t="s">
        <v>3</v>
      </c>
      <c r="E320" s="190" t="s">
        <v>679</v>
      </c>
      <c r="F320" s="203"/>
      <c r="G320" s="190" t="s">
        <v>654</v>
      </c>
      <c r="H320" s="192" t="s">
        <v>409</v>
      </c>
      <c r="I320" s="193">
        <v>809</v>
      </c>
      <c r="J320" s="193">
        <v>827</v>
      </c>
      <c r="K320" s="193">
        <v>827</v>
      </c>
      <c r="L320" s="193">
        <v>875</v>
      </c>
      <c r="M320" s="194">
        <v>875</v>
      </c>
      <c r="N320" s="284">
        <v>350</v>
      </c>
      <c r="O320" s="285" t="s">
        <v>1</v>
      </c>
      <c r="P320" s="285" t="s">
        <v>1</v>
      </c>
      <c r="Q320" s="306">
        <v>299</v>
      </c>
      <c r="R320" s="306" t="s">
        <v>1</v>
      </c>
      <c r="S320" s="286">
        <v>350</v>
      </c>
      <c r="T320" s="285" t="s">
        <v>1</v>
      </c>
      <c r="U320" s="285" t="s">
        <v>1</v>
      </c>
      <c r="V320" s="306">
        <v>299</v>
      </c>
      <c r="W320" s="306" t="s">
        <v>1</v>
      </c>
      <c r="X320" s="286">
        <v>350</v>
      </c>
      <c r="Y320" s="285">
        <v>10</v>
      </c>
      <c r="Z320" s="285">
        <v>24</v>
      </c>
      <c r="AA320" s="306">
        <v>299</v>
      </c>
      <c r="AB320" s="306" t="s">
        <v>1</v>
      </c>
      <c r="AC320" s="286">
        <v>350</v>
      </c>
      <c r="AD320" s="285">
        <v>10</v>
      </c>
      <c r="AE320" s="285">
        <v>24</v>
      </c>
      <c r="AF320" s="306">
        <v>299</v>
      </c>
      <c r="AG320" s="306" t="s">
        <v>1</v>
      </c>
      <c r="AH320" s="286" t="s">
        <v>1</v>
      </c>
      <c r="AI320" s="295" t="s">
        <v>1</v>
      </c>
      <c r="AJ320" s="295" t="s">
        <v>1</v>
      </c>
      <c r="AK320" s="295" t="s">
        <v>1</v>
      </c>
      <c r="AL320" s="302" t="s">
        <v>1</v>
      </c>
      <c r="AM320" s="288" t="s">
        <v>1</v>
      </c>
      <c r="AN320" s="287" t="s">
        <v>1</v>
      </c>
      <c r="AO320" s="287" t="s">
        <v>1</v>
      </c>
      <c r="AP320" s="286" t="s">
        <v>1</v>
      </c>
      <c r="AQ320" s="285" t="s">
        <v>1</v>
      </c>
      <c r="AR320" s="289" t="s">
        <v>1</v>
      </c>
      <c r="AS320" s="289" t="s">
        <v>1</v>
      </c>
      <c r="AT320" s="290" t="s">
        <v>1</v>
      </c>
      <c r="AU320" s="287" t="s">
        <v>1</v>
      </c>
      <c r="AV320" s="287" t="s">
        <v>1</v>
      </c>
      <c r="AW320" s="291" t="s">
        <v>1</v>
      </c>
    </row>
    <row r="321" spans="1:49" ht="30.15" customHeight="1" x14ac:dyDescent="0.25">
      <c r="A321" s="213" t="s">
        <v>18</v>
      </c>
      <c r="B321" s="188" t="s">
        <v>1</v>
      </c>
      <c r="C321" s="212" t="s">
        <v>34</v>
      </c>
      <c r="D321" s="190" t="s">
        <v>3</v>
      </c>
      <c r="E321" s="190" t="s">
        <v>680</v>
      </c>
      <c r="F321" s="203"/>
      <c r="G321" s="190" t="s">
        <v>654</v>
      </c>
      <c r="H321" s="192" t="s">
        <v>409</v>
      </c>
      <c r="I321" s="193">
        <v>809</v>
      </c>
      <c r="J321" s="193">
        <v>827</v>
      </c>
      <c r="K321" s="193">
        <v>827</v>
      </c>
      <c r="L321" s="193">
        <v>875</v>
      </c>
      <c r="M321" s="194">
        <v>875</v>
      </c>
      <c r="N321" s="284">
        <v>350</v>
      </c>
      <c r="O321" s="285" t="s">
        <v>1</v>
      </c>
      <c r="P321" s="285" t="s">
        <v>1</v>
      </c>
      <c r="Q321" s="306">
        <v>299</v>
      </c>
      <c r="R321" s="306" t="s">
        <v>1</v>
      </c>
      <c r="S321" s="286">
        <v>350</v>
      </c>
      <c r="T321" s="285" t="s">
        <v>1</v>
      </c>
      <c r="U321" s="285" t="s">
        <v>1</v>
      </c>
      <c r="V321" s="306">
        <v>299</v>
      </c>
      <c r="W321" s="306" t="s">
        <v>1</v>
      </c>
      <c r="X321" s="286">
        <v>350</v>
      </c>
      <c r="Y321" s="285">
        <v>10</v>
      </c>
      <c r="Z321" s="285">
        <v>24</v>
      </c>
      <c r="AA321" s="306">
        <v>299</v>
      </c>
      <c r="AB321" s="306" t="s">
        <v>1</v>
      </c>
      <c r="AC321" s="286">
        <v>350</v>
      </c>
      <c r="AD321" s="285">
        <v>10</v>
      </c>
      <c r="AE321" s="285">
        <v>24</v>
      </c>
      <c r="AF321" s="306">
        <v>299</v>
      </c>
      <c r="AG321" s="306" t="s">
        <v>1</v>
      </c>
      <c r="AH321" s="286" t="s">
        <v>1</v>
      </c>
      <c r="AI321" s="295" t="s">
        <v>1</v>
      </c>
      <c r="AJ321" s="295" t="s">
        <v>1</v>
      </c>
      <c r="AK321" s="295" t="s">
        <v>1</v>
      </c>
      <c r="AL321" s="302" t="s">
        <v>1</v>
      </c>
      <c r="AM321" s="288" t="s">
        <v>1</v>
      </c>
      <c r="AN321" s="287" t="s">
        <v>1</v>
      </c>
      <c r="AO321" s="287" t="s">
        <v>1</v>
      </c>
      <c r="AP321" s="286" t="s">
        <v>1</v>
      </c>
      <c r="AQ321" s="285" t="s">
        <v>1</v>
      </c>
      <c r="AR321" s="289" t="s">
        <v>1</v>
      </c>
      <c r="AS321" s="289" t="s">
        <v>1</v>
      </c>
      <c r="AT321" s="290" t="s">
        <v>1</v>
      </c>
      <c r="AU321" s="287" t="s">
        <v>1</v>
      </c>
      <c r="AV321" s="287" t="s">
        <v>1</v>
      </c>
      <c r="AW321" s="291" t="s">
        <v>1</v>
      </c>
    </row>
    <row r="322" spans="1:49" ht="30.15" customHeight="1" x14ac:dyDescent="0.25">
      <c r="A322" s="213" t="s">
        <v>18</v>
      </c>
      <c r="B322" s="188" t="s">
        <v>1</v>
      </c>
      <c r="C322" s="212" t="s">
        <v>34</v>
      </c>
      <c r="D322" s="190" t="s">
        <v>3</v>
      </c>
      <c r="E322" s="190" t="s">
        <v>669</v>
      </c>
      <c r="F322" s="203"/>
      <c r="G322" s="190" t="s">
        <v>655</v>
      </c>
      <c r="H322" s="192" t="s">
        <v>409</v>
      </c>
      <c r="I322" s="193">
        <v>875</v>
      </c>
      <c r="J322" s="193">
        <v>898</v>
      </c>
      <c r="K322" s="193">
        <v>898</v>
      </c>
      <c r="L322" s="193">
        <v>945</v>
      </c>
      <c r="M322" s="194">
        <v>945</v>
      </c>
      <c r="N322" s="284">
        <v>378</v>
      </c>
      <c r="O322" s="285" t="s">
        <v>1</v>
      </c>
      <c r="P322" s="285" t="s">
        <v>1</v>
      </c>
      <c r="Q322" s="306">
        <v>309</v>
      </c>
      <c r="R322" s="306" t="s">
        <v>1</v>
      </c>
      <c r="S322" s="286">
        <v>378</v>
      </c>
      <c r="T322" s="285" t="s">
        <v>1</v>
      </c>
      <c r="U322" s="285" t="s">
        <v>1</v>
      </c>
      <c r="V322" s="306">
        <v>309</v>
      </c>
      <c r="W322" s="306" t="s">
        <v>1</v>
      </c>
      <c r="X322" s="286">
        <v>378</v>
      </c>
      <c r="Y322" s="285">
        <v>10</v>
      </c>
      <c r="Z322" s="285">
        <v>24</v>
      </c>
      <c r="AA322" s="306">
        <v>309</v>
      </c>
      <c r="AB322" s="306" t="s">
        <v>1</v>
      </c>
      <c r="AC322" s="286">
        <v>378</v>
      </c>
      <c r="AD322" s="285">
        <v>10</v>
      </c>
      <c r="AE322" s="285">
        <v>24</v>
      </c>
      <c r="AF322" s="306">
        <v>309</v>
      </c>
      <c r="AG322" s="306" t="s">
        <v>1</v>
      </c>
      <c r="AH322" s="286" t="s">
        <v>1</v>
      </c>
      <c r="AI322" s="295" t="s">
        <v>1</v>
      </c>
      <c r="AJ322" s="295" t="s">
        <v>1</v>
      </c>
      <c r="AK322" s="295" t="s">
        <v>1</v>
      </c>
      <c r="AL322" s="302" t="s">
        <v>1</v>
      </c>
      <c r="AM322" s="288" t="s">
        <v>1</v>
      </c>
      <c r="AN322" s="287" t="s">
        <v>1</v>
      </c>
      <c r="AO322" s="287" t="s">
        <v>1</v>
      </c>
      <c r="AP322" s="286" t="s">
        <v>1</v>
      </c>
      <c r="AQ322" s="285" t="s">
        <v>1</v>
      </c>
      <c r="AR322" s="289" t="s">
        <v>1</v>
      </c>
      <c r="AS322" s="289" t="s">
        <v>1</v>
      </c>
      <c r="AT322" s="290" t="s">
        <v>1</v>
      </c>
      <c r="AU322" s="287" t="s">
        <v>1</v>
      </c>
      <c r="AV322" s="287" t="s">
        <v>1</v>
      </c>
      <c r="AW322" s="291" t="s">
        <v>1</v>
      </c>
    </row>
    <row r="323" spans="1:49" ht="30.15" customHeight="1" x14ac:dyDescent="0.25">
      <c r="A323" s="213" t="s">
        <v>18</v>
      </c>
      <c r="B323" s="188" t="s">
        <v>1</v>
      </c>
      <c r="C323" s="212" t="s">
        <v>34</v>
      </c>
      <c r="D323" s="190" t="s">
        <v>3</v>
      </c>
      <c r="E323" s="190" t="s">
        <v>670</v>
      </c>
      <c r="F323" s="203"/>
      <c r="G323" s="190" t="s">
        <v>655</v>
      </c>
      <c r="H323" s="192" t="s">
        <v>409</v>
      </c>
      <c r="I323" s="193">
        <v>875</v>
      </c>
      <c r="J323" s="193">
        <v>898</v>
      </c>
      <c r="K323" s="193">
        <v>898</v>
      </c>
      <c r="L323" s="193">
        <v>945</v>
      </c>
      <c r="M323" s="194">
        <v>945</v>
      </c>
      <c r="N323" s="284">
        <v>378</v>
      </c>
      <c r="O323" s="285" t="s">
        <v>1</v>
      </c>
      <c r="P323" s="285" t="s">
        <v>1</v>
      </c>
      <c r="Q323" s="306">
        <v>309</v>
      </c>
      <c r="R323" s="306" t="s">
        <v>1</v>
      </c>
      <c r="S323" s="286">
        <v>378</v>
      </c>
      <c r="T323" s="285" t="s">
        <v>1</v>
      </c>
      <c r="U323" s="285" t="s">
        <v>1</v>
      </c>
      <c r="V323" s="306">
        <v>309</v>
      </c>
      <c r="W323" s="306" t="s">
        <v>1</v>
      </c>
      <c r="X323" s="286">
        <v>378</v>
      </c>
      <c r="Y323" s="285">
        <v>10</v>
      </c>
      <c r="Z323" s="285">
        <v>24</v>
      </c>
      <c r="AA323" s="306">
        <v>309</v>
      </c>
      <c r="AB323" s="306" t="s">
        <v>1</v>
      </c>
      <c r="AC323" s="286">
        <v>378</v>
      </c>
      <c r="AD323" s="285">
        <v>10</v>
      </c>
      <c r="AE323" s="285">
        <v>24</v>
      </c>
      <c r="AF323" s="306">
        <v>309</v>
      </c>
      <c r="AG323" s="306" t="s">
        <v>1</v>
      </c>
      <c r="AH323" s="286" t="s">
        <v>1</v>
      </c>
      <c r="AI323" s="295" t="s">
        <v>1</v>
      </c>
      <c r="AJ323" s="295" t="s">
        <v>1</v>
      </c>
      <c r="AK323" s="295" t="s">
        <v>1</v>
      </c>
      <c r="AL323" s="302" t="s">
        <v>1</v>
      </c>
      <c r="AM323" s="288" t="s">
        <v>1</v>
      </c>
      <c r="AN323" s="287" t="s">
        <v>1</v>
      </c>
      <c r="AO323" s="287" t="s">
        <v>1</v>
      </c>
      <c r="AP323" s="286" t="s">
        <v>1</v>
      </c>
      <c r="AQ323" s="285" t="s">
        <v>1</v>
      </c>
      <c r="AR323" s="289" t="s">
        <v>1</v>
      </c>
      <c r="AS323" s="289" t="s">
        <v>1</v>
      </c>
      <c r="AT323" s="290" t="s">
        <v>1</v>
      </c>
      <c r="AU323" s="287" t="s">
        <v>1</v>
      </c>
      <c r="AV323" s="287" t="s">
        <v>1</v>
      </c>
      <c r="AW323" s="291" t="s">
        <v>1</v>
      </c>
    </row>
    <row r="324" spans="1:49" ht="30.15" customHeight="1" x14ac:dyDescent="0.25">
      <c r="A324" s="213" t="s">
        <v>18</v>
      </c>
      <c r="B324" s="188" t="s">
        <v>1</v>
      </c>
      <c r="C324" s="212" t="s">
        <v>34</v>
      </c>
      <c r="D324" s="190" t="s">
        <v>3</v>
      </c>
      <c r="E324" s="190" t="s">
        <v>671</v>
      </c>
      <c r="F324" s="203"/>
      <c r="G324" s="190" t="s">
        <v>655</v>
      </c>
      <c r="H324" s="192" t="s">
        <v>409</v>
      </c>
      <c r="I324" s="193">
        <v>875</v>
      </c>
      <c r="J324" s="193">
        <v>898</v>
      </c>
      <c r="K324" s="193">
        <v>898</v>
      </c>
      <c r="L324" s="193">
        <v>945</v>
      </c>
      <c r="M324" s="194">
        <v>945</v>
      </c>
      <c r="N324" s="284">
        <v>378</v>
      </c>
      <c r="O324" s="285" t="s">
        <v>1</v>
      </c>
      <c r="P324" s="285" t="s">
        <v>1</v>
      </c>
      <c r="Q324" s="306">
        <v>309</v>
      </c>
      <c r="R324" s="306" t="s">
        <v>1</v>
      </c>
      <c r="S324" s="286">
        <v>378</v>
      </c>
      <c r="T324" s="285" t="s">
        <v>1</v>
      </c>
      <c r="U324" s="285" t="s">
        <v>1</v>
      </c>
      <c r="V324" s="306">
        <v>309</v>
      </c>
      <c r="W324" s="306" t="s">
        <v>1</v>
      </c>
      <c r="X324" s="286">
        <v>378</v>
      </c>
      <c r="Y324" s="285">
        <v>10</v>
      </c>
      <c r="Z324" s="285">
        <v>24</v>
      </c>
      <c r="AA324" s="306">
        <v>309</v>
      </c>
      <c r="AB324" s="306" t="s">
        <v>1</v>
      </c>
      <c r="AC324" s="286">
        <v>378</v>
      </c>
      <c r="AD324" s="285">
        <v>10</v>
      </c>
      <c r="AE324" s="285">
        <v>24</v>
      </c>
      <c r="AF324" s="306">
        <v>309</v>
      </c>
      <c r="AG324" s="306" t="s">
        <v>1</v>
      </c>
      <c r="AH324" s="286" t="s">
        <v>1</v>
      </c>
      <c r="AI324" s="295" t="s">
        <v>1</v>
      </c>
      <c r="AJ324" s="295" t="s">
        <v>1</v>
      </c>
      <c r="AK324" s="295" t="s">
        <v>1</v>
      </c>
      <c r="AL324" s="302" t="s">
        <v>1</v>
      </c>
      <c r="AM324" s="288" t="s">
        <v>1</v>
      </c>
      <c r="AN324" s="287" t="s">
        <v>1</v>
      </c>
      <c r="AO324" s="287" t="s">
        <v>1</v>
      </c>
      <c r="AP324" s="286" t="s">
        <v>1</v>
      </c>
      <c r="AQ324" s="285" t="s">
        <v>1</v>
      </c>
      <c r="AR324" s="289" t="s">
        <v>1</v>
      </c>
      <c r="AS324" s="289" t="s">
        <v>1</v>
      </c>
      <c r="AT324" s="290" t="s">
        <v>1</v>
      </c>
      <c r="AU324" s="287" t="s">
        <v>1</v>
      </c>
      <c r="AV324" s="287" t="s">
        <v>1</v>
      </c>
      <c r="AW324" s="291" t="s">
        <v>1</v>
      </c>
    </row>
    <row r="325" spans="1:49" ht="30.15" customHeight="1" x14ac:dyDescent="0.25">
      <c r="A325" s="213" t="s">
        <v>18</v>
      </c>
      <c r="B325" s="188" t="s">
        <v>1</v>
      </c>
      <c r="C325" s="212" t="s">
        <v>34</v>
      </c>
      <c r="D325" s="190" t="s">
        <v>3</v>
      </c>
      <c r="E325" s="190" t="s">
        <v>672</v>
      </c>
      <c r="F325" s="203"/>
      <c r="G325" s="190" t="s">
        <v>655</v>
      </c>
      <c r="H325" s="192" t="s">
        <v>409</v>
      </c>
      <c r="I325" s="193">
        <v>875</v>
      </c>
      <c r="J325" s="193">
        <v>898</v>
      </c>
      <c r="K325" s="193">
        <v>898</v>
      </c>
      <c r="L325" s="193">
        <v>945</v>
      </c>
      <c r="M325" s="194">
        <v>945</v>
      </c>
      <c r="N325" s="284">
        <v>378</v>
      </c>
      <c r="O325" s="285" t="s">
        <v>1</v>
      </c>
      <c r="P325" s="285" t="s">
        <v>1</v>
      </c>
      <c r="Q325" s="306">
        <v>309</v>
      </c>
      <c r="R325" s="306" t="s">
        <v>1</v>
      </c>
      <c r="S325" s="286">
        <v>378</v>
      </c>
      <c r="T325" s="285" t="s">
        <v>1</v>
      </c>
      <c r="U325" s="285" t="s">
        <v>1</v>
      </c>
      <c r="V325" s="306">
        <v>309</v>
      </c>
      <c r="W325" s="306" t="s">
        <v>1</v>
      </c>
      <c r="X325" s="286">
        <v>378</v>
      </c>
      <c r="Y325" s="285">
        <v>10</v>
      </c>
      <c r="Z325" s="285">
        <v>24</v>
      </c>
      <c r="AA325" s="306">
        <v>309</v>
      </c>
      <c r="AB325" s="306" t="s">
        <v>1</v>
      </c>
      <c r="AC325" s="286">
        <v>378</v>
      </c>
      <c r="AD325" s="285">
        <v>10</v>
      </c>
      <c r="AE325" s="285">
        <v>24</v>
      </c>
      <c r="AF325" s="306">
        <v>309</v>
      </c>
      <c r="AG325" s="306" t="s">
        <v>1</v>
      </c>
      <c r="AH325" s="286" t="s">
        <v>1</v>
      </c>
      <c r="AI325" s="295" t="s">
        <v>1</v>
      </c>
      <c r="AJ325" s="295" t="s">
        <v>1</v>
      </c>
      <c r="AK325" s="295" t="s">
        <v>1</v>
      </c>
      <c r="AL325" s="302" t="s">
        <v>1</v>
      </c>
      <c r="AM325" s="288" t="s">
        <v>1</v>
      </c>
      <c r="AN325" s="287" t="s">
        <v>1</v>
      </c>
      <c r="AO325" s="287" t="s">
        <v>1</v>
      </c>
      <c r="AP325" s="286" t="s">
        <v>1</v>
      </c>
      <c r="AQ325" s="285" t="s">
        <v>1</v>
      </c>
      <c r="AR325" s="289" t="s">
        <v>1</v>
      </c>
      <c r="AS325" s="289" t="s">
        <v>1</v>
      </c>
      <c r="AT325" s="290" t="s">
        <v>1</v>
      </c>
      <c r="AU325" s="287" t="s">
        <v>1</v>
      </c>
      <c r="AV325" s="287" t="s">
        <v>1</v>
      </c>
      <c r="AW325" s="291" t="s">
        <v>1</v>
      </c>
    </row>
    <row r="326" spans="1:49" ht="30.15" customHeight="1" x14ac:dyDescent="0.25">
      <c r="A326" s="213" t="s">
        <v>18</v>
      </c>
      <c r="B326" s="188" t="s">
        <v>1</v>
      </c>
      <c r="C326" s="212" t="s">
        <v>34</v>
      </c>
      <c r="D326" s="190" t="s">
        <v>3</v>
      </c>
      <c r="E326" s="190" t="s">
        <v>673</v>
      </c>
      <c r="F326" s="203"/>
      <c r="G326" s="190" t="s">
        <v>655</v>
      </c>
      <c r="H326" s="192" t="s">
        <v>409</v>
      </c>
      <c r="I326" s="193">
        <v>875</v>
      </c>
      <c r="J326" s="193">
        <v>898</v>
      </c>
      <c r="K326" s="193">
        <v>898</v>
      </c>
      <c r="L326" s="193">
        <v>945</v>
      </c>
      <c r="M326" s="194">
        <v>945</v>
      </c>
      <c r="N326" s="284">
        <v>378</v>
      </c>
      <c r="O326" s="285" t="s">
        <v>1</v>
      </c>
      <c r="P326" s="285" t="s">
        <v>1</v>
      </c>
      <c r="Q326" s="306">
        <v>309</v>
      </c>
      <c r="R326" s="306" t="s">
        <v>1</v>
      </c>
      <c r="S326" s="286">
        <v>378</v>
      </c>
      <c r="T326" s="285" t="s">
        <v>1</v>
      </c>
      <c r="U326" s="285" t="s">
        <v>1</v>
      </c>
      <c r="V326" s="306">
        <v>309</v>
      </c>
      <c r="W326" s="306" t="s">
        <v>1</v>
      </c>
      <c r="X326" s="286">
        <v>378</v>
      </c>
      <c r="Y326" s="285">
        <v>10</v>
      </c>
      <c r="Z326" s="285">
        <v>24</v>
      </c>
      <c r="AA326" s="306">
        <v>309</v>
      </c>
      <c r="AB326" s="306" t="s">
        <v>1</v>
      </c>
      <c r="AC326" s="286">
        <v>378</v>
      </c>
      <c r="AD326" s="285">
        <v>10</v>
      </c>
      <c r="AE326" s="285">
        <v>24</v>
      </c>
      <c r="AF326" s="306">
        <v>309</v>
      </c>
      <c r="AG326" s="306" t="s">
        <v>1</v>
      </c>
      <c r="AH326" s="286" t="s">
        <v>1</v>
      </c>
      <c r="AI326" s="295" t="s">
        <v>1</v>
      </c>
      <c r="AJ326" s="295" t="s">
        <v>1</v>
      </c>
      <c r="AK326" s="295" t="s">
        <v>1</v>
      </c>
      <c r="AL326" s="302" t="s">
        <v>1</v>
      </c>
      <c r="AM326" s="288" t="s">
        <v>1</v>
      </c>
      <c r="AN326" s="287" t="s">
        <v>1</v>
      </c>
      <c r="AO326" s="287" t="s">
        <v>1</v>
      </c>
      <c r="AP326" s="286" t="s">
        <v>1</v>
      </c>
      <c r="AQ326" s="285" t="s">
        <v>1</v>
      </c>
      <c r="AR326" s="289" t="s">
        <v>1</v>
      </c>
      <c r="AS326" s="289" t="s">
        <v>1</v>
      </c>
      <c r="AT326" s="290" t="s">
        <v>1</v>
      </c>
      <c r="AU326" s="287" t="s">
        <v>1</v>
      </c>
      <c r="AV326" s="287" t="s">
        <v>1</v>
      </c>
      <c r="AW326" s="291" t="s">
        <v>1</v>
      </c>
    </row>
    <row r="327" spans="1:49" ht="30.15" customHeight="1" x14ac:dyDescent="0.25">
      <c r="A327" s="213" t="s">
        <v>18</v>
      </c>
      <c r="B327" s="188" t="s">
        <v>1</v>
      </c>
      <c r="C327" s="212" t="s">
        <v>34</v>
      </c>
      <c r="D327" s="190" t="s">
        <v>3</v>
      </c>
      <c r="E327" s="190" t="s">
        <v>674</v>
      </c>
      <c r="F327" s="203"/>
      <c r="G327" s="190" t="s">
        <v>655</v>
      </c>
      <c r="H327" s="192" t="s">
        <v>409</v>
      </c>
      <c r="I327" s="193">
        <v>875</v>
      </c>
      <c r="J327" s="193">
        <v>898</v>
      </c>
      <c r="K327" s="193">
        <v>898</v>
      </c>
      <c r="L327" s="193">
        <v>945</v>
      </c>
      <c r="M327" s="194">
        <v>945</v>
      </c>
      <c r="N327" s="284">
        <v>378</v>
      </c>
      <c r="O327" s="285" t="s">
        <v>1</v>
      </c>
      <c r="P327" s="285" t="s">
        <v>1</v>
      </c>
      <c r="Q327" s="306">
        <v>309</v>
      </c>
      <c r="R327" s="306" t="s">
        <v>1</v>
      </c>
      <c r="S327" s="286">
        <v>378</v>
      </c>
      <c r="T327" s="285" t="s">
        <v>1</v>
      </c>
      <c r="U327" s="285" t="s">
        <v>1</v>
      </c>
      <c r="V327" s="306">
        <v>309</v>
      </c>
      <c r="W327" s="306" t="s">
        <v>1</v>
      </c>
      <c r="X327" s="286">
        <v>378</v>
      </c>
      <c r="Y327" s="285">
        <v>10</v>
      </c>
      <c r="Z327" s="285">
        <v>24</v>
      </c>
      <c r="AA327" s="306">
        <v>309</v>
      </c>
      <c r="AB327" s="306" t="s">
        <v>1</v>
      </c>
      <c r="AC327" s="286">
        <v>378</v>
      </c>
      <c r="AD327" s="285">
        <v>10</v>
      </c>
      <c r="AE327" s="285">
        <v>24</v>
      </c>
      <c r="AF327" s="306">
        <v>309</v>
      </c>
      <c r="AG327" s="306" t="s">
        <v>1</v>
      </c>
      <c r="AH327" s="286" t="s">
        <v>1</v>
      </c>
      <c r="AI327" s="295" t="s">
        <v>1</v>
      </c>
      <c r="AJ327" s="295" t="s">
        <v>1</v>
      </c>
      <c r="AK327" s="295" t="s">
        <v>1</v>
      </c>
      <c r="AL327" s="302" t="s">
        <v>1</v>
      </c>
      <c r="AM327" s="288" t="s">
        <v>1</v>
      </c>
      <c r="AN327" s="287" t="s">
        <v>1</v>
      </c>
      <c r="AO327" s="287" t="s">
        <v>1</v>
      </c>
      <c r="AP327" s="286" t="s">
        <v>1</v>
      </c>
      <c r="AQ327" s="285" t="s">
        <v>1</v>
      </c>
      <c r="AR327" s="289" t="s">
        <v>1</v>
      </c>
      <c r="AS327" s="289" t="s">
        <v>1</v>
      </c>
      <c r="AT327" s="290" t="s">
        <v>1</v>
      </c>
      <c r="AU327" s="287" t="s">
        <v>1</v>
      </c>
      <c r="AV327" s="287" t="s">
        <v>1</v>
      </c>
      <c r="AW327" s="291" t="s">
        <v>1</v>
      </c>
    </row>
    <row r="328" spans="1:49" ht="30.15" customHeight="1" x14ac:dyDescent="0.25">
      <c r="A328" s="213" t="s">
        <v>18</v>
      </c>
      <c r="B328" s="188" t="s">
        <v>1</v>
      </c>
      <c r="C328" s="212" t="s">
        <v>34</v>
      </c>
      <c r="D328" s="190" t="s">
        <v>3</v>
      </c>
      <c r="E328" s="190" t="s">
        <v>663</v>
      </c>
      <c r="F328" s="203"/>
      <c r="G328" s="190" t="s">
        <v>656</v>
      </c>
      <c r="H328" s="192" t="s">
        <v>409</v>
      </c>
      <c r="I328" s="193">
        <v>1009</v>
      </c>
      <c r="J328" s="193">
        <v>1031</v>
      </c>
      <c r="K328" s="193">
        <v>1031</v>
      </c>
      <c r="L328" s="193">
        <v>1089</v>
      </c>
      <c r="M328" s="194">
        <v>1089</v>
      </c>
      <c r="N328" s="284">
        <v>435.6</v>
      </c>
      <c r="O328" s="285" t="s">
        <v>1</v>
      </c>
      <c r="P328" s="285" t="s">
        <v>1</v>
      </c>
      <c r="Q328" s="306">
        <v>321</v>
      </c>
      <c r="R328" s="306" t="s">
        <v>1</v>
      </c>
      <c r="S328" s="286">
        <v>435.6</v>
      </c>
      <c r="T328" s="285" t="s">
        <v>1</v>
      </c>
      <c r="U328" s="285" t="s">
        <v>1</v>
      </c>
      <c r="V328" s="306">
        <v>321</v>
      </c>
      <c r="W328" s="306" t="s">
        <v>1</v>
      </c>
      <c r="X328" s="286">
        <v>435.6</v>
      </c>
      <c r="Y328" s="285">
        <v>10</v>
      </c>
      <c r="Z328" s="285">
        <v>24</v>
      </c>
      <c r="AA328" s="306">
        <v>321</v>
      </c>
      <c r="AB328" s="306" t="s">
        <v>1</v>
      </c>
      <c r="AC328" s="286">
        <v>435.6</v>
      </c>
      <c r="AD328" s="285">
        <v>10</v>
      </c>
      <c r="AE328" s="285">
        <v>24</v>
      </c>
      <c r="AF328" s="306">
        <v>321</v>
      </c>
      <c r="AG328" s="306" t="s">
        <v>1</v>
      </c>
      <c r="AH328" s="286" t="s">
        <v>1</v>
      </c>
      <c r="AI328" s="295" t="s">
        <v>1</v>
      </c>
      <c r="AJ328" s="295" t="s">
        <v>1</v>
      </c>
      <c r="AK328" s="295" t="s">
        <v>1</v>
      </c>
      <c r="AL328" s="302" t="s">
        <v>1</v>
      </c>
      <c r="AM328" s="288" t="s">
        <v>1</v>
      </c>
      <c r="AN328" s="287" t="s">
        <v>1</v>
      </c>
      <c r="AO328" s="287" t="s">
        <v>1</v>
      </c>
      <c r="AP328" s="286" t="s">
        <v>1</v>
      </c>
      <c r="AQ328" s="285" t="s">
        <v>1</v>
      </c>
      <c r="AR328" s="289" t="s">
        <v>1</v>
      </c>
      <c r="AS328" s="289" t="s">
        <v>1</v>
      </c>
      <c r="AT328" s="290" t="s">
        <v>1</v>
      </c>
      <c r="AU328" s="287" t="s">
        <v>1</v>
      </c>
      <c r="AV328" s="287" t="s">
        <v>1</v>
      </c>
      <c r="AW328" s="291" t="s">
        <v>1</v>
      </c>
    </row>
    <row r="329" spans="1:49" ht="30.15" customHeight="1" x14ac:dyDescent="0.25">
      <c r="A329" s="213" t="s">
        <v>18</v>
      </c>
      <c r="B329" s="188" t="s">
        <v>1</v>
      </c>
      <c r="C329" s="212" t="s">
        <v>34</v>
      </c>
      <c r="D329" s="190" t="s">
        <v>3</v>
      </c>
      <c r="E329" s="190" t="s">
        <v>664</v>
      </c>
      <c r="F329" s="203"/>
      <c r="G329" s="190" t="s">
        <v>656</v>
      </c>
      <c r="H329" s="192" t="s">
        <v>409</v>
      </c>
      <c r="I329" s="193">
        <v>1009</v>
      </c>
      <c r="J329" s="193">
        <v>1031</v>
      </c>
      <c r="K329" s="193">
        <v>1031</v>
      </c>
      <c r="L329" s="193">
        <v>1089</v>
      </c>
      <c r="M329" s="194">
        <v>1089</v>
      </c>
      <c r="N329" s="284">
        <v>435.6</v>
      </c>
      <c r="O329" s="285" t="s">
        <v>1</v>
      </c>
      <c r="P329" s="285" t="s">
        <v>1</v>
      </c>
      <c r="Q329" s="306">
        <v>321</v>
      </c>
      <c r="R329" s="306" t="s">
        <v>1</v>
      </c>
      <c r="S329" s="286">
        <v>435.6</v>
      </c>
      <c r="T329" s="285" t="s">
        <v>1</v>
      </c>
      <c r="U329" s="285" t="s">
        <v>1</v>
      </c>
      <c r="V329" s="306">
        <v>321</v>
      </c>
      <c r="W329" s="306" t="s">
        <v>1</v>
      </c>
      <c r="X329" s="286">
        <v>435.6</v>
      </c>
      <c r="Y329" s="285">
        <v>10</v>
      </c>
      <c r="Z329" s="285">
        <v>24</v>
      </c>
      <c r="AA329" s="306">
        <v>321</v>
      </c>
      <c r="AB329" s="306" t="s">
        <v>1</v>
      </c>
      <c r="AC329" s="286">
        <v>435.6</v>
      </c>
      <c r="AD329" s="285">
        <v>10</v>
      </c>
      <c r="AE329" s="285">
        <v>24</v>
      </c>
      <c r="AF329" s="306">
        <v>321</v>
      </c>
      <c r="AG329" s="306" t="s">
        <v>1</v>
      </c>
      <c r="AH329" s="286" t="s">
        <v>1</v>
      </c>
      <c r="AI329" s="295" t="s">
        <v>1</v>
      </c>
      <c r="AJ329" s="295" t="s">
        <v>1</v>
      </c>
      <c r="AK329" s="295" t="s">
        <v>1</v>
      </c>
      <c r="AL329" s="302" t="s">
        <v>1</v>
      </c>
      <c r="AM329" s="288" t="s">
        <v>1</v>
      </c>
      <c r="AN329" s="287" t="s">
        <v>1</v>
      </c>
      <c r="AO329" s="287" t="s">
        <v>1</v>
      </c>
      <c r="AP329" s="286" t="s">
        <v>1</v>
      </c>
      <c r="AQ329" s="285" t="s">
        <v>1</v>
      </c>
      <c r="AR329" s="289" t="s">
        <v>1</v>
      </c>
      <c r="AS329" s="289" t="s">
        <v>1</v>
      </c>
      <c r="AT329" s="290" t="s">
        <v>1</v>
      </c>
      <c r="AU329" s="287" t="s">
        <v>1</v>
      </c>
      <c r="AV329" s="287" t="s">
        <v>1</v>
      </c>
      <c r="AW329" s="291" t="s">
        <v>1</v>
      </c>
    </row>
    <row r="330" spans="1:49" ht="30.15" customHeight="1" x14ac:dyDescent="0.25">
      <c r="A330" s="213" t="s">
        <v>18</v>
      </c>
      <c r="B330" s="188" t="s">
        <v>1</v>
      </c>
      <c r="C330" s="212" t="s">
        <v>34</v>
      </c>
      <c r="D330" s="190" t="s">
        <v>3</v>
      </c>
      <c r="E330" s="190" t="s">
        <v>665</v>
      </c>
      <c r="F330" s="203"/>
      <c r="G330" s="190" t="s">
        <v>656</v>
      </c>
      <c r="H330" s="192" t="s">
        <v>409</v>
      </c>
      <c r="I330" s="193">
        <v>1009</v>
      </c>
      <c r="J330" s="193">
        <v>1031</v>
      </c>
      <c r="K330" s="193">
        <v>1031</v>
      </c>
      <c r="L330" s="193">
        <v>1089</v>
      </c>
      <c r="M330" s="194">
        <v>1089</v>
      </c>
      <c r="N330" s="284">
        <v>435.6</v>
      </c>
      <c r="O330" s="285" t="s">
        <v>1</v>
      </c>
      <c r="P330" s="285" t="s">
        <v>1</v>
      </c>
      <c r="Q330" s="306">
        <v>321</v>
      </c>
      <c r="R330" s="306" t="s">
        <v>1</v>
      </c>
      <c r="S330" s="286">
        <v>435.6</v>
      </c>
      <c r="T330" s="285" t="s">
        <v>1</v>
      </c>
      <c r="U330" s="285" t="s">
        <v>1</v>
      </c>
      <c r="V330" s="306">
        <v>321</v>
      </c>
      <c r="W330" s="306" t="s">
        <v>1</v>
      </c>
      <c r="X330" s="286">
        <v>435.6</v>
      </c>
      <c r="Y330" s="285">
        <v>10</v>
      </c>
      <c r="Z330" s="285">
        <v>24</v>
      </c>
      <c r="AA330" s="306">
        <v>321</v>
      </c>
      <c r="AB330" s="306" t="s">
        <v>1</v>
      </c>
      <c r="AC330" s="286">
        <v>435.6</v>
      </c>
      <c r="AD330" s="285">
        <v>10</v>
      </c>
      <c r="AE330" s="285">
        <v>24</v>
      </c>
      <c r="AF330" s="306">
        <v>321</v>
      </c>
      <c r="AG330" s="306" t="s">
        <v>1</v>
      </c>
      <c r="AH330" s="286" t="s">
        <v>1</v>
      </c>
      <c r="AI330" s="295" t="s">
        <v>1</v>
      </c>
      <c r="AJ330" s="295" t="s">
        <v>1</v>
      </c>
      <c r="AK330" s="295" t="s">
        <v>1</v>
      </c>
      <c r="AL330" s="302" t="s">
        <v>1</v>
      </c>
      <c r="AM330" s="288" t="s">
        <v>1</v>
      </c>
      <c r="AN330" s="287" t="s">
        <v>1</v>
      </c>
      <c r="AO330" s="287" t="s">
        <v>1</v>
      </c>
      <c r="AP330" s="286" t="s">
        <v>1</v>
      </c>
      <c r="AQ330" s="285" t="s">
        <v>1</v>
      </c>
      <c r="AR330" s="289" t="s">
        <v>1</v>
      </c>
      <c r="AS330" s="289" t="s">
        <v>1</v>
      </c>
      <c r="AT330" s="290" t="s">
        <v>1</v>
      </c>
      <c r="AU330" s="287" t="s">
        <v>1</v>
      </c>
      <c r="AV330" s="287" t="s">
        <v>1</v>
      </c>
      <c r="AW330" s="291" t="s">
        <v>1</v>
      </c>
    </row>
    <row r="331" spans="1:49" ht="30.15" customHeight="1" x14ac:dyDescent="0.25">
      <c r="A331" s="213" t="s">
        <v>18</v>
      </c>
      <c r="B331" s="188" t="s">
        <v>1</v>
      </c>
      <c r="C331" s="212" t="s">
        <v>34</v>
      </c>
      <c r="D331" s="190" t="s">
        <v>3</v>
      </c>
      <c r="E331" s="190" t="s">
        <v>666</v>
      </c>
      <c r="F331" s="203"/>
      <c r="G331" s="190" t="s">
        <v>656</v>
      </c>
      <c r="H331" s="192" t="s">
        <v>409</v>
      </c>
      <c r="I331" s="193">
        <v>1009</v>
      </c>
      <c r="J331" s="193">
        <v>1031</v>
      </c>
      <c r="K331" s="193">
        <v>1031</v>
      </c>
      <c r="L331" s="193">
        <v>1089</v>
      </c>
      <c r="M331" s="194">
        <v>1089</v>
      </c>
      <c r="N331" s="284">
        <v>435.6</v>
      </c>
      <c r="O331" s="285" t="s">
        <v>1</v>
      </c>
      <c r="P331" s="285" t="s">
        <v>1</v>
      </c>
      <c r="Q331" s="306">
        <v>321</v>
      </c>
      <c r="R331" s="306" t="s">
        <v>1</v>
      </c>
      <c r="S331" s="286">
        <v>435.6</v>
      </c>
      <c r="T331" s="285" t="s">
        <v>1</v>
      </c>
      <c r="U331" s="285" t="s">
        <v>1</v>
      </c>
      <c r="V331" s="306">
        <v>321</v>
      </c>
      <c r="W331" s="306" t="s">
        <v>1</v>
      </c>
      <c r="X331" s="286">
        <v>435.6</v>
      </c>
      <c r="Y331" s="285">
        <v>10</v>
      </c>
      <c r="Z331" s="285">
        <v>24</v>
      </c>
      <c r="AA331" s="306">
        <v>321</v>
      </c>
      <c r="AB331" s="306" t="s">
        <v>1</v>
      </c>
      <c r="AC331" s="286">
        <v>435.6</v>
      </c>
      <c r="AD331" s="285">
        <v>10</v>
      </c>
      <c r="AE331" s="285">
        <v>24</v>
      </c>
      <c r="AF331" s="306">
        <v>321</v>
      </c>
      <c r="AG331" s="306" t="s">
        <v>1</v>
      </c>
      <c r="AH331" s="286" t="s">
        <v>1</v>
      </c>
      <c r="AI331" s="295" t="s">
        <v>1</v>
      </c>
      <c r="AJ331" s="295" t="s">
        <v>1</v>
      </c>
      <c r="AK331" s="295" t="s">
        <v>1</v>
      </c>
      <c r="AL331" s="302" t="s">
        <v>1</v>
      </c>
      <c r="AM331" s="288" t="s">
        <v>1</v>
      </c>
      <c r="AN331" s="287" t="s">
        <v>1</v>
      </c>
      <c r="AO331" s="287" t="s">
        <v>1</v>
      </c>
      <c r="AP331" s="286" t="s">
        <v>1</v>
      </c>
      <c r="AQ331" s="285" t="s">
        <v>1</v>
      </c>
      <c r="AR331" s="289" t="s">
        <v>1</v>
      </c>
      <c r="AS331" s="289" t="s">
        <v>1</v>
      </c>
      <c r="AT331" s="290" t="s">
        <v>1</v>
      </c>
      <c r="AU331" s="287" t="s">
        <v>1</v>
      </c>
      <c r="AV331" s="287" t="s">
        <v>1</v>
      </c>
      <c r="AW331" s="291" t="s">
        <v>1</v>
      </c>
    </row>
    <row r="332" spans="1:49" ht="30.15" customHeight="1" x14ac:dyDescent="0.25">
      <c r="A332" s="213" t="s">
        <v>18</v>
      </c>
      <c r="B332" s="188" t="s">
        <v>1</v>
      </c>
      <c r="C332" s="212" t="s">
        <v>34</v>
      </c>
      <c r="D332" s="190" t="s">
        <v>3</v>
      </c>
      <c r="E332" s="190" t="s">
        <v>667</v>
      </c>
      <c r="F332" s="203"/>
      <c r="G332" s="190" t="s">
        <v>656</v>
      </c>
      <c r="H332" s="192" t="s">
        <v>409</v>
      </c>
      <c r="I332" s="193">
        <v>1009</v>
      </c>
      <c r="J332" s="193">
        <v>1031</v>
      </c>
      <c r="K332" s="193">
        <v>1031</v>
      </c>
      <c r="L332" s="193">
        <v>1089</v>
      </c>
      <c r="M332" s="194">
        <v>1089</v>
      </c>
      <c r="N332" s="284">
        <v>435.6</v>
      </c>
      <c r="O332" s="285" t="s">
        <v>1</v>
      </c>
      <c r="P332" s="285" t="s">
        <v>1</v>
      </c>
      <c r="Q332" s="306">
        <v>321</v>
      </c>
      <c r="R332" s="306" t="s">
        <v>1</v>
      </c>
      <c r="S332" s="286">
        <v>435.6</v>
      </c>
      <c r="T332" s="285" t="s">
        <v>1</v>
      </c>
      <c r="U332" s="285" t="s">
        <v>1</v>
      </c>
      <c r="V332" s="306">
        <v>321</v>
      </c>
      <c r="W332" s="306" t="s">
        <v>1</v>
      </c>
      <c r="X332" s="286">
        <v>435.6</v>
      </c>
      <c r="Y332" s="285">
        <v>10</v>
      </c>
      <c r="Z332" s="285">
        <v>24</v>
      </c>
      <c r="AA332" s="306">
        <v>321</v>
      </c>
      <c r="AB332" s="306" t="s">
        <v>1</v>
      </c>
      <c r="AC332" s="286">
        <v>435.6</v>
      </c>
      <c r="AD332" s="285">
        <v>10</v>
      </c>
      <c r="AE332" s="285">
        <v>24</v>
      </c>
      <c r="AF332" s="306">
        <v>321</v>
      </c>
      <c r="AG332" s="306" t="s">
        <v>1</v>
      </c>
      <c r="AH332" s="286" t="s">
        <v>1</v>
      </c>
      <c r="AI332" s="295" t="s">
        <v>1</v>
      </c>
      <c r="AJ332" s="295" t="s">
        <v>1</v>
      </c>
      <c r="AK332" s="295" t="s">
        <v>1</v>
      </c>
      <c r="AL332" s="302" t="s">
        <v>1</v>
      </c>
      <c r="AM332" s="288" t="s">
        <v>1</v>
      </c>
      <c r="AN332" s="287" t="s">
        <v>1</v>
      </c>
      <c r="AO332" s="287" t="s">
        <v>1</v>
      </c>
      <c r="AP332" s="286" t="s">
        <v>1</v>
      </c>
      <c r="AQ332" s="285" t="s">
        <v>1</v>
      </c>
      <c r="AR332" s="289" t="s">
        <v>1</v>
      </c>
      <c r="AS332" s="289" t="s">
        <v>1</v>
      </c>
      <c r="AT332" s="290" t="s">
        <v>1</v>
      </c>
      <c r="AU332" s="287" t="s">
        <v>1</v>
      </c>
      <c r="AV332" s="287" t="s">
        <v>1</v>
      </c>
      <c r="AW332" s="291" t="s">
        <v>1</v>
      </c>
    </row>
    <row r="333" spans="1:49" ht="30.15" customHeight="1" x14ac:dyDescent="0.25">
      <c r="A333" s="213" t="s">
        <v>18</v>
      </c>
      <c r="B333" s="188" t="s">
        <v>1</v>
      </c>
      <c r="C333" s="212" t="s">
        <v>34</v>
      </c>
      <c r="D333" s="190" t="s">
        <v>3</v>
      </c>
      <c r="E333" s="190" t="s">
        <v>668</v>
      </c>
      <c r="F333" s="203"/>
      <c r="G333" s="190" t="s">
        <v>656</v>
      </c>
      <c r="H333" s="192" t="s">
        <v>409</v>
      </c>
      <c r="I333" s="193">
        <v>1009</v>
      </c>
      <c r="J333" s="193">
        <v>1031</v>
      </c>
      <c r="K333" s="193">
        <v>1031</v>
      </c>
      <c r="L333" s="193">
        <v>1089</v>
      </c>
      <c r="M333" s="194">
        <v>1089</v>
      </c>
      <c r="N333" s="284">
        <v>435.6</v>
      </c>
      <c r="O333" s="285" t="s">
        <v>1</v>
      </c>
      <c r="P333" s="285" t="s">
        <v>1</v>
      </c>
      <c r="Q333" s="306">
        <v>321</v>
      </c>
      <c r="R333" s="306" t="s">
        <v>1</v>
      </c>
      <c r="S333" s="286">
        <v>435.6</v>
      </c>
      <c r="T333" s="285" t="s">
        <v>1</v>
      </c>
      <c r="U333" s="285" t="s">
        <v>1</v>
      </c>
      <c r="V333" s="306">
        <v>321</v>
      </c>
      <c r="W333" s="306" t="s">
        <v>1</v>
      </c>
      <c r="X333" s="286">
        <v>435.6</v>
      </c>
      <c r="Y333" s="285">
        <v>10</v>
      </c>
      <c r="Z333" s="285">
        <v>24</v>
      </c>
      <c r="AA333" s="306">
        <v>321</v>
      </c>
      <c r="AB333" s="306" t="s">
        <v>1</v>
      </c>
      <c r="AC333" s="286">
        <v>435.6</v>
      </c>
      <c r="AD333" s="285">
        <v>10</v>
      </c>
      <c r="AE333" s="285">
        <v>24</v>
      </c>
      <c r="AF333" s="306">
        <v>321</v>
      </c>
      <c r="AG333" s="306" t="s">
        <v>1</v>
      </c>
      <c r="AH333" s="286" t="s">
        <v>1</v>
      </c>
      <c r="AI333" s="295" t="s">
        <v>1</v>
      </c>
      <c r="AJ333" s="295" t="s">
        <v>1</v>
      </c>
      <c r="AK333" s="295" t="s">
        <v>1</v>
      </c>
      <c r="AL333" s="302" t="s">
        <v>1</v>
      </c>
      <c r="AM333" s="288" t="s">
        <v>1</v>
      </c>
      <c r="AN333" s="287" t="s">
        <v>1</v>
      </c>
      <c r="AO333" s="287" t="s">
        <v>1</v>
      </c>
      <c r="AP333" s="286" t="s">
        <v>1</v>
      </c>
      <c r="AQ333" s="285" t="s">
        <v>1</v>
      </c>
      <c r="AR333" s="289" t="s">
        <v>1</v>
      </c>
      <c r="AS333" s="289" t="s">
        <v>1</v>
      </c>
      <c r="AT333" s="290" t="s">
        <v>1</v>
      </c>
      <c r="AU333" s="287" t="s">
        <v>1</v>
      </c>
      <c r="AV333" s="287" t="s">
        <v>1</v>
      </c>
      <c r="AW333" s="291" t="s">
        <v>1</v>
      </c>
    </row>
    <row r="334" spans="1:49" ht="30.15" customHeight="1" x14ac:dyDescent="0.25">
      <c r="A334" s="213" t="s">
        <v>18</v>
      </c>
      <c r="B334" s="188" t="s">
        <v>1</v>
      </c>
      <c r="C334" s="212" t="s">
        <v>34</v>
      </c>
      <c r="D334" s="190" t="s">
        <v>3</v>
      </c>
      <c r="E334" s="190" t="s">
        <v>1057</v>
      </c>
      <c r="F334" s="203"/>
      <c r="G334" s="190" t="s">
        <v>1075</v>
      </c>
      <c r="H334" s="192" t="s">
        <v>409</v>
      </c>
      <c r="I334" s="193">
        <v>809</v>
      </c>
      <c r="J334" s="193">
        <v>827</v>
      </c>
      <c r="K334" s="193">
        <v>827</v>
      </c>
      <c r="L334" s="193">
        <v>875</v>
      </c>
      <c r="M334" s="194">
        <v>875</v>
      </c>
      <c r="N334" s="284">
        <v>350</v>
      </c>
      <c r="O334" s="285" t="s">
        <v>1</v>
      </c>
      <c r="P334" s="285" t="s">
        <v>1</v>
      </c>
      <c r="Q334" s="306">
        <v>299</v>
      </c>
      <c r="R334" s="306" t="s">
        <v>1</v>
      </c>
      <c r="S334" s="286">
        <v>350</v>
      </c>
      <c r="T334" s="285" t="s">
        <v>1</v>
      </c>
      <c r="U334" s="285" t="s">
        <v>1</v>
      </c>
      <c r="V334" s="306">
        <v>299</v>
      </c>
      <c r="W334" s="306" t="s">
        <v>1</v>
      </c>
      <c r="X334" s="286">
        <v>350</v>
      </c>
      <c r="Y334" s="285">
        <v>10</v>
      </c>
      <c r="Z334" s="285">
        <v>24</v>
      </c>
      <c r="AA334" s="306">
        <v>299</v>
      </c>
      <c r="AB334" s="306" t="s">
        <v>1</v>
      </c>
      <c r="AC334" s="286">
        <v>350</v>
      </c>
      <c r="AD334" s="285">
        <v>10</v>
      </c>
      <c r="AE334" s="285">
        <v>24</v>
      </c>
      <c r="AF334" s="306">
        <v>299</v>
      </c>
      <c r="AG334" s="306" t="s">
        <v>1</v>
      </c>
      <c r="AH334" s="286" t="s">
        <v>1</v>
      </c>
      <c r="AI334" s="295" t="s">
        <v>1</v>
      </c>
      <c r="AJ334" s="295" t="s">
        <v>1</v>
      </c>
      <c r="AK334" s="295" t="s">
        <v>1</v>
      </c>
      <c r="AL334" s="302" t="s">
        <v>1</v>
      </c>
      <c r="AM334" s="288" t="s">
        <v>1</v>
      </c>
      <c r="AN334" s="287" t="s">
        <v>1</v>
      </c>
      <c r="AO334" s="287" t="s">
        <v>1</v>
      </c>
      <c r="AP334" s="286" t="s">
        <v>1</v>
      </c>
      <c r="AQ334" s="285" t="s">
        <v>1</v>
      </c>
      <c r="AR334" s="289" t="s">
        <v>1</v>
      </c>
      <c r="AS334" s="289" t="s">
        <v>1</v>
      </c>
      <c r="AT334" s="290" t="s">
        <v>1</v>
      </c>
      <c r="AU334" s="287" t="s">
        <v>1</v>
      </c>
      <c r="AV334" s="287" t="s">
        <v>1</v>
      </c>
      <c r="AW334" s="291" t="s">
        <v>1</v>
      </c>
    </row>
    <row r="335" spans="1:49" ht="30.15" customHeight="1" x14ac:dyDescent="0.25">
      <c r="A335" s="213" t="s">
        <v>18</v>
      </c>
      <c r="B335" s="188" t="s">
        <v>1</v>
      </c>
      <c r="C335" s="212" t="s">
        <v>34</v>
      </c>
      <c r="D335" s="190" t="s">
        <v>3</v>
      </c>
      <c r="E335" s="190" t="s">
        <v>1058</v>
      </c>
      <c r="F335" s="203"/>
      <c r="G335" s="190" t="s">
        <v>1075</v>
      </c>
      <c r="H335" s="192" t="s">
        <v>1237</v>
      </c>
      <c r="I335" s="193">
        <v>809</v>
      </c>
      <c r="J335" s="193">
        <v>827</v>
      </c>
      <c r="K335" s="193">
        <v>827</v>
      </c>
      <c r="L335" s="193">
        <v>875</v>
      </c>
      <c r="M335" s="194">
        <v>875</v>
      </c>
      <c r="N335" s="284">
        <v>350</v>
      </c>
      <c r="O335" s="285" t="s">
        <v>1</v>
      </c>
      <c r="P335" s="285" t="s">
        <v>1</v>
      </c>
      <c r="Q335" s="306">
        <v>299</v>
      </c>
      <c r="R335" s="306" t="s">
        <v>1</v>
      </c>
      <c r="S335" s="286">
        <v>350</v>
      </c>
      <c r="T335" s="285" t="s">
        <v>1</v>
      </c>
      <c r="U335" s="285" t="s">
        <v>1</v>
      </c>
      <c r="V335" s="306">
        <v>299</v>
      </c>
      <c r="W335" s="306" t="s">
        <v>1</v>
      </c>
      <c r="X335" s="286">
        <v>350</v>
      </c>
      <c r="Y335" s="285">
        <v>10</v>
      </c>
      <c r="Z335" s="285">
        <v>24</v>
      </c>
      <c r="AA335" s="306">
        <v>299</v>
      </c>
      <c r="AB335" s="306" t="s">
        <v>1</v>
      </c>
      <c r="AC335" s="286">
        <v>350</v>
      </c>
      <c r="AD335" s="285">
        <v>10</v>
      </c>
      <c r="AE335" s="285">
        <v>24</v>
      </c>
      <c r="AF335" s="306">
        <v>299</v>
      </c>
      <c r="AG335" s="306" t="s">
        <v>1</v>
      </c>
      <c r="AH335" s="286" t="s">
        <v>1</v>
      </c>
      <c r="AI335" s="295" t="s">
        <v>1</v>
      </c>
      <c r="AJ335" s="295" t="s">
        <v>1</v>
      </c>
      <c r="AK335" s="295" t="s">
        <v>1</v>
      </c>
      <c r="AL335" s="302" t="s">
        <v>1</v>
      </c>
      <c r="AM335" s="288" t="s">
        <v>1</v>
      </c>
      <c r="AN335" s="287" t="s">
        <v>1</v>
      </c>
      <c r="AO335" s="287" t="s">
        <v>1</v>
      </c>
      <c r="AP335" s="286" t="s">
        <v>1</v>
      </c>
      <c r="AQ335" s="285" t="s">
        <v>1</v>
      </c>
      <c r="AR335" s="289" t="s">
        <v>1</v>
      </c>
      <c r="AS335" s="289" t="s">
        <v>1</v>
      </c>
      <c r="AT335" s="290" t="s">
        <v>1</v>
      </c>
      <c r="AU335" s="287" t="s">
        <v>1</v>
      </c>
      <c r="AV335" s="287" t="s">
        <v>1</v>
      </c>
      <c r="AW335" s="291" t="s">
        <v>1</v>
      </c>
    </row>
    <row r="336" spans="1:49" ht="30.15" customHeight="1" x14ac:dyDescent="0.25">
      <c r="A336" s="213" t="s">
        <v>18</v>
      </c>
      <c r="B336" s="188" t="s">
        <v>1</v>
      </c>
      <c r="C336" s="212" t="s">
        <v>34</v>
      </c>
      <c r="D336" s="190" t="s">
        <v>3</v>
      </c>
      <c r="E336" s="190" t="s">
        <v>1059</v>
      </c>
      <c r="F336" s="203"/>
      <c r="G336" s="190" t="s">
        <v>1075</v>
      </c>
      <c r="H336" s="192" t="s">
        <v>414</v>
      </c>
      <c r="I336" s="193">
        <v>809</v>
      </c>
      <c r="J336" s="193">
        <v>827</v>
      </c>
      <c r="K336" s="193">
        <v>827</v>
      </c>
      <c r="L336" s="193">
        <v>875</v>
      </c>
      <c r="M336" s="194">
        <v>875</v>
      </c>
      <c r="N336" s="284">
        <v>350</v>
      </c>
      <c r="O336" s="285" t="s">
        <v>1</v>
      </c>
      <c r="P336" s="285" t="s">
        <v>1</v>
      </c>
      <c r="Q336" s="306">
        <v>299</v>
      </c>
      <c r="R336" s="306" t="s">
        <v>1</v>
      </c>
      <c r="S336" s="286">
        <v>350</v>
      </c>
      <c r="T336" s="285" t="s">
        <v>1</v>
      </c>
      <c r="U336" s="285" t="s">
        <v>1</v>
      </c>
      <c r="V336" s="306">
        <v>299</v>
      </c>
      <c r="W336" s="306" t="s">
        <v>1</v>
      </c>
      <c r="X336" s="286">
        <v>350</v>
      </c>
      <c r="Y336" s="285">
        <v>10</v>
      </c>
      <c r="Z336" s="285">
        <v>24</v>
      </c>
      <c r="AA336" s="306">
        <v>299</v>
      </c>
      <c r="AB336" s="306" t="s">
        <v>1</v>
      </c>
      <c r="AC336" s="286">
        <v>350</v>
      </c>
      <c r="AD336" s="285">
        <v>10</v>
      </c>
      <c r="AE336" s="285">
        <v>24</v>
      </c>
      <c r="AF336" s="306">
        <v>299</v>
      </c>
      <c r="AG336" s="306" t="s">
        <v>1</v>
      </c>
      <c r="AH336" s="286" t="s">
        <v>1</v>
      </c>
      <c r="AI336" s="295" t="s">
        <v>1</v>
      </c>
      <c r="AJ336" s="295" t="s">
        <v>1</v>
      </c>
      <c r="AK336" s="295" t="s">
        <v>1</v>
      </c>
      <c r="AL336" s="302" t="s">
        <v>1</v>
      </c>
      <c r="AM336" s="288" t="s">
        <v>1</v>
      </c>
      <c r="AN336" s="287" t="s">
        <v>1</v>
      </c>
      <c r="AO336" s="287" t="s">
        <v>1</v>
      </c>
      <c r="AP336" s="286" t="s">
        <v>1</v>
      </c>
      <c r="AQ336" s="285" t="s">
        <v>1</v>
      </c>
      <c r="AR336" s="289" t="s">
        <v>1</v>
      </c>
      <c r="AS336" s="289" t="s">
        <v>1</v>
      </c>
      <c r="AT336" s="290" t="s">
        <v>1</v>
      </c>
      <c r="AU336" s="287" t="s">
        <v>1</v>
      </c>
      <c r="AV336" s="287" t="s">
        <v>1</v>
      </c>
      <c r="AW336" s="291" t="s">
        <v>1</v>
      </c>
    </row>
    <row r="337" spans="1:49" ht="30.15" customHeight="1" x14ac:dyDescent="0.25">
      <c r="A337" s="213" t="s">
        <v>18</v>
      </c>
      <c r="B337" s="188" t="s">
        <v>1</v>
      </c>
      <c r="C337" s="212" t="s">
        <v>34</v>
      </c>
      <c r="D337" s="190" t="s">
        <v>3</v>
      </c>
      <c r="E337" s="190" t="s">
        <v>1060</v>
      </c>
      <c r="F337" s="203"/>
      <c r="G337" s="190" t="s">
        <v>1075</v>
      </c>
      <c r="H337" s="192" t="s">
        <v>414</v>
      </c>
      <c r="I337" s="193">
        <v>809</v>
      </c>
      <c r="J337" s="193">
        <v>827</v>
      </c>
      <c r="K337" s="193">
        <v>827</v>
      </c>
      <c r="L337" s="193">
        <v>875</v>
      </c>
      <c r="M337" s="194">
        <v>875</v>
      </c>
      <c r="N337" s="284">
        <v>350</v>
      </c>
      <c r="O337" s="285" t="s">
        <v>1</v>
      </c>
      <c r="P337" s="285" t="s">
        <v>1</v>
      </c>
      <c r="Q337" s="306">
        <v>299</v>
      </c>
      <c r="R337" s="306" t="s">
        <v>1</v>
      </c>
      <c r="S337" s="286">
        <v>350</v>
      </c>
      <c r="T337" s="285" t="s">
        <v>1</v>
      </c>
      <c r="U337" s="285" t="s">
        <v>1</v>
      </c>
      <c r="V337" s="306">
        <v>299</v>
      </c>
      <c r="W337" s="306" t="s">
        <v>1</v>
      </c>
      <c r="X337" s="286">
        <v>350</v>
      </c>
      <c r="Y337" s="285">
        <v>10</v>
      </c>
      <c r="Z337" s="285">
        <v>24</v>
      </c>
      <c r="AA337" s="306">
        <v>299</v>
      </c>
      <c r="AB337" s="306" t="s">
        <v>1</v>
      </c>
      <c r="AC337" s="286">
        <v>350</v>
      </c>
      <c r="AD337" s="285">
        <v>10</v>
      </c>
      <c r="AE337" s="285">
        <v>24</v>
      </c>
      <c r="AF337" s="306">
        <v>299</v>
      </c>
      <c r="AG337" s="306" t="s">
        <v>1</v>
      </c>
      <c r="AH337" s="286" t="s">
        <v>1</v>
      </c>
      <c r="AI337" s="295" t="s">
        <v>1</v>
      </c>
      <c r="AJ337" s="295" t="s">
        <v>1</v>
      </c>
      <c r="AK337" s="295" t="s">
        <v>1</v>
      </c>
      <c r="AL337" s="302" t="s">
        <v>1</v>
      </c>
      <c r="AM337" s="288" t="s">
        <v>1</v>
      </c>
      <c r="AN337" s="287" t="s">
        <v>1</v>
      </c>
      <c r="AO337" s="287" t="s">
        <v>1</v>
      </c>
      <c r="AP337" s="286" t="s">
        <v>1</v>
      </c>
      <c r="AQ337" s="285" t="s">
        <v>1</v>
      </c>
      <c r="AR337" s="289" t="s">
        <v>1</v>
      </c>
      <c r="AS337" s="289" t="s">
        <v>1</v>
      </c>
      <c r="AT337" s="290" t="s">
        <v>1</v>
      </c>
      <c r="AU337" s="287" t="s">
        <v>1</v>
      </c>
      <c r="AV337" s="287" t="s">
        <v>1</v>
      </c>
      <c r="AW337" s="291" t="s">
        <v>1</v>
      </c>
    </row>
    <row r="338" spans="1:49" ht="30.15" customHeight="1" x14ac:dyDescent="0.25">
      <c r="A338" s="213" t="s">
        <v>18</v>
      </c>
      <c r="B338" s="188" t="s">
        <v>1</v>
      </c>
      <c r="C338" s="212" t="s">
        <v>34</v>
      </c>
      <c r="D338" s="190" t="s">
        <v>3</v>
      </c>
      <c r="E338" s="190" t="s">
        <v>1061</v>
      </c>
      <c r="F338" s="203"/>
      <c r="G338" s="190" t="s">
        <v>1075</v>
      </c>
      <c r="H338" s="192" t="s">
        <v>414</v>
      </c>
      <c r="I338" s="193">
        <v>809</v>
      </c>
      <c r="J338" s="193">
        <v>827</v>
      </c>
      <c r="K338" s="193">
        <v>827</v>
      </c>
      <c r="L338" s="193">
        <v>875</v>
      </c>
      <c r="M338" s="194">
        <v>875</v>
      </c>
      <c r="N338" s="284">
        <v>350</v>
      </c>
      <c r="O338" s="285" t="s">
        <v>1</v>
      </c>
      <c r="P338" s="285" t="s">
        <v>1</v>
      </c>
      <c r="Q338" s="306">
        <v>299</v>
      </c>
      <c r="R338" s="306" t="s">
        <v>1</v>
      </c>
      <c r="S338" s="286">
        <v>350</v>
      </c>
      <c r="T338" s="285" t="s">
        <v>1</v>
      </c>
      <c r="U338" s="285" t="s">
        <v>1</v>
      </c>
      <c r="V338" s="306">
        <v>299</v>
      </c>
      <c r="W338" s="306" t="s">
        <v>1</v>
      </c>
      <c r="X338" s="286">
        <v>350</v>
      </c>
      <c r="Y338" s="285">
        <v>10</v>
      </c>
      <c r="Z338" s="285">
        <v>24</v>
      </c>
      <c r="AA338" s="306">
        <v>299</v>
      </c>
      <c r="AB338" s="306" t="s">
        <v>1</v>
      </c>
      <c r="AC338" s="286">
        <v>350</v>
      </c>
      <c r="AD338" s="285">
        <v>10</v>
      </c>
      <c r="AE338" s="285">
        <v>24</v>
      </c>
      <c r="AF338" s="306">
        <v>299</v>
      </c>
      <c r="AG338" s="306" t="s">
        <v>1</v>
      </c>
      <c r="AH338" s="286" t="s">
        <v>1</v>
      </c>
      <c r="AI338" s="295" t="s">
        <v>1</v>
      </c>
      <c r="AJ338" s="295" t="s">
        <v>1</v>
      </c>
      <c r="AK338" s="295" t="s">
        <v>1</v>
      </c>
      <c r="AL338" s="302" t="s">
        <v>1</v>
      </c>
      <c r="AM338" s="288" t="s">
        <v>1</v>
      </c>
      <c r="AN338" s="287" t="s">
        <v>1</v>
      </c>
      <c r="AO338" s="287" t="s">
        <v>1</v>
      </c>
      <c r="AP338" s="286" t="s">
        <v>1</v>
      </c>
      <c r="AQ338" s="285" t="s">
        <v>1</v>
      </c>
      <c r="AR338" s="289" t="s">
        <v>1</v>
      </c>
      <c r="AS338" s="289" t="s">
        <v>1</v>
      </c>
      <c r="AT338" s="290" t="s">
        <v>1</v>
      </c>
      <c r="AU338" s="287" t="s">
        <v>1</v>
      </c>
      <c r="AV338" s="287" t="s">
        <v>1</v>
      </c>
      <c r="AW338" s="291" t="s">
        <v>1</v>
      </c>
    </row>
    <row r="339" spans="1:49" ht="30.15" customHeight="1" x14ac:dyDescent="0.25">
      <c r="A339" s="213" t="s">
        <v>18</v>
      </c>
      <c r="B339" s="188" t="s">
        <v>1</v>
      </c>
      <c r="C339" s="212" t="s">
        <v>34</v>
      </c>
      <c r="D339" s="190" t="s">
        <v>3</v>
      </c>
      <c r="E339" s="190" t="s">
        <v>1062</v>
      </c>
      <c r="F339" s="203"/>
      <c r="G339" s="190" t="s">
        <v>1075</v>
      </c>
      <c r="H339" s="192" t="s">
        <v>414</v>
      </c>
      <c r="I339" s="193">
        <v>809</v>
      </c>
      <c r="J339" s="193">
        <v>827</v>
      </c>
      <c r="K339" s="193">
        <v>827</v>
      </c>
      <c r="L339" s="193">
        <v>875</v>
      </c>
      <c r="M339" s="194">
        <v>875</v>
      </c>
      <c r="N339" s="284">
        <v>350</v>
      </c>
      <c r="O339" s="285" t="s">
        <v>1</v>
      </c>
      <c r="P339" s="285" t="s">
        <v>1</v>
      </c>
      <c r="Q339" s="306">
        <v>299</v>
      </c>
      <c r="R339" s="306" t="s">
        <v>1</v>
      </c>
      <c r="S339" s="286">
        <v>350</v>
      </c>
      <c r="T339" s="285" t="s">
        <v>1</v>
      </c>
      <c r="U339" s="285" t="s">
        <v>1</v>
      </c>
      <c r="V339" s="306">
        <v>299</v>
      </c>
      <c r="W339" s="306" t="s">
        <v>1</v>
      </c>
      <c r="X339" s="286">
        <v>350</v>
      </c>
      <c r="Y339" s="285">
        <v>10</v>
      </c>
      <c r="Z339" s="285">
        <v>24</v>
      </c>
      <c r="AA339" s="306">
        <v>299</v>
      </c>
      <c r="AB339" s="306" t="s">
        <v>1</v>
      </c>
      <c r="AC339" s="286">
        <v>350</v>
      </c>
      <c r="AD339" s="285">
        <v>10</v>
      </c>
      <c r="AE339" s="285">
        <v>24</v>
      </c>
      <c r="AF339" s="306">
        <v>299</v>
      </c>
      <c r="AG339" s="306" t="s">
        <v>1</v>
      </c>
      <c r="AH339" s="286" t="s">
        <v>1</v>
      </c>
      <c r="AI339" s="295" t="s">
        <v>1</v>
      </c>
      <c r="AJ339" s="295" t="s">
        <v>1</v>
      </c>
      <c r="AK339" s="295" t="s">
        <v>1</v>
      </c>
      <c r="AL339" s="302" t="s">
        <v>1</v>
      </c>
      <c r="AM339" s="288" t="s">
        <v>1</v>
      </c>
      <c r="AN339" s="287" t="s">
        <v>1</v>
      </c>
      <c r="AO339" s="287" t="s">
        <v>1</v>
      </c>
      <c r="AP339" s="286" t="s">
        <v>1</v>
      </c>
      <c r="AQ339" s="285" t="s">
        <v>1</v>
      </c>
      <c r="AR339" s="289" t="s">
        <v>1</v>
      </c>
      <c r="AS339" s="289" t="s">
        <v>1</v>
      </c>
      <c r="AT339" s="290" t="s">
        <v>1</v>
      </c>
      <c r="AU339" s="287" t="s">
        <v>1</v>
      </c>
      <c r="AV339" s="287" t="s">
        <v>1</v>
      </c>
      <c r="AW339" s="291" t="s">
        <v>1</v>
      </c>
    </row>
    <row r="340" spans="1:49" ht="30.15" customHeight="1" x14ac:dyDescent="0.25">
      <c r="A340" s="213" t="s">
        <v>18</v>
      </c>
      <c r="B340" s="188" t="s">
        <v>1</v>
      </c>
      <c r="C340" s="212" t="s">
        <v>34</v>
      </c>
      <c r="D340" s="190" t="s">
        <v>3</v>
      </c>
      <c r="E340" s="190" t="s">
        <v>1063</v>
      </c>
      <c r="F340" s="203"/>
      <c r="G340" s="190" t="s">
        <v>1076</v>
      </c>
      <c r="H340" s="192" t="s">
        <v>409</v>
      </c>
      <c r="I340" s="193">
        <v>875</v>
      </c>
      <c r="J340" s="193">
        <v>898</v>
      </c>
      <c r="K340" s="193">
        <v>898</v>
      </c>
      <c r="L340" s="193">
        <v>945</v>
      </c>
      <c r="M340" s="194">
        <v>945</v>
      </c>
      <c r="N340" s="284">
        <v>378</v>
      </c>
      <c r="O340" s="285" t="s">
        <v>1</v>
      </c>
      <c r="P340" s="285" t="s">
        <v>1</v>
      </c>
      <c r="Q340" s="306">
        <v>309</v>
      </c>
      <c r="R340" s="306" t="s">
        <v>1</v>
      </c>
      <c r="S340" s="286">
        <v>378</v>
      </c>
      <c r="T340" s="285" t="s">
        <v>1</v>
      </c>
      <c r="U340" s="285" t="s">
        <v>1</v>
      </c>
      <c r="V340" s="306">
        <v>309</v>
      </c>
      <c r="W340" s="306" t="s">
        <v>1</v>
      </c>
      <c r="X340" s="286">
        <v>378</v>
      </c>
      <c r="Y340" s="285">
        <v>10</v>
      </c>
      <c r="Z340" s="285">
        <v>24</v>
      </c>
      <c r="AA340" s="306">
        <v>309</v>
      </c>
      <c r="AB340" s="306" t="s">
        <v>1</v>
      </c>
      <c r="AC340" s="286">
        <v>378</v>
      </c>
      <c r="AD340" s="285">
        <v>10</v>
      </c>
      <c r="AE340" s="285">
        <v>24</v>
      </c>
      <c r="AF340" s="306">
        <v>309</v>
      </c>
      <c r="AG340" s="306" t="s">
        <v>1</v>
      </c>
      <c r="AH340" s="286" t="s">
        <v>1</v>
      </c>
      <c r="AI340" s="295" t="s">
        <v>1</v>
      </c>
      <c r="AJ340" s="295" t="s">
        <v>1</v>
      </c>
      <c r="AK340" s="295" t="s">
        <v>1</v>
      </c>
      <c r="AL340" s="302" t="s">
        <v>1</v>
      </c>
      <c r="AM340" s="288" t="s">
        <v>1</v>
      </c>
      <c r="AN340" s="287" t="s">
        <v>1</v>
      </c>
      <c r="AO340" s="287" t="s">
        <v>1</v>
      </c>
      <c r="AP340" s="286" t="s">
        <v>1</v>
      </c>
      <c r="AQ340" s="285" t="s">
        <v>1</v>
      </c>
      <c r="AR340" s="289" t="s">
        <v>1</v>
      </c>
      <c r="AS340" s="289" t="s">
        <v>1</v>
      </c>
      <c r="AT340" s="290" t="s">
        <v>1</v>
      </c>
      <c r="AU340" s="287" t="s">
        <v>1</v>
      </c>
      <c r="AV340" s="287" t="s">
        <v>1</v>
      </c>
      <c r="AW340" s="291" t="s">
        <v>1</v>
      </c>
    </row>
    <row r="341" spans="1:49" ht="30.15" customHeight="1" x14ac:dyDescent="0.25">
      <c r="A341" s="213" t="s">
        <v>18</v>
      </c>
      <c r="B341" s="188" t="s">
        <v>1</v>
      </c>
      <c r="C341" s="212" t="s">
        <v>34</v>
      </c>
      <c r="D341" s="190" t="s">
        <v>3</v>
      </c>
      <c r="E341" s="190" t="s">
        <v>1064</v>
      </c>
      <c r="F341" s="203"/>
      <c r="G341" s="190" t="s">
        <v>1076</v>
      </c>
      <c r="H341" s="192" t="s">
        <v>414</v>
      </c>
      <c r="I341" s="193">
        <v>875</v>
      </c>
      <c r="J341" s="193">
        <v>898</v>
      </c>
      <c r="K341" s="193">
        <v>898</v>
      </c>
      <c r="L341" s="193">
        <v>945</v>
      </c>
      <c r="M341" s="194">
        <v>945</v>
      </c>
      <c r="N341" s="284">
        <v>378</v>
      </c>
      <c r="O341" s="285" t="s">
        <v>1</v>
      </c>
      <c r="P341" s="285" t="s">
        <v>1</v>
      </c>
      <c r="Q341" s="306">
        <v>309</v>
      </c>
      <c r="R341" s="306" t="s">
        <v>1</v>
      </c>
      <c r="S341" s="286">
        <v>378</v>
      </c>
      <c r="T341" s="285" t="s">
        <v>1</v>
      </c>
      <c r="U341" s="285" t="s">
        <v>1</v>
      </c>
      <c r="V341" s="306">
        <v>309</v>
      </c>
      <c r="W341" s="306" t="s">
        <v>1</v>
      </c>
      <c r="X341" s="286">
        <v>378</v>
      </c>
      <c r="Y341" s="285">
        <v>10</v>
      </c>
      <c r="Z341" s="285">
        <v>24</v>
      </c>
      <c r="AA341" s="306">
        <v>309</v>
      </c>
      <c r="AB341" s="306" t="s">
        <v>1</v>
      </c>
      <c r="AC341" s="286">
        <v>378</v>
      </c>
      <c r="AD341" s="285">
        <v>10</v>
      </c>
      <c r="AE341" s="285">
        <v>24</v>
      </c>
      <c r="AF341" s="306">
        <v>309</v>
      </c>
      <c r="AG341" s="306" t="s">
        <v>1</v>
      </c>
      <c r="AH341" s="286" t="s">
        <v>1</v>
      </c>
      <c r="AI341" s="295" t="s">
        <v>1</v>
      </c>
      <c r="AJ341" s="295" t="s">
        <v>1</v>
      </c>
      <c r="AK341" s="295" t="s">
        <v>1</v>
      </c>
      <c r="AL341" s="302" t="s">
        <v>1</v>
      </c>
      <c r="AM341" s="288" t="s">
        <v>1</v>
      </c>
      <c r="AN341" s="287" t="s">
        <v>1</v>
      </c>
      <c r="AO341" s="287" t="s">
        <v>1</v>
      </c>
      <c r="AP341" s="286" t="s">
        <v>1</v>
      </c>
      <c r="AQ341" s="285" t="s">
        <v>1</v>
      </c>
      <c r="AR341" s="289" t="s">
        <v>1</v>
      </c>
      <c r="AS341" s="289" t="s">
        <v>1</v>
      </c>
      <c r="AT341" s="290" t="s">
        <v>1</v>
      </c>
      <c r="AU341" s="287" t="s">
        <v>1</v>
      </c>
      <c r="AV341" s="287" t="s">
        <v>1</v>
      </c>
      <c r="AW341" s="291" t="s">
        <v>1</v>
      </c>
    </row>
    <row r="342" spans="1:49" ht="30.15" customHeight="1" x14ac:dyDescent="0.25">
      <c r="A342" s="213" t="s">
        <v>18</v>
      </c>
      <c r="B342" s="188" t="s">
        <v>1</v>
      </c>
      <c r="C342" s="212" t="s">
        <v>34</v>
      </c>
      <c r="D342" s="190" t="s">
        <v>3</v>
      </c>
      <c r="E342" s="190" t="s">
        <v>1065</v>
      </c>
      <c r="F342" s="203"/>
      <c r="G342" s="190" t="s">
        <v>1076</v>
      </c>
      <c r="H342" s="192" t="s">
        <v>414</v>
      </c>
      <c r="I342" s="193">
        <v>875</v>
      </c>
      <c r="J342" s="193">
        <v>898</v>
      </c>
      <c r="K342" s="193">
        <v>898</v>
      </c>
      <c r="L342" s="193">
        <v>945</v>
      </c>
      <c r="M342" s="194">
        <v>945</v>
      </c>
      <c r="N342" s="284">
        <v>378</v>
      </c>
      <c r="O342" s="285" t="s">
        <v>1</v>
      </c>
      <c r="P342" s="285" t="s">
        <v>1</v>
      </c>
      <c r="Q342" s="306">
        <v>309</v>
      </c>
      <c r="R342" s="306" t="s">
        <v>1</v>
      </c>
      <c r="S342" s="286">
        <v>378</v>
      </c>
      <c r="T342" s="285" t="s">
        <v>1</v>
      </c>
      <c r="U342" s="285" t="s">
        <v>1</v>
      </c>
      <c r="V342" s="306">
        <v>309</v>
      </c>
      <c r="W342" s="306" t="s">
        <v>1</v>
      </c>
      <c r="X342" s="286">
        <v>378</v>
      </c>
      <c r="Y342" s="285">
        <v>10</v>
      </c>
      <c r="Z342" s="285">
        <v>24</v>
      </c>
      <c r="AA342" s="306">
        <v>309</v>
      </c>
      <c r="AB342" s="306" t="s">
        <v>1</v>
      </c>
      <c r="AC342" s="286">
        <v>378</v>
      </c>
      <c r="AD342" s="285">
        <v>10</v>
      </c>
      <c r="AE342" s="285">
        <v>24</v>
      </c>
      <c r="AF342" s="306">
        <v>309</v>
      </c>
      <c r="AG342" s="306" t="s">
        <v>1</v>
      </c>
      <c r="AH342" s="286" t="s">
        <v>1</v>
      </c>
      <c r="AI342" s="295" t="s">
        <v>1</v>
      </c>
      <c r="AJ342" s="295" t="s">
        <v>1</v>
      </c>
      <c r="AK342" s="295" t="s">
        <v>1</v>
      </c>
      <c r="AL342" s="302" t="s">
        <v>1</v>
      </c>
      <c r="AM342" s="288" t="s">
        <v>1</v>
      </c>
      <c r="AN342" s="287" t="s">
        <v>1</v>
      </c>
      <c r="AO342" s="287" t="s">
        <v>1</v>
      </c>
      <c r="AP342" s="286" t="s">
        <v>1</v>
      </c>
      <c r="AQ342" s="285" t="s">
        <v>1</v>
      </c>
      <c r="AR342" s="289" t="s">
        <v>1</v>
      </c>
      <c r="AS342" s="289" t="s">
        <v>1</v>
      </c>
      <c r="AT342" s="290" t="s">
        <v>1</v>
      </c>
      <c r="AU342" s="287" t="s">
        <v>1</v>
      </c>
      <c r="AV342" s="287" t="s">
        <v>1</v>
      </c>
      <c r="AW342" s="291" t="s">
        <v>1</v>
      </c>
    </row>
    <row r="343" spans="1:49" ht="30.15" customHeight="1" x14ac:dyDescent="0.25">
      <c r="A343" s="213" t="s">
        <v>18</v>
      </c>
      <c r="B343" s="188" t="s">
        <v>1</v>
      </c>
      <c r="C343" s="212" t="s">
        <v>34</v>
      </c>
      <c r="D343" s="190" t="s">
        <v>3</v>
      </c>
      <c r="E343" s="190" t="s">
        <v>1066</v>
      </c>
      <c r="F343" s="203"/>
      <c r="G343" s="190" t="s">
        <v>1076</v>
      </c>
      <c r="H343" s="192" t="s">
        <v>414</v>
      </c>
      <c r="I343" s="193">
        <v>875</v>
      </c>
      <c r="J343" s="193">
        <v>898</v>
      </c>
      <c r="K343" s="193">
        <v>898</v>
      </c>
      <c r="L343" s="193">
        <v>945</v>
      </c>
      <c r="M343" s="194">
        <v>945</v>
      </c>
      <c r="N343" s="284">
        <v>378</v>
      </c>
      <c r="O343" s="285" t="s">
        <v>1</v>
      </c>
      <c r="P343" s="285" t="s">
        <v>1</v>
      </c>
      <c r="Q343" s="306">
        <v>309</v>
      </c>
      <c r="R343" s="306" t="s">
        <v>1</v>
      </c>
      <c r="S343" s="286">
        <v>378</v>
      </c>
      <c r="T343" s="285" t="s">
        <v>1</v>
      </c>
      <c r="U343" s="285" t="s">
        <v>1</v>
      </c>
      <c r="V343" s="306">
        <v>309</v>
      </c>
      <c r="W343" s="306" t="s">
        <v>1</v>
      </c>
      <c r="X343" s="286">
        <v>378</v>
      </c>
      <c r="Y343" s="285">
        <v>10</v>
      </c>
      <c r="Z343" s="285">
        <v>24</v>
      </c>
      <c r="AA343" s="306">
        <v>309</v>
      </c>
      <c r="AB343" s="306" t="s">
        <v>1</v>
      </c>
      <c r="AC343" s="286">
        <v>378</v>
      </c>
      <c r="AD343" s="285">
        <v>10</v>
      </c>
      <c r="AE343" s="285">
        <v>24</v>
      </c>
      <c r="AF343" s="306">
        <v>309</v>
      </c>
      <c r="AG343" s="306" t="s">
        <v>1</v>
      </c>
      <c r="AH343" s="286" t="s">
        <v>1</v>
      </c>
      <c r="AI343" s="295" t="s">
        <v>1</v>
      </c>
      <c r="AJ343" s="295" t="s">
        <v>1</v>
      </c>
      <c r="AK343" s="295" t="s">
        <v>1</v>
      </c>
      <c r="AL343" s="302" t="s">
        <v>1</v>
      </c>
      <c r="AM343" s="288" t="s">
        <v>1</v>
      </c>
      <c r="AN343" s="287" t="s">
        <v>1</v>
      </c>
      <c r="AO343" s="287" t="s">
        <v>1</v>
      </c>
      <c r="AP343" s="286" t="s">
        <v>1</v>
      </c>
      <c r="AQ343" s="285" t="s">
        <v>1</v>
      </c>
      <c r="AR343" s="289" t="s">
        <v>1</v>
      </c>
      <c r="AS343" s="289" t="s">
        <v>1</v>
      </c>
      <c r="AT343" s="290" t="s">
        <v>1</v>
      </c>
      <c r="AU343" s="287" t="s">
        <v>1</v>
      </c>
      <c r="AV343" s="287" t="s">
        <v>1</v>
      </c>
      <c r="AW343" s="291" t="s">
        <v>1</v>
      </c>
    </row>
    <row r="344" spans="1:49" ht="30.15" customHeight="1" x14ac:dyDescent="0.25">
      <c r="A344" s="213" t="s">
        <v>18</v>
      </c>
      <c r="B344" s="188" t="s">
        <v>1</v>
      </c>
      <c r="C344" s="212" t="s">
        <v>34</v>
      </c>
      <c r="D344" s="190" t="s">
        <v>3</v>
      </c>
      <c r="E344" s="190" t="s">
        <v>1067</v>
      </c>
      <c r="F344" s="203"/>
      <c r="G344" s="190" t="s">
        <v>1076</v>
      </c>
      <c r="H344" s="192" t="s">
        <v>414</v>
      </c>
      <c r="I344" s="193">
        <v>875</v>
      </c>
      <c r="J344" s="193">
        <v>898</v>
      </c>
      <c r="K344" s="193">
        <v>898</v>
      </c>
      <c r="L344" s="193">
        <v>945</v>
      </c>
      <c r="M344" s="194">
        <v>945</v>
      </c>
      <c r="N344" s="284">
        <v>378</v>
      </c>
      <c r="O344" s="285" t="s">
        <v>1</v>
      </c>
      <c r="P344" s="285" t="s">
        <v>1</v>
      </c>
      <c r="Q344" s="306">
        <v>309</v>
      </c>
      <c r="R344" s="306" t="s">
        <v>1</v>
      </c>
      <c r="S344" s="286">
        <v>378</v>
      </c>
      <c r="T344" s="285" t="s">
        <v>1</v>
      </c>
      <c r="U344" s="285" t="s">
        <v>1</v>
      </c>
      <c r="V344" s="306">
        <v>309</v>
      </c>
      <c r="W344" s="306" t="s">
        <v>1</v>
      </c>
      <c r="X344" s="286">
        <v>378</v>
      </c>
      <c r="Y344" s="285">
        <v>10</v>
      </c>
      <c r="Z344" s="285">
        <v>24</v>
      </c>
      <c r="AA344" s="306">
        <v>309</v>
      </c>
      <c r="AB344" s="306" t="s">
        <v>1</v>
      </c>
      <c r="AC344" s="286">
        <v>378</v>
      </c>
      <c r="AD344" s="285">
        <v>10</v>
      </c>
      <c r="AE344" s="285">
        <v>24</v>
      </c>
      <c r="AF344" s="306">
        <v>309</v>
      </c>
      <c r="AG344" s="306" t="s">
        <v>1</v>
      </c>
      <c r="AH344" s="286" t="s">
        <v>1</v>
      </c>
      <c r="AI344" s="295" t="s">
        <v>1</v>
      </c>
      <c r="AJ344" s="295" t="s">
        <v>1</v>
      </c>
      <c r="AK344" s="295" t="s">
        <v>1</v>
      </c>
      <c r="AL344" s="302" t="s">
        <v>1</v>
      </c>
      <c r="AM344" s="288" t="s">
        <v>1</v>
      </c>
      <c r="AN344" s="287" t="s">
        <v>1</v>
      </c>
      <c r="AO344" s="287" t="s">
        <v>1</v>
      </c>
      <c r="AP344" s="286" t="s">
        <v>1</v>
      </c>
      <c r="AQ344" s="285" t="s">
        <v>1</v>
      </c>
      <c r="AR344" s="289" t="s">
        <v>1</v>
      </c>
      <c r="AS344" s="289" t="s">
        <v>1</v>
      </c>
      <c r="AT344" s="290" t="s">
        <v>1</v>
      </c>
      <c r="AU344" s="287" t="s">
        <v>1</v>
      </c>
      <c r="AV344" s="287" t="s">
        <v>1</v>
      </c>
      <c r="AW344" s="291" t="s">
        <v>1</v>
      </c>
    </row>
    <row r="345" spans="1:49" ht="30.15" customHeight="1" x14ac:dyDescent="0.25">
      <c r="A345" s="213" t="s">
        <v>18</v>
      </c>
      <c r="B345" s="188" t="s">
        <v>1</v>
      </c>
      <c r="C345" s="212" t="s">
        <v>34</v>
      </c>
      <c r="D345" s="190" t="s">
        <v>3</v>
      </c>
      <c r="E345" s="190" t="s">
        <v>1068</v>
      </c>
      <c r="F345" s="203"/>
      <c r="G345" s="190" t="s">
        <v>1076</v>
      </c>
      <c r="H345" s="192" t="s">
        <v>414</v>
      </c>
      <c r="I345" s="193">
        <v>875</v>
      </c>
      <c r="J345" s="193">
        <v>898</v>
      </c>
      <c r="K345" s="193">
        <v>898</v>
      </c>
      <c r="L345" s="193">
        <v>945</v>
      </c>
      <c r="M345" s="194">
        <v>945</v>
      </c>
      <c r="N345" s="284">
        <v>378</v>
      </c>
      <c r="O345" s="285" t="s">
        <v>1</v>
      </c>
      <c r="P345" s="285" t="s">
        <v>1</v>
      </c>
      <c r="Q345" s="306">
        <v>309</v>
      </c>
      <c r="R345" s="306" t="s">
        <v>1</v>
      </c>
      <c r="S345" s="286">
        <v>378</v>
      </c>
      <c r="T345" s="285" t="s">
        <v>1</v>
      </c>
      <c r="U345" s="285" t="s">
        <v>1</v>
      </c>
      <c r="V345" s="306">
        <v>309</v>
      </c>
      <c r="W345" s="306" t="s">
        <v>1</v>
      </c>
      <c r="X345" s="286">
        <v>378</v>
      </c>
      <c r="Y345" s="285">
        <v>10</v>
      </c>
      <c r="Z345" s="285">
        <v>24</v>
      </c>
      <c r="AA345" s="306">
        <v>309</v>
      </c>
      <c r="AB345" s="306" t="s">
        <v>1</v>
      </c>
      <c r="AC345" s="286">
        <v>378</v>
      </c>
      <c r="AD345" s="285">
        <v>10</v>
      </c>
      <c r="AE345" s="285">
        <v>24</v>
      </c>
      <c r="AF345" s="306">
        <v>309</v>
      </c>
      <c r="AG345" s="306" t="s">
        <v>1</v>
      </c>
      <c r="AH345" s="286" t="s">
        <v>1</v>
      </c>
      <c r="AI345" s="295" t="s">
        <v>1</v>
      </c>
      <c r="AJ345" s="295" t="s">
        <v>1</v>
      </c>
      <c r="AK345" s="295" t="s">
        <v>1</v>
      </c>
      <c r="AL345" s="302" t="s">
        <v>1</v>
      </c>
      <c r="AM345" s="288" t="s">
        <v>1</v>
      </c>
      <c r="AN345" s="287" t="s">
        <v>1</v>
      </c>
      <c r="AO345" s="287" t="s">
        <v>1</v>
      </c>
      <c r="AP345" s="286" t="s">
        <v>1</v>
      </c>
      <c r="AQ345" s="285" t="s">
        <v>1</v>
      </c>
      <c r="AR345" s="289" t="s">
        <v>1</v>
      </c>
      <c r="AS345" s="289" t="s">
        <v>1</v>
      </c>
      <c r="AT345" s="290" t="s">
        <v>1</v>
      </c>
      <c r="AU345" s="287" t="s">
        <v>1</v>
      </c>
      <c r="AV345" s="287" t="s">
        <v>1</v>
      </c>
      <c r="AW345" s="291" t="s">
        <v>1</v>
      </c>
    </row>
    <row r="346" spans="1:49" ht="30.15" customHeight="1" x14ac:dyDescent="0.25">
      <c r="A346" s="213" t="s">
        <v>18</v>
      </c>
      <c r="B346" s="188" t="s">
        <v>1</v>
      </c>
      <c r="C346" s="212" t="s">
        <v>34</v>
      </c>
      <c r="D346" s="190" t="s">
        <v>3</v>
      </c>
      <c r="E346" s="190" t="s">
        <v>1069</v>
      </c>
      <c r="F346" s="203"/>
      <c r="G346" s="190" t="s">
        <v>1077</v>
      </c>
      <c r="H346" s="192" t="s">
        <v>414</v>
      </c>
      <c r="I346" s="193">
        <v>1009</v>
      </c>
      <c r="J346" s="193">
        <v>1031</v>
      </c>
      <c r="K346" s="193">
        <v>1031</v>
      </c>
      <c r="L346" s="193">
        <v>1089</v>
      </c>
      <c r="M346" s="194">
        <v>1089</v>
      </c>
      <c r="N346" s="284">
        <v>435.6</v>
      </c>
      <c r="O346" s="285" t="s">
        <v>1</v>
      </c>
      <c r="P346" s="285" t="s">
        <v>1</v>
      </c>
      <c r="Q346" s="306">
        <v>321</v>
      </c>
      <c r="R346" s="306" t="s">
        <v>1</v>
      </c>
      <c r="S346" s="286">
        <v>435.6</v>
      </c>
      <c r="T346" s="285" t="s">
        <v>1</v>
      </c>
      <c r="U346" s="285" t="s">
        <v>1</v>
      </c>
      <c r="V346" s="306">
        <v>321</v>
      </c>
      <c r="W346" s="306" t="s">
        <v>1</v>
      </c>
      <c r="X346" s="286">
        <v>435.6</v>
      </c>
      <c r="Y346" s="285">
        <v>10</v>
      </c>
      <c r="Z346" s="285">
        <v>24</v>
      </c>
      <c r="AA346" s="306">
        <v>321</v>
      </c>
      <c r="AB346" s="306" t="s">
        <v>1</v>
      </c>
      <c r="AC346" s="286">
        <v>435.6</v>
      </c>
      <c r="AD346" s="285">
        <v>10</v>
      </c>
      <c r="AE346" s="285">
        <v>24</v>
      </c>
      <c r="AF346" s="306">
        <v>321</v>
      </c>
      <c r="AG346" s="306" t="s">
        <v>1</v>
      </c>
      <c r="AH346" s="286" t="s">
        <v>1</v>
      </c>
      <c r="AI346" s="295" t="s">
        <v>1</v>
      </c>
      <c r="AJ346" s="295" t="s">
        <v>1</v>
      </c>
      <c r="AK346" s="295" t="s">
        <v>1</v>
      </c>
      <c r="AL346" s="302" t="s">
        <v>1</v>
      </c>
      <c r="AM346" s="288" t="s">
        <v>1</v>
      </c>
      <c r="AN346" s="287" t="s">
        <v>1</v>
      </c>
      <c r="AO346" s="287" t="s">
        <v>1</v>
      </c>
      <c r="AP346" s="286" t="s">
        <v>1</v>
      </c>
      <c r="AQ346" s="285" t="s">
        <v>1</v>
      </c>
      <c r="AR346" s="289" t="s">
        <v>1</v>
      </c>
      <c r="AS346" s="289" t="s">
        <v>1</v>
      </c>
      <c r="AT346" s="290" t="s">
        <v>1</v>
      </c>
      <c r="AU346" s="287" t="s">
        <v>1</v>
      </c>
      <c r="AV346" s="287" t="s">
        <v>1</v>
      </c>
      <c r="AW346" s="291" t="s">
        <v>1</v>
      </c>
    </row>
    <row r="347" spans="1:49" ht="30.15" customHeight="1" x14ac:dyDescent="0.25">
      <c r="A347" s="213" t="s">
        <v>18</v>
      </c>
      <c r="B347" s="188" t="s">
        <v>1</v>
      </c>
      <c r="C347" s="212" t="s">
        <v>34</v>
      </c>
      <c r="D347" s="190" t="s">
        <v>3</v>
      </c>
      <c r="E347" s="190" t="s">
        <v>1070</v>
      </c>
      <c r="F347" s="203"/>
      <c r="G347" s="190" t="s">
        <v>1077</v>
      </c>
      <c r="H347" s="192" t="s">
        <v>414</v>
      </c>
      <c r="I347" s="193">
        <v>1009</v>
      </c>
      <c r="J347" s="193">
        <v>1031</v>
      </c>
      <c r="K347" s="193">
        <v>1031</v>
      </c>
      <c r="L347" s="193">
        <v>1089</v>
      </c>
      <c r="M347" s="194">
        <v>1089</v>
      </c>
      <c r="N347" s="284">
        <v>435.6</v>
      </c>
      <c r="O347" s="285" t="s">
        <v>1</v>
      </c>
      <c r="P347" s="285" t="s">
        <v>1</v>
      </c>
      <c r="Q347" s="306">
        <v>321</v>
      </c>
      <c r="R347" s="306" t="s">
        <v>1</v>
      </c>
      <c r="S347" s="286">
        <v>435.6</v>
      </c>
      <c r="T347" s="285" t="s">
        <v>1</v>
      </c>
      <c r="U347" s="285" t="s">
        <v>1</v>
      </c>
      <c r="V347" s="306">
        <v>321</v>
      </c>
      <c r="W347" s="306" t="s">
        <v>1</v>
      </c>
      <c r="X347" s="286">
        <v>435.6</v>
      </c>
      <c r="Y347" s="285">
        <v>10</v>
      </c>
      <c r="Z347" s="285">
        <v>24</v>
      </c>
      <c r="AA347" s="306">
        <v>321</v>
      </c>
      <c r="AB347" s="306" t="s">
        <v>1</v>
      </c>
      <c r="AC347" s="286">
        <v>435.6</v>
      </c>
      <c r="AD347" s="285">
        <v>10</v>
      </c>
      <c r="AE347" s="285">
        <v>24</v>
      </c>
      <c r="AF347" s="306">
        <v>321</v>
      </c>
      <c r="AG347" s="306" t="s">
        <v>1</v>
      </c>
      <c r="AH347" s="286" t="s">
        <v>1</v>
      </c>
      <c r="AI347" s="295" t="s">
        <v>1</v>
      </c>
      <c r="AJ347" s="295" t="s">
        <v>1</v>
      </c>
      <c r="AK347" s="295" t="s">
        <v>1</v>
      </c>
      <c r="AL347" s="302" t="s">
        <v>1</v>
      </c>
      <c r="AM347" s="288" t="s">
        <v>1</v>
      </c>
      <c r="AN347" s="287" t="s">
        <v>1</v>
      </c>
      <c r="AO347" s="287" t="s">
        <v>1</v>
      </c>
      <c r="AP347" s="286" t="s">
        <v>1</v>
      </c>
      <c r="AQ347" s="285" t="s">
        <v>1</v>
      </c>
      <c r="AR347" s="289" t="s">
        <v>1</v>
      </c>
      <c r="AS347" s="289" t="s">
        <v>1</v>
      </c>
      <c r="AT347" s="290" t="s">
        <v>1</v>
      </c>
      <c r="AU347" s="287" t="s">
        <v>1</v>
      </c>
      <c r="AV347" s="287" t="s">
        <v>1</v>
      </c>
      <c r="AW347" s="291" t="s">
        <v>1</v>
      </c>
    </row>
    <row r="348" spans="1:49" ht="30.15" customHeight="1" x14ac:dyDescent="0.25">
      <c r="A348" s="213" t="s">
        <v>18</v>
      </c>
      <c r="B348" s="188" t="s">
        <v>1</v>
      </c>
      <c r="C348" s="212" t="s">
        <v>34</v>
      </c>
      <c r="D348" s="190" t="s">
        <v>3</v>
      </c>
      <c r="E348" s="190" t="s">
        <v>1071</v>
      </c>
      <c r="F348" s="203"/>
      <c r="G348" s="190" t="s">
        <v>1077</v>
      </c>
      <c r="H348" s="192" t="s">
        <v>414</v>
      </c>
      <c r="I348" s="193">
        <v>1009</v>
      </c>
      <c r="J348" s="193">
        <v>1031</v>
      </c>
      <c r="K348" s="193">
        <v>1031</v>
      </c>
      <c r="L348" s="193">
        <v>1089</v>
      </c>
      <c r="M348" s="194">
        <v>1089</v>
      </c>
      <c r="N348" s="284">
        <v>435.6</v>
      </c>
      <c r="O348" s="285" t="s">
        <v>1</v>
      </c>
      <c r="P348" s="285" t="s">
        <v>1</v>
      </c>
      <c r="Q348" s="306">
        <v>321</v>
      </c>
      <c r="R348" s="306" t="s">
        <v>1</v>
      </c>
      <c r="S348" s="286">
        <v>435.6</v>
      </c>
      <c r="T348" s="285" t="s">
        <v>1</v>
      </c>
      <c r="U348" s="285" t="s">
        <v>1</v>
      </c>
      <c r="V348" s="306">
        <v>321</v>
      </c>
      <c r="W348" s="306" t="s">
        <v>1</v>
      </c>
      <c r="X348" s="286">
        <v>435.6</v>
      </c>
      <c r="Y348" s="285">
        <v>10</v>
      </c>
      <c r="Z348" s="285">
        <v>24</v>
      </c>
      <c r="AA348" s="306">
        <v>321</v>
      </c>
      <c r="AB348" s="306" t="s">
        <v>1</v>
      </c>
      <c r="AC348" s="286">
        <v>435.6</v>
      </c>
      <c r="AD348" s="285">
        <v>10</v>
      </c>
      <c r="AE348" s="285">
        <v>24</v>
      </c>
      <c r="AF348" s="306">
        <v>321</v>
      </c>
      <c r="AG348" s="306" t="s">
        <v>1</v>
      </c>
      <c r="AH348" s="286" t="s">
        <v>1</v>
      </c>
      <c r="AI348" s="295" t="s">
        <v>1</v>
      </c>
      <c r="AJ348" s="295" t="s">
        <v>1</v>
      </c>
      <c r="AK348" s="295" t="s">
        <v>1</v>
      </c>
      <c r="AL348" s="302" t="s">
        <v>1</v>
      </c>
      <c r="AM348" s="288" t="s">
        <v>1</v>
      </c>
      <c r="AN348" s="287" t="s">
        <v>1</v>
      </c>
      <c r="AO348" s="287" t="s">
        <v>1</v>
      </c>
      <c r="AP348" s="286" t="s">
        <v>1</v>
      </c>
      <c r="AQ348" s="285" t="s">
        <v>1</v>
      </c>
      <c r="AR348" s="289" t="s">
        <v>1</v>
      </c>
      <c r="AS348" s="289" t="s">
        <v>1</v>
      </c>
      <c r="AT348" s="290" t="s">
        <v>1</v>
      </c>
      <c r="AU348" s="287" t="s">
        <v>1</v>
      </c>
      <c r="AV348" s="287" t="s">
        <v>1</v>
      </c>
      <c r="AW348" s="291" t="s">
        <v>1</v>
      </c>
    </row>
    <row r="349" spans="1:49" ht="30.15" customHeight="1" x14ac:dyDescent="0.25">
      <c r="A349" s="213" t="s">
        <v>18</v>
      </c>
      <c r="B349" s="188" t="s">
        <v>1</v>
      </c>
      <c r="C349" s="212" t="s">
        <v>34</v>
      </c>
      <c r="D349" s="190" t="s">
        <v>3</v>
      </c>
      <c r="E349" s="190" t="s">
        <v>1072</v>
      </c>
      <c r="F349" s="203"/>
      <c r="G349" s="190" t="s">
        <v>1077</v>
      </c>
      <c r="H349" s="192" t="s">
        <v>414</v>
      </c>
      <c r="I349" s="193">
        <v>1009</v>
      </c>
      <c r="J349" s="193">
        <v>1031</v>
      </c>
      <c r="K349" s="193">
        <v>1031</v>
      </c>
      <c r="L349" s="193">
        <v>1089</v>
      </c>
      <c r="M349" s="194">
        <v>1089</v>
      </c>
      <c r="N349" s="284">
        <v>435.6</v>
      </c>
      <c r="O349" s="285" t="s">
        <v>1</v>
      </c>
      <c r="P349" s="285" t="s">
        <v>1</v>
      </c>
      <c r="Q349" s="306">
        <v>321</v>
      </c>
      <c r="R349" s="306" t="s">
        <v>1</v>
      </c>
      <c r="S349" s="286">
        <v>435.6</v>
      </c>
      <c r="T349" s="285" t="s">
        <v>1</v>
      </c>
      <c r="U349" s="285" t="s">
        <v>1</v>
      </c>
      <c r="V349" s="306">
        <v>321</v>
      </c>
      <c r="W349" s="306" t="s">
        <v>1</v>
      </c>
      <c r="X349" s="286">
        <v>435.6</v>
      </c>
      <c r="Y349" s="285">
        <v>10</v>
      </c>
      <c r="Z349" s="285">
        <v>24</v>
      </c>
      <c r="AA349" s="306">
        <v>321</v>
      </c>
      <c r="AB349" s="306" t="s">
        <v>1</v>
      </c>
      <c r="AC349" s="286">
        <v>435.6</v>
      </c>
      <c r="AD349" s="285">
        <v>10</v>
      </c>
      <c r="AE349" s="285">
        <v>24</v>
      </c>
      <c r="AF349" s="306">
        <v>321</v>
      </c>
      <c r="AG349" s="306" t="s">
        <v>1</v>
      </c>
      <c r="AH349" s="286" t="s">
        <v>1</v>
      </c>
      <c r="AI349" s="295" t="s">
        <v>1</v>
      </c>
      <c r="AJ349" s="295" t="s">
        <v>1</v>
      </c>
      <c r="AK349" s="295" t="s">
        <v>1</v>
      </c>
      <c r="AL349" s="302" t="s">
        <v>1</v>
      </c>
      <c r="AM349" s="288" t="s">
        <v>1</v>
      </c>
      <c r="AN349" s="287" t="s">
        <v>1</v>
      </c>
      <c r="AO349" s="287" t="s">
        <v>1</v>
      </c>
      <c r="AP349" s="286" t="s">
        <v>1</v>
      </c>
      <c r="AQ349" s="285" t="s">
        <v>1</v>
      </c>
      <c r="AR349" s="289" t="s">
        <v>1</v>
      </c>
      <c r="AS349" s="289" t="s">
        <v>1</v>
      </c>
      <c r="AT349" s="290" t="s">
        <v>1</v>
      </c>
      <c r="AU349" s="287" t="s">
        <v>1</v>
      </c>
      <c r="AV349" s="287" t="s">
        <v>1</v>
      </c>
      <c r="AW349" s="291" t="s">
        <v>1</v>
      </c>
    </row>
    <row r="350" spans="1:49" ht="30.15" customHeight="1" x14ac:dyDescent="0.25">
      <c r="A350" s="213" t="s">
        <v>18</v>
      </c>
      <c r="B350" s="188" t="s">
        <v>1</v>
      </c>
      <c r="C350" s="212" t="s">
        <v>34</v>
      </c>
      <c r="D350" s="190" t="s">
        <v>3</v>
      </c>
      <c r="E350" s="190" t="s">
        <v>1073</v>
      </c>
      <c r="F350" s="203"/>
      <c r="G350" s="190" t="s">
        <v>1077</v>
      </c>
      <c r="H350" s="192" t="s">
        <v>414</v>
      </c>
      <c r="I350" s="193">
        <v>1009</v>
      </c>
      <c r="J350" s="193">
        <v>1031</v>
      </c>
      <c r="K350" s="193">
        <v>1031</v>
      </c>
      <c r="L350" s="193">
        <v>1089</v>
      </c>
      <c r="M350" s="194">
        <v>1089</v>
      </c>
      <c r="N350" s="284">
        <v>435.6</v>
      </c>
      <c r="O350" s="285" t="s">
        <v>1</v>
      </c>
      <c r="P350" s="285" t="s">
        <v>1</v>
      </c>
      <c r="Q350" s="306">
        <v>321</v>
      </c>
      <c r="R350" s="306" t="s">
        <v>1</v>
      </c>
      <c r="S350" s="286">
        <v>435.6</v>
      </c>
      <c r="T350" s="285" t="s">
        <v>1</v>
      </c>
      <c r="U350" s="285" t="s">
        <v>1</v>
      </c>
      <c r="V350" s="306">
        <v>321</v>
      </c>
      <c r="W350" s="306" t="s">
        <v>1</v>
      </c>
      <c r="X350" s="286">
        <v>435.6</v>
      </c>
      <c r="Y350" s="285">
        <v>10</v>
      </c>
      <c r="Z350" s="285">
        <v>24</v>
      </c>
      <c r="AA350" s="306">
        <v>321</v>
      </c>
      <c r="AB350" s="306" t="s">
        <v>1</v>
      </c>
      <c r="AC350" s="286">
        <v>435.6</v>
      </c>
      <c r="AD350" s="285">
        <v>10</v>
      </c>
      <c r="AE350" s="285">
        <v>24</v>
      </c>
      <c r="AF350" s="306">
        <v>321</v>
      </c>
      <c r="AG350" s="306" t="s">
        <v>1</v>
      </c>
      <c r="AH350" s="286" t="s">
        <v>1</v>
      </c>
      <c r="AI350" s="295" t="s">
        <v>1</v>
      </c>
      <c r="AJ350" s="295" t="s">
        <v>1</v>
      </c>
      <c r="AK350" s="295" t="s">
        <v>1</v>
      </c>
      <c r="AL350" s="302" t="s">
        <v>1</v>
      </c>
      <c r="AM350" s="288" t="s">
        <v>1</v>
      </c>
      <c r="AN350" s="287" t="s">
        <v>1</v>
      </c>
      <c r="AO350" s="287" t="s">
        <v>1</v>
      </c>
      <c r="AP350" s="286" t="s">
        <v>1</v>
      </c>
      <c r="AQ350" s="285" t="s">
        <v>1</v>
      </c>
      <c r="AR350" s="289" t="s">
        <v>1</v>
      </c>
      <c r="AS350" s="289" t="s">
        <v>1</v>
      </c>
      <c r="AT350" s="290" t="s">
        <v>1</v>
      </c>
      <c r="AU350" s="287" t="s">
        <v>1</v>
      </c>
      <c r="AV350" s="287" t="s">
        <v>1</v>
      </c>
      <c r="AW350" s="291" t="s">
        <v>1</v>
      </c>
    </row>
    <row r="351" spans="1:49" ht="30.15" customHeight="1" x14ac:dyDescent="0.25">
      <c r="A351" s="213" t="s">
        <v>18</v>
      </c>
      <c r="B351" s="188" t="s">
        <v>1</v>
      </c>
      <c r="C351" s="212" t="s">
        <v>34</v>
      </c>
      <c r="D351" s="190" t="s">
        <v>3</v>
      </c>
      <c r="E351" s="190" t="s">
        <v>1074</v>
      </c>
      <c r="F351" s="203"/>
      <c r="G351" s="190" t="s">
        <v>1077</v>
      </c>
      <c r="H351" s="192" t="s">
        <v>414</v>
      </c>
      <c r="I351" s="193">
        <v>1009</v>
      </c>
      <c r="J351" s="193">
        <v>1031</v>
      </c>
      <c r="K351" s="193">
        <v>1031</v>
      </c>
      <c r="L351" s="193">
        <v>1089</v>
      </c>
      <c r="M351" s="194">
        <v>1089</v>
      </c>
      <c r="N351" s="284">
        <v>435.6</v>
      </c>
      <c r="O351" s="285" t="s">
        <v>1</v>
      </c>
      <c r="P351" s="285" t="s">
        <v>1</v>
      </c>
      <c r="Q351" s="306">
        <v>321</v>
      </c>
      <c r="R351" s="306" t="s">
        <v>1</v>
      </c>
      <c r="S351" s="286">
        <v>435.6</v>
      </c>
      <c r="T351" s="285" t="s">
        <v>1</v>
      </c>
      <c r="U351" s="285" t="s">
        <v>1</v>
      </c>
      <c r="V351" s="306">
        <v>321</v>
      </c>
      <c r="W351" s="306" t="s">
        <v>1</v>
      </c>
      <c r="X351" s="286">
        <v>435.6</v>
      </c>
      <c r="Y351" s="285">
        <v>10</v>
      </c>
      <c r="Z351" s="285">
        <v>24</v>
      </c>
      <c r="AA351" s="306">
        <v>321</v>
      </c>
      <c r="AB351" s="306" t="s">
        <v>1</v>
      </c>
      <c r="AC351" s="286">
        <v>435.6</v>
      </c>
      <c r="AD351" s="285">
        <v>10</v>
      </c>
      <c r="AE351" s="285">
        <v>24</v>
      </c>
      <c r="AF351" s="306">
        <v>321</v>
      </c>
      <c r="AG351" s="306" t="s">
        <v>1</v>
      </c>
      <c r="AH351" s="286" t="s">
        <v>1</v>
      </c>
      <c r="AI351" s="295" t="s">
        <v>1</v>
      </c>
      <c r="AJ351" s="295" t="s">
        <v>1</v>
      </c>
      <c r="AK351" s="295" t="s">
        <v>1</v>
      </c>
      <c r="AL351" s="302" t="s">
        <v>1</v>
      </c>
      <c r="AM351" s="288" t="s">
        <v>1</v>
      </c>
      <c r="AN351" s="287" t="s">
        <v>1</v>
      </c>
      <c r="AO351" s="287" t="s">
        <v>1</v>
      </c>
      <c r="AP351" s="286" t="s">
        <v>1</v>
      </c>
      <c r="AQ351" s="285" t="s">
        <v>1</v>
      </c>
      <c r="AR351" s="289" t="s">
        <v>1</v>
      </c>
      <c r="AS351" s="289" t="s">
        <v>1</v>
      </c>
      <c r="AT351" s="290" t="s">
        <v>1</v>
      </c>
      <c r="AU351" s="287" t="s">
        <v>1</v>
      </c>
      <c r="AV351" s="287" t="s">
        <v>1</v>
      </c>
      <c r="AW351" s="291" t="s">
        <v>1</v>
      </c>
    </row>
    <row r="352" spans="1:49" ht="30.15" customHeight="1" x14ac:dyDescent="0.25">
      <c r="A352" s="213" t="s">
        <v>18</v>
      </c>
      <c r="B352" s="188" t="s">
        <v>1</v>
      </c>
      <c r="C352" s="212" t="s">
        <v>34</v>
      </c>
      <c r="D352" s="190" t="s">
        <v>3</v>
      </c>
      <c r="E352" s="190" t="s">
        <v>1157</v>
      </c>
      <c r="F352" s="203"/>
      <c r="G352" s="190" t="s">
        <v>1184</v>
      </c>
      <c r="H352" s="192" t="s">
        <v>409</v>
      </c>
      <c r="I352" s="193">
        <v>1475</v>
      </c>
      <c r="J352" s="193">
        <v>1511</v>
      </c>
      <c r="K352" s="193">
        <v>1511</v>
      </c>
      <c r="L352" s="193">
        <v>1596</v>
      </c>
      <c r="M352" s="194">
        <v>1596</v>
      </c>
      <c r="N352" s="284">
        <v>638.4</v>
      </c>
      <c r="O352" s="285" t="s">
        <v>1</v>
      </c>
      <c r="P352" s="285" t="s">
        <v>1</v>
      </c>
      <c r="Q352" s="306">
        <v>636</v>
      </c>
      <c r="R352" s="306" t="s">
        <v>1</v>
      </c>
      <c r="S352" s="286">
        <v>638.4</v>
      </c>
      <c r="T352" s="285" t="s">
        <v>1</v>
      </c>
      <c r="U352" s="285" t="s">
        <v>1</v>
      </c>
      <c r="V352" s="306">
        <v>636</v>
      </c>
      <c r="W352" s="306" t="s">
        <v>1</v>
      </c>
      <c r="X352" s="286">
        <v>638.4</v>
      </c>
      <c r="Y352" s="285">
        <v>2</v>
      </c>
      <c r="Z352" s="285">
        <v>24</v>
      </c>
      <c r="AA352" s="306">
        <v>636</v>
      </c>
      <c r="AB352" s="306" t="s">
        <v>1</v>
      </c>
      <c r="AC352" s="286">
        <v>638.4</v>
      </c>
      <c r="AD352" s="285">
        <v>2</v>
      </c>
      <c r="AE352" s="285">
        <v>24</v>
      </c>
      <c r="AF352" s="306">
        <v>636</v>
      </c>
      <c r="AG352" s="306" t="s">
        <v>1</v>
      </c>
      <c r="AH352" s="286" t="s">
        <v>1</v>
      </c>
      <c r="AI352" s="295" t="s">
        <v>1</v>
      </c>
      <c r="AJ352" s="295" t="s">
        <v>1</v>
      </c>
      <c r="AK352" s="295" t="s">
        <v>1</v>
      </c>
      <c r="AL352" s="302" t="s">
        <v>1</v>
      </c>
      <c r="AM352" s="288" t="s">
        <v>1</v>
      </c>
      <c r="AN352" s="287" t="s">
        <v>1</v>
      </c>
      <c r="AO352" s="287" t="s">
        <v>1</v>
      </c>
      <c r="AP352" s="286" t="s">
        <v>1</v>
      </c>
      <c r="AQ352" s="285" t="s">
        <v>1</v>
      </c>
      <c r="AR352" s="289" t="s">
        <v>1</v>
      </c>
      <c r="AS352" s="289" t="s">
        <v>1</v>
      </c>
      <c r="AT352" s="290" t="s">
        <v>1</v>
      </c>
      <c r="AU352" s="287" t="s">
        <v>1</v>
      </c>
      <c r="AV352" s="287" t="s">
        <v>1</v>
      </c>
      <c r="AW352" s="291" t="s">
        <v>1</v>
      </c>
    </row>
    <row r="353" spans="1:49" ht="30.15" customHeight="1" x14ac:dyDescent="0.25">
      <c r="A353" s="213" t="s">
        <v>18</v>
      </c>
      <c r="B353" s="188" t="s">
        <v>1</v>
      </c>
      <c r="C353" s="212" t="s">
        <v>34</v>
      </c>
      <c r="D353" s="190" t="s">
        <v>3</v>
      </c>
      <c r="E353" s="190" t="s">
        <v>1158</v>
      </c>
      <c r="F353" s="203"/>
      <c r="G353" s="190" t="s">
        <v>1184</v>
      </c>
      <c r="H353" s="192" t="s">
        <v>409</v>
      </c>
      <c r="I353" s="193">
        <v>1475</v>
      </c>
      <c r="J353" s="193">
        <v>1511</v>
      </c>
      <c r="K353" s="193">
        <v>1511</v>
      </c>
      <c r="L353" s="193">
        <v>1596</v>
      </c>
      <c r="M353" s="194">
        <v>1596</v>
      </c>
      <c r="N353" s="284">
        <v>638.4</v>
      </c>
      <c r="O353" s="285" t="s">
        <v>1</v>
      </c>
      <c r="P353" s="285" t="s">
        <v>1</v>
      </c>
      <c r="Q353" s="306">
        <v>636</v>
      </c>
      <c r="R353" s="306" t="s">
        <v>1</v>
      </c>
      <c r="S353" s="286">
        <v>638.4</v>
      </c>
      <c r="T353" s="285" t="s">
        <v>1</v>
      </c>
      <c r="U353" s="285" t="s">
        <v>1</v>
      </c>
      <c r="V353" s="306">
        <v>636</v>
      </c>
      <c r="W353" s="306" t="s">
        <v>1</v>
      </c>
      <c r="X353" s="286">
        <v>638.4</v>
      </c>
      <c r="Y353" s="285">
        <v>2</v>
      </c>
      <c r="Z353" s="285">
        <v>24</v>
      </c>
      <c r="AA353" s="306">
        <v>636</v>
      </c>
      <c r="AB353" s="306" t="s">
        <v>1</v>
      </c>
      <c r="AC353" s="286">
        <v>638.4</v>
      </c>
      <c r="AD353" s="285">
        <v>2</v>
      </c>
      <c r="AE353" s="285">
        <v>24</v>
      </c>
      <c r="AF353" s="306">
        <v>636</v>
      </c>
      <c r="AG353" s="306" t="s">
        <v>1</v>
      </c>
      <c r="AH353" s="286" t="s">
        <v>1</v>
      </c>
      <c r="AI353" s="295" t="s">
        <v>1</v>
      </c>
      <c r="AJ353" s="295" t="s">
        <v>1</v>
      </c>
      <c r="AK353" s="295" t="s">
        <v>1</v>
      </c>
      <c r="AL353" s="302" t="s">
        <v>1</v>
      </c>
      <c r="AM353" s="288" t="s">
        <v>1</v>
      </c>
      <c r="AN353" s="287" t="s">
        <v>1</v>
      </c>
      <c r="AO353" s="287" t="s">
        <v>1</v>
      </c>
      <c r="AP353" s="286" t="s">
        <v>1</v>
      </c>
      <c r="AQ353" s="285" t="s">
        <v>1</v>
      </c>
      <c r="AR353" s="289" t="s">
        <v>1</v>
      </c>
      <c r="AS353" s="289" t="s">
        <v>1</v>
      </c>
      <c r="AT353" s="290" t="s">
        <v>1</v>
      </c>
      <c r="AU353" s="287" t="s">
        <v>1</v>
      </c>
      <c r="AV353" s="287" t="s">
        <v>1</v>
      </c>
      <c r="AW353" s="291" t="s">
        <v>1</v>
      </c>
    </row>
    <row r="354" spans="1:49" ht="30.15" customHeight="1" x14ac:dyDescent="0.25">
      <c r="A354" s="213" t="s">
        <v>18</v>
      </c>
      <c r="B354" s="188" t="s">
        <v>1</v>
      </c>
      <c r="C354" s="212" t="s">
        <v>34</v>
      </c>
      <c r="D354" s="190" t="s">
        <v>3</v>
      </c>
      <c r="E354" s="190" t="s">
        <v>1159</v>
      </c>
      <c r="F354" s="203"/>
      <c r="G354" s="190" t="s">
        <v>1184</v>
      </c>
      <c r="H354" s="192" t="s">
        <v>409</v>
      </c>
      <c r="I354" s="193">
        <v>1475</v>
      </c>
      <c r="J354" s="193">
        <v>1511</v>
      </c>
      <c r="K354" s="193">
        <v>1511</v>
      </c>
      <c r="L354" s="193">
        <v>1596</v>
      </c>
      <c r="M354" s="194">
        <v>1596</v>
      </c>
      <c r="N354" s="284">
        <v>638.4</v>
      </c>
      <c r="O354" s="285" t="s">
        <v>1</v>
      </c>
      <c r="P354" s="285" t="s">
        <v>1</v>
      </c>
      <c r="Q354" s="306">
        <v>636</v>
      </c>
      <c r="R354" s="306" t="s">
        <v>1</v>
      </c>
      <c r="S354" s="286">
        <v>638.4</v>
      </c>
      <c r="T354" s="285" t="s">
        <v>1</v>
      </c>
      <c r="U354" s="285" t="s">
        <v>1</v>
      </c>
      <c r="V354" s="306">
        <v>636</v>
      </c>
      <c r="W354" s="306" t="s">
        <v>1</v>
      </c>
      <c r="X354" s="286">
        <v>638.4</v>
      </c>
      <c r="Y354" s="285">
        <v>2</v>
      </c>
      <c r="Z354" s="285">
        <v>24</v>
      </c>
      <c r="AA354" s="306">
        <v>636</v>
      </c>
      <c r="AB354" s="306" t="s">
        <v>1</v>
      </c>
      <c r="AC354" s="286">
        <v>638.4</v>
      </c>
      <c r="AD354" s="285">
        <v>2</v>
      </c>
      <c r="AE354" s="285">
        <v>24</v>
      </c>
      <c r="AF354" s="306">
        <v>636</v>
      </c>
      <c r="AG354" s="306" t="s">
        <v>1</v>
      </c>
      <c r="AH354" s="286" t="s">
        <v>1</v>
      </c>
      <c r="AI354" s="295" t="s">
        <v>1</v>
      </c>
      <c r="AJ354" s="295" t="s">
        <v>1</v>
      </c>
      <c r="AK354" s="295" t="s">
        <v>1</v>
      </c>
      <c r="AL354" s="302" t="s">
        <v>1</v>
      </c>
      <c r="AM354" s="288" t="s">
        <v>1</v>
      </c>
      <c r="AN354" s="287" t="s">
        <v>1</v>
      </c>
      <c r="AO354" s="287" t="s">
        <v>1</v>
      </c>
      <c r="AP354" s="286" t="s">
        <v>1</v>
      </c>
      <c r="AQ354" s="285" t="s">
        <v>1</v>
      </c>
      <c r="AR354" s="289" t="s">
        <v>1</v>
      </c>
      <c r="AS354" s="289" t="s">
        <v>1</v>
      </c>
      <c r="AT354" s="290" t="s">
        <v>1</v>
      </c>
      <c r="AU354" s="287" t="s">
        <v>1</v>
      </c>
      <c r="AV354" s="287" t="s">
        <v>1</v>
      </c>
      <c r="AW354" s="291" t="s">
        <v>1</v>
      </c>
    </row>
    <row r="355" spans="1:49" ht="30.15" customHeight="1" x14ac:dyDescent="0.25">
      <c r="A355" s="213" t="s">
        <v>18</v>
      </c>
      <c r="B355" s="188" t="s">
        <v>1</v>
      </c>
      <c r="C355" s="212" t="s">
        <v>34</v>
      </c>
      <c r="D355" s="190" t="s">
        <v>3</v>
      </c>
      <c r="E355" s="190" t="s">
        <v>1160</v>
      </c>
      <c r="F355" s="203"/>
      <c r="G355" s="190" t="s">
        <v>1184</v>
      </c>
      <c r="H355" s="192" t="s">
        <v>409</v>
      </c>
      <c r="I355" s="193">
        <v>1475</v>
      </c>
      <c r="J355" s="193">
        <v>1511</v>
      </c>
      <c r="K355" s="193">
        <v>1511</v>
      </c>
      <c r="L355" s="193">
        <v>1596</v>
      </c>
      <c r="M355" s="194">
        <v>1596</v>
      </c>
      <c r="N355" s="284">
        <v>638.4</v>
      </c>
      <c r="O355" s="285" t="s">
        <v>1</v>
      </c>
      <c r="P355" s="285" t="s">
        <v>1</v>
      </c>
      <c r="Q355" s="306">
        <v>636</v>
      </c>
      <c r="R355" s="306" t="s">
        <v>1</v>
      </c>
      <c r="S355" s="286">
        <v>638.4</v>
      </c>
      <c r="T355" s="285" t="s">
        <v>1</v>
      </c>
      <c r="U355" s="285" t="s">
        <v>1</v>
      </c>
      <c r="V355" s="306">
        <v>636</v>
      </c>
      <c r="W355" s="306" t="s">
        <v>1</v>
      </c>
      <c r="X355" s="286">
        <v>638.4</v>
      </c>
      <c r="Y355" s="285">
        <v>2</v>
      </c>
      <c r="Z355" s="285">
        <v>24</v>
      </c>
      <c r="AA355" s="306">
        <v>636</v>
      </c>
      <c r="AB355" s="306" t="s">
        <v>1</v>
      </c>
      <c r="AC355" s="286">
        <v>638.4</v>
      </c>
      <c r="AD355" s="285">
        <v>2</v>
      </c>
      <c r="AE355" s="285">
        <v>24</v>
      </c>
      <c r="AF355" s="306">
        <v>636</v>
      </c>
      <c r="AG355" s="306" t="s">
        <v>1</v>
      </c>
      <c r="AH355" s="286" t="s">
        <v>1</v>
      </c>
      <c r="AI355" s="295" t="s">
        <v>1</v>
      </c>
      <c r="AJ355" s="295" t="s">
        <v>1</v>
      </c>
      <c r="AK355" s="295" t="s">
        <v>1</v>
      </c>
      <c r="AL355" s="302" t="s">
        <v>1</v>
      </c>
      <c r="AM355" s="288" t="s">
        <v>1</v>
      </c>
      <c r="AN355" s="287" t="s">
        <v>1</v>
      </c>
      <c r="AO355" s="287" t="s">
        <v>1</v>
      </c>
      <c r="AP355" s="286" t="s">
        <v>1</v>
      </c>
      <c r="AQ355" s="285" t="s">
        <v>1</v>
      </c>
      <c r="AR355" s="289" t="s">
        <v>1</v>
      </c>
      <c r="AS355" s="289" t="s">
        <v>1</v>
      </c>
      <c r="AT355" s="290" t="s">
        <v>1</v>
      </c>
      <c r="AU355" s="287" t="s">
        <v>1</v>
      </c>
      <c r="AV355" s="287" t="s">
        <v>1</v>
      </c>
      <c r="AW355" s="291" t="s">
        <v>1</v>
      </c>
    </row>
    <row r="356" spans="1:49" ht="30.15" customHeight="1" x14ac:dyDescent="0.25">
      <c r="A356" s="213" t="s">
        <v>18</v>
      </c>
      <c r="B356" s="188" t="s">
        <v>1</v>
      </c>
      <c r="C356" s="212" t="s">
        <v>34</v>
      </c>
      <c r="D356" s="190" t="s">
        <v>3</v>
      </c>
      <c r="E356" s="190" t="s">
        <v>1161</v>
      </c>
      <c r="F356" s="203"/>
      <c r="G356" s="190" t="s">
        <v>1185</v>
      </c>
      <c r="H356" s="192" t="s">
        <v>409</v>
      </c>
      <c r="I356" s="193">
        <v>1609</v>
      </c>
      <c r="J356" s="193">
        <v>1648</v>
      </c>
      <c r="K356" s="193">
        <v>1648</v>
      </c>
      <c r="L356" s="193">
        <v>1740</v>
      </c>
      <c r="M356" s="194">
        <v>1740</v>
      </c>
      <c r="N356" s="284">
        <v>696</v>
      </c>
      <c r="O356" s="285" t="s">
        <v>1</v>
      </c>
      <c r="P356" s="285" t="s">
        <v>1</v>
      </c>
      <c r="Q356" s="306">
        <v>660</v>
      </c>
      <c r="R356" s="306" t="s">
        <v>1</v>
      </c>
      <c r="S356" s="286">
        <v>696</v>
      </c>
      <c r="T356" s="285" t="s">
        <v>1</v>
      </c>
      <c r="U356" s="285" t="s">
        <v>1</v>
      </c>
      <c r="V356" s="306">
        <v>660</v>
      </c>
      <c r="W356" s="306" t="s">
        <v>1</v>
      </c>
      <c r="X356" s="286">
        <v>696</v>
      </c>
      <c r="Y356" s="285">
        <v>2</v>
      </c>
      <c r="Z356" s="285">
        <v>24</v>
      </c>
      <c r="AA356" s="306">
        <v>660</v>
      </c>
      <c r="AB356" s="306" t="s">
        <v>1</v>
      </c>
      <c r="AC356" s="286">
        <v>696</v>
      </c>
      <c r="AD356" s="285">
        <v>2</v>
      </c>
      <c r="AE356" s="285">
        <v>24</v>
      </c>
      <c r="AF356" s="306">
        <v>660</v>
      </c>
      <c r="AG356" s="306" t="s">
        <v>1</v>
      </c>
      <c r="AH356" s="286" t="s">
        <v>1</v>
      </c>
      <c r="AI356" s="295" t="s">
        <v>1</v>
      </c>
      <c r="AJ356" s="295" t="s">
        <v>1</v>
      </c>
      <c r="AK356" s="295" t="s">
        <v>1</v>
      </c>
      <c r="AL356" s="302" t="s">
        <v>1</v>
      </c>
      <c r="AM356" s="288" t="s">
        <v>1</v>
      </c>
      <c r="AN356" s="287" t="s">
        <v>1</v>
      </c>
      <c r="AO356" s="287" t="s">
        <v>1</v>
      </c>
      <c r="AP356" s="286" t="s">
        <v>1</v>
      </c>
      <c r="AQ356" s="285" t="s">
        <v>1</v>
      </c>
      <c r="AR356" s="289" t="s">
        <v>1</v>
      </c>
      <c r="AS356" s="289" t="s">
        <v>1</v>
      </c>
      <c r="AT356" s="290" t="s">
        <v>1</v>
      </c>
      <c r="AU356" s="287" t="s">
        <v>1</v>
      </c>
      <c r="AV356" s="287" t="s">
        <v>1</v>
      </c>
      <c r="AW356" s="291" t="s">
        <v>1</v>
      </c>
    </row>
    <row r="357" spans="1:49" ht="30.15" customHeight="1" x14ac:dyDescent="0.25">
      <c r="A357" s="213" t="s">
        <v>18</v>
      </c>
      <c r="B357" s="188" t="s">
        <v>1</v>
      </c>
      <c r="C357" s="212" t="s">
        <v>34</v>
      </c>
      <c r="D357" s="190" t="s">
        <v>3</v>
      </c>
      <c r="E357" s="190" t="s">
        <v>1162</v>
      </c>
      <c r="F357" s="203"/>
      <c r="G357" s="190" t="s">
        <v>1185</v>
      </c>
      <c r="H357" s="192" t="s">
        <v>409</v>
      </c>
      <c r="I357" s="193">
        <v>1609</v>
      </c>
      <c r="J357" s="193">
        <v>1648</v>
      </c>
      <c r="K357" s="193">
        <v>1648</v>
      </c>
      <c r="L357" s="193">
        <v>1740</v>
      </c>
      <c r="M357" s="194">
        <v>1740</v>
      </c>
      <c r="N357" s="284">
        <v>696</v>
      </c>
      <c r="O357" s="285" t="s">
        <v>1</v>
      </c>
      <c r="P357" s="285" t="s">
        <v>1</v>
      </c>
      <c r="Q357" s="306">
        <v>660</v>
      </c>
      <c r="R357" s="306" t="s">
        <v>1</v>
      </c>
      <c r="S357" s="286">
        <v>696</v>
      </c>
      <c r="T357" s="285" t="s">
        <v>1</v>
      </c>
      <c r="U357" s="285" t="s">
        <v>1</v>
      </c>
      <c r="V357" s="306">
        <v>660</v>
      </c>
      <c r="W357" s="306" t="s">
        <v>1</v>
      </c>
      <c r="X357" s="286">
        <v>696</v>
      </c>
      <c r="Y357" s="285">
        <v>2</v>
      </c>
      <c r="Z357" s="285">
        <v>24</v>
      </c>
      <c r="AA357" s="306">
        <v>660</v>
      </c>
      <c r="AB357" s="306" t="s">
        <v>1</v>
      </c>
      <c r="AC357" s="286">
        <v>696</v>
      </c>
      <c r="AD357" s="285">
        <v>2</v>
      </c>
      <c r="AE357" s="285">
        <v>24</v>
      </c>
      <c r="AF357" s="306">
        <v>660</v>
      </c>
      <c r="AG357" s="306" t="s">
        <v>1</v>
      </c>
      <c r="AH357" s="286" t="s">
        <v>1</v>
      </c>
      <c r="AI357" s="295" t="s">
        <v>1</v>
      </c>
      <c r="AJ357" s="295" t="s">
        <v>1</v>
      </c>
      <c r="AK357" s="295" t="s">
        <v>1</v>
      </c>
      <c r="AL357" s="302" t="s">
        <v>1</v>
      </c>
      <c r="AM357" s="288" t="s">
        <v>1</v>
      </c>
      <c r="AN357" s="287" t="s">
        <v>1</v>
      </c>
      <c r="AO357" s="287" t="s">
        <v>1</v>
      </c>
      <c r="AP357" s="286" t="s">
        <v>1</v>
      </c>
      <c r="AQ357" s="285" t="s">
        <v>1</v>
      </c>
      <c r="AR357" s="289" t="s">
        <v>1</v>
      </c>
      <c r="AS357" s="289" t="s">
        <v>1</v>
      </c>
      <c r="AT357" s="290" t="s">
        <v>1</v>
      </c>
      <c r="AU357" s="287" t="s">
        <v>1</v>
      </c>
      <c r="AV357" s="287" t="s">
        <v>1</v>
      </c>
      <c r="AW357" s="291" t="s">
        <v>1</v>
      </c>
    </row>
    <row r="358" spans="1:49" ht="30.15" customHeight="1" x14ac:dyDescent="0.25">
      <c r="A358" s="213" t="s">
        <v>18</v>
      </c>
      <c r="B358" s="188" t="s">
        <v>1</v>
      </c>
      <c r="C358" s="212" t="s">
        <v>34</v>
      </c>
      <c r="D358" s="190" t="s">
        <v>3</v>
      </c>
      <c r="E358" s="190" t="s">
        <v>1163</v>
      </c>
      <c r="F358" s="203"/>
      <c r="G358" s="190" t="s">
        <v>1185</v>
      </c>
      <c r="H358" s="192" t="s">
        <v>409</v>
      </c>
      <c r="I358" s="193">
        <v>1609</v>
      </c>
      <c r="J358" s="193">
        <v>1648</v>
      </c>
      <c r="K358" s="193">
        <v>1648</v>
      </c>
      <c r="L358" s="193">
        <v>1740</v>
      </c>
      <c r="M358" s="194">
        <v>1740</v>
      </c>
      <c r="N358" s="284">
        <v>696</v>
      </c>
      <c r="O358" s="285" t="s">
        <v>1</v>
      </c>
      <c r="P358" s="285" t="s">
        <v>1</v>
      </c>
      <c r="Q358" s="306">
        <v>660</v>
      </c>
      <c r="R358" s="306" t="s">
        <v>1</v>
      </c>
      <c r="S358" s="286">
        <v>696</v>
      </c>
      <c r="T358" s="285" t="s">
        <v>1</v>
      </c>
      <c r="U358" s="285" t="s">
        <v>1</v>
      </c>
      <c r="V358" s="306">
        <v>660</v>
      </c>
      <c r="W358" s="306" t="s">
        <v>1</v>
      </c>
      <c r="X358" s="286">
        <v>696</v>
      </c>
      <c r="Y358" s="285">
        <v>2</v>
      </c>
      <c r="Z358" s="285">
        <v>24</v>
      </c>
      <c r="AA358" s="306">
        <v>660</v>
      </c>
      <c r="AB358" s="306" t="s">
        <v>1</v>
      </c>
      <c r="AC358" s="286">
        <v>696</v>
      </c>
      <c r="AD358" s="285">
        <v>2</v>
      </c>
      <c r="AE358" s="285">
        <v>24</v>
      </c>
      <c r="AF358" s="306">
        <v>660</v>
      </c>
      <c r="AG358" s="306" t="s">
        <v>1</v>
      </c>
      <c r="AH358" s="286" t="s">
        <v>1</v>
      </c>
      <c r="AI358" s="295" t="s">
        <v>1</v>
      </c>
      <c r="AJ358" s="295" t="s">
        <v>1</v>
      </c>
      <c r="AK358" s="295" t="s">
        <v>1</v>
      </c>
      <c r="AL358" s="302" t="s">
        <v>1</v>
      </c>
      <c r="AM358" s="288" t="s">
        <v>1</v>
      </c>
      <c r="AN358" s="287" t="s">
        <v>1</v>
      </c>
      <c r="AO358" s="287" t="s">
        <v>1</v>
      </c>
      <c r="AP358" s="286" t="s">
        <v>1</v>
      </c>
      <c r="AQ358" s="285" t="s">
        <v>1</v>
      </c>
      <c r="AR358" s="289" t="s">
        <v>1</v>
      </c>
      <c r="AS358" s="289" t="s">
        <v>1</v>
      </c>
      <c r="AT358" s="290" t="s">
        <v>1</v>
      </c>
      <c r="AU358" s="287" t="s">
        <v>1</v>
      </c>
      <c r="AV358" s="287" t="s">
        <v>1</v>
      </c>
      <c r="AW358" s="291" t="s">
        <v>1</v>
      </c>
    </row>
    <row r="359" spans="1:49" ht="30.15" customHeight="1" x14ac:dyDescent="0.25">
      <c r="A359" s="213" t="s">
        <v>18</v>
      </c>
      <c r="B359" s="188" t="s">
        <v>1</v>
      </c>
      <c r="C359" s="212" t="s">
        <v>34</v>
      </c>
      <c r="D359" s="190" t="s">
        <v>3</v>
      </c>
      <c r="E359" s="190" t="s">
        <v>1164</v>
      </c>
      <c r="F359" s="203"/>
      <c r="G359" s="190" t="s">
        <v>1185</v>
      </c>
      <c r="H359" s="192" t="s">
        <v>409</v>
      </c>
      <c r="I359" s="193">
        <v>1609</v>
      </c>
      <c r="J359" s="193">
        <v>1648</v>
      </c>
      <c r="K359" s="193">
        <v>1648</v>
      </c>
      <c r="L359" s="193">
        <v>1740</v>
      </c>
      <c r="M359" s="194">
        <v>1740</v>
      </c>
      <c r="N359" s="284">
        <v>696</v>
      </c>
      <c r="O359" s="285" t="s">
        <v>1</v>
      </c>
      <c r="P359" s="285" t="s">
        <v>1</v>
      </c>
      <c r="Q359" s="306">
        <v>660</v>
      </c>
      <c r="R359" s="306" t="s">
        <v>1</v>
      </c>
      <c r="S359" s="286">
        <v>696</v>
      </c>
      <c r="T359" s="285" t="s">
        <v>1</v>
      </c>
      <c r="U359" s="285" t="s">
        <v>1</v>
      </c>
      <c r="V359" s="306">
        <v>660</v>
      </c>
      <c r="W359" s="306" t="s">
        <v>1</v>
      </c>
      <c r="X359" s="286">
        <v>696</v>
      </c>
      <c r="Y359" s="285">
        <v>2</v>
      </c>
      <c r="Z359" s="285">
        <v>24</v>
      </c>
      <c r="AA359" s="306">
        <v>660</v>
      </c>
      <c r="AB359" s="306" t="s">
        <v>1</v>
      </c>
      <c r="AC359" s="286">
        <v>696</v>
      </c>
      <c r="AD359" s="285">
        <v>2</v>
      </c>
      <c r="AE359" s="285">
        <v>24</v>
      </c>
      <c r="AF359" s="306">
        <v>660</v>
      </c>
      <c r="AG359" s="306" t="s">
        <v>1</v>
      </c>
      <c r="AH359" s="286" t="s">
        <v>1</v>
      </c>
      <c r="AI359" s="295" t="s">
        <v>1</v>
      </c>
      <c r="AJ359" s="295" t="s">
        <v>1</v>
      </c>
      <c r="AK359" s="295" t="s">
        <v>1</v>
      </c>
      <c r="AL359" s="302" t="s">
        <v>1</v>
      </c>
      <c r="AM359" s="288" t="s">
        <v>1</v>
      </c>
      <c r="AN359" s="287" t="s">
        <v>1</v>
      </c>
      <c r="AO359" s="287" t="s">
        <v>1</v>
      </c>
      <c r="AP359" s="286" t="s">
        <v>1</v>
      </c>
      <c r="AQ359" s="285" t="s">
        <v>1</v>
      </c>
      <c r="AR359" s="289" t="s">
        <v>1</v>
      </c>
      <c r="AS359" s="289" t="s">
        <v>1</v>
      </c>
      <c r="AT359" s="290" t="s">
        <v>1</v>
      </c>
      <c r="AU359" s="287" t="s">
        <v>1</v>
      </c>
      <c r="AV359" s="287" t="s">
        <v>1</v>
      </c>
      <c r="AW359" s="291" t="s">
        <v>1</v>
      </c>
    </row>
    <row r="360" spans="1:49" ht="30.15" customHeight="1" x14ac:dyDescent="0.25">
      <c r="A360" s="213" t="s">
        <v>18</v>
      </c>
      <c r="B360" s="188" t="s">
        <v>1</v>
      </c>
      <c r="C360" s="212" t="s">
        <v>34</v>
      </c>
      <c r="D360" s="190" t="s">
        <v>3</v>
      </c>
      <c r="E360" s="190" t="s">
        <v>1165</v>
      </c>
      <c r="F360" s="203"/>
      <c r="G360" s="190" t="s">
        <v>1186</v>
      </c>
      <c r="H360" s="192" t="s">
        <v>409</v>
      </c>
      <c r="I360" s="193">
        <v>1866</v>
      </c>
      <c r="J360" s="193">
        <v>1914</v>
      </c>
      <c r="K360" s="193">
        <v>1914</v>
      </c>
      <c r="L360" s="193">
        <v>2016</v>
      </c>
      <c r="M360" s="194">
        <v>2016</v>
      </c>
      <c r="N360" s="284">
        <v>806.4</v>
      </c>
      <c r="O360" s="285" t="s">
        <v>1</v>
      </c>
      <c r="P360" s="285" t="s">
        <v>1</v>
      </c>
      <c r="Q360" s="306">
        <v>696</v>
      </c>
      <c r="R360" s="306" t="s">
        <v>1</v>
      </c>
      <c r="S360" s="286">
        <v>806.4</v>
      </c>
      <c r="T360" s="285" t="s">
        <v>1</v>
      </c>
      <c r="U360" s="285" t="s">
        <v>1</v>
      </c>
      <c r="V360" s="306">
        <v>696</v>
      </c>
      <c r="W360" s="306" t="s">
        <v>1</v>
      </c>
      <c r="X360" s="286">
        <v>806.4</v>
      </c>
      <c r="Y360" s="285">
        <v>2</v>
      </c>
      <c r="Z360" s="285">
        <v>24</v>
      </c>
      <c r="AA360" s="306">
        <v>696</v>
      </c>
      <c r="AB360" s="306" t="s">
        <v>1</v>
      </c>
      <c r="AC360" s="286">
        <v>806.4</v>
      </c>
      <c r="AD360" s="285">
        <v>2</v>
      </c>
      <c r="AE360" s="285">
        <v>24</v>
      </c>
      <c r="AF360" s="306">
        <v>696</v>
      </c>
      <c r="AG360" s="306" t="s">
        <v>1</v>
      </c>
      <c r="AH360" s="286" t="s">
        <v>1</v>
      </c>
      <c r="AI360" s="295" t="s">
        <v>1</v>
      </c>
      <c r="AJ360" s="295" t="s">
        <v>1</v>
      </c>
      <c r="AK360" s="295" t="s">
        <v>1</v>
      </c>
      <c r="AL360" s="302" t="s">
        <v>1</v>
      </c>
      <c r="AM360" s="288" t="s">
        <v>1</v>
      </c>
      <c r="AN360" s="287" t="s">
        <v>1</v>
      </c>
      <c r="AO360" s="287" t="s">
        <v>1</v>
      </c>
      <c r="AP360" s="286" t="s">
        <v>1</v>
      </c>
      <c r="AQ360" s="285" t="s">
        <v>1</v>
      </c>
      <c r="AR360" s="289" t="s">
        <v>1</v>
      </c>
      <c r="AS360" s="289" t="s">
        <v>1</v>
      </c>
      <c r="AT360" s="290" t="s">
        <v>1</v>
      </c>
      <c r="AU360" s="287" t="s">
        <v>1</v>
      </c>
      <c r="AV360" s="287" t="s">
        <v>1</v>
      </c>
      <c r="AW360" s="291" t="s">
        <v>1</v>
      </c>
    </row>
    <row r="361" spans="1:49" ht="30.15" customHeight="1" x14ac:dyDescent="0.25">
      <c r="A361" s="213" t="s">
        <v>18</v>
      </c>
      <c r="B361" s="188" t="s">
        <v>1</v>
      </c>
      <c r="C361" s="212" t="s">
        <v>34</v>
      </c>
      <c r="D361" s="190" t="s">
        <v>3</v>
      </c>
      <c r="E361" s="190" t="s">
        <v>1166</v>
      </c>
      <c r="F361" s="203"/>
      <c r="G361" s="190" t="s">
        <v>1186</v>
      </c>
      <c r="H361" s="192" t="s">
        <v>409</v>
      </c>
      <c r="I361" s="193">
        <v>1866</v>
      </c>
      <c r="J361" s="193">
        <v>1914</v>
      </c>
      <c r="K361" s="193">
        <v>1914</v>
      </c>
      <c r="L361" s="193">
        <v>2016</v>
      </c>
      <c r="M361" s="194">
        <v>2016</v>
      </c>
      <c r="N361" s="284">
        <v>806.4</v>
      </c>
      <c r="O361" s="285" t="s">
        <v>1</v>
      </c>
      <c r="P361" s="285" t="s">
        <v>1</v>
      </c>
      <c r="Q361" s="306">
        <v>696</v>
      </c>
      <c r="R361" s="306" t="s">
        <v>1</v>
      </c>
      <c r="S361" s="286">
        <v>806.4</v>
      </c>
      <c r="T361" s="285" t="s">
        <v>1</v>
      </c>
      <c r="U361" s="285" t="s">
        <v>1</v>
      </c>
      <c r="V361" s="306">
        <v>696</v>
      </c>
      <c r="W361" s="306" t="s">
        <v>1</v>
      </c>
      <c r="X361" s="286">
        <v>806.4</v>
      </c>
      <c r="Y361" s="285">
        <v>2</v>
      </c>
      <c r="Z361" s="285">
        <v>24</v>
      </c>
      <c r="AA361" s="306">
        <v>696</v>
      </c>
      <c r="AB361" s="306" t="s">
        <v>1</v>
      </c>
      <c r="AC361" s="286">
        <v>806.4</v>
      </c>
      <c r="AD361" s="285">
        <v>2</v>
      </c>
      <c r="AE361" s="285">
        <v>24</v>
      </c>
      <c r="AF361" s="306">
        <v>696</v>
      </c>
      <c r="AG361" s="306" t="s">
        <v>1</v>
      </c>
      <c r="AH361" s="286" t="s">
        <v>1</v>
      </c>
      <c r="AI361" s="295" t="s">
        <v>1</v>
      </c>
      <c r="AJ361" s="295" t="s">
        <v>1</v>
      </c>
      <c r="AK361" s="295" t="s">
        <v>1</v>
      </c>
      <c r="AL361" s="302" t="s">
        <v>1</v>
      </c>
      <c r="AM361" s="288" t="s">
        <v>1</v>
      </c>
      <c r="AN361" s="287" t="s">
        <v>1</v>
      </c>
      <c r="AO361" s="287" t="s">
        <v>1</v>
      </c>
      <c r="AP361" s="286" t="s">
        <v>1</v>
      </c>
      <c r="AQ361" s="285" t="s">
        <v>1</v>
      </c>
      <c r="AR361" s="289" t="s">
        <v>1</v>
      </c>
      <c r="AS361" s="289" t="s">
        <v>1</v>
      </c>
      <c r="AT361" s="290" t="s">
        <v>1</v>
      </c>
      <c r="AU361" s="287" t="s">
        <v>1</v>
      </c>
      <c r="AV361" s="287" t="s">
        <v>1</v>
      </c>
      <c r="AW361" s="291" t="s">
        <v>1</v>
      </c>
    </row>
    <row r="362" spans="1:49" ht="30.15" customHeight="1" x14ac:dyDescent="0.25">
      <c r="A362" s="213" t="s">
        <v>18</v>
      </c>
      <c r="B362" s="188" t="s">
        <v>1</v>
      </c>
      <c r="C362" s="212" t="s">
        <v>34</v>
      </c>
      <c r="D362" s="190" t="s">
        <v>3</v>
      </c>
      <c r="E362" s="190" t="s">
        <v>1167</v>
      </c>
      <c r="F362" s="203"/>
      <c r="G362" s="190" t="s">
        <v>1186</v>
      </c>
      <c r="H362" s="192" t="s">
        <v>409</v>
      </c>
      <c r="I362" s="193">
        <v>1866</v>
      </c>
      <c r="J362" s="193">
        <v>1914</v>
      </c>
      <c r="K362" s="193">
        <v>1914</v>
      </c>
      <c r="L362" s="193">
        <v>2016</v>
      </c>
      <c r="M362" s="194">
        <v>2016</v>
      </c>
      <c r="N362" s="284">
        <v>806.4</v>
      </c>
      <c r="O362" s="285" t="s">
        <v>1</v>
      </c>
      <c r="P362" s="285" t="s">
        <v>1</v>
      </c>
      <c r="Q362" s="306">
        <v>696</v>
      </c>
      <c r="R362" s="306" t="s">
        <v>1</v>
      </c>
      <c r="S362" s="286">
        <v>806.4</v>
      </c>
      <c r="T362" s="285" t="s">
        <v>1</v>
      </c>
      <c r="U362" s="285" t="s">
        <v>1</v>
      </c>
      <c r="V362" s="306">
        <v>696</v>
      </c>
      <c r="W362" s="306" t="s">
        <v>1</v>
      </c>
      <c r="X362" s="286">
        <v>806.4</v>
      </c>
      <c r="Y362" s="285">
        <v>2</v>
      </c>
      <c r="Z362" s="285">
        <v>24</v>
      </c>
      <c r="AA362" s="306">
        <v>696</v>
      </c>
      <c r="AB362" s="306" t="s">
        <v>1</v>
      </c>
      <c r="AC362" s="286">
        <v>806.4</v>
      </c>
      <c r="AD362" s="285">
        <v>2</v>
      </c>
      <c r="AE362" s="285">
        <v>24</v>
      </c>
      <c r="AF362" s="306">
        <v>696</v>
      </c>
      <c r="AG362" s="306" t="s">
        <v>1</v>
      </c>
      <c r="AH362" s="286" t="s">
        <v>1</v>
      </c>
      <c r="AI362" s="295" t="s">
        <v>1</v>
      </c>
      <c r="AJ362" s="295" t="s">
        <v>1</v>
      </c>
      <c r="AK362" s="295" t="s">
        <v>1</v>
      </c>
      <c r="AL362" s="302" t="s">
        <v>1</v>
      </c>
      <c r="AM362" s="288" t="s">
        <v>1</v>
      </c>
      <c r="AN362" s="287" t="s">
        <v>1</v>
      </c>
      <c r="AO362" s="287" t="s">
        <v>1</v>
      </c>
      <c r="AP362" s="286" t="s">
        <v>1</v>
      </c>
      <c r="AQ362" s="285" t="s">
        <v>1</v>
      </c>
      <c r="AR362" s="289" t="s">
        <v>1</v>
      </c>
      <c r="AS362" s="289" t="s">
        <v>1</v>
      </c>
      <c r="AT362" s="290" t="s">
        <v>1</v>
      </c>
      <c r="AU362" s="287" t="s">
        <v>1</v>
      </c>
      <c r="AV362" s="287" t="s">
        <v>1</v>
      </c>
      <c r="AW362" s="291" t="s">
        <v>1</v>
      </c>
    </row>
    <row r="363" spans="1:49" ht="30.15" customHeight="1" x14ac:dyDescent="0.25">
      <c r="A363" s="213" t="s">
        <v>18</v>
      </c>
      <c r="B363" s="188" t="s">
        <v>1</v>
      </c>
      <c r="C363" s="212" t="s">
        <v>34</v>
      </c>
      <c r="D363" s="190" t="s">
        <v>3</v>
      </c>
      <c r="E363" s="190" t="s">
        <v>1168</v>
      </c>
      <c r="F363" s="203"/>
      <c r="G363" s="190" t="s">
        <v>1186</v>
      </c>
      <c r="H363" s="192" t="s">
        <v>409</v>
      </c>
      <c r="I363" s="193">
        <v>1866</v>
      </c>
      <c r="J363" s="193">
        <v>1914</v>
      </c>
      <c r="K363" s="193">
        <v>1914</v>
      </c>
      <c r="L363" s="193">
        <v>2016</v>
      </c>
      <c r="M363" s="194">
        <v>2016</v>
      </c>
      <c r="N363" s="284">
        <v>806.4</v>
      </c>
      <c r="O363" s="285" t="s">
        <v>1</v>
      </c>
      <c r="P363" s="285" t="s">
        <v>1</v>
      </c>
      <c r="Q363" s="306">
        <v>696</v>
      </c>
      <c r="R363" s="306" t="s">
        <v>1</v>
      </c>
      <c r="S363" s="286">
        <v>806.4</v>
      </c>
      <c r="T363" s="285" t="s">
        <v>1</v>
      </c>
      <c r="U363" s="285" t="s">
        <v>1</v>
      </c>
      <c r="V363" s="306">
        <v>696</v>
      </c>
      <c r="W363" s="306" t="s">
        <v>1</v>
      </c>
      <c r="X363" s="286">
        <v>806.4</v>
      </c>
      <c r="Y363" s="285">
        <v>2</v>
      </c>
      <c r="Z363" s="285">
        <v>24</v>
      </c>
      <c r="AA363" s="306">
        <v>696</v>
      </c>
      <c r="AB363" s="306" t="s">
        <v>1</v>
      </c>
      <c r="AC363" s="286">
        <v>806.4</v>
      </c>
      <c r="AD363" s="285">
        <v>2</v>
      </c>
      <c r="AE363" s="285">
        <v>24</v>
      </c>
      <c r="AF363" s="306">
        <v>696</v>
      </c>
      <c r="AG363" s="306" t="s">
        <v>1</v>
      </c>
      <c r="AH363" s="286" t="s">
        <v>1</v>
      </c>
      <c r="AI363" s="295" t="s">
        <v>1</v>
      </c>
      <c r="AJ363" s="295" t="s">
        <v>1</v>
      </c>
      <c r="AK363" s="295" t="s">
        <v>1</v>
      </c>
      <c r="AL363" s="302" t="s">
        <v>1</v>
      </c>
      <c r="AM363" s="288" t="s">
        <v>1</v>
      </c>
      <c r="AN363" s="287" t="s">
        <v>1</v>
      </c>
      <c r="AO363" s="287" t="s">
        <v>1</v>
      </c>
      <c r="AP363" s="286" t="s">
        <v>1</v>
      </c>
      <c r="AQ363" s="285" t="s">
        <v>1</v>
      </c>
      <c r="AR363" s="289" t="s">
        <v>1</v>
      </c>
      <c r="AS363" s="289" t="s">
        <v>1</v>
      </c>
      <c r="AT363" s="290" t="s">
        <v>1</v>
      </c>
      <c r="AU363" s="287" t="s">
        <v>1</v>
      </c>
      <c r="AV363" s="287" t="s">
        <v>1</v>
      </c>
      <c r="AW363" s="291" t="s">
        <v>1</v>
      </c>
    </row>
    <row r="364" spans="1:49" ht="30.15" customHeight="1" x14ac:dyDescent="0.25">
      <c r="A364" s="213" t="s">
        <v>18</v>
      </c>
      <c r="B364" s="188" t="s">
        <v>1</v>
      </c>
      <c r="C364" s="212" t="s">
        <v>34</v>
      </c>
      <c r="D364" s="190" t="s">
        <v>3</v>
      </c>
      <c r="E364" s="190" t="s">
        <v>1169</v>
      </c>
      <c r="F364" s="203"/>
      <c r="G364" s="190" t="s">
        <v>1187</v>
      </c>
      <c r="H364" s="192" t="s">
        <v>409</v>
      </c>
      <c r="I364" s="193">
        <v>932</v>
      </c>
      <c r="J364" s="193">
        <v>955</v>
      </c>
      <c r="K364" s="193">
        <v>955</v>
      </c>
      <c r="L364" s="193">
        <v>1008</v>
      </c>
      <c r="M364" s="194">
        <v>1008</v>
      </c>
      <c r="N364" s="284">
        <v>403.2</v>
      </c>
      <c r="O364" s="285" t="s">
        <v>1</v>
      </c>
      <c r="P364" s="285" t="s">
        <v>1</v>
      </c>
      <c r="Q364" s="306">
        <v>432</v>
      </c>
      <c r="R364" s="306" t="s">
        <v>1</v>
      </c>
      <c r="S364" s="286">
        <v>403.2</v>
      </c>
      <c r="T364" s="285" t="s">
        <v>1</v>
      </c>
      <c r="U364" s="285" t="s">
        <v>1</v>
      </c>
      <c r="V364" s="306">
        <v>432</v>
      </c>
      <c r="W364" s="306" t="s">
        <v>1</v>
      </c>
      <c r="X364" s="286">
        <v>403.2</v>
      </c>
      <c r="Y364" s="285">
        <v>2</v>
      </c>
      <c r="Z364" s="285">
        <v>24</v>
      </c>
      <c r="AA364" s="306">
        <v>432</v>
      </c>
      <c r="AB364" s="306" t="s">
        <v>1</v>
      </c>
      <c r="AC364" s="286">
        <v>403.2</v>
      </c>
      <c r="AD364" s="285">
        <v>2</v>
      </c>
      <c r="AE364" s="285">
        <v>24</v>
      </c>
      <c r="AF364" s="306">
        <v>432</v>
      </c>
      <c r="AG364" s="306" t="s">
        <v>1</v>
      </c>
      <c r="AH364" s="286" t="s">
        <v>1</v>
      </c>
      <c r="AI364" s="295" t="s">
        <v>1</v>
      </c>
      <c r="AJ364" s="295" t="s">
        <v>1</v>
      </c>
      <c r="AK364" s="295" t="s">
        <v>1</v>
      </c>
      <c r="AL364" s="302" t="s">
        <v>1</v>
      </c>
      <c r="AM364" s="288" t="s">
        <v>1</v>
      </c>
      <c r="AN364" s="287" t="s">
        <v>1</v>
      </c>
      <c r="AO364" s="287" t="s">
        <v>1</v>
      </c>
      <c r="AP364" s="286" t="s">
        <v>1</v>
      </c>
      <c r="AQ364" s="285" t="s">
        <v>1</v>
      </c>
      <c r="AR364" s="289" t="s">
        <v>1</v>
      </c>
      <c r="AS364" s="289" t="s">
        <v>1</v>
      </c>
      <c r="AT364" s="290" t="s">
        <v>1</v>
      </c>
      <c r="AU364" s="287" t="s">
        <v>1</v>
      </c>
      <c r="AV364" s="287" t="s">
        <v>1</v>
      </c>
      <c r="AW364" s="291" t="s">
        <v>1</v>
      </c>
    </row>
    <row r="365" spans="1:49" ht="30.15" customHeight="1" x14ac:dyDescent="0.25">
      <c r="A365" s="213" t="s">
        <v>18</v>
      </c>
      <c r="B365" s="188" t="s">
        <v>1</v>
      </c>
      <c r="C365" s="212" t="s">
        <v>34</v>
      </c>
      <c r="D365" s="190" t="s">
        <v>3</v>
      </c>
      <c r="E365" s="190" t="s">
        <v>1170</v>
      </c>
      <c r="F365" s="203"/>
      <c r="G365" s="190" t="s">
        <v>1187</v>
      </c>
      <c r="H365" s="192" t="s">
        <v>409</v>
      </c>
      <c r="I365" s="193">
        <v>932</v>
      </c>
      <c r="J365" s="193">
        <v>955</v>
      </c>
      <c r="K365" s="193">
        <v>955</v>
      </c>
      <c r="L365" s="193">
        <v>1008</v>
      </c>
      <c r="M365" s="194">
        <v>1008</v>
      </c>
      <c r="N365" s="284">
        <v>403.2</v>
      </c>
      <c r="O365" s="285" t="s">
        <v>1</v>
      </c>
      <c r="P365" s="285" t="s">
        <v>1</v>
      </c>
      <c r="Q365" s="306">
        <v>432</v>
      </c>
      <c r="R365" s="306" t="s">
        <v>1</v>
      </c>
      <c r="S365" s="286">
        <v>403.2</v>
      </c>
      <c r="T365" s="285" t="s">
        <v>1</v>
      </c>
      <c r="U365" s="285" t="s">
        <v>1</v>
      </c>
      <c r="V365" s="306">
        <v>432</v>
      </c>
      <c r="W365" s="306" t="s">
        <v>1</v>
      </c>
      <c r="X365" s="286">
        <v>403.2</v>
      </c>
      <c r="Y365" s="285">
        <v>2</v>
      </c>
      <c r="Z365" s="285">
        <v>24</v>
      </c>
      <c r="AA365" s="306">
        <v>432</v>
      </c>
      <c r="AB365" s="306" t="s">
        <v>1</v>
      </c>
      <c r="AC365" s="286">
        <v>403.2</v>
      </c>
      <c r="AD365" s="285">
        <v>2</v>
      </c>
      <c r="AE365" s="285">
        <v>24</v>
      </c>
      <c r="AF365" s="306">
        <v>432</v>
      </c>
      <c r="AG365" s="306" t="s">
        <v>1</v>
      </c>
      <c r="AH365" s="286" t="s">
        <v>1</v>
      </c>
      <c r="AI365" s="295" t="s">
        <v>1</v>
      </c>
      <c r="AJ365" s="295" t="s">
        <v>1</v>
      </c>
      <c r="AK365" s="295" t="s">
        <v>1</v>
      </c>
      <c r="AL365" s="302" t="s">
        <v>1</v>
      </c>
      <c r="AM365" s="288" t="s">
        <v>1</v>
      </c>
      <c r="AN365" s="287" t="s">
        <v>1</v>
      </c>
      <c r="AO365" s="287" t="s">
        <v>1</v>
      </c>
      <c r="AP365" s="286" t="s">
        <v>1</v>
      </c>
      <c r="AQ365" s="285" t="s">
        <v>1</v>
      </c>
      <c r="AR365" s="289" t="s">
        <v>1</v>
      </c>
      <c r="AS365" s="289" t="s">
        <v>1</v>
      </c>
      <c r="AT365" s="290" t="s">
        <v>1</v>
      </c>
      <c r="AU365" s="287" t="s">
        <v>1</v>
      </c>
      <c r="AV365" s="287" t="s">
        <v>1</v>
      </c>
      <c r="AW365" s="291" t="s">
        <v>1</v>
      </c>
    </row>
    <row r="366" spans="1:49" ht="30.15" customHeight="1" x14ac:dyDescent="0.25">
      <c r="A366" s="213" t="s">
        <v>18</v>
      </c>
      <c r="B366" s="188" t="s">
        <v>1</v>
      </c>
      <c r="C366" s="212" t="s">
        <v>34</v>
      </c>
      <c r="D366" s="190" t="s">
        <v>3</v>
      </c>
      <c r="E366" s="190" t="s">
        <v>1171</v>
      </c>
      <c r="F366" s="203"/>
      <c r="G366" s="190" t="s">
        <v>1187</v>
      </c>
      <c r="H366" s="192" t="s">
        <v>409</v>
      </c>
      <c r="I366" s="193">
        <v>932</v>
      </c>
      <c r="J366" s="193">
        <v>955</v>
      </c>
      <c r="K366" s="193">
        <v>955</v>
      </c>
      <c r="L366" s="193">
        <v>1008</v>
      </c>
      <c r="M366" s="194">
        <v>1008</v>
      </c>
      <c r="N366" s="284">
        <v>403.2</v>
      </c>
      <c r="O366" s="285" t="s">
        <v>1</v>
      </c>
      <c r="P366" s="285" t="s">
        <v>1</v>
      </c>
      <c r="Q366" s="306">
        <v>432</v>
      </c>
      <c r="R366" s="306" t="s">
        <v>1</v>
      </c>
      <c r="S366" s="286">
        <v>403.2</v>
      </c>
      <c r="T366" s="285" t="s">
        <v>1</v>
      </c>
      <c r="U366" s="285" t="s">
        <v>1</v>
      </c>
      <c r="V366" s="306">
        <v>432</v>
      </c>
      <c r="W366" s="306" t="s">
        <v>1</v>
      </c>
      <c r="X366" s="286">
        <v>403.2</v>
      </c>
      <c r="Y366" s="285">
        <v>2</v>
      </c>
      <c r="Z366" s="285">
        <v>24</v>
      </c>
      <c r="AA366" s="306">
        <v>432</v>
      </c>
      <c r="AB366" s="306" t="s">
        <v>1</v>
      </c>
      <c r="AC366" s="286">
        <v>403.2</v>
      </c>
      <c r="AD366" s="285">
        <v>2</v>
      </c>
      <c r="AE366" s="285">
        <v>24</v>
      </c>
      <c r="AF366" s="306">
        <v>432</v>
      </c>
      <c r="AG366" s="306" t="s">
        <v>1</v>
      </c>
      <c r="AH366" s="286" t="s">
        <v>1</v>
      </c>
      <c r="AI366" s="295" t="s">
        <v>1</v>
      </c>
      <c r="AJ366" s="295" t="s">
        <v>1</v>
      </c>
      <c r="AK366" s="295" t="s">
        <v>1</v>
      </c>
      <c r="AL366" s="302" t="s">
        <v>1</v>
      </c>
      <c r="AM366" s="288" t="s">
        <v>1</v>
      </c>
      <c r="AN366" s="287" t="s">
        <v>1</v>
      </c>
      <c r="AO366" s="287" t="s">
        <v>1</v>
      </c>
      <c r="AP366" s="286" t="s">
        <v>1</v>
      </c>
      <c r="AQ366" s="285" t="s">
        <v>1</v>
      </c>
      <c r="AR366" s="289" t="s">
        <v>1</v>
      </c>
      <c r="AS366" s="289" t="s">
        <v>1</v>
      </c>
      <c r="AT366" s="290" t="s">
        <v>1</v>
      </c>
      <c r="AU366" s="287" t="s">
        <v>1</v>
      </c>
      <c r="AV366" s="287" t="s">
        <v>1</v>
      </c>
      <c r="AW366" s="291" t="s">
        <v>1</v>
      </c>
    </row>
    <row r="367" spans="1:49" ht="30.15" customHeight="1" x14ac:dyDescent="0.25">
      <c r="A367" s="213" t="s">
        <v>18</v>
      </c>
      <c r="B367" s="188" t="s">
        <v>1</v>
      </c>
      <c r="C367" s="212" t="s">
        <v>34</v>
      </c>
      <c r="D367" s="190" t="s">
        <v>3</v>
      </c>
      <c r="E367" s="190" t="s">
        <v>1172</v>
      </c>
      <c r="F367" s="203"/>
      <c r="G367" s="190" t="s">
        <v>1187</v>
      </c>
      <c r="H367" s="192" t="s">
        <v>409</v>
      </c>
      <c r="I367" s="193">
        <v>932</v>
      </c>
      <c r="J367" s="193">
        <v>955</v>
      </c>
      <c r="K367" s="193">
        <v>955</v>
      </c>
      <c r="L367" s="193">
        <v>1008</v>
      </c>
      <c r="M367" s="194">
        <v>1008</v>
      </c>
      <c r="N367" s="284">
        <v>403.2</v>
      </c>
      <c r="O367" s="285" t="s">
        <v>1</v>
      </c>
      <c r="P367" s="285" t="s">
        <v>1</v>
      </c>
      <c r="Q367" s="306">
        <v>432</v>
      </c>
      <c r="R367" s="306" t="s">
        <v>1</v>
      </c>
      <c r="S367" s="286">
        <v>403.2</v>
      </c>
      <c r="T367" s="285" t="s">
        <v>1</v>
      </c>
      <c r="U367" s="285" t="s">
        <v>1</v>
      </c>
      <c r="V367" s="306">
        <v>432</v>
      </c>
      <c r="W367" s="306" t="s">
        <v>1</v>
      </c>
      <c r="X367" s="286">
        <v>403.2</v>
      </c>
      <c r="Y367" s="285">
        <v>2</v>
      </c>
      <c r="Z367" s="285">
        <v>24</v>
      </c>
      <c r="AA367" s="306">
        <v>432</v>
      </c>
      <c r="AB367" s="306" t="s">
        <v>1</v>
      </c>
      <c r="AC367" s="286">
        <v>403.2</v>
      </c>
      <c r="AD367" s="285">
        <v>2</v>
      </c>
      <c r="AE367" s="285">
        <v>24</v>
      </c>
      <c r="AF367" s="306">
        <v>432</v>
      </c>
      <c r="AG367" s="306" t="s">
        <v>1</v>
      </c>
      <c r="AH367" s="286" t="s">
        <v>1</v>
      </c>
      <c r="AI367" s="295" t="s">
        <v>1</v>
      </c>
      <c r="AJ367" s="295" t="s">
        <v>1</v>
      </c>
      <c r="AK367" s="295" t="s">
        <v>1</v>
      </c>
      <c r="AL367" s="302" t="s">
        <v>1</v>
      </c>
      <c r="AM367" s="288" t="s">
        <v>1</v>
      </c>
      <c r="AN367" s="287" t="s">
        <v>1</v>
      </c>
      <c r="AO367" s="287" t="s">
        <v>1</v>
      </c>
      <c r="AP367" s="286" t="s">
        <v>1</v>
      </c>
      <c r="AQ367" s="285" t="s">
        <v>1</v>
      </c>
      <c r="AR367" s="289" t="s">
        <v>1</v>
      </c>
      <c r="AS367" s="289" t="s">
        <v>1</v>
      </c>
      <c r="AT367" s="290" t="s">
        <v>1</v>
      </c>
      <c r="AU367" s="287" t="s">
        <v>1</v>
      </c>
      <c r="AV367" s="287" t="s">
        <v>1</v>
      </c>
      <c r="AW367" s="291" t="s">
        <v>1</v>
      </c>
    </row>
    <row r="368" spans="1:49" ht="30.15" customHeight="1" x14ac:dyDescent="0.25">
      <c r="A368" s="213" t="s">
        <v>18</v>
      </c>
      <c r="B368" s="188" t="s">
        <v>1</v>
      </c>
      <c r="C368" s="212" t="s">
        <v>34</v>
      </c>
      <c r="D368" s="190" t="s">
        <v>3</v>
      </c>
      <c r="E368" s="190" t="s">
        <v>1173</v>
      </c>
      <c r="F368" s="203"/>
      <c r="G368" s="190" t="s">
        <v>1187</v>
      </c>
      <c r="H368" s="192" t="s">
        <v>409</v>
      </c>
      <c r="I368" s="193">
        <v>932</v>
      </c>
      <c r="J368" s="193">
        <v>955</v>
      </c>
      <c r="K368" s="193">
        <v>955</v>
      </c>
      <c r="L368" s="193">
        <v>1008</v>
      </c>
      <c r="M368" s="194">
        <v>1008</v>
      </c>
      <c r="N368" s="284">
        <v>403.2</v>
      </c>
      <c r="O368" s="285" t="s">
        <v>1</v>
      </c>
      <c r="P368" s="285" t="s">
        <v>1</v>
      </c>
      <c r="Q368" s="306">
        <v>432</v>
      </c>
      <c r="R368" s="306" t="s">
        <v>1</v>
      </c>
      <c r="S368" s="286">
        <v>403.2</v>
      </c>
      <c r="T368" s="285" t="s">
        <v>1</v>
      </c>
      <c r="U368" s="285" t="s">
        <v>1</v>
      </c>
      <c r="V368" s="306">
        <v>432</v>
      </c>
      <c r="W368" s="306" t="s">
        <v>1</v>
      </c>
      <c r="X368" s="286">
        <v>403.2</v>
      </c>
      <c r="Y368" s="285">
        <v>2</v>
      </c>
      <c r="Z368" s="285">
        <v>24</v>
      </c>
      <c r="AA368" s="306">
        <v>432</v>
      </c>
      <c r="AB368" s="306" t="s">
        <v>1</v>
      </c>
      <c r="AC368" s="286">
        <v>403.2</v>
      </c>
      <c r="AD368" s="285">
        <v>2</v>
      </c>
      <c r="AE368" s="285">
        <v>24</v>
      </c>
      <c r="AF368" s="306">
        <v>432</v>
      </c>
      <c r="AG368" s="306" t="s">
        <v>1</v>
      </c>
      <c r="AH368" s="286" t="s">
        <v>1</v>
      </c>
      <c r="AI368" s="295" t="s">
        <v>1</v>
      </c>
      <c r="AJ368" s="295" t="s">
        <v>1</v>
      </c>
      <c r="AK368" s="295" t="s">
        <v>1</v>
      </c>
      <c r="AL368" s="302" t="s">
        <v>1</v>
      </c>
      <c r="AM368" s="288" t="s">
        <v>1</v>
      </c>
      <c r="AN368" s="287" t="s">
        <v>1</v>
      </c>
      <c r="AO368" s="287" t="s">
        <v>1</v>
      </c>
      <c r="AP368" s="286" t="s">
        <v>1</v>
      </c>
      <c r="AQ368" s="285" t="s">
        <v>1</v>
      </c>
      <c r="AR368" s="289" t="s">
        <v>1</v>
      </c>
      <c r="AS368" s="289" t="s">
        <v>1</v>
      </c>
      <c r="AT368" s="290" t="s">
        <v>1</v>
      </c>
      <c r="AU368" s="287" t="s">
        <v>1</v>
      </c>
      <c r="AV368" s="287" t="s">
        <v>1</v>
      </c>
      <c r="AW368" s="291" t="s">
        <v>1</v>
      </c>
    </row>
    <row r="369" spans="1:49" ht="30.15" customHeight="1" x14ac:dyDescent="0.25">
      <c r="A369" s="213" t="s">
        <v>18</v>
      </c>
      <c r="B369" s="188" t="s">
        <v>1</v>
      </c>
      <c r="C369" s="212" t="s">
        <v>34</v>
      </c>
      <c r="D369" s="190" t="s">
        <v>3</v>
      </c>
      <c r="E369" s="190" t="s">
        <v>1247</v>
      </c>
      <c r="F369" s="203"/>
      <c r="G369" s="190" t="s">
        <v>1187</v>
      </c>
      <c r="H369" s="192" t="s">
        <v>409</v>
      </c>
      <c r="I369" s="193">
        <v>932</v>
      </c>
      <c r="J369" s="193">
        <v>955</v>
      </c>
      <c r="K369" s="193">
        <v>955</v>
      </c>
      <c r="L369" s="193">
        <v>1008</v>
      </c>
      <c r="M369" s="194">
        <v>1008</v>
      </c>
      <c r="N369" s="284">
        <v>403.2</v>
      </c>
      <c r="O369" s="285" t="s">
        <v>1</v>
      </c>
      <c r="P369" s="285" t="s">
        <v>1</v>
      </c>
      <c r="Q369" s="306">
        <v>432</v>
      </c>
      <c r="R369" s="306" t="s">
        <v>1</v>
      </c>
      <c r="S369" s="286">
        <v>403.2</v>
      </c>
      <c r="T369" s="285" t="s">
        <v>1</v>
      </c>
      <c r="U369" s="285" t="s">
        <v>1</v>
      </c>
      <c r="V369" s="306">
        <v>432</v>
      </c>
      <c r="W369" s="306" t="s">
        <v>1</v>
      </c>
      <c r="X369" s="286">
        <v>403.2</v>
      </c>
      <c r="Y369" s="285">
        <v>2</v>
      </c>
      <c r="Z369" s="285">
        <v>24</v>
      </c>
      <c r="AA369" s="306">
        <v>432</v>
      </c>
      <c r="AB369" s="306" t="s">
        <v>1</v>
      </c>
      <c r="AC369" s="286">
        <v>403.2</v>
      </c>
      <c r="AD369" s="285">
        <v>2</v>
      </c>
      <c r="AE369" s="285">
        <v>24</v>
      </c>
      <c r="AF369" s="306">
        <v>432</v>
      </c>
      <c r="AG369" s="306" t="s">
        <v>1</v>
      </c>
      <c r="AH369" s="286" t="s">
        <v>1</v>
      </c>
      <c r="AI369" s="295" t="s">
        <v>1</v>
      </c>
      <c r="AJ369" s="295" t="s">
        <v>1</v>
      </c>
      <c r="AK369" s="295" t="s">
        <v>1</v>
      </c>
      <c r="AL369" s="302" t="s">
        <v>1</v>
      </c>
      <c r="AM369" s="288" t="s">
        <v>1</v>
      </c>
      <c r="AN369" s="287" t="s">
        <v>1</v>
      </c>
      <c r="AO369" s="287" t="s">
        <v>1</v>
      </c>
      <c r="AP369" s="286" t="s">
        <v>1</v>
      </c>
      <c r="AQ369" s="285" t="s">
        <v>1</v>
      </c>
      <c r="AR369" s="289" t="s">
        <v>1</v>
      </c>
      <c r="AS369" s="289" t="s">
        <v>1</v>
      </c>
      <c r="AT369" s="290" t="s">
        <v>1</v>
      </c>
      <c r="AU369" s="287" t="s">
        <v>1</v>
      </c>
      <c r="AV369" s="287" t="s">
        <v>1</v>
      </c>
      <c r="AW369" s="291" t="s">
        <v>1</v>
      </c>
    </row>
    <row r="370" spans="1:49" ht="30.15" customHeight="1" x14ac:dyDescent="0.25">
      <c r="A370" s="213" t="s">
        <v>18</v>
      </c>
      <c r="B370" s="188" t="s">
        <v>1</v>
      </c>
      <c r="C370" s="212" t="s">
        <v>34</v>
      </c>
      <c r="D370" s="190" t="s">
        <v>3</v>
      </c>
      <c r="E370" s="190" t="s">
        <v>1174</v>
      </c>
      <c r="F370" s="203"/>
      <c r="G370" s="190" t="s">
        <v>1188</v>
      </c>
      <c r="H370" s="192" t="s">
        <v>409</v>
      </c>
      <c r="I370" s="193">
        <v>999</v>
      </c>
      <c r="J370" s="193">
        <v>1021</v>
      </c>
      <c r="K370" s="193">
        <v>1021</v>
      </c>
      <c r="L370" s="193">
        <v>1080</v>
      </c>
      <c r="M370" s="194">
        <v>1080</v>
      </c>
      <c r="N370" s="284">
        <v>432</v>
      </c>
      <c r="O370" s="285" t="s">
        <v>1</v>
      </c>
      <c r="P370" s="285" t="s">
        <v>1</v>
      </c>
      <c r="Q370" s="306">
        <v>444</v>
      </c>
      <c r="R370" s="306" t="s">
        <v>1</v>
      </c>
      <c r="S370" s="286">
        <v>432</v>
      </c>
      <c r="T370" s="285" t="s">
        <v>1</v>
      </c>
      <c r="U370" s="285" t="s">
        <v>1</v>
      </c>
      <c r="V370" s="306">
        <v>444</v>
      </c>
      <c r="W370" s="306" t="s">
        <v>1</v>
      </c>
      <c r="X370" s="286">
        <v>432</v>
      </c>
      <c r="Y370" s="285">
        <v>1.5</v>
      </c>
      <c r="Z370" s="285">
        <v>24</v>
      </c>
      <c r="AA370" s="306">
        <v>444</v>
      </c>
      <c r="AB370" s="306" t="s">
        <v>1</v>
      </c>
      <c r="AC370" s="286">
        <v>432</v>
      </c>
      <c r="AD370" s="285">
        <v>1.5</v>
      </c>
      <c r="AE370" s="285">
        <v>24</v>
      </c>
      <c r="AF370" s="306">
        <v>444</v>
      </c>
      <c r="AG370" s="306" t="s">
        <v>1</v>
      </c>
      <c r="AH370" s="286" t="s">
        <v>1</v>
      </c>
      <c r="AI370" s="295" t="s">
        <v>1</v>
      </c>
      <c r="AJ370" s="295" t="s">
        <v>1</v>
      </c>
      <c r="AK370" s="295" t="s">
        <v>1</v>
      </c>
      <c r="AL370" s="302" t="s">
        <v>1</v>
      </c>
      <c r="AM370" s="288" t="s">
        <v>1</v>
      </c>
      <c r="AN370" s="287" t="s">
        <v>1</v>
      </c>
      <c r="AO370" s="287" t="s">
        <v>1</v>
      </c>
      <c r="AP370" s="286" t="s">
        <v>1</v>
      </c>
      <c r="AQ370" s="285" t="s">
        <v>1</v>
      </c>
      <c r="AR370" s="289" t="s">
        <v>1</v>
      </c>
      <c r="AS370" s="289" t="s">
        <v>1</v>
      </c>
      <c r="AT370" s="290" t="s">
        <v>1</v>
      </c>
      <c r="AU370" s="287" t="s">
        <v>1</v>
      </c>
      <c r="AV370" s="287" t="s">
        <v>1</v>
      </c>
      <c r="AW370" s="291" t="s">
        <v>1</v>
      </c>
    </row>
    <row r="371" spans="1:49" ht="30.15" customHeight="1" x14ac:dyDescent="0.25">
      <c r="A371" s="213" t="s">
        <v>18</v>
      </c>
      <c r="B371" s="188" t="s">
        <v>1</v>
      </c>
      <c r="C371" s="212" t="s">
        <v>34</v>
      </c>
      <c r="D371" s="190" t="s">
        <v>3</v>
      </c>
      <c r="E371" s="190" t="s">
        <v>1175</v>
      </c>
      <c r="F371" s="203"/>
      <c r="G371" s="190" t="s">
        <v>1188</v>
      </c>
      <c r="H371" s="192" t="s">
        <v>409</v>
      </c>
      <c r="I371" s="193">
        <v>999</v>
      </c>
      <c r="J371" s="193">
        <v>1021</v>
      </c>
      <c r="K371" s="193">
        <v>1021</v>
      </c>
      <c r="L371" s="193">
        <v>1080</v>
      </c>
      <c r="M371" s="194">
        <v>1080</v>
      </c>
      <c r="N371" s="284">
        <v>432</v>
      </c>
      <c r="O371" s="285" t="s">
        <v>1</v>
      </c>
      <c r="P371" s="285" t="s">
        <v>1</v>
      </c>
      <c r="Q371" s="306">
        <v>444</v>
      </c>
      <c r="R371" s="306" t="s">
        <v>1</v>
      </c>
      <c r="S371" s="286">
        <v>432</v>
      </c>
      <c r="T371" s="285" t="s">
        <v>1</v>
      </c>
      <c r="U371" s="285" t="s">
        <v>1</v>
      </c>
      <c r="V371" s="306">
        <v>444</v>
      </c>
      <c r="W371" s="306" t="s">
        <v>1</v>
      </c>
      <c r="X371" s="286">
        <v>432</v>
      </c>
      <c r="Y371" s="285">
        <v>1.5</v>
      </c>
      <c r="Z371" s="285">
        <v>24</v>
      </c>
      <c r="AA371" s="306">
        <v>444</v>
      </c>
      <c r="AB371" s="306" t="s">
        <v>1</v>
      </c>
      <c r="AC371" s="286">
        <v>432</v>
      </c>
      <c r="AD371" s="285">
        <v>1.5</v>
      </c>
      <c r="AE371" s="285">
        <v>24</v>
      </c>
      <c r="AF371" s="306">
        <v>444</v>
      </c>
      <c r="AG371" s="306" t="s">
        <v>1</v>
      </c>
      <c r="AH371" s="286" t="s">
        <v>1</v>
      </c>
      <c r="AI371" s="295" t="s">
        <v>1</v>
      </c>
      <c r="AJ371" s="295" t="s">
        <v>1</v>
      </c>
      <c r="AK371" s="295" t="s">
        <v>1</v>
      </c>
      <c r="AL371" s="302" t="s">
        <v>1</v>
      </c>
      <c r="AM371" s="288" t="s">
        <v>1</v>
      </c>
      <c r="AN371" s="287" t="s">
        <v>1</v>
      </c>
      <c r="AO371" s="287" t="s">
        <v>1</v>
      </c>
      <c r="AP371" s="286" t="s">
        <v>1</v>
      </c>
      <c r="AQ371" s="285" t="s">
        <v>1</v>
      </c>
      <c r="AR371" s="289" t="s">
        <v>1</v>
      </c>
      <c r="AS371" s="289" t="s">
        <v>1</v>
      </c>
      <c r="AT371" s="290" t="s">
        <v>1</v>
      </c>
      <c r="AU371" s="287" t="s">
        <v>1</v>
      </c>
      <c r="AV371" s="287" t="s">
        <v>1</v>
      </c>
      <c r="AW371" s="291" t="s">
        <v>1</v>
      </c>
    </row>
    <row r="372" spans="1:49" ht="30.15" customHeight="1" x14ac:dyDescent="0.25">
      <c r="A372" s="213" t="s">
        <v>18</v>
      </c>
      <c r="B372" s="188" t="s">
        <v>1</v>
      </c>
      <c r="C372" s="212" t="s">
        <v>34</v>
      </c>
      <c r="D372" s="190" t="s">
        <v>3</v>
      </c>
      <c r="E372" s="190" t="s">
        <v>1176</v>
      </c>
      <c r="F372" s="203"/>
      <c r="G372" s="190" t="s">
        <v>1188</v>
      </c>
      <c r="H372" s="192" t="s">
        <v>409</v>
      </c>
      <c r="I372" s="193">
        <v>999</v>
      </c>
      <c r="J372" s="193">
        <v>1021</v>
      </c>
      <c r="K372" s="193">
        <v>1021</v>
      </c>
      <c r="L372" s="193">
        <v>1080</v>
      </c>
      <c r="M372" s="194">
        <v>1080</v>
      </c>
      <c r="N372" s="284">
        <v>432</v>
      </c>
      <c r="O372" s="285" t="s">
        <v>1</v>
      </c>
      <c r="P372" s="285" t="s">
        <v>1</v>
      </c>
      <c r="Q372" s="306">
        <v>444</v>
      </c>
      <c r="R372" s="306" t="s">
        <v>1</v>
      </c>
      <c r="S372" s="286">
        <v>432</v>
      </c>
      <c r="T372" s="285" t="s">
        <v>1</v>
      </c>
      <c r="U372" s="285" t="s">
        <v>1</v>
      </c>
      <c r="V372" s="306">
        <v>444</v>
      </c>
      <c r="W372" s="306" t="s">
        <v>1</v>
      </c>
      <c r="X372" s="286">
        <v>432</v>
      </c>
      <c r="Y372" s="285">
        <v>1.5</v>
      </c>
      <c r="Z372" s="285">
        <v>24</v>
      </c>
      <c r="AA372" s="306">
        <v>444</v>
      </c>
      <c r="AB372" s="306" t="s">
        <v>1</v>
      </c>
      <c r="AC372" s="286">
        <v>432</v>
      </c>
      <c r="AD372" s="285">
        <v>1.5</v>
      </c>
      <c r="AE372" s="285">
        <v>24</v>
      </c>
      <c r="AF372" s="306">
        <v>444</v>
      </c>
      <c r="AG372" s="306" t="s">
        <v>1</v>
      </c>
      <c r="AH372" s="286" t="s">
        <v>1</v>
      </c>
      <c r="AI372" s="295" t="s">
        <v>1</v>
      </c>
      <c r="AJ372" s="295" t="s">
        <v>1</v>
      </c>
      <c r="AK372" s="295" t="s">
        <v>1</v>
      </c>
      <c r="AL372" s="302" t="s">
        <v>1</v>
      </c>
      <c r="AM372" s="288" t="s">
        <v>1</v>
      </c>
      <c r="AN372" s="287" t="s">
        <v>1</v>
      </c>
      <c r="AO372" s="287" t="s">
        <v>1</v>
      </c>
      <c r="AP372" s="286" t="s">
        <v>1</v>
      </c>
      <c r="AQ372" s="285" t="s">
        <v>1</v>
      </c>
      <c r="AR372" s="289" t="s">
        <v>1</v>
      </c>
      <c r="AS372" s="289" t="s">
        <v>1</v>
      </c>
      <c r="AT372" s="290" t="s">
        <v>1</v>
      </c>
      <c r="AU372" s="287" t="s">
        <v>1</v>
      </c>
      <c r="AV372" s="287" t="s">
        <v>1</v>
      </c>
      <c r="AW372" s="291" t="s">
        <v>1</v>
      </c>
    </row>
    <row r="373" spans="1:49" ht="30.15" customHeight="1" x14ac:dyDescent="0.25">
      <c r="A373" s="213" t="s">
        <v>18</v>
      </c>
      <c r="B373" s="188" t="s">
        <v>1</v>
      </c>
      <c r="C373" s="212" t="s">
        <v>34</v>
      </c>
      <c r="D373" s="190" t="s">
        <v>3</v>
      </c>
      <c r="E373" s="190" t="s">
        <v>1177</v>
      </c>
      <c r="F373" s="203"/>
      <c r="G373" s="190" t="s">
        <v>1188</v>
      </c>
      <c r="H373" s="192" t="s">
        <v>409</v>
      </c>
      <c r="I373" s="193">
        <v>999</v>
      </c>
      <c r="J373" s="193">
        <v>1021</v>
      </c>
      <c r="K373" s="193">
        <v>1021</v>
      </c>
      <c r="L373" s="193">
        <v>1080</v>
      </c>
      <c r="M373" s="194">
        <v>1080</v>
      </c>
      <c r="N373" s="284">
        <v>432</v>
      </c>
      <c r="O373" s="285" t="s">
        <v>1</v>
      </c>
      <c r="P373" s="285" t="s">
        <v>1</v>
      </c>
      <c r="Q373" s="306">
        <v>444</v>
      </c>
      <c r="R373" s="306" t="s">
        <v>1</v>
      </c>
      <c r="S373" s="286">
        <v>432</v>
      </c>
      <c r="T373" s="285" t="s">
        <v>1</v>
      </c>
      <c r="U373" s="285" t="s">
        <v>1</v>
      </c>
      <c r="V373" s="306">
        <v>444</v>
      </c>
      <c r="W373" s="306" t="s">
        <v>1</v>
      </c>
      <c r="X373" s="286">
        <v>432</v>
      </c>
      <c r="Y373" s="285">
        <v>1.5</v>
      </c>
      <c r="Z373" s="285">
        <v>24</v>
      </c>
      <c r="AA373" s="306">
        <v>444</v>
      </c>
      <c r="AB373" s="306" t="s">
        <v>1</v>
      </c>
      <c r="AC373" s="286">
        <v>432</v>
      </c>
      <c r="AD373" s="285">
        <v>1.5</v>
      </c>
      <c r="AE373" s="285">
        <v>24</v>
      </c>
      <c r="AF373" s="306">
        <v>444</v>
      </c>
      <c r="AG373" s="306" t="s">
        <v>1</v>
      </c>
      <c r="AH373" s="286" t="s">
        <v>1</v>
      </c>
      <c r="AI373" s="295" t="s">
        <v>1</v>
      </c>
      <c r="AJ373" s="295" t="s">
        <v>1</v>
      </c>
      <c r="AK373" s="295" t="s">
        <v>1</v>
      </c>
      <c r="AL373" s="302" t="s">
        <v>1</v>
      </c>
      <c r="AM373" s="288" t="s">
        <v>1</v>
      </c>
      <c r="AN373" s="287" t="s">
        <v>1</v>
      </c>
      <c r="AO373" s="287" t="s">
        <v>1</v>
      </c>
      <c r="AP373" s="286" t="s">
        <v>1</v>
      </c>
      <c r="AQ373" s="285" t="s">
        <v>1</v>
      </c>
      <c r="AR373" s="289" t="s">
        <v>1</v>
      </c>
      <c r="AS373" s="289" t="s">
        <v>1</v>
      </c>
      <c r="AT373" s="290" t="s">
        <v>1</v>
      </c>
      <c r="AU373" s="287" t="s">
        <v>1</v>
      </c>
      <c r="AV373" s="287" t="s">
        <v>1</v>
      </c>
      <c r="AW373" s="291" t="s">
        <v>1</v>
      </c>
    </row>
    <row r="374" spans="1:49" ht="30.15" customHeight="1" x14ac:dyDescent="0.25">
      <c r="A374" s="213" t="s">
        <v>18</v>
      </c>
      <c r="B374" s="188" t="s">
        <v>1</v>
      </c>
      <c r="C374" s="212" t="s">
        <v>34</v>
      </c>
      <c r="D374" s="190" t="s">
        <v>3</v>
      </c>
      <c r="E374" s="190" t="s">
        <v>1178</v>
      </c>
      <c r="F374" s="203"/>
      <c r="G374" s="190" t="s">
        <v>1188</v>
      </c>
      <c r="H374" s="192" t="s">
        <v>409</v>
      </c>
      <c r="I374" s="193">
        <v>999</v>
      </c>
      <c r="J374" s="193">
        <v>1021</v>
      </c>
      <c r="K374" s="193">
        <v>1021</v>
      </c>
      <c r="L374" s="193">
        <v>1080</v>
      </c>
      <c r="M374" s="194">
        <v>1080</v>
      </c>
      <c r="N374" s="284">
        <v>432</v>
      </c>
      <c r="O374" s="285" t="s">
        <v>1</v>
      </c>
      <c r="P374" s="285" t="s">
        <v>1</v>
      </c>
      <c r="Q374" s="306">
        <v>444</v>
      </c>
      <c r="R374" s="306" t="s">
        <v>1</v>
      </c>
      <c r="S374" s="286">
        <v>432</v>
      </c>
      <c r="T374" s="285" t="s">
        <v>1</v>
      </c>
      <c r="U374" s="285" t="s">
        <v>1</v>
      </c>
      <c r="V374" s="306">
        <v>444</v>
      </c>
      <c r="W374" s="306" t="s">
        <v>1</v>
      </c>
      <c r="X374" s="286">
        <v>432</v>
      </c>
      <c r="Y374" s="285">
        <v>1.5</v>
      </c>
      <c r="Z374" s="285">
        <v>24</v>
      </c>
      <c r="AA374" s="306">
        <v>444</v>
      </c>
      <c r="AB374" s="306" t="s">
        <v>1</v>
      </c>
      <c r="AC374" s="286">
        <v>432</v>
      </c>
      <c r="AD374" s="285">
        <v>1.5</v>
      </c>
      <c r="AE374" s="285">
        <v>24</v>
      </c>
      <c r="AF374" s="306">
        <v>444</v>
      </c>
      <c r="AG374" s="306" t="s">
        <v>1</v>
      </c>
      <c r="AH374" s="286" t="s">
        <v>1</v>
      </c>
      <c r="AI374" s="295" t="s">
        <v>1</v>
      </c>
      <c r="AJ374" s="295" t="s">
        <v>1</v>
      </c>
      <c r="AK374" s="295" t="s">
        <v>1</v>
      </c>
      <c r="AL374" s="302" t="s">
        <v>1</v>
      </c>
      <c r="AM374" s="288" t="s">
        <v>1</v>
      </c>
      <c r="AN374" s="287" t="s">
        <v>1</v>
      </c>
      <c r="AO374" s="287" t="s">
        <v>1</v>
      </c>
      <c r="AP374" s="286" t="s">
        <v>1</v>
      </c>
      <c r="AQ374" s="285" t="s">
        <v>1</v>
      </c>
      <c r="AR374" s="289" t="s">
        <v>1</v>
      </c>
      <c r="AS374" s="289" t="s">
        <v>1</v>
      </c>
      <c r="AT374" s="290" t="s">
        <v>1</v>
      </c>
      <c r="AU374" s="287" t="s">
        <v>1</v>
      </c>
      <c r="AV374" s="287" t="s">
        <v>1</v>
      </c>
      <c r="AW374" s="291" t="s">
        <v>1</v>
      </c>
    </row>
    <row r="375" spans="1:49" ht="30.15" customHeight="1" x14ac:dyDescent="0.25">
      <c r="A375" s="213" t="s">
        <v>18</v>
      </c>
      <c r="B375" s="188" t="s">
        <v>1</v>
      </c>
      <c r="C375" s="212" t="s">
        <v>34</v>
      </c>
      <c r="D375" s="190" t="s">
        <v>3</v>
      </c>
      <c r="E375" s="190" t="s">
        <v>1266</v>
      </c>
      <c r="F375" s="203"/>
      <c r="G375" s="190" t="s">
        <v>1188</v>
      </c>
      <c r="H375" s="192" t="s">
        <v>414</v>
      </c>
      <c r="I375" s="193">
        <v>999</v>
      </c>
      <c r="J375" s="193">
        <v>1021</v>
      </c>
      <c r="K375" s="193">
        <v>1021</v>
      </c>
      <c r="L375" s="193">
        <v>1080</v>
      </c>
      <c r="M375" s="194">
        <v>1080</v>
      </c>
      <c r="N375" s="284">
        <v>432</v>
      </c>
      <c r="O375" s="285" t="s">
        <v>1</v>
      </c>
      <c r="P375" s="285" t="s">
        <v>1</v>
      </c>
      <c r="Q375" s="306">
        <v>444</v>
      </c>
      <c r="R375" s="306" t="s">
        <v>1</v>
      </c>
      <c r="S375" s="286">
        <v>432</v>
      </c>
      <c r="T375" s="285" t="s">
        <v>1</v>
      </c>
      <c r="U375" s="285" t="s">
        <v>1</v>
      </c>
      <c r="V375" s="306">
        <v>444</v>
      </c>
      <c r="W375" s="306" t="s">
        <v>1</v>
      </c>
      <c r="X375" s="286">
        <v>432</v>
      </c>
      <c r="Y375" s="285">
        <v>1.5</v>
      </c>
      <c r="Z375" s="285">
        <v>24</v>
      </c>
      <c r="AA375" s="306">
        <v>444</v>
      </c>
      <c r="AB375" s="306" t="s">
        <v>1</v>
      </c>
      <c r="AC375" s="286">
        <v>432</v>
      </c>
      <c r="AD375" s="285">
        <v>1.5</v>
      </c>
      <c r="AE375" s="285">
        <v>24</v>
      </c>
      <c r="AF375" s="306">
        <v>444</v>
      </c>
      <c r="AG375" s="306" t="s">
        <v>1</v>
      </c>
      <c r="AH375" s="286" t="s">
        <v>1</v>
      </c>
      <c r="AI375" s="295" t="s">
        <v>1</v>
      </c>
      <c r="AJ375" s="295" t="s">
        <v>1</v>
      </c>
      <c r="AK375" s="295" t="s">
        <v>1</v>
      </c>
      <c r="AL375" s="302" t="s">
        <v>1</v>
      </c>
      <c r="AM375" s="288" t="s">
        <v>1</v>
      </c>
      <c r="AN375" s="287" t="s">
        <v>1</v>
      </c>
      <c r="AO375" s="287" t="s">
        <v>1</v>
      </c>
      <c r="AP375" s="286" t="s">
        <v>1</v>
      </c>
      <c r="AQ375" s="285" t="s">
        <v>1</v>
      </c>
      <c r="AR375" s="289" t="s">
        <v>1</v>
      </c>
      <c r="AS375" s="289" t="s">
        <v>1</v>
      </c>
      <c r="AT375" s="290" t="s">
        <v>1</v>
      </c>
      <c r="AU375" s="287" t="s">
        <v>1</v>
      </c>
      <c r="AV375" s="287" t="s">
        <v>1</v>
      </c>
      <c r="AW375" s="291" t="s">
        <v>1</v>
      </c>
    </row>
    <row r="376" spans="1:49" ht="30.15" customHeight="1" x14ac:dyDescent="0.25">
      <c r="A376" s="213" t="s">
        <v>18</v>
      </c>
      <c r="B376" s="188" t="s">
        <v>1</v>
      </c>
      <c r="C376" s="212" t="s">
        <v>34</v>
      </c>
      <c r="D376" s="190" t="s">
        <v>3</v>
      </c>
      <c r="E376" s="190" t="s">
        <v>1179</v>
      </c>
      <c r="F376" s="203"/>
      <c r="G376" s="190" t="s">
        <v>1189</v>
      </c>
      <c r="H376" s="192" t="s">
        <v>409</v>
      </c>
      <c r="I376" s="193">
        <v>1132</v>
      </c>
      <c r="J376" s="193">
        <v>1159</v>
      </c>
      <c r="K376" s="193">
        <v>1159</v>
      </c>
      <c r="L376" s="193">
        <v>1225</v>
      </c>
      <c r="M376" s="194">
        <v>1225</v>
      </c>
      <c r="N376" s="284">
        <v>490</v>
      </c>
      <c r="O376" s="285" t="s">
        <v>1</v>
      </c>
      <c r="P376" s="285" t="s">
        <v>1</v>
      </c>
      <c r="Q376" s="306">
        <v>457</v>
      </c>
      <c r="R376" s="306" t="s">
        <v>1</v>
      </c>
      <c r="S376" s="286">
        <v>490</v>
      </c>
      <c r="T376" s="285" t="s">
        <v>1</v>
      </c>
      <c r="U376" s="285" t="s">
        <v>1</v>
      </c>
      <c r="V376" s="306">
        <v>457</v>
      </c>
      <c r="W376" s="306" t="s">
        <v>1</v>
      </c>
      <c r="X376" s="286">
        <v>490</v>
      </c>
      <c r="Y376" s="285">
        <v>2</v>
      </c>
      <c r="Z376" s="285">
        <v>24</v>
      </c>
      <c r="AA376" s="306">
        <v>457</v>
      </c>
      <c r="AB376" s="306" t="s">
        <v>1</v>
      </c>
      <c r="AC376" s="286">
        <v>490</v>
      </c>
      <c r="AD376" s="285">
        <v>2</v>
      </c>
      <c r="AE376" s="285">
        <v>24</v>
      </c>
      <c r="AF376" s="306">
        <v>457</v>
      </c>
      <c r="AG376" s="306" t="s">
        <v>1</v>
      </c>
      <c r="AH376" s="286" t="s">
        <v>1</v>
      </c>
      <c r="AI376" s="295" t="s">
        <v>1</v>
      </c>
      <c r="AJ376" s="295" t="s">
        <v>1</v>
      </c>
      <c r="AK376" s="295" t="s">
        <v>1</v>
      </c>
      <c r="AL376" s="302" t="s">
        <v>1</v>
      </c>
      <c r="AM376" s="288" t="s">
        <v>1</v>
      </c>
      <c r="AN376" s="287" t="s">
        <v>1</v>
      </c>
      <c r="AO376" s="287" t="s">
        <v>1</v>
      </c>
      <c r="AP376" s="286" t="s">
        <v>1</v>
      </c>
      <c r="AQ376" s="285" t="s">
        <v>1</v>
      </c>
      <c r="AR376" s="289" t="s">
        <v>1</v>
      </c>
      <c r="AS376" s="289" t="s">
        <v>1</v>
      </c>
      <c r="AT376" s="290" t="s">
        <v>1</v>
      </c>
      <c r="AU376" s="287" t="s">
        <v>1</v>
      </c>
      <c r="AV376" s="287" t="s">
        <v>1</v>
      </c>
      <c r="AW376" s="291" t="s">
        <v>1</v>
      </c>
    </row>
    <row r="377" spans="1:49" ht="30.15" customHeight="1" x14ac:dyDescent="0.25">
      <c r="A377" s="213" t="s">
        <v>18</v>
      </c>
      <c r="B377" s="188" t="s">
        <v>1</v>
      </c>
      <c r="C377" s="212" t="s">
        <v>34</v>
      </c>
      <c r="D377" s="190" t="s">
        <v>3</v>
      </c>
      <c r="E377" s="190" t="s">
        <v>1180</v>
      </c>
      <c r="F377" s="203"/>
      <c r="G377" s="190" t="s">
        <v>1189</v>
      </c>
      <c r="H377" s="192" t="s">
        <v>409</v>
      </c>
      <c r="I377" s="193">
        <v>1132</v>
      </c>
      <c r="J377" s="193">
        <v>1159</v>
      </c>
      <c r="K377" s="193">
        <v>1159</v>
      </c>
      <c r="L377" s="193">
        <v>1225</v>
      </c>
      <c r="M377" s="194">
        <v>1225</v>
      </c>
      <c r="N377" s="284">
        <v>490</v>
      </c>
      <c r="O377" s="285" t="s">
        <v>1</v>
      </c>
      <c r="P377" s="285" t="s">
        <v>1</v>
      </c>
      <c r="Q377" s="306">
        <v>457</v>
      </c>
      <c r="R377" s="306" t="s">
        <v>1</v>
      </c>
      <c r="S377" s="286">
        <v>490</v>
      </c>
      <c r="T377" s="285" t="s">
        <v>1</v>
      </c>
      <c r="U377" s="285" t="s">
        <v>1</v>
      </c>
      <c r="V377" s="306">
        <v>457</v>
      </c>
      <c r="W377" s="306" t="s">
        <v>1</v>
      </c>
      <c r="X377" s="286">
        <v>490</v>
      </c>
      <c r="Y377" s="285">
        <v>2</v>
      </c>
      <c r="Z377" s="285">
        <v>24</v>
      </c>
      <c r="AA377" s="306">
        <v>457</v>
      </c>
      <c r="AB377" s="306" t="s">
        <v>1</v>
      </c>
      <c r="AC377" s="286">
        <v>490</v>
      </c>
      <c r="AD377" s="285">
        <v>2</v>
      </c>
      <c r="AE377" s="285">
        <v>24</v>
      </c>
      <c r="AF377" s="306">
        <v>457</v>
      </c>
      <c r="AG377" s="306" t="s">
        <v>1</v>
      </c>
      <c r="AH377" s="286" t="s">
        <v>1</v>
      </c>
      <c r="AI377" s="295" t="s">
        <v>1</v>
      </c>
      <c r="AJ377" s="295" t="s">
        <v>1</v>
      </c>
      <c r="AK377" s="295" t="s">
        <v>1</v>
      </c>
      <c r="AL377" s="302" t="s">
        <v>1</v>
      </c>
      <c r="AM377" s="288" t="s">
        <v>1</v>
      </c>
      <c r="AN377" s="287" t="s">
        <v>1</v>
      </c>
      <c r="AO377" s="287" t="s">
        <v>1</v>
      </c>
      <c r="AP377" s="286" t="s">
        <v>1</v>
      </c>
      <c r="AQ377" s="285" t="s">
        <v>1</v>
      </c>
      <c r="AR377" s="289" t="s">
        <v>1</v>
      </c>
      <c r="AS377" s="289" t="s">
        <v>1</v>
      </c>
      <c r="AT377" s="290" t="s">
        <v>1</v>
      </c>
      <c r="AU377" s="287" t="s">
        <v>1</v>
      </c>
      <c r="AV377" s="287" t="s">
        <v>1</v>
      </c>
      <c r="AW377" s="291" t="s">
        <v>1</v>
      </c>
    </row>
    <row r="378" spans="1:49" ht="30.15" customHeight="1" x14ac:dyDescent="0.25">
      <c r="A378" s="213" t="s">
        <v>18</v>
      </c>
      <c r="B378" s="188" t="s">
        <v>1</v>
      </c>
      <c r="C378" s="212" t="s">
        <v>34</v>
      </c>
      <c r="D378" s="190" t="s">
        <v>3</v>
      </c>
      <c r="E378" s="190" t="s">
        <v>1181</v>
      </c>
      <c r="F378" s="203"/>
      <c r="G378" s="190" t="s">
        <v>1189</v>
      </c>
      <c r="H378" s="192" t="s">
        <v>409</v>
      </c>
      <c r="I378" s="193">
        <v>1132</v>
      </c>
      <c r="J378" s="193">
        <v>1159</v>
      </c>
      <c r="K378" s="193">
        <v>1159</v>
      </c>
      <c r="L378" s="193">
        <v>1225</v>
      </c>
      <c r="M378" s="194">
        <v>1225</v>
      </c>
      <c r="N378" s="284">
        <v>490</v>
      </c>
      <c r="O378" s="285" t="s">
        <v>1</v>
      </c>
      <c r="P378" s="285" t="s">
        <v>1</v>
      </c>
      <c r="Q378" s="306">
        <v>457</v>
      </c>
      <c r="R378" s="306" t="s">
        <v>1</v>
      </c>
      <c r="S378" s="286">
        <v>490</v>
      </c>
      <c r="T378" s="285" t="s">
        <v>1</v>
      </c>
      <c r="U378" s="285" t="s">
        <v>1</v>
      </c>
      <c r="V378" s="306">
        <v>457</v>
      </c>
      <c r="W378" s="306" t="s">
        <v>1</v>
      </c>
      <c r="X378" s="286">
        <v>490</v>
      </c>
      <c r="Y378" s="285">
        <v>2</v>
      </c>
      <c r="Z378" s="285">
        <v>24</v>
      </c>
      <c r="AA378" s="306">
        <v>457</v>
      </c>
      <c r="AB378" s="306" t="s">
        <v>1</v>
      </c>
      <c r="AC378" s="286">
        <v>490</v>
      </c>
      <c r="AD378" s="285">
        <v>2</v>
      </c>
      <c r="AE378" s="285">
        <v>24</v>
      </c>
      <c r="AF378" s="306">
        <v>457</v>
      </c>
      <c r="AG378" s="306" t="s">
        <v>1</v>
      </c>
      <c r="AH378" s="286" t="s">
        <v>1</v>
      </c>
      <c r="AI378" s="295" t="s">
        <v>1</v>
      </c>
      <c r="AJ378" s="295" t="s">
        <v>1</v>
      </c>
      <c r="AK378" s="295" t="s">
        <v>1</v>
      </c>
      <c r="AL378" s="302" t="s">
        <v>1</v>
      </c>
      <c r="AM378" s="288" t="s">
        <v>1</v>
      </c>
      <c r="AN378" s="287" t="s">
        <v>1</v>
      </c>
      <c r="AO378" s="287" t="s">
        <v>1</v>
      </c>
      <c r="AP378" s="286" t="s">
        <v>1</v>
      </c>
      <c r="AQ378" s="285" t="s">
        <v>1</v>
      </c>
      <c r="AR378" s="289" t="s">
        <v>1</v>
      </c>
      <c r="AS378" s="289" t="s">
        <v>1</v>
      </c>
      <c r="AT378" s="290" t="s">
        <v>1</v>
      </c>
      <c r="AU378" s="287" t="s">
        <v>1</v>
      </c>
      <c r="AV378" s="287" t="s">
        <v>1</v>
      </c>
      <c r="AW378" s="291" t="s">
        <v>1</v>
      </c>
    </row>
    <row r="379" spans="1:49" ht="30.15" customHeight="1" x14ac:dyDescent="0.25">
      <c r="A379" s="213" t="s">
        <v>18</v>
      </c>
      <c r="B379" s="188" t="s">
        <v>1</v>
      </c>
      <c r="C379" s="212" t="s">
        <v>34</v>
      </c>
      <c r="D379" s="190" t="s">
        <v>3</v>
      </c>
      <c r="E379" s="190" t="s">
        <v>1182</v>
      </c>
      <c r="F379" s="203"/>
      <c r="G379" s="190" t="s">
        <v>1189</v>
      </c>
      <c r="H379" s="192" t="s">
        <v>409</v>
      </c>
      <c r="I379" s="193">
        <v>1132</v>
      </c>
      <c r="J379" s="193">
        <v>1159</v>
      </c>
      <c r="K379" s="193">
        <v>1159</v>
      </c>
      <c r="L379" s="193">
        <v>1225</v>
      </c>
      <c r="M379" s="194">
        <v>1225</v>
      </c>
      <c r="N379" s="284">
        <v>490</v>
      </c>
      <c r="O379" s="285" t="s">
        <v>1</v>
      </c>
      <c r="P379" s="285" t="s">
        <v>1</v>
      </c>
      <c r="Q379" s="306">
        <v>457</v>
      </c>
      <c r="R379" s="306" t="s">
        <v>1</v>
      </c>
      <c r="S379" s="286">
        <v>490</v>
      </c>
      <c r="T379" s="285" t="s">
        <v>1</v>
      </c>
      <c r="U379" s="285" t="s">
        <v>1</v>
      </c>
      <c r="V379" s="306">
        <v>457</v>
      </c>
      <c r="W379" s="306" t="s">
        <v>1</v>
      </c>
      <c r="X379" s="286">
        <v>490</v>
      </c>
      <c r="Y379" s="285">
        <v>2</v>
      </c>
      <c r="Z379" s="285">
        <v>24</v>
      </c>
      <c r="AA379" s="306">
        <v>457</v>
      </c>
      <c r="AB379" s="306" t="s">
        <v>1</v>
      </c>
      <c r="AC379" s="286">
        <v>490</v>
      </c>
      <c r="AD379" s="285">
        <v>2</v>
      </c>
      <c r="AE379" s="285">
        <v>24</v>
      </c>
      <c r="AF379" s="306">
        <v>457</v>
      </c>
      <c r="AG379" s="306" t="s">
        <v>1</v>
      </c>
      <c r="AH379" s="286" t="s">
        <v>1</v>
      </c>
      <c r="AI379" s="295" t="s">
        <v>1</v>
      </c>
      <c r="AJ379" s="295" t="s">
        <v>1</v>
      </c>
      <c r="AK379" s="295" t="s">
        <v>1</v>
      </c>
      <c r="AL379" s="302" t="s">
        <v>1</v>
      </c>
      <c r="AM379" s="288" t="s">
        <v>1</v>
      </c>
      <c r="AN379" s="287" t="s">
        <v>1</v>
      </c>
      <c r="AO379" s="287" t="s">
        <v>1</v>
      </c>
      <c r="AP379" s="286" t="s">
        <v>1</v>
      </c>
      <c r="AQ379" s="285" t="s">
        <v>1</v>
      </c>
      <c r="AR379" s="289" t="s">
        <v>1</v>
      </c>
      <c r="AS379" s="289" t="s">
        <v>1</v>
      </c>
      <c r="AT379" s="290" t="s">
        <v>1</v>
      </c>
      <c r="AU379" s="287" t="s">
        <v>1</v>
      </c>
      <c r="AV379" s="287" t="s">
        <v>1</v>
      </c>
      <c r="AW379" s="291" t="s">
        <v>1</v>
      </c>
    </row>
    <row r="380" spans="1:49" ht="30.15" customHeight="1" x14ac:dyDescent="0.25">
      <c r="A380" s="213" t="s">
        <v>18</v>
      </c>
      <c r="B380" s="188" t="s">
        <v>1</v>
      </c>
      <c r="C380" s="212" t="s">
        <v>34</v>
      </c>
      <c r="D380" s="190" t="s">
        <v>3</v>
      </c>
      <c r="E380" s="190" t="s">
        <v>1183</v>
      </c>
      <c r="F380" s="203"/>
      <c r="G380" s="190" t="s">
        <v>1189</v>
      </c>
      <c r="H380" s="192" t="s">
        <v>409</v>
      </c>
      <c r="I380" s="193">
        <v>1132</v>
      </c>
      <c r="J380" s="193">
        <v>1159</v>
      </c>
      <c r="K380" s="193">
        <v>1159</v>
      </c>
      <c r="L380" s="193">
        <v>1225</v>
      </c>
      <c r="M380" s="194">
        <v>1225</v>
      </c>
      <c r="N380" s="284">
        <v>490</v>
      </c>
      <c r="O380" s="285" t="s">
        <v>1</v>
      </c>
      <c r="P380" s="285" t="s">
        <v>1</v>
      </c>
      <c r="Q380" s="306">
        <v>457</v>
      </c>
      <c r="R380" s="306" t="s">
        <v>1</v>
      </c>
      <c r="S380" s="286">
        <v>490</v>
      </c>
      <c r="T380" s="285" t="s">
        <v>1</v>
      </c>
      <c r="U380" s="285" t="s">
        <v>1</v>
      </c>
      <c r="V380" s="306">
        <v>457</v>
      </c>
      <c r="W380" s="306" t="s">
        <v>1</v>
      </c>
      <c r="X380" s="286">
        <v>490</v>
      </c>
      <c r="Y380" s="285">
        <v>2</v>
      </c>
      <c r="Z380" s="285">
        <v>24</v>
      </c>
      <c r="AA380" s="306">
        <v>457</v>
      </c>
      <c r="AB380" s="306" t="s">
        <v>1</v>
      </c>
      <c r="AC380" s="286">
        <v>490</v>
      </c>
      <c r="AD380" s="285">
        <v>2</v>
      </c>
      <c r="AE380" s="285">
        <v>24</v>
      </c>
      <c r="AF380" s="306">
        <v>457</v>
      </c>
      <c r="AG380" s="306" t="s">
        <v>1</v>
      </c>
      <c r="AH380" s="286" t="s">
        <v>1</v>
      </c>
      <c r="AI380" s="295" t="s">
        <v>1</v>
      </c>
      <c r="AJ380" s="295" t="s">
        <v>1</v>
      </c>
      <c r="AK380" s="295" t="s">
        <v>1</v>
      </c>
      <c r="AL380" s="302" t="s">
        <v>1</v>
      </c>
      <c r="AM380" s="288" t="s">
        <v>1</v>
      </c>
      <c r="AN380" s="287" t="s">
        <v>1</v>
      </c>
      <c r="AO380" s="287" t="s">
        <v>1</v>
      </c>
      <c r="AP380" s="286" t="s">
        <v>1</v>
      </c>
      <c r="AQ380" s="285" t="s">
        <v>1</v>
      </c>
      <c r="AR380" s="289" t="s">
        <v>1</v>
      </c>
      <c r="AS380" s="289" t="s">
        <v>1</v>
      </c>
      <c r="AT380" s="290" t="s">
        <v>1</v>
      </c>
      <c r="AU380" s="287" t="s">
        <v>1</v>
      </c>
      <c r="AV380" s="287" t="s">
        <v>1</v>
      </c>
      <c r="AW380" s="291" t="s">
        <v>1</v>
      </c>
    </row>
    <row r="381" spans="1:49" ht="30.15" customHeight="1" x14ac:dyDescent="0.25">
      <c r="A381" s="213" t="s">
        <v>18</v>
      </c>
      <c r="B381" s="188" t="s">
        <v>1</v>
      </c>
      <c r="C381" s="212" t="s">
        <v>34</v>
      </c>
      <c r="D381" s="190" t="s">
        <v>3</v>
      </c>
      <c r="E381" s="190" t="s">
        <v>1267</v>
      </c>
      <c r="F381" s="203"/>
      <c r="G381" s="190" t="s">
        <v>1189</v>
      </c>
      <c r="H381" s="192" t="s">
        <v>414</v>
      </c>
      <c r="I381" s="193">
        <v>1132</v>
      </c>
      <c r="J381" s="193">
        <v>1159</v>
      </c>
      <c r="K381" s="193">
        <v>1159</v>
      </c>
      <c r="L381" s="193">
        <v>1225</v>
      </c>
      <c r="M381" s="194">
        <v>1225</v>
      </c>
      <c r="N381" s="284">
        <v>490</v>
      </c>
      <c r="O381" s="285" t="s">
        <v>1</v>
      </c>
      <c r="P381" s="285" t="s">
        <v>1</v>
      </c>
      <c r="Q381" s="306">
        <v>457</v>
      </c>
      <c r="R381" s="306" t="s">
        <v>1</v>
      </c>
      <c r="S381" s="286">
        <v>490</v>
      </c>
      <c r="T381" s="285" t="s">
        <v>1</v>
      </c>
      <c r="U381" s="285" t="s">
        <v>1</v>
      </c>
      <c r="V381" s="306">
        <v>457</v>
      </c>
      <c r="W381" s="306" t="s">
        <v>1</v>
      </c>
      <c r="X381" s="286">
        <v>490</v>
      </c>
      <c r="Y381" s="285">
        <v>2</v>
      </c>
      <c r="Z381" s="285">
        <v>24</v>
      </c>
      <c r="AA381" s="306">
        <v>457</v>
      </c>
      <c r="AB381" s="306" t="s">
        <v>1</v>
      </c>
      <c r="AC381" s="286">
        <v>490</v>
      </c>
      <c r="AD381" s="285">
        <v>2</v>
      </c>
      <c r="AE381" s="285">
        <v>24</v>
      </c>
      <c r="AF381" s="306">
        <v>457</v>
      </c>
      <c r="AG381" s="306" t="s">
        <v>1</v>
      </c>
      <c r="AH381" s="286" t="s">
        <v>1</v>
      </c>
      <c r="AI381" s="295" t="s">
        <v>1</v>
      </c>
      <c r="AJ381" s="295" t="s">
        <v>1</v>
      </c>
      <c r="AK381" s="295" t="s">
        <v>1</v>
      </c>
      <c r="AL381" s="302" t="s">
        <v>1</v>
      </c>
      <c r="AM381" s="288" t="s">
        <v>1</v>
      </c>
      <c r="AN381" s="287" t="s">
        <v>1</v>
      </c>
      <c r="AO381" s="287" t="s">
        <v>1</v>
      </c>
      <c r="AP381" s="286" t="s">
        <v>1</v>
      </c>
      <c r="AQ381" s="285" t="s">
        <v>1</v>
      </c>
      <c r="AR381" s="289" t="s">
        <v>1</v>
      </c>
      <c r="AS381" s="289" t="s">
        <v>1</v>
      </c>
      <c r="AT381" s="290" t="s">
        <v>1</v>
      </c>
      <c r="AU381" s="287" t="s">
        <v>1</v>
      </c>
      <c r="AV381" s="287" t="s">
        <v>1</v>
      </c>
      <c r="AW381" s="291" t="s">
        <v>1</v>
      </c>
    </row>
    <row r="382" spans="1:49" ht="30.15" customHeight="1" x14ac:dyDescent="0.25">
      <c r="A382" s="213" t="s">
        <v>18</v>
      </c>
      <c r="B382" s="188" t="s">
        <v>1</v>
      </c>
      <c r="C382" s="212" t="s">
        <v>34</v>
      </c>
      <c r="D382" s="190" t="s">
        <v>3</v>
      </c>
      <c r="E382" s="190" t="s">
        <v>1122</v>
      </c>
      <c r="F382" s="203"/>
      <c r="G382" s="190" t="s">
        <v>1134</v>
      </c>
      <c r="H382" s="192" t="s">
        <v>409</v>
      </c>
      <c r="I382" s="193">
        <v>1332</v>
      </c>
      <c r="J382" s="193">
        <v>1363</v>
      </c>
      <c r="K382" s="193">
        <v>1363</v>
      </c>
      <c r="L382" s="193">
        <v>1440</v>
      </c>
      <c r="M382" s="194">
        <v>1440</v>
      </c>
      <c r="N382" s="284">
        <v>576</v>
      </c>
      <c r="O382" s="285" t="s">
        <v>1</v>
      </c>
      <c r="P382" s="285" t="s">
        <v>1</v>
      </c>
      <c r="Q382" s="306">
        <v>552</v>
      </c>
      <c r="R382" s="306" t="s">
        <v>1</v>
      </c>
      <c r="S382" s="286">
        <v>576</v>
      </c>
      <c r="T382" s="285" t="s">
        <v>1</v>
      </c>
      <c r="U382" s="285" t="s">
        <v>1</v>
      </c>
      <c r="V382" s="306">
        <v>552</v>
      </c>
      <c r="W382" s="306" t="s">
        <v>1</v>
      </c>
      <c r="X382" s="286">
        <v>576</v>
      </c>
      <c r="Y382" s="285">
        <v>2</v>
      </c>
      <c r="Z382" s="285">
        <v>24</v>
      </c>
      <c r="AA382" s="306">
        <v>552</v>
      </c>
      <c r="AB382" s="306" t="s">
        <v>1</v>
      </c>
      <c r="AC382" s="286">
        <v>576</v>
      </c>
      <c r="AD382" s="285">
        <v>2</v>
      </c>
      <c r="AE382" s="285">
        <v>24</v>
      </c>
      <c r="AF382" s="306">
        <v>552</v>
      </c>
      <c r="AG382" s="306" t="s">
        <v>1</v>
      </c>
      <c r="AH382" s="286" t="s">
        <v>1</v>
      </c>
      <c r="AI382" s="295" t="s">
        <v>1</v>
      </c>
      <c r="AJ382" s="295" t="s">
        <v>1</v>
      </c>
      <c r="AK382" s="295" t="s">
        <v>1</v>
      </c>
      <c r="AL382" s="302" t="s">
        <v>1</v>
      </c>
      <c r="AM382" s="288" t="s">
        <v>1</v>
      </c>
      <c r="AN382" s="287" t="s">
        <v>1</v>
      </c>
      <c r="AO382" s="287" t="s">
        <v>1</v>
      </c>
      <c r="AP382" s="286" t="s">
        <v>1</v>
      </c>
      <c r="AQ382" s="285" t="s">
        <v>1</v>
      </c>
      <c r="AR382" s="289" t="s">
        <v>1</v>
      </c>
      <c r="AS382" s="289" t="s">
        <v>1</v>
      </c>
      <c r="AT382" s="290" t="s">
        <v>1</v>
      </c>
      <c r="AU382" s="287" t="s">
        <v>1</v>
      </c>
      <c r="AV382" s="287" t="s">
        <v>1</v>
      </c>
      <c r="AW382" s="291" t="s">
        <v>1</v>
      </c>
    </row>
    <row r="383" spans="1:49" ht="30.15" customHeight="1" x14ac:dyDescent="0.25">
      <c r="A383" s="213" t="s">
        <v>18</v>
      </c>
      <c r="B383" s="188" t="s">
        <v>1</v>
      </c>
      <c r="C383" s="212" t="s">
        <v>34</v>
      </c>
      <c r="D383" s="190" t="s">
        <v>3</v>
      </c>
      <c r="E383" s="190" t="s">
        <v>1123</v>
      </c>
      <c r="F383" s="203"/>
      <c r="G383" s="190" t="s">
        <v>1134</v>
      </c>
      <c r="H383" s="192" t="s">
        <v>409</v>
      </c>
      <c r="I383" s="193">
        <v>1332</v>
      </c>
      <c r="J383" s="193">
        <v>1363</v>
      </c>
      <c r="K383" s="193">
        <v>1363</v>
      </c>
      <c r="L383" s="193">
        <v>1440</v>
      </c>
      <c r="M383" s="194">
        <v>1440</v>
      </c>
      <c r="N383" s="284">
        <v>576</v>
      </c>
      <c r="O383" s="285" t="s">
        <v>1</v>
      </c>
      <c r="P383" s="285" t="s">
        <v>1</v>
      </c>
      <c r="Q383" s="306">
        <v>552</v>
      </c>
      <c r="R383" s="306" t="s">
        <v>1</v>
      </c>
      <c r="S383" s="286">
        <v>576</v>
      </c>
      <c r="T383" s="285" t="s">
        <v>1</v>
      </c>
      <c r="U383" s="285" t="s">
        <v>1</v>
      </c>
      <c r="V383" s="306">
        <v>552</v>
      </c>
      <c r="W383" s="306" t="s">
        <v>1</v>
      </c>
      <c r="X383" s="286">
        <v>576</v>
      </c>
      <c r="Y383" s="285">
        <v>2</v>
      </c>
      <c r="Z383" s="285">
        <v>24</v>
      </c>
      <c r="AA383" s="306">
        <v>552</v>
      </c>
      <c r="AB383" s="306" t="s">
        <v>1</v>
      </c>
      <c r="AC383" s="286">
        <v>576</v>
      </c>
      <c r="AD383" s="285">
        <v>2</v>
      </c>
      <c r="AE383" s="285">
        <v>24</v>
      </c>
      <c r="AF383" s="306">
        <v>552</v>
      </c>
      <c r="AG383" s="306" t="s">
        <v>1</v>
      </c>
      <c r="AH383" s="286" t="s">
        <v>1</v>
      </c>
      <c r="AI383" s="295" t="s">
        <v>1</v>
      </c>
      <c r="AJ383" s="295" t="s">
        <v>1</v>
      </c>
      <c r="AK383" s="295" t="s">
        <v>1</v>
      </c>
      <c r="AL383" s="302" t="s">
        <v>1</v>
      </c>
      <c r="AM383" s="288" t="s">
        <v>1</v>
      </c>
      <c r="AN383" s="287" t="s">
        <v>1</v>
      </c>
      <c r="AO383" s="287" t="s">
        <v>1</v>
      </c>
      <c r="AP383" s="286" t="s">
        <v>1</v>
      </c>
      <c r="AQ383" s="285" t="s">
        <v>1</v>
      </c>
      <c r="AR383" s="289" t="s">
        <v>1</v>
      </c>
      <c r="AS383" s="289" t="s">
        <v>1</v>
      </c>
      <c r="AT383" s="290" t="s">
        <v>1</v>
      </c>
      <c r="AU383" s="287" t="s">
        <v>1</v>
      </c>
      <c r="AV383" s="287" t="s">
        <v>1</v>
      </c>
      <c r="AW383" s="291" t="s">
        <v>1</v>
      </c>
    </row>
    <row r="384" spans="1:49" ht="30.15" customHeight="1" x14ac:dyDescent="0.25">
      <c r="A384" s="213" t="s">
        <v>18</v>
      </c>
      <c r="B384" s="188" t="s">
        <v>1</v>
      </c>
      <c r="C384" s="212" t="s">
        <v>34</v>
      </c>
      <c r="D384" s="190" t="s">
        <v>3</v>
      </c>
      <c r="E384" s="190" t="s">
        <v>1124</v>
      </c>
      <c r="F384" s="203"/>
      <c r="G384" s="190" t="s">
        <v>1134</v>
      </c>
      <c r="H384" s="192" t="s">
        <v>409</v>
      </c>
      <c r="I384" s="193">
        <v>1332</v>
      </c>
      <c r="J384" s="193">
        <v>1363</v>
      </c>
      <c r="K384" s="193">
        <v>1363</v>
      </c>
      <c r="L384" s="193">
        <v>1440</v>
      </c>
      <c r="M384" s="194">
        <v>1440</v>
      </c>
      <c r="N384" s="284">
        <v>576</v>
      </c>
      <c r="O384" s="285" t="s">
        <v>1</v>
      </c>
      <c r="P384" s="285" t="s">
        <v>1</v>
      </c>
      <c r="Q384" s="306">
        <v>552</v>
      </c>
      <c r="R384" s="306" t="s">
        <v>1</v>
      </c>
      <c r="S384" s="286">
        <v>576</v>
      </c>
      <c r="T384" s="285" t="s">
        <v>1</v>
      </c>
      <c r="U384" s="285" t="s">
        <v>1</v>
      </c>
      <c r="V384" s="306">
        <v>552</v>
      </c>
      <c r="W384" s="306" t="s">
        <v>1</v>
      </c>
      <c r="X384" s="286">
        <v>576</v>
      </c>
      <c r="Y384" s="285">
        <v>2</v>
      </c>
      <c r="Z384" s="285">
        <v>24</v>
      </c>
      <c r="AA384" s="306">
        <v>552</v>
      </c>
      <c r="AB384" s="306" t="s">
        <v>1</v>
      </c>
      <c r="AC384" s="286">
        <v>576</v>
      </c>
      <c r="AD384" s="285">
        <v>2</v>
      </c>
      <c r="AE384" s="285">
        <v>24</v>
      </c>
      <c r="AF384" s="306">
        <v>552</v>
      </c>
      <c r="AG384" s="306" t="s">
        <v>1</v>
      </c>
      <c r="AH384" s="286" t="s">
        <v>1</v>
      </c>
      <c r="AI384" s="295" t="s">
        <v>1</v>
      </c>
      <c r="AJ384" s="295" t="s">
        <v>1</v>
      </c>
      <c r="AK384" s="295" t="s">
        <v>1</v>
      </c>
      <c r="AL384" s="302" t="s">
        <v>1</v>
      </c>
      <c r="AM384" s="288" t="s">
        <v>1</v>
      </c>
      <c r="AN384" s="287" t="s">
        <v>1</v>
      </c>
      <c r="AO384" s="287" t="s">
        <v>1</v>
      </c>
      <c r="AP384" s="286" t="s">
        <v>1</v>
      </c>
      <c r="AQ384" s="285" t="s">
        <v>1</v>
      </c>
      <c r="AR384" s="289" t="s">
        <v>1</v>
      </c>
      <c r="AS384" s="289" t="s">
        <v>1</v>
      </c>
      <c r="AT384" s="290" t="s">
        <v>1</v>
      </c>
      <c r="AU384" s="287" t="s">
        <v>1</v>
      </c>
      <c r="AV384" s="287" t="s">
        <v>1</v>
      </c>
      <c r="AW384" s="291" t="s">
        <v>1</v>
      </c>
    </row>
    <row r="385" spans="1:49" ht="30.15" customHeight="1" x14ac:dyDescent="0.25">
      <c r="A385" s="213" t="s">
        <v>18</v>
      </c>
      <c r="B385" s="188" t="s">
        <v>1</v>
      </c>
      <c r="C385" s="212" t="s">
        <v>34</v>
      </c>
      <c r="D385" s="190" t="s">
        <v>3</v>
      </c>
      <c r="E385" s="190" t="s">
        <v>1125</v>
      </c>
      <c r="F385" s="203"/>
      <c r="G385" s="190" t="s">
        <v>1134</v>
      </c>
      <c r="H385" s="192" t="s">
        <v>409</v>
      </c>
      <c r="I385" s="193">
        <v>1332</v>
      </c>
      <c r="J385" s="193">
        <v>1363</v>
      </c>
      <c r="K385" s="193">
        <v>1363</v>
      </c>
      <c r="L385" s="193">
        <v>1440</v>
      </c>
      <c r="M385" s="194">
        <v>1440</v>
      </c>
      <c r="N385" s="284">
        <v>576</v>
      </c>
      <c r="O385" s="285" t="s">
        <v>1</v>
      </c>
      <c r="P385" s="285" t="s">
        <v>1</v>
      </c>
      <c r="Q385" s="306">
        <v>552</v>
      </c>
      <c r="R385" s="306" t="s">
        <v>1</v>
      </c>
      <c r="S385" s="286">
        <v>576</v>
      </c>
      <c r="T385" s="285" t="s">
        <v>1</v>
      </c>
      <c r="U385" s="285" t="s">
        <v>1</v>
      </c>
      <c r="V385" s="306">
        <v>552</v>
      </c>
      <c r="W385" s="306" t="s">
        <v>1</v>
      </c>
      <c r="X385" s="286">
        <v>576</v>
      </c>
      <c r="Y385" s="285">
        <v>2</v>
      </c>
      <c r="Z385" s="285">
        <v>24</v>
      </c>
      <c r="AA385" s="306">
        <v>552</v>
      </c>
      <c r="AB385" s="306" t="s">
        <v>1</v>
      </c>
      <c r="AC385" s="286">
        <v>576</v>
      </c>
      <c r="AD385" s="285">
        <v>2</v>
      </c>
      <c r="AE385" s="285">
        <v>24</v>
      </c>
      <c r="AF385" s="306">
        <v>552</v>
      </c>
      <c r="AG385" s="306" t="s">
        <v>1</v>
      </c>
      <c r="AH385" s="286" t="s">
        <v>1</v>
      </c>
      <c r="AI385" s="295" t="s">
        <v>1</v>
      </c>
      <c r="AJ385" s="295" t="s">
        <v>1</v>
      </c>
      <c r="AK385" s="295" t="s">
        <v>1</v>
      </c>
      <c r="AL385" s="302" t="s">
        <v>1</v>
      </c>
      <c r="AM385" s="288" t="s">
        <v>1</v>
      </c>
      <c r="AN385" s="287" t="s">
        <v>1</v>
      </c>
      <c r="AO385" s="287" t="s">
        <v>1</v>
      </c>
      <c r="AP385" s="286" t="s">
        <v>1</v>
      </c>
      <c r="AQ385" s="285" t="s">
        <v>1</v>
      </c>
      <c r="AR385" s="289" t="s">
        <v>1</v>
      </c>
      <c r="AS385" s="289" t="s">
        <v>1</v>
      </c>
      <c r="AT385" s="290" t="s">
        <v>1</v>
      </c>
      <c r="AU385" s="287" t="s">
        <v>1</v>
      </c>
      <c r="AV385" s="287" t="s">
        <v>1</v>
      </c>
      <c r="AW385" s="291" t="s">
        <v>1</v>
      </c>
    </row>
    <row r="386" spans="1:49" ht="30.15" customHeight="1" x14ac:dyDescent="0.25">
      <c r="A386" s="213" t="s">
        <v>18</v>
      </c>
      <c r="B386" s="188" t="s">
        <v>1</v>
      </c>
      <c r="C386" s="212" t="s">
        <v>34</v>
      </c>
      <c r="D386" s="190" t="s">
        <v>3</v>
      </c>
      <c r="E386" s="190" t="s">
        <v>1126</v>
      </c>
      <c r="F386" s="203"/>
      <c r="G386" s="190" t="s">
        <v>1135</v>
      </c>
      <c r="H386" s="192" t="s">
        <v>409</v>
      </c>
      <c r="I386" s="193">
        <v>1466</v>
      </c>
      <c r="J386" s="193">
        <v>1501</v>
      </c>
      <c r="K386" s="193">
        <v>1501</v>
      </c>
      <c r="L386" s="193">
        <v>1584</v>
      </c>
      <c r="M386" s="194">
        <v>1584</v>
      </c>
      <c r="N386" s="284">
        <v>633.6</v>
      </c>
      <c r="O386" s="285" t="s">
        <v>1</v>
      </c>
      <c r="P386" s="285" t="s">
        <v>1</v>
      </c>
      <c r="Q386" s="306">
        <v>576</v>
      </c>
      <c r="R386" s="306" t="s">
        <v>1</v>
      </c>
      <c r="S386" s="286">
        <v>633.6</v>
      </c>
      <c r="T386" s="285" t="s">
        <v>1</v>
      </c>
      <c r="U386" s="285" t="s">
        <v>1</v>
      </c>
      <c r="V386" s="306">
        <v>576</v>
      </c>
      <c r="W386" s="306" t="s">
        <v>1</v>
      </c>
      <c r="X386" s="286">
        <v>633.6</v>
      </c>
      <c r="Y386" s="285">
        <v>2</v>
      </c>
      <c r="Z386" s="285">
        <v>24</v>
      </c>
      <c r="AA386" s="306">
        <v>576</v>
      </c>
      <c r="AB386" s="306" t="s">
        <v>1</v>
      </c>
      <c r="AC386" s="286">
        <v>633.6</v>
      </c>
      <c r="AD386" s="285">
        <v>2</v>
      </c>
      <c r="AE386" s="285">
        <v>24</v>
      </c>
      <c r="AF386" s="306">
        <v>576</v>
      </c>
      <c r="AG386" s="306" t="s">
        <v>1</v>
      </c>
      <c r="AH386" s="286" t="s">
        <v>1</v>
      </c>
      <c r="AI386" s="295" t="s">
        <v>1</v>
      </c>
      <c r="AJ386" s="295" t="s">
        <v>1</v>
      </c>
      <c r="AK386" s="295" t="s">
        <v>1</v>
      </c>
      <c r="AL386" s="302" t="s">
        <v>1</v>
      </c>
      <c r="AM386" s="288" t="s">
        <v>1</v>
      </c>
      <c r="AN386" s="287" t="s">
        <v>1</v>
      </c>
      <c r="AO386" s="287" t="s">
        <v>1</v>
      </c>
      <c r="AP386" s="286" t="s">
        <v>1</v>
      </c>
      <c r="AQ386" s="285" t="s">
        <v>1</v>
      </c>
      <c r="AR386" s="289" t="s">
        <v>1</v>
      </c>
      <c r="AS386" s="289" t="s">
        <v>1</v>
      </c>
      <c r="AT386" s="290" t="s">
        <v>1</v>
      </c>
      <c r="AU386" s="287" t="s">
        <v>1</v>
      </c>
      <c r="AV386" s="287" t="s">
        <v>1</v>
      </c>
      <c r="AW386" s="291" t="s">
        <v>1</v>
      </c>
    </row>
    <row r="387" spans="1:49" ht="30.15" customHeight="1" x14ac:dyDescent="0.25">
      <c r="A387" s="213" t="s">
        <v>18</v>
      </c>
      <c r="B387" s="188" t="s">
        <v>1</v>
      </c>
      <c r="C387" s="212" t="s">
        <v>34</v>
      </c>
      <c r="D387" s="190" t="s">
        <v>3</v>
      </c>
      <c r="E387" s="190" t="s">
        <v>1127</v>
      </c>
      <c r="F387" s="203"/>
      <c r="G387" s="190" t="s">
        <v>1135</v>
      </c>
      <c r="H387" s="192" t="s">
        <v>409</v>
      </c>
      <c r="I387" s="193">
        <v>1466</v>
      </c>
      <c r="J387" s="193">
        <v>1501</v>
      </c>
      <c r="K387" s="193">
        <v>1501</v>
      </c>
      <c r="L387" s="193">
        <v>1584</v>
      </c>
      <c r="M387" s="194">
        <v>1584</v>
      </c>
      <c r="N387" s="284">
        <v>633.6</v>
      </c>
      <c r="O387" s="285" t="s">
        <v>1</v>
      </c>
      <c r="P387" s="285" t="s">
        <v>1</v>
      </c>
      <c r="Q387" s="306">
        <v>576</v>
      </c>
      <c r="R387" s="306" t="s">
        <v>1</v>
      </c>
      <c r="S387" s="286">
        <v>633.6</v>
      </c>
      <c r="T387" s="285" t="s">
        <v>1</v>
      </c>
      <c r="U387" s="285" t="s">
        <v>1</v>
      </c>
      <c r="V387" s="306">
        <v>576</v>
      </c>
      <c r="W387" s="306" t="s">
        <v>1</v>
      </c>
      <c r="X387" s="286">
        <v>633.6</v>
      </c>
      <c r="Y387" s="285">
        <v>2</v>
      </c>
      <c r="Z387" s="285">
        <v>24</v>
      </c>
      <c r="AA387" s="306">
        <v>576</v>
      </c>
      <c r="AB387" s="306" t="s">
        <v>1</v>
      </c>
      <c r="AC387" s="286">
        <v>633.6</v>
      </c>
      <c r="AD387" s="285">
        <v>2</v>
      </c>
      <c r="AE387" s="285">
        <v>24</v>
      </c>
      <c r="AF387" s="306">
        <v>576</v>
      </c>
      <c r="AG387" s="306" t="s">
        <v>1</v>
      </c>
      <c r="AH387" s="286" t="s">
        <v>1</v>
      </c>
      <c r="AI387" s="295" t="s">
        <v>1</v>
      </c>
      <c r="AJ387" s="295" t="s">
        <v>1</v>
      </c>
      <c r="AK387" s="295" t="s">
        <v>1</v>
      </c>
      <c r="AL387" s="302" t="s">
        <v>1</v>
      </c>
      <c r="AM387" s="288" t="s">
        <v>1</v>
      </c>
      <c r="AN387" s="287" t="s">
        <v>1</v>
      </c>
      <c r="AO387" s="287" t="s">
        <v>1</v>
      </c>
      <c r="AP387" s="286" t="s">
        <v>1</v>
      </c>
      <c r="AQ387" s="285" t="s">
        <v>1</v>
      </c>
      <c r="AR387" s="289" t="s">
        <v>1</v>
      </c>
      <c r="AS387" s="289" t="s">
        <v>1</v>
      </c>
      <c r="AT387" s="290" t="s">
        <v>1</v>
      </c>
      <c r="AU387" s="287" t="s">
        <v>1</v>
      </c>
      <c r="AV387" s="287" t="s">
        <v>1</v>
      </c>
      <c r="AW387" s="291" t="s">
        <v>1</v>
      </c>
    </row>
    <row r="388" spans="1:49" ht="30.15" customHeight="1" x14ac:dyDescent="0.25">
      <c r="A388" s="213" t="s">
        <v>18</v>
      </c>
      <c r="B388" s="188" t="s">
        <v>1</v>
      </c>
      <c r="C388" s="212" t="s">
        <v>34</v>
      </c>
      <c r="D388" s="190" t="s">
        <v>3</v>
      </c>
      <c r="E388" s="190" t="s">
        <v>1128</v>
      </c>
      <c r="F388" s="203"/>
      <c r="G388" s="190" t="s">
        <v>1135</v>
      </c>
      <c r="H388" s="192" t="s">
        <v>409</v>
      </c>
      <c r="I388" s="193">
        <v>1466</v>
      </c>
      <c r="J388" s="193">
        <v>1501</v>
      </c>
      <c r="K388" s="193">
        <v>1501</v>
      </c>
      <c r="L388" s="193">
        <v>1584</v>
      </c>
      <c r="M388" s="194">
        <v>1584</v>
      </c>
      <c r="N388" s="284">
        <v>633.6</v>
      </c>
      <c r="O388" s="285" t="s">
        <v>1</v>
      </c>
      <c r="P388" s="285" t="s">
        <v>1</v>
      </c>
      <c r="Q388" s="306">
        <v>576</v>
      </c>
      <c r="R388" s="306" t="s">
        <v>1</v>
      </c>
      <c r="S388" s="286">
        <v>633.6</v>
      </c>
      <c r="T388" s="285" t="s">
        <v>1</v>
      </c>
      <c r="U388" s="285" t="s">
        <v>1</v>
      </c>
      <c r="V388" s="306">
        <v>576</v>
      </c>
      <c r="W388" s="306" t="s">
        <v>1</v>
      </c>
      <c r="X388" s="286">
        <v>633.6</v>
      </c>
      <c r="Y388" s="285">
        <v>2</v>
      </c>
      <c r="Z388" s="285">
        <v>24</v>
      </c>
      <c r="AA388" s="306">
        <v>576</v>
      </c>
      <c r="AB388" s="306" t="s">
        <v>1</v>
      </c>
      <c r="AC388" s="286">
        <v>633.6</v>
      </c>
      <c r="AD388" s="285">
        <v>2</v>
      </c>
      <c r="AE388" s="285">
        <v>24</v>
      </c>
      <c r="AF388" s="306">
        <v>576</v>
      </c>
      <c r="AG388" s="306" t="s">
        <v>1</v>
      </c>
      <c r="AH388" s="286" t="s">
        <v>1</v>
      </c>
      <c r="AI388" s="295" t="s">
        <v>1</v>
      </c>
      <c r="AJ388" s="295" t="s">
        <v>1</v>
      </c>
      <c r="AK388" s="295" t="s">
        <v>1</v>
      </c>
      <c r="AL388" s="302" t="s">
        <v>1</v>
      </c>
      <c r="AM388" s="288" t="s">
        <v>1</v>
      </c>
      <c r="AN388" s="287" t="s">
        <v>1</v>
      </c>
      <c r="AO388" s="287" t="s">
        <v>1</v>
      </c>
      <c r="AP388" s="286" t="s">
        <v>1</v>
      </c>
      <c r="AQ388" s="285" t="s">
        <v>1</v>
      </c>
      <c r="AR388" s="289" t="s">
        <v>1</v>
      </c>
      <c r="AS388" s="289" t="s">
        <v>1</v>
      </c>
      <c r="AT388" s="290" t="s">
        <v>1</v>
      </c>
      <c r="AU388" s="287" t="s">
        <v>1</v>
      </c>
      <c r="AV388" s="287" t="s">
        <v>1</v>
      </c>
      <c r="AW388" s="291" t="s">
        <v>1</v>
      </c>
    </row>
    <row r="389" spans="1:49" ht="30.15" customHeight="1" x14ac:dyDescent="0.25">
      <c r="A389" s="213" t="s">
        <v>18</v>
      </c>
      <c r="B389" s="188" t="s">
        <v>1</v>
      </c>
      <c r="C389" s="212" t="s">
        <v>34</v>
      </c>
      <c r="D389" s="190" t="s">
        <v>3</v>
      </c>
      <c r="E389" s="190" t="s">
        <v>1129</v>
      </c>
      <c r="F389" s="203"/>
      <c r="G389" s="190" t="s">
        <v>1135</v>
      </c>
      <c r="H389" s="192" t="s">
        <v>409</v>
      </c>
      <c r="I389" s="193">
        <v>1466</v>
      </c>
      <c r="J389" s="193">
        <v>1501</v>
      </c>
      <c r="K389" s="193">
        <v>1501</v>
      </c>
      <c r="L389" s="193">
        <v>1584</v>
      </c>
      <c r="M389" s="194">
        <v>1584</v>
      </c>
      <c r="N389" s="284">
        <v>633.6</v>
      </c>
      <c r="O389" s="285" t="s">
        <v>1</v>
      </c>
      <c r="P389" s="285" t="s">
        <v>1</v>
      </c>
      <c r="Q389" s="306">
        <v>576</v>
      </c>
      <c r="R389" s="306" t="s">
        <v>1</v>
      </c>
      <c r="S389" s="286">
        <v>633.6</v>
      </c>
      <c r="T389" s="285" t="s">
        <v>1</v>
      </c>
      <c r="U389" s="285" t="s">
        <v>1</v>
      </c>
      <c r="V389" s="306">
        <v>576</v>
      </c>
      <c r="W389" s="306" t="s">
        <v>1</v>
      </c>
      <c r="X389" s="286">
        <v>633.6</v>
      </c>
      <c r="Y389" s="285">
        <v>2</v>
      </c>
      <c r="Z389" s="285">
        <v>24</v>
      </c>
      <c r="AA389" s="306">
        <v>576</v>
      </c>
      <c r="AB389" s="306" t="s">
        <v>1</v>
      </c>
      <c r="AC389" s="286">
        <v>633.6</v>
      </c>
      <c r="AD389" s="285">
        <v>2</v>
      </c>
      <c r="AE389" s="285">
        <v>24</v>
      </c>
      <c r="AF389" s="306">
        <v>576</v>
      </c>
      <c r="AG389" s="306" t="s">
        <v>1</v>
      </c>
      <c r="AH389" s="286" t="s">
        <v>1</v>
      </c>
      <c r="AI389" s="295" t="s">
        <v>1</v>
      </c>
      <c r="AJ389" s="295" t="s">
        <v>1</v>
      </c>
      <c r="AK389" s="295" t="s">
        <v>1</v>
      </c>
      <c r="AL389" s="302" t="s">
        <v>1</v>
      </c>
      <c r="AM389" s="288" t="s">
        <v>1</v>
      </c>
      <c r="AN389" s="287" t="s">
        <v>1</v>
      </c>
      <c r="AO389" s="287" t="s">
        <v>1</v>
      </c>
      <c r="AP389" s="286" t="s">
        <v>1</v>
      </c>
      <c r="AQ389" s="285" t="s">
        <v>1</v>
      </c>
      <c r="AR389" s="289" t="s">
        <v>1</v>
      </c>
      <c r="AS389" s="289" t="s">
        <v>1</v>
      </c>
      <c r="AT389" s="290" t="s">
        <v>1</v>
      </c>
      <c r="AU389" s="287" t="s">
        <v>1</v>
      </c>
      <c r="AV389" s="287" t="s">
        <v>1</v>
      </c>
      <c r="AW389" s="291" t="s">
        <v>1</v>
      </c>
    </row>
    <row r="390" spans="1:49" ht="30.15" customHeight="1" x14ac:dyDescent="0.25">
      <c r="A390" s="213" t="s">
        <v>18</v>
      </c>
      <c r="B390" s="188" t="s">
        <v>1</v>
      </c>
      <c r="C390" s="212" t="s">
        <v>34</v>
      </c>
      <c r="D390" s="190" t="s">
        <v>3</v>
      </c>
      <c r="E390" s="190" t="s">
        <v>1130</v>
      </c>
      <c r="F390" s="203"/>
      <c r="G390" s="190" t="s">
        <v>1136</v>
      </c>
      <c r="H390" s="192" t="s">
        <v>409</v>
      </c>
      <c r="I390" s="193">
        <v>1723</v>
      </c>
      <c r="J390" s="193">
        <v>1767</v>
      </c>
      <c r="K390" s="193">
        <v>1767</v>
      </c>
      <c r="L390" s="193">
        <v>1860</v>
      </c>
      <c r="M390" s="194">
        <v>1860</v>
      </c>
      <c r="N390" s="284">
        <v>744</v>
      </c>
      <c r="O390" s="285" t="s">
        <v>1</v>
      </c>
      <c r="P390" s="285" t="s">
        <v>1</v>
      </c>
      <c r="Q390" s="306">
        <v>612</v>
      </c>
      <c r="R390" s="306" t="s">
        <v>1</v>
      </c>
      <c r="S390" s="286">
        <v>744</v>
      </c>
      <c r="T390" s="285" t="s">
        <v>1</v>
      </c>
      <c r="U390" s="285" t="s">
        <v>1</v>
      </c>
      <c r="V390" s="306">
        <v>612</v>
      </c>
      <c r="W390" s="306" t="s">
        <v>1</v>
      </c>
      <c r="X390" s="286">
        <v>744</v>
      </c>
      <c r="Y390" s="285">
        <v>2</v>
      </c>
      <c r="Z390" s="285">
        <v>24</v>
      </c>
      <c r="AA390" s="306">
        <v>612</v>
      </c>
      <c r="AB390" s="306" t="s">
        <v>1</v>
      </c>
      <c r="AC390" s="286">
        <v>744</v>
      </c>
      <c r="AD390" s="285">
        <v>2</v>
      </c>
      <c r="AE390" s="285">
        <v>24</v>
      </c>
      <c r="AF390" s="306">
        <v>612</v>
      </c>
      <c r="AG390" s="306" t="s">
        <v>1</v>
      </c>
      <c r="AH390" s="286" t="s">
        <v>1</v>
      </c>
      <c r="AI390" s="295" t="s">
        <v>1</v>
      </c>
      <c r="AJ390" s="295" t="s">
        <v>1</v>
      </c>
      <c r="AK390" s="295" t="s">
        <v>1</v>
      </c>
      <c r="AL390" s="302" t="s">
        <v>1</v>
      </c>
      <c r="AM390" s="288" t="s">
        <v>1</v>
      </c>
      <c r="AN390" s="287" t="s">
        <v>1</v>
      </c>
      <c r="AO390" s="287" t="s">
        <v>1</v>
      </c>
      <c r="AP390" s="286" t="s">
        <v>1</v>
      </c>
      <c r="AQ390" s="285" t="s">
        <v>1</v>
      </c>
      <c r="AR390" s="289" t="s">
        <v>1</v>
      </c>
      <c r="AS390" s="289" t="s">
        <v>1</v>
      </c>
      <c r="AT390" s="290" t="s">
        <v>1</v>
      </c>
      <c r="AU390" s="287" t="s">
        <v>1</v>
      </c>
      <c r="AV390" s="287" t="s">
        <v>1</v>
      </c>
      <c r="AW390" s="291" t="s">
        <v>1</v>
      </c>
    </row>
    <row r="391" spans="1:49" ht="30.15" customHeight="1" x14ac:dyDescent="0.25">
      <c r="A391" s="213" t="s">
        <v>18</v>
      </c>
      <c r="B391" s="188" t="s">
        <v>1</v>
      </c>
      <c r="C391" s="212" t="s">
        <v>34</v>
      </c>
      <c r="D391" s="190" t="s">
        <v>3</v>
      </c>
      <c r="E391" s="190" t="s">
        <v>1131</v>
      </c>
      <c r="F391" s="203"/>
      <c r="G391" s="190" t="s">
        <v>1136</v>
      </c>
      <c r="H391" s="192" t="s">
        <v>409</v>
      </c>
      <c r="I391" s="193">
        <v>1723</v>
      </c>
      <c r="J391" s="193">
        <v>1767</v>
      </c>
      <c r="K391" s="193">
        <v>1767</v>
      </c>
      <c r="L391" s="193">
        <v>1860</v>
      </c>
      <c r="M391" s="194">
        <v>1860</v>
      </c>
      <c r="N391" s="284">
        <v>744</v>
      </c>
      <c r="O391" s="285" t="s">
        <v>1</v>
      </c>
      <c r="P391" s="285" t="s">
        <v>1</v>
      </c>
      <c r="Q391" s="306">
        <v>612</v>
      </c>
      <c r="R391" s="306" t="s">
        <v>1</v>
      </c>
      <c r="S391" s="286">
        <v>744</v>
      </c>
      <c r="T391" s="285" t="s">
        <v>1</v>
      </c>
      <c r="U391" s="285" t="s">
        <v>1</v>
      </c>
      <c r="V391" s="306">
        <v>612</v>
      </c>
      <c r="W391" s="306" t="s">
        <v>1</v>
      </c>
      <c r="X391" s="286">
        <v>744</v>
      </c>
      <c r="Y391" s="285">
        <v>2</v>
      </c>
      <c r="Z391" s="285">
        <v>24</v>
      </c>
      <c r="AA391" s="306">
        <v>612</v>
      </c>
      <c r="AB391" s="306" t="s">
        <v>1</v>
      </c>
      <c r="AC391" s="286">
        <v>744</v>
      </c>
      <c r="AD391" s="285">
        <v>2</v>
      </c>
      <c r="AE391" s="285">
        <v>24</v>
      </c>
      <c r="AF391" s="306">
        <v>612</v>
      </c>
      <c r="AG391" s="306" t="s">
        <v>1</v>
      </c>
      <c r="AH391" s="286" t="s">
        <v>1</v>
      </c>
      <c r="AI391" s="295" t="s">
        <v>1</v>
      </c>
      <c r="AJ391" s="295" t="s">
        <v>1</v>
      </c>
      <c r="AK391" s="295" t="s">
        <v>1</v>
      </c>
      <c r="AL391" s="302" t="s">
        <v>1</v>
      </c>
      <c r="AM391" s="288" t="s">
        <v>1</v>
      </c>
      <c r="AN391" s="287" t="s">
        <v>1</v>
      </c>
      <c r="AO391" s="287" t="s">
        <v>1</v>
      </c>
      <c r="AP391" s="286" t="s">
        <v>1</v>
      </c>
      <c r="AQ391" s="285" t="s">
        <v>1</v>
      </c>
      <c r="AR391" s="289" t="s">
        <v>1</v>
      </c>
      <c r="AS391" s="289" t="s">
        <v>1</v>
      </c>
      <c r="AT391" s="290" t="s">
        <v>1</v>
      </c>
      <c r="AU391" s="287" t="s">
        <v>1</v>
      </c>
      <c r="AV391" s="287" t="s">
        <v>1</v>
      </c>
      <c r="AW391" s="291" t="s">
        <v>1</v>
      </c>
    </row>
    <row r="392" spans="1:49" ht="30.15" customHeight="1" x14ac:dyDescent="0.25">
      <c r="A392" s="213" t="s">
        <v>18</v>
      </c>
      <c r="B392" s="188" t="s">
        <v>1</v>
      </c>
      <c r="C392" s="212" t="s">
        <v>34</v>
      </c>
      <c r="D392" s="190" t="s">
        <v>3</v>
      </c>
      <c r="E392" s="190" t="s">
        <v>1132</v>
      </c>
      <c r="F392" s="203"/>
      <c r="G392" s="190" t="s">
        <v>1136</v>
      </c>
      <c r="H392" s="192" t="s">
        <v>409</v>
      </c>
      <c r="I392" s="193">
        <v>1723</v>
      </c>
      <c r="J392" s="193">
        <v>1767</v>
      </c>
      <c r="K392" s="193">
        <v>1767</v>
      </c>
      <c r="L392" s="193">
        <v>1860</v>
      </c>
      <c r="M392" s="194">
        <v>1860</v>
      </c>
      <c r="N392" s="284">
        <v>744</v>
      </c>
      <c r="O392" s="285" t="s">
        <v>1</v>
      </c>
      <c r="P392" s="285" t="s">
        <v>1</v>
      </c>
      <c r="Q392" s="306">
        <v>612</v>
      </c>
      <c r="R392" s="306" t="s">
        <v>1</v>
      </c>
      <c r="S392" s="286">
        <v>744</v>
      </c>
      <c r="T392" s="285" t="s">
        <v>1</v>
      </c>
      <c r="U392" s="285" t="s">
        <v>1</v>
      </c>
      <c r="V392" s="306">
        <v>612</v>
      </c>
      <c r="W392" s="306" t="s">
        <v>1</v>
      </c>
      <c r="X392" s="286">
        <v>744</v>
      </c>
      <c r="Y392" s="285">
        <v>2</v>
      </c>
      <c r="Z392" s="285">
        <v>24</v>
      </c>
      <c r="AA392" s="306">
        <v>612</v>
      </c>
      <c r="AB392" s="306" t="s">
        <v>1</v>
      </c>
      <c r="AC392" s="286">
        <v>744</v>
      </c>
      <c r="AD392" s="285">
        <v>2</v>
      </c>
      <c r="AE392" s="285">
        <v>24</v>
      </c>
      <c r="AF392" s="306">
        <v>612</v>
      </c>
      <c r="AG392" s="306" t="s">
        <v>1</v>
      </c>
      <c r="AH392" s="286" t="s">
        <v>1</v>
      </c>
      <c r="AI392" s="295" t="s">
        <v>1</v>
      </c>
      <c r="AJ392" s="295" t="s">
        <v>1</v>
      </c>
      <c r="AK392" s="295" t="s">
        <v>1</v>
      </c>
      <c r="AL392" s="302" t="s">
        <v>1</v>
      </c>
      <c r="AM392" s="288" t="s">
        <v>1</v>
      </c>
      <c r="AN392" s="287" t="s">
        <v>1</v>
      </c>
      <c r="AO392" s="287" t="s">
        <v>1</v>
      </c>
      <c r="AP392" s="286" t="s">
        <v>1</v>
      </c>
      <c r="AQ392" s="285" t="s">
        <v>1</v>
      </c>
      <c r="AR392" s="289" t="s">
        <v>1</v>
      </c>
      <c r="AS392" s="289" t="s">
        <v>1</v>
      </c>
      <c r="AT392" s="290" t="s">
        <v>1</v>
      </c>
      <c r="AU392" s="287" t="s">
        <v>1</v>
      </c>
      <c r="AV392" s="287" t="s">
        <v>1</v>
      </c>
      <c r="AW392" s="291" t="s">
        <v>1</v>
      </c>
    </row>
    <row r="393" spans="1:49" ht="30.15" customHeight="1" x14ac:dyDescent="0.25">
      <c r="A393" s="213" t="s">
        <v>18</v>
      </c>
      <c r="B393" s="188" t="s">
        <v>1</v>
      </c>
      <c r="C393" s="212" t="s">
        <v>34</v>
      </c>
      <c r="D393" s="190" t="s">
        <v>3</v>
      </c>
      <c r="E393" s="190" t="s">
        <v>1133</v>
      </c>
      <c r="F393" s="203"/>
      <c r="G393" s="190" t="s">
        <v>1136</v>
      </c>
      <c r="H393" s="192" t="s">
        <v>409</v>
      </c>
      <c r="I393" s="193">
        <v>1723</v>
      </c>
      <c r="J393" s="193">
        <v>1767</v>
      </c>
      <c r="K393" s="193">
        <v>1767</v>
      </c>
      <c r="L393" s="193">
        <v>1860</v>
      </c>
      <c r="M393" s="194">
        <v>1860</v>
      </c>
      <c r="N393" s="284">
        <v>744</v>
      </c>
      <c r="O393" s="285" t="s">
        <v>1</v>
      </c>
      <c r="P393" s="285" t="s">
        <v>1</v>
      </c>
      <c r="Q393" s="306">
        <v>612</v>
      </c>
      <c r="R393" s="306" t="s">
        <v>1</v>
      </c>
      <c r="S393" s="286">
        <v>744</v>
      </c>
      <c r="T393" s="285" t="s">
        <v>1</v>
      </c>
      <c r="U393" s="285" t="s">
        <v>1</v>
      </c>
      <c r="V393" s="306">
        <v>612</v>
      </c>
      <c r="W393" s="306" t="s">
        <v>1</v>
      </c>
      <c r="X393" s="286">
        <v>744</v>
      </c>
      <c r="Y393" s="285">
        <v>2</v>
      </c>
      <c r="Z393" s="285">
        <v>24</v>
      </c>
      <c r="AA393" s="306">
        <v>612</v>
      </c>
      <c r="AB393" s="306" t="s">
        <v>1</v>
      </c>
      <c r="AC393" s="286">
        <v>744</v>
      </c>
      <c r="AD393" s="285">
        <v>2</v>
      </c>
      <c r="AE393" s="285">
        <v>24</v>
      </c>
      <c r="AF393" s="306">
        <v>612</v>
      </c>
      <c r="AG393" s="306" t="s">
        <v>1</v>
      </c>
      <c r="AH393" s="286" t="s">
        <v>1</v>
      </c>
      <c r="AI393" s="295" t="s">
        <v>1</v>
      </c>
      <c r="AJ393" s="295" t="s">
        <v>1</v>
      </c>
      <c r="AK393" s="295" t="s">
        <v>1</v>
      </c>
      <c r="AL393" s="302" t="s">
        <v>1</v>
      </c>
      <c r="AM393" s="288" t="s">
        <v>1</v>
      </c>
      <c r="AN393" s="287" t="s">
        <v>1</v>
      </c>
      <c r="AO393" s="287" t="s">
        <v>1</v>
      </c>
      <c r="AP393" s="286" t="s">
        <v>1</v>
      </c>
      <c r="AQ393" s="285" t="s">
        <v>1</v>
      </c>
      <c r="AR393" s="289" t="s">
        <v>1</v>
      </c>
      <c r="AS393" s="289" t="s">
        <v>1</v>
      </c>
      <c r="AT393" s="290" t="s">
        <v>1</v>
      </c>
      <c r="AU393" s="287" t="s">
        <v>1</v>
      </c>
      <c r="AV393" s="287" t="s">
        <v>1</v>
      </c>
      <c r="AW393" s="291" t="s">
        <v>1</v>
      </c>
    </row>
    <row r="394" spans="1:49" ht="30.15" customHeight="1" x14ac:dyDescent="0.25">
      <c r="A394" s="213" t="s">
        <v>18</v>
      </c>
      <c r="B394" s="188" t="s">
        <v>1</v>
      </c>
      <c r="C394" s="212" t="s">
        <v>34</v>
      </c>
      <c r="D394" s="254" t="s">
        <v>3</v>
      </c>
      <c r="E394" s="254" t="s">
        <v>1104</v>
      </c>
      <c r="F394" s="255"/>
      <c r="G394" s="254" t="s">
        <v>1119</v>
      </c>
      <c r="H394" s="192" t="s">
        <v>409</v>
      </c>
      <c r="I394" s="193">
        <v>1075</v>
      </c>
      <c r="J394" s="193">
        <v>1102</v>
      </c>
      <c r="K394" s="193">
        <v>1102</v>
      </c>
      <c r="L394" s="193">
        <v>1164</v>
      </c>
      <c r="M394" s="194">
        <v>1164</v>
      </c>
      <c r="N394" s="284">
        <v>465.6</v>
      </c>
      <c r="O394" s="285" t="s">
        <v>1</v>
      </c>
      <c r="P394" s="285" t="s">
        <v>1</v>
      </c>
      <c r="Q394" s="306">
        <v>540</v>
      </c>
      <c r="R394" s="306" t="s">
        <v>1</v>
      </c>
      <c r="S394" s="286">
        <v>465.6</v>
      </c>
      <c r="T394" s="285" t="s">
        <v>1</v>
      </c>
      <c r="U394" s="285" t="s">
        <v>1</v>
      </c>
      <c r="V394" s="306">
        <v>540</v>
      </c>
      <c r="W394" s="306" t="s">
        <v>1</v>
      </c>
      <c r="X394" s="286">
        <v>465.6</v>
      </c>
      <c r="Y394" s="308">
        <v>2</v>
      </c>
      <c r="Z394" s="285">
        <v>24</v>
      </c>
      <c r="AA394" s="306">
        <v>540</v>
      </c>
      <c r="AB394" s="306" t="s">
        <v>1</v>
      </c>
      <c r="AC394" s="286">
        <v>465.6</v>
      </c>
      <c r="AD394" s="308">
        <v>2</v>
      </c>
      <c r="AE394" s="285">
        <v>24</v>
      </c>
      <c r="AF394" s="306">
        <v>540</v>
      </c>
      <c r="AG394" s="306" t="s">
        <v>1</v>
      </c>
      <c r="AH394" s="286" t="s">
        <v>1</v>
      </c>
      <c r="AI394" s="295" t="s">
        <v>1</v>
      </c>
      <c r="AJ394" s="295" t="s">
        <v>1</v>
      </c>
      <c r="AK394" s="295" t="s">
        <v>1</v>
      </c>
      <c r="AL394" s="302" t="s">
        <v>1</v>
      </c>
      <c r="AM394" s="288" t="s">
        <v>1</v>
      </c>
      <c r="AN394" s="287" t="s">
        <v>1</v>
      </c>
      <c r="AO394" s="287" t="s">
        <v>1</v>
      </c>
      <c r="AP394" s="286" t="s">
        <v>1</v>
      </c>
      <c r="AQ394" s="285" t="s">
        <v>1</v>
      </c>
      <c r="AR394" s="289" t="s">
        <v>1</v>
      </c>
      <c r="AS394" s="289" t="s">
        <v>1</v>
      </c>
      <c r="AT394" s="290" t="s">
        <v>1</v>
      </c>
      <c r="AU394" s="287" t="s">
        <v>1</v>
      </c>
      <c r="AV394" s="287" t="s">
        <v>1</v>
      </c>
      <c r="AW394" s="291" t="s">
        <v>1</v>
      </c>
    </row>
    <row r="395" spans="1:49" ht="30.15" customHeight="1" x14ac:dyDescent="0.25">
      <c r="A395" s="213" t="s">
        <v>18</v>
      </c>
      <c r="B395" s="188" t="s">
        <v>1</v>
      </c>
      <c r="C395" s="212" t="s">
        <v>34</v>
      </c>
      <c r="D395" s="254" t="s">
        <v>3</v>
      </c>
      <c r="E395" s="254" t="s">
        <v>1105</v>
      </c>
      <c r="F395" s="255"/>
      <c r="G395" s="254" t="s">
        <v>1119</v>
      </c>
      <c r="H395" s="192" t="s">
        <v>409</v>
      </c>
      <c r="I395" s="193">
        <v>1075</v>
      </c>
      <c r="J395" s="193">
        <v>1102</v>
      </c>
      <c r="K395" s="193">
        <v>1102</v>
      </c>
      <c r="L395" s="193">
        <v>1164</v>
      </c>
      <c r="M395" s="194">
        <v>1164</v>
      </c>
      <c r="N395" s="284">
        <v>465.6</v>
      </c>
      <c r="O395" s="285" t="s">
        <v>1</v>
      </c>
      <c r="P395" s="285" t="s">
        <v>1</v>
      </c>
      <c r="Q395" s="306">
        <v>540</v>
      </c>
      <c r="R395" s="306" t="s">
        <v>1</v>
      </c>
      <c r="S395" s="286">
        <v>465.6</v>
      </c>
      <c r="T395" s="285" t="s">
        <v>1</v>
      </c>
      <c r="U395" s="285" t="s">
        <v>1</v>
      </c>
      <c r="V395" s="306">
        <v>540</v>
      </c>
      <c r="W395" s="306" t="s">
        <v>1</v>
      </c>
      <c r="X395" s="286">
        <v>465.6</v>
      </c>
      <c r="Y395" s="308">
        <v>2</v>
      </c>
      <c r="Z395" s="285">
        <v>24</v>
      </c>
      <c r="AA395" s="306">
        <v>540</v>
      </c>
      <c r="AB395" s="306" t="s">
        <v>1</v>
      </c>
      <c r="AC395" s="286">
        <v>465.6</v>
      </c>
      <c r="AD395" s="308">
        <v>2</v>
      </c>
      <c r="AE395" s="285">
        <v>24</v>
      </c>
      <c r="AF395" s="306">
        <v>540</v>
      </c>
      <c r="AG395" s="306" t="s">
        <v>1</v>
      </c>
      <c r="AH395" s="286" t="s">
        <v>1</v>
      </c>
      <c r="AI395" s="295" t="s">
        <v>1</v>
      </c>
      <c r="AJ395" s="295" t="s">
        <v>1</v>
      </c>
      <c r="AK395" s="295" t="s">
        <v>1</v>
      </c>
      <c r="AL395" s="302" t="s">
        <v>1</v>
      </c>
      <c r="AM395" s="288" t="s">
        <v>1</v>
      </c>
      <c r="AN395" s="287" t="s">
        <v>1</v>
      </c>
      <c r="AO395" s="287" t="s">
        <v>1</v>
      </c>
      <c r="AP395" s="286" t="s">
        <v>1</v>
      </c>
      <c r="AQ395" s="285" t="s">
        <v>1</v>
      </c>
      <c r="AR395" s="289" t="s">
        <v>1</v>
      </c>
      <c r="AS395" s="289" t="s">
        <v>1</v>
      </c>
      <c r="AT395" s="290" t="s">
        <v>1</v>
      </c>
      <c r="AU395" s="287" t="s">
        <v>1</v>
      </c>
      <c r="AV395" s="287" t="s">
        <v>1</v>
      </c>
      <c r="AW395" s="291" t="s">
        <v>1</v>
      </c>
    </row>
    <row r="396" spans="1:49" ht="30.15" customHeight="1" x14ac:dyDescent="0.25">
      <c r="A396" s="213" t="s">
        <v>18</v>
      </c>
      <c r="B396" s="188" t="s">
        <v>1</v>
      </c>
      <c r="C396" s="212" t="s">
        <v>34</v>
      </c>
      <c r="D396" s="254" t="s">
        <v>3</v>
      </c>
      <c r="E396" s="254" t="s">
        <v>1106</v>
      </c>
      <c r="F396" s="255"/>
      <c r="G396" s="254" t="s">
        <v>1119</v>
      </c>
      <c r="H396" s="192" t="s">
        <v>409</v>
      </c>
      <c r="I396" s="193">
        <v>1075</v>
      </c>
      <c r="J396" s="193">
        <v>1102</v>
      </c>
      <c r="K396" s="193">
        <v>1102</v>
      </c>
      <c r="L396" s="193">
        <v>1164</v>
      </c>
      <c r="M396" s="194">
        <v>1164</v>
      </c>
      <c r="N396" s="284">
        <v>465.6</v>
      </c>
      <c r="O396" s="285" t="s">
        <v>1</v>
      </c>
      <c r="P396" s="285" t="s">
        <v>1</v>
      </c>
      <c r="Q396" s="306">
        <v>540</v>
      </c>
      <c r="R396" s="306" t="s">
        <v>1</v>
      </c>
      <c r="S396" s="286">
        <v>465.6</v>
      </c>
      <c r="T396" s="285" t="s">
        <v>1</v>
      </c>
      <c r="U396" s="285" t="s">
        <v>1</v>
      </c>
      <c r="V396" s="306">
        <v>540</v>
      </c>
      <c r="W396" s="306" t="s">
        <v>1</v>
      </c>
      <c r="X396" s="286">
        <v>465.6</v>
      </c>
      <c r="Y396" s="308">
        <v>2</v>
      </c>
      <c r="Z396" s="285">
        <v>24</v>
      </c>
      <c r="AA396" s="306">
        <v>540</v>
      </c>
      <c r="AB396" s="306" t="s">
        <v>1</v>
      </c>
      <c r="AC396" s="286">
        <v>465.6</v>
      </c>
      <c r="AD396" s="308">
        <v>2</v>
      </c>
      <c r="AE396" s="285">
        <v>24</v>
      </c>
      <c r="AF396" s="306">
        <v>540</v>
      </c>
      <c r="AG396" s="306" t="s">
        <v>1</v>
      </c>
      <c r="AH396" s="286" t="s">
        <v>1</v>
      </c>
      <c r="AI396" s="295" t="s">
        <v>1</v>
      </c>
      <c r="AJ396" s="295" t="s">
        <v>1</v>
      </c>
      <c r="AK396" s="295" t="s">
        <v>1</v>
      </c>
      <c r="AL396" s="302" t="s">
        <v>1</v>
      </c>
      <c r="AM396" s="288" t="s">
        <v>1</v>
      </c>
      <c r="AN396" s="287" t="s">
        <v>1</v>
      </c>
      <c r="AO396" s="287" t="s">
        <v>1</v>
      </c>
      <c r="AP396" s="286" t="s">
        <v>1</v>
      </c>
      <c r="AQ396" s="285" t="s">
        <v>1</v>
      </c>
      <c r="AR396" s="289" t="s">
        <v>1</v>
      </c>
      <c r="AS396" s="289" t="s">
        <v>1</v>
      </c>
      <c r="AT396" s="290" t="s">
        <v>1</v>
      </c>
      <c r="AU396" s="287" t="s">
        <v>1</v>
      </c>
      <c r="AV396" s="287" t="s">
        <v>1</v>
      </c>
      <c r="AW396" s="291" t="s">
        <v>1</v>
      </c>
    </row>
    <row r="397" spans="1:49" ht="30.15" customHeight="1" x14ac:dyDescent="0.25">
      <c r="A397" s="213" t="s">
        <v>18</v>
      </c>
      <c r="B397" s="188" t="s">
        <v>1</v>
      </c>
      <c r="C397" s="212" t="s">
        <v>34</v>
      </c>
      <c r="D397" s="254" t="s">
        <v>3</v>
      </c>
      <c r="E397" s="254" t="s">
        <v>1107</v>
      </c>
      <c r="F397" s="255"/>
      <c r="G397" s="254" t="s">
        <v>1119</v>
      </c>
      <c r="H397" s="192" t="s">
        <v>409</v>
      </c>
      <c r="I397" s="193">
        <v>1075</v>
      </c>
      <c r="J397" s="193">
        <v>1102</v>
      </c>
      <c r="K397" s="193">
        <v>1102</v>
      </c>
      <c r="L397" s="193">
        <v>1164</v>
      </c>
      <c r="M397" s="194">
        <v>1164</v>
      </c>
      <c r="N397" s="284">
        <v>465.6</v>
      </c>
      <c r="O397" s="285" t="s">
        <v>1</v>
      </c>
      <c r="P397" s="285" t="s">
        <v>1</v>
      </c>
      <c r="Q397" s="306">
        <v>540</v>
      </c>
      <c r="R397" s="306" t="s">
        <v>1</v>
      </c>
      <c r="S397" s="286">
        <v>465.6</v>
      </c>
      <c r="T397" s="285" t="s">
        <v>1</v>
      </c>
      <c r="U397" s="285" t="s">
        <v>1</v>
      </c>
      <c r="V397" s="306">
        <v>540</v>
      </c>
      <c r="W397" s="306" t="s">
        <v>1</v>
      </c>
      <c r="X397" s="286">
        <v>465.6</v>
      </c>
      <c r="Y397" s="308">
        <v>2</v>
      </c>
      <c r="Z397" s="285">
        <v>24</v>
      </c>
      <c r="AA397" s="306">
        <v>540</v>
      </c>
      <c r="AB397" s="306" t="s">
        <v>1</v>
      </c>
      <c r="AC397" s="286">
        <v>465.6</v>
      </c>
      <c r="AD397" s="308">
        <v>2</v>
      </c>
      <c r="AE397" s="285">
        <v>24</v>
      </c>
      <c r="AF397" s="306">
        <v>540</v>
      </c>
      <c r="AG397" s="306" t="s">
        <v>1</v>
      </c>
      <c r="AH397" s="286" t="s">
        <v>1</v>
      </c>
      <c r="AI397" s="295" t="s">
        <v>1</v>
      </c>
      <c r="AJ397" s="295" t="s">
        <v>1</v>
      </c>
      <c r="AK397" s="295" t="s">
        <v>1</v>
      </c>
      <c r="AL397" s="302" t="s">
        <v>1</v>
      </c>
      <c r="AM397" s="288" t="s">
        <v>1</v>
      </c>
      <c r="AN397" s="287" t="s">
        <v>1</v>
      </c>
      <c r="AO397" s="287" t="s">
        <v>1</v>
      </c>
      <c r="AP397" s="286" t="s">
        <v>1</v>
      </c>
      <c r="AQ397" s="285" t="s">
        <v>1</v>
      </c>
      <c r="AR397" s="289" t="s">
        <v>1</v>
      </c>
      <c r="AS397" s="289" t="s">
        <v>1</v>
      </c>
      <c r="AT397" s="290" t="s">
        <v>1</v>
      </c>
      <c r="AU397" s="287" t="s">
        <v>1</v>
      </c>
      <c r="AV397" s="287" t="s">
        <v>1</v>
      </c>
      <c r="AW397" s="291" t="s">
        <v>1</v>
      </c>
    </row>
    <row r="398" spans="1:49" ht="30.15" customHeight="1" x14ac:dyDescent="0.25">
      <c r="A398" s="213" t="s">
        <v>18</v>
      </c>
      <c r="B398" s="188" t="s">
        <v>1</v>
      </c>
      <c r="C398" s="212" t="s">
        <v>34</v>
      </c>
      <c r="D398" s="254" t="s">
        <v>3</v>
      </c>
      <c r="E398" s="254" t="s">
        <v>1108</v>
      </c>
      <c r="F398" s="255"/>
      <c r="G398" s="254" t="s">
        <v>1119</v>
      </c>
      <c r="H398" s="192" t="s">
        <v>409</v>
      </c>
      <c r="I398" s="193">
        <v>1075</v>
      </c>
      <c r="J398" s="193">
        <v>1102</v>
      </c>
      <c r="K398" s="193">
        <v>1102</v>
      </c>
      <c r="L398" s="193">
        <v>1164</v>
      </c>
      <c r="M398" s="194">
        <v>1164</v>
      </c>
      <c r="N398" s="284">
        <v>465.6</v>
      </c>
      <c r="O398" s="285" t="s">
        <v>1</v>
      </c>
      <c r="P398" s="285" t="s">
        <v>1</v>
      </c>
      <c r="Q398" s="306">
        <v>540</v>
      </c>
      <c r="R398" s="306" t="s">
        <v>1</v>
      </c>
      <c r="S398" s="286">
        <v>465.6</v>
      </c>
      <c r="T398" s="285" t="s">
        <v>1</v>
      </c>
      <c r="U398" s="285" t="s">
        <v>1</v>
      </c>
      <c r="V398" s="306">
        <v>540</v>
      </c>
      <c r="W398" s="306" t="s">
        <v>1</v>
      </c>
      <c r="X398" s="286">
        <v>465.6</v>
      </c>
      <c r="Y398" s="308">
        <v>2</v>
      </c>
      <c r="Z398" s="285">
        <v>24</v>
      </c>
      <c r="AA398" s="306">
        <v>540</v>
      </c>
      <c r="AB398" s="306" t="s">
        <v>1</v>
      </c>
      <c r="AC398" s="286">
        <v>465.6</v>
      </c>
      <c r="AD398" s="308">
        <v>2</v>
      </c>
      <c r="AE398" s="285">
        <v>24</v>
      </c>
      <c r="AF398" s="306">
        <v>540</v>
      </c>
      <c r="AG398" s="306" t="s">
        <v>1</v>
      </c>
      <c r="AH398" s="286" t="s">
        <v>1</v>
      </c>
      <c r="AI398" s="295" t="s">
        <v>1</v>
      </c>
      <c r="AJ398" s="295" t="s">
        <v>1</v>
      </c>
      <c r="AK398" s="295" t="s">
        <v>1</v>
      </c>
      <c r="AL398" s="302" t="s">
        <v>1</v>
      </c>
      <c r="AM398" s="288" t="s">
        <v>1</v>
      </c>
      <c r="AN398" s="287" t="s">
        <v>1</v>
      </c>
      <c r="AO398" s="287" t="s">
        <v>1</v>
      </c>
      <c r="AP398" s="286" t="s">
        <v>1</v>
      </c>
      <c r="AQ398" s="285" t="s">
        <v>1</v>
      </c>
      <c r="AR398" s="289" t="s">
        <v>1</v>
      </c>
      <c r="AS398" s="289" t="s">
        <v>1</v>
      </c>
      <c r="AT398" s="290" t="s">
        <v>1</v>
      </c>
      <c r="AU398" s="287" t="s">
        <v>1</v>
      </c>
      <c r="AV398" s="287" t="s">
        <v>1</v>
      </c>
      <c r="AW398" s="291" t="s">
        <v>1</v>
      </c>
    </row>
    <row r="399" spans="1:49" ht="30.15" customHeight="1" x14ac:dyDescent="0.25">
      <c r="A399" s="213" t="s">
        <v>18</v>
      </c>
      <c r="B399" s="188" t="s">
        <v>1</v>
      </c>
      <c r="C399" s="212" t="s">
        <v>34</v>
      </c>
      <c r="D399" s="254" t="s">
        <v>3</v>
      </c>
      <c r="E399" s="254" t="s">
        <v>1248</v>
      </c>
      <c r="F399" s="255"/>
      <c r="G399" s="254" t="s">
        <v>1119</v>
      </c>
      <c r="H399" s="192" t="s">
        <v>409</v>
      </c>
      <c r="I399" s="193">
        <v>1075</v>
      </c>
      <c r="J399" s="193">
        <v>1102</v>
      </c>
      <c r="K399" s="193">
        <v>1102</v>
      </c>
      <c r="L399" s="193">
        <v>1164</v>
      </c>
      <c r="M399" s="194">
        <v>1164</v>
      </c>
      <c r="N399" s="284">
        <v>465.6</v>
      </c>
      <c r="O399" s="285" t="s">
        <v>1</v>
      </c>
      <c r="P399" s="285" t="s">
        <v>1</v>
      </c>
      <c r="Q399" s="306">
        <v>540</v>
      </c>
      <c r="R399" s="306" t="s">
        <v>1</v>
      </c>
      <c r="S399" s="286">
        <v>465.6</v>
      </c>
      <c r="T399" s="285" t="s">
        <v>1</v>
      </c>
      <c r="U399" s="285" t="s">
        <v>1</v>
      </c>
      <c r="V399" s="306">
        <v>540</v>
      </c>
      <c r="W399" s="306" t="s">
        <v>1</v>
      </c>
      <c r="X399" s="286">
        <v>465.6</v>
      </c>
      <c r="Y399" s="308">
        <v>2</v>
      </c>
      <c r="Z399" s="285">
        <v>24</v>
      </c>
      <c r="AA399" s="306">
        <v>540</v>
      </c>
      <c r="AB399" s="306" t="s">
        <v>1</v>
      </c>
      <c r="AC399" s="286">
        <v>465.6</v>
      </c>
      <c r="AD399" s="308">
        <v>2</v>
      </c>
      <c r="AE399" s="285">
        <v>24</v>
      </c>
      <c r="AF399" s="306">
        <v>540</v>
      </c>
      <c r="AG399" s="306" t="s">
        <v>1</v>
      </c>
      <c r="AH399" s="286" t="s">
        <v>1</v>
      </c>
      <c r="AI399" s="295" t="s">
        <v>1</v>
      </c>
      <c r="AJ399" s="295" t="s">
        <v>1</v>
      </c>
      <c r="AK399" s="295" t="s">
        <v>1</v>
      </c>
      <c r="AL399" s="302" t="s">
        <v>1</v>
      </c>
      <c r="AM399" s="288" t="s">
        <v>1</v>
      </c>
      <c r="AN399" s="287" t="s">
        <v>1</v>
      </c>
      <c r="AO399" s="287" t="s">
        <v>1</v>
      </c>
      <c r="AP399" s="286" t="s">
        <v>1</v>
      </c>
      <c r="AQ399" s="285" t="s">
        <v>1</v>
      </c>
      <c r="AR399" s="289" t="s">
        <v>1</v>
      </c>
      <c r="AS399" s="289" t="s">
        <v>1</v>
      </c>
      <c r="AT399" s="290" t="s">
        <v>1</v>
      </c>
      <c r="AU399" s="287" t="s">
        <v>1</v>
      </c>
      <c r="AV399" s="287" t="s">
        <v>1</v>
      </c>
      <c r="AW399" s="291" t="s">
        <v>1</v>
      </c>
    </row>
    <row r="400" spans="1:49" ht="30.15" customHeight="1" x14ac:dyDescent="0.25">
      <c r="A400" s="213" t="s">
        <v>18</v>
      </c>
      <c r="B400" s="188" t="s">
        <v>1</v>
      </c>
      <c r="C400" s="212" t="s">
        <v>34</v>
      </c>
      <c r="D400" s="254" t="s">
        <v>3</v>
      </c>
      <c r="E400" s="254" t="s">
        <v>1109</v>
      </c>
      <c r="F400" s="255"/>
      <c r="G400" s="254" t="s">
        <v>1120</v>
      </c>
      <c r="H400" s="192" t="s">
        <v>409</v>
      </c>
      <c r="I400" s="193">
        <v>1142</v>
      </c>
      <c r="J400" s="193">
        <v>1169</v>
      </c>
      <c r="K400" s="193">
        <v>1169</v>
      </c>
      <c r="L400" s="193">
        <v>1236</v>
      </c>
      <c r="M400" s="194">
        <v>1236</v>
      </c>
      <c r="N400" s="284">
        <v>494.4</v>
      </c>
      <c r="O400" s="285" t="s">
        <v>1</v>
      </c>
      <c r="P400" s="285" t="s">
        <v>1</v>
      </c>
      <c r="Q400" s="306">
        <v>552</v>
      </c>
      <c r="R400" s="306" t="s">
        <v>1</v>
      </c>
      <c r="S400" s="286">
        <v>494.4</v>
      </c>
      <c r="T400" s="285" t="s">
        <v>1</v>
      </c>
      <c r="U400" s="285" t="s">
        <v>1</v>
      </c>
      <c r="V400" s="306">
        <v>552</v>
      </c>
      <c r="W400" s="306" t="s">
        <v>1</v>
      </c>
      <c r="X400" s="286">
        <v>494.4</v>
      </c>
      <c r="Y400" s="308">
        <v>1.5</v>
      </c>
      <c r="Z400" s="285">
        <v>24</v>
      </c>
      <c r="AA400" s="306">
        <v>552</v>
      </c>
      <c r="AB400" s="306" t="s">
        <v>1</v>
      </c>
      <c r="AC400" s="286">
        <v>494.4</v>
      </c>
      <c r="AD400" s="308">
        <v>1.5</v>
      </c>
      <c r="AE400" s="285">
        <v>24</v>
      </c>
      <c r="AF400" s="306">
        <v>552</v>
      </c>
      <c r="AG400" s="306" t="s">
        <v>1</v>
      </c>
      <c r="AH400" s="286" t="s">
        <v>1</v>
      </c>
      <c r="AI400" s="295" t="s">
        <v>1</v>
      </c>
      <c r="AJ400" s="295" t="s">
        <v>1</v>
      </c>
      <c r="AK400" s="295" t="s">
        <v>1</v>
      </c>
      <c r="AL400" s="302" t="s">
        <v>1</v>
      </c>
      <c r="AM400" s="288" t="s">
        <v>1</v>
      </c>
      <c r="AN400" s="287" t="s">
        <v>1</v>
      </c>
      <c r="AO400" s="287" t="s">
        <v>1</v>
      </c>
      <c r="AP400" s="286" t="s">
        <v>1</v>
      </c>
      <c r="AQ400" s="285" t="s">
        <v>1</v>
      </c>
      <c r="AR400" s="289" t="s">
        <v>1</v>
      </c>
      <c r="AS400" s="289" t="s">
        <v>1</v>
      </c>
      <c r="AT400" s="290" t="s">
        <v>1</v>
      </c>
      <c r="AU400" s="287" t="s">
        <v>1</v>
      </c>
      <c r="AV400" s="287" t="s">
        <v>1</v>
      </c>
      <c r="AW400" s="291" t="s">
        <v>1</v>
      </c>
    </row>
    <row r="401" spans="1:49" ht="30.15" customHeight="1" x14ac:dyDescent="0.25">
      <c r="A401" s="213" t="s">
        <v>18</v>
      </c>
      <c r="B401" s="188" t="s">
        <v>1</v>
      </c>
      <c r="C401" s="212" t="s">
        <v>34</v>
      </c>
      <c r="D401" s="254" t="s">
        <v>3</v>
      </c>
      <c r="E401" s="254" t="s">
        <v>1110</v>
      </c>
      <c r="F401" s="255"/>
      <c r="G401" s="254" t="s">
        <v>1120</v>
      </c>
      <c r="H401" s="192" t="s">
        <v>409</v>
      </c>
      <c r="I401" s="193">
        <v>1142</v>
      </c>
      <c r="J401" s="193">
        <v>1169</v>
      </c>
      <c r="K401" s="193">
        <v>1169</v>
      </c>
      <c r="L401" s="193">
        <v>1236</v>
      </c>
      <c r="M401" s="194">
        <v>1236</v>
      </c>
      <c r="N401" s="284">
        <v>494.4</v>
      </c>
      <c r="O401" s="285" t="s">
        <v>1</v>
      </c>
      <c r="P401" s="285" t="s">
        <v>1</v>
      </c>
      <c r="Q401" s="306">
        <v>552</v>
      </c>
      <c r="R401" s="306" t="s">
        <v>1</v>
      </c>
      <c r="S401" s="286">
        <v>494.4</v>
      </c>
      <c r="T401" s="285" t="s">
        <v>1</v>
      </c>
      <c r="U401" s="285" t="s">
        <v>1</v>
      </c>
      <c r="V401" s="306">
        <v>552</v>
      </c>
      <c r="W401" s="306" t="s">
        <v>1</v>
      </c>
      <c r="X401" s="286">
        <v>494.4</v>
      </c>
      <c r="Y401" s="308">
        <v>1.5</v>
      </c>
      <c r="Z401" s="285">
        <v>24</v>
      </c>
      <c r="AA401" s="306">
        <v>552</v>
      </c>
      <c r="AB401" s="306" t="s">
        <v>1</v>
      </c>
      <c r="AC401" s="286">
        <v>494.4</v>
      </c>
      <c r="AD401" s="308">
        <v>1.5</v>
      </c>
      <c r="AE401" s="285">
        <v>24</v>
      </c>
      <c r="AF401" s="306">
        <v>552</v>
      </c>
      <c r="AG401" s="306" t="s">
        <v>1</v>
      </c>
      <c r="AH401" s="286" t="s">
        <v>1</v>
      </c>
      <c r="AI401" s="295" t="s">
        <v>1</v>
      </c>
      <c r="AJ401" s="295" t="s">
        <v>1</v>
      </c>
      <c r="AK401" s="295" t="s">
        <v>1</v>
      </c>
      <c r="AL401" s="302" t="s">
        <v>1</v>
      </c>
      <c r="AM401" s="288" t="s">
        <v>1</v>
      </c>
      <c r="AN401" s="287" t="s">
        <v>1</v>
      </c>
      <c r="AO401" s="287" t="s">
        <v>1</v>
      </c>
      <c r="AP401" s="286" t="s">
        <v>1</v>
      </c>
      <c r="AQ401" s="285" t="s">
        <v>1</v>
      </c>
      <c r="AR401" s="289" t="s">
        <v>1</v>
      </c>
      <c r="AS401" s="289" t="s">
        <v>1</v>
      </c>
      <c r="AT401" s="290" t="s">
        <v>1</v>
      </c>
      <c r="AU401" s="287" t="s">
        <v>1</v>
      </c>
      <c r="AV401" s="287" t="s">
        <v>1</v>
      </c>
      <c r="AW401" s="291" t="s">
        <v>1</v>
      </c>
    </row>
    <row r="402" spans="1:49" ht="30.15" customHeight="1" x14ac:dyDescent="0.25">
      <c r="A402" s="213" t="s">
        <v>18</v>
      </c>
      <c r="B402" s="188" t="s">
        <v>1</v>
      </c>
      <c r="C402" s="212" t="s">
        <v>34</v>
      </c>
      <c r="D402" s="254" t="s">
        <v>3</v>
      </c>
      <c r="E402" s="254" t="s">
        <v>1111</v>
      </c>
      <c r="F402" s="255"/>
      <c r="G402" s="254" t="s">
        <v>1120</v>
      </c>
      <c r="H402" s="192" t="s">
        <v>409</v>
      </c>
      <c r="I402" s="193">
        <v>1142</v>
      </c>
      <c r="J402" s="193">
        <v>1169</v>
      </c>
      <c r="K402" s="193">
        <v>1169</v>
      </c>
      <c r="L402" s="193">
        <v>1236</v>
      </c>
      <c r="M402" s="194">
        <v>1236</v>
      </c>
      <c r="N402" s="284">
        <v>494.4</v>
      </c>
      <c r="O402" s="285" t="s">
        <v>1</v>
      </c>
      <c r="P402" s="285" t="s">
        <v>1</v>
      </c>
      <c r="Q402" s="306">
        <v>552</v>
      </c>
      <c r="R402" s="306" t="s">
        <v>1</v>
      </c>
      <c r="S402" s="286">
        <v>494.4</v>
      </c>
      <c r="T402" s="285" t="s">
        <v>1</v>
      </c>
      <c r="U402" s="285" t="s">
        <v>1</v>
      </c>
      <c r="V402" s="306">
        <v>552</v>
      </c>
      <c r="W402" s="306" t="s">
        <v>1</v>
      </c>
      <c r="X402" s="286">
        <v>494.4</v>
      </c>
      <c r="Y402" s="308">
        <v>1.5</v>
      </c>
      <c r="Z402" s="285">
        <v>24</v>
      </c>
      <c r="AA402" s="306">
        <v>552</v>
      </c>
      <c r="AB402" s="306" t="s">
        <v>1</v>
      </c>
      <c r="AC402" s="286">
        <v>494.4</v>
      </c>
      <c r="AD402" s="308">
        <v>1.5</v>
      </c>
      <c r="AE402" s="285">
        <v>24</v>
      </c>
      <c r="AF402" s="306">
        <v>552</v>
      </c>
      <c r="AG402" s="306" t="s">
        <v>1</v>
      </c>
      <c r="AH402" s="286" t="s">
        <v>1</v>
      </c>
      <c r="AI402" s="295" t="s">
        <v>1</v>
      </c>
      <c r="AJ402" s="295" t="s">
        <v>1</v>
      </c>
      <c r="AK402" s="295" t="s">
        <v>1</v>
      </c>
      <c r="AL402" s="302" t="s">
        <v>1</v>
      </c>
      <c r="AM402" s="288" t="s">
        <v>1</v>
      </c>
      <c r="AN402" s="287" t="s">
        <v>1</v>
      </c>
      <c r="AO402" s="287" t="s">
        <v>1</v>
      </c>
      <c r="AP402" s="286" t="s">
        <v>1</v>
      </c>
      <c r="AQ402" s="285" t="s">
        <v>1</v>
      </c>
      <c r="AR402" s="289" t="s">
        <v>1</v>
      </c>
      <c r="AS402" s="289" t="s">
        <v>1</v>
      </c>
      <c r="AT402" s="290" t="s">
        <v>1</v>
      </c>
      <c r="AU402" s="287" t="s">
        <v>1</v>
      </c>
      <c r="AV402" s="287" t="s">
        <v>1</v>
      </c>
      <c r="AW402" s="291" t="s">
        <v>1</v>
      </c>
    </row>
    <row r="403" spans="1:49" ht="30.15" customHeight="1" x14ac:dyDescent="0.25">
      <c r="A403" s="213" t="s">
        <v>18</v>
      </c>
      <c r="B403" s="188" t="s">
        <v>1</v>
      </c>
      <c r="C403" s="212" t="s">
        <v>34</v>
      </c>
      <c r="D403" s="254" t="s">
        <v>3</v>
      </c>
      <c r="E403" s="254" t="s">
        <v>1112</v>
      </c>
      <c r="F403" s="255"/>
      <c r="G403" s="254" t="s">
        <v>1120</v>
      </c>
      <c r="H403" s="192" t="s">
        <v>409</v>
      </c>
      <c r="I403" s="193">
        <v>1142</v>
      </c>
      <c r="J403" s="193">
        <v>1169</v>
      </c>
      <c r="K403" s="193">
        <v>1169</v>
      </c>
      <c r="L403" s="193">
        <v>1236</v>
      </c>
      <c r="M403" s="194">
        <v>1236</v>
      </c>
      <c r="N403" s="284">
        <v>494.4</v>
      </c>
      <c r="O403" s="285" t="s">
        <v>1</v>
      </c>
      <c r="P403" s="285" t="s">
        <v>1</v>
      </c>
      <c r="Q403" s="306">
        <v>552</v>
      </c>
      <c r="R403" s="306" t="s">
        <v>1</v>
      </c>
      <c r="S403" s="286">
        <v>494.4</v>
      </c>
      <c r="T403" s="285" t="s">
        <v>1</v>
      </c>
      <c r="U403" s="285" t="s">
        <v>1</v>
      </c>
      <c r="V403" s="306">
        <v>552</v>
      </c>
      <c r="W403" s="306" t="s">
        <v>1</v>
      </c>
      <c r="X403" s="286">
        <v>494.4</v>
      </c>
      <c r="Y403" s="308">
        <v>1.5</v>
      </c>
      <c r="Z403" s="285">
        <v>24</v>
      </c>
      <c r="AA403" s="306">
        <v>552</v>
      </c>
      <c r="AB403" s="306" t="s">
        <v>1</v>
      </c>
      <c r="AC403" s="286">
        <v>494.4</v>
      </c>
      <c r="AD403" s="308">
        <v>1.5</v>
      </c>
      <c r="AE403" s="285">
        <v>24</v>
      </c>
      <c r="AF403" s="306">
        <v>552</v>
      </c>
      <c r="AG403" s="306" t="s">
        <v>1</v>
      </c>
      <c r="AH403" s="286" t="s">
        <v>1</v>
      </c>
      <c r="AI403" s="295" t="s">
        <v>1</v>
      </c>
      <c r="AJ403" s="295" t="s">
        <v>1</v>
      </c>
      <c r="AK403" s="295" t="s">
        <v>1</v>
      </c>
      <c r="AL403" s="302" t="s">
        <v>1</v>
      </c>
      <c r="AM403" s="288" t="s">
        <v>1</v>
      </c>
      <c r="AN403" s="287" t="s">
        <v>1</v>
      </c>
      <c r="AO403" s="287" t="s">
        <v>1</v>
      </c>
      <c r="AP403" s="286" t="s">
        <v>1</v>
      </c>
      <c r="AQ403" s="285" t="s">
        <v>1</v>
      </c>
      <c r="AR403" s="289" t="s">
        <v>1</v>
      </c>
      <c r="AS403" s="289" t="s">
        <v>1</v>
      </c>
      <c r="AT403" s="290" t="s">
        <v>1</v>
      </c>
      <c r="AU403" s="287" t="s">
        <v>1</v>
      </c>
      <c r="AV403" s="287" t="s">
        <v>1</v>
      </c>
      <c r="AW403" s="291" t="s">
        <v>1</v>
      </c>
    </row>
    <row r="404" spans="1:49" ht="30.15" customHeight="1" x14ac:dyDescent="0.25">
      <c r="A404" s="213" t="s">
        <v>18</v>
      </c>
      <c r="B404" s="188" t="s">
        <v>1</v>
      </c>
      <c r="C404" s="212" t="s">
        <v>34</v>
      </c>
      <c r="D404" s="254" t="s">
        <v>3</v>
      </c>
      <c r="E404" s="254" t="s">
        <v>1113</v>
      </c>
      <c r="F404" s="255"/>
      <c r="G404" s="254" t="s">
        <v>1120</v>
      </c>
      <c r="H404" s="192" t="s">
        <v>409</v>
      </c>
      <c r="I404" s="193">
        <v>1142</v>
      </c>
      <c r="J404" s="193">
        <v>1169</v>
      </c>
      <c r="K404" s="193">
        <v>1169</v>
      </c>
      <c r="L404" s="193">
        <v>1236</v>
      </c>
      <c r="M404" s="194">
        <v>1236</v>
      </c>
      <c r="N404" s="284">
        <v>494.4</v>
      </c>
      <c r="O404" s="285" t="s">
        <v>1</v>
      </c>
      <c r="P404" s="285" t="s">
        <v>1</v>
      </c>
      <c r="Q404" s="306">
        <v>552</v>
      </c>
      <c r="R404" s="306" t="s">
        <v>1</v>
      </c>
      <c r="S404" s="286">
        <v>494.4</v>
      </c>
      <c r="T404" s="285" t="s">
        <v>1</v>
      </c>
      <c r="U404" s="285" t="s">
        <v>1</v>
      </c>
      <c r="V404" s="306">
        <v>552</v>
      </c>
      <c r="W404" s="306" t="s">
        <v>1</v>
      </c>
      <c r="X404" s="286">
        <v>494.4</v>
      </c>
      <c r="Y404" s="308">
        <v>1.5</v>
      </c>
      <c r="Z404" s="285">
        <v>24</v>
      </c>
      <c r="AA404" s="306">
        <v>552</v>
      </c>
      <c r="AB404" s="306" t="s">
        <v>1</v>
      </c>
      <c r="AC404" s="286">
        <v>494.4</v>
      </c>
      <c r="AD404" s="308">
        <v>1.5</v>
      </c>
      <c r="AE404" s="285">
        <v>24</v>
      </c>
      <c r="AF404" s="306">
        <v>552</v>
      </c>
      <c r="AG404" s="306" t="s">
        <v>1</v>
      </c>
      <c r="AH404" s="286" t="s">
        <v>1</v>
      </c>
      <c r="AI404" s="295" t="s">
        <v>1</v>
      </c>
      <c r="AJ404" s="295" t="s">
        <v>1</v>
      </c>
      <c r="AK404" s="295" t="s">
        <v>1</v>
      </c>
      <c r="AL404" s="302" t="s">
        <v>1</v>
      </c>
      <c r="AM404" s="288" t="s">
        <v>1</v>
      </c>
      <c r="AN404" s="287" t="s">
        <v>1</v>
      </c>
      <c r="AO404" s="287" t="s">
        <v>1</v>
      </c>
      <c r="AP404" s="286" t="s">
        <v>1</v>
      </c>
      <c r="AQ404" s="285" t="s">
        <v>1</v>
      </c>
      <c r="AR404" s="289" t="s">
        <v>1</v>
      </c>
      <c r="AS404" s="289" t="s">
        <v>1</v>
      </c>
      <c r="AT404" s="290" t="s">
        <v>1</v>
      </c>
      <c r="AU404" s="287" t="s">
        <v>1</v>
      </c>
      <c r="AV404" s="287" t="s">
        <v>1</v>
      </c>
      <c r="AW404" s="291" t="s">
        <v>1</v>
      </c>
    </row>
    <row r="405" spans="1:49" ht="30.15" customHeight="1" x14ac:dyDescent="0.25">
      <c r="A405" s="213" t="s">
        <v>18</v>
      </c>
      <c r="B405" s="188" t="s">
        <v>1</v>
      </c>
      <c r="C405" s="212" t="s">
        <v>34</v>
      </c>
      <c r="D405" s="254" t="s">
        <v>3</v>
      </c>
      <c r="E405" s="254" t="s">
        <v>1268</v>
      </c>
      <c r="F405" s="255"/>
      <c r="G405" s="254" t="s">
        <v>1120</v>
      </c>
      <c r="H405" s="192" t="s">
        <v>414</v>
      </c>
      <c r="I405" s="193">
        <v>1142</v>
      </c>
      <c r="J405" s="193">
        <v>1169</v>
      </c>
      <c r="K405" s="193">
        <v>1169</v>
      </c>
      <c r="L405" s="193">
        <v>1236</v>
      </c>
      <c r="M405" s="194">
        <v>1236</v>
      </c>
      <c r="N405" s="284">
        <v>494.4</v>
      </c>
      <c r="O405" s="285" t="s">
        <v>1</v>
      </c>
      <c r="P405" s="285" t="s">
        <v>1</v>
      </c>
      <c r="Q405" s="306">
        <v>552</v>
      </c>
      <c r="R405" s="306" t="s">
        <v>1</v>
      </c>
      <c r="S405" s="286">
        <v>494.4</v>
      </c>
      <c r="T405" s="285" t="s">
        <v>1</v>
      </c>
      <c r="U405" s="285" t="s">
        <v>1</v>
      </c>
      <c r="V405" s="306">
        <v>552</v>
      </c>
      <c r="W405" s="306" t="s">
        <v>1</v>
      </c>
      <c r="X405" s="286">
        <v>494.4</v>
      </c>
      <c r="Y405" s="308">
        <v>1.5</v>
      </c>
      <c r="Z405" s="285">
        <v>24</v>
      </c>
      <c r="AA405" s="306">
        <v>552</v>
      </c>
      <c r="AB405" s="306" t="s">
        <v>1</v>
      </c>
      <c r="AC405" s="286">
        <v>494.4</v>
      </c>
      <c r="AD405" s="308">
        <v>1.5</v>
      </c>
      <c r="AE405" s="285">
        <v>24</v>
      </c>
      <c r="AF405" s="306">
        <v>552</v>
      </c>
      <c r="AG405" s="306" t="s">
        <v>1</v>
      </c>
      <c r="AH405" s="286" t="s">
        <v>1</v>
      </c>
      <c r="AI405" s="295" t="s">
        <v>1</v>
      </c>
      <c r="AJ405" s="295" t="s">
        <v>1</v>
      </c>
      <c r="AK405" s="295" t="s">
        <v>1</v>
      </c>
      <c r="AL405" s="302" t="s">
        <v>1</v>
      </c>
      <c r="AM405" s="288" t="s">
        <v>1</v>
      </c>
      <c r="AN405" s="287" t="s">
        <v>1</v>
      </c>
      <c r="AO405" s="287" t="s">
        <v>1</v>
      </c>
      <c r="AP405" s="286" t="s">
        <v>1</v>
      </c>
      <c r="AQ405" s="285" t="s">
        <v>1</v>
      </c>
      <c r="AR405" s="289" t="s">
        <v>1</v>
      </c>
      <c r="AS405" s="289" t="s">
        <v>1</v>
      </c>
      <c r="AT405" s="290" t="s">
        <v>1</v>
      </c>
      <c r="AU405" s="287" t="s">
        <v>1</v>
      </c>
      <c r="AV405" s="287" t="s">
        <v>1</v>
      </c>
      <c r="AW405" s="291" t="s">
        <v>1</v>
      </c>
    </row>
    <row r="406" spans="1:49" ht="30.15" customHeight="1" x14ac:dyDescent="0.25">
      <c r="A406" s="213" t="s">
        <v>18</v>
      </c>
      <c r="B406" s="188" t="s">
        <v>1</v>
      </c>
      <c r="C406" s="212" t="s">
        <v>34</v>
      </c>
      <c r="D406" s="254" t="s">
        <v>3</v>
      </c>
      <c r="E406" s="254" t="s">
        <v>1114</v>
      </c>
      <c r="F406" s="255"/>
      <c r="G406" s="254" t="s">
        <v>1121</v>
      </c>
      <c r="H406" s="192" t="s">
        <v>409</v>
      </c>
      <c r="I406" s="193">
        <v>1275</v>
      </c>
      <c r="J406" s="193">
        <v>1306</v>
      </c>
      <c r="K406" s="193">
        <v>1306</v>
      </c>
      <c r="L406" s="193">
        <v>1380</v>
      </c>
      <c r="M406" s="194">
        <v>1380</v>
      </c>
      <c r="N406" s="284">
        <v>552</v>
      </c>
      <c r="O406" s="285" t="s">
        <v>1</v>
      </c>
      <c r="P406" s="285" t="s">
        <v>1</v>
      </c>
      <c r="Q406" s="306">
        <v>588</v>
      </c>
      <c r="R406" s="306" t="s">
        <v>1</v>
      </c>
      <c r="S406" s="286">
        <v>552</v>
      </c>
      <c r="T406" s="285" t="s">
        <v>1</v>
      </c>
      <c r="U406" s="285" t="s">
        <v>1</v>
      </c>
      <c r="V406" s="306">
        <v>588</v>
      </c>
      <c r="W406" s="306" t="s">
        <v>1</v>
      </c>
      <c r="X406" s="286">
        <v>552</v>
      </c>
      <c r="Y406" s="308">
        <v>2</v>
      </c>
      <c r="Z406" s="285">
        <v>24</v>
      </c>
      <c r="AA406" s="306">
        <v>588</v>
      </c>
      <c r="AB406" s="306" t="s">
        <v>1</v>
      </c>
      <c r="AC406" s="286">
        <v>552</v>
      </c>
      <c r="AD406" s="308">
        <v>2</v>
      </c>
      <c r="AE406" s="285">
        <v>24</v>
      </c>
      <c r="AF406" s="306">
        <v>588</v>
      </c>
      <c r="AG406" s="306" t="s">
        <v>1</v>
      </c>
      <c r="AH406" s="286" t="s">
        <v>1</v>
      </c>
      <c r="AI406" s="295" t="s">
        <v>1</v>
      </c>
      <c r="AJ406" s="295" t="s">
        <v>1</v>
      </c>
      <c r="AK406" s="295" t="s">
        <v>1</v>
      </c>
      <c r="AL406" s="302" t="s">
        <v>1</v>
      </c>
      <c r="AM406" s="288" t="s">
        <v>1</v>
      </c>
      <c r="AN406" s="287" t="s">
        <v>1</v>
      </c>
      <c r="AO406" s="287" t="s">
        <v>1</v>
      </c>
      <c r="AP406" s="286" t="s">
        <v>1</v>
      </c>
      <c r="AQ406" s="285" t="s">
        <v>1</v>
      </c>
      <c r="AR406" s="289" t="s">
        <v>1</v>
      </c>
      <c r="AS406" s="289" t="s">
        <v>1</v>
      </c>
      <c r="AT406" s="290" t="s">
        <v>1</v>
      </c>
      <c r="AU406" s="287" t="s">
        <v>1</v>
      </c>
      <c r="AV406" s="287" t="s">
        <v>1</v>
      </c>
      <c r="AW406" s="291" t="s">
        <v>1</v>
      </c>
    </row>
    <row r="407" spans="1:49" ht="30.15" customHeight="1" x14ac:dyDescent="0.25">
      <c r="A407" s="213" t="s">
        <v>18</v>
      </c>
      <c r="B407" s="188" t="s">
        <v>1</v>
      </c>
      <c r="C407" s="212" t="s">
        <v>34</v>
      </c>
      <c r="D407" s="254" t="s">
        <v>3</v>
      </c>
      <c r="E407" s="254" t="s">
        <v>1115</v>
      </c>
      <c r="F407" s="255"/>
      <c r="G407" s="254" t="s">
        <v>1121</v>
      </c>
      <c r="H407" s="192" t="s">
        <v>409</v>
      </c>
      <c r="I407" s="193">
        <v>1275</v>
      </c>
      <c r="J407" s="193">
        <v>1306</v>
      </c>
      <c r="K407" s="193">
        <v>1306</v>
      </c>
      <c r="L407" s="193">
        <v>1380</v>
      </c>
      <c r="M407" s="194">
        <v>1380</v>
      </c>
      <c r="N407" s="284">
        <v>552</v>
      </c>
      <c r="O407" s="285" t="s">
        <v>1</v>
      </c>
      <c r="P407" s="285" t="s">
        <v>1</v>
      </c>
      <c r="Q407" s="306">
        <v>588</v>
      </c>
      <c r="R407" s="306" t="s">
        <v>1</v>
      </c>
      <c r="S407" s="286">
        <v>552</v>
      </c>
      <c r="T407" s="285" t="s">
        <v>1</v>
      </c>
      <c r="U407" s="285" t="s">
        <v>1</v>
      </c>
      <c r="V407" s="306">
        <v>588</v>
      </c>
      <c r="W407" s="306" t="s">
        <v>1</v>
      </c>
      <c r="X407" s="286">
        <v>552</v>
      </c>
      <c r="Y407" s="308">
        <v>2</v>
      </c>
      <c r="Z407" s="285">
        <v>24</v>
      </c>
      <c r="AA407" s="306">
        <v>588</v>
      </c>
      <c r="AB407" s="306" t="s">
        <v>1</v>
      </c>
      <c r="AC407" s="286">
        <v>552</v>
      </c>
      <c r="AD407" s="308">
        <v>2</v>
      </c>
      <c r="AE407" s="285">
        <v>24</v>
      </c>
      <c r="AF407" s="306">
        <v>588</v>
      </c>
      <c r="AG407" s="306" t="s">
        <v>1</v>
      </c>
      <c r="AH407" s="286" t="s">
        <v>1</v>
      </c>
      <c r="AI407" s="295" t="s">
        <v>1</v>
      </c>
      <c r="AJ407" s="295" t="s">
        <v>1</v>
      </c>
      <c r="AK407" s="295" t="s">
        <v>1</v>
      </c>
      <c r="AL407" s="302" t="s">
        <v>1</v>
      </c>
      <c r="AM407" s="288" t="s">
        <v>1</v>
      </c>
      <c r="AN407" s="287" t="s">
        <v>1</v>
      </c>
      <c r="AO407" s="287" t="s">
        <v>1</v>
      </c>
      <c r="AP407" s="286" t="s">
        <v>1</v>
      </c>
      <c r="AQ407" s="285" t="s">
        <v>1</v>
      </c>
      <c r="AR407" s="289" t="s">
        <v>1</v>
      </c>
      <c r="AS407" s="289" t="s">
        <v>1</v>
      </c>
      <c r="AT407" s="290" t="s">
        <v>1</v>
      </c>
      <c r="AU407" s="287" t="s">
        <v>1</v>
      </c>
      <c r="AV407" s="287" t="s">
        <v>1</v>
      </c>
      <c r="AW407" s="291" t="s">
        <v>1</v>
      </c>
    </row>
    <row r="408" spans="1:49" ht="30.15" customHeight="1" x14ac:dyDescent="0.25">
      <c r="A408" s="213" t="s">
        <v>18</v>
      </c>
      <c r="B408" s="188" t="s">
        <v>1</v>
      </c>
      <c r="C408" s="212" t="s">
        <v>34</v>
      </c>
      <c r="D408" s="254" t="s">
        <v>3</v>
      </c>
      <c r="E408" s="254" t="s">
        <v>1116</v>
      </c>
      <c r="F408" s="255"/>
      <c r="G408" s="254" t="s">
        <v>1121</v>
      </c>
      <c r="H408" s="192" t="s">
        <v>409</v>
      </c>
      <c r="I408" s="193">
        <v>1275</v>
      </c>
      <c r="J408" s="193">
        <v>1306</v>
      </c>
      <c r="K408" s="193">
        <v>1306</v>
      </c>
      <c r="L408" s="193">
        <v>1380</v>
      </c>
      <c r="M408" s="194">
        <v>1380</v>
      </c>
      <c r="N408" s="284">
        <v>552</v>
      </c>
      <c r="O408" s="285" t="s">
        <v>1</v>
      </c>
      <c r="P408" s="285" t="s">
        <v>1</v>
      </c>
      <c r="Q408" s="306">
        <v>588</v>
      </c>
      <c r="R408" s="306" t="s">
        <v>1</v>
      </c>
      <c r="S408" s="286">
        <v>552</v>
      </c>
      <c r="T408" s="285" t="s">
        <v>1</v>
      </c>
      <c r="U408" s="285" t="s">
        <v>1</v>
      </c>
      <c r="V408" s="306">
        <v>588</v>
      </c>
      <c r="W408" s="306" t="s">
        <v>1</v>
      </c>
      <c r="X408" s="286">
        <v>552</v>
      </c>
      <c r="Y408" s="308">
        <v>2</v>
      </c>
      <c r="Z408" s="285">
        <v>24</v>
      </c>
      <c r="AA408" s="306">
        <v>588</v>
      </c>
      <c r="AB408" s="306" t="s">
        <v>1</v>
      </c>
      <c r="AC408" s="286">
        <v>552</v>
      </c>
      <c r="AD408" s="308">
        <v>2</v>
      </c>
      <c r="AE408" s="285">
        <v>24</v>
      </c>
      <c r="AF408" s="306">
        <v>588</v>
      </c>
      <c r="AG408" s="306" t="s">
        <v>1</v>
      </c>
      <c r="AH408" s="286" t="s">
        <v>1</v>
      </c>
      <c r="AI408" s="295" t="s">
        <v>1</v>
      </c>
      <c r="AJ408" s="295" t="s">
        <v>1</v>
      </c>
      <c r="AK408" s="295" t="s">
        <v>1</v>
      </c>
      <c r="AL408" s="302" t="s">
        <v>1</v>
      </c>
      <c r="AM408" s="288" t="s">
        <v>1</v>
      </c>
      <c r="AN408" s="287" t="s">
        <v>1</v>
      </c>
      <c r="AO408" s="287" t="s">
        <v>1</v>
      </c>
      <c r="AP408" s="286" t="s">
        <v>1</v>
      </c>
      <c r="AQ408" s="285" t="s">
        <v>1</v>
      </c>
      <c r="AR408" s="289" t="s">
        <v>1</v>
      </c>
      <c r="AS408" s="289" t="s">
        <v>1</v>
      </c>
      <c r="AT408" s="290" t="s">
        <v>1</v>
      </c>
      <c r="AU408" s="287" t="s">
        <v>1</v>
      </c>
      <c r="AV408" s="287" t="s">
        <v>1</v>
      </c>
      <c r="AW408" s="291" t="s">
        <v>1</v>
      </c>
    </row>
    <row r="409" spans="1:49" ht="30.15" customHeight="1" x14ac:dyDescent="0.25">
      <c r="A409" s="213" t="s">
        <v>18</v>
      </c>
      <c r="B409" s="188" t="s">
        <v>1</v>
      </c>
      <c r="C409" s="212" t="s">
        <v>34</v>
      </c>
      <c r="D409" s="254" t="s">
        <v>3</v>
      </c>
      <c r="E409" s="254" t="s">
        <v>1117</v>
      </c>
      <c r="F409" s="255"/>
      <c r="G409" s="254" t="s">
        <v>1121</v>
      </c>
      <c r="H409" s="192" t="s">
        <v>409</v>
      </c>
      <c r="I409" s="193">
        <v>1275</v>
      </c>
      <c r="J409" s="193">
        <v>1306</v>
      </c>
      <c r="K409" s="193">
        <v>1306</v>
      </c>
      <c r="L409" s="193">
        <v>1380</v>
      </c>
      <c r="M409" s="194">
        <v>1380</v>
      </c>
      <c r="N409" s="284">
        <v>552</v>
      </c>
      <c r="O409" s="285" t="s">
        <v>1</v>
      </c>
      <c r="P409" s="285" t="s">
        <v>1</v>
      </c>
      <c r="Q409" s="306">
        <v>588</v>
      </c>
      <c r="R409" s="306" t="s">
        <v>1</v>
      </c>
      <c r="S409" s="286">
        <v>552</v>
      </c>
      <c r="T409" s="285" t="s">
        <v>1</v>
      </c>
      <c r="U409" s="285" t="s">
        <v>1</v>
      </c>
      <c r="V409" s="306">
        <v>588</v>
      </c>
      <c r="W409" s="306" t="s">
        <v>1</v>
      </c>
      <c r="X409" s="286">
        <v>552</v>
      </c>
      <c r="Y409" s="308">
        <v>2</v>
      </c>
      <c r="Z409" s="285">
        <v>24</v>
      </c>
      <c r="AA409" s="306">
        <v>588</v>
      </c>
      <c r="AB409" s="306" t="s">
        <v>1</v>
      </c>
      <c r="AC409" s="286">
        <v>552</v>
      </c>
      <c r="AD409" s="308">
        <v>2</v>
      </c>
      <c r="AE409" s="285">
        <v>24</v>
      </c>
      <c r="AF409" s="306">
        <v>588</v>
      </c>
      <c r="AG409" s="306" t="s">
        <v>1</v>
      </c>
      <c r="AH409" s="286" t="s">
        <v>1</v>
      </c>
      <c r="AI409" s="295" t="s">
        <v>1</v>
      </c>
      <c r="AJ409" s="295" t="s">
        <v>1</v>
      </c>
      <c r="AK409" s="295" t="s">
        <v>1</v>
      </c>
      <c r="AL409" s="302" t="s">
        <v>1</v>
      </c>
      <c r="AM409" s="288" t="s">
        <v>1</v>
      </c>
      <c r="AN409" s="287" t="s">
        <v>1</v>
      </c>
      <c r="AO409" s="287" t="s">
        <v>1</v>
      </c>
      <c r="AP409" s="286" t="s">
        <v>1</v>
      </c>
      <c r="AQ409" s="285" t="s">
        <v>1</v>
      </c>
      <c r="AR409" s="289" t="s">
        <v>1</v>
      </c>
      <c r="AS409" s="289" t="s">
        <v>1</v>
      </c>
      <c r="AT409" s="290" t="s">
        <v>1</v>
      </c>
      <c r="AU409" s="287" t="s">
        <v>1</v>
      </c>
      <c r="AV409" s="287" t="s">
        <v>1</v>
      </c>
      <c r="AW409" s="291" t="s">
        <v>1</v>
      </c>
    </row>
    <row r="410" spans="1:49" ht="30.15" customHeight="1" x14ac:dyDescent="0.25">
      <c r="A410" s="213" t="s">
        <v>18</v>
      </c>
      <c r="B410" s="188" t="s">
        <v>1</v>
      </c>
      <c r="C410" s="212" t="s">
        <v>34</v>
      </c>
      <c r="D410" s="254" t="s">
        <v>3</v>
      </c>
      <c r="E410" s="254" t="s">
        <v>1118</v>
      </c>
      <c r="F410" s="255"/>
      <c r="G410" s="254" t="s">
        <v>1121</v>
      </c>
      <c r="H410" s="192" t="s">
        <v>409</v>
      </c>
      <c r="I410" s="193">
        <v>1275</v>
      </c>
      <c r="J410" s="193">
        <v>1306</v>
      </c>
      <c r="K410" s="193">
        <v>1306</v>
      </c>
      <c r="L410" s="193">
        <v>1380</v>
      </c>
      <c r="M410" s="194">
        <v>1380</v>
      </c>
      <c r="N410" s="284">
        <v>552</v>
      </c>
      <c r="O410" s="285" t="s">
        <v>1</v>
      </c>
      <c r="P410" s="285" t="s">
        <v>1</v>
      </c>
      <c r="Q410" s="306">
        <v>588</v>
      </c>
      <c r="R410" s="306" t="s">
        <v>1</v>
      </c>
      <c r="S410" s="286">
        <v>552</v>
      </c>
      <c r="T410" s="285" t="s">
        <v>1</v>
      </c>
      <c r="U410" s="285" t="s">
        <v>1</v>
      </c>
      <c r="V410" s="306">
        <v>588</v>
      </c>
      <c r="W410" s="306" t="s">
        <v>1</v>
      </c>
      <c r="X410" s="286">
        <v>552</v>
      </c>
      <c r="Y410" s="308">
        <v>2</v>
      </c>
      <c r="Z410" s="285">
        <v>24</v>
      </c>
      <c r="AA410" s="306">
        <v>588</v>
      </c>
      <c r="AB410" s="306" t="s">
        <v>1</v>
      </c>
      <c r="AC410" s="286">
        <v>552</v>
      </c>
      <c r="AD410" s="308">
        <v>2</v>
      </c>
      <c r="AE410" s="285">
        <v>24</v>
      </c>
      <c r="AF410" s="306">
        <v>588</v>
      </c>
      <c r="AG410" s="306" t="s">
        <v>1</v>
      </c>
      <c r="AH410" s="286" t="s">
        <v>1</v>
      </c>
      <c r="AI410" s="295" t="s">
        <v>1</v>
      </c>
      <c r="AJ410" s="295" t="s">
        <v>1</v>
      </c>
      <c r="AK410" s="295" t="s">
        <v>1</v>
      </c>
      <c r="AL410" s="302" t="s">
        <v>1</v>
      </c>
      <c r="AM410" s="288" t="s">
        <v>1</v>
      </c>
      <c r="AN410" s="287" t="s">
        <v>1</v>
      </c>
      <c r="AO410" s="287" t="s">
        <v>1</v>
      </c>
      <c r="AP410" s="286" t="s">
        <v>1</v>
      </c>
      <c r="AQ410" s="285" t="s">
        <v>1</v>
      </c>
      <c r="AR410" s="289" t="s">
        <v>1</v>
      </c>
      <c r="AS410" s="289" t="s">
        <v>1</v>
      </c>
      <c r="AT410" s="290" t="s">
        <v>1</v>
      </c>
      <c r="AU410" s="287" t="s">
        <v>1</v>
      </c>
      <c r="AV410" s="287" t="s">
        <v>1</v>
      </c>
      <c r="AW410" s="291" t="s">
        <v>1</v>
      </c>
    </row>
    <row r="411" spans="1:49" ht="30.15" customHeight="1" x14ac:dyDescent="0.25">
      <c r="A411" s="213" t="s">
        <v>18</v>
      </c>
      <c r="B411" s="188" t="s">
        <v>1</v>
      </c>
      <c r="C411" s="212" t="s">
        <v>34</v>
      </c>
      <c r="D411" s="254" t="s">
        <v>3</v>
      </c>
      <c r="E411" s="254" t="s">
        <v>1269</v>
      </c>
      <c r="F411" s="255"/>
      <c r="G411" s="254" t="s">
        <v>1121</v>
      </c>
      <c r="H411" s="192" t="s">
        <v>414</v>
      </c>
      <c r="I411" s="193">
        <v>1275</v>
      </c>
      <c r="J411" s="193">
        <v>1306</v>
      </c>
      <c r="K411" s="193">
        <v>1306</v>
      </c>
      <c r="L411" s="193">
        <v>1380</v>
      </c>
      <c r="M411" s="194">
        <v>1380</v>
      </c>
      <c r="N411" s="284">
        <v>552</v>
      </c>
      <c r="O411" s="285" t="s">
        <v>1</v>
      </c>
      <c r="P411" s="285" t="s">
        <v>1</v>
      </c>
      <c r="Q411" s="306">
        <v>588</v>
      </c>
      <c r="R411" s="306" t="s">
        <v>1</v>
      </c>
      <c r="S411" s="286">
        <v>552</v>
      </c>
      <c r="T411" s="285" t="s">
        <v>1</v>
      </c>
      <c r="U411" s="285" t="s">
        <v>1</v>
      </c>
      <c r="V411" s="306">
        <v>588</v>
      </c>
      <c r="W411" s="306" t="s">
        <v>1</v>
      </c>
      <c r="X411" s="286">
        <v>552</v>
      </c>
      <c r="Y411" s="308">
        <v>2</v>
      </c>
      <c r="Z411" s="285">
        <v>24</v>
      </c>
      <c r="AA411" s="306">
        <v>588</v>
      </c>
      <c r="AB411" s="306" t="s">
        <v>1</v>
      </c>
      <c r="AC411" s="286">
        <v>552</v>
      </c>
      <c r="AD411" s="308">
        <v>2</v>
      </c>
      <c r="AE411" s="285">
        <v>24</v>
      </c>
      <c r="AF411" s="306">
        <v>588</v>
      </c>
      <c r="AG411" s="306" t="s">
        <v>1</v>
      </c>
      <c r="AH411" s="286" t="s">
        <v>1</v>
      </c>
      <c r="AI411" s="295" t="s">
        <v>1</v>
      </c>
      <c r="AJ411" s="295" t="s">
        <v>1</v>
      </c>
      <c r="AK411" s="295" t="s">
        <v>1</v>
      </c>
      <c r="AL411" s="302" t="s">
        <v>1</v>
      </c>
      <c r="AM411" s="288" t="s">
        <v>1</v>
      </c>
      <c r="AN411" s="287" t="s">
        <v>1</v>
      </c>
      <c r="AO411" s="287" t="s">
        <v>1</v>
      </c>
      <c r="AP411" s="286" t="s">
        <v>1</v>
      </c>
      <c r="AQ411" s="285" t="s">
        <v>1</v>
      </c>
      <c r="AR411" s="289" t="s">
        <v>1</v>
      </c>
      <c r="AS411" s="289" t="s">
        <v>1</v>
      </c>
      <c r="AT411" s="290" t="s">
        <v>1</v>
      </c>
      <c r="AU411" s="287" t="s">
        <v>1</v>
      </c>
      <c r="AV411" s="287" t="s">
        <v>1</v>
      </c>
      <c r="AW411" s="291" t="s">
        <v>1</v>
      </c>
    </row>
    <row r="412" spans="1:49" ht="30.15" customHeight="1" x14ac:dyDescent="0.25">
      <c r="A412" s="213" t="s">
        <v>18</v>
      </c>
      <c r="B412" s="189" t="s">
        <v>1</v>
      </c>
      <c r="C412" s="212" t="s">
        <v>34</v>
      </c>
      <c r="D412" s="190" t="s">
        <v>209</v>
      </c>
      <c r="E412" s="190" t="s">
        <v>496</v>
      </c>
      <c r="F412" s="203"/>
      <c r="G412" s="190" t="s">
        <v>492</v>
      </c>
      <c r="H412" s="192" t="s">
        <v>409</v>
      </c>
      <c r="I412" s="193">
        <v>970</v>
      </c>
      <c r="J412" s="193">
        <v>970</v>
      </c>
      <c r="K412" s="193">
        <v>970</v>
      </c>
      <c r="L412" s="193">
        <v>1125</v>
      </c>
      <c r="M412" s="194">
        <v>1125</v>
      </c>
      <c r="N412" s="284">
        <v>450</v>
      </c>
      <c r="O412" s="285">
        <v>36.880000000000003</v>
      </c>
      <c r="P412" s="285">
        <v>24</v>
      </c>
      <c r="Q412" s="285" t="s">
        <v>1</v>
      </c>
      <c r="R412" s="285" t="s">
        <v>1</v>
      </c>
      <c r="S412" s="286">
        <v>450</v>
      </c>
      <c r="T412" s="285">
        <v>36.880000000000003</v>
      </c>
      <c r="U412" s="285">
        <v>24</v>
      </c>
      <c r="V412" s="285" t="s">
        <v>1</v>
      </c>
      <c r="W412" s="285" t="s">
        <v>1</v>
      </c>
      <c r="X412" s="286">
        <v>450</v>
      </c>
      <c r="Y412" s="285">
        <v>36.880000000000003</v>
      </c>
      <c r="Z412" s="285">
        <v>24</v>
      </c>
      <c r="AA412" s="285" t="s">
        <v>1</v>
      </c>
      <c r="AB412" s="285" t="s">
        <v>1</v>
      </c>
      <c r="AC412" s="286">
        <v>450</v>
      </c>
      <c r="AD412" s="285">
        <v>36.880000000000003</v>
      </c>
      <c r="AE412" s="285">
        <v>24</v>
      </c>
      <c r="AF412" s="285" t="s">
        <v>1</v>
      </c>
      <c r="AG412" s="285" t="s">
        <v>1</v>
      </c>
      <c r="AH412" s="286" t="s">
        <v>1</v>
      </c>
      <c r="AI412" s="295" t="s">
        <v>1</v>
      </c>
      <c r="AJ412" s="295" t="s">
        <v>1</v>
      </c>
      <c r="AK412" s="295" t="s">
        <v>1</v>
      </c>
      <c r="AL412" s="302" t="s">
        <v>1</v>
      </c>
      <c r="AM412" s="288" t="s">
        <v>1</v>
      </c>
      <c r="AN412" s="287" t="s">
        <v>1</v>
      </c>
      <c r="AO412" s="287" t="s">
        <v>1</v>
      </c>
      <c r="AP412" s="286" t="s">
        <v>1</v>
      </c>
      <c r="AQ412" s="285" t="s">
        <v>1</v>
      </c>
      <c r="AR412" s="289" t="s">
        <v>1</v>
      </c>
      <c r="AS412" s="289" t="s">
        <v>1</v>
      </c>
      <c r="AT412" s="290" t="s">
        <v>1</v>
      </c>
      <c r="AU412" s="287" t="s">
        <v>1</v>
      </c>
      <c r="AV412" s="287" t="s">
        <v>1</v>
      </c>
      <c r="AW412" s="291" t="s">
        <v>1</v>
      </c>
    </row>
    <row r="413" spans="1:49" ht="30.15" customHeight="1" x14ac:dyDescent="0.25">
      <c r="A413" s="213" t="s">
        <v>18</v>
      </c>
      <c r="B413" s="189" t="s">
        <v>1</v>
      </c>
      <c r="C413" s="212" t="s">
        <v>34</v>
      </c>
      <c r="D413" s="190" t="s">
        <v>209</v>
      </c>
      <c r="E413" s="190" t="s">
        <v>497</v>
      </c>
      <c r="F413" s="203"/>
      <c r="G413" s="190" t="s">
        <v>492</v>
      </c>
      <c r="H413" s="192" t="s">
        <v>409</v>
      </c>
      <c r="I413" s="193">
        <v>970</v>
      </c>
      <c r="J413" s="193">
        <v>970</v>
      </c>
      <c r="K413" s="193">
        <v>970</v>
      </c>
      <c r="L413" s="193">
        <v>1125</v>
      </c>
      <c r="M413" s="194">
        <v>1125</v>
      </c>
      <c r="N413" s="284">
        <v>450</v>
      </c>
      <c r="O413" s="285">
        <v>36.880000000000003</v>
      </c>
      <c r="P413" s="285">
        <v>24</v>
      </c>
      <c r="Q413" s="285" t="s">
        <v>1</v>
      </c>
      <c r="R413" s="285" t="s">
        <v>1</v>
      </c>
      <c r="S413" s="286">
        <v>450</v>
      </c>
      <c r="T413" s="285">
        <v>36.880000000000003</v>
      </c>
      <c r="U413" s="285">
        <v>24</v>
      </c>
      <c r="V413" s="285" t="s">
        <v>1</v>
      </c>
      <c r="W413" s="285" t="s">
        <v>1</v>
      </c>
      <c r="X413" s="286">
        <v>450</v>
      </c>
      <c r="Y413" s="285">
        <v>36.880000000000003</v>
      </c>
      <c r="Z413" s="285">
        <v>24</v>
      </c>
      <c r="AA413" s="285" t="s">
        <v>1</v>
      </c>
      <c r="AB413" s="285" t="s">
        <v>1</v>
      </c>
      <c r="AC413" s="286">
        <v>450</v>
      </c>
      <c r="AD413" s="285">
        <v>36.880000000000003</v>
      </c>
      <c r="AE413" s="285">
        <v>24</v>
      </c>
      <c r="AF413" s="285" t="s">
        <v>1</v>
      </c>
      <c r="AG413" s="285" t="s">
        <v>1</v>
      </c>
      <c r="AH413" s="286" t="s">
        <v>1</v>
      </c>
      <c r="AI413" s="295" t="s">
        <v>1</v>
      </c>
      <c r="AJ413" s="295" t="s">
        <v>1</v>
      </c>
      <c r="AK413" s="295" t="s">
        <v>1</v>
      </c>
      <c r="AL413" s="302" t="s">
        <v>1</v>
      </c>
      <c r="AM413" s="288" t="s">
        <v>1</v>
      </c>
      <c r="AN413" s="287" t="s">
        <v>1</v>
      </c>
      <c r="AO413" s="287" t="s">
        <v>1</v>
      </c>
      <c r="AP413" s="286" t="s">
        <v>1</v>
      </c>
      <c r="AQ413" s="285" t="s">
        <v>1</v>
      </c>
      <c r="AR413" s="289" t="s">
        <v>1</v>
      </c>
      <c r="AS413" s="289" t="s">
        <v>1</v>
      </c>
      <c r="AT413" s="290" t="s">
        <v>1</v>
      </c>
      <c r="AU413" s="287" t="s">
        <v>1</v>
      </c>
      <c r="AV413" s="287" t="s">
        <v>1</v>
      </c>
      <c r="AW413" s="291" t="s">
        <v>1</v>
      </c>
    </row>
    <row r="414" spans="1:49" ht="30.15" customHeight="1" x14ac:dyDescent="0.25">
      <c r="A414" s="213" t="s">
        <v>18</v>
      </c>
      <c r="B414" s="189" t="s">
        <v>1</v>
      </c>
      <c r="C414" s="212" t="s">
        <v>34</v>
      </c>
      <c r="D414" s="190" t="s">
        <v>209</v>
      </c>
      <c r="E414" s="190" t="s">
        <v>498</v>
      </c>
      <c r="F414" s="203"/>
      <c r="G414" s="190" t="s">
        <v>493</v>
      </c>
      <c r="H414" s="192" t="s">
        <v>409</v>
      </c>
      <c r="I414" s="193">
        <v>1073</v>
      </c>
      <c r="J414" s="193">
        <v>1073</v>
      </c>
      <c r="K414" s="193">
        <v>1073</v>
      </c>
      <c r="L414" s="193">
        <v>1269</v>
      </c>
      <c r="M414" s="194">
        <v>1269</v>
      </c>
      <c r="N414" s="284">
        <v>507.6</v>
      </c>
      <c r="O414" s="285">
        <v>38.71</v>
      </c>
      <c r="P414" s="285">
        <v>24</v>
      </c>
      <c r="Q414" s="285" t="s">
        <v>1</v>
      </c>
      <c r="R414" s="285" t="s">
        <v>1</v>
      </c>
      <c r="S414" s="286">
        <v>507.6</v>
      </c>
      <c r="T414" s="285">
        <v>38.71</v>
      </c>
      <c r="U414" s="285">
        <v>24</v>
      </c>
      <c r="V414" s="285" t="s">
        <v>1</v>
      </c>
      <c r="W414" s="285" t="s">
        <v>1</v>
      </c>
      <c r="X414" s="286">
        <v>507.6</v>
      </c>
      <c r="Y414" s="285">
        <v>38.71</v>
      </c>
      <c r="Z414" s="285">
        <v>24</v>
      </c>
      <c r="AA414" s="285" t="s">
        <v>1</v>
      </c>
      <c r="AB414" s="285" t="s">
        <v>1</v>
      </c>
      <c r="AC414" s="286">
        <v>507.6</v>
      </c>
      <c r="AD414" s="285">
        <v>38.71</v>
      </c>
      <c r="AE414" s="285">
        <v>24</v>
      </c>
      <c r="AF414" s="285" t="s">
        <v>1</v>
      </c>
      <c r="AG414" s="285" t="s">
        <v>1</v>
      </c>
      <c r="AH414" s="286" t="s">
        <v>1</v>
      </c>
      <c r="AI414" s="295" t="s">
        <v>1</v>
      </c>
      <c r="AJ414" s="295" t="s">
        <v>1</v>
      </c>
      <c r="AK414" s="295" t="s">
        <v>1</v>
      </c>
      <c r="AL414" s="302" t="s">
        <v>1</v>
      </c>
      <c r="AM414" s="288" t="s">
        <v>1</v>
      </c>
      <c r="AN414" s="287" t="s">
        <v>1</v>
      </c>
      <c r="AO414" s="287" t="s">
        <v>1</v>
      </c>
      <c r="AP414" s="286" t="s">
        <v>1</v>
      </c>
      <c r="AQ414" s="285" t="s">
        <v>1</v>
      </c>
      <c r="AR414" s="289" t="s">
        <v>1</v>
      </c>
      <c r="AS414" s="289" t="s">
        <v>1</v>
      </c>
      <c r="AT414" s="290" t="s">
        <v>1</v>
      </c>
      <c r="AU414" s="287" t="s">
        <v>1</v>
      </c>
      <c r="AV414" s="287" t="s">
        <v>1</v>
      </c>
      <c r="AW414" s="291" t="s">
        <v>1</v>
      </c>
    </row>
    <row r="415" spans="1:49" ht="30.15" customHeight="1" x14ac:dyDescent="0.25">
      <c r="A415" s="213" t="s">
        <v>18</v>
      </c>
      <c r="B415" s="189" t="s">
        <v>1</v>
      </c>
      <c r="C415" s="212" t="s">
        <v>34</v>
      </c>
      <c r="D415" s="190" t="s">
        <v>209</v>
      </c>
      <c r="E415" s="190" t="s">
        <v>499</v>
      </c>
      <c r="F415" s="203"/>
      <c r="G415" s="190" t="s">
        <v>493</v>
      </c>
      <c r="H415" s="192" t="s">
        <v>409</v>
      </c>
      <c r="I415" s="193">
        <v>1073</v>
      </c>
      <c r="J415" s="193">
        <v>1073</v>
      </c>
      <c r="K415" s="193">
        <v>1073</v>
      </c>
      <c r="L415" s="193">
        <v>1269</v>
      </c>
      <c r="M415" s="194">
        <v>1269</v>
      </c>
      <c r="N415" s="284">
        <v>507.6</v>
      </c>
      <c r="O415" s="285">
        <v>38.71</v>
      </c>
      <c r="P415" s="285">
        <v>24</v>
      </c>
      <c r="Q415" s="285" t="s">
        <v>1</v>
      </c>
      <c r="R415" s="285" t="s">
        <v>1</v>
      </c>
      <c r="S415" s="286">
        <v>507.6</v>
      </c>
      <c r="T415" s="285">
        <v>38.71</v>
      </c>
      <c r="U415" s="285">
        <v>24</v>
      </c>
      <c r="V415" s="285" t="s">
        <v>1</v>
      </c>
      <c r="W415" s="285" t="s">
        <v>1</v>
      </c>
      <c r="X415" s="286">
        <v>507.6</v>
      </c>
      <c r="Y415" s="285">
        <v>38.71</v>
      </c>
      <c r="Z415" s="285">
        <v>24</v>
      </c>
      <c r="AA415" s="285" t="s">
        <v>1</v>
      </c>
      <c r="AB415" s="285" t="s">
        <v>1</v>
      </c>
      <c r="AC415" s="286">
        <v>507.6</v>
      </c>
      <c r="AD415" s="285">
        <v>38.71</v>
      </c>
      <c r="AE415" s="285">
        <v>24</v>
      </c>
      <c r="AF415" s="285" t="s">
        <v>1</v>
      </c>
      <c r="AG415" s="285" t="s">
        <v>1</v>
      </c>
      <c r="AH415" s="286" t="s">
        <v>1</v>
      </c>
      <c r="AI415" s="295" t="s">
        <v>1</v>
      </c>
      <c r="AJ415" s="295" t="s">
        <v>1</v>
      </c>
      <c r="AK415" s="295" t="s">
        <v>1</v>
      </c>
      <c r="AL415" s="302" t="s">
        <v>1</v>
      </c>
      <c r="AM415" s="288" t="s">
        <v>1</v>
      </c>
      <c r="AN415" s="287" t="s">
        <v>1</v>
      </c>
      <c r="AO415" s="287" t="s">
        <v>1</v>
      </c>
      <c r="AP415" s="286" t="s">
        <v>1</v>
      </c>
      <c r="AQ415" s="285" t="s">
        <v>1</v>
      </c>
      <c r="AR415" s="289" t="s">
        <v>1</v>
      </c>
      <c r="AS415" s="289" t="s">
        <v>1</v>
      </c>
      <c r="AT415" s="290" t="s">
        <v>1</v>
      </c>
      <c r="AU415" s="287" t="s">
        <v>1</v>
      </c>
      <c r="AV415" s="287" t="s">
        <v>1</v>
      </c>
      <c r="AW415" s="291" t="s">
        <v>1</v>
      </c>
    </row>
    <row r="416" spans="1:49" ht="30.15" customHeight="1" x14ac:dyDescent="0.25">
      <c r="A416" s="213" t="s">
        <v>18</v>
      </c>
      <c r="B416" s="189" t="s">
        <v>1</v>
      </c>
      <c r="C416" s="212" t="s">
        <v>34</v>
      </c>
      <c r="D416" s="190" t="s">
        <v>209</v>
      </c>
      <c r="E416" s="190" t="s">
        <v>500</v>
      </c>
      <c r="F416" s="203"/>
      <c r="G416" s="190" t="s">
        <v>494</v>
      </c>
      <c r="H416" s="192" t="s">
        <v>409</v>
      </c>
      <c r="I416" s="193">
        <v>1073</v>
      </c>
      <c r="J416" s="193">
        <v>1073</v>
      </c>
      <c r="K416" s="193">
        <v>1073</v>
      </c>
      <c r="L416" s="193">
        <v>1270</v>
      </c>
      <c r="M416" s="194">
        <v>1270</v>
      </c>
      <c r="N416" s="284">
        <v>508</v>
      </c>
      <c r="O416" s="285">
        <v>38.75</v>
      </c>
      <c r="P416" s="285">
        <v>24</v>
      </c>
      <c r="Q416" s="285" t="s">
        <v>1</v>
      </c>
      <c r="R416" s="285" t="s">
        <v>1</v>
      </c>
      <c r="S416" s="286">
        <v>508</v>
      </c>
      <c r="T416" s="285">
        <v>38.75</v>
      </c>
      <c r="U416" s="285">
        <v>24</v>
      </c>
      <c r="V416" s="285" t="s">
        <v>1</v>
      </c>
      <c r="W416" s="285" t="s">
        <v>1</v>
      </c>
      <c r="X416" s="286">
        <v>508</v>
      </c>
      <c r="Y416" s="285">
        <v>38.75</v>
      </c>
      <c r="Z416" s="285">
        <v>24</v>
      </c>
      <c r="AA416" s="285" t="s">
        <v>1</v>
      </c>
      <c r="AB416" s="285" t="s">
        <v>1</v>
      </c>
      <c r="AC416" s="286">
        <v>508</v>
      </c>
      <c r="AD416" s="285">
        <v>38.75</v>
      </c>
      <c r="AE416" s="285">
        <v>24</v>
      </c>
      <c r="AF416" s="285" t="s">
        <v>1</v>
      </c>
      <c r="AG416" s="285" t="s">
        <v>1</v>
      </c>
      <c r="AH416" s="286" t="s">
        <v>1</v>
      </c>
      <c r="AI416" s="295" t="s">
        <v>1</v>
      </c>
      <c r="AJ416" s="295" t="s">
        <v>1</v>
      </c>
      <c r="AK416" s="295" t="s">
        <v>1</v>
      </c>
      <c r="AL416" s="302" t="s">
        <v>1</v>
      </c>
      <c r="AM416" s="288" t="s">
        <v>1</v>
      </c>
      <c r="AN416" s="287" t="s">
        <v>1</v>
      </c>
      <c r="AO416" s="287" t="s">
        <v>1</v>
      </c>
      <c r="AP416" s="286" t="s">
        <v>1</v>
      </c>
      <c r="AQ416" s="285" t="s">
        <v>1</v>
      </c>
      <c r="AR416" s="289" t="s">
        <v>1</v>
      </c>
      <c r="AS416" s="289" t="s">
        <v>1</v>
      </c>
      <c r="AT416" s="290" t="s">
        <v>1</v>
      </c>
      <c r="AU416" s="287" t="s">
        <v>1</v>
      </c>
      <c r="AV416" s="287" t="s">
        <v>1</v>
      </c>
      <c r="AW416" s="291" t="s">
        <v>1</v>
      </c>
    </row>
    <row r="417" spans="1:49" ht="30.15" customHeight="1" x14ac:dyDescent="0.25">
      <c r="A417" s="213" t="s">
        <v>18</v>
      </c>
      <c r="B417" s="189" t="s">
        <v>1</v>
      </c>
      <c r="C417" s="212" t="s">
        <v>34</v>
      </c>
      <c r="D417" s="190" t="s">
        <v>209</v>
      </c>
      <c r="E417" s="190" t="s">
        <v>501</v>
      </c>
      <c r="F417" s="203"/>
      <c r="G417" s="190" t="s">
        <v>494</v>
      </c>
      <c r="H417" s="192" t="s">
        <v>409</v>
      </c>
      <c r="I417" s="193">
        <v>1073</v>
      </c>
      <c r="J417" s="193">
        <v>1073</v>
      </c>
      <c r="K417" s="193">
        <v>1073</v>
      </c>
      <c r="L417" s="193">
        <v>1270</v>
      </c>
      <c r="M417" s="194">
        <v>1270</v>
      </c>
      <c r="N417" s="284">
        <v>508</v>
      </c>
      <c r="O417" s="285">
        <v>38.75</v>
      </c>
      <c r="P417" s="285">
        <v>24</v>
      </c>
      <c r="Q417" s="285" t="s">
        <v>1</v>
      </c>
      <c r="R417" s="285" t="s">
        <v>1</v>
      </c>
      <c r="S417" s="286">
        <v>508</v>
      </c>
      <c r="T417" s="285">
        <v>38.75</v>
      </c>
      <c r="U417" s="285">
        <v>24</v>
      </c>
      <c r="V417" s="285" t="s">
        <v>1</v>
      </c>
      <c r="W417" s="285" t="s">
        <v>1</v>
      </c>
      <c r="X417" s="286">
        <v>508</v>
      </c>
      <c r="Y417" s="285">
        <v>38.75</v>
      </c>
      <c r="Z417" s="285">
        <v>24</v>
      </c>
      <c r="AA417" s="285" t="s">
        <v>1</v>
      </c>
      <c r="AB417" s="285" t="s">
        <v>1</v>
      </c>
      <c r="AC417" s="286">
        <v>508</v>
      </c>
      <c r="AD417" s="285">
        <v>38.75</v>
      </c>
      <c r="AE417" s="285">
        <v>24</v>
      </c>
      <c r="AF417" s="285" t="s">
        <v>1</v>
      </c>
      <c r="AG417" s="285" t="s">
        <v>1</v>
      </c>
      <c r="AH417" s="286" t="s">
        <v>1</v>
      </c>
      <c r="AI417" s="295" t="s">
        <v>1</v>
      </c>
      <c r="AJ417" s="295" t="s">
        <v>1</v>
      </c>
      <c r="AK417" s="295" t="s">
        <v>1</v>
      </c>
      <c r="AL417" s="302" t="s">
        <v>1</v>
      </c>
      <c r="AM417" s="288" t="s">
        <v>1</v>
      </c>
      <c r="AN417" s="287" t="s">
        <v>1</v>
      </c>
      <c r="AO417" s="287" t="s">
        <v>1</v>
      </c>
      <c r="AP417" s="286" t="s">
        <v>1</v>
      </c>
      <c r="AQ417" s="285" t="s">
        <v>1</v>
      </c>
      <c r="AR417" s="289" t="s">
        <v>1</v>
      </c>
      <c r="AS417" s="289" t="s">
        <v>1</v>
      </c>
      <c r="AT417" s="290" t="s">
        <v>1</v>
      </c>
      <c r="AU417" s="287" t="s">
        <v>1</v>
      </c>
      <c r="AV417" s="287" t="s">
        <v>1</v>
      </c>
      <c r="AW417" s="291" t="s">
        <v>1</v>
      </c>
    </row>
    <row r="418" spans="1:49" ht="30.15" customHeight="1" x14ac:dyDescent="0.25">
      <c r="A418" s="213" t="s">
        <v>18</v>
      </c>
      <c r="B418" s="189" t="s">
        <v>1</v>
      </c>
      <c r="C418" s="212" t="s">
        <v>34</v>
      </c>
      <c r="D418" s="190" t="s">
        <v>209</v>
      </c>
      <c r="E418" s="190" t="s">
        <v>502</v>
      </c>
      <c r="F418" s="203"/>
      <c r="G418" s="190" t="s">
        <v>495</v>
      </c>
      <c r="H418" s="192" t="s">
        <v>409</v>
      </c>
      <c r="I418" s="193">
        <v>1197</v>
      </c>
      <c r="J418" s="193">
        <v>1197</v>
      </c>
      <c r="K418" s="193">
        <v>1197</v>
      </c>
      <c r="L418" s="193">
        <v>1399</v>
      </c>
      <c r="M418" s="194">
        <v>1399</v>
      </c>
      <c r="N418" s="284">
        <v>559.6</v>
      </c>
      <c r="O418" s="285">
        <v>39.130000000000003</v>
      </c>
      <c r="P418" s="285">
        <v>24</v>
      </c>
      <c r="Q418" s="285" t="s">
        <v>1</v>
      </c>
      <c r="R418" s="285" t="s">
        <v>1</v>
      </c>
      <c r="S418" s="286">
        <v>559.6</v>
      </c>
      <c r="T418" s="285">
        <v>39.130000000000003</v>
      </c>
      <c r="U418" s="285">
        <v>24</v>
      </c>
      <c r="V418" s="285" t="s">
        <v>1</v>
      </c>
      <c r="W418" s="285" t="s">
        <v>1</v>
      </c>
      <c r="X418" s="286">
        <v>559.6</v>
      </c>
      <c r="Y418" s="285">
        <v>39.130000000000003</v>
      </c>
      <c r="Z418" s="285">
        <v>24</v>
      </c>
      <c r="AA418" s="285" t="s">
        <v>1</v>
      </c>
      <c r="AB418" s="285" t="s">
        <v>1</v>
      </c>
      <c r="AC418" s="286">
        <v>559.6</v>
      </c>
      <c r="AD418" s="285">
        <v>39.130000000000003</v>
      </c>
      <c r="AE418" s="285">
        <v>24</v>
      </c>
      <c r="AF418" s="285" t="s">
        <v>1</v>
      </c>
      <c r="AG418" s="285" t="s">
        <v>1</v>
      </c>
      <c r="AH418" s="286" t="s">
        <v>1</v>
      </c>
      <c r="AI418" s="295" t="s">
        <v>1</v>
      </c>
      <c r="AJ418" s="295" t="s">
        <v>1</v>
      </c>
      <c r="AK418" s="295" t="s">
        <v>1</v>
      </c>
      <c r="AL418" s="302" t="s">
        <v>1</v>
      </c>
      <c r="AM418" s="288" t="s">
        <v>1</v>
      </c>
      <c r="AN418" s="287" t="s">
        <v>1</v>
      </c>
      <c r="AO418" s="287" t="s">
        <v>1</v>
      </c>
      <c r="AP418" s="286" t="s">
        <v>1</v>
      </c>
      <c r="AQ418" s="285" t="s">
        <v>1</v>
      </c>
      <c r="AR418" s="289" t="s">
        <v>1</v>
      </c>
      <c r="AS418" s="289" t="s">
        <v>1</v>
      </c>
      <c r="AT418" s="290" t="s">
        <v>1</v>
      </c>
      <c r="AU418" s="287" t="s">
        <v>1</v>
      </c>
      <c r="AV418" s="287" t="s">
        <v>1</v>
      </c>
      <c r="AW418" s="291" t="s">
        <v>1</v>
      </c>
    </row>
    <row r="419" spans="1:49" ht="30.15" customHeight="1" x14ac:dyDescent="0.25">
      <c r="A419" s="213" t="s">
        <v>18</v>
      </c>
      <c r="B419" s="189" t="s">
        <v>1</v>
      </c>
      <c r="C419" s="212" t="s">
        <v>34</v>
      </c>
      <c r="D419" s="190" t="s">
        <v>209</v>
      </c>
      <c r="E419" s="190" t="s">
        <v>503</v>
      </c>
      <c r="F419" s="203"/>
      <c r="G419" s="190" t="s">
        <v>495</v>
      </c>
      <c r="H419" s="192" t="s">
        <v>409</v>
      </c>
      <c r="I419" s="193">
        <v>1197</v>
      </c>
      <c r="J419" s="193">
        <v>1197</v>
      </c>
      <c r="K419" s="193">
        <v>1197</v>
      </c>
      <c r="L419" s="193">
        <v>1399</v>
      </c>
      <c r="M419" s="194">
        <v>1399</v>
      </c>
      <c r="N419" s="284">
        <v>559.6</v>
      </c>
      <c r="O419" s="285">
        <v>39.130000000000003</v>
      </c>
      <c r="P419" s="285">
        <v>24</v>
      </c>
      <c r="Q419" s="285" t="s">
        <v>1</v>
      </c>
      <c r="R419" s="285" t="s">
        <v>1</v>
      </c>
      <c r="S419" s="286">
        <v>559.6</v>
      </c>
      <c r="T419" s="285">
        <v>39.130000000000003</v>
      </c>
      <c r="U419" s="285">
        <v>24</v>
      </c>
      <c r="V419" s="285" t="s">
        <v>1</v>
      </c>
      <c r="W419" s="285" t="s">
        <v>1</v>
      </c>
      <c r="X419" s="286">
        <v>559.6</v>
      </c>
      <c r="Y419" s="285">
        <v>39.130000000000003</v>
      </c>
      <c r="Z419" s="285">
        <v>24</v>
      </c>
      <c r="AA419" s="285" t="s">
        <v>1</v>
      </c>
      <c r="AB419" s="285" t="s">
        <v>1</v>
      </c>
      <c r="AC419" s="286">
        <v>559.6</v>
      </c>
      <c r="AD419" s="285">
        <v>39.130000000000003</v>
      </c>
      <c r="AE419" s="285">
        <v>24</v>
      </c>
      <c r="AF419" s="285" t="s">
        <v>1</v>
      </c>
      <c r="AG419" s="285" t="s">
        <v>1</v>
      </c>
      <c r="AH419" s="286" t="s">
        <v>1</v>
      </c>
      <c r="AI419" s="295" t="s">
        <v>1</v>
      </c>
      <c r="AJ419" s="295" t="s">
        <v>1</v>
      </c>
      <c r="AK419" s="295" t="s">
        <v>1</v>
      </c>
      <c r="AL419" s="302" t="s">
        <v>1</v>
      </c>
      <c r="AM419" s="288" t="s">
        <v>1</v>
      </c>
      <c r="AN419" s="287" t="s">
        <v>1</v>
      </c>
      <c r="AO419" s="287" t="s">
        <v>1</v>
      </c>
      <c r="AP419" s="286" t="s">
        <v>1</v>
      </c>
      <c r="AQ419" s="285" t="s">
        <v>1</v>
      </c>
      <c r="AR419" s="289" t="s">
        <v>1</v>
      </c>
      <c r="AS419" s="289" t="s">
        <v>1</v>
      </c>
      <c r="AT419" s="290" t="s">
        <v>1</v>
      </c>
      <c r="AU419" s="287" t="s">
        <v>1</v>
      </c>
      <c r="AV419" s="287" t="s">
        <v>1</v>
      </c>
      <c r="AW419" s="291" t="s">
        <v>1</v>
      </c>
    </row>
    <row r="420" spans="1:49" ht="30.15" customHeight="1" x14ac:dyDescent="0.25">
      <c r="A420" s="213" t="s">
        <v>18</v>
      </c>
      <c r="B420" s="189" t="s">
        <v>1</v>
      </c>
      <c r="C420" s="212" t="s">
        <v>34</v>
      </c>
      <c r="D420" s="190" t="s">
        <v>209</v>
      </c>
      <c r="E420" s="190" t="s">
        <v>590</v>
      </c>
      <c r="F420" s="203"/>
      <c r="G420" s="190" t="s">
        <v>594</v>
      </c>
      <c r="H420" s="192" t="s">
        <v>409</v>
      </c>
      <c r="I420" s="193">
        <v>600</v>
      </c>
      <c r="J420" s="193">
        <v>600</v>
      </c>
      <c r="K420" s="193">
        <v>600</v>
      </c>
      <c r="L420" s="193">
        <v>650</v>
      </c>
      <c r="M420" s="194">
        <v>650</v>
      </c>
      <c r="N420" s="284">
        <v>260</v>
      </c>
      <c r="O420" s="285">
        <v>22.09</v>
      </c>
      <c r="P420" s="285">
        <v>24</v>
      </c>
      <c r="Q420" s="285" t="s">
        <v>1</v>
      </c>
      <c r="R420" s="285" t="s">
        <v>1</v>
      </c>
      <c r="S420" s="286">
        <v>260</v>
      </c>
      <c r="T420" s="285">
        <v>22.09</v>
      </c>
      <c r="U420" s="285">
        <v>24</v>
      </c>
      <c r="V420" s="285" t="s">
        <v>1</v>
      </c>
      <c r="W420" s="285" t="s">
        <v>1</v>
      </c>
      <c r="X420" s="286">
        <v>260</v>
      </c>
      <c r="Y420" s="285">
        <v>17.09</v>
      </c>
      <c r="Z420" s="285">
        <v>24</v>
      </c>
      <c r="AA420" s="285" t="s">
        <v>1</v>
      </c>
      <c r="AB420" s="285" t="s">
        <v>1</v>
      </c>
      <c r="AC420" s="286">
        <v>260</v>
      </c>
      <c r="AD420" s="285">
        <v>17.09</v>
      </c>
      <c r="AE420" s="285">
        <v>24</v>
      </c>
      <c r="AF420" s="285" t="s">
        <v>1</v>
      </c>
      <c r="AG420" s="285" t="s">
        <v>1</v>
      </c>
      <c r="AH420" s="286" t="s">
        <v>1</v>
      </c>
      <c r="AI420" s="295" t="s">
        <v>1</v>
      </c>
      <c r="AJ420" s="295" t="s">
        <v>1</v>
      </c>
      <c r="AK420" s="295" t="s">
        <v>1</v>
      </c>
      <c r="AL420" s="302" t="s">
        <v>1</v>
      </c>
      <c r="AM420" s="288" t="s">
        <v>1</v>
      </c>
      <c r="AN420" s="287" t="s">
        <v>1</v>
      </c>
      <c r="AO420" s="287" t="s">
        <v>1</v>
      </c>
      <c r="AP420" s="286" t="s">
        <v>1</v>
      </c>
      <c r="AQ420" s="285" t="s">
        <v>1</v>
      </c>
      <c r="AR420" s="289" t="s">
        <v>1</v>
      </c>
      <c r="AS420" s="289" t="s">
        <v>1</v>
      </c>
      <c r="AT420" s="290" t="s">
        <v>1</v>
      </c>
      <c r="AU420" s="287" t="s">
        <v>1</v>
      </c>
      <c r="AV420" s="287" t="s">
        <v>1</v>
      </c>
      <c r="AW420" s="291" t="s">
        <v>1</v>
      </c>
    </row>
    <row r="421" spans="1:49" ht="30.15" customHeight="1" x14ac:dyDescent="0.25">
      <c r="A421" s="213" t="s">
        <v>18</v>
      </c>
      <c r="B421" s="189" t="s">
        <v>1</v>
      </c>
      <c r="C421" s="212" t="s">
        <v>34</v>
      </c>
      <c r="D421" s="190" t="s">
        <v>209</v>
      </c>
      <c r="E421" s="190" t="s">
        <v>591</v>
      </c>
      <c r="F421" s="203"/>
      <c r="G421" s="190" t="s">
        <v>594</v>
      </c>
      <c r="H421" s="192" t="s">
        <v>409</v>
      </c>
      <c r="I421" s="193">
        <v>600</v>
      </c>
      <c r="J421" s="193">
        <v>600</v>
      </c>
      <c r="K421" s="193">
        <v>600</v>
      </c>
      <c r="L421" s="193">
        <v>650</v>
      </c>
      <c r="M421" s="194">
        <v>650</v>
      </c>
      <c r="N421" s="284">
        <v>260</v>
      </c>
      <c r="O421" s="285">
        <v>22.09</v>
      </c>
      <c r="P421" s="285">
        <v>24</v>
      </c>
      <c r="Q421" s="285" t="s">
        <v>1</v>
      </c>
      <c r="R421" s="285" t="s">
        <v>1</v>
      </c>
      <c r="S421" s="286">
        <v>260</v>
      </c>
      <c r="T421" s="285">
        <v>22.09</v>
      </c>
      <c r="U421" s="285">
        <v>24</v>
      </c>
      <c r="V421" s="285" t="s">
        <v>1</v>
      </c>
      <c r="W421" s="285" t="s">
        <v>1</v>
      </c>
      <c r="X421" s="286">
        <v>260</v>
      </c>
      <c r="Y421" s="285">
        <v>17.09</v>
      </c>
      <c r="Z421" s="285">
        <v>24</v>
      </c>
      <c r="AA421" s="285" t="s">
        <v>1</v>
      </c>
      <c r="AB421" s="285" t="s">
        <v>1</v>
      </c>
      <c r="AC421" s="286">
        <v>260</v>
      </c>
      <c r="AD421" s="285">
        <v>17.09</v>
      </c>
      <c r="AE421" s="285">
        <v>24</v>
      </c>
      <c r="AF421" s="285" t="s">
        <v>1</v>
      </c>
      <c r="AG421" s="285" t="s">
        <v>1</v>
      </c>
      <c r="AH421" s="286" t="s">
        <v>1</v>
      </c>
      <c r="AI421" s="295" t="s">
        <v>1</v>
      </c>
      <c r="AJ421" s="295" t="s">
        <v>1</v>
      </c>
      <c r="AK421" s="295" t="s">
        <v>1</v>
      </c>
      <c r="AL421" s="302" t="s">
        <v>1</v>
      </c>
      <c r="AM421" s="288" t="s">
        <v>1</v>
      </c>
      <c r="AN421" s="287" t="s">
        <v>1</v>
      </c>
      <c r="AO421" s="287" t="s">
        <v>1</v>
      </c>
      <c r="AP421" s="286" t="s">
        <v>1</v>
      </c>
      <c r="AQ421" s="285" t="s">
        <v>1</v>
      </c>
      <c r="AR421" s="289" t="s">
        <v>1</v>
      </c>
      <c r="AS421" s="289" t="s">
        <v>1</v>
      </c>
      <c r="AT421" s="290" t="s">
        <v>1</v>
      </c>
      <c r="AU421" s="287" t="s">
        <v>1</v>
      </c>
      <c r="AV421" s="287" t="s">
        <v>1</v>
      </c>
      <c r="AW421" s="291" t="s">
        <v>1</v>
      </c>
    </row>
    <row r="422" spans="1:49" ht="30.15" customHeight="1" x14ac:dyDescent="0.25">
      <c r="A422" s="213" t="s">
        <v>18</v>
      </c>
      <c r="B422" s="189" t="s">
        <v>1</v>
      </c>
      <c r="C422" s="212" t="s">
        <v>34</v>
      </c>
      <c r="D422" s="190" t="s">
        <v>209</v>
      </c>
      <c r="E422" s="190" t="s">
        <v>592</v>
      </c>
      <c r="F422" s="203"/>
      <c r="G422" s="190" t="s">
        <v>595</v>
      </c>
      <c r="H422" s="192" t="s">
        <v>409</v>
      </c>
      <c r="I422" s="193">
        <v>617</v>
      </c>
      <c r="J422" s="193">
        <v>617</v>
      </c>
      <c r="K422" s="193">
        <v>617</v>
      </c>
      <c r="L422" s="193">
        <v>800</v>
      </c>
      <c r="M422" s="194">
        <v>800</v>
      </c>
      <c r="N422" s="284">
        <v>320</v>
      </c>
      <c r="O422" s="285">
        <v>23.34</v>
      </c>
      <c r="P422" s="285">
        <v>24</v>
      </c>
      <c r="Q422" s="285" t="s">
        <v>1</v>
      </c>
      <c r="R422" s="285" t="s">
        <v>1</v>
      </c>
      <c r="S422" s="286">
        <v>320</v>
      </c>
      <c r="T422" s="285">
        <v>23.34</v>
      </c>
      <c r="U422" s="285">
        <v>24</v>
      </c>
      <c r="V422" s="285" t="s">
        <v>1</v>
      </c>
      <c r="W422" s="285" t="s">
        <v>1</v>
      </c>
      <c r="X422" s="286">
        <v>320</v>
      </c>
      <c r="Y422" s="285">
        <v>18.34</v>
      </c>
      <c r="Z422" s="285">
        <v>24</v>
      </c>
      <c r="AA422" s="285" t="s">
        <v>1</v>
      </c>
      <c r="AB422" s="285" t="s">
        <v>1</v>
      </c>
      <c r="AC422" s="286">
        <v>320</v>
      </c>
      <c r="AD422" s="285">
        <v>18.34</v>
      </c>
      <c r="AE422" s="285">
        <v>24</v>
      </c>
      <c r="AF422" s="285" t="s">
        <v>1</v>
      </c>
      <c r="AG422" s="285" t="s">
        <v>1</v>
      </c>
      <c r="AH422" s="286" t="s">
        <v>1</v>
      </c>
      <c r="AI422" s="295" t="s">
        <v>1</v>
      </c>
      <c r="AJ422" s="295" t="s">
        <v>1</v>
      </c>
      <c r="AK422" s="295" t="s">
        <v>1</v>
      </c>
      <c r="AL422" s="302" t="s">
        <v>1</v>
      </c>
      <c r="AM422" s="288" t="s">
        <v>1</v>
      </c>
      <c r="AN422" s="287" t="s">
        <v>1</v>
      </c>
      <c r="AO422" s="287" t="s">
        <v>1</v>
      </c>
      <c r="AP422" s="286" t="s">
        <v>1</v>
      </c>
      <c r="AQ422" s="285" t="s">
        <v>1</v>
      </c>
      <c r="AR422" s="289" t="s">
        <v>1</v>
      </c>
      <c r="AS422" s="289" t="s">
        <v>1</v>
      </c>
      <c r="AT422" s="290" t="s">
        <v>1</v>
      </c>
      <c r="AU422" s="287" t="s">
        <v>1</v>
      </c>
      <c r="AV422" s="287" t="s">
        <v>1</v>
      </c>
      <c r="AW422" s="291" t="s">
        <v>1</v>
      </c>
    </row>
    <row r="423" spans="1:49" ht="30.15" customHeight="1" x14ac:dyDescent="0.25">
      <c r="A423" s="213" t="s">
        <v>18</v>
      </c>
      <c r="B423" s="189" t="s">
        <v>1</v>
      </c>
      <c r="C423" s="212" t="s">
        <v>34</v>
      </c>
      <c r="D423" s="190" t="s">
        <v>209</v>
      </c>
      <c r="E423" s="190" t="s">
        <v>593</v>
      </c>
      <c r="F423" s="203"/>
      <c r="G423" s="190" t="s">
        <v>595</v>
      </c>
      <c r="H423" s="192" t="s">
        <v>409</v>
      </c>
      <c r="I423" s="193">
        <v>617</v>
      </c>
      <c r="J423" s="193">
        <v>617</v>
      </c>
      <c r="K423" s="193">
        <v>617</v>
      </c>
      <c r="L423" s="193">
        <v>800</v>
      </c>
      <c r="M423" s="194">
        <v>800</v>
      </c>
      <c r="N423" s="284">
        <v>320</v>
      </c>
      <c r="O423" s="285">
        <v>23.34</v>
      </c>
      <c r="P423" s="285">
        <v>24</v>
      </c>
      <c r="Q423" s="285" t="s">
        <v>1</v>
      </c>
      <c r="R423" s="285" t="s">
        <v>1</v>
      </c>
      <c r="S423" s="286">
        <v>320</v>
      </c>
      <c r="T423" s="285">
        <v>23.34</v>
      </c>
      <c r="U423" s="285">
        <v>24</v>
      </c>
      <c r="V423" s="285" t="s">
        <v>1</v>
      </c>
      <c r="W423" s="285" t="s">
        <v>1</v>
      </c>
      <c r="X423" s="286">
        <v>320</v>
      </c>
      <c r="Y423" s="285">
        <v>18.34</v>
      </c>
      <c r="Z423" s="285">
        <v>24</v>
      </c>
      <c r="AA423" s="285" t="s">
        <v>1</v>
      </c>
      <c r="AB423" s="285" t="s">
        <v>1</v>
      </c>
      <c r="AC423" s="286">
        <v>320</v>
      </c>
      <c r="AD423" s="285">
        <v>18.34</v>
      </c>
      <c r="AE423" s="285">
        <v>24</v>
      </c>
      <c r="AF423" s="285" t="s">
        <v>1</v>
      </c>
      <c r="AG423" s="285" t="s">
        <v>1</v>
      </c>
      <c r="AH423" s="286" t="s">
        <v>1</v>
      </c>
      <c r="AI423" s="295" t="s">
        <v>1</v>
      </c>
      <c r="AJ423" s="295" t="s">
        <v>1</v>
      </c>
      <c r="AK423" s="295" t="s">
        <v>1</v>
      </c>
      <c r="AL423" s="302" t="s">
        <v>1</v>
      </c>
      <c r="AM423" s="288" t="s">
        <v>1</v>
      </c>
      <c r="AN423" s="287" t="s">
        <v>1</v>
      </c>
      <c r="AO423" s="287" t="s">
        <v>1</v>
      </c>
      <c r="AP423" s="286" t="s">
        <v>1</v>
      </c>
      <c r="AQ423" s="285" t="s">
        <v>1</v>
      </c>
      <c r="AR423" s="289" t="s">
        <v>1</v>
      </c>
      <c r="AS423" s="289" t="s">
        <v>1</v>
      </c>
      <c r="AT423" s="290" t="s">
        <v>1</v>
      </c>
      <c r="AU423" s="287" t="s">
        <v>1</v>
      </c>
      <c r="AV423" s="287" t="s">
        <v>1</v>
      </c>
      <c r="AW423" s="291" t="s">
        <v>1</v>
      </c>
    </row>
    <row r="424" spans="1:49" ht="30.15" customHeight="1" x14ac:dyDescent="0.25">
      <c r="A424" s="213" t="s">
        <v>18</v>
      </c>
      <c r="B424" s="189" t="s">
        <v>1</v>
      </c>
      <c r="C424" s="212" t="s">
        <v>34</v>
      </c>
      <c r="D424" s="190" t="s">
        <v>209</v>
      </c>
      <c r="E424" s="204" t="s">
        <v>726</v>
      </c>
      <c r="F424" s="232"/>
      <c r="G424" s="204" t="s">
        <v>727</v>
      </c>
      <c r="H424" s="192" t="s">
        <v>409</v>
      </c>
      <c r="I424" s="205">
        <v>988</v>
      </c>
      <c r="J424" s="205">
        <v>988</v>
      </c>
      <c r="K424" s="205">
        <v>988</v>
      </c>
      <c r="L424" s="206">
        <v>1169</v>
      </c>
      <c r="M424" s="206">
        <v>1169</v>
      </c>
      <c r="N424" s="284">
        <v>467.6</v>
      </c>
      <c r="O424" s="285">
        <v>43.71</v>
      </c>
      <c r="P424" s="285">
        <v>24</v>
      </c>
      <c r="Q424" s="285" t="s">
        <v>1</v>
      </c>
      <c r="R424" s="285" t="s">
        <v>1</v>
      </c>
      <c r="S424" s="286">
        <v>467.6</v>
      </c>
      <c r="T424" s="285">
        <v>43.71</v>
      </c>
      <c r="U424" s="285">
        <v>24</v>
      </c>
      <c r="V424" s="285" t="s">
        <v>1</v>
      </c>
      <c r="W424" s="285" t="s">
        <v>1</v>
      </c>
      <c r="X424" s="286">
        <v>467.6</v>
      </c>
      <c r="Y424" s="285">
        <v>43.71</v>
      </c>
      <c r="Z424" s="285">
        <v>24</v>
      </c>
      <c r="AA424" s="285" t="s">
        <v>1</v>
      </c>
      <c r="AB424" s="285" t="s">
        <v>1</v>
      </c>
      <c r="AC424" s="286">
        <v>467.6</v>
      </c>
      <c r="AD424" s="285">
        <v>43.71</v>
      </c>
      <c r="AE424" s="285">
        <v>24</v>
      </c>
      <c r="AF424" s="285" t="s">
        <v>1</v>
      </c>
      <c r="AG424" s="285" t="s">
        <v>1</v>
      </c>
      <c r="AH424" s="307" t="s">
        <v>1</v>
      </c>
      <c r="AI424" s="295" t="s">
        <v>1</v>
      </c>
      <c r="AJ424" s="295" t="s">
        <v>1</v>
      </c>
      <c r="AK424" s="295" t="s">
        <v>1</v>
      </c>
      <c r="AL424" s="302" t="s">
        <v>1</v>
      </c>
      <c r="AM424" s="288" t="s">
        <v>1</v>
      </c>
      <c r="AN424" s="287" t="s">
        <v>1</v>
      </c>
      <c r="AO424" s="287" t="s">
        <v>1</v>
      </c>
      <c r="AP424" s="307" t="s">
        <v>1</v>
      </c>
      <c r="AQ424" s="292" t="s">
        <v>1</v>
      </c>
      <c r="AR424" s="289" t="s">
        <v>1</v>
      </c>
      <c r="AS424" s="289" t="s">
        <v>1</v>
      </c>
      <c r="AT424" s="290" t="s">
        <v>1</v>
      </c>
      <c r="AU424" s="287" t="s">
        <v>1</v>
      </c>
      <c r="AV424" s="287" t="s">
        <v>1</v>
      </c>
      <c r="AW424" s="291" t="s">
        <v>1</v>
      </c>
    </row>
    <row r="425" spans="1:49" ht="30.15" customHeight="1" x14ac:dyDescent="0.25">
      <c r="A425" s="213" t="s">
        <v>18</v>
      </c>
      <c r="B425" s="189" t="s">
        <v>1</v>
      </c>
      <c r="C425" s="212" t="s">
        <v>34</v>
      </c>
      <c r="D425" s="190" t="s">
        <v>209</v>
      </c>
      <c r="E425" s="204" t="s">
        <v>728</v>
      </c>
      <c r="F425" s="232"/>
      <c r="G425" s="204" t="s">
        <v>727</v>
      </c>
      <c r="H425" s="192" t="s">
        <v>409</v>
      </c>
      <c r="I425" s="205">
        <v>988</v>
      </c>
      <c r="J425" s="205">
        <v>988</v>
      </c>
      <c r="K425" s="205">
        <v>988</v>
      </c>
      <c r="L425" s="206">
        <v>1169</v>
      </c>
      <c r="M425" s="206">
        <v>1169</v>
      </c>
      <c r="N425" s="284">
        <v>467.6</v>
      </c>
      <c r="O425" s="285">
        <v>43.71</v>
      </c>
      <c r="P425" s="285">
        <v>24</v>
      </c>
      <c r="Q425" s="285" t="s">
        <v>1</v>
      </c>
      <c r="R425" s="285" t="s">
        <v>1</v>
      </c>
      <c r="S425" s="286">
        <v>467.6</v>
      </c>
      <c r="T425" s="285">
        <v>43.71</v>
      </c>
      <c r="U425" s="285">
        <v>24</v>
      </c>
      <c r="V425" s="285" t="s">
        <v>1</v>
      </c>
      <c r="W425" s="285" t="s">
        <v>1</v>
      </c>
      <c r="X425" s="286">
        <v>467.6</v>
      </c>
      <c r="Y425" s="285">
        <v>43.71</v>
      </c>
      <c r="Z425" s="285">
        <v>24</v>
      </c>
      <c r="AA425" s="285" t="s">
        <v>1</v>
      </c>
      <c r="AB425" s="285" t="s">
        <v>1</v>
      </c>
      <c r="AC425" s="286">
        <v>467.6</v>
      </c>
      <c r="AD425" s="285">
        <v>43.71</v>
      </c>
      <c r="AE425" s="285">
        <v>24</v>
      </c>
      <c r="AF425" s="285" t="s">
        <v>1</v>
      </c>
      <c r="AG425" s="285" t="s">
        <v>1</v>
      </c>
      <c r="AH425" s="307" t="s">
        <v>1</v>
      </c>
      <c r="AI425" s="295" t="s">
        <v>1</v>
      </c>
      <c r="AJ425" s="295" t="s">
        <v>1</v>
      </c>
      <c r="AK425" s="295" t="s">
        <v>1</v>
      </c>
      <c r="AL425" s="302" t="s">
        <v>1</v>
      </c>
      <c r="AM425" s="288" t="s">
        <v>1</v>
      </c>
      <c r="AN425" s="287" t="s">
        <v>1</v>
      </c>
      <c r="AO425" s="287" t="s">
        <v>1</v>
      </c>
      <c r="AP425" s="307" t="s">
        <v>1</v>
      </c>
      <c r="AQ425" s="292" t="s">
        <v>1</v>
      </c>
      <c r="AR425" s="289" t="s">
        <v>1</v>
      </c>
      <c r="AS425" s="289" t="s">
        <v>1</v>
      </c>
      <c r="AT425" s="290" t="s">
        <v>1</v>
      </c>
      <c r="AU425" s="287" t="s">
        <v>1</v>
      </c>
      <c r="AV425" s="287" t="s">
        <v>1</v>
      </c>
      <c r="AW425" s="291" t="s">
        <v>1</v>
      </c>
    </row>
    <row r="426" spans="1:49" ht="30.15" customHeight="1" x14ac:dyDescent="0.25">
      <c r="A426" s="213" t="s">
        <v>18</v>
      </c>
      <c r="B426" s="189" t="s">
        <v>1</v>
      </c>
      <c r="C426" s="212" t="s">
        <v>34</v>
      </c>
      <c r="D426" s="190" t="s">
        <v>209</v>
      </c>
      <c r="E426" s="204" t="s">
        <v>729</v>
      </c>
      <c r="F426" s="232"/>
      <c r="G426" s="204" t="s">
        <v>730</v>
      </c>
      <c r="H426" s="192" t="s">
        <v>409</v>
      </c>
      <c r="I426" s="205">
        <v>1121</v>
      </c>
      <c r="J426" s="205">
        <v>1121</v>
      </c>
      <c r="K426" s="205">
        <v>1121</v>
      </c>
      <c r="L426" s="206">
        <v>1329</v>
      </c>
      <c r="M426" s="206">
        <v>1329</v>
      </c>
      <c r="N426" s="284">
        <v>531.6</v>
      </c>
      <c r="O426" s="285">
        <v>40.379999999999995</v>
      </c>
      <c r="P426" s="285">
        <v>24</v>
      </c>
      <c r="Q426" s="285" t="s">
        <v>1</v>
      </c>
      <c r="R426" s="285" t="s">
        <v>1</v>
      </c>
      <c r="S426" s="286">
        <v>531.6</v>
      </c>
      <c r="T426" s="285">
        <v>40.379999999999995</v>
      </c>
      <c r="U426" s="285">
        <v>24</v>
      </c>
      <c r="V426" s="285" t="s">
        <v>1</v>
      </c>
      <c r="W426" s="285" t="s">
        <v>1</v>
      </c>
      <c r="X426" s="286">
        <v>531.6</v>
      </c>
      <c r="Y426" s="285">
        <v>29.55</v>
      </c>
      <c r="Z426" s="285">
        <v>24</v>
      </c>
      <c r="AA426" s="285" t="s">
        <v>1</v>
      </c>
      <c r="AB426" s="285" t="s">
        <v>1</v>
      </c>
      <c r="AC426" s="286">
        <v>531.6</v>
      </c>
      <c r="AD426" s="285">
        <v>29.55</v>
      </c>
      <c r="AE426" s="285">
        <v>24</v>
      </c>
      <c r="AF426" s="285" t="s">
        <v>1</v>
      </c>
      <c r="AG426" s="285" t="s">
        <v>1</v>
      </c>
      <c r="AH426" s="307" t="s">
        <v>1</v>
      </c>
      <c r="AI426" s="295" t="s">
        <v>1</v>
      </c>
      <c r="AJ426" s="295" t="s">
        <v>1</v>
      </c>
      <c r="AK426" s="295" t="s">
        <v>1</v>
      </c>
      <c r="AL426" s="302" t="s">
        <v>1</v>
      </c>
      <c r="AM426" s="288" t="s">
        <v>1</v>
      </c>
      <c r="AN426" s="287" t="s">
        <v>1</v>
      </c>
      <c r="AO426" s="287" t="s">
        <v>1</v>
      </c>
      <c r="AP426" s="307" t="s">
        <v>1</v>
      </c>
      <c r="AQ426" s="292" t="s">
        <v>1</v>
      </c>
      <c r="AR426" s="289" t="s">
        <v>1</v>
      </c>
      <c r="AS426" s="289" t="s">
        <v>1</v>
      </c>
      <c r="AT426" s="290" t="s">
        <v>1</v>
      </c>
      <c r="AU426" s="287" t="s">
        <v>1</v>
      </c>
      <c r="AV426" s="287" t="s">
        <v>1</v>
      </c>
      <c r="AW426" s="291" t="s">
        <v>1</v>
      </c>
    </row>
    <row r="427" spans="1:49" ht="30.15" customHeight="1" x14ac:dyDescent="0.25">
      <c r="A427" s="213" t="s">
        <v>18</v>
      </c>
      <c r="B427" s="189" t="s">
        <v>1</v>
      </c>
      <c r="C427" s="212" t="s">
        <v>34</v>
      </c>
      <c r="D427" s="190" t="s">
        <v>209</v>
      </c>
      <c r="E427" s="204" t="s">
        <v>731</v>
      </c>
      <c r="F427" s="232"/>
      <c r="G427" s="204" t="s">
        <v>730</v>
      </c>
      <c r="H427" s="192" t="s">
        <v>409</v>
      </c>
      <c r="I427" s="205">
        <v>1121</v>
      </c>
      <c r="J427" s="205">
        <v>1121</v>
      </c>
      <c r="K427" s="205">
        <v>1121</v>
      </c>
      <c r="L427" s="206">
        <v>1329</v>
      </c>
      <c r="M427" s="206">
        <v>1329</v>
      </c>
      <c r="N427" s="284">
        <v>531.6</v>
      </c>
      <c r="O427" s="285">
        <v>40.379999999999995</v>
      </c>
      <c r="P427" s="285">
        <v>24</v>
      </c>
      <c r="Q427" s="285" t="s">
        <v>1</v>
      </c>
      <c r="R427" s="285" t="s">
        <v>1</v>
      </c>
      <c r="S427" s="286">
        <v>531.6</v>
      </c>
      <c r="T427" s="285">
        <v>40.379999999999995</v>
      </c>
      <c r="U427" s="285">
        <v>24</v>
      </c>
      <c r="V427" s="285" t="s">
        <v>1</v>
      </c>
      <c r="W427" s="285" t="s">
        <v>1</v>
      </c>
      <c r="X427" s="286">
        <v>531.6</v>
      </c>
      <c r="Y427" s="285">
        <v>29.55</v>
      </c>
      <c r="Z427" s="285">
        <v>24</v>
      </c>
      <c r="AA427" s="285" t="s">
        <v>1</v>
      </c>
      <c r="AB427" s="285" t="s">
        <v>1</v>
      </c>
      <c r="AC427" s="286">
        <v>531.6</v>
      </c>
      <c r="AD427" s="285">
        <v>29.55</v>
      </c>
      <c r="AE427" s="285">
        <v>24</v>
      </c>
      <c r="AF427" s="285" t="s">
        <v>1</v>
      </c>
      <c r="AG427" s="285" t="s">
        <v>1</v>
      </c>
      <c r="AH427" s="307" t="s">
        <v>1</v>
      </c>
      <c r="AI427" s="295" t="s">
        <v>1</v>
      </c>
      <c r="AJ427" s="295" t="s">
        <v>1</v>
      </c>
      <c r="AK427" s="295" t="s">
        <v>1</v>
      </c>
      <c r="AL427" s="302" t="s">
        <v>1</v>
      </c>
      <c r="AM427" s="288" t="s">
        <v>1</v>
      </c>
      <c r="AN427" s="287" t="s">
        <v>1</v>
      </c>
      <c r="AO427" s="287" t="s">
        <v>1</v>
      </c>
      <c r="AP427" s="307" t="s">
        <v>1</v>
      </c>
      <c r="AQ427" s="292" t="s">
        <v>1</v>
      </c>
      <c r="AR427" s="289" t="s">
        <v>1</v>
      </c>
      <c r="AS427" s="289" t="s">
        <v>1</v>
      </c>
      <c r="AT427" s="290" t="s">
        <v>1</v>
      </c>
      <c r="AU427" s="287" t="s">
        <v>1</v>
      </c>
      <c r="AV427" s="287" t="s">
        <v>1</v>
      </c>
      <c r="AW427" s="291" t="s">
        <v>1</v>
      </c>
    </row>
    <row r="428" spans="1:49" ht="30.15" customHeight="1" x14ac:dyDescent="0.25">
      <c r="A428" s="213" t="s">
        <v>18</v>
      </c>
      <c r="B428" s="189" t="s">
        <v>1</v>
      </c>
      <c r="C428" s="212" t="s">
        <v>34</v>
      </c>
      <c r="D428" s="190" t="s">
        <v>209</v>
      </c>
      <c r="E428" s="204" t="s">
        <v>732</v>
      </c>
      <c r="F428" s="232"/>
      <c r="G428" s="204" t="s">
        <v>733</v>
      </c>
      <c r="H428" s="192" t="s">
        <v>409</v>
      </c>
      <c r="I428" s="205">
        <v>1121</v>
      </c>
      <c r="J428" s="205">
        <v>1121</v>
      </c>
      <c r="K428" s="205">
        <v>1121</v>
      </c>
      <c r="L428" s="206">
        <v>1329</v>
      </c>
      <c r="M428" s="206">
        <v>1329</v>
      </c>
      <c r="N428" s="284">
        <v>531.6</v>
      </c>
      <c r="O428" s="285">
        <v>47.379999999999995</v>
      </c>
      <c r="P428" s="285">
        <v>24</v>
      </c>
      <c r="Q428" s="285" t="s">
        <v>1</v>
      </c>
      <c r="R428" s="285" t="s">
        <v>1</v>
      </c>
      <c r="S428" s="286">
        <v>531.6</v>
      </c>
      <c r="T428" s="285">
        <v>47.379999999999995</v>
      </c>
      <c r="U428" s="285">
        <v>24</v>
      </c>
      <c r="V428" s="285" t="s">
        <v>1</v>
      </c>
      <c r="W428" s="285" t="s">
        <v>1</v>
      </c>
      <c r="X428" s="286">
        <v>531.6</v>
      </c>
      <c r="Y428" s="285">
        <v>47.379999999999995</v>
      </c>
      <c r="Z428" s="285">
        <v>24</v>
      </c>
      <c r="AA428" s="285" t="s">
        <v>1</v>
      </c>
      <c r="AB428" s="285" t="s">
        <v>1</v>
      </c>
      <c r="AC428" s="286">
        <v>531.6</v>
      </c>
      <c r="AD428" s="285">
        <v>47.379999999999995</v>
      </c>
      <c r="AE428" s="285">
        <v>24</v>
      </c>
      <c r="AF428" s="285" t="s">
        <v>1</v>
      </c>
      <c r="AG428" s="285" t="s">
        <v>1</v>
      </c>
      <c r="AH428" s="307" t="s">
        <v>1</v>
      </c>
      <c r="AI428" s="295" t="s">
        <v>1</v>
      </c>
      <c r="AJ428" s="295" t="s">
        <v>1</v>
      </c>
      <c r="AK428" s="295" t="s">
        <v>1</v>
      </c>
      <c r="AL428" s="302" t="s">
        <v>1</v>
      </c>
      <c r="AM428" s="288" t="s">
        <v>1</v>
      </c>
      <c r="AN428" s="287" t="s">
        <v>1</v>
      </c>
      <c r="AO428" s="287" t="s">
        <v>1</v>
      </c>
      <c r="AP428" s="307" t="s">
        <v>1</v>
      </c>
      <c r="AQ428" s="292" t="s">
        <v>1</v>
      </c>
      <c r="AR428" s="289" t="s">
        <v>1</v>
      </c>
      <c r="AS428" s="289" t="s">
        <v>1</v>
      </c>
      <c r="AT428" s="290" t="s">
        <v>1</v>
      </c>
      <c r="AU428" s="287" t="s">
        <v>1</v>
      </c>
      <c r="AV428" s="287" t="s">
        <v>1</v>
      </c>
      <c r="AW428" s="291" t="s">
        <v>1</v>
      </c>
    </row>
    <row r="429" spans="1:49" ht="30.15" customHeight="1" x14ac:dyDescent="0.25">
      <c r="A429" s="213" t="s">
        <v>18</v>
      </c>
      <c r="B429" s="189" t="s">
        <v>1</v>
      </c>
      <c r="C429" s="212" t="s">
        <v>34</v>
      </c>
      <c r="D429" s="190" t="s">
        <v>209</v>
      </c>
      <c r="E429" s="204" t="s">
        <v>734</v>
      </c>
      <c r="F429" s="232"/>
      <c r="G429" s="204" t="s">
        <v>733</v>
      </c>
      <c r="H429" s="192" t="s">
        <v>409</v>
      </c>
      <c r="I429" s="205">
        <v>1121</v>
      </c>
      <c r="J429" s="205">
        <v>1121</v>
      </c>
      <c r="K429" s="205">
        <v>1121</v>
      </c>
      <c r="L429" s="206">
        <v>1329</v>
      </c>
      <c r="M429" s="206">
        <v>1329</v>
      </c>
      <c r="N429" s="284">
        <v>531.6</v>
      </c>
      <c r="O429" s="285">
        <v>47.379999999999995</v>
      </c>
      <c r="P429" s="285">
        <v>24</v>
      </c>
      <c r="Q429" s="285" t="s">
        <v>1</v>
      </c>
      <c r="R429" s="285" t="s">
        <v>1</v>
      </c>
      <c r="S429" s="286">
        <v>531.6</v>
      </c>
      <c r="T429" s="285">
        <v>47.379999999999995</v>
      </c>
      <c r="U429" s="285">
        <v>24</v>
      </c>
      <c r="V429" s="285" t="s">
        <v>1</v>
      </c>
      <c r="W429" s="285" t="s">
        <v>1</v>
      </c>
      <c r="X429" s="286">
        <v>531.6</v>
      </c>
      <c r="Y429" s="285">
        <v>47.379999999999995</v>
      </c>
      <c r="Z429" s="285">
        <v>24</v>
      </c>
      <c r="AA429" s="285" t="s">
        <v>1</v>
      </c>
      <c r="AB429" s="285" t="s">
        <v>1</v>
      </c>
      <c r="AC429" s="286">
        <v>531.6</v>
      </c>
      <c r="AD429" s="285">
        <v>47.379999999999995</v>
      </c>
      <c r="AE429" s="285">
        <v>24</v>
      </c>
      <c r="AF429" s="285" t="s">
        <v>1</v>
      </c>
      <c r="AG429" s="285" t="s">
        <v>1</v>
      </c>
      <c r="AH429" s="307" t="s">
        <v>1</v>
      </c>
      <c r="AI429" s="295" t="s">
        <v>1</v>
      </c>
      <c r="AJ429" s="295" t="s">
        <v>1</v>
      </c>
      <c r="AK429" s="295" t="s">
        <v>1</v>
      </c>
      <c r="AL429" s="302" t="s">
        <v>1</v>
      </c>
      <c r="AM429" s="288" t="s">
        <v>1</v>
      </c>
      <c r="AN429" s="287" t="s">
        <v>1</v>
      </c>
      <c r="AO429" s="287" t="s">
        <v>1</v>
      </c>
      <c r="AP429" s="307" t="s">
        <v>1</v>
      </c>
      <c r="AQ429" s="292" t="s">
        <v>1</v>
      </c>
      <c r="AR429" s="289" t="s">
        <v>1</v>
      </c>
      <c r="AS429" s="289" t="s">
        <v>1</v>
      </c>
      <c r="AT429" s="290" t="s">
        <v>1</v>
      </c>
      <c r="AU429" s="287" t="s">
        <v>1</v>
      </c>
      <c r="AV429" s="287" t="s">
        <v>1</v>
      </c>
      <c r="AW429" s="291" t="s">
        <v>1</v>
      </c>
    </row>
    <row r="430" spans="1:49" ht="30.15" customHeight="1" x14ac:dyDescent="0.25">
      <c r="A430" s="213" t="s">
        <v>18</v>
      </c>
      <c r="B430" s="189" t="s">
        <v>1</v>
      </c>
      <c r="C430" s="212" t="s">
        <v>34</v>
      </c>
      <c r="D430" s="190" t="s">
        <v>209</v>
      </c>
      <c r="E430" s="204" t="s">
        <v>735</v>
      </c>
      <c r="F430" s="232"/>
      <c r="G430" s="204" t="s">
        <v>736</v>
      </c>
      <c r="H430" s="192" t="s">
        <v>409</v>
      </c>
      <c r="I430" s="205">
        <v>1264</v>
      </c>
      <c r="J430" s="205">
        <v>1264</v>
      </c>
      <c r="K430" s="205">
        <v>1264</v>
      </c>
      <c r="L430" s="206">
        <v>1499</v>
      </c>
      <c r="M430" s="206">
        <v>1499</v>
      </c>
      <c r="N430" s="284">
        <v>599.6</v>
      </c>
      <c r="O430" s="285">
        <v>52.46</v>
      </c>
      <c r="P430" s="285">
        <v>24</v>
      </c>
      <c r="Q430" s="285" t="s">
        <v>1</v>
      </c>
      <c r="R430" s="285" t="s">
        <v>1</v>
      </c>
      <c r="S430" s="286">
        <v>599.6</v>
      </c>
      <c r="T430" s="285">
        <v>52.46</v>
      </c>
      <c r="U430" s="285">
        <v>24</v>
      </c>
      <c r="V430" s="285" t="s">
        <v>1</v>
      </c>
      <c r="W430" s="285" t="s">
        <v>1</v>
      </c>
      <c r="X430" s="286">
        <v>599.6</v>
      </c>
      <c r="Y430" s="285">
        <v>52.46</v>
      </c>
      <c r="Z430" s="285">
        <v>24</v>
      </c>
      <c r="AA430" s="285" t="s">
        <v>1</v>
      </c>
      <c r="AB430" s="285" t="s">
        <v>1</v>
      </c>
      <c r="AC430" s="286">
        <v>599.6</v>
      </c>
      <c r="AD430" s="285">
        <v>52.46</v>
      </c>
      <c r="AE430" s="285">
        <v>24</v>
      </c>
      <c r="AF430" s="285" t="s">
        <v>1</v>
      </c>
      <c r="AG430" s="285" t="s">
        <v>1</v>
      </c>
      <c r="AH430" s="307" t="s">
        <v>1</v>
      </c>
      <c r="AI430" s="295" t="s">
        <v>1</v>
      </c>
      <c r="AJ430" s="295" t="s">
        <v>1</v>
      </c>
      <c r="AK430" s="295" t="s">
        <v>1</v>
      </c>
      <c r="AL430" s="302" t="s">
        <v>1</v>
      </c>
      <c r="AM430" s="288" t="s">
        <v>1</v>
      </c>
      <c r="AN430" s="287" t="s">
        <v>1</v>
      </c>
      <c r="AO430" s="287" t="s">
        <v>1</v>
      </c>
      <c r="AP430" s="307" t="s">
        <v>1</v>
      </c>
      <c r="AQ430" s="292" t="s">
        <v>1</v>
      </c>
      <c r="AR430" s="289" t="s">
        <v>1</v>
      </c>
      <c r="AS430" s="289" t="s">
        <v>1</v>
      </c>
      <c r="AT430" s="290" t="s">
        <v>1</v>
      </c>
      <c r="AU430" s="287" t="s">
        <v>1</v>
      </c>
      <c r="AV430" s="287" t="s">
        <v>1</v>
      </c>
      <c r="AW430" s="291" t="s">
        <v>1</v>
      </c>
    </row>
    <row r="431" spans="1:49" ht="30.15" customHeight="1" x14ac:dyDescent="0.25">
      <c r="A431" s="213" t="s">
        <v>18</v>
      </c>
      <c r="B431" s="189" t="s">
        <v>1</v>
      </c>
      <c r="C431" s="212" t="s">
        <v>34</v>
      </c>
      <c r="D431" s="190" t="s">
        <v>209</v>
      </c>
      <c r="E431" s="204" t="s">
        <v>737</v>
      </c>
      <c r="F431" s="232"/>
      <c r="G431" s="204" t="s">
        <v>736</v>
      </c>
      <c r="H431" s="192" t="s">
        <v>409</v>
      </c>
      <c r="I431" s="205">
        <v>1264</v>
      </c>
      <c r="J431" s="205">
        <v>1264</v>
      </c>
      <c r="K431" s="205">
        <v>1264</v>
      </c>
      <c r="L431" s="206">
        <v>1499</v>
      </c>
      <c r="M431" s="206">
        <v>1499</v>
      </c>
      <c r="N431" s="284">
        <v>599.6</v>
      </c>
      <c r="O431" s="285">
        <v>52.46</v>
      </c>
      <c r="P431" s="285">
        <v>24</v>
      </c>
      <c r="Q431" s="285" t="s">
        <v>1</v>
      </c>
      <c r="R431" s="285" t="s">
        <v>1</v>
      </c>
      <c r="S431" s="286">
        <v>599.6</v>
      </c>
      <c r="T431" s="285">
        <v>52.46</v>
      </c>
      <c r="U431" s="285">
        <v>24</v>
      </c>
      <c r="V431" s="285" t="s">
        <v>1</v>
      </c>
      <c r="W431" s="285" t="s">
        <v>1</v>
      </c>
      <c r="X431" s="286">
        <v>599.6</v>
      </c>
      <c r="Y431" s="285">
        <v>52.46</v>
      </c>
      <c r="Z431" s="285">
        <v>24</v>
      </c>
      <c r="AA431" s="285" t="s">
        <v>1</v>
      </c>
      <c r="AB431" s="285" t="s">
        <v>1</v>
      </c>
      <c r="AC431" s="286">
        <v>599.6</v>
      </c>
      <c r="AD431" s="285">
        <v>52.46</v>
      </c>
      <c r="AE431" s="285">
        <v>24</v>
      </c>
      <c r="AF431" s="285" t="s">
        <v>1</v>
      </c>
      <c r="AG431" s="285" t="s">
        <v>1</v>
      </c>
      <c r="AH431" s="307" t="s">
        <v>1</v>
      </c>
      <c r="AI431" s="295" t="s">
        <v>1</v>
      </c>
      <c r="AJ431" s="295" t="s">
        <v>1</v>
      </c>
      <c r="AK431" s="295" t="s">
        <v>1</v>
      </c>
      <c r="AL431" s="302" t="s">
        <v>1</v>
      </c>
      <c r="AM431" s="288" t="s">
        <v>1</v>
      </c>
      <c r="AN431" s="287" t="s">
        <v>1</v>
      </c>
      <c r="AO431" s="287" t="s">
        <v>1</v>
      </c>
      <c r="AP431" s="307" t="s">
        <v>1</v>
      </c>
      <c r="AQ431" s="292" t="s">
        <v>1</v>
      </c>
      <c r="AR431" s="289" t="s">
        <v>1</v>
      </c>
      <c r="AS431" s="289" t="s">
        <v>1</v>
      </c>
      <c r="AT431" s="290" t="s">
        <v>1</v>
      </c>
      <c r="AU431" s="287" t="s">
        <v>1</v>
      </c>
      <c r="AV431" s="287" t="s">
        <v>1</v>
      </c>
      <c r="AW431" s="291" t="s">
        <v>1</v>
      </c>
    </row>
    <row r="432" spans="1:49" ht="30.15" customHeight="1" x14ac:dyDescent="0.25">
      <c r="A432" s="213" t="s">
        <v>18</v>
      </c>
      <c r="B432" s="189" t="s">
        <v>1</v>
      </c>
      <c r="C432" s="212" t="s">
        <v>34</v>
      </c>
      <c r="D432" s="217" t="s">
        <v>209</v>
      </c>
      <c r="E432" s="217" t="s">
        <v>932</v>
      </c>
      <c r="F432" s="218"/>
      <c r="G432" s="217" t="s">
        <v>933</v>
      </c>
      <c r="H432" s="192" t="s">
        <v>409</v>
      </c>
      <c r="I432" s="205">
        <v>432</v>
      </c>
      <c r="J432" s="205">
        <v>432</v>
      </c>
      <c r="K432" s="205">
        <v>432</v>
      </c>
      <c r="L432" s="206">
        <v>560</v>
      </c>
      <c r="M432" s="206">
        <v>560</v>
      </c>
      <c r="N432" s="284">
        <v>224</v>
      </c>
      <c r="O432" s="285">
        <v>3.38</v>
      </c>
      <c r="P432" s="285">
        <v>24</v>
      </c>
      <c r="Q432" s="285" t="s">
        <v>1</v>
      </c>
      <c r="R432" s="285" t="s">
        <v>1</v>
      </c>
      <c r="S432" s="286">
        <v>224</v>
      </c>
      <c r="T432" s="285">
        <v>3.38</v>
      </c>
      <c r="U432" s="285">
        <v>24</v>
      </c>
      <c r="V432" s="285" t="s">
        <v>1</v>
      </c>
      <c r="W432" s="285" t="s">
        <v>1</v>
      </c>
      <c r="X432" s="286">
        <v>224</v>
      </c>
      <c r="Y432" s="285">
        <v>3.38</v>
      </c>
      <c r="Z432" s="285">
        <v>24</v>
      </c>
      <c r="AA432" s="285" t="s">
        <v>1</v>
      </c>
      <c r="AB432" s="285" t="s">
        <v>1</v>
      </c>
      <c r="AC432" s="286">
        <v>224</v>
      </c>
      <c r="AD432" s="285">
        <v>3.38</v>
      </c>
      <c r="AE432" s="285">
        <v>24</v>
      </c>
      <c r="AF432" s="285" t="s">
        <v>1</v>
      </c>
      <c r="AG432" s="285" t="s">
        <v>1</v>
      </c>
      <c r="AH432" s="307" t="s">
        <v>1</v>
      </c>
      <c r="AI432" s="295" t="s">
        <v>1</v>
      </c>
      <c r="AJ432" s="295" t="s">
        <v>1</v>
      </c>
      <c r="AK432" s="295" t="s">
        <v>1</v>
      </c>
      <c r="AL432" s="302" t="s">
        <v>1</v>
      </c>
      <c r="AM432" s="288" t="s">
        <v>1</v>
      </c>
      <c r="AN432" s="287" t="s">
        <v>1</v>
      </c>
      <c r="AO432" s="287" t="s">
        <v>1</v>
      </c>
      <c r="AP432" s="307" t="s">
        <v>1</v>
      </c>
      <c r="AQ432" s="292" t="s">
        <v>1</v>
      </c>
      <c r="AR432" s="289" t="s">
        <v>1</v>
      </c>
      <c r="AS432" s="289" t="s">
        <v>1</v>
      </c>
      <c r="AT432" s="290" t="s">
        <v>1</v>
      </c>
      <c r="AU432" s="287" t="s">
        <v>1</v>
      </c>
      <c r="AV432" s="287" t="s">
        <v>1</v>
      </c>
      <c r="AW432" s="291" t="s">
        <v>1</v>
      </c>
    </row>
    <row r="433" spans="1:49" ht="30.15" customHeight="1" x14ac:dyDescent="0.25">
      <c r="A433" s="213" t="s">
        <v>18</v>
      </c>
      <c r="B433" s="189" t="s">
        <v>1</v>
      </c>
      <c r="C433" s="212" t="s">
        <v>34</v>
      </c>
      <c r="D433" s="217" t="s">
        <v>209</v>
      </c>
      <c r="E433" s="217" t="s">
        <v>1151</v>
      </c>
      <c r="F433" s="218"/>
      <c r="G433" s="217" t="s">
        <v>1152</v>
      </c>
      <c r="H433" s="192" t="s">
        <v>409</v>
      </c>
      <c r="I433" s="205">
        <v>612</v>
      </c>
      <c r="J433" s="205">
        <v>612</v>
      </c>
      <c r="K433" s="205">
        <v>612</v>
      </c>
      <c r="L433" s="206">
        <v>800</v>
      </c>
      <c r="M433" s="206">
        <v>800</v>
      </c>
      <c r="N433" s="284">
        <v>320</v>
      </c>
      <c r="O433" s="285">
        <v>5.05</v>
      </c>
      <c r="P433" s="285">
        <v>24</v>
      </c>
      <c r="Q433" s="285" t="s">
        <v>1</v>
      </c>
      <c r="R433" s="285" t="s">
        <v>1</v>
      </c>
      <c r="S433" s="286">
        <v>320</v>
      </c>
      <c r="T433" s="285">
        <v>5.05</v>
      </c>
      <c r="U433" s="285">
        <v>24</v>
      </c>
      <c r="V433" s="285" t="s">
        <v>1</v>
      </c>
      <c r="W433" s="285" t="s">
        <v>1</v>
      </c>
      <c r="X433" s="286">
        <v>320</v>
      </c>
      <c r="Y433" s="285">
        <v>5.05</v>
      </c>
      <c r="Z433" s="285">
        <v>24</v>
      </c>
      <c r="AA433" s="285" t="s">
        <v>1</v>
      </c>
      <c r="AB433" s="285" t="s">
        <v>1</v>
      </c>
      <c r="AC433" s="286">
        <v>320</v>
      </c>
      <c r="AD433" s="285">
        <v>5.05</v>
      </c>
      <c r="AE433" s="285">
        <v>24</v>
      </c>
      <c r="AF433" s="285" t="s">
        <v>1</v>
      </c>
      <c r="AG433" s="285" t="s">
        <v>1</v>
      </c>
      <c r="AH433" s="307" t="s">
        <v>1</v>
      </c>
      <c r="AI433" s="295" t="s">
        <v>1</v>
      </c>
      <c r="AJ433" s="295" t="s">
        <v>1</v>
      </c>
      <c r="AK433" s="295" t="s">
        <v>1</v>
      </c>
      <c r="AL433" s="302" t="s">
        <v>1</v>
      </c>
      <c r="AM433" s="288" t="s">
        <v>1</v>
      </c>
      <c r="AN433" s="287" t="s">
        <v>1</v>
      </c>
      <c r="AO433" s="287" t="s">
        <v>1</v>
      </c>
      <c r="AP433" s="307" t="s">
        <v>1</v>
      </c>
      <c r="AQ433" s="292" t="s">
        <v>1</v>
      </c>
      <c r="AR433" s="289" t="s">
        <v>1</v>
      </c>
      <c r="AS433" s="289" t="s">
        <v>1</v>
      </c>
      <c r="AT433" s="290" t="s">
        <v>1</v>
      </c>
      <c r="AU433" s="287" t="s">
        <v>1</v>
      </c>
      <c r="AV433" s="287" t="s">
        <v>1</v>
      </c>
      <c r="AW433" s="291" t="s">
        <v>1</v>
      </c>
    </row>
    <row r="434" spans="1:49" ht="30.15" customHeight="1" x14ac:dyDescent="0.25">
      <c r="A434" s="213" t="s">
        <v>18</v>
      </c>
      <c r="B434" s="189" t="s">
        <v>1</v>
      </c>
      <c r="C434" s="212" t="s">
        <v>34</v>
      </c>
      <c r="D434" s="217" t="s">
        <v>209</v>
      </c>
      <c r="E434" s="217" t="s">
        <v>1153</v>
      </c>
      <c r="F434" s="218"/>
      <c r="G434" s="217" t="s">
        <v>1154</v>
      </c>
      <c r="H434" s="192" t="s">
        <v>1024</v>
      </c>
      <c r="I434" s="205">
        <v>612</v>
      </c>
      <c r="J434" s="205">
        <v>612</v>
      </c>
      <c r="K434" s="205">
        <v>612</v>
      </c>
      <c r="L434" s="206">
        <v>800</v>
      </c>
      <c r="M434" s="206">
        <v>800</v>
      </c>
      <c r="N434" s="284">
        <v>320</v>
      </c>
      <c r="O434" s="285">
        <v>5.05</v>
      </c>
      <c r="P434" s="285">
        <v>24</v>
      </c>
      <c r="Q434" s="285" t="s">
        <v>1</v>
      </c>
      <c r="R434" s="285" t="s">
        <v>1</v>
      </c>
      <c r="S434" s="286">
        <v>320</v>
      </c>
      <c r="T434" s="285">
        <v>5.05</v>
      </c>
      <c r="U434" s="285">
        <v>24</v>
      </c>
      <c r="V434" s="285" t="s">
        <v>1</v>
      </c>
      <c r="W434" s="285" t="s">
        <v>1</v>
      </c>
      <c r="X434" s="286">
        <v>320</v>
      </c>
      <c r="Y434" s="285">
        <v>5.05</v>
      </c>
      <c r="Z434" s="285">
        <v>24</v>
      </c>
      <c r="AA434" s="285" t="s">
        <v>1</v>
      </c>
      <c r="AB434" s="285" t="s">
        <v>1</v>
      </c>
      <c r="AC434" s="286">
        <v>320</v>
      </c>
      <c r="AD434" s="285">
        <v>5.05</v>
      </c>
      <c r="AE434" s="285">
        <v>24</v>
      </c>
      <c r="AF434" s="285" t="s">
        <v>1</v>
      </c>
      <c r="AG434" s="285" t="s">
        <v>1</v>
      </c>
      <c r="AH434" s="307" t="s">
        <v>1</v>
      </c>
      <c r="AI434" s="295" t="s">
        <v>1</v>
      </c>
      <c r="AJ434" s="295" t="s">
        <v>1</v>
      </c>
      <c r="AK434" s="295" t="s">
        <v>1</v>
      </c>
      <c r="AL434" s="302" t="s">
        <v>1</v>
      </c>
      <c r="AM434" s="288" t="s">
        <v>1</v>
      </c>
      <c r="AN434" s="287" t="s">
        <v>1</v>
      </c>
      <c r="AO434" s="287" t="s">
        <v>1</v>
      </c>
      <c r="AP434" s="307" t="s">
        <v>1</v>
      </c>
      <c r="AQ434" s="292" t="s">
        <v>1</v>
      </c>
      <c r="AR434" s="289" t="s">
        <v>1</v>
      </c>
      <c r="AS434" s="289" t="s">
        <v>1</v>
      </c>
      <c r="AT434" s="290" t="s">
        <v>1</v>
      </c>
      <c r="AU434" s="287" t="s">
        <v>1</v>
      </c>
      <c r="AV434" s="287" t="s">
        <v>1</v>
      </c>
      <c r="AW434" s="291" t="s">
        <v>1</v>
      </c>
    </row>
    <row r="435" spans="1:49" ht="30.15" customHeight="1" x14ac:dyDescent="0.25">
      <c r="A435" s="213" t="s">
        <v>18</v>
      </c>
      <c r="B435" s="189" t="s">
        <v>1</v>
      </c>
      <c r="C435" s="212" t="s">
        <v>34</v>
      </c>
      <c r="D435" s="217" t="s">
        <v>209</v>
      </c>
      <c r="E435" s="217" t="s">
        <v>1022</v>
      </c>
      <c r="F435" s="218"/>
      <c r="G435" s="217" t="s">
        <v>1023</v>
      </c>
      <c r="H435" s="192" t="s">
        <v>1024</v>
      </c>
      <c r="I435" s="205">
        <v>432</v>
      </c>
      <c r="J435" s="205">
        <v>432</v>
      </c>
      <c r="K435" s="205">
        <v>432</v>
      </c>
      <c r="L435" s="206">
        <v>560</v>
      </c>
      <c r="M435" s="206">
        <v>560</v>
      </c>
      <c r="N435" s="284">
        <v>224</v>
      </c>
      <c r="O435" s="285">
        <v>3.38</v>
      </c>
      <c r="P435" s="285">
        <v>24</v>
      </c>
      <c r="Q435" s="285" t="s">
        <v>1</v>
      </c>
      <c r="R435" s="285" t="s">
        <v>1</v>
      </c>
      <c r="S435" s="286">
        <v>224</v>
      </c>
      <c r="T435" s="285">
        <v>3.38</v>
      </c>
      <c r="U435" s="285">
        <v>24</v>
      </c>
      <c r="V435" s="285" t="s">
        <v>1</v>
      </c>
      <c r="W435" s="285" t="s">
        <v>1</v>
      </c>
      <c r="X435" s="286">
        <v>224</v>
      </c>
      <c r="Y435" s="285">
        <v>3.38</v>
      </c>
      <c r="Z435" s="285">
        <v>24</v>
      </c>
      <c r="AA435" s="285" t="s">
        <v>1</v>
      </c>
      <c r="AB435" s="285" t="s">
        <v>1</v>
      </c>
      <c r="AC435" s="286">
        <v>224</v>
      </c>
      <c r="AD435" s="285">
        <v>3.38</v>
      </c>
      <c r="AE435" s="285">
        <v>24</v>
      </c>
      <c r="AF435" s="285" t="s">
        <v>1</v>
      </c>
      <c r="AG435" s="285" t="s">
        <v>1</v>
      </c>
      <c r="AH435" s="307" t="s">
        <v>1</v>
      </c>
      <c r="AI435" s="295" t="s">
        <v>1</v>
      </c>
      <c r="AJ435" s="295" t="s">
        <v>1</v>
      </c>
      <c r="AK435" s="295" t="s">
        <v>1</v>
      </c>
      <c r="AL435" s="302" t="s">
        <v>1</v>
      </c>
      <c r="AM435" s="288" t="s">
        <v>1</v>
      </c>
      <c r="AN435" s="287" t="s">
        <v>1</v>
      </c>
      <c r="AO435" s="287" t="s">
        <v>1</v>
      </c>
      <c r="AP435" s="307" t="s">
        <v>1</v>
      </c>
      <c r="AQ435" s="292" t="s">
        <v>1</v>
      </c>
      <c r="AR435" s="289" t="s">
        <v>1</v>
      </c>
      <c r="AS435" s="289" t="s">
        <v>1</v>
      </c>
      <c r="AT435" s="290" t="s">
        <v>1</v>
      </c>
      <c r="AU435" s="287" t="s">
        <v>1</v>
      </c>
      <c r="AV435" s="287" t="s">
        <v>1</v>
      </c>
      <c r="AW435" s="291" t="s">
        <v>1</v>
      </c>
    </row>
    <row r="436" spans="1:49" ht="30.15" customHeight="1" x14ac:dyDescent="0.25">
      <c r="A436" s="213" t="s">
        <v>18</v>
      </c>
      <c r="B436" s="189" t="s">
        <v>1</v>
      </c>
      <c r="C436" s="212" t="s">
        <v>34</v>
      </c>
      <c r="D436" s="118" t="s">
        <v>209</v>
      </c>
      <c r="E436" s="118" t="s">
        <v>1029</v>
      </c>
      <c r="F436" s="259"/>
      <c r="G436" s="118" t="s">
        <v>1030</v>
      </c>
      <c r="H436" s="192" t="s">
        <v>409</v>
      </c>
      <c r="I436" s="205">
        <v>720</v>
      </c>
      <c r="J436" s="205">
        <v>720</v>
      </c>
      <c r="K436" s="205">
        <v>720</v>
      </c>
      <c r="L436" s="206">
        <v>950</v>
      </c>
      <c r="M436" s="206">
        <v>950</v>
      </c>
      <c r="N436" s="284">
        <v>380</v>
      </c>
      <c r="O436" s="285">
        <v>6.3</v>
      </c>
      <c r="P436" s="285">
        <v>24</v>
      </c>
      <c r="Q436" s="285" t="s">
        <v>1</v>
      </c>
      <c r="R436" s="285" t="s">
        <v>1</v>
      </c>
      <c r="S436" s="286">
        <v>380</v>
      </c>
      <c r="T436" s="285">
        <v>6.3</v>
      </c>
      <c r="U436" s="285">
        <v>24</v>
      </c>
      <c r="V436" s="285" t="s">
        <v>1</v>
      </c>
      <c r="W436" s="285" t="s">
        <v>1</v>
      </c>
      <c r="X436" s="286">
        <v>380</v>
      </c>
      <c r="Y436" s="308">
        <v>14.59</v>
      </c>
      <c r="Z436" s="285">
        <v>24</v>
      </c>
      <c r="AA436" s="285" t="s">
        <v>1</v>
      </c>
      <c r="AB436" s="285" t="s">
        <v>1</v>
      </c>
      <c r="AC436" s="286">
        <v>380</v>
      </c>
      <c r="AD436" s="308">
        <v>14.59</v>
      </c>
      <c r="AE436" s="285">
        <v>24</v>
      </c>
      <c r="AF436" s="285" t="s">
        <v>1</v>
      </c>
      <c r="AG436" s="285" t="s">
        <v>1</v>
      </c>
      <c r="AH436" s="307" t="s">
        <v>1</v>
      </c>
      <c r="AI436" s="295" t="s">
        <v>1</v>
      </c>
      <c r="AJ436" s="295" t="s">
        <v>1</v>
      </c>
      <c r="AK436" s="295" t="s">
        <v>1</v>
      </c>
      <c r="AL436" s="302" t="s">
        <v>1</v>
      </c>
      <c r="AM436" s="288" t="s">
        <v>1</v>
      </c>
      <c r="AN436" s="287" t="s">
        <v>1</v>
      </c>
      <c r="AO436" s="287" t="s">
        <v>1</v>
      </c>
      <c r="AP436" s="307" t="s">
        <v>1</v>
      </c>
      <c r="AQ436" s="292" t="s">
        <v>1</v>
      </c>
      <c r="AR436" s="289" t="s">
        <v>1</v>
      </c>
      <c r="AS436" s="289" t="s">
        <v>1</v>
      </c>
      <c r="AT436" s="290" t="s">
        <v>1</v>
      </c>
      <c r="AU436" s="287" t="s">
        <v>1</v>
      </c>
      <c r="AV436" s="287" t="s">
        <v>1</v>
      </c>
      <c r="AW436" s="291" t="s">
        <v>1</v>
      </c>
    </row>
    <row r="437" spans="1:49" ht="30.15" customHeight="1" x14ac:dyDescent="0.25">
      <c r="A437" s="213" t="s">
        <v>18</v>
      </c>
      <c r="B437" s="189" t="s">
        <v>1</v>
      </c>
      <c r="C437" s="212" t="s">
        <v>34</v>
      </c>
      <c r="D437" s="118" t="s">
        <v>209</v>
      </c>
      <c r="E437" s="118" t="s">
        <v>1150</v>
      </c>
      <c r="F437" s="259"/>
      <c r="G437" s="118" t="s">
        <v>1030</v>
      </c>
      <c r="H437" s="192" t="s">
        <v>421</v>
      </c>
      <c r="I437" s="205">
        <v>720</v>
      </c>
      <c r="J437" s="205">
        <v>720</v>
      </c>
      <c r="K437" s="205">
        <v>720</v>
      </c>
      <c r="L437" s="206">
        <v>950</v>
      </c>
      <c r="M437" s="206">
        <v>950</v>
      </c>
      <c r="N437" s="284">
        <v>380</v>
      </c>
      <c r="O437" s="285">
        <v>6.3</v>
      </c>
      <c r="P437" s="285">
        <v>24</v>
      </c>
      <c r="Q437" s="285" t="s">
        <v>1</v>
      </c>
      <c r="R437" s="285" t="s">
        <v>1</v>
      </c>
      <c r="S437" s="286">
        <v>380</v>
      </c>
      <c r="T437" s="285">
        <v>6.3</v>
      </c>
      <c r="U437" s="285">
        <v>24</v>
      </c>
      <c r="V437" s="285" t="s">
        <v>1</v>
      </c>
      <c r="W437" s="285" t="s">
        <v>1</v>
      </c>
      <c r="X437" s="286">
        <v>380</v>
      </c>
      <c r="Y437" s="308">
        <v>14.59</v>
      </c>
      <c r="Z437" s="285">
        <v>24</v>
      </c>
      <c r="AA437" s="285" t="s">
        <v>1</v>
      </c>
      <c r="AB437" s="285" t="s">
        <v>1</v>
      </c>
      <c r="AC437" s="286">
        <v>380</v>
      </c>
      <c r="AD437" s="308">
        <v>14.59</v>
      </c>
      <c r="AE437" s="285">
        <v>24</v>
      </c>
      <c r="AF437" s="285" t="s">
        <v>1</v>
      </c>
      <c r="AG437" s="285" t="s">
        <v>1</v>
      </c>
      <c r="AH437" s="307" t="s">
        <v>1</v>
      </c>
      <c r="AI437" s="295" t="s">
        <v>1</v>
      </c>
      <c r="AJ437" s="295" t="s">
        <v>1</v>
      </c>
      <c r="AK437" s="295" t="s">
        <v>1</v>
      </c>
      <c r="AL437" s="302" t="s">
        <v>1</v>
      </c>
      <c r="AM437" s="288" t="s">
        <v>1</v>
      </c>
      <c r="AN437" s="287" t="s">
        <v>1</v>
      </c>
      <c r="AO437" s="287" t="s">
        <v>1</v>
      </c>
      <c r="AP437" s="307" t="s">
        <v>1</v>
      </c>
      <c r="AQ437" s="292" t="s">
        <v>1</v>
      </c>
      <c r="AR437" s="289" t="s">
        <v>1</v>
      </c>
      <c r="AS437" s="289" t="s">
        <v>1</v>
      </c>
      <c r="AT437" s="290" t="s">
        <v>1</v>
      </c>
      <c r="AU437" s="287" t="s">
        <v>1</v>
      </c>
      <c r="AV437" s="287" t="s">
        <v>1</v>
      </c>
      <c r="AW437" s="291" t="s">
        <v>1</v>
      </c>
    </row>
    <row r="438" spans="1:49" ht="30.15" customHeight="1" x14ac:dyDescent="0.25">
      <c r="A438" s="213" t="s">
        <v>18</v>
      </c>
      <c r="B438" s="189" t="s">
        <v>1</v>
      </c>
      <c r="C438" s="212" t="s">
        <v>34</v>
      </c>
      <c r="D438" s="118" t="s">
        <v>209</v>
      </c>
      <c r="E438" s="118" t="s">
        <v>1027</v>
      </c>
      <c r="F438" s="259"/>
      <c r="G438" s="118" t="s">
        <v>1028</v>
      </c>
      <c r="H438" s="192" t="s">
        <v>1024</v>
      </c>
      <c r="I438" s="205">
        <v>720</v>
      </c>
      <c r="J438" s="205">
        <v>720</v>
      </c>
      <c r="K438" s="205">
        <v>720</v>
      </c>
      <c r="L438" s="206">
        <v>950</v>
      </c>
      <c r="M438" s="206">
        <v>950</v>
      </c>
      <c r="N438" s="284">
        <v>380</v>
      </c>
      <c r="O438" s="285">
        <v>6.3</v>
      </c>
      <c r="P438" s="285">
        <v>24</v>
      </c>
      <c r="Q438" s="285" t="s">
        <v>1</v>
      </c>
      <c r="R438" s="285" t="s">
        <v>1</v>
      </c>
      <c r="S438" s="286">
        <v>380</v>
      </c>
      <c r="T438" s="285">
        <v>6.3</v>
      </c>
      <c r="U438" s="285">
        <v>24</v>
      </c>
      <c r="V438" s="285" t="s">
        <v>1</v>
      </c>
      <c r="W438" s="285" t="s">
        <v>1</v>
      </c>
      <c r="X438" s="286">
        <v>380</v>
      </c>
      <c r="Y438" s="308">
        <v>14.59</v>
      </c>
      <c r="Z438" s="285">
        <v>24</v>
      </c>
      <c r="AA438" s="285" t="s">
        <v>1</v>
      </c>
      <c r="AB438" s="285" t="s">
        <v>1</v>
      </c>
      <c r="AC438" s="286">
        <v>380</v>
      </c>
      <c r="AD438" s="308">
        <v>14.59</v>
      </c>
      <c r="AE438" s="285">
        <v>24</v>
      </c>
      <c r="AF438" s="285" t="s">
        <v>1</v>
      </c>
      <c r="AG438" s="285" t="s">
        <v>1</v>
      </c>
      <c r="AH438" s="307" t="s">
        <v>1</v>
      </c>
      <c r="AI438" s="295" t="s">
        <v>1</v>
      </c>
      <c r="AJ438" s="295" t="s">
        <v>1</v>
      </c>
      <c r="AK438" s="295" t="s">
        <v>1</v>
      </c>
      <c r="AL438" s="302" t="s">
        <v>1</v>
      </c>
      <c r="AM438" s="288" t="s">
        <v>1</v>
      </c>
      <c r="AN438" s="287" t="s">
        <v>1</v>
      </c>
      <c r="AO438" s="287" t="s">
        <v>1</v>
      </c>
      <c r="AP438" s="307" t="s">
        <v>1</v>
      </c>
      <c r="AQ438" s="292" t="s">
        <v>1</v>
      </c>
      <c r="AR438" s="289" t="s">
        <v>1</v>
      </c>
      <c r="AS438" s="289" t="s">
        <v>1</v>
      </c>
      <c r="AT438" s="290" t="s">
        <v>1</v>
      </c>
      <c r="AU438" s="287" t="s">
        <v>1</v>
      </c>
      <c r="AV438" s="287" t="s">
        <v>1</v>
      </c>
      <c r="AW438" s="291" t="s">
        <v>1</v>
      </c>
    </row>
    <row r="439" spans="1:49" ht="30.15" customHeight="1" x14ac:dyDescent="0.25">
      <c r="A439" s="188" t="s">
        <v>18</v>
      </c>
      <c r="B439" s="189" t="s">
        <v>1</v>
      </c>
      <c r="C439" s="188" t="s">
        <v>35</v>
      </c>
      <c r="D439" s="190" t="s">
        <v>90</v>
      </c>
      <c r="E439" s="190" t="s">
        <v>91</v>
      </c>
      <c r="F439" s="203"/>
      <c r="G439" s="190" t="s">
        <v>92</v>
      </c>
      <c r="H439" s="192" t="s">
        <v>409</v>
      </c>
      <c r="I439" s="193">
        <v>130</v>
      </c>
      <c r="J439" s="193">
        <v>130</v>
      </c>
      <c r="K439" s="193">
        <v>130</v>
      </c>
      <c r="L439" s="193">
        <v>179.99</v>
      </c>
      <c r="M439" s="194">
        <v>179.99</v>
      </c>
      <c r="N439" s="284" t="s">
        <v>1</v>
      </c>
      <c r="O439" s="285" t="s">
        <v>1</v>
      </c>
      <c r="P439" s="285" t="s">
        <v>1</v>
      </c>
      <c r="Q439" s="285" t="s">
        <v>1</v>
      </c>
      <c r="R439" s="285" t="s">
        <v>1</v>
      </c>
      <c r="S439" s="286" t="s">
        <v>1</v>
      </c>
      <c r="T439" s="285" t="s">
        <v>1</v>
      </c>
      <c r="U439" s="285" t="s">
        <v>1</v>
      </c>
      <c r="V439" s="285" t="s">
        <v>1</v>
      </c>
      <c r="W439" s="285" t="s">
        <v>1</v>
      </c>
      <c r="X439" s="286" t="s">
        <v>1</v>
      </c>
      <c r="Y439" s="285" t="s">
        <v>1</v>
      </c>
      <c r="Z439" s="285" t="s">
        <v>1</v>
      </c>
      <c r="AA439" s="285" t="s">
        <v>1</v>
      </c>
      <c r="AB439" s="285" t="s">
        <v>1</v>
      </c>
      <c r="AC439" s="286" t="s">
        <v>1</v>
      </c>
      <c r="AD439" s="285" t="s">
        <v>1</v>
      </c>
      <c r="AE439" s="285" t="s">
        <v>1</v>
      </c>
      <c r="AF439" s="285" t="s">
        <v>1</v>
      </c>
      <c r="AG439" s="285" t="s">
        <v>1</v>
      </c>
      <c r="AH439" s="286" t="s">
        <v>1</v>
      </c>
      <c r="AI439" s="295" t="s">
        <v>1</v>
      </c>
      <c r="AJ439" s="295" t="s">
        <v>1</v>
      </c>
      <c r="AK439" s="295" t="s">
        <v>1</v>
      </c>
      <c r="AL439" s="286">
        <v>72</v>
      </c>
      <c r="AM439" s="288" t="s">
        <v>1</v>
      </c>
      <c r="AN439" s="287" t="s">
        <v>1</v>
      </c>
      <c r="AO439" s="287" t="s">
        <v>1</v>
      </c>
      <c r="AP439" s="286" t="s">
        <v>1</v>
      </c>
      <c r="AQ439" s="285" t="s">
        <v>1</v>
      </c>
      <c r="AR439" s="289" t="s">
        <v>1</v>
      </c>
      <c r="AS439" s="289" t="s">
        <v>1</v>
      </c>
      <c r="AT439" s="290" t="s">
        <v>1</v>
      </c>
      <c r="AU439" s="287" t="s">
        <v>1</v>
      </c>
      <c r="AV439" s="287" t="s">
        <v>1</v>
      </c>
      <c r="AW439" s="291" t="s">
        <v>1</v>
      </c>
    </row>
    <row r="440" spans="1:49" ht="30.15" customHeight="1" x14ac:dyDescent="0.25">
      <c r="A440" s="213" t="s">
        <v>18</v>
      </c>
      <c r="B440" s="189" t="s">
        <v>1</v>
      </c>
      <c r="C440" s="212" t="s">
        <v>34</v>
      </c>
      <c r="D440" s="190" t="s">
        <v>90</v>
      </c>
      <c r="E440" s="190" t="s">
        <v>390</v>
      </c>
      <c r="F440" s="203"/>
      <c r="G440" s="190" t="s">
        <v>393</v>
      </c>
      <c r="H440" s="192" t="s">
        <v>409</v>
      </c>
      <c r="I440" s="193">
        <v>310</v>
      </c>
      <c r="J440" s="193">
        <v>310</v>
      </c>
      <c r="K440" s="193">
        <v>310</v>
      </c>
      <c r="L440" s="193">
        <v>260</v>
      </c>
      <c r="M440" s="194">
        <v>260</v>
      </c>
      <c r="N440" s="284">
        <v>104</v>
      </c>
      <c r="O440" s="285" t="s">
        <v>1</v>
      </c>
      <c r="P440" s="285" t="s">
        <v>1</v>
      </c>
      <c r="Q440" s="285" t="s">
        <v>1</v>
      </c>
      <c r="R440" s="285" t="s">
        <v>1</v>
      </c>
      <c r="S440" s="286">
        <v>104</v>
      </c>
      <c r="T440" s="285" t="s">
        <v>1</v>
      </c>
      <c r="U440" s="285" t="s">
        <v>1</v>
      </c>
      <c r="V440" s="285" t="s">
        <v>1</v>
      </c>
      <c r="W440" s="285" t="s">
        <v>1</v>
      </c>
      <c r="X440" s="286">
        <v>104</v>
      </c>
      <c r="Y440" s="285" t="s">
        <v>1</v>
      </c>
      <c r="Z440" s="285" t="s">
        <v>1</v>
      </c>
      <c r="AA440" s="285" t="s">
        <v>1</v>
      </c>
      <c r="AB440" s="285" t="s">
        <v>1</v>
      </c>
      <c r="AC440" s="286">
        <v>104</v>
      </c>
      <c r="AD440" s="285" t="s">
        <v>1</v>
      </c>
      <c r="AE440" s="285" t="s">
        <v>1</v>
      </c>
      <c r="AF440" s="285" t="s">
        <v>1</v>
      </c>
      <c r="AG440" s="285" t="s">
        <v>1</v>
      </c>
      <c r="AH440" s="286">
        <v>104</v>
      </c>
      <c r="AI440" s="295" t="s">
        <v>1</v>
      </c>
      <c r="AJ440" s="295" t="s">
        <v>1</v>
      </c>
      <c r="AK440" s="295" t="s">
        <v>1</v>
      </c>
      <c r="AL440" s="286" t="s">
        <v>1</v>
      </c>
      <c r="AM440" s="288" t="s">
        <v>1</v>
      </c>
      <c r="AN440" s="287" t="s">
        <v>1</v>
      </c>
      <c r="AO440" s="287" t="s">
        <v>1</v>
      </c>
      <c r="AP440" s="286" t="s">
        <v>1</v>
      </c>
      <c r="AQ440" s="285" t="s">
        <v>1</v>
      </c>
      <c r="AR440" s="289" t="s">
        <v>1</v>
      </c>
      <c r="AS440" s="289" t="s">
        <v>1</v>
      </c>
      <c r="AT440" s="290" t="s">
        <v>1</v>
      </c>
      <c r="AU440" s="287" t="s">
        <v>1</v>
      </c>
      <c r="AV440" s="287" t="s">
        <v>1</v>
      </c>
      <c r="AW440" s="291" t="s">
        <v>1</v>
      </c>
    </row>
    <row r="441" spans="1:49" ht="30.15" customHeight="1" x14ac:dyDescent="0.25">
      <c r="A441" s="213" t="s">
        <v>18</v>
      </c>
      <c r="B441" s="189" t="s">
        <v>1</v>
      </c>
      <c r="C441" s="212" t="s">
        <v>34</v>
      </c>
      <c r="D441" s="190" t="s">
        <v>90</v>
      </c>
      <c r="E441" s="190" t="s">
        <v>391</v>
      </c>
      <c r="F441" s="203"/>
      <c r="G441" s="190" t="s">
        <v>394</v>
      </c>
      <c r="H441" s="192" t="s">
        <v>409</v>
      </c>
      <c r="I441" s="193">
        <v>649</v>
      </c>
      <c r="J441" s="193">
        <v>649</v>
      </c>
      <c r="K441" s="193">
        <v>649</v>
      </c>
      <c r="L441" s="193">
        <v>670</v>
      </c>
      <c r="M441" s="194">
        <v>670</v>
      </c>
      <c r="N441" s="284">
        <v>268</v>
      </c>
      <c r="O441" s="285" t="s">
        <v>1</v>
      </c>
      <c r="P441" s="285" t="s">
        <v>1</v>
      </c>
      <c r="Q441" s="285" t="s">
        <v>1</v>
      </c>
      <c r="R441" s="285" t="s">
        <v>1</v>
      </c>
      <c r="S441" s="286">
        <v>268</v>
      </c>
      <c r="T441" s="285" t="s">
        <v>1</v>
      </c>
      <c r="U441" s="285" t="s">
        <v>1</v>
      </c>
      <c r="V441" s="285" t="s">
        <v>1</v>
      </c>
      <c r="W441" s="285" t="s">
        <v>1</v>
      </c>
      <c r="X441" s="286">
        <v>268</v>
      </c>
      <c r="Y441" s="285" t="s">
        <v>1</v>
      </c>
      <c r="Z441" s="285" t="s">
        <v>1</v>
      </c>
      <c r="AA441" s="285" t="s">
        <v>1</v>
      </c>
      <c r="AB441" s="285" t="s">
        <v>1</v>
      </c>
      <c r="AC441" s="286">
        <v>268</v>
      </c>
      <c r="AD441" s="285" t="s">
        <v>1</v>
      </c>
      <c r="AE441" s="285" t="s">
        <v>1</v>
      </c>
      <c r="AF441" s="285" t="s">
        <v>1</v>
      </c>
      <c r="AG441" s="285" t="s">
        <v>1</v>
      </c>
      <c r="AH441" s="286" t="s">
        <v>1</v>
      </c>
      <c r="AI441" s="295" t="s">
        <v>1</v>
      </c>
      <c r="AJ441" s="295" t="s">
        <v>1</v>
      </c>
      <c r="AK441" s="295" t="s">
        <v>1</v>
      </c>
      <c r="AL441" s="286" t="s">
        <v>1</v>
      </c>
      <c r="AM441" s="288" t="s">
        <v>1</v>
      </c>
      <c r="AN441" s="287" t="s">
        <v>1</v>
      </c>
      <c r="AO441" s="287" t="s">
        <v>1</v>
      </c>
      <c r="AP441" s="286" t="s">
        <v>1</v>
      </c>
      <c r="AQ441" s="285" t="s">
        <v>1</v>
      </c>
      <c r="AR441" s="289" t="s">
        <v>1</v>
      </c>
      <c r="AS441" s="289" t="s">
        <v>1</v>
      </c>
      <c r="AT441" s="290" t="s">
        <v>1</v>
      </c>
      <c r="AU441" s="287" t="s">
        <v>1</v>
      </c>
      <c r="AV441" s="287" t="s">
        <v>1</v>
      </c>
      <c r="AW441" s="291" t="s">
        <v>1</v>
      </c>
    </row>
    <row r="442" spans="1:49" ht="30.15" customHeight="1" x14ac:dyDescent="0.25">
      <c r="A442" s="213" t="s">
        <v>18</v>
      </c>
      <c r="B442" s="189" t="s">
        <v>1</v>
      </c>
      <c r="C442" s="212" t="s">
        <v>34</v>
      </c>
      <c r="D442" s="190" t="s">
        <v>90</v>
      </c>
      <c r="E442" s="190" t="s">
        <v>392</v>
      </c>
      <c r="F442" s="203"/>
      <c r="G442" s="190" t="s">
        <v>395</v>
      </c>
      <c r="H442" s="192" t="s">
        <v>409</v>
      </c>
      <c r="I442" s="193">
        <v>899</v>
      </c>
      <c r="J442" s="193">
        <v>899</v>
      </c>
      <c r="K442" s="193">
        <v>899</v>
      </c>
      <c r="L442" s="193">
        <v>950</v>
      </c>
      <c r="M442" s="194">
        <v>950</v>
      </c>
      <c r="N442" s="284">
        <v>380</v>
      </c>
      <c r="O442" s="285" t="s">
        <v>1</v>
      </c>
      <c r="P442" s="285" t="s">
        <v>1</v>
      </c>
      <c r="Q442" s="285" t="s">
        <v>1</v>
      </c>
      <c r="R442" s="285" t="s">
        <v>1</v>
      </c>
      <c r="S442" s="286">
        <v>380</v>
      </c>
      <c r="T442" s="285" t="s">
        <v>1</v>
      </c>
      <c r="U442" s="285" t="s">
        <v>1</v>
      </c>
      <c r="V442" s="285" t="s">
        <v>1</v>
      </c>
      <c r="W442" s="285" t="s">
        <v>1</v>
      </c>
      <c r="X442" s="286">
        <v>380</v>
      </c>
      <c r="Y442" s="285" t="s">
        <v>1</v>
      </c>
      <c r="Z442" s="285" t="s">
        <v>1</v>
      </c>
      <c r="AA442" s="285" t="s">
        <v>1</v>
      </c>
      <c r="AB442" s="285" t="s">
        <v>1</v>
      </c>
      <c r="AC442" s="286">
        <v>380</v>
      </c>
      <c r="AD442" s="285" t="s">
        <v>1</v>
      </c>
      <c r="AE442" s="285" t="s">
        <v>1</v>
      </c>
      <c r="AF442" s="285" t="s">
        <v>1</v>
      </c>
      <c r="AG442" s="285" t="s">
        <v>1</v>
      </c>
      <c r="AH442" s="286" t="s">
        <v>1</v>
      </c>
      <c r="AI442" s="295" t="s">
        <v>1</v>
      </c>
      <c r="AJ442" s="295" t="s">
        <v>1</v>
      </c>
      <c r="AK442" s="295" t="s">
        <v>1</v>
      </c>
      <c r="AL442" s="286" t="s">
        <v>1</v>
      </c>
      <c r="AM442" s="288" t="s">
        <v>1</v>
      </c>
      <c r="AN442" s="287" t="s">
        <v>1</v>
      </c>
      <c r="AO442" s="287" t="s">
        <v>1</v>
      </c>
      <c r="AP442" s="286" t="s">
        <v>1</v>
      </c>
      <c r="AQ442" s="285" t="s">
        <v>1</v>
      </c>
      <c r="AR442" s="289" t="s">
        <v>1</v>
      </c>
      <c r="AS442" s="289" t="s">
        <v>1</v>
      </c>
      <c r="AT442" s="290" t="s">
        <v>1</v>
      </c>
      <c r="AU442" s="287" t="s">
        <v>1</v>
      </c>
      <c r="AV442" s="287" t="s">
        <v>1</v>
      </c>
      <c r="AW442" s="291" t="s">
        <v>1</v>
      </c>
    </row>
    <row r="443" spans="1:49" ht="30.15" customHeight="1" x14ac:dyDescent="0.25">
      <c r="A443" s="213" t="s">
        <v>18</v>
      </c>
      <c r="B443" s="189" t="s">
        <v>1</v>
      </c>
      <c r="C443" s="212" t="s">
        <v>34</v>
      </c>
      <c r="D443" s="190" t="s">
        <v>90</v>
      </c>
      <c r="E443" s="190" t="s">
        <v>446</v>
      </c>
      <c r="F443" s="203"/>
      <c r="G443" s="190" t="s">
        <v>395</v>
      </c>
      <c r="H443" s="192" t="s">
        <v>409</v>
      </c>
      <c r="I443" s="193">
        <v>899</v>
      </c>
      <c r="J443" s="193">
        <v>899</v>
      </c>
      <c r="K443" s="193">
        <v>899</v>
      </c>
      <c r="L443" s="193">
        <v>950</v>
      </c>
      <c r="M443" s="194">
        <v>950</v>
      </c>
      <c r="N443" s="284">
        <v>380</v>
      </c>
      <c r="O443" s="285" t="s">
        <v>1</v>
      </c>
      <c r="P443" s="285" t="s">
        <v>1</v>
      </c>
      <c r="Q443" s="285" t="s">
        <v>1</v>
      </c>
      <c r="R443" s="285" t="s">
        <v>1</v>
      </c>
      <c r="S443" s="286">
        <v>380</v>
      </c>
      <c r="T443" s="285" t="s">
        <v>1</v>
      </c>
      <c r="U443" s="285" t="s">
        <v>1</v>
      </c>
      <c r="V443" s="285" t="s">
        <v>1</v>
      </c>
      <c r="W443" s="285" t="s">
        <v>1</v>
      </c>
      <c r="X443" s="286">
        <v>380</v>
      </c>
      <c r="Y443" s="285" t="s">
        <v>1</v>
      </c>
      <c r="Z443" s="285" t="s">
        <v>1</v>
      </c>
      <c r="AA443" s="285" t="s">
        <v>1</v>
      </c>
      <c r="AB443" s="285" t="s">
        <v>1</v>
      </c>
      <c r="AC443" s="286">
        <v>380</v>
      </c>
      <c r="AD443" s="285" t="s">
        <v>1</v>
      </c>
      <c r="AE443" s="285" t="s">
        <v>1</v>
      </c>
      <c r="AF443" s="285" t="s">
        <v>1</v>
      </c>
      <c r="AG443" s="285" t="s">
        <v>1</v>
      </c>
      <c r="AH443" s="286" t="s">
        <v>1</v>
      </c>
      <c r="AI443" s="295" t="s">
        <v>1</v>
      </c>
      <c r="AJ443" s="295" t="s">
        <v>1</v>
      </c>
      <c r="AK443" s="295" t="s">
        <v>1</v>
      </c>
      <c r="AL443" s="286" t="s">
        <v>1</v>
      </c>
      <c r="AM443" s="288" t="s">
        <v>1</v>
      </c>
      <c r="AN443" s="287" t="s">
        <v>1</v>
      </c>
      <c r="AO443" s="287" t="s">
        <v>1</v>
      </c>
      <c r="AP443" s="286" t="s">
        <v>1</v>
      </c>
      <c r="AQ443" s="285" t="s">
        <v>1</v>
      </c>
      <c r="AR443" s="289" t="s">
        <v>1</v>
      </c>
      <c r="AS443" s="289" t="s">
        <v>1</v>
      </c>
      <c r="AT443" s="290" t="s">
        <v>1</v>
      </c>
      <c r="AU443" s="287" t="s">
        <v>1</v>
      </c>
      <c r="AV443" s="287" t="s">
        <v>1</v>
      </c>
      <c r="AW443" s="291" t="s">
        <v>1</v>
      </c>
    </row>
    <row r="444" spans="1:49" ht="30.15" customHeight="1" x14ac:dyDescent="0.25">
      <c r="A444" s="213" t="s">
        <v>18</v>
      </c>
      <c r="B444" s="189" t="s">
        <v>1</v>
      </c>
      <c r="C444" s="212" t="s">
        <v>34</v>
      </c>
      <c r="D444" s="190" t="s">
        <v>90</v>
      </c>
      <c r="E444" s="190" t="s">
        <v>573</v>
      </c>
      <c r="F444" s="203"/>
      <c r="G444" s="190" t="s">
        <v>581</v>
      </c>
      <c r="H444" s="192" t="s">
        <v>409</v>
      </c>
      <c r="I444" s="193">
        <v>1049</v>
      </c>
      <c r="J444" s="193">
        <v>1049</v>
      </c>
      <c r="K444" s="193">
        <v>1049</v>
      </c>
      <c r="L444" s="193">
        <v>1200</v>
      </c>
      <c r="M444" s="194">
        <v>1200</v>
      </c>
      <c r="N444" s="284">
        <v>480</v>
      </c>
      <c r="O444" s="285">
        <v>30</v>
      </c>
      <c r="P444" s="285">
        <v>24</v>
      </c>
      <c r="Q444" s="285" t="s">
        <v>1</v>
      </c>
      <c r="R444" s="285" t="s">
        <v>1</v>
      </c>
      <c r="S444" s="286">
        <v>480</v>
      </c>
      <c r="T444" s="285">
        <v>30</v>
      </c>
      <c r="U444" s="285">
        <v>24</v>
      </c>
      <c r="V444" s="285" t="s">
        <v>1</v>
      </c>
      <c r="W444" s="285" t="s">
        <v>1</v>
      </c>
      <c r="X444" s="286">
        <v>480</v>
      </c>
      <c r="Y444" s="285">
        <v>30</v>
      </c>
      <c r="Z444" s="285">
        <v>24</v>
      </c>
      <c r="AA444" s="285" t="s">
        <v>1</v>
      </c>
      <c r="AB444" s="285" t="s">
        <v>1</v>
      </c>
      <c r="AC444" s="286">
        <v>480</v>
      </c>
      <c r="AD444" s="285">
        <v>30</v>
      </c>
      <c r="AE444" s="285">
        <v>24</v>
      </c>
      <c r="AF444" s="285" t="s">
        <v>1</v>
      </c>
      <c r="AG444" s="285" t="s">
        <v>1</v>
      </c>
      <c r="AH444" s="286" t="s">
        <v>1</v>
      </c>
      <c r="AI444" s="295" t="s">
        <v>1</v>
      </c>
      <c r="AJ444" s="295" t="s">
        <v>1</v>
      </c>
      <c r="AK444" s="295" t="s">
        <v>1</v>
      </c>
      <c r="AL444" s="286" t="s">
        <v>1</v>
      </c>
      <c r="AM444" s="288" t="s">
        <v>1</v>
      </c>
      <c r="AN444" s="287" t="s">
        <v>1</v>
      </c>
      <c r="AO444" s="287" t="s">
        <v>1</v>
      </c>
      <c r="AP444" s="286" t="s">
        <v>1</v>
      </c>
      <c r="AQ444" s="285" t="s">
        <v>1</v>
      </c>
      <c r="AR444" s="289" t="s">
        <v>1</v>
      </c>
      <c r="AS444" s="289" t="s">
        <v>1</v>
      </c>
      <c r="AT444" s="290" t="s">
        <v>1</v>
      </c>
      <c r="AU444" s="287" t="s">
        <v>1</v>
      </c>
      <c r="AV444" s="287" t="s">
        <v>1</v>
      </c>
      <c r="AW444" s="291" t="s">
        <v>1</v>
      </c>
    </row>
    <row r="445" spans="1:49" ht="30.15" customHeight="1" x14ac:dyDescent="0.25">
      <c r="A445" s="213" t="s">
        <v>18</v>
      </c>
      <c r="B445" s="189" t="s">
        <v>1</v>
      </c>
      <c r="C445" s="212" t="s">
        <v>34</v>
      </c>
      <c r="D445" s="190" t="s">
        <v>90</v>
      </c>
      <c r="E445" s="190" t="s">
        <v>574</v>
      </c>
      <c r="F445" s="203"/>
      <c r="G445" s="190" t="s">
        <v>581</v>
      </c>
      <c r="H445" s="192" t="s">
        <v>409</v>
      </c>
      <c r="I445" s="193">
        <v>1049</v>
      </c>
      <c r="J445" s="193">
        <v>1049</v>
      </c>
      <c r="K445" s="193">
        <v>1049</v>
      </c>
      <c r="L445" s="193">
        <v>1200</v>
      </c>
      <c r="M445" s="194">
        <v>1200</v>
      </c>
      <c r="N445" s="284">
        <v>480</v>
      </c>
      <c r="O445" s="285">
        <v>30</v>
      </c>
      <c r="P445" s="285">
        <v>24</v>
      </c>
      <c r="Q445" s="285" t="s">
        <v>1</v>
      </c>
      <c r="R445" s="285" t="s">
        <v>1</v>
      </c>
      <c r="S445" s="286">
        <v>480</v>
      </c>
      <c r="T445" s="285">
        <v>30</v>
      </c>
      <c r="U445" s="285">
        <v>24</v>
      </c>
      <c r="V445" s="285" t="s">
        <v>1</v>
      </c>
      <c r="W445" s="285" t="s">
        <v>1</v>
      </c>
      <c r="X445" s="286">
        <v>480</v>
      </c>
      <c r="Y445" s="285">
        <v>30</v>
      </c>
      <c r="Z445" s="285">
        <v>24</v>
      </c>
      <c r="AA445" s="285" t="s">
        <v>1</v>
      </c>
      <c r="AB445" s="285" t="s">
        <v>1</v>
      </c>
      <c r="AC445" s="286">
        <v>480</v>
      </c>
      <c r="AD445" s="285">
        <v>30</v>
      </c>
      <c r="AE445" s="285">
        <v>24</v>
      </c>
      <c r="AF445" s="285" t="s">
        <v>1</v>
      </c>
      <c r="AG445" s="285" t="s">
        <v>1</v>
      </c>
      <c r="AH445" s="286" t="s">
        <v>1</v>
      </c>
      <c r="AI445" s="295" t="s">
        <v>1</v>
      </c>
      <c r="AJ445" s="295" t="s">
        <v>1</v>
      </c>
      <c r="AK445" s="295" t="s">
        <v>1</v>
      </c>
      <c r="AL445" s="286" t="s">
        <v>1</v>
      </c>
      <c r="AM445" s="288" t="s">
        <v>1</v>
      </c>
      <c r="AN445" s="287" t="s">
        <v>1</v>
      </c>
      <c r="AO445" s="287" t="s">
        <v>1</v>
      </c>
      <c r="AP445" s="286" t="s">
        <v>1</v>
      </c>
      <c r="AQ445" s="285" t="s">
        <v>1</v>
      </c>
      <c r="AR445" s="289" t="s">
        <v>1</v>
      </c>
      <c r="AS445" s="289" t="s">
        <v>1</v>
      </c>
      <c r="AT445" s="290" t="s">
        <v>1</v>
      </c>
      <c r="AU445" s="287" t="s">
        <v>1</v>
      </c>
      <c r="AV445" s="287" t="s">
        <v>1</v>
      </c>
      <c r="AW445" s="291" t="s">
        <v>1</v>
      </c>
    </row>
    <row r="446" spans="1:49" ht="30.15" customHeight="1" x14ac:dyDescent="0.25">
      <c r="A446" s="213" t="s">
        <v>18</v>
      </c>
      <c r="B446" s="189" t="s">
        <v>1</v>
      </c>
      <c r="C446" s="212" t="s">
        <v>34</v>
      </c>
      <c r="D446" s="190" t="s">
        <v>90</v>
      </c>
      <c r="E446" s="190" t="s">
        <v>575</v>
      </c>
      <c r="F446" s="203"/>
      <c r="G446" s="190" t="s">
        <v>583</v>
      </c>
      <c r="H446" s="192" t="s">
        <v>409</v>
      </c>
      <c r="I446" s="193">
        <v>798</v>
      </c>
      <c r="J446" s="193">
        <v>798</v>
      </c>
      <c r="K446" s="193">
        <v>798</v>
      </c>
      <c r="L446" s="193">
        <v>950</v>
      </c>
      <c r="M446" s="194">
        <v>950</v>
      </c>
      <c r="N446" s="284">
        <v>380</v>
      </c>
      <c r="O446" s="285">
        <v>13.34</v>
      </c>
      <c r="P446" s="285">
        <v>24</v>
      </c>
      <c r="Q446" s="285" t="s">
        <v>1</v>
      </c>
      <c r="R446" s="285" t="s">
        <v>1</v>
      </c>
      <c r="S446" s="286">
        <v>380</v>
      </c>
      <c r="T446" s="285">
        <v>13.34</v>
      </c>
      <c r="U446" s="285">
        <v>24</v>
      </c>
      <c r="V446" s="285" t="s">
        <v>1</v>
      </c>
      <c r="W446" s="285" t="s">
        <v>1</v>
      </c>
      <c r="X446" s="286">
        <v>380</v>
      </c>
      <c r="Y446" s="285">
        <v>16.170000000000002</v>
      </c>
      <c r="Z446" s="285">
        <v>24</v>
      </c>
      <c r="AA446" s="285" t="s">
        <v>1</v>
      </c>
      <c r="AB446" s="285" t="s">
        <v>1</v>
      </c>
      <c r="AC446" s="286">
        <v>380</v>
      </c>
      <c r="AD446" s="285">
        <v>16.170000000000002</v>
      </c>
      <c r="AE446" s="285">
        <v>24</v>
      </c>
      <c r="AF446" s="285" t="s">
        <v>1</v>
      </c>
      <c r="AG446" s="285" t="s">
        <v>1</v>
      </c>
      <c r="AH446" s="286" t="s">
        <v>1</v>
      </c>
      <c r="AI446" s="295" t="s">
        <v>1</v>
      </c>
      <c r="AJ446" s="295" t="s">
        <v>1</v>
      </c>
      <c r="AK446" s="295" t="s">
        <v>1</v>
      </c>
      <c r="AL446" s="286" t="s">
        <v>1</v>
      </c>
      <c r="AM446" s="288" t="s">
        <v>1</v>
      </c>
      <c r="AN446" s="287" t="s">
        <v>1</v>
      </c>
      <c r="AO446" s="287" t="s">
        <v>1</v>
      </c>
      <c r="AP446" s="286" t="s">
        <v>1</v>
      </c>
      <c r="AQ446" s="285" t="s">
        <v>1</v>
      </c>
      <c r="AR446" s="289" t="s">
        <v>1</v>
      </c>
      <c r="AS446" s="289" t="s">
        <v>1</v>
      </c>
      <c r="AT446" s="290" t="s">
        <v>1</v>
      </c>
      <c r="AU446" s="287" t="s">
        <v>1</v>
      </c>
      <c r="AV446" s="287" t="s">
        <v>1</v>
      </c>
      <c r="AW446" s="291" t="s">
        <v>1</v>
      </c>
    </row>
    <row r="447" spans="1:49" ht="30.15" customHeight="1" x14ac:dyDescent="0.25">
      <c r="A447" s="213" t="s">
        <v>18</v>
      </c>
      <c r="B447" s="189" t="s">
        <v>1</v>
      </c>
      <c r="C447" s="212" t="s">
        <v>34</v>
      </c>
      <c r="D447" s="190" t="s">
        <v>90</v>
      </c>
      <c r="E447" s="190" t="s">
        <v>576</v>
      </c>
      <c r="F447" s="203"/>
      <c r="G447" s="190" t="s">
        <v>580</v>
      </c>
      <c r="H447" s="192" t="s">
        <v>409</v>
      </c>
      <c r="I447" s="193">
        <v>798</v>
      </c>
      <c r="J447" s="193">
        <v>798</v>
      </c>
      <c r="K447" s="193">
        <v>798</v>
      </c>
      <c r="L447" s="193">
        <v>950</v>
      </c>
      <c r="M447" s="194">
        <v>950</v>
      </c>
      <c r="N447" s="284">
        <v>380</v>
      </c>
      <c r="O447" s="285">
        <v>13.34</v>
      </c>
      <c r="P447" s="285">
        <v>24</v>
      </c>
      <c r="Q447" s="285" t="s">
        <v>1</v>
      </c>
      <c r="R447" s="285" t="s">
        <v>1</v>
      </c>
      <c r="S447" s="286">
        <v>380</v>
      </c>
      <c r="T447" s="285">
        <v>13.34</v>
      </c>
      <c r="U447" s="285">
        <v>24</v>
      </c>
      <c r="V447" s="285" t="s">
        <v>1</v>
      </c>
      <c r="W447" s="285" t="s">
        <v>1</v>
      </c>
      <c r="X447" s="286">
        <v>380</v>
      </c>
      <c r="Y447" s="285">
        <v>16.170000000000002</v>
      </c>
      <c r="Z447" s="285">
        <v>24</v>
      </c>
      <c r="AA447" s="285" t="s">
        <v>1</v>
      </c>
      <c r="AB447" s="285" t="s">
        <v>1</v>
      </c>
      <c r="AC447" s="286">
        <v>380</v>
      </c>
      <c r="AD447" s="285">
        <v>16.170000000000002</v>
      </c>
      <c r="AE447" s="285">
        <v>24</v>
      </c>
      <c r="AF447" s="285" t="s">
        <v>1</v>
      </c>
      <c r="AG447" s="285" t="s">
        <v>1</v>
      </c>
      <c r="AH447" s="286" t="s">
        <v>1</v>
      </c>
      <c r="AI447" s="295" t="s">
        <v>1</v>
      </c>
      <c r="AJ447" s="295" t="s">
        <v>1</v>
      </c>
      <c r="AK447" s="295" t="s">
        <v>1</v>
      </c>
      <c r="AL447" s="286" t="s">
        <v>1</v>
      </c>
      <c r="AM447" s="288" t="s">
        <v>1</v>
      </c>
      <c r="AN447" s="287" t="s">
        <v>1</v>
      </c>
      <c r="AO447" s="287" t="s">
        <v>1</v>
      </c>
      <c r="AP447" s="286" t="s">
        <v>1</v>
      </c>
      <c r="AQ447" s="285" t="s">
        <v>1</v>
      </c>
      <c r="AR447" s="289" t="s">
        <v>1</v>
      </c>
      <c r="AS447" s="289" t="s">
        <v>1</v>
      </c>
      <c r="AT447" s="290" t="s">
        <v>1</v>
      </c>
      <c r="AU447" s="287" t="s">
        <v>1</v>
      </c>
      <c r="AV447" s="287" t="s">
        <v>1</v>
      </c>
      <c r="AW447" s="291" t="s">
        <v>1</v>
      </c>
    </row>
    <row r="448" spans="1:49" ht="30.15" customHeight="1" x14ac:dyDescent="0.25">
      <c r="A448" s="213" t="s">
        <v>18</v>
      </c>
      <c r="B448" s="189" t="s">
        <v>1</v>
      </c>
      <c r="C448" s="212" t="s">
        <v>34</v>
      </c>
      <c r="D448" s="190" t="s">
        <v>90</v>
      </c>
      <c r="E448" s="190" t="s">
        <v>577</v>
      </c>
      <c r="F448" s="203"/>
      <c r="G448" s="190" t="s">
        <v>584</v>
      </c>
      <c r="H448" s="192" t="s">
        <v>409</v>
      </c>
      <c r="I448" s="193">
        <v>419</v>
      </c>
      <c r="J448" s="193">
        <v>419</v>
      </c>
      <c r="K448" s="193">
        <v>419</v>
      </c>
      <c r="L448" s="193">
        <v>480</v>
      </c>
      <c r="M448" s="194">
        <v>480</v>
      </c>
      <c r="N448" s="284">
        <v>192</v>
      </c>
      <c r="O448" s="285">
        <v>6</v>
      </c>
      <c r="P448" s="285">
        <v>24</v>
      </c>
      <c r="Q448" s="285" t="s">
        <v>1</v>
      </c>
      <c r="R448" s="285" t="s">
        <v>1</v>
      </c>
      <c r="S448" s="286">
        <v>192</v>
      </c>
      <c r="T448" s="285">
        <v>6</v>
      </c>
      <c r="U448" s="285">
        <v>24</v>
      </c>
      <c r="V448" s="285" t="s">
        <v>1</v>
      </c>
      <c r="W448" s="285" t="s">
        <v>1</v>
      </c>
      <c r="X448" s="286">
        <v>192</v>
      </c>
      <c r="Y448" s="285">
        <v>8.2999999999999989</v>
      </c>
      <c r="Z448" s="285">
        <v>24</v>
      </c>
      <c r="AA448" s="285" t="s">
        <v>1</v>
      </c>
      <c r="AB448" s="285" t="s">
        <v>1</v>
      </c>
      <c r="AC448" s="286">
        <v>192</v>
      </c>
      <c r="AD448" s="285">
        <v>8.2999999999999989</v>
      </c>
      <c r="AE448" s="285">
        <v>24</v>
      </c>
      <c r="AF448" s="285" t="s">
        <v>1</v>
      </c>
      <c r="AG448" s="285" t="s">
        <v>1</v>
      </c>
      <c r="AH448" s="286">
        <v>192</v>
      </c>
      <c r="AI448" s="295">
        <v>6</v>
      </c>
      <c r="AJ448" s="295">
        <v>24</v>
      </c>
      <c r="AK448" s="295" t="s">
        <v>1</v>
      </c>
      <c r="AL448" s="286" t="s">
        <v>1</v>
      </c>
      <c r="AM448" s="288" t="s">
        <v>1</v>
      </c>
      <c r="AN448" s="287" t="s">
        <v>1</v>
      </c>
      <c r="AO448" s="287" t="s">
        <v>1</v>
      </c>
      <c r="AP448" s="286" t="s">
        <v>1</v>
      </c>
      <c r="AQ448" s="285" t="s">
        <v>1</v>
      </c>
      <c r="AR448" s="289" t="s">
        <v>1</v>
      </c>
      <c r="AS448" s="289" t="s">
        <v>1</v>
      </c>
      <c r="AT448" s="290" t="s">
        <v>1</v>
      </c>
      <c r="AU448" s="287" t="s">
        <v>1</v>
      </c>
      <c r="AV448" s="287" t="s">
        <v>1</v>
      </c>
      <c r="AW448" s="291" t="s">
        <v>1</v>
      </c>
    </row>
    <row r="449" spans="1:49" ht="30.15" customHeight="1" x14ac:dyDescent="0.25">
      <c r="A449" s="213" t="s">
        <v>18</v>
      </c>
      <c r="B449" s="189" t="s">
        <v>1</v>
      </c>
      <c r="C449" s="212" t="s">
        <v>35</v>
      </c>
      <c r="D449" s="190" t="s">
        <v>90</v>
      </c>
      <c r="E449" s="190" t="s">
        <v>397</v>
      </c>
      <c r="F449" s="203"/>
      <c r="G449" s="190" t="s">
        <v>398</v>
      </c>
      <c r="H449" s="192" t="s">
        <v>409</v>
      </c>
      <c r="I449" s="193">
        <v>299</v>
      </c>
      <c r="J449" s="193">
        <v>299</v>
      </c>
      <c r="K449" s="193">
        <v>299</v>
      </c>
      <c r="L449" s="193">
        <v>329</v>
      </c>
      <c r="M449" s="194">
        <v>329</v>
      </c>
      <c r="N449" s="284" t="s">
        <v>1</v>
      </c>
      <c r="O449" s="285" t="s">
        <v>1</v>
      </c>
      <c r="P449" s="285" t="s">
        <v>1</v>
      </c>
      <c r="Q449" s="285" t="s">
        <v>1</v>
      </c>
      <c r="R449" s="285" t="s">
        <v>1</v>
      </c>
      <c r="S449" s="286" t="s">
        <v>1</v>
      </c>
      <c r="T449" s="285" t="s">
        <v>1</v>
      </c>
      <c r="U449" s="285" t="s">
        <v>1</v>
      </c>
      <c r="V449" s="285" t="s">
        <v>1</v>
      </c>
      <c r="W449" s="285" t="s">
        <v>1</v>
      </c>
      <c r="X449" s="286" t="s">
        <v>1</v>
      </c>
      <c r="Y449" s="285" t="s">
        <v>1</v>
      </c>
      <c r="Z449" s="285" t="s">
        <v>1</v>
      </c>
      <c r="AA449" s="285" t="s">
        <v>1</v>
      </c>
      <c r="AB449" s="285" t="s">
        <v>1</v>
      </c>
      <c r="AC449" s="286" t="s">
        <v>1</v>
      </c>
      <c r="AD449" s="285" t="s">
        <v>1</v>
      </c>
      <c r="AE449" s="285" t="s">
        <v>1</v>
      </c>
      <c r="AF449" s="285" t="s">
        <v>1</v>
      </c>
      <c r="AG449" s="285" t="s">
        <v>1</v>
      </c>
      <c r="AH449" s="286" t="s">
        <v>1</v>
      </c>
      <c r="AI449" s="295" t="s">
        <v>1</v>
      </c>
      <c r="AJ449" s="295" t="s">
        <v>1</v>
      </c>
      <c r="AK449" s="295" t="s">
        <v>1</v>
      </c>
      <c r="AL449" s="286">
        <v>131.6</v>
      </c>
      <c r="AM449" s="288" t="s">
        <v>1</v>
      </c>
      <c r="AN449" s="287" t="s">
        <v>1</v>
      </c>
      <c r="AO449" s="287" t="s">
        <v>1</v>
      </c>
      <c r="AP449" s="286" t="s">
        <v>1</v>
      </c>
      <c r="AQ449" s="285" t="s">
        <v>1</v>
      </c>
      <c r="AR449" s="289" t="s">
        <v>1</v>
      </c>
      <c r="AS449" s="289" t="s">
        <v>1</v>
      </c>
      <c r="AT449" s="290" t="s">
        <v>1</v>
      </c>
      <c r="AU449" s="287" t="s">
        <v>1</v>
      </c>
      <c r="AV449" s="287" t="s">
        <v>1</v>
      </c>
      <c r="AW449" s="291" t="s">
        <v>1</v>
      </c>
    </row>
    <row r="450" spans="1:49" ht="30.15" customHeight="1" x14ac:dyDescent="0.25">
      <c r="A450" s="213" t="s">
        <v>18</v>
      </c>
      <c r="B450" s="189" t="s">
        <v>1</v>
      </c>
      <c r="C450" s="212" t="s">
        <v>35</v>
      </c>
      <c r="D450" s="190" t="s">
        <v>90</v>
      </c>
      <c r="E450" s="190" t="s">
        <v>396</v>
      </c>
      <c r="F450" s="203"/>
      <c r="G450" s="190" t="s">
        <v>417</v>
      </c>
      <c r="H450" s="192" t="s">
        <v>415</v>
      </c>
      <c r="I450" s="193">
        <v>0</v>
      </c>
      <c r="J450" s="193">
        <v>0</v>
      </c>
      <c r="K450" s="193">
        <v>0</v>
      </c>
      <c r="L450" s="193">
        <v>0</v>
      </c>
      <c r="M450" s="194">
        <v>0</v>
      </c>
      <c r="N450" s="284" t="s">
        <v>1</v>
      </c>
      <c r="O450" s="285" t="s">
        <v>1</v>
      </c>
      <c r="P450" s="285" t="s">
        <v>1</v>
      </c>
      <c r="Q450" s="285" t="s">
        <v>1</v>
      </c>
      <c r="R450" s="285" t="s">
        <v>1</v>
      </c>
      <c r="S450" s="286" t="s">
        <v>1</v>
      </c>
      <c r="T450" s="285" t="s">
        <v>1</v>
      </c>
      <c r="U450" s="285" t="s">
        <v>1</v>
      </c>
      <c r="V450" s="285" t="s">
        <v>1</v>
      </c>
      <c r="W450" s="285" t="s">
        <v>1</v>
      </c>
      <c r="X450" s="286" t="s">
        <v>1</v>
      </c>
      <c r="Y450" s="285" t="s">
        <v>1</v>
      </c>
      <c r="Z450" s="285" t="s">
        <v>1</v>
      </c>
      <c r="AA450" s="285" t="s">
        <v>1</v>
      </c>
      <c r="AB450" s="285" t="s">
        <v>1</v>
      </c>
      <c r="AC450" s="286" t="s">
        <v>1</v>
      </c>
      <c r="AD450" s="285" t="s">
        <v>1</v>
      </c>
      <c r="AE450" s="285" t="s">
        <v>1</v>
      </c>
      <c r="AF450" s="285" t="s">
        <v>1</v>
      </c>
      <c r="AG450" s="285" t="s">
        <v>1</v>
      </c>
      <c r="AH450" s="286" t="s">
        <v>1</v>
      </c>
      <c r="AI450" s="295" t="s">
        <v>1</v>
      </c>
      <c r="AJ450" s="295" t="s">
        <v>1</v>
      </c>
      <c r="AK450" s="295" t="s">
        <v>1</v>
      </c>
      <c r="AL450" s="286" t="s">
        <v>1</v>
      </c>
      <c r="AM450" s="288" t="s">
        <v>1</v>
      </c>
      <c r="AN450" s="287" t="s">
        <v>1</v>
      </c>
      <c r="AO450" s="287" t="s">
        <v>1</v>
      </c>
      <c r="AP450" s="286" t="s">
        <v>1</v>
      </c>
      <c r="AQ450" s="285" t="s">
        <v>1</v>
      </c>
      <c r="AR450" s="289" t="s">
        <v>1</v>
      </c>
      <c r="AS450" s="289" t="s">
        <v>1</v>
      </c>
      <c r="AT450" s="290" t="s">
        <v>1</v>
      </c>
      <c r="AU450" s="287" t="s">
        <v>1</v>
      </c>
      <c r="AV450" s="287" t="s">
        <v>1</v>
      </c>
      <c r="AW450" s="291" t="s">
        <v>1</v>
      </c>
    </row>
    <row r="451" spans="1:49" ht="30.15" customHeight="1" x14ac:dyDescent="0.25">
      <c r="A451" s="213" t="s">
        <v>18</v>
      </c>
      <c r="B451" s="189" t="s">
        <v>1</v>
      </c>
      <c r="C451" s="212" t="s">
        <v>35</v>
      </c>
      <c r="D451" s="190" t="s">
        <v>90</v>
      </c>
      <c r="E451" s="190" t="s">
        <v>402</v>
      </c>
      <c r="F451" s="203"/>
      <c r="G451" s="190" t="s">
        <v>417</v>
      </c>
      <c r="H451" s="192" t="s">
        <v>416</v>
      </c>
      <c r="I451" s="193">
        <v>0</v>
      </c>
      <c r="J451" s="193">
        <v>0</v>
      </c>
      <c r="K451" s="193">
        <v>0</v>
      </c>
      <c r="L451" s="193">
        <v>0</v>
      </c>
      <c r="M451" s="194">
        <v>0</v>
      </c>
      <c r="N451" s="284" t="s">
        <v>1</v>
      </c>
      <c r="O451" s="285" t="s">
        <v>1</v>
      </c>
      <c r="P451" s="285" t="s">
        <v>1</v>
      </c>
      <c r="Q451" s="285" t="s">
        <v>1</v>
      </c>
      <c r="R451" s="285" t="s">
        <v>1</v>
      </c>
      <c r="S451" s="286" t="s">
        <v>1</v>
      </c>
      <c r="T451" s="285" t="s">
        <v>1</v>
      </c>
      <c r="U451" s="285" t="s">
        <v>1</v>
      </c>
      <c r="V451" s="285" t="s">
        <v>1</v>
      </c>
      <c r="W451" s="285" t="s">
        <v>1</v>
      </c>
      <c r="X451" s="286" t="s">
        <v>1</v>
      </c>
      <c r="Y451" s="285" t="s">
        <v>1</v>
      </c>
      <c r="Z451" s="285" t="s">
        <v>1</v>
      </c>
      <c r="AA451" s="285" t="s">
        <v>1</v>
      </c>
      <c r="AB451" s="285" t="s">
        <v>1</v>
      </c>
      <c r="AC451" s="286" t="s">
        <v>1</v>
      </c>
      <c r="AD451" s="285" t="s">
        <v>1</v>
      </c>
      <c r="AE451" s="285" t="s">
        <v>1</v>
      </c>
      <c r="AF451" s="285" t="s">
        <v>1</v>
      </c>
      <c r="AG451" s="285" t="s">
        <v>1</v>
      </c>
      <c r="AH451" s="286" t="s">
        <v>1</v>
      </c>
      <c r="AI451" s="295" t="s">
        <v>1</v>
      </c>
      <c r="AJ451" s="295" t="s">
        <v>1</v>
      </c>
      <c r="AK451" s="295" t="s">
        <v>1</v>
      </c>
      <c r="AL451" s="286" t="s">
        <v>1</v>
      </c>
      <c r="AM451" s="288" t="s">
        <v>1</v>
      </c>
      <c r="AN451" s="287" t="s">
        <v>1</v>
      </c>
      <c r="AO451" s="287" t="s">
        <v>1</v>
      </c>
      <c r="AP451" s="286" t="s">
        <v>1</v>
      </c>
      <c r="AQ451" s="285" t="s">
        <v>1</v>
      </c>
      <c r="AR451" s="289" t="s">
        <v>1</v>
      </c>
      <c r="AS451" s="289" t="s">
        <v>1</v>
      </c>
      <c r="AT451" s="290" t="s">
        <v>1</v>
      </c>
      <c r="AU451" s="287" t="s">
        <v>1</v>
      </c>
      <c r="AV451" s="287" t="s">
        <v>1</v>
      </c>
      <c r="AW451" s="291" t="s">
        <v>1</v>
      </c>
    </row>
    <row r="452" spans="1:49" ht="30.15" customHeight="1" x14ac:dyDescent="0.25">
      <c r="A452" s="213" t="s">
        <v>18</v>
      </c>
      <c r="B452" s="189" t="s">
        <v>1</v>
      </c>
      <c r="C452" s="212" t="s">
        <v>35</v>
      </c>
      <c r="D452" s="190" t="s">
        <v>90</v>
      </c>
      <c r="E452" s="190" t="s">
        <v>589</v>
      </c>
      <c r="F452" s="203"/>
      <c r="G452" s="190" t="s">
        <v>588</v>
      </c>
      <c r="H452" s="192" t="s">
        <v>409</v>
      </c>
      <c r="I452" s="193">
        <v>330</v>
      </c>
      <c r="J452" s="193">
        <v>330</v>
      </c>
      <c r="K452" s="193">
        <v>330</v>
      </c>
      <c r="L452" s="193">
        <v>360</v>
      </c>
      <c r="M452" s="194">
        <v>360</v>
      </c>
      <c r="N452" s="284" t="s">
        <v>1</v>
      </c>
      <c r="O452" s="285" t="s">
        <v>1</v>
      </c>
      <c r="P452" s="285" t="s">
        <v>1</v>
      </c>
      <c r="Q452" s="285" t="s">
        <v>1</v>
      </c>
      <c r="R452" s="285" t="s">
        <v>1</v>
      </c>
      <c r="S452" s="286" t="s">
        <v>1</v>
      </c>
      <c r="T452" s="285" t="s">
        <v>1</v>
      </c>
      <c r="U452" s="285" t="s">
        <v>1</v>
      </c>
      <c r="V452" s="285" t="s">
        <v>1</v>
      </c>
      <c r="W452" s="285" t="s">
        <v>1</v>
      </c>
      <c r="X452" s="286" t="s">
        <v>1</v>
      </c>
      <c r="Y452" s="285" t="s">
        <v>1</v>
      </c>
      <c r="Z452" s="285" t="s">
        <v>1</v>
      </c>
      <c r="AA452" s="285" t="s">
        <v>1</v>
      </c>
      <c r="AB452" s="285" t="s">
        <v>1</v>
      </c>
      <c r="AC452" s="286" t="s">
        <v>1</v>
      </c>
      <c r="AD452" s="285" t="s">
        <v>1</v>
      </c>
      <c r="AE452" s="285" t="s">
        <v>1</v>
      </c>
      <c r="AF452" s="285" t="s">
        <v>1</v>
      </c>
      <c r="AG452" s="285" t="s">
        <v>1</v>
      </c>
      <c r="AH452" s="286" t="s">
        <v>1</v>
      </c>
      <c r="AI452" s="295" t="s">
        <v>1</v>
      </c>
      <c r="AJ452" s="295" t="s">
        <v>1</v>
      </c>
      <c r="AK452" s="295" t="s">
        <v>1</v>
      </c>
      <c r="AL452" s="286">
        <v>144</v>
      </c>
      <c r="AM452" s="285">
        <v>15</v>
      </c>
      <c r="AN452" s="285">
        <v>24</v>
      </c>
      <c r="AO452" s="285" t="s">
        <v>1</v>
      </c>
      <c r="AP452" s="286" t="s">
        <v>1</v>
      </c>
      <c r="AQ452" s="285" t="s">
        <v>1</v>
      </c>
      <c r="AR452" s="289" t="s">
        <v>1</v>
      </c>
      <c r="AS452" s="289" t="s">
        <v>1</v>
      </c>
      <c r="AT452" s="290" t="s">
        <v>1</v>
      </c>
      <c r="AU452" s="287" t="s">
        <v>1</v>
      </c>
      <c r="AV452" s="287" t="s">
        <v>1</v>
      </c>
      <c r="AW452" s="291" t="s">
        <v>1</v>
      </c>
    </row>
    <row r="453" spans="1:49" ht="30.15" customHeight="1" x14ac:dyDescent="0.25">
      <c r="A453" s="213" t="s">
        <v>18</v>
      </c>
      <c r="B453" s="189" t="s">
        <v>1</v>
      </c>
      <c r="C453" s="212" t="s">
        <v>35</v>
      </c>
      <c r="D453" s="190" t="s">
        <v>90</v>
      </c>
      <c r="E453" s="190" t="s">
        <v>902</v>
      </c>
      <c r="F453" s="203"/>
      <c r="G453" s="190" t="s">
        <v>903</v>
      </c>
      <c r="H453" s="192" t="s">
        <v>409</v>
      </c>
      <c r="I453" s="193">
        <v>330</v>
      </c>
      <c r="J453" s="193">
        <v>330</v>
      </c>
      <c r="K453" s="193">
        <v>330</v>
      </c>
      <c r="L453" s="193">
        <v>360</v>
      </c>
      <c r="M453" s="194">
        <v>360</v>
      </c>
      <c r="N453" s="284" t="s">
        <v>1</v>
      </c>
      <c r="O453" s="285" t="s">
        <v>1</v>
      </c>
      <c r="P453" s="285" t="s">
        <v>1</v>
      </c>
      <c r="Q453" s="285" t="s">
        <v>1</v>
      </c>
      <c r="R453" s="285" t="s">
        <v>1</v>
      </c>
      <c r="S453" s="286" t="s">
        <v>1</v>
      </c>
      <c r="T453" s="285" t="s">
        <v>1</v>
      </c>
      <c r="U453" s="285" t="s">
        <v>1</v>
      </c>
      <c r="V453" s="285" t="s">
        <v>1</v>
      </c>
      <c r="W453" s="285" t="s">
        <v>1</v>
      </c>
      <c r="X453" s="286" t="s">
        <v>1</v>
      </c>
      <c r="Y453" s="285" t="s">
        <v>1</v>
      </c>
      <c r="Z453" s="285" t="s">
        <v>1</v>
      </c>
      <c r="AA453" s="285" t="s">
        <v>1</v>
      </c>
      <c r="AB453" s="285" t="s">
        <v>1</v>
      </c>
      <c r="AC453" s="286" t="s">
        <v>1</v>
      </c>
      <c r="AD453" s="285" t="s">
        <v>1</v>
      </c>
      <c r="AE453" s="285" t="s">
        <v>1</v>
      </c>
      <c r="AF453" s="285" t="s">
        <v>1</v>
      </c>
      <c r="AG453" s="285" t="s">
        <v>1</v>
      </c>
      <c r="AH453" s="286" t="s">
        <v>1</v>
      </c>
      <c r="AI453" s="295" t="s">
        <v>1</v>
      </c>
      <c r="AJ453" s="295" t="s">
        <v>1</v>
      </c>
      <c r="AK453" s="295" t="s">
        <v>1</v>
      </c>
      <c r="AL453" s="286">
        <v>144</v>
      </c>
      <c r="AM453" s="285">
        <v>15</v>
      </c>
      <c r="AN453" s="285">
        <v>24</v>
      </c>
      <c r="AO453" s="285" t="s">
        <v>1</v>
      </c>
      <c r="AP453" s="286" t="s">
        <v>1</v>
      </c>
      <c r="AQ453" s="285" t="s">
        <v>1</v>
      </c>
      <c r="AR453" s="289" t="s">
        <v>1</v>
      </c>
      <c r="AS453" s="289" t="s">
        <v>1</v>
      </c>
      <c r="AT453" s="290" t="s">
        <v>1</v>
      </c>
      <c r="AU453" s="287" t="s">
        <v>1</v>
      </c>
      <c r="AV453" s="287" t="s">
        <v>1</v>
      </c>
      <c r="AW453" s="291" t="s">
        <v>1</v>
      </c>
    </row>
    <row r="454" spans="1:49" ht="30.15" customHeight="1" x14ac:dyDescent="0.25">
      <c r="A454" s="188" t="s">
        <v>18</v>
      </c>
      <c r="B454" s="189" t="s">
        <v>1</v>
      </c>
      <c r="C454" s="212" t="s">
        <v>34</v>
      </c>
      <c r="D454" s="190" t="s">
        <v>5</v>
      </c>
      <c r="E454" s="190" t="s">
        <v>403</v>
      </c>
      <c r="F454" s="203"/>
      <c r="G454" s="190" t="s">
        <v>405</v>
      </c>
      <c r="H454" s="192" t="s">
        <v>409</v>
      </c>
      <c r="I454" s="193">
        <v>723</v>
      </c>
      <c r="J454" s="193">
        <v>723</v>
      </c>
      <c r="K454" s="193">
        <v>723</v>
      </c>
      <c r="L454" s="193">
        <v>1050</v>
      </c>
      <c r="M454" s="194">
        <v>1050</v>
      </c>
      <c r="N454" s="284">
        <v>420</v>
      </c>
      <c r="O454" s="285">
        <v>25</v>
      </c>
      <c r="P454" s="285">
        <v>24</v>
      </c>
      <c r="Q454" s="285" t="s">
        <v>1</v>
      </c>
      <c r="R454" s="285" t="s">
        <v>1</v>
      </c>
      <c r="S454" s="286">
        <v>420</v>
      </c>
      <c r="T454" s="285">
        <v>25</v>
      </c>
      <c r="U454" s="285">
        <v>24</v>
      </c>
      <c r="V454" s="285" t="s">
        <v>1</v>
      </c>
      <c r="W454" s="285" t="s">
        <v>1</v>
      </c>
      <c r="X454" s="286">
        <v>420</v>
      </c>
      <c r="Y454" s="285">
        <v>25</v>
      </c>
      <c r="Z454" s="285">
        <v>24</v>
      </c>
      <c r="AA454" s="285" t="s">
        <v>1</v>
      </c>
      <c r="AB454" s="285" t="s">
        <v>1</v>
      </c>
      <c r="AC454" s="286">
        <v>420</v>
      </c>
      <c r="AD454" s="285">
        <v>25</v>
      </c>
      <c r="AE454" s="285">
        <v>24</v>
      </c>
      <c r="AF454" s="285" t="s">
        <v>1</v>
      </c>
      <c r="AG454" s="285" t="s">
        <v>1</v>
      </c>
      <c r="AH454" s="286" t="s">
        <v>1</v>
      </c>
      <c r="AI454" s="295" t="s">
        <v>1</v>
      </c>
      <c r="AJ454" s="295" t="s">
        <v>1</v>
      </c>
      <c r="AK454" s="295" t="s">
        <v>1</v>
      </c>
      <c r="AL454" s="286" t="s">
        <v>1</v>
      </c>
      <c r="AM454" s="309" t="s">
        <v>1</v>
      </c>
      <c r="AN454" s="287" t="s">
        <v>1</v>
      </c>
      <c r="AO454" s="287" t="s">
        <v>1</v>
      </c>
      <c r="AP454" s="286" t="s">
        <v>1</v>
      </c>
      <c r="AQ454" s="285" t="s">
        <v>1</v>
      </c>
      <c r="AR454" s="289" t="s">
        <v>1</v>
      </c>
      <c r="AS454" s="289" t="s">
        <v>1</v>
      </c>
      <c r="AT454" s="290" t="s">
        <v>1</v>
      </c>
      <c r="AU454" s="287" t="s">
        <v>1</v>
      </c>
      <c r="AV454" s="287" t="s">
        <v>1</v>
      </c>
      <c r="AW454" s="291" t="s">
        <v>1</v>
      </c>
    </row>
    <row r="455" spans="1:49" ht="30.15" customHeight="1" x14ac:dyDescent="0.25">
      <c r="A455" s="188" t="s">
        <v>18</v>
      </c>
      <c r="B455" s="189" t="s">
        <v>1</v>
      </c>
      <c r="C455" s="212" t="s">
        <v>34</v>
      </c>
      <c r="D455" s="190" t="s">
        <v>5</v>
      </c>
      <c r="E455" s="190" t="s">
        <v>404</v>
      </c>
      <c r="F455" s="203"/>
      <c r="G455" s="190" t="s">
        <v>405</v>
      </c>
      <c r="H455" s="192" t="s">
        <v>409</v>
      </c>
      <c r="I455" s="193">
        <v>723</v>
      </c>
      <c r="J455" s="193">
        <v>723</v>
      </c>
      <c r="K455" s="193">
        <v>723</v>
      </c>
      <c r="L455" s="193">
        <v>1050</v>
      </c>
      <c r="M455" s="194">
        <v>1050</v>
      </c>
      <c r="N455" s="284">
        <v>420</v>
      </c>
      <c r="O455" s="285">
        <v>25</v>
      </c>
      <c r="P455" s="285">
        <v>24</v>
      </c>
      <c r="Q455" s="285" t="s">
        <v>1</v>
      </c>
      <c r="R455" s="285" t="s">
        <v>1</v>
      </c>
      <c r="S455" s="286">
        <v>420</v>
      </c>
      <c r="T455" s="285">
        <v>25</v>
      </c>
      <c r="U455" s="285">
        <v>24</v>
      </c>
      <c r="V455" s="285" t="s">
        <v>1</v>
      </c>
      <c r="W455" s="285" t="s">
        <v>1</v>
      </c>
      <c r="X455" s="286">
        <v>420</v>
      </c>
      <c r="Y455" s="285">
        <v>25</v>
      </c>
      <c r="Z455" s="285">
        <v>24</v>
      </c>
      <c r="AA455" s="285" t="s">
        <v>1</v>
      </c>
      <c r="AB455" s="285" t="s">
        <v>1</v>
      </c>
      <c r="AC455" s="286">
        <v>420</v>
      </c>
      <c r="AD455" s="285">
        <v>25</v>
      </c>
      <c r="AE455" s="285">
        <v>24</v>
      </c>
      <c r="AF455" s="285" t="s">
        <v>1</v>
      </c>
      <c r="AG455" s="285" t="s">
        <v>1</v>
      </c>
      <c r="AH455" s="286" t="s">
        <v>1</v>
      </c>
      <c r="AI455" s="295" t="s">
        <v>1</v>
      </c>
      <c r="AJ455" s="295" t="s">
        <v>1</v>
      </c>
      <c r="AK455" s="295" t="s">
        <v>1</v>
      </c>
      <c r="AL455" s="286" t="s">
        <v>1</v>
      </c>
      <c r="AM455" s="309" t="s">
        <v>1</v>
      </c>
      <c r="AN455" s="287" t="s">
        <v>1</v>
      </c>
      <c r="AO455" s="287" t="s">
        <v>1</v>
      </c>
      <c r="AP455" s="286" t="s">
        <v>1</v>
      </c>
      <c r="AQ455" s="285" t="s">
        <v>1</v>
      </c>
      <c r="AR455" s="289" t="s">
        <v>1</v>
      </c>
      <c r="AS455" s="289" t="s">
        <v>1</v>
      </c>
      <c r="AT455" s="290" t="s">
        <v>1</v>
      </c>
      <c r="AU455" s="287" t="s">
        <v>1</v>
      </c>
      <c r="AV455" s="287" t="s">
        <v>1</v>
      </c>
      <c r="AW455" s="291" t="s">
        <v>1</v>
      </c>
    </row>
    <row r="456" spans="1:49" ht="30.15" customHeight="1" x14ac:dyDescent="0.25">
      <c r="A456" s="188" t="s">
        <v>18</v>
      </c>
      <c r="B456" s="189" t="s">
        <v>1</v>
      </c>
      <c r="C456" s="212" t="s">
        <v>34</v>
      </c>
      <c r="D456" s="190" t="s">
        <v>5</v>
      </c>
      <c r="E456" s="190" t="s">
        <v>587</v>
      </c>
      <c r="F456" s="203"/>
      <c r="G456" s="190" t="s">
        <v>582</v>
      </c>
      <c r="H456" s="192" t="s">
        <v>409</v>
      </c>
      <c r="I456" s="193">
        <v>950</v>
      </c>
      <c r="J456" s="193">
        <v>950</v>
      </c>
      <c r="K456" s="193">
        <v>950</v>
      </c>
      <c r="L456" s="193">
        <v>1250</v>
      </c>
      <c r="M456" s="194">
        <v>1250</v>
      </c>
      <c r="N456" s="284">
        <v>500</v>
      </c>
      <c r="O456" s="285">
        <v>17.5</v>
      </c>
      <c r="P456" s="285">
        <v>24</v>
      </c>
      <c r="Q456" s="285" t="s">
        <v>1</v>
      </c>
      <c r="R456" s="285" t="s">
        <v>1</v>
      </c>
      <c r="S456" s="286">
        <v>500</v>
      </c>
      <c r="T456" s="285">
        <v>17.5</v>
      </c>
      <c r="U456" s="285">
        <v>24</v>
      </c>
      <c r="V456" s="285" t="s">
        <v>1</v>
      </c>
      <c r="W456" s="285" t="s">
        <v>1</v>
      </c>
      <c r="X456" s="286">
        <v>500</v>
      </c>
      <c r="Y456" s="285">
        <v>17.5</v>
      </c>
      <c r="Z456" s="285">
        <v>24</v>
      </c>
      <c r="AA456" s="285" t="s">
        <v>1</v>
      </c>
      <c r="AB456" s="285" t="s">
        <v>1</v>
      </c>
      <c r="AC456" s="286">
        <v>500</v>
      </c>
      <c r="AD456" s="285">
        <v>17.5</v>
      </c>
      <c r="AE456" s="285">
        <v>24</v>
      </c>
      <c r="AF456" s="285" t="s">
        <v>1</v>
      </c>
      <c r="AG456" s="285" t="s">
        <v>1</v>
      </c>
      <c r="AH456" s="286" t="s">
        <v>1</v>
      </c>
      <c r="AI456" s="295" t="s">
        <v>1</v>
      </c>
      <c r="AJ456" s="295" t="s">
        <v>1</v>
      </c>
      <c r="AK456" s="295" t="s">
        <v>1</v>
      </c>
      <c r="AL456" s="286" t="s">
        <v>1</v>
      </c>
      <c r="AM456" s="309" t="s">
        <v>1</v>
      </c>
      <c r="AN456" s="287" t="s">
        <v>1</v>
      </c>
      <c r="AO456" s="287" t="s">
        <v>1</v>
      </c>
      <c r="AP456" s="286" t="s">
        <v>1</v>
      </c>
      <c r="AQ456" s="285" t="s">
        <v>1</v>
      </c>
      <c r="AR456" s="289" t="s">
        <v>1</v>
      </c>
      <c r="AS456" s="289" t="s">
        <v>1</v>
      </c>
      <c r="AT456" s="290" t="s">
        <v>1</v>
      </c>
      <c r="AU456" s="287" t="s">
        <v>1</v>
      </c>
      <c r="AV456" s="287" t="s">
        <v>1</v>
      </c>
      <c r="AW456" s="291" t="s">
        <v>1</v>
      </c>
    </row>
    <row r="457" spans="1:49" ht="30.15" customHeight="1" x14ac:dyDescent="0.25">
      <c r="A457" s="188" t="s">
        <v>18</v>
      </c>
      <c r="B457" s="189" t="s">
        <v>1</v>
      </c>
      <c r="C457" s="212" t="s">
        <v>34</v>
      </c>
      <c r="D457" s="217" t="s">
        <v>5</v>
      </c>
      <c r="E457" s="217" t="s">
        <v>911</v>
      </c>
      <c r="F457" s="218"/>
      <c r="G457" s="217" t="s">
        <v>912</v>
      </c>
      <c r="H457" s="192" t="s">
        <v>409</v>
      </c>
      <c r="I457" s="193">
        <v>750</v>
      </c>
      <c r="J457" s="193">
        <v>750</v>
      </c>
      <c r="K457" s="193">
        <v>750</v>
      </c>
      <c r="L457" s="193">
        <v>750</v>
      </c>
      <c r="M457" s="194">
        <v>750</v>
      </c>
      <c r="N457" s="284">
        <v>300</v>
      </c>
      <c r="O457" s="285">
        <v>16.25</v>
      </c>
      <c r="P457" s="285">
        <v>24</v>
      </c>
      <c r="Q457" s="285" t="s">
        <v>1</v>
      </c>
      <c r="R457" s="285" t="s">
        <v>1</v>
      </c>
      <c r="S457" s="286">
        <v>300</v>
      </c>
      <c r="T457" s="285">
        <v>16.25</v>
      </c>
      <c r="U457" s="285">
        <v>24</v>
      </c>
      <c r="V457" s="285" t="s">
        <v>1</v>
      </c>
      <c r="W457" s="285" t="s">
        <v>1</v>
      </c>
      <c r="X457" s="286">
        <v>300</v>
      </c>
      <c r="Y457" s="285">
        <v>16.25</v>
      </c>
      <c r="Z457" s="285">
        <v>24</v>
      </c>
      <c r="AA457" s="285" t="s">
        <v>1</v>
      </c>
      <c r="AB457" s="285" t="s">
        <v>1</v>
      </c>
      <c r="AC457" s="286">
        <v>300</v>
      </c>
      <c r="AD457" s="285">
        <v>16.25</v>
      </c>
      <c r="AE457" s="285">
        <v>24</v>
      </c>
      <c r="AF457" s="285" t="s">
        <v>1</v>
      </c>
      <c r="AG457" s="285" t="s">
        <v>1</v>
      </c>
      <c r="AH457" s="286" t="s">
        <v>1</v>
      </c>
      <c r="AI457" s="295" t="s">
        <v>1</v>
      </c>
      <c r="AJ457" s="295" t="s">
        <v>1</v>
      </c>
      <c r="AK457" s="295" t="s">
        <v>1</v>
      </c>
      <c r="AL457" s="286" t="s">
        <v>1</v>
      </c>
      <c r="AM457" s="309" t="s">
        <v>1</v>
      </c>
      <c r="AN457" s="287" t="s">
        <v>1</v>
      </c>
      <c r="AO457" s="287" t="s">
        <v>1</v>
      </c>
      <c r="AP457" s="286" t="s">
        <v>1</v>
      </c>
      <c r="AQ457" s="285" t="s">
        <v>1</v>
      </c>
      <c r="AR457" s="289" t="s">
        <v>1</v>
      </c>
      <c r="AS457" s="289" t="s">
        <v>1</v>
      </c>
      <c r="AT457" s="290" t="s">
        <v>1</v>
      </c>
      <c r="AU457" s="287" t="s">
        <v>1</v>
      </c>
      <c r="AV457" s="287" t="s">
        <v>1</v>
      </c>
      <c r="AW457" s="291" t="s">
        <v>1</v>
      </c>
    </row>
    <row r="458" spans="1:49" ht="30.15" customHeight="1" x14ac:dyDescent="0.25">
      <c r="A458" s="188" t="s">
        <v>18</v>
      </c>
      <c r="B458" s="189" t="s">
        <v>1</v>
      </c>
      <c r="C458" s="212" t="s">
        <v>34</v>
      </c>
      <c r="D458" s="217" t="s">
        <v>5</v>
      </c>
      <c r="E458" s="217" t="s">
        <v>1025</v>
      </c>
      <c r="F458" s="218"/>
      <c r="G458" s="217" t="s">
        <v>912</v>
      </c>
      <c r="H458" s="192" t="s">
        <v>1026</v>
      </c>
      <c r="I458" s="193">
        <v>750</v>
      </c>
      <c r="J458" s="193">
        <v>750</v>
      </c>
      <c r="K458" s="193">
        <v>750</v>
      </c>
      <c r="L458" s="193">
        <v>750</v>
      </c>
      <c r="M458" s="194">
        <v>750</v>
      </c>
      <c r="N458" s="284">
        <v>300</v>
      </c>
      <c r="O458" s="285">
        <v>16.25</v>
      </c>
      <c r="P458" s="285">
        <v>24</v>
      </c>
      <c r="Q458" s="285" t="s">
        <v>1</v>
      </c>
      <c r="R458" s="285" t="s">
        <v>1</v>
      </c>
      <c r="S458" s="286">
        <v>300</v>
      </c>
      <c r="T458" s="285">
        <v>16.25</v>
      </c>
      <c r="U458" s="285">
        <v>24</v>
      </c>
      <c r="V458" s="285" t="s">
        <v>1</v>
      </c>
      <c r="W458" s="285" t="s">
        <v>1</v>
      </c>
      <c r="X458" s="286">
        <v>300</v>
      </c>
      <c r="Y458" s="285">
        <v>16.25</v>
      </c>
      <c r="Z458" s="285">
        <v>24</v>
      </c>
      <c r="AA458" s="285" t="s">
        <v>1</v>
      </c>
      <c r="AB458" s="285" t="s">
        <v>1</v>
      </c>
      <c r="AC458" s="286">
        <v>300</v>
      </c>
      <c r="AD458" s="285">
        <v>16.25</v>
      </c>
      <c r="AE458" s="285">
        <v>24</v>
      </c>
      <c r="AF458" s="285" t="s">
        <v>1</v>
      </c>
      <c r="AG458" s="285" t="s">
        <v>1</v>
      </c>
      <c r="AH458" s="286" t="s">
        <v>1</v>
      </c>
      <c r="AI458" s="295" t="s">
        <v>1</v>
      </c>
      <c r="AJ458" s="295" t="s">
        <v>1</v>
      </c>
      <c r="AK458" s="295" t="s">
        <v>1</v>
      </c>
      <c r="AL458" s="286" t="s">
        <v>1</v>
      </c>
      <c r="AM458" s="309" t="s">
        <v>1</v>
      </c>
      <c r="AN458" s="287" t="s">
        <v>1</v>
      </c>
      <c r="AO458" s="287" t="s">
        <v>1</v>
      </c>
      <c r="AP458" s="286" t="s">
        <v>1</v>
      </c>
      <c r="AQ458" s="285" t="s">
        <v>1</v>
      </c>
      <c r="AR458" s="289" t="s">
        <v>1</v>
      </c>
      <c r="AS458" s="289" t="s">
        <v>1</v>
      </c>
      <c r="AT458" s="290" t="s">
        <v>1</v>
      </c>
      <c r="AU458" s="287" t="s">
        <v>1</v>
      </c>
      <c r="AV458" s="287" t="s">
        <v>1</v>
      </c>
      <c r="AW458" s="291" t="s">
        <v>1</v>
      </c>
    </row>
    <row r="459" spans="1:49" ht="30.15" customHeight="1" x14ac:dyDescent="0.25">
      <c r="A459" s="188" t="s">
        <v>18</v>
      </c>
      <c r="B459" s="189" t="s">
        <v>1</v>
      </c>
      <c r="C459" s="212" t="s">
        <v>34</v>
      </c>
      <c r="D459" s="190" t="s">
        <v>145</v>
      </c>
      <c r="E459" s="190" t="s">
        <v>344</v>
      </c>
      <c r="F459" s="203"/>
      <c r="G459" s="190" t="s">
        <v>343</v>
      </c>
      <c r="H459" s="192" t="s">
        <v>409</v>
      </c>
      <c r="I459" s="193">
        <v>333</v>
      </c>
      <c r="J459" s="193">
        <v>333</v>
      </c>
      <c r="K459" s="193">
        <v>333</v>
      </c>
      <c r="L459" s="193">
        <v>240</v>
      </c>
      <c r="M459" s="194">
        <v>240</v>
      </c>
      <c r="N459" s="284">
        <v>96</v>
      </c>
      <c r="O459" s="285" t="s">
        <v>1</v>
      </c>
      <c r="P459" s="285" t="s">
        <v>1</v>
      </c>
      <c r="Q459" s="285" t="s">
        <v>1</v>
      </c>
      <c r="R459" s="285" t="s">
        <v>1</v>
      </c>
      <c r="S459" s="286">
        <v>96</v>
      </c>
      <c r="T459" s="285" t="s">
        <v>1</v>
      </c>
      <c r="U459" s="285" t="s">
        <v>1</v>
      </c>
      <c r="V459" s="285" t="s">
        <v>1</v>
      </c>
      <c r="W459" s="285" t="s">
        <v>1</v>
      </c>
      <c r="X459" s="286">
        <v>96</v>
      </c>
      <c r="Y459" s="285" t="s">
        <v>1</v>
      </c>
      <c r="Z459" s="285" t="s">
        <v>1</v>
      </c>
      <c r="AA459" s="285" t="s">
        <v>1</v>
      </c>
      <c r="AB459" s="285" t="s">
        <v>1</v>
      </c>
      <c r="AC459" s="286">
        <v>96</v>
      </c>
      <c r="AD459" s="285" t="s">
        <v>1</v>
      </c>
      <c r="AE459" s="285" t="s">
        <v>1</v>
      </c>
      <c r="AF459" s="285" t="s">
        <v>1</v>
      </c>
      <c r="AG459" s="285" t="s">
        <v>1</v>
      </c>
      <c r="AH459" s="286">
        <v>96</v>
      </c>
      <c r="AI459" s="295" t="s">
        <v>1</v>
      </c>
      <c r="AJ459" s="295" t="s">
        <v>1</v>
      </c>
      <c r="AK459" s="295" t="s">
        <v>1</v>
      </c>
      <c r="AL459" s="286" t="s">
        <v>1</v>
      </c>
      <c r="AM459" s="309" t="s">
        <v>1</v>
      </c>
      <c r="AN459" s="287" t="s">
        <v>1</v>
      </c>
      <c r="AO459" s="287" t="s">
        <v>1</v>
      </c>
      <c r="AP459" s="286" t="s">
        <v>1</v>
      </c>
      <c r="AQ459" s="285" t="s">
        <v>1</v>
      </c>
      <c r="AR459" s="289" t="s">
        <v>1</v>
      </c>
      <c r="AS459" s="289" t="s">
        <v>1</v>
      </c>
      <c r="AT459" s="290" t="s">
        <v>1</v>
      </c>
      <c r="AU459" s="287" t="s">
        <v>1</v>
      </c>
      <c r="AV459" s="287" t="s">
        <v>1</v>
      </c>
      <c r="AW459" s="291" t="s">
        <v>1</v>
      </c>
    </row>
    <row r="460" spans="1:49" ht="30.15" customHeight="1" x14ac:dyDescent="0.25">
      <c r="A460" s="190" t="s">
        <v>18</v>
      </c>
      <c r="B460" s="189" t="s">
        <v>1</v>
      </c>
      <c r="C460" s="212" t="s">
        <v>34</v>
      </c>
      <c r="D460" s="190" t="s">
        <v>6</v>
      </c>
      <c r="E460" s="190" t="s">
        <v>530</v>
      </c>
      <c r="F460" s="203"/>
      <c r="G460" s="190" t="s">
        <v>529</v>
      </c>
      <c r="H460" s="192" t="s">
        <v>409</v>
      </c>
      <c r="I460" s="193">
        <v>279</v>
      </c>
      <c r="J460" s="193">
        <v>279</v>
      </c>
      <c r="K460" s="193">
        <v>279</v>
      </c>
      <c r="L460" s="193">
        <v>230</v>
      </c>
      <c r="M460" s="194">
        <v>230</v>
      </c>
      <c r="N460" s="284">
        <v>92</v>
      </c>
      <c r="O460" s="285" t="s">
        <v>1</v>
      </c>
      <c r="P460" s="285" t="s">
        <v>1</v>
      </c>
      <c r="Q460" s="285" t="s">
        <v>1</v>
      </c>
      <c r="R460" s="285" t="s">
        <v>1</v>
      </c>
      <c r="S460" s="286">
        <v>92</v>
      </c>
      <c r="T460" s="285" t="s">
        <v>1</v>
      </c>
      <c r="U460" s="285" t="s">
        <v>1</v>
      </c>
      <c r="V460" s="285" t="s">
        <v>1</v>
      </c>
      <c r="W460" s="285" t="s">
        <v>1</v>
      </c>
      <c r="X460" s="286">
        <v>92</v>
      </c>
      <c r="Y460" s="285" t="s">
        <v>1</v>
      </c>
      <c r="Z460" s="285" t="s">
        <v>1</v>
      </c>
      <c r="AA460" s="285" t="s">
        <v>1</v>
      </c>
      <c r="AB460" s="285" t="s">
        <v>1</v>
      </c>
      <c r="AC460" s="286">
        <v>92</v>
      </c>
      <c r="AD460" s="285" t="s">
        <v>1</v>
      </c>
      <c r="AE460" s="285" t="s">
        <v>1</v>
      </c>
      <c r="AF460" s="285" t="s">
        <v>1</v>
      </c>
      <c r="AG460" s="285" t="s">
        <v>1</v>
      </c>
      <c r="AH460" s="286">
        <v>92</v>
      </c>
      <c r="AI460" s="295" t="s">
        <v>1</v>
      </c>
      <c r="AJ460" s="295" t="s">
        <v>1</v>
      </c>
      <c r="AK460" s="295" t="s">
        <v>1</v>
      </c>
      <c r="AL460" s="286" t="s">
        <v>1</v>
      </c>
      <c r="AM460" s="309" t="s">
        <v>1</v>
      </c>
      <c r="AN460" s="287" t="s">
        <v>1</v>
      </c>
      <c r="AO460" s="287" t="s">
        <v>1</v>
      </c>
      <c r="AP460" s="286" t="s">
        <v>1</v>
      </c>
      <c r="AQ460" s="285" t="s">
        <v>1</v>
      </c>
      <c r="AR460" s="289" t="s">
        <v>1</v>
      </c>
      <c r="AS460" s="289" t="s">
        <v>1</v>
      </c>
      <c r="AT460" s="290" t="s">
        <v>1</v>
      </c>
      <c r="AU460" s="287" t="s">
        <v>1</v>
      </c>
      <c r="AV460" s="287" t="s">
        <v>1</v>
      </c>
      <c r="AW460" s="291" t="s">
        <v>1</v>
      </c>
    </row>
    <row r="461" spans="1:49" ht="30.15" customHeight="1" x14ac:dyDescent="0.25">
      <c r="A461" s="190" t="s">
        <v>18</v>
      </c>
      <c r="B461" s="189" t="s">
        <v>1</v>
      </c>
      <c r="C461" s="212" t="s">
        <v>34</v>
      </c>
      <c r="D461" s="190" t="s">
        <v>6</v>
      </c>
      <c r="E461" s="190" t="s">
        <v>585</v>
      </c>
      <c r="F461" s="203"/>
      <c r="G461" s="190" t="s">
        <v>586</v>
      </c>
      <c r="H461" s="192" t="s">
        <v>409</v>
      </c>
      <c r="I461" s="193">
        <v>280</v>
      </c>
      <c r="J461" s="193">
        <v>280</v>
      </c>
      <c r="K461" s="193">
        <v>280</v>
      </c>
      <c r="L461" s="193">
        <v>250</v>
      </c>
      <c r="M461" s="194">
        <v>250</v>
      </c>
      <c r="N461" s="284">
        <v>100</v>
      </c>
      <c r="O461" s="285">
        <v>5.42</v>
      </c>
      <c r="P461" s="285">
        <v>24</v>
      </c>
      <c r="Q461" s="285" t="s">
        <v>1</v>
      </c>
      <c r="R461" s="285" t="s">
        <v>1</v>
      </c>
      <c r="S461" s="286">
        <v>100</v>
      </c>
      <c r="T461" s="285">
        <v>5.42</v>
      </c>
      <c r="U461" s="285">
        <v>24</v>
      </c>
      <c r="V461" s="285" t="s">
        <v>1</v>
      </c>
      <c r="W461" s="285" t="s">
        <v>1</v>
      </c>
      <c r="X461" s="286">
        <v>100</v>
      </c>
      <c r="Y461" s="285">
        <v>5.42</v>
      </c>
      <c r="Z461" s="285">
        <v>24</v>
      </c>
      <c r="AA461" s="285" t="s">
        <v>1</v>
      </c>
      <c r="AB461" s="285" t="s">
        <v>1</v>
      </c>
      <c r="AC461" s="286">
        <v>100</v>
      </c>
      <c r="AD461" s="285">
        <v>5.42</v>
      </c>
      <c r="AE461" s="285">
        <v>24</v>
      </c>
      <c r="AF461" s="285" t="s">
        <v>1</v>
      </c>
      <c r="AG461" s="285" t="s">
        <v>1</v>
      </c>
      <c r="AH461" s="286">
        <v>100</v>
      </c>
      <c r="AI461" s="295" t="s">
        <v>1</v>
      </c>
      <c r="AJ461" s="295" t="s">
        <v>1</v>
      </c>
      <c r="AK461" s="295" t="s">
        <v>1</v>
      </c>
      <c r="AL461" s="286" t="s">
        <v>1</v>
      </c>
      <c r="AM461" s="309" t="s">
        <v>1</v>
      </c>
      <c r="AN461" s="287" t="s">
        <v>1</v>
      </c>
      <c r="AO461" s="287" t="s">
        <v>1</v>
      </c>
      <c r="AP461" s="286" t="s">
        <v>1</v>
      </c>
      <c r="AQ461" s="285" t="s">
        <v>1</v>
      </c>
      <c r="AR461" s="289" t="s">
        <v>1</v>
      </c>
      <c r="AS461" s="289" t="s">
        <v>1</v>
      </c>
      <c r="AT461" s="290" t="s">
        <v>1</v>
      </c>
      <c r="AU461" s="287" t="s">
        <v>1</v>
      </c>
      <c r="AV461" s="287" t="s">
        <v>1</v>
      </c>
      <c r="AW461" s="291" t="s">
        <v>1</v>
      </c>
    </row>
    <row r="462" spans="1:49" ht="30.15" customHeight="1" x14ac:dyDescent="0.25">
      <c r="A462" s="190" t="s">
        <v>18</v>
      </c>
      <c r="B462" s="189" t="s">
        <v>1</v>
      </c>
      <c r="C462" s="212" t="s">
        <v>34</v>
      </c>
      <c r="D462" s="190" t="s">
        <v>6</v>
      </c>
      <c r="E462" s="190" t="s">
        <v>928</v>
      </c>
      <c r="F462" s="203"/>
      <c r="G462" s="190" t="s">
        <v>929</v>
      </c>
      <c r="H462" s="192" t="s">
        <v>409</v>
      </c>
      <c r="I462" s="193">
        <v>200</v>
      </c>
      <c r="J462" s="193">
        <v>200</v>
      </c>
      <c r="K462" s="193">
        <v>200</v>
      </c>
      <c r="L462" s="193">
        <v>240</v>
      </c>
      <c r="M462" s="194">
        <v>240</v>
      </c>
      <c r="N462" s="284">
        <v>96</v>
      </c>
      <c r="O462" s="285">
        <v>0</v>
      </c>
      <c r="P462" s="285">
        <v>24</v>
      </c>
      <c r="Q462" s="285" t="s">
        <v>1</v>
      </c>
      <c r="R462" s="285" t="s">
        <v>1</v>
      </c>
      <c r="S462" s="286">
        <v>96</v>
      </c>
      <c r="T462" s="285">
        <v>0</v>
      </c>
      <c r="U462" s="285">
        <v>24</v>
      </c>
      <c r="V462" s="285" t="s">
        <v>1</v>
      </c>
      <c r="W462" s="285" t="s">
        <v>1</v>
      </c>
      <c r="X462" s="286">
        <v>96</v>
      </c>
      <c r="Y462" s="285">
        <v>9</v>
      </c>
      <c r="Z462" s="285">
        <v>24</v>
      </c>
      <c r="AA462" s="285" t="s">
        <v>1</v>
      </c>
      <c r="AB462" s="285" t="s">
        <v>1</v>
      </c>
      <c r="AC462" s="286">
        <v>96</v>
      </c>
      <c r="AD462" s="285">
        <v>9</v>
      </c>
      <c r="AE462" s="285">
        <v>24</v>
      </c>
      <c r="AF462" s="285" t="s">
        <v>1</v>
      </c>
      <c r="AG462" s="285" t="s">
        <v>1</v>
      </c>
      <c r="AH462" s="286">
        <v>96</v>
      </c>
      <c r="AI462" s="295" t="s">
        <v>1</v>
      </c>
      <c r="AJ462" s="295" t="s">
        <v>1</v>
      </c>
      <c r="AK462" s="295" t="s">
        <v>1</v>
      </c>
      <c r="AL462" s="286" t="s">
        <v>1</v>
      </c>
      <c r="AM462" s="309" t="s">
        <v>1</v>
      </c>
      <c r="AN462" s="287" t="s">
        <v>1</v>
      </c>
      <c r="AO462" s="287" t="s">
        <v>1</v>
      </c>
      <c r="AP462" s="286" t="s">
        <v>1</v>
      </c>
      <c r="AQ462" s="285" t="s">
        <v>1</v>
      </c>
      <c r="AR462" s="289" t="s">
        <v>1</v>
      </c>
      <c r="AS462" s="289" t="s">
        <v>1</v>
      </c>
      <c r="AT462" s="290" t="s">
        <v>1</v>
      </c>
      <c r="AU462" s="287" t="s">
        <v>1</v>
      </c>
      <c r="AV462" s="287" t="s">
        <v>1</v>
      </c>
      <c r="AW462" s="291" t="s">
        <v>1</v>
      </c>
    </row>
    <row r="463" spans="1:49" ht="30.15" customHeight="1" x14ac:dyDescent="0.25">
      <c r="A463" s="190" t="s">
        <v>18</v>
      </c>
      <c r="B463" s="189" t="s">
        <v>1</v>
      </c>
      <c r="C463" s="212" t="s">
        <v>34</v>
      </c>
      <c r="D463" s="190" t="s">
        <v>6</v>
      </c>
      <c r="E463" s="190" t="s">
        <v>1020</v>
      </c>
      <c r="F463" s="203"/>
      <c r="G463" s="190" t="s">
        <v>1021</v>
      </c>
      <c r="H463" s="192" t="s">
        <v>409</v>
      </c>
      <c r="I463" s="193">
        <v>300</v>
      </c>
      <c r="J463" s="193">
        <v>300</v>
      </c>
      <c r="K463" s="193">
        <v>300</v>
      </c>
      <c r="L463" s="193">
        <v>360</v>
      </c>
      <c r="M463" s="194">
        <v>360</v>
      </c>
      <c r="N463" s="284">
        <v>144</v>
      </c>
      <c r="O463" s="285">
        <v>1.46</v>
      </c>
      <c r="P463" s="285">
        <v>24</v>
      </c>
      <c r="Q463" s="285" t="s">
        <v>1</v>
      </c>
      <c r="R463" s="285" t="s">
        <v>1</v>
      </c>
      <c r="S463" s="286">
        <v>144</v>
      </c>
      <c r="T463" s="285">
        <v>1.46</v>
      </c>
      <c r="U463" s="285">
        <v>24</v>
      </c>
      <c r="V463" s="285" t="s">
        <v>1</v>
      </c>
      <c r="W463" s="285" t="s">
        <v>1</v>
      </c>
      <c r="X463" s="286">
        <v>144</v>
      </c>
      <c r="Y463" s="285">
        <v>14</v>
      </c>
      <c r="Z463" s="285">
        <v>24</v>
      </c>
      <c r="AA463" s="285" t="s">
        <v>1</v>
      </c>
      <c r="AB463" s="285" t="s">
        <v>1</v>
      </c>
      <c r="AC463" s="286">
        <v>144</v>
      </c>
      <c r="AD463" s="285">
        <v>14</v>
      </c>
      <c r="AE463" s="285">
        <v>24</v>
      </c>
      <c r="AF463" s="285" t="s">
        <v>1</v>
      </c>
      <c r="AG463" s="285" t="s">
        <v>1</v>
      </c>
      <c r="AH463" s="286">
        <v>144</v>
      </c>
      <c r="AI463" s="295" t="s">
        <v>1</v>
      </c>
      <c r="AJ463" s="295" t="s">
        <v>1</v>
      </c>
      <c r="AK463" s="295" t="s">
        <v>1</v>
      </c>
      <c r="AL463" s="286" t="s">
        <v>1</v>
      </c>
      <c r="AM463" s="309" t="s">
        <v>1</v>
      </c>
      <c r="AN463" s="287" t="s">
        <v>1</v>
      </c>
      <c r="AO463" s="287" t="s">
        <v>1</v>
      </c>
      <c r="AP463" s="286" t="s">
        <v>1</v>
      </c>
      <c r="AQ463" s="285" t="s">
        <v>1</v>
      </c>
      <c r="AR463" s="289" t="s">
        <v>1</v>
      </c>
      <c r="AS463" s="289" t="s">
        <v>1</v>
      </c>
      <c r="AT463" s="290" t="s">
        <v>1</v>
      </c>
      <c r="AU463" s="287" t="s">
        <v>1</v>
      </c>
      <c r="AV463" s="287" t="s">
        <v>1</v>
      </c>
      <c r="AW463" s="291" t="s">
        <v>1</v>
      </c>
    </row>
    <row r="464" spans="1:49" ht="30.15" customHeight="1" x14ac:dyDescent="0.25">
      <c r="A464" s="188" t="s">
        <v>18</v>
      </c>
      <c r="B464" s="188" t="s">
        <v>1</v>
      </c>
      <c r="C464" s="212" t="s">
        <v>34</v>
      </c>
      <c r="D464" s="190" t="s">
        <v>6</v>
      </c>
      <c r="E464" s="190" t="s">
        <v>723</v>
      </c>
      <c r="F464" s="203"/>
      <c r="G464" s="190" t="s">
        <v>722</v>
      </c>
      <c r="H464" s="192" t="s">
        <v>409</v>
      </c>
      <c r="I464" s="193">
        <v>150</v>
      </c>
      <c r="J464" s="193">
        <v>150</v>
      </c>
      <c r="K464" s="193">
        <v>150</v>
      </c>
      <c r="L464" s="193">
        <v>150</v>
      </c>
      <c r="M464" s="194">
        <v>150</v>
      </c>
      <c r="N464" s="284">
        <v>60</v>
      </c>
      <c r="O464" s="285" t="s">
        <v>1</v>
      </c>
      <c r="P464" s="285" t="s">
        <v>1</v>
      </c>
      <c r="Q464" s="285" t="s">
        <v>1</v>
      </c>
      <c r="R464" s="285" t="s">
        <v>1</v>
      </c>
      <c r="S464" s="286">
        <v>60</v>
      </c>
      <c r="T464" s="285" t="s">
        <v>1</v>
      </c>
      <c r="U464" s="285" t="s">
        <v>1</v>
      </c>
      <c r="V464" s="285" t="s">
        <v>1</v>
      </c>
      <c r="W464" s="285" t="s">
        <v>1</v>
      </c>
      <c r="X464" s="286">
        <v>60</v>
      </c>
      <c r="Y464" s="285" t="s">
        <v>1</v>
      </c>
      <c r="Z464" s="285" t="s">
        <v>1</v>
      </c>
      <c r="AA464" s="285" t="s">
        <v>1</v>
      </c>
      <c r="AB464" s="285" t="s">
        <v>1</v>
      </c>
      <c r="AC464" s="286">
        <v>60</v>
      </c>
      <c r="AD464" s="285" t="s">
        <v>1</v>
      </c>
      <c r="AE464" s="285" t="s">
        <v>1</v>
      </c>
      <c r="AF464" s="285" t="s">
        <v>1</v>
      </c>
      <c r="AG464" s="285" t="s">
        <v>1</v>
      </c>
      <c r="AH464" s="286">
        <v>60</v>
      </c>
      <c r="AI464" s="295" t="s">
        <v>1</v>
      </c>
      <c r="AJ464" s="295" t="s">
        <v>1</v>
      </c>
      <c r="AK464" s="295" t="s">
        <v>1</v>
      </c>
      <c r="AL464" s="286" t="s">
        <v>1</v>
      </c>
      <c r="AM464" s="309" t="s">
        <v>1</v>
      </c>
      <c r="AN464" s="287" t="s">
        <v>1</v>
      </c>
      <c r="AO464" s="287" t="s">
        <v>1</v>
      </c>
      <c r="AP464" s="286" t="s">
        <v>1</v>
      </c>
      <c r="AQ464" s="285" t="s">
        <v>1</v>
      </c>
      <c r="AR464" s="289" t="s">
        <v>1</v>
      </c>
      <c r="AS464" s="289" t="s">
        <v>1</v>
      </c>
      <c r="AT464" s="290" t="s">
        <v>1</v>
      </c>
      <c r="AU464" s="287" t="s">
        <v>1</v>
      </c>
      <c r="AV464" s="287" t="s">
        <v>1</v>
      </c>
      <c r="AW464" s="291" t="s">
        <v>1</v>
      </c>
    </row>
    <row r="465" spans="1:49" ht="30.15" customHeight="1" x14ac:dyDescent="0.25">
      <c r="A465" s="188" t="s">
        <v>18</v>
      </c>
      <c r="B465" s="188" t="s">
        <v>1</v>
      </c>
      <c r="C465" s="212" t="s">
        <v>34</v>
      </c>
      <c r="D465" s="190" t="s">
        <v>6</v>
      </c>
      <c r="E465" s="190" t="s">
        <v>904</v>
      </c>
      <c r="F465" s="203"/>
      <c r="G465" s="190" t="s">
        <v>905</v>
      </c>
      <c r="H465" s="192" t="s">
        <v>409</v>
      </c>
      <c r="I465" s="193">
        <v>150</v>
      </c>
      <c r="J465" s="193">
        <v>150</v>
      </c>
      <c r="K465" s="193">
        <v>150</v>
      </c>
      <c r="L465" s="193">
        <v>150</v>
      </c>
      <c r="M465" s="194">
        <v>150</v>
      </c>
      <c r="N465" s="284">
        <v>60</v>
      </c>
      <c r="O465" s="285" t="s">
        <v>1</v>
      </c>
      <c r="P465" s="285" t="s">
        <v>1</v>
      </c>
      <c r="Q465" s="285" t="s">
        <v>1</v>
      </c>
      <c r="R465" s="285" t="s">
        <v>1</v>
      </c>
      <c r="S465" s="286">
        <v>60</v>
      </c>
      <c r="T465" s="285" t="s">
        <v>1</v>
      </c>
      <c r="U465" s="285" t="s">
        <v>1</v>
      </c>
      <c r="V465" s="285" t="s">
        <v>1</v>
      </c>
      <c r="W465" s="285" t="s">
        <v>1</v>
      </c>
      <c r="X465" s="286">
        <v>60</v>
      </c>
      <c r="Y465" s="285" t="s">
        <v>1</v>
      </c>
      <c r="Z465" s="285" t="s">
        <v>1</v>
      </c>
      <c r="AA465" s="285" t="s">
        <v>1</v>
      </c>
      <c r="AB465" s="285" t="s">
        <v>1</v>
      </c>
      <c r="AC465" s="286">
        <v>60</v>
      </c>
      <c r="AD465" s="285" t="s">
        <v>1</v>
      </c>
      <c r="AE465" s="285" t="s">
        <v>1</v>
      </c>
      <c r="AF465" s="285" t="s">
        <v>1</v>
      </c>
      <c r="AG465" s="285" t="s">
        <v>1</v>
      </c>
      <c r="AH465" s="286">
        <v>60</v>
      </c>
      <c r="AI465" s="295" t="s">
        <v>1</v>
      </c>
      <c r="AJ465" s="295" t="s">
        <v>1</v>
      </c>
      <c r="AK465" s="295" t="s">
        <v>1</v>
      </c>
      <c r="AL465" s="286" t="s">
        <v>1</v>
      </c>
      <c r="AM465" s="309" t="s">
        <v>1</v>
      </c>
      <c r="AN465" s="287" t="s">
        <v>1</v>
      </c>
      <c r="AO465" s="287" t="s">
        <v>1</v>
      </c>
      <c r="AP465" s="286" t="s">
        <v>1</v>
      </c>
      <c r="AQ465" s="285" t="s">
        <v>1</v>
      </c>
      <c r="AR465" s="289" t="s">
        <v>1</v>
      </c>
      <c r="AS465" s="289" t="s">
        <v>1</v>
      </c>
      <c r="AT465" s="290" t="s">
        <v>1</v>
      </c>
      <c r="AU465" s="287" t="s">
        <v>1</v>
      </c>
      <c r="AV465" s="287" t="s">
        <v>1</v>
      </c>
      <c r="AW465" s="291" t="s">
        <v>1</v>
      </c>
    </row>
    <row r="466" spans="1:49" ht="30.15" customHeight="1" x14ac:dyDescent="0.25">
      <c r="A466" s="188" t="s">
        <v>18</v>
      </c>
      <c r="B466" s="188" t="s">
        <v>1</v>
      </c>
      <c r="C466" s="212" t="s">
        <v>34</v>
      </c>
      <c r="D466" s="190" t="s">
        <v>6</v>
      </c>
      <c r="E466" s="190" t="s">
        <v>1229</v>
      </c>
      <c r="F466" s="203"/>
      <c r="G466" s="190" t="s">
        <v>1231</v>
      </c>
      <c r="H466" s="192" t="s">
        <v>409</v>
      </c>
      <c r="I466" s="193">
        <v>0</v>
      </c>
      <c r="J466" s="193">
        <v>0</v>
      </c>
      <c r="K466" s="193">
        <v>0</v>
      </c>
      <c r="L466" s="193">
        <v>0</v>
      </c>
      <c r="M466" s="194">
        <v>0</v>
      </c>
      <c r="N466" s="284" t="s">
        <v>1</v>
      </c>
      <c r="O466" s="285" t="s">
        <v>1</v>
      </c>
      <c r="P466" s="285" t="s">
        <v>1</v>
      </c>
      <c r="Q466" s="285" t="s">
        <v>1</v>
      </c>
      <c r="R466" s="285" t="s">
        <v>1</v>
      </c>
      <c r="S466" s="286" t="s">
        <v>1</v>
      </c>
      <c r="T466" s="285" t="s">
        <v>1</v>
      </c>
      <c r="U466" s="285" t="s">
        <v>1</v>
      </c>
      <c r="V466" s="285" t="s">
        <v>1</v>
      </c>
      <c r="W466" s="285" t="s">
        <v>1</v>
      </c>
      <c r="X466" s="286" t="s">
        <v>1</v>
      </c>
      <c r="Y466" s="285" t="s">
        <v>1</v>
      </c>
      <c r="Z466" s="285" t="s">
        <v>1</v>
      </c>
      <c r="AA466" s="285" t="s">
        <v>1</v>
      </c>
      <c r="AB466" s="285" t="s">
        <v>1</v>
      </c>
      <c r="AC466" s="286" t="s">
        <v>1</v>
      </c>
      <c r="AD466" s="285" t="s">
        <v>1</v>
      </c>
      <c r="AE466" s="285" t="s">
        <v>1</v>
      </c>
      <c r="AF466" s="285" t="s">
        <v>1</v>
      </c>
      <c r="AG466" s="285" t="s">
        <v>1</v>
      </c>
      <c r="AH466" s="286" t="s">
        <v>1</v>
      </c>
      <c r="AI466" s="295" t="s">
        <v>1</v>
      </c>
      <c r="AJ466" s="295" t="s">
        <v>1</v>
      </c>
      <c r="AK466" s="295" t="s">
        <v>1</v>
      </c>
      <c r="AL466" s="286" t="s">
        <v>1</v>
      </c>
      <c r="AM466" s="309" t="s">
        <v>1</v>
      </c>
      <c r="AN466" s="287" t="s">
        <v>1</v>
      </c>
      <c r="AO466" s="287" t="s">
        <v>1</v>
      </c>
      <c r="AP466" s="286" t="s">
        <v>1</v>
      </c>
      <c r="AQ466" s="285" t="s">
        <v>1</v>
      </c>
      <c r="AR466" s="289" t="s">
        <v>1</v>
      </c>
      <c r="AS466" s="289" t="s">
        <v>1</v>
      </c>
      <c r="AT466" s="290" t="s">
        <v>1</v>
      </c>
      <c r="AU466" s="287" t="s">
        <v>1</v>
      </c>
      <c r="AV466" s="287" t="s">
        <v>1</v>
      </c>
      <c r="AW466" s="291" t="s">
        <v>1</v>
      </c>
    </row>
    <row r="467" spans="1:49" ht="30.15" customHeight="1" x14ac:dyDescent="0.25">
      <c r="A467" s="188" t="s">
        <v>18</v>
      </c>
      <c r="B467" s="188" t="s">
        <v>1</v>
      </c>
      <c r="C467" s="212" t="s">
        <v>34</v>
      </c>
      <c r="D467" s="190" t="s">
        <v>6</v>
      </c>
      <c r="E467" s="190" t="s">
        <v>1230</v>
      </c>
      <c r="F467" s="203"/>
      <c r="G467" s="190" t="s">
        <v>1232</v>
      </c>
      <c r="H467" s="192" t="s">
        <v>409</v>
      </c>
      <c r="I467" s="193">
        <v>0</v>
      </c>
      <c r="J467" s="193">
        <v>0</v>
      </c>
      <c r="K467" s="193">
        <v>0</v>
      </c>
      <c r="L467" s="193">
        <v>0</v>
      </c>
      <c r="M467" s="194">
        <v>0</v>
      </c>
      <c r="N467" s="284" t="s">
        <v>1</v>
      </c>
      <c r="O467" s="285" t="s">
        <v>1</v>
      </c>
      <c r="P467" s="285" t="s">
        <v>1</v>
      </c>
      <c r="Q467" s="285" t="s">
        <v>1</v>
      </c>
      <c r="R467" s="285" t="s">
        <v>1</v>
      </c>
      <c r="S467" s="286" t="s">
        <v>1</v>
      </c>
      <c r="T467" s="285" t="s">
        <v>1</v>
      </c>
      <c r="U467" s="285" t="s">
        <v>1</v>
      </c>
      <c r="V467" s="285" t="s">
        <v>1</v>
      </c>
      <c r="W467" s="285" t="s">
        <v>1</v>
      </c>
      <c r="X467" s="286" t="s">
        <v>1</v>
      </c>
      <c r="Y467" s="285" t="s">
        <v>1</v>
      </c>
      <c r="Z467" s="285" t="s">
        <v>1</v>
      </c>
      <c r="AA467" s="285" t="s">
        <v>1</v>
      </c>
      <c r="AB467" s="285" t="s">
        <v>1</v>
      </c>
      <c r="AC467" s="286" t="s">
        <v>1</v>
      </c>
      <c r="AD467" s="285" t="s">
        <v>1</v>
      </c>
      <c r="AE467" s="285" t="s">
        <v>1</v>
      </c>
      <c r="AF467" s="285" t="s">
        <v>1</v>
      </c>
      <c r="AG467" s="285" t="s">
        <v>1</v>
      </c>
      <c r="AH467" s="286" t="s">
        <v>1</v>
      </c>
      <c r="AI467" s="295" t="s">
        <v>1</v>
      </c>
      <c r="AJ467" s="295" t="s">
        <v>1</v>
      </c>
      <c r="AK467" s="295" t="s">
        <v>1</v>
      </c>
      <c r="AL467" s="286" t="s">
        <v>1</v>
      </c>
      <c r="AM467" s="309" t="s">
        <v>1</v>
      </c>
      <c r="AN467" s="287" t="s">
        <v>1</v>
      </c>
      <c r="AO467" s="287" t="s">
        <v>1</v>
      </c>
      <c r="AP467" s="286" t="s">
        <v>1</v>
      </c>
      <c r="AQ467" s="285" t="s">
        <v>1</v>
      </c>
      <c r="AR467" s="289" t="s">
        <v>1</v>
      </c>
      <c r="AS467" s="289" t="s">
        <v>1</v>
      </c>
      <c r="AT467" s="290" t="s">
        <v>1</v>
      </c>
      <c r="AU467" s="287" t="s">
        <v>1</v>
      </c>
      <c r="AV467" s="287" t="s">
        <v>1</v>
      </c>
      <c r="AW467" s="291" t="s">
        <v>1</v>
      </c>
    </row>
    <row r="468" spans="1:49" ht="30.15" customHeight="1" x14ac:dyDescent="0.25">
      <c r="A468" s="190" t="s">
        <v>18</v>
      </c>
      <c r="B468" s="189" t="s">
        <v>1</v>
      </c>
      <c r="C468" s="212" t="s">
        <v>34</v>
      </c>
      <c r="D468" s="190" t="s">
        <v>6</v>
      </c>
      <c r="E468" s="190" t="s">
        <v>900</v>
      </c>
      <c r="F468" s="203"/>
      <c r="G468" s="190" t="s">
        <v>901</v>
      </c>
      <c r="H468" s="192" t="s">
        <v>409</v>
      </c>
      <c r="I468" s="193">
        <v>1500</v>
      </c>
      <c r="J468" s="193">
        <v>1500</v>
      </c>
      <c r="K468" s="193">
        <v>1500</v>
      </c>
      <c r="L468" s="193">
        <v>2000</v>
      </c>
      <c r="M468" s="194">
        <v>2000</v>
      </c>
      <c r="N468" s="284">
        <v>800</v>
      </c>
      <c r="O468" s="285">
        <v>68.34</v>
      </c>
      <c r="P468" s="285">
        <v>24</v>
      </c>
      <c r="Q468" s="285" t="s">
        <v>1</v>
      </c>
      <c r="R468" s="285" t="s">
        <v>1</v>
      </c>
      <c r="S468" s="286">
        <v>800</v>
      </c>
      <c r="T468" s="285">
        <v>68.34</v>
      </c>
      <c r="U468" s="285">
        <v>24</v>
      </c>
      <c r="V468" s="285" t="s">
        <v>1</v>
      </c>
      <c r="W468" s="285" t="s">
        <v>1</v>
      </c>
      <c r="X468" s="286">
        <v>800</v>
      </c>
      <c r="Y468" s="285">
        <v>68.34</v>
      </c>
      <c r="Z468" s="285">
        <v>24</v>
      </c>
      <c r="AA468" s="285" t="s">
        <v>1</v>
      </c>
      <c r="AB468" s="285" t="s">
        <v>1</v>
      </c>
      <c r="AC468" s="286">
        <v>800</v>
      </c>
      <c r="AD468" s="285">
        <v>68.34</v>
      </c>
      <c r="AE468" s="285">
        <v>24</v>
      </c>
      <c r="AF468" s="285" t="s">
        <v>1</v>
      </c>
      <c r="AG468" s="285" t="s">
        <v>1</v>
      </c>
      <c r="AH468" s="286" t="s">
        <v>1</v>
      </c>
      <c r="AI468" s="295" t="s">
        <v>1</v>
      </c>
      <c r="AJ468" s="295" t="s">
        <v>1</v>
      </c>
      <c r="AK468" s="295" t="s">
        <v>1</v>
      </c>
      <c r="AL468" s="286" t="s">
        <v>1</v>
      </c>
      <c r="AM468" s="309" t="s">
        <v>1</v>
      </c>
      <c r="AN468" s="287" t="s">
        <v>1</v>
      </c>
      <c r="AO468" s="287" t="s">
        <v>1</v>
      </c>
      <c r="AP468" s="286" t="s">
        <v>1</v>
      </c>
      <c r="AQ468" s="285" t="s">
        <v>1</v>
      </c>
      <c r="AR468" s="289" t="s">
        <v>1</v>
      </c>
      <c r="AS468" s="289" t="s">
        <v>1</v>
      </c>
      <c r="AT468" s="290" t="s">
        <v>1</v>
      </c>
      <c r="AU468" s="287" t="s">
        <v>1</v>
      </c>
      <c r="AV468" s="287" t="s">
        <v>1</v>
      </c>
      <c r="AW468" s="291" t="s">
        <v>1</v>
      </c>
    </row>
    <row r="469" spans="1:49" ht="30.15" customHeight="1" x14ac:dyDescent="0.25">
      <c r="A469" s="190" t="s">
        <v>18</v>
      </c>
      <c r="B469" s="189" t="s">
        <v>1</v>
      </c>
      <c r="C469" s="188" t="s">
        <v>35</v>
      </c>
      <c r="D469" s="190" t="s">
        <v>440</v>
      </c>
      <c r="E469" s="190" t="s">
        <v>441</v>
      </c>
      <c r="F469" s="203"/>
      <c r="G469" s="190" t="s">
        <v>442</v>
      </c>
      <c r="H469" s="192" t="s">
        <v>409</v>
      </c>
      <c r="I469" s="193">
        <v>190</v>
      </c>
      <c r="J469" s="193">
        <v>190</v>
      </c>
      <c r="K469" s="193">
        <v>190</v>
      </c>
      <c r="L469" s="193">
        <v>199.99</v>
      </c>
      <c r="M469" s="194">
        <v>199.99</v>
      </c>
      <c r="N469" s="284" t="s">
        <v>1</v>
      </c>
      <c r="O469" s="285" t="s">
        <v>1</v>
      </c>
      <c r="P469" s="285" t="s">
        <v>1</v>
      </c>
      <c r="Q469" s="285" t="s">
        <v>1</v>
      </c>
      <c r="R469" s="285" t="s">
        <v>1</v>
      </c>
      <c r="S469" s="286" t="s">
        <v>1</v>
      </c>
      <c r="T469" s="285" t="s">
        <v>1</v>
      </c>
      <c r="U469" s="285" t="s">
        <v>1</v>
      </c>
      <c r="V469" s="285" t="s">
        <v>1</v>
      </c>
      <c r="W469" s="285" t="s">
        <v>1</v>
      </c>
      <c r="X469" s="286" t="s">
        <v>1</v>
      </c>
      <c r="Y469" s="285" t="s">
        <v>1</v>
      </c>
      <c r="Z469" s="285" t="s">
        <v>1</v>
      </c>
      <c r="AA469" s="285" t="s">
        <v>1</v>
      </c>
      <c r="AB469" s="285" t="s">
        <v>1</v>
      </c>
      <c r="AC469" s="286" t="s">
        <v>1</v>
      </c>
      <c r="AD469" s="285" t="s">
        <v>1</v>
      </c>
      <c r="AE469" s="285" t="s">
        <v>1</v>
      </c>
      <c r="AF469" s="285" t="s">
        <v>1</v>
      </c>
      <c r="AG469" s="285" t="s">
        <v>1</v>
      </c>
      <c r="AH469" s="286" t="s">
        <v>1</v>
      </c>
      <c r="AI469" s="295" t="s">
        <v>1</v>
      </c>
      <c r="AJ469" s="295" t="s">
        <v>1</v>
      </c>
      <c r="AK469" s="295" t="s">
        <v>1</v>
      </c>
      <c r="AL469" s="286">
        <v>80</v>
      </c>
      <c r="AM469" s="309" t="s">
        <v>1</v>
      </c>
      <c r="AN469" s="287" t="s">
        <v>1</v>
      </c>
      <c r="AO469" s="287" t="s">
        <v>1</v>
      </c>
      <c r="AP469" s="286" t="s">
        <v>1</v>
      </c>
      <c r="AQ469" s="285" t="s">
        <v>1</v>
      </c>
      <c r="AR469" s="289" t="s">
        <v>1</v>
      </c>
      <c r="AS469" s="289" t="s">
        <v>1</v>
      </c>
      <c r="AT469" s="290" t="s">
        <v>1</v>
      </c>
      <c r="AU469" s="287" t="s">
        <v>1</v>
      </c>
      <c r="AV469" s="287" t="s">
        <v>1</v>
      </c>
      <c r="AW469" s="291" t="s">
        <v>1</v>
      </c>
    </row>
    <row r="470" spans="1:49" ht="30.15" customHeight="1" x14ac:dyDescent="0.25">
      <c r="A470" s="190" t="s">
        <v>18</v>
      </c>
      <c r="B470" s="189" t="s">
        <v>1</v>
      </c>
      <c r="C470" s="188" t="s">
        <v>35</v>
      </c>
      <c r="D470" s="190" t="s">
        <v>1234</v>
      </c>
      <c r="E470" s="190" t="s">
        <v>1235</v>
      </c>
      <c r="F470" s="203"/>
      <c r="G470" s="190" t="s">
        <v>1236</v>
      </c>
      <c r="H470" s="192" t="s">
        <v>409</v>
      </c>
      <c r="I470" s="193">
        <v>215</v>
      </c>
      <c r="J470" s="193">
        <v>215</v>
      </c>
      <c r="K470" s="193">
        <v>215</v>
      </c>
      <c r="L470" s="193">
        <v>225</v>
      </c>
      <c r="M470" s="194">
        <v>225</v>
      </c>
      <c r="N470" s="284" t="s">
        <v>1</v>
      </c>
      <c r="O470" s="285" t="s">
        <v>1</v>
      </c>
      <c r="P470" s="285" t="s">
        <v>1</v>
      </c>
      <c r="Q470" s="285" t="s">
        <v>1</v>
      </c>
      <c r="R470" s="285" t="s">
        <v>1</v>
      </c>
      <c r="S470" s="286" t="s">
        <v>1</v>
      </c>
      <c r="T470" s="285" t="s">
        <v>1</v>
      </c>
      <c r="U470" s="285" t="s">
        <v>1</v>
      </c>
      <c r="V470" s="285" t="s">
        <v>1</v>
      </c>
      <c r="W470" s="285" t="s">
        <v>1</v>
      </c>
      <c r="X470" s="286" t="s">
        <v>1</v>
      </c>
      <c r="Y470" s="285" t="s">
        <v>1</v>
      </c>
      <c r="Z470" s="285" t="s">
        <v>1</v>
      </c>
      <c r="AA470" s="285" t="s">
        <v>1</v>
      </c>
      <c r="AB470" s="285" t="s">
        <v>1</v>
      </c>
      <c r="AC470" s="286" t="s">
        <v>1</v>
      </c>
      <c r="AD470" s="285" t="s">
        <v>1</v>
      </c>
      <c r="AE470" s="285" t="s">
        <v>1</v>
      </c>
      <c r="AF470" s="285" t="s">
        <v>1</v>
      </c>
      <c r="AG470" s="285" t="s">
        <v>1</v>
      </c>
      <c r="AH470" s="286" t="s">
        <v>1</v>
      </c>
      <c r="AI470" s="295" t="s">
        <v>1</v>
      </c>
      <c r="AJ470" s="295" t="s">
        <v>1</v>
      </c>
      <c r="AK470" s="295" t="s">
        <v>1</v>
      </c>
      <c r="AL470" s="286">
        <v>90</v>
      </c>
      <c r="AM470" s="309" t="s">
        <v>1</v>
      </c>
      <c r="AN470" s="287" t="s">
        <v>1</v>
      </c>
      <c r="AO470" s="287" t="s">
        <v>1</v>
      </c>
      <c r="AP470" s="286" t="s">
        <v>1</v>
      </c>
      <c r="AQ470" s="285" t="s">
        <v>1</v>
      </c>
      <c r="AR470" s="289" t="s">
        <v>1</v>
      </c>
      <c r="AS470" s="289" t="s">
        <v>1</v>
      </c>
      <c r="AT470" s="290" t="s">
        <v>1</v>
      </c>
      <c r="AU470" s="287" t="s">
        <v>1</v>
      </c>
      <c r="AV470" s="287" t="s">
        <v>1</v>
      </c>
      <c r="AW470" s="291" t="s">
        <v>1</v>
      </c>
    </row>
    <row r="471" spans="1:49" ht="30.15" customHeight="1" x14ac:dyDescent="0.25">
      <c r="A471" s="190" t="s">
        <v>18</v>
      </c>
      <c r="B471" s="189" t="s">
        <v>1</v>
      </c>
      <c r="C471" s="212" t="s">
        <v>34</v>
      </c>
      <c r="D471" s="190" t="s">
        <v>7</v>
      </c>
      <c r="E471" s="190" t="s">
        <v>242</v>
      </c>
      <c r="F471" s="203"/>
      <c r="G471" s="190" t="s">
        <v>243</v>
      </c>
      <c r="H471" s="192" t="s">
        <v>409</v>
      </c>
      <c r="I471" s="193">
        <v>379</v>
      </c>
      <c r="J471" s="193">
        <v>430</v>
      </c>
      <c r="K471" s="193">
        <v>379</v>
      </c>
      <c r="L471" s="193">
        <v>260</v>
      </c>
      <c r="M471" s="194">
        <v>260</v>
      </c>
      <c r="N471" s="284">
        <v>104</v>
      </c>
      <c r="O471" s="285" t="s">
        <v>1</v>
      </c>
      <c r="P471" s="285" t="s">
        <v>1</v>
      </c>
      <c r="Q471" s="285" t="s">
        <v>1</v>
      </c>
      <c r="R471" s="285" t="s">
        <v>1</v>
      </c>
      <c r="S471" s="286">
        <v>104</v>
      </c>
      <c r="T471" s="285" t="s">
        <v>1</v>
      </c>
      <c r="U471" s="285" t="s">
        <v>1</v>
      </c>
      <c r="V471" s="285" t="s">
        <v>1</v>
      </c>
      <c r="W471" s="285" t="s">
        <v>1</v>
      </c>
      <c r="X471" s="286">
        <v>104</v>
      </c>
      <c r="Y471" s="285" t="s">
        <v>1</v>
      </c>
      <c r="Z471" s="285" t="s">
        <v>1</v>
      </c>
      <c r="AA471" s="285" t="s">
        <v>1</v>
      </c>
      <c r="AB471" s="285" t="s">
        <v>1</v>
      </c>
      <c r="AC471" s="286">
        <v>104</v>
      </c>
      <c r="AD471" s="285" t="s">
        <v>1</v>
      </c>
      <c r="AE471" s="285" t="s">
        <v>1</v>
      </c>
      <c r="AF471" s="285" t="s">
        <v>1</v>
      </c>
      <c r="AG471" s="285" t="s">
        <v>1</v>
      </c>
      <c r="AH471" s="286">
        <v>104</v>
      </c>
      <c r="AI471" s="295" t="s">
        <v>1</v>
      </c>
      <c r="AJ471" s="295" t="s">
        <v>1</v>
      </c>
      <c r="AK471" s="295" t="s">
        <v>1</v>
      </c>
      <c r="AL471" s="286" t="s">
        <v>1</v>
      </c>
      <c r="AM471" s="309" t="s">
        <v>1</v>
      </c>
      <c r="AN471" s="287" t="s">
        <v>1</v>
      </c>
      <c r="AO471" s="287" t="s">
        <v>1</v>
      </c>
      <c r="AP471" s="286" t="s">
        <v>1</v>
      </c>
      <c r="AQ471" s="285" t="s">
        <v>1</v>
      </c>
      <c r="AR471" s="289" t="s">
        <v>1</v>
      </c>
      <c r="AS471" s="289" t="s">
        <v>1</v>
      </c>
      <c r="AT471" s="290" t="s">
        <v>1</v>
      </c>
      <c r="AU471" s="287" t="s">
        <v>1</v>
      </c>
      <c r="AV471" s="287" t="s">
        <v>1</v>
      </c>
      <c r="AW471" s="291" t="s">
        <v>1</v>
      </c>
    </row>
    <row r="472" spans="1:49" ht="30.15" customHeight="1" x14ac:dyDescent="0.25">
      <c r="A472" s="190" t="s">
        <v>18</v>
      </c>
      <c r="B472" s="189" t="s">
        <v>1</v>
      </c>
      <c r="C472" s="212" t="s">
        <v>34</v>
      </c>
      <c r="D472" s="190" t="s">
        <v>7</v>
      </c>
      <c r="E472" s="190" t="s">
        <v>725</v>
      </c>
      <c r="F472" s="203"/>
      <c r="G472" s="190" t="s">
        <v>724</v>
      </c>
      <c r="H472" s="192" t="s">
        <v>409</v>
      </c>
      <c r="I472" s="193">
        <v>199</v>
      </c>
      <c r="J472" s="193">
        <v>180</v>
      </c>
      <c r="K472" s="193">
        <v>199</v>
      </c>
      <c r="L472" s="194">
        <v>210</v>
      </c>
      <c r="M472" s="194">
        <v>210</v>
      </c>
      <c r="N472" s="284">
        <v>84</v>
      </c>
      <c r="O472" s="285" t="s">
        <v>1</v>
      </c>
      <c r="P472" s="285" t="s">
        <v>1</v>
      </c>
      <c r="Q472" s="285" t="s">
        <v>1</v>
      </c>
      <c r="R472" s="285" t="s">
        <v>1</v>
      </c>
      <c r="S472" s="286">
        <v>84</v>
      </c>
      <c r="T472" s="285" t="s">
        <v>1</v>
      </c>
      <c r="U472" s="285" t="s">
        <v>1</v>
      </c>
      <c r="V472" s="285" t="s">
        <v>1</v>
      </c>
      <c r="W472" s="285" t="s">
        <v>1</v>
      </c>
      <c r="X472" s="286">
        <v>84</v>
      </c>
      <c r="Y472" s="285" t="s">
        <v>1</v>
      </c>
      <c r="Z472" s="285" t="s">
        <v>1</v>
      </c>
      <c r="AA472" s="285" t="s">
        <v>1</v>
      </c>
      <c r="AB472" s="285" t="s">
        <v>1</v>
      </c>
      <c r="AC472" s="286">
        <v>84</v>
      </c>
      <c r="AD472" s="285" t="s">
        <v>1</v>
      </c>
      <c r="AE472" s="285" t="s">
        <v>1</v>
      </c>
      <c r="AF472" s="285" t="s">
        <v>1</v>
      </c>
      <c r="AG472" s="285" t="s">
        <v>1</v>
      </c>
      <c r="AH472" s="286">
        <v>84</v>
      </c>
      <c r="AI472" s="295" t="s">
        <v>1</v>
      </c>
      <c r="AJ472" s="295" t="s">
        <v>1</v>
      </c>
      <c r="AK472" s="295" t="s">
        <v>1</v>
      </c>
      <c r="AL472" s="286" t="s">
        <v>1</v>
      </c>
      <c r="AM472" s="309" t="s">
        <v>1</v>
      </c>
      <c r="AN472" s="287" t="s">
        <v>1</v>
      </c>
      <c r="AO472" s="287" t="s">
        <v>1</v>
      </c>
      <c r="AP472" s="286" t="s">
        <v>1</v>
      </c>
      <c r="AQ472" s="285" t="s">
        <v>1</v>
      </c>
      <c r="AR472" s="289" t="s">
        <v>1</v>
      </c>
      <c r="AS472" s="289" t="s">
        <v>1</v>
      </c>
      <c r="AT472" s="290" t="s">
        <v>1</v>
      </c>
      <c r="AU472" s="287" t="s">
        <v>1</v>
      </c>
      <c r="AV472" s="287" t="s">
        <v>1</v>
      </c>
      <c r="AW472" s="291" t="s">
        <v>1</v>
      </c>
    </row>
    <row r="473" spans="1:49" ht="30.15" customHeight="1" x14ac:dyDescent="0.25">
      <c r="A473" s="190" t="s">
        <v>18</v>
      </c>
      <c r="B473" s="189" t="s">
        <v>1</v>
      </c>
      <c r="C473" s="212" t="s">
        <v>34</v>
      </c>
      <c r="D473" s="190" t="s">
        <v>7</v>
      </c>
      <c r="E473" s="190" t="s">
        <v>913</v>
      </c>
      <c r="F473" s="203"/>
      <c r="G473" s="190" t="s">
        <v>914</v>
      </c>
      <c r="H473" s="192" t="s">
        <v>409</v>
      </c>
      <c r="I473" s="193">
        <v>188.99</v>
      </c>
      <c r="J473" s="193">
        <v>188.99</v>
      </c>
      <c r="K473" s="193">
        <v>188.99</v>
      </c>
      <c r="L473" s="194">
        <v>250</v>
      </c>
      <c r="M473" s="194">
        <v>250</v>
      </c>
      <c r="N473" s="284">
        <v>100</v>
      </c>
      <c r="O473" s="285">
        <v>1.42</v>
      </c>
      <c r="P473" s="285">
        <v>24</v>
      </c>
      <c r="Q473" s="285" t="s">
        <v>1</v>
      </c>
      <c r="R473" s="285" t="s">
        <v>1</v>
      </c>
      <c r="S473" s="286">
        <v>100</v>
      </c>
      <c r="T473" s="285">
        <v>1.42</v>
      </c>
      <c r="U473" s="285">
        <v>24</v>
      </c>
      <c r="V473" s="285" t="s">
        <v>1</v>
      </c>
      <c r="W473" s="285" t="s">
        <v>1</v>
      </c>
      <c r="X473" s="286">
        <v>100</v>
      </c>
      <c r="Y473" s="285">
        <v>1.42</v>
      </c>
      <c r="Z473" s="285">
        <v>24</v>
      </c>
      <c r="AA473" s="285" t="s">
        <v>1</v>
      </c>
      <c r="AB473" s="285" t="s">
        <v>1</v>
      </c>
      <c r="AC473" s="286">
        <v>100</v>
      </c>
      <c r="AD473" s="285">
        <v>1.42</v>
      </c>
      <c r="AE473" s="285">
        <v>24</v>
      </c>
      <c r="AF473" s="285" t="s">
        <v>1</v>
      </c>
      <c r="AG473" s="285" t="s">
        <v>1</v>
      </c>
      <c r="AH473" s="286">
        <v>100</v>
      </c>
      <c r="AI473" s="295" t="s">
        <v>1</v>
      </c>
      <c r="AJ473" s="295" t="s">
        <v>1</v>
      </c>
      <c r="AK473" s="295" t="s">
        <v>1</v>
      </c>
      <c r="AL473" s="286" t="s">
        <v>1</v>
      </c>
      <c r="AM473" s="309" t="s">
        <v>1</v>
      </c>
      <c r="AN473" s="287" t="s">
        <v>1</v>
      </c>
      <c r="AO473" s="287" t="s">
        <v>1</v>
      </c>
      <c r="AP473" s="286" t="s">
        <v>1</v>
      </c>
      <c r="AQ473" s="285" t="s">
        <v>1</v>
      </c>
      <c r="AR473" s="289" t="s">
        <v>1</v>
      </c>
      <c r="AS473" s="289" t="s">
        <v>1</v>
      </c>
      <c r="AT473" s="290" t="s">
        <v>1</v>
      </c>
      <c r="AU473" s="287" t="s">
        <v>1</v>
      </c>
      <c r="AV473" s="287" t="s">
        <v>1</v>
      </c>
      <c r="AW473" s="291" t="s">
        <v>1</v>
      </c>
    </row>
    <row r="474" spans="1:49" ht="30.15" customHeight="1" x14ac:dyDescent="0.25">
      <c r="A474" s="190" t="s">
        <v>18</v>
      </c>
      <c r="B474" s="189" t="s">
        <v>1</v>
      </c>
      <c r="C474" s="212" t="s">
        <v>34</v>
      </c>
      <c r="D474" s="190" t="s">
        <v>7</v>
      </c>
      <c r="E474" s="190" t="s">
        <v>597</v>
      </c>
      <c r="F474" s="203"/>
      <c r="G474" s="190" t="s">
        <v>600</v>
      </c>
      <c r="H474" s="192" t="s">
        <v>409</v>
      </c>
      <c r="I474" s="193">
        <v>350</v>
      </c>
      <c r="J474" s="193">
        <v>290</v>
      </c>
      <c r="K474" s="193">
        <v>350</v>
      </c>
      <c r="L474" s="194">
        <v>400</v>
      </c>
      <c r="M474" s="194">
        <v>400</v>
      </c>
      <c r="N474" s="284">
        <v>160</v>
      </c>
      <c r="O474" s="285">
        <v>3.34</v>
      </c>
      <c r="P474" s="285">
        <v>24</v>
      </c>
      <c r="Q474" s="285" t="s">
        <v>1</v>
      </c>
      <c r="R474" s="285" t="s">
        <v>1</v>
      </c>
      <c r="S474" s="286">
        <v>160</v>
      </c>
      <c r="T474" s="285">
        <v>3.34</v>
      </c>
      <c r="U474" s="285">
        <v>24</v>
      </c>
      <c r="V474" s="285" t="s">
        <v>1</v>
      </c>
      <c r="W474" s="285" t="s">
        <v>1</v>
      </c>
      <c r="X474" s="286">
        <v>160</v>
      </c>
      <c r="Y474" s="285">
        <v>3.34</v>
      </c>
      <c r="Z474" s="285">
        <v>24</v>
      </c>
      <c r="AA474" s="285" t="s">
        <v>1</v>
      </c>
      <c r="AB474" s="285" t="s">
        <v>1</v>
      </c>
      <c r="AC474" s="286">
        <v>160</v>
      </c>
      <c r="AD474" s="285">
        <v>3.34</v>
      </c>
      <c r="AE474" s="285">
        <v>24</v>
      </c>
      <c r="AF474" s="285" t="s">
        <v>1</v>
      </c>
      <c r="AG474" s="285" t="s">
        <v>1</v>
      </c>
      <c r="AH474" s="286">
        <v>160</v>
      </c>
      <c r="AI474" s="295" t="s">
        <v>1</v>
      </c>
      <c r="AJ474" s="295" t="s">
        <v>1</v>
      </c>
      <c r="AK474" s="295" t="s">
        <v>1</v>
      </c>
      <c r="AL474" s="286" t="s">
        <v>1</v>
      </c>
      <c r="AM474" s="309" t="s">
        <v>1</v>
      </c>
      <c r="AN474" s="287" t="s">
        <v>1</v>
      </c>
      <c r="AO474" s="287" t="s">
        <v>1</v>
      </c>
      <c r="AP474" s="286" t="s">
        <v>1</v>
      </c>
      <c r="AQ474" s="285" t="s">
        <v>1</v>
      </c>
      <c r="AR474" s="289" t="s">
        <v>1</v>
      </c>
      <c r="AS474" s="289" t="s">
        <v>1</v>
      </c>
      <c r="AT474" s="290" t="s">
        <v>1</v>
      </c>
      <c r="AU474" s="287" t="s">
        <v>1</v>
      </c>
      <c r="AV474" s="287" t="s">
        <v>1</v>
      </c>
      <c r="AW474" s="291" t="s">
        <v>1</v>
      </c>
    </row>
    <row r="475" spans="1:49" ht="30.15" customHeight="1" x14ac:dyDescent="0.25">
      <c r="A475" s="190" t="s">
        <v>18</v>
      </c>
      <c r="B475" s="189" t="s">
        <v>1</v>
      </c>
      <c r="C475" s="212" t="s">
        <v>34</v>
      </c>
      <c r="D475" s="190" t="s">
        <v>7</v>
      </c>
      <c r="E475" s="190" t="s">
        <v>598</v>
      </c>
      <c r="F475" s="203"/>
      <c r="G475" s="190" t="s">
        <v>601</v>
      </c>
      <c r="H475" s="192" t="s">
        <v>409</v>
      </c>
      <c r="I475" s="193">
        <v>399</v>
      </c>
      <c r="J475" s="193">
        <v>380</v>
      </c>
      <c r="K475" s="193">
        <v>399</v>
      </c>
      <c r="L475" s="194">
        <v>500</v>
      </c>
      <c r="M475" s="194">
        <v>500</v>
      </c>
      <c r="N475" s="284">
        <v>200</v>
      </c>
      <c r="O475" s="285">
        <v>10.84</v>
      </c>
      <c r="P475" s="285">
        <v>24</v>
      </c>
      <c r="Q475" s="285" t="s">
        <v>1</v>
      </c>
      <c r="R475" s="285" t="s">
        <v>1</v>
      </c>
      <c r="S475" s="286">
        <v>200</v>
      </c>
      <c r="T475" s="285">
        <v>10.84</v>
      </c>
      <c r="U475" s="285">
        <v>24</v>
      </c>
      <c r="V475" s="285" t="s">
        <v>1</v>
      </c>
      <c r="W475" s="285" t="s">
        <v>1</v>
      </c>
      <c r="X475" s="286">
        <v>200</v>
      </c>
      <c r="Y475" s="285">
        <v>10.84</v>
      </c>
      <c r="Z475" s="285">
        <v>24</v>
      </c>
      <c r="AA475" s="285" t="s">
        <v>1</v>
      </c>
      <c r="AB475" s="285" t="s">
        <v>1</v>
      </c>
      <c r="AC475" s="286">
        <v>200</v>
      </c>
      <c r="AD475" s="285">
        <v>10.84</v>
      </c>
      <c r="AE475" s="285">
        <v>24</v>
      </c>
      <c r="AF475" s="285" t="s">
        <v>1</v>
      </c>
      <c r="AG475" s="285" t="s">
        <v>1</v>
      </c>
      <c r="AH475" s="286">
        <v>200</v>
      </c>
      <c r="AI475" s="295">
        <v>10.84</v>
      </c>
      <c r="AJ475" s="295">
        <v>24</v>
      </c>
      <c r="AK475" s="295" t="s">
        <v>1</v>
      </c>
      <c r="AL475" s="286" t="s">
        <v>1</v>
      </c>
      <c r="AM475" s="309" t="s">
        <v>1</v>
      </c>
      <c r="AN475" s="287" t="s">
        <v>1</v>
      </c>
      <c r="AO475" s="287" t="s">
        <v>1</v>
      </c>
      <c r="AP475" s="286" t="s">
        <v>1</v>
      </c>
      <c r="AQ475" s="285" t="s">
        <v>1</v>
      </c>
      <c r="AR475" s="289" t="s">
        <v>1</v>
      </c>
      <c r="AS475" s="289" t="s">
        <v>1</v>
      </c>
      <c r="AT475" s="290" t="s">
        <v>1</v>
      </c>
      <c r="AU475" s="287" t="s">
        <v>1</v>
      </c>
      <c r="AV475" s="287" t="s">
        <v>1</v>
      </c>
      <c r="AW475" s="291" t="s">
        <v>1</v>
      </c>
    </row>
    <row r="476" spans="1:49" ht="30.15" customHeight="1" x14ac:dyDescent="0.25">
      <c r="A476" s="190" t="s">
        <v>18</v>
      </c>
      <c r="B476" s="189" t="s">
        <v>1</v>
      </c>
      <c r="C476" s="212" t="s">
        <v>34</v>
      </c>
      <c r="D476" s="190" t="s">
        <v>7</v>
      </c>
      <c r="E476" s="190" t="s">
        <v>741</v>
      </c>
      <c r="F476" s="203"/>
      <c r="G476" s="190" t="s">
        <v>601</v>
      </c>
      <c r="H476" s="192" t="s">
        <v>7</v>
      </c>
      <c r="I476" s="193">
        <v>399</v>
      </c>
      <c r="J476" s="193">
        <v>380</v>
      </c>
      <c r="K476" s="193">
        <v>399</v>
      </c>
      <c r="L476" s="194">
        <v>500</v>
      </c>
      <c r="M476" s="194">
        <v>500</v>
      </c>
      <c r="N476" s="284">
        <v>200</v>
      </c>
      <c r="O476" s="285">
        <v>10.84</v>
      </c>
      <c r="P476" s="285">
        <v>24</v>
      </c>
      <c r="Q476" s="285" t="s">
        <v>1</v>
      </c>
      <c r="R476" s="285" t="s">
        <v>1</v>
      </c>
      <c r="S476" s="286">
        <v>200</v>
      </c>
      <c r="T476" s="285">
        <v>10.84</v>
      </c>
      <c r="U476" s="285">
        <v>24</v>
      </c>
      <c r="V476" s="285" t="s">
        <v>1</v>
      </c>
      <c r="W476" s="285" t="s">
        <v>1</v>
      </c>
      <c r="X476" s="286">
        <v>200</v>
      </c>
      <c r="Y476" s="285">
        <v>10.84</v>
      </c>
      <c r="Z476" s="285">
        <v>24</v>
      </c>
      <c r="AA476" s="285" t="s">
        <v>1</v>
      </c>
      <c r="AB476" s="285" t="s">
        <v>1</v>
      </c>
      <c r="AC476" s="286">
        <v>200</v>
      </c>
      <c r="AD476" s="285">
        <v>10.84</v>
      </c>
      <c r="AE476" s="285">
        <v>24</v>
      </c>
      <c r="AF476" s="285" t="s">
        <v>1</v>
      </c>
      <c r="AG476" s="285" t="s">
        <v>1</v>
      </c>
      <c r="AH476" s="286">
        <v>200</v>
      </c>
      <c r="AI476" s="295">
        <v>10.84</v>
      </c>
      <c r="AJ476" s="295">
        <v>24</v>
      </c>
      <c r="AK476" s="295" t="s">
        <v>1</v>
      </c>
      <c r="AL476" s="286" t="s">
        <v>1</v>
      </c>
      <c r="AM476" s="309" t="s">
        <v>1</v>
      </c>
      <c r="AN476" s="287" t="s">
        <v>1</v>
      </c>
      <c r="AO476" s="287" t="s">
        <v>1</v>
      </c>
      <c r="AP476" s="286" t="s">
        <v>1</v>
      </c>
      <c r="AQ476" s="285" t="s">
        <v>1</v>
      </c>
      <c r="AR476" s="289" t="s">
        <v>1</v>
      </c>
      <c r="AS476" s="289" t="s">
        <v>1</v>
      </c>
      <c r="AT476" s="290" t="s">
        <v>1</v>
      </c>
      <c r="AU476" s="287" t="s">
        <v>1</v>
      </c>
      <c r="AV476" s="287" t="s">
        <v>1</v>
      </c>
      <c r="AW476" s="291" t="s">
        <v>1</v>
      </c>
    </row>
    <row r="477" spans="1:49" ht="30.15" customHeight="1" x14ac:dyDescent="0.25">
      <c r="A477" s="190" t="s">
        <v>18</v>
      </c>
      <c r="B477" s="189" t="s">
        <v>1</v>
      </c>
      <c r="C477" s="212" t="s">
        <v>34</v>
      </c>
      <c r="D477" s="190" t="s">
        <v>7</v>
      </c>
      <c r="E477" s="190" t="s">
        <v>880</v>
      </c>
      <c r="F477" s="203"/>
      <c r="G477" s="190" t="s">
        <v>881</v>
      </c>
      <c r="H477" s="192" t="s">
        <v>409</v>
      </c>
      <c r="I477" s="193">
        <v>431.99</v>
      </c>
      <c r="J477" s="193">
        <v>431.99</v>
      </c>
      <c r="K477" s="193">
        <v>431.99</v>
      </c>
      <c r="L477" s="194">
        <v>560</v>
      </c>
      <c r="M477" s="194">
        <v>560</v>
      </c>
      <c r="N477" s="284">
        <v>224</v>
      </c>
      <c r="O477" s="285">
        <v>3.34</v>
      </c>
      <c r="P477" s="285">
        <v>24</v>
      </c>
      <c r="Q477" s="285" t="s">
        <v>1</v>
      </c>
      <c r="R477" s="285" t="s">
        <v>1</v>
      </c>
      <c r="S477" s="286">
        <v>224</v>
      </c>
      <c r="T477" s="285">
        <v>3.34</v>
      </c>
      <c r="U477" s="285">
        <v>24</v>
      </c>
      <c r="V477" s="285" t="s">
        <v>1</v>
      </c>
      <c r="W477" s="285" t="s">
        <v>1</v>
      </c>
      <c r="X477" s="286">
        <v>224</v>
      </c>
      <c r="Y477" s="285">
        <v>23.34</v>
      </c>
      <c r="Z477" s="285">
        <v>24</v>
      </c>
      <c r="AA477" s="285" t="s">
        <v>1</v>
      </c>
      <c r="AB477" s="285" t="s">
        <v>1</v>
      </c>
      <c r="AC477" s="286">
        <v>224</v>
      </c>
      <c r="AD477" s="285">
        <v>23.34</v>
      </c>
      <c r="AE477" s="285">
        <v>24</v>
      </c>
      <c r="AF477" s="285" t="s">
        <v>1</v>
      </c>
      <c r="AG477" s="285" t="s">
        <v>1</v>
      </c>
      <c r="AH477" s="286" t="s">
        <v>1</v>
      </c>
      <c r="AI477" s="295" t="s">
        <v>1</v>
      </c>
      <c r="AJ477" s="295" t="s">
        <v>1</v>
      </c>
      <c r="AK477" s="295" t="s">
        <v>1</v>
      </c>
      <c r="AL477" s="286" t="s">
        <v>1</v>
      </c>
      <c r="AM477" s="309" t="s">
        <v>1</v>
      </c>
      <c r="AN477" s="287" t="s">
        <v>1</v>
      </c>
      <c r="AO477" s="287" t="s">
        <v>1</v>
      </c>
      <c r="AP477" s="286" t="s">
        <v>1</v>
      </c>
      <c r="AQ477" s="285" t="s">
        <v>1</v>
      </c>
      <c r="AR477" s="289" t="s">
        <v>1</v>
      </c>
      <c r="AS477" s="289" t="s">
        <v>1</v>
      </c>
      <c r="AT477" s="290" t="s">
        <v>1</v>
      </c>
      <c r="AU477" s="287" t="s">
        <v>1</v>
      </c>
      <c r="AV477" s="287" t="s">
        <v>1</v>
      </c>
      <c r="AW477" s="291" t="s">
        <v>1</v>
      </c>
    </row>
    <row r="478" spans="1:49" ht="30.15" customHeight="1" x14ac:dyDescent="0.25">
      <c r="A478" s="190" t="s">
        <v>18</v>
      </c>
      <c r="B478" s="189" t="s">
        <v>1</v>
      </c>
      <c r="C478" s="212" t="s">
        <v>34</v>
      </c>
      <c r="D478" s="190" t="s">
        <v>7</v>
      </c>
      <c r="E478" s="190" t="s">
        <v>599</v>
      </c>
      <c r="F478" s="203"/>
      <c r="G478" s="190" t="s">
        <v>602</v>
      </c>
      <c r="H478" s="192" t="s">
        <v>409</v>
      </c>
      <c r="I478" s="193">
        <v>551</v>
      </c>
      <c r="J478" s="193">
        <v>530</v>
      </c>
      <c r="K478" s="193">
        <v>551</v>
      </c>
      <c r="L478" s="194">
        <v>700</v>
      </c>
      <c r="M478" s="194">
        <v>700</v>
      </c>
      <c r="N478" s="284">
        <v>280</v>
      </c>
      <c r="O478" s="285">
        <v>14.17</v>
      </c>
      <c r="P478" s="285">
        <v>24</v>
      </c>
      <c r="Q478" s="285" t="s">
        <v>1</v>
      </c>
      <c r="R478" s="285" t="s">
        <v>1</v>
      </c>
      <c r="S478" s="286">
        <v>280</v>
      </c>
      <c r="T478" s="285">
        <v>14.17</v>
      </c>
      <c r="U478" s="285">
        <v>24</v>
      </c>
      <c r="V478" s="285" t="s">
        <v>1</v>
      </c>
      <c r="W478" s="285" t="s">
        <v>1</v>
      </c>
      <c r="X478" s="286">
        <v>280</v>
      </c>
      <c r="Y478" s="285">
        <v>14.17</v>
      </c>
      <c r="Z478" s="285">
        <v>24</v>
      </c>
      <c r="AA478" s="285" t="s">
        <v>1</v>
      </c>
      <c r="AB478" s="285" t="s">
        <v>1</v>
      </c>
      <c r="AC478" s="286">
        <v>280</v>
      </c>
      <c r="AD478" s="285">
        <v>14.17</v>
      </c>
      <c r="AE478" s="285">
        <v>24</v>
      </c>
      <c r="AF478" s="285" t="s">
        <v>1</v>
      </c>
      <c r="AG478" s="285" t="s">
        <v>1</v>
      </c>
      <c r="AH478" s="286">
        <v>280</v>
      </c>
      <c r="AI478" s="295">
        <v>14.17</v>
      </c>
      <c r="AJ478" s="295">
        <v>24</v>
      </c>
      <c r="AK478" s="295" t="s">
        <v>1</v>
      </c>
      <c r="AL478" s="286" t="s">
        <v>1</v>
      </c>
      <c r="AM478" s="309" t="s">
        <v>1</v>
      </c>
      <c r="AN478" s="287" t="s">
        <v>1</v>
      </c>
      <c r="AO478" s="287" t="s">
        <v>1</v>
      </c>
      <c r="AP478" s="286" t="s">
        <v>1</v>
      </c>
      <c r="AQ478" s="285" t="s">
        <v>1</v>
      </c>
      <c r="AR478" s="289" t="s">
        <v>1</v>
      </c>
      <c r="AS478" s="289" t="s">
        <v>1</v>
      </c>
      <c r="AT478" s="290" t="s">
        <v>1</v>
      </c>
      <c r="AU478" s="287" t="s">
        <v>1</v>
      </c>
      <c r="AV478" s="287" t="s">
        <v>1</v>
      </c>
      <c r="AW478" s="291" t="s">
        <v>1</v>
      </c>
    </row>
    <row r="479" spans="1:49" ht="30.15" customHeight="1" x14ac:dyDescent="0.25">
      <c r="A479" s="190" t="s">
        <v>18</v>
      </c>
      <c r="B479" s="189" t="s">
        <v>1</v>
      </c>
      <c r="C479" s="212" t="s">
        <v>34</v>
      </c>
      <c r="D479" s="190" t="s">
        <v>7</v>
      </c>
      <c r="E479" s="190" t="s">
        <v>882</v>
      </c>
      <c r="F479" s="203"/>
      <c r="G479" s="190" t="s">
        <v>883</v>
      </c>
      <c r="H479" s="192" t="s">
        <v>409</v>
      </c>
      <c r="I479" s="193">
        <v>539.99</v>
      </c>
      <c r="J479" s="193">
        <v>539.99</v>
      </c>
      <c r="K479" s="193">
        <v>539.99</v>
      </c>
      <c r="L479" s="194">
        <v>710</v>
      </c>
      <c r="M479" s="194">
        <v>710</v>
      </c>
      <c r="N479" s="284">
        <v>284</v>
      </c>
      <c r="O479" s="285">
        <v>14.59</v>
      </c>
      <c r="P479" s="285">
        <v>24</v>
      </c>
      <c r="Q479" s="285" t="s">
        <v>1</v>
      </c>
      <c r="R479" s="285" t="s">
        <v>1</v>
      </c>
      <c r="S479" s="286">
        <v>284</v>
      </c>
      <c r="T479" s="285">
        <v>14.59</v>
      </c>
      <c r="U479" s="285">
        <v>24</v>
      </c>
      <c r="V479" s="285" t="s">
        <v>1</v>
      </c>
      <c r="W479" s="285" t="s">
        <v>1</v>
      </c>
      <c r="X479" s="286">
        <v>284</v>
      </c>
      <c r="Y479" s="285">
        <v>19.59</v>
      </c>
      <c r="Z479" s="285">
        <v>24</v>
      </c>
      <c r="AA479" s="285" t="s">
        <v>1</v>
      </c>
      <c r="AB479" s="285" t="s">
        <v>1</v>
      </c>
      <c r="AC479" s="286">
        <v>284</v>
      </c>
      <c r="AD479" s="285">
        <v>19.59</v>
      </c>
      <c r="AE479" s="285">
        <v>24</v>
      </c>
      <c r="AF479" s="285" t="s">
        <v>1</v>
      </c>
      <c r="AG479" s="285" t="s">
        <v>1</v>
      </c>
      <c r="AH479" s="286" t="s">
        <v>1</v>
      </c>
      <c r="AI479" s="295" t="s">
        <v>1</v>
      </c>
      <c r="AJ479" s="295" t="s">
        <v>1</v>
      </c>
      <c r="AK479" s="295" t="s">
        <v>1</v>
      </c>
      <c r="AL479" s="286" t="s">
        <v>1</v>
      </c>
      <c r="AM479" s="309" t="s">
        <v>1</v>
      </c>
      <c r="AN479" s="287" t="s">
        <v>1</v>
      </c>
      <c r="AO479" s="287" t="s">
        <v>1</v>
      </c>
      <c r="AP479" s="286" t="s">
        <v>1</v>
      </c>
      <c r="AQ479" s="285" t="s">
        <v>1</v>
      </c>
      <c r="AR479" s="289" t="s">
        <v>1</v>
      </c>
      <c r="AS479" s="289" t="s">
        <v>1</v>
      </c>
      <c r="AT479" s="290" t="s">
        <v>1</v>
      </c>
      <c r="AU479" s="287" t="s">
        <v>1</v>
      </c>
      <c r="AV479" s="287" t="s">
        <v>1</v>
      </c>
      <c r="AW479" s="291" t="s">
        <v>1</v>
      </c>
    </row>
    <row r="480" spans="1:49" ht="30.15" customHeight="1" x14ac:dyDescent="0.25">
      <c r="A480" s="190" t="s">
        <v>18</v>
      </c>
      <c r="B480" s="189" t="s">
        <v>1</v>
      </c>
      <c r="C480" s="212" t="s">
        <v>34</v>
      </c>
      <c r="D480" s="190" t="s">
        <v>7</v>
      </c>
      <c r="E480" s="190" t="s">
        <v>1238</v>
      </c>
      <c r="F480" s="203"/>
      <c r="G480" s="190" t="s">
        <v>1240</v>
      </c>
      <c r="H480" s="192" t="s">
        <v>409</v>
      </c>
      <c r="I480" s="193">
        <v>340</v>
      </c>
      <c r="J480" s="193">
        <v>340</v>
      </c>
      <c r="K480" s="193">
        <v>340</v>
      </c>
      <c r="L480" s="194">
        <v>435</v>
      </c>
      <c r="M480" s="194">
        <v>435</v>
      </c>
      <c r="N480" s="284">
        <v>174</v>
      </c>
      <c r="O480" s="285">
        <v>2.71</v>
      </c>
      <c r="P480" s="285">
        <v>24</v>
      </c>
      <c r="Q480" s="285" t="s">
        <v>1</v>
      </c>
      <c r="R480" s="285" t="s">
        <v>1</v>
      </c>
      <c r="S480" s="286">
        <v>174</v>
      </c>
      <c r="T480" s="285">
        <v>2.71</v>
      </c>
      <c r="U480" s="285">
        <v>24</v>
      </c>
      <c r="V480" s="285" t="s">
        <v>1</v>
      </c>
      <c r="W480" s="285" t="s">
        <v>1</v>
      </c>
      <c r="X480" s="286">
        <v>174</v>
      </c>
      <c r="Y480" s="285">
        <v>2.71</v>
      </c>
      <c r="Z480" s="285">
        <v>24</v>
      </c>
      <c r="AA480" s="285" t="s">
        <v>1</v>
      </c>
      <c r="AB480" s="285" t="s">
        <v>1</v>
      </c>
      <c r="AC480" s="286">
        <v>174</v>
      </c>
      <c r="AD480" s="285">
        <v>2.71</v>
      </c>
      <c r="AE480" s="285">
        <v>24</v>
      </c>
      <c r="AF480" s="285" t="s">
        <v>1</v>
      </c>
      <c r="AG480" s="285" t="s">
        <v>1</v>
      </c>
      <c r="AH480" s="286" t="s">
        <v>1</v>
      </c>
      <c r="AI480" s="295" t="s">
        <v>1</v>
      </c>
      <c r="AJ480" s="295" t="s">
        <v>1</v>
      </c>
      <c r="AK480" s="295" t="s">
        <v>1</v>
      </c>
      <c r="AL480" s="286" t="s">
        <v>1</v>
      </c>
      <c r="AM480" s="309" t="s">
        <v>1</v>
      </c>
      <c r="AN480" s="287" t="s">
        <v>1</v>
      </c>
      <c r="AO480" s="287" t="s">
        <v>1</v>
      </c>
      <c r="AP480" s="286" t="s">
        <v>1</v>
      </c>
      <c r="AQ480" s="285" t="s">
        <v>1</v>
      </c>
      <c r="AR480" s="289" t="s">
        <v>1</v>
      </c>
      <c r="AS480" s="289" t="s">
        <v>1</v>
      </c>
      <c r="AT480" s="290" t="s">
        <v>1</v>
      </c>
      <c r="AU480" s="287" t="s">
        <v>1</v>
      </c>
      <c r="AV480" s="287" t="s">
        <v>1</v>
      </c>
      <c r="AW480" s="291" t="s">
        <v>1</v>
      </c>
    </row>
    <row r="481" spans="1:49" ht="30.15" customHeight="1" x14ac:dyDescent="0.25">
      <c r="A481" s="190" t="s">
        <v>18</v>
      </c>
      <c r="B481" s="189" t="s">
        <v>1</v>
      </c>
      <c r="C481" s="212" t="s">
        <v>34</v>
      </c>
      <c r="D481" s="190" t="s">
        <v>7</v>
      </c>
      <c r="E481" s="190" t="s">
        <v>1239</v>
      </c>
      <c r="F481" s="203"/>
      <c r="G481" s="190" t="s">
        <v>1241</v>
      </c>
      <c r="H481" s="192" t="s">
        <v>409</v>
      </c>
      <c r="I481" s="193">
        <v>606</v>
      </c>
      <c r="J481" s="193">
        <v>606</v>
      </c>
      <c r="K481" s="193">
        <v>606</v>
      </c>
      <c r="L481" s="194">
        <v>770</v>
      </c>
      <c r="M481" s="194">
        <v>770</v>
      </c>
      <c r="N481" s="284">
        <v>308</v>
      </c>
      <c r="O481" s="285">
        <v>4.59</v>
      </c>
      <c r="P481" s="285">
        <v>24</v>
      </c>
      <c r="Q481" s="285" t="s">
        <v>1</v>
      </c>
      <c r="R481" s="285" t="s">
        <v>1</v>
      </c>
      <c r="S481" s="286">
        <v>308</v>
      </c>
      <c r="T481" s="285">
        <v>4.59</v>
      </c>
      <c r="U481" s="285">
        <v>24</v>
      </c>
      <c r="V481" s="285" t="s">
        <v>1</v>
      </c>
      <c r="W481" s="285" t="s">
        <v>1</v>
      </c>
      <c r="X481" s="286">
        <v>308</v>
      </c>
      <c r="Y481" s="285">
        <v>4.59</v>
      </c>
      <c r="Z481" s="285">
        <v>24</v>
      </c>
      <c r="AA481" s="285" t="s">
        <v>1</v>
      </c>
      <c r="AB481" s="285" t="s">
        <v>1</v>
      </c>
      <c r="AC481" s="286">
        <v>308</v>
      </c>
      <c r="AD481" s="285">
        <v>4.59</v>
      </c>
      <c r="AE481" s="285">
        <v>24</v>
      </c>
      <c r="AF481" s="285" t="s">
        <v>1</v>
      </c>
      <c r="AG481" s="285" t="s">
        <v>1</v>
      </c>
      <c r="AH481" s="286" t="s">
        <v>1</v>
      </c>
      <c r="AI481" s="295" t="s">
        <v>1</v>
      </c>
      <c r="AJ481" s="295" t="s">
        <v>1</v>
      </c>
      <c r="AK481" s="295" t="s">
        <v>1</v>
      </c>
      <c r="AL481" s="286" t="s">
        <v>1</v>
      </c>
      <c r="AM481" s="309" t="s">
        <v>1</v>
      </c>
      <c r="AN481" s="287" t="s">
        <v>1</v>
      </c>
      <c r="AO481" s="287" t="s">
        <v>1</v>
      </c>
      <c r="AP481" s="286" t="s">
        <v>1</v>
      </c>
      <c r="AQ481" s="285" t="s">
        <v>1</v>
      </c>
      <c r="AR481" s="289" t="s">
        <v>1</v>
      </c>
      <c r="AS481" s="289" t="s">
        <v>1</v>
      </c>
      <c r="AT481" s="290" t="s">
        <v>1</v>
      </c>
      <c r="AU481" s="287" t="s">
        <v>1</v>
      </c>
      <c r="AV481" s="287" t="s">
        <v>1</v>
      </c>
      <c r="AW481" s="291" t="s">
        <v>1</v>
      </c>
    </row>
    <row r="482" spans="1:49" ht="30.15" customHeight="1" x14ac:dyDescent="0.25">
      <c r="A482" s="188" t="s">
        <v>18</v>
      </c>
      <c r="B482" s="189" t="s">
        <v>1</v>
      </c>
      <c r="C482" s="212" t="s">
        <v>34</v>
      </c>
      <c r="D482" s="190" t="s">
        <v>7</v>
      </c>
      <c r="E482" s="190" t="s">
        <v>486</v>
      </c>
      <c r="F482" s="203"/>
      <c r="G482" s="190" t="s">
        <v>487</v>
      </c>
      <c r="H482" s="192" t="s">
        <v>409</v>
      </c>
      <c r="I482" s="193">
        <v>229</v>
      </c>
      <c r="J482" s="193">
        <v>175</v>
      </c>
      <c r="K482" s="193">
        <v>229</v>
      </c>
      <c r="L482" s="194">
        <v>185</v>
      </c>
      <c r="M482" s="194">
        <v>185</v>
      </c>
      <c r="N482" s="284">
        <v>74</v>
      </c>
      <c r="O482" s="285" t="s">
        <v>1</v>
      </c>
      <c r="P482" s="285" t="s">
        <v>1</v>
      </c>
      <c r="Q482" s="285" t="s">
        <v>1</v>
      </c>
      <c r="R482" s="285" t="s">
        <v>1</v>
      </c>
      <c r="S482" s="286">
        <v>74</v>
      </c>
      <c r="T482" s="285" t="s">
        <v>1</v>
      </c>
      <c r="U482" s="285" t="s">
        <v>1</v>
      </c>
      <c r="V482" s="285" t="s">
        <v>1</v>
      </c>
      <c r="W482" s="285" t="s">
        <v>1</v>
      </c>
      <c r="X482" s="286">
        <v>74</v>
      </c>
      <c r="Y482" s="285" t="s">
        <v>1</v>
      </c>
      <c r="Z482" s="285" t="s">
        <v>1</v>
      </c>
      <c r="AA482" s="285" t="s">
        <v>1</v>
      </c>
      <c r="AB482" s="285" t="s">
        <v>1</v>
      </c>
      <c r="AC482" s="286">
        <v>74</v>
      </c>
      <c r="AD482" s="285" t="s">
        <v>1</v>
      </c>
      <c r="AE482" s="285" t="s">
        <v>1</v>
      </c>
      <c r="AF482" s="285" t="s">
        <v>1</v>
      </c>
      <c r="AG482" s="285" t="s">
        <v>1</v>
      </c>
      <c r="AH482" s="286">
        <v>74</v>
      </c>
      <c r="AI482" s="295" t="s">
        <v>1</v>
      </c>
      <c r="AJ482" s="295" t="s">
        <v>1</v>
      </c>
      <c r="AK482" s="295" t="s">
        <v>1</v>
      </c>
      <c r="AL482" s="286" t="s">
        <v>1</v>
      </c>
      <c r="AM482" s="309" t="s">
        <v>1</v>
      </c>
      <c r="AN482" s="287" t="s">
        <v>1</v>
      </c>
      <c r="AO482" s="287" t="s">
        <v>1</v>
      </c>
      <c r="AP482" s="286" t="s">
        <v>1</v>
      </c>
      <c r="AQ482" s="285" t="s">
        <v>1</v>
      </c>
      <c r="AR482" s="289" t="s">
        <v>1</v>
      </c>
      <c r="AS482" s="289" t="s">
        <v>1</v>
      </c>
      <c r="AT482" s="290" t="s">
        <v>1</v>
      </c>
      <c r="AU482" s="287" t="s">
        <v>1</v>
      </c>
      <c r="AV482" s="287" t="s">
        <v>1</v>
      </c>
      <c r="AW482" s="291" t="s">
        <v>1</v>
      </c>
    </row>
    <row r="483" spans="1:49" ht="30.15" customHeight="1" x14ac:dyDescent="0.25">
      <c r="A483" s="188" t="s">
        <v>18</v>
      </c>
      <c r="B483" s="189" t="s">
        <v>1</v>
      </c>
      <c r="C483" s="212" t="s">
        <v>34</v>
      </c>
      <c r="D483" s="190" t="s">
        <v>7</v>
      </c>
      <c r="E483" s="190" t="s">
        <v>544</v>
      </c>
      <c r="F483" s="203"/>
      <c r="G483" s="190" t="s">
        <v>539</v>
      </c>
      <c r="H483" s="192" t="s">
        <v>409</v>
      </c>
      <c r="I483" s="193">
        <v>1150</v>
      </c>
      <c r="J483" s="193">
        <v>1150</v>
      </c>
      <c r="K483" s="193">
        <v>1150</v>
      </c>
      <c r="L483" s="193">
        <v>1440</v>
      </c>
      <c r="M483" s="194">
        <v>1440</v>
      </c>
      <c r="N483" s="284">
        <v>576</v>
      </c>
      <c r="O483" s="285">
        <v>21.67</v>
      </c>
      <c r="P483" s="285">
        <v>24</v>
      </c>
      <c r="Q483" s="285" t="s">
        <v>1</v>
      </c>
      <c r="R483" s="285" t="s">
        <v>1</v>
      </c>
      <c r="S483" s="286">
        <v>576</v>
      </c>
      <c r="T483" s="285">
        <v>21.67</v>
      </c>
      <c r="U483" s="285">
        <v>24</v>
      </c>
      <c r="V483" s="285" t="s">
        <v>1</v>
      </c>
      <c r="W483" s="285" t="s">
        <v>1</v>
      </c>
      <c r="X483" s="286">
        <v>576</v>
      </c>
      <c r="Y483" s="285">
        <v>21.67</v>
      </c>
      <c r="Z483" s="285">
        <v>24</v>
      </c>
      <c r="AA483" s="285" t="s">
        <v>1</v>
      </c>
      <c r="AB483" s="285" t="s">
        <v>1</v>
      </c>
      <c r="AC483" s="286">
        <v>576</v>
      </c>
      <c r="AD483" s="285">
        <v>21.67</v>
      </c>
      <c r="AE483" s="285">
        <v>24</v>
      </c>
      <c r="AF483" s="285" t="s">
        <v>1</v>
      </c>
      <c r="AG483" s="285" t="s">
        <v>1</v>
      </c>
      <c r="AH483" s="286" t="s">
        <v>1</v>
      </c>
      <c r="AI483" s="295" t="s">
        <v>1</v>
      </c>
      <c r="AJ483" s="295" t="s">
        <v>1</v>
      </c>
      <c r="AK483" s="295" t="s">
        <v>1</v>
      </c>
      <c r="AL483" s="286" t="s">
        <v>1</v>
      </c>
      <c r="AM483" s="288" t="s">
        <v>1</v>
      </c>
      <c r="AN483" s="287" t="s">
        <v>1</v>
      </c>
      <c r="AO483" s="287" t="s">
        <v>1</v>
      </c>
      <c r="AP483" s="286" t="s">
        <v>1</v>
      </c>
      <c r="AQ483" s="285" t="s">
        <v>1</v>
      </c>
      <c r="AR483" s="289" t="s">
        <v>1</v>
      </c>
      <c r="AS483" s="289" t="s">
        <v>1</v>
      </c>
      <c r="AT483" s="290" t="s">
        <v>1</v>
      </c>
      <c r="AU483" s="287" t="s">
        <v>1</v>
      </c>
      <c r="AV483" s="287" t="s">
        <v>1</v>
      </c>
      <c r="AW483" s="291" t="s">
        <v>1</v>
      </c>
    </row>
    <row r="484" spans="1:49" ht="30.15" customHeight="1" x14ac:dyDescent="0.25">
      <c r="A484" s="188" t="s">
        <v>18</v>
      </c>
      <c r="B484" s="189" t="s">
        <v>1</v>
      </c>
      <c r="C484" s="212" t="s">
        <v>34</v>
      </c>
      <c r="D484" s="190" t="s">
        <v>7</v>
      </c>
      <c r="E484" s="190" t="s">
        <v>445</v>
      </c>
      <c r="F484" s="203"/>
      <c r="G484" s="190" t="s">
        <v>539</v>
      </c>
      <c r="H484" s="192" t="s">
        <v>409</v>
      </c>
      <c r="I484" s="193">
        <v>1150</v>
      </c>
      <c r="J484" s="193">
        <v>1150</v>
      </c>
      <c r="K484" s="193">
        <v>1150</v>
      </c>
      <c r="L484" s="193">
        <v>1440</v>
      </c>
      <c r="M484" s="194">
        <v>1440</v>
      </c>
      <c r="N484" s="284">
        <v>576</v>
      </c>
      <c r="O484" s="285">
        <v>21.67</v>
      </c>
      <c r="P484" s="285">
        <v>24</v>
      </c>
      <c r="Q484" s="285" t="s">
        <v>1</v>
      </c>
      <c r="R484" s="285" t="s">
        <v>1</v>
      </c>
      <c r="S484" s="286">
        <v>576</v>
      </c>
      <c r="T484" s="285">
        <v>21.67</v>
      </c>
      <c r="U484" s="285">
        <v>24</v>
      </c>
      <c r="V484" s="285" t="s">
        <v>1</v>
      </c>
      <c r="W484" s="285" t="s">
        <v>1</v>
      </c>
      <c r="X484" s="286">
        <v>576</v>
      </c>
      <c r="Y484" s="285">
        <v>21.67</v>
      </c>
      <c r="Z484" s="285">
        <v>24</v>
      </c>
      <c r="AA484" s="285" t="s">
        <v>1</v>
      </c>
      <c r="AB484" s="285" t="s">
        <v>1</v>
      </c>
      <c r="AC484" s="286">
        <v>576</v>
      </c>
      <c r="AD484" s="285">
        <v>21.67</v>
      </c>
      <c r="AE484" s="285">
        <v>24</v>
      </c>
      <c r="AF484" s="285" t="s">
        <v>1</v>
      </c>
      <c r="AG484" s="285" t="s">
        <v>1</v>
      </c>
      <c r="AH484" s="286" t="s">
        <v>1</v>
      </c>
      <c r="AI484" s="295" t="s">
        <v>1</v>
      </c>
      <c r="AJ484" s="295" t="s">
        <v>1</v>
      </c>
      <c r="AK484" s="295" t="s">
        <v>1</v>
      </c>
      <c r="AL484" s="286" t="s">
        <v>1</v>
      </c>
      <c r="AM484" s="288" t="s">
        <v>1</v>
      </c>
      <c r="AN484" s="287" t="s">
        <v>1</v>
      </c>
      <c r="AO484" s="287" t="s">
        <v>1</v>
      </c>
      <c r="AP484" s="286" t="s">
        <v>1</v>
      </c>
      <c r="AQ484" s="285" t="s">
        <v>1</v>
      </c>
      <c r="AR484" s="289" t="s">
        <v>1</v>
      </c>
      <c r="AS484" s="289" t="s">
        <v>1</v>
      </c>
      <c r="AT484" s="290" t="s">
        <v>1</v>
      </c>
      <c r="AU484" s="287" t="s">
        <v>1</v>
      </c>
      <c r="AV484" s="287" t="s">
        <v>1</v>
      </c>
      <c r="AW484" s="291" t="s">
        <v>1</v>
      </c>
    </row>
    <row r="485" spans="1:49" ht="30.15" customHeight="1" x14ac:dyDescent="0.25">
      <c r="A485" s="188" t="s">
        <v>18</v>
      </c>
      <c r="B485" s="189" t="s">
        <v>1</v>
      </c>
      <c r="C485" s="212" t="s">
        <v>34</v>
      </c>
      <c r="D485" s="190" t="s">
        <v>7</v>
      </c>
      <c r="E485" s="190" t="s">
        <v>538</v>
      </c>
      <c r="F485" s="203"/>
      <c r="G485" s="190" t="s">
        <v>540</v>
      </c>
      <c r="H485" s="192" t="s">
        <v>541</v>
      </c>
      <c r="I485" s="193">
        <v>1550</v>
      </c>
      <c r="J485" s="193">
        <v>1440</v>
      </c>
      <c r="K485" s="193">
        <v>1550</v>
      </c>
      <c r="L485" s="193">
        <v>1510</v>
      </c>
      <c r="M485" s="194">
        <v>1510</v>
      </c>
      <c r="N485" s="284">
        <v>604</v>
      </c>
      <c r="O485" s="285" t="s">
        <v>1</v>
      </c>
      <c r="P485" s="285" t="s">
        <v>1</v>
      </c>
      <c r="Q485" s="285" t="s">
        <v>1</v>
      </c>
      <c r="R485" s="285" t="s">
        <v>1</v>
      </c>
      <c r="S485" s="286">
        <v>604</v>
      </c>
      <c r="T485" s="285" t="s">
        <v>1</v>
      </c>
      <c r="U485" s="285" t="s">
        <v>1</v>
      </c>
      <c r="V485" s="285" t="s">
        <v>1</v>
      </c>
      <c r="W485" s="285" t="s">
        <v>1</v>
      </c>
      <c r="X485" s="286">
        <v>604</v>
      </c>
      <c r="Y485" s="285" t="s">
        <v>1</v>
      </c>
      <c r="Z485" s="285" t="s">
        <v>1</v>
      </c>
      <c r="AA485" s="285" t="s">
        <v>1</v>
      </c>
      <c r="AB485" s="285" t="s">
        <v>1</v>
      </c>
      <c r="AC485" s="286">
        <v>604</v>
      </c>
      <c r="AD485" s="285" t="s">
        <v>1</v>
      </c>
      <c r="AE485" s="285" t="s">
        <v>1</v>
      </c>
      <c r="AF485" s="285" t="s">
        <v>1</v>
      </c>
      <c r="AG485" s="285" t="s">
        <v>1</v>
      </c>
      <c r="AH485" s="286" t="s">
        <v>1</v>
      </c>
      <c r="AI485" s="295" t="s">
        <v>1</v>
      </c>
      <c r="AJ485" s="295" t="s">
        <v>1</v>
      </c>
      <c r="AK485" s="295" t="s">
        <v>1</v>
      </c>
      <c r="AL485" s="286" t="s">
        <v>1</v>
      </c>
      <c r="AM485" s="288" t="s">
        <v>1</v>
      </c>
      <c r="AN485" s="287" t="s">
        <v>1</v>
      </c>
      <c r="AO485" s="287" t="s">
        <v>1</v>
      </c>
      <c r="AP485" s="286" t="s">
        <v>1</v>
      </c>
      <c r="AQ485" s="285" t="s">
        <v>1</v>
      </c>
      <c r="AR485" s="289" t="s">
        <v>1</v>
      </c>
      <c r="AS485" s="289" t="s">
        <v>1</v>
      </c>
      <c r="AT485" s="290" t="s">
        <v>1</v>
      </c>
      <c r="AU485" s="287" t="s">
        <v>1</v>
      </c>
      <c r="AV485" s="287" t="s">
        <v>1</v>
      </c>
      <c r="AW485" s="291" t="s">
        <v>1</v>
      </c>
    </row>
    <row r="486" spans="1:49" ht="30.15" customHeight="1" x14ac:dyDescent="0.25">
      <c r="A486" s="188" t="s">
        <v>18</v>
      </c>
      <c r="B486" s="189" t="s">
        <v>1</v>
      </c>
      <c r="C486" s="212" t="s">
        <v>34</v>
      </c>
      <c r="D486" s="190" t="s">
        <v>7</v>
      </c>
      <c r="E486" s="190" t="s">
        <v>642</v>
      </c>
      <c r="F486" s="203"/>
      <c r="G486" s="190" t="s">
        <v>649</v>
      </c>
      <c r="H486" s="192" t="s">
        <v>409</v>
      </c>
      <c r="I486" s="193">
        <v>1380</v>
      </c>
      <c r="J486" s="193">
        <v>1380</v>
      </c>
      <c r="K486" s="193">
        <v>1380</v>
      </c>
      <c r="L486" s="193">
        <v>1518</v>
      </c>
      <c r="M486" s="194">
        <v>1518</v>
      </c>
      <c r="N486" s="284">
        <v>607.20000000000005</v>
      </c>
      <c r="O486" s="285">
        <v>2.42</v>
      </c>
      <c r="P486" s="285">
        <v>24</v>
      </c>
      <c r="Q486" s="306">
        <v>290</v>
      </c>
      <c r="R486" s="306" t="s">
        <v>1</v>
      </c>
      <c r="S486" s="286">
        <v>607.20000000000005</v>
      </c>
      <c r="T486" s="285">
        <v>2.42</v>
      </c>
      <c r="U486" s="285">
        <v>24</v>
      </c>
      <c r="V486" s="306">
        <v>290</v>
      </c>
      <c r="W486" s="306" t="s">
        <v>1</v>
      </c>
      <c r="X486" s="286">
        <v>607.20000000000005</v>
      </c>
      <c r="Y486" s="285">
        <v>13.25</v>
      </c>
      <c r="Z486" s="285">
        <v>24</v>
      </c>
      <c r="AA486" s="285">
        <v>290</v>
      </c>
      <c r="AB486" s="285" t="s">
        <v>1</v>
      </c>
      <c r="AC486" s="286">
        <v>607.20000000000005</v>
      </c>
      <c r="AD486" s="285">
        <v>13.25</v>
      </c>
      <c r="AE486" s="285">
        <v>24</v>
      </c>
      <c r="AF486" s="285">
        <v>290</v>
      </c>
      <c r="AG486" s="285" t="s">
        <v>1</v>
      </c>
      <c r="AH486" s="286" t="s">
        <v>1</v>
      </c>
      <c r="AI486" s="295" t="s">
        <v>1</v>
      </c>
      <c r="AJ486" s="295" t="s">
        <v>1</v>
      </c>
      <c r="AK486" s="295" t="s">
        <v>1</v>
      </c>
      <c r="AL486" s="286" t="s">
        <v>1</v>
      </c>
      <c r="AM486" s="288" t="s">
        <v>1</v>
      </c>
      <c r="AN486" s="287" t="s">
        <v>1</v>
      </c>
      <c r="AO486" s="287" t="s">
        <v>1</v>
      </c>
      <c r="AP486" s="286" t="s">
        <v>1</v>
      </c>
      <c r="AQ486" s="285" t="s">
        <v>1</v>
      </c>
      <c r="AR486" s="289" t="s">
        <v>1</v>
      </c>
      <c r="AS486" s="289" t="s">
        <v>1</v>
      </c>
      <c r="AT486" s="290" t="s">
        <v>1</v>
      </c>
      <c r="AU486" s="287" t="s">
        <v>1</v>
      </c>
      <c r="AV486" s="287" t="s">
        <v>1</v>
      </c>
      <c r="AW486" s="291" t="s">
        <v>1</v>
      </c>
    </row>
    <row r="487" spans="1:49" ht="30.15" customHeight="1" x14ac:dyDescent="0.25">
      <c r="A487" s="188" t="s">
        <v>18</v>
      </c>
      <c r="B487" s="189" t="s">
        <v>1</v>
      </c>
      <c r="C487" s="212" t="s">
        <v>34</v>
      </c>
      <c r="D487" s="190" t="s">
        <v>7</v>
      </c>
      <c r="E487" s="190" t="s">
        <v>643</v>
      </c>
      <c r="F487" s="203"/>
      <c r="G487" s="190" t="s">
        <v>649</v>
      </c>
      <c r="H487" s="192" t="s">
        <v>409</v>
      </c>
      <c r="I487" s="193">
        <v>1380</v>
      </c>
      <c r="J487" s="193">
        <v>1380</v>
      </c>
      <c r="K487" s="193">
        <v>1380</v>
      </c>
      <c r="L487" s="193">
        <v>1518</v>
      </c>
      <c r="M487" s="194">
        <v>1518</v>
      </c>
      <c r="N487" s="284">
        <v>607.20000000000005</v>
      </c>
      <c r="O487" s="285">
        <v>2.42</v>
      </c>
      <c r="P487" s="285">
        <v>24</v>
      </c>
      <c r="Q487" s="306">
        <v>290</v>
      </c>
      <c r="R487" s="306" t="s">
        <v>1</v>
      </c>
      <c r="S487" s="286">
        <v>607.20000000000005</v>
      </c>
      <c r="T487" s="285">
        <v>2.42</v>
      </c>
      <c r="U487" s="285">
        <v>24</v>
      </c>
      <c r="V487" s="306">
        <v>290</v>
      </c>
      <c r="W487" s="306" t="s">
        <v>1</v>
      </c>
      <c r="X487" s="286">
        <v>607.20000000000005</v>
      </c>
      <c r="Y487" s="285">
        <v>13.25</v>
      </c>
      <c r="Z487" s="285">
        <v>24</v>
      </c>
      <c r="AA487" s="285">
        <v>290</v>
      </c>
      <c r="AB487" s="285" t="s">
        <v>1</v>
      </c>
      <c r="AC487" s="286">
        <v>607.20000000000005</v>
      </c>
      <c r="AD487" s="285">
        <v>13.25</v>
      </c>
      <c r="AE487" s="285">
        <v>24</v>
      </c>
      <c r="AF487" s="285">
        <v>290</v>
      </c>
      <c r="AG487" s="285" t="s">
        <v>1</v>
      </c>
      <c r="AH487" s="286" t="s">
        <v>1</v>
      </c>
      <c r="AI487" s="295" t="s">
        <v>1</v>
      </c>
      <c r="AJ487" s="295" t="s">
        <v>1</v>
      </c>
      <c r="AK487" s="295" t="s">
        <v>1</v>
      </c>
      <c r="AL487" s="286" t="s">
        <v>1</v>
      </c>
      <c r="AM487" s="288" t="s">
        <v>1</v>
      </c>
      <c r="AN487" s="287" t="s">
        <v>1</v>
      </c>
      <c r="AO487" s="287" t="s">
        <v>1</v>
      </c>
      <c r="AP487" s="286" t="s">
        <v>1</v>
      </c>
      <c r="AQ487" s="285" t="s">
        <v>1</v>
      </c>
      <c r="AR487" s="289" t="s">
        <v>1</v>
      </c>
      <c r="AS487" s="289" t="s">
        <v>1</v>
      </c>
      <c r="AT487" s="290" t="s">
        <v>1</v>
      </c>
      <c r="AU487" s="287" t="s">
        <v>1</v>
      </c>
      <c r="AV487" s="287" t="s">
        <v>1</v>
      </c>
      <c r="AW487" s="291" t="s">
        <v>1</v>
      </c>
    </row>
    <row r="488" spans="1:49" ht="30.15" customHeight="1" x14ac:dyDescent="0.25">
      <c r="A488" s="236" t="s">
        <v>18</v>
      </c>
      <c r="B488" s="237" t="s">
        <v>1</v>
      </c>
      <c r="C488" s="238" t="s">
        <v>34</v>
      </c>
      <c r="D488" s="190" t="s">
        <v>7</v>
      </c>
      <c r="E488" s="190" t="s">
        <v>648</v>
      </c>
      <c r="F488" s="203"/>
      <c r="G488" s="190" t="s">
        <v>649</v>
      </c>
      <c r="H488" s="219" t="s">
        <v>7</v>
      </c>
      <c r="I488" s="220">
        <v>1380</v>
      </c>
      <c r="J488" s="220">
        <v>1380</v>
      </c>
      <c r="K488" s="220">
        <v>1380</v>
      </c>
      <c r="L488" s="220">
        <v>1518</v>
      </c>
      <c r="M488" s="220">
        <v>1518</v>
      </c>
      <c r="N488" s="304">
        <v>607.20000000000005</v>
      </c>
      <c r="O488" s="285">
        <v>2.42</v>
      </c>
      <c r="P488" s="285">
        <v>24</v>
      </c>
      <c r="Q488" s="306">
        <v>290</v>
      </c>
      <c r="R488" s="306" t="s">
        <v>1</v>
      </c>
      <c r="S488" s="305">
        <v>607.20000000000005</v>
      </c>
      <c r="T488" s="285">
        <v>2.42</v>
      </c>
      <c r="U488" s="285">
        <v>24</v>
      </c>
      <c r="V488" s="306">
        <v>290</v>
      </c>
      <c r="W488" s="306" t="s">
        <v>1</v>
      </c>
      <c r="X488" s="305">
        <v>607.20000000000005</v>
      </c>
      <c r="Y488" s="285">
        <v>13.25</v>
      </c>
      <c r="Z488" s="285">
        <v>24</v>
      </c>
      <c r="AA488" s="285">
        <v>290</v>
      </c>
      <c r="AB488" s="285" t="s">
        <v>1</v>
      </c>
      <c r="AC488" s="305">
        <v>607.20000000000005</v>
      </c>
      <c r="AD488" s="285">
        <v>13.25</v>
      </c>
      <c r="AE488" s="285">
        <v>24</v>
      </c>
      <c r="AF488" s="285">
        <v>290</v>
      </c>
      <c r="AG488" s="285" t="s">
        <v>1</v>
      </c>
      <c r="AH488" s="305" t="s">
        <v>1</v>
      </c>
      <c r="AI488" s="295" t="s">
        <v>1</v>
      </c>
      <c r="AJ488" s="295" t="s">
        <v>1</v>
      </c>
      <c r="AK488" s="295" t="s">
        <v>1</v>
      </c>
      <c r="AL488" s="305" t="s">
        <v>1</v>
      </c>
      <c r="AM488" s="310" t="s">
        <v>1</v>
      </c>
      <c r="AN488" s="287" t="s">
        <v>1</v>
      </c>
      <c r="AO488" s="287" t="s">
        <v>1</v>
      </c>
      <c r="AP488" s="305" t="s">
        <v>1</v>
      </c>
      <c r="AQ488" s="311" t="s">
        <v>1</v>
      </c>
      <c r="AR488" s="289" t="s">
        <v>1</v>
      </c>
      <c r="AS488" s="289" t="s">
        <v>1</v>
      </c>
      <c r="AT488" s="290" t="s">
        <v>1</v>
      </c>
      <c r="AU488" s="287" t="s">
        <v>1</v>
      </c>
      <c r="AV488" s="287" t="s">
        <v>1</v>
      </c>
      <c r="AW488" s="291" t="s">
        <v>1</v>
      </c>
    </row>
    <row r="489" spans="1:49" ht="30.15" customHeight="1" x14ac:dyDescent="0.25">
      <c r="A489" s="236" t="s">
        <v>18</v>
      </c>
      <c r="B489" s="237" t="s">
        <v>1</v>
      </c>
      <c r="C489" s="238" t="s">
        <v>34</v>
      </c>
      <c r="D489" s="190" t="s">
        <v>7</v>
      </c>
      <c r="E489" s="190" t="s">
        <v>650</v>
      </c>
      <c r="F489" s="203"/>
      <c r="G489" s="190" t="s">
        <v>651</v>
      </c>
      <c r="H489" s="219" t="s">
        <v>7</v>
      </c>
      <c r="I489" s="220">
        <v>1510</v>
      </c>
      <c r="J489" s="220">
        <v>1510</v>
      </c>
      <c r="K489" s="220">
        <v>1510</v>
      </c>
      <c r="L489" s="220">
        <v>1600</v>
      </c>
      <c r="M489" s="220">
        <v>1600</v>
      </c>
      <c r="N489" s="304">
        <v>640</v>
      </c>
      <c r="O489" s="285" t="s">
        <v>1</v>
      </c>
      <c r="P489" s="285" t="s">
        <v>1</v>
      </c>
      <c r="Q489" s="285" t="s">
        <v>1</v>
      </c>
      <c r="R489" s="285" t="s">
        <v>1</v>
      </c>
      <c r="S489" s="305">
        <v>640</v>
      </c>
      <c r="T489" s="285" t="s">
        <v>1</v>
      </c>
      <c r="U489" s="285" t="s">
        <v>1</v>
      </c>
      <c r="V489" s="285" t="s">
        <v>1</v>
      </c>
      <c r="W489" s="285" t="s">
        <v>1</v>
      </c>
      <c r="X489" s="305">
        <v>640</v>
      </c>
      <c r="Y489" s="285" t="s">
        <v>1</v>
      </c>
      <c r="Z489" s="285" t="s">
        <v>1</v>
      </c>
      <c r="AA489" s="285" t="s">
        <v>1</v>
      </c>
      <c r="AB489" s="285" t="s">
        <v>1</v>
      </c>
      <c r="AC489" s="305">
        <v>640</v>
      </c>
      <c r="AD489" s="285" t="s">
        <v>1</v>
      </c>
      <c r="AE489" s="285" t="s">
        <v>1</v>
      </c>
      <c r="AF489" s="285" t="s">
        <v>1</v>
      </c>
      <c r="AG489" s="285" t="s">
        <v>1</v>
      </c>
      <c r="AH489" s="305" t="s">
        <v>1</v>
      </c>
      <c r="AI489" s="295" t="s">
        <v>1</v>
      </c>
      <c r="AJ489" s="295" t="s">
        <v>1</v>
      </c>
      <c r="AK489" s="295" t="s">
        <v>1</v>
      </c>
      <c r="AL489" s="305" t="s">
        <v>1</v>
      </c>
      <c r="AM489" s="310" t="s">
        <v>1</v>
      </c>
      <c r="AN489" s="287" t="s">
        <v>1</v>
      </c>
      <c r="AO489" s="287" t="s">
        <v>1</v>
      </c>
      <c r="AP489" s="305" t="s">
        <v>1</v>
      </c>
      <c r="AQ489" s="311" t="s">
        <v>1</v>
      </c>
      <c r="AR489" s="289" t="s">
        <v>1</v>
      </c>
      <c r="AS489" s="289" t="s">
        <v>1</v>
      </c>
      <c r="AT489" s="290" t="s">
        <v>1</v>
      </c>
      <c r="AU489" s="287" t="s">
        <v>1</v>
      </c>
      <c r="AV489" s="287" t="s">
        <v>1</v>
      </c>
      <c r="AW489" s="291" t="s">
        <v>1</v>
      </c>
    </row>
    <row r="490" spans="1:49" ht="30.15" customHeight="1" x14ac:dyDescent="0.25">
      <c r="A490" s="236" t="s">
        <v>18</v>
      </c>
      <c r="B490" s="237" t="s">
        <v>1</v>
      </c>
      <c r="C490" s="238" t="s">
        <v>34</v>
      </c>
      <c r="D490" s="241" t="s">
        <v>7</v>
      </c>
      <c r="E490" s="241" t="s">
        <v>652</v>
      </c>
      <c r="F490" s="242"/>
      <c r="G490" s="241" t="s">
        <v>646</v>
      </c>
      <c r="H490" s="219" t="s">
        <v>7</v>
      </c>
      <c r="I490" s="220">
        <v>1190</v>
      </c>
      <c r="J490" s="220">
        <v>1190</v>
      </c>
      <c r="K490" s="220">
        <v>1190</v>
      </c>
      <c r="L490" s="220">
        <v>1260</v>
      </c>
      <c r="M490" s="220">
        <v>1260</v>
      </c>
      <c r="N490" s="304">
        <v>504</v>
      </c>
      <c r="O490" s="285" t="s">
        <v>1</v>
      </c>
      <c r="P490" s="285" t="s">
        <v>1</v>
      </c>
      <c r="Q490" s="285" t="s">
        <v>1</v>
      </c>
      <c r="R490" s="285" t="s">
        <v>1</v>
      </c>
      <c r="S490" s="305">
        <v>504</v>
      </c>
      <c r="T490" s="285" t="s">
        <v>1</v>
      </c>
      <c r="U490" s="285" t="s">
        <v>1</v>
      </c>
      <c r="V490" s="285" t="s">
        <v>1</v>
      </c>
      <c r="W490" s="285" t="s">
        <v>1</v>
      </c>
      <c r="X490" s="305">
        <v>504</v>
      </c>
      <c r="Y490" s="285">
        <v>10.84</v>
      </c>
      <c r="Z490" s="285">
        <v>24</v>
      </c>
      <c r="AA490" s="285" t="s">
        <v>1</v>
      </c>
      <c r="AB490" s="285" t="s">
        <v>1</v>
      </c>
      <c r="AC490" s="305">
        <v>504</v>
      </c>
      <c r="AD490" s="285">
        <v>10.84</v>
      </c>
      <c r="AE490" s="285">
        <v>24</v>
      </c>
      <c r="AF490" s="285" t="s">
        <v>1</v>
      </c>
      <c r="AG490" s="285" t="s">
        <v>1</v>
      </c>
      <c r="AH490" s="305" t="s">
        <v>1</v>
      </c>
      <c r="AI490" s="295" t="s">
        <v>1</v>
      </c>
      <c r="AJ490" s="295" t="s">
        <v>1</v>
      </c>
      <c r="AK490" s="295" t="s">
        <v>1</v>
      </c>
      <c r="AL490" s="305" t="s">
        <v>1</v>
      </c>
      <c r="AM490" s="310" t="s">
        <v>1</v>
      </c>
      <c r="AN490" s="287" t="s">
        <v>1</v>
      </c>
      <c r="AO490" s="287" t="s">
        <v>1</v>
      </c>
      <c r="AP490" s="305" t="s">
        <v>1</v>
      </c>
      <c r="AQ490" s="311" t="s">
        <v>1</v>
      </c>
      <c r="AR490" s="289" t="s">
        <v>1</v>
      </c>
      <c r="AS490" s="289" t="s">
        <v>1</v>
      </c>
      <c r="AT490" s="290" t="s">
        <v>1</v>
      </c>
      <c r="AU490" s="287" t="s">
        <v>1</v>
      </c>
      <c r="AV490" s="287" t="s">
        <v>1</v>
      </c>
      <c r="AW490" s="291" t="s">
        <v>1</v>
      </c>
    </row>
    <row r="491" spans="1:49" ht="30.15" customHeight="1" x14ac:dyDescent="0.25">
      <c r="A491" s="188" t="s">
        <v>18</v>
      </c>
      <c r="B491" s="189" t="s">
        <v>1</v>
      </c>
      <c r="C491" s="212" t="s">
        <v>34</v>
      </c>
      <c r="D491" s="241" t="s">
        <v>7</v>
      </c>
      <c r="E491" s="241" t="s">
        <v>644</v>
      </c>
      <c r="F491" s="242"/>
      <c r="G491" s="241" t="s">
        <v>646</v>
      </c>
      <c r="H491" s="192" t="s">
        <v>647</v>
      </c>
      <c r="I491" s="193">
        <v>1190</v>
      </c>
      <c r="J491" s="193">
        <v>1190</v>
      </c>
      <c r="K491" s="193">
        <v>1190</v>
      </c>
      <c r="L491" s="193">
        <v>1260</v>
      </c>
      <c r="M491" s="194">
        <v>1260</v>
      </c>
      <c r="N491" s="284">
        <v>504</v>
      </c>
      <c r="O491" s="285" t="s">
        <v>1</v>
      </c>
      <c r="P491" s="285" t="s">
        <v>1</v>
      </c>
      <c r="Q491" s="285" t="s">
        <v>1</v>
      </c>
      <c r="R491" s="285" t="s">
        <v>1</v>
      </c>
      <c r="S491" s="286">
        <v>504</v>
      </c>
      <c r="T491" s="285" t="s">
        <v>1</v>
      </c>
      <c r="U491" s="285" t="s">
        <v>1</v>
      </c>
      <c r="V491" s="285" t="s">
        <v>1</v>
      </c>
      <c r="W491" s="285" t="s">
        <v>1</v>
      </c>
      <c r="X491" s="286">
        <v>504</v>
      </c>
      <c r="Y491" s="285">
        <v>10.84</v>
      </c>
      <c r="Z491" s="285">
        <v>24</v>
      </c>
      <c r="AA491" s="285" t="s">
        <v>1</v>
      </c>
      <c r="AB491" s="285" t="s">
        <v>1</v>
      </c>
      <c r="AC491" s="286">
        <v>504</v>
      </c>
      <c r="AD491" s="285">
        <v>10.84</v>
      </c>
      <c r="AE491" s="285">
        <v>24</v>
      </c>
      <c r="AF491" s="285" t="s">
        <v>1</v>
      </c>
      <c r="AG491" s="285" t="s">
        <v>1</v>
      </c>
      <c r="AH491" s="286" t="s">
        <v>1</v>
      </c>
      <c r="AI491" s="295" t="s">
        <v>1</v>
      </c>
      <c r="AJ491" s="295" t="s">
        <v>1</v>
      </c>
      <c r="AK491" s="295" t="s">
        <v>1</v>
      </c>
      <c r="AL491" s="286" t="s">
        <v>1</v>
      </c>
      <c r="AM491" s="288" t="s">
        <v>1</v>
      </c>
      <c r="AN491" s="287" t="s">
        <v>1</v>
      </c>
      <c r="AO491" s="287" t="s">
        <v>1</v>
      </c>
      <c r="AP491" s="286" t="s">
        <v>1</v>
      </c>
      <c r="AQ491" s="285" t="s">
        <v>1</v>
      </c>
      <c r="AR491" s="289" t="s">
        <v>1</v>
      </c>
      <c r="AS491" s="289" t="s">
        <v>1</v>
      </c>
      <c r="AT491" s="290" t="s">
        <v>1</v>
      </c>
      <c r="AU491" s="287" t="s">
        <v>1</v>
      </c>
      <c r="AV491" s="287" t="s">
        <v>1</v>
      </c>
      <c r="AW491" s="291" t="s">
        <v>1</v>
      </c>
    </row>
    <row r="492" spans="1:49" ht="30.15" customHeight="1" x14ac:dyDescent="0.25">
      <c r="A492" s="188" t="s">
        <v>18</v>
      </c>
      <c r="B492" s="189" t="s">
        <v>1</v>
      </c>
      <c r="C492" s="212" t="s">
        <v>34</v>
      </c>
      <c r="D492" s="241" t="s">
        <v>7</v>
      </c>
      <c r="E492" s="241" t="s">
        <v>645</v>
      </c>
      <c r="F492" s="242"/>
      <c r="G492" s="241" t="s">
        <v>646</v>
      </c>
      <c r="H492" s="192" t="s">
        <v>647</v>
      </c>
      <c r="I492" s="193">
        <v>1190</v>
      </c>
      <c r="J492" s="193">
        <v>1190</v>
      </c>
      <c r="K492" s="193">
        <v>1190</v>
      </c>
      <c r="L492" s="193">
        <v>1260</v>
      </c>
      <c r="M492" s="194">
        <v>1260</v>
      </c>
      <c r="N492" s="284">
        <v>504</v>
      </c>
      <c r="O492" s="285" t="s">
        <v>1</v>
      </c>
      <c r="P492" s="285" t="s">
        <v>1</v>
      </c>
      <c r="Q492" s="285" t="s">
        <v>1</v>
      </c>
      <c r="R492" s="285" t="s">
        <v>1</v>
      </c>
      <c r="S492" s="286">
        <v>504</v>
      </c>
      <c r="T492" s="285" t="s">
        <v>1</v>
      </c>
      <c r="U492" s="285" t="s">
        <v>1</v>
      </c>
      <c r="V492" s="285" t="s">
        <v>1</v>
      </c>
      <c r="W492" s="285" t="s">
        <v>1</v>
      </c>
      <c r="X492" s="286">
        <v>504</v>
      </c>
      <c r="Y492" s="285">
        <v>10.84</v>
      </c>
      <c r="Z492" s="285">
        <v>24</v>
      </c>
      <c r="AA492" s="285" t="s">
        <v>1</v>
      </c>
      <c r="AB492" s="285" t="s">
        <v>1</v>
      </c>
      <c r="AC492" s="286">
        <v>504</v>
      </c>
      <c r="AD492" s="285">
        <v>10.84</v>
      </c>
      <c r="AE492" s="285">
        <v>24</v>
      </c>
      <c r="AF492" s="285" t="s">
        <v>1</v>
      </c>
      <c r="AG492" s="285" t="s">
        <v>1</v>
      </c>
      <c r="AH492" s="286" t="s">
        <v>1</v>
      </c>
      <c r="AI492" s="295" t="s">
        <v>1</v>
      </c>
      <c r="AJ492" s="295" t="s">
        <v>1</v>
      </c>
      <c r="AK492" s="295" t="s">
        <v>1</v>
      </c>
      <c r="AL492" s="286" t="s">
        <v>1</v>
      </c>
      <c r="AM492" s="288" t="s">
        <v>1</v>
      </c>
      <c r="AN492" s="287" t="s">
        <v>1</v>
      </c>
      <c r="AO492" s="287" t="s">
        <v>1</v>
      </c>
      <c r="AP492" s="286" t="s">
        <v>1</v>
      </c>
      <c r="AQ492" s="285" t="s">
        <v>1</v>
      </c>
      <c r="AR492" s="289" t="s">
        <v>1</v>
      </c>
      <c r="AS492" s="289" t="s">
        <v>1</v>
      </c>
      <c r="AT492" s="290" t="s">
        <v>1</v>
      </c>
      <c r="AU492" s="287" t="s">
        <v>1</v>
      </c>
      <c r="AV492" s="287" t="s">
        <v>1</v>
      </c>
      <c r="AW492" s="291" t="s">
        <v>1</v>
      </c>
    </row>
    <row r="493" spans="1:49" ht="30.15" customHeight="1" x14ac:dyDescent="0.25">
      <c r="A493" s="188" t="s">
        <v>18</v>
      </c>
      <c r="B493" s="189" t="s">
        <v>1</v>
      </c>
      <c r="C493" s="212" t="s">
        <v>34</v>
      </c>
      <c r="D493" s="190" t="s">
        <v>7</v>
      </c>
      <c r="E493" s="190" t="s">
        <v>918</v>
      </c>
      <c r="F493" s="203"/>
      <c r="G493" s="190" t="s">
        <v>919</v>
      </c>
      <c r="H493" s="192" t="s">
        <v>409</v>
      </c>
      <c r="I493" s="193">
        <v>1729</v>
      </c>
      <c r="J493" s="193">
        <v>1729</v>
      </c>
      <c r="K493" s="193">
        <v>1729</v>
      </c>
      <c r="L493" s="193">
        <v>2250</v>
      </c>
      <c r="M493" s="194">
        <v>2250</v>
      </c>
      <c r="N493" s="284">
        <v>900</v>
      </c>
      <c r="O493" s="285">
        <v>17.920000000000002</v>
      </c>
      <c r="P493" s="285">
        <v>24</v>
      </c>
      <c r="Q493" s="285">
        <v>380</v>
      </c>
      <c r="R493" s="285" t="s">
        <v>1</v>
      </c>
      <c r="S493" s="286">
        <v>900</v>
      </c>
      <c r="T493" s="285">
        <v>17.920000000000002</v>
      </c>
      <c r="U493" s="285">
        <v>24</v>
      </c>
      <c r="V493" s="285">
        <v>380</v>
      </c>
      <c r="W493" s="285" t="s">
        <v>1</v>
      </c>
      <c r="X493" s="286">
        <v>900</v>
      </c>
      <c r="Y493" s="285">
        <v>39.42</v>
      </c>
      <c r="Z493" s="285">
        <v>24</v>
      </c>
      <c r="AA493" s="285">
        <v>380</v>
      </c>
      <c r="AB493" s="285" t="s">
        <v>1</v>
      </c>
      <c r="AC493" s="286">
        <v>900</v>
      </c>
      <c r="AD493" s="285">
        <v>39.42</v>
      </c>
      <c r="AE493" s="285">
        <v>24</v>
      </c>
      <c r="AF493" s="285">
        <v>380</v>
      </c>
      <c r="AG493" s="285" t="s">
        <v>1</v>
      </c>
      <c r="AH493" s="286" t="s">
        <v>1</v>
      </c>
      <c r="AI493" s="295" t="s">
        <v>1</v>
      </c>
      <c r="AJ493" s="295" t="s">
        <v>1</v>
      </c>
      <c r="AK493" s="295" t="s">
        <v>1</v>
      </c>
      <c r="AL493" s="286" t="s">
        <v>1</v>
      </c>
      <c r="AM493" s="288" t="s">
        <v>1</v>
      </c>
      <c r="AN493" s="287" t="s">
        <v>1</v>
      </c>
      <c r="AO493" s="287" t="s">
        <v>1</v>
      </c>
      <c r="AP493" s="286" t="s">
        <v>1</v>
      </c>
      <c r="AQ493" s="285" t="s">
        <v>1</v>
      </c>
      <c r="AR493" s="289" t="s">
        <v>1</v>
      </c>
      <c r="AS493" s="289" t="s">
        <v>1</v>
      </c>
      <c r="AT493" s="290" t="s">
        <v>1</v>
      </c>
      <c r="AU493" s="287" t="s">
        <v>1</v>
      </c>
      <c r="AV493" s="287" t="s">
        <v>1</v>
      </c>
      <c r="AW493" s="291" t="s">
        <v>1</v>
      </c>
    </row>
    <row r="494" spans="1:49" ht="30.15" customHeight="1" x14ac:dyDescent="0.25">
      <c r="A494" s="188" t="s">
        <v>18</v>
      </c>
      <c r="B494" s="189" t="s">
        <v>1</v>
      </c>
      <c r="C494" s="212" t="s">
        <v>34</v>
      </c>
      <c r="D494" s="190" t="s">
        <v>7</v>
      </c>
      <c r="E494" s="190" t="s">
        <v>920</v>
      </c>
      <c r="F494" s="203"/>
      <c r="G494" s="190" t="s">
        <v>919</v>
      </c>
      <c r="H494" s="192" t="s">
        <v>409</v>
      </c>
      <c r="I494" s="193">
        <v>1729</v>
      </c>
      <c r="J494" s="193">
        <v>1729</v>
      </c>
      <c r="K494" s="193">
        <v>1729</v>
      </c>
      <c r="L494" s="193">
        <v>2250</v>
      </c>
      <c r="M494" s="194">
        <v>2250</v>
      </c>
      <c r="N494" s="284">
        <v>900</v>
      </c>
      <c r="O494" s="285">
        <v>17.920000000000002</v>
      </c>
      <c r="P494" s="285">
        <v>24</v>
      </c>
      <c r="Q494" s="285">
        <v>380</v>
      </c>
      <c r="R494" s="285" t="s">
        <v>1</v>
      </c>
      <c r="S494" s="286">
        <v>900</v>
      </c>
      <c r="T494" s="285">
        <v>17.920000000000002</v>
      </c>
      <c r="U494" s="285">
        <v>24</v>
      </c>
      <c r="V494" s="285">
        <v>380</v>
      </c>
      <c r="W494" s="285" t="s">
        <v>1</v>
      </c>
      <c r="X494" s="286">
        <v>900</v>
      </c>
      <c r="Y494" s="285">
        <v>39.42</v>
      </c>
      <c r="Z494" s="285">
        <v>24</v>
      </c>
      <c r="AA494" s="285">
        <v>380</v>
      </c>
      <c r="AB494" s="285" t="s">
        <v>1</v>
      </c>
      <c r="AC494" s="286">
        <v>900</v>
      </c>
      <c r="AD494" s="285">
        <v>39.42</v>
      </c>
      <c r="AE494" s="285">
        <v>24</v>
      </c>
      <c r="AF494" s="285">
        <v>380</v>
      </c>
      <c r="AG494" s="285" t="s">
        <v>1</v>
      </c>
      <c r="AH494" s="286" t="s">
        <v>1</v>
      </c>
      <c r="AI494" s="295" t="s">
        <v>1</v>
      </c>
      <c r="AJ494" s="295" t="s">
        <v>1</v>
      </c>
      <c r="AK494" s="295" t="s">
        <v>1</v>
      </c>
      <c r="AL494" s="286" t="s">
        <v>1</v>
      </c>
      <c r="AM494" s="288" t="s">
        <v>1</v>
      </c>
      <c r="AN494" s="287" t="s">
        <v>1</v>
      </c>
      <c r="AO494" s="287" t="s">
        <v>1</v>
      </c>
      <c r="AP494" s="286" t="s">
        <v>1</v>
      </c>
      <c r="AQ494" s="285" t="s">
        <v>1</v>
      </c>
      <c r="AR494" s="289" t="s">
        <v>1</v>
      </c>
      <c r="AS494" s="289" t="s">
        <v>1</v>
      </c>
      <c r="AT494" s="290" t="s">
        <v>1</v>
      </c>
      <c r="AU494" s="287" t="s">
        <v>1</v>
      </c>
      <c r="AV494" s="287" t="s">
        <v>1</v>
      </c>
      <c r="AW494" s="291" t="s">
        <v>1</v>
      </c>
    </row>
    <row r="495" spans="1:49" ht="30.15" customHeight="1" x14ac:dyDescent="0.25">
      <c r="A495" s="188" t="s">
        <v>18</v>
      </c>
      <c r="B495" s="189" t="s">
        <v>1</v>
      </c>
      <c r="C495" s="212" t="s">
        <v>34</v>
      </c>
      <c r="D495" s="190" t="s">
        <v>7</v>
      </c>
      <c r="E495" s="190" t="s">
        <v>921</v>
      </c>
      <c r="F495" s="203"/>
      <c r="G495" s="190" t="s">
        <v>922</v>
      </c>
      <c r="H495" s="192" t="s">
        <v>647</v>
      </c>
      <c r="I495" s="193">
        <v>1928</v>
      </c>
      <c r="J495" s="193">
        <v>1928</v>
      </c>
      <c r="K495" s="193">
        <v>1928</v>
      </c>
      <c r="L495" s="193">
        <v>2510</v>
      </c>
      <c r="M495" s="194">
        <v>2510</v>
      </c>
      <c r="N495" s="284">
        <v>1004</v>
      </c>
      <c r="O495" s="285">
        <v>20</v>
      </c>
      <c r="P495" s="285">
        <v>24</v>
      </c>
      <c r="Q495" s="285">
        <v>410</v>
      </c>
      <c r="R495" s="285" t="s">
        <v>1</v>
      </c>
      <c r="S495" s="286">
        <v>1004</v>
      </c>
      <c r="T495" s="285">
        <v>20</v>
      </c>
      <c r="U495" s="285">
        <v>24</v>
      </c>
      <c r="V495" s="285">
        <v>410</v>
      </c>
      <c r="W495" s="285" t="s">
        <v>1</v>
      </c>
      <c r="X495" s="286">
        <v>1004</v>
      </c>
      <c r="Y495" s="285">
        <v>39.42</v>
      </c>
      <c r="Z495" s="285">
        <v>24</v>
      </c>
      <c r="AA495" s="285">
        <v>410</v>
      </c>
      <c r="AB495" s="285" t="s">
        <v>1</v>
      </c>
      <c r="AC495" s="286">
        <v>1004</v>
      </c>
      <c r="AD495" s="285">
        <v>39.42</v>
      </c>
      <c r="AE495" s="285">
        <v>24</v>
      </c>
      <c r="AF495" s="285">
        <v>410</v>
      </c>
      <c r="AG495" s="285" t="s">
        <v>1</v>
      </c>
      <c r="AH495" s="286" t="s">
        <v>1</v>
      </c>
      <c r="AI495" s="295" t="s">
        <v>1</v>
      </c>
      <c r="AJ495" s="295" t="s">
        <v>1</v>
      </c>
      <c r="AK495" s="295" t="s">
        <v>1</v>
      </c>
      <c r="AL495" s="286" t="s">
        <v>1</v>
      </c>
      <c r="AM495" s="288" t="s">
        <v>1</v>
      </c>
      <c r="AN495" s="287" t="s">
        <v>1</v>
      </c>
      <c r="AO495" s="287" t="s">
        <v>1</v>
      </c>
      <c r="AP495" s="286" t="s">
        <v>1</v>
      </c>
      <c r="AQ495" s="285" t="s">
        <v>1</v>
      </c>
      <c r="AR495" s="289" t="s">
        <v>1</v>
      </c>
      <c r="AS495" s="289" t="s">
        <v>1</v>
      </c>
      <c r="AT495" s="290" t="s">
        <v>1</v>
      </c>
      <c r="AU495" s="287" t="s">
        <v>1</v>
      </c>
      <c r="AV495" s="287" t="s">
        <v>1</v>
      </c>
      <c r="AW495" s="291" t="s">
        <v>1</v>
      </c>
    </row>
    <row r="496" spans="1:49" ht="30.15" customHeight="1" x14ac:dyDescent="0.25">
      <c r="A496" s="188" t="s">
        <v>18</v>
      </c>
      <c r="B496" s="189" t="s">
        <v>1</v>
      </c>
      <c r="C496" s="212" t="s">
        <v>34</v>
      </c>
      <c r="D496" s="190" t="s">
        <v>7</v>
      </c>
      <c r="E496" s="190" t="s">
        <v>923</v>
      </c>
      <c r="F496" s="203"/>
      <c r="G496" s="190" t="s">
        <v>924</v>
      </c>
      <c r="H496" s="192" t="s">
        <v>409</v>
      </c>
      <c r="I496" s="193">
        <v>1330</v>
      </c>
      <c r="J496" s="193">
        <v>1330</v>
      </c>
      <c r="K496" s="193">
        <v>1330</v>
      </c>
      <c r="L496" s="193">
        <v>1730</v>
      </c>
      <c r="M496" s="194">
        <v>1730</v>
      </c>
      <c r="N496" s="284">
        <v>692</v>
      </c>
      <c r="O496" s="285">
        <v>13.75</v>
      </c>
      <c r="P496" s="285">
        <v>24</v>
      </c>
      <c r="Q496" s="285">
        <v>260</v>
      </c>
      <c r="R496" s="285" t="s">
        <v>1</v>
      </c>
      <c r="S496" s="286">
        <v>692</v>
      </c>
      <c r="T496" s="285">
        <v>13.75</v>
      </c>
      <c r="U496" s="285">
        <v>24</v>
      </c>
      <c r="V496" s="285">
        <v>260</v>
      </c>
      <c r="W496" s="285" t="s">
        <v>1</v>
      </c>
      <c r="X496" s="286">
        <v>692</v>
      </c>
      <c r="Y496" s="285">
        <v>34.75</v>
      </c>
      <c r="Z496" s="285">
        <v>24</v>
      </c>
      <c r="AA496" s="285">
        <v>260</v>
      </c>
      <c r="AB496" s="285" t="s">
        <v>1</v>
      </c>
      <c r="AC496" s="286">
        <v>692</v>
      </c>
      <c r="AD496" s="285">
        <v>34.75</v>
      </c>
      <c r="AE496" s="285">
        <v>24</v>
      </c>
      <c r="AF496" s="285">
        <v>260</v>
      </c>
      <c r="AG496" s="285" t="s">
        <v>1</v>
      </c>
      <c r="AH496" s="286" t="s">
        <v>1</v>
      </c>
      <c r="AI496" s="295" t="s">
        <v>1</v>
      </c>
      <c r="AJ496" s="295" t="s">
        <v>1</v>
      </c>
      <c r="AK496" s="295" t="s">
        <v>1</v>
      </c>
      <c r="AL496" s="286" t="s">
        <v>1</v>
      </c>
      <c r="AM496" s="288" t="s">
        <v>1</v>
      </c>
      <c r="AN496" s="287" t="s">
        <v>1</v>
      </c>
      <c r="AO496" s="287" t="s">
        <v>1</v>
      </c>
      <c r="AP496" s="286" t="s">
        <v>1</v>
      </c>
      <c r="AQ496" s="285" t="s">
        <v>1</v>
      </c>
      <c r="AR496" s="289" t="s">
        <v>1</v>
      </c>
      <c r="AS496" s="289" t="s">
        <v>1</v>
      </c>
      <c r="AT496" s="290" t="s">
        <v>1</v>
      </c>
      <c r="AU496" s="287" t="s">
        <v>1</v>
      </c>
      <c r="AV496" s="287" t="s">
        <v>1</v>
      </c>
      <c r="AW496" s="291" t="s">
        <v>1</v>
      </c>
    </row>
    <row r="497" spans="1:49" ht="30.15" customHeight="1" x14ac:dyDescent="0.25">
      <c r="A497" s="188" t="s">
        <v>18</v>
      </c>
      <c r="B497" s="189" t="s">
        <v>1</v>
      </c>
      <c r="C497" s="212" t="s">
        <v>34</v>
      </c>
      <c r="D497" s="190" t="s">
        <v>7</v>
      </c>
      <c r="E497" s="190" t="s">
        <v>925</v>
      </c>
      <c r="F497" s="203"/>
      <c r="G497" s="190" t="s">
        <v>924</v>
      </c>
      <c r="H497" s="192" t="s">
        <v>409</v>
      </c>
      <c r="I497" s="193">
        <v>1330</v>
      </c>
      <c r="J497" s="193">
        <v>1330</v>
      </c>
      <c r="K497" s="193">
        <v>1330</v>
      </c>
      <c r="L497" s="193">
        <v>1730</v>
      </c>
      <c r="M497" s="194">
        <v>1730</v>
      </c>
      <c r="N497" s="284">
        <v>692</v>
      </c>
      <c r="O497" s="285">
        <v>13.75</v>
      </c>
      <c r="P497" s="285">
        <v>24</v>
      </c>
      <c r="Q497" s="285">
        <v>260</v>
      </c>
      <c r="R497" s="285" t="s">
        <v>1</v>
      </c>
      <c r="S497" s="286">
        <v>692</v>
      </c>
      <c r="T497" s="285">
        <v>13.75</v>
      </c>
      <c r="U497" s="285">
        <v>24</v>
      </c>
      <c r="V497" s="285">
        <v>260</v>
      </c>
      <c r="W497" s="285" t="s">
        <v>1</v>
      </c>
      <c r="X497" s="286">
        <v>692</v>
      </c>
      <c r="Y497" s="285">
        <v>34.75</v>
      </c>
      <c r="Z497" s="285">
        <v>24</v>
      </c>
      <c r="AA497" s="285">
        <v>260</v>
      </c>
      <c r="AB497" s="285" t="s">
        <v>1</v>
      </c>
      <c r="AC497" s="286">
        <v>692</v>
      </c>
      <c r="AD497" s="285">
        <v>34.75</v>
      </c>
      <c r="AE497" s="285">
        <v>24</v>
      </c>
      <c r="AF497" s="285">
        <v>260</v>
      </c>
      <c r="AG497" s="285" t="s">
        <v>1</v>
      </c>
      <c r="AH497" s="286" t="s">
        <v>1</v>
      </c>
      <c r="AI497" s="295" t="s">
        <v>1</v>
      </c>
      <c r="AJ497" s="295" t="s">
        <v>1</v>
      </c>
      <c r="AK497" s="295" t="s">
        <v>1</v>
      </c>
      <c r="AL497" s="286" t="s">
        <v>1</v>
      </c>
      <c r="AM497" s="288" t="s">
        <v>1</v>
      </c>
      <c r="AN497" s="287" t="s">
        <v>1</v>
      </c>
      <c r="AO497" s="287" t="s">
        <v>1</v>
      </c>
      <c r="AP497" s="286" t="s">
        <v>1</v>
      </c>
      <c r="AQ497" s="285" t="s">
        <v>1</v>
      </c>
      <c r="AR497" s="289" t="s">
        <v>1</v>
      </c>
      <c r="AS497" s="289" t="s">
        <v>1</v>
      </c>
      <c r="AT497" s="290" t="s">
        <v>1</v>
      </c>
      <c r="AU497" s="287" t="s">
        <v>1</v>
      </c>
      <c r="AV497" s="287" t="s">
        <v>1</v>
      </c>
      <c r="AW497" s="291" t="s">
        <v>1</v>
      </c>
    </row>
    <row r="498" spans="1:49" ht="30.15" customHeight="1" x14ac:dyDescent="0.25">
      <c r="A498" s="188" t="s">
        <v>18</v>
      </c>
      <c r="B498" s="189" t="s">
        <v>1</v>
      </c>
      <c r="C498" s="212" t="s">
        <v>34</v>
      </c>
      <c r="D498" s="190" t="s">
        <v>7</v>
      </c>
      <c r="E498" s="190" t="s">
        <v>926</v>
      </c>
      <c r="F498" s="203"/>
      <c r="G498" s="190" t="s">
        <v>924</v>
      </c>
      <c r="H498" s="192" t="s">
        <v>647</v>
      </c>
      <c r="I498" s="193">
        <v>1330</v>
      </c>
      <c r="J498" s="193">
        <v>1330</v>
      </c>
      <c r="K498" s="193">
        <v>1330</v>
      </c>
      <c r="L498" s="193">
        <v>1730</v>
      </c>
      <c r="M498" s="194">
        <v>1730</v>
      </c>
      <c r="N498" s="284">
        <v>692</v>
      </c>
      <c r="O498" s="285">
        <v>13.75</v>
      </c>
      <c r="P498" s="285">
        <v>24</v>
      </c>
      <c r="Q498" s="285">
        <v>260</v>
      </c>
      <c r="R498" s="285" t="s">
        <v>1</v>
      </c>
      <c r="S498" s="286">
        <v>692</v>
      </c>
      <c r="T498" s="285">
        <v>13.75</v>
      </c>
      <c r="U498" s="285">
        <v>24</v>
      </c>
      <c r="V498" s="285">
        <v>260</v>
      </c>
      <c r="W498" s="285" t="s">
        <v>1</v>
      </c>
      <c r="X498" s="286">
        <v>692</v>
      </c>
      <c r="Y498" s="285">
        <v>34.75</v>
      </c>
      <c r="Z498" s="285">
        <v>24</v>
      </c>
      <c r="AA498" s="285">
        <v>260</v>
      </c>
      <c r="AB498" s="285" t="s">
        <v>1</v>
      </c>
      <c r="AC498" s="286">
        <v>692</v>
      </c>
      <c r="AD498" s="285">
        <v>34.75</v>
      </c>
      <c r="AE498" s="285">
        <v>24</v>
      </c>
      <c r="AF498" s="285">
        <v>260</v>
      </c>
      <c r="AG498" s="285" t="s">
        <v>1</v>
      </c>
      <c r="AH498" s="286" t="s">
        <v>1</v>
      </c>
      <c r="AI498" s="295" t="s">
        <v>1</v>
      </c>
      <c r="AJ498" s="295" t="s">
        <v>1</v>
      </c>
      <c r="AK498" s="295" t="s">
        <v>1</v>
      </c>
      <c r="AL498" s="286" t="s">
        <v>1</v>
      </c>
      <c r="AM498" s="288" t="s">
        <v>1</v>
      </c>
      <c r="AN498" s="287" t="s">
        <v>1</v>
      </c>
      <c r="AO498" s="287" t="s">
        <v>1</v>
      </c>
      <c r="AP498" s="286" t="s">
        <v>1</v>
      </c>
      <c r="AQ498" s="285" t="s">
        <v>1</v>
      </c>
      <c r="AR498" s="289" t="s">
        <v>1</v>
      </c>
      <c r="AS498" s="289" t="s">
        <v>1</v>
      </c>
      <c r="AT498" s="290" t="s">
        <v>1</v>
      </c>
      <c r="AU498" s="287" t="s">
        <v>1</v>
      </c>
      <c r="AV498" s="287" t="s">
        <v>1</v>
      </c>
      <c r="AW498" s="291" t="s">
        <v>1</v>
      </c>
    </row>
    <row r="499" spans="1:49" ht="30.15" customHeight="1" x14ac:dyDescent="0.25">
      <c r="A499" s="213" t="s">
        <v>18</v>
      </c>
      <c r="B499" s="189" t="s">
        <v>1</v>
      </c>
      <c r="C499" s="212" t="s">
        <v>34</v>
      </c>
      <c r="D499" s="190" t="s">
        <v>7</v>
      </c>
      <c r="E499" s="190" t="s">
        <v>265</v>
      </c>
      <c r="F499" s="203"/>
      <c r="G499" s="190" t="s">
        <v>269</v>
      </c>
      <c r="H499" s="192" t="s">
        <v>409</v>
      </c>
      <c r="I499" s="193">
        <v>660</v>
      </c>
      <c r="J499" s="193">
        <v>610</v>
      </c>
      <c r="K499" s="193">
        <v>660</v>
      </c>
      <c r="L499" s="193">
        <v>670</v>
      </c>
      <c r="M499" s="194">
        <v>670</v>
      </c>
      <c r="N499" s="284">
        <v>268</v>
      </c>
      <c r="O499" s="285" t="s">
        <v>1</v>
      </c>
      <c r="P499" s="285" t="s">
        <v>1</v>
      </c>
      <c r="Q499" s="285" t="s">
        <v>1</v>
      </c>
      <c r="R499" s="285" t="s">
        <v>1</v>
      </c>
      <c r="S499" s="286">
        <v>268</v>
      </c>
      <c r="T499" s="285" t="s">
        <v>1</v>
      </c>
      <c r="U499" s="285" t="s">
        <v>1</v>
      </c>
      <c r="V499" s="285" t="s">
        <v>1</v>
      </c>
      <c r="W499" s="285" t="s">
        <v>1</v>
      </c>
      <c r="X499" s="286">
        <v>268</v>
      </c>
      <c r="Y499" s="285" t="s">
        <v>1</v>
      </c>
      <c r="Z499" s="285" t="s">
        <v>1</v>
      </c>
      <c r="AA499" s="285" t="s">
        <v>1</v>
      </c>
      <c r="AB499" s="285" t="s">
        <v>1</v>
      </c>
      <c r="AC499" s="286">
        <v>268</v>
      </c>
      <c r="AD499" s="285" t="s">
        <v>1</v>
      </c>
      <c r="AE499" s="285" t="s">
        <v>1</v>
      </c>
      <c r="AF499" s="285" t="s">
        <v>1</v>
      </c>
      <c r="AG499" s="285" t="s">
        <v>1</v>
      </c>
      <c r="AH499" s="286" t="s">
        <v>1</v>
      </c>
      <c r="AI499" s="295" t="s">
        <v>1</v>
      </c>
      <c r="AJ499" s="295" t="s">
        <v>1</v>
      </c>
      <c r="AK499" s="295" t="s">
        <v>1</v>
      </c>
      <c r="AL499" s="286" t="s">
        <v>1</v>
      </c>
      <c r="AM499" s="288" t="s">
        <v>1</v>
      </c>
      <c r="AN499" s="287" t="s">
        <v>1</v>
      </c>
      <c r="AO499" s="287" t="s">
        <v>1</v>
      </c>
      <c r="AP499" s="286" t="s">
        <v>1</v>
      </c>
      <c r="AQ499" s="285" t="s">
        <v>1</v>
      </c>
      <c r="AR499" s="289" t="s">
        <v>1</v>
      </c>
      <c r="AS499" s="289" t="s">
        <v>1</v>
      </c>
      <c r="AT499" s="290" t="s">
        <v>1</v>
      </c>
      <c r="AU499" s="287" t="s">
        <v>1</v>
      </c>
      <c r="AV499" s="287" t="s">
        <v>1</v>
      </c>
      <c r="AW499" s="291" t="s">
        <v>1</v>
      </c>
    </row>
    <row r="500" spans="1:49" ht="30.15" customHeight="1" x14ac:dyDescent="0.25">
      <c r="A500" s="213" t="s">
        <v>18</v>
      </c>
      <c r="B500" s="189" t="s">
        <v>1</v>
      </c>
      <c r="C500" s="212" t="s">
        <v>34</v>
      </c>
      <c r="D500" s="190" t="s">
        <v>7</v>
      </c>
      <c r="E500" s="190" t="s">
        <v>375</v>
      </c>
      <c r="F500" s="203"/>
      <c r="G500" s="190" t="s">
        <v>373</v>
      </c>
      <c r="H500" s="192" t="s">
        <v>409</v>
      </c>
      <c r="I500" s="193">
        <v>850</v>
      </c>
      <c r="J500" s="193">
        <v>750</v>
      </c>
      <c r="K500" s="193">
        <v>850</v>
      </c>
      <c r="L500" s="193">
        <v>1055</v>
      </c>
      <c r="M500" s="194">
        <v>1055</v>
      </c>
      <c r="N500" s="284">
        <v>422</v>
      </c>
      <c r="O500" s="285">
        <v>23.96</v>
      </c>
      <c r="P500" s="285">
        <v>24</v>
      </c>
      <c r="Q500" s="285" t="s">
        <v>1</v>
      </c>
      <c r="R500" s="285" t="s">
        <v>1</v>
      </c>
      <c r="S500" s="286">
        <v>422</v>
      </c>
      <c r="T500" s="285">
        <v>23.96</v>
      </c>
      <c r="U500" s="285">
        <v>24</v>
      </c>
      <c r="V500" s="285" t="s">
        <v>1</v>
      </c>
      <c r="W500" s="285" t="s">
        <v>1</v>
      </c>
      <c r="X500" s="286">
        <v>422</v>
      </c>
      <c r="Y500" s="285">
        <v>23.96</v>
      </c>
      <c r="Z500" s="285">
        <v>24</v>
      </c>
      <c r="AA500" s="285" t="s">
        <v>1</v>
      </c>
      <c r="AB500" s="285" t="s">
        <v>1</v>
      </c>
      <c r="AC500" s="286">
        <v>422</v>
      </c>
      <c r="AD500" s="285">
        <v>23.96</v>
      </c>
      <c r="AE500" s="285">
        <v>24</v>
      </c>
      <c r="AF500" s="285" t="s">
        <v>1</v>
      </c>
      <c r="AG500" s="285" t="s">
        <v>1</v>
      </c>
      <c r="AH500" s="286" t="s">
        <v>1</v>
      </c>
      <c r="AI500" s="295" t="s">
        <v>1</v>
      </c>
      <c r="AJ500" s="295" t="s">
        <v>1</v>
      </c>
      <c r="AK500" s="295" t="s">
        <v>1</v>
      </c>
      <c r="AL500" s="286" t="s">
        <v>1</v>
      </c>
      <c r="AM500" s="288" t="s">
        <v>1</v>
      </c>
      <c r="AN500" s="287" t="s">
        <v>1</v>
      </c>
      <c r="AO500" s="287" t="s">
        <v>1</v>
      </c>
      <c r="AP500" s="286" t="s">
        <v>1</v>
      </c>
      <c r="AQ500" s="285" t="s">
        <v>1</v>
      </c>
      <c r="AR500" s="289" t="s">
        <v>1</v>
      </c>
      <c r="AS500" s="289" t="s">
        <v>1</v>
      </c>
      <c r="AT500" s="290" t="s">
        <v>1</v>
      </c>
      <c r="AU500" s="287" t="s">
        <v>1</v>
      </c>
      <c r="AV500" s="287" t="s">
        <v>1</v>
      </c>
      <c r="AW500" s="291" t="s">
        <v>1</v>
      </c>
    </row>
    <row r="501" spans="1:49" ht="30.15" customHeight="1" x14ac:dyDescent="0.25">
      <c r="A501" s="213" t="s">
        <v>18</v>
      </c>
      <c r="B501" s="189" t="s">
        <v>1</v>
      </c>
      <c r="C501" s="212" t="s">
        <v>34</v>
      </c>
      <c r="D501" s="190" t="s">
        <v>7</v>
      </c>
      <c r="E501" s="190" t="s">
        <v>376</v>
      </c>
      <c r="F501" s="203"/>
      <c r="G501" s="190" t="s">
        <v>373</v>
      </c>
      <c r="H501" s="192" t="s">
        <v>409</v>
      </c>
      <c r="I501" s="193">
        <v>850</v>
      </c>
      <c r="J501" s="193">
        <v>750</v>
      </c>
      <c r="K501" s="193">
        <v>850</v>
      </c>
      <c r="L501" s="193">
        <v>1055</v>
      </c>
      <c r="M501" s="194">
        <v>1055</v>
      </c>
      <c r="N501" s="284">
        <v>422</v>
      </c>
      <c r="O501" s="285">
        <v>23.96</v>
      </c>
      <c r="P501" s="285">
        <v>24</v>
      </c>
      <c r="Q501" s="285" t="s">
        <v>1</v>
      </c>
      <c r="R501" s="285" t="s">
        <v>1</v>
      </c>
      <c r="S501" s="286">
        <v>422</v>
      </c>
      <c r="T501" s="285">
        <v>23.96</v>
      </c>
      <c r="U501" s="285">
        <v>24</v>
      </c>
      <c r="V501" s="285" t="s">
        <v>1</v>
      </c>
      <c r="W501" s="285" t="s">
        <v>1</v>
      </c>
      <c r="X501" s="286">
        <v>422</v>
      </c>
      <c r="Y501" s="285">
        <v>23.96</v>
      </c>
      <c r="Z501" s="285">
        <v>24</v>
      </c>
      <c r="AA501" s="285" t="s">
        <v>1</v>
      </c>
      <c r="AB501" s="285" t="s">
        <v>1</v>
      </c>
      <c r="AC501" s="286">
        <v>422</v>
      </c>
      <c r="AD501" s="285">
        <v>23.96</v>
      </c>
      <c r="AE501" s="285">
        <v>24</v>
      </c>
      <c r="AF501" s="285" t="s">
        <v>1</v>
      </c>
      <c r="AG501" s="285" t="s">
        <v>1</v>
      </c>
      <c r="AH501" s="286" t="s">
        <v>1</v>
      </c>
      <c r="AI501" s="295" t="s">
        <v>1</v>
      </c>
      <c r="AJ501" s="295" t="s">
        <v>1</v>
      </c>
      <c r="AK501" s="295" t="s">
        <v>1</v>
      </c>
      <c r="AL501" s="286" t="s">
        <v>1</v>
      </c>
      <c r="AM501" s="288" t="s">
        <v>1</v>
      </c>
      <c r="AN501" s="287" t="s">
        <v>1</v>
      </c>
      <c r="AO501" s="287" t="s">
        <v>1</v>
      </c>
      <c r="AP501" s="286" t="s">
        <v>1</v>
      </c>
      <c r="AQ501" s="285" t="s">
        <v>1</v>
      </c>
      <c r="AR501" s="289" t="s">
        <v>1</v>
      </c>
      <c r="AS501" s="289" t="s">
        <v>1</v>
      </c>
      <c r="AT501" s="290" t="s">
        <v>1</v>
      </c>
      <c r="AU501" s="287" t="s">
        <v>1</v>
      </c>
      <c r="AV501" s="287" t="s">
        <v>1</v>
      </c>
      <c r="AW501" s="291" t="s">
        <v>1</v>
      </c>
    </row>
    <row r="502" spans="1:49" ht="30.15" customHeight="1" x14ac:dyDescent="0.25">
      <c r="A502" s="213" t="s">
        <v>18</v>
      </c>
      <c r="B502" s="189" t="s">
        <v>1</v>
      </c>
      <c r="C502" s="212" t="s">
        <v>34</v>
      </c>
      <c r="D502" s="190" t="s">
        <v>7</v>
      </c>
      <c r="E502" s="190" t="s">
        <v>377</v>
      </c>
      <c r="F502" s="203"/>
      <c r="G502" s="190" t="s">
        <v>374</v>
      </c>
      <c r="H502" s="192" t="s">
        <v>409</v>
      </c>
      <c r="I502" s="193">
        <v>950</v>
      </c>
      <c r="J502" s="193">
        <v>880</v>
      </c>
      <c r="K502" s="193">
        <v>950</v>
      </c>
      <c r="L502" s="193">
        <v>1000</v>
      </c>
      <c r="M502" s="194">
        <v>1000</v>
      </c>
      <c r="N502" s="284">
        <v>400</v>
      </c>
      <c r="O502" s="285">
        <v>21.67</v>
      </c>
      <c r="P502" s="285">
        <v>24</v>
      </c>
      <c r="Q502" s="285" t="s">
        <v>1</v>
      </c>
      <c r="R502" s="285" t="s">
        <v>1</v>
      </c>
      <c r="S502" s="286">
        <v>400</v>
      </c>
      <c r="T502" s="285">
        <v>21.67</v>
      </c>
      <c r="U502" s="285">
        <v>24</v>
      </c>
      <c r="V502" s="285" t="s">
        <v>1</v>
      </c>
      <c r="W502" s="285" t="s">
        <v>1</v>
      </c>
      <c r="X502" s="286">
        <v>400</v>
      </c>
      <c r="Y502" s="285">
        <v>21.67</v>
      </c>
      <c r="Z502" s="285">
        <v>24</v>
      </c>
      <c r="AA502" s="285" t="s">
        <v>1</v>
      </c>
      <c r="AB502" s="285" t="s">
        <v>1</v>
      </c>
      <c r="AC502" s="286">
        <v>400</v>
      </c>
      <c r="AD502" s="285">
        <v>21.67</v>
      </c>
      <c r="AE502" s="285">
        <v>24</v>
      </c>
      <c r="AF502" s="285" t="s">
        <v>1</v>
      </c>
      <c r="AG502" s="285" t="s">
        <v>1</v>
      </c>
      <c r="AH502" s="286" t="s">
        <v>1</v>
      </c>
      <c r="AI502" s="295" t="s">
        <v>1</v>
      </c>
      <c r="AJ502" s="295" t="s">
        <v>1</v>
      </c>
      <c r="AK502" s="295" t="s">
        <v>1</v>
      </c>
      <c r="AL502" s="286" t="s">
        <v>1</v>
      </c>
      <c r="AM502" s="288" t="s">
        <v>1</v>
      </c>
      <c r="AN502" s="287" t="s">
        <v>1</v>
      </c>
      <c r="AO502" s="287" t="s">
        <v>1</v>
      </c>
      <c r="AP502" s="286" t="s">
        <v>1</v>
      </c>
      <c r="AQ502" s="285" t="s">
        <v>1</v>
      </c>
      <c r="AR502" s="289" t="s">
        <v>1</v>
      </c>
      <c r="AS502" s="289" t="s">
        <v>1</v>
      </c>
      <c r="AT502" s="290" t="s">
        <v>1</v>
      </c>
      <c r="AU502" s="287" t="s">
        <v>1</v>
      </c>
      <c r="AV502" s="287" t="s">
        <v>1</v>
      </c>
      <c r="AW502" s="291" t="s">
        <v>1</v>
      </c>
    </row>
    <row r="503" spans="1:49" ht="30.15" customHeight="1" x14ac:dyDescent="0.25">
      <c r="A503" s="213" t="s">
        <v>18</v>
      </c>
      <c r="B503" s="189" t="s">
        <v>1</v>
      </c>
      <c r="C503" s="212" t="s">
        <v>34</v>
      </c>
      <c r="D503" s="190" t="s">
        <v>7</v>
      </c>
      <c r="E503" s="190" t="s">
        <v>378</v>
      </c>
      <c r="F503" s="203"/>
      <c r="G503" s="190" t="s">
        <v>374</v>
      </c>
      <c r="H503" s="192" t="s">
        <v>409</v>
      </c>
      <c r="I503" s="193">
        <v>950</v>
      </c>
      <c r="J503" s="193">
        <v>880</v>
      </c>
      <c r="K503" s="193">
        <v>950</v>
      </c>
      <c r="L503" s="193">
        <v>1000</v>
      </c>
      <c r="M503" s="194">
        <v>1000</v>
      </c>
      <c r="N503" s="284">
        <v>400</v>
      </c>
      <c r="O503" s="285">
        <v>21.67</v>
      </c>
      <c r="P503" s="285">
        <v>24</v>
      </c>
      <c r="Q503" s="285" t="s">
        <v>1</v>
      </c>
      <c r="R503" s="285" t="s">
        <v>1</v>
      </c>
      <c r="S503" s="286">
        <v>400</v>
      </c>
      <c r="T503" s="285">
        <v>21.67</v>
      </c>
      <c r="U503" s="285">
        <v>24</v>
      </c>
      <c r="V503" s="285" t="s">
        <v>1</v>
      </c>
      <c r="W503" s="285" t="s">
        <v>1</v>
      </c>
      <c r="X503" s="286">
        <v>400</v>
      </c>
      <c r="Y503" s="285">
        <v>21.67</v>
      </c>
      <c r="Z503" s="285">
        <v>24</v>
      </c>
      <c r="AA503" s="285" t="s">
        <v>1</v>
      </c>
      <c r="AB503" s="285" t="s">
        <v>1</v>
      </c>
      <c r="AC503" s="286">
        <v>400</v>
      </c>
      <c r="AD503" s="285">
        <v>21.67</v>
      </c>
      <c r="AE503" s="285">
        <v>24</v>
      </c>
      <c r="AF503" s="285" t="s">
        <v>1</v>
      </c>
      <c r="AG503" s="285" t="s">
        <v>1</v>
      </c>
      <c r="AH503" s="286" t="s">
        <v>1</v>
      </c>
      <c r="AI503" s="295" t="s">
        <v>1</v>
      </c>
      <c r="AJ503" s="295" t="s">
        <v>1</v>
      </c>
      <c r="AK503" s="295" t="s">
        <v>1</v>
      </c>
      <c r="AL503" s="286" t="s">
        <v>1</v>
      </c>
      <c r="AM503" s="288" t="s">
        <v>1</v>
      </c>
      <c r="AN503" s="287" t="s">
        <v>1</v>
      </c>
      <c r="AO503" s="287" t="s">
        <v>1</v>
      </c>
      <c r="AP503" s="286" t="s">
        <v>1</v>
      </c>
      <c r="AQ503" s="285" t="s">
        <v>1</v>
      </c>
      <c r="AR503" s="289" t="s">
        <v>1</v>
      </c>
      <c r="AS503" s="289" t="s">
        <v>1</v>
      </c>
      <c r="AT503" s="290" t="s">
        <v>1</v>
      </c>
      <c r="AU503" s="287" t="s">
        <v>1</v>
      </c>
      <c r="AV503" s="287" t="s">
        <v>1</v>
      </c>
      <c r="AW503" s="291" t="s">
        <v>1</v>
      </c>
    </row>
    <row r="504" spans="1:49" ht="30.15" customHeight="1" x14ac:dyDescent="0.25">
      <c r="A504" s="213" t="s">
        <v>18</v>
      </c>
      <c r="B504" s="189" t="s">
        <v>1</v>
      </c>
      <c r="C504" s="212" t="s">
        <v>34</v>
      </c>
      <c r="D504" s="190" t="s">
        <v>7</v>
      </c>
      <c r="E504" s="190" t="s">
        <v>545</v>
      </c>
      <c r="F504" s="203"/>
      <c r="G504" s="190" t="s">
        <v>546</v>
      </c>
      <c r="H504" s="192" t="s">
        <v>409</v>
      </c>
      <c r="I504" s="193">
        <v>931</v>
      </c>
      <c r="J504" s="193">
        <v>931</v>
      </c>
      <c r="K504" s="193">
        <v>931</v>
      </c>
      <c r="L504" s="193">
        <v>1400</v>
      </c>
      <c r="M504" s="194">
        <v>1400</v>
      </c>
      <c r="N504" s="284">
        <v>560</v>
      </c>
      <c r="O504" s="285">
        <v>43.339999999999996</v>
      </c>
      <c r="P504" s="285">
        <v>24</v>
      </c>
      <c r="Q504" s="285" t="s">
        <v>1</v>
      </c>
      <c r="R504" s="285" t="s">
        <v>1</v>
      </c>
      <c r="S504" s="286">
        <v>560</v>
      </c>
      <c r="T504" s="285">
        <v>43.339999999999996</v>
      </c>
      <c r="U504" s="285">
        <v>24</v>
      </c>
      <c r="V504" s="285" t="s">
        <v>1</v>
      </c>
      <c r="W504" s="285" t="s">
        <v>1</v>
      </c>
      <c r="X504" s="286">
        <v>560</v>
      </c>
      <c r="Y504" s="285">
        <v>33.339999999999996</v>
      </c>
      <c r="Z504" s="285">
        <v>24</v>
      </c>
      <c r="AA504" s="285" t="s">
        <v>1</v>
      </c>
      <c r="AB504" s="285" t="s">
        <v>1</v>
      </c>
      <c r="AC504" s="286">
        <v>560</v>
      </c>
      <c r="AD504" s="285">
        <v>33.339999999999996</v>
      </c>
      <c r="AE504" s="285">
        <v>24</v>
      </c>
      <c r="AF504" s="285" t="s">
        <v>1</v>
      </c>
      <c r="AG504" s="285" t="s">
        <v>1</v>
      </c>
      <c r="AH504" s="286" t="s">
        <v>1</v>
      </c>
      <c r="AI504" s="295" t="s">
        <v>1</v>
      </c>
      <c r="AJ504" s="295" t="s">
        <v>1</v>
      </c>
      <c r="AK504" s="295" t="s">
        <v>1</v>
      </c>
      <c r="AL504" s="286" t="s">
        <v>1</v>
      </c>
      <c r="AM504" s="288" t="s">
        <v>1</v>
      </c>
      <c r="AN504" s="287" t="s">
        <v>1</v>
      </c>
      <c r="AO504" s="287" t="s">
        <v>1</v>
      </c>
      <c r="AP504" s="286" t="s">
        <v>1</v>
      </c>
      <c r="AQ504" s="285" t="s">
        <v>1</v>
      </c>
      <c r="AR504" s="289" t="s">
        <v>1</v>
      </c>
      <c r="AS504" s="289" t="s">
        <v>1</v>
      </c>
      <c r="AT504" s="290" t="s">
        <v>1</v>
      </c>
      <c r="AU504" s="287" t="s">
        <v>1</v>
      </c>
      <c r="AV504" s="287" t="s">
        <v>1</v>
      </c>
      <c r="AW504" s="291" t="s">
        <v>1</v>
      </c>
    </row>
    <row r="505" spans="1:49" ht="30.15" customHeight="1" x14ac:dyDescent="0.25">
      <c r="A505" s="213" t="s">
        <v>18</v>
      </c>
      <c r="B505" s="189" t="s">
        <v>1</v>
      </c>
      <c r="C505" s="212" t="s">
        <v>34</v>
      </c>
      <c r="D505" s="190" t="s">
        <v>7</v>
      </c>
      <c r="E505" s="190" t="s">
        <v>547</v>
      </c>
      <c r="F505" s="203"/>
      <c r="G505" s="190" t="s">
        <v>546</v>
      </c>
      <c r="H505" s="192" t="s">
        <v>409</v>
      </c>
      <c r="I505" s="193">
        <v>931</v>
      </c>
      <c r="J505" s="193">
        <v>931</v>
      </c>
      <c r="K505" s="193">
        <v>931</v>
      </c>
      <c r="L505" s="193">
        <v>1400</v>
      </c>
      <c r="M505" s="194">
        <v>1400</v>
      </c>
      <c r="N505" s="284">
        <v>560</v>
      </c>
      <c r="O505" s="285">
        <v>43.339999999999996</v>
      </c>
      <c r="P505" s="285">
        <v>24</v>
      </c>
      <c r="Q505" s="285" t="s">
        <v>1</v>
      </c>
      <c r="R505" s="285" t="s">
        <v>1</v>
      </c>
      <c r="S505" s="286">
        <v>560</v>
      </c>
      <c r="T505" s="285">
        <v>43.339999999999996</v>
      </c>
      <c r="U505" s="285">
        <v>24</v>
      </c>
      <c r="V505" s="285" t="s">
        <v>1</v>
      </c>
      <c r="W505" s="285" t="s">
        <v>1</v>
      </c>
      <c r="X505" s="286">
        <v>560</v>
      </c>
      <c r="Y505" s="285">
        <v>33.339999999999996</v>
      </c>
      <c r="Z505" s="285">
        <v>24</v>
      </c>
      <c r="AA505" s="285" t="s">
        <v>1</v>
      </c>
      <c r="AB505" s="285" t="s">
        <v>1</v>
      </c>
      <c r="AC505" s="286">
        <v>560</v>
      </c>
      <c r="AD505" s="285">
        <v>33.339999999999996</v>
      </c>
      <c r="AE505" s="285">
        <v>24</v>
      </c>
      <c r="AF505" s="285" t="s">
        <v>1</v>
      </c>
      <c r="AG505" s="285" t="s">
        <v>1</v>
      </c>
      <c r="AH505" s="286" t="s">
        <v>1</v>
      </c>
      <c r="AI505" s="295" t="s">
        <v>1</v>
      </c>
      <c r="AJ505" s="295" t="s">
        <v>1</v>
      </c>
      <c r="AK505" s="295" t="s">
        <v>1</v>
      </c>
      <c r="AL505" s="286" t="s">
        <v>1</v>
      </c>
      <c r="AM505" s="288" t="s">
        <v>1</v>
      </c>
      <c r="AN505" s="287" t="s">
        <v>1</v>
      </c>
      <c r="AO505" s="287" t="s">
        <v>1</v>
      </c>
      <c r="AP505" s="286" t="s">
        <v>1</v>
      </c>
      <c r="AQ505" s="285" t="s">
        <v>1</v>
      </c>
      <c r="AR505" s="289" t="s">
        <v>1</v>
      </c>
      <c r="AS505" s="289" t="s">
        <v>1</v>
      </c>
      <c r="AT505" s="290" t="s">
        <v>1</v>
      </c>
      <c r="AU505" s="287" t="s">
        <v>1</v>
      </c>
      <c r="AV505" s="287" t="s">
        <v>1</v>
      </c>
      <c r="AW505" s="291" t="s">
        <v>1</v>
      </c>
    </row>
    <row r="506" spans="1:49" ht="30.15" customHeight="1" x14ac:dyDescent="0.25">
      <c r="A506" s="213" t="s">
        <v>18</v>
      </c>
      <c r="B506" s="189" t="s">
        <v>1</v>
      </c>
      <c r="C506" s="212" t="s">
        <v>34</v>
      </c>
      <c r="D506" s="190" t="s">
        <v>7</v>
      </c>
      <c r="E506" s="190" t="s">
        <v>548</v>
      </c>
      <c r="F506" s="203"/>
      <c r="G506" s="190" t="s">
        <v>546</v>
      </c>
      <c r="H506" s="192" t="s">
        <v>409</v>
      </c>
      <c r="I506" s="193">
        <v>931</v>
      </c>
      <c r="J506" s="193">
        <v>931</v>
      </c>
      <c r="K506" s="193">
        <v>931</v>
      </c>
      <c r="L506" s="193">
        <v>1400</v>
      </c>
      <c r="M506" s="194">
        <v>1400</v>
      </c>
      <c r="N506" s="284">
        <v>560</v>
      </c>
      <c r="O506" s="285">
        <v>43.339999999999996</v>
      </c>
      <c r="P506" s="285">
        <v>24</v>
      </c>
      <c r="Q506" s="285" t="s">
        <v>1</v>
      </c>
      <c r="R506" s="285" t="s">
        <v>1</v>
      </c>
      <c r="S506" s="286">
        <v>560</v>
      </c>
      <c r="T506" s="285">
        <v>43.339999999999996</v>
      </c>
      <c r="U506" s="285">
        <v>24</v>
      </c>
      <c r="V506" s="285" t="s">
        <v>1</v>
      </c>
      <c r="W506" s="285" t="s">
        <v>1</v>
      </c>
      <c r="X506" s="286">
        <v>560</v>
      </c>
      <c r="Y506" s="285">
        <v>33.339999999999996</v>
      </c>
      <c r="Z506" s="285">
        <v>24</v>
      </c>
      <c r="AA506" s="285" t="s">
        <v>1</v>
      </c>
      <c r="AB506" s="285" t="s">
        <v>1</v>
      </c>
      <c r="AC506" s="286">
        <v>560</v>
      </c>
      <c r="AD506" s="285">
        <v>33.339999999999996</v>
      </c>
      <c r="AE506" s="285">
        <v>24</v>
      </c>
      <c r="AF506" s="285" t="s">
        <v>1</v>
      </c>
      <c r="AG506" s="285" t="s">
        <v>1</v>
      </c>
      <c r="AH506" s="286" t="s">
        <v>1</v>
      </c>
      <c r="AI506" s="295" t="s">
        <v>1</v>
      </c>
      <c r="AJ506" s="295" t="s">
        <v>1</v>
      </c>
      <c r="AK506" s="295" t="s">
        <v>1</v>
      </c>
      <c r="AL506" s="286" t="s">
        <v>1</v>
      </c>
      <c r="AM506" s="288" t="s">
        <v>1</v>
      </c>
      <c r="AN506" s="287" t="s">
        <v>1</v>
      </c>
      <c r="AO506" s="287" t="s">
        <v>1</v>
      </c>
      <c r="AP506" s="286" t="s">
        <v>1</v>
      </c>
      <c r="AQ506" s="285" t="s">
        <v>1</v>
      </c>
      <c r="AR506" s="289" t="s">
        <v>1</v>
      </c>
      <c r="AS506" s="289" t="s">
        <v>1</v>
      </c>
      <c r="AT506" s="290" t="s">
        <v>1</v>
      </c>
      <c r="AU506" s="287" t="s">
        <v>1</v>
      </c>
      <c r="AV506" s="287" t="s">
        <v>1</v>
      </c>
      <c r="AW506" s="291" t="s">
        <v>1</v>
      </c>
    </row>
    <row r="507" spans="1:49" ht="30.15" customHeight="1" x14ac:dyDescent="0.25">
      <c r="A507" s="213" t="s">
        <v>18</v>
      </c>
      <c r="B507" s="189" t="s">
        <v>1</v>
      </c>
      <c r="C507" s="212" t="s">
        <v>34</v>
      </c>
      <c r="D507" s="190" t="s">
        <v>7</v>
      </c>
      <c r="E507" s="190" t="s">
        <v>549</v>
      </c>
      <c r="F507" s="203"/>
      <c r="G507" s="190" t="s">
        <v>550</v>
      </c>
      <c r="H507" s="192" t="s">
        <v>409</v>
      </c>
      <c r="I507" s="193">
        <v>1550</v>
      </c>
      <c r="J507" s="193">
        <v>1410</v>
      </c>
      <c r="K507" s="193">
        <v>1550</v>
      </c>
      <c r="L507" s="193">
        <v>1770</v>
      </c>
      <c r="M507" s="194">
        <v>1770</v>
      </c>
      <c r="N507" s="284">
        <v>708</v>
      </c>
      <c r="O507" s="285">
        <v>46.25</v>
      </c>
      <c r="P507" s="285">
        <v>24</v>
      </c>
      <c r="Q507" s="285" t="s">
        <v>1</v>
      </c>
      <c r="R507" s="285" t="s">
        <v>1</v>
      </c>
      <c r="S507" s="286">
        <v>708</v>
      </c>
      <c r="T507" s="285">
        <v>46.25</v>
      </c>
      <c r="U507" s="285">
        <v>24</v>
      </c>
      <c r="V507" s="285" t="s">
        <v>1</v>
      </c>
      <c r="W507" s="285" t="s">
        <v>1</v>
      </c>
      <c r="X507" s="286">
        <v>708</v>
      </c>
      <c r="Y507" s="285">
        <v>36.25</v>
      </c>
      <c r="Z507" s="285">
        <v>24</v>
      </c>
      <c r="AA507" s="285" t="s">
        <v>1</v>
      </c>
      <c r="AB507" s="285" t="s">
        <v>1</v>
      </c>
      <c r="AC507" s="286">
        <v>708</v>
      </c>
      <c r="AD507" s="285">
        <v>36.25</v>
      </c>
      <c r="AE507" s="285">
        <v>24</v>
      </c>
      <c r="AF507" s="285" t="s">
        <v>1</v>
      </c>
      <c r="AG507" s="285" t="s">
        <v>1</v>
      </c>
      <c r="AH507" s="286" t="s">
        <v>1</v>
      </c>
      <c r="AI507" s="295" t="s">
        <v>1</v>
      </c>
      <c r="AJ507" s="295" t="s">
        <v>1</v>
      </c>
      <c r="AK507" s="295" t="s">
        <v>1</v>
      </c>
      <c r="AL507" s="286" t="s">
        <v>1</v>
      </c>
      <c r="AM507" s="288" t="s">
        <v>1</v>
      </c>
      <c r="AN507" s="287" t="s">
        <v>1</v>
      </c>
      <c r="AO507" s="287" t="s">
        <v>1</v>
      </c>
      <c r="AP507" s="286" t="s">
        <v>1</v>
      </c>
      <c r="AQ507" s="285" t="s">
        <v>1</v>
      </c>
      <c r="AR507" s="289" t="s">
        <v>1</v>
      </c>
      <c r="AS507" s="289" t="s">
        <v>1</v>
      </c>
      <c r="AT507" s="290" t="s">
        <v>1</v>
      </c>
      <c r="AU507" s="287" t="s">
        <v>1</v>
      </c>
      <c r="AV507" s="287" t="s">
        <v>1</v>
      </c>
      <c r="AW507" s="291" t="s">
        <v>1</v>
      </c>
    </row>
    <row r="508" spans="1:49" ht="30.15" customHeight="1" x14ac:dyDescent="0.25">
      <c r="A508" s="213" t="s">
        <v>18</v>
      </c>
      <c r="B508" s="189" t="s">
        <v>1</v>
      </c>
      <c r="C508" s="212" t="s">
        <v>34</v>
      </c>
      <c r="D508" s="190" t="s">
        <v>7</v>
      </c>
      <c r="E508" s="190" t="s">
        <v>553</v>
      </c>
      <c r="F508" s="203"/>
      <c r="G508" s="190" t="s">
        <v>554</v>
      </c>
      <c r="H508" s="192" t="s">
        <v>409</v>
      </c>
      <c r="I508" s="193">
        <v>750</v>
      </c>
      <c r="J508" s="193">
        <v>750</v>
      </c>
      <c r="K508" s="193">
        <v>750</v>
      </c>
      <c r="L508" s="193">
        <v>1125</v>
      </c>
      <c r="M508" s="194">
        <v>1125</v>
      </c>
      <c r="N508" s="284">
        <v>450</v>
      </c>
      <c r="O508" s="285">
        <v>26.88</v>
      </c>
      <c r="P508" s="285">
        <v>24</v>
      </c>
      <c r="Q508" s="285" t="s">
        <v>1</v>
      </c>
      <c r="R508" s="285" t="s">
        <v>1</v>
      </c>
      <c r="S508" s="286">
        <v>450</v>
      </c>
      <c r="T508" s="285">
        <v>26.88</v>
      </c>
      <c r="U508" s="285">
        <v>24</v>
      </c>
      <c r="V508" s="285" t="s">
        <v>1</v>
      </c>
      <c r="W508" s="285" t="s">
        <v>1</v>
      </c>
      <c r="X508" s="286">
        <v>450</v>
      </c>
      <c r="Y508" s="285">
        <v>26.88</v>
      </c>
      <c r="Z508" s="285">
        <v>24</v>
      </c>
      <c r="AA508" s="285" t="s">
        <v>1</v>
      </c>
      <c r="AB508" s="285" t="s">
        <v>1</v>
      </c>
      <c r="AC508" s="286">
        <v>450</v>
      </c>
      <c r="AD508" s="285">
        <v>26.88</v>
      </c>
      <c r="AE508" s="285">
        <v>24</v>
      </c>
      <c r="AF508" s="285" t="s">
        <v>1</v>
      </c>
      <c r="AG508" s="285" t="s">
        <v>1</v>
      </c>
      <c r="AH508" s="286" t="s">
        <v>1</v>
      </c>
      <c r="AI508" s="295" t="s">
        <v>1</v>
      </c>
      <c r="AJ508" s="295" t="s">
        <v>1</v>
      </c>
      <c r="AK508" s="295" t="s">
        <v>1</v>
      </c>
      <c r="AL508" s="286" t="s">
        <v>1</v>
      </c>
      <c r="AM508" s="288" t="s">
        <v>1</v>
      </c>
      <c r="AN508" s="287" t="s">
        <v>1</v>
      </c>
      <c r="AO508" s="287" t="s">
        <v>1</v>
      </c>
      <c r="AP508" s="286" t="s">
        <v>1</v>
      </c>
      <c r="AQ508" s="285" t="s">
        <v>1</v>
      </c>
      <c r="AR508" s="289" t="s">
        <v>1</v>
      </c>
      <c r="AS508" s="289" t="s">
        <v>1</v>
      </c>
      <c r="AT508" s="290" t="s">
        <v>1</v>
      </c>
      <c r="AU508" s="287" t="s">
        <v>1</v>
      </c>
      <c r="AV508" s="287" t="s">
        <v>1</v>
      </c>
      <c r="AW508" s="291" t="s">
        <v>1</v>
      </c>
    </row>
    <row r="509" spans="1:49" ht="30.15" customHeight="1" x14ac:dyDescent="0.25">
      <c r="A509" s="213" t="s">
        <v>18</v>
      </c>
      <c r="B509" s="189" t="s">
        <v>1</v>
      </c>
      <c r="C509" s="212" t="s">
        <v>34</v>
      </c>
      <c r="D509" s="190" t="s">
        <v>7</v>
      </c>
      <c r="E509" s="190" t="s">
        <v>555</v>
      </c>
      <c r="F509" s="203"/>
      <c r="G509" s="190" t="s">
        <v>554</v>
      </c>
      <c r="H509" s="192" t="s">
        <v>409</v>
      </c>
      <c r="I509" s="193">
        <v>750</v>
      </c>
      <c r="J509" s="193">
        <v>750</v>
      </c>
      <c r="K509" s="193">
        <v>750</v>
      </c>
      <c r="L509" s="193">
        <v>1125</v>
      </c>
      <c r="M509" s="194">
        <v>1125</v>
      </c>
      <c r="N509" s="284">
        <v>450</v>
      </c>
      <c r="O509" s="285">
        <v>26.88</v>
      </c>
      <c r="P509" s="285">
        <v>24</v>
      </c>
      <c r="Q509" s="285" t="s">
        <v>1</v>
      </c>
      <c r="R509" s="285" t="s">
        <v>1</v>
      </c>
      <c r="S509" s="286">
        <v>450</v>
      </c>
      <c r="T509" s="285">
        <v>26.88</v>
      </c>
      <c r="U509" s="285">
        <v>24</v>
      </c>
      <c r="V509" s="285" t="s">
        <v>1</v>
      </c>
      <c r="W509" s="285" t="s">
        <v>1</v>
      </c>
      <c r="X509" s="286">
        <v>450</v>
      </c>
      <c r="Y509" s="285">
        <v>26.88</v>
      </c>
      <c r="Z509" s="285">
        <v>24</v>
      </c>
      <c r="AA509" s="285" t="s">
        <v>1</v>
      </c>
      <c r="AB509" s="285" t="s">
        <v>1</v>
      </c>
      <c r="AC509" s="286">
        <v>450</v>
      </c>
      <c r="AD509" s="285">
        <v>26.88</v>
      </c>
      <c r="AE509" s="285">
        <v>24</v>
      </c>
      <c r="AF509" s="285" t="s">
        <v>1</v>
      </c>
      <c r="AG509" s="285" t="s">
        <v>1</v>
      </c>
      <c r="AH509" s="286" t="s">
        <v>1</v>
      </c>
      <c r="AI509" s="295" t="s">
        <v>1</v>
      </c>
      <c r="AJ509" s="295" t="s">
        <v>1</v>
      </c>
      <c r="AK509" s="295" t="s">
        <v>1</v>
      </c>
      <c r="AL509" s="286" t="s">
        <v>1</v>
      </c>
      <c r="AM509" s="288" t="s">
        <v>1</v>
      </c>
      <c r="AN509" s="287" t="s">
        <v>1</v>
      </c>
      <c r="AO509" s="287" t="s">
        <v>1</v>
      </c>
      <c r="AP509" s="286" t="s">
        <v>1</v>
      </c>
      <c r="AQ509" s="285" t="s">
        <v>1</v>
      </c>
      <c r="AR509" s="289" t="s">
        <v>1</v>
      </c>
      <c r="AS509" s="289" t="s">
        <v>1</v>
      </c>
      <c r="AT509" s="290" t="s">
        <v>1</v>
      </c>
      <c r="AU509" s="287" t="s">
        <v>1</v>
      </c>
      <c r="AV509" s="287" t="s">
        <v>1</v>
      </c>
      <c r="AW509" s="291" t="s">
        <v>1</v>
      </c>
    </row>
    <row r="510" spans="1:49" ht="30.15" customHeight="1" x14ac:dyDescent="0.25">
      <c r="A510" s="213" t="s">
        <v>18</v>
      </c>
      <c r="B510" s="189" t="s">
        <v>1</v>
      </c>
      <c r="C510" s="212" t="s">
        <v>34</v>
      </c>
      <c r="D510" s="190" t="s">
        <v>7</v>
      </c>
      <c r="E510" s="190" t="s">
        <v>556</v>
      </c>
      <c r="F510" s="203"/>
      <c r="G510" s="190" t="s">
        <v>554</v>
      </c>
      <c r="H510" s="192" t="s">
        <v>409</v>
      </c>
      <c r="I510" s="193">
        <v>750</v>
      </c>
      <c r="J510" s="193">
        <v>750</v>
      </c>
      <c r="K510" s="193">
        <v>750</v>
      </c>
      <c r="L510" s="193">
        <v>1125</v>
      </c>
      <c r="M510" s="194">
        <v>1125</v>
      </c>
      <c r="N510" s="284">
        <v>450</v>
      </c>
      <c r="O510" s="285">
        <v>26.88</v>
      </c>
      <c r="P510" s="285">
        <v>24</v>
      </c>
      <c r="Q510" s="285" t="s">
        <v>1</v>
      </c>
      <c r="R510" s="285" t="s">
        <v>1</v>
      </c>
      <c r="S510" s="286">
        <v>450</v>
      </c>
      <c r="T510" s="285">
        <v>26.88</v>
      </c>
      <c r="U510" s="285">
        <v>24</v>
      </c>
      <c r="V510" s="285" t="s">
        <v>1</v>
      </c>
      <c r="W510" s="285" t="s">
        <v>1</v>
      </c>
      <c r="X510" s="286">
        <v>450</v>
      </c>
      <c r="Y510" s="285">
        <v>26.88</v>
      </c>
      <c r="Z510" s="285">
        <v>24</v>
      </c>
      <c r="AA510" s="285" t="s">
        <v>1</v>
      </c>
      <c r="AB510" s="285" t="s">
        <v>1</v>
      </c>
      <c r="AC510" s="286">
        <v>450</v>
      </c>
      <c r="AD510" s="285">
        <v>26.88</v>
      </c>
      <c r="AE510" s="285">
        <v>24</v>
      </c>
      <c r="AF510" s="285" t="s">
        <v>1</v>
      </c>
      <c r="AG510" s="285" t="s">
        <v>1</v>
      </c>
      <c r="AH510" s="286" t="s">
        <v>1</v>
      </c>
      <c r="AI510" s="295" t="s">
        <v>1</v>
      </c>
      <c r="AJ510" s="295" t="s">
        <v>1</v>
      </c>
      <c r="AK510" s="295" t="s">
        <v>1</v>
      </c>
      <c r="AL510" s="286" t="s">
        <v>1</v>
      </c>
      <c r="AM510" s="288" t="s">
        <v>1</v>
      </c>
      <c r="AN510" s="287" t="s">
        <v>1</v>
      </c>
      <c r="AO510" s="287" t="s">
        <v>1</v>
      </c>
      <c r="AP510" s="286" t="s">
        <v>1</v>
      </c>
      <c r="AQ510" s="285" t="s">
        <v>1</v>
      </c>
      <c r="AR510" s="289" t="s">
        <v>1</v>
      </c>
      <c r="AS510" s="289" t="s">
        <v>1</v>
      </c>
      <c r="AT510" s="290" t="s">
        <v>1</v>
      </c>
      <c r="AU510" s="287" t="s">
        <v>1</v>
      </c>
      <c r="AV510" s="287" t="s">
        <v>1</v>
      </c>
      <c r="AW510" s="291" t="s">
        <v>1</v>
      </c>
    </row>
    <row r="511" spans="1:49" ht="30.15" customHeight="1" x14ac:dyDescent="0.25">
      <c r="A511" s="213" t="s">
        <v>18</v>
      </c>
      <c r="B511" s="189" t="s">
        <v>1</v>
      </c>
      <c r="C511" s="212" t="s">
        <v>34</v>
      </c>
      <c r="D511" s="190" t="s">
        <v>7</v>
      </c>
      <c r="E511" s="190" t="s">
        <v>561</v>
      </c>
      <c r="F511" s="203"/>
      <c r="G511" s="190" t="s">
        <v>562</v>
      </c>
      <c r="H511" s="192" t="s">
        <v>7</v>
      </c>
      <c r="I511" s="193">
        <v>1073</v>
      </c>
      <c r="J511" s="193">
        <v>1073</v>
      </c>
      <c r="K511" s="193">
        <v>1073</v>
      </c>
      <c r="L511" s="193">
        <v>1575</v>
      </c>
      <c r="M511" s="194">
        <v>1575</v>
      </c>
      <c r="N511" s="284">
        <v>630</v>
      </c>
      <c r="O511" s="285">
        <v>18.55</v>
      </c>
      <c r="P511" s="285">
        <v>24</v>
      </c>
      <c r="Q511" s="285" t="s">
        <v>1</v>
      </c>
      <c r="R511" s="285" t="s">
        <v>1</v>
      </c>
      <c r="S511" s="286">
        <v>630</v>
      </c>
      <c r="T511" s="285">
        <v>18.55</v>
      </c>
      <c r="U511" s="285">
        <v>24</v>
      </c>
      <c r="V511" s="285" t="s">
        <v>1</v>
      </c>
      <c r="W511" s="285" t="s">
        <v>1</v>
      </c>
      <c r="X511" s="286">
        <v>630</v>
      </c>
      <c r="Y511" s="285">
        <v>35.629999999999995</v>
      </c>
      <c r="Z511" s="285">
        <v>24</v>
      </c>
      <c r="AA511" s="285" t="s">
        <v>1</v>
      </c>
      <c r="AB511" s="285" t="s">
        <v>1</v>
      </c>
      <c r="AC511" s="286">
        <v>630</v>
      </c>
      <c r="AD511" s="285">
        <v>35.629999999999995</v>
      </c>
      <c r="AE511" s="285">
        <v>24</v>
      </c>
      <c r="AF511" s="285" t="s">
        <v>1</v>
      </c>
      <c r="AG511" s="285" t="s">
        <v>1</v>
      </c>
      <c r="AH511" s="286" t="s">
        <v>1</v>
      </c>
      <c r="AI511" s="295" t="s">
        <v>1</v>
      </c>
      <c r="AJ511" s="295" t="s">
        <v>1</v>
      </c>
      <c r="AK511" s="295" t="s">
        <v>1</v>
      </c>
      <c r="AL511" s="286" t="s">
        <v>1</v>
      </c>
      <c r="AM511" s="288" t="s">
        <v>1</v>
      </c>
      <c r="AN511" s="287" t="s">
        <v>1</v>
      </c>
      <c r="AO511" s="287" t="s">
        <v>1</v>
      </c>
      <c r="AP511" s="286" t="s">
        <v>1</v>
      </c>
      <c r="AQ511" s="285" t="s">
        <v>1</v>
      </c>
      <c r="AR511" s="289" t="s">
        <v>1</v>
      </c>
      <c r="AS511" s="289" t="s">
        <v>1</v>
      </c>
      <c r="AT511" s="290" t="s">
        <v>1</v>
      </c>
      <c r="AU511" s="287" t="s">
        <v>1</v>
      </c>
      <c r="AV511" s="287" t="s">
        <v>1</v>
      </c>
      <c r="AW511" s="291" t="s">
        <v>1</v>
      </c>
    </row>
    <row r="512" spans="1:49" ht="30.15" customHeight="1" x14ac:dyDescent="0.25">
      <c r="A512" s="213" t="s">
        <v>18</v>
      </c>
      <c r="B512" s="189" t="s">
        <v>1</v>
      </c>
      <c r="C512" s="212" t="s">
        <v>34</v>
      </c>
      <c r="D512" s="190" t="s">
        <v>7</v>
      </c>
      <c r="E512" s="190" t="s">
        <v>563</v>
      </c>
      <c r="F512" s="203"/>
      <c r="G512" s="190" t="s">
        <v>562</v>
      </c>
      <c r="H512" s="192" t="s">
        <v>409</v>
      </c>
      <c r="I512" s="193">
        <v>1073</v>
      </c>
      <c r="J512" s="193">
        <v>1073</v>
      </c>
      <c r="K512" s="193">
        <v>1073</v>
      </c>
      <c r="L512" s="193">
        <v>1575</v>
      </c>
      <c r="M512" s="194">
        <v>1575</v>
      </c>
      <c r="N512" s="284">
        <v>630</v>
      </c>
      <c r="O512" s="285">
        <v>18.55</v>
      </c>
      <c r="P512" s="285">
        <v>24</v>
      </c>
      <c r="Q512" s="285" t="s">
        <v>1</v>
      </c>
      <c r="R512" s="285" t="s">
        <v>1</v>
      </c>
      <c r="S512" s="286">
        <v>630</v>
      </c>
      <c r="T512" s="285">
        <v>18.55</v>
      </c>
      <c r="U512" s="285">
        <v>24</v>
      </c>
      <c r="V512" s="285" t="s">
        <v>1</v>
      </c>
      <c r="W512" s="285" t="s">
        <v>1</v>
      </c>
      <c r="X512" s="286">
        <v>630</v>
      </c>
      <c r="Y512" s="285">
        <v>35.629999999999995</v>
      </c>
      <c r="Z512" s="285">
        <v>24</v>
      </c>
      <c r="AA512" s="285" t="s">
        <v>1</v>
      </c>
      <c r="AB512" s="285" t="s">
        <v>1</v>
      </c>
      <c r="AC512" s="286">
        <v>630</v>
      </c>
      <c r="AD512" s="285">
        <v>35.629999999999995</v>
      </c>
      <c r="AE512" s="285">
        <v>24</v>
      </c>
      <c r="AF512" s="285" t="s">
        <v>1</v>
      </c>
      <c r="AG512" s="285" t="s">
        <v>1</v>
      </c>
      <c r="AH512" s="286" t="s">
        <v>1</v>
      </c>
      <c r="AI512" s="295" t="s">
        <v>1</v>
      </c>
      <c r="AJ512" s="295" t="s">
        <v>1</v>
      </c>
      <c r="AK512" s="295" t="s">
        <v>1</v>
      </c>
      <c r="AL512" s="286" t="s">
        <v>1</v>
      </c>
      <c r="AM512" s="288" t="s">
        <v>1</v>
      </c>
      <c r="AN512" s="287" t="s">
        <v>1</v>
      </c>
      <c r="AO512" s="287" t="s">
        <v>1</v>
      </c>
      <c r="AP512" s="286" t="s">
        <v>1</v>
      </c>
      <c r="AQ512" s="285" t="s">
        <v>1</v>
      </c>
      <c r="AR512" s="289" t="s">
        <v>1</v>
      </c>
      <c r="AS512" s="289" t="s">
        <v>1</v>
      </c>
      <c r="AT512" s="290" t="s">
        <v>1</v>
      </c>
      <c r="AU512" s="287" t="s">
        <v>1</v>
      </c>
      <c r="AV512" s="287" t="s">
        <v>1</v>
      </c>
      <c r="AW512" s="291" t="s">
        <v>1</v>
      </c>
    </row>
    <row r="513" spans="1:49" ht="30.15" customHeight="1" x14ac:dyDescent="0.25">
      <c r="A513" s="213" t="s">
        <v>18</v>
      </c>
      <c r="B513" s="189" t="s">
        <v>1</v>
      </c>
      <c r="C513" s="212" t="s">
        <v>34</v>
      </c>
      <c r="D513" s="190" t="s">
        <v>7</v>
      </c>
      <c r="E513" s="190" t="s">
        <v>564</v>
      </c>
      <c r="F513" s="203"/>
      <c r="G513" s="190" t="s">
        <v>562</v>
      </c>
      <c r="H513" s="192" t="s">
        <v>409</v>
      </c>
      <c r="I513" s="193">
        <v>1073</v>
      </c>
      <c r="J513" s="193">
        <v>1073</v>
      </c>
      <c r="K513" s="193">
        <v>1073</v>
      </c>
      <c r="L513" s="193">
        <v>1575</v>
      </c>
      <c r="M513" s="194">
        <v>1575</v>
      </c>
      <c r="N513" s="284">
        <v>630</v>
      </c>
      <c r="O513" s="285">
        <v>18.55</v>
      </c>
      <c r="P513" s="285">
        <v>24</v>
      </c>
      <c r="Q513" s="285" t="s">
        <v>1</v>
      </c>
      <c r="R513" s="285" t="s">
        <v>1</v>
      </c>
      <c r="S513" s="286">
        <v>630</v>
      </c>
      <c r="T513" s="285">
        <v>18.55</v>
      </c>
      <c r="U513" s="285">
        <v>24</v>
      </c>
      <c r="V513" s="285" t="s">
        <v>1</v>
      </c>
      <c r="W513" s="285" t="s">
        <v>1</v>
      </c>
      <c r="X513" s="286">
        <v>630</v>
      </c>
      <c r="Y513" s="285">
        <v>35.629999999999995</v>
      </c>
      <c r="Z513" s="285">
        <v>24</v>
      </c>
      <c r="AA513" s="285" t="s">
        <v>1</v>
      </c>
      <c r="AB513" s="285" t="s">
        <v>1</v>
      </c>
      <c r="AC513" s="286">
        <v>630</v>
      </c>
      <c r="AD513" s="285">
        <v>35.629999999999995</v>
      </c>
      <c r="AE513" s="285">
        <v>24</v>
      </c>
      <c r="AF513" s="285" t="s">
        <v>1</v>
      </c>
      <c r="AG513" s="285" t="s">
        <v>1</v>
      </c>
      <c r="AH513" s="286" t="s">
        <v>1</v>
      </c>
      <c r="AI513" s="295" t="s">
        <v>1</v>
      </c>
      <c r="AJ513" s="295" t="s">
        <v>1</v>
      </c>
      <c r="AK513" s="295" t="s">
        <v>1</v>
      </c>
      <c r="AL513" s="286" t="s">
        <v>1</v>
      </c>
      <c r="AM513" s="288" t="s">
        <v>1</v>
      </c>
      <c r="AN513" s="287" t="s">
        <v>1</v>
      </c>
      <c r="AO513" s="287" t="s">
        <v>1</v>
      </c>
      <c r="AP513" s="286" t="s">
        <v>1</v>
      </c>
      <c r="AQ513" s="285" t="s">
        <v>1</v>
      </c>
      <c r="AR513" s="289" t="s">
        <v>1</v>
      </c>
      <c r="AS513" s="289" t="s">
        <v>1</v>
      </c>
      <c r="AT513" s="290" t="s">
        <v>1</v>
      </c>
      <c r="AU513" s="287" t="s">
        <v>1</v>
      </c>
      <c r="AV513" s="287" t="s">
        <v>1</v>
      </c>
      <c r="AW513" s="291" t="s">
        <v>1</v>
      </c>
    </row>
    <row r="514" spans="1:49" ht="30.15" customHeight="1" x14ac:dyDescent="0.25">
      <c r="A514" s="213" t="s">
        <v>18</v>
      </c>
      <c r="B514" s="189" t="s">
        <v>1</v>
      </c>
      <c r="C514" s="212" t="s">
        <v>34</v>
      </c>
      <c r="D514" s="190" t="s">
        <v>7</v>
      </c>
      <c r="E514" s="190" t="s">
        <v>565</v>
      </c>
      <c r="F514" s="203"/>
      <c r="G514" s="190" t="s">
        <v>566</v>
      </c>
      <c r="H514" s="192" t="s">
        <v>409</v>
      </c>
      <c r="I514" s="193">
        <v>1730</v>
      </c>
      <c r="J514" s="193">
        <v>1550</v>
      </c>
      <c r="K514" s="193">
        <v>1730</v>
      </c>
      <c r="L514" s="193">
        <v>1949</v>
      </c>
      <c r="M514" s="194">
        <v>1949</v>
      </c>
      <c r="N514" s="284">
        <v>779.6</v>
      </c>
      <c r="O514" s="285">
        <v>21.630000000000003</v>
      </c>
      <c r="P514" s="285">
        <v>24</v>
      </c>
      <c r="Q514" s="285" t="s">
        <v>1</v>
      </c>
      <c r="R514" s="285" t="s">
        <v>1</v>
      </c>
      <c r="S514" s="286">
        <v>779.6</v>
      </c>
      <c r="T514" s="285">
        <v>21.630000000000003</v>
      </c>
      <c r="U514" s="285">
        <v>24</v>
      </c>
      <c r="V514" s="285" t="s">
        <v>1</v>
      </c>
      <c r="W514" s="285" t="s">
        <v>1</v>
      </c>
      <c r="X514" s="286">
        <v>779.6</v>
      </c>
      <c r="Y514" s="285">
        <v>38.71</v>
      </c>
      <c r="Z514" s="285">
        <v>24</v>
      </c>
      <c r="AA514" s="285" t="s">
        <v>1</v>
      </c>
      <c r="AB514" s="285" t="s">
        <v>1</v>
      </c>
      <c r="AC514" s="286">
        <v>779.6</v>
      </c>
      <c r="AD514" s="285">
        <v>38.71</v>
      </c>
      <c r="AE514" s="285">
        <v>24</v>
      </c>
      <c r="AF514" s="285" t="s">
        <v>1</v>
      </c>
      <c r="AG514" s="285" t="s">
        <v>1</v>
      </c>
      <c r="AH514" s="286" t="s">
        <v>1</v>
      </c>
      <c r="AI514" s="295" t="s">
        <v>1</v>
      </c>
      <c r="AJ514" s="295" t="s">
        <v>1</v>
      </c>
      <c r="AK514" s="295" t="s">
        <v>1</v>
      </c>
      <c r="AL514" s="286" t="s">
        <v>1</v>
      </c>
      <c r="AM514" s="288" t="s">
        <v>1</v>
      </c>
      <c r="AN514" s="287" t="s">
        <v>1</v>
      </c>
      <c r="AO514" s="287" t="s">
        <v>1</v>
      </c>
      <c r="AP514" s="286" t="s">
        <v>1</v>
      </c>
      <c r="AQ514" s="285" t="s">
        <v>1</v>
      </c>
      <c r="AR514" s="289" t="s">
        <v>1</v>
      </c>
      <c r="AS514" s="289" t="s">
        <v>1</v>
      </c>
      <c r="AT514" s="290" t="s">
        <v>1</v>
      </c>
      <c r="AU514" s="287" t="s">
        <v>1</v>
      </c>
      <c r="AV514" s="287" t="s">
        <v>1</v>
      </c>
      <c r="AW514" s="291" t="s">
        <v>1</v>
      </c>
    </row>
    <row r="515" spans="1:49" ht="30.15" customHeight="1" x14ac:dyDescent="0.25">
      <c r="A515" s="213" t="s">
        <v>18</v>
      </c>
      <c r="B515" s="189" t="s">
        <v>1</v>
      </c>
      <c r="C515" s="212" t="s">
        <v>34</v>
      </c>
      <c r="D515" s="190" t="s">
        <v>7</v>
      </c>
      <c r="E515" s="190" t="s">
        <v>811</v>
      </c>
      <c r="F515" s="203"/>
      <c r="G515" s="190" t="s">
        <v>812</v>
      </c>
      <c r="H515" s="192" t="s">
        <v>7</v>
      </c>
      <c r="I515" s="193">
        <v>2400</v>
      </c>
      <c r="J515" s="193">
        <v>2400</v>
      </c>
      <c r="K515" s="193">
        <v>2400</v>
      </c>
      <c r="L515" s="193">
        <v>2600</v>
      </c>
      <c r="M515" s="194">
        <v>2600</v>
      </c>
      <c r="N515" s="284">
        <v>1040</v>
      </c>
      <c r="O515" s="285" t="s">
        <v>1</v>
      </c>
      <c r="P515" s="285" t="s">
        <v>1</v>
      </c>
      <c r="Q515" s="285" t="s">
        <v>1</v>
      </c>
      <c r="R515" s="285" t="s">
        <v>1</v>
      </c>
      <c r="S515" s="286">
        <v>1040</v>
      </c>
      <c r="T515" s="285" t="s">
        <v>1</v>
      </c>
      <c r="U515" s="285" t="s">
        <v>1</v>
      </c>
      <c r="V515" s="285" t="s">
        <v>1</v>
      </c>
      <c r="W515" s="285" t="s">
        <v>1</v>
      </c>
      <c r="X515" s="286">
        <v>1040</v>
      </c>
      <c r="Y515" s="285" t="s">
        <v>1</v>
      </c>
      <c r="Z515" s="285" t="s">
        <v>1</v>
      </c>
      <c r="AA515" s="285" t="s">
        <v>1</v>
      </c>
      <c r="AB515" s="285" t="s">
        <v>1</v>
      </c>
      <c r="AC515" s="286">
        <v>1040</v>
      </c>
      <c r="AD515" s="285" t="s">
        <v>1</v>
      </c>
      <c r="AE515" s="285" t="s">
        <v>1</v>
      </c>
      <c r="AF515" s="285" t="s">
        <v>1</v>
      </c>
      <c r="AG515" s="285" t="s">
        <v>1</v>
      </c>
      <c r="AH515" s="286" t="s">
        <v>1</v>
      </c>
      <c r="AI515" s="295" t="s">
        <v>1</v>
      </c>
      <c r="AJ515" s="295" t="s">
        <v>1</v>
      </c>
      <c r="AK515" s="295" t="s">
        <v>1</v>
      </c>
      <c r="AL515" s="286" t="s">
        <v>1</v>
      </c>
      <c r="AM515" s="288" t="s">
        <v>1</v>
      </c>
      <c r="AN515" s="287" t="s">
        <v>1</v>
      </c>
      <c r="AO515" s="287" t="s">
        <v>1</v>
      </c>
      <c r="AP515" s="286" t="s">
        <v>1</v>
      </c>
      <c r="AQ515" s="285" t="s">
        <v>1</v>
      </c>
      <c r="AR515" s="289" t="s">
        <v>1</v>
      </c>
      <c r="AS515" s="289" t="s">
        <v>1</v>
      </c>
      <c r="AT515" s="290" t="s">
        <v>1</v>
      </c>
      <c r="AU515" s="287" t="s">
        <v>1</v>
      </c>
      <c r="AV515" s="287" t="s">
        <v>1</v>
      </c>
      <c r="AW515" s="291" t="s">
        <v>1</v>
      </c>
    </row>
    <row r="516" spans="1:49" ht="30.15" customHeight="1" x14ac:dyDescent="0.25">
      <c r="A516" s="213" t="s">
        <v>18</v>
      </c>
      <c r="B516" s="189" t="s">
        <v>1</v>
      </c>
      <c r="C516" s="212" t="s">
        <v>34</v>
      </c>
      <c r="D516" s="190" t="s">
        <v>7</v>
      </c>
      <c r="E516" s="190" t="s">
        <v>1047</v>
      </c>
      <c r="F516" s="203"/>
      <c r="G516" s="190" t="s">
        <v>1046</v>
      </c>
      <c r="H516" s="192" t="s">
        <v>7</v>
      </c>
      <c r="I516" s="193">
        <v>2248</v>
      </c>
      <c r="J516" s="193">
        <v>2248</v>
      </c>
      <c r="K516" s="193">
        <v>2248</v>
      </c>
      <c r="L516" s="193">
        <v>2865</v>
      </c>
      <c r="M516" s="194">
        <v>2865</v>
      </c>
      <c r="N516" s="284">
        <v>1146</v>
      </c>
      <c r="O516" s="285">
        <v>22.71</v>
      </c>
      <c r="P516" s="285">
        <v>24</v>
      </c>
      <c r="Q516" s="285" t="s">
        <v>1</v>
      </c>
      <c r="R516" s="285" t="s">
        <v>1</v>
      </c>
      <c r="S516" s="286">
        <v>1146</v>
      </c>
      <c r="T516" s="285">
        <v>22.71</v>
      </c>
      <c r="U516" s="285">
        <v>24</v>
      </c>
      <c r="V516" s="285" t="s">
        <v>1</v>
      </c>
      <c r="W516" s="285" t="s">
        <v>1</v>
      </c>
      <c r="X516" s="286">
        <v>1146</v>
      </c>
      <c r="Y516" s="285">
        <v>31.05</v>
      </c>
      <c r="Z516" s="285">
        <v>24</v>
      </c>
      <c r="AA516" s="285" t="s">
        <v>1</v>
      </c>
      <c r="AB516" s="285" t="s">
        <v>1</v>
      </c>
      <c r="AC516" s="286">
        <v>1146</v>
      </c>
      <c r="AD516" s="285">
        <v>31.05</v>
      </c>
      <c r="AE516" s="285">
        <v>24</v>
      </c>
      <c r="AF516" s="285" t="s">
        <v>1</v>
      </c>
      <c r="AG516" s="285" t="s">
        <v>1</v>
      </c>
      <c r="AH516" s="286" t="s">
        <v>1</v>
      </c>
      <c r="AI516" s="295" t="s">
        <v>1</v>
      </c>
      <c r="AJ516" s="295" t="s">
        <v>1</v>
      </c>
      <c r="AK516" s="295" t="s">
        <v>1</v>
      </c>
      <c r="AL516" s="286" t="s">
        <v>1</v>
      </c>
      <c r="AM516" s="288" t="s">
        <v>1</v>
      </c>
      <c r="AN516" s="287" t="s">
        <v>1</v>
      </c>
      <c r="AO516" s="287" t="s">
        <v>1</v>
      </c>
      <c r="AP516" s="286" t="s">
        <v>1</v>
      </c>
      <c r="AQ516" s="285" t="s">
        <v>1</v>
      </c>
      <c r="AR516" s="289" t="s">
        <v>1</v>
      </c>
      <c r="AS516" s="289" t="s">
        <v>1</v>
      </c>
      <c r="AT516" s="290" t="s">
        <v>1</v>
      </c>
      <c r="AU516" s="287" t="s">
        <v>1</v>
      </c>
      <c r="AV516" s="287" t="s">
        <v>1</v>
      </c>
      <c r="AW516" s="291" t="s">
        <v>1</v>
      </c>
    </row>
    <row r="517" spans="1:49" ht="30.15" customHeight="1" x14ac:dyDescent="0.25">
      <c r="A517" s="213" t="s">
        <v>18</v>
      </c>
      <c r="B517" s="189" t="s">
        <v>1</v>
      </c>
      <c r="C517" s="212" t="s">
        <v>34</v>
      </c>
      <c r="D517" s="190" t="s">
        <v>7</v>
      </c>
      <c r="E517" s="190" t="s">
        <v>1048</v>
      </c>
      <c r="F517" s="203"/>
      <c r="G517" s="190" t="s">
        <v>1046</v>
      </c>
      <c r="H517" s="192" t="s">
        <v>7</v>
      </c>
      <c r="I517" s="193">
        <v>2248</v>
      </c>
      <c r="J517" s="193">
        <v>2248</v>
      </c>
      <c r="K517" s="193">
        <v>2248</v>
      </c>
      <c r="L517" s="193">
        <v>2865</v>
      </c>
      <c r="M517" s="194">
        <v>2865</v>
      </c>
      <c r="N517" s="284">
        <v>1146</v>
      </c>
      <c r="O517" s="285">
        <v>22.71</v>
      </c>
      <c r="P517" s="285">
        <v>24</v>
      </c>
      <c r="Q517" s="285" t="s">
        <v>1</v>
      </c>
      <c r="R517" s="285" t="s">
        <v>1</v>
      </c>
      <c r="S517" s="286">
        <v>1146</v>
      </c>
      <c r="T517" s="285">
        <v>22.71</v>
      </c>
      <c r="U517" s="285">
        <v>24</v>
      </c>
      <c r="V517" s="285" t="s">
        <v>1</v>
      </c>
      <c r="W517" s="285" t="s">
        <v>1</v>
      </c>
      <c r="X517" s="286">
        <v>1146</v>
      </c>
      <c r="Y517" s="285">
        <v>31.05</v>
      </c>
      <c r="Z517" s="285">
        <v>24</v>
      </c>
      <c r="AA517" s="285" t="s">
        <v>1</v>
      </c>
      <c r="AB517" s="285" t="s">
        <v>1</v>
      </c>
      <c r="AC517" s="286">
        <v>1146</v>
      </c>
      <c r="AD517" s="285">
        <v>31.05</v>
      </c>
      <c r="AE517" s="285">
        <v>24</v>
      </c>
      <c r="AF517" s="285" t="s">
        <v>1</v>
      </c>
      <c r="AG517" s="285" t="s">
        <v>1</v>
      </c>
      <c r="AH517" s="286" t="s">
        <v>1</v>
      </c>
      <c r="AI517" s="295" t="s">
        <v>1</v>
      </c>
      <c r="AJ517" s="295" t="s">
        <v>1</v>
      </c>
      <c r="AK517" s="295" t="s">
        <v>1</v>
      </c>
      <c r="AL517" s="286" t="s">
        <v>1</v>
      </c>
      <c r="AM517" s="288" t="s">
        <v>1</v>
      </c>
      <c r="AN517" s="287" t="s">
        <v>1</v>
      </c>
      <c r="AO517" s="287" t="s">
        <v>1</v>
      </c>
      <c r="AP517" s="286" t="s">
        <v>1</v>
      </c>
      <c r="AQ517" s="285" t="s">
        <v>1</v>
      </c>
      <c r="AR517" s="289" t="s">
        <v>1</v>
      </c>
      <c r="AS517" s="289" t="s">
        <v>1</v>
      </c>
      <c r="AT517" s="290" t="s">
        <v>1</v>
      </c>
      <c r="AU517" s="287" t="s">
        <v>1</v>
      </c>
      <c r="AV517" s="287" t="s">
        <v>1</v>
      </c>
      <c r="AW517" s="291" t="s">
        <v>1</v>
      </c>
    </row>
    <row r="518" spans="1:49" ht="30.15" customHeight="1" x14ac:dyDescent="0.25">
      <c r="A518" s="213" t="s">
        <v>18</v>
      </c>
      <c r="B518" s="189" t="s">
        <v>1</v>
      </c>
      <c r="C518" s="212" t="s">
        <v>34</v>
      </c>
      <c r="D518" s="190" t="s">
        <v>7</v>
      </c>
      <c r="E518" s="190" t="s">
        <v>1049</v>
      </c>
      <c r="F518" s="203"/>
      <c r="G518" s="190" t="s">
        <v>1046</v>
      </c>
      <c r="H518" s="192" t="s">
        <v>7</v>
      </c>
      <c r="I518" s="193">
        <v>2248</v>
      </c>
      <c r="J518" s="193">
        <v>2248</v>
      </c>
      <c r="K518" s="193">
        <v>2248</v>
      </c>
      <c r="L518" s="193">
        <v>2865</v>
      </c>
      <c r="M518" s="194">
        <v>2865</v>
      </c>
      <c r="N518" s="284">
        <v>1146</v>
      </c>
      <c r="O518" s="285">
        <v>22.71</v>
      </c>
      <c r="P518" s="285">
        <v>24</v>
      </c>
      <c r="Q518" s="285" t="s">
        <v>1</v>
      </c>
      <c r="R518" s="285" t="s">
        <v>1</v>
      </c>
      <c r="S518" s="286">
        <v>1146</v>
      </c>
      <c r="T518" s="285">
        <v>22.71</v>
      </c>
      <c r="U518" s="285">
        <v>24</v>
      </c>
      <c r="V518" s="285" t="s">
        <v>1</v>
      </c>
      <c r="W518" s="285" t="s">
        <v>1</v>
      </c>
      <c r="X518" s="286">
        <v>1146</v>
      </c>
      <c r="Y518" s="285">
        <v>31.05</v>
      </c>
      <c r="Z518" s="285">
        <v>24</v>
      </c>
      <c r="AA518" s="285" t="s">
        <v>1</v>
      </c>
      <c r="AB518" s="285" t="s">
        <v>1</v>
      </c>
      <c r="AC518" s="286">
        <v>1146</v>
      </c>
      <c r="AD518" s="285">
        <v>31.05</v>
      </c>
      <c r="AE518" s="285">
        <v>24</v>
      </c>
      <c r="AF518" s="285" t="s">
        <v>1</v>
      </c>
      <c r="AG518" s="285" t="s">
        <v>1</v>
      </c>
      <c r="AH518" s="286" t="s">
        <v>1</v>
      </c>
      <c r="AI518" s="295" t="s">
        <v>1</v>
      </c>
      <c r="AJ518" s="295" t="s">
        <v>1</v>
      </c>
      <c r="AK518" s="295" t="s">
        <v>1</v>
      </c>
      <c r="AL518" s="286" t="s">
        <v>1</v>
      </c>
      <c r="AM518" s="288" t="s">
        <v>1</v>
      </c>
      <c r="AN518" s="287" t="s">
        <v>1</v>
      </c>
      <c r="AO518" s="287" t="s">
        <v>1</v>
      </c>
      <c r="AP518" s="286" t="s">
        <v>1</v>
      </c>
      <c r="AQ518" s="285" t="s">
        <v>1</v>
      </c>
      <c r="AR518" s="289" t="s">
        <v>1</v>
      </c>
      <c r="AS518" s="289" t="s">
        <v>1</v>
      </c>
      <c r="AT518" s="290" t="s">
        <v>1</v>
      </c>
      <c r="AU518" s="287" t="s">
        <v>1</v>
      </c>
      <c r="AV518" s="287" t="s">
        <v>1</v>
      </c>
      <c r="AW518" s="291" t="s">
        <v>1</v>
      </c>
    </row>
    <row r="519" spans="1:49" ht="30.15" customHeight="1" x14ac:dyDescent="0.25">
      <c r="A519" s="213" t="s">
        <v>18</v>
      </c>
      <c r="B519" s="189" t="s">
        <v>1</v>
      </c>
      <c r="C519" s="212" t="s">
        <v>34</v>
      </c>
      <c r="D519" s="190" t="s">
        <v>7</v>
      </c>
      <c r="E519" s="190" t="s">
        <v>1050</v>
      </c>
      <c r="F519" s="203"/>
      <c r="G519" s="190" t="s">
        <v>1046</v>
      </c>
      <c r="H519" s="192" t="s">
        <v>7</v>
      </c>
      <c r="I519" s="193">
        <v>2248</v>
      </c>
      <c r="J519" s="193">
        <v>2248</v>
      </c>
      <c r="K519" s="193">
        <v>2248</v>
      </c>
      <c r="L519" s="193">
        <v>2865</v>
      </c>
      <c r="M519" s="194">
        <v>2865</v>
      </c>
      <c r="N519" s="284">
        <v>1146</v>
      </c>
      <c r="O519" s="285">
        <v>22.71</v>
      </c>
      <c r="P519" s="285">
        <v>24</v>
      </c>
      <c r="Q519" s="285" t="s">
        <v>1</v>
      </c>
      <c r="R519" s="285" t="s">
        <v>1</v>
      </c>
      <c r="S519" s="286">
        <v>1146</v>
      </c>
      <c r="T519" s="285">
        <v>22.71</v>
      </c>
      <c r="U519" s="285">
        <v>24</v>
      </c>
      <c r="V519" s="285" t="s">
        <v>1</v>
      </c>
      <c r="W519" s="285" t="s">
        <v>1</v>
      </c>
      <c r="X519" s="286">
        <v>1146</v>
      </c>
      <c r="Y519" s="285">
        <v>31.05</v>
      </c>
      <c r="Z519" s="285">
        <v>24</v>
      </c>
      <c r="AA519" s="285" t="s">
        <v>1</v>
      </c>
      <c r="AB519" s="285" t="s">
        <v>1</v>
      </c>
      <c r="AC519" s="286">
        <v>1146</v>
      </c>
      <c r="AD519" s="285">
        <v>31.05</v>
      </c>
      <c r="AE519" s="285">
        <v>24</v>
      </c>
      <c r="AF519" s="285" t="s">
        <v>1</v>
      </c>
      <c r="AG519" s="285" t="s">
        <v>1</v>
      </c>
      <c r="AH519" s="286" t="s">
        <v>1</v>
      </c>
      <c r="AI519" s="295" t="s">
        <v>1</v>
      </c>
      <c r="AJ519" s="295" t="s">
        <v>1</v>
      </c>
      <c r="AK519" s="295" t="s">
        <v>1</v>
      </c>
      <c r="AL519" s="286" t="s">
        <v>1</v>
      </c>
      <c r="AM519" s="288" t="s">
        <v>1</v>
      </c>
      <c r="AN519" s="287" t="s">
        <v>1</v>
      </c>
      <c r="AO519" s="287" t="s">
        <v>1</v>
      </c>
      <c r="AP519" s="286" t="s">
        <v>1</v>
      </c>
      <c r="AQ519" s="285" t="s">
        <v>1</v>
      </c>
      <c r="AR519" s="289" t="s">
        <v>1</v>
      </c>
      <c r="AS519" s="289" t="s">
        <v>1</v>
      </c>
      <c r="AT519" s="290" t="s">
        <v>1</v>
      </c>
      <c r="AU519" s="287" t="s">
        <v>1</v>
      </c>
      <c r="AV519" s="287" t="s">
        <v>1</v>
      </c>
      <c r="AW519" s="291" t="s">
        <v>1</v>
      </c>
    </row>
    <row r="520" spans="1:49" ht="30.15" customHeight="1" x14ac:dyDescent="0.25">
      <c r="A520" s="213" t="s">
        <v>18</v>
      </c>
      <c r="B520" s="189" t="s">
        <v>1</v>
      </c>
      <c r="C520" s="212" t="s">
        <v>34</v>
      </c>
      <c r="D520" s="190" t="s">
        <v>7</v>
      </c>
      <c r="E520" s="190" t="s">
        <v>1051</v>
      </c>
      <c r="F520" s="203"/>
      <c r="G520" s="190" t="s">
        <v>1046</v>
      </c>
      <c r="H520" s="192" t="s">
        <v>7</v>
      </c>
      <c r="I520" s="193">
        <v>2248</v>
      </c>
      <c r="J520" s="193">
        <v>2248</v>
      </c>
      <c r="K520" s="193">
        <v>2248</v>
      </c>
      <c r="L520" s="193">
        <v>2865</v>
      </c>
      <c r="M520" s="194">
        <v>2865</v>
      </c>
      <c r="N520" s="284">
        <v>1146</v>
      </c>
      <c r="O520" s="285">
        <v>22.71</v>
      </c>
      <c r="P520" s="285">
        <v>24</v>
      </c>
      <c r="Q520" s="285" t="s">
        <v>1</v>
      </c>
      <c r="R520" s="285" t="s">
        <v>1</v>
      </c>
      <c r="S520" s="286">
        <v>1146</v>
      </c>
      <c r="T520" s="285">
        <v>22.71</v>
      </c>
      <c r="U520" s="285">
        <v>24</v>
      </c>
      <c r="V520" s="285" t="s">
        <v>1</v>
      </c>
      <c r="W520" s="285" t="s">
        <v>1</v>
      </c>
      <c r="X520" s="286">
        <v>1146</v>
      </c>
      <c r="Y520" s="285">
        <v>31.05</v>
      </c>
      <c r="Z520" s="285">
        <v>24</v>
      </c>
      <c r="AA520" s="285" t="s">
        <v>1</v>
      </c>
      <c r="AB520" s="285" t="s">
        <v>1</v>
      </c>
      <c r="AC520" s="286">
        <v>1146</v>
      </c>
      <c r="AD520" s="285">
        <v>31.05</v>
      </c>
      <c r="AE520" s="285">
        <v>24</v>
      </c>
      <c r="AF520" s="285" t="s">
        <v>1</v>
      </c>
      <c r="AG520" s="285" t="s">
        <v>1</v>
      </c>
      <c r="AH520" s="286" t="s">
        <v>1</v>
      </c>
      <c r="AI520" s="295" t="s">
        <v>1</v>
      </c>
      <c r="AJ520" s="295" t="s">
        <v>1</v>
      </c>
      <c r="AK520" s="295" t="s">
        <v>1</v>
      </c>
      <c r="AL520" s="286" t="s">
        <v>1</v>
      </c>
      <c r="AM520" s="288" t="s">
        <v>1</v>
      </c>
      <c r="AN520" s="287" t="s">
        <v>1</v>
      </c>
      <c r="AO520" s="287" t="s">
        <v>1</v>
      </c>
      <c r="AP520" s="286" t="s">
        <v>1</v>
      </c>
      <c r="AQ520" s="285" t="s">
        <v>1</v>
      </c>
      <c r="AR520" s="289" t="s">
        <v>1</v>
      </c>
      <c r="AS520" s="289" t="s">
        <v>1</v>
      </c>
      <c r="AT520" s="290" t="s">
        <v>1</v>
      </c>
      <c r="AU520" s="287" t="s">
        <v>1</v>
      </c>
      <c r="AV520" s="287" t="s">
        <v>1</v>
      </c>
      <c r="AW520" s="291" t="s">
        <v>1</v>
      </c>
    </row>
    <row r="521" spans="1:49" ht="30.15" customHeight="1" x14ac:dyDescent="0.25">
      <c r="A521" s="213" t="s">
        <v>18</v>
      </c>
      <c r="B521" s="189" t="s">
        <v>1</v>
      </c>
      <c r="C521" s="212" t="s">
        <v>34</v>
      </c>
      <c r="D521" s="190" t="s">
        <v>7</v>
      </c>
      <c r="E521" s="190" t="s">
        <v>1052</v>
      </c>
      <c r="F521" s="203"/>
      <c r="G521" s="190" t="s">
        <v>1046</v>
      </c>
      <c r="H521" s="192" t="s">
        <v>1233</v>
      </c>
      <c r="I521" s="193">
        <v>2248</v>
      </c>
      <c r="J521" s="193">
        <v>2248</v>
      </c>
      <c r="K521" s="193">
        <v>2248</v>
      </c>
      <c r="L521" s="193">
        <v>2865</v>
      </c>
      <c r="M521" s="194">
        <v>2865</v>
      </c>
      <c r="N521" s="284">
        <v>1146</v>
      </c>
      <c r="O521" s="285">
        <v>22.71</v>
      </c>
      <c r="P521" s="285">
        <v>24</v>
      </c>
      <c r="Q521" s="285" t="s">
        <v>1</v>
      </c>
      <c r="R521" s="285" t="s">
        <v>1</v>
      </c>
      <c r="S521" s="286">
        <v>1146</v>
      </c>
      <c r="T521" s="285">
        <v>22.71</v>
      </c>
      <c r="U521" s="285">
        <v>24</v>
      </c>
      <c r="V521" s="285" t="s">
        <v>1</v>
      </c>
      <c r="W521" s="285" t="s">
        <v>1</v>
      </c>
      <c r="X521" s="286">
        <v>1146</v>
      </c>
      <c r="Y521" s="285">
        <v>31.05</v>
      </c>
      <c r="Z521" s="285">
        <v>24</v>
      </c>
      <c r="AA521" s="285" t="s">
        <v>1</v>
      </c>
      <c r="AB521" s="285" t="s">
        <v>1</v>
      </c>
      <c r="AC521" s="286">
        <v>1146</v>
      </c>
      <c r="AD521" s="285">
        <v>31.05</v>
      </c>
      <c r="AE521" s="285">
        <v>24</v>
      </c>
      <c r="AF521" s="285" t="s">
        <v>1</v>
      </c>
      <c r="AG521" s="285" t="s">
        <v>1</v>
      </c>
      <c r="AH521" s="286" t="s">
        <v>1</v>
      </c>
      <c r="AI521" s="295" t="s">
        <v>1</v>
      </c>
      <c r="AJ521" s="295" t="s">
        <v>1</v>
      </c>
      <c r="AK521" s="295" t="s">
        <v>1</v>
      </c>
      <c r="AL521" s="286" t="s">
        <v>1</v>
      </c>
      <c r="AM521" s="288" t="s">
        <v>1</v>
      </c>
      <c r="AN521" s="287" t="s">
        <v>1</v>
      </c>
      <c r="AO521" s="287" t="s">
        <v>1</v>
      </c>
      <c r="AP521" s="286" t="s">
        <v>1</v>
      </c>
      <c r="AQ521" s="285" t="s">
        <v>1</v>
      </c>
      <c r="AR521" s="289" t="s">
        <v>1</v>
      </c>
      <c r="AS521" s="289" t="s">
        <v>1</v>
      </c>
      <c r="AT521" s="290" t="s">
        <v>1</v>
      </c>
      <c r="AU521" s="287" t="s">
        <v>1</v>
      </c>
      <c r="AV521" s="287" t="s">
        <v>1</v>
      </c>
      <c r="AW521" s="291" t="s">
        <v>1</v>
      </c>
    </row>
    <row r="522" spans="1:49" ht="30.15" customHeight="1" x14ac:dyDescent="0.25">
      <c r="A522" s="213" t="s">
        <v>18</v>
      </c>
      <c r="B522" s="189" t="s">
        <v>1</v>
      </c>
      <c r="C522" s="212" t="s">
        <v>34</v>
      </c>
      <c r="D522" s="190" t="s">
        <v>7</v>
      </c>
      <c r="E522" s="190" t="s">
        <v>1053</v>
      </c>
      <c r="F522" s="203"/>
      <c r="G522" s="190" t="s">
        <v>1046</v>
      </c>
      <c r="H522" s="192" t="s">
        <v>7</v>
      </c>
      <c r="I522" s="193">
        <v>2248</v>
      </c>
      <c r="J522" s="193">
        <v>2248</v>
      </c>
      <c r="K522" s="193">
        <v>2248</v>
      </c>
      <c r="L522" s="193">
        <v>2865</v>
      </c>
      <c r="M522" s="194">
        <v>2865</v>
      </c>
      <c r="N522" s="284">
        <v>1146</v>
      </c>
      <c r="O522" s="285">
        <v>22.71</v>
      </c>
      <c r="P522" s="285">
        <v>24</v>
      </c>
      <c r="Q522" s="285" t="s">
        <v>1</v>
      </c>
      <c r="R522" s="285" t="s">
        <v>1</v>
      </c>
      <c r="S522" s="286">
        <v>1146</v>
      </c>
      <c r="T522" s="285">
        <v>22.71</v>
      </c>
      <c r="U522" s="285">
        <v>24</v>
      </c>
      <c r="V522" s="285" t="s">
        <v>1</v>
      </c>
      <c r="W522" s="285" t="s">
        <v>1</v>
      </c>
      <c r="X522" s="286">
        <v>1146</v>
      </c>
      <c r="Y522" s="285">
        <v>31.05</v>
      </c>
      <c r="Z522" s="285">
        <v>24</v>
      </c>
      <c r="AA522" s="285" t="s">
        <v>1</v>
      </c>
      <c r="AB522" s="285" t="s">
        <v>1</v>
      </c>
      <c r="AC522" s="286">
        <v>1146</v>
      </c>
      <c r="AD522" s="285">
        <v>31.05</v>
      </c>
      <c r="AE522" s="285">
        <v>24</v>
      </c>
      <c r="AF522" s="285" t="s">
        <v>1</v>
      </c>
      <c r="AG522" s="285" t="s">
        <v>1</v>
      </c>
      <c r="AH522" s="286" t="s">
        <v>1</v>
      </c>
      <c r="AI522" s="295" t="s">
        <v>1</v>
      </c>
      <c r="AJ522" s="295" t="s">
        <v>1</v>
      </c>
      <c r="AK522" s="295" t="s">
        <v>1</v>
      </c>
      <c r="AL522" s="286" t="s">
        <v>1</v>
      </c>
      <c r="AM522" s="288" t="s">
        <v>1</v>
      </c>
      <c r="AN522" s="287" t="s">
        <v>1</v>
      </c>
      <c r="AO522" s="287" t="s">
        <v>1</v>
      </c>
      <c r="AP522" s="286" t="s">
        <v>1</v>
      </c>
      <c r="AQ522" s="285" t="s">
        <v>1</v>
      </c>
      <c r="AR522" s="289" t="s">
        <v>1</v>
      </c>
      <c r="AS522" s="289" t="s">
        <v>1</v>
      </c>
      <c r="AT522" s="290" t="s">
        <v>1</v>
      </c>
      <c r="AU522" s="287" t="s">
        <v>1</v>
      </c>
      <c r="AV522" s="287" t="s">
        <v>1</v>
      </c>
      <c r="AW522" s="291" t="s">
        <v>1</v>
      </c>
    </row>
    <row r="523" spans="1:49" ht="30.15" customHeight="1" x14ac:dyDescent="0.25">
      <c r="A523" s="213" t="s">
        <v>18</v>
      </c>
      <c r="B523" s="189" t="s">
        <v>1</v>
      </c>
      <c r="C523" s="212" t="s">
        <v>34</v>
      </c>
      <c r="D523" s="190" t="s">
        <v>7</v>
      </c>
      <c r="E523" s="190" t="s">
        <v>1054</v>
      </c>
      <c r="F523" s="203"/>
      <c r="G523" s="190" t="s">
        <v>1046</v>
      </c>
      <c r="H523" s="192" t="s">
        <v>7</v>
      </c>
      <c r="I523" s="193">
        <v>2248</v>
      </c>
      <c r="J523" s="193">
        <v>2248</v>
      </c>
      <c r="K523" s="193">
        <v>2248</v>
      </c>
      <c r="L523" s="193">
        <v>2865</v>
      </c>
      <c r="M523" s="194">
        <v>2865</v>
      </c>
      <c r="N523" s="284">
        <v>1146</v>
      </c>
      <c r="O523" s="285">
        <v>22.71</v>
      </c>
      <c r="P523" s="285">
        <v>24</v>
      </c>
      <c r="Q523" s="285" t="s">
        <v>1</v>
      </c>
      <c r="R523" s="285" t="s">
        <v>1</v>
      </c>
      <c r="S523" s="286">
        <v>1146</v>
      </c>
      <c r="T523" s="285">
        <v>22.71</v>
      </c>
      <c r="U523" s="285">
        <v>24</v>
      </c>
      <c r="V523" s="285" t="s">
        <v>1</v>
      </c>
      <c r="W523" s="285" t="s">
        <v>1</v>
      </c>
      <c r="X523" s="286">
        <v>1146</v>
      </c>
      <c r="Y523" s="285">
        <v>31.05</v>
      </c>
      <c r="Z523" s="285">
        <v>24</v>
      </c>
      <c r="AA523" s="285" t="s">
        <v>1</v>
      </c>
      <c r="AB523" s="285" t="s">
        <v>1</v>
      </c>
      <c r="AC523" s="286">
        <v>1146</v>
      </c>
      <c r="AD523" s="285">
        <v>31.05</v>
      </c>
      <c r="AE523" s="285">
        <v>24</v>
      </c>
      <c r="AF523" s="285" t="s">
        <v>1</v>
      </c>
      <c r="AG523" s="285" t="s">
        <v>1</v>
      </c>
      <c r="AH523" s="286" t="s">
        <v>1</v>
      </c>
      <c r="AI523" s="295" t="s">
        <v>1</v>
      </c>
      <c r="AJ523" s="295" t="s">
        <v>1</v>
      </c>
      <c r="AK523" s="295" t="s">
        <v>1</v>
      </c>
      <c r="AL523" s="286" t="s">
        <v>1</v>
      </c>
      <c r="AM523" s="288" t="s">
        <v>1</v>
      </c>
      <c r="AN523" s="287" t="s">
        <v>1</v>
      </c>
      <c r="AO523" s="287" t="s">
        <v>1</v>
      </c>
      <c r="AP523" s="286" t="s">
        <v>1</v>
      </c>
      <c r="AQ523" s="285" t="s">
        <v>1</v>
      </c>
      <c r="AR523" s="289" t="s">
        <v>1</v>
      </c>
      <c r="AS523" s="289" t="s">
        <v>1</v>
      </c>
      <c r="AT523" s="290" t="s">
        <v>1</v>
      </c>
      <c r="AU523" s="287" t="s">
        <v>1</v>
      </c>
      <c r="AV523" s="287" t="s">
        <v>1</v>
      </c>
      <c r="AW523" s="291" t="s">
        <v>1</v>
      </c>
    </row>
    <row r="524" spans="1:49" ht="30.15" customHeight="1" x14ac:dyDescent="0.25">
      <c r="A524" s="213" t="s">
        <v>18</v>
      </c>
      <c r="B524" s="189" t="s">
        <v>1</v>
      </c>
      <c r="C524" s="212" t="s">
        <v>34</v>
      </c>
      <c r="D524" s="190" t="s">
        <v>7</v>
      </c>
      <c r="E524" s="190" t="s">
        <v>1055</v>
      </c>
      <c r="F524" s="203"/>
      <c r="G524" s="190" t="s">
        <v>1046</v>
      </c>
      <c r="H524" s="192" t="s">
        <v>7</v>
      </c>
      <c r="I524" s="193">
        <v>2248</v>
      </c>
      <c r="J524" s="193">
        <v>2248</v>
      </c>
      <c r="K524" s="193">
        <v>2248</v>
      </c>
      <c r="L524" s="193">
        <v>2865</v>
      </c>
      <c r="M524" s="194">
        <v>2865</v>
      </c>
      <c r="N524" s="284">
        <v>1146</v>
      </c>
      <c r="O524" s="285">
        <v>22.71</v>
      </c>
      <c r="P524" s="285">
        <v>24</v>
      </c>
      <c r="Q524" s="285" t="s">
        <v>1</v>
      </c>
      <c r="R524" s="285" t="s">
        <v>1</v>
      </c>
      <c r="S524" s="286">
        <v>1146</v>
      </c>
      <c r="T524" s="285">
        <v>22.71</v>
      </c>
      <c r="U524" s="285">
        <v>24</v>
      </c>
      <c r="V524" s="285" t="s">
        <v>1</v>
      </c>
      <c r="W524" s="285" t="s">
        <v>1</v>
      </c>
      <c r="X524" s="286">
        <v>1146</v>
      </c>
      <c r="Y524" s="285">
        <v>31.05</v>
      </c>
      <c r="Z524" s="285">
        <v>24</v>
      </c>
      <c r="AA524" s="285" t="s">
        <v>1</v>
      </c>
      <c r="AB524" s="285" t="s">
        <v>1</v>
      </c>
      <c r="AC524" s="286">
        <v>1146</v>
      </c>
      <c r="AD524" s="285">
        <v>31.05</v>
      </c>
      <c r="AE524" s="285">
        <v>24</v>
      </c>
      <c r="AF524" s="285" t="s">
        <v>1</v>
      </c>
      <c r="AG524" s="285" t="s">
        <v>1</v>
      </c>
      <c r="AH524" s="286" t="s">
        <v>1</v>
      </c>
      <c r="AI524" s="295" t="s">
        <v>1</v>
      </c>
      <c r="AJ524" s="295" t="s">
        <v>1</v>
      </c>
      <c r="AK524" s="295" t="s">
        <v>1</v>
      </c>
      <c r="AL524" s="286" t="s">
        <v>1</v>
      </c>
      <c r="AM524" s="288" t="s">
        <v>1</v>
      </c>
      <c r="AN524" s="287" t="s">
        <v>1</v>
      </c>
      <c r="AO524" s="287" t="s">
        <v>1</v>
      </c>
      <c r="AP524" s="286" t="s">
        <v>1</v>
      </c>
      <c r="AQ524" s="285" t="s">
        <v>1</v>
      </c>
      <c r="AR524" s="289" t="s">
        <v>1</v>
      </c>
      <c r="AS524" s="289" t="s">
        <v>1</v>
      </c>
      <c r="AT524" s="290" t="s">
        <v>1</v>
      </c>
      <c r="AU524" s="287" t="s">
        <v>1</v>
      </c>
      <c r="AV524" s="287" t="s">
        <v>1</v>
      </c>
      <c r="AW524" s="291" t="s">
        <v>1</v>
      </c>
    </row>
    <row r="525" spans="1:49" ht="30.15" customHeight="1" x14ac:dyDescent="0.25">
      <c r="A525" s="213" t="s">
        <v>18</v>
      </c>
      <c r="B525" s="189" t="s">
        <v>1</v>
      </c>
      <c r="C525" s="212" t="s">
        <v>34</v>
      </c>
      <c r="D525" s="190" t="s">
        <v>7</v>
      </c>
      <c r="E525" s="190" t="s">
        <v>1056</v>
      </c>
      <c r="F525" s="203"/>
      <c r="G525" s="190" t="s">
        <v>1046</v>
      </c>
      <c r="H525" s="192" t="s">
        <v>7</v>
      </c>
      <c r="I525" s="193">
        <v>2248</v>
      </c>
      <c r="J525" s="193">
        <v>2248</v>
      </c>
      <c r="K525" s="193">
        <v>2248</v>
      </c>
      <c r="L525" s="193">
        <v>2865</v>
      </c>
      <c r="M525" s="194">
        <v>2865</v>
      </c>
      <c r="N525" s="284">
        <v>1146</v>
      </c>
      <c r="O525" s="285">
        <v>22.71</v>
      </c>
      <c r="P525" s="285">
        <v>24</v>
      </c>
      <c r="Q525" s="285" t="s">
        <v>1</v>
      </c>
      <c r="R525" s="285" t="s">
        <v>1</v>
      </c>
      <c r="S525" s="286">
        <v>1146</v>
      </c>
      <c r="T525" s="285">
        <v>22.71</v>
      </c>
      <c r="U525" s="285">
        <v>24</v>
      </c>
      <c r="V525" s="285" t="s">
        <v>1</v>
      </c>
      <c r="W525" s="285" t="s">
        <v>1</v>
      </c>
      <c r="X525" s="286">
        <v>1146</v>
      </c>
      <c r="Y525" s="285">
        <v>31.05</v>
      </c>
      <c r="Z525" s="285">
        <v>24</v>
      </c>
      <c r="AA525" s="285" t="s">
        <v>1</v>
      </c>
      <c r="AB525" s="285" t="s">
        <v>1</v>
      </c>
      <c r="AC525" s="286">
        <v>1146</v>
      </c>
      <c r="AD525" s="285">
        <v>31.05</v>
      </c>
      <c r="AE525" s="285">
        <v>24</v>
      </c>
      <c r="AF525" s="285" t="s">
        <v>1</v>
      </c>
      <c r="AG525" s="285" t="s">
        <v>1</v>
      </c>
      <c r="AH525" s="286" t="s">
        <v>1</v>
      </c>
      <c r="AI525" s="295" t="s">
        <v>1</v>
      </c>
      <c r="AJ525" s="295" t="s">
        <v>1</v>
      </c>
      <c r="AK525" s="295" t="s">
        <v>1</v>
      </c>
      <c r="AL525" s="286" t="s">
        <v>1</v>
      </c>
      <c r="AM525" s="288" t="s">
        <v>1</v>
      </c>
      <c r="AN525" s="287" t="s">
        <v>1</v>
      </c>
      <c r="AO525" s="287" t="s">
        <v>1</v>
      </c>
      <c r="AP525" s="286" t="s">
        <v>1</v>
      </c>
      <c r="AQ525" s="285" t="s">
        <v>1</v>
      </c>
      <c r="AR525" s="289" t="s">
        <v>1</v>
      </c>
      <c r="AS525" s="289" t="s">
        <v>1</v>
      </c>
      <c r="AT525" s="290" t="s">
        <v>1</v>
      </c>
      <c r="AU525" s="287" t="s">
        <v>1</v>
      </c>
      <c r="AV525" s="287" t="s">
        <v>1</v>
      </c>
      <c r="AW525" s="291" t="s">
        <v>1</v>
      </c>
    </row>
    <row r="526" spans="1:49" ht="30.15" customHeight="1" x14ac:dyDescent="0.25">
      <c r="A526" s="213" t="s">
        <v>18</v>
      </c>
      <c r="B526" s="189" t="s">
        <v>1</v>
      </c>
      <c r="C526" s="212" t="s">
        <v>34</v>
      </c>
      <c r="D526" s="190" t="s">
        <v>7</v>
      </c>
      <c r="E526" s="190" t="s">
        <v>1039</v>
      </c>
      <c r="F526" s="203"/>
      <c r="G526" s="190" t="s">
        <v>1045</v>
      </c>
      <c r="H526" s="192" t="s">
        <v>409</v>
      </c>
      <c r="I526" s="193">
        <v>903</v>
      </c>
      <c r="J526" s="193">
        <v>903</v>
      </c>
      <c r="K526" s="193">
        <v>903</v>
      </c>
      <c r="L526" s="193">
        <v>1200</v>
      </c>
      <c r="M526" s="194">
        <v>1200</v>
      </c>
      <c r="N526" s="284">
        <v>480</v>
      </c>
      <c r="O526" s="285">
        <v>10.42</v>
      </c>
      <c r="P526" s="285">
        <v>24</v>
      </c>
      <c r="Q526" s="285">
        <v>340</v>
      </c>
      <c r="R526" s="285" t="s">
        <v>1</v>
      </c>
      <c r="S526" s="286">
        <v>480</v>
      </c>
      <c r="T526" s="285">
        <v>10.42</v>
      </c>
      <c r="U526" s="285">
        <v>24</v>
      </c>
      <c r="V526" s="285">
        <v>340</v>
      </c>
      <c r="W526" s="285" t="s">
        <v>1</v>
      </c>
      <c r="X526" s="286">
        <v>480</v>
      </c>
      <c r="Y526" s="285">
        <v>21.84</v>
      </c>
      <c r="Z526" s="285">
        <v>24</v>
      </c>
      <c r="AA526" s="285">
        <v>340</v>
      </c>
      <c r="AB526" s="285" t="s">
        <v>1</v>
      </c>
      <c r="AC526" s="286">
        <v>480</v>
      </c>
      <c r="AD526" s="285">
        <v>21.84</v>
      </c>
      <c r="AE526" s="285">
        <v>24</v>
      </c>
      <c r="AF526" s="285">
        <v>340</v>
      </c>
      <c r="AG526" s="285" t="s">
        <v>1</v>
      </c>
      <c r="AH526" s="286" t="s">
        <v>1</v>
      </c>
      <c r="AI526" s="295" t="s">
        <v>1</v>
      </c>
      <c r="AJ526" s="295" t="s">
        <v>1</v>
      </c>
      <c r="AK526" s="295" t="s">
        <v>1</v>
      </c>
      <c r="AL526" s="286" t="s">
        <v>1</v>
      </c>
      <c r="AM526" s="288" t="s">
        <v>1</v>
      </c>
      <c r="AN526" s="287" t="s">
        <v>1</v>
      </c>
      <c r="AO526" s="287" t="s">
        <v>1</v>
      </c>
      <c r="AP526" s="286" t="s">
        <v>1</v>
      </c>
      <c r="AQ526" s="285" t="s">
        <v>1</v>
      </c>
      <c r="AR526" s="289" t="s">
        <v>1</v>
      </c>
      <c r="AS526" s="289" t="s">
        <v>1</v>
      </c>
      <c r="AT526" s="290" t="s">
        <v>1</v>
      </c>
      <c r="AU526" s="287" t="s">
        <v>1</v>
      </c>
      <c r="AV526" s="287" t="s">
        <v>1</v>
      </c>
      <c r="AW526" s="291" t="s">
        <v>1</v>
      </c>
    </row>
    <row r="527" spans="1:49" ht="30.15" customHeight="1" x14ac:dyDescent="0.25">
      <c r="A527" s="213" t="s">
        <v>18</v>
      </c>
      <c r="B527" s="189" t="s">
        <v>1</v>
      </c>
      <c r="C527" s="212" t="s">
        <v>34</v>
      </c>
      <c r="D527" s="190" t="s">
        <v>7</v>
      </c>
      <c r="E527" s="190" t="s">
        <v>1040</v>
      </c>
      <c r="F527" s="203"/>
      <c r="G527" s="190" t="s">
        <v>1045</v>
      </c>
      <c r="H527" s="192" t="s">
        <v>409</v>
      </c>
      <c r="I527" s="193">
        <v>903</v>
      </c>
      <c r="J527" s="193">
        <v>903</v>
      </c>
      <c r="K527" s="193">
        <v>903</v>
      </c>
      <c r="L527" s="193">
        <v>1200</v>
      </c>
      <c r="M527" s="194">
        <v>1200</v>
      </c>
      <c r="N527" s="284">
        <v>480</v>
      </c>
      <c r="O527" s="285">
        <v>10.42</v>
      </c>
      <c r="P527" s="285">
        <v>24</v>
      </c>
      <c r="Q527" s="285">
        <v>340</v>
      </c>
      <c r="R527" s="285" t="s">
        <v>1</v>
      </c>
      <c r="S527" s="286">
        <v>480</v>
      </c>
      <c r="T527" s="285">
        <v>10.42</v>
      </c>
      <c r="U527" s="285">
        <v>24</v>
      </c>
      <c r="V527" s="285">
        <v>340</v>
      </c>
      <c r="W527" s="285" t="s">
        <v>1</v>
      </c>
      <c r="X527" s="286">
        <v>480</v>
      </c>
      <c r="Y527" s="285">
        <v>21.84</v>
      </c>
      <c r="Z527" s="285">
        <v>24</v>
      </c>
      <c r="AA527" s="285">
        <v>340</v>
      </c>
      <c r="AB527" s="285" t="s">
        <v>1</v>
      </c>
      <c r="AC527" s="286">
        <v>480</v>
      </c>
      <c r="AD527" s="285">
        <v>21.84</v>
      </c>
      <c r="AE527" s="285">
        <v>24</v>
      </c>
      <c r="AF527" s="285">
        <v>340</v>
      </c>
      <c r="AG527" s="285" t="s">
        <v>1</v>
      </c>
      <c r="AH527" s="286" t="s">
        <v>1</v>
      </c>
      <c r="AI527" s="295" t="s">
        <v>1</v>
      </c>
      <c r="AJ527" s="295" t="s">
        <v>1</v>
      </c>
      <c r="AK527" s="295" t="s">
        <v>1</v>
      </c>
      <c r="AL527" s="286" t="s">
        <v>1</v>
      </c>
      <c r="AM527" s="288" t="s">
        <v>1</v>
      </c>
      <c r="AN527" s="287" t="s">
        <v>1</v>
      </c>
      <c r="AO527" s="287" t="s">
        <v>1</v>
      </c>
      <c r="AP527" s="286" t="s">
        <v>1</v>
      </c>
      <c r="AQ527" s="285" t="s">
        <v>1</v>
      </c>
      <c r="AR527" s="289" t="s">
        <v>1</v>
      </c>
      <c r="AS527" s="289" t="s">
        <v>1</v>
      </c>
      <c r="AT527" s="290" t="s">
        <v>1</v>
      </c>
      <c r="AU527" s="287" t="s">
        <v>1</v>
      </c>
      <c r="AV527" s="287" t="s">
        <v>1</v>
      </c>
      <c r="AW527" s="291" t="s">
        <v>1</v>
      </c>
    </row>
    <row r="528" spans="1:49" ht="30.15" customHeight="1" x14ac:dyDescent="0.25">
      <c r="A528" s="213" t="s">
        <v>18</v>
      </c>
      <c r="B528" s="189" t="s">
        <v>1</v>
      </c>
      <c r="C528" s="212" t="s">
        <v>34</v>
      </c>
      <c r="D528" s="190" t="s">
        <v>7</v>
      </c>
      <c r="E528" s="190" t="s">
        <v>1041</v>
      </c>
      <c r="F528" s="203"/>
      <c r="G528" s="190" t="s">
        <v>1045</v>
      </c>
      <c r="H528" s="192" t="s">
        <v>1026</v>
      </c>
      <c r="I528" s="193">
        <v>903</v>
      </c>
      <c r="J528" s="193">
        <v>903</v>
      </c>
      <c r="K528" s="193">
        <v>903</v>
      </c>
      <c r="L528" s="193">
        <v>1200</v>
      </c>
      <c r="M528" s="194">
        <v>1200</v>
      </c>
      <c r="N528" s="284">
        <v>480</v>
      </c>
      <c r="O528" s="285">
        <v>10.42</v>
      </c>
      <c r="P528" s="285">
        <v>24</v>
      </c>
      <c r="Q528" s="285">
        <v>340</v>
      </c>
      <c r="R528" s="285" t="s">
        <v>1</v>
      </c>
      <c r="S528" s="286">
        <v>480</v>
      </c>
      <c r="T528" s="285">
        <v>10.42</v>
      </c>
      <c r="U528" s="285">
        <v>24</v>
      </c>
      <c r="V528" s="285">
        <v>340</v>
      </c>
      <c r="W528" s="285" t="s">
        <v>1</v>
      </c>
      <c r="X528" s="286">
        <v>480</v>
      </c>
      <c r="Y528" s="285">
        <v>21.84</v>
      </c>
      <c r="Z528" s="285">
        <v>24</v>
      </c>
      <c r="AA528" s="285">
        <v>340</v>
      </c>
      <c r="AB528" s="285" t="s">
        <v>1</v>
      </c>
      <c r="AC528" s="286">
        <v>480</v>
      </c>
      <c r="AD528" s="285">
        <v>21.84</v>
      </c>
      <c r="AE528" s="285">
        <v>24</v>
      </c>
      <c r="AF528" s="285">
        <v>340</v>
      </c>
      <c r="AG528" s="285" t="s">
        <v>1</v>
      </c>
      <c r="AH528" s="286" t="s">
        <v>1</v>
      </c>
      <c r="AI528" s="295" t="s">
        <v>1</v>
      </c>
      <c r="AJ528" s="295" t="s">
        <v>1</v>
      </c>
      <c r="AK528" s="295" t="s">
        <v>1</v>
      </c>
      <c r="AL528" s="286" t="s">
        <v>1</v>
      </c>
      <c r="AM528" s="288" t="s">
        <v>1</v>
      </c>
      <c r="AN528" s="287" t="s">
        <v>1</v>
      </c>
      <c r="AO528" s="287" t="s">
        <v>1</v>
      </c>
      <c r="AP528" s="286" t="s">
        <v>1</v>
      </c>
      <c r="AQ528" s="285" t="s">
        <v>1</v>
      </c>
      <c r="AR528" s="289" t="s">
        <v>1</v>
      </c>
      <c r="AS528" s="289" t="s">
        <v>1</v>
      </c>
      <c r="AT528" s="290" t="s">
        <v>1</v>
      </c>
      <c r="AU528" s="287" t="s">
        <v>1</v>
      </c>
      <c r="AV528" s="287" t="s">
        <v>1</v>
      </c>
      <c r="AW528" s="291" t="s">
        <v>1</v>
      </c>
    </row>
    <row r="529" spans="1:49" ht="30.15" customHeight="1" x14ac:dyDescent="0.25">
      <c r="A529" s="213" t="s">
        <v>18</v>
      </c>
      <c r="B529" s="189" t="s">
        <v>1</v>
      </c>
      <c r="C529" s="212" t="s">
        <v>34</v>
      </c>
      <c r="D529" s="190" t="s">
        <v>7</v>
      </c>
      <c r="E529" s="190" t="s">
        <v>1042</v>
      </c>
      <c r="F529" s="203"/>
      <c r="G529" s="190" t="s">
        <v>1045</v>
      </c>
      <c r="H529" s="192" t="s">
        <v>7</v>
      </c>
      <c r="I529" s="193">
        <v>903</v>
      </c>
      <c r="J529" s="193">
        <v>903</v>
      </c>
      <c r="K529" s="193">
        <v>903</v>
      </c>
      <c r="L529" s="193">
        <v>1200</v>
      </c>
      <c r="M529" s="194">
        <v>1200</v>
      </c>
      <c r="N529" s="284">
        <v>480</v>
      </c>
      <c r="O529" s="285">
        <v>10.42</v>
      </c>
      <c r="P529" s="285">
        <v>24</v>
      </c>
      <c r="Q529" s="285">
        <v>340</v>
      </c>
      <c r="R529" s="285" t="s">
        <v>1</v>
      </c>
      <c r="S529" s="286">
        <v>480</v>
      </c>
      <c r="T529" s="285">
        <v>10.42</v>
      </c>
      <c r="U529" s="285">
        <v>24</v>
      </c>
      <c r="V529" s="285">
        <v>340</v>
      </c>
      <c r="W529" s="285" t="s">
        <v>1</v>
      </c>
      <c r="X529" s="286">
        <v>480</v>
      </c>
      <c r="Y529" s="285">
        <v>21.84</v>
      </c>
      <c r="Z529" s="285">
        <v>24</v>
      </c>
      <c r="AA529" s="285">
        <v>340</v>
      </c>
      <c r="AB529" s="285" t="s">
        <v>1</v>
      </c>
      <c r="AC529" s="286">
        <v>480</v>
      </c>
      <c r="AD529" s="285">
        <v>21.84</v>
      </c>
      <c r="AE529" s="285">
        <v>24</v>
      </c>
      <c r="AF529" s="285">
        <v>340</v>
      </c>
      <c r="AG529" s="285" t="s">
        <v>1</v>
      </c>
      <c r="AH529" s="286" t="s">
        <v>1</v>
      </c>
      <c r="AI529" s="295" t="s">
        <v>1</v>
      </c>
      <c r="AJ529" s="295" t="s">
        <v>1</v>
      </c>
      <c r="AK529" s="295" t="s">
        <v>1</v>
      </c>
      <c r="AL529" s="286" t="s">
        <v>1</v>
      </c>
      <c r="AM529" s="288" t="s">
        <v>1</v>
      </c>
      <c r="AN529" s="287" t="s">
        <v>1</v>
      </c>
      <c r="AO529" s="287" t="s">
        <v>1</v>
      </c>
      <c r="AP529" s="286" t="s">
        <v>1</v>
      </c>
      <c r="AQ529" s="285" t="s">
        <v>1</v>
      </c>
      <c r="AR529" s="289" t="s">
        <v>1</v>
      </c>
      <c r="AS529" s="289" t="s">
        <v>1</v>
      </c>
      <c r="AT529" s="290" t="s">
        <v>1</v>
      </c>
      <c r="AU529" s="287" t="s">
        <v>1</v>
      </c>
      <c r="AV529" s="287" t="s">
        <v>1</v>
      </c>
      <c r="AW529" s="291" t="s">
        <v>1</v>
      </c>
    </row>
    <row r="530" spans="1:49" ht="30.15" customHeight="1" x14ac:dyDescent="0.25">
      <c r="A530" s="213" t="s">
        <v>18</v>
      </c>
      <c r="B530" s="189" t="s">
        <v>1</v>
      </c>
      <c r="C530" s="212" t="s">
        <v>34</v>
      </c>
      <c r="D530" s="190" t="s">
        <v>7</v>
      </c>
      <c r="E530" s="190" t="s">
        <v>1043</v>
      </c>
      <c r="F530" s="203"/>
      <c r="G530" s="190" t="s">
        <v>1045</v>
      </c>
      <c r="H530" s="192" t="s">
        <v>409</v>
      </c>
      <c r="I530" s="193">
        <v>903</v>
      </c>
      <c r="J530" s="193">
        <v>903</v>
      </c>
      <c r="K530" s="193">
        <v>903</v>
      </c>
      <c r="L530" s="193">
        <v>1200</v>
      </c>
      <c r="M530" s="194">
        <v>1200</v>
      </c>
      <c r="N530" s="284">
        <v>480</v>
      </c>
      <c r="O530" s="285">
        <v>10.42</v>
      </c>
      <c r="P530" s="285">
        <v>24</v>
      </c>
      <c r="Q530" s="285">
        <v>340</v>
      </c>
      <c r="R530" s="285" t="s">
        <v>1</v>
      </c>
      <c r="S530" s="286">
        <v>480</v>
      </c>
      <c r="T530" s="285">
        <v>10.42</v>
      </c>
      <c r="U530" s="285">
        <v>24</v>
      </c>
      <c r="V530" s="285">
        <v>340</v>
      </c>
      <c r="W530" s="285" t="s">
        <v>1</v>
      </c>
      <c r="X530" s="286">
        <v>480</v>
      </c>
      <c r="Y530" s="285">
        <v>21.84</v>
      </c>
      <c r="Z530" s="285">
        <v>24</v>
      </c>
      <c r="AA530" s="285">
        <v>340</v>
      </c>
      <c r="AB530" s="285" t="s">
        <v>1</v>
      </c>
      <c r="AC530" s="286">
        <v>480</v>
      </c>
      <c r="AD530" s="285">
        <v>21.84</v>
      </c>
      <c r="AE530" s="285">
        <v>24</v>
      </c>
      <c r="AF530" s="285">
        <v>340</v>
      </c>
      <c r="AG530" s="285" t="s">
        <v>1</v>
      </c>
      <c r="AH530" s="286" t="s">
        <v>1</v>
      </c>
      <c r="AI530" s="295" t="s">
        <v>1</v>
      </c>
      <c r="AJ530" s="295" t="s">
        <v>1</v>
      </c>
      <c r="AK530" s="295" t="s">
        <v>1</v>
      </c>
      <c r="AL530" s="286" t="s">
        <v>1</v>
      </c>
      <c r="AM530" s="288" t="s">
        <v>1</v>
      </c>
      <c r="AN530" s="287" t="s">
        <v>1</v>
      </c>
      <c r="AO530" s="287" t="s">
        <v>1</v>
      </c>
      <c r="AP530" s="286" t="s">
        <v>1</v>
      </c>
      <c r="AQ530" s="285" t="s">
        <v>1</v>
      </c>
      <c r="AR530" s="289" t="s">
        <v>1</v>
      </c>
      <c r="AS530" s="289" t="s">
        <v>1</v>
      </c>
      <c r="AT530" s="290" t="s">
        <v>1</v>
      </c>
      <c r="AU530" s="287" t="s">
        <v>1</v>
      </c>
      <c r="AV530" s="287" t="s">
        <v>1</v>
      </c>
      <c r="AW530" s="291" t="s">
        <v>1</v>
      </c>
    </row>
    <row r="531" spans="1:49" ht="30.15" customHeight="1" x14ac:dyDescent="0.25">
      <c r="A531" s="213" t="s">
        <v>18</v>
      </c>
      <c r="B531" s="189" t="s">
        <v>1</v>
      </c>
      <c r="C531" s="212" t="s">
        <v>34</v>
      </c>
      <c r="D531" s="190" t="s">
        <v>7</v>
      </c>
      <c r="E531" s="190" t="s">
        <v>1044</v>
      </c>
      <c r="F531" s="203"/>
      <c r="G531" s="190" t="s">
        <v>1045</v>
      </c>
      <c r="H531" s="192" t="s">
        <v>7</v>
      </c>
      <c r="I531" s="193">
        <v>903</v>
      </c>
      <c r="J531" s="193">
        <v>903</v>
      </c>
      <c r="K531" s="193">
        <v>903</v>
      </c>
      <c r="L531" s="193">
        <v>1200</v>
      </c>
      <c r="M531" s="194">
        <v>1200</v>
      </c>
      <c r="N531" s="284">
        <v>480</v>
      </c>
      <c r="O531" s="285">
        <v>10.42</v>
      </c>
      <c r="P531" s="285">
        <v>24</v>
      </c>
      <c r="Q531" s="285">
        <v>340</v>
      </c>
      <c r="R531" s="285" t="s">
        <v>1</v>
      </c>
      <c r="S531" s="286">
        <v>480</v>
      </c>
      <c r="T531" s="285">
        <v>10.42</v>
      </c>
      <c r="U531" s="285">
        <v>24</v>
      </c>
      <c r="V531" s="285">
        <v>340</v>
      </c>
      <c r="W531" s="285" t="s">
        <v>1</v>
      </c>
      <c r="X531" s="286">
        <v>480</v>
      </c>
      <c r="Y531" s="285">
        <v>21.84</v>
      </c>
      <c r="Z531" s="285">
        <v>24</v>
      </c>
      <c r="AA531" s="285">
        <v>340</v>
      </c>
      <c r="AB531" s="285" t="s">
        <v>1</v>
      </c>
      <c r="AC531" s="286">
        <v>480</v>
      </c>
      <c r="AD531" s="285">
        <v>21.84</v>
      </c>
      <c r="AE531" s="285">
        <v>24</v>
      </c>
      <c r="AF531" s="285">
        <v>340</v>
      </c>
      <c r="AG531" s="285" t="s">
        <v>1</v>
      </c>
      <c r="AH531" s="286" t="s">
        <v>1</v>
      </c>
      <c r="AI531" s="295" t="s">
        <v>1</v>
      </c>
      <c r="AJ531" s="295" t="s">
        <v>1</v>
      </c>
      <c r="AK531" s="295" t="s">
        <v>1</v>
      </c>
      <c r="AL531" s="286" t="s">
        <v>1</v>
      </c>
      <c r="AM531" s="288" t="s">
        <v>1</v>
      </c>
      <c r="AN531" s="287" t="s">
        <v>1</v>
      </c>
      <c r="AO531" s="287" t="s">
        <v>1</v>
      </c>
      <c r="AP531" s="286" t="s">
        <v>1</v>
      </c>
      <c r="AQ531" s="285" t="s">
        <v>1</v>
      </c>
      <c r="AR531" s="289" t="s">
        <v>1</v>
      </c>
      <c r="AS531" s="289" t="s">
        <v>1</v>
      </c>
      <c r="AT531" s="290" t="s">
        <v>1</v>
      </c>
      <c r="AU531" s="287" t="s">
        <v>1</v>
      </c>
      <c r="AV531" s="287" t="s">
        <v>1</v>
      </c>
      <c r="AW531" s="291" t="s">
        <v>1</v>
      </c>
    </row>
    <row r="532" spans="1:49" ht="30.15" customHeight="1" x14ac:dyDescent="0.25">
      <c r="A532" s="213" t="s">
        <v>18</v>
      </c>
      <c r="B532" s="189" t="s">
        <v>1</v>
      </c>
      <c r="C532" s="212" t="s">
        <v>34</v>
      </c>
      <c r="D532" s="190" t="s">
        <v>7</v>
      </c>
      <c r="E532" s="190" t="s">
        <v>838</v>
      </c>
      <c r="F532" s="203"/>
      <c r="G532" s="190" t="s">
        <v>839</v>
      </c>
      <c r="H532" s="192" t="s">
        <v>409</v>
      </c>
      <c r="I532" s="193">
        <v>1254</v>
      </c>
      <c r="J532" s="193">
        <v>1254</v>
      </c>
      <c r="K532" s="193">
        <v>1254</v>
      </c>
      <c r="L532" s="193">
        <v>1650</v>
      </c>
      <c r="M532" s="194">
        <v>1650</v>
      </c>
      <c r="N532" s="284">
        <v>660</v>
      </c>
      <c r="O532" s="285">
        <v>13.75</v>
      </c>
      <c r="P532" s="285">
        <v>24</v>
      </c>
      <c r="Q532" s="285" t="s">
        <v>1</v>
      </c>
      <c r="R532" s="285" t="s">
        <v>1</v>
      </c>
      <c r="S532" s="286">
        <v>660</v>
      </c>
      <c r="T532" s="285">
        <v>13.75</v>
      </c>
      <c r="U532" s="285">
        <v>24</v>
      </c>
      <c r="V532" s="285" t="s">
        <v>1</v>
      </c>
      <c r="W532" s="285" t="s">
        <v>1</v>
      </c>
      <c r="X532" s="286">
        <v>660</v>
      </c>
      <c r="Y532" s="285">
        <v>33.75</v>
      </c>
      <c r="Z532" s="285">
        <v>24</v>
      </c>
      <c r="AA532" s="285" t="s">
        <v>1</v>
      </c>
      <c r="AB532" s="285" t="s">
        <v>1</v>
      </c>
      <c r="AC532" s="286">
        <v>660</v>
      </c>
      <c r="AD532" s="285">
        <v>33.75</v>
      </c>
      <c r="AE532" s="285">
        <v>24</v>
      </c>
      <c r="AF532" s="285" t="s">
        <v>1</v>
      </c>
      <c r="AG532" s="285" t="s">
        <v>1</v>
      </c>
      <c r="AH532" s="286" t="s">
        <v>1</v>
      </c>
      <c r="AI532" s="312" t="s">
        <v>1</v>
      </c>
      <c r="AJ532" s="312" t="s">
        <v>1</v>
      </c>
      <c r="AK532" s="312" t="s">
        <v>1</v>
      </c>
      <c r="AL532" s="286" t="s">
        <v>1</v>
      </c>
      <c r="AM532" s="288" t="s">
        <v>1</v>
      </c>
      <c r="AN532" s="289" t="s">
        <v>1</v>
      </c>
      <c r="AO532" s="289" t="s">
        <v>1</v>
      </c>
      <c r="AP532" s="286" t="s">
        <v>1</v>
      </c>
      <c r="AQ532" s="285" t="s">
        <v>1</v>
      </c>
      <c r="AR532" s="289" t="s">
        <v>1</v>
      </c>
      <c r="AS532" s="289" t="s">
        <v>1</v>
      </c>
      <c r="AT532" s="293" t="s">
        <v>1</v>
      </c>
      <c r="AU532" s="289" t="s">
        <v>1</v>
      </c>
      <c r="AV532" s="289" t="s">
        <v>1</v>
      </c>
      <c r="AW532" s="294" t="s">
        <v>1</v>
      </c>
    </row>
    <row r="533" spans="1:49" ht="30.15" customHeight="1" x14ac:dyDescent="0.25">
      <c r="A533" s="213" t="s">
        <v>18</v>
      </c>
      <c r="B533" s="189" t="s">
        <v>1</v>
      </c>
      <c r="C533" s="212" t="s">
        <v>34</v>
      </c>
      <c r="D533" s="190" t="s">
        <v>7</v>
      </c>
      <c r="E533" s="190" t="s">
        <v>840</v>
      </c>
      <c r="F533" s="203"/>
      <c r="G533" s="190" t="s">
        <v>839</v>
      </c>
      <c r="H533" s="192" t="s">
        <v>409</v>
      </c>
      <c r="I533" s="193">
        <v>1254</v>
      </c>
      <c r="J533" s="193">
        <v>1254</v>
      </c>
      <c r="K533" s="193">
        <v>1254</v>
      </c>
      <c r="L533" s="193">
        <v>1650</v>
      </c>
      <c r="M533" s="194">
        <v>1650</v>
      </c>
      <c r="N533" s="284">
        <v>660</v>
      </c>
      <c r="O533" s="285">
        <v>13.75</v>
      </c>
      <c r="P533" s="285">
        <v>24</v>
      </c>
      <c r="Q533" s="285" t="s">
        <v>1</v>
      </c>
      <c r="R533" s="285" t="s">
        <v>1</v>
      </c>
      <c r="S533" s="286">
        <v>660</v>
      </c>
      <c r="T533" s="285">
        <v>13.75</v>
      </c>
      <c r="U533" s="285">
        <v>24</v>
      </c>
      <c r="V533" s="285" t="s">
        <v>1</v>
      </c>
      <c r="W533" s="285" t="s">
        <v>1</v>
      </c>
      <c r="X533" s="286">
        <v>660</v>
      </c>
      <c r="Y533" s="285">
        <v>33.75</v>
      </c>
      <c r="Z533" s="285">
        <v>24</v>
      </c>
      <c r="AA533" s="285" t="s">
        <v>1</v>
      </c>
      <c r="AB533" s="285" t="s">
        <v>1</v>
      </c>
      <c r="AC533" s="286">
        <v>660</v>
      </c>
      <c r="AD533" s="285">
        <v>33.75</v>
      </c>
      <c r="AE533" s="285">
        <v>24</v>
      </c>
      <c r="AF533" s="285" t="s">
        <v>1</v>
      </c>
      <c r="AG533" s="285" t="s">
        <v>1</v>
      </c>
      <c r="AH533" s="286" t="s">
        <v>1</v>
      </c>
      <c r="AI533" s="312" t="s">
        <v>1</v>
      </c>
      <c r="AJ533" s="312" t="s">
        <v>1</v>
      </c>
      <c r="AK533" s="312" t="s">
        <v>1</v>
      </c>
      <c r="AL533" s="286" t="s">
        <v>1</v>
      </c>
      <c r="AM533" s="288" t="s">
        <v>1</v>
      </c>
      <c r="AN533" s="289" t="s">
        <v>1</v>
      </c>
      <c r="AO533" s="289" t="s">
        <v>1</v>
      </c>
      <c r="AP533" s="286" t="s">
        <v>1</v>
      </c>
      <c r="AQ533" s="285" t="s">
        <v>1</v>
      </c>
      <c r="AR533" s="289" t="s">
        <v>1</v>
      </c>
      <c r="AS533" s="289" t="s">
        <v>1</v>
      </c>
      <c r="AT533" s="293" t="s">
        <v>1</v>
      </c>
      <c r="AU533" s="289" t="s">
        <v>1</v>
      </c>
      <c r="AV533" s="289" t="s">
        <v>1</v>
      </c>
      <c r="AW533" s="294" t="s">
        <v>1</v>
      </c>
    </row>
    <row r="534" spans="1:49" ht="30.15" customHeight="1" x14ac:dyDescent="0.25">
      <c r="A534" s="213" t="s">
        <v>18</v>
      </c>
      <c r="B534" s="189" t="s">
        <v>1</v>
      </c>
      <c r="C534" s="212" t="s">
        <v>34</v>
      </c>
      <c r="D534" s="190" t="s">
        <v>7</v>
      </c>
      <c r="E534" s="190" t="s">
        <v>841</v>
      </c>
      <c r="F534" s="203"/>
      <c r="G534" s="190" t="s">
        <v>842</v>
      </c>
      <c r="H534" s="192" t="s">
        <v>409</v>
      </c>
      <c r="I534" s="193">
        <v>1500</v>
      </c>
      <c r="J534" s="193">
        <v>1500</v>
      </c>
      <c r="K534" s="193">
        <v>1500</v>
      </c>
      <c r="L534" s="193">
        <v>2000</v>
      </c>
      <c r="M534" s="194">
        <v>2000</v>
      </c>
      <c r="N534" s="284">
        <v>800</v>
      </c>
      <c r="O534" s="285">
        <v>17.5</v>
      </c>
      <c r="P534" s="285">
        <v>24</v>
      </c>
      <c r="Q534" s="285" t="s">
        <v>1</v>
      </c>
      <c r="R534" s="285" t="s">
        <v>1</v>
      </c>
      <c r="S534" s="286">
        <v>800</v>
      </c>
      <c r="T534" s="285">
        <v>17.5</v>
      </c>
      <c r="U534" s="285">
        <v>24</v>
      </c>
      <c r="V534" s="285" t="s">
        <v>1</v>
      </c>
      <c r="W534" s="285" t="s">
        <v>1</v>
      </c>
      <c r="X534" s="286">
        <v>800</v>
      </c>
      <c r="Y534" s="285">
        <v>38.339999999999996</v>
      </c>
      <c r="Z534" s="285">
        <v>24</v>
      </c>
      <c r="AA534" s="285" t="s">
        <v>1</v>
      </c>
      <c r="AB534" s="285" t="s">
        <v>1</v>
      </c>
      <c r="AC534" s="286">
        <v>800</v>
      </c>
      <c r="AD534" s="285">
        <v>38.339999999999996</v>
      </c>
      <c r="AE534" s="285">
        <v>24</v>
      </c>
      <c r="AF534" s="285" t="s">
        <v>1</v>
      </c>
      <c r="AG534" s="285" t="s">
        <v>1</v>
      </c>
      <c r="AH534" s="286" t="s">
        <v>1</v>
      </c>
      <c r="AI534" s="312" t="s">
        <v>1</v>
      </c>
      <c r="AJ534" s="312" t="s">
        <v>1</v>
      </c>
      <c r="AK534" s="312" t="s">
        <v>1</v>
      </c>
      <c r="AL534" s="286" t="s">
        <v>1</v>
      </c>
      <c r="AM534" s="288" t="s">
        <v>1</v>
      </c>
      <c r="AN534" s="289" t="s">
        <v>1</v>
      </c>
      <c r="AO534" s="289" t="s">
        <v>1</v>
      </c>
      <c r="AP534" s="286" t="s">
        <v>1</v>
      </c>
      <c r="AQ534" s="285" t="s">
        <v>1</v>
      </c>
      <c r="AR534" s="289" t="s">
        <v>1</v>
      </c>
      <c r="AS534" s="289" t="s">
        <v>1</v>
      </c>
      <c r="AT534" s="293" t="s">
        <v>1</v>
      </c>
      <c r="AU534" s="289" t="s">
        <v>1</v>
      </c>
      <c r="AV534" s="289" t="s">
        <v>1</v>
      </c>
      <c r="AW534" s="294" t="s">
        <v>1</v>
      </c>
    </row>
    <row r="535" spans="1:49" ht="30.15" customHeight="1" x14ac:dyDescent="0.25">
      <c r="A535" s="213" t="s">
        <v>18</v>
      </c>
      <c r="B535" s="189" t="s">
        <v>1</v>
      </c>
      <c r="C535" s="212" t="s">
        <v>34</v>
      </c>
      <c r="D535" s="190" t="s">
        <v>7</v>
      </c>
      <c r="E535" s="190" t="s">
        <v>843</v>
      </c>
      <c r="F535" s="203"/>
      <c r="G535" s="190" t="s">
        <v>842</v>
      </c>
      <c r="H535" s="192" t="s">
        <v>409</v>
      </c>
      <c r="I535" s="193">
        <v>1500</v>
      </c>
      <c r="J535" s="193">
        <v>1500</v>
      </c>
      <c r="K535" s="193">
        <v>1500</v>
      </c>
      <c r="L535" s="193">
        <v>2000</v>
      </c>
      <c r="M535" s="194">
        <v>2000</v>
      </c>
      <c r="N535" s="284">
        <v>800</v>
      </c>
      <c r="O535" s="285">
        <v>17.5</v>
      </c>
      <c r="P535" s="285">
        <v>24</v>
      </c>
      <c r="Q535" s="285" t="s">
        <v>1</v>
      </c>
      <c r="R535" s="285" t="s">
        <v>1</v>
      </c>
      <c r="S535" s="286">
        <v>800</v>
      </c>
      <c r="T535" s="285">
        <v>17.5</v>
      </c>
      <c r="U535" s="285">
        <v>24</v>
      </c>
      <c r="V535" s="285" t="s">
        <v>1</v>
      </c>
      <c r="W535" s="285" t="s">
        <v>1</v>
      </c>
      <c r="X535" s="286">
        <v>800</v>
      </c>
      <c r="Y535" s="285">
        <v>38.339999999999996</v>
      </c>
      <c r="Z535" s="285">
        <v>24</v>
      </c>
      <c r="AA535" s="285" t="s">
        <v>1</v>
      </c>
      <c r="AB535" s="285" t="s">
        <v>1</v>
      </c>
      <c r="AC535" s="286">
        <v>800</v>
      </c>
      <c r="AD535" s="285">
        <v>38.339999999999996</v>
      </c>
      <c r="AE535" s="285">
        <v>24</v>
      </c>
      <c r="AF535" s="285" t="s">
        <v>1</v>
      </c>
      <c r="AG535" s="285" t="s">
        <v>1</v>
      </c>
      <c r="AH535" s="286" t="s">
        <v>1</v>
      </c>
      <c r="AI535" s="312" t="s">
        <v>1</v>
      </c>
      <c r="AJ535" s="312" t="s">
        <v>1</v>
      </c>
      <c r="AK535" s="312" t="s">
        <v>1</v>
      </c>
      <c r="AL535" s="286" t="s">
        <v>1</v>
      </c>
      <c r="AM535" s="288" t="s">
        <v>1</v>
      </c>
      <c r="AN535" s="289" t="s">
        <v>1</v>
      </c>
      <c r="AO535" s="289" t="s">
        <v>1</v>
      </c>
      <c r="AP535" s="286" t="s">
        <v>1</v>
      </c>
      <c r="AQ535" s="285" t="s">
        <v>1</v>
      </c>
      <c r="AR535" s="289" t="s">
        <v>1</v>
      </c>
      <c r="AS535" s="289" t="s">
        <v>1</v>
      </c>
      <c r="AT535" s="293" t="s">
        <v>1</v>
      </c>
      <c r="AU535" s="289" t="s">
        <v>1</v>
      </c>
      <c r="AV535" s="289" t="s">
        <v>1</v>
      </c>
      <c r="AW535" s="294" t="s">
        <v>1</v>
      </c>
    </row>
    <row r="536" spans="1:49" ht="30.15" customHeight="1" x14ac:dyDescent="0.25">
      <c r="A536" s="213" t="s">
        <v>18</v>
      </c>
      <c r="B536" s="189" t="s">
        <v>1</v>
      </c>
      <c r="C536" s="212" t="s">
        <v>34</v>
      </c>
      <c r="D536" s="190" t="s">
        <v>7</v>
      </c>
      <c r="E536" s="190" t="s">
        <v>844</v>
      </c>
      <c r="F536" s="203"/>
      <c r="G536" s="190" t="s">
        <v>845</v>
      </c>
      <c r="H536" s="192" t="s">
        <v>647</v>
      </c>
      <c r="I536" s="193">
        <v>1690</v>
      </c>
      <c r="J536" s="193">
        <v>1690</v>
      </c>
      <c r="K536" s="193">
        <v>1690</v>
      </c>
      <c r="L536" s="193">
        <v>2200</v>
      </c>
      <c r="M536" s="194">
        <v>2200</v>
      </c>
      <c r="N536" s="284">
        <v>880</v>
      </c>
      <c r="O536" s="285">
        <v>17.5</v>
      </c>
      <c r="P536" s="285">
        <v>24</v>
      </c>
      <c r="Q536" s="285" t="s">
        <v>1</v>
      </c>
      <c r="R536" s="285" t="s">
        <v>1</v>
      </c>
      <c r="S536" s="286">
        <v>880</v>
      </c>
      <c r="T536" s="285">
        <v>17.5</v>
      </c>
      <c r="U536" s="285">
        <v>24</v>
      </c>
      <c r="V536" s="285" t="s">
        <v>1</v>
      </c>
      <c r="W536" s="285" t="s">
        <v>1</v>
      </c>
      <c r="X536" s="286">
        <v>880</v>
      </c>
      <c r="Y536" s="285">
        <v>38.339999999999996</v>
      </c>
      <c r="Z536" s="285">
        <v>24</v>
      </c>
      <c r="AA536" s="285" t="s">
        <v>1</v>
      </c>
      <c r="AB536" s="285" t="s">
        <v>1</v>
      </c>
      <c r="AC536" s="286">
        <v>880</v>
      </c>
      <c r="AD536" s="285">
        <v>38.339999999999996</v>
      </c>
      <c r="AE536" s="285">
        <v>24</v>
      </c>
      <c r="AF536" s="285" t="s">
        <v>1</v>
      </c>
      <c r="AG536" s="285" t="s">
        <v>1</v>
      </c>
      <c r="AH536" s="286" t="s">
        <v>1</v>
      </c>
      <c r="AI536" s="312" t="s">
        <v>1</v>
      </c>
      <c r="AJ536" s="312" t="s">
        <v>1</v>
      </c>
      <c r="AK536" s="312" t="s">
        <v>1</v>
      </c>
      <c r="AL536" s="286" t="s">
        <v>1</v>
      </c>
      <c r="AM536" s="288" t="s">
        <v>1</v>
      </c>
      <c r="AN536" s="289" t="s">
        <v>1</v>
      </c>
      <c r="AO536" s="289" t="s">
        <v>1</v>
      </c>
      <c r="AP536" s="286" t="s">
        <v>1</v>
      </c>
      <c r="AQ536" s="285" t="s">
        <v>1</v>
      </c>
      <c r="AR536" s="289" t="s">
        <v>1</v>
      </c>
      <c r="AS536" s="289" t="s">
        <v>1</v>
      </c>
      <c r="AT536" s="293" t="s">
        <v>1</v>
      </c>
      <c r="AU536" s="289" t="s">
        <v>1</v>
      </c>
      <c r="AV536" s="289" t="s">
        <v>1</v>
      </c>
      <c r="AW536" s="294" t="s">
        <v>1</v>
      </c>
    </row>
    <row r="537" spans="1:49" ht="30.15" customHeight="1" x14ac:dyDescent="0.25">
      <c r="A537" s="213" t="s">
        <v>18</v>
      </c>
      <c r="B537" s="189" t="s">
        <v>1</v>
      </c>
      <c r="C537" s="212" t="s">
        <v>34</v>
      </c>
      <c r="D537" s="190" t="s">
        <v>7</v>
      </c>
      <c r="E537" s="190" t="s">
        <v>846</v>
      </c>
      <c r="F537" s="203"/>
      <c r="G537" s="190" t="s">
        <v>847</v>
      </c>
      <c r="H537" s="192" t="s">
        <v>409</v>
      </c>
      <c r="I537" s="193">
        <v>1757</v>
      </c>
      <c r="J537" s="193">
        <v>1757</v>
      </c>
      <c r="K537" s="193">
        <v>1757</v>
      </c>
      <c r="L537" s="193">
        <v>2300</v>
      </c>
      <c r="M537" s="194">
        <v>2300</v>
      </c>
      <c r="N537" s="284">
        <v>920</v>
      </c>
      <c r="O537" s="285">
        <v>18.75</v>
      </c>
      <c r="P537" s="285">
        <v>24</v>
      </c>
      <c r="Q537" s="285" t="s">
        <v>1</v>
      </c>
      <c r="R537" s="285" t="s">
        <v>1</v>
      </c>
      <c r="S537" s="286">
        <v>920</v>
      </c>
      <c r="T537" s="285">
        <v>18.75</v>
      </c>
      <c r="U537" s="285">
        <v>24</v>
      </c>
      <c r="V537" s="285" t="s">
        <v>1</v>
      </c>
      <c r="W537" s="285" t="s">
        <v>1</v>
      </c>
      <c r="X537" s="286">
        <v>920</v>
      </c>
      <c r="Y537" s="285">
        <v>45.839999999999996</v>
      </c>
      <c r="Z537" s="285">
        <v>24</v>
      </c>
      <c r="AA537" s="285" t="s">
        <v>1</v>
      </c>
      <c r="AB537" s="285" t="s">
        <v>1</v>
      </c>
      <c r="AC537" s="286">
        <v>920</v>
      </c>
      <c r="AD537" s="285">
        <v>45.839999999999996</v>
      </c>
      <c r="AE537" s="285">
        <v>24</v>
      </c>
      <c r="AF537" s="285" t="s">
        <v>1</v>
      </c>
      <c r="AG537" s="285" t="s">
        <v>1</v>
      </c>
      <c r="AH537" s="286" t="s">
        <v>1</v>
      </c>
      <c r="AI537" s="312" t="s">
        <v>1</v>
      </c>
      <c r="AJ537" s="312" t="s">
        <v>1</v>
      </c>
      <c r="AK537" s="312" t="s">
        <v>1</v>
      </c>
      <c r="AL537" s="286" t="s">
        <v>1</v>
      </c>
      <c r="AM537" s="288" t="s">
        <v>1</v>
      </c>
      <c r="AN537" s="289" t="s">
        <v>1</v>
      </c>
      <c r="AO537" s="289" t="s">
        <v>1</v>
      </c>
      <c r="AP537" s="286" t="s">
        <v>1</v>
      </c>
      <c r="AQ537" s="285" t="s">
        <v>1</v>
      </c>
      <c r="AR537" s="289" t="s">
        <v>1</v>
      </c>
      <c r="AS537" s="289" t="s">
        <v>1</v>
      </c>
      <c r="AT537" s="293" t="s">
        <v>1</v>
      </c>
      <c r="AU537" s="289" t="s">
        <v>1</v>
      </c>
      <c r="AV537" s="289" t="s">
        <v>1</v>
      </c>
      <c r="AW537" s="294" t="s">
        <v>1</v>
      </c>
    </row>
    <row r="538" spans="1:49" ht="30.15" customHeight="1" x14ac:dyDescent="0.25">
      <c r="A538" s="213" t="s">
        <v>18</v>
      </c>
      <c r="B538" s="189" t="s">
        <v>1</v>
      </c>
      <c r="C538" s="212" t="s">
        <v>34</v>
      </c>
      <c r="D538" s="190" t="s">
        <v>7</v>
      </c>
      <c r="E538" s="190" t="s">
        <v>848</v>
      </c>
      <c r="F538" s="203"/>
      <c r="G538" s="190" t="s">
        <v>847</v>
      </c>
      <c r="H538" s="192" t="s">
        <v>7</v>
      </c>
      <c r="I538" s="193">
        <v>1757</v>
      </c>
      <c r="J538" s="193">
        <v>1757</v>
      </c>
      <c r="K538" s="193">
        <v>1757</v>
      </c>
      <c r="L538" s="193">
        <v>2300</v>
      </c>
      <c r="M538" s="194">
        <v>2300</v>
      </c>
      <c r="N538" s="284">
        <v>920</v>
      </c>
      <c r="O538" s="285">
        <v>18.75</v>
      </c>
      <c r="P538" s="285">
        <v>24</v>
      </c>
      <c r="Q538" s="285" t="s">
        <v>1</v>
      </c>
      <c r="R538" s="285" t="s">
        <v>1</v>
      </c>
      <c r="S538" s="286">
        <v>920</v>
      </c>
      <c r="T538" s="285">
        <v>18.75</v>
      </c>
      <c r="U538" s="285">
        <v>24</v>
      </c>
      <c r="V538" s="285" t="s">
        <v>1</v>
      </c>
      <c r="W538" s="285" t="s">
        <v>1</v>
      </c>
      <c r="X538" s="286">
        <v>920</v>
      </c>
      <c r="Y538" s="285">
        <v>45.839999999999996</v>
      </c>
      <c r="Z538" s="285">
        <v>24</v>
      </c>
      <c r="AA538" s="285" t="s">
        <v>1</v>
      </c>
      <c r="AB538" s="285" t="s">
        <v>1</v>
      </c>
      <c r="AC538" s="286">
        <v>920</v>
      </c>
      <c r="AD538" s="285">
        <v>45.839999999999996</v>
      </c>
      <c r="AE538" s="285">
        <v>24</v>
      </c>
      <c r="AF538" s="285" t="s">
        <v>1</v>
      </c>
      <c r="AG538" s="285" t="s">
        <v>1</v>
      </c>
      <c r="AH538" s="286" t="s">
        <v>1</v>
      </c>
      <c r="AI538" s="312" t="s">
        <v>1</v>
      </c>
      <c r="AJ538" s="312" t="s">
        <v>1</v>
      </c>
      <c r="AK538" s="312" t="s">
        <v>1</v>
      </c>
      <c r="AL538" s="286" t="s">
        <v>1</v>
      </c>
      <c r="AM538" s="288" t="s">
        <v>1</v>
      </c>
      <c r="AN538" s="289" t="s">
        <v>1</v>
      </c>
      <c r="AO538" s="289" t="s">
        <v>1</v>
      </c>
      <c r="AP538" s="286" t="s">
        <v>1</v>
      </c>
      <c r="AQ538" s="285" t="s">
        <v>1</v>
      </c>
      <c r="AR538" s="289" t="s">
        <v>1</v>
      </c>
      <c r="AS538" s="289" t="s">
        <v>1</v>
      </c>
      <c r="AT538" s="293" t="s">
        <v>1</v>
      </c>
      <c r="AU538" s="289" t="s">
        <v>1</v>
      </c>
      <c r="AV538" s="289" t="s">
        <v>1</v>
      </c>
      <c r="AW538" s="294" t="s">
        <v>1</v>
      </c>
    </row>
    <row r="539" spans="1:49" ht="30.15" customHeight="1" x14ac:dyDescent="0.25">
      <c r="A539" s="213" t="s">
        <v>18</v>
      </c>
      <c r="B539" s="189" t="s">
        <v>1</v>
      </c>
      <c r="C539" s="212" t="s">
        <v>34</v>
      </c>
      <c r="D539" s="190" t="s">
        <v>7</v>
      </c>
      <c r="E539" s="190" t="s">
        <v>849</v>
      </c>
      <c r="F539" s="203"/>
      <c r="G539" s="190" t="s">
        <v>850</v>
      </c>
      <c r="H539" s="192" t="s">
        <v>647</v>
      </c>
      <c r="I539" s="193">
        <v>2004</v>
      </c>
      <c r="J539" s="193">
        <v>2004</v>
      </c>
      <c r="K539" s="193">
        <v>2004</v>
      </c>
      <c r="L539" s="193">
        <v>2610</v>
      </c>
      <c r="M539" s="194">
        <v>2610</v>
      </c>
      <c r="N539" s="284">
        <v>1044</v>
      </c>
      <c r="O539" s="285">
        <v>20.84</v>
      </c>
      <c r="P539" s="285">
        <v>24</v>
      </c>
      <c r="Q539" s="285" t="s">
        <v>1</v>
      </c>
      <c r="R539" s="285" t="s">
        <v>1</v>
      </c>
      <c r="S539" s="286">
        <v>1044</v>
      </c>
      <c r="T539" s="285">
        <v>20.84</v>
      </c>
      <c r="U539" s="285">
        <v>24</v>
      </c>
      <c r="V539" s="285" t="s">
        <v>1</v>
      </c>
      <c r="W539" s="285" t="s">
        <v>1</v>
      </c>
      <c r="X539" s="286">
        <v>1044</v>
      </c>
      <c r="Y539" s="285">
        <v>47.919999999999995</v>
      </c>
      <c r="Z539" s="285">
        <v>24</v>
      </c>
      <c r="AA539" s="285" t="s">
        <v>1</v>
      </c>
      <c r="AB539" s="285" t="s">
        <v>1</v>
      </c>
      <c r="AC539" s="286">
        <v>1044</v>
      </c>
      <c r="AD539" s="285">
        <v>47.919999999999995</v>
      </c>
      <c r="AE539" s="285">
        <v>24</v>
      </c>
      <c r="AF539" s="285" t="s">
        <v>1</v>
      </c>
      <c r="AG539" s="285" t="s">
        <v>1</v>
      </c>
      <c r="AH539" s="286" t="s">
        <v>1</v>
      </c>
      <c r="AI539" s="312" t="s">
        <v>1</v>
      </c>
      <c r="AJ539" s="312" t="s">
        <v>1</v>
      </c>
      <c r="AK539" s="312" t="s">
        <v>1</v>
      </c>
      <c r="AL539" s="286" t="s">
        <v>1</v>
      </c>
      <c r="AM539" s="288" t="s">
        <v>1</v>
      </c>
      <c r="AN539" s="289" t="s">
        <v>1</v>
      </c>
      <c r="AO539" s="289" t="s">
        <v>1</v>
      </c>
      <c r="AP539" s="286" t="s">
        <v>1</v>
      </c>
      <c r="AQ539" s="285" t="s">
        <v>1</v>
      </c>
      <c r="AR539" s="289" t="s">
        <v>1</v>
      </c>
      <c r="AS539" s="289" t="s">
        <v>1</v>
      </c>
      <c r="AT539" s="293" t="s">
        <v>1</v>
      </c>
      <c r="AU539" s="289" t="s">
        <v>1</v>
      </c>
      <c r="AV539" s="289" t="s">
        <v>1</v>
      </c>
      <c r="AW539" s="294" t="s">
        <v>1</v>
      </c>
    </row>
    <row r="540" spans="1:49" ht="30.15" customHeight="1" x14ac:dyDescent="0.25">
      <c r="A540" s="213" t="s">
        <v>18</v>
      </c>
      <c r="B540" s="189" t="s">
        <v>1</v>
      </c>
      <c r="C540" s="212" t="s">
        <v>34</v>
      </c>
      <c r="D540" s="190" t="s">
        <v>7</v>
      </c>
      <c r="E540" s="190" t="s">
        <v>1190</v>
      </c>
      <c r="F540" s="203"/>
      <c r="G540" s="190" t="s">
        <v>1203</v>
      </c>
      <c r="H540" s="192" t="s">
        <v>409</v>
      </c>
      <c r="I540" s="193">
        <v>1073.49</v>
      </c>
      <c r="J540" s="193">
        <v>1073.49</v>
      </c>
      <c r="K540" s="193">
        <v>1073.49</v>
      </c>
      <c r="L540" s="193">
        <v>1400</v>
      </c>
      <c r="M540" s="194">
        <v>1400</v>
      </c>
      <c r="N540" s="284">
        <v>560</v>
      </c>
      <c r="O540" s="285">
        <v>11.25</v>
      </c>
      <c r="P540" s="285">
        <v>24</v>
      </c>
      <c r="Q540" s="285">
        <v>614</v>
      </c>
      <c r="R540" s="285" t="s">
        <v>1</v>
      </c>
      <c r="S540" s="286">
        <v>560</v>
      </c>
      <c r="T540" s="285">
        <v>11.25</v>
      </c>
      <c r="U540" s="285">
        <v>24</v>
      </c>
      <c r="V540" s="285">
        <v>614</v>
      </c>
      <c r="W540" s="285" t="s">
        <v>1</v>
      </c>
      <c r="X540" s="286">
        <v>560</v>
      </c>
      <c r="Y540" s="285">
        <v>28.75</v>
      </c>
      <c r="Z540" s="285">
        <v>24</v>
      </c>
      <c r="AA540" s="285">
        <v>614</v>
      </c>
      <c r="AB540" s="285" t="s">
        <v>1</v>
      </c>
      <c r="AC540" s="286">
        <v>560</v>
      </c>
      <c r="AD540" s="285">
        <v>28.75</v>
      </c>
      <c r="AE540" s="285">
        <v>24</v>
      </c>
      <c r="AF540" s="285">
        <v>614</v>
      </c>
      <c r="AG540" s="285" t="s">
        <v>1</v>
      </c>
      <c r="AH540" s="286" t="s">
        <v>1</v>
      </c>
      <c r="AI540" s="312" t="s">
        <v>1</v>
      </c>
      <c r="AJ540" s="312" t="s">
        <v>1</v>
      </c>
      <c r="AK540" s="312" t="s">
        <v>1</v>
      </c>
      <c r="AL540" s="286" t="s">
        <v>1</v>
      </c>
      <c r="AM540" s="288" t="s">
        <v>1</v>
      </c>
      <c r="AN540" s="289" t="s">
        <v>1</v>
      </c>
      <c r="AO540" s="289" t="s">
        <v>1</v>
      </c>
      <c r="AP540" s="286" t="s">
        <v>1</v>
      </c>
      <c r="AQ540" s="285" t="s">
        <v>1</v>
      </c>
      <c r="AR540" s="289" t="s">
        <v>1</v>
      </c>
      <c r="AS540" s="289" t="s">
        <v>1</v>
      </c>
      <c r="AT540" s="293" t="s">
        <v>1</v>
      </c>
      <c r="AU540" s="289" t="s">
        <v>1</v>
      </c>
      <c r="AV540" s="289" t="s">
        <v>1</v>
      </c>
      <c r="AW540" s="294" t="s">
        <v>1</v>
      </c>
    </row>
    <row r="541" spans="1:49" ht="30.15" customHeight="1" x14ac:dyDescent="0.25">
      <c r="A541" s="213" t="s">
        <v>18</v>
      </c>
      <c r="B541" s="189" t="s">
        <v>1</v>
      </c>
      <c r="C541" s="212" t="s">
        <v>34</v>
      </c>
      <c r="D541" s="190" t="s">
        <v>7</v>
      </c>
      <c r="E541" s="190" t="s">
        <v>1191</v>
      </c>
      <c r="F541" s="203"/>
      <c r="G541" s="190" t="s">
        <v>1203</v>
      </c>
      <c r="H541" s="192" t="s">
        <v>409</v>
      </c>
      <c r="I541" s="193">
        <v>1073.49</v>
      </c>
      <c r="J541" s="193">
        <v>1073.49</v>
      </c>
      <c r="K541" s="193">
        <v>1073.49</v>
      </c>
      <c r="L541" s="193">
        <v>1400</v>
      </c>
      <c r="M541" s="194">
        <v>1400</v>
      </c>
      <c r="N541" s="284">
        <v>560</v>
      </c>
      <c r="O541" s="285">
        <v>11.25</v>
      </c>
      <c r="P541" s="285">
        <v>24</v>
      </c>
      <c r="Q541" s="285">
        <v>614</v>
      </c>
      <c r="R541" s="285" t="s">
        <v>1</v>
      </c>
      <c r="S541" s="286">
        <v>560</v>
      </c>
      <c r="T541" s="285">
        <v>11.25</v>
      </c>
      <c r="U541" s="285">
        <v>24</v>
      </c>
      <c r="V541" s="285">
        <v>614</v>
      </c>
      <c r="W541" s="285" t="s">
        <v>1</v>
      </c>
      <c r="X541" s="286">
        <v>560</v>
      </c>
      <c r="Y541" s="285">
        <v>28.75</v>
      </c>
      <c r="Z541" s="285">
        <v>24</v>
      </c>
      <c r="AA541" s="285">
        <v>614</v>
      </c>
      <c r="AB541" s="285" t="s">
        <v>1</v>
      </c>
      <c r="AC541" s="286">
        <v>560</v>
      </c>
      <c r="AD541" s="285">
        <v>28.75</v>
      </c>
      <c r="AE541" s="285">
        <v>24</v>
      </c>
      <c r="AF541" s="285">
        <v>614</v>
      </c>
      <c r="AG541" s="285" t="s">
        <v>1</v>
      </c>
      <c r="AH541" s="286" t="s">
        <v>1</v>
      </c>
      <c r="AI541" s="312" t="s">
        <v>1</v>
      </c>
      <c r="AJ541" s="312" t="s">
        <v>1</v>
      </c>
      <c r="AK541" s="312" t="s">
        <v>1</v>
      </c>
      <c r="AL541" s="286" t="s">
        <v>1</v>
      </c>
      <c r="AM541" s="288" t="s">
        <v>1</v>
      </c>
      <c r="AN541" s="289" t="s">
        <v>1</v>
      </c>
      <c r="AO541" s="289" t="s">
        <v>1</v>
      </c>
      <c r="AP541" s="286" t="s">
        <v>1</v>
      </c>
      <c r="AQ541" s="285" t="s">
        <v>1</v>
      </c>
      <c r="AR541" s="289" t="s">
        <v>1</v>
      </c>
      <c r="AS541" s="289" t="s">
        <v>1</v>
      </c>
      <c r="AT541" s="293" t="s">
        <v>1</v>
      </c>
      <c r="AU541" s="289" t="s">
        <v>1</v>
      </c>
      <c r="AV541" s="289" t="s">
        <v>1</v>
      </c>
      <c r="AW541" s="294" t="s">
        <v>1</v>
      </c>
    </row>
    <row r="542" spans="1:49" ht="30.15" customHeight="1" x14ac:dyDescent="0.25">
      <c r="A542" s="213" t="s">
        <v>18</v>
      </c>
      <c r="B542" s="189" t="s">
        <v>1</v>
      </c>
      <c r="C542" s="212" t="s">
        <v>34</v>
      </c>
      <c r="D542" s="190" t="s">
        <v>7</v>
      </c>
      <c r="E542" s="190" t="s">
        <v>1192</v>
      </c>
      <c r="F542" s="203"/>
      <c r="G542" s="190" t="s">
        <v>1203</v>
      </c>
      <c r="H542" s="192" t="s">
        <v>409</v>
      </c>
      <c r="I542" s="193">
        <v>1073.49</v>
      </c>
      <c r="J542" s="193">
        <v>1073.49</v>
      </c>
      <c r="K542" s="193">
        <v>1073.49</v>
      </c>
      <c r="L542" s="193">
        <v>1400</v>
      </c>
      <c r="M542" s="194">
        <v>1400</v>
      </c>
      <c r="N542" s="284">
        <v>560</v>
      </c>
      <c r="O542" s="285">
        <v>11.25</v>
      </c>
      <c r="P542" s="285">
        <v>24</v>
      </c>
      <c r="Q542" s="285">
        <v>614</v>
      </c>
      <c r="R542" s="285" t="s">
        <v>1</v>
      </c>
      <c r="S542" s="286">
        <v>560</v>
      </c>
      <c r="T542" s="285">
        <v>11.25</v>
      </c>
      <c r="U542" s="285">
        <v>24</v>
      </c>
      <c r="V542" s="285">
        <v>614</v>
      </c>
      <c r="W542" s="285" t="s">
        <v>1</v>
      </c>
      <c r="X542" s="286">
        <v>560</v>
      </c>
      <c r="Y542" s="285">
        <v>28.75</v>
      </c>
      <c r="Z542" s="285">
        <v>24</v>
      </c>
      <c r="AA542" s="285">
        <v>614</v>
      </c>
      <c r="AB542" s="285" t="s">
        <v>1</v>
      </c>
      <c r="AC542" s="286">
        <v>560</v>
      </c>
      <c r="AD542" s="285">
        <v>28.75</v>
      </c>
      <c r="AE542" s="285">
        <v>24</v>
      </c>
      <c r="AF542" s="285">
        <v>614</v>
      </c>
      <c r="AG542" s="285" t="s">
        <v>1</v>
      </c>
      <c r="AH542" s="286" t="s">
        <v>1</v>
      </c>
      <c r="AI542" s="312" t="s">
        <v>1</v>
      </c>
      <c r="AJ542" s="312" t="s">
        <v>1</v>
      </c>
      <c r="AK542" s="312" t="s">
        <v>1</v>
      </c>
      <c r="AL542" s="286" t="s">
        <v>1</v>
      </c>
      <c r="AM542" s="288" t="s">
        <v>1</v>
      </c>
      <c r="AN542" s="289" t="s">
        <v>1</v>
      </c>
      <c r="AO542" s="289" t="s">
        <v>1</v>
      </c>
      <c r="AP542" s="286" t="s">
        <v>1</v>
      </c>
      <c r="AQ542" s="285" t="s">
        <v>1</v>
      </c>
      <c r="AR542" s="289" t="s">
        <v>1</v>
      </c>
      <c r="AS542" s="289" t="s">
        <v>1</v>
      </c>
      <c r="AT542" s="293" t="s">
        <v>1</v>
      </c>
      <c r="AU542" s="289" t="s">
        <v>1</v>
      </c>
      <c r="AV542" s="289" t="s">
        <v>1</v>
      </c>
      <c r="AW542" s="294" t="s">
        <v>1</v>
      </c>
    </row>
    <row r="543" spans="1:49" ht="30.15" customHeight="1" x14ac:dyDescent="0.25">
      <c r="A543" s="213" t="s">
        <v>18</v>
      </c>
      <c r="B543" s="189" t="s">
        <v>1</v>
      </c>
      <c r="C543" s="212" t="s">
        <v>34</v>
      </c>
      <c r="D543" s="190" t="s">
        <v>7</v>
      </c>
      <c r="E543" s="190" t="s">
        <v>1193</v>
      </c>
      <c r="F543" s="203"/>
      <c r="G543" s="190" t="s">
        <v>1203</v>
      </c>
      <c r="H543" s="192" t="s">
        <v>409</v>
      </c>
      <c r="I543" s="193">
        <v>1073.49</v>
      </c>
      <c r="J543" s="193">
        <v>1073.49</v>
      </c>
      <c r="K543" s="193">
        <v>1073.49</v>
      </c>
      <c r="L543" s="193">
        <v>1400</v>
      </c>
      <c r="M543" s="194">
        <v>1400</v>
      </c>
      <c r="N543" s="284">
        <v>560</v>
      </c>
      <c r="O543" s="285">
        <v>11.25</v>
      </c>
      <c r="P543" s="285">
        <v>24</v>
      </c>
      <c r="Q543" s="285">
        <v>614</v>
      </c>
      <c r="R543" s="285" t="s">
        <v>1</v>
      </c>
      <c r="S543" s="286">
        <v>560</v>
      </c>
      <c r="T543" s="285">
        <v>11.25</v>
      </c>
      <c r="U543" s="285">
        <v>24</v>
      </c>
      <c r="V543" s="285">
        <v>614</v>
      </c>
      <c r="W543" s="285" t="s">
        <v>1</v>
      </c>
      <c r="X543" s="286">
        <v>560</v>
      </c>
      <c r="Y543" s="285">
        <v>28.75</v>
      </c>
      <c r="Z543" s="285">
        <v>24</v>
      </c>
      <c r="AA543" s="285">
        <v>614</v>
      </c>
      <c r="AB543" s="285" t="s">
        <v>1</v>
      </c>
      <c r="AC543" s="286">
        <v>560</v>
      </c>
      <c r="AD543" s="285">
        <v>28.75</v>
      </c>
      <c r="AE543" s="285">
        <v>24</v>
      </c>
      <c r="AF543" s="285">
        <v>614</v>
      </c>
      <c r="AG543" s="285" t="s">
        <v>1</v>
      </c>
      <c r="AH543" s="286" t="s">
        <v>1</v>
      </c>
      <c r="AI543" s="312" t="s">
        <v>1</v>
      </c>
      <c r="AJ543" s="312" t="s">
        <v>1</v>
      </c>
      <c r="AK543" s="312" t="s">
        <v>1</v>
      </c>
      <c r="AL543" s="286" t="s">
        <v>1</v>
      </c>
      <c r="AM543" s="288" t="s">
        <v>1</v>
      </c>
      <c r="AN543" s="289" t="s">
        <v>1</v>
      </c>
      <c r="AO543" s="289" t="s">
        <v>1</v>
      </c>
      <c r="AP543" s="286" t="s">
        <v>1</v>
      </c>
      <c r="AQ543" s="285" t="s">
        <v>1</v>
      </c>
      <c r="AR543" s="289" t="s">
        <v>1</v>
      </c>
      <c r="AS543" s="289" t="s">
        <v>1</v>
      </c>
      <c r="AT543" s="293" t="s">
        <v>1</v>
      </c>
      <c r="AU543" s="289" t="s">
        <v>1</v>
      </c>
      <c r="AV543" s="289" t="s">
        <v>1</v>
      </c>
      <c r="AW543" s="294" t="s">
        <v>1</v>
      </c>
    </row>
    <row r="544" spans="1:49" ht="30.15" customHeight="1" x14ac:dyDescent="0.25">
      <c r="A544" s="213" t="s">
        <v>18</v>
      </c>
      <c r="B544" s="189" t="s">
        <v>1</v>
      </c>
      <c r="C544" s="212" t="s">
        <v>34</v>
      </c>
      <c r="D544" s="190" t="s">
        <v>7</v>
      </c>
      <c r="E544" s="190" t="s">
        <v>1194</v>
      </c>
      <c r="F544" s="203"/>
      <c r="G544" s="190" t="s">
        <v>1204</v>
      </c>
      <c r="H544" s="192" t="s">
        <v>409</v>
      </c>
      <c r="I544" s="193">
        <v>1139.99</v>
      </c>
      <c r="J544" s="193">
        <v>1139.99</v>
      </c>
      <c r="K544" s="193">
        <v>1139.99</v>
      </c>
      <c r="L544" s="193">
        <v>1485</v>
      </c>
      <c r="M544" s="194">
        <v>1485</v>
      </c>
      <c r="N544" s="284">
        <v>594</v>
      </c>
      <c r="O544" s="285">
        <v>11.879999999999999</v>
      </c>
      <c r="P544" s="285">
        <v>24</v>
      </c>
      <c r="Q544" s="285">
        <v>628</v>
      </c>
      <c r="R544" s="285" t="s">
        <v>1</v>
      </c>
      <c r="S544" s="286">
        <v>594</v>
      </c>
      <c r="T544" s="285">
        <v>11.879999999999999</v>
      </c>
      <c r="U544" s="285">
        <v>24</v>
      </c>
      <c r="V544" s="285">
        <v>628</v>
      </c>
      <c r="W544" s="285" t="s">
        <v>1</v>
      </c>
      <c r="X544" s="286">
        <v>594</v>
      </c>
      <c r="Y544" s="285">
        <v>28.75</v>
      </c>
      <c r="Z544" s="285">
        <v>24</v>
      </c>
      <c r="AA544" s="285">
        <v>628</v>
      </c>
      <c r="AB544" s="285" t="s">
        <v>1</v>
      </c>
      <c r="AC544" s="286">
        <v>594</v>
      </c>
      <c r="AD544" s="285">
        <v>28.75</v>
      </c>
      <c r="AE544" s="285">
        <v>24</v>
      </c>
      <c r="AF544" s="285">
        <v>628</v>
      </c>
      <c r="AG544" s="285" t="s">
        <v>1</v>
      </c>
      <c r="AH544" s="286" t="s">
        <v>1</v>
      </c>
      <c r="AI544" s="312" t="s">
        <v>1</v>
      </c>
      <c r="AJ544" s="312" t="s">
        <v>1</v>
      </c>
      <c r="AK544" s="312" t="s">
        <v>1</v>
      </c>
      <c r="AL544" s="286" t="s">
        <v>1</v>
      </c>
      <c r="AM544" s="288" t="s">
        <v>1</v>
      </c>
      <c r="AN544" s="289" t="s">
        <v>1</v>
      </c>
      <c r="AO544" s="289" t="s">
        <v>1</v>
      </c>
      <c r="AP544" s="286" t="s">
        <v>1</v>
      </c>
      <c r="AQ544" s="285" t="s">
        <v>1</v>
      </c>
      <c r="AR544" s="289" t="s">
        <v>1</v>
      </c>
      <c r="AS544" s="289" t="s">
        <v>1</v>
      </c>
      <c r="AT544" s="293" t="s">
        <v>1</v>
      </c>
      <c r="AU544" s="289" t="s">
        <v>1</v>
      </c>
      <c r="AV544" s="289" t="s">
        <v>1</v>
      </c>
      <c r="AW544" s="294" t="s">
        <v>1</v>
      </c>
    </row>
    <row r="545" spans="1:49" ht="30.15" customHeight="1" x14ac:dyDescent="0.25">
      <c r="A545" s="213" t="s">
        <v>18</v>
      </c>
      <c r="B545" s="189" t="s">
        <v>1</v>
      </c>
      <c r="C545" s="212" t="s">
        <v>34</v>
      </c>
      <c r="D545" s="190" t="s">
        <v>7</v>
      </c>
      <c r="E545" s="190" t="s">
        <v>1195</v>
      </c>
      <c r="F545" s="203"/>
      <c r="G545" s="190" t="s">
        <v>1205</v>
      </c>
      <c r="H545" s="192" t="s">
        <v>409</v>
      </c>
      <c r="I545" s="193">
        <v>1329.99</v>
      </c>
      <c r="J545" s="193">
        <v>1329.99</v>
      </c>
      <c r="K545" s="193">
        <v>1329.99</v>
      </c>
      <c r="L545" s="193">
        <v>1730</v>
      </c>
      <c r="M545" s="194">
        <v>1730</v>
      </c>
      <c r="N545" s="284">
        <v>692</v>
      </c>
      <c r="O545" s="285">
        <v>13.75</v>
      </c>
      <c r="P545" s="285">
        <v>24</v>
      </c>
      <c r="Q545" s="285">
        <v>640</v>
      </c>
      <c r="R545" s="285" t="s">
        <v>1</v>
      </c>
      <c r="S545" s="286">
        <v>692</v>
      </c>
      <c r="T545" s="285">
        <v>13.75</v>
      </c>
      <c r="U545" s="285">
        <v>24</v>
      </c>
      <c r="V545" s="285">
        <v>640</v>
      </c>
      <c r="W545" s="285" t="s">
        <v>1</v>
      </c>
      <c r="X545" s="286">
        <v>692</v>
      </c>
      <c r="Y545" s="285">
        <v>32.42</v>
      </c>
      <c r="Z545" s="285">
        <v>24</v>
      </c>
      <c r="AA545" s="285">
        <v>640</v>
      </c>
      <c r="AB545" s="285" t="s">
        <v>1</v>
      </c>
      <c r="AC545" s="286">
        <v>692</v>
      </c>
      <c r="AD545" s="285">
        <v>32.42</v>
      </c>
      <c r="AE545" s="285">
        <v>24</v>
      </c>
      <c r="AF545" s="285">
        <v>640</v>
      </c>
      <c r="AG545" s="285" t="s">
        <v>1</v>
      </c>
      <c r="AH545" s="286" t="s">
        <v>1</v>
      </c>
      <c r="AI545" s="312" t="s">
        <v>1</v>
      </c>
      <c r="AJ545" s="312" t="s">
        <v>1</v>
      </c>
      <c r="AK545" s="312" t="s">
        <v>1</v>
      </c>
      <c r="AL545" s="286" t="s">
        <v>1</v>
      </c>
      <c r="AM545" s="288" t="s">
        <v>1</v>
      </c>
      <c r="AN545" s="289" t="s">
        <v>1</v>
      </c>
      <c r="AO545" s="289" t="s">
        <v>1</v>
      </c>
      <c r="AP545" s="286" t="s">
        <v>1</v>
      </c>
      <c r="AQ545" s="285" t="s">
        <v>1</v>
      </c>
      <c r="AR545" s="289" t="s">
        <v>1</v>
      </c>
      <c r="AS545" s="289" t="s">
        <v>1</v>
      </c>
      <c r="AT545" s="293" t="s">
        <v>1</v>
      </c>
      <c r="AU545" s="289" t="s">
        <v>1</v>
      </c>
      <c r="AV545" s="289" t="s">
        <v>1</v>
      </c>
      <c r="AW545" s="294" t="s">
        <v>1</v>
      </c>
    </row>
    <row r="546" spans="1:49" ht="30.15" customHeight="1" x14ac:dyDescent="0.25">
      <c r="A546" s="213" t="s">
        <v>18</v>
      </c>
      <c r="B546" s="189" t="s">
        <v>1</v>
      </c>
      <c r="C546" s="212" t="s">
        <v>34</v>
      </c>
      <c r="D546" s="190" t="s">
        <v>7</v>
      </c>
      <c r="E546" s="190" t="s">
        <v>1196</v>
      </c>
      <c r="F546" s="203"/>
      <c r="G546" s="190" t="s">
        <v>1205</v>
      </c>
      <c r="H546" s="192" t="s">
        <v>409</v>
      </c>
      <c r="I546" s="193">
        <v>1329.99</v>
      </c>
      <c r="J546" s="193">
        <v>1329.99</v>
      </c>
      <c r="K546" s="193">
        <v>1329.99</v>
      </c>
      <c r="L546" s="193">
        <v>1730</v>
      </c>
      <c r="M546" s="194">
        <v>1730</v>
      </c>
      <c r="N546" s="284">
        <v>692</v>
      </c>
      <c r="O546" s="285">
        <v>13.75</v>
      </c>
      <c r="P546" s="285">
        <v>24</v>
      </c>
      <c r="Q546" s="285">
        <v>640</v>
      </c>
      <c r="R546" s="285" t="s">
        <v>1</v>
      </c>
      <c r="S546" s="286">
        <v>692</v>
      </c>
      <c r="T546" s="285">
        <v>13.75</v>
      </c>
      <c r="U546" s="285">
        <v>24</v>
      </c>
      <c r="V546" s="285">
        <v>640</v>
      </c>
      <c r="W546" s="285" t="s">
        <v>1</v>
      </c>
      <c r="X546" s="286">
        <v>692</v>
      </c>
      <c r="Y546" s="285">
        <v>32.42</v>
      </c>
      <c r="Z546" s="285">
        <v>24</v>
      </c>
      <c r="AA546" s="285">
        <v>640</v>
      </c>
      <c r="AB546" s="285" t="s">
        <v>1</v>
      </c>
      <c r="AC546" s="286">
        <v>692</v>
      </c>
      <c r="AD546" s="285">
        <v>32.42</v>
      </c>
      <c r="AE546" s="285">
        <v>24</v>
      </c>
      <c r="AF546" s="285">
        <v>640</v>
      </c>
      <c r="AG546" s="285" t="s">
        <v>1</v>
      </c>
      <c r="AH546" s="286" t="s">
        <v>1</v>
      </c>
      <c r="AI546" s="312" t="s">
        <v>1</v>
      </c>
      <c r="AJ546" s="312" t="s">
        <v>1</v>
      </c>
      <c r="AK546" s="312" t="s">
        <v>1</v>
      </c>
      <c r="AL546" s="286" t="s">
        <v>1</v>
      </c>
      <c r="AM546" s="288" t="s">
        <v>1</v>
      </c>
      <c r="AN546" s="289" t="s">
        <v>1</v>
      </c>
      <c r="AO546" s="289" t="s">
        <v>1</v>
      </c>
      <c r="AP546" s="286" t="s">
        <v>1</v>
      </c>
      <c r="AQ546" s="285" t="s">
        <v>1</v>
      </c>
      <c r="AR546" s="289" t="s">
        <v>1</v>
      </c>
      <c r="AS546" s="289" t="s">
        <v>1</v>
      </c>
      <c r="AT546" s="293" t="s">
        <v>1</v>
      </c>
      <c r="AU546" s="289" t="s">
        <v>1</v>
      </c>
      <c r="AV546" s="289" t="s">
        <v>1</v>
      </c>
      <c r="AW546" s="294" t="s">
        <v>1</v>
      </c>
    </row>
    <row r="547" spans="1:49" ht="30.15" customHeight="1" x14ac:dyDescent="0.25">
      <c r="A547" s="213" t="s">
        <v>18</v>
      </c>
      <c r="B547" s="189" t="s">
        <v>1</v>
      </c>
      <c r="C547" s="212" t="s">
        <v>34</v>
      </c>
      <c r="D547" s="190" t="s">
        <v>7</v>
      </c>
      <c r="E547" s="190" t="s">
        <v>1197</v>
      </c>
      <c r="F547" s="203"/>
      <c r="G547" s="190" t="s">
        <v>1205</v>
      </c>
      <c r="H547" s="192" t="s">
        <v>409</v>
      </c>
      <c r="I547" s="193">
        <v>1329.99</v>
      </c>
      <c r="J547" s="193">
        <v>1329.99</v>
      </c>
      <c r="K547" s="193">
        <v>1329.99</v>
      </c>
      <c r="L547" s="193">
        <v>1730</v>
      </c>
      <c r="M547" s="194">
        <v>1730</v>
      </c>
      <c r="N547" s="284">
        <v>692</v>
      </c>
      <c r="O547" s="285">
        <v>13.75</v>
      </c>
      <c r="P547" s="285">
        <v>24</v>
      </c>
      <c r="Q547" s="285">
        <v>640</v>
      </c>
      <c r="R547" s="285" t="s">
        <v>1</v>
      </c>
      <c r="S547" s="286">
        <v>692</v>
      </c>
      <c r="T547" s="285">
        <v>13.75</v>
      </c>
      <c r="U547" s="285">
        <v>24</v>
      </c>
      <c r="V547" s="285">
        <v>640</v>
      </c>
      <c r="W547" s="285" t="s">
        <v>1</v>
      </c>
      <c r="X547" s="286">
        <v>692</v>
      </c>
      <c r="Y547" s="285">
        <v>32.42</v>
      </c>
      <c r="Z547" s="285">
        <v>24</v>
      </c>
      <c r="AA547" s="285">
        <v>640</v>
      </c>
      <c r="AB547" s="285" t="s">
        <v>1</v>
      </c>
      <c r="AC547" s="286">
        <v>692</v>
      </c>
      <c r="AD547" s="285">
        <v>32.42</v>
      </c>
      <c r="AE547" s="285">
        <v>24</v>
      </c>
      <c r="AF547" s="285">
        <v>640</v>
      </c>
      <c r="AG547" s="285" t="s">
        <v>1</v>
      </c>
      <c r="AH547" s="286" t="s">
        <v>1</v>
      </c>
      <c r="AI547" s="312" t="s">
        <v>1</v>
      </c>
      <c r="AJ547" s="312" t="s">
        <v>1</v>
      </c>
      <c r="AK547" s="312" t="s">
        <v>1</v>
      </c>
      <c r="AL547" s="286" t="s">
        <v>1</v>
      </c>
      <c r="AM547" s="288" t="s">
        <v>1</v>
      </c>
      <c r="AN547" s="289" t="s">
        <v>1</v>
      </c>
      <c r="AO547" s="289" t="s">
        <v>1</v>
      </c>
      <c r="AP547" s="286" t="s">
        <v>1</v>
      </c>
      <c r="AQ547" s="285" t="s">
        <v>1</v>
      </c>
      <c r="AR547" s="289" t="s">
        <v>1</v>
      </c>
      <c r="AS547" s="289" t="s">
        <v>1</v>
      </c>
      <c r="AT547" s="293" t="s">
        <v>1</v>
      </c>
      <c r="AU547" s="289" t="s">
        <v>1</v>
      </c>
      <c r="AV547" s="289" t="s">
        <v>1</v>
      </c>
      <c r="AW547" s="294" t="s">
        <v>1</v>
      </c>
    </row>
    <row r="548" spans="1:49" ht="30.15" customHeight="1" x14ac:dyDescent="0.25">
      <c r="A548" s="213" t="s">
        <v>18</v>
      </c>
      <c r="B548" s="189" t="s">
        <v>1</v>
      </c>
      <c r="C548" s="212" t="s">
        <v>34</v>
      </c>
      <c r="D548" s="190" t="s">
        <v>7</v>
      </c>
      <c r="E548" s="190" t="s">
        <v>1210</v>
      </c>
      <c r="F548" s="203"/>
      <c r="G548" s="190" t="s">
        <v>1205</v>
      </c>
      <c r="H548" s="192" t="s">
        <v>7</v>
      </c>
      <c r="I548" s="193">
        <v>1329.99</v>
      </c>
      <c r="J548" s="193">
        <v>1329.99</v>
      </c>
      <c r="K548" s="193">
        <v>1329.99</v>
      </c>
      <c r="L548" s="193">
        <v>1730</v>
      </c>
      <c r="M548" s="194">
        <v>1730</v>
      </c>
      <c r="N548" s="284">
        <v>692</v>
      </c>
      <c r="O548" s="285">
        <v>13.75</v>
      </c>
      <c r="P548" s="285">
        <v>24</v>
      </c>
      <c r="Q548" s="285">
        <v>640</v>
      </c>
      <c r="R548" s="285" t="s">
        <v>1</v>
      </c>
      <c r="S548" s="286">
        <v>692</v>
      </c>
      <c r="T548" s="285">
        <v>13.75</v>
      </c>
      <c r="U548" s="285">
        <v>24</v>
      </c>
      <c r="V548" s="285">
        <v>640</v>
      </c>
      <c r="W548" s="285" t="s">
        <v>1</v>
      </c>
      <c r="X548" s="286">
        <v>692</v>
      </c>
      <c r="Y548" s="285">
        <v>32.42</v>
      </c>
      <c r="Z548" s="285">
        <v>24</v>
      </c>
      <c r="AA548" s="285">
        <v>640</v>
      </c>
      <c r="AB548" s="285" t="s">
        <v>1</v>
      </c>
      <c r="AC548" s="286">
        <v>692</v>
      </c>
      <c r="AD548" s="285">
        <v>32.42</v>
      </c>
      <c r="AE548" s="285">
        <v>24</v>
      </c>
      <c r="AF548" s="285">
        <v>640</v>
      </c>
      <c r="AG548" s="285" t="s">
        <v>1</v>
      </c>
      <c r="AH548" s="286" t="s">
        <v>1</v>
      </c>
      <c r="AI548" s="312" t="s">
        <v>1</v>
      </c>
      <c r="AJ548" s="312" t="s">
        <v>1</v>
      </c>
      <c r="AK548" s="312" t="s">
        <v>1</v>
      </c>
      <c r="AL548" s="286" t="s">
        <v>1</v>
      </c>
      <c r="AM548" s="288" t="s">
        <v>1</v>
      </c>
      <c r="AN548" s="289" t="s">
        <v>1</v>
      </c>
      <c r="AO548" s="289" t="s">
        <v>1</v>
      </c>
      <c r="AP548" s="286" t="s">
        <v>1</v>
      </c>
      <c r="AQ548" s="285" t="s">
        <v>1</v>
      </c>
      <c r="AR548" s="289" t="s">
        <v>1</v>
      </c>
      <c r="AS548" s="289" t="s">
        <v>1</v>
      </c>
      <c r="AT548" s="293" t="s">
        <v>1</v>
      </c>
      <c r="AU548" s="289" t="s">
        <v>1</v>
      </c>
      <c r="AV548" s="289" t="s">
        <v>1</v>
      </c>
      <c r="AW548" s="294" t="s">
        <v>1</v>
      </c>
    </row>
    <row r="549" spans="1:49" ht="30.15" customHeight="1" x14ac:dyDescent="0.25">
      <c r="A549" s="213" t="s">
        <v>18</v>
      </c>
      <c r="B549" s="189" t="s">
        <v>1</v>
      </c>
      <c r="C549" s="212" t="s">
        <v>34</v>
      </c>
      <c r="D549" s="190" t="s">
        <v>7</v>
      </c>
      <c r="E549" s="190" t="s">
        <v>1211</v>
      </c>
      <c r="F549" s="203"/>
      <c r="G549" s="190" t="s">
        <v>1205</v>
      </c>
      <c r="H549" s="192" t="s">
        <v>7</v>
      </c>
      <c r="I549" s="193">
        <v>1329.99</v>
      </c>
      <c r="J549" s="193">
        <v>1329.99</v>
      </c>
      <c r="K549" s="193">
        <v>1329.99</v>
      </c>
      <c r="L549" s="193">
        <v>1730</v>
      </c>
      <c r="M549" s="194">
        <v>1730</v>
      </c>
      <c r="N549" s="284">
        <v>692</v>
      </c>
      <c r="O549" s="285">
        <v>13.75</v>
      </c>
      <c r="P549" s="285">
        <v>24</v>
      </c>
      <c r="Q549" s="285">
        <v>640</v>
      </c>
      <c r="R549" s="285" t="s">
        <v>1</v>
      </c>
      <c r="S549" s="286">
        <v>692</v>
      </c>
      <c r="T549" s="285">
        <v>13.75</v>
      </c>
      <c r="U549" s="285">
        <v>24</v>
      </c>
      <c r="V549" s="285">
        <v>640</v>
      </c>
      <c r="W549" s="285" t="s">
        <v>1</v>
      </c>
      <c r="X549" s="286">
        <v>692</v>
      </c>
      <c r="Y549" s="285">
        <v>32.42</v>
      </c>
      <c r="Z549" s="285">
        <v>24</v>
      </c>
      <c r="AA549" s="285">
        <v>640</v>
      </c>
      <c r="AB549" s="285" t="s">
        <v>1</v>
      </c>
      <c r="AC549" s="286">
        <v>692</v>
      </c>
      <c r="AD549" s="285">
        <v>32.42</v>
      </c>
      <c r="AE549" s="285">
        <v>24</v>
      </c>
      <c r="AF549" s="285">
        <v>640</v>
      </c>
      <c r="AG549" s="285" t="s">
        <v>1</v>
      </c>
      <c r="AH549" s="286" t="s">
        <v>1</v>
      </c>
      <c r="AI549" s="312" t="s">
        <v>1</v>
      </c>
      <c r="AJ549" s="312" t="s">
        <v>1</v>
      </c>
      <c r="AK549" s="312" t="s">
        <v>1</v>
      </c>
      <c r="AL549" s="286" t="s">
        <v>1</v>
      </c>
      <c r="AM549" s="288" t="s">
        <v>1</v>
      </c>
      <c r="AN549" s="289" t="s">
        <v>1</v>
      </c>
      <c r="AO549" s="289" t="s">
        <v>1</v>
      </c>
      <c r="AP549" s="286" t="s">
        <v>1</v>
      </c>
      <c r="AQ549" s="285" t="s">
        <v>1</v>
      </c>
      <c r="AR549" s="289" t="s">
        <v>1</v>
      </c>
      <c r="AS549" s="289" t="s">
        <v>1</v>
      </c>
      <c r="AT549" s="293" t="s">
        <v>1</v>
      </c>
      <c r="AU549" s="289" t="s">
        <v>1</v>
      </c>
      <c r="AV549" s="289" t="s">
        <v>1</v>
      </c>
      <c r="AW549" s="294" t="s">
        <v>1</v>
      </c>
    </row>
    <row r="550" spans="1:49" ht="30.15" customHeight="1" x14ac:dyDescent="0.25">
      <c r="A550" s="213" t="s">
        <v>18</v>
      </c>
      <c r="B550" s="189" t="s">
        <v>1</v>
      </c>
      <c r="C550" s="212" t="s">
        <v>34</v>
      </c>
      <c r="D550" s="190" t="s">
        <v>7</v>
      </c>
      <c r="E550" s="190" t="s">
        <v>1212</v>
      </c>
      <c r="F550" s="203"/>
      <c r="G550" s="190" t="s">
        <v>1205</v>
      </c>
      <c r="H550" s="192" t="s">
        <v>7</v>
      </c>
      <c r="I550" s="193">
        <v>1329.99</v>
      </c>
      <c r="J550" s="193">
        <v>1329.99</v>
      </c>
      <c r="K550" s="193">
        <v>1329.99</v>
      </c>
      <c r="L550" s="193">
        <v>1730</v>
      </c>
      <c r="M550" s="194">
        <v>1730</v>
      </c>
      <c r="N550" s="284">
        <v>692</v>
      </c>
      <c r="O550" s="285">
        <v>13.75</v>
      </c>
      <c r="P550" s="285">
        <v>24</v>
      </c>
      <c r="Q550" s="285">
        <v>640</v>
      </c>
      <c r="R550" s="285" t="s">
        <v>1</v>
      </c>
      <c r="S550" s="286">
        <v>692</v>
      </c>
      <c r="T550" s="285">
        <v>13.75</v>
      </c>
      <c r="U550" s="285">
        <v>24</v>
      </c>
      <c r="V550" s="285">
        <v>640</v>
      </c>
      <c r="W550" s="285" t="s">
        <v>1</v>
      </c>
      <c r="X550" s="286">
        <v>692</v>
      </c>
      <c r="Y550" s="285">
        <v>32.42</v>
      </c>
      <c r="Z550" s="285">
        <v>24</v>
      </c>
      <c r="AA550" s="285">
        <v>640</v>
      </c>
      <c r="AB550" s="285" t="s">
        <v>1</v>
      </c>
      <c r="AC550" s="286">
        <v>692</v>
      </c>
      <c r="AD550" s="285">
        <v>32.42</v>
      </c>
      <c r="AE550" s="285">
        <v>24</v>
      </c>
      <c r="AF550" s="285">
        <v>640</v>
      </c>
      <c r="AG550" s="285" t="s">
        <v>1</v>
      </c>
      <c r="AH550" s="286" t="s">
        <v>1</v>
      </c>
      <c r="AI550" s="312" t="s">
        <v>1</v>
      </c>
      <c r="AJ550" s="312" t="s">
        <v>1</v>
      </c>
      <c r="AK550" s="312" t="s">
        <v>1</v>
      </c>
      <c r="AL550" s="286" t="s">
        <v>1</v>
      </c>
      <c r="AM550" s="288" t="s">
        <v>1</v>
      </c>
      <c r="AN550" s="289" t="s">
        <v>1</v>
      </c>
      <c r="AO550" s="289" t="s">
        <v>1</v>
      </c>
      <c r="AP550" s="286" t="s">
        <v>1</v>
      </c>
      <c r="AQ550" s="285" t="s">
        <v>1</v>
      </c>
      <c r="AR550" s="289" t="s">
        <v>1</v>
      </c>
      <c r="AS550" s="289" t="s">
        <v>1</v>
      </c>
      <c r="AT550" s="293" t="s">
        <v>1</v>
      </c>
      <c r="AU550" s="289" t="s">
        <v>1</v>
      </c>
      <c r="AV550" s="289" t="s">
        <v>1</v>
      </c>
      <c r="AW550" s="294" t="s">
        <v>1</v>
      </c>
    </row>
    <row r="551" spans="1:49" ht="30.15" customHeight="1" x14ac:dyDescent="0.25">
      <c r="A551" s="213" t="s">
        <v>18</v>
      </c>
      <c r="B551" s="189" t="s">
        <v>1</v>
      </c>
      <c r="C551" s="212" t="s">
        <v>34</v>
      </c>
      <c r="D551" s="190" t="s">
        <v>7</v>
      </c>
      <c r="E551" s="190" t="s">
        <v>1198</v>
      </c>
      <c r="F551" s="203"/>
      <c r="G551" s="190" t="s">
        <v>1206</v>
      </c>
      <c r="H551" s="192" t="s">
        <v>409</v>
      </c>
      <c r="I551" s="193">
        <v>1396.49</v>
      </c>
      <c r="J551" s="193">
        <v>1396.49</v>
      </c>
      <c r="K551" s="193">
        <v>1396.49</v>
      </c>
      <c r="L551" s="193">
        <v>1820</v>
      </c>
      <c r="M551" s="194">
        <v>1820</v>
      </c>
      <c r="N551" s="284">
        <v>728</v>
      </c>
      <c r="O551" s="285">
        <v>14.59</v>
      </c>
      <c r="P551" s="285">
        <v>24</v>
      </c>
      <c r="Q551" s="285">
        <v>650</v>
      </c>
      <c r="R551" s="285" t="s">
        <v>1</v>
      </c>
      <c r="S551" s="286">
        <v>728</v>
      </c>
      <c r="T551" s="285">
        <v>14.59</v>
      </c>
      <c r="U551" s="285">
        <v>24</v>
      </c>
      <c r="V551" s="285">
        <v>650</v>
      </c>
      <c r="W551" s="285" t="s">
        <v>1</v>
      </c>
      <c r="X551" s="286">
        <v>728</v>
      </c>
      <c r="Y551" s="285">
        <v>32.42</v>
      </c>
      <c r="Z551" s="285">
        <v>24</v>
      </c>
      <c r="AA551" s="285">
        <v>650</v>
      </c>
      <c r="AB551" s="285" t="s">
        <v>1</v>
      </c>
      <c r="AC551" s="286">
        <v>728</v>
      </c>
      <c r="AD551" s="285">
        <v>32.42</v>
      </c>
      <c r="AE551" s="285">
        <v>24</v>
      </c>
      <c r="AF551" s="285">
        <v>650</v>
      </c>
      <c r="AG551" s="285" t="s">
        <v>1</v>
      </c>
      <c r="AH551" s="286" t="s">
        <v>1</v>
      </c>
      <c r="AI551" s="312" t="s">
        <v>1</v>
      </c>
      <c r="AJ551" s="312" t="s">
        <v>1</v>
      </c>
      <c r="AK551" s="312" t="s">
        <v>1</v>
      </c>
      <c r="AL551" s="286" t="s">
        <v>1</v>
      </c>
      <c r="AM551" s="288" t="s">
        <v>1</v>
      </c>
      <c r="AN551" s="289" t="s">
        <v>1</v>
      </c>
      <c r="AO551" s="289" t="s">
        <v>1</v>
      </c>
      <c r="AP551" s="286" t="s">
        <v>1</v>
      </c>
      <c r="AQ551" s="285" t="s">
        <v>1</v>
      </c>
      <c r="AR551" s="289" t="s">
        <v>1</v>
      </c>
      <c r="AS551" s="289" t="s">
        <v>1</v>
      </c>
      <c r="AT551" s="293" t="s">
        <v>1</v>
      </c>
      <c r="AU551" s="289" t="s">
        <v>1</v>
      </c>
      <c r="AV551" s="289" t="s">
        <v>1</v>
      </c>
      <c r="AW551" s="294" t="s">
        <v>1</v>
      </c>
    </row>
    <row r="552" spans="1:49" ht="30.15" customHeight="1" x14ac:dyDescent="0.25">
      <c r="A552" s="213" t="s">
        <v>18</v>
      </c>
      <c r="B552" s="189" t="s">
        <v>1</v>
      </c>
      <c r="C552" s="212" t="s">
        <v>34</v>
      </c>
      <c r="D552" s="190" t="s">
        <v>7</v>
      </c>
      <c r="E552" s="190" t="s">
        <v>1213</v>
      </c>
      <c r="F552" s="203"/>
      <c r="G552" s="190" t="s">
        <v>1206</v>
      </c>
      <c r="H552" s="192" t="s">
        <v>7</v>
      </c>
      <c r="I552" s="193">
        <v>1396.49</v>
      </c>
      <c r="J552" s="193">
        <v>1396.49</v>
      </c>
      <c r="K552" s="193">
        <v>1396.49</v>
      </c>
      <c r="L552" s="193">
        <v>1820</v>
      </c>
      <c r="M552" s="194">
        <v>1820</v>
      </c>
      <c r="N552" s="284">
        <v>728</v>
      </c>
      <c r="O552" s="285">
        <v>14.59</v>
      </c>
      <c r="P552" s="285">
        <v>24</v>
      </c>
      <c r="Q552" s="285">
        <v>650</v>
      </c>
      <c r="R552" s="285" t="s">
        <v>1</v>
      </c>
      <c r="S552" s="286">
        <v>728</v>
      </c>
      <c r="T552" s="285">
        <v>14.59</v>
      </c>
      <c r="U552" s="285">
        <v>24</v>
      </c>
      <c r="V552" s="285">
        <v>650</v>
      </c>
      <c r="W552" s="285" t="s">
        <v>1</v>
      </c>
      <c r="X552" s="286">
        <v>728</v>
      </c>
      <c r="Y552" s="285">
        <v>32.42</v>
      </c>
      <c r="Z552" s="285">
        <v>24</v>
      </c>
      <c r="AA552" s="285">
        <v>650</v>
      </c>
      <c r="AB552" s="285" t="s">
        <v>1</v>
      </c>
      <c r="AC552" s="286">
        <v>728</v>
      </c>
      <c r="AD552" s="285">
        <v>32.42</v>
      </c>
      <c r="AE552" s="285">
        <v>24</v>
      </c>
      <c r="AF552" s="285">
        <v>650</v>
      </c>
      <c r="AG552" s="285" t="s">
        <v>1</v>
      </c>
      <c r="AH552" s="286" t="s">
        <v>1</v>
      </c>
      <c r="AI552" s="312" t="s">
        <v>1</v>
      </c>
      <c r="AJ552" s="312" t="s">
        <v>1</v>
      </c>
      <c r="AK552" s="312" t="s">
        <v>1</v>
      </c>
      <c r="AL552" s="286" t="s">
        <v>1</v>
      </c>
      <c r="AM552" s="288" t="s">
        <v>1</v>
      </c>
      <c r="AN552" s="289" t="s">
        <v>1</v>
      </c>
      <c r="AO552" s="289" t="s">
        <v>1</v>
      </c>
      <c r="AP552" s="286" t="s">
        <v>1</v>
      </c>
      <c r="AQ552" s="285" t="s">
        <v>1</v>
      </c>
      <c r="AR552" s="289" t="s">
        <v>1</v>
      </c>
      <c r="AS552" s="289" t="s">
        <v>1</v>
      </c>
      <c r="AT552" s="293" t="s">
        <v>1</v>
      </c>
      <c r="AU552" s="289" t="s">
        <v>1</v>
      </c>
      <c r="AV552" s="289" t="s">
        <v>1</v>
      </c>
      <c r="AW552" s="294" t="s">
        <v>1</v>
      </c>
    </row>
    <row r="553" spans="1:49" ht="30.15" customHeight="1" x14ac:dyDescent="0.25">
      <c r="A553" s="213" t="s">
        <v>18</v>
      </c>
      <c r="B553" s="189" t="s">
        <v>1</v>
      </c>
      <c r="C553" s="212" t="s">
        <v>34</v>
      </c>
      <c r="D553" s="190" t="s">
        <v>7</v>
      </c>
      <c r="E553" s="190" t="s">
        <v>1214</v>
      </c>
      <c r="F553" s="203"/>
      <c r="G553" s="190" t="s">
        <v>1206</v>
      </c>
      <c r="H553" s="192" t="s">
        <v>7</v>
      </c>
      <c r="I553" s="193">
        <v>1396.49</v>
      </c>
      <c r="J553" s="193">
        <v>1396.49</v>
      </c>
      <c r="K553" s="193">
        <v>1396.49</v>
      </c>
      <c r="L553" s="193">
        <v>1820</v>
      </c>
      <c r="M553" s="194">
        <v>1820</v>
      </c>
      <c r="N553" s="284">
        <v>728</v>
      </c>
      <c r="O553" s="285">
        <v>14.59</v>
      </c>
      <c r="P553" s="285">
        <v>24</v>
      </c>
      <c r="Q553" s="285">
        <v>650</v>
      </c>
      <c r="R553" s="285" t="s">
        <v>1</v>
      </c>
      <c r="S553" s="286">
        <v>728</v>
      </c>
      <c r="T553" s="285">
        <v>14.59</v>
      </c>
      <c r="U553" s="285">
        <v>24</v>
      </c>
      <c r="V553" s="285">
        <v>650</v>
      </c>
      <c r="W553" s="285" t="s">
        <v>1</v>
      </c>
      <c r="X553" s="286">
        <v>728</v>
      </c>
      <c r="Y553" s="285">
        <v>32.42</v>
      </c>
      <c r="Z553" s="285">
        <v>24</v>
      </c>
      <c r="AA553" s="285">
        <v>650</v>
      </c>
      <c r="AB553" s="285" t="s">
        <v>1</v>
      </c>
      <c r="AC553" s="286">
        <v>728</v>
      </c>
      <c r="AD553" s="285">
        <v>32.42</v>
      </c>
      <c r="AE553" s="285">
        <v>24</v>
      </c>
      <c r="AF553" s="285">
        <v>650</v>
      </c>
      <c r="AG553" s="285" t="s">
        <v>1</v>
      </c>
      <c r="AH553" s="286" t="s">
        <v>1</v>
      </c>
      <c r="AI553" s="312" t="s">
        <v>1</v>
      </c>
      <c r="AJ553" s="312" t="s">
        <v>1</v>
      </c>
      <c r="AK553" s="312" t="s">
        <v>1</v>
      </c>
      <c r="AL553" s="286" t="s">
        <v>1</v>
      </c>
      <c r="AM553" s="288" t="s">
        <v>1</v>
      </c>
      <c r="AN553" s="289" t="s">
        <v>1</v>
      </c>
      <c r="AO553" s="289" t="s">
        <v>1</v>
      </c>
      <c r="AP553" s="286" t="s">
        <v>1</v>
      </c>
      <c r="AQ553" s="285" t="s">
        <v>1</v>
      </c>
      <c r="AR553" s="289" t="s">
        <v>1</v>
      </c>
      <c r="AS553" s="289" t="s">
        <v>1</v>
      </c>
      <c r="AT553" s="293" t="s">
        <v>1</v>
      </c>
      <c r="AU553" s="289" t="s">
        <v>1</v>
      </c>
      <c r="AV553" s="289" t="s">
        <v>1</v>
      </c>
      <c r="AW553" s="294" t="s">
        <v>1</v>
      </c>
    </row>
    <row r="554" spans="1:49" ht="30.15" customHeight="1" x14ac:dyDescent="0.25">
      <c r="A554" s="213" t="s">
        <v>18</v>
      </c>
      <c r="B554" s="189" t="s">
        <v>1</v>
      </c>
      <c r="C554" s="212" t="s">
        <v>34</v>
      </c>
      <c r="D554" s="190" t="s">
        <v>7</v>
      </c>
      <c r="E554" s="190" t="s">
        <v>1215</v>
      </c>
      <c r="F554" s="203"/>
      <c r="G554" s="190" t="s">
        <v>1206</v>
      </c>
      <c r="H554" s="192" t="s">
        <v>7</v>
      </c>
      <c r="I554" s="193">
        <v>1396.49</v>
      </c>
      <c r="J554" s="193">
        <v>1396.49</v>
      </c>
      <c r="K554" s="193">
        <v>1396.49</v>
      </c>
      <c r="L554" s="193">
        <v>1820</v>
      </c>
      <c r="M554" s="194">
        <v>1820</v>
      </c>
      <c r="N554" s="284">
        <v>728</v>
      </c>
      <c r="O554" s="285">
        <v>14.59</v>
      </c>
      <c r="P554" s="285">
        <v>24</v>
      </c>
      <c r="Q554" s="285">
        <v>650</v>
      </c>
      <c r="R554" s="285" t="s">
        <v>1</v>
      </c>
      <c r="S554" s="286">
        <v>728</v>
      </c>
      <c r="T554" s="285">
        <v>14.59</v>
      </c>
      <c r="U554" s="285">
        <v>24</v>
      </c>
      <c r="V554" s="285">
        <v>650</v>
      </c>
      <c r="W554" s="285" t="s">
        <v>1</v>
      </c>
      <c r="X554" s="286">
        <v>728</v>
      </c>
      <c r="Y554" s="285">
        <v>32.42</v>
      </c>
      <c r="Z554" s="285">
        <v>24</v>
      </c>
      <c r="AA554" s="285">
        <v>650</v>
      </c>
      <c r="AB554" s="285" t="s">
        <v>1</v>
      </c>
      <c r="AC554" s="286">
        <v>728</v>
      </c>
      <c r="AD554" s="285">
        <v>32.42</v>
      </c>
      <c r="AE554" s="285">
        <v>24</v>
      </c>
      <c r="AF554" s="285">
        <v>650</v>
      </c>
      <c r="AG554" s="285" t="s">
        <v>1</v>
      </c>
      <c r="AH554" s="286" t="s">
        <v>1</v>
      </c>
      <c r="AI554" s="312" t="s">
        <v>1</v>
      </c>
      <c r="AJ554" s="312" t="s">
        <v>1</v>
      </c>
      <c r="AK554" s="312" t="s">
        <v>1</v>
      </c>
      <c r="AL554" s="286" t="s">
        <v>1</v>
      </c>
      <c r="AM554" s="288" t="s">
        <v>1</v>
      </c>
      <c r="AN554" s="289" t="s">
        <v>1</v>
      </c>
      <c r="AO554" s="289" t="s">
        <v>1</v>
      </c>
      <c r="AP554" s="286" t="s">
        <v>1</v>
      </c>
      <c r="AQ554" s="285" t="s">
        <v>1</v>
      </c>
      <c r="AR554" s="289" t="s">
        <v>1</v>
      </c>
      <c r="AS554" s="289" t="s">
        <v>1</v>
      </c>
      <c r="AT554" s="293" t="s">
        <v>1</v>
      </c>
      <c r="AU554" s="289" t="s">
        <v>1</v>
      </c>
      <c r="AV554" s="289" t="s">
        <v>1</v>
      </c>
      <c r="AW554" s="294" t="s">
        <v>1</v>
      </c>
    </row>
    <row r="555" spans="1:49" ht="30.15" customHeight="1" x14ac:dyDescent="0.25">
      <c r="A555" s="213" t="s">
        <v>18</v>
      </c>
      <c r="B555" s="189" t="s">
        <v>1</v>
      </c>
      <c r="C555" s="212" t="s">
        <v>34</v>
      </c>
      <c r="D555" s="190" t="s">
        <v>7</v>
      </c>
      <c r="E555" s="190" t="s">
        <v>1199</v>
      </c>
      <c r="F555" s="203"/>
      <c r="G555" s="190" t="s">
        <v>1207</v>
      </c>
      <c r="H555" s="192" t="s">
        <v>409</v>
      </c>
      <c r="I555" s="193">
        <v>1567.49</v>
      </c>
      <c r="J555" s="193">
        <v>1567.49</v>
      </c>
      <c r="K555" s="193">
        <v>1567.49</v>
      </c>
      <c r="L555" s="193">
        <v>2040</v>
      </c>
      <c r="M555" s="194">
        <v>2040</v>
      </c>
      <c r="N555" s="284">
        <v>816</v>
      </c>
      <c r="O555" s="285">
        <v>16.25</v>
      </c>
      <c r="P555" s="285">
        <v>24</v>
      </c>
      <c r="Q555" s="285">
        <v>770</v>
      </c>
      <c r="R555" s="285" t="s">
        <v>1</v>
      </c>
      <c r="S555" s="286">
        <v>816</v>
      </c>
      <c r="T555" s="285">
        <v>16.25</v>
      </c>
      <c r="U555" s="285">
        <v>24</v>
      </c>
      <c r="V555" s="285">
        <v>770</v>
      </c>
      <c r="W555" s="285" t="s">
        <v>1</v>
      </c>
      <c r="X555" s="286">
        <v>816</v>
      </c>
      <c r="Y555" s="285">
        <v>26.42</v>
      </c>
      <c r="Z555" s="285">
        <v>24</v>
      </c>
      <c r="AA555" s="285">
        <v>770</v>
      </c>
      <c r="AB555" s="285" t="s">
        <v>1</v>
      </c>
      <c r="AC555" s="286">
        <v>816</v>
      </c>
      <c r="AD555" s="285">
        <v>26.42</v>
      </c>
      <c r="AE555" s="285">
        <v>24</v>
      </c>
      <c r="AF555" s="285">
        <v>770</v>
      </c>
      <c r="AG555" s="285" t="s">
        <v>1</v>
      </c>
      <c r="AH555" s="286" t="s">
        <v>1</v>
      </c>
      <c r="AI555" s="312" t="s">
        <v>1</v>
      </c>
      <c r="AJ555" s="312" t="s">
        <v>1</v>
      </c>
      <c r="AK555" s="312" t="s">
        <v>1</v>
      </c>
      <c r="AL555" s="286" t="s">
        <v>1</v>
      </c>
      <c r="AM555" s="288" t="s">
        <v>1</v>
      </c>
      <c r="AN555" s="289" t="s">
        <v>1</v>
      </c>
      <c r="AO555" s="289" t="s">
        <v>1</v>
      </c>
      <c r="AP555" s="286" t="s">
        <v>1</v>
      </c>
      <c r="AQ555" s="285" t="s">
        <v>1</v>
      </c>
      <c r="AR555" s="289" t="s">
        <v>1</v>
      </c>
      <c r="AS555" s="289" t="s">
        <v>1</v>
      </c>
      <c r="AT555" s="293" t="s">
        <v>1</v>
      </c>
      <c r="AU555" s="289" t="s">
        <v>1</v>
      </c>
      <c r="AV555" s="289" t="s">
        <v>1</v>
      </c>
      <c r="AW555" s="294" t="s">
        <v>1</v>
      </c>
    </row>
    <row r="556" spans="1:49" ht="30.15" customHeight="1" x14ac:dyDescent="0.25">
      <c r="A556" s="213" t="s">
        <v>18</v>
      </c>
      <c r="B556" s="189" t="s">
        <v>1</v>
      </c>
      <c r="C556" s="212" t="s">
        <v>34</v>
      </c>
      <c r="D556" s="190" t="s">
        <v>7</v>
      </c>
      <c r="E556" s="190" t="s">
        <v>1200</v>
      </c>
      <c r="F556" s="203"/>
      <c r="G556" s="190" t="s">
        <v>1207</v>
      </c>
      <c r="H556" s="192" t="s">
        <v>409</v>
      </c>
      <c r="I556" s="193">
        <v>1567.49</v>
      </c>
      <c r="J556" s="193">
        <v>1567.49</v>
      </c>
      <c r="K556" s="193">
        <v>1567.49</v>
      </c>
      <c r="L556" s="193">
        <v>2040</v>
      </c>
      <c r="M556" s="194">
        <v>2040</v>
      </c>
      <c r="N556" s="284">
        <v>816</v>
      </c>
      <c r="O556" s="285">
        <v>16.25</v>
      </c>
      <c r="P556" s="285">
        <v>24</v>
      </c>
      <c r="Q556" s="285">
        <v>770</v>
      </c>
      <c r="R556" s="285" t="s">
        <v>1</v>
      </c>
      <c r="S556" s="286">
        <v>816</v>
      </c>
      <c r="T556" s="285">
        <v>16.25</v>
      </c>
      <c r="U556" s="285">
        <v>24</v>
      </c>
      <c r="V556" s="285">
        <v>770</v>
      </c>
      <c r="W556" s="285" t="s">
        <v>1</v>
      </c>
      <c r="X556" s="286">
        <v>816</v>
      </c>
      <c r="Y556" s="285">
        <v>26.42</v>
      </c>
      <c r="Z556" s="285">
        <v>24</v>
      </c>
      <c r="AA556" s="285">
        <v>770</v>
      </c>
      <c r="AB556" s="285" t="s">
        <v>1</v>
      </c>
      <c r="AC556" s="286">
        <v>816</v>
      </c>
      <c r="AD556" s="285">
        <v>26.42</v>
      </c>
      <c r="AE556" s="285">
        <v>24</v>
      </c>
      <c r="AF556" s="285">
        <v>770</v>
      </c>
      <c r="AG556" s="285" t="s">
        <v>1</v>
      </c>
      <c r="AH556" s="286" t="s">
        <v>1</v>
      </c>
      <c r="AI556" s="312" t="s">
        <v>1</v>
      </c>
      <c r="AJ556" s="312" t="s">
        <v>1</v>
      </c>
      <c r="AK556" s="312" t="s">
        <v>1</v>
      </c>
      <c r="AL556" s="286" t="s">
        <v>1</v>
      </c>
      <c r="AM556" s="288" t="s">
        <v>1</v>
      </c>
      <c r="AN556" s="289" t="s">
        <v>1</v>
      </c>
      <c r="AO556" s="289" t="s">
        <v>1</v>
      </c>
      <c r="AP556" s="286" t="s">
        <v>1</v>
      </c>
      <c r="AQ556" s="285" t="s">
        <v>1</v>
      </c>
      <c r="AR556" s="289" t="s">
        <v>1</v>
      </c>
      <c r="AS556" s="289" t="s">
        <v>1</v>
      </c>
      <c r="AT556" s="293" t="s">
        <v>1</v>
      </c>
      <c r="AU556" s="289" t="s">
        <v>1</v>
      </c>
      <c r="AV556" s="289" t="s">
        <v>1</v>
      </c>
      <c r="AW556" s="294" t="s">
        <v>1</v>
      </c>
    </row>
    <row r="557" spans="1:49" ht="30.15" customHeight="1" x14ac:dyDescent="0.25">
      <c r="A557" s="213" t="s">
        <v>18</v>
      </c>
      <c r="B557" s="189" t="s">
        <v>1</v>
      </c>
      <c r="C557" s="212" t="s">
        <v>34</v>
      </c>
      <c r="D557" s="190" t="s">
        <v>7</v>
      </c>
      <c r="E557" s="190" t="s">
        <v>1216</v>
      </c>
      <c r="F557" s="203"/>
      <c r="G557" s="190" t="s">
        <v>1207</v>
      </c>
      <c r="H557" s="192" t="s">
        <v>7</v>
      </c>
      <c r="I557" s="193">
        <v>1567.49</v>
      </c>
      <c r="J557" s="193">
        <v>1567.49</v>
      </c>
      <c r="K557" s="193">
        <v>1567.49</v>
      </c>
      <c r="L557" s="193">
        <v>2040</v>
      </c>
      <c r="M557" s="194">
        <v>2040</v>
      </c>
      <c r="N557" s="284">
        <v>816</v>
      </c>
      <c r="O557" s="285">
        <v>16.25</v>
      </c>
      <c r="P557" s="285">
        <v>24</v>
      </c>
      <c r="Q557" s="285">
        <v>770</v>
      </c>
      <c r="R557" s="285" t="s">
        <v>1</v>
      </c>
      <c r="S557" s="286">
        <v>816</v>
      </c>
      <c r="T557" s="285">
        <v>16.25</v>
      </c>
      <c r="U557" s="285">
        <v>24</v>
      </c>
      <c r="V557" s="285">
        <v>770</v>
      </c>
      <c r="W557" s="285" t="s">
        <v>1</v>
      </c>
      <c r="X557" s="286">
        <v>816</v>
      </c>
      <c r="Y557" s="285">
        <v>26.42</v>
      </c>
      <c r="Z557" s="285">
        <v>24</v>
      </c>
      <c r="AA557" s="285">
        <v>770</v>
      </c>
      <c r="AB557" s="285" t="s">
        <v>1</v>
      </c>
      <c r="AC557" s="286">
        <v>816</v>
      </c>
      <c r="AD557" s="285">
        <v>26.42</v>
      </c>
      <c r="AE557" s="285">
        <v>24</v>
      </c>
      <c r="AF557" s="285">
        <v>770</v>
      </c>
      <c r="AG557" s="285" t="s">
        <v>1</v>
      </c>
      <c r="AH557" s="286" t="s">
        <v>1</v>
      </c>
      <c r="AI557" s="312" t="s">
        <v>1</v>
      </c>
      <c r="AJ557" s="312" t="s">
        <v>1</v>
      </c>
      <c r="AK557" s="312" t="s">
        <v>1</v>
      </c>
      <c r="AL557" s="286" t="s">
        <v>1</v>
      </c>
      <c r="AM557" s="288" t="s">
        <v>1</v>
      </c>
      <c r="AN557" s="289" t="s">
        <v>1</v>
      </c>
      <c r="AO557" s="289" t="s">
        <v>1</v>
      </c>
      <c r="AP557" s="286" t="s">
        <v>1</v>
      </c>
      <c r="AQ557" s="285" t="s">
        <v>1</v>
      </c>
      <c r="AR557" s="289" t="s">
        <v>1</v>
      </c>
      <c r="AS557" s="289" t="s">
        <v>1</v>
      </c>
      <c r="AT557" s="293" t="s">
        <v>1</v>
      </c>
      <c r="AU557" s="289" t="s">
        <v>1</v>
      </c>
      <c r="AV557" s="289" t="s">
        <v>1</v>
      </c>
      <c r="AW557" s="294" t="s">
        <v>1</v>
      </c>
    </row>
    <row r="558" spans="1:49" ht="30.15" customHeight="1" x14ac:dyDescent="0.25">
      <c r="A558" s="213" t="s">
        <v>18</v>
      </c>
      <c r="B558" s="189" t="s">
        <v>1</v>
      </c>
      <c r="C558" s="212" t="s">
        <v>34</v>
      </c>
      <c r="D558" s="190" t="s">
        <v>7</v>
      </c>
      <c r="E558" s="190" t="s">
        <v>1217</v>
      </c>
      <c r="F558" s="203"/>
      <c r="G558" s="190" t="s">
        <v>1207</v>
      </c>
      <c r="H558" s="192" t="s">
        <v>7</v>
      </c>
      <c r="I558" s="193">
        <v>1567.49</v>
      </c>
      <c r="J558" s="193">
        <v>1567.49</v>
      </c>
      <c r="K558" s="193">
        <v>1567.49</v>
      </c>
      <c r="L558" s="193">
        <v>2040</v>
      </c>
      <c r="M558" s="194">
        <v>2040</v>
      </c>
      <c r="N558" s="284">
        <v>816</v>
      </c>
      <c r="O558" s="285">
        <v>16.25</v>
      </c>
      <c r="P558" s="285">
        <v>24</v>
      </c>
      <c r="Q558" s="285">
        <v>770</v>
      </c>
      <c r="R558" s="285" t="s">
        <v>1</v>
      </c>
      <c r="S558" s="286">
        <v>816</v>
      </c>
      <c r="T558" s="285">
        <v>16.25</v>
      </c>
      <c r="U558" s="285">
        <v>24</v>
      </c>
      <c r="V558" s="285">
        <v>770</v>
      </c>
      <c r="W558" s="285" t="s">
        <v>1</v>
      </c>
      <c r="X558" s="286">
        <v>816</v>
      </c>
      <c r="Y558" s="285">
        <v>26.42</v>
      </c>
      <c r="Z558" s="285">
        <v>24</v>
      </c>
      <c r="AA558" s="285">
        <v>770</v>
      </c>
      <c r="AB558" s="285" t="s">
        <v>1</v>
      </c>
      <c r="AC558" s="286">
        <v>816</v>
      </c>
      <c r="AD558" s="285">
        <v>26.42</v>
      </c>
      <c r="AE558" s="285">
        <v>24</v>
      </c>
      <c r="AF558" s="285">
        <v>770</v>
      </c>
      <c r="AG558" s="285" t="s">
        <v>1</v>
      </c>
      <c r="AH558" s="286" t="s">
        <v>1</v>
      </c>
      <c r="AI558" s="312" t="s">
        <v>1</v>
      </c>
      <c r="AJ558" s="312" t="s">
        <v>1</v>
      </c>
      <c r="AK558" s="312" t="s">
        <v>1</v>
      </c>
      <c r="AL558" s="286" t="s">
        <v>1</v>
      </c>
      <c r="AM558" s="288" t="s">
        <v>1</v>
      </c>
      <c r="AN558" s="289" t="s">
        <v>1</v>
      </c>
      <c r="AO558" s="289" t="s">
        <v>1</v>
      </c>
      <c r="AP558" s="286" t="s">
        <v>1</v>
      </c>
      <c r="AQ558" s="285" t="s">
        <v>1</v>
      </c>
      <c r="AR558" s="289" t="s">
        <v>1</v>
      </c>
      <c r="AS558" s="289" t="s">
        <v>1</v>
      </c>
      <c r="AT558" s="293" t="s">
        <v>1</v>
      </c>
      <c r="AU558" s="289" t="s">
        <v>1</v>
      </c>
      <c r="AV558" s="289" t="s">
        <v>1</v>
      </c>
      <c r="AW558" s="294" t="s">
        <v>1</v>
      </c>
    </row>
    <row r="559" spans="1:49" ht="30.15" customHeight="1" x14ac:dyDescent="0.25">
      <c r="A559" s="213" t="s">
        <v>18</v>
      </c>
      <c r="B559" s="189" t="s">
        <v>1</v>
      </c>
      <c r="C559" s="212" t="s">
        <v>34</v>
      </c>
      <c r="D559" s="190" t="s">
        <v>7</v>
      </c>
      <c r="E559" s="190" t="s">
        <v>1218</v>
      </c>
      <c r="F559" s="203"/>
      <c r="G559" s="190" t="s">
        <v>1207</v>
      </c>
      <c r="H559" s="192" t="s">
        <v>7</v>
      </c>
      <c r="I559" s="193">
        <v>1567.49</v>
      </c>
      <c r="J559" s="193">
        <v>1567.49</v>
      </c>
      <c r="K559" s="193">
        <v>1567.49</v>
      </c>
      <c r="L559" s="193">
        <v>2040</v>
      </c>
      <c r="M559" s="194">
        <v>2040</v>
      </c>
      <c r="N559" s="284">
        <v>816</v>
      </c>
      <c r="O559" s="285">
        <v>16.25</v>
      </c>
      <c r="P559" s="285">
        <v>24</v>
      </c>
      <c r="Q559" s="285">
        <v>770</v>
      </c>
      <c r="R559" s="285" t="s">
        <v>1</v>
      </c>
      <c r="S559" s="286">
        <v>816</v>
      </c>
      <c r="T559" s="285">
        <v>16.25</v>
      </c>
      <c r="U559" s="285">
        <v>24</v>
      </c>
      <c r="V559" s="285">
        <v>770</v>
      </c>
      <c r="W559" s="285" t="s">
        <v>1</v>
      </c>
      <c r="X559" s="286">
        <v>816</v>
      </c>
      <c r="Y559" s="285">
        <v>26.42</v>
      </c>
      <c r="Z559" s="285">
        <v>24</v>
      </c>
      <c r="AA559" s="285">
        <v>770</v>
      </c>
      <c r="AB559" s="285" t="s">
        <v>1</v>
      </c>
      <c r="AC559" s="286">
        <v>816</v>
      </c>
      <c r="AD559" s="285">
        <v>26.42</v>
      </c>
      <c r="AE559" s="285">
        <v>24</v>
      </c>
      <c r="AF559" s="285">
        <v>770</v>
      </c>
      <c r="AG559" s="285" t="s">
        <v>1</v>
      </c>
      <c r="AH559" s="286" t="s">
        <v>1</v>
      </c>
      <c r="AI559" s="312" t="s">
        <v>1</v>
      </c>
      <c r="AJ559" s="312" t="s">
        <v>1</v>
      </c>
      <c r="AK559" s="312" t="s">
        <v>1</v>
      </c>
      <c r="AL559" s="286" t="s">
        <v>1</v>
      </c>
      <c r="AM559" s="288" t="s">
        <v>1</v>
      </c>
      <c r="AN559" s="289" t="s">
        <v>1</v>
      </c>
      <c r="AO559" s="289" t="s">
        <v>1</v>
      </c>
      <c r="AP559" s="286" t="s">
        <v>1</v>
      </c>
      <c r="AQ559" s="285" t="s">
        <v>1</v>
      </c>
      <c r="AR559" s="289" t="s">
        <v>1</v>
      </c>
      <c r="AS559" s="289" t="s">
        <v>1</v>
      </c>
      <c r="AT559" s="293" t="s">
        <v>1</v>
      </c>
      <c r="AU559" s="289" t="s">
        <v>1</v>
      </c>
      <c r="AV559" s="289" t="s">
        <v>1</v>
      </c>
      <c r="AW559" s="294" t="s">
        <v>1</v>
      </c>
    </row>
    <row r="560" spans="1:49" ht="30.15" customHeight="1" x14ac:dyDescent="0.25">
      <c r="A560" s="213" t="s">
        <v>18</v>
      </c>
      <c r="B560" s="189" t="s">
        <v>1</v>
      </c>
      <c r="C560" s="212" t="s">
        <v>34</v>
      </c>
      <c r="D560" s="190" t="s">
        <v>7</v>
      </c>
      <c r="E560" s="190" t="s">
        <v>1201</v>
      </c>
      <c r="F560" s="203"/>
      <c r="G560" s="190" t="s">
        <v>1208</v>
      </c>
      <c r="H560" s="192" t="s">
        <v>409</v>
      </c>
      <c r="I560" s="193">
        <v>1633.99</v>
      </c>
      <c r="J560" s="193">
        <v>1633.99</v>
      </c>
      <c r="K560" s="193">
        <v>1633.99</v>
      </c>
      <c r="L560" s="193">
        <v>2125</v>
      </c>
      <c r="M560" s="194">
        <v>2125</v>
      </c>
      <c r="N560" s="284">
        <v>850</v>
      </c>
      <c r="O560" s="285">
        <v>16.880000000000003</v>
      </c>
      <c r="P560" s="285">
        <v>24</v>
      </c>
      <c r="Q560" s="285">
        <v>780</v>
      </c>
      <c r="R560" s="285" t="s">
        <v>1</v>
      </c>
      <c r="S560" s="286">
        <v>850</v>
      </c>
      <c r="T560" s="285">
        <v>16.880000000000003</v>
      </c>
      <c r="U560" s="285">
        <v>24</v>
      </c>
      <c r="V560" s="285">
        <v>780</v>
      </c>
      <c r="W560" s="285" t="s">
        <v>1</v>
      </c>
      <c r="X560" s="286">
        <v>850</v>
      </c>
      <c r="Y560" s="285">
        <v>26.88</v>
      </c>
      <c r="Z560" s="285">
        <v>24</v>
      </c>
      <c r="AA560" s="285">
        <v>780</v>
      </c>
      <c r="AB560" s="285" t="s">
        <v>1</v>
      </c>
      <c r="AC560" s="286">
        <v>850</v>
      </c>
      <c r="AD560" s="285">
        <v>26.88</v>
      </c>
      <c r="AE560" s="285">
        <v>24</v>
      </c>
      <c r="AF560" s="285">
        <v>780</v>
      </c>
      <c r="AG560" s="285" t="s">
        <v>1</v>
      </c>
      <c r="AH560" s="286" t="s">
        <v>1</v>
      </c>
      <c r="AI560" s="312" t="s">
        <v>1</v>
      </c>
      <c r="AJ560" s="312" t="s">
        <v>1</v>
      </c>
      <c r="AK560" s="312" t="s">
        <v>1</v>
      </c>
      <c r="AL560" s="286" t="s">
        <v>1</v>
      </c>
      <c r="AM560" s="288" t="s">
        <v>1</v>
      </c>
      <c r="AN560" s="289" t="s">
        <v>1</v>
      </c>
      <c r="AO560" s="289" t="s">
        <v>1</v>
      </c>
      <c r="AP560" s="286" t="s">
        <v>1</v>
      </c>
      <c r="AQ560" s="285" t="s">
        <v>1</v>
      </c>
      <c r="AR560" s="289" t="s">
        <v>1</v>
      </c>
      <c r="AS560" s="289" t="s">
        <v>1</v>
      </c>
      <c r="AT560" s="293" t="s">
        <v>1</v>
      </c>
      <c r="AU560" s="289" t="s">
        <v>1</v>
      </c>
      <c r="AV560" s="289" t="s">
        <v>1</v>
      </c>
      <c r="AW560" s="294" t="s">
        <v>1</v>
      </c>
    </row>
    <row r="561" spans="1:49" ht="30.15" customHeight="1" x14ac:dyDescent="0.25">
      <c r="A561" s="213" t="s">
        <v>18</v>
      </c>
      <c r="B561" s="189" t="s">
        <v>1</v>
      </c>
      <c r="C561" s="212" t="s">
        <v>34</v>
      </c>
      <c r="D561" s="190" t="s">
        <v>7</v>
      </c>
      <c r="E561" s="190" t="s">
        <v>1219</v>
      </c>
      <c r="F561" s="203"/>
      <c r="G561" s="190" t="s">
        <v>1208</v>
      </c>
      <c r="H561" s="192" t="s">
        <v>7</v>
      </c>
      <c r="I561" s="193">
        <v>1633.99</v>
      </c>
      <c r="J561" s="193">
        <v>1633.99</v>
      </c>
      <c r="K561" s="193">
        <v>1633.99</v>
      </c>
      <c r="L561" s="193">
        <v>2125</v>
      </c>
      <c r="M561" s="194">
        <v>2125</v>
      </c>
      <c r="N561" s="284">
        <v>850</v>
      </c>
      <c r="O561" s="285">
        <v>16.880000000000003</v>
      </c>
      <c r="P561" s="285">
        <v>24</v>
      </c>
      <c r="Q561" s="285">
        <v>780</v>
      </c>
      <c r="R561" s="285" t="s">
        <v>1</v>
      </c>
      <c r="S561" s="286">
        <v>850</v>
      </c>
      <c r="T561" s="285">
        <v>16.880000000000003</v>
      </c>
      <c r="U561" s="285">
        <v>24</v>
      </c>
      <c r="V561" s="285">
        <v>780</v>
      </c>
      <c r="W561" s="285" t="s">
        <v>1</v>
      </c>
      <c r="X561" s="286">
        <v>850</v>
      </c>
      <c r="Y561" s="285">
        <v>26.88</v>
      </c>
      <c r="Z561" s="285">
        <v>24</v>
      </c>
      <c r="AA561" s="285">
        <v>780</v>
      </c>
      <c r="AB561" s="285" t="s">
        <v>1</v>
      </c>
      <c r="AC561" s="286">
        <v>850</v>
      </c>
      <c r="AD561" s="285">
        <v>26.88</v>
      </c>
      <c r="AE561" s="285">
        <v>24</v>
      </c>
      <c r="AF561" s="285">
        <v>780</v>
      </c>
      <c r="AG561" s="285" t="s">
        <v>1</v>
      </c>
      <c r="AH561" s="286" t="s">
        <v>1</v>
      </c>
      <c r="AI561" s="312" t="s">
        <v>1</v>
      </c>
      <c r="AJ561" s="312" t="s">
        <v>1</v>
      </c>
      <c r="AK561" s="312" t="s">
        <v>1</v>
      </c>
      <c r="AL561" s="286" t="s">
        <v>1</v>
      </c>
      <c r="AM561" s="288" t="s">
        <v>1</v>
      </c>
      <c r="AN561" s="289" t="s">
        <v>1</v>
      </c>
      <c r="AO561" s="289" t="s">
        <v>1</v>
      </c>
      <c r="AP561" s="286" t="s">
        <v>1</v>
      </c>
      <c r="AQ561" s="285" t="s">
        <v>1</v>
      </c>
      <c r="AR561" s="289" t="s">
        <v>1</v>
      </c>
      <c r="AS561" s="289" t="s">
        <v>1</v>
      </c>
      <c r="AT561" s="293" t="s">
        <v>1</v>
      </c>
      <c r="AU561" s="289" t="s">
        <v>1</v>
      </c>
      <c r="AV561" s="289" t="s">
        <v>1</v>
      </c>
      <c r="AW561" s="294" t="s">
        <v>1</v>
      </c>
    </row>
    <row r="562" spans="1:49" ht="30.15" customHeight="1" x14ac:dyDescent="0.25">
      <c r="A562" s="213" t="s">
        <v>18</v>
      </c>
      <c r="B562" s="189" t="s">
        <v>1</v>
      </c>
      <c r="C562" s="212" t="s">
        <v>34</v>
      </c>
      <c r="D562" s="190" t="s">
        <v>7</v>
      </c>
      <c r="E562" s="190" t="s">
        <v>1220</v>
      </c>
      <c r="F562" s="203"/>
      <c r="G562" s="190" t="s">
        <v>1208</v>
      </c>
      <c r="H562" s="192" t="s">
        <v>7</v>
      </c>
      <c r="I562" s="193">
        <v>1633.99</v>
      </c>
      <c r="J562" s="193">
        <v>1633.99</v>
      </c>
      <c r="K562" s="193">
        <v>1633.99</v>
      </c>
      <c r="L562" s="193">
        <v>2125</v>
      </c>
      <c r="M562" s="194">
        <v>2125</v>
      </c>
      <c r="N562" s="284">
        <v>850</v>
      </c>
      <c r="O562" s="285">
        <v>16.880000000000003</v>
      </c>
      <c r="P562" s="285">
        <v>24</v>
      </c>
      <c r="Q562" s="285">
        <v>780</v>
      </c>
      <c r="R562" s="285" t="s">
        <v>1</v>
      </c>
      <c r="S562" s="286">
        <v>850</v>
      </c>
      <c r="T562" s="285">
        <v>16.880000000000003</v>
      </c>
      <c r="U562" s="285">
        <v>24</v>
      </c>
      <c r="V562" s="285">
        <v>780</v>
      </c>
      <c r="W562" s="285" t="s">
        <v>1</v>
      </c>
      <c r="X562" s="286">
        <v>850</v>
      </c>
      <c r="Y562" s="285">
        <v>26.88</v>
      </c>
      <c r="Z562" s="285">
        <v>24</v>
      </c>
      <c r="AA562" s="285">
        <v>780</v>
      </c>
      <c r="AB562" s="285" t="s">
        <v>1</v>
      </c>
      <c r="AC562" s="286">
        <v>850</v>
      </c>
      <c r="AD562" s="285">
        <v>26.88</v>
      </c>
      <c r="AE562" s="285">
        <v>24</v>
      </c>
      <c r="AF562" s="285">
        <v>780</v>
      </c>
      <c r="AG562" s="285" t="s">
        <v>1</v>
      </c>
      <c r="AH562" s="286" t="s">
        <v>1</v>
      </c>
      <c r="AI562" s="312" t="s">
        <v>1</v>
      </c>
      <c r="AJ562" s="312" t="s">
        <v>1</v>
      </c>
      <c r="AK562" s="312" t="s">
        <v>1</v>
      </c>
      <c r="AL562" s="286" t="s">
        <v>1</v>
      </c>
      <c r="AM562" s="288" t="s">
        <v>1</v>
      </c>
      <c r="AN562" s="289" t="s">
        <v>1</v>
      </c>
      <c r="AO562" s="289" t="s">
        <v>1</v>
      </c>
      <c r="AP562" s="286" t="s">
        <v>1</v>
      </c>
      <c r="AQ562" s="285" t="s">
        <v>1</v>
      </c>
      <c r="AR562" s="289" t="s">
        <v>1</v>
      </c>
      <c r="AS562" s="289" t="s">
        <v>1</v>
      </c>
      <c r="AT562" s="293" t="s">
        <v>1</v>
      </c>
      <c r="AU562" s="289" t="s">
        <v>1</v>
      </c>
      <c r="AV562" s="289" t="s">
        <v>1</v>
      </c>
      <c r="AW562" s="294" t="s">
        <v>1</v>
      </c>
    </row>
    <row r="563" spans="1:49" ht="30.15" customHeight="1" x14ac:dyDescent="0.25">
      <c r="A563" s="213" t="s">
        <v>18</v>
      </c>
      <c r="B563" s="189" t="s">
        <v>1</v>
      </c>
      <c r="C563" s="212" t="s">
        <v>34</v>
      </c>
      <c r="D563" s="190" t="s">
        <v>7</v>
      </c>
      <c r="E563" s="190" t="s">
        <v>1221</v>
      </c>
      <c r="F563" s="203"/>
      <c r="G563" s="190" t="s">
        <v>1208</v>
      </c>
      <c r="H563" s="192" t="s">
        <v>7</v>
      </c>
      <c r="I563" s="193">
        <v>1633.99</v>
      </c>
      <c r="J563" s="193">
        <v>1633.99</v>
      </c>
      <c r="K563" s="193">
        <v>1633.99</v>
      </c>
      <c r="L563" s="193">
        <v>2125</v>
      </c>
      <c r="M563" s="194">
        <v>2125</v>
      </c>
      <c r="N563" s="284">
        <v>850</v>
      </c>
      <c r="O563" s="285">
        <v>16.880000000000003</v>
      </c>
      <c r="P563" s="285">
        <v>24</v>
      </c>
      <c r="Q563" s="285">
        <v>780</v>
      </c>
      <c r="R563" s="285" t="s">
        <v>1</v>
      </c>
      <c r="S563" s="286">
        <v>850</v>
      </c>
      <c r="T563" s="285">
        <v>16.880000000000003</v>
      </c>
      <c r="U563" s="285">
        <v>24</v>
      </c>
      <c r="V563" s="285">
        <v>780</v>
      </c>
      <c r="W563" s="285" t="s">
        <v>1</v>
      </c>
      <c r="X563" s="286">
        <v>850</v>
      </c>
      <c r="Y563" s="285">
        <v>26.88</v>
      </c>
      <c r="Z563" s="285">
        <v>24</v>
      </c>
      <c r="AA563" s="285">
        <v>780</v>
      </c>
      <c r="AB563" s="285" t="s">
        <v>1</v>
      </c>
      <c r="AC563" s="286">
        <v>850</v>
      </c>
      <c r="AD563" s="285">
        <v>26.88</v>
      </c>
      <c r="AE563" s="285">
        <v>24</v>
      </c>
      <c r="AF563" s="285">
        <v>780</v>
      </c>
      <c r="AG563" s="285" t="s">
        <v>1</v>
      </c>
      <c r="AH563" s="286" t="s">
        <v>1</v>
      </c>
      <c r="AI563" s="312" t="s">
        <v>1</v>
      </c>
      <c r="AJ563" s="312" t="s">
        <v>1</v>
      </c>
      <c r="AK563" s="312" t="s">
        <v>1</v>
      </c>
      <c r="AL563" s="286" t="s">
        <v>1</v>
      </c>
      <c r="AM563" s="288" t="s">
        <v>1</v>
      </c>
      <c r="AN563" s="289" t="s">
        <v>1</v>
      </c>
      <c r="AO563" s="289" t="s">
        <v>1</v>
      </c>
      <c r="AP563" s="286" t="s">
        <v>1</v>
      </c>
      <c r="AQ563" s="285" t="s">
        <v>1</v>
      </c>
      <c r="AR563" s="289" t="s">
        <v>1</v>
      </c>
      <c r="AS563" s="289" t="s">
        <v>1</v>
      </c>
      <c r="AT563" s="293" t="s">
        <v>1</v>
      </c>
      <c r="AU563" s="289" t="s">
        <v>1</v>
      </c>
      <c r="AV563" s="289" t="s">
        <v>1</v>
      </c>
      <c r="AW563" s="294" t="s">
        <v>1</v>
      </c>
    </row>
    <row r="564" spans="1:49" ht="30.15" customHeight="1" x14ac:dyDescent="0.25">
      <c r="A564" s="213" t="s">
        <v>18</v>
      </c>
      <c r="B564" s="189" t="s">
        <v>1</v>
      </c>
      <c r="C564" s="212" t="s">
        <v>34</v>
      </c>
      <c r="D564" s="190" t="s">
        <v>7</v>
      </c>
      <c r="E564" s="190" t="s">
        <v>1202</v>
      </c>
      <c r="F564" s="203"/>
      <c r="G564" s="190" t="s">
        <v>1209</v>
      </c>
      <c r="H564" s="192" t="s">
        <v>409</v>
      </c>
      <c r="I564" s="193">
        <v>1795.49</v>
      </c>
      <c r="J564" s="193">
        <v>1795.49</v>
      </c>
      <c r="K564" s="193">
        <v>1795.49</v>
      </c>
      <c r="L564" s="193">
        <v>2335</v>
      </c>
      <c r="M564" s="194">
        <v>2335</v>
      </c>
      <c r="N564" s="284">
        <v>934</v>
      </c>
      <c r="O564" s="285">
        <v>18.55</v>
      </c>
      <c r="P564" s="285">
        <v>24</v>
      </c>
      <c r="Q564" s="285">
        <v>820</v>
      </c>
      <c r="R564" s="285" t="s">
        <v>1</v>
      </c>
      <c r="S564" s="286">
        <v>934</v>
      </c>
      <c r="T564" s="285">
        <v>18.55</v>
      </c>
      <c r="U564" s="285">
        <v>24</v>
      </c>
      <c r="V564" s="285">
        <v>820</v>
      </c>
      <c r="W564" s="285" t="s">
        <v>1</v>
      </c>
      <c r="X564" s="286">
        <v>934</v>
      </c>
      <c r="Y564" s="285">
        <v>28.55</v>
      </c>
      <c r="Z564" s="285">
        <v>24</v>
      </c>
      <c r="AA564" s="285">
        <v>820</v>
      </c>
      <c r="AB564" s="285" t="s">
        <v>1</v>
      </c>
      <c r="AC564" s="286">
        <v>934</v>
      </c>
      <c r="AD564" s="285">
        <v>28.55</v>
      </c>
      <c r="AE564" s="285">
        <v>24</v>
      </c>
      <c r="AF564" s="285">
        <v>820</v>
      </c>
      <c r="AG564" s="285" t="s">
        <v>1</v>
      </c>
      <c r="AH564" s="286" t="s">
        <v>1</v>
      </c>
      <c r="AI564" s="312" t="s">
        <v>1</v>
      </c>
      <c r="AJ564" s="312" t="s">
        <v>1</v>
      </c>
      <c r="AK564" s="312" t="s">
        <v>1</v>
      </c>
      <c r="AL564" s="286" t="s">
        <v>1</v>
      </c>
      <c r="AM564" s="288" t="s">
        <v>1</v>
      </c>
      <c r="AN564" s="289" t="s">
        <v>1</v>
      </c>
      <c r="AO564" s="289" t="s">
        <v>1</v>
      </c>
      <c r="AP564" s="286" t="s">
        <v>1</v>
      </c>
      <c r="AQ564" s="285" t="s">
        <v>1</v>
      </c>
      <c r="AR564" s="289" t="s">
        <v>1</v>
      </c>
      <c r="AS564" s="289" t="s">
        <v>1</v>
      </c>
      <c r="AT564" s="293" t="s">
        <v>1</v>
      </c>
      <c r="AU564" s="289" t="s">
        <v>1</v>
      </c>
      <c r="AV564" s="289" t="s">
        <v>1</v>
      </c>
      <c r="AW564" s="294" t="s">
        <v>1</v>
      </c>
    </row>
    <row r="565" spans="1:49" ht="30.15" customHeight="1" x14ac:dyDescent="0.25">
      <c r="A565" s="213" t="s">
        <v>18</v>
      </c>
      <c r="B565" s="189" t="s">
        <v>1</v>
      </c>
      <c r="C565" s="212" t="s">
        <v>34</v>
      </c>
      <c r="D565" s="190" t="s">
        <v>7</v>
      </c>
      <c r="E565" s="190" t="s">
        <v>1222</v>
      </c>
      <c r="F565" s="203"/>
      <c r="G565" s="190" t="s">
        <v>1209</v>
      </c>
      <c r="H565" s="192" t="s">
        <v>7</v>
      </c>
      <c r="I565" s="193">
        <v>1795.49</v>
      </c>
      <c r="J565" s="193">
        <v>1795.49</v>
      </c>
      <c r="K565" s="193">
        <v>1795.49</v>
      </c>
      <c r="L565" s="193">
        <v>2335</v>
      </c>
      <c r="M565" s="194">
        <v>2335</v>
      </c>
      <c r="N565" s="284">
        <v>934</v>
      </c>
      <c r="O565" s="285">
        <v>18.55</v>
      </c>
      <c r="P565" s="285">
        <v>24</v>
      </c>
      <c r="Q565" s="285">
        <v>820</v>
      </c>
      <c r="R565" s="285" t="s">
        <v>1</v>
      </c>
      <c r="S565" s="286">
        <v>934</v>
      </c>
      <c r="T565" s="285">
        <v>18.55</v>
      </c>
      <c r="U565" s="285">
        <v>24</v>
      </c>
      <c r="V565" s="285">
        <v>820</v>
      </c>
      <c r="W565" s="285" t="s">
        <v>1</v>
      </c>
      <c r="X565" s="286">
        <v>934</v>
      </c>
      <c r="Y565" s="285">
        <v>28.55</v>
      </c>
      <c r="Z565" s="285">
        <v>24</v>
      </c>
      <c r="AA565" s="285">
        <v>820</v>
      </c>
      <c r="AB565" s="285" t="s">
        <v>1</v>
      </c>
      <c r="AC565" s="286">
        <v>934</v>
      </c>
      <c r="AD565" s="285">
        <v>28.55</v>
      </c>
      <c r="AE565" s="285">
        <v>24</v>
      </c>
      <c r="AF565" s="285">
        <v>820</v>
      </c>
      <c r="AG565" s="285" t="s">
        <v>1</v>
      </c>
      <c r="AH565" s="286" t="s">
        <v>1</v>
      </c>
      <c r="AI565" s="312" t="s">
        <v>1</v>
      </c>
      <c r="AJ565" s="312" t="s">
        <v>1</v>
      </c>
      <c r="AK565" s="312" t="s">
        <v>1</v>
      </c>
      <c r="AL565" s="286" t="s">
        <v>1</v>
      </c>
      <c r="AM565" s="288" t="s">
        <v>1</v>
      </c>
      <c r="AN565" s="289" t="s">
        <v>1</v>
      </c>
      <c r="AO565" s="289" t="s">
        <v>1</v>
      </c>
      <c r="AP565" s="286" t="s">
        <v>1</v>
      </c>
      <c r="AQ565" s="285" t="s">
        <v>1</v>
      </c>
      <c r="AR565" s="289" t="s">
        <v>1</v>
      </c>
      <c r="AS565" s="289" t="s">
        <v>1</v>
      </c>
      <c r="AT565" s="293" t="s">
        <v>1</v>
      </c>
      <c r="AU565" s="289" t="s">
        <v>1</v>
      </c>
      <c r="AV565" s="289" t="s">
        <v>1</v>
      </c>
      <c r="AW565" s="294" t="s">
        <v>1</v>
      </c>
    </row>
    <row r="566" spans="1:49" ht="30.15" customHeight="1" x14ac:dyDescent="0.25">
      <c r="A566" s="213" t="s">
        <v>18</v>
      </c>
      <c r="B566" s="189" t="s">
        <v>1</v>
      </c>
      <c r="C566" s="212" t="s">
        <v>34</v>
      </c>
      <c r="D566" s="190" t="s">
        <v>7</v>
      </c>
      <c r="E566" s="190" t="s">
        <v>1223</v>
      </c>
      <c r="F566" s="203"/>
      <c r="G566" s="190" t="s">
        <v>1209</v>
      </c>
      <c r="H566" s="192" t="s">
        <v>7</v>
      </c>
      <c r="I566" s="193">
        <v>1795.49</v>
      </c>
      <c r="J566" s="193">
        <v>1795.49</v>
      </c>
      <c r="K566" s="193">
        <v>1795.49</v>
      </c>
      <c r="L566" s="193">
        <v>2335</v>
      </c>
      <c r="M566" s="194">
        <v>2335</v>
      </c>
      <c r="N566" s="284">
        <v>934</v>
      </c>
      <c r="O566" s="285">
        <v>18.55</v>
      </c>
      <c r="P566" s="285">
        <v>24</v>
      </c>
      <c r="Q566" s="285">
        <v>820</v>
      </c>
      <c r="R566" s="285" t="s">
        <v>1</v>
      </c>
      <c r="S566" s="286">
        <v>934</v>
      </c>
      <c r="T566" s="285">
        <v>18.55</v>
      </c>
      <c r="U566" s="285">
        <v>24</v>
      </c>
      <c r="V566" s="285">
        <v>820</v>
      </c>
      <c r="W566" s="285" t="s">
        <v>1</v>
      </c>
      <c r="X566" s="286">
        <v>934</v>
      </c>
      <c r="Y566" s="285">
        <v>28.55</v>
      </c>
      <c r="Z566" s="285">
        <v>24</v>
      </c>
      <c r="AA566" s="285">
        <v>820</v>
      </c>
      <c r="AB566" s="285" t="s">
        <v>1</v>
      </c>
      <c r="AC566" s="286">
        <v>934</v>
      </c>
      <c r="AD566" s="285">
        <v>28.55</v>
      </c>
      <c r="AE566" s="285">
        <v>24</v>
      </c>
      <c r="AF566" s="285">
        <v>820</v>
      </c>
      <c r="AG566" s="285" t="s">
        <v>1</v>
      </c>
      <c r="AH566" s="286" t="s">
        <v>1</v>
      </c>
      <c r="AI566" s="312" t="s">
        <v>1</v>
      </c>
      <c r="AJ566" s="312" t="s">
        <v>1</v>
      </c>
      <c r="AK566" s="312" t="s">
        <v>1</v>
      </c>
      <c r="AL566" s="286" t="s">
        <v>1</v>
      </c>
      <c r="AM566" s="288" t="s">
        <v>1</v>
      </c>
      <c r="AN566" s="289" t="s">
        <v>1</v>
      </c>
      <c r="AO566" s="289" t="s">
        <v>1</v>
      </c>
      <c r="AP566" s="286" t="s">
        <v>1</v>
      </c>
      <c r="AQ566" s="285" t="s">
        <v>1</v>
      </c>
      <c r="AR566" s="289" t="s">
        <v>1</v>
      </c>
      <c r="AS566" s="289" t="s">
        <v>1</v>
      </c>
      <c r="AT566" s="293" t="s">
        <v>1</v>
      </c>
      <c r="AU566" s="289" t="s">
        <v>1</v>
      </c>
      <c r="AV566" s="289" t="s">
        <v>1</v>
      </c>
      <c r="AW566" s="294" t="s">
        <v>1</v>
      </c>
    </row>
    <row r="567" spans="1:49" ht="30.15" customHeight="1" x14ac:dyDescent="0.25">
      <c r="A567" s="213" t="s">
        <v>18</v>
      </c>
      <c r="B567" s="189" t="s">
        <v>1</v>
      </c>
      <c r="C567" s="212" t="s">
        <v>34</v>
      </c>
      <c r="D567" s="190" t="s">
        <v>7</v>
      </c>
      <c r="E567" s="190" t="s">
        <v>1224</v>
      </c>
      <c r="F567" s="203"/>
      <c r="G567" s="190" t="s">
        <v>1209</v>
      </c>
      <c r="H567" s="192" t="s">
        <v>7</v>
      </c>
      <c r="I567" s="193">
        <v>1795.49</v>
      </c>
      <c r="J567" s="193">
        <v>1795.49</v>
      </c>
      <c r="K567" s="193">
        <v>1795.49</v>
      </c>
      <c r="L567" s="193">
        <v>2335</v>
      </c>
      <c r="M567" s="194">
        <v>2335</v>
      </c>
      <c r="N567" s="284">
        <v>934</v>
      </c>
      <c r="O567" s="285">
        <v>18.55</v>
      </c>
      <c r="P567" s="285">
        <v>24</v>
      </c>
      <c r="Q567" s="285">
        <v>820</v>
      </c>
      <c r="R567" s="285" t="s">
        <v>1</v>
      </c>
      <c r="S567" s="286">
        <v>934</v>
      </c>
      <c r="T567" s="285">
        <v>18.55</v>
      </c>
      <c r="U567" s="285">
        <v>24</v>
      </c>
      <c r="V567" s="285">
        <v>820</v>
      </c>
      <c r="W567" s="285" t="s">
        <v>1</v>
      </c>
      <c r="X567" s="286">
        <v>934</v>
      </c>
      <c r="Y567" s="285">
        <v>28.55</v>
      </c>
      <c r="Z567" s="285">
        <v>24</v>
      </c>
      <c r="AA567" s="285">
        <v>820</v>
      </c>
      <c r="AB567" s="285" t="s">
        <v>1</v>
      </c>
      <c r="AC567" s="286">
        <v>934</v>
      </c>
      <c r="AD567" s="285">
        <v>28.55</v>
      </c>
      <c r="AE567" s="285">
        <v>24</v>
      </c>
      <c r="AF567" s="285">
        <v>820</v>
      </c>
      <c r="AG567" s="285" t="s">
        <v>1</v>
      </c>
      <c r="AH567" s="286" t="s">
        <v>1</v>
      </c>
      <c r="AI567" s="312" t="s">
        <v>1</v>
      </c>
      <c r="AJ567" s="312" t="s">
        <v>1</v>
      </c>
      <c r="AK567" s="312" t="s">
        <v>1</v>
      </c>
      <c r="AL567" s="286" t="s">
        <v>1</v>
      </c>
      <c r="AM567" s="288" t="s">
        <v>1</v>
      </c>
      <c r="AN567" s="289" t="s">
        <v>1</v>
      </c>
      <c r="AO567" s="289" t="s">
        <v>1</v>
      </c>
      <c r="AP567" s="286" t="s">
        <v>1</v>
      </c>
      <c r="AQ567" s="285" t="s">
        <v>1</v>
      </c>
      <c r="AR567" s="289" t="s">
        <v>1</v>
      </c>
      <c r="AS567" s="289" t="s">
        <v>1</v>
      </c>
      <c r="AT567" s="293" t="s">
        <v>1</v>
      </c>
      <c r="AU567" s="289" t="s">
        <v>1</v>
      </c>
      <c r="AV567" s="289" t="s">
        <v>1</v>
      </c>
      <c r="AW567" s="294" t="s">
        <v>1</v>
      </c>
    </row>
    <row r="568" spans="1:49" ht="30.15" customHeight="1" x14ac:dyDescent="0.25">
      <c r="A568" s="213" t="s">
        <v>18</v>
      </c>
      <c r="B568" s="189" t="s">
        <v>1</v>
      </c>
      <c r="C568" s="212" t="s">
        <v>34</v>
      </c>
      <c r="D568" s="190" t="s">
        <v>7</v>
      </c>
      <c r="E568" s="190" t="s">
        <v>851</v>
      </c>
      <c r="F568" s="203"/>
      <c r="G568" s="190" t="s">
        <v>853</v>
      </c>
      <c r="H568" s="192" t="s">
        <v>854</v>
      </c>
      <c r="I568" s="193">
        <v>1820</v>
      </c>
      <c r="J568" s="193">
        <v>1820</v>
      </c>
      <c r="K568" s="193">
        <v>1820</v>
      </c>
      <c r="L568" s="193">
        <v>2275</v>
      </c>
      <c r="M568" s="194">
        <v>2275</v>
      </c>
      <c r="N568" s="284">
        <v>910</v>
      </c>
      <c r="O568" s="285">
        <v>62.800000000000011</v>
      </c>
      <c r="P568" s="285">
        <v>24</v>
      </c>
      <c r="Q568" s="285" t="s">
        <v>1</v>
      </c>
      <c r="R568" s="285" t="s">
        <v>1</v>
      </c>
      <c r="S568" s="286">
        <v>910</v>
      </c>
      <c r="T568" s="285">
        <v>62.800000000000011</v>
      </c>
      <c r="U568" s="285">
        <v>24</v>
      </c>
      <c r="V568" s="285" t="s">
        <v>1</v>
      </c>
      <c r="W568" s="285" t="s">
        <v>1</v>
      </c>
      <c r="X568" s="286">
        <v>910</v>
      </c>
      <c r="Y568" s="285">
        <v>62.800000000000011</v>
      </c>
      <c r="Z568" s="285">
        <v>24</v>
      </c>
      <c r="AA568" s="285" t="s">
        <v>1</v>
      </c>
      <c r="AB568" s="285" t="s">
        <v>1</v>
      </c>
      <c r="AC568" s="286">
        <v>910</v>
      </c>
      <c r="AD568" s="285">
        <v>62.800000000000011</v>
      </c>
      <c r="AE568" s="285">
        <v>24</v>
      </c>
      <c r="AF568" s="285" t="s">
        <v>1</v>
      </c>
      <c r="AG568" s="285" t="s">
        <v>1</v>
      </c>
      <c r="AH568" s="286" t="s">
        <v>1</v>
      </c>
      <c r="AI568" s="312" t="s">
        <v>1</v>
      </c>
      <c r="AJ568" s="312" t="s">
        <v>1</v>
      </c>
      <c r="AK568" s="312" t="s">
        <v>1</v>
      </c>
      <c r="AL568" s="286" t="s">
        <v>1</v>
      </c>
      <c r="AM568" s="288" t="s">
        <v>1</v>
      </c>
      <c r="AN568" s="289" t="s">
        <v>1</v>
      </c>
      <c r="AO568" s="289" t="s">
        <v>1</v>
      </c>
      <c r="AP568" s="286" t="s">
        <v>1</v>
      </c>
      <c r="AQ568" s="285" t="s">
        <v>1</v>
      </c>
      <c r="AR568" s="289" t="s">
        <v>1</v>
      </c>
      <c r="AS568" s="289" t="s">
        <v>1</v>
      </c>
      <c r="AT568" s="293" t="s">
        <v>1</v>
      </c>
      <c r="AU568" s="289" t="s">
        <v>1</v>
      </c>
      <c r="AV568" s="289" t="s">
        <v>1</v>
      </c>
      <c r="AW568" s="294" t="s">
        <v>1</v>
      </c>
    </row>
    <row r="569" spans="1:49" ht="30.15" customHeight="1" x14ac:dyDescent="0.25">
      <c r="A569" s="213" t="s">
        <v>18</v>
      </c>
      <c r="B569" s="189" t="s">
        <v>1</v>
      </c>
      <c r="C569" s="212" t="s">
        <v>34</v>
      </c>
      <c r="D569" s="190" t="s">
        <v>7</v>
      </c>
      <c r="E569" s="190" t="s">
        <v>852</v>
      </c>
      <c r="F569" s="203"/>
      <c r="G569" s="190" t="s">
        <v>853</v>
      </c>
      <c r="H569" s="192" t="s">
        <v>854</v>
      </c>
      <c r="I569" s="193">
        <v>1820</v>
      </c>
      <c r="J569" s="193">
        <v>1820</v>
      </c>
      <c r="K569" s="193">
        <v>1820</v>
      </c>
      <c r="L569" s="193">
        <v>2275</v>
      </c>
      <c r="M569" s="194">
        <v>2275</v>
      </c>
      <c r="N569" s="284">
        <v>910</v>
      </c>
      <c r="O569" s="285">
        <v>62.800000000000011</v>
      </c>
      <c r="P569" s="285">
        <v>24</v>
      </c>
      <c r="Q569" s="285" t="s">
        <v>1</v>
      </c>
      <c r="R569" s="285" t="s">
        <v>1</v>
      </c>
      <c r="S569" s="286">
        <v>910</v>
      </c>
      <c r="T569" s="285">
        <v>62.800000000000011</v>
      </c>
      <c r="U569" s="285">
        <v>24</v>
      </c>
      <c r="V569" s="285" t="s">
        <v>1</v>
      </c>
      <c r="W569" s="285" t="s">
        <v>1</v>
      </c>
      <c r="X569" s="286">
        <v>910</v>
      </c>
      <c r="Y569" s="285">
        <v>62.800000000000011</v>
      </c>
      <c r="Z569" s="285">
        <v>24</v>
      </c>
      <c r="AA569" s="285" t="s">
        <v>1</v>
      </c>
      <c r="AB569" s="285" t="s">
        <v>1</v>
      </c>
      <c r="AC569" s="286">
        <v>910</v>
      </c>
      <c r="AD569" s="285">
        <v>62.800000000000011</v>
      </c>
      <c r="AE569" s="285">
        <v>24</v>
      </c>
      <c r="AF569" s="285" t="s">
        <v>1</v>
      </c>
      <c r="AG569" s="285" t="s">
        <v>1</v>
      </c>
      <c r="AH569" s="286" t="s">
        <v>1</v>
      </c>
      <c r="AI569" s="312" t="s">
        <v>1</v>
      </c>
      <c r="AJ569" s="312" t="s">
        <v>1</v>
      </c>
      <c r="AK569" s="312" t="s">
        <v>1</v>
      </c>
      <c r="AL569" s="286" t="s">
        <v>1</v>
      </c>
      <c r="AM569" s="288" t="s">
        <v>1</v>
      </c>
      <c r="AN569" s="289" t="s">
        <v>1</v>
      </c>
      <c r="AO569" s="289" t="s">
        <v>1</v>
      </c>
      <c r="AP569" s="286" t="s">
        <v>1</v>
      </c>
      <c r="AQ569" s="285" t="s">
        <v>1</v>
      </c>
      <c r="AR569" s="289" t="s">
        <v>1</v>
      </c>
      <c r="AS569" s="289" t="s">
        <v>1</v>
      </c>
      <c r="AT569" s="293" t="s">
        <v>1</v>
      </c>
      <c r="AU569" s="289" t="s">
        <v>1</v>
      </c>
      <c r="AV569" s="289" t="s">
        <v>1</v>
      </c>
      <c r="AW569" s="294" t="s">
        <v>1</v>
      </c>
    </row>
    <row r="570" spans="1:49" ht="30.15" customHeight="1" x14ac:dyDescent="0.25">
      <c r="A570" s="213" t="s">
        <v>18</v>
      </c>
      <c r="B570" s="189" t="s">
        <v>1</v>
      </c>
      <c r="C570" s="212" t="s">
        <v>34</v>
      </c>
      <c r="D570" s="190" t="s">
        <v>7</v>
      </c>
      <c r="E570" s="190" t="s">
        <v>915</v>
      </c>
      <c r="F570" s="203"/>
      <c r="G570" s="190" t="s">
        <v>917</v>
      </c>
      <c r="H570" s="192" t="s">
        <v>927</v>
      </c>
      <c r="I570" s="193">
        <v>1919</v>
      </c>
      <c r="J570" s="193">
        <v>1919</v>
      </c>
      <c r="K570" s="193">
        <v>1919</v>
      </c>
      <c r="L570" s="193">
        <v>1950</v>
      </c>
      <c r="M570" s="194">
        <v>1950</v>
      </c>
      <c r="N570" s="284">
        <v>780</v>
      </c>
      <c r="O570" s="285">
        <v>15.42</v>
      </c>
      <c r="P570" s="285">
        <v>24</v>
      </c>
      <c r="Q570" s="285">
        <v>290</v>
      </c>
      <c r="R570" s="285" t="s">
        <v>1</v>
      </c>
      <c r="S570" s="286">
        <v>780</v>
      </c>
      <c r="T570" s="285">
        <v>15.42</v>
      </c>
      <c r="U570" s="285">
        <v>24</v>
      </c>
      <c r="V570" s="285">
        <v>290</v>
      </c>
      <c r="W570" s="285" t="s">
        <v>1</v>
      </c>
      <c r="X570" s="286">
        <v>780</v>
      </c>
      <c r="Y570" s="285">
        <v>23.75</v>
      </c>
      <c r="Z570" s="285">
        <v>24</v>
      </c>
      <c r="AA570" s="285">
        <v>290</v>
      </c>
      <c r="AB570" s="285" t="s">
        <v>1</v>
      </c>
      <c r="AC570" s="286">
        <v>780</v>
      </c>
      <c r="AD570" s="285">
        <v>23.75</v>
      </c>
      <c r="AE570" s="285">
        <v>24</v>
      </c>
      <c r="AF570" s="285">
        <v>290</v>
      </c>
      <c r="AG570" s="285" t="s">
        <v>1</v>
      </c>
      <c r="AH570" s="286" t="s">
        <v>1</v>
      </c>
      <c r="AI570" s="312" t="s">
        <v>1</v>
      </c>
      <c r="AJ570" s="312" t="s">
        <v>1</v>
      </c>
      <c r="AK570" s="312" t="s">
        <v>1</v>
      </c>
      <c r="AL570" s="286" t="s">
        <v>1</v>
      </c>
      <c r="AM570" s="288" t="s">
        <v>1</v>
      </c>
      <c r="AN570" s="289" t="s">
        <v>1</v>
      </c>
      <c r="AO570" s="289" t="s">
        <v>1</v>
      </c>
      <c r="AP570" s="286" t="s">
        <v>1</v>
      </c>
      <c r="AQ570" s="285" t="s">
        <v>1</v>
      </c>
      <c r="AR570" s="289" t="s">
        <v>1</v>
      </c>
      <c r="AS570" s="289" t="s">
        <v>1</v>
      </c>
      <c r="AT570" s="293" t="s">
        <v>1</v>
      </c>
      <c r="AU570" s="289" t="s">
        <v>1</v>
      </c>
      <c r="AV570" s="289" t="s">
        <v>1</v>
      </c>
      <c r="AW570" s="294" t="s">
        <v>1</v>
      </c>
    </row>
    <row r="571" spans="1:49" ht="30.15" customHeight="1" x14ac:dyDescent="0.25">
      <c r="A571" s="213" t="s">
        <v>18</v>
      </c>
      <c r="B571" s="189" t="s">
        <v>1</v>
      </c>
      <c r="C571" s="212" t="s">
        <v>34</v>
      </c>
      <c r="D571" s="190" t="s">
        <v>7</v>
      </c>
      <c r="E571" s="190" t="s">
        <v>916</v>
      </c>
      <c r="F571" s="203"/>
      <c r="G571" s="190" t="s">
        <v>917</v>
      </c>
      <c r="H571" s="192" t="s">
        <v>927</v>
      </c>
      <c r="I571" s="193">
        <v>1919</v>
      </c>
      <c r="J571" s="193">
        <v>1919</v>
      </c>
      <c r="K571" s="193">
        <v>1919</v>
      </c>
      <c r="L571" s="193">
        <v>1950</v>
      </c>
      <c r="M571" s="194">
        <v>1950</v>
      </c>
      <c r="N571" s="284">
        <v>780</v>
      </c>
      <c r="O571" s="285">
        <v>15.42</v>
      </c>
      <c r="P571" s="285">
        <v>24</v>
      </c>
      <c r="Q571" s="285">
        <v>290</v>
      </c>
      <c r="R571" s="285" t="s">
        <v>1</v>
      </c>
      <c r="S571" s="286">
        <v>780</v>
      </c>
      <c r="T571" s="285">
        <v>15.42</v>
      </c>
      <c r="U571" s="285">
        <v>24</v>
      </c>
      <c r="V571" s="285">
        <v>290</v>
      </c>
      <c r="W571" s="285" t="s">
        <v>1</v>
      </c>
      <c r="X571" s="286">
        <v>780</v>
      </c>
      <c r="Y571" s="285">
        <v>23.75</v>
      </c>
      <c r="Z571" s="285">
        <v>24</v>
      </c>
      <c r="AA571" s="285">
        <v>290</v>
      </c>
      <c r="AB571" s="285" t="s">
        <v>1</v>
      </c>
      <c r="AC571" s="286">
        <v>780</v>
      </c>
      <c r="AD571" s="285">
        <v>23.75</v>
      </c>
      <c r="AE571" s="285">
        <v>24</v>
      </c>
      <c r="AF571" s="285">
        <v>290</v>
      </c>
      <c r="AG571" s="285" t="s">
        <v>1</v>
      </c>
      <c r="AH571" s="286" t="s">
        <v>1</v>
      </c>
      <c r="AI571" s="312" t="s">
        <v>1</v>
      </c>
      <c r="AJ571" s="312" t="s">
        <v>1</v>
      </c>
      <c r="AK571" s="312" t="s">
        <v>1</v>
      </c>
      <c r="AL571" s="286" t="s">
        <v>1</v>
      </c>
      <c r="AM571" s="288" t="s">
        <v>1</v>
      </c>
      <c r="AN571" s="289" t="s">
        <v>1</v>
      </c>
      <c r="AO571" s="289" t="s">
        <v>1</v>
      </c>
      <c r="AP571" s="286" t="s">
        <v>1</v>
      </c>
      <c r="AQ571" s="285" t="s">
        <v>1</v>
      </c>
      <c r="AR571" s="289" t="s">
        <v>1</v>
      </c>
      <c r="AS571" s="289" t="s">
        <v>1</v>
      </c>
      <c r="AT571" s="293" t="s">
        <v>1</v>
      </c>
      <c r="AU571" s="289" t="s">
        <v>1</v>
      </c>
      <c r="AV571" s="289" t="s">
        <v>1</v>
      </c>
      <c r="AW571" s="294" t="s">
        <v>1</v>
      </c>
    </row>
    <row r="572" spans="1:49" ht="30.15" customHeight="1" x14ac:dyDescent="0.25">
      <c r="A572" s="213" t="s">
        <v>18</v>
      </c>
      <c r="B572" s="189" t="s">
        <v>1</v>
      </c>
      <c r="C572" s="212" t="s">
        <v>35</v>
      </c>
      <c r="D572" s="190" t="s">
        <v>7</v>
      </c>
      <c r="E572" s="190" t="s">
        <v>571</v>
      </c>
      <c r="F572" s="203"/>
      <c r="G572" s="190" t="s">
        <v>572</v>
      </c>
      <c r="H572" s="192" t="s">
        <v>409</v>
      </c>
      <c r="I572" s="193">
        <v>299</v>
      </c>
      <c r="J572" s="193">
        <v>262</v>
      </c>
      <c r="K572" s="193">
        <v>299</v>
      </c>
      <c r="L572" s="193">
        <v>359</v>
      </c>
      <c r="M572" s="194">
        <v>359</v>
      </c>
      <c r="N572" s="284" t="s">
        <v>1</v>
      </c>
      <c r="O572" s="285" t="s">
        <v>1</v>
      </c>
      <c r="P572" s="285" t="s">
        <v>1</v>
      </c>
      <c r="Q572" s="285" t="s">
        <v>1</v>
      </c>
      <c r="R572" s="285" t="s">
        <v>1</v>
      </c>
      <c r="S572" s="286" t="s">
        <v>1</v>
      </c>
      <c r="T572" s="285" t="s">
        <v>1</v>
      </c>
      <c r="U572" s="285" t="s">
        <v>1</v>
      </c>
      <c r="V572" s="285" t="s">
        <v>1</v>
      </c>
      <c r="W572" s="285" t="s">
        <v>1</v>
      </c>
      <c r="X572" s="286" t="s">
        <v>1</v>
      </c>
      <c r="Y572" s="285" t="s">
        <v>1</v>
      </c>
      <c r="Z572" s="285" t="s">
        <v>1</v>
      </c>
      <c r="AA572" s="285" t="s">
        <v>1</v>
      </c>
      <c r="AB572" s="285" t="s">
        <v>1</v>
      </c>
      <c r="AC572" s="286" t="s">
        <v>1</v>
      </c>
      <c r="AD572" s="285" t="s">
        <v>1</v>
      </c>
      <c r="AE572" s="285" t="s">
        <v>1</v>
      </c>
      <c r="AF572" s="285" t="s">
        <v>1</v>
      </c>
      <c r="AG572" s="285" t="s">
        <v>1</v>
      </c>
      <c r="AH572" s="286" t="s">
        <v>1</v>
      </c>
      <c r="AI572" s="295" t="s">
        <v>1</v>
      </c>
      <c r="AJ572" s="295" t="s">
        <v>1</v>
      </c>
      <c r="AK572" s="295" t="s">
        <v>1</v>
      </c>
      <c r="AL572" s="286">
        <v>143.6</v>
      </c>
      <c r="AM572" s="285">
        <v>14.95</v>
      </c>
      <c r="AN572" s="285">
        <v>24</v>
      </c>
      <c r="AO572" s="285" t="s">
        <v>1</v>
      </c>
      <c r="AP572" s="286" t="s">
        <v>1</v>
      </c>
      <c r="AQ572" s="285" t="s">
        <v>1</v>
      </c>
      <c r="AR572" s="285" t="s">
        <v>1</v>
      </c>
      <c r="AS572" s="285" t="s">
        <v>1</v>
      </c>
      <c r="AT572" s="290" t="s">
        <v>1</v>
      </c>
      <c r="AU572" s="287" t="s">
        <v>1</v>
      </c>
      <c r="AV572" s="287" t="s">
        <v>1</v>
      </c>
      <c r="AW572" s="291" t="s">
        <v>1</v>
      </c>
    </row>
    <row r="573" spans="1:49" ht="30.15" customHeight="1" x14ac:dyDescent="0.25">
      <c r="A573" s="213" t="s">
        <v>18</v>
      </c>
      <c r="B573" s="189" t="s">
        <v>1</v>
      </c>
      <c r="C573" s="212" t="s">
        <v>35</v>
      </c>
      <c r="D573" s="190" t="s">
        <v>7</v>
      </c>
      <c r="E573" s="190" t="s">
        <v>896</v>
      </c>
      <c r="F573" s="203"/>
      <c r="G573" s="190" t="s">
        <v>897</v>
      </c>
      <c r="H573" s="192" t="s">
        <v>409</v>
      </c>
      <c r="I573" s="193">
        <v>287.99</v>
      </c>
      <c r="J573" s="193">
        <v>287.99</v>
      </c>
      <c r="K573" s="193">
        <v>287.99</v>
      </c>
      <c r="L573" s="193">
        <v>360</v>
      </c>
      <c r="M573" s="194">
        <v>360</v>
      </c>
      <c r="N573" s="284" t="s">
        <v>1</v>
      </c>
      <c r="O573" s="285" t="s">
        <v>1</v>
      </c>
      <c r="P573" s="285" t="s">
        <v>1</v>
      </c>
      <c r="Q573" s="285" t="s">
        <v>1</v>
      </c>
      <c r="R573" s="285" t="s">
        <v>1</v>
      </c>
      <c r="S573" s="286" t="s">
        <v>1</v>
      </c>
      <c r="T573" s="285" t="s">
        <v>1</v>
      </c>
      <c r="U573" s="285" t="s">
        <v>1</v>
      </c>
      <c r="V573" s="285" t="s">
        <v>1</v>
      </c>
      <c r="W573" s="285" t="s">
        <v>1</v>
      </c>
      <c r="X573" s="286" t="s">
        <v>1</v>
      </c>
      <c r="Y573" s="285" t="s">
        <v>1</v>
      </c>
      <c r="Z573" s="285" t="s">
        <v>1</v>
      </c>
      <c r="AA573" s="285" t="s">
        <v>1</v>
      </c>
      <c r="AB573" s="285" t="s">
        <v>1</v>
      </c>
      <c r="AC573" s="286" t="s">
        <v>1</v>
      </c>
      <c r="AD573" s="285" t="s">
        <v>1</v>
      </c>
      <c r="AE573" s="285" t="s">
        <v>1</v>
      </c>
      <c r="AF573" s="285" t="s">
        <v>1</v>
      </c>
      <c r="AG573" s="285" t="s">
        <v>1</v>
      </c>
      <c r="AH573" s="286" t="s">
        <v>1</v>
      </c>
      <c r="AI573" s="295" t="s">
        <v>1</v>
      </c>
      <c r="AJ573" s="295" t="s">
        <v>1</v>
      </c>
      <c r="AK573" s="295" t="s">
        <v>1</v>
      </c>
      <c r="AL573" s="286">
        <v>144</v>
      </c>
      <c r="AM573" s="288">
        <v>10</v>
      </c>
      <c r="AN573" s="285">
        <v>24</v>
      </c>
      <c r="AO573" s="285" t="s">
        <v>1</v>
      </c>
      <c r="AP573" s="286" t="s">
        <v>1</v>
      </c>
      <c r="AQ573" s="285" t="s">
        <v>1</v>
      </c>
      <c r="AR573" s="285" t="s">
        <v>1</v>
      </c>
      <c r="AS573" s="285" t="s">
        <v>1</v>
      </c>
      <c r="AT573" s="290" t="s">
        <v>1</v>
      </c>
      <c r="AU573" s="287" t="s">
        <v>1</v>
      </c>
      <c r="AV573" s="287" t="s">
        <v>1</v>
      </c>
      <c r="AW573" s="291" t="s">
        <v>1</v>
      </c>
    </row>
    <row r="574" spans="1:49" ht="30.15" customHeight="1" x14ac:dyDescent="0.25">
      <c r="A574" s="188" t="s">
        <v>18</v>
      </c>
      <c r="B574" s="189" t="s">
        <v>1</v>
      </c>
      <c r="C574" s="212" t="s">
        <v>35</v>
      </c>
      <c r="D574" s="190" t="s">
        <v>7</v>
      </c>
      <c r="E574" s="190" t="s">
        <v>531</v>
      </c>
      <c r="F574" s="203"/>
      <c r="G574" s="190" t="s">
        <v>532</v>
      </c>
      <c r="H574" s="192" t="s">
        <v>409</v>
      </c>
      <c r="I574" s="193">
        <v>530</v>
      </c>
      <c r="J574" s="193">
        <v>495</v>
      </c>
      <c r="K574" s="193">
        <v>530</v>
      </c>
      <c r="L574" s="193">
        <v>550</v>
      </c>
      <c r="M574" s="194">
        <v>550</v>
      </c>
      <c r="N574" s="284" t="s">
        <v>1</v>
      </c>
      <c r="O574" s="285" t="s">
        <v>1</v>
      </c>
      <c r="P574" s="285" t="s">
        <v>1</v>
      </c>
      <c r="Q574" s="285" t="s">
        <v>1</v>
      </c>
      <c r="R574" s="285" t="s">
        <v>1</v>
      </c>
      <c r="S574" s="286" t="s">
        <v>1</v>
      </c>
      <c r="T574" s="285" t="s">
        <v>1</v>
      </c>
      <c r="U574" s="285" t="s">
        <v>1</v>
      </c>
      <c r="V574" s="285" t="s">
        <v>1</v>
      </c>
      <c r="W574" s="285" t="s">
        <v>1</v>
      </c>
      <c r="X574" s="286" t="s">
        <v>1</v>
      </c>
      <c r="Y574" s="285" t="s">
        <v>1</v>
      </c>
      <c r="Z574" s="285" t="s">
        <v>1</v>
      </c>
      <c r="AA574" s="285" t="s">
        <v>1</v>
      </c>
      <c r="AB574" s="285" t="s">
        <v>1</v>
      </c>
      <c r="AC574" s="286" t="s">
        <v>1</v>
      </c>
      <c r="AD574" s="285" t="s">
        <v>1</v>
      </c>
      <c r="AE574" s="285" t="s">
        <v>1</v>
      </c>
      <c r="AF574" s="285" t="s">
        <v>1</v>
      </c>
      <c r="AG574" s="285" t="s">
        <v>1</v>
      </c>
      <c r="AH574" s="286" t="s">
        <v>1</v>
      </c>
      <c r="AI574" s="295" t="s">
        <v>1</v>
      </c>
      <c r="AJ574" s="295" t="s">
        <v>1</v>
      </c>
      <c r="AK574" s="295" t="s">
        <v>1</v>
      </c>
      <c r="AL574" s="286">
        <v>220</v>
      </c>
      <c r="AM574" s="288" t="s">
        <v>1</v>
      </c>
      <c r="AN574" s="287" t="s">
        <v>1</v>
      </c>
      <c r="AO574" s="287" t="s">
        <v>1</v>
      </c>
      <c r="AP574" s="286" t="s">
        <v>1</v>
      </c>
      <c r="AQ574" s="285" t="s">
        <v>1</v>
      </c>
      <c r="AR574" s="289" t="s">
        <v>1</v>
      </c>
      <c r="AS574" s="289" t="s">
        <v>1</v>
      </c>
      <c r="AT574" s="290" t="s">
        <v>1</v>
      </c>
      <c r="AU574" s="287" t="s">
        <v>1</v>
      </c>
      <c r="AV574" s="287" t="s">
        <v>1</v>
      </c>
      <c r="AW574" s="291" t="s">
        <v>1</v>
      </c>
    </row>
    <row r="575" spans="1:49" ht="30.15" customHeight="1" x14ac:dyDescent="0.25">
      <c r="A575" s="188" t="s">
        <v>18</v>
      </c>
      <c r="B575" s="189" t="s">
        <v>1</v>
      </c>
      <c r="C575" s="212" t="s">
        <v>35</v>
      </c>
      <c r="D575" s="190" t="s">
        <v>7</v>
      </c>
      <c r="E575" s="190" t="s">
        <v>1225</v>
      </c>
      <c r="F575" s="191"/>
      <c r="G575" s="192" t="s">
        <v>1226</v>
      </c>
      <c r="H575" s="192" t="s">
        <v>7</v>
      </c>
      <c r="I575" s="193">
        <v>709.99</v>
      </c>
      <c r="J575" s="193">
        <v>709.99</v>
      </c>
      <c r="K575" s="193">
        <v>709.99</v>
      </c>
      <c r="L575" s="193">
        <v>779.99</v>
      </c>
      <c r="M575" s="194">
        <v>779.99</v>
      </c>
      <c r="N575" s="284" t="s">
        <v>1</v>
      </c>
      <c r="O575" s="285" t="s">
        <v>1</v>
      </c>
      <c r="P575" s="285" t="s">
        <v>1</v>
      </c>
      <c r="Q575" s="285" t="s">
        <v>1</v>
      </c>
      <c r="R575" s="285" t="s">
        <v>1</v>
      </c>
      <c r="S575" s="286" t="s">
        <v>1</v>
      </c>
      <c r="T575" s="285" t="s">
        <v>1</v>
      </c>
      <c r="U575" s="285" t="s">
        <v>1</v>
      </c>
      <c r="V575" s="285" t="s">
        <v>1</v>
      </c>
      <c r="W575" s="285" t="s">
        <v>1</v>
      </c>
      <c r="X575" s="286" t="s">
        <v>1</v>
      </c>
      <c r="Y575" s="285" t="s">
        <v>1</v>
      </c>
      <c r="Z575" s="285" t="s">
        <v>1</v>
      </c>
      <c r="AA575" s="285" t="s">
        <v>1</v>
      </c>
      <c r="AB575" s="285" t="s">
        <v>1</v>
      </c>
      <c r="AC575" s="286" t="s">
        <v>1</v>
      </c>
      <c r="AD575" s="285" t="s">
        <v>1</v>
      </c>
      <c r="AE575" s="285" t="s">
        <v>1</v>
      </c>
      <c r="AF575" s="285" t="s">
        <v>1</v>
      </c>
      <c r="AG575" s="285" t="s">
        <v>1</v>
      </c>
      <c r="AH575" s="286" t="s">
        <v>1</v>
      </c>
      <c r="AI575" s="295" t="s">
        <v>1</v>
      </c>
      <c r="AJ575" s="295" t="s">
        <v>1</v>
      </c>
      <c r="AK575" s="295" t="s">
        <v>1</v>
      </c>
      <c r="AL575" s="286">
        <v>312</v>
      </c>
      <c r="AM575" s="288" t="s">
        <v>1</v>
      </c>
      <c r="AN575" s="287" t="s">
        <v>1</v>
      </c>
      <c r="AO575" s="287" t="s">
        <v>1</v>
      </c>
      <c r="AP575" s="286" t="s">
        <v>1</v>
      </c>
      <c r="AQ575" s="285" t="s">
        <v>1</v>
      </c>
      <c r="AR575" s="289" t="s">
        <v>1</v>
      </c>
      <c r="AS575" s="289" t="s">
        <v>1</v>
      </c>
      <c r="AT575" s="290" t="s">
        <v>1</v>
      </c>
      <c r="AU575" s="287" t="s">
        <v>1</v>
      </c>
      <c r="AV575" s="287" t="s">
        <v>1</v>
      </c>
      <c r="AW575" s="291" t="s">
        <v>1</v>
      </c>
    </row>
    <row r="576" spans="1:49" ht="30.15" customHeight="1" x14ac:dyDescent="0.25">
      <c r="A576" s="188" t="s">
        <v>18</v>
      </c>
      <c r="B576" s="189" t="s">
        <v>1</v>
      </c>
      <c r="C576" s="212" t="s">
        <v>35</v>
      </c>
      <c r="D576" s="190" t="s">
        <v>7</v>
      </c>
      <c r="E576" s="190" t="s">
        <v>1227</v>
      </c>
      <c r="F576" s="191"/>
      <c r="G576" s="192" t="s">
        <v>1228</v>
      </c>
      <c r="H576" s="192" t="s">
        <v>7</v>
      </c>
      <c r="I576" s="193">
        <v>855</v>
      </c>
      <c r="J576" s="193">
        <v>855</v>
      </c>
      <c r="K576" s="193">
        <v>855</v>
      </c>
      <c r="L576" s="193">
        <v>900</v>
      </c>
      <c r="M576" s="194">
        <v>900</v>
      </c>
      <c r="N576" s="284" t="s">
        <v>1</v>
      </c>
      <c r="O576" s="285" t="s">
        <v>1</v>
      </c>
      <c r="P576" s="285" t="s">
        <v>1</v>
      </c>
      <c r="Q576" s="285" t="s">
        <v>1</v>
      </c>
      <c r="R576" s="285" t="s">
        <v>1</v>
      </c>
      <c r="S576" s="286" t="s">
        <v>1</v>
      </c>
      <c r="T576" s="285" t="s">
        <v>1</v>
      </c>
      <c r="U576" s="285" t="s">
        <v>1</v>
      </c>
      <c r="V576" s="285" t="s">
        <v>1</v>
      </c>
      <c r="W576" s="285" t="s">
        <v>1</v>
      </c>
      <c r="X576" s="286" t="s">
        <v>1</v>
      </c>
      <c r="Y576" s="285" t="s">
        <v>1</v>
      </c>
      <c r="Z576" s="285" t="s">
        <v>1</v>
      </c>
      <c r="AA576" s="285" t="s">
        <v>1</v>
      </c>
      <c r="AB576" s="285" t="s">
        <v>1</v>
      </c>
      <c r="AC576" s="286" t="s">
        <v>1</v>
      </c>
      <c r="AD576" s="285" t="s">
        <v>1</v>
      </c>
      <c r="AE576" s="285" t="s">
        <v>1</v>
      </c>
      <c r="AF576" s="285" t="s">
        <v>1</v>
      </c>
      <c r="AG576" s="285" t="s">
        <v>1</v>
      </c>
      <c r="AH576" s="286" t="s">
        <v>1</v>
      </c>
      <c r="AI576" s="295" t="s">
        <v>1</v>
      </c>
      <c r="AJ576" s="295" t="s">
        <v>1</v>
      </c>
      <c r="AK576" s="295" t="s">
        <v>1</v>
      </c>
      <c r="AL576" s="286">
        <v>360</v>
      </c>
      <c r="AM576" s="288" t="s">
        <v>1</v>
      </c>
      <c r="AN576" s="287" t="s">
        <v>1</v>
      </c>
      <c r="AO576" s="287" t="s">
        <v>1</v>
      </c>
      <c r="AP576" s="286" t="s">
        <v>1</v>
      </c>
      <c r="AQ576" s="285" t="s">
        <v>1</v>
      </c>
      <c r="AR576" s="289" t="s">
        <v>1</v>
      </c>
      <c r="AS576" s="289" t="s">
        <v>1</v>
      </c>
      <c r="AT576" s="290" t="s">
        <v>1</v>
      </c>
      <c r="AU576" s="287" t="s">
        <v>1</v>
      </c>
      <c r="AV576" s="287" t="s">
        <v>1</v>
      </c>
      <c r="AW576" s="291" t="s">
        <v>1</v>
      </c>
    </row>
    <row r="577" spans="1:49" ht="30.15" customHeight="1" x14ac:dyDescent="0.25">
      <c r="A577" s="188" t="s">
        <v>18</v>
      </c>
      <c r="B577" s="188" t="s">
        <v>1</v>
      </c>
      <c r="C577" s="212" t="s">
        <v>34</v>
      </c>
      <c r="D577" s="190" t="s">
        <v>7</v>
      </c>
      <c r="E577" s="190" t="s">
        <v>288</v>
      </c>
      <c r="F577" s="191"/>
      <c r="G577" s="192" t="s">
        <v>289</v>
      </c>
      <c r="H577" s="192" t="s">
        <v>409</v>
      </c>
      <c r="I577" s="193">
        <v>330</v>
      </c>
      <c r="J577" s="193">
        <v>330</v>
      </c>
      <c r="K577" s="193">
        <v>330</v>
      </c>
      <c r="L577" s="193">
        <v>350</v>
      </c>
      <c r="M577" s="194">
        <v>350</v>
      </c>
      <c r="N577" s="284">
        <v>140</v>
      </c>
      <c r="O577" s="285" t="s">
        <v>1</v>
      </c>
      <c r="P577" s="285" t="s">
        <v>1</v>
      </c>
      <c r="Q577" s="285" t="s">
        <v>1</v>
      </c>
      <c r="R577" s="285" t="s">
        <v>1</v>
      </c>
      <c r="S577" s="286">
        <v>140</v>
      </c>
      <c r="T577" s="285" t="s">
        <v>1</v>
      </c>
      <c r="U577" s="285" t="s">
        <v>1</v>
      </c>
      <c r="V577" s="285" t="s">
        <v>1</v>
      </c>
      <c r="W577" s="285" t="s">
        <v>1</v>
      </c>
      <c r="X577" s="286">
        <v>140</v>
      </c>
      <c r="Y577" s="285" t="s">
        <v>1</v>
      </c>
      <c r="Z577" s="285" t="s">
        <v>1</v>
      </c>
      <c r="AA577" s="285" t="s">
        <v>1</v>
      </c>
      <c r="AB577" s="285" t="s">
        <v>1</v>
      </c>
      <c r="AC577" s="286">
        <v>140</v>
      </c>
      <c r="AD577" s="285" t="s">
        <v>1</v>
      </c>
      <c r="AE577" s="285" t="s">
        <v>1</v>
      </c>
      <c r="AF577" s="285" t="s">
        <v>1</v>
      </c>
      <c r="AG577" s="285" t="s">
        <v>1</v>
      </c>
      <c r="AH577" s="286">
        <v>140</v>
      </c>
      <c r="AI577" s="295" t="s">
        <v>1</v>
      </c>
      <c r="AJ577" s="295" t="s">
        <v>1</v>
      </c>
      <c r="AK577" s="295" t="s">
        <v>1</v>
      </c>
      <c r="AL577" s="286" t="s">
        <v>1</v>
      </c>
      <c r="AM577" s="288" t="s">
        <v>1</v>
      </c>
      <c r="AN577" s="287" t="s">
        <v>1</v>
      </c>
      <c r="AO577" s="287" t="s">
        <v>1</v>
      </c>
      <c r="AP577" s="286" t="s">
        <v>1</v>
      </c>
      <c r="AQ577" s="285" t="s">
        <v>1</v>
      </c>
      <c r="AR577" s="289" t="s">
        <v>1</v>
      </c>
      <c r="AS577" s="289" t="s">
        <v>1</v>
      </c>
      <c r="AT577" s="290" t="s">
        <v>1</v>
      </c>
      <c r="AU577" s="287" t="s">
        <v>1</v>
      </c>
      <c r="AV577" s="287" t="s">
        <v>1</v>
      </c>
      <c r="AW577" s="291" t="s">
        <v>1</v>
      </c>
    </row>
    <row r="578" spans="1:49" ht="30.15" customHeight="1" x14ac:dyDescent="0.25">
      <c r="A578" s="188" t="s">
        <v>18</v>
      </c>
      <c r="B578" s="188" t="s">
        <v>1</v>
      </c>
      <c r="C578" s="212" t="s">
        <v>34</v>
      </c>
      <c r="D578" s="190" t="s">
        <v>7</v>
      </c>
      <c r="E578" s="190" t="s">
        <v>898</v>
      </c>
      <c r="F578" s="191"/>
      <c r="G578" s="192" t="s">
        <v>899</v>
      </c>
      <c r="H578" s="192" t="s">
        <v>7</v>
      </c>
      <c r="I578" s="193">
        <v>629.99</v>
      </c>
      <c r="J578" s="193">
        <v>629.99</v>
      </c>
      <c r="K578" s="193">
        <v>629.99</v>
      </c>
      <c r="L578" s="193">
        <v>699.99</v>
      </c>
      <c r="M578" s="194">
        <v>699.99</v>
      </c>
      <c r="N578" s="284">
        <v>280</v>
      </c>
      <c r="O578" s="285" t="s">
        <v>1</v>
      </c>
      <c r="P578" s="285" t="s">
        <v>1</v>
      </c>
      <c r="Q578" s="285" t="s">
        <v>1</v>
      </c>
      <c r="R578" s="285" t="s">
        <v>1</v>
      </c>
      <c r="S578" s="286">
        <v>280</v>
      </c>
      <c r="T578" s="285" t="s">
        <v>1</v>
      </c>
      <c r="U578" s="285" t="s">
        <v>1</v>
      </c>
      <c r="V578" s="285" t="s">
        <v>1</v>
      </c>
      <c r="W578" s="285" t="s">
        <v>1</v>
      </c>
      <c r="X578" s="286">
        <v>280</v>
      </c>
      <c r="Y578" s="285" t="s">
        <v>1</v>
      </c>
      <c r="Z578" s="285" t="s">
        <v>1</v>
      </c>
      <c r="AA578" s="285" t="s">
        <v>1</v>
      </c>
      <c r="AB578" s="285" t="s">
        <v>1</v>
      </c>
      <c r="AC578" s="286">
        <v>280</v>
      </c>
      <c r="AD578" s="285" t="s">
        <v>1</v>
      </c>
      <c r="AE578" s="285" t="s">
        <v>1</v>
      </c>
      <c r="AF578" s="285" t="s">
        <v>1</v>
      </c>
      <c r="AG578" s="285" t="s">
        <v>1</v>
      </c>
      <c r="AH578" s="286" t="s">
        <v>1</v>
      </c>
      <c r="AI578" s="295" t="s">
        <v>1</v>
      </c>
      <c r="AJ578" s="295" t="s">
        <v>1</v>
      </c>
      <c r="AK578" s="295" t="s">
        <v>1</v>
      </c>
      <c r="AL578" s="286" t="s">
        <v>1</v>
      </c>
      <c r="AM578" s="288" t="s">
        <v>1</v>
      </c>
      <c r="AN578" s="287" t="s">
        <v>1</v>
      </c>
      <c r="AO578" s="287" t="s">
        <v>1</v>
      </c>
      <c r="AP578" s="286" t="s">
        <v>1</v>
      </c>
      <c r="AQ578" s="285" t="s">
        <v>1</v>
      </c>
      <c r="AR578" s="289" t="s">
        <v>1</v>
      </c>
      <c r="AS578" s="289" t="s">
        <v>1</v>
      </c>
      <c r="AT578" s="290" t="s">
        <v>1</v>
      </c>
      <c r="AU578" s="287" t="s">
        <v>1</v>
      </c>
      <c r="AV578" s="287" t="s">
        <v>1</v>
      </c>
      <c r="AW578" s="291" t="s">
        <v>1</v>
      </c>
    </row>
    <row r="579" spans="1:49" ht="30.15" customHeight="1" x14ac:dyDescent="0.25">
      <c r="A579" s="188" t="s">
        <v>18</v>
      </c>
      <c r="B579" s="189" t="s">
        <v>1</v>
      </c>
      <c r="C579" s="188" t="s">
        <v>35</v>
      </c>
      <c r="D579" s="190" t="s">
        <v>8</v>
      </c>
      <c r="E579" s="190" t="s">
        <v>12</v>
      </c>
      <c r="F579" s="203"/>
      <c r="G579" s="190" t="s">
        <v>32</v>
      </c>
      <c r="H579" s="192" t="s">
        <v>409</v>
      </c>
      <c r="I579" s="193">
        <v>175</v>
      </c>
      <c r="J579" s="193">
        <v>175</v>
      </c>
      <c r="K579" s="193">
        <v>175</v>
      </c>
      <c r="L579" s="193">
        <v>199.99</v>
      </c>
      <c r="M579" s="194">
        <v>199.99</v>
      </c>
      <c r="N579" s="284" t="s">
        <v>1</v>
      </c>
      <c r="O579" s="285" t="s">
        <v>1</v>
      </c>
      <c r="P579" s="285" t="s">
        <v>1</v>
      </c>
      <c r="Q579" s="285" t="s">
        <v>1</v>
      </c>
      <c r="R579" s="285" t="s">
        <v>1</v>
      </c>
      <c r="S579" s="286" t="s">
        <v>1</v>
      </c>
      <c r="T579" s="285" t="s">
        <v>1</v>
      </c>
      <c r="U579" s="285" t="s">
        <v>1</v>
      </c>
      <c r="V579" s="285" t="s">
        <v>1</v>
      </c>
      <c r="W579" s="285" t="s">
        <v>1</v>
      </c>
      <c r="X579" s="286" t="s">
        <v>1</v>
      </c>
      <c r="Y579" s="285" t="s">
        <v>1</v>
      </c>
      <c r="Z579" s="285" t="s">
        <v>1</v>
      </c>
      <c r="AA579" s="285" t="s">
        <v>1</v>
      </c>
      <c r="AB579" s="285" t="s">
        <v>1</v>
      </c>
      <c r="AC579" s="286" t="s">
        <v>1</v>
      </c>
      <c r="AD579" s="285" t="s">
        <v>1</v>
      </c>
      <c r="AE579" s="285" t="s">
        <v>1</v>
      </c>
      <c r="AF579" s="285" t="s">
        <v>1</v>
      </c>
      <c r="AG579" s="285" t="s">
        <v>1</v>
      </c>
      <c r="AH579" s="286" t="s">
        <v>1</v>
      </c>
      <c r="AI579" s="295" t="s">
        <v>1</v>
      </c>
      <c r="AJ579" s="295" t="s">
        <v>1</v>
      </c>
      <c r="AK579" s="295" t="s">
        <v>1</v>
      </c>
      <c r="AL579" s="286">
        <v>80</v>
      </c>
      <c r="AM579" s="288" t="s">
        <v>1</v>
      </c>
      <c r="AN579" s="287" t="s">
        <v>1</v>
      </c>
      <c r="AO579" s="287" t="s">
        <v>1</v>
      </c>
      <c r="AP579" s="286" t="s">
        <v>1</v>
      </c>
      <c r="AQ579" s="285" t="s">
        <v>1</v>
      </c>
      <c r="AR579" s="289" t="s">
        <v>1</v>
      </c>
      <c r="AS579" s="289" t="s">
        <v>1</v>
      </c>
      <c r="AT579" s="290" t="s">
        <v>1</v>
      </c>
      <c r="AU579" s="287" t="s">
        <v>1</v>
      </c>
      <c r="AV579" s="287" t="s">
        <v>1</v>
      </c>
      <c r="AW579" s="291" t="s">
        <v>1</v>
      </c>
    </row>
    <row r="580" spans="1:49" ht="30.15" customHeight="1" x14ac:dyDescent="0.25">
      <c r="A580" s="188" t="s">
        <v>18</v>
      </c>
      <c r="B580" s="189" t="s">
        <v>1</v>
      </c>
      <c r="C580" s="188" t="s">
        <v>35</v>
      </c>
      <c r="D580" s="190" t="s">
        <v>8</v>
      </c>
      <c r="E580" s="190" t="s">
        <v>42</v>
      </c>
      <c r="F580" s="203"/>
      <c r="G580" s="190" t="s">
        <v>32</v>
      </c>
      <c r="H580" s="192" t="s">
        <v>409</v>
      </c>
      <c r="I580" s="193">
        <v>175</v>
      </c>
      <c r="J580" s="193">
        <v>175</v>
      </c>
      <c r="K580" s="193">
        <v>175</v>
      </c>
      <c r="L580" s="193">
        <v>199.99</v>
      </c>
      <c r="M580" s="194">
        <v>199.99</v>
      </c>
      <c r="N580" s="284" t="s">
        <v>1</v>
      </c>
      <c r="O580" s="285" t="s">
        <v>1</v>
      </c>
      <c r="P580" s="285" t="s">
        <v>1</v>
      </c>
      <c r="Q580" s="285" t="s">
        <v>1</v>
      </c>
      <c r="R580" s="285" t="s">
        <v>1</v>
      </c>
      <c r="S580" s="286" t="s">
        <v>1</v>
      </c>
      <c r="T580" s="285" t="s">
        <v>1</v>
      </c>
      <c r="U580" s="285" t="s">
        <v>1</v>
      </c>
      <c r="V580" s="285" t="s">
        <v>1</v>
      </c>
      <c r="W580" s="285" t="s">
        <v>1</v>
      </c>
      <c r="X580" s="286" t="s">
        <v>1</v>
      </c>
      <c r="Y580" s="285" t="s">
        <v>1</v>
      </c>
      <c r="Z580" s="285" t="s">
        <v>1</v>
      </c>
      <c r="AA580" s="285" t="s">
        <v>1</v>
      </c>
      <c r="AB580" s="285" t="s">
        <v>1</v>
      </c>
      <c r="AC580" s="286" t="s">
        <v>1</v>
      </c>
      <c r="AD580" s="285" t="s">
        <v>1</v>
      </c>
      <c r="AE580" s="285" t="s">
        <v>1</v>
      </c>
      <c r="AF580" s="285" t="s">
        <v>1</v>
      </c>
      <c r="AG580" s="285" t="s">
        <v>1</v>
      </c>
      <c r="AH580" s="286" t="s">
        <v>1</v>
      </c>
      <c r="AI580" s="295" t="s">
        <v>1</v>
      </c>
      <c r="AJ580" s="295" t="s">
        <v>1</v>
      </c>
      <c r="AK580" s="295" t="s">
        <v>1</v>
      </c>
      <c r="AL580" s="286">
        <v>80</v>
      </c>
      <c r="AM580" s="288" t="s">
        <v>1</v>
      </c>
      <c r="AN580" s="287" t="s">
        <v>1</v>
      </c>
      <c r="AO580" s="287" t="s">
        <v>1</v>
      </c>
      <c r="AP580" s="286" t="s">
        <v>1</v>
      </c>
      <c r="AQ580" s="285" t="s">
        <v>1</v>
      </c>
      <c r="AR580" s="289" t="s">
        <v>1</v>
      </c>
      <c r="AS580" s="289" t="s">
        <v>1</v>
      </c>
      <c r="AT580" s="290" t="s">
        <v>1</v>
      </c>
      <c r="AU580" s="287" t="s">
        <v>1</v>
      </c>
      <c r="AV580" s="287" t="s">
        <v>1</v>
      </c>
      <c r="AW580" s="291" t="s">
        <v>1</v>
      </c>
    </row>
    <row r="581" spans="1:49" ht="30.15" customHeight="1" x14ac:dyDescent="0.25">
      <c r="A581" s="188" t="s">
        <v>18</v>
      </c>
      <c r="B581" s="189" t="s">
        <v>1</v>
      </c>
      <c r="C581" s="212" t="s">
        <v>34</v>
      </c>
      <c r="D581" s="190" t="s">
        <v>73</v>
      </c>
      <c r="E581" s="190" t="s">
        <v>489</v>
      </c>
      <c r="F581" s="203"/>
      <c r="G581" s="190" t="s">
        <v>488</v>
      </c>
      <c r="H581" s="192" t="s">
        <v>409</v>
      </c>
      <c r="I581" s="193">
        <v>449</v>
      </c>
      <c r="J581" s="193">
        <v>449</v>
      </c>
      <c r="K581" s="193">
        <v>449</v>
      </c>
      <c r="L581" s="193">
        <v>499</v>
      </c>
      <c r="M581" s="194">
        <v>499</v>
      </c>
      <c r="N581" s="284">
        <v>199.6</v>
      </c>
      <c r="O581" s="285" t="s">
        <v>1</v>
      </c>
      <c r="P581" s="285" t="s">
        <v>1</v>
      </c>
      <c r="Q581" s="285" t="s">
        <v>1</v>
      </c>
      <c r="R581" s="285" t="s">
        <v>1</v>
      </c>
      <c r="S581" s="286">
        <v>199.6</v>
      </c>
      <c r="T581" s="285" t="s">
        <v>1</v>
      </c>
      <c r="U581" s="285" t="s">
        <v>1</v>
      </c>
      <c r="V581" s="285" t="s">
        <v>1</v>
      </c>
      <c r="W581" s="285" t="s">
        <v>1</v>
      </c>
      <c r="X581" s="286">
        <v>199.6</v>
      </c>
      <c r="Y581" s="285" t="s">
        <v>1</v>
      </c>
      <c r="Z581" s="285" t="s">
        <v>1</v>
      </c>
      <c r="AA581" s="285" t="s">
        <v>1</v>
      </c>
      <c r="AB581" s="285" t="s">
        <v>1</v>
      </c>
      <c r="AC581" s="286">
        <v>199.6</v>
      </c>
      <c r="AD581" s="285" t="s">
        <v>1</v>
      </c>
      <c r="AE581" s="285" t="s">
        <v>1</v>
      </c>
      <c r="AF581" s="285" t="s">
        <v>1</v>
      </c>
      <c r="AG581" s="285" t="s">
        <v>1</v>
      </c>
      <c r="AH581" s="286">
        <v>199.6</v>
      </c>
      <c r="AI581" s="295" t="s">
        <v>1</v>
      </c>
      <c r="AJ581" s="295" t="s">
        <v>1</v>
      </c>
      <c r="AK581" s="295" t="s">
        <v>1</v>
      </c>
      <c r="AL581" s="286" t="s">
        <v>1</v>
      </c>
      <c r="AM581" s="288" t="s">
        <v>1</v>
      </c>
      <c r="AN581" s="287" t="s">
        <v>1</v>
      </c>
      <c r="AO581" s="287" t="s">
        <v>1</v>
      </c>
      <c r="AP581" s="286" t="s">
        <v>1</v>
      </c>
      <c r="AQ581" s="285" t="s">
        <v>1</v>
      </c>
      <c r="AR581" s="289" t="s">
        <v>1</v>
      </c>
      <c r="AS581" s="289" t="s">
        <v>1</v>
      </c>
      <c r="AT581" s="290" t="s">
        <v>1</v>
      </c>
      <c r="AU581" s="287" t="s">
        <v>1</v>
      </c>
      <c r="AV581" s="287" t="s">
        <v>1</v>
      </c>
      <c r="AW581" s="291" t="s">
        <v>1</v>
      </c>
    </row>
    <row r="582" spans="1:49" ht="30.15" customHeight="1" x14ac:dyDescent="0.25">
      <c r="A582" s="188" t="s">
        <v>18</v>
      </c>
      <c r="B582" s="189" t="s">
        <v>1</v>
      </c>
      <c r="C582" s="212" t="s">
        <v>34</v>
      </c>
      <c r="D582" s="190" t="s">
        <v>73</v>
      </c>
      <c r="E582" s="190" t="s">
        <v>447</v>
      </c>
      <c r="F582" s="203"/>
      <c r="G582" s="190" t="s">
        <v>448</v>
      </c>
      <c r="H582" s="192" t="s">
        <v>409</v>
      </c>
      <c r="I582" s="193">
        <v>849</v>
      </c>
      <c r="J582" s="193">
        <v>849</v>
      </c>
      <c r="K582" s="193">
        <v>849</v>
      </c>
      <c r="L582" s="193">
        <v>899</v>
      </c>
      <c r="M582" s="194">
        <v>899</v>
      </c>
      <c r="N582" s="284">
        <v>359.6</v>
      </c>
      <c r="O582" s="285" t="s">
        <v>1</v>
      </c>
      <c r="P582" s="285" t="s">
        <v>1</v>
      </c>
      <c r="Q582" s="285" t="s">
        <v>1</v>
      </c>
      <c r="R582" s="285" t="s">
        <v>1</v>
      </c>
      <c r="S582" s="286">
        <v>359.6</v>
      </c>
      <c r="T582" s="285" t="s">
        <v>1</v>
      </c>
      <c r="U582" s="285" t="s">
        <v>1</v>
      </c>
      <c r="V582" s="285" t="s">
        <v>1</v>
      </c>
      <c r="W582" s="285" t="s">
        <v>1</v>
      </c>
      <c r="X582" s="286">
        <v>359.6</v>
      </c>
      <c r="Y582" s="285" t="s">
        <v>1</v>
      </c>
      <c r="Z582" s="285" t="s">
        <v>1</v>
      </c>
      <c r="AA582" s="285" t="s">
        <v>1</v>
      </c>
      <c r="AB582" s="285" t="s">
        <v>1</v>
      </c>
      <c r="AC582" s="286">
        <v>359.6</v>
      </c>
      <c r="AD582" s="285" t="s">
        <v>1</v>
      </c>
      <c r="AE582" s="285" t="s">
        <v>1</v>
      </c>
      <c r="AF582" s="285" t="s">
        <v>1</v>
      </c>
      <c r="AG582" s="285" t="s">
        <v>1</v>
      </c>
      <c r="AH582" s="286" t="s">
        <v>1</v>
      </c>
      <c r="AI582" s="295" t="s">
        <v>1</v>
      </c>
      <c r="AJ582" s="295" t="s">
        <v>1</v>
      </c>
      <c r="AK582" s="295" t="s">
        <v>1</v>
      </c>
      <c r="AL582" s="286" t="s">
        <v>1</v>
      </c>
      <c r="AM582" s="288" t="s">
        <v>1</v>
      </c>
      <c r="AN582" s="287" t="s">
        <v>1</v>
      </c>
      <c r="AO582" s="287" t="s">
        <v>1</v>
      </c>
      <c r="AP582" s="286" t="s">
        <v>1</v>
      </c>
      <c r="AQ582" s="285" t="s">
        <v>1</v>
      </c>
      <c r="AR582" s="289" t="s">
        <v>1</v>
      </c>
      <c r="AS582" s="289" t="s">
        <v>1</v>
      </c>
      <c r="AT582" s="290" t="s">
        <v>1</v>
      </c>
      <c r="AU582" s="287" t="s">
        <v>1</v>
      </c>
      <c r="AV582" s="287" t="s">
        <v>1</v>
      </c>
      <c r="AW582" s="291" t="s">
        <v>1</v>
      </c>
    </row>
    <row r="583" spans="1:49" ht="30.15" customHeight="1" x14ac:dyDescent="0.25">
      <c r="A583" s="188" t="s">
        <v>18</v>
      </c>
      <c r="B583" s="189" t="s">
        <v>1</v>
      </c>
      <c r="C583" s="212" t="s">
        <v>35</v>
      </c>
      <c r="D583" s="190" t="s">
        <v>11</v>
      </c>
      <c r="E583" s="190" t="s">
        <v>65</v>
      </c>
      <c r="F583" s="203"/>
      <c r="G583" s="190" t="s">
        <v>66</v>
      </c>
      <c r="H583" s="192" t="s">
        <v>409</v>
      </c>
      <c r="I583" s="193">
        <v>360</v>
      </c>
      <c r="J583" s="193">
        <v>360</v>
      </c>
      <c r="K583" s="193">
        <v>360</v>
      </c>
      <c r="L583" s="193">
        <v>359.99</v>
      </c>
      <c r="M583" s="194">
        <v>359.99</v>
      </c>
      <c r="N583" s="284" t="s">
        <v>1</v>
      </c>
      <c r="O583" s="285" t="s">
        <v>1</v>
      </c>
      <c r="P583" s="285" t="s">
        <v>1</v>
      </c>
      <c r="Q583" s="285" t="s">
        <v>1</v>
      </c>
      <c r="R583" s="285" t="s">
        <v>1</v>
      </c>
      <c r="S583" s="286" t="s">
        <v>1</v>
      </c>
      <c r="T583" s="285" t="s">
        <v>1</v>
      </c>
      <c r="U583" s="285" t="s">
        <v>1</v>
      </c>
      <c r="V583" s="285" t="s">
        <v>1</v>
      </c>
      <c r="W583" s="285" t="s">
        <v>1</v>
      </c>
      <c r="X583" s="286" t="s">
        <v>1</v>
      </c>
      <c r="Y583" s="285" t="s">
        <v>1</v>
      </c>
      <c r="Z583" s="285" t="s">
        <v>1</v>
      </c>
      <c r="AA583" s="285" t="s">
        <v>1</v>
      </c>
      <c r="AB583" s="285" t="s">
        <v>1</v>
      </c>
      <c r="AC583" s="286" t="s">
        <v>1</v>
      </c>
      <c r="AD583" s="285" t="s">
        <v>1</v>
      </c>
      <c r="AE583" s="285" t="s">
        <v>1</v>
      </c>
      <c r="AF583" s="285" t="s">
        <v>1</v>
      </c>
      <c r="AG583" s="285" t="s">
        <v>1</v>
      </c>
      <c r="AH583" s="286" t="s">
        <v>1</v>
      </c>
      <c r="AI583" s="295" t="s">
        <v>1</v>
      </c>
      <c r="AJ583" s="295" t="s">
        <v>1</v>
      </c>
      <c r="AK583" s="295" t="s">
        <v>1</v>
      </c>
      <c r="AL583" s="286">
        <v>144</v>
      </c>
      <c r="AM583" s="288" t="s">
        <v>1</v>
      </c>
      <c r="AN583" s="287" t="s">
        <v>1</v>
      </c>
      <c r="AO583" s="287" t="s">
        <v>1</v>
      </c>
      <c r="AP583" s="286" t="s">
        <v>1</v>
      </c>
      <c r="AQ583" s="285" t="s">
        <v>1</v>
      </c>
      <c r="AR583" s="289" t="s">
        <v>1</v>
      </c>
      <c r="AS583" s="289" t="s">
        <v>1</v>
      </c>
      <c r="AT583" s="290" t="s">
        <v>1</v>
      </c>
      <c r="AU583" s="287" t="s">
        <v>1</v>
      </c>
      <c r="AV583" s="287" t="s">
        <v>1</v>
      </c>
      <c r="AW583" s="291" t="s">
        <v>1</v>
      </c>
    </row>
    <row r="584" spans="1:49" ht="30.15" customHeight="1" x14ac:dyDescent="0.25">
      <c r="A584" s="188" t="s">
        <v>18</v>
      </c>
      <c r="B584" s="189" t="s">
        <v>1</v>
      </c>
      <c r="C584" s="212" t="s">
        <v>34</v>
      </c>
      <c r="D584" s="254" t="s">
        <v>1242</v>
      </c>
      <c r="E584" s="254" t="s">
        <v>1243</v>
      </c>
      <c r="F584" s="255"/>
      <c r="G584" s="254" t="s">
        <v>1245</v>
      </c>
      <c r="H584" s="192" t="s">
        <v>409</v>
      </c>
      <c r="I584" s="193">
        <v>673</v>
      </c>
      <c r="J584" s="193">
        <v>673</v>
      </c>
      <c r="K584" s="193">
        <v>673</v>
      </c>
      <c r="L584" s="256">
        <v>844</v>
      </c>
      <c r="M584" s="257">
        <v>844</v>
      </c>
      <c r="N584" s="284">
        <v>337.6</v>
      </c>
      <c r="O584" s="308">
        <v>5.17</v>
      </c>
      <c r="P584" s="285">
        <v>24</v>
      </c>
      <c r="Q584" s="285" t="s">
        <v>1</v>
      </c>
      <c r="R584" s="285" t="s">
        <v>1</v>
      </c>
      <c r="S584" s="286">
        <v>337.6</v>
      </c>
      <c r="T584" s="308">
        <v>5.17</v>
      </c>
      <c r="U584" s="285">
        <v>24</v>
      </c>
      <c r="V584" s="285" t="s">
        <v>1</v>
      </c>
      <c r="W584" s="285" t="s">
        <v>1</v>
      </c>
      <c r="X584" s="286">
        <v>337.6</v>
      </c>
      <c r="Y584" s="308">
        <v>5.17</v>
      </c>
      <c r="Z584" s="285">
        <v>24</v>
      </c>
      <c r="AA584" s="285" t="s">
        <v>1</v>
      </c>
      <c r="AB584" s="285" t="s">
        <v>1</v>
      </c>
      <c r="AC584" s="286">
        <v>337.6</v>
      </c>
      <c r="AD584" s="308">
        <v>5.17</v>
      </c>
      <c r="AE584" s="285">
        <v>24</v>
      </c>
      <c r="AF584" s="285" t="s">
        <v>1</v>
      </c>
      <c r="AG584" s="285" t="s">
        <v>1</v>
      </c>
      <c r="AH584" s="286" t="s">
        <v>1</v>
      </c>
      <c r="AI584" s="295" t="s">
        <v>1</v>
      </c>
      <c r="AJ584" s="295" t="s">
        <v>1</v>
      </c>
      <c r="AK584" s="295" t="s">
        <v>1</v>
      </c>
      <c r="AL584" s="286" t="s">
        <v>1</v>
      </c>
      <c r="AM584" s="288" t="s">
        <v>1</v>
      </c>
      <c r="AN584" s="287" t="s">
        <v>1</v>
      </c>
      <c r="AO584" s="287" t="s">
        <v>1</v>
      </c>
      <c r="AP584" s="286" t="s">
        <v>1</v>
      </c>
      <c r="AQ584" s="285" t="s">
        <v>1</v>
      </c>
      <c r="AR584" s="289" t="s">
        <v>1</v>
      </c>
      <c r="AS584" s="289" t="s">
        <v>1</v>
      </c>
      <c r="AT584" s="290" t="s">
        <v>1</v>
      </c>
      <c r="AU584" s="287" t="s">
        <v>1</v>
      </c>
      <c r="AV584" s="287" t="s">
        <v>1</v>
      </c>
      <c r="AW584" s="291" t="s">
        <v>1</v>
      </c>
    </row>
    <row r="585" spans="1:49" ht="30.15" customHeight="1" x14ac:dyDescent="0.25">
      <c r="A585" s="188" t="s">
        <v>18</v>
      </c>
      <c r="B585" s="189" t="s">
        <v>1</v>
      </c>
      <c r="C585" s="212" t="s">
        <v>34</v>
      </c>
      <c r="D585" s="254" t="s">
        <v>1242</v>
      </c>
      <c r="E585" s="254" t="s">
        <v>1244</v>
      </c>
      <c r="F585" s="255"/>
      <c r="G585" s="254" t="s">
        <v>1246</v>
      </c>
      <c r="H585" s="192" t="s">
        <v>409</v>
      </c>
      <c r="I585" s="193">
        <v>383</v>
      </c>
      <c r="J585" s="193">
        <v>383</v>
      </c>
      <c r="K585" s="193">
        <v>383</v>
      </c>
      <c r="L585" s="256">
        <v>460</v>
      </c>
      <c r="M585" s="257">
        <v>460</v>
      </c>
      <c r="N585" s="284">
        <v>184</v>
      </c>
      <c r="O585" s="308">
        <v>3.17</v>
      </c>
      <c r="P585" s="285">
        <v>24</v>
      </c>
      <c r="Q585" s="285" t="s">
        <v>1</v>
      </c>
      <c r="R585" s="285" t="s">
        <v>1</v>
      </c>
      <c r="S585" s="286">
        <v>184</v>
      </c>
      <c r="T585" s="308">
        <v>3.17</v>
      </c>
      <c r="U585" s="285">
        <v>24</v>
      </c>
      <c r="V585" s="285" t="s">
        <v>1</v>
      </c>
      <c r="W585" s="285" t="s">
        <v>1</v>
      </c>
      <c r="X585" s="286">
        <v>184</v>
      </c>
      <c r="Y585" s="308">
        <v>3.17</v>
      </c>
      <c r="Z585" s="285">
        <v>24</v>
      </c>
      <c r="AA585" s="285" t="s">
        <v>1</v>
      </c>
      <c r="AB585" s="285" t="s">
        <v>1</v>
      </c>
      <c r="AC585" s="286">
        <v>184</v>
      </c>
      <c r="AD585" s="308">
        <v>3.17</v>
      </c>
      <c r="AE585" s="285">
        <v>24</v>
      </c>
      <c r="AF585" s="285" t="s">
        <v>1</v>
      </c>
      <c r="AG585" s="285" t="s">
        <v>1</v>
      </c>
      <c r="AH585" s="286" t="s">
        <v>1</v>
      </c>
      <c r="AI585" s="295" t="s">
        <v>1</v>
      </c>
      <c r="AJ585" s="295" t="s">
        <v>1</v>
      </c>
      <c r="AK585" s="295" t="s">
        <v>1</v>
      </c>
      <c r="AL585" s="286" t="s">
        <v>1</v>
      </c>
      <c r="AM585" s="288" t="s">
        <v>1</v>
      </c>
      <c r="AN585" s="287" t="s">
        <v>1</v>
      </c>
      <c r="AO585" s="287" t="s">
        <v>1</v>
      </c>
      <c r="AP585" s="286" t="s">
        <v>1</v>
      </c>
      <c r="AQ585" s="285" t="s">
        <v>1</v>
      </c>
      <c r="AR585" s="289" t="s">
        <v>1</v>
      </c>
      <c r="AS585" s="289" t="s">
        <v>1</v>
      </c>
      <c r="AT585" s="290" t="s">
        <v>1</v>
      </c>
      <c r="AU585" s="287" t="s">
        <v>1</v>
      </c>
      <c r="AV585" s="287" t="s">
        <v>1</v>
      </c>
      <c r="AW585" s="291" t="s">
        <v>1</v>
      </c>
    </row>
    <row r="586" spans="1:49" ht="30.15" customHeight="1" x14ac:dyDescent="0.25">
      <c r="A586" s="188" t="s">
        <v>18</v>
      </c>
      <c r="B586" s="189" t="s">
        <v>1</v>
      </c>
      <c r="C586" s="212" t="s">
        <v>34</v>
      </c>
      <c r="D586" s="190" t="s">
        <v>9</v>
      </c>
      <c r="E586" s="190" t="s">
        <v>89</v>
      </c>
      <c r="F586" s="203"/>
      <c r="G586" s="190" t="s">
        <v>25</v>
      </c>
      <c r="H586" s="192" t="s">
        <v>409</v>
      </c>
      <c r="I586" s="193">
        <v>100</v>
      </c>
      <c r="J586" s="193">
        <v>100</v>
      </c>
      <c r="K586" s="193">
        <v>100</v>
      </c>
      <c r="L586" s="193">
        <v>39.99</v>
      </c>
      <c r="M586" s="194">
        <v>39.99</v>
      </c>
      <c r="N586" s="284" t="s">
        <v>1</v>
      </c>
      <c r="O586" s="285" t="s">
        <v>1</v>
      </c>
      <c r="P586" s="285" t="s">
        <v>1</v>
      </c>
      <c r="Q586" s="285" t="s">
        <v>1</v>
      </c>
      <c r="R586" s="285" t="s">
        <v>1</v>
      </c>
      <c r="S586" s="286" t="s">
        <v>1</v>
      </c>
      <c r="T586" s="285" t="s">
        <v>1</v>
      </c>
      <c r="U586" s="285" t="s">
        <v>1</v>
      </c>
      <c r="V586" s="285" t="s">
        <v>1</v>
      </c>
      <c r="W586" s="285" t="s">
        <v>1</v>
      </c>
      <c r="X586" s="286" t="s">
        <v>1</v>
      </c>
      <c r="Y586" s="285" t="s">
        <v>1</v>
      </c>
      <c r="Z586" s="285" t="s">
        <v>1</v>
      </c>
      <c r="AA586" s="285" t="s">
        <v>1</v>
      </c>
      <c r="AB586" s="285" t="s">
        <v>1</v>
      </c>
      <c r="AC586" s="286" t="s">
        <v>1</v>
      </c>
      <c r="AD586" s="285" t="s">
        <v>1</v>
      </c>
      <c r="AE586" s="285" t="s">
        <v>1</v>
      </c>
      <c r="AF586" s="285" t="s">
        <v>1</v>
      </c>
      <c r="AG586" s="285" t="s">
        <v>1</v>
      </c>
      <c r="AH586" s="286" t="s">
        <v>1</v>
      </c>
      <c r="AI586" s="295" t="s">
        <v>1</v>
      </c>
      <c r="AJ586" s="295" t="s">
        <v>1</v>
      </c>
      <c r="AK586" s="295" t="s">
        <v>1</v>
      </c>
      <c r="AL586" s="286" t="s">
        <v>1</v>
      </c>
      <c r="AM586" s="288" t="s">
        <v>1</v>
      </c>
      <c r="AN586" s="287" t="s">
        <v>1</v>
      </c>
      <c r="AO586" s="287" t="s">
        <v>1</v>
      </c>
      <c r="AP586" s="286" t="s">
        <v>1</v>
      </c>
      <c r="AQ586" s="285" t="s">
        <v>1</v>
      </c>
      <c r="AR586" s="289" t="s">
        <v>1</v>
      </c>
      <c r="AS586" s="289" t="s">
        <v>1</v>
      </c>
      <c r="AT586" s="286">
        <v>39.99</v>
      </c>
      <c r="AU586" s="287" t="s">
        <v>1</v>
      </c>
      <c r="AV586" s="287" t="s">
        <v>1</v>
      </c>
      <c r="AW586" s="291" t="s">
        <v>1</v>
      </c>
    </row>
    <row r="587" spans="1:49" ht="30.15" customHeight="1" x14ac:dyDescent="0.25">
      <c r="A587" s="188" t="s">
        <v>18</v>
      </c>
      <c r="B587" s="189" t="s">
        <v>1</v>
      </c>
      <c r="C587" s="212" t="s">
        <v>34</v>
      </c>
      <c r="D587" s="190" t="s">
        <v>9</v>
      </c>
      <c r="E587" s="190" t="s">
        <v>345</v>
      </c>
      <c r="F587" s="203"/>
      <c r="G587" s="190" t="s">
        <v>25</v>
      </c>
      <c r="H587" s="192" t="s">
        <v>409</v>
      </c>
      <c r="I587" s="193">
        <v>140</v>
      </c>
      <c r="J587" s="193">
        <v>140</v>
      </c>
      <c r="K587" s="193">
        <v>140</v>
      </c>
      <c r="L587" s="193">
        <v>120</v>
      </c>
      <c r="M587" s="194">
        <v>120</v>
      </c>
      <c r="N587" s="284" t="s">
        <v>1</v>
      </c>
      <c r="O587" s="285" t="s">
        <v>1</v>
      </c>
      <c r="P587" s="285" t="s">
        <v>1</v>
      </c>
      <c r="Q587" s="285" t="s">
        <v>1</v>
      </c>
      <c r="R587" s="285" t="s">
        <v>1</v>
      </c>
      <c r="S587" s="286" t="s">
        <v>1</v>
      </c>
      <c r="T587" s="285" t="s">
        <v>1</v>
      </c>
      <c r="U587" s="285" t="s">
        <v>1</v>
      </c>
      <c r="V587" s="285" t="s">
        <v>1</v>
      </c>
      <c r="W587" s="285" t="s">
        <v>1</v>
      </c>
      <c r="X587" s="286" t="s">
        <v>1</v>
      </c>
      <c r="Y587" s="285" t="s">
        <v>1</v>
      </c>
      <c r="Z587" s="285" t="s">
        <v>1</v>
      </c>
      <c r="AA587" s="285" t="s">
        <v>1</v>
      </c>
      <c r="AB587" s="285" t="s">
        <v>1</v>
      </c>
      <c r="AC587" s="286" t="s">
        <v>1</v>
      </c>
      <c r="AD587" s="285" t="s">
        <v>1</v>
      </c>
      <c r="AE587" s="285" t="s">
        <v>1</v>
      </c>
      <c r="AF587" s="285" t="s">
        <v>1</v>
      </c>
      <c r="AG587" s="285" t="s">
        <v>1</v>
      </c>
      <c r="AH587" s="286" t="s">
        <v>1</v>
      </c>
      <c r="AI587" s="295" t="s">
        <v>1</v>
      </c>
      <c r="AJ587" s="295" t="s">
        <v>1</v>
      </c>
      <c r="AK587" s="295" t="s">
        <v>1</v>
      </c>
      <c r="AL587" s="286" t="s">
        <v>1</v>
      </c>
      <c r="AM587" s="288" t="s">
        <v>1</v>
      </c>
      <c r="AN587" s="287" t="s">
        <v>1</v>
      </c>
      <c r="AO587" s="287" t="s">
        <v>1</v>
      </c>
      <c r="AP587" s="286" t="s">
        <v>1</v>
      </c>
      <c r="AQ587" s="285" t="s">
        <v>1</v>
      </c>
      <c r="AR587" s="289" t="s">
        <v>1</v>
      </c>
      <c r="AS587" s="289" t="s">
        <v>1</v>
      </c>
      <c r="AT587" s="286">
        <v>48</v>
      </c>
      <c r="AU587" s="288">
        <v>5</v>
      </c>
      <c r="AV587" s="285">
        <v>24</v>
      </c>
      <c r="AW587" s="313" t="s">
        <v>1</v>
      </c>
    </row>
    <row r="588" spans="1:49" ht="30.15" customHeight="1" x14ac:dyDescent="0.25">
      <c r="A588" s="249" t="s">
        <v>18</v>
      </c>
      <c r="B588" s="250" t="s">
        <v>1</v>
      </c>
      <c r="C588" s="251" t="s">
        <v>34</v>
      </c>
      <c r="D588" s="252" t="s">
        <v>9</v>
      </c>
      <c r="E588" s="252" t="s">
        <v>738</v>
      </c>
      <c r="F588" s="253"/>
      <c r="G588" s="252" t="s">
        <v>25</v>
      </c>
      <c r="H588" s="192" t="s">
        <v>409</v>
      </c>
      <c r="I588" s="193">
        <v>140</v>
      </c>
      <c r="J588" s="193">
        <v>140</v>
      </c>
      <c r="K588" s="193">
        <v>140</v>
      </c>
      <c r="L588" s="193">
        <v>120</v>
      </c>
      <c r="M588" s="194">
        <v>120</v>
      </c>
      <c r="N588" s="284" t="s">
        <v>1</v>
      </c>
      <c r="O588" s="285" t="s">
        <v>1</v>
      </c>
      <c r="P588" s="285" t="s">
        <v>1</v>
      </c>
      <c r="Q588" s="285" t="s">
        <v>1</v>
      </c>
      <c r="R588" s="285" t="s">
        <v>1</v>
      </c>
      <c r="S588" s="286" t="s">
        <v>1</v>
      </c>
      <c r="T588" s="285" t="s">
        <v>1</v>
      </c>
      <c r="U588" s="285" t="s">
        <v>1</v>
      </c>
      <c r="V588" s="285" t="s">
        <v>1</v>
      </c>
      <c r="W588" s="285" t="s">
        <v>1</v>
      </c>
      <c r="X588" s="286" t="s">
        <v>1</v>
      </c>
      <c r="Y588" s="285" t="s">
        <v>1</v>
      </c>
      <c r="Z588" s="285" t="s">
        <v>1</v>
      </c>
      <c r="AA588" s="285" t="s">
        <v>1</v>
      </c>
      <c r="AB588" s="285" t="s">
        <v>1</v>
      </c>
      <c r="AC588" s="286" t="s">
        <v>1</v>
      </c>
      <c r="AD588" s="285" t="s">
        <v>1</v>
      </c>
      <c r="AE588" s="285" t="s">
        <v>1</v>
      </c>
      <c r="AF588" s="285" t="s">
        <v>1</v>
      </c>
      <c r="AG588" s="285" t="s">
        <v>1</v>
      </c>
      <c r="AH588" s="286" t="s">
        <v>1</v>
      </c>
      <c r="AI588" s="295" t="s">
        <v>1</v>
      </c>
      <c r="AJ588" s="295" t="s">
        <v>1</v>
      </c>
      <c r="AK588" s="295" t="s">
        <v>1</v>
      </c>
      <c r="AL588" s="286" t="s">
        <v>1</v>
      </c>
      <c r="AM588" s="288" t="s">
        <v>1</v>
      </c>
      <c r="AN588" s="287" t="s">
        <v>1</v>
      </c>
      <c r="AO588" s="287" t="s">
        <v>1</v>
      </c>
      <c r="AP588" s="286" t="s">
        <v>1</v>
      </c>
      <c r="AQ588" s="285" t="s">
        <v>1</v>
      </c>
      <c r="AR588" s="289" t="s">
        <v>1</v>
      </c>
      <c r="AS588" s="289" t="s">
        <v>1</v>
      </c>
      <c r="AT588" s="286">
        <v>48</v>
      </c>
      <c r="AU588" s="288">
        <v>5</v>
      </c>
      <c r="AV588" s="285">
        <v>24</v>
      </c>
      <c r="AW588" s="313" t="s">
        <v>1</v>
      </c>
    </row>
    <row r="589" spans="1:49" ht="30.15" customHeight="1" x14ac:dyDescent="0.25">
      <c r="A589" s="249" t="s">
        <v>18</v>
      </c>
      <c r="B589" s="250" t="s">
        <v>1</v>
      </c>
      <c r="C589" s="249" t="s">
        <v>35</v>
      </c>
      <c r="D589" s="252" t="s">
        <v>9</v>
      </c>
      <c r="E589" s="252" t="s">
        <v>297</v>
      </c>
      <c r="F589" s="253"/>
      <c r="G589" s="252" t="s">
        <v>425</v>
      </c>
      <c r="H589" s="192" t="s">
        <v>424</v>
      </c>
      <c r="I589" s="193">
        <v>169</v>
      </c>
      <c r="J589" s="193">
        <v>169</v>
      </c>
      <c r="K589" s="193">
        <v>169</v>
      </c>
      <c r="L589" s="193">
        <v>199</v>
      </c>
      <c r="M589" s="194">
        <v>199</v>
      </c>
      <c r="N589" s="284" t="s">
        <v>1</v>
      </c>
      <c r="O589" s="285" t="s">
        <v>1</v>
      </c>
      <c r="P589" s="285" t="s">
        <v>1</v>
      </c>
      <c r="Q589" s="285" t="s">
        <v>1</v>
      </c>
      <c r="R589" s="285" t="s">
        <v>1</v>
      </c>
      <c r="S589" s="286" t="s">
        <v>1</v>
      </c>
      <c r="T589" s="285" t="s">
        <v>1</v>
      </c>
      <c r="U589" s="285" t="s">
        <v>1</v>
      </c>
      <c r="V589" s="285" t="s">
        <v>1</v>
      </c>
      <c r="W589" s="285" t="s">
        <v>1</v>
      </c>
      <c r="X589" s="286" t="s">
        <v>1</v>
      </c>
      <c r="Y589" s="285" t="s">
        <v>1</v>
      </c>
      <c r="Z589" s="285" t="s">
        <v>1</v>
      </c>
      <c r="AA589" s="285" t="s">
        <v>1</v>
      </c>
      <c r="AB589" s="285" t="s">
        <v>1</v>
      </c>
      <c r="AC589" s="286" t="s">
        <v>1</v>
      </c>
      <c r="AD589" s="285" t="s">
        <v>1</v>
      </c>
      <c r="AE589" s="285" t="s">
        <v>1</v>
      </c>
      <c r="AF589" s="285" t="s">
        <v>1</v>
      </c>
      <c r="AG589" s="285" t="s">
        <v>1</v>
      </c>
      <c r="AH589" s="286" t="s">
        <v>1</v>
      </c>
      <c r="AI589" s="295" t="s">
        <v>1</v>
      </c>
      <c r="AJ589" s="295" t="s">
        <v>1</v>
      </c>
      <c r="AK589" s="295" t="s">
        <v>1</v>
      </c>
      <c r="AL589" s="286">
        <v>79.599999999999994</v>
      </c>
      <c r="AM589" s="288" t="s">
        <v>1</v>
      </c>
      <c r="AN589" s="287" t="s">
        <v>1</v>
      </c>
      <c r="AO589" s="287" t="s">
        <v>1</v>
      </c>
      <c r="AP589" s="286" t="s">
        <v>1</v>
      </c>
      <c r="AQ589" s="285" t="s">
        <v>1</v>
      </c>
      <c r="AR589" s="289" t="s">
        <v>1</v>
      </c>
      <c r="AS589" s="289" t="s">
        <v>1</v>
      </c>
      <c r="AT589" s="290" t="s">
        <v>1</v>
      </c>
      <c r="AU589" s="287" t="s">
        <v>1</v>
      </c>
      <c r="AV589" s="287" t="s">
        <v>1</v>
      </c>
      <c r="AW589" s="291" t="s">
        <v>1</v>
      </c>
    </row>
    <row r="590" spans="1:49" ht="30.15" customHeight="1" x14ac:dyDescent="0.25">
      <c r="A590" s="249" t="s">
        <v>18</v>
      </c>
      <c r="B590" s="250" t="s">
        <v>1</v>
      </c>
      <c r="C590" s="249" t="s">
        <v>35</v>
      </c>
      <c r="D590" s="252" t="s">
        <v>9</v>
      </c>
      <c r="E590" s="252" t="s">
        <v>910</v>
      </c>
      <c r="F590" s="253"/>
      <c r="G590" s="252" t="s">
        <v>909</v>
      </c>
      <c r="H590" s="192" t="s">
        <v>421</v>
      </c>
      <c r="I590" s="193">
        <v>135</v>
      </c>
      <c r="J590" s="193">
        <v>135</v>
      </c>
      <c r="K590" s="193">
        <v>135</v>
      </c>
      <c r="L590" s="193">
        <v>180</v>
      </c>
      <c r="M590" s="194">
        <v>180</v>
      </c>
      <c r="N590" s="284" t="s">
        <v>1</v>
      </c>
      <c r="O590" s="285" t="s">
        <v>1</v>
      </c>
      <c r="P590" s="285" t="s">
        <v>1</v>
      </c>
      <c r="Q590" s="285" t="s">
        <v>1</v>
      </c>
      <c r="R590" s="285" t="s">
        <v>1</v>
      </c>
      <c r="S590" s="286" t="s">
        <v>1</v>
      </c>
      <c r="T590" s="285" t="s">
        <v>1</v>
      </c>
      <c r="U590" s="285" t="s">
        <v>1</v>
      </c>
      <c r="V590" s="285" t="s">
        <v>1</v>
      </c>
      <c r="W590" s="285" t="s">
        <v>1</v>
      </c>
      <c r="X590" s="286" t="s">
        <v>1</v>
      </c>
      <c r="Y590" s="285" t="s">
        <v>1</v>
      </c>
      <c r="Z590" s="285" t="s">
        <v>1</v>
      </c>
      <c r="AA590" s="285" t="s">
        <v>1</v>
      </c>
      <c r="AB590" s="285" t="s">
        <v>1</v>
      </c>
      <c r="AC590" s="286" t="s">
        <v>1</v>
      </c>
      <c r="AD590" s="285" t="s">
        <v>1</v>
      </c>
      <c r="AE590" s="285" t="s">
        <v>1</v>
      </c>
      <c r="AF590" s="285" t="s">
        <v>1</v>
      </c>
      <c r="AG590" s="285" t="s">
        <v>1</v>
      </c>
      <c r="AH590" s="286" t="s">
        <v>1</v>
      </c>
      <c r="AI590" s="295" t="s">
        <v>1</v>
      </c>
      <c r="AJ590" s="295" t="s">
        <v>1</v>
      </c>
      <c r="AK590" s="295" t="s">
        <v>1</v>
      </c>
      <c r="AL590" s="286">
        <v>72</v>
      </c>
      <c r="AM590" s="288">
        <v>7.5</v>
      </c>
      <c r="AN590" s="285">
        <v>24</v>
      </c>
      <c r="AO590" s="285" t="s">
        <v>1</v>
      </c>
      <c r="AP590" s="286" t="s">
        <v>1</v>
      </c>
      <c r="AQ590" s="285" t="s">
        <v>1</v>
      </c>
      <c r="AR590" s="289" t="s">
        <v>1</v>
      </c>
      <c r="AS590" s="289" t="s">
        <v>1</v>
      </c>
      <c r="AT590" s="290" t="s">
        <v>1</v>
      </c>
      <c r="AU590" s="287" t="s">
        <v>1</v>
      </c>
      <c r="AV590" s="287" t="s">
        <v>1</v>
      </c>
      <c r="AW590" s="291" t="s">
        <v>1</v>
      </c>
    </row>
    <row r="591" spans="1:49" ht="30.15" customHeight="1" x14ac:dyDescent="0.25">
      <c r="A591" s="249" t="s">
        <v>18</v>
      </c>
      <c r="B591" s="250" t="s">
        <v>1</v>
      </c>
      <c r="C591" s="249" t="s">
        <v>35</v>
      </c>
      <c r="D591" s="252" t="s">
        <v>9</v>
      </c>
      <c r="E591" s="252" t="s">
        <v>930</v>
      </c>
      <c r="F591" s="253"/>
      <c r="G591" s="252" t="s">
        <v>931</v>
      </c>
      <c r="H591" s="192" t="s">
        <v>409</v>
      </c>
      <c r="I591" s="193">
        <v>120</v>
      </c>
      <c r="J591" s="193">
        <v>120</v>
      </c>
      <c r="K591" s="193">
        <v>120</v>
      </c>
      <c r="L591" s="193">
        <v>180</v>
      </c>
      <c r="M591" s="194">
        <v>180</v>
      </c>
      <c r="N591" s="284" t="s">
        <v>1</v>
      </c>
      <c r="O591" s="285" t="s">
        <v>1</v>
      </c>
      <c r="P591" s="285" t="s">
        <v>1</v>
      </c>
      <c r="Q591" s="285" t="s">
        <v>1</v>
      </c>
      <c r="R591" s="285" t="s">
        <v>1</v>
      </c>
      <c r="S591" s="286" t="s">
        <v>1</v>
      </c>
      <c r="T591" s="285" t="s">
        <v>1</v>
      </c>
      <c r="U591" s="285" t="s">
        <v>1</v>
      </c>
      <c r="V591" s="285" t="s">
        <v>1</v>
      </c>
      <c r="W591" s="285" t="s">
        <v>1</v>
      </c>
      <c r="X591" s="286" t="s">
        <v>1</v>
      </c>
      <c r="Y591" s="285" t="s">
        <v>1</v>
      </c>
      <c r="Z591" s="285" t="s">
        <v>1</v>
      </c>
      <c r="AA591" s="285" t="s">
        <v>1</v>
      </c>
      <c r="AB591" s="285" t="s">
        <v>1</v>
      </c>
      <c r="AC591" s="286" t="s">
        <v>1</v>
      </c>
      <c r="AD591" s="285" t="s">
        <v>1</v>
      </c>
      <c r="AE591" s="285" t="s">
        <v>1</v>
      </c>
      <c r="AF591" s="285" t="s">
        <v>1</v>
      </c>
      <c r="AG591" s="285" t="s">
        <v>1</v>
      </c>
      <c r="AH591" s="286" t="s">
        <v>1</v>
      </c>
      <c r="AI591" s="295" t="s">
        <v>1</v>
      </c>
      <c r="AJ591" s="295" t="s">
        <v>1</v>
      </c>
      <c r="AK591" s="295" t="s">
        <v>1</v>
      </c>
      <c r="AL591" s="286">
        <v>72</v>
      </c>
      <c r="AM591" s="288">
        <v>7.5</v>
      </c>
      <c r="AN591" s="285">
        <v>24</v>
      </c>
      <c r="AO591" s="285" t="s">
        <v>1</v>
      </c>
      <c r="AP591" s="286" t="s">
        <v>1</v>
      </c>
      <c r="AQ591" s="285" t="s">
        <v>1</v>
      </c>
      <c r="AR591" s="289" t="s">
        <v>1</v>
      </c>
      <c r="AS591" s="289" t="s">
        <v>1</v>
      </c>
      <c r="AT591" s="290" t="s">
        <v>1</v>
      </c>
      <c r="AU591" s="287" t="s">
        <v>1</v>
      </c>
      <c r="AV591" s="287" t="s">
        <v>1</v>
      </c>
      <c r="AW591" s="291" t="s">
        <v>1</v>
      </c>
    </row>
    <row r="592" spans="1:49" ht="30.15" customHeight="1" x14ac:dyDescent="0.25">
      <c r="A592" s="188" t="s">
        <v>18</v>
      </c>
      <c r="B592" s="189" t="s">
        <v>1</v>
      </c>
      <c r="C592" s="188" t="s">
        <v>35</v>
      </c>
      <c r="D592" s="190" t="s">
        <v>9</v>
      </c>
      <c r="E592" s="190" t="s">
        <v>106</v>
      </c>
      <c r="F592" s="203"/>
      <c r="G592" s="190" t="s">
        <v>107</v>
      </c>
      <c r="H592" s="192" t="s">
        <v>409</v>
      </c>
      <c r="I592" s="193">
        <v>235</v>
      </c>
      <c r="J592" s="193">
        <v>235</v>
      </c>
      <c r="K592" s="193">
        <v>235</v>
      </c>
      <c r="L592" s="193">
        <v>239.99</v>
      </c>
      <c r="M592" s="194">
        <v>239.99</v>
      </c>
      <c r="N592" s="284" t="s">
        <v>1</v>
      </c>
      <c r="O592" s="285" t="s">
        <v>1</v>
      </c>
      <c r="P592" s="285" t="s">
        <v>1</v>
      </c>
      <c r="Q592" s="285" t="s">
        <v>1</v>
      </c>
      <c r="R592" s="285" t="s">
        <v>1</v>
      </c>
      <c r="S592" s="286" t="s">
        <v>1</v>
      </c>
      <c r="T592" s="285" t="s">
        <v>1</v>
      </c>
      <c r="U592" s="285" t="s">
        <v>1</v>
      </c>
      <c r="V592" s="285" t="s">
        <v>1</v>
      </c>
      <c r="W592" s="285" t="s">
        <v>1</v>
      </c>
      <c r="X592" s="286" t="s">
        <v>1</v>
      </c>
      <c r="Y592" s="285" t="s">
        <v>1</v>
      </c>
      <c r="Z592" s="285" t="s">
        <v>1</v>
      </c>
      <c r="AA592" s="285" t="s">
        <v>1</v>
      </c>
      <c r="AB592" s="285" t="s">
        <v>1</v>
      </c>
      <c r="AC592" s="286" t="s">
        <v>1</v>
      </c>
      <c r="AD592" s="285" t="s">
        <v>1</v>
      </c>
      <c r="AE592" s="285" t="s">
        <v>1</v>
      </c>
      <c r="AF592" s="285" t="s">
        <v>1</v>
      </c>
      <c r="AG592" s="285" t="s">
        <v>1</v>
      </c>
      <c r="AH592" s="286" t="s">
        <v>1</v>
      </c>
      <c r="AI592" s="295" t="s">
        <v>1</v>
      </c>
      <c r="AJ592" s="295" t="s">
        <v>1</v>
      </c>
      <c r="AK592" s="295" t="s">
        <v>1</v>
      </c>
      <c r="AL592" s="286">
        <v>96</v>
      </c>
      <c r="AM592" s="288" t="s">
        <v>1</v>
      </c>
      <c r="AN592" s="287" t="s">
        <v>1</v>
      </c>
      <c r="AO592" s="287" t="s">
        <v>1</v>
      </c>
      <c r="AP592" s="286" t="s">
        <v>1</v>
      </c>
      <c r="AQ592" s="285" t="s">
        <v>1</v>
      </c>
      <c r="AR592" s="289" t="s">
        <v>1</v>
      </c>
      <c r="AS592" s="289" t="s">
        <v>1</v>
      </c>
      <c r="AT592" s="290" t="s">
        <v>1</v>
      </c>
      <c r="AU592" s="287" t="s">
        <v>1</v>
      </c>
      <c r="AV592" s="287" t="s">
        <v>1</v>
      </c>
      <c r="AW592" s="291" t="s">
        <v>1</v>
      </c>
    </row>
    <row r="593" spans="1:49" ht="30.15" customHeight="1" x14ac:dyDescent="0.25">
      <c r="A593" s="188" t="s">
        <v>18</v>
      </c>
      <c r="B593" s="189" t="s">
        <v>1</v>
      </c>
      <c r="C593" s="188" t="s">
        <v>35</v>
      </c>
      <c r="D593" s="190" t="s">
        <v>9</v>
      </c>
      <c r="E593" s="190" t="s">
        <v>542</v>
      </c>
      <c r="F593" s="203"/>
      <c r="G593" s="190" t="s">
        <v>543</v>
      </c>
      <c r="H593" s="192" t="s">
        <v>409</v>
      </c>
      <c r="I593" s="193">
        <v>250</v>
      </c>
      <c r="J593" s="193">
        <v>250</v>
      </c>
      <c r="K593" s="193">
        <v>250</v>
      </c>
      <c r="L593" s="193">
        <v>259</v>
      </c>
      <c r="M593" s="194">
        <v>259</v>
      </c>
      <c r="N593" s="284" t="s">
        <v>1</v>
      </c>
      <c r="O593" s="285" t="s">
        <v>1</v>
      </c>
      <c r="P593" s="285" t="s">
        <v>1</v>
      </c>
      <c r="Q593" s="285" t="s">
        <v>1</v>
      </c>
      <c r="R593" s="285" t="s">
        <v>1</v>
      </c>
      <c r="S593" s="286" t="s">
        <v>1</v>
      </c>
      <c r="T593" s="285" t="s">
        <v>1</v>
      </c>
      <c r="U593" s="285" t="s">
        <v>1</v>
      </c>
      <c r="V593" s="285" t="s">
        <v>1</v>
      </c>
      <c r="W593" s="285" t="s">
        <v>1</v>
      </c>
      <c r="X593" s="286" t="s">
        <v>1</v>
      </c>
      <c r="Y593" s="285" t="s">
        <v>1</v>
      </c>
      <c r="Z593" s="285" t="s">
        <v>1</v>
      </c>
      <c r="AA593" s="285" t="s">
        <v>1</v>
      </c>
      <c r="AB593" s="285" t="s">
        <v>1</v>
      </c>
      <c r="AC593" s="286" t="s">
        <v>1</v>
      </c>
      <c r="AD593" s="285" t="s">
        <v>1</v>
      </c>
      <c r="AE593" s="285" t="s">
        <v>1</v>
      </c>
      <c r="AF593" s="285" t="s">
        <v>1</v>
      </c>
      <c r="AG593" s="285" t="s">
        <v>1</v>
      </c>
      <c r="AH593" s="286" t="s">
        <v>1</v>
      </c>
      <c r="AI593" s="295" t="s">
        <v>1</v>
      </c>
      <c r="AJ593" s="295" t="s">
        <v>1</v>
      </c>
      <c r="AK593" s="295" t="s">
        <v>1</v>
      </c>
      <c r="AL593" s="286">
        <v>103.6</v>
      </c>
      <c r="AM593" s="288" t="s">
        <v>1</v>
      </c>
      <c r="AN593" s="287" t="s">
        <v>1</v>
      </c>
      <c r="AO593" s="287" t="s">
        <v>1</v>
      </c>
      <c r="AP593" s="286" t="s">
        <v>1</v>
      </c>
      <c r="AQ593" s="285" t="s">
        <v>1</v>
      </c>
      <c r="AR593" s="289" t="s">
        <v>1</v>
      </c>
      <c r="AS593" s="289" t="s">
        <v>1</v>
      </c>
      <c r="AT593" s="290" t="s">
        <v>1</v>
      </c>
      <c r="AU593" s="287" t="s">
        <v>1</v>
      </c>
      <c r="AV593" s="287" t="s">
        <v>1</v>
      </c>
      <c r="AW593" s="291" t="s">
        <v>1</v>
      </c>
    </row>
    <row r="594" spans="1:49" ht="30.15" customHeight="1" x14ac:dyDescent="0.25">
      <c r="A594" s="188" t="s">
        <v>18</v>
      </c>
      <c r="B594" s="189" t="s">
        <v>1</v>
      </c>
      <c r="C594" s="188" t="s">
        <v>35</v>
      </c>
      <c r="D594" s="190" t="s">
        <v>9</v>
      </c>
      <c r="E594" s="252" t="s">
        <v>108</v>
      </c>
      <c r="F594" s="253"/>
      <c r="G594" s="190" t="s">
        <v>109</v>
      </c>
      <c r="H594" s="192" t="s">
        <v>409</v>
      </c>
      <c r="I594" s="193">
        <v>175</v>
      </c>
      <c r="J594" s="193">
        <v>175</v>
      </c>
      <c r="K594" s="193">
        <v>175</v>
      </c>
      <c r="L594" s="193">
        <v>199.99</v>
      </c>
      <c r="M594" s="194">
        <v>199.99</v>
      </c>
      <c r="N594" s="284" t="s">
        <v>1</v>
      </c>
      <c r="O594" s="285" t="s">
        <v>1</v>
      </c>
      <c r="P594" s="285" t="s">
        <v>1</v>
      </c>
      <c r="Q594" s="285" t="s">
        <v>1</v>
      </c>
      <c r="R594" s="285" t="s">
        <v>1</v>
      </c>
      <c r="S594" s="286" t="s">
        <v>1</v>
      </c>
      <c r="T594" s="285" t="s">
        <v>1</v>
      </c>
      <c r="U594" s="285" t="s">
        <v>1</v>
      </c>
      <c r="V594" s="285" t="s">
        <v>1</v>
      </c>
      <c r="W594" s="285" t="s">
        <v>1</v>
      </c>
      <c r="X594" s="286" t="s">
        <v>1</v>
      </c>
      <c r="Y594" s="285" t="s">
        <v>1</v>
      </c>
      <c r="Z594" s="285" t="s">
        <v>1</v>
      </c>
      <c r="AA594" s="285" t="s">
        <v>1</v>
      </c>
      <c r="AB594" s="285" t="s">
        <v>1</v>
      </c>
      <c r="AC594" s="286" t="s">
        <v>1</v>
      </c>
      <c r="AD594" s="285" t="s">
        <v>1</v>
      </c>
      <c r="AE594" s="285" t="s">
        <v>1</v>
      </c>
      <c r="AF594" s="285" t="s">
        <v>1</v>
      </c>
      <c r="AG594" s="285" t="s">
        <v>1</v>
      </c>
      <c r="AH594" s="286" t="s">
        <v>1</v>
      </c>
      <c r="AI594" s="295" t="s">
        <v>1</v>
      </c>
      <c r="AJ594" s="295" t="s">
        <v>1</v>
      </c>
      <c r="AK594" s="295" t="s">
        <v>1</v>
      </c>
      <c r="AL594" s="286">
        <v>80</v>
      </c>
      <c r="AM594" s="288" t="s">
        <v>1</v>
      </c>
      <c r="AN594" s="287" t="s">
        <v>1</v>
      </c>
      <c r="AO594" s="287" t="s">
        <v>1</v>
      </c>
      <c r="AP594" s="286" t="s">
        <v>1</v>
      </c>
      <c r="AQ594" s="285" t="s">
        <v>1</v>
      </c>
      <c r="AR594" s="289" t="s">
        <v>1</v>
      </c>
      <c r="AS594" s="289" t="s">
        <v>1</v>
      </c>
      <c r="AT594" s="290" t="s">
        <v>1</v>
      </c>
      <c r="AU594" s="287" t="s">
        <v>1</v>
      </c>
      <c r="AV594" s="287" t="s">
        <v>1</v>
      </c>
      <c r="AW594" s="291" t="s">
        <v>1</v>
      </c>
    </row>
    <row r="595" spans="1:49" ht="30.15" customHeight="1" x14ac:dyDescent="0.25">
      <c r="A595" s="188" t="s">
        <v>18</v>
      </c>
      <c r="B595" s="189" t="s">
        <v>1</v>
      </c>
      <c r="C595" s="188" t="s">
        <v>35</v>
      </c>
      <c r="D595" s="190" t="s">
        <v>9</v>
      </c>
      <c r="E595" s="190" t="s">
        <v>141</v>
      </c>
      <c r="F595" s="203"/>
      <c r="G595" s="190" t="s">
        <v>142</v>
      </c>
      <c r="H595" s="192" t="s">
        <v>409</v>
      </c>
      <c r="I595" s="193">
        <v>640</v>
      </c>
      <c r="J595" s="193">
        <v>640</v>
      </c>
      <c r="K595" s="193">
        <v>640</v>
      </c>
      <c r="L595" s="193">
        <v>650</v>
      </c>
      <c r="M595" s="194">
        <v>650</v>
      </c>
      <c r="N595" s="314" t="s">
        <v>1</v>
      </c>
      <c r="O595" s="315" t="s">
        <v>1</v>
      </c>
      <c r="P595" s="315" t="s">
        <v>1</v>
      </c>
      <c r="Q595" s="315" t="s">
        <v>1</v>
      </c>
      <c r="R595" s="315" t="s">
        <v>1</v>
      </c>
      <c r="S595" s="316" t="s">
        <v>1</v>
      </c>
      <c r="T595" s="315" t="s">
        <v>1</v>
      </c>
      <c r="U595" s="315" t="s">
        <v>1</v>
      </c>
      <c r="V595" s="315" t="s">
        <v>1</v>
      </c>
      <c r="W595" s="315" t="s">
        <v>1</v>
      </c>
      <c r="X595" s="316" t="s">
        <v>1</v>
      </c>
      <c r="Y595" s="315" t="s">
        <v>1</v>
      </c>
      <c r="Z595" s="315" t="s">
        <v>1</v>
      </c>
      <c r="AA595" s="315" t="s">
        <v>1</v>
      </c>
      <c r="AB595" s="315" t="s">
        <v>1</v>
      </c>
      <c r="AC595" s="316" t="s">
        <v>1</v>
      </c>
      <c r="AD595" s="315" t="s">
        <v>1</v>
      </c>
      <c r="AE595" s="315" t="s">
        <v>1</v>
      </c>
      <c r="AF595" s="315" t="s">
        <v>1</v>
      </c>
      <c r="AG595" s="315" t="s">
        <v>1</v>
      </c>
      <c r="AH595" s="316" t="s">
        <v>1</v>
      </c>
      <c r="AI595" s="317" t="s">
        <v>1</v>
      </c>
      <c r="AJ595" s="317" t="s">
        <v>1</v>
      </c>
      <c r="AK595" s="317" t="s">
        <v>1</v>
      </c>
      <c r="AL595" s="316">
        <v>260</v>
      </c>
      <c r="AM595" s="318" t="s">
        <v>1</v>
      </c>
      <c r="AN595" s="319" t="s">
        <v>1</v>
      </c>
      <c r="AO595" s="319" t="s">
        <v>1</v>
      </c>
      <c r="AP595" s="316" t="s">
        <v>1</v>
      </c>
      <c r="AQ595" s="315" t="s">
        <v>1</v>
      </c>
      <c r="AR595" s="320" t="s">
        <v>1</v>
      </c>
      <c r="AS595" s="320" t="s">
        <v>1</v>
      </c>
      <c r="AT595" s="321" t="s">
        <v>1</v>
      </c>
      <c r="AU595" s="319" t="s">
        <v>1</v>
      </c>
      <c r="AV595" s="319" t="s">
        <v>1</v>
      </c>
      <c r="AW595" s="322" t="s">
        <v>1</v>
      </c>
    </row>
  </sheetData>
  <sheetProtection autoFilter="0"/>
  <mergeCells count="21">
    <mergeCell ref="AT13:AW13"/>
    <mergeCell ref="AP12:AS12"/>
    <mergeCell ref="N13:R13"/>
    <mergeCell ref="S13:W13"/>
    <mergeCell ref="X13:AB13"/>
    <mergeCell ref="AC13:AG13"/>
    <mergeCell ref="AH13:AK13"/>
    <mergeCell ref="AL13:AO13"/>
    <mergeCell ref="AP13:AS13"/>
    <mergeCell ref="N12:R12"/>
    <mergeCell ref="S12:W12"/>
    <mergeCell ref="X12:AB12"/>
    <mergeCell ref="AC12:AG12"/>
    <mergeCell ref="AH12:AK12"/>
    <mergeCell ref="AL12:AO12"/>
    <mergeCell ref="AT11:AW11"/>
    <mergeCell ref="N11:W11"/>
    <mergeCell ref="X11:AG11"/>
    <mergeCell ref="AH11:AK11"/>
    <mergeCell ref="AL11:AO11"/>
    <mergeCell ref="AP11:AS11"/>
  </mergeCells>
  <conditionalFormatting sqref="E15:F39 E572:F595 E493:F495 E439:F456 E459:F485 E42:F113 E116:F138 E499:F531 E178:F431">
    <cfRule type="duplicateValues" dxfId="81" priority="75"/>
  </conditionalFormatting>
  <conditionalFormatting sqref="E150:F150 E155:E156 E139:E149 E151">
    <cfRule type="duplicateValues" dxfId="80" priority="74"/>
  </conditionalFormatting>
  <conditionalFormatting sqref="E150:F150 E139:E149 E151">
    <cfRule type="duplicateValues" dxfId="79" priority="73"/>
  </conditionalFormatting>
  <conditionalFormatting sqref="E150:F150">
    <cfRule type="duplicateValues" dxfId="78" priority="72"/>
  </conditionalFormatting>
  <conditionalFormatting sqref="E152:F154">
    <cfRule type="duplicateValues" dxfId="77" priority="71"/>
  </conditionalFormatting>
  <conditionalFormatting sqref="E152:F154">
    <cfRule type="duplicateValues" dxfId="76" priority="70"/>
  </conditionalFormatting>
  <conditionalFormatting sqref="E152:F154">
    <cfRule type="duplicateValues" dxfId="75" priority="69"/>
  </conditionalFormatting>
  <conditionalFormatting sqref="E490:F492">
    <cfRule type="duplicateValues" dxfId="74" priority="66"/>
  </conditionalFormatting>
  <conditionalFormatting sqref="E490:F492">
    <cfRule type="duplicateValues" dxfId="73" priority="67"/>
  </conditionalFormatting>
  <conditionalFormatting sqref="E490:F492">
    <cfRule type="duplicateValues" dxfId="72" priority="68"/>
  </conditionalFormatting>
  <conditionalFormatting sqref="E486:F489">
    <cfRule type="duplicateValues" dxfId="71" priority="63"/>
  </conditionalFormatting>
  <conditionalFormatting sqref="E486:F489">
    <cfRule type="duplicateValues" dxfId="70" priority="64"/>
  </conditionalFormatting>
  <conditionalFormatting sqref="E486:F489">
    <cfRule type="duplicateValues" dxfId="69" priority="65"/>
  </conditionalFormatting>
  <conditionalFormatting sqref="E114:F115">
    <cfRule type="duplicateValues" dxfId="68" priority="60"/>
  </conditionalFormatting>
  <conditionalFormatting sqref="E114:F115">
    <cfRule type="duplicateValues" dxfId="67" priority="61"/>
  </conditionalFormatting>
  <conditionalFormatting sqref="E114:F115">
    <cfRule type="duplicateValues" dxfId="66" priority="62"/>
  </conditionalFormatting>
  <conditionalFormatting sqref="E40:F41">
    <cfRule type="duplicateValues" dxfId="65" priority="76"/>
  </conditionalFormatting>
  <conditionalFormatting sqref="E436:F437">
    <cfRule type="duplicateValues" dxfId="64" priority="57"/>
  </conditionalFormatting>
  <conditionalFormatting sqref="E436:F437">
    <cfRule type="duplicateValues" dxfId="63" priority="58"/>
  </conditionalFormatting>
  <conditionalFormatting sqref="E436:F437">
    <cfRule type="duplicateValues" dxfId="62" priority="59"/>
  </conditionalFormatting>
  <conditionalFormatting sqref="E432:F434">
    <cfRule type="duplicateValues" dxfId="61" priority="54"/>
  </conditionalFormatting>
  <conditionalFormatting sqref="E432:F434">
    <cfRule type="duplicateValues" dxfId="60" priority="55"/>
  </conditionalFormatting>
  <conditionalFormatting sqref="E432:F434">
    <cfRule type="duplicateValues" dxfId="59" priority="56"/>
  </conditionalFormatting>
  <conditionalFormatting sqref="E457:F457">
    <cfRule type="duplicateValues" dxfId="58" priority="51"/>
  </conditionalFormatting>
  <conditionalFormatting sqref="E457:F457">
    <cfRule type="duplicateValues" dxfId="57" priority="52"/>
  </conditionalFormatting>
  <conditionalFormatting sqref="E457:F457">
    <cfRule type="duplicateValues" dxfId="56" priority="53"/>
  </conditionalFormatting>
  <conditionalFormatting sqref="E458:F458">
    <cfRule type="duplicateValues" dxfId="55" priority="48"/>
  </conditionalFormatting>
  <conditionalFormatting sqref="E458:F458">
    <cfRule type="duplicateValues" dxfId="54" priority="49"/>
  </conditionalFormatting>
  <conditionalFormatting sqref="E458:F458">
    <cfRule type="duplicateValues" dxfId="53" priority="50"/>
  </conditionalFormatting>
  <conditionalFormatting sqref="E438:F438">
    <cfRule type="duplicateValues" dxfId="52" priority="45"/>
  </conditionalFormatting>
  <conditionalFormatting sqref="E438:F438">
    <cfRule type="duplicateValues" dxfId="51" priority="46"/>
  </conditionalFormatting>
  <conditionalFormatting sqref="E438:F438">
    <cfRule type="duplicateValues" dxfId="50" priority="47"/>
  </conditionalFormatting>
  <conditionalFormatting sqref="E435:F435">
    <cfRule type="duplicateValues" dxfId="49" priority="42"/>
  </conditionalFormatting>
  <conditionalFormatting sqref="E435:F435">
    <cfRule type="duplicateValues" dxfId="48" priority="43"/>
  </conditionalFormatting>
  <conditionalFormatting sqref="E435:F435">
    <cfRule type="duplicateValues" dxfId="47" priority="44"/>
  </conditionalFormatting>
  <conditionalFormatting sqref="F117:F118">
    <cfRule type="duplicateValues" dxfId="46" priority="41"/>
  </conditionalFormatting>
  <conditionalFormatting sqref="F121:F122">
    <cfRule type="duplicateValues" dxfId="45" priority="40"/>
  </conditionalFormatting>
  <conditionalFormatting sqref="F124:F132">
    <cfRule type="duplicateValues" dxfId="44" priority="39"/>
  </conditionalFormatting>
  <conditionalFormatting sqref="F135:F136">
    <cfRule type="duplicateValues" dxfId="43" priority="38"/>
  </conditionalFormatting>
  <conditionalFormatting sqref="F139:F149">
    <cfRule type="duplicateValues" dxfId="42" priority="34"/>
  </conditionalFormatting>
  <conditionalFormatting sqref="F139:F149">
    <cfRule type="duplicateValues" dxfId="41" priority="35"/>
  </conditionalFormatting>
  <conditionalFormatting sqref="F139:F149">
    <cfRule type="duplicateValues" dxfId="40" priority="36"/>
  </conditionalFormatting>
  <conditionalFormatting sqref="F139:F149">
    <cfRule type="duplicateValues" dxfId="39" priority="37"/>
  </conditionalFormatting>
  <conditionalFormatting sqref="F151">
    <cfRule type="duplicateValues" dxfId="38" priority="30"/>
  </conditionalFormatting>
  <conditionalFormatting sqref="F151">
    <cfRule type="duplicateValues" dxfId="37" priority="31"/>
  </conditionalFormatting>
  <conditionalFormatting sqref="F151">
    <cfRule type="duplicateValues" dxfId="36" priority="32"/>
  </conditionalFormatting>
  <conditionalFormatting sqref="F151">
    <cfRule type="duplicateValues" dxfId="35" priority="33"/>
  </conditionalFormatting>
  <conditionalFormatting sqref="F155:F156">
    <cfRule type="duplicateValues" dxfId="34" priority="26"/>
  </conditionalFormatting>
  <conditionalFormatting sqref="F155:F156">
    <cfRule type="duplicateValues" dxfId="33" priority="27"/>
  </conditionalFormatting>
  <conditionalFormatting sqref="F155:F156">
    <cfRule type="duplicateValues" dxfId="32" priority="28"/>
  </conditionalFormatting>
  <conditionalFormatting sqref="F155:F156">
    <cfRule type="duplicateValues" dxfId="31" priority="29"/>
  </conditionalFormatting>
  <conditionalFormatting sqref="F180:F181">
    <cfRule type="duplicateValues" dxfId="30" priority="25"/>
  </conditionalFormatting>
  <conditionalFormatting sqref="F187:F188">
    <cfRule type="duplicateValues" dxfId="29" priority="24"/>
  </conditionalFormatting>
  <conditionalFormatting sqref="F190">
    <cfRule type="duplicateValues" dxfId="28" priority="23"/>
  </conditionalFormatting>
  <conditionalFormatting sqref="F199:F201">
    <cfRule type="duplicateValues" dxfId="27" priority="22"/>
  </conditionalFormatting>
  <conditionalFormatting sqref="F214">
    <cfRule type="duplicateValues" dxfId="26" priority="21"/>
  </conditionalFormatting>
  <conditionalFormatting sqref="F228">
    <cfRule type="duplicateValues" dxfId="25" priority="20"/>
  </conditionalFormatting>
  <conditionalFormatting sqref="F232">
    <cfRule type="duplicateValues" dxfId="24" priority="19"/>
  </conditionalFormatting>
  <conditionalFormatting sqref="F245:F247">
    <cfRule type="duplicateValues" dxfId="23" priority="18"/>
  </conditionalFormatting>
  <conditionalFormatting sqref="F249">
    <cfRule type="duplicateValues" dxfId="22" priority="17"/>
  </conditionalFormatting>
  <conditionalFormatting sqref="F251:F255">
    <cfRule type="duplicateValues" dxfId="21" priority="16"/>
  </conditionalFormatting>
  <conditionalFormatting sqref="F257">
    <cfRule type="duplicateValues" dxfId="20" priority="15"/>
  </conditionalFormatting>
  <conditionalFormatting sqref="F261">
    <cfRule type="duplicateValues" dxfId="19" priority="14"/>
  </conditionalFormatting>
  <conditionalFormatting sqref="F263:F273">
    <cfRule type="duplicateValues" dxfId="18" priority="13"/>
  </conditionalFormatting>
  <conditionalFormatting sqref="F292">
    <cfRule type="duplicateValues" dxfId="17" priority="12"/>
  </conditionalFormatting>
  <conditionalFormatting sqref="F294">
    <cfRule type="duplicateValues" dxfId="16" priority="11"/>
  </conditionalFormatting>
  <conditionalFormatting sqref="F297:F298">
    <cfRule type="duplicateValues" dxfId="15" priority="10"/>
  </conditionalFormatting>
  <conditionalFormatting sqref="F300:F304">
    <cfRule type="duplicateValues" dxfId="14" priority="9"/>
  </conditionalFormatting>
  <conditionalFormatting sqref="F306">
    <cfRule type="duplicateValues" dxfId="13" priority="8"/>
  </conditionalFormatting>
  <conditionalFormatting sqref="F310:F313">
    <cfRule type="duplicateValues" dxfId="12" priority="7"/>
  </conditionalFormatting>
  <conditionalFormatting sqref="F315">
    <cfRule type="duplicateValues" dxfId="11" priority="6"/>
  </conditionalFormatting>
  <conditionalFormatting sqref="F317:F326">
    <cfRule type="duplicateValues" dxfId="10" priority="5"/>
  </conditionalFormatting>
  <conditionalFormatting sqref="F238:F239">
    <cfRule type="duplicateValues" dxfId="9" priority="77"/>
  </conditionalFormatting>
  <conditionalFormatting sqref="E572:F595 E15:F39 E493:F495 E439:F456 E459:F485 E42:F113 E116:F138 E499:F531 E178:F431">
    <cfRule type="duplicateValues" dxfId="8" priority="78"/>
  </conditionalFormatting>
  <conditionalFormatting sqref="E572:F595 E15:F39 E493:F495 E439:F456 E459:F485 E42:F113 E116:F138 E499:F531 E178:F431">
    <cfRule type="duplicateValues" dxfId="7" priority="79"/>
  </conditionalFormatting>
  <conditionalFormatting sqref="E496:F498">
    <cfRule type="duplicateValues" dxfId="6" priority="2"/>
  </conditionalFormatting>
  <conditionalFormatting sqref="E496:F498">
    <cfRule type="duplicateValues" dxfId="5" priority="3"/>
  </conditionalFormatting>
  <conditionalFormatting sqref="E496:F498">
    <cfRule type="duplicateValues" dxfId="4" priority="4"/>
  </conditionalFormatting>
  <conditionalFormatting sqref="E560:F571 E532:F556">
    <cfRule type="duplicateValues" dxfId="3" priority="80"/>
  </conditionalFormatting>
  <conditionalFormatting sqref="E557:F559">
    <cfRule type="duplicateValues" dxfId="2" priority="1"/>
  </conditionalFormatting>
  <conditionalFormatting sqref="E42:F108 E18:F39">
    <cfRule type="duplicateValues" dxfId="1" priority="81"/>
  </conditionalFormatting>
  <printOptions horizontalCentered="1"/>
  <pageMargins left="0.23622047244094491" right="0.23622047244094491" top="0.31496062992125984" bottom="0" header="0" footer="0"/>
  <pageSetup scale="22" fitToHeight="0" orientation="landscape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B371"/>
  <sheetViews>
    <sheetView showGridLines="0" zoomScale="45" zoomScaleNormal="45" workbookViewId="0">
      <pane xSplit="6" ySplit="13" topLeftCell="G243" activePane="bottomRight" state="frozen"/>
      <selection activeCell="O216" sqref="O216:BK339"/>
      <selection pane="topRight" activeCell="O216" sqref="O216:BK339"/>
      <selection pane="bottomLeft" activeCell="O216" sqref="O216:BK339"/>
      <selection pane="bottomRight" activeCell="V333" sqref="V333"/>
    </sheetView>
  </sheetViews>
  <sheetFormatPr defaultColWidth="9.33203125" defaultRowHeight="17.399999999999999" x14ac:dyDescent="0.25"/>
  <cols>
    <col min="1" max="1" width="18.44140625" style="4" customWidth="1"/>
    <col min="2" max="2" width="18.6640625" style="4" customWidth="1"/>
    <col min="3" max="3" width="18.44140625" style="4" customWidth="1"/>
    <col min="4" max="4" width="18.44140625" style="17" customWidth="1"/>
    <col min="5" max="5" width="22.44140625" style="17" customWidth="1"/>
    <col min="6" max="6" width="30.44140625" style="17" customWidth="1"/>
    <col min="7" max="11" width="19.6640625" style="17" customWidth="1"/>
    <col min="12" max="21" width="22.6640625" style="17" customWidth="1"/>
    <col min="22" max="22" width="23.88671875" style="17" customWidth="1"/>
    <col min="23" max="25" width="22.6640625" style="17" customWidth="1"/>
    <col min="26" max="26" width="24.109375" style="17" customWidth="1"/>
    <col min="27" max="27" width="22.6640625" style="98" customWidth="1"/>
    <col min="28" max="28" width="22.6640625" style="17" customWidth="1"/>
  </cols>
  <sheetData>
    <row r="1" spans="1:28" ht="38.25" customHeight="1" x14ac:dyDescent="0.25">
      <c r="A1" s="102" t="s">
        <v>24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</row>
    <row r="2" spans="1:28" x14ac:dyDescent="0.25">
      <c r="A2" s="13"/>
      <c r="B2" s="13"/>
      <c r="C2" s="13"/>
      <c r="D2" s="14"/>
      <c r="E2" s="14"/>
      <c r="F2" s="14"/>
      <c r="G2" s="14"/>
      <c r="H2"/>
      <c r="I2"/>
      <c r="J2"/>
      <c r="K2" s="48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97"/>
      <c r="AB2" s="14"/>
    </row>
    <row r="3" spans="1:28" x14ac:dyDescent="0.25">
      <c r="A3" s="29" t="s">
        <v>38</v>
      </c>
      <c r="B3" s="32" t="s">
        <v>612</v>
      </c>
      <c r="C3" s="26"/>
      <c r="D3" s="26"/>
      <c r="E3" s="7"/>
      <c r="F3" s="6"/>
      <c r="G3" s="6"/>
      <c r="H3"/>
      <c r="I3"/>
      <c r="J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97"/>
      <c r="AB3" s="3"/>
    </row>
    <row r="4" spans="1:28" x14ac:dyDescent="0.25">
      <c r="A4" s="30" t="s">
        <v>23</v>
      </c>
      <c r="B4" s="49">
        <f ca="1">TODAY()+1</f>
        <v>44425</v>
      </c>
      <c r="C4" s="28"/>
      <c r="D4" s="28"/>
      <c r="E4" s="7"/>
      <c r="F4" s="3"/>
      <c r="G4" s="3"/>
      <c r="H4"/>
      <c r="I4"/>
      <c r="J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97"/>
      <c r="AB4" s="3"/>
    </row>
    <row r="5" spans="1:28" x14ac:dyDescent="0.25">
      <c r="A5" s="30" t="s">
        <v>63</v>
      </c>
      <c r="B5" s="33" t="s">
        <v>121</v>
      </c>
      <c r="C5" s="28"/>
      <c r="D5" s="28"/>
      <c r="E5" s="7"/>
      <c r="F5" s="3"/>
      <c r="G5" s="3"/>
      <c r="H5"/>
      <c r="I5"/>
      <c r="J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97"/>
      <c r="AB5" s="3"/>
    </row>
    <row r="6" spans="1:28" x14ac:dyDescent="0.25">
      <c r="A6" s="27"/>
      <c r="B6" s="28"/>
      <c r="C6" s="28"/>
      <c r="D6" s="28"/>
      <c r="E6" s="7"/>
      <c r="F6" s="3"/>
      <c r="G6" s="3"/>
      <c r="H6"/>
      <c r="I6"/>
      <c r="J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97"/>
      <c r="AB6" s="3"/>
    </row>
    <row r="7" spans="1:28" x14ac:dyDescent="0.25">
      <c r="A7" s="5"/>
      <c r="B7" s="31" t="s">
        <v>43</v>
      </c>
      <c r="C7" s="6"/>
      <c r="D7" s="6"/>
      <c r="E7" s="7"/>
      <c r="F7" s="3"/>
      <c r="G7" s="3"/>
      <c r="H7"/>
      <c r="I7"/>
      <c r="J7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97"/>
      <c r="AB7" s="3"/>
    </row>
    <row r="8" spans="1:28" x14ac:dyDescent="0.25">
      <c r="A8" s="8"/>
      <c r="B8" s="31" t="s">
        <v>44</v>
      </c>
      <c r="C8" s="6"/>
      <c r="D8" s="6"/>
      <c r="E8" s="3"/>
      <c r="F8" s="3"/>
      <c r="G8" s="3"/>
      <c r="H8" s="3"/>
      <c r="I8" s="3"/>
      <c r="J8" s="3"/>
      <c r="K8" s="3"/>
      <c r="L8" s="3"/>
      <c r="M8" s="114"/>
      <c r="N8" s="3"/>
      <c r="O8" s="11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97"/>
      <c r="AB8" s="3"/>
    </row>
    <row r="9" spans="1:28" x14ac:dyDescent="0.25">
      <c r="A9" s="36"/>
      <c r="B9" s="31" t="s">
        <v>40</v>
      </c>
      <c r="C9" s="6"/>
      <c r="D9" s="6"/>
      <c r="E9" s="3"/>
      <c r="F9" s="3"/>
      <c r="G9" s="3"/>
      <c r="H9" s="3"/>
      <c r="I9" s="3"/>
      <c r="J9" s="3"/>
      <c r="K9" s="3"/>
      <c r="L9" s="3"/>
      <c r="M9" s="115" t="s">
        <v>639</v>
      </c>
      <c r="N9" s="3"/>
      <c r="O9" s="115" t="s">
        <v>639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97"/>
      <c r="AB9" s="3"/>
    </row>
    <row r="10" spans="1:28" ht="15.6" x14ac:dyDescent="0.25">
      <c r="A10" s="37"/>
      <c r="B10" s="31" t="s">
        <v>47</v>
      </c>
      <c r="C10" s="6"/>
      <c r="D10" s="6"/>
      <c r="E10" s="3"/>
      <c r="F10" s="3"/>
      <c r="G10" s="3"/>
      <c r="H10" s="3"/>
      <c r="I10" s="3"/>
      <c r="J10" s="3"/>
      <c r="K10" s="3"/>
      <c r="L10" s="104" t="s">
        <v>615</v>
      </c>
      <c r="M10" s="104"/>
      <c r="N10" s="104"/>
      <c r="O10" s="104"/>
      <c r="P10" s="104" t="s">
        <v>603</v>
      </c>
      <c r="Q10" s="104"/>
      <c r="R10" s="104" t="s">
        <v>606</v>
      </c>
      <c r="S10" s="104"/>
      <c r="T10" s="104" t="s">
        <v>607</v>
      </c>
      <c r="U10" s="101"/>
      <c r="V10" s="104" t="s">
        <v>633</v>
      </c>
      <c r="W10" s="104"/>
      <c r="X10" s="104" t="s">
        <v>632</v>
      </c>
      <c r="Y10" s="104" t="s">
        <v>616</v>
      </c>
      <c r="Z10" s="104"/>
      <c r="AA10" s="104"/>
      <c r="AB10" s="104" t="s">
        <v>630</v>
      </c>
    </row>
    <row r="11" spans="1:28" ht="30.15" customHeight="1" x14ac:dyDescent="0.25">
      <c r="A11" s="9"/>
      <c r="B11" s="9"/>
      <c r="C11" s="9"/>
      <c r="D11" s="10"/>
      <c r="E11" s="3"/>
      <c r="F11" s="3"/>
      <c r="G11" s="3"/>
      <c r="H11" s="3"/>
      <c r="I11" s="3"/>
      <c r="J11" s="3"/>
      <c r="K11" s="14"/>
      <c r="L11" s="105" t="s">
        <v>59</v>
      </c>
      <c r="M11" s="106" t="s">
        <v>93</v>
      </c>
      <c r="N11" s="105" t="s">
        <v>59</v>
      </c>
      <c r="O11" s="106" t="s">
        <v>93</v>
      </c>
      <c r="P11" s="105" t="s">
        <v>59</v>
      </c>
      <c r="Q11" s="106" t="s">
        <v>93</v>
      </c>
      <c r="R11" s="105" t="s">
        <v>59</v>
      </c>
      <c r="S11" s="106" t="s">
        <v>93</v>
      </c>
      <c r="T11" s="105" t="s">
        <v>59</v>
      </c>
      <c r="U11" s="113" t="s">
        <v>93</v>
      </c>
      <c r="V11" s="112" t="s">
        <v>59</v>
      </c>
      <c r="W11" s="112"/>
      <c r="X11" s="112" t="s">
        <v>59</v>
      </c>
      <c r="Y11" s="112" t="s">
        <v>59</v>
      </c>
      <c r="Z11" s="112"/>
      <c r="AA11" s="112"/>
      <c r="AB11" s="112" t="s">
        <v>59</v>
      </c>
    </row>
    <row r="12" spans="1:28" ht="36.75" customHeight="1" x14ac:dyDescent="0.25">
      <c r="A12" s="55"/>
      <c r="B12" s="55"/>
      <c r="C12" s="55"/>
      <c r="D12" s="55"/>
      <c r="E12" s="55"/>
      <c r="F12" s="55"/>
      <c r="G12" s="55"/>
      <c r="H12" s="35"/>
      <c r="I12" s="35"/>
      <c r="J12" s="35"/>
      <c r="K12" s="34" t="s">
        <v>64</v>
      </c>
      <c r="L12" s="100" t="s">
        <v>617</v>
      </c>
      <c r="M12" s="100" t="s">
        <v>634</v>
      </c>
      <c r="N12" s="100" t="s">
        <v>618</v>
      </c>
      <c r="O12" s="100" t="s">
        <v>635</v>
      </c>
      <c r="P12" s="34" t="s">
        <v>613</v>
      </c>
      <c r="Q12" s="34" t="s">
        <v>619</v>
      </c>
      <c r="R12" s="34" t="s">
        <v>620</v>
      </c>
      <c r="S12" s="34" t="s">
        <v>621</v>
      </c>
      <c r="T12" s="34" t="s">
        <v>622</v>
      </c>
      <c r="U12" s="34" t="s">
        <v>623</v>
      </c>
      <c r="V12" s="34" t="s">
        <v>624</v>
      </c>
      <c r="W12" s="34" t="s">
        <v>625</v>
      </c>
      <c r="X12" s="100" t="s">
        <v>626</v>
      </c>
      <c r="Y12" s="34" t="s">
        <v>627</v>
      </c>
      <c r="Z12" s="34" t="s">
        <v>628</v>
      </c>
      <c r="AA12" s="34" t="s">
        <v>629</v>
      </c>
      <c r="AB12" s="52" t="s">
        <v>127</v>
      </c>
    </row>
    <row r="13" spans="1:28" ht="37.200000000000003" customHeight="1" x14ac:dyDescent="0.25">
      <c r="A13" s="11" t="s">
        <v>30</v>
      </c>
      <c r="B13" s="11" t="s">
        <v>39</v>
      </c>
      <c r="C13" s="11" t="s">
        <v>33</v>
      </c>
      <c r="D13" s="12" t="s">
        <v>29</v>
      </c>
      <c r="E13" s="12" t="s">
        <v>0</v>
      </c>
      <c r="F13" s="12" t="s">
        <v>31</v>
      </c>
      <c r="G13" s="12" t="s">
        <v>410</v>
      </c>
      <c r="H13" s="12" t="s">
        <v>443</v>
      </c>
      <c r="I13" s="12" t="s">
        <v>444</v>
      </c>
      <c r="J13" s="12" t="s">
        <v>36</v>
      </c>
      <c r="K13" s="12" t="s">
        <v>20</v>
      </c>
      <c r="L13" s="41" t="s">
        <v>614</v>
      </c>
      <c r="M13" s="41" t="s">
        <v>636</v>
      </c>
      <c r="N13" s="41" t="s">
        <v>631</v>
      </c>
      <c r="O13" s="41" t="s">
        <v>637</v>
      </c>
      <c r="P13" s="12" t="s">
        <v>604</v>
      </c>
      <c r="Q13" s="12" t="s">
        <v>605</v>
      </c>
      <c r="R13" s="12" t="s">
        <v>608</v>
      </c>
      <c r="S13" s="12" t="s">
        <v>609</v>
      </c>
      <c r="T13" s="12" t="s">
        <v>610</v>
      </c>
      <c r="U13" s="41" t="s">
        <v>611</v>
      </c>
      <c r="V13" s="12" t="s">
        <v>76</v>
      </c>
      <c r="W13" s="12" t="s">
        <v>37</v>
      </c>
      <c r="X13" s="41" t="s">
        <v>638</v>
      </c>
      <c r="Y13" s="12" t="s">
        <v>28</v>
      </c>
      <c r="Z13" s="12" t="s">
        <v>340</v>
      </c>
      <c r="AA13" s="12" t="s">
        <v>596</v>
      </c>
      <c r="AB13" s="50" t="s">
        <v>128</v>
      </c>
    </row>
    <row r="14" spans="1:28" ht="30.15" customHeight="1" x14ac:dyDescent="0.25">
      <c r="A14" s="56" t="s">
        <v>18</v>
      </c>
      <c r="B14" s="57" t="s">
        <v>1</v>
      </c>
      <c r="C14" s="56" t="s">
        <v>35</v>
      </c>
      <c r="D14" s="40" t="s">
        <v>245</v>
      </c>
      <c r="E14" s="40" t="s">
        <v>433</v>
      </c>
      <c r="F14" s="46" t="s">
        <v>434</v>
      </c>
      <c r="G14" s="46" t="s">
        <v>409</v>
      </c>
      <c r="H14" s="15">
        <v>150</v>
      </c>
      <c r="I14" s="15">
        <v>150</v>
      </c>
      <c r="J14" s="15">
        <v>150</v>
      </c>
      <c r="K14" s="15">
        <v>199</v>
      </c>
      <c r="L14" s="15" t="s">
        <v>1</v>
      </c>
      <c r="M14" s="15" t="s">
        <v>1</v>
      </c>
      <c r="N14" s="15" t="s">
        <v>1</v>
      </c>
      <c r="O14" s="15"/>
      <c r="P14" s="15">
        <f>IF((K14-(20*24))&lt;0,0,(K14-(20*24)))</f>
        <v>0</v>
      </c>
      <c r="Q14" s="15">
        <f>IF((K14-(20*24))&lt;0,0,(K14-(20*24)))</f>
        <v>0</v>
      </c>
      <c r="R14" s="15">
        <f>IF((K14-(30*24))&lt;0,0,(K14-(30*24)))</f>
        <v>0</v>
      </c>
      <c r="S14" s="15">
        <f>IF((K14-(30*24))&lt;0,0,(K14-(30*24)))</f>
        <v>0</v>
      </c>
      <c r="T14" s="15">
        <f>IF((K14-(40*24))&lt;0,0,(K14-(40*24)))</f>
        <v>0</v>
      </c>
      <c r="U14" s="15">
        <f>IF((K14-(40*24))&lt;0,0,(K14-(40*24)))</f>
        <v>0</v>
      </c>
      <c r="V14" s="15" t="s">
        <v>1</v>
      </c>
      <c r="W14" s="15" t="s">
        <v>1</v>
      </c>
      <c r="X14" s="15">
        <v>0</v>
      </c>
      <c r="Y14" s="2">
        <v>0</v>
      </c>
      <c r="Z14" s="2">
        <v>0</v>
      </c>
      <c r="AA14" s="2">
        <v>0</v>
      </c>
      <c r="AB14" s="2" t="s">
        <v>1</v>
      </c>
    </row>
    <row r="15" spans="1:28" ht="30.15" customHeight="1" x14ac:dyDescent="0.25">
      <c r="A15" s="56" t="s">
        <v>18</v>
      </c>
      <c r="B15" s="57" t="s">
        <v>1</v>
      </c>
      <c r="C15" s="56" t="s">
        <v>34</v>
      </c>
      <c r="D15" s="40" t="s">
        <v>245</v>
      </c>
      <c r="E15" s="40" t="s">
        <v>438</v>
      </c>
      <c r="F15" s="46" t="s">
        <v>439</v>
      </c>
      <c r="G15" s="46" t="s">
        <v>409</v>
      </c>
      <c r="H15" s="15">
        <v>81</v>
      </c>
      <c r="I15" s="15">
        <v>81</v>
      </c>
      <c r="J15" s="15">
        <v>81</v>
      </c>
      <c r="K15" s="15">
        <v>85</v>
      </c>
      <c r="L15" s="15">
        <v>0</v>
      </c>
      <c r="M15" s="15">
        <v>0</v>
      </c>
      <c r="N15" s="15">
        <v>0</v>
      </c>
      <c r="O15" s="15">
        <v>0</v>
      </c>
      <c r="P15" s="2">
        <v>0</v>
      </c>
      <c r="Q15" s="2">
        <v>0</v>
      </c>
      <c r="R15" s="2">
        <v>0</v>
      </c>
      <c r="S15" s="2">
        <v>0</v>
      </c>
      <c r="T15" s="2" t="s">
        <v>1</v>
      </c>
      <c r="U15" s="44" t="s">
        <v>1</v>
      </c>
      <c r="V15" s="15">
        <v>0</v>
      </c>
      <c r="W15" s="15">
        <v>0</v>
      </c>
      <c r="X15" s="15" t="s">
        <v>1</v>
      </c>
      <c r="Y15" s="2" t="s">
        <v>1</v>
      </c>
      <c r="Z15" s="2" t="s">
        <v>1</v>
      </c>
      <c r="AA15" s="107" t="s">
        <v>1</v>
      </c>
      <c r="AB15" s="2" t="s">
        <v>1</v>
      </c>
    </row>
    <row r="16" spans="1:28" ht="30.15" customHeight="1" x14ac:dyDescent="0.25">
      <c r="A16" s="56" t="s">
        <v>17</v>
      </c>
      <c r="B16" s="57">
        <v>43313</v>
      </c>
      <c r="C16" s="56" t="s">
        <v>35</v>
      </c>
      <c r="D16" s="40" t="s">
        <v>245</v>
      </c>
      <c r="E16" s="40" t="s">
        <v>246</v>
      </c>
      <c r="F16" s="46" t="s">
        <v>247</v>
      </c>
      <c r="G16" s="46" t="s">
        <v>409</v>
      </c>
      <c r="H16" s="15">
        <v>140</v>
      </c>
      <c r="I16" s="15">
        <v>140</v>
      </c>
      <c r="J16" s="15">
        <v>140</v>
      </c>
      <c r="K16" s="15">
        <v>150</v>
      </c>
      <c r="L16" s="15" t="s">
        <v>1</v>
      </c>
      <c r="M16" s="15" t="s">
        <v>1</v>
      </c>
      <c r="N16" s="15" t="s">
        <v>1</v>
      </c>
      <c r="O16" s="15" t="s">
        <v>1</v>
      </c>
      <c r="P16" s="2" t="s">
        <v>1</v>
      </c>
      <c r="Q16" s="2" t="s">
        <v>1</v>
      </c>
      <c r="R16" s="47" t="s">
        <v>1</v>
      </c>
      <c r="S16" s="47" t="s">
        <v>1</v>
      </c>
      <c r="T16" s="2" t="s">
        <v>1</v>
      </c>
      <c r="U16" s="44" t="s">
        <v>1</v>
      </c>
      <c r="V16" s="15" t="s">
        <v>1</v>
      </c>
      <c r="W16" s="15" t="s">
        <v>1</v>
      </c>
      <c r="X16" s="15">
        <v>0</v>
      </c>
      <c r="Y16" s="2">
        <v>0</v>
      </c>
      <c r="Z16" s="2">
        <v>0</v>
      </c>
      <c r="AA16" s="2">
        <v>0</v>
      </c>
      <c r="AB16" s="2" t="s">
        <v>1</v>
      </c>
    </row>
    <row r="17" spans="1:28" ht="30.15" customHeight="1" x14ac:dyDescent="0.25">
      <c r="A17" s="56" t="s">
        <v>18</v>
      </c>
      <c r="B17" s="56" t="s">
        <v>1</v>
      </c>
      <c r="C17" s="56" t="s">
        <v>35</v>
      </c>
      <c r="D17" s="40" t="s">
        <v>3</v>
      </c>
      <c r="E17" s="40" t="s">
        <v>482</v>
      </c>
      <c r="F17" s="40" t="s">
        <v>484</v>
      </c>
      <c r="G17" s="46" t="s">
        <v>481</v>
      </c>
      <c r="H17" s="42">
        <v>454</v>
      </c>
      <c r="I17" s="42">
        <v>499</v>
      </c>
      <c r="J17" s="15">
        <v>499</v>
      </c>
      <c r="K17" s="15">
        <v>230</v>
      </c>
      <c r="L17" s="15" t="s">
        <v>1</v>
      </c>
      <c r="M17" s="15" t="s">
        <v>1</v>
      </c>
      <c r="N17" s="15" t="s">
        <v>1</v>
      </c>
      <c r="O17" s="15" t="s">
        <v>1</v>
      </c>
      <c r="P17" s="2" t="s">
        <v>1</v>
      </c>
      <c r="Q17" s="2" t="s">
        <v>1</v>
      </c>
      <c r="R17" s="47" t="s">
        <v>1</v>
      </c>
      <c r="S17" s="47" t="s">
        <v>1</v>
      </c>
      <c r="T17" s="2" t="s">
        <v>1</v>
      </c>
      <c r="U17" s="44" t="s">
        <v>1</v>
      </c>
      <c r="V17" s="15" t="s">
        <v>1</v>
      </c>
      <c r="W17" s="15" t="s">
        <v>1</v>
      </c>
      <c r="X17" s="15">
        <v>0</v>
      </c>
      <c r="Y17" s="2" t="s">
        <v>1</v>
      </c>
      <c r="Z17" s="2" t="s">
        <v>1</v>
      </c>
      <c r="AA17" s="107" t="s">
        <v>1</v>
      </c>
      <c r="AB17" s="2" t="s">
        <v>1</v>
      </c>
    </row>
    <row r="18" spans="1:28" ht="30.15" customHeight="1" x14ac:dyDescent="0.25">
      <c r="A18" s="56" t="s">
        <v>18</v>
      </c>
      <c r="B18" s="56" t="s">
        <v>1</v>
      </c>
      <c r="C18" s="56" t="s">
        <v>35</v>
      </c>
      <c r="D18" s="40" t="s">
        <v>3</v>
      </c>
      <c r="E18" s="40" t="s">
        <v>483</v>
      </c>
      <c r="F18" s="40" t="s">
        <v>485</v>
      </c>
      <c r="G18" s="46" t="s">
        <v>481</v>
      </c>
      <c r="H18" s="42">
        <v>490</v>
      </c>
      <c r="I18" s="42">
        <v>539</v>
      </c>
      <c r="J18" s="15">
        <v>539</v>
      </c>
      <c r="K18" s="15">
        <v>270</v>
      </c>
      <c r="L18" s="15" t="s">
        <v>1</v>
      </c>
      <c r="M18" s="15" t="s">
        <v>1</v>
      </c>
      <c r="N18" s="15" t="s">
        <v>1</v>
      </c>
      <c r="O18" s="15" t="s">
        <v>1</v>
      </c>
      <c r="P18" s="2" t="s">
        <v>1</v>
      </c>
      <c r="Q18" s="2" t="s">
        <v>1</v>
      </c>
      <c r="R18" s="47" t="s">
        <v>1</v>
      </c>
      <c r="S18" s="47" t="s">
        <v>1</v>
      </c>
      <c r="T18" s="2" t="s">
        <v>1</v>
      </c>
      <c r="U18" s="44" t="s">
        <v>1</v>
      </c>
      <c r="V18" s="15" t="s">
        <v>1</v>
      </c>
      <c r="W18" s="15" t="s">
        <v>1</v>
      </c>
      <c r="X18" s="15">
        <v>0</v>
      </c>
      <c r="Y18" s="2" t="s">
        <v>1</v>
      </c>
      <c r="Z18" s="2" t="s">
        <v>1</v>
      </c>
      <c r="AA18" s="107" t="s">
        <v>1</v>
      </c>
      <c r="AB18" s="2" t="s">
        <v>1</v>
      </c>
    </row>
    <row r="19" spans="1:28" ht="30.15" customHeight="1" x14ac:dyDescent="0.25">
      <c r="A19" s="56" t="s">
        <v>18</v>
      </c>
      <c r="B19" s="56" t="s">
        <v>1</v>
      </c>
      <c r="C19" s="56" t="s">
        <v>35</v>
      </c>
      <c r="D19" s="40" t="s">
        <v>3</v>
      </c>
      <c r="E19" s="40" t="s">
        <v>474</v>
      </c>
      <c r="F19" s="40" t="s">
        <v>479</v>
      </c>
      <c r="G19" s="46" t="s">
        <v>481</v>
      </c>
      <c r="H19" s="42">
        <v>591</v>
      </c>
      <c r="I19" s="42">
        <v>649</v>
      </c>
      <c r="J19" s="15">
        <v>649</v>
      </c>
      <c r="K19" s="15">
        <v>679</v>
      </c>
      <c r="L19" s="15" t="s">
        <v>1</v>
      </c>
      <c r="M19" s="15" t="s">
        <v>1</v>
      </c>
      <c r="N19" s="15" t="s">
        <v>1</v>
      </c>
      <c r="O19" s="15" t="s">
        <v>1</v>
      </c>
      <c r="P19" s="2" t="s">
        <v>1</v>
      </c>
      <c r="Q19" s="2" t="s">
        <v>1</v>
      </c>
      <c r="R19" s="47" t="s">
        <v>1</v>
      </c>
      <c r="S19" s="47" t="s">
        <v>1</v>
      </c>
      <c r="T19" s="2" t="s">
        <v>1</v>
      </c>
      <c r="U19" s="44" t="s">
        <v>1</v>
      </c>
      <c r="V19" s="15" t="s">
        <v>1</v>
      </c>
      <c r="W19" s="15" t="s">
        <v>1</v>
      </c>
      <c r="X19" s="15">
        <v>0</v>
      </c>
      <c r="Y19" s="2" t="s">
        <v>1</v>
      </c>
      <c r="Z19" s="2" t="s">
        <v>1</v>
      </c>
      <c r="AA19" s="107" t="s">
        <v>1</v>
      </c>
      <c r="AB19" s="2" t="s">
        <v>1</v>
      </c>
    </row>
    <row r="20" spans="1:28" ht="30.15" customHeight="1" x14ac:dyDescent="0.25">
      <c r="A20" s="56" t="s">
        <v>18</v>
      </c>
      <c r="B20" s="56" t="s">
        <v>1</v>
      </c>
      <c r="C20" s="56" t="s">
        <v>35</v>
      </c>
      <c r="D20" s="40" t="s">
        <v>3</v>
      </c>
      <c r="E20" s="40" t="s">
        <v>475</v>
      </c>
      <c r="F20" s="40" t="s">
        <v>479</v>
      </c>
      <c r="G20" s="46" t="s">
        <v>481</v>
      </c>
      <c r="H20" s="42">
        <v>591</v>
      </c>
      <c r="I20" s="42">
        <v>649</v>
      </c>
      <c r="J20" s="15">
        <v>649</v>
      </c>
      <c r="K20" s="15">
        <v>679</v>
      </c>
      <c r="L20" s="15" t="s">
        <v>1</v>
      </c>
      <c r="M20" s="15" t="s">
        <v>1</v>
      </c>
      <c r="N20" s="15" t="s">
        <v>1</v>
      </c>
      <c r="O20" s="15" t="s">
        <v>1</v>
      </c>
      <c r="P20" s="2" t="s">
        <v>1</v>
      </c>
      <c r="Q20" s="2" t="s">
        <v>1</v>
      </c>
      <c r="R20" s="47" t="s">
        <v>1</v>
      </c>
      <c r="S20" s="47" t="s">
        <v>1</v>
      </c>
      <c r="T20" s="2" t="s">
        <v>1</v>
      </c>
      <c r="U20" s="44" t="s">
        <v>1</v>
      </c>
      <c r="V20" s="15" t="s">
        <v>1</v>
      </c>
      <c r="W20" s="15" t="s">
        <v>1</v>
      </c>
      <c r="X20" s="15">
        <v>0</v>
      </c>
      <c r="Y20" s="2" t="s">
        <v>1</v>
      </c>
      <c r="Z20" s="2" t="s">
        <v>1</v>
      </c>
      <c r="AA20" s="107" t="s">
        <v>1</v>
      </c>
      <c r="AB20" s="2" t="s">
        <v>1</v>
      </c>
    </row>
    <row r="21" spans="1:28" ht="30.15" customHeight="1" x14ac:dyDescent="0.25">
      <c r="A21" s="56" t="s">
        <v>18</v>
      </c>
      <c r="B21" s="56" t="s">
        <v>1</v>
      </c>
      <c r="C21" s="56" t="s">
        <v>35</v>
      </c>
      <c r="D21" s="40" t="s">
        <v>3</v>
      </c>
      <c r="E21" s="40" t="s">
        <v>473</v>
      </c>
      <c r="F21" s="40" t="s">
        <v>479</v>
      </c>
      <c r="G21" s="46" t="s">
        <v>481</v>
      </c>
      <c r="H21" s="42">
        <v>591</v>
      </c>
      <c r="I21" s="42">
        <v>649</v>
      </c>
      <c r="J21" s="15">
        <v>649</v>
      </c>
      <c r="K21" s="15">
        <v>679</v>
      </c>
      <c r="L21" s="15" t="s">
        <v>1</v>
      </c>
      <c r="M21" s="15" t="s">
        <v>1</v>
      </c>
      <c r="N21" s="15" t="s">
        <v>1</v>
      </c>
      <c r="O21" s="15" t="s">
        <v>1</v>
      </c>
      <c r="P21" s="2" t="s">
        <v>1</v>
      </c>
      <c r="Q21" s="2" t="s">
        <v>1</v>
      </c>
      <c r="R21" s="47" t="s">
        <v>1</v>
      </c>
      <c r="S21" s="47" t="s">
        <v>1</v>
      </c>
      <c r="T21" s="2" t="s">
        <v>1</v>
      </c>
      <c r="U21" s="44" t="s">
        <v>1</v>
      </c>
      <c r="V21" s="15" t="s">
        <v>1</v>
      </c>
      <c r="W21" s="15" t="s">
        <v>1</v>
      </c>
      <c r="X21" s="15">
        <v>0</v>
      </c>
      <c r="Y21" s="2" t="s">
        <v>1</v>
      </c>
      <c r="Z21" s="2" t="s">
        <v>1</v>
      </c>
      <c r="AA21" s="107" t="s">
        <v>1</v>
      </c>
      <c r="AB21" s="2" t="s">
        <v>1</v>
      </c>
    </row>
    <row r="22" spans="1:28" ht="30.15" customHeight="1" x14ac:dyDescent="0.25">
      <c r="A22" s="56" t="s">
        <v>18</v>
      </c>
      <c r="B22" s="56" t="s">
        <v>1</v>
      </c>
      <c r="C22" s="56" t="s">
        <v>35</v>
      </c>
      <c r="D22" s="40" t="s">
        <v>3</v>
      </c>
      <c r="E22" s="40" t="s">
        <v>476</v>
      </c>
      <c r="F22" s="40" t="s">
        <v>480</v>
      </c>
      <c r="G22" s="46" t="s">
        <v>481</v>
      </c>
      <c r="H22" s="42">
        <v>627</v>
      </c>
      <c r="I22" s="42">
        <v>689</v>
      </c>
      <c r="J22" s="15">
        <v>689</v>
      </c>
      <c r="K22" s="15">
        <v>729</v>
      </c>
      <c r="L22" s="15" t="s">
        <v>1</v>
      </c>
      <c r="M22" s="15" t="s">
        <v>1</v>
      </c>
      <c r="N22" s="15" t="s">
        <v>1</v>
      </c>
      <c r="O22" s="15" t="s">
        <v>1</v>
      </c>
      <c r="P22" s="2" t="s">
        <v>1</v>
      </c>
      <c r="Q22" s="2" t="s">
        <v>1</v>
      </c>
      <c r="R22" s="47" t="s">
        <v>1</v>
      </c>
      <c r="S22" s="47" t="s">
        <v>1</v>
      </c>
      <c r="T22" s="2" t="s">
        <v>1</v>
      </c>
      <c r="U22" s="44" t="s">
        <v>1</v>
      </c>
      <c r="V22" s="15" t="s">
        <v>1</v>
      </c>
      <c r="W22" s="15" t="s">
        <v>1</v>
      </c>
      <c r="X22" s="15">
        <v>0</v>
      </c>
      <c r="Y22" s="2" t="s">
        <v>1</v>
      </c>
      <c r="Z22" s="2" t="s">
        <v>1</v>
      </c>
      <c r="AA22" s="107" t="s">
        <v>1</v>
      </c>
      <c r="AB22" s="2" t="s">
        <v>1</v>
      </c>
    </row>
    <row r="23" spans="1:28" ht="30.15" customHeight="1" x14ac:dyDescent="0.25">
      <c r="A23" s="56" t="s">
        <v>18</v>
      </c>
      <c r="B23" s="56" t="s">
        <v>1</v>
      </c>
      <c r="C23" s="56" t="s">
        <v>35</v>
      </c>
      <c r="D23" s="40" t="s">
        <v>3</v>
      </c>
      <c r="E23" s="40" t="s">
        <v>477</v>
      </c>
      <c r="F23" s="40" t="s">
        <v>480</v>
      </c>
      <c r="G23" s="46" t="s">
        <v>481</v>
      </c>
      <c r="H23" s="42">
        <v>627</v>
      </c>
      <c r="I23" s="42">
        <v>689</v>
      </c>
      <c r="J23" s="15">
        <v>689</v>
      </c>
      <c r="K23" s="15">
        <v>729</v>
      </c>
      <c r="L23" s="15" t="s">
        <v>1</v>
      </c>
      <c r="M23" s="15" t="s">
        <v>1</v>
      </c>
      <c r="N23" s="15" t="s">
        <v>1</v>
      </c>
      <c r="O23" s="15" t="s">
        <v>1</v>
      </c>
      <c r="P23" s="2" t="s">
        <v>1</v>
      </c>
      <c r="Q23" s="2" t="s">
        <v>1</v>
      </c>
      <c r="R23" s="47" t="s">
        <v>1</v>
      </c>
      <c r="S23" s="47" t="s">
        <v>1</v>
      </c>
      <c r="T23" s="2" t="s">
        <v>1</v>
      </c>
      <c r="U23" s="44" t="s">
        <v>1</v>
      </c>
      <c r="V23" s="15" t="s">
        <v>1</v>
      </c>
      <c r="W23" s="15" t="s">
        <v>1</v>
      </c>
      <c r="X23" s="15">
        <v>0</v>
      </c>
      <c r="Y23" s="2" t="s">
        <v>1</v>
      </c>
      <c r="Z23" s="2" t="s">
        <v>1</v>
      </c>
      <c r="AA23" s="107" t="s">
        <v>1</v>
      </c>
      <c r="AB23" s="2" t="s">
        <v>1</v>
      </c>
    </row>
    <row r="24" spans="1:28" ht="30.15" customHeight="1" x14ac:dyDescent="0.25">
      <c r="A24" s="56" t="s">
        <v>18</v>
      </c>
      <c r="B24" s="56" t="s">
        <v>1</v>
      </c>
      <c r="C24" s="56" t="s">
        <v>35</v>
      </c>
      <c r="D24" s="40" t="s">
        <v>3</v>
      </c>
      <c r="E24" s="40" t="s">
        <v>478</v>
      </c>
      <c r="F24" s="40" t="s">
        <v>480</v>
      </c>
      <c r="G24" s="46" t="s">
        <v>481</v>
      </c>
      <c r="H24" s="42">
        <v>627</v>
      </c>
      <c r="I24" s="42">
        <v>689</v>
      </c>
      <c r="J24" s="15">
        <v>689</v>
      </c>
      <c r="K24" s="15">
        <v>729</v>
      </c>
      <c r="L24" s="15" t="s">
        <v>1</v>
      </c>
      <c r="M24" s="15" t="s">
        <v>1</v>
      </c>
      <c r="N24" s="15" t="s">
        <v>1</v>
      </c>
      <c r="O24" s="15" t="s">
        <v>1</v>
      </c>
      <c r="P24" s="2" t="s">
        <v>1</v>
      </c>
      <c r="Q24" s="2" t="s">
        <v>1</v>
      </c>
      <c r="R24" s="47" t="s">
        <v>1</v>
      </c>
      <c r="S24" s="47" t="s">
        <v>1</v>
      </c>
      <c r="T24" s="2" t="s">
        <v>1</v>
      </c>
      <c r="U24" s="44" t="s">
        <v>1</v>
      </c>
      <c r="V24" s="15" t="s">
        <v>1</v>
      </c>
      <c r="W24" s="15" t="s">
        <v>1</v>
      </c>
      <c r="X24" s="15">
        <v>0</v>
      </c>
      <c r="Y24" s="2" t="s">
        <v>1</v>
      </c>
      <c r="Z24" s="2" t="s">
        <v>1</v>
      </c>
      <c r="AA24" s="107" t="s">
        <v>1</v>
      </c>
      <c r="AB24" s="2" t="s">
        <v>1</v>
      </c>
    </row>
    <row r="25" spans="1:28" ht="30.15" customHeight="1" x14ac:dyDescent="0.25">
      <c r="A25" s="56" t="s">
        <v>18</v>
      </c>
      <c r="B25" s="57" t="s">
        <v>1</v>
      </c>
      <c r="C25" s="56" t="s">
        <v>35</v>
      </c>
      <c r="D25" s="40" t="s">
        <v>3</v>
      </c>
      <c r="E25" s="40" t="s">
        <v>406</v>
      </c>
      <c r="F25" s="40" t="s">
        <v>275</v>
      </c>
      <c r="G25" s="46" t="s">
        <v>409</v>
      </c>
      <c r="H25" s="15">
        <v>573</v>
      </c>
      <c r="I25" s="15">
        <v>599</v>
      </c>
      <c r="J25" s="15">
        <v>599</v>
      </c>
      <c r="K25" s="15">
        <v>149</v>
      </c>
      <c r="L25" s="15" t="s">
        <v>1</v>
      </c>
      <c r="M25" s="15" t="s">
        <v>1</v>
      </c>
      <c r="N25" s="15" t="s">
        <v>1</v>
      </c>
      <c r="O25" s="15" t="s">
        <v>1</v>
      </c>
      <c r="P25" s="2" t="s">
        <v>1</v>
      </c>
      <c r="Q25" s="2" t="s">
        <v>1</v>
      </c>
      <c r="R25" s="47" t="s">
        <v>1</v>
      </c>
      <c r="S25" s="47" t="s">
        <v>1</v>
      </c>
      <c r="T25" s="2" t="s">
        <v>1</v>
      </c>
      <c r="U25" s="44" t="s">
        <v>1</v>
      </c>
      <c r="V25" s="15" t="s">
        <v>1</v>
      </c>
      <c r="W25" s="15" t="s">
        <v>1</v>
      </c>
      <c r="X25" s="15">
        <v>0</v>
      </c>
      <c r="Y25" s="2" t="s">
        <v>1</v>
      </c>
      <c r="Z25" s="2">
        <v>0</v>
      </c>
      <c r="AA25" s="2">
        <v>0</v>
      </c>
      <c r="AB25" s="2" t="s">
        <v>1</v>
      </c>
    </row>
    <row r="26" spans="1:28" ht="30.15" customHeight="1" x14ac:dyDescent="0.25">
      <c r="A26" s="56" t="s">
        <v>18</v>
      </c>
      <c r="B26" s="57" t="s">
        <v>1</v>
      </c>
      <c r="C26" s="56" t="s">
        <v>35</v>
      </c>
      <c r="D26" s="40" t="s">
        <v>3</v>
      </c>
      <c r="E26" s="40" t="s">
        <v>271</v>
      </c>
      <c r="F26" s="40" t="s">
        <v>275</v>
      </c>
      <c r="G26" s="46" t="s">
        <v>409</v>
      </c>
      <c r="H26" s="15">
        <v>573</v>
      </c>
      <c r="I26" s="15">
        <v>599</v>
      </c>
      <c r="J26" s="15">
        <v>599</v>
      </c>
      <c r="K26" s="15">
        <v>149</v>
      </c>
      <c r="L26" s="15" t="s">
        <v>1</v>
      </c>
      <c r="M26" s="15" t="s">
        <v>1</v>
      </c>
      <c r="N26" s="15" t="s">
        <v>1</v>
      </c>
      <c r="O26" s="15" t="s">
        <v>1</v>
      </c>
      <c r="P26" s="2" t="s">
        <v>1</v>
      </c>
      <c r="Q26" s="2" t="s">
        <v>1</v>
      </c>
      <c r="R26" s="47" t="s">
        <v>1</v>
      </c>
      <c r="S26" s="47" t="s">
        <v>1</v>
      </c>
      <c r="T26" s="2" t="s">
        <v>1</v>
      </c>
      <c r="U26" s="44" t="s">
        <v>1</v>
      </c>
      <c r="V26" s="15" t="s">
        <v>1</v>
      </c>
      <c r="W26" s="15" t="s">
        <v>1</v>
      </c>
      <c r="X26" s="15">
        <v>0</v>
      </c>
      <c r="Y26" s="2" t="s">
        <v>1</v>
      </c>
      <c r="Z26" s="2">
        <v>0</v>
      </c>
      <c r="AA26" s="2">
        <v>0</v>
      </c>
      <c r="AB26" s="2" t="s">
        <v>1</v>
      </c>
    </row>
    <row r="27" spans="1:28" ht="30.15" customHeight="1" x14ac:dyDescent="0.25">
      <c r="A27" s="56" t="s">
        <v>18</v>
      </c>
      <c r="B27" s="57" t="s">
        <v>1</v>
      </c>
      <c r="C27" s="56" t="s">
        <v>35</v>
      </c>
      <c r="D27" s="40" t="s">
        <v>3</v>
      </c>
      <c r="E27" s="40" t="s">
        <v>272</v>
      </c>
      <c r="F27" s="40" t="s">
        <v>275</v>
      </c>
      <c r="G27" s="46" t="s">
        <v>409</v>
      </c>
      <c r="H27" s="15">
        <v>573</v>
      </c>
      <c r="I27" s="15">
        <v>599</v>
      </c>
      <c r="J27" s="15">
        <v>599</v>
      </c>
      <c r="K27" s="15">
        <v>149</v>
      </c>
      <c r="L27" s="15" t="s">
        <v>1</v>
      </c>
      <c r="M27" s="15" t="s">
        <v>1</v>
      </c>
      <c r="N27" s="15" t="s">
        <v>1</v>
      </c>
      <c r="O27" s="15" t="s">
        <v>1</v>
      </c>
      <c r="P27" s="2" t="s">
        <v>1</v>
      </c>
      <c r="Q27" s="2" t="s">
        <v>1</v>
      </c>
      <c r="R27" s="47" t="s">
        <v>1</v>
      </c>
      <c r="S27" s="47" t="s">
        <v>1</v>
      </c>
      <c r="T27" s="2" t="s">
        <v>1</v>
      </c>
      <c r="U27" s="44" t="s">
        <v>1</v>
      </c>
      <c r="V27" s="15" t="s">
        <v>1</v>
      </c>
      <c r="W27" s="15" t="s">
        <v>1</v>
      </c>
      <c r="X27" s="15">
        <v>0</v>
      </c>
      <c r="Y27" s="2" t="s">
        <v>1</v>
      </c>
      <c r="Z27" s="2">
        <v>0</v>
      </c>
      <c r="AA27" s="2">
        <v>0</v>
      </c>
      <c r="AB27" s="2" t="s">
        <v>1</v>
      </c>
    </row>
    <row r="28" spans="1:28" ht="30.15" customHeight="1" x14ac:dyDescent="0.25">
      <c r="A28" s="56" t="s">
        <v>18</v>
      </c>
      <c r="B28" s="57" t="s">
        <v>1</v>
      </c>
      <c r="C28" s="56" t="s">
        <v>35</v>
      </c>
      <c r="D28" s="40" t="s">
        <v>3</v>
      </c>
      <c r="E28" s="40" t="s">
        <v>273</v>
      </c>
      <c r="F28" s="40" t="s">
        <v>276</v>
      </c>
      <c r="G28" s="46" t="s">
        <v>409</v>
      </c>
      <c r="H28" s="15">
        <v>694</v>
      </c>
      <c r="I28" s="15">
        <v>729</v>
      </c>
      <c r="J28" s="15">
        <v>729</v>
      </c>
      <c r="K28" s="15">
        <v>489</v>
      </c>
      <c r="L28" s="15" t="s">
        <v>1</v>
      </c>
      <c r="M28" s="15" t="s">
        <v>1</v>
      </c>
      <c r="N28" s="15" t="s">
        <v>1</v>
      </c>
      <c r="O28" s="15" t="s">
        <v>1</v>
      </c>
      <c r="P28" s="2" t="s">
        <v>1</v>
      </c>
      <c r="Q28" s="2" t="s">
        <v>1</v>
      </c>
      <c r="R28" s="47" t="s">
        <v>1</v>
      </c>
      <c r="S28" s="47" t="s">
        <v>1</v>
      </c>
      <c r="T28" s="2" t="s">
        <v>1</v>
      </c>
      <c r="U28" s="44" t="s">
        <v>1</v>
      </c>
      <c r="V28" s="15" t="s">
        <v>1</v>
      </c>
      <c r="W28" s="15" t="s">
        <v>1</v>
      </c>
      <c r="X28" s="15">
        <v>0</v>
      </c>
      <c r="Y28" s="2" t="s">
        <v>1</v>
      </c>
      <c r="Z28" s="2">
        <v>0</v>
      </c>
      <c r="AA28" s="2">
        <v>0</v>
      </c>
      <c r="AB28" s="2" t="s">
        <v>1</v>
      </c>
    </row>
    <row r="29" spans="1:28" ht="30.15" customHeight="1" x14ac:dyDescent="0.25">
      <c r="A29" s="56" t="s">
        <v>18</v>
      </c>
      <c r="B29" s="57" t="s">
        <v>1</v>
      </c>
      <c r="C29" s="56" t="s">
        <v>35</v>
      </c>
      <c r="D29" s="40" t="s">
        <v>3</v>
      </c>
      <c r="E29" s="40" t="s">
        <v>274</v>
      </c>
      <c r="F29" s="40" t="s">
        <v>276</v>
      </c>
      <c r="G29" s="46" t="s">
        <v>409</v>
      </c>
      <c r="H29" s="15">
        <v>694</v>
      </c>
      <c r="I29" s="15">
        <v>729</v>
      </c>
      <c r="J29" s="15">
        <v>729</v>
      </c>
      <c r="K29" s="15">
        <v>489</v>
      </c>
      <c r="L29" s="15" t="s">
        <v>1</v>
      </c>
      <c r="M29" s="15" t="s">
        <v>1</v>
      </c>
      <c r="N29" s="15" t="s">
        <v>1</v>
      </c>
      <c r="O29" s="15" t="s">
        <v>1</v>
      </c>
      <c r="P29" s="2" t="s">
        <v>1</v>
      </c>
      <c r="Q29" s="2" t="s">
        <v>1</v>
      </c>
      <c r="R29" s="47" t="s">
        <v>1</v>
      </c>
      <c r="S29" s="47" t="s">
        <v>1</v>
      </c>
      <c r="T29" s="2" t="s">
        <v>1</v>
      </c>
      <c r="U29" s="44" t="s">
        <v>1</v>
      </c>
      <c r="V29" s="15" t="s">
        <v>1</v>
      </c>
      <c r="W29" s="15" t="s">
        <v>1</v>
      </c>
      <c r="X29" s="15">
        <v>0</v>
      </c>
      <c r="Y29" s="2" t="s">
        <v>1</v>
      </c>
      <c r="Z29" s="2">
        <v>0</v>
      </c>
      <c r="AA29" s="2">
        <v>0</v>
      </c>
      <c r="AB29" s="2" t="s">
        <v>1</v>
      </c>
    </row>
    <row r="30" spans="1:28" ht="30.15" customHeight="1" x14ac:dyDescent="0.25">
      <c r="A30" s="56" t="s">
        <v>18</v>
      </c>
      <c r="B30" s="57" t="s">
        <v>1</v>
      </c>
      <c r="C30" s="56" t="s">
        <v>35</v>
      </c>
      <c r="D30" s="40" t="s">
        <v>3</v>
      </c>
      <c r="E30" s="40" t="s">
        <v>386</v>
      </c>
      <c r="F30" s="40" t="s">
        <v>407</v>
      </c>
      <c r="G30" s="46" t="s">
        <v>409</v>
      </c>
      <c r="H30" s="15">
        <v>555</v>
      </c>
      <c r="I30" s="15">
        <v>569</v>
      </c>
      <c r="J30" s="15">
        <v>569</v>
      </c>
      <c r="K30" s="15">
        <v>600</v>
      </c>
      <c r="L30" s="15" t="s">
        <v>1</v>
      </c>
      <c r="M30" s="15" t="s">
        <v>1</v>
      </c>
      <c r="N30" s="15" t="s">
        <v>1</v>
      </c>
      <c r="O30" s="15" t="s">
        <v>1</v>
      </c>
      <c r="P30" s="2" t="s">
        <v>1</v>
      </c>
      <c r="Q30" s="2" t="s">
        <v>1</v>
      </c>
      <c r="R30" s="47" t="s">
        <v>1</v>
      </c>
      <c r="S30" s="47" t="s">
        <v>1</v>
      </c>
      <c r="T30" s="2" t="s">
        <v>1</v>
      </c>
      <c r="U30" s="44" t="s">
        <v>1</v>
      </c>
      <c r="V30" s="15" t="s">
        <v>1</v>
      </c>
      <c r="W30" s="15" t="s">
        <v>1</v>
      </c>
      <c r="X30" s="15">
        <v>0</v>
      </c>
      <c r="Y30" s="2" t="s">
        <v>1</v>
      </c>
      <c r="Z30" s="2" t="s">
        <v>1</v>
      </c>
      <c r="AA30" s="2">
        <v>0</v>
      </c>
      <c r="AB30" s="2" t="s">
        <v>1</v>
      </c>
    </row>
    <row r="31" spans="1:28" ht="30.15" customHeight="1" x14ac:dyDescent="0.25">
      <c r="A31" s="56" t="s">
        <v>18</v>
      </c>
      <c r="B31" s="57" t="s">
        <v>1</v>
      </c>
      <c r="C31" s="56" t="s">
        <v>35</v>
      </c>
      <c r="D31" s="40" t="s">
        <v>3</v>
      </c>
      <c r="E31" s="40" t="s">
        <v>387</v>
      </c>
      <c r="F31" s="40" t="s">
        <v>408</v>
      </c>
      <c r="G31" s="46" t="s">
        <v>409</v>
      </c>
      <c r="H31" s="15">
        <v>666</v>
      </c>
      <c r="I31" s="15">
        <v>685</v>
      </c>
      <c r="J31" s="15">
        <v>685</v>
      </c>
      <c r="K31" s="15">
        <v>720</v>
      </c>
      <c r="L31" s="15" t="s">
        <v>1</v>
      </c>
      <c r="M31" s="15" t="s">
        <v>1</v>
      </c>
      <c r="N31" s="15" t="s">
        <v>1</v>
      </c>
      <c r="O31" s="15" t="s">
        <v>1</v>
      </c>
      <c r="P31" s="2" t="s">
        <v>1</v>
      </c>
      <c r="Q31" s="2" t="s">
        <v>1</v>
      </c>
      <c r="R31" s="47" t="s">
        <v>1</v>
      </c>
      <c r="S31" s="47" t="s">
        <v>1</v>
      </c>
      <c r="T31" s="2" t="s">
        <v>1</v>
      </c>
      <c r="U31" s="44" t="s">
        <v>1</v>
      </c>
      <c r="V31" s="15" t="s">
        <v>1</v>
      </c>
      <c r="W31" s="15" t="s">
        <v>1</v>
      </c>
      <c r="X31" s="15">
        <v>0</v>
      </c>
      <c r="Y31" s="2" t="s">
        <v>1</v>
      </c>
      <c r="Z31" s="2" t="s">
        <v>1</v>
      </c>
      <c r="AA31" s="2">
        <v>120</v>
      </c>
      <c r="AB31" s="2" t="s">
        <v>1</v>
      </c>
    </row>
    <row r="32" spans="1:28" ht="30.15" customHeight="1" x14ac:dyDescent="0.25">
      <c r="A32" s="56" t="s">
        <v>18</v>
      </c>
      <c r="B32" s="57" t="s">
        <v>1</v>
      </c>
      <c r="C32" s="56" t="s">
        <v>35</v>
      </c>
      <c r="D32" s="40" t="s">
        <v>3</v>
      </c>
      <c r="E32" s="40" t="s">
        <v>231</v>
      </c>
      <c r="F32" s="40" t="s">
        <v>72</v>
      </c>
      <c r="G32" s="46" t="s">
        <v>426</v>
      </c>
      <c r="H32" s="15">
        <v>712</v>
      </c>
      <c r="I32" s="15">
        <v>750</v>
      </c>
      <c r="J32" s="15">
        <v>750</v>
      </c>
      <c r="K32" s="15">
        <v>569</v>
      </c>
      <c r="L32" s="15" t="s">
        <v>1</v>
      </c>
      <c r="M32" s="15" t="s">
        <v>1</v>
      </c>
      <c r="N32" s="15" t="s">
        <v>1</v>
      </c>
      <c r="O32" s="15" t="s">
        <v>1</v>
      </c>
      <c r="P32" s="2" t="s">
        <v>1</v>
      </c>
      <c r="Q32" s="2" t="s">
        <v>1</v>
      </c>
      <c r="R32" s="47" t="s">
        <v>1</v>
      </c>
      <c r="S32" s="47" t="s">
        <v>1</v>
      </c>
      <c r="T32" s="2" t="s">
        <v>1</v>
      </c>
      <c r="U32" s="44" t="s">
        <v>1</v>
      </c>
      <c r="V32" s="15" t="s">
        <v>1</v>
      </c>
      <c r="W32" s="15" t="s">
        <v>1</v>
      </c>
      <c r="X32" s="15">
        <v>0</v>
      </c>
      <c r="Y32" s="2" t="s">
        <v>1</v>
      </c>
      <c r="Z32" s="2" t="s">
        <v>1</v>
      </c>
      <c r="AA32" s="107" t="s">
        <v>1</v>
      </c>
      <c r="AB32" s="2" t="s">
        <v>1</v>
      </c>
    </row>
    <row r="33" spans="1:28" ht="30.15" customHeight="1" x14ac:dyDescent="0.25">
      <c r="A33" s="56" t="s">
        <v>18</v>
      </c>
      <c r="B33" s="57" t="s">
        <v>1</v>
      </c>
      <c r="C33" s="56" t="s">
        <v>35</v>
      </c>
      <c r="D33" s="40" t="s">
        <v>3</v>
      </c>
      <c r="E33" s="40" t="s">
        <v>232</v>
      </c>
      <c r="F33" s="40" t="s">
        <v>72</v>
      </c>
      <c r="G33" s="46" t="s">
        <v>409</v>
      </c>
      <c r="H33" s="15">
        <v>712</v>
      </c>
      <c r="I33" s="15">
        <v>750</v>
      </c>
      <c r="J33" s="15">
        <v>750</v>
      </c>
      <c r="K33" s="15">
        <v>569</v>
      </c>
      <c r="L33" s="15" t="s">
        <v>1</v>
      </c>
      <c r="M33" s="15" t="s">
        <v>1</v>
      </c>
      <c r="N33" s="15" t="s">
        <v>1</v>
      </c>
      <c r="O33" s="15" t="s">
        <v>1</v>
      </c>
      <c r="P33" s="2" t="s">
        <v>1</v>
      </c>
      <c r="Q33" s="2" t="s">
        <v>1</v>
      </c>
      <c r="R33" s="47" t="s">
        <v>1</v>
      </c>
      <c r="S33" s="47" t="s">
        <v>1</v>
      </c>
      <c r="T33" s="2" t="s">
        <v>1</v>
      </c>
      <c r="U33" s="44" t="s">
        <v>1</v>
      </c>
      <c r="V33" s="15" t="s">
        <v>1</v>
      </c>
      <c r="W33" s="15" t="s">
        <v>1</v>
      </c>
      <c r="X33" s="15">
        <v>0</v>
      </c>
      <c r="Y33" s="2" t="s">
        <v>1</v>
      </c>
      <c r="Z33" s="2" t="s">
        <v>1</v>
      </c>
      <c r="AA33" s="107" t="s">
        <v>1</v>
      </c>
      <c r="AB33" s="2" t="s">
        <v>1</v>
      </c>
    </row>
    <row r="34" spans="1:28" ht="30.15" customHeight="1" x14ac:dyDescent="0.25">
      <c r="A34" s="56" t="s">
        <v>18</v>
      </c>
      <c r="B34" s="57" t="s">
        <v>1</v>
      </c>
      <c r="C34" s="56" t="s">
        <v>35</v>
      </c>
      <c r="D34" s="40" t="s">
        <v>3</v>
      </c>
      <c r="E34" s="40" t="s">
        <v>233</v>
      </c>
      <c r="F34" s="40" t="s">
        <v>72</v>
      </c>
      <c r="G34" s="46" t="s">
        <v>426</v>
      </c>
      <c r="H34" s="15">
        <v>712</v>
      </c>
      <c r="I34" s="15">
        <v>750</v>
      </c>
      <c r="J34" s="15">
        <v>750</v>
      </c>
      <c r="K34" s="15">
        <v>569</v>
      </c>
      <c r="L34" s="15" t="s">
        <v>1</v>
      </c>
      <c r="M34" s="15" t="s">
        <v>1</v>
      </c>
      <c r="N34" s="15" t="s">
        <v>1</v>
      </c>
      <c r="O34" s="15" t="s">
        <v>1</v>
      </c>
      <c r="P34" s="2" t="s">
        <v>1</v>
      </c>
      <c r="Q34" s="2" t="s">
        <v>1</v>
      </c>
      <c r="R34" s="47" t="s">
        <v>1</v>
      </c>
      <c r="S34" s="47" t="s">
        <v>1</v>
      </c>
      <c r="T34" s="2" t="s">
        <v>1</v>
      </c>
      <c r="U34" s="44" t="s">
        <v>1</v>
      </c>
      <c r="V34" s="15" t="s">
        <v>1</v>
      </c>
      <c r="W34" s="15" t="s">
        <v>1</v>
      </c>
      <c r="X34" s="15">
        <v>0</v>
      </c>
      <c r="Y34" s="2" t="s">
        <v>1</v>
      </c>
      <c r="Z34" s="2" t="s">
        <v>1</v>
      </c>
      <c r="AA34" s="107" t="s">
        <v>1</v>
      </c>
      <c r="AB34" s="2" t="s">
        <v>1</v>
      </c>
    </row>
    <row r="35" spans="1:28" ht="30.15" customHeight="1" x14ac:dyDescent="0.25">
      <c r="A35" s="56" t="s">
        <v>148</v>
      </c>
      <c r="B35" s="57" t="s">
        <v>1</v>
      </c>
      <c r="C35" s="56" t="s">
        <v>35</v>
      </c>
      <c r="D35" s="40" t="s">
        <v>3</v>
      </c>
      <c r="E35" s="40" t="s">
        <v>71</v>
      </c>
      <c r="F35" s="40" t="s">
        <v>72</v>
      </c>
      <c r="G35" s="46" t="s">
        <v>426</v>
      </c>
      <c r="H35" s="15">
        <v>712</v>
      </c>
      <c r="I35" s="15">
        <v>750</v>
      </c>
      <c r="J35" s="15">
        <v>750</v>
      </c>
      <c r="K35" s="15">
        <v>569</v>
      </c>
      <c r="L35" s="15" t="s">
        <v>1</v>
      </c>
      <c r="M35" s="15" t="s">
        <v>1</v>
      </c>
      <c r="N35" s="15" t="s">
        <v>1</v>
      </c>
      <c r="O35" s="15" t="s">
        <v>1</v>
      </c>
      <c r="P35" s="2" t="s">
        <v>1</v>
      </c>
      <c r="Q35" s="2" t="s">
        <v>1</v>
      </c>
      <c r="R35" s="47" t="s">
        <v>1</v>
      </c>
      <c r="S35" s="47" t="s">
        <v>1</v>
      </c>
      <c r="T35" s="2" t="s">
        <v>1</v>
      </c>
      <c r="U35" s="44" t="s">
        <v>1</v>
      </c>
      <c r="V35" s="15" t="s">
        <v>1</v>
      </c>
      <c r="W35" s="15" t="s">
        <v>1</v>
      </c>
      <c r="X35" s="15">
        <v>0</v>
      </c>
      <c r="Y35" s="2" t="s">
        <v>1</v>
      </c>
      <c r="Z35" s="2" t="s">
        <v>1</v>
      </c>
      <c r="AA35" s="107" t="s">
        <v>1</v>
      </c>
      <c r="AB35" s="2" t="s">
        <v>1</v>
      </c>
    </row>
    <row r="36" spans="1:28" ht="30.15" customHeight="1" x14ac:dyDescent="0.25">
      <c r="A36" s="56" t="s">
        <v>18</v>
      </c>
      <c r="B36" s="57" t="s">
        <v>1</v>
      </c>
      <c r="C36" s="56" t="s">
        <v>35</v>
      </c>
      <c r="D36" s="40" t="s">
        <v>3</v>
      </c>
      <c r="E36" s="40" t="s">
        <v>239</v>
      </c>
      <c r="F36" s="40" t="s">
        <v>227</v>
      </c>
      <c r="G36" s="46" t="s">
        <v>409</v>
      </c>
      <c r="H36" s="15">
        <v>592</v>
      </c>
      <c r="I36" s="15">
        <v>620</v>
      </c>
      <c r="J36" s="15">
        <v>620</v>
      </c>
      <c r="K36" s="15">
        <v>439</v>
      </c>
      <c r="L36" s="15" t="s">
        <v>1</v>
      </c>
      <c r="M36" s="15" t="s">
        <v>1</v>
      </c>
      <c r="N36" s="15" t="s">
        <v>1</v>
      </c>
      <c r="O36" s="15" t="s">
        <v>1</v>
      </c>
      <c r="P36" s="2" t="s">
        <v>1</v>
      </c>
      <c r="Q36" s="2" t="s">
        <v>1</v>
      </c>
      <c r="R36" s="47" t="s">
        <v>1</v>
      </c>
      <c r="S36" s="47" t="s">
        <v>1</v>
      </c>
      <c r="T36" s="2" t="s">
        <v>1</v>
      </c>
      <c r="U36" s="44" t="s">
        <v>1</v>
      </c>
      <c r="V36" s="15" t="s">
        <v>1</v>
      </c>
      <c r="W36" s="15" t="s">
        <v>1</v>
      </c>
      <c r="X36" s="15">
        <v>0</v>
      </c>
      <c r="Y36" s="2" t="s">
        <v>1</v>
      </c>
      <c r="Z36" s="2" t="s">
        <v>1</v>
      </c>
      <c r="AA36" s="107" t="s">
        <v>1</v>
      </c>
      <c r="AB36" s="2" t="s">
        <v>1</v>
      </c>
    </row>
    <row r="37" spans="1:28" ht="30.15" customHeight="1" x14ac:dyDescent="0.25">
      <c r="A37" s="56" t="s">
        <v>18</v>
      </c>
      <c r="B37" s="57" t="s">
        <v>1</v>
      </c>
      <c r="C37" s="56" t="s">
        <v>35</v>
      </c>
      <c r="D37" s="40" t="s">
        <v>3</v>
      </c>
      <c r="E37" s="40" t="s">
        <v>226</v>
      </c>
      <c r="F37" s="40" t="s">
        <v>227</v>
      </c>
      <c r="G37" s="46" t="s">
        <v>409</v>
      </c>
      <c r="H37" s="15">
        <v>592</v>
      </c>
      <c r="I37" s="15">
        <v>620</v>
      </c>
      <c r="J37" s="15">
        <v>620</v>
      </c>
      <c r="K37" s="15">
        <v>439</v>
      </c>
      <c r="L37" s="15" t="s">
        <v>1</v>
      </c>
      <c r="M37" s="15" t="s">
        <v>1</v>
      </c>
      <c r="N37" s="15" t="s">
        <v>1</v>
      </c>
      <c r="O37" s="15" t="s">
        <v>1</v>
      </c>
      <c r="P37" s="2" t="s">
        <v>1</v>
      </c>
      <c r="Q37" s="2" t="s">
        <v>1</v>
      </c>
      <c r="R37" s="47" t="s">
        <v>1</v>
      </c>
      <c r="S37" s="47" t="s">
        <v>1</v>
      </c>
      <c r="T37" s="2" t="s">
        <v>1</v>
      </c>
      <c r="U37" s="44" t="s">
        <v>1</v>
      </c>
      <c r="V37" s="15" t="s">
        <v>1</v>
      </c>
      <c r="W37" s="15" t="s">
        <v>1</v>
      </c>
      <c r="X37" s="15">
        <v>0</v>
      </c>
      <c r="Y37" s="2" t="s">
        <v>1</v>
      </c>
      <c r="Z37" s="2" t="s">
        <v>1</v>
      </c>
      <c r="AA37" s="107" t="s">
        <v>1</v>
      </c>
      <c r="AB37" s="2" t="s">
        <v>1</v>
      </c>
    </row>
    <row r="38" spans="1:28" ht="30.15" customHeight="1" x14ac:dyDescent="0.25">
      <c r="A38" s="56" t="s">
        <v>18</v>
      </c>
      <c r="B38" s="57" t="s">
        <v>1</v>
      </c>
      <c r="C38" s="56" t="s">
        <v>35</v>
      </c>
      <c r="D38" s="40" t="s">
        <v>3</v>
      </c>
      <c r="E38" s="40" t="s">
        <v>578</v>
      </c>
      <c r="F38" s="40" t="s">
        <v>579</v>
      </c>
      <c r="G38" s="46" t="s">
        <v>409</v>
      </c>
      <c r="H38" s="15">
        <v>758</v>
      </c>
      <c r="I38" s="15">
        <v>789</v>
      </c>
      <c r="J38" s="15">
        <v>789</v>
      </c>
      <c r="K38" s="15">
        <v>819</v>
      </c>
      <c r="L38" s="15" t="s">
        <v>1</v>
      </c>
      <c r="M38" s="15" t="s">
        <v>1</v>
      </c>
      <c r="N38" s="15" t="s">
        <v>1</v>
      </c>
      <c r="O38" s="15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44" t="s">
        <v>1</v>
      </c>
      <c r="V38" s="15" t="s">
        <v>1</v>
      </c>
      <c r="W38" s="15" t="s">
        <v>1</v>
      </c>
      <c r="X38" s="15">
        <v>0</v>
      </c>
      <c r="Y38" s="2" t="s">
        <v>1</v>
      </c>
      <c r="Z38" s="2" t="s">
        <v>1</v>
      </c>
      <c r="AA38" s="107" t="s">
        <v>1</v>
      </c>
      <c r="AB38" s="2" t="s">
        <v>1</v>
      </c>
    </row>
    <row r="39" spans="1:28" ht="30.15" customHeight="1" x14ac:dyDescent="0.25">
      <c r="A39" s="56" t="s">
        <v>18</v>
      </c>
      <c r="B39" s="57" t="s">
        <v>1</v>
      </c>
      <c r="C39" s="56" t="s">
        <v>35</v>
      </c>
      <c r="D39" s="40" t="s">
        <v>3</v>
      </c>
      <c r="E39" s="40" t="s">
        <v>112</v>
      </c>
      <c r="F39" s="40" t="s">
        <v>228</v>
      </c>
      <c r="G39" s="46" t="s">
        <v>409</v>
      </c>
      <c r="H39" s="15">
        <v>666</v>
      </c>
      <c r="I39" s="15">
        <v>700</v>
      </c>
      <c r="J39" s="15">
        <v>700</v>
      </c>
      <c r="K39" s="15">
        <v>519</v>
      </c>
      <c r="L39" s="15" t="s">
        <v>1</v>
      </c>
      <c r="M39" s="15" t="s">
        <v>1</v>
      </c>
      <c r="N39" s="15" t="s">
        <v>1</v>
      </c>
      <c r="O39" s="15" t="s">
        <v>1</v>
      </c>
      <c r="P39" s="2" t="s">
        <v>1</v>
      </c>
      <c r="Q39" s="2" t="s">
        <v>1</v>
      </c>
      <c r="R39" s="47" t="s">
        <v>1</v>
      </c>
      <c r="S39" s="47" t="s">
        <v>1</v>
      </c>
      <c r="T39" s="2" t="s">
        <v>1</v>
      </c>
      <c r="U39" s="44" t="s">
        <v>1</v>
      </c>
      <c r="V39" s="15" t="s">
        <v>1</v>
      </c>
      <c r="W39" s="15" t="s">
        <v>1</v>
      </c>
      <c r="X39" s="15">
        <v>0</v>
      </c>
      <c r="Y39" s="2" t="s">
        <v>1</v>
      </c>
      <c r="Z39" s="2" t="s">
        <v>1</v>
      </c>
      <c r="AA39" s="107" t="s">
        <v>1</v>
      </c>
      <c r="AB39" s="2" t="s">
        <v>1</v>
      </c>
    </row>
    <row r="40" spans="1:28" ht="30.15" customHeight="1" x14ac:dyDescent="0.25">
      <c r="A40" s="56" t="s">
        <v>18</v>
      </c>
      <c r="B40" s="57" t="s">
        <v>1</v>
      </c>
      <c r="C40" s="56" t="s">
        <v>35</v>
      </c>
      <c r="D40" s="40" t="s">
        <v>3</v>
      </c>
      <c r="E40" s="40" t="s">
        <v>110</v>
      </c>
      <c r="F40" s="40" t="s">
        <v>228</v>
      </c>
      <c r="G40" s="46" t="s">
        <v>409</v>
      </c>
      <c r="H40" s="15">
        <v>666</v>
      </c>
      <c r="I40" s="15">
        <v>700</v>
      </c>
      <c r="J40" s="15">
        <v>700</v>
      </c>
      <c r="K40" s="15">
        <v>519</v>
      </c>
      <c r="L40" s="15" t="s">
        <v>1</v>
      </c>
      <c r="M40" s="15" t="s">
        <v>1</v>
      </c>
      <c r="N40" s="15" t="s">
        <v>1</v>
      </c>
      <c r="O40" s="15" t="s">
        <v>1</v>
      </c>
      <c r="P40" s="2" t="s">
        <v>1</v>
      </c>
      <c r="Q40" s="2" t="s">
        <v>1</v>
      </c>
      <c r="R40" s="47" t="s">
        <v>1</v>
      </c>
      <c r="S40" s="47" t="s">
        <v>1</v>
      </c>
      <c r="T40" s="2" t="s">
        <v>1</v>
      </c>
      <c r="U40" s="44" t="s">
        <v>1</v>
      </c>
      <c r="V40" s="15" t="s">
        <v>1</v>
      </c>
      <c r="W40" s="15" t="s">
        <v>1</v>
      </c>
      <c r="X40" s="15">
        <v>0</v>
      </c>
      <c r="Y40" s="2" t="s">
        <v>1</v>
      </c>
      <c r="Z40" s="2" t="s">
        <v>1</v>
      </c>
      <c r="AA40" s="107" t="s">
        <v>1</v>
      </c>
      <c r="AB40" s="2" t="s">
        <v>1</v>
      </c>
    </row>
    <row r="41" spans="1:28" ht="30.15" customHeight="1" x14ac:dyDescent="0.25">
      <c r="A41" s="56" t="s">
        <v>18</v>
      </c>
      <c r="B41" s="57" t="s">
        <v>1</v>
      </c>
      <c r="C41" s="56" t="s">
        <v>35</v>
      </c>
      <c r="D41" s="40" t="s">
        <v>3</v>
      </c>
      <c r="E41" s="40" t="s">
        <v>111</v>
      </c>
      <c r="F41" s="40" t="s">
        <v>228</v>
      </c>
      <c r="G41" s="46" t="s">
        <v>409</v>
      </c>
      <c r="H41" s="15">
        <v>666</v>
      </c>
      <c r="I41" s="15">
        <v>700</v>
      </c>
      <c r="J41" s="15">
        <v>700</v>
      </c>
      <c r="K41" s="15">
        <v>519</v>
      </c>
      <c r="L41" s="15" t="s">
        <v>1</v>
      </c>
      <c r="M41" s="15" t="s">
        <v>1</v>
      </c>
      <c r="N41" s="15" t="s">
        <v>1</v>
      </c>
      <c r="O41" s="15" t="s">
        <v>1</v>
      </c>
      <c r="P41" s="2" t="s">
        <v>1</v>
      </c>
      <c r="Q41" s="2" t="s">
        <v>1</v>
      </c>
      <c r="R41" s="47" t="s">
        <v>1</v>
      </c>
      <c r="S41" s="47" t="s">
        <v>1</v>
      </c>
      <c r="T41" s="2" t="s">
        <v>1</v>
      </c>
      <c r="U41" s="44" t="s">
        <v>1</v>
      </c>
      <c r="V41" s="15" t="s">
        <v>1</v>
      </c>
      <c r="W41" s="15" t="s">
        <v>1</v>
      </c>
      <c r="X41" s="15">
        <v>0</v>
      </c>
      <c r="Y41" s="2" t="s">
        <v>1</v>
      </c>
      <c r="Z41" s="2" t="s">
        <v>1</v>
      </c>
      <c r="AA41" s="107" t="s">
        <v>1</v>
      </c>
      <c r="AB41" s="2" t="s">
        <v>1</v>
      </c>
    </row>
    <row r="42" spans="1:28" ht="30.15" customHeight="1" x14ac:dyDescent="0.25">
      <c r="A42" s="56" t="s">
        <v>18</v>
      </c>
      <c r="B42" s="57" t="s">
        <v>1</v>
      </c>
      <c r="C42" s="56" t="s">
        <v>35</v>
      </c>
      <c r="D42" s="40" t="s">
        <v>3</v>
      </c>
      <c r="E42" s="40" t="s">
        <v>229</v>
      </c>
      <c r="F42" s="40" t="s">
        <v>230</v>
      </c>
      <c r="G42" s="46" t="s">
        <v>409</v>
      </c>
      <c r="H42" s="15">
        <v>592</v>
      </c>
      <c r="I42" s="42">
        <v>620</v>
      </c>
      <c r="J42" s="15">
        <v>620</v>
      </c>
      <c r="K42" s="15">
        <v>389</v>
      </c>
      <c r="L42" s="15" t="s">
        <v>1</v>
      </c>
      <c r="M42" s="15" t="s">
        <v>1</v>
      </c>
      <c r="N42" s="15" t="s">
        <v>1</v>
      </c>
      <c r="O42" s="15" t="s">
        <v>1</v>
      </c>
      <c r="P42" s="2" t="s">
        <v>1</v>
      </c>
      <c r="Q42" s="2" t="s">
        <v>1</v>
      </c>
      <c r="R42" s="47" t="s">
        <v>1</v>
      </c>
      <c r="S42" s="47" t="s">
        <v>1</v>
      </c>
      <c r="T42" s="2" t="s">
        <v>1</v>
      </c>
      <c r="U42" s="44" t="s">
        <v>1</v>
      </c>
      <c r="V42" s="15" t="s">
        <v>1</v>
      </c>
      <c r="W42" s="15" t="s">
        <v>1</v>
      </c>
      <c r="X42" s="15">
        <v>0</v>
      </c>
      <c r="Y42" s="2" t="s">
        <v>1</v>
      </c>
      <c r="Z42" s="2" t="s">
        <v>1</v>
      </c>
      <c r="AA42" s="107" t="s">
        <v>1</v>
      </c>
      <c r="AB42" s="2" t="s">
        <v>1</v>
      </c>
    </row>
    <row r="43" spans="1:28" ht="30.15" customHeight="1" x14ac:dyDescent="0.25">
      <c r="A43" s="56" t="s">
        <v>18</v>
      </c>
      <c r="B43" s="57" t="s">
        <v>1</v>
      </c>
      <c r="C43" s="56" t="s">
        <v>35</v>
      </c>
      <c r="D43" s="40" t="s">
        <v>3</v>
      </c>
      <c r="E43" s="40" t="s">
        <v>117</v>
      </c>
      <c r="F43" s="40" t="s">
        <v>120</v>
      </c>
      <c r="G43" s="46" t="s">
        <v>409</v>
      </c>
      <c r="H43" s="15">
        <v>1258</v>
      </c>
      <c r="I43" s="15">
        <v>1330</v>
      </c>
      <c r="J43" s="15">
        <v>1330</v>
      </c>
      <c r="K43" s="15">
        <v>1359</v>
      </c>
      <c r="L43" s="15" t="s">
        <v>1</v>
      </c>
      <c r="M43" s="15" t="s">
        <v>1</v>
      </c>
      <c r="N43" s="15" t="s">
        <v>1</v>
      </c>
      <c r="O43" s="15" t="s">
        <v>1</v>
      </c>
      <c r="P43" s="2" t="s">
        <v>1</v>
      </c>
      <c r="Q43" s="2" t="s">
        <v>1</v>
      </c>
      <c r="R43" s="47" t="s">
        <v>1</v>
      </c>
      <c r="S43" s="47" t="s">
        <v>1</v>
      </c>
      <c r="T43" s="2" t="s">
        <v>1</v>
      </c>
      <c r="U43" s="44" t="s">
        <v>1</v>
      </c>
      <c r="V43" s="15" t="s">
        <v>1</v>
      </c>
      <c r="W43" s="15" t="s">
        <v>1</v>
      </c>
      <c r="X43" s="15">
        <v>459</v>
      </c>
      <c r="Y43" s="2" t="s">
        <v>1</v>
      </c>
      <c r="Z43" s="2" t="s">
        <v>1</v>
      </c>
      <c r="AA43" s="107" t="s">
        <v>1</v>
      </c>
      <c r="AB43" s="2" t="s">
        <v>1</v>
      </c>
    </row>
    <row r="44" spans="1:28" ht="30.15" customHeight="1" x14ac:dyDescent="0.25">
      <c r="A44" s="56" t="s">
        <v>18</v>
      </c>
      <c r="B44" s="57" t="s">
        <v>1</v>
      </c>
      <c r="C44" s="56" t="s">
        <v>35</v>
      </c>
      <c r="D44" s="40" t="s">
        <v>3</v>
      </c>
      <c r="E44" s="40" t="s">
        <v>119</v>
      </c>
      <c r="F44" s="40" t="s">
        <v>120</v>
      </c>
      <c r="G44" s="46" t="s">
        <v>409</v>
      </c>
      <c r="H44" s="15">
        <v>1258</v>
      </c>
      <c r="I44" s="15">
        <v>1330</v>
      </c>
      <c r="J44" s="15">
        <v>1330</v>
      </c>
      <c r="K44" s="15">
        <v>1359</v>
      </c>
      <c r="L44" s="15" t="s">
        <v>1</v>
      </c>
      <c r="M44" s="15" t="s">
        <v>1</v>
      </c>
      <c r="N44" s="15" t="s">
        <v>1</v>
      </c>
      <c r="O44" s="15" t="s">
        <v>1</v>
      </c>
      <c r="P44" s="2" t="s">
        <v>1</v>
      </c>
      <c r="Q44" s="2" t="s">
        <v>1</v>
      </c>
      <c r="R44" s="47" t="s">
        <v>1</v>
      </c>
      <c r="S44" s="47" t="s">
        <v>1</v>
      </c>
      <c r="T44" s="2" t="s">
        <v>1</v>
      </c>
      <c r="U44" s="44" t="s">
        <v>1</v>
      </c>
      <c r="V44" s="15" t="s">
        <v>1</v>
      </c>
      <c r="W44" s="15" t="s">
        <v>1</v>
      </c>
      <c r="X44" s="15">
        <v>459</v>
      </c>
      <c r="Y44" s="2" t="s">
        <v>1</v>
      </c>
      <c r="Z44" s="2" t="s">
        <v>1</v>
      </c>
      <c r="AA44" s="107" t="s">
        <v>1</v>
      </c>
      <c r="AB44" s="2" t="s">
        <v>1</v>
      </c>
    </row>
    <row r="45" spans="1:28" ht="30.15" customHeight="1" x14ac:dyDescent="0.25">
      <c r="A45" s="56" t="s">
        <v>18</v>
      </c>
      <c r="B45" s="57" t="s">
        <v>1</v>
      </c>
      <c r="C45" s="56" t="s">
        <v>35</v>
      </c>
      <c r="D45" s="40" t="s">
        <v>3</v>
      </c>
      <c r="E45" s="40" t="s">
        <v>118</v>
      </c>
      <c r="F45" s="40" t="s">
        <v>120</v>
      </c>
      <c r="G45" s="46" t="s">
        <v>409</v>
      </c>
      <c r="H45" s="15">
        <v>1258</v>
      </c>
      <c r="I45" s="15">
        <v>1330</v>
      </c>
      <c r="J45" s="15">
        <v>1330</v>
      </c>
      <c r="K45" s="15">
        <v>1359</v>
      </c>
      <c r="L45" s="15" t="s">
        <v>1</v>
      </c>
      <c r="M45" s="15" t="s">
        <v>1</v>
      </c>
      <c r="N45" s="15" t="s">
        <v>1</v>
      </c>
      <c r="O45" s="15" t="s">
        <v>1</v>
      </c>
      <c r="P45" s="2" t="s">
        <v>1</v>
      </c>
      <c r="Q45" s="2" t="s">
        <v>1</v>
      </c>
      <c r="R45" s="47" t="s">
        <v>1</v>
      </c>
      <c r="S45" s="47" t="s">
        <v>1</v>
      </c>
      <c r="T45" s="2" t="s">
        <v>1</v>
      </c>
      <c r="U45" s="44" t="s">
        <v>1</v>
      </c>
      <c r="V45" s="15" t="s">
        <v>1</v>
      </c>
      <c r="W45" s="15" t="s">
        <v>1</v>
      </c>
      <c r="X45" s="15">
        <v>459</v>
      </c>
      <c r="Y45" s="2" t="s">
        <v>1</v>
      </c>
      <c r="Z45" s="2" t="s">
        <v>1</v>
      </c>
      <c r="AA45" s="107" t="s">
        <v>1</v>
      </c>
      <c r="AB45" s="2" t="s">
        <v>1</v>
      </c>
    </row>
    <row r="46" spans="1:28" ht="30.15" customHeight="1" x14ac:dyDescent="0.25">
      <c r="A46" s="56" t="s">
        <v>18</v>
      </c>
      <c r="B46" s="56" t="s">
        <v>1</v>
      </c>
      <c r="C46" s="56" t="s">
        <v>35</v>
      </c>
      <c r="D46" s="40" t="s">
        <v>3</v>
      </c>
      <c r="E46" s="40" t="s">
        <v>286</v>
      </c>
      <c r="F46" s="40" t="s">
        <v>287</v>
      </c>
      <c r="G46" s="46" t="s">
        <v>409</v>
      </c>
      <c r="H46" s="42">
        <v>1129</v>
      </c>
      <c r="I46" s="42">
        <v>1149</v>
      </c>
      <c r="J46" s="15">
        <v>1149</v>
      </c>
      <c r="K46" s="15">
        <v>1219</v>
      </c>
      <c r="L46" s="15" t="s">
        <v>1</v>
      </c>
      <c r="M46" s="15" t="s">
        <v>1</v>
      </c>
      <c r="N46" s="15" t="s">
        <v>1</v>
      </c>
      <c r="O46" s="15" t="s">
        <v>1</v>
      </c>
      <c r="P46" s="2" t="s">
        <v>1</v>
      </c>
      <c r="Q46" s="2" t="s">
        <v>1</v>
      </c>
      <c r="R46" s="47" t="s">
        <v>1</v>
      </c>
      <c r="S46" s="47" t="s">
        <v>1</v>
      </c>
      <c r="T46" s="2" t="s">
        <v>1</v>
      </c>
      <c r="U46" s="44" t="s">
        <v>1</v>
      </c>
      <c r="V46" s="15" t="s">
        <v>1</v>
      </c>
      <c r="W46" s="15" t="s">
        <v>1</v>
      </c>
      <c r="X46" s="15">
        <v>319</v>
      </c>
      <c r="Y46" s="2" t="s">
        <v>1</v>
      </c>
      <c r="Z46" s="2" t="s">
        <v>1</v>
      </c>
      <c r="AA46" s="107" t="s">
        <v>1</v>
      </c>
      <c r="AB46" s="2" t="s">
        <v>1</v>
      </c>
    </row>
    <row r="47" spans="1:28" ht="30.15" customHeight="1" x14ac:dyDescent="0.25">
      <c r="A47" s="56" t="s">
        <v>18</v>
      </c>
      <c r="B47" s="56" t="s">
        <v>1</v>
      </c>
      <c r="C47" s="56" t="s">
        <v>35</v>
      </c>
      <c r="D47" s="40" t="s">
        <v>3</v>
      </c>
      <c r="E47" s="40" t="s">
        <v>533</v>
      </c>
      <c r="F47" s="40" t="s">
        <v>536</v>
      </c>
      <c r="G47" s="46" t="s">
        <v>421</v>
      </c>
      <c r="H47" s="42">
        <v>1110</v>
      </c>
      <c r="I47" s="42">
        <v>1160</v>
      </c>
      <c r="J47" s="15">
        <v>1160</v>
      </c>
      <c r="K47" s="15">
        <v>1199</v>
      </c>
      <c r="L47" s="15" t="s">
        <v>1</v>
      </c>
      <c r="M47" s="15" t="s">
        <v>1</v>
      </c>
      <c r="N47" s="15" t="s">
        <v>1</v>
      </c>
      <c r="O47" s="15" t="s">
        <v>1</v>
      </c>
      <c r="P47" s="2" t="s">
        <v>1</v>
      </c>
      <c r="Q47" s="2" t="s">
        <v>1</v>
      </c>
      <c r="R47" s="47" t="s">
        <v>1</v>
      </c>
      <c r="S47" s="47" t="s">
        <v>1</v>
      </c>
      <c r="T47" s="2" t="s">
        <v>1</v>
      </c>
      <c r="U47" s="44" t="s">
        <v>1</v>
      </c>
      <c r="V47" s="15" t="s">
        <v>1</v>
      </c>
      <c r="W47" s="15" t="s">
        <v>1</v>
      </c>
      <c r="X47" s="15">
        <v>419</v>
      </c>
      <c r="Y47" s="2" t="s">
        <v>1</v>
      </c>
      <c r="Z47" s="2" t="s">
        <v>1</v>
      </c>
      <c r="AA47" s="107" t="s">
        <v>1</v>
      </c>
      <c r="AB47" s="2" t="s">
        <v>1</v>
      </c>
    </row>
    <row r="48" spans="1:28" ht="30.15" customHeight="1" x14ac:dyDescent="0.25">
      <c r="A48" s="56" t="s">
        <v>18</v>
      </c>
      <c r="B48" s="56" t="s">
        <v>1</v>
      </c>
      <c r="C48" s="56" t="s">
        <v>35</v>
      </c>
      <c r="D48" s="40" t="s">
        <v>3</v>
      </c>
      <c r="E48" s="40" t="s">
        <v>534</v>
      </c>
      <c r="F48" s="40" t="s">
        <v>535</v>
      </c>
      <c r="G48" s="46" t="s">
        <v>421</v>
      </c>
      <c r="H48" s="42">
        <v>1295</v>
      </c>
      <c r="I48" s="42">
        <v>1350</v>
      </c>
      <c r="J48" s="15">
        <v>1350</v>
      </c>
      <c r="K48" s="15">
        <v>1399</v>
      </c>
      <c r="L48" s="15" t="s">
        <v>1</v>
      </c>
      <c r="M48" s="15" t="s">
        <v>1</v>
      </c>
      <c r="N48" s="15" t="s">
        <v>1</v>
      </c>
      <c r="O48" s="15" t="s">
        <v>1</v>
      </c>
      <c r="P48" s="2" t="s">
        <v>1</v>
      </c>
      <c r="Q48" s="2" t="s">
        <v>1</v>
      </c>
      <c r="R48" s="47" t="s">
        <v>1</v>
      </c>
      <c r="S48" s="47" t="s">
        <v>1</v>
      </c>
      <c r="T48" s="2" t="s">
        <v>1</v>
      </c>
      <c r="U48" s="44" t="s">
        <v>1</v>
      </c>
      <c r="V48" s="15" t="s">
        <v>1</v>
      </c>
      <c r="W48" s="15" t="s">
        <v>1</v>
      </c>
      <c r="X48" s="15">
        <v>499</v>
      </c>
      <c r="Y48" s="2" t="s">
        <v>1</v>
      </c>
      <c r="Z48" s="2" t="s">
        <v>1</v>
      </c>
      <c r="AA48" s="107" t="s">
        <v>1</v>
      </c>
      <c r="AB48" s="2" t="s">
        <v>1</v>
      </c>
    </row>
    <row r="49" spans="1:28" ht="30.15" customHeight="1" x14ac:dyDescent="0.25">
      <c r="A49" s="56" t="s">
        <v>17</v>
      </c>
      <c r="B49" s="57">
        <v>43221</v>
      </c>
      <c r="C49" s="58" t="s">
        <v>34</v>
      </c>
      <c r="D49" s="40" t="s">
        <v>3</v>
      </c>
      <c r="E49" s="40" t="s">
        <v>16</v>
      </c>
      <c r="F49" s="40" t="s">
        <v>26</v>
      </c>
      <c r="G49" s="46" t="s">
        <v>427</v>
      </c>
      <c r="H49" s="15">
        <v>450</v>
      </c>
      <c r="I49" s="15">
        <v>540</v>
      </c>
      <c r="J49" s="15">
        <v>540</v>
      </c>
      <c r="K49" s="15">
        <v>625</v>
      </c>
      <c r="L49" s="15">
        <v>0</v>
      </c>
      <c r="M49" s="15">
        <v>0</v>
      </c>
      <c r="N49" s="15">
        <v>0</v>
      </c>
      <c r="O49" s="15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1</v>
      </c>
      <c r="U49" s="44" t="s">
        <v>1</v>
      </c>
      <c r="V49" s="15">
        <v>0</v>
      </c>
      <c r="W49" s="15">
        <v>0</v>
      </c>
      <c r="X49" s="15" t="s">
        <v>1</v>
      </c>
      <c r="Y49" s="2" t="s">
        <v>1</v>
      </c>
      <c r="Z49" s="2" t="s">
        <v>1</v>
      </c>
      <c r="AA49" s="107" t="s">
        <v>1</v>
      </c>
      <c r="AB49" s="2" t="s">
        <v>1</v>
      </c>
    </row>
    <row r="50" spans="1:28" ht="30.15" customHeight="1" x14ac:dyDescent="0.25">
      <c r="A50" s="56" t="s">
        <v>17</v>
      </c>
      <c r="B50" s="57">
        <v>43221</v>
      </c>
      <c r="C50" s="58" t="s">
        <v>34</v>
      </c>
      <c r="D50" s="40" t="s">
        <v>3</v>
      </c>
      <c r="E50" s="40" t="s">
        <v>14</v>
      </c>
      <c r="F50" s="40" t="s">
        <v>26</v>
      </c>
      <c r="G50" s="46" t="s">
        <v>409</v>
      </c>
      <c r="H50" s="15">
        <v>450</v>
      </c>
      <c r="I50" s="15">
        <v>540</v>
      </c>
      <c r="J50" s="15">
        <v>540</v>
      </c>
      <c r="K50" s="15">
        <v>625</v>
      </c>
      <c r="L50" s="15">
        <v>0</v>
      </c>
      <c r="M50" s="15">
        <v>0</v>
      </c>
      <c r="N50" s="15">
        <v>0</v>
      </c>
      <c r="O50" s="15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1</v>
      </c>
      <c r="U50" s="44" t="s">
        <v>1</v>
      </c>
      <c r="V50" s="15">
        <v>0</v>
      </c>
      <c r="W50" s="15">
        <v>0</v>
      </c>
      <c r="X50" s="15" t="s">
        <v>1</v>
      </c>
      <c r="Y50" s="2" t="s">
        <v>1</v>
      </c>
      <c r="Z50" s="2" t="s">
        <v>1</v>
      </c>
      <c r="AA50" s="107" t="s">
        <v>1</v>
      </c>
      <c r="AB50" s="2" t="s">
        <v>1</v>
      </c>
    </row>
    <row r="51" spans="1:28" ht="30.15" customHeight="1" x14ac:dyDescent="0.25">
      <c r="A51" s="56" t="s">
        <v>17</v>
      </c>
      <c r="B51" s="57">
        <v>43221</v>
      </c>
      <c r="C51" s="58" t="s">
        <v>34</v>
      </c>
      <c r="D51" s="40" t="s">
        <v>3</v>
      </c>
      <c r="E51" s="40" t="s">
        <v>15</v>
      </c>
      <c r="F51" s="40" t="s">
        <v>26</v>
      </c>
      <c r="G51" s="46" t="s">
        <v>409</v>
      </c>
      <c r="H51" s="15">
        <v>450</v>
      </c>
      <c r="I51" s="15">
        <v>540</v>
      </c>
      <c r="J51" s="15">
        <v>540</v>
      </c>
      <c r="K51" s="15">
        <v>625</v>
      </c>
      <c r="L51" s="15">
        <v>0</v>
      </c>
      <c r="M51" s="15">
        <v>0</v>
      </c>
      <c r="N51" s="15">
        <v>0</v>
      </c>
      <c r="O51" s="15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1</v>
      </c>
      <c r="U51" s="44" t="s">
        <v>1</v>
      </c>
      <c r="V51" s="15">
        <v>0</v>
      </c>
      <c r="W51" s="15">
        <v>0</v>
      </c>
      <c r="X51" s="15" t="s">
        <v>1</v>
      </c>
      <c r="Y51" s="2" t="s">
        <v>1</v>
      </c>
      <c r="Z51" s="2" t="s">
        <v>1</v>
      </c>
      <c r="AA51" s="107" t="s">
        <v>1</v>
      </c>
      <c r="AB51" s="2" t="s">
        <v>1</v>
      </c>
    </row>
    <row r="52" spans="1:28" ht="30.15" customHeight="1" x14ac:dyDescent="0.25">
      <c r="A52" s="59" t="s">
        <v>17</v>
      </c>
      <c r="B52" s="57">
        <v>43191</v>
      </c>
      <c r="C52" s="58" t="s">
        <v>34</v>
      </c>
      <c r="D52" s="40" t="s">
        <v>3</v>
      </c>
      <c r="E52" s="40" t="s">
        <v>132</v>
      </c>
      <c r="F52" s="40" t="s">
        <v>151</v>
      </c>
      <c r="G52" s="46" t="s">
        <v>409</v>
      </c>
      <c r="H52" s="15">
        <v>549</v>
      </c>
      <c r="I52" s="15">
        <v>569</v>
      </c>
      <c r="J52" s="15">
        <v>569</v>
      </c>
      <c r="K52" s="42">
        <v>599</v>
      </c>
      <c r="L52" s="15">
        <v>0</v>
      </c>
      <c r="M52" s="15">
        <v>0</v>
      </c>
      <c r="N52" s="15">
        <v>0</v>
      </c>
      <c r="O52" s="15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1</v>
      </c>
      <c r="U52" s="44" t="s">
        <v>1</v>
      </c>
      <c r="V52" s="15">
        <v>449</v>
      </c>
      <c r="W52" s="15">
        <v>599</v>
      </c>
      <c r="X52" s="15" t="s">
        <v>1</v>
      </c>
      <c r="Y52" s="2" t="s">
        <v>1</v>
      </c>
      <c r="Z52" s="2" t="s">
        <v>1</v>
      </c>
      <c r="AA52" s="107" t="s">
        <v>1</v>
      </c>
      <c r="AB52" s="2" t="s">
        <v>1</v>
      </c>
    </row>
    <row r="53" spans="1:28" ht="30.15" customHeight="1" x14ac:dyDescent="0.25">
      <c r="A53" s="59" t="s">
        <v>17</v>
      </c>
      <c r="B53" s="57">
        <v>43191</v>
      </c>
      <c r="C53" s="58" t="s">
        <v>34</v>
      </c>
      <c r="D53" s="40" t="s">
        <v>3</v>
      </c>
      <c r="E53" s="40" t="s">
        <v>133</v>
      </c>
      <c r="F53" s="40" t="s">
        <v>151</v>
      </c>
      <c r="G53" s="46" t="s">
        <v>409</v>
      </c>
      <c r="H53" s="15">
        <v>549</v>
      </c>
      <c r="I53" s="15">
        <v>569</v>
      </c>
      <c r="J53" s="15">
        <v>569</v>
      </c>
      <c r="K53" s="42">
        <v>599</v>
      </c>
      <c r="L53" s="15">
        <v>0</v>
      </c>
      <c r="M53" s="15">
        <v>0</v>
      </c>
      <c r="N53" s="15">
        <v>0</v>
      </c>
      <c r="O53" s="15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1</v>
      </c>
      <c r="U53" s="44" t="s">
        <v>1</v>
      </c>
      <c r="V53" s="15">
        <v>449</v>
      </c>
      <c r="W53" s="15">
        <v>599</v>
      </c>
      <c r="X53" s="15" t="s">
        <v>1</v>
      </c>
      <c r="Y53" s="2" t="s">
        <v>1</v>
      </c>
      <c r="Z53" s="2" t="s">
        <v>1</v>
      </c>
      <c r="AA53" s="107" t="s">
        <v>1</v>
      </c>
      <c r="AB53" s="2" t="s">
        <v>1</v>
      </c>
    </row>
    <row r="54" spans="1:28" ht="30.15" customHeight="1" x14ac:dyDescent="0.25">
      <c r="A54" s="59" t="s">
        <v>17</v>
      </c>
      <c r="B54" s="57">
        <v>43191</v>
      </c>
      <c r="C54" s="58" t="s">
        <v>34</v>
      </c>
      <c r="D54" s="40" t="s">
        <v>3</v>
      </c>
      <c r="E54" s="40" t="s">
        <v>134</v>
      </c>
      <c r="F54" s="40" t="s">
        <v>151</v>
      </c>
      <c r="G54" s="46" t="s">
        <v>409</v>
      </c>
      <c r="H54" s="15">
        <v>549</v>
      </c>
      <c r="I54" s="15">
        <v>569</v>
      </c>
      <c r="J54" s="15">
        <v>569</v>
      </c>
      <c r="K54" s="42">
        <v>599</v>
      </c>
      <c r="L54" s="15">
        <v>0</v>
      </c>
      <c r="M54" s="15">
        <v>0</v>
      </c>
      <c r="N54" s="15">
        <v>0</v>
      </c>
      <c r="O54" s="15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1</v>
      </c>
      <c r="U54" s="44" t="s">
        <v>1</v>
      </c>
      <c r="V54" s="15">
        <v>449</v>
      </c>
      <c r="W54" s="15">
        <v>599</v>
      </c>
      <c r="X54" s="15" t="s">
        <v>1</v>
      </c>
      <c r="Y54" s="2" t="s">
        <v>1</v>
      </c>
      <c r="Z54" s="2" t="s">
        <v>1</v>
      </c>
      <c r="AA54" s="107" t="s">
        <v>1</v>
      </c>
      <c r="AB54" s="2" t="s">
        <v>1</v>
      </c>
    </row>
    <row r="55" spans="1:28" ht="30.15" customHeight="1" x14ac:dyDescent="0.25">
      <c r="A55" s="59" t="s">
        <v>17</v>
      </c>
      <c r="B55" s="57">
        <v>43191</v>
      </c>
      <c r="C55" s="58" t="s">
        <v>34</v>
      </c>
      <c r="D55" s="40" t="s">
        <v>3</v>
      </c>
      <c r="E55" s="40" t="s">
        <v>135</v>
      </c>
      <c r="F55" s="40" t="s">
        <v>151</v>
      </c>
      <c r="G55" s="46" t="s">
        <v>409</v>
      </c>
      <c r="H55" s="15">
        <v>549</v>
      </c>
      <c r="I55" s="15">
        <v>569</v>
      </c>
      <c r="J55" s="15">
        <v>569</v>
      </c>
      <c r="K55" s="42">
        <v>599</v>
      </c>
      <c r="L55" s="15">
        <v>0</v>
      </c>
      <c r="M55" s="15">
        <v>0</v>
      </c>
      <c r="N55" s="15">
        <v>0</v>
      </c>
      <c r="O55" s="15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1</v>
      </c>
      <c r="U55" s="44" t="s">
        <v>1</v>
      </c>
      <c r="V55" s="15">
        <v>449</v>
      </c>
      <c r="W55" s="15">
        <v>599</v>
      </c>
      <c r="X55" s="15" t="s">
        <v>1</v>
      </c>
      <c r="Y55" s="2" t="s">
        <v>1</v>
      </c>
      <c r="Z55" s="2" t="s">
        <v>1</v>
      </c>
      <c r="AA55" s="107" t="s">
        <v>1</v>
      </c>
      <c r="AB55" s="2" t="s">
        <v>1</v>
      </c>
    </row>
    <row r="56" spans="1:28" ht="30.15" customHeight="1" x14ac:dyDescent="0.25">
      <c r="A56" s="56" t="s">
        <v>18</v>
      </c>
      <c r="B56" s="57" t="s">
        <v>1</v>
      </c>
      <c r="C56" s="58" t="s">
        <v>34</v>
      </c>
      <c r="D56" s="40" t="s">
        <v>3</v>
      </c>
      <c r="E56" s="40" t="s">
        <v>248</v>
      </c>
      <c r="F56" s="40" t="s">
        <v>252</v>
      </c>
      <c r="G56" s="46" t="s">
        <v>409</v>
      </c>
      <c r="H56" s="15">
        <v>450</v>
      </c>
      <c r="I56" s="15">
        <v>469</v>
      </c>
      <c r="J56" s="15">
        <v>469</v>
      </c>
      <c r="K56" s="42">
        <v>489</v>
      </c>
      <c r="L56" s="15">
        <v>0</v>
      </c>
      <c r="M56" s="15">
        <v>0</v>
      </c>
      <c r="N56" s="15">
        <v>0</v>
      </c>
      <c r="O56" s="15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1</v>
      </c>
      <c r="U56" s="44" t="s">
        <v>1</v>
      </c>
      <c r="V56" s="15">
        <v>339</v>
      </c>
      <c r="W56" s="15">
        <v>489</v>
      </c>
      <c r="X56" s="15" t="s">
        <v>1</v>
      </c>
      <c r="Y56" s="2" t="s">
        <v>1</v>
      </c>
      <c r="Z56" s="2" t="s">
        <v>1</v>
      </c>
      <c r="AA56" s="107" t="s">
        <v>1</v>
      </c>
      <c r="AB56" s="2" t="s">
        <v>1</v>
      </c>
    </row>
    <row r="57" spans="1:28" ht="30.15" customHeight="1" x14ac:dyDescent="0.25">
      <c r="A57" s="56" t="s">
        <v>17</v>
      </c>
      <c r="B57" s="57">
        <v>43374</v>
      </c>
      <c r="C57" s="58" t="s">
        <v>34</v>
      </c>
      <c r="D57" s="40" t="s">
        <v>3</v>
      </c>
      <c r="E57" s="40" t="s">
        <v>249</v>
      </c>
      <c r="F57" s="40" t="s">
        <v>252</v>
      </c>
      <c r="G57" s="46" t="s">
        <v>409</v>
      </c>
      <c r="H57" s="15">
        <v>450</v>
      </c>
      <c r="I57" s="15">
        <v>469</v>
      </c>
      <c r="J57" s="15">
        <v>469</v>
      </c>
      <c r="K57" s="42">
        <v>489</v>
      </c>
      <c r="L57" s="15">
        <v>0</v>
      </c>
      <c r="M57" s="15">
        <v>0</v>
      </c>
      <c r="N57" s="15">
        <v>0</v>
      </c>
      <c r="O57" s="15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1</v>
      </c>
      <c r="U57" s="44" t="s">
        <v>1</v>
      </c>
      <c r="V57" s="15">
        <v>339</v>
      </c>
      <c r="W57" s="15">
        <v>489</v>
      </c>
      <c r="X57" s="15" t="s">
        <v>1</v>
      </c>
      <c r="Y57" s="2" t="s">
        <v>1</v>
      </c>
      <c r="Z57" s="2" t="s">
        <v>1</v>
      </c>
      <c r="AA57" s="107" t="s">
        <v>1</v>
      </c>
      <c r="AB57" s="2" t="s">
        <v>1</v>
      </c>
    </row>
    <row r="58" spans="1:28" ht="30.15" customHeight="1" x14ac:dyDescent="0.25">
      <c r="A58" s="56" t="s">
        <v>17</v>
      </c>
      <c r="B58" s="57">
        <v>43313</v>
      </c>
      <c r="C58" s="58" t="s">
        <v>34</v>
      </c>
      <c r="D58" s="40" t="s">
        <v>3</v>
      </c>
      <c r="E58" s="40" t="s">
        <v>250</v>
      </c>
      <c r="F58" s="40" t="s">
        <v>252</v>
      </c>
      <c r="G58" s="46" t="s">
        <v>409</v>
      </c>
      <c r="H58" s="15">
        <v>450</v>
      </c>
      <c r="I58" s="15">
        <v>469</v>
      </c>
      <c r="J58" s="15">
        <v>469</v>
      </c>
      <c r="K58" s="42">
        <v>489</v>
      </c>
      <c r="L58" s="15">
        <v>0</v>
      </c>
      <c r="M58" s="15">
        <v>0</v>
      </c>
      <c r="N58" s="15">
        <v>0</v>
      </c>
      <c r="O58" s="15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1</v>
      </c>
      <c r="U58" s="44" t="s">
        <v>1</v>
      </c>
      <c r="V58" s="15">
        <v>339</v>
      </c>
      <c r="W58" s="15">
        <v>489</v>
      </c>
      <c r="X58" s="15" t="s">
        <v>1</v>
      </c>
      <c r="Y58" s="2" t="s">
        <v>1</v>
      </c>
      <c r="Z58" s="2" t="s">
        <v>1</v>
      </c>
      <c r="AA58" s="107" t="s">
        <v>1</v>
      </c>
      <c r="AB58" s="2" t="s">
        <v>1</v>
      </c>
    </row>
    <row r="59" spans="1:28" ht="30.15" customHeight="1" x14ac:dyDescent="0.25">
      <c r="A59" s="56" t="s">
        <v>18</v>
      </c>
      <c r="B59" s="57" t="s">
        <v>1</v>
      </c>
      <c r="C59" s="58" t="s">
        <v>34</v>
      </c>
      <c r="D59" s="40" t="s">
        <v>3</v>
      </c>
      <c r="E59" s="40" t="s">
        <v>251</v>
      </c>
      <c r="F59" s="40" t="s">
        <v>252</v>
      </c>
      <c r="G59" s="46" t="s">
        <v>409</v>
      </c>
      <c r="H59" s="15">
        <v>450</v>
      </c>
      <c r="I59" s="15">
        <v>469</v>
      </c>
      <c r="J59" s="15">
        <v>469</v>
      </c>
      <c r="K59" s="42">
        <v>489</v>
      </c>
      <c r="L59" s="15">
        <v>0</v>
      </c>
      <c r="M59" s="15">
        <v>0</v>
      </c>
      <c r="N59" s="15">
        <v>0</v>
      </c>
      <c r="O59" s="15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1</v>
      </c>
      <c r="U59" s="44" t="s">
        <v>1</v>
      </c>
      <c r="V59" s="15">
        <v>339</v>
      </c>
      <c r="W59" s="15">
        <v>489</v>
      </c>
      <c r="X59" s="15" t="s">
        <v>1</v>
      </c>
      <c r="Y59" s="2" t="s">
        <v>1</v>
      </c>
      <c r="Z59" s="2" t="s">
        <v>1</v>
      </c>
      <c r="AA59" s="107" t="s">
        <v>1</v>
      </c>
      <c r="AB59" s="2" t="s">
        <v>1</v>
      </c>
    </row>
    <row r="60" spans="1:28" ht="30.15" customHeight="1" x14ac:dyDescent="0.25">
      <c r="A60" s="56" t="s">
        <v>17</v>
      </c>
      <c r="B60" s="57">
        <v>43252</v>
      </c>
      <c r="C60" s="58" t="s">
        <v>34</v>
      </c>
      <c r="D60" s="40" t="s">
        <v>3</v>
      </c>
      <c r="E60" s="40" t="s">
        <v>136</v>
      </c>
      <c r="F60" s="40" t="s">
        <v>152</v>
      </c>
      <c r="G60" s="46" t="s">
        <v>409</v>
      </c>
      <c r="H60" s="15">
        <v>599</v>
      </c>
      <c r="I60" s="15">
        <v>639</v>
      </c>
      <c r="J60" s="15">
        <v>639</v>
      </c>
      <c r="K60" s="42">
        <v>649</v>
      </c>
      <c r="L60" s="15">
        <v>0</v>
      </c>
      <c r="M60" s="15">
        <v>0</v>
      </c>
      <c r="N60" s="15">
        <v>0</v>
      </c>
      <c r="O60" s="15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1</v>
      </c>
      <c r="U60" s="44" t="s">
        <v>1</v>
      </c>
      <c r="V60" s="15">
        <v>499</v>
      </c>
      <c r="W60" s="15">
        <v>649</v>
      </c>
      <c r="X60" s="15" t="s">
        <v>1</v>
      </c>
      <c r="Y60" s="2" t="s">
        <v>1</v>
      </c>
      <c r="Z60" s="2" t="s">
        <v>1</v>
      </c>
      <c r="AA60" s="107" t="s">
        <v>1</v>
      </c>
      <c r="AB60" s="2" t="s">
        <v>1</v>
      </c>
    </row>
    <row r="61" spans="1:28" ht="30.15" customHeight="1" x14ac:dyDescent="0.25">
      <c r="A61" s="56" t="s">
        <v>17</v>
      </c>
      <c r="B61" s="57">
        <v>43252</v>
      </c>
      <c r="C61" s="58" t="s">
        <v>34</v>
      </c>
      <c r="D61" s="40" t="s">
        <v>3</v>
      </c>
      <c r="E61" s="40" t="s">
        <v>137</v>
      </c>
      <c r="F61" s="40" t="s">
        <v>152</v>
      </c>
      <c r="G61" s="46" t="s">
        <v>409</v>
      </c>
      <c r="H61" s="15">
        <v>599</v>
      </c>
      <c r="I61" s="15">
        <v>639</v>
      </c>
      <c r="J61" s="15">
        <v>639</v>
      </c>
      <c r="K61" s="42">
        <v>649</v>
      </c>
      <c r="L61" s="15">
        <v>0</v>
      </c>
      <c r="M61" s="15">
        <v>0</v>
      </c>
      <c r="N61" s="15">
        <v>0</v>
      </c>
      <c r="O61" s="15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1</v>
      </c>
      <c r="U61" s="44" t="s">
        <v>1</v>
      </c>
      <c r="V61" s="15">
        <v>499</v>
      </c>
      <c r="W61" s="15">
        <v>649</v>
      </c>
      <c r="X61" s="15" t="s">
        <v>1</v>
      </c>
      <c r="Y61" s="2" t="s">
        <v>1</v>
      </c>
      <c r="Z61" s="2" t="s">
        <v>1</v>
      </c>
      <c r="AA61" s="107" t="s">
        <v>1</v>
      </c>
      <c r="AB61" s="2" t="s">
        <v>1</v>
      </c>
    </row>
    <row r="62" spans="1:28" ht="30.15" customHeight="1" x14ac:dyDescent="0.25">
      <c r="A62" s="56" t="s">
        <v>17</v>
      </c>
      <c r="B62" s="57">
        <v>43252</v>
      </c>
      <c r="C62" s="58" t="s">
        <v>34</v>
      </c>
      <c r="D62" s="40" t="s">
        <v>3</v>
      </c>
      <c r="E62" s="40" t="s">
        <v>138</v>
      </c>
      <c r="F62" s="40" t="s">
        <v>152</v>
      </c>
      <c r="G62" s="46" t="s">
        <v>409</v>
      </c>
      <c r="H62" s="15">
        <v>599</v>
      </c>
      <c r="I62" s="15">
        <v>639</v>
      </c>
      <c r="J62" s="15">
        <v>639</v>
      </c>
      <c r="K62" s="42">
        <v>649</v>
      </c>
      <c r="L62" s="15">
        <v>0</v>
      </c>
      <c r="M62" s="15">
        <v>0</v>
      </c>
      <c r="N62" s="15">
        <v>0</v>
      </c>
      <c r="O62" s="15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1</v>
      </c>
      <c r="U62" s="44" t="s">
        <v>1</v>
      </c>
      <c r="V62" s="15">
        <v>499</v>
      </c>
      <c r="W62" s="15">
        <v>649</v>
      </c>
      <c r="X62" s="15" t="s">
        <v>1</v>
      </c>
      <c r="Y62" s="2" t="s">
        <v>1</v>
      </c>
      <c r="Z62" s="2" t="s">
        <v>1</v>
      </c>
      <c r="AA62" s="107" t="s">
        <v>1</v>
      </c>
      <c r="AB62" s="2" t="s">
        <v>1</v>
      </c>
    </row>
    <row r="63" spans="1:28" ht="30.15" customHeight="1" x14ac:dyDescent="0.25">
      <c r="A63" s="56" t="s">
        <v>17</v>
      </c>
      <c r="B63" s="57">
        <v>43252</v>
      </c>
      <c r="C63" s="58" t="s">
        <v>34</v>
      </c>
      <c r="D63" s="40" t="s">
        <v>3</v>
      </c>
      <c r="E63" s="40" t="s">
        <v>139</v>
      </c>
      <c r="F63" s="40" t="s">
        <v>152</v>
      </c>
      <c r="G63" s="46" t="s">
        <v>409</v>
      </c>
      <c r="H63" s="15">
        <v>599</v>
      </c>
      <c r="I63" s="15">
        <v>639</v>
      </c>
      <c r="J63" s="15">
        <v>639</v>
      </c>
      <c r="K63" s="42">
        <v>649</v>
      </c>
      <c r="L63" s="15">
        <v>0</v>
      </c>
      <c r="M63" s="15">
        <v>0</v>
      </c>
      <c r="N63" s="15">
        <v>0</v>
      </c>
      <c r="O63" s="15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1</v>
      </c>
      <c r="U63" s="44" t="s">
        <v>1</v>
      </c>
      <c r="V63" s="15">
        <v>499</v>
      </c>
      <c r="W63" s="15">
        <v>649</v>
      </c>
      <c r="X63" s="15" t="s">
        <v>1</v>
      </c>
      <c r="Y63" s="2" t="s">
        <v>1</v>
      </c>
      <c r="Z63" s="2" t="s">
        <v>1</v>
      </c>
      <c r="AA63" s="107" t="s">
        <v>1</v>
      </c>
      <c r="AB63" s="2" t="s">
        <v>1</v>
      </c>
    </row>
    <row r="64" spans="1:28" ht="30.15" customHeight="1" x14ac:dyDescent="0.25">
      <c r="A64" s="56" t="s">
        <v>17</v>
      </c>
      <c r="B64" s="57">
        <v>43313</v>
      </c>
      <c r="C64" s="58" t="s">
        <v>34</v>
      </c>
      <c r="D64" s="40" t="s">
        <v>3</v>
      </c>
      <c r="E64" s="40" t="s">
        <v>253</v>
      </c>
      <c r="F64" s="40" t="s">
        <v>261</v>
      </c>
      <c r="G64" s="46" t="s">
        <v>409</v>
      </c>
      <c r="H64" s="15">
        <v>579</v>
      </c>
      <c r="I64" s="15">
        <v>599</v>
      </c>
      <c r="J64" s="15">
        <v>599</v>
      </c>
      <c r="K64" s="42">
        <v>629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2">
        <v>0</v>
      </c>
      <c r="S64" s="2">
        <v>0</v>
      </c>
      <c r="T64" s="2" t="s">
        <v>1</v>
      </c>
      <c r="U64" s="44" t="s">
        <v>1</v>
      </c>
      <c r="V64" s="15">
        <v>479</v>
      </c>
      <c r="W64" s="15">
        <v>629</v>
      </c>
      <c r="X64" s="15" t="s">
        <v>1</v>
      </c>
      <c r="Y64" s="2" t="s">
        <v>1</v>
      </c>
      <c r="Z64" s="2" t="s">
        <v>1</v>
      </c>
      <c r="AA64" s="107" t="s">
        <v>1</v>
      </c>
      <c r="AB64" s="2" t="s">
        <v>1</v>
      </c>
    </row>
    <row r="65" spans="1:28" ht="30.15" customHeight="1" x14ac:dyDescent="0.25">
      <c r="A65" s="56" t="s">
        <v>18</v>
      </c>
      <c r="B65" s="57" t="s">
        <v>1</v>
      </c>
      <c r="C65" s="58" t="s">
        <v>34</v>
      </c>
      <c r="D65" s="40" t="s">
        <v>3</v>
      </c>
      <c r="E65" s="40" t="s">
        <v>254</v>
      </c>
      <c r="F65" s="40" t="s">
        <v>261</v>
      </c>
      <c r="G65" s="46" t="s">
        <v>409</v>
      </c>
      <c r="H65" s="15">
        <v>579</v>
      </c>
      <c r="I65" s="15">
        <v>599</v>
      </c>
      <c r="J65" s="15">
        <v>599</v>
      </c>
      <c r="K65" s="42">
        <v>629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2">
        <v>0</v>
      </c>
      <c r="S65" s="2">
        <v>0</v>
      </c>
      <c r="T65" s="2" t="s">
        <v>1</v>
      </c>
      <c r="U65" s="44" t="s">
        <v>1</v>
      </c>
      <c r="V65" s="15">
        <v>479</v>
      </c>
      <c r="W65" s="15">
        <v>629</v>
      </c>
      <c r="X65" s="15" t="s">
        <v>1</v>
      </c>
      <c r="Y65" s="2" t="s">
        <v>1</v>
      </c>
      <c r="Z65" s="2" t="s">
        <v>1</v>
      </c>
      <c r="AA65" s="107" t="s">
        <v>1</v>
      </c>
      <c r="AB65" s="2" t="s">
        <v>1</v>
      </c>
    </row>
    <row r="66" spans="1:28" ht="30.15" customHeight="1" x14ac:dyDescent="0.25">
      <c r="A66" s="56" t="s">
        <v>18</v>
      </c>
      <c r="B66" s="57" t="s">
        <v>1</v>
      </c>
      <c r="C66" s="58" t="s">
        <v>34</v>
      </c>
      <c r="D66" s="40" t="s">
        <v>3</v>
      </c>
      <c r="E66" s="40" t="s">
        <v>255</v>
      </c>
      <c r="F66" s="40" t="s">
        <v>261</v>
      </c>
      <c r="G66" s="46" t="s">
        <v>409</v>
      </c>
      <c r="H66" s="15">
        <v>579</v>
      </c>
      <c r="I66" s="15">
        <v>599</v>
      </c>
      <c r="J66" s="15">
        <v>599</v>
      </c>
      <c r="K66" s="42">
        <v>629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2">
        <v>0</v>
      </c>
      <c r="S66" s="2">
        <v>0</v>
      </c>
      <c r="T66" s="2" t="s">
        <v>1</v>
      </c>
      <c r="U66" s="44" t="s">
        <v>1</v>
      </c>
      <c r="V66" s="15">
        <v>479</v>
      </c>
      <c r="W66" s="15">
        <v>629</v>
      </c>
      <c r="X66" s="15" t="s">
        <v>1</v>
      </c>
      <c r="Y66" s="2" t="s">
        <v>1</v>
      </c>
      <c r="Z66" s="2" t="s">
        <v>1</v>
      </c>
      <c r="AA66" s="107" t="s">
        <v>1</v>
      </c>
      <c r="AB66" s="2" t="s">
        <v>1</v>
      </c>
    </row>
    <row r="67" spans="1:28" ht="30.15" customHeight="1" x14ac:dyDescent="0.25">
      <c r="A67" s="56" t="s">
        <v>17</v>
      </c>
      <c r="B67" s="57">
        <v>43374</v>
      </c>
      <c r="C67" s="58" t="s">
        <v>34</v>
      </c>
      <c r="D67" s="40" t="s">
        <v>3</v>
      </c>
      <c r="E67" s="40" t="s">
        <v>256</v>
      </c>
      <c r="F67" s="40" t="s">
        <v>261</v>
      </c>
      <c r="G67" s="46" t="s">
        <v>409</v>
      </c>
      <c r="H67" s="15">
        <v>579</v>
      </c>
      <c r="I67" s="15">
        <v>599</v>
      </c>
      <c r="J67" s="15">
        <v>599</v>
      </c>
      <c r="K67" s="42">
        <v>629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2">
        <v>0</v>
      </c>
      <c r="S67" s="2">
        <v>0</v>
      </c>
      <c r="T67" s="2" t="s">
        <v>1</v>
      </c>
      <c r="U67" s="44" t="s">
        <v>1</v>
      </c>
      <c r="V67" s="15">
        <v>479</v>
      </c>
      <c r="W67" s="15">
        <v>629</v>
      </c>
      <c r="X67" s="15" t="s">
        <v>1</v>
      </c>
      <c r="Y67" s="2" t="s">
        <v>1</v>
      </c>
      <c r="Z67" s="2" t="s">
        <v>1</v>
      </c>
      <c r="AA67" s="107" t="s">
        <v>1</v>
      </c>
      <c r="AB67" s="2" t="s">
        <v>1</v>
      </c>
    </row>
    <row r="68" spans="1:28" ht="30.15" customHeight="1" x14ac:dyDescent="0.25">
      <c r="A68" s="56" t="s">
        <v>17</v>
      </c>
      <c r="B68" s="58">
        <v>43313</v>
      </c>
      <c r="C68" s="58" t="s">
        <v>34</v>
      </c>
      <c r="D68" s="40" t="s">
        <v>3</v>
      </c>
      <c r="E68" s="40" t="s">
        <v>399</v>
      </c>
      <c r="F68" s="46" t="s">
        <v>412</v>
      </c>
      <c r="G68" s="46" t="s">
        <v>411</v>
      </c>
      <c r="H68" s="15">
        <v>1045</v>
      </c>
      <c r="I68" s="15">
        <v>1045</v>
      </c>
      <c r="J68" s="15">
        <v>1045</v>
      </c>
      <c r="K68" s="42">
        <v>1055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2">
        <v>0</v>
      </c>
      <c r="R68" s="15">
        <v>0</v>
      </c>
      <c r="S68" s="2">
        <v>0</v>
      </c>
      <c r="T68" s="2" t="s">
        <v>1</v>
      </c>
      <c r="U68" s="44" t="s">
        <v>1</v>
      </c>
      <c r="V68" s="15">
        <v>0</v>
      </c>
      <c r="W68" s="15">
        <v>0</v>
      </c>
      <c r="X68" s="1" t="s">
        <v>1</v>
      </c>
      <c r="Y68" s="2" t="s">
        <v>1</v>
      </c>
      <c r="Z68" s="2" t="s">
        <v>1</v>
      </c>
      <c r="AA68" s="107" t="s">
        <v>1</v>
      </c>
      <c r="AB68" s="2" t="s">
        <v>1</v>
      </c>
    </row>
    <row r="69" spans="1:28" ht="30.15" customHeight="1" x14ac:dyDescent="0.25">
      <c r="A69" s="56" t="s">
        <v>17</v>
      </c>
      <c r="B69" s="58">
        <v>43313</v>
      </c>
      <c r="C69" s="58" t="s">
        <v>34</v>
      </c>
      <c r="D69" s="40" t="s">
        <v>3</v>
      </c>
      <c r="E69" s="40" t="s">
        <v>400</v>
      </c>
      <c r="F69" s="46" t="s">
        <v>412</v>
      </c>
      <c r="G69" s="46" t="s">
        <v>411</v>
      </c>
      <c r="H69" s="15">
        <v>1045</v>
      </c>
      <c r="I69" s="15">
        <v>1045</v>
      </c>
      <c r="J69" s="15">
        <v>1045</v>
      </c>
      <c r="K69" s="42">
        <v>1055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2">
        <v>0</v>
      </c>
      <c r="R69" s="15">
        <v>0</v>
      </c>
      <c r="S69" s="2">
        <v>0</v>
      </c>
      <c r="T69" s="2" t="s">
        <v>1</v>
      </c>
      <c r="U69" s="44" t="s">
        <v>1</v>
      </c>
      <c r="V69" s="15">
        <v>0</v>
      </c>
      <c r="W69" s="15">
        <v>0</v>
      </c>
      <c r="X69" s="1" t="s">
        <v>1</v>
      </c>
      <c r="Y69" s="2" t="s">
        <v>1</v>
      </c>
      <c r="Z69" s="2" t="s">
        <v>1</v>
      </c>
      <c r="AA69" s="107" t="s">
        <v>1</v>
      </c>
      <c r="AB69" s="2" t="s">
        <v>1</v>
      </c>
    </row>
    <row r="70" spans="1:28" ht="30.15" customHeight="1" x14ac:dyDescent="0.25">
      <c r="A70" s="56" t="s">
        <v>17</v>
      </c>
      <c r="B70" s="58">
        <v>43313</v>
      </c>
      <c r="C70" s="58" t="s">
        <v>34</v>
      </c>
      <c r="D70" s="40" t="s">
        <v>3</v>
      </c>
      <c r="E70" s="40" t="s">
        <v>401</v>
      </c>
      <c r="F70" s="46" t="s">
        <v>412</v>
      </c>
      <c r="G70" s="46" t="s">
        <v>411</v>
      </c>
      <c r="H70" s="15">
        <v>1045</v>
      </c>
      <c r="I70" s="15">
        <v>1045</v>
      </c>
      <c r="J70" s="15">
        <v>1045</v>
      </c>
      <c r="K70" s="42">
        <v>1055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2">
        <v>0</v>
      </c>
      <c r="R70" s="15">
        <v>0</v>
      </c>
      <c r="S70" s="2">
        <v>0</v>
      </c>
      <c r="T70" s="2" t="s">
        <v>1</v>
      </c>
      <c r="U70" s="44" t="s">
        <v>1</v>
      </c>
      <c r="V70" s="15">
        <v>0</v>
      </c>
      <c r="W70" s="15">
        <v>0</v>
      </c>
      <c r="X70" s="1" t="s">
        <v>1</v>
      </c>
      <c r="Y70" s="2" t="s">
        <v>1</v>
      </c>
      <c r="Z70" s="2" t="s">
        <v>1</v>
      </c>
      <c r="AA70" s="107" t="s">
        <v>1</v>
      </c>
      <c r="AB70" s="2" t="s">
        <v>1</v>
      </c>
    </row>
    <row r="71" spans="1:28" ht="30.15" customHeight="1" x14ac:dyDescent="0.25">
      <c r="A71" s="56" t="s">
        <v>17</v>
      </c>
      <c r="B71" s="58">
        <v>43221</v>
      </c>
      <c r="C71" s="58" t="s">
        <v>34</v>
      </c>
      <c r="D71" s="40" t="s">
        <v>3</v>
      </c>
      <c r="E71" s="40" t="s">
        <v>347</v>
      </c>
      <c r="F71" s="46" t="s">
        <v>346</v>
      </c>
      <c r="G71" s="46" t="s">
        <v>409</v>
      </c>
      <c r="H71" s="15">
        <v>589</v>
      </c>
      <c r="I71" s="15">
        <v>629</v>
      </c>
      <c r="J71" s="15">
        <v>629</v>
      </c>
      <c r="K71" s="42">
        <v>639</v>
      </c>
      <c r="L71" s="15">
        <v>0</v>
      </c>
      <c r="M71" s="15">
        <v>0</v>
      </c>
      <c r="N71" s="15">
        <v>0</v>
      </c>
      <c r="O71" s="15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1</v>
      </c>
      <c r="U71" s="44" t="s">
        <v>1</v>
      </c>
      <c r="V71" s="15">
        <v>0</v>
      </c>
      <c r="W71" s="15">
        <v>0</v>
      </c>
      <c r="X71" s="1" t="s">
        <v>1</v>
      </c>
      <c r="Y71" s="2" t="s">
        <v>1</v>
      </c>
      <c r="Z71" s="2" t="s">
        <v>1</v>
      </c>
      <c r="AA71" s="107" t="s">
        <v>1</v>
      </c>
      <c r="AB71" s="2" t="s">
        <v>1</v>
      </c>
    </row>
    <row r="72" spans="1:28" ht="30.15" customHeight="1" x14ac:dyDescent="0.25">
      <c r="A72" s="56" t="s">
        <v>17</v>
      </c>
      <c r="B72" s="58">
        <v>43221</v>
      </c>
      <c r="C72" s="58" t="s">
        <v>34</v>
      </c>
      <c r="D72" s="40" t="s">
        <v>3</v>
      </c>
      <c r="E72" s="40" t="s">
        <v>348</v>
      </c>
      <c r="F72" s="46" t="s">
        <v>346</v>
      </c>
      <c r="G72" s="46" t="s">
        <v>409</v>
      </c>
      <c r="H72" s="15">
        <v>589</v>
      </c>
      <c r="I72" s="15">
        <v>629</v>
      </c>
      <c r="J72" s="15">
        <v>629</v>
      </c>
      <c r="K72" s="42">
        <v>639</v>
      </c>
      <c r="L72" s="15">
        <v>0</v>
      </c>
      <c r="M72" s="15">
        <v>0</v>
      </c>
      <c r="N72" s="15">
        <v>0</v>
      </c>
      <c r="O72" s="15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1</v>
      </c>
      <c r="U72" s="44" t="s">
        <v>1</v>
      </c>
      <c r="V72" s="15">
        <v>0</v>
      </c>
      <c r="W72" s="15">
        <v>0</v>
      </c>
      <c r="X72" s="1" t="s">
        <v>1</v>
      </c>
      <c r="Y72" s="2" t="s">
        <v>1</v>
      </c>
      <c r="Z72" s="2" t="s">
        <v>1</v>
      </c>
      <c r="AA72" s="107" t="s">
        <v>1</v>
      </c>
      <c r="AB72" s="2" t="s">
        <v>1</v>
      </c>
    </row>
    <row r="73" spans="1:28" ht="30.15" customHeight="1" x14ac:dyDescent="0.25">
      <c r="A73" s="56" t="s">
        <v>17</v>
      </c>
      <c r="B73" s="58">
        <v>43800</v>
      </c>
      <c r="C73" s="58" t="s">
        <v>34</v>
      </c>
      <c r="D73" s="40" t="s">
        <v>3</v>
      </c>
      <c r="E73" s="40" t="s">
        <v>293</v>
      </c>
      <c r="F73" s="40" t="s">
        <v>294</v>
      </c>
      <c r="G73" s="46" t="s">
        <v>409</v>
      </c>
      <c r="H73" s="15">
        <v>450</v>
      </c>
      <c r="I73" s="15">
        <v>469</v>
      </c>
      <c r="J73" s="15">
        <v>469</v>
      </c>
      <c r="K73" s="42">
        <v>499</v>
      </c>
      <c r="L73" s="15">
        <v>0</v>
      </c>
      <c r="M73" s="15">
        <v>0</v>
      </c>
      <c r="N73" s="15">
        <v>0</v>
      </c>
      <c r="O73" s="15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1</v>
      </c>
      <c r="U73" s="44" t="s">
        <v>1</v>
      </c>
      <c r="V73" s="15">
        <v>349</v>
      </c>
      <c r="W73" s="15">
        <v>499</v>
      </c>
      <c r="X73" s="15" t="s">
        <v>1</v>
      </c>
      <c r="Y73" s="2" t="s">
        <v>1</v>
      </c>
      <c r="Z73" s="2" t="s">
        <v>1</v>
      </c>
      <c r="AA73" s="107" t="s">
        <v>1</v>
      </c>
      <c r="AB73" s="2" t="s">
        <v>1</v>
      </c>
    </row>
    <row r="74" spans="1:28" ht="30.15" customHeight="1" x14ac:dyDescent="0.25">
      <c r="A74" s="56" t="s">
        <v>17</v>
      </c>
      <c r="B74" s="57">
        <v>43160</v>
      </c>
      <c r="C74" s="58" t="s">
        <v>34</v>
      </c>
      <c r="D74" s="40" t="s">
        <v>3</v>
      </c>
      <c r="E74" s="40" t="s">
        <v>50</v>
      </c>
      <c r="F74" s="40" t="s">
        <v>52</v>
      </c>
      <c r="G74" s="46" t="s">
        <v>409</v>
      </c>
      <c r="H74" s="15">
        <v>789</v>
      </c>
      <c r="I74" s="15">
        <v>849</v>
      </c>
      <c r="J74" s="15">
        <v>849</v>
      </c>
      <c r="K74" s="42">
        <v>859</v>
      </c>
      <c r="L74" s="15">
        <v>0</v>
      </c>
      <c r="M74" s="15">
        <v>0</v>
      </c>
      <c r="N74" s="15">
        <v>0</v>
      </c>
      <c r="O74" s="15">
        <v>0</v>
      </c>
      <c r="P74" s="2">
        <v>99</v>
      </c>
      <c r="Q74" s="2">
        <v>99</v>
      </c>
      <c r="R74" s="2">
        <v>0</v>
      </c>
      <c r="S74" s="2">
        <v>0</v>
      </c>
      <c r="T74" s="2" t="s">
        <v>1</v>
      </c>
      <c r="U74" s="44" t="s">
        <v>1</v>
      </c>
      <c r="V74" s="15">
        <v>709</v>
      </c>
      <c r="W74" s="15">
        <v>859</v>
      </c>
      <c r="X74" s="15" t="s">
        <v>1</v>
      </c>
      <c r="Y74" s="2" t="s">
        <v>1</v>
      </c>
      <c r="Z74" s="2" t="s">
        <v>1</v>
      </c>
      <c r="AA74" s="107" t="s">
        <v>1</v>
      </c>
      <c r="AB74" s="2" t="s">
        <v>1</v>
      </c>
    </row>
    <row r="75" spans="1:28" ht="30.15" customHeight="1" x14ac:dyDescent="0.25">
      <c r="A75" s="56" t="s">
        <v>17</v>
      </c>
      <c r="B75" s="57">
        <v>43009</v>
      </c>
      <c r="C75" s="58" t="s">
        <v>34</v>
      </c>
      <c r="D75" s="40" t="s">
        <v>3</v>
      </c>
      <c r="E75" s="40" t="s">
        <v>51</v>
      </c>
      <c r="F75" s="40" t="s">
        <v>52</v>
      </c>
      <c r="G75" s="46" t="s">
        <v>409</v>
      </c>
      <c r="H75" s="15">
        <v>789</v>
      </c>
      <c r="I75" s="15">
        <v>849</v>
      </c>
      <c r="J75" s="15">
        <v>849</v>
      </c>
      <c r="K75" s="42">
        <v>859</v>
      </c>
      <c r="L75" s="15">
        <v>0</v>
      </c>
      <c r="M75" s="15">
        <v>0</v>
      </c>
      <c r="N75" s="15">
        <v>0</v>
      </c>
      <c r="O75" s="15">
        <v>0</v>
      </c>
      <c r="P75" s="2">
        <v>99</v>
      </c>
      <c r="Q75" s="2">
        <v>99</v>
      </c>
      <c r="R75" s="2">
        <v>0</v>
      </c>
      <c r="S75" s="2">
        <v>0</v>
      </c>
      <c r="T75" s="2" t="s">
        <v>1</v>
      </c>
      <c r="U75" s="44" t="s">
        <v>1</v>
      </c>
      <c r="V75" s="15">
        <v>709</v>
      </c>
      <c r="W75" s="15">
        <v>859</v>
      </c>
      <c r="X75" s="15" t="s">
        <v>1</v>
      </c>
      <c r="Y75" s="2" t="s">
        <v>1</v>
      </c>
      <c r="Z75" s="2" t="s">
        <v>1</v>
      </c>
      <c r="AA75" s="107" t="s">
        <v>1</v>
      </c>
      <c r="AB75" s="2" t="s">
        <v>1</v>
      </c>
    </row>
    <row r="76" spans="1:28" ht="30.15" customHeight="1" x14ac:dyDescent="0.25">
      <c r="A76" s="56" t="s">
        <v>17</v>
      </c>
      <c r="B76" s="58">
        <v>43221</v>
      </c>
      <c r="C76" s="58" t="s">
        <v>34</v>
      </c>
      <c r="D76" s="40" t="s">
        <v>3</v>
      </c>
      <c r="E76" s="40" t="s">
        <v>349</v>
      </c>
      <c r="F76" s="46" t="s">
        <v>350</v>
      </c>
      <c r="G76" s="46" t="s">
        <v>409</v>
      </c>
      <c r="H76" s="15">
        <v>699</v>
      </c>
      <c r="I76" s="15">
        <v>749</v>
      </c>
      <c r="J76" s="15">
        <v>749</v>
      </c>
      <c r="K76" s="42">
        <v>759</v>
      </c>
      <c r="L76" s="15">
        <v>0</v>
      </c>
      <c r="M76" s="15">
        <v>0</v>
      </c>
      <c r="N76" s="15">
        <v>0</v>
      </c>
      <c r="O76" s="15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1</v>
      </c>
      <c r="U76" s="44" t="s">
        <v>1</v>
      </c>
      <c r="V76" s="15">
        <v>609</v>
      </c>
      <c r="W76" s="15">
        <v>759</v>
      </c>
      <c r="X76" s="1" t="s">
        <v>1</v>
      </c>
      <c r="Y76" s="2" t="s">
        <v>1</v>
      </c>
      <c r="Z76" s="2" t="s">
        <v>1</v>
      </c>
      <c r="AA76" s="107" t="s">
        <v>1</v>
      </c>
      <c r="AB76" s="2" t="s">
        <v>1</v>
      </c>
    </row>
    <row r="77" spans="1:28" ht="30.15" customHeight="1" x14ac:dyDescent="0.25">
      <c r="A77" s="56" t="s">
        <v>17</v>
      </c>
      <c r="B77" s="58">
        <v>43221</v>
      </c>
      <c r="C77" s="58" t="s">
        <v>34</v>
      </c>
      <c r="D77" s="40" t="s">
        <v>3</v>
      </c>
      <c r="E77" s="40" t="s">
        <v>351</v>
      </c>
      <c r="F77" s="46" t="s">
        <v>350</v>
      </c>
      <c r="G77" s="46" t="s">
        <v>409</v>
      </c>
      <c r="H77" s="15">
        <v>699</v>
      </c>
      <c r="I77" s="15">
        <v>749</v>
      </c>
      <c r="J77" s="15">
        <v>749</v>
      </c>
      <c r="K77" s="42">
        <v>759</v>
      </c>
      <c r="L77" s="15">
        <v>0</v>
      </c>
      <c r="M77" s="15">
        <v>0</v>
      </c>
      <c r="N77" s="15">
        <v>0</v>
      </c>
      <c r="O77" s="15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1</v>
      </c>
      <c r="U77" s="44" t="s">
        <v>1</v>
      </c>
      <c r="V77" s="15">
        <v>609</v>
      </c>
      <c r="W77" s="15">
        <v>759</v>
      </c>
      <c r="X77" s="1" t="s">
        <v>1</v>
      </c>
      <c r="Y77" s="2" t="s">
        <v>1</v>
      </c>
      <c r="Z77" s="2" t="s">
        <v>1</v>
      </c>
      <c r="AA77" s="107" t="s">
        <v>1</v>
      </c>
      <c r="AB77" s="2" t="s">
        <v>1</v>
      </c>
    </row>
    <row r="78" spans="1:28" ht="30.15" customHeight="1" x14ac:dyDescent="0.25">
      <c r="A78" s="56" t="s">
        <v>17</v>
      </c>
      <c r="B78" s="58">
        <v>43221</v>
      </c>
      <c r="C78" s="58" t="s">
        <v>34</v>
      </c>
      <c r="D78" s="40" t="s">
        <v>3</v>
      </c>
      <c r="E78" s="40" t="s">
        <v>352</v>
      </c>
      <c r="F78" s="46" t="s">
        <v>350</v>
      </c>
      <c r="G78" s="46" t="s">
        <v>409</v>
      </c>
      <c r="H78" s="15">
        <v>699</v>
      </c>
      <c r="I78" s="15">
        <v>749</v>
      </c>
      <c r="J78" s="15">
        <v>749</v>
      </c>
      <c r="K78" s="42">
        <v>759</v>
      </c>
      <c r="L78" s="15">
        <v>0</v>
      </c>
      <c r="M78" s="15">
        <v>0</v>
      </c>
      <c r="N78" s="15">
        <v>0</v>
      </c>
      <c r="O78" s="15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1</v>
      </c>
      <c r="U78" s="44" t="s">
        <v>1</v>
      </c>
      <c r="V78" s="15">
        <v>609</v>
      </c>
      <c r="W78" s="15">
        <v>759</v>
      </c>
      <c r="X78" s="1" t="s">
        <v>1</v>
      </c>
      <c r="Y78" s="2" t="s">
        <v>1</v>
      </c>
      <c r="Z78" s="2" t="s">
        <v>1</v>
      </c>
      <c r="AA78" s="107" t="s">
        <v>1</v>
      </c>
      <c r="AB78" s="2" t="s">
        <v>1</v>
      </c>
    </row>
    <row r="79" spans="1:28" ht="30.15" customHeight="1" x14ac:dyDescent="0.25">
      <c r="A79" s="56" t="s">
        <v>17</v>
      </c>
      <c r="B79" s="58">
        <v>43221</v>
      </c>
      <c r="C79" s="58" t="s">
        <v>34</v>
      </c>
      <c r="D79" s="40" t="s">
        <v>3</v>
      </c>
      <c r="E79" s="40" t="s">
        <v>353</v>
      </c>
      <c r="F79" s="46" t="s">
        <v>350</v>
      </c>
      <c r="G79" s="46" t="s">
        <v>409</v>
      </c>
      <c r="H79" s="15">
        <v>699</v>
      </c>
      <c r="I79" s="15">
        <v>749</v>
      </c>
      <c r="J79" s="15">
        <v>749</v>
      </c>
      <c r="K79" s="42">
        <v>759</v>
      </c>
      <c r="L79" s="15">
        <v>0</v>
      </c>
      <c r="M79" s="15">
        <v>0</v>
      </c>
      <c r="N79" s="15">
        <v>0</v>
      </c>
      <c r="O79" s="15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1</v>
      </c>
      <c r="U79" s="44" t="s">
        <v>1</v>
      </c>
      <c r="V79" s="15">
        <v>609</v>
      </c>
      <c r="W79" s="15">
        <v>759</v>
      </c>
      <c r="X79" s="1" t="s">
        <v>1</v>
      </c>
      <c r="Y79" s="2" t="s">
        <v>1</v>
      </c>
      <c r="Z79" s="2" t="s">
        <v>1</v>
      </c>
      <c r="AA79" s="107" t="s">
        <v>1</v>
      </c>
      <c r="AB79" s="2" t="s">
        <v>1</v>
      </c>
    </row>
    <row r="80" spans="1:28" ht="30.15" customHeight="1" x14ac:dyDescent="0.25">
      <c r="A80" s="56" t="s">
        <v>17</v>
      </c>
      <c r="B80" s="58">
        <v>43221</v>
      </c>
      <c r="C80" s="58" t="s">
        <v>34</v>
      </c>
      <c r="D80" s="40" t="s">
        <v>3</v>
      </c>
      <c r="E80" s="40" t="s">
        <v>354</v>
      </c>
      <c r="F80" s="46" t="s">
        <v>355</v>
      </c>
      <c r="G80" s="46" t="s">
        <v>409</v>
      </c>
      <c r="H80" s="15">
        <v>829</v>
      </c>
      <c r="I80" s="15">
        <v>889</v>
      </c>
      <c r="J80" s="15">
        <v>889</v>
      </c>
      <c r="K80" s="42">
        <v>899</v>
      </c>
      <c r="L80" s="15">
        <v>0</v>
      </c>
      <c r="M80" s="15">
        <v>0</v>
      </c>
      <c r="N80" s="15">
        <v>0</v>
      </c>
      <c r="O80" s="15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1</v>
      </c>
      <c r="U80" s="44" t="s">
        <v>1</v>
      </c>
      <c r="V80" s="15">
        <v>749</v>
      </c>
      <c r="W80" s="15">
        <v>899</v>
      </c>
      <c r="X80" s="1" t="s">
        <v>1</v>
      </c>
      <c r="Y80" s="2" t="s">
        <v>1</v>
      </c>
      <c r="Z80" s="2" t="s">
        <v>1</v>
      </c>
      <c r="AA80" s="107" t="s">
        <v>1</v>
      </c>
      <c r="AB80" s="2" t="s">
        <v>1</v>
      </c>
    </row>
    <row r="81" spans="1:28" ht="30.15" customHeight="1" x14ac:dyDescent="0.25">
      <c r="A81" s="56" t="s">
        <v>17</v>
      </c>
      <c r="B81" s="58">
        <v>43221</v>
      </c>
      <c r="C81" s="58" t="s">
        <v>34</v>
      </c>
      <c r="D81" s="40" t="s">
        <v>3</v>
      </c>
      <c r="E81" s="40" t="s">
        <v>356</v>
      </c>
      <c r="F81" s="46" t="s">
        <v>355</v>
      </c>
      <c r="G81" s="46" t="s">
        <v>409</v>
      </c>
      <c r="H81" s="15">
        <v>829</v>
      </c>
      <c r="I81" s="15">
        <v>889</v>
      </c>
      <c r="J81" s="15">
        <v>889</v>
      </c>
      <c r="K81" s="42">
        <v>899</v>
      </c>
      <c r="L81" s="15">
        <v>0</v>
      </c>
      <c r="M81" s="15">
        <v>0</v>
      </c>
      <c r="N81" s="15">
        <v>0</v>
      </c>
      <c r="O81" s="15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1</v>
      </c>
      <c r="U81" s="44" t="s">
        <v>1</v>
      </c>
      <c r="V81" s="15">
        <v>749</v>
      </c>
      <c r="W81" s="15">
        <v>899</v>
      </c>
      <c r="X81" s="1" t="s">
        <v>1</v>
      </c>
      <c r="Y81" s="2" t="s">
        <v>1</v>
      </c>
      <c r="Z81" s="2" t="s">
        <v>1</v>
      </c>
      <c r="AA81" s="107" t="s">
        <v>1</v>
      </c>
      <c r="AB81" s="2" t="s">
        <v>1</v>
      </c>
    </row>
    <row r="82" spans="1:28" ht="30.15" customHeight="1" x14ac:dyDescent="0.25">
      <c r="A82" s="56" t="s">
        <v>17</v>
      </c>
      <c r="B82" s="58">
        <v>43221</v>
      </c>
      <c r="C82" s="58" t="s">
        <v>34</v>
      </c>
      <c r="D82" s="40" t="s">
        <v>3</v>
      </c>
      <c r="E82" s="40" t="s">
        <v>357</v>
      </c>
      <c r="F82" s="46" t="s">
        <v>355</v>
      </c>
      <c r="G82" s="46" t="s">
        <v>409</v>
      </c>
      <c r="H82" s="15">
        <v>829</v>
      </c>
      <c r="I82" s="15">
        <v>889</v>
      </c>
      <c r="J82" s="15">
        <v>889</v>
      </c>
      <c r="K82" s="42">
        <v>899</v>
      </c>
      <c r="L82" s="15">
        <v>0</v>
      </c>
      <c r="M82" s="15">
        <v>0</v>
      </c>
      <c r="N82" s="15">
        <v>0</v>
      </c>
      <c r="O82" s="15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1</v>
      </c>
      <c r="U82" s="44" t="s">
        <v>1</v>
      </c>
      <c r="V82" s="15">
        <v>749</v>
      </c>
      <c r="W82" s="15">
        <v>899</v>
      </c>
      <c r="X82" s="1" t="s">
        <v>1</v>
      </c>
      <c r="Y82" s="2" t="s">
        <v>1</v>
      </c>
      <c r="Z82" s="2" t="s">
        <v>1</v>
      </c>
      <c r="AA82" s="107" t="s">
        <v>1</v>
      </c>
      <c r="AB82" s="2" t="s">
        <v>1</v>
      </c>
    </row>
    <row r="83" spans="1:28" ht="30.15" customHeight="1" x14ac:dyDescent="0.25">
      <c r="A83" s="56" t="s">
        <v>17</v>
      </c>
      <c r="B83" s="58">
        <v>43221</v>
      </c>
      <c r="C83" s="58" t="s">
        <v>34</v>
      </c>
      <c r="D83" s="40" t="s">
        <v>3</v>
      </c>
      <c r="E83" s="40" t="s">
        <v>358</v>
      </c>
      <c r="F83" s="46" t="s">
        <v>355</v>
      </c>
      <c r="G83" s="46" t="s">
        <v>409</v>
      </c>
      <c r="H83" s="15">
        <v>829</v>
      </c>
      <c r="I83" s="15">
        <v>889</v>
      </c>
      <c r="J83" s="15">
        <v>889</v>
      </c>
      <c r="K83" s="42">
        <v>899</v>
      </c>
      <c r="L83" s="15">
        <v>0</v>
      </c>
      <c r="M83" s="15">
        <v>0</v>
      </c>
      <c r="N83" s="15">
        <v>0</v>
      </c>
      <c r="O83" s="15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1</v>
      </c>
      <c r="U83" s="44" t="s">
        <v>1</v>
      </c>
      <c r="V83" s="15">
        <v>749</v>
      </c>
      <c r="W83" s="15">
        <v>899</v>
      </c>
      <c r="X83" s="1" t="s">
        <v>1</v>
      </c>
      <c r="Y83" s="2" t="s">
        <v>1</v>
      </c>
      <c r="Z83" s="2" t="s">
        <v>1</v>
      </c>
      <c r="AA83" s="107" t="s">
        <v>1</v>
      </c>
      <c r="AB83" s="2" t="s">
        <v>1</v>
      </c>
    </row>
    <row r="84" spans="1:28" ht="30.15" customHeight="1" x14ac:dyDescent="0.25">
      <c r="A84" s="56" t="s">
        <v>17</v>
      </c>
      <c r="B84" s="57">
        <v>43466</v>
      </c>
      <c r="C84" s="58" t="s">
        <v>34</v>
      </c>
      <c r="D84" s="116" t="s">
        <v>3</v>
      </c>
      <c r="E84" s="116" t="s">
        <v>191</v>
      </c>
      <c r="F84" s="116" t="s">
        <v>195</v>
      </c>
      <c r="G84" s="46" t="s">
        <v>409</v>
      </c>
      <c r="H84" s="15">
        <v>479</v>
      </c>
      <c r="I84" s="117">
        <f>J84</f>
        <v>456</v>
      </c>
      <c r="J84" s="117">
        <f>K84*0.95</f>
        <v>456</v>
      </c>
      <c r="K84" s="120">
        <v>480</v>
      </c>
      <c r="L84" s="15">
        <v>0</v>
      </c>
      <c r="M84" s="15">
        <v>0</v>
      </c>
      <c r="N84" s="15">
        <v>0</v>
      </c>
      <c r="O84" s="15">
        <v>0</v>
      </c>
      <c r="P84" s="121">
        <f>IF((K84-(20*24))&lt;0,0,(K84-(20*24)))</f>
        <v>0</v>
      </c>
      <c r="Q84" s="121">
        <f>IF((K84-(20*24))&lt;0,0,(K84-(20*24)))</f>
        <v>0</v>
      </c>
      <c r="R84" s="121">
        <f>IF((K84-(30*24))&lt;0,0,(K84-(30*24)))</f>
        <v>0</v>
      </c>
      <c r="S84" s="121">
        <f>IF((K84-(30*24))&lt;0,0,(K84-(30*24)))</f>
        <v>0</v>
      </c>
      <c r="T84" s="121">
        <f>IF((K84-(40*24))&lt;0,0,(K84-(40*24)))</f>
        <v>0</v>
      </c>
      <c r="U84" s="121">
        <f>IF((K84-(40*24))&lt;0,0,(K84-(40*24)))</f>
        <v>0</v>
      </c>
      <c r="V84" s="117">
        <v>330</v>
      </c>
      <c r="W84" s="120">
        <v>480</v>
      </c>
      <c r="X84" s="1" t="s">
        <v>1</v>
      </c>
      <c r="Y84" s="108" t="s">
        <v>1</v>
      </c>
      <c r="Z84" s="2" t="s">
        <v>1</v>
      </c>
      <c r="AA84" s="107" t="s">
        <v>1</v>
      </c>
      <c r="AB84" s="2" t="s">
        <v>1</v>
      </c>
    </row>
    <row r="85" spans="1:28" ht="30.15" customHeight="1" x14ac:dyDescent="0.25">
      <c r="A85" s="59" t="s">
        <v>18</v>
      </c>
      <c r="B85" s="57" t="s">
        <v>1</v>
      </c>
      <c r="C85" s="58" t="s">
        <v>34</v>
      </c>
      <c r="D85" s="116" t="s">
        <v>3</v>
      </c>
      <c r="E85" s="116" t="s">
        <v>192</v>
      </c>
      <c r="F85" s="116" t="s">
        <v>195</v>
      </c>
      <c r="G85" s="46" t="s">
        <v>409</v>
      </c>
      <c r="H85" s="15">
        <v>479</v>
      </c>
      <c r="I85" s="117">
        <f t="shared" ref="I85:I87" si="0">J85</f>
        <v>456</v>
      </c>
      <c r="J85" s="117">
        <f t="shared" ref="J85:J87" si="1">K85*0.95</f>
        <v>456</v>
      </c>
      <c r="K85" s="120">
        <v>480</v>
      </c>
      <c r="L85" s="15">
        <v>0</v>
      </c>
      <c r="M85" s="15">
        <v>0</v>
      </c>
      <c r="N85" s="15">
        <v>0</v>
      </c>
      <c r="O85" s="15">
        <v>0</v>
      </c>
      <c r="P85" s="121">
        <f t="shared" ref="P85:P87" si="2">IF((K85-(20*24))&lt;0,0,(K85-(20*24)))</f>
        <v>0</v>
      </c>
      <c r="Q85" s="121">
        <f t="shared" ref="Q85:Q87" si="3">IF((K85-(20*24))&lt;0,0,(K85-(20*24)))</f>
        <v>0</v>
      </c>
      <c r="R85" s="121">
        <f t="shared" ref="R85:R87" si="4">IF((K85-(30*24))&lt;0,0,(K85-(30*24)))</f>
        <v>0</v>
      </c>
      <c r="S85" s="121">
        <f t="shared" ref="S85:S87" si="5">IF((K85-(30*24))&lt;0,0,(K85-(30*24)))</f>
        <v>0</v>
      </c>
      <c r="T85" s="121">
        <f t="shared" ref="T85:T87" si="6">IF((K85-(40*24))&lt;0,0,(K85-(40*24)))</f>
        <v>0</v>
      </c>
      <c r="U85" s="121">
        <f t="shared" ref="U85:U87" si="7">IF((K85-(40*24))&lt;0,0,(K85-(40*24)))</f>
        <v>0</v>
      </c>
      <c r="V85" s="117">
        <v>330</v>
      </c>
      <c r="W85" s="120">
        <v>480</v>
      </c>
      <c r="X85" s="1" t="s">
        <v>1</v>
      </c>
      <c r="Y85" s="108" t="s">
        <v>1</v>
      </c>
      <c r="Z85" s="2" t="s">
        <v>1</v>
      </c>
      <c r="AA85" s="107" t="s">
        <v>1</v>
      </c>
      <c r="AB85" s="2" t="s">
        <v>1</v>
      </c>
    </row>
    <row r="86" spans="1:28" ht="30.15" customHeight="1" x14ac:dyDescent="0.25">
      <c r="A86" s="59" t="s">
        <v>18</v>
      </c>
      <c r="B86" s="57" t="s">
        <v>1</v>
      </c>
      <c r="C86" s="58" t="s">
        <v>34</v>
      </c>
      <c r="D86" s="116" t="s">
        <v>3</v>
      </c>
      <c r="E86" s="116" t="s">
        <v>193</v>
      </c>
      <c r="F86" s="116" t="s">
        <v>195</v>
      </c>
      <c r="G86" s="46" t="s">
        <v>409</v>
      </c>
      <c r="H86" s="15">
        <v>479</v>
      </c>
      <c r="I86" s="117">
        <f t="shared" si="0"/>
        <v>456</v>
      </c>
      <c r="J86" s="117">
        <f t="shared" si="1"/>
        <v>456</v>
      </c>
      <c r="K86" s="120">
        <v>480</v>
      </c>
      <c r="L86" s="15">
        <v>0</v>
      </c>
      <c r="M86" s="15">
        <v>0</v>
      </c>
      <c r="N86" s="15">
        <v>0</v>
      </c>
      <c r="O86" s="15">
        <v>0</v>
      </c>
      <c r="P86" s="121">
        <f t="shared" si="2"/>
        <v>0</v>
      </c>
      <c r="Q86" s="121">
        <f t="shared" si="3"/>
        <v>0</v>
      </c>
      <c r="R86" s="121">
        <f t="shared" si="4"/>
        <v>0</v>
      </c>
      <c r="S86" s="121">
        <f t="shared" si="5"/>
        <v>0</v>
      </c>
      <c r="T86" s="121">
        <f t="shared" si="6"/>
        <v>0</v>
      </c>
      <c r="U86" s="121">
        <f t="shared" si="7"/>
        <v>0</v>
      </c>
      <c r="V86" s="117">
        <v>330</v>
      </c>
      <c r="W86" s="120">
        <v>480</v>
      </c>
      <c r="X86" s="1" t="s">
        <v>1</v>
      </c>
      <c r="Y86" s="108" t="s">
        <v>1</v>
      </c>
      <c r="Z86" s="2" t="s">
        <v>1</v>
      </c>
      <c r="AA86" s="107" t="s">
        <v>1</v>
      </c>
      <c r="AB86" s="2" t="s">
        <v>1</v>
      </c>
    </row>
    <row r="87" spans="1:28" ht="30.15" customHeight="1" x14ac:dyDescent="0.25">
      <c r="A87" s="56" t="s">
        <v>17</v>
      </c>
      <c r="B87" s="57">
        <v>43405</v>
      </c>
      <c r="C87" s="58" t="s">
        <v>34</v>
      </c>
      <c r="D87" s="116" t="s">
        <v>3</v>
      </c>
      <c r="E87" s="116" t="s">
        <v>194</v>
      </c>
      <c r="F87" s="116" t="s">
        <v>195</v>
      </c>
      <c r="G87" s="46" t="s">
        <v>409</v>
      </c>
      <c r="H87" s="15">
        <v>479</v>
      </c>
      <c r="I87" s="117">
        <f t="shared" si="0"/>
        <v>456</v>
      </c>
      <c r="J87" s="117">
        <f t="shared" si="1"/>
        <v>456</v>
      </c>
      <c r="K87" s="120">
        <v>480</v>
      </c>
      <c r="L87" s="15">
        <v>0</v>
      </c>
      <c r="M87" s="15">
        <v>0</v>
      </c>
      <c r="N87" s="15">
        <v>0</v>
      </c>
      <c r="O87" s="15">
        <v>0</v>
      </c>
      <c r="P87" s="121">
        <f t="shared" si="2"/>
        <v>0</v>
      </c>
      <c r="Q87" s="121">
        <f t="shared" si="3"/>
        <v>0</v>
      </c>
      <c r="R87" s="121">
        <f t="shared" si="4"/>
        <v>0</v>
      </c>
      <c r="S87" s="121">
        <f t="shared" si="5"/>
        <v>0</v>
      </c>
      <c r="T87" s="121">
        <f t="shared" si="6"/>
        <v>0</v>
      </c>
      <c r="U87" s="121">
        <f t="shared" si="7"/>
        <v>0</v>
      </c>
      <c r="V87" s="117">
        <v>330</v>
      </c>
      <c r="W87" s="120">
        <v>480</v>
      </c>
      <c r="X87" s="1" t="s">
        <v>1</v>
      </c>
      <c r="Y87" s="108" t="s">
        <v>1</v>
      </c>
      <c r="Z87" s="2" t="s">
        <v>1</v>
      </c>
      <c r="AA87" s="107" t="s">
        <v>1</v>
      </c>
      <c r="AB87" s="2" t="s">
        <v>1</v>
      </c>
    </row>
    <row r="88" spans="1:28" ht="30.15" customHeight="1" x14ac:dyDescent="0.25">
      <c r="A88" s="59" t="s">
        <v>18</v>
      </c>
      <c r="B88" s="57">
        <v>43313</v>
      </c>
      <c r="C88" s="58" t="s">
        <v>34</v>
      </c>
      <c r="D88" s="40" t="s">
        <v>3</v>
      </c>
      <c r="E88" s="40" t="s">
        <v>96</v>
      </c>
      <c r="F88" s="46" t="s">
        <v>98</v>
      </c>
      <c r="G88" s="46" t="s">
        <v>409</v>
      </c>
      <c r="H88" s="15">
        <v>599</v>
      </c>
      <c r="I88" s="15">
        <v>739</v>
      </c>
      <c r="J88" s="15">
        <v>739</v>
      </c>
      <c r="K88" s="42">
        <v>759</v>
      </c>
      <c r="L88" s="15">
        <v>0</v>
      </c>
      <c r="M88" s="15">
        <v>0</v>
      </c>
      <c r="N88" s="15">
        <v>0</v>
      </c>
      <c r="O88" s="15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1</v>
      </c>
      <c r="U88" s="44" t="s">
        <v>1</v>
      </c>
      <c r="V88" s="15">
        <v>609</v>
      </c>
      <c r="W88" s="15">
        <v>759</v>
      </c>
      <c r="X88" s="1" t="s">
        <v>1</v>
      </c>
      <c r="Y88" s="108" t="s">
        <v>1</v>
      </c>
      <c r="Z88" s="2" t="s">
        <v>1</v>
      </c>
      <c r="AA88" s="107" t="s">
        <v>1</v>
      </c>
      <c r="AB88" s="2" t="s">
        <v>1</v>
      </c>
    </row>
    <row r="89" spans="1:28" ht="30.15" customHeight="1" x14ac:dyDescent="0.25">
      <c r="A89" s="59" t="s">
        <v>18</v>
      </c>
      <c r="B89" s="57" t="s">
        <v>1</v>
      </c>
      <c r="C89" s="58" t="s">
        <v>34</v>
      </c>
      <c r="D89" s="40" t="s">
        <v>3</v>
      </c>
      <c r="E89" s="40" t="s">
        <v>94</v>
      </c>
      <c r="F89" s="46" t="s">
        <v>98</v>
      </c>
      <c r="G89" s="46" t="s">
        <v>409</v>
      </c>
      <c r="H89" s="15">
        <v>599</v>
      </c>
      <c r="I89" s="15">
        <v>739</v>
      </c>
      <c r="J89" s="15">
        <v>739</v>
      </c>
      <c r="K89" s="42">
        <v>759</v>
      </c>
      <c r="L89" s="15">
        <v>0</v>
      </c>
      <c r="M89" s="15">
        <v>0</v>
      </c>
      <c r="N89" s="15">
        <v>0</v>
      </c>
      <c r="O89" s="15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1</v>
      </c>
      <c r="U89" s="44" t="s">
        <v>1</v>
      </c>
      <c r="V89" s="15">
        <v>609</v>
      </c>
      <c r="W89" s="15">
        <v>759</v>
      </c>
      <c r="X89" s="1" t="s">
        <v>1</v>
      </c>
      <c r="Y89" s="108" t="s">
        <v>1</v>
      </c>
      <c r="Z89" s="2" t="s">
        <v>1</v>
      </c>
      <c r="AA89" s="107" t="s">
        <v>1</v>
      </c>
      <c r="AB89" s="2" t="s">
        <v>1</v>
      </c>
    </row>
    <row r="90" spans="1:28" ht="30.15" customHeight="1" x14ac:dyDescent="0.25">
      <c r="A90" s="59" t="s">
        <v>18</v>
      </c>
      <c r="B90" s="57" t="s">
        <v>1</v>
      </c>
      <c r="C90" s="58" t="s">
        <v>34</v>
      </c>
      <c r="D90" s="40" t="s">
        <v>3</v>
      </c>
      <c r="E90" s="40" t="s">
        <v>97</v>
      </c>
      <c r="F90" s="46" t="s">
        <v>98</v>
      </c>
      <c r="G90" s="46" t="s">
        <v>409</v>
      </c>
      <c r="H90" s="15">
        <v>599</v>
      </c>
      <c r="I90" s="15">
        <v>739</v>
      </c>
      <c r="J90" s="15">
        <v>739</v>
      </c>
      <c r="K90" s="42">
        <v>759</v>
      </c>
      <c r="L90" s="15">
        <v>0</v>
      </c>
      <c r="M90" s="15">
        <v>0</v>
      </c>
      <c r="N90" s="15">
        <v>0</v>
      </c>
      <c r="O90" s="15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1</v>
      </c>
      <c r="U90" s="44" t="s">
        <v>1</v>
      </c>
      <c r="V90" s="15">
        <v>609</v>
      </c>
      <c r="W90" s="15">
        <v>759</v>
      </c>
      <c r="X90" s="1" t="s">
        <v>1</v>
      </c>
      <c r="Y90" s="108" t="s">
        <v>1</v>
      </c>
      <c r="Z90" s="2" t="s">
        <v>1</v>
      </c>
      <c r="AA90" s="107" t="s">
        <v>1</v>
      </c>
      <c r="AB90" s="2" t="s">
        <v>1</v>
      </c>
    </row>
    <row r="91" spans="1:28" ht="30.15" customHeight="1" x14ac:dyDescent="0.25">
      <c r="A91" s="56" t="s">
        <v>17</v>
      </c>
      <c r="B91" s="57">
        <v>43374</v>
      </c>
      <c r="C91" s="58" t="s">
        <v>34</v>
      </c>
      <c r="D91" s="40" t="s">
        <v>3</v>
      </c>
      <c r="E91" s="40" t="s">
        <v>95</v>
      </c>
      <c r="F91" s="46" t="s">
        <v>98</v>
      </c>
      <c r="G91" s="46" t="s">
        <v>409</v>
      </c>
      <c r="H91" s="15">
        <v>599</v>
      </c>
      <c r="I91" s="15">
        <v>739</v>
      </c>
      <c r="J91" s="15">
        <v>739</v>
      </c>
      <c r="K91" s="42">
        <v>759</v>
      </c>
      <c r="L91" s="15">
        <v>0</v>
      </c>
      <c r="M91" s="15">
        <v>0</v>
      </c>
      <c r="N91" s="15">
        <v>0</v>
      </c>
      <c r="O91" s="15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1</v>
      </c>
      <c r="U91" s="44" t="s">
        <v>1</v>
      </c>
      <c r="V91" s="15">
        <v>609</v>
      </c>
      <c r="W91" s="15">
        <v>759</v>
      </c>
      <c r="X91" s="1" t="s">
        <v>1</v>
      </c>
      <c r="Y91" s="108" t="s">
        <v>1</v>
      </c>
      <c r="Z91" s="2" t="s">
        <v>1</v>
      </c>
      <c r="AA91" s="107" t="s">
        <v>1</v>
      </c>
      <c r="AB91" s="2" t="s">
        <v>1</v>
      </c>
    </row>
    <row r="92" spans="1:28" ht="30.15" customHeight="1" x14ac:dyDescent="0.25">
      <c r="A92" s="56" t="s">
        <v>17</v>
      </c>
      <c r="B92" s="57">
        <v>43313</v>
      </c>
      <c r="C92" s="58" t="s">
        <v>34</v>
      </c>
      <c r="D92" s="116" t="s">
        <v>3</v>
      </c>
      <c r="E92" s="116" t="s">
        <v>196</v>
      </c>
      <c r="F92" s="116" t="s">
        <v>200</v>
      </c>
      <c r="G92" s="46" t="s">
        <v>409</v>
      </c>
      <c r="H92" s="15">
        <v>699</v>
      </c>
      <c r="I92" s="117">
        <f t="shared" ref="I92:I95" si="8">J92</f>
        <v>560</v>
      </c>
      <c r="J92" s="117">
        <v>560</v>
      </c>
      <c r="K92" s="120">
        <v>590</v>
      </c>
      <c r="L92" s="15">
        <v>0</v>
      </c>
      <c r="M92" s="15">
        <v>0</v>
      </c>
      <c r="N92" s="15">
        <v>0</v>
      </c>
      <c r="O92" s="15">
        <v>0</v>
      </c>
      <c r="P92" s="121">
        <f t="shared" ref="P92:P95" si="9">IF((K92-(20*24))&lt;0,0,(K92-(20*24)))</f>
        <v>110</v>
      </c>
      <c r="Q92" s="121">
        <f t="shared" ref="Q92:Q95" si="10">IF((K92-(20*24))&lt;0,0,(K92-(20*24)))</f>
        <v>110</v>
      </c>
      <c r="R92" s="121">
        <f t="shared" ref="R92:R95" si="11">IF((K92-(30*24))&lt;0,0,(K92-(30*24)))</f>
        <v>0</v>
      </c>
      <c r="S92" s="121">
        <f t="shared" ref="S92:S95" si="12">IF((K92-(30*24))&lt;0,0,(K92-(30*24)))</f>
        <v>0</v>
      </c>
      <c r="T92" s="121">
        <f t="shared" ref="T92:T95" si="13">IF((K92-(40*24))&lt;0,0,(K92-(40*24)))</f>
        <v>0</v>
      </c>
      <c r="U92" s="121">
        <f t="shared" ref="U92:U95" si="14">IF((K92-(40*24))&lt;0,0,(K92-(40*24)))</f>
        <v>0</v>
      </c>
      <c r="V92" s="117">
        <v>440</v>
      </c>
      <c r="W92" s="120">
        <v>590</v>
      </c>
      <c r="X92" s="1" t="s">
        <v>1</v>
      </c>
      <c r="Y92" s="108" t="s">
        <v>1</v>
      </c>
      <c r="Z92" s="2" t="s">
        <v>1</v>
      </c>
      <c r="AA92" s="107" t="s">
        <v>1</v>
      </c>
      <c r="AB92" s="2" t="s">
        <v>1</v>
      </c>
    </row>
    <row r="93" spans="1:28" ht="30.15" customHeight="1" x14ac:dyDescent="0.25">
      <c r="A93" s="59" t="s">
        <v>18</v>
      </c>
      <c r="B93" s="57" t="s">
        <v>1</v>
      </c>
      <c r="C93" s="58" t="s">
        <v>34</v>
      </c>
      <c r="D93" s="116" t="s">
        <v>3</v>
      </c>
      <c r="E93" s="116" t="s">
        <v>197</v>
      </c>
      <c r="F93" s="116" t="s">
        <v>200</v>
      </c>
      <c r="G93" s="46" t="s">
        <v>409</v>
      </c>
      <c r="H93" s="15">
        <v>699</v>
      </c>
      <c r="I93" s="117">
        <f t="shared" si="8"/>
        <v>560</v>
      </c>
      <c r="J93" s="117">
        <v>560</v>
      </c>
      <c r="K93" s="120">
        <v>590</v>
      </c>
      <c r="L93" s="15">
        <v>0</v>
      </c>
      <c r="M93" s="15">
        <v>0</v>
      </c>
      <c r="N93" s="15">
        <v>0</v>
      </c>
      <c r="O93" s="15">
        <v>0</v>
      </c>
      <c r="P93" s="121">
        <f t="shared" si="9"/>
        <v>110</v>
      </c>
      <c r="Q93" s="121">
        <f t="shared" si="10"/>
        <v>110</v>
      </c>
      <c r="R93" s="121">
        <f t="shared" si="11"/>
        <v>0</v>
      </c>
      <c r="S93" s="121">
        <f t="shared" si="12"/>
        <v>0</v>
      </c>
      <c r="T93" s="121">
        <f t="shared" si="13"/>
        <v>0</v>
      </c>
      <c r="U93" s="121">
        <f t="shared" si="14"/>
        <v>0</v>
      </c>
      <c r="V93" s="117">
        <v>440</v>
      </c>
      <c r="W93" s="120">
        <v>590</v>
      </c>
      <c r="X93" s="1" t="s">
        <v>1</v>
      </c>
      <c r="Y93" s="108" t="s">
        <v>1</v>
      </c>
      <c r="Z93" s="2" t="s">
        <v>1</v>
      </c>
      <c r="AA93" s="107" t="s">
        <v>1</v>
      </c>
      <c r="AB93" s="2" t="s">
        <v>1</v>
      </c>
    </row>
    <row r="94" spans="1:28" ht="30.15" customHeight="1" x14ac:dyDescent="0.25">
      <c r="A94" s="56" t="s">
        <v>17</v>
      </c>
      <c r="B94" s="57">
        <v>43405</v>
      </c>
      <c r="C94" s="58" t="s">
        <v>34</v>
      </c>
      <c r="D94" s="116" t="s">
        <v>3</v>
      </c>
      <c r="E94" s="116" t="s">
        <v>198</v>
      </c>
      <c r="F94" s="116" t="s">
        <v>200</v>
      </c>
      <c r="G94" s="46" t="s">
        <v>409</v>
      </c>
      <c r="H94" s="15">
        <v>699</v>
      </c>
      <c r="I94" s="117">
        <f t="shared" si="8"/>
        <v>560</v>
      </c>
      <c r="J94" s="117">
        <v>560</v>
      </c>
      <c r="K94" s="120">
        <v>590</v>
      </c>
      <c r="L94" s="15">
        <v>0</v>
      </c>
      <c r="M94" s="15">
        <v>0</v>
      </c>
      <c r="N94" s="15">
        <v>0</v>
      </c>
      <c r="O94" s="15">
        <v>0</v>
      </c>
      <c r="P94" s="121">
        <f t="shared" si="9"/>
        <v>110</v>
      </c>
      <c r="Q94" s="121">
        <f t="shared" si="10"/>
        <v>110</v>
      </c>
      <c r="R94" s="121">
        <f t="shared" si="11"/>
        <v>0</v>
      </c>
      <c r="S94" s="121">
        <f t="shared" si="12"/>
        <v>0</v>
      </c>
      <c r="T94" s="121">
        <f t="shared" si="13"/>
        <v>0</v>
      </c>
      <c r="U94" s="121">
        <f t="shared" si="14"/>
        <v>0</v>
      </c>
      <c r="V94" s="117">
        <v>440</v>
      </c>
      <c r="W94" s="120">
        <v>590</v>
      </c>
      <c r="X94" s="1" t="s">
        <v>1</v>
      </c>
      <c r="Y94" s="108" t="s">
        <v>1</v>
      </c>
      <c r="Z94" s="2" t="s">
        <v>1</v>
      </c>
      <c r="AA94" s="107" t="s">
        <v>1</v>
      </c>
      <c r="AB94" s="2" t="s">
        <v>1</v>
      </c>
    </row>
    <row r="95" spans="1:28" ht="30.15" customHeight="1" x14ac:dyDescent="0.25">
      <c r="A95" s="56" t="s">
        <v>17</v>
      </c>
      <c r="B95" s="57">
        <v>43313</v>
      </c>
      <c r="C95" s="58" t="s">
        <v>34</v>
      </c>
      <c r="D95" s="116" t="s">
        <v>3</v>
      </c>
      <c r="E95" s="116" t="s">
        <v>199</v>
      </c>
      <c r="F95" s="116" t="s">
        <v>200</v>
      </c>
      <c r="G95" s="46" t="s">
        <v>409</v>
      </c>
      <c r="H95" s="15">
        <v>699</v>
      </c>
      <c r="I95" s="117">
        <f t="shared" si="8"/>
        <v>560</v>
      </c>
      <c r="J95" s="117">
        <v>560</v>
      </c>
      <c r="K95" s="120">
        <v>590</v>
      </c>
      <c r="L95" s="15">
        <v>0</v>
      </c>
      <c r="M95" s="15">
        <v>0</v>
      </c>
      <c r="N95" s="15">
        <v>0</v>
      </c>
      <c r="O95" s="15">
        <v>0</v>
      </c>
      <c r="P95" s="121">
        <f t="shared" si="9"/>
        <v>110</v>
      </c>
      <c r="Q95" s="121">
        <f t="shared" si="10"/>
        <v>110</v>
      </c>
      <c r="R95" s="121">
        <f t="shared" si="11"/>
        <v>0</v>
      </c>
      <c r="S95" s="121">
        <f t="shared" si="12"/>
        <v>0</v>
      </c>
      <c r="T95" s="121">
        <f t="shared" si="13"/>
        <v>0</v>
      </c>
      <c r="U95" s="121">
        <f t="shared" si="14"/>
        <v>0</v>
      </c>
      <c r="V95" s="117">
        <v>440</v>
      </c>
      <c r="W95" s="120">
        <v>590</v>
      </c>
      <c r="X95" s="1" t="s">
        <v>1</v>
      </c>
      <c r="Y95" s="108" t="s">
        <v>1</v>
      </c>
      <c r="Z95" s="2" t="s">
        <v>1</v>
      </c>
      <c r="AA95" s="107" t="s">
        <v>1</v>
      </c>
      <c r="AB95" s="2" t="s">
        <v>1</v>
      </c>
    </row>
    <row r="96" spans="1:28" ht="30.15" customHeight="1" x14ac:dyDescent="0.25">
      <c r="A96" s="56" t="s">
        <v>17</v>
      </c>
      <c r="B96" s="57">
        <v>43374</v>
      </c>
      <c r="C96" s="58" t="s">
        <v>34</v>
      </c>
      <c r="D96" s="40" t="s">
        <v>3</v>
      </c>
      <c r="E96" s="40" t="s">
        <v>101</v>
      </c>
      <c r="F96" s="46" t="s">
        <v>103</v>
      </c>
      <c r="G96" s="46" t="s">
        <v>409</v>
      </c>
      <c r="H96" s="15">
        <v>829</v>
      </c>
      <c r="I96" s="15">
        <v>869</v>
      </c>
      <c r="J96" s="15">
        <v>869</v>
      </c>
      <c r="K96" s="42">
        <v>899</v>
      </c>
      <c r="L96" s="15">
        <v>0</v>
      </c>
      <c r="M96" s="15">
        <v>0</v>
      </c>
      <c r="N96" s="15">
        <v>0</v>
      </c>
      <c r="O96" s="15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1</v>
      </c>
      <c r="U96" s="44" t="s">
        <v>1</v>
      </c>
      <c r="V96" s="15">
        <v>749</v>
      </c>
      <c r="W96" s="15">
        <v>899</v>
      </c>
      <c r="X96" s="1" t="s">
        <v>1</v>
      </c>
      <c r="Y96" s="108" t="s">
        <v>1</v>
      </c>
      <c r="Z96" s="2" t="s">
        <v>1</v>
      </c>
      <c r="AA96" s="107" t="s">
        <v>1</v>
      </c>
      <c r="AB96" s="2" t="s">
        <v>1</v>
      </c>
    </row>
    <row r="97" spans="1:28" ht="30.15" customHeight="1" x14ac:dyDescent="0.25">
      <c r="A97" s="56" t="s">
        <v>17</v>
      </c>
      <c r="B97" s="57">
        <v>43374</v>
      </c>
      <c r="C97" s="58" t="s">
        <v>34</v>
      </c>
      <c r="D97" s="40" t="s">
        <v>3</v>
      </c>
      <c r="E97" s="40" t="s">
        <v>99</v>
      </c>
      <c r="F97" s="46" t="s">
        <v>103</v>
      </c>
      <c r="G97" s="46" t="s">
        <v>409</v>
      </c>
      <c r="H97" s="15">
        <v>829</v>
      </c>
      <c r="I97" s="15">
        <v>869</v>
      </c>
      <c r="J97" s="15">
        <v>869</v>
      </c>
      <c r="K97" s="42">
        <v>899</v>
      </c>
      <c r="L97" s="15">
        <v>0</v>
      </c>
      <c r="M97" s="15">
        <v>0</v>
      </c>
      <c r="N97" s="15">
        <v>0</v>
      </c>
      <c r="O97" s="15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1</v>
      </c>
      <c r="U97" s="44" t="s">
        <v>1</v>
      </c>
      <c r="V97" s="15">
        <v>749</v>
      </c>
      <c r="W97" s="15">
        <v>899</v>
      </c>
      <c r="X97" s="1" t="s">
        <v>1</v>
      </c>
      <c r="Y97" s="108" t="s">
        <v>1</v>
      </c>
      <c r="Z97" s="2" t="s">
        <v>1</v>
      </c>
      <c r="AA97" s="107" t="s">
        <v>1</v>
      </c>
      <c r="AB97" s="2" t="s">
        <v>1</v>
      </c>
    </row>
    <row r="98" spans="1:28" ht="30.15" customHeight="1" x14ac:dyDescent="0.25">
      <c r="A98" s="56" t="s">
        <v>17</v>
      </c>
      <c r="B98" s="57">
        <v>43374</v>
      </c>
      <c r="C98" s="58" t="s">
        <v>34</v>
      </c>
      <c r="D98" s="40" t="s">
        <v>3</v>
      </c>
      <c r="E98" s="40" t="s">
        <v>102</v>
      </c>
      <c r="F98" s="46" t="s">
        <v>103</v>
      </c>
      <c r="G98" s="46" t="s">
        <v>409</v>
      </c>
      <c r="H98" s="15">
        <v>829</v>
      </c>
      <c r="I98" s="15">
        <v>869</v>
      </c>
      <c r="J98" s="15">
        <v>869</v>
      </c>
      <c r="K98" s="42">
        <v>899</v>
      </c>
      <c r="L98" s="15">
        <v>0</v>
      </c>
      <c r="M98" s="15">
        <v>0</v>
      </c>
      <c r="N98" s="15">
        <v>0</v>
      </c>
      <c r="O98" s="15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1</v>
      </c>
      <c r="U98" s="44" t="s">
        <v>1</v>
      </c>
      <c r="V98" s="15">
        <v>749</v>
      </c>
      <c r="W98" s="15">
        <v>899</v>
      </c>
      <c r="X98" s="1" t="s">
        <v>1</v>
      </c>
      <c r="Y98" s="108" t="s">
        <v>1</v>
      </c>
      <c r="Z98" s="2" t="s">
        <v>1</v>
      </c>
      <c r="AA98" s="107" t="s">
        <v>1</v>
      </c>
      <c r="AB98" s="2" t="s">
        <v>1</v>
      </c>
    </row>
    <row r="99" spans="1:28" ht="30.15" customHeight="1" x14ac:dyDescent="0.25">
      <c r="A99" s="56" t="s">
        <v>17</v>
      </c>
      <c r="B99" s="57">
        <v>43374</v>
      </c>
      <c r="C99" s="58" t="s">
        <v>34</v>
      </c>
      <c r="D99" s="40" t="s">
        <v>3</v>
      </c>
      <c r="E99" s="40" t="s">
        <v>100</v>
      </c>
      <c r="F99" s="46" t="s">
        <v>103</v>
      </c>
      <c r="G99" s="46" t="s">
        <v>409</v>
      </c>
      <c r="H99" s="15">
        <v>829</v>
      </c>
      <c r="I99" s="15">
        <v>869</v>
      </c>
      <c r="J99" s="15">
        <v>869</v>
      </c>
      <c r="K99" s="42">
        <v>899</v>
      </c>
      <c r="L99" s="15">
        <v>0</v>
      </c>
      <c r="M99" s="15">
        <v>0</v>
      </c>
      <c r="N99" s="15">
        <v>0</v>
      </c>
      <c r="O99" s="15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1</v>
      </c>
      <c r="U99" s="44" t="s">
        <v>1</v>
      </c>
      <c r="V99" s="15">
        <v>749</v>
      </c>
      <c r="W99" s="15">
        <v>899</v>
      </c>
      <c r="X99" s="1" t="s">
        <v>1</v>
      </c>
      <c r="Y99" s="108" t="s">
        <v>1</v>
      </c>
      <c r="Z99" s="2" t="s">
        <v>1</v>
      </c>
      <c r="AA99" s="107" t="s">
        <v>1</v>
      </c>
      <c r="AB99" s="2" t="s">
        <v>1</v>
      </c>
    </row>
    <row r="100" spans="1:28" ht="30.15" customHeight="1" x14ac:dyDescent="0.25">
      <c r="A100" s="59" t="s">
        <v>18</v>
      </c>
      <c r="B100" s="57" t="s">
        <v>1</v>
      </c>
      <c r="C100" s="58" t="s">
        <v>34</v>
      </c>
      <c r="D100" s="116" t="s">
        <v>3</v>
      </c>
      <c r="E100" s="116" t="s">
        <v>172</v>
      </c>
      <c r="F100" s="116" t="s">
        <v>182</v>
      </c>
      <c r="G100" s="46" t="s">
        <v>409</v>
      </c>
      <c r="H100" s="15">
        <v>599</v>
      </c>
      <c r="I100" s="15">
        <v>609</v>
      </c>
      <c r="J100" s="15">
        <v>609</v>
      </c>
      <c r="K100" s="117">
        <v>650</v>
      </c>
      <c r="L100" s="15">
        <v>0</v>
      </c>
      <c r="M100" s="15">
        <v>0</v>
      </c>
      <c r="N100" s="15">
        <v>0</v>
      </c>
      <c r="O100" s="15">
        <v>0</v>
      </c>
      <c r="P100" s="121">
        <f t="shared" ref="P100:P163" si="15">IF((K100-(20*24))&lt;0,0,(K100-(20*24)))</f>
        <v>170</v>
      </c>
      <c r="Q100" s="121">
        <f t="shared" ref="Q100:Q163" si="16">IF((K100-(20*24))&lt;0,0,(K100-(20*24)))</f>
        <v>170</v>
      </c>
      <c r="R100" s="121">
        <f t="shared" ref="R100:R163" si="17">IF((K100-(30*24))&lt;0,0,(K100-(30*24)))</f>
        <v>0</v>
      </c>
      <c r="S100" s="121">
        <f t="shared" ref="S100:S163" si="18">IF((K100-(30*24))&lt;0,0,(K100-(30*24)))</f>
        <v>0</v>
      </c>
      <c r="T100" s="121">
        <f t="shared" ref="T100:T163" si="19">IF((K100-(40*24))&lt;0,0,(K100-(40*24)))</f>
        <v>0</v>
      </c>
      <c r="U100" s="121">
        <f t="shared" ref="U100:U163" si="20">IF((K100-(40*24))&lt;0,0,(K100-(40*24)))</f>
        <v>0</v>
      </c>
      <c r="V100" s="117">
        <f t="shared" ref="V100:V163" si="21">W100-150</f>
        <v>500</v>
      </c>
      <c r="W100" s="117">
        <v>650</v>
      </c>
      <c r="X100" s="1" t="s">
        <v>1</v>
      </c>
      <c r="Y100" s="108" t="s">
        <v>1</v>
      </c>
      <c r="Z100" s="2" t="s">
        <v>1</v>
      </c>
      <c r="AA100" s="107" t="s">
        <v>1</v>
      </c>
      <c r="AB100" s="2" t="s">
        <v>1</v>
      </c>
    </row>
    <row r="101" spans="1:28" ht="30.15" customHeight="1" x14ac:dyDescent="0.25">
      <c r="A101" s="59" t="s">
        <v>18</v>
      </c>
      <c r="B101" s="57" t="s">
        <v>1</v>
      </c>
      <c r="C101" s="58" t="s">
        <v>34</v>
      </c>
      <c r="D101" s="116" t="s">
        <v>3</v>
      </c>
      <c r="E101" s="116" t="s">
        <v>169</v>
      </c>
      <c r="F101" s="116" t="s">
        <v>182</v>
      </c>
      <c r="G101" s="46" t="s">
        <v>409</v>
      </c>
      <c r="H101" s="15">
        <v>599</v>
      </c>
      <c r="I101" s="15">
        <v>609</v>
      </c>
      <c r="J101" s="15">
        <v>609</v>
      </c>
      <c r="K101" s="117">
        <v>650</v>
      </c>
      <c r="L101" s="15">
        <v>0</v>
      </c>
      <c r="M101" s="15">
        <v>0</v>
      </c>
      <c r="N101" s="15">
        <v>0</v>
      </c>
      <c r="O101" s="15">
        <v>0</v>
      </c>
      <c r="P101" s="121">
        <f t="shared" si="15"/>
        <v>170</v>
      </c>
      <c r="Q101" s="121">
        <f t="shared" si="16"/>
        <v>170</v>
      </c>
      <c r="R101" s="121">
        <f t="shared" si="17"/>
        <v>0</v>
      </c>
      <c r="S101" s="121">
        <f t="shared" si="18"/>
        <v>0</v>
      </c>
      <c r="T101" s="121">
        <f t="shared" si="19"/>
        <v>0</v>
      </c>
      <c r="U101" s="121">
        <f t="shared" si="20"/>
        <v>0</v>
      </c>
      <c r="V101" s="117">
        <f t="shared" si="21"/>
        <v>500</v>
      </c>
      <c r="W101" s="117">
        <v>650</v>
      </c>
      <c r="X101" s="1" t="s">
        <v>1</v>
      </c>
      <c r="Y101" s="108" t="s">
        <v>1</v>
      </c>
      <c r="Z101" s="2" t="s">
        <v>1</v>
      </c>
      <c r="AA101" s="107" t="s">
        <v>1</v>
      </c>
      <c r="AB101" s="2" t="s">
        <v>1</v>
      </c>
    </row>
    <row r="102" spans="1:28" ht="30.15" customHeight="1" x14ac:dyDescent="0.25">
      <c r="A102" s="59" t="s">
        <v>18</v>
      </c>
      <c r="B102" s="57" t="s">
        <v>1</v>
      </c>
      <c r="C102" s="58" t="s">
        <v>34</v>
      </c>
      <c r="D102" s="116" t="s">
        <v>3</v>
      </c>
      <c r="E102" s="116" t="s">
        <v>319</v>
      </c>
      <c r="F102" s="116" t="s">
        <v>182</v>
      </c>
      <c r="G102" s="46" t="s">
        <v>409</v>
      </c>
      <c r="H102" s="15">
        <v>599</v>
      </c>
      <c r="I102" s="15">
        <v>609</v>
      </c>
      <c r="J102" s="15">
        <v>609</v>
      </c>
      <c r="K102" s="117">
        <v>650</v>
      </c>
      <c r="L102" s="15">
        <v>0</v>
      </c>
      <c r="M102" s="15">
        <v>0</v>
      </c>
      <c r="N102" s="15">
        <v>0</v>
      </c>
      <c r="O102" s="15">
        <v>0</v>
      </c>
      <c r="P102" s="121">
        <f t="shared" si="15"/>
        <v>170</v>
      </c>
      <c r="Q102" s="121">
        <f t="shared" si="16"/>
        <v>170</v>
      </c>
      <c r="R102" s="121">
        <f t="shared" si="17"/>
        <v>0</v>
      </c>
      <c r="S102" s="121">
        <f t="shared" si="18"/>
        <v>0</v>
      </c>
      <c r="T102" s="121">
        <f t="shared" si="19"/>
        <v>0</v>
      </c>
      <c r="U102" s="121">
        <f t="shared" si="20"/>
        <v>0</v>
      </c>
      <c r="V102" s="117">
        <f t="shared" si="21"/>
        <v>500</v>
      </c>
      <c r="W102" s="117">
        <v>650</v>
      </c>
      <c r="X102" s="1" t="s">
        <v>1</v>
      </c>
      <c r="Y102" s="108" t="s">
        <v>1</v>
      </c>
      <c r="Z102" s="2" t="s">
        <v>1</v>
      </c>
      <c r="AA102" s="107" t="s">
        <v>1</v>
      </c>
      <c r="AB102" s="2" t="s">
        <v>1</v>
      </c>
    </row>
    <row r="103" spans="1:28" ht="30.15" customHeight="1" x14ac:dyDescent="0.25">
      <c r="A103" s="59" t="s">
        <v>18</v>
      </c>
      <c r="B103" s="57" t="s">
        <v>1</v>
      </c>
      <c r="C103" s="58" t="s">
        <v>34</v>
      </c>
      <c r="D103" s="116" t="s">
        <v>3</v>
      </c>
      <c r="E103" s="116" t="s">
        <v>170</v>
      </c>
      <c r="F103" s="116" t="s">
        <v>182</v>
      </c>
      <c r="G103" s="46" t="s">
        <v>409</v>
      </c>
      <c r="H103" s="15">
        <v>599</v>
      </c>
      <c r="I103" s="15">
        <v>609</v>
      </c>
      <c r="J103" s="15">
        <v>609</v>
      </c>
      <c r="K103" s="117">
        <v>650</v>
      </c>
      <c r="L103" s="15">
        <v>0</v>
      </c>
      <c r="M103" s="15">
        <v>0</v>
      </c>
      <c r="N103" s="15">
        <v>0</v>
      </c>
      <c r="O103" s="15">
        <v>0</v>
      </c>
      <c r="P103" s="121">
        <f t="shared" si="15"/>
        <v>170</v>
      </c>
      <c r="Q103" s="121">
        <f t="shared" si="16"/>
        <v>170</v>
      </c>
      <c r="R103" s="121">
        <f t="shared" si="17"/>
        <v>0</v>
      </c>
      <c r="S103" s="121">
        <f t="shared" si="18"/>
        <v>0</v>
      </c>
      <c r="T103" s="121">
        <f t="shared" si="19"/>
        <v>0</v>
      </c>
      <c r="U103" s="121">
        <f t="shared" si="20"/>
        <v>0</v>
      </c>
      <c r="V103" s="117">
        <f t="shared" si="21"/>
        <v>500</v>
      </c>
      <c r="W103" s="117">
        <v>650</v>
      </c>
      <c r="X103" s="1" t="s">
        <v>1</v>
      </c>
      <c r="Y103" s="108" t="s">
        <v>1</v>
      </c>
      <c r="Z103" s="2" t="s">
        <v>1</v>
      </c>
      <c r="AA103" s="107" t="s">
        <v>1</v>
      </c>
      <c r="AB103" s="2" t="s">
        <v>1</v>
      </c>
    </row>
    <row r="104" spans="1:28" ht="30.15" customHeight="1" x14ac:dyDescent="0.25">
      <c r="A104" s="59" t="s">
        <v>18</v>
      </c>
      <c r="B104" s="57" t="s">
        <v>1</v>
      </c>
      <c r="C104" s="58" t="s">
        <v>34</v>
      </c>
      <c r="D104" s="116" t="s">
        <v>3</v>
      </c>
      <c r="E104" s="116" t="s">
        <v>171</v>
      </c>
      <c r="F104" s="116" t="s">
        <v>182</v>
      </c>
      <c r="G104" s="46" t="s">
        <v>409</v>
      </c>
      <c r="H104" s="15">
        <v>599</v>
      </c>
      <c r="I104" s="15">
        <v>609</v>
      </c>
      <c r="J104" s="15">
        <v>609</v>
      </c>
      <c r="K104" s="117">
        <v>650</v>
      </c>
      <c r="L104" s="15">
        <v>0</v>
      </c>
      <c r="M104" s="15">
        <v>0</v>
      </c>
      <c r="N104" s="15">
        <v>0</v>
      </c>
      <c r="O104" s="15">
        <v>0</v>
      </c>
      <c r="P104" s="121">
        <f t="shared" si="15"/>
        <v>170</v>
      </c>
      <c r="Q104" s="121">
        <f t="shared" si="16"/>
        <v>170</v>
      </c>
      <c r="R104" s="121">
        <f t="shared" si="17"/>
        <v>0</v>
      </c>
      <c r="S104" s="121">
        <f t="shared" si="18"/>
        <v>0</v>
      </c>
      <c r="T104" s="121">
        <f t="shared" si="19"/>
        <v>0</v>
      </c>
      <c r="U104" s="121">
        <f t="shared" si="20"/>
        <v>0</v>
      </c>
      <c r="V104" s="117">
        <f t="shared" si="21"/>
        <v>500</v>
      </c>
      <c r="W104" s="117">
        <v>650</v>
      </c>
      <c r="X104" s="1" t="s">
        <v>1</v>
      </c>
      <c r="Y104" s="108" t="s">
        <v>1</v>
      </c>
      <c r="Z104" s="2" t="s">
        <v>1</v>
      </c>
      <c r="AA104" s="107" t="s">
        <v>1</v>
      </c>
      <c r="AB104" s="2" t="s">
        <v>1</v>
      </c>
    </row>
    <row r="105" spans="1:28" ht="30.15" customHeight="1" x14ac:dyDescent="0.25">
      <c r="A105" s="59" t="s">
        <v>18</v>
      </c>
      <c r="B105" s="57" t="s">
        <v>1</v>
      </c>
      <c r="C105" s="58" t="s">
        <v>34</v>
      </c>
      <c r="D105" s="116" t="s">
        <v>3</v>
      </c>
      <c r="E105" s="116" t="s">
        <v>186</v>
      </c>
      <c r="F105" s="116" t="s">
        <v>162</v>
      </c>
      <c r="G105" s="46" t="s">
        <v>409</v>
      </c>
      <c r="H105" s="15">
        <v>729</v>
      </c>
      <c r="I105" s="15">
        <v>739</v>
      </c>
      <c r="J105" s="15">
        <v>739</v>
      </c>
      <c r="K105" s="117">
        <v>790</v>
      </c>
      <c r="L105" s="15">
        <v>0</v>
      </c>
      <c r="M105" s="15">
        <v>0</v>
      </c>
      <c r="N105" s="15">
        <v>0</v>
      </c>
      <c r="O105" s="15">
        <v>0</v>
      </c>
      <c r="P105" s="121">
        <f t="shared" si="15"/>
        <v>310</v>
      </c>
      <c r="Q105" s="121">
        <f t="shared" si="16"/>
        <v>310</v>
      </c>
      <c r="R105" s="121">
        <f t="shared" si="17"/>
        <v>70</v>
      </c>
      <c r="S105" s="121">
        <f t="shared" si="18"/>
        <v>70</v>
      </c>
      <c r="T105" s="121">
        <f t="shared" si="19"/>
        <v>0</v>
      </c>
      <c r="U105" s="121">
        <f t="shared" si="20"/>
        <v>0</v>
      </c>
      <c r="V105" s="117">
        <f t="shared" si="21"/>
        <v>640</v>
      </c>
      <c r="W105" s="117">
        <v>790</v>
      </c>
      <c r="X105" s="1" t="s">
        <v>1</v>
      </c>
      <c r="Y105" s="108" t="s">
        <v>1</v>
      </c>
      <c r="Z105" s="2" t="s">
        <v>1</v>
      </c>
      <c r="AA105" s="107" t="s">
        <v>1</v>
      </c>
      <c r="AB105" s="2" t="s">
        <v>1</v>
      </c>
    </row>
    <row r="106" spans="1:28" ht="30.15" customHeight="1" x14ac:dyDescent="0.25">
      <c r="A106" s="56" t="s">
        <v>17</v>
      </c>
      <c r="B106" s="57">
        <v>43405</v>
      </c>
      <c r="C106" s="58" t="s">
        <v>34</v>
      </c>
      <c r="D106" s="116" t="s">
        <v>3</v>
      </c>
      <c r="E106" s="116" t="s">
        <v>161</v>
      </c>
      <c r="F106" s="116" t="s">
        <v>162</v>
      </c>
      <c r="G106" s="46" t="s">
        <v>409</v>
      </c>
      <c r="H106" s="15">
        <v>729</v>
      </c>
      <c r="I106" s="15">
        <v>739</v>
      </c>
      <c r="J106" s="15">
        <v>739</v>
      </c>
      <c r="K106" s="117">
        <v>790</v>
      </c>
      <c r="L106" s="15">
        <v>0</v>
      </c>
      <c r="M106" s="15">
        <v>0</v>
      </c>
      <c r="N106" s="15">
        <v>0</v>
      </c>
      <c r="O106" s="15">
        <v>0</v>
      </c>
      <c r="P106" s="121">
        <f t="shared" si="15"/>
        <v>310</v>
      </c>
      <c r="Q106" s="121">
        <f t="shared" si="16"/>
        <v>310</v>
      </c>
      <c r="R106" s="121">
        <f t="shared" si="17"/>
        <v>70</v>
      </c>
      <c r="S106" s="121">
        <f t="shared" si="18"/>
        <v>70</v>
      </c>
      <c r="T106" s="121">
        <f t="shared" si="19"/>
        <v>0</v>
      </c>
      <c r="U106" s="121">
        <f t="shared" si="20"/>
        <v>0</v>
      </c>
      <c r="V106" s="117">
        <f t="shared" si="21"/>
        <v>640</v>
      </c>
      <c r="W106" s="117">
        <v>790</v>
      </c>
      <c r="X106" s="1" t="s">
        <v>1</v>
      </c>
      <c r="Y106" s="108" t="s">
        <v>1</v>
      </c>
      <c r="Z106" s="2" t="s">
        <v>1</v>
      </c>
      <c r="AA106" s="107" t="s">
        <v>1</v>
      </c>
      <c r="AB106" s="2" t="s">
        <v>1</v>
      </c>
    </row>
    <row r="107" spans="1:28" ht="30.15" customHeight="1" x14ac:dyDescent="0.25">
      <c r="A107" s="59" t="s">
        <v>18</v>
      </c>
      <c r="B107" s="57" t="s">
        <v>1</v>
      </c>
      <c r="C107" s="58" t="s">
        <v>34</v>
      </c>
      <c r="D107" s="116" t="s">
        <v>3</v>
      </c>
      <c r="E107" s="116" t="s">
        <v>201</v>
      </c>
      <c r="F107" s="116" t="s">
        <v>162</v>
      </c>
      <c r="G107" s="46" t="s">
        <v>409</v>
      </c>
      <c r="H107" s="15">
        <v>729</v>
      </c>
      <c r="I107" s="15">
        <v>739</v>
      </c>
      <c r="J107" s="15">
        <v>739</v>
      </c>
      <c r="K107" s="117">
        <v>790</v>
      </c>
      <c r="L107" s="15">
        <v>0</v>
      </c>
      <c r="M107" s="15">
        <v>0</v>
      </c>
      <c r="N107" s="15">
        <v>0</v>
      </c>
      <c r="O107" s="15">
        <v>0</v>
      </c>
      <c r="P107" s="121">
        <f t="shared" si="15"/>
        <v>310</v>
      </c>
      <c r="Q107" s="121">
        <f t="shared" si="16"/>
        <v>310</v>
      </c>
      <c r="R107" s="121">
        <f t="shared" si="17"/>
        <v>70</v>
      </c>
      <c r="S107" s="121">
        <f t="shared" si="18"/>
        <v>70</v>
      </c>
      <c r="T107" s="121">
        <f t="shared" si="19"/>
        <v>0</v>
      </c>
      <c r="U107" s="121">
        <f t="shared" si="20"/>
        <v>0</v>
      </c>
      <c r="V107" s="117">
        <f t="shared" si="21"/>
        <v>640</v>
      </c>
      <c r="W107" s="117">
        <v>790</v>
      </c>
      <c r="X107" s="1" t="s">
        <v>1</v>
      </c>
      <c r="Y107" s="108" t="s">
        <v>1</v>
      </c>
      <c r="Z107" s="2" t="s">
        <v>1</v>
      </c>
      <c r="AA107" s="107" t="s">
        <v>1</v>
      </c>
      <c r="AB107" s="2" t="s">
        <v>1</v>
      </c>
    </row>
    <row r="108" spans="1:28" ht="30.15" customHeight="1" x14ac:dyDescent="0.25">
      <c r="A108" s="56" t="s">
        <v>17</v>
      </c>
      <c r="B108" s="57">
        <v>43313</v>
      </c>
      <c r="C108" s="58" t="s">
        <v>34</v>
      </c>
      <c r="D108" s="116" t="s">
        <v>3</v>
      </c>
      <c r="E108" s="116" t="s">
        <v>257</v>
      </c>
      <c r="F108" s="116" t="s">
        <v>162</v>
      </c>
      <c r="G108" s="46" t="s">
        <v>409</v>
      </c>
      <c r="H108" s="15">
        <v>729</v>
      </c>
      <c r="I108" s="15">
        <v>739</v>
      </c>
      <c r="J108" s="15">
        <v>739</v>
      </c>
      <c r="K108" s="117">
        <v>790</v>
      </c>
      <c r="L108" s="15">
        <v>0</v>
      </c>
      <c r="M108" s="15">
        <v>0</v>
      </c>
      <c r="N108" s="15">
        <v>0</v>
      </c>
      <c r="O108" s="15">
        <v>0</v>
      </c>
      <c r="P108" s="121">
        <f t="shared" si="15"/>
        <v>310</v>
      </c>
      <c r="Q108" s="121">
        <f t="shared" si="16"/>
        <v>310</v>
      </c>
      <c r="R108" s="121">
        <f t="shared" si="17"/>
        <v>70</v>
      </c>
      <c r="S108" s="121">
        <f t="shared" si="18"/>
        <v>70</v>
      </c>
      <c r="T108" s="121">
        <f t="shared" si="19"/>
        <v>0</v>
      </c>
      <c r="U108" s="121">
        <f t="shared" si="20"/>
        <v>0</v>
      </c>
      <c r="V108" s="117">
        <f t="shared" si="21"/>
        <v>640</v>
      </c>
      <c r="W108" s="117">
        <v>790</v>
      </c>
      <c r="X108" s="1" t="s">
        <v>1</v>
      </c>
      <c r="Y108" s="108" t="s">
        <v>1</v>
      </c>
      <c r="Z108" s="2" t="s">
        <v>1</v>
      </c>
      <c r="AA108" s="107" t="s">
        <v>1</v>
      </c>
      <c r="AB108" s="2" t="s">
        <v>1</v>
      </c>
    </row>
    <row r="109" spans="1:28" ht="30.15" customHeight="1" x14ac:dyDescent="0.25">
      <c r="A109" s="59" t="s">
        <v>18</v>
      </c>
      <c r="B109" s="57" t="s">
        <v>1</v>
      </c>
      <c r="C109" s="58" t="s">
        <v>34</v>
      </c>
      <c r="D109" s="116" t="s">
        <v>3</v>
      </c>
      <c r="E109" s="116" t="s">
        <v>163</v>
      </c>
      <c r="F109" s="116" t="s">
        <v>162</v>
      </c>
      <c r="G109" s="46" t="s">
        <v>409</v>
      </c>
      <c r="H109" s="15">
        <v>729</v>
      </c>
      <c r="I109" s="15">
        <v>739</v>
      </c>
      <c r="J109" s="15">
        <v>739</v>
      </c>
      <c r="K109" s="117">
        <v>790</v>
      </c>
      <c r="L109" s="15">
        <v>0</v>
      </c>
      <c r="M109" s="15">
        <v>0</v>
      </c>
      <c r="N109" s="15">
        <v>0</v>
      </c>
      <c r="O109" s="15">
        <v>0</v>
      </c>
      <c r="P109" s="121">
        <f t="shared" si="15"/>
        <v>310</v>
      </c>
      <c r="Q109" s="121">
        <f t="shared" si="16"/>
        <v>310</v>
      </c>
      <c r="R109" s="121">
        <f t="shared" si="17"/>
        <v>70</v>
      </c>
      <c r="S109" s="121">
        <f t="shared" si="18"/>
        <v>70</v>
      </c>
      <c r="T109" s="121">
        <f t="shared" si="19"/>
        <v>0</v>
      </c>
      <c r="U109" s="121">
        <f t="shared" si="20"/>
        <v>0</v>
      </c>
      <c r="V109" s="117">
        <f t="shared" si="21"/>
        <v>640</v>
      </c>
      <c r="W109" s="117">
        <v>790</v>
      </c>
      <c r="X109" s="1" t="s">
        <v>1</v>
      </c>
      <c r="Y109" s="108" t="s">
        <v>1</v>
      </c>
      <c r="Z109" s="2" t="s">
        <v>1</v>
      </c>
      <c r="AA109" s="107" t="s">
        <v>1</v>
      </c>
      <c r="AB109" s="2" t="s">
        <v>1</v>
      </c>
    </row>
    <row r="110" spans="1:28" ht="30.15" customHeight="1" x14ac:dyDescent="0.25">
      <c r="A110" s="59" t="s">
        <v>18</v>
      </c>
      <c r="B110" s="57" t="s">
        <v>1</v>
      </c>
      <c r="C110" s="58" t="s">
        <v>34</v>
      </c>
      <c r="D110" s="116" t="s">
        <v>3</v>
      </c>
      <c r="E110" s="116" t="s">
        <v>164</v>
      </c>
      <c r="F110" s="116" t="s">
        <v>162</v>
      </c>
      <c r="G110" s="46" t="s">
        <v>409</v>
      </c>
      <c r="H110" s="15">
        <v>729</v>
      </c>
      <c r="I110" s="15">
        <v>739</v>
      </c>
      <c r="J110" s="15">
        <v>739</v>
      </c>
      <c r="K110" s="117">
        <v>790</v>
      </c>
      <c r="L110" s="15">
        <v>0</v>
      </c>
      <c r="M110" s="15">
        <v>0</v>
      </c>
      <c r="N110" s="15">
        <v>0</v>
      </c>
      <c r="O110" s="15">
        <v>0</v>
      </c>
      <c r="P110" s="121">
        <f t="shared" si="15"/>
        <v>310</v>
      </c>
      <c r="Q110" s="121">
        <f t="shared" si="16"/>
        <v>310</v>
      </c>
      <c r="R110" s="121">
        <f t="shared" si="17"/>
        <v>70</v>
      </c>
      <c r="S110" s="121">
        <f t="shared" si="18"/>
        <v>70</v>
      </c>
      <c r="T110" s="121">
        <f t="shared" si="19"/>
        <v>0</v>
      </c>
      <c r="U110" s="121">
        <f t="shared" si="20"/>
        <v>0</v>
      </c>
      <c r="V110" s="117">
        <f t="shared" si="21"/>
        <v>640</v>
      </c>
      <c r="W110" s="117">
        <v>790</v>
      </c>
      <c r="X110" s="1" t="s">
        <v>1</v>
      </c>
      <c r="Y110" s="108" t="s">
        <v>1</v>
      </c>
      <c r="Z110" s="2" t="s">
        <v>1</v>
      </c>
      <c r="AA110" s="107" t="s">
        <v>1</v>
      </c>
      <c r="AB110" s="2" t="s">
        <v>1</v>
      </c>
    </row>
    <row r="111" spans="1:28" ht="30.15" customHeight="1" x14ac:dyDescent="0.25">
      <c r="A111" s="56" t="s">
        <v>17</v>
      </c>
      <c r="B111" s="57">
        <v>43405</v>
      </c>
      <c r="C111" s="58" t="s">
        <v>34</v>
      </c>
      <c r="D111" s="116" t="s">
        <v>3</v>
      </c>
      <c r="E111" s="116" t="s">
        <v>187</v>
      </c>
      <c r="F111" s="116" t="s">
        <v>183</v>
      </c>
      <c r="G111" s="46" t="s">
        <v>409</v>
      </c>
      <c r="H111" s="15">
        <v>729</v>
      </c>
      <c r="I111" s="117">
        <f t="shared" ref="I111:I116" si="22">J111</f>
        <v>750</v>
      </c>
      <c r="J111" s="117">
        <v>750</v>
      </c>
      <c r="K111" s="117">
        <v>790</v>
      </c>
      <c r="L111" s="15">
        <v>0</v>
      </c>
      <c r="M111" s="15">
        <v>0</v>
      </c>
      <c r="N111" s="15">
        <v>0</v>
      </c>
      <c r="O111" s="15">
        <v>0</v>
      </c>
      <c r="P111" s="121">
        <f t="shared" si="15"/>
        <v>310</v>
      </c>
      <c r="Q111" s="121">
        <f t="shared" si="16"/>
        <v>310</v>
      </c>
      <c r="R111" s="121">
        <f t="shared" si="17"/>
        <v>70</v>
      </c>
      <c r="S111" s="121">
        <f t="shared" si="18"/>
        <v>70</v>
      </c>
      <c r="T111" s="121">
        <f t="shared" si="19"/>
        <v>0</v>
      </c>
      <c r="U111" s="121">
        <f t="shared" si="20"/>
        <v>0</v>
      </c>
      <c r="V111" s="117">
        <f t="shared" si="21"/>
        <v>640</v>
      </c>
      <c r="W111" s="117">
        <v>790</v>
      </c>
      <c r="X111" s="1" t="s">
        <v>1</v>
      </c>
      <c r="Y111" s="108" t="s">
        <v>1</v>
      </c>
      <c r="Z111" s="2" t="s">
        <v>1</v>
      </c>
      <c r="AA111" s="107" t="s">
        <v>1</v>
      </c>
      <c r="AB111" s="2" t="s">
        <v>1</v>
      </c>
    </row>
    <row r="112" spans="1:28" ht="30.15" customHeight="1" x14ac:dyDescent="0.25">
      <c r="A112" s="56" t="s">
        <v>17</v>
      </c>
      <c r="B112" s="57">
        <v>43405</v>
      </c>
      <c r="C112" s="58" t="s">
        <v>34</v>
      </c>
      <c r="D112" s="116" t="s">
        <v>3</v>
      </c>
      <c r="E112" s="116" t="s">
        <v>173</v>
      </c>
      <c r="F112" s="116" t="s">
        <v>183</v>
      </c>
      <c r="G112" s="46" t="s">
        <v>409</v>
      </c>
      <c r="H112" s="15">
        <v>729</v>
      </c>
      <c r="I112" s="117">
        <f t="shared" si="22"/>
        <v>750</v>
      </c>
      <c r="J112" s="117">
        <v>750</v>
      </c>
      <c r="K112" s="117">
        <v>790</v>
      </c>
      <c r="L112" s="15">
        <v>0</v>
      </c>
      <c r="M112" s="15">
        <v>0</v>
      </c>
      <c r="N112" s="15">
        <v>0</v>
      </c>
      <c r="O112" s="15">
        <v>0</v>
      </c>
      <c r="P112" s="121">
        <f t="shared" si="15"/>
        <v>310</v>
      </c>
      <c r="Q112" s="121">
        <f t="shared" si="16"/>
        <v>310</v>
      </c>
      <c r="R112" s="121">
        <f t="shared" si="17"/>
        <v>70</v>
      </c>
      <c r="S112" s="121">
        <f t="shared" si="18"/>
        <v>70</v>
      </c>
      <c r="T112" s="121">
        <f t="shared" si="19"/>
        <v>0</v>
      </c>
      <c r="U112" s="121">
        <f t="shared" si="20"/>
        <v>0</v>
      </c>
      <c r="V112" s="117">
        <f t="shared" si="21"/>
        <v>640</v>
      </c>
      <c r="W112" s="117">
        <v>790</v>
      </c>
      <c r="X112" s="1" t="s">
        <v>1</v>
      </c>
      <c r="Y112" s="108" t="s">
        <v>1</v>
      </c>
      <c r="Z112" s="2" t="s">
        <v>1</v>
      </c>
      <c r="AA112" s="107" t="s">
        <v>1</v>
      </c>
      <c r="AB112" s="2" t="s">
        <v>1</v>
      </c>
    </row>
    <row r="113" spans="1:28" ht="30.15" customHeight="1" x14ac:dyDescent="0.25">
      <c r="A113" s="59" t="s">
        <v>18</v>
      </c>
      <c r="B113" s="57" t="s">
        <v>1</v>
      </c>
      <c r="C113" s="58" t="s">
        <v>34</v>
      </c>
      <c r="D113" s="116" t="s">
        <v>3</v>
      </c>
      <c r="E113" s="116" t="s">
        <v>202</v>
      </c>
      <c r="F113" s="116" t="s">
        <v>183</v>
      </c>
      <c r="G113" s="46" t="s">
        <v>409</v>
      </c>
      <c r="H113" s="15">
        <v>729</v>
      </c>
      <c r="I113" s="117">
        <f t="shared" si="22"/>
        <v>750</v>
      </c>
      <c r="J113" s="117">
        <v>750</v>
      </c>
      <c r="K113" s="117">
        <v>790</v>
      </c>
      <c r="L113" s="15">
        <v>0</v>
      </c>
      <c r="M113" s="15">
        <v>0</v>
      </c>
      <c r="N113" s="15">
        <v>0</v>
      </c>
      <c r="O113" s="15">
        <v>0</v>
      </c>
      <c r="P113" s="121">
        <f t="shared" si="15"/>
        <v>310</v>
      </c>
      <c r="Q113" s="121">
        <f t="shared" si="16"/>
        <v>310</v>
      </c>
      <c r="R113" s="121">
        <f t="shared" si="17"/>
        <v>70</v>
      </c>
      <c r="S113" s="121">
        <f t="shared" si="18"/>
        <v>70</v>
      </c>
      <c r="T113" s="121">
        <f t="shared" si="19"/>
        <v>0</v>
      </c>
      <c r="U113" s="121">
        <f t="shared" si="20"/>
        <v>0</v>
      </c>
      <c r="V113" s="117">
        <f t="shared" si="21"/>
        <v>640</v>
      </c>
      <c r="W113" s="117">
        <v>790</v>
      </c>
      <c r="X113" s="1" t="s">
        <v>1</v>
      </c>
      <c r="Y113" s="108" t="s">
        <v>1</v>
      </c>
      <c r="Z113" s="2" t="s">
        <v>1</v>
      </c>
      <c r="AA113" s="107" t="s">
        <v>1</v>
      </c>
      <c r="AB113" s="2" t="s">
        <v>1</v>
      </c>
    </row>
    <row r="114" spans="1:28" ht="30.15" customHeight="1" x14ac:dyDescent="0.25">
      <c r="A114" s="56" t="s">
        <v>17</v>
      </c>
      <c r="B114" s="57">
        <v>43313</v>
      </c>
      <c r="C114" s="58" t="s">
        <v>34</v>
      </c>
      <c r="D114" s="116" t="s">
        <v>3</v>
      </c>
      <c r="E114" s="116" t="s">
        <v>258</v>
      </c>
      <c r="F114" s="116" t="s">
        <v>183</v>
      </c>
      <c r="G114" s="46" t="s">
        <v>409</v>
      </c>
      <c r="H114" s="15">
        <v>729</v>
      </c>
      <c r="I114" s="117">
        <f t="shared" si="22"/>
        <v>750</v>
      </c>
      <c r="J114" s="117">
        <v>750</v>
      </c>
      <c r="K114" s="117">
        <v>790</v>
      </c>
      <c r="L114" s="15">
        <v>0</v>
      </c>
      <c r="M114" s="15">
        <v>0</v>
      </c>
      <c r="N114" s="15">
        <v>0</v>
      </c>
      <c r="O114" s="15">
        <v>0</v>
      </c>
      <c r="P114" s="121">
        <f t="shared" si="15"/>
        <v>310</v>
      </c>
      <c r="Q114" s="121">
        <f t="shared" si="16"/>
        <v>310</v>
      </c>
      <c r="R114" s="121">
        <f t="shared" si="17"/>
        <v>70</v>
      </c>
      <c r="S114" s="121">
        <f t="shared" si="18"/>
        <v>70</v>
      </c>
      <c r="T114" s="121">
        <f t="shared" si="19"/>
        <v>0</v>
      </c>
      <c r="U114" s="121">
        <f t="shared" si="20"/>
        <v>0</v>
      </c>
      <c r="V114" s="117">
        <f t="shared" si="21"/>
        <v>640</v>
      </c>
      <c r="W114" s="117">
        <v>790</v>
      </c>
      <c r="X114" s="1" t="s">
        <v>1</v>
      </c>
      <c r="Y114" s="108" t="s">
        <v>1</v>
      </c>
      <c r="Z114" s="2" t="s">
        <v>1</v>
      </c>
      <c r="AA114" s="107" t="s">
        <v>1</v>
      </c>
      <c r="AB114" s="2" t="s">
        <v>1</v>
      </c>
    </row>
    <row r="115" spans="1:28" ht="30.15" customHeight="1" x14ac:dyDescent="0.25">
      <c r="A115" s="59" t="s">
        <v>18</v>
      </c>
      <c r="B115" s="57" t="s">
        <v>1</v>
      </c>
      <c r="C115" s="58" t="s">
        <v>34</v>
      </c>
      <c r="D115" s="116" t="s">
        <v>3</v>
      </c>
      <c r="E115" s="116" t="s">
        <v>174</v>
      </c>
      <c r="F115" s="116" t="s">
        <v>183</v>
      </c>
      <c r="G115" s="46" t="s">
        <v>409</v>
      </c>
      <c r="H115" s="15">
        <v>729</v>
      </c>
      <c r="I115" s="117">
        <f t="shared" si="22"/>
        <v>750</v>
      </c>
      <c r="J115" s="117">
        <v>750</v>
      </c>
      <c r="K115" s="117">
        <v>790</v>
      </c>
      <c r="L115" s="15">
        <v>0</v>
      </c>
      <c r="M115" s="15">
        <v>0</v>
      </c>
      <c r="N115" s="15">
        <v>0</v>
      </c>
      <c r="O115" s="15">
        <v>0</v>
      </c>
      <c r="P115" s="121">
        <f t="shared" si="15"/>
        <v>310</v>
      </c>
      <c r="Q115" s="121">
        <f t="shared" si="16"/>
        <v>310</v>
      </c>
      <c r="R115" s="121">
        <f t="shared" si="17"/>
        <v>70</v>
      </c>
      <c r="S115" s="121">
        <f t="shared" si="18"/>
        <v>70</v>
      </c>
      <c r="T115" s="121">
        <f t="shared" si="19"/>
        <v>0</v>
      </c>
      <c r="U115" s="121">
        <f t="shared" si="20"/>
        <v>0</v>
      </c>
      <c r="V115" s="117">
        <f t="shared" si="21"/>
        <v>640</v>
      </c>
      <c r="W115" s="117">
        <v>790</v>
      </c>
      <c r="X115" s="1" t="s">
        <v>1</v>
      </c>
      <c r="Y115" s="108" t="s">
        <v>1</v>
      </c>
      <c r="Z115" s="2" t="s">
        <v>1</v>
      </c>
      <c r="AA115" s="107" t="s">
        <v>1</v>
      </c>
      <c r="AB115" s="2" t="s">
        <v>1</v>
      </c>
    </row>
    <row r="116" spans="1:28" ht="30.15" customHeight="1" x14ac:dyDescent="0.25">
      <c r="A116" s="56" t="s">
        <v>17</v>
      </c>
      <c r="B116" s="57">
        <v>43374</v>
      </c>
      <c r="C116" s="58" t="s">
        <v>34</v>
      </c>
      <c r="D116" s="116" t="s">
        <v>3</v>
      </c>
      <c r="E116" s="116" t="s">
        <v>175</v>
      </c>
      <c r="F116" s="116" t="s">
        <v>183</v>
      </c>
      <c r="G116" s="46" t="s">
        <v>409</v>
      </c>
      <c r="H116" s="15">
        <v>729</v>
      </c>
      <c r="I116" s="117">
        <f t="shared" si="22"/>
        <v>750</v>
      </c>
      <c r="J116" s="117">
        <v>750</v>
      </c>
      <c r="K116" s="117">
        <v>790</v>
      </c>
      <c r="L116" s="15">
        <v>0</v>
      </c>
      <c r="M116" s="15">
        <v>0</v>
      </c>
      <c r="N116" s="15">
        <v>0</v>
      </c>
      <c r="O116" s="15">
        <v>0</v>
      </c>
      <c r="P116" s="121">
        <f t="shared" si="15"/>
        <v>310</v>
      </c>
      <c r="Q116" s="121">
        <f t="shared" si="16"/>
        <v>310</v>
      </c>
      <c r="R116" s="121">
        <f t="shared" si="17"/>
        <v>70</v>
      </c>
      <c r="S116" s="121">
        <f t="shared" si="18"/>
        <v>70</v>
      </c>
      <c r="T116" s="121">
        <f t="shared" si="19"/>
        <v>0</v>
      </c>
      <c r="U116" s="121">
        <f t="shared" si="20"/>
        <v>0</v>
      </c>
      <c r="V116" s="117">
        <f t="shared" si="21"/>
        <v>640</v>
      </c>
      <c r="W116" s="117">
        <v>790</v>
      </c>
      <c r="X116" s="1" t="s">
        <v>1</v>
      </c>
      <c r="Y116" s="108" t="s">
        <v>1</v>
      </c>
      <c r="Z116" s="2" t="s">
        <v>1</v>
      </c>
      <c r="AA116" s="107" t="s">
        <v>1</v>
      </c>
      <c r="AB116" s="2" t="s">
        <v>1</v>
      </c>
    </row>
    <row r="117" spans="1:28" ht="30.15" customHeight="1" x14ac:dyDescent="0.25">
      <c r="A117" s="59" t="s">
        <v>18</v>
      </c>
      <c r="B117" s="57" t="s">
        <v>1</v>
      </c>
      <c r="C117" s="58" t="s">
        <v>34</v>
      </c>
      <c r="D117" s="116" t="s">
        <v>3</v>
      </c>
      <c r="E117" s="116" t="s">
        <v>188</v>
      </c>
      <c r="F117" s="116" t="s">
        <v>184</v>
      </c>
      <c r="G117" s="46" t="s">
        <v>409</v>
      </c>
      <c r="H117" s="15">
        <v>749</v>
      </c>
      <c r="I117" s="15">
        <v>759</v>
      </c>
      <c r="J117" s="15">
        <v>759</v>
      </c>
      <c r="K117" s="117">
        <v>810</v>
      </c>
      <c r="L117" s="15">
        <v>0</v>
      </c>
      <c r="M117" s="15">
        <v>0</v>
      </c>
      <c r="N117" s="15">
        <v>0</v>
      </c>
      <c r="O117" s="15">
        <v>0</v>
      </c>
      <c r="P117" s="121">
        <f t="shared" si="15"/>
        <v>330</v>
      </c>
      <c r="Q117" s="121">
        <f t="shared" si="16"/>
        <v>330</v>
      </c>
      <c r="R117" s="121">
        <f t="shared" si="17"/>
        <v>90</v>
      </c>
      <c r="S117" s="121">
        <f t="shared" si="18"/>
        <v>90</v>
      </c>
      <c r="T117" s="121">
        <f t="shared" si="19"/>
        <v>0</v>
      </c>
      <c r="U117" s="121">
        <f t="shared" si="20"/>
        <v>0</v>
      </c>
      <c r="V117" s="117">
        <f t="shared" si="21"/>
        <v>660</v>
      </c>
      <c r="W117" s="117">
        <v>810</v>
      </c>
      <c r="X117" s="1" t="s">
        <v>1</v>
      </c>
      <c r="Y117" s="108" t="s">
        <v>1</v>
      </c>
      <c r="Z117" s="2" t="s">
        <v>1</v>
      </c>
      <c r="AA117" s="107" t="s">
        <v>1</v>
      </c>
      <c r="AB117" s="2" t="s">
        <v>1</v>
      </c>
    </row>
    <row r="118" spans="1:28" ht="30.15" customHeight="1" x14ac:dyDescent="0.25">
      <c r="A118" s="59" t="s">
        <v>18</v>
      </c>
      <c r="B118" s="57" t="s">
        <v>1</v>
      </c>
      <c r="C118" s="58" t="s">
        <v>34</v>
      </c>
      <c r="D118" s="116" t="s">
        <v>3</v>
      </c>
      <c r="E118" s="116" t="s">
        <v>176</v>
      </c>
      <c r="F118" s="116" t="s">
        <v>184</v>
      </c>
      <c r="G118" s="46" t="s">
        <v>409</v>
      </c>
      <c r="H118" s="15">
        <v>749</v>
      </c>
      <c r="I118" s="15">
        <v>759</v>
      </c>
      <c r="J118" s="15">
        <v>759</v>
      </c>
      <c r="K118" s="117">
        <v>810</v>
      </c>
      <c r="L118" s="15">
        <v>0</v>
      </c>
      <c r="M118" s="15">
        <v>0</v>
      </c>
      <c r="N118" s="15">
        <v>0</v>
      </c>
      <c r="O118" s="15">
        <v>0</v>
      </c>
      <c r="P118" s="121">
        <f t="shared" si="15"/>
        <v>330</v>
      </c>
      <c r="Q118" s="121">
        <f t="shared" si="16"/>
        <v>330</v>
      </c>
      <c r="R118" s="121">
        <f t="shared" si="17"/>
        <v>90</v>
      </c>
      <c r="S118" s="121">
        <f t="shared" si="18"/>
        <v>90</v>
      </c>
      <c r="T118" s="121">
        <f t="shared" si="19"/>
        <v>0</v>
      </c>
      <c r="U118" s="121">
        <f t="shared" si="20"/>
        <v>0</v>
      </c>
      <c r="V118" s="117">
        <f t="shared" si="21"/>
        <v>660</v>
      </c>
      <c r="W118" s="117">
        <v>810</v>
      </c>
      <c r="X118" s="1" t="s">
        <v>1</v>
      </c>
      <c r="Y118" s="108" t="s">
        <v>1</v>
      </c>
      <c r="Z118" s="2" t="s">
        <v>1</v>
      </c>
      <c r="AA118" s="107" t="s">
        <v>1</v>
      </c>
      <c r="AB118" s="2" t="s">
        <v>1</v>
      </c>
    </row>
    <row r="119" spans="1:28" ht="30.15" customHeight="1" x14ac:dyDescent="0.25">
      <c r="A119" s="59" t="s">
        <v>18</v>
      </c>
      <c r="B119" s="57" t="s">
        <v>1</v>
      </c>
      <c r="C119" s="58" t="s">
        <v>34</v>
      </c>
      <c r="D119" s="116" t="s">
        <v>3</v>
      </c>
      <c r="E119" s="116" t="s">
        <v>320</v>
      </c>
      <c r="F119" s="116" t="s">
        <v>184</v>
      </c>
      <c r="G119" s="46" t="s">
        <v>409</v>
      </c>
      <c r="H119" s="15">
        <v>749</v>
      </c>
      <c r="I119" s="15">
        <v>759</v>
      </c>
      <c r="J119" s="15">
        <v>759</v>
      </c>
      <c r="K119" s="117">
        <v>810</v>
      </c>
      <c r="L119" s="15">
        <v>0</v>
      </c>
      <c r="M119" s="15">
        <v>0</v>
      </c>
      <c r="N119" s="15">
        <v>0</v>
      </c>
      <c r="O119" s="15">
        <v>0</v>
      </c>
      <c r="P119" s="121">
        <f t="shared" si="15"/>
        <v>330</v>
      </c>
      <c r="Q119" s="121">
        <f t="shared" si="16"/>
        <v>330</v>
      </c>
      <c r="R119" s="121">
        <f t="shared" si="17"/>
        <v>90</v>
      </c>
      <c r="S119" s="121">
        <f t="shared" si="18"/>
        <v>90</v>
      </c>
      <c r="T119" s="121">
        <f t="shared" si="19"/>
        <v>0</v>
      </c>
      <c r="U119" s="121">
        <f t="shared" si="20"/>
        <v>0</v>
      </c>
      <c r="V119" s="117">
        <f t="shared" si="21"/>
        <v>660</v>
      </c>
      <c r="W119" s="117">
        <v>810</v>
      </c>
      <c r="X119" s="1" t="s">
        <v>1</v>
      </c>
      <c r="Y119" s="108" t="s">
        <v>1</v>
      </c>
      <c r="Z119" s="2" t="s">
        <v>1</v>
      </c>
      <c r="AA119" s="107" t="s">
        <v>1</v>
      </c>
      <c r="AB119" s="2" t="s">
        <v>1</v>
      </c>
    </row>
    <row r="120" spans="1:28" ht="30.15" customHeight="1" x14ac:dyDescent="0.25">
      <c r="A120" s="59" t="s">
        <v>18</v>
      </c>
      <c r="B120" s="57" t="s">
        <v>1</v>
      </c>
      <c r="C120" s="58" t="s">
        <v>34</v>
      </c>
      <c r="D120" s="116" t="s">
        <v>3</v>
      </c>
      <c r="E120" s="116" t="s">
        <v>177</v>
      </c>
      <c r="F120" s="116" t="s">
        <v>184</v>
      </c>
      <c r="G120" s="46" t="s">
        <v>409</v>
      </c>
      <c r="H120" s="15">
        <v>749</v>
      </c>
      <c r="I120" s="15">
        <v>759</v>
      </c>
      <c r="J120" s="15">
        <v>759</v>
      </c>
      <c r="K120" s="117">
        <v>810</v>
      </c>
      <c r="L120" s="15">
        <v>0</v>
      </c>
      <c r="M120" s="15">
        <v>0</v>
      </c>
      <c r="N120" s="15">
        <v>0</v>
      </c>
      <c r="O120" s="15">
        <v>0</v>
      </c>
      <c r="P120" s="121">
        <f t="shared" si="15"/>
        <v>330</v>
      </c>
      <c r="Q120" s="121">
        <f t="shared" si="16"/>
        <v>330</v>
      </c>
      <c r="R120" s="121">
        <f t="shared" si="17"/>
        <v>90</v>
      </c>
      <c r="S120" s="121">
        <f t="shared" si="18"/>
        <v>90</v>
      </c>
      <c r="T120" s="121">
        <f t="shared" si="19"/>
        <v>0</v>
      </c>
      <c r="U120" s="121">
        <f t="shared" si="20"/>
        <v>0</v>
      </c>
      <c r="V120" s="117">
        <f t="shared" si="21"/>
        <v>660</v>
      </c>
      <c r="W120" s="117">
        <v>810</v>
      </c>
      <c r="X120" s="1" t="s">
        <v>1</v>
      </c>
      <c r="Y120" s="108" t="s">
        <v>1</v>
      </c>
      <c r="Z120" s="2" t="s">
        <v>1</v>
      </c>
      <c r="AA120" s="107" t="s">
        <v>1</v>
      </c>
      <c r="AB120" s="2" t="s">
        <v>1</v>
      </c>
    </row>
    <row r="121" spans="1:28" ht="30.15" customHeight="1" x14ac:dyDescent="0.25">
      <c r="A121" s="59" t="s">
        <v>18</v>
      </c>
      <c r="B121" s="57" t="s">
        <v>1</v>
      </c>
      <c r="C121" s="58" t="s">
        <v>34</v>
      </c>
      <c r="D121" s="116" t="s">
        <v>3</v>
      </c>
      <c r="E121" s="116" t="s">
        <v>178</v>
      </c>
      <c r="F121" s="116" t="s">
        <v>184</v>
      </c>
      <c r="G121" s="46" t="s">
        <v>409</v>
      </c>
      <c r="H121" s="15">
        <v>749</v>
      </c>
      <c r="I121" s="15">
        <v>759</v>
      </c>
      <c r="J121" s="15">
        <v>759</v>
      </c>
      <c r="K121" s="117">
        <v>810</v>
      </c>
      <c r="L121" s="15">
        <v>0</v>
      </c>
      <c r="M121" s="15">
        <v>0</v>
      </c>
      <c r="N121" s="15">
        <v>0</v>
      </c>
      <c r="O121" s="15">
        <v>0</v>
      </c>
      <c r="P121" s="121">
        <f t="shared" si="15"/>
        <v>330</v>
      </c>
      <c r="Q121" s="121">
        <f t="shared" si="16"/>
        <v>330</v>
      </c>
      <c r="R121" s="121">
        <f t="shared" si="17"/>
        <v>90</v>
      </c>
      <c r="S121" s="121">
        <f t="shared" si="18"/>
        <v>90</v>
      </c>
      <c r="T121" s="121">
        <f t="shared" si="19"/>
        <v>0</v>
      </c>
      <c r="U121" s="121">
        <f t="shared" si="20"/>
        <v>0</v>
      </c>
      <c r="V121" s="117">
        <f t="shared" si="21"/>
        <v>660</v>
      </c>
      <c r="W121" s="117">
        <v>810</v>
      </c>
      <c r="X121" s="1" t="s">
        <v>1</v>
      </c>
      <c r="Y121" s="108" t="s">
        <v>1</v>
      </c>
      <c r="Z121" s="2" t="s">
        <v>1</v>
      </c>
      <c r="AA121" s="107" t="s">
        <v>1</v>
      </c>
      <c r="AB121" s="2" t="s">
        <v>1</v>
      </c>
    </row>
    <row r="122" spans="1:28" ht="30.15" customHeight="1" x14ac:dyDescent="0.25">
      <c r="A122" s="59" t="s">
        <v>18</v>
      </c>
      <c r="B122" s="57" t="s">
        <v>1</v>
      </c>
      <c r="C122" s="58" t="s">
        <v>34</v>
      </c>
      <c r="D122" s="116" t="s">
        <v>3</v>
      </c>
      <c r="E122" s="116" t="s">
        <v>189</v>
      </c>
      <c r="F122" s="116" t="s">
        <v>166</v>
      </c>
      <c r="G122" s="46" t="s">
        <v>409</v>
      </c>
      <c r="H122" s="15">
        <v>879</v>
      </c>
      <c r="I122" s="15">
        <v>899</v>
      </c>
      <c r="J122" s="15">
        <v>899</v>
      </c>
      <c r="K122" s="117">
        <v>950</v>
      </c>
      <c r="L122" s="15">
        <v>0</v>
      </c>
      <c r="M122" s="15">
        <v>0</v>
      </c>
      <c r="N122" s="15">
        <v>0</v>
      </c>
      <c r="O122" s="15">
        <v>0</v>
      </c>
      <c r="P122" s="121">
        <f t="shared" si="15"/>
        <v>470</v>
      </c>
      <c r="Q122" s="121">
        <f t="shared" si="16"/>
        <v>470</v>
      </c>
      <c r="R122" s="121">
        <f t="shared" si="17"/>
        <v>230</v>
      </c>
      <c r="S122" s="121">
        <f t="shared" si="18"/>
        <v>230</v>
      </c>
      <c r="T122" s="121">
        <f t="shared" si="19"/>
        <v>0</v>
      </c>
      <c r="U122" s="121">
        <f t="shared" si="20"/>
        <v>0</v>
      </c>
      <c r="V122" s="117">
        <f t="shared" si="21"/>
        <v>800</v>
      </c>
      <c r="W122" s="117">
        <v>950</v>
      </c>
      <c r="X122" s="1" t="s">
        <v>1</v>
      </c>
      <c r="Y122" s="108" t="s">
        <v>1</v>
      </c>
      <c r="Z122" s="2" t="s">
        <v>1</v>
      </c>
      <c r="AA122" s="107" t="s">
        <v>1</v>
      </c>
      <c r="AB122" s="2" t="s">
        <v>1</v>
      </c>
    </row>
    <row r="123" spans="1:28" ht="30.15" customHeight="1" x14ac:dyDescent="0.25">
      <c r="A123" s="56" t="s">
        <v>17</v>
      </c>
      <c r="B123" s="57">
        <v>43405</v>
      </c>
      <c r="C123" s="58" t="s">
        <v>34</v>
      </c>
      <c r="D123" s="116" t="s">
        <v>3</v>
      </c>
      <c r="E123" s="116" t="s">
        <v>165</v>
      </c>
      <c r="F123" s="116" t="s">
        <v>166</v>
      </c>
      <c r="G123" s="46" t="s">
        <v>409</v>
      </c>
      <c r="H123" s="15">
        <v>879</v>
      </c>
      <c r="I123" s="15">
        <v>899</v>
      </c>
      <c r="J123" s="15">
        <v>899</v>
      </c>
      <c r="K123" s="117">
        <v>950</v>
      </c>
      <c r="L123" s="15">
        <v>0</v>
      </c>
      <c r="M123" s="15">
        <v>0</v>
      </c>
      <c r="N123" s="15">
        <v>0</v>
      </c>
      <c r="O123" s="15">
        <v>0</v>
      </c>
      <c r="P123" s="121">
        <f t="shared" si="15"/>
        <v>470</v>
      </c>
      <c r="Q123" s="121">
        <f t="shared" si="16"/>
        <v>470</v>
      </c>
      <c r="R123" s="121">
        <f t="shared" si="17"/>
        <v>230</v>
      </c>
      <c r="S123" s="121">
        <f t="shared" si="18"/>
        <v>230</v>
      </c>
      <c r="T123" s="121">
        <f t="shared" si="19"/>
        <v>0</v>
      </c>
      <c r="U123" s="121">
        <f t="shared" si="20"/>
        <v>0</v>
      </c>
      <c r="V123" s="117">
        <f t="shared" si="21"/>
        <v>800</v>
      </c>
      <c r="W123" s="117">
        <v>950</v>
      </c>
      <c r="X123" s="1" t="s">
        <v>1</v>
      </c>
      <c r="Y123" s="108" t="s">
        <v>1</v>
      </c>
      <c r="Z123" s="2" t="s">
        <v>1</v>
      </c>
      <c r="AA123" s="107" t="s">
        <v>1</v>
      </c>
      <c r="AB123" s="2" t="s">
        <v>1</v>
      </c>
    </row>
    <row r="124" spans="1:28" ht="30.15" customHeight="1" x14ac:dyDescent="0.25">
      <c r="A124" s="59" t="s">
        <v>18</v>
      </c>
      <c r="B124" s="57" t="s">
        <v>1</v>
      </c>
      <c r="C124" s="58" t="s">
        <v>34</v>
      </c>
      <c r="D124" s="116" t="s">
        <v>3</v>
      </c>
      <c r="E124" s="116" t="s">
        <v>203</v>
      </c>
      <c r="F124" s="116" t="s">
        <v>166</v>
      </c>
      <c r="G124" s="46" t="s">
        <v>409</v>
      </c>
      <c r="H124" s="15">
        <v>879</v>
      </c>
      <c r="I124" s="15">
        <v>899</v>
      </c>
      <c r="J124" s="15">
        <v>899</v>
      </c>
      <c r="K124" s="117">
        <v>950</v>
      </c>
      <c r="L124" s="15">
        <v>0</v>
      </c>
      <c r="M124" s="15">
        <v>0</v>
      </c>
      <c r="N124" s="15">
        <v>0</v>
      </c>
      <c r="O124" s="15">
        <v>0</v>
      </c>
      <c r="P124" s="121">
        <f t="shared" si="15"/>
        <v>470</v>
      </c>
      <c r="Q124" s="121">
        <f t="shared" si="16"/>
        <v>470</v>
      </c>
      <c r="R124" s="121">
        <f t="shared" si="17"/>
        <v>230</v>
      </c>
      <c r="S124" s="121">
        <f t="shared" si="18"/>
        <v>230</v>
      </c>
      <c r="T124" s="121">
        <f t="shared" si="19"/>
        <v>0</v>
      </c>
      <c r="U124" s="121">
        <f t="shared" si="20"/>
        <v>0</v>
      </c>
      <c r="V124" s="117">
        <f t="shared" si="21"/>
        <v>800</v>
      </c>
      <c r="W124" s="117">
        <v>950</v>
      </c>
      <c r="X124" s="1" t="s">
        <v>1</v>
      </c>
      <c r="Y124" s="108" t="s">
        <v>1</v>
      </c>
      <c r="Z124" s="2" t="s">
        <v>1</v>
      </c>
      <c r="AA124" s="107" t="s">
        <v>1</v>
      </c>
      <c r="AB124" s="2" t="s">
        <v>1</v>
      </c>
    </row>
    <row r="125" spans="1:28" ht="30.15" customHeight="1" x14ac:dyDescent="0.25">
      <c r="A125" s="56" t="s">
        <v>17</v>
      </c>
      <c r="B125" s="57">
        <v>43313</v>
      </c>
      <c r="C125" s="58" t="s">
        <v>34</v>
      </c>
      <c r="D125" s="116" t="s">
        <v>3</v>
      </c>
      <c r="E125" s="116" t="s">
        <v>259</v>
      </c>
      <c r="F125" s="116" t="s">
        <v>166</v>
      </c>
      <c r="G125" s="46" t="s">
        <v>409</v>
      </c>
      <c r="H125" s="15">
        <v>879</v>
      </c>
      <c r="I125" s="15">
        <v>899</v>
      </c>
      <c r="J125" s="15">
        <v>899</v>
      </c>
      <c r="K125" s="117">
        <v>950</v>
      </c>
      <c r="L125" s="15">
        <v>0</v>
      </c>
      <c r="M125" s="15">
        <v>0</v>
      </c>
      <c r="N125" s="15">
        <v>0</v>
      </c>
      <c r="O125" s="15">
        <v>0</v>
      </c>
      <c r="P125" s="121">
        <f t="shared" si="15"/>
        <v>470</v>
      </c>
      <c r="Q125" s="121">
        <f t="shared" si="16"/>
        <v>470</v>
      </c>
      <c r="R125" s="121">
        <f t="shared" si="17"/>
        <v>230</v>
      </c>
      <c r="S125" s="121">
        <f t="shared" si="18"/>
        <v>230</v>
      </c>
      <c r="T125" s="121">
        <f t="shared" si="19"/>
        <v>0</v>
      </c>
      <c r="U125" s="121">
        <f t="shared" si="20"/>
        <v>0</v>
      </c>
      <c r="V125" s="117">
        <f t="shared" si="21"/>
        <v>800</v>
      </c>
      <c r="W125" s="117">
        <v>950</v>
      </c>
      <c r="X125" s="1" t="s">
        <v>1</v>
      </c>
      <c r="Y125" s="108" t="s">
        <v>1</v>
      </c>
      <c r="Z125" s="2" t="s">
        <v>1</v>
      </c>
      <c r="AA125" s="107" t="s">
        <v>1</v>
      </c>
      <c r="AB125" s="2" t="s">
        <v>1</v>
      </c>
    </row>
    <row r="126" spans="1:28" ht="30.15" customHeight="1" x14ac:dyDescent="0.25">
      <c r="A126" s="59" t="s">
        <v>18</v>
      </c>
      <c r="B126" s="57" t="s">
        <v>1</v>
      </c>
      <c r="C126" s="58" t="s">
        <v>34</v>
      </c>
      <c r="D126" s="116" t="s">
        <v>3</v>
      </c>
      <c r="E126" s="116" t="s">
        <v>167</v>
      </c>
      <c r="F126" s="116" t="s">
        <v>166</v>
      </c>
      <c r="G126" s="46" t="s">
        <v>409</v>
      </c>
      <c r="H126" s="15">
        <v>879</v>
      </c>
      <c r="I126" s="15">
        <v>899</v>
      </c>
      <c r="J126" s="15">
        <v>899</v>
      </c>
      <c r="K126" s="117">
        <v>950</v>
      </c>
      <c r="L126" s="15">
        <v>0</v>
      </c>
      <c r="M126" s="15">
        <v>0</v>
      </c>
      <c r="N126" s="15">
        <v>0</v>
      </c>
      <c r="O126" s="15">
        <v>0</v>
      </c>
      <c r="P126" s="121">
        <f t="shared" si="15"/>
        <v>470</v>
      </c>
      <c r="Q126" s="121">
        <f t="shared" si="16"/>
        <v>470</v>
      </c>
      <c r="R126" s="121">
        <f t="shared" si="17"/>
        <v>230</v>
      </c>
      <c r="S126" s="121">
        <f t="shared" si="18"/>
        <v>230</v>
      </c>
      <c r="T126" s="121">
        <f t="shared" si="19"/>
        <v>0</v>
      </c>
      <c r="U126" s="121">
        <f t="shared" si="20"/>
        <v>0</v>
      </c>
      <c r="V126" s="117">
        <f t="shared" si="21"/>
        <v>800</v>
      </c>
      <c r="W126" s="117">
        <v>950</v>
      </c>
      <c r="X126" s="1" t="s">
        <v>1</v>
      </c>
      <c r="Y126" s="108" t="s">
        <v>1</v>
      </c>
      <c r="Z126" s="2" t="s">
        <v>1</v>
      </c>
      <c r="AA126" s="107" t="s">
        <v>1</v>
      </c>
      <c r="AB126" s="2" t="s">
        <v>1</v>
      </c>
    </row>
    <row r="127" spans="1:28" ht="30.15" customHeight="1" x14ac:dyDescent="0.25">
      <c r="A127" s="59" t="s">
        <v>18</v>
      </c>
      <c r="B127" s="57" t="s">
        <v>1</v>
      </c>
      <c r="C127" s="58" t="s">
        <v>34</v>
      </c>
      <c r="D127" s="116" t="s">
        <v>3</v>
      </c>
      <c r="E127" s="116" t="s">
        <v>168</v>
      </c>
      <c r="F127" s="116" t="s">
        <v>166</v>
      </c>
      <c r="G127" s="46" t="s">
        <v>409</v>
      </c>
      <c r="H127" s="15">
        <v>879</v>
      </c>
      <c r="I127" s="15">
        <v>899</v>
      </c>
      <c r="J127" s="15">
        <v>899</v>
      </c>
      <c r="K127" s="117">
        <v>950</v>
      </c>
      <c r="L127" s="15">
        <v>0</v>
      </c>
      <c r="M127" s="15">
        <v>0</v>
      </c>
      <c r="N127" s="15">
        <v>0</v>
      </c>
      <c r="O127" s="15">
        <v>0</v>
      </c>
      <c r="P127" s="121">
        <f t="shared" si="15"/>
        <v>470</v>
      </c>
      <c r="Q127" s="121">
        <f t="shared" si="16"/>
        <v>470</v>
      </c>
      <c r="R127" s="121">
        <f t="shared" si="17"/>
        <v>230</v>
      </c>
      <c r="S127" s="121">
        <f t="shared" si="18"/>
        <v>230</v>
      </c>
      <c r="T127" s="121">
        <f t="shared" si="19"/>
        <v>0</v>
      </c>
      <c r="U127" s="121">
        <f t="shared" si="20"/>
        <v>0</v>
      </c>
      <c r="V127" s="117">
        <f t="shared" si="21"/>
        <v>800</v>
      </c>
      <c r="W127" s="117">
        <v>950</v>
      </c>
      <c r="X127" s="1" t="s">
        <v>1</v>
      </c>
      <c r="Y127" s="108" t="s">
        <v>1</v>
      </c>
      <c r="Z127" s="2" t="s">
        <v>1</v>
      </c>
      <c r="AA127" s="107" t="s">
        <v>1</v>
      </c>
      <c r="AB127" s="2" t="s">
        <v>1</v>
      </c>
    </row>
    <row r="128" spans="1:28" ht="30.15" customHeight="1" x14ac:dyDescent="0.25">
      <c r="A128" s="59" t="s">
        <v>18</v>
      </c>
      <c r="B128" s="57" t="s">
        <v>1</v>
      </c>
      <c r="C128" s="58" t="s">
        <v>34</v>
      </c>
      <c r="D128" s="116" t="s">
        <v>3</v>
      </c>
      <c r="E128" s="116" t="s">
        <v>190</v>
      </c>
      <c r="F128" s="116" t="s">
        <v>185</v>
      </c>
      <c r="G128" s="46" t="s">
        <v>409</v>
      </c>
      <c r="H128" s="15">
        <v>879</v>
      </c>
      <c r="I128" s="117">
        <f t="shared" ref="I128:I133" si="23">J128</f>
        <v>902</v>
      </c>
      <c r="J128" s="117">
        <v>902</v>
      </c>
      <c r="K128" s="117">
        <v>950</v>
      </c>
      <c r="L128" s="15">
        <v>0</v>
      </c>
      <c r="M128" s="15">
        <v>0</v>
      </c>
      <c r="N128" s="15">
        <v>0</v>
      </c>
      <c r="O128" s="15">
        <v>0</v>
      </c>
      <c r="P128" s="121">
        <f t="shared" si="15"/>
        <v>470</v>
      </c>
      <c r="Q128" s="121">
        <f t="shared" si="16"/>
        <v>470</v>
      </c>
      <c r="R128" s="121">
        <f t="shared" si="17"/>
        <v>230</v>
      </c>
      <c r="S128" s="121">
        <f t="shared" si="18"/>
        <v>230</v>
      </c>
      <c r="T128" s="121">
        <f t="shared" si="19"/>
        <v>0</v>
      </c>
      <c r="U128" s="121">
        <f t="shared" si="20"/>
        <v>0</v>
      </c>
      <c r="V128" s="117">
        <f t="shared" si="21"/>
        <v>800</v>
      </c>
      <c r="W128" s="117">
        <v>950</v>
      </c>
      <c r="X128" s="1" t="s">
        <v>1</v>
      </c>
      <c r="Y128" s="108" t="s">
        <v>1</v>
      </c>
      <c r="Z128" s="2" t="s">
        <v>1</v>
      </c>
      <c r="AA128" s="107" t="s">
        <v>1</v>
      </c>
      <c r="AB128" s="2" t="s">
        <v>1</v>
      </c>
    </row>
    <row r="129" spans="1:28" ht="30.15" customHeight="1" x14ac:dyDescent="0.25">
      <c r="A129" s="59" t="s">
        <v>18</v>
      </c>
      <c r="B129" s="57" t="s">
        <v>1</v>
      </c>
      <c r="C129" s="58" t="s">
        <v>34</v>
      </c>
      <c r="D129" s="116" t="s">
        <v>3</v>
      </c>
      <c r="E129" s="116" t="s">
        <v>179</v>
      </c>
      <c r="F129" s="116" t="s">
        <v>185</v>
      </c>
      <c r="G129" s="46" t="s">
        <v>409</v>
      </c>
      <c r="H129" s="15">
        <v>879</v>
      </c>
      <c r="I129" s="117">
        <f t="shared" si="23"/>
        <v>902</v>
      </c>
      <c r="J129" s="117">
        <v>902</v>
      </c>
      <c r="K129" s="117">
        <v>950</v>
      </c>
      <c r="L129" s="15">
        <v>0</v>
      </c>
      <c r="M129" s="15">
        <v>0</v>
      </c>
      <c r="N129" s="15">
        <v>0</v>
      </c>
      <c r="O129" s="15">
        <v>0</v>
      </c>
      <c r="P129" s="121">
        <f t="shared" si="15"/>
        <v>470</v>
      </c>
      <c r="Q129" s="121">
        <f t="shared" si="16"/>
        <v>470</v>
      </c>
      <c r="R129" s="121">
        <f t="shared" si="17"/>
        <v>230</v>
      </c>
      <c r="S129" s="121">
        <f t="shared" si="18"/>
        <v>230</v>
      </c>
      <c r="T129" s="121">
        <f t="shared" si="19"/>
        <v>0</v>
      </c>
      <c r="U129" s="121">
        <f t="shared" si="20"/>
        <v>0</v>
      </c>
      <c r="V129" s="117">
        <f t="shared" si="21"/>
        <v>800</v>
      </c>
      <c r="W129" s="117">
        <v>950</v>
      </c>
      <c r="X129" s="1" t="s">
        <v>1</v>
      </c>
      <c r="Y129" s="108" t="s">
        <v>1</v>
      </c>
      <c r="Z129" s="2" t="s">
        <v>1</v>
      </c>
      <c r="AA129" s="107" t="s">
        <v>1</v>
      </c>
      <c r="AB129" s="2" t="s">
        <v>1</v>
      </c>
    </row>
    <row r="130" spans="1:28" ht="30.15" customHeight="1" x14ac:dyDescent="0.25">
      <c r="A130" s="59" t="s">
        <v>18</v>
      </c>
      <c r="B130" s="57" t="s">
        <v>1</v>
      </c>
      <c r="C130" s="58" t="s">
        <v>34</v>
      </c>
      <c r="D130" s="116" t="s">
        <v>3</v>
      </c>
      <c r="E130" s="116" t="s">
        <v>204</v>
      </c>
      <c r="F130" s="116" t="s">
        <v>185</v>
      </c>
      <c r="G130" s="46" t="s">
        <v>409</v>
      </c>
      <c r="H130" s="15">
        <v>879</v>
      </c>
      <c r="I130" s="117">
        <f t="shared" si="23"/>
        <v>902</v>
      </c>
      <c r="J130" s="117">
        <v>902</v>
      </c>
      <c r="K130" s="117">
        <v>950</v>
      </c>
      <c r="L130" s="15">
        <v>0</v>
      </c>
      <c r="M130" s="15">
        <v>0</v>
      </c>
      <c r="N130" s="15">
        <v>0</v>
      </c>
      <c r="O130" s="15">
        <v>0</v>
      </c>
      <c r="P130" s="121">
        <f t="shared" si="15"/>
        <v>470</v>
      </c>
      <c r="Q130" s="121">
        <f t="shared" si="16"/>
        <v>470</v>
      </c>
      <c r="R130" s="121">
        <f t="shared" si="17"/>
        <v>230</v>
      </c>
      <c r="S130" s="121">
        <f t="shared" si="18"/>
        <v>230</v>
      </c>
      <c r="T130" s="121">
        <f t="shared" si="19"/>
        <v>0</v>
      </c>
      <c r="U130" s="121">
        <f t="shared" si="20"/>
        <v>0</v>
      </c>
      <c r="V130" s="117">
        <f t="shared" si="21"/>
        <v>800</v>
      </c>
      <c r="W130" s="117">
        <v>950</v>
      </c>
      <c r="X130" s="1" t="s">
        <v>1</v>
      </c>
      <c r="Y130" s="108" t="s">
        <v>1</v>
      </c>
      <c r="Z130" s="2" t="s">
        <v>1</v>
      </c>
      <c r="AA130" s="107" t="s">
        <v>1</v>
      </c>
      <c r="AB130" s="2" t="s">
        <v>1</v>
      </c>
    </row>
    <row r="131" spans="1:28" ht="30.15" customHeight="1" x14ac:dyDescent="0.25">
      <c r="A131" s="56" t="s">
        <v>17</v>
      </c>
      <c r="B131" s="57">
        <v>43313</v>
      </c>
      <c r="C131" s="58" t="s">
        <v>34</v>
      </c>
      <c r="D131" s="116" t="s">
        <v>3</v>
      </c>
      <c r="E131" s="116" t="s">
        <v>260</v>
      </c>
      <c r="F131" s="116" t="s">
        <v>185</v>
      </c>
      <c r="G131" s="46" t="s">
        <v>409</v>
      </c>
      <c r="H131" s="15">
        <v>879</v>
      </c>
      <c r="I131" s="117">
        <f t="shared" si="23"/>
        <v>902</v>
      </c>
      <c r="J131" s="117">
        <v>902</v>
      </c>
      <c r="K131" s="117">
        <v>950</v>
      </c>
      <c r="L131" s="15">
        <v>0</v>
      </c>
      <c r="M131" s="15">
        <v>0</v>
      </c>
      <c r="N131" s="15">
        <v>0</v>
      </c>
      <c r="O131" s="15">
        <v>0</v>
      </c>
      <c r="P131" s="121">
        <f t="shared" si="15"/>
        <v>470</v>
      </c>
      <c r="Q131" s="121">
        <f t="shared" si="16"/>
        <v>470</v>
      </c>
      <c r="R131" s="121">
        <f t="shared" si="17"/>
        <v>230</v>
      </c>
      <c r="S131" s="121">
        <f t="shared" si="18"/>
        <v>230</v>
      </c>
      <c r="T131" s="121">
        <f t="shared" si="19"/>
        <v>0</v>
      </c>
      <c r="U131" s="121">
        <f t="shared" si="20"/>
        <v>0</v>
      </c>
      <c r="V131" s="117">
        <f t="shared" si="21"/>
        <v>800</v>
      </c>
      <c r="W131" s="117">
        <v>950</v>
      </c>
      <c r="X131" s="1" t="s">
        <v>1</v>
      </c>
      <c r="Y131" s="108" t="s">
        <v>1</v>
      </c>
      <c r="Z131" s="2" t="s">
        <v>1</v>
      </c>
      <c r="AA131" s="107" t="s">
        <v>1</v>
      </c>
      <c r="AB131" s="2" t="s">
        <v>1</v>
      </c>
    </row>
    <row r="132" spans="1:28" ht="30.15" customHeight="1" x14ac:dyDescent="0.25">
      <c r="A132" s="56" t="s">
        <v>17</v>
      </c>
      <c r="B132" s="57">
        <v>43405</v>
      </c>
      <c r="C132" s="58" t="s">
        <v>34</v>
      </c>
      <c r="D132" s="116" t="s">
        <v>3</v>
      </c>
      <c r="E132" s="116" t="s">
        <v>180</v>
      </c>
      <c r="F132" s="116" t="s">
        <v>185</v>
      </c>
      <c r="G132" s="46" t="s">
        <v>409</v>
      </c>
      <c r="H132" s="15">
        <v>879</v>
      </c>
      <c r="I132" s="117">
        <f t="shared" si="23"/>
        <v>902</v>
      </c>
      <c r="J132" s="117">
        <v>902</v>
      </c>
      <c r="K132" s="117">
        <v>950</v>
      </c>
      <c r="L132" s="15">
        <v>0</v>
      </c>
      <c r="M132" s="15">
        <v>0</v>
      </c>
      <c r="N132" s="15">
        <v>0</v>
      </c>
      <c r="O132" s="15">
        <v>0</v>
      </c>
      <c r="P132" s="121">
        <f t="shared" si="15"/>
        <v>470</v>
      </c>
      <c r="Q132" s="121">
        <f t="shared" si="16"/>
        <v>470</v>
      </c>
      <c r="R132" s="121">
        <f t="shared" si="17"/>
        <v>230</v>
      </c>
      <c r="S132" s="121">
        <f t="shared" si="18"/>
        <v>230</v>
      </c>
      <c r="T132" s="121">
        <f t="shared" si="19"/>
        <v>0</v>
      </c>
      <c r="U132" s="121">
        <f t="shared" si="20"/>
        <v>0</v>
      </c>
      <c r="V132" s="117">
        <f t="shared" si="21"/>
        <v>800</v>
      </c>
      <c r="W132" s="117">
        <v>950</v>
      </c>
      <c r="X132" s="1" t="s">
        <v>1</v>
      </c>
      <c r="Y132" s="108" t="s">
        <v>1</v>
      </c>
      <c r="Z132" s="2" t="s">
        <v>1</v>
      </c>
      <c r="AA132" s="107" t="s">
        <v>1</v>
      </c>
      <c r="AB132" s="2" t="s">
        <v>1</v>
      </c>
    </row>
    <row r="133" spans="1:28" ht="30.15" customHeight="1" x14ac:dyDescent="0.25">
      <c r="A133" s="59" t="s">
        <v>18</v>
      </c>
      <c r="B133" s="57" t="s">
        <v>1</v>
      </c>
      <c r="C133" s="58" t="s">
        <v>34</v>
      </c>
      <c r="D133" s="116" t="s">
        <v>3</v>
      </c>
      <c r="E133" s="116" t="s">
        <v>181</v>
      </c>
      <c r="F133" s="116" t="s">
        <v>185</v>
      </c>
      <c r="G133" s="46" t="s">
        <v>409</v>
      </c>
      <c r="H133" s="15">
        <v>879</v>
      </c>
      <c r="I133" s="117">
        <f t="shared" si="23"/>
        <v>902</v>
      </c>
      <c r="J133" s="117">
        <v>902</v>
      </c>
      <c r="K133" s="117">
        <v>950</v>
      </c>
      <c r="L133" s="15">
        <v>0</v>
      </c>
      <c r="M133" s="15">
        <v>0</v>
      </c>
      <c r="N133" s="15">
        <v>0</v>
      </c>
      <c r="O133" s="15">
        <v>0</v>
      </c>
      <c r="P133" s="121">
        <f t="shared" si="15"/>
        <v>470</v>
      </c>
      <c r="Q133" s="121">
        <f t="shared" si="16"/>
        <v>470</v>
      </c>
      <c r="R133" s="121">
        <f t="shared" si="17"/>
        <v>230</v>
      </c>
      <c r="S133" s="121">
        <f t="shared" si="18"/>
        <v>230</v>
      </c>
      <c r="T133" s="121">
        <f t="shared" si="19"/>
        <v>0</v>
      </c>
      <c r="U133" s="121">
        <f t="shared" si="20"/>
        <v>0</v>
      </c>
      <c r="V133" s="117">
        <f t="shared" si="21"/>
        <v>800</v>
      </c>
      <c r="W133" s="117">
        <v>950</v>
      </c>
      <c r="X133" s="1" t="s">
        <v>1</v>
      </c>
      <c r="Y133" s="108" t="s">
        <v>1</v>
      </c>
      <c r="Z133" s="2" t="s">
        <v>1</v>
      </c>
      <c r="AA133" s="107" t="s">
        <v>1</v>
      </c>
      <c r="AB133" s="2" t="s">
        <v>1</v>
      </c>
    </row>
    <row r="134" spans="1:28" ht="30.15" customHeight="1" x14ac:dyDescent="0.25">
      <c r="A134" s="59" t="s">
        <v>18</v>
      </c>
      <c r="B134" s="56" t="s">
        <v>1</v>
      </c>
      <c r="C134" s="58" t="s">
        <v>34</v>
      </c>
      <c r="D134" s="116" t="s">
        <v>3</v>
      </c>
      <c r="E134" s="116" t="s">
        <v>315</v>
      </c>
      <c r="F134" s="116" t="s">
        <v>303</v>
      </c>
      <c r="G134" s="46" t="s">
        <v>409</v>
      </c>
      <c r="H134" s="15">
        <v>779</v>
      </c>
      <c r="I134" s="15">
        <v>789</v>
      </c>
      <c r="J134" s="15">
        <v>789</v>
      </c>
      <c r="K134" s="117">
        <v>845</v>
      </c>
      <c r="L134" s="15">
        <v>0</v>
      </c>
      <c r="M134" s="15">
        <v>0</v>
      </c>
      <c r="N134" s="15">
        <v>0</v>
      </c>
      <c r="O134" s="15">
        <v>0</v>
      </c>
      <c r="P134" s="121">
        <f t="shared" si="15"/>
        <v>365</v>
      </c>
      <c r="Q134" s="121">
        <f t="shared" si="16"/>
        <v>365</v>
      </c>
      <c r="R134" s="121">
        <f t="shared" si="17"/>
        <v>125</v>
      </c>
      <c r="S134" s="121">
        <f t="shared" si="18"/>
        <v>125</v>
      </c>
      <c r="T134" s="121">
        <f t="shared" si="19"/>
        <v>0</v>
      </c>
      <c r="U134" s="121">
        <f t="shared" si="20"/>
        <v>0</v>
      </c>
      <c r="V134" s="117">
        <f t="shared" si="21"/>
        <v>695</v>
      </c>
      <c r="W134" s="117">
        <v>845</v>
      </c>
      <c r="X134" s="1" t="s">
        <v>1</v>
      </c>
      <c r="Y134" s="2" t="s">
        <v>1</v>
      </c>
      <c r="Z134" s="2" t="s">
        <v>1</v>
      </c>
      <c r="AA134" s="107" t="s">
        <v>1</v>
      </c>
      <c r="AB134" s="2" t="s">
        <v>1</v>
      </c>
    </row>
    <row r="135" spans="1:28" ht="30.15" customHeight="1" x14ac:dyDescent="0.25">
      <c r="A135" s="59" t="s">
        <v>18</v>
      </c>
      <c r="B135" s="56" t="s">
        <v>1</v>
      </c>
      <c r="C135" s="58" t="s">
        <v>34</v>
      </c>
      <c r="D135" s="116" t="s">
        <v>3</v>
      </c>
      <c r="E135" s="116" t="s">
        <v>307</v>
      </c>
      <c r="F135" s="116" t="s">
        <v>303</v>
      </c>
      <c r="G135" s="46" t="s">
        <v>409</v>
      </c>
      <c r="H135" s="15">
        <v>779</v>
      </c>
      <c r="I135" s="15">
        <v>789</v>
      </c>
      <c r="J135" s="15">
        <v>789</v>
      </c>
      <c r="K135" s="117">
        <v>845</v>
      </c>
      <c r="L135" s="15">
        <v>0</v>
      </c>
      <c r="M135" s="15">
        <v>0</v>
      </c>
      <c r="N135" s="15">
        <v>0</v>
      </c>
      <c r="O135" s="15">
        <v>0</v>
      </c>
      <c r="P135" s="121">
        <f t="shared" si="15"/>
        <v>365</v>
      </c>
      <c r="Q135" s="121">
        <f t="shared" si="16"/>
        <v>365</v>
      </c>
      <c r="R135" s="121">
        <f t="shared" si="17"/>
        <v>125</v>
      </c>
      <c r="S135" s="121">
        <f t="shared" si="18"/>
        <v>125</v>
      </c>
      <c r="T135" s="121">
        <f t="shared" si="19"/>
        <v>0</v>
      </c>
      <c r="U135" s="121">
        <f t="shared" si="20"/>
        <v>0</v>
      </c>
      <c r="V135" s="117">
        <f t="shared" si="21"/>
        <v>695</v>
      </c>
      <c r="W135" s="117">
        <v>845</v>
      </c>
      <c r="X135" s="1" t="s">
        <v>1</v>
      </c>
      <c r="Y135" s="2" t="s">
        <v>1</v>
      </c>
      <c r="Z135" s="2" t="s">
        <v>1</v>
      </c>
      <c r="AA135" s="107" t="s">
        <v>1</v>
      </c>
      <c r="AB135" s="2" t="s">
        <v>1</v>
      </c>
    </row>
    <row r="136" spans="1:28" ht="30.15" customHeight="1" x14ac:dyDescent="0.25">
      <c r="A136" s="59" t="s">
        <v>18</v>
      </c>
      <c r="B136" s="56" t="s">
        <v>1</v>
      </c>
      <c r="C136" s="58" t="s">
        <v>34</v>
      </c>
      <c r="D136" s="116" t="s">
        <v>3</v>
      </c>
      <c r="E136" s="116" t="s">
        <v>382</v>
      </c>
      <c r="F136" s="116" t="s">
        <v>303</v>
      </c>
      <c r="G136" s="46" t="s">
        <v>413</v>
      </c>
      <c r="H136" s="15">
        <v>779</v>
      </c>
      <c r="I136" s="15">
        <v>789</v>
      </c>
      <c r="J136" s="15">
        <v>789</v>
      </c>
      <c r="K136" s="117">
        <v>845</v>
      </c>
      <c r="L136" s="15">
        <v>0</v>
      </c>
      <c r="M136" s="15">
        <v>0</v>
      </c>
      <c r="N136" s="15">
        <v>0</v>
      </c>
      <c r="O136" s="15">
        <v>0</v>
      </c>
      <c r="P136" s="121">
        <f t="shared" si="15"/>
        <v>365</v>
      </c>
      <c r="Q136" s="121">
        <f t="shared" si="16"/>
        <v>365</v>
      </c>
      <c r="R136" s="121">
        <f t="shared" si="17"/>
        <v>125</v>
      </c>
      <c r="S136" s="121">
        <f t="shared" si="18"/>
        <v>125</v>
      </c>
      <c r="T136" s="121">
        <f t="shared" si="19"/>
        <v>0</v>
      </c>
      <c r="U136" s="121">
        <f t="shared" si="20"/>
        <v>0</v>
      </c>
      <c r="V136" s="117">
        <f t="shared" si="21"/>
        <v>695</v>
      </c>
      <c r="W136" s="117">
        <v>845</v>
      </c>
      <c r="X136" s="1" t="s">
        <v>1</v>
      </c>
      <c r="Y136" s="2" t="s">
        <v>1</v>
      </c>
      <c r="Z136" s="2" t="s">
        <v>1</v>
      </c>
      <c r="AA136" s="107" t="s">
        <v>1</v>
      </c>
      <c r="AB136" s="2" t="s">
        <v>1</v>
      </c>
    </row>
    <row r="137" spans="1:28" ht="30.15" customHeight="1" x14ac:dyDescent="0.25">
      <c r="A137" s="59" t="s">
        <v>18</v>
      </c>
      <c r="B137" s="56" t="s">
        <v>1</v>
      </c>
      <c r="C137" s="58" t="s">
        <v>34</v>
      </c>
      <c r="D137" s="116" t="s">
        <v>3</v>
      </c>
      <c r="E137" s="116" t="s">
        <v>308</v>
      </c>
      <c r="F137" s="116" t="s">
        <v>303</v>
      </c>
      <c r="G137" s="46" t="s">
        <v>409</v>
      </c>
      <c r="H137" s="15">
        <v>779</v>
      </c>
      <c r="I137" s="15">
        <v>789</v>
      </c>
      <c r="J137" s="15">
        <v>789</v>
      </c>
      <c r="K137" s="117">
        <v>845</v>
      </c>
      <c r="L137" s="15">
        <v>0</v>
      </c>
      <c r="M137" s="15">
        <v>0</v>
      </c>
      <c r="N137" s="15">
        <v>0</v>
      </c>
      <c r="O137" s="15">
        <v>0</v>
      </c>
      <c r="P137" s="121">
        <f t="shared" si="15"/>
        <v>365</v>
      </c>
      <c r="Q137" s="121">
        <f t="shared" si="16"/>
        <v>365</v>
      </c>
      <c r="R137" s="121">
        <f t="shared" si="17"/>
        <v>125</v>
      </c>
      <c r="S137" s="121">
        <f t="shared" si="18"/>
        <v>125</v>
      </c>
      <c r="T137" s="121">
        <f t="shared" si="19"/>
        <v>0</v>
      </c>
      <c r="U137" s="121">
        <f t="shared" si="20"/>
        <v>0</v>
      </c>
      <c r="V137" s="117">
        <f t="shared" si="21"/>
        <v>695</v>
      </c>
      <c r="W137" s="117">
        <v>845</v>
      </c>
      <c r="X137" s="1" t="s">
        <v>1</v>
      </c>
      <c r="Y137" s="2" t="s">
        <v>1</v>
      </c>
      <c r="Z137" s="2" t="s">
        <v>1</v>
      </c>
      <c r="AA137" s="107" t="s">
        <v>1</v>
      </c>
      <c r="AB137" s="2" t="s">
        <v>1</v>
      </c>
    </row>
    <row r="138" spans="1:28" ht="30.15" customHeight="1" x14ac:dyDescent="0.25">
      <c r="A138" s="59" t="s">
        <v>18</v>
      </c>
      <c r="B138" s="56" t="s">
        <v>1</v>
      </c>
      <c r="C138" s="58" t="s">
        <v>34</v>
      </c>
      <c r="D138" s="116" t="s">
        <v>3</v>
      </c>
      <c r="E138" s="116" t="s">
        <v>316</v>
      </c>
      <c r="F138" s="116" t="s">
        <v>304</v>
      </c>
      <c r="G138" s="46" t="s">
        <v>409</v>
      </c>
      <c r="H138" s="15">
        <v>979</v>
      </c>
      <c r="I138" s="15">
        <v>999</v>
      </c>
      <c r="J138" s="15">
        <v>999</v>
      </c>
      <c r="K138" s="117">
        <v>1060</v>
      </c>
      <c r="L138" s="15">
        <v>0</v>
      </c>
      <c r="M138" s="15">
        <v>0</v>
      </c>
      <c r="N138" s="15">
        <v>0</v>
      </c>
      <c r="O138" s="15">
        <v>0</v>
      </c>
      <c r="P138" s="121">
        <f t="shared" si="15"/>
        <v>580</v>
      </c>
      <c r="Q138" s="121">
        <f t="shared" si="16"/>
        <v>580</v>
      </c>
      <c r="R138" s="121">
        <f t="shared" si="17"/>
        <v>340</v>
      </c>
      <c r="S138" s="121">
        <f t="shared" si="18"/>
        <v>340</v>
      </c>
      <c r="T138" s="121">
        <f t="shared" si="19"/>
        <v>100</v>
      </c>
      <c r="U138" s="121">
        <f t="shared" si="20"/>
        <v>100</v>
      </c>
      <c r="V138" s="117">
        <f t="shared" si="21"/>
        <v>910</v>
      </c>
      <c r="W138" s="117">
        <v>1060</v>
      </c>
      <c r="X138" s="1" t="s">
        <v>1</v>
      </c>
      <c r="Y138" s="2" t="s">
        <v>1</v>
      </c>
      <c r="Z138" s="2" t="s">
        <v>1</v>
      </c>
      <c r="AA138" s="107" t="s">
        <v>1</v>
      </c>
      <c r="AB138" s="2" t="s">
        <v>1</v>
      </c>
    </row>
    <row r="139" spans="1:28" ht="30.15" customHeight="1" x14ac:dyDescent="0.25">
      <c r="A139" s="59" t="s">
        <v>18</v>
      </c>
      <c r="B139" s="56" t="s">
        <v>1</v>
      </c>
      <c r="C139" s="58" t="s">
        <v>34</v>
      </c>
      <c r="D139" s="116" t="s">
        <v>3</v>
      </c>
      <c r="E139" s="116" t="s">
        <v>309</v>
      </c>
      <c r="F139" s="116" t="s">
        <v>304</v>
      </c>
      <c r="G139" s="46" t="s">
        <v>409</v>
      </c>
      <c r="H139" s="15">
        <v>979</v>
      </c>
      <c r="I139" s="15">
        <v>999</v>
      </c>
      <c r="J139" s="15">
        <v>999</v>
      </c>
      <c r="K139" s="117">
        <v>1060</v>
      </c>
      <c r="L139" s="15">
        <v>0</v>
      </c>
      <c r="M139" s="15">
        <v>0</v>
      </c>
      <c r="N139" s="15">
        <v>0</v>
      </c>
      <c r="O139" s="15">
        <v>0</v>
      </c>
      <c r="P139" s="121">
        <f t="shared" si="15"/>
        <v>580</v>
      </c>
      <c r="Q139" s="121">
        <f t="shared" si="16"/>
        <v>580</v>
      </c>
      <c r="R139" s="121">
        <f t="shared" si="17"/>
        <v>340</v>
      </c>
      <c r="S139" s="121">
        <f t="shared" si="18"/>
        <v>340</v>
      </c>
      <c r="T139" s="121">
        <f t="shared" si="19"/>
        <v>100</v>
      </c>
      <c r="U139" s="121">
        <f t="shared" si="20"/>
        <v>100</v>
      </c>
      <c r="V139" s="117">
        <f t="shared" si="21"/>
        <v>910</v>
      </c>
      <c r="W139" s="117">
        <v>1060</v>
      </c>
      <c r="X139" s="1" t="s">
        <v>1</v>
      </c>
      <c r="Y139" s="2" t="s">
        <v>1</v>
      </c>
      <c r="Z139" s="2" t="s">
        <v>1</v>
      </c>
      <c r="AA139" s="107" t="s">
        <v>1</v>
      </c>
      <c r="AB139" s="2" t="s">
        <v>1</v>
      </c>
    </row>
    <row r="140" spans="1:28" ht="30.15" customHeight="1" x14ac:dyDescent="0.25">
      <c r="A140" s="59" t="s">
        <v>18</v>
      </c>
      <c r="B140" s="56" t="s">
        <v>1</v>
      </c>
      <c r="C140" s="58" t="s">
        <v>34</v>
      </c>
      <c r="D140" s="116" t="s">
        <v>3</v>
      </c>
      <c r="E140" s="116" t="s">
        <v>384</v>
      </c>
      <c r="F140" s="116" t="s">
        <v>304</v>
      </c>
      <c r="G140" s="46" t="s">
        <v>414</v>
      </c>
      <c r="H140" s="15">
        <v>979</v>
      </c>
      <c r="I140" s="15">
        <v>999</v>
      </c>
      <c r="J140" s="15">
        <v>999</v>
      </c>
      <c r="K140" s="117">
        <v>1060</v>
      </c>
      <c r="L140" s="15">
        <v>0</v>
      </c>
      <c r="M140" s="15">
        <v>0</v>
      </c>
      <c r="N140" s="15">
        <v>0</v>
      </c>
      <c r="O140" s="15">
        <v>0</v>
      </c>
      <c r="P140" s="121">
        <f t="shared" si="15"/>
        <v>580</v>
      </c>
      <c r="Q140" s="121">
        <f t="shared" si="16"/>
        <v>580</v>
      </c>
      <c r="R140" s="121">
        <f t="shared" si="17"/>
        <v>340</v>
      </c>
      <c r="S140" s="121">
        <f t="shared" si="18"/>
        <v>340</v>
      </c>
      <c r="T140" s="121">
        <f t="shared" si="19"/>
        <v>100</v>
      </c>
      <c r="U140" s="121">
        <f t="shared" si="20"/>
        <v>100</v>
      </c>
      <c r="V140" s="117">
        <f t="shared" si="21"/>
        <v>910</v>
      </c>
      <c r="W140" s="117">
        <v>1060</v>
      </c>
      <c r="X140" s="1" t="s">
        <v>1</v>
      </c>
      <c r="Y140" s="2" t="s">
        <v>1</v>
      </c>
      <c r="Z140" s="2" t="s">
        <v>1</v>
      </c>
      <c r="AA140" s="107" t="s">
        <v>1</v>
      </c>
      <c r="AB140" s="2" t="s">
        <v>1</v>
      </c>
    </row>
    <row r="141" spans="1:28" ht="30.15" customHeight="1" x14ac:dyDescent="0.25">
      <c r="A141" s="59" t="s">
        <v>18</v>
      </c>
      <c r="B141" s="56" t="s">
        <v>1</v>
      </c>
      <c r="C141" s="58" t="s">
        <v>34</v>
      </c>
      <c r="D141" s="116" t="s">
        <v>3</v>
      </c>
      <c r="E141" s="116" t="s">
        <v>310</v>
      </c>
      <c r="F141" s="116" t="s">
        <v>304</v>
      </c>
      <c r="G141" s="46" t="s">
        <v>409</v>
      </c>
      <c r="H141" s="15">
        <v>979</v>
      </c>
      <c r="I141" s="15">
        <v>999</v>
      </c>
      <c r="J141" s="15">
        <v>999</v>
      </c>
      <c r="K141" s="117">
        <v>1060</v>
      </c>
      <c r="L141" s="15">
        <v>0</v>
      </c>
      <c r="M141" s="15">
        <v>0</v>
      </c>
      <c r="N141" s="15">
        <v>0</v>
      </c>
      <c r="O141" s="15">
        <v>0</v>
      </c>
      <c r="P141" s="121">
        <f t="shared" si="15"/>
        <v>580</v>
      </c>
      <c r="Q141" s="121">
        <f t="shared" si="16"/>
        <v>580</v>
      </c>
      <c r="R141" s="121">
        <f t="shared" si="17"/>
        <v>340</v>
      </c>
      <c r="S141" s="121">
        <f t="shared" si="18"/>
        <v>340</v>
      </c>
      <c r="T141" s="121">
        <f t="shared" si="19"/>
        <v>100</v>
      </c>
      <c r="U141" s="121">
        <f t="shared" si="20"/>
        <v>100</v>
      </c>
      <c r="V141" s="117">
        <f t="shared" si="21"/>
        <v>910</v>
      </c>
      <c r="W141" s="117">
        <v>1060</v>
      </c>
      <c r="X141" s="1" t="s">
        <v>1</v>
      </c>
      <c r="Y141" s="2" t="s">
        <v>1</v>
      </c>
      <c r="Z141" s="2" t="s">
        <v>1</v>
      </c>
      <c r="AA141" s="107" t="s">
        <v>1</v>
      </c>
      <c r="AB141" s="2" t="s">
        <v>1</v>
      </c>
    </row>
    <row r="142" spans="1:28" ht="30.15" customHeight="1" x14ac:dyDescent="0.25">
      <c r="A142" s="59" t="s">
        <v>18</v>
      </c>
      <c r="B142" s="56" t="s">
        <v>1</v>
      </c>
      <c r="C142" s="58" t="s">
        <v>34</v>
      </c>
      <c r="D142" s="116" t="s">
        <v>3</v>
      </c>
      <c r="E142" s="116" t="s">
        <v>317</v>
      </c>
      <c r="F142" s="116" t="s">
        <v>305</v>
      </c>
      <c r="G142" s="46" t="s">
        <v>409</v>
      </c>
      <c r="H142" s="15">
        <v>899</v>
      </c>
      <c r="I142" s="15">
        <v>919</v>
      </c>
      <c r="J142" s="15">
        <v>919</v>
      </c>
      <c r="K142" s="117">
        <v>960</v>
      </c>
      <c r="L142" s="15">
        <v>0</v>
      </c>
      <c r="M142" s="15">
        <v>0</v>
      </c>
      <c r="N142" s="15">
        <v>0</v>
      </c>
      <c r="O142" s="15">
        <v>0</v>
      </c>
      <c r="P142" s="121">
        <f t="shared" si="15"/>
        <v>480</v>
      </c>
      <c r="Q142" s="121">
        <f t="shared" si="16"/>
        <v>480</v>
      </c>
      <c r="R142" s="121">
        <f t="shared" si="17"/>
        <v>240</v>
      </c>
      <c r="S142" s="121">
        <f t="shared" si="18"/>
        <v>240</v>
      </c>
      <c r="T142" s="121">
        <f t="shared" si="19"/>
        <v>0</v>
      </c>
      <c r="U142" s="121">
        <f t="shared" si="20"/>
        <v>0</v>
      </c>
      <c r="V142" s="117">
        <f t="shared" si="21"/>
        <v>810</v>
      </c>
      <c r="W142" s="117">
        <v>960</v>
      </c>
      <c r="X142" s="1" t="s">
        <v>1</v>
      </c>
      <c r="Y142" s="2" t="s">
        <v>1</v>
      </c>
      <c r="Z142" s="2" t="s">
        <v>1</v>
      </c>
      <c r="AA142" s="107" t="s">
        <v>1</v>
      </c>
      <c r="AB142" s="2" t="s">
        <v>1</v>
      </c>
    </row>
    <row r="143" spans="1:28" ht="30.15" customHeight="1" x14ac:dyDescent="0.25">
      <c r="A143" s="59" t="s">
        <v>18</v>
      </c>
      <c r="B143" s="56" t="s">
        <v>1</v>
      </c>
      <c r="C143" s="58" t="s">
        <v>34</v>
      </c>
      <c r="D143" s="116" t="s">
        <v>3</v>
      </c>
      <c r="E143" s="116" t="s">
        <v>311</v>
      </c>
      <c r="F143" s="116" t="s">
        <v>305</v>
      </c>
      <c r="G143" s="46" t="s">
        <v>409</v>
      </c>
      <c r="H143" s="15">
        <v>899</v>
      </c>
      <c r="I143" s="15">
        <v>919</v>
      </c>
      <c r="J143" s="15">
        <v>919</v>
      </c>
      <c r="K143" s="117">
        <v>960</v>
      </c>
      <c r="L143" s="15">
        <v>0</v>
      </c>
      <c r="M143" s="15">
        <v>0</v>
      </c>
      <c r="N143" s="15">
        <v>0</v>
      </c>
      <c r="O143" s="15">
        <v>0</v>
      </c>
      <c r="P143" s="121">
        <f t="shared" si="15"/>
        <v>480</v>
      </c>
      <c r="Q143" s="121">
        <f t="shared" si="16"/>
        <v>480</v>
      </c>
      <c r="R143" s="121">
        <f t="shared" si="17"/>
        <v>240</v>
      </c>
      <c r="S143" s="121">
        <f t="shared" si="18"/>
        <v>240</v>
      </c>
      <c r="T143" s="121">
        <f t="shared" si="19"/>
        <v>0</v>
      </c>
      <c r="U143" s="121">
        <f t="shared" si="20"/>
        <v>0</v>
      </c>
      <c r="V143" s="117">
        <f t="shared" si="21"/>
        <v>810</v>
      </c>
      <c r="W143" s="117">
        <v>960</v>
      </c>
      <c r="X143" s="1" t="s">
        <v>1</v>
      </c>
      <c r="Y143" s="2" t="s">
        <v>1</v>
      </c>
      <c r="Z143" s="2" t="s">
        <v>1</v>
      </c>
      <c r="AA143" s="107" t="s">
        <v>1</v>
      </c>
      <c r="AB143" s="2" t="s">
        <v>1</v>
      </c>
    </row>
    <row r="144" spans="1:28" ht="30.15" customHeight="1" x14ac:dyDescent="0.25">
      <c r="A144" s="59" t="s">
        <v>18</v>
      </c>
      <c r="B144" s="56" t="s">
        <v>1</v>
      </c>
      <c r="C144" s="58" t="s">
        <v>34</v>
      </c>
      <c r="D144" s="116" t="s">
        <v>3</v>
      </c>
      <c r="E144" s="116" t="s">
        <v>383</v>
      </c>
      <c r="F144" s="116" t="s">
        <v>305</v>
      </c>
      <c r="G144" s="46" t="s">
        <v>413</v>
      </c>
      <c r="H144" s="15">
        <v>899</v>
      </c>
      <c r="I144" s="15">
        <v>919</v>
      </c>
      <c r="J144" s="15">
        <v>919</v>
      </c>
      <c r="K144" s="117">
        <v>960</v>
      </c>
      <c r="L144" s="15">
        <v>0</v>
      </c>
      <c r="M144" s="15">
        <v>0</v>
      </c>
      <c r="N144" s="15">
        <v>0</v>
      </c>
      <c r="O144" s="15">
        <v>0</v>
      </c>
      <c r="P144" s="121">
        <f t="shared" si="15"/>
        <v>480</v>
      </c>
      <c r="Q144" s="121">
        <f t="shared" si="16"/>
        <v>480</v>
      </c>
      <c r="R144" s="121">
        <f t="shared" si="17"/>
        <v>240</v>
      </c>
      <c r="S144" s="121">
        <f t="shared" si="18"/>
        <v>240</v>
      </c>
      <c r="T144" s="121">
        <f t="shared" si="19"/>
        <v>0</v>
      </c>
      <c r="U144" s="121">
        <f t="shared" si="20"/>
        <v>0</v>
      </c>
      <c r="V144" s="117">
        <f t="shared" si="21"/>
        <v>810</v>
      </c>
      <c r="W144" s="117">
        <v>960</v>
      </c>
      <c r="X144" s="1" t="s">
        <v>1</v>
      </c>
      <c r="Y144" s="2" t="s">
        <v>1</v>
      </c>
      <c r="Z144" s="2" t="s">
        <v>1</v>
      </c>
      <c r="AA144" s="107" t="s">
        <v>1</v>
      </c>
      <c r="AB144" s="2" t="s">
        <v>1</v>
      </c>
    </row>
    <row r="145" spans="1:28" ht="30.15" customHeight="1" x14ac:dyDescent="0.25">
      <c r="A145" s="59" t="s">
        <v>18</v>
      </c>
      <c r="B145" s="56" t="s">
        <v>1</v>
      </c>
      <c r="C145" s="58" t="s">
        <v>34</v>
      </c>
      <c r="D145" s="116" t="s">
        <v>3</v>
      </c>
      <c r="E145" s="116" t="s">
        <v>312</v>
      </c>
      <c r="F145" s="116" t="s">
        <v>305</v>
      </c>
      <c r="G145" s="46" t="s">
        <v>409</v>
      </c>
      <c r="H145" s="15">
        <v>899</v>
      </c>
      <c r="I145" s="15">
        <v>919</v>
      </c>
      <c r="J145" s="15">
        <v>919</v>
      </c>
      <c r="K145" s="117">
        <v>960</v>
      </c>
      <c r="L145" s="15">
        <v>0</v>
      </c>
      <c r="M145" s="15">
        <v>0</v>
      </c>
      <c r="N145" s="15">
        <v>0</v>
      </c>
      <c r="O145" s="15">
        <v>0</v>
      </c>
      <c r="P145" s="121">
        <f t="shared" si="15"/>
        <v>480</v>
      </c>
      <c r="Q145" s="121">
        <f t="shared" si="16"/>
        <v>480</v>
      </c>
      <c r="R145" s="121">
        <f t="shared" si="17"/>
        <v>240</v>
      </c>
      <c r="S145" s="121">
        <f t="shared" si="18"/>
        <v>240</v>
      </c>
      <c r="T145" s="121">
        <f t="shared" si="19"/>
        <v>0</v>
      </c>
      <c r="U145" s="121">
        <f t="shared" si="20"/>
        <v>0</v>
      </c>
      <c r="V145" s="117">
        <f t="shared" si="21"/>
        <v>810</v>
      </c>
      <c r="W145" s="117">
        <v>960</v>
      </c>
      <c r="X145" s="1" t="s">
        <v>1</v>
      </c>
      <c r="Y145" s="2" t="s">
        <v>1</v>
      </c>
      <c r="Z145" s="2" t="s">
        <v>1</v>
      </c>
      <c r="AA145" s="107" t="s">
        <v>1</v>
      </c>
      <c r="AB145" s="2" t="s">
        <v>1</v>
      </c>
    </row>
    <row r="146" spans="1:28" ht="30.15" customHeight="1" x14ac:dyDescent="0.25">
      <c r="A146" s="59" t="s">
        <v>18</v>
      </c>
      <c r="B146" s="56" t="s">
        <v>1</v>
      </c>
      <c r="C146" s="58" t="s">
        <v>34</v>
      </c>
      <c r="D146" s="116" t="s">
        <v>3</v>
      </c>
      <c r="E146" s="116" t="s">
        <v>318</v>
      </c>
      <c r="F146" s="116" t="s">
        <v>306</v>
      </c>
      <c r="G146" s="46" t="s">
        <v>409</v>
      </c>
      <c r="H146" s="15">
        <v>1099</v>
      </c>
      <c r="I146" s="15">
        <v>1119</v>
      </c>
      <c r="J146" s="15">
        <v>1119</v>
      </c>
      <c r="K146" s="117">
        <v>1190</v>
      </c>
      <c r="L146" s="15">
        <v>0</v>
      </c>
      <c r="M146" s="15">
        <v>0</v>
      </c>
      <c r="N146" s="15">
        <v>0</v>
      </c>
      <c r="O146" s="15">
        <v>0</v>
      </c>
      <c r="P146" s="121">
        <f t="shared" si="15"/>
        <v>710</v>
      </c>
      <c r="Q146" s="121">
        <f t="shared" si="16"/>
        <v>710</v>
      </c>
      <c r="R146" s="121">
        <f t="shared" si="17"/>
        <v>470</v>
      </c>
      <c r="S146" s="121">
        <f t="shared" si="18"/>
        <v>470</v>
      </c>
      <c r="T146" s="121">
        <f t="shared" si="19"/>
        <v>230</v>
      </c>
      <c r="U146" s="121">
        <f t="shared" si="20"/>
        <v>230</v>
      </c>
      <c r="V146" s="117">
        <f t="shared" si="21"/>
        <v>1040</v>
      </c>
      <c r="W146" s="117">
        <v>1190</v>
      </c>
      <c r="X146" s="1" t="s">
        <v>1</v>
      </c>
      <c r="Y146" s="2" t="s">
        <v>1</v>
      </c>
      <c r="Z146" s="2" t="s">
        <v>1</v>
      </c>
      <c r="AA146" s="107" t="s">
        <v>1</v>
      </c>
      <c r="AB146" s="2" t="s">
        <v>1</v>
      </c>
    </row>
    <row r="147" spans="1:28" ht="30.15" customHeight="1" x14ac:dyDescent="0.25">
      <c r="A147" s="59" t="s">
        <v>18</v>
      </c>
      <c r="B147" s="56" t="s">
        <v>1</v>
      </c>
      <c r="C147" s="58" t="s">
        <v>34</v>
      </c>
      <c r="D147" s="116" t="s">
        <v>3</v>
      </c>
      <c r="E147" s="116" t="s">
        <v>313</v>
      </c>
      <c r="F147" s="116" t="s">
        <v>306</v>
      </c>
      <c r="G147" s="46" t="s">
        <v>409</v>
      </c>
      <c r="H147" s="15">
        <v>1099</v>
      </c>
      <c r="I147" s="15">
        <v>1119</v>
      </c>
      <c r="J147" s="15">
        <v>1119</v>
      </c>
      <c r="K147" s="117">
        <v>1190</v>
      </c>
      <c r="L147" s="15">
        <v>0</v>
      </c>
      <c r="M147" s="15">
        <v>0</v>
      </c>
      <c r="N147" s="15">
        <v>0</v>
      </c>
      <c r="O147" s="15">
        <v>0</v>
      </c>
      <c r="P147" s="121">
        <f t="shared" si="15"/>
        <v>710</v>
      </c>
      <c r="Q147" s="121">
        <f t="shared" si="16"/>
        <v>710</v>
      </c>
      <c r="R147" s="121">
        <f t="shared" si="17"/>
        <v>470</v>
      </c>
      <c r="S147" s="121">
        <f t="shared" si="18"/>
        <v>470</v>
      </c>
      <c r="T147" s="121">
        <f t="shared" si="19"/>
        <v>230</v>
      </c>
      <c r="U147" s="121">
        <f t="shared" si="20"/>
        <v>230</v>
      </c>
      <c r="V147" s="117">
        <f t="shared" si="21"/>
        <v>1040</v>
      </c>
      <c r="W147" s="117">
        <v>1190</v>
      </c>
      <c r="X147" s="1" t="s">
        <v>1</v>
      </c>
      <c r="Y147" s="2" t="s">
        <v>1</v>
      </c>
      <c r="Z147" s="2" t="s">
        <v>1</v>
      </c>
      <c r="AA147" s="107" t="s">
        <v>1</v>
      </c>
      <c r="AB147" s="2" t="s">
        <v>1</v>
      </c>
    </row>
    <row r="148" spans="1:28" ht="30.15" customHeight="1" x14ac:dyDescent="0.25">
      <c r="A148" s="59" t="s">
        <v>18</v>
      </c>
      <c r="B148" s="56" t="s">
        <v>1</v>
      </c>
      <c r="C148" s="58" t="s">
        <v>34</v>
      </c>
      <c r="D148" s="116" t="s">
        <v>3</v>
      </c>
      <c r="E148" s="116" t="s">
        <v>385</v>
      </c>
      <c r="F148" s="116" t="s">
        <v>306</v>
      </c>
      <c r="G148" s="46" t="s">
        <v>414</v>
      </c>
      <c r="H148" s="15">
        <v>1099</v>
      </c>
      <c r="I148" s="15">
        <v>1119</v>
      </c>
      <c r="J148" s="15">
        <v>1119</v>
      </c>
      <c r="K148" s="117">
        <v>1190</v>
      </c>
      <c r="L148" s="15">
        <v>0</v>
      </c>
      <c r="M148" s="15">
        <v>0</v>
      </c>
      <c r="N148" s="15">
        <v>0</v>
      </c>
      <c r="O148" s="15">
        <v>0</v>
      </c>
      <c r="P148" s="121">
        <f t="shared" si="15"/>
        <v>710</v>
      </c>
      <c r="Q148" s="121">
        <f t="shared" si="16"/>
        <v>710</v>
      </c>
      <c r="R148" s="121">
        <f t="shared" si="17"/>
        <v>470</v>
      </c>
      <c r="S148" s="121">
        <f t="shared" si="18"/>
        <v>470</v>
      </c>
      <c r="T148" s="121">
        <f t="shared" si="19"/>
        <v>230</v>
      </c>
      <c r="U148" s="121">
        <f t="shared" si="20"/>
        <v>230</v>
      </c>
      <c r="V148" s="117">
        <f t="shared" si="21"/>
        <v>1040</v>
      </c>
      <c r="W148" s="117">
        <v>1190</v>
      </c>
      <c r="X148" s="1" t="s">
        <v>1</v>
      </c>
      <c r="Y148" s="2" t="s">
        <v>1</v>
      </c>
      <c r="Z148" s="2" t="s">
        <v>1</v>
      </c>
      <c r="AA148" s="107" t="s">
        <v>1</v>
      </c>
      <c r="AB148" s="2" t="s">
        <v>1</v>
      </c>
    </row>
    <row r="149" spans="1:28" ht="30.15" customHeight="1" x14ac:dyDescent="0.25">
      <c r="A149" s="59" t="s">
        <v>18</v>
      </c>
      <c r="B149" s="56" t="s">
        <v>1</v>
      </c>
      <c r="C149" s="58" t="s">
        <v>34</v>
      </c>
      <c r="D149" s="116" t="s">
        <v>3</v>
      </c>
      <c r="E149" s="116" t="s">
        <v>314</v>
      </c>
      <c r="F149" s="116" t="s">
        <v>306</v>
      </c>
      <c r="G149" s="46" t="s">
        <v>409</v>
      </c>
      <c r="H149" s="15">
        <v>1099</v>
      </c>
      <c r="I149" s="15">
        <v>1119</v>
      </c>
      <c r="J149" s="15">
        <v>1119</v>
      </c>
      <c r="K149" s="117">
        <v>1190</v>
      </c>
      <c r="L149" s="15">
        <v>0</v>
      </c>
      <c r="M149" s="15">
        <v>0</v>
      </c>
      <c r="N149" s="15">
        <v>0</v>
      </c>
      <c r="O149" s="15">
        <v>0</v>
      </c>
      <c r="P149" s="121">
        <f t="shared" si="15"/>
        <v>710</v>
      </c>
      <c r="Q149" s="121">
        <f t="shared" si="16"/>
        <v>710</v>
      </c>
      <c r="R149" s="121">
        <f t="shared" si="17"/>
        <v>470</v>
      </c>
      <c r="S149" s="121">
        <f t="shared" si="18"/>
        <v>470</v>
      </c>
      <c r="T149" s="121">
        <f t="shared" si="19"/>
        <v>230</v>
      </c>
      <c r="U149" s="121">
        <f t="shared" si="20"/>
        <v>230</v>
      </c>
      <c r="V149" s="117">
        <f t="shared" si="21"/>
        <v>1040</v>
      </c>
      <c r="W149" s="117">
        <v>1190</v>
      </c>
      <c r="X149" s="1" t="s">
        <v>1</v>
      </c>
      <c r="Y149" s="2" t="s">
        <v>1</v>
      </c>
      <c r="Z149" s="2" t="s">
        <v>1</v>
      </c>
      <c r="AA149" s="107" t="s">
        <v>1</v>
      </c>
      <c r="AB149" s="2" t="s">
        <v>1</v>
      </c>
    </row>
    <row r="150" spans="1:28" ht="30.15" customHeight="1" x14ac:dyDescent="0.25">
      <c r="A150" s="59" t="s">
        <v>18</v>
      </c>
      <c r="B150" s="56" t="s">
        <v>1</v>
      </c>
      <c r="C150" s="58" t="s">
        <v>34</v>
      </c>
      <c r="D150" s="116" t="s">
        <v>3</v>
      </c>
      <c r="E150" s="116" t="s">
        <v>334</v>
      </c>
      <c r="F150" s="116" t="s">
        <v>335</v>
      </c>
      <c r="G150" s="46" t="s">
        <v>409</v>
      </c>
      <c r="H150" s="15">
        <v>1179</v>
      </c>
      <c r="I150" s="117">
        <f t="shared" ref="I150:I153" si="24">J150</f>
        <v>912</v>
      </c>
      <c r="J150" s="117">
        <f t="shared" ref="J150:J153" si="25">K150*0.95</f>
        <v>912</v>
      </c>
      <c r="K150" s="117">
        <v>960</v>
      </c>
      <c r="L150" s="15">
        <v>0</v>
      </c>
      <c r="M150" s="15">
        <v>0</v>
      </c>
      <c r="N150" s="15">
        <v>0</v>
      </c>
      <c r="O150" s="15">
        <v>0</v>
      </c>
      <c r="P150" s="121">
        <f t="shared" si="15"/>
        <v>480</v>
      </c>
      <c r="Q150" s="121">
        <f t="shared" si="16"/>
        <v>480</v>
      </c>
      <c r="R150" s="121">
        <f t="shared" si="17"/>
        <v>240</v>
      </c>
      <c r="S150" s="121">
        <f t="shared" si="18"/>
        <v>240</v>
      </c>
      <c r="T150" s="121">
        <f t="shared" si="19"/>
        <v>0</v>
      </c>
      <c r="U150" s="121">
        <f t="shared" si="20"/>
        <v>0</v>
      </c>
      <c r="V150" s="117">
        <f t="shared" si="21"/>
        <v>810</v>
      </c>
      <c r="W150" s="117">
        <v>960</v>
      </c>
      <c r="X150" s="1" t="s">
        <v>1</v>
      </c>
      <c r="Y150" s="2" t="s">
        <v>1</v>
      </c>
      <c r="Z150" s="2" t="s">
        <v>1</v>
      </c>
      <c r="AA150" s="107" t="s">
        <v>1</v>
      </c>
      <c r="AB150" s="2" t="s">
        <v>1</v>
      </c>
    </row>
    <row r="151" spans="1:28" ht="30.15" customHeight="1" x14ac:dyDescent="0.25">
      <c r="A151" s="59" t="s">
        <v>18</v>
      </c>
      <c r="B151" s="56" t="s">
        <v>1</v>
      </c>
      <c r="C151" s="58" t="s">
        <v>34</v>
      </c>
      <c r="D151" s="116" t="s">
        <v>3</v>
      </c>
      <c r="E151" s="116" t="s">
        <v>336</v>
      </c>
      <c r="F151" s="116" t="s">
        <v>335</v>
      </c>
      <c r="G151" s="46" t="s">
        <v>409</v>
      </c>
      <c r="H151" s="15">
        <v>1179</v>
      </c>
      <c r="I151" s="117">
        <f t="shared" si="24"/>
        <v>912</v>
      </c>
      <c r="J151" s="117">
        <f t="shared" si="25"/>
        <v>912</v>
      </c>
      <c r="K151" s="117">
        <v>960</v>
      </c>
      <c r="L151" s="15">
        <v>0</v>
      </c>
      <c r="M151" s="15">
        <v>0</v>
      </c>
      <c r="N151" s="15">
        <v>0</v>
      </c>
      <c r="O151" s="15">
        <v>0</v>
      </c>
      <c r="P151" s="121">
        <f t="shared" si="15"/>
        <v>480</v>
      </c>
      <c r="Q151" s="121">
        <f t="shared" si="16"/>
        <v>480</v>
      </c>
      <c r="R151" s="121">
        <f t="shared" si="17"/>
        <v>240</v>
      </c>
      <c r="S151" s="121">
        <f t="shared" si="18"/>
        <v>240</v>
      </c>
      <c r="T151" s="121">
        <f t="shared" si="19"/>
        <v>0</v>
      </c>
      <c r="U151" s="121">
        <f t="shared" si="20"/>
        <v>0</v>
      </c>
      <c r="V151" s="117">
        <f t="shared" si="21"/>
        <v>810</v>
      </c>
      <c r="W151" s="117">
        <v>960</v>
      </c>
      <c r="X151" s="1" t="s">
        <v>1</v>
      </c>
      <c r="Y151" s="2" t="s">
        <v>1</v>
      </c>
      <c r="Z151" s="2" t="s">
        <v>1</v>
      </c>
      <c r="AA151" s="107" t="s">
        <v>1</v>
      </c>
      <c r="AB151" s="2" t="s">
        <v>1</v>
      </c>
    </row>
    <row r="152" spans="1:28" ht="30.15" customHeight="1" x14ac:dyDescent="0.25">
      <c r="A152" s="59" t="s">
        <v>18</v>
      </c>
      <c r="B152" s="56" t="s">
        <v>1</v>
      </c>
      <c r="C152" s="58" t="s">
        <v>34</v>
      </c>
      <c r="D152" s="116" t="s">
        <v>3</v>
      </c>
      <c r="E152" s="116" t="s">
        <v>338</v>
      </c>
      <c r="F152" s="116" t="s">
        <v>337</v>
      </c>
      <c r="G152" s="46" t="s">
        <v>409</v>
      </c>
      <c r="H152" s="15">
        <v>1379</v>
      </c>
      <c r="I152" s="117">
        <f t="shared" si="24"/>
        <v>1102</v>
      </c>
      <c r="J152" s="117">
        <f t="shared" si="25"/>
        <v>1102</v>
      </c>
      <c r="K152" s="117">
        <v>1160</v>
      </c>
      <c r="L152" s="15">
        <v>0</v>
      </c>
      <c r="M152" s="15">
        <v>0</v>
      </c>
      <c r="N152" s="15">
        <v>0</v>
      </c>
      <c r="O152" s="15">
        <v>0</v>
      </c>
      <c r="P152" s="121">
        <f t="shared" si="15"/>
        <v>680</v>
      </c>
      <c r="Q152" s="121">
        <f t="shared" si="16"/>
        <v>680</v>
      </c>
      <c r="R152" s="121">
        <f t="shared" si="17"/>
        <v>440</v>
      </c>
      <c r="S152" s="121">
        <f t="shared" si="18"/>
        <v>440</v>
      </c>
      <c r="T152" s="121">
        <f t="shared" si="19"/>
        <v>200</v>
      </c>
      <c r="U152" s="121">
        <f t="shared" si="20"/>
        <v>200</v>
      </c>
      <c r="V152" s="117">
        <f t="shared" si="21"/>
        <v>1010</v>
      </c>
      <c r="W152" s="117">
        <v>1160</v>
      </c>
      <c r="X152" s="1" t="s">
        <v>1</v>
      </c>
      <c r="Y152" s="2" t="s">
        <v>1</v>
      </c>
      <c r="Z152" s="2" t="s">
        <v>1</v>
      </c>
      <c r="AA152" s="107" t="s">
        <v>1</v>
      </c>
      <c r="AB152" s="2" t="s">
        <v>1</v>
      </c>
    </row>
    <row r="153" spans="1:28" ht="30.15" customHeight="1" x14ac:dyDescent="0.25">
      <c r="A153" s="59" t="s">
        <v>18</v>
      </c>
      <c r="B153" s="56" t="s">
        <v>1</v>
      </c>
      <c r="C153" s="58" t="s">
        <v>34</v>
      </c>
      <c r="D153" s="116" t="s">
        <v>3</v>
      </c>
      <c r="E153" s="116" t="s">
        <v>339</v>
      </c>
      <c r="F153" s="116" t="s">
        <v>337</v>
      </c>
      <c r="G153" s="46" t="s">
        <v>409</v>
      </c>
      <c r="H153" s="15">
        <v>1379</v>
      </c>
      <c r="I153" s="117">
        <f t="shared" si="24"/>
        <v>1102</v>
      </c>
      <c r="J153" s="117">
        <f t="shared" si="25"/>
        <v>1102</v>
      </c>
      <c r="K153" s="117">
        <v>1160</v>
      </c>
      <c r="L153" s="15">
        <v>0</v>
      </c>
      <c r="M153" s="15">
        <v>0</v>
      </c>
      <c r="N153" s="15">
        <v>0</v>
      </c>
      <c r="O153" s="15">
        <v>0</v>
      </c>
      <c r="P153" s="121">
        <f t="shared" si="15"/>
        <v>680</v>
      </c>
      <c r="Q153" s="121">
        <f t="shared" si="16"/>
        <v>680</v>
      </c>
      <c r="R153" s="121">
        <f t="shared" si="17"/>
        <v>440</v>
      </c>
      <c r="S153" s="121">
        <f t="shared" si="18"/>
        <v>440</v>
      </c>
      <c r="T153" s="121">
        <f t="shared" si="19"/>
        <v>200</v>
      </c>
      <c r="U153" s="121">
        <f t="shared" si="20"/>
        <v>200</v>
      </c>
      <c r="V153" s="117">
        <f t="shared" si="21"/>
        <v>1010</v>
      </c>
      <c r="W153" s="117">
        <v>1160</v>
      </c>
      <c r="X153" s="1" t="s">
        <v>1</v>
      </c>
      <c r="Y153" s="2" t="s">
        <v>1</v>
      </c>
      <c r="Z153" s="2" t="s">
        <v>1</v>
      </c>
      <c r="AA153" s="107" t="s">
        <v>1</v>
      </c>
      <c r="AB153" s="2" t="s">
        <v>1</v>
      </c>
    </row>
    <row r="154" spans="1:28" ht="30.15" customHeight="1" x14ac:dyDescent="0.25">
      <c r="A154" s="59" t="s">
        <v>18</v>
      </c>
      <c r="B154" s="56" t="s">
        <v>1</v>
      </c>
      <c r="C154" s="58" t="s">
        <v>34</v>
      </c>
      <c r="D154" s="118" t="s">
        <v>3</v>
      </c>
      <c r="E154" s="118" t="s">
        <v>507</v>
      </c>
      <c r="F154" s="118" t="s">
        <v>504</v>
      </c>
      <c r="G154" s="46" t="s">
        <v>409</v>
      </c>
      <c r="H154" s="15">
        <v>979</v>
      </c>
      <c r="I154" s="15">
        <v>999</v>
      </c>
      <c r="J154" s="15">
        <v>999</v>
      </c>
      <c r="K154" s="117">
        <v>1060</v>
      </c>
      <c r="L154" s="15">
        <v>0</v>
      </c>
      <c r="M154" s="15">
        <v>0</v>
      </c>
      <c r="N154" s="15">
        <v>0</v>
      </c>
      <c r="O154" s="15">
        <v>0</v>
      </c>
      <c r="P154" s="121">
        <f t="shared" si="15"/>
        <v>580</v>
      </c>
      <c r="Q154" s="121">
        <f t="shared" si="16"/>
        <v>580</v>
      </c>
      <c r="R154" s="121">
        <f t="shared" si="17"/>
        <v>340</v>
      </c>
      <c r="S154" s="121">
        <f t="shared" si="18"/>
        <v>340</v>
      </c>
      <c r="T154" s="121">
        <f t="shared" si="19"/>
        <v>100</v>
      </c>
      <c r="U154" s="121">
        <f t="shared" si="20"/>
        <v>100</v>
      </c>
      <c r="V154" s="117">
        <f t="shared" si="21"/>
        <v>910</v>
      </c>
      <c r="W154" s="117">
        <v>1060</v>
      </c>
      <c r="X154" s="1" t="s">
        <v>1</v>
      </c>
      <c r="Y154" s="2" t="s">
        <v>1</v>
      </c>
      <c r="Z154" s="2" t="s">
        <v>1</v>
      </c>
      <c r="AA154" s="107" t="s">
        <v>1</v>
      </c>
      <c r="AB154" s="2" t="s">
        <v>1</v>
      </c>
    </row>
    <row r="155" spans="1:28" ht="30.15" customHeight="1" x14ac:dyDescent="0.25">
      <c r="A155" s="59" t="s">
        <v>18</v>
      </c>
      <c r="B155" s="56" t="s">
        <v>1</v>
      </c>
      <c r="C155" s="58" t="s">
        <v>34</v>
      </c>
      <c r="D155" s="118" t="s">
        <v>3</v>
      </c>
      <c r="E155" s="118" t="s">
        <v>509</v>
      </c>
      <c r="F155" s="118" t="s">
        <v>504</v>
      </c>
      <c r="G155" s="46" t="s">
        <v>409</v>
      </c>
      <c r="H155" s="15">
        <v>979</v>
      </c>
      <c r="I155" s="15">
        <v>999</v>
      </c>
      <c r="J155" s="15">
        <v>999</v>
      </c>
      <c r="K155" s="117">
        <v>1060</v>
      </c>
      <c r="L155" s="15">
        <v>0</v>
      </c>
      <c r="M155" s="15">
        <v>0</v>
      </c>
      <c r="N155" s="15">
        <v>0</v>
      </c>
      <c r="O155" s="15">
        <v>0</v>
      </c>
      <c r="P155" s="121">
        <f t="shared" si="15"/>
        <v>580</v>
      </c>
      <c r="Q155" s="121">
        <f t="shared" si="16"/>
        <v>580</v>
      </c>
      <c r="R155" s="121">
        <f t="shared" si="17"/>
        <v>340</v>
      </c>
      <c r="S155" s="121">
        <f t="shared" si="18"/>
        <v>340</v>
      </c>
      <c r="T155" s="121">
        <f t="shared" si="19"/>
        <v>100</v>
      </c>
      <c r="U155" s="121">
        <f t="shared" si="20"/>
        <v>100</v>
      </c>
      <c r="V155" s="117">
        <f t="shared" si="21"/>
        <v>910</v>
      </c>
      <c r="W155" s="117">
        <v>1060</v>
      </c>
      <c r="X155" s="1" t="s">
        <v>1</v>
      </c>
      <c r="Y155" s="2" t="s">
        <v>1</v>
      </c>
      <c r="Z155" s="2" t="s">
        <v>1</v>
      </c>
      <c r="AA155" s="107" t="s">
        <v>1</v>
      </c>
      <c r="AB155" s="2" t="s">
        <v>1</v>
      </c>
    </row>
    <row r="156" spans="1:28" ht="30.15" customHeight="1" x14ac:dyDescent="0.25">
      <c r="A156" s="59" t="s">
        <v>18</v>
      </c>
      <c r="B156" s="56" t="s">
        <v>1</v>
      </c>
      <c r="C156" s="58" t="s">
        <v>34</v>
      </c>
      <c r="D156" s="118" t="s">
        <v>3</v>
      </c>
      <c r="E156" s="118" t="s">
        <v>508</v>
      </c>
      <c r="F156" s="118" t="s">
        <v>504</v>
      </c>
      <c r="G156" s="46" t="s">
        <v>409</v>
      </c>
      <c r="H156" s="15">
        <v>979</v>
      </c>
      <c r="I156" s="15">
        <v>999</v>
      </c>
      <c r="J156" s="15">
        <v>999</v>
      </c>
      <c r="K156" s="117">
        <v>1060</v>
      </c>
      <c r="L156" s="15">
        <v>0</v>
      </c>
      <c r="M156" s="15">
        <v>0</v>
      </c>
      <c r="N156" s="15">
        <v>0</v>
      </c>
      <c r="O156" s="15">
        <v>0</v>
      </c>
      <c r="P156" s="121">
        <f t="shared" si="15"/>
        <v>580</v>
      </c>
      <c r="Q156" s="121">
        <f t="shared" si="16"/>
        <v>580</v>
      </c>
      <c r="R156" s="121">
        <f t="shared" si="17"/>
        <v>340</v>
      </c>
      <c r="S156" s="121">
        <f t="shared" si="18"/>
        <v>340</v>
      </c>
      <c r="T156" s="121">
        <f t="shared" si="19"/>
        <v>100</v>
      </c>
      <c r="U156" s="121">
        <f t="shared" si="20"/>
        <v>100</v>
      </c>
      <c r="V156" s="117">
        <f t="shared" si="21"/>
        <v>910</v>
      </c>
      <c r="W156" s="117">
        <v>1060</v>
      </c>
      <c r="X156" s="1" t="s">
        <v>1</v>
      </c>
      <c r="Y156" s="2" t="s">
        <v>1</v>
      </c>
      <c r="Z156" s="2" t="s">
        <v>1</v>
      </c>
      <c r="AA156" s="107" t="s">
        <v>1</v>
      </c>
      <c r="AB156" s="2" t="s">
        <v>1</v>
      </c>
    </row>
    <row r="157" spans="1:28" ht="30.15" customHeight="1" x14ac:dyDescent="0.25">
      <c r="A157" s="59" t="s">
        <v>18</v>
      </c>
      <c r="B157" s="56" t="s">
        <v>1</v>
      </c>
      <c r="C157" s="58" t="s">
        <v>34</v>
      </c>
      <c r="D157" s="118" t="s">
        <v>3</v>
      </c>
      <c r="E157" s="118" t="s">
        <v>510</v>
      </c>
      <c r="F157" s="118" t="s">
        <v>504</v>
      </c>
      <c r="G157" s="46" t="s">
        <v>409</v>
      </c>
      <c r="H157" s="15">
        <v>979</v>
      </c>
      <c r="I157" s="15">
        <v>999</v>
      </c>
      <c r="J157" s="15">
        <v>999</v>
      </c>
      <c r="K157" s="117">
        <v>1060</v>
      </c>
      <c r="L157" s="15">
        <v>0</v>
      </c>
      <c r="M157" s="15">
        <v>0</v>
      </c>
      <c r="N157" s="15">
        <v>0</v>
      </c>
      <c r="O157" s="15">
        <v>0</v>
      </c>
      <c r="P157" s="121">
        <f t="shared" si="15"/>
        <v>580</v>
      </c>
      <c r="Q157" s="121">
        <f t="shared" si="16"/>
        <v>580</v>
      </c>
      <c r="R157" s="121">
        <f t="shared" si="17"/>
        <v>340</v>
      </c>
      <c r="S157" s="121">
        <f t="shared" si="18"/>
        <v>340</v>
      </c>
      <c r="T157" s="121">
        <f t="shared" si="19"/>
        <v>100</v>
      </c>
      <c r="U157" s="121">
        <f t="shared" si="20"/>
        <v>100</v>
      </c>
      <c r="V157" s="117">
        <f t="shared" si="21"/>
        <v>910</v>
      </c>
      <c r="W157" s="117">
        <v>1060</v>
      </c>
      <c r="X157" s="1" t="s">
        <v>1</v>
      </c>
      <c r="Y157" s="2" t="s">
        <v>1</v>
      </c>
      <c r="Z157" s="2" t="s">
        <v>1</v>
      </c>
      <c r="AA157" s="107" t="s">
        <v>1</v>
      </c>
      <c r="AB157" s="2" t="s">
        <v>1</v>
      </c>
    </row>
    <row r="158" spans="1:28" ht="30.15" customHeight="1" x14ac:dyDescent="0.25">
      <c r="A158" s="59" t="s">
        <v>18</v>
      </c>
      <c r="B158" s="56" t="s">
        <v>1</v>
      </c>
      <c r="C158" s="58" t="s">
        <v>34</v>
      </c>
      <c r="D158" s="118" t="s">
        <v>3</v>
      </c>
      <c r="E158" s="118" t="s">
        <v>511</v>
      </c>
      <c r="F158" s="118" t="s">
        <v>504</v>
      </c>
      <c r="G158" s="46" t="s">
        <v>409</v>
      </c>
      <c r="H158" s="15">
        <v>979</v>
      </c>
      <c r="I158" s="15">
        <v>999</v>
      </c>
      <c r="J158" s="15">
        <v>999</v>
      </c>
      <c r="K158" s="117">
        <v>1060</v>
      </c>
      <c r="L158" s="15">
        <v>0</v>
      </c>
      <c r="M158" s="15">
        <v>0</v>
      </c>
      <c r="N158" s="15">
        <v>0</v>
      </c>
      <c r="O158" s="15">
        <v>0</v>
      </c>
      <c r="P158" s="121">
        <f t="shared" si="15"/>
        <v>580</v>
      </c>
      <c r="Q158" s="121">
        <f t="shared" si="16"/>
        <v>580</v>
      </c>
      <c r="R158" s="121">
        <f t="shared" si="17"/>
        <v>340</v>
      </c>
      <c r="S158" s="121">
        <f t="shared" si="18"/>
        <v>340</v>
      </c>
      <c r="T158" s="121">
        <f t="shared" si="19"/>
        <v>100</v>
      </c>
      <c r="U158" s="121">
        <f t="shared" si="20"/>
        <v>100</v>
      </c>
      <c r="V158" s="117">
        <f t="shared" si="21"/>
        <v>910</v>
      </c>
      <c r="W158" s="117">
        <v>1060</v>
      </c>
      <c r="X158" s="1" t="s">
        <v>1</v>
      </c>
      <c r="Y158" s="2" t="s">
        <v>1</v>
      </c>
      <c r="Z158" s="2" t="s">
        <v>1</v>
      </c>
      <c r="AA158" s="107" t="s">
        <v>1</v>
      </c>
      <c r="AB158" s="2" t="s">
        <v>1</v>
      </c>
    </row>
    <row r="159" spans="1:28" ht="30.15" customHeight="1" x14ac:dyDescent="0.25">
      <c r="A159" s="59" t="s">
        <v>18</v>
      </c>
      <c r="B159" s="56" t="s">
        <v>1</v>
      </c>
      <c r="C159" s="58" t="s">
        <v>34</v>
      </c>
      <c r="D159" s="118" t="s">
        <v>3</v>
      </c>
      <c r="E159" s="118" t="s">
        <v>512</v>
      </c>
      <c r="F159" s="118" t="s">
        <v>504</v>
      </c>
      <c r="G159" s="46" t="s">
        <v>409</v>
      </c>
      <c r="H159" s="15">
        <v>979</v>
      </c>
      <c r="I159" s="15">
        <v>999</v>
      </c>
      <c r="J159" s="15">
        <v>999</v>
      </c>
      <c r="K159" s="117">
        <v>1060</v>
      </c>
      <c r="L159" s="15">
        <v>0</v>
      </c>
      <c r="M159" s="15">
        <v>0</v>
      </c>
      <c r="N159" s="15">
        <v>0</v>
      </c>
      <c r="O159" s="15">
        <v>0</v>
      </c>
      <c r="P159" s="121">
        <f t="shared" si="15"/>
        <v>580</v>
      </c>
      <c r="Q159" s="121">
        <f t="shared" si="16"/>
        <v>580</v>
      </c>
      <c r="R159" s="121">
        <f t="shared" si="17"/>
        <v>340</v>
      </c>
      <c r="S159" s="121">
        <f t="shared" si="18"/>
        <v>340</v>
      </c>
      <c r="T159" s="121">
        <f t="shared" si="19"/>
        <v>100</v>
      </c>
      <c r="U159" s="121">
        <f t="shared" si="20"/>
        <v>100</v>
      </c>
      <c r="V159" s="117">
        <f t="shared" si="21"/>
        <v>910</v>
      </c>
      <c r="W159" s="117">
        <v>1060</v>
      </c>
      <c r="X159" s="1" t="s">
        <v>1</v>
      </c>
      <c r="Y159" s="2" t="s">
        <v>1</v>
      </c>
      <c r="Z159" s="2" t="s">
        <v>1</v>
      </c>
      <c r="AA159" s="107" t="s">
        <v>1</v>
      </c>
      <c r="AB159" s="2" t="s">
        <v>1</v>
      </c>
    </row>
    <row r="160" spans="1:28" ht="30.15" customHeight="1" x14ac:dyDescent="0.25">
      <c r="A160" s="59" t="s">
        <v>18</v>
      </c>
      <c r="B160" s="56" t="s">
        <v>1</v>
      </c>
      <c r="C160" s="58" t="s">
        <v>34</v>
      </c>
      <c r="D160" s="118" t="s">
        <v>3</v>
      </c>
      <c r="E160" s="118" t="s">
        <v>513</v>
      </c>
      <c r="F160" s="118" t="s">
        <v>506</v>
      </c>
      <c r="G160" s="46" t="s">
        <v>409</v>
      </c>
      <c r="H160" s="15">
        <v>1049</v>
      </c>
      <c r="I160" s="15">
        <v>1059</v>
      </c>
      <c r="J160" s="15">
        <v>1059</v>
      </c>
      <c r="K160" s="117">
        <v>1135</v>
      </c>
      <c r="L160" s="15">
        <v>0</v>
      </c>
      <c r="M160" s="15">
        <v>0</v>
      </c>
      <c r="N160" s="15">
        <v>0</v>
      </c>
      <c r="O160" s="15">
        <v>0</v>
      </c>
      <c r="P160" s="121">
        <f t="shared" si="15"/>
        <v>655</v>
      </c>
      <c r="Q160" s="121">
        <f t="shared" si="16"/>
        <v>655</v>
      </c>
      <c r="R160" s="121">
        <f t="shared" si="17"/>
        <v>415</v>
      </c>
      <c r="S160" s="121">
        <f t="shared" si="18"/>
        <v>415</v>
      </c>
      <c r="T160" s="121">
        <f t="shared" si="19"/>
        <v>175</v>
      </c>
      <c r="U160" s="121">
        <f t="shared" si="20"/>
        <v>175</v>
      </c>
      <c r="V160" s="117">
        <f t="shared" si="21"/>
        <v>985</v>
      </c>
      <c r="W160" s="117">
        <v>1135</v>
      </c>
      <c r="X160" s="1" t="s">
        <v>1</v>
      </c>
      <c r="Y160" s="2" t="s">
        <v>1</v>
      </c>
      <c r="Z160" s="2" t="s">
        <v>1</v>
      </c>
      <c r="AA160" s="107" t="s">
        <v>1</v>
      </c>
      <c r="AB160" s="2" t="s">
        <v>1</v>
      </c>
    </row>
    <row r="161" spans="1:28" ht="30.15" customHeight="1" x14ac:dyDescent="0.25">
      <c r="A161" s="59" t="s">
        <v>18</v>
      </c>
      <c r="B161" s="56" t="s">
        <v>1</v>
      </c>
      <c r="C161" s="58" t="s">
        <v>34</v>
      </c>
      <c r="D161" s="118" t="s">
        <v>3</v>
      </c>
      <c r="E161" s="118" t="s">
        <v>514</v>
      </c>
      <c r="F161" s="118" t="s">
        <v>506</v>
      </c>
      <c r="G161" s="46" t="s">
        <v>409</v>
      </c>
      <c r="H161" s="15">
        <v>1049</v>
      </c>
      <c r="I161" s="15">
        <v>1059</v>
      </c>
      <c r="J161" s="15">
        <v>1059</v>
      </c>
      <c r="K161" s="117">
        <v>1135</v>
      </c>
      <c r="L161" s="15">
        <v>0</v>
      </c>
      <c r="M161" s="15">
        <v>0</v>
      </c>
      <c r="N161" s="15">
        <v>0</v>
      </c>
      <c r="O161" s="15">
        <v>0</v>
      </c>
      <c r="P161" s="121">
        <f t="shared" si="15"/>
        <v>655</v>
      </c>
      <c r="Q161" s="121">
        <f t="shared" si="16"/>
        <v>655</v>
      </c>
      <c r="R161" s="121">
        <f t="shared" si="17"/>
        <v>415</v>
      </c>
      <c r="S161" s="121">
        <f t="shared" si="18"/>
        <v>415</v>
      </c>
      <c r="T161" s="121">
        <f t="shared" si="19"/>
        <v>175</v>
      </c>
      <c r="U161" s="121">
        <f t="shared" si="20"/>
        <v>175</v>
      </c>
      <c r="V161" s="117">
        <f t="shared" si="21"/>
        <v>985</v>
      </c>
      <c r="W161" s="117">
        <v>1135</v>
      </c>
      <c r="X161" s="1" t="s">
        <v>1</v>
      </c>
      <c r="Y161" s="2" t="s">
        <v>1</v>
      </c>
      <c r="Z161" s="2" t="s">
        <v>1</v>
      </c>
      <c r="AA161" s="107" t="s">
        <v>1</v>
      </c>
      <c r="AB161" s="2" t="s">
        <v>1</v>
      </c>
    </row>
    <row r="162" spans="1:28" ht="30.15" customHeight="1" x14ac:dyDescent="0.25">
      <c r="A162" s="59" t="s">
        <v>18</v>
      </c>
      <c r="B162" s="56" t="s">
        <v>1</v>
      </c>
      <c r="C162" s="58" t="s">
        <v>34</v>
      </c>
      <c r="D162" s="118" t="s">
        <v>3</v>
      </c>
      <c r="E162" s="118" t="s">
        <v>515</v>
      </c>
      <c r="F162" s="118" t="s">
        <v>506</v>
      </c>
      <c r="G162" s="46" t="s">
        <v>409</v>
      </c>
      <c r="H162" s="15">
        <v>1049</v>
      </c>
      <c r="I162" s="15">
        <v>1059</v>
      </c>
      <c r="J162" s="15">
        <v>1059</v>
      </c>
      <c r="K162" s="117">
        <v>1135</v>
      </c>
      <c r="L162" s="15">
        <v>0</v>
      </c>
      <c r="M162" s="15">
        <v>0</v>
      </c>
      <c r="N162" s="15">
        <v>0</v>
      </c>
      <c r="O162" s="15">
        <v>0</v>
      </c>
      <c r="P162" s="121">
        <f t="shared" si="15"/>
        <v>655</v>
      </c>
      <c r="Q162" s="121">
        <f t="shared" si="16"/>
        <v>655</v>
      </c>
      <c r="R162" s="121">
        <f t="shared" si="17"/>
        <v>415</v>
      </c>
      <c r="S162" s="121">
        <f t="shared" si="18"/>
        <v>415</v>
      </c>
      <c r="T162" s="121">
        <f t="shared" si="19"/>
        <v>175</v>
      </c>
      <c r="U162" s="121">
        <f t="shared" si="20"/>
        <v>175</v>
      </c>
      <c r="V162" s="117">
        <f t="shared" si="21"/>
        <v>985</v>
      </c>
      <c r="W162" s="117">
        <v>1135</v>
      </c>
      <c r="X162" s="1" t="s">
        <v>1</v>
      </c>
      <c r="Y162" s="2" t="s">
        <v>1</v>
      </c>
      <c r="Z162" s="2" t="s">
        <v>1</v>
      </c>
      <c r="AA162" s="107" t="s">
        <v>1</v>
      </c>
      <c r="AB162" s="2" t="s">
        <v>1</v>
      </c>
    </row>
    <row r="163" spans="1:28" ht="30.15" customHeight="1" x14ac:dyDescent="0.25">
      <c r="A163" s="59" t="s">
        <v>18</v>
      </c>
      <c r="B163" s="56" t="s">
        <v>1</v>
      </c>
      <c r="C163" s="58" t="s">
        <v>34</v>
      </c>
      <c r="D163" s="118" t="s">
        <v>3</v>
      </c>
      <c r="E163" s="118" t="s">
        <v>516</v>
      </c>
      <c r="F163" s="118" t="s">
        <v>506</v>
      </c>
      <c r="G163" s="46" t="s">
        <v>409</v>
      </c>
      <c r="H163" s="15">
        <v>1049</v>
      </c>
      <c r="I163" s="15">
        <v>1059</v>
      </c>
      <c r="J163" s="15">
        <v>1059</v>
      </c>
      <c r="K163" s="117">
        <v>1135</v>
      </c>
      <c r="L163" s="15">
        <v>0</v>
      </c>
      <c r="M163" s="15">
        <v>0</v>
      </c>
      <c r="N163" s="15">
        <v>0</v>
      </c>
      <c r="O163" s="15">
        <v>0</v>
      </c>
      <c r="P163" s="121">
        <f t="shared" si="15"/>
        <v>655</v>
      </c>
      <c r="Q163" s="121">
        <f t="shared" si="16"/>
        <v>655</v>
      </c>
      <c r="R163" s="121">
        <f t="shared" si="17"/>
        <v>415</v>
      </c>
      <c r="S163" s="121">
        <f t="shared" si="18"/>
        <v>415</v>
      </c>
      <c r="T163" s="121">
        <f t="shared" si="19"/>
        <v>175</v>
      </c>
      <c r="U163" s="121">
        <f t="shared" si="20"/>
        <v>175</v>
      </c>
      <c r="V163" s="117">
        <f t="shared" si="21"/>
        <v>985</v>
      </c>
      <c r="W163" s="117">
        <v>1135</v>
      </c>
      <c r="X163" s="1" t="s">
        <v>1</v>
      </c>
      <c r="Y163" s="2" t="s">
        <v>1</v>
      </c>
      <c r="Z163" s="2" t="s">
        <v>1</v>
      </c>
      <c r="AA163" s="107" t="s">
        <v>1</v>
      </c>
      <c r="AB163" s="2" t="s">
        <v>1</v>
      </c>
    </row>
    <row r="164" spans="1:28" ht="30.15" customHeight="1" x14ac:dyDescent="0.25">
      <c r="A164" s="59" t="s">
        <v>18</v>
      </c>
      <c r="B164" s="56" t="s">
        <v>1</v>
      </c>
      <c r="C164" s="58" t="s">
        <v>34</v>
      </c>
      <c r="D164" s="118" t="s">
        <v>3</v>
      </c>
      <c r="E164" s="118" t="s">
        <v>517</v>
      </c>
      <c r="F164" s="118" t="s">
        <v>506</v>
      </c>
      <c r="G164" s="46" t="s">
        <v>409</v>
      </c>
      <c r="H164" s="15">
        <v>1049</v>
      </c>
      <c r="I164" s="15">
        <v>1059</v>
      </c>
      <c r="J164" s="15">
        <v>1059</v>
      </c>
      <c r="K164" s="117">
        <v>1135</v>
      </c>
      <c r="L164" s="15">
        <v>0</v>
      </c>
      <c r="M164" s="15">
        <v>0</v>
      </c>
      <c r="N164" s="15">
        <v>0</v>
      </c>
      <c r="O164" s="15">
        <v>0</v>
      </c>
      <c r="P164" s="121">
        <f t="shared" ref="P164:P189" si="26">IF((K164-(20*24))&lt;0,0,(K164-(20*24)))</f>
        <v>655</v>
      </c>
      <c r="Q164" s="121">
        <f t="shared" ref="Q164:Q189" si="27">IF((K164-(20*24))&lt;0,0,(K164-(20*24)))</f>
        <v>655</v>
      </c>
      <c r="R164" s="121">
        <f t="shared" ref="R164:R189" si="28">IF((K164-(30*24))&lt;0,0,(K164-(30*24)))</f>
        <v>415</v>
      </c>
      <c r="S164" s="121">
        <f t="shared" ref="S164:S189" si="29">IF((K164-(30*24))&lt;0,0,(K164-(30*24)))</f>
        <v>415</v>
      </c>
      <c r="T164" s="121">
        <f t="shared" ref="T164:T189" si="30">IF((K164-(40*24))&lt;0,0,(K164-(40*24)))</f>
        <v>175</v>
      </c>
      <c r="U164" s="121">
        <f t="shared" ref="U164:U189" si="31">IF((K164-(40*24))&lt;0,0,(K164-(40*24)))</f>
        <v>175</v>
      </c>
      <c r="V164" s="117">
        <f t="shared" ref="V164:V189" si="32">W164-150</f>
        <v>985</v>
      </c>
      <c r="W164" s="117">
        <v>1135</v>
      </c>
      <c r="X164" s="1" t="s">
        <v>1</v>
      </c>
      <c r="Y164" s="2" t="s">
        <v>1</v>
      </c>
      <c r="Z164" s="2" t="s">
        <v>1</v>
      </c>
      <c r="AA164" s="107" t="s">
        <v>1</v>
      </c>
      <c r="AB164" s="2" t="s">
        <v>1</v>
      </c>
    </row>
    <row r="165" spans="1:28" ht="30.15" customHeight="1" x14ac:dyDescent="0.25">
      <c r="A165" s="59" t="s">
        <v>18</v>
      </c>
      <c r="B165" s="56" t="s">
        <v>1</v>
      </c>
      <c r="C165" s="58" t="s">
        <v>34</v>
      </c>
      <c r="D165" s="118" t="s">
        <v>3</v>
      </c>
      <c r="E165" s="118" t="s">
        <v>518</v>
      </c>
      <c r="F165" s="118" t="s">
        <v>506</v>
      </c>
      <c r="G165" s="46" t="s">
        <v>409</v>
      </c>
      <c r="H165" s="15">
        <v>1049</v>
      </c>
      <c r="I165" s="15">
        <v>1059</v>
      </c>
      <c r="J165" s="15">
        <v>1059</v>
      </c>
      <c r="K165" s="117">
        <v>1135</v>
      </c>
      <c r="L165" s="15">
        <v>0</v>
      </c>
      <c r="M165" s="15">
        <v>0</v>
      </c>
      <c r="N165" s="15">
        <v>0</v>
      </c>
      <c r="O165" s="15">
        <v>0</v>
      </c>
      <c r="P165" s="121">
        <f t="shared" si="26"/>
        <v>655</v>
      </c>
      <c r="Q165" s="121">
        <f t="shared" si="27"/>
        <v>655</v>
      </c>
      <c r="R165" s="121">
        <f t="shared" si="28"/>
        <v>415</v>
      </c>
      <c r="S165" s="121">
        <f t="shared" si="29"/>
        <v>415</v>
      </c>
      <c r="T165" s="121">
        <f t="shared" si="30"/>
        <v>175</v>
      </c>
      <c r="U165" s="121">
        <f t="shared" si="31"/>
        <v>175</v>
      </c>
      <c r="V165" s="117">
        <f t="shared" si="32"/>
        <v>985</v>
      </c>
      <c r="W165" s="117">
        <v>1135</v>
      </c>
      <c r="X165" s="1" t="s">
        <v>1</v>
      </c>
      <c r="Y165" s="2" t="s">
        <v>1</v>
      </c>
      <c r="Z165" s="2" t="s">
        <v>1</v>
      </c>
      <c r="AA165" s="107" t="s">
        <v>1</v>
      </c>
      <c r="AB165" s="2" t="s">
        <v>1</v>
      </c>
    </row>
    <row r="166" spans="1:28" ht="30.15" customHeight="1" x14ac:dyDescent="0.25">
      <c r="A166" s="59" t="s">
        <v>18</v>
      </c>
      <c r="B166" s="56" t="s">
        <v>1</v>
      </c>
      <c r="C166" s="58" t="s">
        <v>34</v>
      </c>
      <c r="D166" s="118" t="s">
        <v>3</v>
      </c>
      <c r="E166" s="118" t="s">
        <v>519</v>
      </c>
      <c r="F166" s="118" t="s">
        <v>505</v>
      </c>
      <c r="G166" s="46" t="s">
        <v>409</v>
      </c>
      <c r="H166" s="15">
        <v>1179</v>
      </c>
      <c r="I166" s="15">
        <v>1199</v>
      </c>
      <c r="J166" s="15">
        <v>1199</v>
      </c>
      <c r="K166" s="117">
        <v>1275</v>
      </c>
      <c r="L166" s="15">
        <v>0</v>
      </c>
      <c r="M166" s="15">
        <v>0</v>
      </c>
      <c r="N166" s="15">
        <v>0</v>
      </c>
      <c r="O166" s="15">
        <v>0</v>
      </c>
      <c r="P166" s="121">
        <f t="shared" si="26"/>
        <v>795</v>
      </c>
      <c r="Q166" s="121">
        <f t="shared" si="27"/>
        <v>795</v>
      </c>
      <c r="R166" s="121">
        <f t="shared" si="28"/>
        <v>555</v>
      </c>
      <c r="S166" s="121">
        <f t="shared" si="29"/>
        <v>555</v>
      </c>
      <c r="T166" s="121">
        <f t="shared" si="30"/>
        <v>315</v>
      </c>
      <c r="U166" s="121">
        <f t="shared" si="31"/>
        <v>315</v>
      </c>
      <c r="V166" s="117">
        <f t="shared" si="32"/>
        <v>1125</v>
      </c>
      <c r="W166" s="117">
        <v>1275</v>
      </c>
      <c r="X166" s="1" t="s">
        <v>1</v>
      </c>
      <c r="Y166" s="2" t="s">
        <v>1</v>
      </c>
      <c r="Z166" s="2" t="s">
        <v>1</v>
      </c>
      <c r="AA166" s="107" t="s">
        <v>1</v>
      </c>
      <c r="AB166" s="2" t="s">
        <v>1</v>
      </c>
    </row>
    <row r="167" spans="1:28" ht="30.15" customHeight="1" x14ac:dyDescent="0.25">
      <c r="A167" s="59" t="s">
        <v>18</v>
      </c>
      <c r="B167" s="56" t="s">
        <v>1</v>
      </c>
      <c r="C167" s="58" t="s">
        <v>34</v>
      </c>
      <c r="D167" s="118" t="s">
        <v>3</v>
      </c>
      <c r="E167" s="118" t="s">
        <v>520</v>
      </c>
      <c r="F167" s="118" t="s">
        <v>505</v>
      </c>
      <c r="G167" s="46" t="s">
        <v>409</v>
      </c>
      <c r="H167" s="15">
        <v>1179</v>
      </c>
      <c r="I167" s="15">
        <v>1199</v>
      </c>
      <c r="J167" s="15">
        <v>1199</v>
      </c>
      <c r="K167" s="117">
        <v>1275</v>
      </c>
      <c r="L167" s="15">
        <v>0</v>
      </c>
      <c r="M167" s="15">
        <v>0</v>
      </c>
      <c r="N167" s="15">
        <v>0</v>
      </c>
      <c r="O167" s="15">
        <v>0</v>
      </c>
      <c r="P167" s="121">
        <f t="shared" si="26"/>
        <v>795</v>
      </c>
      <c r="Q167" s="121">
        <f t="shared" si="27"/>
        <v>795</v>
      </c>
      <c r="R167" s="121">
        <f t="shared" si="28"/>
        <v>555</v>
      </c>
      <c r="S167" s="121">
        <f t="shared" si="29"/>
        <v>555</v>
      </c>
      <c r="T167" s="121">
        <f t="shared" si="30"/>
        <v>315</v>
      </c>
      <c r="U167" s="121">
        <f t="shared" si="31"/>
        <v>315</v>
      </c>
      <c r="V167" s="117">
        <f t="shared" si="32"/>
        <v>1125</v>
      </c>
      <c r="W167" s="117">
        <v>1275</v>
      </c>
      <c r="X167" s="1" t="s">
        <v>1</v>
      </c>
      <c r="Y167" s="2" t="s">
        <v>1</v>
      </c>
      <c r="Z167" s="2" t="s">
        <v>1</v>
      </c>
      <c r="AA167" s="107" t="s">
        <v>1</v>
      </c>
      <c r="AB167" s="2" t="s">
        <v>1</v>
      </c>
    </row>
    <row r="168" spans="1:28" ht="30.15" customHeight="1" x14ac:dyDescent="0.25">
      <c r="A168" s="59" t="s">
        <v>18</v>
      </c>
      <c r="B168" s="56" t="s">
        <v>1</v>
      </c>
      <c r="C168" s="58" t="s">
        <v>34</v>
      </c>
      <c r="D168" s="118" t="s">
        <v>3</v>
      </c>
      <c r="E168" s="118" t="s">
        <v>521</v>
      </c>
      <c r="F168" s="118" t="s">
        <v>505</v>
      </c>
      <c r="G168" s="46" t="s">
        <v>409</v>
      </c>
      <c r="H168" s="15">
        <v>1179</v>
      </c>
      <c r="I168" s="15">
        <v>1199</v>
      </c>
      <c r="J168" s="15">
        <v>1199</v>
      </c>
      <c r="K168" s="117">
        <v>1275</v>
      </c>
      <c r="L168" s="15">
        <v>0</v>
      </c>
      <c r="M168" s="15">
        <v>0</v>
      </c>
      <c r="N168" s="15">
        <v>0</v>
      </c>
      <c r="O168" s="15">
        <v>0</v>
      </c>
      <c r="P168" s="121">
        <f t="shared" si="26"/>
        <v>795</v>
      </c>
      <c r="Q168" s="121">
        <f t="shared" si="27"/>
        <v>795</v>
      </c>
      <c r="R168" s="121">
        <f t="shared" si="28"/>
        <v>555</v>
      </c>
      <c r="S168" s="121">
        <f t="shared" si="29"/>
        <v>555</v>
      </c>
      <c r="T168" s="121">
        <f t="shared" si="30"/>
        <v>315</v>
      </c>
      <c r="U168" s="121">
        <f t="shared" si="31"/>
        <v>315</v>
      </c>
      <c r="V168" s="117">
        <f t="shared" si="32"/>
        <v>1125</v>
      </c>
      <c r="W168" s="117">
        <v>1275</v>
      </c>
      <c r="X168" s="1" t="s">
        <v>1</v>
      </c>
      <c r="Y168" s="2" t="s">
        <v>1</v>
      </c>
      <c r="Z168" s="2" t="s">
        <v>1</v>
      </c>
      <c r="AA168" s="107" t="s">
        <v>1</v>
      </c>
      <c r="AB168" s="2" t="s">
        <v>1</v>
      </c>
    </row>
    <row r="169" spans="1:28" ht="30.15" customHeight="1" x14ac:dyDescent="0.25">
      <c r="A169" s="59" t="s">
        <v>18</v>
      </c>
      <c r="B169" s="56" t="s">
        <v>1</v>
      </c>
      <c r="C169" s="58" t="s">
        <v>34</v>
      </c>
      <c r="D169" s="118" t="s">
        <v>3</v>
      </c>
      <c r="E169" s="118" t="s">
        <v>522</v>
      </c>
      <c r="F169" s="118" t="s">
        <v>505</v>
      </c>
      <c r="G169" s="46" t="s">
        <v>409</v>
      </c>
      <c r="H169" s="15">
        <v>1179</v>
      </c>
      <c r="I169" s="15">
        <v>1199</v>
      </c>
      <c r="J169" s="15">
        <v>1199</v>
      </c>
      <c r="K169" s="117">
        <v>1275</v>
      </c>
      <c r="L169" s="15">
        <v>0</v>
      </c>
      <c r="M169" s="15">
        <v>0</v>
      </c>
      <c r="N169" s="15">
        <v>0</v>
      </c>
      <c r="O169" s="15">
        <v>0</v>
      </c>
      <c r="P169" s="121">
        <f t="shared" si="26"/>
        <v>795</v>
      </c>
      <c r="Q169" s="121">
        <f t="shared" si="27"/>
        <v>795</v>
      </c>
      <c r="R169" s="121">
        <f t="shared" si="28"/>
        <v>555</v>
      </c>
      <c r="S169" s="121">
        <f t="shared" si="29"/>
        <v>555</v>
      </c>
      <c r="T169" s="121">
        <f t="shared" si="30"/>
        <v>315</v>
      </c>
      <c r="U169" s="121">
        <f t="shared" si="31"/>
        <v>315</v>
      </c>
      <c r="V169" s="117">
        <f t="shared" si="32"/>
        <v>1125</v>
      </c>
      <c r="W169" s="117">
        <v>1275</v>
      </c>
      <c r="X169" s="1" t="s">
        <v>1</v>
      </c>
      <c r="Y169" s="2" t="s">
        <v>1</v>
      </c>
      <c r="Z169" s="2" t="s">
        <v>1</v>
      </c>
      <c r="AA169" s="107" t="s">
        <v>1</v>
      </c>
      <c r="AB169" s="2" t="s">
        <v>1</v>
      </c>
    </row>
    <row r="170" spans="1:28" ht="30.15" customHeight="1" x14ac:dyDescent="0.25">
      <c r="A170" s="59" t="s">
        <v>18</v>
      </c>
      <c r="B170" s="56" t="s">
        <v>1</v>
      </c>
      <c r="C170" s="58" t="s">
        <v>34</v>
      </c>
      <c r="D170" s="118" t="s">
        <v>3</v>
      </c>
      <c r="E170" s="118" t="s">
        <v>523</v>
      </c>
      <c r="F170" s="118" t="s">
        <v>505</v>
      </c>
      <c r="G170" s="46" t="s">
        <v>409</v>
      </c>
      <c r="H170" s="15">
        <v>1179</v>
      </c>
      <c r="I170" s="15">
        <v>1199</v>
      </c>
      <c r="J170" s="15">
        <v>1199</v>
      </c>
      <c r="K170" s="117">
        <v>1275</v>
      </c>
      <c r="L170" s="15">
        <v>0</v>
      </c>
      <c r="M170" s="15">
        <v>0</v>
      </c>
      <c r="N170" s="15">
        <v>0</v>
      </c>
      <c r="O170" s="15">
        <v>0</v>
      </c>
      <c r="P170" s="121">
        <f t="shared" si="26"/>
        <v>795</v>
      </c>
      <c r="Q170" s="121">
        <f t="shared" si="27"/>
        <v>795</v>
      </c>
      <c r="R170" s="121">
        <f t="shared" si="28"/>
        <v>555</v>
      </c>
      <c r="S170" s="121">
        <f t="shared" si="29"/>
        <v>555</v>
      </c>
      <c r="T170" s="121">
        <f t="shared" si="30"/>
        <v>315</v>
      </c>
      <c r="U170" s="121">
        <f t="shared" si="31"/>
        <v>315</v>
      </c>
      <c r="V170" s="117">
        <f t="shared" si="32"/>
        <v>1125</v>
      </c>
      <c r="W170" s="117">
        <v>1275</v>
      </c>
      <c r="X170" s="1" t="s">
        <v>1</v>
      </c>
      <c r="Y170" s="2" t="s">
        <v>1</v>
      </c>
      <c r="Z170" s="2" t="s">
        <v>1</v>
      </c>
      <c r="AA170" s="107" t="s">
        <v>1</v>
      </c>
      <c r="AB170" s="2" t="s">
        <v>1</v>
      </c>
    </row>
    <row r="171" spans="1:28" ht="30.15" customHeight="1" x14ac:dyDescent="0.25">
      <c r="A171" s="59" t="s">
        <v>18</v>
      </c>
      <c r="B171" s="56" t="s">
        <v>1</v>
      </c>
      <c r="C171" s="58" t="s">
        <v>34</v>
      </c>
      <c r="D171" s="118" t="s">
        <v>3</v>
      </c>
      <c r="E171" s="118" t="s">
        <v>524</v>
      </c>
      <c r="F171" s="118" t="s">
        <v>505</v>
      </c>
      <c r="G171" s="46" t="s">
        <v>409</v>
      </c>
      <c r="H171" s="15">
        <v>1179</v>
      </c>
      <c r="I171" s="15">
        <v>1199</v>
      </c>
      <c r="J171" s="15">
        <v>1199</v>
      </c>
      <c r="K171" s="117">
        <v>1275</v>
      </c>
      <c r="L171" s="15">
        <v>0</v>
      </c>
      <c r="M171" s="15">
        <v>0</v>
      </c>
      <c r="N171" s="15">
        <v>0</v>
      </c>
      <c r="O171" s="15">
        <v>0</v>
      </c>
      <c r="P171" s="121">
        <f t="shared" si="26"/>
        <v>795</v>
      </c>
      <c r="Q171" s="121">
        <f t="shared" si="27"/>
        <v>795</v>
      </c>
      <c r="R171" s="121">
        <f t="shared" si="28"/>
        <v>555</v>
      </c>
      <c r="S171" s="121">
        <f t="shared" si="29"/>
        <v>555</v>
      </c>
      <c r="T171" s="121">
        <f t="shared" si="30"/>
        <v>315</v>
      </c>
      <c r="U171" s="121">
        <f t="shared" si="31"/>
        <v>315</v>
      </c>
      <c r="V171" s="117">
        <f t="shared" si="32"/>
        <v>1125</v>
      </c>
      <c r="W171" s="117">
        <v>1275</v>
      </c>
      <c r="X171" s="1" t="s">
        <v>1</v>
      </c>
      <c r="Y171" s="2" t="s">
        <v>1</v>
      </c>
      <c r="Z171" s="2" t="s">
        <v>1</v>
      </c>
      <c r="AA171" s="107" t="s">
        <v>1</v>
      </c>
      <c r="AB171" s="2" t="s">
        <v>1</v>
      </c>
    </row>
    <row r="172" spans="1:28" ht="30.15" customHeight="1" x14ac:dyDescent="0.25">
      <c r="A172" s="59" t="s">
        <v>18</v>
      </c>
      <c r="B172" s="56" t="s">
        <v>1</v>
      </c>
      <c r="C172" s="58" t="s">
        <v>34</v>
      </c>
      <c r="D172" s="116" t="s">
        <v>3</v>
      </c>
      <c r="E172" s="116" t="s">
        <v>456</v>
      </c>
      <c r="F172" s="116" t="s">
        <v>449</v>
      </c>
      <c r="G172" s="46" t="s">
        <v>409</v>
      </c>
      <c r="H172" s="15">
        <v>1309</v>
      </c>
      <c r="I172" s="15">
        <v>1339</v>
      </c>
      <c r="J172" s="15">
        <v>1339</v>
      </c>
      <c r="K172" s="117">
        <v>1410</v>
      </c>
      <c r="L172" s="15">
        <v>0</v>
      </c>
      <c r="M172" s="15">
        <v>0</v>
      </c>
      <c r="N172" s="15">
        <v>0</v>
      </c>
      <c r="O172" s="15">
        <v>0</v>
      </c>
      <c r="P172" s="121">
        <f t="shared" si="26"/>
        <v>930</v>
      </c>
      <c r="Q172" s="121">
        <f t="shared" si="27"/>
        <v>930</v>
      </c>
      <c r="R172" s="121">
        <f t="shared" si="28"/>
        <v>690</v>
      </c>
      <c r="S172" s="121">
        <f t="shared" si="29"/>
        <v>690</v>
      </c>
      <c r="T172" s="121">
        <f t="shared" si="30"/>
        <v>450</v>
      </c>
      <c r="U172" s="121">
        <f t="shared" si="31"/>
        <v>450</v>
      </c>
      <c r="V172" s="117">
        <f t="shared" si="32"/>
        <v>1260</v>
      </c>
      <c r="W172" s="117">
        <v>1410</v>
      </c>
      <c r="X172" s="1" t="s">
        <v>1</v>
      </c>
      <c r="Y172" s="2" t="s">
        <v>1</v>
      </c>
      <c r="Z172" s="2" t="s">
        <v>1</v>
      </c>
      <c r="AA172" s="107" t="s">
        <v>1</v>
      </c>
      <c r="AB172" s="2" t="s">
        <v>1</v>
      </c>
    </row>
    <row r="173" spans="1:28" ht="30.15" customHeight="1" x14ac:dyDescent="0.25">
      <c r="A173" s="59" t="s">
        <v>18</v>
      </c>
      <c r="B173" s="56" t="s">
        <v>1</v>
      </c>
      <c r="C173" s="58" t="s">
        <v>34</v>
      </c>
      <c r="D173" s="116" t="s">
        <v>3</v>
      </c>
      <c r="E173" s="116" t="s">
        <v>455</v>
      </c>
      <c r="F173" s="116" t="s">
        <v>449</v>
      </c>
      <c r="G173" s="46" t="s">
        <v>409</v>
      </c>
      <c r="H173" s="15">
        <v>1309</v>
      </c>
      <c r="I173" s="15">
        <v>1339</v>
      </c>
      <c r="J173" s="15">
        <v>1339</v>
      </c>
      <c r="K173" s="117">
        <v>1410</v>
      </c>
      <c r="L173" s="15">
        <v>0</v>
      </c>
      <c r="M173" s="15">
        <v>0</v>
      </c>
      <c r="N173" s="15">
        <v>0</v>
      </c>
      <c r="O173" s="15">
        <v>0</v>
      </c>
      <c r="P173" s="121">
        <f t="shared" si="26"/>
        <v>930</v>
      </c>
      <c r="Q173" s="121">
        <f t="shared" si="27"/>
        <v>930</v>
      </c>
      <c r="R173" s="121">
        <f t="shared" si="28"/>
        <v>690</v>
      </c>
      <c r="S173" s="121">
        <f t="shared" si="29"/>
        <v>690</v>
      </c>
      <c r="T173" s="121">
        <f t="shared" si="30"/>
        <v>450</v>
      </c>
      <c r="U173" s="121">
        <f t="shared" si="31"/>
        <v>450</v>
      </c>
      <c r="V173" s="117">
        <f t="shared" si="32"/>
        <v>1260</v>
      </c>
      <c r="W173" s="117">
        <v>1410</v>
      </c>
      <c r="X173" s="1" t="s">
        <v>1</v>
      </c>
      <c r="Y173" s="2" t="s">
        <v>1</v>
      </c>
      <c r="Z173" s="2" t="s">
        <v>1</v>
      </c>
      <c r="AA173" s="107" t="s">
        <v>1</v>
      </c>
      <c r="AB173" s="2" t="s">
        <v>1</v>
      </c>
    </row>
    <row r="174" spans="1:28" ht="30.15" customHeight="1" x14ac:dyDescent="0.25">
      <c r="A174" s="59" t="s">
        <v>18</v>
      </c>
      <c r="B174" s="56" t="s">
        <v>1</v>
      </c>
      <c r="C174" s="58" t="s">
        <v>34</v>
      </c>
      <c r="D174" s="116" t="s">
        <v>3</v>
      </c>
      <c r="E174" s="116" t="s">
        <v>457</v>
      </c>
      <c r="F174" s="116" t="s">
        <v>449</v>
      </c>
      <c r="G174" s="46" t="s">
        <v>409</v>
      </c>
      <c r="H174" s="15">
        <v>1309</v>
      </c>
      <c r="I174" s="15">
        <v>1339</v>
      </c>
      <c r="J174" s="15">
        <v>1339</v>
      </c>
      <c r="K174" s="117">
        <v>1410</v>
      </c>
      <c r="L174" s="15">
        <v>0</v>
      </c>
      <c r="M174" s="15">
        <v>0</v>
      </c>
      <c r="N174" s="15">
        <v>0</v>
      </c>
      <c r="O174" s="15">
        <v>0</v>
      </c>
      <c r="P174" s="121">
        <f t="shared" si="26"/>
        <v>930</v>
      </c>
      <c r="Q174" s="121">
        <f t="shared" si="27"/>
        <v>930</v>
      </c>
      <c r="R174" s="121">
        <f t="shared" si="28"/>
        <v>690</v>
      </c>
      <c r="S174" s="121">
        <f t="shared" si="29"/>
        <v>690</v>
      </c>
      <c r="T174" s="121">
        <f t="shared" si="30"/>
        <v>450</v>
      </c>
      <c r="U174" s="121">
        <f t="shared" si="31"/>
        <v>450</v>
      </c>
      <c r="V174" s="117">
        <f t="shared" si="32"/>
        <v>1260</v>
      </c>
      <c r="W174" s="117">
        <v>1410</v>
      </c>
      <c r="X174" s="1" t="s">
        <v>1</v>
      </c>
      <c r="Y174" s="2" t="s">
        <v>1</v>
      </c>
      <c r="Z174" s="2" t="s">
        <v>1</v>
      </c>
      <c r="AA174" s="107" t="s">
        <v>1</v>
      </c>
      <c r="AB174" s="2" t="s">
        <v>1</v>
      </c>
    </row>
    <row r="175" spans="1:28" ht="30.15" customHeight="1" x14ac:dyDescent="0.25">
      <c r="A175" s="59" t="s">
        <v>18</v>
      </c>
      <c r="B175" s="56" t="s">
        <v>1</v>
      </c>
      <c r="C175" s="58" t="s">
        <v>34</v>
      </c>
      <c r="D175" s="116" t="s">
        <v>3</v>
      </c>
      <c r="E175" s="116" t="s">
        <v>458</v>
      </c>
      <c r="F175" s="116" t="s">
        <v>450</v>
      </c>
      <c r="G175" s="46" t="s">
        <v>409</v>
      </c>
      <c r="H175" s="15">
        <v>1509</v>
      </c>
      <c r="I175" s="15">
        <v>1539</v>
      </c>
      <c r="J175" s="15">
        <v>1539</v>
      </c>
      <c r="K175" s="117">
        <v>1630</v>
      </c>
      <c r="L175" s="15">
        <v>0</v>
      </c>
      <c r="M175" s="15">
        <v>0</v>
      </c>
      <c r="N175" s="15">
        <v>0</v>
      </c>
      <c r="O175" s="15">
        <v>0</v>
      </c>
      <c r="P175" s="121">
        <f t="shared" si="26"/>
        <v>1150</v>
      </c>
      <c r="Q175" s="121">
        <f t="shared" si="27"/>
        <v>1150</v>
      </c>
      <c r="R175" s="121">
        <f t="shared" si="28"/>
        <v>910</v>
      </c>
      <c r="S175" s="121">
        <f t="shared" si="29"/>
        <v>910</v>
      </c>
      <c r="T175" s="121">
        <f t="shared" si="30"/>
        <v>670</v>
      </c>
      <c r="U175" s="121">
        <f t="shared" si="31"/>
        <v>670</v>
      </c>
      <c r="V175" s="117">
        <f t="shared" si="32"/>
        <v>1480</v>
      </c>
      <c r="W175" s="117">
        <v>1630</v>
      </c>
      <c r="X175" s="1" t="s">
        <v>1</v>
      </c>
      <c r="Y175" s="2" t="s">
        <v>1</v>
      </c>
      <c r="Z175" s="2" t="s">
        <v>1</v>
      </c>
      <c r="AA175" s="107" t="s">
        <v>1</v>
      </c>
      <c r="AB175" s="2" t="s">
        <v>1</v>
      </c>
    </row>
    <row r="176" spans="1:28" ht="30.15" customHeight="1" x14ac:dyDescent="0.25">
      <c r="A176" s="59" t="s">
        <v>18</v>
      </c>
      <c r="B176" s="56" t="s">
        <v>1</v>
      </c>
      <c r="C176" s="58" t="s">
        <v>34</v>
      </c>
      <c r="D176" s="116" t="s">
        <v>3</v>
      </c>
      <c r="E176" s="116" t="s">
        <v>459</v>
      </c>
      <c r="F176" s="116" t="s">
        <v>450</v>
      </c>
      <c r="G176" s="46" t="s">
        <v>409</v>
      </c>
      <c r="H176" s="15">
        <v>1509</v>
      </c>
      <c r="I176" s="15">
        <v>1539</v>
      </c>
      <c r="J176" s="15">
        <v>1539</v>
      </c>
      <c r="K176" s="117">
        <v>1630</v>
      </c>
      <c r="L176" s="15">
        <v>0</v>
      </c>
      <c r="M176" s="15">
        <v>0</v>
      </c>
      <c r="N176" s="15">
        <v>0</v>
      </c>
      <c r="O176" s="15">
        <v>0</v>
      </c>
      <c r="P176" s="121">
        <f t="shared" si="26"/>
        <v>1150</v>
      </c>
      <c r="Q176" s="121">
        <f t="shared" si="27"/>
        <v>1150</v>
      </c>
      <c r="R176" s="121">
        <f t="shared" si="28"/>
        <v>910</v>
      </c>
      <c r="S176" s="121">
        <f t="shared" si="29"/>
        <v>910</v>
      </c>
      <c r="T176" s="121">
        <f t="shared" si="30"/>
        <v>670</v>
      </c>
      <c r="U176" s="121">
        <f t="shared" si="31"/>
        <v>670</v>
      </c>
      <c r="V176" s="117">
        <f t="shared" si="32"/>
        <v>1480</v>
      </c>
      <c r="W176" s="117">
        <v>1630</v>
      </c>
      <c r="X176" s="1" t="s">
        <v>1</v>
      </c>
      <c r="Y176" s="2" t="s">
        <v>1</v>
      </c>
      <c r="Z176" s="2" t="s">
        <v>1</v>
      </c>
      <c r="AA176" s="107" t="s">
        <v>1</v>
      </c>
      <c r="AB176" s="2" t="s">
        <v>1</v>
      </c>
    </row>
    <row r="177" spans="1:28" ht="30.15" customHeight="1" x14ac:dyDescent="0.25">
      <c r="A177" s="59" t="s">
        <v>18</v>
      </c>
      <c r="B177" s="56" t="s">
        <v>1</v>
      </c>
      <c r="C177" s="58" t="s">
        <v>34</v>
      </c>
      <c r="D177" s="116" t="s">
        <v>3</v>
      </c>
      <c r="E177" s="116" t="s">
        <v>460</v>
      </c>
      <c r="F177" s="116" t="s">
        <v>450</v>
      </c>
      <c r="G177" s="46" t="s">
        <v>409</v>
      </c>
      <c r="H177" s="15">
        <v>1509</v>
      </c>
      <c r="I177" s="15">
        <v>1539</v>
      </c>
      <c r="J177" s="15">
        <v>1539</v>
      </c>
      <c r="K177" s="117">
        <v>1630</v>
      </c>
      <c r="L177" s="15">
        <v>0</v>
      </c>
      <c r="M177" s="15">
        <v>0</v>
      </c>
      <c r="N177" s="15">
        <v>0</v>
      </c>
      <c r="O177" s="15">
        <v>0</v>
      </c>
      <c r="P177" s="121">
        <f t="shared" si="26"/>
        <v>1150</v>
      </c>
      <c r="Q177" s="121">
        <f t="shared" si="27"/>
        <v>1150</v>
      </c>
      <c r="R177" s="121">
        <f t="shared" si="28"/>
        <v>910</v>
      </c>
      <c r="S177" s="121">
        <f t="shared" si="29"/>
        <v>910</v>
      </c>
      <c r="T177" s="121">
        <f t="shared" si="30"/>
        <v>670</v>
      </c>
      <c r="U177" s="121">
        <f t="shared" si="31"/>
        <v>670</v>
      </c>
      <c r="V177" s="117">
        <f t="shared" si="32"/>
        <v>1480</v>
      </c>
      <c r="W177" s="117">
        <v>1630</v>
      </c>
      <c r="X177" s="1" t="s">
        <v>1</v>
      </c>
      <c r="Y177" s="2" t="s">
        <v>1</v>
      </c>
      <c r="Z177" s="2" t="s">
        <v>1</v>
      </c>
      <c r="AA177" s="107" t="s">
        <v>1</v>
      </c>
      <c r="AB177" s="2" t="s">
        <v>1</v>
      </c>
    </row>
    <row r="178" spans="1:28" ht="30.15" customHeight="1" x14ac:dyDescent="0.25">
      <c r="A178" s="59" t="s">
        <v>18</v>
      </c>
      <c r="B178" s="56" t="s">
        <v>1</v>
      </c>
      <c r="C178" s="58" t="s">
        <v>34</v>
      </c>
      <c r="D178" s="116" t="s">
        <v>3</v>
      </c>
      <c r="E178" s="116" t="s">
        <v>461</v>
      </c>
      <c r="F178" s="116" t="s">
        <v>453</v>
      </c>
      <c r="G178" s="46" t="s">
        <v>409</v>
      </c>
      <c r="H178" s="15">
        <v>1769</v>
      </c>
      <c r="I178" s="15">
        <v>1799</v>
      </c>
      <c r="J178" s="15">
        <v>1799</v>
      </c>
      <c r="K178" s="117">
        <v>1910</v>
      </c>
      <c r="L178" s="15">
        <v>0</v>
      </c>
      <c r="M178" s="15">
        <v>0</v>
      </c>
      <c r="N178" s="15">
        <v>0</v>
      </c>
      <c r="O178" s="15">
        <v>0</v>
      </c>
      <c r="P178" s="121">
        <f t="shared" si="26"/>
        <v>1430</v>
      </c>
      <c r="Q178" s="121">
        <f t="shared" si="27"/>
        <v>1430</v>
      </c>
      <c r="R178" s="121">
        <f t="shared" si="28"/>
        <v>1190</v>
      </c>
      <c r="S178" s="121">
        <f t="shared" si="29"/>
        <v>1190</v>
      </c>
      <c r="T178" s="121">
        <f t="shared" si="30"/>
        <v>950</v>
      </c>
      <c r="U178" s="121">
        <f t="shared" si="31"/>
        <v>950</v>
      </c>
      <c r="V178" s="117">
        <f t="shared" si="32"/>
        <v>1760</v>
      </c>
      <c r="W178" s="117">
        <v>1910</v>
      </c>
      <c r="X178" s="1" t="s">
        <v>1</v>
      </c>
      <c r="Y178" s="2" t="s">
        <v>1</v>
      </c>
      <c r="Z178" s="2" t="s">
        <v>1</v>
      </c>
      <c r="AA178" s="107" t="s">
        <v>1</v>
      </c>
      <c r="AB178" s="2" t="s">
        <v>1</v>
      </c>
    </row>
    <row r="179" spans="1:28" ht="30.15" customHeight="1" x14ac:dyDescent="0.25">
      <c r="A179" s="59" t="s">
        <v>18</v>
      </c>
      <c r="B179" s="56" t="s">
        <v>1</v>
      </c>
      <c r="C179" s="58" t="s">
        <v>34</v>
      </c>
      <c r="D179" s="116" t="s">
        <v>3</v>
      </c>
      <c r="E179" s="116" t="s">
        <v>462</v>
      </c>
      <c r="F179" s="116" t="s">
        <v>453</v>
      </c>
      <c r="G179" s="46" t="s">
        <v>409</v>
      </c>
      <c r="H179" s="15">
        <v>1769</v>
      </c>
      <c r="I179" s="15">
        <v>1799</v>
      </c>
      <c r="J179" s="15">
        <v>1799</v>
      </c>
      <c r="K179" s="117">
        <v>1910</v>
      </c>
      <c r="L179" s="15">
        <v>0</v>
      </c>
      <c r="M179" s="15">
        <v>0</v>
      </c>
      <c r="N179" s="15">
        <v>0</v>
      </c>
      <c r="O179" s="15">
        <v>0</v>
      </c>
      <c r="P179" s="121">
        <f t="shared" si="26"/>
        <v>1430</v>
      </c>
      <c r="Q179" s="121">
        <f t="shared" si="27"/>
        <v>1430</v>
      </c>
      <c r="R179" s="121">
        <f t="shared" si="28"/>
        <v>1190</v>
      </c>
      <c r="S179" s="121">
        <f t="shared" si="29"/>
        <v>1190</v>
      </c>
      <c r="T179" s="121">
        <f t="shared" si="30"/>
        <v>950</v>
      </c>
      <c r="U179" s="121">
        <f t="shared" si="31"/>
        <v>950</v>
      </c>
      <c r="V179" s="117">
        <f t="shared" si="32"/>
        <v>1760</v>
      </c>
      <c r="W179" s="117">
        <v>1910</v>
      </c>
      <c r="X179" s="1" t="s">
        <v>1</v>
      </c>
      <c r="Y179" s="2" t="s">
        <v>1</v>
      </c>
      <c r="Z179" s="2" t="s">
        <v>1</v>
      </c>
      <c r="AA179" s="107" t="s">
        <v>1</v>
      </c>
      <c r="AB179" s="2" t="s">
        <v>1</v>
      </c>
    </row>
    <row r="180" spans="1:28" ht="30.15" customHeight="1" x14ac:dyDescent="0.25">
      <c r="A180" s="59" t="s">
        <v>18</v>
      </c>
      <c r="B180" s="56" t="s">
        <v>1</v>
      </c>
      <c r="C180" s="58" t="s">
        <v>34</v>
      </c>
      <c r="D180" s="116" t="s">
        <v>3</v>
      </c>
      <c r="E180" s="116" t="s">
        <v>463</v>
      </c>
      <c r="F180" s="116" t="s">
        <v>453</v>
      </c>
      <c r="G180" s="46" t="s">
        <v>409</v>
      </c>
      <c r="H180" s="15">
        <v>1769</v>
      </c>
      <c r="I180" s="15">
        <v>1799</v>
      </c>
      <c r="J180" s="15">
        <v>1799</v>
      </c>
      <c r="K180" s="117">
        <v>1910</v>
      </c>
      <c r="L180" s="15">
        <v>0</v>
      </c>
      <c r="M180" s="15">
        <v>0</v>
      </c>
      <c r="N180" s="15">
        <v>0</v>
      </c>
      <c r="O180" s="15">
        <v>0</v>
      </c>
      <c r="P180" s="121">
        <f t="shared" si="26"/>
        <v>1430</v>
      </c>
      <c r="Q180" s="121">
        <f t="shared" si="27"/>
        <v>1430</v>
      </c>
      <c r="R180" s="121">
        <f t="shared" si="28"/>
        <v>1190</v>
      </c>
      <c r="S180" s="121">
        <f t="shared" si="29"/>
        <v>1190</v>
      </c>
      <c r="T180" s="121">
        <f t="shared" si="30"/>
        <v>950</v>
      </c>
      <c r="U180" s="121">
        <f t="shared" si="31"/>
        <v>950</v>
      </c>
      <c r="V180" s="117">
        <f t="shared" si="32"/>
        <v>1760</v>
      </c>
      <c r="W180" s="117">
        <v>1910</v>
      </c>
      <c r="X180" s="1" t="s">
        <v>1</v>
      </c>
      <c r="Y180" s="2" t="s">
        <v>1</v>
      </c>
      <c r="Z180" s="2" t="s">
        <v>1</v>
      </c>
      <c r="AA180" s="107" t="s">
        <v>1</v>
      </c>
      <c r="AB180" s="2" t="s">
        <v>1</v>
      </c>
    </row>
    <row r="181" spans="1:28" ht="30.15" customHeight="1" x14ac:dyDescent="0.25">
      <c r="A181" s="59" t="s">
        <v>18</v>
      </c>
      <c r="B181" s="56" t="s">
        <v>1</v>
      </c>
      <c r="C181" s="58" t="s">
        <v>34</v>
      </c>
      <c r="D181" s="116" t="s">
        <v>3</v>
      </c>
      <c r="E181" s="116" t="s">
        <v>464</v>
      </c>
      <c r="F181" s="116" t="s">
        <v>451</v>
      </c>
      <c r="G181" s="46" t="s">
        <v>409</v>
      </c>
      <c r="H181" s="15">
        <v>1439</v>
      </c>
      <c r="I181" s="15">
        <v>1469</v>
      </c>
      <c r="J181" s="15">
        <v>1469</v>
      </c>
      <c r="K181" s="117">
        <v>1550</v>
      </c>
      <c r="L181" s="15">
        <v>0</v>
      </c>
      <c r="M181" s="15">
        <v>0</v>
      </c>
      <c r="N181" s="15">
        <v>0</v>
      </c>
      <c r="O181" s="15">
        <v>0</v>
      </c>
      <c r="P181" s="121">
        <f t="shared" si="26"/>
        <v>1070</v>
      </c>
      <c r="Q181" s="121">
        <f t="shared" si="27"/>
        <v>1070</v>
      </c>
      <c r="R181" s="121">
        <f t="shared" si="28"/>
        <v>830</v>
      </c>
      <c r="S181" s="121">
        <f t="shared" si="29"/>
        <v>830</v>
      </c>
      <c r="T181" s="121">
        <f t="shared" si="30"/>
        <v>590</v>
      </c>
      <c r="U181" s="121">
        <f t="shared" si="31"/>
        <v>590</v>
      </c>
      <c r="V181" s="117">
        <f t="shared" si="32"/>
        <v>1400</v>
      </c>
      <c r="W181" s="117">
        <v>1550</v>
      </c>
      <c r="X181" s="1" t="s">
        <v>1</v>
      </c>
      <c r="Y181" s="2" t="s">
        <v>1</v>
      </c>
      <c r="Z181" s="2" t="s">
        <v>1</v>
      </c>
      <c r="AA181" s="107" t="s">
        <v>1</v>
      </c>
      <c r="AB181" s="2" t="s">
        <v>1</v>
      </c>
    </row>
    <row r="182" spans="1:28" ht="30.15" customHeight="1" x14ac:dyDescent="0.25">
      <c r="A182" s="59" t="s">
        <v>18</v>
      </c>
      <c r="B182" s="56" t="s">
        <v>1</v>
      </c>
      <c r="C182" s="58" t="s">
        <v>34</v>
      </c>
      <c r="D182" s="116" t="s">
        <v>3</v>
      </c>
      <c r="E182" s="116" t="s">
        <v>465</v>
      </c>
      <c r="F182" s="116" t="s">
        <v>451</v>
      </c>
      <c r="G182" s="46" t="s">
        <v>409</v>
      </c>
      <c r="H182" s="15">
        <v>1439</v>
      </c>
      <c r="I182" s="15">
        <v>1469</v>
      </c>
      <c r="J182" s="15">
        <v>1469</v>
      </c>
      <c r="K182" s="117">
        <v>1550</v>
      </c>
      <c r="L182" s="15">
        <v>0</v>
      </c>
      <c r="M182" s="15">
        <v>0</v>
      </c>
      <c r="N182" s="15">
        <v>0</v>
      </c>
      <c r="O182" s="15">
        <v>0</v>
      </c>
      <c r="P182" s="121">
        <f t="shared" si="26"/>
        <v>1070</v>
      </c>
      <c r="Q182" s="121">
        <f t="shared" si="27"/>
        <v>1070</v>
      </c>
      <c r="R182" s="121">
        <f t="shared" si="28"/>
        <v>830</v>
      </c>
      <c r="S182" s="121">
        <f t="shared" si="29"/>
        <v>830</v>
      </c>
      <c r="T182" s="121">
        <f t="shared" si="30"/>
        <v>590</v>
      </c>
      <c r="U182" s="121">
        <f t="shared" si="31"/>
        <v>590</v>
      </c>
      <c r="V182" s="117">
        <f t="shared" si="32"/>
        <v>1400</v>
      </c>
      <c r="W182" s="117">
        <v>1550</v>
      </c>
      <c r="X182" s="1" t="s">
        <v>1</v>
      </c>
      <c r="Y182" s="2" t="s">
        <v>1</v>
      </c>
      <c r="Z182" s="2" t="s">
        <v>1</v>
      </c>
      <c r="AA182" s="107" t="s">
        <v>1</v>
      </c>
      <c r="AB182" s="2" t="s">
        <v>1</v>
      </c>
    </row>
    <row r="183" spans="1:28" ht="30.15" customHeight="1" x14ac:dyDescent="0.25">
      <c r="A183" s="59" t="s">
        <v>18</v>
      </c>
      <c r="B183" s="56" t="s">
        <v>1</v>
      </c>
      <c r="C183" s="58" t="s">
        <v>34</v>
      </c>
      <c r="D183" s="116" t="s">
        <v>3</v>
      </c>
      <c r="E183" s="116" t="s">
        <v>466</v>
      </c>
      <c r="F183" s="116" t="s">
        <v>451</v>
      </c>
      <c r="G183" s="46" t="s">
        <v>409</v>
      </c>
      <c r="H183" s="15">
        <v>1439</v>
      </c>
      <c r="I183" s="15">
        <v>1469</v>
      </c>
      <c r="J183" s="15">
        <v>1469</v>
      </c>
      <c r="K183" s="117">
        <v>1550</v>
      </c>
      <c r="L183" s="15">
        <v>0</v>
      </c>
      <c r="M183" s="15">
        <v>0</v>
      </c>
      <c r="N183" s="15">
        <v>0</v>
      </c>
      <c r="O183" s="15">
        <v>0</v>
      </c>
      <c r="P183" s="121">
        <f t="shared" si="26"/>
        <v>1070</v>
      </c>
      <c r="Q183" s="121">
        <f t="shared" si="27"/>
        <v>1070</v>
      </c>
      <c r="R183" s="121">
        <f t="shared" si="28"/>
        <v>830</v>
      </c>
      <c r="S183" s="121">
        <f t="shared" si="29"/>
        <v>830</v>
      </c>
      <c r="T183" s="121">
        <f t="shared" si="30"/>
        <v>590</v>
      </c>
      <c r="U183" s="121">
        <f t="shared" si="31"/>
        <v>590</v>
      </c>
      <c r="V183" s="117">
        <f t="shared" si="32"/>
        <v>1400</v>
      </c>
      <c r="W183" s="117">
        <v>1550</v>
      </c>
      <c r="X183" s="1" t="s">
        <v>1</v>
      </c>
      <c r="Y183" s="2" t="s">
        <v>1</v>
      </c>
      <c r="Z183" s="2" t="s">
        <v>1</v>
      </c>
      <c r="AA183" s="107" t="s">
        <v>1</v>
      </c>
      <c r="AB183" s="2" t="s">
        <v>1</v>
      </c>
    </row>
    <row r="184" spans="1:28" ht="30.15" customHeight="1" x14ac:dyDescent="0.25">
      <c r="A184" s="59" t="s">
        <v>18</v>
      </c>
      <c r="B184" s="56" t="s">
        <v>1</v>
      </c>
      <c r="C184" s="58" t="s">
        <v>34</v>
      </c>
      <c r="D184" s="116" t="s">
        <v>3</v>
      </c>
      <c r="E184" s="116" t="s">
        <v>467</v>
      </c>
      <c r="F184" s="116" t="s">
        <v>452</v>
      </c>
      <c r="G184" s="46" t="s">
        <v>409</v>
      </c>
      <c r="H184" s="15">
        <v>1639</v>
      </c>
      <c r="I184" s="15">
        <v>1679</v>
      </c>
      <c r="J184" s="15">
        <v>1679</v>
      </c>
      <c r="K184" s="117">
        <v>1770</v>
      </c>
      <c r="L184" s="15">
        <v>0</v>
      </c>
      <c r="M184" s="15">
        <v>0</v>
      </c>
      <c r="N184" s="15">
        <v>0</v>
      </c>
      <c r="O184" s="15">
        <v>0</v>
      </c>
      <c r="P184" s="121">
        <f t="shared" si="26"/>
        <v>1290</v>
      </c>
      <c r="Q184" s="121">
        <f t="shared" si="27"/>
        <v>1290</v>
      </c>
      <c r="R184" s="121">
        <f t="shared" si="28"/>
        <v>1050</v>
      </c>
      <c r="S184" s="121">
        <f t="shared" si="29"/>
        <v>1050</v>
      </c>
      <c r="T184" s="121">
        <f t="shared" si="30"/>
        <v>810</v>
      </c>
      <c r="U184" s="121">
        <f t="shared" si="31"/>
        <v>810</v>
      </c>
      <c r="V184" s="117">
        <f t="shared" si="32"/>
        <v>1620</v>
      </c>
      <c r="W184" s="117">
        <v>1770</v>
      </c>
      <c r="X184" s="1" t="s">
        <v>1</v>
      </c>
      <c r="Y184" s="2" t="s">
        <v>1</v>
      </c>
      <c r="Z184" s="2" t="s">
        <v>1</v>
      </c>
      <c r="AA184" s="107" t="s">
        <v>1</v>
      </c>
      <c r="AB184" s="2" t="s">
        <v>1</v>
      </c>
    </row>
    <row r="185" spans="1:28" ht="30.15" customHeight="1" x14ac:dyDescent="0.25">
      <c r="A185" s="59" t="s">
        <v>18</v>
      </c>
      <c r="B185" s="56" t="s">
        <v>1</v>
      </c>
      <c r="C185" s="58" t="s">
        <v>34</v>
      </c>
      <c r="D185" s="116" t="s">
        <v>3</v>
      </c>
      <c r="E185" s="116" t="s">
        <v>468</v>
      </c>
      <c r="F185" s="116" t="s">
        <v>452</v>
      </c>
      <c r="G185" s="46" t="s">
        <v>409</v>
      </c>
      <c r="H185" s="15">
        <v>1639</v>
      </c>
      <c r="I185" s="15">
        <v>1679</v>
      </c>
      <c r="J185" s="15">
        <v>1679</v>
      </c>
      <c r="K185" s="117">
        <v>1770</v>
      </c>
      <c r="L185" s="15">
        <v>0</v>
      </c>
      <c r="M185" s="15">
        <v>0</v>
      </c>
      <c r="N185" s="15">
        <v>0</v>
      </c>
      <c r="O185" s="15">
        <v>0</v>
      </c>
      <c r="P185" s="121">
        <f t="shared" si="26"/>
        <v>1290</v>
      </c>
      <c r="Q185" s="121">
        <f t="shared" si="27"/>
        <v>1290</v>
      </c>
      <c r="R185" s="121">
        <f t="shared" si="28"/>
        <v>1050</v>
      </c>
      <c r="S185" s="121">
        <f t="shared" si="29"/>
        <v>1050</v>
      </c>
      <c r="T185" s="121">
        <f t="shared" si="30"/>
        <v>810</v>
      </c>
      <c r="U185" s="121">
        <f t="shared" si="31"/>
        <v>810</v>
      </c>
      <c r="V185" s="117">
        <f t="shared" si="32"/>
        <v>1620</v>
      </c>
      <c r="W185" s="117">
        <v>1770</v>
      </c>
      <c r="X185" s="1" t="s">
        <v>1</v>
      </c>
      <c r="Y185" s="2" t="s">
        <v>1</v>
      </c>
      <c r="Z185" s="2" t="s">
        <v>1</v>
      </c>
      <c r="AA185" s="107" t="s">
        <v>1</v>
      </c>
      <c r="AB185" s="2" t="s">
        <v>1</v>
      </c>
    </row>
    <row r="186" spans="1:28" ht="30.15" customHeight="1" x14ac:dyDescent="0.25">
      <c r="A186" s="59" t="s">
        <v>18</v>
      </c>
      <c r="B186" s="56" t="s">
        <v>1</v>
      </c>
      <c r="C186" s="58" t="s">
        <v>34</v>
      </c>
      <c r="D186" s="116" t="s">
        <v>3</v>
      </c>
      <c r="E186" s="116" t="s">
        <v>469</v>
      </c>
      <c r="F186" s="116" t="s">
        <v>452</v>
      </c>
      <c r="G186" s="46" t="s">
        <v>409</v>
      </c>
      <c r="H186" s="15">
        <v>1639</v>
      </c>
      <c r="I186" s="15">
        <v>1679</v>
      </c>
      <c r="J186" s="15">
        <v>1679</v>
      </c>
      <c r="K186" s="117">
        <v>1770</v>
      </c>
      <c r="L186" s="15">
        <v>0</v>
      </c>
      <c r="M186" s="15">
        <v>0</v>
      </c>
      <c r="N186" s="15">
        <v>0</v>
      </c>
      <c r="O186" s="15">
        <v>0</v>
      </c>
      <c r="P186" s="121">
        <f t="shared" si="26"/>
        <v>1290</v>
      </c>
      <c r="Q186" s="121">
        <f t="shared" si="27"/>
        <v>1290</v>
      </c>
      <c r="R186" s="121">
        <f t="shared" si="28"/>
        <v>1050</v>
      </c>
      <c r="S186" s="121">
        <f t="shared" si="29"/>
        <v>1050</v>
      </c>
      <c r="T186" s="121">
        <f t="shared" si="30"/>
        <v>810</v>
      </c>
      <c r="U186" s="121">
        <f t="shared" si="31"/>
        <v>810</v>
      </c>
      <c r="V186" s="117">
        <f t="shared" si="32"/>
        <v>1620</v>
      </c>
      <c r="W186" s="117">
        <v>1770</v>
      </c>
      <c r="X186" s="1" t="s">
        <v>1</v>
      </c>
      <c r="Y186" s="2" t="s">
        <v>1</v>
      </c>
      <c r="Z186" s="2" t="s">
        <v>1</v>
      </c>
      <c r="AA186" s="107" t="s">
        <v>1</v>
      </c>
      <c r="AB186" s="2" t="s">
        <v>1</v>
      </c>
    </row>
    <row r="187" spans="1:28" ht="30.15" customHeight="1" x14ac:dyDescent="0.25">
      <c r="A187" s="59" t="s">
        <v>18</v>
      </c>
      <c r="B187" s="56" t="s">
        <v>1</v>
      </c>
      <c r="C187" s="58" t="s">
        <v>34</v>
      </c>
      <c r="D187" s="116" t="s">
        <v>3</v>
      </c>
      <c r="E187" s="116" t="s">
        <v>470</v>
      </c>
      <c r="F187" s="116" t="s">
        <v>454</v>
      </c>
      <c r="G187" s="46" t="s">
        <v>409</v>
      </c>
      <c r="H187" s="15">
        <v>1899</v>
      </c>
      <c r="I187" s="15">
        <v>1939</v>
      </c>
      <c r="J187" s="15">
        <v>1939</v>
      </c>
      <c r="K187" s="117">
        <v>2050</v>
      </c>
      <c r="L187" s="15">
        <v>0</v>
      </c>
      <c r="M187" s="15">
        <v>0</v>
      </c>
      <c r="N187" s="15">
        <v>0</v>
      </c>
      <c r="O187" s="15">
        <v>0</v>
      </c>
      <c r="P187" s="121">
        <f t="shared" si="26"/>
        <v>1570</v>
      </c>
      <c r="Q187" s="121">
        <f t="shared" si="27"/>
        <v>1570</v>
      </c>
      <c r="R187" s="121">
        <f t="shared" si="28"/>
        <v>1330</v>
      </c>
      <c r="S187" s="121">
        <f t="shared" si="29"/>
        <v>1330</v>
      </c>
      <c r="T187" s="121">
        <f t="shared" si="30"/>
        <v>1090</v>
      </c>
      <c r="U187" s="121">
        <f t="shared" si="31"/>
        <v>1090</v>
      </c>
      <c r="V187" s="117">
        <f t="shared" si="32"/>
        <v>1900</v>
      </c>
      <c r="W187" s="117">
        <v>2050</v>
      </c>
      <c r="X187" s="1" t="s">
        <v>1</v>
      </c>
      <c r="Y187" s="2" t="s">
        <v>1</v>
      </c>
      <c r="Z187" s="2" t="s">
        <v>1</v>
      </c>
      <c r="AA187" s="107" t="s">
        <v>1</v>
      </c>
      <c r="AB187" s="2" t="s">
        <v>1</v>
      </c>
    </row>
    <row r="188" spans="1:28" ht="30.15" customHeight="1" x14ac:dyDescent="0.25">
      <c r="A188" s="59" t="s">
        <v>18</v>
      </c>
      <c r="B188" s="56" t="s">
        <v>1</v>
      </c>
      <c r="C188" s="58" t="s">
        <v>34</v>
      </c>
      <c r="D188" s="116" t="s">
        <v>3</v>
      </c>
      <c r="E188" s="116" t="s">
        <v>471</v>
      </c>
      <c r="F188" s="116" t="s">
        <v>454</v>
      </c>
      <c r="G188" s="46" t="s">
        <v>409</v>
      </c>
      <c r="H188" s="15">
        <v>1899</v>
      </c>
      <c r="I188" s="15">
        <v>1939</v>
      </c>
      <c r="J188" s="15">
        <v>1939</v>
      </c>
      <c r="K188" s="117">
        <v>2050</v>
      </c>
      <c r="L188" s="15">
        <v>0</v>
      </c>
      <c r="M188" s="15">
        <v>0</v>
      </c>
      <c r="N188" s="15">
        <v>0</v>
      </c>
      <c r="O188" s="15">
        <v>0</v>
      </c>
      <c r="P188" s="121">
        <f t="shared" si="26"/>
        <v>1570</v>
      </c>
      <c r="Q188" s="121">
        <f t="shared" si="27"/>
        <v>1570</v>
      </c>
      <c r="R188" s="121">
        <f t="shared" si="28"/>
        <v>1330</v>
      </c>
      <c r="S188" s="121">
        <f t="shared" si="29"/>
        <v>1330</v>
      </c>
      <c r="T188" s="121">
        <f t="shared" si="30"/>
        <v>1090</v>
      </c>
      <c r="U188" s="121">
        <f t="shared" si="31"/>
        <v>1090</v>
      </c>
      <c r="V188" s="117">
        <f t="shared" si="32"/>
        <v>1900</v>
      </c>
      <c r="W188" s="117">
        <v>2050</v>
      </c>
      <c r="X188" s="1" t="s">
        <v>1</v>
      </c>
      <c r="Y188" s="2" t="s">
        <v>1</v>
      </c>
      <c r="Z188" s="2" t="s">
        <v>1</v>
      </c>
      <c r="AA188" s="107" t="s">
        <v>1</v>
      </c>
      <c r="AB188" s="2" t="s">
        <v>1</v>
      </c>
    </row>
    <row r="189" spans="1:28" ht="30.15" customHeight="1" x14ac:dyDescent="0.25">
      <c r="A189" s="59" t="s">
        <v>18</v>
      </c>
      <c r="B189" s="56" t="s">
        <v>1</v>
      </c>
      <c r="C189" s="58" t="s">
        <v>34</v>
      </c>
      <c r="D189" s="116" t="s">
        <v>3</v>
      </c>
      <c r="E189" s="116" t="s">
        <v>472</v>
      </c>
      <c r="F189" s="116" t="s">
        <v>454</v>
      </c>
      <c r="G189" s="46" t="s">
        <v>409</v>
      </c>
      <c r="H189" s="15">
        <v>1899</v>
      </c>
      <c r="I189" s="15">
        <v>1939</v>
      </c>
      <c r="J189" s="15">
        <v>1939</v>
      </c>
      <c r="K189" s="117">
        <v>2050</v>
      </c>
      <c r="L189" s="15">
        <v>0</v>
      </c>
      <c r="M189" s="15">
        <v>0</v>
      </c>
      <c r="N189" s="15">
        <v>0</v>
      </c>
      <c r="O189" s="15">
        <v>0</v>
      </c>
      <c r="P189" s="121">
        <f t="shared" si="26"/>
        <v>1570</v>
      </c>
      <c r="Q189" s="121">
        <f t="shared" si="27"/>
        <v>1570</v>
      </c>
      <c r="R189" s="121">
        <f t="shared" si="28"/>
        <v>1330</v>
      </c>
      <c r="S189" s="121">
        <f t="shared" si="29"/>
        <v>1330</v>
      </c>
      <c r="T189" s="121">
        <f t="shared" si="30"/>
        <v>1090</v>
      </c>
      <c r="U189" s="121">
        <f t="shared" si="31"/>
        <v>1090</v>
      </c>
      <c r="V189" s="117">
        <f t="shared" si="32"/>
        <v>1900</v>
      </c>
      <c r="W189" s="117">
        <v>2050</v>
      </c>
      <c r="X189" s="1" t="s">
        <v>1</v>
      </c>
      <c r="Y189" s="2" t="s">
        <v>1</v>
      </c>
      <c r="Z189" s="2" t="s">
        <v>1</v>
      </c>
      <c r="AA189" s="107" t="s">
        <v>1</v>
      </c>
      <c r="AB189" s="2" t="s">
        <v>1</v>
      </c>
    </row>
    <row r="190" spans="1:28" ht="30.15" customHeight="1" x14ac:dyDescent="0.25">
      <c r="A190" s="56" t="s">
        <v>17</v>
      </c>
      <c r="B190" s="57">
        <v>43282</v>
      </c>
      <c r="C190" s="58" t="s">
        <v>34</v>
      </c>
      <c r="D190" s="40" t="s">
        <v>4</v>
      </c>
      <c r="E190" s="40" t="s">
        <v>67</v>
      </c>
      <c r="F190" s="40" t="s">
        <v>68</v>
      </c>
      <c r="G190" s="46" t="s">
        <v>409</v>
      </c>
      <c r="H190" s="15">
        <v>470</v>
      </c>
      <c r="I190" s="15">
        <v>470</v>
      </c>
      <c r="J190" s="15">
        <v>470</v>
      </c>
      <c r="K190" s="15">
        <v>499.99</v>
      </c>
      <c r="L190" s="15">
        <v>0</v>
      </c>
      <c r="M190" s="15">
        <v>0</v>
      </c>
      <c r="N190" s="15">
        <v>0</v>
      </c>
      <c r="O190" s="15">
        <v>0</v>
      </c>
      <c r="P190" s="2">
        <v>49.99</v>
      </c>
      <c r="Q190" s="2">
        <v>49.99</v>
      </c>
      <c r="R190" s="2">
        <v>49.99</v>
      </c>
      <c r="S190" s="2">
        <v>49.99</v>
      </c>
      <c r="T190" s="2" t="s">
        <v>1</v>
      </c>
      <c r="U190" s="44" t="s">
        <v>1</v>
      </c>
      <c r="V190" s="15">
        <v>349.99</v>
      </c>
      <c r="W190" s="2">
        <v>499.99</v>
      </c>
      <c r="X190" s="15" t="s">
        <v>1</v>
      </c>
      <c r="Y190" s="16" t="s">
        <v>1</v>
      </c>
      <c r="Z190" s="2" t="s">
        <v>1</v>
      </c>
      <c r="AA190" s="107" t="s">
        <v>1</v>
      </c>
      <c r="AB190" s="2" t="s">
        <v>1</v>
      </c>
    </row>
    <row r="191" spans="1:28" ht="30.15" customHeight="1" x14ac:dyDescent="0.25">
      <c r="A191" s="56" t="s">
        <v>18</v>
      </c>
      <c r="B191" s="57" t="s">
        <v>1</v>
      </c>
      <c r="C191" s="58" t="s">
        <v>34</v>
      </c>
      <c r="D191" s="40" t="s">
        <v>4</v>
      </c>
      <c r="E191" s="40" t="s">
        <v>159</v>
      </c>
      <c r="F191" s="40" t="s">
        <v>160</v>
      </c>
      <c r="G191" s="46" t="s">
        <v>409</v>
      </c>
      <c r="H191" s="15">
        <v>409</v>
      </c>
      <c r="I191" s="15">
        <v>409</v>
      </c>
      <c r="J191" s="15">
        <v>409</v>
      </c>
      <c r="K191" s="15">
        <v>429</v>
      </c>
      <c r="L191" s="15">
        <v>0</v>
      </c>
      <c r="M191" s="15">
        <v>0</v>
      </c>
      <c r="N191" s="15">
        <v>0</v>
      </c>
      <c r="O191" s="15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1</v>
      </c>
      <c r="U191" s="44" t="s">
        <v>1</v>
      </c>
      <c r="V191" s="15">
        <v>249.99</v>
      </c>
      <c r="W191" s="15">
        <v>249.99</v>
      </c>
      <c r="X191" s="15" t="s">
        <v>1</v>
      </c>
      <c r="Y191" s="16" t="s">
        <v>1</v>
      </c>
      <c r="Z191" s="2" t="s">
        <v>1</v>
      </c>
      <c r="AA191" s="107" t="s">
        <v>1</v>
      </c>
      <c r="AB191" s="2" t="s">
        <v>1</v>
      </c>
    </row>
    <row r="192" spans="1:28" ht="30.15" customHeight="1" x14ac:dyDescent="0.25">
      <c r="A192" s="56" t="s">
        <v>18</v>
      </c>
      <c r="B192" s="57" t="s">
        <v>1</v>
      </c>
      <c r="C192" s="58" t="s">
        <v>34</v>
      </c>
      <c r="D192" s="40" t="s">
        <v>4</v>
      </c>
      <c r="E192" s="40" t="s">
        <v>277</v>
      </c>
      <c r="F192" s="40" t="s">
        <v>278</v>
      </c>
      <c r="G192" s="46" t="s">
        <v>409</v>
      </c>
      <c r="H192" s="15">
        <v>659</v>
      </c>
      <c r="I192" s="15">
        <v>659</v>
      </c>
      <c r="J192" s="15">
        <v>659</v>
      </c>
      <c r="K192" s="15">
        <v>679</v>
      </c>
      <c r="L192" s="15">
        <v>0</v>
      </c>
      <c r="M192" s="15">
        <v>0</v>
      </c>
      <c r="N192" s="15">
        <v>0</v>
      </c>
      <c r="O192" s="15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1</v>
      </c>
      <c r="U192" s="44" t="s">
        <v>1</v>
      </c>
      <c r="V192" s="15">
        <v>439</v>
      </c>
      <c r="W192" s="2">
        <v>439</v>
      </c>
      <c r="X192" s="15" t="s">
        <v>1</v>
      </c>
      <c r="Y192" s="16" t="s">
        <v>1</v>
      </c>
      <c r="Z192" s="2" t="s">
        <v>1</v>
      </c>
      <c r="AA192" s="107" t="s">
        <v>1</v>
      </c>
      <c r="AB192" s="2" t="s">
        <v>1</v>
      </c>
    </row>
    <row r="193" spans="1:28" ht="30.15" customHeight="1" x14ac:dyDescent="0.25">
      <c r="A193" s="56" t="s">
        <v>18</v>
      </c>
      <c r="B193" s="57" t="s">
        <v>1</v>
      </c>
      <c r="C193" s="58" t="s">
        <v>34</v>
      </c>
      <c r="D193" s="116" t="s">
        <v>4</v>
      </c>
      <c r="E193" s="116" t="s">
        <v>432</v>
      </c>
      <c r="F193" s="116" t="s">
        <v>431</v>
      </c>
      <c r="G193" s="46" t="s">
        <v>409</v>
      </c>
      <c r="H193" s="15">
        <v>749</v>
      </c>
      <c r="I193" s="15">
        <v>749</v>
      </c>
      <c r="J193" s="15">
        <v>749</v>
      </c>
      <c r="K193" s="117">
        <v>780</v>
      </c>
      <c r="L193" s="15">
        <v>0</v>
      </c>
      <c r="M193" s="15">
        <v>0</v>
      </c>
      <c r="N193" s="15">
        <v>0</v>
      </c>
      <c r="O193" s="15">
        <v>0</v>
      </c>
      <c r="P193" s="121">
        <f t="shared" ref="P193:P194" si="33">IF((K193-(20*24))&lt;0,0,(K193-(20*24)))</f>
        <v>300</v>
      </c>
      <c r="Q193" s="121">
        <f t="shared" ref="Q193:Q194" si="34">IF((K193-(20*24))&lt;0,0,(K193-(20*24)))</f>
        <v>300</v>
      </c>
      <c r="R193" s="121">
        <f t="shared" ref="R193:R194" si="35">IF((K193-(30*24))&lt;0,0,(K193-(30*24)))</f>
        <v>60</v>
      </c>
      <c r="S193" s="121">
        <f t="shared" ref="S193:S194" si="36">IF((K193-(30*24))&lt;0,0,(K193-(30*24)))</f>
        <v>60</v>
      </c>
      <c r="T193" s="121">
        <f t="shared" ref="T193:T194" si="37">IF((K193-(40*24))&lt;0,0,(K193-(40*24)))</f>
        <v>0</v>
      </c>
      <c r="U193" s="121">
        <f t="shared" ref="U193:U194" si="38">IF((K193-(40*24))&lt;0,0,(K193-(40*24)))</f>
        <v>0</v>
      </c>
      <c r="V193" s="117">
        <v>630</v>
      </c>
      <c r="W193" s="117">
        <v>780</v>
      </c>
      <c r="X193" s="15" t="s">
        <v>1</v>
      </c>
      <c r="Y193" s="16" t="s">
        <v>1</v>
      </c>
      <c r="Z193" s="2" t="s">
        <v>1</v>
      </c>
      <c r="AA193" s="107" t="s">
        <v>1</v>
      </c>
      <c r="AB193" s="2" t="s">
        <v>1</v>
      </c>
    </row>
    <row r="194" spans="1:28" ht="30.15" customHeight="1" x14ac:dyDescent="0.25">
      <c r="A194" s="56" t="s">
        <v>18</v>
      </c>
      <c r="B194" s="57" t="s">
        <v>1</v>
      </c>
      <c r="C194" s="58" t="s">
        <v>34</v>
      </c>
      <c r="D194" s="116" t="s">
        <v>4</v>
      </c>
      <c r="E194" s="116" t="s">
        <v>490</v>
      </c>
      <c r="F194" s="116" t="s">
        <v>491</v>
      </c>
      <c r="G194" s="46" t="s">
        <v>409</v>
      </c>
      <c r="H194" s="117">
        <f t="shared" ref="H194" si="39">J194</f>
        <v>427</v>
      </c>
      <c r="I194" s="117">
        <f t="shared" ref="I194" si="40">J194</f>
        <v>427</v>
      </c>
      <c r="J194" s="117">
        <v>427</v>
      </c>
      <c r="K194" s="117">
        <v>450</v>
      </c>
      <c r="L194" s="15">
        <v>0</v>
      </c>
      <c r="M194" s="15">
        <v>0</v>
      </c>
      <c r="N194" s="15">
        <v>0</v>
      </c>
      <c r="O194" s="15">
        <v>0</v>
      </c>
      <c r="P194" s="121">
        <f t="shared" si="33"/>
        <v>0</v>
      </c>
      <c r="Q194" s="121">
        <f t="shared" si="34"/>
        <v>0</v>
      </c>
      <c r="R194" s="121">
        <f t="shared" si="35"/>
        <v>0</v>
      </c>
      <c r="S194" s="121">
        <f t="shared" si="36"/>
        <v>0</v>
      </c>
      <c r="T194" s="121">
        <f t="shared" si="37"/>
        <v>0</v>
      </c>
      <c r="U194" s="121">
        <f t="shared" si="38"/>
        <v>0</v>
      </c>
      <c r="V194" s="117">
        <v>300</v>
      </c>
      <c r="W194" s="117">
        <v>450</v>
      </c>
      <c r="X194" s="15" t="s">
        <v>1</v>
      </c>
      <c r="Y194" s="16" t="s">
        <v>1</v>
      </c>
      <c r="Z194" s="2" t="s">
        <v>1</v>
      </c>
      <c r="AA194" s="107" t="s">
        <v>1</v>
      </c>
      <c r="AB194" s="2" t="s">
        <v>1</v>
      </c>
    </row>
    <row r="195" spans="1:28" ht="30.15" customHeight="1" x14ac:dyDescent="0.25">
      <c r="A195" s="56" t="s">
        <v>17</v>
      </c>
      <c r="B195" s="57">
        <v>43132</v>
      </c>
      <c r="C195" s="58" t="s">
        <v>34</v>
      </c>
      <c r="D195" s="40" t="s">
        <v>4</v>
      </c>
      <c r="E195" s="40" t="s">
        <v>53</v>
      </c>
      <c r="F195" s="40" t="s">
        <v>54</v>
      </c>
      <c r="G195" s="46" t="s">
        <v>409</v>
      </c>
      <c r="H195" s="15">
        <v>700</v>
      </c>
      <c r="I195" s="15">
        <v>700</v>
      </c>
      <c r="J195" s="15">
        <v>700</v>
      </c>
      <c r="K195" s="15">
        <v>699.99</v>
      </c>
      <c r="L195" s="15">
        <v>0</v>
      </c>
      <c r="M195" s="15">
        <v>0</v>
      </c>
      <c r="N195" s="15">
        <v>0</v>
      </c>
      <c r="O195" s="15">
        <v>0</v>
      </c>
      <c r="P195" s="2">
        <v>149.99</v>
      </c>
      <c r="Q195" s="2">
        <v>149.99</v>
      </c>
      <c r="R195" s="2">
        <v>149.99</v>
      </c>
      <c r="S195" s="2">
        <v>149.99</v>
      </c>
      <c r="T195" s="2" t="s">
        <v>1</v>
      </c>
      <c r="U195" s="44" t="s">
        <v>1</v>
      </c>
      <c r="V195" s="15">
        <v>479.99</v>
      </c>
      <c r="W195" s="2">
        <v>699.99</v>
      </c>
      <c r="X195" s="15" t="s">
        <v>1</v>
      </c>
      <c r="Y195" s="16" t="s">
        <v>1</v>
      </c>
      <c r="Z195" s="2" t="s">
        <v>1</v>
      </c>
      <c r="AA195" s="107" t="s">
        <v>1</v>
      </c>
      <c r="AB195" s="2" t="s">
        <v>1</v>
      </c>
    </row>
    <row r="196" spans="1:28" ht="30.15" customHeight="1" x14ac:dyDescent="0.25">
      <c r="A196" s="56" t="s">
        <v>17</v>
      </c>
      <c r="B196" s="57">
        <v>43221</v>
      </c>
      <c r="C196" s="58" t="s">
        <v>34</v>
      </c>
      <c r="D196" s="40" t="s">
        <v>4</v>
      </c>
      <c r="E196" s="40" t="s">
        <v>114</v>
      </c>
      <c r="F196" s="40" t="s">
        <v>113</v>
      </c>
      <c r="G196" s="46" t="s">
        <v>409</v>
      </c>
      <c r="H196" s="15">
        <v>500</v>
      </c>
      <c r="I196" s="15">
        <v>500</v>
      </c>
      <c r="J196" s="15">
        <v>500</v>
      </c>
      <c r="K196" s="15">
        <v>500</v>
      </c>
      <c r="L196" s="15">
        <v>0</v>
      </c>
      <c r="M196" s="15">
        <v>0</v>
      </c>
      <c r="N196" s="15">
        <v>0</v>
      </c>
      <c r="O196" s="15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1</v>
      </c>
      <c r="U196" s="44" t="s">
        <v>1</v>
      </c>
      <c r="V196" s="15">
        <v>350</v>
      </c>
      <c r="W196" s="2">
        <v>500</v>
      </c>
      <c r="X196" s="15" t="s">
        <v>1</v>
      </c>
      <c r="Y196" s="16" t="s">
        <v>1</v>
      </c>
      <c r="Z196" s="2" t="s">
        <v>1</v>
      </c>
      <c r="AA196" s="107" t="s">
        <v>1</v>
      </c>
      <c r="AB196" s="2" t="s">
        <v>1</v>
      </c>
    </row>
    <row r="197" spans="1:28" ht="30.15" customHeight="1" x14ac:dyDescent="0.25">
      <c r="A197" s="56" t="s">
        <v>18</v>
      </c>
      <c r="B197" s="57" t="s">
        <v>1</v>
      </c>
      <c r="C197" s="58" t="s">
        <v>34</v>
      </c>
      <c r="D197" s="40" t="s">
        <v>4</v>
      </c>
      <c r="E197" s="40" t="s">
        <v>13</v>
      </c>
      <c r="F197" s="40" t="s">
        <v>27</v>
      </c>
      <c r="G197" s="46" t="s">
        <v>409</v>
      </c>
      <c r="H197" s="15">
        <v>200</v>
      </c>
      <c r="I197" s="15">
        <v>200</v>
      </c>
      <c r="J197" s="15">
        <v>200</v>
      </c>
      <c r="K197" s="15">
        <v>699.99</v>
      </c>
      <c r="L197" s="15">
        <v>0</v>
      </c>
      <c r="M197" s="15">
        <v>0</v>
      </c>
      <c r="N197" s="15">
        <v>0</v>
      </c>
      <c r="O197" s="15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1</v>
      </c>
      <c r="U197" s="44" t="s">
        <v>1</v>
      </c>
      <c r="V197" s="15">
        <v>549.99</v>
      </c>
      <c r="W197" s="2">
        <v>699.99</v>
      </c>
      <c r="X197" s="15" t="s">
        <v>1</v>
      </c>
      <c r="Y197" s="16" t="s">
        <v>1</v>
      </c>
      <c r="Z197" s="2" t="s">
        <v>1</v>
      </c>
      <c r="AA197" s="107" t="s">
        <v>1</v>
      </c>
      <c r="AB197" s="2" t="s">
        <v>1</v>
      </c>
    </row>
    <row r="198" spans="1:28" ht="30.15" customHeight="1" x14ac:dyDescent="0.25">
      <c r="A198" s="56" t="s">
        <v>17</v>
      </c>
      <c r="B198" s="57">
        <v>43313</v>
      </c>
      <c r="C198" s="58" t="s">
        <v>34</v>
      </c>
      <c r="D198" s="40" t="s">
        <v>209</v>
      </c>
      <c r="E198" s="40" t="s">
        <v>210</v>
      </c>
      <c r="F198" s="40" t="s">
        <v>211</v>
      </c>
      <c r="G198" s="46" t="s">
        <v>409</v>
      </c>
      <c r="H198" s="15">
        <v>799</v>
      </c>
      <c r="I198" s="15">
        <v>799</v>
      </c>
      <c r="J198" s="15">
        <v>799</v>
      </c>
      <c r="K198" s="15">
        <v>799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2" t="s">
        <v>1</v>
      </c>
      <c r="U198" s="44" t="s">
        <v>1</v>
      </c>
      <c r="V198" s="15">
        <v>649</v>
      </c>
      <c r="W198" s="15">
        <v>799</v>
      </c>
      <c r="X198" s="1" t="s">
        <v>1</v>
      </c>
      <c r="Y198" s="108" t="s">
        <v>1</v>
      </c>
      <c r="Z198" s="2" t="s">
        <v>1</v>
      </c>
      <c r="AA198" s="107" t="s">
        <v>1</v>
      </c>
      <c r="AB198" s="2" t="s">
        <v>1</v>
      </c>
    </row>
    <row r="199" spans="1:28" ht="30.15" customHeight="1" x14ac:dyDescent="0.25">
      <c r="A199" s="56" t="s">
        <v>17</v>
      </c>
      <c r="B199" s="57">
        <v>43313</v>
      </c>
      <c r="C199" s="58" t="s">
        <v>34</v>
      </c>
      <c r="D199" s="40" t="s">
        <v>209</v>
      </c>
      <c r="E199" s="40" t="s">
        <v>237</v>
      </c>
      <c r="F199" s="40" t="s">
        <v>211</v>
      </c>
      <c r="G199" s="46" t="s">
        <v>409</v>
      </c>
      <c r="H199" s="15">
        <v>799</v>
      </c>
      <c r="I199" s="15">
        <v>799</v>
      </c>
      <c r="J199" s="15">
        <v>799</v>
      </c>
      <c r="K199" s="15">
        <v>799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2" t="s">
        <v>1</v>
      </c>
      <c r="U199" s="44" t="s">
        <v>1</v>
      </c>
      <c r="V199" s="15">
        <v>649</v>
      </c>
      <c r="W199" s="15">
        <v>799</v>
      </c>
      <c r="X199" s="1" t="s">
        <v>1</v>
      </c>
      <c r="Y199" s="108" t="s">
        <v>1</v>
      </c>
      <c r="Z199" s="2" t="s">
        <v>1</v>
      </c>
      <c r="AA199" s="107" t="s">
        <v>1</v>
      </c>
      <c r="AB199" s="2" t="s">
        <v>1</v>
      </c>
    </row>
    <row r="200" spans="1:28" ht="30.15" customHeight="1" x14ac:dyDescent="0.25">
      <c r="A200" s="56" t="s">
        <v>17</v>
      </c>
      <c r="B200" s="57">
        <v>43313</v>
      </c>
      <c r="C200" s="58" t="s">
        <v>34</v>
      </c>
      <c r="D200" s="40" t="s">
        <v>209</v>
      </c>
      <c r="E200" s="40" t="s">
        <v>212</v>
      </c>
      <c r="F200" s="40" t="s">
        <v>211</v>
      </c>
      <c r="G200" s="46" t="s">
        <v>409</v>
      </c>
      <c r="H200" s="15">
        <v>799</v>
      </c>
      <c r="I200" s="15">
        <v>799</v>
      </c>
      <c r="J200" s="15">
        <v>799</v>
      </c>
      <c r="K200" s="15">
        <v>799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2" t="s">
        <v>1</v>
      </c>
      <c r="U200" s="44" t="s">
        <v>1</v>
      </c>
      <c r="V200" s="15">
        <v>649</v>
      </c>
      <c r="W200" s="15">
        <v>799</v>
      </c>
      <c r="X200" s="1" t="s">
        <v>1</v>
      </c>
      <c r="Y200" s="108" t="s">
        <v>1</v>
      </c>
      <c r="Z200" s="2" t="s">
        <v>1</v>
      </c>
      <c r="AA200" s="107" t="s">
        <v>1</v>
      </c>
      <c r="AB200" s="2" t="s">
        <v>1</v>
      </c>
    </row>
    <row r="201" spans="1:28" ht="30.15" customHeight="1" x14ac:dyDescent="0.25">
      <c r="A201" s="59" t="s">
        <v>17</v>
      </c>
      <c r="B201" s="57">
        <v>43191</v>
      </c>
      <c r="C201" s="58" t="s">
        <v>34</v>
      </c>
      <c r="D201" s="40" t="s">
        <v>209</v>
      </c>
      <c r="E201" s="40" t="s">
        <v>213</v>
      </c>
      <c r="F201" s="40" t="s">
        <v>214</v>
      </c>
      <c r="G201" s="46" t="s">
        <v>409</v>
      </c>
      <c r="H201" s="15">
        <v>949</v>
      </c>
      <c r="I201" s="15">
        <v>949</v>
      </c>
      <c r="J201" s="15">
        <v>949</v>
      </c>
      <c r="K201" s="15">
        <v>949</v>
      </c>
      <c r="L201" s="15">
        <v>0</v>
      </c>
      <c r="M201" s="15">
        <v>0</v>
      </c>
      <c r="N201" s="15">
        <v>0</v>
      </c>
      <c r="O201" s="15">
        <v>0</v>
      </c>
      <c r="P201" s="2">
        <v>0</v>
      </c>
      <c r="Q201" s="2">
        <v>0</v>
      </c>
      <c r="R201" s="15">
        <v>0</v>
      </c>
      <c r="S201" s="15">
        <v>0</v>
      </c>
      <c r="T201" s="2" t="s">
        <v>1</v>
      </c>
      <c r="U201" s="44" t="s">
        <v>1</v>
      </c>
      <c r="V201" s="15">
        <v>799</v>
      </c>
      <c r="W201" s="15">
        <v>949</v>
      </c>
      <c r="X201" s="1" t="s">
        <v>1</v>
      </c>
      <c r="Y201" s="2" t="s">
        <v>1</v>
      </c>
      <c r="Z201" s="2" t="s">
        <v>1</v>
      </c>
      <c r="AA201" s="107" t="s">
        <v>1</v>
      </c>
      <c r="AB201" s="2" t="s">
        <v>1</v>
      </c>
    </row>
    <row r="202" spans="1:28" ht="30.15" customHeight="1" x14ac:dyDescent="0.25">
      <c r="A202" s="56" t="s">
        <v>17</v>
      </c>
      <c r="B202" s="57">
        <v>43313</v>
      </c>
      <c r="C202" s="58" t="s">
        <v>34</v>
      </c>
      <c r="D202" s="40" t="s">
        <v>209</v>
      </c>
      <c r="E202" s="40" t="s">
        <v>215</v>
      </c>
      <c r="F202" s="40" t="s">
        <v>214</v>
      </c>
      <c r="G202" s="46" t="s">
        <v>409</v>
      </c>
      <c r="H202" s="15">
        <v>949</v>
      </c>
      <c r="I202" s="15">
        <v>949</v>
      </c>
      <c r="J202" s="15">
        <v>949</v>
      </c>
      <c r="K202" s="15">
        <v>949</v>
      </c>
      <c r="L202" s="15">
        <v>0</v>
      </c>
      <c r="M202" s="15">
        <v>0</v>
      </c>
      <c r="N202" s="15">
        <v>0</v>
      </c>
      <c r="O202" s="15">
        <v>0</v>
      </c>
      <c r="P202" s="2">
        <v>0</v>
      </c>
      <c r="Q202" s="2">
        <v>0</v>
      </c>
      <c r="R202" s="15">
        <v>0</v>
      </c>
      <c r="S202" s="15">
        <v>0</v>
      </c>
      <c r="T202" s="2" t="s">
        <v>1</v>
      </c>
      <c r="U202" s="44" t="s">
        <v>1</v>
      </c>
      <c r="V202" s="15">
        <v>799</v>
      </c>
      <c r="W202" s="15">
        <v>949</v>
      </c>
      <c r="X202" s="1" t="s">
        <v>1</v>
      </c>
      <c r="Y202" s="2" t="s">
        <v>1</v>
      </c>
      <c r="Z202" s="2" t="s">
        <v>1</v>
      </c>
      <c r="AA202" s="107" t="s">
        <v>1</v>
      </c>
      <c r="AB202" s="2" t="s">
        <v>1</v>
      </c>
    </row>
    <row r="203" spans="1:28" ht="30.15" customHeight="1" x14ac:dyDescent="0.25">
      <c r="A203" s="59" t="s">
        <v>18</v>
      </c>
      <c r="B203" s="57" t="s">
        <v>1</v>
      </c>
      <c r="C203" s="58" t="s">
        <v>34</v>
      </c>
      <c r="D203" s="40" t="s">
        <v>209</v>
      </c>
      <c r="E203" s="40" t="s">
        <v>216</v>
      </c>
      <c r="F203" s="40" t="s">
        <v>217</v>
      </c>
      <c r="G203" s="46" t="s">
        <v>409</v>
      </c>
      <c r="H203" s="15">
        <v>999</v>
      </c>
      <c r="I203" s="15">
        <v>999</v>
      </c>
      <c r="J203" s="15">
        <v>999</v>
      </c>
      <c r="K203" s="15">
        <v>999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2" t="s">
        <v>1</v>
      </c>
      <c r="U203" s="44" t="s">
        <v>1</v>
      </c>
      <c r="V203" s="15">
        <v>849</v>
      </c>
      <c r="W203" s="15">
        <v>999</v>
      </c>
      <c r="X203" s="1" t="s">
        <v>1</v>
      </c>
      <c r="Y203" s="108" t="s">
        <v>1</v>
      </c>
      <c r="Z203" s="2" t="s">
        <v>1</v>
      </c>
      <c r="AA203" s="107" t="s">
        <v>1</v>
      </c>
      <c r="AB203" s="2" t="s">
        <v>1</v>
      </c>
    </row>
    <row r="204" spans="1:28" ht="30.15" customHeight="1" x14ac:dyDescent="0.25">
      <c r="A204" s="59" t="s">
        <v>18</v>
      </c>
      <c r="B204" s="57" t="s">
        <v>1</v>
      </c>
      <c r="C204" s="58" t="s">
        <v>34</v>
      </c>
      <c r="D204" s="40" t="s">
        <v>209</v>
      </c>
      <c r="E204" s="40" t="s">
        <v>238</v>
      </c>
      <c r="F204" s="40" t="s">
        <v>217</v>
      </c>
      <c r="G204" s="46" t="s">
        <v>409</v>
      </c>
      <c r="H204" s="15">
        <v>999</v>
      </c>
      <c r="I204" s="15">
        <v>999</v>
      </c>
      <c r="J204" s="15">
        <v>999</v>
      </c>
      <c r="K204" s="15">
        <v>999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2" t="s">
        <v>1</v>
      </c>
      <c r="U204" s="44" t="s">
        <v>1</v>
      </c>
      <c r="V204" s="15">
        <v>849</v>
      </c>
      <c r="W204" s="15">
        <v>999</v>
      </c>
      <c r="X204" s="1" t="s">
        <v>1</v>
      </c>
      <c r="Y204" s="108" t="s">
        <v>1</v>
      </c>
      <c r="Z204" s="2" t="s">
        <v>1</v>
      </c>
      <c r="AA204" s="107" t="s">
        <v>1</v>
      </c>
      <c r="AB204" s="2" t="s">
        <v>1</v>
      </c>
    </row>
    <row r="205" spans="1:28" ht="30.15" customHeight="1" x14ac:dyDescent="0.25">
      <c r="A205" s="59" t="s">
        <v>18</v>
      </c>
      <c r="B205" s="57" t="s">
        <v>1</v>
      </c>
      <c r="C205" s="58" t="s">
        <v>34</v>
      </c>
      <c r="D205" s="40" t="s">
        <v>209</v>
      </c>
      <c r="E205" s="40" t="s">
        <v>218</v>
      </c>
      <c r="F205" s="40" t="s">
        <v>217</v>
      </c>
      <c r="G205" s="46" t="s">
        <v>409</v>
      </c>
      <c r="H205" s="15">
        <v>999</v>
      </c>
      <c r="I205" s="15">
        <v>999</v>
      </c>
      <c r="J205" s="15">
        <v>999</v>
      </c>
      <c r="K205" s="15">
        <v>999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2" t="s">
        <v>1</v>
      </c>
      <c r="U205" s="44" t="s">
        <v>1</v>
      </c>
      <c r="V205" s="15">
        <v>849</v>
      </c>
      <c r="W205" s="15">
        <v>999</v>
      </c>
      <c r="X205" s="1" t="s">
        <v>1</v>
      </c>
      <c r="Y205" s="2" t="s">
        <v>1</v>
      </c>
      <c r="Z205" s="2" t="s">
        <v>1</v>
      </c>
      <c r="AA205" s="107" t="s">
        <v>1</v>
      </c>
      <c r="AB205" s="2" t="s">
        <v>1</v>
      </c>
    </row>
    <row r="206" spans="1:28" ht="30.15" customHeight="1" x14ac:dyDescent="0.25">
      <c r="A206" s="59" t="s">
        <v>17</v>
      </c>
      <c r="B206" s="57">
        <v>43191</v>
      </c>
      <c r="C206" s="58" t="s">
        <v>34</v>
      </c>
      <c r="D206" s="40" t="s">
        <v>209</v>
      </c>
      <c r="E206" s="40" t="s">
        <v>219</v>
      </c>
      <c r="F206" s="40" t="s">
        <v>220</v>
      </c>
      <c r="G206" s="46" t="s">
        <v>409</v>
      </c>
      <c r="H206" s="15">
        <v>1150</v>
      </c>
      <c r="I206" s="15">
        <v>1150</v>
      </c>
      <c r="J206" s="15">
        <v>1150</v>
      </c>
      <c r="K206" s="15">
        <v>1179</v>
      </c>
      <c r="L206" s="15">
        <v>0</v>
      </c>
      <c r="M206" s="15">
        <v>0</v>
      </c>
      <c r="N206" s="15">
        <v>0</v>
      </c>
      <c r="O206" s="15">
        <v>0</v>
      </c>
      <c r="P206" s="2">
        <v>149</v>
      </c>
      <c r="Q206" s="2">
        <v>149</v>
      </c>
      <c r="R206" s="15">
        <v>0</v>
      </c>
      <c r="S206" s="15">
        <v>0</v>
      </c>
      <c r="T206" s="2" t="s">
        <v>1</v>
      </c>
      <c r="U206" s="44" t="s">
        <v>1</v>
      </c>
      <c r="V206" s="15">
        <v>1029</v>
      </c>
      <c r="W206" s="15">
        <v>1179</v>
      </c>
      <c r="X206" s="1" t="s">
        <v>1</v>
      </c>
      <c r="Y206" s="2" t="s">
        <v>1</v>
      </c>
      <c r="Z206" s="2" t="s">
        <v>1</v>
      </c>
      <c r="AA206" s="107" t="s">
        <v>1</v>
      </c>
      <c r="AB206" s="2" t="s">
        <v>1</v>
      </c>
    </row>
    <row r="207" spans="1:28" ht="30.15" customHeight="1" x14ac:dyDescent="0.25">
      <c r="A207" s="59" t="s">
        <v>17</v>
      </c>
      <c r="B207" s="57">
        <v>43191</v>
      </c>
      <c r="C207" s="58" t="s">
        <v>34</v>
      </c>
      <c r="D207" s="40" t="s">
        <v>209</v>
      </c>
      <c r="E207" s="40" t="s">
        <v>221</v>
      </c>
      <c r="F207" s="40" t="s">
        <v>220</v>
      </c>
      <c r="G207" s="46" t="s">
        <v>409</v>
      </c>
      <c r="H207" s="15">
        <v>1150</v>
      </c>
      <c r="I207" s="15">
        <v>1150</v>
      </c>
      <c r="J207" s="15">
        <v>1150</v>
      </c>
      <c r="K207" s="15">
        <v>1179</v>
      </c>
      <c r="L207" s="15">
        <v>0</v>
      </c>
      <c r="M207" s="15">
        <v>0</v>
      </c>
      <c r="N207" s="15">
        <v>0</v>
      </c>
      <c r="O207" s="15">
        <v>0</v>
      </c>
      <c r="P207" s="2">
        <v>149</v>
      </c>
      <c r="Q207" s="2">
        <v>149</v>
      </c>
      <c r="R207" s="15">
        <v>0</v>
      </c>
      <c r="S207" s="15">
        <v>0</v>
      </c>
      <c r="T207" s="2" t="s">
        <v>1</v>
      </c>
      <c r="U207" s="44" t="s">
        <v>1</v>
      </c>
      <c r="V207" s="15">
        <v>1029</v>
      </c>
      <c r="W207" s="15">
        <v>1179</v>
      </c>
      <c r="X207" s="1" t="s">
        <v>1</v>
      </c>
      <c r="Y207" s="2" t="s">
        <v>1</v>
      </c>
      <c r="Z207" s="2" t="s">
        <v>1</v>
      </c>
      <c r="AA207" s="107" t="s">
        <v>1</v>
      </c>
      <c r="AB207" s="2" t="s">
        <v>1</v>
      </c>
    </row>
    <row r="208" spans="1:28" ht="30.15" customHeight="1" x14ac:dyDescent="0.25">
      <c r="A208" s="59" t="s">
        <v>18</v>
      </c>
      <c r="B208" s="57" t="s">
        <v>1</v>
      </c>
      <c r="C208" s="58" t="s">
        <v>34</v>
      </c>
      <c r="D208" s="116" t="s">
        <v>209</v>
      </c>
      <c r="E208" s="116" t="s">
        <v>321</v>
      </c>
      <c r="F208" s="116" t="s">
        <v>329</v>
      </c>
      <c r="G208" s="46" t="s">
        <v>409</v>
      </c>
      <c r="H208" s="117">
        <f t="shared" ref="H208:H215" si="41">J208</f>
        <v>228</v>
      </c>
      <c r="I208" s="117">
        <f t="shared" ref="I208:I215" si="42">J208</f>
        <v>228</v>
      </c>
      <c r="J208" s="117">
        <f t="shared" ref="J208:J215" si="43">K208*0.95</f>
        <v>228</v>
      </c>
      <c r="K208" s="117">
        <v>240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2">
        <v>0</v>
      </c>
      <c r="U208" s="44">
        <v>0</v>
      </c>
      <c r="V208" s="117">
        <v>240</v>
      </c>
      <c r="W208" s="117">
        <v>240</v>
      </c>
      <c r="X208" s="1" t="s">
        <v>1</v>
      </c>
      <c r="Y208" s="2" t="s">
        <v>1</v>
      </c>
      <c r="Z208" s="2" t="s">
        <v>1</v>
      </c>
      <c r="AA208" s="107" t="s">
        <v>1</v>
      </c>
      <c r="AB208" s="2" t="s">
        <v>1</v>
      </c>
    </row>
    <row r="209" spans="1:28" ht="30.15" customHeight="1" x14ac:dyDescent="0.25">
      <c r="A209" s="59" t="s">
        <v>18</v>
      </c>
      <c r="B209" s="57" t="s">
        <v>1</v>
      </c>
      <c r="C209" s="58" t="s">
        <v>34</v>
      </c>
      <c r="D209" s="116" t="s">
        <v>209</v>
      </c>
      <c r="E209" s="116" t="s">
        <v>322</v>
      </c>
      <c r="F209" s="116" t="s">
        <v>329</v>
      </c>
      <c r="G209" s="46" t="s">
        <v>409</v>
      </c>
      <c r="H209" s="117">
        <f t="shared" si="41"/>
        <v>228</v>
      </c>
      <c r="I209" s="117">
        <f t="shared" si="42"/>
        <v>228</v>
      </c>
      <c r="J209" s="117">
        <f t="shared" si="43"/>
        <v>228</v>
      </c>
      <c r="K209" s="117">
        <v>240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2">
        <v>0</v>
      </c>
      <c r="U209" s="44">
        <v>0</v>
      </c>
      <c r="V209" s="117">
        <v>240</v>
      </c>
      <c r="W209" s="117">
        <v>240</v>
      </c>
      <c r="X209" s="1" t="s">
        <v>1</v>
      </c>
      <c r="Y209" s="2" t="s">
        <v>1</v>
      </c>
      <c r="Z209" s="2" t="s">
        <v>1</v>
      </c>
      <c r="AA209" s="107" t="s">
        <v>1</v>
      </c>
      <c r="AB209" s="2" t="s">
        <v>1</v>
      </c>
    </row>
    <row r="210" spans="1:28" ht="30.15" customHeight="1" x14ac:dyDescent="0.25">
      <c r="A210" s="59" t="s">
        <v>18</v>
      </c>
      <c r="B210" s="57" t="s">
        <v>1</v>
      </c>
      <c r="C210" s="58" t="s">
        <v>34</v>
      </c>
      <c r="D210" s="116" t="s">
        <v>209</v>
      </c>
      <c r="E210" s="116" t="s">
        <v>323</v>
      </c>
      <c r="F210" s="116" t="s">
        <v>330</v>
      </c>
      <c r="G210" s="46" t="s">
        <v>409</v>
      </c>
      <c r="H210" s="117">
        <f t="shared" si="41"/>
        <v>228</v>
      </c>
      <c r="I210" s="117">
        <f t="shared" si="42"/>
        <v>228</v>
      </c>
      <c r="J210" s="117">
        <f t="shared" si="43"/>
        <v>228</v>
      </c>
      <c r="K210" s="117">
        <v>240</v>
      </c>
      <c r="L210" s="15">
        <v>0</v>
      </c>
      <c r="M210" s="15">
        <v>0</v>
      </c>
      <c r="N210" s="15">
        <v>0</v>
      </c>
      <c r="O210" s="15">
        <v>0</v>
      </c>
      <c r="P210" s="121">
        <f t="shared" ref="P210:P227" si="44">IF((K210-(20*24))&lt;0,0,(K210-(20*24)))</f>
        <v>0</v>
      </c>
      <c r="Q210" s="121">
        <f t="shared" ref="Q210:Q227" si="45">IF((K210-(20*24))&lt;0,0,(K210-(20*24)))</f>
        <v>0</v>
      </c>
      <c r="R210" s="15">
        <v>0</v>
      </c>
      <c r="S210" s="15">
        <v>0</v>
      </c>
      <c r="T210" s="2">
        <v>0</v>
      </c>
      <c r="U210" s="44">
        <v>0</v>
      </c>
      <c r="V210" s="117">
        <v>240</v>
      </c>
      <c r="W210" s="117">
        <v>240</v>
      </c>
      <c r="X210" s="1" t="s">
        <v>1</v>
      </c>
      <c r="Y210" s="2" t="s">
        <v>1</v>
      </c>
      <c r="Z210" s="2" t="s">
        <v>1</v>
      </c>
      <c r="AA210" s="107" t="s">
        <v>1</v>
      </c>
      <c r="AB210" s="2" t="s">
        <v>1</v>
      </c>
    </row>
    <row r="211" spans="1:28" ht="30.15" customHeight="1" x14ac:dyDescent="0.25">
      <c r="A211" s="59" t="s">
        <v>18</v>
      </c>
      <c r="B211" s="57" t="s">
        <v>1</v>
      </c>
      <c r="C211" s="58" t="s">
        <v>34</v>
      </c>
      <c r="D211" s="116" t="s">
        <v>209</v>
      </c>
      <c r="E211" s="116" t="s">
        <v>324</v>
      </c>
      <c r="F211" s="116" t="s">
        <v>330</v>
      </c>
      <c r="G211" s="46" t="s">
        <v>409</v>
      </c>
      <c r="H211" s="117">
        <f t="shared" si="41"/>
        <v>228</v>
      </c>
      <c r="I211" s="117">
        <f t="shared" si="42"/>
        <v>228</v>
      </c>
      <c r="J211" s="117">
        <f t="shared" si="43"/>
        <v>228</v>
      </c>
      <c r="K211" s="117">
        <v>240</v>
      </c>
      <c r="L211" s="15">
        <v>0</v>
      </c>
      <c r="M211" s="15">
        <v>0</v>
      </c>
      <c r="N211" s="15">
        <v>0</v>
      </c>
      <c r="O211" s="15">
        <v>0</v>
      </c>
      <c r="P211" s="121">
        <f t="shared" si="44"/>
        <v>0</v>
      </c>
      <c r="Q211" s="121">
        <f t="shared" si="45"/>
        <v>0</v>
      </c>
      <c r="R211" s="15">
        <v>0</v>
      </c>
      <c r="S211" s="15">
        <v>0</v>
      </c>
      <c r="T211" s="2">
        <v>0</v>
      </c>
      <c r="U211" s="44">
        <v>0</v>
      </c>
      <c r="V211" s="117">
        <v>240</v>
      </c>
      <c r="W211" s="117">
        <v>240</v>
      </c>
      <c r="X211" s="1" t="s">
        <v>1</v>
      </c>
      <c r="Y211" s="2" t="s">
        <v>1</v>
      </c>
      <c r="Z211" s="2" t="s">
        <v>1</v>
      </c>
      <c r="AA211" s="107" t="s">
        <v>1</v>
      </c>
      <c r="AB211" s="2" t="s">
        <v>1</v>
      </c>
    </row>
    <row r="212" spans="1:28" ht="30.15" customHeight="1" x14ac:dyDescent="0.25">
      <c r="A212" s="59" t="s">
        <v>18</v>
      </c>
      <c r="B212" s="57" t="s">
        <v>1</v>
      </c>
      <c r="C212" s="58" t="s">
        <v>34</v>
      </c>
      <c r="D212" s="116" t="s">
        <v>209</v>
      </c>
      <c r="E212" s="116" t="s">
        <v>325</v>
      </c>
      <c r="F212" s="116" t="s">
        <v>331</v>
      </c>
      <c r="G212" s="46" t="s">
        <v>409</v>
      </c>
      <c r="H212" s="117">
        <f t="shared" si="41"/>
        <v>342</v>
      </c>
      <c r="I212" s="117">
        <f t="shared" si="42"/>
        <v>342</v>
      </c>
      <c r="J212" s="117">
        <f t="shared" si="43"/>
        <v>342</v>
      </c>
      <c r="K212" s="117">
        <v>360</v>
      </c>
      <c r="L212" s="15">
        <v>0</v>
      </c>
      <c r="M212" s="15">
        <v>0</v>
      </c>
      <c r="N212" s="15">
        <v>0</v>
      </c>
      <c r="O212" s="15">
        <v>0</v>
      </c>
      <c r="P212" s="121">
        <f t="shared" si="44"/>
        <v>0</v>
      </c>
      <c r="Q212" s="121">
        <f t="shared" si="45"/>
        <v>0</v>
      </c>
      <c r="R212" s="121">
        <f t="shared" ref="R212:R227" si="46">IF((K212-(30*24))&lt;0,0,(K212-(30*24)))</f>
        <v>0</v>
      </c>
      <c r="S212" s="121">
        <f t="shared" ref="S212:S227" si="47">IF((K212-(30*24))&lt;0,0,(K212-(30*24)))</f>
        <v>0</v>
      </c>
      <c r="T212" s="121">
        <f t="shared" ref="T212:T227" si="48">IF((K212-(40*24))&lt;0,0,(K212-(40*24)))</f>
        <v>0</v>
      </c>
      <c r="U212" s="121">
        <f t="shared" ref="U212:U227" si="49">IF((K212-(40*24))&lt;0,0,(K212-(40*24)))</f>
        <v>0</v>
      </c>
      <c r="V212" s="117">
        <v>210</v>
      </c>
      <c r="W212" s="117">
        <v>360</v>
      </c>
      <c r="X212" s="1" t="s">
        <v>1</v>
      </c>
      <c r="Y212" s="2" t="s">
        <v>1</v>
      </c>
      <c r="Z212" s="2" t="s">
        <v>1</v>
      </c>
      <c r="AA212" s="107" t="s">
        <v>1</v>
      </c>
      <c r="AB212" s="2" t="s">
        <v>1</v>
      </c>
    </row>
    <row r="213" spans="1:28" ht="30.15" customHeight="1" x14ac:dyDescent="0.25">
      <c r="A213" s="59" t="s">
        <v>17</v>
      </c>
      <c r="B213" s="57">
        <v>44263</v>
      </c>
      <c r="C213" s="58" t="s">
        <v>34</v>
      </c>
      <c r="D213" s="116" t="s">
        <v>209</v>
      </c>
      <c r="E213" s="116" t="s">
        <v>327</v>
      </c>
      <c r="F213" s="116" t="s">
        <v>331</v>
      </c>
      <c r="G213" s="46" t="s">
        <v>409</v>
      </c>
      <c r="H213" s="117">
        <f t="shared" si="41"/>
        <v>342</v>
      </c>
      <c r="I213" s="117">
        <f t="shared" si="42"/>
        <v>342</v>
      </c>
      <c r="J213" s="117">
        <f t="shared" si="43"/>
        <v>342</v>
      </c>
      <c r="K213" s="117">
        <v>360</v>
      </c>
      <c r="L213" s="15">
        <v>0</v>
      </c>
      <c r="M213" s="15">
        <v>0</v>
      </c>
      <c r="N213" s="15">
        <v>0</v>
      </c>
      <c r="O213" s="15">
        <v>0</v>
      </c>
      <c r="P213" s="121">
        <f t="shared" si="44"/>
        <v>0</v>
      </c>
      <c r="Q213" s="121">
        <f t="shared" si="45"/>
        <v>0</v>
      </c>
      <c r="R213" s="121">
        <f t="shared" si="46"/>
        <v>0</v>
      </c>
      <c r="S213" s="121">
        <f t="shared" si="47"/>
        <v>0</v>
      </c>
      <c r="T213" s="121">
        <f t="shared" si="48"/>
        <v>0</v>
      </c>
      <c r="U213" s="121">
        <f t="shared" si="49"/>
        <v>0</v>
      </c>
      <c r="V213" s="117">
        <v>210</v>
      </c>
      <c r="W213" s="117">
        <v>360</v>
      </c>
      <c r="X213" s="1" t="s">
        <v>1</v>
      </c>
      <c r="Y213" s="2" t="s">
        <v>1</v>
      </c>
      <c r="Z213" s="2" t="s">
        <v>1</v>
      </c>
      <c r="AA213" s="107" t="s">
        <v>1</v>
      </c>
      <c r="AB213" s="2" t="s">
        <v>1</v>
      </c>
    </row>
    <row r="214" spans="1:28" ht="30.15" customHeight="1" x14ac:dyDescent="0.25">
      <c r="A214" s="59" t="s">
        <v>18</v>
      </c>
      <c r="B214" s="57" t="s">
        <v>1</v>
      </c>
      <c r="C214" s="58" t="s">
        <v>34</v>
      </c>
      <c r="D214" s="116" t="s">
        <v>209</v>
      </c>
      <c r="E214" s="116" t="s">
        <v>326</v>
      </c>
      <c r="F214" s="116" t="s">
        <v>332</v>
      </c>
      <c r="G214" s="46" t="s">
        <v>409</v>
      </c>
      <c r="H214" s="117">
        <f t="shared" si="41"/>
        <v>342</v>
      </c>
      <c r="I214" s="117">
        <f t="shared" si="42"/>
        <v>342</v>
      </c>
      <c r="J214" s="117">
        <f t="shared" si="43"/>
        <v>342</v>
      </c>
      <c r="K214" s="117">
        <v>360</v>
      </c>
      <c r="L214" s="15">
        <v>0</v>
      </c>
      <c r="M214" s="15">
        <v>0</v>
      </c>
      <c r="N214" s="15">
        <v>0</v>
      </c>
      <c r="O214" s="15">
        <v>0</v>
      </c>
      <c r="P214" s="121">
        <f t="shared" si="44"/>
        <v>0</v>
      </c>
      <c r="Q214" s="121">
        <f t="shared" si="45"/>
        <v>0</v>
      </c>
      <c r="R214" s="121">
        <f t="shared" si="46"/>
        <v>0</v>
      </c>
      <c r="S214" s="121">
        <f t="shared" si="47"/>
        <v>0</v>
      </c>
      <c r="T214" s="121">
        <f t="shared" si="48"/>
        <v>0</v>
      </c>
      <c r="U214" s="121">
        <f t="shared" si="49"/>
        <v>0</v>
      </c>
      <c r="V214" s="117">
        <v>210</v>
      </c>
      <c r="W214" s="117">
        <v>360</v>
      </c>
      <c r="X214" s="1" t="s">
        <v>1</v>
      </c>
      <c r="Y214" s="2" t="s">
        <v>1</v>
      </c>
      <c r="Z214" s="2" t="s">
        <v>1</v>
      </c>
      <c r="AA214" s="107" t="s">
        <v>1</v>
      </c>
      <c r="AB214" s="2" t="s">
        <v>1</v>
      </c>
    </row>
    <row r="215" spans="1:28" ht="30.15" customHeight="1" x14ac:dyDescent="0.25">
      <c r="A215" s="59" t="s">
        <v>18</v>
      </c>
      <c r="B215" s="57" t="s">
        <v>1</v>
      </c>
      <c r="C215" s="58" t="s">
        <v>34</v>
      </c>
      <c r="D215" s="116" t="s">
        <v>209</v>
      </c>
      <c r="E215" s="116" t="s">
        <v>328</v>
      </c>
      <c r="F215" s="116" t="s">
        <v>332</v>
      </c>
      <c r="G215" s="46" t="s">
        <v>409</v>
      </c>
      <c r="H215" s="117">
        <f t="shared" si="41"/>
        <v>342</v>
      </c>
      <c r="I215" s="117">
        <f t="shared" si="42"/>
        <v>342</v>
      </c>
      <c r="J215" s="117">
        <f t="shared" si="43"/>
        <v>342</v>
      </c>
      <c r="K215" s="117">
        <v>360</v>
      </c>
      <c r="L215" s="15">
        <v>0</v>
      </c>
      <c r="M215" s="15">
        <v>0</v>
      </c>
      <c r="N215" s="15">
        <v>0</v>
      </c>
      <c r="O215" s="15">
        <v>0</v>
      </c>
      <c r="P215" s="121">
        <f t="shared" si="44"/>
        <v>0</v>
      </c>
      <c r="Q215" s="121">
        <f t="shared" si="45"/>
        <v>0</v>
      </c>
      <c r="R215" s="121">
        <f t="shared" si="46"/>
        <v>0</v>
      </c>
      <c r="S215" s="121">
        <f t="shared" si="47"/>
        <v>0</v>
      </c>
      <c r="T215" s="121">
        <f t="shared" si="48"/>
        <v>0</v>
      </c>
      <c r="U215" s="121">
        <f t="shared" si="49"/>
        <v>0</v>
      </c>
      <c r="V215" s="117">
        <v>210</v>
      </c>
      <c r="W215" s="117">
        <v>360</v>
      </c>
      <c r="X215" s="1" t="s">
        <v>1</v>
      </c>
      <c r="Y215" s="2" t="s">
        <v>1</v>
      </c>
      <c r="Z215" s="2" t="s">
        <v>1</v>
      </c>
      <c r="AA215" s="107" t="s">
        <v>1</v>
      </c>
      <c r="AB215" s="2" t="s">
        <v>1</v>
      </c>
    </row>
    <row r="216" spans="1:28" ht="30.15" customHeight="1" x14ac:dyDescent="0.25">
      <c r="A216" s="59" t="s">
        <v>18</v>
      </c>
      <c r="B216" s="57" t="s">
        <v>1</v>
      </c>
      <c r="C216" s="58" t="s">
        <v>34</v>
      </c>
      <c r="D216" s="116" t="s">
        <v>209</v>
      </c>
      <c r="E216" s="116" t="s">
        <v>496</v>
      </c>
      <c r="F216" s="116" t="s">
        <v>492</v>
      </c>
      <c r="G216" s="46" t="s">
        <v>409</v>
      </c>
      <c r="H216" s="15">
        <v>970</v>
      </c>
      <c r="I216" s="15">
        <v>970</v>
      </c>
      <c r="J216" s="15">
        <v>970</v>
      </c>
      <c r="K216" s="117">
        <v>1000</v>
      </c>
      <c r="L216" s="15">
        <v>0</v>
      </c>
      <c r="M216" s="15">
        <v>0</v>
      </c>
      <c r="N216" s="15">
        <v>0</v>
      </c>
      <c r="O216" s="15">
        <v>0</v>
      </c>
      <c r="P216" s="121">
        <f t="shared" si="44"/>
        <v>520</v>
      </c>
      <c r="Q216" s="121">
        <f t="shared" si="45"/>
        <v>520</v>
      </c>
      <c r="R216" s="121">
        <f t="shared" si="46"/>
        <v>280</v>
      </c>
      <c r="S216" s="121">
        <f t="shared" si="47"/>
        <v>280</v>
      </c>
      <c r="T216" s="121">
        <f t="shared" si="48"/>
        <v>40</v>
      </c>
      <c r="U216" s="121">
        <f t="shared" si="49"/>
        <v>40</v>
      </c>
      <c r="V216" s="117">
        <v>850</v>
      </c>
      <c r="W216" s="117">
        <v>1000</v>
      </c>
      <c r="X216" s="1" t="s">
        <v>1</v>
      </c>
      <c r="Y216" s="2" t="s">
        <v>1</v>
      </c>
      <c r="Z216" s="2" t="s">
        <v>1</v>
      </c>
      <c r="AA216" s="107" t="s">
        <v>1</v>
      </c>
      <c r="AB216" s="2" t="s">
        <v>1</v>
      </c>
    </row>
    <row r="217" spans="1:28" ht="30.15" customHeight="1" x14ac:dyDescent="0.25">
      <c r="A217" s="59" t="s">
        <v>18</v>
      </c>
      <c r="B217" s="57" t="s">
        <v>1</v>
      </c>
      <c r="C217" s="58" t="s">
        <v>34</v>
      </c>
      <c r="D217" s="116" t="s">
        <v>209</v>
      </c>
      <c r="E217" s="116" t="s">
        <v>497</v>
      </c>
      <c r="F217" s="116" t="s">
        <v>492</v>
      </c>
      <c r="G217" s="46" t="s">
        <v>409</v>
      </c>
      <c r="H217" s="15">
        <v>970</v>
      </c>
      <c r="I217" s="15">
        <v>970</v>
      </c>
      <c r="J217" s="15">
        <v>970</v>
      </c>
      <c r="K217" s="117">
        <v>1000</v>
      </c>
      <c r="L217" s="15">
        <v>0</v>
      </c>
      <c r="M217" s="15">
        <v>0</v>
      </c>
      <c r="N217" s="15">
        <v>0</v>
      </c>
      <c r="O217" s="15">
        <v>0</v>
      </c>
      <c r="P217" s="121">
        <f t="shared" si="44"/>
        <v>520</v>
      </c>
      <c r="Q217" s="121">
        <f t="shared" si="45"/>
        <v>520</v>
      </c>
      <c r="R217" s="121">
        <f t="shared" si="46"/>
        <v>280</v>
      </c>
      <c r="S217" s="121">
        <f t="shared" si="47"/>
        <v>280</v>
      </c>
      <c r="T217" s="121">
        <f t="shared" si="48"/>
        <v>40</v>
      </c>
      <c r="U217" s="121">
        <f t="shared" si="49"/>
        <v>40</v>
      </c>
      <c r="V217" s="117">
        <v>850</v>
      </c>
      <c r="W217" s="117">
        <v>1000</v>
      </c>
      <c r="X217" s="1" t="s">
        <v>1</v>
      </c>
      <c r="Y217" s="2" t="s">
        <v>1</v>
      </c>
      <c r="Z217" s="2" t="s">
        <v>1</v>
      </c>
      <c r="AA217" s="107" t="s">
        <v>1</v>
      </c>
      <c r="AB217" s="2" t="s">
        <v>1</v>
      </c>
    </row>
    <row r="218" spans="1:28" ht="30.15" customHeight="1" x14ac:dyDescent="0.25">
      <c r="A218" s="59" t="s">
        <v>18</v>
      </c>
      <c r="B218" s="57" t="s">
        <v>1</v>
      </c>
      <c r="C218" s="58" t="s">
        <v>34</v>
      </c>
      <c r="D218" s="116" t="s">
        <v>209</v>
      </c>
      <c r="E218" s="116" t="s">
        <v>498</v>
      </c>
      <c r="F218" s="116" t="s">
        <v>493</v>
      </c>
      <c r="G218" s="46" t="s">
        <v>409</v>
      </c>
      <c r="H218" s="117">
        <f t="shared" ref="H218:H227" si="50">J218</f>
        <v>1073</v>
      </c>
      <c r="I218" s="117">
        <f t="shared" ref="I218:I227" si="51">J218</f>
        <v>1073</v>
      </c>
      <c r="J218" s="117">
        <v>1073</v>
      </c>
      <c r="K218" s="117">
        <v>1130</v>
      </c>
      <c r="L218" s="15">
        <v>0</v>
      </c>
      <c r="M218" s="15">
        <v>0</v>
      </c>
      <c r="N218" s="15">
        <v>0</v>
      </c>
      <c r="O218" s="15">
        <v>0</v>
      </c>
      <c r="P218" s="121">
        <f t="shared" si="44"/>
        <v>650</v>
      </c>
      <c r="Q218" s="121">
        <f t="shared" si="45"/>
        <v>650</v>
      </c>
      <c r="R218" s="121">
        <f t="shared" si="46"/>
        <v>410</v>
      </c>
      <c r="S218" s="121">
        <f t="shared" si="47"/>
        <v>410</v>
      </c>
      <c r="T218" s="121">
        <f t="shared" si="48"/>
        <v>170</v>
      </c>
      <c r="U218" s="121">
        <f t="shared" si="49"/>
        <v>170</v>
      </c>
      <c r="V218" s="117">
        <v>980</v>
      </c>
      <c r="W218" s="117">
        <v>1130</v>
      </c>
      <c r="X218" s="1" t="s">
        <v>1</v>
      </c>
      <c r="Y218" s="2" t="s">
        <v>1</v>
      </c>
      <c r="Z218" s="2" t="s">
        <v>1</v>
      </c>
      <c r="AA218" s="107" t="s">
        <v>1</v>
      </c>
      <c r="AB218" s="2" t="s">
        <v>1</v>
      </c>
    </row>
    <row r="219" spans="1:28" ht="30.15" customHeight="1" x14ac:dyDescent="0.25">
      <c r="A219" s="59" t="s">
        <v>18</v>
      </c>
      <c r="B219" s="57" t="s">
        <v>1</v>
      </c>
      <c r="C219" s="58" t="s">
        <v>34</v>
      </c>
      <c r="D219" s="116" t="s">
        <v>209</v>
      </c>
      <c r="E219" s="116" t="s">
        <v>499</v>
      </c>
      <c r="F219" s="116" t="s">
        <v>493</v>
      </c>
      <c r="G219" s="46" t="s">
        <v>409</v>
      </c>
      <c r="H219" s="117">
        <f t="shared" si="50"/>
        <v>1073</v>
      </c>
      <c r="I219" s="117">
        <f t="shared" si="51"/>
        <v>1073</v>
      </c>
      <c r="J219" s="117">
        <v>1073</v>
      </c>
      <c r="K219" s="117">
        <v>1130</v>
      </c>
      <c r="L219" s="15">
        <v>0</v>
      </c>
      <c r="M219" s="15">
        <v>0</v>
      </c>
      <c r="N219" s="15">
        <v>0</v>
      </c>
      <c r="O219" s="15">
        <v>0</v>
      </c>
      <c r="P219" s="121">
        <f t="shared" si="44"/>
        <v>650</v>
      </c>
      <c r="Q219" s="121">
        <f t="shared" si="45"/>
        <v>650</v>
      </c>
      <c r="R219" s="121">
        <f t="shared" si="46"/>
        <v>410</v>
      </c>
      <c r="S219" s="121">
        <f t="shared" si="47"/>
        <v>410</v>
      </c>
      <c r="T219" s="121">
        <f t="shared" si="48"/>
        <v>170</v>
      </c>
      <c r="U219" s="121">
        <f t="shared" si="49"/>
        <v>170</v>
      </c>
      <c r="V219" s="117">
        <v>980</v>
      </c>
      <c r="W219" s="117">
        <v>1130</v>
      </c>
      <c r="X219" s="1" t="s">
        <v>1</v>
      </c>
      <c r="Y219" s="2" t="s">
        <v>1</v>
      </c>
      <c r="Z219" s="2" t="s">
        <v>1</v>
      </c>
      <c r="AA219" s="107" t="s">
        <v>1</v>
      </c>
      <c r="AB219" s="2" t="s">
        <v>1</v>
      </c>
    </row>
    <row r="220" spans="1:28" ht="30.15" customHeight="1" x14ac:dyDescent="0.25">
      <c r="A220" s="59" t="s">
        <v>18</v>
      </c>
      <c r="B220" s="57" t="s">
        <v>1</v>
      </c>
      <c r="C220" s="58" t="s">
        <v>34</v>
      </c>
      <c r="D220" s="116" t="s">
        <v>209</v>
      </c>
      <c r="E220" s="116" t="s">
        <v>500</v>
      </c>
      <c r="F220" s="116" t="s">
        <v>494</v>
      </c>
      <c r="G220" s="46" t="s">
        <v>409</v>
      </c>
      <c r="H220" s="117">
        <f t="shared" si="50"/>
        <v>1073</v>
      </c>
      <c r="I220" s="117">
        <f t="shared" si="51"/>
        <v>1073</v>
      </c>
      <c r="J220" s="117">
        <v>1073</v>
      </c>
      <c r="K220" s="117">
        <v>1130</v>
      </c>
      <c r="L220" s="15">
        <v>0</v>
      </c>
      <c r="M220" s="15">
        <v>0</v>
      </c>
      <c r="N220" s="15">
        <v>0</v>
      </c>
      <c r="O220" s="15">
        <v>0</v>
      </c>
      <c r="P220" s="121">
        <f t="shared" si="44"/>
        <v>650</v>
      </c>
      <c r="Q220" s="121">
        <f t="shared" si="45"/>
        <v>650</v>
      </c>
      <c r="R220" s="121">
        <f t="shared" si="46"/>
        <v>410</v>
      </c>
      <c r="S220" s="121">
        <f t="shared" si="47"/>
        <v>410</v>
      </c>
      <c r="T220" s="121">
        <f t="shared" si="48"/>
        <v>170</v>
      </c>
      <c r="U220" s="121">
        <f t="shared" si="49"/>
        <v>170</v>
      </c>
      <c r="V220" s="117">
        <v>980</v>
      </c>
      <c r="W220" s="117">
        <v>1130</v>
      </c>
      <c r="X220" s="1" t="s">
        <v>1</v>
      </c>
      <c r="Y220" s="2" t="s">
        <v>1</v>
      </c>
      <c r="Z220" s="2" t="s">
        <v>1</v>
      </c>
      <c r="AA220" s="107" t="s">
        <v>1</v>
      </c>
      <c r="AB220" s="2" t="s">
        <v>1</v>
      </c>
    </row>
    <row r="221" spans="1:28" ht="30.15" customHeight="1" x14ac:dyDescent="0.25">
      <c r="A221" s="59" t="s">
        <v>18</v>
      </c>
      <c r="B221" s="57" t="s">
        <v>1</v>
      </c>
      <c r="C221" s="58" t="s">
        <v>34</v>
      </c>
      <c r="D221" s="116" t="s">
        <v>209</v>
      </c>
      <c r="E221" s="116" t="s">
        <v>501</v>
      </c>
      <c r="F221" s="116" t="s">
        <v>494</v>
      </c>
      <c r="G221" s="46" t="s">
        <v>409</v>
      </c>
      <c r="H221" s="117">
        <f t="shared" si="50"/>
        <v>1073</v>
      </c>
      <c r="I221" s="117">
        <f t="shared" si="51"/>
        <v>1073</v>
      </c>
      <c r="J221" s="117">
        <v>1073</v>
      </c>
      <c r="K221" s="117">
        <v>1130</v>
      </c>
      <c r="L221" s="15">
        <v>0</v>
      </c>
      <c r="M221" s="15">
        <v>0</v>
      </c>
      <c r="N221" s="15">
        <v>0</v>
      </c>
      <c r="O221" s="15">
        <v>0</v>
      </c>
      <c r="P221" s="121">
        <f t="shared" si="44"/>
        <v>650</v>
      </c>
      <c r="Q221" s="121">
        <f t="shared" si="45"/>
        <v>650</v>
      </c>
      <c r="R221" s="121">
        <f t="shared" si="46"/>
        <v>410</v>
      </c>
      <c r="S221" s="121">
        <f t="shared" si="47"/>
        <v>410</v>
      </c>
      <c r="T221" s="121">
        <f t="shared" si="48"/>
        <v>170</v>
      </c>
      <c r="U221" s="121">
        <f t="shared" si="49"/>
        <v>170</v>
      </c>
      <c r="V221" s="117">
        <v>980</v>
      </c>
      <c r="W221" s="117">
        <v>1130</v>
      </c>
      <c r="X221" s="1" t="s">
        <v>1</v>
      </c>
      <c r="Y221" s="2" t="s">
        <v>1</v>
      </c>
      <c r="Z221" s="2" t="s">
        <v>1</v>
      </c>
      <c r="AA221" s="107" t="s">
        <v>1</v>
      </c>
      <c r="AB221" s="2" t="s">
        <v>1</v>
      </c>
    </row>
    <row r="222" spans="1:28" ht="30.15" customHeight="1" x14ac:dyDescent="0.25">
      <c r="A222" s="59" t="s">
        <v>18</v>
      </c>
      <c r="B222" s="57" t="s">
        <v>1</v>
      </c>
      <c r="C222" s="58" t="s">
        <v>34</v>
      </c>
      <c r="D222" s="116" t="s">
        <v>209</v>
      </c>
      <c r="E222" s="116" t="s">
        <v>502</v>
      </c>
      <c r="F222" s="116" t="s">
        <v>495</v>
      </c>
      <c r="G222" s="46" t="s">
        <v>409</v>
      </c>
      <c r="H222" s="117">
        <f t="shared" si="50"/>
        <v>1197</v>
      </c>
      <c r="I222" s="117">
        <f t="shared" si="51"/>
        <v>1197</v>
      </c>
      <c r="J222" s="117">
        <f t="shared" ref="J222:J223" si="52">K222*0.95</f>
        <v>1197</v>
      </c>
      <c r="K222" s="117">
        <v>1260</v>
      </c>
      <c r="L222" s="15">
        <v>0</v>
      </c>
      <c r="M222" s="15">
        <v>0</v>
      </c>
      <c r="N222" s="15">
        <v>0</v>
      </c>
      <c r="O222" s="15">
        <v>0</v>
      </c>
      <c r="P222" s="121">
        <f t="shared" si="44"/>
        <v>780</v>
      </c>
      <c r="Q222" s="121">
        <f t="shared" si="45"/>
        <v>780</v>
      </c>
      <c r="R222" s="121">
        <f t="shared" si="46"/>
        <v>540</v>
      </c>
      <c r="S222" s="121">
        <f t="shared" si="47"/>
        <v>540</v>
      </c>
      <c r="T222" s="121">
        <f t="shared" si="48"/>
        <v>300</v>
      </c>
      <c r="U222" s="121">
        <f t="shared" si="49"/>
        <v>300</v>
      </c>
      <c r="V222" s="117">
        <v>1110</v>
      </c>
      <c r="W222" s="117">
        <v>1260</v>
      </c>
      <c r="X222" s="1" t="s">
        <v>1</v>
      </c>
      <c r="Y222" s="2" t="s">
        <v>1</v>
      </c>
      <c r="Z222" s="2" t="s">
        <v>1</v>
      </c>
      <c r="AA222" s="107" t="s">
        <v>1</v>
      </c>
      <c r="AB222" s="2" t="s">
        <v>1</v>
      </c>
    </row>
    <row r="223" spans="1:28" ht="30.15" customHeight="1" x14ac:dyDescent="0.25">
      <c r="A223" s="59" t="s">
        <v>18</v>
      </c>
      <c r="B223" s="57" t="s">
        <v>1</v>
      </c>
      <c r="C223" s="58" t="s">
        <v>34</v>
      </c>
      <c r="D223" s="116" t="s">
        <v>209</v>
      </c>
      <c r="E223" s="116" t="s">
        <v>503</v>
      </c>
      <c r="F223" s="116" t="s">
        <v>495</v>
      </c>
      <c r="G223" s="46" t="s">
        <v>409</v>
      </c>
      <c r="H223" s="117">
        <f t="shared" si="50"/>
        <v>1197</v>
      </c>
      <c r="I223" s="117">
        <f t="shared" si="51"/>
        <v>1197</v>
      </c>
      <c r="J223" s="117">
        <f t="shared" si="52"/>
        <v>1197</v>
      </c>
      <c r="K223" s="117">
        <v>1260</v>
      </c>
      <c r="L223" s="15">
        <v>0</v>
      </c>
      <c r="M223" s="15">
        <v>0</v>
      </c>
      <c r="N223" s="15">
        <v>0</v>
      </c>
      <c r="O223" s="15">
        <v>0</v>
      </c>
      <c r="P223" s="121">
        <f t="shared" si="44"/>
        <v>780</v>
      </c>
      <c r="Q223" s="121">
        <f t="shared" si="45"/>
        <v>780</v>
      </c>
      <c r="R223" s="121">
        <f t="shared" si="46"/>
        <v>540</v>
      </c>
      <c r="S223" s="121">
        <f t="shared" si="47"/>
        <v>540</v>
      </c>
      <c r="T223" s="121">
        <f t="shared" si="48"/>
        <v>300</v>
      </c>
      <c r="U223" s="121">
        <f t="shared" si="49"/>
        <v>300</v>
      </c>
      <c r="V223" s="117">
        <v>1110</v>
      </c>
      <c r="W223" s="117">
        <v>1260</v>
      </c>
      <c r="X223" s="1" t="s">
        <v>1</v>
      </c>
      <c r="Y223" s="2" t="s">
        <v>1</v>
      </c>
      <c r="Z223" s="2" t="s">
        <v>1</v>
      </c>
      <c r="AA223" s="107" t="s">
        <v>1</v>
      </c>
      <c r="AB223" s="2" t="s">
        <v>1</v>
      </c>
    </row>
    <row r="224" spans="1:28" ht="30.15" customHeight="1" x14ac:dyDescent="0.25">
      <c r="A224" s="59" t="s">
        <v>18</v>
      </c>
      <c r="B224" s="57" t="s">
        <v>1</v>
      </c>
      <c r="C224" s="58" t="s">
        <v>34</v>
      </c>
      <c r="D224" s="116" t="s">
        <v>209</v>
      </c>
      <c r="E224" s="116" t="s">
        <v>590</v>
      </c>
      <c r="F224" s="116" t="s">
        <v>594</v>
      </c>
      <c r="G224" s="46" t="s">
        <v>409</v>
      </c>
      <c r="H224" s="117">
        <f t="shared" si="50"/>
        <v>522</v>
      </c>
      <c r="I224" s="117">
        <f t="shared" si="51"/>
        <v>522</v>
      </c>
      <c r="J224" s="117">
        <v>522</v>
      </c>
      <c r="K224" s="117">
        <v>550</v>
      </c>
      <c r="L224" s="15">
        <v>0</v>
      </c>
      <c r="M224" s="15">
        <v>0</v>
      </c>
      <c r="N224" s="15">
        <v>0</v>
      </c>
      <c r="O224" s="15">
        <v>0</v>
      </c>
      <c r="P224" s="121">
        <f t="shared" si="44"/>
        <v>70</v>
      </c>
      <c r="Q224" s="121">
        <f t="shared" si="45"/>
        <v>70</v>
      </c>
      <c r="R224" s="121">
        <f t="shared" si="46"/>
        <v>0</v>
      </c>
      <c r="S224" s="121">
        <f t="shared" si="47"/>
        <v>0</v>
      </c>
      <c r="T224" s="121">
        <f t="shared" si="48"/>
        <v>0</v>
      </c>
      <c r="U224" s="121">
        <f t="shared" si="49"/>
        <v>0</v>
      </c>
      <c r="V224" s="117">
        <v>400</v>
      </c>
      <c r="W224" s="117">
        <v>550</v>
      </c>
      <c r="X224" s="1" t="s">
        <v>1</v>
      </c>
      <c r="Y224" s="2" t="s">
        <v>1</v>
      </c>
      <c r="Z224" s="2" t="s">
        <v>1</v>
      </c>
      <c r="AA224" s="107" t="s">
        <v>1</v>
      </c>
      <c r="AB224" s="2" t="s">
        <v>1</v>
      </c>
    </row>
    <row r="225" spans="1:28" ht="30.15" customHeight="1" x14ac:dyDescent="0.25">
      <c r="A225" s="59" t="s">
        <v>18</v>
      </c>
      <c r="B225" s="57" t="s">
        <v>1</v>
      </c>
      <c r="C225" s="58" t="s">
        <v>34</v>
      </c>
      <c r="D225" s="116" t="s">
        <v>209</v>
      </c>
      <c r="E225" s="116" t="s">
        <v>591</v>
      </c>
      <c r="F225" s="116" t="s">
        <v>594</v>
      </c>
      <c r="G225" s="46" t="s">
        <v>409</v>
      </c>
      <c r="H225" s="117">
        <f t="shared" si="50"/>
        <v>522</v>
      </c>
      <c r="I225" s="117">
        <f t="shared" si="51"/>
        <v>522</v>
      </c>
      <c r="J225" s="117">
        <v>522</v>
      </c>
      <c r="K225" s="117">
        <v>550</v>
      </c>
      <c r="L225" s="15">
        <v>0</v>
      </c>
      <c r="M225" s="15">
        <v>0</v>
      </c>
      <c r="N225" s="15">
        <v>0</v>
      </c>
      <c r="O225" s="15">
        <v>0</v>
      </c>
      <c r="P225" s="121">
        <f t="shared" si="44"/>
        <v>70</v>
      </c>
      <c r="Q225" s="121">
        <f t="shared" si="45"/>
        <v>70</v>
      </c>
      <c r="R225" s="121">
        <f t="shared" si="46"/>
        <v>0</v>
      </c>
      <c r="S225" s="121">
        <f t="shared" si="47"/>
        <v>0</v>
      </c>
      <c r="T225" s="121">
        <f t="shared" si="48"/>
        <v>0</v>
      </c>
      <c r="U225" s="121">
        <f t="shared" si="49"/>
        <v>0</v>
      </c>
      <c r="V225" s="117">
        <v>400</v>
      </c>
      <c r="W225" s="117">
        <v>550</v>
      </c>
      <c r="X225" s="1" t="s">
        <v>1</v>
      </c>
      <c r="Y225" s="2" t="s">
        <v>1</v>
      </c>
      <c r="Z225" s="2" t="s">
        <v>1</v>
      </c>
      <c r="AA225" s="107" t="s">
        <v>1</v>
      </c>
      <c r="AB225" s="2" t="s">
        <v>1</v>
      </c>
    </row>
    <row r="226" spans="1:28" ht="30.15" customHeight="1" x14ac:dyDescent="0.25">
      <c r="A226" s="59" t="s">
        <v>18</v>
      </c>
      <c r="B226" s="57" t="s">
        <v>1</v>
      </c>
      <c r="C226" s="58" t="s">
        <v>34</v>
      </c>
      <c r="D226" s="116" t="s">
        <v>209</v>
      </c>
      <c r="E226" s="116" t="s">
        <v>592</v>
      </c>
      <c r="F226" s="116" t="s">
        <v>595</v>
      </c>
      <c r="G226" s="46" t="s">
        <v>409</v>
      </c>
      <c r="H226" s="117">
        <f t="shared" si="50"/>
        <v>617</v>
      </c>
      <c r="I226" s="117">
        <f t="shared" si="51"/>
        <v>617</v>
      </c>
      <c r="J226" s="117">
        <v>617</v>
      </c>
      <c r="K226" s="117">
        <v>650</v>
      </c>
      <c r="L226" s="15">
        <v>0</v>
      </c>
      <c r="M226" s="15">
        <v>0</v>
      </c>
      <c r="N226" s="15">
        <v>0</v>
      </c>
      <c r="O226" s="15">
        <v>0</v>
      </c>
      <c r="P226" s="121">
        <f t="shared" si="44"/>
        <v>170</v>
      </c>
      <c r="Q226" s="121">
        <f t="shared" si="45"/>
        <v>170</v>
      </c>
      <c r="R226" s="121">
        <f t="shared" si="46"/>
        <v>0</v>
      </c>
      <c r="S226" s="121">
        <f t="shared" si="47"/>
        <v>0</v>
      </c>
      <c r="T226" s="121">
        <f t="shared" si="48"/>
        <v>0</v>
      </c>
      <c r="U226" s="121">
        <f t="shared" si="49"/>
        <v>0</v>
      </c>
      <c r="V226" s="117">
        <v>500</v>
      </c>
      <c r="W226" s="117">
        <v>650</v>
      </c>
      <c r="X226" s="1" t="s">
        <v>1</v>
      </c>
      <c r="Y226" s="2" t="s">
        <v>1</v>
      </c>
      <c r="Z226" s="2" t="s">
        <v>1</v>
      </c>
      <c r="AA226" s="107" t="s">
        <v>1</v>
      </c>
      <c r="AB226" s="2" t="s">
        <v>1</v>
      </c>
    </row>
    <row r="227" spans="1:28" ht="30.15" customHeight="1" x14ac:dyDescent="0.25">
      <c r="A227" s="59" t="s">
        <v>18</v>
      </c>
      <c r="B227" s="57" t="s">
        <v>1</v>
      </c>
      <c r="C227" s="58" t="s">
        <v>34</v>
      </c>
      <c r="D227" s="116" t="s">
        <v>209</v>
      </c>
      <c r="E227" s="116" t="s">
        <v>593</v>
      </c>
      <c r="F227" s="116" t="s">
        <v>595</v>
      </c>
      <c r="G227" s="46" t="s">
        <v>409</v>
      </c>
      <c r="H227" s="117">
        <f t="shared" si="50"/>
        <v>617</v>
      </c>
      <c r="I227" s="117">
        <f t="shared" si="51"/>
        <v>617</v>
      </c>
      <c r="J227" s="117">
        <v>617</v>
      </c>
      <c r="K227" s="117">
        <v>650</v>
      </c>
      <c r="L227" s="15">
        <v>0</v>
      </c>
      <c r="M227" s="15">
        <v>0</v>
      </c>
      <c r="N227" s="15">
        <v>0</v>
      </c>
      <c r="O227" s="15">
        <v>0</v>
      </c>
      <c r="P227" s="121">
        <f t="shared" si="44"/>
        <v>170</v>
      </c>
      <c r="Q227" s="121">
        <f t="shared" si="45"/>
        <v>170</v>
      </c>
      <c r="R227" s="121">
        <f t="shared" si="46"/>
        <v>0</v>
      </c>
      <c r="S227" s="121">
        <f t="shared" si="47"/>
        <v>0</v>
      </c>
      <c r="T227" s="121">
        <f t="shared" si="48"/>
        <v>0</v>
      </c>
      <c r="U227" s="121">
        <f t="shared" si="49"/>
        <v>0</v>
      </c>
      <c r="V227" s="117">
        <v>500</v>
      </c>
      <c r="W227" s="117">
        <v>650</v>
      </c>
      <c r="X227" s="1" t="s">
        <v>1</v>
      </c>
      <c r="Y227" s="2" t="s">
        <v>1</v>
      </c>
      <c r="Z227" s="2" t="s">
        <v>1</v>
      </c>
      <c r="AA227" s="107" t="s">
        <v>1</v>
      </c>
      <c r="AB227" s="2" t="s">
        <v>1</v>
      </c>
    </row>
    <row r="228" spans="1:28" ht="30.15" customHeight="1" x14ac:dyDescent="0.25">
      <c r="A228" s="56" t="s">
        <v>18</v>
      </c>
      <c r="B228" s="57" t="s">
        <v>1</v>
      </c>
      <c r="C228" s="56" t="s">
        <v>35</v>
      </c>
      <c r="D228" s="40" t="s">
        <v>90</v>
      </c>
      <c r="E228" s="40" t="s">
        <v>91</v>
      </c>
      <c r="F228" s="40" t="s">
        <v>92</v>
      </c>
      <c r="G228" s="46" t="s">
        <v>409</v>
      </c>
      <c r="H228" s="15">
        <v>130</v>
      </c>
      <c r="I228" s="15">
        <v>130</v>
      </c>
      <c r="J228" s="15">
        <v>130</v>
      </c>
      <c r="K228" s="15">
        <v>179.99</v>
      </c>
      <c r="L228" s="15" t="s">
        <v>1</v>
      </c>
      <c r="M228" s="15" t="s">
        <v>1</v>
      </c>
      <c r="N228" s="15" t="s">
        <v>1</v>
      </c>
      <c r="O228" s="15" t="s">
        <v>1</v>
      </c>
      <c r="P228" s="2" t="s">
        <v>1</v>
      </c>
      <c r="Q228" s="2" t="s">
        <v>1</v>
      </c>
      <c r="R228" s="2" t="s">
        <v>1</v>
      </c>
      <c r="S228" s="2" t="s">
        <v>1</v>
      </c>
      <c r="T228" s="2" t="s">
        <v>1</v>
      </c>
      <c r="U228" s="44" t="s">
        <v>1</v>
      </c>
      <c r="V228" s="15" t="s">
        <v>1</v>
      </c>
      <c r="W228" s="15" t="s">
        <v>1</v>
      </c>
      <c r="X228" s="15">
        <v>0</v>
      </c>
      <c r="Y228" s="2" t="s">
        <v>1</v>
      </c>
      <c r="Z228" s="2" t="s">
        <v>1</v>
      </c>
      <c r="AA228" s="107" t="s">
        <v>1</v>
      </c>
      <c r="AB228" s="2" t="s">
        <v>1</v>
      </c>
    </row>
    <row r="229" spans="1:28" ht="30.15" customHeight="1" x14ac:dyDescent="0.25">
      <c r="A229" s="59" t="s">
        <v>18</v>
      </c>
      <c r="B229" s="57" t="s">
        <v>1</v>
      </c>
      <c r="C229" s="58" t="s">
        <v>34</v>
      </c>
      <c r="D229" s="116" t="s">
        <v>90</v>
      </c>
      <c r="E229" s="116" t="s">
        <v>527</v>
      </c>
      <c r="F229" s="116" t="s">
        <v>537</v>
      </c>
      <c r="G229" s="46" t="s">
        <v>409</v>
      </c>
      <c r="H229" s="117">
        <f t="shared" ref="H229:H230" si="53">J229</f>
        <v>684</v>
      </c>
      <c r="I229" s="117">
        <f t="shared" ref="I229:I230" si="54">J229</f>
        <v>684</v>
      </c>
      <c r="J229" s="117">
        <f t="shared" ref="J229:J230" si="55">K229*0.95</f>
        <v>684</v>
      </c>
      <c r="K229" s="117">
        <v>720</v>
      </c>
      <c r="L229" s="15">
        <v>0</v>
      </c>
      <c r="M229" s="15">
        <v>0</v>
      </c>
      <c r="N229" s="15">
        <v>0</v>
      </c>
      <c r="O229" s="15">
        <v>0</v>
      </c>
      <c r="P229" s="121">
        <f t="shared" ref="P229:P230" si="56">IF((K229-(20*24))&lt;0,0,(K229-(20*24)))</f>
        <v>240</v>
      </c>
      <c r="Q229" s="121">
        <f t="shared" ref="Q229:Q230" si="57">IF((K229-(20*24))&lt;0,0,(K229-(20*24)))</f>
        <v>240</v>
      </c>
      <c r="R229" s="121">
        <f t="shared" ref="R229:R230" si="58">IF((K229-(30*24))&lt;0,0,(K229-(30*24)))</f>
        <v>0</v>
      </c>
      <c r="S229" s="121">
        <f t="shared" ref="S229:S230" si="59">IF((K229-(30*24))&lt;0,0,(K229-(30*24)))</f>
        <v>0</v>
      </c>
      <c r="T229" s="121">
        <f t="shared" ref="T229:T230" si="60">IF((K229-(40*24))&lt;0,0,(K229-(40*24)))</f>
        <v>0</v>
      </c>
      <c r="U229" s="121">
        <f t="shared" ref="U229:U230" si="61">IF((K229-(40*24))&lt;0,0,(K229-(40*24)))</f>
        <v>0</v>
      </c>
      <c r="V229" s="117">
        <v>570</v>
      </c>
      <c r="W229" s="117">
        <v>720</v>
      </c>
      <c r="X229" s="15" t="s">
        <v>1</v>
      </c>
      <c r="Y229" s="2" t="s">
        <v>1</v>
      </c>
      <c r="Z229" s="2" t="s">
        <v>1</v>
      </c>
      <c r="AA229" s="107" t="s">
        <v>1</v>
      </c>
      <c r="AB229" s="2" t="s">
        <v>1</v>
      </c>
    </row>
    <row r="230" spans="1:28" ht="30.15" customHeight="1" x14ac:dyDescent="0.25">
      <c r="A230" s="59" t="s">
        <v>18</v>
      </c>
      <c r="B230" s="57" t="s">
        <v>1</v>
      </c>
      <c r="C230" s="58" t="s">
        <v>34</v>
      </c>
      <c r="D230" s="116" t="s">
        <v>90</v>
      </c>
      <c r="E230" s="116" t="s">
        <v>528</v>
      </c>
      <c r="F230" s="116" t="s">
        <v>537</v>
      </c>
      <c r="G230" s="46" t="s">
        <v>409</v>
      </c>
      <c r="H230" s="117">
        <f t="shared" si="53"/>
        <v>684</v>
      </c>
      <c r="I230" s="117">
        <f t="shared" si="54"/>
        <v>684</v>
      </c>
      <c r="J230" s="117">
        <f t="shared" si="55"/>
        <v>684</v>
      </c>
      <c r="K230" s="117">
        <v>720</v>
      </c>
      <c r="L230" s="15">
        <v>0</v>
      </c>
      <c r="M230" s="15">
        <v>0</v>
      </c>
      <c r="N230" s="15">
        <v>0</v>
      </c>
      <c r="O230" s="15">
        <v>0</v>
      </c>
      <c r="P230" s="121">
        <f t="shared" si="56"/>
        <v>240</v>
      </c>
      <c r="Q230" s="121">
        <f t="shared" si="57"/>
        <v>240</v>
      </c>
      <c r="R230" s="121">
        <f t="shared" si="58"/>
        <v>0</v>
      </c>
      <c r="S230" s="121">
        <f t="shared" si="59"/>
        <v>0</v>
      </c>
      <c r="T230" s="121">
        <f t="shared" si="60"/>
        <v>0</v>
      </c>
      <c r="U230" s="121">
        <f t="shared" si="61"/>
        <v>0</v>
      </c>
      <c r="V230" s="117">
        <v>570</v>
      </c>
      <c r="W230" s="117">
        <v>720</v>
      </c>
      <c r="X230" s="15" t="s">
        <v>1</v>
      </c>
      <c r="Y230" s="2" t="s">
        <v>1</v>
      </c>
      <c r="Z230" s="2" t="s">
        <v>1</v>
      </c>
      <c r="AA230" s="107" t="s">
        <v>1</v>
      </c>
      <c r="AB230" s="2" t="s">
        <v>1</v>
      </c>
    </row>
    <row r="231" spans="1:28" ht="30.15" customHeight="1" x14ac:dyDescent="0.25">
      <c r="A231" s="56" t="s">
        <v>17</v>
      </c>
      <c r="B231" s="58">
        <v>43221</v>
      </c>
      <c r="C231" s="58" t="s">
        <v>34</v>
      </c>
      <c r="D231" s="40" t="s">
        <v>90</v>
      </c>
      <c r="E231" s="40" t="s">
        <v>359</v>
      </c>
      <c r="F231" s="46" t="s">
        <v>360</v>
      </c>
      <c r="G231" s="46" t="s">
        <v>409</v>
      </c>
      <c r="H231" s="15">
        <v>680</v>
      </c>
      <c r="I231" s="15">
        <v>680</v>
      </c>
      <c r="J231" s="15">
        <v>680</v>
      </c>
      <c r="K231" s="15">
        <v>699.99</v>
      </c>
      <c r="L231" s="15">
        <v>0</v>
      </c>
      <c r="M231" s="15">
        <v>0</v>
      </c>
      <c r="N231" s="15">
        <v>0</v>
      </c>
      <c r="O231" s="15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1</v>
      </c>
      <c r="U231" s="44" t="s">
        <v>1</v>
      </c>
      <c r="V231" s="15">
        <v>0</v>
      </c>
      <c r="W231" s="15">
        <v>0</v>
      </c>
      <c r="X231" s="15" t="s">
        <v>1</v>
      </c>
      <c r="Y231" s="2" t="s">
        <v>1</v>
      </c>
      <c r="Z231" s="2" t="s">
        <v>1</v>
      </c>
      <c r="AA231" s="107" t="s">
        <v>1</v>
      </c>
      <c r="AB231" s="2" t="s">
        <v>1</v>
      </c>
    </row>
    <row r="232" spans="1:28" ht="30.15" customHeight="1" x14ac:dyDescent="0.25">
      <c r="A232" s="59" t="s">
        <v>18</v>
      </c>
      <c r="B232" s="57" t="s">
        <v>1</v>
      </c>
      <c r="C232" s="58" t="s">
        <v>34</v>
      </c>
      <c r="D232" s="40" t="s">
        <v>90</v>
      </c>
      <c r="E232" s="40" t="s">
        <v>223</v>
      </c>
      <c r="F232" s="40" t="s">
        <v>222</v>
      </c>
      <c r="G232" s="46" t="s">
        <v>409</v>
      </c>
      <c r="H232" s="15">
        <v>390</v>
      </c>
      <c r="I232" s="15">
        <v>390</v>
      </c>
      <c r="J232" s="15">
        <v>390</v>
      </c>
      <c r="K232" s="15">
        <v>400</v>
      </c>
      <c r="L232" s="15">
        <v>0</v>
      </c>
      <c r="M232" s="15">
        <v>0</v>
      </c>
      <c r="N232" s="15">
        <v>0</v>
      </c>
      <c r="O232" s="15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1</v>
      </c>
      <c r="U232" s="44" t="s">
        <v>1</v>
      </c>
      <c r="V232" s="15">
        <v>200</v>
      </c>
      <c r="W232" s="2">
        <v>200</v>
      </c>
      <c r="X232" s="15" t="s">
        <v>1</v>
      </c>
      <c r="Y232" s="16" t="s">
        <v>1</v>
      </c>
      <c r="Z232" s="2" t="s">
        <v>1</v>
      </c>
      <c r="AA232" s="107" t="s">
        <v>1</v>
      </c>
      <c r="AB232" s="2" t="s">
        <v>1</v>
      </c>
    </row>
    <row r="233" spans="1:28" ht="30.15" customHeight="1" x14ac:dyDescent="0.25">
      <c r="A233" s="59" t="s">
        <v>18</v>
      </c>
      <c r="B233" s="57" t="s">
        <v>1</v>
      </c>
      <c r="C233" s="58" t="s">
        <v>34</v>
      </c>
      <c r="D233" s="40" t="s">
        <v>90</v>
      </c>
      <c r="E233" s="40" t="s">
        <v>279</v>
      </c>
      <c r="F233" s="40" t="s">
        <v>280</v>
      </c>
      <c r="G233" s="46" t="s">
        <v>409</v>
      </c>
      <c r="H233" s="15">
        <v>330</v>
      </c>
      <c r="I233" s="15">
        <v>330</v>
      </c>
      <c r="J233" s="15">
        <v>330</v>
      </c>
      <c r="K233" s="15">
        <v>349</v>
      </c>
      <c r="L233" s="15">
        <v>0</v>
      </c>
      <c r="M233" s="15">
        <v>0</v>
      </c>
      <c r="N233" s="15">
        <v>0</v>
      </c>
      <c r="O233" s="15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1</v>
      </c>
      <c r="U233" s="44" t="s">
        <v>1</v>
      </c>
      <c r="V233" s="15">
        <v>199</v>
      </c>
      <c r="W233" s="2">
        <v>199</v>
      </c>
      <c r="X233" s="15" t="s">
        <v>1</v>
      </c>
      <c r="Y233" s="16" t="s">
        <v>1</v>
      </c>
      <c r="Z233" s="2" t="s">
        <v>1</v>
      </c>
      <c r="AA233" s="107" t="s">
        <v>1</v>
      </c>
      <c r="AB233" s="2" t="s">
        <v>1</v>
      </c>
    </row>
    <row r="234" spans="1:28" ht="30.15" customHeight="1" x14ac:dyDescent="0.25">
      <c r="A234" s="59" t="s">
        <v>18</v>
      </c>
      <c r="B234" s="57" t="s">
        <v>1</v>
      </c>
      <c r="C234" s="58" t="s">
        <v>34</v>
      </c>
      <c r="D234" s="40" t="s">
        <v>90</v>
      </c>
      <c r="E234" s="40" t="s">
        <v>281</v>
      </c>
      <c r="F234" s="40" t="s">
        <v>282</v>
      </c>
      <c r="G234" s="46" t="s">
        <v>409</v>
      </c>
      <c r="H234" s="15">
        <v>620</v>
      </c>
      <c r="I234" s="15">
        <v>620</v>
      </c>
      <c r="J234" s="15">
        <v>620</v>
      </c>
      <c r="K234" s="15">
        <v>649</v>
      </c>
      <c r="L234" s="15">
        <v>0</v>
      </c>
      <c r="M234" s="15">
        <v>0</v>
      </c>
      <c r="N234" s="15">
        <v>0</v>
      </c>
      <c r="O234" s="15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1</v>
      </c>
      <c r="U234" s="44" t="s">
        <v>1</v>
      </c>
      <c r="V234" s="15">
        <v>499</v>
      </c>
      <c r="W234" s="2">
        <v>499</v>
      </c>
      <c r="X234" s="15" t="s">
        <v>1</v>
      </c>
      <c r="Y234" s="16" t="s">
        <v>1</v>
      </c>
      <c r="Z234" s="2" t="s">
        <v>1</v>
      </c>
      <c r="AA234" s="107" t="s">
        <v>1</v>
      </c>
      <c r="AB234" s="2" t="s">
        <v>1</v>
      </c>
    </row>
    <row r="235" spans="1:28" ht="30.15" customHeight="1" x14ac:dyDescent="0.25">
      <c r="A235" s="59" t="s">
        <v>18</v>
      </c>
      <c r="B235" s="57" t="s">
        <v>1</v>
      </c>
      <c r="C235" s="58" t="s">
        <v>34</v>
      </c>
      <c r="D235" s="40" t="s">
        <v>90</v>
      </c>
      <c r="E235" s="40" t="s">
        <v>291</v>
      </c>
      <c r="F235" s="40" t="s">
        <v>282</v>
      </c>
      <c r="G235" s="46" t="s">
        <v>409</v>
      </c>
      <c r="H235" s="15">
        <v>620</v>
      </c>
      <c r="I235" s="15">
        <v>620</v>
      </c>
      <c r="J235" s="15">
        <v>620</v>
      </c>
      <c r="K235" s="15">
        <v>649</v>
      </c>
      <c r="L235" s="15">
        <v>0</v>
      </c>
      <c r="M235" s="15">
        <v>0</v>
      </c>
      <c r="N235" s="15">
        <v>0</v>
      </c>
      <c r="O235" s="15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1</v>
      </c>
      <c r="U235" s="44" t="s">
        <v>1</v>
      </c>
      <c r="V235" s="15">
        <v>499</v>
      </c>
      <c r="W235" s="2">
        <v>499</v>
      </c>
      <c r="X235" s="15" t="s">
        <v>1</v>
      </c>
      <c r="Y235" s="16" t="s">
        <v>1</v>
      </c>
      <c r="Z235" s="2" t="s">
        <v>1</v>
      </c>
      <c r="AA235" s="107" t="s">
        <v>1</v>
      </c>
      <c r="AB235" s="2" t="s">
        <v>1</v>
      </c>
    </row>
    <row r="236" spans="1:28" ht="30.15" customHeight="1" x14ac:dyDescent="0.25">
      <c r="A236" s="59" t="s">
        <v>18</v>
      </c>
      <c r="B236" s="57" t="s">
        <v>1</v>
      </c>
      <c r="C236" s="58" t="s">
        <v>34</v>
      </c>
      <c r="D236" s="40" t="s">
        <v>90</v>
      </c>
      <c r="E236" s="40" t="s">
        <v>283</v>
      </c>
      <c r="F236" s="40" t="s">
        <v>282</v>
      </c>
      <c r="G236" s="46" t="s">
        <v>409</v>
      </c>
      <c r="H236" s="15">
        <v>620</v>
      </c>
      <c r="I236" s="15">
        <v>620</v>
      </c>
      <c r="J236" s="15">
        <v>620</v>
      </c>
      <c r="K236" s="15">
        <v>649</v>
      </c>
      <c r="L236" s="15">
        <v>0</v>
      </c>
      <c r="M236" s="15">
        <v>0</v>
      </c>
      <c r="N236" s="15">
        <v>0</v>
      </c>
      <c r="O236" s="15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1</v>
      </c>
      <c r="U236" s="44" t="s">
        <v>1</v>
      </c>
      <c r="V236" s="15">
        <v>499</v>
      </c>
      <c r="W236" s="2">
        <v>499</v>
      </c>
      <c r="X236" s="15" t="s">
        <v>1</v>
      </c>
      <c r="Y236" s="16" t="s">
        <v>1</v>
      </c>
      <c r="Z236" s="2" t="s">
        <v>1</v>
      </c>
      <c r="AA236" s="107" t="s">
        <v>1</v>
      </c>
      <c r="AB236" s="2" t="s">
        <v>1</v>
      </c>
    </row>
    <row r="237" spans="1:28" ht="30.15" customHeight="1" x14ac:dyDescent="0.25">
      <c r="A237" s="59" t="s">
        <v>18</v>
      </c>
      <c r="B237" s="57" t="s">
        <v>1</v>
      </c>
      <c r="C237" s="58" t="s">
        <v>34</v>
      </c>
      <c r="D237" s="40" t="s">
        <v>90</v>
      </c>
      <c r="E237" s="40" t="s">
        <v>284</v>
      </c>
      <c r="F237" s="40" t="s">
        <v>285</v>
      </c>
      <c r="G237" s="46" t="s">
        <v>409</v>
      </c>
      <c r="H237" s="15">
        <v>700</v>
      </c>
      <c r="I237" s="15">
        <v>700</v>
      </c>
      <c r="J237" s="15">
        <v>700</v>
      </c>
      <c r="K237" s="15">
        <v>749</v>
      </c>
      <c r="L237" s="15">
        <v>0</v>
      </c>
      <c r="M237" s="15">
        <v>0</v>
      </c>
      <c r="N237" s="15">
        <v>0</v>
      </c>
      <c r="O237" s="15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1</v>
      </c>
      <c r="U237" s="44" t="s">
        <v>1</v>
      </c>
      <c r="V237" s="15">
        <v>599</v>
      </c>
      <c r="W237" s="2">
        <v>599</v>
      </c>
      <c r="X237" s="15" t="s">
        <v>1</v>
      </c>
      <c r="Y237" s="16" t="s">
        <v>1</v>
      </c>
      <c r="Z237" s="2" t="s">
        <v>1</v>
      </c>
      <c r="AA237" s="107" t="s">
        <v>1</v>
      </c>
      <c r="AB237" s="2" t="s">
        <v>1</v>
      </c>
    </row>
    <row r="238" spans="1:28" ht="30.15" customHeight="1" x14ac:dyDescent="0.25">
      <c r="A238" s="59" t="s">
        <v>18</v>
      </c>
      <c r="B238" s="57" t="s">
        <v>1</v>
      </c>
      <c r="C238" s="58" t="s">
        <v>34</v>
      </c>
      <c r="D238" s="40" t="s">
        <v>90</v>
      </c>
      <c r="E238" s="40" t="s">
        <v>292</v>
      </c>
      <c r="F238" s="40" t="s">
        <v>285</v>
      </c>
      <c r="G238" s="46" t="s">
        <v>409</v>
      </c>
      <c r="H238" s="15">
        <v>700</v>
      </c>
      <c r="I238" s="15">
        <v>700</v>
      </c>
      <c r="J238" s="15">
        <v>700</v>
      </c>
      <c r="K238" s="15">
        <v>749</v>
      </c>
      <c r="L238" s="15">
        <v>0</v>
      </c>
      <c r="M238" s="15">
        <v>0</v>
      </c>
      <c r="N238" s="15">
        <v>0</v>
      </c>
      <c r="O238" s="15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1</v>
      </c>
      <c r="U238" s="44" t="s">
        <v>1</v>
      </c>
      <c r="V238" s="15">
        <v>599</v>
      </c>
      <c r="W238" s="2">
        <v>599</v>
      </c>
      <c r="X238" s="15" t="s">
        <v>1</v>
      </c>
      <c r="Y238" s="16" t="s">
        <v>1</v>
      </c>
      <c r="Z238" s="2" t="s">
        <v>1</v>
      </c>
      <c r="AA238" s="107" t="s">
        <v>1</v>
      </c>
      <c r="AB238" s="2" t="s">
        <v>1</v>
      </c>
    </row>
    <row r="239" spans="1:28" ht="30.15" customHeight="1" x14ac:dyDescent="0.25">
      <c r="A239" s="59" t="s">
        <v>18</v>
      </c>
      <c r="B239" s="57" t="s">
        <v>1</v>
      </c>
      <c r="C239" s="58" t="s">
        <v>34</v>
      </c>
      <c r="D239" s="116" t="s">
        <v>90</v>
      </c>
      <c r="E239" s="116" t="s">
        <v>390</v>
      </c>
      <c r="F239" s="116" t="s">
        <v>393</v>
      </c>
      <c r="G239" s="46" t="s">
        <v>409</v>
      </c>
      <c r="H239" s="117">
        <f t="shared" ref="H239:H242" si="62">J239</f>
        <v>228</v>
      </c>
      <c r="I239" s="117">
        <f t="shared" ref="I239:I242" si="63">J239</f>
        <v>228</v>
      </c>
      <c r="J239" s="117">
        <f t="shared" ref="J239:J242" si="64">K239*0.95</f>
        <v>228</v>
      </c>
      <c r="K239" s="117">
        <v>240</v>
      </c>
      <c r="L239" s="15">
        <v>0</v>
      </c>
      <c r="M239" s="15">
        <v>0</v>
      </c>
      <c r="N239" s="15">
        <v>0</v>
      </c>
      <c r="O239" s="15">
        <v>0</v>
      </c>
      <c r="P239" s="121">
        <f t="shared" ref="P239:P247" si="65">IF((K239-(20*24))&lt;0,0,(K239-(20*24)))</f>
        <v>0</v>
      </c>
      <c r="Q239" s="121">
        <f t="shared" ref="Q239:Q247" si="66">IF((K239-(20*24))&lt;0,0,(K239-(20*24)))</f>
        <v>0</v>
      </c>
      <c r="R239" s="121">
        <f t="shared" ref="R239:R247" si="67">IF((K239-(30*24))&lt;0,0,(K239-(30*24)))</f>
        <v>0</v>
      </c>
      <c r="S239" s="121">
        <f t="shared" ref="S239:S247" si="68">IF((K239-(30*24))&lt;0,0,(K239-(30*24)))</f>
        <v>0</v>
      </c>
      <c r="T239" s="121">
        <f t="shared" ref="T239:T247" si="69">IF((K239-(40*24))&lt;0,0,(K239-(40*24)))</f>
        <v>0</v>
      </c>
      <c r="U239" s="121">
        <f t="shared" ref="U239:U247" si="70">IF((K239-(40*24))&lt;0,0,(K239-(40*24)))</f>
        <v>0</v>
      </c>
      <c r="V239" s="117">
        <v>90</v>
      </c>
      <c r="W239" s="117">
        <v>240</v>
      </c>
      <c r="X239" s="15" t="s">
        <v>1</v>
      </c>
      <c r="Y239" s="2" t="s">
        <v>1</v>
      </c>
      <c r="Z239" s="2" t="s">
        <v>1</v>
      </c>
      <c r="AA239" s="107" t="s">
        <v>1</v>
      </c>
      <c r="AB239" s="2" t="s">
        <v>1</v>
      </c>
    </row>
    <row r="240" spans="1:28" ht="30.15" customHeight="1" x14ac:dyDescent="0.25">
      <c r="A240" s="59" t="s">
        <v>18</v>
      </c>
      <c r="B240" s="57" t="s">
        <v>1</v>
      </c>
      <c r="C240" s="58" t="s">
        <v>34</v>
      </c>
      <c r="D240" s="116" t="s">
        <v>90</v>
      </c>
      <c r="E240" s="116" t="s">
        <v>391</v>
      </c>
      <c r="F240" s="116" t="s">
        <v>394</v>
      </c>
      <c r="G240" s="46" t="s">
        <v>409</v>
      </c>
      <c r="H240" s="117">
        <f t="shared" si="62"/>
        <v>342</v>
      </c>
      <c r="I240" s="117">
        <f t="shared" si="63"/>
        <v>342</v>
      </c>
      <c r="J240" s="117">
        <f t="shared" si="64"/>
        <v>342</v>
      </c>
      <c r="K240" s="117">
        <v>360</v>
      </c>
      <c r="L240" s="15">
        <v>0</v>
      </c>
      <c r="M240" s="15">
        <v>0</v>
      </c>
      <c r="N240" s="15">
        <v>0</v>
      </c>
      <c r="O240" s="15">
        <v>0</v>
      </c>
      <c r="P240" s="121">
        <f t="shared" si="65"/>
        <v>0</v>
      </c>
      <c r="Q240" s="121">
        <f t="shared" si="66"/>
        <v>0</v>
      </c>
      <c r="R240" s="121">
        <f t="shared" si="67"/>
        <v>0</v>
      </c>
      <c r="S240" s="121">
        <f t="shared" si="68"/>
        <v>0</v>
      </c>
      <c r="T240" s="121">
        <f t="shared" si="69"/>
        <v>0</v>
      </c>
      <c r="U240" s="121">
        <f t="shared" si="70"/>
        <v>0</v>
      </c>
      <c r="V240" s="117">
        <v>210</v>
      </c>
      <c r="W240" s="117">
        <v>360</v>
      </c>
      <c r="X240" s="15" t="s">
        <v>1</v>
      </c>
      <c r="Y240" s="2" t="s">
        <v>1</v>
      </c>
      <c r="Z240" s="2" t="s">
        <v>1</v>
      </c>
      <c r="AA240" s="107" t="s">
        <v>1</v>
      </c>
      <c r="AB240" s="2" t="s">
        <v>1</v>
      </c>
    </row>
    <row r="241" spans="1:28" ht="30.15" customHeight="1" x14ac:dyDescent="0.25">
      <c r="A241" s="59" t="s">
        <v>18</v>
      </c>
      <c r="B241" s="57" t="s">
        <v>1</v>
      </c>
      <c r="C241" s="58" t="s">
        <v>34</v>
      </c>
      <c r="D241" s="116" t="s">
        <v>90</v>
      </c>
      <c r="E241" s="116" t="s">
        <v>392</v>
      </c>
      <c r="F241" s="116" t="s">
        <v>395</v>
      </c>
      <c r="G241" s="46" t="s">
        <v>409</v>
      </c>
      <c r="H241" s="117">
        <f t="shared" si="62"/>
        <v>456</v>
      </c>
      <c r="I241" s="117">
        <f t="shared" si="63"/>
        <v>456</v>
      </c>
      <c r="J241" s="117">
        <f t="shared" si="64"/>
        <v>456</v>
      </c>
      <c r="K241" s="117">
        <v>480</v>
      </c>
      <c r="L241" s="15">
        <v>0</v>
      </c>
      <c r="M241" s="15">
        <v>0</v>
      </c>
      <c r="N241" s="15">
        <v>0</v>
      </c>
      <c r="O241" s="15">
        <v>0</v>
      </c>
      <c r="P241" s="121">
        <f t="shared" si="65"/>
        <v>0</v>
      </c>
      <c r="Q241" s="121">
        <f t="shared" si="66"/>
        <v>0</v>
      </c>
      <c r="R241" s="121">
        <f t="shared" si="67"/>
        <v>0</v>
      </c>
      <c r="S241" s="121">
        <f t="shared" si="68"/>
        <v>0</v>
      </c>
      <c r="T241" s="121">
        <f t="shared" si="69"/>
        <v>0</v>
      </c>
      <c r="U241" s="121">
        <f t="shared" si="70"/>
        <v>0</v>
      </c>
      <c r="V241" s="117">
        <v>330</v>
      </c>
      <c r="W241" s="117">
        <v>480</v>
      </c>
      <c r="X241" s="15" t="s">
        <v>1</v>
      </c>
      <c r="Y241" s="2" t="s">
        <v>1</v>
      </c>
      <c r="Z241" s="2" t="s">
        <v>1</v>
      </c>
      <c r="AA241" s="107" t="s">
        <v>1</v>
      </c>
      <c r="AB241" s="2" t="s">
        <v>1</v>
      </c>
    </row>
    <row r="242" spans="1:28" ht="30.15" customHeight="1" x14ac:dyDescent="0.25">
      <c r="A242" s="59" t="s">
        <v>18</v>
      </c>
      <c r="B242" s="57" t="s">
        <v>1</v>
      </c>
      <c r="C242" s="58" t="s">
        <v>34</v>
      </c>
      <c r="D242" s="116" t="s">
        <v>90</v>
      </c>
      <c r="E242" s="116" t="s">
        <v>446</v>
      </c>
      <c r="F242" s="116" t="s">
        <v>395</v>
      </c>
      <c r="G242" s="46" t="s">
        <v>409</v>
      </c>
      <c r="H242" s="117">
        <f t="shared" si="62"/>
        <v>456</v>
      </c>
      <c r="I242" s="117">
        <f t="shared" si="63"/>
        <v>456</v>
      </c>
      <c r="J242" s="117">
        <f t="shared" si="64"/>
        <v>456</v>
      </c>
      <c r="K242" s="117">
        <v>480</v>
      </c>
      <c r="L242" s="15">
        <v>0</v>
      </c>
      <c r="M242" s="15">
        <v>0</v>
      </c>
      <c r="N242" s="15">
        <v>0</v>
      </c>
      <c r="O242" s="15">
        <v>0</v>
      </c>
      <c r="P242" s="121">
        <f t="shared" si="65"/>
        <v>0</v>
      </c>
      <c r="Q242" s="121">
        <f t="shared" si="66"/>
        <v>0</v>
      </c>
      <c r="R242" s="121">
        <f t="shared" si="67"/>
        <v>0</v>
      </c>
      <c r="S242" s="121">
        <f t="shared" si="68"/>
        <v>0</v>
      </c>
      <c r="T242" s="121">
        <f t="shared" si="69"/>
        <v>0</v>
      </c>
      <c r="U242" s="121">
        <f t="shared" si="70"/>
        <v>0</v>
      </c>
      <c r="V242" s="117">
        <v>330</v>
      </c>
      <c r="W242" s="117">
        <v>480</v>
      </c>
      <c r="X242" s="15" t="s">
        <v>1</v>
      </c>
      <c r="Y242" s="2" t="s">
        <v>1</v>
      </c>
      <c r="Z242" s="2" t="s">
        <v>1</v>
      </c>
      <c r="AA242" s="107" t="s">
        <v>1</v>
      </c>
      <c r="AB242" s="2" t="s">
        <v>1</v>
      </c>
    </row>
    <row r="243" spans="1:28" ht="30.15" customHeight="1" x14ac:dyDescent="0.25">
      <c r="A243" s="59" t="s">
        <v>18</v>
      </c>
      <c r="B243" s="57" t="s">
        <v>1</v>
      </c>
      <c r="C243" s="58" t="s">
        <v>34</v>
      </c>
      <c r="D243" s="116" t="s">
        <v>90</v>
      </c>
      <c r="E243" s="116" t="s">
        <v>573</v>
      </c>
      <c r="F243" s="116" t="s">
        <v>581</v>
      </c>
      <c r="G243" s="46" t="s">
        <v>409</v>
      </c>
      <c r="H243" s="15">
        <v>1049</v>
      </c>
      <c r="I243" s="15">
        <v>1049</v>
      </c>
      <c r="J243" s="15">
        <v>1049</v>
      </c>
      <c r="K243" s="117">
        <v>1060</v>
      </c>
      <c r="L243" s="15">
        <v>0</v>
      </c>
      <c r="M243" s="15">
        <v>0</v>
      </c>
      <c r="N243" s="15">
        <v>0</v>
      </c>
      <c r="O243" s="15">
        <v>0</v>
      </c>
      <c r="P243" s="121">
        <f t="shared" si="65"/>
        <v>580</v>
      </c>
      <c r="Q243" s="121">
        <f t="shared" si="66"/>
        <v>580</v>
      </c>
      <c r="R243" s="121">
        <f t="shared" si="67"/>
        <v>340</v>
      </c>
      <c r="S243" s="121">
        <f t="shared" si="68"/>
        <v>340</v>
      </c>
      <c r="T243" s="121">
        <f t="shared" si="69"/>
        <v>100</v>
      </c>
      <c r="U243" s="121">
        <f t="shared" si="70"/>
        <v>100</v>
      </c>
      <c r="V243" s="117">
        <v>910</v>
      </c>
      <c r="W243" s="117">
        <v>1060</v>
      </c>
      <c r="X243" s="15" t="s">
        <v>1</v>
      </c>
      <c r="Y243" s="2" t="s">
        <v>1</v>
      </c>
      <c r="Z243" s="2" t="s">
        <v>1</v>
      </c>
      <c r="AA243" s="107" t="s">
        <v>1</v>
      </c>
      <c r="AB243" s="2" t="s">
        <v>1</v>
      </c>
    </row>
    <row r="244" spans="1:28" ht="30.15" customHeight="1" x14ac:dyDescent="0.25">
      <c r="A244" s="59" t="s">
        <v>18</v>
      </c>
      <c r="B244" s="57" t="s">
        <v>1</v>
      </c>
      <c r="C244" s="58" t="s">
        <v>34</v>
      </c>
      <c r="D244" s="116" t="s">
        <v>90</v>
      </c>
      <c r="E244" s="116" t="s">
        <v>574</v>
      </c>
      <c r="F244" s="116" t="s">
        <v>581</v>
      </c>
      <c r="G244" s="46" t="s">
        <v>409</v>
      </c>
      <c r="H244" s="15">
        <v>1049</v>
      </c>
      <c r="I244" s="15">
        <v>1049</v>
      </c>
      <c r="J244" s="15">
        <v>1049</v>
      </c>
      <c r="K244" s="117">
        <v>1060</v>
      </c>
      <c r="L244" s="15">
        <v>0</v>
      </c>
      <c r="M244" s="15">
        <v>0</v>
      </c>
      <c r="N244" s="15">
        <v>0</v>
      </c>
      <c r="O244" s="15">
        <v>0</v>
      </c>
      <c r="P244" s="121">
        <f t="shared" si="65"/>
        <v>580</v>
      </c>
      <c r="Q244" s="121">
        <f t="shared" si="66"/>
        <v>580</v>
      </c>
      <c r="R244" s="121">
        <f t="shared" si="67"/>
        <v>340</v>
      </c>
      <c r="S244" s="121">
        <f t="shared" si="68"/>
        <v>340</v>
      </c>
      <c r="T244" s="121">
        <f t="shared" si="69"/>
        <v>100</v>
      </c>
      <c r="U244" s="121">
        <f t="shared" si="70"/>
        <v>100</v>
      </c>
      <c r="V244" s="117">
        <v>910</v>
      </c>
      <c r="W244" s="117">
        <v>1060</v>
      </c>
      <c r="X244" s="15" t="s">
        <v>1</v>
      </c>
      <c r="Y244" s="2" t="s">
        <v>1</v>
      </c>
      <c r="Z244" s="2" t="s">
        <v>1</v>
      </c>
      <c r="AA244" s="107" t="s">
        <v>1</v>
      </c>
      <c r="AB244" s="2" t="s">
        <v>1</v>
      </c>
    </row>
    <row r="245" spans="1:28" ht="30.15" customHeight="1" x14ac:dyDescent="0.25">
      <c r="A245" s="59" t="s">
        <v>18</v>
      </c>
      <c r="B245" s="57" t="s">
        <v>1</v>
      </c>
      <c r="C245" s="58" t="s">
        <v>34</v>
      </c>
      <c r="D245" s="116" t="s">
        <v>90</v>
      </c>
      <c r="E245" s="116" t="s">
        <v>575</v>
      </c>
      <c r="F245" s="116" t="s">
        <v>583</v>
      </c>
      <c r="G245" s="46" t="s">
        <v>409</v>
      </c>
      <c r="H245" s="117">
        <f t="shared" ref="H245:H246" si="71">J245</f>
        <v>798</v>
      </c>
      <c r="I245" s="117">
        <f t="shared" ref="I245:I246" si="72">J245</f>
        <v>798</v>
      </c>
      <c r="J245" s="117">
        <f t="shared" ref="J245:J246" si="73">K245*0.95</f>
        <v>798</v>
      </c>
      <c r="K245" s="117">
        <v>840</v>
      </c>
      <c r="L245" s="15">
        <v>0</v>
      </c>
      <c r="M245" s="15">
        <v>0</v>
      </c>
      <c r="N245" s="15">
        <v>0</v>
      </c>
      <c r="O245" s="15">
        <v>0</v>
      </c>
      <c r="P245" s="121">
        <f t="shared" si="65"/>
        <v>360</v>
      </c>
      <c r="Q245" s="121">
        <f t="shared" si="66"/>
        <v>360</v>
      </c>
      <c r="R245" s="121">
        <f t="shared" si="67"/>
        <v>120</v>
      </c>
      <c r="S245" s="121">
        <f t="shared" si="68"/>
        <v>120</v>
      </c>
      <c r="T245" s="121">
        <f t="shared" si="69"/>
        <v>0</v>
      </c>
      <c r="U245" s="121">
        <f t="shared" si="70"/>
        <v>0</v>
      </c>
      <c r="V245" s="117">
        <v>690</v>
      </c>
      <c r="W245" s="117">
        <v>840</v>
      </c>
      <c r="X245" s="15" t="s">
        <v>1</v>
      </c>
      <c r="Y245" s="2" t="s">
        <v>1</v>
      </c>
      <c r="Z245" s="2" t="s">
        <v>1</v>
      </c>
      <c r="AA245" s="107" t="s">
        <v>1</v>
      </c>
      <c r="AB245" s="2" t="s">
        <v>1</v>
      </c>
    </row>
    <row r="246" spans="1:28" ht="30.15" customHeight="1" x14ac:dyDescent="0.25">
      <c r="A246" s="59" t="s">
        <v>18</v>
      </c>
      <c r="B246" s="57" t="s">
        <v>1</v>
      </c>
      <c r="C246" s="58" t="s">
        <v>34</v>
      </c>
      <c r="D246" s="116" t="s">
        <v>90</v>
      </c>
      <c r="E246" s="116" t="s">
        <v>576</v>
      </c>
      <c r="F246" s="116" t="s">
        <v>580</v>
      </c>
      <c r="G246" s="46" t="s">
        <v>409</v>
      </c>
      <c r="H246" s="117">
        <f t="shared" si="71"/>
        <v>798</v>
      </c>
      <c r="I246" s="117">
        <f t="shared" si="72"/>
        <v>798</v>
      </c>
      <c r="J246" s="117">
        <f t="shared" si="73"/>
        <v>798</v>
      </c>
      <c r="K246" s="117">
        <v>840</v>
      </c>
      <c r="L246" s="15">
        <v>0</v>
      </c>
      <c r="M246" s="15">
        <v>0</v>
      </c>
      <c r="N246" s="15">
        <v>0</v>
      </c>
      <c r="O246" s="15">
        <v>0</v>
      </c>
      <c r="P246" s="121">
        <f t="shared" si="65"/>
        <v>360</v>
      </c>
      <c r="Q246" s="121">
        <f t="shared" si="66"/>
        <v>360</v>
      </c>
      <c r="R246" s="121">
        <f t="shared" si="67"/>
        <v>120</v>
      </c>
      <c r="S246" s="121">
        <f t="shared" si="68"/>
        <v>120</v>
      </c>
      <c r="T246" s="121">
        <f t="shared" si="69"/>
        <v>0</v>
      </c>
      <c r="U246" s="121">
        <f t="shared" si="70"/>
        <v>0</v>
      </c>
      <c r="V246" s="117">
        <v>690</v>
      </c>
      <c r="W246" s="117">
        <v>840</v>
      </c>
      <c r="X246" s="15" t="s">
        <v>1</v>
      </c>
      <c r="Y246" s="2" t="s">
        <v>1</v>
      </c>
      <c r="Z246" s="2" t="s">
        <v>1</v>
      </c>
      <c r="AA246" s="107" t="s">
        <v>1</v>
      </c>
      <c r="AB246" s="2" t="s">
        <v>1</v>
      </c>
    </row>
    <row r="247" spans="1:28" ht="30.15" customHeight="1" x14ac:dyDescent="0.25">
      <c r="A247" s="59" t="s">
        <v>18</v>
      </c>
      <c r="B247" s="57" t="s">
        <v>1</v>
      </c>
      <c r="C247" s="58" t="s">
        <v>34</v>
      </c>
      <c r="D247" s="116" t="s">
        <v>90</v>
      </c>
      <c r="E247" s="116" t="s">
        <v>577</v>
      </c>
      <c r="F247" s="116" t="s">
        <v>584</v>
      </c>
      <c r="G247" s="46" t="s">
        <v>409</v>
      </c>
      <c r="H247" s="15">
        <v>419</v>
      </c>
      <c r="I247" s="15">
        <v>419</v>
      </c>
      <c r="J247" s="15">
        <v>419</v>
      </c>
      <c r="K247" s="117">
        <v>420</v>
      </c>
      <c r="L247" s="15">
        <v>0</v>
      </c>
      <c r="M247" s="15">
        <v>0</v>
      </c>
      <c r="N247" s="15">
        <v>0</v>
      </c>
      <c r="O247" s="15">
        <v>0</v>
      </c>
      <c r="P247" s="121">
        <f t="shared" si="65"/>
        <v>0</v>
      </c>
      <c r="Q247" s="121">
        <f t="shared" si="66"/>
        <v>0</v>
      </c>
      <c r="R247" s="121">
        <f t="shared" si="67"/>
        <v>0</v>
      </c>
      <c r="S247" s="121">
        <f t="shared" si="68"/>
        <v>0</v>
      </c>
      <c r="T247" s="121">
        <f t="shared" si="69"/>
        <v>0</v>
      </c>
      <c r="U247" s="121">
        <f t="shared" si="70"/>
        <v>0</v>
      </c>
      <c r="V247" s="117">
        <v>270</v>
      </c>
      <c r="W247" s="117">
        <v>420</v>
      </c>
      <c r="X247" s="15" t="s">
        <v>1</v>
      </c>
      <c r="Y247" s="2" t="s">
        <v>1</v>
      </c>
      <c r="Z247" s="2" t="s">
        <v>1</v>
      </c>
      <c r="AA247" s="107" t="s">
        <v>1</v>
      </c>
      <c r="AB247" s="2" t="s">
        <v>1</v>
      </c>
    </row>
    <row r="248" spans="1:28" ht="30.15" customHeight="1" x14ac:dyDescent="0.25">
      <c r="A248" s="59" t="s">
        <v>18</v>
      </c>
      <c r="B248" s="57" t="s">
        <v>1</v>
      </c>
      <c r="C248" s="58" t="s">
        <v>35</v>
      </c>
      <c r="D248" s="40" t="s">
        <v>90</v>
      </c>
      <c r="E248" s="40" t="s">
        <v>397</v>
      </c>
      <c r="F248" s="40" t="s">
        <v>398</v>
      </c>
      <c r="G248" s="46" t="s">
        <v>409</v>
      </c>
      <c r="H248" s="15">
        <v>299</v>
      </c>
      <c r="I248" s="15">
        <v>299</v>
      </c>
      <c r="J248" s="15">
        <v>299</v>
      </c>
      <c r="K248" s="15">
        <v>329</v>
      </c>
      <c r="L248" s="15" t="s">
        <v>1</v>
      </c>
      <c r="M248" s="15" t="s">
        <v>1</v>
      </c>
      <c r="N248" s="15" t="s">
        <v>1</v>
      </c>
      <c r="O248" s="15" t="s">
        <v>1</v>
      </c>
      <c r="P248" s="2" t="s">
        <v>1</v>
      </c>
      <c r="Q248" s="2" t="s">
        <v>1</v>
      </c>
      <c r="R248" s="2" t="s">
        <v>1</v>
      </c>
      <c r="S248" s="2" t="s">
        <v>1</v>
      </c>
      <c r="T248" s="2" t="s">
        <v>1</v>
      </c>
      <c r="U248" s="44" t="s">
        <v>1</v>
      </c>
      <c r="V248" s="15" t="s">
        <v>1</v>
      </c>
      <c r="W248" s="2" t="s">
        <v>1</v>
      </c>
      <c r="X248" s="15">
        <v>0</v>
      </c>
      <c r="Y248" s="2">
        <v>0</v>
      </c>
      <c r="Z248" s="2">
        <v>0</v>
      </c>
      <c r="AA248" s="2">
        <v>0</v>
      </c>
      <c r="AB248" s="2" t="s">
        <v>1</v>
      </c>
    </row>
    <row r="249" spans="1:28" ht="30.15" customHeight="1" x14ac:dyDescent="0.25">
      <c r="A249" s="59" t="s">
        <v>18</v>
      </c>
      <c r="B249" s="57" t="s">
        <v>1</v>
      </c>
      <c r="C249" s="58" t="s">
        <v>35</v>
      </c>
      <c r="D249" s="40" t="s">
        <v>90</v>
      </c>
      <c r="E249" s="40" t="s">
        <v>396</v>
      </c>
      <c r="F249" s="40" t="s">
        <v>417</v>
      </c>
      <c r="G249" s="46" t="s">
        <v>415</v>
      </c>
      <c r="H249" s="15">
        <v>0</v>
      </c>
      <c r="I249" s="15">
        <v>0</v>
      </c>
      <c r="J249" s="15">
        <v>0</v>
      </c>
      <c r="K249" s="15">
        <v>0</v>
      </c>
      <c r="L249" s="15" t="s">
        <v>1</v>
      </c>
      <c r="M249" s="15" t="s">
        <v>1</v>
      </c>
      <c r="N249" s="15" t="s">
        <v>1</v>
      </c>
      <c r="O249" s="15" t="s">
        <v>1</v>
      </c>
      <c r="P249" s="2" t="s">
        <v>1</v>
      </c>
      <c r="Q249" s="2" t="s">
        <v>1</v>
      </c>
      <c r="R249" s="2" t="s">
        <v>1</v>
      </c>
      <c r="S249" s="2" t="s">
        <v>1</v>
      </c>
      <c r="T249" s="2" t="s">
        <v>1</v>
      </c>
      <c r="U249" s="44" t="s">
        <v>1</v>
      </c>
      <c r="V249" s="15" t="s">
        <v>1</v>
      </c>
      <c r="W249" s="2" t="s">
        <v>1</v>
      </c>
      <c r="X249" s="15" t="s">
        <v>1</v>
      </c>
      <c r="Y249" s="2" t="s">
        <v>1</v>
      </c>
      <c r="Z249" s="2" t="s">
        <v>1</v>
      </c>
      <c r="AA249" s="107" t="s">
        <v>1</v>
      </c>
      <c r="AB249" s="2" t="s">
        <v>1</v>
      </c>
    </row>
    <row r="250" spans="1:28" ht="30.15" customHeight="1" x14ac:dyDescent="0.25">
      <c r="A250" s="59" t="s">
        <v>18</v>
      </c>
      <c r="B250" s="57" t="s">
        <v>1</v>
      </c>
      <c r="C250" s="58" t="s">
        <v>35</v>
      </c>
      <c r="D250" s="40" t="s">
        <v>90</v>
      </c>
      <c r="E250" s="40" t="s">
        <v>402</v>
      </c>
      <c r="F250" s="40" t="s">
        <v>417</v>
      </c>
      <c r="G250" s="46" t="s">
        <v>416</v>
      </c>
      <c r="H250" s="15">
        <v>0</v>
      </c>
      <c r="I250" s="15">
        <v>0</v>
      </c>
      <c r="J250" s="15">
        <v>0</v>
      </c>
      <c r="K250" s="15">
        <v>0</v>
      </c>
      <c r="L250" s="15" t="s">
        <v>1</v>
      </c>
      <c r="M250" s="15" t="s">
        <v>1</v>
      </c>
      <c r="N250" s="15" t="s">
        <v>1</v>
      </c>
      <c r="O250" s="15" t="s">
        <v>1</v>
      </c>
      <c r="P250" s="2" t="s">
        <v>1</v>
      </c>
      <c r="Q250" s="2" t="s">
        <v>1</v>
      </c>
      <c r="R250" s="2" t="s">
        <v>1</v>
      </c>
      <c r="S250" s="2" t="s">
        <v>1</v>
      </c>
      <c r="T250" s="2" t="s">
        <v>1</v>
      </c>
      <c r="U250" s="44" t="s">
        <v>1</v>
      </c>
      <c r="V250" s="15" t="s">
        <v>1</v>
      </c>
      <c r="W250" s="2" t="s">
        <v>1</v>
      </c>
      <c r="X250" s="15" t="s">
        <v>1</v>
      </c>
      <c r="Y250" s="2" t="s">
        <v>1</v>
      </c>
      <c r="Z250" s="2" t="s">
        <v>1</v>
      </c>
      <c r="AA250" s="107" t="s">
        <v>1</v>
      </c>
      <c r="AB250" s="2" t="s">
        <v>1</v>
      </c>
    </row>
    <row r="251" spans="1:28" ht="30.15" customHeight="1" x14ac:dyDescent="0.25">
      <c r="A251" s="59" t="s">
        <v>18</v>
      </c>
      <c r="B251" s="57" t="s">
        <v>1</v>
      </c>
      <c r="C251" s="58" t="s">
        <v>35</v>
      </c>
      <c r="D251" s="40" t="s">
        <v>90</v>
      </c>
      <c r="E251" s="40" t="s">
        <v>589</v>
      </c>
      <c r="F251" s="40" t="s">
        <v>588</v>
      </c>
      <c r="G251" s="46" t="s">
        <v>409</v>
      </c>
      <c r="H251" s="15">
        <v>330</v>
      </c>
      <c r="I251" s="15">
        <v>330</v>
      </c>
      <c r="J251" s="15">
        <v>330</v>
      </c>
      <c r="K251" s="15">
        <v>360</v>
      </c>
      <c r="L251" s="15" t="s">
        <v>1</v>
      </c>
      <c r="M251" s="15" t="s">
        <v>1</v>
      </c>
      <c r="N251" s="15" t="s">
        <v>1</v>
      </c>
      <c r="O251" s="15" t="s">
        <v>1</v>
      </c>
      <c r="P251" s="2" t="s">
        <v>1</v>
      </c>
      <c r="Q251" s="2" t="s">
        <v>1</v>
      </c>
      <c r="R251" s="2" t="s">
        <v>1</v>
      </c>
      <c r="S251" s="2" t="s">
        <v>1</v>
      </c>
      <c r="T251" s="2" t="s">
        <v>1</v>
      </c>
      <c r="U251" s="44" t="s">
        <v>1</v>
      </c>
      <c r="V251" s="15" t="s">
        <v>1</v>
      </c>
      <c r="W251" s="2" t="s">
        <v>1</v>
      </c>
      <c r="X251" s="15">
        <v>0</v>
      </c>
      <c r="Y251" s="2" t="s">
        <v>1</v>
      </c>
      <c r="Z251" s="2">
        <v>0</v>
      </c>
      <c r="AA251" s="2">
        <v>0</v>
      </c>
      <c r="AB251" s="2" t="s">
        <v>1</v>
      </c>
    </row>
    <row r="252" spans="1:28" ht="30.15" customHeight="1" x14ac:dyDescent="0.25">
      <c r="A252" s="59" t="s">
        <v>18</v>
      </c>
      <c r="B252" s="57" t="s">
        <v>1</v>
      </c>
      <c r="C252" s="58" t="s">
        <v>34</v>
      </c>
      <c r="D252" s="40" t="s">
        <v>90</v>
      </c>
      <c r="E252" s="40" t="s">
        <v>144</v>
      </c>
      <c r="F252" s="40" t="s">
        <v>143</v>
      </c>
      <c r="G252" s="46" t="s">
        <v>409</v>
      </c>
      <c r="H252" s="15">
        <v>255</v>
      </c>
      <c r="I252" s="15">
        <v>255</v>
      </c>
      <c r="J252" s="15">
        <v>255</v>
      </c>
      <c r="K252" s="15">
        <v>100</v>
      </c>
      <c r="L252" s="15">
        <v>0</v>
      </c>
      <c r="M252" s="15">
        <v>0</v>
      </c>
      <c r="N252" s="15">
        <v>0</v>
      </c>
      <c r="O252" s="15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1</v>
      </c>
      <c r="U252" s="44" t="s">
        <v>1</v>
      </c>
      <c r="V252" s="15">
        <v>0</v>
      </c>
      <c r="W252" s="15">
        <v>0</v>
      </c>
      <c r="X252" s="15" t="s">
        <v>1</v>
      </c>
      <c r="Y252" s="16" t="s">
        <v>1</v>
      </c>
      <c r="Z252" s="2" t="s">
        <v>1</v>
      </c>
      <c r="AA252" s="107" t="s">
        <v>1</v>
      </c>
      <c r="AB252" s="2" t="s">
        <v>1</v>
      </c>
    </row>
    <row r="253" spans="1:28" ht="30.15" customHeight="1" x14ac:dyDescent="0.25">
      <c r="A253" s="56" t="s">
        <v>18</v>
      </c>
      <c r="B253" s="57" t="s">
        <v>1</v>
      </c>
      <c r="C253" s="56" t="s">
        <v>35</v>
      </c>
      <c r="D253" s="40" t="s">
        <v>145</v>
      </c>
      <c r="E253" s="40" t="s">
        <v>146</v>
      </c>
      <c r="F253" s="40" t="s">
        <v>147</v>
      </c>
      <c r="G253" s="46" t="s">
        <v>409</v>
      </c>
      <c r="H253" s="15">
        <v>240</v>
      </c>
      <c r="I253" s="15">
        <v>240</v>
      </c>
      <c r="J253" s="15">
        <v>240</v>
      </c>
      <c r="K253" s="15">
        <v>240</v>
      </c>
      <c r="L253" s="15" t="s">
        <v>1</v>
      </c>
      <c r="M253" s="15" t="s">
        <v>1</v>
      </c>
      <c r="N253" s="15" t="s">
        <v>1</v>
      </c>
      <c r="O253" s="15" t="s">
        <v>1</v>
      </c>
      <c r="P253" s="2" t="s">
        <v>1</v>
      </c>
      <c r="Q253" s="2" t="s">
        <v>1</v>
      </c>
      <c r="R253" s="2" t="s">
        <v>1</v>
      </c>
      <c r="S253" s="2" t="s">
        <v>1</v>
      </c>
      <c r="T253" s="2" t="s">
        <v>1</v>
      </c>
      <c r="U253" s="44" t="s">
        <v>1</v>
      </c>
      <c r="V253" s="15" t="s">
        <v>1</v>
      </c>
      <c r="W253" s="15" t="s">
        <v>1</v>
      </c>
      <c r="X253" s="15">
        <v>0</v>
      </c>
      <c r="Y253" s="2">
        <v>0</v>
      </c>
      <c r="Z253" s="2">
        <v>0</v>
      </c>
      <c r="AA253" s="2">
        <v>0</v>
      </c>
      <c r="AB253" s="2" t="s">
        <v>1</v>
      </c>
    </row>
    <row r="254" spans="1:28" ht="30.15" customHeight="1" x14ac:dyDescent="0.25">
      <c r="A254" s="56" t="s">
        <v>18</v>
      </c>
      <c r="B254" s="57" t="s">
        <v>1</v>
      </c>
      <c r="C254" s="56" t="s">
        <v>35</v>
      </c>
      <c r="D254" s="40" t="s">
        <v>145</v>
      </c>
      <c r="E254" s="40" t="s">
        <v>302</v>
      </c>
      <c r="F254" s="40" t="s">
        <v>301</v>
      </c>
      <c r="G254" s="46" t="s">
        <v>409</v>
      </c>
      <c r="H254" s="15">
        <v>316</v>
      </c>
      <c r="I254" s="15">
        <v>316</v>
      </c>
      <c r="J254" s="15">
        <v>316</v>
      </c>
      <c r="K254" s="15">
        <v>336</v>
      </c>
      <c r="L254" s="15" t="s">
        <v>1</v>
      </c>
      <c r="M254" s="15" t="s">
        <v>1</v>
      </c>
      <c r="N254" s="15" t="s">
        <v>1</v>
      </c>
      <c r="O254" s="15" t="s">
        <v>1</v>
      </c>
      <c r="P254" s="2" t="s">
        <v>1</v>
      </c>
      <c r="Q254" s="2" t="s">
        <v>1</v>
      </c>
      <c r="R254" s="2" t="s">
        <v>1</v>
      </c>
      <c r="S254" s="2" t="s">
        <v>1</v>
      </c>
      <c r="T254" s="2" t="s">
        <v>1</v>
      </c>
      <c r="U254" s="44" t="s">
        <v>1</v>
      </c>
      <c r="V254" s="15" t="s">
        <v>1</v>
      </c>
      <c r="W254" s="15" t="s">
        <v>1</v>
      </c>
      <c r="X254" s="15">
        <v>0</v>
      </c>
      <c r="Y254" s="2">
        <v>0</v>
      </c>
      <c r="Z254" s="2">
        <v>0</v>
      </c>
      <c r="AA254" s="2">
        <v>0</v>
      </c>
      <c r="AB254" s="2" t="s">
        <v>1</v>
      </c>
    </row>
    <row r="255" spans="1:28" ht="30.15" customHeight="1" x14ac:dyDescent="0.25">
      <c r="A255" s="56" t="s">
        <v>17</v>
      </c>
      <c r="B255" s="57">
        <v>43466</v>
      </c>
      <c r="C255" s="58" t="s">
        <v>34</v>
      </c>
      <c r="D255" s="40" t="s">
        <v>5</v>
      </c>
      <c r="E255" s="40" t="s">
        <v>87</v>
      </c>
      <c r="F255" s="46" t="s">
        <v>88</v>
      </c>
      <c r="G255" s="46" t="s">
        <v>409</v>
      </c>
      <c r="H255" s="15">
        <v>380</v>
      </c>
      <c r="I255" s="15">
        <v>380</v>
      </c>
      <c r="J255" s="15">
        <v>380</v>
      </c>
      <c r="K255" s="15">
        <v>399</v>
      </c>
      <c r="L255" s="15">
        <v>0</v>
      </c>
      <c r="M255" s="15">
        <v>0</v>
      </c>
      <c r="N255" s="15">
        <v>0</v>
      </c>
      <c r="O255" s="15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1</v>
      </c>
      <c r="U255" s="44" t="s">
        <v>1</v>
      </c>
      <c r="V255" s="15">
        <v>0</v>
      </c>
      <c r="W255" s="2">
        <v>0</v>
      </c>
      <c r="X255" s="15" t="s">
        <v>1</v>
      </c>
      <c r="Y255" s="16" t="s">
        <v>1</v>
      </c>
      <c r="Z255" s="2" t="s">
        <v>1</v>
      </c>
      <c r="AA255" s="2" t="s">
        <v>1</v>
      </c>
      <c r="AB255" s="2" t="s">
        <v>1</v>
      </c>
    </row>
    <row r="256" spans="1:28" ht="30.15" customHeight="1" x14ac:dyDescent="0.25">
      <c r="A256" s="56" t="s">
        <v>17</v>
      </c>
      <c r="B256" s="57">
        <v>43466</v>
      </c>
      <c r="C256" s="58" t="s">
        <v>34</v>
      </c>
      <c r="D256" s="40" t="s">
        <v>5</v>
      </c>
      <c r="E256" s="40" t="s">
        <v>140</v>
      </c>
      <c r="F256" s="46" t="s">
        <v>88</v>
      </c>
      <c r="G256" s="46" t="s">
        <v>418</v>
      </c>
      <c r="H256" s="15">
        <v>380</v>
      </c>
      <c r="I256" s="15">
        <v>380</v>
      </c>
      <c r="J256" s="15">
        <v>380</v>
      </c>
      <c r="K256" s="15">
        <v>399</v>
      </c>
      <c r="L256" s="15">
        <v>0</v>
      </c>
      <c r="M256" s="15">
        <v>0</v>
      </c>
      <c r="N256" s="15">
        <v>0</v>
      </c>
      <c r="O256" s="15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1</v>
      </c>
      <c r="U256" s="44" t="s">
        <v>1</v>
      </c>
      <c r="V256" s="15">
        <v>0</v>
      </c>
      <c r="W256" s="2">
        <v>0</v>
      </c>
      <c r="X256" s="15" t="s">
        <v>1</v>
      </c>
      <c r="Y256" s="16" t="s">
        <v>1</v>
      </c>
      <c r="Z256" s="2" t="s">
        <v>1</v>
      </c>
      <c r="AA256" s="107" t="s">
        <v>1</v>
      </c>
      <c r="AB256" s="2" t="s">
        <v>1</v>
      </c>
    </row>
    <row r="257" spans="1:28" ht="30.15" customHeight="1" x14ac:dyDescent="0.25">
      <c r="A257" s="56" t="s">
        <v>18</v>
      </c>
      <c r="B257" s="57" t="s">
        <v>1</v>
      </c>
      <c r="C257" s="58" t="s">
        <v>34</v>
      </c>
      <c r="D257" s="40" t="s">
        <v>5</v>
      </c>
      <c r="E257" s="40" t="s">
        <v>129</v>
      </c>
      <c r="F257" s="40" t="s">
        <v>130</v>
      </c>
      <c r="G257" s="46" t="s">
        <v>409</v>
      </c>
      <c r="H257" s="15">
        <v>479</v>
      </c>
      <c r="I257" s="15">
        <v>479</v>
      </c>
      <c r="J257" s="15">
        <v>479</v>
      </c>
      <c r="K257" s="15">
        <v>499</v>
      </c>
      <c r="L257" s="15">
        <v>0</v>
      </c>
      <c r="M257" s="15">
        <v>0</v>
      </c>
      <c r="N257" s="15">
        <v>0</v>
      </c>
      <c r="O257" s="15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1</v>
      </c>
      <c r="U257" s="44" t="s">
        <v>1</v>
      </c>
      <c r="V257" s="15">
        <v>0</v>
      </c>
      <c r="W257" s="2">
        <v>0</v>
      </c>
      <c r="X257" s="15" t="s">
        <v>1</v>
      </c>
      <c r="Y257" s="16" t="s">
        <v>1</v>
      </c>
      <c r="Z257" s="2" t="s">
        <v>1</v>
      </c>
      <c r="AA257" s="107" t="s">
        <v>1</v>
      </c>
      <c r="AB257" s="2" t="s">
        <v>1</v>
      </c>
    </row>
    <row r="258" spans="1:28" ht="30.15" customHeight="1" x14ac:dyDescent="0.25">
      <c r="A258" s="56" t="s">
        <v>18</v>
      </c>
      <c r="B258" s="57" t="s">
        <v>1</v>
      </c>
      <c r="C258" s="58" t="s">
        <v>34</v>
      </c>
      <c r="D258" s="40" t="s">
        <v>5</v>
      </c>
      <c r="E258" s="40" t="s">
        <v>131</v>
      </c>
      <c r="F258" s="40" t="s">
        <v>130</v>
      </c>
      <c r="G258" s="46" t="s">
        <v>409</v>
      </c>
      <c r="H258" s="15">
        <v>479</v>
      </c>
      <c r="I258" s="15">
        <v>479</v>
      </c>
      <c r="J258" s="15">
        <v>479</v>
      </c>
      <c r="K258" s="15">
        <v>499</v>
      </c>
      <c r="L258" s="15">
        <v>0</v>
      </c>
      <c r="M258" s="15">
        <v>0</v>
      </c>
      <c r="N258" s="15">
        <v>0</v>
      </c>
      <c r="O258" s="15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1</v>
      </c>
      <c r="U258" s="44" t="s">
        <v>1</v>
      </c>
      <c r="V258" s="15">
        <v>0</v>
      </c>
      <c r="W258" s="2">
        <v>0</v>
      </c>
      <c r="X258" s="15" t="s">
        <v>1</v>
      </c>
      <c r="Y258" s="16" t="s">
        <v>1</v>
      </c>
      <c r="Z258" s="2" t="s">
        <v>1</v>
      </c>
      <c r="AA258" s="107" t="s">
        <v>1</v>
      </c>
      <c r="AB258" s="2" t="s">
        <v>1</v>
      </c>
    </row>
    <row r="259" spans="1:28" ht="30.15" customHeight="1" x14ac:dyDescent="0.25">
      <c r="A259" s="56" t="s">
        <v>18</v>
      </c>
      <c r="B259" s="57" t="s">
        <v>1</v>
      </c>
      <c r="C259" s="58" t="s">
        <v>34</v>
      </c>
      <c r="D259" s="116" t="s">
        <v>5</v>
      </c>
      <c r="E259" s="116" t="s">
        <v>262</v>
      </c>
      <c r="F259" s="116" t="s">
        <v>264</v>
      </c>
      <c r="G259" s="46" t="s">
        <v>409</v>
      </c>
      <c r="H259" s="117">
        <f t="shared" ref="H259:H264" si="74">J259</f>
        <v>228</v>
      </c>
      <c r="I259" s="117">
        <f t="shared" ref="I259:I264" si="75">J259</f>
        <v>228</v>
      </c>
      <c r="J259" s="117">
        <f t="shared" ref="J259:J264" si="76">K259*0.95</f>
        <v>228</v>
      </c>
      <c r="K259" s="117">
        <v>240</v>
      </c>
      <c r="L259" s="15">
        <v>0</v>
      </c>
      <c r="M259" s="15">
        <v>0</v>
      </c>
      <c r="N259" s="15">
        <v>0</v>
      </c>
      <c r="O259" s="15">
        <v>0</v>
      </c>
      <c r="P259" s="121">
        <f t="shared" ref="P259:P264" si="77">IF((K259-(20*24))&lt;0,0,(K259-(20*24)))</f>
        <v>0</v>
      </c>
      <c r="Q259" s="121">
        <f t="shared" ref="Q259:Q264" si="78">IF((K259-(20*24))&lt;0,0,(K259-(20*24)))</f>
        <v>0</v>
      </c>
      <c r="R259" s="121">
        <f t="shared" ref="R259:R264" si="79">IF((K259-(30*24))&lt;0,0,(K259-(30*24)))</f>
        <v>0</v>
      </c>
      <c r="S259" s="121">
        <f t="shared" ref="S259:S264" si="80">IF((K259-(30*24))&lt;0,0,(K259-(30*24)))</f>
        <v>0</v>
      </c>
      <c r="T259" s="121">
        <f t="shared" ref="T259:T264" si="81">IF((K259-(40*24))&lt;0,0,(K259-(40*24)))</f>
        <v>0</v>
      </c>
      <c r="U259" s="121">
        <f t="shared" ref="U259:U264" si="82">IF((K259-(40*24))&lt;0,0,(K259-(40*24)))</f>
        <v>0</v>
      </c>
      <c r="V259" s="117">
        <v>90</v>
      </c>
      <c r="W259" s="117">
        <v>240</v>
      </c>
      <c r="X259" s="15" t="s">
        <v>1</v>
      </c>
      <c r="Y259" s="16" t="s">
        <v>1</v>
      </c>
      <c r="Z259" s="2" t="s">
        <v>1</v>
      </c>
      <c r="AA259" s="107" t="s">
        <v>1</v>
      </c>
      <c r="AB259" s="2" t="s">
        <v>1</v>
      </c>
    </row>
    <row r="260" spans="1:28" ht="30.15" customHeight="1" x14ac:dyDescent="0.25">
      <c r="A260" s="56" t="s">
        <v>18</v>
      </c>
      <c r="B260" s="57" t="s">
        <v>1</v>
      </c>
      <c r="C260" s="58" t="s">
        <v>34</v>
      </c>
      <c r="D260" s="116" t="s">
        <v>5</v>
      </c>
      <c r="E260" s="116" t="s">
        <v>263</v>
      </c>
      <c r="F260" s="116" t="s">
        <v>264</v>
      </c>
      <c r="G260" s="46" t="s">
        <v>409</v>
      </c>
      <c r="H260" s="117">
        <f t="shared" si="74"/>
        <v>228</v>
      </c>
      <c r="I260" s="117">
        <f t="shared" si="75"/>
        <v>228</v>
      </c>
      <c r="J260" s="117">
        <f t="shared" si="76"/>
        <v>228</v>
      </c>
      <c r="K260" s="117">
        <v>240</v>
      </c>
      <c r="L260" s="15">
        <v>0</v>
      </c>
      <c r="M260" s="15">
        <v>0</v>
      </c>
      <c r="N260" s="15">
        <v>0</v>
      </c>
      <c r="O260" s="15">
        <v>0</v>
      </c>
      <c r="P260" s="121">
        <f t="shared" si="77"/>
        <v>0</v>
      </c>
      <c r="Q260" s="121">
        <f t="shared" si="78"/>
        <v>0</v>
      </c>
      <c r="R260" s="121">
        <f t="shared" si="79"/>
        <v>0</v>
      </c>
      <c r="S260" s="121">
        <f t="shared" si="80"/>
        <v>0</v>
      </c>
      <c r="T260" s="121">
        <f t="shared" si="81"/>
        <v>0</v>
      </c>
      <c r="U260" s="121">
        <f t="shared" si="82"/>
        <v>0</v>
      </c>
      <c r="V260" s="117">
        <v>90</v>
      </c>
      <c r="W260" s="117">
        <v>240</v>
      </c>
      <c r="X260" s="15" t="s">
        <v>1</v>
      </c>
      <c r="Y260" s="16" t="s">
        <v>1</v>
      </c>
      <c r="Z260" s="2" t="s">
        <v>1</v>
      </c>
      <c r="AA260" s="107" t="s">
        <v>1</v>
      </c>
      <c r="AB260" s="2" t="s">
        <v>1</v>
      </c>
    </row>
    <row r="261" spans="1:28" ht="30.15" customHeight="1" x14ac:dyDescent="0.25">
      <c r="A261" s="56" t="s">
        <v>18</v>
      </c>
      <c r="B261" s="57" t="s">
        <v>1</v>
      </c>
      <c r="C261" s="58" t="s">
        <v>34</v>
      </c>
      <c r="D261" s="116" t="s">
        <v>5</v>
      </c>
      <c r="E261" s="116" t="s">
        <v>403</v>
      </c>
      <c r="F261" s="116" t="s">
        <v>405</v>
      </c>
      <c r="G261" s="46" t="s">
        <v>409</v>
      </c>
      <c r="H261" s="117">
        <f t="shared" si="74"/>
        <v>427</v>
      </c>
      <c r="I261" s="117">
        <f t="shared" si="75"/>
        <v>427</v>
      </c>
      <c r="J261" s="117">
        <v>427</v>
      </c>
      <c r="K261" s="117">
        <v>450</v>
      </c>
      <c r="L261" s="15">
        <v>0</v>
      </c>
      <c r="M261" s="15">
        <v>0</v>
      </c>
      <c r="N261" s="15">
        <v>0</v>
      </c>
      <c r="O261" s="15">
        <v>0</v>
      </c>
      <c r="P261" s="121">
        <f t="shared" si="77"/>
        <v>0</v>
      </c>
      <c r="Q261" s="121">
        <f t="shared" si="78"/>
        <v>0</v>
      </c>
      <c r="R261" s="121">
        <f t="shared" si="79"/>
        <v>0</v>
      </c>
      <c r="S261" s="121">
        <f t="shared" si="80"/>
        <v>0</v>
      </c>
      <c r="T261" s="121">
        <f t="shared" si="81"/>
        <v>0</v>
      </c>
      <c r="U261" s="121">
        <f t="shared" si="82"/>
        <v>0</v>
      </c>
      <c r="V261" s="117">
        <v>630</v>
      </c>
      <c r="W261" s="117">
        <v>780</v>
      </c>
      <c r="X261" s="15" t="s">
        <v>1</v>
      </c>
      <c r="Y261" s="16" t="s">
        <v>1</v>
      </c>
      <c r="Z261" s="2" t="s">
        <v>1</v>
      </c>
      <c r="AA261" s="107" t="s">
        <v>1</v>
      </c>
      <c r="AB261" s="2" t="s">
        <v>1</v>
      </c>
    </row>
    <row r="262" spans="1:28" ht="30.15" customHeight="1" x14ac:dyDescent="0.25">
      <c r="A262" s="56" t="s">
        <v>18</v>
      </c>
      <c r="B262" s="57" t="s">
        <v>1</v>
      </c>
      <c r="C262" s="58" t="s">
        <v>34</v>
      </c>
      <c r="D262" s="116" t="s">
        <v>5</v>
      </c>
      <c r="E262" s="116" t="s">
        <v>404</v>
      </c>
      <c r="F262" s="116" t="s">
        <v>405</v>
      </c>
      <c r="G262" s="46" t="s">
        <v>409</v>
      </c>
      <c r="H262" s="117">
        <f t="shared" si="74"/>
        <v>427</v>
      </c>
      <c r="I262" s="117">
        <f t="shared" si="75"/>
        <v>427</v>
      </c>
      <c r="J262" s="117">
        <v>427</v>
      </c>
      <c r="K262" s="117">
        <v>450</v>
      </c>
      <c r="L262" s="15">
        <v>0</v>
      </c>
      <c r="M262" s="15">
        <v>0</v>
      </c>
      <c r="N262" s="15">
        <v>0</v>
      </c>
      <c r="O262" s="15">
        <v>0</v>
      </c>
      <c r="P262" s="121">
        <f t="shared" si="77"/>
        <v>0</v>
      </c>
      <c r="Q262" s="121">
        <f t="shared" si="78"/>
        <v>0</v>
      </c>
      <c r="R262" s="121">
        <f t="shared" si="79"/>
        <v>0</v>
      </c>
      <c r="S262" s="121">
        <f t="shared" si="80"/>
        <v>0</v>
      </c>
      <c r="T262" s="121">
        <f t="shared" si="81"/>
        <v>0</v>
      </c>
      <c r="U262" s="121">
        <f t="shared" si="82"/>
        <v>0</v>
      </c>
      <c r="V262" s="117">
        <v>630</v>
      </c>
      <c r="W262" s="117">
        <v>780</v>
      </c>
      <c r="X262" s="15" t="s">
        <v>1</v>
      </c>
      <c r="Y262" s="16" t="s">
        <v>1</v>
      </c>
      <c r="Z262" s="16" t="s">
        <v>1</v>
      </c>
      <c r="AA262" s="107" t="s">
        <v>1</v>
      </c>
      <c r="AB262" s="2" t="s">
        <v>1</v>
      </c>
    </row>
    <row r="263" spans="1:28" ht="30.15" customHeight="1" x14ac:dyDescent="0.25">
      <c r="A263" s="56" t="s">
        <v>18</v>
      </c>
      <c r="B263" s="57" t="s">
        <v>1</v>
      </c>
      <c r="C263" s="58" t="s">
        <v>34</v>
      </c>
      <c r="D263" s="116" t="s">
        <v>5</v>
      </c>
      <c r="E263" s="116" t="s">
        <v>587</v>
      </c>
      <c r="F263" s="116" t="s">
        <v>582</v>
      </c>
      <c r="G263" s="46" t="s">
        <v>409</v>
      </c>
      <c r="H263" s="117">
        <f t="shared" si="74"/>
        <v>788</v>
      </c>
      <c r="I263" s="117">
        <f t="shared" si="75"/>
        <v>788</v>
      </c>
      <c r="J263" s="117">
        <v>788</v>
      </c>
      <c r="K263" s="117">
        <v>830</v>
      </c>
      <c r="L263" s="15">
        <v>0</v>
      </c>
      <c r="M263" s="15">
        <v>0</v>
      </c>
      <c r="N263" s="15">
        <v>0</v>
      </c>
      <c r="O263" s="15">
        <v>0</v>
      </c>
      <c r="P263" s="121">
        <f t="shared" si="77"/>
        <v>350</v>
      </c>
      <c r="Q263" s="121">
        <f t="shared" si="78"/>
        <v>350</v>
      </c>
      <c r="R263" s="121">
        <f t="shared" si="79"/>
        <v>110</v>
      </c>
      <c r="S263" s="121">
        <f t="shared" si="80"/>
        <v>110</v>
      </c>
      <c r="T263" s="121">
        <f t="shared" si="81"/>
        <v>0</v>
      </c>
      <c r="U263" s="121">
        <f t="shared" si="82"/>
        <v>0</v>
      </c>
      <c r="V263" s="117">
        <v>910</v>
      </c>
      <c r="W263" s="117">
        <v>1060</v>
      </c>
      <c r="X263" s="15" t="s">
        <v>1</v>
      </c>
      <c r="Y263" s="16" t="s">
        <v>1</v>
      </c>
      <c r="Z263" s="16" t="s">
        <v>1</v>
      </c>
      <c r="AA263" s="107" t="s">
        <v>1</v>
      </c>
      <c r="AB263" s="2" t="s">
        <v>1</v>
      </c>
    </row>
    <row r="264" spans="1:28" ht="30.15" customHeight="1" x14ac:dyDescent="0.25">
      <c r="A264" s="56" t="s">
        <v>18</v>
      </c>
      <c r="B264" s="57" t="s">
        <v>1</v>
      </c>
      <c r="C264" s="58" t="s">
        <v>34</v>
      </c>
      <c r="D264" s="116" t="s">
        <v>5</v>
      </c>
      <c r="E264" s="116" t="s">
        <v>525</v>
      </c>
      <c r="F264" s="116" t="s">
        <v>526</v>
      </c>
      <c r="G264" s="46" t="s">
        <v>409</v>
      </c>
      <c r="H264" s="117">
        <f t="shared" si="74"/>
        <v>228</v>
      </c>
      <c r="I264" s="117">
        <f t="shared" si="75"/>
        <v>228</v>
      </c>
      <c r="J264" s="117">
        <f t="shared" si="76"/>
        <v>228</v>
      </c>
      <c r="K264" s="117">
        <v>240</v>
      </c>
      <c r="L264" s="15">
        <v>0</v>
      </c>
      <c r="M264" s="15">
        <v>0</v>
      </c>
      <c r="N264" s="15">
        <v>0</v>
      </c>
      <c r="O264" s="15">
        <v>0</v>
      </c>
      <c r="P264" s="121">
        <f t="shared" si="77"/>
        <v>0</v>
      </c>
      <c r="Q264" s="121">
        <f t="shared" si="78"/>
        <v>0</v>
      </c>
      <c r="R264" s="121">
        <f t="shared" si="79"/>
        <v>0</v>
      </c>
      <c r="S264" s="121">
        <f t="shared" si="80"/>
        <v>0</v>
      </c>
      <c r="T264" s="121">
        <f t="shared" si="81"/>
        <v>0</v>
      </c>
      <c r="U264" s="121">
        <f t="shared" si="82"/>
        <v>0</v>
      </c>
      <c r="V264" s="117">
        <v>90</v>
      </c>
      <c r="W264" s="117">
        <v>240</v>
      </c>
      <c r="X264" s="15" t="s">
        <v>1</v>
      </c>
      <c r="Y264" s="16" t="s">
        <v>1</v>
      </c>
      <c r="Z264" s="16" t="s">
        <v>1</v>
      </c>
      <c r="AA264" s="107" t="s">
        <v>1</v>
      </c>
      <c r="AB264" s="2" t="s">
        <v>1</v>
      </c>
    </row>
    <row r="265" spans="1:28" ht="30.15" customHeight="1" x14ac:dyDescent="0.25">
      <c r="A265" s="56" t="s">
        <v>17</v>
      </c>
      <c r="B265" s="57">
        <v>43313</v>
      </c>
      <c r="C265" s="58" t="s">
        <v>34</v>
      </c>
      <c r="D265" s="40" t="s">
        <v>5</v>
      </c>
      <c r="E265" s="40" t="s">
        <v>224</v>
      </c>
      <c r="F265" s="40" t="s">
        <v>225</v>
      </c>
      <c r="G265" s="46" t="s">
        <v>409</v>
      </c>
      <c r="H265" s="15">
        <v>70</v>
      </c>
      <c r="I265" s="15">
        <v>70</v>
      </c>
      <c r="J265" s="15">
        <v>70</v>
      </c>
      <c r="K265" s="15">
        <v>100</v>
      </c>
      <c r="L265" s="15">
        <v>0</v>
      </c>
      <c r="M265" s="15">
        <v>0</v>
      </c>
      <c r="N265" s="15">
        <v>0</v>
      </c>
      <c r="O265" s="15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1</v>
      </c>
      <c r="U265" s="44" t="s">
        <v>1</v>
      </c>
      <c r="V265" s="15">
        <v>0</v>
      </c>
      <c r="W265" s="2">
        <v>0</v>
      </c>
      <c r="X265" s="15" t="s">
        <v>1</v>
      </c>
      <c r="Y265" s="16" t="s">
        <v>1</v>
      </c>
      <c r="Z265" s="2" t="s">
        <v>1</v>
      </c>
      <c r="AA265" s="107" t="s">
        <v>1</v>
      </c>
      <c r="AB265" s="2" t="s">
        <v>1</v>
      </c>
    </row>
    <row r="266" spans="1:28" ht="30.15" customHeight="1" x14ac:dyDescent="0.25">
      <c r="A266" s="56" t="s">
        <v>18</v>
      </c>
      <c r="B266" s="57" t="s">
        <v>1</v>
      </c>
      <c r="C266" s="58" t="s">
        <v>34</v>
      </c>
      <c r="D266" s="116" t="s">
        <v>145</v>
      </c>
      <c r="E266" s="116" t="s">
        <v>344</v>
      </c>
      <c r="F266" s="116" t="s">
        <v>343</v>
      </c>
      <c r="G266" s="46" t="s">
        <v>409</v>
      </c>
      <c r="H266" s="117">
        <f t="shared" ref="H266:H267" si="83">J266</f>
        <v>228</v>
      </c>
      <c r="I266" s="117">
        <f t="shared" ref="I266:I267" si="84">J266</f>
        <v>228</v>
      </c>
      <c r="J266" s="117">
        <f t="shared" ref="J266:J267" si="85">K266*0.95</f>
        <v>228</v>
      </c>
      <c r="K266" s="117">
        <v>240</v>
      </c>
      <c r="L266" s="15">
        <v>0</v>
      </c>
      <c r="M266" s="15">
        <v>0</v>
      </c>
      <c r="N266" s="15">
        <v>0</v>
      </c>
      <c r="O266" s="15">
        <v>0</v>
      </c>
      <c r="P266" s="121">
        <f t="shared" ref="P266:P267" si="86">IF((K266-(20*24))&lt;0,0,(K266-(20*24)))</f>
        <v>0</v>
      </c>
      <c r="Q266" s="121">
        <f t="shared" ref="Q266:Q267" si="87">IF((K266-(20*24))&lt;0,0,(K266-(20*24)))</f>
        <v>0</v>
      </c>
      <c r="R266" s="121">
        <f t="shared" ref="R266:R267" si="88">IF((K266-(30*24))&lt;0,0,(K266-(30*24)))</f>
        <v>0</v>
      </c>
      <c r="S266" s="121">
        <f t="shared" ref="S266:S267" si="89">IF((K266-(30*24))&lt;0,0,(K266-(30*24)))</f>
        <v>0</v>
      </c>
      <c r="T266" s="121">
        <f t="shared" ref="T266:T267" si="90">IF((K266-(40*24))&lt;0,0,(K266-(40*24)))</f>
        <v>0</v>
      </c>
      <c r="U266" s="121">
        <f t="shared" ref="U266:U267" si="91">IF((K266-(40*24))&lt;0,0,(K266-(40*24)))</f>
        <v>0</v>
      </c>
      <c r="V266" s="117">
        <v>90</v>
      </c>
      <c r="W266" s="117">
        <v>240</v>
      </c>
      <c r="X266" s="15" t="s">
        <v>1</v>
      </c>
      <c r="Y266" s="16" t="s">
        <v>1</v>
      </c>
      <c r="Z266" s="2" t="s">
        <v>1</v>
      </c>
      <c r="AA266" s="107" t="s">
        <v>1</v>
      </c>
      <c r="AB266" s="2" t="s">
        <v>1</v>
      </c>
    </row>
    <row r="267" spans="1:28" ht="30.15" customHeight="1" x14ac:dyDescent="0.25">
      <c r="A267" s="59" t="s">
        <v>18</v>
      </c>
      <c r="B267" s="57" t="s">
        <v>1</v>
      </c>
      <c r="C267" s="58" t="s">
        <v>34</v>
      </c>
      <c r="D267" s="116" t="s">
        <v>5</v>
      </c>
      <c r="E267" s="116" t="s">
        <v>435</v>
      </c>
      <c r="F267" s="116" t="s">
        <v>436</v>
      </c>
      <c r="G267" s="51" t="s">
        <v>437</v>
      </c>
      <c r="H267" s="117">
        <f t="shared" si="83"/>
        <v>228</v>
      </c>
      <c r="I267" s="117">
        <f t="shared" si="84"/>
        <v>228</v>
      </c>
      <c r="J267" s="117">
        <f t="shared" si="85"/>
        <v>228</v>
      </c>
      <c r="K267" s="117">
        <v>240</v>
      </c>
      <c r="L267" s="15">
        <v>0</v>
      </c>
      <c r="M267" s="15">
        <v>0</v>
      </c>
      <c r="N267" s="15">
        <v>0</v>
      </c>
      <c r="O267" s="15">
        <v>0</v>
      </c>
      <c r="P267" s="121">
        <f t="shared" si="86"/>
        <v>0</v>
      </c>
      <c r="Q267" s="121">
        <f t="shared" si="87"/>
        <v>0</v>
      </c>
      <c r="R267" s="121">
        <f t="shared" si="88"/>
        <v>0</v>
      </c>
      <c r="S267" s="121">
        <f t="shared" si="89"/>
        <v>0</v>
      </c>
      <c r="T267" s="121">
        <f t="shared" si="90"/>
        <v>0</v>
      </c>
      <c r="U267" s="121">
        <f t="shared" si="91"/>
        <v>0</v>
      </c>
      <c r="V267" s="117">
        <v>250</v>
      </c>
      <c r="W267" s="117">
        <v>400</v>
      </c>
      <c r="X267" s="15" t="s">
        <v>1</v>
      </c>
      <c r="Y267" s="16" t="s">
        <v>1</v>
      </c>
      <c r="Z267" s="2" t="s">
        <v>1</v>
      </c>
      <c r="AA267" s="107" t="s">
        <v>1</v>
      </c>
      <c r="AB267" s="2" t="s">
        <v>1</v>
      </c>
    </row>
    <row r="268" spans="1:28" ht="30.15" customHeight="1" x14ac:dyDescent="0.25">
      <c r="A268" s="56" t="s">
        <v>18</v>
      </c>
      <c r="B268" s="57" t="s">
        <v>1</v>
      </c>
      <c r="C268" s="58" t="s">
        <v>34</v>
      </c>
      <c r="D268" s="40" t="s">
        <v>145</v>
      </c>
      <c r="E268" s="40" t="s">
        <v>157</v>
      </c>
      <c r="F268" s="40" t="s">
        <v>158</v>
      </c>
      <c r="G268" s="46" t="s">
        <v>409</v>
      </c>
      <c r="H268" s="15">
        <v>340</v>
      </c>
      <c r="I268" s="15">
        <v>340</v>
      </c>
      <c r="J268" s="15">
        <v>340</v>
      </c>
      <c r="K268" s="15">
        <v>350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2" t="s">
        <v>1</v>
      </c>
      <c r="U268" s="44" t="s">
        <v>1</v>
      </c>
      <c r="V268" s="15">
        <v>124.99</v>
      </c>
      <c r="W268" s="15">
        <v>124.99</v>
      </c>
      <c r="X268" s="15" t="s">
        <v>1</v>
      </c>
      <c r="Y268" s="16" t="s">
        <v>1</v>
      </c>
      <c r="Z268" s="2" t="s">
        <v>1</v>
      </c>
      <c r="AA268" s="107" t="s">
        <v>1</v>
      </c>
      <c r="AB268" s="2" t="s">
        <v>1</v>
      </c>
    </row>
    <row r="269" spans="1:28" ht="30.15" customHeight="1" x14ac:dyDescent="0.25">
      <c r="A269" s="56" t="s">
        <v>18</v>
      </c>
      <c r="B269" s="57" t="s">
        <v>1</v>
      </c>
      <c r="C269" s="58" t="s">
        <v>34</v>
      </c>
      <c r="D269" s="40" t="s">
        <v>145</v>
      </c>
      <c r="E269" s="40" t="s">
        <v>240</v>
      </c>
      <c r="F269" s="46" t="s">
        <v>241</v>
      </c>
      <c r="G269" s="46" t="s">
        <v>409</v>
      </c>
      <c r="H269" s="15">
        <v>979</v>
      </c>
      <c r="I269" s="15">
        <v>979</v>
      </c>
      <c r="J269" s="15">
        <v>979</v>
      </c>
      <c r="K269" s="15">
        <v>999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2" t="s">
        <v>1</v>
      </c>
      <c r="U269" s="44" t="s">
        <v>1</v>
      </c>
      <c r="V269" s="15">
        <v>729</v>
      </c>
      <c r="W269" s="15">
        <v>729</v>
      </c>
      <c r="X269" s="15" t="s">
        <v>1</v>
      </c>
      <c r="Y269" s="16" t="s">
        <v>1</v>
      </c>
      <c r="Z269" s="2" t="s">
        <v>1</v>
      </c>
      <c r="AA269" s="107" t="s">
        <v>1</v>
      </c>
      <c r="AB269" s="2" t="s">
        <v>1</v>
      </c>
    </row>
    <row r="270" spans="1:28" ht="30.15" customHeight="1" x14ac:dyDescent="0.25">
      <c r="A270" s="56" t="s">
        <v>18</v>
      </c>
      <c r="B270" s="57" t="s">
        <v>1</v>
      </c>
      <c r="C270" s="58" t="s">
        <v>34</v>
      </c>
      <c r="D270" s="116" t="s">
        <v>145</v>
      </c>
      <c r="E270" s="116" t="s">
        <v>333</v>
      </c>
      <c r="F270" s="119" t="s">
        <v>419</v>
      </c>
      <c r="G270" s="46" t="s">
        <v>428</v>
      </c>
      <c r="H270" s="117">
        <f t="shared" ref="H270" si="92">J270</f>
        <v>456</v>
      </c>
      <c r="I270" s="117">
        <f t="shared" ref="I270" si="93">J270</f>
        <v>456</v>
      </c>
      <c r="J270" s="117">
        <f>K270*0.95</f>
        <v>456</v>
      </c>
      <c r="K270" s="117">
        <v>480</v>
      </c>
      <c r="L270" s="15">
        <v>0</v>
      </c>
      <c r="M270" s="15">
        <v>0</v>
      </c>
      <c r="N270" s="15">
        <v>0</v>
      </c>
      <c r="O270" s="15">
        <v>0</v>
      </c>
      <c r="P270" s="121">
        <f t="shared" ref="P270" si="94">IF((K270-(20*24))&lt;0,0,(K270-(20*24)))</f>
        <v>0</v>
      </c>
      <c r="Q270" s="121">
        <f t="shared" ref="Q270" si="95">IF((K270-(20*24))&lt;0,0,(K270-(20*24)))</f>
        <v>0</v>
      </c>
      <c r="R270" s="121">
        <f t="shared" ref="R270" si="96">IF((K270-(30*24))&lt;0,0,(K270-(30*24)))</f>
        <v>0</v>
      </c>
      <c r="S270" s="121">
        <f t="shared" ref="S270" si="97">IF((K270-(30*24))&lt;0,0,(K270-(30*24)))</f>
        <v>0</v>
      </c>
      <c r="T270" s="121">
        <f t="shared" ref="T270" si="98">IF((K270-(40*24))&lt;0,0,(K270-(40*24)))</f>
        <v>0</v>
      </c>
      <c r="U270" s="121">
        <f t="shared" ref="U270" si="99">IF((K270-(40*24))&lt;0,0,(K270-(40*24)))</f>
        <v>0</v>
      </c>
      <c r="V270" s="117">
        <v>850</v>
      </c>
      <c r="W270" s="117">
        <v>1000</v>
      </c>
      <c r="X270" s="15" t="s">
        <v>1</v>
      </c>
      <c r="Y270" s="16" t="s">
        <v>1</v>
      </c>
      <c r="Z270" s="2" t="s">
        <v>1</v>
      </c>
      <c r="AA270" s="107" t="s">
        <v>1</v>
      </c>
      <c r="AB270" s="2" t="s">
        <v>1</v>
      </c>
    </row>
    <row r="271" spans="1:28" ht="30.15" customHeight="1" x14ac:dyDescent="0.25">
      <c r="A271" s="56" t="s">
        <v>18</v>
      </c>
      <c r="B271" s="56" t="s">
        <v>1</v>
      </c>
      <c r="C271" s="58" t="s">
        <v>34</v>
      </c>
      <c r="D271" s="40" t="s">
        <v>145</v>
      </c>
      <c r="E271" s="40" t="s">
        <v>290</v>
      </c>
      <c r="F271" s="40" t="s">
        <v>420</v>
      </c>
      <c r="G271" s="46" t="s">
        <v>426</v>
      </c>
      <c r="H271" s="15">
        <v>280</v>
      </c>
      <c r="I271" s="15">
        <v>280</v>
      </c>
      <c r="J271" s="15">
        <v>280</v>
      </c>
      <c r="K271" s="42">
        <v>299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2" t="s">
        <v>1</v>
      </c>
      <c r="U271" s="44" t="s">
        <v>1</v>
      </c>
      <c r="V271" s="15">
        <v>49</v>
      </c>
      <c r="W271" s="15">
        <v>49</v>
      </c>
      <c r="X271" s="15" t="s">
        <v>1</v>
      </c>
      <c r="Y271" s="16" t="s">
        <v>1</v>
      </c>
      <c r="Z271" s="2" t="s">
        <v>1</v>
      </c>
      <c r="AA271" s="107" t="s">
        <v>1</v>
      </c>
      <c r="AB271" s="2" t="s">
        <v>1</v>
      </c>
    </row>
    <row r="272" spans="1:28" ht="30.15" customHeight="1" x14ac:dyDescent="0.25">
      <c r="A272" s="40" t="s">
        <v>17</v>
      </c>
      <c r="B272" s="57">
        <v>43160</v>
      </c>
      <c r="C272" s="58" t="s">
        <v>34</v>
      </c>
      <c r="D272" s="40" t="s">
        <v>6</v>
      </c>
      <c r="E272" s="40" t="s">
        <v>153</v>
      </c>
      <c r="F272" s="40" t="s">
        <v>154</v>
      </c>
      <c r="G272" s="46" t="s">
        <v>409</v>
      </c>
      <c r="H272" s="15">
        <v>390</v>
      </c>
      <c r="I272" s="15">
        <v>390</v>
      </c>
      <c r="J272" s="15">
        <v>390</v>
      </c>
      <c r="K272" s="15">
        <v>400</v>
      </c>
      <c r="L272" s="15">
        <v>0</v>
      </c>
      <c r="M272" s="15">
        <v>0</v>
      </c>
      <c r="N272" s="15">
        <v>0</v>
      </c>
      <c r="O272" s="15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1</v>
      </c>
      <c r="U272" s="44" t="s">
        <v>1</v>
      </c>
      <c r="V272" s="15">
        <v>99.99</v>
      </c>
      <c r="W272" s="15">
        <v>99.99</v>
      </c>
      <c r="X272" s="15" t="s">
        <v>1</v>
      </c>
      <c r="Y272" s="16" t="s">
        <v>1</v>
      </c>
      <c r="Z272" s="2" t="s">
        <v>1</v>
      </c>
      <c r="AA272" s="107" t="s">
        <v>1</v>
      </c>
      <c r="AB272" s="2" t="s">
        <v>1</v>
      </c>
    </row>
    <row r="273" spans="1:28" ht="30.15" customHeight="1" x14ac:dyDescent="0.25">
      <c r="A273" s="40" t="s">
        <v>18</v>
      </c>
      <c r="B273" s="57" t="s">
        <v>1</v>
      </c>
      <c r="C273" s="58" t="s">
        <v>34</v>
      </c>
      <c r="D273" s="116" t="s">
        <v>6</v>
      </c>
      <c r="E273" s="116" t="s">
        <v>530</v>
      </c>
      <c r="F273" s="116" t="s">
        <v>529</v>
      </c>
      <c r="G273" s="46" t="s">
        <v>409</v>
      </c>
      <c r="H273" s="15">
        <v>279</v>
      </c>
      <c r="I273" s="15">
        <v>279</v>
      </c>
      <c r="J273" s="15">
        <v>279</v>
      </c>
      <c r="K273" s="117">
        <v>300</v>
      </c>
      <c r="L273" s="15">
        <v>0</v>
      </c>
      <c r="M273" s="15">
        <v>0</v>
      </c>
      <c r="N273" s="15">
        <v>0</v>
      </c>
      <c r="O273" s="15">
        <v>0</v>
      </c>
      <c r="P273" s="121">
        <f t="shared" ref="P273" si="100">IF((K273-(20*24))&lt;0,0,(K273-(20*24)))</f>
        <v>0</v>
      </c>
      <c r="Q273" s="121">
        <f t="shared" ref="Q273" si="101">IF((K273-(20*24))&lt;0,0,(K273-(20*24)))</f>
        <v>0</v>
      </c>
      <c r="R273" s="121">
        <f t="shared" ref="R273" si="102">IF((K273-(30*24))&lt;0,0,(K273-(30*24)))</f>
        <v>0</v>
      </c>
      <c r="S273" s="121">
        <f t="shared" ref="S273" si="103">IF((K273-(30*24))&lt;0,0,(K273-(30*24)))</f>
        <v>0</v>
      </c>
      <c r="T273" s="121">
        <f t="shared" ref="T273" si="104">IF((K273-(40*24))&lt;0,0,(K273-(40*24)))</f>
        <v>0</v>
      </c>
      <c r="U273" s="121">
        <f t="shared" ref="U273" si="105">IF((K273-(40*24))&lt;0,0,(K273-(40*24)))</f>
        <v>0</v>
      </c>
      <c r="V273" s="117">
        <v>150</v>
      </c>
      <c r="W273" s="117">
        <v>300</v>
      </c>
      <c r="X273" s="15" t="s">
        <v>1</v>
      </c>
      <c r="Y273" s="16" t="s">
        <v>1</v>
      </c>
      <c r="Z273" s="2" t="s">
        <v>1</v>
      </c>
      <c r="AA273" s="107" t="s">
        <v>1</v>
      </c>
      <c r="AB273" s="2" t="s">
        <v>1</v>
      </c>
    </row>
    <row r="274" spans="1:28" ht="30.15" customHeight="1" x14ac:dyDescent="0.25">
      <c r="A274" s="40" t="s">
        <v>18</v>
      </c>
      <c r="B274" s="57" t="s">
        <v>1</v>
      </c>
      <c r="C274" s="58" t="s">
        <v>34</v>
      </c>
      <c r="D274" s="40" t="s">
        <v>6</v>
      </c>
      <c r="E274" s="40" t="s">
        <v>585</v>
      </c>
      <c r="F274" s="40" t="s">
        <v>586</v>
      </c>
      <c r="G274" s="46" t="s">
        <v>409</v>
      </c>
      <c r="H274" s="15">
        <v>280</v>
      </c>
      <c r="I274" s="15">
        <v>280</v>
      </c>
      <c r="J274" s="15">
        <v>280</v>
      </c>
      <c r="K274" s="15">
        <v>300</v>
      </c>
      <c r="L274" s="15">
        <v>0</v>
      </c>
      <c r="M274" s="15">
        <v>0</v>
      </c>
      <c r="N274" s="15">
        <v>0</v>
      </c>
      <c r="O274" s="15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44">
        <v>0</v>
      </c>
      <c r="V274" s="15">
        <v>0</v>
      </c>
      <c r="W274" s="15">
        <v>0</v>
      </c>
      <c r="X274" s="15" t="s">
        <v>1</v>
      </c>
      <c r="Y274" s="16" t="s">
        <v>1</v>
      </c>
      <c r="Z274" s="2" t="s">
        <v>1</v>
      </c>
      <c r="AA274" s="107" t="s">
        <v>1</v>
      </c>
      <c r="AB274" s="2" t="s">
        <v>1</v>
      </c>
    </row>
    <row r="275" spans="1:28" ht="30.15" customHeight="1" x14ac:dyDescent="0.25">
      <c r="A275" s="56" t="s">
        <v>18</v>
      </c>
      <c r="B275" s="56" t="s">
        <v>1</v>
      </c>
      <c r="C275" s="58" t="s">
        <v>34</v>
      </c>
      <c r="D275" s="40" t="s">
        <v>6</v>
      </c>
      <c r="E275" s="40" t="s">
        <v>429</v>
      </c>
      <c r="F275" s="40" t="s">
        <v>430</v>
      </c>
      <c r="G275" s="46" t="s">
        <v>409</v>
      </c>
      <c r="H275" s="15">
        <v>140</v>
      </c>
      <c r="I275" s="15">
        <v>140</v>
      </c>
      <c r="J275" s="15">
        <v>140</v>
      </c>
      <c r="K275" s="15">
        <v>150</v>
      </c>
      <c r="L275" s="15">
        <v>0</v>
      </c>
      <c r="M275" s="15">
        <v>0</v>
      </c>
      <c r="N275" s="15">
        <v>0</v>
      </c>
      <c r="O275" s="15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1</v>
      </c>
      <c r="U275" s="44" t="s">
        <v>1</v>
      </c>
      <c r="V275" s="15">
        <v>0</v>
      </c>
      <c r="W275" s="15">
        <v>0</v>
      </c>
      <c r="X275" s="15" t="s">
        <v>1</v>
      </c>
      <c r="Y275" s="16" t="s">
        <v>1</v>
      </c>
      <c r="Z275" s="2" t="s">
        <v>1</v>
      </c>
      <c r="AA275" s="107" t="s">
        <v>1</v>
      </c>
      <c r="AB275" s="2" t="s">
        <v>1</v>
      </c>
    </row>
    <row r="276" spans="1:28" ht="30.15" customHeight="1" x14ac:dyDescent="0.25">
      <c r="A276" s="56" t="s">
        <v>17</v>
      </c>
      <c r="B276" s="57">
        <v>43313</v>
      </c>
      <c r="C276" s="58" t="s">
        <v>34</v>
      </c>
      <c r="D276" s="40" t="s">
        <v>6</v>
      </c>
      <c r="E276" s="40" t="s">
        <v>205</v>
      </c>
      <c r="F276" s="40" t="s">
        <v>207</v>
      </c>
      <c r="G276" s="46" t="s">
        <v>409</v>
      </c>
      <c r="H276" s="15">
        <v>890</v>
      </c>
      <c r="I276" s="15">
        <v>890</v>
      </c>
      <c r="J276" s="15">
        <v>890</v>
      </c>
      <c r="K276" s="15">
        <v>900</v>
      </c>
      <c r="L276" s="15">
        <v>0</v>
      </c>
      <c r="M276" s="15">
        <v>0</v>
      </c>
      <c r="N276" s="15">
        <v>0</v>
      </c>
      <c r="O276" s="15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1</v>
      </c>
      <c r="U276" s="44" t="s">
        <v>1</v>
      </c>
      <c r="V276" s="15">
        <v>750</v>
      </c>
      <c r="W276" s="15">
        <v>800</v>
      </c>
      <c r="X276" s="15" t="s">
        <v>1</v>
      </c>
      <c r="Y276" s="16" t="s">
        <v>1</v>
      </c>
      <c r="Z276" s="2" t="s">
        <v>1</v>
      </c>
      <c r="AA276" s="107" t="s">
        <v>1</v>
      </c>
      <c r="AB276" s="2" t="s">
        <v>1</v>
      </c>
    </row>
    <row r="277" spans="1:28" ht="30.15" customHeight="1" x14ac:dyDescent="0.25">
      <c r="A277" s="40" t="s">
        <v>18</v>
      </c>
      <c r="B277" s="57" t="s">
        <v>1</v>
      </c>
      <c r="C277" s="58" t="s">
        <v>34</v>
      </c>
      <c r="D277" s="40" t="s">
        <v>6</v>
      </c>
      <c r="E277" s="40" t="s">
        <v>206</v>
      </c>
      <c r="F277" s="40" t="s">
        <v>208</v>
      </c>
      <c r="G277" s="46" t="s">
        <v>409</v>
      </c>
      <c r="H277" s="15">
        <v>640</v>
      </c>
      <c r="I277" s="15">
        <v>640</v>
      </c>
      <c r="J277" s="15">
        <v>640</v>
      </c>
      <c r="K277" s="15">
        <v>650</v>
      </c>
      <c r="L277" s="15">
        <v>0</v>
      </c>
      <c r="M277" s="15">
        <v>0</v>
      </c>
      <c r="N277" s="15">
        <v>0</v>
      </c>
      <c r="O277" s="15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1</v>
      </c>
      <c r="U277" s="44" t="s">
        <v>1</v>
      </c>
      <c r="V277" s="15">
        <v>49</v>
      </c>
      <c r="W277" s="15">
        <v>49</v>
      </c>
      <c r="X277" s="15" t="s">
        <v>1</v>
      </c>
      <c r="Y277" s="16" t="s">
        <v>1</v>
      </c>
      <c r="Z277" s="2" t="s">
        <v>1</v>
      </c>
      <c r="AA277" s="107" t="s">
        <v>1</v>
      </c>
      <c r="AB277" s="2" t="s">
        <v>1</v>
      </c>
    </row>
    <row r="278" spans="1:28" ht="30.15" customHeight="1" x14ac:dyDescent="0.25">
      <c r="A278" s="40" t="s">
        <v>18</v>
      </c>
      <c r="B278" s="57" t="s">
        <v>1</v>
      </c>
      <c r="C278" s="56" t="s">
        <v>35</v>
      </c>
      <c r="D278" s="40" t="s">
        <v>440</v>
      </c>
      <c r="E278" s="40" t="s">
        <v>441</v>
      </c>
      <c r="F278" s="40" t="s">
        <v>442</v>
      </c>
      <c r="G278" s="46" t="s">
        <v>409</v>
      </c>
      <c r="H278" s="15">
        <v>190</v>
      </c>
      <c r="I278" s="15">
        <v>190</v>
      </c>
      <c r="J278" s="15">
        <v>190</v>
      </c>
      <c r="K278" s="15">
        <v>199.99</v>
      </c>
      <c r="L278" s="15" t="s">
        <v>1</v>
      </c>
      <c r="M278" s="15" t="s">
        <v>1</v>
      </c>
      <c r="N278" s="15" t="s">
        <v>1</v>
      </c>
      <c r="O278" s="15" t="s">
        <v>1</v>
      </c>
      <c r="P278" s="2" t="s">
        <v>1</v>
      </c>
      <c r="Q278" s="2" t="s">
        <v>1</v>
      </c>
      <c r="R278" s="2" t="s">
        <v>1</v>
      </c>
      <c r="S278" s="2" t="s">
        <v>1</v>
      </c>
      <c r="T278" s="2" t="s">
        <v>1</v>
      </c>
      <c r="U278" s="44" t="s">
        <v>1</v>
      </c>
      <c r="V278" s="15" t="s">
        <v>1</v>
      </c>
      <c r="W278" s="15" t="s">
        <v>1</v>
      </c>
      <c r="X278" s="15">
        <v>0</v>
      </c>
      <c r="Y278" s="16" t="s">
        <v>1</v>
      </c>
      <c r="Z278" s="2" t="s">
        <v>1</v>
      </c>
      <c r="AA278" s="107" t="s">
        <v>1</v>
      </c>
      <c r="AB278" s="2" t="s">
        <v>1</v>
      </c>
    </row>
    <row r="279" spans="1:28" ht="30.15" customHeight="1" x14ac:dyDescent="0.25">
      <c r="A279" s="40" t="s">
        <v>18</v>
      </c>
      <c r="B279" s="57" t="s">
        <v>1</v>
      </c>
      <c r="C279" s="58" t="s">
        <v>34</v>
      </c>
      <c r="D279" s="116" t="s">
        <v>7</v>
      </c>
      <c r="E279" s="116" t="s">
        <v>242</v>
      </c>
      <c r="F279" s="116" t="s">
        <v>243</v>
      </c>
      <c r="G279" s="46" t="s">
        <v>409</v>
      </c>
      <c r="H279" s="117">
        <f>J279</f>
        <v>228</v>
      </c>
      <c r="I279" s="15">
        <v>430</v>
      </c>
      <c r="J279" s="117">
        <f t="shared" ref="J279:J284" si="106">K279*0.95</f>
        <v>228</v>
      </c>
      <c r="K279" s="117">
        <v>240</v>
      </c>
      <c r="L279" s="15">
        <v>0</v>
      </c>
      <c r="M279" s="15">
        <v>0</v>
      </c>
      <c r="N279" s="15">
        <v>0</v>
      </c>
      <c r="O279" s="15">
        <v>0</v>
      </c>
      <c r="P279" s="121">
        <f t="shared" ref="P279:P285" si="107">IF((K279-(20*24))&lt;0,0,(K279-(20*24)))</f>
        <v>0</v>
      </c>
      <c r="Q279" s="121">
        <f t="shared" ref="Q279:Q285" si="108">IF((K279-(20*24))&lt;0,0,(K279-(20*24)))</f>
        <v>0</v>
      </c>
      <c r="R279" s="121">
        <f t="shared" ref="R279:R285" si="109">IF((K279-(30*24))&lt;0,0,(K279-(30*24)))</f>
        <v>0</v>
      </c>
      <c r="S279" s="121">
        <f t="shared" ref="S279:S285" si="110">IF((K279-(30*24))&lt;0,0,(K279-(30*24)))</f>
        <v>0</v>
      </c>
      <c r="T279" s="121">
        <f t="shared" ref="T279:T285" si="111">IF((K279-(40*24))&lt;0,0,(K279-(40*24)))</f>
        <v>0</v>
      </c>
      <c r="U279" s="121">
        <f t="shared" ref="U279:U285" si="112">IF((K279-(40*24))&lt;0,0,(K279-(40*24)))</f>
        <v>0</v>
      </c>
      <c r="V279" s="117">
        <v>90</v>
      </c>
      <c r="W279" s="117">
        <v>240</v>
      </c>
      <c r="X279" s="15" t="s">
        <v>1</v>
      </c>
      <c r="Y279" s="16" t="s">
        <v>1</v>
      </c>
      <c r="Z279" s="2" t="s">
        <v>1</v>
      </c>
      <c r="AA279" s="107" t="s">
        <v>1</v>
      </c>
      <c r="AB279" s="2" t="s">
        <v>1</v>
      </c>
    </row>
    <row r="280" spans="1:28" ht="30.15" customHeight="1" x14ac:dyDescent="0.25">
      <c r="A280" s="56" t="s">
        <v>17</v>
      </c>
      <c r="B280" s="57">
        <v>43313</v>
      </c>
      <c r="C280" s="58" t="s">
        <v>34</v>
      </c>
      <c r="D280" s="116" t="s">
        <v>7</v>
      </c>
      <c r="E280" s="116" t="s">
        <v>244</v>
      </c>
      <c r="F280" s="116" t="s">
        <v>243</v>
      </c>
      <c r="G280" s="46" t="s">
        <v>421</v>
      </c>
      <c r="H280" s="117">
        <f t="shared" ref="H280:H285" si="113">J280</f>
        <v>228</v>
      </c>
      <c r="I280" s="15">
        <v>430</v>
      </c>
      <c r="J280" s="117">
        <f t="shared" si="106"/>
        <v>228</v>
      </c>
      <c r="K280" s="117">
        <v>240</v>
      </c>
      <c r="L280" s="15">
        <v>0</v>
      </c>
      <c r="M280" s="15">
        <v>0</v>
      </c>
      <c r="N280" s="15">
        <v>0</v>
      </c>
      <c r="O280" s="15">
        <v>0</v>
      </c>
      <c r="P280" s="121">
        <f t="shared" si="107"/>
        <v>0</v>
      </c>
      <c r="Q280" s="121">
        <f t="shared" si="108"/>
        <v>0</v>
      </c>
      <c r="R280" s="121">
        <f t="shared" si="109"/>
        <v>0</v>
      </c>
      <c r="S280" s="121">
        <f t="shared" si="110"/>
        <v>0</v>
      </c>
      <c r="T280" s="121">
        <f t="shared" si="111"/>
        <v>0</v>
      </c>
      <c r="U280" s="121">
        <f t="shared" si="112"/>
        <v>0</v>
      </c>
      <c r="V280" s="117">
        <v>90</v>
      </c>
      <c r="W280" s="117">
        <v>240</v>
      </c>
      <c r="X280" s="15" t="s">
        <v>1</v>
      </c>
      <c r="Y280" s="16" t="s">
        <v>1</v>
      </c>
      <c r="Z280" s="2" t="s">
        <v>1</v>
      </c>
      <c r="AA280" s="107" t="s">
        <v>1</v>
      </c>
      <c r="AB280" s="2" t="s">
        <v>1</v>
      </c>
    </row>
    <row r="281" spans="1:28" ht="30.15" customHeight="1" x14ac:dyDescent="0.25">
      <c r="A281" s="40" t="s">
        <v>18</v>
      </c>
      <c r="B281" s="57" t="s">
        <v>1</v>
      </c>
      <c r="C281" s="58" t="s">
        <v>34</v>
      </c>
      <c r="D281" s="116" t="s">
        <v>7</v>
      </c>
      <c r="E281" s="116" t="s">
        <v>379</v>
      </c>
      <c r="F281" s="116" t="s">
        <v>380</v>
      </c>
      <c r="G281" s="46" t="s">
        <v>409</v>
      </c>
      <c r="H281" s="117">
        <f t="shared" si="113"/>
        <v>342</v>
      </c>
      <c r="I281" s="15">
        <v>430</v>
      </c>
      <c r="J281" s="117">
        <f t="shared" si="106"/>
        <v>342</v>
      </c>
      <c r="K281" s="117">
        <v>360</v>
      </c>
      <c r="L281" s="15">
        <v>0</v>
      </c>
      <c r="M281" s="15">
        <v>0</v>
      </c>
      <c r="N281" s="15">
        <v>0</v>
      </c>
      <c r="O281" s="15">
        <v>0</v>
      </c>
      <c r="P281" s="121">
        <f t="shared" si="107"/>
        <v>0</v>
      </c>
      <c r="Q281" s="121">
        <f t="shared" si="108"/>
        <v>0</v>
      </c>
      <c r="R281" s="121">
        <f t="shared" si="109"/>
        <v>0</v>
      </c>
      <c r="S281" s="121">
        <f t="shared" si="110"/>
        <v>0</v>
      </c>
      <c r="T281" s="121">
        <f t="shared" si="111"/>
        <v>0</v>
      </c>
      <c r="U281" s="121">
        <f t="shared" si="112"/>
        <v>0</v>
      </c>
      <c r="V281" s="117">
        <v>210</v>
      </c>
      <c r="W281" s="117">
        <v>360</v>
      </c>
      <c r="X281" s="15" t="s">
        <v>1</v>
      </c>
      <c r="Y281" s="16" t="s">
        <v>1</v>
      </c>
      <c r="Z281" s="2" t="s">
        <v>1</v>
      </c>
      <c r="AA281" s="107" t="s">
        <v>1</v>
      </c>
      <c r="AB281" s="2" t="s">
        <v>1</v>
      </c>
    </row>
    <row r="282" spans="1:28" ht="30.15" customHeight="1" x14ac:dyDescent="0.25">
      <c r="A282" s="40" t="s">
        <v>18</v>
      </c>
      <c r="B282" s="57" t="s">
        <v>1</v>
      </c>
      <c r="C282" s="58" t="s">
        <v>34</v>
      </c>
      <c r="D282" s="116" t="s">
        <v>7</v>
      </c>
      <c r="E282" s="116" t="s">
        <v>381</v>
      </c>
      <c r="F282" s="116" t="s">
        <v>380</v>
      </c>
      <c r="G282" s="46" t="s">
        <v>409</v>
      </c>
      <c r="H282" s="117">
        <f t="shared" si="113"/>
        <v>342</v>
      </c>
      <c r="I282" s="15">
        <v>430</v>
      </c>
      <c r="J282" s="117">
        <f t="shared" si="106"/>
        <v>342</v>
      </c>
      <c r="K282" s="117">
        <v>360</v>
      </c>
      <c r="L282" s="15">
        <v>0</v>
      </c>
      <c r="M282" s="15">
        <v>0</v>
      </c>
      <c r="N282" s="15">
        <v>0</v>
      </c>
      <c r="O282" s="15">
        <v>0</v>
      </c>
      <c r="P282" s="121">
        <f t="shared" si="107"/>
        <v>0</v>
      </c>
      <c r="Q282" s="121">
        <f t="shared" si="108"/>
        <v>0</v>
      </c>
      <c r="R282" s="121">
        <f t="shared" si="109"/>
        <v>0</v>
      </c>
      <c r="S282" s="121">
        <f t="shared" si="110"/>
        <v>0</v>
      </c>
      <c r="T282" s="121">
        <f t="shared" si="111"/>
        <v>0</v>
      </c>
      <c r="U282" s="121">
        <f t="shared" si="112"/>
        <v>0</v>
      </c>
      <c r="V282" s="117">
        <v>210</v>
      </c>
      <c r="W282" s="117">
        <v>360</v>
      </c>
      <c r="X282" s="15" t="s">
        <v>1</v>
      </c>
      <c r="Y282" s="16" t="s">
        <v>1</v>
      </c>
      <c r="Z282" s="2" t="s">
        <v>1</v>
      </c>
      <c r="AA282" s="107" t="s">
        <v>1</v>
      </c>
      <c r="AB282" s="2" t="s">
        <v>1</v>
      </c>
    </row>
    <row r="283" spans="1:28" ht="30.15" customHeight="1" x14ac:dyDescent="0.25">
      <c r="A283" s="40" t="s">
        <v>18</v>
      </c>
      <c r="B283" s="57" t="s">
        <v>1</v>
      </c>
      <c r="C283" s="58" t="s">
        <v>34</v>
      </c>
      <c r="D283" s="116" t="s">
        <v>7</v>
      </c>
      <c r="E283" s="116" t="s">
        <v>597</v>
      </c>
      <c r="F283" s="116" t="s">
        <v>600</v>
      </c>
      <c r="G283" s="46" t="s">
        <v>409</v>
      </c>
      <c r="H283" s="117">
        <f t="shared" si="113"/>
        <v>275</v>
      </c>
      <c r="I283" s="15">
        <v>290</v>
      </c>
      <c r="J283" s="117">
        <v>275</v>
      </c>
      <c r="K283" s="120">
        <v>290</v>
      </c>
      <c r="L283" s="15">
        <v>0</v>
      </c>
      <c r="M283" s="15">
        <v>0</v>
      </c>
      <c r="N283" s="15">
        <v>0</v>
      </c>
      <c r="O283" s="15">
        <v>0</v>
      </c>
      <c r="P283" s="121">
        <f t="shared" si="107"/>
        <v>0</v>
      </c>
      <c r="Q283" s="121">
        <f t="shared" si="108"/>
        <v>0</v>
      </c>
      <c r="R283" s="121">
        <f t="shared" si="109"/>
        <v>0</v>
      </c>
      <c r="S283" s="121">
        <f t="shared" si="110"/>
        <v>0</v>
      </c>
      <c r="T283" s="121">
        <f t="shared" si="111"/>
        <v>0</v>
      </c>
      <c r="U283" s="121">
        <f t="shared" si="112"/>
        <v>0</v>
      </c>
      <c r="V283" s="117">
        <v>190</v>
      </c>
      <c r="W283" s="120">
        <v>340</v>
      </c>
      <c r="X283" s="15" t="s">
        <v>1</v>
      </c>
      <c r="Y283" s="16" t="s">
        <v>1</v>
      </c>
      <c r="Z283" s="2" t="s">
        <v>1</v>
      </c>
      <c r="AA283" s="107" t="s">
        <v>1</v>
      </c>
      <c r="AB283" s="2" t="s">
        <v>1</v>
      </c>
    </row>
    <row r="284" spans="1:28" ht="30.15" customHeight="1" x14ac:dyDescent="0.25">
      <c r="A284" s="40" t="s">
        <v>18</v>
      </c>
      <c r="B284" s="57" t="s">
        <v>1</v>
      </c>
      <c r="C284" s="58" t="s">
        <v>34</v>
      </c>
      <c r="D284" s="116" t="s">
        <v>7</v>
      </c>
      <c r="E284" s="116" t="s">
        <v>598</v>
      </c>
      <c r="F284" s="116" t="s">
        <v>601</v>
      </c>
      <c r="G284" s="46" t="s">
        <v>409</v>
      </c>
      <c r="H284" s="117">
        <f t="shared" si="113"/>
        <v>361</v>
      </c>
      <c r="I284" s="15">
        <v>380</v>
      </c>
      <c r="J284" s="117">
        <f t="shared" si="106"/>
        <v>361</v>
      </c>
      <c r="K284" s="120">
        <v>380</v>
      </c>
      <c r="L284" s="15">
        <v>0</v>
      </c>
      <c r="M284" s="15">
        <v>0</v>
      </c>
      <c r="N284" s="15">
        <v>0</v>
      </c>
      <c r="O284" s="15">
        <v>0</v>
      </c>
      <c r="P284" s="121">
        <f t="shared" si="107"/>
        <v>0</v>
      </c>
      <c r="Q284" s="121">
        <f t="shared" si="108"/>
        <v>0</v>
      </c>
      <c r="R284" s="121">
        <f t="shared" si="109"/>
        <v>0</v>
      </c>
      <c r="S284" s="121">
        <f t="shared" si="110"/>
        <v>0</v>
      </c>
      <c r="T284" s="121">
        <f t="shared" si="111"/>
        <v>0</v>
      </c>
      <c r="U284" s="121">
        <f t="shared" si="112"/>
        <v>0</v>
      </c>
      <c r="V284" s="117">
        <v>300</v>
      </c>
      <c r="W284" s="120">
        <v>450</v>
      </c>
      <c r="X284" s="15" t="s">
        <v>1</v>
      </c>
      <c r="Y284" s="16" t="s">
        <v>1</v>
      </c>
      <c r="Z284" s="2" t="s">
        <v>1</v>
      </c>
      <c r="AA284" s="107" t="s">
        <v>1</v>
      </c>
      <c r="AB284" s="2" t="s">
        <v>1</v>
      </c>
    </row>
    <row r="285" spans="1:28" ht="30.15" customHeight="1" x14ac:dyDescent="0.25">
      <c r="A285" s="40" t="s">
        <v>18</v>
      </c>
      <c r="B285" s="57" t="s">
        <v>1</v>
      </c>
      <c r="C285" s="58" t="s">
        <v>34</v>
      </c>
      <c r="D285" s="116" t="s">
        <v>7</v>
      </c>
      <c r="E285" s="116" t="s">
        <v>599</v>
      </c>
      <c r="F285" s="116" t="s">
        <v>602</v>
      </c>
      <c r="G285" s="46" t="s">
        <v>409</v>
      </c>
      <c r="H285" s="117">
        <f t="shared" si="113"/>
        <v>503</v>
      </c>
      <c r="I285" s="15">
        <v>530</v>
      </c>
      <c r="J285" s="117">
        <v>503</v>
      </c>
      <c r="K285" s="120">
        <v>530</v>
      </c>
      <c r="L285" s="15">
        <v>0</v>
      </c>
      <c r="M285" s="15">
        <v>0</v>
      </c>
      <c r="N285" s="15">
        <v>0</v>
      </c>
      <c r="O285" s="15">
        <v>0</v>
      </c>
      <c r="P285" s="121">
        <f t="shared" si="107"/>
        <v>50</v>
      </c>
      <c r="Q285" s="121">
        <f t="shared" si="108"/>
        <v>50</v>
      </c>
      <c r="R285" s="121">
        <f t="shared" si="109"/>
        <v>0</v>
      </c>
      <c r="S285" s="121">
        <f t="shared" si="110"/>
        <v>0</v>
      </c>
      <c r="T285" s="121">
        <f t="shared" si="111"/>
        <v>0</v>
      </c>
      <c r="U285" s="121">
        <f t="shared" si="112"/>
        <v>0</v>
      </c>
      <c r="V285" s="117">
        <v>480</v>
      </c>
      <c r="W285" s="120">
        <v>630</v>
      </c>
      <c r="X285" s="15" t="s">
        <v>1</v>
      </c>
      <c r="Y285" s="16" t="s">
        <v>1</v>
      </c>
      <c r="Z285" s="2" t="s">
        <v>1</v>
      </c>
      <c r="AA285" s="107" t="s">
        <v>1</v>
      </c>
      <c r="AB285" s="2" t="s">
        <v>1</v>
      </c>
    </row>
    <row r="286" spans="1:28" ht="30.15" customHeight="1" x14ac:dyDescent="0.25">
      <c r="A286" s="56" t="s">
        <v>18</v>
      </c>
      <c r="B286" s="57" t="s">
        <v>1</v>
      </c>
      <c r="C286" s="58" t="s">
        <v>34</v>
      </c>
      <c r="D286" s="40" t="s">
        <v>7</v>
      </c>
      <c r="E286" s="40" t="s">
        <v>486</v>
      </c>
      <c r="F286" s="40" t="s">
        <v>487</v>
      </c>
      <c r="G286" s="46" t="s">
        <v>409</v>
      </c>
      <c r="H286" s="15">
        <v>229</v>
      </c>
      <c r="I286" s="15">
        <v>175</v>
      </c>
      <c r="J286" s="15">
        <v>229</v>
      </c>
      <c r="K286" s="42">
        <v>249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2" t="s">
        <v>1</v>
      </c>
      <c r="U286" s="44" t="s">
        <v>1</v>
      </c>
      <c r="V286" s="15">
        <v>49</v>
      </c>
      <c r="W286" s="15">
        <v>49</v>
      </c>
      <c r="X286" s="15" t="s">
        <v>1</v>
      </c>
      <c r="Y286" s="16" t="s">
        <v>1</v>
      </c>
      <c r="Z286" s="2" t="s">
        <v>1</v>
      </c>
      <c r="AA286" s="107" t="s">
        <v>1</v>
      </c>
      <c r="AB286" s="2" t="s">
        <v>1</v>
      </c>
    </row>
    <row r="287" spans="1:28" ht="30.15" customHeight="1" x14ac:dyDescent="0.25">
      <c r="A287" s="56" t="s">
        <v>18</v>
      </c>
      <c r="B287" s="57" t="s">
        <v>1</v>
      </c>
      <c r="C287" s="58" t="s">
        <v>34</v>
      </c>
      <c r="D287" s="40" t="s">
        <v>7</v>
      </c>
      <c r="E287" s="40" t="s">
        <v>341</v>
      </c>
      <c r="F287" s="40" t="s">
        <v>342</v>
      </c>
      <c r="G287" s="46" t="s">
        <v>409</v>
      </c>
      <c r="H287" s="15">
        <v>230</v>
      </c>
      <c r="I287" s="15">
        <v>170</v>
      </c>
      <c r="J287" s="15">
        <v>230</v>
      </c>
      <c r="K287" s="42">
        <v>150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2" t="s">
        <v>1</v>
      </c>
      <c r="U287" s="44" t="s">
        <v>1</v>
      </c>
      <c r="V287" s="15">
        <v>49</v>
      </c>
      <c r="W287" s="15">
        <v>49</v>
      </c>
      <c r="X287" s="15" t="s">
        <v>1</v>
      </c>
      <c r="Y287" s="16" t="s">
        <v>1</v>
      </c>
      <c r="Z287" s="2" t="s">
        <v>1</v>
      </c>
      <c r="AA287" s="107" t="s">
        <v>1</v>
      </c>
      <c r="AB287" s="2" t="s">
        <v>1</v>
      </c>
    </row>
    <row r="288" spans="1:28" ht="30.15" customHeight="1" x14ac:dyDescent="0.25">
      <c r="A288" s="56" t="s">
        <v>18</v>
      </c>
      <c r="B288" s="57" t="s">
        <v>1</v>
      </c>
      <c r="C288" s="58" t="s">
        <v>34</v>
      </c>
      <c r="D288" s="40" t="s">
        <v>7</v>
      </c>
      <c r="E288" s="40" t="s">
        <v>299</v>
      </c>
      <c r="F288" s="40" t="s">
        <v>298</v>
      </c>
      <c r="G288" s="46" t="s">
        <v>409</v>
      </c>
      <c r="H288" s="15">
        <v>1249</v>
      </c>
      <c r="I288" s="15">
        <v>1150</v>
      </c>
      <c r="J288" s="15">
        <v>1249</v>
      </c>
      <c r="K288" s="15">
        <v>900</v>
      </c>
      <c r="L288" s="15">
        <v>0</v>
      </c>
      <c r="M288" s="15">
        <v>0</v>
      </c>
      <c r="N288" s="15">
        <v>0</v>
      </c>
      <c r="O288" s="15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44">
        <v>0</v>
      </c>
      <c r="V288" s="15">
        <v>900</v>
      </c>
      <c r="W288" s="15">
        <v>900</v>
      </c>
      <c r="X288" s="15" t="s">
        <v>1</v>
      </c>
      <c r="Y288" s="2" t="s">
        <v>1</v>
      </c>
      <c r="Z288" s="2" t="s">
        <v>1</v>
      </c>
      <c r="AA288" s="107" t="s">
        <v>1</v>
      </c>
      <c r="AB288" s="2" t="s">
        <v>1</v>
      </c>
    </row>
    <row r="289" spans="1:28" ht="30.15" customHeight="1" x14ac:dyDescent="0.25">
      <c r="A289" s="56" t="s">
        <v>18</v>
      </c>
      <c r="B289" s="57" t="s">
        <v>1</v>
      </c>
      <c r="C289" s="58" t="s">
        <v>34</v>
      </c>
      <c r="D289" s="40" t="s">
        <v>7</v>
      </c>
      <c r="E289" s="40" t="s">
        <v>300</v>
      </c>
      <c r="F289" s="40" t="s">
        <v>298</v>
      </c>
      <c r="G289" s="46" t="s">
        <v>409</v>
      </c>
      <c r="H289" s="15">
        <v>1249</v>
      </c>
      <c r="I289" s="15">
        <v>1150</v>
      </c>
      <c r="J289" s="15">
        <v>1249</v>
      </c>
      <c r="K289" s="15">
        <v>900</v>
      </c>
      <c r="L289" s="15">
        <v>0</v>
      </c>
      <c r="M289" s="15">
        <v>0</v>
      </c>
      <c r="N289" s="15">
        <v>0</v>
      </c>
      <c r="O289" s="15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44">
        <v>0</v>
      </c>
      <c r="V289" s="15">
        <v>900</v>
      </c>
      <c r="W289" s="15">
        <v>900</v>
      </c>
      <c r="X289" s="15" t="s">
        <v>1</v>
      </c>
      <c r="Y289" s="2" t="s">
        <v>1</v>
      </c>
      <c r="Z289" s="2" t="s">
        <v>1</v>
      </c>
      <c r="AA289" s="107" t="s">
        <v>1</v>
      </c>
      <c r="AB289" s="2" t="s">
        <v>1</v>
      </c>
    </row>
    <row r="290" spans="1:28" ht="30.15" customHeight="1" x14ac:dyDescent="0.25">
      <c r="A290" s="56" t="s">
        <v>18</v>
      </c>
      <c r="B290" s="57" t="s">
        <v>1</v>
      </c>
      <c r="C290" s="58" t="s">
        <v>34</v>
      </c>
      <c r="D290" s="116" t="s">
        <v>7</v>
      </c>
      <c r="E290" s="116" t="s">
        <v>544</v>
      </c>
      <c r="F290" s="116" t="s">
        <v>539</v>
      </c>
      <c r="G290" s="46" t="s">
        <v>409</v>
      </c>
      <c r="H290" s="117">
        <f t="shared" ref="H290:H291" si="114">J290</f>
        <v>1149.5</v>
      </c>
      <c r="I290" s="15">
        <v>1150</v>
      </c>
      <c r="J290" s="117">
        <f t="shared" ref="J290:J291" si="115">K290*0.95</f>
        <v>1149.5</v>
      </c>
      <c r="K290" s="117">
        <v>1210</v>
      </c>
      <c r="L290" s="15">
        <v>0</v>
      </c>
      <c r="M290" s="15">
        <v>0</v>
      </c>
      <c r="N290" s="15">
        <v>0</v>
      </c>
      <c r="O290" s="15">
        <v>0</v>
      </c>
      <c r="P290" s="121">
        <f t="shared" ref="P290:P291" si="116">IF((K290-(20*24))&lt;0,0,(K290-(20*24)))</f>
        <v>730</v>
      </c>
      <c r="Q290" s="121">
        <f t="shared" ref="Q290:Q291" si="117">IF((K290-(20*24))&lt;0,0,(K290-(20*24)))</f>
        <v>730</v>
      </c>
      <c r="R290" s="121">
        <f t="shared" ref="R290:R291" si="118">IF((K290-(30*24))&lt;0,0,(K290-(30*24)))</f>
        <v>490</v>
      </c>
      <c r="S290" s="121">
        <f t="shared" ref="S290:S291" si="119">IF((K290-(30*24))&lt;0,0,(K290-(30*24)))</f>
        <v>490</v>
      </c>
      <c r="T290" s="121">
        <f t="shared" ref="T290:T291" si="120">IF((K290-(40*24))&lt;0,0,(K290-(40*24)))</f>
        <v>250</v>
      </c>
      <c r="U290" s="121">
        <f t="shared" ref="U290:U291" si="121">IF((K290-(40*24))&lt;0,0,(K290-(40*24)))</f>
        <v>250</v>
      </c>
      <c r="V290" s="117">
        <v>1150</v>
      </c>
      <c r="W290" s="117">
        <v>1300</v>
      </c>
      <c r="X290" s="15" t="s">
        <v>1</v>
      </c>
      <c r="Y290" s="2" t="s">
        <v>1</v>
      </c>
      <c r="Z290" s="2" t="s">
        <v>1</v>
      </c>
      <c r="AA290" s="107" t="s">
        <v>1</v>
      </c>
      <c r="AB290" s="2" t="s">
        <v>1</v>
      </c>
    </row>
    <row r="291" spans="1:28" ht="30.15" customHeight="1" x14ac:dyDescent="0.25">
      <c r="A291" s="56" t="s">
        <v>18</v>
      </c>
      <c r="B291" s="57" t="s">
        <v>1</v>
      </c>
      <c r="C291" s="58" t="s">
        <v>34</v>
      </c>
      <c r="D291" s="116" t="s">
        <v>7</v>
      </c>
      <c r="E291" s="116" t="s">
        <v>445</v>
      </c>
      <c r="F291" s="116" t="s">
        <v>539</v>
      </c>
      <c r="G291" s="46" t="s">
        <v>409</v>
      </c>
      <c r="H291" s="117">
        <f t="shared" si="114"/>
        <v>1149.5</v>
      </c>
      <c r="I291" s="15">
        <v>1150</v>
      </c>
      <c r="J291" s="117">
        <f t="shared" si="115"/>
        <v>1149.5</v>
      </c>
      <c r="K291" s="117">
        <v>1210</v>
      </c>
      <c r="L291" s="15">
        <v>0</v>
      </c>
      <c r="M291" s="15">
        <v>0</v>
      </c>
      <c r="N291" s="15">
        <v>0</v>
      </c>
      <c r="O291" s="15">
        <v>0</v>
      </c>
      <c r="P291" s="121">
        <f t="shared" si="116"/>
        <v>730</v>
      </c>
      <c r="Q291" s="121">
        <f t="shared" si="117"/>
        <v>730</v>
      </c>
      <c r="R291" s="121">
        <f t="shared" si="118"/>
        <v>490</v>
      </c>
      <c r="S291" s="121">
        <f t="shared" si="119"/>
        <v>490</v>
      </c>
      <c r="T291" s="121">
        <f t="shared" si="120"/>
        <v>250</v>
      </c>
      <c r="U291" s="121">
        <f t="shared" si="121"/>
        <v>250</v>
      </c>
      <c r="V291" s="117">
        <v>1150</v>
      </c>
      <c r="W291" s="117">
        <v>1300</v>
      </c>
      <c r="X291" s="15" t="s">
        <v>1</v>
      </c>
      <c r="Y291" s="2" t="s">
        <v>1</v>
      </c>
      <c r="Z291" s="2" t="s">
        <v>1</v>
      </c>
      <c r="AA291" s="107" t="s">
        <v>1</v>
      </c>
      <c r="AB291" s="2" t="s">
        <v>1</v>
      </c>
    </row>
    <row r="292" spans="1:28" ht="30.15" customHeight="1" x14ac:dyDescent="0.25">
      <c r="A292" s="56" t="s">
        <v>18</v>
      </c>
      <c r="B292" s="57" t="s">
        <v>1</v>
      </c>
      <c r="C292" s="58" t="s">
        <v>34</v>
      </c>
      <c r="D292" s="40" t="s">
        <v>7</v>
      </c>
      <c r="E292" s="40" t="s">
        <v>538</v>
      </c>
      <c r="F292" s="40" t="s">
        <v>540</v>
      </c>
      <c r="G292" s="46" t="s">
        <v>541</v>
      </c>
      <c r="H292" s="15">
        <v>1550</v>
      </c>
      <c r="I292" s="15">
        <v>1440</v>
      </c>
      <c r="J292" s="15">
        <v>1550</v>
      </c>
      <c r="K292" s="15">
        <v>1599</v>
      </c>
      <c r="L292" s="15">
        <v>0</v>
      </c>
      <c r="M292" s="15">
        <v>0</v>
      </c>
      <c r="N292" s="15">
        <v>0</v>
      </c>
      <c r="O292" s="15">
        <v>0</v>
      </c>
      <c r="P292" s="2">
        <v>690</v>
      </c>
      <c r="Q292" s="2">
        <v>690</v>
      </c>
      <c r="R292" s="2">
        <v>490</v>
      </c>
      <c r="S292" s="2">
        <v>490</v>
      </c>
      <c r="T292" s="2">
        <v>290</v>
      </c>
      <c r="U292" s="44">
        <v>290</v>
      </c>
      <c r="V292" s="15">
        <v>1449</v>
      </c>
      <c r="W292" s="15">
        <v>1599</v>
      </c>
      <c r="X292" s="15" t="s">
        <v>1</v>
      </c>
      <c r="Y292" s="2" t="s">
        <v>1</v>
      </c>
      <c r="Z292" s="2" t="s">
        <v>1</v>
      </c>
      <c r="AA292" s="107" t="s">
        <v>1</v>
      </c>
      <c r="AB292" s="2" t="s">
        <v>1</v>
      </c>
    </row>
    <row r="293" spans="1:28" ht="30.15" customHeight="1" x14ac:dyDescent="0.25">
      <c r="A293" s="56" t="s">
        <v>17</v>
      </c>
      <c r="B293" s="57">
        <v>43132</v>
      </c>
      <c r="C293" s="58" t="s">
        <v>34</v>
      </c>
      <c r="D293" s="40" t="s">
        <v>7</v>
      </c>
      <c r="E293" s="40" t="s">
        <v>69</v>
      </c>
      <c r="F293" s="40" t="s">
        <v>70</v>
      </c>
      <c r="G293" s="46" t="s">
        <v>409</v>
      </c>
      <c r="H293" s="15">
        <v>900</v>
      </c>
      <c r="I293" s="15">
        <v>900</v>
      </c>
      <c r="J293" s="15">
        <v>900</v>
      </c>
      <c r="K293" s="15">
        <v>899.99</v>
      </c>
      <c r="L293" s="15">
        <v>0</v>
      </c>
      <c r="M293" s="15">
        <v>0</v>
      </c>
      <c r="N293" s="15">
        <v>0</v>
      </c>
      <c r="O293" s="15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1</v>
      </c>
      <c r="U293" s="44" t="s">
        <v>1</v>
      </c>
      <c r="V293" s="15">
        <v>639.99</v>
      </c>
      <c r="W293" s="15">
        <v>899.99</v>
      </c>
      <c r="X293" s="15" t="s">
        <v>1</v>
      </c>
      <c r="Y293" s="2" t="s">
        <v>1</v>
      </c>
      <c r="Z293" s="2" t="s">
        <v>1</v>
      </c>
      <c r="AA293" s="107" t="s">
        <v>1</v>
      </c>
      <c r="AB293" s="2" t="s">
        <v>1</v>
      </c>
    </row>
    <row r="294" spans="1:28" ht="30.15" customHeight="1" x14ac:dyDescent="0.25">
      <c r="A294" s="58" t="s">
        <v>18</v>
      </c>
      <c r="B294" s="57" t="s">
        <v>1</v>
      </c>
      <c r="C294" s="56" t="s">
        <v>34</v>
      </c>
      <c r="D294" s="54" t="s">
        <v>7</v>
      </c>
      <c r="E294" s="54" t="s">
        <v>115</v>
      </c>
      <c r="F294" s="54" t="s">
        <v>116</v>
      </c>
      <c r="G294" s="46" t="s">
        <v>409</v>
      </c>
      <c r="H294" s="15">
        <v>540</v>
      </c>
      <c r="I294" s="15">
        <v>540</v>
      </c>
      <c r="J294" s="15">
        <v>540</v>
      </c>
      <c r="K294" s="15">
        <v>549.99</v>
      </c>
      <c r="L294" s="15">
        <v>0</v>
      </c>
      <c r="M294" s="15">
        <v>0</v>
      </c>
      <c r="N294" s="15">
        <v>0</v>
      </c>
      <c r="O294" s="15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1</v>
      </c>
      <c r="U294" s="44" t="s">
        <v>1</v>
      </c>
      <c r="V294" s="15">
        <v>0</v>
      </c>
      <c r="W294" s="15">
        <v>0</v>
      </c>
      <c r="X294" s="15" t="s">
        <v>1</v>
      </c>
      <c r="Y294" s="2" t="s">
        <v>1</v>
      </c>
      <c r="Z294" s="2" t="s">
        <v>1</v>
      </c>
      <c r="AA294" s="107" t="s">
        <v>1</v>
      </c>
      <c r="AB294" s="2" t="s">
        <v>1</v>
      </c>
    </row>
    <row r="295" spans="1:28" ht="30.15" customHeight="1" x14ac:dyDescent="0.25">
      <c r="A295" s="56" t="s">
        <v>18</v>
      </c>
      <c r="B295" s="57" t="s">
        <v>1</v>
      </c>
      <c r="C295" s="58" t="s">
        <v>34</v>
      </c>
      <c r="D295" s="40" t="s">
        <v>7</v>
      </c>
      <c r="E295" s="40" t="s">
        <v>77</v>
      </c>
      <c r="F295" s="40" t="s">
        <v>78</v>
      </c>
      <c r="G295" s="46" t="s">
        <v>409</v>
      </c>
      <c r="H295" s="15">
        <v>750</v>
      </c>
      <c r="I295" s="15">
        <v>750</v>
      </c>
      <c r="J295" s="15">
        <v>750</v>
      </c>
      <c r="K295" s="15">
        <v>759.99</v>
      </c>
      <c r="L295" s="15">
        <v>0</v>
      </c>
      <c r="M295" s="15">
        <v>0</v>
      </c>
      <c r="N295" s="15">
        <v>0</v>
      </c>
      <c r="O295" s="15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1</v>
      </c>
      <c r="U295" s="44" t="s">
        <v>1</v>
      </c>
      <c r="V295" s="15">
        <v>0</v>
      </c>
      <c r="W295" s="2">
        <v>0</v>
      </c>
      <c r="X295" s="15" t="s">
        <v>1</v>
      </c>
      <c r="Y295" s="2" t="s">
        <v>1</v>
      </c>
      <c r="Z295" s="2" t="s">
        <v>1</v>
      </c>
      <c r="AA295" s="107" t="s">
        <v>1</v>
      </c>
      <c r="AB295" s="2" t="s">
        <v>1</v>
      </c>
    </row>
    <row r="296" spans="1:28" ht="30.15" customHeight="1" x14ac:dyDescent="0.25">
      <c r="A296" s="56" t="s">
        <v>17</v>
      </c>
      <c r="B296" s="58">
        <v>43282</v>
      </c>
      <c r="C296" s="58" t="s">
        <v>34</v>
      </c>
      <c r="D296" s="40" t="s">
        <v>7</v>
      </c>
      <c r="E296" s="40" t="s">
        <v>85</v>
      </c>
      <c r="F296" s="40" t="s">
        <v>78</v>
      </c>
      <c r="G296" s="46" t="s">
        <v>409</v>
      </c>
      <c r="H296" s="15">
        <v>750</v>
      </c>
      <c r="I296" s="15">
        <v>750</v>
      </c>
      <c r="J296" s="15">
        <v>750</v>
      </c>
      <c r="K296" s="15">
        <v>759.99</v>
      </c>
      <c r="L296" s="15">
        <v>0</v>
      </c>
      <c r="M296" s="15">
        <v>0</v>
      </c>
      <c r="N296" s="15">
        <v>0</v>
      </c>
      <c r="O296" s="15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1</v>
      </c>
      <c r="U296" s="44" t="s">
        <v>1</v>
      </c>
      <c r="V296" s="15">
        <v>0</v>
      </c>
      <c r="W296" s="2">
        <v>0</v>
      </c>
      <c r="X296" s="15" t="s">
        <v>1</v>
      </c>
      <c r="Y296" s="2" t="s">
        <v>1</v>
      </c>
      <c r="Z296" s="2" t="s">
        <v>1</v>
      </c>
      <c r="AA296" s="107" t="s">
        <v>1</v>
      </c>
      <c r="AB296" s="2" t="s">
        <v>1</v>
      </c>
    </row>
    <row r="297" spans="1:28" ht="30.15" customHeight="1" x14ac:dyDescent="0.25">
      <c r="A297" s="56" t="s">
        <v>17</v>
      </c>
      <c r="B297" s="58">
        <v>43282</v>
      </c>
      <c r="C297" s="58" t="s">
        <v>34</v>
      </c>
      <c r="D297" s="40" t="s">
        <v>7</v>
      </c>
      <c r="E297" s="40" t="s">
        <v>79</v>
      </c>
      <c r="F297" s="40" t="s">
        <v>78</v>
      </c>
      <c r="G297" s="46" t="s">
        <v>409</v>
      </c>
      <c r="H297" s="15">
        <v>750</v>
      </c>
      <c r="I297" s="15">
        <v>750</v>
      </c>
      <c r="J297" s="15">
        <v>750</v>
      </c>
      <c r="K297" s="15">
        <v>759.99</v>
      </c>
      <c r="L297" s="15">
        <v>0</v>
      </c>
      <c r="M297" s="15">
        <v>0</v>
      </c>
      <c r="N297" s="15">
        <v>0</v>
      </c>
      <c r="O297" s="15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1</v>
      </c>
      <c r="U297" s="44" t="s">
        <v>1</v>
      </c>
      <c r="V297" s="15">
        <v>0</v>
      </c>
      <c r="W297" s="2">
        <v>0</v>
      </c>
      <c r="X297" s="15" t="s">
        <v>1</v>
      </c>
      <c r="Y297" s="2" t="s">
        <v>1</v>
      </c>
      <c r="Z297" s="2" t="s">
        <v>1</v>
      </c>
      <c r="AA297" s="107" t="s">
        <v>1</v>
      </c>
      <c r="AB297" s="2" t="s">
        <v>1</v>
      </c>
    </row>
    <row r="298" spans="1:28" ht="30.15" customHeight="1" x14ac:dyDescent="0.25">
      <c r="A298" s="60" t="s">
        <v>17</v>
      </c>
      <c r="B298" s="58">
        <v>43282</v>
      </c>
      <c r="C298" s="61" t="s">
        <v>34</v>
      </c>
      <c r="D298" s="54" t="s">
        <v>7</v>
      </c>
      <c r="E298" s="54" t="s">
        <v>80</v>
      </c>
      <c r="F298" s="54" t="s">
        <v>81</v>
      </c>
      <c r="G298" s="46" t="s">
        <v>409</v>
      </c>
      <c r="H298" s="45">
        <v>860</v>
      </c>
      <c r="I298" s="45">
        <v>860</v>
      </c>
      <c r="J298" s="15">
        <v>860</v>
      </c>
      <c r="K298" s="45">
        <v>859.99</v>
      </c>
      <c r="L298" s="15">
        <v>0</v>
      </c>
      <c r="M298" s="15">
        <v>0</v>
      </c>
      <c r="N298" s="15">
        <v>0</v>
      </c>
      <c r="O298" s="15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1</v>
      </c>
      <c r="U298" s="44" t="s">
        <v>1</v>
      </c>
      <c r="V298" s="15">
        <v>0</v>
      </c>
      <c r="W298" s="2">
        <v>0</v>
      </c>
      <c r="X298" s="45" t="s">
        <v>1</v>
      </c>
      <c r="Y298" s="109" t="s">
        <v>1</v>
      </c>
      <c r="Z298" s="2" t="s">
        <v>1</v>
      </c>
      <c r="AA298" s="107" t="s">
        <v>1</v>
      </c>
      <c r="AB298" s="2" t="s">
        <v>1</v>
      </c>
    </row>
    <row r="299" spans="1:28" ht="30.15" customHeight="1" x14ac:dyDescent="0.25">
      <c r="A299" s="60" t="s">
        <v>17</v>
      </c>
      <c r="B299" s="58">
        <v>43282</v>
      </c>
      <c r="C299" s="61" t="s">
        <v>34</v>
      </c>
      <c r="D299" s="54" t="s">
        <v>7</v>
      </c>
      <c r="E299" s="54" t="s">
        <v>86</v>
      </c>
      <c r="F299" s="54" t="s">
        <v>81</v>
      </c>
      <c r="G299" s="46" t="s">
        <v>409</v>
      </c>
      <c r="H299" s="45">
        <v>860</v>
      </c>
      <c r="I299" s="45">
        <v>860</v>
      </c>
      <c r="J299" s="15">
        <v>860</v>
      </c>
      <c r="K299" s="45">
        <v>859.99</v>
      </c>
      <c r="L299" s="15">
        <v>0</v>
      </c>
      <c r="M299" s="15">
        <v>0</v>
      </c>
      <c r="N299" s="15">
        <v>0</v>
      </c>
      <c r="O299" s="15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1</v>
      </c>
      <c r="U299" s="44" t="s">
        <v>1</v>
      </c>
      <c r="V299" s="15">
        <v>0</v>
      </c>
      <c r="W299" s="2">
        <v>0</v>
      </c>
      <c r="X299" s="45" t="s">
        <v>1</v>
      </c>
      <c r="Y299" s="109" t="s">
        <v>1</v>
      </c>
      <c r="Z299" s="2" t="s">
        <v>1</v>
      </c>
      <c r="AA299" s="107" t="s">
        <v>1</v>
      </c>
      <c r="AB299" s="2" t="s">
        <v>1</v>
      </c>
    </row>
    <row r="300" spans="1:28" ht="30.15" customHeight="1" x14ac:dyDescent="0.25">
      <c r="A300" s="60" t="s">
        <v>17</v>
      </c>
      <c r="B300" s="58">
        <v>43282</v>
      </c>
      <c r="C300" s="61" t="s">
        <v>34</v>
      </c>
      <c r="D300" s="54" t="s">
        <v>7</v>
      </c>
      <c r="E300" s="54" t="s">
        <v>82</v>
      </c>
      <c r="F300" s="54" t="s">
        <v>81</v>
      </c>
      <c r="G300" s="46" t="s">
        <v>409</v>
      </c>
      <c r="H300" s="45">
        <v>860</v>
      </c>
      <c r="I300" s="45">
        <v>860</v>
      </c>
      <c r="J300" s="15">
        <v>860</v>
      </c>
      <c r="K300" s="45">
        <v>859.99</v>
      </c>
      <c r="L300" s="15">
        <v>0</v>
      </c>
      <c r="M300" s="15">
        <v>0</v>
      </c>
      <c r="N300" s="15">
        <v>0</v>
      </c>
      <c r="O300" s="15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1</v>
      </c>
      <c r="U300" s="44" t="s">
        <v>1</v>
      </c>
      <c r="V300" s="15">
        <v>0</v>
      </c>
      <c r="W300" s="2">
        <v>0</v>
      </c>
      <c r="X300" s="45" t="s">
        <v>1</v>
      </c>
      <c r="Y300" s="109" t="s">
        <v>1</v>
      </c>
      <c r="Z300" s="2" t="s">
        <v>1</v>
      </c>
      <c r="AA300" s="107" t="s">
        <v>1</v>
      </c>
      <c r="AB300" s="2" t="s">
        <v>1</v>
      </c>
    </row>
    <row r="301" spans="1:28" ht="30.15" customHeight="1" x14ac:dyDescent="0.25">
      <c r="A301" s="56" t="s">
        <v>17</v>
      </c>
      <c r="B301" s="58">
        <v>43282</v>
      </c>
      <c r="C301" s="58" t="s">
        <v>34</v>
      </c>
      <c r="D301" s="40" t="s">
        <v>7</v>
      </c>
      <c r="E301" s="40" t="s">
        <v>361</v>
      </c>
      <c r="F301" s="46" t="s">
        <v>362</v>
      </c>
      <c r="G301" s="46" t="s">
        <v>409</v>
      </c>
      <c r="H301" s="15">
        <v>970</v>
      </c>
      <c r="I301" s="15">
        <v>970</v>
      </c>
      <c r="J301" s="15">
        <v>970</v>
      </c>
      <c r="K301" s="15">
        <v>969.99</v>
      </c>
      <c r="L301" s="15">
        <v>0</v>
      </c>
      <c r="M301" s="15">
        <v>0</v>
      </c>
      <c r="N301" s="15">
        <v>0</v>
      </c>
      <c r="O301" s="15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1</v>
      </c>
      <c r="U301" s="44" t="s">
        <v>1</v>
      </c>
      <c r="V301" s="15">
        <v>0</v>
      </c>
      <c r="W301" s="15">
        <v>0</v>
      </c>
      <c r="X301" s="15" t="s">
        <v>1</v>
      </c>
      <c r="Y301" s="2" t="s">
        <v>1</v>
      </c>
      <c r="Z301" s="2" t="s">
        <v>1</v>
      </c>
      <c r="AA301" s="107" t="s">
        <v>1</v>
      </c>
      <c r="AB301" s="2" t="s">
        <v>1</v>
      </c>
    </row>
    <row r="302" spans="1:28" ht="30.15" customHeight="1" x14ac:dyDescent="0.25">
      <c r="A302" s="60" t="s">
        <v>17</v>
      </c>
      <c r="B302" s="58">
        <v>43282</v>
      </c>
      <c r="C302" s="58" t="s">
        <v>34</v>
      </c>
      <c r="D302" s="40" t="s">
        <v>7</v>
      </c>
      <c r="E302" s="40" t="s">
        <v>83</v>
      </c>
      <c r="F302" s="40" t="s">
        <v>84</v>
      </c>
      <c r="G302" s="46" t="s">
        <v>409</v>
      </c>
      <c r="H302" s="15">
        <v>850</v>
      </c>
      <c r="I302" s="15">
        <v>850</v>
      </c>
      <c r="J302" s="15">
        <v>850</v>
      </c>
      <c r="K302" s="15">
        <v>859.99</v>
      </c>
      <c r="L302" s="15">
        <v>0</v>
      </c>
      <c r="M302" s="15">
        <v>0</v>
      </c>
      <c r="N302" s="15">
        <v>0</v>
      </c>
      <c r="O302" s="15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1</v>
      </c>
      <c r="U302" s="44" t="s">
        <v>1</v>
      </c>
      <c r="V302" s="15">
        <v>0</v>
      </c>
      <c r="W302" s="15">
        <v>0</v>
      </c>
      <c r="X302" s="15" t="s">
        <v>1</v>
      </c>
      <c r="Y302" s="2" t="s">
        <v>1</v>
      </c>
      <c r="Z302" s="2" t="s">
        <v>1</v>
      </c>
      <c r="AA302" s="107" t="s">
        <v>1</v>
      </c>
      <c r="AB302" s="2" t="s">
        <v>1</v>
      </c>
    </row>
    <row r="303" spans="1:28" ht="30.15" customHeight="1" x14ac:dyDescent="0.25">
      <c r="A303" s="56" t="s">
        <v>17</v>
      </c>
      <c r="B303" s="58">
        <v>43282</v>
      </c>
      <c r="C303" s="58" t="s">
        <v>34</v>
      </c>
      <c r="D303" s="40" t="s">
        <v>7</v>
      </c>
      <c r="E303" s="40" t="s">
        <v>363</v>
      </c>
      <c r="F303" s="46" t="s">
        <v>84</v>
      </c>
      <c r="G303" s="46" t="s">
        <v>409</v>
      </c>
      <c r="H303" s="15">
        <v>850</v>
      </c>
      <c r="I303" s="15">
        <v>850</v>
      </c>
      <c r="J303" s="15">
        <v>850</v>
      </c>
      <c r="K303" s="15">
        <v>859.99</v>
      </c>
      <c r="L303" s="15">
        <v>0</v>
      </c>
      <c r="M303" s="15">
        <v>0</v>
      </c>
      <c r="N303" s="15">
        <v>0</v>
      </c>
      <c r="O303" s="15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1</v>
      </c>
      <c r="U303" s="44" t="s">
        <v>1</v>
      </c>
      <c r="V303" s="15">
        <v>0</v>
      </c>
      <c r="W303" s="15">
        <v>0</v>
      </c>
      <c r="X303" s="15" t="s">
        <v>1</v>
      </c>
      <c r="Y303" s="2" t="s">
        <v>1</v>
      </c>
      <c r="Z303" s="2" t="s">
        <v>1</v>
      </c>
      <c r="AA303" s="107" t="s">
        <v>1</v>
      </c>
      <c r="AB303" s="2" t="s">
        <v>1</v>
      </c>
    </row>
    <row r="304" spans="1:28" ht="30.15" customHeight="1" x14ac:dyDescent="0.25">
      <c r="A304" s="56" t="s">
        <v>17</v>
      </c>
      <c r="B304" s="58">
        <v>43282</v>
      </c>
      <c r="C304" s="58" t="s">
        <v>34</v>
      </c>
      <c r="D304" s="40" t="s">
        <v>7</v>
      </c>
      <c r="E304" s="40" t="s">
        <v>364</v>
      </c>
      <c r="F304" s="46" t="s">
        <v>84</v>
      </c>
      <c r="G304" s="46" t="s">
        <v>409</v>
      </c>
      <c r="H304" s="15">
        <v>850</v>
      </c>
      <c r="I304" s="15">
        <v>850</v>
      </c>
      <c r="J304" s="15">
        <v>850</v>
      </c>
      <c r="K304" s="15">
        <v>859.99</v>
      </c>
      <c r="L304" s="15">
        <v>0</v>
      </c>
      <c r="M304" s="15">
        <v>0</v>
      </c>
      <c r="N304" s="15">
        <v>0</v>
      </c>
      <c r="O304" s="15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1</v>
      </c>
      <c r="U304" s="44" t="s">
        <v>1</v>
      </c>
      <c r="V304" s="15">
        <v>0</v>
      </c>
      <c r="W304" s="15">
        <v>0</v>
      </c>
      <c r="X304" s="15" t="s">
        <v>1</v>
      </c>
      <c r="Y304" s="2" t="s">
        <v>1</v>
      </c>
      <c r="Z304" s="2" t="s">
        <v>1</v>
      </c>
      <c r="AA304" s="107" t="s">
        <v>1</v>
      </c>
      <c r="AB304" s="2" t="s">
        <v>1</v>
      </c>
    </row>
    <row r="305" spans="1:28" ht="30.15" customHeight="1" x14ac:dyDescent="0.25">
      <c r="A305" s="56" t="s">
        <v>17</v>
      </c>
      <c r="B305" s="58">
        <v>43282</v>
      </c>
      <c r="C305" s="58" t="s">
        <v>34</v>
      </c>
      <c r="D305" s="40" t="s">
        <v>7</v>
      </c>
      <c r="E305" s="40" t="s">
        <v>365</v>
      </c>
      <c r="F305" s="46" t="s">
        <v>366</v>
      </c>
      <c r="G305" s="46" t="s">
        <v>409</v>
      </c>
      <c r="H305" s="15">
        <v>960</v>
      </c>
      <c r="I305" s="15">
        <v>960</v>
      </c>
      <c r="J305" s="15">
        <v>960</v>
      </c>
      <c r="K305" s="15">
        <v>959.99</v>
      </c>
      <c r="L305" s="15">
        <v>0</v>
      </c>
      <c r="M305" s="15">
        <v>0</v>
      </c>
      <c r="N305" s="15">
        <v>0</v>
      </c>
      <c r="O305" s="15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1</v>
      </c>
      <c r="U305" s="44" t="s">
        <v>1</v>
      </c>
      <c r="V305" s="15">
        <v>0</v>
      </c>
      <c r="W305" s="15">
        <v>0</v>
      </c>
      <c r="X305" s="15" t="s">
        <v>1</v>
      </c>
      <c r="Y305" s="2" t="s">
        <v>1</v>
      </c>
      <c r="Z305" s="2" t="s">
        <v>1</v>
      </c>
      <c r="AA305" s="107" t="s">
        <v>1</v>
      </c>
      <c r="AB305" s="2" t="s">
        <v>1</v>
      </c>
    </row>
    <row r="306" spans="1:28" ht="30.15" customHeight="1" x14ac:dyDescent="0.25">
      <c r="A306" s="56" t="s">
        <v>17</v>
      </c>
      <c r="B306" s="58">
        <v>43282</v>
      </c>
      <c r="C306" s="58" t="s">
        <v>34</v>
      </c>
      <c r="D306" s="40" t="s">
        <v>7</v>
      </c>
      <c r="E306" s="40" t="s">
        <v>367</v>
      </c>
      <c r="F306" s="40" t="s">
        <v>366</v>
      </c>
      <c r="G306" s="46" t="s">
        <v>409</v>
      </c>
      <c r="H306" s="15">
        <v>960</v>
      </c>
      <c r="I306" s="15">
        <v>960</v>
      </c>
      <c r="J306" s="15">
        <v>960</v>
      </c>
      <c r="K306" s="15">
        <v>959.99</v>
      </c>
      <c r="L306" s="15">
        <v>0</v>
      </c>
      <c r="M306" s="15">
        <v>0</v>
      </c>
      <c r="N306" s="15">
        <v>0</v>
      </c>
      <c r="O306" s="15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1</v>
      </c>
      <c r="U306" s="44" t="s">
        <v>1</v>
      </c>
      <c r="V306" s="15">
        <v>0</v>
      </c>
      <c r="W306" s="15">
        <v>0</v>
      </c>
      <c r="X306" s="15" t="s">
        <v>1</v>
      </c>
      <c r="Y306" s="2" t="s">
        <v>1</v>
      </c>
      <c r="Z306" s="2" t="s">
        <v>1</v>
      </c>
      <c r="AA306" s="107" t="s">
        <v>1</v>
      </c>
      <c r="AB306" s="2" t="s">
        <v>1</v>
      </c>
    </row>
    <row r="307" spans="1:28" ht="30.15" customHeight="1" x14ac:dyDescent="0.25">
      <c r="A307" s="56" t="s">
        <v>17</v>
      </c>
      <c r="B307" s="58">
        <v>43282</v>
      </c>
      <c r="C307" s="58" t="s">
        <v>34</v>
      </c>
      <c r="D307" s="40" t="s">
        <v>7</v>
      </c>
      <c r="E307" s="40" t="s">
        <v>368</v>
      </c>
      <c r="F307" s="46" t="s">
        <v>366</v>
      </c>
      <c r="G307" s="46" t="s">
        <v>409</v>
      </c>
      <c r="H307" s="15">
        <v>960</v>
      </c>
      <c r="I307" s="15">
        <v>960</v>
      </c>
      <c r="J307" s="15">
        <v>960</v>
      </c>
      <c r="K307" s="15">
        <v>959.99</v>
      </c>
      <c r="L307" s="15">
        <v>0</v>
      </c>
      <c r="M307" s="15">
        <v>0</v>
      </c>
      <c r="N307" s="15">
        <v>0</v>
      </c>
      <c r="O307" s="15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1</v>
      </c>
      <c r="U307" s="44" t="s">
        <v>1</v>
      </c>
      <c r="V307" s="15">
        <v>0</v>
      </c>
      <c r="W307" s="15">
        <v>0</v>
      </c>
      <c r="X307" s="15" t="s">
        <v>1</v>
      </c>
      <c r="Y307" s="2" t="s">
        <v>1</v>
      </c>
      <c r="Z307" s="2" t="s">
        <v>1</v>
      </c>
      <c r="AA307" s="107" t="s">
        <v>1</v>
      </c>
      <c r="AB307" s="2" t="s">
        <v>1</v>
      </c>
    </row>
    <row r="308" spans="1:28" ht="30.15" customHeight="1" x14ac:dyDescent="0.25">
      <c r="A308" s="56" t="s">
        <v>17</v>
      </c>
      <c r="B308" s="58">
        <v>43282</v>
      </c>
      <c r="C308" s="58" t="s">
        <v>34</v>
      </c>
      <c r="D308" s="40" t="s">
        <v>7</v>
      </c>
      <c r="E308" s="40" t="s">
        <v>369</v>
      </c>
      <c r="F308" s="46" t="s">
        <v>370</v>
      </c>
      <c r="G308" s="46" t="s">
        <v>409</v>
      </c>
      <c r="H308" s="15">
        <v>950</v>
      </c>
      <c r="I308" s="15">
        <v>950</v>
      </c>
      <c r="J308" s="15">
        <v>950</v>
      </c>
      <c r="K308" s="15">
        <v>949.99</v>
      </c>
      <c r="L308" s="15">
        <v>0</v>
      </c>
      <c r="M308" s="15">
        <v>0</v>
      </c>
      <c r="N308" s="15">
        <v>0</v>
      </c>
      <c r="O308" s="15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1</v>
      </c>
      <c r="U308" s="44" t="s">
        <v>1</v>
      </c>
      <c r="V308" s="15">
        <v>0</v>
      </c>
      <c r="W308" s="15">
        <v>0</v>
      </c>
      <c r="X308" s="15" t="s">
        <v>1</v>
      </c>
      <c r="Y308" s="2" t="s">
        <v>1</v>
      </c>
      <c r="Z308" s="2" t="s">
        <v>1</v>
      </c>
      <c r="AA308" s="107" t="s">
        <v>1</v>
      </c>
      <c r="AB308" s="2" t="s">
        <v>1</v>
      </c>
    </row>
    <row r="309" spans="1:28" ht="30.15" customHeight="1" x14ac:dyDescent="0.25">
      <c r="A309" s="56" t="s">
        <v>17</v>
      </c>
      <c r="B309" s="58">
        <v>43282</v>
      </c>
      <c r="C309" s="58" t="s">
        <v>34</v>
      </c>
      <c r="D309" s="40" t="s">
        <v>7</v>
      </c>
      <c r="E309" s="40" t="s">
        <v>371</v>
      </c>
      <c r="F309" s="46" t="s">
        <v>372</v>
      </c>
      <c r="G309" s="46" t="s">
        <v>409</v>
      </c>
      <c r="H309" s="15">
        <v>1070</v>
      </c>
      <c r="I309" s="15">
        <v>1070</v>
      </c>
      <c r="J309" s="15">
        <v>1070</v>
      </c>
      <c r="K309" s="15">
        <v>1069.99</v>
      </c>
      <c r="L309" s="15">
        <v>0</v>
      </c>
      <c r="M309" s="15">
        <v>0</v>
      </c>
      <c r="N309" s="15">
        <v>0</v>
      </c>
      <c r="O309" s="15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1</v>
      </c>
      <c r="U309" s="44" t="s">
        <v>1</v>
      </c>
      <c r="V309" s="15">
        <v>0</v>
      </c>
      <c r="W309" s="15">
        <v>0</v>
      </c>
      <c r="X309" s="42" t="s">
        <v>1</v>
      </c>
      <c r="Y309" s="2" t="s">
        <v>1</v>
      </c>
      <c r="Z309" s="2" t="s">
        <v>1</v>
      </c>
      <c r="AA309" s="107" t="s">
        <v>1</v>
      </c>
      <c r="AB309" s="2" t="s">
        <v>1</v>
      </c>
    </row>
    <row r="310" spans="1:28" ht="30.15" customHeight="1" x14ac:dyDescent="0.25">
      <c r="A310" s="56" t="s">
        <v>17</v>
      </c>
      <c r="B310" s="58">
        <v>43282</v>
      </c>
      <c r="C310" s="58" t="s">
        <v>34</v>
      </c>
      <c r="D310" s="40" t="s">
        <v>7</v>
      </c>
      <c r="E310" s="40" t="s">
        <v>388</v>
      </c>
      <c r="F310" s="46" t="s">
        <v>389</v>
      </c>
      <c r="G310" s="46" t="s">
        <v>411</v>
      </c>
      <c r="H310" s="15">
        <v>1050</v>
      </c>
      <c r="I310" s="15">
        <v>1050</v>
      </c>
      <c r="J310" s="15">
        <v>1050</v>
      </c>
      <c r="K310" s="15">
        <v>1049.99</v>
      </c>
      <c r="L310" s="15">
        <v>0</v>
      </c>
      <c r="M310" s="15">
        <v>0</v>
      </c>
      <c r="N310" s="15">
        <v>0</v>
      </c>
      <c r="O310" s="15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1</v>
      </c>
      <c r="U310" s="44" t="s">
        <v>1</v>
      </c>
      <c r="V310" s="15">
        <v>0</v>
      </c>
      <c r="W310" s="15">
        <v>0</v>
      </c>
      <c r="X310" s="42" t="s">
        <v>1</v>
      </c>
      <c r="Y310" s="2" t="s">
        <v>1</v>
      </c>
      <c r="Z310" s="2" t="s">
        <v>1</v>
      </c>
      <c r="AA310" s="107" t="s">
        <v>1</v>
      </c>
      <c r="AB310" s="2" t="s">
        <v>1</v>
      </c>
    </row>
    <row r="311" spans="1:28" ht="30.15" customHeight="1" x14ac:dyDescent="0.25">
      <c r="A311" s="59" t="s">
        <v>18</v>
      </c>
      <c r="B311" s="57" t="s">
        <v>1</v>
      </c>
      <c r="C311" s="58" t="s">
        <v>34</v>
      </c>
      <c r="D311" s="40" t="s">
        <v>7</v>
      </c>
      <c r="E311" s="40" t="s">
        <v>122</v>
      </c>
      <c r="F311" s="40" t="s">
        <v>123</v>
      </c>
      <c r="G311" s="46" t="s">
        <v>409</v>
      </c>
      <c r="H311" s="15">
        <v>760</v>
      </c>
      <c r="I311" s="15">
        <v>600</v>
      </c>
      <c r="J311" s="15">
        <v>760</v>
      </c>
      <c r="K311" s="15">
        <v>500</v>
      </c>
      <c r="L311" s="15">
        <v>0</v>
      </c>
      <c r="M311" s="15">
        <v>0</v>
      </c>
      <c r="N311" s="15">
        <v>0</v>
      </c>
      <c r="O311" s="15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1</v>
      </c>
      <c r="U311" s="44" t="s">
        <v>1</v>
      </c>
      <c r="V311" s="2">
        <v>500</v>
      </c>
      <c r="W311" s="2">
        <v>500</v>
      </c>
      <c r="X311" s="42" t="s">
        <v>1</v>
      </c>
      <c r="Y311" s="2" t="s">
        <v>1</v>
      </c>
      <c r="Z311" s="2" t="s">
        <v>1</v>
      </c>
      <c r="AA311" s="107" t="s">
        <v>1</v>
      </c>
      <c r="AB311" s="2" t="s">
        <v>1</v>
      </c>
    </row>
    <row r="312" spans="1:28" ht="30.15" customHeight="1" x14ac:dyDescent="0.25">
      <c r="A312" s="56" t="s">
        <v>17</v>
      </c>
      <c r="B312" s="57">
        <v>43405</v>
      </c>
      <c r="C312" s="58" t="s">
        <v>34</v>
      </c>
      <c r="D312" s="40" t="s">
        <v>7</v>
      </c>
      <c r="E312" s="40" t="s">
        <v>124</v>
      </c>
      <c r="F312" s="40" t="s">
        <v>123</v>
      </c>
      <c r="G312" s="46" t="s">
        <v>409</v>
      </c>
      <c r="H312" s="15">
        <v>760</v>
      </c>
      <c r="I312" s="15">
        <v>600</v>
      </c>
      <c r="J312" s="15">
        <v>760</v>
      </c>
      <c r="K312" s="15">
        <v>500</v>
      </c>
      <c r="L312" s="15">
        <v>0</v>
      </c>
      <c r="M312" s="15">
        <v>0</v>
      </c>
      <c r="N312" s="15">
        <v>0</v>
      </c>
      <c r="O312" s="15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1</v>
      </c>
      <c r="U312" s="44" t="s">
        <v>1</v>
      </c>
      <c r="V312" s="2">
        <v>500</v>
      </c>
      <c r="W312" s="2">
        <v>500</v>
      </c>
      <c r="X312" s="42" t="s">
        <v>1</v>
      </c>
      <c r="Y312" s="2" t="s">
        <v>1</v>
      </c>
      <c r="Z312" s="2" t="s">
        <v>1</v>
      </c>
      <c r="AA312" s="107" t="s">
        <v>1</v>
      </c>
      <c r="AB312" s="2" t="s">
        <v>1</v>
      </c>
    </row>
    <row r="313" spans="1:28" ht="30.15" customHeight="1" x14ac:dyDescent="0.25">
      <c r="A313" s="56" t="s">
        <v>17</v>
      </c>
      <c r="B313" s="57">
        <v>43405</v>
      </c>
      <c r="C313" s="58" t="s">
        <v>34</v>
      </c>
      <c r="D313" s="40" t="s">
        <v>7</v>
      </c>
      <c r="E313" s="40" t="s">
        <v>125</v>
      </c>
      <c r="F313" s="40" t="s">
        <v>126</v>
      </c>
      <c r="G313" s="46" t="s">
        <v>409</v>
      </c>
      <c r="H313" s="15">
        <v>910</v>
      </c>
      <c r="I313" s="15">
        <v>800</v>
      </c>
      <c r="J313" s="15">
        <v>910</v>
      </c>
      <c r="K313" s="15">
        <v>930</v>
      </c>
      <c r="L313" s="15">
        <v>0</v>
      </c>
      <c r="M313" s="15">
        <v>0</v>
      </c>
      <c r="N313" s="15">
        <v>0</v>
      </c>
      <c r="O313" s="15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1</v>
      </c>
      <c r="U313" s="44" t="s">
        <v>1</v>
      </c>
      <c r="V313" s="15">
        <v>780</v>
      </c>
      <c r="W313" s="2">
        <v>930</v>
      </c>
      <c r="X313" s="42" t="s">
        <v>1</v>
      </c>
      <c r="Y313" s="2" t="s">
        <v>1</v>
      </c>
      <c r="Z313" s="2" t="s">
        <v>1</v>
      </c>
      <c r="AA313" s="107" t="s">
        <v>1</v>
      </c>
      <c r="AB313" s="2" t="s">
        <v>1</v>
      </c>
    </row>
    <row r="314" spans="1:28" ht="30.15" customHeight="1" x14ac:dyDescent="0.25">
      <c r="A314" s="56" t="s">
        <v>17</v>
      </c>
      <c r="B314" s="57">
        <v>43252</v>
      </c>
      <c r="C314" s="58" t="s">
        <v>34</v>
      </c>
      <c r="D314" s="40" t="s">
        <v>7</v>
      </c>
      <c r="E314" s="40" t="s">
        <v>234</v>
      </c>
      <c r="F314" s="40" t="s">
        <v>126</v>
      </c>
      <c r="G314" s="46" t="s">
        <v>409</v>
      </c>
      <c r="H314" s="15">
        <v>910</v>
      </c>
      <c r="I314" s="15">
        <v>800</v>
      </c>
      <c r="J314" s="15">
        <v>910</v>
      </c>
      <c r="K314" s="15">
        <v>930</v>
      </c>
      <c r="L314" s="15">
        <v>0</v>
      </c>
      <c r="M314" s="15">
        <v>0</v>
      </c>
      <c r="N314" s="15">
        <v>0</v>
      </c>
      <c r="O314" s="15">
        <v>0</v>
      </c>
      <c r="P314" s="2">
        <v>0</v>
      </c>
      <c r="Q314" s="2">
        <v>0</v>
      </c>
      <c r="R314" s="2">
        <v>0</v>
      </c>
      <c r="S314" s="2">
        <v>0</v>
      </c>
      <c r="T314" s="2" t="s">
        <v>1</v>
      </c>
      <c r="U314" s="44" t="s">
        <v>1</v>
      </c>
      <c r="V314" s="15">
        <v>780</v>
      </c>
      <c r="W314" s="2">
        <v>930</v>
      </c>
      <c r="X314" s="42" t="s">
        <v>1</v>
      </c>
      <c r="Y314" s="2" t="s">
        <v>1</v>
      </c>
      <c r="Z314" s="2" t="s">
        <v>1</v>
      </c>
      <c r="AA314" s="107" t="s">
        <v>1</v>
      </c>
      <c r="AB314" s="2" t="s">
        <v>1</v>
      </c>
    </row>
    <row r="315" spans="1:28" ht="30.15" customHeight="1" x14ac:dyDescent="0.25">
      <c r="A315" s="59" t="s">
        <v>18</v>
      </c>
      <c r="B315" s="57" t="s">
        <v>1</v>
      </c>
      <c r="C315" s="58" t="s">
        <v>34</v>
      </c>
      <c r="D315" s="40" t="s">
        <v>7</v>
      </c>
      <c r="E315" s="40" t="s">
        <v>235</v>
      </c>
      <c r="F315" s="40" t="s">
        <v>126</v>
      </c>
      <c r="G315" s="46" t="s">
        <v>422</v>
      </c>
      <c r="H315" s="15">
        <v>910</v>
      </c>
      <c r="I315" s="15">
        <v>800</v>
      </c>
      <c r="J315" s="15">
        <v>910</v>
      </c>
      <c r="K315" s="15">
        <v>930</v>
      </c>
      <c r="L315" s="15">
        <v>0</v>
      </c>
      <c r="M315" s="15">
        <v>0</v>
      </c>
      <c r="N315" s="15">
        <v>0</v>
      </c>
      <c r="O315" s="15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1</v>
      </c>
      <c r="U315" s="44" t="s">
        <v>1</v>
      </c>
      <c r="V315" s="15">
        <v>780</v>
      </c>
      <c r="W315" s="2">
        <v>930</v>
      </c>
      <c r="X315" s="42" t="s">
        <v>1</v>
      </c>
      <c r="Y315" s="2" t="s">
        <v>1</v>
      </c>
      <c r="Z315" s="2" t="s">
        <v>1</v>
      </c>
      <c r="AA315" s="107" t="s">
        <v>1</v>
      </c>
      <c r="AB315" s="2" t="s">
        <v>1</v>
      </c>
    </row>
    <row r="316" spans="1:28" ht="30.15" customHeight="1" x14ac:dyDescent="0.25">
      <c r="A316" s="59" t="s">
        <v>18</v>
      </c>
      <c r="B316" s="57" t="s">
        <v>1</v>
      </c>
      <c r="C316" s="58" t="s">
        <v>34</v>
      </c>
      <c r="D316" s="116" t="s">
        <v>7</v>
      </c>
      <c r="E316" s="116" t="s">
        <v>265</v>
      </c>
      <c r="F316" s="116" t="s">
        <v>269</v>
      </c>
      <c r="G316" s="46" t="s">
        <v>409</v>
      </c>
      <c r="H316" s="117">
        <f t="shared" ref="H316:H342" si="122">J316</f>
        <v>456</v>
      </c>
      <c r="I316" s="15">
        <v>610</v>
      </c>
      <c r="J316" s="117">
        <f t="shared" ref="J316:J338" si="123">K316*0.95</f>
        <v>456</v>
      </c>
      <c r="K316" s="117">
        <v>480</v>
      </c>
      <c r="L316" s="15">
        <v>0</v>
      </c>
      <c r="M316" s="15">
        <v>0</v>
      </c>
      <c r="N316" s="15">
        <v>0</v>
      </c>
      <c r="O316" s="15">
        <v>0</v>
      </c>
      <c r="P316" s="121">
        <f t="shared" ref="P316:P323" si="124">IF((K316-(20*24))&lt;0,0,(K316-(20*24)))</f>
        <v>0</v>
      </c>
      <c r="Q316" s="121">
        <f t="shared" ref="Q316:Q323" si="125">IF((K316-(20*24))&lt;0,0,(K316-(20*24)))</f>
        <v>0</v>
      </c>
      <c r="R316" s="121">
        <f t="shared" ref="R316:R323" si="126">IF((K316-(30*24))&lt;0,0,(K316-(30*24)))</f>
        <v>0</v>
      </c>
      <c r="S316" s="121">
        <f t="shared" ref="S316:S323" si="127">IF((K316-(30*24))&lt;0,0,(K316-(30*24)))</f>
        <v>0</v>
      </c>
      <c r="T316" s="121">
        <f t="shared" ref="T316:T323" si="128">IF((K316-(40*24))&lt;0,0,(K316-(40*24)))</f>
        <v>0</v>
      </c>
      <c r="U316" s="121">
        <f t="shared" ref="U316:U323" si="129">IF((K316-(40*24))&lt;0,0,(K316-(40*24)))</f>
        <v>0</v>
      </c>
      <c r="V316" s="117">
        <v>330</v>
      </c>
      <c r="W316" s="117">
        <v>480</v>
      </c>
      <c r="X316" s="42" t="s">
        <v>1</v>
      </c>
      <c r="Y316" s="2" t="s">
        <v>1</v>
      </c>
      <c r="Z316" s="2" t="s">
        <v>1</v>
      </c>
      <c r="AA316" s="107" t="s">
        <v>1</v>
      </c>
      <c r="AB316" s="2" t="s">
        <v>1</v>
      </c>
    </row>
    <row r="317" spans="1:28" ht="30.15" customHeight="1" x14ac:dyDescent="0.25">
      <c r="A317" s="59" t="s">
        <v>18</v>
      </c>
      <c r="B317" s="57" t="s">
        <v>1</v>
      </c>
      <c r="C317" s="58" t="s">
        <v>34</v>
      </c>
      <c r="D317" s="116" t="s">
        <v>7</v>
      </c>
      <c r="E317" s="116" t="s">
        <v>266</v>
      </c>
      <c r="F317" s="116" t="s">
        <v>269</v>
      </c>
      <c r="G317" s="46" t="s">
        <v>409</v>
      </c>
      <c r="H317" s="117">
        <f t="shared" si="122"/>
        <v>456</v>
      </c>
      <c r="I317" s="15">
        <v>610</v>
      </c>
      <c r="J317" s="117">
        <f t="shared" si="123"/>
        <v>456</v>
      </c>
      <c r="K317" s="117">
        <v>480</v>
      </c>
      <c r="L317" s="15">
        <v>0</v>
      </c>
      <c r="M317" s="15">
        <v>0</v>
      </c>
      <c r="N317" s="15">
        <v>0</v>
      </c>
      <c r="O317" s="15">
        <v>0</v>
      </c>
      <c r="P317" s="121">
        <f t="shared" si="124"/>
        <v>0</v>
      </c>
      <c r="Q317" s="121">
        <f t="shared" si="125"/>
        <v>0</v>
      </c>
      <c r="R317" s="121">
        <f t="shared" si="126"/>
        <v>0</v>
      </c>
      <c r="S317" s="121">
        <f t="shared" si="127"/>
        <v>0</v>
      </c>
      <c r="T317" s="121">
        <f t="shared" si="128"/>
        <v>0</v>
      </c>
      <c r="U317" s="121">
        <f t="shared" si="129"/>
        <v>0</v>
      </c>
      <c r="V317" s="117">
        <v>330</v>
      </c>
      <c r="W317" s="117">
        <v>480</v>
      </c>
      <c r="X317" s="42" t="s">
        <v>1</v>
      </c>
      <c r="Y317" s="2" t="s">
        <v>1</v>
      </c>
      <c r="Z317" s="2" t="s">
        <v>1</v>
      </c>
      <c r="AA317" s="107" t="s">
        <v>1</v>
      </c>
      <c r="AB317" s="2" t="s">
        <v>1</v>
      </c>
    </row>
    <row r="318" spans="1:28" ht="30.15" customHeight="1" x14ac:dyDescent="0.3">
      <c r="A318" s="59" t="s">
        <v>18</v>
      </c>
      <c r="B318" s="57" t="s">
        <v>1</v>
      </c>
      <c r="C318" s="58" t="s">
        <v>34</v>
      </c>
      <c r="D318" s="116" t="s">
        <v>7</v>
      </c>
      <c r="E318" s="116" t="s">
        <v>267</v>
      </c>
      <c r="F318" s="116" t="s">
        <v>270</v>
      </c>
      <c r="G318" s="46" t="s">
        <v>409</v>
      </c>
      <c r="H318" s="117">
        <f t="shared" si="122"/>
        <v>646</v>
      </c>
      <c r="I318" s="15">
        <v>820</v>
      </c>
      <c r="J318" s="117">
        <f t="shared" si="123"/>
        <v>646</v>
      </c>
      <c r="K318" s="117">
        <v>680</v>
      </c>
      <c r="L318" s="15">
        <v>0</v>
      </c>
      <c r="M318" s="15">
        <v>0</v>
      </c>
      <c r="N318" s="15">
        <v>0</v>
      </c>
      <c r="O318" s="15">
        <v>0</v>
      </c>
      <c r="P318" s="121">
        <f t="shared" si="124"/>
        <v>200</v>
      </c>
      <c r="Q318" s="121">
        <f t="shared" si="125"/>
        <v>200</v>
      </c>
      <c r="R318" s="121">
        <f t="shared" si="126"/>
        <v>0</v>
      </c>
      <c r="S318" s="121">
        <f t="shared" si="127"/>
        <v>0</v>
      </c>
      <c r="T318" s="121">
        <f t="shared" si="128"/>
        <v>0</v>
      </c>
      <c r="U318" s="121">
        <f t="shared" si="129"/>
        <v>0</v>
      </c>
      <c r="V318" s="117">
        <v>530</v>
      </c>
      <c r="W318" s="117">
        <v>680</v>
      </c>
      <c r="X318" s="42" t="s">
        <v>1</v>
      </c>
      <c r="Y318" s="53" t="s">
        <v>1</v>
      </c>
      <c r="Z318" s="2" t="s">
        <v>1</v>
      </c>
      <c r="AA318" s="107" t="s">
        <v>1</v>
      </c>
      <c r="AB318" s="2" t="s">
        <v>1</v>
      </c>
    </row>
    <row r="319" spans="1:28" ht="30.15" customHeight="1" x14ac:dyDescent="0.3">
      <c r="A319" s="56" t="s">
        <v>17</v>
      </c>
      <c r="B319" s="57">
        <v>43405</v>
      </c>
      <c r="C319" s="58" t="s">
        <v>34</v>
      </c>
      <c r="D319" s="116" t="s">
        <v>7</v>
      </c>
      <c r="E319" s="116" t="s">
        <v>268</v>
      </c>
      <c r="F319" s="116" t="s">
        <v>270</v>
      </c>
      <c r="G319" s="46" t="s">
        <v>409</v>
      </c>
      <c r="H319" s="117">
        <f t="shared" si="122"/>
        <v>646</v>
      </c>
      <c r="I319" s="15">
        <v>820</v>
      </c>
      <c r="J319" s="117">
        <f t="shared" si="123"/>
        <v>646</v>
      </c>
      <c r="K319" s="117">
        <v>680</v>
      </c>
      <c r="L319" s="15">
        <v>0</v>
      </c>
      <c r="M319" s="15">
        <v>0</v>
      </c>
      <c r="N319" s="15">
        <v>0</v>
      </c>
      <c r="O319" s="15">
        <v>0</v>
      </c>
      <c r="P319" s="121">
        <f t="shared" si="124"/>
        <v>200</v>
      </c>
      <c r="Q319" s="121">
        <f t="shared" si="125"/>
        <v>200</v>
      </c>
      <c r="R319" s="121">
        <f t="shared" si="126"/>
        <v>0</v>
      </c>
      <c r="S319" s="121">
        <f t="shared" si="127"/>
        <v>0</v>
      </c>
      <c r="T319" s="121">
        <f t="shared" si="128"/>
        <v>0</v>
      </c>
      <c r="U319" s="121">
        <f t="shared" si="129"/>
        <v>0</v>
      </c>
      <c r="V319" s="117">
        <v>530</v>
      </c>
      <c r="W319" s="117">
        <v>680</v>
      </c>
      <c r="X319" s="42" t="s">
        <v>1</v>
      </c>
      <c r="Y319" s="53" t="s">
        <v>1</v>
      </c>
      <c r="Z319" s="2" t="s">
        <v>1</v>
      </c>
      <c r="AA319" s="107" t="s">
        <v>1</v>
      </c>
      <c r="AB319" s="2" t="s">
        <v>1</v>
      </c>
    </row>
    <row r="320" spans="1:28" ht="30.15" customHeight="1" x14ac:dyDescent="0.3">
      <c r="A320" s="59" t="s">
        <v>18</v>
      </c>
      <c r="B320" s="57" t="s">
        <v>1</v>
      </c>
      <c r="C320" s="58" t="s">
        <v>34</v>
      </c>
      <c r="D320" s="116" t="s">
        <v>7</v>
      </c>
      <c r="E320" s="116" t="s">
        <v>375</v>
      </c>
      <c r="F320" s="116" t="s">
        <v>373</v>
      </c>
      <c r="G320" s="46" t="s">
        <v>409</v>
      </c>
      <c r="H320" s="117">
        <f t="shared" si="122"/>
        <v>750</v>
      </c>
      <c r="I320" s="15">
        <v>750</v>
      </c>
      <c r="J320" s="117">
        <v>750</v>
      </c>
      <c r="K320" s="117">
        <v>790</v>
      </c>
      <c r="L320" s="15">
        <v>0</v>
      </c>
      <c r="M320" s="15">
        <v>0</v>
      </c>
      <c r="N320" s="15">
        <v>0</v>
      </c>
      <c r="O320" s="15">
        <v>0</v>
      </c>
      <c r="P320" s="121">
        <f t="shared" si="124"/>
        <v>310</v>
      </c>
      <c r="Q320" s="121">
        <f t="shared" si="125"/>
        <v>310</v>
      </c>
      <c r="R320" s="121">
        <f t="shared" si="126"/>
        <v>70</v>
      </c>
      <c r="S320" s="121">
        <f t="shared" si="127"/>
        <v>70</v>
      </c>
      <c r="T320" s="121">
        <f t="shared" si="128"/>
        <v>0</v>
      </c>
      <c r="U320" s="121">
        <f t="shared" si="129"/>
        <v>0</v>
      </c>
      <c r="V320" s="117">
        <v>710</v>
      </c>
      <c r="W320" s="117">
        <v>790</v>
      </c>
      <c r="X320" s="42" t="s">
        <v>1</v>
      </c>
      <c r="Y320" s="53" t="s">
        <v>1</v>
      </c>
      <c r="Z320" s="2" t="s">
        <v>1</v>
      </c>
      <c r="AA320" s="107" t="s">
        <v>1</v>
      </c>
      <c r="AB320" s="2" t="s">
        <v>1</v>
      </c>
    </row>
    <row r="321" spans="1:28" ht="30.15" customHeight="1" x14ac:dyDescent="0.3">
      <c r="A321" s="59" t="s">
        <v>18</v>
      </c>
      <c r="B321" s="57" t="s">
        <v>1</v>
      </c>
      <c r="C321" s="58" t="s">
        <v>34</v>
      </c>
      <c r="D321" s="116" t="s">
        <v>7</v>
      </c>
      <c r="E321" s="116" t="s">
        <v>376</v>
      </c>
      <c r="F321" s="116" t="s">
        <v>373</v>
      </c>
      <c r="G321" s="46" t="s">
        <v>409</v>
      </c>
      <c r="H321" s="117">
        <f t="shared" si="122"/>
        <v>750</v>
      </c>
      <c r="I321" s="15">
        <v>750</v>
      </c>
      <c r="J321" s="117">
        <v>750</v>
      </c>
      <c r="K321" s="117">
        <v>790</v>
      </c>
      <c r="L321" s="15">
        <v>0</v>
      </c>
      <c r="M321" s="15">
        <v>0</v>
      </c>
      <c r="N321" s="15">
        <v>0</v>
      </c>
      <c r="O321" s="15">
        <v>0</v>
      </c>
      <c r="P321" s="121">
        <f t="shared" si="124"/>
        <v>310</v>
      </c>
      <c r="Q321" s="121">
        <f t="shared" si="125"/>
        <v>310</v>
      </c>
      <c r="R321" s="121">
        <f t="shared" si="126"/>
        <v>70</v>
      </c>
      <c r="S321" s="121">
        <f t="shared" si="127"/>
        <v>70</v>
      </c>
      <c r="T321" s="121">
        <f t="shared" si="128"/>
        <v>0</v>
      </c>
      <c r="U321" s="121">
        <f t="shared" si="129"/>
        <v>0</v>
      </c>
      <c r="V321" s="117">
        <v>710</v>
      </c>
      <c r="W321" s="117">
        <v>790</v>
      </c>
      <c r="X321" s="42" t="s">
        <v>1</v>
      </c>
      <c r="Y321" s="53" t="s">
        <v>1</v>
      </c>
      <c r="Z321" s="2" t="s">
        <v>1</v>
      </c>
      <c r="AA321" s="107" t="s">
        <v>1</v>
      </c>
      <c r="AB321" s="2" t="s">
        <v>1</v>
      </c>
    </row>
    <row r="322" spans="1:28" ht="30.15" customHeight="1" x14ac:dyDescent="0.3">
      <c r="A322" s="59" t="s">
        <v>18</v>
      </c>
      <c r="B322" s="57" t="s">
        <v>1</v>
      </c>
      <c r="C322" s="58" t="s">
        <v>34</v>
      </c>
      <c r="D322" s="116" t="s">
        <v>7</v>
      </c>
      <c r="E322" s="116" t="s">
        <v>377</v>
      </c>
      <c r="F322" s="116" t="s">
        <v>374</v>
      </c>
      <c r="G322" s="46" t="s">
        <v>409</v>
      </c>
      <c r="H322" s="117">
        <f t="shared" si="122"/>
        <v>874</v>
      </c>
      <c r="I322" s="15">
        <v>880</v>
      </c>
      <c r="J322" s="117">
        <f t="shared" si="123"/>
        <v>874</v>
      </c>
      <c r="K322" s="117">
        <v>920</v>
      </c>
      <c r="L322" s="15">
        <v>0</v>
      </c>
      <c r="M322" s="15">
        <v>0</v>
      </c>
      <c r="N322" s="15">
        <v>0</v>
      </c>
      <c r="O322" s="15">
        <v>0</v>
      </c>
      <c r="P322" s="121">
        <f t="shared" si="124"/>
        <v>440</v>
      </c>
      <c r="Q322" s="121">
        <f t="shared" si="125"/>
        <v>440</v>
      </c>
      <c r="R322" s="121">
        <f t="shared" si="126"/>
        <v>200</v>
      </c>
      <c r="S322" s="121">
        <f t="shared" si="127"/>
        <v>200</v>
      </c>
      <c r="T322" s="121">
        <f t="shared" si="128"/>
        <v>0</v>
      </c>
      <c r="U322" s="121">
        <f t="shared" si="129"/>
        <v>0</v>
      </c>
      <c r="V322" s="117">
        <v>850</v>
      </c>
      <c r="W322" s="117">
        <v>920</v>
      </c>
      <c r="X322" s="42" t="s">
        <v>1</v>
      </c>
      <c r="Y322" s="53" t="s">
        <v>1</v>
      </c>
      <c r="Z322" s="2" t="s">
        <v>1</v>
      </c>
      <c r="AA322" s="107" t="s">
        <v>1</v>
      </c>
      <c r="AB322" s="2" t="s">
        <v>1</v>
      </c>
    </row>
    <row r="323" spans="1:28" ht="30.15" customHeight="1" x14ac:dyDescent="0.3">
      <c r="A323" s="59" t="s">
        <v>18</v>
      </c>
      <c r="B323" s="57" t="s">
        <v>1</v>
      </c>
      <c r="C323" s="58" t="s">
        <v>34</v>
      </c>
      <c r="D323" s="116" t="s">
        <v>7</v>
      </c>
      <c r="E323" s="116" t="s">
        <v>378</v>
      </c>
      <c r="F323" s="116" t="s">
        <v>374</v>
      </c>
      <c r="G323" s="46" t="s">
        <v>409</v>
      </c>
      <c r="H323" s="117">
        <f t="shared" si="122"/>
        <v>874</v>
      </c>
      <c r="I323" s="15">
        <v>880</v>
      </c>
      <c r="J323" s="117">
        <f t="shared" si="123"/>
        <v>874</v>
      </c>
      <c r="K323" s="117">
        <v>920</v>
      </c>
      <c r="L323" s="15">
        <v>0</v>
      </c>
      <c r="M323" s="15">
        <v>0</v>
      </c>
      <c r="N323" s="15">
        <v>0</v>
      </c>
      <c r="O323" s="15">
        <v>0</v>
      </c>
      <c r="P323" s="121">
        <f t="shared" si="124"/>
        <v>440</v>
      </c>
      <c r="Q323" s="121">
        <f t="shared" si="125"/>
        <v>440</v>
      </c>
      <c r="R323" s="121">
        <f t="shared" si="126"/>
        <v>200</v>
      </c>
      <c r="S323" s="121">
        <f t="shared" si="127"/>
        <v>200</v>
      </c>
      <c r="T323" s="121">
        <f t="shared" si="128"/>
        <v>0</v>
      </c>
      <c r="U323" s="121">
        <f t="shared" si="129"/>
        <v>0</v>
      </c>
      <c r="V323" s="117">
        <v>850</v>
      </c>
      <c r="W323" s="117">
        <v>920</v>
      </c>
      <c r="X323" s="42" t="s">
        <v>1</v>
      </c>
      <c r="Y323" s="53" t="s">
        <v>1</v>
      </c>
      <c r="Z323" s="2" t="s">
        <v>1</v>
      </c>
      <c r="AA323" s="107" t="s">
        <v>1</v>
      </c>
      <c r="AB323" s="2" t="s">
        <v>1</v>
      </c>
    </row>
    <row r="324" spans="1:28" ht="30.15" customHeight="1" x14ac:dyDescent="0.3">
      <c r="A324" s="59" t="s">
        <v>18</v>
      </c>
      <c r="B324" s="57" t="s">
        <v>1</v>
      </c>
      <c r="C324" s="58" t="s">
        <v>34</v>
      </c>
      <c r="D324" s="116" t="s">
        <v>7</v>
      </c>
      <c r="E324" s="116" t="s">
        <v>545</v>
      </c>
      <c r="F324" s="116" t="s">
        <v>546</v>
      </c>
      <c r="G324" s="46" t="s">
        <v>409</v>
      </c>
      <c r="H324" s="117">
        <f t="shared" si="122"/>
        <v>1121</v>
      </c>
      <c r="I324" s="15">
        <v>1120</v>
      </c>
      <c r="J324" s="117">
        <f t="shared" si="123"/>
        <v>1121</v>
      </c>
      <c r="K324" s="117">
        <v>1180</v>
      </c>
      <c r="L324" s="15">
        <v>0</v>
      </c>
      <c r="M324" s="15">
        <v>0</v>
      </c>
      <c r="N324" s="15">
        <v>0</v>
      </c>
      <c r="O324" s="15">
        <v>0</v>
      </c>
      <c r="P324" s="121">
        <f>IF((K324-(20*24)-170)&lt;0,0,(K324-(20*24)-170))</f>
        <v>530</v>
      </c>
      <c r="Q324" s="121">
        <f>IF((K324-(20*24)-170)&lt;0,0,(K324-(20*24)-170))</f>
        <v>530</v>
      </c>
      <c r="R324" s="121">
        <f>IF((K324-(30*24)-170)&lt;0,0,(K324-(30*24)-170))</f>
        <v>290</v>
      </c>
      <c r="S324" s="121">
        <f>IF((K324-(30*24)-170)&lt;0,0,(K324-(30*24)-170))</f>
        <v>290</v>
      </c>
      <c r="T324" s="121">
        <f>IF((K324-(40*24)-170)&lt;0,0,(K324-(40*24)-170))</f>
        <v>50</v>
      </c>
      <c r="U324" s="121">
        <f>IF((K324-(40*24)-170)&lt;0,0,(K324-(40*24)-170))</f>
        <v>50</v>
      </c>
      <c r="V324" s="117">
        <v>1110</v>
      </c>
      <c r="W324" s="117">
        <v>1180</v>
      </c>
      <c r="X324" s="43" t="s">
        <v>1</v>
      </c>
      <c r="Y324" s="53" t="s">
        <v>1</v>
      </c>
      <c r="Z324" s="2" t="s">
        <v>1</v>
      </c>
      <c r="AA324" s="107" t="s">
        <v>1</v>
      </c>
      <c r="AB324" s="2" t="s">
        <v>1</v>
      </c>
    </row>
    <row r="325" spans="1:28" ht="30.15" customHeight="1" x14ac:dyDescent="0.3">
      <c r="A325" s="59" t="s">
        <v>18</v>
      </c>
      <c r="B325" s="57" t="s">
        <v>1</v>
      </c>
      <c r="C325" s="58" t="s">
        <v>34</v>
      </c>
      <c r="D325" s="116" t="s">
        <v>7</v>
      </c>
      <c r="E325" s="116" t="s">
        <v>547</v>
      </c>
      <c r="F325" s="116" t="s">
        <v>546</v>
      </c>
      <c r="G325" s="46" t="s">
        <v>409</v>
      </c>
      <c r="H325" s="117">
        <f t="shared" si="122"/>
        <v>1121</v>
      </c>
      <c r="I325" s="15">
        <v>1120</v>
      </c>
      <c r="J325" s="117">
        <f t="shared" si="123"/>
        <v>1121</v>
      </c>
      <c r="K325" s="117">
        <v>1180</v>
      </c>
      <c r="L325" s="15">
        <v>0</v>
      </c>
      <c r="M325" s="15">
        <v>0</v>
      </c>
      <c r="N325" s="15">
        <v>0</v>
      </c>
      <c r="O325" s="15">
        <v>0</v>
      </c>
      <c r="P325" s="121">
        <f t="shared" ref="P325:P329" si="130">IF((K325-(20*24)-170)&lt;0,0,(K325-(20*24)-170))</f>
        <v>530</v>
      </c>
      <c r="Q325" s="121">
        <f t="shared" ref="Q325:Q329" si="131">IF((K325-(20*24)-170)&lt;0,0,(K325-(20*24)-170))</f>
        <v>530</v>
      </c>
      <c r="R325" s="121">
        <f t="shared" ref="R325:R329" si="132">IF((K325-(30*24)-170)&lt;0,0,(K325-(30*24)-170))</f>
        <v>290</v>
      </c>
      <c r="S325" s="121">
        <f t="shared" ref="S325:S329" si="133">IF((K325-(30*24)-170)&lt;0,0,(K325-(30*24)-170))</f>
        <v>290</v>
      </c>
      <c r="T325" s="121">
        <f t="shared" ref="T325:T329" si="134">IF((K325-(40*24)-170)&lt;0,0,(K325-(40*24)-170))</f>
        <v>50</v>
      </c>
      <c r="U325" s="121">
        <f t="shared" ref="U325:U329" si="135">IF((K325-(40*24)-170)&lt;0,0,(K325-(40*24)-170))</f>
        <v>50</v>
      </c>
      <c r="V325" s="117">
        <v>1110</v>
      </c>
      <c r="W325" s="117">
        <v>1180</v>
      </c>
      <c r="X325" s="43" t="s">
        <v>1</v>
      </c>
      <c r="Y325" s="53" t="s">
        <v>1</v>
      </c>
      <c r="Z325" s="2" t="s">
        <v>1</v>
      </c>
      <c r="AA325" s="107" t="s">
        <v>1</v>
      </c>
      <c r="AB325" s="2" t="s">
        <v>1</v>
      </c>
    </row>
    <row r="326" spans="1:28" ht="30.15" customHeight="1" x14ac:dyDescent="0.3">
      <c r="A326" s="59" t="s">
        <v>18</v>
      </c>
      <c r="B326" s="57" t="s">
        <v>1</v>
      </c>
      <c r="C326" s="58" t="s">
        <v>34</v>
      </c>
      <c r="D326" s="116" t="s">
        <v>7</v>
      </c>
      <c r="E326" s="116" t="s">
        <v>548</v>
      </c>
      <c r="F326" s="116" t="s">
        <v>546</v>
      </c>
      <c r="G326" s="46" t="s">
        <v>409</v>
      </c>
      <c r="H326" s="117">
        <f t="shared" si="122"/>
        <v>1121</v>
      </c>
      <c r="I326" s="15">
        <v>1120</v>
      </c>
      <c r="J326" s="117">
        <f t="shared" si="123"/>
        <v>1121</v>
      </c>
      <c r="K326" s="117">
        <v>1180</v>
      </c>
      <c r="L326" s="15">
        <v>0</v>
      </c>
      <c r="M326" s="15">
        <v>0</v>
      </c>
      <c r="N326" s="15">
        <v>0</v>
      </c>
      <c r="O326" s="15">
        <v>0</v>
      </c>
      <c r="P326" s="121">
        <f t="shared" si="130"/>
        <v>530</v>
      </c>
      <c r="Q326" s="121">
        <f t="shared" si="131"/>
        <v>530</v>
      </c>
      <c r="R326" s="121">
        <f t="shared" si="132"/>
        <v>290</v>
      </c>
      <c r="S326" s="121">
        <f t="shared" si="133"/>
        <v>290</v>
      </c>
      <c r="T326" s="121">
        <f t="shared" si="134"/>
        <v>50</v>
      </c>
      <c r="U326" s="121">
        <f t="shared" si="135"/>
        <v>50</v>
      </c>
      <c r="V326" s="117">
        <v>1110</v>
      </c>
      <c r="W326" s="117">
        <v>1180</v>
      </c>
      <c r="X326" s="43" t="s">
        <v>1</v>
      </c>
      <c r="Y326" s="53" t="s">
        <v>1</v>
      </c>
      <c r="Z326" s="2" t="s">
        <v>1</v>
      </c>
      <c r="AA326" s="107" t="s">
        <v>1</v>
      </c>
      <c r="AB326" s="2" t="s">
        <v>1</v>
      </c>
    </row>
    <row r="327" spans="1:28" ht="30.15" customHeight="1" x14ac:dyDescent="0.3">
      <c r="A327" s="59" t="s">
        <v>18</v>
      </c>
      <c r="B327" s="57" t="s">
        <v>1</v>
      </c>
      <c r="C327" s="58" t="s">
        <v>34</v>
      </c>
      <c r="D327" s="116" t="s">
        <v>7</v>
      </c>
      <c r="E327" s="116" t="s">
        <v>549</v>
      </c>
      <c r="F327" s="116" t="s">
        <v>550</v>
      </c>
      <c r="G327" s="46" t="s">
        <v>409</v>
      </c>
      <c r="H327" s="117">
        <f t="shared" si="122"/>
        <v>1406</v>
      </c>
      <c r="I327" s="15">
        <v>1410</v>
      </c>
      <c r="J327" s="117">
        <f t="shared" si="123"/>
        <v>1406</v>
      </c>
      <c r="K327" s="117">
        <v>1480</v>
      </c>
      <c r="L327" s="15">
        <v>0</v>
      </c>
      <c r="M327" s="15">
        <v>0</v>
      </c>
      <c r="N327" s="15">
        <v>0</v>
      </c>
      <c r="O327" s="15">
        <v>0</v>
      </c>
      <c r="P327" s="121">
        <f t="shared" si="130"/>
        <v>830</v>
      </c>
      <c r="Q327" s="121">
        <f t="shared" si="131"/>
        <v>830</v>
      </c>
      <c r="R327" s="121">
        <f t="shared" si="132"/>
        <v>590</v>
      </c>
      <c r="S327" s="121">
        <f t="shared" si="133"/>
        <v>590</v>
      </c>
      <c r="T327" s="121">
        <f t="shared" si="134"/>
        <v>350</v>
      </c>
      <c r="U327" s="121">
        <f t="shared" si="135"/>
        <v>350</v>
      </c>
      <c r="V327" s="117">
        <v>1440</v>
      </c>
      <c r="W327" s="117">
        <v>1480</v>
      </c>
      <c r="X327" s="43" t="s">
        <v>1</v>
      </c>
      <c r="Y327" s="53" t="s">
        <v>1</v>
      </c>
      <c r="Z327" s="2" t="s">
        <v>1</v>
      </c>
      <c r="AA327" s="107" t="s">
        <v>1</v>
      </c>
      <c r="AB327" s="2" t="s">
        <v>1</v>
      </c>
    </row>
    <row r="328" spans="1:28" ht="30.15" customHeight="1" x14ac:dyDescent="0.3">
      <c r="A328" s="59" t="s">
        <v>18</v>
      </c>
      <c r="B328" s="57" t="s">
        <v>1</v>
      </c>
      <c r="C328" s="58" t="s">
        <v>34</v>
      </c>
      <c r="D328" s="116" t="s">
        <v>7</v>
      </c>
      <c r="E328" s="116" t="s">
        <v>551</v>
      </c>
      <c r="F328" s="116" t="s">
        <v>550</v>
      </c>
      <c r="G328" s="46" t="s">
        <v>7</v>
      </c>
      <c r="H328" s="117">
        <f t="shared" si="122"/>
        <v>1406</v>
      </c>
      <c r="I328" s="15">
        <v>1410</v>
      </c>
      <c r="J328" s="117">
        <f t="shared" si="123"/>
        <v>1406</v>
      </c>
      <c r="K328" s="117">
        <v>1480</v>
      </c>
      <c r="L328" s="15">
        <v>0</v>
      </c>
      <c r="M328" s="15">
        <v>0</v>
      </c>
      <c r="N328" s="15">
        <v>0</v>
      </c>
      <c r="O328" s="15">
        <v>0</v>
      </c>
      <c r="P328" s="121">
        <f t="shared" si="130"/>
        <v>830</v>
      </c>
      <c r="Q328" s="121">
        <f t="shared" si="131"/>
        <v>830</v>
      </c>
      <c r="R328" s="121">
        <f t="shared" si="132"/>
        <v>590</v>
      </c>
      <c r="S328" s="121">
        <f t="shared" si="133"/>
        <v>590</v>
      </c>
      <c r="T328" s="121">
        <f t="shared" si="134"/>
        <v>350</v>
      </c>
      <c r="U328" s="121">
        <f t="shared" si="135"/>
        <v>350</v>
      </c>
      <c r="V328" s="117">
        <v>1440</v>
      </c>
      <c r="W328" s="117">
        <v>1480</v>
      </c>
      <c r="X328" s="43" t="s">
        <v>1</v>
      </c>
      <c r="Y328" s="53" t="s">
        <v>1</v>
      </c>
      <c r="Z328" s="2" t="s">
        <v>1</v>
      </c>
      <c r="AA328" s="107" t="s">
        <v>1</v>
      </c>
      <c r="AB328" s="2" t="s">
        <v>1</v>
      </c>
    </row>
    <row r="329" spans="1:28" ht="30.15" customHeight="1" x14ac:dyDescent="0.3">
      <c r="A329" s="59" t="s">
        <v>18</v>
      </c>
      <c r="B329" s="57" t="s">
        <v>1</v>
      </c>
      <c r="C329" s="58" t="s">
        <v>34</v>
      </c>
      <c r="D329" s="116" t="s">
        <v>7</v>
      </c>
      <c r="E329" s="116" t="s">
        <v>552</v>
      </c>
      <c r="F329" s="116" t="s">
        <v>550</v>
      </c>
      <c r="G329" s="46" t="s">
        <v>7</v>
      </c>
      <c r="H329" s="117">
        <f t="shared" si="122"/>
        <v>1406</v>
      </c>
      <c r="I329" s="15">
        <v>1410</v>
      </c>
      <c r="J329" s="117">
        <f t="shared" si="123"/>
        <v>1406</v>
      </c>
      <c r="K329" s="117">
        <v>1480</v>
      </c>
      <c r="L329" s="15">
        <v>0</v>
      </c>
      <c r="M329" s="15">
        <v>0</v>
      </c>
      <c r="N329" s="15">
        <v>0</v>
      </c>
      <c r="O329" s="15">
        <v>0</v>
      </c>
      <c r="P329" s="121">
        <f t="shared" si="130"/>
        <v>830</v>
      </c>
      <c r="Q329" s="121">
        <f t="shared" si="131"/>
        <v>830</v>
      </c>
      <c r="R329" s="121">
        <f t="shared" si="132"/>
        <v>590</v>
      </c>
      <c r="S329" s="121">
        <f t="shared" si="133"/>
        <v>590</v>
      </c>
      <c r="T329" s="121">
        <f t="shared" si="134"/>
        <v>350</v>
      </c>
      <c r="U329" s="121">
        <f t="shared" si="135"/>
        <v>350</v>
      </c>
      <c r="V329" s="117">
        <v>1440</v>
      </c>
      <c r="W329" s="117">
        <v>1480</v>
      </c>
      <c r="X329" s="43" t="s">
        <v>1</v>
      </c>
      <c r="Y329" s="53" t="s">
        <v>1</v>
      </c>
      <c r="Z329" s="2" t="s">
        <v>1</v>
      </c>
      <c r="AA329" s="107" t="s">
        <v>1</v>
      </c>
      <c r="AB329" s="2" t="s">
        <v>1</v>
      </c>
    </row>
    <row r="330" spans="1:28" ht="30.15" customHeight="1" x14ac:dyDescent="0.3">
      <c r="A330" s="59" t="s">
        <v>18</v>
      </c>
      <c r="B330" s="57" t="s">
        <v>1</v>
      </c>
      <c r="C330" s="58" t="s">
        <v>34</v>
      </c>
      <c r="D330" s="116" t="s">
        <v>7</v>
      </c>
      <c r="E330" s="116" t="s">
        <v>553</v>
      </c>
      <c r="F330" s="116" t="s">
        <v>554</v>
      </c>
      <c r="G330" s="46" t="s">
        <v>409</v>
      </c>
      <c r="H330" s="117">
        <f t="shared" si="122"/>
        <v>902</v>
      </c>
      <c r="I330" s="15">
        <v>900</v>
      </c>
      <c r="J330" s="117">
        <v>902</v>
      </c>
      <c r="K330" s="117">
        <v>950</v>
      </c>
      <c r="L330" s="15">
        <v>0</v>
      </c>
      <c r="M330" s="15">
        <v>0</v>
      </c>
      <c r="N330" s="15">
        <v>0</v>
      </c>
      <c r="O330" s="15">
        <v>0</v>
      </c>
      <c r="P330" s="121">
        <f>IF((K330-(20*24)-150)&lt;0,0,(K330-(20*24)-150))</f>
        <v>320</v>
      </c>
      <c r="Q330" s="121">
        <f>IF((K330-(20*24)-150)&lt;0,0,(K330-(20*24)-150))</f>
        <v>320</v>
      </c>
      <c r="R330" s="121">
        <f>IF((K330-(30*24)-150)&lt;0,0,(K330-(30*24)-150))</f>
        <v>80</v>
      </c>
      <c r="S330" s="121">
        <f>IF((K330-(30*24)-150)&lt;0,0,(K330-(30*24)-150))</f>
        <v>80</v>
      </c>
      <c r="T330" s="121">
        <f>IF((K330-(40*24)-150)&lt;0,0,(K330-(40*24)-150))</f>
        <v>0</v>
      </c>
      <c r="U330" s="121">
        <f>IF((K330-(40*24)-150)&lt;0,0,(K330-(40*24)-150))</f>
        <v>0</v>
      </c>
      <c r="V330" s="117">
        <v>870</v>
      </c>
      <c r="W330" s="117">
        <v>950</v>
      </c>
      <c r="X330" s="43" t="s">
        <v>1</v>
      </c>
      <c r="Y330" s="53" t="s">
        <v>1</v>
      </c>
      <c r="Z330" s="2" t="s">
        <v>1</v>
      </c>
      <c r="AA330" s="107" t="s">
        <v>1</v>
      </c>
      <c r="AB330" s="2" t="s">
        <v>1</v>
      </c>
    </row>
    <row r="331" spans="1:28" ht="30.15" customHeight="1" x14ac:dyDescent="0.3">
      <c r="A331" s="59" t="s">
        <v>18</v>
      </c>
      <c r="B331" s="57" t="s">
        <v>1</v>
      </c>
      <c r="C331" s="58" t="s">
        <v>34</v>
      </c>
      <c r="D331" s="116" t="s">
        <v>7</v>
      </c>
      <c r="E331" s="116" t="s">
        <v>555</v>
      </c>
      <c r="F331" s="116" t="s">
        <v>554</v>
      </c>
      <c r="G331" s="46" t="s">
        <v>409</v>
      </c>
      <c r="H331" s="117">
        <f t="shared" si="122"/>
        <v>902</v>
      </c>
      <c r="I331" s="15">
        <v>900</v>
      </c>
      <c r="J331" s="117">
        <v>902</v>
      </c>
      <c r="K331" s="117">
        <v>950</v>
      </c>
      <c r="L331" s="15">
        <v>0</v>
      </c>
      <c r="M331" s="15">
        <v>0</v>
      </c>
      <c r="N331" s="15">
        <v>0</v>
      </c>
      <c r="O331" s="15">
        <v>0</v>
      </c>
      <c r="P331" s="121">
        <f t="shared" ref="P331:P335" si="136">IF((K331-(20*24)-150)&lt;0,0,(K331-(20*24)-150))</f>
        <v>320</v>
      </c>
      <c r="Q331" s="121">
        <f t="shared" ref="Q331:Q335" si="137">IF((K331-(20*24)-150)&lt;0,0,(K331-(20*24)-150))</f>
        <v>320</v>
      </c>
      <c r="R331" s="121">
        <f t="shared" ref="R331:R335" si="138">IF((K331-(30*24)-150)&lt;0,0,(K331-(30*24)-150))</f>
        <v>80</v>
      </c>
      <c r="S331" s="121">
        <f t="shared" ref="S331:S335" si="139">IF((K331-(30*24)-150)&lt;0,0,(K331-(30*24)-150))</f>
        <v>80</v>
      </c>
      <c r="T331" s="121">
        <f t="shared" ref="T331:T335" si="140">IF((K331-(40*24)-150)&lt;0,0,(K331-(40*24)-150))</f>
        <v>0</v>
      </c>
      <c r="U331" s="121">
        <f t="shared" ref="U331:U335" si="141">IF((K331-(40*24)-150)&lt;0,0,(K331-(40*24)-150))</f>
        <v>0</v>
      </c>
      <c r="V331" s="117">
        <v>870</v>
      </c>
      <c r="W331" s="117">
        <v>950</v>
      </c>
      <c r="X331" s="43" t="s">
        <v>1</v>
      </c>
      <c r="Y331" s="53" t="s">
        <v>1</v>
      </c>
      <c r="Z331" s="2" t="s">
        <v>1</v>
      </c>
      <c r="AA331" s="107" t="s">
        <v>1</v>
      </c>
      <c r="AB331" s="2" t="s">
        <v>1</v>
      </c>
    </row>
    <row r="332" spans="1:28" ht="30.15" customHeight="1" x14ac:dyDescent="0.3">
      <c r="A332" s="59" t="s">
        <v>18</v>
      </c>
      <c r="B332" s="57" t="s">
        <v>1</v>
      </c>
      <c r="C332" s="58" t="s">
        <v>34</v>
      </c>
      <c r="D332" s="116" t="s">
        <v>7</v>
      </c>
      <c r="E332" s="116" t="s">
        <v>556</v>
      </c>
      <c r="F332" s="116" t="s">
        <v>554</v>
      </c>
      <c r="G332" s="46" t="s">
        <v>409</v>
      </c>
      <c r="H332" s="117">
        <f t="shared" si="122"/>
        <v>902</v>
      </c>
      <c r="I332" s="15">
        <v>900</v>
      </c>
      <c r="J332" s="117">
        <v>902</v>
      </c>
      <c r="K332" s="117">
        <v>950</v>
      </c>
      <c r="L332" s="15">
        <v>0</v>
      </c>
      <c r="M332" s="15">
        <v>0</v>
      </c>
      <c r="N332" s="15">
        <v>0</v>
      </c>
      <c r="O332" s="15">
        <v>0</v>
      </c>
      <c r="P332" s="121">
        <f t="shared" si="136"/>
        <v>320</v>
      </c>
      <c r="Q332" s="121">
        <f t="shared" si="137"/>
        <v>320</v>
      </c>
      <c r="R332" s="121">
        <f t="shared" si="138"/>
        <v>80</v>
      </c>
      <c r="S332" s="121">
        <f t="shared" si="139"/>
        <v>80</v>
      </c>
      <c r="T332" s="121">
        <f t="shared" si="140"/>
        <v>0</v>
      </c>
      <c r="U332" s="121">
        <f t="shared" si="141"/>
        <v>0</v>
      </c>
      <c r="V332" s="117">
        <v>870</v>
      </c>
      <c r="W332" s="117">
        <v>950</v>
      </c>
      <c r="X332" s="43" t="s">
        <v>1</v>
      </c>
      <c r="Y332" s="53" t="s">
        <v>1</v>
      </c>
      <c r="Z332" s="2" t="s">
        <v>1</v>
      </c>
      <c r="AA332" s="107" t="s">
        <v>1</v>
      </c>
      <c r="AB332" s="2" t="s">
        <v>1</v>
      </c>
    </row>
    <row r="333" spans="1:28" ht="30.15" customHeight="1" x14ac:dyDescent="0.3">
      <c r="A333" s="59" t="s">
        <v>18</v>
      </c>
      <c r="B333" s="57" t="s">
        <v>1</v>
      </c>
      <c r="C333" s="58" t="s">
        <v>34</v>
      </c>
      <c r="D333" s="116" t="s">
        <v>7</v>
      </c>
      <c r="E333" s="116" t="s">
        <v>557</v>
      </c>
      <c r="F333" s="116" t="s">
        <v>558</v>
      </c>
      <c r="G333" s="46" t="s">
        <v>7</v>
      </c>
      <c r="H333" s="117">
        <f t="shared" si="122"/>
        <v>1026</v>
      </c>
      <c r="I333" s="15">
        <v>1030</v>
      </c>
      <c r="J333" s="117">
        <f t="shared" si="123"/>
        <v>1026</v>
      </c>
      <c r="K333" s="117">
        <v>1080</v>
      </c>
      <c r="L333" s="15">
        <v>0</v>
      </c>
      <c r="M333" s="15">
        <v>0</v>
      </c>
      <c r="N333" s="15">
        <v>0</v>
      </c>
      <c r="O333" s="15">
        <v>0</v>
      </c>
      <c r="P333" s="121">
        <f t="shared" si="136"/>
        <v>450</v>
      </c>
      <c r="Q333" s="121">
        <f t="shared" si="137"/>
        <v>450</v>
      </c>
      <c r="R333" s="121">
        <f t="shared" si="138"/>
        <v>210</v>
      </c>
      <c r="S333" s="121">
        <f t="shared" si="139"/>
        <v>210</v>
      </c>
      <c r="T333" s="121">
        <f t="shared" si="140"/>
        <v>0</v>
      </c>
      <c r="U333" s="121">
        <f t="shared" si="141"/>
        <v>0</v>
      </c>
      <c r="V333" s="117">
        <v>1010</v>
      </c>
      <c r="W333" s="117">
        <v>1080</v>
      </c>
      <c r="X333" s="43" t="s">
        <v>1</v>
      </c>
      <c r="Y333" s="53" t="s">
        <v>1</v>
      </c>
      <c r="Z333" s="2" t="s">
        <v>1</v>
      </c>
      <c r="AA333" s="107" t="s">
        <v>1</v>
      </c>
      <c r="AB333" s="2" t="s">
        <v>1</v>
      </c>
    </row>
    <row r="334" spans="1:28" ht="30.15" customHeight="1" x14ac:dyDescent="0.3">
      <c r="A334" s="59" t="s">
        <v>18</v>
      </c>
      <c r="B334" s="57" t="s">
        <v>1</v>
      </c>
      <c r="C334" s="58" t="s">
        <v>34</v>
      </c>
      <c r="D334" s="116" t="s">
        <v>7</v>
      </c>
      <c r="E334" s="116" t="s">
        <v>559</v>
      </c>
      <c r="F334" s="116" t="s">
        <v>558</v>
      </c>
      <c r="G334" s="46" t="s">
        <v>7</v>
      </c>
      <c r="H334" s="117">
        <f t="shared" si="122"/>
        <v>1026</v>
      </c>
      <c r="I334" s="15">
        <v>1030</v>
      </c>
      <c r="J334" s="117">
        <f t="shared" si="123"/>
        <v>1026</v>
      </c>
      <c r="K334" s="117">
        <v>1080</v>
      </c>
      <c r="L334" s="15">
        <v>0</v>
      </c>
      <c r="M334" s="15">
        <v>0</v>
      </c>
      <c r="N334" s="15">
        <v>0</v>
      </c>
      <c r="O334" s="15">
        <v>0</v>
      </c>
      <c r="P334" s="121">
        <f t="shared" si="136"/>
        <v>450</v>
      </c>
      <c r="Q334" s="121">
        <f t="shared" si="137"/>
        <v>450</v>
      </c>
      <c r="R334" s="121">
        <f t="shared" si="138"/>
        <v>210</v>
      </c>
      <c r="S334" s="121">
        <f t="shared" si="139"/>
        <v>210</v>
      </c>
      <c r="T334" s="121">
        <f t="shared" si="140"/>
        <v>0</v>
      </c>
      <c r="U334" s="121">
        <f t="shared" si="141"/>
        <v>0</v>
      </c>
      <c r="V334" s="117">
        <v>1010</v>
      </c>
      <c r="W334" s="117">
        <v>1080</v>
      </c>
      <c r="X334" s="43" t="s">
        <v>1</v>
      </c>
      <c r="Y334" s="53" t="s">
        <v>1</v>
      </c>
      <c r="Z334" s="2" t="s">
        <v>1</v>
      </c>
      <c r="AA334" s="107" t="s">
        <v>1</v>
      </c>
      <c r="AB334" s="2" t="s">
        <v>1</v>
      </c>
    </row>
    <row r="335" spans="1:28" ht="30.15" customHeight="1" x14ac:dyDescent="0.3">
      <c r="A335" s="59" t="s">
        <v>18</v>
      </c>
      <c r="B335" s="57" t="s">
        <v>1</v>
      </c>
      <c r="C335" s="58" t="s">
        <v>34</v>
      </c>
      <c r="D335" s="116" t="s">
        <v>7</v>
      </c>
      <c r="E335" s="116" t="s">
        <v>560</v>
      </c>
      <c r="F335" s="116" t="s">
        <v>558</v>
      </c>
      <c r="G335" s="46" t="s">
        <v>7</v>
      </c>
      <c r="H335" s="117">
        <f t="shared" si="122"/>
        <v>1026</v>
      </c>
      <c r="I335" s="15">
        <v>1030</v>
      </c>
      <c r="J335" s="117">
        <f t="shared" si="123"/>
        <v>1026</v>
      </c>
      <c r="K335" s="117">
        <v>1080</v>
      </c>
      <c r="L335" s="15">
        <v>0</v>
      </c>
      <c r="M335" s="15">
        <v>0</v>
      </c>
      <c r="N335" s="15">
        <v>0</v>
      </c>
      <c r="O335" s="15">
        <v>0</v>
      </c>
      <c r="P335" s="121">
        <f t="shared" si="136"/>
        <v>450</v>
      </c>
      <c r="Q335" s="121">
        <f t="shared" si="137"/>
        <v>450</v>
      </c>
      <c r="R335" s="121">
        <f t="shared" si="138"/>
        <v>210</v>
      </c>
      <c r="S335" s="121">
        <f t="shared" si="139"/>
        <v>210</v>
      </c>
      <c r="T335" s="121">
        <f t="shared" si="140"/>
        <v>0</v>
      </c>
      <c r="U335" s="121">
        <f t="shared" si="141"/>
        <v>0</v>
      </c>
      <c r="V335" s="117">
        <v>1010</v>
      </c>
      <c r="W335" s="117">
        <v>1080</v>
      </c>
      <c r="X335" s="43" t="s">
        <v>1</v>
      </c>
      <c r="Y335" s="53" t="s">
        <v>1</v>
      </c>
      <c r="Z335" s="2" t="s">
        <v>1</v>
      </c>
      <c r="AA335" s="107" t="s">
        <v>1</v>
      </c>
      <c r="AB335" s="2" t="s">
        <v>1</v>
      </c>
    </row>
    <row r="336" spans="1:28" ht="30.15" customHeight="1" x14ac:dyDescent="0.3">
      <c r="A336" s="59" t="s">
        <v>18</v>
      </c>
      <c r="B336" s="57" t="s">
        <v>1</v>
      </c>
      <c r="C336" s="58" t="s">
        <v>34</v>
      </c>
      <c r="D336" s="116" t="s">
        <v>7</v>
      </c>
      <c r="E336" s="116" t="s">
        <v>561</v>
      </c>
      <c r="F336" s="116" t="s">
        <v>562</v>
      </c>
      <c r="G336" s="46" t="s">
        <v>7</v>
      </c>
      <c r="H336" s="117">
        <f t="shared" si="122"/>
        <v>1254</v>
      </c>
      <c r="I336" s="15">
        <v>1260</v>
      </c>
      <c r="J336" s="117">
        <f t="shared" si="123"/>
        <v>1254</v>
      </c>
      <c r="K336" s="117">
        <v>1320</v>
      </c>
      <c r="L336" s="15">
        <v>0</v>
      </c>
      <c r="M336" s="15">
        <v>0</v>
      </c>
      <c r="N336" s="15">
        <v>0</v>
      </c>
      <c r="O336" s="15">
        <v>0</v>
      </c>
      <c r="P336" s="121">
        <f>IF((K336-(20*24)-160)&lt;0,0,(K336-(20*24)-160))</f>
        <v>680</v>
      </c>
      <c r="Q336" s="121">
        <f>IF((K336-(20*24)-160)&lt;0,0,(K336-(20*24)-160))</f>
        <v>680</v>
      </c>
      <c r="R336" s="121">
        <f>IF((K336-(30*24)-160)&lt;0,0,(K336-(30*24)-160))</f>
        <v>440</v>
      </c>
      <c r="S336" s="121">
        <f>IF((K336-(30*24)-160)&lt;0,0,(K336-(30*24)-160))</f>
        <v>440</v>
      </c>
      <c r="T336" s="121">
        <f>IF((K336-(40*24)-160)&lt;0,0,(K336-(40*24)-160))</f>
        <v>200</v>
      </c>
      <c r="U336" s="121">
        <f>IF((K336-(40*24)-160)&lt;0,0,(K336-(40*24)-160))</f>
        <v>200</v>
      </c>
      <c r="V336" s="117">
        <v>1270</v>
      </c>
      <c r="W336" s="117">
        <v>1320</v>
      </c>
      <c r="X336" s="43" t="s">
        <v>1</v>
      </c>
      <c r="Y336" s="53" t="s">
        <v>1</v>
      </c>
      <c r="Z336" s="2" t="s">
        <v>1</v>
      </c>
      <c r="AA336" s="107" t="s">
        <v>1</v>
      </c>
      <c r="AB336" s="2" t="s">
        <v>1</v>
      </c>
    </row>
    <row r="337" spans="1:28" ht="30.15" customHeight="1" x14ac:dyDescent="0.3">
      <c r="A337" s="59" t="s">
        <v>18</v>
      </c>
      <c r="B337" s="57" t="s">
        <v>1</v>
      </c>
      <c r="C337" s="58" t="s">
        <v>34</v>
      </c>
      <c r="D337" s="116" t="s">
        <v>7</v>
      </c>
      <c r="E337" s="116" t="s">
        <v>563</v>
      </c>
      <c r="F337" s="116" t="s">
        <v>562</v>
      </c>
      <c r="G337" s="46" t="s">
        <v>409</v>
      </c>
      <c r="H337" s="117">
        <f t="shared" si="122"/>
        <v>1254</v>
      </c>
      <c r="I337" s="15">
        <v>1260</v>
      </c>
      <c r="J337" s="117">
        <f t="shared" si="123"/>
        <v>1254</v>
      </c>
      <c r="K337" s="117">
        <v>1320</v>
      </c>
      <c r="L337" s="15">
        <v>0</v>
      </c>
      <c r="M337" s="15">
        <v>0</v>
      </c>
      <c r="N337" s="15">
        <v>0</v>
      </c>
      <c r="O337" s="15">
        <v>0</v>
      </c>
      <c r="P337" s="121">
        <f t="shared" ref="P337:P342" si="142">IF((K337-(20*24)-160)&lt;0,0,(K337-(20*24)-160))</f>
        <v>680</v>
      </c>
      <c r="Q337" s="121">
        <f t="shared" ref="Q337:Q342" si="143">IF((K337-(20*24)-160)&lt;0,0,(K337-(20*24)-160))</f>
        <v>680</v>
      </c>
      <c r="R337" s="121">
        <f t="shared" ref="R337:R342" si="144">IF((K337-(30*24)-160)&lt;0,0,(K337-(30*24)-160))</f>
        <v>440</v>
      </c>
      <c r="S337" s="121">
        <f t="shared" ref="S337:S342" si="145">IF((K337-(30*24)-160)&lt;0,0,(K337-(30*24)-160))</f>
        <v>440</v>
      </c>
      <c r="T337" s="121">
        <f t="shared" ref="T337:T342" si="146">IF((K337-(40*24)-160)&lt;0,0,(K337-(40*24)-160))</f>
        <v>200</v>
      </c>
      <c r="U337" s="121">
        <f t="shared" ref="U337:U342" si="147">IF((K337-(40*24)-160)&lt;0,0,(K337-(40*24)-160))</f>
        <v>200</v>
      </c>
      <c r="V337" s="117">
        <v>1270</v>
      </c>
      <c r="W337" s="117">
        <v>1320</v>
      </c>
      <c r="X337" s="43" t="s">
        <v>1</v>
      </c>
      <c r="Y337" s="53" t="s">
        <v>1</v>
      </c>
      <c r="Z337" s="2" t="s">
        <v>1</v>
      </c>
      <c r="AA337" s="107" t="s">
        <v>1</v>
      </c>
      <c r="AB337" s="2" t="s">
        <v>1</v>
      </c>
    </row>
    <row r="338" spans="1:28" ht="30.15" customHeight="1" x14ac:dyDescent="0.3">
      <c r="A338" s="59" t="s">
        <v>18</v>
      </c>
      <c r="B338" s="57" t="s">
        <v>1</v>
      </c>
      <c r="C338" s="58" t="s">
        <v>34</v>
      </c>
      <c r="D338" s="116" t="s">
        <v>7</v>
      </c>
      <c r="E338" s="116" t="s">
        <v>564</v>
      </c>
      <c r="F338" s="116" t="s">
        <v>562</v>
      </c>
      <c r="G338" s="46" t="s">
        <v>409</v>
      </c>
      <c r="H338" s="117">
        <f t="shared" si="122"/>
        <v>1254</v>
      </c>
      <c r="I338" s="15">
        <v>1260</v>
      </c>
      <c r="J338" s="117">
        <f t="shared" si="123"/>
        <v>1254</v>
      </c>
      <c r="K338" s="117">
        <v>1320</v>
      </c>
      <c r="L338" s="15">
        <v>0</v>
      </c>
      <c r="M338" s="15">
        <v>0</v>
      </c>
      <c r="N338" s="15">
        <v>0</v>
      </c>
      <c r="O338" s="15">
        <v>0</v>
      </c>
      <c r="P338" s="121">
        <f t="shared" si="142"/>
        <v>680</v>
      </c>
      <c r="Q338" s="121">
        <f t="shared" si="143"/>
        <v>680</v>
      </c>
      <c r="R338" s="121">
        <f t="shared" si="144"/>
        <v>440</v>
      </c>
      <c r="S338" s="121">
        <f t="shared" si="145"/>
        <v>440</v>
      </c>
      <c r="T338" s="121">
        <f t="shared" si="146"/>
        <v>200</v>
      </c>
      <c r="U338" s="121">
        <f t="shared" si="147"/>
        <v>200</v>
      </c>
      <c r="V338" s="117">
        <v>1270</v>
      </c>
      <c r="W338" s="117">
        <v>1320</v>
      </c>
      <c r="X338" s="43" t="s">
        <v>1</v>
      </c>
      <c r="Y338" s="53" t="s">
        <v>1</v>
      </c>
      <c r="Z338" s="2" t="s">
        <v>1</v>
      </c>
      <c r="AA338" s="107" t="s">
        <v>1</v>
      </c>
      <c r="AB338" s="2" t="s">
        <v>1</v>
      </c>
    </row>
    <row r="339" spans="1:28" ht="30.15" customHeight="1" x14ac:dyDescent="0.3">
      <c r="A339" s="59" t="s">
        <v>18</v>
      </c>
      <c r="B339" s="57" t="s">
        <v>1</v>
      </c>
      <c r="C339" s="58" t="s">
        <v>34</v>
      </c>
      <c r="D339" s="116" t="s">
        <v>7</v>
      </c>
      <c r="E339" s="116" t="s">
        <v>565</v>
      </c>
      <c r="F339" s="116" t="s">
        <v>566</v>
      </c>
      <c r="G339" s="46" t="s">
        <v>409</v>
      </c>
      <c r="H339" s="117">
        <f t="shared" si="122"/>
        <v>1548</v>
      </c>
      <c r="I339" s="15">
        <v>1550</v>
      </c>
      <c r="J339" s="117">
        <v>1548</v>
      </c>
      <c r="K339" s="117">
        <v>1630</v>
      </c>
      <c r="L339" s="15">
        <v>0</v>
      </c>
      <c r="M339" s="15">
        <v>0</v>
      </c>
      <c r="N339" s="15">
        <v>0</v>
      </c>
      <c r="O339" s="15">
        <v>0</v>
      </c>
      <c r="P339" s="121">
        <f t="shared" si="142"/>
        <v>990</v>
      </c>
      <c r="Q339" s="121">
        <f t="shared" si="143"/>
        <v>990</v>
      </c>
      <c r="R339" s="121">
        <f t="shared" si="144"/>
        <v>750</v>
      </c>
      <c r="S339" s="121">
        <f t="shared" si="145"/>
        <v>750</v>
      </c>
      <c r="T339" s="121">
        <f t="shared" si="146"/>
        <v>510</v>
      </c>
      <c r="U339" s="121">
        <f t="shared" si="147"/>
        <v>510</v>
      </c>
      <c r="V339" s="117">
        <v>1600</v>
      </c>
      <c r="W339" s="117">
        <v>1630</v>
      </c>
      <c r="X339" s="43" t="s">
        <v>1</v>
      </c>
      <c r="Y339" s="53" t="s">
        <v>1</v>
      </c>
      <c r="Z339" s="2" t="s">
        <v>1</v>
      </c>
      <c r="AA339" s="107" t="s">
        <v>1</v>
      </c>
      <c r="AB339" s="2" t="s">
        <v>1</v>
      </c>
    </row>
    <row r="340" spans="1:28" ht="30.15" customHeight="1" x14ac:dyDescent="0.3">
      <c r="A340" s="59" t="s">
        <v>18</v>
      </c>
      <c r="B340" s="57" t="s">
        <v>1</v>
      </c>
      <c r="C340" s="58" t="s">
        <v>34</v>
      </c>
      <c r="D340" s="116" t="s">
        <v>7</v>
      </c>
      <c r="E340" s="116" t="s">
        <v>567</v>
      </c>
      <c r="F340" s="116" t="s">
        <v>566</v>
      </c>
      <c r="G340" s="46" t="s">
        <v>7</v>
      </c>
      <c r="H340" s="117">
        <f t="shared" si="122"/>
        <v>1548</v>
      </c>
      <c r="I340" s="15">
        <v>1550</v>
      </c>
      <c r="J340" s="117">
        <v>1548</v>
      </c>
      <c r="K340" s="117">
        <v>1630</v>
      </c>
      <c r="L340" s="15">
        <v>0</v>
      </c>
      <c r="M340" s="15">
        <v>0</v>
      </c>
      <c r="N340" s="15">
        <v>0</v>
      </c>
      <c r="O340" s="15">
        <v>0</v>
      </c>
      <c r="P340" s="121">
        <f t="shared" si="142"/>
        <v>990</v>
      </c>
      <c r="Q340" s="121">
        <f t="shared" si="143"/>
        <v>990</v>
      </c>
      <c r="R340" s="121">
        <f t="shared" si="144"/>
        <v>750</v>
      </c>
      <c r="S340" s="121">
        <f t="shared" si="145"/>
        <v>750</v>
      </c>
      <c r="T340" s="121">
        <f t="shared" si="146"/>
        <v>510</v>
      </c>
      <c r="U340" s="121">
        <f t="shared" si="147"/>
        <v>510</v>
      </c>
      <c r="V340" s="117">
        <v>1600</v>
      </c>
      <c r="W340" s="117">
        <v>1630</v>
      </c>
      <c r="X340" s="43" t="s">
        <v>1</v>
      </c>
      <c r="Y340" s="53" t="s">
        <v>1</v>
      </c>
      <c r="Z340" s="2" t="s">
        <v>1</v>
      </c>
      <c r="AA340" s="107" t="s">
        <v>1</v>
      </c>
      <c r="AB340" s="2" t="s">
        <v>1</v>
      </c>
    </row>
    <row r="341" spans="1:28" ht="30.15" customHeight="1" x14ac:dyDescent="0.3">
      <c r="A341" s="59" t="s">
        <v>18</v>
      </c>
      <c r="B341" s="57" t="s">
        <v>1</v>
      </c>
      <c r="C341" s="58" t="s">
        <v>34</v>
      </c>
      <c r="D341" s="116" t="s">
        <v>7</v>
      </c>
      <c r="E341" s="116" t="s">
        <v>568</v>
      </c>
      <c r="F341" s="116" t="s">
        <v>569</v>
      </c>
      <c r="G341" s="46" t="s">
        <v>7</v>
      </c>
      <c r="H341" s="117">
        <f t="shared" si="122"/>
        <v>1966</v>
      </c>
      <c r="I341" s="15">
        <v>1970</v>
      </c>
      <c r="J341" s="117">
        <v>1966</v>
      </c>
      <c r="K341" s="117">
        <v>2070</v>
      </c>
      <c r="L341" s="15">
        <v>0</v>
      </c>
      <c r="M341" s="15">
        <v>0</v>
      </c>
      <c r="N341" s="15">
        <v>0</v>
      </c>
      <c r="O341" s="15">
        <v>0</v>
      </c>
      <c r="P341" s="121">
        <f t="shared" si="142"/>
        <v>1430</v>
      </c>
      <c r="Q341" s="121">
        <f t="shared" si="143"/>
        <v>1430</v>
      </c>
      <c r="R341" s="121">
        <f t="shared" si="144"/>
        <v>1190</v>
      </c>
      <c r="S341" s="121">
        <f t="shared" si="145"/>
        <v>1190</v>
      </c>
      <c r="T341" s="121">
        <f t="shared" si="146"/>
        <v>950</v>
      </c>
      <c r="U341" s="121">
        <f t="shared" si="147"/>
        <v>950</v>
      </c>
      <c r="V341" s="117">
        <v>2060</v>
      </c>
      <c r="W341" s="117">
        <v>2070</v>
      </c>
      <c r="X341" s="43" t="s">
        <v>1</v>
      </c>
      <c r="Y341" s="53" t="s">
        <v>1</v>
      </c>
      <c r="Z341" s="2" t="s">
        <v>1</v>
      </c>
      <c r="AA341" s="107" t="s">
        <v>1</v>
      </c>
      <c r="AB341" s="2" t="s">
        <v>1</v>
      </c>
    </row>
    <row r="342" spans="1:28" ht="30.15" customHeight="1" x14ac:dyDescent="0.3">
      <c r="A342" s="59" t="s">
        <v>18</v>
      </c>
      <c r="B342" s="57" t="s">
        <v>1</v>
      </c>
      <c r="C342" s="58" t="s">
        <v>34</v>
      </c>
      <c r="D342" s="116" t="s">
        <v>7</v>
      </c>
      <c r="E342" s="116" t="s">
        <v>570</v>
      </c>
      <c r="F342" s="116" t="s">
        <v>569</v>
      </c>
      <c r="G342" s="46" t="s">
        <v>7</v>
      </c>
      <c r="H342" s="117">
        <f t="shared" si="122"/>
        <v>1966</v>
      </c>
      <c r="I342" s="15">
        <v>1970</v>
      </c>
      <c r="J342" s="117">
        <v>1966</v>
      </c>
      <c r="K342" s="117">
        <v>2070</v>
      </c>
      <c r="L342" s="15">
        <v>0</v>
      </c>
      <c r="M342" s="15">
        <v>0</v>
      </c>
      <c r="N342" s="15">
        <v>0</v>
      </c>
      <c r="O342" s="15">
        <v>0</v>
      </c>
      <c r="P342" s="121">
        <f t="shared" si="142"/>
        <v>1430</v>
      </c>
      <c r="Q342" s="121">
        <f t="shared" si="143"/>
        <v>1430</v>
      </c>
      <c r="R342" s="121">
        <f t="shared" si="144"/>
        <v>1190</v>
      </c>
      <c r="S342" s="121">
        <f t="shared" si="145"/>
        <v>1190</v>
      </c>
      <c r="T342" s="121">
        <f t="shared" si="146"/>
        <v>950</v>
      </c>
      <c r="U342" s="121">
        <f t="shared" si="147"/>
        <v>950</v>
      </c>
      <c r="V342" s="117">
        <v>2060</v>
      </c>
      <c r="W342" s="117">
        <v>2070</v>
      </c>
      <c r="X342" s="43" t="s">
        <v>1</v>
      </c>
      <c r="Y342" s="53" t="s">
        <v>1</v>
      </c>
      <c r="Z342" s="2" t="s">
        <v>1</v>
      </c>
      <c r="AA342" s="107" t="s">
        <v>1</v>
      </c>
      <c r="AB342" s="2" t="s">
        <v>1</v>
      </c>
    </row>
    <row r="343" spans="1:28" ht="30.15" customHeight="1" x14ac:dyDescent="0.25">
      <c r="A343" s="59" t="s">
        <v>18</v>
      </c>
      <c r="B343" s="57" t="s">
        <v>1</v>
      </c>
      <c r="C343" s="58" t="s">
        <v>35</v>
      </c>
      <c r="D343" s="40" t="s">
        <v>7</v>
      </c>
      <c r="E343" s="40" t="s">
        <v>571</v>
      </c>
      <c r="F343" s="40" t="s">
        <v>572</v>
      </c>
      <c r="G343" s="46" t="s">
        <v>409</v>
      </c>
      <c r="H343" s="15">
        <v>299</v>
      </c>
      <c r="I343" s="15">
        <v>262</v>
      </c>
      <c r="J343" s="15">
        <v>299</v>
      </c>
      <c r="K343" s="15">
        <v>359</v>
      </c>
      <c r="L343" s="15" t="s">
        <v>1</v>
      </c>
      <c r="M343" s="15" t="s">
        <v>1</v>
      </c>
      <c r="N343" s="15" t="s">
        <v>1</v>
      </c>
      <c r="O343" s="15" t="s">
        <v>1</v>
      </c>
      <c r="P343" s="2" t="s">
        <v>1</v>
      </c>
      <c r="Q343" s="2" t="s">
        <v>1</v>
      </c>
      <c r="R343" s="2" t="s">
        <v>1</v>
      </c>
      <c r="S343" s="2" t="s">
        <v>1</v>
      </c>
      <c r="T343" s="2" t="s">
        <v>1</v>
      </c>
      <c r="U343" s="44" t="s">
        <v>1</v>
      </c>
      <c r="V343" s="15" t="s">
        <v>1</v>
      </c>
      <c r="W343" s="2" t="s">
        <v>1</v>
      </c>
      <c r="X343" s="43">
        <v>0</v>
      </c>
      <c r="Y343" s="2" t="s">
        <v>1</v>
      </c>
      <c r="Z343" s="2">
        <v>0</v>
      </c>
      <c r="AA343" s="2">
        <v>0</v>
      </c>
      <c r="AB343" s="2" t="s">
        <v>1</v>
      </c>
    </row>
    <row r="344" spans="1:28" ht="30.15" customHeight="1" x14ac:dyDescent="0.3">
      <c r="A344" s="56" t="s">
        <v>18</v>
      </c>
      <c r="B344" s="57" t="s">
        <v>1</v>
      </c>
      <c r="C344" s="58" t="s">
        <v>35</v>
      </c>
      <c r="D344" s="40" t="s">
        <v>7</v>
      </c>
      <c r="E344" s="40" t="s">
        <v>531</v>
      </c>
      <c r="F344" s="40" t="s">
        <v>532</v>
      </c>
      <c r="G344" s="46" t="s">
        <v>409</v>
      </c>
      <c r="H344" s="15">
        <v>530</v>
      </c>
      <c r="I344" s="15">
        <v>495</v>
      </c>
      <c r="J344" s="15">
        <v>530</v>
      </c>
      <c r="K344" s="15">
        <v>550</v>
      </c>
      <c r="L344" s="15" t="s">
        <v>1</v>
      </c>
      <c r="M344" s="15" t="s">
        <v>1</v>
      </c>
      <c r="N344" s="15" t="s">
        <v>1</v>
      </c>
      <c r="O344" s="15" t="s">
        <v>1</v>
      </c>
      <c r="P344" s="2" t="s">
        <v>1</v>
      </c>
      <c r="Q344" s="2" t="s">
        <v>1</v>
      </c>
      <c r="R344" s="2" t="s">
        <v>1</v>
      </c>
      <c r="S344" s="2" t="s">
        <v>1</v>
      </c>
      <c r="T344" s="2" t="s">
        <v>1</v>
      </c>
      <c r="U344" s="44" t="s">
        <v>1</v>
      </c>
      <c r="V344" s="15" t="s">
        <v>1</v>
      </c>
      <c r="W344" s="2" t="s">
        <v>1</v>
      </c>
      <c r="X344" s="43">
        <v>0</v>
      </c>
      <c r="Y344" s="53" t="s">
        <v>1</v>
      </c>
      <c r="Z344" s="2" t="s">
        <v>1</v>
      </c>
      <c r="AA344" s="2">
        <v>0</v>
      </c>
      <c r="AB344" s="2" t="s">
        <v>1</v>
      </c>
    </row>
    <row r="345" spans="1:28" ht="30.15" customHeight="1" x14ac:dyDescent="0.3">
      <c r="A345" s="56" t="s">
        <v>17</v>
      </c>
      <c r="B345" s="57">
        <v>43040</v>
      </c>
      <c r="C345" s="58" t="s">
        <v>35</v>
      </c>
      <c r="D345" s="40" t="s">
        <v>7</v>
      </c>
      <c r="E345" s="40" t="s">
        <v>49</v>
      </c>
      <c r="F345" s="40" t="s">
        <v>48</v>
      </c>
      <c r="G345" s="46" t="s">
        <v>409</v>
      </c>
      <c r="H345" s="15">
        <v>650</v>
      </c>
      <c r="I345" s="15">
        <v>650</v>
      </c>
      <c r="J345" s="15">
        <v>650</v>
      </c>
      <c r="K345" s="15">
        <v>649.99</v>
      </c>
      <c r="L345" s="15" t="s">
        <v>1</v>
      </c>
      <c r="M345" s="15" t="s">
        <v>1</v>
      </c>
      <c r="N345" s="15" t="s">
        <v>1</v>
      </c>
      <c r="O345" s="15" t="s">
        <v>1</v>
      </c>
      <c r="P345" s="2" t="s">
        <v>1</v>
      </c>
      <c r="Q345" s="2" t="s">
        <v>1</v>
      </c>
      <c r="R345" s="2" t="s">
        <v>1</v>
      </c>
      <c r="S345" s="2" t="s">
        <v>1</v>
      </c>
      <c r="T345" s="2" t="s">
        <v>1</v>
      </c>
      <c r="U345" s="44" t="s">
        <v>1</v>
      </c>
      <c r="V345" s="15" t="s">
        <v>1</v>
      </c>
      <c r="W345" s="2" t="s">
        <v>1</v>
      </c>
      <c r="X345" s="43">
        <v>0</v>
      </c>
      <c r="Y345" s="53" t="s">
        <v>1</v>
      </c>
      <c r="Z345" s="2" t="s">
        <v>1</v>
      </c>
      <c r="AA345" s="107" t="s">
        <v>1</v>
      </c>
      <c r="AB345" s="2" t="s">
        <v>1</v>
      </c>
    </row>
    <row r="346" spans="1:28" ht="30.15" customHeight="1" x14ac:dyDescent="0.3">
      <c r="A346" s="56" t="s">
        <v>17</v>
      </c>
      <c r="B346" s="57">
        <v>43497</v>
      </c>
      <c r="C346" s="58" t="s">
        <v>35</v>
      </c>
      <c r="D346" s="40" t="s">
        <v>7</v>
      </c>
      <c r="E346" s="40" t="s">
        <v>104</v>
      </c>
      <c r="F346" s="40" t="s">
        <v>105</v>
      </c>
      <c r="G346" s="46" t="s">
        <v>409</v>
      </c>
      <c r="H346" s="15">
        <v>690</v>
      </c>
      <c r="I346" s="15">
        <v>690</v>
      </c>
      <c r="J346" s="15">
        <v>690</v>
      </c>
      <c r="K346" s="15">
        <v>699.99</v>
      </c>
      <c r="L346" s="15" t="s">
        <v>1</v>
      </c>
      <c r="M346" s="15" t="s">
        <v>1</v>
      </c>
      <c r="N346" s="15" t="s">
        <v>1</v>
      </c>
      <c r="O346" s="15" t="s">
        <v>1</v>
      </c>
      <c r="P346" s="2" t="s">
        <v>1</v>
      </c>
      <c r="Q346" s="2" t="s">
        <v>1</v>
      </c>
      <c r="R346" s="2" t="s">
        <v>1</v>
      </c>
      <c r="S346" s="2" t="s">
        <v>1</v>
      </c>
      <c r="T346" s="2" t="s">
        <v>1</v>
      </c>
      <c r="U346" s="44" t="s">
        <v>1</v>
      </c>
      <c r="V346" s="15" t="s">
        <v>1</v>
      </c>
      <c r="W346" s="2" t="s">
        <v>1</v>
      </c>
      <c r="X346" s="42">
        <v>0</v>
      </c>
      <c r="Y346" s="53" t="s">
        <v>1</v>
      </c>
      <c r="Z346" s="2" t="s">
        <v>1</v>
      </c>
      <c r="AA346" s="107" t="s">
        <v>1</v>
      </c>
      <c r="AB346" s="2" t="s">
        <v>1</v>
      </c>
    </row>
    <row r="347" spans="1:28" ht="30.15" customHeight="1" x14ac:dyDescent="0.3">
      <c r="A347" s="56" t="s">
        <v>18</v>
      </c>
      <c r="B347" s="57" t="s">
        <v>1</v>
      </c>
      <c r="C347" s="58" t="s">
        <v>35</v>
      </c>
      <c r="D347" s="40" t="s">
        <v>7</v>
      </c>
      <c r="E347" s="40" t="s">
        <v>236</v>
      </c>
      <c r="F347" s="46" t="s">
        <v>105</v>
      </c>
      <c r="G347" s="46" t="s">
        <v>423</v>
      </c>
      <c r="H347" s="15">
        <v>670</v>
      </c>
      <c r="I347" s="15">
        <v>670</v>
      </c>
      <c r="J347" s="15">
        <v>670</v>
      </c>
      <c r="K347" s="15">
        <v>720</v>
      </c>
      <c r="L347" s="15" t="s">
        <v>1</v>
      </c>
      <c r="M347" s="15" t="s">
        <v>1</v>
      </c>
      <c r="N347" s="15" t="s">
        <v>1</v>
      </c>
      <c r="O347" s="15" t="s">
        <v>1</v>
      </c>
      <c r="P347" s="2" t="s">
        <v>1</v>
      </c>
      <c r="Q347" s="2" t="s">
        <v>1</v>
      </c>
      <c r="R347" s="2" t="s">
        <v>1</v>
      </c>
      <c r="S347" s="2" t="s">
        <v>1</v>
      </c>
      <c r="T347" s="2" t="s">
        <v>1</v>
      </c>
      <c r="U347" s="44" t="s">
        <v>1</v>
      </c>
      <c r="V347" s="15" t="s">
        <v>1</v>
      </c>
      <c r="W347" s="2" t="s">
        <v>1</v>
      </c>
      <c r="X347" s="42">
        <v>0</v>
      </c>
      <c r="Y347" s="53" t="s">
        <v>1</v>
      </c>
      <c r="Z347" s="2" t="s">
        <v>1</v>
      </c>
      <c r="AA347" s="107" t="s">
        <v>1</v>
      </c>
      <c r="AB347" s="2" t="s">
        <v>1</v>
      </c>
    </row>
    <row r="348" spans="1:28" ht="30.15" customHeight="1" x14ac:dyDescent="0.25">
      <c r="A348" s="56" t="s">
        <v>17</v>
      </c>
      <c r="B348" s="57">
        <v>44263</v>
      </c>
      <c r="C348" s="58" t="s">
        <v>35</v>
      </c>
      <c r="D348" s="40" t="s">
        <v>7</v>
      </c>
      <c r="E348" s="40" t="s">
        <v>150</v>
      </c>
      <c r="F348" s="46" t="s">
        <v>149</v>
      </c>
      <c r="G348" s="46" t="s">
        <v>409</v>
      </c>
      <c r="H348" s="15">
        <v>299</v>
      </c>
      <c r="I348" s="15">
        <v>270</v>
      </c>
      <c r="J348" s="15">
        <v>299</v>
      </c>
      <c r="K348" s="15">
        <v>329</v>
      </c>
      <c r="L348" s="15" t="s">
        <v>1</v>
      </c>
      <c r="M348" s="15" t="s">
        <v>1</v>
      </c>
      <c r="N348" s="15" t="s">
        <v>1</v>
      </c>
      <c r="O348" s="15" t="s">
        <v>1</v>
      </c>
      <c r="P348" s="2" t="s">
        <v>1</v>
      </c>
      <c r="Q348" s="2" t="s">
        <v>1</v>
      </c>
      <c r="R348" s="2" t="s">
        <v>1</v>
      </c>
      <c r="S348" s="2" t="s">
        <v>1</v>
      </c>
      <c r="T348" s="2" t="s">
        <v>1</v>
      </c>
      <c r="U348" s="44" t="s">
        <v>1</v>
      </c>
      <c r="V348" s="15" t="s">
        <v>1</v>
      </c>
      <c r="W348" s="2" t="s">
        <v>1</v>
      </c>
      <c r="X348" s="42">
        <v>0</v>
      </c>
      <c r="Y348" s="2">
        <v>0</v>
      </c>
      <c r="Z348" s="2">
        <v>0</v>
      </c>
      <c r="AA348" s="2">
        <v>0</v>
      </c>
      <c r="AB348" s="2" t="s">
        <v>1</v>
      </c>
    </row>
    <row r="349" spans="1:28" ht="30.15" customHeight="1" x14ac:dyDescent="0.25">
      <c r="A349" s="56" t="s">
        <v>18</v>
      </c>
      <c r="B349" s="56" t="s">
        <v>1</v>
      </c>
      <c r="C349" s="58" t="s">
        <v>34</v>
      </c>
      <c r="D349" s="40" t="s">
        <v>7</v>
      </c>
      <c r="E349" s="40" t="s">
        <v>288</v>
      </c>
      <c r="F349" s="46" t="s">
        <v>289</v>
      </c>
      <c r="G349" s="46" t="s">
        <v>409</v>
      </c>
      <c r="H349" s="15">
        <v>330</v>
      </c>
      <c r="I349" s="15">
        <v>330</v>
      </c>
      <c r="J349" s="15">
        <v>330</v>
      </c>
      <c r="K349" s="15">
        <v>350</v>
      </c>
      <c r="L349" s="15">
        <v>0</v>
      </c>
      <c r="M349" s="15">
        <v>0</v>
      </c>
      <c r="N349" s="15">
        <v>0</v>
      </c>
      <c r="O349" s="15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1</v>
      </c>
      <c r="U349" s="44" t="s">
        <v>1</v>
      </c>
      <c r="V349" s="15">
        <v>180</v>
      </c>
      <c r="W349" s="2">
        <v>180</v>
      </c>
      <c r="X349" s="42" t="s">
        <v>1</v>
      </c>
      <c r="Y349" s="2" t="s">
        <v>1</v>
      </c>
      <c r="Z349" s="2" t="s">
        <v>1</v>
      </c>
      <c r="AA349" s="107" t="s">
        <v>1</v>
      </c>
      <c r="AB349" s="2" t="s">
        <v>1</v>
      </c>
    </row>
    <row r="350" spans="1:28" ht="30.15" customHeight="1" x14ac:dyDescent="0.25">
      <c r="A350" s="56" t="s">
        <v>18</v>
      </c>
      <c r="B350" s="57" t="s">
        <v>1</v>
      </c>
      <c r="C350" s="56" t="s">
        <v>35</v>
      </c>
      <c r="D350" s="40" t="s">
        <v>8</v>
      </c>
      <c r="E350" s="40" t="s">
        <v>12</v>
      </c>
      <c r="F350" s="40" t="s">
        <v>32</v>
      </c>
      <c r="G350" s="46" t="s">
        <v>409</v>
      </c>
      <c r="H350" s="15">
        <v>175</v>
      </c>
      <c r="I350" s="15">
        <v>175</v>
      </c>
      <c r="J350" s="15">
        <v>175</v>
      </c>
      <c r="K350" s="15">
        <v>199.99</v>
      </c>
      <c r="L350" s="15" t="s">
        <v>1</v>
      </c>
      <c r="M350" s="15" t="s">
        <v>1</v>
      </c>
      <c r="N350" s="15" t="s">
        <v>1</v>
      </c>
      <c r="O350" s="15" t="s">
        <v>1</v>
      </c>
      <c r="P350" s="2" t="s">
        <v>1</v>
      </c>
      <c r="Q350" s="2" t="s">
        <v>1</v>
      </c>
      <c r="R350" s="2" t="s">
        <v>1</v>
      </c>
      <c r="S350" s="2" t="s">
        <v>1</v>
      </c>
      <c r="T350" s="2" t="s">
        <v>1</v>
      </c>
      <c r="U350" s="44" t="s">
        <v>1</v>
      </c>
      <c r="V350" s="15" t="s">
        <v>1</v>
      </c>
      <c r="W350" s="2" t="s">
        <v>1</v>
      </c>
      <c r="X350" s="42">
        <v>0</v>
      </c>
      <c r="Y350" s="2" t="s">
        <v>1</v>
      </c>
      <c r="Z350" s="2" t="s">
        <v>1</v>
      </c>
      <c r="AA350" s="107" t="s">
        <v>1</v>
      </c>
      <c r="AB350" s="2" t="s">
        <v>1</v>
      </c>
    </row>
    <row r="351" spans="1:28" ht="30.15" customHeight="1" x14ac:dyDescent="0.25">
      <c r="A351" s="56" t="s">
        <v>18</v>
      </c>
      <c r="B351" s="57" t="s">
        <v>1</v>
      </c>
      <c r="C351" s="56" t="s">
        <v>35</v>
      </c>
      <c r="D351" s="40" t="s">
        <v>8</v>
      </c>
      <c r="E351" s="40" t="s">
        <v>42</v>
      </c>
      <c r="F351" s="40" t="s">
        <v>32</v>
      </c>
      <c r="G351" s="46" t="s">
        <v>409</v>
      </c>
      <c r="H351" s="15">
        <v>175</v>
      </c>
      <c r="I351" s="15">
        <v>175</v>
      </c>
      <c r="J351" s="15">
        <v>175</v>
      </c>
      <c r="K351" s="15">
        <v>199.99</v>
      </c>
      <c r="L351" s="15" t="s">
        <v>1</v>
      </c>
      <c r="M351" s="15" t="s">
        <v>1</v>
      </c>
      <c r="N351" s="15" t="s">
        <v>1</v>
      </c>
      <c r="O351" s="15" t="s">
        <v>1</v>
      </c>
      <c r="P351" s="2" t="s">
        <v>1</v>
      </c>
      <c r="Q351" s="2" t="s">
        <v>1</v>
      </c>
      <c r="R351" s="2" t="s">
        <v>1</v>
      </c>
      <c r="S351" s="2" t="s">
        <v>1</v>
      </c>
      <c r="T351" s="2" t="s">
        <v>1</v>
      </c>
      <c r="U351" s="44" t="s">
        <v>1</v>
      </c>
      <c r="V351" s="15" t="s">
        <v>1</v>
      </c>
      <c r="W351" s="2" t="s">
        <v>1</v>
      </c>
      <c r="X351" s="42">
        <v>0</v>
      </c>
      <c r="Y351" s="2" t="s">
        <v>1</v>
      </c>
      <c r="Z351" s="2" t="s">
        <v>1</v>
      </c>
      <c r="AA351" s="107" t="s">
        <v>1</v>
      </c>
      <c r="AB351" s="2" t="s">
        <v>1</v>
      </c>
    </row>
    <row r="352" spans="1:28" ht="30.15" customHeight="1" x14ac:dyDescent="0.25">
      <c r="A352" s="56" t="s">
        <v>18</v>
      </c>
      <c r="B352" s="57" t="s">
        <v>1</v>
      </c>
      <c r="C352" s="58" t="s">
        <v>34</v>
      </c>
      <c r="D352" s="40" t="s">
        <v>73</v>
      </c>
      <c r="E352" s="40" t="s">
        <v>489</v>
      </c>
      <c r="F352" s="40" t="s">
        <v>488</v>
      </c>
      <c r="G352" s="46" t="s">
        <v>409</v>
      </c>
      <c r="H352" s="15">
        <v>449</v>
      </c>
      <c r="I352" s="15">
        <v>449</v>
      </c>
      <c r="J352" s="15">
        <v>449</v>
      </c>
      <c r="K352" s="15">
        <v>499</v>
      </c>
      <c r="L352" s="15">
        <v>0</v>
      </c>
      <c r="M352" s="15">
        <v>0</v>
      </c>
      <c r="N352" s="15">
        <v>0</v>
      </c>
      <c r="O352" s="15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1</v>
      </c>
      <c r="U352" s="44" t="s">
        <v>1</v>
      </c>
      <c r="V352" s="15">
        <v>349</v>
      </c>
      <c r="W352" s="2">
        <v>349</v>
      </c>
      <c r="X352" s="42" t="s">
        <v>1</v>
      </c>
      <c r="Y352" s="2" t="s">
        <v>1</v>
      </c>
      <c r="Z352" s="2" t="s">
        <v>1</v>
      </c>
      <c r="AA352" s="107" t="s">
        <v>1</v>
      </c>
      <c r="AB352" s="2" t="s">
        <v>1</v>
      </c>
    </row>
    <row r="353" spans="1:28" ht="30.15" customHeight="1" x14ac:dyDescent="0.25">
      <c r="A353" s="56" t="s">
        <v>18</v>
      </c>
      <c r="B353" s="57" t="s">
        <v>1</v>
      </c>
      <c r="C353" s="58" t="s">
        <v>34</v>
      </c>
      <c r="D353" s="40" t="s">
        <v>73</v>
      </c>
      <c r="E353" s="40" t="s">
        <v>74</v>
      </c>
      <c r="F353" s="40" t="s">
        <v>75</v>
      </c>
      <c r="G353" s="46" t="s">
        <v>409</v>
      </c>
      <c r="H353" s="15">
        <v>750</v>
      </c>
      <c r="I353" s="15">
        <v>750</v>
      </c>
      <c r="J353" s="15">
        <v>750</v>
      </c>
      <c r="K353" s="15">
        <v>749.99</v>
      </c>
      <c r="L353" s="15">
        <v>0</v>
      </c>
      <c r="M353" s="15">
        <v>0</v>
      </c>
      <c r="N353" s="15">
        <v>0</v>
      </c>
      <c r="O353" s="15">
        <v>0</v>
      </c>
      <c r="P353" s="2">
        <v>199.99</v>
      </c>
      <c r="Q353" s="2">
        <v>199.99</v>
      </c>
      <c r="R353" s="2">
        <v>0</v>
      </c>
      <c r="S353" s="2">
        <v>0</v>
      </c>
      <c r="T353" s="2" t="s">
        <v>1</v>
      </c>
      <c r="U353" s="44" t="s">
        <v>1</v>
      </c>
      <c r="V353" s="15">
        <v>549.99</v>
      </c>
      <c r="W353" s="2">
        <v>549.99</v>
      </c>
      <c r="X353" s="42" t="s">
        <v>1</v>
      </c>
      <c r="Y353" s="2" t="s">
        <v>1</v>
      </c>
      <c r="Z353" s="2" t="s">
        <v>1</v>
      </c>
      <c r="AA353" s="107" t="s">
        <v>1</v>
      </c>
      <c r="AB353" s="2" t="s">
        <v>1</v>
      </c>
    </row>
    <row r="354" spans="1:28" ht="30.15" customHeight="1" x14ac:dyDescent="0.25">
      <c r="A354" s="56" t="s">
        <v>18</v>
      </c>
      <c r="B354" s="57" t="s">
        <v>1</v>
      </c>
      <c r="C354" s="58" t="s">
        <v>34</v>
      </c>
      <c r="D354" s="40" t="s">
        <v>73</v>
      </c>
      <c r="E354" s="40" t="s">
        <v>447</v>
      </c>
      <c r="F354" s="40" t="s">
        <v>448</v>
      </c>
      <c r="G354" s="46" t="s">
        <v>409</v>
      </c>
      <c r="H354" s="15">
        <v>849</v>
      </c>
      <c r="I354" s="15">
        <v>849</v>
      </c>
      <c r="J354" s="15">
        <v>849</v>
      </c>
      <c r="K354" s="15">
        <v>899</v>
      </c>
      <c r="L354" s="15">
        <v>0</v>
      </c>
      <c r="M354" s="15">
        <v>0</v>
      </c>
      <c r="N354" s="15">
        <v>0</v>
      </c>
      <c r="O354" s="15">
        <v>0</v>
      </c>
      <c r="P354" s="2">
        <v>399</v>
      </c>
      <c r="Q354" s="2">
        <v>399</v>
      </c>
      <c r="R354" s="2">
        <v>199</v>
      </c>
      <c r="S354" s="2">
        <v>199</v>
      </c>
      <c r="T354" s="2">
        <v>0</v>
      </c>
      <c r="U354" s="44">
        <v>0</v>
      </c>
      <c r="V354" s="15">
        <v>749</v>
      </c>
      <c r="W354" s="2">
        <v>749</v>
      </c>
      <c r="X354" s="42" t="s">
        <v>1</v>
      </c>
      <c r="Y354" s="2" t="s">
        <v>1</v>
      </c>
      <c r="Z354" s="2" t="s">
        <v>1</v>
      </c>
      <c r="AA354" s="107" t="s">
        <v>1</v>
      </c>
      <c r="AB354" s="2" t="s">
        <v>1</v>
      </c>
    </row>
    <row r="355" spans="1:28" ht="30.15" customHeight="1" x14ac:dyDescent="0.25">
      <c r="A355" s="56" t="s">
        <v>18</v>
      </c>
      <c r="B355" s="57" t="s">
        <v>1</v>
      </c>
      <c r="C355" s="58" t="s">
        <v>34</v>
      </c>
      <c r="D355" s="40" t="s">
        <v>11</v>
      </c>
      <c r="E355" s="40" t="s">
        <v>155</v>
      </c>
      <c r="F355" s="40" t="s">
        <v>156</v>
      </c>
      <c r="G355" s="46" t="s">
        <v>409</v>
      </c>
      <c r="H355" s="15">
        <v>690</v>
      </c>
      <c r="I355" s="15">
        <v>690</v>
      </c>
      <c r="J355" s="15">
        <v>690</v>
      </c>
      <c r="K355" s="15">
        <v>700</v>
      </c>
      <c r="L355" s="15">
        <v>0</v>
      </c>
      <c r="M355" s="15">
        <v>0</v>
      </c>
      <c r="N355" s="15">
        <v>0</v>
      </c>
      <c r="O355" s="15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1</v>
      </c>
      <c r="U355" s="44" t="s">
        <v>1</v>
      </c>
      <c r="V355" s="15">
        <v>99</v>
      </c>
      <c r="W355" s="2">
        <v>99</v>
      </c>
      <c r="X355" s="42" t="s">
        <v>1</v>
      </c>
      <c r="Y355" s="2" t="s">
        <v>1</v>
      </c>
      <c r="Z355" s="2" t="s">
        <v>1</v>
      </c>
      <c r="AA355" s="107" t="s">
        <v>1</v>
      </c>
      <c r="AB355" s="2" t="s">
        <v>1</v>
      </c>
    </row>
    <row r="356" spans="1:28" ht="30.15" customHeight="1" x14ac:dyDescent="0.25">
      <c r="A356" s="56" t="s">
        <v>18</v>
      </c>
      <c r="B356" s="57" t="s">
        <v>1</v>
      </c>
      <c r="C356" s="58" t="s">
        <v>35</v>
      </c>
      <c r="D356" s="40" t="s">
        <v>11</v>
      </c>
      <c r="E356" s="40" t="s">
        <v>65</v>
      </c>
      <c r="F356" s="40" t="s">
        <v>66</v>
      </c>
      <c r="G356" s="46" t="s">
        <v>409</v>
      </c>
      <c r="H356" s="15">
        <v>360</v>
      </c>
      <c r="I356" s="15">
        <v>360</v>
      </c>
      <c r="J356" s="15">
        <v>360</v>
      </c>
      <c r="K356" s="15">
        <v>359.99</v>
      </c>
      <c r="L356" s="15" t="s">
        <v>1</v>
      </c>
      <c r="M356" s="15" t="s">
        <v>1</v>
      </c>
      <c r="N356" s="15" t="s">
        <v>1</v>
      </c>
      <c r="O356" s="15" t="s">
        <v>1</v>
      </c>
      <c r="P356" s="2" t="s">
        <v>1</v>
      </c>
      <c r="Q356" s="2" t="s">
        <v>1</v>
      </c>
      <c r="R356" s="2" t="s">
        <v>1</v>
      </c>
      <c r="S356" s="2" t="s">
        <v>1</v>
      </c>
      <c r="T356" s="2" t="s">
        <v>1</v>
      </c>
      <c r="U356" s="44" t="s">
        <v>1</v>
      </c>
      <c r="V356" s="15" t="s">
        <v>1</v>
      </c>
      <c r="W356" s="2" t="s">
        <v>1</v>
      </c>
      <c r="X356" s="42">
        <v>0</v>
      </c>
      <c r="Y356" s="2" t="s">
        <v>1</v>
      </c>
      <c r="Z356" s="2" t="s">
        <v>1</v>
      </c>
      <c r="AA356" s="107" t="s">
        <v>1</v>
      </c>
      <c r="AB356" s="2" t="s">
        <v>1</v>
      </c>
    </row>
    <row r="357" spans="1:28" ht="30.15" customHeight="1" x14ac:dyDescent="0.25">
      <c r="A357" s="56" t="s">
        <v>18</v>
      </c>
      <c r="B357" s="57" t="s">
        <v>1</v>
      </c>
      <c r="C357" s="58" t="s">
        <v>34</v>
      </c>
      <c r="D357" s="40" t="s">
        <v>9</v>
      </c>
      <c r="E357" s="40" t="s">
        <v>89</v>
      </c>
      <c r="F357" s="40" t="s">
        <v>25</v>
      </c>
      <c r="G357" s="46" t="s">
        <v>409</v>
      </c>
      <c r="H357" s="15">
        <v>100</v>
      </c>
      <c r="I357" s="15">
        <v>100</v>
      </c>
      <c r="J357" s="15">
        <v>100</v>
      </c>
      <c r="K357" s="15">
        <v>39.99</v>
      </c>
      <c r="L357" s="15">
        <v>0</v>
      </c>
      <c r="M357" s="15">
        <v>0</v>
      </c>
      <c r="N357" s="15">
        <v>0</v>
      </c>
      <c r="O357" s="15">
        <v>0</v>
      </c>
      <c r="P357" s="2" t="s">
        <v>1</v>
      </c>
      <c r="Q357" s="2" t="s">
        <v>1</v>
      </c>
      <c r="R357" s="2" t="s">
        <v>1</v>
      </c>
      <c r="S357" s="2" t="s">
        <v>1</v>
      </c>
      <c r="T357" s="2" t="s">
        <v>1</v>
      </c>
      <c r="U357" s="44" t="s">
        <v>1</v>
      </c>
      <c r="V357" s="15" t="s">
        <v>1</v>
      </c>
      <c r="W357" s="2" t="s">
        <v>1</v>
      </c>
      <c r="X357" s="42" t="s">
        <v>1</v>
      </c>
      <c r="Y357" s="2" t="s">
        <v>1</v>
      </c>
      <c r="Z357" s="2" t="s">
        <v>1</v>
      </c>
      <c r="AA357" s="107" t="s">
        <v>1</v>
      </c>
      <c r="AB357" s="2" t="s">
        <v>1</v>
      </c>
    </row>
    <row r="358" spans="1:28" ht="30.15" customHeight="1" x14ac:dyDescent="0.25">
      <c r="A358" s="56" t="s">
        <v>18</v>
      </c>
      <c r="B358" s="57" t="s">
        <v>1</v>
      </c>
      <c r="C358" s="58" t="s">
        <v>34</v>
      </c>
      <c r="D358" s="40" t="s">
        <v>9</v>
      </c>
      <c r="E358" s="40" t="s">
        <v>345</v>
      </c>
      <c r="F358" s="40" t="s">
        <v>25</v>
      </c>
      <c r="G358" s="46" t="s">
        <v>409</v>
      </c>
      <c r="H358" s="15">
        <v>140</v>
      </c>
      <c r="I358" s="15">
        <v>140</v>
      </c>
      <c r="J358" s="15">
        <v>140</v>
      </c>
      <c r="K358" s="15">
        <v>65</v>
      </c>
      <c r="L358" s="15">
        <v>0</v>
      </c>
      <c r="M358" s="15">
        <v>0</v>
      </c>
      <c r="N358" s="15">
        <v>0</v>
      </c>
      <c r="O358" s="15">
        <v>0</v>
      </c>
      <c r="P358" s="2" t="s">
        <v>1</v>
      </c>
      <c r="Q358" s="2" t="s">
        <v>1</v>
      </c>
      <c r="R358" s="2" t="s">
        <v>1</v>
      </c>
      <c r="S358" s="2" t="s">
        <v>1</v>
      </c>
      <c r="T358" s="2" t="s">
        <v>1</v>
      </c>
      <c r="U358" s="44" t="s">
        <v>1</v>
      </c>
      <c r="V358" s="15" t="s">
        <v>1</v>
      </c>
      <c r="W358" s="2" t="s">
        <v>1</v>
      </c>
      <c r="X358" s="42" t="s">
        <v>1</v>
      </c>
      <c r="Y358" s="2" t="s">
        <v>1</v>
      </c>
      <c r="Z358" s="2" t="s">
        <v>1</v>
      </c>
      <c r="AA358" s="107" t="s">
        <v>1</v>
      </c>
      <c r="AB358" s="2">
        <v>0</v>
      </c>
    </row>
    <row r="359" spans="1:28" ht="30.15" customHeight="1" x14ac:dyDescent="0.25">
      <c r="A359" s="62" t="s">
        <v>18</v>
      </c>
      <c r="B359" s="63" t="s">
        <v>1</v>
      </c>
      <c r="C359" s="62" t="s">
        <v>35</v>
      </c>
      <c r="D359" s="99" t="s">
        <v>9</v>
      </c>
      <c r="E359" s="99" t="s">
        <v>297</v>
      </c>
      <c r="F359" s="99" t="s">
        <v>425</v>
      </c>
      <c r="G359" s="46" t="s">
        <v>424</v>
      </c>
      <c r="H359" s="15">
        <v>169</v>
      </c>
      <c r="I359" s="15">
        <v>169</v>
      </c>
      <c r="J359" s="15">
        <v>169</v>
      </c>
      <c r="K359" s="15">
        <v>199</v>
      </c>
      <c r="L359" s="15" t="s">
        <v>1</v>
      </c>
      <c r="M359" s="15" t="s">
        <v>1</v>
      </c>
      <c r="N359" s="15" t="s">
        <v>1</v>
      </c>
      <c r="O359" s="15" t="s">
        <v>1</v>
      </c>
      <c r="P359" s="2" t="s">
        <v>1</v>
      </c>
      <c r="Q359" s="2" t="s">
        <v>1</v>
      </c>
      <c r="R359" s="2" t="s">
        <v>1</v>
      </c>
      <c r="S359" s="2" t="s">
        <v>1</v>
      </c>
      <c r="T359" s="2" t="s">
        <v>1</v>
      </c>
      <c r="U359" s="44" t="s">
        <v>1</v>
      </c>
      <c r="V359" s="15" t="s">
        <v>1</v>
      </c>
      <c r="W359" s="2" t="s">
        <v>1</v>
      </c>
      <c r="X359" s="42">
        <v>0</v>
      </c>
      <c r="Y359" s="2">
        <v>99</v>
      </c>
      <c r="Z359" s="2">
        <v>0</v>
      </c>
      <c r="AA359" s="2">
        <v>0</v>
      </c>
      <c r="AB359" s="2" t="s">
        <v>1</v>
      </c>
    </row>
    <row r="360" spans="1:28" ht="30.15" customHeight="1" x14ac:dyDescent="0.25">
      <c r="A360" s="62" t="s">
        <v>18</v>
      </c>
      <c r="B360" s="63" t="s">
        <v>1</v>
      </c>
      <c r="C360" s="62" t="s">
        <v>35</v>
      </c>
      <c r="D360" s="99" t="s">
        <v>9</v>
      </c>
      <c r="E360" s="99" t="s">
        <v>295</v>
      </c>
      <c r="F360" s="99" t="s">
        <v>296</v>
      </c>
      <c r="G360" s="46" t="s">
        <v>409</v>
      </c>
      <c r="H360" s="15">
        <v>180</v>
      </c>
      <c r="I360" s="15">
        <v>180</v>
      </c>
      <c r="J360" s="15">
        <v>180</v>
      </c>
      <c r="K360" s="15">
        <v>200</v>
      </c>
      <c r="L360" s="15" t="s">
        <v>1</v>
      </c>
      <c r="M360" s="15" t="s">
        <v>1</v>
      </c>
      <c r="N360" s="15" t="s">
        <v>1</v>
      </c>
      <c r="O360" s="15" t="s">
        <v>1</v>
      </c>
      <c r="P360" s="2" t="s">
        <v>1</v>
      </c>
      <c r="Q360" s="2" t="s">
        <v>1</v>
      </c>
      <c r="R360" s="2" t="s">
        <v>1</v>
      </c>
      <c r="S360" s="2" t="s">
        <v>1</v>
      </c>
      <c r="T360" s="2" t="s">
        <v>1</v>
      </c>
      <c r="U360" s="44" t="s">
        <v>1</v>
      </c>
      <c r="V360" s="15" t="s">
        <v>1</v>
      </c>
      <c r="W360" s="2" t="s">
        <v>1</v>
      </c>
      <c r="X360" s="42">
        <v>0</v>
      </c>
      <c r="Y360" s="2">
        <v>0</v>
      </c>
      <c r="Z360" s="2">
        <v>0</v>
      </c>
      <c r="AA360" s="2">
        <v>0</v>
      </c>
      <c r="AB360" s="2" t="s">
        <v>1</v>
      </c>
    </row>
    <row r="361" spans="1:28" ht="30.15" customHeight="1" x14ac:dyDescent="0.25">
      <c r="A361" s="56" t="s">
        <v>17</v>
      </c>
      <c r="B361" s="58">
        <v>43191</v>
      </c>
      <c r="C361" s="56" t="s">
        <v>35</v>
      </c>
      <c r="D361" s="40" t="s">
        <v>9</v>
      </c>
      <c r="E361" s="40" t="s">
        <v>45</v>
      </c>
      <c r="F361" s="40" t="s">
        <v>46</v>
      </c>
      <c r="G361" s="46" t="s">
        <v>409</v>
      </c>
      <c r="H361" s="15">
        <v>275</v>
      </c>
      <c r="I361" s="15">
        <v>275</v>
      </c>
      <c r="J361" s="15">
        <v>275</v>
      </c>
      <c r="K361" s="15">
        <v>274.99</v>
      </c>
      <c r="L361" s="15" t="s">
        <v>1</v>
      </c>
      <c r="M361" s="15" t="s">
        <v>1</v>
      </c>
      <c r="N361" s="15" t="s">
        <v>1</v>
      </c>
      <c r="O361" s="15" t="s">
        <v>1</v>
      </c>
      <c r="P361" s="2" t="s">
        <v>1</v>
      </c>
      <c r="Q361" s="2" t="s">
        <v>1</v>
      </c>
      <c r="R361" s="2" t="s">
        <v>1</v>
      </c>
      <c r="S361" s="2" t="s">
        <v>1</v>
      </c>
      <c r="T361" s="2" t="s">
        <v>1</v>
      </c>
      <c r="U361" s="44" t="s">
        <v>1</v>
      </c>
      <c r="V361" s="15" t="s">
        <v>1</v>
      </c>
      <c r="W361" s="2" t="s">
        <v>1</v>
      </c>
      <c r="X361" s="42">
        <v>0</v>
      </c>
      <c r="Y361" s="2" t="s">
        <v>1</v>
      </c>
      <c r="Z361" s="2" t="s">
        <v>1</v>
      </c>
      <c r="AA361" s="107" t="s">
        <v>1</v>
      </c>
      <c r="AB361" s="2" t="s">
        <v>1</v>
      </c>
    </row>
    <row r="362" spans="1:28" ht="30.15" customHeight="1" x14ac:dyDescent="0.25">
      <c r="A362" s="56" t="s">
        <v>18</v>
      </c>
      <c r="B362" s="57" t="s">
        <v>1</v>
      </c>
      <c r="C362" s="56" t="s">
        <v>35</v>
      </c>
      <c r="D362" s="40" t="s">
        <v>9</v>
      </c>
      <c r="E362" s="40" t="s">
        <v>106</v>
      </c>
      <c r="F362" s="40" t="s">
        <v>107</v>
      </c>
      <c r="G362" s="46" t="s">
        <v>409</v>
      </c>
      <c r="H362" s="15">
        <v>235</v>
      </c>
      <c r="I362" s="15">
        <v>235</v>
      </c>
      <c r="J362" s="15">
        <v>235</v>
      </c>
      <c r="K362" s="15">
        <v>239.99</v>
      </c>
      <c r="L362" s="15" t="s">
        <v>1</v>
      </c>
      <c r="M362" s="15" t="s">
        <v>1</v>
      </c>
      <c r="N362" s="15" t="s">
        <v>1</v>
      </c>
      <c r="O362" s="15" t="s">
        <v>1</v>
      </c>
      <c r="P362" s="2" t="s">
        <v>1</v>
      </c>
      <c r="Q362" s="2" t="s">
        <v>1</v>
      </c>
      <c r="R362" s="2" t="s">
        <v>1</v>
      </c>
      <c r="S362" s="2" t="s">
        <v>1</v>
      </c>
      <c r="T362" s="2" t="s">
        <v>1</v>
      </c>
      <c r="U362" s="44" t="s">
        <v>1</v>
      </c>
      <c r="V362" s="15" t="s">
        <v>1</v>
      </c>
      <c r="W362" s="2" t="s">
        <v>1</v>
      </c>
      <c r="X362" s="42">
        <v>0</v>
      </c>
      <c r="Y362" s="2" t="s">
        <v>1</v>
      </c>
      <c r="Z362" s="2" t="s">
        <v>1</v>
      </c>
      <c r="AA362" s="107" t="s">
        <v>1</v>
      </c>
      <c r="AB362" s="2" t="s">
        <v>1</v>
      </c>
    </row>
    <row r="363" spans="1:28" ht="30.15" customHeight="1" x14ac:dyDescent="0.25">
      <c r="A363" s="56" t="s">
        <v>18</v>
      </c>
      <c r="B363" s="57" t="s">
        <v>1</v>
      </c>
      <c r="C363" s="56" t="s">
        <v>35</v>
      </c>
      <c r="D363" s="40" t="s">
        <v>9</v>
      </c>
      <c r="E363" s="40" t="s">
        <v>542</v>
      </c>
      <c r="F363" s="40" t="s">
        <v>543</v>
      </c>
      <c r="G363" s="46" t="s">
        <v>409</v>
      </c>
      <c r="H363" s="15">
        <v>250</v>
      </c>
      <c r="I363" s="15">
        <v>250</v>
      </c>
      <c r="J363" s="15">
        <v>250</v>
      </c>
      <c r="K363" s="15">
        <v>259</v>
      </c>
      <c r="L363" s="15" t="s">
        <v>1</v>
      </c>
      <c r="M363" s="15" t="s">
        <v>1</v>
      </c>
      <c r="N363" s="15" t="s">
        <v>1</v>
      </c>
      <c r="O363" s="15" t="s">
        <v>1</v>
      </c>
      <c r="P363" s="2" t="s">
        <v>1</v>
      </c>
      <c r="Q363" s="2" t="s">
        <v>1</v>
      </c>
      <c r="R363" s="2" t="s">
        <v>1</v>
      </c>
      <c r="S363" s="2" t="s">
        <v>1</v>
      </c>
      <c r="T363" s="2" t="s">
        <v>1</v>
      </c>
      <c r="U363" s="44" t="s">
        <v>1</v>
      </c>
      <c r="V363" s="15" t="s">
        <v>1</v>
      </c>
      <c r="W363" s="2" t="s">
        <v>1</v>
      </c>
      <c r="X363" s="42">
        <v>0</v>
      </c>
      <c r="Y363" s="2" t="s">
        <v>1</v>
      </c>
      <c r="Z363" s="2" t="s">
        <v>1</v>
      </c>
      <c r="AA363" s="107" t="s">
        <v>1</v>
      </c>
      <c r="AB363" s="2" t="s">
        <v>1</v>
      </c>
    </row>
    <row r="364" spans="1:28" ht="30.15" customHeight="1" x14ac:dyDescent="0.25">
      <c r="A364" s="56" t="s">
        <v>18</v>
      </c>
      <c r="B364" s="57" t="s">
        <v>1</v>
      </c>
      <c r="C364" s="56" t="s">
        <v>35</v>
      </c>
      <c r="D364" s="40" t="s">
        <v>9</v>
      </c>
      <c r="E364" s="40" t="s">
        <v>108</v>
      </c>
      <c r="F364" s="40" t="s">
        <v>109</v>
      </c>
      <c r="G364" s="46" t="s">
        <v>409</v>
      </c>
      <c r="H364" s="15">
        <v>175</v>
      </c>
      <c r="I364" s="15">
        <v>175</v>
      </c>
      <c r="J364" s="15">
        <v>175</v>
      </c>
      <c r="K364" s="15">
        <v>199.99</v>
      </c>
      <c r="L364" s="15" t="s">
        <v>1</v>
      </c>
      <c r="M364" s="15" t="s">
        <v>1</v>
      </c>
      <c r="N364" s="15" t="s">
        <v>1</v>
      </c>
      <c r="O364" s="15" t="s">
        <v>1</v>
      </c>
      <c r="P364" s="2" t="s">
        <v>1</v>
      </c>
      <c r="Q364" s="2" t="s">
        <v>1</v>
      </c>
      <c r="R364" s="2" t="s">
        <v>1</v>
      </c>
      <c r="S364" s="2" t="s">
        <v>1</v>
      </c>
      <c r="T364" s="2" t="s">
        <v>1</v>
      </c>
      <c r="U364" s="44" t="s">
        <v>1</v>
      </c>
      <c r="V364" s="15" t="s">
        <v>1</v>
      </c>
      <c r="W364" s="2" t="s">
        <v>1</v>
      </c>
      <c r="X364" s="42">
        <v>0</v>
      </c>
      <c r="Y364" s="2" t="s">
        <v>1</v>
      </c>
      <c r="Z364" s="2" t="s">
        <v>1</v>
      </c>
      <c r="AA364" s="107" t="s">
        <v>1</v>
      </c>
      <c r="AB364" s="2" t="s">
        <v>1</v>
      </c>
    </row>
    <row r="365" spans="1:28" ht="30.15" customHeight="1" x14ac:dyDescent="0.25">
      <c r="A365" s="56" t="s">
        <v>18</v>
      </c>
      <c r="B365" s="57" t="s">
        <v>1</v>
      </c>
      <c r="C365" s="56" t="s">
        <v>35</v>
      </c>
      <c r="D365" s="40" t="s">
        <v>9</v>
      </c>
      <c r="E365" s="40" t="s">
        <v>141</v>
      </c>
      <c r="F365" s="40" t="s">
        <v>142</v>
      </c>
      <c r="G365" s="46" t="s">
        <v>409</v>
      </c>
      <c r="H365" s="15">
        <v>640</v>
      </c>
      <c r="I365" s="15">
        <v>640</v>
      </c>
      <c r="J365" s="15">
        <v>640</v>
      </c>
      <c r="K365" s="15">
        <v>650</v>
      </c>
      <c r="L365" s="15" t="s">
        <v>1</v>
      </c>
      <c r="M365" s="15" t="s">
        <v>1</v>
      </c>
      <c r="N365" s="15" t="s">
        <v>1</v>
      </c>
      <c r="O365" s="15" t="s">
        <v>1</v>
      </c>
      <c r="P365" s="2">
        <v>650</v>
      </c>
      <c r="Q365" s="2">
        <v>650</v>
      </c>
      <c r="R365" s="2">
        <v>650</v>
      </c>
      <c r="S365" s="2">
        <v>650</v>
      </c>
      <c r="T365" s="2" t="s">
        <v>1</v>
      </c>
      <c r="U365" s="44" t="s">
        <v>1</v>
      </c>
      <c r="V365" s="15">
        <v>650</v>
      </c>
      <c r="W365" s="2">
        <v>650</v>
      </c>
      <c r="X365" s="42">
        <v>0</v>
      </c>
      <c r="Y365" s="2" t="s">
        <v>1</v>
      </c>
      <c r="Z365" s="2" t="s">
        <v>1</v>
      </c>
      <c r="AA365" s="107" t="s">
        <v>1</v>
      </c>
      <c r="AB365" s="2" t="s">
        <v>1</v>
      </c>
    </row>
    <row r="366" spans="1:28" x14ac:dyDescent="0.25"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AB366" s="22"/>
    </row>
    <row r="367" spans="1:28" ht="21" x14ac:dyDescent="0.25">
      <c r="A367" s="19" t="s">
        <v>2</v>
      </c>
      <c r="B367" s="19"/>
      <c r="C367" s="19"/>
      <c r="F367" s="20"/>
      <c r="G367" s="20"/>
      <c r="H367" s="19"/>
      <c r="I367" s="19"/>
      <c r="J367" s="19"/>
      <c r="K367" s="19" t="s">
        <v>10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AB367" s="22"/>
    </row>
    <row r="368" spans="1:28" ht="21" x14ac:dyDescent="0.25">
      <c r="A368" s="21"/>
      <c r="B368" s="21"/>
      <c r="C368" s="21"/>
      <c r="D368" s="4"/>
      <c r="E368" s="19"/>
      <c r="F368" s="21"/>
      <c r="G368" s="2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AB368" s="4"/>
    </row>
    <row r="369" spans="1:28" x14ac:dyDescent="0.25">
      <c r="A369" s="24" t="s">
        <v>41</v>
      </c>
      <c r="B369" s="24"/>
      <c r="C369" s="24"/>
      <c r="D369" s="4"/>
      <c r="E369" s="4"/>
      <c r="H369" s="22"/>
      <c r="I369" s="22"/>
      <c r="J369" s="22"/>
      <c r="K369" s="22" t="s">
        <v>19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AB369" s="4"/>
    </row>
    <row r="370" spans="1:28" x14ac:dyDescent="0.25">
      <c r="A370" s="24" t="s">
        <v>21</v>
      </c>
      <c r="B370" s="24"/>
      <c r="C370" s="24"/>
      <c r="D370" s="4"/>
      <c r="E370" s="3"/>
      <c r="F370" s="23"/>
      <c r="G370" s="23"/>
      <c r="H370" s="22"/>
      <c r="I370" s="22"/>
      <c r="J370" s="22"/>
      <c r="K370" s="22" t="s">
        <v>22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spans="1:28" x14ac:dyDescent="0.25">
      <c r="A371" s="24"/>
      <c r="D371" s="4"/>
      <c r="E371" s="24"/>
      <c r="F371" s="24"/>
      <c r="G371" s="24"/>
      <c r="H371" s="4"/>
      <c r="I371" s="4"/>
      <c r="J371" s="4"/>
      <c r="K371" s="22"/>
      <c r="L371" s="22"/>
      <c r="M371" s="22"/>
      <c r="N371" s="22"/>
      <c r="O371" s="22"/>
      <c r="P371" s="22"/>
      <c r="Q371" s="4"/>
      <c r="R371" s="22"/>
      <c r="S371" s="4"/>
      <c r="T371" s="22"/>
      <c r="U371" s="4"/>
      <c r="V371" s="22"/>
      <c r="W371" s="4"/>
      <c r="AB371" s="25"/>
    </row>
  </sheetData>
  <sheetProtection autoFilter="0"/>
  <conditionalFormatting sqref="J14:J365">
    <cfRule type="cellIs" dxfId="0" priority="1" operator="greaterThanOrEqual">
      <formula>K14</formula>
    </cfRule>
  </conditionalFormatting>
  <printOptions horizontalCentered="1"/>
  <pageMargins left="0.23622047244094491" right="0.23622047244094491" top="0.31496062992125984" bottom="0" header="0" footer="0"/>
  <pageSetup scale="11" fitToHeight="0" orientation="landscape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D4"/>
  <sheetViews>
    <sheetView workbookViewId="0">
      <selection activeCell="B2" sqref="B2"/>
    </sheetView>
  </sheetViews>
  <sheetFormatPr defaultRowHeight="13.2" x14ac:dyDescent="0.25"/>
  <cols>
    <col min="1" max="1" width="22.44140625" bestFit="1" customWidth="1"/>
    <col min="2" max="2" width="7.33203125" bestFit="1" customWidth="1"/>
    <col min="4" max="4" width="56" bestFit="1" customWidth="1"/>
  </cols>
  <sheetData>
    <row r="1" spans="1:4" x14ac:dyDescent="0.25">
      <c r="A1" s="38" t="s">
        <v>56</v>
      </c>
      <c r="B1" s="38" t="s">
        <v>57</v>
      </c>
      <c r="D1" s="38" t="s">
        <v>55</v>
      </c>
    </row>
    <row r="2" spans="1:4" ht="14.4" x14ac:dyDescent="0.25">
      <c r="A2" s="38" t="s">
        <v>58</v>
      </c>
      <c r="B2">
        <v>104</v>
      </c>
      <c r="D2" s="39" t="s">
        <v>59</v>
      </c>
    </row>
    <row r="3" spans="1:4" ht="14.4" x14ac:dyDescent="0.25">
      <c r="A3" s="38" t="s">
        <v>60</v>
      </c>
      <c r="B3">
        <v>103</v>
      </c>
      <c r="D3" s="39" t="s">
        <v>61</v>
      </c>
    </row>
    <row r="4" spans="1:4" ht="14.4" x14ac:dyDescent="0.25">
      <c r="D4" s="39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88A19CFAAD643B1D7D712675F3092" ma:contentTypeVersion="11" ma:contentTypeDescription="Create a new document." ma:contentTypeScope="" ma:versionID="66e79a43db9254b3d3d22eeff00419df">
  <xsd:schema xmlns:xsd="http://www.w3.org/2001/XMLSchema" xmlns:xs="http://www.w3.org/2001/XMLSchema" xmlns:p="http://schemas.microsoft.com/office/2006/metadata/properties" xmlns:ns2="f724c69c-7aeb-499d-bf38-48869c23a65a" xmlns:ns3="6cecec16-5dd5-4908-8a1a-85cfcbc1c13e" targetNamespace="http://schemas.microsoft.com/office/2006/metadata/properties" ma:root="true" ma:fieldsID="a917787a136f5464142b92f9a61ac92c" ns2:_="" ns3:_="">
    <xsd:import namespace="f724c69c-7aeb-499d-bf38-48869c23a65a"/>
    <xsd:import namespace="6cecec16-5dd5-4908-8a1a-85cfcbc1c1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4c69c-7aeb-499d-bf38-48869c23a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cec16-5dd5-4908-8a1a-85cfcbc1c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F42BC0-395D-4C63-A835-2F975D71D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24c69c-7aeb-499d-bf38-48869c23a65a"/>
    <ds:schemaRef ds:uri="6cecec16-5dd5-4908-8a1a-85cfcbc1c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CFEC1-64E9-4B13-8BD8-69CE781D1A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476B5D-6182-4CD1-B864-AC5513EDC91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fc05d00d-2816-4783-9ad1-b0318334f09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3a3f3b5-a655-45b2-b50b-adfe755a4b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Consumer Hardware Pricing</vt:lpstr>
      <vt:lpstr>Financing</vt:lpstr>
      <vt:lpstr>Credit Risk (Medium)</vt:lpstr>
      <vt:lpstr>Credit Risk (High)</vt:lpstr>
      <vt:lpstr>dealer cost formula</vt:lpstr>
      <vt:lpstr>Data</vt:lpstr>
      <vt:lpstr>'dealer cost formula'!Print_Area</vt:lpstr>
      <vt:lpstr>'dealer cost formula'!Print_Titles</vt:lpstr>
    </vt:vector>
  </TitlesOfParts>
  <Company>Rogers Communications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Mancinelli</dc:creator>
  <cp:lastModifiedBy>Raj Katam</cp:lastModifiedBy>
  <cp:lastPrinted>2019-06-27T19:58:41Z</cp:lastPrinted>
  <dcterms:created xsi:type="dcterms:W3CDTF">2011-01-19T16:26:07Z</dcterms:created>
  <dcterms:modified xsi:type="dcterms:W3CDTF">2021-08-16T11:39:45Z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0x010100A6E88A19CFAAD643B1D7D712675F3092</vt:lpwstr>
  </property>
</Properties>
</file>